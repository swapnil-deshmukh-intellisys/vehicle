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<sst xmlns="http://schemas.openxmlformats.org/spreadsheetml/2006/main" count="76108" uniqueCount="17668">
  <si>
    <t>invoice_id</t>
  </si>
  <si>
    <t>invoice_date</t>
  </si>
  <si>
    <t>invoice_pono</t>
  </si>
  <si>
    <t>invoice_podate</t>
  </si>
  <si>
    <t>customer_phone</t>
  </si>
  <si>
    <t>customer_name</t>
  </si>
  <si>
    <t>customer_gst</t>
  </si>
  <si>
    <t>customer_address</t>
  </si>
  <si>
    <t>customer_email</t>
  </si>
  <si>
    <t>customer_pincode</t>
  </si>
  <si>
    <t>vehicle_model</t>
  </si>
  <si>
    <t>vehicle_make</t>
  </si>
  <si>
    <t>vehicle_license_plate_no</t>
  </si>
  <si>
    <t>vehicle_external_bikeid</t>
  </si>
  <si>
    <t>vehicle_registration_no</t>
  </si>
  <si>
    <t>vehicle_year_of_manufacture</t>
  </si>
  <si>
    <t>vehicle_fuel_type</t>
  </si>
  <si>
    <t>vehicle_transmission_type</t>
  </si>
  <si>
    <t>vehicle_engine_no</t>
  </si>
  <si>
    <t>vehicle_chassis_no</t>
  </si>
  <si>
    <t>vehicle_vin_no</t>
  </si>
  <si>
    <t>vehicle_color</t>
  </si>
  <si>
    <t>vehicle_reg_state</t>
  </si>
  <si>
    <t>vehicle_reg_exp</t>
  </si>
  <si>
    <t>F0116-C3678</t>
  </si>
  <si>
    <t>-</t>
  </si>
  <si>
    <t>F0116-C3680</t>
  </si>
  <si>
    <t>F0116-C3672</t>
  </si>
  <si>
    <t>F0115-C3666</t>
  </si>
  <si>
    <t>F0113-C3659</t>
  </si>
  <si>
    <t>F0116-C3682</t>
  </si>
  <si>
    <t>F0116-C3675</t>
  </si>
  <si>
    <t>F0116-C3676</t>
  </si>
  <si>
    <t>F0116-C3673</t>
  </si>
  <si>
    <t>F0116-C3674</t>
  </si>
  <si>
    <t>F0116-C3679</t>
  </si>
  <si>
    <t>F0116-C3681</t>
  </si>
  <si>
    <t>E1127-C3183</t>
  </si>
  <si>
    <t>E1129-C3199</t>
  </si>
  <si>
    <t>E1129-C3202</t>
  </si>
  <si>
    <t>E1129-C3205</t>
  </si>
  <si>
    <t>E1129-C3201</t>
  </si>
  <si>
    <t>E1129-C3200</t>
  </si>
  <si>
    <t>E1129-C3203</t>
  </si>
  <si>
    <t>E1129-C3198</t>
  </si>
  <si>
    <t>E1129-C3196</t>
  </si>
  <si>
    <t>E1127-C3187</t>
  </si>
  <si>
    <t>E1129-C3197</t>
  </si>
  <si>
    <t>E1127-C3185</t>
  </si>
  <si>
    <t>E1127-C3182</t>
  </si>
  <si>
    <t>E1128-C3195</t>
  </si>
  <si>
    <t>E1128-C3190</t>
  </si>
  <si>
    <t>E1128-C3191</t>
  </si>
  <si>
    <t>E1106-C2987</t>
  </si>
  <si>
    <t>E1128-C3192</t>
  </si>
  <si>
    <t>E1128-C3189</t>
  </si>
  <si>
    <t>E1128-C3193</t>
  </si>
  <si>
    <t>E1130-C3208</t>
  </si>
  <si>
    <t>E1130-C3210</t>
  </si>
  <si>
    <t>E1130-C3218</t>
  </si>
  <si>
    <t>E1130-C3211</t>
  </si>
  <si>
    <t>E1130-C3214</t>
  </si>
  <si>
    <t>E1129-C3204</t>
  </si>
  <si>
    <t>E1130-C3216</t>
  </si>
  <si>
    <t>E1130-C3212</t>
  </si>
  <si>
    <t>E1130-C3220</t>
  </si>
  <si>
    <t>E1130-C3217</t>
  </si>
  <si>
    <t>E1130-C3207</t>
  </si>
  <si>
    <t>E1130-C3215</t>
  </si>
  <si>
    <t>E1130-C3213</t>
  </si>
  <si>
    <t>E1130-C3219</t>
  </si>
  <si>
    <t>E1128-C3194</t>
  </si>
  <si>
    <t>E1118-C3114</t>
  </si>
  <si>
    <t>E1220-C3415</t>
  </si>
  <si>
    <t>E1220-C3416</t>
  </si>
  <si>
    <t>E1220-C3410</t>
  </si>
  <si>
    <t>E1220-C3411</t>
  </si>
  <si>
    <t>E1220-C3407</t>
  </si>
  <si>
    <t>E1220-C3408</t>
  </si>
  <si>
    <t>E1220-C3413</t>
  </si>
  <si>
    <t>E1220-C3417</t>
  </si>
  <si>
    <t>E1219-C3406</t>
  </si>
  <si>
    <t>F0213-C3953</t>
  </si>
  <si>
    <t>F0213-C3952</t>
  </si>
  <si>
    <t>F0212-C3947</t>
  </si>
  <si>
    <t>F0212-C3946</t>
  </si>
  <si>
    <t>F0212-C3944</t>
  </si>
  <si>
    <t>F0212-C3950</t>
  </si>
  <si>
    <t>F0212-C3945</t>
  </si>
  <si>
    <t>F0212-C3948</t>
  </si>
  <si>
    <t>F0212-C3943</t>
  </si>
  <si>
    <t>F0212-C3949</t>
  </si>
  <si>
    <t>F0512-C4725</t>
  </si>
  <si>
    <t>F0510-C4699</t>
  </si>
  <si>
    <t>F0512-C4724</t>
  </si>
  <si>
    <t>F0512-C4718</t>
  </si>
  <si>
    <t>F0512-C4726</t>
  </si>
  <si>
    <t>F0512-C4727</t>
  </si>
  <si>
    <t>F0509-C4679</t>
  </si>
  <si>
    <t>F0511-C4707</t>
  </si>
  <si>
    <t>F0512-C4716</t>
  </si>
  <si>
    <t>F0512-C4717</t>
  </si>
  <si>
    <t>F0512-C4719</t>
  </si>
  <si>
    <t>F0512-C4720</t>
  </si>
  <si>
    <t>F0512-C4721</t>
  </si>
  <si>
    <t>F0512-C4722</t>
  </si>
  <si>
    <t>F0512-C4723</t>
  </si>
  <si>
    <t>E1201-C3223</t>
  </si>
  <si>
    <t>E1130-C3206</t>
  </si>
  <si>
    <t>E1130-C3221</t>
  </si>
  <si>
    <t>E1201-C3225</t>
  </si>
  <si>
    <t>E1201-C3226</t>
  </si>
  <si>
    <t>E1201-C3224</t>
  </si>
  <si>
    <t>E1201-C3222</t>
  </si>
  <si>
    <t>E1201-C3230</t>
  </si>
  <si>
    <t>E1130-C3209</t>
  </si>
  <si>
    <t>E1201-C3228</t>
  </si>
  <si>
    <t>E1201-C3232</t>
  </si>
  <si>
    <t>E1201-C3233</t>
  </si>
  <si>
    <t>E1201-C3237</t>
  </si>
  <si>
    <t>E1201-C3227</t>
  </si>
  <si>
    <t>E1201-C3238</t>
  </si>
  <si>
    <t>E1201-C3235</t>
  </si>
  <si>
    <t>E1201-C3236</t>
  </si>
  <si>
    <t>E1202-C3243</t>
  </si>
  <si>
    <t>E1202-C3239</t>
  </si>
  <si>
    <t>E1202-C3241</t>
  </si>
  <si>
    <t>E1202-C3244</t>
  </si>
  <si>
    <t>E1202-C3240</t>
  </si>
  <si>
    <t>E1202-C3242</t>
  </si>
  <si>
    <t>F0117-C3685</t>
  </si>
  <si>
    <t>F0117-C3683</t>
  </si>
  <si>
    <t>F0117-C3687</t>
  </si>
  <si>
    <t>F0115-C3669</t>
  </si>
  <si>
    <t>F0117-C3684</t>
  </si>
  <si>
    <t>F0117-C3686</t>
  </si>
  <si>
    <t>F0117-C3688</t>
  </si>
  <si>
    <t>F0116-C3677</t>
  </si>
  <si>
    <t>E1221-C3419</t>
  </si>
  <si>
    <t>E1221-C3420</t>
  </si>
  <si>
    <t>E1221-C3425</t>
  </si>
  <si>
    <t>E1221-C3429</t>
  </si>
  <si>
    <t>E1221-C3421</t>
  </si>
  <si>
    <t>E1220-C3412</t>
  </si>
  <si>
    <t>E1220-C3414</t>
  </si>
  <si>
    <t>E1220-C3409</t>
  </si>
  <si>
    <t>E1221-C3423</t>
  </si>
  <si>
    <t>E1221-C3422</t>
  </si>
  <si>
    <t>E1211-C3322</t>
  </si>
  <si>
    <t>F0118-C3692</t>
  </si>
  <si>
    <t>F0118-C3707</t>
  </si>
  <si>
    <t>F0118-C3704</t>
  </si>
  <si>
    <t>F0118-C3696</t>
  </si>
  <si>
    <t>F0118-C3690</t>
  </si>
  <si>
    <t>F0118-C3691</t>
  </si>
  <si>
    <t>F0118-C3700</t>
  </si>
  <si>
    <t>F0118-C3698</t>
  </si>
  <si>
    <t>F0118-C3694</t>
  </si>
  <si>
    <t>F0118-C3689</t>
  </si>
  <si>
    <t>F0118-C3702</t>
  </si>
  <si>
    <t>F0118-C3709</t>
  </si>
  <si>
    <t>F0118-C3695</t>
  </si>
  <si>
    <t>F0118-C3693</t>
  </si>
  <si>
    <t>F0118-C3697</t>
  </si>
  <si>
    <t>F0118-C3703</t>
  </si>
  <si>
    <t>F0118-C3701</t>
  </si>
  <si>
    <t>F0118-C3705</t>
  </si>
  <si>
    <t>E1221-C3428</t>
  </si>
  <si>
    <t>E1222-C3437</t>
  </si>
  <si>
    <t>E1222-C3438</t>
  </si>
  <si>
    <t>E1222-C3434</t>
  </si>
  <si>
    <t>E1222-C3441</t>
  </si>
  <si>
    <t>E1222-C3436</t>
  </si>
  <si>
    <t>E1222-C3440</t>
  </si>
  <si>
    <t>E1221-C3431</t>
  </si>
  <si>
    <t>E1222-C3442</t>
  </si>
  <si>
    <t>E1222-C3433</t>
  </si>
  <si>
    <t>E1221-C3426</t>
  </si>
  <si>
    <t>E1221-C3418</t>
  </si>
  <si>
    <t>E1221-C3424</t>
  </si>
  <si>
    <t>E1222-C3439</t>
  </si>
  <si>
    <t>E1222-C3435</t>
  </si>
  <si>
    <t>E1221-C3427</t>
  </si>
  <si>
    <t>E1222-C3443</t>
  </si>
  <si>
    <t>E1222-C3444</t>
  </si>
  <si>
    <t>F0504-C4648</t>
  </si>
  <si>
    <t>F0503-C4623</t>
  </si>
  <si>
    <t>F0430-C4608</t>
  </si>
  <si>
    <t>F0503-C4630</t>
  </si>
  <si>
    <t>F0503-C4631</t>
  </si>
  <si>
    <t>F0503-C4635</t>
  </si>
  <si>
    <t>F0503-C4625</t>
  </si>
  <si>
    <t>F0503-C4629</t>
  </si>
  <si>
    <t>F0503-C4628</t>
  </si>
  <si>
    <t>F0503-C4627</t>
  </si>
  <si>
    <t>F0503-C4626</t>
  </si>
  <si>
    <t>F0503-C4624</t>
  </si>
  <si>
    <t>F0503-C4632</t>
  </si>
  <si>
    <t>F0504-C4637</t>
  </si>
  <si>
    <t>F0504-C4640</t>
  </si>
  <si>
    <t>F0504-C4639</t>
  </si>
  <si>
    <t>F0504-C4641</t>
  </si>
  <si>
    <t>F0504-C4643</t>
  </si>
  <si>
    <t>F0504-C4645</t>
  </si>
  <si>
    <t>F0504-C4644</t>
  </si>
  <si>
    <t>F0504-C4646</t>
  </si>
  <si>
    <t>F0504-C4638</t>
  </si>
  <si>
    <t>F0504-C4642</t>
  </si>
  <si>
    <t>F0503-C4633</t>
  </si>
  <si>
    <t>F0503-C4634</t>
  </si>
  <si>
    <t>F0503-C4621</t>
  </si>
  <si>
    <t>F0503-C4622</t>
  </si>
  <si>
    <t>F0611-C4965</t>
  </si>
  <si>
    <t>F0206-C3886</t>
  </si>
  <si>
    <t>F0214-C3960</t>
  </si>
  <si>
    <t>F0214-C3958</t>
  </si>
  <si>
    <t>F0214-C3956</t>
  </si>
  <si>
    <t>F0214-C3959</t>
  </si>
  <si>
    <t>F0214-C3957</t>
  </si>
  <si>
    <t>F0214-C3955</t>
  </si>
  <si>
    <t>F0213-C3951</t>
  </si>
  <si>
    <t>F0214-C3961</t>
  </si>
  <si>
    <t>F0202-C3842</t>
  </si>
  <si>
    <t>E1204-C3247</t>
  </si>
  <si>
    <t>E1204-C3252</t>
  </si>
  <si>
    <t>E1204-C3249</t>
  </si>
  <si>
    <t>E1204-C3254</t>
  </si>
  <si>
    <t>E1204-C3256</t>
  </si>
  <si>
    <t>E1204-C3248</t>
  </si>
  <si>
    <t>E1204-C3253</t>
  </si>
  <si>
    <t>E1204-C3250</t>
  </si>
  <si>
    <t>F0411-C4452</t>
  </si>
  <si>
    <t>F0411-C4453</t>
  </si>
  <si>
    <t>F0411-C4443</t>
  </si>
  <si>
    <t>F0411-C4440</t>
  </si>
  <si>
    <t>F0411-C4450</t>
  </si>
  <si>
    <t>F0411-C4445</t>
  </si>
  <si>
    <t>F0411-C4448</t>
  </si>
  <si>
    <t>F0411-C4449</t>
  </si>
  <si>
    <t>F0411-C4437</t>
  </si>
  <si>
    <t>F0411-C4438</t>
  </si>
  <si>
    <t>F0411-C4441</t>
  </si>
  <si>
    <t>F0411-C4447</t>
  </si>
  <si>
    <t>F0411-C4451</t>
  </si>
  <si>
    <t>F0410-C4428</t>
  </si>
  <si>
    <t>F0411-C4439</t>
  </si>
  <si>
    <t>E1202-C3246</t>
  </si>
  <si>
    <t>E1205-C3257</t>
  </si>
  <si>
    <t>E1205-C3268</t>
  </si>
  <si>
    <t>E1207-C3282</t>
  </si>
  <si>
    <t>E1207-C3290</t>
  </si>
  <si>
    <t>E1207-C3294</t>
  </si>
  <si>
    <t>E1207-C3292</t>
  </si>
  <si>
    <t>E1207-C3288</t>
  </si>
  <si>
    <t>E1207-C3293</t>
  </si>
  <si>
    <t>E1207-C3284</t>
  </si>
  <si>
    <t>E1207-C3277</t>
  </si>
  <si>
    <t>E1207-C3279</t>
  </si>
  <si>
    <t>E1207-C3286</t>
  </si>
  <si>
    <t>E1207-C3285</t>
  </si>
  <si>
    <t>E1208-C3297</t>
  </si>
  <si>
    <t>E1207-C3278</t>
  </si>
  <si>
    <t>E1207-C3281</t>
  </si>
  <si>
    <t>E1207-C3291</t>
  </si>
  <si>
    <t>E1208-C3302</t>
  </si>
  <si>
    <t>E1208-C3304</t>
  </si>
  <si>
    <t>E1208-C3305</t>
  </si>
  <si>
    <t>E1201-C3234</t>
  </si>
  <si>
    <t>E1201-C3229</t>
  </si>
  <si>
    <t>E1208-C3296</t>
  </si>
  <si>
    <t>E1208-C3306</t>
  </si>
  <si>
    <t>E1208-C3307</t>
  </si>
  <si>
    <t>E1208-C3300</t>
  </si>
  <si>
    <t>E1208-C3303</t>
  </si>
  <si>
    <t>E1208-C3301</t>
  </si>
  <si>
    <t>E1204-C3255</t>
  </si>
  <si>
    <t>E1202-C3245</t>
  </si>
  <si>
    <t>E1208-C3295</t>
  </si>
  <si>
    <t>E1204-C3251</t>
  </si>
  <si>
    <t>E1208-C3299</t>
  </si>
  <si>
    <t>E1205-C3264</t>
  </si>
  <si>
    <t>E1208-C3308</t>
  </si>
  <si>
    <t>E1208-C3309</t>
  </si>
  <si>
    <t>F0113-C3660</t>
  </si>
  <si>
    <t>F0112-C3647</t>
  </si>
  <si>
    <t>F0112-C3649</t>
  </si>
  <si>
    <t>F0113-C3661</t>
  </si>
  <si>
    <t>F0113-C3663</t>
  </si>
  <si>
    <t>F0111-C3630</t>
  </si>
  <si>
    <t>F0113-C3657</t>
  </si>
  <si>
    <t>F0113-C3662</t>
  </si>
  <si>
    <t>F0113-C3655</t>
  </si>
  <si>
    <t>F0113-C3656</t>
  </si>
  <si>
    <t>E0109-C3614</t>
  </si>
  <si>
    <t>F0113-C3658</t>
  </si>
  <si>
    <t>E1223-C3446</t>
  </si>
  <si>
    <t>E1223-C3453</t>
  </si>
  <si>
    <t>E1223-C3449</t>
  </si>
  <si>
    <t>E1222-C3432</t>
  </si>
  <si>
    <t>E1221-C3430</t>
  </si>
  <si>
    <t>E1223-C3447</t>
  </si>
  <si>
    <t>E1223-C3445</t>
  </si>
  <si>
    <t>E1223-C3448</t>
  </si>
  <si>
    <t>E1223-C3451</t>
  </si>
  <si>
    <t>E1223-C3454</t>
  </si>
  <si>
    <t>E1223-C3456</t>
  </si>
  <si>
    <t>E1223-C3457</t>
  </si>
  <si>
    <t>E1223-C3455</t>
  </si>
  <si>
    <t>E1223-C3450</t>
  </si>
  <si>
    <t>E1223-C3452</t>
  </si>
  <si>
    <t>E1223-C3458</t>
  </si>
  <si>
    <t>E1205-C3261</t>
  </si>
  <si>
    <t>E1205-C3259</t>
  </si>
  <si>
    <t>E1205-C3258</t>
  </si>
  <si>
    <t>F0118-C3716</t>
  </si>
  <si>
    <t>F0118-C3713</t>
  </si>
  <si>
    <t>F0119-C3725</t>
  </si>
  <si>
    <t>F0119-C3729</t>
  </si>
  <si>
    <t>F0118-C3714</t>
  </si>
  <si>
    <t>F0118-C3711</t>
  </si>
  <si>
    <t>F0119-C3727</t>
  </si>
  <si>
    <t>F0119-C3726</t>
  </si>
  <si>
    <t>F0119-C3728</t>
  </si>
  <si>
    <t>F0118-C3708</t>
  </si>
  <si>
    <t>F0118-C3710</t>
  </si>
  <si>
    <t>F0119-C3720</t>
  </si>
  <si>
    <t>F0118-C3699</t>
  </si>
  <si>
    <t>F0118-C3712</t>
  </si>
  <si>
    <t>F0118-C3717</t>
  </si>
  <si>
    <t>F0118-C3718</t>
  </si>
  <si>
    <t>F0119-C3723</t>
  </si>
  <si>
    <t>F0119-C3724</t>
  </si>
  <si>
    <t>F0119-C3721</t>
  </si>
  <si>
    <t>F0118-C3706</t>
  </si>
  <si>
    <t>E1205-C3267</t>
  </si>
  <si>
    <t>E1206-C3270</t>
  </si>
  <si>
    <t>E1205-C3260</t>
  </si>
  <si>
    <t>E1205-C3266</t>
  </si>
  <si>
    <t>E1205-C3265</t>
  </si>
  <si>
    <t>E1205-C3262</t>
  </si>
  <si>
    <t>E1206-C3274</t>
  </si>
  <si>
    <t>E1206-C3275</t>
  </si>
  <si>
    <t>E1206-C3273</t>
  </si>
  <si>
    <t>E1206-C3272</t>
  </si>
  <si>
    <t>E1206-C3269</t>
  </si>
  <si>
    <t>E1205-C3263</t>
  </si>
  <si>
    <t>E1206-C3271</t>
  </si>
  <si>
    <t>E1207-C3276</t>
  </si>
  <si>
    <t>E1207-C3283</t>
  </si>
  <si>
    <t>E1207-C3280</t>
  </si>
  <si>
    <t>E1207-C3289</t>
  </si>
  <si>
    <t>E1207-C3287</t>
  </si>
  <si>
    <t>E1225-C3466</t>
  </si>
  <si>
    <t>E1225-C3467</t>
  </si>
  <si>
    <t>E1225-C3465</t>
  </si>
  <si>
    <t>E1225-C3463</t>
  </si>
  <si>
    <t>E1225-C3468</t>
  </si>
  <si>
    <t>E1225-C3462</t>
  </si>
  <si>
    <t>E1225-C3464</t>
  </si>
  <si>
    <t>E1225-C3461</t>
  </si>
  <si>
    <t>E1225-C3459</t>
  </si>
  <si>
    <t>E1225-C3460</t>
  </si>
  <si>
    <t>E1225-C3471</t>
  </si>
  <si>
    <t>E1225-C3472</t>
  </si>
  <si>
    <t>E1208-C3298</t>
  </si>
  <si>
    <t>E1209-C3310</t>
  </si>
  <si>
    <t>E1209-C3312</t>
  </si>
  <si>
    <t>E1209-C3316</t>
  </si>
  <si>
    <t>E1209-C3313</t>
  </si>
  <si>
    <t>E1209-C3314</t>
  </si>
  <si>
    <t>E1209-C3315</t>
  </si>
  <si>
    <t>E1209-C3317</t>
  </si>
  <si>
    <t>F0409-C4416</t>
  </si>
  <si>
    <t>F0407-C4405</t>
  </si>
  <si>
    <t>F0409-C4411</t>
  </si>
  <si>
    <t>F0409-C4410</t>
  </si>
  <si>
    <t>F0409-C4409</t>
  </si>
  <si>
    <t>F0409-C4414</t>
  </si>
  <si>
    <t>F0409-C4415</t>
  </si>
  <si>
    <t>F0409-C4418</t>
  </si>
  <si>
    <t>F0409-C4419</t>
  </si>
  <si>
    <t>F0409-C4413</t>
  </si>
  <si>
    <t>F0409-C4420</t>
  </si>
  <si>
    <t>F0409-C4417</t>
  </si>
  <si>
    <t>F0409-C4412</t>
  </si>
  <si>
    <t>F0402-C4347</t>
  </si>
  <si>
    <t>E1209-C3311</t>
  </si>
  <si>
    <t>E1211-C3319</t>
  </si>
  <si>
    <t>E1211-C3325</t>
  </si>
  <si>
    <t>E1213-C3332</t>
  </si>
  <si>
    <t>E1211-C3321</t>
  </si>
  <si>
    <t>E1209-C3318</t>
  </si>
  <si>
    <t>E1211-C3324</t>
  </si>
  <si>
    <t>E1213-C3336</t>
  </si>
  <si>
    <t>E1213-C3335</t>
  </si>
  <si>
    <t>E1213-C3334</t>
  </si>
  <si>
    <t>E1213-C3333</t>
  </si>
  <si>
    <t>E1212-C3330</t>
  </si>
  <si>
    <t>E1211-C3320</t>
  </si>
  <si>
    <t>E1213-C3340</t>
  </si>
  <si>
    <t>E1225-C3469</t>
  </si>
  <si>
    <t>E1226-C3473</t>
  </si>
  <si>
    <t>E1226-C3475</t>
  </si>
  <si>
    <t>E1226-C3481</t>
  </si>
  <si>
    <t>E1226-C3474</t>
  </si>
  <si>
    <t>E1225-C3470</t>
  </si>
  <si>
    <t>E1226-C3478</t>
  </si>
  <si>
    <t>E1226-C3477</t>
  </si>
  <si>
    <t>E1227-C3495</t>
  </si>
  <si>
    <t>E1227-C3492</t>
  </si>
  <si>
    <t>E1227-C3490</t>
  </si>
  <si>
    <t>E1227-C3489</t>
  </si>
  <si>
    <t>E1226-C3483</t>
  </si>
  <si>
    <t>E1226-C3485</t>
  </si>
  <si>
    <t>E1226-C3482</t>
  </si>
  <si>
    <t>E1227-C3493</t>
  </si>
  <si>
    <t>E1226-C3484</t>
  </si>
  <si>
    <t>E1227-C3491</t>
  </si>
  <si>
    <t>E1226-C3476</t>
  </si>
  <si>
    <t>E1227-C3488</t>
  </si>
  <si>
    <t>E1227-C3487</t>
  </si>
  <si>
    <t>F0120-C3740</t>
  </si>
  <si>
    <t>F0119-C3730</t>
  </si>
  <si>
    <t>F0120-C3737</t>
  </si>
  <si>
    <t>F0120-C3741</t>
  </si>
  <si>
    <t>F0119-C3731</t>
  </si>
  <si>
    <t>F0120-C3736</t>
  </si>
  <si>
    <t>F0120-C3738</t>
  </si>
  <si>
    <t>F0120-C3739</t>
  </si>
  <si>
    <t>F0119-C3719</t>
  </si>
  <si>
    <t>F0119-C3722</t>
  </si>
  <si>
    <t>F0120-C3733</t>
  </si>
  <si>
    <t>F0120-C3734</t>
  </si>
  <si>
    <t>F0118-C3715</t>
  </si>
  <si>
    <t>F0119-C3732</t>
  </si>
  <si>
    <t>F0215-C3972</t>
  </si>
  <si>
    <t>F0215-C3969</t>
  </si>
  <si>
    <t>F0215-C3968</t>
  </si>
  <si>
    <t>F0215-C3973</t>
  </si>
  <si>
    <t>F0214-C3954</t>
  </si>
  <si>
    <t>F0215-C3967</t>
  </si>
  <si>
    <t>F0215-C3963</t>
  </si>
  <si>
    <t>F0215-C3966</t>
  </si>
  <si>
    <t>F0215-C3962</t>
  </si>
  <si>
    <t>F0111-C3637</t>
  </si>
  <si>
    <t>F0312-C4186</t>
  </si>
  <si>
    <t>F0306-C4123</t>
  </si>
  <si>
    <t>F0302-C4088</t>
  </si>
  <si>
    <t>F0310-C4175</t>
  </si>
  <si>
    <t>F0312-C4178</t>
  </si>
  <si>
    <t>F0312-C4182</t>
  </si>
  <si>
    <t>F0312-C4180</t>
  </si>
  <si>
    <t>F0312-C4183</t>
  </si>
  <si>
    <t>F0312-C4181</t>
  </si>
  <si>
    <t>F0312-C4179</t>
  </si>
  <si>
    <t>F0312-C4184</t>
  </si>
  <si>
    <t>F0310-C4177</t>
  </si>
  <si>
    <t>F0206-C3884</t>
  </si>
  <si>
    <t>F0215-C3971</t>
  </si>
  <si>
    <t>F0215-C3970</t>
  </si>
  <si>
    <t>F0215-C3974</t>
  </si>
  <si>
    <t>F0216-C3976</t>
  </si>
  <si>
    <t>F0216-C3982</t>
  </si>
  <si>
    <t>F0216-C3980</t>
  </si>
  <si>
    <t>F0216-C3977</t>
  </si>
  <si>
    <t>F0216-C3981</t>
  </si>
  <si>
    <t>F0216-C3975</t>
  </si>
  <si>
    <t>F0216-C3979</t>
  </si>
  <si>
    <t>F0215-C3965</t>
  </si>
  <si>
    <t>F0216-C3984</t>
  </si>
  <si>
    <t>F0216-C3983</t>
  </si>
  <si>
    <t>F0216-C3985</t>
  </si>
  <si>
    <t>F0216-C3986</t>
  </si>
  <si>
    <t>E1212-C3326</t>
  </si>
  <si>
    <t>E1212-C3328</t>
  </si>
  <si>
    <t>E1212-C3327</t>
  </si>
  <si>
    <t>E1212-C3329</t>
  </si>
  <si>
    <t>E1211-C3323</t>
  </si>
  <si>
    <t>E1212-C3331</t>
  </si>
  <si>
    <t>E1226-C3480</t>
  </si>
  <si>
    <t>E1226-C3479</t>
  </si>
  <si>
    <t>F0709-C5283</t>
  </si>
  <si>
    <t>F0709-C5282</t>
  </si>
  <si>
    <t>F0709-C5275</t>
  </si>
  <si>
    <t>F0709-C5276</t>
  </si>
  <si>
    <t>F0709-C5277</t>
  </si>
  <si>
    <t>F0709-C5274</t>
  </si>
  <si>
    <t>F0709-C5280</t>
  </si>
  <si>
    <t>F0709-C5278</t>
  </si>
  <si>
    <t>F0709-C5281</t>
  </si>
  <si>
    <t>F0709-C5284</t>
  </si>
  <si>
    <t>F0709-C5273</t>
  </si>
  <si>
    <t>F0705-C5232</t>
  </si>
  <si>
    <t>F0706-C5264</t>
  </si>
  <si>
    <t>F0707-C5266</t>
  </si>
  <si>
    <t>F0707-C5269</t>
  </si>
  <si>
    <t>F0707-C5270</t>
  </si>
  <si>
    <t>F0707-C5271</t>
  </si>
  <si>
    <t>F0707-C5268</t>
  </si>
  <si>
    <t>F0706-C5265</t>
  </si>
  <si>
    <t>F0707-C5272</t>
  </si>
  <si>
    <t>F0706-C5263</t>
  </si>
  <si>
    <t>E0728-C2053</t>
  </si>
  <si>
    <t>E0727-C2035</t>
  </si>
  <si>
    <t>E0727-C2037</t>
  </si>
  <si>
    <t>E0727-C2041</t>
  </si>
  <si>
    <t>E0727-C2034</t>
  </si>
  <si>
    <t>E0727-C2033</t>
  </si>
  <si>
    <t>E0727-C2036</t>
  </si>
  <si>
    <t>E0727-C2039</t>
  </si>
  <si>
    <t>E0727-C2038</t>
  </si>
  <si>
    <t>E0727-C2040</t>
  </si>
  <si>
    <t>E0727-C2042</t>
  </si>
  <si>
    <t>E0728-C2050</t>
  </si>
  <si>
    <t>E0728-C2055</t>
  </si>
  <si>
    <t>E0728-C2047</t>
  </si>
  <si>
    <t>E0728-C2058</t>
  </si>
  <si>
    <t>E0728-C2048</t>
  </si>
  <si>
    <t>E0728-C2059</t>
  </si>
  <si>
    <t>E0728-C2060</t>
  </si>
  <si>
    <t>E0728-C2051</t>
  </si>
  <si>
    <t>E0728-C2056</t>
  </si>
  <si>
    <t>E0728-C2049</t>
  </si>
  <si>
    <t>E0728-C2046</t>
  </si>
  <si>
    <t>E0728-C2052</t>
  </si>
  <si>
    <t>E0728-C2057</t>
  </si>
  <si>
    <t>E0727-C2043</t>
  </si>
  <si>
    <t>E0727-C2044</t>
  </si>
  <si>
    <t>E0728-C2054</t>
  </si>
  <si>
    <t>F0412-C4455</t>
  </si>
  <si>
    <t>F0411-C4442</t>
  </si>
  <si>
    <t>F0411-C4446</t>
  </si>
  <si>
    <t>F0412-C4466</t>
  </si>
  <si>
    <t>F0412-C4468</t>
  </si>
  <si>
    <t>F0412-C4464</t>
  </si>
  <si>
    <t>F0412-C4463</t>
  </si>
  <si>
    <t>F0412-C4459</t>
  </si>
  <si>
    <t>F0412-C4460</t>
  </si>
  <si>
    <t>F0412-C4456</t>
  </si>
  <si>
    <t>F0412-C4457</t>
  </si>
  <si>
    <t>F0412-C4454</t>
  </si>
  <si>
    <t>F0411-C4444</t>
  </si>
  <si>
    <t>F0412-C4462</t>
  </si>
  <si>
    <t>E1213-C3337</t>
  </si>
  <si>
    <t>E1215-C3362</t>
  </si>
  <si>
    <t>E1215-C3371</t>
  </si>
  <si>
    <t>E1215-C3367</t>
  </si>
  <si>
    <t>E1215-C3372</t>
  </si>
  <si>
    <t>E1215-C3361</t>
  </si>
  <si>
    <t>E1215-C3363</t>
  </si>
  <si>
    <t>E1215-C3365</t>
  </si>
  <si>
    <t>E1214-C3350</t>
  </si>
  <si>
    <t>E1215-C3366</t>
  </si>
  <si>
    <t>E1215-C3364</t>
  </si>
  <si>
    <t>E1215-C3369</t>
  </si>
  <si>
    <t>E1215-C3360</t>
  </si>
  <si>
    <t>E1215-C3359</t>
  </si>
  <si>
    <t>E1215-C3373</t>
  </si>
  <si>
    <t>E1215-C3358</t>
  </si>
  <si>
    <t>E1214-C3357</t>
  </si>
  <si>
    <t>E1214-C3349</t>
  </si>
  <si>
    <t>E1214-C3355</t>
  </si>
  <si>
    <t>E1214-C3348</t>
  </si>
  <si>
    <t>E1214-C3353</t>
  </si>
  <si>
    <t>E1214-C3345</t>
  </si>
  <si>
    <t>E1214-C3344</t>
  </si>
  <si>
    <t>E1214-C3346</t>
  </si>
  <si>
    <t>E1214-C3343</t>
  </si>
  <si>
    <t>E1213-C3339</t>
  </si>
  <si>
    <t>E1214-C3342</t>
  </si>
  <si>
    <t>E1213-C3338</t>
  </si>
  <si>
    <t>E1214-C3352</t>
  </si>
  <si>
    <t>E1214-C3341</t>
  </si>
  <si>
    <t>E1214-C3347</t>
  </si>
  <si>
    <t>E1214-C3351</t>
  </si>
  <si>
    <t>F0531-C4873</t>
  </si>
  <si>
    <t>F0531-C4872</t>
  </si>
  <si>
    <t>F0531-C4883</t>
  </si>
  <si>
    <t>F0530-C4866</t>
  </si>
  <si>
    <t>F0524-C4829</t>
  </si>
  <si>
    <t>F0529-C4861</t>
  </si>
  <si>
    <t>F0531-C4874</t>
  </si>
  <si>
    <t>F0531-C4875</t>
  </si>
  <si>
    <t>F0531-C4877</t>
  </si>
  <si>
    <t>F0531-C4880</t>
  </si>
  <si>
    <t>F0531-C4879</t>
  </si>
  <si>
    <t>F0531-C4881</t>
  </si>
  <si>
    <t>F0531-C4876</t>
  </si>
  <si>
    <t>F0531-C4885</t>
  </si>
  <si>
    <t>F0531-C4878</t>
  </si>
  <si>
    <t>E0729-C2068</t>
  </si>
  <si>
    <t>E0729-C2071</t>
  </si>
  <si>
    <t>E0720-C2000</t>
  </si>
  <si>
    <t>E0729-C2069</t>
  </si>
  <si>
    <t>E0728-C2061</t>
  </si>
  <si>
    <t>E0729-C2065</t>
  </si>
  <si>
    <t>E0729-C2066</t>
  </si>
  <si>
    <t>E0729-C2064</t>
  </si>
  <si>
    <t>E0729-C2063</t>
  </si>
  <si>
    <t>E0729-C2067</t>
  </si>
  <si>
    <t>E1214-C3356</t>
  </si>
  <si>
    <t>E1215-C3375</t>
  </si>
  <si>
    <t>E1216-C3376</t>
  </si>
  <si>
    <t>E1216-C3379</t>
  </si>
  <si>
    <t>E1216-C3380</t>
  </si>
  <si>
    <t>E1216-C3383</t>
  </si>
  <si>
    <t>E1216-C3378</t>
  </si>
  <si>
    <t>E1216-C3382</t>
  </si>
  <si>
    <t>E1216-C3387</t>
  </si>
  <si>
    <t>E1216-C3388</t>
  </si>
  <si>
    <t>E1216-C3377</t>
  </si>
  <si>
    <t>E1216-C3389</t>
  </si>
  <si>
    <t>E1216-C3385</t>
  </si>
  <si>
    <t>E1216-C3381</t>
  </si>
  <si>
    <t>E1216-C3386</t>
  </si>
  <si>
    <t>E1214-C3354</t>
  </si>
  <si>
    <t>E1216-C3384</t>
  </si>
  <si>
    <t>E1215-C3368</t>
  </si>
  <si>
    <t>E1215-C3370</t>
  </si>
  <si>
    <t>E1227-C3494</t>
  </si>
  <si>
    <t>E1227-C3486</t>
  </si>
  <si>
    <t>E1228-C3496</t>
  </si>
  <si>
    <t>E1228-C3501</t>
  </si>
  <si>
    <t>E1228-C3497</t>
  </si>
  <si>
    <t>E1228-C3500</t>
  </si>
  <si>
    <t>E1229-C3513</t>
  </si>
  <si>
    <t>E1230-C3519</t>
  </si>
  <si>
    <t>E1230-C3514</t>
  </si>
  <si>
    <t>E1228-C3498</t>
  </si>
  <si>
    <t>E1228-C3504</t>
  </si>
  <si>
    <t>E1229-C3505</t>
  </si>
  <si>
    <t>E1230-C3518</t>
  </si>
  <si>
    <t>E1230-C3521</t>
  </si>
  <si>
    <t>E1230-C3522</t>
  </si>
  <si>
    <t>E1230-C3520</t>
  </si>
  <si>
    <t>E1229-C3506</t>
  </si>
  <si>
    <t>E1229-C3512</t>
  </si>
  <si>
    <t>E1229-C3511</t>
  </si>
  <si>
    <t>E1229-C3510</t>
  </si>
  <si>
    <t>E1229-C3509</t>
  </si>
  <si>
    <t>E1228-C3499</t>
  </si>
  <si>
    <t>E1229-C3507</t>
  </si>
  <si>
    <t>E1228-C3502</t>
  </si>
  <si>
    <t>E1228-C3503</t>
  </si>
  <si>
    <t>E0731-C2077</t>
  </si>
  <si>
    <t>E0731-C2073</t>
  </si>
  <si>
    <t>E0731-C2072</t>
  </si>
  <si>
    <t>E0729-C2070</t>
  </si>
  <si>
    <t>E0729-C2062</t>
  </si>
  <si>
    <t>E0731-C2076</t>
  </si>
  <si>
    <t>E0731-C2075</t>
  </si>
  <si>
    <t>E0726-C2027</t>
  </si>
  <si>
    <t>F0313-C4192</t>
  </si>
  <si>
    <t>F0313-C4191</t>
  </si>
  <si>
    <t>F0313-C4189</t>
  </si>
  <si>
    <t>F0313-C4188</t>
  </si>
  <si>
    <t>F0313-C4190</t>
  </si>
  <si>
    <t>F0312-C4185</t>
  </si>
  <si>
    <t>F0313-C4187</t>
  </si>
  <si>
    <t>F0309-C4162</t>
  </si>
  <si>
    <t>F0123-C3743</t>
  </si>
  <si>
    <t>F0123-C3747</t>
  </si>
  <si>
    <t>F0123-C3742</t>
  </si>
  <si>
    <t>F0123-C3744</t>
  </si>
  <si>
    <t>F0123-C3745</t>
  </si>
  <si>
    <t>F0123-C3749</t>
  </si>
  <si>
    <t>E1125-C3170</t>
  </si>
  <si>
    <t>E1125-C3168</t>
  </si>
  <si>
    <t>E1125-C3171</t>
  </si>
  <si>
    <t>E1125-C3177</t>
  </si>
  <si>
    <t>E1125-C3176</t>
  </si>
  <si>
    <t>E1125-C3175</t>
  </si>
  <si>
    <t>E1125-C3172</t>
  </si>
  <si>
    <t>E1125-C3174</t>
  </si>
  <si>
    <t>E1125-C3173</t>
  </si>
  <si>
    <t>E1125-C3169</t>
  </si>
  <si>
    <t>E1125-C3178</t>
  </si>
  <si>
    <t>E1124-C3165</t>
  </si>
  <si>
    <t>E1218-C3390</t>
  </si>
  <si>
    <t>E1218-C3391</t>
  </si>
  <si>
    <t>E1218-C3392</t>
  </si>
  <si>
    <t>E1218-C3393</t>
  </si>
  <si>
    <t>E1218-C3394</t>
  </si>
  <si>
    <t>E1218-C3395</t>
  </si>
  <si>
    <t>E1218-C3396</t>
  </si>
  <si>
    <t>E1218-C3397</t>
  </si>
  <si>
    <t>E1218-C3398</t>
  </si>
  <si>
    <t>E1219-C3405</t>
  </si>
  <si>
    <t>E1219-C3400</t>
  </si>
  <si>
    <t>E1219-C3399</t>
  </si>
  <si>
    <t>E1219-C3401</t>
  </si>
  <si>
    <t>E1219-C3404</t>
  </si>
  <si>
    <t>E1219-C3403</t>
  </si>
  <si>
    <t>E1219-C3402</t>
  </si>
  <si>
    <t>E1215-C3374</t>
  </si>
  <si>
    <t>F0217-C3990</t>
  </si>
  <si>
    <t>F0217-C3989</t>
  </si>
  <si>
    <t>F0217-C3991</t>
  </si>
  <si>
    <t>F0216-C3978</t>
  </si>
  <si>
    <t>F0217-C3992</t>
  </si>
  <si>
    <t>F0413-C4477</t>
  </si>
  <si>
    <t>F0413-C4471</t>
  </si>
  <si>
    <t>F0413-C4474</t>
  </si>
  <si>
    <t>F0413-C4481</t>
  </si>
  <si>
    <t>F0413-C4482</t>
  </si>
  <si>
    <t>F0413-C4483</t>
  </si>
  <si>
    <t>F0413-C4470</t>
  </si>
  <si>
    <t>F0412-C4465</t>
  </si>
  <si>
    <t>F0413-C4469</t>
  </si>
  <si>
    <t>F0412-C4467</t>
  </si>
  <si>
    <t>F0412-C4461</t>
  </si>
  <si>
    <t>F0413-C4472</t>
  </si>
  <si>
    <t>F0413-C4475</t>
  </si>
  <si>
    <t>E0101-C3528</t>
  </si>
  <si>
    <t>E0101-C3524</t>
  </si>
  <si>
    <t>E0101-C3533</t>
  </si>
  <si>
    <t>E0101-C3537</t>
  </si>
  <si>
    <t>E0101-C3532</t>
  </si>
  <si>
    <t>E0101-C3536</t>
  </si>
  <si>
    <t>E0101-C3526</t>
  </si>
  <si>
    <t>E0101-C3525</t>
  </si>
  <si>
    <t>E0101-C3523</t>
  </si>
  <si>
    <t>E0101-C3529</t>
  </si>
  <si>
    <t>E0101-C3530</t>
  </si>
  <si>
    <t>E0101-C3527</t>
  </si>
  <si>
    <t>E0101-C3535</t>
  </si>
  <si>
    <t>E0101-C3534</t>
  </si>
  <si>
    <t>E1230-C3517</t>
  </si>
  <si>
    <t>E1230-C3515</t>
  </si>
  <si>
    <t>E0101-C3531</t>
  </si>
  <si>
    <t>E0104-C3556</t>
  </si>
  <si>
    <t>E0104-C3555</t>
  </si>
  <si>
    <t>E0104-C3558</t>
  </si>
  <si>
    <t>E0104-C3552</t>
  </si>
  <si>
    <t>E0104-C3554</t>
  </si>
  <si>
    <t>E0104-C3569</t>
  </si>
  <si>
    <t>E0104-C3568</t>
  </si>
  <si>
    <t>E0104-C3559</t>
  </si>
  <si>
    <t>E0104-C3562</t>
  </si>
  <si>
    <t>E0104-C3560</t>
  </si>
  <si>
    <t>E0104-C3561</t>
  </si>
  <si>
    <t>E0104-C3553</t>
  </si>
  <si>
    <t>E0104-C3565</t>
  </si>
  <si>
    <t>E0103-C3551</t>
  </si>
  <si>
    <t>E0102-C3539</t>
  </si>
  <si>
    <t>E0102-C3543</t>
  </si>
  <si>
    <t>E0102-C3541</t>
  </si>
  <si>
    <t>E0102-C3538</t>
  </si>
  <si>
    <t>E0102-C3544</t>
  </si>
  <si>
    <t>E0102-C3542</t>
  </si>
  <si>
    <t>F0123-C3748</t>
  </si>
  <si>
    <t>F0123-C3750</t>
  </si>
  <si>
    <t>F0123-C3751</t>
  </si>
  <si>
    <t>F0123-C3746</t>
  </si>
  <si>
    <t>F0124-C3756</t>
  </si>
  <si>
    <t>F0120-C3735</t>
  </si>
  <si>
    <t>F0123-C3752</t>
  </si>
  <si>
    <t>F0123-C3753</t>
  </si>
  <si>
    <t>F0124-C3758</t>
  </si>
  <si>
    <t>F0606-C4922</t>
  </si>
  <si>
    <t>F0606-C4921</t>
  </si>
  <si>
    <t>F0612-C4971</t>
  </si>
  <si>
    <t>F0524-C4832</t>
  </si>
  <si>
    <t>F0609-C4962</t>
  </si>
  <si>
    <t>F0608-C4952</t>
  </si>
  <si>
    <t>F0612-C4975</t>
  </si>
  <si>
    <t>F0612-C4969</t>
  </si>
  <si>
    <t>F0612-C4968</t>
  </si>
  <si>
    <t>F0612-C4973</t>
  </si>
  <si>
    <t>F0612-C4972</t>
  </si>
  <si>
    <t>F0612-C4977</t>
  </si>
  <si>
    <t>F0612-C4974</t>
  </si>
  <si>
    <t>F0611-C4966</t>
  </si>
  <si>
    <t>F0604-C4911</t>
  </si>
  <si>
    <t>F0605-C4914</t>
  </si>
  <si>
    <t>F0605-C4915</t>
  </si>
  <si>
    <t>F0605-C4918</t>
  </si>
  <si>
    <t>F0605-C4916</t>
  </si>
  <si>
    <t>F0605-C4919</t>
  </si>
  <si>
    <t>F0606-C4920</t>
  </si>
  <si>
    <t>F0606-C4923</t>
  </si>
  <si>
    <t>F0606-C4924</t>
  </si>
  <si>
    <t>F0606-C4925</t>
  </si>
  <si>
    <t>F0606-C4926</t>
  </si>
  <si>
    <t>F0606-C4927</t>
  </si>
  <si>
    <t>F0606-C4928</t>
  </si>
  <si>
    <t>F0606-C4929</t>
  </si>
  <si>
    <t>F0607-C4930</t>
  </si>
  <si>
    <t>F0607-C4931</t>
  </si>
  <si>
    <t>F0607-C4933</t>
  </si>
  <si>
    <t>F0607-C4932</t>
  </si>
  <si>
    <t>F0607-C4934</t>
  </si>
  <si>
    <t>F0607-C4935</t>
  </si>
  <si>
    <t>F0607-C4937</t>
  </si>
  <si>
    <t>F0607-C4938</t>
  </si>
  <si>
    <t>F0607-C4939</t>
  </si>
  <si>
    <t>F0607-C4936</t>
  </si>
  <si>
    <t>F0608-C4944</t>
  </si>
  <si>
    <t>F0608-C4945</t>
  </si>
  <si>
    <t>F0608-C4948</t>
  </si>
  <si>
    <t>F0608-C4949</t>
  </si>
  <si>
    <t>F0608-C4951</t>
  </si>
  <si>
    <t>F0608-C4943</t>
  </si>
  <si>
    <t>F0608-C4954</t>
  </si>
  <si>
    <t>F0608-C4947</t>
  </si>
  <si>
    <t>F0608-C4956</t>
  </si>
  <si>
    <t>F0608-C4953</t>
  </si>
  <si>
    <t>F0608-C4955</t>
  </si>
  <si>
    <t>F0608-C4957</t>
  </si>
  <si>
    <t>F0608-C4958</t>
  </si>
  <si>
    <t>F0609-C4959</t>
  </si>
  <si>
    <t>F0609-C4960</t>
  </si>
  <si>
    <t>F0609-C4961</t>
  </si>
  <si>
    <t>F0609-C4963</t>
  </si>
  <si>
    <t>F0611-C4964</t>
  </si>
  <si>
    <t>E0102-C3540</t>
  </si>
  <si>
    <t>E0103-C3547</t>
  </si>
  <si>
    <t>E0103-C3545</t>
  </si>
  <si>
    <t>E0103-C3550</t>
  </si>
  <si>
    <t>E0103-C3549</t>
  </si>
  <si>
    <t>E0103-C3546</t>
  </si>
  <si>
    <t>E0103-C3548</t>
  </si>
  <si>
    <t>E1230-C3516</t>
  </si>
  <si>
    <t>E0104-C3570</t>
  </si>
  <si>
    <t>E0105-C3574</t>
  </si>
  <si>
    <t>E0104-C3564</t>
  </si>
  <si>
    <t>E0105-C3580</t>
  </si>
  <si>
    <t>E0105-C3582</t>
  </si>
  <si>
    <t>E0105-C3583</t>
  </si>
  <si>
    <t>E0105-C3584</t>
  </si>
  <si>
    <t>E0104-C3566</t>
  </si>
  <si>
    <t>E0105-C3577</t>
  </si>
  <si>
    <t>E0105-C3579</t>
  </si>
  <si>
    <t>E0105-C3587</t>
  </si>
  <si>
    <t>E0105-C3578</t>
  </si>
  <si>
    <t>E0105-C3575</t>
  </si>
  <si>
    <t>E0104-C3571</t>
  </si>
  <si>
    <t>E0104-C3563</t>
  </si>
  <si>
    <t>E0104-C3557</t>
  </si>
  <si>
    <t>E0105-C3585</t>
  </si>
  <si>
    <t>E0105-C3572</t>
  </si>
  <si>
    <t>F0124-C3760</t>
  </si>
  <si>
    <t>F0125-C3774</t>
  </si>
  <si>
    <t>F0125-C3764</t>
  </si>
  <si>
    <t>F0124-C3761</t>
  </si>
  <si>
    <t>F0125-C3768</t>
  </si>
  <si>
    <t>F0125-C3778</t>
  </si>
  <si>
    <t>F0125-C3776</t>
  </si>
  <si>
    <t>F0125-C3771</t>
  </si>
  <si>
    <t>F0125-C3769</t>
  </si>
  <si>
    <t>F0125-C3767</t>
  </si>
  <si>
    <t>F0125-C3775</t>
  </si>
  <si>
    <t>F0125-C3772</t>
  </si>
  <si>
    <t>F0125-C3766</t>
  </si>
  <si>
    <t>F0125-C3765</t>
  </si>
  <si>
    <t>F0124-C3763</t>
  </si>
  <si>
    <t>F0124-C3754</t>
  </si>
  <si>
    <t>F0124-C3762</t>
  </si>
  <si>
    <t>F0124-C3755</t>
  </si>
  <si>
    <t>F0125-C3770</t>
  </si>
  <si>
    <t>F0125-C3777</t>
  </si>
  <si>
    <t>F0125-C3779</t>
  </si>
  <si>
    <t>F0126-C3781</t>
  </si>
  <si>
    <t>F0126-C3780</t>
  </si>
  <si>
    <t>F0125-C3773</t>
  </si>
  <si>
    <t>F0126-C3782</t>
  </si>
  <si>
    <t>F0126-C3784</t>
  </si>
  <si>
    <t>F0126-C3786</t>
  </si>
  <si>
    <t>F0126-C3785</t>
  </si>
  <si>
    <t>E1201-C3231</t>
  </si>
  <si>
    <t>F0514-C4734</t>
  </si>
  <si>
    <t>F0514-C4736</t>
  </si>
  <si>
    <t>F0514-C4731</t>
  </si>
  <si>
    <t>F0514-C4730</t>
  </si>
  <si>
    <t>F0514-C4729</t>
  </si>
  <si>
    <t>F0514-C4728</t>
  </si>
  <si>
    <t>F0514-C4733</t>
  </si>
  <si>
    <t>F0514-C4735</t>
  </si>
  <si>
    <t>F0315-C4201</t>
  </si>
  <si>
    <t>F0315-C4200</t>
  </si>
  <si>
    <t>F0315-C4196</t>
  </si>
  <si>
    <t>F0315-C4210</t>
  </si>
  <si>
    <t>F0315-C4202</t>
  </si>
  <si>
    <t>F0315-C4195</t>
  </si>
  <si>
    <t>F0313-C4193</t>
  </si>
  <si>
    <t>F0315-C4198</t>
  </si>
  <si>
    <t>F0315-C4204</t>
  </si>
  <si>
    <t>F0315-C4194</t>
  </si>
  <si>
    <t>F0315-C4199</t>
  </si>
  <si>
    <t>F0315-C4197</t>
  </si>
  <si>
    <t>F0315-C4207</t>
  </si>
  <si>
    <t>F0515-C4737</t>
  </si>
  <si>
    <t>F0515-C4743</t>
  </si>
  <si>
    <t>F0515-C4744</t>
  </si>
  <si>
    <t>F0515-C4738</t>
  </si>
  <si>
    <t>F0515-C4742</t>
  </si>
  <si>
    <t>F0515-C4739</t>
  </si>
  <si>
    <t>F0515-C4740</t>
  </si>
  <si>
    <t>F0515-C4741</t>
  </si>
  <si>
    <t>F0514-C4732</t>
  </si>
  <si>
    <t>E0106-C3591</t>
  </si>
  <si>
    <t>E0108-C3593</t>
  </si>
  <si>
    <t>E0106-C3592</t>
  </si>
  <si>
    <t>E0108-C3596</t>
  </si>
  <si>
    <t>E0108-C3598</t>
  </si>
  <si>
    <t>E0108-C3599</t>
  </si>
  <si>
    <t>E0108-C3601</t>
  </si>
  <si>
    <t>E0108-C3597</t>
  </si>
  <si>
    <t>E0108-C3594</t>
  </si>
  <si>
    <t>E0108-C3600</t>
  </si>
  <si>
    <t>E0108-C3603</t>
  </si>
  <si>
    <t>E0108-C3602</t>
  </si>
  <si>
    <t>E0105-C3573</t>
  </si>
  <si>
    <t>E0106-C3589</t>
  </si>
  <si>
    <t>E0105-C3576</t>
  </si>
  <si>
    <t>E0105-C3586</t>
  </si>
  <si>
    <t>E0106-C3588</t>
  </si>
  <si>
    <t>E0104-C3567</t>
  </si>
  <si>
    <t>E0106-C3590</t>
  </si>
  <si>
    <t>F0413-C4480</t>
  </si>
  <si>
    <t>F0414-C4494</t>
  </si>
  <si>
    <t>F0414-C4492</t>
  </si>
  <si>
    <t>F0414-C4493</t>
  </si>
  <si>
    <t>F0414-C4490</t>
  </si>
  <si>
    <t>F0414-C4491</t>
  </si>
  <si>
    <t>F0413-C4476</t>
  </si>
  <si>
    <t>F0413-C4479</t>
  </si>
  <si>
    <t>F0414-C4486</t>
  </si>
  <si>
    <t>F0412-C4458</t>
  </si>
  <si>
    <t>F0413-C4478</t>
  </si>
  <si>
    <t>F0413-C4473</t>
  </si>
  <si>
    <t>F0414-C4487</t>
  </si>
  <si>
    <t>F0414-C4484</t>
  </si>
  <si>
    <t>F0414-C4489</t>
  </si>
  <si>
    <t>F0414-C4488</t>
  </si>
  <si>
    <t>F0414-C4485</t>
  </si>
  <si>
    <t>F0416-C4501</t>
  </si>
  <si>
    <t>F0416-C4495</t>
  </si>
  <si>
    <t>F0416-C4500</t>
  </si>
  <si>
    <t>F0416-C4498</t>
  </si>
  <si>
    <t>F0416-C4499</t>
  </si>
  <si>
    <t>F0416-C4496</t>
  </si>
  <si>
    <t>F0416-C4497</t>
  </si>
  <si>
    <t>F0710-C5296</t>
  </si>
  <si>
    <t>F0710-C5294</t>
  </si>
  <si>
    <t>F0710-C5298</t>
  </si>
  <si>
    <t>F0709-C5279</t>
  </si>
  <si>
    <t>F0710-C5289</t>
  </si>
  <si>
    <t>F0710-C5287</t>
  </si>
  <si>
    <t>F0710-C5291</t>
  </si>
  <si>
    <t>F0710-C5286</t>
  </si>
  <si>
    <t>F0623-C5091</t>
  </si>
  <si>
    <t>F0626-C5118</t>
  </si>
  <si>
    <t>F0707-C5267</t>
  </si>
  <si>
    <t>F0316-C4213</t>
  </si>
  <si>
    <t>F0316-C4211</t>
  </si>
  <si>
    <t>F0315-C4209</t>
  </si>
  <si>
    <t>F0316-C4212</t>
  </si>
  <si>
    <t>F0316-C4215</t>
  </si>
  <si>
    <t>F0315-C4206</t>
  </si>
  <si>
    <t>F0316-C4217</t>
  </si>
  <si>
    <t>F0315-C4208</t>
  </si>
  <si>
    <t>F0316-C4218</t>
  </si>
  <si>
    <t>F0316-C4219</t>
  </si>
  <si>
    <t>F0315-C4203</t>
  </si>
  <si>
    <t>F0315-C4205</t>
  </si>
  <si>
    <t>F0316-C4221</t>
  </si>
  <si>
    <t>F0316-C4214</t>
  </si>
  <si>
    <t>F0316-C4216</t>
  </si>
  <si>
    <t>F0316-C4222</t>
  </si>
  <si>
    <t>F0528-C4855</t>
  </si>
  <si>
    <t>F0530-C4870</t>
  </si>
  <si>
    <t>F0529-C4862</t>
  </si>
  <si>
    <t>F0530-C4865</t>
  </si>
  <si>
    <t>F0529-C4858</t>
  </si>
  <si>
    <t>F0515-C4745</t>
  </si>
  <si>
    <t>F0529-C4857</t>
  </si>
  <si>
    <t>F0530-C4863</t>
  </si>
  <si>
    <t>F0530-C4869</t>
  </si>
  <si>
    <t>F0530-C4864</t>
  </si>
  <si>
    <t>F0530-C4868</t>
  </si>
  <si>
    <t>F0530-C4871</t>
  </si>
  <si>
    <t>F0530-C4867</t>
  </si>
  <si>
    <t>F0521-C4800</t>
  </si>
  <si>
    <t>E1007-C2765</t>
  </si>
  <si>
    <t>E1004-C2727</t>
  </si>
  <si>
    <t>E1005-C2738</t>
  </si>
  <si>
    <t>E1005-C2737</t>
  </si>
  <si>
    <t>E1006-C2744</t>
  </si>
  <si>
    <t>E1006-C2748</t>
  </si>
  <si>
    <t>E1007-C2761</t>
  </si>
  <si>
    <t>E1007-C2764</t>
  </si>
  <si>
    <t>E1007-C2760</t>
  </si>
  <si>
    <t>E1006-C2745</t>
  </si>
  <si>
    <t>E1006-C2742</t>
  </si>
  <si>
    <t>E1006-C2759</t>
  </si>
  <si>
    <t>E1006-C2756</t>
  </si>
  <si>
    <t>E1006-C2741</t>
  </si>
  <si>
    <t>E1006-C2747</t>
  </si>
  <si>
    <t>E1009-C2779</t>
  </si>
  <si>
    <t>E1006-C2746</t>
  </si>
  <si>
    <t>E1005-C2740</t>
  </si>
  <si>
    <t>E1006-C2743</t>
  </si>
  <si>
    <t>E1006-C2755</t>
  </si>
  <si>
    <t>E1006-C2757</t>
  </si>
  <si>
    <t>E1005-C2729</t>
  </si>
  <si>
    <t>E1007-C2766</t>
  </si>
  <si>
    <t>E1005-C2733</t>
  </si>
  <si>
    <t>E1005-C2735</t>
  </si>
  <si>
    <t>E1005-C2730</t>
  </si>
  <si>
    <t>E1005-C2734</t>
  </si>
  <si>
    <t>E1005-C2739</t>
  </si>
  <si>
    <t>E1003-C2708</t>
  </si>
  <si>
    <t>E1007-C2763</t>
  </si>
  <si>
    <t>E1006-C2749</t>
  </si>
  <si>
    <t>E1007-C2762</t>
  </si>
  <si>
    <t>E1006-C2750</t>
  </si>
  <si>
    <t>E1009-C2773</t>
  </si>
  <si>
    <t>E1009-C2777</t>
  </si>
  <si>
    <t>E1009-C2780</t>
  </si>
  <si>
    <t>E1009-C2774</t>
  </si>
  <si>
    <t>E1009-C2778</t>
  </si>
  <si>
    <t>E1006-C2754</t>
  </si>
  <si>
    <t>E1009-C2783</t>
  </si>
  <si>
    <t>E1009-C2782</t>
  </si>
  <si>
    <t>E1009-C2772</t>
  </si>
  <si>
    <t>E1005-C2731</t>
  </si>
  <si>
    <t>E1005-C2728</t>
  </si>
  <si>
    <t>E1004-C2726</t>
  </si>
  <si>
    <t>E1009-C2784</t>
  </si>
  <si>
    <t>E0108-C3595</t>
  </si>
  <si>
    <t>E0109-C3612</t>
  </si>
  <si>
    <t>E0109-C3604</t>
  </si>
  <si>
    <t>E0109-C3606</t>
  </si>
  <si>
    <t>E0109-C3613</t>
  </si>
  <si>
    <t>E0109-C3615</t>
  </si>
  <si>
    <t>E0109-C3607</t>
  </si>
  <si>
    <t>E0109-C3611</t>
  </si>
  <si>
    <t>E0109-C3609</t>
  </si>
  <si>
    <t>E0109-C3608</t>
  </si>
  <si>
    <t>E0109-C3605</t>
  </si>
  <si>
    <t>E0831-C2377</t>
  </si>
  <si>
    <t>E0904-C2414</t>
  </si>
  <si>
    <t>E0902-C2407</t>
  </si>
  <si>
    <t>E0904-C2420</t>
  </si>
  <si>
    <t>E0904-C2421</t>
  </si>
  <si>
    <t>E0904-C2416</t>
  </si>
  <si>
    <t>E0904-C2419</t>
  </si>
  <si>
    <t>E0904-C2423</t>
  </si>
  <si>
    <t>E0902-C2408</t>
  </si>
  <si>
    <t>E0904-C2418</t>
  </si>
  <si>
    <t>E0831-C2382</t>
  </si>
  <si>
    <t>E0831-C2369</t>
  </si>
  <si>
    <t>E0831-C2379</t>
  </si>
  <si>
    <t>E0901-C2398</t>
  </si>
  <si>
    <t>E0901-C2390</t>
  </si>
  <si>
    <t>E0904-C2422</t>
  </si>
  <si>
    <t>E0904-C2426</t>
  </si>
  <si>
    <t>E0902-C2412</t>
  </si>
  <si>
    <t>E0904-C2425</t>
  </si>
  <si>
    <t>E0901-C2393</t>
  </si>
  <si>
    <t>E0901-C2392</t>
  </si>
  <si>
    <t>E0831-C2384</t>
  </si>
  <si>
    <t>E0901-C2391</t>
  </si>
  <si>
    <t>E0901-C2387</t>
  </si>
  <si>
    <t>E0901-C2389</t>
  </si>
  <si>
    <t>E0901-C2396</t>
  </si>
  <si>
    <t>E0902-C2404</t>
  </si>
  <si>
    <t>E0901-C2394</t>
  </si>
  <si>
    <t>E0831-C2373</t>
  </si>
  <si>
    <t>E0901-C2397</t>
  </si>
  <si>
    <t>E0902-C2411</t>
  </si>
  <si>
    <t>E0901-C2399</t>
  </si>
  <si>
    <t>E0901-C2395</t>
  </si>
  <si>
    <t>E0902-C2403</t>
  </si>
  <si>
    <t>E0902-C2409</t>
  </si>
  <si>
    <t>E0902-C2406</t>
  </si>
  <si>
    <t>E0902-C2405</t>
  </si>
  <si>
    <t>E0831-C2374</t>
  </si>
  <si>
    <t>E0831-C2376</t>
  </si>
  <si>
    <t>E0831-C2368</t>
  </si>
  <si>
    <t>E0831-C2381</t>
  </si>
  <si>
    <t>E0830-C2365</t>
  </si>
  <si>
    <t>F0219-C3994</t>
  </si>
  <si>
    <t>F0219-C3996</t>
  </si>
  <si>
    <t>F0215-C3964</t>
  </si>
  <si>
    <t>F0219-C3995</t>
  </si>
  <si>
    <t>F0219-C3993</t>
  </si>
  <si>
    <t>F0219-C3997</t>
  </si>
  <si>
    <t>F0219-C3999</t>
  </si>
  <si>
    <t>F0219-C3998</t>
  </si>
  <si>
    <t>F0219-C4000</t>
  </si>
  <si>
    <t>E0110-C3616</t>
  </si>
  <si>
    <t>E0110-C3622</t>
  </si>
  <si>
    <t>E0110-C3624</t>
  </si>
  <si>
    <t>E0110-C3618</t>
  </si>
  <si>
    <t>E0110-C3623</t>
  </si>
  <si>
    <t>E0110-C3619</t>
  </si>
  <si>
    <t>F0111-C3631</t>
  </si>
  <si>
    <t>E0110-C3617</t>
  </si>
  <si>
    <t>F0111-C3632</t>
  </si>
  <si>
    <t>F0111-C3628</t>
  </si>
  <si>
    <t>F0111-C3627</t>
  </si>
  <si>
    <t>F0111-C3633</t>
  </si>
  <si>
    <t>E0110-C3621</t>
  </si>
  <si>
    <t>F0111-C3640</t>
  </si>
  <si>
    <t>F0111-C3629</t>
  </si>
  <si>
    <t>F0111-C3635</t>
  </si>
  <si>
    <t>F0111-C3636</t>
  </si>
  <si>
    <t>E0110-C3620</t>
  </si>
  <si>
    <t>F0111-C3634</t>
  </si>
  <si>
    <t>F0111-C3625</t>
  </si>
  <si>
    <t>F0111-C3638</t>
  </si>
  <si>
    <t>F0601-C4895</t>
  </si>
  <si>
    <t>F0601-C4899</t>
  </si>
  <si>
    <t>F0601-C4887</t>
  </si>
  <si>
    <t>F0601-C4889</t>
  </si>
  <si>
    <t>F0601-C4891</t>
  </si>
  <si>
    <t>F0601-C4901</t>
  </si>
  <si>
    <t>F0601-C4902</t>
  </si>
  <si>
    <t>F0601-C4890</t>
  </si>
  <si>
    <t>F0601-C4896</t>
  </si>
  <si>
    <t>F0601-C4888</t>
  </si>
  <si>
    <t>F0601-C4898</t>
  </si>
  <si>
    <t>F0601-C4893</t>
  </si>
  <si>
    <t>F0531-C4886</t>
  </si>
  <si>
    <t>F0531-C4884</t>
  </si>
  <si>
    <t>F0601-C4897</t>
  </si>
  <si>
    <t>F0220-C4001</t>
  </si>
  <si>
    <t>F0220-C4003</t>
  </si>
  <si>
    <t>F0220-C4005</t>
  </si>
  <si>
    <t>F0220-C4004</t>
  </si>
  <si>
    <t>F0220-C4002</t>
  </si>
  <si>
    <t>F0317-C4225</t>
  </si>
  <si>
    <t>F0317-C4226</t>
  </si>
  <si>
    <t>F0316-C4220</t>
  </si>
  <si>
    <t>F0317-C4224</t>
  </si>
  <si>
    <t>F0317-C4223</t>
  </si>
  <si>
    <t>F0111-C3626</t>
  </si>
  <si>
    <t>F0112-C3642</t>
  </si>
  <si>
    <t>F0112-C3651</t>
  </si>
  <si>
    <t>E0109-C3610</t>
  </si>
  <si>
    <t>F0112-C3641</t>
  </si>
  <si>
    <t>F0112-C3643</t>
  </si>
  <si>
    <t>F0112-C3646</t>
  </si>
  <si>
    <t>F0112-C3645</t>
  </si>
  <si>
    <t>F0112-C3644</t>
  </si>
  <si>
    <t>F0112-C3648</t>
  </si>
  <si>
    <t>F0112-C3650</t>
  </si>
  <si>
    <t>F0112-C3652</t>
  </si>
  <si>
    <t>F0112-C3654</t>
  </si>
  <si>
    <t>F0112-C3653</t>
  </si>
  <si>
    <t>F0111-C3639</t>
  </si>
  <si>
    <t>E1025-C2926</t>
  </si>
  <si>
    <t>F0130-C3798</t>
  </si>
  <si>
    <t>F0115-C3668</t>
  </si>
  <si>
    <t>F0129-C3788</t>
  </si>
  <si>
    <t>F0130-C3805</t>
  </si>
  <si>
    <t>F0129-C3793</t>
  </si>
  <si>
    <t>F0129-C3795</t>
  </si>
  <si>
    <t>F0129-C3787</t>
  </si>
  <si>
    <t>F0129-C3794</t>
  </si>
  <si>
    <t>F0129-C3790</t>
  </si>
  <si>
    <t>F0129-C3791</t>
  </si>
  <si>
    <t>F0129-C3792</t>
  </si>
  <si>
    <t>F0129-C3789</t>
  </si>
  <si>
    <t>F0130-C3801</t>
  </si>
  <si>
    <t>F0130-C3804</t>
  </si>
  <si>
    <t>F0130-C3799</t>
  </si>
  <si>
    <t>F0130-C3796</t>
  </si>
  <si>
    <t>F0130-C3802</t>
  </si>
  <si>
    <t>F0130-C3806</t>
  </si>
  <si>
    <t>F0130-C3797</t>
  </si>
  <si>
    <t>F0130-C3803</t>
  </si>
  <si>
    <t>F0130-C3807</t>
  </si>
  <si>
    <t>F0130-C3800</t>
  </si>
  <si>
    <t>F0130-C3808</t>
  </si>
  <si>
    <t>F0131-C3809</t>
  </si>
  <si>
    <t>F0131-C3812</t>
  </si>
  <si>
    <t>F0131-C3811</t>
  </si>
  <si>
    <t>F0131-C3813</t>
  </si>
  <si>
    <t>F0131-C3814</t>
  </si>
  <si>
    <t>F0126-C3783</t>
  </si>
  <si>
    <t>F0131-C3810</t>
  </si>
  <si>
    <t>F0131-C3816</t>
  </si>
  <si>
    <t>F0131-C3815</t>
  </si>
  <si>
    <t>F0221-C4013</t>
  </si>
  <si>
    <t>F0221-C4011</t>
  </si>
  <si>
    <t>F0220-C4006</t>
  </si>
  <si>
    <t>F0221-C4007</t>
  </si>
  <si>
    <t>F0221-C4010</t>
  </si>
  <si>
    <t>F0221-C4012</t>
  </si>
  <si>
    <t>F0221-C4009</t>
  </si>
  <si>
    <t>F0221-C4008</t>
  </si>
  <si>
    <t>F0115-C3664</t>
  </si>
  <si>
    <t>F0115-C3670</t>
  </si>
  <si>
    <t>F0115-C3667</t>
  </si>
  <si>
    <t>F0115-C3671</t>
  </si>
  <si>
    <t>F0222-C4017</t>
  </si>
  <si>
    <t>F0222-C4019</t>
  </si>
  <si>
    <t>F0222-C4020</t>
  </si>
  <si>
    <t>F0222-C4018</t>
  </si>
  <si>
    <t>F0222-C4021</t>
  </si>
  <si>
    <t>F0222-C4015</t>
  </si>
  <si>
    <t>F0222-C4016</t>
  </si>
  <si>
    <t>F0222-C4022</t>
  </si>
  <si>
    <t>E0826-C2328</t>
  </si>
  <si>
    <t>E0817-C2219</t>
  </si>
  <si>
    <t>E0822-C2277</t>
  </si>
  <si>
    <t>E0823-C2290</t>
  </si>
  <si>
    <t>E0821-C2269</t>
  </si>
  <si>
    <t>E0825-C2322</t>
  </si>
  <si>
    <t>E0825-C2323</t>
  </si>
  <si>
    <t>E0826-C2325</t>
  </si>
  <si>
    <t>E0826-C2326</t>
  </si>
  <si>
    <t>E0826-C2327</t>
  </si>
  <si>
    <t>E0826-C2329</t>
  </si>
  <si>
    <t>E0826-C2331</t>
  </si>
  <si>
    <t>E0826-C2332</t>
  </si>
  <si>
    <t>E0828-C2334</t>
  </si>
  <si>
    <t>E0828-C2338</t>
  </si>
  <si>
    <t>E0828-C2339</t>
  </si>
  <si>
    <t>E0828-C2344</t>
  </si>
  <si>
    <t>E0823-C2293</t>
  </si>
  <si>
    <t>E0828-C2346</t>
  </si>
  <si>
    <t>E0828-C2345</t>
  </si>
  <si>
    <t>E0828-C2336</t>
  </si>
  <si>
    <t>E0828-C2335</t>
  </si>
  <si>
    <t>E0826-C2330</t>
  </si>
  <si>
    <t>E0828-C2340</t>
  </si>
  <si>
    <t>E0828-C2343</t>
  </si>
  <si>
    <t>E0828-C2342</t>
  </si>
  <si>
    <t>E0828-C2337</t>
  </si>
  <si>
    <t>E0825-C2324</t>
  </si>
  <si>
    <t>F0201-C3818</t>
  </si>
  <si>
    <t>F0201-C3820</t>
  </si>
  <si>
    <t>F0201-C3823</t>
  </si>
  <si>
    <t>F0201-C3826</t>
  </si>
  <si>
    <t>F0131-C3817</t>
  </si>
  <si>
    <t>F0201-C3821</t>
  </si>
  <si>
    <t>F0201-C3819</t>
  </si>
  <si>
    <t>F0201-C3822</t>
  </si>
  <si>
    <t>F0201-C3827</t>
  </si>
  <si>
    <t>F0201-C3825</t>
  </si>
  <si>
    <t>F0201-C3824</t>
  </si>
  <si>
    <t>F0201-C3829</t>
  </si>
  <si>
    <t>F0203-C3851</t>
  </si>
  <si>
    <t>F0203-C3856</t>
  </si>
  <si>
    <t>F0203-C3859</t>
  </si>
  <si>
    <t>F0203-C3858</t>
  </si>
  <si>
    <t>F0203-C3860</t>
  </si>
  <si>
    <t>F0203-C3855</t>
  </si>
  <si>
    <t>F0203-C3854</t>
  </si>
  <si>
    <t>F0203-C3850</t>
  </si>
  <si>
    <t>F0203-C3852</t>
  </si>
  <si>
    <t>F0203-C3853</t>
  </si>
  <si>
    <t>F0203-C3857</t>
  </si>
  <si>
    <t>F0203-C3861</t>
  </si>
  <si>
    <t>F0203-C3862</t>
  </si>
  <si>
    <t>F0202-C3843</t>
  </si>
  <si>
    <t>F0201-C3833</t>
  </si>
  <si>
    <t>F0201-C3834</t>
  </si>
  <si>
    <t>F0516-C4749</t>
  </si>
  <si>
    <t>F0516-C4748</t>
  </si>
  <si>
    <t>F0516-C4747</t>
  </si>
  <si>
    <t>F0516-C4746</t>
  </si>
  <si>
    <t>F0516-C4750</t>
  </si>
  <si>
    <t>F0511-C4709</t>
  </si>
  <si>
    <t>F0201-C3830</t>
  </si>
  <si>
    <t>F0202-C3839</t>
  </si>
  <si>
    <t>F0202-C3845</t>
  </si>
  <si>
    <t>F0202-C3846</t>
  </si>
  <si>
    <t>F0202-C3838</t>
  </si>
  <si>
    <t>F0202-C3837</t>
  </si>
  <si>
    <t>F0202-C3840</t>
  </si>
  <si>
    <t>F0202-C3841</t>
  </si>
  <si>
    <t>F0201-C3828</t>
  </si>
  <si>
    <t>F0202-C3844</t>
  </si>
  <si>
    <t>F0202-C3836</t>
  </si>
  <si>
    <t>F0201-C3832</t>
  </si>
  <si>
    <t>F0614-C4989</t>
  </si>
  <si>
    <t>F0613-C4981</t>
  </si>
  <si>
    <t>F0613-C4986</t>
  </si>
  <si>
    <t>F0613-C4983</t>
  </si>
  <si>
    <t>F0613-C4979</t>
  </si>
  <si>
    <t>F0613-C4982</t>
  </si>
  <si>
    <t>F0612-C4970</t>
  </si>
  <si>
    <t>F0613-C4984</t>
  </si>
  <si>
    <t>F0612-C4976</t>
  </si>
  <si>
    <t>F0614-C4999</t>
  </si>
  <si>
    <t>F0614-C4997</t>
  </si>
  <si>
    <t>F0613-C4987</t>
  </si>
  <si>
    <t>F0222-C4014</t>
  </si>
  <si>
    <t>F0223-C4024</t>
  </si>
  <si>
    <t>F0223-C4026</t>
  </si>
  <si>
    <t>F0115-C3665</t>
  </si>
  <si>
    <t>F0223-C4028</t>
  </si>
  <si>
    <t>F0223-C4027</t>
  </si>
  <si>
    <t>F0223-C4025</t>
  </si>
  <si>
    <t>F0217-C3988</t>
  </si>
  <si>
    <t>F0223-C4031</t>
  </si>
  <si>
    <t>F0223-C4030</t>
  </si>
  <si>
    <t>F0223-C4029</t>
  </si>
  <si>
    <t>F0223-C4023</t>
  </si>
  <si>
    <t>F0319-C4233</t>
  </si>
  <si>
    <t>F0319-C4234</t>
  </si>
  <si>
    <t>F0319-C4229</t>
  </si>
  <si>
    <t>F0319-C4230</t>
  </si>
  <si>
    <t>F0319-C4227</t>
  </si>
  <si>
    <t>F0319-C4228</t>
  </si>
  <si>
    <t>F0319-C4231</t>
  </si>
  <si>
    <t>F0319-C4235</t>
  </si>
  <si>
    <t>F0319-C4232</t>
  </si>
  <si>
    <t>F0319-C4238</t>
  </si>
  <si>
    <t>F0319-C4237</t>
  </si>
  <si>
    <t>F0202-C3847</t>
  </si>
  <si>
    <t>F0206-C3881</t>
  </si>
  <si>
    <t>F0207-C3888</t>
  </si>
  <si>
    <t>F0206-C3882</t>
  </si>
  <si>
    <t>F0124-C3759</t>
  </si>
  <si>
    <t>F0124-C3757</t>
  </si>
  <si>
    <t>F0207-C3889</t>
  </si>
  <si>
    <t>F0207-C3890</t>
  </si>
  <si>
    <t>F0207-C3895</t>
  </si>
  <si>
    <t>F0207-C3897</t>
  </si>
  <si>
    <t>F0207-C3898</t>
  </si>
  <si>
    <t>F0207-C3894</t>
  </si>
  <si>
    <t>F0207-C3891</t>
  </si>
  <si>
    <t>F0207-C3899</t>
  </si>
  <si>
    <t>F0207-C3896</t>
  </si>
  <si>
    <t>F0207-C3892</t>
  </si>
  <si>
    <t>F0207-C3893</t>
  </si>
  <si>
    <t>F0202-C3848</t>
  </si>
  <si>
    <t>F0201-C3831</t>
  </si>
  <si>
    <t>F0205-C3865</t>
  </si>
  <si>
    <t>F0205-C3869</t>
  </si>
  <si>
    <t>F0205-C3870</t>
  </si>
  <si>
    <t>F0205-C3871</t>
  </si>
  <si>
    <t>F0205-C3866</t>
  </si>
  <si>
    <t>F0203-C3863</t>
  </si>
  <si>
    <t>F0201-C3835</t>
  </si>
  <si>
    <t>F0205-C3868</t>
  </si>
  <si>
    <t>F0205-C3864</t>
  </si>
  <si>
    <t>F0205-C3867</t>
  </si>
  <si>
    <t>F0517-C4752</t>
  </si>
  <si>
    <t>F0517-C4753</t>
  </si>
  <si>
    <t>F0517-C4754</t>
  </si>
  <si>
    <t>F0517-C4755</t>
  </si>
  <si>
    <t>F0517-C4763</t>
  </si>
  <si>
    <t>F0517-C4762</t>
  </si>
  <si>
    <t>F0517-C4758</t>
  </si>
  <si>
    <t>F0517-C4760</t>
  </si>
  <si>
    <t>F0517-C4759</t>
  </si>
  <si>
    <t>F0517-C4761</t>
  </si>
  <si>
    <t>F0517-C4757</t>
  </si>
  <si>
    <t>F0517-C4768</t>
  </si>
  <si>
    <t>F0711-C5304</t>
  </si>
  <si>
    <t>F0711-C5305</t>
  </si>
  <si>
    <t>F0710-C5288</t>
  </si>
  <si>
    <t>F0710-C5293</t>
  </si>
  <si>
    <t>F0711-C5302</t>
  </si>
  <si>
    <t>F0710-C5292</t>
  </si>
  <si>
    <t>F0711-C5299</t>
  </si>
  <si>
    <t>F0711-C5301</t>
  </si>
  <si>
    <t>F0711-C5300</t>
  </si>
  <si>
    <t>F0224-C4034</t>
  </si>
  <si>
    <t>F0224-C4038</t>
  </si>
  <si>
    <t>F0224-C4033</t>
  </si>
  <si>
    <t>F0224-C4035</t>
  </si>
  <si>
    <t>F0224-C4032</t>
  </si>
  <si>
    <t>F0224-C4037</t>
  </si>
  <si>
    <t>F0417-C4507</t>
  </si>
  <si>
    <t>F0417-C4508</t>
  </si>
  <si>
    <t>F0417-C4503</t>
  </si>
  <si>
    <t>F0417-C4505</t>
  </si>
  <si>
    <t>F0417-C4502</t>
  </si>
  <si>
    <t>F0418-C4517</t>
  </si>
  <si>
    <t>F0418-C4515</t>
  </si>
  <si>
    <t>F0418-C4510</t>
  </si>
  <si>
    <t>F0418-C4511</t>
  </si>
  <si>
    <t>F0417-C4504</t>
  </si>
  <si>
    <t>F0418-C4512</t>
  </si>
  <si>
    <t>F0418-C4513</t>
  </si>
  <si>
    <t>F0418-C4509</t>
  </si>
  <si>
    <t>F0418-C4514</t>
  </si>
  <si>
    <t>F0417-C4506</t>
  </si>
  <si>
    <t>F0418-C4518</t>
  </si>
  <si>
    <t>F0320-C4243</t>
  </si>
  <si>
    <t>F0320-C4242</t>
  </si>
  <si>
    <t>F0320-C4244</t>
  </si>
  <si>
    <t>F0320-C4240</t>
  </si>
  <si>
    <t>F0405-C4368</t>
  </si>
  <si>
    <t>F0405-C4362</t>
  </si>
  <si>
    <t>F0405-C4371</t>
  </si>
  <si>
    <t>F0405-C4364</t>
  </si>
  <si>
    <t>F0405-C4363</t>
  </si>
  <si>
    <t>F0405-C4365</t>
  </si>
  <si>
    <t>F0405-C4367</t>
  </si>
  <si>
    <t>F0405-C4366</t>
  </si>
  <si>
    <t>F0405-C4370</t>
  </si>
  <si>
    <t>F0405-C4376</t>
  </si>
  <si>
    <t>F0405-C4372</t>
  </si>
  <si>
    <t>F0405-C4377</t>
  </si>
  <si>
    <t>F0405-C4374</t>
  </si>
  <si>
    <t>F0405-C4375</t>
  </si>
  <si>
    <t>F0405-C4369</t>
  </si>
  <si>
    <t>F0405-C4378</t>
  </si>
  <si>
    <t>F0404-C4357</t>
  </si>
  <si>
    <t>F0405-C4373</t>
  </si>
  <si>
    <t>F0405-C4379</t>
  </si>
  <si>
    <t>F0319-C4236</t>
  </si>
  <si>
    <t>F0320-C4239</t>
  </si>
  <si>
    <t>F0320-C4241</t>
  </si>
  <si>
    <t>F0321-C4253</t>
  </si>
  <si>
    <t>F0321-C4247</t>
  </si>
  <si>
    <t>F0321-C4249</t>
  </si>
  <si>
    <t>F0321-C4251</t>
  </si>
  <si>
    <t>F0321-C4248</t>
  </si>
  <si>
    <t>F0321-C4252</t>
  </si>
  <si>
    <t>F0321-C4246</t>
  </si>
  <si>
    <t>F0321-C4254</t>
  </si>
  <si>
    <t>F0321-C4250</t>
  </si>
  <si>
    <t>F0225-C4043</t>
  </si>
  <si>
    <t>F0225-C4045</t>
  </si>
  <si>
    <t>F0225-C4040</t>
  </si>
  <si>
    <t>F0225-C4041</t>
  </si>
  <si>
    <t>F0225-C4039</t>
  </si>
  <si>
    <t>F0225-C4042</t>
  </si>
  <si>
    <t>F0225-C4044</t>
  </si>
  <si>
    <t>F0224-C4036</t>
  </si>
  <si>
    <t>F0227-C4046</t>
  </si>
  <si>
    <t>F0227-C4051</t>
  </si>
  <si>
    <t>F0227-C4052</t>
  </si>
  <si>
    <t>F0227-C4049</t>
  </si>
  <si>
    <t>F0227-C4050</t>
  </si>
  <si>
    <t>F0227-C4047</t>
  </si>
  <si>
    <t>F0206-C3879</t>
  </si>
  <si>
    <t>F0206-C3874</t>
  </si>
  <si>
    <t>F0206-C3876</t>
  </si>
  <si>
    <t>F0206-C3875</t>
  </si>
  <si>
    <t>F0206-C3880</t>
  </si>
  <si>
    <t>F0206-C3878</t>
  </si>
  <si>
    <t>F0206-C3883</t>
  </si>
  <si>
    <t>F0206-C3887</t>
  </si>
  <si>
    <t>F0205-C3872</t>
  </si>
  <si>
    <t>F0206-C3885</t>
  </si>
  <si>
    <t>F0206-C3877</t>
  </si>
  <si>
    <t>F0202-C3849</t>
  </si>
  <si>
    <t>F0206-C3873</t>
  </si>
  <si>
    <t>F0208-C3912</t>
  </si>
  <si>
    <t>F0208-C3913</t>
  </si>
  <si>
    <t>F0208-C3905</t>
  </si>
  <si>
    <t>F0208-C3909</t>
  </si>
  <si>
    <t>F0208-C3906</t>
  </si>
  <si>
    <t>F0208-C3908</t>
  </si>
  <si>
    <t>F0208-C3902</t>
  </si>
  <si>
    <t>F0208-C3901</t>
  </si>
  <si>
    <t>F0208-C3904</t>
  </si>
  <si>
    <t>F0208-C3900</t>
  </si>
  <si>
    <t>F0208-C3911</t>
  </si>
  <si>
    <t>F0208-C3910</t>
  </si>
  <si>
    <t>F0208-C3903</t>
  </si>
  <si>
    <t>F0208-C3914</t>
  </si>
  <si>
    <t>F0208-C3915</t>
  </si>
  <si>
    <t>F0209-C3916</t>
  </si>
  <si>
    <t>F0209-C3921</t>
  </si>
  <si>
    <t>F0209-C3923</t>
  </si>
  <si>
    <t>F0209-C3924</t>
  </si>
  <si>
    <t>F0209-C3928</t>
  </si>
  <si>
    <t>F0209-C3929</t>
  </si>
  <si>
    <t>F0209-C3917</t>
  </si>
  <si>
    <t>F0209-C3919</t>
  </si>
  <si>
    <t>F0209-C3918</t>
  </si>
  <si>
    <t>F0209-C3920</t>
  </si>
  <si>
    <t>F0208-C3907</t>
  </si>
  <si>
    <t>F0209-C3926</t>
  </si>
  <si>
    <t>F0209-C3925</t>
  </si>
  <si>
    <t>F0209-C3922</t>
  </si>
  <si>
    <t>F0209-C3927</t>
  </si>
  <si>
    <t>F0209-C3930</t>
  </si>
  <si>
    <t>F0209-C3933</t>
  </si>
  <si>
    <t>F0209-C3931</t>
  </si>
  <si>
    <t>F0402-C4346</t>
  </si>
  <si>
    <t>F0402-C4345</t>
  </si>
  <si>
    <t>F0402-C4348</t>
  </si>
  <si>
    <t>F0209-C3934</t>
  </si>
  <si>
    <t>F0228-C4059</t>
  </si>
  <si>
    <t>F0228-C4054</t>
  </si>
  <si>
    <t>F0228-C4058</t>
  </si>
  <si>
    <t>F0228-C4053</t>
  </si>
  <si>
    <t>F0228-C4056</t>
  </si>
  <si>
    <t>F0228-C4057</t>
  </si>
  <si>
    <t>F0228-C4060</t>
  </si>
  <si>
    <t>F0228-C4063</t>
  </si>
  <si>
    <t>F0228-C4065</t>
  </si>
  <si>
    <t>F0228-C4055</t>
  </si>
  <si>
    <t>F0228-C4066</t>
  </si>
  <si>
    <t>F0209-C3932</t>
  </si>
  <si>
    <t>F0210-C3936</t>
  </si>
  <si>
    <t>F0210-C3938</t>
  </si>
  <si>
    <t>F0210-C3941</t>
  </si>
  <si>
    <t>F0210-C3942</t>
  </si>
  <si>
    <t>F0210-C3940</t>
  </si>
  <si>
    <t>F0210-C3939</t>
  </si>
  <si>
    <t>F0209-C3935</t>
  </si>
  <si>
    <t>F0210-C3937</t>
  </si>
  <si>
    <t>F0614-C5002</t>
  </si>
  <si>
    <t>F0614-C5004</t>
  </si>
  <si>
    <t>F0614-C4990</t>
  </si>
  <si>
    <t>F0614-C4991</t>
  </si>
  <si>
    <t>F0614-C4992</t>
  </si>
  <si>
    <t>F0614-C5000</t>
  </si>
  <si>
    <t>F0614-C4998</t>
  </si>
  <si>
    <t>F0614-C5003</t>
  </si>
  <si>
    <t>F0614-C5005</t>
  </si>
  <si>
    <t>F0614-C5001</t>
  </si>
  <si>
    <t>F0614-C4993</t>
  </si>
  <si>
    <t>F0614-C4996</t>
  </si>
  <si>
    <t>F0608-C4946</t>
  </si>
  <si>
    <t>F0615-C5007</t>
  </si>
  <si>
    <t>F0618-C5034</t>
  </si>
  <si>
    <t>F0618-C5033</t>
  </si>
  <si>
    <t>F0615-C5013</t>
  </si>
  <si>
    <t>F0615-C5017</t>
  </si>
  <si>
    <t>F0615-C5018</t>
  </si>
  <si>
    <t>F0615-C5019</t>
  </si>
  <si>
    <t>F0618-C5035</t>
  </si>
  <si>
    <t>F0616-C5028</t>
  </si>
  <si>
    <t>F0616-C5026</t>
  </si>
  <si>
    <t>F0616-C5024</t>
  </si>
  <si>
    <t>F0612-C4967</t>
  </si>
  <si>
    <t>F0604-C4913</t>
  </si>
  <si>
    <t>F0615-C5009</t>
  </si>
  <si>
    <t>F0614-C4995</t>
  </si>
  <si>
    <t>F0618-C5031</t>
  </si>
  <si>
    <t>F0618-C5032</t>
  </si>
  <si>
    <t>F0615-C5020</t>
  </si>
  <si>
    <t>F0613-C4988</t>
  </si>
  <si>
    <t>F0616-C5025</t>
  </si>
  <si>
    <t>F0615-C5014</t>
  </si>
  <si>
    <t>F0616-C5021</t>
  </si>
  <si>
    <t>F0616-C5022</t>
  </si>
  <si>
    <t>F0613-C4985</t>
  </si>
  <si>
    <t>F0612-C4978</t>
  </si>
  <si>
    <t>F0616-C5029</t>
  </si>
  <si>
    <t>F0604-C4912</t>
  </si>
  <si>
    <t>F0616-C5023</t>
  </si>
  <si>
    <t>F0615-C5006</t>
  </si>
  <si>
    <t>F0615-C5011</t>
  </si>
  <si>
    <t>F0615-C5012</t>
  </si>
  <si>
    <t>F0615-C5015</t>
  </si>
  <si>
    <t>F0613-C4980</t>
  </si>
  <si>
    <t>F0615-C5010</t>
  </si>
  <si>
    <t>F0614-C4994</t>
  </si>
  <si>
    <t>F0619-C5036</t>
  </si>
  <si>
    <t>F0619-C5038</t>
  </si>
  <si>
    <t>F0619-C5039</t>
  </si>
  <si>
    <t>F0619-C5037</t>
  </si>
  <si>
    <t>F0607-C4940</t>
  </si>
  <si>
    <t>F0607-C4941</t>
  </si>
  <si>
    <t>F0607-C4942</t>
  </si>
  <si>
    <t>F0322-C4267</t>
  </si>
  <si>
    <t>F0321-C4255</t>
  </si>
  <si>
    <t>F0322-C4261</t>
  </si>
  <si>
    <t>F0322-C4257</t>
  </si>
  <si>
    <t>F0322-C4264</t>
  </si>
  <si>
    <t>F0322-C4258</t>
  </si>
  <si>
    <t>F0322-C4265</t>
  </si>
  <si>
    <t>F0322-C4259</t>
  </si>
  <si>
    <t>F0322-C4262</t>
  </si>
  <si>
    <t>F0322-C4256</t>
  </si>
  <si>
    <t>F0322-C4263</t>
  </si>
  <si>
    <t>F0322-C4260</t>
  </si>
  <si>
    <t>F0322-C4270</t>
  </si>
  <si>
    <t>F0322-C4268</t>
  </si>
  <si>
    <t>F0322-C4269</t>
  </si>
  <si>
    <t>F0507-C4657</t>
  </si>
  <si>
    <t>F0427-C4597</t>
  </si>
  <si>
    <t>F0505-C4649</t>
  </si>
  <si>
    <t>F0505-C4656</t>
  </si>
  <si>
    <t>F0505-C4653</t>
  </si>
  <si>
    <t>F0505-C4655</t>
  </si>
  <si>
    <t>F0505-C4652</t>
  </si>
  <si>
    <t>F0505-C4654</t>
  </si>
  <si>
    <t>F0505-C4650</t>
  </si>
  <si>
    <t>F0507-C4660</t>
  </si>
  <si>
    <t>F0420-C4547</t>
  </si>
  <si>
    <t>F0507-C4662</t>
  </si>
  <si>
    <t>E1229-C3508</t>
  </si>
  <si>
    <t>F0507-C4658</t>
  </si>
  <si>
    <t>F0507-C4659</t>
  </si>
  <si>
    <t>F0505-C4651</t>
  </si>
  <si>
    <t>F0410-C4434</t>
  </si>
  <si>
    <t>F0504-C4647</t>
  </si>
  <si>
    <t>F0507-C4664</t>
  </si>
  <si>
    <t>F0419-C4526</t>
  </si>
  <si>
    <t>F0419-C4520</t>
  </si>
  <si>
    <t>F0419-C4521</t>
  </si>
  <si>
    <t>F0419-C4525</t>
  </si>
  <si>
    <t>F0419-C4524</t>
  </si>
  <si>
    <t>F0418-C4519</t>
  </si>
  <si>
    <t>F0419-C4523</t>
  </si>
  <si>
    <t>F0419-C4522</t>
  </si>
  <si>
    <t>F0419-C4527</t>
  </si>
  <si>
    <t>F0419-C4528</t>
  </si>
  <si>
    <t>F0419-C4529</t>
  </si>
  <si>
    <t>F0419-C4530</t>
  </si>
  <si>
    <t>F0228-C4067</t>
  </si>
  <si>
    <t>F0301-C4069</t>
  </si>
  <si>
    <t>F0301-C4075</t>
  </si>
  <si>
    <t>F0301-C4072</t>
  </si>
  <si>
    <t>F0301-C4074</t>
  </si>
  <si>
    <t>F0301-C4073</t>
  </si>
  <si>
    <t>F0301-C4071</t>
  </si>
  <si>
    <t>F0227-C4048</t>
  </si>
  <si>
    <t>F0301-C4068</t>
  </si>
  <si>
    <t>F0228-C4062</t>
  </si>
  <si>
    <t>F0228-C4061</t>
  </si>
  <si>
    <t>F0301-C4070</t>
  </si>
  <si>
    <t>F0301-C4077</t>
  </si>
  <si>
    <t>F0301-C4078</t>
  </si>
  <si>
    <t>F0301-C4076</t>
  </si>
  <si>
    <t>F0323-C4272</t>
  </si>
  <si>
    <t>F0320-C4245</t>
  </si>
  <si>
    <t>F0323-C4279</t>
  </si>
  <si>
    <t>F0323-C4271</t>
  </si>
  <si>
    <t>F0323-C4282</t>
  </si>
  <si>
    <t>F0323-C4273</t>
  </si>
  <si>
    <t>F0323-C4276</t>
  </si>
  <si>
    <t>F0323-C4274</t>
  </si>
  <si>
    <t>F0322-C4266</t>
  </si>
  <si>
    <t>F0323-C4278</t>
  </si>
  <si>
    <t>F0323-C4277</t>
  </si>
  <si>
    <t>F0323-C4281</t>
  </si>
  <si>
    <t>F0518-C4771</t>
  </si>
  <si>
    <t>F0518-C4770</t>
  </si>
  <si>
    <t>F0516-C4751</t>
  </si>
  <si>
    <t>F0518-C4775</t>
  </si>
  <si>
    <t>F0518-C4780</t>
  </si>
  <si>
    <t>F0518-C4776</t>
  </si>
  <si>
    <t>F0518-C4781</t>
  </si>
  <si>
    <t>F0518-C4772</t>
  </si>
  <si>
    <t>F0518-C4777</t>
  </si>
  <si>
    <t>F0518-C4774</t>
  </si>
  <si>
    <t>F0518-C4782</t>
  </si>
  <si>
    <t>F0518-C4773</t>
  </si>
  <si>
    <t>F0518-C4779</t>
  </si>
  <si>
    <t>F0517-C4764</t>
  </si>
  <si>
    <t>E1002-C2694</t>
  </si>
  <si>
    <t>E1002-C2701</t>
  </si>
  <si>
    <t>E1002-C2700</t>
  </si>
  <si>
    <t>E1002-C2696</t>
  </si>
  <si>
    <t>E1002-C2695</t>
  </si>
  <si>
    <t>E1002-C2704</t>
  </si>
  <si>
    <t>E1002-C2688</t>
  </si>
  <si>
    <t>E1002-C2698</t>
  </si>
  <si>
    <t>E1002-C2683</t>
  </si>
  <si>
    <t>E1002-C2699</t>
  </si>
  <si>
    <t>E1002-C2691</t>
  </si>
  <si>
    <t>E1002-C2697</t>
  </si>
  <si>
    <t>E0930-C2678</t>
  </si>
  <si>
    <t>E1021-C2911</t>
  </si>
  <si>
    <t>E1021-C2915</t>
  </si>
  <si>
    <t>E1020-C2891</t>
  </si>
  <si>
    <t>E1020-C2895</t>
  </si>
  <si>
    <t>E1021-C2904</t>
  </si>
  <si>
    <t>E1021-C2906</t>
  </si>
  <si>
    <t>E1021-C2908</t>
  </si>
  <si>
    <t>E1021-C2909</t>
  </si>
  <si>
    <t>E1021-C2913</t>
  </si>
  <si>
    <t>E1021-C2905</t>
  </si>
  <si>
    <t>E1021-C2907</t>
  </si>
  <si>
    <t>E1021-C2910</t>
  </si>
  <si>
    <t>E1021-C2914</t>
  </si>
  <si>
    <t>E0802-C2085</t>
  </si>
  <si>
    <t>E0802-C2084</t>
  </si>
  <si>
    <t>E0802-C2087</t>
  </si>
  <si>
    <t>E0802-C2090</t>
  </si>
  <si>
    <t>E0802-C2088</t>
  </si>
  <si>
    <t>E0802-C2089</t>
  </si>
  <si>
    <t>E0802-C2086</t>
  </si>
  <si>
    <t>E0801-C2082</t>
  </si>
  <si>
    <t>E0831-C2380</t>
  </si>
  <si>
    <t>E0831-C2378</t>
  </si>
  <si>
    <t>E0831-C2386</t>
  </si>
  <si>
    <t>F0430-C4609</t>
  </si>
  <si>
    <t>F0430-C4606</t>
  </si>
  <si>
    <t>F0430-C4607</t>
  </si>
  <si>
    <t>F0420-C4535</t>
  </si>
  <si>
    <t>F0420-C4533</t>
  </si>
  <si>
    <t>F0420-C4543</t>
  </si>
  <si>
    <t>F0420-C4536</t>
  </si>
  <si>
    <t>F0420-C4542</t>
  </si>
  <si>
    <t>F0420-C4541</t>
  </si>
  <si>
    <t>F0420-C4534</t>
  </si>
  <si>
    <t>F0420-C4531</t>
  </si>
  <si>
    <t>F0420-C4540</t>
  </si>
  <si>
    <t>F0420-C4537</t>
  </si>
  <si>
    <t>F0420-C4538</t>
  </si>
  <si>
    <t>F0420-C4546</t>
  </si>
  <si>
    <t>F0420-C4532</t>
  </si>
  <si>
    <t>F0420-C4545</t>
  </si>
  <si>
    <t>F0420-C4539</t>
  </si>
  <si>
    <t>E0901-C2401</t>
  </si>
  <si>
    <t>E0901-C2402</t>
  </si>
  <si>
    <t>E1002-C2702</t>
  </si>
  <si>
    <t>E1003-C2707</t>
  </si>
  <si>
    <t>E1002-C2686</t>
  </si>
  <si>
    <t>E1002-C2690</t>
  </si>
  <si>
    <t>E1002-C2685</t>
  </si>
  <si>
    <t>E1003-C2712</t>
  </si>
  <si>
    <t>E1003-C2706</t>
  </si>
  <si>
    <t>E1003-C2710</t>
  </si>
  <si>
    <t>E1002-C2693</t>
  </si>
  <si>
    <t>E1003-C2709</t>
  </si>
  <si>
    <t>E1003-C2713</t>
  </si>
  <si>
    <t>E1003-C2705</t>
  </si>
  <si>
    <t>E1003-C2715</t>
  </si>
  <si>
    <t>E1002-C2687</t>
  </si>
  <si>
    <t>E1002-C2684</t>
  </si>
  <si>
    <t>E1003-C2716</t>
  </si>
  <si>
    <t>E0916-C2546</t>
  </si>
  <si>
    <t>E0915-C2529</t>
  </si>
  <si>
    <t>E0915-C2534</t>
  </si>
  <si>
    <t>E0914-C2516</t>
  </si>
  <si>
    <t>E0914-C2518</t>
  </si>
  <si>
    <t>E0914-C2523</t>
  </si>
  <si>
    <t>E0915-C2535</t>
  </si>
  <si>
    <t>E0915-C2533</t>
  </si>
  <si>
    <t>E0915-C2536</t>
  </si>
  <si>
    <t>E0915-C2531</t>
  </si>
  <si>
    <t>E0915-C2532</t>
  </si>
  <si>
    <t>E0915-C2530</t>
  </si>
  <si>
    <t>F0628-C5144</t>
  </si>
  <si>
    <t>F0628-C5155</t>
  </si>
  <si>
    <t>F0628-C5141</t>
  </si>
  <si>
    <t>F0628-C5138</t>
  </si>
  <si>
    <t>F0628-C5143</t>
  </si>
  <si>
    <t>F0628-C5139</t>
  </si>
  <si>
    <t>F0628-C5140</t>
  </si>
  <si>
    <t>F0628-C5142</t>
  </si>
  <si>
    <t>F0628-C5145</t>
  </si>
  <si>
    <t>F0628-C5146</t>
  </si>
  <si>
    <t>F0628-C5150</t>
  </si>
  <si>
    <t>F0628-C5152</t>
  </si>
  <si>
    <t>F0628-C5149</t>
  </si>
  <si>
    <t>F0628-C5151</t>
  </si>
  <si>
    <t>F0628-C5153</t>
  </si>
  <si>
    <t>F0628-C5147</t>
  </si>
  <si>
    <t>F0627-C5136</t>
  </si>
  <si>
    <t>F0712-C5320</t>
  </si>
  <si>
    <t>F0712-C5307</t>
  </si>
  <si>
    <t>F0712-C5315</t>
  </si>
  <si>
    <t>F0712-C5311</t>
  </si>
  <si>
    <t>F0709-C5285</t>
  </si>
  <si>
    <t>F0712-C5317</t>
  </si>
  <si>
    <t>F0712-C5308</t>
  </si>
  <si>
    <t>F0712-C5316</t>
  </si>
  <si>
    <t>F0712-C5321</t>
  </si>
  <si>
    <t>F0712-C5309</t>
  </si>
  <si>
    <t>F0712-C5312</t>
  </si>
  <si>
    <t>F0712-C5318</t>
  </si>
  <si>
    <t>F0712-C5313</t>
  </si>
  <si>
    <t>F0712-C5314</t>
  </si>
  <si>
    <t>F0712-C5319</t>
  </si>
  <si>
    <t>F0712-C5324</t>
  </si>
  <si>
    <t>E0803-C2100</t>
  </si>
  <si>
    <t>E0803-C2091</t>
  </si>
  <si>
    <t>E0803-C2092</t>
  </si>
  <si>
    <t>E0803-C2095</t>
  </si>
  <si>
    <t>E0803-C2105</t>
  </si>
  <si>
    <t>E0803-C2099</t>
  </si>
  <si>
    <t>E0803-C2094</t>
  </si>
  <si>
    <t>E0803-C2093</t>
  </si>
  <si>
    <t>E0803-C2097</t>
  </si>
  <si>
    <t>E0803-C2103</t>
  </si>
  <si>
    <t>E0803-C2111</t>
  </si>
  <si>
    <t>E0803-C2108</t>
  </si>
  <si>
    <t>E0804-C2116</t>
  </si>
  <si>
    <t>E0804-C2118</t>
  </si>
  <si>
    <t>E0803-C2106</t>
  </si>
  <si>
    <t>E0803-C2101</t>
  </si>
  <si>
    <t>E0803-C2102</t>
  </si>
  <si>
    <t>E0804-C2119</t>
  </si>
  <si>
    <t>E0804-C2121</t>
  </si>
  <si>
    <t>E0803-C2096</t>
  </si>
  <si>
    <t>E0804-C2122</t>
  </si>
  <si>
    <t>E0803-C2098</t>
  </si>
  <si>
    <t>E0803-C2104</t>
  </si>
  <si>
    <t>E0803-C2107</t>
  </si>
  <si>
    <t>E0804-C2117</t>
  </si>
  <si>
    <t>E0804-C2123</t>
  </si>
  <si>
    <t>E0804-C2112</t>
  </si>
  <si>
    <t>E0803-C2110</t>
  </si>
  <si>
    <t>F0323-C4280</t>
  </si>
  <si>
    <t>F0324-C4290</t>
  </si>
  <si>
    <t>F0324-C4289</t>
  </si>
  <si>
    <t>F0324-C4286</t>
  </si>
  <si>
    <t>F0324-C4288</t>
  </si>
  <si>
    <t>F0324-C4285</t>
  </si>
  <si>
    <t>F0324-C4287</t>
  </si>
  <si>
    <t>F0323-C4275</t>
  </si>
  <si>
    <t>F0323-C4283</t>
  </si>
  <si>
    <t>E0902-C2413</t>
  </si>
  <si>
    <t>E0902-C2410</t>
  </si>
  <si>
    <t>E0916-C2545</t>
  </si>
  <si>
    <t>E0822-C2281</t>
  </si>
  <si>
    <t>E0914-C2528</t>
  </si>
  <si>
    <t>E0916-C2538</t>
  </si>
  <si>
    <t>E0916-C2539</t>
  </si>
  <si>
    <t>E0916-C2540</t>
  </si>
  <si>
    <t>E0911-C2490</t>
  </si>
  <si>
    <t>E0918-C2547</t>
  </si>
  <si>
    <t>E0918-C2548</t>
  </si>
  <si>
    <t>E0918-C2549</t>
  </si>
  <si>
    <t>E0918-C2551</t>
  </si>
  <si>
    <t>E0918-C2554</t>
  </si>
  <si>
    <t>E0918-C2555</t>
  </si>
  <si>
    <t>E0914-C2519</t>
  </si>
  <si>
    <t>E0918-C2550</t>
  </si>
  <si>
    <t>E0916-C2537</t>
  </si>
  <si>
    <t>E0916-C2544</t>
  </si>
  <si>
    <t>E0916-C2541</t>
  </si>
  <si>
    <t>F0228-C4064</t>
  </si>
  <si>
    <t>F0302-C4085</t>
  </si>
  <si>
    <t>F0302-C4084</t>
  </si>
  <si>
    <t>F0302-C4083</t>
  </si>
  <si>
    <t>F0302-C4082</t>
  </si>
  <si>
    <t>F0302-C4081</t>
  </si>
  <si>
    <t>F0302-C4080</t>
  </si>
  <si>
    <t>F0302-C4087</t>
  </si>
  <si>
    <t>F0302-C4079</t>
  </si>
  <si>
    <t>F0302-C4086</t>
  </si>
  <si>
    <t>E0804-C2114</t>
  </si>
  <si>
    <t>E0804-C2113</t>
  </si>
  <si>
    <t>E0804-C2115</t>
  </si>
  <si>
    <t>E0805-C2129</t>
  </si>
  <si>
    <t>E0805-C2128</t>
  </si>
  <si>
    <t>E0805-C2126</t>
  </si>
  <si>
    <t>E0805-C2124</t>
  </si>
  <si>
    <t>E0805-C2125</t>
  </si>
  <si>
    <t>E0805-C2127</t>
  </si>
  <si>
    <t>E1106-C2977</t>
  </si>
  <si>
    <t>E1106-C2979</t>
  </si>
  <si>
    <t>E1106-C2985</t>
  </si>
  <si>
    <t>E1106-C2983</t>
  </si>
  <si>
    <t>E1106-C2980</t>
  </si>
  <si>
    <t>E1106-C2986</t>
  </si>
  <si>
    <t>E1106-C2981</t>
  </si>
  <si>
    <t>E1031-C2974</t>
  </si>
  <si>
    <t>E1031-C2975</t>
  </si>
  <si>
    <t>E0814-C2206</t>
  </si>
  <si>
    <t>E0814-C2210</t>
  </si>
  <si>
    <t>E0814-C2216</t>
  </si>
  <si>
    <t>E0814-C2209</t>
  </si>
  <si>
    <t>E0814-C2211</t>
  </si>
  <si>
    <t>E0814-C2212</t>
  </si>
  <si>
    <t>E0814-C2213</t>
  </si>
  <si>
    <t>E0814-C2214</t>
  </si>
  <si>
    <t>E0814-C2215</t>
  </si>
  <si>
    <t>E0814-C2207</t>
  </si>
  <si>
    <t>E0814-C2208</t>
  </si>
  <si>
    <t>E1127-C3179</t>
  </si>
  <si>
    <t>E1127-C3186</t>
  </si>
  <si>
    <t>E1127-C3184</t>
  </si>
  <si>
    <t>E1127-C3181</t>
  </si>
  <si>
    <t>E1127-C3180</t>
  </si>
  <si>
    <t>E1127-C3188</t>
  </si>
  <si>
    <t>F0519-C4787</t>
  </si>
  <si>
    <t>F0519-C4793</t>
  </si>
  <si>
    <t>F0519-C4785</t>
  </si>
  <si>
    <t>F0519-C4791</t>
  </si>
  <si>
    <t>F0519-C4790</t>
  </si>
  <si>
    <t>F0518-C4783</t>
  </si>
  <si>
    <t>F0519-C4784</t>
  </si>
  <si>
    <t>F0519-C4792</t>
  </si>
  <si>
    <t>F0519-C4788</t>
  </si>
  <si>
    <t>F0518-C4778</t>
  </si>
  <si>
    <t>F0519-C4786</t>
  </si>
  <si>
    <t>F0519-C4789</t>
  </si>
  <si>
    <t>F0518-C4769</t>
  </si>
  <si>
    <t>F0517-C4756</t>
  </si>
  <si>
    <t>E0904-C2415</t>
  </si>
  <si>
    <t>E0906-C2427</t>
  </si>
  <si>
    <t>E0906-C2428</t>
  </si>
  <si>
    <t>E0906-C2429</t>
  </si>
  <si>
    <t>E0906-C2431</t>
  </si>
  <si>
    <t>E0906-C2430</t>
  </si>
  <si>
    <t>E0906-C2432</t>
  </si>
  <si>
    <t>E0906-C2433</t>
  </si>
  <si>
    <t>E0906-C2434</t>
  </si>
  <si>
    <t>E0901-C2400</t>
  </si>
  <si>
    <t>E0831-C2370</t>
  </si>
  <si>
    <t>E0831-C2383</t>
  </si>
  <si>
    <t>E0904-C2417</t>
  </si>
  <si>
    <t>E0901-C2388</t>
  </si>
  <si>
    <t>E0831-C2385</t>
  </si>
  <si>
    <t>E0831-C2371</t>
  </si>
  <si>
    <t>E0831-C2372</t>
  </si>
  <si>
    <t>E0831-C2375</t>
  </si>
  <si>
    <t>E0906-C2443</t>
  </si>
  <si>
    <t>E0906-C2438</t>
  </si>
  <si>
    <t>E0906-C2440</t>
  </si>
  <si>
    <t>E0906-C2441</t>
  </si>
  <si>
    <t>E0906-C2437</t>
  </si>
  <si>
    <t>E0906-C2436</t>
  </si>
  <si>
    <t>E0906-C2435</t>
  </si>
  <si>
    <t>E0904-C2424</t>
  </si>
  <si>
    <t>E0906-C2444</t>
  </si>
  <si>
    <t>E0830-C2366</t>
  </si>
  <si>
    <t>E0830-C2367</t>
  </si>
  <si>
    <t>E1107-C2995</t>
  </si>
  <si>
    <t>E1107-C2993</t>
  </si>
  <si>
    <t>E1107-C2990</t>
  </si>
  <si>
    <t>E1107-C2994</t>
  </si>
  <si>
    <t>E1107-C2991</t>
  </si>
  <si>
    <t>E1106-C2984</t>
  </si>
  <si>
    <t>E1107-C2996</t>
  </si>
  <si>
    <t>E1107-C2992</t>
  </si>
  <si>
    <t>E1106-C2976</t>
  </si>
  <si>
    <t>E1107-C2998</t>
  </si>
  <si>
    <t>E1107-C2997</t>
  </si>
  <si>
    <t>E1107-C2999</t>
  </si>
  <si>
    <t>E1106-C2978</t>
  </si>
  <si>
    <t>E1107-C2989</t>
  </si>
  <si>
    <t>E1106-C2988</t>
  </si>
  <si>
    <t>F0302-C4089</t>
  </si>
  <si>
    <t>F0303-C4090</t>
  </si>
  <si>
    <t>F0303-C4091</t>
  </si>
  <si>
    <t>F0303-C4092</t>
  </si>
  <si>
    <t>F0303-C4102</t>
  </si>
  <si>
    <t>F0303-C4097</t>
  </si>
  <si>
    <t>F0303-C4100</t>
  </si>
  <si>
    <t>F0303-C4098</t>
  </si>
  <si>
    <t>F0303-C4096</t>
  </si>
  <si>
    <t>F0303-C4093</t>
  </si>
  <si>
    <t>F0303-C4094</t>
  </si>
  <si>
    <t>F0303-C4095</t>
  </si>
  <si>
    <t>E0807-C2130</t>
  </si>
  <si>
    <t>E0807-C2141</t>
  </si>
  <si>
    <t>E0807-C2140</t>
  </si>
  <si>
    <t>E0803-C2109</t>
  </si>
  <si>
    <t>E1017-C2860</t>
  </si>
  <si>
    <t>E1016-C2852</t>
  </si>
  <si>
    <t>E1016-C2853</t>
  </si>
  <si>
    <t>E1016-C2857</t>
  </si>
  <si>
    <t>E1017-C2858</t>
  </si>
  <si>
    <t>E1017-C2861</t>
  </si>
  <si>
    <t>E1017-C2859</t>
  </si>
  <si>
    <t>E1016-C2855</t>
  </si>
  <si>
    <t>E0807-C2136</t>
  </si>
  <si>
    <t>E0808-C2149</t>
  </si>
  <si>
    <t>E0808-C2146</t>
  </si>
  <si>
    <t>E0808-C2154</t>
  </si>
  <si>
    <t>E0809-C2158</t>
  </si>
  <si>
    <t>E0808-C2151</t>
  </si>
  <si>
    <t>E0807-C2134</t>
  </si>
  <si>
    <t>E0808-C2144</t>
  </si>
  <si>
    <t>E0809-C2157</t>
  </si>
  <si>
    <t>E0809-C2160</t>
  </si>
  <si>
    <t>E0808-C2147</t>
  </si>
  <si>
    <t>E0807-C2132</t>
  </si>
  <si>
    <t>E0807-C2131</t>
  </si>
  <si>
    <t>E0804-C2120</t>
  </si>
  <si>
    <t>E0807-C2133</t>
  </si>
  <si>
    <t>E0809-C2163</t>
  </si>
  <si>
    <t>E0807-C2137</t>
  </si>
  <si>
    <t>E0808-C2152</t>
  </si>
  <si>
    <t>E0808-C2142</t>
  </si>
  <si>
    <t>E0807-C2135</t>
  </si>
  <si>
    <t>E0807-C2138</t>
  </si>
  <si>
    <t>E0808-C2143</t>
  </si>
  <si>
    <t>E0809-C2159</t>
  </si>
  <si>
    <t>E0809-C2155</t>
  </si>
  <si>
    <t>E0808-C2148</t>
  </si>
  <si>
    <t>E0809-C2161</t>
  </si>
  <si>
    <t>E0809-C2162</t>
  </si>
  <si>
    <t>E0809-C2156</t>
  </si>
  <si>
    <t>E1005-C2736</t>
  </si>
  <si>
    <t>E1009-C2775</t>
  </si>
  <si>
    <t>E1011-C2798</t>
  </si>
  <si>
    <t>E1012-C2817</t>
  </si>
  <si>
    <t>E1011-C2800</t>
  </si>
  <si>
    <t>E1011-C2801</t>
  </si>
  <si>
    <t>E1012-C2818</t>
  </si>
  <si>
    <t>E1011-C2805</t>
  </si>
  <si>
    <t>E1010-C2788</t>
  </si>
  <si>
    <t>E1011-C2808</t>
  </si>
  <si>
    <t>E1011-C2810</t>
  </si>
  <si>
    <t>E1012-C2814</t>
  </si>
  <si>
    <t>E1012-C2815</t>
  </si>
  <si>
    <t>E1013-C2821</t>
  </si>
  <si>
    <t>E1011-C2802</t>
  </si>
  <si>
    <t>E1011-C2803</t>
  </si>
  <si>
    <t>E1012-C2813</t>
  </si>
  <si>
    <t>E1013-C2819</t>
  </si>
  <si>
    <t>E1013-C2820</t>
  </si>
  <si>
    <t>E1011-C2799</t>
  </si>
  <si>
    <t>E1011-C2807</t>
  </si>
  <si>
    <t>E1011-C2804</t>
  </si>
  <si>
    <t>E1006-C2758</t>
  </si>
  <si>
    <t>E1012-C2816</t>
  </si>
  <si>
    <t>E1013-C2822</t>
  </si>
  <si>
    <t>E1013-C2824</t>
  </si>
  <si>
    <t>E1013-C2823</t>
  </si>
  <si>
    <t>E1013-C2826</t>
  </si>
  <si>
    <t>E1013-C2827</t>
  </si>
  <si>
    <t>E1013-C2828</t>
  </si>
  <si>
    <t>E1013-C2825</t>
  </si>
  <si>
    <t>E0808-C2145</t>
  </si>
  <si>
    <t>E0817-C2236</t>
  </si>
  <si>
    <t>E0818-C2244</t>
  </si>
  <si>
    <t>E0818-C2246</t>
  </si>
  <si>
    <t>E0818-C2248</t>
  </si>
  <si>
    <t>E0818-C2250</t>
  </si>
  <si>
    <t>E0818-C2251</t>
  </si>
  <si>
    <t>E0818-C2247</t>
  </si>
  <si>
    <t>E0818-C2242</t>
  </si>
  <si>
    <t>E0818-C2249</t>
  </si>
  <si>
    <t>E0818-C2243</t>
  </si>
  <si>
    <t>E0811-C2180</t>
  </si>
  <si>
    <t>E0818-C2241</t>
  </si>
  <si>
    <t>E0810-C2170</t>
  </si>
  <si>
    <t>E0810-C2169</t>
  </si>
  <si>
    <t>E0810-C2172</t>
  </si>
  <si>
    <t>E0810-C2178</t>
  </si>
  <si>
    <t>E0811-C2181</t>
  </si>
  <si>
    <t>E0811-C2188</t>
  </si>
  <si>
    <t>E0811-C2190</t>
  </si>
  <si>
    <t>E0811-C2193</t>
  </si>
  <si>
    <t>E0811-C2192</t>
  </si>
  <si>
    <t>E0811-C2196</t>
  </si>
  <si>
    <t>E0811-C2186</t>
  </si>
  <si>
    <t>E0811-C2197</t>
  </si>
  <si>
    <t>E0810-C2164</t>
  </si>
  <si>
    <t>E0810-C2171</t>
  </si>
  <si>
    <t>E0810-C2173</t>
  </si>
  <si>
    <t>E0810-C2176</t>
  </si>
  <si>
    <t>E0810-C2179</t>
  </si>
  <si>
    <t>E0811-C2187</t>
  </si>
  <si>
    <t>E0811-C2191</t>
  </si>
  <si>
    <t>E0811-C2182</t>
  </si>
  <si>
    <t>E0811-C2184</t>
  </si>
  <si>
    <t>E0811-C2194</t>
  </si>
  <si>
    <t>E0811-C2195</t>
  </si>
  <si>
    <t>E0811-C2185</t>
  </si>
  <si>
    <t>E0810-C2168</t>
  </si>
  <si>
    <t>E0810-C2167</t>
  </si>
  <si>
    <t>E0810-C2165</t>
  </si>
  <si>
    <t>E0810-C2166</t>
  </si>
  <si>
    <t>E0810-C2174</t>
  </si>
  <si>
    <t>E0810-C2175</t>
  </si>
  <si>
    <t>E0810-C2177</t>
  </si>
  <si>
    <t>E1108-C3001</t>
  </si>
  <si>
    <t>E1108-C3012</t>
  </si>
  <si>
    <t>E1108-C3000</t>
  </si>
  <si>
    <t>E1108-C3006</t>
  </si>
  <si>
    <t>E1108-C3009</t>
  </si>
  <si>
    <t>E1108-C3007</t>
  </si>
  <si>
    <t>E1108-C3002</t>
  </si>
  <si>
    <t>E1108-C3005</t>
  </si>
  <si>
    <t>E1108-C3003</t>
  </si>
  <si>
    <t>E1108-C3008</t>
  </si>
  <si>
    <t>E1108-C3004</t>
  </si>
  <si>
    <t>E0821-C2262</t>
  </si>
  <si>
    <t>E0824-C2311</t>
  </si>
  <si>
    <t>E0829-C2348</t>
  </si>
  <si>
    <t>E0829-C2351</t>
  </si>
  <si>
    <t>E0829-C2353</t>
  </si>
  <si>
    <t>E0829-C2356</t>
  </si>
  <si>
    <t>E0829-C2354</t>
  </si>
  <si>
    <t>E0829-C2355</t>
  </si>
  <si>
    <t>E0829-C2349</t>
  </si>
  <si>
    <t>E0830-C2359</t>
  </si>
  <si>
    <t>E0830-C2360</t>
  </si>
  <si>
    <t>E0830-C2361</t>
  </si>
  <si>
    <t>E0830-C2362</t>
  </si>
  <si>
    <t>E0830-C2363</t>
  </si>
  <si>
    <t>E0830-C2364</t>
  </si>
  <si>
    <t>E0830-C2358</t>
  </si>
  <si>
    <t>E0830-C2357</t>
  </si>
  <si>
    <t>F0627-C5131</t>
  </si>
  <si>
    <t>F0627-C5124</t>
  </si>
  <si>
    <t>F0627-C5125</t>
  </si>
  <si>
    <t>F0627-C5137</t>
  </si>
  <si>
    <t>F0627-C5128</t>
  </si>
  <si>
    <t>F0627-C5123</t>
  </si>
  <si>
    <t>F0626-C5122</t>
  </si>
  <si>
    <t>F0626-C5117</t>
  </si>
  <si>
    <t>F0626-C5114</t>
  </si>
  <si>
    <t>F0627-C5126</t>
  </si>
  <si>
    <t>F0627-C5129</t>
  </si>
  <si>
    <t>F0627-C5130</t>
  </si>
  <si>
    <t>F0626-C5116</t>
  </si>
  <si>
    <t>F0627-C5133</t>
  </si>
  <si>
    <t>F0627-C5134</t>
  </si>
  <si>
    <t>F0627-C5132</t>
  </si>
  <si>
    <t>F0627-C5135</t>
  </si>
  <si>
    <t>F0627-C5127</t>
  </si>
  <si>
    <t>E0817-C2218</t>
  </si>
  <si>
    <t>E0817-C2234</t>
  </si>
  <si>
    <t>E0817-C2237</t>
  </si>
  <si>
    <t>E0816-C2217</t>
  </si>
  <si>
    <t>E0817-C2222</t>
  </si>
  <si>
    <t>E0817-C2220</t>
  </si>
  <si>
    <t>E0817-C2225</t>
  </si>
  <si>
    <t>E0817-C2223</t>
  </si>
  <si>
    <t>E0817-C2224</t>
  </si>
  <si>
    <t>E0817-C2226</t>
  </si>
  <si>
    <t>E0817-C2227</t>
  </si>
  <si>
    <t>E0817-C2221</t>
  </si>
  <si>
    <t>E0817-C2230</t>
  </si>
  <si>
    <t>E0817-C2231</t>
  </si>
  <si>
    <t>E0817-C2233</t>
  </si>
  <si>
    <t>E0817-C2240</t>
  </si>
  <si>
    <t>E0817-C2229</t>
  </si>
  <si>
    <t>E0817-C2235</t>
  </si>
  <si>
    <t>E0817-C2238</t>
  </si>
  <si>
    <t>E0817-C2232</t>
  </si>
  <si>
    <t>E0926-C2630</t>
  </si>
  <si>
    <t>E0927-C2642</t>
  </si>
  <si>
    <t>E0926-C2624</t>
  </si>
  <si>
    <t>E0926-C2631</t>
  </si>
  <si>
    <t>E0926-C2625</t>
  </si>
  <si>
    <t>E0926-C2627</t>
  </si>
  <si>
    <t>E0929-C2661</t>
  </si>
  <si>
    <t>E0927-C2638</t>
  </si>
  <si>
    <t>E0927-C2635</t>
  </si>
  <si>
    <t>E0926-C2629</t>
  </si>
  <si>
    <t>E0927-C2640</t>
  </si>
  <si>
    <t>E0927-C2639</t>
  </si>
  <si>
    <t>E0927-C2637</t>
  </si>
  <si>
    <t>E0927-C2636</t>
  </si>
  <si>
    <t>E0928-C2644</t>
  </si>
  <si>
    <t>E0928-C2650</t>
  </si>
  <si>
    <t>E0928-C2654</t>
  </si>
  <si>
    <t>E0928-C2645</t>
  </si>
  <si>
    <t>E0928-C2646</t>
  </si>
  <si>
    <t>E0928-C2648</t>
  </si>
  <si>
    <t>E0928-C2647</t>
  </si>
  <si>
    <t>E0928-C2651</t>
  </si>
  <si>
    <t>E0929-C2660</t>
  </si>
  <si>
    <t>E0929-C2664</t>
  </si>
  <si>
    <t>E0929-C2665</t>
  </si>
  <si>
    <t>E0929-C2668</t>
  </si>
  <si>
    <t>E0929-C2669</t>
  </si>
  <si>
    <t>E0929-C2666</t>
  </si>
  <si>
    <t>E0929-C2670</t>
  </si>
  <si>
    <t>E0928-C2653</t>
  </si>
  <si>
    <t>E0928-C2652</t>
  </si>
  <si>
    <t>E0928-C2649</t>
  </si>
  <si>
    <t>E0926-C2628</t>
  </si>
  <si>
    <t>E0926-C2626</t>
  </si>
  <si>
    <t>E0925-C2618</t>
  </si>
  <si>
    <t>E0929-C2671</t>
  </si>
  <si>
    <t>E0929-C2662</t>
  </si>
  <si>
    <t>E0918-C2553</t>
  </si>
  <si>
    <t>E0919-C2556</t>
  </si>
  <si>
    <t>E0919-C2563</t>
  </si>
  <si>
    <t>E0919-C2564</t>
  </si>
  <si>
    <t>E0916-C2543</t>
  </si>
  <si>
    <t>E0919-C2562</t>
  </si>
  <si>
    <t>E0919-C2557</t>
  </si>
  <si>
    <t>E0919-C2561</t>
  </si>
  <si>
    <t>E0919-C2565</t>
  </si>
  <si>
    <t>E0919-C2566</t>
  </si>
  <si>
    <t>E0919-C2567</t>
  </si>
  <si>
    <t>E0919-C2568</t>
  </si>
  <si>
    <t>E0919-C2559</t>
  </si>
  <si>
    <t>E0919-C2570</t>
  </si>
  <si>
    <t>E0919-C2569</t>
  </si>
  <si>
    <t>E0919-C2560</t>
  </si>
  <si>
    <t>E0918-C2552</t>
  </si>
  <si>
    <t>E0722-C2014</t>
  </si>
  <si>
    <t>E0727-C2045</t>
  </si>
  <si>
    <t>E0726-C2031</t>
  </si>
  <si>
    <t>E0726-C2026</t>
  </si>
  <si>
    <t>E1006-C2753</t>
  </si>
  <si>
    <t>E1006-C2752</t>
  </si>
  <si>
    <t>E1007-C2770</t>
  </si>
  <si>
    <t>E1007-C2769</t>
  </si>
  <si>
    <t>E1007-C2767</t>
  </si>
  <si>
    <t>E1007-C2771</t>
  </si>
  <si>
    <t>E0907-C2446</t>
  </si>
  <si>
    <t>E0908-C2459</t>
  </si>
  <si>
    <t>E0908-C2462</t>
  </si>
  <si>
    <t>E0908-C2464</t>
  </si>
  <si>
    <t>E0908-C2461</t>
  </si>
  <si>
    <t>E0908-C2473</t>
  </si>
  <si>
    <t>E0908-C2471</t>
  </si>
  <si>
    <t>E0906-C2439</t>
  </si>
  <si>
    <t>E0908-C2472</t>
  </si>
  <si>
    <t>E0908-C2470</t>
  </si>
  <si>
    <t>E0908-C2460</t>
  </si>
  <si>
    <t>E0908-C2468</t>
  </si>
  <si>
    <t>E0908-C2466</t>
  </si>
  <si>
    <t>E0908-C2465</t>
  </si>
  <si>
    <t>E0908-C2475</t>
  </si>
  <si>
    <t>E0907-C2448</t>
  </si>
  <si>
    <t>E0907-C2455</t>
  </si>
  <si>
    <t>E0906-C2442</t>
  </si>
  <si>
    <t>E0907-C2458</t>
  </si>
  <si>
    <t>E0907-C2445</t>
  </si>
  <si>
    <t>E0907-C2454</t>
  </si>
  <si>
    <t>E0907-C2450</t>
  </si>
  <si>
    <t>E0907-C2451</t>
  </si>
  <si>
    <t>E0907-C2456</t>
  </si>
  <si>
    <t>E0907-C2447</t>
  </si>
  <si>
    <t>E0907-C2452</t>
  </si>
  <si>
    <t>E0726-C2032</t>
  </si>
  <si>
    <t>E0726-C2028</t>
  </si>
  <si>
    <t>E0726-C2030</t>
  </si>
  <si>
    <t>E0726-C2029</t>
  </si>
  <si>
    <t>F0509-C4677</t>
  </si>
  <si>
    <t>F0509-C4680</t>
  </si>
  <si>
    <t>F0509-C4683</t>
  </si>
  <si>
    <t>F0509-C4678</t>
  </si>
  <si>
    <t>F0509-C4681</t>
  </si>
  <si>
    <t>F0509-C4682</t>
  </si>
  <si>
    <t>F0509-C4684</t>
  </si>
  <si>
    <t>F0509-C4686</t>
  </si>
  <si>
    <t>E0811-C2189</t>
  </si>
  <si>
    <t>E0812-C2202</t>
  </si>
  <si>
    <t>E0812-C2205</t>
  </si>
  <si>
    <t>E0812-C2204</t>
  </si>
  <si>
    <t>E0812-C2203</t>
  </si>
  <si>
    <t>E0812-C2201</t>
  </si>
  <si>
    <t>E0812-C2200</t>
  </si>
  <si>
    <t>E0812-C2199</t>
  </si>
  <si>
    <t>E0811-C2183</t>
  </si>
  <si>
    <t>E0811-C2198</t>
  </si>
  <si>
    <t>F0420-C4549</t>
  </si>
  <si>
    <t>F0420-C4548</t>
  </si>
  <si>
    <t>F0421-C4551</t>
  </si>
  <si>
    <t>F0421-C4556</t>
  </si>
  <si>
    <t>F0421-C4550</t>
  </si>
  <si>
    <t>F0420-C4544</t>
  </si>
  <si>
    <t>F0421-C4552</t>
  </si>
  <si>
    <t>F0421-C4554</t>
  </si>
  <si>
    <t>F0421-C4555</t>
  </si>
  <si>
    <t>E0731-C2074</t>
  </si>
  <si>
    <t>E0801-C2080</t>
  </si>
  <si>
    <t>E0801-C2078</t>
  </si>
  <si>
    <t>E0801-C2079</t>
  </si>
  <si>
    <t>E0801-C2083</t>
  </si>
  <si>
    <t>E0801-C2081</t>
  </si>
  <si>
    <t>D0216-C944</t>
  </si>
  <si>
    <t>E1007-C2768</t>
  </si>
  <si>
    <t>E1014-C2844</t>
  </si>
  <si>
    <t>E1014-C2845</t>
  </si>
  <si>
    <t>E1014-C2846</t>
  </si>
  <si>
    <t>E1016-C2848</t>
  </si>
  <si>
    <t>E1016-C2849</t>
  </si>
  <si>
    <t>E1016-C2851</t>
  </si>
  <si>
    <t>E1014-C2839</t>
  </si>
  <si>
    <t>E1016-C2850</t>
  </si>
  <si>
    <t>E1016-C2856</t>
  </si>
  <si>
    <t>E1011-C2806</t>
  </si>
  <si>
    <t>E1016-C2847</t>
  </si>
  <si>
    <t>E1005-C2732</t>
  </si>
  <si>
    <t>E1016-C2854</t>
  </si>
  <si>
    <t>E0909-C2486</t>
  </si>
  <si>
    <t>E0909-C2483</t>
  </si>
  <si>
    <t>E0909-C2484</t>
  </si>
  <si>
    <t>E0909-C2485</t>
  </si>
  <si>
    <t>E0909-C2476</t>
  </si>
  <si>
    <t>E0909-C2479</t>
  </si>
  <si>
    <t>E0909-C2478</t>
  </si>
  <si>
    <t>E0909-C2488</t>
  </si>
  <si>
    <t>E0911-C2491</t>
  </si>
  <si>
    <t>E0911-C2489</t>
  </si>
  <si>
    <t>E0911-C2497</t>
  </si>
  <si>
    <t>E0911-C2493</t>
  </si>
  <si>
    <t>E0911-C2492</t>
  </si>
  <si>
    <t>E0909-C2480</t>
  </si>
  <si>
    <t>E0808-C2153</t>
  </si>
  <si>
    <t>E0909-C2482</t>
  </si>
  <si>
    <t>E0909-C2477</t>
  </si>
  <si>
    <t>E0907-C2457</t>
  </si>
  <si>
    <t>E0908-C2474</t>
  </si>
  <si>
    <t>E0908-C2467</t>
  </si>
  <si>
    <t>E0909-C2481</t>
  </si>
  <si>
    <t>E0908-C2469</t>
  </si>
  <si>
    <t>E0907-C2453</t>
  </si>
  <si>
    <t>E0909-C2487</t>
  </si>
  <si>
    <t>E0911-C2496</t>
  </si>
  <si>
    <t>E0908-C2463</t>
  </si>
  <si>
    <t>E1108-C3013</t>
  </si>
  <si>
    <t>E1108-C3010</t>
  </si>
  <si>
    <t>E1108-C3011</t>
  </si>
  <si>
    <t>E1109-C3030</t>
  </si>
  <si>
    <t>E1109-C3029</t>
  </si>
  <si>
    <t>E1109-C3015</t>
  </si>
  <si>
    <t>E1109-C3028</t>
  </si>
  <si>
    <t>E1109-C3022</t>
  </si>
  <si>
    <t>E1109-C3020</t>
  </si>
  <si>
    <t>E1109-C3018</t>
  </si>
  <si>
    <t>E1109-C3021</t>
  </si>
  <si>
    <t>E1109-C3023</t>
  </si>
  <si>
    <t>E1109-C3031</t>
  </si>
  <si>
    <t>E1109-C3014</t>
  </si>
  <si>
    <t>E1109-C3016</t>
  </si>
  <si>
    <t>E1109-C3024</t>
  </si>
  <si>
    <t>E1109-C3019</t>
  </si>
  <si>
    <t>E1109-C3025</t>
  </si>
  <si>
    <t>E0817-C2228</t>
  </si>
  <si>
    <t>E0818-C2245</t>
  </si>
  <si>
    <t>E0819-C2256</t>
  </si>
  <si>
    <t>E0819-C2260</t>
  </si>
  <si>
    <t>E0821-C2266</t>
  </si>
  <si>
    <t>E0821-C2272</t>
  </si>
  <si>
    <t>E0821-C2273</t>
  </si>
  <si>
    <t>E0822-C2274</t>
  </si>
  <si>
    <t>E0808-C2150</t>
  </si>
  <si>
    <t>E0822-C2280</t>
  </si>
  <si>
    <t>E0822-C2284</t>
  </si>
  <si>
    <t>E0819-C2257</t>
  </si>
  <si>
    <t>E0821-C2263</t>
  </si>
  <si>
    <t>E0818-C2252</t>
  </si>
  <si>
    <t>E0817-C2239</t>
  </si>
  <si>
    <t>E0819-C2254</t>
  </si>
  <si>
    <t>E0819-C2261</t>
  </si>
  <si>
    <t>E0819-C2258</t>
  </si>
  <si>
    <t>E0819-C2255</t>
  </si>
  <si>
    <t>E0818-C2253</t>
  </si>
  <si>
    <t>E0807-C2139</t>
  </si>
  <si>
    <t>E0821-C2264</t>
  </si>
  <si>
    <t>E0928-C2657</t>
  </si>
  <si>
    <t>E0929-C2663</t>
  </si>
  <si>
    <t>E0913-C2512</t>
  </si>
  <si>
    <t>E0925-C2619</t>
  </si>
  <si>
    <t>E0925-C2620</t>
  </si>
  <si>
    <t>E0925-C2623</t>
  </si>
  <si>
    <t>E0927-C2641</t>
  </si>
  <si>
    <t>E0928-C2655</t>
  </si>
  <si>
    <t>E0928-C2656</t>
  </si>
  <si>
    <t>E0928-C2659</t>
  </si>
  <si>
    <t>E0928-C2658</t>
  </si>
  <si>
    <t>E0929-C2672</t>
  </si>
  <si>
    <t>E0929-C2667</t>
  </si>
  <si>
    <t>E0930-C2674</t>
  </si>
  <si>
    <t>E0930-C2676</t>
  </si>
  <si>
    <t>E0930-C2677</t>
  </si>
  <si>
    <t>E0930-C2680</t>
  </si>
  <si>
    <t>E0930-C2681</t>
  </si>
  <si>
    <t>E0930-C2675</t>
  </si>
  <si>
    <t>E0927-C2643</t>
  </si>
  <si>
    <t>E0925-C2621</t>
  </si>
  <si>
    <t>E0930-C2682</t>
  </si>
  <si>
    <t>E0930-C2679</t>
  </si>
  <si>
    <t>E0821-C2265</t>
  </si>
  <si>
    <t>E0821-C2267</t>
  </si>
  <si>
    <t>E0821-C2268</t>
  </si>
  <si>
    <t>E0822-C2276</t>
  </si>
  <si>
    <t>E0822-C2278</t>
  </si>
  <si>
    <t>E0822-C2279</t>
  </si>
  <si>
    <t>E0822-C2282</t>
  </si>
  <si>
    <t>E0823-C2287</t>
  </si>
  <si>
    <t>E0823-C2289</t>
  </si>
  <si>
    <t>E0823-C2288</t>
  </si>
  <si>
    <t>E0821-C2270</t>
  </si>
  <si>
    <t>E0821-C2271</t>
  </si>
  <si>
    <t>E0823-C2286</t>
  </si>
  <si>
    <t>E0822-C2283</t>
  </si>
  <si>
    <t>E0822-C2275</t>
  </si>
  <si>
    <t>E0823-C2294</t>
  </si>
  <si>
    <t>E0823-C2295</t>
  </si>
  <si>
    <t>E0823-C2292</t>
  </si>
  <si>
    <t>E0824-C2296</t>
  </si>
  <si>
    <t>E0824-C2298</t>
  </si>
  <si>
    <t>E0824-C2305</t>
  </si>
  <si>
    <t>E0824-C2301</t>
  </si>
  <si>
    <t>E0824-C2307</t>
  </si>
  <si>
    <t>E0824-C2302</t>
  </si>
  <si>
    <t>E0824-C2299</t>
  </si>
  <si>
    <t>E0823-C2291</t>
  </si>
  <si>
    <t>E0824-C2300</t>
  </si>
  <si>
    <t>E0824-C2304</t>
  </si>
  <si>
    <t>E0823-C2285</t>
  </si>
  <si>
    <t>E0824-C2308</t>
  </si>
  <si>
    <t>E0824-C2306</t>
  </si>
  <si>
    <t>E0824-C2297</t>
  </si>
  <si>
    <t>F0428-C4603</t>
  </si>
  <si>
    <t>F0428-C4604</t>
  </si>
  <si>
    <t>F0428-C4605</t>
  </si>
  <si>
    <t>F0428-C4600</t>
  </si>
  <si>
    <t>F0428-C4601</t>
  </si>
  <si>
    <t>F0428-C4602</t>
  </si>
  <si>
    <t>F0421-C4553</t>
  </si>
  <si>
    <t>E0912-C2500</t>
  </si>
  <si>
    <t>E0912-C2502</t>
  </si>
  <si>
    <t>E0912-C2503</t>
  </si>
  <si>
    <t>E0912-C2501</t>
  </si>
  <si>
    <t>E0912-C2504</t>
  </si>
  <si>
    <t>E0912-C2507</t>
  </si>
  <si>
    <t>E0911-C2494</t>
  </si>
  <si>
    <t>E0911-C2495</t>
  </si>
  <si>
    <t>E0911-C2499</t>
  </si>
  <si>
    <t>E1110-C3034</t>
  </si>
  <si>
    <t>E1110-C3032</t>
  </si>
  <si>
    <t>E1110-C3039</t>
  </si>
  <si>
    <t>E1110-C3038</t>
  </si>
  <si>
    <t>E1110-C3036</t>
  </si>
  <si>
    <t>E1110-C3043</t>
  </si>
  <si>
    <t>E1110-C3045</t>
  </si>
  <si>
    <t>E1110-C3035</t>
  </si>
  <si>
    <t>E1110-C3033</t>
  </si>
  <si>
    <t>E1110-C3037</t>
  </si>
  <si>
    <t>E1109-C3026</t>
  </si>
  <si>
    <t>E1110-C3040</t>
  </si>
  <si>
    <t>E1106-C2982</t>
  </si>
  <si>
    <t>E0913-C2509</t>
  </si>
  <si>
    <t>E1011-C2811</t>
  </si>
  <si>
    <t>E1028-C2962</t>
  </si>
  <si>
    <t>E1028-C2966</t>
  </si>
  <si>
    <t>E1028-C2960</t>
  </si>
  <si>
    <t>E1028-C2961</t>
  </si>
  <si>
    <t>E1028-C2964</t>
  </si>
  <si>
    <t>E1028-C2968</t>
  </si>
  <si>
    <t>E1028-C2959</t>
  </si>
  <si>
    <t>E1028-C2963</t>
  </si>
  <si>
    <t>E1028-C2965</t>
  </si>
  <si>
    <t>E1020-C2892</t>
  </si>
  <si>
    <t>E1014-C2835</t>
  </si>
  <si>
    <t>E1018-C2862</t>
  </si>
  <si>
    <t>E1019-C2885</t>
  </si>
  <si>
    <t>E1019-C2883</t>
  </si>
  <si>
    <t>E1020-C2890</t>
  </si>
  <si>
    <t>E1020-C2897</t>
  </si>
  <si>
    <t>E1020-C2901</t>
  </si>
  <si>
    <t>E1019-C2876</t>
  </si>
  <si>
    <t>E1020-C2889</t>
  </si>
  <si>
    <t>E1020-C2902</t>
  </si>
  <si>
    <t>E1020-C2896</t>
  </si>
  <si>
    <t>E1020-C2888</t>
  </si>
  <si>
    <t>E1020-C2894</t>
  </si>
  <si>
    <t>E1020-C2898</t>
  </si>
  <si>
    <t>E1020-C2899</t>
  </si>
  <si>
    <t>E1020-C2903</t>
  </si>
  <si>
    <t>E1020-C2887</t>
  </si>
  <si>
    <t>E1018-C2863</t>
  </si>
  <si>
    <t>E1020-C2900</t>
  </si>
  <si>
    <t>E0824-C2310</t>
  </si>
  <si>
    <t>E0825-C2316</t>
  </si>
  <si>
    <t>E0825-C2314</t>
  </si>
  <si>
    <t>E0825-C2321</t>
  </si>
  <si>
    <t>E0825-C2317</t>
  </si>
  <si>
    <t>E0825-C2313</t>
  </si>
  <si>
    <t>E0824-C2309</t>
  </si>
  <si>
    <t>E0825-C2318</t>
  </si>
  <si>
    <t>E0824-C2303</t>
  </si>
  <si>
    <t>E0825-C2315</t>
  </si>
  <si>
    <t>E0825-C2319</t>
  </si>
  <si>
    <t>E0825-C2312</t>
  </si>
  <si>
    <t>E0825-C2320</t>
  </si>
  <si>
    <t>E0913-C2510</t>
  </si>
  <si>
    <t>E0914-C2521</t>
  </si>
  <si>
    <t>E0914-C2517</t>
  </si>
  <si>
    <t>E0914-C2524</t>
  </si>
  <si>
    <t>E0914-C2525</t>
  </si>
  <si>
    <t>E0914-C2526</t>
  </si>
  <si>
    <t>E0914-C2520</t>
  </si>
  <si>
    <t>E0914-C2527</t>
  </si>
  <si>
    <t>E0914-C2522</t>
  </si>
  <si>
    <t>E0913-C2511</t>
  </si>
  <si>
    <t>E0913-C2513</t>
  </si>
  <si>
    <t>E0912-C2506</t>
  </si>
  <si>
    <t>E0913-C2514</t>
  </si>
  <si>
    <t>E0913-C2508</t>
  </si>
  <si>
    <t>E0912-C2505</t>
  </si>
  <si>
    <t>E1009-C2776</t>
  </si>
  <si>
    <t>E1010-C2786</t>
  </si>
  <si>
    <t>E1010-C2789</t>
  </si>
  <si>
    <t>E1010-C2790</t>
  </si>
  <si>
    <t>E1010-C2793</t>
  </si>
  <si>
    <t>E1010-C2797</t>
  </si>
  <si>
    <t>E1010-C2796</t>
  </si>
  <si>
    <t>E1010-C2795</t>
  </si>
  <si>
    <t>E1010-C2787</t>
  </si>
  <si>
    <t>E1009-C2781</t>
  </si>
  <si>
    <t>E1010-C2792</t>
  </si>
  <si>
    <t>E1010-C2785</t>
  </si>
  <si>
    <t>E1010-C2791</t>
  </si>
  <si>
    <t>E1010-C2794</t>
  </si>
  <si>
    <t>E1004-C2721</t>
  </si>
  <si>
    <t>E1004-C2723</t>
  </si>
  <si>
    <t>E1004-C2725</t>
  </si>
  <si>
    <t>E1004-C2724</t>
  </si>
  <si>
    <t>E1004-C2720</t>
  </si>
  <si>
    <t>E1004-C2722</t>
  </si>
  <si>
    <t>E1003-C2714</t>
  </si>
  <si>
    <t>E1004-C2719</t>
  </si>
  <si>
    <t>E1004-C2718</t>
  </si>
  <si>
    <t>E1004-C2717</t>
  </si>
  <si>
    <t>E1002-C2689</t>
  </si>
  <si>
    <t>E1002-C2703</t>
  </si>
  <si>
    <t>E1002-C2692</t>
  </si>
  <si>
    <t>E1018-C2864</t>
  </si>
  <si>
    <t>E1018-C2870</t>
  </si>
  <si>
    <t>E1018-C2865</t>
  </si>
  <si>
    <t>E1018-C2867</t>
  </si>
  <si>
    <t>E1018-C2871</t>
  </si>
  <si>
    <t>E1018-C2869</t>
  </si>
  <si>
    <t>E1018-C2868</t>
  </si>
  <si>
    <t>E1018-C2872</t>
  </si>
  <si>
    <t>E0914-C2515</t>
  </si>
  <si>
    <t>E0920-C2573</t>
  </si>
  <si>
    <t>E0920-C2571</t>
  </si>
  <si>
    <t>E0920-C2576</t>
  </si>
  <si>
    <t>E0920-C2578</t>
  </si>
  <si>
    <t>E0920-C2575</t>
  </si>
  <si>
    <t>E0828-C2341</t>
  </si>
  <si>
    <t>E0828-C2347</t>
  </si>
  <si>
    <t>E0829-C2350</t>
  </si>
  <si>
    <t>E0829-C2352</t>
  </si>
  <si>
    <t>F0305-C4108</t>
  </si>
  <si>
    <t>F0303-C4103</t>
  </si>
  <si>
    <t>F0305-C4113</t>
  </si>
  <si>
    <t>F0305-C4116</t>
  </si>
  <si>
    <t>F0305-C4114</t>
  </si>
  <si>
    <t>F0305-C4110</t>
  </si>
  <si>
    <t>F0305-C4106</t>
  </si>
  <si>
    <t>F0305-C4111</t>
  </si>
  <si>
    <t>F0305-C4105</t>
  </si>
  <si>
    <t>F0305-C4107</t>
  </si>
  <si>
    <t>F0305-C4109</t>
  </si>
  <si>
    <t>F0305-C4115</t>
  </si>
  <si>
    <t>F0305-C4112</t>
  </si>
  <si>
    <t>F0326-C4296</t>
  </si>
  <si>
    <t>F0326-C4291</t>
  </si>
  <si>
    <t>F0326-C4295</t>
  </si>
  <si>
    <t>F0326-C4294</t>
  </si>
  <si>
    <t>F0326-C4293</t>
  </si>
  <si>
    <t>E1110-C3046</t>
  </si>
  <si>
    <t>E1113-C3058</t>
  </si>
  <si>
    <t>E1113-C3055</t>
  </si>
  <si>
    <t>E1113-C3057</t>
  </si>
  <si>
    <t>E1113-C3056</t>
  </si>
  <si>
    <t>E1113-C3059</t>
  </si>
  <si>
    <t>E1113-C3064</t>
  </si>
  <si>
    <t>E1113-C3062</t>
  </si>
  <si>
    <t>E1113-C3060</t>
  </si>
  <si>
    <t>E1109-C3027</t>
  </si>
  <si>
    <t>E1111-C3051</t>
  </si>
  <si>
    <t>E1110-C3047</t>
  </si>
  <si>
    <t>E0930-C2673</t>
  </si>
  <si>
    <t>E1111-C3049</t>
  </si>
  <si>
    <t>E1111-C3050</t>
  </si>
  <si>
    <t>E1110-C3041</t>
  </si>
  <si>
    <t>E1110-C3042</t>
  </si>
  <si>
    <t>E1111-C3048</t>
  </si>
  <si>
    <t>E1111-C3052</t>
  </si>
  <si>
    <t>E1111-C3054</t>
  </si>
  <si>
    <t>E1109-C3017</t>
  </si>
  <si>
    <t>E1111-C3053</t>
  </si>
  <si>
    <t>E0916-C2542</t>
  </si>
  <si>
    <t>E0925-C2622</t>
  </si>
  <si>
    <t>E0922-C2606</t>
  </si>
  <si>
    <t>E0921-C2590</t>
  </si>
  <si>
    <t>E0923-C2613</t>
  </si>
  <si>
    <t>E0923-C2614</t>
  </si>
  <si>
    <t>E0923-C2615</t>
  </si>
  <si>
    <t>E0923-C2616</t>
  </si>
  <si>
    <t>E0920-C2572</t>
  </si>
  <si>
    <t>E0925-C2617</t>
  </si>
  <si>
    <t>E0907-C2449</t>
  </si>
  <si>
    <t>E0920-C2579</t>
  </si>
  <si>
    <t>F0327-C4297</t>
  </si>
  <si>
    <t>F0327-C4306</t>
  </si>
  <si>
    <t>F0327-C4304</t>
  </si>
  <si>
    <t>F0327-C4303</t>
  </si>
  <si>
    <t>F0327-C4301</t>
  </si>
  <si>
    <t>F0327-C4300</t>
  </si>
  <si>
    <t>F0327-C4298</t>
  </si>
  <si>
    <t>F0326-C4292</t>
  </si>
  <si>
    <t>E1110-C3044</t>
  </si>
  <si>
    <t>E1115-C3079</t>
  </si>
  <si>
    <t>E1114-C3068</t>
  </si>
  <si>
    <t>E1114-C3069</t>
  </si>
  <si>
    <t>E1114-C3070</t>
  </si>
  <si>
    <t>E1115-C3080</t>
  </si>
  <si>
    <t>E1115-C3072</t>
  </si>
  <si>
    <t>E1115-C3074</t>
  </si>
  <si>
    <t>E1115-C3076</t>
  </si>
  <si>
    <t>E1115-C3078</t>
  </si>
  <si>
    <t>E1116-C3085</t>
  </si>
  <si>
    <t>E1116-C3088</t>
  </si>
  <si>
    <t>E1115-C3081</t>
  </si>
  <si>
    <t>E1115-C3073</t>
  </si>
  <si>
    <t>E1115-C3071</t>
  </si>
  <si>
    <t>E1116-C3082</t>
  </si>
  <si>
    <t>E1115-C3075</t>
  </si>
  <si>
    <t>E1116-C3086</t>
  </si>
  <si>
    <t>E1116-C3087</t>
  </si>
  <si>
    <t>E1117-C3107</t>
  </si>
  <si>
    <t>E1116-C3089</t>
  </si>
  <si>
    <t>E1116-C3094</t>
  </si>
  <si>
    <t>E1116-C3095</t>
  </si>
  <si>
    <t>E1116-C3099</t>
  </si>
  <si>
    <t>E1116-C3097</t>
  </si>
  <si>
    <t>E1116-C3100</t>
  </si>
  <si>
    <t>E1116-C3102</t>
  </si>
  <si>
    <t>E1116-C3091</t>
  </si>
  <si>
    <t>E1116-C3092</t>
  </si>
  <si>
    <t>E1117-C3105</t>
  </si>
  <si>
    <t>E1117-C3109</t>
  </si>
  <si>
    <t>E1117-C3112</t>
  </si>
  <si>
    <t>E1116-C3093</t>
  </si>
  <si>
    <t>E1117-C3106</t>
  </si>
  <si>
    <t>E1116-C3083</t>
  </si>
  <si>
    <t>E1115-C3077</t>
  </si>
  <si>
    <t>E1117-C3103</t>
  </si>
  <si>
    <t>E1117-C3108</t>
  </si>
  <si>
    <t>E1116-C3101</t>
  </si>
  <si>
    <t>E1116-C3096</t>
  </si>
  <si>
    <t>E1117-C3104</t>
  </si>
  <si>
    <t>E1012-C2812</t>
  </si>
  <si>
    <t>E0920-C2577</t>
  </si>
  <si>
    <t>E0921-C2588</t>
  </si>
  <si>
    <t>E0921-C2592</t>
  </si>
  <si>
    <t>E0921-C2595</t>
  </si>
  <si>
    <t>E0921-C2585</t>
  </si>
  <si>
    <t>E0921-C2593</t>
  </si>
  <si>
    <t>E0920-C2580</t>
  </si>
  <si>
    <t>E0921-C2597</t>
  </si>
  <si>
    <t>E0921-C2596</t>
  </si>
  <si>
    <t>E0921-C2582</t>
  </si>
  <si>
    <t>E0919-C2558</t>
  </si>
  <si>
    <t>E0921-C2583</t>
  </si>
  <si>
    <t>E0921-C2581</t>
  </si>
  <si>
    <t>E0921-C2594</t>
  </si>
  <si>
    <t>E0921-C2586</t>
  </si>
  <si>
    <t>E0921-C2591</t>
  </si>
  <si>
    <t>E0920-C2574</t>
  </si>
  <si>
    <t>E1026-C2935</t>
  </si>
  <si>
    <t>E1026-C2933</t>
  </si>
  <si>
    <t>E1026-C2934</t>
  </si>
  <si>
    <t>E1026-C2937</t>
  </si>
  <si>
    <t>E1026-C2938</t>
  </si>
  <si>
    <t>E1026-C2939</t>
  </si>
  <si>
    <t>E1026-C2941</t>
  </si>
  <si>
    <t>E1026-C2942</t>
  </si>
  <si>
    <t>E1026-C2944</t>
  </si>
  <si>
    <t>E1026-C2948</t>
  </si>
  <si>
    <t>E1026-C2950</t>
  </si>
  <si>
    <t>E1026-C2949</t>
  </si>
  <si>
    <t>E1026-C2936</t>
  </si>
  <si>
    <t>E1006-C2751</t>
  </si>
  <si>
    <t>E1026-C2946</t>
  </si>
  <si>
    <t>E1026-C2947</t>
  </si>
  <si>
    <t>E1026-C2940</t>
  </si>
  <si>
    <t>E0921-C2589</t>
  </si>
  <si>
    <t>E0921-C2584</t>
  </si>
  <si>
    <t>E0922-C2601</t>
  </si>
  <si>
    <t>E0922-C2602</t>
  </si>
  <si>
    <t>E0922-C2604</t>
  </si>
  <si>
    <t>E0922-C2607</t>
  </si>
  <si>
    <t>E0922-C2609</t>
  </si>
  <si>
    <t>E0922-C2605</t>
  </si>
  <si>
    <t>E0922-C2598</t>
  </si>
  <si>
    <t>E0922-C2603</t>
  </si>
  <si>
    <t>E0922-C2612</t>
  </si>
  <si>
    <t>E0922-C2600</t>
  </si>
  <si>
    <t>E0922-C2608</t>
  </si>
  <si>
    <t>E0921-C2587</t>
  </si>
  <si>
    <t>E0922-C2599</t>
  </si>
  <si>
    <t>E0922-C2610</t>
  </si>
  <si>
    <t>E0922-C2611</t>
  </si>
  <si>
    <t>E1013-C2829</t>
  </si>
  <si>
    <t>E1013-C2830</t>
  </si>
  <si>
    <t>E1013-C2831</t>
  </si>
  <si>
    <t>E1013-C2832</t>
  </si>
  <si>
    <t>E1014-C2834</t>
  </si>
  <si>
    <t>E1014-C2837</t>
  </si>
  <si>
    <t>E1014-C2843</t>
  </si>
  <si>
    <t>E1011-C2809</t>
  </si>
  <si>
    <t>E1014-C2838</t>
  </si>
  <si>
    <t>E1014-C2841</t>
  </si>
  <si>
    <t>E1014-C2840</t>
  </si>
  <si>
    <t>E1014-C2836</t>
  </si>
  <si>
    <t>E1013-C2833</t>
  </si>
  <si>
    <t>E1124-C3166</t>
  </si>
  <si>
    <t>E1123-C3153</t>
  </si>
  <si>
    <t>E1122-C3138</t>
  </si>
  <si>
    <t>E1123-C3147</t>
  </si>
  <si>
    <t>E1124-C3154</t>
  </si>
  <si>
    <t>E1124-C3155</t>
  </si>
  <si>
    <t>E1124-C3158</t>
  </si>
  <si>
    <t>E1124-C3157</t>
  </si>
  <si>
    <t>E1124-C3161</t>
  </si>
  <si>
    <t>E1124-C3164</t>
  </si>
  <si>
    <t>E1124-C3159</t>
  </si>
  <si>
    <t>E1124-C3156</t>
  </si>
  <si>
    <t>E1124-C3163</t>
  </si>
  <si>
    <t>E1124-C3160</t>
  </si>
  <si>
    <t>E1124-C3167</t>
  </si>
  <si>
    <t>E1124-C3162</t>
  </si>
  <si>
    <t>E1123-C3146</t>
  </si>
  <si>
    <t>F0306-C4125</t>
  </si>
  <si>
    <t>F0307-C4128</t>
  </si>
  <si>
    <t>F0307-C4133</t>
  </si>
  <si>
    <t>F0216-C3987</t>
  </si>
  <si>
    <t>F0307-C4129</t>
  </si>
  <si>
    <t>F0307-C4131</t>
  </si>
  <si>
    <t>F0307-C4130</t>
  </si>
  <si>
    <t>F0307-C4132</t>
  </si>
  <si>
    <t>F0306-C4127</t>
  </si>
  <si>
    <t>F0306-C4121</t>
  </si>
  <si>
    <t>F0306-C4120</t>
  </si>
  <si>
    <t>F0306-C4122</t>
  </si>
  <si>
    <t>F0306-C4118</t>
  </si>
  <si>
    <t>F0306-C4117</t>
  </si>
  <si>
    <t>F0303-C4101</t>
  </si>
  <si>
    <t>F0303-C4099</t>
  </si>
  <si>
    <t>F0306-C4126</t>
  </si>
  <si>
    <t>F0305-C4104</t>
  </si>
  <si>
    <t>E0926-C2634</t>
  </si>
  <si>
    <t>E0926-C2633</t>
  </si>
  <si>
    <t>E0926-C2632</t>
  </si>
  <si>
    <t>E1113-C3061</t>
  </si>
  <si>
    <t>E1114-C3065</t>
  </si>
  <si>
    <t>E1114-C3067</t>
  </si>
  <si>
    <t>E1114-C3066</t>
  </si>
  <si>
    <t>E1113-C3063</t>
  </si>
  <si>
    <t>E1019-C2881</t>
  </si>
  <si>
    <t>E1018-C2866</t>
  </si>
  <si>
    <t>E1019-C2875</t>
  </si>
  <si>
    <t>E1019-C2878</t>
  </si>
  <si>
    <t>E1019-C2882</t>
  </si>
  <si>
    <t>E1019-C2879</t>
  </si>
  <si>
    <t>E1019-C2877</t>
  </si>
  <si>
    <t>E1019-C2884</t>
  </si>
  <si>
    <t>E1019-C2886</t>
  </si>
  <si>
    <t>E1019-C2874</t>
  </si>
  <si>
    <t>E1019-C2880</t>
  </si>
  <si>
    <t>E1019-C2873</t>
  </si>
  <si>
    <t>F0713-C5327</t>
  </si>
  <si>
    <t>F0713-C5329</t>
  </si>
  <si>
    <t>F0712-C5310</t>
  </si>
  <si>
    <t>F0710-C5295</t>
  </si>
  <si>
    <t>F0712-C5322</t>
  </si>
  <si>
    <t>F0711-C5306</t>
  </si>
  <si>
    <t>F0712-C5325</t>
  </si>
  <si>
    <t>F0713-C5340</t>
  </si>
  <si>
    <t>F0713-C5341</t>
  </si>
  <si>
    <t>F0712-C5326</t>
  </si>
  <si>
    <t>F0713-C5339</t>
  </si>
  <si>
    <t>F0713-C5336</t>
  </si>
  <si>
    <t>F0713-C5334</t>
  </si>
  <si>
    <t>F0713-C5333</t>
  </si>
  <si>
    <t>F0713-C5332</t>
  </si>
  <si>
    <t>F0713-C5343</t>
  </si>
  <si>
    <t>F0713-C5337</t>
  </si>
  <si>
    <t>F0713-C5342</t>
  </si>
  <si>
    <t>F0713-C5338</t>
  </si>
  <si>
    <t>F0713-C5335</t>
  </si>
  <si>
    <t>F0713-C5330</t>
  </si>
  <si>
    <t>F0713-C5328</t>
  </si>
  <si>
    <t>F0713-C5331</t>
  </si>
  <si>
    <t>F0519-C4794</t>
  </si>
  <si>
    <t>F0521-C4803</t>
  </si>
  <si>
    <t>F0521-C4797</t>
  </si>
  <si>
    <t>F0521-C4804</t>
  </si>
  <si>
    <t>F0521-C4801</t>
  </si>
  <si>
    <t>F0418-C4516</t>
  </si>
  <si>
    <t>F0519-C4795</t>
  </si>
  <si>
    <t>F0521-C4796</t>
  </si>
  <si>
    <t>F0521-C4799</t>
  </si>
  <si>
    <t>F0521-C4798</t>
  </si>
  <si>
    <t>F0521-C4805</t>
  </si>
  <si>
    <t>F0327-C4305</t>
  </si>
  <si>
    <t>F0324-C4284</t>
  </si>
  <si>
    <t>F0328-C4307</t>
  </si>
  <si>
    <t>F0328-C4309</t>
  </si>
  <si>
    <t>F0328-C4311</t>
  </si>
  <si>
    <t>F0328-C4315</t>
  </si>
  <si>
    <t>F0328-C4314</t>
  </si>
  <si>
    <t>F0327-C4302</t>
  </si>
  <si>
    <t>F0328-C4312</t>
  </si>
  <si>
    <t>F0327-C4299</t>
  </si>
  <si>
    <t>F0328-C4308</t>
  </si>
  <si>
    <t>F0328-C4310</t>
  </si>
  <si>
    <t>F0328-C4313</t>
  </si>
  <si>
    <t>E1020-C2893</t>
  </si>
  <si>
    <t>E1023-C2916</t>
  </si>
  <si>
    <t>E1023-C2919</t>
  </si>
  <si>
    <t>E1023-C2918</t>
  </si>
  <si>
    <t>E1023-C2917</t>
  </si>
  <si>
    <t>F0308-C4141</t>
  </si>
  <si>
    <t>F0308-C4142</t>
  </si>
  <si>
    <t>F0308-C4136</t>
  </si>
  <si>
    <t>F0308-C4139</t>
  </si>
  <si>
    <t>F0308-C4135</t>
  </si>
  <si>
    <t>F0308-C4147</t>
  </si>
  <si>
    <t>F0308-C4148</t>
  </si>
  <si>
    <t>F0308-C4137</t>
  </si>
  <si>
    <t>F0308-C4140</t>
  </si>
  <si>
    <t>F0308-C4145</t>
  </si>
  <si>
    <t>F0308-C4143</t>
  </si>
  <si>
    <t>F0308-C4138</t>
  </si>
  <si>
    <t>F0307-C4134</t>
  </si>
  <si>
    <t>E1021-C2912</t>
  </si>
  <si>
    <t>E1116-C3084</t>
  </si>
  <si>
    <t>E1116-C3098</t>
  </si>
  <si>
    <t>E1117-C3113</t>
  </si>
  <si>
    <t>E1119-C3129</t>
  </si>
  <si>
    <t>E1118-C3116</t>
  </si>
  <si>
    <t>E1118-C3119</t>
  </si>
  <si>
    <t>E1118-C3120</t>
  </si>
  <si>
    <t>E1119-C3128</t>
  </si>
  <si>
    <t>E1119-C3125</t>
  </si>
  <si>
    <t>E1119-C3123</t>
  </si>
  <si>
    <t>E1119-C3127</t>
  </si>
  <si>
    <t>E1118-C3121</t>
  </si>
  <si>
    <t>E1118-C3115</t>
  </si>
  <si>
    <t>E1116-C3090</t>
  </si>
  <si>
    <t>E1118-C3117</t>
  </si>
  <si>
    <t>E1118-C3118</t>
  </si>
  <si>
    <t>E1119-C3122</t>
  </si>
  <si>
    <t>E1119-C3124</t>
  </si>
  <si>
    <t>E1119-C3126</t>
  </si>
  <si>
    <t>F0423-C4558</t>
  </si>
  <si>
    <t>F0423-C4559</t>
  </si>
  <si>
    <t>F0423-C4562</t>
  </si>
  <si>
    <t>F0423-C4561</t>
  </si>
  <si>
    <t>F0423-C4557</t>
  </si>
  <si>
    <t>F0423-C4560</t>
  </si>
  <si>
    <t>F0423-C4563</t>
  </si>
  <si>
    <t>F0308-C4144</t>
  </si>
  <si>
    <t>F0309-C4151</t>
  </si>
  <si>
    <t>F0308-C4146</t>
  </si>
  <si>
    <t>F0309-C4161</t>
  </si>
  <si>
    <t>F0309-C4163</t>
  </si>
  <si>
    <t>F0309-C4159</t>
  </si>
  <si>
    <t>F0309-C4156</t>
  </si>
  <si>
    <t>F0309-C4155</t>
  </si>
  <si>
    <t>F0308-C4149</t>
  </si>
  <si>
    <t>F0309-C4158</t>
  </si>
  <si>
    <t>F0309-C4154</t>
  </si>
  <si>
    <t>F0309-C4165</t>
  </si>
  <si>
    <t>F0309-C4157</t>
  </si>
  <si>
    <t>F0309-C4167</t>
  </si>
  <si>
    <t>F0309-C4168</t>
  </si>
  <si>
    <t>F0308-C4150</t>
  </si>
  <si>
    <t>F0309-C4164</t>
  </si>
  <si>
    <t>F0309-C4153</t>
  </si>
  <si>
    <t>E1024-C2922</t>
  </si>
  <si>
    <t>E1024-C2924</t>
  </si>
  <si>
    <t>E1023-C2920</t>
  </si>
  <si>
    <t>E1024-C2921</t>
  </si>
  <si>
    <t>E1024-C2923</t>
  </si>
  <si>
    <t>E1122-C3142</t>
  </si>
  <si>
    <t>E1122-C3140</t>
  </si>
  <si>
    <t>E1122-C3139</t>
  </si>
  <si>
    <t>E1121-C3137</t>
  </si>
  <si>
    <t>E1122-C3143</t>
  </si>
  <si>
    <t>E1122-C3141</t>
  </si>
  <si>
    <t>F0510-C4697</t>
  </si>
  <si>
    <t>F0510-C4695</t>
  </si>
  <si>
    <t>F0510-C4692</t>
  </si>
  <si>
    <t>F0510-C4696</t>
  </si>
  <si>
    <t>F0510-C4694</t>
  </si>
  <si>
    <t>F0510-C4693</t>
  </si>
  <si>
    <t>F0510-C4689</t>
  </si>
  <si>
    <t>F0510-C4687</t>
  </si>
  <si>
    <t>F0510-C4698</t>
  </si>
  <si>
    <t>F0511-C4701</t>
  </si>
  <si>
    <t>F0511-C4704</t>
  </si>
  <si>
    <t>F0511-C4710</t>
  </si>
  <si>
    <t>F0511-C4712</t>
  </si>
  <si>
    <t>F0511-C4713</t>
  </si>
  <si>
    <t>F0511-C4715</t>
  </si>
  <si>
    <t>F0511-C4708</t>
  </si>
  <si>
    <t>F0511-C4700</t>
  </si>
  <si>
    <t>F0511-C4711</t>
  </si>
  <si>
    <t>F0510-C4691</t>
  </si>
  <si>
    <t>F0511-C4705</t>
  </si>
  <si>
    <t>F0511-C4714</t>
  </si>
  <si>
    <t>F0511-C4703</t>
  </si>
  <si>
    <t>F0511-C4706</t>
  </si>
  <si>
    <t>F0510-C4688</t>
  </si>
  <si>
    <t>F0510-C4690</t>
  </si>
  <si>
    <t>F0509-C4685</t>
  </si>
  <si>
    <t>F0511-C4702</t>
  </si>
  <si>
    <t>E1025-C2929</t>
  </si>
  <si>
    <t>E1025-C2930</t>
  </si>
  <si>
    <t>E1025-C2928</t>
  </si>
  <si>
    <t>E1024-C2925</t>
  </si>
  <si>
    <t>E1003-C2711</t>
  </si>
  <si>
    <t>E1025-C2932</t>
  </si>
  <si>
    <t>E1027-C2951</t>
  </si>
  <si>
    <t>E1027-C2952</t>
  </si>
  <si>
    <t>E1027-C2953</t>
  </si>
  <si>
    <t>E1027-C2954</t>
  </si>
  <si>
    <t>E1027-C2957</t>
  </si>
  <si>
    <t>E1027-C2955</t>
  </si>
  <si>
    <t>E1026-C2945</t>
  </si>
  <si>
    <t>E1027-C2958</t>
  </si>
  <si>
    <t>E1027-C2956</t>
  </si>
  <si>
    <t>E1026-C2943</t>
  </si>
  <si>
    <t>E1028-C2967</t>
  </si>
  <si>
    <t>E1030-C2969</t>
  </si>
  <si>
    <t>E1030-C2971</t>
  </si>
  <si>
    <t>E1030-C2972</t>
  </si>
  <si>
    <t>E1030-C2970</t>
  </si>
  <si>
    <t>F0309-C4152</t>
  </si>
  <si>
    <t>F0310-C4170</t>
  </si>
  <si>
    <t>F0310-C4174</t>
  </si>
  <si>
    <t>F0310-C4173</t>
  </si>
  <si>
    <t>F0310-C4172</t>
  </si>
  <si>
    <t>F0310-C4169</t>
  </si>
  <si>
    <t>F0306-C4124</t>
  </si>
  <si>
    <t>F0310-C4171</t>
  </si>
  <si>
    <t>F0309-C4166</t>
  </si>
  <si>
    <t>F0309-C4160</t>
  </si>
  <si>
    <t>F0310-C4176</t>
  </si>
  <si>
    <t>E1117-C3111</t>
  </si>
  <si>
    <t>E1117-C3110</t>
  </si>
  <si>
    <t>E1030-C2973</t>
  </si>
  <si>
    <t>F0329-C4317</t>
  </si>
  <si>
    <t>F0329-C4316</t>
  </si>
  <si>
    <t>F0329-C4324</t>
  </si>
  <si>
    <t>F0329-C4321</t>
  </si>
  <si>
    <t>F0329-C4323</t>
  </si>
  <si>
    <t>F0329-C4326</t>
  </si>
  <si>
    <t>F0329-C4327</t>
  </si>
  <si>
    <t>F0329-C4319</t>
  </si>
  <si>
    <t>F0329-C4320</t>
  </si>
  <si>
    <t>F0306-C4119</t>
  </si>
  <si>
    <t>F0329-C4322</t>
  </si>
  <si>
    <t>F0329-C4325</t>
  </si>
  <si>
    <t>F0329-C4328</t>
  </si>
  <si>
    <t>F0329-C4318</t>
  </si>
  <si>
    <t>F0329-C4329</t>
  </si>
  <si>
    <t>E1121-C3130</t>
  </si>
  <si>
    <t>E1121-C3132</t>
  </si>
  <si>
    <t>E1121-C3133</t>
  </si>
  <si>
    <t>E1121-C3135</t>
  </si>
  <si>
    <t>E1121-C3134</t>
  </si>
  <si>
    <t>E1121-C3131</t>
  </si>
  <si>
    <t>E1121-C3136</t>
  </si>
  <si>
    <t>F0424-C4566</t>
  </si>
  <si>
    <t>F0426-C4573</t>
  </si>
  <si>
    <t>F0425-C4572</t>
  </si>
  <si>
    <t>F0426-C4574</t>
  </si>
  <si>
    <t>F0426-C4578</t>
  </si>
  <si>
    <t>F0426-C4585</t>
  </si>
  <si>
    <t>F0426-C4581</t>
  </si>
  <si>
    <t>F0426-C4575</t>
  </si>
  <si>
    <t>F0426-C4579</t>
  </si>
  <si>
    <t>F0426-C4576</t>
  </si>
  <si>
    <t>F0426-C4580</t>
  </si>
  <si>
    <t>F0330-C4330</t>
  </si>
  <si>
    <t>F0330-C4340</t>
  </si>
  <si>
    <t>F0330-C4334</t>
  </si>
  <si>
    <t>F0330-C4338</t>
  </si>
  <si>
    <t>F0330-C4343</t>
  </si>
  <si>
    <t>F0330-C4342</t>
  </si>
  <si>
    <t>F0330-C4333</t>
  </si>
  <si>
    <t>F0330-C4332</t>
  </si>
  <si>
    <t>F0330-C4331</t>
  </si>
  <si>
    <t>F0330-C4335</t>
  </si>
  <si>
    <t>F0330-C4336</t>
  </si>
  <si>
    <t>F0330-C4339</t>
  </si>
  <si>
    <t>F0330-C4341</t>
  </si>
  <si>
    <t>F0403-C4352</t>
  </si>
  <si>
    <t>F0403-C4351</t>
  </si>
  <si>
    <t>F0404-C4358</t>
  </si>
  <si>
    <t>F0404-C4359</t>
  </si>
  <si>
    <t>F0404-C4361</t>
  </si>
  <si>
    <t>F0404-C4360</t>
  </si>
  <si>
    <t>F0330-C4337</t>
  </si>
  <si>
    <t>E1123-C3145</t>
  </si>
  <si>
    <t>E1123-C3151</t>
  </si>
  <si>
    <t>E1123-C3149</t>
  </si>
  <si>
    <t>E1123-C3148</t>
  </si>
  <si>
    <t>E1123-C3150</t>
  </si>
  <si>
    <t>E1123-C3152</t>
  </si>
  <si>
    <t>E1122-C3144</t>
  </si>
  <si>
    <t>F0424-C4567</t>
  </si>
  <si>
    <t>F0425-C4571</t>
  </si>
  <si>
    <t>F0425-C4570</t>
  </si>
  <si>
    <t>F0425-C4569</t>
  </si>
  <si>
    <t>F0424-C4564</t>
  </si>
  <si>
    <t>F0424-C4565</t>
  </si>
  <si>
    <t>F0424-C4568</t>
  </si>
  <si>
    <t>F0517-C4765</t>
  </si>
  <si>
    <t>F0522-C4808</t>
  </si>
  <si>
    <t>F0522-C4809</t>
  </si>
  <si>
    <t>F0522-C4806</t>
  </si>
  <si>
    <t>F0522-C4807</t>
  </si>
  <si>
    <t>F0521-C4802</t>
  </si>
  <si>
    <t>F0522-C4810</t>
  </si>
  <si>
    <t>F0618-C5030</t>
  </si>
  <si>
    <t>F0403-C4349</t>
  </si>
  <si>
    <t>F0403-C4355</t>
  </si>
  <si>
    <t>F0403-C4356</t>
  </si>
  <si>
    <t>F0403-C4354</t>
  </si>
  <si>
    <t>F0403-C4350</t>
  </si>
  <si>
    <t>F0403-C4353</t>
  </si>
  <si>
    <t>F0402-C4344</t>
  </si>
  <si>
    <t>F0501-C4612</t>
  </si>
  <si>
    <t>F0501-C4610</t>
  </si>
  <si>
    <t>F0501-C4614</t>
  </si>
  <si>
    <t>F0501-C4611</t>
  </si>
  <si>
    <t>F0501-C4613</t>
  </si>
  <si>
    <t>F0426-C4588</t>
  </si>
  <si>
    <t>F0426-C4577</t>
  </si>
  <si>
    <t>F0426-C4584</t>
  </si>
  <si>
    <t>F0426-C4582</t>
  </si>
  <si>
    <t>F0426-C4586</t>
  </si>
  <si>
    <t>F0426-C4583</t>
  </si>
  <si>
    <t>F0427-C4590</t>
  </si>
  <si>
    <t>F0427-C4591</t>
  </si>
  <si>
    <t>F0427-C4592</t>
  </si>
  <si>
    <t>F0427-C4593</t>
  </si>
  <si>
    <t>F0427-C4594</t>
  </si>
  <si>
    <t>F0427-C4596</t>
  </si>
  <si>
    <t>F0427-C4598</t>
  </si>
  <si>
    <t>F0426-C4587</t>
  </si>
  <si>
    <t>F0427-C4595</t>
  </si>
  <si>
    <t>F0427-C4599</t>
  </si>
  <si>
    <t>F0426-C4589</t>
  </si>
  <si>
    <t>F0406-C4381</t>
  </si>
  <si>
    <t>F0406-C4380</t>
  </si>
  <si>
    <t>F0406-C4382</t>
  </si>
  <si>
    <t>F0406-C4387</t>
  </si>
  <si>
    <t>F0406-C4390</t>
  </si>
  <si>
    <t>F0406-C4388</t>
  </si>
  <si>
    <t>F0406-C4391</t>
  </si>
  <si>
    <t>F0406-C4389</t>
  </si>
  <si>
    <t>F0406-C4392</t>
  </si>
  <si>
    <t>F0406-C4386</t>
  </si>
  <si>
    <t>F0406-C4383</t>
  </si>
  <si>
    <t>F0406-C4394</t>
  </si>
  <si>
    <t>F0406-C4385</t>
  </si>
  <si>
    <t>F0406-C4384</t>
  </si>
  <si>
    <t>F0406-C4393</t>
  </si>
  <si>
    <t>F0406-C4395</t>
  </si>
  <si>
    <t>F0406-C4396</t>
  </si>
  <si>
    <t>F0407-C4397</t>
  </si>
  <si>
    <t>F0407-C4400</t>
  </si>
  <si>
    <t>F0407-C4401</t>
  </si>
  <si>
    <t>F0407-C4403</t>
  </si>
  <si>
    <t>F0407-C4402</t>
  </si>
  <si>
    <t>F0407-C4407</t>
  </si>
  <si>
    <t>F0407-C4398</t>
  </si>
  <si>
    <t>F0407-C4399</t>
  </si>
  <si>
    <t>F0407-C4404</t>
  </si>
  <si>
    <t>F0407-C4408</t>
  </si>
  <si>
    <t>F0407-C4406</t>
  </si>
  <si>
    <t>F0523-C4813</t>
  </si>
  <si>
    <t>F0523-C4814</t>
  </si>
  <si>
    <t>F0523-C4818</t>
  </si>
  <si>
    <t>F0523-C4815</t>
  </si>
  <si>
    <t>F0523-C4816</t>
  </si>
  <si>
    <t>F0523-C4811</t>
  </si>
  <si>
    <t>F0523-C4812</t>
  </si>
  <si>
    <t>F0523-C4819</t>
  </si>
  <si>
    <t>F0523-C4817</t>
  </si>
  <si>
    <t>F0410-C4433</t>
  </si>
  <si>
    <t>F0410-C4424</t>
  </si>
  <si>
    <t>F0410-C4431</t>
  </si>
  <si>
    <t>F0410-C4421</t>
  </si>
  <si>
    <t>F0410-C4427</t>
  </si>
  <si>
    <t>F0410-C4425</t>
  </si>
  <si>
    <t>F0410-C4435</t>
  </si>
  <si>
    <t>F0410-C4429</t>
  </si>
  <si>
    <t>F0410-C4430</t>
  </si>
  <si>
    <t>F0410-C4436</t>
  </si>
  <si>
    <t>F0410-C4426</t>
  </si>
  <si>
    <t>F0410-C4422</t>
  </si>
  <si>
    <t>F0410-C4432</t>
  </si>
  <si>
    <t>F0410-C4423</t>
  </si>
  <si>
    <t>F0714-C5350</t>
  </si>
  <si>
    <t>F0714-C5351</t>
  </si>
  <si>
    <t>F0714-C5349</t>
  </si>
  <si>
    <t>F0714-C5357</t>
  </si>
  <si>
    <t>F0714-C5361</t>
  </si>
  <si>
    <t>F0714-C5360</t>
  </si>
  <si>
    <t>F0714-C5355</t>
  </si>
  <si>
    <t>F0714-C5348</t>
  </si>
  <si>
    <t>F0714-C5347</t>
  </si>
  <si>
    <t>F0714-C5352</t>
  </si>
  <si>
    <t>F0714-C5346</t>
  </si>
  <si>
    <t>F0714-C5353</t>
  </si>
  <si>
    <t>F0714-C5354</t>
  </si>
  <si>
    <t>F0713-C5345</t>
  </si>
  <si>
    <t>F0523-C4820</t>
  </si>
  <si>
    <t>F0524-C4821</t>
  </si>
  <si>
    <t>F0524-C4826</t>
  </si>
  <si>
    <t>F0524-C4830</t>
  </si>
  <si>
    <t>F0524-C4833</t>
  </si>
  <si>
    <t>F0517-C4767</t>
  </si>
  <si>
    <t>F0524-C4824</t>
  </si>
  <si>
    <t>F0616-C5027</t>
  </si>
  <si>
    <t>F0524-C4825</t>
  </si>
  <si>
    <t>F0524-C4822</t>
  </si>
  <si>
    <t>F0525-C4834</t>
  </si>
  <si>
    <t>F0525-C4835</t>
  </si>
  <si>
    <t>F0524-C4827</t>
  </si>
  <si>
    <t>F0525-C4839</t>
  </si>
  <si>
    <t>F0525-C4842</t>
  </si>
  <si>
    <t>F0525-C4837</t>
  </si>
  <si>
    <t>F0524-C4823</t>
  </si>
  <si>
    <t>F0525-C4841</t>
  </si>
  <si>
    <t>F0524-C4828</t>
  </si>
  <si>
    <t>F0524-C4831</t>
  </si>
  <si>
    <t>F0525-C4838</t>
  </si>
  <si>
    <t>F0525-C4836</t>
  </si>
  <si>
    <t>F0502-C4616</t>
  </si>
  <si>
    <t>F0502-C4617</t>
  </si>
  <si>
    <t>F0502-C4618</t>
  </si>
  <si>
    <t>F0502-C4620</t>
  </si>
  <si>
    <t>F0502-C4619</t>
  </si>
  <si>
    <t>F0502-C4615</t>
  </si>
  <si>
    <t>F0629-C5170</t>
  </si>
  <si>
    <t>F0628-C5148</t>
  </si>
  <si>
    <t>F0628-C5154</t>
  </si>
  <si>
    <t>F0628-C5156</t>
  </si>
  <si>
    <t>F0629-C5158</t>
  </si>
  <si>
    <t>F0629-C5160</t>
  </si>
  <si>
    <t>F0629-C5161</t>
  </si>
  <si>
    <t>F0629-C5163</t>
  </si>
  <si>
    <t>F0629-C5165</t>
  </si>
  <si>
    <t>F0629-C5167</t>
  </si>
  <si>
    <t>F0629-C5169</t>
  </si>
  <si>
    <t>F0629-C5171</t>
  </si>
  <si>
    <t>F0629-C5172</t>
  </si>
  <si>
    <t>F0629-C5173</t>
  </si>
  <si>
    <t>F0629-C5162</t>
  </si>
  <si>
    <t>F0629-C5166</t>
  </si>
  <si>
    <t>F0629-C5168</t>
  </si>
  <si>
    <t>F0629-C5157</t>
  </si>
  <si>
    <t>F0629-C5159</t>
  </si>
  <si>
    <t>F0629-C5175</t>
  </si>
  <si>
    <t>F0629-C5174</t>
  </si>
  <si>
    <t>F0503-C4636</t>
  </si>
  <si>
    <t>F0620-C5041</t>
  </si>
  <si>
    <t>F0620-C5044</t>
  </si>
  <si>
    <t>F0620-C5048</t>
  </si>
  <si>
    <t>F0620-C5042</t>
  </si>
  <si>
    <t>F0620-C5043</t>
  </si>
  <si>
    <t>F0620-C5047</t>
  </si>
  <si>
    <t>F0620-C5045</t>
  </si>
  <si>
    <t>F0620-C5049</t>
  </si>
  <si>
    <t>F0619-C5040</t>
  </si>
  <si>
    <t>F0526-C4843</t>
  </si>
  <si>
    <t>F0526-C4845</t>
  </si>
  <si>
    <t>F0526-C4846</t>
  </si>
  <si>
    <t>F0526-C4847</t>
  </si>
  <si>
    <t>F0526-C4848</t>
  </si>
  <si>
    <t>F0526-C4844</t>
  </si>
  <si>
    <t>F0608-C4950</t>
  </si>
  <si>
    <t>F0621-C5058</t>
  </si>
  <si>
    <t>F0621-C5061</t>
  </si>
  <si>
    <t>F0620-C5046</t>
  </si>
  <si>
    <t>F0621-C5063</t>
  </si>
  <si>
    <t>F0621-C5071</t>
  </si>
  <si>
    <t>F0622-C5079</t>
  </si>
  <si>
    <t>F0622-C5082</t>
  </si>
  <si>
    <t>F0620-C5052</t>
  </si>
  <si>
    <t>F0622-C5078</t>
  </si>
  <si>
    <t>F0622-C5086</t>
  </si>
  <si>
    <t>F0622-C5087</t>
  </si>
  <si>
    <t>F0507-C4663</t>
  </si>
  <si>
    <t>F0507-C4665</t>
  </si>
  <si>
    <t>F0508-C4666</t>
  </si>
  <si>
    <t>F0508-C4670</t>
  </si>
  <si>
    <t>F0508-C4675</t>
  </si>
  <si>
    <t>F0508-C4674</t>
  </si>
  <si>
    <t>F0508-C4672</t>
  </si>
  <si>
    <t>F0508-C4676</t>
  </si>
  <si>
    <t>F0508-C4671</t>
  </si>
  <si>
    <t>F0508-C4669</t>
  </si>
  <si>
    <t>F0508-C4673</t>
  </si>
  <si>
    <t>F0508-C4668</t>
  </si>
  <si>
    <t>F0508-C4667</t>
  </si>
  <si>
    <t>F0507-C4661</t>
  </si>
  <si>
    <t>F0621-C5053</t>
  </si>
  <si>
    <t>F0621-C5057</t>
  </si>
  <si>
    <t>F0621-C5056</t>
  </si>
  <si>
    <t>F0621-C5064</t>
  </si>
  <si>
    <t>F0621-C5062</t>
  </si>
  <si>
    <t>F0621-C5065</t>
  </si>
  <si>
    <t>F0621-C5054</t>
  </si>
  <si>
    <t>F0621-C5066</t>
  </si>
  <si>
    <t>F0621-C5068</t>
  </si>
  <si>
    <t>F0621-C5069</t>
  </si>
  <si>
    <t>F0621-C5067</t>
  </si>
  <si>
    <t>F0621-C5055</t>
  </si>
  <si>
    <t>F0528-C4851</t>
  </si>
  <si>
    <t>F0528-C4854</t>
  </si>
  <si>
    <t>F0528-C4853</t>
  </si>
  <si>
    <t>F0528-C4852</t>
  </si>
  <si>
    <t>F0528-C4849</t>
  </si>
  <si>
    <t>F0528-C4850</t>
  </si>
  <si>
    <t>F0525-C4840</t>
  </si>
  <si>
    <t>F0529-C4856</t>
  </si>
  <si>
    <t>F0529-C4860</t>
  </si>
  <si>
    <t>F0620-C5050</t>
  </si>
  <si>
    <t>F0622-C5073</t>
  </si>
  <si>
    <t>F0621-C5060</t>
  </si>
  <si>
    <t>F0622-C5072</t>
  </si>
  <si>
    <t>F0623-C5096</t>
  </si>
  <si>
    <t>F0622-C5076</t>
  </si>
  <si>
    <t>F0620-C5051</t>
  </si>
  <si>
    <t>F0622-C5080</t>
  </si>
  <si>
    <t>F0622-C5084</t>
  </si>
  <si>
    <t>F0622-C5085</t>
  </si>
  <si>
    <t>F0621-C5070</t>
  </si>
  <si>
    <t>F0623-C5095</t>
  </si>
  <si>
    <t>F0623-C5089</t>
  </si>
  <si>
    <t>F0622-C5075</t>
  </si>
  <si>
    <t>F0622-C5083</t>
  </si>
  <si>
    <t>F0622-C5077</t>
  </si>
  <si>
    <t>F0622-C5081</t>
  </si>
  <si>
    <t>F0623-C5088</t>
  </si>
  <si>
    <t>F0623-C5092</t>
  </si>
  <si>
    <t>F0623-C5094</t>
  </si>
  <si>
    <t>F0623-C5093</t>
  </si>
  <si>
    <t>F0623-C5090</t>
  </si>
  <si>
    <t>F0716-C5370</t>
  </si>
  <si>
    <t>F0716-C5368</t>
  </si>
  <si>
    <t>F0716-C5365</t>
  </si>
  <si>
    <t>F0716-C5363</t>
  </si>
  <si>
    <t>F0716-C5362</t>
  </si>
  <si>
    <t>F0713-C5344</t>
  </si>
  <si>
    <t>F0710-C5290</t>
  </si>
  <si>
    <t>F0714-C5358</t>
  </si>
  <si>
    <t>F0602-C4906</t>
  </si>
  <si>
    <t>F0602-C4907</t>
  </si>
  <si>
    <t>F0602-C4903</t>
  </si>
  <si>
    <t>F0602-C4908</t>
  </si>
  <si>
    <t>F0531-C4882</t>
  </si>
  <si>
    <t>F0602-C4909</t>
  </si>
  <si>
    <t>F0601-C4894</t>
  </si>
  <si>
    <t>F0601-C4900</t>
  </si>
  <si>
    <t>F0602-C4905</t>
  </si>
  <si>
    <t>F0601-C4892</t>
  </si>
  <si>
    <t>F0602-C4904</t>
  </si>
  <si>
    <t>F0604-C4910</t>
  </si>
  <si>
    <t>F0625-C5100</t>
  </si>
  <si>
    <t>F0625-C5104</t>
  </si>
  <si>
    <t>F0625-C5102</t>
  </si>
  <si>
    <t>F0623-C5097</t>
  </si>
  <si>
    <t>F0625-C5106</t>
  </si>
  <si>
    <t>F0625-C5098</t>
  </si>
  <si>
    <t>F0625-C5099</t>
  </si>
  <si>
    <t>F0625-C5101</t>
  </si>
  <si>
    <t>F0625-C5103</t>
  </si>
  <si>
    <t>F0625-C5109</t>
  </si>
  <si>
    <t>F0625-C5108</t>
  </si>
  <si>
    <t>F0716-C5366</t>
  </si>
  <si>
    <t>F0717-C5371</t>
  </si>
  <si>
    <t>F0717-C5377</t>
  </si>
  <si>
    <t>F0717-C5375</t>
  </si>
  <si>
    <t>F0717-C5380</t>
  </si>
  <si>
    <t>F0717-C5373</t>
  </si>
  <si>
    <t>F0717-C5372</t>
  </si>
  <si>
    <t>F0716-C5369</t>
  </si>
  <si>
    <t>F0717-C5379</t>
  </si>
  <si>
    <t>F0717-C5378</t>
  </si>
  <si>
    <t>F0714-C5359</t>
  </si>
  <si>
    <t>F0720-C5418</t>
  </si>
  <si>
    <t>F0720-C5415</t>
  </si>
  <si>
    <t>F0720-C5411</t>
  </si>
  <si>
    <t>F0719-C5408</t>
  </si>
  <si>
    <t>F0717-C5374</t>
  </si>
  <si>
    <t>F0718-C5387</t>
  </si>
  <si>
    <t>F0720-C5417</t>
  </si>
  <si>
    <t>F0720-C5409</t>
  </si>
  <si>
    <t>F0720-C5414</t>
  </si>
  <si>
    <t>F0719-C5398</t>
  </si>
  <si>
    <t>F0719-C5395</t>
  </si>
  <si>
    <t>F0719-C5407</t>
  </si>
  <si>
    <t>F0720-C5419</t>
  </si>
  <si>
    <t>F0720-C5421</t>
  </si>
  <si>
    <t>F0720-C5420</t>
  </si>
  <si>
    <t>F0716-C5364</t>
  </si>
  <si>
    <t>F0720-C5413</t>
  </si>
  <si>
    <t>F0720-C5412</t>
  </si>
  <si>
    <t>F0720-C5416</t>
  </si>
  <si>
    <t>F0720-C5410</t>
  </si>
  <si>
    <t>F0718-C5391</t>
  </si>
  <si>
    <t>F0720-C5422</t>
  </si>
  <si>
    <t>F0605-C4917</t>
  </si>
  <si>
    <t>F0712-C5323</t>
  </si>
  <si>
    <t>F0718-C5382</t>
  </si>
  <si>
    <t>F0717-C5381</t>
  </si>
  <si>
    <t>F0718-C5383</t>
  </si>
  <si>
    <t>F0718-C5384</t>
  </si>
  <si>
    <t>F0718-C5386</t>
  </si>
  <si>
    <t>F0718-C5388</t>
  </si>
  <si>
    <t>F0718-C5385</t>
  </si>
  <si>
    <t>F0714-C5356</t>
  </si>
  <si>
    <t>F0718-C5393</t>
  </si>
  <si>
    <t>F0718-C5390</t>
  </si>
  <si>
    <t>F0718-C5392</t>
  </si>
  <si>
    <t>F0718-C5389</t>
  </si>
  <si>
    <t>F0718-C5394</t>
  </si>
  <si>
    <t>F0725-C5457</t>
  </si>
  <si>
    <t>F0725-C5455</t>
  </si>
  <si>
    <t>F0725-C5461</t>
  </si>
  <si>
    <t>F0725-C5456</t>
  </si>
  <si>
    <t>F0725-C5460</t>
  </si>
  <si>
    <t>F0725-C5458</t>
  </si>
  <si>
    <t>F0625-C5107</t>
  </si>
  <si>
    <t>F0626-C5115</t>
  </si>
  <si>
    <t>F0626-C5113</t>
  </si>
  <si>
    <t>F0626-C5121</t>
  </si>
  <si>
    <t>F0625-C5105</t>
  </si>
  <si>
    <t>F0626-C5119</t>
  </si>
  <si>
    <t>F0626-C5120</t>
  </si>
  <si>
    <t>F0626-C5112</t>
  </si>
  <si>
    <t>F0626-C5111</t>
  </si>
  <si>
    <t>F0724-C5453</t>
  </si>
  <si>
    <t>F0721-C5435</t>
  </si>
  <si>
    <t>F0724-C5451</t>
  </si>
  <si>
    <t>F0724-C5452</t>
  </si>
  <si>
    <t>F0724-C5449</t>
  </si>
  <si>
    <t>F0724-C5450</t>
  </si>
  <si>
    <t>F0719-C5397</t>
  </si>
  <si>
    <t>F0719-C5404</t>
  </si>
  <si>
    <t>F0719-C5403</t>
  </si>
  <si>
    <t>F0719-C5406</t>
  </si>
  <si>
    <t>F0719-C5399</t>
  </si>
  <si>
    <t>F0717-C5376</t>
  </si>
  <si>
    <t>F0719-C5405</t>
  </si>
  <si>
    <t>F0719-C5400</t>
  </si>
  <si>
    <t>F0719-C5401</t>
  </si>
  <si>
    <t>F0719-C5402</t>
  </si>
  <si>
    <t>F0629-C5164</t>
  </si>
  <si>
    <t>F0630-C5177</t>
  </si>
  <si>
    <t>F0630-C5179</t>
  </si>
  <si>
    <t>F0630-C5182</t>
  </si>
  <si>
    <t>F0630-C5183</t>
  </si>
  <si>
    <t>F0630-C5189</t>
  </si>
  <si>
    <t>F0630-C5180</t>
  </si>
  <si>
    <t>F0630-C5186</t>
  </si>
  <si>
    <t>F0630-C5185</t>
  </si>
  <si>
    <t>F0630-C5178</t>
  </si>
  <si>
    <t>F0630-C5181</t>
  </si>
  <si>
    <t>F0630-C5190</t>
  </si>
  <si>
    <t>F0630-C5184</t>
  </si>
  <si>
    <t>F0630-C5176</t>
  </si>
  <si>
    <t>F0702-C5198</t>
  </si>
  <si>
    <t>F0702-C5201</t>
  </si>
  <si>
    <t>F0703-C5209</t>
  </si>
  <si>
    <t>F0703-C5206</t>
  </si>
  <si>
    <t>F0703-C5210</t>
  </si>
  <si>
    <t>F0703-C5208</t>
  </si>
  <si>
    <t>F0703-C5204</t>
  </si>
  <si>
    <t>F0703-C5205</t>
  </si>
  <si>
    <t>F0630-C5188</t>
  </si>
  <si>
    <t>F0702-C5200</t>
  </si>
  <si>
    <t>F0703-C5203</t>
  </si>
  <si>
    <t>F0703-C5211</t>
  </si>
  <si>
    <t>F0630-C5187</t>
  </si>
  <si>
    <t>F0702-C5194</t>
  </si>
  <si>
    <t>F0702-C5196</t>
  </si>
  <si>
    <t>F0702-C5195</t>
  </si>
  <si>
    <t>F0702-C5193</t>
  </si>
  <si>
    <t>F0702-C5197</t>
  </si>
  <si>
    <t>F0702-C5192</t>
  </si>
  <si>
    <t>F0702-C5199</t>
  </si>
  <si>
    <t>F0702-C5191</t>
  </si>
  <si>
    <t>F0702-C5202</t>
  </si>
  <si>
    <t>F0721-C5427</t>
  </si>
  <si>
    <t>F0721-C5429</t>
  </si>
  <si>
    <t>F0721-C5428</t>
  </si>
  <si>
    <t>F0721-C5426</t>
  </si>
  <si>
    <t>F0720-C5423</t>
  </si>
  <si>
    <t>F0721-C5425</t>
  </si>
  <si>
    <t>F0719-C5396</t>
  </si>
  <si>
    <t>F0721-C5432</t>
  </si>
  <si>
    <t>F0721-C5434</t>
  </si>
  <si>
    <t>F0721-C5431</t>
  </si>
  <si>
    <t>F0721-C5430</t>
  </si>
  <si>
    <t>F0721-C5433</t>
  </si>
  <si>
    <t>F0721-C5424</t>
  </si>
  <si>
    <t>F0703-C5213</t>
  </si>
  <si>
    <t>F0704-C5215</t>
  </si>
  <si>
    <t>F0704-C5217</t>
  </si>
  <si>
    <t>F0704-C5219</t>
  </si>
  <si>
    <t>F0704-C5218</t>
  </si>
  <si>
    <t>F0704-C5221</t>
  </si>
  <si>
    <t>F0704-C5220</t>
  </si>
  <si>
    <t>F0704-C5222</t>
  </si>
  <si>
    <t>F0704-C5226</t>
  </si>
  <si>
    <t>F0704-C5214</t>
  </si>
  <si>
    <t>F0703-C5212</t>
  </si>
  <si>
    <t>F0705-C5241</t>
  </si>
  <si>
    <t>F0705-C5246</t>
  </si>
  <si>
    <t>F0705-C5247</t>
  </si>
  <si>
    <t>F0706-C5248</t>
  </si>
  <si>
    <t>F0706-C5250</t>
  </si>
  <si>
    <t>F0706-C5252</t>
  </si>
  <si>
    <t>F0706-C5253</t>
  </si>
  <si>
    <t>F0706-C5251</t>
  </si>
  <si>
    <t>F0706-C5255</t>
  </si>
  <si>
    <t>F0706-C5249</t>
  </si>
  <si>
    <t>F0706-C5258</t>
  </si>
  <si>
    <t>F0705-C5228</t>
  </si>
  <si>
    <t>F0705-C5240</t>
  </si>
  <si>
    <t>F0705-C5245</t>
  </si>
  <si>
    <t>F0706-C5261</t>
  </si>
  <si>
    <t>F0706-C5257</t>
  </si>
  <si>
    <t>F0706-C5254</t>
  </si>
  <si>
    <t>F0706-C5256</t>
  </si>
  <si>
    <t>F0706-C5262</t>
  </si>
  <si>
    <t>F0706-C5259</t>
  </si>
  <si>
    <t>F0706-C5260</t>
  </si>
  <si>
    <t>F0704-C5216</t>
  </si>
  <si>
    <t>F0704-C5223</t>
  </si>
  <si>
    <t>F0704-C5227</t>
  </si>
  <si>
    <t>F0705-C5229</t>
  </si>
  <si>
    <t>F0705-C5231</t>
  </si>
  <si>
    <t>F0705-C5234</t>
  </si>
  <si>
    <t>F0705-C5236</t>
  </si>
  <si>
    <t>F0705-C5238</t>
  </si>
  <si>
    <t>F0705-C5237</t>
  </si>
  <si>
    <t>F0705-C5239</t>
  </si>
  <si>
    <t>F0705-C5242</t>
  </si>
  <si>
    <t>F0705-C5244</t>
  </si>
  <si>
    <t>F0705-C5235</t>
  </si>
  <si>
    <t>F0705-C5233</t>
  </si>
  <si>
    <t>F0705-C5230</t>
  </si>
  <si>
    <t>F0704-C5225</t>
  </si>
  <si>
    <t>F0703-C5207</t>
  </si>
  <si>
    <t>F0704-C5224</t>
  </si>
  <si>
    <t>F0705-C5243</t>
  </si>
  <si>
    <t>F0723-C5439</t>
  </si>
  <si>
    <t>F0723-C5438</t>
  </si>
  <si>
    <t>F0723-C5442</t>
  </si>
  <si>
    <t>F0723-C5437</t>
  </si>
  <si>
    <t>F0723-C5443</t>
  </si>
  <si>
    <t>F0723-C5440</t>
  </si>
  <si>
    <t>F0723-C5441</t>
  </si>
  <si>
    <t>F0723-C5445</t>
  </si>
  <si>
    <t>F0723-C5447</t>
  </si>
  <si>
    <t>F0723-C5444</t>
  </si>
  <si>
    <t>F0723-C5448</t>
  </si>
  <si>
    <t>F0723-C5446</t>
  </si>
  <si>
    <t>F0721-C5436</t>
  </si>
  <si>
    <t>F0725-C5459</t>
  </si>
  <si>
    <t>F0726-C5465</t>
  </si>
  <si>
    <t>F0726-C5470</t>
  </si>
  <si>
    <t>F0726-C5469</t>
  </si>
  <si>
    <t>F0726-C5466</t>
  </si>
  <si>
    <t>F0726-C5467</t>
  </si>
  <si>
    <t>F0726-C5463</t>
  </si>
  <si>
    <t>F0726-C5462</t>
  </si>
  <si>
    <t>F0726-C5468</t>
  </si>
  <si>
    <t>F0726-C5464</t>
  </si>
  <si>
    <t>F0726-C5471</t>
  </si>
  <si>
    <t>Jobcard Number</t>
  </si>
  <si>
    <t>Date</t>
  </si>
  <si>
    <t>Customer Name</t>
  </si>
  <si>
    <t>Mobile Number</t>
  </si>
  <si>
    <t>Vehicle Number</t>
  </si>
  <si>
    <t>Vehicle Details</t>
  </si>
  <si>
    <t>KM</t>
  </si>
  <si>
    <t>Discount</t>
  </si>
  <si>
    <t>Balance</t>
  </si>
  <si>
    <t>Received</t>
  </si>
  <si>
    <t>Total</t>
  </si>
  <si>
    <t>Final</t>
  </si>
  <si>
    <t>Spare Total</t>
  </si>
  <si>
    <t>Lube Total</t>
  </si>
  <si>
    <t>Job Total</t>
  </si>
  <si>
    <t>Payment Method</t>
  </si>
  <si>
    <t>Chassis Number</t>
  </si>
  <si>
    <t>Engine Number</t>
  </si>
  <si>
    <t>2025-01-16 19:45:21</t>
  </si>
  <si>
    <t>Avinash Jadhav</t>
  </si>
  <si>
    <t>MH28AD2026</t>
  </si>
  <si>
    <t>Yamaha Gladiator G5</t>
  </si>
  <si>
    <t>06043</t>
  </si>
  <si>
    <t>0 ₹</t>
  </si>
  <si>
    <t>UPI</t>
  </si>
  <si>
    <t>ME1358044C2046624</t>
  </si>
  <si>
    <t>35B404594</t>
  </si>
  <si>
    <t>2025-01-16 19:53:58</t>
  </si>
  <si>
    <t xml:space="preserve">MANOJ CHAUDHARI </t>
  </si>
  <si>
    <t>MH12TW0951</t>
  </si>
  <si>
    <t>Honda Activa 125</t>
  </si>
  <si>
    <t>27296</t>
  </si>
  <si>
    <t>ME4JK133LMG001221</t>
  </si>
  <si>
    <t>JK13EG1004280</t>
  </si>
  <si>
    <t>2025-01-16 19:56:55</t>
  </si>
  <si>
    <t>AMOL CHITTE</t>
  </si>
  <si>
    <t>MH28AF8597</t>
  </si>
  <si>
    <t>Yamaha FZ 1</t>
  </si>
  <si>
    <t>01</t>
  </si>
  <si>
    <t>2025-01-16 19:59:01</t>
  </si>
  <si>
    <t>Manoj</t>
  </si>
  <si>
    <t>MH14GB8855</t>
  </si>
  <si>
    <t xml:space="preserve">Honda Activa </t>
  </si>
  <si>
    <t>10344</t>
  </si>
  <si>
    <t>ME4JF507BHU017099</t>
  </si>
  <si>
    <t>JF50U3017142</t>
  </si>
  <si>
    <t>2025-01-16 19:58:37</t>
  </si>
  <si>
    <t>MH14ES3499</t>
  </si>
  <si>
    <t>54202</t>
  </si>
  <si>
    <t>ME4JF502LE8313692</t>
  </si>
  <si>
    <t>2025-01-16 20:37:46</t>
  </si>
  <si>
    <t>Archana Shingare</t>
  </si>
  <si>
    <t>MH14GV7627</t>
  </si>
  <si>
    <t>TVS Scooty PEP Plus</t>
  </si>
  <si>
    <t>29803</t>
  </si>
  <si>
    <t>064 ₹</t>
  </si>
  <si>
    <t>MD626FG38J2AG0938</t>
  </si>
  <si>
    <t>AG3AJ2937060</t>
  </si>
  <si>
    <t>2025-01-16 20:36:29</t>
  </si>
  <si>
    <t>VIPUL GUNJAL</t>
  </si>
  <si>
    <t>MH14BV6616</t>
  </si>
  <si>
    <t>TVS Scooty PEP</t>
  </si>
  <si>
    <t>19290</t>
  </si>
  <si>
    <t>Cash</t>
  </si>
  <si>
    <t>2024-11-30 10:40:50</t>
  </si>
  <si>
    <t>Aditya Gupta</t>
  </si>
  <si>
    <t>MH14CV3016</t>
  </si>
  <si>
    <t>Honda Activa 110</t>
  </si>
  <si>
    <t>12432</t>
  </si>
  <si>
    <t>ME4JC448EE823812</t>
  </si>
  <si>
    <t>JC44E1349771</t>
  </si>
  <si>
    <t>2024-11-30 10:48:50</t>
  </si>
  <si>
    <t xml:space="preserve">Pratik </t>
  </si>
  <si>
    <t>MH12TG8914</t>
  </si>
  <si>
    <t>KTM Duke 200</t>
  </si>
  <si>
    <t>9145</t>
  </si>
  <si>
    <t>2024-11-30 10:39:26</t>
  </si>
  <si>
    <t>Gaurang</t>
  </si>
  <si>
    <t>MH14CR5954</t>
  </si>
  <si>
    <t>Bajaj Discover No Data</t>
  </si>
  <si>
    <t>62363</t>
  </si>
  <si>
    <t>MDZDSJZZZTWK58252</t>
  </si>
  <si>
    <t>MZMBTJ66869</t>
  </si>
  <si>
    <t>2024-11-30 10:46:56</t>
  </si>
  <si>
    <t xml:space="preserve">Suhas </t>
  </si>
  <si>
    <t>MH17BE1314</t>
  </si>
  <si>
    <t xml:space="preserve">Honda Dio </t>
  </si>
  <si>
    <t>41479</t>
  </si>
  <si>
    <t>Card</t>
  </si>
  <si>
    <t>MEGJF392JE211927</t>
  </si>
  <si>
    <t>JF39E70211907</t>
  </si>
  <si>
    <t>2024-11-30 10:43:27</t>
  </si>
  <si>
    <t>Himanshu Chothe</t>
  </si>
  <si>
    <t>MH12TW3707</t>
  </si>
  <si>
    <t>Honda Activa 6G</t>
  </si>
  <si>
    <t>13562</t>
  </si>
  <si>
    <t>ME4JF918LMG087052</t>
  </si>
  <si>
    <t>JF91EG508758</t>
  </si>
  <si>
    <t>2024-11-30 10:44:32</t>
  </si>
  <si>
    <t xml:space="preserve">Rahil Shaikh </t>
  </si>
  <si>
    <t>MH15JE1843</t>
  </si>
  <si>
    <t>Hero Xpulse 200</t>
  </si>
  <si>
    <t>21362</t>
  </si>
  <si>
    <t>MC20AHMGKB1000</t>
  </si>
  <si>
    <t>MBLDL061NGK2237</t>
  </si>
  <si>
    <t>2024-12-20 20:33:38</t>
  </si>
  <si>
    <t>Paresh Patil</t>
  </si>
  <si>
    <t>MH12KR6021</t>
  </si>
  <si>
    <t>Hero Passion Pro</t>
  </si>
  <si>
    <t>9577</t>
  </si>
  <si>
    <t>2024-11-30 10:51:51</t>
  </si>
  <si>
    <t>Saurabh Nagarkar</t>
  </si>
  <si>
    <t>MH14HN0727</t>
  </si>
  <si>
    <t>Bajaj Pulsar 220F</t>
  </si>
  <si>
    <t>46530</t>
  </si>
  <si>
    <t>MD2A13EY3KLC10429</t>
  </si>
  <si>
    <t>DK4CK1L01168</t>
  </si>
  <si>
    <t>2024-11-30 10:38:13</t>
  </si>
  <si>
    <t>Raj</t>
  </si>
  <si>
    <t>MH12TP0950</t>
  </si>
  <si>
    <t>TVS Apache 160 4V</t>
  </si>
  <si>
    <t>23304</t>
  </si>
  <si>
    <t>MD637DE50M2D01233</t>
  </si>
  <si>
    <t>GE5DM2X01136</t>
  </si>
  <si>
    <t>2024-11-30 10:47:56</t>
  </si>
  <si>
    <t>Renuka Patel</t>
  </si>
  <si>
    <t>MH27DC6939</t>
  </si>
  <si>
    <t>6294</t>
  </si>
  <si>
    <t>ME4JF918KMW053320</t>
  </si>
  <si>
    <t>JF91EW5053371</t>
  </si>
  <si>
    <t>2024-11-30 10:55:00</t>
  </si>
  <si>
    <t xml:space="preserve">Kumar </t>
  </si>
  <si>
    <t>MH12MJ9674</t>
  </si>
  <si>
    <t>Honda Activa 3G</t>
  </si>
  <si>
    <t>28651</t>
  </si>
  <si>
    <t>2024-11-30 10:56:48</t>
  </si>
  <si>
    <t xml:space="preserve">Akshay </t>
  </si>
  <si>
    <t>MH14GK4333</t>
  </si>
  <si>
    <t>Honda Activa 4G</t>
  </si>
  <si>
    <t>40639</t>
  </si>
  <si>
    <t>ME4JF507GHU424715</t>
  </si>
  <si>
    <t>JF50EU5424616</t>
  </si>
  <si>
    <t>2024-11-30 10:47:20</t>
  </si>
  <si>
    <t>Sujay Joshi</t>
  </si>
  <si>
    <t>MH12QQ8618</t>
  </si>
  <si>
    <t>Suzuki Access 125</t>
  </si>
  <si>
    <t>2358</t>
  </si>
  <si>
    <t>MB8DP11AFJ8925232</t>
  </si>
  <si>
    <t>AF211722746</t>
  </si>
  <si>
    <t>2024-11-30 11:27:00</t>
  </si>
  <si>
    <t>Somesh More</t>
  </si>
  <si>
    <t>MH17BF7914</t>
  </si>
  <si>
    <t xml:space="preserve">TVS Jupiter </t>
  </si>
  <si>
    <t>26917</t>
  </si>
  <si>
    <t>MD626BG41E1N65539</t>
  </si>
  <si>
    <t>BG4NE1359276</t>
  </si>
  <si>
    <t>2024-11-30 10:58:28</t>
  </si>
  <si>
    <t>SHAILESH KHANDAGALE</t>
  </si>
  <si>
    <t>MH45AG5687</t>
  </si>
  <si>
    <t xml:space="preserve">Honda Shine </t>
  </si>
  <si>
    <t>38384</t>
  </si>
  <si>
    <t>ME4JC654EH7087173</t>
  </si>
  <si>
    <t>JC65E71127864</t>
  </si>
  <si>
    <t>2024-11-30 10:52:58</t>
  </si>
  <si>
    <t>KISHOR CHAURE</t>
  </si>
  <si>
    <t>MH14GF9795</t>
  </si>
  <si>
    <t>33544</t>
  </si>
  <si>
    <t>ME4JF5070H4123771</t>
  </si>
  <si>
    <t>JF50E451239332</t>
  </si>
  <si>
    <t>2024-11-30 11:28:09</t>
  </si>
  <si>
    <t>CHINMAY</t>
  </si>
  <si>
    <t>MH20FF0016</t>
  </si>
  <si>
    <t>Bajaj Pulsar 200 RS</t>
  </si>
  <si>
    <t>37680</t>
  </si>
  <si>
    <t>JLYCK246904</t>
  </si>
  <si>
    <t>2024-11-30 11:23:05</t>
  </si>
  <si>
    <t>Atul Kad</t>
  </si>
  <si>
    <t>MH21BJ2493</t>
  </si>
  <si>
    <t>Suzuki Intruder 150</t>
  </si>
  <si>
    <t>25910</t>
  </si>
  <si>
    <t>8105090</t>
  </si>
  <si>
    <t>473507</t>
  </si>
  <si>
    <t>2024-11-30 11:31:02</t>
  </si>
  <si>
    <t>Girish Kinikar</t>
  </si>
  <si>
    <t>MH19CD1462</t>
  </si>
  <si>
    <t>10999</t>
  </si>
  <si>
    <t>ME4JF504EFT349427</t>
  </si>
  <si>
    <t>JF50ET2350274</t>
  </si>
  <si>
    <t>2024-11-30 11:29:32</t>
  </si>
  <si>
    <t>Sunny</t>
  </si>
  <si>
    <t>MH12HU5357</t>
  </si>
  <si>
    <t>28773</t>
  </si>
  <si>
    <t>MD626BG39B2N18935</t>
  </si>
  <si>
    <t>2633859</t>
  </si>
  <si>
    <t>2024-11-30 11:32:56</t>
  </si>
  <si>
    <t xml:space="preserve">ADITYA SINHG </t>
  </si>
  <si>
    <t>MH11AA9796</t>
  </si>
  <si>
    <t>Bajaj Pulsar 150</t>
  </si>
  <si>
    <t>23359</t>
  </si>
  <si>
    <t>2024-11-30 20:17:57</t>
  </si>
  <si>
    <t>Rohit</t>
  </si>
  <si>
    <t>MH22AY9183</t>
  </si>
  <si>
    <t>Honda Shine SP</t>
  </si>
  <si>
    <t>19716</t>
  </si>
  <si>
    <t>ME4JC83EHNG077818</t>
  </si>
  <si>
    <t>JC83EG3234540</t>
  </si>
  <si>
    <t>2024-12-20 20:36:30</t>
  </si>
  <si>
    <t xml:space="preserve">Santosh Bhalerao </t>
  </si>
  <si>
    <t>MH12BU7746</t>
  </si>
  <si>
    <t xml:space="preserve">Hero Splendor </t>
  </si>
  <si>
    <t>11804</t>
  </si>
  <si>
    <t>2024-11-30 20:07:02</t>
  </si>
  <si>
    <t>RAM NARESH</t>
  </si>
  <si>
    <t>MH12QP5582</t>
  </si>
  <si>
    <t xml:space="preserve">TVS Victor </t>
  </si>
  <si>
    <t>109897</t>
  </si>
  <si>
    <t>MD625GF11J1E23809</t>
  </si>
  <si>
    <t>LE1EJ1714914</t>
  </si>
  <si>
    <t>2024-12-20 20:32:13</t>
  </si>
  <si>
    <t>Amit Salve</t>
  </si>
  <si>
    <t>MH12LS2093</t>
  </si>
  <si>
    <t xml:space="preserve">Yamaha FZ </t>
  </si>
  <si>
    <t>2025-02-13 18:48:41</t>
  </si>
  <si>
    <t xml:space="preserve">RAHUL GAIKWAD </t>
  </si>
  <si>
    <t>MH10BD1460</t>
  </si>
  <si>
    <t>Honda Shine CB</t>
  </si>
  <si>
    <t>33269</t>
  </si>
  <si>
    <t>2024-11-30 20:15:51</t>
  </si>
  <si>
    <t xml:space="preserve">LAXMIKANT </t>
  </si>
  <si>
    <t>MH16BS1559</t>
  </si>
  <si>
    <t>43737</t>
  </si>
  <si>
    <t>ME4JF50544TG430642</t>
  </si>
  <si>
    <t>JF50ET3630768</t>
  </si>
  <si>
    <t>2024-12-20 20:35:18</t>
  </si>
  <si>
    <t xml:space="preserve">Dheeraj </t>
  </si>
  <si>
    <t>MH04KZ2927</t>
  </si>
  <si>
    <t>Suzuki Gixxer SF</t>
  </si>
  <si>
    <t>29937</t>
  </si>
  <si>
    <t>2024-12-20 17:12:04</t>
  </si>
  <si>
    <t>Omkar Shirke</t>
  </si>
  <si>
    <t>MH12KD2649</t>
  </si>
  <si>
    <t>TVS Wego Basic</t>
  </si>
  <si>
    <t>39999</t>
  </si>
  <si>
    <t>MD626AG46D1643177</t>
  </si>
  <si>
    <t>2024-12-20 20:34:01</t>
  </si>
  <si>
    <t>Rupesh</t>
  </si>
  <si>
    <t>MH20GR0562</t>
  </si>
  <si>
    <t>5831</t>
  </si>
  <si>
    <t>2024-11-30 19:57:50</t>
  </si>
  <si>
    <t>Venkatesh Kulkarni</t>
  </si>
  <si>
    <t>MH12JJ6470</t>
  </si>
  <si>
    <t>Bajaj Avenger 220 Street</t>
  </si>
  <si>
    <t>04974</t>
  </si>
  <si>
    <t>MDZAZEZOCCG12121</t>
  </si>
  <si>
    <t>PDZCC0115556</t>
  </si>
  <si>
    <t>2024-12-20 20:34:31</t>
  </si>
  <si>
    <t>SANKALP YERAWAR</t>
  </si>
  <si>
    <t>MH14HP1653</t>
  </si>
  <si>
    <t>Yamaha MT 15</t>
  </si>
  <si>
    <t>20305</t>
  </si>
  <si>
    <t>ME1RG5913K0003326</t>
  </si>
  <si>
    <t>G3K5E0086860</t>
  </si>
  <si>
    <t>2024-11-30 20:09:49</t>
  </si>
  <si>
    <t>Rasika</t>
  </si>
  <si>
    <t>MH14BW3591</t>
  </si>
  <si>
    <t xml:space="preserve">Hero Pleasure </t>
  </si>
  <si>
    <t>13002</t>
  </si>
  <si>
    <t>MBLJF16EC9G02273</t>
  </si>
  <si>
    <t>JF16EA9GJ02158</t>
  </si>
  <si>
    <t>2024-11-30 20:01:58</t>
  </si>
  <si>
    <t>Meghraj Pawar</t>
  </si>
  <si>
    <t>MH13BW0594</t>
  </si>
  <si>
    <t>Honda Trigger No Data</t>
  </si>
  <si>
    <t>72734</t>
  </si>
  <si>
    <t>ME4KC191GE8047056</t>
  </si>
  <si>
    <t>KC19E8006880</t>
  </si>
  <si>
    <t>2024-12-20 20:35:40</t>
  </si>
  <si>
    <t xml:space="preserve">Rakesh Kumar </t>
  </si>
  <si>
    <t>MH14HJ1530</t>
  </si>
  <si>
    <t>27112</t>
  </si>
  <si>
    <t>MD626EG42J1P121212</t>
  </si>
  <si>
    <t>OG4PJ1604795</t>
  </si>
  <si>
    <t>2024-11-30 20:14:41</t>
  </si>
  <si>
    <t>VIKAS</t>
  </si>
  <si>
    <t>MH29AF3133</t>
  </si>
  <si>
    <t>30063</t>
  </si>
  <si>
    <t>MB8CF4KCB240273</t>
  </si>
  <si>
    <t>CF4862235936</t>
  </si>
  <si>
    <t>2024-11-30 20:03:35</t>
  </si>
  <si>
    <t>Rajiv</t>
  </si>
  <si>
    <t>MH14DC1513</t>
  </si>
  <si>
    <t>46000</t>
  </si>
  <si>
    <t>ME4JC448JB8497741</t>
  </si>
  <si>
    <t>JC44E1608711</t>
  </si>
  <si>
    <t>2024-11-30 20:15:00</t>
  </si>
  <si>
    <t>Lahane</t>
  </si>
  <si>
    <t>MH14EL2835</t>
  </si>
  <si>
    <t>TVS Wego No Data</t>
  </si>
  <si>
    <t>2024-11-30 20:16:28</t>
  </si>
  <si>
    <t>Sagar Dhamale</t>
  </si>
  <si>
    <t>MH20CX6684</t>
  </si>
  <si>
    <t>Royal Enfield Classic 350</t>
  </si>
  <si>
    <t>42903</t>
  </si>
  <si>
    <t>MD637DESOMZD01233</t>
  </si>
  <si>
    <t>GESDMZX01136</t>
  </si>
  <si>
    <t>2024-11-30 20:16:50</t>
  </si>
  <si>
    <t>Ganesh Khaire</t>
  </si>
  <si>
    <t>MH14JQ8996</t>
  </si>
  <si>
    <t>33913</t>
  </si>
  <si>
    <t>2024-11-30 20:08:16</t>
  </si>
  <si>
    <t>SAMPATH KALOKHE</t>
  </si>
  <si>
    <t>MH14HT8660</t>
  </si>
  <si>
    <t>Honda Unicorn 150</t>
  </si>
  <si>
    <t>22652</t>
  </si>
  <si>
    <t>ME4KC315GKA103740</t>
  </si>
  <si>
    <t>KC31EA1103668</t>
  </si>
  <si>
    <t>2025-05-12 19:11:02</t>
  </si>
  <si>
    <t>Kishor Tarange</t>
  </si>
  <si>
    <t>MH25AU7335</t>
  </si>
  <si>
    <t>Hero Destini 125</t>
  </si>
  <si>
    <t>9662</t>
  </si>
  <si>
    <t>2024-11-30 20:44:54</t>
  </si>
  <si>
    <t>Saurabh Khandekar</t>
  </si>
  <si>
    <t>MH10DW4975</t>
  </si>
  <si>
    <t>6252</t>
  </si>
  <si>
    <t>MBLJFWZ49NGD02569</t>
  </si>
  <si>
    <t>JF17EANGD03778</t>
  </si>
  <si>
    <t>2025-05-12 19:12:33</t>
  </si>
  <si>
    <t>Girish Satav</t>
  </si>
  <si>
    <t>MH12KG0010</t>
  </si>
  <si>
    <t>19824</t>
  </si>
  <si>
    <t>2024-11-30 20:19:06</t>
  </si>
  <si>
    <t>Gajanan Mudlyar</t>
  </si>
  <si>
    <t>MH12MX8141</t>
  </si>
  <si>
    <t>17718</t>
  </si>
  <si>
    <t>ME4JF505CGU028175</t>
  </si>
  <si>
    <t>JF50EU3028152</t>
  </si>
  <si>
    <t>2024-12-01 13:28:59</t>
  </si>
  <si>
    <t>Shobhit Nitnare</t>
  </si>
  <si>
    <t>MH14FF711</t>
  </si>
  <si>
    <t xml:space="preserve">Yamaha R15 </t>
  </si>
  <si>
    <t>88580</t>
  </si>
  <si>
    <t>ME1RG0629F0009000</t>
  </si>
  <si>
    <t>G3E7E0047322</t>
  </si>
  <si>
    <t>2024-12-01 13:32:58</t>
  </si>
  <si>
    <t>Das Gupta</t>
  </si>
  <si>
    <t>MH12MH9808</t>
  </si>
  <si>
    <t>16942</t>
  </si>
  <si>
    <t>MBLJF16EMFGJ045544</t>
  </si>
  <si>
    <t>JF16EEFGJ05501</t>
  </si>
  <si>
    <t>2025-02-13 19:45:08</t>
  </si>
  <si>
    <t>SUBODH</t>
  </si>
  <si>
    <t>CG12AP6416</t>
  </si>
  <si>
    <t>Hero Splendor Plus</t>
  </si>
  <si>
    <t>24731</t>
  </si>
  <si>
    <t>HA10ERG042352</t>
  </si>
  <si>
    <t>2024-12-01 21:02:11</t>
  </si>
  <si>
    <t xml:space="preserve">Saurabh Shinde </t>
  </si>
  <si>
    <t>MH34CC3562</t>
  </si>
  <si>
    <t>Royal Enfield Bullet 350</t>
  </si>
  <si>
    <t>16760</t>
  </si>
  <si>
    <t>ME3J3D5FKNT100345</t>
  </si>
  <si>
    <t>2024-12-01 16:57:28</t>
  </si>
  <si>
    <t xml:space="preserve">Vikrant Chavan </t>
  </si>
  <si>
    <t>MH14HH3024</t>
  </si>
  <si>
    <t>Honda Activa 5G</t>
  </si>
  <si>
    <t>28027</t>
  </si>
  <si>
    <t>ME4JF50BLJT297844</t>
  </si>
  <si>
    <t>JF50ET8297249</t>
  </si>
  <si>
    <t>2024-12-02 17:02:10</t>
  </si>
  <si>
    <t>Deepak Raut</t>
  </si>
  <si>
    <t>MH14DU8185</t>
  </si>
  <si>
    <t>Honda Shine HET</t>
  </si>
  <si>
    <t>50000</t>
  </si>
  <si>
    <t>ME4JC36KAD7154478</t>
  </si>
  <si>
    <t>2024-12-01 16:53:00</t>
  </si>
  <si>
    <t>Jayesh Mankar</t>
  </si>
  <si>
    <t>MH30AP8694</t>
  </si>
  <si>
    <t>46468</t>
  </si>
  <si>
    <t>M1E4JC36NBF7273634</t>
  </si>
  <si>
    <t>JC36ET3958382</t>
  </si>
  <si>
    <t>2024-12-01 21:01:27</t>
  </si>
  <si>
    <t>Vartika Singh</t>
  </si>
  <si>
    <t>MH12SG8399</t>
  </si>
  <si>
    <t>18187</t>
  </si>
  <si>
    <t>ME4JF50BGKW058661</t>
  </si>
  <si>
    <t>JF50EW1058684</t>
  </si>
  <si>
    <t>2025-01-17 20:53:13</t>
  </si>
  <si>
    <t>Hitesh</t>
  </si>
  <si>
    <t>MH04LN6222</t>
  </si>
  <si>
    <t>Yamaha FZ 25</t>
  </si>
  <si>
    <t>19267</t>
  </si>
  <si>
    <t>ME1RG695BN0003691</t>
  </si>
  <si>
    <t>G3P1E0018855</t>
  </si>
  <si>
    <t>2024-12-01 18:56:24</t>
  </si>
  <si>
    <t>Swaroop Kadam</t>
  </si>
  <si>
    <t>MH14GX4135</t>
  </si>
  <si>
    <t xml:space="preserve">Honda Aviator </t>
  </si>
  <si>
    <t>28462</t>
  </si>
  <si>
    <t>ME4JF21DDJ8076385</t>
  </si>
  <si>
    <t>JF21E82139979</t>
  </si>
  <si>
    <t>2025-01-17 20:52:58</t>
  </si>
  <si>
    <t xml:space="preserve">Ram Prasad </t>
  </si>
  <si>
    <t>MH12QV4996</t>
  </si>
  <si>
    <t>2025-01-17 20:54:19</t>
  </si>
  <si>
    <t>Vaibhav Pathak</t>
  </si>
  <si>
    <t>MH14HB1856</t>
  </si>
  <si>
    <t>Honda Activa i</t>
  </si>
  <si>
    <t>20933</t>
  </si>
  <si>
    <t>ME4JF48CGJ8002907</t>
  </si>
  <si>
    <t>2025-01-17 20:53:58</t>
  </si>
  <si>
    <t>AMOL</t>
  </si>
  <si>
    <t>MH12HJ2056</t>
  </si>
  <si>
    <t>Hero Karizma R</t>
  </si>
  <si>
    <t>2025-01-17 20:53:42</t>
  </si>
  <si>
    <t>Digambar Navrekar</t>
  </si>
  <si>
    <t>MH12MT0829</t>
  </si>
  <si>
    <t>ME4JC732AG80153370</t>
  </si>
  <si>
    <t>2025-01-17 20:54:38</t>
  </si>
  <si>
    <t>ATUL NANDGUDE</t>
  </si>
  <si>
    <t>MH14EB5971</t>
  </si>
  <si>
    <t>35135</t>
  </si>
  <si>
    <t>2024-12-01 18:10:00</t>
  </si>
  <si>
    <t>Abhay Raipurkar</t>
  </si>
  <si>
    <t>MH12CZ1270</t>
  </si>
  <si>
    <t>Honda Activa Old</t>
  </si>
  <si>
    <t>64331</t>
  </si>
  <si>
    <t>ME4JF087J50186236</t>
  </si>
  <si>
    <t>JF08E8166329</t>
  </si>
  <si>
    <t>2024-12-01 19:05:51</t>
  </si>
  <si>
    <t>Sayali Kadam</t>
  </si>
  <si>
    <t>MH12KX3002</t>
  </si>
  <si>
    <t>39086</t>
  </si>
  <si>
    <t>ME4JF501CE8799577</t>
  </si>
  <si>
    <t>JF50E80798509</t>
  </si>
  <si>
    <t>2024-12-01 19:52:37</t>
  </si>
  <si>
    <t xml:space="preserve">Yogesh Chavan </t>
  </si>
  <si>
    <t>MH12LN9276</t>
  </si>
  <si>
    <t xml:space="preserve">Honda Dream Neo </t>
  </si>
  <si>
    <t>39239</t>
  </si>
  <si>
    <t>ME4JC62AJET006651</t>
  </si>
  <si>
    <t>JC62ET1091230</t>
  </si>
  <si>
    <t>2024-12-01 17:36:53</t>
  </si>
  <si>
    <t xml:space="preserve">Ashutosh </t>
  </si>
  <si>
    <t>MH15JP8584</t>
  </si>
  <si>
    <t>TVS Apache RTR 160</t>
  </si>
  <si>
    <t>40552</t>
  </si>
  <si>
    <t>MD634KE4XGF60465</t>
  </si>
  <si>
    <t>OE4FG2008309</t>
  </si>
  <si>
    <t>2024-12-01 20:10:34</t>
  </si>
  <si>
    <t>Swapnil Akolkar</t>
  </si>
  <si>
    <t>MH16BP1559</t>
  </si>
  <si>
    <t>Yamaha FZ V3</t>
  </si>
  <si>
    <t>66946</t>
  </si>
  <si>
    <t>ME1RG072AF0143688</t>
  </si>
  <si>
    <t>G38E0230139</t>
  </si>
  <si>
    <t>2024-12-01 20:49:40</t>
  </si>
  <si>
    <t>Tushar Gade</t>
  </si>
  <si>
    <t>MH14DQ3464</t>
  </si>
  <si>
    <t>31560</t>
  </si>
  <si>
    <t>ME4JC448HC7533351</t>
  </si>
  <si>
    <t>JC44E5533375</t>
  </si>
  <si>
    <t>2024-12-01 21:15:04</t>
  </si>
  <si>
    <t>Gaurav Chaudhari</t>
  </si>
  <si>
    <t>MH19DE8406</t>
  </si>
  <si>
    <t>Hero Passion XPRO</t>
  </si>
  <si>
    <t>35076</t>
  </si>
  <si>
    <t>MBLJAR151JGE07143</t>
  </si>
  <si>
    <t>JA06ETJGE08787</t>
  </si>
  <si>
    <t>2024-12-02 17:02:52</t>
  </si>
  <si>
    <t>Abbas</t>
  </si>
  <si>
    <t>MH14HN5332</t>
  </si>
  <si>
    <t>17837</t>
  </si>
  <si>
    <t>MD626EG48K1B14981</t>
  </si>
  <si>
    <t>DG4BK1106673</t>
  </si>
  <si>
    <t>2025-05-12 19:44:34</t>
  </si>
  <si>
    <t>Yogesh Ingale</t>
  </si>
  <si>
    <t>MH14EW7129</t>
  </si>
  <si>
    <t xml:space="preserve">TVS Wego </t>
  </si>
  <si>
    <t>5737</t>
  </si>
  <si>
    <t>MD626AG48E1207593</t>
  </si>
  <si>
    <t>2024-12-21 17:03:16</t>
  </si>
  <si>
    <t>Astha</t>
  </si>
  <si>
    <t>MH40CK6436</t>
  </si>
  <si>
    <t>10679</t>
  </si>
  <si>
    <t>MD62EG57N1C00103</t>
  </si>
  <si>
    <t>GG5BN1611977</t>
  </si>
  <si>
    <t>2024-12-21 16:48:56</t>
  </si>
  <si>
    <t xml:space="preserve">Ashok Yadav </t>
  </si>
  <si>
    <t>MH14EW8848</t>
  </si>
  <si>
    <t>65155</t>
  </si>
  <si>
    <t>2024-12-21 18:57:56</t>
  </si>
  <si>
    <t>Prathamesh Nikam</t>
  </si>
  <si>
    <t>MH12NH1362</t>
  </si>
  <si>
    <t>32921</t>
  </si>
  <si>
    <t>2025-01-18 12:04:17</t>
  </si>
  <si>
    <t>Pandit Patekari</t>
  </si>
  <si>
    <t>MH12FJ2072</t>
  </si>
  <si>
    <t>Hero Passion Plus</t>
  </si>
  <si>
    <t>47945</t>
  </si>
  <si>
    <t>2024-12-02 17:02:31</t>
  </si>
  <si>
    <t>Bhushan Patil</t>
  </si>
  <si>
    <t>MH14BS1571</t>
  </si>
  <si>
    <t xml:space="preserve">Honda Unicorn </t>
  </si>
  <si>
    <t>51035</t>
  </si>
  <si>
    <t>ME4KC093M88030825</t>
  </si>
  <si>
    <t>K6091031920</t>
  </si>
  <si>
    <t>2024-12-22 20:06:57</t>
  </si>
  <si>
    <t>SHUBHAM KOTHARI</t>
  </si>
  <si>
    <t>MH31DL9819</t>
  </si>
  <si>
    <t>20000</t>
  </si>
  <si>
    <t>09 ₹</t>
  </si>
  <si>
    <t>2024-12-21 19:29:40</t>
  </si>
  <si>
    <t>Sairaj</t>
  </si>
  <si>
    <t>MH26CD0564</t>
  </si>
  <si>
    <t>25475</t>
  </si>
  <si>
    <t>ME1RG6689N0019141</t>
  </si>
  <si>
    <t>G3N3E0234542</t>
  </si>
  <si>
    <t>2024-12-21 19:32:40</t>
  </si>
  <si>
    <t>Abhishek Agrawal</t>
  </si>
  <si>
    <t>MH14HN5266</t>
  </si>
  <si>
    <t xml:space="preserve">Suzuki Access </t>
  </si>
  <si>
    <t>15841</t>
  </si>
  <si>
    <t>MB8DP11AAK8852381</t>
  </si>
  <si>
    <t>2024-12-21 19:31:20</t>
  </si>
  <si>
    <t>Saurabh Gandhi</t>
  </si>
  <si>
    <t>MH25X6443</t>
  </si>
  <si>
    <t>45948</t>
  </si>
  <si>
    <t>MBLHA10EWBHLZ8250</t>
  </si>
  <si>
    <t>HA10EDBHIL29364</t>
  </si>
  <si>
    <t>2024-12-21 19:58:58</t>
  </si>
  <si>
    <t>Sujeet Sanap</t>
  </si>
  <si>
    <t>MH14FP0537</t>
  </si>
  <si>
    <t>21184</t>
  </si>
  <si>
    <t>2025-05-12 19:44:57</t>
  </si>
  <si>
    <t>Deepanjan</t>
  </si>
  <si>
    <t>MH12NT3423</t>
  </si>
  <si>
    <t>Bajaj Avenger 150 Street</t>
  </si>
  <si>
    <t>16379</t>
  </si>
  <si>
    <t>MD2A85CY4GCJ02450</t>
  </si>
  <si>
    <t>PDYCGJ58802</t>
  </si>
  <si>
    <t>2024-12-21 19:59:39</t>
  </si>
  <si>
    <t xml:space="preserve">Abhijit </t>
  </si>
  <si>
    <t>MH19CM2983</t>
  </si>
  <si>
    <t>16129</t>
  </si>
  <si>
    <t>JF16EEC9H04524</t>
  </si>
  <si>
    <t>2024-12-02 19:01:02</t>
  </si>
  <si>
    <t>Pratik Dharpale</t>
  </si>
  <si>
    <t>MH14FQ7830</t>
  </si>
  <si>
    <t>22038</t>
  </si>
  <si>
    <t>ME4JF505FGG484875</t>
  </si>
  <si>
    <t>JF50E3485007</t>
  </si>
  <si>
    <t>2024-12-21 20:04:27</t>
  </si>
  <si>
    <t>Bhushan</t>
  </si>
  <si>
    <t>MH34AK9719</t>
  </si>
  <si>
    <t xml:space="preserve">Hero Xtreme </t>
  </si>
  <si>
    <t>2</t>
  </si>
  <si>
    <t>MBLKC12EHCLM08292</t>
  </si>
  <si>
    <t>KC1ZECCGM0836</t>
  </si>
  <si>
    <t>2024-12-02 20:31:54</t>
  </si>
  <si>
    <t>Sreeraj</t>
  </si>
  <si>
    <t>KA04KE2084</t>
  </si>
  <si>
    <t>Yamaha Ray Z</t>
  </si>
  <si>
    <t>12581</t>
  </si>
  <si>
    <t>ME1SEG451M0091971</t>
  </si>
  <si>
    <t>E32SE0316375</t>
  </si>
  <si>
    <t>2024-12-02 20:30:57</t>
  </si>
  <si>
    <t xml:space="preserve">Brajesh Pandey </t>
  </si>
  <si>
    <t>MH14DW1997</t>
  </si>
  <si>
    <t>34519</t>
  </si>
  <si>
    <t>2024-12-02 20:32:49</t>
  </si>
  <si>
    <t>SAURABH BHAVSAR</t>
  </si>
  <si>
    <t>MH41AE6793</t>
  </si>
  <si>
    <t xml:space="preserve">Hero Hunk </t>
  </si>
  <si>
    <t>59960</t>
  </si>
  <si>
    <t>MBLKC13EGEHD00178</t>
  </si>
  <si>
    <t>KC13EFEHD00367</t>
  </si>
  <si>
    <t>2024-12-02 19:04:07</t>
  </si>
  <si>
    <t>Edwin</t>
  </si>
  <si>
    <t>DL9SBC9006</t>
  </si>
  <si>
    <t>1</t>
  </si>
  <si>
    <t>MB81NG4BBHF8115665</t>
  </si>
  <si>
    <t>BGA4186316</t>
  </si>
  <si>
    <t>2024-12-02 21:04:57</t>
  </si>
  <si>
    <t>Kaushik</t>
  </si>
  <si>
    <t>MH14EW2215</t>
  </si>
  <si>
    <t>65403</t>
  </si>
  <si>
    <t>180 ₹</t>
  </si>
  <si>
    <t>ME4JF504BF7012078</t>
  </si>
  <si>
    <t>JF50E72012042</t>
  </si>
  <si>
    <t>2025-05-12 20:02:59</t>
  </si>
  <si>
    <t xml:space="preserve">Prashant </t>
  </si>
  <si>
    <t>MH14KT3518</t>
  </si>
  <si>
    <t>14831</t>
  </si>
  <si>
    <t>JK15EG4021H9</t>
  </si>
  <si>
    <t>2025-05-04 20:18:58</t>
  </si>
  <si>
    <t>AADITYA PATIL</t>
  </si>
  <si>
    <t>MH12LP136</t>
  </si>
  <si>
    <t xml:space="preserve">Suzuki Lets </t>
  </si>
  <si>
    <t>23990</t>
  </si>
  <si>
    <t>2024-12-21 20:14:38</t>
  </si>
  <si>
    <t>Ketan Yelnoorkar</t>
  </si>
  <si>
    <t>MH20CM4633</t>
  </si>
  <si>
    <t>Yamaha FZ S</t>
  </si>
  <si>
    <t>22224</t>
  </si>
  <si>
    <t>ME121C0FAC2002589</t>
  </si>
  <si>
    <t>2025-05-12 20:12:23</t>
  </si>
  <si>
    <t>SHRIKANT</t>
  </si>
  <si>
    <t>MH27CE0844</t>
  </si>
  <si>
    <t>32870</t>
  </si>
  <si>
    <t>2025-06-11 18:35:43</t>
  </si>
  <si>
    <t>Sanjay</t>
  </si>
  <si>
    <t>MH14CN9017</t>
  </si>
  <si>
    <t>2024-12-22 19:02:54</t>
  </si>
  <si>
    <t>MH11CL1677</t>
  </si>
  <si>
    <t>Bajaj Platina No Data</t>
  </si>
  <si>
    <t>37485</t>
  </si>
  <si>
    <t>MDZA76AY9HWD35786</t>
  </si>
  <si>
    <t>PFYWHD09006</t>
  </si>
  <si>
    <t>2025-01-18 18:24:50</t>
  </si>
  <si>
    <t>Patil</t>
  </si>
  <si>
    <t>MH39H5443</t>
  </si>
  <si>
    <t>69906</t>
  </si>
  <si>
    <t>MBLKC12ECAGA09381</t>
  </si>
  <si>
    <t>2024-12-22 18:39:45</t>
  </si>
  <si>
    <t xml:space="preserve">NARAYAN CHAUHAN </t>
  </si>
  <si>
    <t>MH12QL2591</t>
  </si>
  <si>
    <t>50705</t>
  </si>
  <si>
    <t>MBLHAR072J5011289</t>
  </si>
  <si>
    <t>HA10AGJ5D16435</t>
  </si>
  <si>
    <t>2025-02-14 17:32:46</t>
  </si>
  <si>
    <t xml:space="preserve">Arvind Pandey </t>
  </si>
  <si>
    <t>MH14HA2136</t>
  </si>
  <si>
    <t>Hero Deluxe HF</t>
  </si>
  <si>
    <t>2024-12-22 18:04:48</t>
  </si>
  <si>
    <t>Adarsh</t>
  </si>
  <si>
    <t>MH13CG1208</t>
  </si>
  <si>
    <t xml:space="preserve">Honda Hornet </t>
  </si>
  <si>
    <t>49193</t>
  </si>
  <si>
    <t>ME4KC232AG8002953</t>
  </si>
  <si>
    <t>KC23E80614189</t>
  </si>
  <si>
    <t>2024-12-22 18:41:45</t>
  </si>
  <si>
    <t>Shrikant Nipane</t>
  </si>
  <si>
    <t>MH12ME8064</t>
  </si>
  <si>
    <t>Honda Activa 125 BS6</t>
  </si>
  <si>
    <t>63551</t>
  </si>
  <si>
    <t>98 ₹</t>
  </si>
  <si>
    <t>2024-12-22 17:35:56</t>
  </si>
  <si>
    <t>SANJAY HATE</t>
  </si>
  <si>
    <t>MH14FJ4149</t>
  </si>
  <si>
    <t>42496</t>
  </si>
  <si>
    <t>ME4JF493LF8093376</t>
  </si>
  <si>
    <t>JF49E01107638</t>
  </si>
  <si>
    <t>2024-12-22 18:57:05</t>
  </si>
  <si>
    <t>Shivaji Mandekar</t>
  </si>
  <si>
    <t>MH12RX5890</t>
  </si>
  <si>
    <t>Hero Splendor Pro</t>
  </si>
  <si>
    <t>55761</t>
  </si>
  <si>
    <t>MBLHAW087KSC04375</t>
  </si>
  <si>
    <t>HA10AGK5607302</t>
  </si>
  <si>
    <t>2024-12-22 18:40:56</t>
  </si>
  <si>
    <t>Prasad Chakkarwar</t>
  </si>
  <si>
    <t>MH29AH6338</t>
  </si>
  <si>
    <t>44503</t>
  </si>
  <si>
    <t>ME4JC36KFD7250362</t>
  </si>
  <si>
    <t>JC36E77733929</t>
  </si>
  <si>
    <t>2024-12-22 19:05:05</t>
  </si>
  <si>
    <t>Prashant Sadawarte</t>
  </si>
  <si>
    <t>MH26AX3561</t>
  </si>
  <si>
    <t xml:space="preserve">Suzuki Gixxer </t>
  </si>
  <si>
    <t>38474</t>
  </si>
  <si>
    <t>2024-12-22 19:06:36</t>
  </si>
  <si>
    <t>Pooja Kelkar</t>
  </si>
  <si>
    <t>MH12NS3899</t>
  </si>
  <si>
    <t>28327</t>
  </si>
  <si>
    <t>2024-12-22 18:57:46</t>
  </si>
  <si>
    <t>Shoyong</t>
  </si>
  <si>
    <t>MH01AZ0299</t>
  </si>
  <si>
    <t xml:space="preserve">Yamaha Fazer </t>
  </si>
  <si>
    <t>2024-12-22 19:07:43</t>
  </si>
  <si>
    <t>Varun</t>
  </si>
  <si>
    <t>MH14HC9267</t>
  </si>
  <si>
    <t>6838</t>
  </si>
  <si>
    <t>XMB8NG49AF</t>
  </si>
  <si>
    <t>G423136566</t>
  </si>
  <si>
    <t>2024-12-22 19:25:06</t>
  </si>
  <si>
    <t>MH12PU9038</t>
  </si>
  <si>
    <t>Honda Unicorn 160</t>
  </si>
  <si>
    <t>55514</t>
  </si>
  <si>
    <t>ME4KC311KH8131797</t>
  </si>
  <si>
    <t>KC31E80131858</t>
  </si>
  <si>
    <t>2024-12-22 20:10:04</t>
  </si>
  <si>
    <t>Gaurav Mahakar</t>
  </si>
  <si>
    <t>MH15HZ2588</t>
  </si>
  <si>
    <t>TVS Rider 125</t>
  </si>
  <si>
    <t>19426</t>
  </si>
  <si>
    <t>MD62SAF91NK01437</t>
  </si>
  <si>
    <t>AF9KN1300943</t>
  </si>
  <si>
    <t>2024-12-22 19:42:31</t>
  </si>
  <si>
    <t>Ajay Mahagaonkar</t>
  </si>
  <si>
    <t>MH12JJ5146</t>
  </si>
  <si>
    <t>39963</t>
  </si>
  <si>
    <t>MB8CF4CAKC8243135</t>
  </si>
  <si>
    <t>F4862142374</t>
  </si>
  <si>
    <t>2024-12-22 18:58:43</t>
  </si>
  <si>
    <t>Swapnil</t>
  </si>
  <si>
    <t>MH10AX5101</t>
  </si>
  <si>
    <t>10329</t>
  </si>
  <si>
    <t>MBLKC12ECBGB08245</t>
  </si>
  <si>
    <t>KC1ZEBBGB08307</t>
  </si>
  <si>
    <t>2024-12-22 20:15:28</t>
  </si>
  <si>
    <t>VISHAL BACCHAV</t>
  </si>
  <si>
    <t>MH15FL4415</t>
  </si>
  <si>
    <t>8774</t>
  </si>
  <si>
    <t>ME4JF05JGU338738</t>
  </si>
  <si>
    <t>JF50EU3338493</t>
  </si>
  <si>
    <t>2024-12-04 17:29:31</t>
  </si>
  <si>
    <t xml:space="preserve">Jaideep </t>
  </si>
  <si>
    <t>GJ05PW7472</t>
  </si>
  <si>
    <t>Bajaj Pulsar N160</t>
  </si>
  <si>
    <t>19554</t>
  </si>
  <si>
    <t>MD2854DX4KCK07988</t>
  </si>
  <si>
    <t>PDXCRK72460</t>
  </si>
  <si>
    <t>2025-01-18 22:47:44</t>
  </si>
  <si>
    <t>Sumit Patil</t>
  </si>
  <si>
    <t>MH14ET2912</t>
  </si>
  <si>
    <t>21660</t>
  </si>
  <si>
    <t>upi</t>
  </si>
  <si>
    <t>MD634KE46E2N90363</t>
  </si>
  <si>
    <t>0E4LE2679895</t>
  </si>
  <si>
    <t>2024-12-22 20:20:10</t>
  </si>
  <si>
    <t>Tarun</t>
  </si>
  <si>
    <t>MH12PB9345</t>
  </si>
  <si>
    <t xml:space="preserve">Yamaha Fascino </t>
  </si>
  <si>
    <t>32109</t>
  </si>
  <si>
    <t>2024-12-04 18:17:34</t>
  </si>
  <si>
    <t>Kavita Ingale</t>
  </si>
  <si>
    <t>MH14HT3867</t>
  </si>
  <si>
    <t>15179</t>
  </si>
  <si>
    <t>ME4JF50AGKW128317</t>
  </si>
  <si>
    <t>JF50EW0127740</t>
  </si>
  <si>
    <t>2024-12-04 18:37:22</t>
  </si>
  <si>
    <t xml:space="preserve">Pratima More </t>
  </si>
  <si>
    <t>MH14EX5965</t>
  </si>
  <si>
    <t>40019</t>
  </si>
  <si>
    <t>MD626BG43F1D08483</t>
  </si>
  <si>
    <t>BG4DF1498654</t>
  </si>
  <si>
    <t>2025-04-11 21:01:00</t>
  </si>
  <si>
    <t xml:space="preserve">Sudarshan </t>
  </si>
  <si>
    <t>MH49M6215</t>
  </si>
  <si>
    <t>Hero Karizma No Data</t>
  </si>
  <si>
    <t>3000 ₹</t>
  </si>
  <si>
    <t>2025-04-11 20:58:25</t>
  </si>
  <si>
    <t xml:space="preserve">Satish Pawar </t>
  </si>
  <si>
    <t>MH14EK8123</t>
  </si>
  <si>
    <t>70000</t>
  </si>
  <si>
    <t>MEJF502EE80903170</t>
  </si>
  <si>
    <t>JF50581089703</t>
  </si>
  <si>
    <t>2024-12-04 18:56:50</t>
  </si>
  <si>
    <t>Smita</t>
  </si>
  <si>
    <t>MH14HA3121</t>
  </si>
  <si>
    <t>MD626EG4XJ1FS4702</t>
  </si>
  <si>
    <t>EG4HEJ1538492</t>
  </si>
  <si>
    <t>2025-04-11 21:05:59</t>
  </si>
  <si>
    <t xml:space="preserve">PRAVEEN MULEY </t>
  </si>
  <si>
    <t>MH16BP0203</t>
  </si>
  <si>
    <t>78186</t>
  </si>
  <si>
    <t>0229 ₹</t>
  </si>
  <si>
    <t>2025-04-11 21:05:26</t>
  </si>
  <si>
    <t xml:space="preserve">SWAPNIL </t>
  </si>
  <si>
    <t>MH27DF7190</t>
  </si>
  <si>
    <t>16804</t>
  </si>
  <si>
    <t>MBLLDL067NCE02154</t>
  </si>
  <si>
    <t>NC20HHGE02F14</t>
  </si>
  <si>
    <t>2025-04-11 21:04:54</t>
  </si>
  <si>
    <t>BHUSHAN GAIKWAD</t>
  </si>
  <si>
    <t>MH41BC8934</t>
  </si>
  <si>
    <t>46571</t>
  </si>
  <si>
    <t>MDA11CXKCG38046</t>
  </si>
  <si>
    <t>DHXC031843</t>
  </si>
  <si>
    <t>2024-12-04 19:07:23</t>
  </si>
  <si>
    <t>Shubham Limbole</t>
  </si>
  <si>
    <t>MH46BH7225</t>
  </si>
  <si>
    <t xml:space="preserve">Hero Maestro </t>
  </si>
  <si>
    <t>389</t>
  </si>
  <si>
    <t>RUSTY FRAME</t>
  </si>
  <si>
    <t>JF33ABHGK00656</t>
  </si>
  <si>
    <t>2024-12-04 19:11:30</t>
  </si>
  <si>
    <t>SUPRIYA VIJAY CHANDGUDE</t>
  </si>
  <si>
    <t>MH14JK4524</t>
  </si>
  <si>
    <t>34819</t>
  </si>
  <si>
    <t>DME4JF49MAMW002098</t>
  </si>
  <si>
    <t>JF49EW4101000</t>
  </si>
  <si>
    <t>2025-04-11 21:06:19</t>
  </si>
  <si>
    <t xml:space="preserve">HARSHAL KAPSE </t>
  </si>
  <si>
    <t>MH14HA6342</t>
  </si>
  <si>
    <t>Bajaj Pulsar 200 NS</t>
  </si>
  <si>
    <t>26468</t>
  </si>
  <si>
    <t>MD2A36FY7JCB36957</t>
  </si>
  <si>
    <t>JLYCJB34714</t>
  </si>
  <si>
    <t>2025-04-11 21:06:43</t>
  </si>
  <si>
    <t>UMESH MANKARI</t>
  </si>
  <si>
    <t>MH14KP9226</t>
  </si>
  <si>
    <t>Honda SP 125 Disc</t>
  </si>
  <si>
    <t>16844</t>
  </si>
  <si>
    <t>ME4JC83ERPD023472</t>
  </si>
  <si>
    <t>JC83EDG196622</t>
  </si>
  <si>
    <t>2025-04-11 21:09:33</t>
  </si>
  <si>
    <t>Dnyanesh Joshi</t>
  </si>
  <si>
    <t>MH19BN0480</t>
  </si>
  <si>
    <t>36931</t>
  </si>
  <si>
    <t>ME4JC447LC8277313</t>
  </si>
  <si>
    <t>JC44E2388389</t>
  </si>
  <si>
    <t>2025-04-11 21:07:33</t>
  </si>
  <si>
    <t>Pravin</t>
  </si>
  <si>
    <t>MH14LN0875</t>
  </si>
  <si>
    <t>5403</t>
  </si>
  <si>
    <t>2025-04-11 21:09:51</t>
  </si>
  <si>
    <t xml:space="preserve">Jayesh </t>
  </si>
  <si>
    <t>MH27DN2857</t>
  </si>
  <si>
    <t>19389</t>
  </si>
  <si>
    <t>2025-04-11 21:10:35</t>
  </si>
  <si>
    <t xml:space="preserve">DHANANJAY JADHAV </t>
  </si>
  <si>
    <t>MH25AG8823</t>
  </si>
  <si>
    <t>36984</t>
  </si>
  <si>
    <t>ME4KC311CH8003864</t>
  </si>
  <si>
    <t>KC31E18003945</t>
  </si>
  <si>
    <t>2024-12-04 19:50:50</t>
  </si>
  <si>
    <t>Harshal Jadhav</t>
  </si>
  <si>
    <t>MH17BC1101</t>
  </si>
  <si>
    <t>76214</t>
  </si>
  <si>
    <t>ME4KC09CDE8717638</t>
  </si>
  <si>
    <t>KC09E8678135</t>
  </si>
  <si>
    <t>2024-12-08 18:51:05</t>
  </si>
  <si>
    <t>Ajinkya Dhomne</t>
  </si>
  <si>
    <t>MH49AA4409</t>
  </si>
  <si>
    <t>45253</t>
  </si>
  <si>
    <t>ME4KC201GF8110157</t>
  </si>
  <si>
    <t>KC20E80121497</t>
  </si>
  <si>
    <t>2025-02-14 18:44:14</t>
  </si>
  <si>
    <t>SAVITA KAMBLE</t>
  </si>
  <si>
    <t>MH14KY2016</t>
  </si>
  <si>
    <t>23619</t>
  </si>
  <si>
    <t>ME4JK1J7DPG059168</t>
  </si>
  <si>
    <t>JY15G6059491</t>
  </si>
  <si>
    <t>2025-02-14 18:46:42</t>
  </si>
  <si>
    <t>MANJULA SINGH</t>
  </si>
  <si>
    <t>MH14HL1691</t>
  </si>
  <si>
    <t>1821</t>
  </si>
  <si>
    <t>ME4JF50AAKT771241</t>
  </si>
  <si>
    <t>JF50ET77771283</t>
  </si>
  <si>
    <t>2025-02-14 18:48:02</t>
  </si>
  <si>
    <t>ANIKET SAWANT</t>
  </si>
  <si>
    <t>MH11DK7832</t>
  </si>
  <si>
    <t>18033</t>
  </si>
  <si>
    <t>ME1RG66K2PD0003041</t>
  </si>
  <si>
    <t>G3N3026744B</t>
  </si>
  <si>
    <t>2025-01-18 22:19:08</t>
  </si>
  <si>
    <t>Nilesh Dhondage</t>
  </si>
  <si>
    <t>MH14EE8969</t>
  </si>
  <si>
    <t>100899</t>
  </si>
  <si>
    <t>MD2A11CZ7DCH59635</t>
  </si>
  <si>
    <t>CG54L1305391</t>
  </si>
  <si>
    <t>2025-01-18 22:20:34</t>
  </si>
  <si>
    <t>Ajay</t>
  </si>
  <si>
    <t>MH20CL9845</t>
  </si>
  <si>
    <t>48881</t>
  </si>
  <si>
    <t>MD2A11CZ8CCG77590</t>
  </si>
  <si>
    <t>DHZCCC14640</t>
  </si>
  <si>
    <t>2025-04-11 21:07:15</t>
  </si>
  <si>
    <t>Dheeraj Rajput</t>
  </si>
  <si>
    <t>MH15DD1642</t>
  </si>
  <si>
    <t>29290</t>
  </si>
  <si>
    <t>MB8CF4CAGB8312482</t>
  </si>
  <si>
    <t>2025-01-18 22:24:35</t>
  </si>
  <si>
    <t>SUDHANSHU JOSHI</t>
  </si>
  <si>
    <t>MH12QU9608</t>
  </si>
  <si>
    <t>Bajaj Avenger 220 Cruise</t>
  </si>
  <si>
    <t>49859</t>
  </si>
  <si>
    <t>MD2A22EY0JCE35655</t>
  </si>
  <si>
    <t>PDYCJE64645</t>
  </si>
  <si>
    <t>2024-12-04 19:34:50</t>
  </si>
  <si>
    <t>Mukund</t>
  </si>
  <si>
    <t>MH49AF2685</t>
  </si>
  <si>
    <t>34664</t>
  </si>
  <si>
    <t>MD2A85CZXGCC07344</t>
  </si>
  <si>
    <t>PDZCGC24335</t>
  </si>
  <si>
    <t>2025-01-18 22:25:23</t>
  </si>
  <si>
    <t xml:space="preserve">Vijaymala Singh </t>
  </si>
  <si>
    <t>MH14LT7618</t>
  </si>
  <si>
    <t>3856</t>
  </si>
  <si>
    <t>2025-01-18 22:28:40</t>
  </si>
  <si>
    <t>Yogesh Umbarkar</t>
  </si>
  <si>
    <t>MH19BF4091</t>
  </si>
  <si>
    <t>Hero Xtreme New</t>
  </si>
  <si>
    <t>33 ₹</t>
  </si>
  <si>
    <t>MBLKC12EFEGK0674X</t>
  </si>
  <si>
    <t>KC12EDBGK09076</t>
  </si>
  <si>
    <t>2025-01-18 22:21:53</t>
  </si>
  <si>
    <t>Amol Belkar</t>
  </si>
  <si>
    <t>MH14EK5304</t>
  </si>
  <si>
    <t>42000</t>
  </si>
  <si>
    <t>2025-01-18 22:35:45</t>
  </si>
  <si>
    <t>Tushar Patil</t>
  </si>
  <si>
    <t>MH19DA4964</t>
  </si>
  <si>
    <t>23680</t>
  </si>
  <si>
    <t>ME1RBDG18F0049891</t>
  </si>
  <si>
    <t>G3C8E0189510</t>
  </si>
  <si>
    <t>2025-01-18 22:30:59</t>
  </si>
  <si>
    <t>MH20DS7244</t>
  </si>
  <si>
    <t>Bajaj Pulsar 180</t>
  </si>
  <si>
    <t>92530</t>
  </si>
  <si>
    <t>MD2A12DZ3FCE19664</t>
  </si>
  <si>
    <t>DJZCFEZ2911</t>
  </si>
  <si>
    <t>2025-01-18 22:33:19</t>
  </si>
  <si>
    <t>SAURABH RAKHADE</t>
  </si>
  <si>
    <t>MH14HJ1148</t>
  </si>
  <si>
    <t>Yamaha FZ S 2.0</t>
  </si>
  <si>
    <t>44873</t>
  </si>
  <si>
    <t>ME1RG4426J0172035</t>
  </si>
  <si>
    <t>G3J3E0336293</t>
  </si>
  <si>
    <t>2025-01-18 22:37:21</t>
  </si>
  <si>
    <t>Kishor</t>
  </si>
  <si>
    <t>MH12FH2924</t>
  </si>
  <si>
    <t>71224</t>
  </si>
  <si>
    <t xml:space="preserve">RUSTY FRAME </t>
  </si>
  <si>
    <t>JF08B5718284</t>
  </si>
  <si>
    <t>2025-01-18 22:42:12</t>
  </si>
  <si>
    <t>Milind Devle</t>
  </si>
  <si>
    <t>MH14FJ7218</t>
  </si>
  <si>
    <t>43785</t>
  </si>
  <si>
    <t>MD2A85CZ2FCJ05855</t>
  </si>
  <si>
    <t>2025-01-18 22:44:15</t>
  </si>
  <si>
    <t>Subhodeep Chaterjee</t>
  </si>
  <si>
    <t>WB01AV8334</t>
  </si>
  <si>
    <t>TVS Jupiter 125</t>
  </si>
  <si>
    <t>5642</t>
  </si>
  <si>
    <t>MD626AK46P1B11441</t>
  </si>
  <si>
    <t>BK4BP1609666</t>
  </si>
  <si>
    <t>2025-01-18 22:39:57</t>
  </si>
  <si>
    <t>Vishal K</t>
  </si>
  <si>
    <t>MH32V3173</t>
  </si>
  <si>
    <t>30000</t>
  </si>
  <si>
    <t>ME4JC4400C134XXXX</t>
  </si>
  <si>
    <t>JC44E5325372</t>
  </si>
  <si>
    <t>2025-01-18 22:46:25</t>
  </si>
  <si>
    <t>Sunil Huble</t>
  </si>
  <si>
    <t>MH14EV1496</t>
  </si>
  <si>
    <t>29092</t>
  </si>
  <si>
    <t>ME4JF502AF7343521</t>
  </si>
  <si>
    <t>JF50E71343567</t>
  </si>
  <si>
    <t>2025-01-16 20:37:08</t>
  </si>
  <si>
    <t>Anchal</t>
  </si>
  <si>
    <t>MH27AZ5188</t>
  </si>
  <si>
    <t>45043</t>
  </si>
  <si>
    <t>159 ₹</t>
  </si>
  <si>
    <t>ME4JF301KD8559676</t>
  </si>
  <si>
    <t>JF50E82558366</t>
  </si>
  <si>
    <t>2025-01-13 19:05:40</t>
  </si>
  <si>
    <t xml:space="preserve">Priya Jadhav </t>
  </si>
  <si>
    <t>MH12NV3012</t>
  </si>
  <si>
    <t>33178</t>
  </si>
  <si>
    <t>ME4JF509LGT063530</t>
  </si>
  <si>
    <t>JF50ET6063914</t>
  </si>
  <si>
    <t>2025-01-16 20:38:01</t>
  </si>
  <si>
    <t>RUSHIKESH SHELKE</t>
  </si>
  <si>
    <t>MH12RB1925</t>
  </si>
  <si>
    <t>Yamaha FZ No Data</t>
  </si>
  <si>
    <t>13922</t>
  </si>
  <si>
    <t>ME1G4219J0046776</t>
  </si>
  <si>
    <t>G3H7E0071904</t>
  </si>
  <si>
    <t>2025-01-17 20:50:58</t>
  </si>
  <si>
    <t xml:space="preserve">Someshwar </t>
  </si>
  <si>
    <t>MH14DZ2656</t>
  </si>
  <si>
    <t>86669</t>
  </si>
  <si>
    <t>MBLKC12EHDGF0191</t>
  </si>
  <si>
    <t>KC12EEDGF02394</t>
  </si>
  <si>
    <t>2025-04-11 23:02:45</t>
  </si>
  <si>
    <t>Narayan Chavan</t>
  </si>
  <si>
    <t>MH14FJ5958</t>
  </si>
  <si>
    <t>Hero Deluxe CD</t>
  </si>
  <si>
    <t>70001</t>
  </si>
  <si>
    <t>0227 ₹</t>
  </si>
  <si>
    <t>MBLHA11AZF9K08412</t>
  </si>
  <si>
    <t>HA11EKF9K08191</t>
  </si>
  <si>
    <t>2025-02-14 18:55:12</t>
  </si>
  <si>
    <t xml:space="preserve">DEBASIS MISHRA </t>
  </si>
  <si>
    <t>23BH7869B</t>
  </si>
  <si>
    <t>Yezdi Scrambler Dual Tone</t>
  </si>
  <si>
    <t>2024-12-23 19:03:42</t>
  </si>
  <si>
    <t>Deshmukh</t>
  </si>
  <si>
    <t>MH14ED3957</t>
  </si>
  <si>
    <t>25934</t>
  </si>
  <si>
    <t>ME4JF501KD7451152</t>
  </si>
  <si>
    <t>JF50E70451203</t>
  </si>
  <si>
    <t>2025-01-18 22:34:20</t>
  </si>
  <si>
    <t>Hemant Dhake</t>
  </si>
  <si>
    <t>MH14JZ0413</t>
  </si>
  <si>
    <t>TVS Ntorq 125</t>
  </si>
  <si>
    <t>13621</t>
  </si>
  <si>
    <t>MD626AK31N2C04303</t>
  </si>
  <si>
    <t>AK3CH2803155</t>
  </si>
  <si>
    <t>2024-12-08 18:29:45</t>
  </si>
  <si>
    <t>Sanket H</t>
  </si>
  <si>
    <t>MH12JH2201</t>
  </si>
  <si>
    <t>20061</t>
  </si>
  <si>
    <t>MD626AG44C1KG9995</t>
  </si>
  <si>
    <t>0G4HC1417597</t>
  </si>
  <si>
    <t>2025-02-14 19:57:03</t>
  </si>
  <si>
    <t>AKSHAY RANE</t>
  </si>
  <si>
    <t>MH34AK4016</t>
  </si>
  <si>
    <t>81498</t>
  </si>
  <si>
    <t>2025-02-14 19:55:18</t>
  </si>
  <si>
    <t>SUNIL KAPURE</t>
  </si>
  <si>
    <t>MH14HP0674</t>
  </si>
  <si>
    <t>40366</t>
  </si>
  <si>
    <t>087 ₹</t>
  </si>
  <si>
    <t>2024-12-05 18:13:00</t>
  </si>
  <si>
    <t>Lalit More</t>
  </si>
  <si>
    <t>MH14KT6304</t>
  </si>
  <si>
    <t>14727</t>
  </si>
  <si>
    <t>ME40K156DPG0787518</t>
  </si>
  <si>
    <t>JK15EG5077887</t>
  </si>
  <si>
    <t>2024-12-05 18:23:38</t>
  </si>
  <si>
    <t>Kale</t>
  </si>
  <si>
    <t>MH12EK7543</t>
  </si>
  <si>
    <t>37449</t>
  </si>
  <si>
    <t>ME4JF0893K78843143</t>
  </si>
  <si>
    <t>JF08E507468S</t>
  </si>
  <si>
    <t>2024-12-05 18:24:38</t>
  </si>
  <si>
    <t>Joseph</t>
  </si>
  <si>
    <t>MH14EN7302</t>
  </si>
  <si>
    <t>19379</t>
  </si>
  <si>
    <t>ME4JF491GE031113</t>
  </si>
  <si>
    <t>JF49E80034191</t>
  </si>
  <si>
    <t>2025-02-14 19:55:41</t>
  </si>
  <si>
    <t>Sudhakar</t>
  </si>
  <si>
    <t>MH14EG4420</t>
  </si>
  <si>
    <t>82509</t>
  </si>
  <si>
    <t>ME4JF501CE7018436</t>
  </si>
  <si>
    <t>JF50E70618385</t>
  </si>
  <si>
    <t>2025-01-19 12:56:00</t>
  </si>
  <si>
    <t>Girish Jadhav</t>
  </si>
  <si>
    <t>MH14HV9323</t>
  </si>
  <si>
    <t>Bajaj Avenger 160 S ABS</t>
  </si>
  <si>
    <t>98069</t>
  </si>
  <si>
    <t>MD2B57CY9KCG26696</t>
  </si>
  <si>
    <t>PDYCK005304</t>
  </si>
  <si>
    <t>2024-12-08 19:49:35</t>
  </si>
  <si>
    <t xml:space="preserve">Kunal Saxena </t>
  </si>
  <si>
    <t>MP05MR9003</t>
  </si>
  <si>
    <t>Royal Enfield ThunderBird 350</t>
  </si>
  <si>
    <t>12839</t>
  </si>
  <si>
    <t>2024-12-06 17:09:07</t>
  </si>
  <si>
    <t xml:space="preserve">Aditi Chaturvedi </t>
  </si>
  <si>
    <t>MP04SH1765</t>
  </si>
  <si>
    <t>44468</t>
  </si>
  <si>
    <t>2024-12-23 18:22:29</t>
  </si>
  <si>
    <t>Nishant Nagekar</t>
  </si>
  <si>
    <t>MH14KQ4755</t>
  </si>
  <si>
    <t>4574</t>
  </si>
  <si>
    <t>ME4JK156ERW729862</t>
  </si>
  <si>
    <t>JK15EW5729610</t>
  </si>
  <si>
    <t>2025-02-14 20:20:02</t>
  </si>
  <si>
    <t>SANDIP PATIL</t>
  </si>
  <si>
    <t>MH14DU1698</t>
  </si>
  <si>
    <t>79145</t>
  </si>
  <si>
    <t>2024-12-23 18:25:51</t>
  </si>
  <si>
    <t>Sayli</t>
  </si>
  <si>
    <t>MH12RG9285</t>
  </si>
  <si>
    <t>26358</t>
  </si>
  <si>
    <t>2024-12-23 18:24:10</t>
  </si>
  <si>
    <t>Gitanjali</t>
  </si>
  <si>
    <t>MH14DZ3632</t>
  </si>
  <si>
    <t>15000</t>
  </si>
  <si>
    <t>2024-12-23 18:20:55</t>
  </si>
  <si>
    <t xml:space="preserve">CHANDRASHEKHAR </t>
  </si>
  <si>
    <t>MH14GM8850</t>
  </si>
  <si>
    <t>22777</t>
  </si>
  <si>
    <t>MBLJFN03SHGK04581</t>
  </si>
  <si>
    <t>JF16EGHGK5788</t>
  </si>
  <si>
    <t>2024-12-23 18:21:18</t>
  </si>
  <si>
    <t xml:space="preserve">Suryoday Mukherjee </t>
  </si>
  <si>
    <t>MH14JW1498</t>
  </si>
  <si>
    <t>Royal Enfield Hunter 350 Retro</t>
  </si>
  <si>
    <t>10695</t>
  </si>
  <si>
    <t>ME3J3A5FHM2001328</t>
  </si>
  <si>
    <t>2024-12-23 18:25:19</t>
  </si>
  <si>
    <t>Harsh</t>
  </si>
  <si>
    <t>MH14GK0393</t>
  </si>
  <si>
    <t>23630</t>
  </si>
  <si>
    <t>ME4JF507GHU384784</t>
  </si>
  <si>
    <t>JF50E45384745</t>
  </si>
  <si>
    <t>2024-12-23 18:22:02</t>
  </si>
  <si>
    <t>Ajit Vaidya</t>
  </si>
  <si>
    <t>GJ01JU2579</t>
  </si>
  <si>
    <t>4558</t>
  </si>
  <si>
    <t>MD626BG32G2B29015</t>
  </si>
  <si>
    <t>OG3BG2527300</t>
  </si>
  <si>
    <t>2024-12-23 18:26:33</t>
  </si>
  <si>
    <t>PRASHANT SAWANT</t>
  </si>
  <si>
    <t>MH12SR7700</t>
  </si>
  <si>
    <t>Aprilla SR SR 150</t>
  </si>
  <si>
    <t>15991</t>
  </si>
  <si>
    <t>2024-12-23 18:26:12</t>
  </si>
  <si>
    <t>2024-12-23 20:46:47</t>
  </si>
  <si>
    <t>ROSHAN</t>
  </si>
  <si>
    <t>OD33Q0227</t>
  </si>
  <si>
    <t>63507</t>
  </si>
  <si>
    <t>2024-12-23 18:23:16</t>
  </si>
  <si>
    <t>Shivaji</t>
  </si>
  <si>
    <t>MH12MD5080</t>
  </si>
  <si>
    <t>47569</t>
  </si>
  <si>
    <t>ME4JF504FFT445006</t>
  </si>
  <si>
    <t>JE50ET2446061</t>
  </si>
  <si>
    <t>2024-12-23 19:16:37</t>
  </si>
  <si>
    <t>Rajendra Bagal</t>
  </si>
  <si>
    <t>MH14ES6745</t>
  </si>
  <si>
    <t>Honda Activa HET</t>
  </si>
  <si>
    <t>72032</t>
  </si>
  <si>
    <t>ME4JF501CD7110269</t>
  </si>
  <si>
    <t>JF50ET1614405</t>
  </si>
  <si>
    <t>2024-12-07 16:51:59</t>
  </si>
  <si>
    <t>Jayesh Shelar</t>
  </si>
  <si>
    <t>MH41AK2745</t>
  </si>
  <si>
    <t>40701</t>
  </si>
  <si>
    <t>ME4JF504JFT746872</t>
  </si>
  <si>
    <t>JF50ET2747750</t>
  </si>
  <si>
    <t>2024-12-23 19:38:50</t>
  </si>
  <si>
    <t>Sudarshan Gumaste</t>
  </si>
  <si>
    <t>MH17CS9695</t>
  </si>
  <si>
    <t>19215</t>
  </si>
  <si>
    <t>2024-12-06 17:06:52</t>
  </si>
  <si>
    <t>Ramesh</t>
  </si>
  <si>
    <t>MH14GG3538</t>
  </si>
  <si>
    <t>ME4KC239DH8002086</t>
  </si>
  <si>
    <t>KC23E84002579</t>
  </si>
  <si>
    <t>2024-12-06 17:10:11</t>
  </si>
  <si>
    <t>Veena</t>
  </si>
  <si>
    <t>MP28SC0551</t>
  </si>
  <si>
    <t>24480</t>
  </si>
  <si>
    <t>2024-12-06 17:08:21</t>
  </si>
  <si>
    <t xml:space="preserve">Prinkesh </t>
  </si>
  <si>
    <t>MH14GJ6923</t>
  </si>
  <si>
    <t>26788</t>
  </si>
  <si>
    <t>MD626EG49H1B34892</t>
  </si>
  <si>
    <t>EG4BH1451925</t>
  </si>
  <si>
    <t>2024-12-06 17:11:37</t>
  </si>
  <si>
    <t xml:space="preserve">Ritesh </t>
  </si>
  <si>
    <t>MH15HR6562</t>
  </si>
  <si>
    <t>12533</t>
  </si>
  <si>
    <t>MB8DP12DKM8931556</t>
  </si>
  <si>
    <t>AF216845827</t>
  </si>
  <si>
    <t>2024-12-23 20:09:13</t>
  </si>
  <si>
    <t>40106</t>
  </si>
  <si>
    <t>2024-12-06 19:21:28</t>
  </si>
  <si>
    <t>MH14JD7564</t>
  </si>
  <si>
    <t>30537</t>
  </si>
  <si>
    <t>ME4JF91GLWO64358</t>
  </si>
  <si>
    <t>JF91EW1064872</t>
  </si>
  <si>
    <t>2024-12-06 16:58:41</t>
  </si>
  <si>
    <t xml:space="preserve">Mayank Sharma </t>
  </si>
  <si>
    <t>MH14JY1107</t>
  </si>
  <si>
    <t>8982</t>
  </si>
  <si>
    <t>MD626AK42N1A75714</t>
  </si>
  <si>
    <t>BKAAN1409686</t>
  </si>
  <si>
    <t>2024-12-06 19:35:24</t>
  </si>
  <si>
    <t>4220</t>
  </si>
  <si>
    <t>2024-12-06 19:37:18</t>
  </si>
  <si>
    <t xml:space="preserve">Maumita </t>
  </si>
  <si>
    <t>MH12QS4251</t>
  </si>
  <si>
    <t>19814</t>
  </si>
  <si>
    <t>ME4JF50AGJU195725</t>
  </si>
  <si>
    <t>JF50FU7195795</t>
  </si>
  <si>
    <t>2024-12-23 19:16:15</t>
  </si>
  <si>
    <t>Sumit Chaudhari</t>
  </si>
  <si>
    <t>MH12QB1031</t>
  </si>
  <si>
    <t xml:space="preserve">Honda Cliq </t>
  </si>
  <si>
    <t>29584</t>
  </si>
  <si>
    <t>ME4JF762JH7010514</t>
  </si>
  <si>
    <t>2024-12-06 19:36:30</t>
  </si>
  <si>
    <t>Shinde</t>
  </si>
  <si>
    <t>MH14CN8579</t>
  </si>
  <si>
    <t>19240</t>
  </si>
  <si>
    <t>MB8CF4CAMA8139138</t>
  </si>
  <si>
    <t>F486502406</t>
  </si>
  <si>
    <t>2025-01-19 18:22:13</t>
  </si>
  <si>
    <t>SHIDHANT PUND</t>
  </si>
  <si>
    <t>MH16DB8564</t>
  </si>
  <si>
    <t>Suzuki Access  125 BS6</t>
  </si>
  <si>
    <t>5601</t>
  </si>
  <si>
    <t>2024-12-07 16:52:51</t>
  </si>
  <si>
    <t>Ramesh Adagle</t>
  </si>
  <si>
    <t>MH12GW1640</t>
  </si>
  <si>
    <t>2024-12-07 18:41:44</t>
  </si>
  <si>
    <t>SWAPNIL KHARE</t>
  </si>
  <si>
    <t>MH14DD6333</t>
  </si>
  <si>
    <t>63133</t>
  </si>
  <si>
    <t>ME4JC448MB7163952</t>
  </si>
  <si>
    <t>JC44E5183425</t>
  </si>
  <si>
    <t>2024-12-08 14:59:59</t>
  </si>
  <si>
    <t xml:space="preserve">SUDHANSHU </t>
  </si>
  <si>
    <t>MBLJF16GDGF12789</t>
  </si>
  <si>
    <t>JF16EBA9E159L9</t>
  </si>
  <si>
    <t>2024-12-06 19:23:02</t>
  </si>
  <si>
    <t>CHETAN SAKORE</t>
  </si>
  <si>
    <t>MH12JG5406</t>
  </si>
  <si>
    <t>KTM Duke 250</t>
  </si>
  <si>
    <t>000</t>
  </si>
  <si>
    <t>VBKG4CHE4CC012816</t>
  </si>
  <si>
    <t>Z-90613101</t>
  </si>
  <si>
    <t>2025-01-19 18:17:44</t>
  </si>
  <si>
    <t>Devin Bhave</t>
  </si>
  <si>
    <t>MH14JK0348</t>
  </si>
  <si>
    <t>18288</t>
  </si>
  <si>
    <t>ME4J49NMLW034543</t>
  </si>
  <si>
    <t>JF49EW4093820</t>
  </si>
  <si>
    <t>2024-12-08 18:58:50</t>
  </si>
  <si>
    <t xml:space="preserve">Darshan </t>
  </si>
  <si>
    <t>MH14DE5481</t>
  </si>
  <si>
    <t>TVS Apache RTR 180 New</t>
  </si>
  <si>
    <t>57995</t>
  </si>
  <si>
    <t>2024-12-07 20:48:46</t>
  </si>
  <si>
    <t xml:space="preserve">Aniket Chaudhary </t>
  </si>
  <si>
    <t>MH12CQ9757</t>
  </si>
  <si>
    <t xml:space="preserve">Hero Passion </t>
  </si>
  <si>
    <t>35689</t>
  </si>
  <si>
    <t>2024-12-08 19:49:12</t>
  </si>
  <si>
    <t>Mohan</t>
  </si>
  <si>
    <t>MH14EK6280</t>
  </si>
  <si>
    <t>ME4JF491EE8007723</t>
  </si>
  <si>
    <t>JF49E80008841</t>
  </si>
  <si>
    <t>2024-12-08 14:49:53</t>
  </si>
  <si>
    <t xml:space="preserve">Sonali Pawar </t>
  </si>
  <si>
    <t>MH17AM7352</t>
  </si>
  <si>
    <t>37740</t>
  </si>
  <si>
    <t>MBLJF16EDBGE27218</t>
  </si>
  <si>
    <t>JF16EBBGE27548</t>
  </si>
  <si>
    <t>2024-12-07 21:28:35</t>
  </si>
  <si>
    <t>Pratik</t>
  </si>
  <si>
    <t>MH12NN0922</t>
  </si>
  <si>
    <t>37980</t>
  </si>
  <si>
    <t>MD2A22EY8GCF94660</t>
  </si>
  <si>
    <t>RDYCGF2056</t>
  </si>
  <si>
    <t>2024-12-08 14:45:16</t>
  </si>
  <si>
    <t>Ramchandra</t>
  </si>
  <si>
    <t>MH14JV5923</t>
  </si>
  <si>
    <t>33205</t>
  </si>
  <si>
    <t>ME4JC85AKMD047726</t>
  </si>
  <si>
    <t>JC85ED107246</t>
  </si>
  <si>
    <t>2024-12-08 14:48:20</t>
  </si>
  <si>
    <t>Kalpesh Bagul</t>
  </si>
  <si>
    <t>MH12RG3590</t>
  </si>
  <si>
    <t>6998</t>
  </si>
  <si>
    <t>ME4JF50AL4411578</t>
  </si>
  <si>
    <t>JF50E47411371</t>
  </si>
  <si>
    <t>2024-12-08 14:55:06</t>
  </si>
  <si>
    <t xml:space="preserve">SUDARSHAN </t>
  </si>
  <si>
    <t>MH14CA7532</t>
  </si>
  <si>
    <t xml:space="preserve">TVS Star City </t>
  </si>
  <si>
    <t>54749</t>
  </si>
  <si>
    <t>MD625CF18E1176323</t>
  </si>
  <si>
    <t>CF1LE1124064</t>
  </si>
  <si>
    <t>2024-12-08 14:53:30</t>
  </si>
  <si>
    <t xml:space="preserve">Rohan </t>
  </si>
  <si>
    <t>MH11CZ8986</t>
  </si>
  <si>
    <t>ME1RG6692M0007664</t>
  </si>
  <si>
    <t>G3N5E0124779</t>
  </si>
  <si>
    <t>2024-12-08 14:56:12</t>
  </si>
  <si>
    <t>Avinash More</t>
  </si>
  <si>
    <t>MH14HR8911</t>
  </si>
  <si>
    <t>30788</t>
  </si>
  <si>
    <t>MBLDL026KGF00343</t>
  </si>
  <si>
    <t>MC204BKGE00392</t>
  </si>
  <si>
    <t>2024-12-08 14:57:45</t>
  </si>
  <si>
    <t>Mithun Vaidya</t>
  </si>
  <si>
    <t>MH14GB7531</t>
  </si>
  <si>
    <t>13456</t>
  </si>
  <si>
    <t>MDZA22EY4HCL05790</t>
  </si>
  <si>
    <t>PDYCHL76745</t>
  </si>
  <si>
    <t>2024-12-08 18:16:26</t>
  </si>
  <si>
    <t>Rishabh</t>
  </si>
  <si>
    <t>MH14KT1540</t>
  </si>
  <si>
    <t>7854</t>
  </si>
  <si>
    <t>ME4JK156CPG043385</t>
  </si>
  <si>
    <t>JK15EG5043553</t>
  </si>
  <si>
    <t>2024-12-08 17:43:22</t>
  </si>
  <si>
    <t xml:space="preserve">Abhishek </t>
  </si>
  <si>
    <t>MH14ED9726</t>
  </si>
  <si>
    <t xml:space="preserve">Honda Trigger </t>
  </si>
  <si>
    <t>70762</t>
  </si>
  <si>
    <t>ME4KC19KD8020663</t>
  </si>
  <si>
    <t>KC19E80029205</t>
  </si>
  <si>
    <t>2024-12-08 14:51:29</t>
  </si>
  <si>
    <t xml:space="preserve">Rajeev </t>
  </si>
  <si>
    <t>TN02BT9682</t>
  </si>
  <si>
    <t>31696</t>
  </si>
  <si>
    <t>ME4JF9148MG386019N</t>
  </si>
  <si>
    <t>JF91EG1384989</t>
  </si>
  <si>
    <t>2024-12-08 18:17:38</t>
  </si>
  <si>
    <t>Pratik Mane</t>
  </si>
  <si>
    <t>MH14GF1347</t>
  </si>
  <si>
    <t>Hero Splendor iSmart</t>
  </si>
  <si>
    <t>38321</t>
  </si>
  <si>
    <t>MBLHA12ACFHJ02537</t>
  </si>
  <si>
    <t>HA12EMFHJ02538</t>
  </si>
  <si>
    <t>2024-12-07 19:13:23</t>
  </si>
  <si>
    <t>Satyajit Jadhav</t>
  </si>
  <si>
    <t>MH50V2383</t>
  </si>
  <si>
    <t>17790</t>
  </si>
  <si>
    <t>MD637GE55PZA09163</t>
  </si>
  <si>
    <t>GE5AP2608503</t>
  </si>
  <si>
    <t>2024-12-08 17:47:25</t>
  </si>
  <si>
    <t>MH17BH4312</t>
  </si>
  <si>
    <t>TVS Star City No Data</t>
  </si>
  <si>
    <t>MD625CF11E1H13578</t>
  </si>
  <si>
    <t>CF1HF1531903</t>
  </si>
  <si>
    <t>2024-12-08 19:40:35</t>
  </si>
  <si>
    <t>Aniket Shirode</t>
  </si>
  <si>
    <t>MH12UV6678</t>
  </si>
  <si>
    <t>11226</t>
  </si>
  <si>
    <t>MD685AF97N05842</t>
  </si>
  <si>
    <t>2024-12-08 18:50:16</t>
  </si>
  <si>
    <t>Sagar</t>
  </si>
  <si>
    <t>MH16BL4191</t>
  </si>
  <si>
    <t>34536</t>
  </si>
  <si>
    <t>ME4KC201DF8040962</t>
  </si>
  <si>
    <t>2024-12-08 18:52:13</t>
  </si>
  <si>
    <t>Mohit</t>
  </si>
  <si>
    <t>MH12PP7876</t>
  </si>
  <si>
    <t>0000</t>
  </si>
  <si>
    <t>ME1RG4426H0037754</t>
  </si>
  <si>
    <t>G3J3E0055117</t>
  </si>
  <si>
    <t>2024-12-08 19:00:52</t>
  </si>
  <si>
    <t>Nikhil Dusane</t>
  </si>
  <si>
    <t>MH19DQ8969</t>
  </si>
  <si>
    <t>Bajaj Pulsar 125</t>
  </si>
  <si>
    <t>44979</t>
  </si>
  <si>
    <t>MDB64BX3LWG1660</t>
  </si>
  <si>
    <t>D11XWLG64810</t>
  </si>
  <si>
    <t>2024-12-08 18:15:14</t>
  </si>
  <si>
    <t>SHANIF K</t>
  </si>
  <si>
    <t>KL50F6074</t>
  </si>
  <si>
    <t>75719</t>
  </si>
  <si>
    <t>ME1RG4415H0009871</t>
  </si>
  <si>
    <t>G3J3E0043143</t>
  </si>
  <si>
    <t>2024-12-08 19:39:54</t>
  </si>
  <si>
    <t>Dhanajay</t>
  </si>
  <si>
    <t>MH12UH1649</t>
  </si>
  <si>
    <t>Honda Shine BS6</t>
  </si>
  <si>
    <t>19746</t>
  </si>
  <si>
    <t>ME4JE85DDM0047857</t>
  </si>
  <si>
    <t>JC85E02135391</t>
  </si>
  <si>
    <t>2024-12-08 20:28:13</t>
  </si>
  <si>
    <t>Nitish Jawale</t>
  </si>
  <si>
    <t>MH14EN3666</t>
  </si>
  <si>
    <t>27028</t>
  </si>
  <si>
    <t>MD222EZ6CE98077</t>
  </si>
  <si>
    <t>PDZCEE9372</t>
  </si>
  <si>
    <t>2024-12-08 19:38:29</t>
  </si>
  <si>
    <t>Anish</t>
  </si>
  <si>
    <t>MH14KT7355</t>
  </si>
  <si>
    <t>1148</t>
  </si>
  <si>
    <t>MD626AK49P1C25367</t>
  </si>
  <si>
    <t>BK4CP14232551</t>
  </si>
  <si>
    <t>2024-12-08 18:30:11</t>
  </si>
  <si>
    <t>PRATIK MARATHE</t>
  </si>
  <si>
    <t>MH31FV0925</t>
  </si>
  <si>
    <t>4509</t>
  </si>
  <si>
    <t>ME4JF9CNW037712</t>
  </si>
  <si>
    <t>JF01EW60377906</t>
  </si>
  <si>
    <t>2024-12-08 19:46:04</t>
  </si>
  <si>
    <t>Anant</t>
  </si>
  <si>
    <t>MH12KD948</t>
  </si>
  <si>
    <t>31312</t>
  </si>
  <si>
    <t>ME4JF48161D8006351</t>
  </si>
  <si>
    <t>JF46E80006345</t>
  </si>
  <si>
    <t>2024-12-08 19:51:04</t>
  </si>
  <si>
    <t xml:space="preserve">Sunil Ahire </t>
  </si>
  <si>
    <t>MP40ML9858</t>
  </si>
  <si>
    <t>Bajaj Discover 100M</t>
  </si>
  <si>
    <t>21742</t>
  </si>
  <si>
    <t>MD2A57AZ9FRD50630</t>
  </si>
  <si>
    <t>PAZRFD54297</t>
  </si>
  <si>
    <t>2024-12-08 19:52:17</t>
  </si>
  <si>
    <t>Jay</t>
  </si>
  <si>
    <t>MH12UV5298</t>
  </si>
  <si>
    <t>16612</t>
  </si>
  <si>
    <t>2024-12-08 19:51:59</t>
  </si>
  <si>
    <t>ROHIT</t>
  </si>
  <si>
    <t>MH14JW3201</t>
  </si>
  <si>
    <t>28355</t>
  </si>
  <si>
    <t>2024-12-08 19:48:34</t>
  </si>
  <si>
    <t>Maksud Shaikh</t>
  </si>
  <si>
    <t>MH13BW1894</t>
  </si>
  <si>
    <t>17569</t>
  </si>
  <si>
    <t>ME4JF502FE7106660</t>
  </si>
  <si>
    <t>2024-12-08 19:41:46</t>
  </si>
  <si>
    <t>Pramod Mane</t>
  </si>
  <si>
    <t>MH14EV3174</t>
  </si>
  <si>
    <t>89759</t>
  </si>
  <si>
    <t>ME4JFSSZAF1771289</t>
  </si>
  <si>
    <t>JF50ET1768989</t>
  </si>
  <si>
    <t>2024-12-08 19:49:51</t>
  </si>
  <si>
    <t>Aashish Varma</t>
  </si>
  <si>
    <t>MH12FW7052</t>
  </si>
  <si>
    <t>ME4JC446BA8120266</t>
  </si>
  <si>
    <t>JC44E0529820</t>
  </si>
  <si>
    <t>2024-12-08 19:50:26</t>
  </si>
  <si>
    <t>Anil Wahi</t>
  </si>
  <si>
    <t>MH12UB9482</t>
  </si>
  <si>
    <t>5016</t>
  </si>
  <si>
    <t>2024-12-08 20:12:55</t>
  </si>
  <si>
    <t>Akshay Rahate</t>
  </si>
  <si>
    <t>MH28AY0184</t>
  </si>
  <si>
    <t>00</t>
  </si>
  <si>
    <t>ME1RG4429H0075345</t>
  </si>
  <si>
    <t>G3J3E0117655</t>
  </si>
  <si>
    <t>2024-12-08 20:34:38</t>
  </si>
  <si>
    <t>Rishi Singh</t>
  </si>
  <si>
    <t>MH14EQ7349</t>
  </si>
  <si>
    <t>50790</t>
  </si>
  <si>
    <t>2024-12-25 20:10:40</t>
  </si>
  <si>
    <t>SAURABH DHAIT</t>
  </si>
  <si>
    <t>MH33AH0909</t>
  </si>
  <si>
    <t>2024-12-09 19:09:58</t>
  </si>
  <si>
    <t>Manju</t>
  </si>
  <si>
    <t>MH14HH8456</t>
  </si>
  <si>
    <t>19017</t>
  </si>
  <si>
    <t>MD626EG43J1N00607</t>
  </si>
  <si>
    <t>EG4NJ1600362</t>
  </si>
  <si>
    <t>2024-12-09 12:18:49</t>
  </si>
  <si>
    <t>Pranesh</t>
  </si>
  <si>
    <t>MH12QD9028</t>
  </si>
  <si>
    <t>68956</t>
  </si>
  <si>
    <t>ME1RG4452J0006859</t>
  </si>
  <si>
    <t>G3J3E0224177</t>
  </si>
  <si>
    <t>2024-12-09 20:31:21</t>
  </si>
  <si>
    <t>ATHARVA OAK</t>
  </si>
  <si>
    <t>MH12MC3518</t>
  </si>
  <si>
    <t xml:space="preserve">TVS Zest </t>
  </si>
  <si>
    <t>11342</t>
  </si>
  <si>
    <t>MD626CG40F2E75786</t>
  </si>
  <si>
    <t>CG4EF091141</t>
  </si>
  <si>
    <t>2025-04-09 20:24:21</t>
  </si>
  <si>
    <t>VIRESH</t>
  </si>
  <si>
    <t>MH13CP8140</t>
  </si>
  <si>
    <t>Hero Splendor NXG</t>
  </si>
  <si>
    <t>2024-12-25 19:59:44</t>
  </si>
  <si>
    <t>Karan</t>
  </si>
  <si>
    <t>MH14LF2756</t>
  </si>
  <si>
    <t>10379</t>
  </si>
  <si>
    <t>2024-12-09 18:18:29</t>
  </si>
  <si>
    <t>Prashant Ambilwade</t>
  </si>
  <si>
    <t>MH14JG0179</t>
  </si>
  <si>
    <t>67478</t>
  </si>
  <si>
    <t>MD2ABEEBX5LCE30809</t>
  </si>
  <si>
    <t>DKXCLLZ7088</t>
  </si>
  <si>
    <t>2024-12-09 18:22:51</t>
  </si>
  <si>
    <t>Tejaswini Kale</t>
  </si>
  <si>
    <t>MH22AX6758</t>
  </si>
  <si>
    <t>Hero Pleasure XTEC</t>
  </si>
  <si>
    <t>20160</t>
  </si>
  <si>
    <t>MBLJFW357MGK0196</t>
  </si>
  <si>
    <t>JF16EJME1401081</t>
  </si>
  <si>
    <t>2024-12-09 18:20:27</t>
  </si>
  <si>
    <t>Nisha</t>
  </si>
  <si>
    <t>MH30AS0088</t>
  </si>
  <si>
    <t>15456</t>
  </si>
  <si>
    <t>MBLJF16ENFGM2028</t>
  </si>
  <si>
    <t>2024-12-09 18:25:21</t>
  </si>
  <si>
    <t>ANKIT</t>
  </si>
  <si>
    <t>MH12RS9550</t>
  </si>
  <si>
    <t xml:space="preserve">Honda Livo </t>
  </si>
  <si>
    <t>22819</t>
  </si>
  <si>
    <t>ME4JC71ACKT011737</t>
  </si>
  <si>
    <t>JC71ET3168190</t>
  </si>
  <si>
    <t>2024-12-25 20:09:24</t>
  </si>
  <si>
    <t>Abhinav Deshmukh</t>
  </si>
  <si>
    <t>MH14HJ0992</t>
  </si>
  <si>
    <t>15160</t>
  </si>
  <si>
    <t>MB8DP11AMJ8A9636</t>
  </si>
  <si>
    <t>AF211890145</t>
  </si>
  <si>
    <t>2024-12-09 20:19:29</t>
  </si>
  <si>
    <t>Guruprasad Mahajan</t>
  </si>
  <si>
    <t>MH26CG1011</t>
  </si>
  <si>
    <t>20397</t>
  </si>
  <si>
    <t>2024-12-25 20:05:40</t>
  </si>
  <si>
    <t>Ramesh Karsunde</t>
  </si>
  <si>
    <t>MH12NC8109</t>
  </si>
  <si>
    <t>82576</t>
  </si>
  <si>
    <t>MDZA22EZ1GCB56555</t>
  </si>
  <si>
    <t>MDZGC399345</t>
  </si>
  <si>
    <t>2024-12-25 19:59:21</t>
  </si>
  <si>
    <t>Pankaj Jain</t>
  </si>
  <si>
    <t>MH12NL6570</t>
  </si>
  <si>
    <t>22742</t>
  </si>
  <si>
    <t>MD2A11CZ24WF05088</t>
  </si>
  <si>
    <t>DHZWGEF14845</t>
  </si>
  <si>
    <t>2024-12-25 20:00:06</t>
  </si>
  <si>
    <t>Poonam</t>
  </si>
  <si>
    <t>MH25AU9156</t>
  </si>
  <si>
    <t>15932</t>
  </si>
  <si>
    <t>2024-12-25 20:03:14</t>
  </si>
  <si>
    <t>Saurabh</t>
  </si>
  <si>
    <t>MH12MQ0145</t>
  </si>
  <si>
    <t>88925</t>
  </si>
  <si>
    <t>2024-12-25 20:08:23</t>
  </si>
  <si>
    <t>Suraj Shinde</t>
  </si>
  <si>
    <t>MH12KM1341</t>
  </si>
  <si>
    <t>Honda CBR 250R</t>
  </si>
  <si>
    <t>28713</t>
  </si>
  <si>
    <t>8017726</t>
  </si>
  <si>
    <t>80630997</t>
  </si>
  <si>
    <t>2024-12-13 20:13:28</t>
  </si>
  <si>
    <t>Chetan Khandare</t>
  </si>
  <si>
    <t>MH14GP6084</t>
  </si>
  <si>
    <t>37708</t>
  </si>
  <si>
    <t>MB8DP11AJH8553051</t>
  </si>
  <si>
    <t>AF211429832</t>
  </si>
  <si>
    <t>2024-12-25 20:04:24</t>
  </si>
  <si>
    <t>2024-12-25 20:07:57</t>
  </si>
  <si>
    <t xml:space="preserve">Rahinder Singh </t>
  </si>
  <si>
    <t>MH14HP2877</t>
  </si>
  <si>
    <t>Bajaj Pulsar 150 DTSi</t>
  </si>
  <si>
    <t>38219</t>
  </si>
  <si>
    <t>MD2A11CYXKCA00143</t>
  </si>
  <si>
    <t>DHYCKA80339</t>
  </si>
  <si>
    <t>2024-12-25 20:24:18</t>
  </si>
  <si>
    <t>MAKARAND MODE</t>
  </si>
  <si>
    <t>MH05CD1524</t>
  </si>
  <si>
    <t>4065</t>
  </si>
  <si>
    <t>MD626AS40E1B1410</t>
  </si>
  <si>
    <t>OG4BE1110632</t>
  </si>
  <si>
    <t>2024-12-27 09:45:00</t>
  </si>
  <si>
    <t>Mihir Pimparkar</t>
  </si>
  <si>
    <t>MH31CU9232</t>
  </si>
  <si>
    <t>1268</t>
  </si>
  <si>
    <t>2024-12-25 20:23:14</t>
  </si>
  <si>
    <t>YUVRAJ INGLE</t>
  </si>
  <si>
    <t>MH11DL8625</t>
  </si>
  <si>
    <t>21795</t>
  </si>
  <si>
    <t>ME1RG66U7P0014208</t>
  </si>
  <si>
    <t>64N3E033723</t>
  </si>
  <si>
    <t>2025-01-20 21:01:57</t>
  </si>
  <si>
    <t>Shrikant</t>
  </si>
  <si>
    <t>MH14DZ9411</t>
  </si>
  <si>
    <t>18392</t>
  </si>
  <si>
    <t>MD634KE41D2D78598</t>
  </si>
  <si>
    <t>OEGDD2467724</t>
  </si>
  <si>
    <t>2025-01-20 20:49:41</t>
  </si>
  <si>
    <t>HEMRAJ ASHOK PATEL</t>
  </si>
  <si>
    <t>MH16BT5243</t>
  </si>
  <si>
    <t>64245</t>
  </si>
  <si>
    <t>2025-01-20 21:03:54</t>
  </si>
  <si>
    <t>PALAK ADHIKARI</t>
  </si>
  <si>
    <t>MH14HA8350</t>
  </si>
  <si>
    <t>11478</t>
  </si>
  <si>
    <t>MD626EG48J3G83431</t>
  </si>
  <si>
    <t>EG4DJ226951</t>
  </si>
  <si>
    <t>2024-12-27 09:49:16</t>
  </si>
  <si>
    <t>Nitesh Patel</t>
  </si>
  <si>
    <t>MH09EE2043</t>
  </si>
  <si>
    <t>53909</t>
  </si>
  <si>
    <t>ME4JF505GG7212959</t>
  </si>
  <si>
    <t>JF50E73212070</t>
  </si>
  <si>
    <t>2024-12-13 20:13:45</t>
  </si>
  <si>
    <t xml:space="preserve">VINAY SHARDUL </t>
  </si>
  <si>
    <t>MH15HR3174</t>
  </si>
  <si>
    <t xml:space="preserve">Honda Grazia </t>
  </si>
  <si>
    <t>11415</t>
  </si>
  <si>
    <t>ME4JF994CMW008582</t>
  </si>
  <si>
    <t>JF99EW0073436</t>
  </si>
  <si>
    <t>2025-01-20 21:01:24</t>
  </si>
  <si>
    <t>Kunar Kumar</t>
  </si>
  <si>
    <t>MH12RD2513</t>
  </si>
  <si>
    <t>11989</t>
  </si>
  <si>
    <t>DHGBME18319</t>
  </si>
  <si>
    <t>2025-02-15 20:04:05</t>
  </si>
  <si>
    <t>Aniruddha Gaikwad</t>
  </si>
  <si>
    <t>MH12NS5035</t>
  </si>
  <si>
    <t>ME4JF493LBB3080</t>
  </si>
  <si>
    <t>JF49E81361314</t>
  </si>
  <si>
    <t>2024-12-27 09:48:49</t>
  </si>
  <si>
    <t>Rohan</t>
  </si>
  <si>
    <t>MH09FX5933</t>
  </si>
  <si>
    <t>21770</t>
  </si>
  <si>
    <t>ME4JF3JM0183319</t>
  </si>
  <si>
    <t>JF91ED0182325</t>
  </si>
  <si>
    <t>2025-02-15 20:22:34</t>
  </si>
  <si>
    <t>HIMANSHU</t>
  </si>
  <si>
    <t>MH14HT6848</t>
  </si>
  <si>
    <t>14791</t>
  </si>
  <si>
    <t>2025-02-15 20:04:45</t>
  </si>
  <si>
    <t>MH14JT9698</t>
  </si>
  <si>
    <t>4965</t>
  </si>
  <si>
    <t>ME4JF914JMW501915</t>
  </si>
  <si>
    <t>JF91EW1501936</t>
  </si>
  <si>
    <t>2025-02-15 20:23:27</t>
  </si>
  <si>
    <t xml:space="preserve">Ninad Thakur </t>
  </si>
  <si>
    <t>MH14EW7511</t>
  </si>
  <si>
    <t>Bajaj Discover 125</t>
  </si>
  <si>
    <t>38086</t>
  </si>
  <si>
    <t>MD2A57BZ0FWM02398</t>
  </si>
  <si>
    <t>PAZWFM59144</t>
  </si>
  <si>
    <t>2025-02-15 20:24:13</t>
  </si>
  <si>
    <t>AKASH SAXENA</t>
  </si>
  <si>
    <t>MH12RC0931</t>
  </si>
  <si>
    <t>Yamaha FZ FI</t>
  </si>
  <si>
    <t>16864</t>
  </si>
  <si>
    <t>ME1RG445AJ004835355</t>
  </si>
  <si>
    <t>G3J3E0379398</t>
  </si>
  <si>
    <t>2025-02-15 20:22:56</t>
  </si>
  <si>
    <t>VIRAJ</t>
  </si>
  <si>
    <t>MH12HU1308</t>
  </si>
  <si>
    <t>36348</t>
  </si>
  <si>
    <t>ME121C081C2050136</t>
  </si>
  <si>
    <t>21C6050156</t>
  </si>
  <si>
    <t>2025-02-15 20:11:51</t>
  </si>
  <si>
    <t>Pranav Jangam</t>
  </si>
  <si>
    <t>MH14DY3629</t>
  </si>
  <si>
    <t>Hero Splendor PRO</t>
  </si>
  <si>
    <t>35328</t>
  </si>
  <si>
    <t>MBLHA10ASD9C02416</t>
  </si>
  <si>
    <t>2025-03-12 20:17:49</t>
  </si>
  <si>
    <t>LAXMAN SINGH</t>
  </si>
  <si>
    <t>MH14JJ2695</t>
  </si>
  <si>
    <t>42389</t>
  </si>
  <si>
    <t>2025-02-15 20:24:37</t>
  </si>
  <si>
    <t>SHISHIR VAIDYA</t>
  </si>
  <si>
    <t>MH14FE4951</t>
  </si>
  <si>
    <t>22993</t>
  </si>
  <si>
    <t>2025-03-12 20:24:05</t>
  </si>
  <si>
    <t>050 ₹</t>
  </si>
  <si>
    <t>2025-02-15 20:25:00</t>
  </si>
  <si>
    <t xml:space="preserve">RAJESH </t>
  </si>
  <si>
    <t>MH22AY5643</t>
  </si>
  <si>
    <t>039 ₹</t>
  </si>
  <si>
    <t>2025-03-12 20:19:17</t>
  </si>
  <si>
    <t>Sanjay Shinde</t>
  </si>
  <si>
    <t>MH14FE3798</t>
  </si>
  <si>
    <t>39453</t>
  </si>
  <si>
    <t>ME4JF504HFT672414</t>
  </si>
  <si>
    <t>JF50ET2673305</t>
  </si>
  <si>
    <t>2025-03-12 20:22:32</t>
  </si>
  <si>
    <t xml:space="preserve">NIKHIL </t>
  </si>
  <si>
    <t>MH12TE1062</t>
  </si>
  <si>
    <t>47687</t>
  </si>
  <si>
    <t>ME4KC401JLA111349</t>
  </si>
  <si>
    <t>KC40EA011129</t>
  </si>
  <si>
    <t>2025-03-12 20:24:24</t>
  </si>
  <si>
    <t>Ravindra Patil</t>
  </si>
  <si>
    <t>MH14EK0042</t>
  </si>
  <si>
    <t>29498</t>
  </si>
  <si>
    <t>MD626BG40E1D37745</t>
  </si>
  <si>
    <t>BG4DEM113380</t>
  </si>
  <si>
    <t>2025-03-12 20:21:03</t>
  </si>
  <si>
    <t>KUNAL</t>
  </si>
  <si>
    <t>MH12MD5229</t>
  </si>
  <si>
    <t>2025-03-12 20:19:04</t>
  </si>
  <si>
    <t>Atul Nandgude</t>
  </si>
  <si>
    <t>MH12QP1161</t>
  </si>
  <si>
    <t>26395</t>
  </si>
  <si>
    <t>MB8DP11ACJ87959</t>
  </si>
  <si>
    <t>2025-03-12 20:26:05</t>
  </si>
  <si>
    <t>SHRIKANT GAWALI</t>
  </si>
  <si>
    <t>MH28BL0797</t>
  </si>
  <si>
    <t>40158</t>
  </si>
  <si>
    <t>ME1RG662PL005868</t>
  </si>
  <si>
    <t>G3N5E0086670</t>
  </si>
  <si>
    <t>2025-03-12 20:25:10</t>
  </si>
  <si>
    <t>Omkar</t>
  </si>
  <si>
    <t>MH10DJ6558</t>
  </si>
  <si>
    <t>31062</t>
  </si>
  <si>
    <t>2025-03-12 20:25:38</t>
  </si>
  <si>
    <t>HIMEN TRIVEDI</t>
  </si>
  <si>
    <t>MH14FK7791</t>
  </si>
  <si>
    <t>43978</t>
  </si>
  <si>
    <t>2024-12-21 13:20:54</t>
  </si>
  <si>
    <t>Shelar</t>
  </si>
  <si>
    <t>MH12MC7277</t>
  </si>
  <si>
    <t>25209</t>
  </si>
  <si>
    <t>MD626BG41F1D10569</t>
  </si>
  <si>
    <t>BG4DF1500448</t>
  </si>
  <si>
    <t>2024-12-13 20:02:58</t>
  </si>
  <si>
    <t>Gaurav Pawar</t>
  </si>
  <si>
    <t>MH19DG1273</t>
  </si>
  <si>
    <t>38546</t>
  </si>
  <si>
    <t>12835</t>
  </si>
  <si>
    <t>63382</t>
  </si>
  <si>
    <t>2025-03-12 20:27:05</t>
  </si>
  <si>
    <t>SELU SINGH</t>
  </si>
  <si>
    <t>MH14KX9208</t>
  </si>
  <si>
    <t>13673</t>
  </si>
  <si>
    <t>0289 ₹</t>
  </si>
  <si>
    <t>MBLHAW228P4F12368</t>
  </si>
  <si>
    <t>HA11E8P4F09832</t>
  </si>
  <si>
    <t>2025-03-12 20:26:27</t>
  </si>
  <si>
    <t xml:space="preserve">Aditya </t>
  </si>
  <si>
    <t>MH27CS8967</t>
  </si>
  <si>
    <t>21726</t>
  </si>
  <si>
    <t>MB8DP12DML8489353</t>
  </si>
  <si>
    <t>AF21245464</t>
  </si>
  <si>
    <t>2024-12-27 09:47:47</t>
  </si>
  <si>
    <t>Abhishek Bhor</t>
  </si>
  <si>
    <t>MH43AE8136</t>
  </si>
  <si>
    <t>Suzuki GS 150R</t>
  </si>
  <si>
    <t>7661</t>
  </si>
  <si>
    <t>2025-02-16 10:57:38</t>
  </si>
  <si>
    <t>PARMAR</t>
  </si>
  <si>
    <t>MH12NT9150</t>
  </si>
  <si>
    <t>Royal Enfield Classic 500</t>
  </si>
  <si>
    <t>2025-02-16 18:03:06</t>
  </si>
  <si>
    <t>Bhagwat</t>
  </si>
  <si>
    <t>MH14AN5442</t>
  </si>
  <si>
    <t>96902</t>
  </si>
  <si>
    <t>2024-12-26 21:02:31</t>
  </si>
  <si>
    <t>Bhavish</t>
  </si>
  <si>
    <t>MH20DP2924</t>
  </si>
  <si>
    <t>47205</t>
  </si>
  <si>
    <t>2024-12-26 21:03:28</t>
  </si>
  <si>
    <t>Nikhil</t>
  </si>
  <si>
    <t>MH14JV9070</t>
  </si>
  <si>
    <t xml:space="preserve">LML Vespa </t>
  </si>
  <si>
    <t>20667</t>
  </si>
  <si>
    <t>2024-12-27 09:40:53</t>
  </si>
  <si>
    <t>Balaji Patil</t>
  </si>
  <si>
    <t>TS17C9029</t>
  </si>
  <si>
    <t xml:space="preserve">Hero Glamour </t>
  </si>
  <si>
    <t>35271</t>
  </si>
  <si>
    <t>049 ₹</t>
  </si>
  <si>
    <t>2024-12-12 10:57:29</t>
  </si>
  <si>
    <t xml:space="preserve">Thakare </t>
  </si>
  <si>
    <t>MH19BN849</t>
  </si>
  <si>
    <t>21968</t>
  </si>
  <si>
    <t>2024-12-27 09:46:27</t>
  </si>
  <si>
    <t>SAVIO DAS</t>
  </si>
  <si>
    <t>MH14EB1694</t>
  </si>
  <si>
    <t>Suzuki Access No Data</t>
  </si>
  <si>
    <t>49960</t>
  </si>
  <si>
    <t>MB8CF4CAHD8189637</t>
  </si>
  <si>
    <t>2024-12-12 18:41:37</t>
  </si>
  <si>
    <t>AKSHAY MHAPSEKAR</t>
  </si>
  <si>
    <t>MH09CC8801</t>
  </si>
  <si>
    <t>89603</t>
  </si>
  <si>
    <t>JC44E5058579</t>
  </si>
  <si>
    <t>2024-12-12 16:09:09</t>
  </si>
  <si>
    <t>SHUBHAM SAWANT</t>
  </si>
  <si>
    <t>MH16DE9330</t>
  </si>
  <si>
    <t>ME1RG66X4P0001099</t>
  </si>
  <si>
    <t>G3N5E0324543</t>
  </si>
  <si>
    <t>2025-07-09 19:19:37</t>
  </si>
  <si>
    <t xml:space="preserve">ALI </t>
  </si>
  <si>
    <t>GJ05MH0397</t>
  </si>
  <si>
    <t>10612</t>
  </si>
  <si>
    <t>ME4JF21FE8255788</t>
  </si>
  <si>
    <t>JF21E80304848</t>
  </si>
  <si>
    <t>2024-12-27 09:48:23</t>
  </si>
  <si>
    <t>ADITYA</t>
  </si>
  <si>
    <t>MH30BN4003</t>
  </si>
  <si>
    <t>15044</t>
  </si>
  <si>
    <t>DTXGMM56141</t>
  </si>
  <si>
    <t>2024-12-27 09:42:00</t>
  </si>
  <si>
    <t>MRUNAL</t>
  </si>
  <si>
    <t>MH49N0351</t>
  </si>
  <si>
    <t>23999</t>
  </si>
  <si>
    <t>2024-12-12 18:43:18</t>
  </si>
  <si>
    <t xml:space="preserve">Palash </t>
  </si>
  <si>
    <t>MH31GZ8150</t>
  </si>
  <si>
    <t>10990</t>
  </si>
  <si>
    <t>MBCJFN033NGF041231</t>
  </si>
  <si>
    <t>JE16EGHCE04028</t>
  </si>
  <si>
    <t>2024-12-12 19:40:57</t>
  </si>
  <si>
    <t>MH14GJ6972</t>
  </si>
  <si>
    <t>18837</t>
  </si>
  <si>
    <t>2024-07-28 20:04:18</t>
  </si>
  <si>
    <t>Dnyaneshwar Giri</t>
  </si>
  <si>
    <t>MH20GA0621</t>
  </si>
  <si>
    <t>32793</t>
  </si>
  <si>
    <t>MD625AK29M1LD3334</t>
  </si>
  <si>
    <t>CK2LM100294640</t>
  </si>
  <si>
    <t>2025-07-09 19:19:54</t>
  </si>
  <si>
    <t>Aditya Kakad</t>
  </si>
  <si>
    <t>MH14GT0103</t>
  </si>
  <si>
    <t>Yamaha R15 S</t>
  </si>
  <si>
    <t>38103</t>
  </si>
  <si>
    <t>2024-12-12 18:40:54</t>
  </si>
  <si>
    <t>Kailash</t>
  </si>
  <si>
    <t>MH14EJ4635</t>
  </si>
  <si>
    <t>15609</t>
  </si>
  <si>
    <t>2025-07-09 19:42:18</t>
  </si>
  <si>
    <t>Paresh Jain</t>
  </si>
  <si>
    <t>MH14FV6043</t>
  </si>
  <si>
    <t>29295</t>
  </si>
  <si>
    <t>2025-04-12 20:58:45</t>
  </si>
  <si>
    <t>Ankush Sonuse</t>
  </si>
  <si>
    <t>MH14KT9080</t>
  </si>
  <si>
    <t>15492</t>
  </si>
  <si>
    <t>036 ₹</t>
  </si>
  <si>
    <t>2025-04-12 20:57:31</t>
  </si>
  <si>
    <t xml:space="preserve">SANTOSH </t>
  </si>
  <si>
    <t>MH25AC1374</t>
  </si>
  <si>
    <t>47270</t>
  </si>
  <si>
    <t>ME4JF502ME1711773</t>
  </si>
  <si>
    <t>JF50ET1713578</t>
  </si>
  <si>
    <t>2025-04-12 20:59:52</t>
  </si>
  <si>
    <t>MH15DH7075</t>
  </si>
  <si>
    <t>56165</t>
  </si>
  <si>
    <t>150 ₹</t>
  </si>
  <si>
    <t>ME4JE366BC7002605</t>
  </si>
  <si>
    <t>JC30E5006556</t>
  </si>
  <si>
    <t>2025-07-09 19:44:16</t>
  </si>
  <si>
    <t>Swapnil Wakachure</t>
  </si>
  <si>
    <t>MH17X538</t>
  </si>
  <si>
    <t>24898</t>
  </si>
  <si>
    <t>OMBMM05909</t>
  </si>
  <si>
    <t>064MBMC06</t>
  </si>
  <si>
    <t>2025-07-09 19:42:50</t>
  </si>
  <si>
    <t>Santhosh R</t>
  </si>
  <si>
    <t>TN40R8064</t>
  </si>
  <si>
    <t>45903</t>
  </si>
  <si>
    <t>ME1RG4489J0019890</t>
  </si>
  <si>
    <t>G3L5E0022648</t>
  </si>
  <si>
    <t>2025-07-09 19:43:12</t>
  </si>
  <si>
    <t>Prajot Kulkarni</t>
  </si>
  <si>
    <t>MH14GR5818</t>
  </si>
  <si>
    <t>89566</t>
  </si>
  <si>
    <t>013 ₹</t>
  </si>
  <si>
    <t>MD2A22EY8HCH68504</t>
  </si>
  <si>
    <t>PDYCHH82232</t>
  </si>
  <si>
    <t>2024-12-13 19:58:42</t>
  </si>
  <si>
    <t xml:space="preserve">VAIBHAV </t>
  </si>
  <si>
    <t>MH12PK5003</t>
  </si>
  <si>
    <t>67385</t>
  </si>
  <si>
    <t>2025-04-12 20:51:28</t>
  </si>
  <si>
    <t>Sushant Chaugule</t>
  </si>
  <si>
    <t>MH14DK3929</t>
  </si>
  <si>
    <t>32096</t>
  </si>
  <si>
    <t>ME4JC448DC7307044</t>
  </si>
  <si>
    <t>2025-04-12 20:50:59</t>
  </si>
  <si>
    <t>MH14KE2403</t>
  </si>
  <si>
    <t>9259</t>
  </si>
  <si>
    <t>2025-07-09 19:45:49</t>
  </si>
  <si>
    <t>SHRINAND</t>
  </si>
  <si>
    <t>MH26AV7382</t>
  </si>
  <si>
    <t xml:space="preserve">Honda Dream Yuga </t>
  </si>
  <si>
    <t>17670</t>
  </si>
  <si>
    <t>ME4JC38SHFT198694</t>
  </si>
  <si>
    <t>JC58E19148J53</t>
  </si>
  <si>
    <t>2025-04-12 20:51:59</t>
  </si>
  <si>
    <t>Abhijit Moholkar</t>
  </si>
  <si>
    <t>MH16CN8411</t>
  </si>
  <si>
    <t>30517</t>
  </si>
  <si>
    <t>2025-04-12 20:52:39</t>
  </si>
  <si>
    <t>Nikhil Pawar</t>
  </si>
  <si>
    <t>MH12VY9042</t>
  </si>
  <si>
    <t>10077</t>
  </si>
  <si>
    <t>2025-04-12 20:56:53</t>
  </si>
  <si>
    <t>SANTOSH</t>
  </si>
  <si>
    <t>MH14JS1113</t>
  </si>
  <si>
    <t>18395</t>
  </si>
  <si>
    <t>ME4JF914GMG520165</t>
  </si>
  <si>
    <t>JF91EG1519213</t>
  </si>
  <si>
    <t>2025-04-12 20:56:09</t>
  </si>
  <si>
    <t>Chaudhari</t>
  </si>
  <si>
    <t>MH12MQ9302</t>
  </si>
  <si>
    <t>46373</t>
  </si>
  <si>
    <t>me1rg071bf0061396</t>
  </si>
  <si>
    <t>2025-04-12 20:53:37</t>
  </si>
  <si>
    <t>Deepak Patil</t>
  </si>
  <si>
    <t>MH14EN5336</t>
  </si>
  <si>
    <t>28645</t>
  </si>
  <si>
    <t>ME4JF502HET262465</t>
  </si>
  <si>
    <t>JF50T1264222</t>
  </si>
  <si>
    <t>2025-04-12 20:53:10</t>
  </si>
  <si>
    <t>Bipin</t>
  </si>
  <si>
    <t>MH14KZ3708</t>
  </si>
  <si>
    <t>22967</t>
  </si>
  <si>
    <t>ME4JF50ADJT107807</t>
  </si>
  <si>
    <t>JF50ET7107835</t>
  </si>
  <si>
    <t>2025-07-09 19:45:06</t>
  </si>
  <si>
    <t>Abhijeet</t>
  </si>
  <si>
    <t>MH19DS5281</t>
  </si>
  <si>
    <t>21858</t>
  </si>
  <si>
    <t>MD637DES1L2N14168</t>
  </si>
  <si>
    <t>DE5NL2X14147</t>
  </si>
  <si>
    <t>2025-04-12 20:56:28</t>
  </si>
  <si>
    <t>Sumant</t>
  </si>
  <si>
    <t>MH14HH4679</t>
  </si>
  <si>
    <t>18734</t>
  </si>
  <si>
    <t>2024-12-13 20:09:17</t>
  </si>
  <si>
    <t>Sanket</t>
  </si>
  <si>
    <t>MH12NC3666</t>
  </si>
  <si>
    <t>27311</t>
  </si>
  <si>
    <t>MB8n64bacg8228874</t>
  </si>
  <si>
    <t>BGA1268050</t>
  </si>
  <si>
    <t>2025-04-12 20:55:25</t>
  </si>
  <si>
    <t>Vishal Gupta</t>
  </si>
  <si>
    <t>MH14DB9501</t>
  </si>
  <si>
    <t>22268</t>
  </si>
  <si>
    <t>MD2DGP0770096117</t>
  </si>
  <si>
    <t>2025-04-12 20:54:11</t>
  </si>
  <si>
    <t>CHIRAG</t>
  </si>
  <si>
    <t>MH14GE0553</t>
  </si>
  <si>
    <t>29394</t>
  </si>
  <si>
    <t>ME4KC209CH8003236</t>
  </si>
  <si>
    <t>KC20E81008226</t>
  </si>
  <si>
    <t>2024-12-27 19:34:29</t>
  </si>
  <si>
    <t>OMKAR PATIL</t>
  </si>
  <si>
    <t>MH05EU5848</t>
  </si>
  <si>
    <t>Bajaj Pulsar 220</t>
  </si>
  <si>
    <t>32548</t>
  </si>
  <si>
    <t>2024-12-27 18:31:46</t>
  </si>
  <si>
    <t>Harshad Kapse</t>
  </si>
  <si>
    <t>MH14KV2655</t>
  </si>
  <si>
    <t>4671</t>
  </si>
  <si>
    <t>2024-12-27 18:33:13</t>
  </si>
  <si>
    <t>Savio Das</t>
  </si>
  <si>
    <t>MH14FU3471</t>
  </si>
  <si>
    <t>TVS Apache RTR ABS 180</t>
  </si>
  <si>
    <t>52354</t>
  </si>
  <si>
    <t>MD634NE61G2F05681</t>
  </si>
  <si>
    <t>AE6FG2000874</t>
  </si>
  <si>
    <t>2024-12-27 18:33:33</t>
  </si>
  <si>
    <t xml:space="preserve">Om Prakash </t>
  </si>
  <si>
    <t>MH14GG4086</t>
  </si>
  <si>
    <t>22716</t>
  </si>
  <si>
    <t>2025-07-09 20:02:27</t>
  </si>
  <si>
    <t>Sanjay Hande</t>
  </si>
  <si>
    <t>MH14DW3492</t>
  </si>
  <si>
    <t>15087</t>
  </si>
  <si>
    <t>MD626BG36D2C62498</t>
  </si>
  <si>
    <t>2024-12-27 18:34:21</t>
  </si>
  <si>
    <t>Vishal</t>
  </si>
  <si>
    <t>MH12HP5240</t>
  </si>
  <si>
    <t>34304</t>
  </si>
  <si>
    <t>ME4JC448KB857994</t>
  </si>
  <si>
    <t>2024-12-13 20:12:39</t>
  </si>
  <si>
    <t>Mansi</t>
  </si>
  <si>
    <t>MH34AW0805</t>
  </si>
  <si>
    <t>5572</t>
  </si>
  <si>
    <t>ME4JF504FFT451976</t>
  </si>
  <si>
    <t>JF50E-T-2453033</t>
  </si>
  <si>
    <t>2024-12-27 18:36:22</t>
  </si>
  <si>
    <t>51054</t>
  </si>
  <si>
    <t>2024-12-27 18:40:52</t>
  </si>
  <si>
    <t xml:space="preserve">Chinmay </t>
  </si>
  <si>
    <t>MH12UG8824</t>
  </si>
  <si>
    <t>6919</t>
  </si>
  <si>
    <t>2024-12-27 18:41:17</t>
  </si>
  <si>
    <t>Chinmay</t>
  </si>
  <si>
    <t>MH31EH1464</t>
  </si>
  <si>
    <t>51042</t>
  </si>
  <si>
    <t>2024-12-27 19:00:50</t>
  </si>
  <si>
    <t>Vivek Shukla</t>
  </si>
  <si>
    <t>MH14FE1727</t>
  </si>
  <si>
    <t>29999</t>
  </si>
  <si>
    <t>ME4JF504HFT687698</t>
  </si>
  <si>
    <t>JF50ET2688061</t>
  </si>
  <si>
    <t>2024-12-27 19:02:37</t>
  </si>
  <si>
    <t>Sagar Mane</t>
  </si>
  <si>
    <t>MH14BQ3517</t>
  </si>
  <si>
    <t>2024-12-13 19:56:54</t>
  </si>
  <si>
    <t>UTKARSH</t>
  </si>
  <si>
    <t>MH24BC7909</t>
  </si>
  <si>
    <t>TVS Jupiter No Data</t>
  </si>
  <si>
    <t>26962</t>
  </si>
  <si>
    <t>MD626EG451P00545</t>
  </si>
  <si>
    <t>EG411J1648086</t>
  </si>
  <si>
    <t>2024-12-13 19:57:23</t>
  </si>
  <si>
    <t>31622</t>
  </si>
  <si>
    <t>2024-12-13 19:57:53</t>
  </si>
  <si>
    <t>SANJAY BANDRE</t>
  </si>
  <si>
    <t>MH14GX9183</t>
  </si>
  <si>
    <t>18822</t>
  </si>
  <si>
    <t>37 ₹</t>
  </si>
  <si>
    <t>2024-12-27 18:34:07</t>
  </si>
  <si>
    <t>PRASHANT PATTNAIK</t>
  </si>
  <si>
    <t>MH14FL8927</t>
  </si>
  <si>
    <t>27291</t>
  </si>
  <si>
    <t>2024-12-27 18:35:18</t>
  </si>
  <si>
    <t xml:space="preserve">Tejas </t>
  </si>
  <si>
    <t>MH14KY1137</t>
  </si>
  <si>
    <t>7786</t>
  </si>
  <si>
    <t>2024-12-13 20:14:57</t>
  </si>
  <si>
    <t>Sushant Bhosle</t>
  </si>
  <si>
    <t>MH27BN4730</t>
  </si>
  <si>
    <t>21423</t>
  </si>
  <si>
    <t>2024-12-27 18:40:28</t>
  </si>
  <si>
    <t xml:space="preserve">Aniket </t>
  </si>
  <si>
    <t>MH26Y7980</t>
  </si>
  <si>
    <t>Hero CBZ Extreme</t>
  </si>
  <si>
    <t>40523</t>
  </si>
  <si>
    <t>2024-12-13 20:02:08</t>
  </si>
  <si>
    <t>SWAPNIL GIRAMKAR</t>
  </si>
  <si>
    <t>MH16AU9506</t>
  </si>
  <si>
    <t>15469</t>
  </si>
  <si>
    <t>MBLTF16EDBGM27106</t>
  </si>
  <si>
    <t>JF16EBBG126893</t>
  </si>
  <si>
    <t>2024-12-13 20:11:15</t>
  </si>
  <si>
    <t>AKBAL KHAN</t>
  </si>
  <si>
    <t>MH14HA8358</t>
  </si>
  <si>
    <t>19950</t>
  </si>
  <si>
    <t>MD626AG7952E36766</t>
  </si>
  <si>
    <t>A67E1211010</t>
  </si>
  <si>
    <t>2024-12-15 20:28:45</t>
  </si>
  <si>
    <t>Anjali Chavan</t>
  </si>
  <si>
    <t>MH14HL1939</t>
  </si>
  <si>
    <t>36991</t>
  </si>
  <si>
    <t>2024-12-13 20:01:18</t>
  </si>
  <si>
    <t>Sanghamitra Bhonde</t>
  </si>
  <si>
    <t>MH12QD1081</t>
  </si>
  <si>
    <t>38425</t>
  </si>
  <si>
    <t>2025-07-09 20:25:24</t>
  </si>
  <si>
    <t xml:space="preserve">Mayuresh </t>
  </si>
  <si>
    <t>MH19BR8125</t>
  </si>
  <si>
    <t>26926</t>
  </si>
  <si>
    <t>MBLJF16E</t>
  </si>
  <si>
    <t>JF16EEGC29322</t>
  </si>
  <si>
    <t>2024-12-14 18:56:12</t>
  </si>
  <si>
    <t xml:space="preserve">Mayur Shinde </t>
  </si>
  <si>
    <t>MH05DG0985</t>
  </si>
  <si>
    <t>85845</t>
  </si>
  <si>
    <t>2025-05-31 11:37:42</t>
  </si>
  <si>
    <t>Mehul Mehta</t>
  </si>
  <si>
    <t>MH19BL3728</t>
  </si>
  <si>
    <t>26193</t>
  </si>
  <si>
    <t>2025-07-09 20:10:07</t>
  </si>
  <si>
    <t>MH14GL1299</t>
  </si>
  <si>
    <t>TVS Apache RTR 200 4V</t>
  </si>
  <si>
    <t>31086</t>
  </si>
  <si>
    <t>MD637BR2ZHZG19856</t>
  </si>
  <si>
    <t>BR1EH209936</t>
  </si>
  <si>
    <t>2024-12-14 18:38:13</t>
  </si>
  <si>
    <t xml:space="preserve">GANESH SURYAWANSHI </t>
  </si>
  <si>
    <t>MH19ED3598</t>
  </si>
  <si>
    <t>TVS Raider 125</t>
  </si>
  <si>
    <t>28551</t>
  </si>
  <si>
    <t>2024-12-13 20:48:08</t>
  </si>
  <si>
    <t>Saurabh Shende</t>
  </si>
  <si>
    <t>MH12HM7770</t>
  </si>
  <si>
    <t>53150</t>
  </si>
  <si>
    <t>MD2DH0KZZUCE40890</t>
  </si>
  <si>
    <t>2025-02-16 18:02:32</t>
  </si>
  <si>
    <t>Omkar  Patil</t>
  </si>
  <si>
    <t>MH12NV4780</t>
  </si>
  <si>
    <t>433055</t>
  </si>
  <si>
    <t>2024-07-29 19:42:24</t>
  </si>
  <si>
    <t xml:space="preserve">GIRIDHAR </t>
  </si>
  <si>
    <t>MH12MK9354</t>
  </si>
  <si>
    <t>Piaggio Vespa No Data</t>
  </si>
  <si>
    <t>27905</t>
  </si>
  <si>
    <t>MET000BATJ029662</t>
  </si>
  <si>
    <t>ME419M115191</t>
  </si>
  <si>
    <t>2025-02-16 18:05:11</t>
  </si>
  <si>
    <t>PRASHANT PAWAR</t>
  </si>
  <si>
    <t>MH14EX6225</t>
  </si>
  <si>
    <t>18314</t>
  </si>
  <si>
    <t>MD626BG38F2649870</t>
  </si>
  <si>
    <t>2024-12-16 20:22:26</t>
  </si>
  <si>
    <t>2024-12-14 18:34:26</t>
  </si>
  <si>
    <t>Amar Gawali</t>
  </si>
  <si>
    <t>MH14FZ9383</t>
  </si>
  <si>
    <t>68083</t>
  </si>
  <si>
    <t>ME4JF505JGU41</t>
  </si>
  <si>
    <t>JF50EU3409847</t>
  </si>
  <si>
    <t>2024-12-14 18:58:30</t>
  </si>
  <si>
    <t>MH12HM2208</t>
  </si>
  <si>
    <t>25449</t>
  </si>
  <si>
    <t>ME4JC448KB85336520</t>
  </si>
  <si>
    <t>JC44E164747422</t>
  </si>
  <si>
    <t>2024-12-14 18:38:47</t>
  </si>
  <si>
    <t>Vaibhav Shinde</t>
  </si>
  <si>
    <t>MH15HT5553</t>
  </si>
  <si>
    <t>Honda Shine No Data</t>
  </si>
  <si>
    <t>18881</t>
  </si>
  <si>
    <t>2025-02-16 18:03:49</t>
  </si>
  <si>
    <t>NILESH SAINI</t>
  </si>
  <si>
    <t>MH04HL2436</t>
  </si>
  <si>
    <t>22389</t>
  </si>
  <si>
    <t>ME4JC713DGT012101</t>
  </si>
  <si>
    <t>JC71ET012330</t>
  </si>
  <si>
    <t>2024-12-14 18:56:44</t>
  </si>
  <si>
    <t xml:space="preserve">Chaitanya Kulkarni </t>
  </si>
  <si>
    <t>MH14CE6864</t>
  </si>
  <si>
    <t>42131</t>
  </si>
  <si>
    <t>ME4JC446A8350695</t>
  </si>
  <si>
    <t>JC44E0795076</t>
  </si>
  <si>
    <t>2024-12-14 18:37:42</t>
  </si>
  <si>
    <t>Ajay Ingawale</t>
  </si>
  <si>
    <t>MH14JF6704</t>
  </si>
  <si>
    <t>26135</t>
  </si>
  <si>
    <t>2024-12-14 19:14:49</t>
  </si>
  <si>
    <t>AKASH</t>
  </si>
  <si>
    <t>MH12MT5605</t>
  </si>
  <si>
    <t>23083</t>
  </si>
  <si>
    <t>MD2A55FZ2GCK04049</t>
  </si>
  <si>
    <t>2024-12-14 18:41:46</t>
  </si>
  <si>
    <t>TEJAS MEMANE</t>
  </si>
  <si>
    <t>MH12LL8178</t>
  </si>
  <si>
    <t>Bajaj Discover 125M</t>
  </si>
  <si>
    <t>45309</t>
  </si>
  <si>
    <t>2024-12-14 19:54:26</t>
  </si>
  <si>
    <t>Nitin</t>
  </si>
  <si>
    <t>MH14HB2389</t>
  </si>
  <si>
    <t>31566</t>
  </si>
  <si>
    <t>052 ₹</t>
  </si>
  <si>
    <t>2025-02-16 19:21:45</t>
  </si>
  <si>
    <t>Dhiraj Bokade</t>
  </si>
  <si>
    <t>MH43AE0646</t>
  </si>
  <si>
    <t>78901</t>
  </si>
  <si>
    <t>ME121C011A2082905</t>
  </si>
  <si>
    <t>21C1083010</t>
  </si>
  <si>
    <t>2024-12-14 20:25:25</t>
  </si>
  <si>
    <t>NISHI SEN</t>
  </si>
  <si>
    <t>MH14KE9124</t>
  </si>
  <si>
    <t>13494</t>
  </si>
  <si>
    <t>2024-12-14 20:38:56</t>
  </si>
  <si>
    <t>Rutuja Pandav</t>
  </si>
  <si>
    <t>MH31DT7262</t>
  </si>
  <si>
    <t>56606</t>
  </si>
  <si>
    <t>2025-02-16 19:24:19</t>
  </si>
  <si>
    <t>BHAVESH</t>
  </si>
  <si>
    <t>MH16CR9757</t>
  </si>
  <si>
    <t>ME4JF49KEKW0053967</t>
  </si>
  <si>
    <t>JF49EW2022929</t>
  </si>
  <si>
    <t>2025-02-16 19:25:03</t>
  </si>
  <si>
    <t>PRAKASH</t>
  </si>
  <si>
    <t>MH14GQ6914</t>
  </si>
  <si>
    <t>TVS Scooty Zest</t>
  </si>
  <si>
    <t>12989</t>
  </si>
  <si>
    <t>MD626FG40HZL306105</t>
  </si>
  <si>
    <t>FG4LH2355574</t>
  </si>
  <si>
    <t>2025-02-16 19:25:26</t>
  </si>
  <si>
    <t>29366</t>
  </si>
  <si>
    <t>2025-02-16 19:26:38</t>
  </si>
  <si>
    <t>APEKSHA</t>
  </si>
  <si>
    <t>MH12MG3293</t>
  </si>
  <si>
    <t>16478</t>
  </si>
  <si>
    <t>021 ₹</t>
  </si>
  <si>
    <t>MD626BG43F1H24081</t>
  </si>
  <si>
    <t>BG4HF1624623</t>
  </si>
  <si>
    <t>2025-02-16 20:07:56</t>
  </si>
  <si>
    <t>2024-12-14 19:53:09</t>
  </si>
  <si>
    <t>Parth Vyas</t>
  </si>
  <si>
    <t>MH14GG0962</t>
  </si>
  <si>
    <t>44111</t>
  </si>
  <si>
    <t>MDZA85CYXCL15095</t>
  </si>
  <si>
    <t>PDYCHE36705</t>
  </si>
  <si>
    <t>2025-02-16 19:26:11</t>
  </si>
  <si>
    <t>PRATIK MASKE</t>
  </si>
  <si>
    <t>MH16BG7850</t>
  </si>
  <si>
    <t>MD2A11CZXE3E270261</t>
  </si>
  <si>
    <t>DHZWEE13558</t>
  </si>
  <si>
    <t>2025-02-16 19:26:59</t>
  </si>
  <si>
    <t xml:space="preserve">PRAVEEN PAWAR </t>
  </si>
  <si>
    <t>MH14FU7656</t>
  </si>
  <si>
    <t>Honda Dio New</t>
  </si>
  <si>
    <t>22352</t>
  </si>
  <si>
    <t>ME4JF390H53JCXXXX</t>
  </si>
  <si>
    <t>JF39EU104568</t>
  </si>
  <si>
    <t>2024-12-28 17:23:04</t>
  </si>
  <si>
    <t>085 ₹</t>
  </si>
  <si>
    <t>2025-02-16 20:25:37</t>
  </si>
  <si>
    <t>Saurabh Gokhale</t>
  </si>
  <si>
    <t>MH14GP3806</t>
  </si>
  <si>
    <t>15603</t>
  </si>
  <si>
    <t>MD626EG41H3460313</t>
  </si>
  <si>
    <t>EG4HH2414578</t>
  </si>
  <si>
    <t>2024-12-28 17:23:50</t>
  </si>
  <si>
    <t>Gladwin</t>
  </si>
  <si>
    <t>MH14CH8014</t>
  </si>
  <si>
    <t>43932</t>
  </si>
  <si>
    <t>MD2DGPDZZTCG08020</t>
  </si>
  <si>
    <t>PDGBT07786</t>
  </si>
  <si>
    <t>2025-02-16 20:07:36</t>
  </si>
  <si>
    <t>MH14JT9553</t>
  </si>
  <si>
    <t>Yamaha R15 V3</t>
  </si>
  <si>
    <t>33352</t>
  </si>
  <si>
    <t>0578 ₹</t>
  </si>
  <si>
    <t>2024-12-28 17:23:28</t>
  </si>
  <si>
    <t>Omkar Badhe</t>
  </si>
  <si>
    <t>MH14FP2288</t>
  </si>
  <si>
    <t>13034</t>
  </si>
  <si>
    <t>MD626AG42G1CG3301</t>
  </si>
  <si>
    <t>OG4CG1336274</t>
  </si>
  <si>
    <t>2024-12-28 18:52:29</t>
  </si>
  <si>
    <t xml:space="preserve">Saroj </t>
  </si>
  <si>
    <t>MH12PY4886</t>
  </si>
  <si>
    <t>24933</t>
  </si>
  <si>
    <t>ME4KC239JH8044199</t>
  </si>
  <si>
    <t>KC23E84084225</t>
  </si>
  <si>
    <t>2024-12-15 20:16:41</t>
  </si>
  <si>
    <t>Aditya</t>
  </si>
  <si>
    <t>MH16AL6077</t>
  </si>
  <si>
    <t>4917</t>
  </si>
  <si>
    <t>2024-12-15 20:22:16</t>
  </si>
  <si>
    <t>MH12VE0792</t>
  </si>
  <si>
    <t>8813</t>
  </si>
  <si>
    <t>2025-02-16 20:08:18</t>
  </si>
  <si>
    <t>Anil</t>
  </si>
  <si>
    <t>MH14FE4220</t>
  </si>
  <si>
    <t>77285</t>
  </si>
  <si>
    <t>MD626AG42F1K88122</t>
  </si>
  <si>
    <t>OG4KF1283100</t>
  </si>
  <si>
    <t>2024-12-15 19:36:17</t>
  </si>
  <si>
    <t>Dhankane</t>
  </si>
  <si>
    <t>MH20CT9281</t>
  </si>
  <si>
    <t>56806</t>
  </si>
  <si>
    <t>2024-12-15 19:38:10</t>
  </si>
  <si>
    <t>Akshay Walekar</t>
  </si>
  <si>
    <t>MH12TJ3028</t>
  </si>
  <si>
    <t>66661</t>
  </si>
  <si>
    <t>2024-12-15 19:37:27</t>
  </si>
  <si>
    <t>D M Babral</t>
  </si>
  <si>
    <t>MH14EX7274</t>
  </si>
  <si>
    <t>18030</t>
  </si>
  <si>
    <t>ME4JF504BF7015147</t>
  </si>
  <si>
    <t>JF50E72014879</t>
  </si>
  <si>
    <t>2024-12-15 19:40:21</t>
  </si>
  <si>
    <t xml:space="preserve">Saurabh Gore </t>
  </si>
  <si>
    <t>MH16BB5814</t>
  </si>
  <si>
    <t>16305</t>
  </si>
  <si>
    <t>2024-12-15 19:41:38</t>
  </si>
  <si>
    <t>Arpit Jain</t>
  </si>
  <si>
    <t>MH14GX4180</t>
  </si>
  <si>
    <t>16982</t>
  </si>
  <si>
    <t>Me4jf496dju016291</t>
  </si>
  <si>
    <t>2024-12-15 19:56:17</t>
  </si>
  <si>
    <t>Akshay</t>
  </si>
  <si>
    <t>MH17CN2571</t>
  </si>
  <si>
    <t>40484</t>
  </si>
  <si>
    <t>ME4JC856JLD018948</t>
  </si>
  <si>
    <t>2024-12-15 19:38:57</t>
  </si>
  <si>
    <t>Chinmay Pethe</t>
  </si>
  <si>
    <t>MH08AW3587</t>
  </si>
  <si>
    <t>Yamaha MT 3</t>
  </si>
  <si>
    <t>18353</t>
  </si>
  <si>
    <t>ME1RG6817L0013449</t>
  </si>
  <si>
    <t>G3NG30045691</t>
  </si>
  <si>
    <t>2024-12-15 20:19:23</t>
  </si>
  <si>
    <t xml:space="preserve">Rahul Khobragade </t>
  </si>
  <si>
    <t>MH14FN4672</t>
  </si>
  <si>
    <t>14483</t>
  </si>
  <si>
    <t>ME4JF50GU03528</t>
  </si>
  <si>
    <t>JF50EU3033795</t>
  </si>
  <si>
    <t>2024-12-15 20:27:12</t>
  </si>
  <si>
    <t>Aayushi</t>
  </si>
  <si>
    <t>MH12RZ5266</t>
  </si>
  <si>
    <t>17015</t>
  </si>
  <si>
    <t>ME4JF5OAHKG201904</t>
  </si>
  <si>
    <t>DJ50E60201987</t>
  </si>
  <si>
    <t>2024-12-15 20:24:56</t>
  </si>
  <si>
    <t>SIMANCHAL DAS</t>
  </si>
  <si>
    <t>MH14DU5105</t>
  </si>
  <si>
    <t>38257</t>
  </si>
  <si>
    <t>ME4JC448MC7695603</t>
  </si>
  <si>
    <t>JC44E5695847</t>
  </si>
  <si>
    <t>2024-12-15 20:32:09</t>
  </si>
  <si>
    <t>OD33E7134</t>
  </si>
  <si>
    <t>ME4KC202FE8009316</t>
  </si>
  <si>
    <t>KC20E80092875</t>
  </si>
  <si>
    <t>2024-12-15 20:33:45</t>
  </si>
  <si>
    <t>Shruti Tendulkar</t>
  </si>
  <si>
    <t>MH12PL5552</t>
  </si>
  <si>
    <t>18412</t>
  </si>
  <si>
    <t>MB8DP11AGH848094</t>
  </si>
  <si>
    <t>AF211374173</t>
  </si>
  <si>
    <t>2024-12-16 20:20:16</t>
  </si>
  <si>
    <t>Rohan Karekar</t>
  </si>
  <si>
    <t>MH17CP9694</t>
  </si>
  <si>
    <t>8636</t>
  </si>
  <si>
    <t>ME4JF914AMW260436</t>
  </si>
  <si>
    <t>JF91EW260598</t>
  </si>
  <si>
    <t>2024-12-15 21:00:46</t>
  </si>
  <si>
    <t xml:space="preserve">Tendulkar </t>
  </si>
  <si>
    <t>MH12RU3184</t>
  </si>
  <si>
    <t>20623</t>
  </si>
  <si>
    <t>2024-12-28 19:39:16</t>
  </si>
  <si>
    <t>Praveen Pardeshi</t>
  </si>
  <si>
    <t>MH13DU3917</t>
  </si>
  <si>
    <t>25768</t>
  </si>
  <si>
    <t>M38DP12DGM8802150</t>
  </si>
  <si>
    <t>AF216749588</t>
  </si>
  <si>
    <t>2024-12-15 21:01:02</t>
  </si>
  <si>
    <t>81220</t>
  </si>
  <si>
    <t>2024-12-15 21:01:18</t>
  </si>
  <si>
    <t>Harsh PawniKar</t>
  </si>
  <si>
    <t>MH14FV2051</t>
  </si>
  <si>
    <t>45777</t>
  </si>
  <si>
    <t>ME4KCZ04EG8019216</t>
  </si>
  <si>
    <t>KCZOE80183992</t>
  </si>
  <si>
    <t>2024-12-16 19:38:46</t>
  </si>
  <si>
    <t xml:space="preserve">RAJ SHEKHAR SINGH </t>
  </si>
  <si>
    <t>MH12KZ8696</t>
  </si>
  <si>
    <t>23194</t>
  </si>
  <si>
    <t>2024-12-16 19:39:21</t>
  </si>
  <si>
    <t>Amit</t>
  </si>
  <si>
    <t>MH25AP1413</t>
  </si>
  <si>
    <t>17856</t>
  </si>
  <si>
    <t>MD626AG36JZK41699</t>
  </si>
  <si>
    <t>AG3KJ2737015</t>
  </si>
  <si>
    <t>2024-12-15 21:01:32</t>
  </si>
  <si>
    <t>MANESH GHODEKAR</t>
  </si>
  <si>
    <t>MH43BD3223</t>
  </si>
  <si>
    <t>30469</t>
  </si>
  <si>
    <t>MB8DP11AH68191457</t>
  </si>
  <si>
    <t>AF211084168</t>
  </si>
  <si>
    <t>2024-12-16 20:36:04</t>
  </si>
  <si>
    <t>Prerna Joshi</t>
  </si>
  <si>
    <t>MH14JF4851</t>
  </si>
  <si>
    <t>19568</t>
  </si>
  <si>
    <t>2024-12-16 19:36:43</t>
  </si>
  <si>
    <t xml:space="preserve"> Kamal Patil</t>
  </si>
  <si>
    <t>MH18BF4624</t>
  </si>
  <si>
    <t>Honda Unicorn No Data</t>
  </si>
  <si>
    <t>38225</t>
  </si>
  <si>
    <t>ME4KC311HH8084766</t>
  </si>
  <si>
    <t>KC31E80D84835</t>
  </si>
  <si>
    <t>2024-12-16 19:13:47</t>
  </si>
  <si>
    <t>Abhishek Wagh</t>
  </si>
  <si>
    <t>MH15CE9834</t>
  </si>
  <si>
    <t>84022</t>
  </si>
  <si>
    <t>2024-12-29 19:30:02</t>
  </si>
  <si>
    <t>ONKAR</t>
  </si>
  <si>
    <t>MH20BX9446</t>
  </si>
  <si>
    <t>Bajaj Discover DTSi</t>
  </si>
  <si>
    <t>11323</t>
  </si>
  <si>
    <t>MD2DSJZZZ8E6402</t>
  </si>
  <si>
    <t>JZM5TL73438</t>
  </si>
  <si>
    <t>2024-12-30 18:22:21</t>
  </si>
  <si>
    <t>Karan Pathare</t>
  </si>
  <si>
    <t>MH16AH5488</t>
  </si>
  <si>
    <t>4902</t>
  </si>
  <si>
    <t>JMGBSDJ8223</t>
  </si>
  <si>
    <t>2024-12-16 19:11:42</t>
  </si>
  <si>
    <t>AJIT KORE</t>
  </si>
  <si>
    <t>MH14FY5251</t>
  </si>
  <si>
    <t>45808</t>
  </si>
  <si>
    <t>MD626AG40G1292755</t>
  </si>
  <si>
    <t>DG4L19824391</t>
  </si>
  <si>
    <t>2024-12-16 19:12:23</t>
  </si>
  <si>
    <t>GANESH SURRYAWANSHI</t>
  </si>
  <si>
    <t>MH14EG3730</t>
  </si>
  <si>
    <t>21974</t>
  </si>
  <si>
    <t>ME4JF501B505098</t>
  </si>
  <si>
    <t>JF50E70596004</t>
  </si>
  <si>
    <t>2024-12-16 19:10:52</t>
  </si>
  <si>
    <t>Neha Shah</t>
  </si>
  <si>
    <t>MH14HL5742</t>
  </si>
  <si>
    <t>24403</t>
  </si>
  <si>
    <t>2024-12-16 19:35:00</t>
  </si>
  <si>
    <t>Pankaj</t>
  </si>
  <si>
    <t>MH14FP3799</t>
  </si>
  <si>
    <t>40206</t>
  </si>
  <si>
    <t>MDZA22EZ9GCA43386</t>
  </si>
  <si>
    <t>2024-12-16 19:34:44</t>
  </si>
  <si>
    <t xml:space="preserve">GIRISH KULKARNI </t>
  </si>
  <si>
    <t>MH14CH0838</t>
  </si>
  <si>
    <t>13421</t>
  </si>
  <si>
    <t>MD626BG63A2K60263</t>
  </si>
  <si>
    <t>063KA2255339</t>
  </si>
  <si>
    <t>2024-12-16 19:35:25</t>
  </si>
  <si>
    <t xml:space="preserve">Omkar Joshi </t>
  </si>
  <si>
    <t>MH14KK9064</t>
  </si>
  <si>
    <t>20087</t>
  </si>
  <si>
    <t>MD626G5XNL13299</t>
  </si>
  <si>
    <t>DG5LN1X03780</t>
  </si>
  <si>
    <t>2024-12-16 19:36:00</t>
  </si>
  <si>
    <t>Krish</t>
  </si>
  <si>
    <t>MH12SN0844</t>
  </si>
  <si>
    <t>33603</t>
  </si>
  <si>
    <t>2024-12-16 19:37:17</t>
  </si>
  <si>
    <t xml:space="preserve">AKASH KUMAR </t>
  </si>
  <si>
    <t>MH12UR1265</t>
  </si>
  <si>
    <t>Yamaha Aerox 155</t>
  </si>
  <si>
    <t>24940</t>
  </si>
  <si>
    <t>ME1SG751N0074120</t>
  </si>
  <si>
    <t>G3R8E0011276</t>
  </si>
  <si>
    <t>2024-07-31 18:23:55</t>
  </si>
  <si>
    <t xml:space="preserve">UMESH PATIL </t>
  </si>
  <si>
    <t>MH39G5704</t>
  </si>
  <si>
    <t>26676</t>
  </si>
  <si>
    <t>2024-12-16 19:37:43</t>
  </si>
  <si>
    <t>Samiksha Shelke</t>
  </si>
  <si>
    <t>MH05DB9981</t>
  </si>
  <si>
    <t>35709</t>
  </si>
  <si>
    <t>2025-03-13 19:43:46</t>
  </si>
  <si>
    <t>SANTOSH SUTAR</t>
  </si>
  <si>
    <t>MH14GM2715</t>
  </si>
  <si>
    <t>93487</t>
  </si>
  <si>
    <t>2025-03-13 19:43:30</t>
  </si>
  <si>
    <t>NITIN WAGHODE</t>
  </si>
  <si>
    <t>MH14FW9258</t>
  </si>
  <si>
    <t>46271</t>
  </si>
  <si>
    <t>2025-03-13 19:49:14</t>
  </si>
  <si>
    <t>Vijaymala Singh</t>
  </si>
  <si>
    <t>MH14FH6775</t>
  </si>
  <si>
    <t>38603</t>
  </si>
  <si>
    <t>MD626BG42F1N51232</t>
  </si>
  <si>
    <t>2024-12-16 20:19:58</t>
  </si>
  <si>
    <t>Arjun Chandane</t>
  </si>
  <si>
    <t>MH12QJ9456</t>
  </si>
  <si>
    <t>44395</t>
  </si>
  <si>
    <t>2024-12-16 20:20:45</t>
  </si>
  <si>
    <t>Jaike</t>
  </si>
  <si>
    <t>MH12MK9913</t>
  </si>
  <si>
    <t>47517</t>
  </si>
  <si>
    <t>2024-12-16 20:17:57</t>
  </si>
  <si>
    <t>2024-07-31 18:30:12</t>
  </si>
  <si>
    <t xml:space="preserve">Abhijeet </t>
  </si>
  <si>
    <t>MH30W3121</t>
  </si>
  <si>
    <t>58800</t>
  </si>
  <si>
    <t>2025-03-13 19:48:09</t>
  </si>
  <si>
    <t xml:space="preserve">ABHIJEET DESHMUKH </t>
  </si>
  <si>
    <t>MH12UL9108</t>
  </si>
  <si>
    <t>Bajaj Dominar 400</t>
  </si>
  <si>
    <t>14787</t>
  </si>
  <si>
    <t>2025-03-13 19:48:31</t>
  </si>
  <si>
    <t>23950</t>
  </si>
  <si>
    <t>2025-03-13 19:53:37</t>
  </si>
  <si>
    <t>KA51EC3604</t>
  </si>
  <si>
    <t>51207</t>
  </si>
  <si>
    <t>2024-07-31 18:27:06</t>
  </si>
  <si>
    <t>SAURABH</t>
  </si>
  <si>
    <t>MH14FE3609</t>
  </si>
  <si>
    <t>42821</t>
  </si>
  <si>
    <t>2025-01-23 13:54:17</t>
  </si>
  <si>
    <t>Kishor Shelke</t>
  </si>
  <si>
    <t>MH14HC8298</t>
  </si>
  <si>
    <t>2635</t>
  </si>
  <si>
    <t>MD626EG47J1K10869</t>
  </si>
  <si>
    <t>EG4K1416260</t>
  </si>
  <si>
    <t>2025-03-13 19:50:29</t>
  </si>
  <si>
    <t>MH12GL3818</t>
  </si>
  <si>
    <t>2024-12-29 19:25:01</t>
  </si>
  <si>
    <t>SAURABH JATHAR</t>
  </si>
  <si>
    <t>MH11CV9278</t>
  </si>
  <si>
    <t>46627</t>
  </si>
  <si>
    <t>ME4KC31MKA19583</t>
  </si>
  <si>
    <t>KC31EA1189586</t>
  </si>
  <si>
    <t>2024-12-29 19:25:37</t>
  </si>
  <si>
    <t xml:space="preserve">Amit Sonawane </t>
  </si>
  <si>
    <t>MH14HC9709</t>
  </si>
  <si>
    <t>64042</t>
  </si>
  <si>
    <t>MD2413EY3JCF73859</t>
  </si>
  <si>
    <t>DKYCJF14476</t>
  </si>
  <si>
    <t>2024-12-29 19:24:11</t>
  </si>
  <si>
    <t>Kiran</t>
  </si>
  <si>
    <t>MH20FE9136</t>
  </si>
  <si>
    <t>24465</t>
  </si>
  <si>
    <t>ME4JF50BMJT326761</t>
  </si>
  <si>
    <t>OG4F61394501</t>
  </si>
  <si>
    <t>2024-12-30 18:24:06</t>
  </si>
  <si>
    <t>Rakesh Kulkarni</t>
  </si>
  <si>
    <t>MH10BK5908</t>
  </si>
  <si>
    <t>64954</t>
  </si>
  <si>
    <t>ME4JF501F08011462</t>
  </si>
  <si>
    <t>JF50E80011216</t>
  </si>
  <si>
    <t>2024-12-29 19:26:46</t>
  </si>
  <si>
    <t>Parshuram Sable</t>
  </si>
  <si>
    <t>MH12GW7642</t>
  </si>
  <si>
    <t xml:space="preserve">Honda Twister </t>
  </si>
  <si>
    <t>79999</t>
  </si>
  <si>
    <t>ME4JC472AB8099329</t>
  </si>
  <si>
    <t>JC47F0154763</t>
  </si>
  <si>
    <t>2024-12-29 19:27:55</t>
  </si>
  <si>
    <t>Honda Activa No Data</t>
  </si>
  <si>
    <t>2024-12-29 19:28:38</t>
  </si>
  <si>
    <t>Jitendra Rajput</t>
  </si>
  <si>
    <t>MH14GP3945</t>
  </si>
  <si>
    <t>48656</t>
  </si>
  <si>
    <t>MD626EG41H1H68505</t>
  </si>
  <si>
    <t>EG4HH1509418</t>
  </si>
  <si>
    <t>2024-12-29 19:30:31</t>
  </si>
  <si>
    <t>Madhumati</t>
  </si>
  <si>
    <t>MH14EN5230</t>
  </si>
  <si>
    <t>18554</t>
  </si>
  <si>
    <t>JF49E80036098</t>
  </si>
  <si>
    <t>2024-11-25 17:35:40</t>
  </si>
  <si>
    <t>Vishal Shinde</t>
  </si>
  <si>
    <t>MH14EF6079</t>
  </si>
  <si>
    <t>53425</t>
  </si>
  <si>
    <t>ME4KC191MD8029515</t>
  </si>
  <si>
    <t>2024-12-29 19:34:31</t>
  </si>
  <si>
    <t>Ashok Chaudhari</t>
  </si>
  <si>
    <t>MH14EN3957</t>
  </si>
  <si>
    <t>50281</t>
  </si>
  <si>
    <t>ME4JF502HE8196054</t>
  </si>
  <si>
    <t>JF50E81194860</t>
  </si>
  <si>
    <t>2024-12-18 16:49:47</t>
  </si>
  <si>
    <t>Lonkar</t>
  </si>
  <si>
    <t>MH12UD7923</t>
  </si>
  <si>
    <t>32111</t>
  </si>
  <si>
    <t>NE4JF91ACHNG122526</t>
  </si>
  <si>
    <t>JF91EG7122960</t>
  </si>
  <si>
    <t>2024-12-18 16:49:19</t>
  </si>
  <si>
    <t>ANIKET</t>
  </si>
  <si>
    <t>MH06BR4422</t>
  </si>
  <si>
    <t>Yamaha R15 2</t>
  </si>
  <si>
    <t>31543</t>
  </si>
  <si>
    <t>2024-12-18 19:34:15</t>
  </si>
  <si>
    <t>Jasneet</t>
  </si>
  <si>
    <t>MH14HR8428</t>
  </si>
  <si>
    <t xml:space="preserve">Jawa Jawa </t>
  </si>
  <si>
    <t>18693</t>
  </si>
  <si>
    <t>2024-11-25 17:36:12</t>
  </si>
  <si>
    <t xml:space="preserve">CHANDRA SHEKHAR </t>
  </si>
  <si>
    <t>MH14GF1373</t>
  </si>
  <si>
    <t>19059</t>
  </si>
  <si>
    <t>2024-12-18 19:35:44</t>
  </si>
  <si>
    <t>Kshitij Dhote</t>
  </si>
  <si>
    <t>MH31FJ9787</t>
  </si>
  <si>
    <t>12060</t>
  </si>
  <si>
    <t>2024-12-18 17:20:44</t>
  </si>
  <si>
    <t xml:space="preserve">YAMANAPPA </t>
  </si>
  <si>
    <t>MH14EW296</t>
  </si>
  <si>
    <t>22311</t>
  </si>
  <si>
    <t>RUSTY FREME</t>
  </si>
  <si>
    <t>0G4NE1217524</t>
  </si>
  <si>
    <t>2024-11-25 17:34:28</t>
  </si>
  <si>
    <t>AJAY GHAYAL</t>
  </si>
  <si>
    <t>MH12TX7201</t>
  </si>
  <si>
    <t>Bajaj Pulsar 160 NS</t>
  </si>
  <si>
    <t>31186</t>
  </si>
  <si>
    <t>MD2A692DX7MCH29238</t>
  </si>
  <si>
    <t>JEXCMH3530</t>
  </si>
  <si>
    <t>2024-12-18 19:32:01</t>
  </si>
  <si>
    <t>Pratik Masalkar</t>
  </si>
  <si>
    <t>MH14GK7336</t>
  </si>
  <si>
    <t>28821</t>
  </si>
  <si>
    <t>ME4KC311HH8085376</t>
  </si>
  <si>
    <t>KC31E80085442</t>
  </si>
  <si>
    <t>2024-12-18 20:19:23</t>
  </si>
  <si>
    <t>Rishikesh Nikam</t>
  </si>
  <si>
    <t>MH19DR5242</t>
  </si>
  <si>
    <t>2024-12-30 18:25:43</t>
  </si>
  <si>
    <t xml:space="preserve">AMIT SHARMA </t>
  </si>
  <si>
    <t>MH14HL5821</t>
  </si>
  <si>
    <t>4644</t>
  </si>
  <si>
    <t>MD626EG441ABK1B01371</t>
  </si>
  <si>
    <t>EG4BK1000769</t>
  </si>
  <si>
    <t>2024-12-18 20:10:50</t>
  </si>
  <si>
    <t>AMAN KISHOR</t>
  </si>
  <si>
    <t>BR01CT4144</t>
  </si>
  <si>
    <t>46849</t>
  </si>
  <si>
    <t>2024-12-30 17:11:59</t>
  </si>
  <si>
    <t xml:space="preserve">Mahesh Patil </t>
  </si>
  <si>
    <t>MH19DY8052</t>
  </si>
  <si>
    <t>11536</t>
  </si>
  <si>
    <t>2024-12-19 18:54:00</t>
  </si>
  <si>
    <t>PRASAD</t>
  </si>
  <si>
    <t>MH14KE2387</t>
  </si>
  <si>
    <t>14061</t>
  </si>
  <si>
    <t>MD626AK46N1F29964</t>
  </si>
  <si>
    <t>BK4FN1428009</t>
  </si>
  <si>
    <t>2024-12-19 19:33:55</t>
  </si>
  <si>
    <t>GEETASWAMI</t>
  </si>
  <si>
    <t>MH14DY4529</t>
  </si>
  <si>
    <t>29750</t>
  </si>
  <si>
    <t>2024-12-19 18:51:50</t>
  </si>
  <si>
    <t>ANKUR</t>
  </si>
  <si>
    <t>MH10EC3656</t>
  </si>
  <si>
    <t>KTM RC 200</t>
  </si>
  <si>
    <t>19117</t>
  </si>
  <si>
    <t>2024-12-19 18:53:02</t>
  </si>
  <si>
    <t xml:space="preserve">Pratik Kanse </t>
  </si>
  <si>
    <t>MH12RH3814</t>
  </si>
  <si>
    <t>38342</t>
  </si>
  <si>
    <t>ME4JF490LJ040959</t>
  </si>
  <si>
    <t>JF49EU4040875</t>
  </si>
  <si>
    <t>2024-12-19 18:53:35</t>
  </si>
  <si>
    <t>SINGH</t>
  </si>
  <si>
    <t>MH14FE3692</t>
  </si>
  <si>
    <t>22029</t>
  </si>
  <si>
    <t>2024-12-19 18:56:37</t>
  </si>
  <si>
    <t>AKIB</t>
  </si>
  <si>
    <t>MH49AN7150</t>
  </si>
  <si>
    <t xml:space="preserve">Bajaj CT 100 </t>
  </si>
  <si>
    <t>18202</t>
  </si>
  <si>
    <t>MD2A18AZ7GW09457</t>
  </si>
  <si>
    <t>DUZWG046245</t>
  </si>
  <si>
    <t>2024-12-19 18:57:43</t>
  </si>
  <si>
    <t>SHANTARAM NERKAR</t>
  </si>
  <si>
    <t>MH14HF1039</t>
  </si>
  <si>
    <t>6843</t>
  </si>
  <si>
    <t>ME45J50AKJT56794</t>
  </si>
  <si>
    <t>JF50T2567507</t>
  </si>
  <si>
    <t>2024-12-19 18:58:02</t>
  </si>
  <si>
    <t>Girija</t>
  </si>
  <si>
    <t>MH12ND2790</t>
  </si>
  <si>
    <t>31833</t>
  </si>
  <si>
    <t>2024-12-20 20:37:04</t>
  </si>
  <si>
    <t>CHIMNEY PALANDE</t>
  </si>
  <si>
    <t>MH12RS9858</t>
  </si>
  <si>
    <t>33369</t>
  </si>
  <si>
    <t>ME1RG44F4K0022O59</t>
  </si>
  <si>
    <t>G325E0079718</t>
  </si>
  <si>
    <t>2024-12-30 17:12:54</t>
  </si>
  <si>
    <t>SHALIK</t>
  </si>
  <si>
    <t>AS01BF0733</t>
  </si>
  <si>
    <t>21527</t>
  </si>
  <si>
    <t>ME11CK045D3006987</t>
  </si>
  <si>
    <t>11K4006982</t>
  </si>
  <si>
    <t>2024-12-30 18:23:01</t>
  </si>
  <si>
    <t>KETAN SHINDE</t>
  </si>
  <si>
    <t>MH14GR4330</t>
  </si>
  <si>
    <t>30612</t>
  </si>
  <si>
    <t>2024-12-30 18:25:18</t>
  </si>
  <si>
    <t>SANKET KALE</t>
  </si>
  <si>
    <t>MH13DW1698</t>
  </si>
  <si>
    <t>13888</t>
  </si>
  <si>
    <t>ME4JF919ANW002170</t>
  </si>
  <si>
    <t>JF91EW6002164</t>
  </si>
  <si>
    <t>2024-12-18 19:32:50</t>
  </si>
  <si>
    <t>Ramesh Vora</t>
  </si>
  <si>
    <t>MH14DY0885</t>
  </si>
  <si>
    <t>28971</t>
  </si>
  <si>
    <t>ME4JF5010D8204433</t>
  </si>
  <si>
    <t>2024-12-30 20:31:54</t>
  </si>
  <si>
    <t>Vishal Kachhawah</t>
  </si>
  <si>
    <t>MH15FD6944</t>
  </si>
  <si>
    <t>52564</t>
  </si>
  <si>
    <t>ME3U3S5C1GA362841</t>
  </si>
  <si>
    <t>U385C1GA082170</t>
  </si>
  <si>
    <t>2024-12-30 18:22:02</t>
  </si>
  <si>
    <t>ANIL</t>
  </si>
  <si>
    <t>MH26BJ0889</t>
  </si>
  <si>
    <t>31343</t>
  </si>
  <si>
    <t>2024-12-30 20:32:27</t>
  </si>
  <si>
    <t>RAHUL</t>
  </si>
  <si>
    <t>MH14KC9231</t>
  </si>
  <si>
    <t>68889</t>
  </si>
  <si>
    <t>MBLHAW129H5E10313</t>
  </si>
  <si>
    <t>HA14E1N5E54511</t>
  </si>
  <si>
    <t>2025-02-17 20:43:26</t>
  </si>
  <si>
    <t xml:space="preserve"> SUMANT SHARMA </t>
  </si>
  <si>
    <t>MH14EA3877</t>
  </si>
  <si>
    <t>ME121COH7D20317441</t>
  </si>
  <si>
    <t>21CH031733</t>
  </si>
  <si>
    <t>2025-04-13 19:36:49</t>
  </si>
  <si>
    <t>Sahil Saraf</t>
  </si>
  <si>
    <t>MH19DS2711</t>
  </si>
  <si>
    <t>15120</t>
  </si>
  <si>
    <t>ME3U3S5FMA063484</t>
  </si>
  <si>
    <t>U3S51LN686852</t>
  </si>
  <si>
    <t>2025-02-17 19:29:21</t>
  </si>
  <si>
    <t xml:space="preserve">SACHIN </t>
  </si>
  <si>
    <t>MH12HY6212</t>
  </si>
  <si>
    <t>21866</t>
  </si>
  <si>
    <t>2024-12-30 20:32:07</t>
  </si>
  <si>
    <t>Amit Thakur</t>
  </si>
  <si>
    <t>MH14EL3472</t>
  </si>
  <si>
    <t>28569</t>
  </si>
  <si>
    <t>ME4JF502FET154206</t>
  </si>
  <si>
    <t>2025-02-17 19:30:24</t>
  </si>
  <si>
    <t xml:space="preserve">ADITYA </t>
  </si>
  <si>
    <t>MH14FK6546</t>
  </si>
  <si>
    <t>9017</t>
  </si>
  <si>
    <t>2025-02-17 19:29:53</t>
  </si>
  <si>
    <t xml:space="preserve">VAISHNAVI </t>
  </si>
  <si>
    <t>MH14EX4198</t>
  </si>
  <si>
    <t xml:space="preserve">Piaggio Vespa </t>
  </si>
  <si>
    <t>24837</t>
  </si>
  <si>
    <t>MET0000BASB022755</t>
  </si>
  <si>
    <t>M449M3096188</t>
  </si>
  <si>
    <t>2025-04-13 19:39:07</t>
  </si>
  <si>
    <t>Swapnil Kale</t>
  </si>
  <si>
    <t>MH12RW3897</t>
  </si>
  <si>
    <t>2025-04-13 19:35:23</t>
  </si>
  <si>
    <t>ANIL WATERKAR</t>
  </si>
  <si>
    <t>MH14KE8427</t>
  </si>
  <si>
    <t>18256</t>
  </si>
  <si>
    <t>ME4JF91AGNW273292</t>
  </si>
  <si>
    <t>JF1EW7271690</t>
  </si>
  <si>
    <t>2025-01-01 20:29:01</t>
  </si>
  <si>
    <t>Yuvraj Kharche</t>
  </si>
  <si>
    <t>MH12GS2826</t>
  </si>
  <si>
    <t>32845</t>
  </si>
  <si>
    <t>ME121C052B2028860</t>
  </si>
  <si>
    <t>215028660</t>
  </si>
  <si>
    <t>2025-01-04 19:46:02</t>
  </si>
  <si>
    <t>Manisha Pawar</t>
  </si>
  <si>
    <t>MH12SN2550</t>
  </si>
  <si>
    <t>37047</t>
  </si>
  <si>
    <t>093 ₹</t>
  </si>
  <si>
    <t>ME4JF49MALWD14607</t>
  </si>
  <si>
    <t>JF49EW4022957</t>
  </si>
  <si>
    <t>2025-04-13 19:44:31</t>
  </si>
  <si>
    <t>AMIT SARAF</t>
  </si>
  <si>
    <t>MH14JY2684</t>
  </si>
  <si>
    <t>ME3J3C5FAN2036376</t>
  </si>
  <si>
    <t>J3A5FAN2546158</t>
  </si>
  <si>
    <t>2025-04-13 19:45:11</t>
  </si>
  <si>
    <t>Saad Ahmed</t>
  </si>
  <si>
    <t>MH15HP7467</t>
  </si>
  <si>
    <t>Royal Enfield Classic  350 Reborn</t>
  </si>
  <si>
    <t>29063</t>
  </si>
  <si>
    <t>MEBJ3C3FGM2006246</t>
  </si>
  <si>
    <t>J3A5FGM2109874</t>
  </si>
  <si>
    <t>2025-04-13 19:46:09</t>
  </si>
  <si>
    <t>2025-04-13 19:47:53</t>
  </si>
  <si>
    <t>PRITESH</t>
  </si>
  <si>
    <t>MH14JK5420</t>
  </si>
  <si>
    <t>23984</t>
  </si>
  <si>
    <t>200 ₹</t>
  </si>
  <si>
    <t>ME4KC401AMA286383</t>
  </si>
  <si>
    <t>KC40EA018415</t>
  </si>
  <si>
    <t>2025-04-13 19:47:02</t>
  </si>
  <si>
    <t xml:space="preserve">Prithviraj </t>
  </si>
  <si>
    <t>MH14HC3458</t>
  </si>
  <si>
    <t>031 ₹</t>
  </si>
  <si>
    <t>ME4JF50BHJU119741</t>
  </si>
  <si>
    <t>JF50EU8118001</t>
  </si>
  <si>
    <t>2025-04-13 19:43:40</t>
  </si>
  <si>
    <t>MH16CB0340</t>
  </si>
  <si>
    <t>27910</t>
  </si>
  <si>
    <t>2025-04-13 19:49:09</t>
  </si>
  <si>
    <t>MH14LF9585</t>
  </si>
  <si>
    <t>16777</t>
  </si>
  <si>
    <t>2025-04-13 19:49:39</t>
  </si>
  <si>
    <t xml:space="preserve">Abhishek Kudle </t>
  </si>
  <si>
    <t>MH12KU4467</t>
  </si>
  <si>
    <t>28598</t>
  </si>
  <si>
    <t>2025-01-01 20:34:16</t>
  </si>
  <si>
    <t>TUSHAR</t>
  </si>
  <si>
    <t>MH19CG5255</t>
  </si>
  <si>
    <t>70043</t>
  </si>
  <si>
    <t>2025-01-01 20:28:44</t>
  </si>
  <si>
    <t xml:space="preserve"> Shravan Kulkarni </t>
  </si>
  <si>
    <t>MH20FD0651</t>
  </si>
  <si>
    <t>20458</t>
  </si>
  <si>
    <t>ME4JF30HEJG15780</t>
  </si>
  <si>
    <t>JF3944059410</t>
  </si>
  <si>
    <t>2025-02-17 20:42:43</t>
  </si>
  <si>
    <t>Shantanu Kamthe</t>
  </si>
  <si>
    <t>MH12PR6035</t>
  </si>
  <si>
    <t>25199</t>
  </si>
  <si>
    <t>50 ₹</t>
  </si>
  <si>
    <t>ME4KC23AFH8016431</t>
  </si>
  <si>
    <t>KC23E849430</t>
  </si>
  <si>
    <t>2025-04-13 20:01:47</t>
  </si>
  <si>
    <t>Mahesh</t>
  </si>
  <si>
    <t>MH12GJ7764</t>
  </si>
  <si>
    <t>85140</t>
  </si>
  <si>
    <t>MD2DHZZTCG630910</t>
  </si>
  <si>
    <t>DHGBTG18083</t>
  </si>
  <si>
    <t>2025-04-13 19:55:12</t>
  </si>
  <si>
    <t>RITESH PATIL</t>
  </si>
  <si>
    <t>MH39M5625</t>
  </si>
  <si>
    <t>Bajaj Discover 100</t>
  </si>
  <si>
    <t>2025-01-01 20:25:17</t>
  </si>
  <si>
    <t>NITIN PATIL</t>
  </si>
  <si>
    <t>MH14DB6382</t>
  </si>
  <si>
    <t>107160</t>
  </si>
  <si>
    <t>2025-01-01 20:27:30</t>
  </si>
  <si>
    <t>Nachiket</t>
  </si>
  <si>
    <t>MH12NV7063</t>
  </si>
  <si>
    <t>28078</t>
  </si>
  <si>
    <t>MD626AG43H1A13655</t>
  </si>
  <si>
    <t>GG4AH901646</t>
  </si>
  <si>
    <t>2025-01-01 20:33:43</t>
  </si>
  <si>
    <t>RAHUL BIST</t>
  </si>
  <si>
    <t>MH12VE8732</t>
  </si>
  <si>
    <t>17611</t>
  </si>
  <si>
    <t>2025-01-01 20:29:54</t>
  </si>
  <si>
    <t>ABHISHEK MURAI</t>
  </si>
  <si>
    <t>MH37AF3858</t>
  </si>
  <si>
    <t>9353</t>
  </si>
  <si>
    <t>ME4KC404FPG008101</t>
  </si>
  <si>
    <t>KC40EG3008185</t>
  </si>
  <si>
    <t>2025-01-01 20:31:58</t>
  </si>
  <si>
    <t>Mandar Kale</t>
  </si>
  <si>
    <t>MH27AV5060</t>
  </si>
  <si>
    <t>60594</t>
  </si>
  <si>
    <t>2025-01-01 20:29:28</t>
  </si>
  <si>
    <t>Mrudul</t>
  </si>
  <si>
    <t>MH12NQ9478</t>
  </si>
  <si>
    <t xml:space="preserve">Hero Duet </t>
  </si>
  <si>
    <t>MBLJF16ESGGJ00068</t>
  </si>
  <si>
    <t>JF33AG4J14052</t>
  </si>
  <si>
    <t>2025-01-01 20:31:06</t>
  </si>
  <si>
    <t>Arjit Kumar</t>
  </si>
  <si>
    <t>UP16CA6230</t>
  </si>
  <si>
    <t>Bajaj Pulsar 150 SD ABS</t>
  </si>
  <si>
    <t>51973</t>
  </si>
  <si>
    <t>MD2A11CYXJRH46894</t>
  </si>
  <si>
    <t>DHRYJH67291</t>
  </si>
  <si>
    <t>2025-01-01 20:31:21</t>
  </si>
  <si>
    <t>DHIRAJ</t>
  </si>
  <si>
    <t>MH12RV9193</t>
  </si>
  <si>
    <t>6904</t>
  </si>
  <si>
    <t>MD626AG73K2B03545</t>
  </si>
  <si>
    <t>AG7BK2X00046</t>
  </si>
  <si>
    <t>2025-01-01 20:33:06</t>
  </si>
  <si>
    <t>Sanjay Dhanshetty</t>
  </si>
  <si>
    <t>MH12HS9933</t>
  </si>
  <si>
    <t>Honda Shine 125</t>
  </si>
  <si>
    <t>12684</t>
  </si>
  <si>
    <t>2025-01-02 19:30:20</t>
  </si>
  <si>
    <t>Nilesh Saini</t>
  </si>
  <si>
    <t>MH14KR8553</t>
  </si>
  <si>
    <t>8633</t>
  </si>
  <si>
    <t>MD626CG58P1C10324</t>
  </si>
  <si>
    <t>DG5CP1X05519</t>
  </si>
  <si>
    <t>2025-01-01 20:25:37</t>
  </si>
  <si>
    <t>PUROHIT</t>
  </si>
  <si>
    <t>MH14FF2912</t>
  </si>
  <si>
    <t>21812</t>
  </si>
  <si>
    <t>MD626BG41F1L95913</t>
  </si>
  <si>
    <t>BG4LP1636543</t>
  </si>
  <si>
    <t>2025-01-01 20:34:54</t>
  </si>
  <si>
    <t>PRAVEEN SONI</t>
  </si>
  <si>
    <t>MH14FV4585</t>
  </si>
  <si>
    <t>51002</t>
  </si>
  <si>
    <t>MD626BG44G1G41</t>
  </si>
  <si>
    <t>BG4GG15356</t>
  </si>
  <si>
    <t>2025-01-01 20:34:38</t>
  </si>
  <si>
    <t>MH14FV3758</t>
  </si>
  <si>
    <t>68708</t>
  </si>
  <si>
    <t>ME4KC09MJG8077969</t>
  </si>
  <si>
    <t>KC09E87077933</t>
  </si>
  <si>
    <t>2025-01-24 16:10:33</t>
  </si>
  <si>
    <t>Prashant Gawade</t>
  </si>
  <si>
    <t>MH14EQ9238</t>
  </si>
  <si>
    <t>64996</t>
  </si>
  <si>
    <t>ME4JF502KET456017</t>
  </si>
  <si>
    <t>JF50E1455769</t>
  </si>
  <si>
    <t>2025-01-23 15:44:50</t>
  </si>
  <si>
    <t>TEJAS RAUT</t>
  </si>
  <si>
    <t>MH37Y9323</t>
  </si>
  <si>
    <t>37121</t>
  </si>
  <si>
    <t>ME1RG44G5K0035485</t>
  </si>
  <si>
    <t>G3L5E0097468</t>
  </si>
  <si>
    <t>2025-01-24 16:16:47</t>
  </si>
  <si>
    <t>ABDUL TAMBOLI</t>
  </si>
  <si>
    <t>MH14JW6289</t>
  </si>
  <si>
    <t>25613</t>
  </si>
  <si>
    <t>cash</t>
  </si>
  <si>
    <t>ME4JK133LMW006295</t>
  </si>
  <si>
    <t>JR13EW016974</t>
  </si>
  <si>
    <t>2025-01-24 16:21:14</t>
  </si>
  <si>
    <t xml:space="preserve">Shrikant </t>
  </si>
  <si>
    <t>MH14EB2125</t>
  </si>
  <si>
    <t>57885</t>
  </si>
  <si>
    <t>109 ₹</t>
  </si>
  <si>
    <t>MBLHA10AWDHG486G17</t>
  </si>
  <si>
    <t>HA10E1HG64008</t>
  </si>
  <si>
    <t>2025-06-12 21:45:58</t>
  </si>
  <si>
    <t>Milind Borawke</t>
  </si>
  <si>
    <t>MH12NY8650</t>
  </si>
  <si>
    <t>Yamaha Fascino No Data</t>
  </si>
  <si>
    <t>34627</t>
  </si>
  <si>
    <t>2025-01-24 16:13:11</t>
  </si>
  <si>
    <t>Haridas</t>
  </si>
  <si>
    <t>MH14GZ0962</t>
  </si>
  <si>
    <t>41048</t>
  </si>
  <si>
    <t>MD626EG4J1C29559</t>
  </si>
  <si>
    <t>EG4CJ1946028</t>
  </si>
  <si>
    <t>2025-01-24 16:37:41</t>
  </si>
  <si>
    <t>JAYPAL DHANGAR</t>
  </si>
  <si>
    <t>MH18AV5881</t>
  </si>
  <si>
    <t>098743</t>
  </si>
  <si>
    <t>0 %</t>
  </si>
  <si>
    <t>ME4JF651PGT179930</t>
  </si>
  <si>
    <t>JC65ET0265304</t>
  </si>
  <si>
    <t>2025-06-12 21:51:01</t>
  </si>
  <si>
    <t>Harman</t>
  </si>
  <si>
    <t>MH14KE0187</t>
  </si>
  <si>
    <t>30200</t>
  </si>
  <si>
    <t>2025-01-01 20:26:19</t>
  </si>
  <si>
    <t>BHUSHAN VARMA</t>
  </si>
  <si>
    <t>MH36V2254</t>
  </si>
  <si>
    <t>34698</t>
  </si>
  <si>
    <t>ME4JF50CT208342</t>
  </si>
  <si>
    <t>JF50ET3208723</t>
  </si>
  <si>
    <t>2025-01-02 19:31:35</t>
  </si>
  <si>
    <t xml:space="preserve">SURAJ </t>
  </si>
  <si>
    <t>MH14HP7053</t>
  </si>
  <si>
    <t>22012</t>
  </si>
  <si>
    <t>MET0001CAYE001933</t>
  </si>
  <si>
    <t>2025-01-23 13:58:51</t>
  </si>
  <si>
    <t xml:space="preserve">Yogesh </t>
  </si>
  <si>
    <t>MH13BJ6154</t>
  </si>
  <si>
    <t>42434</t>
  </si>
  <si>
    <t>ME4JC36JMC7283143194</t>
  </si>
  <si>
    <t>JC36E7433322</t>
  </si>
  <si>
    <t>2025-01-24 16:50:12</t>
  </si>
  <si>
    <t>Abhijeet Kamthe</t>
  </si>
  <si>
    <t>MH14JK9068</t>
  </si>
  <si>
    <t>30178</t>
  </si>
  <si>
    <t>MBLHAW125M5A42968</t>
  </si>
  <si>
    <t>HA11EMSA09492</t>
  </si>
  <si>
    <t>2025-01-23 14:05:59</t>
  </si>
  <si>
    <t>Ajay Kharche</t>
  </si>
  <si>
    <t>MH14HC4405</t>
  </si>
  <si>
    <t>25460</t>
  </si>
  <si>
    <t>MD626EG45J1G70289</t>
  </si>
  <si>
    <t>EG4GJ1307340</t>
  </si>
  <si>
    <t>2025-01-23 13:52:09</t>
  </si>
  <si>
    <t>Pankaj Verma</t>
  </si>
  <si>
    <t>MH14HA7005</t>
  </si>
  <si>
    <t>20689</t>
  </si>
  <si>
    <t>MBLJFN026JGE08841</t>
  </si>
  <si>
    <t>2025-01-24 17:00:40</t>
  </si>
  <si>
    <t>Bharat Narkhede</t>
  </si>
  <si>
    <t>MH14GJ3126</t>
  </si>
  <si>
    <t>Hero Maestro Dash/Edge</t>
  </si>
  <si>
    <t>20300</t>
  </si>
  <si>
    <t>JF33ABH4303958</t>
  </si>
  <si>
    <t>2025-01-24 17:12:25</t>
  </si>
  <si>
    <t>Bhargav</t>
  </si>
  <si>
    <t>MH15EZ1487</t>
  </si>
  <si>
    <t>28853</t>
  </si>
  <si>
    <t>ME4JF303F7019040</t>
  </si>
  <si>
    <t>JP30E708998</t>
  </si>
  <si>
    <t>2025-01-20 20:59:13</t>
  </si>
  <si>
    <t>Shrikant Pawar</t>
  </si>
  <si>
    <t>MH14GW6332</t>
  </si>
  <si>
    <t>51589</t>
  </si>
  <si>
    <t>2025-06-12 22:02:39</t>
  </si>
  <si>
    <t>Pramod</t>
  </si>
  <si>
    <t>MH14DX8245</t>
  </si>
  <si>
    <t>12306</t>
  </si>
  <si>
    <t>MBLHA10AWDH0194</t>
  </si>
  <si>
    <t>HA105NDHG58308</t>
  </si>
  <si>
    <t>2025-01-20 20:59:28</t>
  </si>
  <si>
    <t>AMRUTA</t>
  </si>
  <si>
    <t>MH12GL3376</t>
  </si>
  <si>
    <t>60036</t>
  </si>
  <si>
    <t>ME4JFXXXXX</t>
  </si>
  <si>
    <t>JF11ET068724</t>
  </si>
  <si>
    <t>2025-06-12 21:58:31</t>
  </si>
  <si>
    <t>Mayank</t>
  </si>
  <si>
    <t>MP43DP7376</t>
  </si>
  <si>
    <t>TVS Star Sports</t>
  </si>
  <si>
    <t>49100</t>
  </si>
  <si>
    <t>2025-01-20 21:00:09</t>
  </si>
  <si>
    <t xml:space="preserve">SUSHMITA </t>
  </si>
  <si>
    <t>MH10BS7801</t>
  </si>
  <si>
    <t>credit_card</t>
  </si>
  <si>
    <t>MD626AG44E1B16000</t>
  </si>
  <si>
    <t>BG4BE1112484</t>
  </si>
  <si>
    <t>2025-01-20 21:00:29</t>
  </si>
  <si>
    <t>Kiran Patil</t>
  </si>
  <si>
    <t>MH17AM2887</t>
  </si>
  <si>
    <t>54826</t>
  </si>
  <si>
    <t>MD626AG47B1C25966</t>
  </si>
  <si>
    <t>BG4CB1128451</t>
  </si>
  <si>
    <t>2025-06-12 22:09:36</t>
  </si>
  <si>
    <t xml:space="preserve">Pratik Deshmukh </t>
  </si>
  <si>
    <t>MH21AY7159</t>
  </si>
  <si>
    <t>61441</t>
  </si>
  <si>
    <t>2025-06-12 22:06:31</t>
  </si>
  <si>
    <t>Ganesh Patkar</t>
  </si>
  <si>
    <t>MH14AY2827</t>
  </si>
  <si>
    <t>23012</t>
  </si>
  <si>
    <t>2025-01-20 20:59:52</t>
  </si>
  <si>
    <t xml:space="preserve">Vikram Jadhav </t>
  </si>
  <si>
    <t>MH14FV0955</t>
  </si>
  <si>
    <t>47736</t>
  </si>
  <si>
    <t>ME4JF505JG43D04D1</t>
  </si>
  <si>
    <t>JF50EU3380183</t>
  </si>
  <si>
    <t>2025-01-19 21:02:40</t>
  </si>
  <si>
    <t>Shivanand</t>
  </si>
  <si>
    <t>MH14KY5030</t>
  </si>
  <si>
    <t>7420</t>
  </si>
  <si>
    <t>ME4JK156GPG163550</t>
  </si>
  <si>
    <t>JK15EG5163737</t>
  </si>
  <si>
    <t>2025-01-20 21:01:11</t>
  </si>
  <si>
    <t>Divyajyoti Samal</t>
  </si>
  <si>
    <t>MH14CV3426</t>
  </si>
  <si>
    <t>Bajaj Discover 150</t>
  </si>
  <si>
    <t>17505</t>
  </si>
  <si>
    <t>2025-01-20 21:03:41</t>
  </si>
  <si>
    <t>Parag Siddham</t>
  </si>
  <si>
    <t>MH14GK3378</t>
  </si>
  <si>
    <t>28146</t>
  </si>
  <si>
    <t>ME4JF50GH008</t>
  </si>
  <si>
    <t>JF50E45384397</t>
  </si>
  <si>
    <t>2025-01-20 21:02:59</t>
  </si>
  <si>
    <t xml:space="preserve">Nilesh Gaikwad </t>
  </si>
  <si>
    <t>MH14FN6108</t>
  </si>
  <si>
    <t>12473</t>
  </si>
  <si>
    <t>74 ₹</t>
  </si>
  <si>
    <t>ME4JC52CGT106037</t>
  </si>
  <si>
    <t>JC65ET0324702</t>
  </si>
  <si>
    <t>2025-01-19 20:22:47</t>
  </si>
  <si>
    <t>Piyush Bhangare</t>
  </si>
  <si>
    <t>MH39P9672</t>
  </si>
  <si>
    <t>73773</t>
  </si>
  <si>
    <t>2025-01-19 20:20:09</t>
  </si>
  <si>
    <t>MH20DQ1506</t>
  </si>
  <si>
    <t>27219</t>
  </si>
  <si>
    <t>MB8CF4CACF8557169</t>
  </si>
  <si>
    <t>F4862732186</t>
  </si>
  <si>
    <t>2025-01-20 21:00:56</t>
  </si>
  <si>
    <t>KUNAR KUMAR</t>
  </si>
  <si>
    <t>MH12UU4405</t>
  </si>
  <si>
    <t>TVS Jupiter BS6</t>
  </si>
  <si>
    <t>5195</t>
  </si>
  <si>
    <t>MD626CG58N1K23892</t>
  </si>
  <si>
    <t>EG5KN150756</t>
  </si>
  <si>
    <t>2025-01-19 20:18:49</t>
  </si>
  <si>
    <t>Puneet Thakkar</t>
  </si>
  <si>
    <t>MH12RL0855</t>
  </si>
  <si>
    <t>33447</t>
  </si>
  <si>
    <t>MD626EG46K1A12532</t>
  </si>
  <si>
    <t>EG4AK1726997</t>
  </si>
  <si>
    <t>2025-01-19 19:35:45</t>
  </si>
  <si>
    <t xml:space="preserve">Nilesh Kulkarni </t>
  </si>
  <si>
    <t>MH14JY3527</t>
  </si>
  <si>
    <t>12009</t>
  </si>
  <si>
    <t>ME4JF917JMG000311</t>
  </si>
  <si>
    <t>JF91EG4000055</t>
  </si>
  <si>
    <t>2025-01-19 20:05:13</t>
  </si>
  <si>
    <t>MH28BE1123</t>
  </si>
  <si>
    <t>71252</t>
  </si>
  <si>
    <t>2025-01-19 19:09:54</t>
  </si>
  <si>
    <t>PRAVEEN</t>
  </si>
  <si>
    <t>MH14CQ2056</t>
  </si>
  <si>
    <t>ME1455049A2003980</t>
  </si>
  <si>
    <t>4554002687</t>
  </si>
  <si>
    <t>2025-06-12 22:53:05</t>
  </si>
  <si>
    <t>Anil Nanaware</t>
  </si>
  <si>
    <t>MH12SN7370</t>
  </si>
  <si>
    <t>56111</t>
  </si>
  <si>
    <t>2025-06-12 22:54:21</t>
  </si>
  <si>
    <t xml:space="preserve">Laxman Patil </t>
  </si>
  <si>
    <t>MH12MH5756</t>
  </si>
  <si>
    <t>20099</t>
  </si>
  <si>
    <t>2025-01-20 21:01:39</t>
  </si>
  <si>
    <t>ARUN PAWASEKAR</t>
  </si>
  <si>
    <t>MH14FR6407</t>
  </si>
  <si>
    <t>33936</t>
  </si>
  <si>
    <t>ME4JF505GGT580906</t>
  </si>
  <si>
    <t>JF50ET552166</t>
  </si>
  <si>
    <t>2025-06-12 22:54:49</t>
  </si>
  <si>
    <t>42347</t>
  </si>
  <si>
    <t>2025-01-19 18:18:21</t>
  </si>
  <si>
    <t>Robin Doutante</t>
  </si>
  <si>
    <t>MH26BK4187</t>
  </si>
  <si>
    <t>79328</t>
  </si>
  <si>
    <t>ME4JC65ADJ7083007</t>
  </si>
  <si>
    <t>JC65E72098362</t>
  </si>
  <si>
    <t>2025-06-12 22:55:33</t>
  </si>
  <si>
    <t>Arun Bende</t>
  </si>
  <si>
    <t>KA01JE8845</t>
  </si>
  <si>
    <t>8543</t>
  </si>
  <si>
    <t>2025-01-19 18:14:24</t>
  </si>
  <si>
    <t>Guruprasad</t>
  </si>
  <si>
    <t>MH14DG3663</t>
  </si>
  <si>
    <t>Yamaha SZ RR</t>
  </si>
  <si>
    <t>60861</t>
  </si>
  <si>
    <t>ME11BM031C2007288</t>
  </si>
  <si>
    <t>1PM3007058</t>
  </si>
  <si>
    <t>2025-01-19 18:19:42</t>
  </si>
  <si>
    <t>BHAGWAT</t>
  </si>
  <si>
    <t>MH12RS4678</t>
  </si>
  <si>
    <t xml:space="preserve">UM Renegade </t>
  </si>
  <si>
    <t>8016</t>
  </si>
  <si>
    <t>MDCM3RDG1KE302723</t>
  </si>
  <si>
    <t>UX53005J100574</t>
  </si>
  <si>
    <t>2025-06-12 22:59:20</t>
  </si>
  <si>
    <t>Savita</t>
  </si>
  <si>
    <t>MH14HJ9348</t>
  </si>
  <si>
    <t>27004</t>
  </si>
  <si>
    <t>2025-01-19 18:17:15</t>
  </si>
  <si>
    <t>Punit Chauhan</t>
  </si>
  <si>
    <t>MH03BL8606</t>
  </si>
  <si>
    <t>Bajaj Discover 125 Drum</t>
  </si>
  <si>
    <t>48080</t>
  </si>
  <si>
    <t>2025-06-12 23:00:33</t>
  </si>
  <si>
    <t>MH20FJ7642</t>
  </si>
  <si>
    <t>39600</t>
  </si>
  <si>
    <t>2025-01-19 18:16:13</t>
  </si>
  <si>
    <t>SHIVANIKA RAJPUT</t>
  </si>
  <si>
    <t>MH14HJ7068</t>
  </si>
  <si>
    <t>21491</t>
  </si>
  <si>
    <t>MD626EG44K1X0042</t>
  </si>
  <si>
    <t>EG4AK1X0042</t>
  </si>
  <si>
    <t>2025-06-12 23:03:33</t>
  </si>
  <si>
    <t>MH30AM681</t>
  </si>
  <si>
    <t>4600</t>
  </si>
  <si>
    <t>2025-01-02 19:32:48</t>
  </si>
  <si>
    <t>Heattrace Technology</t>
  </si>
  <si>
    <t>MH14FR7837</t>
  </si>
  <si>
    <t>Hero Glamour New</t>
  </si>
  <si>
    <t>11285</t>
  </si>
  <si>
    <t>MBLG8068LGGF12484</t>
  </si>
  <si>
    <t>2025-01-02 19:29:59</t>
  </si>
  <si>
    <t>Manish Nagpuram</t>
  </si>
  <si>
    <t>MH14GZ6838</t>
  </si>
  <si>
    <t>12642</t>
  </si>
  <si>
    <t>AF215055248</t>
  </si>
  <si>
    <t>2025-06-12 23:01:50</t>
  </si>
  <si>
    <t>Hetvi Desai</t>
  </si>
  <si>
    <t>MH14HL5163</t>
  </si>
  <si>
    <t>5303</t>
  </si>
  <si>
    <t>ME4JF4DBKU014343</t>
  </si>
  <si>
    <t>2025-01-19 18:24:25</t>
  </si>
  <si>
    <t>MH12UV6687</t>
  </si>
  <si>
    <t>18895</t>
  </si>
  <si>
    <t>MD625AF90N1L17227</t>
  </si>
  <si>
    <t>AF9LN19090W</t>
  </si>
  <si>
    <t>2025-01-19 18:31:58</t>
  </si>
  <si>
    <t>Suraj Koli</t>
  </si>
  <si>
    <t>MH14DG1339</t>
  </si>
  <si>
    <t>46870</t>
  </si>
  <si>
    <t>83 ₹</t>
  </si>
  <si>
    <t>MBLHA10EWCHB21986</t>
  </si>
  <si>
    <t>HA10EDCHBZ4391</t>
  </si>
  <si>
    <t>2025-01-19 18:21:44</t>
  </si>
  <si>
    <t>94060</t>
  </si>
  <si>
    <t>2025-01-19 18:38:01</t>
  </si>
  <si>
    <t>Nagesh</t>
  </si>
  <si>
    <t>MH14BN6168</t>
  </si>
  <si>
    <t>22668</t>
  </si>
  <si>
    <t>MBLHA10EL8GJ18062</t>
  </si>
  <si>
    <t>HA10E83GJ54284</t>
  </si>
  <si>
    <t>2025-01-19 18:25:40</t>
  </si>
  <si>
    <t>Sumit Kakkad</t>
  </si>
  <si>
    <t>MH14EG2285</t>
  </si>
  <si>
    <t>28888</t>
  </si>
  <si>
    <t>ME4JF501BE8766403</t>
  </si>
  <si>
    <t>JF50E80765343</t>
  </si>
  <si>
    <t>2024-07-29 18:40:13</t>
  </si>
  <si>
    <t>GANESH HANDARGULE</t>
  </si>
  <si>
    <t>MH20FA9052</t>
  </si>
  <si>
    <t>TVS Star City +</t>
  </si>
  <si>
    <t>MD625FF19JG04425</t>
  </si>
  <si>
    <t>FF1GJ1973148</t>
  </si>
  <si>
    <t>2025-01-24 18:10:56</t>
  </si>
  <si>
    <t>ASHOK YADAV</t>
  </si>
  <si>
    <t>MH14BL8848</t>
  </si>
  <si>
    <t>086243</t>
  </si>
  <si>
    <t>2025-01-03 10:27:39</t>
  </si>
  <si>
    <t>Dhanraj</t>
  </si>
  <si>
    <t>MH12FL0518</t>
  </si>
  <si>
    <t>2025-01-05 20:22:24</t>
  </si>
  <si>
    <t>Ganesh Jojare</t>
  </si>
  <si>
    <t>MH12GY5970</t>
  </si>
  <si>
    <t>95785</t>
  </si>
  <si>
    <t>MD2DHDKZZUCC23822</t>
  </si>
  <si>
    <t>DKGBUC35390</t>
  </si>
  <si>
    <t>2025-01-25 21:23:42</t>
  </si>
  <si>
    <t>Rohit Bhosle</t>
  </si>
  <si>
    <t>MH10DM6860</t>
  </si>
  <si>
    <t>MD634KE42G23CX17</t>
  </si>
  <si>
    <t>2025-01-02 21:05:07</t>
  </si>
  <si>
    <t>Maruti Giri</t>
  </si>
  <si>
    <t>MH14FN6754</t>
  </si>
  <si>
    <t>2025-01-03 19:25:55</t>
  </si>
  <si>
    <t>Sanket Girmal</t>
  </si>
  <si>
    <t>MH09FH6332</t>
  </si>
  <si>
    <t>68946</t>
  </si>
  <si>
    <t>2025-01-03 19:27:14</t>
  </si>
  <si>
    <t>2025-01-02 19:36:59</t>
  </si>
  <si>
    <t xml:space="preserve">Ashwini </t>
  </si>
  <si>
    <t>MH12MQ0370</t>
  </si>
  <si>
    <t>35563</t>
  </si>
  <si>
    <t>2025-01-03 20:28:02</t>
  </si>
  <si>
    <t>MH15HP6614</t>
  </si>
  <si>
    <t>41257</t>
  </si>
  <si>
    <t>2025-01-03 20:31:39</t>
  </si>
  <si>
    <t>MH14JY2256</t>
  </si>
  <si>
    <t>40560</t>
  </si>
  <si>
    <t>2025-01-27 18:23:12</t>
  </si>
  <si>
    <t>ANOOP AGRAWAL</t>
  </si>
  <si>
    <t>MH14FE0275</t>
  </si>
  <si>
    <t>36470</t>
  </si>
  <si>
    <t>ME4JC651HET081965</t>
  </si>
  <si>
    <t>JC65ET0117306</t>
  </si>
  <si>
    <t>2025-01-03 19:32:45</t>
  </si>
  <si>
    <t>Vaibhav Kate</t>
  </si>
  <si>
    <t>MH16BP4882</t>
  </si>
  <si>
    <t>43748</t>
  </si>
  <si>
    <t>ME4JF493LF8092255</t>
  </si>
  <si>
    <t>JF45E81106304</t>
  </si>
  <si>
    <t>2025-01-03 19:32:16</t>
  </si>
  <si>
    <t xml:space="preserve">SAURABH </t>
  </si>
  <si>
    <t>MH14LT3086</t>
  </si>
  <si>
    <t>1175</t>
  </si>
  <si>
    <t>ME4JK158GRW044966</t>
  </si>
  <si>
    <t>JK15EW7045100</t>
  </si>
  <si>
    <t>2025-01-25 15:25:17</t>
  </si>
  <si>
    <t>Ramakant</t>
  </si>
  <si>
    <t>MH14AT2090</t>
  </si>
  <si>
    <t>71845</t>
  </si>
  <si>
    <t>2025-01-04 20:26:57</t>
  </si>
  <si>
    <t>Parth Nighojkar</t>
  </si>
  <si>
    <t>MH12GQ9784</t>
  </si>
  <si>
    <t>45271</t>
  </si>
  <si>
    <t>ME4JC448AB8053094</t>
  </si>
  <si>
    <t>JC44E1163987</t>
  </si>
  <si>
    <t>2025-01-25 19:24:44</t>
  </si>
  <si>
    <t>ABHAY JADHAV</t>
  </si>
  <si>
    <t>MH41BG3871</t>
  </si>
  <si>
    <t>19827</t>
  </si>
  <si>
    <t>ME4JF9184MW053955</t>
  </si>
  <si>
    <t>JF91EW5054189</t>
  </si>
  <si>
    <t>2025-05-14 19:51:17</t>
  </si>
  <si>
    <t>2025-05-14 19:51:54</t>
  </si>
  <si>
    <t>40020</t>
  </si>
  <si>
    <t>2025-05-14 19:52:15</t>
  </si>
  <si>
    <t>MH14LN2637</t>
  </si>
  <si>
    <t>3833</t>
  </si>
  <si>
    <t>MD626CG57R1D12703</t>
  </si>
  <si>
    <t>DG5DR1107023</t>
  </si>
  <si>
    <t>2025-01-25 21:06:07</t>
  </si>
  <si>
    <t xml:space="preserve">VISHVENDRA </t>
  </si>
  <si>
    <t>MH14DE940</t>
  </si>
  <si>
    <t>62540</t>
  </si>
  <si>
    <t>MDZDHDHZZUCK04610</t>
  </si>
  <si>
    <t>DHGB4K72214</t>
  </si>
  <si>
    <t>2025-05-14 19:53:15</t>
  </si>
  <si>
    <t>BINOD GUPTA</t>
  </si>
  <si>
    <t>UP16AL5687</t>
  </si>
  <si>
    <t>Bajaj Discover 125ST</t>
  </si>
  <si>
    <t>77605</t>
  </si>
  <si>
    <t>MD2A37CZ4CPG76693</t>
  </si>
  <si>
    <t>JEZPC045113</t>
  </si>
  <si>
    <t>2025-05-14 19:54:11</t>
  </si>
  <si>
    <t xml:space="preserve">Hero Karizma </t>
  </si>
  <si>
    <t>42941</t>
  </si>
  <si>
    <t>2025-05-14 20:36:38</t>
  </si>
  <si>
    <t>MANISHA MISHRA</t>
  </si>
  <si>
    <t>MH14LQ5301</t>
  </si>
  <si>
    <t>Hero Xoom LX</t>
  </si>
  <si>
    <t>5288</t>
  </si>
  <si>
    <t>MBLJFW00RG003420</t>
  </si>
  <si>
    <t>JF16EPRGD04074</t>
  </si>
  <si>
    <t>2025-01-04 20:47:37</t>
  </si>
  <si>
    <t>5603</t>
  </si>
  <si>
    <t>2025-01-04 19:38:09</t>
  </si>
  <si>
    <t>Anushka</t>
  </si>
  <si>
    <t>MH14HR0119</t>
  </si>
  <si>
    <t>9071</t>
  </si>
  <si>
    <t>2025-01-04 19:37:38</t>
  </si>
  <si>
    <t>Ayush Nagori</t>
  </si>
  <si>
    <t>MH14HH2864</t>
  </si>
  <si>
    <t>20580</t>
  </si>
  <si>
    <t>ME1RG445AJ0050015</t>
  </si>
  <si>
    <t>G3J3E0381885</t>
  </si>
  <si>
    <t>2025-01-04 20:48:06</t>
  </si>
  <si>
    <t>Sarang Khargolkar</t>
  </si>
  <si>
    <t>MH14DC6163</t>
  </si>
  <si>
    <t>27242</t>
  </si>
  <si>
    <t>JC44E1700759</t>
  </si>
  <si>
    <t>2025-01-25 20:53:27</t>
  </si>
  <si>
    <t>Aniket Patankar</t>
  </si>
  <si>
    <t>MH14KP9984</t>
  </si>
  <si>
    <t>11156</t>
  </si>
  <si>
    <t>MB8DP12DBP8F4119</t>
  </si>
  <si>
    <t>AF217376499</t>
  </si>
  <si>
    <t>2025-01-04 20:23:57</t>
  </si>
  <si>
    <t>Radhika Patil</t>
  </si>
  <si>
    <t>MH12SS8869</t>
  </si>
  <si>
    <t>50579</t>
  </si>
  <si>
    <t>ME4JF40MGLDO12891</t>
  </si>
  <si>
    <t>JF49ED4021028</t>
  </si>
  <si>
    <t>2025-01-04 19:44:46</t>
  </si>
  <si>
    <t>MANAS KAREKAR</t>
  </si>
  <si>
    <t>MH07AR4601</t>
  </si>
  <si>
    <t>18742</t>
  </si>
  <si>
    <t>2025-01-04 19:41:59</t>
  </si>
  <si>
    <t>Saurabh Meshram</t>
  </si>
  <si>
    <t>MH14ET7782</t>
  </si>
  <si>
    <t>30421</t>
  </si>
  <si>
    <t>MBLJF32AEEGM11988</t>
  </si>
  <si>
    <t>JF32AAEGM74700</t>
  </si>
  <si>
    <t>2025-01-04 19:42:57</t>
  </si>
  <si>
    <t>Shital</t>
  </si>
  <si>
    <t>MH14JT4108</t>
  </si>
  <si>
    <t>1700</t>
  </si>
  <si>
    <t>2025-01-04 19:42:32</t>
  </si>
  <si>
    <t>MH14GW6853</t>
  </si>
  <si>
    <t>21900</t>
  </si>
  <si>
    <t>MD626EG4453B22353</t>
  </si>
  <si>
    <t>EG4BJ1864262</t>
  </si>
  <si>
    <t>2025-01-04 19:36:41</t>
  </si>
  <si>
    <t>MH14HR2274</t>
  </si>
  <si>
    <t>8685</t>
  </si>
  <si>
    <t>MB8DP11ADK8D15536</t>
  </si>
  <si>
    <t>AF212036921</t>
  </si>
  <si>
    <t>2025-05-14 19:53:50</t>
  </si>
  <si>
    <t>TANMAY LONKAR</t>
  </si>
  <si>
    <t>MH12NC5276</t>
  </si>
  <si>
    <t>Honda Hornet 160R</t>
  </si>
  <si>
    <t>45603</t>
  </si>
  <si>
    <t>ME4KC231AG8004425</t>
  </si>
  <si>
    <t>KC23E8003576</t>
  </si>
  <si>
    <t>2025-01-04 19:52:01</t>
  </si>
  <si>
    <t>Rino</t>
  </si>
  <si>
    <t>KL45G6310</t>
  </si>
  <si>
    <t>30935</t>
  </si>
  <si>
    <t>HA11609L28040</t>
  </si>
  <si>
    <t>2025-01-05 20:21:16</t>
  </si>
  <si>
    <t xml:space="preserve">BALAJI TRADERS </t>
  </si>
  <si>
    <t>MH14CE3147</t>
  </si>
  <si>
    <t>MBLJF16EDAGF12789</t>
  </si>
  <si>
    <t>JF16ETG15919</t>
  </si>
  <si>
    <t>2025-05-14 20:36:28</t>
  </si>
  <si>
    <t>Vishwa Mehta</t>
  </si>
  <si>
    <t>MH14HN6730</t>
  </si>
  <si>
    <t>27118</t>
  </si>
  <si>
    <t>0185 ₹</t>
  </si>
  <si>
    <t>MD637CE76K2C03011</t>
  </si>
  <si>
    <t>CE7CK2702622</t>
  </si>
  <si>
    <t>2025-01-04 20:49:40</t>
  </si>
  <si>
    <t>RAHUL PATHARE</t>
  </si>
  <si>
    <t>MH14EJ5100</t>
  </si>
  <si>
    <t>63463</t>
  </si>
  <si>
    <t>2025-01-04 19:44:08</t>
  </si>
  <si>
    <t>SANTOSH SAMBRE</t>
  </si>
  <si>
    <t>MH14FY5008</t>
  </si>
  <si>
    <t>42510</t>
  </si>
  <si>
    <t>0154 ₹</t>
  </si>
  <si>
    <t>ME4JF488JG8020262</t>
  </si>
  <si>
    <t>JF48E81131297</t>
  </si>
  <si>
    <t>2025-01-05 20:17:52</t>
  </si>
  <si>
    <t>Harshad Rathod</t>
  </si>
  <si>
    <t>MH12FL9669</t>
  </si>
  <si>
    <t>Yamaha FZS V3.0</t>
  </si>
  <si>
    <t>ME121C02492014253</t>
  </si>
  <si>
    <t>21C2014164</t>
  </si>
  <si>
    <t>2025-01-05 20:19:59</t>
  </si>
  <si>
    <t>SAURABH GORE</t>
  </si>
  <si>
    <t>MH16BR2877</t>
  </si>
  <si>
    <t>44862</t>
  </si>
  <si>
    <t>DH2WGB30327</t>
  </si>
  <si>
    <t>MD2A11CZXGBW19437</t>
  </si>
  <si>
    <t>2025-01-05 13:05:46</t>
  </si>
  <si>
    <t>Dilip Rathod</t>
  </si>
  <si>
    <t>MH12DX2482</t>
  </si>
  <si>
    <t>27082</t>
  </si>
  <si>
    <t>2025-01-25 19:42:49</t>
  </si>
  <si>
    <t>29443</t>
  </si>
  <si>
    <t>2025-01-05 20:11:15</t>
  </si>
  <si>
    <t>Shaha Sandesh</t>
  </si>
  <si>
    <t>MH12PY0924</t>
  </si>
  <si>
    <t>12813</t>
  </si>
  <si>
    <t>2025-03-15 20:10:06</t>
  </si>
  <si>
    <t>Suraj</t>
  </si>
  <si>
    <t>MH14HS5275</t>
  </si>
  <si>
    <t>21522</t>
  </si>
  <si>
    <t>2025-03-15 19:30:39</t>
  </si>
  <si>
    <t>Sumit Upwanshi</t>
  </si>
  <si>
    <t>MH14EB4034</t>
  </si>
  <si>
    <t>43916</t>
  </si>
  <si>
    <t>2025-01-25 19:10:35</t>
  </si>
  <si>
    <t>Sagar Rode</t>
  </si>
  <si>
    <t>MH12LR4192</t>
  </si>
  <si>
    <t>72361</t>
  </si>
  <si>
    <t>MD2A11CZ3CJ83203</t>
  </si>
  <si>
    <t>DHZCEJ62430</t>
  </si>
  <si>
    <t>2025-01-05 20:10:34</t>
  </si>
  <si>
    <t>Prashant Pande</t>
  </si>
  <si>
    <t>MH43BT4988</t>
  </si>
  <si>
    <t>8427</t>
  </si>
  <si>
    <t>Cheque</t>
  </si>
  <si>
    <t>2025-03-15 19:31:08</t>
  </si>
  <si>
    <t>115127</t>
  </si>
  <si>
    <t>2025-03-15 19:29:34</t>
  </si>
  <si>
    <t xml:space="preserve">Himanshu Maheshwari </t>
  </si>
  <si>
    <t>MH14KM0607</t>
  </si>
  <si>
    <t>Yamaha FZ X</t>
  </si>
  <si>
    <t>9633</t>
  </si>
  <si>
    <t>2025-03-15 19:35:11</t>
  </si>
  <si>
    <t>Avinash Wagh</t>
  </si>
  <si>
    <t>MH14JF4520</t>
  </si>
  <si>
    <t>Bajaj Dominar 250</t>
  </si>
  <si>
    <t>24758</t>
  </si>
  <si>
    <t>2025-03-15 19:36:32</t>
  </si>
  <si>
    <t>SHASHWAT</t>
  </si>
  <si>
    <t>MH19DT6957</t>
  </si>
  <si>
    <t>11359</t>
  </si>
  <si>
    <t>MD626EG58M1C01081</t>
  </si>
  <si>
    <t>GG5CM1901003</t>
  </si>
  <si>
    <t>2025-03-15 19:36:04</t>
  </si>
  <si>
    <t>Mahesh Shroti</t>
  </si>
  <si>
    <t>MH12ND6234</t>
  </si>
  <si>
    <t>12999</t>
  </si>
  <si>
    <t>2025-03-15 19:38:13</t>
  </si>
  <si>
    <t>MH14HJ8150</t>
  </si>
  <si>
    <t>13546</t>
  </si>
  <si>
    <t>ME4JF39HLJU022413</t>
  </si>
  <si>
    <t>2025-01-25 20:57:06</t>
  </si>
  <si>
    <t>Yatish Bhole</t>
  </si>
  <si>
    <t>MH19DR7049</t>
  </si>
  <si>
    <t>7492</t>
  </si>
  <si>
    <t>ME4KC401LLA157078</t>
  </si>
  <si>
    <t>KC40EA0137238</t>
  </si>
  <si>
    <t>2025-03-15 19:32:13</t>
  </si>
  <si>
    <t>SAYALI VIBHUTE</t>
  </si>
  <si>
    <t>MH10DE3724</t>
  </si>
  <si>
    <t>21036</t>
  </si>
  <si>
    <t>2025-01-25 21:02:57</t>
  </si>
  <si>
    <t>Sumit</t>
  </si>
  <si>
    <t>MH14HS5134</t>
  </si>
  <si>
    <t>16220</t>
  </si>
  <si>
    <t>MD626EG40K1F24710</t>
  </si>
  <si>
    <t>DG4FK1012001</t>
  </si>
  <si>
    <t>2025-03-15 20:08:23</t>
  </si>
  <si>
    <t>Harshad Padvi</t>
  </si>
  <si>
    <t>MH39AE7781</t>
  </si>
  <si>
    <t>45110</t>
  </si>
  <si>
    <t>2025-01-25 21:05:01</t>
  </si>
  <si>
    <t>Suraj Patil</t>
  </si>
  <si>
    <t>MH19EF6936</t>
  </si>
  <si>
    <t>16853</t>
  </si>
  <si>
    <t>ME8EL11NKP8102847</t>
  </si>
  <si>
    <t>EJA1244130</t>
  </si>
  <si>
    <t>2025-01-25 21:07:53</t>
  </si>
  <si>
    <t xml:space="preserve">Vishal Suryawanshi </t>
  </si>
  <si>
    <t>MH20GN4116</t>
  </si>
  <si>
    <t>12323</t>
  </si>
  <si>
    <t>ME4KC404FPA013761</t>
  </si>
  <si>
    <t>KC40EA3013885</t>
  </si>
  <si>
    <t>2025-01-25 21:09:29</t>
  </si>
  <si>
    <t>RAGHURAJ</t>
  </si>
  <si>
    <t>MH12HK8203</t>
  </si>
  <si>
    <t>67418</t>
  </si>
  <si>
    <t>MD29HDHZZU0F43933</t>
  </si>
  <si>
    <t>DKGBU59123MD20H01</t>
  </si>
  <si>
    <t>2025-03-15 19:39:04</t>
  </si>
  <si>
    <t xml:space="preserve">RAHUL PARDESHI </t>
  </si>
  <si>
    <t>MH14LG0749</t>
  </si>
  <si>
    <t>15053</t>
  </si>
  <si>
    <t>MB8DP12MR8542537</t>
  </si>
  <si>
    <t>AF214479933</t>
  </si>
  <si>
    <t>2025-01-25 21:12:04</t>
  </si>
  <si>
    <t>AMEYA DHAVALE</t>
  </si>
  <si>
    <t>MH12QJ5833</t>
  </si>
  <si>
    <t>13600</t>
  </si>
  <si>
    <t>MD2A37CZXCWJ08572</t>
  </si>
  <si>
    <t>EG4AJ2X85950</t>
  </si>
  <si>
    <t>2025-01-25 21:00:08</t>
  </si>
  <si>
    <t>Ashish</t>
  </si>
  <si>
    <t>MH12GH3818</t>
  </si>
  <si>
    <t>70600</t>
  </si>
  <si>
    <t>ME4KC09CJAB0044504</t>
  </si>
  <si>
    <t>KC091E6046335</t>
  </si>
  <si>
    <t>2025-01-25 21:15:46</t>
  </si>
  <si>
    <t>Shashank</t>
  </si>
  <si>
    <t>MH12QQ9840</t>
  </si>
  <si>
    <t>34154</t>
  </si>
  <si>
    <t>ME1RG4935J0037</t>
  </si>
  <si>
    <t>G3J3E0279339</t>
  </si>
  <si>
    <t>2025-01-25 21:17:54</t>
  </si>
  <si>
    <t>41136</t>
  </si>
  <si>
    <t>2025-01-23 15:56:11</t>
  </si>
  <si>
    <t xml:space="preserve">Nilesh Patil </t>
  </si>
  <si>
    <t>KA23W505</t>
  </si>
  <si>
    <t>Honda Aviator No Data</t>
  </si>
  <si>
    <t>60784</t>
  </si>
  <si>
    <t>2025-01-25 21:19:19</t>
  </si>
  <si>
    <t>41258</t>
  </si>
  <si>
    <t>2025-01-05 20:18:54</t>
  </si>
  <si>
    <t>18011</t>
  </si>
  <si>
    <t>2025-01-05 20:11:47</t>
  </si>
  <si>
    <t>Getan</t>
  </si>
  <si>
    <t>TN38CV8110</t>
  </si>
  <si>
    <t>41773</t>
  </si>
  <si>
    <t>2025-01-05 20:15:37</t>
  </si>
  <si>
    <t xml:space="preserve">Kirti Kulkarni </t>
  </si>
  <si>
    <t>MH14JY4279</t>
  </si>
  <si>
    <t>5473</t>
  </si>
  <si>
    <t>2025-03-15 20:27:16</t>
  </si>
  <si>
    <t>Saurabh Chandra</t>
  </si>
  <si>
    <t>MH14HP9866</t>
  </si>
  <si>
    <t>TVS NTorq 125</t>
  </si>
  <si>
    <t>19089</t>
  </si>
  <si>
    <t>MD626AG79K2C72382</t>
  </si>
  <si>
    <t>2025-03-15 20:09:12</t>
  </si>
  <si>
    <t>TUSHAR KALE</t>
  </si>
  <si>
    <t>MH22AR8507</t>
  </si>
  <si>
    <t>51025</t>
  </si>
  <si>
    <t>076 ₹</t>
  </si>
  <si>
    <t>ME4JC65AFJT101064</t>
  </si>
  <si>
    <t>JC65ET215741</t>
  </si>
  <si>
    <t>2025-01-25 21:13:34</t>
  </si>
  <si>
    <t>MH14AJ2358</t>
  </si>
  <si>
    <t>60000</t>
  </si>
  <si>
    <t>MD626AW942E08630</t>
  </si>
  <si>
    <t>2025-01-05 20:14:44</t>
  </si>
  <si>
    <t>MH36W1705</t>
  </si>
  <si>
    <t>31617</t>
  </si>
  <si>
    <t>2025-01-05 20:12:18</t>
  </si>
  <si>
    <t>NILESH PATIL</t>
  </si>
  <si>
    <t>MH09FH9273</t>
  </si>
  <si>
    <t>20074</t>
  </si>
  <si>
    <t>2025-01-05 20:09:55</t>
  </si>
  <si>
    <t>Dheeraj Patil</t>
  </si>
  <si>
    <t>MH12KC6349</t>
  </si>
  <si>
    <t>50719</t>
  </si>
  <si>
    <t>ME4JF501FB8332188</t>
  </si>
  <si>
    <t>2025-01-05 20:23:28</t>
  </si>
  <si>
    <t xml:space="preserve">Rohit Waghmare </t>
  </si>
  <si>
    <t>MH14FE9609</t>
  </si>
  <si>
    <t>28000</t>
  </si>
  <si>
    <t>074 ₹</t>
  </si>
  <si>
    <t>8244628</t>
  </si>
  <si>
    <t>82243757</t>
  </si>
  <si>
    <t>2025-01-05 20:20:33</t>
  </si>
  <si>
    <t>29757</t>
  </si>
  <si>
    <t>2025-01-05 20:22:04</t>
  </si>
  <si>
    <t>MH12SM9220</t>
  </si>
  <si>
    <t>Hero Duet No Data</t>
  </si>
  <si>
    <t>14104</t>
  </si>
  <si>
    <t>2025-01-05 20:24:55</t>
  </si>
  <si>
    <t>MH12TW6957</t>
  </si>
  <si>
    <t>Bajaj Pulsar 125 NS</t>
  </si>
  <si>
    <t>26792</t>
  </si>
  <si>
    <t>2025-01-05 20:45:35</t>
  </si>
  <si>
    <t>PRANAV KARHALE</t>
  </si>
  <si>
    <t>MH26AX3567</t>
  </si>
  <si>
    <t>27182</t>
  </si>
  <si>
    <t>MBLJ33AAG4A12G36</t>
  </si>
  <si>
    <t>JF33AAG415326</t>
  </si>
  <si>
    <t>2025-01-05 20:59:42</t>
  </si>
  <si>
    <t>SAHIL</t>
  </si>
  <si>
    <t>MH15HJ2459</t>
  </si>
  <si>
    <t>31027</t>
  </si>
  <si>
    <t>2025-01-06 18:39:35</t>
  </si>
  <si>
    <t xml:space="preserve">ARVIND PANDEY </t>
  </si>
  <si>
    <t>MH14JV3260</t>
  </si>
  <si>
    <t>Hero Splendor Super New</t>
  </si>
  <si>
    <t>75336</t>
  </si>
  <si>
    <t>MBLJAW171MB00869</t>
  </si>
  <si>
    <t>JA07ABM9B05359</t>
  </si>
  <si>
    <t>2025-01-08 20:28:57</t>
  </si>
  <si>
    <t>MOHAMMAD ZAID</t>
  </si>
  <si>
    <t>MH40BY8505</t>
  </si>
  <si>
    <t>11740</t>
  </si>
  <si>
    <t>2025-01-06 18:47:45</t>
  </si>
  <si>
    <t>Bala</t>
  </si>
  <si>
    <t>MH14GT5699</t>
  </si>
  <si>
    <t>23531</t>
  </si>
  <si>
    <t>2025-01-06 18:48:01</t>
  </si>
  <si>
    <t>Neeta Ahire</t>
  </si>
  <si>
    <t>MH14EL3111</t>
  </si>
  <si>
    <t>16882</t>
  </si>
  <si>
    <t>ME4JF215EE8J45590</t>
  </si>
  <si>
    <t>2025-01-06 18:46:18</t>
  </si>
  <si>
    <t xml:space="preserve">Ashwini Patil </t>
  </si>
  <si>
    <t>MH32X6154</t>
  </si>
  <si>
    <t>21092</t>
  </si>
  <si>
    <t>JF50E80378614</t>
  </si>
  <si>
    <t>2025-01-06 19:42:56</t>
  </si>
  <si>
    <t xml:space="preserve">Sammed Patil </t>
  </si>
  <si>
    <t>MH09FF2407</t>
  </si>
  <si>
    <t>29049</t>
  </si>
  <si>
    <t>2025-01-06 19:51:36</t>
  </si>
  <si>
    <t>VIPUL SINGH</t>
  </si>
  <si>
    <t>MH12QN1354</t>
  </si>
  <si>
    <t>64671</t>
  </si>
  <si>
    <t>MD2A36FY7JCB38143</t>
  </si>
  <si>
    <t>JLYCJB3580</t>
  </si>
  <si>
    <t>2025-05-15 11:18:55</t>
  </si>
  <si>
    <t>Vaibhav Malviya</t>
  </si>
  <si>
    <t>MH14KL6395</t>
  </si>
  <si>
    <t>16765</t>
  </si>
  <si>
    <t>2025-04-16 10:42:57</t>
  </si>
  <si>
    <t>Kunal Kamgale</t>
  </si>
  <si>
    <t>MH13DZ2926</t>
  </si>
  <si>
    <t>Suzuki Gixxer 250 SF</t>
  </si>
  <si>
    <t>17400</t>
  </si>
  <si>
    <t>0192 ₹</t>
  </si>
  <si>
    <t>MB8ED22JHN8105352</t>
  </si>
  <si>
    <t>EJA1162198</t>
  </si>
  <si>
    <t>2025-03-16 19:26:07</t>
  </si>
  <si>
    <t>Dhiraj</t>
  </si>
  <si>
    <t>MH12MH8784</t>
  </si>
  <si>
    <t>34070</t>
  </si>
  <si>
    <t>2025-01-06 19:42:42</t>
  </si>
  <si>
    <t>MH27BR3694</t>
  </si>
  <si>
    <t>36747</t>
  </si>
  <si>
    <t>ME4JC713EGT015651</t>
  </si>
  <si>
    <t>JC71ET0187349</t>
  </si>
  <si>
    <t>2025-05-30 12:41:36</t>
  </si>
  <si>
    <t>AMIT DAPKE</t>
  </si>
  <si>
    <t>MH14FY3450</t>
  </si>
  <si>
    <t>33407</t>
  </si>
  <si>
    <t>2024-10-09 13:23:18</t>
  </si>
  <si>
    <t>PUNIT PATIL</t>
  </si>
  <si>
    <t>MH12NG6585</t>
  </si>
  <si>
    <t>46494</t>
  </si>
  <si>
    <t>ME1RG072660221884</t>
  </si>
  <si>
    <t>63C8E0338466</t>
  </si>
  <si>
    <t>2025-07-10 18:41:07</t>
  </si>
  <si>
    <t xml:space="preserve">Krunal </t>
  </si>
  <si>
    <t>MH12LB6913</t>
  </si>
  <si>
    <t>26299</t>
  </si>
  <si>
    <t>ME4JF502EE7059022</t>
  </si>
  <si>
    <t>JF50E71059038</t>
  </si>
  <si>
    <t>2025-01-08 23:03:59</t>
  </si>
  <si>
    <t>BHAGYASHREE JAMKHEDKAR</t>
  </si>
  <si>
    <t>MH14HV3101</t>
  </si>
  <si>
    <t>14425</t>
  </si>
  <si>
    <t>M449M3224315</t>
  </si>
  <si>
    <t>MET000NAYG004070</t>
  </si>
  <si>
    <t>2025-01-08 11:20:19</t>
  </si>
  <si>
    <t>MUNNA KAKARE</t>
  </si>
  <si>
    <t>MH12TL5051</t>
  </si>
  <si>
    <t>24671</t>
  </si>
  <si>
    <t>2025-01-08 20:37:57</t>
  </si>
  <si>
    <t>48470</t>
  </si>
  <si>
    <t>098 ₹</t>
  </si>
  <si>
    <t>2025-01-27 18:08:53</t>
  </si>
  <si>
    <t>Harshal Pandit</t>
  </si>
  <si>
    <t>MH17AL6435</t>
  </si>
  <si>
    <t>00171</t>
  </si>
  <si>
    <t>ME154B0X42D7187</t>
  </si>
  <si>
    <t>54B1017203</t>
  </si>
  <si>
    <t>2025-01-09 20:26:10</t>
  </si>
  <si>
    <t>MH12FX5223</t>
  </si>
  <si>
    <t>42604</t>
  </si>
  <si>
    <t>MB4KC093CA8137648</t>
  </si>
  <si>
    <t>KC09EH1138883</t>
  </si>
  <si>
    <t>2025-01-08 19:01:48</t>
  </si>
  <si>
    <t>Ramesh Jadhav</t>
  </si>
  <si>
    <t>MH14EW1373</t>
  </si>
  <si>
    <t>26561</t>
  </si>
  <si>
    <t>MBLHA10BFE9M08342</t>
  </si>
  <si>
    <t>2025-03-16 19:23:04</t>
  </si>
  <si>
    <t xml:space="preserve">Ashish </t>
  </si>
  <si>
    <t>MH14BA943</t>
  </si>
  <si>
    <t>54942</t>
  </si>
  <si>
    <t>2025-01-27 18:17:20</t>
  </si>
  <si>
    <t>ABHISHEK</t>
  </si>
  <si>
    <t>KA51EU6820</t>
  </si>
  <si>
    <t>42014</t>
  </si>
  <si>
    <t>MD2A13EZ0GCF20831</t>
  </si>
  <si>
    <t>DKZCGF37556</t>
  </si>
  <si>
    <t>2025-01-27 18:12:21</t>
  </si>
  <si>
    <t>Piyush Deshmukh</t>
  </si>
  <si>
    <t>MH31DD5796</t>
  </si>
  <si>
    <t>6449</t>
  </si>
  <si>
    <t>MBLJF16EGA08104</t>
  </si>
  <si>
    <t>JF16EA9GM14413</t>
  </si>
  <si>
    <t>2025-03-16 19:23:50</t>
  </si>
  <si>
    <t>Pravin Kakade</t>
  </si>
  <si>
    <t>MH14GJ4609</t>
  </si>
  <si>
    <t>11063</t>
  </si>
  <si>
    <t>ME4JF507EHU257763</t>
  </si>
  <si>
    <t>JF50EU5257882</t>
  </si>
  <si>
    <t>2025-03-16 19:29:47</t>
  </si>
  <si>
    <t>Sumedh</t>
  </si>
  <si>
    <t>MH12RG4235</t>
  </si>
  <si>
    <t>10456</t>
  </si>
  <si>
    <t>2025-03-16 19:28:53</t>
  </si>
  <si>
    <t>Ruturaj</t>
  </si>
  <si>
    <t>MH14GF8461</t>
  </si>
  <si>
    <t>32552</t>
  </si>
  <si>
    <t>M8DP11ADH8389275</t>
  </si>
  <si>
    <t>AF211282135</t>
  </si>
  <si>
    <t>2025-03-16 19:25:12</t>
  </si>
  <si>
    <t>38429</t>
  </si>
  <si>
    <t>2025-01-27 18:14:13</t>
  </si>
  <si>
    <t>Shubham Mangale</t>
  </si>
  <si>
    <t>MH14DB4826</t>
  </si>
  <si>
    <t>Hero Splendor No Data</t>
  </si>
  <si>
    <t>60001</t>
  </si>
  <si>
    <t>MBLHA10EZBHK00502</t>
  </si>
  <si>
    <t>HA10EFB11K00457</t>
  </si>
  <si>
    <t>2025-03-16 19:28:13</t>
  </si>
  <si>
    <t>Kevendra Pundhir</t>
  </si>
  <si>
    <t>MH14GF6204</t>
  </si>
  <si>
    <t>9999</t>
  </si>
  <si>
    <t>ME4JF507D4U120272</t>
  </si>
  <si>
    <t>JF50EU5120331</t>
  </si>
  <si>
    <t>2025-03-16 19:27:50</t>
  </si>
  <si>
    <t>Abhijit Tilekar</t>
  </si>
  <si>
    <t>MH12UL3197</t>
  </si>
  <si>
    <t>23143</t>
  </si>
  <si>
    <t>2025-01-27 18:21:29</t>
  </si>
  <si>
    <t>MH09EA7532</t>
  </si>
  <si>
    <t>Honda Dio No Data</t>
  </si>
  <si>
    <t>17657</t>
  </si>
  <si>
    <t>ME4JF394JF702597</t>
  </si>
  <si>
    <t>JF35E722654</t>
  </si>
  <si>
    <t>2025-03-16 19:31:03</t>
  </si>
  <si>
    <t>YADNESH</t>
  </si>
  <si>
    <t>MH30BM8370</t>
  </si>
  <si>
    <t>23257</t>
  </si>
  <si>
    <t>ME4JC856MLG048160</t>
  </si>
  <si>
    <t>JC85EG0195639</t>
  </si>
  <si>
    <t>2025-03-16 19:31:58</t>
  </si>
  <si>
    <t xml:space="preserve">Rishikesh </t>
  </si>
  <si>
    <t>MH12QS2072</t>
  </si>
  <si>
    <t>30145</t>
  </si>
  <si>
    <t>ME1RG4217J0041493</t>
  </si>
  <si>
    <t>G3H7E0065061</t>
  </si>
  <si>
    <t>2025-03-16 19:27:01</t>
  </si>
  <si>
    <t>Yadav</t>
  </si>
  <si>
    <t>MH14EV5910</t>
  </si>
  <si>
    <t>13375</t>
  </si>
  <si>
    <t>2025-01-27 18:27:07</t>
  </si>
  <si>
    <t xml:space="preserve">Imran </t>
  </si>
  <si>
    <t>MH14JZ8159</t>
  </si>
  <si>
    <t>Suzuki Avenis 125</t>
  </si>
  <si>
    <t>27191</t>
  </si>
  <si>
    <t>ME8EA12ACN8121713</t>
  </si>
  <si>
    <t>AF212784851</t>
  </si>
  <si>
    <t>2025-03-16 19:31:26</t>
  </si>
  <si>
    <t>Prathamesh Chavan</t>
  </si>
  <si>
    <t>MH14FF7514</t>
  </si>
  <si>
    <t>KTM DUKE 200</t>
  </si>
  <si>
    <t>02169</t>
  </si>
  <si>
    <t>2025-03-16 20:03:51</t>
  </si>
  <si>
    <t>VARUNA GOEL</t>
  </si>
  <si>
    <t>MH14EB7046</t>
  </si>
  <si>
    <t>22728</t>
  </si>
  <si>
    <t>2024-09-04 20:56:52</t>
  </si>
  <si>
    <t xml:space="preserve">Prasad Bairagi </t>
  </si>
  <si>
    <t>MH15HF4568</t>
  </si>
  <si>
    <t>17431</t>
  </si>
  <si>
    <t>MD626CG53L1H25617</t>
  </si>
  <si>
    <t>DG5HL1104747</t>
  </si>
  <si>
    <t>2025-03-16 20:35:19</t>
  </si>
  <si>
    <t>Prashant Jangam</t>
  </si>
  <si>
    <t>MH11CR2729</t>
  </si>
  <si>
    <t>34595</t>
  </si>
  <si>
    <t>2025-01-27 18:25:37</t>
  </si>
  <si>
    <t xml:space="preserve">Prateek </t>
  </si>
  <si>
    <t>MH12LW8029</t>
  </si>
  <si>
    <t>73932</t>
  </si>
  <si>
    <t>ME4JF504CFT192352</t>
  </si>
  <si>
    <t>JF50ET2193371</t>
  </si>
  <si>
    <t>2025-01-27 18:30:58</t>
  </si>
  <si>
    <t>Vaidya</t>
  </si>
  <si>
    <t>MH12KS9233</t>
  </si>
  <si>
    <t>12109</t>
  </si>
  <si>
    <t>ME4JF501AE7536861861</t>
  </si>
  <si>
    <t>JF50E7053833</t>
  </si>
  <si>
    <t>2025-01-27 18:34:40</t>
  </si>
  <si>
    <t>Manoj Bhanage</t>
  </si>
  <si>
    <t>MH14CY5613</t>
  </si>
  <si>
    <t>35434</t>
  </si>
  <si>
    <t>ME4KC096GB8128257</t>
  </si>
  <si>
    <t>KC0981632968</t>
  </si>
  <si>
    <t>2025-01-27 18:56:06</t>
  </si>
  <si>
    <t>Vikas Chauhan</t>
  </si>
  <si>
    <t>MH14GQ1756</t>
  </si>
  <si>
    <t>31910</t>
  </si>
  <si>
    <t>ME45F507KHT2F9374</t>
  </si>
  <si>
    <t>JF50ET5760093</t>
  </si>
  <si>
    <t>2025-01-08 20:26:48</t>
  </si>
  <si>
    <t>NAVNATH</t>
  </si>
  <si>
    <t>MH17CE0499</t>
  </si>
  <si>
    <t>90874</t>
  </si>
  <si>
    <t>2025-03-16 20:38:58</t>
  </si>
  <si>
    <t>MH40BX7990</t>
  </si>
  <si>
    <t>34229</t>
  </si>
  <si>
    <t>ME4JF922HKG061704</t>
  </si>
  <si>
    <t>JF92EG006138</t>
  </si>
  <si>
    <t>2025-01-08 19:05:04</t>
  </si>
  <si>
    <t xml:space="preserve">Vivek </t>
  </si>
  <si>
    <t>MH14FP6536</t>
  </si>
  <si>
    <t>30710</t>
  </si>
  <si>
    <t>ME45F50GT314980</t>
  </si>
  <si>
    <t>JF503315357</t>
  </si>
  <si>
    <t>2025-03-16 20:39:49</t>
  </si>
  <si>
    <t>Sangram Sathe</t>
  </si>
  <si>
    <t>MH14HP9561</t>
  </si>
  <si>
    <t>45870</t>
  </si>
  <si>
    <t>ME4JF50BEW008206</t>
  </si>
  <si>
    <t>2025-01-08 19:04:30</t>
  </si>
  <si>
    <t>AMIT SINGH</t>
  </si>
  <si>
    <t>MH12KS3717</t>
  </si>
  <si>
    <t>28712</t>
  </si>
  <si>
    <t>ME4JF501MD8656411</t>
  </si>
  <si>
    <t>JF50E80655329</t>
  </si>
  <si>
    <t>2025-01-08 20:37:06</t>
  </si>
  <si>
    <t>NAVIN</t>
  </si>
  <si>
    <t>KA36W0987</t>
  </si>
  <si>
    <t>Bajaj Pulsar 150 AS</t>
  </si>
  <si>
    <t>59827</t>
  </si>
  <si>
    <t>JEZCFE33385</t>
  </si>
  <si>
    <t>2025-01-08 20:35:38</t>
  </si>
  <si>
    <t xml:space="preserve">Gaurav Kaple </t>
  </si>
  <si>
    <t>MH14KK2266</t>
  </si>
  <si>
    <t>19632</t>
  </si>
  <si>
    <t>MB8DP12DJN8D05942</t>
  </si>
  <si>
    <t>AF212937433</t>
  </si>
  <si>
    <t>2025-01-09 20:20:55</t>
  </si>
  <si>
    <t xml:space="preserve">Ajay Choudhary </t>
  </si>
  <si>
    <t>MH31DQ9816</t>
  </si>
  <si>
    <t>20664</t>
  </si>
  <si>
    <t>2025-07-10 20:36:37</t>
  </si>
  <si>
    <t>GITANJALI KURHEKAR</t>
  </si>
  <si>
    <t>MH12RG7136</t>
  </si>
  <si>
    <t>24883</t>
  </si>
  <si>
    <t>MB8DP11AK8B25959</t>
  </si>
  <si>
    <t>AF211920104</t>
  </si>
  <si>
    <t>2025-07-10 20:37:21</t>
  </si>
  <si>
    <t xml:space="preserve">SHANTANU  PATIL </t>
  </si>
  <si>
    <t>MH09CC9671</t>
  </si>
  <si>
    <t>19580</t>
  </si>
  <si>
    <t>NE4JC446</t>
  </si>
  <si>
    <t>JC44E5067845</t>
  </si>
  <si>
    <t>2025-01-08 20:26:02</t>
  </si>
  <si>
    <t>SHINDE</t>
  </si>
  <si>
    <t>MH38AC4101</t>
  </si>
  <si>
    <t>18631</t>
  </si>
  <si>
    <t>2025-07-10 20:38:28</t>
  </si>
  <si>
    <t xml:space="preserve">Nikhil </t>
  </si>
  <si>
    <t>MH12QP7323</t>
  </si>
  <si>
    <t>27800</t>
  </si>
  <si>
    <t>ME1RG442AHD104382</t>
  </si>
  <si>
    <t>G3J3E0159424</t>
  </si>
  <si>
    <t>2025-07-10 20:39:09</t>
  </si>
  <si>
    <t>23918</t>
  </si>
  <si>
    <t>2025-01-08 19:02:34</t>
  </si>
  <si>
    <t>MH05EK5273</t>
  </si>
  <si>
    <t>17583</t>
  </si>
  <si>
    <t>2025-07-10 20:37:39</t>
  </si>
  <si>
    <t xml:space="preserve">Laxmikant </t>
  </si>
  <si>
    <t>MH12QD6958</t>
  </si>
  <si>
    <t xml:space="preserve">Royal Enfield Himalayan </t>
  </si>
  <si>
    <t>17803</t>
  </si>
  <si>
    <t>2025-01-09 20:25:06</t>
  </si>
  <si>
    <t>SHANKAR RATHOD</t>
  </si>
  <si>
    <t>MH14FJ7588</t>
  </si>
  <si>
    <t>82032</t>
  </si>
  <si>
    <t>ME4JF506AGT0991809</t>
  </si>
  <si>
    <t>JF50ET092048</t>
  </si>
  <si>
    <t>2025-02-19 20:02:27</t>
  </si>
  <si>
    <t>MH14HP7199</t>
  </si>
  <si>
    <t>20989</t>
  </si>
  <si>
    <t>MD626EG4X1D21680</t>
  </si>
  <si>
    <t>EGDK1115922</t>
  </si>
  <si>
    <t>2025-02-19 19:31:28</t>
  </si>
  <si>
    <t xml:space="preserve">Pramod </t>
  </si>
  <si>
    <t>MH14FB3064</t>
  </si>
  <si>
    <t>51832</t>
  </si>
  <si>
    <t>MBLHA10BEFHH01146</t>
  </si>
  <si>
    <t>HA10ERFHA1313</t>
  </si>
  <si>
    <t>2025-07-10 20:37:58</t>
  </si>
  <si>
    <t xml:space="preserve">Kalpesh Upasani </t>
  </si>
  <si>
    <t>MH14GF9365</t>
  </si>
  <si>
    <t>18143</t>
  </si>
  <si>
    <t>ME4JF5070CHU078457</t>
  </si>
  <si>
    <t>JF50EU5078516</t>
  </si>
  <si>
    <t>2025-07-10 20:39:57</t>
  </si>
  <si>
    <t>ANKIT PATIL</t>
  </si>
  <si>
    <t>MH29AU9595</t>
  </si>
  <si>
    <t>52745</t>
  </si>
  <si>
    <t>2025-02-19 19:32:14</t>
  </si>
  <si>
    <t>43173</t>
  </si>
  <si>
    <t>2025-02-19 19:32:35</t>
  </si>
  <si>
    <t>Yogesh Thakur</t>
  </si>
  <si>
    <t>MH14FB7036</t>
  </si>
  <si>
    <t>73776</t>
  </si>
  <si>
    <t>ME4JC651GFT054143</t>
  </si>
  <si>
    <t>JC65ET0077434</t>
  </si>
  <si>
    <t>2025-02-19 19:34:17</t>
  </si>
  <si>
    <t xml:space="preserve">Megha Joshi </t>
  </si>
  <si>
    <t>MH14CH1403</t>
  </si>
  <si>
    <t>Hero Pleasure No Data</t>
  </si>
  <si>
    <t>MBLJF16EEAGJE3056</t>
  </si>
  <si>
    <t>JF16EBHGJ14439</t>
  </si>
  <si>
    <t>2025-02-19 19:35:48</t>
  </si>
  <si>
    <t>209 ₹</t>
  </si>
  <si>
    <t>2025-02-19 20:04:10</t>
  </si>
  <si>
    <t xml:space="preserve">Dattatray </t>
  </si>
  <si>
    <t>MH14AT8161</t>
  </si>
  <si>
    <t>Bajaj Discover 135</t>
  </si>
  <si>
    <t>97506</t>
  </si>
  <si>
    <t>2025-02-19 20:27:57</t>
  </si>
  <si>
    <t xml:space="preserve">RENU </t>
  </si>
  <si>
    <t>MH14JZ1780</t>
  </si>
  <si>
    <t>19012</t>
  </si>
  <si>
    <t>041 ₹</t>
  </si>
  <si>
    <t>2025-01-09 20:16:08</t>
  </si>
  <si>
    <t>SHREEKANT PUJARI</t>
  </si>
  <si>
    <t>MH14FL8228</t>
  </si>
  <si>
    <t>17157</t>
  </si>
  <si>
    <t>2025-01-09 20:20:01</t>
  </si>
  <si>
    <t>SAGAR MANE</t>
  </si>
  <si>
    <t>MH16BL7499</t>
  </si>
  <si>
    <t>58109</t>
  </si>
  <si>
    <t>2025-01-09 20:19:00</t>
  </si>
  <si>
    <t>Sachin Aher</t>
  </si>
  <si>
    <t>MH02CC7716</t>
  </si>
  <si>
    <t>39914</t>
  </si>
  <si>
    <t>MB8C84CAAB8167209</t>
  </si>
  <si>
    <t>2025-01-09 20:24:35</t>
  </si>
  <si>
    <t>SMITH PATEL</t>
  </si>
  <si>
    <t>MH04FG1201</t>
  </si>
  <si>
    <t>40218</t>
  </si>
  <si>
    <t>2025-01-09 20:21:34</t>
  </si>
  <si>
    <t>MH14FJ0624</t>
  </si>
  <si>
    <t>19054</t>
  </si>
  <si>
    <t xml:space="preserve">ME4JF49 RUSTY FRAME </t>
  </si>
  <si>
    <t>JF49E81099918</t>
  </si>
  <si>
    <t>2025-01-09 20:22:53</t>
  </si>
  <si>
    <t>2025-01-09 20:23:29</t>
  </si>
  <si>
    <t xml:space="preserve">GAURAV </t>
  </si>
  <si>
    <t>MH12QK8110</t>
  </si>
  <si>
    <t>36257</t>
  </si>
  <si>
    <t>ME4JF5050ADJU058556</t>
  </si>
  <si>
    <t>JF50E47058590</t>
  </si>
  <si>
    <t>2025-01-09 20:24:12</t>
  </si>
  <si>
    <t>KAUSTUBH JOSHI</t>
  </si>
  <si>
    <t>MH14GP6843</t>
  </si>
  <si>
    <t>16635</t>
  </si>
  <si>
    <t>099 ₹</t>
  </si>
  <si>
    <t>ME4JF507KHU653187</t>
  </si>
  <si>
    <t>JF50EU563217</t>
  </si>
  <si>
    <t>2025-01-10 20:23:06</t>
  </si>
  <si>
    <t>Sumant Sharma</t>
  </si>
  <si>
    <t>MH27AH3398</t>
  </si>
  <si>
    <t>82666</t>
  </si>
  <si>
    <t>KC09E1052494</t>
  </si>
  <si>
    <t>2025-01-11 19:52:03</t>
  </si>
  <si>
    <t>DANISH SHAIKH</t>
  </si>
  <si>
    <t>MH12QH1031</t>
  </si>
  <si>
    <t>027823</t>
  </si>
  <si>
    <t>2025-01-10 20:22:29</t>
  </si>
  <si>
    <t xml:space="preserve">Harshal Jadhav </t>
  </si>
  <si>
    <t>MH12UD7465</t>
  </si>
  <si>
    <t>09161</t>
  </si>
  <si>
    <t>2025-05-15 18:46:31</t>
  </si>
  <si>
    <t>MH14JQ0621</t>
  </si>
  <si>
    <t>Honda SP 125 Drum</t>
  </si>
  <si>
    <t>29856</t>
  </si>
  <si>
    <t>ME4JC832BMG1358</t>
  </si>
  <si>
    <t>JC83EG0340289</t>
  </si>
  <si>
    <t>2025-01-10 20:24:18</t>
  </si>
  <si>
    <t>Bhupesh Patil</t>
  </si>
  <si>
    <t>MH12RS3224</t>
  </si>
  <si>
    <t>Suzuki Gixxer No Data</t>
  </si>
  <si>
    <t>18917</t>
  </si>
  <si>
    <t>2025-02-19 19:31:55</t>
  </si>
  <si>
    <t>AMOL JADHAV</t>
  </si>
  <si>
    <t>MH10CG4525</t>
  </si>
  <si>
    <t>8731</t>
  </si>
  <si>
    <t>ME4JF505DGU060952</t>
  </si>
  <si>
    <t>JF50EU3060877</t>
  </si>
  <si>
    <t>2025-05-15 18:49:22</t>
  </si>
  <si>
    <t>Gajanan Salunke</t>
  </si>
  <si>
    <t>MH14GK9592</t>
  </si>
  <si>
    <t>38327</t>
  </si>
  <si>
    <t>ME1RG442840056705</t>
  </si>
  <si>
    <t>2025-05-15 18:45:15</t>
  </si>
  <si>
    <t xml:space="preserve">AMRUTA </t>
  </si>
  <si>
    <t>MH12KF2553</t>
  </si>
  <si>
    <t>33519</t>
  </si>
  <si>
    <t>2025-01-10 20:21:45</t>
  </si>
  <si>
    <t>Yogesh Mokashi</t>
  </si>
  <si>
    <t>MH14FQ3054</t>
  </si>
  <si>
    <t>16891</t>
  </si>
  <si>
    <t>MEHJFH93E08132085</t>
  </si>
  <si>
    <t>JFH9E81222327</t>
  </si>
  <si>
    <t>2025-05-15 18:47:50</t>
  </si>
  <si>
    <t>GIRISH SATAV</t>
  </si>
  <si>
    <t>MH12EZ3207</t>
  </si>
  <si>
    <t>60908</t>
  </si>
  <si>
    <t>0200 ₹</t>
  </si>
  <si>
    <t>2025-05-15 18:49:48</t>
  </si>
  <si>
    <t>Rishi</t>
  </si>
  <si>
    <t>MH14JT6624</t>
  </si>
  <si>
    <t>18973</t>
  </si>
  <si>
    <t>MB8DP1ZDKM8892889</t>
  </si>
  <si>
    <t>AE21684743</t>
  </si>
  <si>
    <t>2025-01-10 20:47:39</t>
  </si>
  <si>
    <t>Raj Munot</t>
  </si>
  <si>
    <t>MH14HS8236</t>
  </si>
  <si>
    <t>44214</t>
  </si>
  <si>
    <t>62 ₹</t>
  </si>
  <si>
    <t>2025-02-20 19:14:01</t>
  </si>
  <si>
    <t>Amitesh</t>
  </si>
  <si>
    <t>MH14CQ4830</t>
  </si>
  <si>
    <t>72743</t>
  </si>
  <si>
    <t>ME4KC09CAB8074490</t>
  </si>
  <si>
    <t>KC09E6077300</t>
  </si>
  <si>
    <t>2025-01-11 20:00:12</t>
  </si>
  <si>
    <t xml:space="preserve">Atharva </t>
  </si>
  <si>
    <t>MH13CW9501</t>
  </si>
  <si>
    <t>2690</t>
  </si>
  <si>
    <t>2025-01-10 20:21:00</t>
  </si>
  <si>
    <t>Malay Vaishnav</t>
  </si>
  <si>
    <t>MH12QK6885</t>
  </si>
  <si>
    <t>4027</t>
  </si>
  <si>
    <t>md626e642j3c10821</t>
  </si>
  <si>
    <t>2025-03-17 19:41:20</t>
  </si>
  <si>
    <t>Bhawarlal</t>
  </si>
  <si>
    <t>MH12GL4188</t>
  </si>
  <si>
    <t>43541</t>
  </si>
  <si>
    <t>341 ₹</t>
  </si>
  <si>
    <t>MBLHA10EYAHK12493</t>
  </si>
  <si>
    <t>HA10EFAHK57930</t>
  </si>
  <si>
    <t>2025-06-01 20:30:44</t>
  </si>
  <si>
    <t>RAHUL SARSAMKAR</t>
  </si>
  <si>
    <t>MH14GV9605</t>
  </si>
  <si>
    <t>14531</t>
  </si>
  <si>
    <t>2025-02-20 19:11:37</t>
  </si>
  <si>
    <t>Kuldeep Sharma</t>
  </si>
  <si>
    <t>MH14CA0851</t>
  </si>
  <si>
    <t>1545</t>
  </si>
  <si>
    <t>MD2DHDHZZ5CL27030</t>
  </si>
  <si>
    <t>2025-02-20 19:13:15</t>
  </si>
  <si>
    <t xml:space="preserve">Pranay </t>
  </si>
  <si>
    <t>MH14HY3851</t>
  </si>
  <si>
    <t>10563</t>
  </si>
  <si>
    <t>2025-01-11 19:48:13</t>
  </si>
  <si>
    <t>043190</t>
  </si>
  <si>
    <t>2025-02-20 19:12:22</t>
  </si>
  <si>
    <t xml:space="preserve">SHUBHAM VAIDYA </t>
  </si>
  <si>
    <t>MH44R5658</t>
  </si>
  <si>
    <t>27658</t>
  </si>
  <si>
    <t>ME4JF507HH7291501</t>
  </si>
  <si>
    <t>JF50E75291131</t>
  </si>
  <si>
    <t>2025-05-15 20:39:35</t>
  </si>
  <si>
    <t>MAHENDRA</t>
  </si>
  <si>
    <t>MH12UT8465</t>
  </si>
  <si>
    <t>10517</t>
  </si>
  <si>
    <t>080 ₹</t>
  </si>
  <si>
    <t>2025-01-11 19:50:49</t>
  </si>
  <si>
    <t>Aayush</t>
  </si>
  <si>
    <t>MH19DK3617</t>
  </si>
  <si>
    <t>Honda Dream Yuga No Data</t>
  </si>
  <si>
    <t>031991</t>
  </si>
  <si>
    <t>ME4JC58FCKY06561</t>
  </si>
  <si>
    <t>JC58ET7114866</t>
  </si>
  <si>
    <t>2025-05-15 20:38:57</t>
  </si>
  <si>
    <t>RAMESH</t>
  </si>
  <si>
    <t>MH12DL8117</t>
  </si>
  <si>
    <t>048 ₹</t>
  </si>
  <si>
    <t>2025-01-11 19:56:40</t>
  </si>
  <si>
    <t xml:space="preserve">Amey </t>
  </si>
  <si>
    <t>MH14JN0887</t>
  </si>
  <si>
    <t>014015</t>
  </si>
  <si>
    <t>ME1RG671BL0052645</t>
  </si>
  <si>
    <t>G3N460076805</t>
  </si>
  <si>
    <t>2025-01-11 20:01:11</t>
  </si>
  <si>
    <t>Bhushan Narkhede</t>
  </si>
  <si>
    <t>MH21AA7147</t>
  </si>
  <si>
    <t>95825</t>
  </si>
  <si>
    <t>MD2DHDHZZTCF10362</t>
  </si>
  <si>
    <t>DHGBTF98682</t>
  </si>
  <si>
    <t>2025-01-11 19:52:53</t>
  </si>
  <si>
    <t>YOGESH</t>
  </si>
  <si>
    <t>MH26BH5645</t>
  </si>
  <si>
    <t>012713</t>
  </si>
  <si>
    <t>2025-01-11 19:54:15</t>
  </si>
  <si>
    <t>PRANAV</t>
  </si>
  <si>
    <t>MH12PK3521</t>
  </si>
  <si>
    <t>37801</t>
  </si>
  <si>
    <t>2025-01-11 19:54:47</t>
  </si>
  <si>
    <t>ABHISHEK SANGWAI</t>
  </si>
  <si>
    <t>MH27BM1665</t>
  </si>
  <si>
    <t>023754</t>
  </si>
  <si>
    <t>2025-02-20 19:09:51</t>
  </si>
  <si>
    <t>ADITYA SHEJAL</t>
  </si>
  <si>
    <t>MH14JS6218</t>
  </si>
  <si>
    <t>32123</t>
  </si>
  <si>
    <t>ME1RG6719MDD80836</t>
  </si>
  <si>
    <t>G3N460127194</t>
  </si>
  <si>
    <t>2025-05-15 20:40:11</t>
  </si>
  <si>
    <t>SHUBHAM UBLE</t>
  </si>
  <si>
    <t>MH20DU6275</t>
  </si>
  <si>
    <t>MD2A11CZIPW0818</t>
  </si>
  <si>
    <t>X</t>
  </si>
  <si>
    <t>2025-01-11 19:58:06</t>
  </si>
  <si>
    <t>Niranjan Satpute</t>
  </si>
  <si>
    <t>MH17CA2087</t>
  </si>
  <si>
    <t>019311</t>
  </si>
  <si>
    <t>MD626EG42H3443066</t>
  </si>
  <si>
    <t>2025-01-11 20:02:29</t>
  </si>
  <si>
    <t>MH12DH1522</t>
  </si>
  <si>
    <t>082470</t>
  </si>
  <si>
    <t>2025-01-11 21:04:36</t>
  </si>
  <si>
    <t>SAURABH MISHRA</t>
  </si>
  <si>
    <t>OR02BB2077</t>
  </si>
  <si>
    <t>042285</t>
  </si>
  <si>
    <t>0100 ₹</t>
  </si>
  <si>
    <t>2025-01-11 21:03:19</t>
  </si>
  <si>
    <t>Anil Waghmode</t>
  </si>
  <si>
    <t>MH12PY6879</t>
  </si>
  <si>
    <t>95605</t>
  </si>
  <si>
    <t>ME4JC735AJT117320</t>
  </si>
  <si>
    <t>JC73ET1283105</t>
  </si>
  <si>
    <t>2025-01-11 19:57:39</t>
  </si>
  <si>
    <t>Ravindra Shelke</t>
  </si>
  <si>
    <t>MH12LX8222</t>
  </si>
  <si>
    <t>02155</t>
  </si>
  <si>
    <t>MB8NG4BAAF8135081</t>
  </si>
  <si>
    <t>BGA1132230</t>
  </si>
  <si>
    <t>2025-04-16 10:38:50</t>
  </si>
  <si>
    <t xml:space="preserve">SAURAV JAISWAL </t>
  </si>
  <si>
    <t>MH14FQ1179</t>
  </si>
  <si>
    <t>37303</t>
  </si>
  <si>
    <t>2025-04-16 10:41:43</t>
  </si>
  <si>
    <t>Kedar</t>
  </si>
  <si>
    <t>MH23BA2765</t>
  </si>
  <si>
    <t>29035</t>
  </si>
  <si>
    <t>2025-04-16 10:44:51</t>
  </si>
  <si>
    <t>Prashant Godane</t>
  </si>
  <si>
    <t>MH14AU4388</t>
  </si>
  <si>
    <t>85825</t>
  </si>
  <si>
    <t>2025-04-16 10:42:05</t>
  </si>
  <si>
    <t>104451</t>
  </si>
  <si>
    <t>2025-04-16 10:44:09</t>
  </si>
  <si>
    <t>Rohan Naidu</t>
  </si>
  <si>
    <t>MH20ES5306</t>
  </si>
  <si>
    <t>29060</t>
  </si>
  <si>
    <t>ME4JF507JFU586214</t>
  </si>
  <si>
    <t>JF50EV5586284</t>
  </si>
  <si>
    <t>2025-04-16 10:45:24</t>
  </si>
  <si>
    <t>Sachin</t>
  </si>
  <si>
    <t>KA22HN0458</t>
  </si>
  <si>
    <t>13778</t>
  </si>
  <si>
    <t>2025-04-16 10:46:31</t>
  </si>
  <si>
    <t>MH40BX8880</t>
  </si>
  <si>
    <t>15037</t>
  </si>
  <si>
    <t>MD626EG44K122526</t>
  </si>
  <si>
    <t>EG4CK1X12635</t>
  </si>
  <si>
    <t>2025-04-16 10:53:03</t>
  </si>
  <si>
    <t xml:space="preserve">Parikshit </t>
  </si>
  <si>
    <t>MH14JD7195</t>
  </si>
  <si>
    <t>21080</t>
  </si>
  <si>
    <t>2025-04-16 10:53:29</t>
  </si>
  <si>
    <t>MAHESH DHUMAL</t>
  </si>
  <si>
    <t>MH14DW8241</t>
  </si>
  <si>
    <t>80401</t>
  </si>
  <si>
    <t>MBLHA10ALDHC93039</t>
  </si>
  <si>
    <t>HA10EJDHC13871</t>
  </si>
  <si>
    <t>2025-01-11 20:01:27</t>
  </si>
  <si>
    <t xml:space="preserve">Ankit Gupta </t>
  </si>
  <si>
    <t>MH05BZ2152</t>
  </si>
  <si>
    <t>21COH1E2061480</t>
  </si>
  <si>
    <t>21CH061613</t>
  </si>
  <si>
    <t>2025-04-16 10:56:09</t>
  </si>
  <si>
    <t>Kshitij Kapre</t>
  </si>
  <si>
    <t>MH47AR3605</t>
  </si>
  <si>
    <t>32890</t>
  </si>
  <si>
    <t>MBLLDL028K00347</t>
  </si>
  <si>
    <t>M620ABGK00314</t>
  </si>
  <si>
    <t>2025-04-16 10:55:50</t>
  </si>
  <si>
    <t>40004</t>
  </si>
  <si>
    <t>2025-04-16 10:57:29</t>
  </si>
  <si>
    <t xml:space="preserve">APOORVA KUMAR PANDEY </t>
  </si>
  <si>
    <t>MH12LM7571</t>
  </si>
  <si>
    <t>43866</t>
  </si>
  <si>
    <t>MD2A22EZXETF06021</t>
  </si>
  <si>
    <t>BDZCR108</t>
  </si>
  <si>
    <t>2025-03-17 19:45:40</t>
  </si>
  <si>
    <t>AKSHAY</t>
  </si>
  <si>
    <t>MH16BA6336</t>
  </si>
  <si>
    <t>Royal Enfield ELECTRA 350</t>
  </si>
  <si>
    <t>80159</t>
  </si>
  <si>
    <t>ME3U355C00328</t>
  </si>
  <si>
    <t>U35C0DB230382</t>
  </si>
  <si>
    <t>2025-04-16 10:52:01</t>
  </si>
  <si>
    <t>Laxmikant Bende</t>
  </si>
  <si>
    <t>MH14FP3936</t>
  </si>
  <si>
    <t>32368</t>
  </si>
  <si>
    <t>2025-03-17 19:46:02</t>
  </si>
  <si>
    <t>ABHIJEET RASKAR</t>
  </si>
  <si>
    <t>MH12JR0733</t>
  </si>
  <si>
    <t>93625</t>
  </si>
  <si>
    <t>MBLHA11EVC9K0111</t>
  </si>
  <si>
    <t>HA11EFC9K10751</t>
  </si>
  <si>
    <t>2025-04-16 11:10:38</t>
  </si>
  <si>
    <t>SUBHANSH</t>
  </si>
  <si>
    <t>CG07AU9041</t>
  </si>
  <si>
    <t>Bajaj Discover 150 F</t>
  </si>
  <si>
    <t>42357</t>
  </si>
  <si>
    <t>2025-04-16 11:10:14</t>
  </si>
  <si>
    <t>Vivek Shete</t>
  </si>
  <si>
    <t>MH12RQ3265</t>
  </si>
  <si>
    <t>32478</t>
  </si>
  <si>
    <t>MD2JUCYM4KC040949</t>
  </si>
  <si>
    <t>996007620</t>
  </si>
  <si>
    <t>2025-01-12 20:43:22</t>
  </si>
  <si>
    <t>MH30AK4249</t>
  </si>
  <si>
    <t>034382</t>
  </si>
  <si>
    <t>2025-01-12 20:45:47</t>
  </si>
  <si>
    <t>33696</t>
  </si>
  <si>
    <t>2025-01-13 19:06:45</t>
  </si>
  <si>
    <t>PAWAN PESHWANI</t>
  </si>
  <si>
    <t>MH14HP6506</t>
  </si>
  <si>
    <t>19261</t>
  </si>
  <si>
    <t>MD2A36EY0KCA21608</t>
  </si>
  <si>
    <t>JLYCKA11433</t>
  </si>
  <si>
    <t>2025-01-13 19:13:20</t>
  </si>
  <si>
    <t>ANIKESH BHAVSAR</t>
  </si>
  <si>
    <t>MH12SS3423</t>
  </si>
  <si>
    <t>66343</t>
  </si>
  <si>
    <t>ME1RG6813L003964</t>
  </si>
  <si>
    <t>GD3N4E0002280</t>
  </si>
  <si>
    <t>2025-01-12 19:23:43</t>
  </si>
  <si>
    <t xml:space="preserve">CHAITANYA </t>
  </si>
  <si>
    <t>MH36R5453</t>
  </si>
  <si>
    <t>2025-01-12 20:42:10</t>
  </si>
  <si>
    <t>28498</t>
  </si>
  <si>
    <t>2025-01-12 20:46:16</t>
  </si>
  <si>
    <t>RAJENDRA MANE</t>
  </si>
  <si>
    <t>MH12VY2902</t>
  </si>
  <si>
    <t>Bajaj Platina 110cc</t>
  </si>
  <si>
    <t>12547</t>
  </si>
  <si>
    <t>MD2B77X6PWE07267</t>
  </si>
  <si>
    <t>PFXWPE22020</t>
  </si>
  <si>
    <t>2025-01-12 20:47:01</t>
  </si>
  <si>
    <t>SHIVAM SONI</t>
  </si>
  <si>
    <t>MH12KV5716</t>
  </si>
  <si>
    <t>44107</t>
  </si>
  <si>
    <t>044 ₹</t>
  </si>
  <si>
    <t>2025-03-17 19:47:00</t>
  </si>
  <si>
    <t>DEEPALI MUTHAL</t>
  </si>
  <si>
    <t>MH12NF3992</t>
  </si>
  <si>
    <t>33912</t>
  </si>
  <si>
    <t>ME4JF505EGT443929</t>
  </si>
  <si>
    <t>JF50E6T3444086</t>
  </si>
  <si>
    <t>2025-04-16 11:11:05</t>
  </si>
  <si>
    <t>ARNAV</t>
  </si>
  <si>
    <t>MH14FP6544</t>
  </si>
  <si>
    <t>7378</t>
  </si>
  <si>
    <t>2025-03-17 20:03:51</t>
  </si>
  <si>
    <t xml:space="preserve">Akhil Shastri </t>
  </si>
  <si>
    <t>MH14JJ6954</t>
  </si>
  <si>
    <t>16301</t>
  </si>
  <si>
    <t>ME4JF914LLG299564</t>
  </si>
  <si>
    <t>JF91EG1289544</t>
  </si>
  <si>
    <t>2025-01-12 20:51:07</t>
  </si>
  <si>
    <t>Ravindra Mungale</t>
  </si>
  <si>
    <t>MH14GR8441</t>
  </si>
  <si>
    <t>24264</t>
  </si>
  <si>
    <t>MB8DP11AJH8570591</t>
  </si>
  <si>
    <t>AF211442629</t>
  </si>
  <si>
    <t>2025-01-12 20:50:21</t>
  </si>
  <si>
    <t>Sandip Patil</t>
  </si>
  <si>
    <t>MH12QP2015</t>
  </si>
  <si>
    <t>26083</t>
  </si>
  <si>
    <t>MD626EG41E22640</t>
  </si>
  <si>
    <t>EGHEJ1277690</t>
  </si>
  <si>
    <t>2025-01-12 20:51:33</t>
  </si>
  <si>
    <t>MH12WS2611</t>
  </si>
  <si>
    <t>8130</t>
  </si>
  <si>
    <t>MD2B54DX8CN2930</t>
  </si>
  <si>
    <t>PDXCRM73449</t>
  </si>
  <si>
    <t>2025-01-12 20:54:55</t>
  </si>
  <si>
    <t>ATUL</t>
  </si>
  <si>
    <t>MH12GH8988</t>
  </si>
  <si>
    <t>22554</t>
  </si>
  <si>
    <t>ME4JC474FA8022443</t>
  </si>
  <si>
    <t>JC47E0667841</t>
  </si>
  <si>
    <t>2025-01-12 20:56:31</t>
  </si>
  <si>
    <t>Manoj Bhosle</t>
  </si>
  <si>
    <t>MH20FH7624</t>
  </si>
  <si>
    <t>43327</t>
  </si>
  <si>
    <t>2025-01-12 20:59:36</t>
  </si>
  <si>
    <t>Rajesh Shikhare</t>
  </si>
  <si>
    <t>MH14HY2444</t>
  </si>
  <si>
    <t>MD637CE79K2L6177</t>
  </si>
  <si>
    <t>CE71K2701621</t>
  </si>
  <si>
    <t>2025-01-12 20:59:11</t>
  </si>
  <si>
    <t>15722</t>
  </si>
  <si>
    <t>2025-01-12 21:00:36</t>
  </si>
  <si>
    <t>36410</t>
  </si>
  <si>
    <t>2025-01-30 20:03:51</t>
  </si>
  <si>
    <t>Vaishnav Ramkrishna</t>
  </si>
  <si>
    <t>MH41BJ3720</t>
  </si>
  <si>
    <t>13257</t>
  </si>
  <si>
    <t>MD625AK23NC50764</t>
  </si>
  <si>
    <t>CK2CN1350943</t>
  </si>
  <si>
    <t>2025-01-13 19:33:48</t>
  </si>
  <si>
    <t>MH12EH9891</t>
  </si>
  <si>
    <t>88276</t>
  </si>
  <si>
    <t>2025-01-12 20:48:30</t>
  </si>
  <si>
    <t>Kuldeep</t>
  </si>
  <si>
    <t>MP41MT4381</t>
  </si>
  <si>
    <t>25672</t>
  </si>
  <si>
    <t>2025-01-30 19:29:30</t>
  </si>
  <si>
    <t xml:space="preserve">PRANAV MANKAR </t>
  </si>
  <si>
    <t>MH31DE4170</t>
  </si>
  <si>
    <t>60704</t>
  </si>
  <si>
    <t>MBLMC38EBAGBBD865</t>
  </si>
  <si>
    <t>MC38EAGB00834</t>
  </si>
  <si>
    <t>2025-01-13 19:48:51</t>
  </si>
  <si>
    <t>Pranali Bhootkar</t>
  </si>
  <si>
    <t>MH12SM6182</t>
  </si>
  <si>
    <t>19374</t>
  </si>
  <si>
    <t>ME4JF49MALG009587</t>
  </si>
  <si>
    <t>JF49EG4014140</t>
  </si>
  <si>
    <t>2025-01-30 19:50:08</t>
  </si>
  <si>
    <t>Om Chandan</t>
  </si>
  <si>
    <t>MH14KY4838</t>
  </si>
  <si>
    <t>5943</t>
  </si>
  <si>
    <t>MB02B72B72B72BX1PCB05204</t>
  </si>
  <si>
    <t>JEXCJE05Z155</t>
  </si>
  <si>
    <t>2025-01-30 19:49:14</t>
  </si>
  <si>
    <t>Dratik Nikalje</t>
  </si>
  <si>
    <t>MH21BX3511</t>
  </si>
  <si>
    <t>ME1RG668ANOO23737</t>
  </si>
  <si>
    <t>G3N3F0247021</t>
  </si>
  <si>
    <t>2025-01-30 19:51:35</t>
  </si>
  <si>
    <t>VARDHAN</t>
  </si>
  <si>
    <t>MH25AM2859</t>
  </si>
  <si>
    <t>47475</t>
  </si>
  <si>
    <t>2025-01-30 19:54:29</t>
  </si>
  <si>
    <t>Parmar</t>
  </si>
  <si>
    <t>MH14EV2899</t>
  </si>
  <si>
    <t>06589</t>
  </si>
  <si>
    <t>MD62BG48E1P92078</t>
  </si>
  <si>
    <t>BG4PE1384706</t>
  </si>
  <si>
    <t>2025-01-30 19:56:20</t>
  </si>
  <si>
    <t xml:space="preserve">Swapnil </t>
  </si>
  <si>
    <t>MH14HF5810</t>
  </si>
  <si>
    <t>36769</t>
  </si>
  <si>
    <t>ME4KC23GJ801884</t>
  </si>
  <si>
    <t>KC23E85047052</t>
  </si>
  <si>
    <t>2025-01-30 19:46:08</t>
  </si>
  <si>
    <t>MH12JG1485</t>
  </si>
  <si>
    <t>52755</t>
  </si>
  <si>
    <t>ME4JC447HCG130243</t>
  </si>
  <si>
    <t>JC44E2241313</t>
  </si>
  <si>
    <t>2025-01-30 20:54:33</t>
  </si>
  <si>
    <t>Someshwar</t>
  </si>
  <si>
    <t>MH12NC7404</t>
  </si>
  <si>
    <t>8112</t>
  </si>
  <si>
    <t>ME4JF505EGU114446</t>
  </si>
  <si>
    <t>JF50EU3114428</t>
  </si>
  <si>
    <t>2025-01-30 19:57:44</t>
  </si>
  <si>
    <t>Desmukh</t>
  </si>
  <si>
    <t>MH14CH7195</t>
  </si>
  <si>
    <t>MBLJF16EDAGK15515</t>
  </si>
  <si>
    <t>JF16EB8EK28496</t>
  </si>
  <si>
    <t>2025-01-30 20:02:50</t>
  </si>
  <si>
    <t>Sudhir Patil</t>
  </si>
  <si>
    <t>MH14GF1242</t>
  </si>
  <si>
    <t>18809</t>
  </si>
  <si>
    <t>MD2A6BG4X41A23783</t>
  </si>
  <si>
    <t>BG4AH1116886</t>
  </si>
  <si>
    <t>2025-01-30 19:53:31</t>
  </si>
  <si>
    <t>Vishwas Patil</t>
  </si>
  <si>
    <t>MH19BW7959</t>
  </si>
  <si>
    <t>50454</t>
  </si>
  <si>
    <t>ME4KC191KD8018049</t>
  </si>
  <si>
    <t>KC19E80024908</t>
  </si>
  <si>
    <t>2025-01-30 20:08:30</t>
  </si>
  <si>
    <t>MH12VK9414</t>
  </si>
  <si>
    <t>15477</t>
  </si>
  <si>
    <t>ME1RG66L490016538</t>
  </si>
  <si>
    <t>G3N3E0298676</t>
  </si>
  <si>
    <t>2025-01-30 20:05:16</t>
  </si>
  <si>
    <t xml:space="preserve">Suraj </t>
  </si>
  <si>
    <t>MH10DJ0358</t>
  </si>
  <si>
    <t>ME4JF49BLJU022825</t>
  </si>
  <si>
    <t>JF49E54012032</t>
  </si>
  <si>
    <t>2025-01-30 20:07:39</t>
  </si>
  <si>
    <t xml:space="preserve">Omkar Kale </t>
  </si>
  <si>
    <t>MH12TW9066</t>
  </si>
  <si>
    <t>39268</t>
  </si>
  <si>
    <t>MD637GF56M2P01778</t>
  </si>
  <si>
    <t>GE5PM2701961</t>
  </si>
  <si>
    <t>2025-01-30 20:06:08</t>
  </si>
  <si>
    <t>Sayoni</t>
  </si>
  <si>
    <t>MH45AJ4211</t>
  </si>
  <si>
    <t>Yamaha Fascino 125</t>
  </si>
  <si>
    <t>10055</t>
  </si>
  <si>
    <t>ME15ED129J022911</t>
  </si>
  <si>
    <t>E5Y3E0545541</t>
  </si>
  <si>
    <t>2025-01-30 20:10:28</t>
  </si>
  <si>
    <t>27478</t>
  </si>
  <si>
    <t>2025-01-30 19:59:46</t>
  </si>
  <si>
    <t>Gaurav Manjarekar</t>
  </si>
  <si>
    <t>MH01BX0787</t>
  </si>
  <si>
    <t>ME1RG0716E0009766</t>
  </si>
  <si>
    <t>G3C8E0022347</t>
  </si>
  <si>
    <t>2025-01-30 20:11:14</t>
  </si>
  <si>
    <t>Ravindra Shinde</t>
  </si>
  <si>
    <t>MH14DY6790</t>
  </si>
  <si>
    <t>58259</t>
  </si>
  <si>
    <t>ME4JF501E07336433</t>
  </si>
  <si>
    <t>JF50E70236491</t>
  </si>
  <si>
    <t>2025-01-30 20:14:17</t>
  </si>
  <si>
    <t>2025-01-13 19:07:16</t>
  </si>
  <si>
    <t>GAURAV GHADGE</t>
  </si>
  <si>
    <t>MH09ET1811</t>
  </si>
  <si>
    <t>021875</t>
  </si>
  <si>
    <t>2025-01-13 19:05:55</t>
  </si>
  <si>
    <t>MH14LG9768</t>
  </si>
  <si>
    <t>07826</t>
  </si>
  <si>
    <t>2025-01-13 19:06:19</t>
  </si>
  <si>
    <t xml:space="preserve">Dinesh Gaikwad </t>
  </si>
  <si>
    <t>MH12JC8207</t>
  </si>
  <si>
    <t>40706</t>
  </si>
  <si>
    <t>2025-01-13 19:08:42</t>
  </si>
  <si>
    <t>KISHOR PATIL</t>
  </si>
  <si>
    <t>MH14FZ3592</t>
  </si>
  <si>
    <t>ME4KC235LG8011875</t>
  </si>
  <si>
    <t>KC23E80N9798</t>
  </si>
  <si>
    <t>2025-01-13 19:12:47</t>
  </si>
  <si>
    <t xml:space="preserve">Dharmesh </t>
  </si>
  <si>
    <t>MH14JQ6795</t>
  </si>
  <si>
    <t>29723</t>
  </si>
  <si>
    <t>MD626CGJ1M1D00318</t>
  </si>
  <si>
    <t>DG5DM1J00318</t>
  </si>
  <si>
    <t>2025-01-13 21:00:10</t>
  </si>
  <si>
    <t>Tushar Jabde</t>
  </si>
  <si>
    <t>MH13AQ6169</t>
  </si>
  <si>
    <t>21220</t>
  </si>
  <si>
    <t>032 ₹</t>
  </si>
  <si>
    <t>2025-01-31 11:25:07</t>
  </si>
  <si>
    <t>MH14HN4759</t>
  </si>
  <si>
    <t>52753</t>
  </si>
  <si>
    <t>MD626EG41K1B13381</t>
  </si>
  <si>
    <t>EG4BK1007938</t>
  </si>
  <si>
    <t>2025-01-30 20:09:31</t>
  </si>
  <si>
    <t>Mayank Bhati</t>
  </si>
  <si>
    <t>MH14FU7679</t>
  </si>
  <si>
    <t>39002</t>
  </si>
  <si>
    <t>ME4JF493HG8251009</t>
  </si>
  <si>
    <t>JF45E81293059</t>
  </si>
  <si>
    <t>2025-02-21 19:30:27</t>
  </si>
  <si>
    <t xml:space="preserve">VAISHALI LONKAR </t>
  </si>
  <si>
    <t>MH32AU6979</t>
  </si>
  <si>
    <t>18072</t>
  </si>
  <si>
    <t>2025-02-21 19:29:58</t>
  </si>
  <si>
    <t xml:space="preserve">Maulik </t>
  </si>
  <si>
    <t>GJ07CJ0614</t>
  </si>
  <si>
    <t>51321</t>
  </si>
  <si>
    <t>ME4JF493LG8315707</t>
  </si>
  <si>
    <t>JF49E8137006</t>
  </si>
  <si>
    <t>2025-01-13 19:13:41</t>
  </si>
  <si>
    <t xml:space="preserve"> Pranav Jagtap </t>
  </si>
  <si>
    <t>MH12AM6026</t>
  </si>
  <si>
    <t>00F20F04268</t>
  </si>
  <si>
    <t>OOF18E06758</t>
  </si>
  <si>
    <t>2025-02-21 19:31:00</t>
  </si>
  <si>
    <t xml:space="preserve">KRISHNA </t>
  </si>
  <si>
    <t>MH12PB2533</t>
  </si>
  <si>
    <t>51408</t>
  </si>
  <si>
    <t>ME3U385C1HA053088</t>
  </si>
  <si>
    <t>U3S5C0HA232932</t>
  </si>
  <si>
    <t>2025-02-21 20:32:25</t>
  </si>
  <si>
    <t>MH12JX3912</t>
  </si>
  <si>
    <t>48016</t>
  </si>
  <si>
    <t>2025-02-21 19:48:11</t>
  </si>
  <si>
    <t>DIVYANSHU</t>
  </si>
  <si>
    <t>MH12PP3426</t>
  </si>
  <si>
    <t>21834</t>
  </si>
  <si>
    <t>0208 ₹</t>
  </si>
  <si>
    <t>2025-02-21 20:34:20</t>
  </si>
  <si>
    <t>SHRUTI</t>
  </si>
  <si>
    <t>MH12LC6996</t>
  </si>
  <si>
    <t>45129</t>
  </si>
  <si>
    <t>ME4JF392EEJ131862</t>
  </si>
  <si>
    <t>JF9E71031678</t>
  </si>
  <si>
    <t>2025-02-21 20:34:34</t>
  </si>
  <si>
    <t>ONKAR PATHAK</t>
  </si>
  <si>
    <t>MH31CZ7606</t>
  </si>
  <si>
    <t>19130</t>
  </si>
  <si>
    <t>2025-01-15 12:51:31</t>
  </si>
  <si>
    <t>AJIT JADHAV</t>
  </si>
  <si>
    <t>MH14KZ6075</t>
  </si>
  <si>
    <t>2025-01-31 17:17:07</t>
  </si>
  <si>
    <t>MH48AE7186</t>
  </si>
  <si>
    <t>20348</t>
  </si>
  <si>
    <t>2025-01-31 17:18:04</t>
  </si>
  <si>
    <t xml:space="preserve">Umesh Dhumal </t>
  </si>
  <si>
    <t>MH12TW1197</t>
  </si>
  <si>
    <t>36645</t>
  </si>
  <si>
    <t>ME4JC85AKM0060767</t>
  </si>
  <si>
    <t>JC85ED1093294</t>
  </si>
  <si>
    <t>2025-01-31 19:50:12</t>
  </si>
  <si>
    <t>28892</t>
  </si>
  <si>
    <t>2025-01-15 20:30:13</t>
  </si>
  <si>
    <t>KALPESH DEVASHI</t>
  </si>
  <si>
    <t>MH12LB5390</t>
  </si>
  <si>
    <t>29166</t>
  </si>
  <si>
    <t>2025-01-15 20:38:56</t>
  </si>
  <si>
    <t>MH27BL4940</t>
  </si>
  <si>
    <t>39708</t>
  </si>
  <si>
    <t>2025-01-15 20:59:54</t>
  </si>
  <si>
    <t>2025-01-31 19:38:06</t>
  </si>
  <si>
    <t>43476</t>
  </si>
  <si>
    <t>2025-02-21 20:33:39</t>
  </si>
  <si>
    <t>MH12NT8234</t>
  </si>
  <si>
    <t>58360</t>
  </si>
  <si>
    <t>2025-01-31 19:35:04</t>
  </si>
  <si>
    <t>Ganesh Papat</t>
  </si>
  <si>
    <t>MH14JZ2362</t>
  </si>
  <si>
    <t>6566</t>
  </si>
  <si>
    <t>MD626C650NC69266</t>
  </si>
  <si>
    <t>EG5CN1000348</t>
  </si>
  <si>
    <t>2025-01-31 19:39:19</t>
  </si>
  <si>
    <t>MH10BU0021</t>
  </si>
  <si>
    <t>104961</t>
  </si>
  <si>
    <t>2025-02-22 18:50:51</t>
  </si>
  <si>
    <t xml:space="preserve">Giridhar </t>
  </si>
  <si>
    <t>MH14KH9806</t>
  </si>
  <si>
    <t>13893</t>
  </si>
  <si>
    <t>MD62AK4XN1G17268</t>
  </si>
  <si>
    <t>BK4GN1616622</t>
  </si>
  <si>
    <t>2025-01-31 19:40:42</t>
  </si>
  <si>
    <t>Shrikant katare</t>
  </si>
  <si>
    <t>MH14GJ6057</t>
  </si>
  <si>
    <t>28019</t>
  </si>
  <si>
    <t>MB8DP11CH8369545</t>
  </si>
  <si>
    <t>AF21262474</t>
  </si>
  <si>
    <t>2025-01-17 20:53:26</t>
  </si>
  <si>
    <t>Vishwa</t>
  </si>
  <si>
    <t>3403</t>
  </si>
  <si>
    <t>2025-01-31 19:49:05</t>
  </si>
  <si>
    <t xml:space="preserve">Dhananjay </t>
  </si>
  <si>
    <t>MH14HE6586</t>
  </si>
  <si>
    <t>42249</t>
  </si>
  <si>
    <t>ME4KC311KJ8425779</t>
  </si>
  <si>
    <t>KC31E80425672</t>
  </si>
  <si>
    <t>2025-01-31 20:05:49</t>
  </si>
  <si>
    <t>7000</t>
  </si>
  <si>
    <t>2025-01-31 20:23:29</t>
  </si>
  <si>
    <t>Vinod Chhajed</t>
  </si>
  <si>
    <t>MH12KX3146</t>
  </si>
  <si>
    <t>61034</t>
  </si>
  <si>
    <t>ME4JF501CE763233</t>
  </si>
  <si>
    <t>JF50E70634287</t>
  </si>
  <si>
    <t>2025-02-22 18:52:08</t>
  </si>
  <si>
    <t>VIJAY MANJRE</t>
  </si>
  <si>
    <t>MH14CT3358</t>
  </si>
  <si>
    <t>25706</t>
  </si>
  <si>
    <t>MBLHA10EWBGC23560</t>
  </si>
  <si>
    <t>2025-01-16 19:58:04</t>
  </si>
  <si>
    <t>TUSHAR RAUT</t>
  </si>
  <si>
    <t>MH16CW6540</t>
  </si>
  <si>
    <t>70699</t>
  </si>
  <si>
    <t>ME1RG6916M00005498</t>
  </si>
  <si>
    <t>G3P1E0009245</t>
  </si>
  <si>
    <t>2025-01-16 19:55:46</t>
  </si>
  <si>
    <t>MH16CB4601</t>
  </si>
  <si>
    <t>41931</t>
  </si>
  <si>
    <t>2025-04-16 20:24:56</t>
  </si>
  <si>
    <t>MH08X1925</t>
  </si>
  <si>
    <t>2025-02-22 18:54:05</t>
  </si>
  <si>
    <t>PRASAD PATIL</t>
  </si>
  <si>
    <t>MH13EH2087</t>
  </si>
  <si>
    <t>11760</t>
  </si>
  <si>
    <t>MB8DP12P12PKP8470010</t>
  </si>
  <si>
    <t>AF2176864</t>
  </si>
  <si>
    <t>2025-04-16 20:31:44</t>
  </si>
  <si>
    <t>Ravindra Deshpande</t>
  </si>
  <si>
    <t>MH42AP7375</t>
  </si>
  <si>
    <t>14386</t>
  </si>
  <si>
    <t>MB8DP11ADH8394643</t>
  </si>
  <si>
    <t>AF211298610</t>
  </si>
  <si>
    <t>2025-04-16 20:31:02</t>
  </si>
  <si>
    <t>KANHEYA</t>
  </si>
  <si>
    <t>MH12SS9950</t>
  </si>
  <si>
    <t>44494</t>
  </si>
  <si>
    <t>2025-04-16 20:33:00</t>
  </si>
  <si>
    <t>DNYANESHWAR PIMPLE</t>
  </si>
  <si>
    <t>MH12QX0602</t>
  </si>
  <si>
    <t>28501</t>
  </si>
  <si>
    <t>ME4JC6586J70756</t>
  </si>
  <si>
    <t>JC65E72206998</t>
  </si>
  <si>
    <t>2025-04-16 20:30:12</t>
  </si>
  <si>
    <t>GJ01PS4303</t>
  </si>
  <si>
    <t>28246</t>
  </si>
  <si>
    <t>090 ₹</t>
  </si>
  <si>
    <t>MD2A11GZ5DWE27224</t>
  </si>
  <si>
    <t>DBZWDD31310</t>
  </si>
  <si>
    <t>2025-04-16 20:33:21</t>
  </si>
  <si>
    <t>2024-08-28 20:20:30</t>
  </si>
  <si>
    <t>SHAHAJI DEOKAR</t>
  </si>
  <si>
    <t>MH14GL1169</t>
  </si>
  <si>
    <t>35886</t>
  </si>
  <si>
    <t>2025-02-22 18:55:05</t>
  </si>
  <si>
    <t>Pranav Jagam</t>
  </si>
  <si>
    <t>MH14FU6291</t>
  </si>
  <si>
    <t>TVS Zest 110</t>
  </si>
  <si>
    <t>2025-02-03 11:37:51</t>
  </si>
  <si>
    <t>72521</t>
  </si>
  <si>
    <t>2025-02-22 18:53:45</t>
  </si>
  <si>
    <t>OMKAR</t>
  </si>
  <si>
    <t>MH14HP6014</t>
  </si>
  <si>
    <t>11594</t>
  </si>
  <si>
    <t>2025-01-16 19:43:47</t>
  </si>
  <si>
    <t>Mithesh shroff</t>
  </si>
  <si>
    <t>MH12HM6830</t>
  </si>
  <si>
    <t>24478</t>
  </si>
  <si>
    <t>2025-04-16 20:32:30</t>
  </si>
  <si>
    <t>PRAVIN PAWAR</t>
  </si>
  <si>
    <t>MH12KV3827</t>
  </si>
  <si>
    <t xml:space="preserve">Honda Stunner </t>
  </si>
  <si>
    <t>71144</t>
  </si>
  <si>
    <t>2025-02-22 19:15:28</t>
  </si>
  <si>
    <t>Bhakt</t>
  </si>
  <si>
    <t>MH12UP4862</t>
  </si>
  <si>
    <t>24409</t>
  </si>
  <si>
    <t>2025-02-22 19:16:58</t>
  </si>
  <si>
    <t xml:space="preserve">Sachin Chaudhary </t>
  </si>
  <si>
    <t>MH12GH9665</t>
  </si>
  <si>
    <t>16640</t>
  </si>
  <si>
    <t>2025-02-03 11:21:41</t>
  </si>
  <si>
    <t>MH05BH7716</t>
  </si>
  <si>
    <t>76661</t>
  </si>
  <si>
    <t>2025-02-22 19:36:27</t>
  </si>
  <si>
    <t>RAHUL K</t>
  </si>
  <si>
    <t>MH12UB8120</t>
  </si>
  <si>
    <t>37477</t>
  </si>
  <si>
    <t>MB8DP12DVN8A88571</t>
  </si>
  <si>
    <t>AF216983397</t>
  </si>
  <si>
    <t>2025-02-03 11:11:59</t>
  </si>
  <si>
    <t>KIRAN CHINCHOLE</t>
  </si>
  <si>
    <t>MH13BS1863</t>
  </si>
  <si>
    <t>65370</t>
  </si>
  <si>
    <t>MD2A11CZ9DCJ71264</t>
  </si>
  <si>
    <t>DHCJ51814</t>
  </si>
  <si>
    <t>2025-05-16 19:15:19</t>
  </si>
  <si>
    <t>Pankaj Katkar</t>
  </si>
  <si>
    <t>MH12SG6280</t>
  </si>
  <si>
    <t>17361</t>
  </si>
  <si>
    <t>2025-02-01 19:23:27</t>
  </si>
  <si>
    <t>2025-05-16 19:17:38</t>
  </si>
  <si>
    <t>PRATIK SALUNKHE</t>
  </si>
  <si>
    <t>MH14DD6574</t>
  </si>
  <si>
    <t>0123 ₹</t>
  </si>
  <si>
    <t>MBLHA10EWBGM22283</t>
  </si>
  <si>
    <t>HA10EDBGM54004</t>
  </si>
  <si>
    <t>2025-02-02 19:28:31</t>
  </si>
  <si>
    <t>19718</t>
  </si>
  <si>
    <t>2025-05-16 19:18:46</t>
  </si>
  <si>
    <t xml:space="preserve">Dnyaneshwar </t>
  </si>
  <si>
    <t>MH14BY6690</t>
  </si>
  <si>
    <t>54461</t>
  </si>
  <si>
    <t>2025-06-14 15:28:03</t>
  </si>
  <si>
    <t>2025-05-16 20:59:24</t>
  </si>
  <si>
    <t>Manish Mahtre</t>
  </si>
  <si>
    <t>MH04GB2646</t>
  </si>
  <si>
    <t>52554</t>
  </si>
  <si>
    <t>2025-02-02 19:38:23</t>
  </si>
  <si>
    <t>Akshay Patil</t>
  </si>
  <si>
    <t>MH09EE1924</t>
  </si>
  <si>
    <t>54985</t>
  </si>
  <si>
    <t>ME4JC651KG7461324</t>
  </si>
  <si>
    <t>JC65E70692734</t>
  </si>
  <si>
    <t>2025-05-16 20:59:49</t>
  </si>
  <si>
    <t>Nilesh Chawada</t>
  </si>
  <si>
    <t>MH12TZ9291</t>
  </si>
  <si>
    <t>14694</t>
  </si>
  <si>
    <t>ME4JF917LMWO23170</t>
  </si>
  <si>
    <t>JF91EW4023080</t>
  </si>
  <si>
    <t>2025-02-01 19:23:51</t>
  </si>
  <si>
    <t>MH15CY6419</t>
  </si>
  <si>
    <t>52543</t>
  </si>
  <si>
    <t>MD2DSPAZZTWK18104</t>
  </si>
  <si>
    <t>2025-02-23 17:20:05</t>
  </si>
  <si>
    <t>MH14JY9534</t>
  </si>
  <si>
    <t>4969</t>
  </si>
  <si>
    <t>MD626EG55NIC66701</t>
  </si>
  <si>
    <t>EG5BM180019</t>
  </si>
  <si>
    <t>2025-02-23 17:19:09</t>
  </si>
  <si>
    <t>Biradar</t>
  </si>
  <si>
    <t>MH14HF6462</t>
  </si>
  <si>
    <t>69272</t>
  </si>
  <si>
    <t>ME4JC58EEJT044230</t>
  </si>
  <si>
    <t>2025-02-23 17:37:24</t>
  </si>
  <si>
    <t>Punjab sindh</t>
  </si>
  <si>
    <t>MH12QJ9937</t>
  </si>
  <si>
    <t>0573 ₹</t>
  </si>
  <si>
    <t>ME4JF5CBJU132924</t>
  </si>
  <si>
    <t>2025-02-14 17:33:05</t>
  </si>
  <si>
    <t>77681</t>
  </si>
  <si>
    <t>2025-02-23 17:19:45</t>
  </si>
  <si>
    <t xml:space="preserve">MAYURESH </t>
  </si>
  <si>
    <t>MH15JR9664</t>
  </si>
  <si>
    <t>10451</t>
  </si>
  <si>
    <t>MD2B72BXRCL779740</t>
  </si>
  <si>
    <t>JEXCRLJ224</t>
  </si>
  <si>
    <t>2025-03-19 19:45:29</t>
  </si>
  <si>
    <t>MH14HH3570</t>
  </si>
  <si>
    <t>19521</t>
  </si>
  <si>
    <t>2025-02-23 17:57:41</t>
  </si>
  <si>
    <t>42918</t>
  </si>
  <si>
    <t>2025-02-23 18:57:49</t>
  </si>
  <si>
    <t>RANJIT WAGHULE</t>
  </si>
  <si>
    <t>MH14GV5526</t>
  </si>
  <si>
    <t>31161</t>
  </si>
  <si>
    <t>MD626EG42J1B4237</t>
  </si>
  <si>
    <t>EG4BJ1406017</t>
  </si>
  <si>
    <t>2025-02-23 18:07:02</t>
  </si>
  <si>
    <t>Shubham</t>
  </si>
  <si>
    <t>MH23BA0558</t>
  </si>
  <si>
    <t>28908</t>
  </si>
  <si>
    <t>MB8DP11ABK8G06622</t>
  </si>
  <si>
    <t>AF216037526</t>
  </si>
  <si>
    <t>2025-03-19 19:50:53</t>
  </si>
  <si>
    <t>Gangaram Nath</t>
  </si>
  <si>
    <t>MH14BY1720</t>
  </si>
  <si>
    <t>75280</t>
  </si>
  <si>
    <t>ME121C01X92074171</t>
  </si>
  <si>
    <t>21C1074063</t>
  </si>
  <si>
    <t>2025-03-19 19:53:16</t>
  </si>
  <si>
    <t>NILESH SARODE</t>
  </si>
  <si>
    <t>MH14LD3799</t>
  </si>
  <si>
    <t>5340</t>
  </si>
  <si>
    <t>ME4JK370KPW003597</t>
  </si>
  <si>
    <t>JK37EW0003530</t>
  </si>
  <si>
    <t>2025-03-19 19:44:52</t>
  </si>
  <si>
    <t>MH14CT8243</t>
  </si>
  <si>
    <t>55615</t>
  </si>
  <si>
    <t>2025-03-19 19:52:57</t>
  </si>
  <si>
    <t>Rameshwar</t>
  </si>
  <si>
    <t>MH31FL5725</t>
  </si>
  <si>
    <t>85821</t>
  </si>
  <si>
    <t>2025-03-19 19:52:08</t>
  </si>
  <si>
    <t>Abhinav Mohite</t>
  </si>
  <si>
    <t>MH09DJ8475</t>
  </si>
  <si>
    <t xml:space="preserve">Hero Ignitor </t>
  </si>
  <si>
    <t>37409</t>
  </si>
  <si>
    <t>2025-02-02 20:29:19</t>
  </si>
  <si>
    <t>Prasad Gulhane</t>
  </si>
  <si>
    <t>MH14EX0506</t>
  </si>
  <si>
    <t>92899</t>
  </si>
  <si>
    <t>ME4JC652CF7013041</t>
  </si>
  <si>
    <t>JC65E70039648</t>
  </si>
  <si>
    <t>2025-03-19 20:05:10</t>
  </si>
  <si>
    <t xml:space="preserve">GAURAV Manjrekar </t>
  </si>
  <si>
    <t>MH08AC5581</t>
  </si>
  <si>
    <t>TVS Scooty Streak</t>
  </si>
  <si>
    <t>43707</t>
  </si>
  <si>
    <t>2025-02-23 18:31:33</t>
  </si>
  <si>
    <t>ARINDAM SEN</t>
  </si>
  <si>
    <t>WB34AN1645</t>
  </si>
  <si>
    <t>Bajaj Discover 150 S</t>
  </si>
  <si>
    <t>MD2A64C76ER54578</t>
  </si>
  <si>
    <t>JFZRE04652</t>
  </si>
  <si>
    <t>2025-02-07 18:51:19</t>
  </si>
  <si>
    <t>MH20BF8386</t>
  </si>
  <si>
    <t>22126</t>
  </si>
  <si>
    <t>2025-03-19 20:06:00</t>
  </si>
  <si>
    <t xml:space="preserve">Chetan </t>
  </si>
  <si>
    <t>MH14DV3739</t>
  </si>
  <si>
    <t>89961</t>
  </si>
  <si>
    <t>2025-02-23 18:55:32</t>
  </si>
  <si>
    <t>2025-03-19 19:49:42</t>
  </si>
  <si>
    <t>AJAY CHAUHAN</t>
  </si>
  <si>
    <t>MH12MY8063</t>
  </si>
  <si>
    <t>99327</t>
  </si>
  <si>
    <t>ME4JC731BG8019972</t>
  </si>
  <si>
    <t>JC7380044703</t>
  </si>
  <si>
    <t>2025-02-02 19:25:54</t>
  </si>
  <si>
    <t>RAJAT RAJPUT</t>
  </si>
  <si>
    <t>MP09ZU1739</t>
  </si>
  <si>
    <t>4230</t>
  </si>
  <si>
    <t>ME4JK156FP121618</t>
  </si>
  <si>
    <t>JK15E05121551</t>
  </si>
  <si>
    <t>2025-02-05 20:39:37</t>
  </si>
  <si>
    <t>PANDURANG SAKHALE</t>
  </si>
  <si>
    <t>MH15GP6307</t>
  </si>
  <si>
    <t>95185</t>
  </si>
  <si>
    <t>ME4KC311KJ8429859</t>
  </si>
  <si>
    <t>KC31E80429776</t>
  </si>
  <si>
    <t>2025-02-02 19:26:56</t>
  </si>
  <si>
    <t>Abhijit Kale</t>
  </si>
  <si>
    <t>MH14HN8125</t>
  </si>
  <si>
    <t>23526</t>
  </si>
  <si>
    <t>MD62E42K1B11378</t>
  </si>
  <si>
    <t>CG4BK1106879</t>
  </si>
  <si>
    <t>2025-02-02 19:27:47</t>
  </si>
  <si>
    <t xml:space="preserve">Mukesh Prajapati </t>
  </si>
  <si>
    <t>MH12PX9894</t>
  </si>
  <si>
    <t>14514</t>
  </si>
  <si>
    <t>2025-03-19 20:43:59</t>
  </si>
  <si>
    <t>PRASHANT</t>
  </si>
  <si>
    <t>MH02DV7919</t>
  </si>
  <si>
    <t>32331</t>
  </si>
  <si>
    <t>2025-02-02 19:26:21</t>
  </si>
  <si>
    <t xml:space="preserve">NILESH KULKARNI </t>
  </si>
  <si>
    <t>MH14JF5048</t>
  </si>
  <si>
    <t>Hero Passion Xpro</t>
  </si>
  <si>
    <t>60557</t>
  </si>
  <si>
    <t>MBLJAW141LHJ39775</t>
  </si>
  <si>
    <t>JA06EWLHJ546609</t>
  </si>
  <si>
    <t>2025-05-17 10:19:03</t>
  </si>
  <si>
    <t>Madhukar Bharti</t>
  </si>
  <si>
    <t>MH14HH1059</t>
  </si>
  <si>
    <t>44190</t>
  </si>
  <si>
    <t>ME4JC65ALJ7244462</t>
  </si>
  <si>
    <t>JC65E72383041</t>
  </si>
  <si>
    <t>2025-02-02 19:25:13</t>
  </si>
  <si>
    <t>MH14FK2385</t>
  </si>
  <si>
    <t>60250</t>
  </si>
  <si>
    <t>ME4KC232MF800537</t>
  </si>
  <si>
    <t>KC23E80002017</t>
  </si>
  <si>
    <t>2025-03-19 20:44:47</t>
  </si>
  <si>
    <t>SUNNY TAWAR</t>
  </si>
  <si>
    <t>MH15FL2468</t>
  </si>
  <si>
    <t>39052</t>
  </si>
  <si>
    <t>ME1RG0627G0022106</t>
  </si>
  <si>
    <t>G3C7E0082330</t>
  </si>
  <si>
    <t>2025-02-02 20:32:07</t>
  </si>
  <si>
    <t>MH14HX1866</t>
  </si>
  <si>
    <t>21447</t>
  </si>
  <si>
    <t>MB8DP11AKK8G04968</t>
  </si>
  <si>
    <t>AF216168521</t>
  </si>
  <si>
    <t>2025-02-02 20:31:05</t>
  </si>
  <si>
    <t>Vaibhav Kamthe</t>
  </si>
  <si>
    <t>MH14FB3856</t>
  </si>
  <si>
    <t>74444</t>
  </si>
  <si>
    <t>ME4JF504HFT642985</t>
  </si>
  <si>
    <t>JF50ET2644032</t>
  </si>
  <si>
    <t>2025-02-02 20:33:25</t>
  </si>
  <si>
    <t>Nihar</t>
  </si>
  <si>
    <t>MH14HR3385</t>
  </si>
  <si>
    <t>10781</t>
  </si>
  <si>
    <t>ME4JF490DKW002062</t>
  </si>
  <si>
    <t>JF49EW1007149</t>
  </si>
  <si>
    <t>2025-02-23 20:19:18</t>
  </si>
  <si>
    <t>MAHESH KHOT</t>
  </si>
  <si>
    <t>MH12FJ4279</t>
  </si>
  <si>
    <t>84847</t>
  </si>
  <si>
    <t>2025-02-23 20:22:11</t>
  </si>
  <si>
    <t xml:space="preserve">VIRAJ DESHMUKH </t>
  </si>
  <si>
    <t>MH19DR6729</t>
  </si>
  <si>
    <t>28911</t>
  </si>
  <si>
    <t>2025-02-03 11:06:25</t>
  </si>
  <si>
    <t>MH14HS9179</t>
  </si>
  <si>
    <t>24079</t>
  </si>
  <si>
    <t>2025-02-03 11:26:45</t>
  </si>
  <si>
    <t>Roshan Satokar</t>
  </si>
  <si>
    <t>MH14HZ2590</t>
  </si>
  <si>
    <t>4849</t>
  </si>
  <si>
    <t>ME1RG661CK001574</t>
  </si>
  <si>
    <t>93N3E0013947</t>
  </si>
  <si>
    <t>2025-02-03 11:29:14</t>
  </si>
  <si>
    <t xml:space="preserve">PARIKSHIT </t>
  </si>
  <si>
    <t>MH14KX0808</t>
  </si>
  <si>
    <t>8787</t>
  </si>
  <si>
    <t>2025-02-23 19:44:08</t>
  </si>
  <si>
    <t>MAHESH VARPE</t>
  </si>
  <si>
    <t>MH12SC7814</t>
  </si>
  <si>
    <t>97582</t>
  </si>
  <si>
    <t>059 ₹</t>
  </si>
  <si>
    <t>2025-02-02 20:30:32</t>
  </si>
  <si>
    <t>MH14JF4311</t>
  </si>
  <si>
    <t>39368</t>
  </si>
  <si>
    <t>MD626CG53L1C07728</t>
  </si>
  <si>
    <t>2025-02-03 11:27:54</t>
  </si>
  <si>
    <t>AKSHAY JADHAV</t>
  </si>
  <si>
    <t>MH29AZ0216</t>
  </si>
  <si>
    <t>45053</t>
  </si>
  <si>
    <t>ME1RG072BG0266529</t>
  </si>
  <si>
    <t>G3C8E0402086</t>
  </si>
  <si>
    <t>2025-02-03 11:41:41</t>
  </si>
  <si>
    <t xml:space="preserve">Shreya </t>
  </si>
  <si>
    <t>MH14KX2278</t>
  </si>
  <si>
    <t>6264</t>
  </si>
  <si>
    <t>2025-02-03 11:34:09</t>
  </si>
  <si>
    <t>Parag Nigam</t>
  </si>
  <si>
    <t>MP08UC9966</t>
  </si>
  <si>
    <t>23030</t>
  </si>
  <si>
    <t>2025-02-03 11:35:34</t>
  </si>
  <si>
    <t xml:space="preserve">Baliram </t>
  </si>
  <si>
    <t>MH14CB0439</t>
  </si>
  <si>
    <t>44334</t>
  </si>
  <si>
    <t>2025-02-03 11:43:22</t>
  </si>
  <si>
    <t xml:space="preserve">Sameer </t>
  </si>
  <si>
    <t>MH14JC3780</t>
  </si>
  <si>
    <t>12068</t>
  </si>
  <si>
    <t>2025-06-14 16:34:12</t>
  </si>
  <si>
    <t>Om Gotale</t>
  </si>
  <si>
    <t>MH24BT3976</t>
  </si>
  <si>
    <t>45402</t>
  </si>
  <si>
    <t>MD625AF93P1F18724</t>
  </si>
  <si>
    <t>AF9FF1718540</t>
  </si>
  <si>
    <t>2025-06-14 16:32:40</t>
  </si>
  <si>
    <t>14942</t>
  </si>
  <si>
    <t>2025-06-14 16:39:37</t>
  </si>
  <si>
    <t xml:space="preserve">Prithvi Desai </t>
  </si>
  <si>
    <t>MH12PY7840</t>
  </si>
  <si>
    <t>99142</t>
  </si>
  <si>
    <t>2025-06-14 16:35:11</t>
  </si>
  <si>
    <t xml:space="preserve">Manoj Pawar </t>
  </si>
  <si>
    <t>MH12UE2936</t>
  </si>
  <si>
    <t>13599</t>
  </si>
  <si>
    <t>2025-02-03 11:40:20</t>
  </si>
  <si>
    <t>Poonam Kadam</t>
  </si>
  <si>
    <t>MH30AU5450</t>
  </si>
  <si>
    <t>35625</t>
  </si>
  <si>
    <t>MD626B47G1G16208</t>
  </si>
  <si>
    <t>BG4GG1011428</t>
  </si>
  <si>
    <t>2025-06-14 16:39:12</t>
  </si>
  <si>
    <t>41907</t>
  </si>
  <si>
    <t>2025-06-14 16:50:44</t>
  </si>
  <si>
    <t>MH14CF6717</t>
  </si>
  <si>
    <t>99999</t>
  </si>
  <si>
    <t>2025-06-14 16:52:11</t>
  </si>
  <si>
    <t>Shivaji Kamble</t>
  </si>
  <si>
    <t>MH14FV8176</t>
  </si>
  <si>
    <t>40814</t>
  </si>
  <si>
    <t>ME34353010H47467</t>
  </si>
  <si>
    <t>435500GH1123857</t>
  </si>
  <si>
    <t>2025-05-17 11:46:04</t>
  </si>
  <si>
    <t>2025-02-03 19:35:38</t>
  </si>
  <si>
    <t>VANSH YEOLE</t>
  </si>
  <si>
    <t>MH14HL0491</t>
  </si>
  <si>
    <t>11934</t>
  </si>
  <si>
    <t>2025-07-11 20:26:33</t>
  </si>
  <si>
    <t xml:space="preserve">SANDIP </t>
  </si>
  <si>
    <t>MH14EE9206</t>
  </si>
  <si>
    <t>29990</t>
  </si>
  <si>
    <t>2025-02-05 20:31:49</t>
  </si>
  <si>
    <t>Rishi Patil</t>
  </si>
  <si>
    <t>MH15EK3122</t>
  </si>
  <si>
    <t>MD634KE47E2A62110</t>
  </si>
  <si>
    <t>OE4AE2552905</t>
  </si>
  <si>
    <t>2025-05-17 12:24:26</t>
  </si>
  <si>
    <t xml:space="preserve">Satish Gaikwad </t>
  </si>
  <si>
    <t>MH14LK9439</t>
  </si>
  <si>
    <t>Bajaj Chetak Electric</t>
  </si>
  <si>
    <t>2025-06-14 16:48:35</t>
  </si>
  <si>
    <t>MH31BM6651</t>
  </si>
  <si>
    <t>26719</t>
  </si>
  <si>
    <t>2025-02-03 19:36:30</t>
  </si>
  <si>
    <t xml:space="preserve">SHRINIVAS </t>
  </si>
  <si>
    <t>MH14EE9803</t>
  </si>
  <si>
    <t xml:space="preserve">Suzuki Swish </t>
  </si>
  <si>
    <t>30029</t>
  </si>
  <si>
    <t>MB8CFACBLD8139091</t>
  </si>
  <si>
    <t>F4862456392</t>
  </si>
  <si>
    <t>2025-05-17 12:46:46</t>
  </si>
  <si>
    <t>2025-02-03 19:33:25</t>
  </si>
  <si>
    <t>SAURABH SHARMA</t>
  </si>
  <si>
    <t>MH27DD3339</t>
  </si>
  <si>
    <t>14946</t>
  </si>
  <si>
    <t>MD626AK4XN1A65416</t>
  </si>
  <si>
    <t>MK4PM1112871</t>
  </si>
  <si>
    <t>2025-02-03 19:31:50</t>
  </si>
  <si>
    <t>MH11CX8705</t>
  </si>
  <si>
    <t>Bajaj Platina 100ES</t>
  </si>
  <si>
    <t>62339</t>
  </si>
  <si>
    <t>0162 ₹</t>
  </si>
  <si>
    <t>MD2A76AX5LWM1473</t>
  </si>
  <si>
    <t>PFXWL117902</t>
  </si>
  <si>
    <t>2025-02-03 19:37:31</t>
  </si>
  <si>
    <t xml:space="preserve">SHRINIWAS DESHMUKH </t>
  </si>
  <si>
    <t>MH16BP6248</t>
  </si>
  <si>
    <t>25105</t>
  </si>
  <si>
    <t>2025-02-03 19:41:01</t>
  </si>
  <si>
    <t>47968</t>
  </si>
  <si>
    <t>2025-02-03 19:38:47</t>
  </si>
  <si>
    <t>ANIKET PATIL</t>
  </si>
  <si>
    <t>MH12FQ2402</t>
  </si>
  <si>
    <t>ME121G0275202502</t>
  </si>
  <si>
    <t>21C202094</t>
  </si>
  <si>
    <t>2025-02-03 19:39:27</t>
  </si>
  <si>
    <t xml:space="preserve">SHUBHAM </t>
  </si>
  <si>
    <t>MH12RS6490</t>
  </si>
  <si>
    <t>26751</t>
  </si>
  <si>
    <t>JLYCKA80121</t>
  </si>
  <si>
    <t>2025-02-03 19:40:08</t>
  </si>
  <si>
    <t xml:space="preserve">ABHINAV </t>
  </si>
  <si>
    <t>MP20NG4891</t>
  </si>
  <si>
    <t>13489</t>
  </si>
  <si>
    <t>MD2JPE4C9HC026502</t>
  </si>
  <si>
    <t>J97X06614</t>
  </si>
  <si>
    <t>2025-02-03 19:40:21</t>
  </si>
  <si>
    <t>MH14KY4360</t>
  </si>
  <si>
    <t>7717</t>
  </si>
  <si>
    <t>2025-02-03 19:40:45</t>
  </si>
  <si>
    <t>LACHAKE</t>
  </si>
  <si>
    <t>MH12EK1289</t>
  </si>
  <si>
    <t>19085</t>
  </si>
  <si>
    <t>ME4JF083A98178545</t>
  </si>
  <si>
    <t>JF08E5210123</t>
  </si>
  <si>
    <t>2025-02-03 19:41:22</t>
  </si>
  <si>
    <t>27864</t>
  </si>
  <si>
    <t>2025-02-24 20:04:03</t>
  </si>
  <si>
    <t>Shubham Pawar</t>
  </si>
  <si>
    <t>MH14GF1044</t>
  </si>
  <si>
    <t>16662</t>
  </si>
  <si>
    <t>ME4JF5098HU171267</t>
  </si>
  <si>
    <t>JF50EU6171317</t>
  </si>
  <si>
    <t>2025-02-03 19:36:47</t>
  </si>
  <si>
    <t>Sidhdesh</t>
  </si>
  <si>
    <t>MH08AH1144</t>
  </si>
  <si>
    <t>352032</t>
  </si>
  <si>
    <t>ME1RG0727F0111102</t>
  </si>
  <si>
    <t>G3C8ED184221</t>
  </si>
  <si>
    <t>2025-02-03 20:54:15</t>
  </si>
  <si>
    <t xml:space="preserve">RUPESH WANKHEDE </t>
  </si>
  <si>
    <t>MH39L2431</t>
  </si>
  <si>
    <t>47108</t>
  </si>
  <si>
    <t>MLHA10EWBHJ13321</t>
  </si>
  <si>
    <t>HA10EDBH012655</t>
  </si>
  <si>
    <t>2025-04-17 20:30:50</t>
  </si>
  <si>
    <t xml:space="preserve">DESHMUKH </t>
  </si>
  <si>
    <t>MH14DP151</t>
  </si>
  <si>
    <t>39308</t>
  </si>
  <si>
    <t>2025-06-14 17:25:00</t>
  </si>
  <si>
    <t>Shantanu Sadar</t>
  </si>
  <si>
    <t>MH14HV2298</t>
  </si>
  <si>
    <t>11920</t>
  </si>
  <si>
    <t>2025-04-17 20:16:26</t>
  </si>
  <si>
    <t>Kavita Paidipaty</t>
  </si>
  <si>
    <t>MH14FA3028</t>
  </si>
  <si>
    <t>21479</t>
  </si>
  <si>
    <t>ME4JF504FFT407529</t>
  </si>
  <si>
    <t>2025-02-24 20:03:09</t>
  </si>
  <si>
    <t>TANMAY</t>
  </si>
  <si>
    <t>MH37AA8042</t>
  </si>
  <si>
    <t>35143</t>
  </si>
  <si>
    <t>2025-04-17 20:32:24</t>
  </si>
  <si>
    <t>Abhilash Kable</t>
  </si>
  <si>
    <t>MH40AN8075</t>
  </si>
  <si>
    <t>59138</t>
  </si>
  <si>
    <t>2025-04-17 20:31:57</t>
  </si>
  <si>
    <t>VIJAY SAVLE</t>
  </si>
  <si>
    <t>MH12NR6873</t>
  </si>
  <si>
    <t>53872</t>
  </si>
  <si>
    <t>084 ₹</t>
  </si>
  <si>
    <t>JF50EU3166035</t>
  </si>
  <si>
    <t>2025-02-24 20:04:22</t>
  </si>
  <si>
    <t>40837</t>
  </si>
  <si>
    <t>2025-02-24 20:04:46</t>
  </si>
  <si>
    <t>MH09FW6516</t>
  </si>
  <si>
    <t>15569</t>
  </si>
  <si>
    <t>2025-04-18 09:55:29</t>
  </si>
  <si>
    <t>ASHISH</t>
  </si>
  <si>
    <t>MH16CB9165</t>
  </si>
  <si>
    <t>22902</t>
  </si>
  <si>
    <t>2025-06-14 18:15:51</t>
  </si>
  <si>
    <t xml:space="preserve">Rohan Chandorkar </t>
  </si>
  <si>
    <t>MH12MX6520</t>
  </si>
  <si>
    <t>15509</t>
  </si>
  <si>
    <t>2025-03-20 19:23:16</t>
  </si>
  <si>
    <t xml:space="preserve">Shweta </t>
  </si>
  <si>
    <t>MH14HX4486</t>
  </si>
  <si>
    <t>8743</t>
  </si>
  <si>
    <t>MD626EG46K1K16227</t>
  </si>
  <si>
    <t>EG4KK1509476</t>
  </si>
  <si>
    <t>2025-03-20 19:22:58</t>
  </si>
  <si>
    <t xml:space="preserve">ABHIJEET </t>
  </si>
  <si>
    <t>MH14DC3994</t>
  </si>
  <si>
    <t>35584</t>
  </si>
  <si>
    <t>MD626AG48B1L57695</t>
  </si>
  <si>
    <t>OG4LB1251393</t>
  </si>
  <si>
    <t>2025-02-24 20:03:48</t>
  </si>
  <si>
    <t>VINIT</t>
  </si>
  <si>
    <t>MH07AL8747</t>
  </si>
  <si>
    <t>62717</t>
  </si>
  <si>
    <t>ME5KC311MJ85765P5</t>
  </si>
  <si>
    <t>KC31E80475683</t>
  </si>
  <si>
    <t>2025-03-20 20:18:35</t>
  </si>
  <si>
    <t>Aashish Dixit</t>
  </si>
  <si>
    <t>MH11CF6458</t>
  </si>
  <si>
    <t>44235</t>
  </si>
  <si>
    <t>ME4KC311DH8014176</t>
  </si>
  <si>
    <t>KC31E00K1250</t>
  </si>
  <si>
    <t>2025-03-20 20:18:01</t>
  </si>
  <si>
    <t>Prasad Aloorkar</t>
  </si>
  <si>
    <t>MH12VM3273</t>
  </si>
  <si>
    <t>21882</t>
  </si>
  <si>
    <t>2025-03-21 10:11:34</t>
  </si>
  <si>
    <t>2025-03-21 09:54:56</t>
  </si>
  <si>
    <t xml:space="preserve">Shubham Chopra </t>
  </si>
  <si>
    <t>MH14DK0245</t>
  </si>
  <si>
    <t>79255</t>
  </si>
  <si>
    <t>MDZDJZZUCL27590</t>
  </si>
  <si>
    <t>DJCBUL75235</t>
  </si>
  <si>
    <t>2025-03-21 09:55:38</t>
  </si>
  <si>
    <t xml:space="preserve">RAMESH CHAUDHARI </t>
  </si>
  <si>
    <t>MH12MS4558</t>
  </si>
  <si>
    <t>87343</t>
  </si>
  <si>
    <t>MBLHA10CAFHL31765</t>
  </si>
  <si>
    <t>HA10EYFHL61084</t>
  </si>
  <si>
    <t>2025-04-05 18:10:05</t>
  </si>
  <si>
    <t>MH49BT3103</t>
  </si>
  <si>
    <t>23847</t>
  </si>
  <si>
    <t>2025-02-05 20:35:36</t>
  </si>
  <si>
    <t>AJAY AWALE</t>
  </si>
  <si>
    <t>MH14CY3732</t>
  </si>
  <si>
    <t>47583</t>
  </si>
  <si>
    <t>026 ₹</t>
  </si>
  <si>
    <t>MBLKC13EFBGE14626</t>
  </si>
  <si>
    <t>KC12EDBGF16789</t>
  </si>
  <si>
    <t>2025-02-05 20:39:01</t>
  </si>
  <si>
    <t>Aniket Joshi</t>
  </si>
  <si>
    <t>MH20FS4406</t>
  </si>
  <si>
    <t>29363</t>
  </si>
  <si>
    <t>ME4JF984LLG057356</t>
  </si>
  <si>
    <t>JF98FG1066712</t>
  </si>
  <si>
    <t>2025-02-05 20:30:58</t>
  </si>
  <si>
    <t xml:space="preserve">ABHISHEK </t>
  </si>
  <si>
    <t>KA14ES8444</t>
  </si>
  <si>
    <t>ME1RG44E5K0011735</t>
  </si>
  <si>
    <t>G3L5E0064942</t>
  </si>
  <si>
    <t>2025-02-25 18:39:31</t>
  </si>
  <si>
    <t>RAHUL SARDAR</t>
  </si>
  <si>
    <t>MH14HT4472</t>
  </si>
  <si>
    <t xml:space="preserve">TVS Radeon </t>
  </si>
  <si>
    <t>38156</t>
  </si>
  <si>
    <t>MD625HF15K1F09941</t>
  </si>
  <si>
    <t>KF1FK141454</t>
  </si>
  <si>
    <t>2025-02-05 20:38:13</t>
  </si>
  <si>
    <t>Kunal</t>
  </si>
  <si>
    <t>MH14JD2402</t>
  </si>
  <si>
    <t>8710</t>
  </si>
  <si>
    <t>2025-02-05 20:39:54</t>
  </si>
  <si>
    <t>Yogini Belapurkar</t>
  </si>
  <si>
    <t>MH14CF4044</t>
  </si>
  <si>
    <t>27339</t>
  </si>
  <si>
    <t>MD626AG40A1G22420</t>
  </si>
  <si>
    <t>2025-02-05 20:40:22</t>
  </si>
  <si>
    <t xml:space="preserve">RISHBH </t>
  </si>
  <si>
    <t>CG07BK6110</t>
  </si>
  <si>
    <t>44086</t>
  </si>
  <si>
    <t>ME4JF50CBJJ81034</t>
  </si>
  <si>
    <t>JF50E7981042</t>
  </si>
  <si>
    <t>2025-02-05 20:40:57</t>
  </si>
  <si>
    <t>MH12KG3615</t>
  </si>
  <si>
    <t xml:space="preserve">Yamaha Ray </t>
  </si>
  <si>
    <t>28585</t>
  </si>
  <si>
    <t>2025-02-27 19:53:44</t>
  </si>
  <si>
    <t>ANIKET AGRAWAL</t>
  </si>
  <si>
    <t>MH14HB4477</t>
  </si>
  <si>
    <t>33472</t>
  </si>
  <si>
    <t>MB8NGABBFU8321979</t>
  </si>
  <si>
    <t>BGAA572478</t>
  </si>
  <si>
    <t>2025-02-05 20:34:38</t>
  </si>
  <si>
    <t>PRATIK KANSE</t>
  </si>
  <si>
    <t>MH09DB8139</t>
  </si>
  <si>
    <t>25539</t>
  </si>
  <si>
    <t>ME12NC01AD2067095</t>
  </si>
  <si>
    <t>2N1067093</t>
  </si>
  <si>
    <t>2025-07-11 20:23:26</t>
  </si>
  <si>
    <t>OMKAR DHAVALE</t>
  </si>
  <si>
    <t>MH14KX6224</t>
  </si>
  <si>
    <t>18942</t>
  </si>
  <si>
    <t>2025-02-25 18:29:18</t>
  </si>
  <si>
    <t>Ramesh Manjarekar</t>
  </si>
  <si>
    <t>MH14CH4129</t>
  </si>
  <si>
    <t>ME4JF11BKA065955</t>
  </si>
  <si>
    <t>JF11E4065852</t>
  </si>
  <si>
    <t>2025-07-11 20:24:00</t>
  </si>
  <si>
    <t>Vinayak Patil</t>
  </si>
  <si>
    <t>MH12SH5779</t>
  </si>
  <si>
    <t>24785</t>
  </si>
  <si>
    <t>MD626EG46K1N13336</t>
  </si>
  <si>
    <t>EG4NK1506171</t>
  </si>
  <si>
    <t>2025-07-11 20:24:35</t>
  </si>
  <si>
    <t>MH14FN6719</t>
  </si>
  <si>
    <t>15281</t>
  </si>
  <si>
    <t>ME4JG505CG4037056</t>
  </si>
  <si>
    <t>JG50EU3037233</t>
  </si>
  <si>
    <t>2025-07-11 20:25:03</t>
  </si>
  <si>
    <t>Sunil Ahire</t>
  </si>
  <si>
    <t>MH14KG1657</t>
  </si>
  <si>
    <t>17571</t>
  </si>
  <si>
    <t>ME4JF215EE8145590</t>
  </si>
  <si>
    <t>JF21E60173081</t>
  </si>
  <si>
    <t>2025-02-05 20:40:37</t>
  </si>
  <si>
    <t>VAIBHAV PUDAGE</t>
  </si>
  <si>
    <t>MH14JV4790</t>
  </si>
  <si>
    <t>4660</t>
  </si>
  <si>
    <t>2025-02-25 18:40:00</t>
  </si>
  <si>
    <t>MH12GY7606</t>
  </si>
  <si>
    <t>30299</t>
  </si>
  <si>
    <t>2025-02-25 18:40:15</t>
  </si>
  <si>
    <t>MH03CL8189</t>
  </si>
  <si>
    <t>31743</t>
  </si>
  <si>
    <t>ME4KC236MG8002653</t>
  </si>
  <si>
    <t>KC23E-8-0116477</t>
  </si>
  <si>
    <t>2025-07-11 20:22:41</t>
  </si>
  <si>
    <t>OMKAR DAGA</t>
  </si>
  <si>
    <t>MH17CT5612</t>
  </si>
  <si>
    <t>12710</t>
  </si>
  <si>
    <t>ME4JF919BNG0205545</t>
  </si>
  <si>
    <t>JF91EG60A0957</t>
  </si>
  <si>
    <t>2025-07-11 20:27:16</t>
  </si>
  <si>
    <t xml:space="preserve">AVINASH </t>
  </si>
  <si>
    <t>MH12MD0128</t>
  </si>
  <si>
    <t>54531</t>
  </si>
  <si>
    <t>2025-02-25 18:41:26</t>
  </si>
  <si>
    <t xml:space="preserve">MAHESH PATIL </t>
  </si>
  <si>
    <t>MH14DG4046</t>
  </si>
  <si>
    <t>35885</t>
  </si>
  <si>
    <t>ME4JC476AC7026907</t>
  </si>
  <si>
    <t>JC4CE0098240</t>
  </si>
  <si>
    <t>2025-02-25 19:44:46</t>
  </si>
  <si>
    <t>SHAUNAK</t>
  </si>
  <si>
    <t>MH31EW7360</t>
  </si>
  <si>
    <t>31625</t>
  </si>
  <si>
    <t>ME4JF505GGT602992</t>
  </si>
  <si>
    <t>JF50ET3603122</t>
  </si>
  <si>
    <t>2025-02-05 20:37:25</t>
  </si>
  <si>
    <t>AKASH DHOLE</t>
  </si>
  <si>
    <t>MH32V2161</t>
  </si>
  <si>
    <t>Hero Glamour No Data</t>
  </si>
  <si>
    <t>MBLJA06EUCGA28767</t>
  </si>
  <si>
    <t>JA06EFCGA22829</t>
  </si>
  <si>
    <t>2025-07-11 20:26:03</t>
  </si>
  <si>
    <t>MH31FD2467</t>
  </si>
  <si>
    <t>13524</t>
  </si>
  <si>
    <t>2025-02-07 18:48:49</t>
  </si>
  <si>
    <t xml:space="preserve">RAHUL ADGAONKAR </t>
  </si>
  <si>
    <t>MH12GM8322</t>
  </si>
  <si>
    <t>95498</t>
  </si>
  <si>
    <t>0177 ₹</t>
  </si>
  <si>
    <t>ME4JC4414MA8191211</t>
  </si>
  <si>
    <t>JC44E1067903</t>
  </si>
  <si>
    <t>2025-07-11 20:27:36</t>
  </si>
  <si>
    <t>Mayur Tagad</t>
  </si>
  <si>
    <t>MH16CR5669</t>
  </si>
  <si>
    <t>61561</t>
  </si>
  <si>
    <t>ME1RG6620CK0010777</t>
  </si>
  <si>
    <t>G3NSF0010675</t>
  </si>
  <si>
    <t>2025-02-06 20:02:52</t>
  </si>
  <si>
    <t xml:space="preserve">Manisha Purohit </t>
  </si>
  <si>
    <t>MH12MK4502</t>
  </si>
  <si>
    <t>31005</t>
  </si>
  <si>
    <t>MBLJF16EHFGB20342</t>
  </si>
  <si>
    <t>JF16ECFGB03586</t>
  </si>
  <si>
    <t>2025-02-06 19:46:07</t>
  </si>
  <si>
    <t>Shreenath</t>
  </si>
  <si>
    <t>MH14JJ7948</t>
  </si>
  <si>
    <t>42508</t>
  </si>
  <si>
    <t>ME4JC855MCD040965</t>
  </si>
  <si>
    <t>JC85E00259615</t>
  </si>
  <si>
    <t>2025-02-06 19:53:30</t>
  </si>
  <si>
    <t xml:space="preserve">Suhas Deshmukh </t>
  </si>
  <si>
    <t>MH22AU1972</t>
  </si>
  <si>
    <t>15978</t>
  </si>
  <si>
    <t>2025-02-06 19:50:40</t>
  </si>
  <si>
    <t>NIKITA SODMISE</t>
  </si>
  <si>
    <t>MH11BW3959</t>
  </si>
  <si>
    <t>27776</t>
  </si>
  <si>
    <t>ME4JF504CFT21472</t>
  </si>
  <si>
    <t>JF50ET2215732</t>
  </si>
  <si>
    <t>2025-02-06 19:55:34</t>
  </si>
  <si>
    <t>NILESH</t>
  </si>
  <si>
    <t>MH21AH1427</t>
  </si>
  <si>
    <t>23058</t>
  </si>
  <si>
    <t>MBLJF16ECK64627</t>
  </si>
  <si>
    <t>ME16E00ER4409</t>
  </si>
  <si>
    <t>2025-02-06 19:47:24</t>
  </si>
  <si>
    <t>VIPUL MALI</t>
  </si>
  <si>
    <t>MH14HX6579</t>
  </si>
  <si>
    <t>13113</t>
  </si>
  <si>
    <t>2025-02-06 19:56:59</t>
  </si>
  <si>
    <t>ASHWINI SHINDE</t>
  </si>
  <si>
    <t>MH14HH1058</t>
  </si>
  <si>
    <t>38031</t>
  </si>
  <si>
    <t>019 ₹</t>
  </si>
  <si>
    <t>ME4JF50ALJU380878</t>
  </si>
  <si>
    <t>JF50E47380915</t>
  </si>
  <si>
    <t>2025-02-06 19:59:29</t>
  </si>
  <si>
    <t>SACHIN KARADE</t>
  </si>
  <si>
    <t>MH12WS6399</t>
  </si>
  <si>
    <t>10727</t>
  </si>
  <si>
    <t>MBL8DP128604947</t>
  </si>
  <si>
    <t>AF2177777351</t>
  </si>
  <si>
    <t>2025-02-06 20:00:34</t>
  </si>
  <si>
    <t>24900</t>
  </si>
  <si>
    <t>2025-02-06 19:58:58</t>
  </si>
  <si>
    <t>SAMEER</t>
  </si>
  <si>
    <t>MH12SV6911</t>
  </si>
  <si>
    <t>40468</t>
  </si>
  <si>
    <t>2025-02-06 20:01:13</t>
  </si>
  <si>
    <t xml:space="preserve">PRAVIN ANJIKAR </t>
  </si>
  <si>
    <t>MH49N1675</t>
  </si>
  <si>
    <t>21826</t>
  </si>
  <si>
    <t>MBLJF16EFDGF21534</t>
  </si>
  <si>
    <t>JF16ECDGF21888</t>
  </si>
  <si>
    <t>2025-02-07 11:55:19</t>
  </si>
  <si>
    <t>25749</t>
  </si>
  <si>
    <t>2025-02-06 20:04:04</t>
  </si>
  <si>
    <t>Sandhya Ghorpade</t>
  </si>
  <si>
    <t>MH14DL0160</t>
  </si>
  <si>
    <t>37211</t>
  </si>
  <si>
    <t>MD626BG35C2E99983</t>
  </si>
  <si>
    <t>2025-05-17 17:51:45</t>
  </si>
  <si>
    <t>Yash</t>
  </si>
  <si>
    <t>MH29BM0079</t>
  </si>
  <si>
    <t>45002</t>
  </si>
  <si>
    <t>2025-02-07 12:53:29</t>
  </si>
  <si>
    <t>AYANUDDIN</t>
  </si>
  <si>
    <t>MH14HJ9892</t>
  </si>
  <si>
    <t>25418</t>
  </si>
  <si>
    <t>ME4KC311MJ8469882</t>
  </si>
  <si>
    <t>KC31E80468763</t>
  </si>
  <si>
    <t>2025-02-07 12:54:29</t>
  </si>
  <si>
    <t>18257</t>
  </si>
  <si>
    <t>2025-02-07 18:33:42</t>
  </si>
  <si>
    <t>MAYUR</t>
  </si>
  <si>
    <t>MH12NY6215</t>
  </si>
  <si>
    <t>138565</t>
  </si>
  <si>
    <t>MBLHAR182HHB6515</t>
  </si>
  <si>
    <t>HA10AGNHB710</t>
  </si>
  <si>
    <t>2025-02-06 19:58:13</t>
  </si>
  <si>
    <t>Ajinkya Warhade</t>
  </si>
  <si>
    <t>MH12RX4773</t>
  </si>
  <si>
    <t>24243</t>
  </si>
  <si>
    <t>MD626EG45K1G28173</t>
  </si>
  <si>
    <t>EG4GK1416107</t>
  </si>
  <si>
    <t>2025-03-21 19:35:35</t>
  </si>
  <si>
    <t>31359</t>
  </si>
  <si>
    <t>2025-02-07 12:53:51</t>
  </si>
  <si>
    <t>Neha Tayal</t>
  </si>
  <si>
    <t>MH14FW0676</t>
  </si>
  <si>
    <t>49933</t>
  </si>
  <si>
    <t>2025-03-21 19:37:13</t>
  </si>
  <si>
    <t>Kedar Lachke</t>
  </si>
  <si>
    <t>MH12HP7311</t>
  </si>
  <si>
    <t>x</t>
  </si>
  <si>
    <t>2025-03-21 19:36:10</t>
  </si>
  <si>
    <t xml:space="preserve">Shreyas Sonwane </t>
  </si>
  <si>
    <t>MH15FA5003</t>
  </si>
  <si>
    <t>2025-02-07 19:46:41</t>
  </si>
  <si>
    <t>MH09GP1265</t>
  </si>
  <si>
    <t>6780</t>
  </si>
  <si>
    <t>ME4KC404LPG070263</t>
  </si>
  <si>
    <t>KC40EG3070428</t>
  </si>
  <si>
    <t>2025-03-21 19:37:41</t>
  </si>
  <si>
    <t xml:space="preserve">Ujwala </t>
  </si>
  <si>
    <t>MH14GB3965</t>
  </si>
  <si>
    <t>38547</t>
  </si>
  <si>
    <t>2025-03-21 19:38:08</t>
  </si>
  <si>
    <t>MH29CA1422</t>
  </si>
  <si>
    <t>KTM Duke 390</t>
  </si>
  <si>
    <t>21563</t>
  </si>
  <si>
    <t>2025-03-21 19:44:18</t>
  </si>
  <si>
    <t>Sahil Patekar</t>
  </si>
  <si>
    <t>MH12TB3639</t>
  </si>
  <si>
    <t>22141</t>
  </si>
  <si>
    <t>2025-03-21 19:59:32</t>
  </si>
  <si>
    <t>VINIT JANNU</t>
  </si>
  <si>
    <t>MH13P6938</t>
  </si>
  <si>
    <t>00D20C24779</t>
  </si>
  <si>
    <t>00D18M14693</t>
  </si>
  <si>
    <t>2025-02-07 20:16:06</t>
  </si>
  <si>
    <t>MH14HE0954</t>
  </si>
  <si>
    <t>28401</t>
  </si>
  <si>
    <t>MB8DPMAJJ8041132</t>
  </si>
  <si>
    <t>AF211810256</t>
  </si>
  <si>
    <t>2025-02-07 18:50:26</t>
  </si>
  <si>
    <t>SWAROOP SINGH</t>
  </si>
  <si>
    <t>MH14KZ1137</t>
  </si>
  <si>
    <t>9945</t>
  </si>
  <si>
    <t>MBLHAWQQ0PGH05498</t>
  </si>
  <si>
    <t>HA12E5P4H06081</t>
  </si>
  <si>
    <t>2025-02-07 19:44:54</t>
  </si>
  <si>
    <t>BHAKTI GHOLAP</t>
  </si>
  <si>
    <t>MH12MT0878</t>
  </si>
  <si>
    <t>60163</t>
  </si>
  <si>
    <t>ME4JF505BGT061566</t>
  </si>
  <si>
    <t>JF50ET3061953</t>
  </si>
  <si>
    <t>2025-03-21 20:10:47</t>
  </si>
  <si>
    <t>Sachin Tambe</t>
  </si>
  <si>
    <t>MH14HF5667</t>
  </si>
  <si>
    <t>8561</t>
  </si>
  <si>
    <t>ME4JF50BLJU16771</t>
  </si>
  <si>
    <t>JF50EU8161225</t>
  </si>
  <si>
    <t>2025-02-07 19:41:30</t>
  </si>
  <si>
    <t xml:space="preserve">Vishal Pawar </t>
  </si>
  <si>
    <t>MH14KY2388</t>
  </si>
  <si>
    <t>830</t>
  </si>
  <si>
    <t>2025-02-07 19:46:12</t>
  </si>
  <si>
    <t>Rishikesh Yelsangi</t>
  </si>
  <si>
    <t>MH13CM5408</t>
  </si>
  <si>
    <t>71671</t>
  </si>
  <si>
    <t>2025-02-07 20:16:54</t>
  </si>
  <si>
    <t>51531</t>
  </si>
  <si>
    <t>0239 ₹</t>
  </si>
  <si>
    <t>2025-03-21 19:43:22</t>
  </si>
  <si>
    <t>REVAN KARADI</t>
  </si>
  <si>
    <t>MH12JB2174</t>
  </si>
  <si>
    <t>49999</t>
  </si>
  <si>
    <t>MDZA14AZ7CWC08011</t>
  </si>
  <si>
    <t>JBZWCC75201</t>
  </si>
  <si>
    <t>2025-05-17 19:49:09</t>
  </si>
  <si>
    <t xml:space="preserve">Ajay Chaudhary </t>
  </si>
  <si>
    <t>MH20FS7375</t>
  </si>
  <si>
    <t>Bajaj Avenger 160 Street</t>
  </si>
  <si>
    <t>MD2B57CX4LCH26973</t>
  </si>
  <si>
    <t>PDXCLG35076</t>
  </si>
  <si>
    <t>2025-02-07 18:31:35</t>
  </si>
  <si>
    <t xml:space="preserve">ABHIJEET THAKUR </t>
  </si>
  <si>
    <t>MH18BQ3649</t>
  </si>
  <si>
    <t>12795</t>
  </si>
  <si>
    <t>2025-02-07 18:32:16</t>
  </si>
  <si>
    <t>VIVEK PADOLE</t>
  </si>
  <si>
    <t>MH34BY4123</t>
  </si>
  <si>
    <t>34723</t>
  </si>
  <si>
    <t>ME4JC833GM049293</t>
  </si>
  <si>
    <t>JC83EG0496621</t>
  </si>
  <si>
    <t>2025-02-07 19:45:46</t>
  </si>
  <si>
    <t>AMAN JOSHI</t>
  </si>
  <si>
    <t>UK07DY7782</t>
  </si>
  <si>
    <t>Royal Enfield Meteor  350</t>
  </si>
  <si>
    <t>13642</t>
  </si>
  <si>
    <t>ME3J3A5FGM12004423</t>
  </si>
  <si>
    <t>J3A5FGM2107899</t>
  </si>
  <si>
    <t>2025-04-18 20:17:09</t>
  </si>
  <si>
    <t>2025-04-18 20:18:11</t>
  </si>
  <si>
    <t>20545</t>
  </si>
  <si>
    <t>2025-04-18 20:18:47</t>
  </si>
  <si>
    <t>AJINKYA</t>
  </si>
  <si>
    <t>MH15HP8073</t>
  </si>
  <si>
    <t>17650</t>
  </si>
  <si>
    <t>2025-04-18 20:20:04</t>
  </si>
  <si>
    <t>Nandan Deshpande</t>
  </si>
  <si>
    <t>MH12KX8392</t>
  </si>
  <si>
    <t>59259</t>
  </si>
  <si>
    <t>ME4JC36KCET019587</t>
  </si>
  <si>
    <t>JC36ET7052618</t>
  </si>
  <si>
    <t>2024-12-06 17:07:48</t>
  </si>
  <si>
    <t>MH14FV2548</t>
  </si>
  <si>
    <t>22791</t>
  </si>
  <si>
    <t>MD626BG47G1F93979</t>
  </si>
  <si>
    <t>BG4FG1887157</t>
  </si>
  <si>
    <t>2025-04-18 20:20:35</t>
  </si>
  <si>
    <t>33510</t>
  </si>
  <si>
    <t>2025-04-18 20:21:00</t>
  </si>
  <si>
    <t>GAURAV FUSHE</t>
  </si>
  <si>
    <t>MH14KX5449</t>
  </si>
  <si>
    <t>7629</t>
  </si>
  <si>
    <t>40 ₹</t>
  </si>
  <si>
    <t>ME4JK156EPW170877</t>
  </si>
  <si>
    <t>JK15EW5170880</t>
  </si>
  <si>
    <t>2025-04-18 20:21:28</t>
  </si>
  <si>
    <t>10269</t>
  </si>
  <si>
    <t>2025-04-18 19:51:47</t>
  </si>
  <si>
    <t>24437</t>
  </si>
  <si>
    <t>2025-04-18 20:54:36</t>
  </si>
  <si>
    <t>RISHABH THAKKAR</t>
  </si>
  <si>
    <t>MH12LK1863</t>
  </si>
  <si>
    <t>33443</t>
  </si>
  <si>
    <t>2025-02-27 11:54:33</t>
  </si>
  <si>
    <t xml:space="preserve">VAIBHAV GAIKWAD </t>
  </si>
  <si>
    <t>MH28AM5004</t>
  </si>
  <si>
    <t>40000</t>
  </si>
  <si>
    <t>MD626BG43FAA25923</t>
  </si>
  <si>
    <t>BG4AF1417207</t>
  </si>
  <si>
    <t>2025-02-27 11:56:48</t>
  </si>
  <si>
    <t>OMKAR NAVLE</t>
  </si>
  <si>
    <t>MH03CN5161</t>
  </si>
  <si>
    <t>35311</t>
  </si>
  <si>
    <t>2025-04-18 21:01:35</t>
  </si>
  <si>
    <t>RIYA</t>
  </si>
  <si>
    <t>MH12QV2903</t>
  </si>
  <si>
    <t>25735</t>
  </si>
  <si>
    <t>ME4JF39KHJ4005142</t>
  </si>
  <si>
    <t>JF39E4033275</t>
  </si>
  <si>
    <t>2025-05-17 19:52:12</t>
  </si>
  <si>
    <t>Hrishikesh Nawale</t>
  </si>
  <si>
    <t>MH11DF8181</t>
  </si>
  <si>
    <t>17555</t>
  </si>
  <si>
    <t>ME1RG6825N0015036</t>
  </si>
  <si>
    <t>G3N4E0287472</t>
  </si>
  <si>
    <t>2025-05-17 19:55:43</t>
  </si>
  <si>
    <t>Sampat Pathare</t>
  </si>
  <si>
    <t>MH14EQ8940</t>
  </si>
  <si>
    <t>83665</t>
  </si>
  <si>
    <t>ME4JC36NJE7085163</t>
  </si>
  <si>
    <t>JC36E73686663</t>
  </si>
  <si>
    <t>2025-05-17 19:57:12</t>
  </si>
  <si>
    <t>16404</t>
  </si>
  <si>
    <t>2025-02-08 20:17:20</t>
  </si>
  <si>
    <t>AISHWARYA</t>
  </si>
  <si>
    <t>MH41BC9212</t>
  </si>
  <si>
    <t>15022</t>
  </si>
  <si>
    <t>ME4JF914JG182274</t>
  </si>
  <si>
    <t>JF91EG1180846</t>
  </si>
  <si>
    <t>2025-04-18 20:31:45</t>
  </si>
  <si>
    <t>SMEETA KURVE</t>
  </si>
  <si>
    <t>MH14GW1025</t>
  </si>
  <si>
    <t>73662</t>
  </si>
  <si>
    <t>ME4JF50CBJU115279</t>
  </si>
  <si>
    <t>JF58EU9118337</t>
  </si>
  <si>
    <t>2025-05-17 19:51:47</t>
  </si>
  <si>
    <t>Venkatesh</t>
  </si>
  <si>
    <t>MH14DL9323</t>
  </si>
  <si>
    <t>38220</t>
  </si>
  <si>
    <t>2025-05-17 19:56:07</t>
  </si>
  <si>
    <t>24300</t>
  </si>
  <si>
    <t>2025-05-17 20:09:59</t>
  </si>
  <si>
    <t>9567</t>
  </si>
  <si>
    <t>2025-02-08 20:22:18</t>
  </si>
  <si>
    <t>Rahul Baviskar</t>
  </si>
  <si>
    <t>MH14DB7476</t>
  </si>
  <si>
    <t>26553</t>
  </si>
  <si>
    <t>2025-02-08 20:32:30</t>
  </si>
  <si>
    <t>VAISHNAV PHARLE</t>
  </si>
  <si>
    <t>MH16CN1655</t>
  </si>
  <si>
    <t>38414</t>
  </si>
  <si>
    <t>2025-02-09 18:58:53</t>
  </si>
  <si>
    <t xml:space="preserve">DESHPANDE </t>
  </si>
  <si>
    <t>MH14EX3678</t>
  </si>
  <si>
    <t>54622</t>
  </si>
  <si>
    <t>ME4KC201DF804134</t>
  </si>
  <si>
    <t>KC20E8001097</t>
  </si>
  <si>
    <t>2025-02-08 20:16:41</t>
  </si>
  <si>
    <t>GORAKH</t>
  </si>
  <si>
    <t>MH12VH4680</t>
  </si>
  <si>
    <t>11541</t>
  </si>
  <si>
    <t>024 ₹</t>
  </si>
  <si>
    <t>MD626BAK48P125597</t>
  </si>
  <si>
    <t>BK4BP1023223</t>
  </si>
  <si>
    <t>2025-04-05 18:11:24</t>
  </si>
  <si>
    <t>SUSHANT DESAI</t>
  </si>
  <si>
    <t>MH14JC6599</t>
  </si>
  <si>
    <t>36627</t>
  </si>
  <si>
    <t>MB8DP12DAL8120548</t>
  </si>
  <si>
    <t>AF2122686772</t>
  </si>
  <si>
    <t>2025-02-27 19:54:57</t>
  </si>
  <si>
    <t>Nainish</t>
  </si>
  <si>
    <t>MH14GR0978</t>
  </si>
  <si>
    <t>22953</t>
  </si>
  <si>
    <t>ME4JF50CMHUD05486</t>
  </si>
  <si>
    <t>JF50EU9065523</t>
  </si>
  <si>
    <t>2025-02-08 20:21:22</t>
  </si>
  <si>
    <t>13404</t>
  </si>
  <si>
    <t>2025-02-08 20:18:10</t>
  </si>
  <si>
    <t>87404</t>
  </si>
  <si>
    <t>2025-02-08 20:19:48</t>
  </si>
  <si>
    <t>VISHAL WAGH</t>
  </si>
  <si>
    <t>MH31DG2618</t>
  </si>
  <si>
    <t>016 ₹</t>
  </si>
  <si>
    <t>ME4JC446ED8265009</t>
  </si>
  <si>
    <t>JC44E0208335</t>
  </si>
  <si>
    <t>2025-02-08 20:23:56</t>
  </si>
  <si>
    <t>SHWETA HAMBIR</t>
  </si>
  <si>
    <t>MH14KY0094</t>
  </si>
  <si>
    <t>21666</t>
  </si>
  <si>
    <t>MB8DP12PGP8309832</t>
  </si>
  <si>
    <t>AF213289556</t>
  </si>
  <si>
    <t>2025-02-08 20:45:20</t>
  </si>
  <si>
    <t>2025-02-09 18:41:51</t>
  </si>
  <si>
    <t>JAIKE</t>
  </si>
  <si>
    <t>MH12MT1028</t>
  </si>
  <si>
    <t>Bajaj Pulsar 200 AS</t>
  </si>
  <si>
    <t>46063</t>
  </si>
  <si>
    <t>MD2A30FZ3FCF44856</t>
  </si>
  <si>
    <t>JLZCLFF49704</t>
  </si>
  <si>
    <t>2025-02-08 20:52:42</t>
  </si>
  <si>
    <t>MADAN PANDIT</t>
  </si>
  <si>
    <t>MH14EK7933</t>
  </si>
  <si>
    <t>05019</t>
  </si>
  <si>
    <t>MBLHA12ACEGE10840</t>
  </si>
  <si>
    <t>HA12EME9E11007</t>
  </si>
  <si>
    <t>2025-02-08 20:56:16</t>
  </si>
  <si>
    <t xml:space="preserve">Radhe Sham Pandit </t>
  </si>
  <si>
    <t>MH12MQ2009</t>
  </si>
  <si>
    <t>38844</t>
  </si>
  <si>
    <t>2025-04-02 20:25:31</t>
  </si>
  <si>
    <t>Ram</t>
  </si>
  <si>
    <t>MH27CF9281</t>
  </si>
  <si>
    <t>28693</t>
  </si>
  <si>
    <t>MB8DP11AAJ8710157</t>
  </si>
  <si>
    <t>AF211560163</t>
  </si>
  <si>
    <t>2025-04-02 20:26:10</t>
  </si>
  <si>
    <t xml:space="preserve">PRAMOD ZUNJARRAO </t>
  </si>
  <si>
    <t>MH14GL3119</t>
  </si>
  <si>
    <t>37089</t>
  </si>
  <si>
    <t>029 ₹</t>
  </si>
  <si>
    <t>2025-02-08 20:32:59</t>
  </si>
  <si>
    <t>Rohit Mohite</t>
  </si>
  <si>
    <t>MH17BU9513</t>
  </si>
  <si>
    <t>ME1RG4416H0013408</t>
  </si>
  <si>
    <t>2025-02-27 19:49:12</t>
  </si>
  <si>
    <t xml:space="preserve">Pradeep Shirke </t>
  </si>
  <si>
    <t>MH14JS5977</t>
  </si>
  <si>
    <t>17105</t>
  </si>
  <si>
    <t>MD651DE55MZF12721</t>
  </si>
  <si>
    <t>GESFM2912978</t>
  </si>
  <si>
    <t>2025-02-08 20:22:54</t>
  </si>
  <si>
    <t>MH12GX9314</t>
  </si>
  <si>
    <t>12785</t>
  </si>
  <si>
    <t>ME121C07582001237</t>
  </si>
  <si>
    <t>21C7001278</t>
  </si>
  <si>
    <t>2025-02-27 19:54:19</t>
  </si>
  <si>
    <t>MH12GJ6578</t>
  </si>
  <si>
    <t>63571</t>
  </si>
  <si>
    <t>ME4J44XXXXXX</t>
  </si>
  <si>
    <t>JC44E0966093</t>
  </si>
  <si>
    <t>2025-02-09 20:25:21</t>
  </si>
  <si>
    <t xml:space="preserve">SAGAR </t>
  </si>
  <si>
    <t>MH48CA0134</t>
  </si>
  <si>
    <t>2025-02-27 19:52:44</t>
  </si>
  <si>
    <t>25170</t>
  </si>
  <si>
    <t>07 ₹</t>
  </si>
  <si>
    <t>2025-02-09 20:37:45</t>
  </si>
  <si>
    <t>Sandeep Bhor</t>
  </si>
  <si>
    <t>MH14GV2147</t>
  </si>
  <si>
    <t>57872</t>
  </si>
  <si>
    <t>2025-02-09 18:40:18</t>
  </si>
  <si>
    <t>Shikha Sharma</t>
  </si>
  <si>
    <t>MP04SZ8398</t>
  </si>
  <si>
    <t>38344</t>
  </si>
  <si>
    <t>ME4JF507JHT557059</t>
  </si>
  <si>
    <t>JF50ET5557243</t>
  </si>
  <si>
    <t>2025-02-09 19:06:16</t>
  </si>
  <si>
    <t>NITIN</t>
  </si>
  <si>
    <t>MH14FF9616</t>
  </si>
  <si>
    <t>20645</t>
  </si>
  <si>
    <t>MD2A12DZ0FCF26655</t>
  </si>
  <si>
    <t>DJZCF53564</t>
  </si>
  <si>
    <t>2025-02-09 19:08:06</t>
  </si>
  <si>
    <t>Kapil Agrawal</t>
  </si>
  <si>
    <t>MH12JB4380</t>
  </si>
  <si>
    <t>31168</t>
  </si>
  <si>
    <t>MD2D5JZZZVWA22468</t>
  </si>
  <si>
    <t>2025-02-27 19:49:49</t>
  </si>
  <si>
    <t>MH26BT3835</t>
  </si>
  <si>
    <t>24945</t>
  </si>
  <si>
    <t>ME4JF50DMKG936091</t>
  </si>
  <si>
    <t>JF50EG43616Z</t>
  </si>
  <si>
    <t>2025-02-09 18:51:24</t>
  </si>
  <si>
    <t>MH12TF9425</t>
  </si>
  <si>
    <t>25514</t>
  </si>
  <si>
    <t>MD2B68BX6LWH09515</t>
  </si>
  <si>
    <t>DHXWLH76609</t>
  </si>
  <si>
    <t>2025-02-09 18:56:59</t>
  </si>
  <si>
    <t>ASHWIN JADHAV</t>
  </si>
  <si>
    <t>MH20DX2793</t>
  </si>
  <si>
    <t>48353</t>
  </si>
  <si>
    <t>2025-02-09 18:58:10</t>
  </si>
  <si>
    <t>RAJAN JAIN</t>
  </si>
  <si>
    <t>MH14LD8805</t>
  </si>
  <si>
    <t>1949</t>
  </si>
  <si>
    <t>MD626CG56P247565</t>
  </si>
  <si>
    <t>DG5LP1528766</t>
  </si>
  <si>
    <t>2025-02-09 19:00:00</t>
  </si>
  <si>
    <t>G.D. KUMBHARKAR</t>
  </si>
  <si>
    <t>MH14Z3167</t>
  </si>
  <si>
    <t xml:space="preserve">Bajaj Boxer </t>
  </si>
  <si>
    <t>72756</t>
  </si>
  <si>
    <t>2025-02-09 19:04:03</t>
  </si>
  <si>
    <t>Kiran Survase</t>
  </si>
  <si>
    <t>MH17CH6941</t>
  </si>
  <si>
    <t>76759</t>
  </si>
  <si>
    <t>2025-02-09 19:12:59</t>
  </si>
  <si>
    <t>Sushil Chaudhari</t>
  </si>
  <si>
    <t>MH14EJ1506</t>
  </si>
  <si>
    <t>17089</t>
  </si>
  <si>
    <t>2025-02-09 19:07:25</t>
  </si>
  <si>
    <t>AYUSH</t>
  </si>
  <si>
    <t>MH04HR6590</t>
  </si>
  <si>
    <t>15381</t>
  </si>
  <si>
    <t>ME4JF505GG7254365</t>
  </si>
  <si>
    <t>JF50E73253643</t>
  </si>
  <si>
    <t>2025-02-28 17:58:20</t>
  </si>
  <si>
    <t>Golu</t>
  </si>
  <si>
    <t>MH14JB9786</t>
  </si>
  <si>
    <t>20911</t>
  </si>
  <si>
    <t>2025-02-09 19:21:04</t>
  </si>
  <si>
    <t>SANSKRITI</t>
  </si>
  <si>
    <t>MH31FJ7726</t>
  </si>
  <si>
    <t>24161</t>
  </si>
  <si>
    <t>ME4550AKJU326966</t>
  </si>
  <si>
    <t>JF50EU7328985</t>
  </si>
  <si>
    <t>2025-02-12 12:06:06</t>
  </si>
  <si>
    <t>ANIL CHAVAN</t>
  </si>
  <si>
    <t>MH12RU1427</t>
  </si>
  <si>
    <t>19363</t>
  </si>
  <si>
    <t>ME3U355C2KE527867</t>
  </si>
  <si>
    <t>U3S5CKF510264</t>
  </si>
  <si>
    <t>2025-02-10 19:01:38</t>
  </si>
  <si>
    <t>Parameshwar</t>
  </si>
  <si>
    <t>MH16AL8336</t>
  </si>
  <si>
    <t>31214</t>
  </si>
  <si>
    <t>0134 ₹</t>
  </si>
  <si>
    <t>2025-06-15 12:39:35</t>
  </si>
  <si>
    <t>82470</t>
  </si>
  <si>
    <t>2025-06-15 12:41:53</t>
  </si>
  <si>
    <t>87759</t>
  </si>
  <si>
    <t>2025-06-15 12:42:28</t>
  </si>
  <si>
    <t>16998</t>
  </si>
  <si>
    <t>2025-06-15 12:42:50</t>
  </si>
  <si>
    <t>2025-06-15 12:44:46</t>
  </si>
  <si>
    <t>Sumish</t>
  </si>
  <si>
    <t>MH12TE9261</t>
  </si>
  <si>
    <t>18474</t>
  </si>
  <si>
    <t>2025-02-09 18:52:44</t>
  </si>
  <si>
    <t>Bhagvat Mashke</t>
  </si>
  <si>
    <t>MH38AF7165</t>
  </si>
  <si>
    <t>15376</t>
  </si>
  <si>
    <t>2025-02-09 19:55:36</t>
  </si>
  <si>
    <t>2025-06-14 13:25:12</t>
  </si>
  <si>
    <t>Parth</t>
  </si>
  <si>
    <t>MH14HT5150</t>
  </si>
  <si>
    <t>21620</t>
  </si>
  <si>
    <t>0.00 ₹</t>
  </si>
  <si>
    <t>2025-02-09 20:25:01</t>
  </si>
  <si>
    <t>21697</t>
  </si>
  <si>
    <t>2025-02-09 20:24:19</t>
  </si>
  <si>
    <t>PRATYUSH BALERAO</t>
  </si>
  <si>
    <t>MH12PM9246</t>
  </si>
  <si>
    <t>TVS Jupiter Grande</t>
  </si>
  <si>
    <t>47194</t>
  </si>
  <si>
    <t>MD626EG40H1H76806</t>
  </si>
  <si>
    <t>EG4HH2322403</t>
  </si>
  <si>
    <t>2025-02-09 20:23:49</t>
  </si>
  <si>
    <t xml:space="preserve">PRADEEP </t>
  </si>
  <si>
    <t>MH14LD9319</t>
  </si>
  <si>
    <t>12036</t>
  </si>
  <si>
    <t>MD626CG5P1322039</t>
  </si>
  <si>
    <t>DG6LP1712034</t>
  </si>
  <si>
    <t>2025-06-15 12:36:40</t>
  </si>
  <si>
    <t>Dhawal</t>
  </si>
  <si>
    <t>MH12GQ8004</t>
  </si>
  <si>
    <t xml:space="preserve">Yamaha SZ </t>
  </si>
  <si>
    <t>27287</t>
  </si>
  <si>
    <t>2025-06-15 12:37:36</t>
  </si>
  <si>
    <t>Mayur Bobde</t>
  </si>
  <si>
    <t>MH22AS3054</t>
  </si>
  <si>
    <t>75634</t>
  </si>
  <si>
    <t>G3J3E0435236</t>
  </si>
  <si>
    <t>2025-06-15 12:46:23</t>
  </si>
  <si>
    <t>MH13DL9218</t>
  </si>
  <si>
    <t>27397</t>
  </si>
  <si>
    <t>ME4JF50AJKWZZ3265</t>
  </si>
  <si>
    <t>JF50EW0222101</t>
  </si>
  <si>
    <t>2025-06-15 12:49:43</t>
  </si>
  <si>
    <t>Mayank Mane</t>
  </si>
  <si>
    <t>MH09DB2398</t>
  </si>
  <si>
    <t>45167</t>
  </si>
  <si>
    <t>2025-06-15 12:48:21</t>
  </si>
  <si>
    <t>Nikhil Jadhav</t>
  </si>
  <si>
    <t>MH29CA3518</t>
  </si>
  <si>
    <t>15276</t>
  </si>
  <si>
    <t>2025-06-15 12:52:48</t>
  </si>
  <si>
    <t>Panjab Sindh Dairy</t>
  </si>
  <si>
    <t>GJ15DG5796</t>
  </si>
  <si>
    <t>MD626EG47K1E41713</t>
  </si>
  <si>
    <t>EG4EK1X27873</t>
  </si>
  <si>
    <t>2025-06-19 12:03:29</t>
  </si>
  <si>
    <t>24967</t>
  </si>
  <si>
    <t>2025-03-22 20:03:15</t>
  </si>
  <si>
    <t>31673</t>
  </si>
  <si>
    <t>2025-03-22 20:03:53</t>
  </si>
  <si>
    <t>Rahul Borve</t>
  </si>
  <si>
    <t>MH12PS1465</t>
  </si>
  <si>
    <t>9721</t>
  </si>
  <si>
    <t>MET0061AAVH030302</t>
  </si>
  <si>
    <t>M911M3030588</t>
  </si>
  <si>
    <t>2025-03-22 20:04:22</t>
  </si>
  <si>
    <t xml:space="preserve">Avdhoot Jadhav </t>
  </si>
  <si>
    <t>KA22EW4971</t>
  </si>
  <si>
    <t>31761</t>
  </si>
  <si>
    <t>2025-03-22 20:06:45</t>
  </si>
  <si>
    <t>MH14FA4314</t>
  </si>
  <si>
    <t>27127</t>
  </si>
  <si>
    <t>2025-03-22 20:09:54</t>
  </si>
  <si>
    <t>Atul</t>
  </si>
  <si>
    <t>MH20CW2975</t>
  </si>
  <si>
    <t>64086</t>
  </si>
  <si>
    <t>MBLKC12EHDGH0841</t>
  </si>
  <si>
    <t>KC12EEDGH01239</t>
  </si>
  <si>
    <t>2025-03-22 20:15:10</t>
  </si>
  <si>
    <t>MH15CP9818</t>
  </si>
  <si>
    <t>19920</t>
  </si>
  <si>
    <t>MB8CF4CAC8110223</t>
  </si>
  <si>
    <t>F458345505</t>
  </si>
  <si>
    <t>2025-03-22 20:12:40</t>
  </si>
  <si>
    <t>MH12QV3097</t>
  </si>
  <si>
    <t>32352</t>
  </si>
  <si>
    <t>KC31E80357222</t>
  </si>
  <si>
    <t>2025-03-22 20:11:42</t>
  </si>
  <si>
    <t>Vamsi</t>
  </si>
  <si>
    <t>KA01JE5712</t>
  </si>
  <si>
    <t>2025-06-15 12:47:08</t>
  </si>
  <si>
    <t>Gaurav Dhokriya</t>
  </si>
  <si>
    <t>MH16CX5966</t>
  </si>
  <si>
    <t>2025-03-22 20:14:44</t>
  </si>
  <si>
    <t>42939</t>
  </si>
  <si>
    <t>2025-03-22 20:17:30</t>
  </si>
  <si>
    <t xml:space="preserve">Samadhan Jadhav </t>
  </si>
  <si>
    <t>MH14JY1588</t>
  </si>
  <si>
    <t>21845</t>
  </si>
  <si>
    <t>2025-06-15 12:43:51</t>
  </si>
  <si>
    <t>Saraf</t>
  </si>
  <si>
    <t>MH12GC5489</t>
  </si>
  <si>
    <t>55028</t>
  </si>
  <si>
    <t>ME4JF118EA8032794</t>
  </si>
  <si>
    <t>JF11E4032875</t>
  </si>
  <si>
    <t>2025-05-07 19:28:01</t>
  </si>
  <si>
    <t>44049</t>
  </si>
  <si>
    <t>2025-03-22 20:20:57</t>
  </si>
  <si>
    <t>MH12VN7362</t>
  </si>
  <si>
    <t>2025-03-22 20:21:45</t>
  </si>
  <si>
    <t xml:space="preserve"> Praveen </t>
  </si>
  <si>
    <t>MH14FU4585</t>
  </si>
  <si>
    <t>52689</t>
  </si>
  <si>
    <t>2025-03-22 20:37:32</t>
  </si>
  <si>
    <t>SHWETA</t>
  </si>
  <si>
    <t>MH12MX7516</t>
  </si>
  <si>
    <t>41322</t>
  </si>
  <si>
    <t>0218 ₹</t>
  </si>
  <si>
    <t>2025-03-22 20:18:23</t>
  </si>
  <si>
    <t>Anisha</t>
  </si>
  <si>
    <t>MH12RG8987</t>
  </si>
  <si>
    <t xml:space="preserve">Suzuki Burgman Street </t>
  </si>
  <si>
    <t>17039</t>
  </si>
  <si>
    <t>MB8EA11AAK81526641</t>
  </si>
  <si>
    <t>2025-03-22 20:17:55</t>
  </si>
  <si>
    <t>Prashant Salvi</t>
  </si>
  <si>
    <t>MH12MX7208</t>
  </si>
  <si>
    <t>19735</t>
  </si>
  <si>
    <t>ME4JF505BGT099825</t>
  </si>
  <si>
    <t>JF50ET3100031</t>
  </si>
  <si>
    <t>2025-02-28 18:23:17</t>
  </si>
  <si>
    <t>Mangesh</t>
  </si>
  <si>
    <t>MH14BW1298</t>
  </si>
  <si>
    <t>79478</t>
  </si>
  <si>
    <t>ME4KC093J98092084</t>
  </si>
  <si>
    <t>KC09E1093558</t>
  </si>
  <si>
    <t>2025-02-28 17:42:19</t>
  </si>
  <si>
    <t xml:space="preserve">Umesh Patil </t>
  </si>
  <si>
    <t>MH12RZ7630</t>
  </si>
  <si>
    <t>8819</t>
  </si>
  <si>
    <t>ME4JF50AHKG229609</t>
  </si>
  <si>
    <t>JF50EG0229612</t>
  </si>
  <si>
    <t>2025-02-28 17:45:07</t>
  </si>
  <si>
    <t>JITENDRA RAJPUT</t>
  </si>
  <si>
    <t>MH14GE7951</t>
  </si>
  <si>
    <t>20240</t>
  </si>
  <si>
    <t>ME34355C1HB073547</t>
  </si>
  <si>
    <t>435COHB260966</t>
  </si>
  <si>
    <t>2025-02-28 17:59:11</t>
  </si>
  <si>
    <t>MH20FR3649</t>
  </si>
  <si>
    <t>34676</t>
  </si>
  <si>
    <t>2025-02-28 17:43:30</t>
  </si>
  <si>
    <t xml:space="preserve">SHISHIR MALVIYA </t>
  </si>
  <si>
    <t>MH02CM0809</t>
  </si>
  <si>
    <t>42651</t>
  </si>
  <si>
    <t>2024-11-25 19:54:16</t>
  </si>
  <si>
    <t>ASHISH NIMKARDE</t>
  </si>
  <si>
    <t>MH12JR4703</t>
  </si>
  <si>
    <t xml:space="preserve">Honda Dazzler </t>
  </si>
  <si>
    <t>62615</t>
  </si>
  <si>
    <t>2024-11-25 19:54:43</t>
  </si>
  <si>
    <t>MH12TQ0367</t>
  </si>
  <si>
    <t>Honda CB 350</t>
  </si>
  <si>
    <t>ME4NC588JMA002360</t>
  </si>
  <si>
    <t>NC58FA2005017</t>
  </si>
  <si>
    <t>2024-11-25 19:56:17</t>
  </si>
  <si>
    <t>RUTURAJ RAJPUT</t>
  </si>
  <si>
    <t>MH12KU7565</t>
  </si>
  <si>
    <t>29993</t>
  </si>
  <si>
    <t>ME4JF501AET203034</t>
  </si>
  <si>
    <t>JF50ET2201164</t>
  </si>
  <si>
    <t>2024-11-25 19:57:00</t>
  </si>
  <si>
    <t>NAMIT WAHI</t>
  </si>
  <si>
    <t>MH12QZ6441</t>
  </si>
  <si>
    <t>9865</t>
  </si>
  <si>
    <t>ME4JF50AJJT479715</t>
  </si>
  <si>
    <t>JF50ET7479808</t>
  </si>
  <si>
    <t>2025-02-10 19:00:43</t>
  </si>
  <si>
    <t>SANDIP</t>
  </si>
  <si>
    <t>MH14HJ2221</t>
  </si>
  <si>
    <t>69690</t>
  </si>
  <si>
    <t>ME4JF50AMJU434466</t>
  </si>
  <si>
    <t>JF50EU74135</t>
  </si>
  <si>
    <t>2025-02-10 19:01:02</t>
  </si>
  <si>
    <t>MH16BD0175</t>
  </si>
  <si>
    <t>98270</t>
  </si>
  <si>
    <t>2025-02-10 18:59:53</t>
  </si>
  <si>
    <t xml:space="preserve">Pradeep </t>
  </si>
  <si>
    <t>MH48AR3598</t>
  </si>
  <si>
    <t>48267</t>
  </si>
  <si>
    <t>ME4JF505GGU240017</t>
  </si>
  <si>
    <t>JF50603239861</t>
  </si>
  <si>
    <t>2025-02-10 19:35:36</t>
  </si>
  <si>
    <t>66316</t>
  </si>
  <si>
    <t>018 ₹</t>
  </si>
  <si>
    <t>2025-02-10 19:36:14</t>
  </si>
  <si>
    <t>51853</t>
  </si>
  <si>
    <t>2025-02-10 19:38:31</t>
  </si>
  <si>
    <t>SUKHPREET</t>
  </si>
  <si>
    <t>MH12PR2948</t>
  </si>
  <si>
    <t>33076</t>
  </si>
  <si>
    <t>ME1RG4215H0017939</t>
  </si>
  <si>
    <t>G3H7E0017818</t>
  </si>
  <si>
    <t>2025-02-10 19:56:50</t>
  </si>
  <si>
    <t>RANJEET DHUMAL</t>
  </si>
  <si>
    <t>MH09BS4887</t>
  </si>
  <si>
    <t>44002</t>
  </si>
  <si>
    <t>MBLK13RCSGG13998</t>
  </si>
  <si>
    <t>KC12EBAGG13128</t>
  </si>
  <si>
    <t>2025-02-10 19:57:12</t>
  </si>
  <si>
    <t>52295</t>
  </si>
  <si>
    <t>2024-11-25 19:57:59</t>
  </si>
  <si>
    <t>MH14LK1943</t>
  </si>
  <si>
    <t>42319</t>
  </si>
  <si>
    <t>MEJC446GA68329623</t>
  </si>
  <si>
    <t>JC44E0777486</t>
  </si>
  <si>
    <t>2025-02-28 19:17:24</t>
  </si>
  <si>
    <t>Pranjal Patil</t>
  </si>
  <si>
    <t>MH14GX8994</t>
  </si>
  <si>
    <t>28202</t>
  </si>
  <si>
    <t>2024-11-25 19:53:17</t>
  </si>
  <si>
    <t>RISHI</t>
  </si>
  <si>
    <t>MH12EQ7349</t>
  </si>
  <si>
    <t>50349</t>
  </si>
  <si>
    <t>MB8NG4BAJE8106331</t>
  </si>
  <si>
    <t>BGA1106900</t>
  </si>
  <si>
    <t>2025-03-01 18:27:50</t>
  </si>
  <si>
    <t>MH14BZ8666</t>
  </si>
  <si>
    <t>82439</t>
  </si>
  <si>
    <t>ME4JFM8A08007561</t>
  </si>
  <si>
    <t>2025-02-28 20:08:11</t>
  </si>
  <si>
    <t>Kedar Deshmukh</t>
  </si>
  <si>
    <t>MH12JB7356</t>
  </si>
  <si>
    <t>MD634KE4XL2069770</t>
  </si>
  <si>
    <t>2025-02-28 20:12:14</t>
  </si>
  <si>
    <t>MANOJ PATIL</t>
  </si>
  <si>
    <t>MH15HB0660</t>
  </si>
  <si>
    <t>5676</t>
  </si>
  <si>
    <t>MB8DP11AKK8F81701</t>
  </si>
  <si>
    <t>AF212190704</t>
  </si>
  <si>
    <t>2025-02-28 20:21:41</t>
  </si>
  <si>
    <t>Simanta</t>
  </si>
  <si>
    <t>MH14KL5467</t>
  </si>
  <si>
    <t>7280</t>
  </si>
  <si>
    <t>2025-02-28 20:41:49</t>
  </si>
  <si>
    <t>HANUMAN</t>
  </si>
  <si>
    <t>MH12PK1859</t>
  </si>
  <si>
    <t>61308</t>
  </si>
  <si>
    <t>ME4JC735EHT051845</t>
  </si>
  <si>
    <t>JC73EF1101093</t>
  </si>
  <si>
    <t>2024-11-25 19:57:40</t>
  </si>
  <si>
    <t>Manuraj Raghuwanshi</t>
  </si>
  <si>
    <t>MH14FW4426</t>
  </si>
  <si>
    <t>51557</t>
  </si>
  <si>
    <t>MD2A85CZ1GCD24794</t>
  </si>
  <si>
    <t>2025-04-19 18:12:47</t>
  </si>
  <si>
    <t>Monali Bhole</t>
  </si>
  <si>
    <t>MH14GW4382</t>
  </si>
  <si>
    <t>33288</t>
  </si>
  <si>
    <t>MD626DG46J1C01609</t>
  </si>
  <si>
    <t>DG4CJ1401531</t>
  </si>
  <si>
    <t>2025-04-19 18:01:26</t>
  </si>
  <si>
    <t>Nikhil Hatwar</t>
  </si>
  <si>
    <t>MH14KR4629</t>
  </si>
  <si>
    <t>11268</t>
  </si>
  <si>
    <t>ML4JK156CPC0379700</t>
  </si>
  <si>
    <t>JK15EGJ03532</t>
  </si>
  <si>
    <t>2024-11-25 21:01:44</t>
  </si>
  <si>
    <t>30397</t>
  </si>
  <si>
    <t>2025-03-23 20:17:16</t>
  </si>
  <si>
    <t xml:space="preserve">Swaroop </t>
  </si>
  <si>
    <t>MH20GH9614</t>
  </si>
  <si>
    <t>Hero Xtreme 160R</t>
  </si>
  <si>
    <t>6473</t>
  </si>
  <si>
    <t>MBLKCL1099HHJ00693</t>
  </si>
  <si>
    <t>KC0140NHJ00189</t>
  </si>
  <si>
    <t>2025-05-18 16:57:56</t>
  </si>
  <si>
    <t>25423</t>
  </si>
  <si>
    <t>2025-04-19 19:00:39</t>
  </si>
  <si>
    <t>Sharvil</t>
  </si>
  <si>
    <t>MH09FS3396</t>
  </si>
  <si>
    <t>36135</t>
  </si>
  <si>
    <t>MBLHAW123LHLHM03155</t>
  </si>
  <si>
    <t>HA11EDLHM31479</t>
  </si>
  <si>
    <t>2024-10-02 20:46:23</t>
  </si>
  <si>
    <t>71563</t>
  </si>
  <si>
    <t>2025-04-19 18:09:29</t>
  </si>
  <si>
    <t>Tanmay</t>
  </si>
  <si>
    <t>MH49BU3960</t>
  </si>
  <si>
    <t>06424</t>
  </si>
  <si>
    <t>MBLHAW136N4B01400</t>
  </si>
  <si>
    <t>HA11EWN4B01238</t>
  </si>
  <si>
    <t>2024-08-31 21:01:30</t>
  </si>
  <si>
    <t>YOGENDRA TIWARI</t>
  </si>
  <si>
    <t>MH43AG7982</t>
  </si>
  <si>
    <t>2024-08-02 18:34:41</t>
  </si>
  <si>
    <t>6602</t>
  </si>
  <si>
    <t>2024-08-31 21:05:03</t>
  </si>
  <si>
    <t>Siddhant Kamble</t>
  </si>
  <si>
    <t>MH17CL3680</t>
  </si>
  <si>
    <t>31619</t>
  </si>
  <si>
    <t>ME1RG6813L000JJ36</t>
  </si>
  <si>
    <t>C3N4E0027040</t>
  </si>
  <si>
    <t>2024-08-02 18:35:48</t>
  </si>
  <si>
    <t>SANKET NIMSE</t>
  </si>
  <si>
    <t>MH16BG4509</t>
  </si>
  <si>
    <t>CFIFE1028281</t>
  </si>
  <si>
    <t>2024-08-02 18:36:37</t>
  </si>
  <si>
    <t xml:space="preserve"> Matthew </t>
  </si>
  <si>
    <t>MH14KG8312</t>
  </si>
  <si>
    <t>13522</t>
  </si>
  <si>
    <t>2025-04-19 20:11:58</t>
  </si>
  <si>
    <t xml:space="preserve">SHRADDHA PATIL </t>
  </si>
  <si>
    <t>MH14HT1829</t>
  </si>
  <si>
    <t>28047</t>
  </si>
  <si>
    <t>MD626EG46K1G24018</t>
  </si>
  <si>
    <t>EG4GK1914195</t>
  </si>
  <si>
    <t>2025-04-19 20:04:17</t>
  </si>
  <si>
    <t>Tushar</t>
  </si>
  <si>
    <t>MH14FJ4665</t>
  </si>
  <si>
    <t>35763</t>
  </si>
  <si>
    <t>ME626BG46F1N5788</t>
  </si>
  <si>
    <t>BG4NF1757652</t>
  </si>
  <si>
    <t>2024-10-21 18:58:48</t>
  </si>
  <si>
    <t>DEEPALI JAWDEKAR</t>
  </si>
  <si>
    <t>MH12GJ4818</t>
  </si>
  <si>
    <t>48642</t>
  </si>
  <si>
    <t>2025-04-19 20:08:37</t>
  </si>
  <si>
    <t>YOGESH AUSEKAR</t>
  </si>
  <si>
    <t>MH20CQ964</t>
  </si>
  <si>
    <t>36545</t>
  </si>
  <si>
    <t>JF39E80030718</t>
  </si>
  <si>
    <t>2025-04-19 20:09:55</t>
  </si>
  <si>
    <t>Kiran Chillat</t>
  </si>
  <si>
    <t>MH14EF9340</t>
  </si>
  <si>
    <t>59289</t>
  </si>
  <si>
    <t>ME4JF50HBET253995</t>
  </si>
  <si>
    <t>JF50ET0253775</t>
  </si>
  <si>
    <t>2025-04-19 20:27:34</t>
  </si>
  <si>
    <t>MH14HV1187</t>
  </si>
  <si>
    <t>17010</t>
  </si>
  <si>
    <t>MB8EA11AJK821667</t>
  </si>
  <si>
    <t>AF212166296</t>
  </si>
  <si>
    <t>2024-08-31 21:02:24</t>
  </si>
  <si>
    <t xml:space="preserve">ATHARVA </t>
  </si>
  <si>
    <t>MH27AS9745</t>
  </si>
  <si>
    <t>26741</t>
  </si>
  <si>
    <t>MBLJF16EDGB34853</t>
  </si>
  <si>
    <t>JF16EBCGB34608</t>
  </si>
  <si>
    <t>2025-04-19 20:07:47</t>
  </si>
  <si>
    <t xml:space="preserve">Rohan Patil </t>
  </si>
  <si>
    <t>MP04SM6154</t>
  </si>
  <si>
    <t>85567</t>
  </si>
  <si>
    <t>046 ₹</t>
  </si>
  <si>
    <t>2025-04-19 20:53:00</t>
  </si>
  <si>
    <t>SHIVANI</t>
  </si>
  <si>
    <t>MH26CA5834</t>
  </si>
  <si>
    <t>11147</t>
  </si>
  <si>
    <t>ME4JF917MMW028044</t>
  </si>
  <si>
    <t>JF91EW4027957</t>
  </si>
  <si>
    <t>2025-02-13 10:55:56</t>
  </si>
  <si>
    <t>Purohit</t>
  </si>
  <si>
    <t>MH14EE3241</t>
  </si>
  <si>
    <t>7529</t>
  </si>
  <si>
    <t>ME4MC4234D8009177</t>
  </si>
  <si>
    <t>2025-04-19 20:52:04</t>
  </si>
  <si>
    <t xml:space="preserve">VISHAL </t>
  </si>
  <si>
    <t>MH14CH5449</t>
  </si>
  <si>
    <t>38696</t>
  </si>
  <si>
    <t>UF21E9123549</t>
  </si>
  <si>
    <t>2025-03-01 19:21:02</t>
  </si>
  <si>
    <t>Subhash</t>
  </si>
  <si>
    <t>KA25EY7224</t>
  </si>
  <si>
    <t>38376</t>
  </si>
  <si>
    <t>ME4JF505KGT785485</t>
  </si>
  <si>
    <t>JF50ET3857613</t>
  </si>
  <si>
    <t>2025-05-18 19:04:03</t>
  </si>
  <si>
    <t>45820</t>
  </si>
  <si>
    <t>2025-05-18 19:01:57</t>
  </si>
  <si>
    <t>93897</t>
  </si>
  <si>
    <t>094 ₹</t>
  </si>
  <si>
    <t>2025-05-18 18:59:37</t>
  </si>
  <si>
    <t xml:space="preserve">Vishal </t>
  </si>
  <si>
    <t>MH16AH9897</t>
  </si>
  <si>
    <t>32835</t>
  </si>
  <si>
    <t>2025-05-18 19:02:31</t>
  </si>
  <si>
    <t>SAGAR MANGALE</t>
  </si>
  <si>
    <t>MH09DD0461</t>
  </si>
  <si>
    <t>33479</t>
  </si>
  <si>
    <t>2025-05-18 19:00:59</t>
  </si>
  <si>
    <t>Ayush Bhangale</t>
  </si>
  <si>
    <t>MH12PY4962</t>
  </si>
  <si>
    <t>ME4KC239GH8028658</t>
  </si>
  <si>
    <t>KC23284048214</t>
  </si>
  <si>
    <t>2025-05-18 19:05:17</t>
  </si>
  <si>
    <t>MH14R0401</t>
  </si>
  <si>
    <t>42092</t>
  </si>
  <si>
    <t>99G19C07573</t>
  </si>
  <si>
    <t>2024-10-21 20:42:53</t>
  </si>
  <si>
    <t>JAYESH</t>
  </si>
  <si>
    <t>MH12UG8962</t>
  </si>
  <si>
    <t>26275</t>
  </si>
  <si>
    <t>2025-05-18 19:26:24</t>
  </si>
  <si>
    <t>Shubhangi</t>
  </si>
  <si>
    <t>UP70EU8617</t>
  </si>
  <si>
    <t>29677</t>
  </si>
  <si>
    <t>MD626E846J3N12383</t>
  </si>
  <si>
    <t>EG4NJ1832894</t>
  </si>
  <si>
    <t>2025-04-30 19:26:33</t>
  </si>
  <si>
    <t>Parimala</t>
  </si>
  <si>
    <t>MH14GG7482</t>
  </si>
  <si>
    <t>16610</t>
  </si>
  <si>
    <t>MD626FG47H2E14116</t>
  </si>
  <si>
    <t>2025-05-18 19:14:58</t>
  </si>
  <si>
    <t>Siddharth</t>
  </si>
  <si>
    <t>MH12HT7727</t>
  </si>
  <si>
    <t>35740</t>
  </si>
  <si>
    <t>ME4JC44814886MB8697046</t>
  </si>
  <si>
    <t>JC44E1808126</t>
  </si>
  <si>
    <t>2025-05-18 19:10:33</t>
  </si>
  <si>
    <t>NILESH JOSHI</t>
  </si>
  <si>
    <t>MH14HX8801</t>
  </si>
  <si>
    <t>19206</t>
  </si>
  <si>
    <t>MEAJF44LJKW00143</t>
  </si>
  <si>
    <t>JF492W3001674</t>
  </si>
  <si>
    <t>2025-05-18 19:12:29</t>
  </si>
  <si>
    <t>Amit Dhumal</t>
  </si>
  <si>
    <t>MH12RW1443</t>
  </si>
  <si>
    <t>28760</t>
  </si>
  <si>
    <t>ME4JF50AFKW088520</t>
  </si>
  <si>
    <t>JF56EW0086454</t>
  </si>
  <si>
    <t>2025-05-18 19:14:16</t>
  </si>
  <si>
    <t>62387</t>
  </si>
  <si>
    <t>2025-05-18 19:28:12</t>
  </si>
  <si>
    <t>Rohit Nigade</t>
  </si>
  <si>
    <t>MH12NT0710</t>
  </si>
  <si>
    <t>61289</t>
  </si>
  <si>
    <t>ME4JF509LGU051525</t>
  </si>
  <si>
    <t>JF50EU6051579</t>
  </si>
  <si>
    <t>2025-04-20 18:29:19</t>
  </si>
  <si>
    <t>Siddhesh</t>
  </si>
  <si>
    <t>MH14KE7245</t>
  </si>
  <si>
    <t>25966</t>
  </si>
  <si>
    <t>ME4JF91ADNW144924</t>
  </si>
  <si>
    <t>JF91EW2144983</t>
  </si>
  <si>
    <t>2025-03-01 17:54:54</t>
  </si>
  <si>
    <t xml:space="preserve">SAMYAK GAIKWAD </t>
  </si>
  <si>
    <t>MH34BK2048</t>
  </si>
  <si>
    <t>69296</t>
  </si>
  <si>
    <t>079 ₹</t>
  </si>
  <si>
    <t>2025-03-01 17:57:13</t>
  </si>
  <si>
    <t>SACHIN VYAVAHARE</t>
  </si>
  <si>
    <t>MH42BG9227</t>
  </si>
  <si>
    <t>21817</t>
  </si>
  <si>
    <t>ME4KC402JNAD84365</t>
  </si>
  <si>
    <t>KC40EA108C411</t>
  </si>
  <si>
    <t>2025-03-01 17:55:37</t>
  </si>
  <si>
    <t>Anit Wahi</t>
  </si>
  <si>
    <t>5882</t>
  </si>
  <si>
    <t>2025-03-01 17:56:35</t>
  </si>
  <si>
    <t xml:space="preserve">ANIKET DESHMUKH </t>
  </si>
  <si>
    <t>MH24AJ0020</t>
  </si>
  <si>
    <t>16939</t>
  </si>
  <si>
    <t>MD626BG48E4D21423</t>
  </si>
  <si>
    <t>BG4DE11762</t>
  </si>
  <si>
    <t>2025-05-18 19:27:26</t>
  </si>
  <si>
    <t xml:space="preserve">ANIRUDHA </t>
  </si>
  <si>
    <t>MH42AU5328</t>
  </si>
  <si>
    <t>9635</t>
  </si>
  <si>
    <t>ME15ED19AH0078653</t>
  </si>
  <si>
    <t>E34YHE0111081</t>
  </si>
  <si>
    <t>2025-03-01 18:00:40</t>
  </si>
  <si>
    <t>MH46T0691</t>
  </si>
  <si>
    <t>40087</t>
  </si>
  <si>
    <t>ME4JF448LB7104309</t>
  </si>
  <si>
    <t>JC44ET5107046</t>
  </si>
  <si>
    <t>2025-03-01 17:59:03</t>
  </si>
  <si>
    <t>21653</t>
  </si>
  <si>
    <t>2025-03-01 17:58:19</t>
  </si>
  <si>
    <t>MH17CN6607</t>
  </si>
  <si>
    <t>Bajaj Platina 100 Comfortec</t>
  </si>
  <si>
    <t>20111</t>
  </si>
  <si>
    <t>MD2A76AX3LWJP8946</t>
  </si>
  <si>
    <t>AEXWLH34734</t>
  </si>
  <si>
    <t>2025-03-23 20:27:39</t>
  </si>
  <si>
    <t>Vaibhav Rane</t>
  </si>
  <si>
    <t>MH47BE7436</t>
  </si>
  <si>
    <t>LML Vespa 125</t>
  </si>
  <si>
    <t>7546</t>
  </si>
  <si>
    <t>2025-03-23 20:15:49</t>
  </si>
  <si>
    <t xml:space="preserve">AKSHAY </t>
  </si>
  <si>
    <t>MH12SM0518</t>
  </si>
  <si>
    <t>2025-03-23 20:26:54</t>
  </si>
  <si>
    <t>SHRINIWAS PATKI</t>
  </si>
  <si>
    <t>MH14ES4585</t>
  </si>
  <si>
    <t>32431</t>
  </si>
  <si>
    <t>2025-03-23 20:29:23</t>
  </si>
  <si>
    <t>Ram Pawar</t>
  </si>
  <si>
    <t>MH18BT7731</t>
  </si>
  <si>
    <t>14402</t>
  </si>
  <si>
    <t>MD634AE87N2K02468</t>
  </si>
  <si>
    <t>HE8AL2X01348</t>
  </si>
  <si>
    <t>2025-03-23 20:28:49</t>
  </si>
  <si>
    <t xml:space="preserve">Tejaswini Mohite </t>
  </si>
  <si>
    <t>MH10DN3689</t>
  </si>
  <si>
    <t>2025-03-23 20:32:01</t>
  </si>
  <si>
    <t>Pande</t>
  </si>
  <si>
    <t>MH12LU5857</t>
  </si>
  <si>
    <t>21714</t>
  </si>
  <si>
    <t>2025-03-23 20:30:27</t>
  </si>
  <si>
    <t>2025-03-23 20:30:53</t>
  </si>
  <si>
    <t xml:space="preserve">Keyur Barapatre </t>
  </si>
  <si>
    <t>MH14KY6449</t>
  </si>
  <si>
    <t>6278</t>
  </si>
  <si>
    <t>2025-03-23 20:31:09</t>
  </si>
  <si>
    <t xml:space="preserve">Ravindra Deshpande </t>
  </si>
  <si>
    <t>MH14LC6663</t>
  </si>
  <si>
    <t>5701</t>
  </si>
  <si>
    <t>2025-03-23 20:32:17</t>
  </si>
  <si>
    <t>Makarand Deshpande</t>
  </si>
  <si>
    <t>MH14EJ5798</t>
  </si>
  <si>
    <t>40011</t>
  </si>
  <si>
    <t>MD626AGA8E1623020</t>
  </si>
  <si>
    <t>OG4CE1119445</t>
  </si>
  <si>
    <t>2025-03-01 17:57:28</t>
  </si>
  <si>
    <t>Kaustubh</t>
  </si>
  <si>
    <t>MH14EN6324</t>
  </si>
  <si>
    <t>MD834KE43E2644222</t>
  </si>
  <si>
    <t>2024-10-02 20:37:26</t>
  </si>
  <si>
    <t>751</t>
  </si>
  <si>
    <t>2024-10-02 20:38:10</t>
  </si>
  <si>
    <t>2024-10-02 20:38:56</t>
  </si>
  <si>
    <t>TEJAS</t>
  </si>
  <si>
    <t>MH12PS6951</t>
  </si>
  <si>
    <t>35955</t>
  </si>
  <si>
    <t>2025-03-23 20:29:52</t>
  </si>
  <si>
    <t>NEERAJ</t>
  </si>
  <si>
    <t>MH14JB1585</t>
  </si>
  <si>
    <t>10327</t>
  </si>
  <si>
    <t>MBLJFW080KGM04387</t>
  </si>
  <si>
    <t>JF33ADKGM04546</t>
  </si>
  <si>
    <t>2024-10-02 20:44:31</t>
  </si>
  <si>
    <t xml:space="preserve">RAM PATIL </t>
  </si>
  <si>
    <t>MH12UR6578</t>
  </si>
  <si>
    <t>15419</t>
  </si>
  <si>
    <t>ME4KC402JNA095891</t>
  </si>
  <si>
    <t>KC40EA1096085</t>
  </si>
  <si>
    <t>2024-10-02 20:43:43</t>
  </si>
  <si>
    <t>RAKESH MAHAJAN</t>
  </si>
  <si>
    <t>MH19DZ0846</t>
  </si>
  <si>
    <t>19030</t>
  </si>
  <si>
    <t>2024-10-02 20:45:56</t>
  </si>
  <si>
    <t xml:space="preserve">BHASKAR </t>
  </si>
  <si>
    <t>TS07FM4586</t>
  </si>
  <si>
    <t>21224</t>
  </si>
  <si>
    <t>2024-10-02 20:44:58</t>
  </si>
  <si>
    <t>Abhijit Mahilkar</t>
  </si>
  <si>
    <t>MH14HN5503</t>
  </si>
  <si>
    <t>16285</t>
  </si>
  <si>
    <t>2024-10-02 20:40:12</t>
  </si>
  <si>
    <t>MH14GP9856</t>
  </si>
  <si>
    <t>27995</t>
  </si>
  <si>
    <t>ME4JF50701HT400395</t>
  </si>
  <si>
    <t>2024-10-02 20:47:02</t>
  </si>
  <si>
    <t>Datta Giri</t>
  </si>
  <si>
    <t>MH20DQ0892</t>
  </si>
  <si>
    <t>39551</t>
  </si>
  <si>
    <t>2024-10-02 20:47:29</t>
  </si>
  <si>
    <t>Sanika Deolikar</t>
  </si>
  <si>
    <t>MH12FH3018</t>
  </si>
  <si>
    <t>23972</t>
  </si>
  <si>
    <t>2025-03-01 18:40:45</t>
  </si>
  <si>
    <t>NITIN GUPTA</t>
  </si>
  <si>
    <t>MH12VD3177</t>
  </si>
  <si>
    <t>21558</t>
  </si>
  <si>
    <t>ME4JK132APD049214</t>
  </si>
  <si>
    <t>JK13ED1077585</t>
  </si>
  <si>
    <t>2025-03-01 18:40:02</t>
  </si>
  <si>
    <t>JAANI</t>
  </si>
  <si>
    <t>MH14GG6468</t>
  </si>
  <si>
    <t>35537</t>
  </si>
  <si>
    <t>ME4KC23AEH8005869</t>
  </si>
  <si>
    <t>KC23E84016613</t>
  </si>
  <si>
    <t>2025-02-13 09:45:07</t>
  </si>
  <si>
    <t>Sagar Patel</t>
  </si>
  <si>
    <t>MH12NL3264</t>
  </si>
  <si>
    <t>36153</t>
  </si>
  <si>
    <t>ME4JF505HGU325533</t>
  </si>
  <si>
    <t>JF50EU3325277</t>
  </si>
  <si>
    <t>2025-02-13 09:46:31</t>
  </si>
  <si>
    <t xml:space="preserve">Vinit Shinde </t>
  </si>
  <si>
    <t>MH20FA4571</t>
  </si>
  <si>
    <t>39482</t>
  </si>
  <si>
    <t>MDZA22EYXJCA23954</t>
  </si>
  <si>
    <t>PDYCJA38038</t>
  </si>
  <si>
    <t>2024-10-02 20:45:31</t>
  </si>
  <si>
    <t>Shailendra Singh</t>
  </si>
  <si>
    <t>MH14AT0529</t>
  </si>
  <si>
    <t>2025-02-13 10:56:28</t>
  </si>
  <si>
    <t>Ruchika Gotmare</t>
  </si>
  <si>
    <t>MH49N8933</t>
  </si>
  <si>
    <t>61694</t>
  </si>
  <si>
    <t>ME4JF501HD6420586</t>
  </si>
  <si>
    <t>JF50E80419268</t>
  </si>
  <si>
    <t>2025-02-13 10:58:45</t>
  </si>
  <si>
    <t>Mandar Kamat</t>
  </si>
  <si>
    <t>MH14DS6471</t>
  </si>
  <si>
    <t>2071</t>
  </si>
  <si>
    <t>ME4KC09CLC8379563</t>
  </si>
  <si>
    <t>2025-02-13 10:58:23</t>
  </si>
  <si>
    <t>VIPIN</t>
  </si>
  <si>
    <t>KA04EW5718</t>
  </si>
  <si>
    <t>51672</t>
  </si>
  <si>
    <t>MBLKC3EA8GA04168</t>
  </si>
  <si>
    <t>KC13EASGA03580</t>
  </si>
  <si>
    <t>2025-02-13 10:59:31</t>
  </si>
  <si>
    <t>MORE</t>
  </si>
  <si>
    <t>MH14LM4865</t>
  </si>
  <si>
    <t>13230</t>
  </si>
  <si>
    <t>M4KC404CRA122279</t>
  </si>
  <si>
    <t>KC40EA122507</t>
  </si>
  <si>
    <t>2025-02-13 10:55:09</t>
  </si>
  <si>
    <t>MH14GE6379</t>
  </si>
  <si>
    <t>39667</t>
  </si>
  <si>
    <t>MD2A13EY9HCL18592</t>
  </si>
  <si>
    <t>DKYCHL96862</t>
  </si>
  <si>
    <t>2025-03-01 19:44:20</t>
  </si>
  <si>
    <t>44400</t>
  </si>
  <si>
    <t>2024-09-01 17:19:28</t>
  </si>
  <si>
    <t>2025-03-01 19:57:38</t>
  </si>
  <si>
    <t>NAYAN</t>
  </si>
  <si>
    <t>MH49A9169</t>
  </si>
  <si>
    <t>21530</t>
  </si>
  <si>
    <t>ME4JC447KCB248791</t>
  </si>
  <si>
    <t>JC44E2351887</t>
  </si>
  <si>
    <t>2024-10-03 12:21:34</t>
  </si>
  <si>
    <t>Amol Dhawale</t>
  </si>
  <si>
    <t>MH14GL2549</t>
  </si>
  <si>
    <t>24681</t>
  </si>
  <si>
    <t>2024-09-16 17:46:02</t>
  </si>
  <si>
    <t>2025-04-20 18:16:32</t>
  </si>
  <si>
    <t>Suresh Patel</t>
  </si>
  <si>
    <t>CG12AA0363</t>
  </si>
  <si>
    <t>Bajaj Pulsar 135</t>
  </si>
  <si>
    <t>2024-09-01 18:04:09</t>
  </si>
  <si>
    <t>AJAY BATHE</t>
  </si>
  <si>
    <t>MH14HH1103</t>
  </si>
  <si>
    <t>59576</t>
  </si>
  <si>
    <t>2025-07-12 17:53:23</t>
  </si>
  <si>
    <t>60973</t>
  </si>
  <si>
    <t>2025-03-01 19:44:03</t>
  </si>
  <si>
    <t>PRATHAMESH</t>
  </si>
  <si>
    <t>MH12UD6128</t>
  </si>
  <si>
    <t>21419</t>
  </si>
  <si>
    <t>0132 ₹</t>
  </si>
  <si>
    <t>ME1RG66G2N0009204</t>
  </si>
  <si>
    <t>G3N5E0197759</t>
  </si>
  <si>
    <t>2025-06-28 20:26:12</t>
  </si>
  <si>
    <t>12434</t>
  </si>
  <si>
    <t>2025-04-20 18:15:33</t>
  </si>
  <si>
    <t>Mudit Upamanyu</t>
  </si>
  <si>
    <t>MH43BM9748</t>
  </si>
  <si>
    <t>3802</t>
  </si>
  <si>
    <t>MET0000AAWE087550</t>
  </si>
  <si>
    <t>MH49M31734119</t>
  </si>
  <si>
    <t>2025-07-12 20:20:40</t>
  </si>
  <si>
    <t>Harshal Kadam</t>
  </si>
  <si>
    <t>MH01CB5505</t>
  </si>
  <si>
    <t>71529</t>
  </si>
  <si>
    <t>2025-04-20 18:14:57</t>
  </si>
  <si>
    <t>Ajinkya Kshirsagar</t>
  </si>
  <si>
    <t>MH12RE1314</t>
  </si>
  <si>
    <t>ME1RG421BJ0049160</t>
  </si>
  <si>
    <t>G3H7E0078424</t>
  </si>
  <si>
    <t>2025-04-20 18:30:02</t>
  </si>
  <si>
    <t xml:space="preserve">Nishant </t>
  </si>
  <si>
    <t>MH12RD3931</t>
  </si>
  <si>
    <t>27402</t>
  </si>
  <si>
    <t>MD6378R11J22A0477</t>
  </si>
  <si>
    <t>BR1LJ22A0365</t>
  </si>
  <si>
    <t>2025-04-20 18:51:55</t>
  </si>
  <si>
    <t>ABHISHEK KALSEKAR</t>
  </si>
  <si>
    <t>MH01AY3902</t>
  </si>
  <si>
    <t>1135</t>
  </si>
  <si>
    <t>MBLHA10EWBG24113</t>
  </si>
  <si>
    <t>HA10EDBGF24113</t>
  </si>
  <si>
    <t>2025-04-20 18:54:14</t>
  </si>
  <si>
    <t>Amol Chavan</t>
  </si>
  <si>
    <t>MH14GL7258</t>
  </si>
  <si>
    <t>38687</t>
  </si>
  <si>
    <t>2024-10-03 19:47:41</t>
  </si>
  <si>
    <t>34624</t>
  </si>
  <si>
    <t>2024-10-03 19:48:04</t>
  </si>
  <si>
    <t>Atish Satbhai</t>
  </si>
  <si>
    <t>MH15BT9897</t>
  </si>
  <si>
    <t>51299</t>
  </si>
  <si>
    <t>2024-10-03 19:52:47</t>
  </si>
  <si>
    <t>ARPIT TANK</t>
  </si>
  <si>
    <t>MH12GW4447</t>
  </si>
  <si>
    <t>48823</t>
  </si>
  <si>
    <t>MBLMC38EDBGC01650</t>
  </si>
  <si>
    <t>MC38EDGC01601</t>
  </si>
  <si>
    <t>2025-06-28 20:27:08</t>
  </si>
  <si>
    <t>31961</t>
  </si>
  <si>
    <t>2024-10-03 19:48:50</t>
  </si>
  <si>
    <t>MH14KX2990</t>
  </si>
  <si>
    <t>Yamaha R15 V4 M</t>
  </si>
  <si>
    <t>8448</t>
  </si>
  <si>
    <t>2024-08-02 20:46:20</t>
  </si>
  <si>
    <t>29255</t>
  </si>
  <si>
    <t>2024-08-02 20:46:54</t>
  </si>
  <si>
    <t>63247</t>
  </si>
  <si>
    <t>2024-08-02 20:48:19</t>
  </si>
  <si>
    <t>KIRAN CHINCHOLI</t>
  </si>
  <si>
    <t>62837</t>
  </si>
  <si>
    <t>27 ₹</t>
  </si>
  <si>
    <t>2024-08-02 21:00:17</t>
  </si>
  <si>
    <t>Sagar Kalshetty</t>
  </si>
  <si>
    <t>MH14HX2701</t>
  </si>
  <si>
    <t>36939</t>
  </si>
  <si>
    <t>ME4JF39KKE0510029</t>
  </si>
  <si>
    <t>JF39EN042285</t>
  </si>
  <si>
    <t>2025-04-20 18:30:25</t>
  </si>
  <si>
    <t>VIVEK</t>
  </si>
  <si>
    <t>MH14BV0675</t>
  </si>
  <si>
    <t>59282</t>
  </si>
  <si>
    <t>MBLHA0EJ9HE41736</t>
  </si>
  <si>
    <t>HA10EA4HE8973</t>
  </si>
  <si>
    <t>2025-06-28 20:28:39</t>
  </si>
  <si>
    <t>LAKSH</t>
  </si>
  <si>
    <t>MH16BX1559</t>
  </si>
  <si>
    <t>0</t>
  </si>
  <si>
    <t>2024-10-03 19:38:04</t>
  </si>
  <si>
    <t>PRANJAN BHURE</t>
  </si>
  <si>
    <t>MH36V6594</t>
  </si>
  <si>
    <t>5607</t>
  </si>
  <si>
    <t>2024-10-03 19:39:23</t>
  </si>
  <si>
    <t>SHILA NANDGUDE</t>
  </si>
  <si>
    <t>MH14FF5899</t>
  </si>
  <si>
    <t>23015</t>
  </si>
  <si>
    <t>70 ₹</t>
  </si>
  <si>
    <t>2024-10-03 19:40:06</t>
  </si>
  <si>
    <t>15401</t>
  </si>
  <si>
    <t>2024-10-03 19:45:52</t>
  </si>
  <si>
    <t>NIKHIL</t>
  </si>
  <si>
    <t>MH14FZ2179</t>
  </si>
  <si>
    <t>84400</t>
  </si>
  <si>
    <t>2025-03-24 19:31:46</t>
  </si>
  <si>
    <t>MH14EL1530</t>
  </si>
  <si>
    <t>54123</t>
  </si>
  <si>
    <t>2024-10-03 20:29:25</t>
  </si>
  <si>
    <t>69999</t>
  </si>
  <si>
    <t>2025-04-20 18:28:48</t>
  </si>
  <si>
    <t>SURVE</t>
  </si>
  <si>
    <t>MH14FJ0768</t>
  </si>
  <si>
    <t>15516</t>
  </si>
  <si>
    <t>MEJ6493LG8091338</t>
  </si>
  <si>
    <t>JG49E81105576</t>
  </si>
  <si>
    <t>2024-10-03 19:50:23</t>
  </si>
  <si>
    <t>6985</t>
  </si>
  <si>
    <t>2024-10-03 19:50:43</t>
  </si>
  <si>
    <t xml:space="preserve">Kedar </t>
  </si>
  <si>
    <t>MH14KK2744</t>
  </si>
  <si>
    <t>10099</t>
  </si>
  <si>
    <t>2025-04-20 19:12:48</t>
  </si>
  <si>
    <t>34065</t>
  </si>
  <si>
    <t>2024-10-03 19:50:57</t>
  </si>
  <si>
    <t>53760</t>
  </si>
  <si>
    <t>2025-04-20 19:42:43</t>
  </si>
  <si>
    <t>Manoj Nair</t>
  </si>
  <si>
    <t>MH14EE5895</t>
  </si>
  <si>
    <t>43910</t>
  </si>
  <si>
    <t>ME4JF501MDT161851</t>
  </si>
  <si>
    <t>JF50ET0161860</t>
  </si>
  <si>
    <t>2024-10-03 19:51:23</t>
  </si>
  <si>
    <t>37173</t>
  </si>
  <si>
    <t>2024-10-03 21:08:28</t>
  </si>
  <si>
    <t>RAMESH BHOSALE</t>
  </si>
  <si>
    <t>MH12LE0114</t>
  </si>
  <si>
    <t>13708</t>
  </si>
  <si>
    <t>2024-08-04 12:00:51</t>
  </si>
  <si>
    <t>NAGESH</t>
  </si>
  <si>
    <t>MH12QL0230</t>
  </si>
  <si>
    <t>21017</t>
  </si>
  <si>
    <t>2025-04-20 19:56:58</t>
  </si>
  <si>
    <t>2025-04-20 19:59:33</t>
  </si>
  <si>
    <t>Swapnil Patil</t>
  </si>
  <si>
    <t>MH04KC5951</t>
  </si>
  <si>
    <t>47474</t>
  </si>
  <si>
    <t>2024-08-04 20:46:56</t>
  </si>
  <si>
    <t>Satish Dethe</t>
  </si>
  <si>
    <t>MH17BE1014</t>
  </si>
  <si>
    <t>31959</t>
  </si>
  <si>
    <t>MBLJF16EHEGH22670</t>
  </si>
  <si>
    <t>JF16ECEGH27154</t>
  </si>
  <si>
    <t>2024-09-02 20:27:09</t>
  </si>
  <si>
    <t xml:space="preserve">Gopal Patil </t>
  </si>
  <si>
    <t>MH19DZ6689</t>
  </si>
  <si>
    <t>6358</t>
  </si>
  <si>
    <t>2024-09-02 20:26:47</t>
  </si>
  <si>
    <t>95250</t>
  </si>
  <si>
    <t>2025-04-20 20:02:11</t>
  </si>
  <si>
    <t>23616</t>
  </si>
  <si>
    <t>2025-04-20 20:02:57</t>
  </si>
  <si>
    <t>Deepak</t>
  </si>
  <si>
    <t>MH27BL8718</t>
  </si>
  <si>
    <t>61242</t>
  </si>
  <si>
    <t>ME1RG072AF0136089</t>
  </si>
  <si>
    <t>2025-03-24 19:25:55</t>
  </si>
  <si>
    <t>PRAJOT</t>
  </si>
  <si>
    <t>MH14JV8963</t>
  </si>
  <si>
    <t>8799</t>
  </si>
  <si>
    <t>2025-03-24 19:27:04</t>
  </si>
  <si>
    <t>53974</t>
  </si>
  <si>
    <t>2025-03-24 19:30:08</t>
  </si>
  <si>
    <t xml:space="preserve">DATTATRAY </t>
  </si>
  <si>
    <t>MH21BS6255</t>
  </si>
  <si>
    <t>2740</t>
  </si>
  <si>
    <t>MBLHW11GM5C0782</t>
  </si>
  <si>
    <t>HA11EVM5C56533</t>
  </si>
  <si>
    <t>2024-09-18 20:40:43</t>
  </si>
  <si>
    <t>13644</t>
  </si>
  <si>
    <t>2025-03-24 19:28:25</t>
  </si>
  <si>
    <t xml:space="preserve">ANGHA KULKARNI </t>
  </si>
  <si>
    <t>MH14KP7303</t>
  </si>
  <si>
    <t>6621</t>
  </si>
  <si>
    <t>ME4JF39KEKD000704</t>
  </si>
  <si>
    <t>JF39ED0003625</t>
  </si>
  <si>
    <t>2025-03-24 19:28:46</t>
  </si>
  <si>
    <t xml:space="preserve">NITYANAND </t>
  </si>
  <si>
    <t>MH14FL9373</t>
  </si>
  <si>
    <t>21412</t>
  </si>
  <si>
    <t>ME4KC202LF8012901</t>
  </si>
  <si>
    <t>KC28EB8155820</t>
  </si>
  <si>
    <t>2025-03-24 19:29:16</t>
  </si>
  <si>
    <t xml:space="preserve">MANISH </t>
  </si>
  <si>
    <t>MH05AU6640</t>
  </si>
  <si>
    <t>76387</t>
  </si>
  <si>
    <t>2025-03-24 19:31:05</t>
  </si>
  <si>
    <t>MH12ND9749</t>
  </si>
  <si>
    <t>32762</t>
  </si>
  <si>
    <t>2025-03-24 20:02:52</t>
  </si>
  <si>
    <t xml:space="preserve">PANDURANG </t>
  </si>
  <si>
    <t>MH12DD8959</t>
  </si>
  <si>
    <t>59999</t>
  </si>
  <si>
    <t>2024-10-03 20:47:59</t>
  </si>
  <si>
    <t>PUNJAB SIND FOODS PVT LTD</t>
  </si>
  <si>
    <t>GJ15BH2984</t>
  </si>
  <si>
    <t>10311</t>
  </si>
  <si>
    <t>2025-03-02 19:36:31</t>
  </si>
  <si>
    <t xml:space="preserve">Manish Sonawane </t>
  </si>
  <si>
    <t>MH18BK9618</t>
  </si>
  <si>
    <t>57516</t>
  </si>
  <si>
    <t>2025-03-02 19:37:38</t>
  </si>
  <si>
    <t>CHANDRANI GHOSAL</t>
  </si>
  <si>
    <t>MH14HS9107</t>
  </si>
  <si>
    <t>15323</t>
  </si>
  <si>
    <t>2025-03-02 19:37:10</t>
  </si>
  <si>
    <t>TUSHAR BASAKARE</t>
  </si>
  <si>
    <t>MH13ED9451</t>
  </si>
  <si>
    <t>12691</t>
  </si>
  <si>
    <t>2025-03-02 19:41:12</t>
  </si>
  <si>
    <t xml:space="preserve">SHAILESH </t>
  </si>
  <si>
    <t>MH45K9039</t>
  </si>
  <si>
    <t>90752</t>
  </si>
  <si>
    <t>MD2D5PAZTWF63145</t>
  </si>
  <si>
    <t>JBMBTF22376</t>
  </si>
  <si>
    <t>2025-03-02 19:34:20</t>
  </si>
  <si>
    <t xml:space="preserve">Raunak </t>
  </si>
  <si>
    <t>MH14GM7077</t>
  </si>
  <si>
    <t>2025-03-02 19:41:47</t>
  </si>
  <si>
    <t>Regwin</t>
  </si>
  <si>
    <t>MH14FJ5716</t>
  </si>
  <si>
    <t>28879</t>
  </si>
  <si>
    <t>ME4JF504LFT985888</t>
  </si>
  <si>
    <t>JF50ET2986163</t>
  </si>
  <si>
    <t>2025-03-02 19:53:08</t>
  </si>
  <si>
    <t>Nitish Singh</t>
  </si>
  <si>
    <t>MH14CA9322</t>
  </si>
  <si>
    <t>26318</t>
  </si>
  <si>
    <t>MB8CF4CACA8112258</t>
  </si>
  <si>
    <t>E186347539</t>
  </si>
  <si>
    <t>2025-03-02 20:01:40</t>
  </si>
  <si>
    <t xml:space="preserve">Aishwarya </t>
  </si>
  <si>
    <t>MH50E4315</t>
  </si>
  <si>
    <t>28557</t>
  </si>
  <si>
    <t>2025-03-02 20:11:30</t>
  </si>
  <si>
    <t>Vaishali Deshmukh</t>
  </si>
  <si>
    <t>MH24AL6078</t>
  </si>
  <si>
    <t>46243</t>
  </si>
  <si>
    <t>ME4JF504FF7166966</t>
  </si>
  <si>
    <t>2024-08-04 11:46:47</t>
  </si>
  <si>
    <t>38516</t>
  </si>
  <si>
    <t>2024-08-04 11:48:48</t>
  </si>
  <si>
    <t>Vikas Thote</t>
  </si>
  <si>
    <t>MH12LH6686</t>
  </si>
  <si>
    <t>33476</t>
  </si>
  <si>
    <t>MD2A64CZ0EWD06797</t>
  </si>
  <si>
    <t>JE7WED61037</t>
  </si>
  <si>
    <t>2024-08-04 11:50:43</t>
  </si>
  <si>
    <t>Akshay Awashank</t>
  </si>
  <si>
    <t>MH13CR6668</t>
  </si>
  <si>
    <t>25785</t>
  </si>
  <si>
    <t>ME4KC209DH8005716</t>
  </si>
  <si>
    <t>KC20E81012921</t>
  </si>
  <si>
    <t>2024-08-04 11:53:04</t>
  </si>
  <si>
    <t>Mudit</t>
  </si>
  <si>
    <t>MH14EZ3638</t>
  </si>
  <si>
    <t>16750</t>
  </si>
  <si>
    <t>11 ₹</t>
  </si>
  <si>
    <t>MB8CF4CDF8573571</t>
  </si>
  <si>
    <t>E4862744611</t>
  </si>
  <si>
    <t>2024-08-04 11:53:48</t>
  </si>
  <si>
    <t>27312</t>
  </si>
  <si>
    <t>2024-08-04 11:58:18</t>
  </si>
  <si>
    <t>Piyush</t>
  </si>
  <si>
    <t>RJ14WB1195</t>
  </si>
  <si>
    <t>42728</t>
  </si>
  <si>
    <t>ME121CDH7D2032961</t>
  </si>
  <si>
    <t>21CH038012</t>
  </si>
  <si>
    <t>2024-08-04 11:56:21</t>
  </si>
  <si>
    <t>94740</t>
  </si>
  <si>
    <t>2024-08-04 11:57:21</t>
  </si>
  <si>
    <t>22527</t>
  </si>
  <si>
    <t>2024-08-04 12:00:20</t>
  </si>
  <si>
    <t>2024-08-05 20:28:20</t>
  </si>
  <si>
    <t>28352</t>
  </si>
  <si>
    <t>2024-08-04 21:03:12</t>
  </si>
  <si>
    <t>DASGUPTA</t>
  </si>
  <si>
    <t>MH19AG1205</t>
  </si>
  <si>
    <t>Hero Splendor Super</t>
  </si>
  <si>
    <t>35350</t>
  </si>
  <si>
    <t>05EAAF13180</t>
  </si>
  <si>
    <t>05EAAE12571</t>
  </si>
  <si>
    <t>2024-11-06 20:44:46</t>
  </si>
  <si>
    <t xml:space="preserve">RAKESH </t>
  </si>
  <si>
    <t>MH14CN6925</t>
  </si>
  <si>
    <t>14699</t>
  </si>
  <si>
    <t>2025-03-02 19:42:26</t>
  </si>
  <si>
    <t xml:space="preserve">PARAG </t>
  </si>
  <si>
    <t>MH14CA9718</t>
  </si>
  <si>
    <t>51018</t>
  </si>
  <si>
    <t>2024-11-06 20:56:56</t>
  </si>
  <si>
    <t xml:space="preserve">Sumit </t>
  </si>
  <si>
    <t>MH11CZ8334</t>
  </si>
  <si>
    <t>40716</t>
  </si>
  <si>
    <t>ME4KC401BMA214963</t>
  </si>
  <si>
    <t>KC40EA0214973</t>
  </si>
  <si>
    <t>2024-11-06 20:50:52</t>
  </si>
  <si>
    <t>MH14ET4935</t>
  </si>
  <si>
    <t>31519</t>
  </si>
  <si>
    <t>MD626BG44F1A93390</t>
  </si>
  <si>
    <t>BG44AF1385870</t>
  </si>
  <si>
    <t>2024-11-06 20:50:18</t>
  </si>
  <si>
    <t>Shailndra Bhat</t>
  </si>
  <si>
    <t>MH46AA2787</t>
  </si>
  <si>
    <t>35265</t>
  </si>
  <si>
    <t>MBLJF32ABEGA39477</t>
  </si>
  <si>
    <t>JF32AAGA28821</t>
  </si>
  <si>
    <t>2024-11-06 20:55:53</t>
  </si>
  <si>
    <t>14866</t>
  </si>
  <si>
    <t>2024-08-04 11:59:45</t>
  </si>
  <si>
    <t>ROHIT MORE</t>
  </si>
  <si>
    <t>MH09DS1121</t>
  </si>
  <si>
    <t>54426</t>
  </si>
  <si>
    <t>2024-11-06 21:04:01</t>
  </si>
  <si>
    <t>7599</t>
  </si>
  <si>
    <t>2024-08-05 10:30:15</t>
  </si>
  <si>
    <t>2024-08-04 20:36:51</t>
  </si>
  <si>
    <t>MH41AL9977</t>
  </si>
  <si>
    <t>25283</t>
  </si>
  <si>
    <t>2024-08-04 20:37:47</t>
  </si>
  <si>
    <t>52747</t>
  </si>
  <si>
    <t>2024-08-04 20:38:54</t>
  </si>
  <si>
    <t>Rishikesh Dole</t>
  </si>
  <si>
    <t>MH13DR5655</t>
  </si>
  <si>
    <t>29314</t>
  </si>
  <si>
    <t>MB8ED13WML8105890</t>
  </si>
  <si>
    <t>BGA31021591</t>
  </si>
  <si>
    <t>2024-08-04 20:40:29</t>
  </si>
  <si>
    <t>Swati Kumbhar</t>
  </si>
  <si>
    <t>MH14GW0384</t>
  </si>
  <si>
    <t>4300</t>
  </si>
  <si>
    <t>MD626AG37JZC57347</t>
  </si>
  <si>
    <t>AG3CJ2553684</t>
  </si>
  <si>
    <t>2024-08-04 20:47:55</t>
  </si>
  <si>
    <t xml:space="preserve">Nilesh Barne </t>
  </si>
  <si>
    <t>MH14HR2848</t>
  </si>
  <si>
    <t>20663</t>
  </si>
  <si>
    <t>MD626EG42K1D24945</t>
  </si>
  <si>
    <t>DG4DK1906763</t>
  </si>
  <si>
    <t>2024-08-04 20:43:00</t>
  </si>
  <si>
    <t>Dyushant Pawar</t>
  </si>
  <si>
    <t>MH14HL0220</t>
  </si>
  <si>
    <t>24707</t>
  </si>
  <si>
    <t>MD2JUCYK8KC036160</t>
  </si>
  <si>
    <t>890659051</t>
  </si>
  <si>
    <t>2024-08-04 20:49:05</t>
  </si>
  <si>
    <t xml:space="preserve">YOGESH CHAVAN </t>
  </si>
  <si>
    <t>MH10DW8447</t>
  </si>
  <si>
    <t>Hero Glamour FI</t>
  </si>
  <si>
    <t>MBLJAW221N9F01245</t>
  </si>
  <si>
    <t>JA07AENF01802</t>
  </si>
  <si>
    <t>2024-08-04 20:44:27</t>
  </si>
  <si>
    <t>Dinesh Suryavanshi</t>
  </si>
  <si>
    <t>MH14BZ6816</t>
  </si>
  <si>
    <t>47655</t>
  </si>
  <si>
    <t>MBLJF16ECAGA10717</t>
  </si>
  <si>
    <t>2024-08-04 20:49:57</t>
  </si>
  <si>
    <t>3592</t>
  </si>
  <si>
    <t>2024-08-04 20:54:32</t>
  </si>
  <si>
    <t>Siddhant Warke</t>
  </si>
  <si>
    <t>MH09FK7840</t>
  </si>
  <si>
    <t>36709</t>
  </si>
  <si>
    <t>ME4KC23PGKA004631</t>
  </si>
  <si>
    <t>KC23EA6010684</t>
  </si>
  <si>
    <t>2024-08-04 20:52:17</t>
  </si>
  <si>
    <t>Raj Dhawale</t>
  </si>
  <si>
    <t>MH37AA6226</t>
  </si>
  <si>
    <t>36930</t>
  </si>
  <si>
    <t>MB8DP12DJL8318274</t>
  </si>
  <si>
    <t>AE216409599</t>
  </si>
  <si>
    <t>2024-08-04 20:55:45</t>
  </si>
  <si>
    <t xml:space="preserve">KRUNAL WANKHEDE </t>
  </si>
  <si>
    <t>MH31EB8593</t>
  </si>
  <si>
    <t>39929</t>
  </si>
  <si>
    <t>MDZDHDKZZYCA9537</t>
  </si>
  <si>
    <t>DKGBVA18899</t>
  </si>
  <si>
    <t>2024-08-04 20:56:21</t>
  </si>
  <si>
    <t>SAURABH SHENDE</t>
  </si>
  <si>
    <t>MH35AD7128</t>
  </si>
  <si>
    <t>18829</t>
  </si>
  <si>
    <t>ME4JF505GGT570</t>
  </si>
  <si>
    <t>JF50ET3569595</t>
  </si>
  <si>
    <t>2024-08-04 21:05:17</t>
  </si>
  <si>
    <t>42444</t>
  </si>
  <si>
    <t>2024-08-04 21:06:19</t>
  </si>
  <si>
    <t>Sahil Barge</t>
  </si>
  <si>
    <t>MH11CB7858</t>
  </si>
  <si>
    <t>84320</t>
  </si>
  <si>
    <t>2024-08-05 10:31:30</t>
  </si>
  <si>
    <t xml:space="preserve">Sarvesh Kulkarni </t>
  </si>
  <si>
    <t>MH15JG6089</t>
  </si>
  <si>
    <t>7871</t>
  </si>
  <si>
    <t>2024-10-09 13:28:05</t>
  </si>
  <si>
    <t xml:space="preserve">KAUSTUBH </t>
  </si>
  <si>
    <t>MH14JG7531</t>
  </si>
  <si>
    <t>6795</t>
  </si>
  <si>
    <t>ME4JF984BLW001779</t>
  </si>
  <si>
    <t>JF98EW1002334</t>
  </si>
  <si>
    <t>2024-09-16 11:38:57</t>
  </si>
  <si>
    <t>Aniruddha Kibey</t>
  </si>
  <si>
    <t>MH15FB1177</t>
  </si>
  <si>
    <t>35057</t>
  </si>
  <si>
    <t>ME1RG0819F003227</t>
  </si>
  <si>
    <t>G3C9E0029174</t>
  </si>
  <si>
    <t>2024-11-06 20:57:11</t>
  </si>
  <si>
    <t>Khedkar</t>
  </si>
  <si>
    <t>MH12NR9750</t>
  </si>
  <si>
    <t>37612</t>
  </si>
  <si>
    <t>ME4JF488KG8023165</t>
  </si>
  <si>
    <t>2024-08-14 21:14:24</t>
  </si>
  <si>
    <t>46356</t>
  </si>
  <si>
    <t>2024-08-05 20:21:46</t>
  </si>
  <si>
    <t>MORESHWAR JOSHI</t>
  </si>
  <si>
    <t>MH18BW6018</t>
  </si>
  <si>
    <t>14363</t>
  </si>
  <si>
    <t>ME4JF91ADNW158934</t>
  </si>
  <si>
    <t>JF91EW7158971</t>
  </si>
  <si>
    <t>2024-08-14 21:39:02</t>
  </si>
  <si>
    <t>234 ₹</t>
  </si>
  <si>
    <t>2024-08-05 20:26:44</t>
  </si>
  <si>
    <t>Ajay More</t>
  </si>
  <si>
    <t>MH14GG0514</t>
  </si>
  <si>
    <t>72751</t>
  </si>
  <si>
    <t>MD626EG49H1B33597</t>
  </si>
  <si>
    <t>2024-08-05 20:23:53</t>
  </si>
  <si>
    <t>ABHISHEK CHABUKSSWAR</t>
  </si>
  <si>
    <t>MH14FQ5444</t>
  </si>
  <si>
    <t>40905</t>
  </si>
  <si>
    <t>ME10900EAU0004946</t>
  </si>
  <si>
    <t>M4191151242424</t>
  </si>
  <si>
    <t>2024-08-05 20:29:20</t>
  </si>
  <si>
    <t>2024-08-05 20:29:01</t>
  </si>
  <si>
    <t>RAHUL JADHAV</t>
  </si>
  <si>
    <t>MH28BR5991</t>
  </si>
  <si>
    <t>29576</t>
  </si>
  <si>
    <t>2024-08-05 20:31:08</t>
  </si>
  <si>
    <t>2024-11-27 19:45:30</t>
  </si>
  <si>
    <t>Prathama Rode</t>
  </si>
  <si>
    <t>MH09GC1336</t>
  </si>
  <si>
    <t>3099</t>
  </si>
  <si>
    <t>2024-09-04 20:19:29</t>
  </si>
  <si>
    <t>28407</t>
  </si>
  <si>
    <t>2024-08-14 21:25:40</t>
  </si>
  <si>
    <t>Sarjerao</t>
  </si>
  <si>
    <t>MH13BF0133</t>
  </si>
  <si>
    <t>MBLHA10AWCHD13283</t>
  </si>
  <si>
    <t>HA10ENCHD12578</t>
  </si>
  <si>
    <t>2024-09-06 12:03:29</t>
  </si>
  <si>
    <t>Laxman</t>
  </si>
  <si>
    <t>MH14KR2258</t>
  </si>
  <si>
    <t>19783</t>
  </si>
  <si>
    <t>75 ₹</t>
  </si>
  <si>
    <t>2024-11-07 19:53:29</t>
  </si>
  <si>
    <t>KRISHNENDU BISWAS</t>
  </si>
  <si>
    <t>MH14JN6680</t>
  </si>
  <si>
    <t>7569</t>
  </si>
  <si>
    <t>ME4JC832CMG139472</t>
  </si>
  <si>
    <t>JC83EG0360761</t>
  </si>
  <si>
    <t>2025-05-19 17:49:43</t>
  </si>
  <si>
    <t xml:space="preserve">Sonawane </t>
  </si>
  <si>
    <t>MH14JB3314</t>
  </si>
  <si>
    <t>26286</t>
  </si>
  <si>
    <t>ME4JF913ALD00968</t>
  </si>
  <si>
    <t>JF91E0004872</t>
  </si>
  <si>
    <t>2025-05-19 17:50:39</t>
  </si>
  <si>
    <t>AJIT NIRGUDKAR</t>
  </si>
  <si>
    <t>MH12MH3550</t>
  </si>
  <si>
    <t>21052</t>
  </si>
  <si>
    <t>2024-09-04 20:11:37</t>
  </si>
  <si>
    <t>6767</t>
  </si>
  <si>
    <t>2024-09-04 20:11:13</t>
  </si>
  <si>
    <t xml:space="preserve">Vijay Bhosle </t>
  </si>
  <si>
    <t>MH21BY4702</t>
  </si>
  <si>
    <t>15671</t>
  </si>
  <si>
    <t>2024-09-04 20:12:41</t>
  </si>
  <si>
    <t>92163</t>
  </si>
  <si>
    <t>2024-09-04 20:19:55</t>
  </si>
  <si>
    <t xml:space="preserve">Swaraj </t>
  </si>
  <si>
    <t>MH12GG4596</t>
  </si>
  <si>
    <t>38398</t>
  </si>
  <si>
    <t>2024-09-04 20:15:24</t>
  </si>
  <si>
    <t>PRITI BAKSHI</t>
  </si>
  <si>
    <t>MH14EA0597</t>
  </si>
  <si>
    <t>6430</t>
  </si>
  <si>
    <t>MD626B636D2E94213</t>
  </si>
  <si>
    <t>O63ED2120243</t>
  </si>
  <si>
    <t>2024-09-04 20:13:25</t>
  </si>
  <si>
    <t>Amol Tikone</t>
  </si>
  <si>
    <t>MH12HM8685</t>
  </si>
  <si>
    <t>15535</t>
  </si>
  <si>
    <t>MBLJF16EDBGK28043</t>
  </si>
  <si>
    <t>2025-06-28 20:37:12</t>
  </si>
  <si>
    <t>Vaibhav</t>
  </si>
  <si>
    <t>MH11BU5062</t>
  </si>
  <si>
    <t>2024-09-04 20:16:48</t>
  </si>
  <si>
    <t xml:space="preserve">Nagendra </t>
  </si>
  <si>
    <t>KA02KK1019</t>
  </si>
  <si>
    <t>37641</t>
  </si>
  <si>
    <t>2024-09-04 20:19:04</t>
  </si>
  <si>
    <t>Suyog Bagul</t>
  </si>
  <si>
    <t>MH18BK4845</t>
  </si>
  <si>
    <t>33260</t>
  </si>
  <si>
    <t>2024-09-04 20:20:47</t>
  </si>
  <si>
    <t xml:space="preserve">Shubham </t>
  </si>
  <si>
    <t>MH03CQ6419</t>
  </si>
  <si>
    <t>2024-09-04 20:21:51</t>
  </si>
  <si>
    <t xml:space="preserve">Rohit </t>
  </si>
  <si>
    <t>MH12QP3130</t>
  </si>
  <si>
    <t>48826</t>
  </si>
  <si>
    <t>ME4KC23KEJ8000550</t>
  </si>
  <si>
    <t>KC23E85011521</t>
  </si>
  <si>
    <t>2024-09-04 20:22:42</t>
  </si>
  <si>
    <t>19444</t>
  </si>
  <si>
    <t>2024-09-04 20:25:45</t>
  </si>
  <si>
    <t>2024-09-04 20:30:45</t>
  </si>
  <si>
    <t>34000</t>
  </si>
  <si>
    <t>2024-09-04 20:32:59</t>
  </si>
  <si>
    <t>2024-09-04 20:32:22</t>
  </si>
  <si>
    <t>MH12PD1623</t>
  </si>
  <si>
    <t>2024-09-04 20:33:46</t>
  </si>
  <si>
    <t>2024-09-04 20:42:34</t>
  </si>
  <si>
    <t>Vaidehi Shejwalkar</t>
  </si>
  <si>
    <t>MH32AP3622</t>
  </si>
  <si>
    <t>11999</t>
  </si>
  <si>
    <t>ME4JF50AJKG255155</t>
  </si>
  <si>
    <t>JC50EG0255232</t>
  </si>
  <si>
    <t>2024-09-04 20:37:38</t>
  </si>
  <si>
    <t xml:space="preserve">Kalyani Chavan </t>
  </si>
  <si>
    <t>MH14KM2375</t>
  </si>
  <si>
    <t>6113</t>
  </si>
  <si>
    <t>2024-09-04 20:38:26</t>
  </si>
  <si>
    <t>Deepak Sevak</t>
  </si>
  <si>
    <t>MH14DG7159</t>
  </si>
  <si>
    <t>31232</t>
  </si>
  <si>
    <t>2024-09-04 20:39:55</t>
  </si>
  <si>
    <t>47650</t>
  </si>
  <si>
    <t>2024-09-04 20:40:40</t>
  </si>
  <si>
    <t>16611</t>
  </si>
  <si>
    <t>2024-09-04 20:42:00</t>
  </si>
  <si>
    <t>19123</t>
  </si>
  <si>
    <t>2024-09-04 20:43:04</t>
  </si>
  <si>
    <t>33264</t>
  </si>
  <si>
    <t>2024-09-04 20:46:34</t>
  </si>
  <si>
    <t>14139</t>
  </si>
  <si>
    <t>2024-09-04 20:45:18</t>
  </si>
  <si>
    <t>MH24BN6238</t>
  </si>
  <si>
    <t>10010</t>
  </si>
  <si>
    <t>2024-09-04 20:15:57</t>
  </si>
  <si>
    <t>Aman</t>
  </si>
  <si>
    <t>MH12QP2377</t>
  </si>
  <si>
    <t>23964</t>
  </si>
  <si>
    <t>ME4J50BFJU52758</t>
  </si>
  <si>
    <t>JF50EU8052805</t>
  </si>
  <si>
    <t>2024-09-04 20:49:00</t>
  </si>
  <si>
    <t>MH17CL9740</t>
  </si>
  <si>
    <t>Honda X Blade No Data</t>
  </si>
  <si>
    <t>20838</t>
  </si>
  <si>
    <t>ME4KC356GLA002007</t>
  </si>
  <si>
    <t>KE35E3004302</t>
  </si>
  <si>
    <t>2024-09-04 20:49:42</t>
  </si>
  <si>
    <t>Soham</t>
  </si>
  <si>
    <t>MH36V4009</t>
  </si>
  <si>
    <t>75317</t>
  </si>
  <si>
    <t>2024-09-04 20:50:28</t>
  </si>
  <si>
    <t>Rohit Waghmare</t>
  </si>
  <si>
    <t>MH14JF5753</t>
  </si>
  <si>
    <t>57808</t>
  </si>
  <si>
    <t>2024-09-04 20:53:27</t>
  </si>
  <si>
    <t xml:space="preserve">Gaurav Varma </t>
  </si>
  <si>
    <t>MH14HP3199</t>
  </si>
  <si>
    <t>31361</t>
  </si>
  <si>
    <t>2024-09-04 20:52:31</t>
  </si>
  <si>
    <t>Sony dsouza</t>
  </si>
  <si>
    <t>MH14JW1507</t>
  </si>
  <si>
    <t>26715</t>
  </si>
  <si>
    <t>MD626AK48M05606</t>
  </si>
  <si>
    <t>BK4PM1605085</t>
  </si>
  <si>
    <t>2024-09-04 20:46:06</t>
  </si>
  <si>
    <t>Vishal Borate</t>
  </si>
  <si>
    <t>MH14DU2176</t>
  </si>
  <si>
    <t>8035</t>
  </si>
  <si>
    <t>MBLHA11EWC9L03753</t>
  </si>
  <si>
    <t>HA11EFC9L06051</t>
  </si>
  <si>
    <t>2024-09-04 20:58:18</t>
  </si>
  <si>
    <t>MH27CH7317</t>
  </si>
  <si>
    <t>42760</t>
  </si>
  <si>
    <t>2025-03-03 16:19:25</t>
  </si>
  <si>
    <t>10100</t>
  </si>
  <si>
    <t>2025-03-03 16:20:05</t>
  </si>
  <si>
    <t xml:space="preserve">PRITHVIRAJ </t>
  </si>
  <si>
    <t>MH14KE2784</t>
  </si>
  <si>
    <t>25414</t>
  </si>
  <si>
    <t>D4A5F1NA5100325410EF</t>
  </si>
  <si>
    <t>ME304B5F1NA002443</t>
  </si>
  <si>
    <t>2025-03-03 16:20:29</t>
  </si>
  <si>
    <t>KETAN PATHODE</t>
  </si>
  <si>
    <t>MH12NZ4019</t>
  </si>
  <si>
    <t>32080</t>
  </si>
  <si>
    <t>2025-03-03 16:21:14</t>
  </si>
  <si>
    <t>SUCHIT NIKAM</t>
  </si>
  <si>
    <t>MH12QN8752</t>
  </si>
  <si>
    <t>25405</t>
  </si>
  <si>
    <t>2024-11-27 19:45:44</t>
  </si>
  <si>
    <t>17452</t>
  </si>
  <si>
    <t>2024-09-04 20:44:29</t>
  </si>
  <si>
    <t>Jitendra Bhatnagar</t>
  </si>
  <si>
    <t>MH12EE8452</t>
  </si>
  <si>
    <t>44148</t>
  </si>
  <si>
    <t>01J21M34838</t>
  </si>
  <si>
    <t>01J21C10575</t>
  </si>
  <si>
    <t>2024-09-04 20:52:50</t>
  </si>
  <si>
    <t>MH12LN8873</t>
  </si>
  <si>
    <t>10387</t>
  </si>
  <si>
    <t>2024-09-04 20:53:43</t>
  </si>
  <si>
    <t>59578</t>
  </si>
  <si>
    <t>2024-09-04 20:55:08</t>
  </si>
  <si>
    <t>14009</t>
  </si>
  <si>
    <t>2024-09-04 20:55:51</t>
  </si>
  <si>
    <t xml:space="preserve">Akshay Patil </t>
  </si>
  <si>
    <t>MH12SH4689</t>
  </si>
  <si>
    <t>33960</t>
  </si>
  <si>
    <t>MB8ED11AKK8114274</t>
  </si>
  <si>
    <t>BGA1677074</t>
  </si>
  <si>
    <t>2024-08-07 21:07:38</t>
  </si>
  <si>
    <t>Ajay Sonar</t>
  </si>
  <si>
    <t>MH19DW5087</t>
  </si>
  <si>
    <t>8050</t>
  </si>
  <si>
    <t>2024-11-27 20:20:02</t>
  </si>
  <si>
    <t xml:space="preserve">Banvari Lal Chaudhary </t>
  </si>
  <si>
    <t>MH12FJ2749</t>
  </si>
  <si>
    <t>7974</t>
  </si>
  <si>
    <t>2024-09-04 20:56:20</t>
  </si>
  <si>
    <t>Niraj Singh</t>
  </si>
  <si>
    <t>MH14JB0434</t>
  </si>
  <si>
    <t>13897</t>
  </si>
  <si>
    <t>2024-11-27 20:21:05</t>
  </si>
  <si>
    <t xml:space="preserve">Tushar Deshmukh </t>
  </si>
  <si>
    <t>MH30BS2100</t>
  </si>
  <si>
    <t>10618</t>
  </si>
  <si>
    <t>2025-05-19 18:31:52</t>
  </si>
  <si>
    <t>MH14DG9986</t>
  </si>
  <si>
    <t>25733</t>
  </si>
  <si>
    <t>2025-05-19 18:33:01</t>
  </si>
  <si>
    <t>Tejas Ubale</t>
  </si>
  <si>
    <t>MH12VS5242</t>
  </si>
  <si>
    <t>25674</t>
  </si>
  <si>
    <t>ME4JF95418093076</t>
  </si>
  <si>
    <t>JF49E82148185</t>
  </si>
  <si>
    <t>2024-10-17 20:40:54</t>
  </si>
  <si>
    <t>48982</t>
  </si>
  <si>
    <t>2024-11-07 19:39:52</t>
  </si>
  <si>
    <t>Pritam Somade</t>
  </si>
  <si>
    <t>MH12MX7321</t>
  </si>
  <si>
    <t>15451</t>
  </si>
  <si>
    <t>ME4JC651BG7306755</t>
  </si>
  <si>
    <t>JC65E70462496</t>
  </si>
  <si>
    <t>2024-11-27 20:38:55</t>
  </si>
  <si>
    <t>RISHABH</t>
  </si>
  <si>
    <t>GJ01EY4099</t>
  </si>
  <si>
    <t>12417</t>
  </si>
  <si>
    <t>ME3U355CLFH271130</t>
  </si>
  <si>
    <t>U3S5CLF1010336</t>
  </si>
  <si>
    <t>2024-11-27 19:45:15</t>
  </si>
  <si>
    <t>PRIYANKA KASETWAR</t>
  </si>
  <si>
    <t>MH14GV8908</t>
  </si>
  <si>
    <t>11239</t>
  </si>
  <si>
    <t>MD626EG42J1B42919</t>
  </si>
  <si>
    <t>EGBJ1362739</t>
  </si>
  <si>
    <t>2024-08-09 20:25:13</t>
  </si>
  <si>
    <t>Ashok</t>
  </si>
  <si>
    <t>MH12HH5653</t>
  </si>
  <si>
    <t>MBLHA10EWBGH46036</t>
  </si>
  <si>
    <t>HA10EDBG404565</t>
  </si>
  <si>
    <t>2024-11-07 19:43:38</t>
  </si>
  <si>
    <t>Kamthe</t>
  </si>
  <si>
    <t>MH14BE7566</t>
  </si>
  <si>
    <t>85933</t>
  </si>
  <si>
    <t>2024-11-07 19:46:52</t>
  </si>
  <si>
    <t>28827</t>
  </si>
  <si>
    <t>2025-05-19 18:34:29</t>
  </si>
  <si>
    <t xml:space="preserve">ANIL HADPSARKAR </t>
  </si>
  <si>
    <t>MH12FT3159</t>
  </si>
  <si>
    <t>86967</t>
  </si>
  <si>
    <t>ME4JC446M93053016</t>
  </si>
  <si>
    <t>JH4E037C725</t>
  </si>
  <si>
    <t>2024-11-07 19:46:17</t>
  </si>
  <si>
    <t>Prithviraj Patil</t>
  </si>
  <si>
    <t>MH12PV5498</t>
  </si>
  <si>
    <t>56023</t>
  </si>
  <si>
    <t>ME4JF507KHT788859</t>
  </si>
  <si>
    <t>JF50ET5789240</t>
  </si>
  <si>
    <t>2024-11-07 20:08:31</t>
  </si>
  <si>
    <t>33983</t>
  </si>
  <si>
    <t>2024-11-07 19:42:27</t>
  </si>
  <si>
    <t>Ritul</t>
  </si>
  <si>
    <t>MH14GJ6348</t>
  </si>
  <si>
    <t>13153</t>
  </si>
  <si>
    <t>ME4JF504CF8061322</t>
  </si>
  <si>
    <t>JF50E82061034</t>
  </si>
  <si>
    <t>2024-11-07 19:50:38</t>
  </si>
  <si>
    <t>Amit kambe</t>
  </si>
  <si>
    <t>MH27CK3864</t>
  </si>
  <si>
    <t>71935</t>
  </si>
  <si>
    <t>2024-11-07 19:49:14</t>
  </si>
  <si>
    <t>Jaideep Pathak</t>
  </si>
  <si>
    <t>MH14KH6479</t>
  </si>
  <si>
    <t>6391</t>
  </si>
  <si>
    <t>MD626AK48N1K21482</t>
  </si>
  <si>
    <t>BK4KN1X20876</t>
  </si>
  <si>
    <t>2025-05-19 18:35:21</t>
  </si>
  <si>
    <t>GOPI</t>
  </si>
  <si>
    <t>MH14HS6554</t>
  </si>
  <si>
    <t>53365</t>
  </si>
  <si>
    <t>2025-05-19 18:38:13</t>
  </si>
  <si>
    <t>Sagar Shivsharan</t>
  </si>
  <si>
    <t>MH13CX6321</t>
  </si>
  <si>
    <t>39848</t>
  </si>
  <si>
    <t>2024-11-07 20:46:32</t>
  </si>
  <si>
    <t>AMARJA PATIL</t>
  </si>
  <si>
    <t>MH14EF9064</t>
  </si>
  <si>
    <t>22999</t>
  </si>
  <si>
    <t>MB8CF4CAAE8293062</t>
  </si>
  <si>
    <t>F4252475350</t>
  </si>
  <si>
    <t>2024-11-07 20:08:07</t>
  </si>
  <si>
    <t xml:space="preserve">Prakash </t>
  </si>
  <si>
    <t>MH12PP1297</t>
  </si>
  <si>
    <t>64524</t>
  </si>
  <si>
    <t>500 ₹</t>
  </si>
  <si>
    <t>ME4KC311FH8060861</t>
  </si>
  <si>
    <t>KC31E80060948</t>
  </si>
  <si>
    <t>2024-11-07 20:09:26</t>
  </si>
  <si>
    <t>RAUNAK</t>
  </si>
  <si>
    <t>MH12RE7580</t>
  </si>
  <si>
    <t>26209</t>
  </si>
  <si>
    <t>MD626EG45J1P13512</t>
  </si>
  <si>
    <t>EG4PJ100934</t>
  </si>
  <si>
    <t>2024-10-09 20:55:35</t>
  </si>
  <si>
    <t>Shal</t>
  </si>
  <si>
    <t>KL46Q2413</t>
  </si>
  <si>
    <t>1935</t>
  </si>
  <si>
    <t>2024-10-13 15:19:29</t>
  </si>
  <si>
    <t>DURGESH</t>
  </si>
  <si>
    <t>MH14JY0548</t>
  </si>
  <si>
    <t>18073</t>
  </si>
  <si>
    <t>2025-05-19 18:43:24</t>
  </si>
  <si>
    <t>Satyajeet Khumbhar</t>
  </si>
  <si>
    <t>MH09EY8063</t>
  </si>
  <si>
    <t>45749</t>
  </si>
  <si>
    <t>ME4JC736G4T002611</t>
  </si>
  <si>
    <t>2025-05-19 18:47:16</t>
  </si>
  <si>
    <t xml:space="preserve">Kedar Desai </t>
  </si>
  <si>
    <t>MH12RX0802</t>
  </si>
  <si>
    <t>44404</t>
  </si>
  <si>
    <t>2024-08-07 21:05:48</t>
  </si>
  <si>
    <t>2024-08-07 21:06:24</t>
  </si>
  <si>
    <t>29616</t>
  </si>
  <si>
    <t>2024-08-07 21:08:35</t>
  </si>
  <si>
    <t>MH14CZ9448</t>
  </si>
  <si>
    <t>Net Banking</t>
  </si>
  <si>
    <t>2024-09-06 10:20:50</t>
  </si>
  <si>
    <t>18093</t>
  </si>
  <si>
    <t>2024-08-09 20:45:43</t>
  </si>
  <si>
    <t>MH14HB2092</t>
  </si>
  <si>
    <t>17556</t>
  </si>
  <si>
    <t>ME4JF50AHJT393688</t>
  </si>
  <si>
    <t>2024-09-06 10:24:53</t>
  </si>
  <si>
    <t>Animesh Das</t>
  </si>
  <si>
    <t>MH12GD0657</t>
  </si>
  <si>
    <t>63395</t>
  </si>
  <si>
    <t>ME4JC446FA8280816</t>
  </si>
  <si>
    <t>2024-09-06 11:05:54</t>
  </si>
  <si>
    <t>Sachin Gadia</t>
  </si>
  <si>
    <t>MH12QD5387</t>
  </si>
  <si>
    <t>56182</t>
  </si>
  <si>
    <t>MB8DP11ALH863839</t>
  </si>
  <si>
    <t>AF211495264</t>
  </si>
  <si>
    <t>2024-09-06 11:01:13</t>
  </si>
  <si>
    <t>MANOJ</t>
  </si>
  <si>
    <t>MH14HV6307</t>
  </si>
  <si>
    <t>30843</t>
  </si>
  <si>
    <t>2024-09-06 10:50:09</t>
  </si>
  <si>
    <t>MH11CX5882</t>
  </si>
  <si>
    <t>31778</t>
  </si>
  <si>
    <t>MB8DP12DCL8220620</t>
  </si>
  <si>
    <t>AF21634857</t>
  </si>
  <si>
    <t>2024-09-06 11:15:28</t>
  </si>
  <si>
    <t>4315</t>
  </si>
  <si>
    <t>2024-08-18 21:11:06</t>
  </si>
  <si>
    <t>Pratik Kanse</t>
  </si>
  <si>
    <t>MH14FK0912</t>
  </si>
  <si>
    <t>76266</t>
  </si>
  <si>
    <t>ME4JF506AGT095381</t>
  </si>
  <si>
    <t>2024-09-06 12:02:04</t>
  </si>
  <si>
    <t>MANAN</t>
  </si>
  <si>
    <t>MH14CA1309</t>
  </si>
  <si>
    <t>26131</t>
  </si>
  <si>
    <t>2024-08-09 12:55:08</t>
  </si>
  <si>
    <t xml:space="preserve">Nitin Yadav </t>
  </si>
  <si>
    <t>MH14CF5711</t>
  </si>
  <si>
    <t>23710</t>
  </si>
  <si>
    <t>JC44E07066</t>
  </si>
  <si>
    <t>2024-10-09 20:05:24</t>
  </si>
  <si>
    <t>Aniket</t>
  </si>
  <si>
    <t>MH12SG1357</t>
  </si>
  <si>
    <t>31445</t>
  </si>
  <si>
    <t>2024-09-06 12:08:03</t>
  </si>
  <si>
    <t>5746</t>
  </si>
  <si>
    <t>2024-09-06 12:05:38</t>
  </si>
  <si>
    <t>SHUDHANSHU</t>
  </si>
  <si>
    <t>MH32AQ7783</t>
  </si>
  <si>
    <t>12083</t>
  </si>
  <si>
    <t>2024-09-06 12:04:21</t>
  </si>
  <si>
    <t>Pralhad Rathod</t>
  </si>
  <si>
    <t>MH14GR8519</t>
  </si>
  <si>
    <t>33059</t>
  </si>
  <si>
    <t>MD2A22EY5HCH66838</t>
  </si>
  <si>
    <t>DYCHH77287</t>
  </si>
  <si>
    <t>2024-09-06 12:04:44</t>
  </si>
  <si>
    <t>AVNISH</t>
  </si>
  <si>
    <t>MH20BS5770</t>
  </si>
  <si>
    <t>57946</t>
  </si>
  <si>
    <t>MD2DHDHZZTCA97415</t>
  </si>
  <si>
    <t>DHGBTA86462</t>
  </si>
  <si>
    <t>2024-09-06 12:03:57</t>
  </si>
  <si>
    <t>Bhagbat</t>
  </si>
  <si>
    <t>MH12EL4906</t>
  </si>
  <si>
    <t>40002</t>
  </si>
  <si>
    <t>07L02F00712</t>
  </si>
  <si>
    <t>07L22E00L67</t>
  </si>
  <si>
    <t>2024-09-06 12:05:01</t>
  </si>
  <si>
    <t>Sandeep</t>
  </si>
  <si>
    <t>MH14DK5774</t>
  </si>
  <si>
    <t>21415</t>
  </si>
  <si>
    <t>2024-09-06 12:06:25</t>
  </si>
  <si>
    <t>Suraj Hiregoudar</t>
  </si>
  <si>
    <t>MH43BL4006</t>
  </si>
  <si>
    <t>6636</t>
  </si>
  <si>
    <t>2024-09-06 12:08:38</t>
  </si>
  <si>
    <t>MH15DH1007</t>
  </si>
  <si>
    <t>11960</t>
  </si>
  <si>
    <t>ME4JC36CGB82834</t>
  </si>
  <si>
    <t>JC36E2433418</t>
  </si>
  <si>
    <t>2024-09-06 12:05:55</t>
  </si>
  <si>
    <t>MH12LE9730</t>
  </si>
  <si>
    <t>14999</t>
  </si>
  <si>
    <t>2024-08-11 20:19:24</t>
  </si>
  <si>
    <t>30498</t>
  </si>
  <si>
    <t>2024-11-08 20:11:39</t>
  </si>
  <si>
    <t xml:space="preserve">Mohit Desai </t>
  </si>
  <si>
    <t>GJ06LG5870</t>
  </si>
  <si>
    <t>36589</t>
  </si>
  <si>
    <t>MBLJA8026H9410</t>
  </si>
  <si>
    <t>JA06EHH9H08052</t>
  </si>
  <si>
    <t>2025-07-12 20:38:21</t>
  </si>
  <si>
    <t>Aniruddha Deshpande</t>
  </si>
  <si>
    <t>MH14GR8368</t>
  </si>
  <si>
    <t>13860</t>
  </si>
  <si>
    <t>2024-09-06 20:12:10</t>
  </si>
  <si>
    <t>16515</t>
  </si>
  <si>
    <t>2024-09-06 20:14:24</t>
  </si>
  <si>
    <t>24559</t>
  </si>
  <si>
    <t>2024-09-06 20:15:07</t>
  </si>
  <si>
    <t xml:space="preserve">Ajay Desai </t>
  </si>
  <si>
    <t>MH20FS7825</t>
  </si>
  <si>
    <t>09303</t>
  </si>
  <si>
    <t>ME4JF914J4W128976</t>
  </si>
  <si>
    <t>JF91EW1129252</t>
  </si>
  <si>
    <t>2025-07-12 20:21:54</t>
  </si>
  <si>
    <t>67492</t>
  </si>
  <si>
    <t>2025-07-12 20:21:27</t>
  </si>
  <si>
    <t>PRASAD PANDIT</t>
  </si>
  <si>
    <t>MH17AK6400</t>
  </si>
  <si>
    <t>2024-08-09 12:53:24</t>
  </si>
  <si>
    <t>78790</t>
  </si>
  <si>
    <t>2024-09-06 20:13:14</t>
  </si>
  <si>
    <t>ANURAG</t>
  </si>
  <si>
    <t>MH31ES3114</t>
  </si>
  <si>
    <t>77048</t>
  </si>
  <si>
    <t>31 ₹</t>
  </si>
  <si>
    <t>MD6341KE4XB2L75038</t>
  </si>
  <si>
    <t>OE4LE2670187</t>
  </si>
  <si>
    <t>2024-08-09 12:57:23</t>
  </si>
  <si>
    <t>48854</t>
  </si>
  <si>
    <t>2024-08-09 12:58:09</t>
  </si>
  <si>
    <t>20770</t>
  </si>
  <si>
    <t>2025-07-12 20:22:40</t>
  </si>
  <si>
    <t xml:space="preserve">Girish </t>
  </si>
  <si>
    <t>MH14JT7721</t>
  </si>
  <si>
    <t>20915</t>
  </si>
  <si>
    <t>2024-08-09 12:54:25</t>
  </si>
  <si>
    <t>HANUMANT DHANURE</t>
  </si>
  <si>
    <t>MH14JB6453</t>
  </si>
  <si>
    <t>ME1RG662100020868</t>
  </si>
  <si>
    <t>G3NSE0020884</t>
  </si>
  <si>
    <t>2025-07-12 20:26:01</t>
  </si>
  <si>
    <t>Harish Kumbhar</t>
  </si>
  <si>
    <t>MH14LH9222</t>
  </si>
  <si>
    <t>9776</t>
  </si>
  <si>
    <t>2024-09-06 11:08:49</t>
  </si>
  <si>
    <t>Vivek Mishra</t>
  </si>
  <si>
    <t>MH12QP6193</t>
  </si>
  <si>
    <t>28155</t>
  </si>
  <si>
    <t>ME4JF50ACJU007277</t>
  </si>
  <si>
    <t>2024-09-06 20:13:35</t>
  </si>
  <si>
    <t>14369</t>
  </si>
  <si>
    <t>2025-07-12 20:23:35</t>
  </si>
  <si>
    <t>2024-09-06 20:14:42</t>
  </si>
  <si>
    <t xml:space="preserve">GAJANAN </t>
  </si>
  <si>
    <t>MH28BH9344</t>
  </si>
  <si>
    <t>50111</t>
  </si>
  <si>
    <t>2024-08-30 19:11:53</t>
  </si>
  <si>
    <t xml:space="preserve">ANAND </t>
  </si>
  <si>
    <t>MH12UH8993</t>
  </si>
  <si>
    <t>5246</t>
  </si>
  <si>
    <t>2024-09-06 20:15:31</t>
  </si>
  <si>
    <t xml:space="preserve">SUDEEP </t>
  </si>
  <si>
    <t>MH14FA2045</t>
  </si>
  <si>
    <t>16900</t>
  </si>
  <si>
    <t>2024-09-06 20:15:54</t>
  </si>
  <si>
    <t>SAGAR KADAM</t>
  </si>
  <si>
    <t>MH13CL7512</t>
  </si>
  <si>
    <t>17999</t>
  </si>
  <si>
    <t>2025-07-12 20:24:56</t>
  </si>
  <si>
    <t>47350</t>
  </si>
  <si>
    <t>2024-08-09 20:16:54</t>
  </si>
  <si>
    <t>Sudarshan Patil</t>
  </si>
  <si>
    <t>MH19CA7532</t>
  </si>
  <si>
    <t>52732</t>
  </si>
  <si>
    <t>MD625CF18E1L76323</t>
  </si>
  <si>
    <t>2025-07-12 20:25:29</t>
  </si>
  <si>
    <t>38709</t>
  </si>
  <si>
    <t>2025-03-03 20:00:38</t>
  </si>
  <si>
    <t xml:space="preserve">PRANAV KHEDKAR </t>
  </si>
  <si>
    <t>MH20DW2557</t>
  </si>
  <si>
    <t>21687</t>
  </si>
  <si>
    <t>ME4JC58KET335870</t>
  </si>
  <si>
    <t>JC58ET3522666</t>
  </si>
  <si>
    <t>2025-03-03 20:01:03</t>
  </si>
  <si>
    <t>Uttekar</t>
  </si>
  <si>
    <t>MH14AN5819</t>
  </si>
  <si>
    <t>2619</t>
  </si>
  <si>
    <t>05LAAC03045</t>
  </si>
  <si>
    <t>03014</t>
  </si>
  <si>
    <t>2025-03-03 20:02:15</t>
  </si>
  <si>
    <t>VISHWAJEET PATIL</t>
  </si>
  <si>
    <t>MH09DT4060</t>
  </si>
  <si>
    <t>53539</t>
  </si>
  <si>
    <t>ME4JF50HFT41J786</t>
  </si>
  <si>
    <t>JF50ET2412742</t>
  </si>
  <si>
    <t>2025-03-03 20:01:35</t>
  </si>
  <si>
    <t>Rupali</t>
  </si>
  <si>
    <t>MH14ER7977</t>
  </si>
  <si>
    <t>Hero Pleasure New</t>
  </si>
  <si>
    <t>35596</t>
  </si>
  <si>
    <t>MBLJF16EHEGJ20353</t>
  </si>
  <si>
    <t>2024-08-17 20:49:44</t>
  </si>
  <si>
    <t>MH12JE8558</t>
  </si>
  <si>
    <t>Bajaj Pulsar 135 LS</t>
  </si>
  <si>
    <t>049188</t>
  </si>
  <si>
    <t>MD2A17C25CCE29445</t>
  </si>
  <si>
    <t>JEZCCE32686</t>
  </si>
  <si>
    <t>2025-07-12 20:27:34</t>
  </si>
  <si>
    <t xml:space="preserve">Bhushan </t>
  </si>
  <si>
    <t>MH27BU1142</t>
  </si>
  <si>
    <t>19306</t>
  </si>
  <si>
    <t>ME4JF509LGU053195</t>
  </si>
  <si>
    <t>JF50EU6054843</t>
  </si>
  <si>
    <t>2025-07-12 20:28:20</t>
  </si>
  <si>
    <t>ANUJA DESHPANDE</t>
  </si>
  <si>
    <t>MH14EZ2827</t>
  </si>
  <si>
    <t>34117</t>
  </si>
  <si>
    <t>ME4JF491DE819707</t>
  </si>
  <si>
    <t>JF49E81096144</t>
  </si>
  <si>
    <t>2025-07-12 20:28:58</t>
  </si>
  <si>
    <t xml:space="preserve">Tanmay </t>
  </si>
  <si>
    <t>MH31EX8134</t>
  </si>
  <si>
    <t>21302</t>
  </si>
  <si>
    <t>ME4JF49468061080</t>
  </si>
  <si>
    <t>JF49E81547420</t>
  </si>
  <si>
    <t>2025-06-27 17:55:38</t>
  </si>
  <si>
    <t xml:space="preserve">Digvijay </t>
  </si>
  <si>
    <t>MH14KM5690</t>
  </si>
  <si>
    <t>2025-07-12 20:26:23</t>
  </si>
  <si>
    <t>72534</t>
  </si>
  <si>
    <t>2025-03-03 20:02:35</t>
  </si>
  <si>
    <t>50055</t>
  </si>
  <si>
    <t>2025-03-03 20:04:03</t>
  </si>
  <si>
    <t>2025-03-03 20:03:24</t>
  </si>
  <si>
    <t>27364</t>
  </si>
  <si>
    <t>2024-08-09 20:13:31</t>
  </si>
  <si>
    <t>15590</t>
  </si>
  <si>
    <t>2025-07-12 20:29:28</t>
  </si>
  <si>
    <t xml:space="preserve">M G Pathan </t>
  </si>
  <si>
    <t>MH09BD5432</t>
  </si>
  <si>
    <t>55910</t>
  </si>
  <si>
    <t>ME4JE093H178115561</t>
  </si>
  <si>
    <t>KPLE5147114</t>
  </si>
  <si>
    <t>2024-08-09 20:16:21</t>
  </si>
  <si>
    <t>MP07NC5498</t>
  </si>
  <si>
    <t>51598</t>
  </si>
  <si>
    <t>MD6256GF18HZH71553</t>
  </si>
  <si>
    <t>GF1HH1472021</t>
  </si>
  <si>
    <t>2024-08-09 20:17:40</t>
  </si>
  <si>
    <t>34283</t>
  </si>
  <si>
    <t>2024-09-29 20:45:03</t>
  </si>
  <si>
    <t>MH02EB0893</t>
  </si>
  <si>
    <t>18820</t>
  </si>
  <si>
    <t>MD2A13EZ9FCC37651</t>
  </si>
  <si>
    <t>DKZCFD25236</t>
  </si>
  <si>
    <t>2024-08-09 20:31:46</t>
  </si>
  <si>
    <t>Sunil Takawale</t>
  </si>
  <si>
    <t>MH14KL6940</t>
  </si>
  <si>
    <t>8337</t>
  </si>
  <si>
    <t>ME4JF91ALNG450360</t>
  </si>
  <si>
    <t>JF91EG7450527</t>
  </si>
  <si>
    <t>2024-08-09 20:25:47</t>
  </si>
  <si>
    <t>23068</t>
  </si>
  <si>
    <t>87 ₹</t>
  </si>
  <si>
    <t>2024-08-09 20:29:55</t>
  </si>
  <si>
    <t>Amruta</t>
  </si>
  <si>
    <t>MH12HT5965</t>
  </si>
  <si>
    <t>24377</t>
  </si>
  <si>
    <t>M08CF4CAAC8448698</t>
  </si>
  <si>
    <t>2025-03-03 20:03:49</t>
  </si>
  <si>
    <t>MH14GZ4137</t>
  </si>
  <si>
    <t>14090</t>
  </si>
  <si>
    <t>2024-08-09 20:30:35</t>
  </si>
  <si>
    <t>APURVA</t>
  </si>
  <si>
    <t>MH12MH7791</t>
  </si>
  <si>
    <t>Suzuki Swish 125</t>
  </si>
  <si>
    <t>MB8CF4CBGF8186033</t>
  </si>
  <si>
    <t>F486274403</t>
  </si>
  <si>
    <t>2024-08-09 20:44:46</t>
  </si>
  <si>
    <t>AMEYA</t>
  </si>
  <si>
    <t>MH02DB5838</t>
  </si>
  <si>
    <t>53417</t>
  </si>
  <si>
    <t>MD2A37CZXWJU8572</t>
  </si>
  <si>
    <t>JFZWCJ04844</t>
  </si>
  <si>
    <t>2024-09-29 20:47:57</t>
  </si>
  <si>
    <t>MANISH MHATRE</t>
  </si>
  <si>
    <t>48157</t>
  </si>
  <si>
    <t>2024-09-06 20:50:22</t>
  </si>
  <si>
    <t>VAIBHAV TIWARI</t>
  </si>
  <si>
    <t>MH12NN2540</t>
  </si>
  <si>
    <t>97339</t>
  </si>
  <si>
    <t>MD2S13EZ1GCM25224</t>
  </si>
  <si>
    <t>DKZCGM948</t>
  </si>
  <si>
    <t>2024-07-29 19:05:21</t>
  </si>
  <si>
    <t>Ravi Nair</t>
  </si>
  <si>
    <t>MH14EB3240</t>
  </si>
  <si>
    <t>34818</t>
  </si>
  <si>
    <t>2024-09-19 21:11:02</t>
  </si>
  <si>
    <t xml:space="preserve">Ashok Chaudhary </t>
  </si>
  <si>
    <t>24540</t>
  </si>
  <si>
    <t>2024-08-11 20:04:44</t>
  </si>
  <si>
    <t>47851</t>
  </si>
  <si>
    <t>2024-10-09 19:54:02</t>
  </si>
  <si>
    <t xml:space="preserve">BHUSHAN </t>
  </si>
  <si>
    <t>MH12MH6242</t>
  </si>
  <si>
    <t>44699</t>
  </si>
  <si>
    <t>ME4JC711JFT011659</t>
  </si>
  <si>
    <t>JC7ET0017661</t>
  </si>
  <si>
    <t>2024-08-11 20:26:40</t>
  </si>
  <si>
    <t>MANOJ SUKAPURE</t>
  </si>
  <si>
    <t>MH12JT6447</t>
  </si>
  <si>
    <t>13135</t>
  </si>
  <si>
    <t>ME4JC36JAD7284432</t>
  </si>
  <si>
    <t>JC36E77434611</t>
  </si>
  <si>
    <t>2024-07-27 20:06:16</t>
  </si>
  <si>
    <t>Rajshekhar</t>
  </si>
  <si>
    <t>MH12FW8677</t>
  </si>
  <si>
    <t>63374</t>
  </si>
  <si>
    <t>105 ₹</t>
  </si>
  <si>
    <t>2025-05-19 20:32:04</t>
  </si>
  <si>
    <t>PRASAD MUNDHE</t>
  </si>
  <si>
    <t>MH12RG6148</t>
  </si>
  <si>
    <t>Royal Enfield ThunderBird 350X</t>
  </si>
  <si>
    <t>30361</t>
  </si>
  <si>
    <t>ME3U355C1KA407230</t>
  </si>
  <si>
    <t>U355D1KA1745536</t>
  </si>
  <si>
    <t>2025-05-19 20:32:31</t>
  </si>
  <si>
    <t>Aditya Rawangaonkar</t>
  </si>
  <si>
    <t>MH21BA2483</t>
  </si>
  <si>
    <t>2024-08-11 19:55:13</t>
  </si>
  <si>
    <t>Harshal Bhat</t>
  </si>
  <si>
    <t>MH14HP9583</t>
  </si>
  <si>
    <t>19877</t>
  </si>
  <si>
    <t>ME4JF50ADKW009140</t>
  </si>
  <si>
    <t>JF50EW0009183</t>
  </si>
  <si>
    <t>2025-07-12 20:37:43</t>
  </si>
  <si>
    <t>Akshay Kale</t>
  </si>
  <si>
    <t>MH12QP5142</t>
  </si>
  <si>
    <t>32782</t>
  </si>
  <si>
    <t>ME1RG4424J0160178</t>
  </si>
  <si>
    <t>G3J3E0263762</t>
  </si>
  <si>
    <t>2025-05-19 20:31:45</t>
  </si>
  <si>
    <t xml:space="preserve">Kaustubh </t>
  </si>
  <si>
    <t>MH14KM4881</t>
  </si>
  <si>
    <t>2514</t>
  </si>
  <si>
    <t>MD626EG52N1N10284</t>
  </si>
  <si>
    <t>EG5NN1609701</t>
  </si>
  <si>
    <t>2024-10-09 13:26:21</t>
  </si>
  <si>
    <t>Inamdar</t>
  </si>
  <si>
    <t>MH14JV0748</t>
  </si>
  <si>
    <t>17341</t>
  </si>
  <si>
    <t>ME4JF918JMG009507</t>
  </si>
  <si>
    <t>JF91EG5009860</t>
  </si>
  <si>
    <t>2025-05-19 20:30:51</t>
  </si>
  <si>
    <t>Pankaj Patil</t>
  </si>
  <si>
    <t>MH14JK9759</t>
  </si>
  <si>
    <t>17777</t>
  </si>
  <si>
    <t>2024-09-08 12:27:41</t>
  </si>
  <si>
    <t>12618</t>
  </si>
  <si>
    <t>068 ₹</t>
  </si>
  <si>
    <t>2024-09-07 18:28:08</t>
  </si>
  <si>
    <t>Ekta Badani</t>
  </si>
  <si>
    <t>AP13J5410</t>
  </si>
  <si>
    <t>23425</t>
  </si>
  <si>
    <t>2024-07-26 20:23:43</t>
  </si>
  <si>
    <t xml:space="preserve">SAHAR ASHRAF </t>
  </si>
  <si>
    <t>MH12LG7032</t>
  </si>
  <si>
    <t>18294</t>
  </si>
  <si>
    <t>30 ₹</t>
  </si>
  <si>
    <t>MBLJF16EHEGG23497</t>
  </si>
  <si>
    <t>JF16ECEGG17908</t>
  </si>
  <si>
    <t>2025-05-19 20:31:22</t>
  </si>
  <si>
    <t>Subhadra Gopalkrishnan</t>
  </si>
  <si>
    <t>MH12PU7694</t>
  </si>
  <si>
    <t>12006</t>
  </si>
  <si>
    <t>2024-09-07 18:19:44</t>
  </si>
  <si>
    <t>34660</t>
  </si>
  <si>
    <t>2024-10-07 19:54:24</t>
  </si>
  <si>
    <t>MH14HT0800</t>
  </si>
  <si>
    <t>39182</t>
  </si>
  <si>
    <t>MD626EG4XK1H37339</t>
  </si>
  <si>
    <t>2024-09-07 16:53:36</t>
  </si>
  <si>
    <t>3828</t>
  </si>
  <si>
    <t>2024-08-11 20:30:25</t>
  </si>
  <si>
    <t xml:space="preserve">Sandeep Patil </t>
  </si>
  <si>
    <t>MH10CK9753</t>
  </si>
  <si>
    <t>ME4JC732KGT021432</t>
  </si>
  <si>
    <t>JC73ET06CD49850</t>
  </si>
  <si>
    <t>2024-08-11 21:29:42</t>
  </si>
  <si>
    <t>Atharva Shitole</t>
  </si>
  <si>
    <t>MH14JN9263</t>
  </si>
  <si>
    <t>17165</t>
  </si>
  <si>
    <t>2024-08-11 20:51:24</t>
  </si>
  <si>
    <t xml:space="preserve">HIMANSHU </t>
  </si>
  <si>
    <t>MH14CV0729</t>
  </si>
  <si>
    <t>31080</t>
  </si>
  <si>
    <t>2024-08-11 20:32:33</t>
  </si>
  <si>
    <t xml:space="preserve">Tushar </t>
  </si>
  <si>
    <t>MH12KB6604</t>
  </si>
  <si>
    <t>18129</t>
  </si>
  <si>
    <t>MB634KE6XD2C69008</t>
  </si>
  <si>
    <t>OE6CD2199830</t>
  </si>
  <si>
    <t>2024-09-07 18:20:27</t>
  </si>
  <si>
    <t>19538</t>
  </si>
  <si>
    <t>35 ₹</t>
  </si>
  <si>
    <t>2024-09-07 18:21:13</t>
  </si>
  <si>
    <t>Vivek</t>
  </si>
  <si>
    <t>MH14EG2083</t>
  </si>
  <si>
    <t>Hero Karizma ZMR</t>
  </si>
  <si>
    <t>48023</t>
  </si>
  <si>
    <t>2024-11-08 19:33:30</t>
  </si>
  <si>
    <t>ASHWIN TARLE</t>
  </si>
  <si>
    <t>MH15JE4466</t>
  </si>
  <si>
    <t>8502</t>
  </si>
  <si>
    <t>2024-08-11 20:47:56</t>
  </si>
  <si>
    <t>7218</t>
  </si>
  <si>
    <t>2024-11-08 19:55:31</t>
  </si>
  <si>
    <t>31075</t>
  </si>
  <si>
    <t>2024-08-11 20:01:43</t>
  </si>
  <si>
    <t>15425</t>
  </si>
  <si>
    <t>2024-08-11 20:20:26</t>
  </si>
  <si>
    <t>MH12UH8027</t>
  </si>
  <si>
    <t>4377</t>
  </si>
  <si>
    <t>MD62CG56NE02323</t>
  </si>
  <si>
    <t>EG5EN12005828</t>
  </si>
  <si>
    <t>2024-08-11 20:18:31</t>
  </si>
  <si>
    <t>Hansita</t>
  </si>
  <si>
    <t>MH12NC6110</t>
  </si>
  <si>
    <t>4310</t>
  </si>
  <si>
    <t>ME4JF505EGU112837</t>
  </si>
  <si>
    <t>JG50EU3112700</t>
  </si>
  <si>
    <t>2024-08-11 20:34:36</t>
  </si>
  <si>
    <t>Mangesh Hamborde</t>
  </si>
  <si>
    <t>MH20EB8015</t>
  </si>
  <si>
    <t>73767</t>
  </si>
  <si>
    <t>ME4JC731JGT008439</t>
  </si>
  <si>
    <t>JC73E10015602</t>
  </si>
  <si>
    <t>2024-08-11 20:33:42</t>
  </si>
  <si>
    <t>Vijay</t>
  </si>
  <si>
    <t>MH13DS6516</t>
  </si>
  <si>
    <t>33404</t>
  </si>
  <si>
    <t>ME4JC855BMG048631</t>
  </si>
  <si>
    <t>JC85EG0243137</t>
  </si>
  <si>
    <t>2024-08-11 20:40:47</t>
  </si>
  <si>
    <t>68152</t>
  </si>
  <si>
    <t>2024-08-11 20:43:18</t>
  </si>
  <si>
    <t>10247</t>
  </si>
  <si>
    <t>2024-08-11 20:07:47</t>
  </si>
  <si>
    <t>Chandbasha</t>
  </si>
  <si>
    <t>MH14GB2593</t>
  </si>
  <si>
    <t>29061</t>
  </si>
  <si>
    <t>ME1RJ072H0278970</t>
  </si>
  <si>
    <t>G3C8E0419340</t>
  </si>
  <si>
    <t>2024-08-11 20:00:12</t>
  </si>
  <si>
    <t xml:space="preserve">Harsh </t>
  </si>
  <si>
    <t>TN10BA2332</t>
  </si>
  <si>
    <t>43768</t>
  </si>
  <si>
    <t>ME4KC239GH8024418</t>
  </si>
  <si>
    <t>KC23E84042480</t>
  </si>
  <si>
    <t>2024-08-11 19:59:29</t>
  </si>
  <si>
    <t xml:space="preserve">Mohit Dhule </t>
  </si>
  <si>
    <t>MH15CP5474</t>
  </si>
  <si>
    <t>7750</t>
  </si>
  <si>
    <t>MD2DHDHZZ5CL17510</t>
  </si>
  <si>
    <t>DHOBSG4579</t>
  </si>
  <si>
    <t>2024-08-09 20:34:39</t>
  </si>
  <si>
    <t>Gautam</t>
  </si>
  <si>
    <t>MH14JC8962</t>
  </si>
  <si>
    <t>6284</t>
  </si>
  <si>
    <t>MD626CG52L3A19254</t>
  </si>
  <si>
    <t>EG5HL3717015</t>
  </si>
  <si>
    <t>2024-08-09 20:36:29</t>
  </si>
  <si>
    <t>32078</t>
  </si>
  <si>
    <t>2024-08-09 20:35:24</t>
  </si>
  <si>
    <t>40550</t>
  </si>
  <si>
    <t>2024-08-09 20:32:50</t>
  </si>
  <si>
    <t>Shreya Hate</t>
  </si>
  <si>
    <t>MH12RL4642</t>
  </si>
  <si>
    <t>29594</t>
  </si>
  <si>
    <t>ME4JF50BM17R5855</t>
  </si>
  <si>
    <t>JF50E78129372</t>
  </si>
  <si>
    <t>2024-08-09 20:28:30</t>
  </si>
  <si>
    <t>Prakash Takle</t>
  </si>
  <si>
    <t>MH14GQ2750</t>
  </si>
  <si>
    <t>37692</t>
  </si>
  <si>
    <t>19 ₹</t>
  </si>
  <si>
    <t>ME4JF507HHU502718</t>
  </si>
  <si>
    <t>JF50EU5507741</t>
  </si>
  <si>
    <t>2024-08-09 20:23:11</t>
  </si>
  <si>
    <t>Shriraj Belsare</t>
  </si>
  <si>
    <t>MH27BM2655</t>
  </si>
  <si>
    <t>MBLJF33AAF4K06510</t>
  </si>
  <si>
    <t>JF33AAFAK18188</t>
  </si>
  <si>
    <t>2024-08-09 20:08:44</t>
  </si>
  <si>
    <t>2024-08-09 20:12:09</t>
  </si>
  <si>
    <t>19865</t>
  </si>
  <si>
    <t>2024-08-09 20:20:09</t>
  </si>
  <si>
    <t>Santosh</t>
  </si>
  <si>
    <t>MH20EQ6672</t>
  </si>
  <si>
    <t>69461</t>
  </si>
  <si>
    <t>ME1SED29H003229</t>
  </si>
  <si>
    <t>E3Y3E0064786</t>
  </si>
  <si>
    <t>2024-08-09 20:10:23</t>
  </si>
  <si>
    <t>31166</t>
  </si>
  <si>
    <t>2024-08-09 19:38:19</t>
  </si>
  <si>
    <t xml:space="preserve">Shubham Chaudhary </t>
  </si>
  <si>
    <t>MP28SE5342</t>
  </si>
  <si>
    <t>30351</t>
  </si>
  <si>
    <t>MD62AG79J2E36766</t>
  </si>
  <si>
    <t>AGEJ2112010</t>
  </si>
  <si>
    <t>2024-08-09 19:36:14</t>
  </si>
  <si>
    <t xml:space="preserve">Vishal Jadhav </t>
  </si>
  <si>
    <t>MH14GL3444</t>
  </si>
  <si>
    <t>19403</t>
  </si>
  <si>
    <t>MD626EG45H1G22978</t>
  </si>
  <si>
    <t>GG4GH1341954</t>
  </si>
  <si>
    <t>2024-08-11 21:31:36</t>
  </si>
  <si>
    <t>2024-11-08 19:46:57</t>
  </si>
  <si>
    <t xml:space="preserve">Deepak </t>
  </si>
  <si>
    <t>MH12RH2987</t>
  </si>
  <si>
    <t>22912</t>
  </si>
  <si>
    <t>2024-07-26 19:53:47</t>
  </si>
  <si>
    <t>SANDESH</t>
  </si>
  <si>
    <t>MH11BY7710</t>
  </si>
  <si>
    <t>19024</t>
  </si>
  <si>
    <t>2024-07-26 19:53:06</t>
  </si>
  <si>
    <t xml:space="preserve">Gaurav </t>
  </si>
  <si>
    <t>MH14JW2528</t>
  </si>
  <si>
    <t>13898</t>
  </si>
  <si>
    <t>MD626FG48J2E14082</t>
  </si>
  <si>
    <t>EG4EJ2014335</t>
  </si>
  <si>
    <t>2024-11-08 19:47:21</t>
  </si>
  <si>
    <t>16790</t>
  </si>
  <si>
    <t>2024-07-26 21:07:41</t>
  </si>
  <si>
    <t>AMIT</t>
  </si>
  <si>
    <t>MH14EN9682</t>
  </si>
  <si>
    <t>39544</t>
  </si>
  <si>
    <t>ME4JF491AE9845E2</t>
  </si>
  <si>
    <t>JF49E8004217U74</t>
  </si>
  <si>
    <t>2025-05-09 19:21:53</t>
  </si>
  <si>
    <t>Rajendra Gaware</t>
  </si>
  <si>
    <t>MH14JK3321</t>
  </si>
  <si>
    <t>35991</t>
  </si>
  <si>
    <t>MD2B64BX62WH24783</t>
  </si>
  <si>
    <t>DHXWLH81419</t>
  </si>
  <si>
    <t>2024-09-07 18:22:36</t>
  </si>
  <si>
    <t xml:space="preserve">Hemant </t>
  </si>
  <si>
    <t>MH12SH6599</t>
  </si>
  <si>
    <t>45229</t>
  </si>
  <si>
    <t>ME4JF49MLKW007956</t>
  </si>
  <si>
    <t>JF49EW4011289</t>
  </si>
  <si>
    <t>2024-09-07 18:25:05</t>
  </si>
  <si>
    <t>MH12QP1805</t>
  </si>
  <si>
    <t>16948</t>
  </si>
  <si>
    <t>ME4JF496EJU016781</t>
  </si>
  <si>
    <t>JF45EU2103717</t>
  </si>
  <si>
    <t>2024-09-07 18:25:55</t>
  </si>
  <si>
    <t>28687</t>
  </si>
  <si>
    <t>2024-09-07 18:25:29</t>
  </si>
  <si>
    <t>2024-09-07 18:26:39</t>
  </si>
  <si>
    <t>NIKHIL NIMJE</t>
  </si>
  <si>
    <t>MH32AV5115</t>
  </si>
  <si>
    <t>10376</t>
  </si>
  <si>
    <t>MD637ET11P2K00127</t>
  </si>
  <si>
    <t>DT11P2500077</t>
  </si>
  <si>
    <t>2024-09-07 18:29:14</t>
  </si>
  <si>
    <t>87473</t>
  </si>
  <si>
    <t>2024-08-11 20:44:56</t>
  </si>
  <si>
    <t>Nikhil Bhambre</t>
  </si>
  <si>
    <t>MH15DB4221</t>
  </si>
  <si>
    <t>MBLHA10EWBHD28234</t>
  </si>
  <si>
    <t>2024-11-08 19:54:17</t>
  </si>
  <si>
    <t xml:space="preserve">Pushpak </t>
  </si>
  <si>
    <t>MH14FQ8875</t>
  </si>
  <si>
    <t>39610</t>
  </si>
  <si>
    <t>MB8DP11AEG8135949</t>
  </si>
  <si>
    <t>AF211037705</t>
  </si>
  <si>
    <t>2024-08-11 20:49:10</t>
  </si>
  <si>
    <t>31432</t>
  </si>
  <si>
    <t>2024-08-11 19:56:18</t>
  </si>
  <si>
    <t>CHINAR</t>
  </si>
  <si>
    <t>MH14CV9013</t>
  </si>
  <si>
    <t>2024-08-11 20:05:40</t>
  </si>
  <si>
    <t>MH14FY7706</t>
  </si>
  <si>
    <t>38409</t>
  </si>
  <si>
    <t>ME4JF509LGU038742</t>
  </si>
  <si>
    <t>JF50EUG038778</t>
  </si>
  <si>
    <t>2024-08-11 20:28:35</t>
  </si>
  <si>
    <t>RAHUL SANGALE</t>
  </si>
  <si>
    <t>MH21BC7634</t>
  </si>
  <si>
    <t>53849</t>
  </si>
  <si>
    <t>ME4JC654EHT40803</t>
  </si>
  <si>
    <t>JC65ET1064874</t>
  </si>
  <si>
    <t>2024-08-11 20:31:30</t>
  </si>
  <si>
    <t>95187</t>
  </si>
  <si>
    <t>2024-08-11 20:41:47</t>
  </si>
  <si>
    <t>34779</t>
  </si>
  <si>
    <t>2024-08-11 20:46:28</t>
  </si>
  <si>
    <t>25572</t>
  </si>
  <si>
    <t>2024-08-11 20:06:33</t>
  </si>
  <si>
    <t xml:space="preserve">Prasad Kulkarni </t>
  </si>
  <si>
    <t>MH30AW2052</t>
  </si>
  <si>
    <t>2719</t>
  </si>
  <si>
    <t>ME4JC651GGT295122</t>
  </si>
  <si>
    <t>JC65ET00436313</t>
  </si>
  <si>
    <t>2024-08-12 21:16:14</t>
  </si>
  <si>
    <t>23 ₹</t>
  </si>
  <si>
    <t>2024-08-11 20:10:30</t>
  </si>
  <si>
    <t>VIRAJ SHINDE</t>
  </si>
  <si>
    <t>MH05ED2236</t>
  </si>
  <si>
    <t>32258</t>
  </si>
  <si>
    <t>MD637CE77K2F02121</t>
  </si>
  <si>
    <t xml:space="preserve"> CE71K24022446</t>
  </si>
  <si>
    <t>2024-09-08 20:48:12</t>
  </si>
  <si>
    <t>Rahul</t>
  </si>
  <si>
    <t>MH14LD1411</t>
  </si>
  <si>
    <t>9591</t>
  </si>
  <si>
    <t>2024-09-08 20:49:15</t>
  </si>
  <si>
    <t xml:space="preserve">Satyajit Shinde </t>
  </si>
  <si>
    <t>MH09FR7672</t>
  </si>
  <si>
    <t>24339</t>
  </si>
  <si>
    <t>2024-09-08 20:47:55</t>
  </si>
  <si>
    <t>9303</t>
  </si>
  <si>
    <t>2024-11-30 11:30:33</t>
  </si>
  <si>
    <t xml:space="preserve">MATTHEW </t>
  </si>
  <si>
    <t>MH06BC9328</t>
  </si>
  <si>
    <t>27438</t>
  </si>
  <si>
    <t>MB8CF4CACC8498838</t>
  </si>
  <si>
    <t>486953649</t>
  </si>
  <si>
    <t>2024-07-28 20:43:52</t>
  </si>
  <si>
    <t>62590</t>
  </si>
  <si>
    <t>2024-07-28 20:46:29</t>
  </si>
  <si>
    <t>Chandrakant Godbole</t>
  </si>
  <si>
    <t>MH05BA7716</t>
  </si>
  <si>
    <t>74608</t>
  </si>
  <si>
    <t>MD2DSPAZZUWD18738</t>
  </si>
  <si>
    <t>JBMBUD79036</t>
  </si>
  <si>
    <t>2024-08-11 20:09:13</t>
  </si>
  <si>
    <t>Kishor Nikalaje</t>
  </si>
  <si>
    <t>MH14DW0031</t>
  </si>
  <si>
    <t>MF145S09202029507</t>
  </si>
  <si>
    <t>45S9029485</t>
  </si>
  <si>
    <t>2024-07-29 18:36:14</t>
  </si>
  <si>
    <t>ANAND GUNDHECHA</t>
  </si>
  <si>
    <t>MH14EN9002</t>
  </si>
  <si>
    <t>42932</t>
  </si>
  <si>
    <t>2024-07-28 20:41:58</t>
  </si>
  <si>
    <t>59279</t>
  </si>
  <si>
    <t>2024-11-08 19:50:26</t>
  </si>
  <si>
    <t>MH12RG0973</t>
  </si>
  <si>
    <t>29017</t>
  </si>
  <si>
    <t>ME4JE49BJU015988</t>
  </si>
  <si>
    <t>JF49EC4029390</t>
  </si>
  <si>
    <t>2024-07-28 20:42:48</t>
  </si>
  <si>
    <t>36890</t>
  </si>
  <si>
    <t>2024-07-28 20:45:19</t>
  </si>
  <si>
    <t xml:space="preserve">Sanket Patil </t>
  </si>
  <si>
    <t>MH12JW2871</t>
  </si>
  <si>
    <t>29491</t>
  </si>
  <si>
    <t>MBLLD0LGJ01811</t>
  </si>
  <si>
    <t>MC20AGLGJ00586</t>
  </si>
  <si>
    <t>2024-07-28 20:49:05</t>
  </si>
  <si>
    <t>21257</t>
  </si>
  <si>
    <t>2024-07-27 20:04:20</t>
  </si>
  <si>
    <t>Rakhi</t>
  </si>
  <si>
    <t>MH14GV4583</t>
  </si>
  <si>
    <t>21467</t>
  </si>
  <si>
    <t>2024-08-17 20:33:31</t>
  </si>
  <si>
    <t>Akshay Jadhav</t>
  </si>
  <si>
    <t>MH14GV9004</t>
  </si>
  <si>
    <t>20797</t>
  </si>
  <si>
    <t>MD626AG7512B07630</t>
  </si>
  <si>
    <t>AG7BJ2007514</t>
  </si>
  <si>
    <t>2024-08-17 20:45:07</t>
  </si>
  <si>
    <t>DHEERAJ PATIL</t>
  </si>
  <si>
    <t>MH14FZ0324</t>
  </si>
  <si>
    <t>9875</t>
  </si>
  <si>
    <t>MD626BG33G2N10322</t>
  </si>
  <si>
    <t>OG3NG2612967</t>
  </si>
  <si>
    <t>2024-07-28 20:41:32</t>
  </si>
  <si>
    <t>48093</t>
  </si>
  <si>
    <t>2025-04-21 18:18:45</t>
  </si>
  <si>
    <t>RAM KISHOR</t>
  </si>
  <si>
    <t>MH48BQ7225</t>
  </si>
  <si>
    <t>58796</t>
  </si>
  <si>
    <t>ME4JF50AEKW050646</t>
  </si>
  <si>
    <t>JF50EW00560656</t>
  </si>
  <si>
    <t>2024-07-28 20:11:03</t>
  </si>
  <si>
    <t>Shantanu Mane</t>
  </si>
  <si>
    <t>MH16W0014</t>
  </si>
  <si>
    <t>25792</t>
  </si>
  <si>
    <t>040935322</t>
  </si>
  <si>
    <t>010835859</t>
  </si>
  <si>
    <t>2025-04-21 18:21:02</t>
  </si>
  <si>
    <t>KAMLESH PAWAR</t>
  </si>
  <si>
    <t>MH12KD199</t>
  </si>
  <si>
    <t>Bajaj Discover 125T</t>
  </si>
  <si>
    <t>5469</t>
  </si>
  <si>
    <t>MD2DSJZZZ4WL29023</t>
  </si>
  <si>
    <t>KZMB4L41031</t>
  </si>
  <si>
    <t>2024-07-27 20:05:25</t>
  </si>
  <si>
    <t xml:space="preserve">SHANTNU SINGH </t>
  </si>
  <si>
    <t>MH14BE4512</t>
  </si>
  <si>
    <t>3672</t>
  </si>
  <si>
    <t>2024-07-27 20:16:52</t>
  </si>
  <si>
    <t>69647</t>
  </si>
  <si>
    <t>089 ₹</t>
  </si>
  <si>
    <t>2024-07-28 20:51:53</t>
  </si>
  <si>
    <t>42246</t>
  </si>
  <si>
    <t>2024-07-28 20:40:54</t>
  </si>
  <si>
    <t>Mahesh Khatal</t>
  </si>
  <si>
    <t>MH12PJ8195</t>
  </si>
  <si>
    <t>16699</t>
  </si>
  <si>
    <t>MB8DP11AEH8437154</t>
  </si>
  <si>
    <t>AF211332883</t>
  </si>
  <si>
    <t>2024-08-12 21:12:52</t>
  </si>
  <si>
    <t>14746</t>
  </si>
  <si>
    <t>2024-07-28 20:00:40</t>
  </si>
  <si>
    <t>BIRMANI</t>
  </si>
  <si>
    <t>MH12UP8495</t>
  </si>
  <si>
    <t>1279</t>
  </si>
  <si>
    <t>2024-07-28 20:08:20</t>
  </si>
  <si>
    <t>Sachin Pawar</t>
  </si>
  <si>
    <t>MH12SG8171</t>
  </si>
  <si>
    <t>30562</t>
  </si>
  <si>
    <t>2024-07-28 20:01:34</t>
  </si>
  <si>
    <t>DARSHAN JAIN</t>
  </si>
  <si>
    <t>MH26AN3263</t>
  </si>
  <si>
    <t>1155</t>
  </si>
  <si>
    <t>2024-07-28 20:04:53</t>
  </si>
  <si>
    <t>27405</t>
  </si>
  <si>
    <t>2024-07-28 20:06:53</t>
  </si>
  <si>
    <t>Nikhil Uttekar</t>
  </si>
  <si>
    <t>MH14HV3851</t>
  </si>
  <si>
    <t>53076</t>
  </si>
  <si>
    <t>2024-07-28 20:14:37</t>
  </si>
  <si>
    <t>Chetan Chiparikar</t>
  </si>
  <si>
    <t>MH14DV3779</t>
  </si>
  <si>
    <t>86772</t>
  </si>
  <si>
    <t>MD2A22EZXDCL24623</t>
  </si>
  <si>
    <t>PDZCDK22519</t>
  </si>
  <si>
    <t>2024-07-28 20:02:47</t>
  </si>
  <si>
    <t xml:space="preserve">PRASHANT </t>
  </si>
  <si>
    <t>MH14ER3989</t>
  </si>
  <si>
    <t>50112</t>
  </si>
  <si>
    <t>2024-07-28 19:58:54</t>
  </si>
  <si>
    <t>Abhishek</t>
  </si>
  <si>
    <t>MH31FJ2666</t>
  </si>
  <si>
    <t>14625</t>
  </si>
  <si>
    <t>ME4JC65BFJ7063420</t>
  </si>
  <si>
    <t>2024-07-28 20:51:19</t>
  </si>
  <si>
    <t>MH14DU5165</t>
  </si>
  <si>
    <t>38237</t>
  </si>
  <si>
    <t>2025-04-21 18:28:40</t>
  </si>
  <si>
    <t>CHETANA PATIL</t>
  </si>
  <si>
    <t>MH14JC0577</t>
  </si>
  <si>
    <t>25293</t>
  </si>
  <si>
    <t>2024-07-28 20:05:39</t>
  </si>
  <si>
    <t>54470</t>
  </si>
  <si>
    <t>2024-07-28 20:06:21</t>
  </si>
  <si>
    <t>28126</t>
  </si>
  <si>
    <t>2024-07-28 20:36:40</t>
  </si>
  <si>
    <t>19722</t>
  </si>
  <si>
    <t>2024-07-28 20:38:05</t>
  </si>
  <si>
    <t>Ganesh Jaware</t>
  </si>
  <si>
    <t>MH14HF0997</t>
  </si>
  <si>
    <t>60446</t>
  </si>
  <si>
    <t>ME4JF5AKJU345527</t>
  </si>
  <si>
    <t>JF50EU7345476</t>
  </si>
  <si>
    <t>2024-07-28 20:38:42</t>
  </si>
  <si>
    <t xml:space="preserve">Gauri Shankar </t>
  </si>
  <si>
    <t>TN22DF8203</t>
  </si>
  <si>
    <t>ME4JF507DH1172723</t>
  </si>
  <si>
    <t>JF50ET517888</t>
  </si>
  <si>
    <t>2024-07-28 20:48:02</t>
  </si>
  <si>
    <t>10359</t>
  </si>
  <si>
    <t>2024-07-29 12:16:48</t>
  </si>
  <si>
    <t>MH14CE7695</t>
  </si>
  <si>
    <t>88866</t>
  </si>
  <si>
    <t>2024-08-12 21:09:08</t>
  </si>
  <si>
    <t>23092</t>
  </si>
  <si>
    <t>2024-08-12 21:10:51</t>
  </si>
  <si>
    <t>70211</t>
  </si>
  <si>
    <t>24 ₹</t>
  </si>
  <si>
    <t>2024-08-12 21:11:42</t>
  </si>
  <si>
    <t>Nilesh Patil</t>
  </si>
  <si>
    <t>MH14KC4737</t>
  </si>
  <si>
    <t>22448</t>
  </si>
  <si>
    <t>2024-08-12 21:15:25</t>
  </si>
  <si>
    <t>Vaishnavi Yadav</t>
  </si>
  <si>
    <t>MH22AH4233</t>
  </si>
  <si>
    <t>19812</t>
  </si>
  <si>
    <t>2024-08-12 21:14:10</t>
  </si>
  <si>
    <t>MH06BK5965</t>
  </si>
  <si>
    <t xml:space="preserve">Yamaha Alpha </t>
  </si>
  <si>
    <t>13568</t>
  </si>
  <si>
    <t>E3N7ED032578</t>
  </si>
  <si>
    <t>2024-08-12 21:17:53</t>
  </si>
  <si>
    <t>Inder Mehata</t>
  </si>
  <si>
    <t>KA01EZ4955</t>
  </si>
  <si>
    <t>23705</t>
  </si>
  <si>
    <t>2 ₹</t>
  </si>
  <si>
    <t>ME4JC448KC76606381</t>
  </si>
  <si>
    <t>JC44E5606516</t>
  </si>
  <si>
    <t>2024-08-12 21:16:58</t>
  </si>
  <si>
    <t>47642</t>
  </si>
  <si>
    <t>2024-08-12 21:19:09</t>
  </si>
  <si>
    <t xml:space="preserve">TEJ DESHMUKH </t>
  </si>
  <si>
    <t>MH49BS1180</t>
  </si>
  <si>
    <t>13120</t>
  </si>
  <si>
    <t>26 ₹</t>
  </si>
  <si>
    <t>MD2B57CX4MCC12168</t>
  </si>
  <si>
    <t>PDXCMG005879</t>
  </si>
  <si>
    <t>2024-07-29 18:38:37</t>
  </si>
  <si>
    <t>Naveen Kumar</t>
  </si>
  <si>
    <t>MH14CE7395</t>
  </si>
  <si>
    <t>15239</t>
  </si>
  <si>
    <t>MBLHA10EZAHF00981</t>
  </si>
  <si>
    <t>HA10EFA11F01874</t>
  </si>
  <si>
    <t>2024-07-29 18:36:49</t>
  </si>
  <si>
    <t>SANDEEP DAPKE</t>
  </si>
  <si>
    <t>30156</t>
  </si>
  <si>
    <t>2024-07-28 20:52:47</t>
  </si>
  <si>
    <t>Abhimanyu Kirolkar</t>
  </si>
  <si>
    <t>MH19CB8089</t>
  </si>
  <si>
    <t>23632</t>
  </si>
  <si>
    <t>ME4JC36PAF7097785</t>
  </si>
  <si>
    <t>JC36E738943</t>
  </si>
  <si>
    <t>2024-07-29 19:40:46</t>
  </si>
  <si>
    <t>63158</t>
  </si>
  <si>
    <t>2024-07-29 18:37:19</t>
  </si>
  <si>
    <t>9754</t>
  </si>
  <si>
    <t>2024-07-29 18:37:53</t>
  </si>
  <si>
    <t>Yash Karawat</t>
  </si>
  <si>
    <t>KA19EC3479</t>
  </si>
  <si>
    <t>29500</t>
  </si>
  <si>
    <t>ME4KC09AMA8032034</t>
  </si>
  <si>
    <t>KC09E2032010</t>
  </si>
  <si>
    <t>2024-07-31 18:33:05</t>
  </si>
  <si>
    <t>13491</t>
  </si>
  <si>
    <t>2024-09-08 20:43:57</t>
  </si>
  <si>
    <t>Mahendra Yadav</t>
  </si>
  <si>
    <t>MH14KV9577</t>
  </si>
  <si>
    <t>Yezdi Scrambler Single Tone</t>
  </si>
  <si>
    <t>7844</t>
  </si>
  <si>
    <t>2024-10-09 20:08:06</t>
  </si>
  <si>
    <t>21951</t>
  </si>
  <si>
    <t>2024-09-08 20:41:22</t>
  </si>
  <si>
    <t>MH14DU2660</t>
  </si>
  <si>
    <t>82690</t>
  </si>
  <si>
    <t>ME4KC09CMC8392440</t>
  </si>
  <si>
    <t>KC09E6400291</t>
  </si>
  <si>
    <t>2024-09-08 20:45:24</t>
  </si>
  <si>
    <t>10569</t>
  </si>
  <si>
    <t>2024-09-08 20:43:28</t>
  </si>
  <si>
    <t>Manorama Gadge</t>
  </si>
  <si>
    <t>MH14FZ4214</t>
  </si>
  <si>
    <t>8560</t>
  </si>
  <si>
    <t>ME4JFS09MGT089401</t>
  </si>
  <si>
    <t>JFS0ET6089714X</t>
  </si>
  <si>
    <t>2024-09-08 20:44:59</t>
  </si>
  <si>
    <t>20727</t>
  </si>
  <si>
    <t>2024-09-08 20:46:53</t>
  </si>
  <si>
    <t>Ajinkya Jagdale</t>
  </si>
  <si>
    <t>MH20DU2897</t>
  </si>
  <si>
    <t>80408</t>
  </si>
  <si>
    <t>2024-09-08 20:47:15</t>
  </si>
  <si>
    <t>Pranav Babar</t>
  </si>
  <si>
    <t>MH14HZ3438</t>
  </si>
  <si>
    <t>14407</t>
  </si>
  <si>
    <t>MD626EG45K3N05863</t>
  </si>
  <si>
    <t>DG4NK01035</t>
  </si>
  <si>
    <t>2024-09-08 20:42:10</t>
  </si>
  <si>
    <t>Anu Dharade</t>
  </si>
  <si>
    <t>MH14FE1337</t>
  </si>
  <si>
    <t>86891</t>
  </si>
  <si>
    <t>ME4JF504HF8234619</t>
  </si>
  <si>
    <t>JF50E82234295</t>
  </si>
  <si>
    <t>2024-07-31 18:32:44</t>
  </si>
  <si>
    <t>DEVESH</t>
  </si>
  <si>
    <t>MH14GQ5887</t>
  </si>
  <si>
    <t>43446</t>
  </si>
  <si>
    <t>2024-09-08 20:50:20</t>
  </si>
  <si>
    <t xml:space="preserve">Pranav Pawar </t>
  </si>
  <si>
    <t>MH29BA3602</t>
  </si>
  <si>
    <t>41925</t>
  </si>
  <si>
    <t>ME4JC734CHT018981</t>
  </si>
  <si>
    <t>JC73E-T-1032168</t>
  </si>
  <si>
    <t>2024-09-08 20:51:19</t>
  </si>
  <si>
    <t>MH12RE0401</t>
  </si>
  <si>
    <t>35192</t>
  </si>
  <si>
    <t>2024-09-08 20:52:35</t>
  </si>
  <si>
    <t>AALHAD</t>
  </si>
  <si>
    <t>MH12UH5992</t>
  </si>
  <si>
    <t>10629</t>
  </si>
  <si>
    <t>2024-08-01 20:22:33</t>
  </si>
  <si>
    <t>RAVINDRA BATE</t>
  </si>
  <si>
    <t>MH15FX7230</t>
  </si>
  <si>
    <t>Bajaj Platina 100 ES CBS</t>
  </si>
  <si>
    <t>56836</t>
  </si>
  <si>
    <t>2024-07-31 18:36:01</t>
  </si>
  <si>
    <t>SHAHAJI MORE</t>
  </si>
  <si>
    <t>MH14AU0235</t>
  </si>
  <si>
    <t>37793</t>
  </si>
  <si>
    <t>2024-07-31 18:25:19</t>
  </si>
  <si>
    <t>VISHAL DANGARE</t>
  </si>
  <si>
    <t>MH14JN7864</t>
  </si>
  <si>
    <t>15449</t>
  </si>
  <si>
    <t>MD626CG52M1B34269</t>
  </si>
  <si>
    <t>DG5BM14312</t>
  </si>
  <si>
    <t>2024-07-31 18:32:02</t>
  </si>
  <si>
    <t xml:space="preserve">MADHURA BAVISKAR </t>
  </si>
  <si>
    <t>MH14EA971</t>
  </si>
  <si>
    <t>7288</t>
  </si>
  <si>
    <t>2024-08-01 20:20:56</t>
  </si>
  <si>
    <t>Abhijeet Nayak</t>
  </si>
  <si>
    <t>MH14EZ9066</t>
  </si>
  <si>
    <t>47553</t>
  </si>
  <si>
    <t>MB8NG4BADF8150872</t>
  </si>
  <si>
    <t>BGA1150188</t>
  </si>
  <si>
    <t>2024-08-01 20:24:42</t>
  </si>
  <si>
    <t>2024-08-02 18:37:33</t>
  </si>
  <si>
    <t>2024-08-01 20:16:44</t>
  </si>
  <si>
    <t xml:space="preserve">Aman Shrivastav </t>
  </si>
  <si>
    <t>MH14HH4247</t>
  </si>
  <si>
    <t>39870</t>
  </si>
  <si>
    <t>MBLHAR183J5H03284</t>
  </si>
  <si>
    <t>HA10ACJ5U3289</t>
  </si>
  <si>
    <t>2024-08-01 20:17:46</t>
  </si>
  <si>
    <t>ASHUTOSH RODE</t>
  </si>
  <si>
    <t>MH12ES2692</t>
  </si>
  <si>
    <t>2024-10-16 19:32:53</t>
  </si>
  <si>
    <t>KA03HE9774</t>
  </si>
  <si>
    <t>2025-04-21 19:21:37</t>
  </si>
  <si>
    <t>Geethan</t>
  </si>
  <si>
    <t>44211</t>
  </si>
  <si>
    <t>2024-08-01 20:20:11</t>
  </si>
  <si>
    <t>ROHAN KAREKAR</t>
  </si>
  <si>
    <t>MH08AW9721</t>
  </si>
  <si>
    <t>23157</t>
  </si>
  <si>
    <t>2025-04-21 19:22:42</t>
  </si>
  <si>
    <t>11166</t>
  </si>
  <si>
    <t>2024-08-14 21:13:05</t>
  </si>
  <si>
    <t>MH20ER3542</t>
  </si>
  <si>
    <t>47413</t>
  </si>
  <si>
    <t>MDZAZ2E79HCD04847</t>
  </si>
  <si>
    <t>PDJCHU19744</t>
  </si>
  <si>
    <t>2024-08-14 17:31:34</t>
  </si>
  <si>
    <t>TAJENDRA SINGH</t>
  </si>
  <si>
    <t>MH12PM8449</t>
  </si>
  <si>
    <t>2024-08-14 21:11:44</t>
  </si>
  <si>
    <t>Abhishek Chabukswar</t>
  </si>
  <si>
    <t>MH14JZ5444</t>
  </si>
  <si>
    <t>35123</t>
  </si>
  <si>
    <t>34 ₹</t>
  </si>
  <si>
    <t>MD626EG44J1E06366</t>
  </si>
  <si>
    <t>EG4EJ1650486</t>
  </si>
  <si>
    <t>2024-09-11 20:39:10</t>
  </si>
  <si>
    <t>Ankit</t>
  </si>
  <si>
    <t>MH14DW0886</t>
  </si>
  <si>
    <t>9539</t>
  </si>
  <si>
    <t>MD2A12DZ3DCK6408</t>
  </si>
  <si>
    <t>DJZCDK6178</t>
  </si>
  <si>
    <t>2024-09-11 20:20:20</t>
  </si>
  <si>
    <t xml:space="preserve">Omkar </t>
  </si>
  <si>
    <t>12347</t>
  </si>
  <si>
    <t>2024-09-11 20:10:59</t>
  </si>
  <si>
    <t xml:space="preserve">HRishikesh </t>
  </si>
  <si>
    <t>MH12PV1288</t>
  </si>
  <si>
    <t>5846</t>
  </si>
  <si>
    <t>2024-08-01 20:25:21</t>
  </si>
  <si>
    <t>2024-09-11 20:38:52</t>
  </si>
  <si>
    <t>MH14FF4408</t>
  </si>
  <si>
    <t>26180</t>
  </si>
  <si>
    <t>MD2A22E27FCF59504</t>
  </si>
  <si>
    <t>BD2CFF48976</t>
  </si>
  <si>
    <t>2024-09-09 16:00:22</t>
  </si>
  <si>
    <t>21760</t>
  </si>
  <si>
    <t>2024-08-14 21:08:10</t>
  </si>
  <si>
    <t>61350</t>
  </si>
  <si>
    <t>2025-04-21 19:22:20</t>
  </si>
  <si>
    <t>MH12MZ4982</t>
  </si>
  <si>
    <t>31714</t>
  </si>
  <si>
    <t>MBLJF16ESGGD03494</t>
  </si>
  <si>
    <t>JF33AAGGD04603</t>
  </si>
  <si>
    <t>2024-08-14 21:14:07</t>
  </si>
  <si>
    <t>8390</t>
  </si>
  <si>
    <t>2024-08-14 21:17:53</t>
  </si>
  <si>
    <t>Sahil</t>
  </si>
  <si>
    <t>MH16CT0006</t>
  </si>
  <si>
    <t>4379</t>
  </si>
  <si>
    <t>ME4JE913AL60008458</t>
  </si>
  <si>
    <t>JF91EG0000934</t>
  </si>
  <si>
    <t>2024-10-07 19:54:54</t>
  </si>
  <si>
    <t>40621</t>
  </si>
  <si>
    <t>2024-10-07 19:55:29</t>
  </si>
  <si>
    <t>Bhushan Mhetre</t>
  </si>
  <si>
    <t>MH48L878</t>
  </si>
  <si>
    <t>43849</t>
  </si>
  <si>
    <t>2024-10-07 20:00:09</t>
  </si>
  <si>
    <t>MH15GQ4182</t>
  </si>
  <si>
    <t>21396</t>
  </si>
  <si>
    <t>ME1RG4218J0044491</t>
  </si>
  <si>
    <t>G3H7E0070654</t>
  </si>
  <si>
    <t>2024-10-07 20:00:24</t>
  </si>
  <si>
    <t>PAWAN BANG</t>
  </si>
  <si>
    <t>MH12SN4113</t>
  </si>
  <si>
    <t>10218</t>
  </si>
  <si>
    <t>MD2B64BY5LWK06895</t>
  </si>
  <si>
    <t>DHYWLK06032</t>
  </si>
  <si>
    <t>2025-04-21 19:40:12</t>
  </si>
  <si>
    <t>GURAV</t>
  </si>
  <si>
    <t>MH15DG2354</t>
  </si>
  <si>
    <t>34168</t>
  </si>
  <si>
    <t>2024-08-14 21:09:29</t>
  </si>
  <si>
    <t xml:space="preserve">AMIT PATIL </t>
  </si>
  <si>
    <t>MH14ES1991</t>
  </si>
  <si>
    <t>2024-09-11 20:31:37</t>
  </si>
  <si>
    <t>16940</t>
  </si>
  <si>
    <t>2024-09-11 20:31:09</t>
  </si>
  <si>
    <t>Nikhil Khode</t>
  </si>
  <si>
    <t>MH15JK6559</t>
  </si>
  <si>
    <t>8012</t>
  </si>
  <si>
    <t>MD637GE51PZF03228</t>
  </si>
  <si>
    <t>GE5FP2003186</t>
  </si>
  <si>
    <t>2024-08-17 11:34:48</t>
  </si>
  <si>
    <t>Sujit Tiwari</t>
  </si>
  <si>
    <t>KA01HT0918</t>
  </si>
  <si>
    <t>36251</t>
  </si>
  <si>
    <t>2024-11-09 20:43:38</t>
  </si>
  <si>
    <t xml:space="preserve">Rohit Nigade </t>
  </si>
  <si>
    <t>2024-08-14 21:10:15</t>
  </si>
  <si>
    <t>Anshul Khadelwal</t>
  </si>
  <si>
    <t>MH12QB2479</t>
  </si>
  <si>
    <t>13474</t>
  </si>
  <si>
    <t>2024-09-11 20:17:12</t>
  </si>
  <si>
    <t>33388</t>
  </si>
  <si>
    <t>2025-04-21 20:06:04</t>
  </si>
  <si>
    <t>Raunak</t>
  </si>
  <si>
    <t>2025-04-21 20:06:47</t>
  </si>
  <si>
    <t>MH12JL8143</t>
  </si>
  <si>
    <t>13000</t>
  </si>
  <si>
    <t>ME4JC447K08255601</t>
  </si>
  <si>
    <t>JC44E2366646</t>
  </si>
  <si>
    <t>2024-11-09 15:52:55</t>
  </si>
  <si>
    <t>Deepshikha</t>
  </si>
  <si>
    <t>MH12RZ4495</t>
  </si>
  <si>
    <t>18365</t>
  </si>
  <si>
    <t>2024-10-07 20:38:48</t>
  </si>
  <si>
    <t xml:space="preserve">DEVRAJ SHINDE </t>
  </si>
  <si>
    <t>MH14GK4851</t>
  </si>
  <si>
    <t>24301</t>
  </si>
  <si>
    <t>107 ₹</t>
  </si>
  <si>
    <t>2024-11-09 15:52:35</t>
  </si>
  <si>
    <t>VICKY PANCHAL</t>
  </si>
  <si>
    <t>GJ6CP9046</t>
  </si>
  <si>
    <t>9285</t>
  </si>
  <si>
    <t>ME4JF114D88013115</t>
  </si>
  <si>
    <t>JF11E6085257</t>
  </si>
  <si>
    <t>2024-09-11 20:37:14</t>
  </si>
  <si>
    <t>AKASH SHELKE</t>
  </si>
  <si>
    <t>CG07BK8584</t>
  </si>
  <si>
    <t>51345</t>
  </si>
  <si>
    <t>2024-08-17 11:59:52</t>
  </si>
  <si>
    <t>2024-08-17 11:48:12</t>
  </si>
  <si>
    <t>PRATIK</t>
  </si>
  <si>
    <t>MH12NC8216</t>
  </si>
  <si>
    <t>ME4KC231AG8010378</t>
  </si>
  <si>
    <t>KC23E80013265</t>
  </si>
  <si>
    <t>2024-08-17 12:16:48</t>
  </si>
  <si>
    <t>Sonam Sublok</t>
  </si>
  <si>
    <t>MH14JY0752</t>
  </si>
  <si>
    <t>001</t>
  </si>
  <si>
    <t>ME4JF918MMW093807</t>
  </si>
  <si>
    <t>JF91EW5093879</t>
  </si>
  <si>
    <t>2024-08-17 12:07:05</t>
  </si>
  <si>
    <t>027236</t>
  </si>
  <si>
    <t>2024-08-17 12:38:02</t>
  </si>
  <si>
    <t>AJIT VAIDYA</t>
  </si>
  <si>
    <t>MH12MX6721</t>
  </si>
  <si>
    <t>037911</t>
  </si>
  <si>
    <t>MET0000AAPC038902</t>
  </si>
  <si>
    <t>2024-08-17 12:21:59</t>
  </si>
  <si>
    <t>2024-08-17 12:28:06</t>
  </si>
  <si>
    <t>021083</t>
  </si>
  <si>
    <t>2024-08-17 12:34:58</t>
  </si>
  <si>
    <t>Ganesh</t>
  </si>
  <si>
    <t>MH14EK2344</t>
  </si>
  <si>
    <t>011369</t>
  </si>
  <si>
    <t>MD626BG49E1E48052</t>
  </si>
  <si>
    <t>BG4EE1143963</t>
  </si>
  <si>
    <t>2024-08-28 20:37:02</t>
  </si>
  <si>
    <t xml:space="preserve">Saurabh </t>
  </si>
  <si>
    <t>MH10CF6968</t>
  </si>
  <si>
    <t>07804</t>
  </si>
  <si>
    <t>MBLHA11AZG9C10360</t>
  </si>
  <si>
    <t>HA11EKQ9C10118</t>
  </si>
  <si>
    <t>2024-08-17 20:42:21</t>
  </si>
  <si>
    <t>23658</t>
  </si>
  <si>
    <t>2024-08-19 20:54:39</t>
  </si>
  <si>
    <t xml:space="preserve">Sitaram </t>
  </si>
  <si>
    <t>MH26BU9934</t>
  </si>
  <si>
    <t>57295</t>
  </si>
  <si>
    <t>288 ₹</t>
  </si>
  <si>
    <t>ME4JF913J21053</t>
  </si>
  <si>
    <t>JF91EG0210766</t>
  </si>
  <si>
    <t>2024-08-17 20:43:08</t>
  </si>
  <si>
    <t>12450</t>
  </si>
  <si>
    <t>2024-08-18 21:11:39</t>
  </si>
  <si>
    <t>MH14FU2470</t>
  </si>
  <si>
    <t>Honda CBR 150</t>
  </si>
  <si>
    <t>35606</t>
  </si>
  <si>
    <t>ME4KC241HG8004487</t>
  </si>
  <si>
    <t>KC17E8046479</t>
  </si>
  <si>
    <t>2024-08-17 21:04:07</t>
  </si>
  <si>
    <t>Jayant</t>
  </si>
  <si>
    <t>KA01HN8581</t>
  </si>
  <si>
    <t>31876</t>
  </si>
  <si>
    <t>2024-08-17 20:40:34</t>
  </si>
  <si>
    <t>Sweta</t>
  </si>
  <si>
    <t>MH14EA3296</t>
  </si>
  <si>
    <t>35560</t>
  </si>
  <si>
    <t>MBLJF32ABDGG12119</t>
  </si>
  <si>
    <t>JF32AADGG11950</t>
  </si>
  <si>
    <t>2024-08-17 20:41:18</t>
  </si>
  <si>
    <t>MH12NY8234</t>
  </si>
  <si>
    <t>56038</t>
  </si>
  <si>
    <t>JD2A36FYXHCL12729</t>
  </si>
  <si>
    <t>JLYCHL11354</t>
  </si>
  <si>
    <t>2024-08-17 20:44:37</t>
  </si>
  <si>
    <t>RAJESH</t>
  </si>
  <si>
    <t>MH12DJ5926</t>
  </si>
  <si>
    <t>55228</t>
  </si>
  <si>
    <t>2024-08-17 20:36:23</t>
  </si>
  <si>
    <t>19362</t>
  </si>
  <si>
    <t>2024-08-17 20:39:13</t>
  </si>
  <si>
    <t>Manish Shewale</t>
  </si>
  <si>
    <t>MH15FA0477</t>
  </si>
  <si>
    <t>58333</t>
  </si>
  <si>
    <t>MD626BG47F1G06003</t>
  </si>
  <si>
    <t>BGAF1606330</t>
  </si>
  <si>
    <t>2024-11-09 20:43:00</t>
  </si>
  <si>
    <t>RAJAT</t>
  </si>
  <si>
    <t>MH12PE3370</t>
  </si>
  <si>
    <t>28914</t>
  </si>
  <si>
    <t>045 ₹</t>
  </si>
  <si>
    <t>2024-08-18 21:06:37</t>
  </si>
  <si>
    <t>2024-08-22 20:55:12</t>
  </si>
  <si>
    <t>LAXMAN BHATI</t>
  </si>
  <si>
    <t>12873</t>
  </si>
  <si>
    <t>2024-08-18 21:07:29</t>
  </si>
  <si>
    <t>PRAVEEN MAKDUM</t>
  </si>
  <si>
    <t>MH09EQ3042</t>
  </si>
  <si>
    <t>50009</t>
  </si>
  <si>
    <t>ME4JC734CHT024497</t>
  </si>
  <si>
    <t>JC73ET1041459</t>
  </si>
  <si>
    <t>2024-08-18 21:09:36</t>
  </si>
  <si>
    <t xml:space="preserve">NARAYAN </t>
  </si>
  <si>
    <t>MH12UL2247</t>
  </si>
  <si>
    <t>17532</t>
  </si>
  <si>
    <t>MBLHA12175N4F14279</t>
  </si>
  <si>
    <t>HA11EAN4F16749</t>
  </si>
  <si>
    <t>2024-08-18 21:08:30</t>
  </si>
  <si>
    <t>45045</t>
  </si>
  <si>
    <t>2024-08-18 21:05:26</t>
  </si>
  <si>
    <t>MH12JL9892</t>
  </si>
  <si>
    <t>34544</t>
  </si>
  <si>
    <t>MET0000APK019589</t>
  </si>
  <si>
    <t>2024-08-21 12:31:03</t>
  </si>
  <si>
    <t>SANSKAR</t>
  </si>
  <si>
    <t>MH01AQ3219</t>
  </si>
  <si>
    <t>31971</t>
  </si>
  <si>
    <t>ME4JC445L98310114</t>
  </si>
  <si>
    <t>JC44E0364934</t>
  </si>
  <si>
    <t>2024-08-21 12:25:43</t>
  </si>
  <si>
    <t>2024-08-18 21:06:01</t>
  </si>
  <si>
    <t>16875</t>
  </si>
  <si>
    <t>2024-08-18 21:09:03</t>
  </si>
  <si>
    <t>2024-08-18 21:10:04</t>
  </si>
  <si>
    <t>28428</t>
  </si>
  <si>
    <t>2024-08-18 21:12:52</t>
  </si>
  <si>
    <t>87778</t>
  </si>
  <si>
    <t>2024-08-18 21:18:41</t>
  </si>
  <si>
    <t>MH05CT5347</t>
  </si>
  <si>
    <t>10518</t>
  </si>
  <si>
    <t>ME4JF486LF8011</t>
  </si>
  <si>
    <t>2024-08-18 21:12:23</t>
  </si>
  <si>
    <t>Tonde</t>
  </si>
  <si>
    <t>MH12PR7496</t>
  </si>
  <si>
    <t>7357</t>
  </si>
  <si>
    <t>MD62C6EG45H1K28636</t>
  </si>
  <si>
    <t>2024-09-11 20:41:38</t>
  </si>
  <si>
    <t>MH12TE6164</t>
  </si>
  <si>
    <t>35045</t>
  </si>
  <si>
    <t>2024-08-21 12:21:33</t>
  </si>
  <si>
    <t>MH14KM7516</t>
  </si>
  <si>
    <t>11120</t>
  </si>
  <si>
    <t>ME4KC402LNA132901</t>
  </si>
  <si>
    <t>KC40EA1133037</t>
  </si>
  <si>
    <t>2024-08-21 12:29:19</t>
  </si>
  <si>
    <t>2024-08-21 12:26:54</t>
  </si>
  <si>
    <t>VISHAL</t>
  </si>
  <si>
    <t>TN07CH7463</t>
  </si>
  <si>
    <t>Royal Enfield ThunderBird 500</t>
  </si>
  <si>
    <t>32212</t>
  </si>
  <si>
    <t>ME3U5595F1511098716</t>
  </si>
  <si>
    <t>US55I0GM180245</t>
  </si>
  <si>
    <t>2024-08-21 12:32:36</t>
  </si>
  <si>
    <t>72345</t>
  </si>
  <si>
    <t>2024-08-21 13:14:55</t>
  </si>
  <si>
    <t>Jadhav</t>
  </si>
  <si>
    <t>MH12RX6010</t>
  </si>
  <si>
    <t>21417</t>
  </si>
  <si>
    <t>ME4JF50AFKW105505</t>
  </si>
  <si>
    <t>2024-09-11 20:40:41</t>
  </si>
  <si>
    <t>Vinay Juneja</t>
  </si>
  <si>
    <t>MH12PF8386</t>
  </si>
  <si>
    <t>28657</t>
  </si>
  <si>
    <t>2024-09-11 20:39:36</t>
  </si>
  <si>
    <t>Saga Patel</t>
  </si>
  <si>
    <t>MH14HE1509</t>
  </si>
  <si>
    <t>20697</t>
  </si>
  <si>
    <t>2024-11-09 20:41:46</t>
  </si>
  <si>
    <t>29018</t>
  </si>
  <si>
    <t>2024-08-23 18:04:48</t>
  </si>
  <si>
    <t>13726</t>
  </si>
  <si>
    <t>2024-09-11 20:39:52</t>
  </si>
  <si>
    <t>Vivek Raka</t>
  </si>
  <si>
    <t>MH24BC8070</t>
  </si>
  <si>
    <t>16427</t>
  </si>
  <si>
    <t>ME4JF498GJUD74238</t>
  </si>
  <si>
    <t>JF49EU3172560</t>
  </si>
  <si>
    <t>2024-09-30 19:01:40</t>
  </si>
  <si>
    <t>14678</t>
  </si>
  <si>
    <t>2024-08-21 12:24:52</t>
  </si>
  <si>
    <t>SANDIP SHARMA</t>
  </si>
  <si>
    <t>MH14ER1381</t>
  </si>
  <si>
    <t>41539</t>
  </si>
  <si>
    <t>MD626AG4XE1H80432</t>
  </si>
  <si>
    <t>OG4HE1176221</t>
  </si>
  <si>
    <t>2024-08-22 20:57:18</t>
  </si>
  <si>
    <t>57960</t>
  </si>
  <si>
    <t>2024-08-22 20:54:10</t>
  </si>
  <si>
    <t>107596</t>
  </si>
  <si>
    <t>2024-09-11 20:06:56</t>
  </si>
  <si>
    <t>18182</t>
  </si>
  <si>
    <t>2024-08-23 18:03:48</t>
  </si>
  <si>
    <t>MH13CH1080</t>
  </si>
  <si>
    <t>85633</t>
  </si>
  <si>
    <t>MD2A85CZ3GCA88746</t>
  </si>
  <si>
    <t xml:space="preserve">PD7CW RUSTY </t>
  </si>
  <si>
    <t>2024-08-23 18:01:13</t>
  </si>
  <si>
    <t>76025</t>
  </si>
  <si>
    <t>2024-09-11 20:07:25</t>
  </si>
  <si>
    <t>Dharmesh</t>
  </si>
  <si>
    <t>MH12GE1062</t>
  </si>
  <si>
    <t>Hero Passion PRO</t>
  </si>
  <si>
    <t>56906</t>
  </si>
  <si>
    <t>MBLHA10AHAGG18122</t>
  </si>
  <si>
    <t>2024-08-21 21:04:17</t>
  </si>
  <si>
    <t>Mukul Pansare</t>
  </si>
  <si>
    <t>MH12DP1282</t>
  </si>
  <si>
    <t>16817</t>
  </si>
  <si>
    <t>2024-09-11 20:10:31</t>
  </si>
  <si>
    <t>Shreyas Muke</t>
  </si>
  <si>
    <t>MH14JT4400</t>
  </si>
  <si>
    <t>16283</t>
  </si>
  <si>
    <t>MET00003A1J003707</t>
  </si>
  <si>
    <t>2024-09-11 20:05:55</t>
  </si>
  <si>
    <t xml:space="preserve">Suyash Gaikwad </t>
  </si>
  <si>
    <t>MH14FE6498</t>
  </si>
  <si>
    <t>50785</t>
  </si>
  <si>
    <t>2024-08-22 20:55:59</t>
  </si>
  <si>
    <t xml:space="preserve"> Ravi </t>
  </si>
  <si>
    <t>MH14BN8184</t>
  </si>
  <si>
    <t>1583</t>
  </si>
  <si>
    <t>2024-09-11 20:15:16</t>
  </si>
  <si>
    <t>Ashwini Laishram</t>
  </si>
  <si>
    <t>MH12HW6307</t>
  </si>
  <si>
    <t>38149</t>
  </si>
  <si>
    <t>219 ₹</t>
  </si>
  <si>
    <t>ME4JC448CC8857490</t>
  </si>
  <si>
    <t>2024-09-11 20:12:12</t>
  </si>
  <si>
    <t>Pradeep</t>
  </si>
  <si>
    <t>MH31DD8192</t>
  </si>
  <si>
    <t>MD2JDJBZZ50A11855</t>
  </si>
  <si>
    <t>JEGB5K11941</t>
  </si>
  <si>
    <t>2024-09-11 20:16:14</t>
  </si>
  <si>
    <t>MITESH</t>
  </si>
  <si>
    <t>MH14FU7646</t>
  </si>
  <si>
    <t>20237</t>
  </si>
  <si>
    <t>ME4JF493HG8363168</t>
  </si>
  <si>
    <t>JF49E8129157</t>
  </si>
  <si>
    <t>2024-09-11 20:16:38</t>
  </si>
  <si>
    <t>16722</t>
  </si>
  <si>
    <t>2024-09-11 20:17:35</t>
  </si>
  <si>
    <t>58489</t>
  </si>
  <si>
    <t>2024-09-11 20:19:35</t>
  </si>
  <si>
    <t>70955</t>
  </si>
  <si>
    <t>2024-08-22 20:56:18</t>
  </si>
  <si>
    <t>20993</t>
  </si>
  <si>
    <t>2024-09-11 20:30:22</t>
  </si>
  <si>
    <t>2024-09-11 20:30:37</t>
  </si>
  <si>
    <t>21778</t>
  </si>
  <si>
    <t>2024-09-11 20:41:08</t>
  </si>
  <si>
    <t>13359</t>
  </si>
  <si>
    <t>2024-08-22 20:54:52</t>
  </si>
  <si>
    <t>Chetan Sakore</t>
  </si>
  <si>
    <t>MH12TT3353</t>
  </si>
  <si>
    <t>5784</t>
  </si>
  <si>
    <t>2024-11-09 20:20:36</t>
  </si>
  <si>
    <t>Vishal Madamwar</t>
  </si>
  <si>
    <t>MH14FK2890</t>
  </si>
  <si>
    <t>22057</t>
  </si>
  <si>
    <t>MD626BG4SG1A01783</t>
  </si>
  <si>
    <t>BG4AG1800771</t>
  </si>
  <si>
    <t>2024-11-09 20:26:12</t>
  </si>
  <si>
    <t>2177</t>
  </si>
  <si>
    <t>2024-11-09 20:26:48</t>
  </si>
  <si>
    <t>Prashant</t>
  </si>
  <si>
    <t>MH14HF1508</t>
  </si>
  <si>
    <t>9062</t>
  </si>
  <si>
    <t>MD2AZZEY9JCE50316</t>
  </si>
  <si>
    <t>PDYCJE65541</t>
  </si>
  <si>
    <t>2024-11-09 20:28:24</t>
  </si>
  <si>
    <t>Vaivhav</t>
  </si>
  <si>
    <t>GJ21BF8200</t>
  </si>
  <si>
    <t>8719</t>
  </si>
  <si>
    <t>ME1SED192H000622</t>
  </si>
  <si>
    <t>E3Y4E0010520</t>
  </si>
  <si>
    <t>2024-11-09 20:36:01</t>
  </si>
  <si>
    <t>Harshal Pauiikar</t>
  </si>
  <si>
    <t>MH49CA7910</t>
  </si>
  <si>
    <t>4103</t>
  </si>
  <si>
    <t>MD6342E5X82K01789</t>
  </si>
  <si>
    <t>OE5K82001825</t>
  </si>
  <si>
    <t>2024-11-09 20:36:41</t>
  </si>
  <si>
    <t>19668</t>
  </si>
  <si>
    <t>2024-11-09 20:42:17</t>
  </si>
  <si>
    <t>41441</t>
  </si>
  <si>
    <t>2024-11-09 20:44:23</t>
  </si>
  <si>
    <t>13887</t>
  </si>
  <si>
    <t>2024-08-22 20:52:43</t>
  </si>
  <si>
    <t>21526</t>
  </si>
  <si>
    <t>2024-08-24 19:31:56</t>
  </si>
  <si>
    <t xml:space="preserve">RAJIV JAIN </t>
  </si>
  <si>
    <t>MH14GP1659</t>
  </si>
  <si>
    <t>9385</t>
  </si>
  <si>
    <t>MD626EG4XH3H60343</t>
  </si>
  <si>
    <t>EG411H2418921</t>
  </si>
  <si>
    <t>2024-08-23 18:48:07</t>
  </si>
  <si>
    <t>RAMESH SWAMI</t>
  </si>
  <si>
    <t>MH14GT7418</t>
  </si>
  <si>
    <t>25555</t>
  </si>
  <si>
    <t>MB8NG4BJKH832</t>
  </si>
  <si>
    <t>BGA1450317</t>
  </si>
  <si>
    <t>2024-08-22 19:27:38</t>
  </si>
  <si>
    <t>RAHUL BACCHE</t>
  </si>
  <si>
    <t>MH14KG7940</t>
  </si>
  <si>
    <t>11686</t>
  </si>
  <si>
    <t>2024-08-28 20:36:04</t>
  </si>
  <si>
    <t>SUMIT GORE</t>
  </si>
  <si>
    <t>MH14JK3965</t>
  </si>
  <si>
    <t>13582</t>
  </si>
  <si>
    <t>ME3J3A5FML2007657</t>
  </si>
  <si>
    <t>J3A5FML2009326</t>
  </si>
  <si>
    <t>2024-08-23 18:46:31</t>
  </si>
  <si>
    <t>MP40MG7042</t>
  </si>
  <si>
    <t>40735</t>
  </si>
  <si>
    <t>MB8CF4CBJC814703</t>
  </si>
  <si>
    <t>F4862113253</t>
  </si>
  <si>
    <t>2024-08-23 18:07:44</t>
  </si>
  <si>
    <t>29070</t>
  </si>
  <si>
    <t>2024-08-22 20:44:53</t>
  </si>
  <si>
    <t>214 ₹</t>
  </si>
  <si>
    <t>2024-08-22 20:43:16</t>
  </si>
  <si>
    <t>Divya Kesharwani</t>
  </si>
  <si>
    <t>MH27DQ6415</t>
  </si>
  <si>
    <t>3168</t>
  </si>
  <si>
    <t>2024-09-18 20:42:48</t>
  </si>
  <si>
    <t>MAYURESH</t>
  </si>
  <si>
    <t>MH04JE9288</t>
  </si>
  <si>
    <t>18868</t>
  </si>
  <si>
    <t>ME4JF507HHT498750</t>
  </si>
  <si>
    <t>JF50E9X5494771</t>
  </si>
  <si>
    <t>2024-08-22 20:55:28</t>
  </si>
  <si>
    <t>2024-11-09 20:23:34</t>
  </si>
  <si>
    <t>Ashish Dhawale</t>
  </si>
  <si>
    <t>MH14BZ3365</t>
  </si>
  <si>
    <t>37066</t>
  </si>
  <si>
    <t>Me138b011a2002629</t>
  </si>
  <si>
    <t>38B4002431</t>
  </si>
  <si>
    <t>2024-08-23 19:14:28</t>
  </si>
  <si>
    <t>Vijay Katke</t>
  </si>
  <si>
    <t>MH12QP7033</t>
  </si>
  <si>
    <t>10331</t>
  </si>
  <si>
    <t>MD626EG401E16800</t>
  </si>
  <si>
    <t>EG4EJ11683247</t>
  </si>
  <si>
    <t>2024-08-23 18:49:23</t>
  </si>
  <si>
    <t>Swapnil Mahajan</t>
  </si>
  <si>
    <t>MH12SR5417</t>
  </si>
  <si>
    <t>24074</t>
  </si>
  <si>
    <t>ME4JF50KKW095258</t>
  </si>
  <si>
    <t>JF50EW1095276</t>
  </si>
  <si>
    <t>2024-08-28 20:38:38</t>
  </si>
  <si>
    <t>2024-08-23 18:50:48</t>
  </si>
  <si>
    <t>2025-04-28 19:32:31</t>
  </si>
  <si>
    <t>36046</t>
  </si>
  <si>
    <t>2024-08-23 19:13:08</t>
  </si>
  <si>
    <t>Aakash KIRTANE</t>
  </si>
  <si>
    <t>MH14FH8448</t>
  </si>
  <si>
    <t>52274</t>
  </si>
  <si>
    <t>MD634KE67F2644422</t>
  </si>
  <si>
    <t>OE6GF2149521</t>
  </si>
  <si>
    <t>2024-08-24 19:31:05</t>
  </si>
  <si>
    <t>19307</t>
  </si>
  <si>
    <t>2024-08-23 18:02:07</t>
  </si>
  <si>
    <t>GAURAV PATEL</t>
  </si>
  <si>
    <t>MH12HE5648</t>
  </si>
  <si>
    <t>32447</t>
  </si>
  <si>
    <t>JC44ET445351</t>
  </si>
  <si>
    <t>2024-09-30 18:45:08</t>
  </si>
  <si>
    <t>Divesh Tupat</t>
  </si>
  <si>
    <t>MH12QB5087</t>
  </si>
  <si>
    <t>16549</t>
  </si>
  <si>
    <t>ME11CK037C200321</t>
  </si>
  <si>
    <t>1CK3003227</t>
  </si>
  <si>
    <t>2024-08-23 18:06:27</t>
  </si>
  <si>
    <t>40995</t>
  </si>
  <si>
    <t>2024-08-24 19:00:27</t>
  </si>
  <si>
    <t xml:space="preserve">SHARDUL VIBHUTE </t>
  </si>
  <si>
    <t>MH09EW1481</t>
  </si>
  <si>
    <t>26365</t>
  </si>
  <si>
    <t>2024-09-12 20:35:04</t>
  </si>
  <si>
    <t>34716</t>
  </si>
  <si>
    <t>2024-09-12 20:36:28</t>
  </si>
  <si>
    <t>2024-08-23 19:11:27</t>
  </si>
  <si>
    <t>Aditya Patki</t>
  </si>
  <si>
    <t>MH14DQ5504</t>
  </si>
  <si>
    <t>43999</t>
  </si>
  <si>
    <t>ME4JC36KJC7081710</t>
  </si>
  <si>
    <t>JC36E7240941</t>
  </si>
  <si>
    <t>2024-09-12 20:39:01</t>
  </si>
  <si>
    <t>Nitin Mandavkar</t>
  </si>
  <si>
    <t>MH14GJ4408</t>
  </si>
  <si>
    <t>13033</t>
  </si>
  <si>
    <t>MD626EG41H361114</t>
  </si>
  <si>
    <t>2024-08-23 19:08:42</t>
  </si>
  <si>
    <t>Suvarna Chavan</t>
  </si>
  <si>
    <t>MH14DD366</t>
  </si>
  <si>
    <t>46153</t>
  </si>
  <si>
    <t>8 ₹</t>
  </si>
  <si>
    <t>MD626AG49B1N74012</t>
  </si>
  <si>
    <t>OG4NB1267732</t>
  </si>
  <si>
    <t>2024-08-28 20:37:19</t>
  </si>
  <si>
    <t>MH14KM1073</t>
  </si>
  <si>
    <t>32828</t>
  </si>
  <si>
    <t>ME4JF51ALNG455146</t>
  </si>
  <si>
    <t>JF19EG7455387</t>
  </si>
  <si>
    <t>2024-10-09 13:25:36</t>
  </si>
  <si>
    <t>MH14DD2179</t>
  </si>
  <si>
    <t>18376</t>
  </si>
  <si>
    <t>MBLJF16EDBGM106338</t>
  </si>
  <si>
    <t>JF16EBEG106157</t>
  </si>
  <si>
    <t>2024-08-24 19:28:01</t>
  </si>
  <si>
    <t>Bhavesh</t>
  </si>
  <si>
    <t>MH05CR7914</t>
  </si>
  <si>
    <t>2024-10-09 13:31:22</t>
  </si>
  <si>
    <t>Sanjay Joshi</t>
  </si>
  <si>
    <t>MH14BB4962</t>
  </si>
  <si>
    <t>2298</t>
  </si>
  <si>
    <t>07C23F11529</t>
  </si>
  <si>
    <t>2024-08-24 18:53:54</t>
  </si>
  <si>
    <t>2024-08-24 19:02:26</t>
  </si>
  <si>
    <t>84236</t>
  </si>
  <si>
    <t>2024-08-22 20:57:47</t>
  </si>
  <si>
    <t>57747</t>
  </si>
  <si>
    <t>2024-10-09 13:33:25</t>
  </si>
  <si>
    <t>ANUJ GUPTA</t>
  </si>
  <si>
    <t>MH12MP4216</t>
  </si>
  <si>
    <t>28584</t>
  </si>
  <si>
    <t>MD2A22E2ECJ82311</t>
  </si>
  <si>
    <t>PDZCEJ576552</t>
  </si>
  <si>
    <t>2024-10-09 13:34:29</t>
  </si>
  <si>
    <t>17073</t>
  </si>
  <si>
    <t>2024-10-09 13:29:25</t>
  </si>
  <si>
    <t>43436</t>
  </si>
  <si>
    <t>2024-10-09 13:30:45</t>
  </si>
  <si>
    <t>31866</t>
  </si>
  <si>
    <t>2024-10-09 13:32:20</t>
  </si>
  <si>
    <t>42592</t>
  </si>
  <si>
    <t>2024-10-09 13:35:36</t>
  </si>
  <si>
    <t>2135</t>
  </si>
  <si>
    <t>2024-11-10 20:05:49</t>
  </si>
  <si>
    <t>23095</t>
  </si>
  <si>
    <t>2024-08-24 19:23:36</t>
  </si>
  <si>
    <t>30250</t>
  </si>
  <si>
    <t>2024-08-24 19:24:54</t>
  </si>
  <si>
    <t>24797</t>
  </si>
  <si>
    <t>2024-09-12 20:33:24</t>
  </si>
  <si>
    <t>105756</t>
  </si>
  <si>
    <t>2024-09-12 20:34:05</t>
  </si>
  <si>
    <t>Trishul Rai</t>
  </si>
  <si>
    <t>MH14EE1246</t>
  </si>
  <si>
    <t>4779</t>
  </si>
  <si>
    <t>2024-09-12 20:34:28</t>
  </si>
  <si>
    <t>33949</t>
  </si>
  <si>
    <t>2024-09-12 20:38:41</t>
  </si>
  <si>
    <t xml:space="preserve">AALHAD </t>
  </si>
  <si>
    <t>MH29Q2749</t>
  </si>
  <si>
    <t>MD2DHZZNCL22631</t>
  </si>
  <si>
    <t>DHGBNL6029</t>
  </si>
  <si>
    <t>2024-09-12 20:35:27</t>
  </si>
  <si>
    <t>MH14HC8214</t>
  </si>
  <si>
    <t>12736</t>
  </si>
  <si>
    <t>2024-08-24 18:58:59</t>
  </si>
  <si>
    <t>SUDEEP</t>
  </si>
  <si>
    <t>MH14HV7234</t>
  </si>
  <si>
    <t xml:space="preserve">Honda CD 110 </t>
  </si>
  <si>
    <t>10158</t>
  </si>
  <si>
    <t>ME4JC67HGKA033277</t>
  </si>
  <si>
    <t>JC67EA106135</t>
  </si>
  <si>
    <t>2024-09-12 20:31:44</t>
  </si>
  <si>
    <t>RUTURAJ JAGTAP</t>
  </si>
  <si>
    <t>MH12KD3514</t>
  </si>
  <si>
    <t>Honda CBR 150R</t>
  </si>
  <si>
    <t>47629</t>
  </si>
  <si>
    <t>2024-10-20 20:17:00</t>
  </si>
  <si>
    <t xml:space="preserve">Jagdish </t>
  </si>
  <si>
    <t>MH14JZ8302</t>
  </si>
  <si>
    <t>6571</t>
  </si>
  <si>
    <t>2024-08-24 18:55:13</t>
  </si>
  <si>
    <t>Ashish Patil</t>
  </si>
  <si>
    <t>MH14FJ4539</t>
  </si>
  <si>
    <t>28960</t>
  </si>
  <si>
    <t>ME1SE77F9F0043875</t>
  </si>
  <si>
    <t>JF50EW0038154</t>
  </si>
  <si>
    <t>2024-08-24 19:26:22</t>
  </si>
  <si>
    <t>MH28AT2411</t>
  </si>
  <si>
    <t>8912</t>
  </si>
  <si>
    <t>MB8CE46AAG8104827</t>
  </si>
  <si>
    <t>AE211080436</t>
  </si>
  <si>
    <t>2024-08-24 18:56:13</t>
  </si>
  <si>
    <t>5216</t>
  </si>
  <si>
    <t>2024-08-24 18:58:02</t>
  </si>
  <si>
    <t>Mayur Hajare</t>
  </si>
  <si>
    <t>MH12MY6215</t>
  </si>
  <si>
    <t>38265</t>
  </si>
  <si>
    <t>HA10ACX</t>
  </si>
  <si>
    <t>2024-08-24 19:22:13</t>
  </si>
  <si>
    <t>46969</t>
  </si>
  <si>
    <t>2024-08-24 19:29:36</t>
  </si>
  <si>
    <t>Vishal Patil</t>
  </si>
  <si>
    <t>MH12QJ6651</t>
  </si>
  <si>
    <t>ME4JG50JA008135</t>
  </si>
  <si>
    <t>JF50E47007640</t>
  </si>
  <si>
    <t>2024-08-24 20:06:33</t>
  </si>
  <si>
    <t>25707</t>
  </si>
  <si>
    <t>2024-08-24 19:49:15</t>
  </si>
  <si>
    <t xml:space="preserve">ABDUL </t>
  </si>
  <si>
    <t>MH10CD6900</t>
  </si>
  <si>
    <t>60288</t>
  </si>
  <si>
    <t>ME4JF493KF8079417</t>
  </si>
  <si>
    <t>JF49E81091207</t>
  </si>
  <si>
    <t>2024-08-24 20:06:50</t>
  </si>
  <si>
    <t>Hrishikesh Saykhedkar</t>
  </si>
  <si>
    <t>MH15FZ7854</t>
  </si>
  <si>
    <t xml:space="preserve">Yamaha Saluto </t>
  </si>
  <si>
    <t>17644</t>
  </si>
  <si>
    <t>ME1RG3525H0014504</t>
  </si>
  <si>
    <t>E31EE6603659</t>
  </si>
  <si>
    <t>2024-08-26 13:05:31</t>
  </si>
  <si>
    <t>49499</t>
  </si>
  <si>
    <t>2024-08-26 13:10:26</t>
  </si>
  <si>
    <t>34026</t>
  </si>
  <si>
    <t>2024-08-26 12:55:49</t>
  </si>
  <si>
    <t>SHOHAM</t>
  </si>
  <si>
    <t>MH14JK1999</t>
  </si>
  <si>
    <t>45754</t>
  </si>
  <si>
    <t>MD626AK32LDO8854</t>
  </si>
  <si>
    <t>AK3PL2X08691</t>
  </si>
  <si>
    <t>2024-08-30 19:12:44</t>
  </si>
  <si>
    <t>MH14HN0924</t>
  </si>
  <si>
    <t>37536</t>
  </si>
  <si>
    <t>291 ₹</t>
  </si>
  <si>
    <t>MD626E442JN204058</t>
  </si>
  <si>
    <t>DG4NJ2608725</t>
  </si>
  <si>
    <t>2024-08-26 13:01:57</t>
  </si>
  <si>
    <t>Piyush Khupse</t>
  </si>
  <si>
    <t>MH30AY9918</t>
  </si>
  <si>
    <t>41095</t>
  </si>
  <si>
    <t>MD2A36F9HCC58696</t>
  </si>
  <si>
    <t>JLYCHC54733</t>
  </si>
  <si>
    <t>2024-08-26 13:03:09</t>
  </si>
  <si>
    <t>Bhushan Humane</t>
  </si>
  <si>
    <t>MH14KE0795</t>
  </si>
  <si>
    <t>18774</t>
  </si>
  <si>
    <t>ME4JF996CMW012211</t>
  </si>
  <si>
    <t>JF99EW0141700</t>
  </si>
  <si>
    <t>2024-10-28 15:09:45</t>
  </si>
  <si>
    <t>KARAN LONDHE</t>
  </si>
  <si>
    <t>MH09CP6139</t>
  </si>
  <si>
    <t>8981</t>
  </si>
  <si>
    <t>163 ₹</t>
  </si>
  <si>
    <t>2024-09-13 19:59:25</t>
  </si>
  <si>
    <t xml:space="preserve">Prasad </t>
  </si>
  <si>
    <t>MH14EZ8438</t>
  </si>
  <si>
    <t>Hero Splendor Plus i3s</t>
  </si>
  <si>
    <t>52853</t>
  </si>
  <si>
    <t>MBLHA12ACF08928</t>
  </si>
  <si>
    <t>HA12EM9F08241</t>
  </si>
  <si>
    <t>2024-08-26 12:50:14</t>
  </si>
  <si>
    <t>Akhilesh Rao</t>
  </si>
  <si>
    <t>KA02KD0835</t>
  </si>
  <si>
    <t>MB8ED24AGK8100255</t>
  </si>
  <si>
    <t>EJA1104828</t>
  </si>
  <si>
    <t>2024-08-28 20:33:22</t>
  </si>
  <si>
    <t xml:space="preserve">Anuj Shukla </t>
  </si>
  <si>
    <t>MH49AM4017</t>
  </si>
  <si>
    <t>2024-09-30 19:10:07</t>
  </si>
  <si>
    <t>2024-09-14 20:03:36</t>
  </si>
  <si>
    <t>Nitin Bhosle</t>
  </si>
  <si>
    <t>MH14BZ4979</t>
  </si>
  <si>
    <t>91094</t>
  </si>
  <si>
    <t>MBLHA10EKA9A02450</t>
  </si>
  <si>
    <t>2024-08-28 20:48:36</t>
  </si>
  <si>
    <t>MH14DZ4971</t>
  </si>
  <si>
    <t>21290</t>
  </si>
  <si>
    <t>2024-08-26 12:54:17</t>
  </si>
  <si>
    <t>90448</t>
  </si>
  <si>
    <t>2024-08-26 12:56:34</t>
  </si>
  <si>
    <t>MH14JD0881</t>
  </si>
  <si>
    <t>5634</t>
  </si>
  <si>
    <t>ME15EG423L0099947</t>
  </si>
  <si>
    <t>E325E0066393</t>
  </si>
  <si>
    <t>2024-09-13 19:58:19</t>
  </si>
  <si>
    <t>DATTA WAYAL</t>
  </si>
  <si>
    <t>MH21BB7364</t>
  </si>
  <si>
    <t>69082</t>
  </si>
  <si>
    <t>ME4JF4JC654AHT001795</t>
  </si>
  <si>
    <t>JE65ET1002575</t>
  </si>
  <si>
    <t>2024-08-26 12:59:53</t>
  </si>
  <si>
    <t>6043</t>
  </si>
  <si>
    <t>2024-08-26 12:53:18</t>
  </si>
  <si>
    <t>2024-08-26 13:06:47</t>
  </si>
  <si>
    <t>46221</t>
  </si>
  <si>
    <t>2024-08-26 12:57:21</t>
  </si>
  <si>
    <t>20979</t>
  </si>
  <si>
    <t>2024-08-28 20:31:47</t>
  </si>
  <si>
    <t>MH12SW2871</t>
  </si>
  <si>
    <t>292980</t>
  </si>
  <si>
    <t>2024-08-26 13:08:22</t>
  </si>
  <si>
    <t>Abhilash Umekar</t>
  </si>
  <si>
    <t>MH27AZ0860</t>
  </si>
  <si>
    <t>MELK12EHDGG0522</t>
  </si>
  <si>
    <t>KC121350CG018</t>
  </si>
  <si>
    <t>2024-08-28 20:39:14</t>
  </si>
  <si>
    <t>MH12NS7755</t>
  </si>
  <si>
    <t>29549</t>
  </si>
  <si>
    <t>2024-08-28 20:31:02</t>
  </si>
  <si>
    <t xml:space="preserve">Sanket Bele </t>
  </si>
  <si>
    <t>DL12SH6751</t>
  </si>
  <si>
    <t>ME3U3S5C1GH666576</t>
  </si>
  <si>
    <t>U3S5C1H293404</t>
  </si>
  <si>
    <t>2024-08-28 20:29:55</t>
  </si>
  <si>
    <t>SUNIL MARATHE</t>
  </si>
  <si>
    <t>MH12RL6254</t>
  </si>
  <si>
    <t>2024-08-28 20:44:39</t>
  </si>
  <si>
    <t>GAURAV JADHAV</t>
  </si>
  <si>
    <t>MH15DN1247</t>
  </si>
  <si>
    <t>29833</t>
  </si>
  <si>
    <t>MB8CF4CADC8122599</t>
  </si>
  <si>
    <t>F486985511</t>
  </si>
  <si>
    <t>2024-08-28 20:29:02</t>
  </si>
  <si>
    <t xml:space="preserve">SANKALP </t>
  </si>
  <si>
    <t>GA03F3805</t>
  </si>
  <si>
    <t>62471</t>
  </si>
  <si>
    <t>JF11E5275100</t>
  </si>
  <si>
    <t>2024-09-13 20:00:34</t>
  </si>
  <si>
    <t xml:space="preserve">Rahul Patil </t>
  </si>
  <si>
    <t>MH12EY5785</t>
  </si>
  <si>
    <t>34870</t>
  </si>
  <si>
    <t>MD626BG3182H74630</t>
  </si>
  <si>
    <t>OGEH8274893</t>
  </si>
  <si>
    <t>2024-09-13 19:59:59</t>
  </si>
  <si>
    <t xml:space="preserve">ANIKET </t>
  </si>
  <si>
    <t>MH14HC2603</t>
  </si>
  <si>
    <t>19831</t>
  </si>
  <si>
    <t>MD626AG7JA843</t>
  </si>
  <si>
    <t>AG7H1250359</t>
  </si>
  <si>
    <t>2025-04-28 20:18:43</t>
  </si>
  <si>
    <t>MH10CG2128</t>
  </si>
  <si>
    <t>45669</t>
  </si>
  <si>
    <t>2024-09-13 20:01:13</t>
  </si>
  <si>
    <t>MH12JE2944</t>
  </si>
  <si>
    <t>42836</t>
  </si>
  <si>
    <t>ME4KC09CG93024</t>
  </si>
  <si>
    <t>KOO9E5309521</t>
  </si>
  <si>
    <t>2024-10-11 13:02:26</t>
  </si>
  <si>
    <t>HARSHIT</t>
  </si>
  <si>
    <t>MH46AY2521</t>
  </si>
  <si>
    <t>21210</t>
  </si>
  <si>
    <t>G3CBE0410764</t>
  </si>
  <si>
    <t>2024-11-10 20:03:34</t>
  </si>
  <si>
    <t>Ilesh Mankad</t>
  </si>
  <si>
    <t>MH14BY8319</t>
  </si>
  <si>
    <t>2140</t>
  </si>
  <si>
    <t>MB8CF4CAM98288946</t>
  </si>
  <si>
    <t>F484289046</t>
  </si>
  <si>
    <t>2024-10-09 20:52:26</t>
  </si>
  <si>
    <t xml:space="preserve">ROSHAN FAUNDE </t>
  </si>
  <si>
    <t>MH12SH6806</t>
  </si>
  <si>
    <t>2024-09-16 11:35:15</t>
  </si>
  <si>
    <t>MH14HF9896</t>
  </si>
  <si>
    <t>27932</t>
  </si>
  <si>
    <t>MD637AE78J2K0757</t>
  </si>
  <si>
    <t>AE7KJ2503506</t>
  </si>
  <si>
    <t>2024-10-18 20:08:13</t>
  </si>
  <si>
    <t>21521</t>
  </si>
  <si>
    <t>2024-10-09 19:52:31</t>
  </si>
  <si>
    <t>SURESH PATEL</t>
  </si>
  <si>
    <t>GG12AA0363</t>
  </si>
  <si>
    <t>MD2JDJDZZ9CM8532</t>
  </si>
  <si>
    <t>JECB5M85746</t>
  </si>
  <si>
    <t>2024-10-09 19:50:14</t>
  </si>
  <si>
    <t>SUMIT</t>
  </si>
  <si>
    <t>MH12GG5958</t>
  </si>
  <si>
    <t>Hero Xtreme Sports</t>
  </si>
  <si>
    <t>65775</t>
  </si>
  <si>
    <t>2024-10-09 19:55:14</t>
  </si>
  <si>
    <t>RAJU YADAV</t>
  </si>
  <si>
    <t>MH14HL5827</t>
  </si>
  <si>
    <t>16032</t>
  </si>
  <si>
    <t>MD626EG41K1A27150</t>
  </si>
  <si>
    <t>EG4AK1537147</t>
  </si>
  <si>
    <t>2024-10-09 19:56:48</t>
  </si>
  <si>
    <t>Vimal</t>
  </si>
  <si>
    <t>MH14DQ3361</t>
  </si>
  <si>
    <t>77508</t>
  </si>
  <si>
    <t>MD2A36FZ1CCDO2305</t>
  </si>
  <si>
    <t>JLZCCC01933</t>
  </si>
  <si>
    <t>2024-10-09 19:58:20</t>
  </si>
  <si>
    <t>Adesh</t>
  </si>
  <si>
    <t>MH08AW2429</t>
  </si>
  <si>
    <t>18877</t>
  </si>
  <si>
    <t>MD2AG30EXLCL1511319</t>
  </si>
  <si>
    <t>JLXCLL02294</t>
  </si>
  <si>
    <t>2024-10-09 19:59:49</t>
  </si>
  <si>
    <t>9400</t>
  </si>
  <si>
    <t>2024-10-09 20:06:20</t>
  </si>
  <si>
    <t>ATHARVA JOSHI</t>
  </si>
  <si>
    <t>MH14HA7139</t>
  </si>
  <si>
    <t>8354</t>
  </si>
  <si>
    <t>MD626H67052E40219</t>
  </si>
  <si>
    <t>AG7E12X164207</t>
  </si>
  <si>
    <t>2024-10-09 20:00:37</t>
  </si>
  <si>
    <t>MH12MM912</t>
  </si>
  <si>
    <t>MET0000DAATJ002460</t>
  </si>
  <si>
    <t>MG49M311G558</t>
  </si>
  <si>
    <t>2024-10-13 15:24:04</t>
  </si>
  <si>
    <t>VAIBHAV MORE</t>
  </si>
  <si>
    <t>MH05BB8893</t>
  </si>
  <si>
    <t>2024-10-09 20:02:32</t>
  </si>
  <si>
    <t>SHRERAM</t>
  </si>
  <si>
    <t>TN76J6162</t>
  </si>
  <si>
    <t>69451</t>
  </si>
  <si>
    <t>2024-09-20 20:33:08</t>
  </si>
  <si>
    <t>VRAJESH PITHADIYA</t>
  </si>
  <si>
    <t>MH12RQ9467</t>
  </si>
  <si>
    <t>2024-10-09 20:04:12</t>
  </si>
  <si>
    <t>PRIYANKA JAIN</t>
  </si>
  <si>
    <t>MH20FA2226</t>
  </si>
  <si>
    <t>28832</t>
  </si>
  <si>
    <t>2024-10-09 20:05:54</t>
  </si>
  <si>
    <t>NAGESH KHEMNAR</t>
  </si>
  <si>
    <t>MH14CB5903</t>
  </si>
  <si>
    <t>11921</t>
  </si>
  <si>
    <t>RUSTY</t>
  </si>
  <si>
    <t>JFME4031446</t>
  </si>
  <si>
    <t>2024-09-16 11:43:25</t>
  </si>
  <si>
    <t>NISHANT BHISALE</t>
  </si>
  <si>
    <t>MH12SS4063</t>
  </si>
  <si>
    <t>30384</t>
  </si>
  <si>
    <t>MD626AK3XL2B15732</t>
  </si>
  <si>
    <t>AK3BL214519</t>
  </si>
  <si>
    <t>2024-10-09 20:07:23</t>
  </si>
  <si>
    <t>Namdev</t>
  </si>
  <si>
    <t>MH26W6359</t>
  </si>
  <si>
    <t>2113</t>
  </si>
  <si>
    <t>2024-11-10 20:24:04</t>
  </si>
  <si>
    <t>MH12WN9504</t>
  </si>
  <si>
    <t>2164</t>
  </si>
  <si>
    <t>ME4JK156LRW571876</t>
  </si>
  <si>
    <t>JK15EW4471644</t>
  </si>
  <si>
    <t>2024-10-09 20:08:38</t>
  </si>
  <si>
    <t>29227</t>
  </si>
  <si>
    <t>2024-08-28 20:28:22</t>
  </si>
  <si>
    <t xml:space="preserve">AJIT BORALKAR </t>
  </si>
  <si>
    <t>MH26BG2986</t>
  </si>
  <si>
    <t>42596</t>
  </si>
  <si>
    <t>2024-10-09 20:13:00</t>
  </si>
  <si>
    <t xml:space="preserve">AMIT SURYAVANSHI </t>
  </si>
  <si>
    <t>MH42BD2980</t>
  </si>
  <si>
    <t>16867</t>
  </si>
  <si>
    <t>ME4914HMG565846</t>
  </si>
  <si>
    <t>JF91EG1564834</t>
  </si>
  <si>
    <t>2024-10-09 20:15:04</t>
  </si>
  <si>
    <t>58992</t>
  </si>
  <si>
    <t>2024-09-13 19:57:47</t>
  </si>
  <si>
    <t xml:space="preserve">MAHESH </t>
  </si>
  <si>
    <t>MH16DB1409</t>
  </si>
  <si>
    <t>27943</t>
  </si>
  <si>
    <t>48 ₹</t>
  </si>
  <si>
    <t>2024-10-09 20:03:15</t>
  </si>
  <si>
    <t>2024-10-09 20:17:16</t>
  </si>
  <si>
    <t>DARSHIKA</t>
  </si>
  <si>
    <t>MH27CD9576</t>
  </si>
  <si>
    <t>22968</t>
  </si>
  <si>
    <t>MD626AG3SH2H75676</t>
  </si>
  <si>
    <t>AG3GH2068559</t>
  </si>
  <si>
    <t>2024-10-09 20:19:11</t>
  </si>
  <si>
    <t>15699</t>
  </si>
  <si>
    <t>2024-10-09 20:20:43</t>
  </si>
  <si>
    <t>SWPANIL CHITNIS</t>
  </si>
  <si>
    <t>MH12KV1707</t>
  </si>
  <si>
    <t>56652</t>
  </si>
  <si>
    <t>ME4JC36KB7388229</t>
  </si>
  <si>
    <t>JC36E73276609</t>
  </si>
  <si>
    <t>2024-10-09 20:37:35</t>
  </si>
  <si>
    <t>42182</t>
  </si>
  <si>
    <t>2024-10-09 20:54:50</t>
  </si>
  <si>
    <t>MH14HP7029</t>
  </si>
  <si>
    <t>16819</t>
  </si>
  <si>
    <t>MD626AG31K2D00159</t>
  </si>
  <si>
    <t>2024-10-09 20:50:28</t>
  </si>
  <si>
    <t>MH12LB2984</t>
  </si>
  <si>
    <t>2024-10-09 20:51:46</t>
  </si>
  <si>
    <t>11552</t>
  </si>
  <si>
    <t>2024-10-09 20:53:09</t>
  </si>
  <si>
    <t>4474</t>
  </si>
  <si>
    <t>2024-10-09 20:57:05</t>
  </si>
  <si>
    <t>54943</t>
  </si>
  <si>
    <t>2024-10-09 20:58:29</t>
  </si>
  <si>
    <t>MH14CH1363</t>
  </si>
  <si>
    <t>44246</t>
  </si>
  <si>
    <t>2024-10-09 20:59:40</t>
  </si>
  <si>
    <t>ABHIMANYU PRASAD</t>
  </si>
  <si>
    <t>MH14HA9821</t>
  </si>
  <si>
    <t>10530</t>
  </si>
  <si>
    <t>2024-10-09 21:02:57</t>
  </si>
  <si>
    <t>MAHESH</t>
  </si>
  <si>
    <t>MH25AX4217</t>
  </si>
  <si>
    <t>24947</t>
  </si>
  <si>
    <t>2024-10-09 20:01:07</t>
  </si>
  <si>
    <t>NISHANT</t>
  </si>
  <si>
    <t>MH26AZ6159</t>
  </si>
  <si>
    <t>26608</t>
  </si>
  <si>
    <t xml:space="preserve">ME4JF50 RUSTY </t>
  </si>
  <si>
    <t>JF50E43360158</t>
  </si>
  <si>
    <t>2024-11-10 20:24:40</t>
  </si>
  <si>
    <t>MH14HG8298</t>
  </si>
  <si>
    <t>25356</t>
  </si>
  <si>
    <t>2024-11-10 20:01:53</t>
  </si>
  <si>
    <t>Savita Mustapure</t>
  </si>
  <si>
    <t>MH12RZ9336</t>
  </si>
  <si>
    <t>5519</t>
  </si>
  <si>
    <t>ME4JF022JKW00210</t>
  </si>
  <si>
    <t>JF92E11020186</t>
  </si>
  <si>
    <t>2024-08-28 19:19:36</t>
  </si>
  <si>
    <t>40647</t>
  </si>
  <si>
    <t>2024-08-29 21:02:02</t>
  </si>
  <si>
    <t xml:space="preserve">BHAVISKAR </t>
  </si>
  <si>
    <t>MH14FV6511</t>
  </si>
  <si>
    <t>11237</t>
  </si>
  <si>
    <t>29 ₹</t>
  </si>
  <si>
    <t>MBLHA11ATGGJ04169</t>
  </si>
  <si>
    <t>HA11EJGGH07248</t>
  </si>
  <si>
    <t>2024-08-28 20:24:36</t>
  </si>
  <si>
    <t xml:space="preserve">ANURADHA </t>
  </si>
  <si>
    <t>MH12EN1665</t>
  </si>
  <si>
    <t>74148</t>
  </si>
  <si>
    <t>ME4JF113K78002053</t>
  </si>
  <si>
    <t>JF11E6063496</t>
  </si>
  <si>
    <t>2024-08-28 20:23:50</t>
  </si>
  <si>
    <t xml:space="preserve">ANIRUDDHA </t>
  </si>
  <si>
    <t>MH31EW8159</t>
  </si>
  <si>
    <t>32143</t>
  </si>
  <si>
    <t>2024-08-28 20:37:42</t>
  </si>
  <si>
    <t>7850</t>
  </si>
  <si>
    <t>2024-08-29 20:59:21</t>
  </si>
  <si>
    <t>43019</t>
  </si>
  <si>
    <t>2024-10-09 20:16:21</t>
  </si>
  <si>
    <t>MH14AA955</t>
  </si>
  <si>
    <t>7990</t>
  </si>
  <si>
    <t>2024-08-28 20:22:48</t>
  </si>
  <si>
    <t xml:space="preserve">PRITHVIRAJ DESHMUKH </t>
  </si>
  <si>
    <t>MH21AJ0177</t>
  </si>
  <si>
    <t>6286</t>
  </si>
  <si>
    <t>JF50E80095172</t>
  </si>
  <si>
    <t>2024-08-28 20:25:26</t>
  </si>
  <si>
    <t>49779</t>
  </si>
  <si>
    <t>2024-08-28 20:27:14</t>
  </si>
  <si>
    <t>HIMANSHU SHARMA</t>
  </si>
  <si>
    <t>MH12SM9013</t>
  </si>
  <si>
    <t xml:space="preserve">Jawa Forty Two </t>
  </si>
  <si>
    <t>08873</t>
  </si>
  <si>
    <t>MZDKW1C16L1A29000</t>
  </si>
  <si>
    <t>NAL030094</t>
  </si>
  <si>
    <t>2024-08-28 20:36:45</t>
  </si>
  <si>
    <t>66276</t>
  </si>
  <si>
    <t>2024-08-28 20:40:53</t>
  </si>
  <si>
    <t>9861</t>
  </si>
  <si>
    <t>2024-08-28 20:41:36</t>
  </si>
  <si>
    <t>2024-08-28 20:45:13</t>
  </si>
  <si>
    <t>Rajesh</t>
  </si>
  <si>
    <t>MH14ET0821</t>
  </si>
  <si>
    <t>40041</t>
  </si>
  <si>
    <t>MBLJF32ADEGM110548</t>
  </si>
  <si>
    <t>JF32AAEGM15658</t>
  </si>
  <si>
    <t>2024-08-28 20:49:36</t>
  </si>
  <si>
    <t>ANUJ NAGPAL</t>
  </si>
  <si>
    <t>MH14HL9455</t>
  </si>
  <si>
    <t>19982</t>
  </si>
  <si>
    <t>2024-09-16 11:40:11</t>
  </si>
  <si>
    <t>21006</t>
  </si>
  <si>
    <t>2024-09-14 20:01:56</t>
  </si>
  <si>
    <t>Nikhil Nair</t>
  </si>
  <si>
    <t>MH12LX9983</t>
  </si>
  <si>
    <t>20950</t>
  </si>
  <si>
    <t>2024-09-14 20:04:49</t>
  </si>
  <si>
    <t>MH12TT1295</t>
  </si>
  <si>
    <t>7614</t>
  </si>
  <si>
    <t>2024-09-16 11:39:22</t>
  </si>
  <si>
    <t>MP09QN1980</t>
  </si>
  <si>
    <t>16664</t>
  </si>
  <si>
    <t>2024-08-30 12:47:28</t>
  </si>
  <si>
    <t>MH42AT6189</t>
  </si>
  <si>
    <t>43077</t>
  </si>
  <si>
    <t>22 ₹</t>
  </si>
  <si>
    <t>2024-08-28 20:41:07</t>
  </si>
  <si>
    <t>SB HIREMAT</t>
  </si>
  <si>
    <t>MH14EN5127</t>
  </si>
  <si>
    <t>15752</t>
  </si>
  <si>
    <t>2024-08-28 20:21:14</t>
  </si>
  <si>
    <t>Mahesh Patil</t>
  </si>
  <si>
    <t>MH14EX7143</t>
  </si>
  <si>
    <t>40006</t>
  </si>
  <si>
    <t>2024-08-29 21:01:25</t>
  </si>
  <si>
    <t>MH14ES2332</t>
  </si>
  <si>
    <t>57917</t>
  </si>
  <si>
    <t>2025-03-05 17:48:05</t>
  </si>
  <si>
    <t>2024-08-30 12:50:26</t>
  </si>
  <si>
    <t>MAYURI BAGADE</t>
  </si>
  <si>
    <t>MH11CC9685</t>
  </si>
  <si>
    <t>2024-08-30 12:49:20</t>
  </si>
  <si>
    <t>2024-09-14 20:02:46</t>
  </si>
  <si>
    <t>2024-08-29 21:00:33</t>
  </si>
  <si>
    <t>KAMBLE</t>
  </si>
  <si>
    <t>MH13LF1844</t>
  </si>
  <si>
    <t>27243</t>
  </si>
  <si>
    <t>2024-09-14 20:47:45</t>
  </si>
  <si>
    <t>29291</t>
  </si>
  <si>
    <t>2024-09-14 20:06:12</t>
  </si>
  <si>
    <t>44065</t>
  </si>
  <si>
    <t>2024-08-30 12:37:31</t>
  </si>
  <si>
    <t>34302</t>
  </si>
  <si>
    <t>2024-08-30 12:39:15</t>
  </si>
  <si>
    <t>2024-08-30 12:38:08</t>
  </si>
  <si>
    <t xml:space="preserve">SATYAJEET </t>
  </si>
  <si>
    <t>MH14HX5170</t>
  </si>
  <si>
    <t>8617</t>
  </si>
  <si>
    <t>2024-08-30 12:48:26</t>
  </si>
  <si>
    <t>Vikas Madane</t>
  </si>
  <si>
    <t>MH14FJ9019</t>
  </si>
  <si>
    <t>25746</t>
  </si>
  <si>
    <t>ME4JF493LF8090047</t>
  </si>
  <si>
    <t>JF49E81103763</t>
  </si>
  <si>
    <t>2025-03-26 19:36:35</t>
  </si>
  <si>
    <t>SANJEEV TIWARI</t>
  </si>
  <si>
    <t>MH14AX8152</t>
  </si>
  <si>
    <t>50403</t>
  </si>
  <si>
    <t>06L16C10379</t>
  </si>
  <si>
    <t>06E11L09790</t>
  </si>
  <si>
    <t>2025-03-26 19:40:31</t>
  </si>
  <si>
    <t>SMIT YENKAR</t>
  </si>
  <si>
    <t>MH14KG7545</t>
  </si>
  <si>
    <t>16430</t>
  </si>
  <si>
    <t>2024-09-14 20:02:16</t>
  </si>
  <si>
    <t>ANUSHREE KALE</t>
  </si>
  <si>
    <t>MH27DK6546</t>
  </si>
  <si>
    <t>3511</t>
  </si>
  <si>
    <t>MF626CG57PB34157</t>
  </si>
  <si>
    <t>EG5BP1903585</t>
  </si>
  <si>
    <t>2025-03-26 19:37:27</t>
  </si>
  <si>
    <t xml:space="preserve">KALPESH </t>
  </si>
  <si>
    <t>MH14FL4075</t>
  </si>
  <si>
    <t>89142</t>
  </si>
  <si>
    <t>2025-03-26 19:38:33</t>
  </si>
  <si>
    <t>RUPALI</t>
  </si>
  <si>
    <t>MH14CB6506</t>
  </si>
  <si>
    <t>34119</t>
  </si>
  <si>
    <t>023 ₹</t>
  </si>
  <si>
    <t>JF16BAGE08848</t>
  </si>
  <si>
    <t>2024-09-14 20:06:53</t>
  </si>
  <si>
    <t xml:space="preserve">UTKARSH </t>
  </si>
  <si>
    <t>MH12PL6821</t>
  </si>
  <si>
    <t>31356</t>
  </si>
  <si>
    <t>MD2A55F12HCD03093</t>
  </si>
  <si>
    <t>J1CH064896</t>
  </si>
  <si>
    <t>2025-03-26 19:39:53</t>
  </si>
  <si>
    <t>2024-09-18 20:45:03</t>
  </si>
  <si>
    <t>DEBOTTOM DE</t>
  </si>
  <si>
    <t>MH49X2262</t>
  </si>
  <si>
    <t>2024-08-30 20:08:23</t>
  </si>
  <si>
    <t>8806</t>
  </si>
  <si>
    <t>2024-08-30 20:08:07</t>
  </si>
  <si>
    <t>Mukesh Rane</t>
  </si>
  <si>
    <t>MH15ET5278</t>
  </si>
  <si>
    <t>18691</t>
  </si>
  <si>
    <t>MBLJF32AEEGL00900</t>
  </si>
  <si>
    <t>2024-08-30 20:06:18</t>
  </si>
  <si>
    <t>24482</t>
  </si>
  <si>
    <t>2024-08-30 20:06:54</t>
  </si>
  <si>
    <t xml:space="preserve">ANUJ BHATNAGAR </t>
  </si>
  <si>
    <t>MH14HN6467</t>
  </si>
  <si>
    <t>ME4JF50AAKU446120</t>
  </si>
  <si>
    <t>JF50EU7445062</t>
  </si>
  <si>
    <t>2024-08-30 19:07:27</t>
  </si>
  <si>
    <t>Amit Sonawane</t>
  </si>
  <si>
    <t>MH14FP4404</t>
  </si>
  <si>
    <t>58044</t>
  </si>
  <si>
    <t>MD626BG42G1C91466</t>
  </si>
  <si>
    <t>2025-03-05 17:48:52</t>
  </si>
  <si>
    <t>AMOL INGLE</t>
  </si>
  <si>
    <t>MH12PK8895</t>
  </si>
  <si>
    <t>49444</t>
  </si>
  <si>
    <t>ME4JC654FHT04286</t>
  </si>
  <si>
    <t>JC65ET1078566</t>
  </si>
  <si>
    <t>2024-09-04 20:52:01</t>
  </si>
  <si>
    <t>40482</t>
  </si>
  <si>
    <t>2024-09-06 20:16:07</t>
  </si>
  <si>
    <t>ADESH CHAVAN</t>
  </si>
  <si>
    <t>MH14KH9818</t>
  </si>
  <si>
    <t>6414</t>
  </si>
  <si>
    <t>MD626EG59N1K08040</t>
  </si>
  <si>
    <t>GG5KN1507607</t>
  </si>
  <si>
    <t>2024-11-10 20:00:33</t>
  </si>
  <si>
    <t>Ajay Javkar</t>
  </si>
  <si>
    <t>MH28BP3546</t>
  </si>
  <si>
    <t>7011</t>
  </si>
  <si>
    <t>ME4KC401MMA335539</t>
  </si>
  <si>
    <t>KC40EA0335533</t>
  </si>
  <si>
    <t>2024-08-30 19:09:14</t>
  </si>
  <si>
    <t xml:space="preserve">M/S POSITIVE ENTERPRISE </t>
  </si>
  <si>
    <t>MH14DV9097</t>
  </si>
  <si>
    <t>14744</t>
  </si>
  <si>
    <t>2024-09-14 20:07:50</t>
  </si>
  <si>
    <t>Aditya Umale</t>
  </si>
  <si>
    <t>MH08T6674</t>
  </si>
  <si>
    <t>375</t>
  </si>
  <si>
    <t>ME4JC366E98265470</t>
  </si>
  <si>
    <t>2024-09-16 11:33:38</t>
  </si>
  <si>
    <t>SAVITA THORAT</t>
  </si>
  <si>
    <t>MH14JN1102</t>
  </si>
  <si>
    <t>14190</t>
  </si>
  <si>
    <t>ME4JF916BMD011328</t>
  </si>
  <si>
    <t>JF91ED2011338</t>
  </si>
  <si>
    <t>2024-09-16 11:36:15</t>
  </si>
  <si>
    <t>Rohit Indulkar</t>
  </si>
  <si>
    <t>CG11BG7011</t>
  </si>
  <si>
    <t>19166</t>
  </si>
  <si>
    <t>2024-09-16 11:38:22</t>
  </si>
  <si>
    <t>MH14EL1432</t>
  </si>
  <si>
    <t>ME4JF211898676086</t>
  </si>
  <si>
    <t>JF21E0098635</t>
  </si>
  <si>
    <t>2024-09-16 11:42:13</t>
  </si>
  <si>
    <t>Sumit Pande</t>
  </si>
  <si>
    <t>MH20FC8116</t>
  </si>
  <si>
    <t>22017</t>
  </si>
  <si>
    <t>2024-08-30 20:09:09</t>
  </si>
  <si>
    <t>Sachin Walukar</t>
  </si>
  <si>
    <t>MH14EV1417</t>
  </si>
  <si>
    <t>40005</t>
  </si>
  <si>
    <t>MD62BG4XFJA12439</t>
  </si>
  <si>
    <t>2024-08-30 19:11:11</t>
  </si>
  <si>
    <t>22280</t>
  </si>
  <si>
    <t>2024-09-06 12:05:15</t>
  </si>
  <si>
    <t>22456</t>
  </si>
  <si>
    <t>2024-11-13 19:35:39</t>
  </si>
  <si>
    <t>Nitin Thopte</t>
  </si>
  <si>
    <t>MH14EJ9337</t>
  </si>
  <si>
    <t>36546</t>
  </si>
  <si>
    <t>95 ₹</t>
  </si>
  <si>
    <t>2024-09-16 11:41:13</t>
  </si>
  <si>
    <t>47508</t>
  </si>
  <si>
    <t>2024-11-10 20:02:16</t>
  </si>
  <si>
    <t>MH12KB1463</t>
  </si>
  <si>
    <t>81247</t>
  </si>
  <si>
    <t>ME4JF301ED8344780</t>
  </si>
  <si>
    <t>JF50E80244105</t>
  </si>
  <si>
    <t>2024-11-10 20:02:52</t>
  </si>
  <si>
    <t>MH12TG9184</t>
  </si>
  <si>
    <t>17246</t>
  </si>
  <si>
    <t>2024-09-16 11:33:05</t>
  </si>
  <si>
    <t>5269</t>
  </si>
  <si>
    <t>2024-11-10 20:26:48</t>
  </si>
  <si>
    <t>Pawar</t>
  </si>
  <si>
    <t>MH14BY2550</t>
  </si>
  <si>
    <t>11130</t>
  </si>
  <si>
    <t>2024-11-10 20:27:51</t>
  </si>
  <si>
    <t>36776</t>
  </si>
  <si>
    <t>2024-11-10 20:34:09</t>
  </si>
  <si>
    <t>Pathan</t>
  </si>
  <si>
    <t>MH10AV8799</t>
  </si>
  <si>
    <t>23198</t>
  </si>
  <si>
    <t>ME4C09CMA8068082</t>
  </si>
  <si>
    <t>KC09E6070980</t>
  </si>
  <si>
    <t>2024-11-10 21:01:21</t>
  </si>
  <si>
    <t>Sheshadri M</t>
  </si>
  <si>
    <t>MH14EW9662</t>
  </si>
  <si>
    <t>22521</t>
  </si>
  <si>
    <t>ME121C0J2F2064093</t>
  </si>
  <si>
    <t>21CJ064079</t>
  </si>
  <si>
    <t>2024-09-18 20:39:28</t>
  </si>
  <si>
    <t>SONAL NANDGUDE</t>
  </si>
  <si>
    <t>MH14CZ5769</t>
  </si>
  <si>
    <t>28725</t>
  </si>
  <si>
    <t>ME4JC448HB7814259</t>
  </si>
  <si>
    <t>JC44ES014272</t>
  </si>
  <si>
    <t>2024-10-11 11:57:30</t>
  </si>
  <si>
    <t>4164</t>
  </si>
  <si>
    <t>2024-10-11 11:57:51</t>
  </si>
  <si>
    <t xml:space="preserve">SANGRAM </t>
  </si>
  <si>
    <t>MH12TL3224</t>
  </si>
  <si>
    <t>11857</t>
  </si>
  <si>
    <t>MD626CG53M1D29006</t>
  </si>
  <si>
    <t>DGDM1108646</t>
  </si>
  <si>
    <t>2024-09-18 20:41:51</t>
  </si>
  <si>
    <t>8442</t>
  </si>
  <si>
    <t>2024-11-11 19:19:09</t>
  </si>
  <si>
    <t xml:space="preserve">INAMDAR </t>
  </si>
  <si>
    <t>MH14JZ8617</t>
  </si>
  <si>
    <t>18442</t>
  </si>
  <si>
    <t>ME4JF41ACNW10774</t>
  </si>
  <si>
    <t>JF91EW7107108</t>
  </si>
  <si>
    <t>2024-09-18 20:41:27</t>
  </si>
  <si>
    <t>87907</t>
  </si>
  <si>
    <t>2024-11-11 19:19:42</t>
  </si>
  <si>
    <t>Vinit</t>
  </si>
  <si>
    <t>MH14HC0768</t>
  </si>
  <si>
    <t>4742</t>
  </si>
  <si>
    <t>ME4JF50EAH4225U68</t>
  </si>
  <si>
    <t>JF50EU7225927</t>
  </si>
  <si>
    <t>2024-09-25 16:40:29</t>
  </si>
  <si>
    <t>23042</t>
  </si>
  <si>
    <t>2024-11-11 19:24:34</t>
  </si>
  <si>
    <t>G.R.KHATRI</t>
  </si>
  <si>
    <t>MH14CN6634</t>
  </si>
  <si>
    <t>58221</t>
  </si>
  <si>
    <t>2024-10-11 12:23:13</t>
  </si>
  <si>
    <t>NIRAJ</t>
  </si>
  <si>
    <t>MH14AT1371</t>
  </si>
  <si>
    <t>55000</t>
  </si>
  <si>
    <t>06B08M27542</t>
  </si>
  <si>
    <t>06B09C38845</t>
  </si>
  <si>
    <t>2024-10-11 13:00:00</t>
  </si>
  <si>
    <t>SAHIL SARAF</t>
  </si>
  <si>
    <t>MH19BZ1898</t>
  </si>
  <si>
    <t>2024-11-11 19:22:07</t>
  </si>
  <si>
    <t>ANIKET PUNDE</t>
  </si>
  <si>
    <t>MH14KG3522</t>
  </si>
  <si>
    <t>34247</t>
  </si>
  <si>
    <t>ME1RG6825N0015675</t>
  </si>
  <si>
    <t>G3N4E02B6976</t>
  </si>
  <si>
    <t>2024-11-11 19:23:56</t>
  </si>
  <si>
    <t xml:space="preserve">Shree </t>
  </si>
  <si>
    <t>MH14EW8529</t>
  </si>
  <si>
    <t>2024-11-11 19:26:10</t>
  </si>
  <si>
    <t>72417</t>
  </si>
  <si>
    <t>2025-03-05 20:07:15</t>
  </si>
  <si>
    <t>44900</t>
  </si>
  <si>
    <t>2025-03-27 09:49:41</t>
  </si>
  <si>
    <t>12301</t>
  </si>
  <si>
    <t>2025-03-05 20:14:20</t>
  </si>
  <si>
    <t>Kapil Lahar</t>
  </si>
  <si>
    <t>MH48Y1209</t>
  </si>
  <si>
    <t>21GF021251</t>
  </si>
  <si>
    <t>2025-03-05 20:10:16</t>
  </si>
  <si>
    <t>2025-03-05 20:15:02</t>
  </si>
  <si>
    <t>7100</t>
  </si>
  <si>
    <t>2024-10-13 15:19:09</t>
  </si>
  <si>
    <t>18630</t>
  </si>
  <si>
    <t>90 ₹</t>
  </si>
  <si>
    <t>2025-03-05 20:15:18</t>
  </si>
  <si>
    <t>18526</t>
  </si>
  <si>
    <t>2024-11-11 19:23:08</t>
  </si>
  <si>
    <t xml:space="preserve">SHANTANU </t>
  </si>
  <si>
    <t>MH31DT1959</t>
  </si>
  <si>
    <t>25901</t>
  </si>
  <si>
    <t>2025-03-05 20:25:02</t>
  </si>
  <si>
    <t xml:space="preserve">Akshay Badgujar </t>
  </si>
  <si>
    <t>MH15EQ1351</t>
  </si>
  <si>
    <t>45293</t>
  </si>
  <si>
    <t>2025-03-05 20:24:02</t>
  </si>
  <si>
    <t>Anup</t>
  </si>
  <si>
    <t>MH12MZ7971</t>
  </si>
  <si>
    <t>24985</t>
  </si>
  <si>
    <t>ME4JF505DG4077838</t>
  </si>
  <si>
    <t>JF50E43070849</t>
  </si>
  <si>
    <t>2024-10-11 11:11:16</t>
  </si>
  <si>
    <t>16282</t>
  </si>
  <si>
    <t>2025-03-05 20:22:21</t>
  </si>
  <si>
    <t>Sanjeev</t>
  </si>
  <si>
    <t>MH14GT4083</t>
  </si>
  <si>
    <t>13741</t>
  </si>
  <si>
    <t>MBLJFW011H4M13421</t>
  </si>
  <si>
    <t>2024-10-11 11:16:39</t>
  </si>
  <si>
    <t>42605</t>
  </si>
  <si>
    <t>2024-10-11 11:54:11</t>
  </si>
  <si>
    <t>Bewin</t>
  </si>
  <si>
    <t>MH14KG5649</t>
  </si>
  <si>
    <t>18123</t>
  </si>
  <si>
    <t>MD637GESZN2H06500</t>
  </si>
  <si>
    <t>GEHN2502546</t>
  </si>
  <si>
    <t>2024-10-11 11:55:36</t>
  </si>
  <si>
    <t>Satya Neogi</t>
  </si>
  <si>
    <t>MH12RJ9582</t>
  </si>
  <si>
    <t>2025-03-05 20:29:45</t>
  </si>
  <si>
    <t>Arun</t>
  </si>
  <si>
    <t>KL08BH9440</t>
  </si>
  <si>
    <t>9419</t>
  </si>
  <si>
    <t>2025-03-05 20:30:18</t>
  </si>
  <si>
    <t>TRUPTI GANVIR</t>
  </si>
  <si>
    <t>MH49V0321</t>
  </si>
  <si>
    <t>53477</t>
  </si>
  <si>
    <t>ME4JF502JE5352182</t>
  </si>
  <si>
    <t>JF50ET1352450</t>
  </si>
  <si>
    <t>2024-10-11 11:59:13</t>
  </si>
  <si>
    <t>AMOL VARPE</t>
  </si>
  <si>
    <t>MH14CV6784</t>
  </si>
  <si>
    <t>68700</t>
  </si>
  <si>
    <t>2024-10-11 11:59:44</t>
  </si>
  <si>
    <t xml:space="preserve">SASHIKANT </t>
  </si>
  <si>
    <t>MH14ES4266</t>
  </si>
  <si>
    <t>24245</t>
  </si>
  <si>
    <t>2024-10-11 12:23:42</t>
  </si>
  <si>
    <t xml:space="preserve">ANIKET ANAND </t>
  </si>
  <si>
    <t>MH14GG1133</t>
  </si>
  <si>
    <t>2024-10-11 12:24:11</t>
  </si>
  <si>
    <t>ATHARV</t>
  </si>
  <si>
    <t>MH10BT958</t>
  </si>
  <si>
    <t>64088</t>
  </si>
  <si>
    <t>2024-11-11 19:28:37</t>
  </si>
  <si>
    <t xml:space="preserve">Chaudhary </t>
  </si>
  <si>
    <t>MH12PX6281</t>
  </si>
  <si>
    <t>66231</t>
  </si>
  <si>
    <t>2024-09-18 20:43:10</t>
  </si>
  <si>
    <t>MH12LS1979</t>
  </si>
  <si>
    <t>15927</t>
  </si>
  <si>
    <t>ME4JF502HET70009</t>
  </si>
  <si>
    <t>JF50ET1697601</t>
  </si>
  <si>
    <t>2024-10-11 13:04:51</t>
  </si>
  <si>
    <t>REJOY</t>
  </si>
  <si>
    <t>MH14EV7317</t>
  </si>
  <si>
    <t>34004</t>
  </si>
  <si>
    <t>MD626BG41F1A37004</t>
  </si>
  <si>
    <t>BGAAF1428153</t>
  </si>
  <si>
    <t>2025-03-05 20:30:51</t>
  </si>
  <si>
    <t>RAHUL GADGE</t>
  </si>
  <si>
    <t>MH14KK3321</t>
  </si>
  <si>
    <t>23899</t>
  </si>
  <si>
    <t>2024-10-11 13:03:12</t>
  </si>
  <si>
    <t>16372</t>
  </si>
  <si>
    <t>2024-10-11 13:03:33</t>
  </si>
  <si>
    <t>2024-10-11 13:05:09</t>
  </si>
  <si>
    <t>PALASH SALVE</t>
  </si>
  <si>
    <t>MH14FQ6477</t>
  </si>
  <si>
    <t>51192</t>
  </si>
  <si>
    <t>2024-10-11 11:58:18</t>
  </si>
  <si>
    <t>MH12PV9671</t>
  </si>
  <si>
    <t>30300</t>
  </si>
  <si>
    <t>2024-10-11 13:03:56</t>
  </si>
  <si>
    <t>Hemant Patel</t>
  </si>
  <si>
    <t>MH14GL8564</t>
  </si>
  <si>
    <t>17998</t>
  </si>
  <si>
    <t>MB8DP11AHH8501218</t>
  </si>
  <si>
    <t>2024-10-11 13:04:33</t>
  </si>
  <si>
    <t>CG04KX6004</t>
  </si>
  <si>
    <t>29890</t>
  </si>
  <si>
    <t>2024-10-11 13:10:21</t>
  </si>
  <si>
    <t>Avishkar Chendge</t>
  </si>
  <si>
    <t>MH43BJ8696</t>
  </si>
  <si>
    <t>10966</t>
  </si>
  <si>
    <t>2024-09-18 20:35:37</t>
  </si>
  <si>
    <t>Rishu</t>
  </si>
  <si>
    <t>UP25BL3099</t>
  </si>
  <si>
    <t>42574</t>
  </si>
  <si>
    <t>2024-09-18 20:34:18</t>
  </si>
  <si>
    <t xml:space="preserve">Shivam </t>
  </si>
  <si>
    <t>MH14KL7090</t>
  </si>
  <si>
    <t>7853</t>
  </si>
  <si>
    <t>2024-09-18 20:34:02</t>
  </si>
  <si>
    <t>17523</t>
  </si>
  <si>
    <t>2024-10-11 13:04:14</t>
  </si>
  <si>
    <t>JAYASHREE INGOLE</t>
  </si>
  <si>
    <t>MH14AR1621</t>
  </si>
  <si>
    <t>56466</t>
  </si>
  <si>
    <t>2024-10-11 13:05:52</t>
  </si>
  <si>
    <t>ROHIT GUPTA</t>
  </si>
  <si>
    <t>MP04VE9926</t>
  </si>
  <si>
    <t>16267</t>
  </si>
  <si>
    <t>MD2BX0NRK14363</t>
  </si>
  <si>
    <t>DHXRNK62530</t>
  </si>
  <si>
    <t>2024-10-11 13:10:36</t>
  </si>
  <si>
    <t>MH12TP2518</t>
  </si>
  <si>
    <t>7310</t>
  </si>
  <si>
    <t>MD626EG50M1BO685</t>
  </si>
  <si>
    <t>GG55BM1601802</t>
  </si>
  <si>
    <t>2024-10-11 13:11:14</t>
  </si>
  <si>
    <t>Trupti Navale</t>
  </si>
  <si>
    <t>MH12VS0682</t>
  </si>
  <si>
    <t>2522</t>
  </si>
  <si>
    <t>MD626CG5XP1F17042</t>
  </si>
  <si>
    <t>DG5FP1109561</t>
  </si>
  <si>
    <t>2024-10-11 13:12:11</t>
  </si>
  <si>
    <t xml:space="preserve">Shekhar </t>
  </si>
  <si>
    <t>MH14HX2495</t>
  </si>
  <si>
    <t>19499</t>
  </si>
  <si>
    <t>2024-10-11 13:11:50</t>
  </si>
  <si>
    <t>Mithilesh</t>
  </si>
  <si>
    <t>MH14FJ8827</t>
  </si>
  <si>
    <t>37826</t>
  </si>
  <si>
    <t>MD2A11CZ5FCH96203</t>
  </si>
  <si>
    <t>DHZCFH69244</t>
  </si>
  <si>
    <t>2024-09-18 20:30:38</t>
  </si>
  <si>
    <t xml:space="preserve">Siddharth </t>
  </si>
  <si>
    <t>MH14GZ5988</t>
  </si>
  <si>
    <t>39678</t>
  </si>
  <si>
    <t>2024-10-13 14:46:10</t>
  </si>
  <si>
    <t xml:space="preserve">Rohit Patil </t>
  </si>
  <si>
    <t>MH12RH0802</t>
  </si>
  <si>
    <t>47352</t>
  </si>
  <si>
    <t>ME4JF50ALJU37660</t>
  </si>
  <si>
    <t>JF50EU7375653</t>
  </si>
  <si>
    <t>2024-09-18 20:30:05</t>
  </si>
  <si>
    <t>48216</t>
  </si>
  <si>
    <t>2024-09-18 20:45:44</t>
  </si>
  <si>
    <t>90842</t>
  </si>
  <si>
    <t>2024-09-18 20:33:31</t>
  </si>
  <si>
    <t>41494</t>
  </si>
  <si>
    <t>2024-10-13 14:50:11</t>
  </si>
  <si>
    <t>SHILPA DEVLE</t>
  </si>
  <si>
    <t>MH14EE3794</t>
  </si>
  <si>
    <t>42579</t>
  </si>
  <si>
    <t>2024-10-13 15:16:07</t>
  </si>
  <si>
    <t>MH11BQ4152</t>
  </si>
  <si>
    <t>48218</t>
  </si>
  <si>
    <t>ME4J331LD8615023</t>
  </si>
  <si>
    <t>JF30E80613957</t>
  </si>
  <si>
    <t>2024-09-18 20:36:50</t>
  </si>
  <si>
    <t>VEDANT KAKADE</t>
  </si>
  <si>
    <t>MH32AE7123</t>
  </si>
  <si>
    <t>37601</t>
  </si>
  <si>
    <t>2024-09-18 20:42:20</t>
  </si>
  <si>
    <t>13793</t>
  </si>
  <si>
    <t>2024-09-18 20:38:05</t>
  </si>
  <si>
    <t>VISHAL JAGTAP</t>
  </si>
  <si>
    <t>MH12PS8274</t>
  </si>
  <si>
    <t>ME1RGPH4429H081742</t>
  </si>
  <si>
    <t>G3J3E0126828</t>
  </si>
  <si>
    <t>2024-10-13 14:52:38</t>
  </si>
  <si>
    <t>9269</t>
  </si>
  <si>
    <t>2024-10-13 15:14:54</t>
  </si>
  <si>
    <t xml:space="preserve">VAIBHAV BHOSALE </t>
  </si>
  <si>
    <t>MH12FS2488</t>
  </si>
  <si>
    <t>5000</t>
  </si>
  <si>
    <t>2024-09-19 21:09:27</t>
  </si>
  <si>
    <t>AKASH GIRI</t>
  </si>
  <si>
    <t>MH14HN7327</t>
  </si>
  <si>
    <t>51494</t>
  </si>
  <si>
    <t>2024-10-13 13:31:22</t>
  </si>
  <si>
    <t>YASH HIRGUDE</t>
  </si>
  <si>
    <t>MH12HG8920</t>
  </si>
  <si>
    <t>92582</t>
  </si>
  <si>
    <t>2024-09-19 21:07:53</t>
  </si>
  <si>
    <t>29268</t>
  </si>
  <si>
    <t>2024-11-17 20:10:12</t>
  </si>
  <si>
    <t xml:space="preserve">Vinayak </t>
  </si>
  <si>
    <t>MH14GF2724</t>
  </si>
  <si>
    <t>05173</t>
  </si>
  <si>
    <t>2024-09-19 16:54:59</t>
  </si>
  <si>
    <t>Praveen muley</t>
  </si>
  <si>
    <t>MH14JF2497</t>
  </si>
  <si>
    <t>27807</t>
  </si>
  <si>
    <t>MD626CG59L1H37668</t>
  </si>
  <si>
    <t>DG5HL191067</t>
  </si>
  <si>
    <t>2024-09-19 21:08:45</t>
  </si>
  <si>
    <t>MH14DV5701</t>
  </si>
  <si>
    <t>2024-09-19 21:06:13</t>
  </si>
  <si>
    <t>MH19DA5053</t>
  </si>
  <si>
    <t>7859</t>
  </si>
  <si>
    <t>2024-09-19 21:07:21</t>
  </si>
  <si>
    <t>MH20FV8877</t>
  </si>
  <si>
    <t>31120</t>
  </si>
  <si>
    <t>2024-10-13 14:40:35</t>
  </si>
  <si>
    <t>MH40R1322</t>
  </si>
  <si>
    <t>30912</t>
  </si>
  <si>
    <t>2024-09-19 21:05:59</t>
  </si>
  <si>
    <t>80739</t>
  </si>
  <si>
    <t>2024-09-19 21:03:14</t>
  </si>
  <si>
    <t xml:space="preserve">Lalit Chaudhari </t>
  </si>
  <si>
    <t>MH14GQ1205</t>
  </si>
  <si>
    <t>60 ₹</t>
  </si>
  <si>
    <t>2024-09-19 21:05:40</t>
  </si>
  <si>
    <t>Sarthak</t>
  </si>
  <si>
    <t>UP23X4303</t>
  </si>
  <si>
    <t>38435</t>
  </si>
  <si>
    <t>MBLJFN029JG808002</t>
  </si>
  <si>
    <t>JF33ACJG807095</t>
  </si>
  <si>
    <t>2024-09-19 21:04:46</t>
  </si>
  <si>
    <t>1276</t>
  </si>
  <si>
    <t>2024-10-13 15:04:56</t>
  </si>
  <si>
    <t xml:space="preserve">RAVINDRA PATHAK </t>
  </si>
  <si>
    <t>MH12JT6680</t>
  </si>
  <si>
    <t>2024-11-11 19:21:28</t>
  </si>
  <si>
    <t>MAHADEV</t>
  </si>
  <si>
    <t>MH14DX2339</t>
  </si>
  <si>
    <t>103155</t>
  </si>
  <si>
    <t>2024-09-19 21:19:42</t>
  </si>
  <si>
    <t>52789</t>
  </si>
  <si>
    <t>2024-09-19 20:59:15</t>
  </si>
  <si>
    <t>MH42AD9563</t>
  </si>
  <si>
    <t>2024-09-19 20:59:47</t>
  </si>
  <si>
    <t>44618</t>
  </si>
  <si>
    <t>2024-09-20 20:30:58</t>
  </si>
  <si>
    <t>6362</t>
  </si>
  <si>
    <t>2024-09-20 20:22:01</t>
  </si>
  <si>
    <t>Hrishikesh Kulkarni</t>
  </si>
  <si>
    <t>MH14FN2630</t>
  </si>
  <si>
    <t>25760</t>
  </si>
  <si>
    <t>ME4JF505CGT209054</t>
  </si>
  <si>
    <t>2024-09-20 20:25:04</t>
  </si>
  <si>
    <t>Upendra Kolte</t>
  </si>
  <si>
    <t>MH14CT2224</t>
  </si>
  <si>
    <t>26156</t>
  </si>
  <si>
    <t>MD626AG48B1B09269</t>
  </si>
  <si>
    <t>OG4BB1112796</t>
  </si>
  <si>
    <t>2024-09-20 20:25:18</t>
  </si>
  <si>
    <t>MH12GH0464</t>
  </si>
  <si>
    <t>2024-10-13 14:47:28</t>
  </si>
  <si>
    <t xml:space="preserve">ANKIT KHEDKAR </t>
  </si>
  <si>
    <t>GA05N7435</t>
  </si>
  <si>
    <t>20703</t>
  </si>
  <si>
    <t>2024-10-13 14:48:25</t>
  </si>
  <si>
    <t>MH12PG2365</t>
  </si>
  <si>
    <t>27205</t>
  </si>
  <si>
    <t>ME4JF507EHU206607</t>
  </si>
  <si>
    <t>JF50EU5206841</t>
  </si>
  <si>
    <t>2024-09-18 20:32:04</t>
  </si>
  <si>
    <t xml:space="preserve">BHUSHAN MANDEKAR </t>
  </si>
  <si>
    <t>MH14JD3375</t>
  </si>
  <si>
    <t>20643</t>
  </si>
  <si>
    <t>2024-09-19 21:01:01</t>
  </si>
  <si>
    <t xml:space="preserve">SACHIN NIKAM </t>
  </si>
  <si>
    <t>MH12KG3074</t>
  </si>
  <si>
    <t>73821</t>
  </si>
  <si>
    <t>2024-09-19 21:12:00</t>
  </si>
  <si>
    <t>Saurav Jaiswal</t>
  </si>
  <si>
    <t>MH14GE3944</t>
  </si>
  <si>
    <t>28846</t>
  </si>
  <si>
    <t>2024-09-19 21:11:24</t>
  </si>
  <si>
    <t>PRANJWAL RAUT</t>
  </si>
  <si>
    <t>MH40AW3403</t>
  </si>
  <si>
    <t>Hero Passion Pro XTEC</t>
  </si>
  <si>
    <t>43092</t>
  </si>
  <si>
    <t>2024-10-12 11:03:33</t>
  </si>
  <si>
    <t>15997</t>
  </si>
  <si>
    <t>2024-09-21 20:50:21</t>
  </si>
  <si>
    <t>18311</t>
  </si>
  <si>
    <t>128 ₹</t>
  </si>
  <si>
    <t>2024-11-11 19:22:46</t>
  </si>
  <si>
    <t xml:space="preserve">SACHIN NAGARKAR </t>
  </si>
  <si>
    <t>MH14JF0221</t>
  </si>
  <si>
    <t>31246</t>
  </si>
  <si>
    <t>MD626EG56L1400797</t>
  </si>
  <si>
    <t>GG5HU800818</t>
  </si>
  <si>
    <t>2024-10-26 19:29:34</t>
  </si>
  <si>
    <t>Hem Thapa</t>
  </si>
  <si>
    <t>MH14FL2731</t>
  </si>
  <si>
    <t>MD2AZZEZ6GCL21870</t>
  </si>
  <si>
    <t>PDZCE34494</t>
  </si>
  <si>
    <t>2024-09-20 20:17:58</t>
  </si>
  <si>
    <t>SNEHA JOSHI</t>
  </si>
  <si>
    <t>MH12NM0176</t>
  </si>
  <si>
    <t>42196</t>
  </si>
  <si>
    <t>2024-10-13 14:43:16</t>
  </si>
  <si>
    <t>70151</t>
  </si>
  <si>
    <t>2024-09-21 20:55:47</t>
  </si>
  <si>
    <t>38019</t>
  </si>
  <si>
    <t>2024-09-23 12:35:50</t>
  </si>
  <si>
    <t>Prasad Patil</t>
  </si>
  <si>
    <t>MH25AV8843</t>
  </si>
  <si>
    <t>20138</t>
  </si>
  <si>
    <t>MD2B64BX3MWE06766</t>
  </si>
  <si>
    <t>DHXWME71828</t>
  </si>
  <si>
    <t>2024-09-21 21:04:39</t>
  </si>
  <si>
    <t>Rohit Jadhav</t>
  </si>
  <si>
    <t>MH14DG6601</t>
  </si>
  <si>
    <t>75838</t>
  </si>
  <si>
    <t>ME4JC448CC7263971</t>
  </si>
  <si>
    <t>JC44E5263930</t>
  </si>
  <si>
    <t>2024-09-21 21:00:24</t>
  </si>
  <si>
    <t>36515</t>
  </si>
  <si>
    <t>2024-09-21 20:59:55</t>
  </si>
  <si>
    <t>Ravindra Awate</t>
  </si>
  <si>
    <t>MH14EZ0671</t>
  </si>
  <si>
    <t>77064</t>
  </si>
  <si>
    <t>2024-10-13 18:52:14</t>
  </si>
  <si>
    <t>MH14GL5444</t>
  </si>
  <si>
    <t>24010</t>
  </si>
  <si>
    <t>MD626EG47H3G01330</t>
  </si>
  <si>
    <t>EG4FH2298966</t>
  </si>
  <si>
    <t>2024-11-11 20:25:46</t>
  </si>
  <si>
    <t>2024-11-11 20:46:47</t>
  </si>
  <si>
    <t>Aditya Ayyer</t>
  </si>
  <si>
    <t>MH12SC9514</t>
  </si>
  <si>
    <t>25443</t>
  </si>
  <si>
    <t>2024-10-13 13:29:05</t>
  </si>
  <si>
    <t>Dilip Sheti</t>
  </si>
  <si>
    <t>MH14EN3313</t>
  </si>
  <si>
    <t>38242</t>
  </si>
  <si>
    <t>ME4JF502HE8181947</t>
  </si>
  <si>
    <t>2024-09-21 21:06:23</t>
  </si>
  <si>
    <t>MH40SR6436</t>
  </si>
  <si>
    <t xml:space="preserve">Bajaj Platina </t>
  </si>
  <si>
    <t>2501</t>
  </si>
  <si>
    <t>MD2DDJKZZRWM79081</t>
  </si>
  <si>
    <t>JAMBRM27485</t>
  </si>
  <si>
    <t>2024-09-23 12:42:46</t>
  </si>
  <si>
    <t xml:space="preserve">Indranil </t>
  </si>
  <si>
    <t>MH14EW3140</t>
  </si>
  <si>
    <t>25478</t>
  </si>
  <si>
    <t>2024-10-13 14:44:55</t>
  </si>
  <si>
    <t>VINAY BHAPKAR</t>
  </si>
  <si>
    <t>MH14HP3008</t>
  </si>
  <si>
    <t>28287</t>
  </si>
  <si>
    <t>2024-10-13 15:03:36</t>
  </si>
  <si>
    <t xml:space="preserve">MACHINDRA VETAL </t>
  </si>
  <si>
    <t>MH09DG5037</t>
  </si>
  <si>
    <t>4166</t>
  </si>
  <si>
    <t>2024-09-23 12:32:05</t>
  </si>
  <si>
    <t>Roshan</t>
  </si>
  <si>
    <t>MH14FV8438</t>
  </si>
  <si>
    <t>54341</t>
  </si>
  <si>
    <t>ME4KC238JG8003668</t>
  </si>
  <si>
    <t>KC23E80095387</t>
  </si>
  <si>
    <t>2024-10-13 15:16:40</t>
  </si>
  <si>
    <t>2024-10-13 15:13:48</t>
  </si>
  <si>
    <t xml:space="preserve"> Joseph </t>
  </si>
  <si>
    <t>MH14JV3210</t>
  </si>
  <si>
    <t>6205</t>
  </si>
  <si>
    <t>2024-10-13 15:15:36</t>
  </si>
  <si>
    <t>20905</t>
  </si>
  <si>
    <t>2024-10-13 15:19:59</t>
  </si>
  <si>
    <t>PRATIBHA DIGIKAR</t>
  </si>
  <si>
    <t>MH14JY1629</t>
  </si>
  <si>
    <t>3325</t>
  </si>
  <si>
    <t>2024-10-13 14:55:25</t>
  </si>
  <si>
    <t>Makarand Khedkar</t>
  </si>
  <si>
    <t>MH12JD2557</t>
  </si>
  <si>
    <t>72519</t>
  </si>
  <si>
    <t>ME4JF391GC804291</t>
  </si>
  <si>
    <t>2024-09-21 20:49:19</t>
  </si>
  <si>
    <t>88043</t>
  </si>
  <si>
    <t>211 ₹</t>
  </si>
  <si>
    <t>2024-09-21 20:54:16</t>
  </si>
  <si>
    <t>54 ₹</t>
  </si>
  <si>
    <t>2024-09-21 20:57:12</t>
  </si>
  <si>
    <t>SANJEEVANI GHODKE</t>
  </si>
  <si>
    <t>MH09DK6541</t>
  </si>
  <si>
    <t>ME4JF392KD7048195</t>
  </si>
  <si>
    <t>JF39E70048085</t>
  </si>
  <si>
    <t>2024-09-21 21:01:31</t>
  </si>
  <si>
    <t xml:space="preserve">Ankush Kulkarni </t>
  </si>
  <si>
    <t>MH12CQ8438</t>
  </si>
  <si>
    <t>12128</t>
  </si>
  <si>
    <t>2024-09-21 21:01:56</t>
  </si>
  <si>
    <t>Sanjay Jadhav</t>
  </si>
  <si>
    <t>MH14DK8027</t>
  </si>
  <si>
    <t>64723</t>
  </si>
  <si>
    <t>ME4KC182DC8000</t>
  </si>
  <si>
    <t>2024-09-21 21:06:48</t>
  </si>
  <si>
    <t>VIVEKANAND BIDRI</t>
  </si>
  <si>
    <t>MH15GM2075</t>
  </si>
  <si>
    <t>38870</t>
  </si>
  <si>
    <t>2024-09-21 21:05:44</t>
  </si>
  <si>
    <t>40169</t>
  </si>
  <si>
    <t>2024-09-21 21:07:29</t>
  </si>
  <si>
    <t>MH14GV9885</t>
  </si>
  <si>
    <t>18371</t>
  </si>
  <si>
    <t>2024-10-13 18:54:41</t>
  </si>
  <si>
    <t>54676</t>
  </si>
  <si>
    <t>2024-10-13 15:25:29</t>
  </si>
  <si>
    <t xml:space="preserve">RISHIKESH </t>
  </si>
  <si>
    <t>MH47BC1789</t>
  </si>
  <si>
    <t>14737</t>
  </si>
  <si>
    <t>2024-09-21 21:02:31</t>
  </si>
  <si>
    <t>MH17BE8499</t>
  </si>
  <si>
    <t xml:space="preserve">Bajaj Discover </t>
  </si>
  <si>
    <t>46529</t>
  </si>
  <si>
    <t>2024-09-21 21:05:26</t>
  </si>
  <si>
    <t>Josef</t>
  </si>
  <si>
    <t>MH42AY8504</t>
  </si>
  <si>
    <t>22678</t>
  </si>
  <si>
    <t>2024-09-23 12:23:55</t>
  </si>
  <si>
    <t>22466</t>
  </si>
  <si>
    <t>2024-09-25 20:41:40</t>
  </si>
  <si>
    <t>Kunal Patil</t>
  </si>
  <si>
    <t>MH28AW7987</t>
  </si>
  <si>
    <t>27811</t>
  </si>
  <si>
    <t>JF33HBH4C19824</t>
  </si>
  <si>
    <t>2024-09-25 16:45:24</t>
  </si>
  <si>
    <t xml:space="preserve">Shantanu </t>
  </si>
  <si>
    <t>MH14JW9491</t>
  </si>
  <si>
    <t>15408</t>
  </si>
  <si>
    <t>MD2A67KYXHCK01603</t>
  </si>
  <si>
    <t>JFYCHK01687</t>
  </si>
  <si>
    <t>2024-10-13 18:52:45</t>
  </si>
  <si>
    <t>42106</t>
  </si>
  <si>
    <t>2024-09-21 21:04:59</t>
  </si>
  <si>
    <t>Amar Sonawane</t>
  </si>
  <si>
    <t>MH15DG9120</t>
  </si>
  <si>
    <t>2029</t>
  </si>
  <si>
    <t>ME45S07BB2028255</t>
  </si>
  <si>
    <t>4557026562</t>
  </si>
  <si>
    <t>2024-09-23 12:17:01</t>
  </si>
  <si>
    <t>32632</t>
  </si>
  <si>
    <t>2024-10-13 20:02:12</t>
  </si>
  <si>
    <t>Mrudul Kolhe</t>
  </si>
  <si>
    <t>MH31DY0065</t>
  </si>
  <si>
    <t>2024-10-13 18:53:59</t>
  </si>
  <si>
    <t>2024-09-23 12:44:30</t>
  </si>
  <si>
    <t>27774</t>
  </si>
  <si>
    <t>2024-10-13 20:19:39</t>
  </si>
  <si>
    <t>66807</t>
  </si>
  <si>
    <t>2024-10-14 20:06:53</t>
  </si>
  <si>
    <t>NIRANJAN DIGHE</t>
  </si>
  <si>
    <t>MH19BF3223</t>
  </si>
  <si>
    <t>29617</t>
  </si>
  <si>
    <t>2024-10-14 20:06:39</t>
  </si>
  <si>
    <t>VISHAL MALI</t>
  </si>
  <si>
    <t>MH12KV5953</t>
  </si>
  <si>
    <t>66326</t>
  </si>
  <si>
    <t>2024-09-23 12:14:09</t>
  </si>
  <si>
    <t>67354</t>
  </si>
  <si>
    <t>2024-09-23 12:49:19</t>
  </si>
  <si>
    <t>Hemant</t>
  </si>
  <si>
    <t>MH12PM6472</t>
  </si>
  <si>
    <t>48061</t>
  </si>
  <si>
    <t>MEAR64428H0062366</t>
  </si>
  <si>
    <t>3J3E0098075</t>
  </si>
  <si>
    <t>2024-10-13 19:59:25</t>
  </si>
  <si>
    <t>74437</t>
  </si>
  <si>
    <t>2024-10-13 20:00:40</t>
  </si>
  <si>
    <t>Anjan Rao</t>
  </si>
  <si>
    <t>KA04HB5434</t>
  </si>
  <si>
    <t>48092</t>
  </si>
  <si>
    <t>ME4JC446L98043935</t>
  </si>
  <si>
    <t>JC44E0356834</t>
  </si>
  <si>
    <t>2024-10-14 20:06:25</t>
  </si>
  <si>
    <t>75428</t>
  </si>
  <si>
    <t>2024-10-14 20:04:55</t>
  </si>
  <si>
    <t>Vibhanshu Shekhar</t>
  </si>
  <si>
    <t>MH14GJ1885</t>
  </si>
  <si>
    <t>55998</t>
  </si>
  <si>
    <t>ME1RJ4819F0006997</t>
  </si>
  <si>
    <t>2024-09-23 12:29:59</t>
  </si>
  <si>
    <t>Sandeep Ingle</t>
  </si>
  <si>
    <t>MH12RH2698</t>
  </si>
  <si>
    <t>33167</t>
  </si>
  <si>
    <t>ME4JF50BFKW0365896</t>
  </si>
  <si>
    <t>JF50EW1036651</t>
  </si>
  <si>
    <t>2024-09-23 12:37:00</t>
  </si>
  <si>
    <t>MH12SM1984</t>
  </si>
  <si>
    <t>1198</t>
  </si>
  <si>
    <t>2024-09-23 12:34:24</t>
  </si>
  <si>
    <t>35186</t>
  </si>
  <si>
    <t>2024-09-23 12:38:40</t>
  </si>
  <si>
    <t>28995</t>
  </si>
  <si>
    <t>2024-09-23 12:41:26</t>
  </si>
  <si>
    <t>29906</t>
  </si>
  <si>
    <t>2024-09-23 12:44:59</t>
  </si>
  <si>
    <t>Praveen Nagarkar</t>
  </si>
  <si>
    <t>MH14JB0462</t>
  </si>
  <si>
    <t>38862</t>
  </si>
  <si>
    <t>2024-09-23 12:48:29</t>
  </si>
  <si>
    <t>Satish Tote</t>
  </si>
  <si>
    <t>MH14GQ1708</t>
  </si>
  <si>
    <t>39842</t>
  </si>
  <si>
    <t>ME4JF507LHU685182</t>
  </si>
  <si>
    <t>2024-09-23 12:47:43</t>
  </si>
  <si>
    <t>36698</t>
  </si>
  <si>
    <t>2024-09-25 16:41:04</t>
  </si>
  <si>
    <t>Sumit Naik</t>
  </si>
  <si>
    <t>MH14HS3219</t>
  </si>
  <si>
    <t>16384</t>
  </si>
  <si>
    <t>MBLJFN033KGG01121</t>
  </si>
  <si>
    <t>2024-09-25 16:44:59</t>
  </si>
  <si>
    <t>RAJU</t>
  </si>
  <si>
    <t>MH38AE1912</t>
  </si>
  <si>
    <t>26431</t>
  </si>
  <si>
    <t>ME4JC83DGNG111447</t>
  </si>
  <si>
    <t>JC83EG3223197</t>
  </si>
  <si>
    <t>2024-09-25 16:43:24</t>
  </si>
  <si>
    <t>41087</t>
  </si>
  <si>
    <t>2024-09-25 16:44:23</t>
  </si>
  <si>
    <t xml:space="preserve">PARAG AGNIHOTRI </t>
  </si>
  <si>
    <t>MH12UG2776</t>
  </si>
  <si>
    <t>6764</t>
  </si>
  <si>
    <t>MD626EG5TN1D01699</t>
  </si>
  <si>
    <t>GL5DN1101452</t>
  </si>
  <si>
    <t>2024-09-25 16:39:43</t>
  </si>
  <si>
    <t>MH14CB1303</t>
  </si>
  <si>
    <t>MD2JDZZ5CL63081</t>
  </si>
  <si>
    <t>JEGBSL63290</t>
  </si>
  <si>
    <t>2024-09-25 16:30:06</t>
  </si>
  <si>
    <t>52875</t>
  </si>
  <si>
    <t>2024-10-20 20:23:09</t>
  </si>
  <si>
    <t>RANJEET RAJALE</t>
  </si>
  <si>
    <t>MH12GW7280</t>
  </si>
  <si>
    <t>11392</t>
  </si>
  <si>
    <t>2024-10-14 20:02:45</t>
  </si>
  <si>
    <t>2681</t>
  </si>
  <si>
    <t>2024-11-24 19:59:46</t>
  </si>
  <si>
    <t>29158</t>
  </si>
  <si>
    <t>2025-03-07 10:22:06</t>
  </si>
  <si>
    <t>58952</t>
  </si>
  <si>
    <t>2024-10-14 20:00:33</t>
  </si>
  <si>
    <t xml:space="preserve">BALIRAM </t>
  </si>
  <si>
    <t>MH14CB439</t>
  </si>
  <si>
    <t>MBLHA10EWAGD11800</t>
  </si>
  <si>
    <t>HA10EDAGD09146</t>
  </si>
  <si>
    <t>2024-11-24 20:00:57</t>
  </si>
  <si>
    <t>2024-10-14 19:56:13</t>
  </si>
  <si>
    <t>2024-10-14 20:07:36</t>
  </si>
  <si>
    <t>Sachin Nagarkar</t>
  </si>
  <si>
    <t>MH06Y0821</t>
  </si>
  <si>
    <t>2024-10-16 19:31:14</t>
  </si>
  <si>
    <t>SUNIL GORE</t>
  </si>
  <si>
    <t>MH03BB2741</t>
  </si>
  <si>
    <t>2024-09-25 20:43:37</t>
  </si>
  <si>
    <t>2024-09-30 19:09:26</t>
  </si>
  <si>
    <t>51573</t>
  </si>
  <si>
    <t>2024-09-23 12:45:40</t>
  </si>
  <si>
    <t>Desai</t>
  </si>
  <si>
    <t>MH14GJ2139</t>
  </si>
  <si>
    <t>17194</t>
  </si>
  <si>
    <t>MB8DP11AEH8421891</t>
  </si>
  <si>
    <t>AF211315605</t>
  </si>
  <si>
    <t>2024-10-16 19:32:06</t>
  </si>
  <si>
    <t>B G Bhosle</t>
  </si>
  <si>
    <t>MH14CE3570</t>
  </si>
  <si>
    <t>31441</t>
  </si>
  <si>
    <t>2025-03-06 20:30:31</t>
  </si>
  <si>
    <t>VINITA</t>
  </si>
  <si>
    <t>MH14CZ8327</t>
  </si>
  <si>
    <t>13698</t>
  </si>
  <si>
    <t>ME4JCM5HB7023207</t>
  </si>
  <si>
    <t>JC44E5023446</t>
  </si>
  <si>
    <t>2024-10-14 19:58:15</t>
  </si>
  <si>
    <t>OMKAR MUDSHI</t>
  </si>
  <si>
    <t>MH12PY6602</t>
  </si>
  <si>
    <t>26469</t>
  </si>
  <si>
    <t>2024-09-25 16:38:18</t>
  </si>
  <si>
    <t xml:space="preserve">Vikas Chauhan </t>
  </si>
  <si>
    <t>MH14KE9146</t>
  </si>
  <si>
    <t>14893</t>
  </si>
  <si>
    <t>ME1RG60B6N0D48Z3</t>
  </si>
  <si>
    <t>63N3ED026599</t>
  </si>
  <si>
    <t>2024-10-14 19:57:37</t>
  </si>
  <si>
    <t>29402</t>
  </si>
  <si>
    <t>2024-10-14 19:59:48</t>
  </si>
  <si>
    <t>47017</t>
  </si>
  <si>
    <t>2024-10-14 20:04:01</t>
  </si>
  <si>
    <t>59573</t>
  </si>
  <si>
    <t>2024-10-16 19:24:09</t>
  </si>
  <si>
    <t>Ashok Choudhary</t>
  </si>
  <si>
    <t>MH14HZ7180</t>
  </si>
  <si>
    <t>29561</t>
  </si>
  <si>
    <t>ME4JF50BMKG167305</t>
  </si>
  <si>
    <t>JF50EG1165366</t>
  </si>
  <si>
    <t>2024-09-30 19:08:07</t>
  </si>
  <si>
    <t>MH20FM1212</t>
  </si>
  <si>
    <t>MD2A67MY2KCG10105</t>
  </si>
  <si>
    <t>JFYCKGZ3538</t>
  </si>
  <si>
    <t>2024-09-25 20:42:51</t>
  </si>
  <si>
    <t>MH12PG7717</t>
  </si>
  <si>
    <t>41683</t>
  </si>
  <si>
    <t>2024-09-29 21:03:03</t>
  </si>
  <si>
    <t xml:space="preserve">VIKAS </t>
  </si>
  <si>
    <t>MH14BS9186</t>
  </si>
  <si>
    <t>42630</t>
  </si>
  <si>
    <t xml:space="preserve">RUSTY FRAM </t>
  </si>
  <si>
    <t>JF08E5740078</t>
  </si>
  <si>
    <t>2024-10-14 19:56:51</t>
  </si>
  <si>
    <t>Mrinalini</t>
  </si>
  <si>
    <t>MH14GZ0569</t>
  </si>
  <si>
    <t>ME4JF39DDJ4136779</t>
  </si>
  <si>
    <t>JF39E42273317</t>
  </si>
  <si>
    <t>2024-09-29 21:00:44</t>
  </si>
  <si>
    <t>MH14CH7611</t>
  </si>
  <si>
    <t>43733</t>
  </si>
  <si>
    <t>2024-09-30 19:09:42</t>
  </si>
  <si>
    <t>BHUSARE</t>
  </si>
  <si>
    <t>MH20CA8886</t>
  </si>
  <si>
    <t>2025-03-06 19:53:31</t>
  </si>
  <si>
    <t>MH14FF0508</t>
  </si>
  <si>
    <t>27998</t>
  </si>
  <si>
    <t>ME4JF504JF7344</t>
  </si>
  <si>
    <t>JF50E7234436</t>
  </si>
  <si>
    <t>2025-03-06 19:54:45</t>
  </si>
  <si>
    <t>MH14CE5711</t>
  </si>
  <si>
    <t>25448</t>
  </si>
  <si>
    <t>2025-03-06 19:55:46</t>
  </si>
  <si>
    <t>2025-03-06 19:56:26</t>
  </si>
  <si>
    <t>Nadeem</t>
  </si>
  <si>
    <t>MH12EP8078</t>
  </si>
  <si>
    <t>65894</t>
  </si>
  <si>
    <t>2025-03-06 19:57:06</t>
  </si>
  <si>
    <t>DARSHAN BHANSALI</t>
  </si>
  <si>
    <t>MH14DL5900</t>
  </si>
  <si>
    <t>63956</t>
  </si>
  <si>
    <t>XXX</t>
  </si>
  <si>
    <t>JC44E2069010</t>
  </si>
  <si>
    <t>2025-03-06 19:57:38</t>
  </si>
  <si>
    <t>2025-03-06 19:58:01</t>
  </si>
  <si>
    <t>Anuj Shinde</t>
  </si>
  <si>
    <t>MH12KU0676</t>
  </si>
  <si>
    <t>23493</t>
  </si>
  <si>
    <t>MD626AG43D1P78193</t>
  </si>
  <si>
    <t>2025-03-06 20:05:03</t>
  </si>
  <si>
    <t>ARUN GANGURDE</t>
  </si>
  <si>
    <t>MH15DQ2128</t>
  </si>
  <si>
    <t>57274</t>
  </si>
  <si>
    <t>083 ₹</t>
  </si>
  <si>
    <t>2024-09-26 20:22:56</t>
  </si>
  <si>
    <t>Devnoon</t>
  </si>
  <si>
    <t>23BH2114D</t>
  </si>
  <si>
    <t>17145</t>
  </si>
  <si>
    <t>MBLJFW606PGD04743</t>
  </si>
  <si>
    <t>JF16EPP9004759</t>
  </si>
  <si>
    <t>2024-09-29 21:07:32</t>
  </si>
  <si>
    <t xml:space="preserve">Shreyas </t>
  </si>
  <si>
    <t>MP09UE8165</t>
  </si>
  <si>
    <t>25732</t>
  </si>
  <si>
    <t>2024-09-29 20:09:25</t>
  </si>
  <si>
    <t>MH14DY4497</t>
  </si>
  <si>
    <t>15684</t>
  </si>
  <si>
    <t>MD626AG461C83604</t>
  </si>
  <si>
    <t>OG4CD1546295</t>
  </si>
  <si>
    <t>2025-03-06 20:05:47</t>
  </si>
  <si>
    <t>ARUN</t>
  </si>
  <si>
    <t>MH15EQ1465</t>
  </si>
  <si>
    <t>26894</t>
  </si>
  <si>
    <t>056 ₹</t>
  </si>
  <si>
    <t>2024-09-26 20:23:25</t>
  </si>
  <si>
    <t>69460</t>
  </si>
  <si>
    <t>2024-09-29 20:59:32</t>
  </si>
  <si>
    <t>HEMANT</t>
  </si>
  <si>
    <t>MH26BY4556</t>
  </si>
  <si>
    <t>25518</t>
  </si>
  <si>
    <t>2024-09-29 20:37:56</t>
  </si>
  <si>
    <t>MH14BW5467</t>
  </si>
  <si>
    <t>MBLMC38..AC00950</t>
  </si>
  <si>
    <t>2024-09-29 20:51:20</t>
  </si>
  <si>
    <t xml:space="preserve">Prashant Pandit </t>
  </si>
  <si>
    <t>MH27AK2555</t>
  </si>
  <si>
    <t>18785</t>
  </si>
  <si>
    <t>2024-11-13 19:17:24</t>
  </si>
  <si>
    <t>VARAD</t>
  </si>
  <si>
    <t>MH14KG4459</t>
  </si>
  <si>
    <t>15479</t>
  </si>
  <si>
    <t>MB8DP12DHN8C61600</t>
  </si>
  <si>
    <t>AF212404332</t>
  </si>
  <si>
    <t>2024-09-26 20:23:56</t>
  </si>
  <si>
    <t>MH14DP2718</t>
  </si>
  <si>
    <t>46293</t>
  </si>
  <si>
    <t>ME4JC4480GC7459221</t>
  </si>
  <si>
    <t>2024-09-29 20:46:19</t>
  </si>
  <si>
    <t>Avishkar</t>
  </si>
  <si>
    <t>MH14KT5280</t>
  </si>
  <si>
    <t>2236</t>
  </si>
  <si>
    <t>2024-09-30 19:07:18</t>
  </si>
  <si>
    <t>AKSHAY JADHAO</t>
  </si>
  <si>
    <t>42822</t>
  </si>
  <si>
    <t>2024-09-29 20:43:36</t>
  </si>
  <si>
    <t>21641</t>
  </si>
  <si>
    <t>2024-09-29 20:53:05</t>
  </si>
  <si>
    <t>MH25AQ7997</t>
  </si>
  <si>
    <t>49560</t>
  </si>
  <si>
    <t>2024-09-29 21:12:13</t>
  </si>
  <si>
    <t>Sanat Kumar Madke</t>
  </si>
  <si>
    <t>MH14FN6701</t>
  </si>
  <si>
    <t>21944</t>
  </si>
  <si>
    <t>ME4JF5056GT232164</t>
  </si>
  <si>
    <t>JF50ET3232419</t>
  </si>
  <si>
    <t>2024-11-14 19:00:14</t>
  </si>
  <si>
    <t>NIRMAL SINGH</t>
  </si>
  <si>
    <t>WB38Q3688</t>
  </si>
  <si>
    <t>41355</t>
  </si>
  <si>
    <t>2024-09-29 20:54:39</t>
  </si>
  <si>
    <t xml:space="preserve">Neeraj </t>
  </si>
  <si>
    <t>MH14ES5704</t>
  </si>
  <si>
    <t>10764</t>
  </si>
  <si>
    <t>JF21E80227758</t>
  </si>
  <si>
    <t>2024-09-29 20:24:56</t>
  </si>
  <si>
    <t>20845</t>
  </si>
  <si>
    <t>2024-09-29 20:17:43</t>
  </si>
  <si>
    <t>Pratik Muley</t>
  </si>
  <si>
    <t>MH40BA1726</t>
  </si>
  <si>
    <t>60572</t>
  </si>
  <si>
    <t>JI</t>
  </si>
  <si>
    <t>2024-09-30 19:02:08</t>
  </si>
  <si>
    <t>RACHIT DEO</t>
  </si>
  <si>
    <t>MH14HS3623</t>
  </si>
  <si>
    <t>18551</t>
  </si>
  <si>
    <t>2024-09-29 20:35:21</t>
  </si>
  <si>
    <t xml:space="preserve">Praveen </t>
  </si>
  <si>
    <t>TN28BC8436</t>
  </si>
  <si>
    <t>12864</t>
  </si>
  <si>
    <t>2024-09-29 20:32:19</t>
  </si>
  <si>
    <t>MH03AP1983</t>
  </si>
  <si>
    <t>52349</t>
  </si>
  <si>
    <t>07K05C56584</t>
  </si>
  <si>
    <t>07K0586482</t>
  </si>
  <si>
    <t>2024-09-30 19:00:49</t>
  </si>
  <si>
    <t>3424</t>
  </si>
  <si>
    <t>2024-09-29 20:15:09</t>
  </si>
  <si>
    <t>30635</t>
  </si>
  <si>
    <t>2024-09-29 21:10:01</t>
  </si>
  <si>
    <t xml:space="preserve">Sunil Gaikwad </t>
  </si>
  <si>
    <t>MH14FP7669</t>
  </si>
  <si>
    <t>18584</t>
  </si>
  <si>
    <t>2025-03-27 19:32:09</t>
  </si>
  <si>
    <t>UMESH DAHIA</t>
  </si>
  <si>
    <t>MH14HL5108</t>
  </si>
  <si>
    <t>23683</t>
  </si>
  <si>
    <t>2024-09-29 20:03:17</t>
  </si>
  <si>
    <t>10996</t>
  </si>
  <si>
    <t>2024-09-29 20:49:05</t>
  </si>
  <si>
    <t>Ajay Mishra</t>
  </si>
  <si>
    <t>MH14BZ8682</t>
  </si>
  <si>
    <t>10000</t>
  </si>
  <si>
    <t>2024-09-30 19:05:35</t>
  </si>
  <si>
    <t>SHAILESH NEMA</t>
  </si>
  <si>
    <t>MH12VH8032</t>
  </si>
  <si>
    <t>12065</t>
  </si>
  <si>
    <t>2024-09-29 20:29:00</t>
  </si>
  <si>
    <t>18811</t>
  </si>
  <si>
    <t>2024-09-29 20:19:29</t>
  </si>
  <si>
    <t>Divya Sawant</t>
  </si>
  <si>
    <t>MH09DE6872</t>
  </si>
  <si>
    <t>56648</t>
  </si>
  <si>
    <t>2024-09-30 18:53:45</t>
  </si>
  <si>
    <t>2024-09-29 20:20:40</t>
  </si>
  <si>
    <t>28688</t>
  </si>
  <si>
    <t>2024-09-29 20:36:03</t>
  </si>
  <si>
    <t>Desale</t>
  </si>
  <si>
    <t>MH14GE9883</t>
  </si>
  <si>
    <t xml:space="preserve">Honda NAVI </t>
  </si>
  <si>
    <t>2950</t>
  </si>
  <si>
    <t>ME4JF651EG7006770</t>
  </si>
  <si>
    <t>JF65E70006804</t>
  </si>
  <si>
    <t>2025-03-27 19:34:08</t>
  </si>
  <si>
    <t>UDAY</t>
  </si>
  <si>
    <t>MH12NK2893</t>
  </si>
  <si>
    <t>48828</t>
  </si>
  <si>
    <t>2025-03-27 19:35:22</t>
  </si>
  <si>
    <t xml:space="preserve">ASHWIN </t>
  </si>
  <si>
    <t>MH14EG3217</t>
  </si>
  <si>
    <t>4199</t>
  </si>
  <si>
    <t>2025-03-27 19:35:42</t>
  </si>
  <si>
    <t>MH12LZ2391</t>
  </si>
  <si>
    <t>48617</t>
  </si>
  <si>
    <t>2025-03-27 19:36:04</t>
  </si>
  <si>
    <t>9390</t>
  </si>
  <si>
    <t>2024-09-29 20:10:30</t>
  </si>
  <si>
    <t>R P Singh</t>
  </si>
  <si>
    <t>MH14GR1972</t>
  </si>
  <si>
    <t>33112</t>
  </si>
  <si>
    <t>2024-09-30 16:03:03</t>
  </si>
  <si>
    <t>51375</t>
  </si>
  <si>
    <t>2024-10-16 19:29:58</t>
  </si>
  <si>
    <t>PAVAN</t>
  </si>
  <si>
    <t>MH14KX2468</t>
  </si>
  <si>
    <t>19226</t>
  </si>
  <si>
    <t>2024-10-16 19:29:03</t>
  </si>
  <si>
    <t>ANIL KALE</t>
  </si>
  <si>
    <t>MH14JN7852</t>
  </si>
  <si>
    <t>2334</t>
  </si>
  <si>
    <t>2024-09-29 20:02:04</t>
  </si>
  <si>
    <t>Saurav Tripathi</t>
  </si>
  <si>
    <t>MH12JT9903</t>
  </si>
  <si>
    <t>40355</t>
  </si>
  <si>
    <t>2024-09-29 20:00:23</t>
  </si>
  <si>
    <t>Raino</t>
  </si>
  <si>
    <t>30344</t>
  </si>
  <si>
    <t>2024-09-29 20:07:25</t>
  </si>
  <si>
    <t>DIVESH</t>
  </si>
  <si>
    <t>MH49A0184</t>
  </si>
  <si>
    <t>70952</t>
  </si>
  <si>
    <t>2024-09-29 20:26:08</t>
  </si>
  <si>
    <t>MH12KZ0287</t>
  </si>
  <si>
    <t>8311</t>
  </si>
  <si>
    <t>MD626CG58P1G00100</t>
  </si>
  <si>
    <t>DG5FPT38341</t>
  </si>
  <si>
    <t>2024-09-29 20:30:27</t>
  </si>
  <si>
    <t>30319</t>
  </si>
  <si>
    <t>2024-09-29 20:56:00</t>
  </si>
  <si>
    <t>2024-09-29 20:58:21</t>
  </si>
  <si>
    <t>Devendra Ghadge</t>
  </si>
  <si>
    <t>MH14FA7964</t>
  </si>
  <si>
    <t>57500</t>
  </si>
  <si>
    <t>2024-09-29 21:05:16</t>
  </si>
  <si>
    <t>Amit Behera</t>
  </si>
  <si>
    <t>MH14ES0472</t>
  </si>
  <si>
    <t>48845</t>
  </si>
  <si>
    <t>MBLJF32ABEGE18214</t>
  </si>
  <si>
    <t>2025-03-27 19:33:24</t>
  </si>
  <si>
    <t>Vikas Ranjane</t>
  </si>
  <si>
    <t>MH14EV3302</t>
  </si>
  <si>
    <t>18180</t>
  </si>
  <si>
    <t>2024-09-30 12:11:16</t>
  </si>
  <si>
    <t>Yogesh Patil</t>
  </si>
  <si>
    <t>MH14CR7660</t>
  </si>
  <si>
    <t>42548</t>
  </si>
  <si>
    <t>9 ₹</t>
  </si>
  <si>
    <t>ME4JC44EEB609566</t>
  </si>
  <si>
    <t>2025-03-27 19:32:46</t>
  </si>
  <si>
    <t>AMEY PAWAR</t>
  </si>
  <si>
    <t>MH14HS2860</t>
  </si>
  <si>
    <t>8695</t>
  </si>
  <si>
    <t>MD626EG41F19325</t>
  </si>
  <si>
    <t>DG9FK2708838</t>
  </si>
  <si>
    <t>2024-09-29 21:08:52</t>
  </si>
  <si>
    <t>MH12MZ798</t>
  </si>
  <si>
    <t>2024-09-29 21:25:05</t>
  </si>
  <si>
    <t>Ritesh Taori</t>
  </si>
  <si>
    <t>MH14DW7120</t>
  </si>
  <si>
    <t>47934</t>
  </si>
  <si>
    <t>ME4JF501D08176360</t>
  </si>
  <si>
    <t>JF50E80175722</t>
  </si>
  <si>
    <t>2024-09-30 19:00:14</t>
  </si>
  <si>
    <t>33433</t>
  </si>
  <si>
    <t>2024-10-17 20:42:57</t>
  </si>
  <si>
    <t>VINAY</t>
  </si>
  <si>
    <t>MH14JB6963</t>
  </si>
  <si>
    <t>17425</t>
  </si>
  <si>
    <t>2024-10-17 20:42:24</t>
  </si>
  <si>
    <t>ABHINAV AMBEKAR</t>
  </si>
  <si>
    <t>MH15CZ8763</t>
  </si>
  <si>
    <t>28506</t>
  </si>
  <si>
    <t>2024-09-30 18:45:53</t>
  </si>
  <si>
    <t>PHOOLCHANDRA</t>
  </si>
  <si>
    <t>MH14CB5690</t>
  </si>
  <si>
    <t>5352</t>
  </si>
  <si>
    <t>2024-10-02 20:40:46</t>
  </si>
  <si>
    <t xml:space="preserve">CHETAN NARKHEDE </t>
  </si>
  <si>
    <t>MH21AK9077</t>
  </si>
  <si>
    <t>41125</t>
  </si>
  <si>
    <t>2024-09-30 18:43:09</t>
  </si>
  <si>
    <t>2024-09-30 16:38:08</t>
  </si>
  <si>
    <t>Satyajeet Kumbhar</t>
  </si>
  <si>
    <t>MH10AR3328</t>
  </si>
  <si>
    <t>31780</t>
  </si>
  <si>
    <t>2024-11-13 19:18:34</t>
  </si>
  <si>
    <t>Pranav Jagtap</t>
  </si>
  <si>
    <t>MH14FP9133</t>
  </si>
  <si>
    <t>46309</t>
  </si>
  <si>
    <t>ME4JF505CE8070403</t>
  </si>
  <si>
    <t>JF50E83070498</t>
  </si>
  <si>
    <t>2024-10-17 20:43:31</t>
  </si>
  <si>
    <t>23497</t>
  </si>
  <si>
    <t>2024-10-16 19:34:19</t>
  </si>
  <si>
    <t>Pritam Sutkar</t>
  </si>
  <si>
    <t>MH12NC0724</t>
  </si>
  <si>
    <t>48724</t>
  </si>
  <si>
    <t>MDZA36FZ9GCM2329</t>
  </si>
  <si>
    <t>JLZCGM21068</t>
  </si>
  <si>
    <t>2024-09-30 18:43:56</t>
  </si>
  <si>
    <t>DHIRESH</t>
  </si>
  <si>
    <t>MH14HT8296</t>
  </si>
  <si>
    <t>00208</t>
  </si>
  <si>
    <t>2024-09-30 18:52:55</t>
  </si>
  <si>
    <t>37533</t>
  </si>
  <si>
    <t>2024-10-16 19:27:17</t>
  </si>
  <si>
    <t>M.P. SHINDE</t>
  </si>
  <si>
    <t>MH12SM2758</t>
  </si>
  <si>
    <t>2694</t>
  </si>
  <si>
    <t>MD6264L3AR4491</t>
  </si>
  <si>
    <t>DG4PK3902720</t>
  </si>
  <si>
    <t>2024-10-16 19:26:27</t>
  </si>
  <si>
    <t>Kalpesh</t>
  </si>
  <si>
    <t>MH12KM2773</t>
  </si>
  <si>
    <t>52294</t>
  </si>
  <si>
    <t>ME4JF50ALD7481943</t>
  </si>
  <si>
    <t>JF50E70482011</t>
  </si>
  <si>
    <t>2024-09-30 19:06:18</t>
  </si>
  <si>
    <t>35804</t>
  </si>
  <si>
    <t>2024-10-16 19:35:05</t>
  </si>
  <si>
    <t>20313</t>
  </si>
  <si>
    <t>2024-09-30 19:09:09</t>
  </si>
  <si>
    <t>MH12FL2860</t>
  </si>
  <si>
    <t>66592</t>
  </si>
  <si>
    <t>2024-10-16 19:34:01</t>
  </si>
  <si>
    <t>GAJANAN DURGAWAD</t>
  </si>
  <si>
    <t>MH24BQ2288</t>
  </si>
  <si>
    <t>16444</t>
  </si>
  <si>
    <t>2024-09-30 19:32:33</t>
  </si>
  <si>
    <t>14259</t>
  </si>
  <si>
    <t>2024-09-30 19:31:50</t>
  </si>
  <si>
    <t>2024-10-16 19:48:03</t>
  </si>
  <si>
    <t>VIKRAM</t>
  </si>
  <si>
    <t>MH12PW0649</t>
  </si>
  <si>
    <t>43430</t>
  </si>
  <si>
    <t>2024-11-13 19:17:40</t>
  </si>
  <si>
    <t>29039</t>
  </si>
  <si>
    <t>2024-10-19 20:36:54</t>
  </si>
  <si>
    <t>MH09FN2240</t>
  </si>
  <si>
    <t>25816</t>
  </si>
  <si>
    <t>2024-10-16 19:35:34</t>
  </si>
  <si>
    <t xml:space="preserve"> Shardul Vibhute </t>
  </si>
  <si>
    <t>MH16AB6982</t>
  </si>
  <si>
    <t>5060</t>
  </si>
  <si>
    <t>07K05C24498</t>
  </si>
  <si>
    <t>07K05M08078</t>
  </si>
  <si>
    <t>2024-11-13 19:51:07</t>
  </si>
  <si>
    <t>25961</t>
  </si>
  <si>
    <t>2024-10-16 19:26:45</t>
  </si>
  <si>
    <t>SUSHANT PATIL</t>
  </si>
  <si>
    <t>MH14HA9432</t>
  </si>
  <si>
    <t>26948</t>
  </si>
  <si>
    <t>MD626ER49J1F34733</t>
  </si>
  <si>
    <t>EG4FJ1795828</t>
  </si>
  <si>
    <t>2025-03-07 19:23:18</t>
  </si>
  <si>
    <t>ROHAN JANGLE</t>
  </si>
  <si>
    <t>MH15GT7782</t>
  </si>
  <si>
    <t>11828</t>
  </si>
  <si>
    <t>MBLHAW068KSB03001</t>
  </si>
  <si>
    <t>HA11EPK5B04663</t>
  </si>
  <si>
    <t>2024-10-17 20:40:16</t>
  </si>
  <si>
    <t>MH12RJ6969</t>
  </si>
  <si>
    <t>15416</t>
  </si>
  <si>
    <t>2024-10-17 20:41:16</t>
  </si>
  <si>
    <t>24194</t>
  </si>
  <si>
    <t>2024-11-13 20:34:37</t>
  </si>
  <si>
    <t>ANIMESH</t>
  </si>
  <si>
    <t>MH40AV2207</t>
  </si>
  <si>
    <t>89224</t>
  </si>
  <si>
    <t>2024-10-17 20:42:01</t>
  </si>
  <si>
    <t>MIHIR</t>
  </si>
  <si>
    <t>MH14HL1194</t>
  </si>
  <si>
    <t>11799</t>
  </si>
  <si>
    <t>2024-11-13 19:51:31</t>
  </si>
  <si>
    <t>Vaibhav Solanki</t>
  </si>
  <si>
    <t>MH14GF3625</t>
  </si>
  <si>
    <t>49414</t>
  </si>
  <si>
    <t>MB8NG4BABH8300562</t>
  </si>
  <si>
    <t>BGA1367533</t>
  </si>
  <si>
    <t>2024-10-18 20:07:02</t>
  </si>
  <si>
    <t>28297</t>
  </si>
  <si>
    <t>2025-03-07 18:21:21</t>
  </si>
  <si>
    <t>MH14GX2934</t>
  </si>
  <si>
    <t>11679</t>
  </si>
  <si>
    <t>XXXXX</t>
  </si>
  <si>
    <t>JF50EU7045621</t>
  </si>
  <si>
    <t>2024-10-18 20:55:11</t>
  </si>
  <si>
    <t>30465</t>
  </si>
  <si>
    <t>2024-10-17 20:47:08</t>
  </si>
  <si>
    <t>SHASHANK</t>
  </si>
  <si>
    <t>MH12PS4143</t>
  </si>
  <si>
    <t>31423</t>
  </si>
  <si>
    <t>2024-11-13 20:34:22</t>
  </si>
  <si>
    <t xml:space="preserve">YASH CHAUDHARI </t>
  </si>
  <si>
    <t>MH14KY4125</t>
  </si>
  <si>
    <t>21659</t>
  </si>
  <si>
    <t>MD2JYCXD5PN002650</t>
  </si>
  <si>
    <t>P93646359</t>
  </si>
  <si>
    <t>2024-11-13 21:00:53</t>
  </si>
  <si>
    <t>RADHIKA</t>
  </si>
  <si>
    <t>MH27AL9892</t>
  </si>
  <si>
    <t>30741</t>
  </si>
  <si>
    <t>092 ₹</t>
  </si>
  <si>
    <t>2024-10-20 20:17:56</t>
  </si>
  <si>
    <t>Aakash Kharat</t>
  </si>
  <si>
    <t>MH21BR9996</t>
  </si>
  <si>
    <t>55301</t>
  </si>
  <si>
    <t>2025-03-07 18:20:24</t>
  </si>
  <si>
    <t>Alay</t>
  </si>
  <si>
    <t>MH14FH4303</t>
  </si>
  <si>
    <t>2024-10-18 20:04:29</t>
  </si>
  <si>
    <t>Nirmal Joshi</t>
  </si>
  <si>
    <t>MH14FN5239</t>
  </si>
  <si>
    <t>23345</t>
  </si>
  <si>
    <t>ME4JF493608151818</t>
  </si>
  <si>
    <t>JF49E81175207</t>
  </si>
  <si>
    <t>2025-03-07 17:56:04</t>
  </si>
  <si>
    <t>34096</t>
  </si>
  <si>
    <t>2025-03-07 17:56:26</t>
  </si>
  <si>
    <t>RAVI PAWAR</t>
  </si>
  <si>
    <t>MH14HJ8152</t>
  </si>
  <si>
    <t>12507</t>
  </si>
  <si>
    <t>ME4JE50ALJU404989</t>
  </si>
  <si>
    <t>JF50E07905010</t>
  </si>
  <si>
    <t>2025-03-07 17:57:13</t>
  </si>
  <si>
    <t>18650</t>
  </si>
  <si>
    <t>2024-10-18 20:05:59</t>
  </si>
  <si>
    <t>Sujit Tyagi</t>
  </si>
  <si>
    <t>MH14FZ6905</t>
  </si>
  <si>
    <t>28320</t>
  </si>
  <si>
    <t>ME3U395C1GM035567</t>
  </si>
  <si>
    <t>U3S5C0GM207590</t>
  </si>
  <si>
    <t>2024-10-18 20:09:01</t>
  </si>
  <si>
    <t>JIGNESH</t>
  </si>
  <si>
    <t>MH14HN1958</t>
  </si>
  <si>
    <t>9911</t>
  </si>
  <si>
    <t>ME1RG448AJ0021940</t>
  </si>
  <si>
    <t>G3LSE0025302</t>
  </si>
  <si>
    <t>2024-10-18 20:42:56</t>
  </si>
  <si>
    <t>75362</t>
  </si>
  <si>
    <t>290 ₹</t>
  </si>
  <si>
    <t>2025-07-13 16:52:33</t>
  </si>
  <si>
    <t>02</t>
  </si>
  <si>
    <t>2024-10-19 20:34:33</t>
  </si>
  <si>
    <t>32568</t>
  </si>
  <si>
    <t>2024-10-19 20:35:18</t>
  </si>
  <si>
    <t>Prabhat</t>
  </si>
  <si>
    <t>MH31DR1646</t>
  </si>
  <si>
    <t>35550</t>
  </si>
  <si>
    <t>07J1HA07469</t>
  </si>
  <si>
    <t>JIHW07469</t>
  </si>
  <si>
    <t>2024-10-19 20:36:13</t>
  </si>
  <si>
    <t>Prabhakar Shilamkar</t>
  </si>
  <si>
    <t>MH14EX3033</t>
  </si>
  <si>
    <t>21692</t>
  </si>
  <si>
    <t>MD262CG44F2B58495</t>
  </si>
  <si>
    <t>2024-10-19 20:37:29</t>
  </si>
  <si>
    <t xml:space="preserve">NIKHIL SIRSAT </t>
  </si>
  <si>
    <t>MH21AE1487</t>
  </si>
  <si>
    <t>81098</t>
  </si>
  <si>
    <t>2024-10-18 20:05:29</t>
  </si>
  <si>
    <t>VIBHOR MAHAJAN</t>
  </si>
  <si>
    <t>MH12NH5196</t>
  </si>
  <si>
    <t>2025-03-07 19:22:38</t>
  </si>
  <si>
    <t>SURAJ TAWARE</t>
  </si>
  <si>
    <t>MH14LF8123</t>
  </si>
  <si>
    <t>6888</t>
  </si>
  <si>
    <t>ME4KC404HPA044432</t>
  </si>
  <si>
    <t>KC40EA3044021</t>
  </si>
  <si>
    <t>2024-11-17 19:46:59</t>
  </si>
  <si>
    <t>42950</t>
  </si>
  <si>
    <t>2024-10-19 20:37:15</t>
  </si>
  <si>
    <t>Gaurav Jawle</t>
  </si>
  <si>
    <t>MH14KP5844</t>
  </si>
  <si>
    <t>4763</t>
  </si>
  <si>
    <t>2024-11-14 19:01:34</t>
  </si>
  <si>
    <t>66859</t>
  </si>
  <si>
    <t>2024-10-19 20:32:45</t>
  </si>
  <si>
    <t>Pranay Umate</t>
  </si>
  <si>
    <t>MH12NG0898</t>
  </si>
  <si>
    <t>61259</t>
  </si>
  <si>
    <t>MD2A15DZ3GWL07495</t>
  </si>
  <si>
    <t>2024-10-19 20:33:51</t>
  </si>
  <si>
    <t>Ninad</t>
  </si>
  <si>
    <t>MH14JW5790</t>
  </si>
  <si>
    <t>14703</t>
  </si>
  <si>
    <t>2025-05-21 12:07:16</t>
  </si>
  <si>
    <t>NISARG</t>
  </si>
  <si>
    <t>MH14HA1917</t>
  </si>
  <si>
    <t>MD626EG51N1D01699</t>
  </si>
  <si>
    <t>GG5DN1101452</t>
  </si>
  <si>
    <t>2024-10-20 20:15:53</t>
  </si>
  <si>
    <t>VIVEK NAIK</t>
  </si>
  <si>
    <t>MH14CR4541</t>
  </si>
  <si>
    <t>34976</t>
  </si>
  <si>
    <t>2024-10-20 20:16:16</t>
  </si>
  <si>
    <t>44397</t>
  </si>
  <si>
    <t>2024-10-19 20:38:44</t>
  </si>
  <si>
    <t>SAIRAM</t>
  </si>
  <si>
    <t>AP39QF9356</t>
  </si>
  <si>
    <t>2024-10-19 20:33:27</t>
  </si>
  <si>
    <t>38515</t>
  </si>
  <si>
    <t>2024-10-19 20:34:13</t>
  </si>
  <si>
    <t>MH14HS514</t>
  </si>
  <si>
    <t>13543</t>
  </si>
  <si>
    <t>DG4FK1012901</t>
  </si>
  <si>
    <t>2024-10-19 20:39:19</t>
  </si>
  <si>
    <t>2025-07-13 17:02:11</t>
  </si>
  <si>
    <t>VINIT SATOSE</t>
  </si>
  <si>
    <t>MH14ET9379</t>
  </si>
  <si>
    <t>95690</t>
  </si>
  <si>
    <t>2024-10-20 20:14:29</t>
  </si>
  <si>
    <t>Satish</t>
  </si>
  <si>
    <t>MH12ER8132</t>
  </si>
  <si>
    <t>2024-10-21 18:52:58</t>
  </si>
  <si>
    <t>65108</t>
  </si>
  <si>
    <t>2024-10-20 20:20:58</t>
  </si>
  <si>
    <t xml:space="preserve">Shirke </t>
  </si>
  <si>
    <t>MH14JK5342</t>
  </si>
  <si>
    <t>27632</t>
  </si>
  <si>
    <t>ME4JF913AMW241740</t>
  </si>
  <si>
    <t>JF91EW0241233</t>
  </si>
  <si>
    <t>2024-11-17 20:09:56</t>
  </si>
  <si>
    <t>PRAMOD KHOT</t>
  </si>
  <si>
    <t>MH14DY2388</t>
  </si>
  <si>
    <t>80755</t>
  </si>
  <si>
    <t>MBLJF16EFDGD09447</t>
  </si>
  <si>
    <t>JF16ECDGD29092</t>
  </si>
  <si>
    <t>2025-07-13 17:01:37</t>
  </si>
  <si>
    <t xml:space="preserve">Shreyansh Gupta </t>
  </si>
  <si>
    <t>MH12KG8962</t>
  </si>
  <si>
    <t>42418</t>
  </si>
  <si>
    <t>2025-03-28 12:02:23</t>
  </si>
  <si>
    <t>AAKASH KALBHOR</t>
  </si>
  <si>
    <t>MH14EG7511</t>
  </si>
  <si>
    <t>28799</t>
  </si>
  <si>
    <t>2025-03-28 12:03:03</t>
  </si>
  <si>
    <t xml:space="preserve">ADITYA SINGH </t>
  </si>
  <si>
    <t>MH14EL9475</t>
  </si>
  <si>
    <t>47032</t>
  </si>
  <si>
    <t>0442 ₹</t>
  </si>
  <si>
    <t>ME1RG0617ED0011549</t>
  </si>
  <si>
    <t>G3C7ED011554</t>
  </si>
  <si>
    <t>2024-11-14 19:01:02</t>
  </si>
  <si>
    <t>34191</t>
  </si>
  <si>
    <t>2024-11-17 20:09:41</t>
  </si>
  <si>
    <t>2024-11-14 19:07:32</t>
  </si>
  <si>
    <t>MH27BS5372</t>
  </si>
  <si>
    <t>MD2JUC4E3HC073706</t>
  </si>
  <si>
    <t>690664639</t>
  </si>
  <si>
    <t>2025-07-13 17:03:29</t>
  </si>
  <si>
    <t>0400 ₹</t>
  </si>
  <si>
    <t>2024-10-20 20:22:30</t>
  </si>
  <si>
    <t>HARISH</t>
  </si>
  <si>
    <t>GJ1JH485</t>
  </si>
  <si>
    <t>33830</t>
  </si>
  <si>
    <t>2025-07-13 17:04:48</t>
  </si>
  <si>
    <t>MH49N5840</t>
  </si>
  <si>
    <t>33464</t>
  </si>
  <si>
    <t>MBLJF16EFDGG27279</t>
  </si>
  <si>
    <t>JF16ECDGG28121</t>
  </si>
  <si>
    <t>2025-07-13 17:04:05</t>
  </si>
  <si>
    <t>MH14CV729</t>
  </si>
  <si>
    <t>31626</t>
  </si>
  <si>
    <t>2024-11-17 19:56:44</t>
  </si>
  <si>
    <t>RAKESH</t>
  </si>
  <si>
    <t>MH14DG4749</t>
  </si>
  <si>
    <t>MD2DHDJZZ4CJ0147</t>
  </si>
  <si>
    <t>DJGB4JE8T2A</t>
  </si>
  <si>
    <t>2024-11-14 18:55:35</t>
  </si>
  <si>
    <t xml:space="preserve">SHRINIWAS </t>
  </si>
  <si>
    <t>MH12QL3377</t>
  </si>
  <si>
    <t>20392</t>
  </si>
  <si>
    <t>MD626EG15J3C15284</t>
  </si>
  <si>
    <t>EG4CJ2126241</t>
  </si>
  <si>
    <t>2024-10-21 18:48:53</t>
  </si>
  <si>
    <t>Sapna Agrawal</t>
  </si>
  <si>
    <t>MH12JW7523</t>
  </si>
  <si>
    <t>78995</t>
  </si>
  <si>
    <t>ME4JF501BD7091270</t>
  </si>
  <si>
    <t>JF50E70091418</t>
  </si>
  <si>
    <t>2024-10-20 20:10:57</t>
  </si>
  <si>
    <t>27849</t>
  </si>
  <si>
    <t>2024-10-20 20:23:52</t>
  </si>
  <si>
    <t>82228</t>
  </si>
  <si>
    <t>2024-10-20 20:17:20</t>
  </si>
  <si>
    <t>22939</t>
  </si>
  <si>
    <t>2024-10-20 20:14:44</t>
  </si>
  <si>
    <t>Amod</t>
  </si>
  <si>
    <t>MH43BT9368</t>
  </si>
  <si>
    <t>4607</t>
  </si>
  <si>
    <t>2024-10-23 18:45:15</t>
  </si>
  <si>
    <t>MH14GZ5444</t>
  </si>
  <si>
    <t>35358</t>
  </si>
  <si>
    <t>2024-10-20 20:12:56</t>
  </si>
  <si>
    <t>Keyur Barapatre</t>
  </si>
  <si>
    <t>52981</t>
  </si>
  <si>
    <t>2024-10-20 20:12:03</t>
  </si>
  <si>
    <t>MH12MZ3695</t>
  </si>
  <si>
    <t>18800</t>
  </si>
  <si>
    <t>2024-10-20 20:10:37</t>
  </si>
  <si>
    <t xml:space="preserve">CHARUDATTA </t>
  </si>
  <si>
    <t>MH31DR0534</t>
  </si>
  <si>
    <t>70016</t>
  </si>
  <si>
    <t>2024-10-20 20:24:56</t>
  </si>
  <si>
    <t>Manoj Jadhav</t>
  </si>
  <si>
    <t>MH26CD3706</t>
  </si>
  <si>
    <t>23478</t>
  </si>
  <si>
    <t>ME4JF502FE7091937</t>
  </si>
  <si>
    <t>JF50E710919414</t>
  </si>
  <si>
    <t>2024-10-20 20:16:42</t>
  </si>
  <si>
    <t>Shreyas</t>
  </si>
  <si>
    <t>MH14HH7944</t>
  </si>
  <si>
    <t>16507</t>
  </si>
  <si>
    <t>MD626EG42J3LG1364</t>
  </si>
  <si>
    <t>BG4CJ1722742</t>
  </si>
  <si>
    <t>2024-10-20 20:20:44</t>
  </si>
  <si>
    <t>MH14EX8021</t>
  </si>
  <si>
    <t>2024-10-21 18:52:40</t>
  </si>
  <si>
    <t>MH14JN7460</t>
  </si>
  <si>
    <t>69311</t>
  </si>
  <si>
    <t>MD2A76AX5MWL14240</t>
  </si>
  <si>
    <t>PFXWML81243</t>
  </si>
  <si>
    <t>2024-10-20 20:21:35</t>
  </si>
  <si>
    <t>SUVARNA BHAPKAR</t>
  </si>
  <si>
    <t>MH14DY7180</t>
  </si>
  <si>
    <t>26592</t>
  </si>
  <si>
    <t>2024-10-21 18:52:11</t>
  </si>
  <si>
    <t>R.P.SINGH</t>
  </si>
  <si>
    <t>UP93AR3351</t>
  </si>
  <si>
    <t>8244</t>
  </si>
  <si>
    <t>ME4JF504KF7366836</t>
  </si>
  <si>
    <t>JF50E72366945</t>
  </si>
  <si>
    <t>2024-10-21 18:51:44</t>
  </si>
  <si>
    <t xml:space="preserve">YASH </t>
  </si>
  <si>
    <t>MH12LC7820</t>
  </si>
  <si>
    <t>36843</t>
  </si>
  <si>
    <t>MD2A22F211EZZ92195</t>
  </si>
  <si>
    <t>PDZCC88560</t>
  </si>
  <si>
    <t>2024-11-17 19:50:21</t>
  </si>
  <si>
    <t>Bhushan Nikure</t>
  </si>
  <si>
    <t>MH40BH1494</t>
  </si>
  <si>
    <t>MBLJF16E64GM01461</t>
  </si>
  <si>
    <t>JF33AAGGM00230 HI</t>
  </si>
  <si>
    <t>2024-11-17 19:52:36</t>
  </si>
  <si>
    <t>31012</t>
  </si>
  <si>
    <t>2025-03-08 20:40:32</t>
  </si>
  <si>
    <t>Shreyas Dixit</t>
  </si>
  <si>
    <t>MH09ES8041</t>
  </si>
  <si>
    <t>17782</t>
  </si>
  <si>
    <t>2024-11-19 20:15:26</t>
  </si>
  <si>
    <t xml:space="preserve">INDRAJEET </t>
  </si>
  <si>
    <t>MH14HP3658</t>
  </si>
  <si>
    <t>38042</t>
  </si>
  <si>
    <t>0331 ₹</t>
  </si>
  <si>
    <t>2025-03-08 20:38:57</t>
  </si>
  <si>
    <t>2024-10-21 20:13:49</t>
  </si>
  <si>
    <t>2024-10-21 18:53:15</t>
  </si>
  <si>
    <t xml:space="preserve">VENKATESH </t>
  </si>
  <si>
    <t>MH14DP0085</t>
  </si>
  <si>
    <t>41452</t>
  </si>
  <si>
    <t>ME4JF391FC8036003</t>
  </si>
  <si>
    <t>JF39E0036052</t>
  </si>
  <si>
    <t>2024-10-21 18:51:11</t>
  </si>
  <si>
    <t>ANIKET MARKANDE</t>
  </si>
  <si>
    <t>MH05DY3364</t>
  </si>
  <si>
    <t>9966</t>
  </si>
  <si>
    <t>JLYCJJ28686</t>
  </si>
  <si>
    <t>2024-10-21 20:14:23</t>
  </si>
  <si>
    <t>10149</t>
  </si>
  <si>
    <t>2024-10-21 20:43:41</t>
  </si>
  <si>
    <t>PAWAN</t>
  </si>
  <si>
    <t>MH21BR2106</t>
  </si>
  <si>
    <t>46146</t>
  </si>
  <si>
    <t>2024-10-20 20:18:32</t>
  </si>
  <si>
    <t>Mohan Malvedkar</t>
  </si>
  <si>
    <t>MH14BZ9978</t>
  </si>
  <si>
    <t>TVS Star City Plus</t>
  </si>
  <si>
    <t>38513</t>
  </si>
  <si>
    <t>MD625NF10A3B89980</t>
  </si>
  <si>
    <t>2024-11-17 20:08:03</t>
  </si>
  <si>
    <t>Abhinandan</t>
  </si>
  <si>
    <t>MH09FH1641</t>
  </si>
  <si>
    <t>31210</t>
  </si>
  <si>
    <t>2025-07-13 17:13:31</t>
  </si>
  <si>
    <t>2025-03-28 19:43:53</t>
  </si>
  <si>
    <t xml:space="preserve">YADAV </t>
  </si>
  <si>
    <t>MH14EQ1792</t>
  </si>
  <si>
    <t>36972</t>
  </si>
  <si>
    <t>MD626BG40E1G22689</t>
  </si>
  <si>
    <t>BG4GE1209541</t>
  </si>
  <si>
    <t>2024-10-21 18:50:49</t>
  </si>
  <si>
    <t>RUTUJA</t>
  </si>
  <si>
    <t>MH16CJ4613</t>
  </si>
  <si>
    <t>25986</t>
  </si>
  <si>
    <t>2025-03-28 19:44:18</t>
  </si>
  <si>
    <t xml:space="preserve">NILESH PATIL </t>
  </si>
  <si>
    <t>MH14KH3610</t>
  </si>
  <si>
    <t>13995</t>
  </si>
  <si>
    <t>MD626AK47N1H27842</t>
  </si>
  <si>
    <t>BK4H1026807</t>
  </si>
  <si>
    <t>2024-11-17 20:09:22</t>
  </si>
  <si>
    <t>Jayesh Chopade</t>
  </si>
  <si>
    <t>MH12LS1300</t>
  </si>
  <si>
    <t>49044</t>
  </si>
  <si>
    <t>ME3U395C1FA159071</t>
  </si>
  <si>
    <t>2025-05-31 20:41:15</t>
  </si>
  <si>
    <t>ATUL SARDESAI</t>
  </si>
  <si>
    <t>MH14EJ2171</t>
  </si>
  <si>
    <t>25382</t>
  </si>
  <si>
    <t>2024-10-23 18:44:34</t>
  </si>
  <si>
    <t xml:space="preserve">MUNDHE DENTAL </t>
  </si>
  <si>
    <t>MH26BY5095</t>
  </si>
  <si>
    <t>20756</t>
  </si>
  <si>
    <t>2024-11-17 19:37:38</t>
  </si>
  <si>
    <t>Rahul Garg</t>
  </si>
  <si>
    <t>MH12FG2904</t>
  </si>
  <si>
    <t>29403</t>
  </si>
  <si>
    <t>ME4JF083A98634616</t>
  </si>
  <si>
    <t>JF08EG664989</t>
  </si>
  <si>
    <t>2025-04-23 17:13:54</t>
  </si>
  <si>
    <t>MH14JV1321</t>
  </si>
  <si>
    <t>13696</t>
  </si>
  <si>
    <t>MD626AK45M1L06309</t>
  </si>
  <si>
    <t>BK4LM1605619</t>
  </si>
  <si>
    <t>2024-10-23 18:43:39</t>
  </si>
  <si>
    <t>63254</t>
  </si>
  <si>
    <t>2024-11-17 19:50:58</t>
  </si>
  <si>
    <t>MH12DV3709</t>
  </si>
  <si>
    <t>40759</t>
  </si>
  <si>
    <t>2024-10-23 19:28:44</t>
  </si>
  <si>
    <t>14001</t>
  </si>
  <si>
    <t>2025-03-08 20:37:06</t>
  </si>
  <si>
    <t>Saurabh Patil</t>
  </si>
  <si>
    <t>MH46CN0647</t>
  </si>
  <si>
    <t>21434</t>
  </si>
  <si>
    <t>2025-03-08 20:38:29</t>
  </si>
  <si>
    <t>24125</t>
  </si>
  <si>
    <t>2024-11-17 19:47:57</t>
  </si>
  <si>
    <t>MH30AR9416</t>
  </si>
  <si>
    <t>25536</t>
  </si>
  <si>
    <t>ME4JF493MF8095213</t>
  </si>
  <si>
    <t>JF49E81109894</t>
  </si>
  <si>
    <t>2025-03-08 20:41:02</t>
  </si>
  <si>
    <t>Radheshyam Pandit</t>
  </si>
  <si>
    <t>MH14HP9827</t>
  </si>
  <si>
    <t>25373</t>
  </si>
  <si>
    <t>MBLJAR16559H14635</t>
  </si>
  <si>
    <t>JA06EHJ9H13534</t>
  </si>
  <si>
    <t>2024-11-17 19:49:01</t>
  </si>
  <si>
    <t>2025-03-09 20:46:56</t>
  </si>
  <si>
    <t>8894</t>
  </si>
  <si>
    <t>2024-11-17 19:54:56</t>
  </si>
  <si>
    <t>Kshitija</t>
  </si>
  <si>
    <t>MH14EJ3036</t>
  </si>
  <si>
    <t>24835</t>
  </si>
  <si>
    <t>2024-11-17 20:00:20</t>
  </si>
  <si>
    <t>MH12JP4237</t>
  </si>
  <si>
    <t>ME121CCE8CE037140</t>
  </si>
  <si>
    <t>Z1CE037348</t>
  </si>
  <si>
    <t>2024-10-24 19:34:54</t>
  </si>
  <si>
    <t xml:space="preserve">PARIKSHIT PATIL </t>
  </si>
  <si>
    <t>MH14HV3227</t>
  </si>
  <si>
    <t>13420</t>
  </si>
  <si>
    <t>MB8DP11AEK6D38015</t>
  </si>
  <si>
    <t>AF212246842</t>
  </si>
  <si>
    <t>2024-11-17 19:56:17</t>
  </si>
  <si>
    <t xml:space="preserve">MAYANK AGRAWAL </t>
  </si>
  <si>
    <t>DL8SCH5874</t>
  </si>
  <si>
    <t>19110</t>
  </si>
  <si>
    <t>MD626EG43J1D73618</t>
  </si>
  <si>
    <t>EG4DJ1603767</t>
  </si>
  <si>
    <t>2024-11-22 18:49:30</t>
  </si>
  <si>
    <t>33254</t>
  </si>
  <si>
    <t>2024-11-22 18:50:10</t>
  </si>
  <si>
    <t>Arun Bagul</t>
  </si>
  <si>
    <t>MH14HR8131</t>
  </si>
  <si>
    <t>9363</t>
  </si>
  <si>
    <t>MD626AG36K2E10110</t>
  </si>
  <si>
    <t>2025-05-11 20:35:53</t>
  </si>
  <si>
    <t>Bharti</t>
  </si>
  <si>
    <t>MH40AU0862</t>
  </si>
  <si>
    <t>37339</t>
  </si>
  <si>
    <t>2024-11-17 20:07:36</t>
  </si>
  <si>
    <t>Meghraj</t>
  </si>
  <si>
    <t>MH14HY7094</t>
  </si>
  <si>
    <t>14788</t>
  </si>
  <si>
    <t>ME4JF50BLKW108158</t>
  </si>
  <si>
    <t>JF50EW1108207</t>
  </si>
  <si>
    <t>2024-11-17 19:39:47</t>
  </si>
  <si>
    <t>MANAN DHOLKIA</t>
  </si>
  <si>
    <t>MH14DS5834</t>
  </si>
  <si>
    <t>68597</t>
  </si>
  <si>
    <t>MD2A12DZ7CCH43180</t>
  </si>
  <si>
    <t>DJZCCH45210</t>
  </si>
  <si>
    <t>2024-11-22 18:50:31</t>
  </si>
  <si>
    <t xml:space="preserve">Tanveer Patil </t>
  </si>
  <si>
    <t>MH12JL8604</t>
  </si>
  <si>
    <t>62609</t>
  </si>
  <si>
    <t>2024-10-24 19:33:37</t>
  </si>
  <si>
    <t>2570</t>
  </si>
  <si>
    <t>2024-10-24 19:35:38</t>
  </si>
  <si>
    <t xml:space="preserve">SUJIT TYAGI </t>
  </si>
  <si>
    <t>UP14CM7732</t>
  </si>
  <si>
    <t>40062</t>
  </si>
  <si>
    <t>2024-10-24 19:36:13</t>
  </si>
  <si>
    <t>KSHAMA GALAPURE</t>
  </si>
  <si>
    <t>MH14DQ6615</t>
  </si>
  <si>
    <t>26560</t>
  </si>
  <si>
    <t>2024-10-24 19:34:30</t>
  </si>
  <si>
    <t>44459</t>
  </si>
  <si>
    <t>0209 ₹</t>
  </si>
  <si>
    <t>2024-11-17 19:33:20</t>
  </si>
  <si>
    <t>2024-11-17 20:07:17</t>
  </si>
  <si>
    <t>MAUSAM MALVIYA</t>
  </si>
  <si>
    <t>MH12MG3872</t>
  </si>
  <si>
    <t>32249</t>
  </si>
  <si>
    <t>2024-11-17 19:38:55</t>
  </si>
  <si>
    <t>Rohan Patil</t>
  </si>
  <si>
    <t>MH15FE6685</t>
  </si>
  <si>
    <t>44347</t>
  </si>
  <si>
    <t>MB8NG4BBBG8140189</t>
  </si>
  <si>
    <t>BGA1248521</t>
  </si>
  <si>
    <t>2024-11-17 19:58:12</t>
  </si>
  <si>
    <t>51646</t>
  </si>
  <si>
    <t>2024-11-17 19:36:23</t>
  </si>
  <si>
    <t>Nitin Patel</t>
  </si>
  <si>
    <t>MH39E2114</t>
  </si>
  <si>
    <t>53348</t>
  </si>
  <si>
    <t>2024-11-19 14:54:44</t>
  </si>
  <si>
    <t>2024-11-17 20:04:24</t>
  </si>
  <si>
    <t>38672</t>
  </si>
  <si>
    <t>2025-03-08 20:43:17</t>
  </si>
  <si>
    <t>SONALI</t>
  </si>
  <si>
    <t>MH01BJ0171</t>
  </si>
  <si>
    <t>25093</t>
  </si>
  <si>
    <t>MB8CA4CALC826483</t>
  </si>
  <si>
    <t>CF4862166708</t>
  </si>
  <si>
    <t>2025-03-08 20:36:13</t>
  </si>
  <si>
    <t xml:space="preserve">AMIT GAIKWAD </t>
  </si>
  <si>
    <t>MH12RD7502</t>
  </si>
  <si>
    <t>53299</t>
  </si>
  <si>
    <t>ME4JF50AJJU305795</t>
  </si>
  <si>
    <t>JF50EU73588</t>
  </si>
  <si>
    <t>2024-10-25 19:41:50</t>
  </si>
  <si>
    <t>MH14FP1348</t>
  </si>
  <si>
    <t>30838</t>
  </si>
  <si>
    <t>ME4JF305DGT30T3012870</t>
  </si>
  <si>
    <t>JF50ET3301679</t>
  </si>
  <si>
    <t>2024-10-25 19:41:01</t>
  </si>
  <si>
    <t>372715</t>
  </si>
  <si>
    <t>2024-11-17 19:41:52</t>
  </si>
  <si>
    <t>Tushar Gavhane</t>
  </si>
  <si>
    <t>MH17AY4097</t>
  </si>
  <si>
    <t>ME4JC586HDT045829</t>
  </si>
  <si>
    <t>JC58ET3048034</t>
  </si>
  <si>
    <t>2024-11-17 20:06:41</t>
  </si>
  <si>
    <t>Manu</t>
  </si>
  <si>
    <t>MH14GJ9489</t>
  </si>
  <si>
    <t>49654</t>
  </si>
  <si>
    <t>2024-11-17 20:06:25</t>
  </si>
  <si>
    <t>MH14JS4240</t>
  </si>
  <si>
    <t>15621</t>
  </si>
  <si>
    <t>2025-03-08 20:37:31</t>
  </si>
  <si>
    <t>Vijay Laxman</t>
  </si>
  <si>
    <t>MH14GB4162</t>
  </si>
  <si>
    <t>21331</t>
  </si>
  <si>
    <t>ME4JF399HGU037771</t>
  </si>
  <si>
    <t>JF39EU1046266</t>
  </si>
  <si>
    <t>2025-03-08 20:36:47</t>
  </si>
  <si>
    <t>Pankaj Sonar</t>
  </si>
  <si>
    <t>MH14DS7892</t>
  </si>
  <si>
    <t>24760</t>
  </si>
  <si>
    <t>ME4JC448LC7677858</t>
  </si>
  <si>
    <t>JC44E5678140</t>
  </si>
  <si>
    <t>2025-03-08 20:38:01</t>
  </si>
  <si>
    <t>2024-10-25 19:42:23</t>
  </si>
  <si>
    <t>70586</t>
  </si>
  <si>
    <t>2025-03-08 20:39:21</t>
  </si>
  <si>
    <t>40410</t>
  </si>
  <si>
    <t>2024-11-17 19:57:44</t>
  </si>
  <si>
    <t>MH14CT5977</t>
  </si>
  <si>
    <t>4590</t>
  </si>
  <si>
    <t>ME121CD54B2033959</t>
  </si>
  <si>
    <t>21C5034137</t>
  </si>
  <si>
    <t>2025-03-08 20:39:42</t>
  </si>
  <si>
    <t>5460</t>
  </si>
  <si>
    <t>2025-03-08 20:40:08</t>
  </si>
  <si>
    <t>40136</t>
  </si>
  <si>
    <t>2024-10-25 19:40:44</t>
  </si>
  <si>
    <t>MANJU</t>
  </si>
  <si>
    <t>MH14ES7810</t>
  </si>
  <si>
    <t>21474</t>
  </si>
  <si>
    <t>ME4JG02LET611792</t>
  </si>
  <si>
    <t>JF50ET1613551</t>
  </si>
  <si>
    <t>2024-10-25 19:43:06</t>
  </si>
  <si>
    <t>SATYAM DANGE</t>
  </si>
  <si>
    <t>MH12LB3334</t>
  </si>
  <si>
    <t>Royal Enfield Continental GT 500</t>
  </si>
  <si>
    <t>88253</t>
  </si>
  <si>
    <t>2024-10-25 20:02:18</t>
  </si>
  <si>
    <t>28308</t>
  </si>
  <si>
    <t>102 ₹</t>
  </si>
  <si>
    <t>2025-03-28 19:40:47</t>
  </si>
  <si>
    <t>Nikhil Gandhi</t>
  </si>
  <si>
    <t>MH14HB0419</t>
  </si>
  <si>
    <t>31032</t>
  </si>
  <si>
    <t>ME1RG5217J0024401</t>
  </si>
  <si>
    <t>3K5ED002472</t>
  </si>
  <si>
    <t>2024-11-17 19:45:12</t>
  </si>
  <si>
    <t>Abhishek Mohod</t>
  </si>
  <si>
    <t>MH27BS0585</t>
  </si>
  <si>
    <t>2024-10-26 19:30:04</t>
  </si>
  <si>
    <t>Sonal Deshmukh</t>
  </si>
  <si>
    <t>MH14EN8655</t>
  </si>
  <si>
    <t>32165</t>
  </si>
  <si>
    <t>MD626BG41E1H56543</t>
  </si>
  <si>
    <t>BG4HE153006</t>
  </si>
  <si>
    <t>2024-10-26 19:47:49</t>
  </si>
  <si>
    <t xml:space="preserve">SANDIP KUMAR </t>
  </si>
  <si>
    <t>UP70CJ2302</t>
  </si>
  <si>
    <t>19224</t>
  </si>
  <si>
    <t>MD2A11CGZ0DCG23637</t>
  </si>
  <si>
    <t>DHZCDG04173</t>
  </si>
  <si>
    <t>2025-04-23 19:29:46</t>
  </si>
  <si>
    <t>24274</t>
  </si>
  <si>
    <t>2024-10-26 19:27:15</t>
  </si>
  <si>
    <t xml:space="preserve">KULDEEP </t>
  </si>
  <si>
    <t>MH12TX6967</t>
  </si>
  <si>
    <t>12846</t>
  </si>
  <si>
    <t>ME1RG667CM00G1096</t>
  </si>
  <si>
    <t>G3N3E0152371</t>
  </si>
  <si>
    <t>2024-10-26 19:27:47</t>
  </si>
  <si>
    <t>MH14HY1419</t>
  </si>
  <si>
    <t>53777</t>
  </si>
  <si>
    <t>2025-03-28 19:38:39</t>
  </si>
  <si>
    <t>18745</t>
  </si>
  <si>
    <t>2025-03-28 19:39:23</t>
  </si>
  <si>
    <t>14135</t>
  </si>
  <si>
    <t>2025-03-28 19:41:34</t>
  </si>
  <si>
    <t xml:space="preserve">NIKHIL SAPKAL </t>
  </si>
  <si>
    <t>MH11CV5522</t>
  </si>
  <si>
    <t>33293</t>
  </si>
  <si>
    <t>XX</t>
  </si>
  <si>
    <t>PDYCKH19037</t>
  </si>
  <si>
    <t>2025-03-28 19:40:11</t>
  </si>
  <si>
    <t>Subodh</t>
  </si>
  <si>
    <t>MH29BY8102</t>
  </si>
  <si>
    <t>15493</t>
  </si>
  <si>
    <t>ME4JC83DKNG192500</t>
  </si>
  <si>
    <t>JC83EG3373054</t>
  </si>
  <si>
    <t>2025-03-28 19:42:30</t>
  </si>
  <si>
    <t xml:space="preserve">ANURAG PARMAR </t>
  </si>
  <si>
    <t>MH14DR1021</t>
  </si>
  <si>
    <t>28028</t>
  </si>
  <si>
    <t>2024-10-26 19:25:18</t>
  </si>
  <si>
    <t>Deepak Kulkarni</t>
  </si>
  <si>
    <t>MH14GK5021</t>
  </si>
  <si>
    <t>18667</t>
  </si>
  <si>
    <t>MD626EG46H3G1543</t>
  </si>
  <si>
    <t>EG4GH230468</t>
  </si>
  <si>
    <t>2025-03-28 19:43:14</t>
  </si>
  <si>
    <t>MH14FA1021</t>
  </si>
  <si>
    <t>20873</t>
  </si>
  <si>
    <t>2025-03-28 19:44:44</t>
  </si>
  <si>
    <t xml:space="preserve">MAHESH KUMBHAR </t>
  </si>
  <si>
    <t>MH12UG3114</t>
  </si>
  <si>
    <t>20042</t>
  </si>
  <si>
    <t>ME4JC85EDNG048526</t>
  </si>
  <si>
    <t>JC85EG2076058</t>
  </si>
  <si>
    <t>2024-10-26 19:25:01</t>
  </si>
  <si>
    <t>Vinayak</t>
  </si>
  <si>
    <t>MH05CE1342</t>
  </si>
  <si>
    <t>34901</t>
  </si>
  <si>
    <t>ME4JF491F8014642</t>
  </si>
  <si>
    <t>JF45E80016573</t>
  </si>
  <si>
    <t>2024-10-26 20:19:17</t>
  </si>
  <si>
    <t>15264</t>
  </si>
  <si>
    <t>2025-03-28 19:57:08</t>
  </si>
  <si>
    <t>2024-10-26 19:24:43</t>
  </si>
  <si>
    <t>MH12JJ8830</t>
  </si>
  <si>
    <t>3500</t>
  </si>
  <si>
    <t>2025-04-23 20:10:56</t>
  </si>
  <si>
    <t>2024-10-26 20:18:34</t>
  </si>
  <si>
    <t>RAVI MALI</t>
  </si>
  <si>
    <t>MH14JB4779</t>
  </si>
  <si>
    <t>07559</t>
  </si>
  <si>
    <t>2024-10-26 19:35:06</t>
  </si>
  <si>
    <t>HR26V7103</t>
  </si>
  <si>
    <t>25982</t>
  </si>
  <si>
    <t>04F09C18852</t>
  </si>
  <si>
    <t>04F08M19033</t>
  </si>
  <si>
    <t>2024-10-26 19:28:23</t>
  </si>
  <si>
    <t>MH14HV9388</t>
  </si>
  <si>
    <t>27176</t>
  </si>
  <si>
    <t>MD626A672K207620</t>
  </si>
  <si>
    <t>BG7LK29079</t>
  </si>
  <si>
    <t>2024-10-26 19:40:06</t>
  </si>
  <si>
    <t>34072</t>
  </si>
  <si>
    <t>2024-10-26 19:54:23</t>
  </si>
  <si>
    <t>MH14FK1194</t>
  </si>
  <si>
    <t>46542</t>
  </si>
  <si>
    <t>MB86F4CAMF872024</t>
  </si>
  <si>
    <t>2024-10-26 19:26:03</t>
  </si>
  <si>
    <t>Vivek Sane</t>
  </si>
  <si>
    <t>MH12PM6994</t>
  </si>
  <si>
    <t>14168</t>
  </si>
  <si>
    <t>ME4JF496HHU001173</t>
  </si>
  <si>
    <t>2025-01-12 12:11:16</t>
  </si>
  <si>
    <t>Borikar</t>
  </si>
  <si>
    <t>MH14ER5886</t>
  </si>
  <si>
    <t>23001</t>
  </si>
  <si>
    <t>MD526BG445E1L10277</t>
  </si>
  <si>
    <t>BG4LE1306115</t>
  </si>
  <si>
    <t>2024-10-26 20:38:59</t>
  </si>
  <si>
    <t>37508</t>
  </si>
  <si>
    <t>2024-10-26 20:49:13</t>
  </si>
  <si>
    <t>2024-11-17 20:03:16</t>
  </si>
  <si>
    <t>37891</t>
  </si>
  <si>
    <t>2024-11-17 20:05:41</t>
  </si>
  <si>
    <t>Vinayak Katkar</t>
  </si>
  <si>
    <t>MH14GX6537</t>
  </si>
  <si>
    <t>3</t>
  </si>
  <si>
    <t>ME4JF50AEJ7074827</t>
  </si>
  <si>
    <t>JE50E77074864</t>
  </si>
  <si>
    <t>2024-11-17 19:44:27</t>
  </si>
  <si>
    <t>2025-04-23 19:07:45</t>
  </si>
  <si>
    <t>26107</t>
  </si>
  <si>
    <t>0178 ₹</t>
  </si>
  <si>
    <t>2024-11-17 19:46:20</t>
  </si>
  <si>
    <t>Avishkar Barse</t>
  </si>
  <si>
    <t>MH14ES3430</t>
  </si>
  <si>
    <t>38869</t>
  </si>
  <si>
    <t>2024-10-27 18:59:27</t>
  </si>
  <si>
    <t>Sneha Sathe</t>
  </si>
  <si>
    <t>MH14HJ3006</t>
  </si>
  <si>
    <t>30954</t>
  </si>
  <si>
    <t>MD626EG4TJIP1602</t>
  </si>
  <si>
    <t>EG4PJ131035</t>
  </si>
  <si>
    <t>2024-10-27 20:39:06</t>
  </si>
  <si>
    <t>RANJANKUMAR GIRI</t>
  </si>
  <si>
    <t>MH12RS0637</t>
  </si>
  <si>
    <t>2024-10-27 18:58:11</t>
  </si>
  <si>
    <t xml:space="preserve">SACHIN DESHMUKH </t>
  </si>
  <si>
    <t>MH14ES4875</t>
  </si>
  <si>
    <t>18307</t>
  </si>
  <si>
    <t>2024-10-27 18:58:58</t>
  </si>
  <si>
    <t>2025-03-09 20:45:40</t>
  </si>
  <si>
    <t>AKASH SOMESHWAR THAKARE</t>
  </si>
  <si>
    <t>MH20EC1254</t>
  </si>
  <si>
    <t>39302</t>
  </si>
  <si>
    <t>2024-11-19 14:53:20</t>
  </si>
  <si>
    <t xml:space="preserve">Surabhi </t>
  </si>
  <si>
    <t>MH12QQ9535</t>
  </si>
  <si>
    <t>Honda Grazia No Data</t>
  </si>
  <si>
    <t>14446</t>
  </si>
  <si>
    <t>028050</t>
  </si>
  <si>
    <t>3118817</t>
  </si>
  <si>
    <t>2025-04-23 19:09:45</t>
  </si>
  <si>
    <t>Abhishek Waghchaure</t>
  </si>
  <si>
    <t>MH17AH5907</t>
  </si>
  <si>
    <t>05259</t>
  </si>
  <si>
    <t>2025-03-09 13:07:05</t>
  </si>
  <si>
    <t xml:space="preserve">AMIT WAGHMARE </t>
  </si>
  <si>
    <t>MH20EA1806</t>
  </si>
  <si>
    <t>30544</t>
  </si>
  <si>
    <t>2024-10-27 20:38:53</t>
  </si>
  <si>
    <t>PRASHANT PATIL</t>
  </si>
  <si>
    <t>MH14EG4258</t>
  </si>
  <si>
    <t>39133</t>
  </si>
  <si>
    <t>MD62BG4X1BG088</t>
  </si>
  <si>
    <t>BG4BE1087584</t>
  </si>
  <si>
    <t>2024-10-27 18:56:17</t>
  </si>
  <si>
    <t>AKASH CHAVAN</t>
  </si>
  <si>
    <t>MH14KL0310</t>
  </si>
  <si>
    <t>11890</t>
  </si>
  <si>
    <t>MD623AF99NIL13785</t>
  </si>
  <si>
    <t>BF9LN1103439</t>
  </si>
  <si>
    <t>2024-10-27 19:00:33</t>
  </si>
  <si>
    <t>57022</t>
  </si>
  <si>
    <t>2024-10-27 20:37:51</t>
  </si>
  <si>
    <t xml:space="preserve">ABHIJIT DESHMUKH </t>
  </si>
  <si>
    <t>MH38AC3356</t>
  </si>
  <si>
    <t>33646</t>
  </si>
  <si>
    <t>2024-10-27 20:39:20</t>
  </si>
  <si>
    <t xml:space="preserve">Parshuram Sable </t>
  </si>
  <si>
    <t>MH14BP7315</t>
  </si>
  <si>
    <t>79617</t>
  </si>
  <si>
    <t>2024-11-17 20:01:03</t>
  </si>
  <si>
    <t>6955</t>
  </si>
  <si>
    <t>MB8DPLN8E15476</t>
  </si>
  <si>
    <t>AF21277856</t>
  </si>
  <si>
    <t>2024-11-17 19:34:17</t>
  </si>
  <si>
    <t>Amit Suryavanshi</t>
  </si>
  <si>
    <t>MH10DC9865</t>
  </si>
  <si>
    <t>13417</t>
  </si>
  <si>
    <t>ME4JC65AKT154753</t>
  </si>
  <si>
    <t>JC65ET2243831</t>
  </si>
  <si>
    <t>2024-10-28 10:21:22</t>
  </si>
  <si>
    <t>SNEHDEEP</t>
  </si>
  <si>
    <t>MH14FV8321</t>
  </si>
  <si>
    <t>42850</t>
  </si>
  <si>
    <t>2024-11-17 19:53:53</t>
  </si>
  <si>
    <t xml:space="preserve">PATIL </t>
  </si>
  <si>
    <t>MH14FN9387</t>
  </si>
  <si>
    <t>28003</t>
  </si>
  <si>
    <t>2024-11-17 20:01:53</t>
  </si>
  <si>
    <t>Prashik</t>
  </si>
  <si>
    <t>MH31FJ7569</t>
  </si>
  <si>
    <t>35764</t>
  </si>
  <si>
    <t>MD2A36F47JCE58918</t>
  </si>
  <si>
    <t>JL5CE55886</t>
  </si>
  <si>
    <t>2024-11-17 20:06:54</t>
  </si>
  <si>
    <t>2443</t>
  </si>
  <si>
    <t>2024-11-19 14:52:01</t>
  </si>
  <si>
    <t>MH22AJ191</t>
  </si>
  <si>
    <t>30368</t>
  </si>
  <si>
    <t>MBLJF1BE9GGD00447</t>
  </si>
  <si>
    <t>JF33AATG001096</t>
  </si>
  <si>
    <t>2024-10-28 18:57:20</t>
  </si>
  <si>
    <t>2024-11-17 20:31:59</t>
  </si>
  <si>
    <t>Ravindra Kavitkar</t>
  </si>
  <si>
    <t>MH14CB7678</t>
  </si>
  <si>
    <t>ME121C064A2001636</t>
  </si>
  <si>
    <t>21G60001626</t>
  </si>
  <si>
    <t>2024-10-30 18:58:58</t>
  </si>
  <si>
    <t>AKSHIT</t>
  </si>
  <si>
    <t>MH14GK5110</t>
  </si>
  <si>
    <t>61279</t>
  </si>
  <si>
    <t>MDZA92CY9HCD03907</t>
  </si>
  <si>
    <t>JEYCD16289</t>
  </si>
  <si>
    <t>2025-03-09 20:37:56</t>
  </si>
  <si>
    <t>08369</t>
  </si>
  <si>
    <t>2024-10-28 18:56:12</t>
  </si>
  <si>
    <t>Ishan</t>
  </si>
  <si>
    <t>MH09QW3180</t>
  </si>
  <si>
    <t>46294</t>
  </si>
  <si>
    <t>ME4KE238JG8003278</t>
  </si>
  <si>
    <t>KC23E80093561</t>
  </si>
  <si>
    <t>2024-10-28 18:54:09</t>
  </si>
  <si>
    <t>Arvind Kalbhor</t>
  </si>
  <si>
    <t>MH11DF3581</t>
  </si>
  <si>
    <t>13400</t>
  </si>
  <si>
    <t>MD626AK40N1D00891</t>
  </si>
  <si>
    <t>BK4DN1700961</t>
  </si>
  <si>
    <t>2024-10-28 18:55:00</t>
  </si>
  <si>
    <t>11568</t>
  </si>
  <si>
    <t>2024-10-28 18:53:02</t>
  </si>
  <si>
    <t>39631</t>
  </si>
  <si>
    <t>2024-10-28 18:54:39</t>
  </si>
  <si>
    <t>58370</t>
  </si>
  <si>
    <t>2024-10-28 18:51:26</t>
  </si>
  <si>
    <t xml:space="preserve">Sagar Kal Shetty </t>
  </si>
  <si>
    <t>MH14GJ8381</t>
  </si>
  <si>
    <t>36179</t>
  </si>
  <si>
    <t>2024-10-28 19:14:43</t>
  </si>
  <si>
    <t>MH04JT0548</t>
  </si>
  <si>
    <t>39987</t>
  </si>
  <si>
    <t>2024-10-28 18:53:28</t>
  </si>
  <si>
    <t>42772</t>
  </si>
  <si>
    <t>2024-11-19 19:27:22</t>
  </si>
  <si>
    <t>2025-07-13 19:58:06</t>
  </si>
  <si>
    <t>KIRAN DASHRATH</t>
  </si>
  <si>
    <t>MH14CR4383</t>
  </si>
  <si>
    <t>64254</t>
  </si>
  <si>
    <t>2025-04-23 21:04:53</t>
  </si>
  <si>
    <t>2025-03-10 19:45:29</t>
  </si>
  <si>
    <t>Yogesh Jadhav</t>
  </si>
  <si>
    <t>MH20DZ1000</t>
  </si>
  <si>
    <t>34298</t>
  </si>
  <si>
    <t>55 ₹</t>
  </si>
  <si>
    <t>2025-03-10 19:44:12</t>
  </si>
  <si>
    <t>MH12NL6145</t>
  </si>
  <si>
    <t>19570</t>
  </si>
  <si>
    <t>MET0001AA4J002193</t>
  </si>
  <si>
    <t>2025-03-09 20:44:42</t>
  </si>
  <si>
    <t>JOSHI</t>
  </si>
  <si>
    <t>MH21AG2613</t>
  </si>
  <si>
    <t>73256</t>
  </si>
  <si>
    <t>2024-11-19 15:36:45</t>
  </si>
  <si>
    <t>MH14EZ2196</t>
  </si>
  <si>
    <t>20648</t>
  </si>
  <si>
    <t>ME4JF394DF7008395</t>
  </si>
  <si>
    <t>JF39E70321625</t>
  </si>
  <si>
    <t>2024-11-17 20:04:55</t>
  </si>
  <si>
    <t>SACHIN BHALERAO</t>
  </si>
  <si>
    <t>MH14HJ7482</t>
  </si>
  <si>
    <t>ME4JF50BMJ4176176</t>
  </si>
  <si>
    <t>JF50EE8176230</t>
  </si>
  <si>
    <t>2025-04-23 19:09:07</t>
  </si>
  <si>
    <t>Ankit Rajput</t>
  </si>
  <si>
    <t>MH12EC4797</t>
  </si>
  <si>
    <t>39466</t>
  </si>
  <si>
    <t>2024-11-30 11:33:40</t>
  </si>
  <si>
    <t>MH14DR6484</t>
  </si>
  <si>
    <t>44710</t>
  </si>
  <si>
    <t>MD626AG47C1A32220</t>
  </si>
  <si>
    <t>OG4AC1316661</t>
  </si>
  <si>
    <t>2024-10-30 11:57:38</t>
  </si>
  <si>
    <t>Laxmi Chavan</t>
  </si>
  <si>
    <t>MH14DR3639</t>
  </si>
  <si>
    <t>17300</t>
  </si>
  <si>
    <t>2024-11-19 14:44:51</t>
  </si>
  <si>
    <t>Tambe</t>
  </si>
  <si>
    <t>MH14EF5848</t>
  </si>
  <si>
    <t>46809</t>
  </si>
  <si>
    <t>2025-03-09 20:30:18</t>
  </si>
  <si>
    <t>MH12KU1835</t>
  </si>
  <si>
    <t>24077</t>
  </si>
  <si>
    <t>ME4JC586HD7032447</t>
  </si>
  <si>
    <t>JC58ETJ033973</t>
  </si>
  <si>
    <t>2024-11-18 18:18:49</t>
  </si>
  <si>
    <t xml:space="preserve">JAYAANT KASAR </t>
  </si>
  <si>
    <t>MH12JH8828</t>
  </si>
  <si>
    <t>43969</t>
  </si>
  <si>
    <t>2024-11-19 14:55:23</t>
  </si>
  <si>
    <t xml:space="preserve">RAMDAS JADHAV </t>
  </si>
  <si>
    <t>MH14ES7067</t>
  </si>
  <si>
    <t>2025-07-13 19:54:30</t>
  </si>
  <si>
    <t xml:space="preserve">SUMIT </t>
  </si>
  <si>
    <t>MH12RQ6076</t>
  </si>
  <si>
    <t>13678</t>
  </si>
  <si>
    <t>ME4JF498FJU71337</t>
  </si>
  <si>
    <t>JF49EU3165670</t>
  </si>
  <si>
    <t>2024-11-19 19:56:04</t>
  </si>
  <si>
    <t>SHIV SAGAR</t>
  </si>
  <si>
    <t>MH14BW4737</t>
  </si>
  <si>
    <t>73431</t>
  </si>
  <si>
    <t>MBLK12EC9GJ8412</t>
  </si>
  <si>
    <t>KC12EB9GJ07683</t>
  </si>
  <si>
    <t>2025-03-09 20:42:14</t>
  </si>
  <si>
    <t>IMRAN INAMDAR</t>
  </si>
  <si>
    <t>MH14FE8998</t>
  </si>
  <si>
    <t>81481</t>
  </si>
  <si>
    <t>MB8NG4BBJF812125</t>
  </si>
  <si>
    <t>BGA1200107</t>
  </si>
  <si>
    <t>2024-11-17 20:06:09</t>
  </si>
  <si>
    <t>MH14HS9748</t>
  </si>
  <si>
    <t>11823</t>
  </si>
  <si>
    <t>2025-03-13 19:50:46</t>
  </si>
  <si>
    <t>Snehdeep</t>
  </si>
  <si>
    <t>MH14FU8411</t>
  </si>
  <si>
    <t>21973</t>
  </si>
  <si>
    <t>MB8DP11A668174297</t>
  </si>
  <si>
    <t>AF211068473</t>
  </si>
  <si>
    <t>2024-10-30 22:52:27</t>
  </si>
  <si>
    <t>39156</t>
  </si>
  <si>
    <t>2025-03-09 20:46:29</t>
  </si>
  <si>
    <t>MH12PW2927</t>
  </si>
  <si>
    <t>79962</t>
  </si>
  <si>
    <t>2024-11-19 19:57:10</t>
  </si>
  <si>
    <t>66039</t>
  </si>
  <si>
    <t>2025-03-09 20:34:31</t>
  </si>
  <si>
    <t>44471</t>
  </si>
  <si>
    <t>2025-03-09 20:36:04</t>
  </si>
  <si>
    <t>LAKSH KHANDALE</t>
  </si>
  <si>
    <t>MH16BK5557</t>
  </si>
  <si>
    <t>66079</t>
  </si>
  <si>
    <t>042 ₹</t>
  </si>
  <si>
    <t>2025-03-09 20:36:19</t>
  </si>
  <si>
    <t>Vrushab</t>
  </si>
  <si>
    <t>MH27DQ4765</t>
  </si>
  <si>
    <t>Hero Xpulse 200T</t>
  </si>
  <si>
    <t>2854</t>
  </si>
  <si>
    <t>2025-03-09 20:38:48</t>
  </si>
  <si>
    <t xml:space="preserve">Shailesh </t>
  </si>
  <si>
    <t>MH12PK3558</t>
  </si>
  <si>
    <t>12762</t>
  </si>
  <si>
    <t>M626EG42H1B19991</t>
  </si>
  <si>
    <t>EG4BH1228444</t>
  </si>
  <si>
    <t>2025-03-09 20:40:41</t>
  </si>
  <si>
    <t>MH12UE2808</t>
  </si>
  <si>
    <t>KTM Duke 125</t>
  </si>
  <si>
    <t>24600</t>
  </si>
  <si>
    <t>2025-03-09 20:42:42</t>
  </si>
  <si>
    <t>PIYUSH KANKRIYA</t>
  </si>
  <si>
    <t>MH14KC9780</t>
  </si>
  <si>
    <t>6229</t>
  </si>
  <si>
    <t>ME4JF91AFN9317673</t>
  </si>
  <si>
    <t>JF90E9718736</t>
  </si>
  <si>
    <t>2025-03-09 20:43:11</t>
  </si>
  <si>
    <t>26032</t>
  </si>
  <si>
    <t>2025-03-09 20:41:16</t>
  </si>
  <si>
    <t>79637</t>
  </si>
  <si>
    <t>2024-10-31 14:53:18</t>
  </si>
  <si>
    <t>48236</t>
  </si>
  <si>
    <t>2024-11-19 19:56:54</t>
  </si>
  <si>
    <t>MACHINDRA VETAL</t>
  </si>
  <si>
    <t>MH17CL3683</t>
  </si>
  <si>
    <t>46631</t>
  </si>
  <si>
    <t>2025-03-09 20:48:00</t>
  </si>
  <si>
    <t>Shreyas Irape</t>
  </si>
  <si>
    <t>MH14HF8289</t>
  </si>
  <si>
    <t>33703</t>
  </si>
  <si>
    <t>MD2JUCYHXJC032503</t>
  </si>
  <si>
    <t>8490656444</t>
  </si>
  <si>
    <t>2024-11-19 14:47:44</t>
  </si>
  <si>
    <t>Shubham Narkhede</t>
  </si>
  <si>
    <t>MH19EC5019</t>
  </si>
  <si>
    <t>11046</t>
  </si>
  <si>
    <t>MD2B72BK6NCH31612</t>
  </si>
  <si>
    <t>JEXCN34456</t>
  </si>
  <si>
    <t>2024-11-19 14:50:11</t>
  </si>
  <si>
    <t>MH09DC6361</t>
  </si>
  <si>
    <t>43715</t>
  </si>
  <si>
    <t>2025-07-13 19:52:21</t>
  </si>
  <si>
    <t>16373</t>
  </si>
  <si>
    <t>2024-11-19 15:36:28</t>
  </si>
  <si>
    <t>23371</t>
  </si>
  <si>
    <t>2025-07-13 19:53:12</t>
  </si>
  <si>
    <t>19286</t>
  </si>
  <si>
    <t>2025-07-13 19:53:54</t>
  </si>
  <si>
    <t>29711</t>
  </si>
  <si>
    <t>2024-11-19 19:57:47</t>
  </si>
  <si>
    <t>15776</t>
  </si>
  <si>
    <t>2025-03-09 20:40:03</t>
  </si>
  <si>
    <t xml:space="preserve">DEVENDRA </t>
  </si>
  <si>
    <t>MH12SZ6090</t>
  </si>
  <si>
    <t>48087</t>
  </si>
  <si>
    <t>MD2A22EX9LCG11015</t>
  </si>
  <si>
    <t>PDXCL028688</t>
  </si>
  <si>
    <t>2024-10-30 18:58:35</t>
  </si>
  <si>
    <t>2024-11-19 20:14:52</t>
  </si>
  <si>
    <t>ATUL PATEL</t>
  </si>
  <si>
    <t>MH12PP8426</t>
  </si>
  <si>
    <t>28423</t>
  </si>
  <si>
    <t>ME4JF507HHV488650</t>
  </si>
  <si>
    <t>JF50EU548866</t>
  </si>
  <si>
    <t>2024-10-23 18:42:53</t>
  </si>
  <si>
    <t>43552</t>
  </si>
  <si>
    <t>2024-10-27 18:57:30</t>
  </si>
  <si>
    <t>Debabrata Mohanty</t>
  </si>
  <si>
    <t>MH14EW1653</t>
  </si>
  <si>
    <t>31057</t>
  </si>
  <si>
    <t>MB8NG4BAAF8133800</t>
  </si>
  <si>
    <t>BGA1137385</t>
  </si>
  <si>
    <t>2024-10-30 19:00:01</t>
  </si>
  <si>
    <t>RAOSAHEB LAHANE</t>
  </si>
  <si>
    <t>MH14DK0266</t>
  </si>
  <si>
    <t>39785</t>
  </si>
  <si>
    <t>MBLHA10EWHC23575</t>
  </si>
  <si>
    <t>HA10EDCHC35682</t>
  </si>
  <si>
    <t>2024-11-07 19:48:52</t>
  </si>
  <si>
    <t>Ajinkya Dalvi</t>
  </si>
  <si>
    <t>MH41AF8433</t>
  </si>
  <si>
    <t>4904</t>
  </si>
  <si>
    <t>59 ₹</t>
  </si>
  <si>
    <t>MET0000BASJ016601</t>
  </si>
  <si>
    <t>MH4914XZ226091</t>
  </si>
  <si>
    <t>2024-11-06 20:38:57</t>
  </si>
  <si>
    <t>13292</t>
  </si>
  <si>
    <t>2024-11-06 20:39:12</t>
  </si>
  <si>
    <t xml:space="preserve">Khanke </t>
  </si>
  <si>
    <t>MH14DE7826</t>
  </si>
  <si>
    <t>19577</t>
  </si>
  <si>
    <t>2024-11-07 19:41:37</t>
  </si>
  <si>
    <t xml:space="preserve">Dasgupta </t>
  </si>
  <si>
    <t>MH12DL9896</t>
  </si>
  <si>
    <t>31437</t>
  </si>
  <si>
    <t>MD2DHDHZZNCD06862</t>
  </si>
  <si>
    <t>DHGBND44774</t>
  </si>
  <si>
    <t>2024-11-08 20:10:51</t>
  </si>
  <si>
    <t>Umesh Chandak</t>
  </si>
  <si>
    <t>MH14FK6374</t>
  </si>
  <si>
    <t>32434</t>
  </si>
  <si>
    <t>ME4JF505AG701247</t>
  </si>
  <si>
    <t>JF50E73012506</t>
  </si>
  <si>
    <t>2024-11-07 19:40:59</t>
  </si>
  <si>
    <t>Sham Patil</t>
  </si>
  <si>
    <t>MH14EB5187</t>
  </si>
  <si>
    <t>58671</t>
  </si>
  <si>
    <t>ME4KC04CKD8574922</t>
  </si>
  <si>
    <t>K009E86554639</t>
  </si>
  <si>
    <t>2024-11-08 19:57:06</t>
  </si>
  <si>
    <t>2024-11-09 20:24:04</t>
  </si>
  <si>
    <t xml:space="preserve">Om Tripathi </t>
  </si>
  <si>
    <t>MH14KC5630</t>
  </si>
  <si>
    <t>9202</t>
  </si>
  <si>
    <t>ME4NC58BDNAD005772</t>
  </si>
  <si>
    <t>NC58EA2011965</t>
  </si>
  <si>
    <t>2024-11-09 20:24:56</t>
  </si>
  <si>
    <t>Shubham Bodke</t>
  </si>
  <si>
    <t>MH15HR9841</t>
  </si>
  <si>
    <t>20626</t>
  </si>
  <si>
    <t>ME4JC85AKMG036773</t>
  </si>
  <si>
    <t>JC85EG105530</t>
  </si>
  <si>
    <t>2024-11-09 20:35:32</t>
  </si>
  <si>
    <t>MH13AS5148</t>
  </si>
  <si>
    <t xml:space="preserve">Suzuki Zeus </t>
  </si>
  <si>
    <t>34442</t>
  </si>
  <si>
    <t>MB8NF4BCA818581</t>
  </si>
  <si>
    <t>479288365</t>
  </si>
  <si>
    <t>2024-11-09 20:27:39</t>
  </si>
  <si>
    <t>Sameer</t>
  </si>
  <si>
    <t>MH24X5560</t>
  </si>
  <si>
    <t>74879</t>
  </si>
  <si>
    <t>ME4JC448EB83B9258</t>
  </si>
  <si>
    <t>JC44E1420256</t>
  </si>
  <si>
    <t>2024-11-08 19:49:02</t>
  </si>
  <si>
    <t xml:space="preserve">GANESH CHAUDHARI </t>
  </si>
  <si>
    <t>MH12SJ2056</t>
  </si>
  <si>
    <t>24082</t>
  </si>
  <si>
    <t>ME1RG6618K0004954</t>
  </si>
  <si>
    <t>G3N60004368</t>
  </si>
  <si>
    <t>2024-11-08 19:48:12</t>
  </si>
  <si>
    <t>Shantanu Singh</t>
  </si>
  <si>
    <t>MH14FU3220</t>
  </si>
  <si>
    <t>52181</t>
  </si>
  <si>
    <t>MET0000EAUH006591</t>
  </si>
  <si>
    <t>M449MX31102937</t>
  </si>
  <si>
    <t>2024-11-11 19:19:27</t>
  </si>
  <si>
    <t>Siddhant Rai</t>
  </si>
  <si>
    <t>MH14JZ6755</t>
  </si>
  <si>
    <t>29575</t>
  </si>
  <si>
    <t>MD292DX0NCM07183</t>
  </si>
  <si>
    <t>JFXCNM28587</t>
  </si>
  <si>
    <t>2024-11-10 20:34:30</t>
  </si>
  <si>
    <t>Abhishek Jain</t>
  </si>
  <si>
    <t>MH12ND4639</t>
  </si>
  <si>
    <t>20917</t>
  </si>
  <si>
    <t>ME4JF505EG8138057</t>
  </si>
  <si>
    <t>JF50E83138174</t>
  </si>
  <si>
    <t>2024-11-18 18:19:08</t>
  </si>
  <si>
    <t>Pratik Patil</t>
  </si>
  <si>
    <t>MH14KE0768</t>
  </si>
  <si>
    <t>5414</t>
  </si>
  <si>
    <t>MB8DP12DFDFN8B87647</t>
  </si>
  <si>
    <t>AF217078080</t>
  </si>
  <si>
    <t>2024-11-19 14:46:17</t>
  </si>
  <si>
    <t>2025-05-31 20:39:22</t>
  </si>
  <si>
    <t>Shilendra Vane</t>
  </si>
  <si>
    <t>MH12SB2965</t>
  </si>
  <si>
    <t>106231</t>
  </si>
  <si>
    <t>2025-03-29 19:48:39</t>
  </si>
  <si>
    <t>MH41M6062</t>
  </si>
  <si>
    <t>2024-11-19 20:15:43</t>
  </si>
  <si>
    <t xml:space="preserve">SUJIT DESHPANDE </t>
  </si>
  <si>
    <t>MH12SR8338</t>
  </si>
  <si>
    <t>20798</t>
  </si>
  <si>
    <t>MB8DP12DCL8213201</t>
  </si>
  <si>
    <t>AF212303253</t>
  </si>
  <si>
    <t>2024-11-19 19:56:33</t>
  </si>
  <si>
    <t>39055</t>
  </si>
  <si>
    <t>2025-03-29 19:44:21</t>
  </si>
  <si>
    <t>0118 ₹</t>
  </si>
  <si>
    <t>2025-07-13 19:55:24</t>
  </si>
  <si>
    <t>22004</t>
  </si>
  <si>
    <t>2025-07-13 19:56:59</t>
  </si>
  <si>
    <t xml:space="preserve">Abhijit Thakur </t>
  </si>
  <si>
    <t>MH14KX8366</t>
  </si>
  <si>
    <t>10985</t>
  </si>
  <si>
    <t>MD626CG57P1F33425</t>
  </si>
  <si>
    <t>EG5FP1403786 JI</t>
  </si>
  <si>
    <t>2025-07-13 19:58:25</t>
  </si>
  <si>
    <t>22110</t>
  </si>
  <si>
    <t>2025-07-13 19:57:16</t>
  </si>
  <si>
    <t>Agastya</t>
  </si>
  <si>
    <t>MH12SH0117</t>
  </si>
  <si>
    <t>9218</t>
  </si>
  <si>
    <t>MD2AAACY1KCG45134</t>
  </si>
  <si>
    <t>2025-07-13 19:57:35</t>
  </si>
  <si>
    <t>30485</t>
  </si>
  <si>
    <t>2025-07-13 19:57:51</t>
  </si>
  <si>
    <t>40007</t>
  </si>
  <si>
    <t>2025-07-13 19:58:45</t>
  </si>
  <si>
    <t>45553</t>
  </si>
  <si>
    <t>2025-03-29 19:46:12</t>
  </si>
  <si>
    <t>Varun Rajwade</t>
  </si>
  <si>
    <t>MH12FQ9578</t>
  </si>
  <si>
    <t>64715</t>
  </si>
  <si>
    <t>MBLKC12EC9GH09615</t>
  </si>
  <si>
    <t>KC12EB9GH09502</t>
  </si>
  <si>
    <t>2025-07-13 19:59:27</t>
  </si>
  <si>
    <t xml:space="preserve">Mahesh </t>
  </si>
  <si>
    <t>MH26AY6606</t>
  </si>
  <si>
    <t>72510</t>
  </si>
  <si>
    <t>2025-07-13 19:59:44</t>
  </si>
  <si>
    <t>SAUMITRA</t>
  </si>
  <si>
    <t>MH19BY6062</t>
  </si>
  <si>
    <t>22250</t>
  </si>
  <si>
    <t>2025-05-31 20:40:52</t>
  </si>
  <si>
    <t>Sushma Daga</t>
  </si>
  <si>
    <t>MH16BS7404</t>
  </si>
  <si>
    <t>27426</t>
  </si>
  <si>
    <t>2024-11-21 19:36:46</t>
  </si>
  <si>
    <t>MH14FU4351</t>
  </si>
  <si>
    <t>36597</t>
  </si>
  <si>
    <t>MD626BG42G1G37712</t>
  </si>
  <si>
    <t>BG4GG1033213</t>
  </si>
  <si>
    <t>2025-03-12 20:18:05</t>
  </si>
  <si>
    <t>2025-03-10 19:43:43</t>
  </si>
  <si>
    <t>Gaurav</t>
  </si>
  <si>
    <t>MH14EX1006</t>
  </si>
  <si>
    <t>28660</t>
  </si>
  <si>
    <t>MBLHA10BJFHC89251</t>
  </si>
  <si>
    <t>2025-03-10 19:44:34</t>
  </si>
  <si>
    <t>Viren Datrani</t>
  </si>
  <si>
    <t>MH41AF2917</t>
  </si>
  <si>
    <t>42194</t>
  </si>
  <si>
    <t>ME1RG75EGC72G73</t>
  </si>
  <si>
    <t>G3C8E0030671</t>
  </si>
  <si>
    <t>2025-03-10 19:46:54</t>
  </si>
  <si>
    <t>38773</t>
  </si>
  <si>
    <t>2025-03-10 19:44:56</t>
  </si>
  <si>
    <t xml:space="preserve">ATHARVA KULKARNI </t>
  </si>
  <si>
    <t>MH12TJ2843</t>
  </si>
  <si>
    <t>35680</t>
  </si>
  <si>
    <t>ME4JF49MCMW018147</t>
  </si>
  <si>
    <t>JF49EW4125592</t>
  </si>
  <si>
    <t>2025-03-10 19:46:39</t>
  </si>
  <si>
    <t>ABHIJEET MISAL</t>
  </si>
  <si>
    <t>MH12JW487</t>
  </si>
  <si>
    <t>40105</t>
  </si>
  <si>
    <t>2025-03-10 19:46:06</t>
  </si>
  <si>
    <t>2025-03-10 19:53:42</t>
  </si>
  <si>
    <t xml:space="preserve">PRAJWAL </t>
  </si>
  <si>
    <t>MH12TJ2236</t>
  </si>
  <si>
    <t>24209</t>
  </si>
  <si>
    <t>MD637DE59M2B05288</t>
  </si>
  <si>
    <t>GE5BM2505241</t>
  </si>
  <si>
    <t>2024-11-19 14:49:02</t>
  </si>
  <si>
    <t>Mayur Wagh</t>
  </si>
  <si>
    <t>MH15FC2575</t>
  </si>
  <si>
    <t>2025-07-13 20:00:08</t>
  </si>
  <si>
    <t>14940</t>
  </si>
  <si>
    <t>2025-03-10 19:43:24</t>
  </si>
  <si>
    <t>11319</t>
  </si>
  <si>
    <t>2025-03-10 19:43:04</t>
  </si>
  <si>
    <t>MH14EK1221</t>
  </si>
  <si>
    <t>2025-03-29 19:42:26</t>
  </si>
  <si>
    <t>52413</t>
  </si>
  <si>
    <t>2024-11-21 19:32:09</t>
  </si>
  <si>
    <t>MH12QP5368</t>
  </si>
  <si>
    <t>63737</t>
  </si>
  <si>
    <t>2024-11-21 19:33:38</t>
  </si>
  <si>
    <t>ANVAY</t>
  </si>
  <si>
    <t>MH14FY7853</t>
  </si>
  <si>
    <t>ME4JC714GGT034488</t>
  </si>
  <si>
    <t>JC71ET0375198</t>
  </si>
  <si>
    <t>2024-11-21 19:37:50</t>
  </si>
  <si>
    <t>138265</t>
  </si>
  <si>
    <t>2024-11-21 19:50:49</t>
  </si>
  <si>
    <t>NAVEEN KUMAR</t>
  </si>
  <si>
    <t>TN31BJ3855</t>
  </si>
  <si>
    <t>47243</t>
  </si>
  <si>
    <t>110 ₹</t>
  </si>
  <si>
    <t>2024-11-22 17:14:07</t>
  </si>
  <si>
    <t xml:space="preserve">PRANAV </t>
  </si>
  <si>
    <t>GJ1LR6643</t>
  </si>
  <si>
    <t>29738</t>
  </si>
  <si>
    <t>2025-04-26 17:48:46</t>
  </si>
  <si>
    <t>MH31DL3908</t>
  </si>
  <si>
    <t>2025-07-13 20:34:41</t>
  </si>
  <si>
    <t xml:space="preserve">Charu Datta </t>
  </si>
  <si>
    <t>MH12KS0251</t>
  </si>
  <si>
    <t>70675</t>
  </si>
  <si>
    <t>ME4JF392MD7066494</t>
  </si>
  <si>
    <t>JF39EJ70066530</t>
  </si>
  <si>
    <t>2024-11-21 19:39:19</t>
  </si>
  <si>
    <t>S K Kamthe</t>
  </si>
  <si>
    <t>MH14BS7916</t>
  </si>
  <si>
    <t>MBLJF10EC9GB09340</t>
  </si>
  <si>
    <t>2024-11-24 20:02:04</t>
  </si>
  <si>
    <t>MH14JC9599</t>
  </si>
  <si>
    <t>Royal Enfield INTERCEPTOR 650</t>
  </si>
  <si>
    <t>2025-03-29 19:25:55</t>
  </si>
  <si>
    <t>SAGAR</t>
  </si>
  <si>
    <t>MH12TQ3622</t>
  </si>
  <si>
    <t>24754</t>
  </si>
  <si>
    <t>2025-03-29 19:37:58</t>
  </si>
  <si>
    <t>28358</t>
  </si>
  <si>
    <t>2025-03-29 19:42:01</t>
  </si>
  <si>
    <t>PRATIK GANDHI</t>
  </si>
  <si>
    <t>MH14EE4261</t>
  </si>
  <si>
    <t>53206</t>
  </si>
  <si>
    <t>081 ₹</t>
  </si>
  <si>
    <t>2025-03-29 19:40:31</t>
  </si>
  <si>
    <t>Akshat</t>
  </si>
  <si>
    <t>MH12VE8009</t>
  </si>
  <si>
    <t>15544</t>
  </si>
  <si>
    <t>2025-03-29 19:44:48</t>
  </si>
  <si>
    <t>Supekar</t>
  </si>
  <si>
    <t>MH12FX1198</t>
  </si>
  <si>
    <t>94582</t>
  </si>
  <si>
    <t>ME4JC445CA8422875</t>
  </si>
  <si>
    <t>JC44E056744</t>
  </si>
  <si>
    <t>2025-03-29 20:02:40</t>
  </si>
  <si>
    <t>Shivam Thakre</t>
  </si>
  <si>
    <t>MH31EX3781</t>
  </si>
  <si>
    <t>2024-11-22 19:22:48</t>
  </si>
  <si>
    <t xml:space="preserve">Prashant Patil </t>
  </si>
  <si>
    <t>MH14HJ8192</t>
  </si>
  <si>
    <t>55578</t>
  </si>
  <si>
    <t>2025-03-29 19:49:13</t>
  </si>
  <si>
    <t>DEEPAK MEHETRE</t>
  </si>
  <si>
    <t>MH14HJ6645</t>
  </si>
  <si>
    <t>23318</t>
  </si>
  <si>
    <t>ME4JF50AM7290721</t>
  </si>
  <si>
    <t>JF50E77290752</t>
  </si>
  <si>
    <t>2024-11-22 18:49:48</t>
  </si>
  <si>
    <t>12151</t>
  </si>
  <si>
    <t>2025-03-29 20:01:22</t>
  </si>
  <si>
    <t xml:space="preserve">S KUMAR </t>
  </si>
  <si>
    <t>MH14GR0989</t>
  </si>
  <si>
    <t>23564</t>
  </si>
  <si>
    <t>ME4JF507LHU66866</t>
  </si>
  <si>
    <t>JF50EU5668706</t>
  </si>
  <si>
    <t>2025-03-29 20:30:16</t>
  </si>
  <si>
    <t xml:space="preserve">Kulkarni </t>
  </si>
  <si>
    <t>MH14ER5831</t>
  </si>
  <si>
    <t>3800</t>
  </si>
  <si>
    <t>2025-03-29 20:28:22</t>
  </si>
  <si>
    <t>GAYATRI SONI</t>
  </si>
  <si>
    <t>MH14KG1653</t>
  </si>
  <si>
    <t>16138</t>
  </si>
  <si>
    <t>ME4JF91461W308655</t>
  </si>
  <si>
    <t>JF91EW7308698</t>
  </si>
  <si>
    <t>2025-05-21 20:27:06</t>
  </si>
  <si>
    <t>2025-03-30 19:26:36</t>
  </si>
  <si>
    <t>MH14JF0532</t>
  </si>
  <si>
    <t>19073</t>
  </si>
  <si>
    <t>MD62CG58L1H27424</t>
  </si>
  <si>
    <t>CG</t>
  </si>
  <si>
    <t>2025-03-30 19:34:17</t>
  </si>
  <si>
    <t>PRANAV PANDYA</t>
  </si>
  <si>
    <t>MH12UK1835</t>
  </si>
  <si>
    <t>10285</t>
  </si>
  <si>
    <t>ME3C4ASF1MM203458</t>
  </si>
  <si>
    <t>D4ASF1MM136727</t>
  </si>
  <si>
    <t>2025-03-30 19:32:33</t>
  </si>
  <si>
    <t>RAHUL KHANDE</t>
  </si>
  <si>
    <t>MH17CC3794</t>
  </si>
  <si>
    <t>27095</t>
  </si>
  <si>
    <t>ME4KC311BJ8206232</t>
  </si>
  <si>
    <t>KC31E802061</t>
  </si>
  <si>
    <t>2025-03-30 19:31:34</t>
  </si>
  <si>
    <t xml:space="preserve">PRATHAMESH SURYAVANSHI </t>
  </si>
  <si>
    <t>MH15HJ4128</t>
  </si>
  <si>
    <t>15618</t>
  </si>
  <si>
    <t>2025-06-27 17:59:12</t>
  </si>
  <si>
    <t>Vaishnav</t>
  </si>
  <si>
    <t>MH20ER3240</t>
  </si>
  <si>
    <t>2025-05-21 20:43:39</t>
  </si>
  <si>
    <t>MH25AE3574</t>
  </si>
  <si>
    <t>18707</t>
  </si>
  <si>
    <t>2025-03-29 21:00:59</t>
  </si>
  <si>
    <t>DEEPAK LONE</t>
  </si>
  <si>
    <t>MH09EA0611</t>
  </si>
  <si>
    <t>45652</t>
  </si>
  <si>
    <t>MD2A22EZ2GCM34010</t>
  </si>
  <si>
    <t>PDLCGM65917</t>
  </si>
  <si>
    <t>2025-05-21 20:41:51</t>
  </si>
  <si>
    <t>25962</t>
  </si>
  <si>
    <t>2025-04-04 19:38:18</t>
  </si>
  <si>
    <t>75915</t>
  </si>
  <si>
    <t>2025-05-21 20:42:45</t>
  </si>
  <si>
    <t xml:space="preserve">Bharat </t>
  </si>
  <si>
    <t>MH11CL3368</t>
  </si>
  <si>
    <t>60345</t>
  </si>
  <si>
    <t>ME1RG4516H0015250</t>
  </si>
  <si>
    <t>G3JC0015232</t>
  </si>
  <si>
    <t>2025-05-21 20:45:33</t>
  </si>
  <si>
    <t>Vajra Kende</t>
  </si>
  <si>
    <t>MH14DW4493</t>
  </si>
  <si>
    <t>61970</t>
  </si>
  <si>
    <t>ME41KC09CCD8458484</t>
  </si>
  <si>
    <t>KC09E86466803</t>
  </si>
  <si>
    <t>2024-11-23 19:55:26</t>
  </si>
  <si>
    <t>2025-05-21 20:59:44</t>
  </si>
  <si>
    <t>47575</t>
  </si>
  <si>
    <t>2024-11-21 19:35:47</t>
  </si>
  <si>
    <t>Chaitanya Rahangdale</t>
  </si>
  <si>
    <t>MH12NF2899</t>
  </si>
  <si>
    <t>31879</t>
  </si>
  <si>
    <t>2025-05-21 20:46:43</t>
  </si>
  <si>
    <t>802 ₹</t>
  </si>
  <si>
    <t>2025-05-21 20:46:10</t>
  </si>
  <si>
    <t>MANISH</t>
  </si>
  <si>
    <t>MH14HS3057</t>
  </si>
  <si>
    <t>5132</t>
  </si>
  <si>
    <t>2025-05-21 20:44:17</t>
  </si>
  <si>
    <t>2025-03-30 21:17:29</t>
  </si>
  <si>
    <t>71789</t>
  </si>
  <si>
    <t>2025-03-30 21:18:09</t>
  </si>
  <si>
    <t xml:space="preserve">TUSHAR </t>
  </si>
  <si>
    <t>MH14HX1414</t>
  </si>
  <si>
    <t>80129</t>
  </si>
  <si>
    <t>ME4JF50BHKH674170</t>
  </si>
  <si>
    <t>JF50EW1074255</t>
  </si>
  <si>
    <t>2024-11-24 20:01:47</t>
  </si>
  <si>
    <t>MH16BL4632</t>
  </si>
  <si>
    <t>44872</t>
  </si>
  <si>
    <t>ME1RG074F0918390</t>
  </si>
  <si>
    <t>G3C8E0146542</t>
  </si>
  <si>
    <t>2024-11-23 19:52:14</t>
  </si>
  <si>
    <t>Chetan</t>
  </si>
  <si>
    <t>MH12EL7321</t>
  </si>
  <si>
    <t>47574</t>
  </si>
  <si>
    <t>2024-11-23 19:49:14</t>
  </si>
  <si>
    <t>31174</t>
  </si>
  <si>
    <t>2024-11-23 19:52:41</t>
  </si>
  <si>
    <t>36100</t>
  </si>
  <si>
    <t>2025-03-30 21:19:15</t>
  </si>
  <si>
    <t>2024-11-23 19:49:56</t>
  </si>
  <si>
    <t>12081</t>
  </si>
  <si>
    <t>2025-04-25 10:16:14</t>
  </si>
  <si>
    <t>MH12NN4550</t>
  </si>
  <si>
    <t>13561</t>
  </si>
  <si>
    <t>2025-05-21 20:45:19</t>
  </si>
  <si>
    <t>Gopi</t>
  </si>
  <si>
    <t>MH14FV6554</t>
  </si>
  <si>
    <t>70091</t>
  </si>
  <si>
    <t>014 ₹</t>
  </si>
  <si>
    <t>2024-11-23 20:44:40</t>
  </si>
  <si>
    <t>2024-11-23 19:55:02</t>
  </si>
  <si>
    <t>MH45U8523</t>
  </si>
  <si>
    <t>71461</t>
  </si>
  <si>
    <t>ME4JC3JKD764833</t>
  </si>
  <si>
    <t>JC36E77965768</t>
  </si>
  <si>
    <t>2025-04-24 18:59:19</t>
  </si>
  <si>
    <t>BHAVIK NADHE</t>
  </si>
  <si>
    <t>MH12LN0688</t>
  </si>
  <si>
    <t>24102</t>
  </si>
  <si>
    <t>MD626G48E1N44641</t>
  </si>
  <si>
    <t>GB4NE1339406</t>
  </si>
  <si>
    <t>2024-11-24 20:00:38</t>
  </si>
  <si>
    <t>Aniket Kamat</t>
  </si>
  <si>
    <t>MH09EP1623</t>
  </si>
  <si>
    <t>37942</t>
  </si>
  <si>
    <t>ME4JC654DHT026069</t>
  </si>
  <si>
    <t>2025-03-30 21:18:52</t>
  </si>
  <si>
    <t>MH13CN8811</t>
  </si>
  <si>
    <t>6821</t>
  </si>
  <si>
    <t>2024-11-24 19:56:05</t>
  </si>
  <si>
    <t>24025</t>
  </si>
  <si>
    <t>2024-11-24 19:58:36</t>
  </si>
  <si>
    <t>Mitesh</t>
  </si>
  <si>
    <t>MH14CY3580</t>
  </si>
  <si>
    <t>16075</t>
  </si>
  <si>
    <t>2024-11-24 19:53:22</t>
  </si>
  <si>
    <t>Anjali</t>
  </si>
  <si>
    <t>MG14GJ7075</t>
  </si>
  <si>
    <t>28823</t>
  </si>
  <si>
    <t>2025-03-30 19:35:58</t>
  </si>
  <si>
    <t>42553</t>
  </si>
  <si>
    <t>2024-11-24 19:59:14</t>
  </si>
  <si>
    <t>PRAVIN GAWAI</t>
  </si>
  <si>
    <t>MH30AR9789</t>
  </si>
  <si>
    <t>103914</t>
  </si>
  <si>
    <t>MD634KE47F3D39974</t>
  </si>
  <si>
    <t>OE4DF2765692</t>
  </si>
  <si>
    <t>2025-05-22 13:11:24</t>
  </si>
  <si>
    <t>32914</t>
  </si>
  <si>
    <t>2025-03-30 19:36:53</t>
  </si>
  <si>
    <t>VARUN RAJWADE</t>
  </si>
  <si>
    <t>MH14EL9978</t>
  </si>
  <si>
    <t>15413</t>
  </si>
  <si>
    <t>ME4JF5026E7120873</t>
  </si>
  <si>
    <t>JF50ET1120892</t>
  </si>
  <si>
    <t>2024-11-24 20:00:14</t>
  </si>
  <si>
    <t>63629</t>
  </si>
  <si>
    <t>2024-11-24 19:54:14</t>
  </si>
  <si>
    <t xml:space="preserve">Pravin </t>
  </si>
  <si>
    <t>MH13DJ7843</t>
  </si>
  <si>
    <t>TVS Apache RTR 160 FI</t>
  </si>
  <si>
    <t>43813</t>
  </si>
  <si>
    <t>2025-05-30 20:46:33</t>
  </si>
  <si>
    <t>48641</t>
  </si>
  <si>
    <t>2025-03-30 19:37:27</t>
  </si>
  <si>
    <t>PRAJWAL</t>
  </si>
  <si>
    <t>MH20ES5646</t>
  </si>
  <si>
    <t>18155</t>
  </si>
  <si>
    <t>2024-11-24 19:55:12</t>
  </si>
  <si>
    <t>Jayesh Patel</t>
  </si>
  <si>
    <t>MH20DA2532</t>
  </si>
  <si>
    <t>70768</t>
  </si>
  <si>
    <t>MDZA57AZZEWK18273</t>
  </si>
  <si>
    <t>PAZWEK93888</t>
  </si>
  <si>
    <t>2024-11-24 19:57:04</t>
  </si>
  <si>
    <t>Sushil Jagtap</t>
  </si>
  <si>
    <t>MH12PX7413</t>
  </si>
  <si>
    <t>46760</t>
  </si>
  <si>
    <t>ME4JF50CMHU004684</t>
  </si>
  <si>
    <t>2024-11-25 19:58:21</t>
  </si>
  <si>
    <t xml:space="preserve">Sameer Jain </t>
  </si>
  <si>
    <t>MH14GK2490</t>
  </si>
  <si>
    <t>39603</t>
  </si>
  <si>
    <t>MD626EG18H1G03745</t>
  </si>
  <si>
    <t>EG4GH1814182</t>
  </si>
  <si>
    <t>2025-04-25 20:34:11</t>
  </si>
  <si>
    <t>59124</t>
  </si>
  <si>
    <t>2025-04-24 18:58:37</t>
  </si>
  <si>
    <t xml:space="preserve">Vinay Singh </t>
  </si>
  <si>
    <t>MH14DW6620</t>
  </si>
  <si>
    <t>35984</t>
  </si>
  <si>
    <t>2024-11-24 20:12:58</t>
  </si>
  <si>
    <t xml:space="preserve">Bhupendra </t>
  </si>
  <si>
    <t>MH14HT6563</t>
  </si>
  <si>
    <t>25719</t>
  </si>
  <si>
    <t>2024-11-24 20:56:38</t>
  </si>
  <si>
    <t>DEEPESH</t>
  </si>
  <si>
    <t>MH11CA0090</t>
  </si>
  <si>
    <t>90000</t>
  </si>
  <si>
    <t>MD626BG45G1A05108</t>
  </si>
  <si>
    <t>BG4AG1804232</t>
  </si>
  <si>
    <t>2024-11-24 21:01:01</t>
  </si>
  <si>
    <t>Asyush</t>
  </si>
  <si>
    <t>CG07BM6374</t>
  </si>
  <si>
    <t>Yamaha Fazer V3</t>
  </si>
  <si>
    <t>32580</t>
  </si>
  <si>
    <t>2024-11-24 21:01:24</t>
  </si>
  <si>
    <t>Pranit</t>
  </si>
  <si>
    <t>MH14FP7555</t>
  </si>
  <si>
    <t>75323</t>
  </si>
  <si>
    <t>2025-04-24 20:33:47</t>
  </si>
  <si>
    <t>2025-03-30 19:30:28</t>
  </si>
  <si>
    <t>KA20EN6878</t>
  </si>
  <si>
    <t>42793</t>
  </si>
  <si>
    <t>MD2A17CY9HWK03242</t>
  </si>
  <si>
    <t>JEYWHK08607</t>
  </si>
  <si>
    <t>2025-06-27 20:31:07</t>
  </si>
  <si>
    <t>47221</t>
  </si>
  <si>
    <t>2025-06-19 11:38:20</t>
  </si>
  <si>
    <t>Diksha Singh</t>
  </si>
  <si>
    <t>MH14GE3718</t>
  </si>
  <si>
    <t>39958</t>
  </si>
  <si>
    <t>ME4JF507CHT056850</t>
  </si>
  <si>
    <t>JF50E15057026</t>
  </si>
  <si>
    <t>2025-04-02 20:25:03</t>
  </si>
  <si>
    <t xml:space="preserve">SHUBHANGI </t>
  </si>
  <si>
    <t>MH36T1799</t>
  </si>
  <si>
    <t>47782</t>
  </si>
  <si>
    <t>ME4JF481ME8331673</t>
  </si>
  <si>
    <t>JF48E80231956</t>
  </si>
  <si>
    <t>2025-06-18 13:29:18</t>
  </si>
  <si>
    <t>Onkar Dapke</t>
  </si>
  <si>
    <t>MH12VR5234</t>
  </si>
  <si>
    <t>8131</t>
  </si>
  <si>
    <t>2025-06-27 20:19:25</t>
  </si>
  <si>
    <t>Shardul</t>
  </si>
  <si>
    <t>MH31FW5584</t>
  </si>
  <si>
    <t>MD626AK47P1C03022</t>
  </si>
  <si>
    <t>BK4CP1102740</t>
  </si>
  <si>
    <t>2025-04-25 20:33:39</t>
  </si>
  <si>
    <t xml:space="preserve">Piyush </t>
  </si>
  <si>
    <t>MH14LQ1949</t>
  </si>
  <si>
    <t>43904</t>
  </si>
  <si>
    <t>ME1Z1COH7D203296</t>
  </si>
  <si>
    <t>21CHD33012</t>
  </si>
  <si>
    <t>2025-05-22 22:18:40</t>
  </si>
  <si>
    <t>18763</t>
  </si>
  <si>
    <t>2025-05-22 22:19:44</t>
  </si>
  <si>
    <t>Lokesh</t>
  </si>
  <si>
    <t>MH19DJ1830</t>
  </si>
  <si>
    <t>48774</t>
  </si>
  <si>
    <t>ME4KC311AK8488794</t>
  </si>
  <si>
    <t>KC31E80488654</t>
  </si>
  <si>
    <t>2025-05-22 22:19:23</t>
  </si>
  <si>
    <t>Suhas</t>
  </si>
  <si>
    <t>MH09EZ0082</t>
  </si>
  <si>
    <t>27063</t>
  </si>
  <si>
    <t>2025-04-03 20:20:21</t>
  </si>
  <si>
    <t>2025-05-22 22:17:44</t>
  </si>
  <si>
    <t>Makrand Lanjewar</t>
  </si>
  <si>
    <t>MH31FM7010</t>
  </si>
  <si>
    <t>TVS Ntorq BS6</t>
  </si>
  <si>
    <t>16392</t>
  </si>
  <si>
    <t>MD626AK3XL2G104B1</t>
  </si>
  <si>
    <t>AK3GL2009558</t>
  </si>
  <si>
    <t>2025-05-22 22:20:40</t>
  </si>
  <si>
    <t>23116</t>
  </si>
  <si>
    <t>120 ₹</t>
  </si>
  <si>
    <t>2025-04-25 20:35:16</t>
  </si>
  <si>
    <t>VAIBHAV UGLE</t>
  </si>
  <si>
    <t>MH21BY1318</t>
  </si>
  <si>
    <t>18185</t>
  </si>
  <si>
    <t>MBLHAW124P4A09308</t>
  </si>
  <si>
    <t>HA11EYP4A0M614</t>
  </si>
  <si>
    <t>2025-04-27 20:27:01</t>
  </si>
  <si>
    <t>5823</t>
  </si>
  <si>
    <t>2025-04-04 19:37:56</t>
  </si>
  <si>
    <t>PRADEEP</t>
  </si>
  <si>
    <t>MH12NN1484</t>
  </si>
  <si>
    <t>23949</t>
  </si>
  <si>
    <t>ME4JC651JGT312621</t>
  </si>
  <si>
    <t>JC65ET0463373</t>
  </si>
  <si>
    <t>2025-04-04 19:36:12</t>
  </si>
  <si>
    <t xml:space="preserve">DURGESH JADHAV </t>
  </si>
  <si>
    <t>MH14KT1027</t>
  </si>
  <si>
    <t>15694</t>
  </si>
  <si>
    <t>MD3A36FX2PCK49583</t>
  </si>
  <si>
    <t>JLX0PK97741</t>
  </si>
  <si>
    <t>2025-04-03 20:19:05</t>
  </si>
  <si>
    <t>VINAYAK BOBADE</t>
  </si>
  <si>
    <t>MH34AK7823</t>
  </si>
  <si>
    <t>87308</t>
  </si>
  <si>
    <t>2025-04-03 20:18:44</t>
  </si>
  <si>
    <t>21829</t>
  </si>
  <si>
    <t>2025-04-03 20:19:18</t>
  </si>
  <si>
    <t>41369</t>
  </si>
  <si>
    <t>2025-04-03 20:19:54</t>
  </si>
  <si>
    <t>Tarun Sharma</t>
  </si>
  <si>
    <t>JK02CN1014</t>
  </si>
  <si>
    <t>Jawa Jawa No Data</t>
  </si>
  <si>
    <t>9540</t>
  </si>
  <si>
    <t>MZGAW1C16K1L19808</t>
  </si>
  <si>
    <t>NAEKL019707</t>
  </si>
  <si>
    <t>2025-04-03 20:19:36</t>
  </si>
  <si>
    <t>23859</t>
  </si>
  <si>
    <t>2025-04-03 20:20:39</t>
  </si>
  <si>
    <t>AMOL SUTAR</t>
  </si>
  <si>
    <t>MH07AK6720</t>
  </si>
  <si>
    <t>74484</t>
  </si>
  <si>
    <t>MD6327AE77J2C04447</t>
  </si>
  <si>
    <t>AE7CJ2X01445</t>
  </si>
  <si>
    <t>2025-04-27 20:32:38</t>
  </si>
  <si>
    <t>Vedant Patil</t>
  </si>
  <si>
    <t>MH19DA2551</t>
  </si>
  <si>
    <t>4564</t>
  </si>
  <si>
    <t>2025-04-26 17:47:02</t>
  </si>
  <si>
    <t>36864</t>
  </si>
  <si>
    <t>2025-04-04 19:35:32</t>
  </si>
  <si>
    <t>74774</t>
  </si>
  <si>
    <t>2025-04-04 19:33:47</t>
  </si>
  <si>
    <t>37911</t>
  </si>
  <si>
    <t>2025-04-04 19:53:32</t>
  </si>
  <si>
    <t>2025-04-26 17:47:27</t>
  </si>
  <si>
    <t>22745</t>
  </si>
  <si>
    <t>2025-04-04 19:39:40</t>
  </si>
  <si>
    <t>ARUN THAKUR</t>
  </si>
  <si>
    <t>MP20SD8301</t>
  </si>
  <si>
    <t>21646</t>
  </si>
  <si>
    <t>2025-04-26 17:47:43</t>
  </si>
  <si>
    <t>23289</t>
  </si>
  <si>
    <t>2025-04-26 20:58:59</t>
  </si>
  <si>
    <t>28213</t>
  </si>
  <si>
    <t>2025-04-27 20:23:53</t>
  </si>
  <si>
    <t>21809</t>
  </si>
  <si>
    <t>2025-06-19 11:42:08</t>
  </si>
  <si>
    <t>79936</t>
  </si>
  <si>
    <t>2025-04-05 20:33:26</t>
  </si>
  <si>
    <t>37521</t>
  </si>
  <si>
    <t>2025-04-05 18:18:34</t>
  </si>
  <si>
    <t>MH14CZ5470</t>
  </si>
  <si>
    <t>44508</t>
  </si>
  <si>
    <t>2025-05-22 19:54:45</t>
  </si>
  <si>
    <t>46452</t>
  </si>
  <si>
    <t>2025-04-26 17:48:23</t>
  </si>
  <si>
    <t>Satyajeet Jadhav</t>
  </si>
  <si>
    <t>MH50VZ2383</t>
  </si>
  <si>
    <t>22220</t>
  </si>
  <si>
    <t>2025-04-05 18:15:46</t>
  </si>
  <si>
    <t>22951</t>
  </si>
  <si>
    <t>2025-04-05 18:14:03</t>
  </si>
  <si>
    <t xml:space="preserve">Prasanna </t>
  </si>
  <si>
    <t>MH14KT6924</t>
  </si>
  <si>
    <t>5533</t>
  </si>
  <si>
    <t>2025-04-26 20:58:37</t>
  </si>
  <si>
    <t xml:space="preserve">Pratik Gaikwad </t>
  </si>
  <si>
    <t>MH14JK3708</t>
  </si>
  <si>
    <t>17621</t>
  </si>
  <si>
    <t>2025-04-05 18:16:41</t>
  </si>
  <si>
    <t>11471</t>
  </si>
  <si>
    <t>2025-04-05 18:19:10</t>
  </si>
  <si>
    <t>05764</t>
  </si>
  <si>
    <t>2025-04-05 20:31:43</t>
  </si>
  <si>
    <t>2025-04-05 20:32:24</t>
  </si>
  <si>
    <t>7823</t>
  </si>
  <si>
    <t>2025-04-05 20:32:49</t>
  </si>
  <si>
    <t xml:space="preserve">Gaurav Mali </t>
  </si>
  <si>
    <t>MH14KK2379</t>
  </si>
  <si>
    <t>9377</t>
  </si>
  <si>
    <t>MBLJFW474NGJ18421</t>
  </si>
  <si>
    <t>JF16ESNGJ06392</t>
  </si>
  <si>
    <t>2025-04-05 17:37:09</t>
  </si>
  <si>
    <t>SHIVTEJ SHINDE</t>
  </si>
  <si>
    <t>MH42AW3695</t>
  </si>
  <si>
    <t>2025-04-04 19:44:08</t>
  </si>
  <si>
    <t>SHIVKUMAR</t>
  </si>
  <si>
    <t>MH26BG2463</t>
  </si>
  <si>
    <t>45177</t>
  </si>
  <si>
    <t>06 ₹</t>
  </si>
  <si>
    <t>ME4JF495GH8085744</t>
  </si>
  <si>
    <t>JF49E82137347</t>
  </si>
  <si>
    <t>2025-04-05 18:17:18</t>
  </si>
  <si>
    <t>87321</t>
  </si>
  <si>
    <t>2025-04-05 20:30:20</t>
  </si>
  <si>
    <t>3927</t>
  </si>
  <si>
    <t>2025-04-05 20:31:20</t>
  </si>
  <si>
    <t xml:space="preserve">SUJIT KUMBHAR </t>
  </si>
  <si>
    <t>KA22ES5733</t>
  </si>
  <si>
    <t>27411</t>
  </si>
  <si>
    <t>ME4JF504CFT2702725</t>
  </si>
  <si>
    <t>JF50ET2180303</t>
  </si>
  <si>
    <t>2025-05-01 19:47:19</t>
  </si>
  <si>
    <t>Nikhil pusodkar</t>
  </si>
  <si>
    <t>MH30BF0704</t>
  </si>
  <si>
    <t>43509</t>
  </si>
  <si>
    <t>2025-04-05 20:30:02</t>
  </si>
  <si>
    <t>2025-04-05 17:51:54</t>
  </si>
  <si>
    <t>2025-04-05 20:32:10</t>
  </si>
  <si>
    <t>55595</t>
  </si>
  <si>
    <t>2025-04-05 18:21:05</t>
  </si>
  <si>
    <t>Nehal Sharma</t>
  </si>
  <si>
    <t>MH12NC6918</t>
  </si>
  <si>
    <t>18372</t>
  </si>
  <si>
    <t>2025-05-30 20:47:53</t>
  </si>
  <si>
    <t>52202</t>
  </si>
  <si>
    <t>2025-04-06 18:56:37</t>
  </si>
  <si>
    <t>42817</t>
  </si>
  <si>
    <t>2025-05-30 20:48:20</t>
  </si>
  <si>
    <t>Rahul Mande</t>
  </si>
  <si>
    <t>MH12JD0423</t>
  </si>
  <si>
    <t>78804</t>
  </si>
  <si>
    <t>ME4JC36JFC7082544</t>
  </si>
  <si>
    <t>JC36E7122684</t>
  </si>
  <si>
    <t>2025-04-06 20:51:23</t>
  </si>
  <si>
    <t>23796</t>
  </si>
  <si>
    <t>2025-04-06 18:58:48</t>
  </si>
  <si>
    <t>Devashish Nanda</t>
  </si>
  <si>
    <t>MH14KC5735</t>
  </si>
  <si>
    <t>9439</t>
  </si>
  <si>
    <t>MB8EA11DEN8301675</t>
  </si>
  <si>
    <t>AF21705239</t>
  </si>
  <si>
    <t>2025-04-06 19:01:38</t>
  </si>
  <si>
    <t>MH12UQ8438</t>
  </si>
  <si>
    <t>15721</t>
  </si>
  <si>
    <t>ME1RG66DQN0049834</t>
  </si>
  <si>
    <t>G3N3E0229875</t>
  </si>
  <si>
    <t>2025-04-06 19:18:44</t>
  </si>
  <si>
    <t>81888</t>
  </si>
  <si>
    <t>2025-04-06 18:57:46</t>
  </si>
  <si>
    <t>Pratik Bhujbal</t>
  </si>
  <si>
    <t>MH12RH8569</t>
  </si>
  <si>
    <t>61960</t>
  </si>
  <si>
    <t>ME4KCC311AK8487790</t>
  </si>
  <si>
    <t>KC31E80487656</t>
  </si>
  <si>
    <t>2025-04-06 20:50:49</t>
  </si>
  <si>
    <t>Shravan</t>
  </si>
  <si>
    <t>MH12MU3705</t>
  </si>
  <si>
    <t>23896</t>
  </si>
  <si>
    <t>2025-04-06 19:00:48</t>
  </si>
  <si>
    <t>22974</t>
  </si>
  <si>
    <t>2025-04-06 20:46:41</t>
  </si>
  <si>
    <t>RAJENDRA</t>
  </si>
  <si>
    <t>KA01EV7427</t>
  </si>
  <si>
    <t>6742</t>
  </si>
  <si>
    <t>ME121CD7BB2016435</t>
  </si>
  <si>
    <t>21XZD16393</t>
  </si>
  <si>
    <t>2025-04-07 20:24:10</t>
  </si>
  <si>
    <t>26542</t>
  </si>
  <si>
    <t>2025-04-06 20:48:08</t>
  </si>
  <si>
    <t>41796</t>
  </si>
  <si>
    <t>2025-04-06 20:42:51</t>
  </si>
  <si>
    <t>40451</t>
  </si>
  <si>
    <t>2025-04-06 20:45:43</t>
  </si>
  <si>
    <t>13724</t>
  </si>
  <si>
    <t>2025-04-07 20:20:28</t>
  </si>
  <si>
    <t>VIGNESH BHAT</t>
  </si>
  <si>
    <t>KA09EX0540</t>
  </si>
  <si>
    <t>78338</t>
  </si>
  <si>
    <t>2025-04-06 20:43:34</t>
  </si>
  <si>
    <t>Varsha Jambavalikar</t>
  </si>
  <si>
    <t>MH14KP5341</t>
  </si>
  <si>
    <t>11308</t>
  </si>
  <si>
    <t>MD626AK4XN1N26479</t>
  </si>
  <si>
    <t>BK4NN1624840</t>
  </si>
  <si>
    <t>2025-04-06 20:50:25</t>
  </si>
  <si>
    <t>SAMEER RANA</t>
  </si>
  <si>
    <t>MH19CQ1312</t>
  </si>
  <si>
    <t>30104</t>
  </si>
  <si>
    <t>0116 ₹</t>
  </si>
  <si>
    <t>ME4KC238MG801D061</t>
  </si>
  <si>
    <t>KC23E80116662</t>
  </si>
  <si>
    <t>2025-04-26 21:02:28</t>
  </si>
  <si>
    <t xml:space="preserve">Aayush </t>
  </si>
  <si>
    <t>AJ09KS1273</t>
  </si>
  <si>
    <t>34830</t>
  </si>
  <si>
    <t>2025-04-27 20:29:42</t>
  </si>
  <si>
    <t>61973</t>
  </si>
  <si>
    <t>2025-04-27 20:32:05</t>
  </si>
  <si>
    <t>14416</t>
  </si>
  <si>
    <t>2025-04-26 20:59:35</t>
  </si>
  <si>
    <t xml:space="preserve">Sandip Kulkarni </t>
  </si>
  <si>
    <t>MH14JZ8101</t>
  </si>
  <si>
    <t>4023</t>
  </si>
  <si>
    <t>2025-04-26 21:01:31</t>
  </si>
  <si>
    <t>SAURABH BHATI</t>
  </si>
  <si>
    <t>MH47M7954</t>
  </si>
  <si>
    <t>16315</t>
  </si>
  <si>
    <t>JF50EU3129040</t>
  </si>
  <si>
    <t>2025-04-26 21:05:09</t>
  </si>
  <si>
    <t>26309</t>
  </si>
  <si>
    <t>2025-04-07 20:19:22</t>
  </si>
  <si>
    <t xml:space="preserve">SIDDHARTH </t>
  </si>
  <si>
    <t>JH01ES4917</t>
  </si>
  <si>
    <t>6899</t>
  </si>
  <si>
    <t>ME4JF919CNG042397</t>
  </si>
  <si>
    <t>JF91EG6043661</t>
  </si>
  <si>
    <t>2025-04-07 20:23:56</t>
  </si>
  <si>
    <t xml:space="preserve">BUDHARAM CHAUDHARI </t>
  </si>
  <si>
    <t>MH12SR2711</t>
  </si>
  <si>
    <t>48570</t>
  </si>
  <si>
    <t>066 ₹</t>
  </si>
  <si>
    <t>ME4JF50BHKW0896</t>
  </si>
  <si>
    <t>JF50E1064739</t>
  </si>
  <si>
    <t>2025-04-07 20:23:20</t>
  </si>
  <si>
    <t>PRATEEK</t>
  </si>
  <si>
    <t>MH08AY3515</t>
  </si>
  <si>
    <t>12237</t>
  </si>
  <si>
    <t>ME4JF913BMG374228</t>
  </si>
  <si>
    <t>JF91EG0373859</t>
  </si>
  <si>
    <t>2025-04-07 20:48:39</t>
  </si>
  <si>
    <t>Subodh Kulkarni</t>
  </si>
  <si>
    <t>MH20BU6857</t>
  </si>
  <si>
    <t>81932</t>
  </si>
  <si>
    <t>MBLKC12ECAGJ08815</t>
  </si>
  <si>
    <t>2025-04-09 20:25:10</t>
  </si>
  <si>
    <t>PARTH</t>
  </si>
  <si>
    <t>MH18AQ3055</t>
  </si>
  <si>
    <t>66037</t>
  </si>
  <si>
    <t>ME4JC36JEE7929159</t>
  </si>
  <si>
    <t>JC36E73478984</t>
  </si>
  <si>
    <t>2025-06-19 12:13:03</t>
  </si>
  <si>
    <t>Prachi Shinde</t>
  </si>
  <si>
    <t>MH12MP2409</t>
  </si>
  <si>
    <t>23554</t>
  </si>
  <si>
    <t>ME4JP504LF7420538</t>
  </si>
  <si>
    <t>JF50E72420525</t>
  </si>
  <si>
    <t>2025-04-07 19:08:14</t>
  </si>
  <si>
    <t>2025-04-06 18:59:27</t>
  </si>
  <si>
    <t>Nirmal Raisoni</t>
  </si>
  <si>
    <t>MH14EL5871</t>
  </si>
  <si>
    <t>15519</t>
  </si>
  <si>
    <t>ME12NCD16E2120914</t>
  </si>
  <si>
    <t>2NE1120947</t>
  </si>
  <si>
    <t>2025-04-27 20:31:06</t>
  </si>
  <si>
    <t xml:space="preserve">Avinash Jadhav </t>
  </si>
  <si>
    <t>MH20DG9655</t>
  </si>
  <si>
    <t>2389</t>
  </si>
  <si>
    <t>2025-04-07 20:18:19</t>
  </si>
  <si>
    <t>PRAVIN KADAM</t>
  </si>
  <si>
    <t>MH14EV7316</t>
  </si>
  <si>
    <t>MD626BG4XF1A36997</t>
  </si>
  <si>
    <t>BGA4AF1428157</t>
  </si>
  <si>
    <t>2025-04-07 20:21:51</t>
  </si>
  <si>
    <t>MH16BW8543</t>
  </si>
  <si>
    <t>43023</t>
  </si>
  <si>
    <t>ME343S5C1HE87921</t>
  </si>
  <si>
    <t>435501HFHE519788</t>
  </si>
  <si>
    <t>2025-04-07 20:29:05</t>
  </si>
  <si>
    <t>13854</t>
  </si>
  <si>
    <t>2025-04-07 20:50:31</t>
  </si>
  <si>
    <t>28459</t>
  </si>
  <si>
    <t>2025-04-07 20:50:05</t>
  </si>
  <si>
    <t>44964</t>
  </si>
  <si>
    <t>2025-04-27 20:27:38</t>
  </si>
  <si>
    <t>41595</t>
  </si>
  <si>
    <t>2025-04-27 20:26:19</t>
  </si>
  <si>
    <t>63445</t>
  </si>
  <si>
    <t>2025-04-27 20:25:27</t>
  </si>
  <si>
    <t>Manik</t>
  </si>
  <si>
    <t>MH14LH9415</t>
  </si>
  <si>
    <t>16310</t>
  </si>
  <si>
    <t>2025-04-27 20:23:24</t>
  </si>
  <si>
    <t>12896</t>
  </si>
  <si>
    <t>2025-04-27 20:26:34</t>
  </si>
  <si>
    <t>24095</t>
  </si>
  <si>
    <t>2025-04-27 19:23:17</t>
  </si>
  <si>
    <t xml:space="preserve">Krutika </t>
  </si>
  <si>
    <t>MH25AY8456</t>
  </si>
  <si>
    <t>11615</t>
  </si>
  <si>
    <t>ME4JK156CPW074565</t>
  </si>
  <si>
    <t>JK15EW5074652</t>
  </si>
  <si>
    <t>2025-04-27 20:31:30</t>
  </si>
  <si>
    <t>32356</t>
  </si>
  <si>
    <t>2025-04-27 20:22:49</t>
  </si>
  <si>
    <t>13527</t>
  </si>
  <si>
    <t>2025-06-19 12:13:53</t>
  </si>
  <si>
    <t>MH14EE7149</t>
  </si>
  <si>
    <t>66151</t>
  </si>
  <si>
    <t>ME4JF501LD8626166</t>
  </si>
  <si>
    <t>2025-06-19 12:16:26</t>
  </si>
  <si>
    <t>76183</t>
  </si>
  <si>
    <t>2025-04-09 20:21:46</t>
  </si>
  <si>
    <t>Mahul Joshi</t>
  </si>
  <si>
    <t>MH14HF5708</t>
  </si>
  <si>
    <t>11952</t>
  </si>
  <si>
    <t>ME4JC65BKJ7111779</t>
  </si>
  <si>
    <t>JC65E72330795</t>
  </si>
  <si>
    <t>2025-05-23 16:28:26</t>
  </si>
  <si>
    <t>2025-06-19 12:17:42</t>
  </si>
  <si>
    <t xml:space="preserve">Rishikesh Patil </t>
  </si>
  <si>
    <t>MH11BU6462</t>
  </si>
  <si>
    <t>12114</t>
  </si>
  <si>
    <t>2025-06-19 12:11:57</t>
  </si>
  <si>
    <t>Mukesh Nandurkar</t>
  </si>
  <si>
    <t>MH12UQ8936</t>
  </si>
  <si>
    <t>ME1RG66DBN0045414</t>
  </si>
  <si>
    <t>G3N3E0224098</t>
  </si>
  <si>
    <t>2025-04-09 20:24:03</t>
  </si>
  <si>
    <t>23941</t>
  </si>
  <si>
    <t>030 ₹</t>
  </si>
  <si>
    <t>2025-04-09 21:05:06</t>
  </si>
  <si>
    <t>32868</t>
  </si>
  <si>
    <t>2025-05-07 19:37:41</t>
  </si>
  <si>
    <t>Soniya</t>
  </si>
  <si>
    <t>MH12BS0560</t>
  </si>
  <si>
    <t>21565</t>
  </si>
  <si>
    <t>2025-06-19 12:25:07</t>
  </si>
  <si>
    <t>2025-04-27 20:25:49</t>
  </si>
  <si>
    <t>MH14GB3390</t>
  </si>
  <si>
    <t>32068</t>
  </si>
  <si>
    <t>ME15E77MAG0032501</t>
  </si>
  <si>
    <t>E3N6E092124</t>
  </si>
  <si>
    <t>2025-04-07 20:13:51</t>
  </si>
  <si>
    <t>MANGESH RASKAR</t>
  </si>
  <si>
    <t>MH16AK6919</t>
  </si>
  <si>
    <t>80211</t>
  </si>
  <si>
    <t>MBLHA10AJAHA14076</t>
  </si>
  <si>
    <t>HA10AAHA71528</t>
  </si>
  <si>
    <t>2025-04-09 20:23:13</t>
  </si>
  <si>
    <t>69247</t>
  </si>
  <si>
    <t>2025-06-19 12:19:09</t>
  </si>
  <si>
    <t>55086</t>
  </si>
  <si>
    <t>2025-04-09 20:21:02</t>
  </si>
  <si>
    <t xml:space="preserve">Prajwal </t>
  </si>
  <si>
    <t>47991</t>
  </si>
  <si>
    <t>2025-04-09 20:37:18</t>
  </si>
  <si>
    <t>MH14JZ8594</t>
  </si>
  <si>
    <t>25920</t>
  </si>
  <si>
    <t>2025-04-09 20:17:06</t>
  </si>
  <si>
    <t>Rohan Mehul</t>
  </si>
  <si>
    <t>MH12GE9701</t>
  </si>
  <si>
    <t>33184</t>
  </si>
  <si>
    <t>MD2DGPD22TCE02986</t>
  </si>
  <si>
    <t>PDGBT02982</t>
  </si>
  <si>
    <t>2025-04-09 20:15:41</t>
  </si>
  <si>
    <t>56538</t>
  </si>
  <si>
    <t>2025-04-09 20:15:24</t>
  </si>
  <si>
    <t>59297</t>
  </si>
  <si>
    <t>2025-04-09 20:19:20</t>
  </si>
  <si>
    <t>32600</t>
  </si>
  <si>
    <t>2025-04-09 20:25:48</t>
  </si>
  <si>
    <t>29752</t>
  </si>
  <si>
    <t>2025-04-09 21:05:41</t>
  </si>
  <si>
    <t xml:space="preserve">Rohit Bhosale </t>
  </si>
  <si>
    <t>MH14DY7186</t>
  </si>
  <si>
    <t>38954</t>
  </si>
  <si>
    <t>2025-06-19 12:20:36</t>
  </si>
  <si>
    <t>2025-06-19 12:21:00</t>
  </si>
  <si>
    <t>87160</t>
  </si>
  <si>
    <t>2025-05-23 19:03:57</t>
  </si>
  <si>
    <t>40847</t>
  </si>
  <si>
    <t>2025-04-27 20:21:17</t>
  </si>
  <si>
    <t>2025-06-19 12:26:18</t>
  </si>
  <si>
    <t>49238</t>
  </si>
  <si>
    <t>2025-04-27 20:33:27</t>
  </si>
  <si>
    <t>42733</t>
  </si>
  <si>
    <t>2025-04-10 20:43:51</t>
  </si>
  <si>
    <t>Rishikesh Dhotre</t>
  </si>
  <si>
    <t>MH09EV3092</t>
  </si>
  <si>
    <t>21879</t>
  </si>
  <si>
    <t>2025-04-10 20:37:44</t>
  </si>
  <si>
    <t>MH12CZ0832</t>
  </si>
  <si>
    <t>ME4JF504JFT717832</t>
  </si>
  <si>
    <t>JF50ET2718724</t>
  </si>
  <si>
    <t>2025-07-14 20:30:01</t>
  </si>
  <si>
    <t>6984</t>
  </si>
  <si>
    <t>2025-04-10 20:38:20</t>
  </si>
  <si>
    <t>2025-04-10 20:41:10</t>
  </si>
  <si>
    <t>55542</t>
  </si>
  <si>
    <t>2025-04-10 20:27:36</t>
  </si>
  <si>
    <t>32910</t>
  </si>
  <si>
    <t>2025-04-28 19:32:10</t>
  </si>
  <si>
    <t xml:space="preserve">KRUNAL </t>
  </si>
  <si>
    <t>KA05JX2660</t>
  </si>
  <si>
    <t>ME4JF505JG1832</t>
  </si>
  <si>
    <t>JF50ET3832583</t>
  </si>
  <si>
    <t>2025-04-10 20:39:28</t>
  </si>
  <si>
    <t>20724</t>
  </si>
  <si>
    <t>2025-04-10 20:46:38</t>
  </si>
  <si>
    <t>MH12PE3351</t>
  </si>
  <si>
    <t>11777</t>
  </si>
  <si>
    <t>KC20E80190385</t>
  </si>
  <si>
    <t>2025-04-10 20:51:59</t>
  </si>
  <si>
    <t>Kalash Saitwal</t>
  </si>
  <si>
    <t>MH14LN0885</t>
  </si>
  <si>
    <t>7034</t>
  </si>
  <si>
    <t>2025-04-11 21:11:07</t>
  </si>
  <si>
    <t>3643</t>
  </si>
  <si>
    <t>2025-04-10 20:47:00</t>
  </si>
  <si>
    <t>31764</t>
  </si>
  <si>
    <t>2025-04-10 20:45:15</t>
  </si>
  <si>
    <t>Rohini</t>
  </si>
  <si>
    <t>MH29BB8954</t>
  </si>
  <si>
    <t>10057</t>
  </si>
  <si>
    <t>2025-04-10 20:41:53</t>
  </si>
  <si>
    <t>Rajesh Paramanand</t>
  </si>
  <si>
    <t>MP09ZC1990</t>
  </si>
  <si>
    <t>2025-04-10 20:40:13</t>
  </si>
  <si>
    <t>2025-05-23 18:59:14</t>
  </si>
  <si>
    <t>2025-06-19 12:24:07</t>
  </si>
  <si>
    <t>Pranav Binniwale</t>
  </si>
  <si>
    <t>16655</t>
  </si>
  <si>
    <t>2025-04-10 20:44:22</t>
  </si>
  <si>
    <t>37945</t>
  </si>
  <si>
    <t>2025-05-23 19:02:02</t>
  </si>
  <si>
    <t>SHREYASH SATPUTE</t>
  </si>
  <si>
    <t>MH17CZ0945</t>
  </si>
  <si>
    <t>10846</t>
  </si>
  <si>
    <t>ME1RG66V4P0001058</t>
  </si>
  <si>
    <t>G3N5E0328042</t>
  </si>
  <si>
    <t>2025-05-23 19:00:24</t>
  </si>
  <si>
    <t>44146</t>
  </si>
  <si>
    <t>2025-06-19 12:24:25</t>
  </si>
  <si>
    <t>2025-05-23 19:00:56</t>
  </si>
  <si>
    <t>Vikas Pardesi</t>
  </si>
  <si>
    <t>MH12RV7323</t>
  </si>
  <si>
    <t>14793</t>
  </si>
  <si>
    <t>MD26EG4951D02103</t>
  </si>
  <si>
    <t>EG4DK1001339</t>
  </si>
  <si>
    <t>2025-04-28 20:19:12</t>
  </si>
  <si>
    <t>48998</t>
  </si>
  <si>
    <t>2025-04-10 20:47:33</t>
  </si>
  <si>
    <t>NITA</t>
  </si>
  <si>
    <t>MH12RB8125</t>
  </si>
  <si>
    <t>19177</t>
  </si>
  <si>
    <t>2025-05-23 20:04:45</t>
  </si>
  <si>
    <t>2025-04-11 21:08:10</t>
  </si>
  <si>
    <t>17604</t>
  </si>
  <si>
    <t>2025-06-19 11:37:13</t>
  </si>
  <si>
    <t xml:space="preserve">Rahul </t>
  </si>
  <si>
    <t>MH40BB8231</t>
  </si>
  <si>
    <t>31218</t>
  </si>
  <si>
    <t>2025-04-28 18:28:08</t>
  </si>
  <si>
    <t>Nisad</t>
  </si>
  <si>
    <t>MH14FF5517</t>
  </si>
  <si>
    <t>35718</t>
  </si>
  <si>
    <t>MH4JC712KFT016746</t>
  </si>
  <si>
    <t>JC71ET0046267</t>
  </si>
  <si>
    <t>2025-05-24 20:25:16</t>
  </si>
  <si>
    <t>45800</t>
  </si>
  <si>
    <t>2025-06-19 11:40:19</t>
  </si>
  <si>
    <t>Tarique Shaikh</t>
  </si>
  <si>
    <t>MH26X7649</t>
  </si>
  <si>
    <t>01040</t>
  </si>
  <si>
    <t>MBLHA10EG9HM02463</t>
  </si>
  <si>
    <t>HA10FB9HM04186</t>
  </si>
  <si>
    <t>2025-06-19 11:43:13</t>
  </si>
  <si>
    <t xml:space="preserve">Ravi Ranjan </t>
  </si>
  <si>
    <t>MH14GP9164</t>
  </si>
  <si>
    <t>24792</t>
  </si>
  <si>
    <t>2025-05-23 20:19:37</t>
  </si>
  <si>
    <t>6156</t>
  </si>
  <si>
    <t>2025-06-19 11:45:52</t>
  </si>
  <si>
    <t>74665</t>
  </si>
  <si>
    <t>2025-05-23 19:02:43</t>
  </si>
  <si>
    <t>Akshay Gide</t>
  </si>
  <si>
    <t>MH17CZ0944</t>
  </si>
  <si>
    <t>8899</t>
  </si>
  <si>
    <t>ME1RG66V4P000</t>
  </si>
  <si>
    <t>G3NSE0328056</t>
  </si>
  <si>
    <t>2025-04-28 18:21:32</t>
  </si>
  <si>
    <t>22219</t>
  </si>
  <si>
    <t>2025-06-19 11:48:43</t>
  </si>
  <si>
    <t>89557</t>
  </si>
  <si>
    <t>2025-06-19 11:49:32</t>
  </si>
  <si>
    <t>Prasad Digikar</t>
  </si>
  <si>
    <t>MH14GQ6732</t>
  </si>
  <si>
    <t>5671</t>
  </si>
  <si>
    <t>ME4JF48BKH8044872</t>
  </si>
  <si>
    <t>2025-06-16 20:21:46</t>
  </si>
  <si>
    <t>78045</t>
  </si>
  <si>
    <t>2025-06-19 12:24:50</t>
  </si>
  <si>
    <t>34160</t>
  </si>
  <si>
    <t>2025-06-19 11:46:56</t>
  </si>
  <si>
    <t>Avanish Pul</t>
  </si>
  <si>
    <t>MH14KV3557</t>
  </si>
  <si>
    <t>5314</t>
  </si>
  <si>
    <t>2025-06-19 11:52:05</t>
  </si>
  <si>
    <t>46164</t>
  </si>
  <si>
    <t>2025-06-19 11:54:55</t>
  </si>
  <si>
    <t>36661</t>
  </si>
  <si>
    <t>2025-06-19 12:26:34</t>
  </si>
  <si>
    <t>Sayali Joshi</t>
  </si>
  <si>
    <t>MH14HT3072</t>
  </si>
  <si>
    <t>14251</t>
  </si>
  <si>
    <t>2025-06-19 12:00:30</t>
  </si>
  <si>
    <t xml:space="preserve">Akhilesh Gughane </t>
  </si>
  <si>
    <t>MH14BP3787</t>
  </si>
  <si>
    <t>035831</t>
  </si>
  <si>
    <t>MD2DSJNZZRCC33852</t>
  </si>
  <si>
    <t>JNGBRC60332</t>
  </si>
  <si>
    <t>2025-04-28 20:18:21</t>
  </si>
  <si>
    <t>2025-06-19 12:05:34</t>
  </si>
  <si>
    <t>Tejas Ranka</t>
  </si>
  <si>
    <t>MH16AW0245</t>
  </si>
  <si>
    <t>57032</t>
  </si>
  <si>
    <t>2025-06-19 12:02:25</t>
  </si>
  <si>
    <t>Vedant Joshi</t>
  </si>
  <si>
    <t>MH19CM3665</t>
  </si>
  <si>
    <t>32242</t>
  </si>
  <si>
    <t>2025-06-19 12:07:01</t>
  </si>
  <si>
    <t>Vaibhav Gorde</t>
  </si>
  <si>
    <t>MH12TB4868</t>
  </si>
  <si>
    <t>2025-06-19 12:10:35</t>
  </si>
  <si>
    <t xml:space="preserve">Ajinkya </t>
  </si>
  <si>
    <t>MH10DB9492</t>
  </si>
  <si>
    <t>61665</t>
  </si>
  <si>
    <t>ME1RG4477J0009976</t>
  </si>
  <si>
    <t>63J914045</t>
  </si>
  <si>
    <t>2025-06-19 12:08:47</t>
  </si>
  <si>
    <t>33583</t>
  </si>
  <si>
    <t>2025-06-19 12:09:52</t>
  </si>
  <si>
    <t>Arun Bande</t>
  </si>
  <si>
    <t>MH14R1932</t>
  </si>
  <si>
    <t>Hero CD 100 SS</t>
  </si>
  <si>
    <t>39580</t>
  </si>
  <si>
    <t>2025-05-24 11:32:32</t>
  </si>
  <si>
    <t>Allan Pathare</t>
  </si>
  <si>
    <t>MH15JK6315</t>
  </si>
  <si>
    <t>49797</t>
  </si>
  <si>
    <t>2025-06-19 12:00:57</t>
  </si>
  <si>
    <t>Neeraj Kulkarni</t>
  </si>
  <si>
    <t>MH15KB2457</t>
  </si>
  <si>
    <t>5543</t>
  </si>
  <si>
    <t>ME4JC85HLRD180947</t>
  </si>
  <si>
    <t>JC85ED3556401</t>
  </si>
  <si>
    <t>2025-05-24 20:24:33</t>
  </si>
  <si>
    <t>17037</t>
  </si>
  <si>
    <t>2025-05-31 20:33:51</t>
  </si>
  <si>
    <t>Dinesh Chavan</t>
  </si>
  <si>
    <t>MH14GP3924</t>
  </si>
  <si>
    <t>21822</t>
  </si>
  <si>
    <t>B8DP11AHH8528309</t>
  </si>
  <si>
    <t>AF211411053</t>
  </si>
  <si>
    <t>2025-06-19 12:24:39</t>
  </si>
  <si>
    <t>MH14FU3507</t>
  </si>
  <si>
    <t>1617</t>
  </si>
  <si>
    <t>2025-05-01 19:47:53</t>
  </si>
  <si>
    <t>Ankur Singh</t>
  </si>
  <si>
    <t>MH02EG2808</t>
  </si>
  <si>
    <t>41889</t>
  </si>
  <si>
    <t>2025-05-04 20:33:56</t>
  </si>
  <si>
    <t>Nisaga</t>
  </si>
  <si>
    <t>MH14DB9768</t>
  </si>
  <si>
    <t>39064</t>
  </si>
  <si>
    <t>ME4JC44SKB6563887</t>
  </si>
  <si>
    <t>JC44EU1674775</t>
  </si>
  <si>
    <t>2025-05-04 20:41:16</t>
  </si>
  <si>
    <t>124658</t>
  </si>
  <si>
    <t>070 ₹</t>
  </si>
  <si>
    <t>2025-04-30 19:27:14</t>
  </si>
  <si>
    <t>Vikram Sarode</t>
  </si>
  <si>
    <t>MH14EJ8771</t>
  </si>
  <si>
    <t>28083</t>
  </si>
  <si>
    <t>2025-05-25 21:16:09</t>
  </si>
  <si>
    <t>Ashutosh Sevak</t>
  </si>
  <si>
    <t>MH14BD8972</t>
  </si>
  <si>
    <t>15527</t>
  </si>
  <si>
    <t>2025-05-24 20:22:21</t>
  </si>
  <si>
    <t>MH14JF6783</t>
  </si>
  <si>
    <t>10179</t>
  </si>
  <si>
    <t>ME1SEG418L0027758</t>
  </si>
  <si>
    <t>9325E052640</t>
  </si>
  <si>
    <t>2025-05-25 19:44:42</t>
  </si>
  <si>
    <t>Dr.Swanand</t>
  </si>
  <si>
    <t>MH14LD4012</t>
  </si>
  <si>
    <t>22575</t>
  </si>
  <si>
    <t>2025-07-14 20:28:41</t>
  </si>
  <si>
    <t xml:space="preserve">Jenifer </t>
  </si>
  <si>
    <t>MH12SP3226</t>
  </si>
  <si>
    <t>13108</t>
  </si>
  <si>
    <t>2025-07-14 20:26:41</t>
  </si>
  <si>
    <t xml:space="preserve">Sarthak </t>
  </si>
  <si>
    <t>MH24BS8849</t>
  </si>
  <si>
    <t>7611</t>
  </si>
  <si>
    <t>2025-05-01 19:45:11</t>
  </si>
  <si>
    <t>Akshay Bhujbal</t>
  </si>
  <si>
    <t>MH14HA1577</t>
  </si>
  <si>
    <t>20183</t>
  </si>
  <si>
    <t>0186 ₹</t>
  </si>
  <si>
    <t>2025-07-14 20:26:09</t>
  </si>
  <si>
    <t>Omkar Jathar</t>
  </si>
  <si>
    <t>MH45AV9482</t>
  </si>
  <si>
    <t>16822</t>
  </si>
  <si>
    <t>2025-07-14 20:25:31</t>
  </si>
  <si>
    <t>SAMEER TAMBOLI</t>
  </si>
  <si>
    <t>MH14HT9769</t>
  </si>
  <si>
    <t>30873</t>
  </si>
  <si>
    <t>ME4JF921JKG0668588</t>
  </si>
  <si>
    <t>JF42EG0068027</t>
  </si>
  <si>
    <t>2025-07-14 20:25:49</t>
  </si>
  <si>
    <t>2025-07-14 20:26:23</t>
  </si>
  <si>
    <t>AKSHAY KALE</t>
  </si>
  <si>
    <t>MH14HC5999</t>
  </si>
  <si>
    <t>22591</t>
  </si>
  <si>
    <t>ME4JF499FJ4042F57</t>
  </si>
  <si>
    <t>JF49E43162599</t>
  </si>
  <si>
    <t>2025-07-14 20:28:21</t>
  </si>
  <si>
    <t>MH14HV9174</t>
  </si>
  <si>
    <t>22259</t>
  </si>
  <si>
    <t>MD626EG47K1H24354</t>
  </si>
  <si>
    <t>EG4HK1118217</t>
  </si>
  <si>
    <t>2025-07-14 20:29:22</t>
  </si>
  <si>
    <t>33303</t>
  </si>
  <si>
    <t>2025-07-14 20:29:39</t>
  </si>
  <si>
    <t xml:space="preserve">Aashish </t>
  </si>
  <si>
    <t>MH14KY2411</t>
  </si>
  <si>
    <t>14455</t>
  </si>
  <si>
    <t>ME3J3D5FFP109445</t>
  </si>
  <si>
    <t>J3A5FF1114076</t>
  </si>
  <si>
    <t>2025-05-01 19:43:39</t>
  </si>
  <si>
    <t>11113</t>
  </si>
  <si>
    <t>2025-07-14 20:30:24</t>
  </si>
  <si>
    <t>32235</t>
  </si>
  <si>
    <t>2025-07-14 20:30:49</t>
  </si>
  <si>
    <t>27444</t>
  </si>
  <si>
    <t>2025-07-14 20:31:31</t>
  </si>
  <si>
    <t>Nikam</t>
  </si>
  <si>
    <t>MH14HR9149</t>
  </si>
  <si>
    <t>23855</t>
  </si>
  <si>
    <t>ME4JF921FK01009293</t>
  </si>
  <si>
    <t>JF92EG0009312</t>
  </si>
  <si>
    <t>2025-07-14 20:31:06</t>
  </si>
  <si>
    <t>Apurva</t>
  </si>
  <si>
    <t>MH34AD6358</t>
  </si>
  <si>
    <t>63317</t>
  </si>
  <si>
    <t>ME4JF118418057621</t>
  </si>
  <si>
    <t>JF40571602</t>
  </si>
  <si>
    <t>2025-05-01 19:46:24</t>
  </si>
  <si>
    <t>18101</t>
  </si>
  <si>
    <t>2025-06-19 17:58:09</t>
  </si>
  <si>
    <t>2025-06-19 17:57:29</t>
  </si>
  <si>
    <t>Naveen</t>
  </si>
  <si>
    <t>KA26W0987</t>
  </si>
  <si>
    <t>59828</t>
  </si>
  <si>
    <t>2025-06-19 14:29:45</t>
  </si>
  <si>
    <t>Sankalp</t>
  </si>
  <si>
    <t>MH12GS6291</t>
  </si>
  <si>
    <t>37551</t>
  </si>
  <si>
    <t>2025-05-24 20:25:00</t>
  </si>
  <si>
    <t>30224</t>
  </si>
  <si>
    <t>2025-05-24 20:42:28</t>
  </si>
  <si>
    <t>Pratik Survase</t>
  </si>
  <si>
    <t>MH12QL5267</t>
  </si>
  <si>
    <t>26115</t>
  </si>
  <si>
    <t>2025-05-24 20:23:08</t>
  </si>
  <si>
    <t>Asawari Khot</t>
  </si>
  <si>
    <t>MH27BN0451</t>
  </si>
  <si>
    <t>34813</t>
  </si>
  <si>
    <t>ME4JF506MF8005611</t>
  </si>
  <si>
    <t>JF50E84005705</t>
  </si>
  <si>
    <t>2025-05-02 19:01:50</t>
  </si>
  <si>
    <t>2025-05-02 18:59:21</t>
  </si>
  <si>
    <t>2025-05-02 19:00:53</t>
  </si>
  <si>
    <t>2025-05-02 19:00:30</t>
  </si>
  <si>
    <t>49968</t>
  </si>
  <si>
    <t>2025-06-29 20:33:47</t>
  </si>
  <si>
    <t>12725</t>
  </si>
  <si>
    <t>2025-05-02 18:56:38</t>
  </si>
  <si>
    <t>NIKHIL MAYUR</t>
  </si>
  <si>
    <t>MH12NG4794</t>
  </si>
  <si>
    <t>45989</t>
  </si>
  <si>
    <t>MB8DP11AFG8152393</t>
  </si>
  <si>
    <t>AF211052608</t>
  </si>
  <si>
    <t>2025-05-25 19:42:41</t>
  </si>
  <si>
    <t xml:space="preserve">Gaurav Patil </t>
  </si>
  <si>
    <t>MH34BM1518</t>
  </si>
  <si>
    <t>47894</t>
  </si>
  <si>
    <t>2025-06-19 20:19:23</t>
  </si>
  <si>
    <t>1501</t>
  </si>
  <si>
    <t>2025-04-30 19:27:39</t>
  </si>
  <si>
    <t>Vinay Khemalapure</t>
  </si>
  <si>
    <t>MH12QZ8266</t>
  </si>
  <si>
    <t>15238</t>
  </si>
  <si>
    <t>2025-05-25 19:45:11</t>
  </si>
  <si>
    <t xml:space="preserve">VISHAKHA DESHMUKH </t>
  </si>
  <si>
    <t>29826</t>
  </si>
  <si>
    <t>2025-05-02 18:58:57</t>
  </si>
  <si>
    <t>MH12SM9113</t>
  </si>
  <si>
    <t>13721</t>
  </si>
  <si>
    <t>MB8DP11AK8607427</t>
  </si>
  <si>
    <t>AF212207265</t>
  </si>
  <si>
    <t>2025-05-04 20:20:32</t>
  </si>
  <si>
    <t xml:space="preserve">Mayank </t>
  </si>
  <si>
    <t>MH12NC6572</t>
  </si>
  <si>
    <t>34497</t>
  </si>
  <si>
    <t>2025-05-04 20:24:56</t>
  </si>
  <si>
    <t>19983</t>
  </si>
  <si>
    <t>2025-05-25 19:46:50</t>
  </si>
  <si>
    <t>Vijay prasad</t>
  </si>
  <si>
    <t>MH14FP0065</t>
  </si>
  <si>
    <t>52007</t>
  </si>
  <si>
    <t>2025-05-04 20:37:33</t>
  </si>
  <si>
    <t>71394</t>
  </si>
  <si>
    <t>2025-05-04 20:32:53</t>
  </si>
  <si>
    <t>54178</t>
  </si>
  <si>
    <t>2025-05-04 20:32:10</t>
  </si>
  <si>
    <t>4752</t>
  </si>
  <si>
    <t>2025-05-03 17:22:02</t>
  </si>
  <si>
    <t>Solar Era</t>
  </si>
  <si>
    <t>MH12MC4498</t>
  </si>
  <si>
    <t>7999</t>
  </si>
  <si>
    <t>2025-05-04 20:36:22</t>
  </si>
  <si>
    <t xml:space="preserve">Sanjay Chaudhary </t>
  </si>
  <si>
    <t>MH25AN4169</t>
  </si>
  <si>
    <t>34284</t>
  </si>
  <si>
    <t>MD626EG41J3B05803</t>
  </si>
  <si>
    <t xml:space="preserve">EG4BJ2313903 </t>
  </si>
  <si>
    <t>2025-05-04 20:39:05</t>
  </si>
  <si>
    <t>78766</t>
  </si>
  <si>
    <t>2025-05-04 20:28:23</t>
  </si>
  <si>
    <t>Lav Kande</t>
  </si>
  <si>
    <t>MH14JB7565</t>
  </si>
  <si>
    <t>68617</t>
  </si>
  <si>
    <t>2025-05-04 20:38:30</t>
  </si>
  <si>
    <t>15406</t>
  </si>
  <si>
    <t>2025-05-04 20:24:24</t>
  </si>
  <si>
    <t>69299</t>
  </si>
  <si>
    <t>2025-05-25 19:49:47</t>
  </si>
  <si>
    <t>33504</t>
  </si>
  <si>
    <t>2025-05-25 19:43:16</t>
  </si>
  <si>
    <t>Fadik K</t>
  </si>
  <si>
    <t>KL72B0479</t>
  </si>
  <si>
    <t>17982</t>
  </si>
  <si>
    <t>2025-05-25 19:42:06</t>
  </si>
  <si>
    <t>37746</t>
  </si>
  <si>
    <t>2025-05-25 19:44:04</t>
  </si>
  <si>
    <t>2025-05-25 19:47:54</t>
  </si>
  <si>
    <t>MH44F5428</t>
  </si>
  <si>
    <t>39995</t>
  </si>
  <si>
    <t>2025-05-25 19:48:22</t>
  </si>
  <si>
    <t>20511</t>
  </si>
  <si>
    <t>2025-05-04 20:40:49</t>
  </si>
  <si>
    <t xml:space="preserve">Deepali </t>
  </si>
  <si>
    <t>MH14KY2196</t>
  </si>
  <si>
    <t>17386</t>
  </si>
  <si>
    <t>2025-05-25 19:49:25</t>
  </si>
  <si>
    <t>Kunal Parate</t>
  </si>
  <si>
    <t>MH12HT3430</t>
  </si>
  <si>
    <t>54106</t>
  </si>
  <si>
    <t>ME4JC448AC875443</t>
  </si>
  <si>
    <t>JC44E1865436</t>
  </si>
  <si>
    <t>2025-05-25 19:41:26</t>
  </si>
  <si>
    <t>Shivam Kalwale</t>
  </si>
  <si>
    <t>MH13DC0645</t>
  </si>
  <si>
    <t>32384</t>
  </si>
  <si>
    <t>2025-05-04 20:19:49</t>
  </si>
  <si>
    <t>Ameya</t>
  </si>
  <si>
    <t>MH14HY3972</t>
  </si>
  <si>
    <t>28383</t>
  </si>
  <si>
    <t>MD626EG44K1K88494</t>
  </si>
  <si>
    <t>DG4KK1424863</t>
  </si>
  <si>
    <t>2025-05-04 20:40:08</t>
  </si>
  <si>
    <t>44621</t>
  </si>
  <si>
    <t>2025-05-04 20:17:14</t>
  </si>
  <si>
    <t>37579</t>
  </si>
  <si>
    <t>2025-05-26 20:19:38</t>
  </si>
  <si>
    <t xml:space="preserve">Himanshu Deshpande </t>
  </si>
  <si>
    <t>MH20FF9210</t>
  </si>
  <si>
    <t>17885</t>
  </si>
  <si>
    <t>ME4KC23KMJ8005503</t>
  </si>
  <si>
    <t>KC23E85063919</t>
  </si>
  <si>
    <t>2025-05-25 19:39:17</t>
  </si>
  <si>
    <t>Vipul Kumbharr</t>
  </si>
  <si>
    <t>MH31DL1966</t>
  </si>
  <si>
    <t>Hero Xtreme No Data</t>
  </si>
  <si>
    <t>34871</t>
  </si>
  <si>
    <t>2025-05-04 20:15:01</t>
  </si>
  <si>
    <t>Sanjay Rakshe</t>
  </si>
  <si>
    <t>MH14BV9991</t>
  </si>
  <si>
    <t>61455</t>
  </si>
  <si>
    <t>2025-05-04 20:21:50</t>
  </si>
  <si>
    <t>Mihir</t>
  </si>
  <si>
    <t>MH12MC2641</t>
  </si>
  <si>
    <t>2025-05-04 20:13:26</t>
  </si>
  <si>
    <t>2025-05-04 20:16:49</t>
  </si>
  <si>
    <t>Rahul Dubre</t>
  </si>
  <si>
    <t>MH14FB6505</t>
  </si>
  <si>
    <t>31499</t>
  </si>
  <si>
    <t>ME4JF1651160</t>
  </si>
  <si>
    <t>JF50ET2652181</t>
  </si>
  <si>
    <t>2025-05-04 20:19:33</t>
  </si>
  <si>
    <t>Kishor Mali</t>
  </si>
  <si>
    <t>MH10DF8011</t>
  </si>
  <si>
    <t>54567</t>
  </si>
  <si>
    <t>2025-05-04 20:23:40</t>
  </si>
  <si>
    <t>39195</t>
  </si>
  <si>
    <t>2025-05-04 20:18:33</t>
  </si>
  <si>
    <t>Pritish Patil</t>
  </si>
  <si>
    <t>MH14FA1186</t>
  </si>
  <si>
    <t>36664</t>
  </si>
  <si>
    <t>ME1RG0725F009375</t>
  </si>
  <si>
    <t>G3C8E0154755</t>
  </si>
  <si>
    <t>2025-05-04 20:38:07</t>
  </si>
  <si>
    <t>Gauri</t>
  </si>
  <si>
    <t>MH27BY9568</t>
  </si>
  <si>
    <t>20325</t>
  </si>
  <si>
    <t>MBLJFN020HGE15083</t>
  </si>
  <si>
    <t>JF53ACYGE13989</t>
  </si>
  <si>
    <t>2025-05-04 20:42:21</t>
  </si>
  <si>
    <t>Vishal Kalaskar</t>
  </si>
  <si>
    <t>MH31DT8734</t>
  </si>
  <si>
    <t>25160</t>
  </si>
  <si>
    <t>2025-05-04 20:41:41</t>
  </si>
  <si>
    <t>2025-05-07 19:34:47</t>
  </si>
  <si>
    <t>18666</t>
  </si>
  <si>
    <t>2025-05-26 20:18:28</t>
  </si>
  <si>
    <t>SANTOSH BALBAL</t>
  </si>
  <si>
    <t>MH14HV7248</t>
  </si>
  <si>
    <t>MB8DPHA6K8E459</t>
  </si>
  <si>
    <t>AF215297633</t>
  </si>
  <si>
    <t>2025-06-20 17:43:53</t>
  </si>
  <si>
    <t>MH12TG0710</t>
  </si>
  <si>
    <t>15388</t>
  </si>
  <si>
    <t>2025-05-26 20:17:28</t>
  </si>
  <si>
    <t>7245</t>
  </si>
  <si>
    <t>2025-05-07 19:29:07</t>
  </si>
  <si>
    <t xml:space="preserve">Mayuri Patil </t>
  </si>
  <si>
    <t>MH10BU9036</t>
  </si>
  <si>
    <t>58922</t>
  </si>
  <si>
    <t>2025-05-07 19:38:55</t>
  </si>
  <si>
    <t>Syrid</t>
  </si>
  <si>
    <t>MH04KY3337</t>
  </si>
  <si>
    <t>46922</t>
  </si>
  <si>
    <t>2025-05-26 20:16:55</t>
  </si>
  <si>
    <t>32695</t>
  </si>
  <si>
    <t>2025-05-07 19:37:06</t>
  </si>
  <si>
    <t>Ajay Pawar</t>
  </si>
  <si>
    <t>MH14GP7072</t>
  </si>
  <si>
    <t>16116</t>
  </si>
  <si>
    <t>MD626EG45H3L02075</t>
  </si>
  <si>
    <t>EG4KH1266362</t>
  </si>
  <si>
    <t>2025-05-07 19:30:19</t>
  </si>
  <si>
    <t>61705</t>
  </si>
  <si>
    <t>2025-05-07 19:34:17</t>
  </si>
  <si>
    <t>Pooja</t>
  </si>
  <si>
    <t>MH12VB6737</t>
  </si>
  <si>
    <t>11321</t>
  </si>
  <si>
    <t>2025-05-07 19:32:48</t>
  </si>
  <si>
    <t>2025-05-26 20:16:30</t>
  </si>
  <si>
    <t>Gunjan</t>
  </si>
  <si>
    <t>MH35AB5647</t>
  </si>
  <si>
    <t>26196</t>
  </si>
  <si>
    <t>2025-06-20 20:33:57</t>
  </si>
  <si>
    <t>40434</t>
  </si>
  <si>
    <t>2025-06-20 20:33:40</t>
  </si>
  <si>
    <t>5797</t>
  </si>
  <si>
    <t>2025-06-20 17:40:32</t>
  </si>
  <si>
    <t>MH25AV9156</t>
  </si>
  <si>
    <t>20809</t>
  </si>
  <si>
    <t>MD626EG58N1B66043</t>
  </si>
  <si>
    <t>2025-06-20 17:42:02</t>
  </si>
  <si>
    <t>Nilesh Shinde</t>
  </si>
  <si>
    <t>MH12FN3057</t>
  </si>
  <si>
    <t>86622</t>
  </si>
  <si>
    <t>ME4JC445G98183672</t>
  </si>
  <si>
    <t>JC44E0183236</t>
  </si>
  <si>
    <t>2025-06-20 17:47:15</t>
  </si>
  <si>
    <t>2025-06-22 21:05:50</t>
  </si>
  <si>
    <t>Abhishekh</t>
  </si>
  <si>
    <t>40926</t>
  </si>
  <si>
    <t>2025-05-07 19:27:39</t>
  </si>
  <si>
    <t>44245</t>
  </si>
  <si>
    <t>2025-05-07 19:38:36</t>
  </si>
  <si>
    <t>CHINMAY BEHARE</t>
  </si>
  <si>
    <t>MH12PG1404</t>
  </si>
  <si>
    <t>19399</t>
  </si>
  <si>
    <t>2025-05-07 20:08:34</t>
  </si>
  <si>
    <t>MH12BT5352</t>
  </si>
  <si>
    <t>27214</t>
  </si>
  <si>
    <t>0163 ₹</t>
  </si>
  <si>
    <t>2025-05-08 20:31:08</t>
  </si>
  <si>
    <t>46996</t>
  </si>
  <si>
    <t>2025-05-07 19:40:03</t>
  </si>
  <si>
    <t>KAVITA</t>
  </si>
  <si>
    <t>MH12FS3468</t>
  </si>
  <si>
    <t>JF11E6159598</t>
  </si>
  <si>
    <t>2025-05-07 19:26:59</t>
  </si>
  <si>
    <t>44859</t>
  </si>
  <si>
    <t>2025-05-07 19:26:13</t>
  </si>
  <si>
    <t>18293</t>
  </si>
  <si>
    <t>2025-05-07 19:32:07</t>
  </si>
  <si>
    <t>Atharva Yeole</t>
  </si>
  <si>
    <t>MH49BU6849</t>
  </si>
  <si>
    <t>14613</t>
  </si>
  <si>
    <t>2025-05-26 20:19:15</t>
  </si>
  <si>
    <t>AYUT NAYAK</t>
  </si>
  <si>
    <t>OD02Y6633</t>
  </si>
  <si>
    <t>54195</t>
  </si>
  <si>
    <t>BGAA178723</t>
  </si>
  <si>
    <t>2025-05-07 19:36:03</t>
  </si>
  <si>
    <t>Parag Shirbhate</t>
  </si>
  <si>
    <t>MH12PL7948</t>
  </si>
  <si>
    <t>30532</t>
  </si>
  <si>
    <t>2025-05-08 20:31:31</t>
  </si>
  <si>
    <t>21681</t>
  </si>
  <si>
    <t>2025-05-07 20:07:50</t>
  </si>
  <si>
    <t>MANI TEJA</t>
  </si>
  <si>
    <t>MH14FZ1217</t>
  </si>
  <si>
    <t>60846</t>
  </si>
  <si>
    <t>2025-06-20 20:33:18</t>
  </si>
  <si>
    <t>2025-06-20 20:36:05</t>
  </si>
  <si>
    <t>Arjit</t>
  </si>
  <si>
    <t>MH14FV7402</t>
  </si>
  <si>
    <t>24502</t>
  </si>
  <si>
    <t>2025-06-20 18:14:25</t>
  </si>
  <si>
    <t>MH01CZ8369</t>
  </si>
  <si>
    <t>MD626A67552A00576</t>
  </si>
  <si>
    <t>SG7HP2500151</t>
  </si>
  <si>
    <t>2025-05-08 20:46:31</t>
  </si>
  <si>
    <t>2025-06-28 20:31:13</t>
  </si>
  <si>
    <t xml:space="preserve">Jitendra </t>
  </si>
  <si>
    <t>MH14DZ515</t>
  </si>
  <si>
    <t>2025-05-30 21:00:18</t>
  </si>
  <si>
    <t>37007</t>
  </si>
  <si>
    <t>2025-05-11 20:35:01</t>
  </si>
  <si>
    <t>MH14GE6864</t>
  </si>
  <si>
    <t>44578</t>
  </si>
  <si>
    <t>2025-05-11 20:27:39</t>
  </si>
  <si>
    <t>35040</t>
  </si>
  <si>
    <t>2025-05-28 21:02:55</t>
  </si>
  <si>
    <t>2025-05-11 20:31:32</t>
  </si>
  <si>
    <t>Mukund Mane</t>
  </si>
  <si>
    <t>MH14GX4673</t>
  </si>
  <si>
    <t>22981</t>
  </si>
  <si>
    <t>2025-05-28 18:33:39</t>
  </si>
  <si>
    <t>18095</t>
  </si>
  <si>
    <t>2025-05-11 20:33:16</t>
  </si>
  <si>
    <t>Pratik Theurkar</t>
  </si>
  <si>
    <t>MH14CN9552</t>
  </si>
  <si>
    <t>82600</t>
  </si>
  <si>
    <t>224 ₹</t>
  </si>
  <si>
    <t>MD2DHDHZZTCJ28584</t>
  </si>
  <si>
    <t>DHGBTJ13118</t>
  </si>
  <si>
    <t>2025-05-11 20:34:43</t>
  </si>
  <si>
    <t>2025-06-21 21:16:17</t>
  </si>
  <si>
    <t>27692</t>
  </si>
  <si>
    <t>2025-05-31 20:33:25</t>
  </si>
  <si>
    <t>50951</t>
  </si>
  <si>
    <t>2025-05-11 20:25:03</t>
  </si>
  <si>
    <t>44165</t>
  </si>
  <si>
    <t>2025-05-11 20:19:39</t>
  </si>
  <si>
    <t xml:space="preserve">Vijay Prasad </t>
  </si>
  <si>
    <t>MH12FQ5793</t>
  </si>
  <si>
    <t>81798</t>
  </si>
  <si>
    <t>2025-05-12 19:14:19</t>
  </si>
  <si>
    <t>66704</t>
  </si>
  <si>
    <t>2025-05-16 21:00:05</t>
  </si>
  <si>
    <t>3425</t>
  </si>
  <si>
    <t>2025-05-11 20:18:30</t>
  </si>
  <si>
    <t>Shrinivas Sharma</t>
  </si>
  <si>
    <t>MH27AM9342</t>
  </si>
  <si>
    <t>36098</t>
  </si>
  <si>
    <t>2025-05-07 19:39:48</t>
  </si>
  <si>
    <t>Cre Kavita</t>
  </si>
  <si>
    <t>MH12BR1544</t>
  </si>
  <si>
    <t>89741</t>
  </si>
  <si>
    <t>2025-05-08 20:28:03</t>
  </si>
  <si>
    <t>2025-05-08 20:25:02</t>
  </si>
  <si>
    <t xml:space="preserve">SHIRKE </t>
  </si>
  <si>
    <t>MH12MX4684</t>
  </si>
  <si>
    <t>46076</t>
  </si>
  <si>
    <t>2025-05-08 20:25:54</t>
  </si>
  <si>
    <t>2025-05-08 20:28:55</t>
  </si>
  <si>
    <t>15465</t>
  </si>
  <si>
    <t>2025-05-08 20:30:31</t>
  </si>
  <si>
    <t>SANJAY HANDE</t>
  </si>
  <si>
    <t>MH14EJ6186</t>
  </si>
  <si>
    <t>2025-05-08 20:26:26</t>
  </si>
  <si>
    <t>8225</t>
  </si>
  <si>
    <t>2025-05-08 20:27:04</t>
  </si>
  <si>
    <t>38667</t>
  </si>
  <si>
    <t>2025-05-08 20:26:10</t>
  </si>
  <si>
    <t>MH47AA8338</t>
  </si>
  <si>
    <t>21682</t>
  </si>
  <si>
    <t>MD8DP11AR718621989</t>
  </si>
  <si>
    <t>AF2117896</t>
  </si>
  <si>
    <t>2025-05-08 20:28:33</t>
  </si>
  <si>
    <t>SHAM KANT</t>
  </si>
  <si>
    <t>MH12SR8402</t>
  </si>
  <si>
    <t>27463</t>
  </si>
  <si>
    <t>MD626CG51L1B21592</t>
  </si>
  <si>
    <t>DG5BL1204302</t>
  </si>
  <si>
    <t>2025-05-08 20:30:01</t>
  </si>
  <si>
    <t>2025-05-08 20:30:54</t>
  </si>
  <si>
    <t>MH22BA4842</t>
  </si>
  <si>
    <t>22857</t>
  </si>
  <si>
    <t>MZDKW1616P1C9781</t>
  </si>
  <si>
    <t>NGEPC000729</t>
  </si>
  <si>
    <t>2025-05-09 19:22:09</t>
  </si>
  <si>
    <t>21651</t>
  </si>
  <si>
    <t>2025-05-09 19:39:42</t>
  </si>
  <si>
    <t>ARJUN</t>
  </si>
  <si>
    <t>MH24AL9758</t>
  </si>
  <si>
    <t>0481 ₹</t>
  </si>
  <si>
    <t>2025-05-09 19:56:18</t>
  </si>
  <si>
    <t>70184</t>
  </si>
  <si>
    <t>2025-05-12 19:13:21</t>
  </si>
  <si>
    <t>MH12LS9446</t>
  </si>
  <si>
    <t>46967</t>
  </si>
  <si>
    <t>2025-05-09 19:24:32</t>
  </si>
  <si>
    <t xml:space="preserve">Anup </t>
  </si>
  <si>
    <t>MH14HS1651</t>
  </si>
  <si>
    <t>3118</t>
  </si>
  <si>
    <t>MD626EG4XK1E29961</t>
  </si>
  <si>
    <t>EG4EK1120037</t>
  </si>
  <si>
    <t>2025-05-09 19:19:30</t>
  </si>
  <si>
    <t xml:space="preserve">Balbhim Gaikwad </t>
  </si>
  <si>
    <t>MH14EZ1136</t>
  </si>
  <si>
    <t>47197</t>
  </si>
  <si>
    <t>2025-05-09 19:20:49</t>
  </si>
  <si>
    <t>MH14GF5614</t>
  </si>
  <si>
    <t>27831</t>
  </si>
  <si>
    <t>2025-05-09 19:57:10</t>
  </si>
  <si>
    <t>26824</t>
  </si>
  <si>
    <t>2025-06-21 13:14:24</t>
  </si>
  <si>
    <t>27324</t>
  </si>
  <si>
    <t>2025-05-11 20:33:35</t>
  </si>
  <si>
    <t>9399</t>
  </si>
  <si>
    <t>2025-05-28 21:05:23</t>
  </si>
  <si>
    <t>2025-05-11 20:33:54</t>
  </si>
  <si>
    <t>MH12GB8576</t>
  </si>
  <si>
    <t>37878</t>
  </si>
  <si>
    <t>JF2129060862</t>
  </si>
  <si>
    <t>2025-05-11 20:29:12</t>
  </si>
  <si>
    <t>Fazal Subhedar</t>
  </si>
  <si>
    <t>MH12JT2822</t>
  </si>
  <si>
    <t>73369</t>
  </si>
  <si>
    <t>ME4JF501A00838</t>
  </si>
  <si>
    <t>JF50E80006744</t>
  </si>
  <si>
    <t>2025-05-28 21:03:16</t>
  </si>
  <si>
    <t>MH14FK912</t>
  </si>
  <si>
    <t>2025-05-28 21:04:41</t>
  </si>
  <si>
    <t>36056</t>
  </si>
  <si>
    <t>2025-05-11 14:55:22</t>
  </si>
  <si>
    <t>36902</t>
  </si>
  <si>
    <t>2025-05-28 21:05:34</t>
  </si>
  <si>
    <t>2025-05-11 20:28:07</t>
  </si>
  <si>
    <t>Pratyush</t>
  </si>
  <si>
    <t>MH14KV6716</t>
  </si>
  <si>
    <t>2025-05-11 20:30:41</t>
  </si>
  <si>
    <t>20330</t>
  </si>
  <si>
    <t>2025-05-11 20:22:26</t>
  </si>
  <si>
    <t xml:space="preserve">Ranjit </t>
  </si>
  <si>
    <t>MH14KY0349</t>
  </si>
  <si>
    <t>TVS Apache RTR 150</t>
  </si>
  <si>
    <t>11734</t>
  </si>
  <si>
    <t>2025-05-11 20:14:57</t>
  </si>
  <si>
    <t>MH02FC4787</t>
  </si>
  <si>
    <t>18762</t>
  </si>
  <si>
    <t>2025-05-30 21:01:54</t>
  </si>
  <si>
    <t>27967</t>
  </si>
  <si>
    <t>2025-05-11 20:28:32</t>
  </si>
  <si>
    <t xml:space="preserve">Shubhankar Kulkarni </t>
  </si>
  <si>
    <t>MH14KZ0980</t>
  </si>
  <si>
    <t>20670</t>
  </si>
  <si>
    <t>2025-05-11 20:21:59</t>
  </si>
  <si>
    <t>SUBHAM</t>
  </si>
  <si>
    <t>MH12PD3503</t>
  </si>
  <si>
    <t>MBLKC2EMGGM0068</t>
  </si>
  <si>
    <t>KC12EGGM00901</t>
  </si>
  <si>
    <t>2025-05-11 20:20:01</t>
  </si>
  <si>
    <t>MH14EE6756</t>
  </si>
  <si>
    <t>38431</t>
  </si>
  <si>
    <t>ME4jf501kd8547593</t>
  </si>
  <si>
    <t>2025-05-11 20:35:23</t>
  </si>
  <si>
    <t>23563</t>
  </si>
  <si>
    <t>2025-05-12 11:53:10</t>
  </si>
  <si>
    <t>Amar Gavali</t>
  </si>
  <si>
    <t>2025-02-24 20:03:32</t>
  </si>
  <si>
    <t>70281</t>
  </si>
  <si>
    <t>2025-05-28 21:05:01</t>
  </si>
  <si>
    <t>Manasi</t>
  </si>
  <si>
    <t>MH14DB7508</t>
  </si>
  <si>
    <t>32432</t>
  </si>
  <si>
    <t>2025-05-11 20:24:39</t>
  </si>
  <si>
    <t>29560</t>
  </si>
  <si>
    <t>2025-05-11 20:16:52</t>
  </si>
  <si>
    <t>36041</t>
  </si>
  <si>
    <t>2025-05-11 20:26:27</t>
  </si>
  <si>
    <t>Deepali</t>
  </si>
  <si>
    <t>MH14GF8133</t>
  </si>
  <si>
    <t>MD626AG3042C17833</t>
  </si>
  <si>
    <t>AG3CH2016524</t>
  </si>
  <si>
    <t>2025-05-11 20:30:57</t>
  </si>
  <si>
    <t>Prajwal Mali</t>
  </si>
  <si>
    <t>MH20GN3362</t>
  </si>
  <si>
    <t>TVS Ronin Single Tone</t>
  </si>
  <si>
    <t>10033</t>
  </si>
  <si>
    <t>2025-05-11 20:23:35</t>
  </si>
  <si>
    <t xml:space="preserve">Santosh </t>
  </si>
  <si>
    <t>MH12RW3623</t>
  </si>
  <si>
    <t>28220</t>
  </si>
  <si>
    <t>JF50EW0107530</t>
  </si>
  <si>
    <t>2025-06-22 13:23:31</t>
  </si>
  <si>
    <t>Prinkesh Bhargav</t>
  </si>
  <si>
    <t>MH14FL1303</t>
  </si>
  <si>
    <t>30480</t>
  </si>
  <si>
    <t>2025-05-11 20:26:53</t>
  </si>
  <si>
    <t>MH22AU4134</t>
  </si>
  <si>
    <t>33128</t>
  </si>
  <si>
    <t>2025-05-12 14:58:50</t>
  </si>
  <si>
    <t>Roshani</t>
  </si>
  <si>
    <t>MH12MG1139</t>
  </si>
  <si>
    <t>28499</t>
  </si>
  <si>
    <t>2025-05-12 19:15:14</t>
  </si>
  <si>
    <t>40669</t>
  </si>
  <si>
    <t>2025-05-12 20:31:59</t>
  </si>
  <si>
    <t>MH12LY8292</t>
  </si>
  <si>
    <t>26479</t>
  </si>
  <si>
    <t>ME4JF5040F1220970</t>
  </si>
  <si>
    <t>JF50E-T-2221776</t>
  </si>
  <si>
    <t>2025-05-12 14:58:25</t>
  </si>
  <si>
    <t>9613</t>
  </si>
  <si>
    <t>2025-05-12 19:15:58</t>
  </si>
  <si>
    <t>2025-05-12 19:16:42</t>
  </si>
  <si>
    <t>Nikhil Mourya</t>
  </si>
  <si>
    <t>MH14GV2484</t>
  </si>
  <si>
    <t>11980</t>
  </si>
  <si>
    <t>MBBDP11AKH8514457</t>
  </si>
  <si>
    <t>AF211398397</t>
  </si>
  <si>
    <t>2025-06-21 20:37:34</t>
  </si>
  <si>
    <t>Rajendra Patil</t>
  </si>
  <si>
    <t>MH14EX3991</t>
  </si>
  <si>
    <t>42169</t>
  </si>
  <si>
    <t>MBLJA12A0FCC03639</t>
  </si>
  <si>
    <t>HA12A01D05474</t>
  </si>
  <si>
    <t>2025-06-21 18:10:40</t>
  </si>
  <si>
    <t>Abhijit Suryawanshi</t>
  </si>
  <si>
    <t>MH10DB0186</t>
  </si>
  <si>
    <t>2025-06-21 18:10:19</t>
  </si>
  <si>
    <t>Harsh Jadhav</t>
  </si>
  <si>
    <t>MH14HL1865</t>
  </si>
  <si>
    <t>8862</t>
  </si>
  <si>
    <t>2025-06-22 15:35:19</t>
  </si>
  <si>
    <t>PRATHAMESH PETEKAR</t>
  </si>
  <si>
    <t>MH22AG2643</t>
  </si>
  <si>
    <t>41647</t>
  </si>
  <si>
    <t>2025-05-29 21:16:58</t>
  </si>
  <si>
    <t>39961</t>
  </si>
  <si>
    <t>2025-06-21 20:34:13</t>
  </si>
  <si>
    <t>2025-05-29 21:16:35</t>
  </si>
  <si>
    <t>Datta Satpute</t>
  </si>
  <si>
    <t>MH38Z5196</t>
  </si>
  <si>
    <t>2025-05-30 21:01:03</t>
  </si>
  <si>
    <t>Gopal</t>
  </si>
  <si>
    <t>MH20FQ4212</t>
  </si>
  <si>
    <t>58142</t>
  </si>
  <si>
    <t>202 ₹</t>
  </si>
  <si>
    <t>2025-06-23 20:26:06</t>
  </si>
  <si>
    <t>79978</t>
  </si>
  <si>
    <t>2025-05-30 20:59:58</t>
  </si>
  <si>
    <t>Yashodhan</t>
  </si>
  <si>
    <t>MH15HV3731</t>
  </si>
  <si>
    <t>2025-06-21 18:21:38</t>
  </si>
  <si>
    <t>Akshay Rao</t>
  </si>
  <si>
    <t>MH14DD1702</t>
  </si>
  <si>
    <t>00000</t>
  </si>
  <si>
    <t>2025-06-21 20:33:51</t>
  </si>
  <si>
    <t>Rajan</t>
  </si>
  <si>
    <t>MH39AF5141</t>
  </si>
  <si>
    <t>2025-06-21 19:47:54</t>
  </si>
  <si>
    <t>0002</t>
  </si>
  <si>
    <t>2025-06-21 21:17:52</t>
  </si>
  <si>
    <t>2025-06-21 21:08:06</t>
  </si>
  <si>
    <t>Reddy</t>
  </si>
  <si>
    <t>MH12FN1830</t>
  </si>
  <si>
    <t>86901</t>
  </si>
  <si>
    <t>2025-05-30 20:45:06</t>
  </si>
  <si>
    <t>21867</t>
  </si>
  <si>
    <t>2025-05-30 21:01:35</t>
  </si>
  <si>
    <t xml:space="preserve">Venkatesh </t>
  </si>
  <si>
    <t>MH24BG3320</t>
  </si>
  <si>
    <t>19409</t>
  </si>
  <si>
    <t>MDZA92DXONCB14418</t>
  </si>
  <si>
    <t>JLXCNB1596</t>
  </si>
  <si>
    <t>2025-05-30 20:49:07</t>
  </si>
  <si>
    <t>Albart</t>
  </si>
  <si>
    <t>MH14FK1070</t>
  </si>
  <si>
    <t>33832</t>
  </si>
  <si>
    <t>MD2JYCH0FC038344</t>
  </si>
  <si>
    <t>2025-05-30 20:57:40</t>
  </si>
  <si>
    <t>51463</t>
  </si>
  <si>
    <t>2025-05-30 20:58:47</t>
  </si>
  <si>
    <t>106798</t>
  </si>
  <si>
    <t>2025-05-30 21:01:22</t>
  </si>
  <si>
    <t>MH14HT8245</t>
  </si>
  <si>
    <t>58864</t>
  </si>
  <si>
    <t>2025-06-22 13:12:13</t>
  </si>
  <si>
    <t>MH08AC5059</t>
  </si>
  <si>
    <t>Hero Maestro No Data</t>
  </si>
  <si>
    <t>MBLJF32ABDGH28693</t>
  </si>
  <si>
    <t>F32AADGH28354</t>
  </si>
  <si>
    <t>2025-06-23 13:45:07</t>
  </si>
  <si>
    <t>MH21CB0646</t>
  </si>
  <si>
    <t>Honda Unicorn 160 BS6</t>
  </si>
  <si>
    <t>8867</t>
  </si>
  <si>
    <t>2025-05-31 20:34:45</t>
  </si>
  <si>
    <t>22155</t>
  </si>
  <si>
    <t>2025-05-31 20:37:49</t>
  </si>
  <si>
    <t>Niranjan Mane</t>
  </si>
  <si>
    <t>MH14GM0981</t>
  </si>
  <si>
    <t>92732</t>
  </si>
  <si>
    <t>ME4JC58DHHT042683</t>
  </si>
  <si>
    <t>JC58ET6042721</t>
  </si>
  <si>
    <t>2025-06-22 14:37:41</t>
  </si>
  <si>
    <t>Shubham Nehulkar</t>
  </si>
  <si>
    <t>MH14GB9195</t>
  </si>
  <si>
    <t>15277</t>
  </si>
  <si>
    <t>2025-06-21 20:09:51</t>
  </si>
  <si>
    <t>Diryanshi</t>
  </si>
  <si>
    <t>MH49BS1654</t>
  </si>
  <si>
    <t>14330</t>
  </si>
  <si>
    <t>2025-05-31 20:35:20</t>
  </si>
  <si>
    <t>24124</t>
  </si>
  <si>
    <t>2025-06-01 20:32:25</t>
  </si>
  <si>
    <t>44262</t>
  </si>
  <si>
    <t>2025-06-23 13:48:12</t>
  </si>
  <si>
    <t xml:space="preserve">Rushi Bansode </t>
  </si>
  <si>
    <t>MH14JQ3897</t>
  </si>
  <si>
    <t>8603</t>
  </si>
  <si>
    <t>2025-06-23 13:41:22</t>
  </si>
  <si>
    <t>Shubh</t>
  </si>
  <si>
    <t>MH12PW3559</t>
  </si>
  <si>
    <t>21684</t>
  </si>
  <si>
    <t>JFYCH630892</t>
  </si>
  <si>
    <t>2025-06-22 15:34:44</t>
  </si>
  <si>
    <t>Bharat Ban</t>
  </si>
  <si>
    <t>MH12EX8818</t>
  </si>
  <si>
    <t>52826</t>
  </si>
  <si>
    <t>2025-05-31 20:35:02</t>
  </si>
  <si>
    <t xml:space="preserve">Rahul Kulkarni </t>
  </si>
  <si>
    <t>MH20BH4994</t>
  </si>
  <si>
    <t>49950</t>
  </si>
  <si>
    <t>2025-05-31 20:35:53</t>
  </si>
  <si>
    <t>6804</t>
  </si>
  <si>
    <t>2025-06-23 19:57:22</t>
  </si>
  <si>
    <t>Jayanth</t>
  </si>
  <si>
    <t>MH14JW0205</t>
  </si>
  <si>
    <t>9647</t>
  </si>
  <si>
    <t>MD626E657M1N12613</t>
  </si>
  <si>
    <t>GG5NM1812016</t>
  </si>
  <si>
    <t>2025-05-31 20:37:01</t>
  </si>
  <si>
    <t>2025-05-31 20:32:19</t>
  </si>
  <si>
    <t>P K Mahapatra</t>
  </si>
  <si>
    <t>MH12KH1517</t>
  </si>
  <si>
    <t>68076</t>
  </si>
  <si>
    <t>JF50E70410991</t>
  </si>
  <si>
    <t>2025-06-23 13:42:38</t>
  </si>
  <si>
    <t>Suraj Unde</t>
  </si>
  <si>
    <t>MH17CT5890</t>
  </si>
  <si>
    <t>13273</t>
  </si>
  <si>
    <t>ME4JF01AGNW273196</t>
  </si>
  <si>
    <t>JE01EW7273070</t>
  </si>
  <si>
    <t>2025-06-22 17:49:15</t>
  </si>
  <si>
    <t>90195</t>
  </si>
  <si>
    <t>2025-06-23 13:46:13</t>
  </si>
  <si>
    <t>51416</t>
  </si>
  <si>
    <t>2025-05-31 20:34:17</t>
  </si>
  <si>
    <t>Akshay Naik</t>
  </si>
  <si>
    <t>MH14JD8542</t>
  </si>
  <si>
    <t>15140</t>
  </si>
  <si>
    <t>2025-06-23 13:45:36</t>
  </si>
  <si>
    <t>PARIJAT MEHARE</t>
  </si>
  <si>
    <t>MH30AJ7668</t>
  </si>
  <si>
    <t>37828</t>
  </si>
  <si>
    <t>2025-06-27 19:17:09</t>
  </si>
  <si>
    <t>2025-06-01 20:38:20</t>
  </si>
  <si>
    <t>Chetan Narkhede</t>
  </si>
  <si>
    <t>MH12GL7321</t>
  </si>
  <si>
    <t>48986</t>
  </si>
  <si>
    <t>2025-06-22 18:47:19</t>
  </si>
  <si>
    <t>2025-06-22 21:06:19</t>
  </si>
  <si>
    <t xml:space="preserve">Sachin </t>
  </si>
  <si>
    <t>MH12EZ8130</t>
  </si>
  <si>
    <t>18596</t>
  </si>
  <si>
    <t>2025-06-23 13:47:46</t>
  </si>
  <si>
    <t>Chetan Parmar</t>
  </si>
  <si>
    <t>MH14ET6385</t>
  </si>
  <si>
    <t>173845</t>
  </si>
  <si>
    <t>2025-06-22 21:04:49</t>
  </si>
  <si>
    <t>22651</t>
  </si>
  <si>
    <t>2025-06-22 20:04:34</t>
  </si>
  <si>
    <t>2025-06-01 20:37:47</t>
  </si>
  <si>
    <t>Ghanil</t>
  </si>
  <si>
    <t>MH12SS6253</t>
  </si>
  <si>
    <t>18998</t>
  </si>
  <si>
    <t>2025-06-23 20:24:45</t>
  </si>
  <si>
    <t>Ahirrao</t>
  </si>
  <si>
    <t>MH12QX0535</t>
  </si>
  <si>
    <t>17068</t>
  </si>
  <si>
    <t>NE4JF50AHJU257740</t>
  </si>
  <si>
    <t>JF50E7257782</t>
  </si>
  <si>
    <t>2025-06-01 20:29:26</t>
  </si>
  <si>
    <t>2025-06-01 20:34:32</t>
  </si>
  <si>
    <t>Kunal Dongre</t>
  </si>
  <si>
    <t>MH12RW5759</t>
  </si>
  <si>
    <t>50044</t>
  </si>
  <si>
    <t>2025-06-01 20:31:40</t>
  </si>
  <si>
    <t>Amit Tarsoliya</t>
  </si>
  <si>
    <t>MH12HU4026</t>
  </si>
  <si>
    <t>62968</t>
  </si>
  <si>
    <t>MBLHA11ERC9C03129</t>
  </si>
  <si>
    <t>2025-06-01 20:39:33</t>
  </si>
  <si>
    <t xml:space="preserve">KUSHAL </t>
  </si>
  <si>
    <t>MH31FY9797</t>
  </si>
  <si>
    <t>16288</t>
  </si>
  <si>
    <t>ME4NC58AJPA002016</t>
  </si>
  <si>
    <t>NC58EA3007349</t>
  </si>
  <si>
    <t>2025-06-01 21:04:56</t>
  </si>
  <si>
    <t>MH12LB2284</t>
  </si>
  <si>
    <t>41412</t>
  </si>
  <si>
    <t>2025-07-16 20:07:42</t>
  </si>
  <si>
    <t>44766</t>
  </si>
  <si>
    <t>2025-05-31 20:38:54</t>
  </si>
  <si>
    <t>Ketan</t>
  </si>
  <si>
    <t>MH12KC3496</t>
  </si>
  <si>
    <t>51558</t>
  </si>
  <si>
    <t>2025-06-01 20:38:54</t>
  </si>
  <si>
    <t>DEEPAK</t>
  </si>
  <si>
    <t>MH14KY1882</t>
  </si>
  <si>
    <t>10943</t>
  </si>
  <si>
    <t>2025-06-01 20:36:26</t>
  </si>
  <si>
    <t>50515</t>
  </si>
  <si>
    <t>2025-06-23 13:40:55</t>
  </si>
  <si>
    <t>2025-06-23 13:39:00</t>
  </si>
  <si>
    <t>Rohit Khedkar</t>
  </si>
  <si>
    <t>MH20GJ0692</t>
  </si>
  <si>
    <t>16561</t>
  </si>
  <si>
    <t>2025-06-01 20:38:37</t>
  </si>
  <si>
    <t>75389</t>
  </si>
  <si>
    <t>2025-06-22 21:29:59</t>
  </si>
  <si>
    <t>2025-06-01 20:37:17</t>
  </si>
  <si>
    <t>Balwir Kenhre</t>
  </si>
  <si>
    <t>MH12UG1373</t>
  </si>
  <si>
    <t>24863</t>
  </si>
  <si>
    <t>2025-06-23 20:25:13</t>
  </si>
  <si>
    <t>2025-07-16 20:06:35</t>
  </si>
  <si>
    <t>2025-07-16 20:07:20</t>
  </si>
  <si>
    <t>Kenwal Kaul</t>
  </si>
  <si>
    <t>MH14KZ1182</t>
  </si>
  <si>
    <t>22156</t>
  </si>
  <si>
    <t>2025-06-01 20:35:34</t>
  </si>
  <si>
    <t>MH27BD8644</t>
  </si>
  <si>
    <t>2025-06-01 20:40:12</t>
  </si>
  <si>
    <t>77432</t>
  </si>
  <si>
    <t>2025-07-16 20:09:29</t>
  </si>
  <si>
    <t>MH12TL1088</t>
  </si>
  <si>
    <t>29553</t>
  </si>
  <si>
    <t>ME4JC8550CMG064729</t>
  </si>
  <si>
    <t>JC85EG0290759</t>
  </si>
  <si>
    <t>2025-07-16 20:11:39</t>
  </si>
  <si>
    <t>67100</t>
  </si>
  <si>
    <t>2025-07-16 20:10:40</t>
  </si>
  <si>
    <t>14169</t>
  </si>
  <si>
    <t>2025-06-23 13:44:28</t>
  </si>
  <si>
    <t>MH14GB3571</t>
  </si>
  <si>
    <t>29696</t>
  </si>
  <si>
    <t>2025-06-23 13:37:45</t>
  </si>
  <si>
    <t>NEHA BHAPKAR</t>
  </si>
  <si>
    <t>34040</t>
  </si>
  <si>
    <t>2025-06-23 13:40:19</t>
  </si>
  <si>
    <t>13597</t>
  </si>
  <si>
    <t>2025-06-23 13:43:42</t>
  </si>
  <si>
    <t>MH14GL6602</t>
  </si>
  <si>
    <t>20052</t>
  </si>
  <si>
    <t>2025-06-02 16:57:36</t>
  </si>
  <si>
    <t>MH12QH0464</t>
  </si>
  <si>
    <t>22109</t>
  </si>
  <si>
    <t>ME4JF50CAJ407599</t>
  </si>
  <si>
    <t>JF50E49076051</t>
  </si>
  <si>
    <t>2025-07-16 20:08:41</t>
  </si>
  <si>
    <t xml:space="preserve">Bhavesh Patil </t>
  </si>
  <si>
    <t>MH39AF4537</t>
  </si>
  <si>
    <t>39259</t>
  </si>
  <si>
    <t>2025-06-23 13:49:29</t>
  </si>
  <si>
    <t>MH13EE1920</t>
  </si>
  <si>
    <t>6236</t>
  </si>
  <si>
    <t>2025-06-02 20:23:34</t>
  </si>
  <si>
    <t>52415</t>
  </si>
  <si>
    <t>2025-07-16 20:09:00</t>
  </si>
  <si>
    <t xml:space="preserve"> Nadeem</t>
  </si>
  <si>
    <t>MH14EK0269</t>
  </si>
  <si>
    <t>4173</t>
  </si>
  <si>
    <t>2025-06-02 20:27:35</t>
  </si>
  <si>
    <t xml:space="preserve">Kanak Goyal </t>
  </si>
  <si>
    <t>MH14GF0221</t>
  </si>
  <si>
    <t xml:space="preserve">Bajaj V (Virat) </t>
  </si>
  <si>
    <t>51709</t>
  </si>
  <si>
    <t>2025-06-04 10:33:38</t>
  </si>
  <si>
    <t>21263</t>
  </si>
  <si>
    <t>2025-06-02 20:27:15</t>
  </si>
  <si>
    <t>MH27CK5823</t>
  </si>
  <si>
    <t>34743</t>
  </si>
  <si>
    <t>ME4JF0AMJU43043</t>
  </si>
  <si>
    <t>JF50EU7430392</t>
  </si>
  <si>
    <t>2025-06-02 17:19:47</t>
  </si>
  <si>
    <t>MAYUR KHANNA</t>
  </si>
  <si>
    <t>MH12KU9550</t>
  </si>
  <si>
    <t>41385</t>
  </si>
  <si>
    <t>2025-06-02 20:24:15</t>
  </si>
  <si>
    <t>33048</t>
  </si>
  <si>
    <t>2025-06-02 20:22:04</t>
  </si>
  <si>
    <t>43280</t>
  </si>
  <si>
    <t>2025-06-02 20:25:34</t>
  </si>
  <si>
    <t>Akash</t>
  </si>
  <si>
    <t>MH14KV4630</t>
  </si>
  <si>
    <t>Hero Xpulse 4V</t>
  </si>
  <si>
    <t>16972</t>
  </si>
  <si>
    <t>MBLLDL082PGD00457</t>
  </si>
  <si>
    <t>MC20A9PGD00441</t>
  </si>
  <si>
    <t>2025-07-10 17:58:41</t>
  </si>
  <si>
    <t>2025-06-23 19:11:54</t>
  </si>
  <si>
    <t>Shelke</t>
  </si>
  <si>
    <t>MH14NC8298</t>
  </si>
  <si>
    <t>2025-06-23 19:50:23</t>
  </si>
  <si>
    <t>Rajendra Kawade</t>
  </si>
  <si>
    <t>MH14GL7735</t>
  </si>
  <si>
    <t>MBLHAK102HHH11210</t>
  </si>
  <si>
    <t>HA20ACWHH43700</t>
  </si>
  <si>
    <t>2025-06-23 19:12:21</t>
  </si>
  <si>
    <t xml:space="preserve">Krishna </t>
  </si>
  <si>
    <t>MH14JT8076</t>
  </si>
  <si>
    <t>2025-06-23 19:32:38</t>
  </si>
  <si>
    <t xml:space="preserve">Priyanshi Sharma </t>
  </si>
  <si>
    <t>MH14FV0646</t>
  </si>
  <si>
    <t>ME4JFS05E4U107236</t>
  </si>
  <si>
    <t>2025-06-12 21:59:26</t>
  </si>
  <si>
    <t>Vasu</t>
  </si>
  <si>
    <t>MP28MZ2373</t>
  </si>
  <si>
    <t>24270</t>
  </si>
  <si>
    <t>2025-06-02 20:20:06</t>
  </si>
  <si>
    <t>MH12FE2770</t>
  </si>
  <si>
    <t>MD2DHDH77R0F00627</t>
  </si>
  <si>
    <t>2025-06-25 17:45:27</t>
  </si>
  <si>
    <t>2025-06-05 19:47:26</t>
  </si>
  <si>
    <t>Abhiraj</t>
  </si>
  <si>
    <t>MP43DS2503</t>
  </si>
  <si>
    <t>64409</t>
  </si>
  <si>
    <t>2025-07-17 19:51:54</t>
  </si>
  <si>
    <t>2025-06-25 17:49:34</t>
  </si>
  <si>
    <t xml:space="preserve">Manish Deshmukh </t>
  </si>
  <si>
    <t>MH19CC8701</t>
  </si>
  <si>
    <t>2025-06-25 17:46:57</t>
  </si>
  <si>
    <t>39366</t>
  </si>
  <si>
    <t>2025-06-25 17:49:59</t>
  </si>
  <si>
    <t>43060</t>
  </si>
  <si>
    <t>2025-07-17 19:52:47</t>
  </si>
  <si>
    <t>2025-07-20 18:27:26</t>
  </si>
  <si>
    <t>9638</t>
  </si>
  <si>
    <t>2025-06-12 21:35:23</t>
  </si>
  <si>
    <t>2025-06-12 09:10:13</t>
  </si>
  <si>
    <t>Kailash Bhatia</t>
  </si>
  <si>
    <t>MH14DY5871</t>
  </si>
  <si>
    <t>12870</t>
  </si>
  <si>
    <t>MD626AG43D1C83609</t>
  </si>
  <si>
    <t>2025-06-12 21:39:08</t>
  </si>
  <si>
    <t xml:space="preserve">Aniruddha Deshpande </t>
  </si>
  <si>
    <t>MH28BU7292</t>
  </si>
  <si>
    <t>10914</t>
  </si>
  <si>
    <t>ME4BC404GPA016426</t>
  </si>
  <si>
    <t>KC40EA3016124</t>
  </si>
  <si>
    <t>2025-07-17 19:49:27</t>
  </si>
  <si>
    <t>2025-07-18 12:03:29</t>
  </si>
  <si>
    <t>2025-07-18 12:04:08</t>
  </si>
  <si>
    <t>22470</t>
  </si>
  <si>
    <t>2025-06-02 20:20:52</t>
  </si>
  <si>
    <t>Chirag Vyas</t>
  </si>
  <si>
    <t>MH14DQ8886</t>
  </si>
  <si>
    <t>39000</t>
  </si>
  <si>
    <t>2025-06-12 21:38:37</t>
  </si>
  <si>
    <t>22866</t>
  </si>
  <si>
    <t>2025-06-07 11:16:34</t>
  </si>
  <si>
    <t>2025-06-12 21:37:05</t>
  </si>
  <si>
    <t xml:space="preserve">Akash </t>
  </si>
  <si>
    <t>MH48AU3746</t>
  </si>
  <si>
    <t>37091</t>
  </si>
  <si>
    <t>2025-07-18 12:04:28</t>
  </si>
  <si>
    <t>2025-06-12 21:44:28</t>
  </si>
  <si>
    <t>21305</t>
  </si>
  <si>
    <t>2025-06-12 21:50:10</t>
  </si>
  <si>
    <t>45620</t>
  </si>
  <si>
    <t>2025-06-12 21:45:03</t>
  </si>
  <si>
    <t>MH14HX6792</t>
  </si>
  <si>
    <t>17969</t>
  </si>
  <si>
    <t>2025-06-12 21:49:45</t>
  </si>
  <si>
    <t>Ajay Chavan</t>
  </si>
  <si>
    <t>MH46BN1377</t>
  </si>
  <si>
    <t>29878</t>
  </si>
  <si>
    <t>ME1RG4485J0005232</t>
  </si>
  <si>
    <t>G3J3E0285090</t>
  </si>
  <si>
    <t>2025-06-12 21:48:26</t>
  </si>
  <si>
    <t>Shivam Lahane</t>
  </si>
  <si>
    <t>11384</t>
  </si>
  <si>
    <t>2025-07-25 20:32:21</t>
  </si>
  <si>
    <t>Pawan</t>
  </si>
  <si>
    <t>MH29BU5610</t>
  </si>
  <si>
    <t>23524</t>
  </si>
  <si>
    <t>ME4JC83CLMG011111</t>
  </si>
  <si>
    <t>JC83EG2179233</t>
  </si>
  <si>
    <t>2025-06-12 21:43:33</t>
  </si>
  <si>
    <t>36131</t>
  </si>
  <si>
    <t>2025-06-25 20:50:18</t>
  </si>
  <si>
    <t>2025-07-17 20:35:59</t>
  </si>
  <si>
    <t>ANIKET MULIK</t>
  </si>
  <si>
    <t>MH14GE3223</t>
  </si>
  <si>
    <t>32110</t>
  </si>
  <si>
    <t>0468 ₹</t>
  </si>
  <si>
    <t>ME343S5CIH308</t>
  </si>
  <si>
    <t>4355C0HB267256</t>
  </si>
  <si>
    <t>2025-07-17 19:49:16</t>
  </si>
  <si>
    <t>Shirish Jadhav</t>
  </si>
  <si>
    <t>MH14FH6952</t>
  </si>
  <si>
    <t>46079</t>
  </si>
  <si>
    <t>2025-07-17 19:49:45</t>
  </si>
  <si>
    <t>Abhishek Madan</t>
  </si>
  <si>
    <t>MH32AD9584</t>
  </si>
  <si>
    <t>24807</t>
  </si>
  <si>
    <t>2025-07-17 19:50:14</t>
  </si>
  <si>
    <t>68179</t>
  </si>
  <si>
    <t>063 ₹</t>
  </si>
  <si>
    <t>2025-06-12 21:43:01</t>
  </si>
  <si>
    <t>10477</t>
  </si>
  <si>
    <t>2025-07-17 19:53:36</t>
  </si>
  <si>
    <t xml:space="preserve">Ruturaj Bhosale </t>
  </si>
  <si>
    <t>MH14KR9418</t>
  </si>
  <si>
    <t>23308</t>
  </si>
  <si>
    <t>ME4JK133BPW039996</t>
  </si>
  <si>
    <t>JK13EW1129230</t>
  </si>
  <si>
    <t>2025-06-25 17:47:32</t>
  </si>
  <si>
    <t xml:space="preserve">Vijay </t>
  </si>
  <si>
    <t>MH14ZG4213</t>
  </si>
  <si>
    <t>MBLHAW226PHL41030</t>
  </si>
  <si>
    <t>HA11EEFW220140</t>
  </si>
  <si>
    <t>2025-06-25 17:48:45</t>
  </si>
  <si>
    <t>2025-06-12 21:33:45</t>
  </si>
  <si>
    <t>MH17BK5973</t>
  </si>
  <si>
    <t>34769</t>
  </si>
  <si>
    <t>2025-07-17 20:36:41</t>
  </si>
  <si>
    <t xml:space="preserve">Shraddha Chaudhary </t>
  </si>
  <si>
    <t>MH12TF5340</t>
  </si>
  <si>
    <t>37032</t>
  </si>
  <si>
    <t>2025-07-17 20:36:17</t>
  </si>
  <si>
    <t>SIDHESH  PATIL</t>
  </si>
  <si>
    <t>MH12PY5721</t>
  </si>
  <si>
    <t>31990</t>
  </si>
  <si>
    <t>2025-06-12 21:40:35</t>
  </si>
  <si>
    <t>2025-06-12 21:54:23</t>
  </si>
  <si>
    <t xml:space="preserve">Pankaj Patil </t>
  </si>
  <si>
    <t>MH09EP4364</t>
  </si>
  <si>
    <t>21170</t>
  </si>
  <si>
    <t>2025-06-12 21:42:12</t>
  </si>
  <si>
    <t>John</t>
  </si>
  <si>
    <t>MH12DN2655</t>
  </si>
  <si>
    <t>57058</t>
  </si>
  <si>
    <t>2025-06-12 21:54:57</t>
  </si>
  <si>
    <t>GAJENDRA WAGHMARE</t>
  </si>
  <si>
    <t>MH14JK0534</t>
  </si>
  <si>
    <t>26805</t>
  </si>
  <si>
    <t>2025-06-12 21:41:31</t>
  </si>
  <si>
    <t>DEEPAK KUMAR SINGH</t>
  </si>
  <si>
    <t>MH14HC0442</t>
  </si>
  <si>
    <t>14902</t>
  </si>
  <si>
    <t>2025-06-12 21:52:53</t>
  </si>
  <si>
    <t>MH14JT2365</t>
  </si>
  <si>
    <t>13234</t>
  </si>
  <si>
    <t>2025-06-12 21:53:44</t>
  </si>
  <si>
    <t>A.B</t>
  </si>
  <si>
    <t>MH15GZ3098</t>
  </si>
  <si>
    <t>48189</t>
  </si>
  <si>
    <t>2025-06-25 20:48:20</t>
  </si>
  <si>
    <t>Sagar Patil</t>
  </si>
  <si>
    <t>MH19EH2118</t>
  </si>
  <si>
    <t>10594</t>
  </si>
  <si>
    <t>2025-06-12 21:57:25</t>
  </si>
  <si>
    <t xml:space="preserve">Ramprasad </t>
  </si>
  <si>
    <t>MH14EF7871</t>
  </si>
  <si>
    <t>45601</t>
  </si>
  <si>
    <t>2025-06-19 12:25:59</t>
  </si>
  <si>
    <t>MH14JT2587</t>
  </si>
  <si>
    <t>9091</t>
  </si>
  <si>
    <t>2025-06-12 22:15:25</t>
  </si>
  <si>
    <t>26576</t>
  </si>
  <si>
    <t>2025-06-19 12:25:46</t>
  </si>
  <si>
    <t>2025-06-19 12:25:28</t>
  </si>
  <si>
    <t>48117</t>
  </si>
  <si>
    <t>2025-06-25 17:45:55</t>
  </si>
  <si>
    <t>Akshay Lambe</t>
  </si>
  <si>
    <t>MH09DZ2272</t>
  </si>
  <si>
    <t>ME4KC231BGAD14873</t>
  </si>
  <si>
    <t>HC23E80018721</t>
  </si>
  <si>
    <t>2025-06-12 21:46:37</t>
  </si>
  <si>
    <t>Vaibhav Kulkarni</t>
  </si>
  <si>
    <t>MH14DK6863</t>
  </si>
  <si>
    <t>Hero Pleasure Old</t>
  </si>
  <si>
    <t>54589</t>
  </si>
  <si>
    <t>MBLJF16EDCG024928</t>
  </si>
  <si>
    <t>2025-06-12 22:19:46</t>
  </si>
  <si>
    <t>31497</t>
  </si>
  <si>
    <t>2025-06-12 22:14:56</t>
  </si>
  <si>
    <t>2155</t>
  </si>
  <si>
    <t>2025-06-12 22:18:50</t>
  </si>
  <si>
    <t>26694</t>
  </si>
  <si>
    <t>2025-06-12 22:17:31</t>
  </si>
  <si>
    <t>26401</t>
  </si>
  <si>
    <t>2025-06-12 22:13:33</t>
  </si>
  <si>
    <t>Gopal Kale</t>
  </si>
  <si>
    <t>MH14LR0950</t>
  </si>
  <si>
    <t>21395</t>
  </si>
  <si>
    <t>2025-06-25 20:48:02</t>
  </si>
  <si>
    <t xml:space="preserve">Vaibhav Kumbhar </t>
  </si>
  <si>
    <t>MH50Q9215</t>
  </si>
  <si>
    <t>2025-06-12 22:18:23</t>
  </si>
  <si>
    <t>Abhilash</t>
  </si>
  <si>
    <t>MH32AR7340</t>
  </si>
  <si>
    <t>15892</t>
  </si>
  <si>
    <t>ME1RG6665M000560</t>
  </si>
  <si>
    <t>G3N3E0128118</t>
  </si>
  <si>
    <t>2025-06-25 20:49:11</t>
  </si>
  <si>
    <t>MH14FU4454</t>
  </si>
  <si>
    <t>0189 ₹</t>
  </si>
  <si>
    <t>MD2H22EZ2GCE76161</t>
  </si>
  <si>
    <t>PDZCGE73817</t>
  </si>
  <si>
    <t>2025-06-12 22:16:06</t>
  </si>
  <si>
    <t>2025-06-12 22:12:50</t>
  </si>
  <si>
    <t>Prasanna</t>
  </si>
  <si>
    <t>MH14EB3776</t>
  </si>
  <si>
    <t>MD66B36DZK446640</t>
  </si>
  <si>
    <t>0G3KD212032</t>
  </si>
  <si>
    <t>2025-06-12 22:10:44</t>
  </si>
  <si>
    <t xml:space="preserve">Chaitanya Pandit </t>
  </si>
  <si>
    <t>MH12QJ9058</t>
  </si>
  <si>
    <t>91903</t>
  </si>
  <si>
    <t>2025-06-12 09:08:34</t>
  </si>
  <si>
    <t>MH12SH6918</t>
  </si>
  <si>
    <t>40779</t>
  </si>
  <si>
    <t>MD673CE77K2H01623</t>
  </si>
  <si>
    <t>2025-06-12 22:04:49</t>
  </si>
  <si>
    <t>29027</t>
  </si>
  <si>
    <t>2025-06-12 22:05:29</t>
  </si>
  <si>
    <t>2025-06-12 09:06:47</t>
  </si>
  <si>
    <t>MH04LC1088</t>
  </si>
  <si>
    <t>0957</t>
  </si>
  <si>
    <t>ME4JE918JMW009604</t>
  </si>
  <si>
    <t>JF91EW5009727</t>
  </si>
  <si>
    <t>2025-06-12 22:04:04</t>
  </si>
  <si>
    <t>MH27CT1447</t>
  </si>
  <si>
    <t>23103</t>
  </si>
  <si>
    <t>2025-06-12 22:07:59</t>
  </si>
  <si>
    <t>Sonawane</t>
  </si>
  <si>
    <t>MH18AH7226</t>
  </si>
  <si>
    <t>45420</t>
  </si>
  <si>
    <t>2025-06-27 12:53:19</t>
  </si>
  <si>
    <t>Vijay Dalvi</t>
  </si>
  <si>
    <t>MH12JY1545</t>
  </si>
  <si>
    <t>ME4JF50100174553</t>
  </si>
  <si>
    <t>JF50E70174404</t>
  </si>
  <si>
    <t>2025-06-12 22:08:39</t>
  </si>
  <si>
    <t>Amol Temgire</t>
  </si>
  <si>
    <t>MH12LN1654</t>
  </si>
  <si>
    <t>18885</t>
  </si>
  <si>
    <t>JF50E71177962</t>
  </si>
  <si>
    <t>2025-07-18 20:27:58</t>
  </si>
  <si>
    <t>24852</t>
  </si>
  <si>
    <t>2025-07-18 20:27:09</t>
  </si>
  <si>
    <t>29851</t>
  </si>
  <si>
    <t>2025-06-26 18:00:37</t>
  </si>
  <si>
    <t>2025-06-26 18:00:56</t>
  </si>
  <si>
    <t>PRITAM</t>
  </si>
  <si>
    <t>MH14JS2987</t>
  </si>
  <si>
    <t>8251</t>
  </si>
  <si>
    <t>ME4JF914GMG536752</t>
  </si>
  <si>
    <t>JF91EC1535644</t>
  </si>
  <si>
    <t>2025-06-27 12:52:11</t>
  </si>
  <si>
    <t>MANDIP MANDAL</t>
  </si>
  <si>
    <t>MH14FK8609</t>
  </si>
  <si>
    <t>MD2A22EZ2GCL17055</t>
  </si>
  <si>
    <t>PDZCGLZ3557</t>
  </si>
  <si>
    <t>2025-07-10 20:38:47</t>
  </si>
  <si>
    <t>29000</t>
  </si>
  <si>
    <t>2025-06-27 18:00:35</t>
  </si>
  <si>
    <t>MH34X8400</t>
  </si>
  <si>
    <t>2025-06-12 22:03:34</t>
  </si>
  <si>
    <t>Gopal More</t>
  </si>
  <si>
    <t>MH12DF1437</t>
  </si>
  <si>
    <t>18227</t>
  </si>
  <si>
    <t>06A16F31256</t>
  </si>
  <si>
    <t>2025-06-27 19:18:55</t>
  </si>
  <si>
    <t>MH16AS5662</t>
  </si>
  <si>
    <t>TVS Apache RTR 180</t>
  </si>
  <si>
    <t>2025-06-26 17:34:47</t>
  </si>
  <si>
    <t>23738</t>
  </si>
  <si>
    <t>2025-06-26 20:13:58</t>
  </si>
  <si>
    <t xml:space="preserve">Kendre </t>
  </si>
  <si>
    <t>MH14FV4669</t>
  </si>
  <si>
    <t>ME4JF505KG442265</t>
  </si>
  <si>
    <t>JF50EU3422412</t>
  </si>
  <si>
    <t>2025-07-24 18:44:10</t>
  </si>
  <si>
    <t>2025-06-26 20:12:20</t>
  </si>
  <si>
    <t>2025-06-26 20:14:21</t>
  </si>
  <si>
    <t>2025-06-26 20:32:25</t>
  </si>
  <si>
    <t xml:space="preserve">Jayesh Shelar </t>
  </si>
  <si>
    <t>MH41HK2747</t>
  </si>
  <si>
    <t>027 ₹</t>
  </si>
  <si>
    <t>2025-06-26 20:12:52</t>
  </si>
  <si>
    <t>2025-06-26 20:13:27</t>
  </si>
  <si>
    <t xml:space="preserve">NARENDRA SINGH </t>
  </si>
  <si>
    <t>MH12RC1336</t>
  </si>
  <si>
    <t>79907</t>
  </si>
  <si>
    <t>2025-06-27 17:56:09</t>
  </si>
  <si>
    <t>GA03AJ0997</t>
  </si>
  <si>
    <t>27486</t>
  </si>
  <si>
    <t>2025-06-27 17:56:22</t>
  </si>
  <si>
    <t>Omprakash Shukla</t>
  </si>
  <si>
    <t>MH14DE2352</t>
  </si>
  <si>
    <t>MBLJF16EDBGL33384</t>
  </si>
  <si>
    <t>JF16EBBCL33520</t>
  </si>
  <si>
    <t>2025-07-18 20:27:42</t>
  </si>
  <si>
    <t>Nikhil Kadam</t>
  </si>
  <si>
    <t>MH14AU1699</t>
  </si>
  <si>
    <t>5212</t>
  </si>
  <si>
    <t>2025-07-18 20:28:12</t>
  </si>
  <si>
    <t>Prabhakar Bankar</t>
  </si>
  <si>
    <t>MH14BL1037</t>
  </si>
  <si>
    <t>46074</t>
  </si>
  <si>
    <t>2025-06-27 19:18:04</t>
  </si>
  <si>
    <t>2025-07-18 20:26:00</t>
  </si>
  <si>
    <t>2025-07-18 20:26:36</t>
  </si>
  <si>
    <t>SWATI JOSHI</t>
  </si>
  <si>
    <t>MH14HP4933</t>
  </si>
  <si>
    <t>13740</t>
  </si>
  <si>
    <t>2025-07-18 20:25:26</t>
  </si>
  <si>
    <t>TUKARAM</t>
  </si>
  <si>
    <t>MH12MT2270</t>
  </si>
  <si>
    <t>65999</t>
  </si>
  <si>
    <t>ME4JF505BGT074097</t>
  </si>
  <si>
    <t>JF50ET3074447</t>
  </si>
  <si>
    <t>2025-07-18 20:26:49</t>
  </si>
  <si>
    <t>5535</t>
  </si>
  <si>
    <t>2025-07-18 20:28:37</t>
  </si>
  <si>
    <t>Parma</t>
  </si>
  <si>
    <t>MH14KG4139</t>
  </si>
  <si>
    <t>20614</t>
  </si>
  <si>
    <t>MD626A548N1G04678</t>
  </si>
  <si>
    <t>3K4GN1004505</t>
  </si>
  <si>
    <t>2025-07-18 20:28:54</t>
  </si>
  <si>
    <t>11982</t>
  </si>
  <si>
    <t>2025-07-18 20:45:13</t>
  </si>
  <si>
    <t>53460</t>
  </si>
  <si>
    <t>2025-06-27 17:59:58</t>
  </si>
  <si>
    <t>14858</t>
  </si>
  <si>
    <t>2025-06-27 20:08:04</t>
  </si>
  <si>
    <t>2025-06-27 19:16:57</t>
  </si>
  <si>
    <t>2025-06-27 19:16:03</t>
  </si>
  <si>
    <t>NH14HF1508</t>
  </si>
  <si>
    <t>2025-06-27 20:19:01</t>
  </si>
  <si>
    <t>2025-06-27 23:44:52</t>
  </si>
  <si>
    <t xml:space="preserve">Gaurav Kulkarni </t>
  </si>
  <si>
    <t>MH14HZ0182</t>
  </si>
  <si>
    <t>29001</t>
  </si>
  <si>
    <t>ME4JR50ALKW299409</t>
  </si>
  <si>
    <t>2025-06-28 11:37:51</t>
  </si>
  <si>
    <t>27316</t>
  </si>
  <si>
    <t>2025-07-20 18:16:44</t>
  </si>
  <si>
    <t>15858</t>
  </si>
  <si>
    <t>2025-07-20 18:17:24</t>
  </si>
  <si>
    <t>2025-07-20 18:18:05</t>
  </si>
  <si>
    <t>32709</t>
  </si>
  <si>
    <t>2025-06-12 09:05:36</t>
  </si>
  <si>
    <t>Siddheshwar</t>
  </si>
  <si>
    <t>MH21BB8457</t>
  </si>
  <si>
    <t>68602</t>
  </si>
  <si>
    <t>ME1RG0721H0282423</t>
  </si>
  <si>
    <t>G8C8E0423944</t>
  </si>
  <si>
    <t>2025-06-28 20:42:22</t>
  </si>
  <si>
    <t>2025-06-28 20:32:18</t>
  </si>
  <si>
    <t xml:space="preserve">Govind Deshmukh </t>
  </si>
  <si>
    <t>MH20DY5081</t>
  </si>
  <si>
    <t>2025-06-28 20:36:20</t>
  </si>
  <si>
    <t>2025-06-28 20:34:47</t>
  </si>
  <si>
    <t>Sudeep Sachdev</t>
  </si>
  <si>
    <t>MH14EG6195</t>
  </si>
  <si>
    <t>ME4JF501CE8790968</t>
  </si>
  <si>
    <t>JF50E80789865</t>
  </si>
  <si>
    <t>2025-06-29 12:00:05</t>
  </si>
  <si>
    <t>MH04HC5163</t>
  </si>
  <si>
    <t>MD634KE40F2L24208</t>
  </si>
  <si>
    <t>E4LF859786</t>
  </si>
  <si>
    <t>2025-06-28 20:30:20</t>
  </si>
  <si>
    <t xml:space="preserve">Vishnu Rathod </t>
  </si>
  <si>
    <t>MH14LC3324</t>
  </si>
  <si>
    <t>ME4JK13DJP0028303</t>
  </si>
  <si>
    <t>JK13EW7084552</t>
  </si>
  <si>
    <t>2025-06-28 19:30:47</t>
  </si>
  <si>
    <t>10349</t>
  </si>
  <si>
    <t>2025-06-28 20:26:39</t>
  </si>
  <si>
    <t>MH14FL1432</t>
  </si>
  <si>
    <t>43922</t>
  </si>
  <si>
    <t>2025-06-29 21:05:20</t>
  </si>
  <si>
    <t xml:space="preserve">Vinay Patil </t>
  </si>
  <si>
    <t>MH15DQ8690</t>
  </si>
  <si>
    <t>59136</t>
  </si>
  <si>
    <t>ME1121C0EAC2053152</t>
  </si>
  <si>
    <t>21CR053455</t>
  </si>
  <si>
    <t>2025-06-29 11:59:10</t>
  </si>
  <si>
    <t>Mithun Bhore</t>
  </si>
  <si>
    <t>MH14KL8512</t>
  </si>
  <si>
    <t>13722</t>
  </si>
  <si>
    <t>2025-06-28 20:29:56</t>
  </si>
  <si>
    <t>88092</t>
  </si>
  <si>
    <t>2025-06-28 20:29:03</t>
  </si>
  <si>
    <t>Dinesh Suryawanshi</t>
  </si>
  <si>
    <t>MH14FR8780</t>
  </si>
  <si>
    <t>22008</t>
  </si>
  <si>
    <t>ME4JF505GGT611985</t>
  </si>
  <si>
    <t>2025-06-28 20:33:03</t>
  </si>
  <si>
    <t>2025-07-20 18:20:03</t>
  </si>
  <si>
    <t>2025-06-28 20:39:03</t>
  </si>
  <si>
    <t>70740</t>
  </si>
  <si>
    <t>2025-07-20 18:20:18</t>
  </si>
  <si>
    <t xml:space="preserve">RAJSHEKHAR </t>
  </si>
  <si>
    <t>MH20CK9101</t>
  </si>
  <si>
    <t>32672</t>
  </si>
  <si>
    <t>2025-07-20 19:42:09</t>
  </si>
  <si>
    <t>56913</t>
  </si>
  <si>
    <t>2025-07-20 20:06:47</t>
  </si>
  <si>
    <t>MH14FE9445</t>
  </si>
  <si>
    <t>2025-07-20 18:18:29</t>
  </si>
  <si>
    <t>MH14FB1348</t>
  </si>
  <si>
    <t>17186</t>
  </si>
  <si>
    <t>ME4JF50GGFT529061</t>
  </si>
  <si>
    <t>2025-07-20 18:21:02</t>
  </si>
  <si>
    <t>MH14HA5843</t>
  </si>
  <si>
    <t>42704</t>
  </si>
  <si>
    <t>2025-06-29 20:33:20</t>
  </si>
  <si>
    <t>2025-07-19 20:11:20</t>
  </si>
  <si>
    <t>Mahesh Khogare</t>
  </si>
  <si>
    <t>MH12QN0715</t>
  </si>
  <si>
    <t>44593</t>
  </si>
  <si>
    <t>ME4JC65CEJT000579</t>
  </si>
  <si>
    <t>JC65ET2116563</t>
  </si>
  <si>
    <t>2025-06-29 20:59:46</t>
  </si>
  <si>
    <t>Anjali Kamthe</t>
  </si>
  <si>
    <t>MH14GJ7075</t>
  </si>
  <si>
    <t>32150</t>
  </si>
  <si>
    <t>ME4JF507DHU142084</t>
  </si>
  <si>
    <t>2025-06-29 21:06:09</t>
  </si>
  <si>
    <t>2025-06-29 20:43:57</t>
  </si>
  <si>
    <t>42721</t>
  </si>
  <si>
    <t>2025-06-30 20:31:27</t>
  </si>
  <si>
    <t>Bhushan Bangar</t>
  </si>
  <si>
    <t>MH15GT5548</t>
  </si>
  <si>
    <t>28876</t>
  </si>
  <si>
    <t>0188 ₹</t>
  </si>
  <si>
    <t>ME1RG44F2K008498</t>
  </si>
  <si>
    <t>G3L5E0059369</t>
  </si>
  <si>
    <t>2025-07-20 18:23:09</t>
  </si>
  <si>
    <t xml:space="preserve">Saket </t>
  </si>
  <si>
    <t>MH32AC2010</t>
  </si>
  <si>
    <t>2025-06-29 20:36:02</t>
  </si>
  <si>
    <t>2025-06-29 21:00:40</t>
  </si>
  <si>
    <t xml:space="preserve">Parimal </t>
  </si>
  <si>
    <t>MH14BS0380</t>
  </si>
  <si>
    <t>33973</t>
  </si>
  <si>
    <t>ME12NC01192025639</t>
  </si>
  <si>
    <t>2025-06-29 20:41:10</t>
  </si>
  <si>
    <t>30287</t>
  </si>
  <si>
    <t>2025-06-29 20:35:09</t>
  </si>
  <si>
    <t>18408</t>
  </si>
  <si>
    <t>2025-06-29 20:34:31</t>
  </si>
  <si>
    <t>36920</t>
  </si>
  <si>
    <t>2025-07-19 20:11:56</t>
  </si>
  <si>
    <t>Dg Falke</t>
  </si>
  <si>
    <t>MH14DW6147</t>
  </si>
  <si>
    <t>45794</t>
  </si>
  <si>
    <t>ME4JF501D08168775</t>
  </si>
  <si>
    <t>JF50E80168115</t>
  </si>
  <si>
    <t>2025-07-19 20:16:08</t>
  </si>
  <si>
    <t xml:space="preserve">Mayur Mahajan </t>
  </si>
  <si>
    <t>MH14KG7655</t>
  </si>
  <si>
    <t>15616</t>
  </si>
  <si>
    <t>2025-06-29 20:32:00</t>
  </si>
  <si>
    <t xml:space="preserve">Jeevan Jadhav </t>
  </si>
  <si>
    <t>MH37P6228</t>
  </si>
  <si>
    <t>57246</t>
  </si>
  <si>
    <t>MDZA17CZ0EWE12442</t>
  </si>
  <si>
    <t>JEZWEE05009</t>
  </si>
  <si>
    <t>2025-06-29 20:43:28</t>
  </si>
  <si>
    <t>Sammed Magdum</t>
  </si>
  <si>
    <t>MH10CY8352</t>
  </si>
  <si>
    <t>44956</t>
  </si>
  <si>
    <t>ME4JF507LHU680532</t>
  </si>
  <si>
    <t>JF50EU5680580</t>
  </si>
  <si>
    <t>2025-06-29 21:01:43</t>
  </si>
  <si>
    <t>34515</t>
  </si>
  <si>
    <t>2025-06-29 20:59:13</t>
  </si>
  <si>
    <t>31277</t>
  </si>
  <si>
    <t>2025-06-29 21:03:22</t>
  </si>
  <si>
    <t>2025-06-29 21:06:52</t>
  </si>
  <si>
    <t>52353</t>
  </si>
  <si>
    <t>2025-06-29 21:08:42</t>
  </si>
  <si>
    <t>20713</t>
  </si>
  <si>
    <t>2025-06-29 21:25:54</t>
  </si>
  <si>
    <t>NAVEEN</t>
  </si>
  <si>
    <t>MH14ER5474</t>
  </si>
  <si>
    <t>61487</t>
  </si>
  <si>
    <t>MB8NG4BAKE811376</t>
  </si>
  <si>
    <t>BGA1110081</t>
  </si>
  <si>
    <t>2025-07-25 10:11:51</t>
  </si>
  <si>
    <t>Yamaha R15 No Data</t>
  </si>
  <si>
    <t>58556</t>
  </si>
  <si>
    <t>2025-07-19 20:12:19</t>
  </si>
  <si>
    <t>32626</t>
  </si>
  <si>
    <t>2025-07-20 18:19:27</t>
  </si>
  <si>
    <t xml:space="preserve">SHUBHAM GURAV </t>
  </si>
  <si>
    <t>MH11CZ3024</t>
  </si>
  <si>
    <t>61663</t>
  </si>
  <si>
    <t>2025-07-19 20:12:41</t>
  </si>
  <si>
    <t>Pranav Shinde</t>
  </si>
  <si>
    <t>MH10CV7916</t>
  </si>
  <si>
    <t>36910</t>
  </si>
  <si>
    <t>2025-07-19 20:13:20</t>
  </si>
  <si>
    <t>17857</t>
  </si>
  <si>
    <t>2025-07-19 20:13:41</t>
  </si>
  <si>
    <t xml:space="preserve">Prathamesh </t>
  </si>
  <si>
    <t>MH11CD5191</t>
  </si>
  <si>
    <t>15861</t>
  </si>
  <si>
    <t>2025-07-19 20:14:49</t>
  </si>
  <si>
    <t>21568</t>
  </si>
  <si>
    <t>2025-07-19 20:16:32</t>
  </si>
  <si>
    <t>7695</t>
  </si>
  <si>
    <t>2025-06-30 19:41:48</t>
  </si>
  <si>
    <t>Aakash Muske</t>
  </si>
  <si>
    <t>MH37AF9054</t>
  </si>
  <si>
    <t>27180</t>
  </si>
  <si>
    <t>MD2041CX0PCG09529</t>
  </si>
  <si>
    <t>PDXCPGS7589</t>
  </si>
  <si>
    <t>2025-07-20 18:21:41</t>
  </si>
  <si>
    <t>Rajat Patil</t>
  </si>
  <si>
    <t>MH29BG3350</t>
  </si>
  <si>
    <t>21108</t>
  </si>
  <si>
    <t>2025-06-30 19:44:20</t>
  </si>
  <si>
    <t>MH14SH5134</t>
  </si>
  <si>
    <t>2025-07-20 19:44:01</t>
  </si>
  <si>
    <t>Pratik Dongre</t>
  </si>
  <si>
    <t>MH12PR4754</t>
  </si>
  <si>
    <t>13485</t>
  </si>
  <si>
    <t>2025-06-30 20:31:53</t>
  </si>
  <si>
    <t>Debyan</t>
  </si>
  <si>
    <t>MH14JZ2812</t>
  </si>
  <si>
    <t>31041</t>
  </si>
  <si>
    <t>2025-06-30 19:41:10</t>
  </si>
  <si>
    <t>Vayandal</t>
  </si>
  <si>
    <t>MH12QJ3049</t>
  </si>
  <si>
    <t>ME4JF50CBJ4118244</t>
  </si>
  <si>
    <t>JF50EU9117948</t>
  </si>
  <si>
    <t>2025-07-20 19:44:20</t>
  </si>
  <si>
    <t>32636</t>
  </si>
  <si>
    <t>2025-07-20 19:41:37</t>
  </si>
  <si>
    <t>2025-06-30 19:44:51</t>
  </si>
  <si>
    <t>2025-06-30 19:43:24</t>
  </si>
  <si>
    <t>2025-06-30 19:40:10</t>
  </si>
  <si>
    <t>2025-06-30 19:49:19</t>
  </si>
  <si>
    <t xml:space="preserve">Charudatta </t>
  </si>
  <si>
    <t>MH30Y8237</t>
  </si>
  <si>
    <t>2025-06-30 19:45:14</t>
  </si>
  <si>
    <t xml:space="preserve">Sanket Kulkarni </t>
  </si>
  <si>
    <t>MH10EG2327</t>
  </si>
  <si>
    <t>Yamaha FZ V4</t>
  </si>
  <si>
    <t>ME1QG4152R0018875</t>
  </si>
  <si>
    <t>G3NSCO399652</t>
  </si>
  <si>
    <t>2025-06-30 19:45:50</t>
  </si>
  <si>
    <t>084457</t>
  </si>
  <si>
    <t>2025-06-30 21:05:44</t>
  </si>
  <si>
    <t>33247</t>
  </si>
  <si>
    <t>2025-07-02 19:50:17</t>
  </si>
  <si>
    <t>Siddhesh Pawar</t>
  </si>
  <si>
    <t>MH14GQ9129</t>
  </si>
  <si>
    <t>39989</t>
  </si>
  <si>
    <t>2025-06-30 20:35:17</t>
  </si>
  <si>
    <t>2025-07-20 18:25:35</t>
  </si>
  <si>
    <t>24113</t>
  </si>
  <si>
    <t>2025-07-20 19:45:17</t>
  </si>
  <si>
    <t xml:space="preserve">Ashwin </t>
  </si>
  <si>
    <t>MH33H2085</t>
  </si>
  <si>
    <t>10024</t>
  </si>
  <si>
    <t>2025-07-20 18:22:11</t>
  </si>
  <si>
    <t>Girish</t>
  </si>
  <si>
    <t>MH25AY4248</t>
  </si>
  <si>
    <t>5350</t>
  </si>
  <si>
    <t>2025-07-20 20:07:42</t>
  </si>
  <si>
    <t>Sonu Chandrakar</t>
  </si>
  <si>
    <t>CG25L0127</t>
  </si>
  <si>
    <t>2025-07-20 20:07:17</t>
  </si>
  <si>
    <t>42747</t>
  </si>
  <si>
    <t>2025-07-20 20:08:04</t>
  </si>
  <si>
    <t>2025-07-20 20:29:20</t>
  </si>
  <si>
    <t xml:space="preserve">PANKAJ CHAUDHARI </t>
  </si>
  <si>
    <t>MH12RH0264</t>
  </si>
  <si>
    <t>20668</t>
  </si>
  <si>
    <t>2025-07-03 18:59:46</t>
  </si>
  <si>
    <t xml:space="preserve">DEOLIKAR </t>
  </si>
  <si>
    <t>MH14HC4394</t>
  </si>
  <si>
    <t>2025-07-19 20:15:17</t>
  </si>
  <si>
    <t>Swapnil Nandave</t>
  </si>
  <si>
    <t>MH12PE9844</t>
  </si>
  <si>
    <t>51079</t>
  </si>
  <si>
    <t>ME1RG0711H0092369</t>
  </si>
  <si>
    <t>2025-07-02 19:46:28</t>
  </si>
  <si>
    <t>Vaishali Kamthe</t>
  </si>
  <si>
    <t>MH14GT6353</t>
  </si>
  <si>
    <t>018183</t>
  </si>
  <si>
    <t>MBLJN023JGB01417</t>
  </si>
  <si>
    <t>JF33ACJGB00531</t>
  </si>
  <si>
    <t>2025-07-02 19:45:41</t>
  </si>
  <si>
    <t>41837</t>
  </si>
  <si>
    <t>2025-07-02 19:41:49</t>
  </si>
  <si>
    <t xml:space="preserve">Divya Khairnar </t>
  </si>
  <si>
    <t>MH12GU2385</t>
  </si>
  <si>
    <t>82078</t>
  </si>
  <si>
    <t>2025-07-02 19:42:53</t>
  </si>
  <si>
    <t xml:space="preserve">Sushant Bhosle </t>
  </si>
  <si>
    <t>MH24BN4730</t>
  </si>
  <si>
    <t>ME4ME56LLA018934</t>
  </si>
  <si>
    <t>MC50EA0019376</t>
  </si>
  <si>
    <t>2025-07-03 19:00:48</t>
  </si>
  <si>
    <t>MH12WB2276</t>
  </si>
  <si>
    <t>2025-07-02 19:46:43</t>
  </si>
  <si>
    <t>Palash Choury</t>
  </si>
  <si>
    <t>MH12UT2204</t>
  </si>
  <si>
    <t>MB8DP12DJN8D14745</t>
  </si>
  <si>
    <t>AF217199174</t>
  </si>
  <si>
    <t>2025-07-02 19:50:42</t>
  </si>
  <si>
    <t>57702</t>
  </si>
  <si>
    <t>2025-07-02 19:44:08</t>
  </si>
  <si>
    <t xml:space="preserve">Pradnya </t>
  </si>
  <si>
    <t>MH14EN1574</t>
  </si>
  <si>
    <t>061 ₹</t>
  </si>
  <si>
    <t>ME4JF502GE8180818</t>
  </si>
  <si>
    <t>JF50E1179708</t>
  </si>
  <si>
    <t>2025-07-02 20:26:37</t>
  </si>
  <si>
    <t>AKSHAY PATIL</t>
  </si>
  <si>
    <t>MH25AF2575</t>
  </si>
  <si>
    <t>2025-07-02 19:43:18</t>
  </si>
  <si>
    <t>KALPESH SHELAR</t>
  </si>
  <si>
    <t>MH41AX0801</t>
  </si>
  <si>
    <t>27350</t>
  </si>
  <si>
    <t>ME4KC311FJ839918</t>
  </si>
  <si>
    <t>KC31E80320011</t>
  </si>
  <si>
    <t>2025-07-03 19:02:53</t>
  </si>
  <si>
    <t>18206</t>
  </si>
  <si>
    <t>2025-07-03 19:04:31</t>
  </si>
  <si>
    <t xml:space="preserve">Sanket Pawar </t>
  </si>
  <si>
    <t>MH14JW8324</t>
  </si>
  <si>
    <t>13907</t>
  </si>
  <si>
    <t>2025-07-03 19:05:07</t>
  </si>
  <si>
    <t>2025-07-03 19:04:47</t>
  </si>
  <si>
    <t>2025-07-21 20:28:15</t>
  </si>
  <si>
    <t xml:space="preserve">Ravi </t>
  </si>
  <si>
    <t>MH14KV9923</t>
  </si>
  <si>
    <t>10949</t>
  </si>
  <si>
    <t>2025-07-03 19:00:23</t>
  </si>
  <si>
    <t>MH12MM8813</t>
  </si>
  <si>
    <t>26635</t>
  </si>
  <si>
    <t>JEZCFF32321</t>
  </si>
  <si>
    <t>2025-07-03 19:01:05</t>
  </si>
  <si>
    <t>80866</t>
  </si>
  <si>
    <t>2025-07-03 19:02:29</t>
  </si>
  <si>
    <t>MH12BF2490</t>
  </si>
  <si>
    <t>31508</t>
  </si>
  <si>
    <t>0205 ₹</t>
  </si>
  <si>
    <t>2025-07-03 19:01:38</t>
  </si>
  <si>
    <t>2025-07-03 19:03:52</t>
  </si>
  <si>
    <t xml:space="preserve">Vicky </t>
  </si>
  <si>
    <t>MH34AG9440</t>
  </si>
  <si>
    <t>80331</t>
  </si>
  <si>
    <t>2025-07-03 19:05:57</t>
  </si>
  <si>
    <t>2025-07-03 20:21:53</t>
  </si>
  <si>
    <t>21185</t>
  </si>
  <si>
    <t>2025-07-21 20:29:13</t>
  </si>
  <si>
    <t>16999</t>
  </si>
  <si>
    <t>2025-07-21 19:02:47</t>
  </si>
  <si>
    <t>Jatin Jagtap</t>
  </si>
  <si>
    <t>MH15DF5145</t>
  </si>
  <si>
    <t>Suzuki SlingShot Plus</t>
  </si>
  <si>
    <t>12706</t>
  </si>
  <si>
    <t>MB8NF4HCLD8100024</t>
  </si>
  <si>
    <t>2025-07-04 22:27:28</t>
  </si>
  <si>
    <t xml:space="preserve">Mukund </t>
  </si>
  <si>
    <t>MH15GW2839</t>
  </si>
  <si>
    <t>15370</t>
  </si>
  <si>
    <t>2025-07-21 18:58:42</t>
  </si>
  <si>
    <t>Arup Kambli</t>
  </si>
  <si>
    <t>MH02ED2302</t>
  </si>
  <si>
    <t>3548</t>
  </si>
  <si>
    <t>JF50ET2336704</t>
  </si>
  <si>
    <t>2025-07-21 19:01:35</t>
  </si>
  <si>
    <t>2025-07-04 22:25:41</t>
  </si>
  <si>
    <t>Ashok Nikam</t>
  </si>
  <si>
    <t>MH14FJ1801</t>
  </si>
  <si>
    <t>12921</t>
  </si>
  <si>
    <t>2025-07-06 18:39:39</t>
  </si>
  <si>
    <t>Shripad Kale</t>
  </si>
  <si>
    <t>MH32AG0432</t>
  </si>
  <si>
    <t>50552</t>
  </si>
  <si>
    <t>0485 ₹</t>
  </si>
  <si>
    <t>2025-07-21 19:00:44</t>
  </si>
  <si>
    <t>29302</t>
  </si>
  <si>
    <t>2025-07-21 19:02:29</t>
  </si>
  <si>
    <t>Anita Awari</t>
  </si>
  <si>
    <t>MH12JJ294</t>
  </si>
  <si>
    <t>37274</t>
  </si>
  <si>
    <t>2025-07-04 22:26:37</t>
  </si>
  <si>
    <t>Amol Patil</t>
  </si>
  <si>
    <t>MH14GK2848</t>
  </si>
  <si>
    <t>2025-07-04 22:25:28</t>
  </si>
  <si>
    <t>40660</t>
  </si>
  <si>
    <t>2025-07-24 18:45:40</t>
  </si>
  <si>
    <t>2252</t>
  </si>
  <si>
    <t>2025-07-04 22:26:58</t>
  </si>
  <si>
    <t>MH14JQ7924</t>
  </si>
  <si>
    <t>MDZA22EX8MCA04007</t>
  </si>
  <si>
    <t>PDXCMA66596</t>
  </si>
  <si>
    <t>2025-07-21 20:23:52</t>
  </si>
  <si>
    <t>2025-07-21 20:25:28</t>
  </si>
  <si>
    <t>GOPAL BHATT</t>
  </si>
  <si>
    <t>MH14CV8852</t>
  </si>
  <si>
    <t>17169</t>
  </si>
  <si>
    <t>MBLHA10EXBHE72161</t>
  </si>
  <si>
    <t>HA10EFBHE72005</t>
  </si>
  <si>
    <t>2025-07-04 22:24:24</t>
  </si>
  <si>
    <t xml:space="preserve">NAGAVENKAT </t>
  </si>
  <si>
    <t>TS08HZ3928</t>
  </si>
  <si>
    <t>30283</t>
  </si>
  <si>
    <t>2025-07-21 20:28:51</t>
  </si>
  <si>
    <t>11045</t>
  </si>
  <si>
    <t>2025-07-21 20:27:36</t>
  </si>
  <si>
    <t>MH14EA2973</t>
  </si>
  <si>
    <t>31593</t>
  </si>
  <si>
    <t>0122 ₹</t>
  </si>
  <si>
    <t>2025-07-21 20:28:32</t>
  </si>
  <si>
    <t>Manish Salunkhe</t>
  </si>
  <si>
    <t>MH14HX1681</t>
  </si>
  <si>
    <t>46235</t>
  </si>
  <si>
    <t>2025-07-21 20:26:29</t>
  </si>
  <si>
    <t>32257</t>
  </si>
  <si>
    <t>2025-07-04 22:24:04</t>
  </si>
  <si>
    <t>15725</t>
  </si>
  <si>
    <t>2025-07-04 22:23:49</t>
  </si>
  <si>
    <t>31350</t>
  </si>
  <si>
    <t>2025-07-05 19:13:07</t>
  </si>
  <si>
    <t>Shree hari</t>
  </si>
  <si>
    <t>KA53EF9232</t>
  </si>
  <si>
    <t>35897</t>
  </si>
  <si>
    <t>2025-07-05 19:10:14</t>
  </si>
  <si>
    <t xml:space="preserve">PRAVIN </t>
  </si>
  <si>
    <t>MH15CQ0578</t>
  </si>
  <si>
    <t>ME4JC36CCA8001641</t>
  </si>
  <si>
    <t>2025-07-04 22:23:23</t>
  </si>
  <si>
    <t>43251</t>
  </si>
  <si>
    <t>2025-07-04 22:27:12</t>
  </si>
  <si>
    <t>Sagar Chitle</t>
  </si>
  <si>
    <t>MH46AA2208</t>
  </si>
  <si>
    <t>11385</t>
  </si>
  <si>
    <t>MBLJF32ARECA355AD</t>
  </si>
  <si>
    <t>JF32AHECA36080</t>
  </si>
  <si>
    <t>2025-07-05 20:30:03</t>
  </si>
  <si>
    <t>51966</t>
  </si>
  <si>
    <t>2025-07-05 19:47:14</t>
  </si>
  <si>
    <t>27714</t>
  </si>
  <si>
    <t>2025-07-05 19:46:37</t>
  </si>
  <si>
    <t>MH20DZ8553</t>
  </si>
  <si>
    <t>8368</t>
  </si>
  <si>
    <t>2025-07-09 07:14:34</t>
  </si>
  <si>
    <t>MH12RS1627</t>
  </si>
  <si>
    <t>33064</t>
  </si>
  <si>
    <t>MD637CR10K2D0015</t>
  </si>
  <si>
    <t>BP1DK2500474</t>
  </si>
  <si>
    <t>2025-07-05 19:05:02</t>
  </si>
  <si>
    <t>33208</t>
  </si>
  <si>
    <t>2025-07-05 19:53:15</t>
  </si>
  <si>
    <t>47153</t>
  </si>
  <si>
    <t>2025-07-05 19:51:14</t>
  </si>
  <si>
    <t>77953</t>
  </si>
  <si>
    <t>2025-07-05 19:04:31</t>
  </si>
  <si>
    <t>14137</t>
  </si>
  <si>
    <t>2025-07-05 19:52:46</t>
  </si>
  <si>
    <t>Pushpak Gavali</t>
  </si>
  <si>
    <t>MH12JE2832</t>
  </si>
  <si>
    <t>36467</t>
  </si>
  <si>
    <t>2025-07-06 18:36:31</t>
  </si>
  <si>
    <t>30293</t>
  </si>
  <si>
    <t>2025-07-05 19:04:02</t>
  </si>
  <si>
    <t>MH14LD3114</t>
  </si>
  <si>
    <t>15175</t>
  </si>
  <si>
    <t>MD626CG59P1K27419</t>
  </si>
  <si>
    <t>DG5KP1515245</t>
  </si>
  <si>
    <t>2025-07-05 19:05:46</t>
  </si>
  <si>
    <t>26418</t>
  </si>
  <si>
    <t>2025-07-05 19:07:10</t>
  </si>
  <si>
    <t>59727</t>
  </si>
  <si>
    <t>2025-07-05 19:06:09</t>
  </si>
  <si>
    <t>29412</t>
  </si>
  <si>
    <t>2025-07-05 19:51:46</t>
  </si>
  <si>
    <t>Amey</t>
  </si>
  <si>
    <t>MH11AY9605</t>
  </si>
  <si>
    <t>26041</t>
  </si>
  <si>
    <t>MD626A699B1C26906</t>
  </si>
  <si>
    <t>2025-07-05 19:10:50</t>
  </si>
  <si>
    <t>2025-07-05 19:56:36</t>
  </si>
  <si>
    <t>Gawli</t>
  </si>
  <si>
    <t>MH12JT7406</t>
  </si>
  <si>
    <t xml:space="preserve">TVS Phonix </t>
  </si>
  <si>
    <t>28013</t>
  </si>
  <si>
    <t>MD625SF41D1A09687</t>
  </si>
  <si>
    <t>CF4AD1009513</t>
  </si>
  <si>
    <t>2025-07-06 18:35:32</t>
  </si>
  <si>
    <t>12694</t>
  </si>
  <si>
    <t>2025-07-05 20:31:41</t>
  </si>
  <si>
    <t>2025-07-06 18:25:45</t>
  </si>
  <si>
    <t xml:space="preserve">Rupesh </t>
  </si>
  <si>
    <t>MH29CF3594</t>
  </si>
  <si>
    <t>11858</t>
  </si>
  <si>
    <t>2025-07-06 18:38:56</t>
  </si>
  <si>
    <t>58783</t>
  </si>
  <si>
    <t>2025-07-06 18:37:00</t>
  </si>
  <si>
    <t>MH14HE2735</t>
  </si>
  <si>
    <t>17602</t>
  </si>
  <si>
    <t>ME4JF50879454927</t>
  </si>
  <si>
    <t>JF50EU5149339</t>
  </si>
  <si>
    <t>2025-07-06 18:33:04</t>
  </si>
  <si>
    <t>65591</t>
  </si>
  <si>
    <t>2025-07-06 20:30:55</t>
  </si>
  <si>
    <t>62159</t>
  </si>
  <si>
    <t>2025-07-06 18:28:56</t>
  </si>
  <si>
    <t xml:space="preserve">Bhaskar </t>
  </si>
  <si>
    <t>KA02JH6091</t>
  </si>
  <si>
    <t>MD626BG4101C66892</t>
  </si>
  <si>
    <t>BG4CG1091928 HU</t>
  </si>
  <si>
    <t>2025-07-06 19:20:12</t>
  </si>
  <si>
    <t xml:space="preserve">Vilas Baviskar </t>
  </si>
  <si>
    <t>MH19BW8227</t>
  </si>
  <si>
    <t>24149</t>
  </si>
  <si>
    <t>MD626BG3302158134</t>
  </si>
  <si>
    <t>063L2208001</t>
  </si>
  <si>
    <t>2025-07-06 18:38:17</t>
  </si>
  <si>
    <t>Ganesh Mhaske</t>
  </si>
  <si>
    <t>MH16DH2026</t>
  </si>
  <si>
    <t>22134</t>
  </si>
  <si>
    <t>2025-07-06 18:26:18</t>
  </si>
  <si>
    <t>19262</t>
  </si>
  <si>
    <t>2025-07-06 19:28:43</t>
  </si>
  <si>
    <t xml:space="preserve">Sachin Deshmukh </t>
  </si>
  <si>
    <t>MH14ES4874</t>
  </si>
  <si>
    <t>19840</t>
  </si>
  <si>
    <t>103 ₹</t>
  </si>
  <si>
    <t>2025-07-06 18:34:17</t>
  </si>
  <si>
    <t>Kaustubh Nagre</t>
  </si>
  <si>
    <t>MH17CJ3724</t>
  </si>
  <si>
    <t>21623</t>
  </si>
  <si>
    <t>ME1RG66D6N0030919</t>
  </si>
  <si>
    <t>G3NE0199482</t>
  </si>
  <si>
    <t>2025-07-06 19:21:58</t>
  </si>
  <si>
    <t>MH14FZ4189</t>
  </si>
  <si>
    <t>2025-07-06 18:33:37</t>
  </si>
  <si>
    <t>22240</t>
  </si>
  <si>
    <t>2025-07-06 19:18:49</t>
  </si>
  <si>
    <t>MH12KC9153</t>
  </si>
  <si>
    <t>42087</t>
  </si>
  <si>
    <t>ME121C0G6D2D14994</t>
  </si>
  <si>
    <t>21CG014976</t>
  </si>
  <si>
    <t>2025-07-06 19:27:27</t>
  </si>
  <si>
    <t>Piyusha Patil</t>
  </si>
  <si>
    <t>MH12WV8473</t>
  </si>
  <si>
    <t>4723</t>
  </si>
  <si>
    <t>ME4JK156ERW728452</t>
  </si>
  <si>
    <t>JK15EW5728051</t>
  </si>
  <si>
    <t>2025-07-06 20:03:46</t>
  </si>
  <si>
    <t>41118</t>
  </si>
  <si>
    <t>2025-07-06 19:26:29</t>
  </si>
  <si>
    <t>2025-07-06 19:54:46</t>
  </si>
  <si>
    <t>34121</t>
  </si>
  <si>
    <t>2025-07-06 19:55:01</t>
  </si>
  <si>
    <t>Naik</t>
  </si>
  <si>
    <t>MH14FA1445</t>
  </si>
  <si>
    <t>20585</t>
  </si>
  <si>
    <t>2025-07-09 07:13:02</t>
  </si>
  <si>
    <t>NILESH LONDHE</t>
  </si>
  <si>
    <t>MH14FY2746</t>
  </si>
  <si>
    <t>40618</t>
  </si>
  <si>
    <t>MBLJF329EFCK1G594</t>
  </si>
  <si>
    <t>JF32AAFK25663</t>
  </si>
  <si>
    <t>2025-07-09 07:14:03</t>
  </si>
  <si>
    <t>ANIKET KAMBLE</t>
  </si>
  <si>
    <t>MH14KC1075</t>
  </si>
  <si>
    <t>33297</t>
  </si>
  <si>
    <t>2025-07-09 07:11:58</t>
  </si>
  <si>
    <t>MP09UT6846</t>
  </si>
  <si>
    <t>20735</t>
  </si>
  <si>
    <t>MBLJF1J052KG1107876</t>
  </si>
  <si>
    <t>JF11E4GH07A79</t>
  </si>
  <si>
    <t>2025-07-05 19:13:46</t>
  </si>
  <si>
    <t>SANDEEP IYER</t>
  </si>
  <si>
    <t>MH14GK2746</t>
  </si>
  <si>
    <t>23187</t>
  </si>
  <si>
    <t>MD2A11CY7HWC09265</t>
  </si>
  <si>
    <t>DHYWHC09502</t>
  </si>
  <si>
    <t>2025-07-10 20:40:17</t>
  </si>
  <si>
    <t>MH14EF6321</t>
  </si>
  <si>
    <t>29619</t>
  </si>
  <si>
    <t>MBLJF16EFDJM19457</t>
  </si>
  <si>
    <t>2025-07-09 07:10:42</t>
  </si>
  <si>
    <t>35658</t>
  </si>
  <si>
    <t>2025-07-23 17:42:04</t>
  </si>
  <si>
    <t>MH09BD5932</t>
  </si>
  <si>
    <t>55932</t>
  </si>
  <si>
    <t>2025-07-23 20:28:46</t>
  </si>
  <si>
    <t>2025-07-09 07:10:24</t>
  </si>
  <si>
    <t xml:space="preserve">Balasaheb Sathe </t>
  </si>
  <si>
    <t>MH14DW3612</t>
  </si>
  <si>
    <t>64999</t>
  </si>
  <si>
    <t>2025-07-23 20:29:25</t>
  </si>
  <si>
    <t>Malhar Patil</t>
  </si>
  <si>
    <t>MH42U5555</t>
  </si>
  <si>
    <t>27338</t>
  </si>
  <si>
    <t>0157 ₹</t>
  </si>
  <si>
    <t>2025-07-23 17:54:17</t>
  </si>
  <si>
    <t>18777</t>
  </si>
  <si>
    <t>2025-07-23 20:28:31</t>
  </si>
  <si>
    <t>MH12LC5418</t>
  </si>
  <si>
    <t>67620</t>
  </si>
  <si>
    <t>ME4JC36JKE7939069</t>
  </si>
  <si>
    <t>JC36ET3491381</t>
  </si>
  <si>
    <t>2025-07-23 20:27:38</t>
  </si>
  <si>
    <t xml:space="preserve">Jayant Rudra </t>
  </si>
  <si>
    <t>MH12HW9042</t>
  </si>
  <si>
    <t>55509</t>
  </si>
  <si>
    <t>2025-07-23 20:30:25</t>
  </si>
  <si>
    <t>MH15GK7631</t>
  </si>
  <si>
    <t>14667</t>
  </si>
  <si>
    <t>2025-07-23 20:27:15</t>
  </si>
  <si>
    <t>121681</t>
  </si>
  <si>
    <t>2025-07-23 20:25:06</t>
  </si>
  <si>
    <t>10461</t>
  </si>
  <si>
    <t>2025-07-23 20:26:45</t>
  </si>
  <si>
    <t>60547</t>
  </si>
  <si>
    <t>2025-07-23 20:25:31</t>
  </si>
  <si>
    <t>2025-07-23 20:30:02</t>
  </si>
  <si>
    <t>MH14HT3810</t>
  </si>
  <si>
    <t>31223</t>
  </si>
  <si>
    <t>216 ₹</t>
  </si>
  <si>
    <t>ME4JF50AGKG166180</t>
  </si>
  <si>
    <t>JF50EG0166257</t>
  </si>
  <si>
    <t>2025-07-23 20:30:41</t>
  </si>
  <si>
    <t>56873</t>
  </si>
  <si>
    <t>2025-07-09 07:13:40</t>
  </si>
  <si>
    <t>GAURAV TAYEDE</t>
  </si>
  <si>
    <t>MH06BL2116</t>
  </si>
  <si>
    <t>34179</t>
  </si>
  <si>
    <t>2025-07-09 07:09:35</t>
  </si>
  <si>
    <t>170 ₹</t>
  </si>
  <si>
    <t>2025-07-09 07:14:16</t>
  </si>
  <si>
    <t>MH14GL6678</t>
  </si>
  <si>
    <t>26691</t>
  </si>
  <si>
    <t>2025-07-24 18:43:32</t>
  </si>
  <si>
    <t>SATYAM</t>
  </si>
  <si>
    <t>MH14DZ8839</t>
  </si>
  <si>
    <t>27767</t>
  </si>
  <si>
    <t>2025-07-24 18:43:55</t>
  </si>
  <si>
    <t>18138</t>
  </si>
  <si>
    <t>028 ₹</t>
  </si>
  <si>
    <t>2025-07-24 18:44:47</t>
  </si>
  <si>
    <t>17409</t>
  </si>
  <si>
    <t>2025-07-24 18:44:26</t>
  </si>
  <si>
    <t>63442</t>
  </si>
  <si>
    <t>2025-07-26 17:23:05</t>
  </si>
  <si>
    <t>40751</t>
  </si>
  <si>
    <t>2025-07-25 20:31:30</t>
  </si>
  <si>
    <t>83079</t>
  </si>
  <si>
    <t>2025-07-25 20:32:42</t>
  </si>
  <si>
    <t>MH14KE6490</t>
  </si>
  <si>
    <t>20229</t>
  </si>
  <si>
    <t>MB8DP12DFNBC16772</t>
  </si>
  <si>
    <t>AF217112674</t>
  </si>
  <si>
    <t>2025-07-25 20:31:43</t>
  </si>
  <si>
    <t xml:space="preserve">Laxman Dotre </t>
  </si>
  <si>
    <t>MH12M6492</t>
  </si>
  <si>
    <t>6492</t>
  </si>
  <si>
    <t>2025-07-09 07:10:56</t>
  </si>
  <si>
    <t xml:space="preserve">Akshay Shinde </t>
  </si>
  <si>
    <t>MH14JZ6209</t>
  </si>
  <si>
    <t>16556</t>
  </si>
  <si>
    <t>ME4JC83CMMC014787</t>
  </si>
  <si>
    <t>JC83EC2231132</t>
  </si>
  <si>
    <t>2025-07-26 20:27:45</t>
  </si>
  <si>
    <t>Vipul Mali</t>
  </si>
  <si>
    <t>MH14HZ3845</t>
  </si>
  <si>
    <t>Hero Pleasure Plus</t>
  </si>
  <si>
    <t>MBLJEN056KGL08909</t>
  </si>
  <si>
    <t>JF33ADKGL15195</t>
  </si>
  <si>
    <t>2025-07-26 20:26:26</t>
  </si>
  <si>
    <t>PRATIK SALAGRE</t>
  </si>
  <si>
    <t>MH08AH7032</t>
  </si>
  <si>
    <t>33657</t>
  </si>
  <si>
    <t>2025-07-26 20:26:38</t>
  </si>
  <si>
    <t>20161</t>
  </si>
  <si>
    <t>2025-07-26 20:27:18</t>
  </si>
  <si>
    <t>Navneet Sagdeo</t>
  </si>
  <si>
    <t>MH14FY1646</t>
  </si>
  <si>
    <t>9031</t>
  </si>
  <si>
    <t>MD626B64363H18691</t>
  </si>
  <si>
    <t>364AHG2310610</t>
  </si>
  <si>
    <t>2025-07-26 20:26:51</t>
  </si>
  <si>
    <t xml:space="preserve">Shashikant </t>
  </si>
  <si>
    <t>GJ06ME1211</t>
  </si>
  <si>
    <t>24036</t>
  </si>
  <si>
    <t>2025-07-26 20:27:59</t>
  </si>
  <si>
    <t>23356</t>
  </si>
  <si>
    <t>2025-07-26 20:29:17</t>
  </si>
  <si>
    <t>34692</t>
  </si>
  <si>
    <t>2025-07-26 20:28:44</t>
  </si>
  <si>
    <t>25999</t>
  </si>
  <si>
    <t>2025-07-26 20:29:55</t>
  </si>
  <si>
    <t xml:space="preserve">Rutika Patil </t>
  </si>
  <si>
    <t>MH14KE3562</t>
  </si>
  <si>
    <t>32805</t>
  </si>
  <si>
    <t>MD626EG54NLE11679</t>
  </si>
  <si>
    <t>GG5EN1711584</t>
  </si>
  <si>
    <t>2025-07-26 20:31:42</t>
  </si>
  <si>
    <t>34745</t>
  </si>
  <si>
    <t>2025-07-25 20:31:59</t>
  </si>
  <si>
    <t>Ahire</t>
  </si>
  <si>
    <t>MH12QU2215</t>
  </si>
  <si>
    <t>36063</t>
  </si>
  <si>
    <t>MB626AG77J2E30657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</si>
</sst>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0" fillId="0" fontId="2" numFmtId="0" xfId="0" applyAlignment="1" applyFont="1">
      <alignment vertical="bottom"/>
    </xf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8.86"/>
    <col customWidth="1" min="3" max="3" width="15.71"/>
    <col customWidth="1" min="4" max="4" width="17.29"/>
    <col customWidth="1" min="5" max="5" width="18.71"/>
    <col customWidth="1" min="6" max="6" width="27.43"/>
    <col customWidth="1" min="7" max="7" width="20.14"/>
    <col customWidth="1" min="8" max="8" width="19.86"/>
    <col customWidth="1" min="9" max="9" width="23.43"/>
    <col customWidth="1" min="10" max="10" width="20.14"/>
    <col customWidth="1" min="11" max="11" width="28.86"/>
    <col customWidth="1" min="12" max="12" width="15.86"/>
    <col customWidth="1" min="13" max="13" width="25.86"/>
    <col customWidth="1" min="14" max="14" width="24.57"/>
    <col customWidth="1" min="15" max="15" width="24.43"/>
    <col customWidth="1" min="16" max="16" width="30.0"/>
    <col customWidth="1" min="17" max="17" width="19.43"/>
    <col customWidth="1" min="18" max="18" width="27.14"/>
    <col customWidth="1" min="19" max="19" width="21.29"/>
    <col customWidth="1" min="20" max="20" width="20.43"/>
    <col customWidth="1" min="21" max="21" width="17.14"/>
    <col customWidth="1" min="22" max="22" width="15.57"/>
    <col customWidth="1" min="23" max="23" width="19.29"/>
    <col customWidth="1" min="24" max="24" width="18.0"/>
    <col customWidth="1" min="25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 t="s">
        <v>24</v>
      </c>
      <c r="B2" s="4" t="str">
        <f>VLOOKUP(A2,Sheet2!$A$2:$R$3432,2,0)</f>
        <v>2025-01-16 19:45:21</v>
      </c>
      <c r="C2" s="5" t="s">
        <v>25</v>
      </c>
      <c r="D2" s="6" t="s">
        <v>25</v>
      </c>
      <c r="E2" s="7">
        <f>VLOOKUP(A2,Sheet2!$A$2:$R$3432,4,0)</f>
        <v>7887425646</v>
      </c>
      <c r="F2" s="7" t="str">
        <f>VLOOKUP(A2,Sheet2!$A$2:$R$3432,3,0)</f>
        <v>Avinash Jadhav</v>
      </c>
      <c r="G2" s="5" t="s">
        <v>25</v>
      </c>
      <c r="H2" s="5" t="s">
        <v>25</v>
      </c>
      <c r="I2" s="5" t="s">
        <v>25</v>
      </c>
      <c r="J2" s="5" t="s">
        <v>25</v>
      </c>
      <c r="K2" s="7" t="str">
        <f>VLOOKUP(A2,Sheet2!$A$2:$R$3432,6,0)</f>
        <v>Yamaha Gladiator G5</v>
      </c>
      <c r="L2" s="5" t="s">
        <v>25</v>
      </c>
      <c r="M2" s="7" t="str">
        <f>VLOOKUP(A2,Sheet2!$A$2:$R$3432,5,0)</f>
        <v>MH28AD2026</v>
      </c>
      <c r="N2" s="5" t="s">
        <v>25</v>
      </c>
      <c r="O2" s="5" t="s">
        <v>25</v>
      </c>
      <c r="P2" s="6" t="s">
        <v>25</v>
      </c>
      <c r="Q2" s="5" t="s">
        <v>25</v>
      </c>
      <c r="R2" s="5" t="s">
        <v>25</v>
      </c>
      <c r="S2" s="5" t="str">
        <f>VLOOKUP(A2,Sheet2!$A$2:$R$3432,18,0)</f>
        <v>35B404594</v>
      </c>
      <c r="T2" s="7" t="str">
        <f>VLOOKUP(A2,Sheet2!$A$2:$R$3432,17,0)</f>
        <v>ME1358044C2046624</v>
      </c>
      <c r="X2" s="4"/>
    </row>
    <row r="3">
      <c r="A3" s="3" t="s">
        <v>26</v>
      </c>
      <c r="B3" s="4" t="str">
        <f>VLOOKUP(A3,Sheet2!$A$2:$R$3432,2,0)</f>
        <v>2025-01-16 19:56:55</v>
      </c>
      <c r="C3" s="5" t="s">
        <v>25</v>
      </c>
      <c r="D3" s="6" t="s">
        <v>25</v>
      </c>
      <c r="E3" s="7">
        <f>VLOOKUP(A3,Sheet2!$A$2:$R$3432,4,0)</f>
        <v>9762184184</v>
      </c>
      <c r="F3" s="7" t="str">
        <f>VLOOKUP(A3,Sheet2!$A$2:$R$3432,3,0)</f>
        <v>AMOL CHITTE</v>
      </c>
      <c r="G3" s="5" t="s">
        <v>25</v>
      </c>
      <c r="H3" s="5" t="s">
        <v>25</v>
      </c>
      <c r="I3" s="5" t="s">
        <v>25</v>
      </c>
      <c r="J3" s="5" t="s">
        <v>25</v>
      </c>
      <c r="K3" s="7" t="str">
        <f>VLOOKUP(A3,Sheet2!$A$2:$R$3432,6,0)</f>
        <v>Yamaha FZ 1</v>
      </c>
      <c r="L3" s="5" t="s">
        <v>25</v>
      </c>
      <c r="M3" s="7" t="str">
        <f>VLOOKUP(A3,Sheet2!$A$2:$R$3432,5,0)</f>
        <v>MH28AF8597</v>
      </c>
      <c r="N3" s="5" t="s">
        <v>25</v>
      </c>
      <c r="O3" s="5" t="s">
        <v>25</v>
      </c>
      <c r="P3" s="6" t="s">
        <v>25</v>
      </c>
      <c r="Q3" s="5" t="s">
        <v>25</v>
      </c>
      <c r="R3" s="5" t="s">
        <v>25</v>
      </c>
      <c r="S3" s="7" t="str">
        <f>VLOOKUP(A3,Sheet2!$A$2:$R$3432,18,0)</f>
        <v/>
      </c>
      <c r="T3" s="7" t="str">
        <f>VLOOKUP(A3,Sheet2!$A$2:$R$3432,17,0)</f>
        <v/>
      </c>
      <c r="X3" s="4"/>
    </row>
    <row r="4">
      <c r="A4" s="3" t="s">
        <v>27</v>
      </c>
      <c r="B4" s="4" t="str">
        <f>VLOOKUP(A4,Sheet2!$A$2:$R$3432,2,0)</f>
        <v>2025-01-16 19:53:58</v>
      </c>
      <c r="C4" s="5" t="s">
        <v>25</v>
      </c>
      <c r="D4" s="6" t="s">
        <v>25</v>
      </c>
      <c r="E4" s="7">
        <f>VLOOKUP(A4,Sheet2!$A$2:$R$3432,4,0)</f>
        <v>9049536462</v>
      </c>
      <c r="F4" s="7" t="str">
        <f>VLOOKUP(A4,Sheet2!$A$2:$R$3432,3,0)</f>
        <v>MANOJ CHAUDHARI </v>
      </c>
      <c r="G4" s="5" t="s">
        <v>25</v>
      </c>
      <c r="H4" s="5" t="s">
        <v>25</v>
      </c>
      <c r="I4" s="5" t="s">
        <v>25</v>
      </c>
      <c r="J4" s="5" t="s">
        <v>25</v>
      </c>
      <c r="K4" s="7" t="str">
        <f>VLOOKUP(A4,Sheet2!$A$2:$R$3432,6,0)</f>
        <v>Honda Activa 125</v>
      </c>
      <c r="L4" s="5" t="s">
        <v>25</v>
      </c>
      <c r="M4" s="7" t="str">
        <f>VLOOKUP(A4,Sheet2!$A$2:$R$3432,5,0)</f>
        <v>MH12TW0951</v>
      </c>
      <c r="N4" s="5" t="s">
        <v>25</v>
      </c>
      <c r="O4" s="5" t="s">
        <v>25</v>
      </c>
      <c r="P4" s="6" t="s">
        <v>25</v>
      </c>
      <c r="Q4" s="5" t="s">
        <v>25</v>
      </c>
      <c r="R4" s="5" t="s">
        <v>25</v>
      </c>
      <c r="S4" s="5" t="str">
        <f>VLOOKUP(A4,Sheet2!$A$2:$R$3432,18,0)</f>
        <v>JK13EG1004280</v>
      </c>
      <c r="T4" s="7" t="str">
        <f>VLOOKUP(A4,Sheet2!$A$2:$R$3432,17,0)</f>
        <v>ME4JK133LMG001221</v>
      </c>
      <c r="X4" s="4"/>
    </row>
    <row r="5">
      <c r="A5" s="3" t="s">
        <v>28</v>
      </c>
      <c r="B5" s="4" t="str">
        <f>VLOOKUP(A5,Sheet2!$A$2:$R$3432,2,0)</f>
        <v>2025-01-16 19:58:37</v>
      </c>
      <c r="C5" s="5" t="s">
        <v>25</v>
      </c>
      <c r="D5" s="6" t="s">
        <v>25</v>
      </c>
      <c r="E5" s="7">
        <f>VLOOKUP(A5,Sheet2!$A$2:$R$3432,4,0)</f>
        <v>9049536462</v>
      </c>
      <c r="F5" s="7" t="str">
        <f>VLOOKUP(A5,Sheet2!$A$2:$R$3432,3,0)</f>
        <v>Manoj</v>
      </c>
      <c r="G5" s="5" t="s">
        <v>25</v>
      </c>
      <c r="H5" s="5" t="s">
        <v>25</v>
      </c>
      <c r="I5" s="5" t="s">
        <v>25</v>
      </c>
      <c r="J5" s="5" t="s">
        <v>25</v>
      </c>
      <c r="K5" s="7" t="str">
        <f>VLOOKUP(A5,Sheet2!$A$2:$R$3432,6,0)</f>
        <v>Honda Activa </v>
      </c>
      <c r="L5" s="5" t="s">
        <v>25</v>
      </c>
      <c r="M5" s="7" t="str">
        <f>VLOOKUP(A5,Sheet2!$A$2:$R$3432,5,0)</f>
        <v>MH14ES3499</v>
      </c>
      <c r="N5" s="5" t="s">
        <v>25</v>
      </c>
      <c r="O5" s="5" t="s">
        <v>25</v>
      </c>
      <c r="P5" s="6" t="s">
        <v>25</v>
      </c>
      <c r="Q5" s="5" t="s">
        <v>25</v>
      </c>
      <c r="R5" s="5" t="s">
        <v>25</v>
      </c>
      <c r="S5" s="7" t="str">
        <f>VLOOKUP(A5,Sheet2!$A$2:$R$3432,18,0)</f>
        <v/>
      </c>
      <c r="T5" s="7" t="str">
        <f>VLOOKUP(A5,Sheet2!$A$2:$R$3432,17,0)</f>
        <v>ME4JF502LE8313692</v>
      </c>
      <c r="X5" s="4"/>
    </row>
    <row r="6">
      <c r="A6" s="3" t="s">
        <v>29</v>
      </c>
      <c r="B6" s="4" t="str">
        <f>VLOOKUP(A6,Sheet2!$A$2:$R$3432,2,0)</f>
        <v>2025-01-16 19:59:01</v>
      </c>
      <c r="C6" s="5" t="s">
        <v>25</v>
      </c>
      <c r="D6" s="6" t="s">
        <v>25</v>
      </c>
      <c r="E6" s="7">
        <f>VLOOKUP(A6,Sheet2!$A$2:$R$3432,4,0)</f>
        <v>9049536462</v>
      </c>
      <c r="F6" s="7" t="str">
        <f>VLOOKUP(A6,Sheet2!$A$2:$R$3432,3,0)</f>
        <v>Manoj</v>
      </c>
      <c r="G6" s="5" t="s">
        <v>25</v>
      </c>
      <c r="H6" s="5" t="s">
        <v>25</v>
      </c>
      <c r="I6" s="5" t="s">
        <v>25</v>
      </c>
      <c r="J6" s="5" t="s">
        <v>25</v>
      </c>
      <c r="K6" s="7" t="str">
        <f>VLOOKUP(A6,Sheet2!$A$2:$R$3432,6,0)</f>
        <v>Honda Activa </v>
      </c>
      <c r="L6" s="5" t="s">
        <v>25</v>
      </c>
      <c r="M6" s="7" t="str">
        <f>VLOOKUP(A6,Sheet2!$A$2:$R$3432,5,0)</f>
        <v>MH14GB8855</v>
      </c>
      <c r="N6" s="5" t="s">
        <v>25</v>
      </c>
      <c r="O6" s="5" t="s">
        <v>25</v>
      </c>
      <c r="P6" s="6" t="s">
        <v>25</v>
      </c>
      <c r="Q6" s="5" t="s">
        <v>25</v>
      </c>
      <c r="R6" s="5" t="s">
        <v>25</v>
      </c>
      <c r="S6" s="5" t="str">
        <f>VLOOKUP(A6,Sheet2!$A$2:$R$3432,18,0)</f>
        <v>JF50U3017142</v>
      </c>
      <c r="T6" s="7" t="str">
        <f>VLOOKUP(A6,Sheet2!$A$2:$R$3432,17,0)</f>
        <v>ME4JF507BHU017099</v>
      </c>
      <c r="X6" s="4"/>
    </row>
    <row r="7">
      <c r="A7" s="3" t="s">
        <v>30</v>
      </c>
      <c r="B7" s="4" t="str">
        <f>VLOOKUP(A7,Sheet2!$A$2:$R$3432,2,0)</f>
        <v>2025-01-16 20:36:29</v>
      </c>
      <c r="C7" s="5" t="s">
        <v>25</v>
      </c>
      <c r="D7" s="6" t="s">
        <v>25</v>
      </c>
      <c r="E7" s="7">
        <f>VLOOKUP(A7,Sheet2!$A$2:$R$3432,4,0)</f>
        <v>9503093379</v>
      </c>
      <c r="F7" s="7" t="str">
        <f>VLOOKUP(A7,Sheet2!$A$2:$R$3432,3,0)</f>
        <v>VIPUL GUNJAL</v>
      </c>
      <c r="G7" s="5" t="s">
        <v>25</v>
      </c>
      <c r="H7" s="5" t="s">
        <v>25</v>
      </c>
      <c r="I7" s="5" t="s">
        <v>25</v>
      </c>
      <c r="J7" s="5" t="s">
        <v>25</v>
      </c>
      <c r="K7" s="7" t="str">
        <f>VLOOKUP(A7,Sheet2!$A$2:$R$3432,6,0)</f>
        <v>TVS Scooty PEP</v>
      </c>
      <c r="L7" s="5" t="s">
        <v>25</v>
      </c>
      <c r="M7" s="7" t="str">
        <f>VLOOKUP(A7,Sheet2!$A$2:$R$3432,5,0)</f>
        <v>MH14BV6616</v>
      </c>
      <c r="N7" s="5" t="s">
        <v>25</v>
      </c>
      <c r="O7" s="5" t="s">
        <v>25</v>
      </c>
      <c r="P7" s="6" t="s">
        <v>25</v>
      </c>
      <c r="Q7" s="5" t="s">
        <v>25</v>
      </c>
      <c r="R7" s="5" t="s">
        <v>25</v>
      </c>
      <c r="S7" s="7" t="str">
        <f>VLOOKUP(A7,Sheet2!$A$2:$R$3432,18,0)</f>
        <v/>
      </c>
      <c r="T7" s="7" t="str">
        <f>VLOOKUP(A7,Sheet2!$A$2:$R$3432,17,0)</f>
        <v/>
      </c>
      <c r="X7" s="4"/>
    </row>
    <row r="8">
      <c r="A8" s="3" t="s">
        <v>31</v>
      </c>
      <c r="B8" s="4" t="str">
        <f>VLOOKUP(A8,Sheet2!$A$2:$R$3432,2,0)</f>
        <v>2025-01-16 20:37:46</v>
      </c>
      <c r="C8" s="5" t="s">
        <v>25</v>
      </c>
      <c r="D8" s="6" t="s">
        <v>25</v>
      </c>
      <c r="E8" s="7">
        <f>VLOOKUP(A8,Sheet2!$A$2:$R$3432,4,0)</f>
        <v>9146437954</v>
      </c>
      <c r="F8" s="7" t="str">
        <f>VLOOKUP(A8,Sheet2!$A$2:$R$3432,3,0)</f>
        <v>Archana Shingare</v>
      </c>
      <c r="G8" s="5" t="s">
        <v>25</v>
      </c>
      <c r="H8" s="5" t="s">
        <v>25</v>
      </c>
      <c r="I8" s="5" t="s">
        <v>25</v>
      </c>
      <c r="J8" s="5" t="s">
        <v>25</v>
      </c>
      <c r="K8" s="7" t="str">
        <f>VLOOKUP(A8,Sheet2!$A$2:$R$3432,6,0)</f>
        <v>TVS Scooty PEP Plus</v>
      </c>
      <c r="L8" s="5" t="s">
        <v>25</v>
      </c>
      <c r="M8" s="7" t="str">
        <f>VLOOKUP(A8,Sheet2!$A$2:$R$3432,5,0)</f>
        <v>MH14GV7627</v>
      </c>
      <c r="N8" s="5" t="s">
        <v>25</v>
      </c>
      <c r="O8" s="5" t="s">
        <v>25</v>
      </c>
      <c r="P8" s="6" t="s">
        <v>25</v>
      </c>
      <c r="Q8" s="5" t="s">
        <v>25</v>
      </c>
      <c r="R8" s="5" t="s">
        <v>25</v>
      </c>
      <c r="S8" s="5" t="str">
        <f>VLOOKUP(A8,Sheet2!$A$2:$R$3432,18,0)</f>
        <v>AG3AJ2937060</v>
      </c>
      <c r="T8" s="7" t="str">
        <f>VLOOKUP(A8,Sheet2!$A$2:$R$3432,17,0)</f>
        <v>MD626FG38J2AG0938</v>
      </c>
      <c r="X8" s="4"/>
    </row>
    <row r="9">
      <c r="A9" s="3" t="s">
        <v>32</v>
      </c>
      <c r="B9" s="4" t="str">
        <f>VLOOKUP(A9,Sheet2!$A$2:$R$3432,2,0)</f>
        <v>2025-01-16 20:37:08</v>
      </c>
      <c r="C9" s="5" t="s">
        <v>25</v>
      </c>
      <c r="D9" s="6" t="s">
        <v>25</v>
      </c>
      <c r="E9" s="7">
        <f>VLOOKUP(A9,Sheet2!$A$2:$R$3432,4,0)</f>
        <v>7385942438</v>
      </c>
      <c r="F9" s="7" t="str">
        <f>VLOOKUP(A9,Sheet2!$A$2:$R$3432,3,0)</f>
        <v>Anchal</v>
      </c>
      <c r="G9" s="5" t="s">
        <v>25</v>
      </c>
      <c r="H9" s="5" t="s">
        <v>25</v>
      </c>
      <c r="I9" s="5" t="s">
        <v>25</v>
      </c>
      <c r="J9" s="5" t="s">
        <v>25</v>
      </c>
      <c r="K9" s="7" t="str">
        <f>VLOOKUP(A9,Sheet2!$A$2:$R$3432,6,0)</f>
        <v>Honda Activa 110</v>
      </c>
      <c r="L9" s="5" t="s">
        <v>25</v>
      </c>
      <c r="M9" s="7" t="str">
        <f>VLOOKUP(A9,Sheet2!$A$2:$R$3432,5,0)</f>
        <v>MH27AZ5188</v>
      </c>
      <c r="N9" s="5" t="s">
        <v>25</v>
      </c>
      <c r="O9" s="5" t="s">
        <v>25</v>
      </c>
      <c r="P9" s="6" t="s">
        <v>25</v>
      </c>
      <c r="Q9" s="5" t="s">
        <v>25</v>
      </c>
      <c r="R9" s="5" t="s">
        <v>25</v>
      </c>
      <c r="S9" s="5" t="str">
        <f>VLOOKUP(A9,Sheet2!$A$2:$R$3432,18,0)</f>
        <v>JF50E82558366</v>
      </c>
      <c r="T9" s="7" t="str">
        <f>VLOOKUP(A9,Sheet2!$A$2:$R$3432,17,0)</f>
        <v>ME4JF301KD8559676</v>
      </c>
      <c r="X9" s="4"/>
    </row>
    <row r="10">
      <c r="A10" s="3" t="s">
        <v>33</v>
      </c>
      <c r="B10" s="4" t="str">
        <f>VLOOKUP(A10,Sheet2!$A$2:$R$3432,2,0)</f>
        <v>2025-01-16 20:38:01</v>
      </c>
      <c r="C10" s="5" t="s">
        <v>25</v>
      </c>
      <c r="D10" s="6" t="s">
        <v>25</v>
      </c>
      <c r="E10" s="7">
        <f>VLOOKUP(A10,Sheet2!$A$2:$R$3432,4,0)</f>
        <v>9673758691</v>
      </c>
      <c r="F10" s="7" t="str">
        <f>VLOOKUP(A10,Sheet2!$A$2:$R$3432,3,0)</f>
        <v>RUSHIKESH SHELKE</v>
      </c>
      <c r="G10" s="5" t="s">
        <v>25</v>
      </c>
      <c r="H10" s="5" t="s">
        <v>25</v>
      </c>
      <c r="I10" s="5" t="s">
        <v>25</v>
      </c>
      <c r="J10" s="5" t="s">
        <v>25</v>
      </c>
      <c r="K10" s="7" t="str">
        <f>VLOOKUP(A10,Sheet2!$A$2:$R$3432,6,0)</f>
        <v>Yamaha FZ No Data</v>
      </c>
      <c r="L10" s="5" t="s">
        <v>25</v>
      </c>
      <c r="M10" s="7" t="str">
        <f>VLOOKUP(A10,Sheet2!$A$2:$R$3432,5,0)</f>
        <v>MH12RB1925</v>
      </c>
      <c r="N10" s="5" t="s">
        <v>25</v>
      </c>
      <c r="O10" s="5" t="s">
        <v>25</v>
      </c>
      <c r="P10" s="6" t="s">
        <v>25</v>
      </c>
      <c r="Q10" s="5" t="s">
        <v>25</v>
      </c>
      <c r="R10" s="5" t="s">
        <v>25</v>
      </c>
      <c r="S10" s="5" t="str">
        <f>VLOOKUP(A10,Sheet2!$A$2:$R$3432,18,0)</f>
        <v>G3H7E0071904</v>
      </c>
      <c r="T10" s="7" t="str">
        <f>VLOOKUP(A10,Sheet2!$A$2:$R$3432,17,0)</f>
        <v>ME1G4219J0046776</v>
      </c>
      <c r="X10" s="4"/>
    </row>
    <row r="11">
      <c r="A11" s="3" t="s">
        <v>34</v>
      </c>
      <c r="B11" s="4" t="str">
        <f>VLOOKUP(A11,Sheet2!$A$2:$R$3432,2,0)</f>
        <v>2025-01-16 19:58:04</v>
      </c>
      <c r="C11" s="5" t="s">
        <v>25</v>
      </c>
      <c r="D11" s="6" t="s">
        <v>25</v>
      </c>
      <c r="E11" s="7">
        <f>VLOOKUP(A11,Sheet2!$A$2:$R$3432,4,0)</f>
        <v>8999016024</v>
      </c>
      <c r="F11" s="7" t="str">
        <f>VLOOKUP(A11,Sheet2!$A$2:$R$3432,3,0)</f>
        <v>TUSHAR RAUT</v>
      </c>
      <c r="G11" s="5" t="s">
        <v>25</v>
      </c>
      <c r="H11" s="5" t="s">
        <v>25</v>
      </c>
      <c r="I11" s="5" t="s">
        <v>25</v>
      </c>
      <c r="J11" s="5" t="s">
        <v>25</v>
      </c>
      <c r="K11" s="7" t="str">
        <f>VLOOKUP(A11,Sheet2!$A$2:$R$3432,6,0)</f>
        <v>Yamaha FZ 25</v>
      </c>
      <c r="L11" s="5" t="s">
        <v>25</v>
      </c>
      <c r="M11" s="7" t="str">
        <f>VLOOKUP(A11,Sheet2!$A$2:$R$3432,5,0)</f>
        <v>MH16CW6540</v>
      </c>
      <c r="N11" s="5" t="s">
        <v>25</v>
      </c>
      <c r="O11" s="5" t="s">
        <v>25</v>
      </c>
      <c r="P11" s="6" t="s">
        <v>25</v>
      </c>
      <c r="Q11" s="5" t="s">
        <v>25</v>
      </c>
      <c r="R11" s="5" t="s">
        <v>25</v>
      </c>
      <c r="S11" s="5" t="str">
        <f>VLOOKUP(A11,Sheet2!$A$2:$R$3432,18,0)</f>
        <v>G3P1E0009245</v>
      </c>
      <c r="T11" s="7" t="str">
        <f>VLOOKUP(A11,Sheet2!$A$2:$R$3432,17,0)</f>
        <v>ME1RG6916M00005498</v>
      </c>
    </row>
    <row r="12">
      <c r="A12" s="3" t="s">
        <v>35</v>
      </c>
      <c r="B12" s="4" t="str">
        <f>VLOOKUP(A12,Sheet2!$A$2:$R$3432,2,0)</f>
        <v>2025-01-16 19:55:46</v>
      </c>
      <c r="C12" s="5" t="s">
        <v>25</v>
      </c>
      <c r="D12" s="6" t="s">
        <v>25</v>
      </c>
      <c r="E12" s="7">
        <f>VLOOKUP(A12,Sheet2!$A$2:$R$3432,4,0)</f>
        <v>8237987263</v>
      </c>
      <c r="F12" s="7" t="str">
        <f>VLOOKUP(A12,Sheet2!$A$2:$R$3432,3,0)</f>
        <v>Jaideep </v>
      </c>
      <c r="G12" s="5" t="s">
        <v>25</v>
      </c>
      <c r="H12" s="5" t="s">
        <v>25</v>
      </c>
      <c r="I12" s="5" t="s">
        <v>25</v>
      </c>
      <c r="J12" s="5" t="s">
        <v>25</v>
      </c>
      <c r="K12" s="7" t="str">
        <f>VLOOKUP(A12,Sheet2!$A$2:$R$3432,6,0)</f>
        <v>Hero Deluxe HF</v>
      </c>
      <c r="L12" s="5" t="s">
        <v>25</v>
      </c>
      <c r="M12" s="7" t="str">
        <f>VLOOKUP(A12,Sheet2!$A$2:$R$3432,5,0)</f>
        <v>MH16CB4601</v>
      </c>
      <c r="N12" s="5" t="s">
        <v>25</v>
      </c>
      <c r="O12" s="5" t="s">
        <v>25</v>
      </c>
      <c r="P12" s="6" t="s">
        <v>25</v>
      </c>
      <c r="Q12" s="5" t="s">
        <v>25</v>
      </c>
      <c r="R12" s="5" t="s">
        <v>25</v>
      </c>
      <c r="S12" s="7" t="str">
        <f>VLOOKUP(A12,Sheet2!$A$2:$R$3432,18,0)</f>
        <v/>
      </c>
      <c r="T12" s="7" t="str">
        <f>VLOOKUP(A12,Sheet2!$A$2:$R$3432,17,0)</f>
        <v/>
      </c>
    </row>
    <row r="13">
      <c r="A13" s="3" t="s">
        <v>36</v>
      </c>
      <c r="B13" s="4" t="str">
        <f>VLOOKUP(A13,Sheet2!$A$2:$R$3432,2,0)</f>
        <v>2025-01-16 19:43:47</v>
      </c>
      <c r="C13" s="5" t="s">
        <v>25</v>
      </c>
      <c r="D13" s="6" t="s">
        <v>25</v>
      </c>
      <c r="E13" s="7">
        <f>VLOOKUP(A13,Sheet2!$A$2:$R$3432,4,0)</f>
        <v>9930836131</v>
      </c>
      <c r="F13" s="7" t="str">
        <f>VLOOKUP(A13,Sheet2!$A$2:$R$3432,3,0)</f>
        <v>Mithesh shroff</v>
      </c>
      <c r="G13" s="5" t="s">
        <v>25</v>
      </c>
      <c r="H13" s="5" t="s">
        <v>25</v>
      </c>
      <c r="I13" s="5" t="s">
        <v>25</v>
      </c>
      <c r="J13" s="5" t="s">
        <v>25</v>
      </c>
      <c r="K13" s="7" t="str">
        <f>VLOOKUP(A13,Sheet2!$A$2:$R$3432,6,0)</f>
        <v>Suzuki Access 125</v>
      </c>
      <c r="L13" s="5" t="s">
        <v>25</v>
      </c>
      <c r="M13" s="7" t="str">
        <f>VLOOKUP(A13,Sheet2!$A$2:$R$3432,5,0)</f>
        <v>MH12HM6830</v>
      </c>
      <c r="N13" s="5" t="s">
        <v>25</v>
      </c>
      <c r="O13" s="5" t="s">
        <v>25</v>
      </c>
      <c r="P13" s="6" t="s">
        <v>25</v>
      </c>
      <c r="Q13" s="5" t="s">
        <v>25</v>
      </c>
      <c r="R13" s="5" t="s">
        <v>25</v>
      </c>
      <c r="S13" s="7" t="str">
        <f>VLOOKUP(A13,Sheet2!$A$2:$R$3432,18,0)</f>
        <v/>
      </c>
      <c r="T13" s="7" t="str">
        <f>VLOOKUP(A13,Sheet2!$A$2:$R$3432,17,0)</f>
        <v/>
      </c>
    </row>
    <row r="14">
      <c r="A14" s="3" t="s">
        <v>37</v>
      </c>
      <c r="B14" s="4" t="str">
        <f>VLOOKUP(A14,Sheet2!$A$2:$R$3432,2,0)</f>
        <v>2024-11-30 10:48:50</v>
      </c>
      <c r="C14" s="5" t="s">
        <v>25</v>
      </c>
      <c r="D14" s="6" t="s">
        <v>25</v>
      </c>
      <c r="E14" s="7">
        <f>VLOOKUP(A14,Sheet2!$A$2:$R$3432,4,0)</f>
        <v>7410515046</v>
      </c>
      <c r="F14" s="7" t="str">
        <f>VLOOKUP(A14,Sheet2!$A$2:$R$3432,3,0)</f>
        <v>Pratik </v>
      </c>
      <c r="G14" s="5" t="s">
        <v>25</v>
      </c>
      <c r="H14" s="5" t="s">
        <v>25</v>
      </c>
      <c r="I14" s="5" t="s">
        <v>25</v>
      </c>
      <c r="J14" s="5" t="s">
        <v>25</v>
      </c>
      <c r="K14" s="7" t="str">
        <f>VLOOKUP(A14,Sheet2!$A$2:$R$3432,6,0)</f>
        <v>KTM Duke 200</v>
      </c>
      <c r="L14" s="5" t="s">
        <v>25</v>
      </c>
      <c r="M14" s="7" t="str">
        <f>VLOOKUP(A14,Sheet2!$A$2:$R$3432,5,0)</f>
        <v>MH12TG8914</v>
      </c>
      <c r="N14" s="5" t="s">
        <v>25</v>
      </c>
      <c r="O14" s="5" t="s">
        <v>25</v>
      </c>
      <c r="P14" s="6" t="s">
        <v>25</v>
      </c>
      <c r="Q14" s="5" t="s">
        <v>25</v>
      </c>
      <c r="R14" s="5" t="s">
        <v>25</v>
      </c>
      <c r="S14" s="7" t="str">
        <f>VLOOKUP(A14,Sheet2!$A$2:$R$3432,18,0)</f>
        <v/>
      </c>
      <c r="T14" s="7" t="str">
        <f>VLOOKUP(A14,Sheet2!$A$2:$R$3432,17,0)</f>
        <v/>
      </c>
    </row>
    <row r="15">
      <c r="A15" s="3" t="s">
        <v>38</v>
      </c>
      <c r="B15" s="4" t="str">
        <f>VLOOKUP(A15,Sheet2!$A$2:$R$3432,2,0)</f>
        <v>2024-11-30 10:39:26</v>
      </c>
      <c r="C15" s="5" t="s">
        <v>25</v>
      </c>
      <c r="D15" s="6" t="s">
        <v>25</v>
      </c>
      <c r="E15" s="7">
        <f>VLOOKUP(A15,Sheet2!$A$2:$R$3432,4,0)</f>
        <v>9657702581</v>
      </c>
      <c r="F15" s="7" t="str">
        <f>VLOOKUP(A15,Sheet2!$A$2:$R$3432,3,0)</f>
        <v>Gaurang</v>
      </c>
      <c r="G15" s="5" t="s">
        <v>25</v>
      </c>
      <c r="H15" s="5" t="s">
        <v>25</v>
      </c>
      <c r="I15" s="5" t="s">
        <v>25</v>
      </c>
      <c r="J15" s="5" t="s">
        <v>25</v>
      </c>
      <c r="K15" s="7" t="str">
        <f>VLOOKUP(A15,Sheet2!$A$2:$R$3432,6,0)</f>
        <v>Bajaj Discover No Data</v>
      </c>
      <c r="L15" s="5" t="s">
        <v>25</v>
      </c>
      <c r="M15" s="7" t="str">
        <f>VLOOKUP(A15,Sheet2!$A$2:$R$3432,5,0)</f>
        <v>MH14CR5954</v>
      </c>
      <c r="N15" s="5" t="s">
        <v>25</v>
      </c>
      <c r="O15" s="5" t="s">
        <v>25</v>
      </c>
      <c r="P15" s="6" t="s">
        <v>25</v>
      </c>
      <c r="Q15" s="5" t="s">
        <v>25</v>
      </c>
      <c r="R15" s="5" t="s">
        <v>25</v>
      </c>
      <c r="S15" s="5" t="str">
        <f>VLOOKUP(A15,Sheet2!$A$2:$R$3432,18,0)</f>
        <v>MZMBTJ66869</v>
      </c>
      <c r="T15" s="7" t="str">
        <f>VLOOKUP(A15,Sheet2!$A$2:$R$3432,17,0)</f>
        <v>MDZDSJZZZTWK58252</v>
      </c>
    </row>
    <row r="16">
      <c r="A16" s="3" t="s">
        <v>39</v>
      </c>
      <c r="B16" s="4" t="str">
        <f>VLOOKUP(A16,Sheet2!$A$2:$R$3432,2,0)</f>
        <v>2024-11-30 10:40:50</v>
      </c>
      <c r="C16" s="5" t="s">
        <v>25</v>
      </c>
      <c r="D16" s="6" t="s">
        <v>25</v>
      </c>
      <c r="E16" s="7">
        <f>VLOOKUP(A16,Sheet2!$A$2:$R$3432,4,0)</f>
        <v>9881100507</v>
      </c>
      <c r="F16" s="7" t="str">
        <f>VLOOKUP(A16,Sheet2!$A$2:$R$3432,3,0)</f>
        <v>Aditya Gupta</v>
      </c>
      <c r="G16" s="5" t="s">
        <v>25</v>
      </c>
      <c r="H16" s="5" t="s">
        <v>25</v>
      </c>
      <c r="I16" s="5" t="s">
        <v>25</v>
      </c>
      <c r="J16" s="5" t="s">
        <v>25</v>
      </c>
      <c r="K16" s="7" t="str">
        <f>VLOOKUP(A16,Sheet2!$A$2:$R$3432,6,0)</f>
        <v>Honda Activa 110</v>
      </c>
      <c r="L16" s="5" t="s">
        <v>25</v>
      </c>
      <c r="M16" s="7" t="str">
        <f>VLOOKUP(A16,Sheet2!$A$2:$R$3432,5,0)</f>
        <v>MH14CV3016</v>
      </c>
      <c r="N16" s="5" t="s">
        <v>25</v>
      </c>
      <c r="O16" s="5" t="s">
        <v>25</v>
      </c>
      <c r="P16" s="6" t="s">
        <v>25</v>
      </c>
      <c r="Q16" s="5" t="s">
        <v>25</v>
      </c>
      <c r="R16" s="5" t="s">
        <v>25</v>
      </c>
      <c r="S16" s="5" t="str">
        <f>VLOOKUP(A16,Sheet2!$A$2:$R$3432,18,0)</f>
        <v>JC44E1349771</v>
      </c>
      <c r="T16" s="7" t="str">
        <f>VLOOKUP(A16,Sheet2!$A$2:$R$3432,17,0)</f>
        <v>ME4JC448EE823812</v>
      </c>
    </row>
    <row r="17">
      <c r="A17" s="3" t="s">
        <v>40</v>
      </c>
      <c r="B17" s="4" t="str">
        <f>VLOOKUP(A17,Sheet2!$A$2:$R$3432,2,0)</f>
        <v>2024-11-30 10:38:13</v>
      </c>
      <c r="C17" s="5" t="s">
        <v>25</v>
      </c>
      <c r="D17" s="6" t="s">
        <v>25</v>
      </c>
      <c r="E17" s="7">
        <f>VLOOKUP(A17,Sheet2!$A$2:$R$3432,4,0)</f>
        <v>8982156364</v>
      </c>
      <c r="F17" s="7" t="str">
        <f>VLOOKUP(A17,Sheet2!$A$2:$R$3432,3,0)</f>
        <v>Raj</v>
      </c>
      <c r="G17" s="5" t="s">
        <v>25</v>
      </c>
      <c r="H17" s="5" t="s">
        <v>25</v>
      </c>
      <c r="I17" s="5" t="s">
        <v>25</v>
      </c>
      <c r="J17" s="5" t="s">
        <v>25</v>
      </c>
      <c r="K17" s="7" t="str">
        <f>VLOOKUP(A17,Sheet2!$A$2:$R$3432,6,0)</f>
        <v>TVS Apache 160 4V</v>
      </c>
      <c r="L17" s="5" t="s">
        <v>25</v>
      </c>
      <c r="M17" s="7" t="str">
        <f>VLOOKUP(A17,Sheet2!$A$2:$R$3432,5,0)</f>
        <v>MH12TP0950</v>
      </c>
      <c r="N17" s="5" t="s">
        <v>25</v>
      </c>
      <c r="O17" s="5" t="s">
        <v>25</v>
      </c>
      <c r="P17" s="6" t="s">
        <v>25</v>
      </c>
      <c r="Q17" s="5" t="s">
        <v>25</v>
      </c>
      <c r="R17" s="5" t="s">
        <v>25</v>
      </c>
      <c r="S17" s="5" t="str">
        <f>VLOOKUP(A17,Sheet2!$A$2:$R$3432,18,0)</f>
        <v>GE5DM2X01136</v>
      </c>
      <c r="T17" s="7" t="str">
        <f>VLOOKUP(A17,Sheet2!$A$2:$R$3432,17,0)</f>
        <v>MD637DE50M2D01233</v>
      </c>
    </row>
    <row r="18">
      <c r="A18" s="3" t="s">
        <v>41</v>
      </c>
      <c r="B18" s="4" t="str">
        <f>VLOOKUP(A18,Sheet2!$A$2:$R$3432,2,0)</f>
        <v>2024-11-30 10:46:56</v>
      </c>
      <c r="C18" s="5" t="s">
        <v>25</v>
      </c>
      <c r="D18" s="6" t="s">
        <v>25</v>
      </c>
      <c r="E18" s="7">
        <f>VLOOKUP(A18,Sheet2!$A$2:$R$3432,4,0)</f>
        <v>8483833982</v>
      </c>
      <c r="F18" s="7" t="str">
        <f>VLOOKUP(A18,Sheet2!$A$2:$R$3432,3,0)</f>
        <v>Suhas </v>
      </c>
      <c r="G18" s="5" t="s">
        <v>25</v>
      </c>
      <c r="H18" s="5" t="s">
        <v>25</v>
      </c>
      <c r="I18" s="5" t="s">
        <v>25</v>
      </c>
      <c r="J18" s="5" t="s">
        <v>25</v>
      </c>
      <c r="K18" s="7" t="str">
        <f>VLOOKUP(A18,Sheet2!$A$2:$R$3432,6,0)</f>
        <v>Honda Dio </v>
      </c>
      <c r="L18" s="5" t="s">
        <v>25</v>
      </c>
      <c r="M18" s="7" t="str">
        <f>VLOOKUP(A18,Sheet2!$A$2:$R$3432,5,0)</f>
        <v>MH17BE1314</v>
      </c>
      <c r="N18" s="5" t="s">
        <v>25</v>
      </c>
      <c r="O18" s="5" t="s">
        <v>25</v>
      </c>
      <c r="P18" s="6" t="s">
        <v>25</v>
      </c>
      <c r="Q18" s="5" t="s">
        <v>25</v>
      </c>
      <c r="R18" s="5" t="s">
        <v>25</v>
      </c>
      <c r="S18" s="5" t="str">
        <f>VLOOKUP(A18,Sheet2!$A$2:$R$3432,18,0)</f>
        <v>JF39E70211907</v>
      </c>
      <c r="T18" s="7" t="str">
        <f>VLOOKUP(A18,Sheet2!$A$2:$R$3432,17,0)</f>
        <v>MEGJF392JE211927</v>
      </c>
    </row>
    <row r="19">
      <c r="A19" s="3" t="s">
        <v>42</v>
      </c>
      <c r="B19" s="4" t="str">
        <f>VLOOKUP(A19,Sheet2!$A$2:$R$3432,2,0)</f>
        <v>2024-11-30 10:43:27</v>
      </c>
      <c r="C19" s="5" t="s">
        <v>25</v>
      </c>
      <c r="D19" s="6" t="s">
        <v>25</v>
      </c>
      <c r="E19" s="7">
        <f>VLOOKUP(A19,Sheet2!$A$2:$R$3432,4,0)</f>
        <v>8237320223</v>
      </c>
      <c r="F19" s="7" t="str">
        <f>VLOOKUP(A19,Sheet2!$A$2:$R$3432,3,0)</f>
        <v>Himanshu Chothe</v>
      </c>
      <c r="G19" s="5" t="s">
        <v>25</v>
      </c>
      <c r="H19" s="5" t="s">
        <v>25</v>
      </c>
      <c r="I19" s="5" t="s">
        <v>25</v>
      </c>
      <c r="J19" s="5" t="s">
        <v>25</v>
      </c>
      <c r="K19" s="7" t="str">
        <f>VLOOKUP(A19,Sheet2!$A$2:$R$3432,6,0)</f>
        <v>Honda Activa 6G</v>
      </c>
      <c r="L19" s="5" t="s">
        <v>25</v>
      </c>
      <c r="M19" s="7" t="str">
        <f>VLOOKUP(A19,Sheet2!$A$2:$R$3432,5,0)</f>
        <v>MH12TW3707</v>
      </c>
      <c r="N19" s="5" t="s">
        <v>25</v>
      </c>
      <c r="O19" s="5" t="s">
        <v>25</v>
      </c>
      <c r="P19" s="6" t="s">
        <v>25</v>
      </c>
      <c r="Q19" s="5" t="s">
        <v>25</v>
      </c>
      <c r="R19" s="5" t="s">
        <v>25</v>
      </c>
      <c r="S19" s="5" t="str">
        <f>VLOOKUP(A19,Sheet2!$A$2:$R$3432,18,0)</f>
        <v>JF91EG508758</v>
      </c>
      <c r="T19" s="7" t="str">
        <f>VLOOKUP(A19,Sheet2!$A$2:$R$3432,17,0)</f>
        <v>ME4JF918LMG087052</v>
      </c>
    </row>
    <row r="20" ht="15.75" customHeight="1">
      <c r="A20" s="3" t="s">
        <v>43</v>
      </c>
      <c r="B20" s="4" t="str">
        <f>VLOOKUP(A20,Sheet2!$A$2:$R$3432,2,0)</f>
        <v>2024-11-30 10:44:32</v>
      </c>
      <c r="C20" s="5" t="s">
        <v>25</v>
      </c>
      <c r="D20" s="6" t="s">
        <v>25</v>
      </c>
      <c r="E20" s="7">
        <f>VLOOKUP(A20,Sheet2!$A$2:$R$3432,4,0)</f>
        <v>7507365078</v>
      </c>
      <c r="F20" s="7" t="str">
        <f>VLOOKUP(A20,Sheet2!$A$2:$R$3432,3,0)</f>
        <v>Rahil Shaikh </v>
      </c>
      <c r="G20" s="5" t="s">
        <v>25</v>
      </c>
      <c r="H20" s="5" t="s">
        <v>25</v>
      </c>
      <c r="I20" s="5" t="s">
        <v>25</v>
      </c>
      <c r="J20" s="5" t="s">
        <v>25</v>
      </c>
      <c r="K20" s="7" t="str">
        <f>VLOOKUP(A20,Sheet2!$A$2:$R$3432,6,0)</f>
        <v>Hero Xpulse 200</v>
      </c>
      <c r="L20" s="5" t="s">
        <v>25</v>
      </c>
      <c r="M20" s="7" t="str">
        <f>VLOOKUP(A20,Sheet2!$A$2:$R$3432,5,0)</f>
        <v>MH15JE1843</v>
      </c>
      <c r="N20" s="5" t="s">
        <v>25</v>
      </c>
      <c r="O20" s="5" t="s">
        <v>25</v>
      </c>
      <c r="P20" s="6" t="s">
        <v>25</v>
      </c>
      <c r="Q20" s="5" t="s">
        <v>25</v>
      </c>
      <c r="R20" s="5" t="s">
        <v>25</v>
      </c>
      <c r="S20" s="5" t="str">
        <f>VLOOKUP(A20,Sheet2!$A$2:$R$3432,18,0)</f>
        <v>MBLDL061NGK2237</v>
      </c>
      <c r="T20" s="7" t="str">
        <f>VLOOKUP(A20,Sheet2!$A$2:$R$3432,17,0)</f>
        <v>MC20AHMGKB1000</v>
      </c>
    </row>
    <row r="21" ht="15.75" customHeight="1">
      <c r="A21" s="3" t="s">
        <v>44</v>
      </c>
      <c r="B21" s="4" t="str">
        <f>VLOOKUP(A21,Sheet2!$A$2:$R$3432,2,0)</f>
        <v>2024-11-30 10:47:20</v>
      </c>
      <c r="C21" s="5" t="s">
        <v>25</v>
      </c>
      <c r="D21" s="6" t="s">
        <v>25</v>
      </c>
      <c r="E21" s="7">
        <f>VLOOKUP(A21,Sheet2!$A$2:$R$3432,4,0)</f>
        <v>9890675383</v>
      </c>
      <c r="F21" s="7" t="str">
        <f>VLOOKUP(A21,Sheet2!$A$2:$R$3432,3,0)</f>
        <v>Sujay Joshi</v>
      </c>
      <c r="G21" s="5" t="s">
        <v>25</v>
      </c>
      <c r="H21" s="5" t="s">
        <v>25</v>
      </c>
      <c r="I21" s="5" t="s">
        <v>25</v>
      </c>
      <c r="J21" s="5" t="s">
        <v>25</v>
      </c>
      <c r="K21" s="7" t="str">
        <f>VLOOKUP(A21,Sheet2!$A$2:$R$3432,6,0)</f>
        <v>Suzuki Access 125</v>
      </c>
      <c r="L21" s="5" t="s">
        <v>25</v>
      </c>
      <c r="M21" s="7" t="str">
        <f>VLOOKUP(A21,Sheet2!$A$2:$R$3432,5,0)</f>
        <v>MH12QQ8618</v>
      </c>
      <c r="N21" s="5" t="s">
        <v>25</v>
      </c>
      <c r="O21" s="5" t="s">
        <v>25</v>
      </c>
      <c r="P21" s="6" t="s">
        <v>25</v>
      </c>
      <c r="Q21" s="5" t="s">
        <v>25</v>
      </c>
      <c r="R21" s="5" t="s">
        <v>25</v>
      </c>
      <c r="S21" s="5" t="str">
        <f>VLOOKUP(A21,Sheet2!$A$2:$R$3432,18,0)</f>
        <v>AF211722746</v>
      </c>
      <c r="T21" s="7" t="str">
        <f>VLOOKUP(A21,Sheet2!$A$2:$R$3432,17,0)</f>
        <v>MB8DP11AFJ8925232</v>
      </c>
    </row>
    <row r="22" ht="15.75" customHeight="1">
      <c r="A22" s="3" t="s">
        <v>45</v>
      </c>
      <c r="B22" s="4" t="str">
        <f>VLOOKUP(A22,Sheet2!$A$2:$R$3432,2,0)</f>
        <v>2024-11-30 10:51:51</v>
      </c>
      <c r="C22" s="5" t="s">
        <v>25</v>
      </c>
      <c r="D22" s="6" t="s">
        <v>25</v>
      </c>
      <c r="E22" s="7">
        <f>VLOOKUP(A22,Sheet2!$A$2:$R$3432,4,0)</f>
        <v>9657081177</v>
      </c>
      <c r="F22" s="7" t="str">
        <f>VLOOKUP(A22,Sheet2!$A$2:$R$3432,3,0)</f>
        <v>Saurabh Nagarkar</v>
      </c>
      <c r="G22" s="5" t="s">
        <v>25</v>
      </c>
      <c r="H22" s="5" t="s">
        <v>25</v>
      </c>
      <c r="I22" s="5" t="s">
        <v>25</v>
      </c>
      <c r="J22" s="5" t="s">
        <v>25</v>
      </c>
      <c r="K22" s="7" t="str">
        <f>VLOOKUP(A22,Sheet2!$A$2:$R$3432,6,0)</f>
        <v>Bajaj Pulsar 220F</v>
      </c>
      <c r="L22" s="5" t="s">
        <v>25</v>
      </c>
      <c r="M22" s="7" t="str">
        <f>VLOOKUP(A22,Sheet2!$A$2:$R$3432,5,0)</f>
        <v>MH14HN0727</v>
      </c>
      <c r="N22" s="5" t="s">
        <v>25</v>
      </c>
      <c r="O22" s="5" t="s">
        <v>25</v>
      </c>
      <c r="P22" s="6" t="s">
        <v>25</v>
      </c>
      <c r="Q22" s="5" t="s">
        <v>25</v>
      </c>
      <c r="R22" s="5" t="s">
        <v>25</v>
      </c>
      <c r="S22" s="5" t="str">
        <f>VLOOKUP(A22,Sheet2!$A$2:$R$3432,18,0)</f>
        <v>DK4CK1L01168</v>
      </c>
      <c r="T22" s="7" t="str">
        <f>VLOOKUP(A22,Sheet2!$A$2:$R$3432,17,0)</f>
        <v>MD2A13EY3KLC10429</v>
      </c>
    </row>
    <row r="23" ht="15.75" customHeight="1">
      <c r="A23" s="3" t="s">
        <v>46</v>
      </c>
      <c r="B23" s="4" t="str">
        <f>VLOOKUP(A23,Sheet2!$A$2:$R$3432,2,0)</f>
        <v>2024-11-30 10:52:58</v>
      </c>
      <c r="C23" s="5" t="s">
        <v>25</v>
      </c>
      <c r="D23" s="6" t="s">
        <v>25</v>
      </c>
      <c r="E23" s="7">
        <f>VLOOKUP(A23,Sheet2!$A$2:$R$3432,4,0)</f>
        <v>9767809683</v>
      </c>
      <c r="F23" s="7" t="str">
        <f>VLOOKUP(A23,Sheet2!$A$2:$R$3432,3,0)</f>
        <v>KISHOR CHAURE</v>
      </c>
      <c r="G23" s="5" t="s">
        <v>25</v>
      </c>
      <c r="H23" s="5" t="s">
        <v>25</v>
      </c>
      <c r="I23" s="5" t="s">
        <v>25</v>
      </c>
      <c r="J23" s="5" t="s">
        <v>25</v>
      </c>
      <c r="K23" s="7" t="str">
        <f>VLOOKUP(A23,Sheet2!$A$2:$R$3432,6,0)</f>
        <v>Honda Activa 4G</v>
      </c>
      <c r="L23" s="5" t="s">
        <v>25</v>
      </c>
      <c r="M23" s="7" t="str">
        <f>VLOOKUP(A23,Sheet2!$A$2:$R$3432,5,0)</f>
        <v>MH14GF9795</v>
      </c>
      <c r="N23" s="5" t="s">
        <v>25</v>
      </c>
      <c r="O23" s="5" t="s">
        <v>25</v>
      </c>
      <c r="P23" s="6" t="s">
        <v>25</v>
      </c>
      <c r="Q23" s="5" t="s">
        <v>25</v>
      </c>
      <c r="R23" s="5" t="s">
        <v>25</v>
      </c>
      <c r="S23" s="5" t="str">
        <f>VLOOKUP(A23,Sheet2!$A$2:$R$3432,18,0)</f>
        <v>JF50E451239332</v>
      </c>
      <c r="T23" s="7" t="str">
        <f>VLOOKUP(A23,Sheet2!$A$2:$R$3432,17,0)</f>
        <v>ME4JF5070H4123771</v>
      </c>
    </row>
    <row r="24" ht="15.75" customHeight="1">
      <c r="A24" s="3" t="s">
        <v>47</v>
      </c>
      <c r="B24" s="4" t="str">
        <f>VLOOKUP(A24,Sheet2!$A$2:$R$3432,2,0)</f>
        <v>2024-11-30 10:47:56</v>
      </c>
      <c r="C24" s="5" t="s">
        <v>25</v>
      </c>
      <c r="D24" s="6" t="s">
        <v>25</v>
      </c>
      <c r="E24" s="7">
        <f>VLOOKUP(A24,Sheet2!$A$2:$R$3432,4,0)</f>
        <v>8888520035</v>
      </c>
      <c r="F24" s="7" t="str">
        <f>VLOOKUP(A24,Sheet2!$A$2:$R$3432,3,0)</f>
        <v>Renuka Patel</v>
      </c>
      <c r="G24" s="5" t="s">
        <v>25</v>
      </c>
      <c r="H24" s="5" t="s">
        <v>25</v>
      </c>
      <c r="I24" s="5" t="s">
        <v>25</v>
      </c>
      <c r="J24" s="5" t="s">
        <v>25</v>
      </c>
      <c r="K24" s="7" t="str">
        <f>VLOOKUP(A24,Sheet2!$A$2:$R$3432,6,0)</f>
        <v>Honda Activa 6G</v>
      </c>
      <c r="L24" s="5" t="s">
        <v>25</v>
      </c>
      <c r="M24" s="7" t="str">
        <f>VLOOKUP(A24,Sheet2!$A$2:$R$3432,5,0)</f>
        <v>MH27DC6939</v>
      </c>
      <c r="N24" s="5" t="s">
        <v>25</v>
      </c>
      <c r="O24" s="5" t="s">
        <v>25</v>
      </c>
      <c r="P24" s="6" t="s">
        <v>25</v>
      </c>
      <c r="Q24" s="5" t="s">
        <v>25</v>
      </c>
      <c r="R24" s="5" t="s">
        <v>25</v>
      </c>
      <c r="S24" s="5" t="str">
        <f>VLOOKUP(A24,Sheet2!$A$2:$R$3432,18,0)</f>
        <v>JF91EW5053371</v>
      </c>
      <c r="T24" s="7" t="str">
        <f>VLOOKUP(A24,Sheet2!$A$2:$R$3432,17,0)</f>
        <v>ME4JF918KMW053320</v>
      </c>
    </row>
    <row r="25" ht="15.75" customHeight="1">
      <c r="A25" s="3" t="s">
        <v>48</v>
      </c>
      <c r="B25" s="4" t="str">
        <f>VLOOKUP(A25,Sheet2!$A$2:$R$3432,2,0)</f>
        <v>2024-11-30 10:55:00</v>
      </c>
      <c r="C25" s="5" t="s">
        <v>25</v>
      </c>
      <c r="D25" s="6" t="s">
        <v>25</v>
      </c>
      <c r="E25" s="7">
        <f>VLOOKUP(A25,Sheet2!$A$2:$R$3432,4,0)</f>
        <v>9673530315</v>
      </c>
      <c r="F25" s="7" t="str">
        <f>VLOOKUP(A25,Sheet2!$A$2:$R$3432,3,0)</f>
        <v>Kumar </v>
      </c>
      <c r="G25" s="5" t="s">
        <v>25</v>
      </c>
      <c r="H25" s="5" t="s">
        <v>25</v>
      </c>
      <c r="I25" s="5" t="s">
        <v>25</v>
      </c>
      <c r="J25" s="5" t="s">
        <v>25</v>
      </c>
      <c r="K25" s="7" t="str">
        <f>VLOOKUP(A25,Sheet2!$A$2:$R$3432,6,0)</f>
        <v>Honda Activa 3G</v>
      </c>
      <c r="L25" s="5" t="s">
        <v>25</v>
      </c>
      <c r="M25" s="7" t="str">
        <f>VLOOKUP(A25,Sheet2!$A$2:$R$3432,5,0)</f>
        <v>MH12MJ9674</v>
      </c>
      <c r="N25" s="5" t="s">
        <v>25</v>
      </c>
      <c r="O25" s="5" t="s">
        <v>25</v>
      </c>
      <c r="P25" s="6" t="s">
        <v>25</v>
      </c>
      <c r="Q25" s="5" t="s">
        <v>25</v>
      </c>
      <c r="R25" s="5" t="s">
        <v>25</v>
      </c>
      <c r="S25" s="7" t="str">
        <f>VLOOKUP(A25,Sheet2!$A$2:$R$3432,18,0)</f>
        <v/>
      </c>
      <c r="T25" s="7" t="str">
        <f>VLOOKUP(A25,Sheet2!$A$2:$R$3432,17,0)</f>
        <v/>
      </c>
    </row>
    <row r="26" ht="15.75" customHeight="1">
      <c r="A26" s="3" t="s">
        <v>49</v>
      </c>
      <c r="B26" s="4" t="str">
        <f>VLOOKUP(A26,Sheet2!$A$2:$R$3432,2,0)</f>
        <v>2024-11-30 10:56:48</v>
      </c>
      <c r="C26" s="5" t="s">
        <v>25</v>
      </c>
      <c r="D26" s="6" t="s">
        <v>25</v>
      </c>
      <c r="E26" s="7">
        <f>VLOOKUP(A26,Sheet2!$A$2:$R$3432,4,0)</f>
        <v>8484088353</v>
      </c>
      <c r="F26" s="7" t="str">
        <f>VLOOKUP(A26,Sheet2!$A$2:$R$3432,3,0)</f>
        <v>Akshay </v>
      </c>
      <c r="G26" s="5" t="s">
        <v>25</v>
      </c>
      <c r="H26" s="5" t="s">
        <v>25</v>
      </c>
      <c r="I26" s="5" t="s">
        <v>25</v>
      </c>
      <c r="J26" s="5" t="s">
        <v>25</v>
      </c>
      <c r="K26" s="7" t="str">
        <f>VLOOKUP(A26,Sheet2!$A$2:$R$3432,6,0)</f>
        <v>Honda Activa 4G</v>
      </c>
      <c r="L26" s="5" t="s">
        <v>25</v>
      </c>
      <c r="M26" s="7" t="str">
        <f>VLOOKUP(A26,Sheet2!$A$2:$R$3432,5,0)</f>
        <v>MH14GK4333</v>
      </c>
      <c r="N26" s="5" t="s">
        <v>25</v>
      </c>
      <c r="O26" s="5" t="s">
        <v>25</v>
      </c>
      <c r="P26" s="6" t="s">
        <v>25</v>
      </c>
      <c r="Q26" s="5" t="s">
        <v>25</v>
      </c>
      <c r="R26" s="5" t="s">
        <v>25</v>
      </c>
      <c r="S26" s="5" t="str">
        <f>VLOOKUP(A26,Sheet2!$A$2:$R$3432,18,0)</f>
        <v>JF50EU5424616</v>
      </c>
      <c r="T26" s="7" t="str">
        <f>VLOOKUP(A26,Sheet2!$A$2:$R$3432,17,0)</f>
        <v>ME4JF507GHU424715</v>
      </c>
    </row>
    <row r="27" ht="15.75" customHeight="1">
      <c r="A27" s="3" t="s">
        <v>50</v>
      </c>
      <c r="B27" s="4" t="str">
        <f>VLOOKUP(A27,Sheet2!$A$2:$R$3432,2,0)</f>
        <v>2024-11-30 10:58:28</v>
      </c>
      <c r="C27" s="5" t="s">
        <v>25</v>
      </c>
      <c r="D27" s="6" t="s">
        <v>25</v>
      </c>
      <c r="E27" s="7">
        <f>VLOOKUP(A27,Sheet2!$A$2:$R$3432,4,0)</f>
        <v>7840978199</v>
      </c>
      <c r="F27" s="7" t="str">
        <f>VLOOKUP(A27,Sheet2!$A$2:$R$3432,3,0)</f>
        <v>SHAILESH KHANDAGALE</v>
      </c>
      <c r="G27" s="5" t="s">
        <v>25</v>
      </c>
      <c r="H27" s="5" t="s">
        <v>25</v>
      </c>
      <c r="I27" s="5" t="s">
        <v>25</v>
      </c>
      <c r="J27" s="5" t="s">
        <v>25</v>
      </c>
      <c r="K27" s="7" t="str">
        <f>VLOOKUP(A27,Sheet2!$A$2:$R$3432,6,0)</f>
        <v>Honda Shine </v>
      </c>
      <c r="L27" s="5" t="s">
        <v>25</v>
      </c>
      <c r="M27" s="7" t="str">
        <f>VLOOKUP(A27,Sheet2!$A$2:$R$3432,5,0)</f>
        <v>MH45AG5687</v>
      </c>
      <c r="N27" s="5" t="s">
        <v>25</v>
      </c>
      <c r="O27" s="5" t="s">
        <v>25</v>
      </c>
      <c r="P27" s="6" t="s">
        <v>25</v>
      </c>
      <c r="Q27" s="5" t="s">
        <v>25</v>
      </c>
      <c r="R27" s="5" t="s">
        <v>25</v>
      </c>
      <c r="S27" s="5" t="str">
        <f>VLOOKUP(A27,Sheet2!$A$2:$R$3432,18,0)</f>
        <v>JC65E71127864</v>
      </c>
      <c r="T27" s="7" t="str">
        <f>VLOOKUP(A27,Sheet2!$A$2:$R$3432,17,0)</f>
        <v>ME4JC654EH7087173</v>
      </c>
    </row>
    <row r="28" ht="15.75" customHeight="1">
      <c r="A28" s="3" t="s">
        <v>51</v>
      </c>
      <c r="B28" s="4" t="str">
        <f>VLOOKUP(A28,Sheet2!$A$2:$R$3432,2,0)</f>
        <v>2024-11-30 11:27:00</v>
      </c>
      <c r="C28" s="5" t="s">
        <v>25</v>
      </c>
      <c r="D28" s="6" t="s">
        <v>25</v>
      </c>
      <c r="E28" s="7">
        <f>VLOOKUP(A28,Sheet2!$A$2:$R$3432,4,0)</f>
        <v>7588710115</v>
      </c>
      <c r="F28" s="7" t="str">
        <f>VLOOKUP(A28,Sheet2!$A$2:$R$3432,3,0)</f>
        <v>Somesh More</v>
      </c>
      <c r="G28" s="5" t="s">
        <v>25</v>
      </c>
      <c r="H28" s="5" t="s">
        <v>25</v>
      </c>
      <c r="I28" s="5" t="s">
        <v>25</v>
      </c>
      <c r="J28" s="5" t="s">
        <v>25</v>
      </c>
      <c r="K28" s="7" t="str">
        <f>VLOOKUP(A28,Sheet2!$A$2:$R$3432,6,0)</f>
        <v>TVS Jupiter </v>
      </c>
      <c r="L28" s="5" t="s">
        <v>25</v>
      </c>
      <c r="M28" s="7" t="str">
        <f>VLOOKUP(A28,Sheet2!$A$2:$R$3432,5,0)</f>
        <v>MH17BF7914</v>
      </c>
      <c r="N28" s="5" t="s">
        <v>25</v>
      </c>
      <c r="O28" s="5" t="s">
        <v>25</v>
      </c>
      <c r="P28" s="6" t="s">
        <v>25</v>
      </c>
      <c r="Q28" s="5" t="s">
        <v>25</v>
      </c>
      <c r="R28" s="5" t="s">
        <v>25</v>
      </c>
      <c r="S28" s="5" t="str">
        <f>VLOOKUP(A28,Sheet2!$A$2:$R$3432,18,0)</f>
        <v>BG4NE1359276</v>
      </c>
      <c r="T28" s="7" t="str">
        <f>VLOOKUP(A28,Sheet2!$A$2:$R$3432,17,0)</f>
        <v>MD626BG41E1N65539</v>
      </c>
    </row>
    <row r="29" ht="15.75" customHeight="1">
      <c r="A29" s="3" t="s">
        <v>52</v>
      </c>
      <c r="B29" s="4" t="str">
        <f>VLOOKUP(A29,Sheet2!$A$2:$R$3432,2,0)</f>
        <v>2024-11-30 11:23:05</v>
      </c>
      <c r="C29" s="5" t="s">
        <v>25</v>
      </c>
      <c r="D29" s="6" t="s">
        <v>25</v>
      </c>
      <c r="E29" s="7">
        <f>VLOOKUP(A29,Sheet2!$A$2:$R$3432,4,0)</f>
        <v>8149471510</v>
      </c>
      <c r="F29" s="7" t="str">
        <f>VLOOKUP(A29,Sheet2!$A$2:$R$3432,3,0)</f>
        <v>Atul Kad</v>
      </c>
      <c r="G29" s="5" t="s">
        <v>25</v>
      </c>
      <c r="H29" s="5" t="s">
        <v>25</v>
      </c>
      <c r="I29" s="5" t="s">
        <v>25</v>
      </c>
      <c r="J29" s="5" t="s">
        <v>25</v>
      </c>
      <c r="K29" s="7" t="str">
        <f>VLOOKUP(A29,Sheet2!$A$2:$R$3432,6,0)</f>
        <v>Suzuki Intruder 150</v>
      </c>
      <c r="L29" s="5" t="s">
        <v>25</v>
      </c>
      <c r="M29" s="7" t="str">
        <f>VLOOKUP(A29,Sheet2!$A$2:$R$3432,5,0)</f>
        <v>MH21BJ2493</v>
      </c>
      <c r="N29" s="5" t="s">
        <v>25</v>
      </c>
      <c r="O29" s="5" t="s">
        <v>25</v>
      </c>
      <c r="P29" s="6" t="s">
        <v>25</v>
      </c>
      <c r="Q29" s="5" t="s">
        <v>25</v>
      </c>
      <c r="R29" s="5" t="s">
        <v>25</v>
      </c>
      <c r="S29" s="5" t="str">
        <f>VLOOKUP(A29,Sheet2!$A$2:$R$3432,18,0)</f>
        <v>473507</v>
      </c>
      <c r="T29" s="7" t="str">
        <f>VLOOKUP(A29,Sheet2!$A$2:$R$3432,17,0)</f>
        <v>8105090</v>
      </c>
    </row>
    <row r="30" ht="15.75" customHeight="1">
      <c r="A30" s="3" t="s">
        <v>53</v>
      </c>
      <c r="B30" s="4" t="str">
        <f>VLOOKUP(A30,Sheet2!$A$2:$R$3432,2,0)</f>
        <v>2024-11-30 11:32:56</v>
      </c>
      <c r="C30" s="5" t="s">
        <v>25</v>
      </c>
      <c r="D30" s="6" t="s">
        <v>25</v>
      </c>
      <c r="E30" s="7">
        <f>VLOOKUP(A30,Sheet2!$A$2:$R$3432,4,0)</f>
        <v>9172523743</v>
      </c>
      <c r="F30" s="7" t="str">
        <f>VLOOKUP(A30,Sheet2!$A$2:$R$3432,3,0)</f>
        <v>ADITYA SINHG </v>
      </c>
      <c r="G30" s="5" t="s">
        <v>25</v>
      </c>
      <c r="H30" s="5" t="s">
        <v>25</v>
      </c>
      <c r="I30" s="5" t="s">
        <v>25</v>
      </c>
      <c r="J30" s="5" t="s">
        <v>25</v>
      </c>
      <c r="K30" s="7" t="str">
        <f>VLOOKUP(A30,Sheet2!$A$2:$R$3432,6,0)</f>
        <v>Bajaj Pulsar 150</v>
      </c>
      <c r="L30" s="5" t="s">
        <v>25</v>
      </c>
      <c r="M30" s="7" t="str">
        <f>VLOOKUP(A30,Sheet2!$A$2:$R$3432,5,0)</f>
        <v>MH11AA9796</v>
      </c>
      <c r="N30" s="5" t="s">
        <v>25</v>
      </c>
      <c r="O30" s="5" t="s">
        <v>25</v>
      </c>
      <c r="P30" s="6" t="s">
        <v>25</v>
      </c>
      <c r="Q30" s="5" t="s">
        <v>25</v>
      </c>
      <c r="R30" s="5" t="s">
        <v>25</v>
      </c>
      <c r="S30" s="7" t="str">
        <f>VLOOKUP(A30,Sheet2!$A$2:$R$3432,18,0)</f>
        <v/>
      </c>
      <c r="T30" s="7" t="str">
        <f>VLOOKUP(A30,Sheet2!$A$2:$R$3432,17,0)</f>
        <v/>
      </c>
    </row>
    <row r="31" ht="15.75" customHeight="1">
      <c r="A31" s="3" t="s">
        <v>54</v>
      </c>
      <c r="B31" s="4" t="str">
        <f>VLOOKUP(A31,Sheet2!$A$2:$R$3432,2,0)</f>
        <v>2024-11-30 11:28:09</v>
      </c>
      <c r="C31" s="5" t="s">
        <v>25</v>
      </c>
      <c r="D31" s="6" t="s">
        <v>25</v>
      </c>
      <c r="E31" s="7">
        <f>VLOOKUP(A31,Sheet2!$A$2:$R$3432,4,0)</f>
        <v>8237668546</v>
      </c>
      <c r="F31" s="7" t="str">
        <f>VLOOKUP(A31,Sheet2!$A$2:$R$3432,3,0)</f>
        <v>CHINMAY</v>
      </c>
      <c r="G31" s="5" t="s">
        <v>25</v>
      </c>
      <c r="H31" s="5" t="s">
        <v>25</v>
      </c>
      <c r="I31" s="5" t="s">
        <v>25</v>
      </c>
      <c r="J31" s="5" t="s">
        <v>25</v>
      </c>
      <c r="K31" s="7" t="str">
        <f>VLOOKUP(A31,Sheet2!$A$2:$R$3432,6,0)</f>
        <v>Bajaj Pulsar 200 RS</v>
      </c>
      <c r="L31" s="5" t="s">
        <v>25</v>
      </c>
      <c r="M31" s="7" t="str">
        <f>VLOOKUP(A31,Sheet2!$A$2:$R$3432,5,0)</f>
        <v>MH20FF0016</v>
      </c>
      <c r="N31" s="5" t="s">
        <v>25</v>
      </c>
      <c r="O31" s="5" t="s">
        <v>25</v>
      </c>
      <c r="P31" s="6" t="s">
        <v>25</v>
      </c>
      <c r="Q31" s="5" t="s">
        <v>25</v>
      </c>
      <c r="R31" s="5" t="s">
        <v>25</v>
      </c>
      <c r="S31" s="5" t="str">
        <f>VLOOKUP(A31,Sheet2!$A$2:$R$3432,18,0)</f>
        <v>JLYCK246904</v>
      </c>
      <c r="T31" s="7" t="str">
        <f>VLOOKUP(A31,Sheet2!$A$2:$R$3432,17,0)</f>
        <v/>
      </c>
    </row>
    <row r="32" ht="15.75" customHeight="1">
      <c r="A32" s="3" t="s">
        <v>55</v>
      </c>
      <c r="B32" s="4" t="str">
        <f>VLOOKUP(A32,Sheet2!$A$2:$R$3432,2,0)</f>
        <v>2024-11-30 11:29:32</v>
      </c>
      <c r="C32" s="5" t="s">
        <v>25</v>
      </c>
      <c r="D32" s="6" t="s">
        <v>25</v>
      </c>
      <c r="E32" s="7">
        <f>VLOOKUP(A32,Sheet2!$A$2:$R$3432,4,0)</f>
        <v>9607926002</v>
      </c>
      <c r="F32" s="7" t="str">
        <f>VLOOKUP(A32,Sheet2!$A$2:$R$3432,3,0)</f>
        <v>Sunny</v>
      </c>
      <c r="G32" s="5" t="s">
        <v>25</v>
      </c>
      <c r="H32" s="5" t="s">
        <v>25</v>
      </c>
      <c r="I32" s="5" t="s">
        <v>25</v>
      </c>
      <c r="J32" s="5" t="s">
        <v>25</v>
      </c>
      <c r="K32" s="7" t="str">
        <f>VLOOKUP(A32,Sheet2!$A$2:$R$3432,6,0)</f>
        <v>TVS Scooty PEP Plus</v>
      </c>
      <c r="L32" s="5" t="s">
        <v>25</v>
      </c>
      <c r="M32" s="7" t="str">
        <f>VLOOKUP(A32,Sheet2!$A$2:$R$3432,5,0)</f>
        <v>MH12HU5357</v>
      </c>
      <c r="N32" s="5" t="s">
        <v>25</v>
      </c>
      <c r="O32" s="5" t="s">
        <v>25</v>
      </c>
      <c r="P32" s="6" t="s">
        <v>25</v>
      </c>
      <c r="Q32" s="5" t="s">
        <v>25</v>
      </c>
      <c r="R32" s="5" t="s">
        <v>25</v>
      </c>
      <c r="S32" s="5" t="str">
        <f>VLOOKUP(A32,Sheet2!$A$2:$R$3432,18,0)</f>
        <v>2633859</v>
      </c>
      <c r="T32" s="7" t="str">
        <f>VLOOKUP(A32,Sheet2!$A$2:$R$3432,17,0)</f>
        <v>MD626BG39B2N18935</v>
      </c>
    </row>
    <row r="33" ht="15.75" customHeight="1">
      <c r="A33" s="3" t="s">
        <v>56</v>
      </c>
      <c r="B33" s="4" t="str">
        <f>VLOOKUP(A33,Sheet2!$A$2:$R$3432,2,0)</f>
        <v>2024-11-30 11:31:02</v>
      </c>
      <c r="C33" s="5" t="s">
        <v>25</v>
      </c>
      <c r="D33" s="6" t="s">
        <v>25</v>
      </c>
      <c r="E33" s="7">
        <f>VLOOKUP(A33,Sheet2!$A$2:$R$3432,4,0)</f>
        <v>9579717727</v>
      </c>
      <c r="F33" s="7" t="str">
        <f>VLOOKUP(A33,Sheet2!$A$2:$R$3432,3,0)</f>
        <v>Girish Kinikar</v>
      </c>
      <c r="G33" s="5" t="s">
        <v>25</v>
      </c>
      <c r="H33" s="5" t="s">
        <v>25</v>
      </c>
      <c r="I33" s="5" t="s">
        <v>25</v>
      </c>
      <c r="J33" s="5" t="s">
        <v>25</v>
      </c>
      <c r="K33" s="7" t="str">
        <f>VLOOKUP(A33,Sheet2!$A$2:$R$3432,6,0)</f>
        <v>Honda Activa 3G</v>
      </c>
      <c r="L33" s="5" t="s">
        <v>25</v>
      </c>
      <c r="M33" s="7" t="str">
        <f>VLOOKUP(A33,Sheet2!$A$2:$R$3432,5,0)</f>
        <v>MH19CD1462</v>
      </c>
      <c r="N33" s="5" t="s">
        <v>25</v>
      </c>
      <c r="O33" s="5" t="s">
        <v>25</v>
      </c>
      <c r="P33" s="6" t="s">
        <v>25</v>
      </c>
      <c r="Q33" s="5" t="s">
        <v>25</v>
      </c>
      <c r="R33" s="5" t="s">
        <v>25</v>
      </c>
      <c r="S33" s="5" t="str">
        <f>VLOOKUP(A33,Sheet2!$A$2:$R$3432,18,0)</f>
        <v>JF50ET2350274</v>
      </c>
      <c r="T33" s="7" t="str">
        <f>VLOOKUP(A33,Sheet2!$A$2:$R$3432,17,0)</f>
        <v>ME4JF504EFT349427</v>
      </c>
    </row>
    <row r="34" ht="15.75" customHeight="1">
      <c r="A34" s="3" t="s">
        <v>57</v>
      </c>
      <c r="B34" s="4" t="str">
        <f>VLOOKUP(A34,Sheet2!$A$2:$R$3432,2,0)</f>
        <v>2024-11-30 20:17:57</v>
      </c>
      <c r="C34" s="5" t="s">
        <v>25</v>
      </c>
      <c r="D34" s="6" t="s">
        <v>25</v>
      </c>
      <c r="E34" s="7">
        <f>VLOOKUP(A34,Sheet2!$A$2:$R$3432,4,0)</f>
        <v>7620002519</v>
      </c>
      <c r="F34" s="7" t="str">
        <f>VLOOKUP(A34,Sheet2!$A$2:$R$3432,3,0)</f>
        <v>Rohit</v>
      </c>
      <c r="G34" s="5" t="s">
        <v>25</v>
      </c>
      <c r="H34" s="5" t="s">
        <v>25</v>
      </c>
      <c r="I34" s="5" t="s">
        <v>25</v>
      </c>
      <c r="J34" s="5" t="s">
        <v>25</v>
      </c>
      <c r="K34" s="7" t="str">
        <f>VLOOKUP(A34,Sheet2!$A$2:$R$3432,6,0)</f>
        <v>Honda Shine SP</v>
      </c>
      <c r="L34" s="5" t="s">
        <v>25</v>
      </c>
      <c r="M34" s="7" t="str">
        <f>VLOOKUP(A34,Sheet2!$A$2:$R$3432,5,0)</f>
        <v>MH22AY9183</v>
      </c>
      <c r="N34" s="5" t="s">
        <v>25</v>
      </c>
      <c r="O34" s="5" t="s">
        <v>25</v>
      </c>
      <c r="P34" s="6" t="s">
        <v>25</v>
      </c>
      <c r="Q34" s="5" t="s">
        <v>25</v>
      </c>
      <c r="R34" s="5" t="s">
        <v>25</v>
      </c>
      <c r="S34" s="5" t="str">
        <f>VLOOKUP(A34,Sheet2!$A$2:$R$3432,18,0)</f>
        <v>JC83EG3234540</v>
      </c>
      <c r="T34" s="7" t="str">
        <f>VLOOKUP(A34,Sheet2!$A$2:$R$3432,17,0)</f>
        <v>ME4JC83EHNG077818</v>
      </c>
    </row>
    <row r="35" ht="15.75" customHeight="1">
      <c r="A35" s="3" t="s">
        <v>58</v>
      </c>
      <c r="B35" s="4" t="str">
        <f>VLOOKUP(A35,Sheet2!$A$2:$R$3432,2,0)</f>
        <v>2024-11-30 20:07:02</v>
      </c>
      <c r="C35" s="5" t="s">
        <v>25</v>
      </c>
      <c r="D35" s="6" t="s">
        <v>25</v>
      </c>
      <c r="E35" s="7">
        <f>VLOOKUP(A35,Sheet2!$A$2:$R$3432,4,0)</f>
        <v>9175645184</v>
      </c>
      <c r="F35" s="7" t="str">
        <f>VLOOKUP(A35,Sheet2!$A$2:$R$3432,3,0)</f>
        <v>RAM NARESH</v>
      </c>
      <c r="G35" s="5" t="s">
        <v>25</v>
      </c>
      <c r="H35" s="5" t="s">
        <v>25</v>
      </c>
      <c r="I35" s="5" t="s">
        <v>25</v>
      </c>
      <c r="J35" s="5" t="s">
        <v>25</v>
      </c>
      <c r="K35" s="7" t="str">
        <f>VLOOKUP(A35,Sheet2!$A$2:$R$3432,6,0)</f>
        <v>TVS Victor </v>
      </c>
      <c r="L35" s="5" t="s">
        <v>25</v>
      </c>
      <c r="M35" s="7" t="str">
        <f>VLOOKUP(A35,Sheet2!$A$2:$R$3432,5,0)</f>
        <v>MH12QP5582</v>
      </c>
      <c r="N35" s="5" t="s">
        <v>25</v>
      </c>
      <c r="O35" s="5" t="s">
        <v>25</v>
      </c>
      <c r="P35" s="6" t="s">
        <v>25</v>
      </c>
      <c r="Q35" s="5" t="s">
        <v>25</v>
      </c>
      <c r="R35" s="5" t="s">
        <v>25</v>
      </c>
      <c r="S35" s="5" t="str">
        <f>VLOOKUP(A35,Sheet2!$A$2:$R$3432,18,0)</f>
        <v>LE1EJ1714914</v>
      </c>
      <c r="T35" s="7" t="str">
        <f>VLOOKUP(A35,Sheet2!$A$2:$R$3432,17,0)</f>
        <v>MD625GF11J1E23809</v>
      </c>
    </row>
    <row r="36" ht="15.75" customHeight="1">
      <c r="A36" s="3" t="s">
        <v>59</v>
      </c>
      <c r="B36" s="4" t="str">
        <f>VLOOKUP(A36,Sheet2!$A$2:$R$3432,2,0)</f>
        <v>2024-11-30 20:15:51</v>
      </c>
      <c r="C36" s="5" t="s">
        <v>25</v>
      </c>
      <c r="D36" s="6" t="s">
        <v>25</v>
      </c>
      <c r="E36" s="7">
        <f>VLOOKUP(A36,Sheet2!$A$2:$R$3432,4,0)</f>
        <v>8668610879</v>
      </c>
      <c r="F36" s="7" t="str">
        <f>VLOOKUP(A36,Sheet2!$A$2:$R$3432,3,0)</f>
        <v>LAXMIKANT </v>
      </c>
      <c r="G36" s="5" t="s">
        <v>25</v>
      </c>
      <c r="H36" s="5" t="s">
        <v>25</v>
      </c>
      <c r="I36" s="5" t="s">
        <v>25</v>
      </c>
      <c r="J36" s="5" t="s">
        <v>25</v>
      </c>
      <c r="K36" s="7" t="str">
        <f>VLOOKUP(A36,Sheet2!$A$2:$R$3432,6,0)</f>
        <v>Honda Activa 3G</v>
      </c>
      <c r="L36" s="5" t="s">
        <v>25</v>
      </c>
      <c r="M36" s="7" t="str">
        <f>VLOOKUP(A36,Sheet2!$A$2:$R$3432,5,0)</f>
        <v>MH16BS1559</v>
      </c>
      <c r="N36" s="5" t="s">
        <v>25</v>
      </c>
      <c r="O36" s="5" t="s">
        <v>25</v>
      </c>
      <c r="P36" s="6" t="s">
        <v>25</v>
      </c>
      <c r="Q36" s="5" t="s">
        <v>25</v>
      </c>
      <c r="R36" s="5" t="s">
        <v>25</v>
      </c>
      <c r="S36" s="5" t="str">
        <f>VLOOKUP(A36,Sheet2!$A$2:$R$3432,18,0)</f>
        <v>JF50ET3630768</v>
      </c>
      <c r="T36" s="7" t="str">
        <f>VLOOKUP(A36,Sheet2!$A$2:$R$3432,17,0)</f>
        <v>ME4JF50544TG430642</v>
      </c>
    </row>
    <row r="37" ht="15.75" customHeight="1">
      <c r="A37" s="3" t="s">
        <v>60</v>
      </c>
      <c r="B37" s="4" t="str">
        <f>VLOOKUP(A37,Sheet2!$A$2:$R$3432,2,0)</f>
        <v>2024-11-30 19:57:50</v>
      </c>
      <c r="C37" s="5" t="s">
        <v>25</v>
      </c>
      <c r="D37" s="6" t="s">
        <v>25</v>
      </c>
      <c r="E37" s="7">
        <f>VLOOKUP(A37,Sheet2!$A$2:$R$3432,4,0)</f>
        <v>9168712211</v>
      </c>
      <c r="F37" s="7" t="str">
        <f>VLOOKUP(A37,Sheet2!$A$2:$R$3432,3,0)</f>
        <v>Venkatesh Kulkarni</v>
      </c>
      <c r="G37" s="5" t="s">
        <v>25</v>
      </c>
      <c r="H37" s="5" t="s">
        <v>25</v>
      </c>
      <c r="I37" s="5" t="s">
        <v>25</v>
      </c>
      <c r="J37" s="5" t="s">
        <v>25</v>
      </c>
      <c r="K37" s="7" t="str">
        <f>VLOOKUP(A37,Sheet2!$A$2:$R$3432,6,0)</f>
        <v>Bajaj Avenger 220 Street</v>
      </c>
      <c r="L37" s="5" t="s">
        <v>25</v>
      </c>
      <c r="M37" s="7" t="str">
        <f>VLOOKUP(A37,Sheet2!$A$2:$R$3432,5,0)</f>
        <v>MH12JJ6470</v>
      </c>
      <c r="N37" s="5" t="s">
        <v>25</v>
      </c>
      <c r="O37" s="5" t="s">
        <v>25</v>
      </c>
      <c r="P37" s="6" t="s">
        <v>25</v>
      </c>
      <c r="Q37" s="5" t="s">
        <v>25</v>
      </c>
      <c r="R37" s="5" t="s">
        <v>25</v>
      </c>
      <c r="S37" s="5" t="str">
        <f>VLOOKUP(A37,Sheet2!$A$2:$R$3432,18,0)</f>
        <v>PDZCC0115556</v>
      </c>
      <c r="T37" s="7" t="str">
        <f>VLOOKUP(A37,Sheet2!$A$2:$R$3432,17,0)</f>
        <v>MDZAZEZOCCG12121</v>
      </c>
    </row>
    <row r="38" ht="15.75" customHeight="1">
      <c r="A38" s="3" t="s">
        <v>61</v>
      </c>
      <c r="B38" s="4" t="str">
        <f>VLOOKUP(A38,Sheet2!$A$2:$R$3432,2,0)</f>
        <v>2024-11-30 20:03:35</v>
      </c>
      <c r="C38" s="5" t="s">
        <v>25</v>
      </c>
      <c r="D38" s="6" t="s">
        <v>25</v>
      </c>
      <c r="E38" s="7">
        <f>VLOOKUP(A38,Sheet2!$A$2:$R$3432,4,0)</f>
        <v>9833086094</v>
      </c>
      <c r="F38" s="7" t="str">
        <f>VLOOKUP(A38,Sheet2!$A$2:$R$3432,3,0)</f>
        <v>Rajiv</v>
      </c>
      <c r="G38" s="5" t="s">
        <v>25</v>
      </c>
      <c r="H38" s="5" t="s">
        <v>25</v>
      </c>
      <c r="I38" s="5" t="s">
        <v>25</v>
      </c>
      <c r="J38" s="5" t="s">
        <v>25</v>
      </c>
      <c r="K38" s="7" t="str">
        <f>VLOOKUP(A38,Sheet2!$A$2:$R$3432,6,0)</f>
        <v>Honda Activa 110</v>
      </c>
      <c r="L38" s="5" t="s">
        <v>25</v>
      </c>
      <c r="M38" s="7" t="str">
        <f>VLOOKUP(A38,Sheet2!$A$2:$R$3432,5,0)</f>
        <v>MH14DC1513</v>
      </c>
      <c r="N38" s="5" t="s">
        <v>25</v>
      </c>
      <c r="O38" s="5" t="s">
        <v>25</v>
      </c>
      <c r="P38" s="6" t="s">
        <v>25</v>
      </c>
      <c r="Q38" s="5" t="s">
        <v>25</v>
      </c>
      <c r="R38" s="5" t="s">
        <v>25</v>
      </c>
      <c r="S38" s="5" t="str">
        <f>VLOOKUP(A38,Sheet2!$A$2:$R$3432,18,0)</f>
        <v>JC44E1608711</v>
      </c>
      <c r="T38" s="7" t="str">
        <f>VLOOKUP(A38,Sheet2!$A$2:$R$3432,17,0)</f>
        <v>ME4JC448JB8497741</v>
      </c>
    </row>
    <row r="39" ht="15.75" customHeight="1">
      <c r="A39" s="3" t="s">
        <v>62</v>
      </c>
      <c r="B39" s="4" t="str">
        <f>VLOOKUP(A39,Sheet2!$A$2:$R$3432,2,0)</f>
        <v>2024-11-30 20:09:49</v>
      </c>
      <c r="C39" s="5" t="s">
        <v>25</v>
      </c>
      <c r="D39" s="6" t="s">
        <v>25</v>
      </c>
      <c r="E39" s="7">
        <f>VLOOKUP(A39,Sheet2!$A$2:$R$3432,4,0)</f>
        <v>8010075578</v>
      </c>
      <c r="F39" s="7" t="str">
        <f>VLOOKUP(A39,Sheet2!$A$2:$R$3432,3,0)</f>
        <v>Rasika</v>
      </c>
      <c r="G39" s="5" t="s">
        <v>25</v>
      </c>
      <c r="H39" s="5" t="s">
        <v>25</v>
      </c>
      <c r="I39" s="5" t="s">
        <v>25</v>
      </c>
      <c r="J39" s="5" t="s">
        <v>25</v>
      </c>
      <c r="K39" s="7" t="str">
        <f>VLOOKUP(A39,Sheet2!$A$2:$R$3432,6,0)</f>
        <v>Hero Pleasure </v>
      </c>
      <c r="L39" s="5" t="s">
        <v>25</v>
      </c>
      <c r="M39" s="7" t="str">
        <f>VLOOKUP(A39,Sheet2!$A$2:$R$3432,5,0)</f>
        <v>MH14BW3591</v>
      </c>
      <c r="N39" s="5" t="s">
        <v>25</v>
      </c>
      <c r="O39" s="5" t="s">
        <v>25</v>
      </c>
      <c r="P39" s="6" t="s">
        <v>25</v>
      </c>
      <c r="Q39" s="5" t="s">
        <v>25</v>
      </c>
      <c r="R39" s="5" t="s">
        <v>25</v>
      </c>
      <c r="S39" s="5" t="str">
        <f>VLOOKUP(A39,Sheet2!$A$2:$R$3432,18,0)</f>
        <v>JF16EA9GJ02158</v>
      </c>
      <c r="T39" s="7" t="str">
        <f>VLOOKUP(A39,Sheet2!$A$2:$R$3432,17,0)</f>
        <v>MBLJF16EC9G02273</v>
      </c>
    </row>
    <row r="40" ht="15.75" customHeight="1">
      <c r="A40" s="3" t="s">
        <v>63</v>
      </c>
      <c r="B40" s="4" t="str">
        <f>VLOOKUP(A40,Sheet2!$A$2:$R$3432,2,0)</f>
        <v>2024-11-30 20:01:58</v>
      </c>
      <c r="C40" s="5" t="s">
        <v>25</v>
      </c>
      <c r="D40" s="6" t="s">
        <v>25</v>
      </c>
      <c r="E40" s="7">
        <f>VLOOKUP(A40,Sheet2!$A$2:$R$3432,4,0)</f>
        <v>7841889046</v>
      </c>
      <c r="F40" s="7" t="str">
        <f>VLOOKUP(A40,Sheet2!$A$2:$R$3432,3,0)</f>
        <v>Meghraj Pawar</v>
      </c>
      <c r="G40" s="5" t="s">
        <v>25</v>
      </c>
      <c r="H40" s="5" t="s">
        <v>25</v>
      </c>
      <c r="I40" s="5" t="s">
        <v>25</v>
      </c>
      <c r="J40" s="5" t="s">
        <v>25</v>
      </c>
      <c r="K40" s="7" t="str">
        <f>VLOOKUP(A40,Sheet2!$A$2:$R$3432,6,0)</f>
        <v>Honda Trigger No Data</v>
      </c>
      <c r="L40" s="5" t="s">
        <v>25</v>
      </c>
      <c r="M40" s="7" t="str">
        <f>VLOOKUP(A40,Sheet2!$A$2:$R$3432,5,0)</f>
        <v>MH13BW0594</v>
      </c>
      <c r="N40" s="5" t="s">
        <v>25</v>
      </c>
      <c r="O40" s="5" t="s">
        <v>25</v>
      </c>
      <c r="P40" s="6" t="s">
        <v>25</v>
      </c>
      <c r="Q40" s="5" t="s">
        <v>25</v>
      </c>
      <c r="R40" s="5" t="s">
        <v>25</v>
      </c>
      <c r="S40" s="5" t="str">
        <f>VLOOKUP(A40,Sheet2!$A$2:$R$3432,18,0)</f>
        <v>KC19E8006880</v>
      </c>
      <c r="T40" s="7" t="str">
        <f>VLOOKUP(A40,Sheet2!$A$2:$R$3432,17,0)</f>
        <v>ME4KC191GE8047056</v>
      </c>
    </row>
    <row r="41" ht="15.75" customHeight="1">
      <c r="A41" s="3" t="s">
        <v>64</v>
      </c>
      <c r="B41" s="4" t="str">
        <f>VLOOKUP(A41,Sheet2!$A$2:$R$3432,2,0)</f>
        <v>2024-11-30 20:08:16</v>
      </c>
      <c r="C41" s="5" t="s">
        <v>25</v>
      </c>
      <c r="D41" s="6" t="s">
        <v>25</v>
      </c>
      <c r="E41" s="7">
        <f>VLOOKUP(A41,Sheet2!$A$2:$R$3432,4,0)</f>
        <v>9890825583</v>
      </c>
      <c r="F41" s="7" t="str">
        <f>VLOOKUP(A41,Sheet2!$A$2:$R$3432,3,0)</f>
        <v>SAMPATH KALOKHE</v>
      </c>
      <c r="G41" s="5" t="s">
        <v>25</v>
      </c>
      <c r="H41" s="5" t="s">
        <v>25</v>
      </c>
      <c r="I41" s="5" t="s">
        <v>25</v>
      </c>
      <c r="J41" s="5" t="s">
        <v>25</v>
      </c>
      <c r="K41" s="7" t="str">
        <f>VLOOKUP(A41,Sheet2!$A$2:$R$3432,6,0)</f>
        <v>Honda Unicorn 150</v>
      </c>
      <c r="L41" s="5" t="s">
        <v>25</v>
      </c>
      <c r="M41" s="7" t="str">
        <f>VLOOKUP(A41,Sheet2!$A$2:$R$3432,5,0)</f>
        <v>MH14HT8660</v>
      </c>
      <c r="N41" s="5" t="s">
        <v>25</v>
      </c>
      <c r="O41" s="5" t="s">
        <v>25</v>
      </c>
      <c r="P41" s="6" t="s">
        <v>25</v>
      </c>
      <c r="Q41" s="5" t="s">
        <v>25</v>
      </c>
      <c r="R41" s="5" t="s">
        <v>25</v>
      </c>
      <c r="S41" s="5" t="str">
        <f>VLOOKUP(A41,Sheet2!$A$2:$R$3432,18,0)</f>
        <v>KC31EA1103668</v>
      </c>
      <c r="T41" s="7" t="str">
        <f>VLOOKUP(A41,Sheet2!$A$2:$R$3432,17,0)</f>
        <v>ME4KC315GKA103740</v>
      </c>
    </row>
    <row r="42" ht="15.75" customHeight="1">
      <c r="A42" s="3" t="s">
        <v>65</v>
      </c>
      <c r="B42" s="4" t="str">
        <f>VLOOKUP(A42,Sheet2!$A$2:$R$3432,2,0)</f>
        <v>2024-11-30 20:14:41</v>
      </c>
      <c r="C42" s="5" t="s">
        <v>25</v>
      </c>
      <c r="D42" s="6" t="s">
        <v>25</v>
      </c>
      <c r="E42" s="7">
        <f>VLOOKUP(A42,Sheet2!$A$2:$R$3432,4,0)</f>
        <v>8928284484</v>
      </c>
      <c r="F42" s="7" t="str">
        <f>VLOOKUP(A42,Sheet2!$A$2:$R$3432,3,0)</f>
        <v>VIKAS</v>
      </c>
      <c r="G42" s="5" t="s">
        <v>25</v>
      </c>
      <c r="H42" s="5" t="s">
        <v>25</v>
      </c>
      <c r="I42" s="5" t="s">
        <v>25</v>
      </c>
      <c r="J42" s="5" t="s">
        <v>25</v>
      </c>
      <c r="K42" s="7" t="str">
        <f>VLOOKUP(A42,Sheet2!$A$2:$R$3432,6,0)</f>
        <v>Suzuki Access 125</v>
      </c>
      <c r="L42" s="5" t="s">
        <v>25</v>
      </c>
      <c r="M42" s="7" t="str">
        <f>VLOOKUP(A42,Sheet2!$A$2:$R$3432,5,0)</f>
        <v>MH29AF3133</v>
      </c>
      <c r="N42" s="5" t="s">
        <v>25</v>
      </c>
      <c r="O42" s="5" t="s">
        <v>25</v>
      </c>
      <c r="P42" s="6" t="s">
        <v>25</v>
      </c>
      <c r="Q42" s="5" t="s">
        <v>25</v>
      </c>
      <c r="R42" s="5" t="s">
        <v>25</v>
      </c>
      <c r="S42" s="5" t="str">
        <f>VLOOKUP(A42,Sheet2!$A$2:$R$3432,18,0)</f>
        <v>CF4862235936</v>
      </c>
      <c r="T42" s="7" t="str">
        <f>VLOOKUP(A42,Sheet2!$A$2:$R$3432,17,0)</f>
        <v>MB8CF4KCB240273</v>
      </c>
    </row>
    <row r="43" ht="15.75" customHeight="1">
      <c r="A43" s="3" t="s">
        <v>66</v>
      </c>
      <c r="B43" s="4" t="str">
        <f>VLOOKUP(A43,Sheet2!$A$2:$R$3432,2,0)</f>
        <v>2024-11-30 20:15:00</v>
      </c>
      <c r="C43" s="5" t="s">
        <v>25</v>
      </c>
      <c r="D43" s="6" t="s">
        <v>25</v>
      </c>
      <c r="E43" s="7">
        <f>VLOOKUP(A43,Sheet2!$A$2:$R$3432,4,0)</f>
        <v>9822398525</v>
      </c>
      <c r="F43" s="7" t="str">
        <f>VLOOKUP(A43,Sheet2!$A$2:$R$3432,3,0)</f>
        <v>Lahane</v>
      </c>
      <c r="G43" s="5" t="s">
        <v>25</v>
      </c>
      <c r="H43" s="5" t="s">
        <v>25</v>
      </c>
      <c r="I43" s="5" t="s">
        <v>25</v>
      </c>
      <c r="J43" s="5" t="s">
        <v>25</v>
      </c>
      <c r="K43" s="7" t="str">
        <f>VLOOKUP(A43,Sheet2!$A$2:$R$3432,6,0)</f>
        <v>TVS Wego No Data</v>
      </c>
      <c r="L43" s="5" t="s">
        <v>25</v>
      </c>
      <c r="M43" s="7" t="str">
        <f>VLOOKUP(A43,Sheet2!$A$2:$R$3432,5,0)</f>
        <v>MH14EL2835</v>
      </c>
      <c r="N43" s="5" t="s">
        <v>25</v>
      </c>
      <c r="O43" s="5" t="s">
        <v>25</v>
      </c>
      <c r="P43" s="6" t="s">
        <v>25</v>
      </c>
      <c r="Q43" s="5" t="s">
        <v>25</v>
      </c>
      <c r="R43" s="5" t="s">
        <v>25</v>
      </c>
      <c r="S43" s="7" t="str">
        <f>VLOOKUP(A43,Sheet2!$A$2:$R$3432,18,0)</f>
        <v/>
      </c>
      <c r="T43" s="7" t="str">
        <f>VLOOKUP(A43,Sheet2!$A$2:$R$3432,17,0)</f>
        <v/>
      </c>
    </row>
    <row r="44" ht="15.75" customHeight="1">
      <c r="A44" s="3" t="s">
        <v>67</v>
      </c>
      <c r="B44" s="4" t="str">
        <f>VLOOKUP(A44,Sheet2!$A$2:$R$3432,2,0)</f>
        <v>2024-11-30 20:16:28</v>
      </c>
      <c r="C44" s="5" t="s">
        <v>25</v>
      </c>
      <c r="D44" s="6" t="s">
        <v>25</v>
      </c>
      <c r="E44" s="7">
        <f>VLOOKUP(A44,Sheet2!$A$2:$R$3432,4,0)</f>
        <v>9552810707</v>
      </c>
      <c r="F44" s="7" t="str">
        <f>VLOOKUP(A44,Sheet2!$A$2:$R$3432,3,0)</f>
        <v>Sagar Dhamale</v>
      </c>
      <c r="G44" s="5" t="s">
        <v>25</v>
      </c>
      <c r="H44" s="5" t="s">
        <v>25</v>
      </c>
      <c r="I44" s="5" t="s">
        <v>25</v>
      </c>
      <c r="J44" s="5" t="s">
        <v>25</v>
      </c>
      <c r="K44" s="7" t="str">
        <f>VLOOKUP(A44,Sheet2!$A$2:$R$3432,6,0)</f>
        <v>Royal Enfield Classic 350</v>
      </c>
      <c r="L44" s="5" t="s">
        <v>25</v>
      </c>
      <c r="M44" s="7" t="str">
        <f>VLOOKUP(A44,Sheet2!$A$2:$R$3432,5,0)</f>
        <v>MH20CX6684</v>
      </c>
      <c r="N44" s="5" t="s">
        <v>25</v>
      </c>
      <c r="O44" s="5" t="s">
        <v>25</v>
      </c>
      <c r="P44" s="6" t="s">
        <v>25</v>
      </c>
      <c r="Q44" s="5" t="s">
        <v>25</v>
      </c>
      <c r="R44" s="5" t="s">
        <v>25</v>
      </c>
      <c r="S44" s="5" t="str">
        <f>VLOOKUP(A44,Sheet2!$A$2:$R$3432,18,0)</f>
        <v>GESDMZX01136</v>
      </c>
      <c r="T44" s="7" t="str">
        <f>VLOOKUP(A44,Sheet2!$A$2:$R$3432,17,0)</f>
        <v>MD637DESOMZD01233</v>
      </c>
    </row>
    <row r="45" ht="15.75" customHeight="1">
      <c r="A45" s="3" t="s">
        <v>68</v>
      </c>
      <c r="B45" s="4" t="str">
        <f>VLOOKUP(A45,Sheet2!$A$2:$R$3432,2,0)</f>
        <v>2024-11-30 20:16:50</v>
      </c>
      <c r="C45" s="5" t="s">
        <v>25</v>
      </c>
      <c r="D45" s="6" t="s">
        <v>25</v>
      </c>
      <c r="E45" s="7">
        <f>VLOOKUP(A45,Sheet2!$A$2:$R$3432,4,0)</f>
        <v>8788252113</v>
      </c>
      <c r="F45" s="7" t="str">
        <f>VLOOKUP(A45,Sheet2!$A$2:$R$3432,3,0)</f>
        <v>Ganesh Khaire</v>
      </c>
      <c r="G45" s="5" t="s">
        <v>25</v>
      </c>
      <c r="H45" s="5" t="s">
        <v>25</v>
      </c>
      <c r="I45" s="5" t="s">
        <v>25</v>
      </c>
      <c r="J45" s="5" t="s">
        <v>25</v>
      </c>
      <c r="K45" s="7" t="str">
        <f>VLOOKUP(A45,Sheet2!$A$2:$R$3432,6,0)</f>
        <v>TVS Jupiter </v>
      </c>
      <c r="L45" s="5" t="s">
        <v>25</v>
      </c>
      <c r="M45" s="7" t="str">
        <f>VLOOKUP(A45,Sheet2!$A$2:$R$3432,5,0)</f>
        <v>MH14JQ8996</v>
      </c>
      <c r="N45" s="5" t="s">
        <v>25</v>
      </c>
      <c r="O45" s="5" t="s">
        <v>25</v>
      </c>
      <c r="P45" s="6" t="s">
        <v>25</v>
      </c>
      <c r="Q45" s="5" t="s">
        <v>25</v>
      </c>
      <c r="R45" s="5" t="s">
        <v>25</v>
      </c>
      <c r="S45" s="7" t="str">
        <f>VLOOKUP(A45,Sheet2!$A$2:$R$3432,18,0)</f>
        <v/>
      </c>
      <c r="T45" s="7" t="str">
        <f>VLOOKUP(A45,Sheet2!$A$2:$R$3432,17,0)</f>
        <v/>
      </c>
    </row>
    <row r="46" ht="15.75" customHeight="1">
      <c r="A46" s="3" t="s">
        <v>69</v>
      </c>
      <c r="B46" s="4" t="str">
        <f>VLOOKUP(A46,Sheet2!$A$2:$R$3432,2,0)</f>
        <v>2024-11-30 20:19:06</v>
      </c>
      <c r="C46" s="5" t="s">
        <v>25</v>
      </c>
      <c r="D46" s="6" t="s">
        <v>25</v>
      </c>
      <c r="E46" s="7">
        <f>VLOOKUP(A46,Sheet2!$A$2:$R$3432,4,0)</f>
        <v>9823123051</v>
      </c>
      <c r="F46" s="7" t="str">
        <f>VLOOKUP(A46,Sheet2!$A$2:$R$3432,3,0)</f>
        <v>Gajanan Mudlyar</v>
      </c>
      <c r="G46" s="5" t="s">
        <v>25</v>
      </c>
      <c r="H46" s="5" t="s">
        <v>25</v>
      </c>
      <c r="I46" s="5" t="s">
        <v>25</v>
      </c>
      <c r="J46" s="5" t="s">
        <v>25</v>
      </c>
      <c r="K46" s="7" t="str">
        <f>VLOOKUP(A46,Sheet2!$A$2:$R$3432,6,0)</f>
        <v>Honda Activa 3G</v>
      </c>
      <c r="L46" s="5" t="s">
        <v>25</v>
      </c>
      <c r="M46" s="7" t="str">
        <f>VLOOKUP(A46,Sheet2!$A$2:$R$3432,5,0)</f>
        <v>MH12MX8141</v>
      </c>
      <c r="N46" s="5" t="s">
        <v>25</v>
      </c>
      <c r="O46" s="5" t="s">
        <v>25</v>
      </c>
      <c r="P46" s="6" t="s">
        <v>25</v>
      </c>
      <c r="Q46" s="5" t="s">
        <v>25</v>
      </c>
      <c r="R46" s="5" t="s">
        <v>25</v>
      </c>
      <c r="S46" s="5" t="str">
        <f>VLOOKUP(A46,Sheet2!$A$2:$R$3432,18,0)</f>
        <v>JF50EU3028152</v>
      </c>
      <c r="T46" s="7" t="str">
        <f>VLOOKUP(A46,Sheet2!$A$2:$R$3432,17,0)</f>
        <v>ME4JF505CGU028175</v>
      </c>
    </row>
    <row r="47" ht="15.75" customHeight="1">
      <c r="A47" s="3" t="s">
        <v>70</v>
      </c>
      <c r="B47" s="4" t="str">
        <f>VLOOKUP(A47,Sheet2!$A$2:$R$3432,2,0)</f>
        <v>2024-11-30 20:44:54</v>
      </c>
      <c r="C47" s="5" t="s">
        <v>25</v>
      </c>
      <c r="D47" s="6" t="s">
        <v>25</v>
      </c>
      <c r="E47" s="7">
        <f>VLOOKUP(A47,Sheet2!$A$2:$R$3432,4,0)</f>
        <v>7028014990</v>
      </c>
      <c r="F47" s="7" t="str">
        <f>VLOOKUP(A47,Sheet2!$A$2:$R$3432,3,0)</f>
        <v>Saurabh Khandekar</v>
      </c>
      <c r="G47" s="5" t="s">
        <v>25</v>
      </c>
      <c r="H47" s="5" t="s">
        <v>25</v>
      </c>
      <c r="I47" s="5" t="s">
        <v>25</v>
      </c>
      <c r="J47" s="5" t="s">
        <v>25</v>
      </c>
      <c r="K47" s="7" t="str">
        <f>VLOOKUP(A47,Sheet2!$A$2:$R$3432,6,0)</f>
        <v>Hero Destini 125</v>
      </c>
      <c r="L47" s="5" t="s">
        <v>25</v>
      </c>
      <c r="M47" s="7" t="str">
        <f>VLOOKUP(A47,Sheet2!$A$2:$R$3432,5,0)</f>
        <v>MH10DW4975</v>
      </c>
      <c r="N47" s="5" t="s">
        <v>25</v>
      </c>
      <c r="O47" s="5" t="s">
        <v>25</v>
      </c>
      <c r="P47" s="6" t="s">
        <v>25</v>
      </c>
      <c r="Q47" s="5" t="s">
        <v>25</v>
      </c>
      <c r="R47" s="5" t="s">
        <v>25</v>
      </c>
      <c r="S47" s="5" t="str">
        <f>VLOOKUP(A47,Sheet2!$A$2:$R$3432,18,0)</f>
        <v>JF17EANGD03778</v>
      </c>
      <c r="T47" s="7" t="str">
        <f>VLOOKUP(A47,Sheet2!$A$2:$R$3432,17,0)</f>
        <v>MBLJFWZ49NGD02569</v>
      </c>
    </row>
    <row r="48" ht="15.75" customHeight="1">
      <c r="A48" s="3" t="s">
        <v>71</v>
      </c>
      <c r="B48" s="4" t="str">
        <f>VLOOKUP(A48,Sheet2!$A$2:$R$3432,2,0)</f>
        <v>2024-11-30 11:30:33</v>
      </c>
      <c r="C48" s="5" t="s">
        <v>25</v>
      </c>
      <c r="D48" s="6" t="s">
        <v>25</v>
      </c>
      <c r="E48" s="7">
        <f>VLOOKUP(A48,Sheet2!$A$2:$R$3432,4,0)</f>
        <v>8308974699</v>
      </c>
      <c r="F48" s="7" t="str">
        <f>VLOOKUP(A48,Sheet2!$A$2:$R$3432,3,0)</f>
        <v>MATTHEW </v>
      </c>
      <c r="G48" s="5" t="s">
        <v>25</v>
      </c>
      <c r="H48" s="5" t="s">
        <v>25</v>
      </c>
      <c r="I48" s="5" t="s">
        <v>25</v>
      </c>
      <c r="J48" s="5" t="s">
        <v>25</v>
      </c>
      <c r="K48" s="7" t="str">
        <f>VLOOKUP(A48,Sheet2!$A$2:$R$3432,6,0)</f>
        <v>Suzuki Access 125</v>
      </c>
      <c r="L48" s="5" t="s">
        <v>25</v>
      </c>
      <c r="M48" s="7" t="str">
        <f>VLOOKUP(A48,Sheet2!$A$2:$R$3432,5,0)</f>
        <v>MH06BC9328</v>
      </c>
      <c r="N48" s="5" t="s">
        <v>25</v>
      </c>
      <c r="O48" s="5" t="s">
        <v>25</v>
      </c>
      <c r="P48" s="6" t="s">
        <v>25</v>
      </c>
      <c r="Q48" s="5" t="s">
        <v>25</v>
      </c>
      <c r="R48" s="5" t="s">
        <v>25</v>
      </c>
      <c r="S48" s="5" t="str">
        <f>VLOOKUP(A48,Sheet2!$A$2:$R$3432,18,0)</f>
        <v>486953649</v>
      </c>
      <c r="T48" s="7" t="str">
        <f>VLOOKUP(A48,Sheet2!$A$2:$R$3432,17,0)</f>
        <v>MB8CF4CACC8498838</v>
      </c>
    </row>
    <row r="49" ht="15.75" customHeight="1">
      <c r="A49" s="3" t="s">
        <v>72</v>
      </c>
      <c r="B49" s="4" t="str">
        <f>VLOOKUP(A49,Sheet2!$A$2:$R$3432,2,0)</f>
        <v>2024-11-30 11:33:40</v>
      </c>
      <c r="C49" s="5" t="s">
        <v>25</v>
      </c>
      <c r="D49" s="6" t="s">
        <v>25</v>
      </c>
      <c r="E49" s="7">
        <f>VLOOKUP(A49,Sheet2!$A$2:$R$3432,4,0)</f>
        <v>9822263733</v>
      </c>
      <c r="F49" s="7" t="str">
        <f>VLOOKUP(A49,Sheet2!$A$2:$R$3432,3,0)</f>
        <v>Sanjay Shinde</v>
      </c>
      <c r="G49" s="5" t="s">
        <v>25</v>
      </c>
      <c r="H49" s="5" t="s">
        <v>25</v>
      </c>
      <c r="I49" s="5" t="s">
        <v>25</v>
      </c>
      <c r="J49" s="5" t="s">
        <v>25</v>
      </c>
      <c r="K49" s="7" t="str">
        <f>VLOOKUP(A49,Sheet2!$A$2:$R$3432,6,0)</f>
        <v>TVS Wego </v>
      </c>
      <c r="L49" s="5" t="s">
        <v>25</v>
      </c>
      <c r="M49" s="7" t="str">
        <f>VLOOKUP(A49,Sheet2!$A$2:$R$3432,5,0)</f>
        <v>MH14DR6484</v>
      </c>
      <c r="N49" s="5" t="s">
        <v>25</v>
      </c>
      <c r="O49" s="5" t="s">
        <v>25</v>
      </c>
      <c r="P49" s="6" t="s">
        <v>25</v>
      </c>
      <c r="Q49" s="5" t="s">
        <v>25</v>
      </c>
      <c r="R49" s="5" t="s">
        <v>25</v>
      </c>
      <c r="S49" s="5" t="str">
        <f>VLOOKUP(A49,Sheet2!$A$2:$R$3432,18,0)</f>
        <v>OG4AC1316661</v>
      </c>
      <c r="T49" s="7" t="str">
        <f>VLOOKUP(A49,Sheet2!$A$2:$R$3432,17,0)</f>
        <v>MD626AG47C1A32220</v>
      </c>
    </row>
    <row r="50" ht="15.75" customHeight="1">
      <c r="A50" s="3" t="s">
        <v>73</v>
      </c>
      <c r="B50" s="4" t="str">
        <f>VLOOKUP(A50,Sheet2!$A$2:$R$3432,2,0)</f>
        <v>2024-12-20 20:33:38</v>
      </c>
      <c r="C50" s="5" t="s">
        <v>25</v>
      </c>
      <c r="D50" s="6" t="s">
        <v>25</v>
      </c>
      <c r="E50" s="7">
        <f>VLOOKUP(A50,Sheet2!$A$2:$R$3432,4,0)</f>
        <v>7218664927</v>
      </c>
      <c r="F50" s="7" t="str">
        <f>VLOOKUP(A50,Sheet2!$A$2:$R$3432,3,0)</f>
        <v>Paresh Patil</v>
      </c>
      <c r="G50" s="5" t="s">
        <v>25</v>
      </c>
      <c r="H50" s="5" t="s">
        <v>25</v>
      </c>
      <c r="I50" s="5" t="s">
        <v>25</v>
      </c>
      <c r="J50" s="5" t="s">
        <v>25</v>
      </c>
      <c r="K50" s="7" t="str">
        <f>VLOOKUP(A50,Sheet2!$A$2:$R$3432,6,0)</f>
        <v>Hero Passion Pro</v>
      </c>
      <c r="L50" s="5" t="s">
        <v>25</v>
      </c>
      <c r="M50" s="7" t="str">
        <f>VLOOKUP(A50,Sheet2!$A$2:$R$3432,5,0)</f>
        <v>MH12KR6021</v>
      </c>
      <c r="N50" s="5" t="s">
        <v>25</v>
      </c>
      <c r="O50" s="5" t="s">
        <v>25</v>
      </c>
      <c r="P50" s="6" t="s">
        <v>25</v>
      </c>
      <c r="Q50" s="5" t="s">
        <v>25</v>
      </c>
      <c r="R50" s="5" t="s">
        <v>25</v>
      </c>
      <c r="S50" s="7" t="str">
        <f>VLOOKUP(A50,Sheet2!$A$2:$R$3432,18,0)</f>
        <v/>
      </c>
      <c r="T50" s="7" t="str">
        <f>VLOOKUP(A50,Sheet2!$A$2:$R$3432,17,0)</f>
        <v/>
      </c>
    </row>
    <row r="51" ht="15.75" customHeight="1">
      <c r="A51" s="3" t="s">
        <v>74</v>
      </c>
      <c r="B51" s="4" t="str">
        <f>VLOOKUP(A51,Sheet2!$A$2:$R$3432,2,0)</f>
        <v>2024-12-20 17:12:04</v>
      </c>
      <c r="C51" s="5" t="s">
        <v>25</v>
      </c>
      <c r="D51" s="6" t="s">
        <v>25</v>
      </c>
      <c r="E51" s="7">
        <f>VLOOKUP(A51,Sheet2!$A$2:$R$3432,4,0)</f>
        <v>9923220239</v>
      </c>
      <c r="F51" s="7" t="str">
        <f>VLOOKUP(A51,Sheet2!$A$2:$R$3432,3,0)</f>
        <v>Omkar Shirke</v>
      </c>
      <c r="G51" s="5" t="s">
        <v>25</v>
      </c>
      <c r="H51" s="5" t="s">
        <v>25</v>
      </c>
      <c r="I51" s="5" t="s">
        <v>25</v>
      </c>
      <c r="J51" s="5" t="s">
        <v>25</v>
      </c>
      <c r="K51" s="7" t="str">
        <f>VLOOKUP(A51,Sheet2!$A$2:$R$3432,6,0)</f>
        <v>TVS Wego Basic</v>
      </c>
      <c r="L51" s="5" t="s">
        <v>25</v>
      </c>
      <c r="M51" s="7" t="str">
        <f>VLOOKUP(A51,Sheet2!$A$2:$R$3432,5,0)</f>
        <v>MH12KD2649</v>
      </c>
      <c r="N51" s="5" t="s">
        <v>25</v>
      </c>
      <c r="O51" s="5" t="s">
        <v>25</v>
      </c>
      <c r="P51" s="6" t="s">
        <v>25</v>
      </c>
      <c r="Q51" s="5" t="s">
        <v>25</v>
      </c>
      <c r="R51" s="5" t="s">
        <v>25</v>
      </c>
      <c r="S51" s="7" t="str">
        <f>VLOOKUP(A51,Sheet2!$A$2:$R$3432,18,0)</f>
        <v/>
      </c>
      <c r="T51" s="7" t="str">
        <f>VLOOKUP(A51,Sheet2!$A$2:$R$3432,17,0)</f>
        <v>MD626AG46D1643177</v>
      </c>
    </row>
    <row r="52" ht="15.75" customHeight="1">
      <c r="A52" s="3" t="s">
        <v>75</v>
      </c>
      <c r="B52" s="4" t="str">
        <f>VLOOKUP(A52,Sheet2!$A$2:$R$3432,2,0)</f>
        <v>2024-12-20 20:36:30</v>
      </c>
      <c r="C52" s="5" t="s">
        <v>25</v>
      </c>
      <c r="D52" s="6" t="s">
        <v>25</v>
      </c>
      <c r="E52" s="7">
        <f>VLOOKUP(A52,Sheet2!$A$2:$R$3432,4,0)</f>
        <v>8275204492</v>
      </c>
      <c r="F52" s="7" t="str">
        <f>VLOOKUP(A52,Sheet2!$A$2:$R$3432,3,0)</f>
        <v>Santosh Bhalerao </v>
      </c>
      <c r="G52" s="5" t="s">
        <v>25</v>
      </c>
      <c r="H52" s="5" t="s">
        <v>25</v>
      </c>
      <c r="I52" s="5" t="s">
        <v>25</v>
      </c>
      <c r="J52" s="5" t="s">
        <v>25</v>
      </c>
      <c r="K52" s="7" t="str">
        <f>VLOOKUP(A52,Sheet2!$A$2:$R$3432,6,0)</f>
        <v>Hero Splendor </v>
      </c>
      <c r="L52" s="5" t="s">
        <v>25</v>
      </c>
      <c r="M52" s="7" t="str">
        <f>VLOOKUP(A52,Sheet2!$A$2:$R$3432,5,0)</f>
        <v>MH12BU7746</v>
      </c>
      <c r="N52" s="5" t="s">
        <v>25</v>
      </c>
      <c r="O52" s="5" t="s">
        <v>25</v>
      </c>
      <c r="P52" s="6" t="s">
        <v>25</v>
      </c>
      <c r="Q52" s="5" t="s">
        <v>25</v>
      </c>
      <c r="R52" s="5" t="s">
        <v>25</v>
      </c>
      <c r="S52" s="7" t="str">
        <f>VLOOKUP(A52,Sheet2!$A$2:$R$3432,18,0)</f>
        <v/>
      </c>
      <c r="T52" s="7" t="str">
        <f>VLOOKUP(A52,Sheet2!$A$2:$R$3432,17,0)</f>
        <v/>
      </c>
    </row>
    <row r="53" ht="15.75" customHeight="1">
      <c r="A53" s="3" t="s">
        <v>76</v>
      </c>
      <c r="B53" s="4" t="str">
        <f>VLOOKUP(A53,Sheet2!$A$2:$R$3432,2,0)</f>
        <v>2024-12-20 20:32:13</v>
      </c>
      <c r="C53" s="5" t="s">
        <v>25</v>
      </c>
      <c r="D53" s="6" t="s">
        <v>25</v>
      </c>
      <c r="E53" s="7">
        <f>VLOOKUP(A53,Sheet2!$A$2:$R$3432,4,0)</f>
        <v>8261925966</v>
      </c>
      <c r="F53" s="7" t="str">
        <f>VLOOKUP(A53,Sheet2!$A$2:$R$3432,3,0)</f>
        <v>Amit Salve</v>
      </c>
      <c r="G53" s="5" t="s">
        <v>25</v>
      </c>
      <c r="H53" s="5" t="s">
        <v>25</v>
      </c>
      <c r="I53" s="5" t="s">
        <v>25</v>
      </c>
      <c r="J53" s="5" t="s">
        <v>25</v>
      </c>
      <c r="K53" s="7" t="str">
        <f>VLOOKUP(A53,Sheet2!$A$2:$R$3432,6,0)</f>
        <v>Yamaha FZ </v>
      </c>
      <c r="L53" s="5" t="s">
        <v>25</v>
      </c>
      <c r="M53" s="7" t="str">
        <f>VLOOKUP(A53,Sheet2!$A$2:$R$3432,5,0)</f>
        <v>MH12LS2093</v>
      </c>
      <c r="N53" s="5" t="s">
        <v>25</v>
      </c>
      <c r="O53" s="5" t="s">
        <v>25</v>
      </c>
      <c r="P53" s="6" t="s">
        <v>25</v>
      </c>
      <c r="Q53" s="5" t="s">
        <v>25</v>
      </c>
      <c r="R53" s="5" t="s">
        <v>25</v>
      </c>
      <c r="S53" s="7" t="str">
        <f>VLOOKUP(A53,Sheet2!$A$2:$R$3432,18,0)</f>
        <v/>
      </c>
      <c r="T53" s="7" t="str">
        <f>VLOOKUP(A53,Sheet2!$A$2:$R$3432,17,0)</f>
        <v/>
      </c>
    </row>
    <row r="54" ht="15.75" customHeight="1">
      <c r="A54" s="3" t="s">
        <v>77</v>
      </c>
      <c r="B54" s="4" t="str">
        <f>VLOOKUP(A54,Sheet2!$A$2:$R$3432,2,0)</f>
        <v>2024-12-20 20:34:01</v>
      </c>
      <c r="C54" s="5" t="s">
        <v>25</v>
      </c>
      <c r="D54" s="6" t="s">
        <v>25</v>
      </c>
      <c r="E54" s="7">
        <f>VLOOKUP(A54,Sheet2!$A$2:$R$3432,4,0)</f>
        <v>9762574209</v>
      </c>
      <c r="F54" s="7" t="str">
        <f>VLOOKUP(A54,Sheet2!$A$2:$R$3432,3,0)</f>
        <v>Rupesh</v>
      </c>
      <c r="G54" s="5" t="s">
        <v>25</v>
      </c>
      <c r="H54" s="5" t="s">
        <v>25</v>
      </c>
      <c r="I54" s="5" t="s">
        <v>25</v>
      </c>
      <c r="J54" s="5" t="s">
        <v>25</v>
      </c>
      <c r="K54" s="7" t="str">
        <f>VLOOKUP(A54,Sheet2!$A$2:$R$3432,6,0)</f>
        <v>Honda Activa 6G</v>
      </c>
      <c r="L54" s="5" t="s">
        <v>25</v>
      </c>
      <c r="M54" s="7" t="str">
        <f>VLOOKUP(A54,Sheet2!$A$2:$R$3432,5,0)</f>
        <v>MH20GR0562</v>
      </c>
      <c r="N54" s="5" t="s">
        <v>25</v>
      </c>
      <c r="O54" s="5" t="s">
        <v>25</v>
      </c>
      <c r="P54" s="6" t="s">
        <v>25</v>
      </c>
      <c r="Q54" s="5" t="s">
        <v>25</v>
      </c>
      <c r="R54" s="5" t="s">
        <v>25</v>
      </c>
      <c r="S54" s="7" t="str">
        <f>VLOOKUP(A54,Sheet2!$A$2:$R$3432,18,0)</f>
        <v/>
      </c>
      <c r="T54" s="7" t="str">
        <f>VLOOKUP(A54,Sheet2!$A$2:$R$3432,17,0)</f>
        <v/>
      </c>
    </row>
    <row r="55" ht="15.75" customHeight="1">
      <c r="A55" s="3" t="s">
        <v>78</v>
      </c>
      <c r="B55" s="4" t="str">
        <f>VLOOKUP(A55,Sheet2!$A$2:$R$3432,2,0)</f>
        <v>2024-12-20 20:34:31</v>
      </c>
      <c r="C55" s="5" t="s">
        <v>25</v>
      </c>
      <c r="D55" s="6" t="s">
        <v>25</v>
      </c>
      <c r="E55" s="7">
        <f>VLOOKUP(A55,Sheet2!$A$2:$R$3432,4,0)</f>
        <v>8237669414</v>
      </c>
      <c r="F55" s="7" t="str">
        <f>VLOOKUP(A55,Sheet2!$A$2:$R$3432,3,0)</f>
        <v>SANKALP YERAWAR</v>
      </c>
      <c r="G55" s="5" t="s">
        <v>25</v>
      </c>
      <c r="H55" s="5" t="s">
        <v>25</v>
      </c>
      <c r="I55" s="5" t="s">
        <v>25</v>
      </c>
      <c r="J55" s="5" t="s">
        <v>25</v>
      </c>
      <c r="K55" s="7" t="str">
        <f>VLOOKUP(A55,Sheet2!$A$2:$R$3432,6,0)</f>
        <v>Yamaha MT 15</v>
      </c>
      <c r="L55" s="5" t="s">
        <v>25</v>
      </c>
      <c r="M55" s="7" t="str">
        <f>VLOOKUP(A55,Sheet2!$A$2:$R$3432,5,0)</f>
        <v>MH14HP1653</v>
      </c>
      <c r="N55" s="5" t="s">
        <v>25</v>
      </c>
      <c r="O55" s="5" t="s">
        <v>25</v>
      </c>
      <c r="P55" s="6" t="s">
        <v>25</v>
      </c>
      <c r="Q55" s="5" t="s">
        <v>25</v>
      </c>
      <c r="R55" s="5" t="s">
        <v>25</v>
      </c>
      <c r="S55" s="5" t="str">
        <f>VLOOKUP(A55,Sheet2!$A$2:$R$3432,18,0)</f>
        <v>G3K5E0086860</v>
      </c>
      <c r="T55" s="7" t="str">
        <f>VLOOKUP(A55,Sheet2!$A$2:$R$3432,17,0)</f>
        <v>ME1RG5913K0003326</v>
      </c>
    </row>
    <row r="56" ht="15.75" customHeight="1">
      <c r="A56" s="3" t="s">
        <v>79</v>
      </c>
      <c r="B56" s="4" t="str">
        <f>VLOOKUP(A56,Sheet2!$A$2:$R$3432,2,0)</f>
        <v>2024-12-20 20:35:18</v>
      </c>
      <c r="C56" s="5" t="s">
        <v>25</v>
      </c>
      <c r="D56" s="6" t="s">
        <v>25</v>
      </c>
      <c r="E56" s="7">
        <f>VLOOKUP(A56,Sheet2!$A$2:$R$3432,4,0)</f>
        <v>7030469122</v>
      </c>
      <c r="F56" s="7" t="str">
        <f>VLOOKUP(A56,Sheet2!$A$2:$R$3432,3,0)</f>
        <v>Dheeraj </v>
      </c>
      <c r="G56" s="5" t="s">
        <v>25</v>
      </c>
      <c r="H56" s="5" t="s">
        <v>25</v>
      </c>
      <c r="I56" s="5" t="s">
        <v>25</v>
      </c>
      <c r="J56" s="5" t="s">
        <v>25</v>
      </c>
      <c r="K56" s="7" t="str">
        <f>VLOOKUP(A56,Sheet2!$A$2:$R$3432,6,0)</f>
        <v>Suzuki Gixxer SF</v>
      </c>
      <c r="L56" s="5" t="s">
        <v>25</v>
      </c>
      <c r="M56" s="7" t="str">
        <f>VLOOKUP(A56,Sheet2!$A$2:$R$3432,5,0)</f>
        <v>MH04KZ2927</v>
      </c>
      <c r="N56" s="5" t="s">
        <v>25</v>
      </c>
      <c r="O56" s="5" t="s">
        <v>25</v>
      </c>
      <c r="P56" s="6" t="s">
        <v>25</v>
      </c>
      <c r="Q56" s="5" t="s">
        <v>25</v>
      </c>
      <c r="R56" s="5" t="s">
        <v>25</v>
      </c>
      <c r="S56" s="7" t="str">
        <f>VLOOKUP(A56,Sheet2!$A$2:$R$3432,18,0)</f>
        <v/>
      </c>
      <c r="T56" s="7" t="str">
        <f>VLOOKUP(A56,Sheet2!$A$2:$R$3432,17,0)</f>
        <v/>
      </c>
    </row>
    <row r="57" ht="15.75" customHeight="1">
      <c r="A57" s="3" t="s">
        <v>80</v>
      </c>
      <c r="B57" s="4" t="str">
        <f>VLOOKUP(A57,Sheet2!$A$2:$R$3432,2,0)</f>
        <v>2024-12-20 20:35:40</v>
      </c>
      <c r="C57" s="5" t="s">
        <v>25</v>
      </c>
      <c r="D57" s="6" t="s">
        <v>25</v>
      </c>
      <c r="E57" s="7">
        <f>VLOOKUP(A57,Sheet2!$A$2:$R$3432,4,0)</f>
        <v>9881240162</v>
      </c>
      <c r="F57" s="7" t="str">
        <f>VLOOKUP(A57,Sheet2!$A$2:$R$3432,3,0)</f>
        <v>Rakesh Kumar </v>
      </c>
      <c r="G57" s="5" t="s">
        <v>25</v>
      </c>
      <c r="H57" s="5" t="s">
        <v>25</v>
      </c>
      <c r="I57" s="5" t="s">
        <v>25</v>
      </c>
      <c r="J57" s="5" t="s">
        <v>25</v>
      </c>
      <c r="K57" s="7" t="str">
        <f>VLOOKUP(A57,Sheet2!$A$2:$R$3432,6,0)</f>
        <v>TVS Jupiter </v>
      </c>
      <c r="L57" s="5" t="s">
        <v>25</v>
      </c>
      <c r="M57" s="7" t="str">
        <f>VLOOKUP(A57,Sheet2!$A$2:$R$3432,5,0)</f>
        <v>MH14HJ1530</v>
      </c>
      <c r="N57" s="5" t="s">
        <v>25</v>
      </c>
      <c r="O57" s="5" t="s">
        <v>25</v>
      </c>
      <c r="P57" s="6" t="s">
        <v>25</v>
      </c>
      <c r="Q57" s="5" t="s">
        <v>25</v>
      </c>
      <c r="R57" s="5" t="s">
        <v>25</v>
      </c>
      <c r="S57" s="5" t="str">
        <f>VLOOKUP(A57,Sheet2!$A$2:$R$3432,18,0)</f>
        <v>OG4PJ1604795</v>
      </c>
      <c r="T57" s="7" t="str">
        <f>VLOOKUP(A57,Sheet2!$A$2:$R$3432,17,0)</f>
        <v>MD626EG42J1P121212</v>
      </c>
    </row>
    <row r="58" ht="15.75" customHeight="1">
      <c r="A58" s="3" t="s">
        <v>81</v>
      </c>
      <c r="B58" s="4" t="str">
        <f>VLOOKUP(A58,Sheet2!$A$2:$R$3432,2,0)</f>
        <v>2024-12-20 20:37:04</v>
      </c>
      <c r="C58" s="5" t="s">
        <v>25</v>
      </c>
      <c r="D58" s="6" t="s">
        <v>25</v>
      </c>
      <c r="E58" s="7">
        <f>VLOOKUP(A58,Sheet2!$A$2:$R$3432,4,0)</f>
        <v>9975626301</v>
      </c>
      <c r="F58" s="7" t="str">
        <f>VLOOKUP(A58,Sheet2!$A$2:$R$3432,3,0)</f>
        <v>CHIMNEY PALANDE</v>
      </c>
      <c r="G58" s="5" t="s">
        <v>25</v>
      </c>
      <c r="H58" s="5" t="s">
        <v>25</v>
      </c>
      <c r="I58" s="5" t="s">
        <v>25</v>
      </c>
      <c r="J58" s="5" t="s">
        <v>25</v>
      </c>
      <c r="K58" s="7" t="str">
        <f>VLOOKUP(A58,Sheet2!$A$2:$R$3432,6,0)</f>
        <v>Yamaha FZ V3</v>
      </c>
      <c r="L58" s="5" t="s">
        <v>25</v>
      </c>
      <c r="M58" s="7" t="str">
        <f>VLOOKUP(A58,Sheet2!$A$2:$R$3432,5,0)</f>
        <v>MH12RS9858</v>
      </c>
      <c r="N58" s="5" t="s">
        <v>25</v>
      </c>
      <c r="O58" s="5" t="s">
        <v>25</v>
      </c>
      <c r="P58" s="6" t="s">
        <v>25</v>
      </c>
      <c r="Q58" s="5" t="s">
        <v>25</v>
      </c>
      <c r="R58" s="5" t="s">
        <v>25</v>
      </c>
      <c r="S58" s="5" t="str">
        <f>VLOOKUP(A58,Sheet2!$A$2:$R$3432,18,0)</f>
        <v>G325E0079718</v>
      </c>
      <c r="T58" s="7" t="str">
        <f>VLOOKUP(A58,Sheet2!$A$2:$R$3432,17,0)</f>
        <v>ME1RG44F4K0022O59</v>
      </c>
    </row>
    <row r="59" ht="15.75" customHeight="1">
      <c r="A59" s="3" t="s">
        <v>82</v>
      </c>
      <c r="B59" s="4" t="str">
        <f>VLOOKUP(A59,Sheet2!$A$2:$R$3432,2,0)</f>
        <v>2025-02-13 18:48:41</v>
      </c>
      <c r="C59" s="5" t="s">
        <v>25</v>
      </c>
      <c r="D59" s="6" t="s">
        <v>25</v>
      </c>
      <c r="E59" s="7">
        <f>VLOOKUP(A59,Sheet2!$A$2:$R$3432,4,0)</f>
        <v>9923763880</v>
      </c>
      <c r="F59" s="7" t="str">
        <f>VLOOKUP(A59,Sheet2!$A$2:$R$3432,3,0)</f>
        <v>RAHUL GAIKWAD </v>
      </c>
      <c r="G59" s="5" t="s">
        <v>25</v>
      </c>
      <c r="H59" s="5" t="s">
        <v>25</v>
      </c>
      <c r="I59" s="5" t="s">
        <v>25</v>
      </c>
      <c r="J59" s="5" t="s">
        <v>25</v>
      </c>
      <c r="K59" s="7" t="str">
        <f>VLOOKUP(A59,Sheet2!$A$2:$R$3432,6,0)</f>
        <v>Honda Shine CB</v>
      </c>
      <c r="L59" s="5" t="s">
        <v>25</v>
      </c>
      <c r="M59" s="7" t="str">
        <f>VLOOKUP(A59,Sheet2!$A$2:$R$3432,5,0)</f>
        <v>MH10BD1460</v>
      </c>
      <c r="N59" s="5" t="s">
        <v>25</v>
      </c>
      <c r="O59" s="5" t="s">
        <v>25</v>
      </c>
      <c r="P59" s="6" t="s">
        <v>25</v>
      </c>
      <c r="Q59" s="5" t="s">
        <v>25</v>
      </c>
      <c r="R59" s="5" t="s">
        <v>25</v>
      </c>
      <c r="S59" s="7" t="str">
        <f>VLOOKUP(A59,Sheet2!$A$2:$R$3432,18,0)</f>
        <v/>
      </c>
      <c r="T59" s="7" t="str">
        <f>VLOOKUP(A59,Sheet2!$A$2:$R$3432,17,0)</f>
        <v/>
      </c>
    </row>
    <row r="60" ht="15.75" customHeight="1">
      <c r="A60" s="3" t="s">
        <v>83</v>
      </c>
      <c r="B60" s="4" t="str">
        <f>VLOOKUP(A60,Sheet2!$A$2:$R$3432,2,0)</f>
        <v>2025-02-13 19:45:08</v>
      </c>
      <c r="C60" s="5" t="s">
        <v>25</v>
      </c>
      <c r="D60" s="6" t="s">
        <v>25</v>
      </c>
      <c r="E60" s="7">
        <f>VLOOKUP(A60,Sheet2!$A$2:$R$3432,4,0)</f>
        <v>9479244339</v>
      </c>
      <c r="F60" s="7" t="str">
        <f>VLOOKUP(A60,Sheet2!$A$2:$R$3432,3,0)</f>
        <v>SUBODH</v>
      </c>
      <c r="G60" s="5" t="s">
        <v>25</v>
      </c>
      <c r="H60" s="5" t="s">
        <v>25</v>
      </c>
      <c r="I60" s="5" t="s">
        <v>25</v>
      </c>
      <c r="J60" s="5" t="s">
        <v>25</v>
      </c>
      <c r="K60" s="7" t="str">
        <f>VLOOKUP(A60,Sheet2!$A$2:$R$3432,6,0)</f>
        <v>Hero Splendor Plus</v>
      </c>
      <c r="L60" s="5" t="s">
        <v>25</v>
      </c>
      <c r="M60" s="7" t="str">
        <f>VLOOKUP(A60,Sheet2!$A$2:$R$3432,5,0)</f>
        <v>CG12AP6416</v>
      </c>
      <c r="N60" s="5" t="s">
        <v>25</v>
      </c>
      <c r="O60" s="5" t="s">
        <v>25</v>
      </c>
      <c r="P60" s="6" t="s">
        <v>25</v>
      </c>
      <c r="Q60" s="5" t="s">
        <v>25</v>
      </c>
      <c r="R60" s="5" t="s">
        <v>25</v>
      </c>
      <c r="S60" s="5" t="str">
        <f>VLOOKUP(A60,Sheet2!$A$2:$R$3432,18,0)</f>
        <v>HA10ERG042352</v>
      </c>
      <c r="T60" s="7" t="str">
        <f>VLOOKUP(A60,Sheet2!$A$2:$R$3432,17,0)</f>
        <v/>
      </c>
    </row>
    <row r="61" ht="15.75" customHeight="1">
      <c r="A61" s="3" t="s">
        <v>84</v>
      </c>
      <c r="B61" s="4" t="str">
        <f>VLOOKUP(A61,Sheet2!$A$2:$R$3432,2,0)</f>
        <v>2025-02-13 10:55:56</v>
      </c>
      <c r="C61" s="5" t="s">
        <v>25</v>
      </c>
      <c r="D61" s="6" t="s">
        <v>25</v>
      </c>
      <c r="E61" s="7">
        <f>VLOOKUP(A61,Sheet2!$A$2:$R$3432,4,0)</f>
        <v>9930466496</v>
      </c>
      <c r="F61" s="7" t="str">
        <f>VLOOKUP(A61,Sheet2!$A$2:$R$3432,3,0)</f>
        <v>Purohit</v>
      </c>
      <c r="G61" s="5" t="s">
        <v>25</v>
      </c>
      <c r="H61" s="5" t="s">
        <v>25</v>
      </c>
      <c r="I61" s="5" t="s">
        <v>25</v>
      </c>
      <c r="J61" s="5" t="s">
        <v>25</v>
      </c>
      <c r="K61" s="7" t="str">
        <f>VLOOKUP(A61,Sheet2!$A$2:$R$3432,6,0)</f>
        <v>Honda CBR 250R</v>
      </c>
      <c r="L61" s="5" t="s">
        <v>25</v>
      </c>
      <c r="M61" s="7" t="str">
        <f>VLOOKUP(A61,Sheet2!$A$2:$R$3432,5,0)</f>
        <v>MH14EE3241</v>
      </c>
      <c r="N61" s="5" t="s">
        <v>25</v>
      </c>
      <c r="O61" s="5" t="s">
        <v>25</v>
      </c>
      <c r="P61" s="6" t="s">
        <v>25</v>
      </c>
      <c r="Q61" s="5" t="s">
        <v>25</v>
      </c>
      <c r="R61" s="5" t="s">
        <v>25</v>
      </c>
      <c r="S61" s="7" t="str">
        <f>VLOOKUP(A61,Sheet2!$A$2:$R$3432,18,0)</f>
        <v/>
      </c>
      <c r="T61" s="7" t="str">
        <f>VLOOKUP(A61,Sheet2!$A$2:$R$3432,17,0)</f>
        <v>ME4MC4234D8009177</v>
      </c>
    </row>
    <row r="62" ht="15.75" customHeight="1">
      <c r="A62" s="3" t="s">
        <v>85</v>
      </c>
      <c r="B62" s="4" t="str">
        <f>VLOOKUP(A62,Sheet2!$A$2:$R$3432,2,0)</f>
        <v>2025-02-13 09:45:07</v>
      </c>
      <c r="C62" s="5" t="s">
        <v>25</v>
      </c>
      <c r="D62" s="6" t="s">
        <v>25</v>
      </c>
      <c r="E62" s="7">
        <f>VLOOKUP(A62,Sheet2!$A$2:$R$3432,4,0)</f>
        <v>7798199237</v>
      </c>
      <c r="F62" s="7" t="str">
        <f>VLOOKUP(A62,Sheet2!$A$2:$R$3432,3,0)</f>
        <v>Sagar Patel</v>
      </c>
      <c r="G62" s="5" t="s">
        <v>25</v>
      </c>
      <c r="H62" s="5" t="s">
        <v>25</v>
      </c>
      <c r="I62" s="5" t="s">
        <v>25</v>
      </c>
      <c r="J62" s="5" t="s">
        <v>25</v>
      </c>
      <c r="K62" s="7" t="str">
        <f>VLOOKUP(A62,Sheet2!$A$2:$R$3432,6,0)</f>
        <v>Honda Activa 3G</v>
      </c>
      <c r="L62" s="5" t="s">
        <v>25</v>
      </c>
      <c r="M62" s="7" t="str">
        <f>VLOOKUP(A62,Sheet2!$A$2:$R$3432,5,0)</f>
        <v>MH12NL3264</v>
      </c>
      <c r="N62" s="5" t="s">
        <v>25</v>
      </c>
      <c r="O62" s="5" t="s">
        <v>25</v>
      </c>
      <c r="P62" s="6" t="s">
        <v>25</v>
      </c>
      <c r="Q62" s="5" t="s">
        <v>25</v>
      </c>
      <c r="R62" s="5" t="s">
        <v>25</v>
      </c>
      <c r="S62" s="5" t="str">
        <f>VLOOKUP(A62,Sheet2!$A$2:$R$3432,18,0)</f>
        <v>JF50EU3325277</v>
      </c>
      <c r="T62" s="7" t="str">
        <f>VLOOKUP(A62,Sheet2!$A$2:$R$3432,17,0)</f>
        <v>ME4JF505HGU325533</v>
      </c>
    </row>
    <row r="63" ht="15.75" customHeight="1">
      <c r="A63" s="3" t="s">
        <v>86</v>
      </c>
      <c r="B63" s="4" t="str">
        <f>VLOOKUP(A63,Sheet2!$A$2:$R$3432,2,0)</f>
        <v>2025-02-13 09:46:31</v>
      </c>
      <c r="C63" s="5" t="s">
        <v>25</v>
      </c>
      <c r="D63" s="6" t="s">
        <v>25</v>
      </c>
      <c r="E63" s="7">
        <f>VLOOKUP(A63,Sheet2!$A$2:$R$3432,4,0)</f>
        <v>8862005550</v>
      </c>
      <c r="F63" s="7" t="str">
        <f>VLOOKUP(A63,Sheet2!$A$2:$R$3432,3,0)</f>
        <v>Vinit Shinde </v>
      </c>
      <c r="G63" s="5" t="s">
        <v>25</v>
      </c>
      <c r="H63" s="5" t="s">
        <v>25</v>
      </c>
      <c r="I63" s="5" t="s">
        <v>25</v>
      </c>
      <c r="J63" s="5" t="s">
        <v>25</v>
      </c>
      <c r="K63" s="7" t="str">
        <f>VLOOKUP(A63,Sheet2!$A$2:$R$3432,6,0)</f>
        <v>Bajaj Avenger 220 Street</v>
      </c>
      <c r="L63" s="5" t="s">
        <v>25</v>
      </c>
      <c r="M63" s="7" t="str">
        <f>VLOOKUP(A63,Sheet2!$A$2:$R$3432,5,0)</f>
        <v>MH20FA4571</v>
      </c>
      <c r="N63" s="5" t="s">
        <v>25</v>
      </c>
      <c r="O63" s="5" t="s">
        <v>25</v>
      </c>
      <c r="P63" s="6" t="s">
        <v>25</v>
      </c>
      <c r="Q63" s="5" t="s">
        <v>25</v>
      </c>
      <c r="R63" s="5" t="s">
        <v>25</v>
      </c>
      <c r="S63" s="5" t="str">
        <f>VLOOKUP(A63,Sheet2!$A$2:$R$3432,18,0)</f>
        <v>PDYCJA38038</v>
      </c>
      <c r="T63" s="7" t="str">
        <f>VLOOKUP(A63,Sheet2!$A$2:$R$3432,17,0)</f>
        <v>MDZA22EYXJCA23954</v>
      </c>
    </row>
    <row r="64" ht="15.75" customHeight="1">
      <c r="A64" s="3" t="s">
        <v>87</v>
      </c>
      <c r="B64" s="4" t="str">
        <f>VLOOKUP(A64,Sheet2!$A$2:$R$3432,2,0)</f>
        <v>2025-02-13 10:55:09</v>
      </c>
      <c r="C64" s="5" t="s">
        <v>25</v>
      </c>
      <c r="D64" s="6" t="s">
        <v>25</v>
      </c>
      <c r="E64" s="7">
        <f>VLOOKUP(A64,Sheet2!$A$2:$R$3432,4,0)</f>
        <v>9762867529</v>
      </c>
      <c r="F64" s="7" t="str">
        <f>VLOOKUP(A64,Sheet2!$A$2:$R$3432,3,0)</f>
        <v>Swapnil</v>
      </c>
      <c r="G64" s="5" t="s">
        <v>25</v>
      </c>
      <c r="H64" s="5" t="s">
        <v>25</v>
      </c>
      <c r="I64" s="5" t="s">
        <v>25</v>
      </c>
      <c r="J64" s="5" t="s">
        <v>25</v>
      </c>
      <c r="K64" s="7" t="str">
        <f>VLOOKUP(A64,Sheet2!$A$2:$R$3432,6,0)</f>
        <v>Bajaj Pulsar 220</v>
      </c>
      <c r="L64" s="5" t="s">
        <v>25</v>
      </c>
      <c r="M64" s="7" t="str">
        <f>VLOOKUP(A64,Sheet2!$A$2:$R$3432,5,0)</f>
        <v>MH14GE6379</v>
      </c>
      <c r="N64" s="5" t="s">
        <v>25</v>
      </c>
      <c r="O64" s="5" t="s">
        <v>25</v>
      </c>
      <c r="P64" s="6" t="s">
        <v>25</v>
      </c>
      <c r="Q64" s="5" t="s">
        <v>25</v>
      </c>
      <c r="R64" s="5" t="s">
        <v>25</v>
      </c>
      <c r="S64" s="5" t="str">
        <f>VLOOKUP(A64,Sheet2!$A$2:$R$3432,18,0)</f>
        <v>DKYCHL96862</v>
      </c>
      <c r="T64" s="7" t="str">
        <f>VLOOKUP(A64,Sheet2!$A$2:$R$3432,17,0)</f>
        <v>MD2A13EY9HCL18592</v>
      </c>
    </row>
    <row r="65" ht="15.75" customHeight="1">
      <c r="A65" s="3" t="s">
        <v>88</v>
      </c>
      <c r="B65" s="4" t="str">
        <f>VLOOKUP(A65,Sheet2!$A$2:$R$3432,2,0)</f>
        <v>2025-02-13 10:58:45</v>
      </c>
      <c r="C65" s="5" t="s">
        <v>25</v>
      </c>
      <c r="D65" s="6" t="s">
        <v>25</v>
      </c>
      <c r="E65" s="7">
        <f>VLOOKUP(A65,Sheet2!$A$2:$R$3432,4,0)</f>
        <v>9373059244</v>
      </c>
      <c r="F65" s="7" t="str">
        <f>VLOOKUP(A65,Sheet2!$A$2:$R$3432,3,0)</f>
        <v>Mandar Kamat</v>
      </c>
      <c r="G65" s="5" t="s">
        <v>25</v>
      </c>
      <c r="H65" s="5" t="s">
        <v>25</v>
      </c>
      <c r="I65" s="5" t="s">
        <v>25</v>
      </c>
      <c r="J65" s="5" t="s">
        <v>25</v>
      </c>
      <c r="K65" s="7" t="str">
        <f>VLOOKUP(A65,Sheet2!$A$2:$R$3432,6,0)</f>
        <v>Honda Unicorn </v>
      </c>
      <c r="L65" s="5" t="s">
        <v>25</v>
      </c>
      <c r="M65" s="7" t="str">
        <f>VLOOKUP(A65,Sheet2!$A$2:$R$3432,5,0)</f>
        <v>MH14DS6471</v>
      </c>
      <c r="N65" s="5" t="s">
        <v>25</v>
      </c>
      <c r="O65" s="5" t="s">
        <v>25</v>
      </c>
      <c r="P65" s="6" t="s">
        <v>25</v>
      </c>
      <c r="Q65" s="5" t="s">
        <v>25</v>
      </c>
      <c r="R65" s="5" t="s">
        <v>25</v>
      </c>
      <c r="S65" s="7" t="str">
        <f>VLOOKUP(A65,Sheet2!$A$2:$R$3432,18,0)</f>
        <v/>
      </c>
      <c r="T65" s="7" t="str">
        <f>VLOOKUP(A65,Sheet2!$A$2:$R$3432,17,0)</f>
        <v>ME4KC09CLC8379563</v>
      </c>
    </row>
    <row r="66" ht="15.75" customHeight="1">
      <c r="A66" s="3" t="s">
        <v>89</v>
      </c>
      <c r="B66" s="4" t="str">
        <f>VLOOKUP(A66,Sheet2!$A$2:$R$3432,2,0)</f>
        <v>2025-02-13 10:56:28</v>
      </c>
      <c r="C66" s="5" t="s">
        <v>25</v>
      </c>
      <c r="D66" s="6" t="s">
        <v>25</v>
      </c>
      <c r="E66" s="7">
        <f>VLOOKUP(A66,Sheet2!$A$2:$R$3432,4,0)</f>
        <v>8149576084</v>
      </c>
      <c r="F66" s="7" t="str">
        <f>VLOOKUP(A66,Sheet2!$A$2:$R$3432,3,0)</f>
        <v>Ruchika Gotmare</v>
      </c>
      <c r="G66" s="5" t="s">
        <v>25</v>
      </c>
      <c r="H66" s="5" t="s">
        <v>25</v>
      </c>
      <c r="I66" s="5" t="s">
        <v>25</v>
      </c>
      <c r="J66" s="5" t="s">
        <v>25</v>
      </c>
      <c r="K66" s="7" t="str">
        <f>VLOOKUP(A66,Sheet2!$A$2:$R$3432,6,0)</f>
        <v>Honda Activa 110</v>
      </c>
      <c r="L66" s="5" t="s">
        <v>25</v>
      </c>
      <c r="M66" s="7" t="str">
        <f>VLOOKUP(A66,Sheet2!$A$2:$R$3432,5,0)</f>
        <v>MH49N8933</v>
      </c>
      <c r="N66" s="5" t="s">
        <v>25</v>
      </c>
      <c r="O66" s="5" t="s">
        <v>25</v>
      </c>
      <c r="P66" s="6" t="s">
        <v>25</v>
      </c>
      <c r="Q66" s="5" t="s">
        <v>25</v>
      </c>
      <c r="R66" s="5" t="s">
        <v>25</v>
      </c>
      <c r="S66" s="5" t="str">
        <f>VLOOKUP(A66,Sheet2!$A$2:$R$3432,18,0)</f>
        <v>JF50E80419268</v>
      </c>
      <c r="T66" s="7" t="str">
        <f>VLOOKUP(A66,Sheet2!$A$2:$R$3432,17,0)</f>
        <v>ME4JF501HD6420586</v>
      </c>
    </row>
    <row r="67" ht="15.75" customHeight="1">
      <c r="A67" s="3" t="s">
        <v>90</v>
      </c>
      <c r="B67" s="4" t="str">
        <f>VLOOKUP(A67,Sheet2!$A$2:$R$3432,2,0)</f>
        <v>2025-02-13 10:58:23</v>
      </c>
      <c r="C67" s="5" t="s">
        <v>25</v>
      </c>
      <c r="D67" s="6" t="s">
        <v>25</v>
      </c>
      <c r="E67" s="7">
        <f>VLOOKUP(A67,Sheet2!$A$2:$R$3432,4,0)</f>
        <v>8792414467</v>
      </c>
      <c r="F67" s="7" t="str">
        <f>VLOOKUP(A67,Sheet2!$A$2:$R$3432,3,0)</f>
        <v>VIPIN</v>
      </c>
      <c r="G67" s="5" t="s">
        <v>25</v>
      </c>
      <c r="H67" s="5" t="s">
        <v>25</v>
      </c>
      <c r="I67" s="5" t="s">
        <v>25</v>
      </c>
      <c r="J67" s="5" t="s">
        <v>25</v>
      </c>
      <c r="K67" s="7" t="str">
        <f>VLOOKUP(A67,Sheet2!$A$2:$R$3432,6,0)</f>
        <v>Hero Hunk </v>
      </c>
      <c r="L67" s="5" t="s">
        <v>25</v>
      </c>
      <c r="M67" s="7" t="str">
        <f>VLOOKUP(A67,Sheet2!$A$2:$R$3432,5,0)</f>
        <v>KA04EW5718</v>
      </c>
      <c r="N67" s="5" t="s">
        <v>25</v>
      </c>
      <c r="O67" s="5" t="s">
        <v>25</v>
      </c>
      <c r="P67" s="6" t="s">
        <v>25</v>
      </c>
      <c r="Q67" s="5" t="s">
        <v>25</v>
      </c>
      <c r="R67" s="5" t="s">
        <v>25</v>
      </c>
      <c r="S67" s="5" t="str">
        <f>VLOOKUP(A67,Sheet2!$A$2:$R$3432,18,0)</f>
        <v>KC13EASGA03580</v>
      </c>
      <c r="T67" s="7" t="str">
        <f>VLOOKUP(A67,Sheet2!$A$2:$R$3432,17,0)</f>
        <v>MBLKC3EA8GA04168</v>
      </c>
    </row>
    <row r="68" ht="15.75" customHeight="1">
      <c r="A68" s="3" t="s">
        <v>91</v>
      </c>
      <c r="B68" s="4" t="str">
        <f>VLOOKUP(A68,Sheet2!$A$2:$R$3432,2,0)</f>
        <v>2025-02-13 10:59:31</v>
      </c>
      <c r="C68" s="5" t="s">
        <v>25</v>
      </c>
      <c r="D68" s="6" t="s">
        <v>25</v>
      </c>
      <c r="E68" s="7">
        <f>VLOOKUP(A68,Sheet2!$A$2:$R$3432,4,0)</f>
        <v>7499978924</v>
      </c>
      <c r="F68" s="7" t="str">
        <f>VLOOKUP(A68,Sheet2!$A$2:$R$3432,3,0)</f>
        <v>MORE</v>
      </c>
      <c r="G68" s="5" t="s">
        <v>25</v>
      </c>
      <c r="H68" s="5" t="s">
        <v>25</v>
      </c>
      <c r="I68" s="5" t="s">
        <v>25</v>
      </c>
      <c r="J68" s="5" t="s">
        <v>25</v>
      </c>
      <c r="K68" s="7" t="str">
        <f>VLOOKUP(A68,Sheet2!$A$2:$R$3432,6,0)</f>
        <v>Honda Unicorn 150</v>
      </c>
      <c r="L68" s="5" t="s">
        <v>25</v>
      </c>
      <c r="M68" s="7" t="str">
        <f>VLOOKUP(A68,Sheet2!$A$2:$R$3432,5,0)</f>
        <v>MH14LM4865</v>
      </c>
      <c r="N68" s="5" t="s">
        <v>25</v>
      </c>
      <c r="O68" s="5" t="s">
        <v>25</v>
      </c>
      <c r="P68" s="6" t="s">
        <v>25</v>
      </c>
      <c r="Q68" s="5" t="s">
        <v>25</v>
      </c>
      <c r="R68" s="5" t="s">
        <v>25</v>
      </c>
      <c r="S68" s="5" t="str">
        <f>VLOOKUP(A68,Sheet2!$A$2:$R$3432,18,0)</f>
        <v>KC40EA122507</v>
      </c>
      <c r="T68" s="7" t="str">
        <f>VLOOKUP(A68,Sheet2!$A$2:$R$3432,17,0)</f>
        <v>M4KC404CRA122279</v>
      </c>
    </row>
    <row r="69" ht="15.75" customHeight="1">
      <c r="A69" s="3" t="s">
        <v>92</v>
      </c>
      <c r="B69" s="4" t="str">
        <f>VLOOKUP(A69,Sheet2!$A$2:$R$3432,2,0)</f>
        <v>2025-05-12 19:11:02</v>
      </c>
      <c r="C69" s="5" t="s">
        <v>25</v>
      </c>
      <c r="D69" s="6" t="s">
        <v>25</v>
      </c>
      <c r="E69" s="7">
        <f>VLOOKUP(A69,Sheet2!$A$2:$R$3432,4,0)</f>
        <v>8668946340</v>
      </c>
      <c r="F69" s="7" t="str">
        <f>VLOOKUP(A69,Sheet2!$A$2:$R$3432,3,0)</f>
        <v>Kishor Tarange</v>
      </c>
      <c r="G69" s="5" t="s">
        <v>25</v>
      </c>
      <c r="H69" s="5" t="s">
        <v>25</v>
      </c>
      <c r="I69" s="5" t="s">
        <v>25</v>
      </c>
      <c r="J69" s="5" t="s">
        <v>25</v>
      </c>
      <c r="K69" s="7" t="str">
        <f>VLOOKUP(A69,Sheet2!$A$2:$R$3432,6,0)</f>
        <v>Hero Destini 125</v>
      </c>
      <c r="L69" s="5" t="s">
        <v>25</v>
      </c>
      <c r="M69" s="7" t="str">
        <f>VLOOKUP(A69,Sheet2!$A$2:$R$3432,5,0)</f>
        <v>MH25AU7335</v>
      </c>
      <c r="N69" s="5" t="s">
        <v>25</v>
      </c>
      <c r="O69" s="5" t="s">
        <v>25</v>
      </c>
      <c r="P69" s="6" t="s">
        <v>25</v>
      </c>
      <c r="Q69" s="5" t="s">
        <v>25</v>
      </c>
      <c r="R69" s="5" t="s">
        <v>25</v>
      </c>
      <c r="S69" s="7" t="str">
        <f>VLOOKUP(A69,Sheet2!$A$2:$R$3432,18,0)</f>
        <v/>
      </c>
      <c r="T69" s="7" t="str">
        <f>VLOOKUP(A69,Sheet2!$A$2:$R$3432,17,0)</f>
        <v/>
      </c>
    </row>
    <row r="70" ht="15.75" customHeight="1">
      <c r="A70" s="3" t="s">
        <v>93</v>
      </c>
      <c r="B70" s="4" t="str">
        <f>VLOOKUP(A70,Sheet2!$A$2:$R$3432,2,0)</f>
        <v>2025-05-12 19:12:33</v>
      </c>
      <c r="C70" s="5" t="s">
        <v>25</v>
      </c>
      <c r="D70" s="6" t="s">
        <v>25</v>
      </c>
      <c r="E70" s="7">
        <f>VLOOKUP(A70,Sheet2!$A$2:$R$3432,4,0)</f>
        <v>8793072076</v>
      </c>
      <c r="F70" s="7" t="str">
        <f>VLOOKUP(A70,Sheet2!$A$2:$R$3432,3,0)</f>
        <v>Girish Satav</v>
      </c>
      <c r="G70" s="5" t="s">
        <v>25</v>
      </c>
      <c r="H70" s="5" t="s">
        <v>25</v>
      </c>
      <c r="I70" s="5" t="s">
        <v>25</v>
      </c>
      <c r="J70" s="5" t="s">
        <v>25</v>
      </c>
      <c r="K70" s="7" t="str">
        <f>VLOOKUP(A70,Sheet2!$A$2:$R$3432,6,0)</f>
        <v>Royal Enfield Classic 350</v>
      </c>
      <c r="L70" s="5" t="s">
        <v>25</v>
      </c>
      <c r="M70" s="7" t="str">
        <f>VLOOKUP(A70,Sheet2!$A$2:$R$3432,5,0)</f>
        <v>MH12KG0010</v>
      </c>
      <c r="N70" s="5" t="s">
        <v>25</v>
      </c>
      <c r="O70" s="5" t="s">
        <v>25</v>
      </c>
      <c r="P70" s="6" t="s">
        <v>25</v>
      </c>
      <c r="Q70" s="5" t="s">
        <v>25</v>
      </c>
      <c r="R70" s="5" t="s">
        <v>25</v>
      </c>
      <c r="S70" s="7" t="str">
        <f>VLOOKUP(A70,Sheet2!$A$2:$R$3432,18,0)</f>
        <v/>
      </c>
      <c r="T70" s="7" t="str">
        <f>VLOOKUP(A70,Sheet2!$A$2:$R$3432,17,0)</f>
        <v/>
      </c>
    </row>
    <row r="71" ht="15.75" customHeight="1">
      <c r="A71" s="3" t="s">
        <v>94</v>
      </c>
      <c r="B71" s="4" t="str">
        <f>VLOOKUP(A71,Sheet2!$A$2:$R$3432,2,0)</f>
        <v>2025-05-12 19:44:34</v>
      </c>
      <c r="C71" s="5" t="s">
        <v>25</v>
      </c>
      <c r="D71" s="6" t="s">
        <v>25</v>
      </c>
      <c r="E71" s="7">
        <f>VLOOKUP(A71,Sheet2!$A$2:$R$3432,4,0)</f>
        <v>9922412060</v>
      </c>
      <c r="F71" s="7" t="str">
        <f>VLOOKUP(A71,Sheet2!$A$2:$R$3432,3,0)</f>
        <v>Yogesh Ingale</v>
      </c>
      <c r="G71" s="5" t="s">
        <v>25</v>
      </c>
      <c r="H71" s="5" t="s">
        <v>25</v>
      </c>
      <c r="I71" s="5" t="s">
        <v>25</v>
      </c>
      <c r="J71" s="5" t="s">
        <v>25</v>
      </c>
      <c r="K71" s="7" t="str">
        <f>VLOOKUP(A71,Sheet2!$A$2:$R$3432,6,0)</f>
        <v>TVS Wego </v>
      </c>
      <c r="L71" s="5" t="s">
        <v>25</v>
      </c>
      <c r="M71" s="7" t="str">
        <f>VLOOKUP(A71,Sheet2!$A$2:$R$3432,5,0)</f>
        <v>MH14EW7129</v>
      </c>
      <c r="N71" s="5" t="s">
        <v>25</v>
      </c>
      <c r="O71" s="5" t="s">
        <v>25</v>
      </c>
      <c r="P71" s="6" t="s">
        <v>25</v>
      </c>
      <c r="Q71" s="5" t="s">
        <v>25</v>
      </c>
      <c r="R71" s="5" t="s">
        <v>25</v>
      </c>
      <c r="S71" s="7" t="str">
        <f>VLOOKUP(A71,Sheet2!$A$2:$R$3432,18,0)</f>
        <v/>
      </c>
      <c r="T71" s="7" t="str">
        <f>VLOOKUP(A71,Sheet2!$A$2:$R$3432,17,0)</f>
        <v>MD626AG48E1207593</v>
      </c>
    </row>
    <row r="72" ht="15.75" customHeight="1">
      <c r="A72" s="3" t="s">
        <v>95</v>
      </c>
      <c r="B72" s="4" t="str">
        <f>VLOOKUP(A72,Sheet2!$A$2:$R$3432,2,0)</f>
        <v>2025-05-12 19:44:57</v>
      </c>
      <c r="C72" s="5" t="s">
        <v>25</v>
      </c>
      <c r="D72" s="6" t="s">
        <v>25</v>
      </c>
      <c r="E72" s="7">
        <f>VLOOKUP(A72,Sheet2!$A$2:$R$3432,4,0)</f>
        <v>7045309011</v>
      </c>
      <c r="F72" s="7" t="str">
        <f>VLOOKUP(A72,Sheet2!$A$2:$R$3432,3,0)</f>
        <v>Deepanjan</v>
      </c>
      <c r="G72" s="5" t="s">
        <v>25</v>
      </c>
      <c r="H72" s="5" t="s">
        <v>25</v>
      </c>
      <c r="I72" s="5" t="s">
        <v>25</v>
      </c>
      <c r="J72" s="5" t="s">
        <v>25</v>
      </c>
      <c r="K72" s="7" t="str">
        <f>VLOOKUP(A72,Sheet2!$A$2:$R$3432,6,0)</f>
        <v>Bajaj Avenger 150 Street</v>
      </c>
      <c r="L72" s="5" t="s">
        <v>25</v>
      </c>
      <c r="M72" s="7" t="str">
        <f>VLOOKUP(A72,Sheet2!$A$2:$R$3432,5,0)</f>
        <v>MH12NT3423</v>
      </c>
      <c r="N72" s="5" t="s">
        <v>25</v>
      </c>
      <c r="O72" s="5" t="s">
        <v>25</v>
      </c>
      <c r="P72" s="6" t="s">
        <v>25</v>
      </c>
      <c r="Q72" s="5" t="s">
        <v>25</v>
      </c>
      <c r="R72" s="5" t="s">
        <v>25</v>
      </c>
      <c r="S72" s="5" t="str">
        <f>VLOOKUP(A72,Sheet2!$A$2:$R$3432,18,0)</f>
        <v>PDYCGJ58802</v>
      </c>
      <c r="T72" s="7" t="str">
        <f>VLOOKUP(A72,Sheet2!$A$2:$R$3432,17,0)</f>
        <v>MD2A85CY4GCJ02450</v>
      </c>
    </row>
    <row r="73" ht="15.75" customHeight="1">
      <c r="A73" s="3" t="s">
        <v>96</v>
      </c>
      <c r="B73" s="4" t="str">
        <f>VLOOKUP(A73,Sheet2!$A$2:$R$3432,2,0)</f>
        <v>2025-05-12 20:02:59</v>
      </c>
      <c r="C73" s="5" t="s">
        <v>25</v>
      </c>
      <c r="D73" s="6" t="s">
        <v>25</v>
      </c>
      <c r="E73" s="7">
        <f>VLOOKUP(A73,Sheet2!$A$2:$R$3432,4,0)</f>
        <v>7350018212</v>
      </c>
      <c r="F73" s="7" t="str">
        <f>VLOOKUP(A73,Sheet2!$A$2:$R$3432,3,0)</f>
        <v>Prashant </v>
      </c>
      <c r="G73" s="5" t="s">
        <v>25</v>
      </c>
      <c r="H73" s="5" t="s">
        <v>25</v>
      </c>
      <c r="I73" s="5" t="s">
        <v>25</v>
      </c>
      <c r="J73" s="5" t="s">
        <v>25</v>
      </c>
      <c r="K73" s="7" t="str">
        <f>VLOOKUP(A73,Sheet2!$A$2:$R$3432,6,0)</f>
        <v>Honda Activa 6G</v>
      </c>
      <c r="L73" s="5" t="s">
        <v>25</v>
      </c>
      <c r="M73" s="7" t="str">
        <f>VLOOKUP(A73,Sheet2!$A$2:$R$3432,5,0)</f>
        <v>MH14KT3518</v>
      </c>
      <c r="N73" s="5" t="s">
        <v>25</v>
      </c>
      <c r="O73" s="5" t="s">
        <v>25</v>
      </c>
      <c r="P73" s="6" t="s">
        <v>25</v>
      </c>
      <c r="Q73" s="5" t="s">
        <v>25</v>
      </c>
      <c r="R73" s="5" t="s">
        <v>25</v>
      </c>
      <c r="S73" s="7" t="str">
        <f>VLOOKUP(A73,Sheet2!$A$2:$R$3432,18,0)</f>
        <v/>
      </c>
      <c r="T73" s="7" t="str">
        <f>VLOOKUP(A73,Sheet2!$A$2:$R$3432,17,0)</f>
        <v>JK15EG4021H9</v>
      </c>
    </row>
    <row r="74" ht="15.75" customHeight="1">
      <c r="A74" s="3" t="s">
        <v>97</v>
      </c>
      <c r="B74" s="4" t="str">
        <f>VLOOKUP(A74,Sheet2!$A$2:$R$3432,2,0)</f>
        <v>2025-05-12 20:12:23</v>
      </c>
      <c r="C74" s="5" t="s">
        <v>25</v>
      </c>
      <c r="D74" s="6" t="s">
        <v>25</v>
      </c>
      <c r="E74" s="7">
        <f>VLOOKUP(A74,Sheet2!$A$2:$R$3432,4,0)</f>
        <v>9945928580</v>
      </c>
      <c r="F74" s="7" t="str">
        <f>VLOOKUP(A74,Sheet2!$A$2:$R$3432,3,0)</f>
        <v>SHRIKANT</v>
      </c>
      <c r="G74" s="5" t="s">
        <v>25</v>
      </c>
      <c r="H74" s="5" t="s">
        <v>25</v>
      </c>
      <c r="I74" s="5" t="s">
        <v>25</v>
      </c>
      <c r="J74" s="5" t="s">
        <v>25</v>
      </c>
      <c r="K74" s="7" t="str">
        <f>VLOOKUP(A74,Sheet2!$A$2:$R$3432,6,0)</f>
        <v>Bajaj Avenger 220 Street</v>
      </c>
      <c r="L74" s="5" t="s">
        <v>25</v>
      </c>
      <c r="M74" s="7" t="str">
        <f>VLOOKUP(A74,Sheet2!$A$2:$R$3432,5,0)</f>
        <v>MH27CE0844</v>
      </c>
      <c r="N74" s="5" t="s">
        <v>25</v>
      </c>
      <c r="O74" s="5" t="s">
        <v>25</v>
      </c>
      <c r="P74" s="6" t="s">
        <v>25</v>
      </c>
      <c r="Q74" s="5" t="s">
        <v>25</v>
      </c>
      <c r="R74" s="5" t="s">
        <v>25</v>
      </c>
      <c r="S74" s="7" t="str">
        <f>VLOOKUP(A74,Sheet2!$A$2:$R$3432,18,0)</f>
        <v/>
      </c>
      <c r="T74" s="7" t="str">
        <f>VLOOKUP(A74,Sheet2!$A$2:$R$3432,17,0)</f>
        <v/>
      </c>
    </row>
    <row r="75" ht="15.75" customHeight="1">
      <c r="A75" s="3" t="s">
        <v>98</v>
      </c>
      <c r="B75" s="4" t="str">
        <f>VLOOKUP(A75,Sheet2!$A$2:$R$3432,2,0)</f>
        <v>2025-05-12 19:13:21</v>
      </c>
      <c r="C75" s="5" t="s">
        <v>25</v>
      </c>
      <c r="D75" s="6" t="s">
        <v>25</v>
      </c>
      <c r="E75" s="7">
        <f>VLOOKUP(A75,Sheet2!$A$2:$R$3432,4,0)</f>
        <v>8793072076</v>
      </c>
      <c r="F75" s="7" t="str">
        <f>VLOOKUP(A75,Sheet2!$A$2:$R$3432,3,0)</f>
        <v>Girish Satav</v>
      </c>
      <c r="G75" s="5" t="s">
        <v>25</v>
      </c>
      <c r="H75" s="5" t="s">
        <v>25</v>
      </c>
      <c r="I75" s="5" t="s">
        <v>25</v>
      </c>
      <c r="J75" s="5" t="s">
        <v>25</v>
      </c>
      <c r="K75" s="7" t="str">
        <f>VLOOKUP(A75,Sheet2!$A$2:$R$3432,6,0)</f>
        <v>Hero Splendor iSmart</v>
      </c>
      <c r="L75" s="5" t="s">
        <v>25</v>
      </c>
      <c r="M75" s="7" t="str">
        <f>VLOOKUP(A75,Sheet2!$A$2:$R$3432,5,0)</f>
        <v>MH12LS9446</v>
      </c>
      <c r="N75" s="5" t="s">
        <v>25</v>
      </c>
      <c r="O75" s="5" t="s">
        <v>25</v>
      </c>
      <c r="P75" s="6" t="s">
        <v>25</v>
      </c>
      <c r="Q75" s="5" t="s">
        <v>25</v>
      </c>
      <c r="R75" s="5" t="s">
        <v>25</v>
      </c>
      <c r="S75" s="7" t="str">
        <f>VLOOKUP(A75,Sheet2!$A$2:$R$3432,18,0)</f>
        <v/>
      </c>
      <c r="T75" s="7" t="str">
        <f>VLOOKUP(A75,Sheet2!$A$2:$R$3432,17,0)</f>
        <v/>
      </c>
    </row>
    <row r="76" ht="15.75" customHeight="1">
      <c r="A76" s="3" t="s">
        <v>99</v>
      </c>
      <c r="B76" s="4" t="str">
        <f>VLOOKUP(A76,Sheet2!$A$2:$R$3432,2,0)</f>
        <v>2025-05-12 19:14:19</v>
      </c>
      <c r="C76" s="5" t="s">
        <v>25</v>
      </c>
      <c r="D76" s="6" t="s">
        <v>25</v>
      </c>
      <c r="E76" s="7">
        <f>VLOOKUP(A76,Sheet2!$A$2:$R$3432,4,0)</f>
        <v>9657818768</v>
      </c>
      <c r="F76" s="7" t="str">
        <f>VLOOKUP(A76,Sheet2!$A$2:$R$3432,3,0)</f>
        <v>Amit Sonawane </v>
      </c>
      <c r="G76" s="5" t="s">
        <v>25</v>
      </c>
      <c r="H76" s="5" t="s">
        <v>25</v>
      </c>
      <c r="I76" s="5" t="s">
        <v>25</v>
      </c>
      <c r="J76" s="5" t="s">
        <v>25</v>
      </c>
      <c r="K76" s="7" t="str">
        <f>VLOOKUP(A76,Sheet2!$A$2:$R$3432,6,0)</f>
        <v>Bajaj Pulsar 220</v>
      </c>
      <c r="L76" s="5" t="s">
        <v>25</v>
      </c>
      <c r="M76" s="7" t="str">
        <f>VLOOKUP(A76,Sheet2!$A$2:$R$3432,5,0)</f>
        <v>MH14HC9709</v>
      </c>
      <c r="N76" s="5" t="s">
        <v>25</v>
      </c>
      <c r="O76" s="5" t="s">
        <v>25</v>
      </c>
      <c r="P76" s="6" t="s">
        <v>25</v>
      </c>
      <c r="Q76" s="5" t="s">
        <v>25</v>
      </c>
      <c r="R76" s="5" t="s">
        <v>25</v>
      </c>
      <c r="S76" s="5" t="str">
        <f>VLOOKUP(A76,Sheet2!$A$2:$R$3432,18,0)</f>
        <v>DKYCJF14476</v>
      </c>
      <c r="T76" s="7" t="str">
        <f>VLOOKUP(A76,Sheet2!$A$2:$R$3432,17,0)</f>
        <v>MD2413EY3JCF73859</v>
      </c>
    </row>
    <row r="77" ht="15.75" customHeight="1">
      <c r="A77" s="3" t="s">
        <v>100</v>
      </c>
      <c r="B77" s="4" t="str">
        <f>VLOOKUP(A77,Sheet2!$A$2:$R$3432,2,0)</f>
        <v>2025-05-12 11:53:10</v>
      </c>
      <c r="C77" s="5" t="s">
        <v>25</v>
      </c>
      <c r="D77" s="6" t="s">
        <v>25</v>
      </c>
      <c r="E77" s="7">
        <f>VLOOKUP(A77,Sheet2!$A$2:$R$3432,4,0)</f>
        <v>8484849999</v>
      </c>
      <c r="F77" s="7" t="str">
        <f>VLOOKUP(A77,Sheet2!$A$2:$R$3432,3,0)</f>
        <v>Amar Gavali</v>
      </c>
      <c r="G77" s="5" t="s">
        <v>25</v>
      </c>
      <c r="H77" s="5" t="s">
        <v>25</v>
      </c>
      <c r="I77" s="5" t="s">
        <v>25</v>
      </c>
      <c r="J77" s="5" t="s">
        <v>25</v>
      </c>
      <c r="K77" s="7" t="str">
        <f>VLOOKUP(A77,Sheet2!$A$2:$R$3432,6,0)</f>
        <v>Honda Activa 3G</v>
      </c>
      <c r="L77" s="5" t="s">
        <v>25</v>
      </c>
      <c r="M77" s="7" t="str">
        <f>VLOOKUP(A77,Sheet2!$A$2:$R$3432,5,0)</f>
        <v>MH14FZ9383</v>
      </c>
      <c r="N77" s="5" t="s">
        <v>25</v>
      </c>
      <c r="O77" s="5" t="s">
        <v>25</v>
      </c>
      <c r="P77" s="6" t="s">
        <v>25</v>
      </c>
      <c r="Q77" s="5" t="s">
        <v>25</v>
      </c>
      <c r="R77" s="5" t="s">
        <v>25</v>
      </c>
      <c r="S77" s="5" t="str">
        <f>VLOOKUP(A77,Sheet2!$A$2:$R$3432,18,0)</f>
        <v>JF50EU3409847</v>
      </c>
      <c r="T77" s="7" t="str">
        <f>VLOOKUP(A77,Sheet2!$A$2:$R$3432,17,0)</f>
        <v>ME4JF505JGU41</v>
      </c>
    </row>
    <row r="78" ht="15.75" customHeight="1">
      <c r="A78" s="3" t="s">
        <v>101</v>
      </c>
      <c r="B78" s="4" t="str">
        <f>VLOOKUP(A78,Sheet2!$A$2:$R$3432,2,0)</f>
        <v>2025-05-12 14:58:50</v>
      </c>
      <c r="C78" s="5" t="s">
        <v>25</v>
      </c>
      <c r="D78" s="6" t="s">
        <v>25</v>
      </c>
      <c r="E78" s="7">
        <f>VLOOKUP(A78,Sheet2!$A$2:$R$3432,4,0)</f>
        <v>6261004099</v>
      </c>
      <c r="F78" s="7" t="str">
        <f>VLOOKUP(A78,Sheet2!$A$2:$R$3432,3,0)</f>
        <v>Roshani</v>
      </c>
      <c r="G78" s="5" t="s">
        <v>25</v>
      </c>
      <c r="H78" s="5" t="s">
        <v>25</v>
      </c>
      <c r="I78" s="5" t="s">
        <v>25</v>
      </c>
      <c r="J78" s="5" t="s">
        <v>25</v>
      </c>
      <c r="K78" s="7" t="str">
        <f>VLOOKUP(A78,Sheet2!$A$2:$R$3432,6,0)</f>
        <v>Honda Activa </v>
      </c>
      <c r="L78" s="5" t="s">
        <v>25</v>
      </c>
      <c r="M78" s="7" t="str">
        <f>VLOOKUP(A78,Sheet2!$A$2:$R$3432,5,0)</f>
        <v>MH12MG1139</v>
      </c>
      <c r="N78" s="5" t="s">
        <v>25</v>
      </c>
      <c r="O78" s="5" t="s">
        <v>25</v>
      </c>
      <c r="P78" s="6" t="s">
        <v>25</v>
      </c>
      <c r="Q78" s="5" t="s">
        <v>25</v>
      </c>
      <c r="R78" s="5" t="s">
        <v>25</v>
      </c>
      <c r="S78" s="7" t="str">
        <f>VLOOKUP(A78,Sheet2!$A$2:$R$3432,18,0)</f>
        <v/>
      </c>
      <c r="T78" s="7" t="str">
        <f>VLOOKUP(A78,Sheet2!$A$2:$R$3432,17,0)</f>
        <v/>
      </c>
    </row>
    <row r="79" ht="15.75" customHeight="1">
      <c r="A79" s="3" t="s">
        <v>102</v>
      </c>
      <c r="B79" s="4" t="str">
        <f>VLOOKUP(A79,Sheet2!$A$2:$R$3432,2,0)</f>
        <v>2025-05-12 19:15:14</v>
      </c>
      <c r="C79" s="5" t="s">
        <v>25</v>
      </c>
      <c r="D79" s="6" t="s">
        <v>25</v>
      </c>
      <c r="E79" s="7">
        <f>VLOOKUP(A79,Sheet2!$A$2:$R$3432,4,0)</f>
        <v>8484088353</v>
      </c>
      <c r="F79" s="7" t="str">
        <f>VLOOKUP(A79,Sheet2!$A$2:$R$3432,3,0)</f>
        <v>Akshay </v>
      </c>
      <c r="G79" s="5" t="s">
        <v>25</v>
      </c>
      <c r="H79" s="5" t="s">
        <v>25</v>
      </c>
      <c r="I79" s="5" t="s">
        <v>25</v>
      </c>
      <c r="J79" s="5" t="s">
        <v>25</v>
      </c>
      <c r="K79" s="7" t="str">
        <f>VLOOKUP(A79,Sheet2!$A$2:$R$3432,6,0)</f>
        <v>Honda Activa 4G</v>
      </c>
      <c r="L79" s="5" t="s">
        <v>25</v>
      </c>
      <c r="M79" s="7" t="str">
        <f>VLOOKUP(A79,Sheet2!$A$2:$R$3432,5,0)</f>
        <v>MH14GK4333</v>
      </c>
      <c r="N79" s="5" t="s">
        <v>25</v>
      </c>
      <c r="O79" s="5" t="s">
        <v>25</v>
      </c>
      <c r="P79" s="6" t="s">
        <v>25</v>
      </c>
      <c r="Q79" s="5" t="s">
        <v>25</v>
      </c>
      <c r="R79" s="5" t="s">
        <v>25</v>
      </c>
      <c r="S79" s="5" t="str">
        <f>VLOOKUP(A79,Sheet2!$A$2:$R$3432,18,0)</f>
        <v>JF50EU5424616</v>
      </c>
      <c r="T79" s="7" t="str">
        <f>VLOOKUP(A79,Sheet2!$A$2:$R$3432,17,0)</f>
        <v>ME4JF507GHU424715</v>
      </c>
    </row>
    <row r="80" ht="15.75" customHeight="1">
      <c r="A80" s="3" t="s">
        <v>103</v>
      </c>
      <c r="B80" s="4" t="str">
        <f>VLOOKUP(A80,Sheet2!$A$2:$R$3432,2,0)</f>
        <v>2025-05-12 20:31:59</v>
      </c>
      <c r="C80" s="5" t="s">
        <v>25</v>
      </c>
      <c r="D80" s="6" t="s">
        <v>25</v>
      </c>
      <c r="E80" s="7">
        <f>VLOOKUP(A80,Sheet2!$A$2:$R$3432,4,0)</f>
        <v>8888406409</v>
      </c>
      <c r="F80" s="7" t="str">
        <f>VLOOKUP(A80,Sheet2!$A$2:$R$3432,3,0)</f>
        <v>Shubham </v>
      </c>
      <c r="G80" s="5" t="s">
        <v>25</v>
      </c>
      <c r="H80" s="5" t="s">
        <v>25</v>
      </c>
      <c r="I80" s="5" t="s">
        <v>25</v>
      </c>
      <c r="J80" s="5" t="s">
        <v>25</v>
      </c>
      <c r="K80" s="7" t="str">
        <f>VLOOKUP(A80,Sheet2!$A$2:$R$3432,6,0)</f>
        <v>Honda Activa 3G</v>
      </c>
      <c r="L80" s="5" t="s">
        <v>25</v>
      </c>
      <c r="M80" s="7" t="str">
        <f>VLOOKUP(A80,Sheet2!$A$2:$R$3432,5,0)</f>
        <v>MH12LY8292</v>
      </c>
      <c r="N80" s="5" t="s">
        <v>25</v>
      </c>
      <c r="O80" s="5" t="s">
        <v>25</v>
      </c>
      <c r="P80" s="6" t="s">
        <v>25</v>
      </c>
      <c r="Q80" s="5" t="s">
        <v>25</v>
      </c>
      <c r="R80" s="5" t="s">
        <v>25</v>
      </c>
      <c r="S80" s="5" t="str">
        <f>VLOOKUP(A80,Sheet2!$A$2:$R$3432,18,0)</f>
        <v>JF50E-T-2221776</v>
      </c>
      <c r="T80" s="7" t="str">
        <f>VLOOKUP(A80,Sheet2!$A$2:$R$3432,17,0)</f>
        <v>ME4JF5040F1220970</v>
      </c>
    </row>
    <row r="81" ht="15.75" customHeight="1">
      <c r="A81" s="3" t="s">
        <v>104</v>
      </c>
      <c r="B81" s="4" t="str">
        <f>VLOOKUP(A81,Sheet2!$A$2:$R$3432,2,0)</f>
        <v>2025-05-12 14:58:25</v>
      </c>
      <c r="C81" s="5" t="s">
        <v>25</v>
      </c>
      <c r="D81" s="6" t="s">
        <v>25</v>
      </c>
      <c r="E81" s="7">
        <f>VLOOKUP(A81,Sheet2!$A$2:$R$3432,4,0)</f>
        <v>9421785042</v>
      </c>
      <c r="F81" s="7" t="str">
        <f>VLOOKUP(A81,Sheet2!$A$2:$R$3432,3,0)</f>
        <v>SAURABH DHAIT</v>
      </c>
      <c r="G81" s="5" t="s">
        <v>25</v>
      </c>
      <c r="H81" s="5" t="s">
        <v>25</v>
      </c>
      <c r="I81" s="5" t="s">
        <v>25</v>
      </c>
      <c r="J81" s="5" t="s">
        <v>25</v>
      </c>
      <c r="K81" s="7" t="str">
        <f>VLOOKUP(A81,Sheet2!$A$2:$R$3432,6,0)</f>
        <v>Bajaj Pulsar 150</v>
      </c>
      <c r="L81" s="5" t="s">
        <v>25</v>
      </c>
      <c r="M81" s="7" t="str">
        <f>VLOOKUP(A81,Sheet2!$A$2:$R$3432,5,0)</f>
        <v>MH33AH0909</v>
      </c>
      <c r="N81" s="5" t="s">
        <v>25</v>
      </c>
      <c r="O81" s="5" t="s">
        <v>25</v>
      </c>
      <c r="P81" s="6" t="s">
        <v>25</v>
      </c>
      <c r="Q81" s="5" t="s">
        <v>25</v>
      </c>
      <c r="R81" s="5" t="s">
        <v>25</v>
      </c>
      <c r="S81" s="7" t="str">
        <f>VLOOKUP(A81,Sheet2!$A$2:$R$3432,18,0)</f>
        <v/>
      </c>
      <c r="T81" s="7" t="str">
        <f>VLOOKUP(A81,Sheet2!$A$2:$R$3432,17,0)</f>
        <v/>
      </c>
    </row>
    <row r="82" ht="15.75" customHeight="1">
      <c r="A82" s="3" t="s">
        <v>105</v>
      </c>
      <c r="B82" s="4" t="str">
        <f>VLOOKUP(A82,Sheet2!$A$2:$R$3432,2,0)</f>
        <v>2025-05-12 19:15:58</v>
      </c>
      <c r="C82" s="5" t="s">
        <v>25</v>
      </c>
      <c r="D82" s="6" t="s">
        <v>25</v>
      </c>
      <c r="E82" s="7">
        <f>VLOOKUP(A82,Sheet2!$A$2:$R$3432,4,0)</f>
        <v>7903585235</v>
      </c>
      <c r="F82" s="7" t="str">
        <f>VLOOKUP(A82,Sheet2!$A$2:$R$3432,3,0)</f>
        <v>Neeraj </v>
      </c>
      <c r="G82" s="5" t="s">
        <v>25</v>
      </c>
      <c r="H82" s="5" t="s">
        <v>25</v>
      </c>
      <c r="I82" s="5" t="s">
        <v>25</v>
      </c>
      <c r="J82" s="5" t="s">
        <v>25</v>
      </c>
      <c r="K82" s="7" t="str">
        <f>VLOOKUP(A82,Sheet2!$A$2:$R$3432,6,0)</f>
        <v>Honda Aviator </v>
      </c>
      <c r="L82" s="5" t="s">
        <v>25</v>
      </c>
      <c r="M82" s="7" t="str">
        <f>VLOOKUP(A82,Sheet2!$A$2:$R$3432,5,0)</f>
        <v>MH14ES5704</v>
      </c>
      <c r="N82" s="5" t="s">
        <v>25</v>
      </c>
      <c r="O82" s="5" t="s">
        <v>25</v>
      </c>
      <c r="P82" s="6" t="s">
        <v>25</v>
      </c>
      <c r="Q82" s="5" t="s">
        <v>25</v>
      </c>
      <c r="R82" s="5" t="s">
        <v>25</v>
      </c>
      <c r="S82" s="5" t="str">
        <f>VLOOKUP(A82,Sheet2!$A$2:$R$3432,18,0)</f>
        <v>JF21E80227758</v>
      </c>
      <c r="T82" s="7" t="str">
        <f>VLOOKUP(A82,Sheet2!$A$2:$R$3432,17,0)</f>
        <v>RUSTY FRAME </v>
      </c>
    </row>
    <row r="83" ht="15.75" customHeight="1">
      <c r="A83" s="3" t="s">
        <v>106</v>
      </c>
      <c r="B83" s="4" t="str">
        <f>VLOOKUP(A83,Sheet2!$A$2:$R$3432,2,0)</f>
        <v>2025-05-12 19:16:42</v>
      </c>
      <c r="C83" s="5" t="s">
        <v>25</v>
      </c>
      <c r="D83" s="6" t="s">
        <v>25</v>
      </c>
      <c r="E83" s="7">
        <f>VLOOKUP(A83,Sheet2!$A$2:$R$3432,4,0)</f>
        <v>8208875504</v>
      </c>
      <c r="F83" s="7" t="str">
        <f>VLOOKUP(A83,Sheet2!$A$2:$R$3432,3,0)</f>
        <v>Nikhil Mourya</v>
      </c>
      <c r="G83" s="5" t="s">
        <v>25</v>
      </c>
      <c r="H83" s="5" t="s">
        <v>25</v>
      </c>
      <c r="I83" s="5" t="s">
        <v>25</v>
      </c>
      <c r="J83" s="5" t="s">
        <v>25</v>
      </c>
      <c r="K83" s="7" t="str">
        <f>VLOOKUP(A83,Sheet2!$A$2:$R$3432,6,0)</f>
        <v>Suzuki Access 125</v>
      </c>
      <c r="L83" s="5" t="s">
        <v>25</v>
      </c>
      <c r="M83" s="7" t="str">
        <f>VLOOKUP(A83,Sheet2!$A$2:$R$3432,5,0)</f>
        <v>MH14GV2484</v>
      </c>
      <c r="N83" s="5" t="s">
        <v>25</v>
      </c>
      <c r="O83" s="5" t="s">
        <v>25</v>
      </c>
      <c r="P83" s="6" t="s">
        <v>25</v>
      </c>
      <c r="Q83" s="5" t="s">
        <v>25</v>
      </c>
      <c r="R83" s="5" t="s">
        <v>25</v>
      </c>
      <c r="S83" s="5" t="str">
        <f>VLOOKUP(A83,Sheet2!$A$2:$R$3432,18,0)</f>
        <v>AF211398397</v>
      </c>
      <c r="T83" s="7" t="str">
        <f>VLOOKUP(A83,Sheet2!$A$2:$R$3432,17,0)</f>
        <v>MBBDP11AKH8514457</v>
      </c>
    </row>
    <row r="84" ht="15.75" customHeight="1">
      <c r="A84" s="3" t="s">
        <v>107</v>
      </c>
      <c r="B84" s="4" t="str">
        <f>VLOOKUP(A84,Sheet2!$A$2:$R$3432,2,0)</f>
        <v>2024-12-01 21:02:11</v>
      </c>
      <c r="C84" s="5" t="s">
        <v>25</v>
      </c>
      <c r="D84" s="6" t="s">
        <v>25</v>
      </c>
      <c r="E84" s="7">
        <f>VLOOKUP(A84,Sheet2!$A$2:$R$3432,4,0)</f>
        <v>9595777496</v>
      </c>
      <c r="F84" s="7" t="str">
        <f>VLOOKUP(A84,Sheet2!$A$2:$R$3432,3,0)</f>
        <v>Saurabh Shinde </v>
      </c>
      <c r="G84" s="5" t="s">
        <v>25</v>
      </c>
      <c r="H84" s="5" t="s">
        <v>25</v>
      </c>
      <c r="I84" s="5" t="s">
        <v>25</v>
      </c>
      <c r="J84" s="5" t="s">
        <v>25</v>
      </c>
      <c r="K84" s="7" t="str">
        <f>VLOOKUP(A84,Sheet2!$A$2:$R$3432,6,0)</f>
        <v>Royal Enfield Bullet 350</v>
      </c>
      <c r="L84" s="5" t="s">
        <v>25</v>
      </c>
      <c r="M84" s="7" t="str">
        <f>VLOOKUP(A84,Sheet2!$A$2:$R$3432,5,0)</f>
        <v>MH34CC3562</v>
      </c>
      <c r="N84" s="5" t="s">
        <v>25</v>
      </c>
      <c r="O84" s="5" t="s">
        <v>25</v>
      </c>
      <c r="P84" s="6" t="s">
        <v>25</v>
      </c>
      <c r="Q84" s="5" t="s">
        <v>25</v>
      </c>
      <c r="R84" s="5" t="s">
        <v>25</v>
      </c>
      <c r="S84" s="7" t="str">
        <f>VLOOKUP(A84,Sheet2!$A$2:$R$3432,18,0)</f>
        <v/>
      </c>
      <c r="T84" s="7" t="str">
        <f>VLOOKUP(A84,Sheet2!$A$2:$R$3432,17,0)</f>
        <v>ME3J3D5FKNT100345</v>
      </c>
    </row>
    <row r="85" ht="15.75" customHeight="1">
      <c r="A85" s="3" t="s">
        <v>108</v>
      </c>
      <c r="B85" s="4" t="str">
        <f>VLOOKUP(A85,Sheet2!$A$2:$R$3432,2,0)</f>
        <v>2024-12-01 13:28:59</v>
      </c>
      <c r="C85" s="5" t="s">
        <v>25</v>
      </c>
      <c r="D85" s="6" t="s">
        <v>25</v>
      </c>
      <c r="E85" s="7">
        <f>VLOOKUP(A85,Sheet2!$A$2:$R$3432,4,0)</f>
        <v>7744067593</v>
      </c>
      <c r="F85" s="7" t="str">
        <f>VLOOKUP(A85,Sheet2!$A$2:$R$3432,3,0)</f>
        <v>Shobhit Nitnare</v>
      </c>
      <c r="G85" s="5" t="s">
        <v>25</v>
      </c>
      <c r="H85" s="5" t="s">
        <v>25</v>
      </c>
      <c r="I85" s="5" t="s">
        <v>25</v>
      </c>
      <c r="J85" s="5" t="s">
        <v>25</v>
      </c>
      <c r="K85" s="7" t="str">
        <f>VLOOKUP(A85,Sheet2!$A$2:$R$3432,6,0)</f>
        <v>Yamaha R15 </v>
      </c>
      <c r="L85" s="5" t="s">
        <v>25</v>
      </c>
      <c r="M85" s="7" t="str">
        <f>VLOOKUP(A85,Sheet2!$A$2:$R$3432,5,0)</f>
        <v>MH14FF711</v>
      </c>
      <c r="N85" s="5" t="s">
        <v>25</v>
      </c>
      <c r="O85" s="5" t="s">
        <v>25</v>
      </c>
      <c r="P85" s="6" t="s">
        <v>25</v>
      </c>
      <c r="Q85" s="5" t="s">
        <v>25</v>
      </c>
      <c r="R85" s="5" t="s">
        <v>25</v>
      </c>
      <c r="S85" s="5" t="str">
        <f>VLOOKUP(A85,Sheet2!$A$2:$R$3432,18,0)</f>
        <v>G3E7E0047322</v>
      </c>
      <c r="T85" s="7" t="str">
        <f>VLOOKUP(A85,Sheet2!$A$2:$R$3432,17,0)</f>
        <v>ME1RG0629F0009000</v>
      </c>
    </row>
    <row r="86" ht="15.75" customHeight="1">
      <c r="A86" s="3" t="s">
        <v>109</v>
      </c>
      <c r="B86" s="4" t="str">
        <f>VLOOKUP(A86,Sheet2!$A$2:$R$3432,2,0)</f>
        <v>2024-12-01 13:32:58</v>
      </c>
      <c r="C86" s="5" t="s">
        <v>25</v>
      </c>
      <c r="D86" s="6" t="s">
        <v>25</v>
      </c>
      <c r="E86" s="7">
        <f>VLOOKUP(A86,Sheet2!$A$2:$R$3432,4,0)</f>
        <v>9545278631</v>
      </c>
      <c r="F86" s="7" t="str">
        <f>VLOOKUP(A86,Sheet2!$A$2:$R$3432,3,0)</f>
        <v>Das Gupta</v>
      </c>
      <c r="G86" s="5" t="s">
        <v>25</v>
      </c>
      <c r="H86" s="5" t="s">
        <v>25</v>
      </c>
      <c r="I86" s="5" t="s">
        <v>25</v>
      </c>
      <c r="J86" s="5" t="s">
        <v>25</v>
      </c>
      <c r="K86" s="7" t="str">
        <f>VLOOKUP(A86,Sheet2!$A$2:$R$3432,6,0)</f>
        <v>Hero Pleasure </v>
      </c>
      <c r="L86" s="5" t="s">
        <v>25</v>
      </c>
      <c r="M86" s="7" t="str">
        <f>VLOOKUP(A86,Sheet2!$A$2:$R$3432,5,0)</f>
        <v>MH12MH9808</v>
      </c>
      <c r="N86" s="5" t="s">
        <v>25</v>
      </c>
      <c r="O86" s="5" t="s">
        <v>25</v>
      </c>
      <c r="P86" s="6" t="s">
        <v>25</v>
      </c>
      <c r="Q86" s="5" t="s">
        <v>25</v>
      </c>
      <c r="R86" s="5" t="s">
        <v>25</v>
      </c>
      <c r="S86" s="5" t="str">
        <f>VLOOKUP(A86,Sheet2!$A$2:$R$3432,18,0)</f>
        <v>JF16EEFGJ05501</v>
      </c>
      <c r="T86" s="7" t="str">
        <f>VLOOKUP(A86,Sheet2!$A$2:$R$3432,17,0)</f>
        <v>MBLJF16EMFGJ045544</v>
      </c>
    </row>
    <row r="87" ht="15.75" customHeight="1">
      <c r="A87" s="3" t="s">
        <v>110</v>
      </c>
      <c r="B87" s="4" t="str">
        <f>VLOOKUP(A87,Sheet2!$A$2:$R$3432,2,0)</f>
        <v>2024-12-01 21:01:27</v>
      </c>
      <c r="C87" s="5" t="s">
        <v>25</v>
      </c>
      <c r="D87" s="6" t="s">
        <v>25</v>
      </c>
      <c r="E87" s="7">
        <f>VLOOKUP(A87,Sheet2!$A$2:$R$3432,4,0)</f>
        <v>8826459210</v>
      </c>
      <c r="F87" s="7" t="str">
        <f>VLOOKUP(A87,Sheet2!$A$2:$R$3432,3,0)</f>
        <v>Vartika Singh</v>
      </c>
      <c r="G87" s="5" t="s">
        <v>25</v>
      </c>
      <c r="H87" s="5" t="s">
        <v>25</v>
      </c>
      <c r="I87" s="5" t="s">
        <v>25</v>
      </c>
      <c r="J87" s="5" t="s">
        <v>25</v>
      </c>
      <c r="K87" s="7" t="str">
        <f>VLOOKUP(A87,Sheet2!$A$2:$R$3432,6,0)</f>
        <v>Honda Activa 5G</v>
      </c>
      <c r="L87" s="5" t="s">
        <v>25</v>
      </c>
      <c r="M87" s="7" t="str">
        <f>VLOOKUP(A87,Sheet2!$A$2:$R$3432,5,0)</f>
        <v>MH12SG8399</v>
      </c>
      <c r="N87" s="5" t="s">
        <v>25</v>
      </c>
      <c r="O87" s="5" t="s">
        <v>25</v>
      </c>
      <c r="P87" s="6" t="s">
        <v>25</v>
      </c>
      <c r="Q87" s="5" t="s">
        <v>25</v>
      </c>
      <c r="R87" s="5" t="s">
        <v>25</v>
      </c>
      <c r="S87" s="5" t="str">
        <f>VLOOKUP(A87,Sheet2!$A$2:$R$3432,18,0)</f>
        <v>JF50EW1058684</v>
      </c>
      <c r="T87" s="7" t="str">
        <f>VLOOKUP(A87,Sheet2!$A$2:$R$3432,17,0)</f>
        <v>ME4JF50BGKW058661</v>
      </c>
    </row>
    <row r="88" ht="15.75" customHeight="1">
      <c r="A88" s="3" t="s">
        <v>111</v>
      </c>
      <c r="B88" s="4" t="str">
        <f>VLOOKUP(A88,Sheet2!$A$2:$R$3432,2,0)</f>
        <v>2024-12-01 16:57:28</v>
      </c>
      <c r="C88" s="5" t="s">
        <v>25</v>
      </c>
      <c r="D88" s="6" t="s">
        <v>25</v>
      </c>
      <c r="E88" s="7">
        <f>VLOOKUP(A88,Sheet2!$A$2:$R$3432,4,0)</f>
        <v>9359277762</v>
      </c>
      <c r="F88" s="7" t="str">
        <f>VLOOKUP(A88,Sheet2!$A$2:$R$3432,3,0)</f>
        <v>Vikrant Chavan </v>
      </c>
      <c r="G88" s="5" t="s">
        <v>25</v>
      </c>
      <c r="H88" s="5" t="s">
        <v>25</v>
      </c>
      <c r="I88" s="5" t="s">
        <v>25</v>
      </c>
      <c r="J88" s="5" t="s">
        <v>25</v>
      </c>
      <c r="K88" s="7" t="str">
        <f>VLOOKUP(A88,Sheet2!$A$2:$R$3432,6,0)</f>
        <v>Honda Activa 5G</v>
      </c>
      <c r="L88" s="5" t="s">
        <v>25</v>
      </c>
      <c r="M88" s="7" t="str">
        <f>VLOOKUP(A88,Sheet2!$A$2:$R$3432,5,0)</f>
        <v>MH14HH3024</v>
      </c>
      <c r="N88" s="5" t="s">
        <v>25</v>
      </c>
      <c r="O88" s="5" t="s">
        <v>25</v>
      </c>
      <c r="P88" s="6" t="s">
        <v>25</v>
      </c>
      <c r="Q88" s="5" t="s">
        <v>25</v>
      </c>
      <c r="R88" s="5" t="s">
        <v>25</v>
      </c>
      <c r="S88" s="5" t="str">
        <f>VLOOKUP(A88,Sheet2!$A$2:$R$3432,18,0)</f>
        <v>JF50ET8297249</v>
      </c>
      <c r="T88" s="7" t="str">
        <f>VLOOKUP(A88,Sheet2!$A$2:$R$3432,17,0)</f>
        <v>ME4JF50BLJT297844</v>
      </c>
    </row>
    <row r="89" ht="15.75" customHeight="1">
      <c r="A89" s="3" t="s">
        <v>112</v>
      </c>
      <c r="B89" s="4" t="str">
        <f>VLOOKUP(A89,Sheet2!$A$2:$R$3432,2,0)</f>
        <v>2024-12-01 18:56:24</v>
      </c>
      <c r="C89" s="5" t="s">
        <v>25</v>
      </c>
      <c r="D89" s="6" t="s">
        <v>25</v>
      </c>
      <c r="E89" s="7">
        <f>VLOOKUP(A89,Sheet2!$A$2:$R$3432,4,0)</f>
        <v>8055607474</v>
      </c>
      <c r="F89" s="7" t="str">
        <f>VLOOKUP(A89,Sheet2!$A$2:$R$3432,3,0)</f>
        <v>Swaroop Kadam</v>
      </c>
      <c r="G89" s="5" t="s">
        <v>25</v>
      </c>
      <c r="H89" s="5" t="s">
        <v>25</v>
      </c>
      <c r="I89" s="5" t="s">
        <v>25</v>
      </c>
      <c r="J89" s="5" t="s">
        <v>25</v>
      </c>
      <c r="K89" s="7" t="str">
        <f>VLOOKUP(A89,Sheet2!$A$2:$R$3432,6,0)</f>
        <v>Honda Aviator </v>
      </c>
      <c r="L89" s="5" t="s">
        <v>25</v>
      </c>
      <c r="M89" s="7" t="str">
        <f>VLOOKUP(A89,Sheet2!$A$2:$R$3432,5,0)</f>
        <v>MH14GX4135</v>
      </c>
      <c r="N89" s="5" t="s">
        <v>25</v>
      </c>
      <c r="O89" s="5" t="s">
        <v>25</v>
      </c>
      <c r="P89" s="6" t="s">
        <v>25</v>
      </c>
      <c r="Q89" s="5" t="s">
        <v>25</v>
      </c>
      <c r="R89" s="5" t="s">
        <v>25</v>
      </c>
      <c r="S89" s="5" t="str">
        <f>VLOOKUP(A89,Sheet2!$A$2:$R$3432,18,0)</f>
        <v>JF21E82139979</v>
      </c>
      <c r="T89" s="7" t="str">
        <f>VLOOKUP(A89,Sheet2!$A$2:$R$3432,17,0)</f>
        <v>ME4JF21DDJ8076385</v>
      </c>
    </row>
    <row r="90" ht="15.75" customHeight="1">
      <c r="A90" s="3" t="s">
        <v>113</v>
      </c>
      <c r="B90" s="4" t="str">
        <f>VLOOKUP(A90,Sheet2!$A$2:$R$3432,2,0)</f>
        <v>2024-12-01 16:53:00</v>
      </c>
      <c r="C90" s="5" t="s">
        <v>25</v>
      </c>
      <c r="D90" s="6" t="s">
        <v>25</v>
      </c>
      <c r="E90" s="7">
        <f>VLOOKUP(A90,Sheet2!$A$2:$R$3432,4,0)</f>
        <v>8180900804</v>
      </c>
      <c r="F90" s="7" t="str">
        <f>VLOOKUP(A90,Sheet2!$A$2:$R$3432,3,0)</f>
        <v>Jayesh Mankar</v>
      </c>
      <c r="G90" s="5" t="s">
        <v>25</v>
      </c>
      <c r="H90" s="5" t="s">
        <v>25</v>
      </c>
      <c r="I90" s="5" t="s">
        <v>25</v>
      </c>
      <c r="J90" s="5" t="s">
        <v>25</v>
      </c>
      <c r="K90" s="7" t="str">
        <f>VLOOKUP(A90,Sheet2!$A$2:$R$3432,6,0)</f>
        <v>Honda Shine </v>
      </c>
      <c r="L90" s="5" t="s">
        <v>25</v>
      </c>
      <c r="M90" s="7" t="str">
        <f>VLOOKUP(A90,Sheet2!$A$2:$R$3432,5,0)</f>
        <v>MH30AP8694</v>
      </c>
      <c r="N90" s="5" t="s">
        <v>25</v>
      </c>
      <c r="O90" s="5" t="s">
        <v>25</v>
      </c>
      <c r="P90" s="6" t="s">
        <v>25</v>
      </c>
      <c r="Q90" s="5" t="s">
        <v>25</v>
      </c>
      <c r="R90" s="5" t="s">
        <v>25</v>
      </c>
      <c r="S90" s="5" t="str">
        <f>VLOOKUP(A90,Sheet2!$A$2:$R$3432,18,0)</f>
        <v>JC36ET3958382</v>
      </c>
      <c r="T90" s="7" t="str">
        <f>VLOOKUP(A90,Sheet2!$A$2:$R$3432,17,0)</f>
        <v>M1E4JC36NBF7273634</v>
      </c>
    </row>
    <row r="91" ht="15.75" customHeight="1">
      <c r="A91" s="3" t="s">
        <v>114</v>
      </c>
      <c r="B91" s="4" t="str">
        <f>VLOOKUP(A91,Sheet2!$A$2:$R$3432,2,0)</f>
        <v>2024-12-01 17:36:53</v>
      </c>
      <c r="C91" s="5" t="s">
        <v>25</v>
      </c>
      <c r="D91" s="6" t="s">
        <v>25</v>
      </c>
      <c r="E91" s="7">
        <f>VLOOKUP(A91,Sheet2!$A$2:$R$3432,4,0)</f>
        <v>7406056477</v>
      </c>
      <c r="F91" s="7" t="str">
        <f>VLOOKUP(A91,Sheet2!$A$2:$R$3432,3,0)</f>
        <v>Ashutosh </v>
      </c>
      <c r="G91" s="5" t="s">
        <v>25</v>
      </c>
      <c r="H91" s="5" t="s">
        <v>25</v>
      </c>
      <c r="I91" s="5" t="s">
        <v>25</v>
      </c>
      <c r="J91" s="5" t="s">
        <v>25</v>
      </c>
      <c r="K91" s="7" t="str">
        <f>VLOOKUP(A91,Sheet2!$A$2:$R$3432,6,0)</f>
        <v>TVS Apache RTR 160</v>
      </c>
      <c r="L91" s="5" t="s">
        <v>25</v>
      </c>
      <c r="M91" s="7" t="str">
        <f>VLOOKUP(A91,Sheet2!$A$2:$R$3432,5,0)</f>
        <v>MH15JP8584</v>
      </c>
      <c r="N91" s="5" t="s">
        <v>25</v>
      </c>
      <c r="O91" s="5" t="s">
        <v>25</v>
      </c>
      <c r="P91" s="6" t="s">
        <v>25</v>
      </c>
      <c r="Q91" s="5" t="s">
        <v>25</v>
      </c>
      <c r="R91" s="5" t="s">
        <v>25</v>
      </c>
      <c r="S91" s="5" t="str">
        <f>VLOOKUP(A91,Sheet2!$A$2:$R$3432,18,0)</f>
        <v>OE4FG2008309</v>
      </c>
      <c r="T91" s="7" t="str">
        <f>VLOOKUP(A91,Sheet2!$A$2:$R$3432,17,0)</f>
        <v>MD634KE4XGF60465</v>
      </c>
    </row>
    <row r="92" ht="15.75" customHeight="1">
      <c r="A92" s="3" t="s">
        <v>115</v>
      </c>
      <c r="B92" s="4" t="str">
        <f>VLOOKUP(A92,Sheet2!$A$2:$R$3432,2,0)</f>
        <v>2024-12-01 18:10:00</v>
      </c>
      <c r="C92" s="5" t="s">
        <v>25</v>
      </c>
      <c r="D92" s="6" t="s">
        <v>25</v>
      </c>
      <c r="E92" s="7">
        <f>VLOOKUP(A92,Sheet2!$A$2:$R$3432,4,0)</f>
        <v>9823126447</v>
      </c>
      <c r="F92" s="7" t="str">
        <f>VLOOKUP(A92,Sheet2!$A$2:$R$3432,3,0)</f>
        <v>Abhay Raipurkar</v>
      </c>
      <c r="G92" s="5" t="s">
        <v>25</v>
      </c>
      <c r="H92" s="5" t="s">
        <v>25</v>
      </c>
      <c r="I92" s="5" t="s">
        <v>25</v>
      </c>
      <c r="J92" s="5" t="s">
        <v>25</v>
      </c>
      <c r="K92" s="7" t="str">
        <f>VLOOKUP(A92,Sheet2!$A$2:$R$3432,6,0)</f>
        <v>Honda Activa Old</v>
      </c>
      <c r="L92" s="5" t="s">
        <v>25</v>
      </c>
      <c r="M92" s="7" t="str">
        <f>VLOOKUP(A92,Sheet2!$A$2:$R$3432,5,0)</f>
        <v>MH12CZ1270</v>
      </c>
      <c r="N92" s="5" t="s">
        <v>25</v>
      </c>
      <c r="O92" s="5" t="s">
        <v>25</v>
      </c>
      <c r="P92" s="6" t="s">
        <v>25</v>
      </c>
      <c r="Q92" s="5" t="s">
        <v>25</v>
      </c>
      <c r="R92" s="5" t="s">
        <v>25</v>
      </c>
      <c r="S92" s="5" t="str">
        <f>VLOOKUP(A92,Sheet2!$A$2:$R$3432,18,0)</f>
        <v>JF08E8166329</v>
      </c>
      <c r="T92" s="7" t="str">
        <f>VLOOKUP(A92,Sheet2!$A$2:$R$3432,17,0)</f>
        <v>ME4JF087J50186236</v>
      </c>
    </row>
    <row r="93" ht="15.75" customHeight="1">
      <c r="A93" s="3" t="s">
        <v>116</v>
      </c>
      <c r="B93" s="4" t="str">
        <f>VLOOKUP(A93,Sheet2!$A$2:$R$3432,2,0)</f>
        <v>2024-12-01 19:05:51</v>
      </c>
      <c r="C93" s="5" t="s">
        <v>25</v>
      </c>
      <c r="D93" s="6" t="s">
        <v>25</v>
      </c>
      <c r="E93" s="7">
        <f>VLOOKUP(A93,Sheet2!$A$2:$R$3432,4,0)</f>
        <v>7620421309</v>
      </c>
      <c r="F93" s="7" t="str">
        <f>VLOOKUP(A93,Sheet2!$A$2:$R$3432,3,0)</f>
        <v>Sayali Kadam</v>
      </c>
      <c r="G93" s="5" t="s">
        <v>25</v>
      </c>
      <c r="H93" s="5" t="s">
        <v>25</v>
      </c>
      <c r="I93" s="5" t="s">
        <v>25</v>
      </c>
      <c r="J93" s="5" t="s">
        <v>25</v>
      </c>
      <c r="K93" s="7" t="str">
        <f>VLOOKUP(A93,Sheet2!$A$2:$R$3432,6,0)</f>
        <v>Honda Activa </v>
      </c>
      <c r="L93" s="5" t="s">
        <v>25</v>
      </c>
      <c r="M93" s="7" t="str">
        <f>VLOOKUP(A93,Sheet2!$A$2:$R$3432,5,0)</f>
        <v>MH12KX3002</v>
      </c>
      <c r="N93" s="5" t="s">
        <v>25</v>
      </c>
      <c r="O93" s="5" t="s">
        <v>25</v>
      </c>
      <c r="P93" s="6" t="s">
        <v>25</v>
      </c>
      <c r="Q93" s="5" t="s">
        <v>25</v>
      </c>
      <c r="R93" s="5" t="s">
        <v>25</v>
      </c>
      <c r="S93" s="5" t="str">
        <f>VLOOKUP(A93,Sheet2!$A$2:$R$3432,18,0)</f>
        <v>JF50E80798509</v>
      </c>
      <c r="T93" s="7" t="str">
        <f>VLOOKUP(A93,Sheet2!$A$2:$R$3432,17,0)</f>
        <v>ME4JF501CE8799577</v>
      </c>
    </row>
    <row r="94" ht="15.75" customHeight="1">
      <c r="A94" s="3" t="s">
        <v>117</v>
      </c>
      <c r="B94" s="4" t="str">
        <f>VLOOKUP(A94,Sheet2!$A$2:$R$3432,2,0)</f>
        <v>2024-12-01 19:52:37</v>
      </c>
      <c r="C94" s="5" t="s">
        <v>25</v>
      </c>
      <c r="D94" s="6" t="s">
        <v>25</v>
      </c>
      <c r="E94" s="7">
        <f>VLOOKUP(A94,Sheet2!$A$2:$R$3432,4,0)</f>
        <v>7775061909</v>
      </c>
      <c r="F94" s="7" t="str">
        <f>VLOOKUP(A94,Sheet2!$A$2:$R$3432,3,0)</f>
        <v>Yogesh Chavan </v>
      </c>
      <c r="G94" s="5" t="s">
        <v>25</v>
      </c>
      <c r="H94" s="5" t="s">
        <v>25</v>
      </c>
      <c r="I94" s="5" t="s">
        <v>25</v>
      </c>
      <c r="J94" s="5" t="s">
        <v>25</v>
      </c>
      <c r="K94" s="7" t="str">
        <f>VLOOKUP(A94,Sheet2!$A$2:$R$3432,6,0)</f>
        <v>Honda Dream Neo </v>
      </c>
      <c r="L94" s="5" t="s">
        <v>25</v>
      </c>
      <c r="M94" s="7" t="str">
        <f>VLOOKUP(A94,Sheet2!$A$2:$R$3432,5,0)</f>
        <v>MH12LN9276</v>
      </c>
      <c r="N94" s="5" t="s">
        <v>25</v>
      </c>
      <c r="O94" s="5" t="s">
        <v>25</v>
      </c>
      <c r="P94" s="6" t="s">
        <v>25</v>
      </c>
      <c r="Q94" s="5" t="s">
        <v>25</v>
      </c>
      <c r="R94" s="5" t="s">
        <v>25</v>
      </c>
      <c r="S94" s="5" t="str">
        <f>VLOOKUP(A94,Sheet2!$A$2:$R$3432,18,0)</f>
        <v>JC62ET1091230</v>
      </c>
      <c r="T94" s="7" t="str">
        <f>VLOOKUP(A94,Sheet2!$A$2:$R$3432,17,0)</f>
        <v>ME4JC62AJET006651</v>
      </c>
    </row>
    <row r="95" ht="15.75" customHeight="1">
      <c r="A95" s="3" t="s">
        <v>118</v>
      </c>
      <c r="B95" s="4" t="str">
        <f>VLOOKUP(A95,Sheet2!$A$2:$R$3432,2,0)</f>
        <v>2024-12-01 20:10:34</v>
      </c>
      <c r="C95" s="5" t="s">
        <v>25</v>
      </c>
      <c r="D95" s="6" t="s">
        <v>25</v>
      </c>
      <c r="E95" s="7">
        <f>VLOOKUP(A95,Sheet2!$A$2:$R$3432,4,0)</f>
        <v>7770066606</v>
      </c>
      <c r="F95" s="7" t="str">
        <f>VLOOKUP(A95,Sheet2!$A$2:$R$3432,3,0)</f>
        <v>Swapnil Akolkar</v>
      </c>
      <c r="G95" s="5" t="s">
        <v>25</v>
      </c>
      <c r="H95" s="5" t="s">
        <v>25</v>
      </c>
      <c r="I95" s="5" t="s">
        <v>25</v>
      </c>
      <c r="J95" s="5" t="s">
        <v>25</v>
      </c>
      <c r="K95" s="7" t="str">
        <f>VLOOKUP(A95,Sheet2!$A$2:$R$3432,6,0)</f>
        <v>Yamaha FZ V3</v>
      </c>
      <c r="L95" s="5" t="s">
        <v>25</v>
      </c>
      <c r="M95" s="7" t="str">
        <f>VLOOKUP(A95,Sheet2!$A$2:$R$3432,5,0)</f>
        <v>MH16BP1559</v>
      </c>
      <c r="N95" s="5" t="s">
        <v>25</v>
      </c>
      <c r="O95" s="5" t="s">
        <v>25</v>
      </c>
      <c r="P95" s="6" t="s">
        <v>25</v>
      </c>
      <c r="Q95" s="5" t="s">
        <v>25</v>
      </c>
      <c r="R95" s="5" t="s">
        <v>25</v>
      </c>
      <c r="S95" s="5" t="str">
        <f>VLOOKUP(A95,Sheet2!$A$2:$R$3432,18,0)</f>
        <v>G38E0230139</v>
      </c>
      <c r="T95" s="7" t="str">
        <f>VLOOKUP(A95,Sheet2!$A$2:$R$3432,17,0)</f>
        <v>ME1RG072AF0143688</v>
      </c>
    </row>
    <row r="96" ht="15.75" customHeight="1">
      <c r="A96" s="3" t="s">
        <v>119</v>
      </c>
      <c r="B96" s="4" t="str">
        <f>VLOOKUP(A96,Sheet2!$A$2:$R$3432,2,0)</f>
        <v>2024-12-01 21:15:04</v>
      </c>
      <c r="C96" s="5" t="s">
        <v>25</v>
      </c>
      <c r="D96" s="6" t="s">
        <v>25</v>
      </c>
      <c r="E96" s="7">
        <f>VLOOKUP(A96,Sheet2!$A$2:$R$3432,4,0)</f>
        <v>8208424628</v>
      </c>
      <c r="F96" s="7" t="str">
        <f>VLOOKUP(A96,Sheet2!$A$2:$R$3432,3,0)</f>
        <v>Gaurav Chaudhari</v>
      </c>
      <c r="G96" s="5" t="s">
        <v>25</v>
      </c>
      <c r="H96" s="5" t="s">
        <v>25</v>
      </c>
      <c r="I96" s="5" t="s">
        <v>25</v>
      </c>
      <c r="J96" s="5" t="s">
        <v>25</v>
      </c>
      <c r="K96" s="7" t="str">
        <f>VLOOKUP(A96,Sheet2!$A$2:$R$3432,6,0)</f>
        <v>Hero Passion XPRO</v>
      </c>
      <c r="L96" s="5" t="s">
        <v>25</v>
      </c>
      <c r="M96" s="7" t="str">
        <f>VLOOKUP(A96,Sheet2!$A$2:$R$3432,5,0)</f>
        <v>MH19DE8406</v>
      </c>
      <c r="N96" s="5" t="s">
        <v>25</v>
      </c>
      <c r="O96" s="5" t="s">
        <v>25</v>
      </c>
      <c r="P96" s="6" t="s">
        <v>25</v>
      </c>
      <c r="Q96" s="5" t="s">
        <v>25</v>
      </c>
      <c r="R96" s="5" t="s">
        <v>25</v>
      </c>
      <c r="S96" s="5" t="str">
        <f>VLOOKUP(A96,Sheet2!$A$2:$R$3432,18,0)</f>
        <v>JA06ETJGE08787</v>
      </c>
      <c r="T96" s="7" t="str">
        <f>VLOOKUP(A96,Sheet2!$A$2:$R$3432,17,0)</f>
        <v>MBLJAR151JGE07143</v>
      </c>
    </row>
    <row r="97" ht="15.75" customHeight="1">
      <c r="A97" s="3" t="s">
        <v>120</v>
      </c>
      <c r="B97" s="4" t="str">
        <f>VLOOKUP(A97,Sheet2!$A$2:$R$3432,2,0)</f>
        <v>2024-12-01 20:49:40</v>
      </c>
      <c r="C97" s="5" t="s">
        <v>25</v>
      </c>
      <c r="D97" s="6" t="s">
        <v>25</v>
      </c>
      <c r="E97" s="7">
        <f>VLOOKUP(A97,Sheet2!$A$2:$R$3432,4,0)</f>
        <v>9764004230</v>
      </c>
      <c r="F97" s="7" t="str">
        <f>VLOOKUP(A97,Sheet2!$A$2:$R$3432,3,0)</f>
        <v>Tushar Gade</v>
      </c>
      <c r="G97" s="5" t="s">
        <v>25</v>
      </c>
      <c r="H97" s="5" t="s">
        <v>25</v>
      </c>
      <c r="I97" s="5" t="s">
        <v>25</v>
      </c>
      <c r="J97" s="5" t="s">
        <v>25</v>
      </c>
      <c r="K97" s="7" t="str">
        <f>VLOOKUP(A97,Sheet2!$A$2:$R$3432,6,0)</f>
        <v>Honda Activa 110</v>
      </c>
      <c r="L97" s="5" t="s">
        <v>25</v>
      </c>
      <c r="M97" s="7" t="str">
        <f>VLOOKUP(A97,Sheet2!$A$2:$R$3432,5,0)</f>
        <v>MH14DQ3464</v>
      </c>
      <c r="N97" s="5" t="s">
        <v>25</v>
      </c>
      <c r="O97" s="5" t="s">
        <v>25</v>
      </c>
      <c r="P97" s="6" t="s">
        <v>25</v>
      </c>
      <c r="Q97" s="5" t="s">
        <v>25</v>
      </c>
      <c r="R97" s="5" t="s">
        <v>25</v>
      </c>
      <c r="S97" s="5" t="str">
        <f>VLOOKUP(A97,Sheet2!$A$2:$R$3432,18,0)</f>
        <v>JC44E5533375</v>
      </c>
      <c r="T97" s="7" t="str">
        <f>VLOOKUP(A97,Sheet2!$A$2:$R$3432,17,0)</f>
        <v>ME4JC448HC7533351</v>
      </c>
    </row>
    <row r="98" ht="15.75" customHeight="1">
      <c r="A98" s="3" t="s">
        <v>121</v>
      </c>
      <c r="B98" s="4" t="str">
        <f>VLOOKUP(A98,Sheet2!$A$2:$R$3432,2,0)</f>
        <v>2024-12-02 17:02:10</v>
      </c>
      <c r="C98" s="5" t="s">
        <v>25</v>
      </c>
      <c r="D98" s="6" t="s">
        <v>25</v>
      </c>
      <c r="E98" s="7">
        <f>VLOOKUP(A98,Sheet2!$A$2:$R$3432,4,0)</f>
        <v>9960409602</v>
      </c>
      <c r="F98" s="7" t="str">
        <f>VLOOKUP(A98,Sheet2!$A$2:$R$3432,3,0)</f>
        <v>Deepak Raut</v>
      </c>
      <c r="G98" s="5" t="s">
        <v>25</v>
      </c>
      <c r="H98" s="5" t="s">
        <v>25</v>
      </c>
      <c r="I98" s="5" t="s">
        <v>25</v>
      </c>
      <c r="J98" s="5" t="s">
        <v>25</v>
      </c>
      <c r="K98" s="7" t="str">
        <f>VLOOKUP(A98,Sheet2!$A$2:$R$3432,6,0)</f>
        <v>Honda Shine HET</v>
      </c>
      <c r="L98" s="5" t="s">
        <v>25</v>
      </c>
      <c r="M98" s="7" t="str">
        <f>VLOOKUP(A98,Sheet2!$A$2:$R$3432,5,0)</f>
        <v>MH14DU8185</v>
      </c>
      <c r="N98" s="5" t="s">
        <v>25</v>
      </c>
      <c r="O98" s="5" t="s">
        <v>25</v>
      </c>
      <c r="P98" s="6" t="s">
        <v>25</v>
      </c>
      <c r="Q98" s="5" t="s">
        <v>25</v>
      </c>
      <c r="R98" s="5" t="s">
        <v>25</v>
      </c>
      <c r="S98" s="7" t="str">
        <f>VLOOKUP(A98,Sheet2!$A$2:$R$3432,18,0)</f>
        <v/>
      </c>
      <c r="T98" s="7" t="str">
        <f>VLOOKUP(A98,Sheet2!$A$2:$R$3432,17,0)</f>
        <v>ME4JC36KAD7154478</v>
      </c>
    </row>
    <row r="99" ht="15.75" customHeight="1">
      <c r="A99" s="3" t="s">
        <v>122</v>
      </c>
      <c r="B99" s="4" t="str">
        <f>VLOOKUP(A99,Sheet2!$A$2:$R$3432,2,0)</f>
        <v>2024-12-02 17:02:52</v>
      </c>
      <c r="C99" s="5" t="s">
        <v>25</v>
      </c>
      <c r="D99" s="6" t="s">
        <v>25</v>
      </c>
      <c r="E99" s="7">
        <f>VLOOKUP(A99,Sheet2!$A$2:$R$3432,4,0)</f>
        <v>9028512702</v>
      </c>
      <c r="F99" s="7" t="str">
        <f>VLOOKUP(A99,Sheet2!$A$2:$R$3432,3,0)</f>
        <v>Abbas</v>
      </c>
      <c r="G99" s="5" t="s">
        <v>25</v>
      </c>
      <c r="H99" s="5" t="s">
        <v>25</v>
      </c>
      <c r="I99" s="5" t="s">
        <v>25</v>
      </c>
      <c r="J99" s="5" t="s">
        <v>25</v>
      </c>
      <c r="K99" s="7" t="str">
        <f>VLOOKUP(A99,Sheet2!$A$2:$R$3432,6,0)</f>
        <v>TVS Jupiter </v>
      </c>
      <c r="L99" s="5" t="s">
        <v>25</v>
      </c>
      <c r="M99" s="7" t="str">
        <f>VLOOKUP(A99,Sheet2!$A$2:$R$3432,5,0)</f>
        <v>MH14HN5332</v>
      </c>
      <c r="N99" s="5" t="s">
        <v>25</v>
      </c>
      <c r="O99" s="5" t="s">
        <v>25</v>
      </c>
      <c r="P99" s="6" t="s">
        <v>25</v>
      </c>
      <c r="Q99" s="5" t="s">
        <v>25</v>
      </c>
      <c r="R99" s="5" t="s">
        <v>25</v>
      </c>
      <c r="S99" s="5" t="str">
        <f>VLOOKUP(A99,Sheet2!$A$2:$R$3432,18,0)</f>
        <v>DG4BK1106673</v>
      </c>
      <c r="T99" s="7" t="str">
        <f>VLOOKUP(A99,Sheet2!$A$2:$R$3432,17,0)</f>
        <v>MD626EG48K1B14981</v>
      </c>
    </row>
    <row r="100" ht="15.75" customHeight="1">
      <c r="A100" s="3" t="s">
        <v>123</v>
      </c>
      <c r="B100" s="4" t="str">
        <f>VLOOKUP(A100,Sheet2!$A$2:$R$3432,2,0)</f>
        <v>2024-12-02 17:02:31</v>
      </c>
      <c r="C100" s="5" t="s">
        <v>25</v>
      </c>
      <c r="D100" s="6" t="s">
        <v>25</v>
      </c>
      <c r="E100" s="7">
        <f>VLOOKUP(A100,Sheet2!$A$2:$R$3432,4,0)</f>
        <v>9822889511</v>
      </c>
      <c r="F100" s="7" t="str">
        <f>VLOOKUP(A100,Sheet2!$A$2:$R$3432,3,0)</f>
        <v>Bhushan Patil</v>
      </c>
      <c r="G100" s="5" t="s">
        <v>25</v>
      </c>
      <c r="H100" s="5" t="s">
        <v>25</v>
      </c>
      <c r="I100" s="5" t="s">
        <v>25</v>
      </c>
      <c r="J100" s="5" t="s">
        <v>25</v>
      </c>
      <c r="K100" s="7" t="str">
        <f>VLOOKUP(A100,Sheet2!$A$2:$R$3432,6,0)</f>
        <v>Honda Unicorn </v>
      </c>
      <c r="L100" s="5" t="s">
        <v>25</v>
      </c>
      <c r="M100" s="7" t="str">
        <f>VLOOKUP(A100,Sheet2!$A$2:$R$3432,5,0)</f>
        <v>MH14BS1571</v>
      </c>
      <c r="N100" s="5" t="s">
        <v>25</v>
      </c>
      <c r="O100" s="5" t="s">
        <v>25</v>
      </c>
      <c r="P100" s="6" t="s">
        <v>25</v>
      </c>
      <c r="Q100" s="5" t="s">
        <v>25</v>
      </c>
      <c r="R100" s="5" t="s">
        <v>25</v>
      </c>
      <c r="S100" s="5" t="str">
        <f>VLOOKUP(A100,Sheet2!$A$2:$R$3432,18,0)</f>
        <v>K6091031920</v>
      </c>
      <c r="T100" s="7" t="str">
        <f>VLOOKUP(A100,Sheet2!$A$2:$R$3432,17,0)</f>
        <v>ME4KC093M88030825</v>
      </c>
    </row>
    <row r="101" ht="15.75" customHeight="1">
      <c r="A101" s="3" t="s">
        <v>124</v>
      </c>
      <c r="B101" s="4" t="str">
        <f>VLOOKUP(A101,Sheet2!$A$2:$R$3432,2,0)</f>
        <v>2024-12-02 19:01:02</v>
      </c>
      <c r="C101" s="5" t="s">
        <v>25</v>
      </c>
      <c r="D101" s="6" t="s">
        <v>25</v>
      </c>
      <c r="E101" s="7">
        <f>VLOOKUP(A101,Sheet2!$A$2:$R$3432,4,0)</f>
        <v>9850698885</v>
      </c>
      <c r="F101" s="7" t="str">
        <f>VLOOKUP(A101,Sheet2!$A$2:$R$3432,3,0)</f>
        <v>Pratik Dharpale</v>
      </c>
      <c r="G101" s="5" t="s">
        <v>25</v>
      </c>
      <c r="H101" s="5" t="s">
        <v>25</v>
      </c>
      <c r="I101" s="5" t="s">
        <v>25</v>
      </c>
      <c r="J101" s="5" t="s">
        <v>25</v>
      </c>
      <c r="K101" s="7" t="str">
        <f>VLOOKUP(A101,Sheet2!$A$2:$R$3432,6,0)</f>
        <v>Honda Activa 3G</v>
      </c>
      <c r="L101" s="5" t="s">
        <v>25</v>
      </c>
      <c r="M101" s="7" t="str">
        <f>VLOOKUP(A101,Sheet2!$A$2:$R$3432,5,0)</f>
        <v>MH14FQ7830</v>
      </c>
      <c r="N101" s="5" t="s">
        <v>25</v>
      </c>
      <c r="O101" s="5" t="s">
        <v>25</v>
      </c>
      <c r="P101" s="6" t="s">
        <v>25</v>
      </c>
      <c r="Q101" s="5" t="s">
        <v>25</v>
      </c>
      <c r="R101" s="5" t="s">
        <v>25</v>
      </c>
      <c r="S101" s="5" t="str">
        <f>VLOOKUP(A101,Sheet2!$A$2:$R$3432,18,0)</f>
        <v>JF50E3485007</v>
      </c>
      <c r="T101" s="7" t="str">
        <f>VLOOKUP(A101,Sheet2!$A$2:$R$3432,17,0)</f>
        <v>ME4JF505FGG484875</v>
      </c>
    </row>
    <row r="102" ht="15.75" customHeight="1">
      <c r="A102" s="3" t="s">
        <v>125</v>
      </c>
      <c r="B102" s="4" t="str">
        <f>VLOOKUP(A102,Sheet2!$A$2:$R$3432,2,0)</f>
        <v>2024-12-02 19:04:07</v>
      </c>
      <c r="C102" s="5" t="s">
        <v>25</v>
      </c>
      <c r="D102" s="6" t="s">
        <v>25</v>
      </c>
      <c r="E102" s="7">
        <f>VLOOKUP(A102,Sheet2!$A$2:$R$3432,4,0)</f>
        <v>9643533551</v>
      </c>
      <c r="F102" s="7" t="str">
        <f>VLOOKUP(A102,Sheet2!$A$2:$R$3432,3,0)</f>
        <v>Edwin</v>
      </c>
      <c r="G102" s="5" t="s">
        <v>25</v>
      </c>
      <c r="H102" s="5" t="s">
        <v>25</v>
      </c>
      <c r="I102" s="5" t="s">
        <v>25</v>
      </c>
      <c r="J102" s="5" t="s">
        <v>25</v>
      </c>
      <c r="K102" s="7" t="str">
        <f>VLOOKUP(A102,Sheet2!$A$2:$R$3432,6,0)</f>
        <v>Suzuki Gixxer SF</v>
      </c>
      <c r="L102" s="5" t="s">
        <v>25</v>
      </c>
      <c r="M102" s="7" t="str">
        <f>VLOOKUP(A102,Sheet2!$A$2:$R$3432,5,0)</f>
        <v>DL9SBC9006</v>
      </c>
      <c r="N102" s="5" t="s">
        <v>25</v>
      </c>
      <c r="O102" s="5" t="s">
        <v>25</v>
      </c>
      <c r="P102" s="6" t="s">
        <v>25</v>
      </c>
      <c r="Q102" s="5" t="s">
        <v>25</v>
      </c>
      <c r="R102" s="5" t="s">
        <v>25</v>
      </c>
      <c r="S102" s="5" t="str">
        <f>VLOOKUP(A102,Sheet2!$A$2:$R$3432,18,0)</f>
        <v>BGA4186316</v>
      </c>
      <c r="T102" s="7" t="str">
        <f>VLOOKUP(A102,Sheet2!$A$2:$R$3432,17,0)</f>
        <v>MB81NG4BBHF8115665</v>
      </c>
    </row>
    <row r="103" ht="15.75" customHeight="1">
      <c r="A103" s="3" t="s">
        <v>126</v>
      </c>
      <c r="B103" s="4" t="str">
        <f>VLOOKUP(A103,Sheet2!$A$2:$R$3432,2,0)</f>
        <v>2024-12-02 20:31:54</v>
      </c>
      <c r="C103" s="5" t="s">
        <v>25</v>
      </c>
      <c r="D103" s="6" t="s">
        <v>25</v>
      </c>
      <c r="E103" s="7">
        <f>VLOOKUP(A103,Sheet2!$A$2:$R$3432,4,0)</f>
        <v>9987181711</v>
      </c>
      <c r="F103" s="7" t="str">
        <f>VLOOKUP(A103,Sheet2!$A$2:$R$3432,3,0)</f>
        <v>Sreeraj</v>
      </c>
      <c r="G103" s="5" t="s">
        <v>25</v>
      </c>
      <c r="H103" s="5" t="s">
        <v>25</v>
      </c>
      <c r="I103" s="5" t="s">
        <v>25</v>
      </c>
      <c r="J103" s="5" t="s">
        <v>25</v>
      </c>
      <c r="K103" s="7" t="str">
        <f>VLOOKUP(A103,Sheet2!$A$2:$R$3432,6,0)</f>
        <v>Yamaha Ray Z</v>
      </c>
      <c r="L103" s="5" t="s">
        <v>25</v>
      </c>
      <c r="M103" s="7" t="str">
        <f>VLOOKUP(A103,Sheet2!$A$2:$R$3432,5,0)</f>
        <v>KA04KE2084</v>
      </c>
      <c r="N103" s="5" t="s">
        <v>25</v>
      </c>
      <c r="O103" s="5" t="s">
        <v>25</v>
      </c>
      <c r="P103" s="6" t="s">
        <v>25</v>
      </c>
      <c r="Q103" s="5" t="s">
        <v>25</v>
      </c>
      <c r="R103" s="5" t="s">
        <v>25</v>
      </c>
      <c r="S103" s="5" t="str">
        <f>VLOOKUP(A103,Sheet2!$A$2:$R$3432,18,0)</f>
        <v>E32SE0316375</v>
      </c>
      <c r="T103" s="7" t="str">
        <f>VLOOKUP(A103,Sheet2!$A$2:$R$3432,17,0)</f>
        <v>ME1SEG451M0091971</v>
      </c>
    </row>
    <row r="104" ht="15.75" customHeight="1">
      <c r="A104" s="3" t="s">
        <v>127</v>
      </c>
      <c r="B104" s="4" t="str">
        <f>VLOOKUP(A104,Sheet2!$A$2:$R$3432,2,0)</f>
        <v>2024-12-02 20:30:57</v>
      </c>
      <c r="C104" s="5" t="s">
        <v>25</v>
      </c>
      <c r="D104" s="6" t="s">
        <v>25</v>
      </c>
      <c r="E104" s="7">
        <f>VLOOKUP(A104,Sheet2!$A$2:$R$3432,4,0)</f>
        <v>8888808112</v>
      </c>
      <c r="F104" s="7" t="str">
        <f>VLOOKUP(A104,Sheet2!$A$2:$R$3432,3,0)</f>
        <v>Brajesh Pandey </v>
      </c>
      <c r="G104" s="5" t="s">
        <v>25</v>
      </c>
      <c r="H104" s="5" t="s">
        <v>25</v>
      </c>
      <c r="I104" s="5" t="s">
        <v>25</v>
      </c>
      <c r="J104" s="5" t="s">
        <v>25</v>
      </c>
      <c r="K104" s="7" t="str">
        <f>VLOOKUP(A104,Sheet2!$A$2:$R$3432,6,0)</f>
        <v>TVS Scooty PEP Plus</v>
      </c>
      <c r="L104" s="5" t="s">
        <v>25</v>
      </c>
      <c r="M104" s="7" t="str">
        <f>VLOOKUP(A104,Sheet2!$A$2:$R$3432,5,0)</f>
        <v>MH14DW1997</v>
      </c>
      <c r="N104" s="5" t="s">
        <v>25</v>
      </c>
      <c r="O104" s="5" t="s">
        <v>25</v>
      </c>
      <c r="P104" s="6" t="s">
        <v>25</v>
      </c>
      <c r="Q104" s="5" t="s">
        <v>25</v>
      </c>
      <c r="R104" s="5" t="s">
        <v>25</v>
      </c>
      <c r="S104" s="7" t="str">
        <f>VLOOKUP(A104,Sheet2!$A$2:$R$3432,18,0)</f>
        <v/>
      </c>
      <c r="T104" s="7" t="str">
        <f>VLOOKUP(A104,Sheet2!$A$2:$R$3432,17,0)</f>
        <v/>
      </c>
    </row>
    <row r="105" ht="15.75" customHeight="1">
      <c r="A105" s="3" t="s">
        <v>128</v>
      </c>
      <c r="B105" s="4" t="str">
        <f>VLOOKUP(A105,Sheet2!$A$2:$R$3432,2,0)</f>
        <v>2024-12-02 20:32:49</v>
      </c>
      <c r="C105" s="5" t="s">
        <v>25</v>
      </c>
      <c r="D105" s="6" t="s">
        <v>25</v>
      </c>
      <c r="E105" s="7">
        <f>VLOOKUP(A105,Sheet2!$A$2:$R$3432,4,0)</f>
        <v>8983621730</v>
      </c>
      <c r="F105" s="7" t="str">
        <f>VLOOKUP(A105,Sheet2!$A$2:$R$3432,3,0)</f>
        <v>SAURABH BHAVSAR</v>
      </c>
      <c r="G105" s="5" t="s">
        <v>25</v>
      </c>
      <c r="H105" s="5" t="s">
        <v>25</v>
      </c>
      <c r="I105" s="5" t="s">
        <v>25</v>
      </c>
      <c r="J105" s="5" t="s">
        <v>25</v>
      </c>
      <c r="K105" s="7" t="str">
        <f>VLOOKUP(A105,Sheet2!$A$2:$R$3432,6,0)</f>
        <v>Hero Hunk </v>
      </c>
      <c r="L105" s="5" t="s">
        <v>25</v>
      </c>
      <c r="M105" s="7" t="str">
        <f>VLOOKUP(A105,Sheet2!$A$2:$R$3432,5,0)</f>
        <v>MH41AE6793</v>
      </c>
      <c r="N105" s="5" t="s">
        <v>25</v>
      </c>
      <c r="O105" s="5" t="s">
        <v>25</v>
      </c>
      <c r="P105" s="6" t="s">
        <v>25</v>
      </c>
      <c r="Q105" s="5" t="s">
        <v>25</v>
      </c>
      <c r="R105" s="5" t="s">
        <v>25</v>
      </c>
      <c r="S105" s="5" t="str">
        <f>VLOOKUP(A105,Sheet2!$A$2:$R$3432,18,0)</f>
        <v>KC13EFEHD00367</v>
      </c>
      <c r="T105" s="7" t="str">
        <f>VLOOKUP(A105,Sheet2!$A$2:$R$3432,17,0)</f>
        <v>MBLKC13EGEHD00178</v>
      </c>
    </row>
    <row r="106" ht="15.75" customHeight="1">
      <c r="A106" s="3" t="s">
        <v>129</v>
      </c>
      <c r="B106" s="4" t="str">
        <f>VLOOKUP(A106,Sheet2!$A$2:$R$3432,2,0)</f>
        <v>2024-12-02 21:04:57</v>
      </c>
      <c r="C106" s="5" t="s">
        <v>25</v>
      </c>
      <c r="D106" s="6" t="s">
        <v>25</v>
      </c>
      <c r="E106" s="7">
        <f>VLOOKUP(A106,Sheet2!$A$2:$R$3432,4,0)</f>
        <v>9552179245</v>
      </c>
      <c r="F106" s="7" t="str">
        <f>VLOOKUP(A106,Sheet2!$A$2:$R$3432,3,0)</f>
        <v>Kaushik</v>
      </c>
      <c r="G106" s="5" t="s">
        <v>25</v>
      </c>
      <c r="H106" s="5" t="s">
        <v>25</v>
      </c>
      <c r="I106" s="5" t="s">
        <v>25</v>
      </c>
      <c r="J106" s="5" t="s">
        <v>25</v>
      </c>
      <c r="K106" s="7" t="str">
        <f>VLOOKUP(A106,Sheet2!$A$2:$R$3432,6,0)</f>
        <v>Honda Activa 110</v>
      </c>
      <c r="L106" s="5" t="s">
        <v>25</v>
      </c>
      <c r="M106" s="7" t="str">
        <f>VLOOKUP(A106,Sheet2!$A$2:$R$3432,5,0)</f>
        <v>MH14EW2215</v>
      </c>
      <c r="N106" s="5" t="s">
        <v>25</v>
      </c>
      <c r="O106" s="5" t="s">
        <v>25</v>
      </c>
      <c r="P106" s="6" t="s">
        <v>25</v>
      </c>
      <c r="Q106" s="5" t="s">
        <v>25</v>
      </c>
      <c r="R106" s="5" t="s">
        <v>25</v>
      </c>
      <c r="S106" s="5" t="str">
        <f>VLOOKUP(A106,Sheet2!$A$2:$R$3432,18,0)</f>
        <v>JF50E72012042</v>
      </c>
      <c r="T106" s="7" t="str">
        <f>VLOOKUP(A106,Sheet2!$A$2:$R$3432,17,0)</f>
        <v>ME4JF504BF7012078</v>
      </c>
    </row>
    <row r="107" ht="15.75" customHeight="1">
      <c r="A107" s="3" t="s">
        <v>130</v>
      </c>
      <c r="B107" s="4" t="str">
        <f>VLOOKUP(A107,Sheet2!$A$2:$R$3432,2,0)</f>
        <v>2025-01-17 20:52:58</v>
      </c>
      <c r="C107" s="5" t="s">
        <v>25</v>
      </c>
      <c r="D107" s="6" t="s">
        <v>25</v>
      </c>
      <c r="E107" s="7">
        <f>VLOOKUP(A107,Sheet2!$A$2:$R$3432,4,0)</f>
        <v>9158682999</v>
      </c>
      <c r="F107" s="7" t="str">
        <f>VLOOKUP(A107,Sheet2!$A$2:$R$3432,3,0)</f>
        <v>Ram Prasad </v>
      </c>
      <c r="G107" s="5" t="s">
        <v>25</v>
      </c>
      <c r="H107" s="5" t="s">
        <v>25</v>
      </c>
      <c r="I107" s="5" t="s">
        <v>25</v>
      </c>
      <c r="J107" s="5" t="s">
        <v>25</v>
      </c>
      <c r="K107" s="7" t="str">
        <f>VLOOKUP(A107,Sheet2!$A$2:$R$3432,6,0)</f>
        <v>Honda Activa 125</v>
      </c>
      <c r="L107" s="5" t="s">
        <v>25</v>
      </c>
      <c r="M107" s="7" t="str">
        <f>VLOOKUP(A107,Sheet2!$A$2:$R$3432,5,0)</f>
        <v>MH12QV4996</v>
      </c>
      <c r="N107" s="5" t="s">
        <v>25</v>
      </c>
      <c r="O107" s="5" t="s">
        <v>25</v>
      </c>
      <c r="P107" s="6" t="s">
        <v>25</v>
      </c>
      <c r="Q107" s="5" t="s">
        <v>25</v>
      </c>
      <c r="R107" s="5" t="s">
        <v>25</v>
      </c>
      <c r="S107" s="7" t="str">
        <f>VLOOKUP(A107,Sheet2!$A$2:$R$3432,18,0)</f>
        <v/>
      </c>
      <c r="T107" s="7" t="str">
        <f>VLOOKUP(A107,Sheet2!$A$2:$R$3432,17,0)</f>
        <v/>
      </c>
    </row>
    <row r="108" ht="15.75" customHeight="1">
      <c r="A108" s="3" t="s">
        <v>131</v>
      </c>
      <c r="B108" s="4" t="str">
        <f>VLOOKUP(A108,Sheet2!$A$2:$R$3432,2,0)</f>
        <v>2025-01-17 20:53:13</v>
      </c>
      <c r="C108" s="5" t="s">
        <v>25</v>
      </c>
      <c r="D108" s="6" t="s">
        <v>25</v>
      </c>
      <c r="E108" s="7">
        <f>VLOOKUP(A108,Sheet2!$A$2:$R$3432,4,0)</f>
        <v>9987725138</v>
      </c>
      <c r="F108" s="7" t="str">
        <f>VLOOKUP(A108,Sheet2!$A$2:$R$3432,3,0)</f>
        <v>Hitesh</v>
      </c>
      <c r="G108" s="5" t="s">
        <v>25</v>
      </c>
      <c r="H108" s="5" t="s">
        <v>25</v>
      </c>
      <c r="I108" s="5" t="s">
        <v>25</v>
      </c>
      <c r="J108" s="5" t="s">
        <v>25</v>
      </c>
      <c r="K108" s="7" t="str">
        <f>VLOOKUP(A108,Sheet2!$A$2:$R$3432,6,0)</f>
        <v>Yamaha FZ 25</v>
      </c>
      <c r="L108" s="5" t="s">
        <v>25</v>
      </c>
      <c r="M108" s="7" t="str">
        <f>VLOOKUP(A108,Sheet2!$A$2:$R$3432,5,0)</f>
        <v>MH04LN6222</v>
      </c>
      <c r="N108" s="5" t="s">
        <v>25</v>
      </c>
      <c r="O108" s="5" t="s">
        <v>25</v>
      </c>
      <c r="P108" s="6" t="s">
        <v>25</v>
      </c>
      <c r="Q108" s="5" t="s">
        <v>25</v>
      </c>
      <c r="R108" s="5" t="s">
        <v>25</v>
      </c>
      <c r="S108" s="5" t="str">
        <f>VLOOKUP(A108,Sheet2!$A$2:$R$3432,18,0)</f>
        <v>G3P1E0018855</v>
      </c>
      <c r="T108" s="7" t="str">
        <f>VLOOKUP(A108,Sheet2!$A$2:$R$3432,17,0)</f>
        <v>ME1RG695BN0003691</v>
      </c>
    </row>
    <row r="109" ht="15.75" customHeight="1">
      <c r="A109" s="3" t="s">
        <v>132</v>
      </c>
      <c r="B109" s="4" t="str">
        <f>VLOOKUP(A109,Sheet2!$A$2:$R$3432,2,0)</f>
        <v>2025-01-17 20:53:42</v>
      </c>
      <c r="C109" s="5" t="s">
        <v>25</v>
      </c>
      <c r="D109" s="6" t="s">
        <v>25</v>
      </c>
      <c r="E109" s="7">
        <f>VLOOKUP(A109,Sheet2!$A$2:$R$3432,4,0)</f>
        <v>8668867769</v>
      </c>
      <c r="F109" s="7" t="str">
        <f>VLOOKUP(A109,Sheet2!$A$2:$R$3432,3,0)</f>
        <v>Digambar Navrekar</v>
      </c>
      <c r="G109" s="5" t="s">
        <v>25</v>
      </c>
      <c r="H109" s="5" t="s">
        <v>25</v>
      </c>
      <c r="I109" s="5" t="s">
        <v>25</v>
      </c>
      <c r="J109" s="5" t="s">
        <v>25</v>
      </c>
      <c r="K109" s="7" t="str">
        <f>VLOOKUP(A109,Sheet2!$A$2:$R$3432,6,0)</f>
        <v>Honda Shine SP</v>
      </c>
      <c r="L109" s="5" t="s">
        <v>25</v>
      </c>
      <c r="M109" s="7" t="str">
        <f>VLOOKUP(A109,Sheet2!$A$2:$R$3432,5,0)</f>
        <v>MH12MT0829</v>
      </c>
      <c r="N109" s="5" t="s">
        <v>25</v>
      </c>
      <c r="O109" s="5" t="s">
        <v>25</v>
      </c>
      <c r="P109" s="6" t="s">
        <v>25</v>
      </c>
      <c r="Q109" s="5" t="s">
        <v>25</v>
      </c>
      <c r="R109" s="5" t="s">
        <v>25</v>
      </c>
      <c r="S109" s="7" t="str">
        <f>VLOOKUP(A109,Sheet2!$A$2:$R$3432,18,0)</f>
        <v/>
      </c>
      <c r="T109" s="7" t="str">
        <f>VLOOKUP(A109,Sheet2!$A$2:$R$3432,17,0)</f>
        <v>ME4JC732AG80153370</v>
      </c>
    </row>
    <row r="110" ht="15.75" customHeight="1">
      <c r="A110" s="3" t="s">
        <v>133</v>
      </c>
      <c r="B110" s="4" t="str">
        <f>VLOOKUP(A110,Sheet2!$A$2:$R$3432,2,0)</f>
        <v>2025-01-17 20:53:58</v>
      </c>
      <c r="C110" s="5" t="s">
        <v>25</v>
      </c>
      <c r="D110" s="6" t="s">
        <v>25</v>
      </c>
      <c r="E110" s="7">
        <f>VLOOKUP(A110,Sheet2!$A$2:$R$3432,4,0)</f>
        <v>7709162306</v>
      </c>
      <c r="F110" s="7" t="str">
        <f>VLOOKUP(A110,Sheet2!$A$2:$R$3432,3,0)</f>
        <v>AMOL</v>
      </c>
      <c r="G110" s="5" t="s">
        <v>25</v>
      </c>
      <c r="H110" s="5" t="s">
        <v>25</v>
      </c>
      <c r="I110" s="5" t="s">
        <v>25</v>
      </c>
      <c r="J110" s="5" t="s">
        <v>25</v>
      </c>
      <c r="K110" s="7" t="str">
        <f>VLOOKUP(A110,Sheet2!$A$2:$R$3432,6,0)</f>
        <v>Hero Karizma R</v>
      </c>
      <c r="L110" s="5" t="s">
        <v>25</v>
      </c>
      <c r="M110" s="7" t="str">
        <f>VLOOKUP(A110,Sheet2!$A$2:$R$3432,5,0)</f>
        <v>MH12HJ2056</v>
      </c>
      <c r="N110" s="5" t="s">
        <v>25</v>
      </c>
      <c r="O110" s="5" t="s">
        <v>25</v>
      </c>
      <c r="P110" s="6" t="s">
        <v>25</v>
      </c>
      <c r="Q110" s="5" t="s">
        <v>25</v>
      </c>
      <c r="R110" s="5" t="s">
        <v>25</v>
      </c>
      <c r="S110" s="7" t="str">
        <f>VLOOKUP(A110,Sheet2!$A$2:$R$3432,18,0)</f>
        <v/>
      </c>
      <c r="T110" s="7" t="str">
        <f>VLOOKUP(A110,Sheet2!$A$2:$R$3432,17,0)</f>
        <v/>
      </c>
    </row>
    <row r="111" ht="15.75" customHeight="1">
      <c r="A111" s="3" t="s">
        <v>134</v>
      </c>
      <c r="B111" s="4" t="str">
        <f>VLOOKUP(A111,Sheet2!$A$2:$R$3432,2,0)</f>
        <v>2025-01-17 20:54:19</v>
      </c>
      <c r="C111" s="5" t="s">
        <v>25</v>
      </c>
      <c r="D111" s="6" t="s">
        <v>25</v>
      </c>
      <c r="E111" s="7">
        <f>VLOOKUP(A111,Sheet2!$A$2:$R$3432,4,0)</f>
        <v>9922986199</v>
      </c>
      <c r="F111" s="7" t="str">
        <f>VLOOKUP(A111,Sheet2!$A$2:$R$3432,3,0)</f>
        <v>Vaibhav Pathak</v>
      </c>
      <c r="G111" s="5" t="s">
        <v>25</v>
      </c>
      <c r="H111" s="5" t="s">
        <v>25</v>
      </c>
      <c r="I111" s="5" t="s">
        <v>25</v>
      </c>
      <c r="J111" s="5" t="s">
        <v>25</v>
      </c>
      <c r="K111" s="7" t="str">
        <f>VLOOKUP(A111,Sheet2!$A$2:$R$3432,6,0)</f>
        <v>Honda Activa i</v>
      </c>
      <c r="L111" s="5" t="s">
        <v>25</v>
      </c>
      <c r="M111" s="7" t="str">
        <f>VLOOKUP(A111,Sheet2!$A$2:$R$3432,5,0)</f>
        <v>MH14HB1856</v>
      </c>
      <c r="N111" s="5" t="s">
        <v>25</v>
      </c>
      <c r="O111" s="5" t="s">
        <v>25</v>
      </c>
      <c r="P111" s="6" t="s">
        <v>25</v>
      </c>
      <c r="Q111" s="5" t="s">
        <v>25</v>
      </c>
      <c r="R111" s="5" t="s">
        <v>25</v>
      </c>
      <c r="S111" s="7" t="str">
        <f>VLOOKUP(A111,Sheet2!$A$2:$R$3432,18,0)</f>
        <v/>
      </c>
      <c r="T111" s="7" t="str">
        <f>VLOOKUP(A111,Sheet2!$A$2:$R$3432,17,0)</f>
        <v>ME4JF48CGJ8002907</v>
      </c>
    </row>
    <row r="112" ht="15.75" customHeight="1">
      <c r="A112" s="3" t="s">
        <v>135</v>
      </c>
      <c r="B112" s="4" t="str">
        <f>VLOOKUP(A112,Sheet2!$A$2:$R$3432,2,0)</f>
        <v>2025-01-17 20:54:38</v>
      </c>
      <c r="C112" s="5" t="s">
        <v>25</v>
      </c>
      <c r="D112" s="6" t="s">
        <v>25</v>
      </c>
      <c r="E112" s="7">
        <f>VLOOKUP(A112,Sheet2!$A$2:$R$3432,4,0)</f>
        <v>9766611011</v>
      </c>
      <c r="F112" s="7" t="str">
        <f>VLOOKUP(A112,Sheet2!$A$2:$R$3432,3,0)</f>
        <v>ATUL NANDGUDE</v>
      </c>
      <c r="G112" s="5" t="s">
        <v>25</v>
      </c>
      <c r="H112" s="5" t="s">
        <v>25</v>
      </c>
      <c r="I112" s="5" t="s">
        <v>25</v>
      </c>
      <c r="J112" s="5" t="s">
        <v>25</v>
      </c>
      <c r="K112" s="7" t="str">
        <f>VLOOKUP(A112,Sheet2!$A$2:$R$3432,6,0)</f>
        <v>Honda Activa 110</v>
      </c>
      <c r="L112" s="5" t="s">
        <v>25</v>
      </c>
      <c r="M112" s="7" t="str">
        <f>VLOOKUP(A112,Sheet2!$A$2:$R$3432,5,0)</f>
        <v>MH14EB5971</v>
      </c>
      <c r="N112" s="5" t="s">
        <v>25</v>
      </c>
      <c r="O112" s="5" t="s">
        <v>25</v>
      </c>
      <c r="P112" s="6" t="s">
        <v>25</v>
      </c>
      <c r="Q112" s="5" t="s">
        <v>25</v>
      </c>
      <c r="R112" s="5" t="s">
        <v>25</v>
      </c>
      <c r="S112" s="7" t="str">
        <f>VLOOKUP(A112,Sheet2!$A$2:$R$3432,18,0)</f>
        <v/>
      </c>
      <c r="T112" s="7" t="str">
        <f>VLOOKUP(A112,Sheet2!$A$2:$R$3432,17,0)</f>
        <v/>
      </c>
    </row>
    <row r="113" ht="15.75" customHeight="1">
      <c r="A113" s="3" t="s">
        <v>136</v>
      </c>
      <c r="B113" s="4" t="str">
        <f>VLOOKUP(A113,Sheet2!$A$2:$R$3432,2,0)</f>
        <v>2025-01-17 20:50:58</v>
      </c>
      <c r="C113" s="5" t="s">
        <v>25</v>
      </c>
      <c r="D113" s="6" t="s">
        <v>25</v>
      </c>
      <c r="E113" s="7">
        <f>VLOOKUP(A113,Sheet2!$A$2:$R$3432,4,0)</f>
        <v>8123584316</v>
      </c>
      <c r="F113" s="7" t="str">
        <f>VLOOKUP(A113,Sheet2!$A$2:$R$3432,3,0)</f>
        <v>Someshwar </v>
      </c>
      <c r="G113" s="5" t="s">
        <v>25</v>
      </c>
      <c r="H113" s="5" t="s">
        <v>25</v>
      </c>
      <c r="I113" s="5" t="s">
        <v>25</v>
      </c>
      <c r="J113" s="5" t="s">
        <v>25</v>
      </c>
      <c r="K113" s="7" t="str">
        <f>VLOOKUP(A113,Sheet2!$A$2:$R$3432,6,0)</f>
        <v>Hero Xtreme </v>
      </c>
      <c r="L113" s="5" t="s">
        <v>25</v>
      </c>
      <c r="M113" s="7" t="str">
        <f>VLOOKUP(A113,Sheet2!$A$2:$R$3432,5,0)</f>
        <v>MH14DZ2656</v>
      </c>
      <c r="N113" s="5" t="s">
        <v>25</v>
      </c>
      <c r="O113" s="5" t="s">
        <v>25</v>
      </c>
      <c r="P113" s="6" t="s">
        <v>25</v>
      </c>
      <c r="Q113" s="5" t="s">
        <v>25</v>
      </c>
      <c r="R113" s="5" t="s">
        <v>25</v>
      </c>
      <c r="S113" s="5" t="str">
        <f>VLOOKUP(A113,Sheet2!$A$2:$R$3432,18,0)</f>
        <v>KC12EEDGF02394</v>
      </c>
      <c r="T113" s="7" t="str">
        <f>VLOOKUP(A113,Sheet2!$A$2:$R$3432,17,0)</f>
        <v>MBLKC12EHDGF0191</v>
      </c>
    </row>
    <row r="114" ht="15.75" customHeight="1">
      <c r="A114" s="3" t="s">
        <v>137</v>
      </c>
      <c r="B114" s="4" t="str">
        <f>VLOOKUP(A114,Sheet2!$A$2:$R$3432,2,0)</f>
        <v>2025-01-17 20:53:26</v>
      </c>
      <c r="C114" s="5" t="s">
        <v>25</v>
      </c>
      <c r="D114" s="6" t="s">
        <v>25</v>
      </c>
      <c r="E114" s="7">
        <f>VLOOKUP(A114,Sheet2!$A$2:$R$3432,4,0)</f>
        <v>9325618400</v>
      </c>
      <c r="F114" s="7" t="str">
        <f>VLOOKUP(A114,Sheet2!$A$2:$R$3432,3,0)</f>
        <v>Vishwa</v>
      </c>
      <c r="G114" s="5" t="s">
        <v>25</v>
      </c>
      <c r="H114" s="5" t="s">
        <v>25</v>
      </c>
      <c r="I114" s="5" t="s">
        <v>25</v>
      </c>
      <c r="J114" s="5" t="s">
        <v>25</v>
      </c>
      <c r="K114" s="7" t="str">
        <f>VLOOKUP(A114,Sheet2!$A$2:$R$3432,6,0)</f>
        <v>Hero Xoom LX</v>
      </c>
      <c r="L114" s="5" t="s">
        <v>25</v>
      </c>
      <c r="M114" s="7" t="str">
        <f>VLOOKUP(A114,Sheet2!$A$2:$R$3432,5,0)</f>
        <v>MH14LQ5301</v>
      </c>
      <c r="N114" s="5" t="s">
        <v>25</v>
      </c>
      <c r="O114" s="5" t="s">
        <v>25</v>
      </c>
      <c r="P114" s="6" t="s">
        <v>25</v>
      </c>
      <c r="Q114" s="5" t="s">
        <v>25</v>
      </c>
      <c r="R114" s="5" t="s">
        <v>25</v>
      </c>
      <c r="S114" s="5" t="str">
        <f>VLOOKUP(A114,Sheet2!$A$2:$R$3432,18,0)</f>
        <v>JF16EPRGD04074</v>
      </c>
      <c r="T114" s="7" t="str">
        <f>VLOOKUP(A114,Sheet2!$A$2:$R$3432,17,0)</f>
        <v>MBLJFW00RG003420</v>
      </c>
    </row>
    <row r="115" ht="15.75" customHeight="1">
      <c r="A115" s="3" t="s">
        <v>138</v>
      </c>
      <c r="B115" s="4" t="str">
        <f>VLOOKUP(A115,Sheet2!$A$2:$R$3432,2,0)</f>
        <v>2024-12-21 16:48:56</v>
      </c>
      <c r="C115" s="5" t="s">
        <v>25</v>
      </c>
      <c r="D115" s="6" t="s">
        <v>25</v>
      </c>
      <c r="E115" s="7">
        <f>VLOOKUP(A115,Sheet2!$A$2:$R$3432,4,0)</f>
        <v>9970886964</v>
      </c>
      <c r="F115" s="7" t="str">
        <f>VLOOKUP(A115,Sheet2!$A$2:$R$3432,3,0)</f>
        <v>Ashok Yadav </v>
      </c>
      <c r="G115" s="5" t="s">
        <v>25</v>
      </c>
      <c r="H115" s="5" t="s">
        <v>25</v>
      </c>
      <c r="I115" s="5" t="s">
        <v>25</v>
      </c>
      <c r="J115" s="5" t="s">
        <v>25</v>
      </c>
      <c r="K115" s="7" t="str">
        <f>VLOOKUP(A115,Sheet2!$A$2:$R$3432,6,0)</f>
        <v>Honda Activa </v>
      </c>
      <c r="L115" s="5" t="s">
        <v>25</v>
      </c>
      <c r="M115" s="7" t="str">
        <f>VLOOKUP(A115,Sheet2!$A$2:$R$3432,5,0)</f>
        <v>MH14EW8848</v>
      </c>
      <c r="N115" s="5" t="s">
        <v>25</v>
      </c>
      <c r="O115" s="5" t="s">
        <v>25</v>
      </c>
      <c r="P115" s="6" t="s">
        <v>25</v>
      </c>
      <c r="Q115" s="5" t="s">
        <v>25</v>
      </c>
      <c r="R115" s="5" t="s">
        <v>25</v>
      </c>
      <c r="S115" s="7" t="str">
        <f>VLOOKUP(A115,Sheet2!$A$2:$R$3432,18,0)</f>
        <v/>
      </c>
      <c r="T115" s="7" t="str">
        <f>VLOOKUP(A115,Sheet2!$A$2:$R$3432,17,0)</f>
        <v/>
      </c>
    </row>
    <row r="116" ht="15.75" customHeight="1">
      <c r="A116" s="3" t="s">
        <v>139</v>
      </c>
      <c r="B116" s="4" t="str">
        <f>VLOOKUP(A116,Sheet2!$A$2:$R$3432,2,0)</f>
        <v>2024-12-21 17:03:16</v>
      </c>
      <c r="C116" s="5" t="s">
        <v>25</v>
      </c>
      <c r="D116" s="6" t="s">
        <v>25</v>
      </c>
      <c r="E116" s="7">
        <f>VLOOKUP(A116,Sheet2!$A$2:$R$3432,4,0)</f>
        <v>8871618082</v>
      </c>
      <c r="F116" s="7" t="str">
        <f>VLOOKUP(A116,Sheet2!$A$2:$R$3432,3,0)</f>
        <v>Astha</v>
      </c>
      <c r="G116" s="5" t="s">
        <v>25</v>
      </c>
      <c r="H116" s="5" t="s">
        <v>25</v>
      </c>
      <c r="I116" s="5" t="s">
        <v>25</v>
      </c>
      <c r="J116" s="5" t="s">
        <v>25</v>
      </c>
      <c r="K116" s="7" t="str">
        <f>VLOOKUP(A116,Sheet2!$A$2:$R$3432,6,0)</f>
        <v>TVS Jupiter </v>
      </c>
      <c r="L116" s="5" t="s">
        <v>25</v>
      </c>
      <c r="M116" s="7" t="str">
        <f>VLOOKUP(A116,Sheet2!$A$2:$R$3432,5,0)</f>
        <v>MH40CK6436</v>
      </c>
      <c r="N116" s="5" t="s">
        <v>25</v>
      </c>
      <c r="O116" s="5" t="s">
        <v>25</v>
      </c>
      <c r="P116" s="6" t="s">
        <v>25</v>
      </c>
      <c r="Q116" s="5" t="s">
        <v>25</v>
      </c>
      <c r="R116" s="5" t="s">
        <v>25</v>
      </c>
      <c r="S116" s="5" t="str">
        <f>VLOOKUP(A116,Sheet2!$A$2:$R$3432,18,0)</f>
        <v>GG5BN1611977</v>
      </c>
      <c r="T116" s="7" t="str">
        <f>VLOOKUP(A116,Sheet2!$A$2:$R$3432,17,0)</f>
        <v>MD62EG57N1C00103</v>
      </c>
    </row>
    <row r="117" ht="15.75" customHeight="1">
      <c r="A117" s="3" t="s">
        <v>140</v>
      </c>
      <c r="B117" s="4" t="str">
        <f>VLOOKUP(A117,Sheet2!$A$2:$R$3432,2,0)</f>
        <v>2024-12-21 18:57:56</v>
      </c>
      <c r="C117" s="5" t="s">
        <v>25</v>
      </c>
      <c r="D117" s="6" t="s">
        <v>25</v>
      </c>
      <c r="E117" s="7">
        <f>VLOOKUP(A117,Sheet2!$A$2:$R$3432,4,0)</f>
        <v>9766589338</v>
      </c>
      <c r="F117" s="7" t="str">
        <f>VLOOKUP(A117,Sheet2!$A$2:$R$3432,3,0)</f>
        <v>Prathamesh Nikam</v>
      </c>
      <c r="G117" s="5" t="s">
        <v>25</v>
      </c>
      <c r="H117" s="5" t="s">
        <v>25</v>
      </c>
      <c r="I117" s="5" t="s">
        <v>25</v>
      </c>
      <c r="J117" s="5" t="s">
        <v>25</v>
      </c>
      <c r="K117" s="7" t="str">
        <f>VLOOKUP(A117,Sheet2!$A$2:$R$3432,6,0)</f>
        <v>TVS Jupiter </v>
      </c>
      <c r="L117" s="5" t="s">
        <v>25</v>
      </c>
      <c r="M117" s="7" t="str">
        <f>VLOOKUP(A117,Sheet2!$A$2:$R$3432,5,0)</f>
        <v>MH12NH1362</v>
      </c>
      <c r="N117" s="5" t="s">
        <v>25</v>
      </c>
      <c r="O117" s="5" t="s">
        <v>25</v>
      </c>
      <c r="P117" s="6" t="s">
        <v>25</v>
      </c>
      <c r="Q117" s="5" t="s">
        <v>25</v>
      </c>
      <c r="R117" s="5" t="s">
        <v>25</v>
      </c>
      <c r="S117" s="7" t="str">
        <f>VLOOKUP(A117,Sheet2!$A$2:$R$3432,18,0)</f>
        <v/>
      </c>
      <c r="T117" s="7" t="str">
        <f>VLOOKUP(A117,Sheet2!$A$2:$R$3432,17,0)</f>
        <v/>
      </c>
    </row>
    <row r="118" ht="15.75" customHeight="1">
      <c r="A118" s="3" t="s">
        <v>141</v>
      </c>
      <c r="B118" s="4" t="str">
        <f>VLOOKUP(A118,Sheet2!$A$2:$R$3432,2,0)</f>
        <v>2024-12-21 19:29:40</v>
      </c>
      <c r="C118" s="5" t="s">
        <v>25</v>
      </c>
      <c r="D118" s="6" t="s">
        <v>25</v>
      </c>
      <c r="E118" s="7">
        <f>VLOOKUP(A118,Sheet2!$A$2:$R$3432,4,0)</f>
        <v>9172992292</v>
      </c>
      <c r="F118" s="7" t="str">
        <f>VLOOKUP(A118,Sheet2!$A$2:$R$3432,3,0)</f>
        <v>Sairaj</v>
      </c>
      <c r="G118" s="5" t="s">
        <v>25</v>
      </c>
      <c r="H118" s="5" t="s">
        <v>25</v>
      </c>
      <c r="I118" s="5" t="s">
        <v>25</v>
      </c>
      <c r="J118" s="5" t="s">
        <v>25</v>
      </c>
      <c r="K118" s="7" t="str">
        <f>VLOOKUP(A118,Sheet2!$A$2:$R$3432,6,0)</f>
        <v>Yamaha FZ V3</v>
      </c>
      <c r="L118" s="5" t="s">
        <v>25</v>
      </c>
      <c r="M118" s="7" t="str">
        <f>VLOOKUP(A118,Sheet2!$A$2:$R$3432,5,0)</f>
        <v>MH26CD0564</v>
      </c>
      <c r="N118" s="5" t="s">
        <v>25</v>
      </c>
      <c r="O118" s="5" t="s">
        <v>25</v>
      </c>
      <c r="P118" s="6" t="s">
        <v>25</v>
      </c>
      <c r="Q118" s="5" t="s">
        <v>25</v>
      </c>
      <c r="R118" s="5" t="s">
        <v>25</v>
      </c>
      <c r="S118" s="5" t="str">
        <f>VLOOKUP(A118,Sheet2!$A$2:$R$3432,18,0)</f>
        <v>G3N3E0234542</v>
      </c>
      <c r="T118" s="7" t="str">
        <f>VLOOKUP(A118,Sheet2!$A$2:$R$3432,17,0)</f>
        <v>ME1RG6689N0019141</v>
      </c>
    </row>
    <row r="119" ht="15.75" customHeight="1">
      <c r="A119" s="3" t="s">
        <v>142</v>
      </c>
      <c r="B119" s="4" t="str">
        <f>VLOOKUP(A119,Sheet2!$A$2:$R$3432,2,0)</f>
        <v>2024-12-21 19:31:20</v>
      </c>
      <c r="C119" s="5" t="s">
        <v>25</v>
      </c>
      <c r="D119" s="6" t="s">
        <v>25</v>
      </c>
      <c r="E119" s="7">
        <f>VLOOKUP(A119,Sheet2!$A$2:$R$3432,4,0)</f>
        <v>9860645457</v>
      </c>
      <c r="F119" s="7" t="str">
        <f>VLOOKUP(A119,Sheet2!$A$2:$R$3432,3,0)</f>
        <v>Saurabh Gandhi</v>
      </c>
      <c r="G119" s="5" t="s">
        <v>25</v>
      </c>
      <c r="H119" s="5" t="s">
        <v>25</v>
      </c>
      <c r="I119" s="5" t="s">
        <v>25</v>
      </c>
      <c r="J119" s="5" t="s">
        <v>25</v>
      </c>
      <c r="K119" s="7" t="str">
        <f>VLOOKUP(A119,Sheet2!$A$2:$R$3432,6,0)</f>
        <v>Hero Passion Pro</v>
      </c>
      <c r="L119" s="5" t="s">
        <v>25</v>
      </c>
      <c r="M119" s="7" t="str">
        <f>VLOOKUP(A119,Sheet2!$A$2:$R$3432,5,0)</f>
        <v>MH25X6443</v>
      </c>
      <c r="N119" s="5" t="s">
        <v>25</v>
      </c>
      <c r="O119" s="5" t="s">
        <v>25</v>
      </c>
      <c r="P119" s="6" t="s">
        <v>25</v>
      </c>
      <c r="Q119" s="5" t="s">
        <v>25</v>
      </c>
      <c r="R119" s="5" t="s">
        <v>25</v>
      </c>
      <c r="S119" s="5" t="str">
        <f>VLOOKUP(A119,Sheet2!$A$2:$R$3432,18,0)</f>
        <v>HA10EDBHIL29364</v>
      </c>
      <c r="T119" s="7" t="str">
        <f>VLOOKUP(A119,Sheet2!$A$2:$R$3432,17,0)</f>
        <v>MBLHA10EWBHLZ8250</v>
      </c>
    </row>
    <row r="120" ht="15.75" customHeight="1">
      <c r="A120" s="3" t="s">
        <v>143</v>
      </c>
      <c r="B120" s="4" t="str">
        <f>VLOOKUP(A120,Sheet2!$A$2:$R$3432,2,0)</f>
        <v>2024-12-21 19:32:40</v>
      </c>
      <c r="C120" s="5" t="s">
        <v>25</v>
      </c>
      <c r="D120" s="6" t="s">
        <v>25</v>
      </c>
      <c r="E120" s="7">
        <f>VLOOKUP(A120,Sheet2!$A$2:$R$3432,4,0)</f>
        <v>9920227457</v>
      </c>
      <c r="F120" s="7" t="str">
        <f>VLOOKUP(A120,Sheet2!$A$2:$R$3432,3,0)</f>
        <v>Abhishek Agrawal</v>
      </c>
      <c r="G120" s="5" t="s">
        <v>25</v>
      </c>
      <c r="H120" s="5" t="s">
        <v>25</v>
      </c>
      <c r="I120" s="5" t="s">
        <v>25</v>
      </c>
      <c r="J120" s="5" t="s">
        <v>25</v>
      </c>
      <c r="K120" s="7" t="str">
        <f>VLOOKUP(A120,Sheet2!$A$2:$R$3432,6,0)</f>
        <v>Suzuki Access </v>
      </c>
      <c r="L120" s="5" t="s">
        <v>25</v>
      </c>
      <c r="M120" s="7" t="str">
        <f>VLOOKUP(A120,Sheet2!$A$2:$R$3432,5,0)</f>
        <v>MH14HN5266</v>
      </c>
      <c r="N120" s="5" t="s">
        <v>25</v>
      </c>
      <c r="O120" s="5" t="s">
        <v>25</v>
      </c>
      <c r="P120" s="6" t="s">
        <v>25</v>
      </c>
      <c r="Q120" s="5" t="s">
        <v>25</v>
      </c>
      <c r="R120" s="5" t="s">
        <v>25</v>
      </c>
      <c r="S120" s="7" t="str">
        <f>VLOOKUP(A120,Sheet2!$A$2:$R$3432,18,0)</f>
        <v/>
      </c>
      <c r="T120" s="7" t="str">
        <f>VLOOKUP(A120,Sheet2!$A$2:$R$3432,17,0)</f>
        <v>MB8DP11AAK8852381</v>
      </c>
    </row>
    <row r="121" ht="15.75" customHeight="1">
      <c r="A121" s="3" t="s">
        <v>144</v>
      </c>
      <c r="B121" s="4" t="str">
        <f>VLOOKUP(A121,Sheet2!$A$2:$R$3432,2,0)</f>
        <v>2024-12-21 19:58:58</v>
      </c>
      <c r="C121" s="5" t="s">
        <v>25</v>
      </c>
      <c r="D121" s="6" t="s">
        <v>25</v>
      </c>
      <c r="E121" s="7">
        <f>VLOOKUP(A121,Sheet2!$A$2:$R$3432,4,0)</f>
        <v>9881212187</v>
      </c>
      <c r="F121" s="7" t="str">
        <f>VLOOKUP(A121,Sheet2!$A$2:$R$3432,3,0)</f>
        <v>Sujeet Sanap</v>
      </c>
      <c r="G121" s="5" t="s">
        <v>25</v>
      </c>
      <c r="H121" s="5" t="s">
        <v>25</v>
      </c>
      <c r="I121" s="5" t="s">
        <v>25</v>
      </c>
      <c r="J121" s="5" t="s">
        <v>25</v>
      </c>
      <c r="K121" s="7" t="str">
        <f>VLOOKUP(A121,Sheet2!$A$2:$R$3432,6,0)</f>
        <v>Hero Pleasure </v>
      </c>
      <c r="L121" s="5" t="s">
        <v>25</v>
      </c>
      <c r="M121" s="7" t="str">
        <f>VLOOKUP(A121,Sheet2!$A$2:$R$3432,5,0)</f>
        <v>MH14FP0537</v>
      </c>
      <c r="N121" s="5" t="s">
        <v>25</v>
      </c>
      <c r="O121" s="5" t="s">
        <v>25</v>
      </c>
      <c r="P121" s="6" t="s">
        <v>25</v>
      </c>
      <c r="Q121" s="5" t="s">
        <v>25</v>
      </c>
      <c r="R121" s="5" t="s">
        <v>25</v>
      </c>
      <c r="S121" s="7" t="str">
        <f>VLOOKUP(A121,Sheet2!$A$2:$R$3432,18,0)</f>
        <v/>
      </c>
      <c r="T121" s="7" t="str">
        <f>VLOOKUP(A121,Sheet2!$A$2:$R$3432,17,0)</f>
        <v/>
      </c>
    </row>
    <row r="122" ht="15.75" customHeight="1">
      <c r="A122" s="3" t="s">
        <v>145</v>
      </c>
      <c r="B122" s="4" t="str">
        <f>VLOOKUP(A122,Sheet2!$A$2:$R$3432,2,0)</f>
        <v>2024-12-21 19:59:39</v>
      </c>
      <c r="C122" s="5" t="s">
        <v>25</v>
      </c>
      <c r="D122" s="6" t="s">
        <v>25</v>
      </c>
      <c r="E122" s="7">
        <f>VLOOKUP(A122,Sheet2!$A$2:$R$3432,4,0)</f>
        <v>7776830728</v>
      </c>
      <c r="F122" s="7" t="str">
        <f>VLOOKUP(A122,Sheet2!$A$2:$R$3432,3,0)</f>
        <v>Abhijit </v>
      </c>
      <c r="G122" s="5" t="s">
        <v>25</v>
      </c>
      <c r="H122" s="5" t="s">
        <v>25</v>
      </c>
      <c r="I122" s="5" t="s">
        <v>25</v>
      </c>
      <c r="J122" s="5" t="s">
        <v>25</v>
      </c>
      <c r="K122" s="7" t="str">
        <f>VLOOKUP(A122,Sheet2!$A$2:$R$3432,6,0)</f>
        <v>Hero Pleasure </v>
      </c>
      <c r="L122" s="5" t="s">
        <v>25</v>
      </c>
      <c r="M122" s="7" t="str">
        <f>VLOOKUP(A122,Sheet2!$A$2:$R$3432,5,0)</f>
        <v>MH19CM2983</v>
      </c>
      <c r="N122" s="5" t="s">
        <v>25</v>
      </c>
      <c r="O122" s="5" t="s">
        <v>25</v>
      </c>
      <c r="P122" s="6" t="s">
        <v>25</v>
      </c>
      <c r="Q122" s="5" t="s">
        <v>25</v>
      </c>
      <c r="R122" s="5" t="s">
        <v>25</v>
      </c>
      <c r="S122" s="5" t="str">
        <f>VLOOKUP(A122,Sheet2!$A$2:$R$3432,18,0)</f>
        <v>JF16EEC9H04524</v>
      </c>
      <c r="T122" s="7" t="str">
        <f>VLOOKUP(A122,Sheet2!$A$2:$R$3432,17,0)</f>
        <v/>
      </c>
    </row>
    <row r="123" ht="15.75" customHeight="1">
      <c r="A123" s="3" t="s">
        <v>146</v>
      </c>
      <c r="B123" s="4" t="str">
        <f>VLOOKUP(A123,Sheet2!$A$2:$R$3432,2,0)</f>
        <v>2024-12-21 20:04:27</v>
      </c>
      <c r="C123" s="5" t="s">
        <v>25</v>
      </c>
      <c r="D123" s="6" t="s">
        <v>25</v>
      </c>
      <c r="E123" s="7">
        <f>VLOOKUP(A123,Sheet2!$A$2:$R$3432,4,0)</f>
        <v>9834919277</v>
      </c>
      <c r="F123" s="7" t="str">
        <f>VLOOKUP(A123,Sheet2!$A$2:$R$3432,3,0)</f>
        <v>Bhushan</v>
      </c>
      <c r="G123" s="5" t="s">
        <v>25</v>
      </c>
      <c r="H123" s="5" t="s">
        <v>25</v>
      </c>
      <c r="I123" s="5" t="s">
        <v>25</v>
      </c>
      <c r="J123" s="5" t="s">
        <v>25</v>
      </c>
      <c r="K123" s="7" t="str">
        <f>VLOOKUP(A123,Sheet2!$A$2:$R$3432,6,0)</f>
        <v>Hero Xtreme </v>
      </c>
      <c r="L123" s="5" t="s">
        <v>25</v>
      </c>
      <c r="M123" s="7" t="str">
        <f>VLOOKUP(A123,Sheet2!$A$2:$R$3432,5,0)</f>
        <v>MH34AK9719</v>
      </c>
      <c r="N123" s="5" t="s">
        <v>25</v>
      </c>
      <c r="O123" s="5" t="s">
        <v>25</v>
      </c>
      <c r="P123" s="6" t="s">
        <v>25</v>
      </c>
      <c r="Q123" s="5" t="s">
        <v>25</v>
      </c>
      <c r="R123" s="5" t="s">
        <v>25</v>
      </c>
      <c r="S123" s="5" t="str">
        <f>VLOOKUP(A123,Sheet2!$A$2:$R$3432,18,0)</f>
        <v>KC1ZECCGM0836</v>
      </c>
      <c r="T123" s="7" t="str">
        <f>VLOOKUP(A123,Sheet2!$A$2:$R$3432,17,0)</f>
        <v>MBLKC12EHCLM08292</v>
      </c>
    </row>
    <row r="124" ht="15.75" customHeight="1">
      <c r="A124" s="3" t="s">
        <v>147</v>
      </c>
      <c r="B124" s="4" t="str">
        <f>VLOOKUP(A124,Sheet2!$A$2:$R$3432,2,0)</f>
        <v>2024-12-21 20:14:38</v>
      </c>
      <c r="C124" s="5" t="s">
        <v>25</v>
      </c>
      <c r="D124" s="6" t="s">
        <v>25</v>
      </c>
      <c r="E124" s="7">
        <f>VLOOKUP(A124,Sheet2!$A$2:$R$3432,4,0)</f>
        <v>9028366926</v>
      </c>
      <c r="F124" s="7" t="str">
        <f>VLOOKUP(A124,Sheet2!$A$2:$R$3432,3,0)</f>
        <v>Ketan Yelnoorkar</v>
      </c>
      <c r="G124" s="5" t="s">
        <v>25</v>
      </c>
      <c r="H124" s="5" t="s">
        <v>25</v>
      </c>
      <c r="I124" s="5" t="s">
        <v>25</v>
      </c>
      <c r="J124" s="5" t="s">
        <v>25</v>
      </c>
      <c r="K124" s="7" t="str">
        <f>VLOOKUP(A124,Sheet2!$A$2:$R$3432,6,0)</f>
        <v>Yamaha FZ S</v>
      </c>
      <c r="L124" s="5" t="s">
        <v>25</v>
      </c>
      <c r="M124" s="7" t="str">
        <f>VLOOKUP(A124,Sheet2!$A$2:$R$3432,5,0)</f>
        <v>MH20CM4633</v>
      </c>
      <c r="N124" s="5" t="s">
        <v>25</v>
      </c>
      <c r="O124" s="5" t="s">
        <v>25</v>
      </c>
      <c r="P124" s="6" t="s">
        <v>25</v>
      </c>
      <c r="Q124" s="5" t="s">
        <v>25</v>
      </c>
      <c r="R124" s="5" t="s">
        <v>25</v>
      </c>
      <c r="S124" s="7" t="str">
        <f>VLOOKUP(A124,Sheet2!$A$2:$R$3432,18,0)</f>
        <v/>
      </c>
      <c r="T124" s="7" t="str">
        <f>VLOOKUP(A124,Sheet2!$A$2:$R$3432,17,0)</f>
        <v>ME121C0FAC2002589</v>
      </c>
    </row>
    <row r="125" ht="15.75" customHeight="1">
      <c r="A125" s="3" t="s">
        <v>148</v>
      </c>
      <c r="B125" s="4" t="str">
        <f>VLOOKUP(A125,Sheet2!$A$2:$R$3432,2,0)</f>
        <v>2024-12-21 13:20:54</v>
      </c>
      <c r="C125" s="5" t="s">
        <v>25</v>
      </c>
      <c r="D125" s="6" t="s">
        <v>25</v>
      </c>
      <c r="E125" s="7">
        <f>VLOOKUP(A125,Sheet2!$A$2:$R$3432,4,0)</f>
        <v>9423577044</v>
      </c>
      <c r="F125" s="7" t="str">
        <f>VLOOKUP(A125,Sheet2!$A$2:$R$3432,3,0)</f>
        <v>Shelar</v>
      </c>
      <c r="G125" s="5" t="s">
        <v>25</v>
      </c>
      <c r="H125" s="5" t="s">
        <v>25</v>
      </c>
      <c r="I125" s="5" t="s">
        <v>25</v>
      </c>
      <c r="J125" s="5" t="s">
        <v>25</v>
      </c>
      <c r="K125" s="7" t="str">
        <f>VLOOKUP(A125,Sheet2!$A$2:$R$3432,6,0)</f>
        <v>TVS Jupiter </v>
      </c>
      <c r="L125" s="5" t="s">
        <v>25</v>
      </c>
      <c r="M125" s="7" t="str">
        <f>VLOOKUP(A125,Sheet2!$A$2:$R$3432,5,0)</f>
        <v>MH12MC7277</v>
      </c>
      <c r="N125" s="5" t="s">
        <v>25</v>
      </c>
      <c r="O125" s="5" t="s">
        <v>25</v>
      </c>
      <c r="P125" s="6" t="s">
        <v>25</v>
      </c>
      <c r="Q125" s="5" t="s">
        <v>25</v>
      </c>
      <c r="R125" s="5" t="s">
        <v>25</v>
      </c>
      <c r="S125" s="5" t="str">
        <f>VLOOKUP(A125,Sheet2!$A$2:$R$3432,18,0)</f>
        <v>BG4DF1500448</v>
      </c>
      <c r="T125" s="7" t="str">
        <f>VLOOKUP(A125,Sheet2!$A$2:$R$3432,17,0)</f>
        <v>MD626BG41F1D10569</v>
      </c>
    </row>
    <row r="126" ht="15.75" customHeight="1">
      <c r="A126" s="3" t="s">
        <v>149</v>
      </c>
      <c r="B126" s="4" t="str">
        <f>VLOOKUP(A126,Sheet2!$A$2:$R$3432,2,0)</f>
        <v>2025-01-18 12:04:17</v>
      </c>
      <c r="C126" s="5" t="s">
        <v>25</v>
      </c>
      <c r="D126" s="6" t="s">
        <v>25</v>
      </c>
      <c r="E126" s="7">
        <f>VLOOKUP(A126,Sheet2!$A$2:$R$3432,4,0)</f>
        <v>9850380576</v>
      </c>
      <c r="F126" s="7" t="str">
        <f>VLOOKUP(A126,Sheet2!$A$2:$R$3432,3,0)</f>
        <v>Pandit Patekari</v>
      </c>
      <c r="G126" s="5" t="s">
        <v>25</v>
      </c>
      <c r="H126" s="5" t="s">
        <v>25</v>
      </c>
      <c r="I126" s="5" t="s">
        <v>25</v>
      </c>
      <c r="J126" s="5" t="s">
        <v>25</v>
      </c>
      <c r="K126" s="7" t="str">
        <f>VLOOKUP(A126,Sheet2!$A$2:$R$3432,6,0)</f>
        <v>Hero Passion Plus</v>
      </c>
      <c r="L126" s="5" t="s">
        <v>25</v>
      </c>
      <c r="M126" s="7" t="str">
        <f>VLOOKUP(A126,Sheet2!$A$2:$R$3432,5,0)</f>
        <v>MH12FJ2072</v>
      </c>
      <c r="N126" s="5" t="s">
        <v>25</v>
      </c>
      <c r="O126" s="5" t="s">
        <v>25</v>
      </c>
      <c r="P126" s="6" t="s">
        <v>25</v>
      </c>
      <c r="Q126" s="5" t="s">
        <v>25</v>
      </c>
      <c r="R126" s="5" t="s">
        <v>25</v>
      </c>
      <c r="S126" s="7" t="str">
        <f>VLOOKUP(A126,Sheet2!$A$2:$R$3432,18,0)</f>
        <v/>
      </c>
      <c r="T126" s="7" t="str">
        <f>VLOOKUP(A126,Sheet2!$A$2:$R$3432,17,0)</f>
        <v/>
      </c>
    </row>
    <row r="127" ht="15.75" customHeight="1">
      <c r="A127" s="3" t="s">
        <v>150</v>
      </c>
      <c r="B127" s="4" t="str">
        <f>VLOOKUP(A127,Sheet2!$A$2:$R$3432,2,0)</f>
        <v>2025-01-18 18:24:50</v>
      </c>
      <c r="C127" s="5" t="s">
        <v>25</v>
      </c>
      <c r="D127" s="6" t="s">
        <v>25</v>
      </c>
      <c r="E127" s="7">
        <f>VLOOKUP(A127,Sheet2!$A$2:$R$3432,4,0)</f>
        <v>9595171740</v>
      </c>
      <c r="F127" s="7" t="str">
        <f>VLOOKUP(A127,Sheet2!$A$2:$R$3432,3,0)</f>
        <v>Patil</v>
      </c>
      <c r="G127" s="5" t="s">
        <v>25</v>
      </c>
      <c r="H127" s="5" t="s">
        <v>25</v>
      </c>
      <c r="I127" s="5" t="s">
        <v>25</v>
      </c>
      <c r="J127" s="5" t="s">
        <v>25</v>
      </c>
      <c r="K127" s="7" t="str">
        <f>VLOOKUP(A127,Sheet2!$A$2:$R$3432,6,0)</f>
        <v>Hero Xtreme </v>
      </c>
      <c r="L127" s="5" t="s">
        <v>25</v>
      </c>
      <c r="M127" s="7" t="str">
        <f>VLOOKUP(A127,Sheet2!$A$2:$R$3432,5,0)</f>
        <v>MH39H5443</v>
      </c>
      <c r="N127" s="5" t="s">
        <v>25</v>
      </c>
      <c r="O127" s="5" t="s">
        <v>25</v>
      </c>
      <c r="P127" s="6" t="s">
        <v>25</v>
      </c>
      <c r="Q127" s="5" t="s">
        <v>25</v>
      </c>
      <c r="R127" s="5" t="s">
        <v>25</v>
      </c>
      <c r="S127" s="7" t="str">
        <f>VLOOKUP(A127,Sheet2!$A$2:$R$3432,18,0)</f>
        <v/>
      </c>
      <c r="T127" s="7" t="str">
        <f>VLOOKUP(A127,Sheet2!$A$2:$R$3432,17,0)</f>
        <v>MBLKC12ECAGA09381</v>
      </c>
    </row>
    <row r="128" ht="15.75" customHeight="1">
      <c r="A128" s="3" t="s">
        <v>151</v>
      </c>
      <c r="B128" s="4" t="str">
        <f>VLOOKUP(A128,Sheet2!$A$2:$R$3432,2,0)</f>
        <v>2025-01-18 22:47:44</v>
      </c>
      <c r="C128" s="5" t="s">
        <v>25</v>
      </c>
      <c r="D128" s="6" t="s">
        <v>25</v>
      </c>
      <c r="E128" s="7">
        <f>VLOOKUP(A128,Sheet2!$A$2:$R$3432,4,0)</f>
        <v>9860587266</v>
      </c>
      <c r="F128" s="7" t="str">
        <f>VLOOKUP(A128,Sheet2!$A$2:$R$3432,3,0)</f>
        <v>Sumit Patil</v>
      </c>
      <c r="G128" s="5" t="s">
        <v>25</v>
      </c>
      <c r="H128" s="5" t="s">
        <v>25</v>
      </c>
      <c r="I128" s="5" t="s">
        <v>25</v>
      </c>
      <c r="J128" s="5" t="s">
        <v>25</v>
      </c>
      <c r="K128" s="7" t="str">
        <f>VLOOKUP(A128,Sheet2!$A$2:$R$3432,6,0)</f>
        <v>TVS Apache RTR 160</v>
      </c>
      <c r="L128" s="5" t="s">
        <v>25</v>
      </c>
      <c r="M128" s="7" t="str">
        <f>VLOOKUP(A128,Sheet2!$A$2:$R$3432,5,0)</f>
        <v>MH14ET2912</v>
      </c>
      <c r="N128" s="5" t="s">
        <v>25</v>
      </c>
      <c r="O128" s="5" t="s">
        <v>25</v>
      </c>
      <c r="P128" s="6" t="s">
        <v>25</v>
      </c>
      <c r="Q128" s="5" t="s">
        <v>25</v>
      </c>
      <c r="R128" s="5" t="s">
        <v>25</v>
      </c>
      <c r="S128" s="5" t="str">
        <f>VLOOKUP(A128,Sheet2!$A$2:$R$3432,18,0)</f>
        <v>0E4LE2679895</v>
      </c>
      <c r="T128" s="7" t="str">
        <f>VLOOKUP(A128,Sheet2!$A$2:$R$3432,17,0)</f>
        <v>MD634KE46E2N90363</v>
      </c>
    </row>
    <row r="129" ht="15.75" customHeight="1">
      <c r="A129" s="3" t="s">
        <v>152</v>
      </c>
      <c r="B129" s="4" t="str">
        <f>VLOOKUP(A129,Sheet2!$A$2:$R$3432,2,0)</f>
        <v>2025-01-18 22:19:08</v>
      </c>
      <c r="C129" s="5" t="s">
        <v>25</v>
      </c>
      <c r="D129" s="6" t="s">
        <v>25</v>
      </c>
      <c r="E129" s="7">
        <f>VLOOKUP(A129,Sheet2!$A$2:$R$3432,4,0)</f>
        <v>9822975521</v>
      </c>
      <c r="F129" s="7" t="str">
        <f>VLOOKUP(A129,Sheet2!$A$2:$R$3432,3,0)</f>
        <v>Nilesh Dhondage</v>
      </c>
      <c r="G129" s="5" t="s">
        <v>25</v>
      </c>
      <c r="H129" s="5" t="s">
        <v>25</v>
      </c>
      <c r="I129" s="5" t="s">
        <v>25</v>
      </c>
      <c r="J129" s="5" t="s">
        <v>25</v>
      </c>
      <c r="K129" s="7" t="str">
        <f>VLOOKUP(A129,Sheet2!$A$2:$R$3432,6,0)</f>
        <v>Bajaj Pulsar 150</v>
      </c>
      <c r="L129" s="5" t="s">
        <v>25</v>
      </c>
      <c r="M129" s="7" t="str">
        <f>VLOOKUP(A129,Sheet2!$A$2:$R$3432,5,0)</f>
        <v>MH14EE8969</v>
      </c>
      <c r="N129" s="5" t="s">
        <v>25</v>
      </c>
      <c r="O129" s="5" t="s">
        <v>25</v>
      </c>
      <c r="P129" s="6" t="s">
        <v>25</v>
      </c>
      <c r="Q129" s="5" t="s">
        <v>25</v>
      </c>
      <c r="R129" s="5" t="s">
        <v>25</v>
      </c>
      <c r="S129" s="5" t="str">
        <f>VLOOKUP(A129,Sheet2!$A$2:$R$3432,18,0)</f>
        <v>CG54L1305391</v>
      </c>
      <c r="T129" s="7" t="str">
        <f>VLOOKUP(A129,Sheet2!$A$2:$R$3432,17,0)</f>
        <v>MD2A11CZ7DCH59635</v>
      </c>
    </row>
    <row r="130" ht="15.75" customHeight="1">
      <c r="A130" s="3" t="s">
        <v>153</v>
      </c>
      <c r="B130" s="4" t="str">
        <f>VLOOKUP(A130,Sheet2!$A$2:$R$3432,2,0)</f>
        <v>2025-01-18 22:20:34</v>
      </c>
      <c r="C130" s="5" t="s">
        <v>25</v>
      </c>
      <c r="D130" s="6" t="s">
        <v>25</v>
      </c>
      <c r="E130" s="7">
        <f>VLOOKUP(A130,Sheet2!$A$2:$R$3432,4,0)</f>
        <v>8237828630</v>
      </c>
      <c r="F130" s="7" t="str">
        <f>VLOOKUP(A130,Sheet2!$A$2:$R$3432,3,0)</f>
        <v>Ajay</v>
      </c>
      <c r="G130" s="5" t="s">
        <v>25</v>
      </c>
      <c r="H130" s="5" t="s">
        <v>25</v>
      </c>
      <c r="I130" s="5" t="s">
        <v>25</v>
      </c>
      <c r="J130" s="5" t="s">
        <v>25</v>
      </c>
      <c r="K130" s="7" t="str">
        <f>VLOOKUP(A130,Sheet2!$A$2:$R$3432,6,0)</f>
        <v>Bajaj Pulsar 150</v>
      </c>
      <c r="L130" s="5" t="s">
        <v>25</v>
      </c>
      <c r="M130" s="7" t="str">
        <f>VLOOKUP(A130,Sheet2!$A$2:$R$3432,5,0)</f>
        <v>MH20CL9845</v>
      </c>
      <c r="N130" s="5" t="s">
        <v>25</v>
      </c>
      <c r="O130" s="5" t="s">
        <v>25</v>
      </c>
      <c r="P130" s="6" t="s">
        <v>25</v>
      </c>
      <c r="Q130" s="5" t="s">
        <v>25</v>
      </c>
      <c r="R130" s="5" t="s">
        <v>25</v>
      </c>
      <c r="S130" s="5" t="str">
        <f>VLOOKUP(A130,Sheet2!$A$2:$R$3432,18,0)</f>
        <v>DHZCCC14640</v>
      </c>
      <c r="T130" s="7" t="str">
        <f>VLOOKUP(A130,Sheet2!$A$2:$R$3432,17,0)</f>
        <v>MD2A11CZ8CCG77590</v>
      </c>
    </row>
    <row r="131" ht="15.75" customHeight="1">
      <c r="A131" s="3" t="s">
        <v>154</v>
      </c>
      <c r="B131" s="4" t="str">
        <f>VLOOKUP(A131,Sheet2!$A$2:$R$3432,2,0)</f>
        <v>2025-01-18 22:21:53</v>
      </c>
      <c r="C131" s="5" t="s">
        <v>25</v>
      </c>
      <c r="D131" s="6" t="s">
        <v>25</v>
      </c>
      <c r="E131" s="7">
        <f>VLOOKUP(A131,Sheet2!$A$2:$R$3432,4,0)</f>
        <v>9503558142</v>
      </c>
      <c r="F131" s="7" t="str">
        <f>VLOOKUP(A131,Sheet2!$A$2:$R$3432,3,0)</f>
        <v>Amol Belkar</v>
      </c>
      <c r="G131" s="5" t="s">
        <v>25</v>
      </c>
      <c r="H131" s="5" t="s">
        <v>25</v>
      </c>
      <c r="I131" s="5" t="s">
        <v>25</v>
      </c>
      <c r="J131" s="5" t="s">
        <v>25</v>
      </c>
      <c r="K131" s="7" t="str">
        <f>VLOOKUP(A131,Sheet2!$A$2:$R$3432,6,0)</f>
        <v>Bajaj Avenger 220 Cruise</v>
      </c>
      <c r="L131" s="5" t="s">
        <v>25</v>
      </c>
      <c r="M131" s="7" t="str">
        <f>VLOOKUP(A131,Sheet2!$A$2:$R$3432,5,0)</f>
        <v>MH14EK5304</v>
      </c>
      <c r="N131" s="5" t="s">
        <v>25</v>
      </c>
      <c r="O131" s="5" t="s">
        <v>25</v>
      </c>
      <c r="P131" s="6" t="s">
        <v>25</v>
      </c>
      <c r="Q131" s="5" t="s">
        <v>25</v>
      </c>
      <c r="R131" s="5" t="s">
        <v>25</v>
      </c>
      <c r="S131" s="7" t="str">
        <f>VLOOKUP(A131,Sheet2!$A$2:$R$3432,18,0)</f>
        <v/>
      </c>
      <c r="T131" s="7" t="str">
        <f>VLOOKUP(A131,Sheet2!$A$2:$R$3432,17,0)</f>
        <v/>
      </c>
    </row>
    <row r="132" ht="15.75" customHeight="1">
      <c r="A132" s="3" t="s">
        <v>155</v>
      </c>
      <c r="B132" s="4" t="str">
        <f>VLOOKUP(A132,Sheet2!$A$2:$R$3432,2,0)</f>
        <v>2025-01-18 22:24:35</v>
      </c>
      <c r="C132" s="5" t="s">
        <v>25</v>
      </c>
      <c r="D132" s="6" t="s">
        <v>25</v>
      </c>
      <c r="E132" s="7">
        <f>VLOOKUP(A132,Sheet2!$A$2:$R$3432,4,0)</f>
        <v>9011464100</v>
      </c>
      <c r="F132" s="7" t="str">
        <f>VLOOKUP(A132,Sheet2!$A$2:$R$3432,3,0)</f>
        <v>SUDHANSHU JOSHI</v>
      </c>
      <c r="G132" s="5" t="s">
        <v>25</v>
      </c>
      <c r="H132" s="5" t="s">
        <v>25</v>
      </c>
      <c r="I132" s="5" t="s">
        <v>25</v>
      </c>
      <c r="J132" s="5" t="s">
        <v>25</v>
      </c>
      <c r="K132" s="7" t="str">
        <f>VLOOKUP(A132,Sheet2!$A$2:$R$3432,6,0)</f>
        <v>Bajaj Avenger 220 Cruise</v>
      </c>
      <c r="L132" s="5" t="s">
        <v>25</v>
      </c>
      <c r="M132" s="7" t="str">
        <f>VLOOKUP(A132,Sheet2!$A$2:$R$3432,5,0)</f>
        <v>MH12QU9608</v>
      </c>
      <c r="N132" s="5" t="s">
        <v>25</v>
      </c>
      <c r="O132" s="5" t="s">
        <v>25</v>
      </c>
      <c r="P132" s="6" t="s">
        <v>25</v>
      </c>
      <c r="Q132" s="5" t="s">
        <v>25</v>
      </c>
      <c r="R132" s="5" t="s">
        <v>25</v>
      </c>
      <c r="S132" s="5" t="str">
        <f>VLOOKUP(A132,Sheet2!$A$2:$R$3432,18,0)</f>
        <v>PDYCJE64645</v>
      </c>
      <c r="T132" s="7" t="str">
        <f>VLOOKUP(A132,Sheet2!$A$2:$R$3432,17,0)</f>
        <v>MD2A22EY0JCE35655</v>
      </c>
    </row>
    <row r="133" ht="15.75" customHeight="1">
      <c r="A133" s="3" t="s">
        <v>156</v>
      </c>
      <c r="B133" s="4" t="str">
        <f>VLOOKUP(A133,Sheet2!$A$2:$R$3432,2,0)</f>
        <v>2025-01-18 22:25:23</v>
      </c>
      <c r="C133" s="5" t="s">
        <v>25</v>
      </c>
      <c r="D133" s="6" t="s">
        <v>25</v>
      </c>
      <c r="E133" s="7">
        <f>VLOOKUP(A133,Sheet2!$A$2:$R$3432,4,0)</f>
        <v>9881690726</v>
      </c>
      <c r="F133" s="7" t="str">
        <f>VLOOKUP(A133,Sheet2!$A$2:$R$3432,3,0)</f>
        <v>Vijaymala Singh </v>
      </c>
      <c r="G133" s="5" t="s">
        <v>25</v>
      </c>
      <c r="H133" s="5" t="s">
        <v>25</v>
      </c>
      <c r="I133" s="5" t="s">
        <v>25</v>
      </c>
      <c r="J133" s="5" t="s">
        <v>25</v>
      </c>
      <c r="K133" s="7" t="str">
        <f>VLOOKUP(A133,Sheet2!$A$2:$R$3432,6,0)</f>
        <v>Honda Activa 125 BS6</v>
      </c>
      <c r="L133" s="5" t="s">
        <v>25</v>
      </c>
      <c r="M133" s="7" t="str">
        <f>VLOOKUP(A133,Sheet2!$A$2:$R$3432,5,0)</f>
        <v>MH14LT7618</v>
      </c>
      <c r="N133" s="5" t="s">
        <v>25</v>
      </c>
      <c r="O133" s="5" t="s">
        <v>25</v>
      </c>
      <c r="P133" s="6" t="s">
        <v>25</v>
      </c>
      <c r="Q133" s="5" t="s">
        <v>25</v>
      </c>
      <c r="R133" s="5" t="s">
        <v>25</v>
      </c>
      <c r="S133" s="7" t="str">
        <f>VLOOKUP(A133,Sheet2!$A$2:$R$3432,18,0)</f>
        <v/>
      </c>
      <c r="T133" s="7" t="str">
        <f>VLOOKUP(A133,Sheet2!$A$2:$R$3432,17,0)</f>
        <v/>
      </c>
    </row>
    <row r="134" ht="15.75" customHeight="1">
      <c r="A134" s="3" t="s">
        <v>157</v>
      </c>
      <c r="B134" s="4" t="str">
        <f>VLOOKUP(A134,Sheet2!$A$2:$R$3432,2,0)</f>
        <v>2025-01-18 22:28:40</v>
      </c>
      <c r="C134" s="5" t="s">
        <v>25</v>
      </c>
      <c r="D134" s="6" t="s">
        <v>25</v>
      </c>
      <c r="E134" s="7">
        <f>VLOOKUP(A134,Sheet2!$A$2:$R$3432,4,0)</f>
        <v>8983432252</v>
      </c>
      <c r="F134" s="7" t="str">
        <f>VLOOKUP(A134,Sheet2!$A$2:$R$3432,3,0)</f>
        <v>Yogesh Umbarkar</v>
      </c>
      <c r="G134" s="5" t="s">
        <v>25</v>
      </c>
      <c r="H134" s="5" t="s">
        <v>25</v>
      </c>
      <c r="I134" s="5" t="s">
        <v>25</v>
      </c>
      <c r="J134" s="5" t="s">
        <v>25</v>
      </c>
      <c r="K134" s="7" t="str">
        <f>VLOOKUP(A134,Sheet2!$A$2:$R$3432,6,0)</f>
        <v>Hero Xtreme New</v>
      </c>
      <c r="L134" s="5" t="s">
        <v>25</v>
      </c>
      <c r="M134" s="7" t="str">
        <f>VLOOKUP(A134,Sheet2!$A$2:$R$3432,5,0)</f>
        <v>MH19BF4091</v>
      </c>
      <c r="N134" s="5" t="s">
        <v>25</v>
      </c>
      <c r="O134" s="5" t="s">
        <v>25</v>
      </c>
      <c r="P134" s="6" t="s">
        <v>25</v>
      </c>
      <c r="Q134" s="5" t="s">
        <v>25</v>
      </c>
      <c r="R134" s="5" t="s">
        <v>25</v>
      </c>
      <c r="S134" s="5" t="str">
        <f>VLOOKUP(A134,Sheet2!$A$2:$R$3432,18,0)</f>
        <v>KC12EDBGK09076</v>
      </c>
      <c r="T134" s="7" t="str">
        <f>VLOOKUP(A134,Sheet2!$A$2:$R$3432,17,0)</f>
        <v>MBLKC12EFEGK0674X</v>
      </c>
    </row>
    <row r="135" ht="15.75" customHeight="1">
      <c r="A135" s="3" t="s">
        <v>158</v>
      </c>
      <c r="B135" s="4" t="str">
        <f>VLOOKUP(A135,Sheet2!$A$2:$R$3432,2,0)</f>
        <v>2025-01-18 22:30:59</v>
      </c>
      <c r="C135" s="5" t="s">
        <v>25</v>
      </c>
      <c r="D135" s="6" t="s">
        <v>25</v>
      </c>
      <c r="E135" s="7">
        <f>VLOOKUP(A135,Sheet2!$A$2:$R$3432,4,0)</f>
        <v>8668993932</v>
      </c>
      <c r="F135" s="7" t="str">
        <f>VLOOKUP(A135,Sheet2!$A$2:$R$3432,3,0)</f>
        <v>Swapnil</v>
      </c>
      <c r="G135" s="5" t="s">
        <v>25</v>
      </c>
      <c r="H135" s="5" t="s">
        <v>25</v>
      </c>
      <c r="I135" s="5" t="s">
        <v>25</v>
      </c>
      <c r="J135" s="5" t="s">
        <v>25</v>
      </c>
      <c r="K135" s="7" t="str">
        <f>VLOOKUP(A135,Sheet2!$A$2:$R$3432,6,0)</f>
        <v>Bajaj Pulsar 180</v>
      </c>
      <c r="L135" s="5" t="s">
        <v>25</v>
      </c>
      <c r="M135" s="7" t="str">
        <f>VLOOKUP(A135,Sheet2!$A$2:$R$3432,5,0)</f>
        <v>MH20DS7244</v>
      </c>
      <c r="N135" s="5" t="s">
        <v>25</v>
      </c>
      <c r="O135" s="5" t="s">
        <v>25</v>
      </c>
      <c r="P135" s="6" t="s">
        <v>25</v>
      </c>
      <c r="Q135" s="5" t="s">
        <v>25</v>
      </c>
      <c r="R135" s="5" t="s">
        <v>25</v>
      </c>
      <c r="S135" s="5" t="str">
        <f>VLOOKUP(A135,Sheet2!$A$2:$R$3432,18,0)</f>
        <v>DJZCFEZ2911</v>
      </c>
      <c r="T135" s="7" t="str">
        <f>VLOOKUP(A135,Sheet2!$A$2:$R$3432,17,0)</f>
        <v>MD2A12DZ3FCE19664</v>
      </c>
    </row>
    <row r="136" ht="15.75" customHeight="1">
      <c r="A136" s="3" t="s">
        <v>159</v>
      </c>
      <c r="B136" s="4" t="str">
        <f>VLOOKUP(A136,Sheet2!$A$2:$R$3432,2,0)</f>
        <v>2025-01-18 22:33:19</v>
      </c>
      <c r="C136" s="5" t="s">
        <v>25</v>
      </c>
      <c r="D136" s="6" t="s">
        <v>25</v>
      </c>
      <c r="E136" s="7">
        <f>VLOOKUP(A136,Sheet2!$A$2:$R$3432,4,0)</f>
        <v>8275160439</v>
      </c>
      <c r="F136" s="7" t="str">
        <f>VLOOKUP(A136,Sheet2!$A$2:$R$3432,3,0)</f>
        <v>SAURABH RAKHADE</v>
      </c>
      <c r="G136" s="5" t="s">
        <v>25</v>
      </c>
      <c r="H136" s="5" t="s">
        <v>25</v>
      </c>
      <c r="I136" s="5" t="s">
        <v>25</v>
      </c>
      <c r="J136" s="5" t="s">
        <v>25</v>
      </c>
      <c r="K136" s="7" t="str">
        <f>VLOOKUP(A136,Sheet2!$A$2:$R$3432,6,0)</f>
        <v>Yamaha FZ S 2.0</v>
      </c>
      <c r="L136" s="5" t="s">
        <v>25</v>
      </c>
      <c r="M136" s="7" t="str">
        <f>VLOOKUP(A136,Sheet2!$A$2:$R$3432,5,0)</f>
        <v>MH14HJ1148</v>
      </c>
      <c r="N136" s="5" t="s">
        <v>25</v>
      </c>
      <c r="O136" s="5" t="s">
        <v>25</v>
      </c>
      <c r="P136" s="6" t="s">
        <v>25</v>
      </c>
      <c r="Q136" s="5" t="s">
        <v>25</v>
      </c>
      <c r="R136" s="5" t="s">
        <v>25</v>
      </c>
      <c r="S136" s="5" t="str">
        <f>VLOOKUP(A136,Sheet2!$A$2:$R$3432,18,0)</f>
        <v>G3J3E0336293</v>
      </c>
      <c r="T136" s="7" t="str">
        <f>VLOOKUP(A136,Sheet2!$A$2:$R$3432,17,0)</f>
        <v>ME1RG4426J0172035</v>
      </c>
    </row>
    <row r="137" ht="15.75" customHeight="1">
      <c r="A137" s="3" t="s">
        <v>160</v>
      </c>
      <c r="B137" s="4" t="str">
        <f>VLOOKUP(A137,Sheet2!$A$2:$R$3432,2,0)</f>
        <v>2025-01-18 22:35:45</v>
      </c>
      <c r="C137" s="5" t="s">
        <v>25</v>
      </c>
      <c r="D137" s="6" t="s">
        <v>25</v>
      </c>
      <c r="E137" s="7">
        <f>VLOOKUP(A137,Sheet2!$A$2:$R$3432,4,0)</f>
        <v>9834540224</v>
      </c>
      <c r="F137" s="7" t="str">
        <f>VLOOKUP(A137,Sheet2!$A$2:$R$3432,3,0)</f>
        <v>Tushar Patil</v>
      </c>
      <c r="G137" s="5" t="s">
        <v>25</v>
      </c>
      <c r="H137" s="5" t="s">
        <v>25</v>
      </c>
      <c r="I137" s="5" t="s">
        <v>25</v>
      </c>
      <c r="J137" s="5" t="s">
        <v>25</v>
      </c>
      <c r="K137" s="7" t="str">
        <f>VLOOKUP(A137,Sheet2!$A$2:$R$3432,6,0)</f>
        <v>Honda Hornet </v>
      </c>
      <c r="L137" s="5" t="s">
        <v>25</v>
      </c>
      <c r="M137" s="7" t="str">
        <f>VLOOKUP(A137,Sheet2!$A$2:$R$3432,5,0)</f>
        <v>MH19DA4964</v>
      </c>
      <c r="N137" s="5" t="s">
        <v>25</v>
      </c>
      <c r="O137" s="5" t="s">
        <v>25</v>
      </c>
      <c r="P137" s="6" t="s">
        <v>25</v>
      </c>
      <c r="Q137" s="5" t="s">
        <v>25</v>
      </c>
      <c r="R137" s="5" t="s">
        <v>25</v>
      </c>
      <c r="S137" s="5" t="str">
        <f>VLOOKUP(A137,Sheet2!$A$2:$R$3432,18,0)</f>
        <v>G3C8E0189510</v>
      </c>
      <c r="T137" s="7" t="str">
        <f>VLOOKUP(A137,Sheet2!$A$2:$R$3432,17,0)</f>
        <v>ME1RBDG18F0049891</v>
      </c>
    </row>
    <row r="138" ht="15.75" customHeight="1">
      <c r="A138" s="3" t="s">
        <v>161</v>
      </c>
      <c r="B138" s="4" t="str">
        <f>VLOOKUP(A138,Sheet2!$A$2:$R$3432,2,0)</f>
        <v>2025-01-18 22:34:20</v>
      </c>
      <c r="C138" s="5" t="s">
        <v>25</v>
      </c>
      <c r="D138" s="6" t="s">
        <v>25</v>
      </c>
      <c r="E138" s="7">
        <f>VLOOKUP(A138,Sheet2!$A$2:$R$3432,4,0)</f>
        <v>9545432288</v>
      </c>
      <c r="F138" s="7" t="str">
        <f>VLOOKUP(A138,Sheet2!$A$2:$R$3432,3,0)</f>
        <v>Hemant Dhake</v>
      </c>
      <c r="G138" s="5" t="s">
        <v>25</v>
      </c>
      <c r="H138" s="5" t="s">
        <v>25</v>
      </c>
      <c r="I138" s="5" t="s">
        <v>25</v>
      </c>
      <c r="J138" s="5" t="s">
        <v>25</v>
      </c>
      <c r="K138" s="7" t="str">
        <f>VLOOKUP(A138,Sheet2!$A$2:$R$3432,6,0)</f>
        <v>TVS Ntorq 125</v>
      </c>
      <c r="L138" s="5" t="s">
        <v>25</v>
      </c>
      <c r="M138" s="7" t="str">
        <f>VLOOKUP(A138,Sheet2!$A$2:$R$3432,5,0)</f>
        <v>MH14JZ0413</v>
      </c>
      <c r="N138" s="5" t="s">
        <v>25</v>
      </c>
      <c r="O138" s="5" t="s">
        <v>25</v>
      </c>
      <c r="P138" s="6" t="s">
        <v>25</v>
      </c>
      <c r="Q138" s="5" t="s">
        <v>25</v>
      </c>
      <c r="R138" s="5" t="s">
        <v>25</v>
      </c>
      <c r="S138" s="5" t="str">
        <f>VLOOKUP(A138,Sheet2!$A$2:$R$3432,18,0)</f>
        <v>AK3CH2803155</v>
      </c>
      <c r="T138" s="7" t="str">
        <f>VLOOKUP(A138,Sheet2!$A$2:$R$3432,17,0)</f>
        <v>MD626AK31N2C04303</v>
      </c>
    </row>
    <row r="139" ht="15.75" customHeight="1">
      <c r="A139" s="3" t="s">
        <v>162</v>
      </c>
      <c r="B139" s="4" t="str">
        <f>VLOOKUP(A139,Sheet2!$A$2:$R$3432,2,0)</f>
        <v>2025-01-18 22:37:21</v>
      </c>
      <c r="C139" s="5" t="s">
        <v>25</v>
      </c>
      <c r="D139" s="6" t="s">
        <v>25</v>
      </c>
      <c r="E139" s="7">
        <f>VLOOKUP(A139,Sheet2!$A$2:$R$3432,4,0)</f>
        <v>9552560162</v>
      </c>
      <c r="F139" s="7" t="str">
        <f>VLOOKUP(A139,Sheet2!$A$2:$R$3432,3,0)</f>
        <v>Kishor</v>
      </c>
      <c r="G139" s="5" t="s">
        <v>25</v>
      </c>
      <c r="H139" s="5" t="s">
        <v>25</v>
      </c>
      <c r="I139" s="5" t="s">
        <v>25</v>
      </c>
      <c r="J139" s="5" t="s">
        <v>25</v>
      </c>
      <c r="K139" s="7" t="str">
        <f>VLOOKUP(A139,Sheet2!$A$2:$R$3432,6,0)</f>
        <v>Honda Activa Old</v>
      </c>
      <c r="L139" s="5" t="s">
        <v>25</v>
      </c>
      <c r="M139" s="7" t="str">
        <f>VLOOKUP(A139,Sheet2!$A$2:$R$3432,5,0)</f>
        <v>MH12FH2924</v>
      </c>
      <c r="N139" s="5" t="s">
        <v>25</v>
      </c>
      <c r="O139" s="5" t="s">
        <v>25</v>
      </c>
      <c r="P139" s="6" t="s">
        <v>25</v>
      </c>
      <c r="Q139" s="5" t="s">
        <v>25</v>
      </c>
      <c r="R139" s="5" t="s">
        <v>25</v>
      </c>
      <c r="S139" s="5" t="str">
        <f>VLOOKUP(A139,Sheet2!$A$2:$R$3432,18,0)</f>
        <v>JF08B5718284</v>
      </c>
      <c r="T139" s="7" t="str">
        <f>VLOOKUP(A139,Sheet2!$A$2:$R$3432,17,0)</f>
        <v>RUSTY FRAME </v>
      </c>
    </row>
    <row r="140" ht="15.75" customHeight="1">
      <c r="A140" s="3" t="s">
        <v>163</v>
      </c>
      <c r="B140" s="4" t="str">
        <f>VLOOKUP(A140,Sheet2!$A$2:$R$3432,2,0)</f>
        <v>2025-01-18 22:42:12</v>
      </c>
      <c r="C140" s="5" t="s">
        <v>25</v>
      </c>
      <c r="D140" s="6" t="s">
        <v>25</v>
      </c>
      <c r="E140" s="7">
        <f>VLOOKUP(A140,Sheet2!$A$2:$R$3432,4,0)</f>
        <v>9823364680</v>
      </c>
      <c r="F140" s="7" t="str">
        <f>VLOOKUP(A140,Sheet2!$A$2:$R$3432,3,0)</f>
        <v>Milind Devle</v>
      </c>
      <c r="G140" s="5" t="s">
        <v>25</v>
      </c>
      <c r="H140" s="5" t="s">
        <v>25</v>
      </c>
      <c r="I140" s="5" t="s">
        <v>25</v>
      </c>
      <c r="J140" s="5" t="s">
        <v>25</v>
      </c>
      <c r="K140" s="7" t="str">
        <f>VLOOKUP(A140,Sheet2!$A$2:$R$3432,6,0)</f>
        <v>Bajaj Avenger 150 Street</v>
      </c>
      <c r="L140" s="5" t="s">
        <v>25</v>
      </c>
      <c r="M140" s="7" t="str">
        <f>VLOOKUP(A140,Sheet2!$A$2:$R$3432,5,0)</f>
        <v>MH14FJ7218</v>
      </c>
      <c r="N140" s="5" t="s">
        <v>25</v>
      </c>
      <c r="O140" s="5" t="s">
        <v>25</v>
      </c>
      <c r="P140" s="6" t="s">
        <v>25</v>
      </c>
      <c r="Q140" s="5" t="s">
        <v>25</v>
      </c>
      <c r="R140" s="5" t="s">
        <v>25</v>
      </c>
      <c r="S140" s="7" t="str">
        <f>VLOOKUP(A140,Sheet2!$A$2:$R$3432,18,0)</f>
        <v/>
      </c>
      <c r="T140" s="7" t="str">
        <f>VLOOKUP(A140,Sheet2!$A$2:$R$3432,17,0)</f>
        <v>MD2A85CZ2FCJ05855</v>
      </c>
    </row>
    <row r="141" ht="15.75" customHeight="1">
      <c r="A141" s="3" t="s">
        <v>164</v>
      </c>
      <c r="B141" s="4" t="str">
        <f>VLOOKUP(A141,Sheet2!$A$2:$R$3432,2,0)</f>
        <v>2025-01-18 22:39:57</v>
      </c>
      <c r="C141" s="5" t="s">
        <v>25</v>
      </c>
      <c r="D141" s="6" t="s">
        <v>25</v>
      </c>
      <c r="E141" s="7">
        <f>VLOOKUP(A141,Sheet2!$A$2:$R$3432,4,0)</f>
        <v>9975262811</v>
      </c>
      <c r="F141" s="7" t="str">
        <f>VLOOKUP(A141,Sheet2!$A$2:$R$3432,3,0)</f>
        <v>Vishal K</v>
      </c>
      <c r="G141" s="5" t="s">
        <v>25</v>
      </c>
      <c r="H141" s="5" t="s">
        <v>25</v>
      </c>
      <c r="I141" s="5" t="s">
        <v>25</v>
      </c>
      <c r="J141" s="5" t="s">
        <v>25</v>
      </c>
      <c r="K141" s="7" t="str">
        <f>VLOOKUP(A141,Sheet2!$A$2:$R$3432,6,0)</f>
        <v>Honda Activa 110</v>
      </c>
      <c r="L141" s="5" t="s">
        <v>25</v>
      </c>
      <c r="M141" s="7" t="str">
        <f>VLOOKUP(A141,Sheet2!$A$2:$R$3432,5,0)</f>
        <v>MH32V3173</v>
      </c>
      <c r="N141" s="5" t="s">
        <v>25</v>
      </c>
      <c r="O141" s="5" t="s">
        <v>25</v>
      </c>
      <c r="P141" s="6" t="s">
        <v>25</v>
      </c>
      <c r="Q141" s="5" t="s">
        <v>25</v>
      </c>
      <c r="R141" s="5" t="s">
        <v>25</v>
      </c>
      <c r="S141" s="5" t="str">
        <f>VLOOKUP(A141,Sheet2!$A$2:$R$3432,18,0)</f>
        <v>JC44E5325372</v>
      </c>
      <c r="T141" s="7" t="str">
        <f>VLOOKUP(A141,Sheet2!$A$2:$R$3432,17,0)</f>
        <v>ME4JC4400C134XXXX</v>
      </c>
    </row>
    <row r="142" ht="15.75" customHeight="1">
      <c r="A142" s="3" t="s">
        <v>165</v>
      </c>
      <c r="B142" s="4" t="str">
        <f>VLOOKUP(A142,Sheet2!$A$2:$R$3432,2,0)</f>
        <v>2025-01-18 22:46:25</v>
      </c>
      <c r="C142" s="5" t="s">
        <v>25</v>
      </c>
      <c r="D142" s="6" t="s">
        <v>25</v>
      </c>
      <c r="E142" s="7">
        <f>VLOOKUP(A142,Sheet2!$A$2:$R$3432,4,0)</f>
        <v>8624914835</v>
      </c>
      <c r="F142" s="7" t="str">
        <f>VLOOKUP(A142,Sheet2!$A$2:$R$3432,3,0)</f>
        <v>Sunil Huble</v>
      </c>
      <c r="G142" s="5" t="s">
        <v>25</v>
      </c>
      <c r="H142" s="5" t="s">
        <v>25</v>
      </c>
      <c r="I142" s="5" t="s">
        <v>25</v>
      </c>
      <c r="J142" s="5" t="s">
        <v>25</v>
      </c>
      <c r="K142" s="7" t="str">
        <f>VLOOKUP(A142,Sheet2!$A$2:$R$3432,6,0)</f>
        <v>Honda Activa 110</v>
      </c>
      <c r="L142" s="5" t="s">
        <v>25</v>
      </c>
      <c r="M142" s="7" t="str">
        <f>VLOOKUP(A142,Sheet2!$A$2:$R$3432,5,0)</f>
        <v>MH14EV1496</v>
      </c>
      <c r="N142" s="5" t="s">
        <v>25</v>
      </c>
      <c r="O142" s="5" t="s">
        <v>25</v>
      </c>
      <c r="P142" s="6" t="s">
        <v>25</v>
      </c>
      <c r="Q142" s="5" t="s">
        <v>25</v>
      </c>
      <c r="R142" s="5" t="s">
        <v>25</v>
      </c>
      <c r="S142" s="5" t="str">
        <f>VLOOKUP(A142,Sheet2!$A$2:$R$3432,18,0)</f>
        <v>JF50E71343567</v>
      </c>
      <c r="T142" s="7" t="str">
        <f>VLOOKUP(A142,Sheet2!$A$2:$R$3432,17,0)</f>
        <v>ME4JF502AF7343521</v>
      </c>
    </row>
    <row r="143" ht="15.75" customHeight="1">
      <c r="A143" s="3" t="s">
        <v>166</v>
      </c>
      <c r="B143" s="4" t="str">
        <f>VLOOKUP(A143,Sheet2!$A$2:$R$3432,2,0)</f>
        <v>2025-01-18 22:44:15</v>
      </c>
      <c r="C143" s="5" t="s">
        <v>25</v>
      </c>
      <c r="D143" s="6" t="s">
        <v>25</v>
      </c>
      <c r="E143" s="7">
        <f>VLOOKUP(A143,Sheet2!$A$2:$R$3432,4,0)</f>
        <v>8240347763</v>
      </c>
      <c r="F143" s="7" t="str">
        <f>VLOOKUP(A143,Sheet2!$A$2:$R$3432,3,0)</f>
        <v>Subhodeep Chaterjee</v>
      </c>
      <c r="G143" s="5" t="s">
        <v>25</v>
      </c>
      <c r="H143" s="5" t="s">
        <v>25</v>
      </c>
      <c r="I143" s="5" t="s">
        <v>25</v>
      </c>
      <c r="J143" s="5" t="s">
        <v>25</v>
      </c>
      <c r="K143" s="7" t="str">
        <f>VLOOKUP(A143,Sheet2!$A$2:$R$3432,6,0)</f>
        <v>TVS Jupiter 125</v>
      </c>
      <c r="L143" s="5" t="s">
        <v>25</v>
      </c>
      <c r="M143" s="7" t="str">
        <f>VLOOKUP(A143,Sheet2!$A$2:$R$3432,5,0)</f>
        <v>WB01AV8334</v>
      </c>
      <c r="N143" s="5" t="s">
        <v>25</v>
      </c>
      <c r="O143" s="5" t="s">
        <v>25</v>
      </c>
      <c r="P143" s="6" t="s">
        <v>25</v>
      </c>
      <c r="Q143" s="5" t="s">
        <v>25</v>
      </c>
      <c r="R143" s="5" t="s">
        <v>25</v>
      </c>
      <c r="S143" s="5" t="str">
        <f>VLOOKUP(A143,Sheet2!$A$2:$R$3432,18,0)</f>
        <v>BK4BP1609666</v>
      </c>
      <c r="T143" s="7" t="str">
        <f>VLOOKUP(A143,Sheet2!$A$2:$R$3432,17,0)</f>
        <v>MD626AK46P1B11441</v>
      </c>
    </row>
    <row r="144" ht="15.75" customHeight="1">
      <c r="A144" s="3" t="s">
        <v>167</v>
      </c>
      <c r="B144" s="4" t="str">
        <f>VLOOKUP(A144,Sheet2!$A$2:$R$3432,2,0)</f>
        <v>2024-12-22 20:06:57</v>
      </c>
      <c r="C144" s="5" t="s">
        <v>25</v>
      </c>
      <c r="D144" s="6" t="s">
        <v>25</v>
      </c>
      <c r="E144" s="7">
        <f>VLOOKUP(A144,Sheet2!$A$2:$R$3432,4,0)</f>
        <v>8511601644</v>
      </c>
      <c r="F144" s="7" t="str">
        <f>VLOOKUP(A144,Sheet2!$A$2:$R$3432,3,0)</f>
        <v>SHUBHAM KOTHARI</v>
      </c>
      <c r="G144" s="5" t="s">
        <v>25</v>
      </c>
      <c r="H144" s="5" t="s">
        <v>25</v>
      </c>
      <c r="I144" s="5" t="s">
        <v>25</v>
      </c>
      <c r="J144" s="5" t="s">
        <v>25</v>
      </c>
      <c r="K144" s="7" t="str">
        <f>VLOOKUP(A144,Sheet2!$A$2:$R$3432,6,0)</f>
        <v>Honda Activa 110</v>
      </c>
      <c r="L144" s="5" t="s">
        <v>25</v>
      </c>
      <c r="M144" s="7" t="str">
        <f>VLOOKUP(A144,Sheet2!$A$2:$R$3432,5,0)</f>
        <v>MH31DL9819</v>
      </c>
      <c r="N144" s="5" t="s">
        <v>25</v>
      </c>
      <c r="O144" s="5" t="s">
        <v>25</v>
      </c>
      <c r="P144" s="6" t="s">
        <v>25</v>
      </c>
      <c r="Q144" s="5" t="s">
        <v>25</v>
      </c>
      <c r="R144" s="5" t="s">
        <v>25</v>
      </c>
      <c r="S144" s="7" t="str">
        <f>VLOOKUP(A144,Sheet2!$A$2:$R$3432,18,0)</f>
        <v/>
      </c>
      <c r="T144" s="7" t="str">
        <f>VLOOKUP(A144,Sheet2!$A$2:$R$3432,17,0)</f>
        <v/>
      </c>
    </row>
    <row r="145" ht="15.75" customHeight="1">
      <c r="A145" s="3" t="s">
        <v>168</v>
      </c>
      <c r="B145" s="4" t="str">
        <f>VLOOKUP(A145,Sheet2!$A$2:$R$3432,2,0)</f>
        <v>2024-12-22 19:02:54</v>
      </c>
      <c r="C145" s="5" t="s">
        <v>25</v>
      </c>
      <c r="D145" s="6" t="s">
        <v>25</v>
      </c>
      <c r="E145" s="7">
        <f>VLOOKUP(A145,Sheet2!$A$2:$R$3432,4,0)</f>
        <v>9766589338</v>
      </c>
      <c r="F145" s="7" t="str">
        <f>VLOOKUP(A145,Sheet2!$A$2:$R$3432,3,0)</f>
        <v>Prathamesh Nikam</v>
      </c>
      <c r="G145" s="5" t="s">
        <v>25</v>
      </c>
      <c r="H145" s="5" t="s">
        <v>25</v>
      </c>
      <c r="I145" s="5" t="s">
        <v>25</v>
      </c>
      <c r="J145" s="5" t="s">
        <v>25</v>
      </c>
      <c r="K145" s="7" t="str">
        <f>VLOOKUP(A145,Sheet2!$A$2:$R$3432,6,0)</f>
        <v>Bajaj Platina No Data</v>
      </c>
      <c r="L145" s="5" t="s">
        <v>25</v>
      </c>
      <c r="M145" s="7" t="str">
        <f>VLOOKUP(A145,Sheet2!$A$2:$R$3432,5,0)</f>
        <v>MH11CL1677</v>
      </c>
      <c r="N145" s="5" t="s">
        <v>25</v>
      </c>
      <c r="O145" s="5" t="s">
        <v>25</v>
      </c>
      <c r="P145" s="6" t="s">
        <v>25</v>
      </c>
      <c r="Q145" s="5" t="s">
        <v>25</v>
      </c>
      <c r="R145" s="5" t="s">
        <v>25</v>
      </c>
      <c r="S145" s="5" t="str">
        <f>VLOOKUP(A145,Sheet2!$A$2:$R$3432,18,0)</f>
        <v>PFYWHD09006</v>
      </c>
      <c r="T145" s="7" t="str">
        <f>VLOOKUP(A145,Sheet2!$A$2:$R$3432,17,0)</f>
        <v>MDZA76AY9HWD35786</v>
      </c>
    </row>
    <row r="146" ht="15.75" customHeight="1">
      <c r="A146" s="3" t="s">
        <v>169</v>
      </c>
      <c r="B146" s="4" t="str">
        <f>VLOOKUP(A146,Sheet2!$A$2:$R$3432,2,0)</f>
        <v>2024-12-22 18:39:45</v>
      </c>
      <c r="C146" s="5" t="s">
        <v>25</v>
      </c>
      <c r="D146" s="6" t="s">
        <v>25</v>
      </c>
      <c r="E146" s="7">
        <f>VLOOKUP(A146,Sheet2!$A$2:$R$3432,4,0)</f>
        <v>9665390129</v>
      </c>
      <c r="F146" s="7" t="str">
        <f>VLOOKUP(A146,Sheet2!$A$2:$R$3432,3,0)</f>
        <v>NARAYAN CHAUHAN </v>
      </c>
      <c r="G146" s="5" t="s">
        <v>25</v>
      </c>
      <c r="H146" s="5" t="s">
        <v>25</v>
      </c>
      <c r="I146" s="5" t="s">
        <v>25</v>
      </c>
      <c r="J146" s="5" t="s">
        <v>25</v>
      </c>
      <c r="K146" s="7" t="str">
        <f>VLOOKUP(A146,Sheet2!$A$2:$R$3432,6,0)</f>
        <v>Hero Splendor Plus</v>
      </c>
      <c r="L146" s="5" t="s">
        <v>25</v>
      </c>
      <c r="M146" s="7" t="str">
        <f>VLOOKUP(A146,Sheet2!$A$2:$R$3432,5,0)</f>
        <v>MH12QL2591</v>
      </c>
      <c r="N146" s="5" t="s">
        <v>25</v>
      </c>
      <c r="O146" s="5" t="s">
        <v>25</v>
      </c>
      <c r="P146" s="6" t="s">
        <v>25</v>
      </c>
      <c r="Q146" s="5" t="s">
        <v>25</v>
      </c>
      <c r="R146" s="5" t="s">
        <v>25</v>
      </c>
      <c r="S146" s="5" t="str">
        <f>VLOOKUP(A146,Sheet2!$A$2:$R$3432,18,0)</f>
        <v>HA10AGJ5D16435</v>
      </c>
      <c r="T146" s="7" t="str">
        <f>VLOOKUP(A146,Sheet2!$A$2:$R$3432,17,0)</f>
        <v>MBLHAR072J5011289</v>
      </c>
    </row>
    <row r="147" ht="15.75" customHeight="1">
      <c r="A147" s="3" t="s">
        <v>170</v>
      </c>
      <c r="B147" s="4" t="str">
        <f>VLOOKUP(A147,Sheet2!$A$2:$R$3432,2,0)</f>
        <v>2024-12-22 17:35:56</v>
      </c>
      <c r="C147" s="5" t="s">
        <v>25</v>
      </c>
      <c r="D147" s="6" t="s">
        <v>25</v>
      </c>
      <c r="E147" s="7">
        <f>VLOOKUP(A147,Sheet2!$A$2:$R$3432,4,0)</f>
        <v>9922997593</v>
      </c>
      <c r="F147" s="7" t="str">
        <f>VLOOKUP(A147,Sheet2!$A$2:$R$3432,3,0)</f>
        <v>SANJAY HATE</v>
      </c>
      <c r="G147" s="5" t="s">
        <v>25</v>
      </c>
      <c r="H147" s="5" t="s">
        <v>25</v>
      </c>
      <c r="I147" s="5" t="s">
        <v>25</v>
      </c>
      <c r="J147" s="5" t="s">
        <v>25</v>
      </c>
      <c r="K147" s="7" t="str">
        <f>VLOOKUP(A147,Sheet2!$A$2:$R$3432,6,0)</f>
        <v>Honda Activa 125</v>
      </c>
      <c r="L147" s="5" t="s">
        <v>25</v>
      </c>
      <c r="M147" s="7" t="str">
        <f>VLOOKUP(A147,Sheet2!$A$2:$R$3432,5,0)</f>
        <v>MH14FJ4149</v>
      </c>
      <c r="N147" s="5" t="s">
        <v>25</v>
      </c>
      <c r="O147" s="5" t="s">
        <v>25</v>
      </c>
      <c r="P147" s="6" t="s">
        <v>25</v>
      </c>
      <c r="Q147" s="5" t="s">
        <v>25</v>
      </c>
      <c r="R147" s="5" t="s">
        <v>25</v>
      </c>
      <c r="S147" s="5" t="str">
        <f>VLOOKUP(A147,Sheet2!$A$2:$R$3432,18,0)</f>
        <v>JF49E01107638</v>
      </c>
      <c r="T147" s="7" t="str">
        <f>VLOOKUP(A147,Sheet2!$A$2:$R$3432,17,0)</f>
        <v>ME4JF493LF8093376</v>
      </c>
    </row>
    <row r="148" ht="15.75" customHeight="1">
      <c r="A148" s="3" t="s">
        <v>171</v>
      </c>
      <c r="B148" s="4" t="str">
        <f>VLOOKUP(A148,Sheet2!$A$2:$R$3432,2,0)</f>
        <v>2024-12-22 18:40:56</v>
      </c>
      <c r="C148" s="5" t="s">
        <v>25</v>
      </c>
      <c r="D148" s="6" t="s">
        <v>25</v>
      </c>
      <c r="E148" s="7">
        <f>VLOOKUP(A148,Sheet2!$A$2:$R$3432,4,0)</f>
        <v>9766199710</v>
      </c>
      <c r="F148" s="7" t="str">
        <f>VLOOKUP(A148,Sheet2!$A$2:$R$3432,3,0)</f>
        <v>Prasad Chakkarwar</v>
      </c>
      <c r="G148" s="5" t="s">
        <v>25</v>
      </c>
      <c r="H148" s="5" t="s">
        <v>25</v>
      </c>
      <c r="I148" s="5" t="s">
        <v>25</v>
      </c>
      <c r="J148" s="5" t="s">
        <v>25</v>
      </c>
      <c r="K148" s="7" t="str">
        <f>VLOOKUP(A148,Sheet2!$A$2:$R$3432,6,0)</f>
        <v>Honda Shine </v>
      </c>
      <c r="L148" s="5" t="s">
        <v>25</v>
      </c>
      <c r="M148" s="7" t="str">
        <f>VLOOKUP(A148,Sheet2!$A$2:$R$3432,5,0)</f>
        <v>MH29AH6338</v>
      </c>
      <c r="N148" s="5" t="s">
        <v>25</v>
      </c>
      <c r="O148" s="5" t="s">
        <v>25</v>
      </c>
      <c r="P148" s="6" t="s">
        <v>25</v>
      </c>
      <c r="Q148" s="5" t="s">
        <v>25</v>
      </c>
      <c r="R148" s="5" t="s">
        <v>25</v>
      </c>
      <c r="S148" s="5" t="str">
        <f>VLOOKUP(A148,Sheet2!$A$2:$R$3432,18,0)</f>
        <v>JC36E77733929</v>
      </c>
      <c r="T148" s="7" t="str">
        <f>VLOOKUP(A148,Sheet2!$A$2:$R$3432,17,0)</f>
        <v>ME4JC36KFD7250362</v>
      </c>
    </row>
    <row r="149" ht="15.75" customHeight="1">
      <c r="A149" s="3" t="s">
        <v>172</v>
      </c>
      <c r="B149" s="4" t="str">
        <f>VLOOKUP(A149,Sheet2!$A$2:$R$3432,2,0)</f>
        <v>2024-12-22 18:04:48</v>
      </c>
      <c r="C149" s="5" t="s">
        <v>25</v>
      </c>
      <c r="D149" s="6" t="s">
        <v>25</v>
      </c>
      <c r="E149" s="7">
        <f>VLOOKUP(A149,Sheet2!$A$2:$R$3432,4,0)</f>
        <v>9730512510</v>
      </c>
      <c r="F149" s="7" t="str">
        <f>VLOOKUP(A149,Sheet2!$A$2:$R$3432,3,0)</f>
        <v>Adarsh</v>
      </c>
      <c r="G149" s="5" t="s">
        <v>25</v>
      </c>
      <c r="H149" s="5" t="s">
        <v>25</v>
      </c>
      <c r="I149" s="5" t="s">
        <v>25</v>
      </c>
      <c r="J149" s="5" t="s">
        <v>25</v>
      </c>
      <c r="K149" s="7" t="str">
        <f>VLOOKUP(A149,Sheet2!$A$2:$R$3432,6,0)</f>
        <v>Honda Hornet </v>
      </c>
      <c r="L149" s="5" t="s">
        <v>25</v>
      </c>
      <c r="M149" s="7" t="str">
        <f>VLOOKUP(A149,Sheet2!$A$2:$R$3432,5,0)</f>
        <v>MH13CG1208</v>
      </c>
      <c r="N149" s="5" t="s">
        <v>25</v>
      </c>
      <c r="O149" s="5" t="s">
        <v>25</v>
      </c>
      <c r="P149" s="6" t="s">
        <v>25</v>
      </c>
      <c r="Q149" s="5" t="s">
        <v>25</v>
      </c>
      <c r="R149" s="5" t="s">
        <v>25</v>
      </c>
      <c r="S149" s="5" t="str">
        <f>VLOOKUP(A149,Sheet2!$A$2:$R$3432,18,0)</f>
        <v>KC23E80614189</v>
      </c>
      <c r="T149" s="7" t="str">
        <f>VLOOKUP(A149,Sheet2!$A$2:$R$3432,17,0)</f>
        <v>ME4KC232AG8002953</v>
      </c>
    </row>
    <row r="150" ht="15.75" customHeight="1">
      <c r="A150" s="3" t="s">
        <v>173</v>
      </c>
      <c r="B150" s="4" t="str">
        <f>VLOOKUP(A150,Sheet2!$A$2:$R$3432,2,0)</f>
        <v>2024-12-22 18:41:45</v>
      </c>
      <c r="C150" s="5" t="s">
        <v>25</v>
      </c>
      <c r="D150" s="6" t="s">
        <v>25</v>
      </c>
      <c r="E150" s="7">
        <f>VLOOKUP(A150,Sheet2!$A$2:$R$3432,4,0)</f>
        <v>8275283336</v>
      </c>
      <c r="F150" s="7" t="str">
        <f>VLOOKUP(A150,Sheet2!$A$2:$R$3432,3,0)</f>
        <v>Shrikant Nipane</v>
      </c>
      <c r="G150" s="5" t="s">
        <v>25</v>
      </c>
      <c r="H150" s="5" t="s">
        <v>25</v>
      </c>
      <c r="I150" s="5" t="s">
        <v>25</v>
      </c>
      <c r="J150" s="5" t="s">
        <v>25</v>
      </c>
      <c r="K150" s="7" t="str">
        <f>VLOOKUP(A150,Sheet2!$A$2:$R$3432,6,0)</f>
        <v>Honda Activa 125 BS6</v>
      </c>
      <c r="L150" s="5" t="s">
        <v>25</v>
      </c>
      <c r="M150" s="7" t="str">
        <f>VLOOKUP(A150,Sheet2!$A$2:$R$3432,5,0)</f>
        <v>MH12ME8064</v>
      </c>
      <c r="N150" s="5" t="s">
        <v>25</v>
      </c>
      <c r="O150" s="5" t="s">
        <v>25</v>
      </c>
      <c r="P150" s="6" t="s">
        <v>25</v>
      </c>
      <c r="Q150" s="5" t="s">
        <v>25</v>
      </c>
      <c r="R150" s="5" t="s">
        <v>25</v>
      </c>
      <c r="S150" s="7" t="str">
        <f>VLOOKUP(A150,Sheet2!$A$2:$R$3432,18,0)</f>
        <v/>
      </c>
      <c r="T150" s="7" t="str">
        <f>VLOOKUP(A150,Sheet2!$A$2:$R$3432,17,0)</f>
        <v/>
      </c>
    </row>
    <row r="151" ht="15.75" customHeight="1">
      <c r="A151" s="3" t="s">
        <v>174</v>
      </c>
      <c r="B151" s="4" t="str">
        <f>VLOOKUP(A151,Sheet2!$A$2:$R$3432,2,0)</f>
        <v>2024-12-22 18:57:05</v>
      </c>
      <c r="C151" s="5" t="s">
        <v>25</v>
      </c>
      <c r="D151" s="6" t="s">
        <v>25</v>
      </c>
      <c r="E151" s="7">
        <f>VLOOKUP(A151,Sheet2!$A$2:$R$3432,4,0)</f>
        <v>7387043468</v>
      </c>
      <c r="F151" s="7" t="str">
        <f>VLOOKUP(A151,Sheet2!$A$2:$R$3432,3,0)</f>
        <v>Shivaji Mandekar</v>
      </c>
      <c r="G151" s="5" t="s">
        <v>25</v>
      </c>
      <c r="H151" s="5" t="s">
        <v>25</v>
      </c>
      <c r="I151" s="5" t="s">
        <v>25</v>
      </c>
      <c r="J151" s="5" t="s">
        <v>25</v>
      </c>
      <c r="K151" s="7" t="str">
        <f>VLOOKUP(A151,Sheet2!$A$2:$R$3432,6,0)</f>
        <v>Hero Splendor Pro</v>
      </c>
      <c r="L151" s="5" t="s">
        <v>25</v>
      </c>
      <c r="M151" s="7" t="str">
        <f>VLOOKUP(A151,Sheet2!$A$2:$R$3432,5,0)</f>
        <v>MH12RX5890</v>
      </c>
      <c r="N151" s="5" t="s">
        <v>25</v>
      </c>
      <c r="O151" s="5" t="s">
        <v>25</v>
      </c>
      <c r="P151" s="6" t="s">
        <v>25</v>
      </c>
      <c r="Q151" s="5" t="s">
        <v>25</v>
      </c>
      <c r="R151" s="5" t="s">
        <v>25</v>
      </c>
      <c r="S151" s="5" t="str">
        <f>VLOOKUP(A151,Sheet2!$A$2:$R$3432,18,0)</f>
        <v>HA10AGK5607302</v>
      </c>
      <c r="T151" s="7" t="str">
        <f>VLOOKUP(A151,Sheet2!$A$2:$R$3432,17,0)</f>
        <v>MBLHAW087KSC04375</v>
      </c>
    </row>
    <row r="152" ht="15.75" customHeight="1">
      <c r="A152" s="3" t="s">
        <v>175</v>
      </c>
      <c r="B152" s="4" t="str">
        <f>VLOOKUP(A152,Sheet2!$A$2:$R$3432,2,0)</f>
        <v>2024-12-22 18:57:46</v>
      </c>
      <c r="C152" s="5" t="s">
        <v>25</v>
      </c>
      <c r="D152" s="6" t="s">
        <v>25</v>
      </c>
      <c r="E152" s="7">
        <f>VLOOKUP(A152,Sheet2!$A$2:$R$3432,4,0)</f>
        <v>8898959509</v>
      </c>
      <c r="F152" s="7" t="str">
        <f>VLOOKUP(A152,Sheet2!$A$2:$R$3432,3,0)</f>
        <v>Shoyong</v>
      </c>
      <c r="G152" s="5" t="s">
        <v>25</v>
      </c>
      <c r="H152" s="5" t="s">
        <v>25</v>
      </c>
      <c r="I152" s="5" t="s">
        <v>25</v>
      </c>
      <c r="J152" s="5" t="s">
        <v>25</v>
      </c>
      <c r="K152" s="7" t="str">
        <f>VLOOKUP(A152,Sheet2!$A$2:$R$3432,6,0)</f>
        <v>Yamaha Fazer </v>
      </c>
      <c r="L152" s="5" t="s">
        <v>25</v>
      </c>
      <c r="M152" s="7" t="str">
        <f>VLOOKUP(A152,Sheet2!$A$2:$R$3432,5,0)</f>
        <v>MH01AZ0299</v>
      </c>
      <c r="N152" s="5" t="s">
        <v>25</v>
      </c>
      <c r="O152" s="5" t="s">
        <v>25</v>
      </c>
      <c r="P152" s="6" t="s">
        <v>25</v>
      </c>
      <c r="Q152" s="5" t="s">
        <v>25</v>
      </c>
      <c r="R152" s="5" t="s">
        <v>25</v>
      </c>
      <c r="S152" s="7" t="str">
        <f>VLOOKUP(A152,Sheet2!$A$2:$R$3432,18,0)</f>
        <v/>
      </c>
      <c r="T152" s="7" t="str">
        <f>VLOOKUP(A152,Sheet2!$A$2:$R$3432,17,0)</f>
        <v/>
      </c>
    </row>
    <row r="153" ht="15.75" customHeight="1">
      <c r="A153" s="3" t="s">
        <v>176</v>
      </c>
      <c r="B153" s="4" t="str">
        <f>VLOOKUP(A153,Sheet2!$A$2:$R$3432,2,0)</f>
        <v>2024-12-22 18:58:43</v>
      </c>
      <c r="C153" s="5" t="s">
        <v>25</v>
      </c>
      <c r="D153" s="6" t="s">
        <v>25</v>
      </c>
      <c r="E153" s="7">
        <f>VLOOKUP(A153,Sheet2!$A$2:$R$3432,4,0)</f>
        <v>9920682624</v>
      </c>
      <c r="F153" s="7" t="str">
        <f>VLOOKUP(A153,Sheet2!$A$2:$R$3432,3,0)</f>
        <v>Swapnil</v>
      </c>
      <c r="G153" s="5" t="s">
        <v>25</v>
      </c>
      <c r="H153" s="5" t="s">
        <v>25</v>
      </c>
      <c r="I153" s="5" t="s">
        <v>25</v>
      </c>
      <c r="J153" s="5" t="s">
        <v>25</v>
      </c>
      <c r="K153" s="7" t="str">
        <f>VLOOKUP(A153,Sheet2!$A$2:$R$3432,6,0)</f>
        <v>Hero Xtreme </v>
      </c>
      <c r="L153" s="5" t="s">
        <v>25</v>
      </c>
      <c r="M153" s="7" t="str">
        <f>VLOOKUP(A153,Sheet2!$A$2:$R$3432,5,0)</f>
        <v>MH10AX5101</v>
      </c>
      <c r="N153" s="5" t="s">
        <v>25</v>
      </c>
      <c r="O153" s="5" t="s">
        <v>25</v>
      </c>
      <c r="P153" s="6" t="s">
        <v>25</v>
      </c>
      <c r="Q153" s="5" t="s">
        <v>25</v>
      </c>
      <c r="R153" s="5" t="s">
        <v>25</v>
      </c>
      <c r="S153" s="5" t="str">
        <f>VLOOKUP(A153,Sheet2!$A$2:$R$3432,18,0)</f>
        <v>KC1ZEBBGB08307</v>
      </c>
      <c r="T153" s="7" t="str">
        <f>VLOOKUP(A153,Sheet2!$A$2:$R$3432,17,0)</f>
        <v>MBLKC12ECBGB08245</v>
      </c>
    </row>
    <row r="154" ht="15.75" customHeight="1">
      <c r="A154" s="3" t="s">
        <v>177</v>
      </c>
      <c r="B154" s="4" t="str">
        <f>VLOOKUP(A154,Sheet2!$A$2:$R$3432,2,0)</f>
        <v>2024-12-22 19:05:05</v>
      </c>
      <c r="C154" s="5" t="s">
        <v>25</v>
      </c>
      <c r="D154" s="6" t="s">
        <v>25</v>
      </c>
      <c r="E154" s="7">
        <f>VLOOKUP(A154,Sheet2!$A$2:$R$3432,4,0)</f>
        <v>7709512619</v>
      </c>
      <c r="F154" s="7" t="str">
        <f>VLOOKUP(A154,Sheet2!$A$2:$R$3432,3,0)</f>
        <v>Prashant Sadawarte</v>
      </c>
      <c r="G154" s="5" t="s">
        <v>25</v>
      </c>
      <c r="H154" s="5" t="s">
        <v>25</v>
      </c>
      <c r="I154" s="5" t="s">
        <v>25</v>
      </c>
      <c r="J154" s="5" t="s">
        <v>25</v>
      </c>
      <c r="K154" s="7" t="str">
        <f>VLOOKUP(A154,Sheet2!$A$2:$R$3432,6,0)</f>
        <v>Suzuki Gixxer </v>
      </c>
      <c r="L154" s="5" t="s">
        <v>25</v>
      </c>
      <c r="M154" s="7" t="str">
        <f>VLOOKUP(A154,Sheet2!$A$2:$R$3432,5,0)</f>
        <v>MH26AX3561</v>
      </c>
      <c r="N154" s="5" t="s">
        <v>25</v>
      </c>
      <c r="O154" s="5" t="s">
        <v>25</v>
      </c>
      <c r="P154" s="6" t="s">
        <v>25</v>
      </c>
      <c r="Q154" s="5" t="s">
        <v>25</v>
      </c>
      <c r="R154" s="5" t="s">
        <v>25</v>
      </c>
      <c r="S154" s="7" t="str">
        <f>VLOOKUP(A154,Sheet2!$A$2:$R$3432,18,0)</f>
        <v/>
      </c>
      <c r="T154" s="7" t="str">
        <f>VLOOKUP(A154,Sheet2!$A$2:$R$3432,17,0)</f>
        <v/>
      </c>
    </row>
    <row r="155" ht="15.75" customHeight="1">
      <c r="A155" s="3" t="s">
        <v>178</v>
      </c>
      <c r="B155" s="4" t="str">
        <f>VLOOKUP(A155,Sheet2!$A$2:$R$3432,2,0)</f>
        <v>2024-12-22 19:06:36</v>
      </c>
      <c r="C155" s="5" t="s">
        <v>25</v>
      </c>
      <c r="D155" s="6" t="s">
        <v>25</v>
      </c>
      <c r="E155" s="7">
        <f>VLOOKUP(A155,Sheet2!$A$2:$R$3432,4,0)</f>
        <v>9860977864</v>
      </c>
      <c r="F155" s="7" t="str">
        <f>VLOOKUP(A155,Sheet2!$A$2:$R$3432,3,0)</f>
        <v>Pooja Kelkar</v>
      </c>
      <c r="G155" s="5" t="s">
        <v>25</v>
      </c>
      <c r="H155" s="5" t="s">
        <v>25</v>
      </c>
      <c r="I155" s="5" t="s">
        <v>25</v>
      </c>
      <c r="J155" s="5" t="s">
        <v>25</v>
      </c>
      <c r="K155" s="7" t="str">
        <f>VLOOKUP(A155,Sheet2!$A$2:$R$3432,6,0)</f>
        <v>Suzuki Access 125</v>
      </c>
      <c r="L155" s="5" t="s">
        <v>25</v>
      </c>
      <c r="M155" s="7" t="str">
        <f>VLOOKUP(A155,Sheet2!$A$2:$R$3432,5,0)</f>
        <v>MH12NS3899</v>
      </c>
      <c r="N155" s="5" t="s">
        <v>25</v>
      </c>
      <c r="O155" s="5" t="s">
        <v>25</v>
      </c>
      <c r="P155" s="6" t="s">
        <v>25</v>
      </c>
      <c r="Q155" s="5" t="s">
        <v>25</v>
      </c>
      <c r="R155" s="5" t="s">
        <v>25</v>
      </c>
      <c r="S155" s="7" t="str">
        <f>VLOOKUP(A155,Sheet2!$A$2:$R$3432,18,0)</f>
        <v/>
      </c>
      <c r="T155" s="7" t="str">
        <f>VLOOKUP(A155,Sheet2!$A$2:$R$3432,17,0)</f>
        <v/>
      </c>
    </row>
    <row r="156" ht="15.75" customHeight="1">
      <c r="A156" s="3" t="s">
        <v>179</v>
      </c>
      <c r="B156" s="4" t="str">
        <f>VLOOKUP(A156,Sheet2!$A$2:$R$3432,2,0)</f>
        <v>2024-12-22 19:07:43</v>
      </c>
      <c r="C156" s="5" t="s">
        <v>25</v>
      </c>
      <c r="D156" s="6" t="s">
        <v>25</v>
      </c>
      <c r="E156" s="7">
        <f>VLOOKUP(A156,Sheet2!$A$2:$R$3432,4,0)</f>
        <v>7875519284</v>
      </c>
      <c r="F156" s="7" t="str">
        <f>VLOOKUP(A156,Sheet2!$A$2:$R$3432,3,0)</f>
        <v>Varun</v>
      </c>
      <c r="G156" s="5" t="s">
        <v>25</v>
      </c>
      <c r="H156" s="5" t="s">
        <v>25</v>
      </c>
      <c r="I156" s="5" t="s">
        <v>25</v>
      </c>
      <c r="J156" s="5" t="s">
        <v>25</v>
      </c>
      <c r="K156" s="7" t="str">
        <f>VLOOKUP(A156,Sheet2!$A$2:$R$3432,6,0)</f>
        <v>Suzuki Access 125</v>
      </c>
      <c r="L156" s="5" t="s">
        <v>25</v>
      </c>
      <c r="M156" s="7" t="str">
        <f>VLOOKUP(A156,Sheet2!$A$2:$R$3432,5,0)</f>
        <v>MH14HC9267</v>
      </c>
      <c r="N156" s="5" t="s">
        <v>25</v>
      </c>
      <c r="O156" s="5" t="s">
        <v>25</v>
      </c>
      <c r="P156" s="6" t="s">
        <v>25</v>
      </c>
      <c r="Q156" s="5" t="s">
        <v>25</v>
      </c>
      <c r="R156" s="5" t="s">
        <v>25</v>
      </c>
      <c r="S156" s="5" t="str">
        <f>VLOOKUP(A156,Sheet2!$A$2:$R$3432,18,0)</f>
        <v>G423136566</v>
      </c>
      <c r="T156" s="7" t="str">
        <f>VLOOKUP(A156,Sheet2!$A$2:$R$3432,17,0)</f>
        <v>XMB8NG49AF</v>
      </c>
    </row>
    <row r="157" ht="15.75" customHeight="1">
      <c r="A157" s="3" t="s">
        <v>180</v>
      </c>
      <c r="B157" s="4" t="str">
        <f>VLOOKUP(A157,Sheet2!$A$2:$R$3432,2,0)</f>
        <v>2024-12-22 19:25:06</v>
      </c>
      <c r="C157" s="5" t="s">
        <v>25</v>
      </c>
      <c r="D157" s="6" t="s">
        <v>25</v>
      </c>
      <c r="E157" s="7">
        <f>VLOOKUP(A157,Sheet2!$A$2:$R$3432,4,0)</f>
        <v>9975072072</v>
      </c>
      <c r="F157" s="7" t="str">
        <f>VLOOKUP(A157,Sheet2!$A$2:$R$3432,3,0)</f>
        <v>Akshay </v>
      </c>
      <c r="G157" s="5" t="s">
        <v>25</v>
      </c>
      <c r="H157" s="5" t="s">
        <v>25</v>
      </c>
      <c r="I157" s="5" t="s">
        <v>25</v>
      </c>
      <c r="J157" s="5" t="s">
        <v>25</v>
      </c>
      <c r="K157" s="7" t="str">
        <f>VLOOKUP(A157,Sheet2!$A$2:$R$3432,6,0)</f>
        <v>Honda Unicorn 160</v>
      </c>
      <c r="L157" s="5" t="s">
        <v>25</v>
      </c>
      <c r="M157" s="7" t="str">
        <f>VLOOKUP(A157,Sheet2!$A$2:$R$3432,5,0)</f>
        <v>MH12PU9038</v>
      </c>
      <c r="N157" s="5" t="s">
        <v>25</v>
      </c>
      <c r="O157" s="5" t="s">
        <v>25</v>
      </c>
      <c r="P157" s="6" t="s">
        <v>25</v>
      </c>
      <c r="Q157" s="5" t="s">
        <v>25</v>
      </c>
      <c r="R157" s="5" t="s">
        <v>25</v>
      </c>
      <c r="S157" s="5" t="str">
        <f>VLOOKUP(A157,Sheet2!$A$2:$R$3432,18,0)</f>
        <v>KC31E80131858</v>
      </c>
      <c r="T157" s="7" t="str">
        <f>VLOOKUP(A157,Sheet2!$A$2:$R$3432,17,0)</f>
        <v>ME4KC311KH8131797</v>
      </c>
    </row>
    <row r="158" ht="15.75" customHeight="1">
      <c r="A158" s="3" t="s">
        <v>181</v>
      </c>
      <c r="B158" s="4" t="str">
        <f>VLOOKUP(A158,Sheet2!$A$2:$R$3432,2,0)</f>
        <v>2024-12-22 19:42:31</v>
      </c>
      <c r="C158" s="5" t="s">
        <v>25</v>
      </c>
      <c r="D158" s="6" t="s">
        <v>25</v>
      </c>
      <c r="E158" s="7">
        <f>VLOOKUP(A158,Sheet2!$A$2:$R$3432,4,0)</f>
        <v>9860213845</v>
      </c>
      <c r="F158" s="7" t="str">
        <f>VLOOKUP(A158,Sheet2!$A$2:$R$3432,3,0)</f>
        <v>Ajay Mahagaonkar</v>
      </c>
      <c r="G158" s="5" t="s">
        <v>25</v>
      </c>
      <c r="H158" s="5" t="s">
        <v>25</v>
      </c>
      <c r="I158" s="5" t="s">
        <v>25</v>
      </c>
      <c r="J158" s="5" t="s">
        <v>25</v>
      </c>
      <c r="K158" s="7" t="str">
        <f>VLOOKUP(A158,Sheet2!$A$2:$R$3432,6,0)</f>
        <v>Suzuki Access </v>
      </c>
      <c r="L158" s="5" t="s">
        <v>25</v>
      </c>
      <c r="M158" s="7" t="str">
        <f>VLOOKUP(A158,Sheet2!$A$2:$R$3432,5,0)</f>
        <v>MH12JJ5146</v>
      </c>
      <c r="N158" s="5" t="s">
        <v>25</v>
      </c>
      <c r="O158" s="5" t="s">
        <v>25</v>
      </c>
      <c r="P158" s="6" t="s">
        <v>25</v>
      </c>
      <c r="Q158" s="5" t="s">
        <v>25</v>
      </c>
      <c r="R158" s="5" t="s">
        <v>25</v>
      </c>
      <c r="S158" s="5" t="str">
        <f>VLOOKUP(A158,Sheet2!$A$2:$R$3432,18,0)</f>
        <v>F4862142374</v>
      </c>
      <c r="T158" s="7" t="str">
        <f>VLOOKUP(A158,Sheet2!$A$2:$R$3432,17,0)</f>
        <v>MB8CF4CAKC8243135</v>
      </c>
    </row>
    <row r="159" ht="15.75" customHeight="1">
      <c r="A159" s="3" t="s">
        <v>182</v>
      </c>
      <c r="B159" s="4" t="str">
        <f>VLOOKUP(A159,Sheet2!$A$2:$R$3432,2,0)</f>
        <v>2024-12-22 20:10:04</v>
      </c>
      <c r="C159" s="5" t="s">
        <v>25</v>
      </c>
      <c r="D159" s="6" t="s">
        <v>25</v>
      </c>
      <c r="E159" s="7">
        <f>VLOOKUP(A159,Sheet2!$A$2:$R$3432,4,0)</f>
        <v>8983852600</v>
      </c>
      <c r="F159" s="7" t="str">
        <f>VLOOKUP(A159,Sheet2!$A$2:$R$3432,3,0)</f>
        <v>Gaurav Mahakar</v>
      </c>
      <c r="G159" s="5" t="s">
        <v>25</v>
      </c>
      <c r="H159" s="5" t="s">
        <v>25</v>
      </c>
      <c r="I159" s="5" t="s">
        <v>25</v>
      </c>
      <c r="J159" s="5" t="s">
        <v>25</v>
      </c>
      <c r="K159" s="7" t="str">
        <f>VLOOKUP(A159,Sheet2!$A$2:$R$3432,6,0)</f>
        <v>TVS Rider 125</v>
      </c>
      <c r="L159" s="5" t="s">
        <v>25</v>
      </c>
      <c r="M159" s="7" t="str">
        <f>VLOOKUP(A159,Sheet2!$A$2:$R$3432,5,0)</f>
        <v>MH15HZ2588</v>
      </c>
      <c r="N159" s="5" t="s">
        <v>25</v>
      </c>
      <c r="O159" s="5" t="s">
        <v>25</v>
      </c>
      <c r="P159" s="6" t="s">
        <v>25</v>
      </c>
      <c r="Q159" s="5" t="s">
        <v>25</v>
      </c>
      <c r="R159" s="5" t="s">
        <v>25</v>
      </c>
      <c r="S159" s="5" t="str">
        <f>VLOOKUP(A159,Sheet2!$A$2:$R$3432,18,0)</f>
        <v>AF9KN1300943</v>
      </c>
      <c r="T159" s="7" t="str">
        <f>VLOOKUP(A159,Sheet2!$A$2:$R$3432,17,0)</f>
        <v>MD62SAF91NK01437</v>
      </c>
    </row>
    <row r="160" ht="15.75" customHeight="1">
      <c r="A160" s="3" t="s">
        <v>183</v>
      </c>
      <c r="B160" s="4" t="str">
        <f>VLOOKUP(A160,Sheet2!$A$2:$R$3432,2,0)</f>
        <v>2024-12-22 20:15:28</v>
      </c>
      <c r="C160" s="5" t="s">
        <v>25</v>
      </c>
      <c r="D160" s="6" t="s">
        <v>25</v>
      </c>
      <c r="E160" s="7">
        <f>VLOOKUP(A160,Sheet2!$A$2:$R$3432,4,0)</f>
        <v>7558218912</v>
      </c>
      <c r="F160" s="7" t="str">
        <f>VLOOKUP(A160,Sheet2!$A$2:$R$3432,3,0)</f>
        <v>VISHAL BACCHAV</v>
      </c>
      <c r="G160" s="5" t="s">
        <v>25</v>
      </c>
      <c r="H160" s="5" t="s">
        <v>25</v>
      </c>
      <c r="I160" s="5" t="s">
        <v>25</v>
      </c>
      <c r="J160" s="5" t="s">
        <v>25</v>
      </c>
      <c r="K160" s="7" t="str">
        <f>VLOOKUP(A160,Sheet2!$A$2:$R$3432,6,0)</f>
        <v>Honda Activa 3G</v>
      </c>
      <c r="L160" s="5" t="s">
        <v>25</v>
      </c>
      <c r="M160" s="7" t="str">
        <f>VLOOKUP(A160,Sheet2!$A$2:$R$3432,5,0)</f>
        <v>MH15FL4415</v>
      </c>
      <c r="N160" s="5" t="s">
        <v>25</v>
      </c>
      <c r="O160" s="5" t="s">
        <v>25</v>
      </c>
      <c r="P160" s="6" t="s">
        <v>25</v>
      </c>
      <c r="Q160" s="5" t="s">
        <v>25</v>
      </c>
      <c r="R160" s="5" t="s">
        <v>25</v>
      </c>
      <c r="S160" s="5" t="str">
        <f>VLOOKUP(A160,Sheet2!$A$2:$R$3432,18,0)</f>
        <v>JF50EU3338493</v>
      </c>
      <c r="T160" s="7" t="str">
        <f>VLOOKUP(A160,Sheet2!$A$2:$R$3432,17,0)</f>
        <v>ME4JF05JGU338738</v>
      </c>
    </row>
    <row r="161" ht="15.75" customHeight="1">
      <c r="A161" s="3" t="s">
        <v>184</v>
      </c>
      <c r="B161" s="4" t="str">
        <f>VLOOKUP(A161,Sheet2!$A$2:$R$3432,2,0)</f>
        <v>2024-12-22 20:20:10</v>
      </c>
      <c r="C161" s="5" t="s">
        <v>25</v>
      </c>
      <c r="D161" s="6" t="s">
        <v>25</v>
      </c>
      <c r="E161" s="7">
        <f>VLOOKUP(A161,Sheet2!$A$2:$R$3432,4,0)</f>
        <v>9172460437</v>
      </c>
      <c r="F161" s="7" t="str">
        <f>VLOOKUP(A161,Sheet2!$A$2:$R$3432,3,0)</f>
        <v>Tarun</v>
      </c>
      <c r="G161" s="5" t="s">
        <v>25</v>
      </c>
      <c r="H161" s="5" t="s">
        <v>25</v>
      </c>
      <c r="I161" s="5" t="s">
        <v>25</v>
      </c>
      <c r="J161" s="5" t="s">
        <v>25</v>
      </c>
      <c r="K161" s="7" t="str">
        <f>VLOOKUP(A161,Sheet2!$A$2:$R$3432,6,0)</f>
        <v>Yamaha Fascino </v>
      </c>
      <c r="L161" s="5" t="s">
        <v>25</v>
      </c>
      <c r="M161" s="7" t="str">
        <f>VLOOKUP(A161,Sheet2!$A$2:$R$3432,5,0)</f>
        <v>MH12PB9345</v>
      </c>
      <c r="N161" s="5" t="s">
        <v>25</v>
      </c>
      <c r="O161" s="5" t="s">
        <v>25</v>
      </c>
      <c r="P161" s="6" t="s">
        <v>25</v>
      </c>
      <c r="Q161" s="5" t="s">
        <v>25</v>
      </c>
      <c r="R161" s="5" t="s">
        <v>25</v>
      </c>
      <c r="S161" s="7" t="str">
        <f>VLOOKUP(A161,Sheet2!$A$2:$R$3432,18,0)</f>
        <v/>
      </c>
      <c r="T161" s="7" t="str">
        <f>VLOOKUP(A161,Sheet2!$A$2:$R$3432,17,0)</f>
        <v/>
      </c>
    </row>
    <row r="162" ht="15.75" customHeight="1">
      <c r="A162" s="3" t="s">
        <v>185</v>
      </c>
      <c r="B162" s="4" t="str">
        <f>VLOOKUP(A162,Sheet2!$A$2:$R$3432,2,0)</f>
        <v>2025-05-04 20:18:58</v>
      </c>
      <c r="C162" s="5" t="s">
        <v>25</v>
      </c>
      <c r="D162" s="6" t="s">
        <v>25</v>
      </c>
      <c r="E162" s="7">
        <f>VLOOKUP(A162,Sheet2!$A$2:$R$3432,4,0)</f>
        <v>8623855792</v>
      </c>
      <c r="F162" s="7" t="str">
        <f>VLOOKUP(A162,Sheet2!$A$2:$R$3432,3,0)</f>
        <v>AADITYA PATIL</v>
      </c>
      <c r="G162" s="5" t="s">
        <v>25</v>
      </c>
      <c r="H162" s="5" t="s">
        <v>25</v>
      </c>
      <c r="I162" s="5" t="s">
        <v>25</v>
      </c>
      <c r="J162" s="5" t="s">
        <v>25</v>
      </c>
      <c r="K162" s="7" t="str">
        <f>VLOOKUP(A162,Sheet2!$A$2:$R$3432,6,0)</f>
        <v>Suzuki Lets </v>
      </c>
      <c r="L162" s="5" t="s">
        <v>25</v>
      </c>
      <c r="M162" s="7" t="str">
        <f>VLOOKUP(A162,Sheet2!$A$2:$R$3432,5,0)</f>
        <v>MH12LP136</v>
      </c>
      <c r="N162" s="5" t="s">
        <v>25</v>
      </c>
      <c r="O162" s="5" t="s">
        <v>25</v>
      </c>
      <c r="P162" s="6" t="s">
        <v>25</v>
      </c>
      <c r="Q162" s="5" t="s">
        <v>25</v>
      </c>
      <c r="R162" s="5" t="s">
        <v>25</v>
      </c>
      <c r="S162" s="7" t="str">
        <f>VLOOKUP(A162,Sheet2!$A$2:$R$3432,18,0)</f>
        <v/>
      </c>
      <c r="T162" s="7" t="str">
        <f>VLOOKUP(A162,Sheet2!$A$2:$R$3432,17,0)</f>
        <v/>
      </c>
    </row>
    <row r="163" ht="15.75" customHeight="1">
      <c r="A163" s="3" t="s">
        <v>186</v>
      </c>
      <c r="B163" s="4" t="str">
        <f>VLOOKUP(A163,Sheet2!$A$2:$R$3432,2,0)</f>
        <v>2025-05-04 20:33:56</v>
      </c>
      <c r="C163" s="5" t="s">
        <v>25</v>
      </c>
      <c r="D163" s="6" t="s">
        <v>25</v>
      </c>
      <c r="E163" s="7">
        <f>VLOOKUP(A163,Sheet2!$A$2:$R$3432,4,0)</f>
        <v>9657003580</v>
      </c>
      <c r="F163" s="7" t="str">
        <f>VLOOKUP(A163,Sheet2!$A$2:$R$3432,3,0)</f>
        <v>Nisaga</v>
      </c>
      <c r="G163" s="5" t="s">
        <v>25</v>
      </c>
      <c r="H163" s="5" t="s">
        <v>25</v>
      </c>
      <c r="I163" s="5" t="s">
        <v>25</v>
      </c>
      <c r="J163" s="5" t="s">
        <v>25</v>
      </c>
      <c r="K163" s="7" t="str">
        <f>VLOOKUP(A163,Sheet2!$A$2:$R$3432,6,0)</f>
        <v>Honda Activa 110</v>
      </c>
      <c r="L163" s="5" t="s">
        <v>25</v>
      </c>
      <c r="M163" s="7" t="str">
        <f>VLOOKUP(A163,Sheet2!$A$2:$R$3432,5,0)</f>
        <v>MH14DB9768</v>
      </c>
      <c r="N163" s="5" t="s">
        <v>25</v>
      </c>
      <c r="O163" s="5" t="s">
        <v>25</v>
      </c>
      <c r="P163" s="6" t="s">
        <v>25</v>
      </c>
      <c r="Q163" s="5" t="s">
        <v>25</v>
      </c>
      <c r="R163" s="5" t="s">
        <v>25</v>
      </c>
      <c r="S163" s="5" t="str">
        <f>VLOOKUP(A163,Sheet2!$A$2:$R$3432,18,0)</f>
        <v>JC44EU1674775</v>
      </c>
      <c r="T163" s="7" t="str">
        <f>VLOOKUP(A163,Sheet2!$A$2:$R$3432,17,0)</f>
        <v>ME4JC44SKB6563887</v>
      </c>
    </row>
    <row r="164" ht="15.75" customHeight="1">
      <c r="A164" s="3" t="s">
        <v>187</v>
      </c>
      <c r="B164" s="4" t="str">
        <f>VLOOKUP(A164,Sheet2!$A$2:$R$3432,2,0)</f>
        <v>2025-05-04 20:41:16</v>
      </c>
      <c r="C164" s="5" t="s">
        <v>25</v>
      </c>
      <c r="D164" s="6" t="s">
        <v>25</v>
      </c>
      <c r="E164" s="7">
        <f>VLOOKUP(A164,Sheet2!$A$2:$R$3432,4,0)</f>
        <v>9699050052</v>
      </c>
      <c r="F164" s="7" t="str">
        <f>VLOOKUP(A164,Sheet2!$A$2:$R$3432,3,0)</f>
        <v>VANSH YEOLE</v>
      </c>
      <c r="G164" s="5" t="s">
        <v>25</v>
      </c>
      <c r="H164" s="5" t="s">
        <v>25</v>
      </c>
      <c r="I164" s="5" t="s">
        <v>25</v>
      </c>
      <c r="J164" s="5" t="s">
        <v>25</v>
      </c>
      <c r="K164" s="7" t="str">
        <f>VLOOKUP(A164,Sheet2!$A$2:$R$3432,6,0)</f>
        <v>Honda Activa 5G</v>
      </c>
      <c r="L164" s="5" t="s">
        <v>25</v>
      </c>
      <c r="M164" s="7" t="str">
        <f>VLOOKUP(A164,Sheet2!$A$2:$R$3432,5,0)</f>
        <v>MH14HL0491</v>
      </c>
      <c r="N164" s="5" t="s">
        <v>25</v>
      </c>
      <c r="O164" s="5" t="s">
        <v>25</v>
      </c>
      <c r="P164" s="6" t="s">
        <v>25</v>
      </c>
      <c r="Q164" s="5" t="s">
        <v>25</v>
      </c>
      <c r="R164" s="5" t="s">
        <v>25</v>
      </c>
      <c r="S164" s="7" t="str">
        <f>VLOOKUP(A164,Sheet2!$A$2:$R$3432,18,0)</f>
        <v/>
      </c>
      <c r="T164" s="7" t="str">
        <f>VLOOKUP(A164,Sheet2!$A$2:$R$3432,17,0)</f>
        <v/>
      </c>
    </row>
    <row r="165" ht="15.75" customHeight="1">
      <c r="A165" s="3" t="s">
        <v>188</v>
      </c>
      <c r="B165" s="4" t="str">
        <f>VLOOKUP(A165,Sheet2!$A$2:$R$3432,2,0)</f>
        <v>2025-05-04 20:28:23</v>
      </c>
      <c r="C165" s="5" t="s">
        <v>25</v>
      </c>
      <c r="D165" s="6" t="s">
        <v>25</v>
      </c>
      <c r="E165" s="7">
        <f>VLOOKUP(A165,Sheet2!$A$2:$R$3432,4,0)</f>
        <v>9975009495</v>
      </c>
      <c r="F165" s="7" t="str">
        <f>VLOOKUP(A165,Sheet2!$A$2:$R$3432,3,0)</f>
        <v>Lav Kande</v>
      </c>
      <c r="G165" s="5" t="s">
        <v>25</v>
      </c>
      <c r="H165" s="5" t="s">
        <v>25</v>
      </c>
      <c r="I165" s="5" t="s">
        <v>25</v>
      </c>
      <c r="J165" s="5" t="s">
        <v>25</v>
      </c>
      <c r="K165" s="7" t="str">
        <f>VLOOKUP(A165,Sheet2!$A$2:$R$3432,6,0)</f>
        <v>Hero Deluxe HF</v>
      </c>
      <c r="L165" s="5" t="s">
        <v>25</v>
      </c>
      <c r="M165" s="7" t="str">
        <f>VLOOKUP(A165,Sheet2!$A$2:$R$3432,5,0)</f>
        <v>MH14JB7565</v>
      </c>
      <c r="N165" s="5" t="s">
        <v>25</v>
      </c>
      <c r="O165" s="5" t="s">
        <v>25</v>
      </c>
      <c r="P165" s="6" t="s">
        <v>25</v>
      </c>
      <c r="Q165" s="5" t="s">
        <v>25</v>
      </c>
      <c r="R165" s="5" t="s">
        <v>25</v>
      </c>
      <c r="S165" s="7" t="str">
        <f>VLOOKUP(A165,Sheet2!$A$2:$R$3432,18,0)</f>
        <v/>
      </c>
      <c r="T165" s="7" t="str">
        <f>VLOOKUP(A165,Sheet2!$A$2:$R$3432,17,0)</f>
        <v/>
      </c>
    </row>
    <row r="166" ht="15.75" customHeight="1">
      <c r="A166" s="3" t="s">
        <v>189</v>
      </c>
      <c r="B166" s="4" t="str">
        <f>VLOOKUP(A166,Sheet2!$A$2:$R$3432,2,0)</f>
        <v>2025-05-04 20:24:56</v>
      </c>
      <c r="C166" s="5" t="s">
        <v>25</v>
      </c>
      <c r="D166" s="6" t="s">
        <v>25</v>
      </c>
      <c r="E166" s="7">
        <f>VLOOKUP(A166,Sheet2!$A$2:$R$3432,4,0)</f>
        <v>9850380576</v>
      </c>
      <c r="F166" s="7" t="str">
        <f>VLOOKUP(A166,Sheet2!$A$2:$R$3432,3,0)</f>
        <v>Pandit Patekari</v>
      </c>
      <c r="G166" s="5" t="s">
        <v>25</v>
      </c>
      <c r="H166" s="5" t="s">
        <v>25</v>
      </c>
      <c r="I166" s="5" t="s">
        <v>25</v>
      </c>
      <c r="J166" s="5" t="s">
        <v>25</v>
      </c>
      <c r="K166" s="7" t="str">
        <f>VLOOKUP(A166,Sheet2!$A$2:$R$3432,6,0)</f>
        <v>Hero Pleasure </v>
      </c>
      <c r="L166" s="5" t="s">
        <v>25</v>
      </c>
      <c r="M166" s="7" t="str">
        <f>VLOOKUP(A166,Sheet2!$A$2:$R$3432,5,0)</f>
        <v>MH14DD2179</v>
      </c>
      <c r="N166" s="5" t="s">
        <v>25</v>
      </c>
      <c r="O166" s="5" t="s">
        <v>25</v>
      </c>
      <c r="P166" s="6" t="s">
        <v>25</v>
      </c>
      <c r="Q166" s="5" t="s">
        <v>25</v>
      </c>
      <c r="R166" s="5" t="s">
        <v>25</v>
      </c>
      <c r="S166" s="5" t="str">
        <f>VLOOKUP(A166,Sheet2!$A$2:$R$3432,18,0)</f>
        <v>JF16EBEG106157</v>
      </c>
      <c r="T166" s="7" t="str">
        <f>VLOOKUP(A166,Sheet2!$A$2:$R$3432,17,0)</f>
        <v>MBLJF16EDBGM106338</v>
      </c>
    </row>
    <row r="167" ht="15.75" customHeight="1">
      <c r="A167" s="3" t="s">
        <v>190</v>
      </c>
      <c r="B167" s="4" t="str">
        <f>VLOOKUP(A167,Sheet2!$A$2:$R$3432,2,0)</f>
        <v>2025-05-04 20:20:32</v>
      </c>
      <c r="C167" s="5" t="s">
        <v>25</v>
      </c>
      <c r="D167" s="6" t="s">
        <v>25</v>
      </c>
      <c r="E167" s="7">
        <f>VLOOKUP(A167,Sheet2!$A$2:$R$3432,4,0)</f>
        <v>7768872859</v>
      </c>
      <c r="F167" s="7" t="str">
        <f>VLOOKUP(A167,Sheet2!$A$2:$R$3432,3,0)</f>
        <v>Mayank </v>
      </c>
      <c r="G167" s="5" t="s">
        <v>25</v>
      </c>
      <c r="H167" s="5" t="s">
        <v>25</v>
      </c>
      <c r="I167" s="5" t="s">
        <v>25</v>
      </c>
      <c r="J167" s="5" t="s">
        <v>25</v>
      </c>
      <c r="K167" s="7" t="str">
        <f>VLOOKUP(A167,Sheet2!$A$2:$R$3432,6,0)</f>
        <v>Yamaha FZ S 2.0</v>
      </c>
      <c r="L167" s="5" t="s">
        <v>25</v>
      </c>
      <c r="M167" s="7" t="str">
        <f>VLOOKUP(A167,Sheet2!$A$2:$R$3432,5,0)</f>
        <v>MH12NC6572</v>
      </c>
      <c r="N167" s="5" t="s">
        <v>25</v>
      </c>
      <c r="O167" s="5" t="s">
        <v>25</v>
      </c>
      <c r="P167" s="6" t="s">
        <v>25</v>
      </c>
      <c r="Q167" s="5" t="s">
        <v>25</v>
      </c>
      <c r="R167" s="5" t="s">
        <v>25</v>
      </c>
      <c r="S167" s="7" t="str">
        <f>VLOOKUP(A167,Sheet2!$A$2:$R$3432,18,0)</f>
        <v/>
      </c>
      <c r="T167" s="7" t="str">
        <f>VLOOKUP(A167,Sheet2!$A$2:$R$3432,17,0)</f>
        <v/>
      </c>
    </row>
    <row r="168" ht="15.75" customHeight="1">
      <c r="A168" s="3" t="s">
        <v>191</v>
      </c>
      <c r="B168" s="4" t="str">
        <f>VLOOKUP(A168,Sheet2!$A$2:$R$3432,2,0)</f>
        <v>2025-05-04 20:36:22</v>
      </c>
      <c r="C168" s="5" t="s">
        <v>25</v>
      </c>
      <c r="D168" s="6" t="s">
        <v>25</v>
      </c>
      <c r="E168" s="7">
        <f>VLOOKUP(A168,Sheet2!$A$2:$R$3432,4,0)</f>
        <v>9405407097</v>
      </c>
      <c r="F168" s="7" t="str">
        <f>VLOOKUP(A168,Sheet2!$A$2:$R$3432,3,0)</f>
        <v>Sanjay Chaudhary </v>
      </c>
      <c r="G168" s="5" t="s">
        <v>25</v>
      </c>
      <c r="H168" s="5" t="s">
        <v>25</v>
      </c>
      <c r="I168" s="5" t="s">
        <v>25</v>
      </c>
      <c r="J168" s="5" t="s">
        <v>25</v>
      </c>
      <c r="K168" s="7" t="str">
        <f>VLOOKUP(A168,Sheet2!$A$2:$R$3432,6,0)</f>
        <v>TVS Jupiter </v>
      </c>
      <c r="L168" s="5" t="s">
        <v>25</v>
      </c>
      <c r="M168" s="7" t="str">
        <f>VLOOKUP(A168,Sheet2!$A$2:$R$3432,5,0)</f>
        <v>MH25AN4169</v>
      </c>
      <c r="N168" s="5" t="s">
        <v>25</v>
      </c>
      <c r="O168" s="5" t="s">
        <v>25</v>
      </c>
      <c r="P168" s="6" t="s">
        <v>25</v>
      </c>
      <c r="Q168" s="5" t="s">
        <v>25</v>
      </c>
      <c r="R168" s="5" t="s">
        <v>25</v>
      </c>
      <c r="S168" s="5" t="str">
        <f>VLOOKUP(A168,Sheet2!$A$2:$R$3432,18,0)</f>
        <v>EG4BJ2313903 </v>
      </c>
      <c r="T168" s="7" t="str">
        <f>VLOOKUP(A168,Sheet2!$A$2:$R$3432,17,0)</f>
        <v>MD626EG41J3B05803</v>
      </c>
    </row>
    <row r="169" ht="15.75" customHeight="1">
      <c r="A169" s="3" t="s">
        <v>192</v>
      </c>
      <c r="B169" s="4" t="str">
        <f>VLOOKUP(A169,Sheet2!$A$2:$R$3432,2,0)</f>
        <v>2025-05-04 20:37:33</v>
      </c>
      <c r="C169" s="5" t="s">
        <v>25</v>
      </c>
      <c r="D169" s="6" t="s">
        <v>25</v>
      </c>
      <c r="E169" s="7">
        <f>VLOOKUP(A169,Sheet2!$A$2:$R$3432,4,0)</f>
        <v>7219101025</v>
      </c>
      <c r="F169" s="7" t="str">
        <f>VLOOKUP(A169,Sheet2!$A$2:$R$3432,3,0)</f>
        <v>SANDIP</v>
      </c>
      <c r="G169" s="5" t="s">
        <v>25</v>
      </c>
      <c r="H169" s="5" t="s">
        <v>25</v>
      </c>
      <c r="I169" s="5" t="s">
        <v>25</v>
      </c>
      <c r="J169" s="5" t="s">
        <v>25</v>
      </c>
      <c r="K169" s="7" t="str">
        <f>VLOOKUP(A169,Sheet2!$A$2:$R$3432,6,0)</f>
        <v>Honda Activa 5G</v>
      </c>
      <c r="L169" s="5" t="s">
        <v>25</v>
      </c>
      <c r="M169" s="7" t="str">
        <f>VLOOKUP(A169,Sheet2!$A$2:$R$3432,5,0)</f>
        <v>MH14HJ2221</v>
      </c>
      <c r="N169" s="5" t="s">
        <v>25</v>
      </c>
      <c r="O169" s="5" t="s">
        <v>25</v>
      </c>
      <c r="P169" s="6" t="s">
        <v>25</v>
      </c>
      <c r="Q169" s="5" t="s">
        <v>25</v>
      </c>
      <c r="R169" s="5" t="s">
        <v>25</v>
      </c>
      <c r="S169" s="5" t="str">
        <f>VLOOKUP(A169,Sheet2!$A$2:$R$3432,18,0)</f>
        <v>JF50EU74135</v>
      </c>
      <c r="T169" s="7" t="str">
        <f>VLOOKUP(A169,Sheet2!$A$2:$R$3432,17,0)</f>
        <v>ME4JF50AMJU434466</v>
      </c>
    </row>
    <row r="170" ht="15.75" customHeight="1">
      <c r="A170" s="3" t="s">
        <v>193</v>
      </c>
      <c r="B170" s="4" t="str">
        <f>VLOOKUP(A170,Sheet2!$A$2:$R$3432,2,0)</f>
        <v>2025-05-04 20:32:53</v>
      </c>
      <c r="C170" s="5" t="s">
        <v>25</v>
      </c>
      <c r="D170" s="6" t="s">
        <v>25</v>
      </c>
      <c r="E170" s="7">
        <f>VLOOKUP(A170,Sheet2!$A$2:$R$3432,4,0)</f>
        <v>9822889511</v>
      </c>
      <c r="F170" s="7" t="str">
        <f>VLOOKUP(A170,Sheet2!$A$2:$R$3432,3,0)</f>
        <v>Bhushan Patil</v>
      </c>
      <c r="G170" s="5" t="s">
        <v>25</v>
      </c>
      <c r="H170" s="5" t="s">
        <v>25</v>
      </c>
      <c r="I170" s="5" t="s">
        <v>25</v>
      </c>
      <c r="J170" s="5" t="s">
        <v>25</v>
      </c>
      <c r="K170" s="7" t="str">
        <f>VLOOKUP(A170,Sheet2!$A$2:$R$3432,6,0)</f>
        <v>Honda Unicorn </v>
      </c>
      <c r="L170" s="5" t="s">
        <v>25</v>
      </c>
      <c r="M170" s="7" t="str">
        <f>VLOOKUP(A170,Sheet2!$A$2:$R$3432,5,0)</f>
        <v>MH14BS1571</v>
      </c>
      <c r="N170" s="5" t="s">
        <v>25</v>
      </c>
      <c r="O170" s="5" t="s">
        <v>25</v>
      </c>
      <c r="P170" s="6" t="s">
        <v>25</v>
      </c>
      <c r="Q170" s="5" t="s">
        <v>25</v>
      </c>
      <c r="R170" s="5" t="s">
        <v>25</v>
      </c>
      <c r="S170" s="5" t="str">
        <f>VLOOKUP(A170,Sheet2!$A$2:$R$3432,18,0)</f>
        <v>K6091031920</v>
      </c>
      <c r="T170" s="7" t="str">
        <f>VLOOKUP(A170,Sheet2!$A$2:$R$3432,17,0)</f>
        <v>ME4KC093M88030825</v>
      </c>
    </row>
    <row r="171" ht="15.75" customHeight="1">
      <c r="A171" s="3" t="s">
        <v>194</v>
      </c>
      <c r="B171" s="4" t="str">
        <f>VLOOKUP(A171,Sheet2!$A$2:$R$3432,2,0)</f>
        <v>2025-05-04 20:32:10</v>
      </c>
      <c r="C171" s="5" t="s">
        <v>25</v>
      </c>
      <c r="D171" s="6" t="s">
        <v>25</v>
      </c>
      <c r="E171" s="7">
        <f>VLOOKUP(A171,Sheet2!$A$2:$R$3432,4,0)</f>
        <v>8975828434</v>
      </c>
      <c r="F171" s="7" t="str">
        <f>VLOOKUP(A171,Sheet2!$A$2:$R$3432,3,0)</f>
        <v>Karan</v>
      </c>
      <c r="G171" s="5" t="s">
        <v>25</v>
      </c>
      <c r="H171" s="5" t="s">
        <v>25</v>
      </c>
      <c r="I171" s="5" t="s">
        <v>25</v>
      </c>
      <c r="J171" s="5" t="s">
        <v>25</v>
      </c>
      <c r="K171" s="7" t="str">
        <f>VLOOKUP(A171,Sheet2!$A$2:$R$3432,6,0)</f>
        <v>Yamaha FZ 1</v>
      </c>
      <c r="L171" s="5" t="s">
        <v>25</v>
      </c>
      <c r="M171" s="7" t="str">
        <f>VLOOKUP(A171,Sheet2!$A$2:$R$3432,5,0)</f>
        <v>MH14CT5977</v>
      </c>
      <c r="N171" s="5" t="s">
        <v>25</v>
      </c>
      <c r="O171" s="5" t="s">
        <v>25</v>
      </c>
      <c r="P171" s="6" t="s">
        <v>25</v>
      </c>
      <c r="Q171" s="5" t="s">
        <v>25</v>
      </c>
      <c r="R171" s="5" t="s">
        <v>25</v>
      </c>
      <c r="S171" s="5" t="str">
        <f>VLOOKUP(A171,Sheet2!$A$2:$R$3432,18,0)</f>
        <v>21C5034137</v>
      </c>
      <c r="T171" s="7" t="str">
        <f>VLOOKUP(A171,Sheet2!$A$2:$R$3432,17,0)</f>
        <v>ME121CD54B2033959</v>
      </c>
    </row>
    <row r="172" ht="15.75" customHeight="1">
      <c r="A172" s="3" t="s">
        <v>195</v>
      </c>
      <c r="B172" s="4" t="str">
        <f>VLOOKUP(A172,Sheet2!$A$2:$R$3432,2,0)</f>
        <v>2025-05-04 20:38:30</v>
      </c>
      <c r="C172" s="5" t="s">
        <v>25</v>
      </c>
      <c r="D172" s="6" t="s">
        <v>25</v>
      </c>
      <c r="E172" s="7">
        <f>VLOOKUP(A172,Sheet2!$A$2:$R$3432,4,0)</f>
        <v>9762861972</v>
      </c>
      <c r="F172" s="7" t="str">
        <f>VLOOKUP(A172,Sheet2!$A$2:$R$3432,3,0)</f>
        <v>Amey </v>
      </c>
      <c r="G172" s="5" t="s">
        <v>25</v>
      </c>
      <c r="H172" s="5" t="s">
        <v>25</v>
      </c>
      <c r="I172" s="5" t="s">
        <v>25</v>
      </c>
      <c r="J172" s="5" t="s">
        <v>25</v>
      </c>
      <c r="K172" s="7" t="str">
        <f>VLOOKUP(A172,Sheet2!$A$2:$R$3432,6,0)</f>
        <v>Yamaha R15 V3</v>
      </c>
      <c r="L172" s="5" t="s">
        <v>25</v>
      </c>
      <c r="M172" s="7" t="str">
        <f>VLOOKUP(A172,Sheet2!$A$2:$R$3432,5,0)</f>
        <v>MH14JN0887</v>
      </c>
      <c r="N172" s="5" t="s">
        <v>25</v>
      </c>
      <c r="O172" s="5" t="s">
        <v>25</v>
      </c>
      <c r="P172" s="6" t="s">
        <v>25</v>
      </c>
      <c r="Q172" s="5" t="s">
        <v>25</v>
      </c>
      <c r="R172" s="5" t="s">
        <v>25</v>
      </c>
      <c r="S172" s="5" t="str">
        <f>VLOOKUP(A172,Sheet2!$A$2:$R$3432,18,0)</f>
        <v>G3N460076805</v>
      </c>
      <c r="T172" s="7" t="str">
        <f>VLOOKUP(A172,Sheet2!$A$2:$R$3432,17,0)</f>
        <v>ME1RG671BL0052645</v>
      </c>
    </row>
    <row r="173" ht="15.75" customHeight="1">
      <c r="A173" s="3" t="s">
        <v>196</v>
      </c>
      <c r="B173" s="4" t="str">
        <f>VLOOKUP(A173,Sheet2!$A$2:$R$3432,2,0)</f>
        <v>2025-05-04 20:39:05</v>
      </c>
      <c r="C173" s="5" t="s">
        <v>25</v>
      </c>
      <c r="D173" s="6" t="s">
        <v>25</v>
      </c>
      <c r="E173" s="7">
        <f>VLOOKUP(A173,Sheet2!$A$2:$R$3432,4,0)</f>
        <v>8517900078</v>
      </c>
      <c r="F173" s="7" t="str">
        <f>VLOOKUP(A173,Sheet2!$A$2:$R$3432,3,0)</f>
        <v>ROHIT GUPTA</v>
      </c>
      <c r="G173" s="5" t="s">
        <v>25</v>
      </c>
      <c r="H173" s="5" t="s">
        <v>25</v>
      </c>
      <c r="I173" s="5" t="s">
        <v>25</v>
      </c>
      <c r="J173" s="5" t="s">
        <v>25</v>
      </c>
      <c r="K173" s="7" t="str">
        <f>VLOOKUP(A173,Sheet2!$A$2:$R$3432,6,0)</f>
        <v>Bajaj Pulsar 125</v>
      </c>
      <c r="L173" s="5" t="s">
        <v>25</v>
      </c>
      <c r="M173" s="7" t="str">
        <f>VLOOKUP(A173,Sheet2!$A$2:$R$3432,5,0)</f>
        <v>MP04VE9926</v>
      </c>
      <c r="N173" s="5" t="s">
        <v>25</v>
      </c>
      <c r="O173" s="5" t="s">
        <v>25</v>
      </c>
      <c r="P173" s="6" t="s">
        <v>25</v>
      </c>
      <c r="Q173" s="5" t="s">
        <v>25</v>
      </c>
      <c r="R173" s="5" t="s">
        <v>25</v>
      </c>
      <c r="S173" s="5" t="str">
        <f>VLOOKUP(A173,Sheet2!$A$2:$R$3432,18,0)</f>
        <v>DHXRNK62530</v>
      </c>
      <c r="T173" s="7" t="str">
        <f>VLOOKUP(A173,Sheet2!$A$2:$R$3432,17,0)</f>
        <v>MD2BX0NRK14363</v>
      </c>
    </row>
    <row r="174" ht="15.75" customHeight="1">
      <c r="A174" s="3" t="s">
        <v>197</v>
      </c>
      <c r="B174" s="4" t="str">
        <f>VLOOKUP(A174,Sheet2!$A$2:$R$3432,2,0)</f>
        <v>2025-05-04 20:24:24</v>
      </c>
      <c r="C174" s="5" t="s">
        <v>25</v>
      </c>
      <c r="D174" s="6" t="s">
        <v>25</v>
      </c>
      <c r="E174" s="7">
        <f>VLOOKUP(A174,Sheet2!$A$2:$R$3432,4,0)</f>
        <v>8668363746</v>
      </c>
      <c r="F174" s="7" t="str">
        <f>VLOOKUP(A174,Sheet2!$A$2:$R$3432,3,0)</f>
        <v>NILESH</v>
      </c>
      <c r="G174" s="5" t="s">
        <v>25</v>
      </c>
      <c r="H174" s="5" t="s">
        <v>25</v>
      </c>
      <c r="I174" s="5" t="s">
        <v>25</v>
      </c>
      <c r="J174" s="5" t="s">
        <v>25</v>
      </c>
      <c r="K174" s="7" t="str">
        <f>VLOOKUP(A174,Sheet2!$A$2:$R$3432,6,0)</f>
        <v>Honda Dio </v>
      </c>
      <c r="L174" s="5" t="s">
        <v>25</v>
      </c>
      <c r="M174" s="7" t="str">
        <f>VLOOKUP(A174,Sheet2!$A$2:$R$3432,5,0)</f>
        <v>MH12FL2860</v>
      </c>
      <c r="N174" s="5" t="s">
        <v>25</v>
      </c>
      <c r="O174" s="5" t="s">
        <v>25</v>
      </c>
      <c r="P174" s="6" t="s">
        <v>25</v>
      </c>
      <c r="Q174" s="5" t="s">
        <v>25</v>
      </c>
      <c r="R174" s="5" t="s">
        <v>25</v>
      </c>
      <c r="S174" s="7" t="str">
        <f>VLOOKUP(A174,Sheet2!$A$2:$R$3432,18,0)</f>
        <v/>
      </c>
      <c r="T174" s="7" t="str">
        <f>VLOOKUP(A174,Sheet2!$A$2:$R$3432,17,0)</f>
        <v>RUSTY FRAME </v>
      </c>
    </row>
    <row r="175" ht="15.75" customHeight="1">
      <c r="A175" s="3" t="s">
        <v>198</v>
      </c>
      <c r="B175" s="4" t="str">
        <f>VLOOKUP(A175,Sheet2!$A$2:$R$3432,2,0)</f>
        <v>2025-05-04 20:40:49</v>
      </c>
      <c r="C175" s="5" t="s">
        <v>25</v>
      </c>
      <c r="D175" s="6" t="s">
        <v>25</v>
      </c>
      <c r="E175" s="7">
        <f>VLOOKUP(A175,Sheet2!$A$2:$R$3432,4,0)</f>
        <v>9307040329</v>
      </c>
      <c r="F175" s="7" t="str">
        <f>VLOOKUP(A175,Sheet2!$A$2:$R$3432,3,0)</f>
        <v>Deepali </v>
      </c>
      <c r="G175" s="5" t="s">
        <v>25</v>
      </c>
      <c r="H175" s="5" t="s">
        <v>25</v>
      </c>
      <c r="I175" s="5" t="s">
        <v>25</v>
      </c>
      <c r="J175" s="5" t="s">
        <v>25</v>
      </c>
      <c r="K175" s="7" t="str">
        <f>VLOOKUP(A175,Sheet2!$A$2:$R$3432,6,0)</f>
        <v>TVS Zest 110</v>
      </c>
      <c r="L175" s="5" t="s">
        <v>25</v>
      </c>
      <c r="M175" s="7" t="str">
        <f>VLOOKUP(A175,Sheet2!$A$2:$R$3432,5,0)</f>
        <v>MH14KY2196</v>
      </c>
      <c r="N175" s="5" t="s">
        <v>25</v>
      </c>
      <c r="O175" s="5" t="s">
        <v>25</v>
      </c>
      <c r="P175" s="6" t="s">
        <v>25</v>
      </c>
      <c r="Q175" s="5" t="s">
        <v>25</v>
      </c>
      <c r="R175" s="5" t="s">
        <v>25</v>
      </c>
      <c r="S175" s="7" t="str">
        <f>VLOOKUP(A175,Sheet2!$A$2:$R$3432,18,0)</f>
        <v/>
      </c>
      <c r="T175" s="7" t="str">
        <f>VLOOKUP(A175,Sheet2!$A$2:$R$3432,17,0)</f>
        <v/>
      </c>
    </row>
    <row r="176" ht="15.75" customHeight="1">
      <c r="A176" s="3" t="s">
        <v>199</v>
      </c>
      <c r="B176" s="4" t="str">
        <f>VLOOKUP(A176,Sheet2!$A$2:$R$3432,2,0)</f>
        <v>2025-05-04 20:19:49</v>
      </c>
      <c r="C176" s="5" t="s">
        <v>25</v>
      </c>
      <c r="D176" s="6" t="s">
        <v>25</v>
      </c>
      <c r="E176" s="7">
        <f>VLOOKUP(A176,Sheet2!$A$2:$R$3432,4,0)</f>
        <v>9762861972</v>
      </c>
      <c r="F176" s="7" t="str">
        <f>VLOOKUP(A176,Sheet2!$A$2:$R$3432,3,0)</f>
        <v>Ameya</v>
      </c>
      <c r="G176" s="5" t="s">
        <v>25</v>
      </c>
      <c r="H176" s="5" t="s">
        <v>25</v>
      </c>
      <c r="I176" s="5" t="s">
        <v>25</v>
      </c>
      <c r="J176" s="5" t="s">
        <v>25</v>
      </c>
      <c r="K176" s="7" t="str">
        <f>VLOOKUP(A176,Sheet2!$A$2:$R$3432,6,0)</f>
        <v>TVS Jupiter </v>
      </c>
      <c r="L176" s="5" t="s">
        <v>25</v>
      </c>
      <c r="M176" s="7" t="str">
        <f>VLOOKUP(A176,Sheet2!$A$2:$R$3432,5,0)</f>
        <v>MH14HY3972</v>
      </c>
      <c r="N176" s="5" t="s">
        <v>25</v>
      </c>
      <c r="O176" s="5" t="s">
        <v>25</v>
      </c>
      <c r="P176" s="6" t="s">
        <v>25</v>
      </c>
      <c r="Q176" s="5" t="s">
        <v>25</v>
      </c>
      <c r="R176" s="5" t="s">
        <v>25</v>
      </c>
      <c r="S176" s="5" t="str">
        <f>VLOOKUP(A176,Sheet2!$A$2:$R$3432,18,0)</f>
        <v>DG4KK1424863</v>
      </c>
      <c r="T176" s="7" t="str">
        <f>VLOOKUP(A176,Sheet2!$A$2:$R$3432,17,0)</f>
        <v>MD626EG44K1K88494</v>
      </c>
    </row>
    <row r="177" ht="15.75" customHeight="1">
      <c r="A177" s="3" t="s">
        <v>200</v>
      </c>
      <c r="B177" s="4" t="str">
        <f>VLOOKUP(A177,Sheet2!$A$2:$R$3432,2,0)</f>
        <v>2025-05-04 20:40:08</v>
      </c>
      <c r="C177" s="5" t="s">
        <v>25</v>
      </c>
      <c r="D177" s="6" t="s">
        <v>25</v>
      </c>
      <c r="E177" s="7">
        <f>VLOOKUP(A177,Sheet2!$A$2:$R$3432,4,0)</f>
        <v>8805413757</v>
      </c>
      <c r="F177" s="7" t="str">
        <f>VLOOKUP(A177,Sheet2!$A$2:$R$3432,3,0)</f>
        <v>Akshay</v>
      </c>
      <c r="G177" s="5" t="s">
        <v>25</v>
      </c>
      <c r="H177" s="5" t="s">
        <v>25</v>
      </c>
      <c r="I177" s="5" t="s">
        <v>25</v>
      </c>
      <c r="J177" s="5" t="s">
        <v>25</v>
      </c>
      <c r="K177" s="7" t="str">
        <f>VLOOKUP(A177,Sheet2!$A$2:$R$3432,6,0)</f>
        <v>Honda Shine </v>
      </c>
      <c r="L177" s="5" t="s">
        <v>25</v>
      </c>
      <c r="M177" s="7" t="str">
        <f>VLOOKUP(A177,Sheet2!$A$2:$R$3432,5,0)</f>
        <v>MH17CN2571</v>
      </c>
      <c r="N177" s="5" t="s">
        <v>25</v>
      </c>
      <c r="O177" s="5" t="s">
        <v>25</v>
      </c>
      <c r="P177" s="6" t="s">
        <v>25</v>
      </c>
      <c r="Q177" s="5" t="s">
        <v>25</v>
      </c>
      <c r="R177" s="5" t="s">
        <v>25</v>
      </c>
      <c r="S177" s="7" t="str">
        <f>VLOOKUP(A177,Sheet2!$A$2:$R$3432,18,0)</f>
        <v/>
      </c>
      <c r="T177" s="7" t="str">
        <f>VLOOKUP(A177,Sheet2!$A$2:$R$3432,17,0)</f>
        <v>ME4JC856JLD018948</v>
      </c>
    </row>
    <row r="178" ht="15.75" customHeight="1">
      <c r="A178" s="3" t="s">
        <v>201</v>
      </c>
      <c r="B178" s="4" t="str">
        <f>VLOOKUP(A178,Sheet2!$A$2:$R$3432,2,0)</f>
        <v>2025-05-04 20:15:01</v>
      </c>
      <c r="C178" s="5" t="s">
        <v>25</v>
      </c>
      <c r="D178" s="6" t="s">
        <v>25</v>
      </c>
      <c r="E178" s="7">
        <f>VLOOKUP(A178,Sheet2!$A$2:$R$3432,4,0)</f>
        <v>9922923707</v>
      </c>
      <c r="F178" s="7" t="str">
        <f>VLOOKUP(A178,Sheet2!$A$2:$R$3432,3,0)</f>
        <v>Sanjay Rakshe</v>
      </c>
      <c r="G178" s="5" t="s">
        <v>25</v>
      </c>
      <c r="H178" s="5" t="s">
        <v>25</v>
      </c>
      <c r="I178" s="5" t="s">
        <v>25</v>
      </c>
      <c r="J178" s="5" t="s">
        <v>25</v>
      </c>
      <c r="K178" s="7" t="str">
        <f>VLOOKUP(A178,Sheet2!$A$2:$R$3432,6,0)</f>
        <v>Honda Unicorn </v>
      </c>
      <c r="L178" s="5" t="s">
        <v>25</v>
      </c>
      <c r="M178" s="7" t="str">
        <f>VLOOKUP(A178,Sheet2!$A$2:$R$3432,5,0)</f>
        <v>MH14BV9991</v>
      </c>
      <c r="N178" s="5" t="s">
        <v>25</v>
      </c>
      <c r="O178" s="5" t="s">
        <v>25</v>
      </c>
      <c r="P178" s="6" t="s">
        <v>25</v>
      </c>
      <c r="Q178" s="5" t="s">
        <v>25</v>
      </c>
      <c r="R178" s="5" t="s">
        <v>25</v>
      </c>
      <c r="S178" s="7" t="str">
        <f>VLOOKUP(A178,Sheet2!$A$2:$R$3432,18,0)</f>
        <v/>
      </c>
      <c r="T178" s="7" t="str">
        <f>VLOOKUP(A178,Sheet2!$A$2:$R$3432,17,0)</f>
        <v/>
      </c>
    </row>
    <row r="179" ht="15.75" customHeight="1">
      <c r="A179" s="3" t="s">
        <v>202</v>
      </c>
      <c r="B179" s="4" t="str">
        <f>VLOOKUP(A179,Sheet2!$A$2:$R$3432,2,0)</f>
        <v>2025-05-04 20:17:14</v>
      </c>
      <c r="C179" s="5" t="s">
        <v>25</v>
      </c>
      <c r="D179" s="6" t="s">
        <v>25</v>
      </c>
      <c r="E179" s="7">
        <f>VLOOKUP(A179,Sheet2!$A$2:$R$3432,4,0)</f>
        <v>9881124230</v>
      </c>
      <c r="F179" s="7" t="str">
        <f>VLOOKUP(A179,Sheet2!$A$2:$R$3432,3,0)</f>
        <v>SACHIN NAGARKAR </v>
      </c>
      <c r="G179" s="5" t="s">
        <v>25</v>
      </c>
      <c r="H179" s="5" t="s">
        <v>25</v>
      </c>
      <c r="I179" s="5" t="s">
        <v>25</v>
      </c>
      <c r="J179" s="5" t="s">
        <v>25</v>
      </c>
      <c r="K179" s="7" t="str">
        <f>VLOOKUP(A179,Sheet2!$A$2:$R$3432,6,0)</f>
        <v>TVS Jupiter </v>
      </c>
      <c r="L179" s="5" t="s">
        <v>25</v>
      </c>
      <c r="M179" s="7" t="str">
        <f>VLOOKUP(A179,Sheet2!$A$2:$R$3432,5,0)</f>
        <v>MH14JF0221</v>
      </c>
      <c r="N179" s="5" t="s">
        <v>25</v>
      </c>
      <c r="O179" s="5" t="s">
        <v>25</v>
      </c>
      <c r="P179" s="6" t="s">
        <v>25</v>
      </c>
      <c r="Q179" s="5" t="s">
        <v>25</v>
      </c>
      <c r="R179" s="5" t="s">
        <v>25</v>
      </c>
      <c r="S179" s="5" t="str">
        <f>VLOOKUP(A179,Sheet2!$A$2:$R$3432,18,0)</f>
        <v>GG5HU800818</v>
      </c>
      <c r="T179" s="7" t="str">
        <f>VLOOKUP(A179,Sheet2!$A$2:$R$3432,17,0)</f>
        <v>MD626EG56L1400797</v>
      </c>
    </row>
    <row r="180" ht="15.75" customHeight="1">
      <c r="A180" s="3" t="s">
        <v>203</v>
      </c>
      <c r="B180" s="4" t="str">
        <f>VLOOKUP(A180,Sheet2!$A$2:$R$3432,2,0)</f>
        <v>2025-05-04 20:21:50</v>
      </c>
      <c r="C180" s="5" t="s">
        <v>25</v>
      </c>
      <c r="D180" s="6" t="s">
        <v>25</v>
      </c>
      <c r="E180" s="7">
        <f>VLOOKUP(A180,Sheet2!$A$2:$R$3432,4,0)</f>
        <v>7972921879</v>
      </c>
      <c r="F180" s="7" t="str">
        <f>VLOOKUP(A180,Sheet2!$A$2:$R$3432,3,0)</f>
        <v>Mihir</v>
      </c>
      <c r="G180" s="5" t="s">
        <v>25</v>
      </c>
      <c r="H180" s="5" t="s">
        <v>25</v>
      </c>
      <c r="I180" s="5" t="s">
        <v>25</v>
      </c>
      <c r="J180" s="5" t="s">
        <v>25</v>
      </c>
      <c r="K180" s="7" t="str">
        <f>VLOOKUP(A180,Sheet2!$A$2:$R$3432,6,0)</f>
        <v>Hero Maestro </v>
      </c>
      <c r="L180" s="5" t="s">
        <v>25</v>
      </c>
      <c r="M180" s="7" t="str">
        <f>VLOOKUP(A180,Sheet2!$A$2:$R$3432,5,0)</f>
        <v>MH12MC2641</v>
      </c>
      <c r="N180" s="5" t="s">
        <v>25</v>
      </c>
      <c r="O180" s="5" t="s">
        <v>25</v>
      </c>
      <c r="P180" s="6" t="s">
        <v>25</v>
      </c>
      <c r="Q180" s="5" t="s">
        <v>25</v>
      </c>
      <c r="R180" s="5" t="s">
        <v>25</v>
      </c>
      <c r="S180" s="7" t="str">
        <f>VLOOKUP(A180,Sheet2!$A$2:$R$3432,18,0)</f>
        <v/>
      </c>
      <c r="T180" s="7" t="str">
        <f>VLOOKUP(A180,Sheet2!$A$2:$R$3432,17,0)</f>
        <v/>
      </c>
    </row>
    <row r="181" ht="15.75" customHeight="1">
      <c r="A181" s="3" t="s">
        <v>204</v>
      </c>
      <c r="B181" s="4" t="str">
        <f>VLOOKUP(A181,Sheet2!$A$2:$R$3432,2,0)</f>
        <v>2025-05-04 20:16:49</v>
      </c>
      <c r="C181" s="5" t="s">
        <v>25</v>
      </c>
      <c r="D181" s="6" t="s">
        <v>25</v>
      </c>
      <c r="E181" s="7">
        <f>VLOOKUP(A181,Sheet2!$A$2:$R$3432,4,0)</f>
        <v>9890177922</v>
      </c>
      <c r="F181" s="7" t="str">
        <f>VLOOKUP(A181,Sheet2!$A$2:$R$3432,3,0)</f>
        <v>Rahul Dubre</v>
      </c>
      <c r="G181" s="5" t="s">
        <v>25</v>
      </c>
      <c r="H181" s="5" t="s">
        <v>25</v>
      </c>
      <c r="I181" s="5" t="s">
        <v>25</v>
      </c>
      <c r="J181" s="5" t="s">
        <v>25</v>
      </c>
      <c r="K181" s="7" t="str">
        <f>VLOOKUP(A181,Sheet2!$A$2:$R$3432,6,0)</f>
        <v>Honda Activa 3G</v>
      </c>
      <c r="L181" s="5" t="s">
        <v>25</v>
      </c>
      <c r="M181" s="7" t="str">
        <f>VLOOKUP(A181,Sheet2!$A$2:$R$3432,5,0)</f>
        <v>MH14FB6505</v>
      </c>
      <c r="N181" s="5" t="s">
        <v>25</v>
      </c>
      <c r="O181" s="5" t="s">
        <v>25</v>
      </c>
      <c r="P181" s="6" t="s">
        <v>25</v>
      </c>
      <c r="Q181" s="5" t="s">
        <v>25</v>
      </c>
      <c r="R181" s="5" t="s">
        <v>25</v>
      </c>
      <c r="S181" s="5" t="str">
        <f>VLOOKUP(A181,Sheet2!$A$2:$R$3432,18,0)</f>
        <v>JF50ET2652181</v>
      </c>
      <c r="T181" s="7" t="str">
        <f>VLOOKUP(A181,Sheet2!$A$2:$R$3432,17,0)</f>
        <v>ME4JF1651160</v>
      </c>
    </row>
    <row r="182" ht="15.75" customHeight="1">
      <c r="A182" s="3" t="s">
        <v>205</v>
      </c>
      <c r="B182" s="4" t="str">
        <f>VLOOKUP(A182,Sheet2!$A$2:$R$3432,2,0)</f>
        <v>2025-05-04 20:13:26</v>
      </c>
      <c r="C182" s="5" t="s">
        <v>25</v>
      </c>
      <c r="D182" s="6" t="s">
        <v>25</v>
      </c>
      <c r="E182" s="7">
        <f>VLOOKUP(A182,Sheet2!$A$2:$R$3432,4,0)</f>
        <v>7020766499</v>
      </c>
      <c r="F182" s="7" t="str">
        <f>VLOOKUP(A182,Sheet2!$A$2:$R$3432,3,0)</f>
        <v>Sumit</v>
      </c>
      <c r="G182" s="5" t="s">
        <v>25</v>
      </c>
      <c r="H182" s="5" t="s">
        <v>25</v>
      </c>
      <c r="I182" s="5" t="s">
        <v>25</v>
      </c>
      <c r="J182" s="5" t="s">
        <v>25</v>
      </c>
      <c r="K182" s="7" t="str">
        <f>VLOOKUP(A182,Sheet2!$A$2:$R$3432,6,0)</f>
        <v>Honda Shine </v>
      </c>
      <c r="L182" s="5" t="s">
        <v>25</v>
      </c>
      <c r="M182" s="7" t="str">
        <f>VLOOKUP(A182,Sheet2!$A$2:$R$3432,5,0)</f>
        <v>MH12MZ3695</v>
      </c>
      <c r="N182" s="5" t="s">
        <v>25</v>
      </c>
      <c r="O182" s="5" t="s">
        <v>25</v>
      </c>
      <c r="P182" s="6" t="s">
        <v>25</v>
      </c>
      <c r="Q182" s="5" t="s">
        <v>25</v>
      </c>
      <c r="R182" s="5" t="s">
        <v>25</v>
      </c>
      <c r="S182" s="7" t="str">
        <f>VLOOKUP(A182,Sheet2!$A$2:$R$3432,18,0)</f>
        <v/>
      </c>
      <c r="T182" s="7" t="str">
        <f>VLOOKUP(A182,Sheet2!$A$2:$R$3432,17,0)</f>
        <v/>
      </c>
    </row>
    <row r="183" ht="15.75" customHeight="1">
      <c r="A183" s="3" t="s">
        <v>206</v>
      </c>
      <c r="B183" s="4" t="str">
        <f>VLOOKUP(A183,Sheet2!$A$2:$R$3432,2,0)</f>
        <v>2025-05-04 20:19:33</v>
      </c>
      <c r="C183" s="5" t="s">
        <v>25</v>
      </c>
      <c r="D183" s="6" t="s">
        <v>25</v>
      </c>
      <c r="E183" s="7">
        <f>VLOOKUP(A183,Sheet2!$A$2:$R$3432,4,0)</f>
        <v>7057976880</v>
      </c>
      <c r="F183" s="7" t="str">
        <f>VLOOKUP(A183,Sheet2!$A$2:$R$3432,3,0)</f>
        <v>Kishor Mali</v>
      </c>
      <c r="G183" s="5" t="s">
        <v>25</v>
      </c>
      <c r="H183" s="5" t="s">
        <v>25</v>
      </c>
      <c r="I183" s="5" t="s">
        <v>25</v>
      </c>
      <c r="J183" s="5" t="s">
        <v>25</v>
      </c>
      <c r="K183" s="7" t="str">
        <f>VLOOKUP(A183,Sheet2!$A$2:$R$3432,6,0)</f>
        <v>Honda Unicorn </v>
      </c>
      <c r="L183" s="5" t="s">
        <v>25</v>
      </c>
      <c r="M183" s="7" t="str">
        <f>VLOOKUP(A183,Sheet2!$A$2:$R$3432,5,0)</f>
        <v>MH10DF8011</v>
      </c>
      <c r="N183" s="5" t="s">
        <v>25</v>
      </c>
      <c r="O183" s="5" t="s">
        <v>25</v>
      </c>
      <c r="P183" s="6" t="s">
        <v>25</v>
      </c>
      <c r="Q183" s="5" t="s">
        <v>25</v>
      </c>
      <c r="R183" s="5" t="s">
        <v>25</v>
      </c>
      <c r="S183" s="7" t="str">
        <f>VLOOKUP(A183,Sheet2!$A$2:$R$3432,18,0)</f>
        <v/>
      </c>
      <c r="T183" s="7" t="str">
        <f>VLOOKUP(A183,Sheet2!$A$2:$R$3432,17,0)</f>
        <v/>
      </c>
    </row>
    <row r="184" ht="15.75" customHeight="1">
      <c r="A184" s="3" t="s">
        <v>207</v>
      </c>
      <c r="B184" s="4" t="str">
        <f>VLOOKUP(A184,Sheet2!$A$2:$R$3432,2,0)</f>
        <v>2025-05-04 20:18:33</v>
      </c>
      <c r="C184" s="5" t="s">
        <v>25</v>
      </c>
      <c r="D184" s="6" t="s">
        <v>25</v>
      </c>
      <c r="E184" s="7">
        <f>VLOOKUP(A184,Sheet2!$A$2:$R$3432,4,0)</f>
        <v>8830234266</v>
      </c>
      <c r="F184" s="7" t="str">
        <f>VLOOKUP(A184,Sheet2!$A$2:$R$3432,3,0)</f>
        <v>Pritish Patil</v>
      </c>
      <c r="G184" s="5" t="s">
        <v>25</v>
      </c>
      <c r="H184" s="5" t="s">
        <v>25</v>
      </c>
      <c r="I184" s="5" t="s">
        <v>25</v>
      </c>
      <c r="J184" s="5" t="s">
        <v>25</v>
      </c>
      <c r="K184" s="7" t="str">
        <f>VLOOKUP(A184,Sheet2!$A$2:$R$3432,6,0)</f>
        <v>Yamaha FZ </v>
      </c>
      <c r="L184" s="5" t="s">
        <v>25</v>
      </c>
      <c r="M184" s="7" t="str">
        <f>VLOOKUP(A184,Sheet2!$A$2:$R$3432,5,0)</f>
        <v>MH14FA1186</v>
      </c>
      <c r="N184" s="5" t="s">
        <v>25</v>
      </c>
      <c r="O184" s="5" t="s">
        <v>25</v>
      </c>
      <c r="P184" s="6" t="s">
        <v>25</v>
      </c>
      <c r="Q184" s="5" t="s">
        <v>25</v>
      </c>
      <c r="R184" s="5" t="s">
        <v>25</v>
      </c>
      <c r="S184" s="5" t="str">
        <f>VLOOKUP(A184,Sheet2!$A$2:$R$3432,18,0)</f>
        <v>G3C8E0154755</v>
      </c>
      <c r="T184" s="7" t="str">
        <f>VLOOKUP(A184,Sheet2!$A$2:$R$3432,17,0)</f>
        <v>ME1RG0725F009375</v>
      </c>
    </row>
    <row r="185" ht="15.75" customHeight="1">
      <c r="A185" s="3" t="s">
        <v>208</v>
      </c>
      <c r="B185" s="4" t="str">
        <f>VLOOKUP(A185,Sheet2!$A$2:$R$3432,2,0)</f>
        <v>2025-05-04 20:23:40</v>
      </c>
      <c r="C185" s="5" t="s">
        <v>25</v>
      </c>
      <c r="D185" s="6" t="s">
        <v>25</v>
      </c>
      <c r="E185" s="7">
        <f>VLOOKUP(A185,Sheet2!$A$2:$R$3432,4,0)</f>
        <v>7709373017</v>
      </c>
      <c r="F185" s="7" t="str">
        <f>VLOOKUP(A185,Sheet2!$A$2:$R$3432,3,0)</f>
        <v>Mithilesh</v>
      </c>
      <c r="G185" s="5" t="s">
        <v>25</v>
      </c>
      <c r="H185" s="5" t="s">
        <v>25</v>
      </c>
      <c r="I185" s="5" t="s">
        <v>25</v>
      </c>
      <c r="J185" s="5" t="s">
        <v>25</v>
      </c>
      <c r="K185" s="7" t="str">
        <f>VLOOKUP(A185,Sheet2!$A$2:$R$3432,6,0)</f>
        <v>Bajaj Pulsar 150</v>
      </c>
      <c r="L185" s="5" t="s">
        <v>25</v>
      </c>
      <c r="M185" s="7" t="str">
        <f>VLOOKUP(A185,Sheet2!$A$2:$R$3432,5,0)</f>
        <v>MH14FJ8827</v>
      </c>
      <c r="N185" s="5" t="s">
        <v>25</v>
      </c>
      <c r="O185" s="5" t="s">
        <v>25</v>
      </c>
      <c r="P185" s="6" t="s">
        <v>25</v>
      </c>
      <c r="Q185" s="5" t="s">
        <v>25</v>
      </c>
      <c r="R185" s="5" t="s">
        <v>25</v>
      </c>
      <c r="S185" s="5" t="str">
        <f>VLOOKUP(A185,Sheet2!$A$2:$R$3432,18,0)</f>
        <v>DHZCFH69244</v>
      </c>
      <c r="T185" s="7" t="str">
        <f>VLOOKUP(A185,Sheet2!$A$2:$R$3432,17,0)</f>
        <v>MD2A11CZ5FCH96203</v>
      </c>
    </row>
    <row r="186" ht="15.75" customHeight="1">
      <c r="A186" s="3" t="s">
        <v>209</v>
      </c>
      <c r="B186" s="4" t="str">
        <f>VLOOKUP(A186,Sheet2!$A$2:$R$3432,2,0)</f>
        <v>2025-05-04 20:38:07</v>
      </c>
      <c r="C186" s="5" t="s">
        <v>25</v>
      </c>
      <c r="D186" s="6" t="s">
        <v>25</v>
      </c>
      <c r="E186" s="7">
        <f>VLOOKUP(A186,Sheet2!$A$2:$R$3432,4,0)</f>
        <v>7499311957</v>
      </c>
      <c r="F186" s="7" t="str">
        <f>VLOOKUP(A186,Sheet2!$A$2:$R$3432,3,0)</f>
        <v>Gauri</v>
      </c>
      <c r="G186" s="5" t="s">
        <v>25</v>
      </c>
      <c r="H186" s="5" t="s">
        <v>25</v>
      </c>
      <c r="I186" s="5" t="s">
        <v>25</v>
      </c>
      <c r="J186" s="5" t="s">
        <v>25</v>
      </c>
      <c r="K186" s="7" t="str">
        <f>VLOOKUP(A186,Sheet2!$A$2:$R$3432,6,0)</f>
        <v>Hero Duet </v>
      </c>
      <c r="L186" s="5" t="s">
        <v>25</v>
      </c>
      <c r="M186" s="7" t="str">
        <f>VLOOKUP(A186,Sheet2!$A$2:$R$3432,5,0)</f>
        <v>MH27BY9568</v>
      </c>
      <c r="N186" s="5" t="s">
        <v>25</v>
      </c>
      <c r="O186" s="5" t="s">
        <v>25</v>
      </c>
      <c r="P186" s="6" t="s">
        <v>25</v>
      </c>
      <c r="Q186" s="5" t="s">
        <v>25</v>
      </c>
      <c r="R186" s="5" t="s">
        <v>25</v>
      </c>
      <c r="S186" s="5" t="str">
        <f>VLOOKUP(A186,Sheet2!$A$2:$R$3432,18,0)</f>
        <v>JF53ACYGE13989</v>
      </c>
      <c r="T186" s="7" t="str">
        <f>VLOOKUP(A186,Sheet2!$A$2:$R$3432,17,0)</f>
        <v>MBLJFN020HGE15083</v>
      </c>
    </row>
    <row r="187" ht="15.75" customHeight="1">
      <c r="A187" s="3" t="s">
        <v>210</v>
      </c>
      <c r="B187" s="4" t="str">
        <f>VLOOKUP(A187,Sheet2!$A$2:$R$3432,2,0)</f>
        <v>2025-05-04 20:41:41</v>
      </c>
      <c r="C187" s="5" t="s">
        <v>25</v>
      </c>
      <c r="D187" s="6" t="s">
        <v>25</v>
      </c>
      <c r="E187" s="7">
        <f>VLOOKUP(A187,Sheet2!$A$2:$R$3432,4,0)</f>
        <v>9822106552</v>
      </c>
      <c r="F187" s="7" t="str">
        <f>VLOOKUP(A187,Sheet2!$A$2:$R$3432,3,0)</f>
        <v>YOGESH AUSEKAR</v>
      </c>
      <c r="G187" s="5" t="s">
        <v>25</v>
      </c>
      <c r="H187" s="5" t="s">
        <v>25</v>
      </c>
      <c r="I187" s="5" t="s">
        <v>25</v>
      </c>
      <c r="J187" s="5" t="s">
        <v>25</v>
      </c>
      <c r="K187" s="7" t="str">
        <f>VLOOKUP(A187,Sheet2!$A$2:$R$3432,6,0)</f>
        <v>Honda Dio </v>
      </c>
      <c r="L187" s="5" t="s">
        <v>25</v>
      </c>
      <c r="M187" s="7" t="str">
        <f>VLOOKUP(A187,Sheet2!$A$2:$R$3432,5,0)</f>
        <v>MH20CQ964</v>
      </c>
      <c r="N187" s="5" t="s">
        <v>25</v>
      </c>
      <c r="O187" s="5" t="s">
        <v>25</v>
      </c>
      <c r="P187" s="6" t="s">
        <v>25</v>
      </c>
      <c r="Q187" s="5" t="s">
        <v>25</v>
      </c>
      <c r="R187" s="5" t="s">
        <v>25</v>
      </c>
      <c r="S187" s="5" t="str">
        <f>VLOOKUP(A187,Sheet2!$A$2:$R$3432,18,0)</f>
        <v>JF39E80030718</v>
      </c>
      <c r="T187" s="7" t="str">
        <f>VLOOKUP(A187,Sheet2!$A$2:$R$3432,17,0)</f>
        <v/>
      </c>
    </row>
    <row r="188" ht="15.75" customHeight="1">
      <c r="A188" s="3" t="s">
        <v>211</v>
      </c>
      <c r="B188" s="4" t="str">
        <f>VLOOKUP(A188,Sheet2!$A$2:$R$3432,2,0)</f>
        <v>2025-05-04 20:42:21</v>
      </c>
      <c r="C188" s="5" t="s">
        <v>25</v>
      </c>
      <c r="D188" s="6" t="s">
        <v>25</v>
      </c>
      <c r="E188" s="7">
        <f>VLOOKUP(A188,Sheet2!$A$2:$R$3432,4,0)</f>
        <v>9325856508</v>
      </c>
      <c r="F188" s="7" t="str">
        <f>VLOOKUP(A188,Sheet2!$A$2:$R$3432,3,0)</f>
        <v>Vishal Kalaskar</v>
      </c>
      <c r="G188" s="5" t="s">
        <v>25</v>
      </c>
      <c r="H188" s="5" t="s">
        <v>25</v>
      </c>
      <c r="I188" s="5" t="s">
        <v>25</v>
      </c>
      <c r="J188" s="5" t="s">
        <v>25</v>
      </c>
      <c r="K188" s="7" t="str">
        <f>VLOOKUP(A188,Sheet2!$A$2:$R$3432,6,0)</f>
        <v>Hero Pleasure </v>
      </c>
      <c r="L188" s="5" t="s">
        <v>25</v>
      </c>
      <c r="M188" s="7" t="str">
        <f>VLOOKUP(A188,Sheet2!$A$2:$R$3432,5,0)</f>
        <v>MH31DT8734</v>
      </c>
      <c r="N188" s="5" t="s">
        <v>25</v>
      </c>
      <c r="O188" s="5" t="s">
        <v>25</v>
      </c>
      <c r="P188" s="6" t="s">
        <v>25</v>
      </c>
      <c r="Q188" s="5" t="s">
        <v>25</v>
      </c>
      <c r="R188" s="5" t="s">
        <v>25</v>
      </c>
      <c r="S188" s="7" t="str">
        <f>VLOOKUP(A188,Sheet2!$A$2:$R$3432,18,0)</f>
        <v/>
      </c>
      <c r="T188" s="7" t="str">
        <f>VLOOKUP(A188,Sheet2!$A$2:$R$3432,17,0)</f>
        <v/>
      </c>
    </row>
    <row r="189" ht="15.75" customHeight="1">
      <c r="A189" s="3" t="s">
        <v>212</v>
      </c>
      <c r="B189" s="4" t="str">
        <f>VLOOKUP(A189,Sheet2!$A$2:$R$3432,2,0)</f>
        <v>2025-06-11 18:35:43</v>
      </c>
      <c r="C189" s="5" t="s">
        <v>25</v>
      </c>
      <c r="D189" s="6" t="s">
        <v>25</v>
      </c>
      <c r="E189" s="7">
        <f>VLOOKUP(A189,Sheet2!$A$2:$R$3432,4,0)</f>
        <v>9422355368</v>
      </c>
      <c r="F189" s="7" t="str">
        <f>VLOOKUP(A189,Sheet2!$A$2:$R$3432,3,0)</f>
        <v>Sanjay</v>
      </c>
      <c r="G189" s="5" t="s">
        <v>25</v>
      </c>
      <c r="H189" s="5" t="s">
        <v>25</v>
      </c>
      <c r="I189" s="5" t="s">
        <v>25</v>
      </c>
      <c r="J189" s="5" t="s">
        <v>25</v>
      </c>
      <c r="K189" s="7" t="str">
        <f>VLOOKUP(A189,Sheet2!$A$2:$R$3432,6,0)</f>
        <v>Hero Pleasure </v>
      </c>
      <c r="L189" s="5" t="s">
        <v>25</v>
      </c>
      <c r="M189" s="7" t="str">
        <f>VLOOKUP(A189,Sheet2!$A$2:$R$3432,5,0)</f>
        <v>MH14CN9017</v>
      </c>
      <c r="N189" s="5" t="s">
        <v>25</v>
      </c>
      <c r="O189" s="5" t="s">
        <v>25</v>
      </c>
      <c r="P189" s="6" t="s">
        <v>25</v>
      </c>
      <c r="Q189" s="5" t="s">
        <v>25</v>
      </c>
      <c r="R189" s="5" t="s">
        <v>25</v>
      </c>
      <c r="S189" s="7" t="str">
        <f>VLOOKUP(A189,Sheet2!$A$2:$R$3432,18,0)</f>
        <v/>
      </c>
      <c r="T189" s="7" t="str">
        <f>VLOOKUP(A189,Sheet2!$A$2:$R$3432,17,0)</f>
        <v/>
      </c>
    </row>
    <row r="190" ht="15.75" customHeight="1">
      <c r="A190" s="3" t="s">
        <v>213</v>
      </c>
      <c r="B190" s="4" t="str">
        <f>VLOOKUP(A190,Sheet2!$A$2:$R$3432,2,0)</f>
        <v>2025-02-14 17:32:46</v>
      </c>
      <c r="C190" s="5" t="s">
        <v>25</v>
      </c>
      <c r="D190" s="6" t="s">
        <v>25</v>
      </c>
      <c r="E190" s="7">
        <f>VLOOKUP(A190,Sheet2!$A$2:$R$3432,4,0)</f>
        <v>9890022157</v>
      </c>
      <c r="F190" s="7" t="str">
        <f>VLOOKUP(A190,Sheet2!$A$2:$R$3432,3,0)</f>
        <v>Arvind Pandey </v>
      </c>
      <c r="G190" s="5" t="s">
        <v>25</v>
      </c>
      <c r="H190" s="5" t="s">
        <v>25</v>
      </c>
      <c r="I190" s="5" t="s">
        <v>25</v>
      </c>
      <c r="J190" s="5" t="s">
        <v>25</v>
      </c>
      <c r="K190" s="7" t="str">
        <f>VLOOKUP(A190,Sheet2!$A$2:$R$3432,6,0)</f>
        <v>Hero Deluxe HF</v>
      </c>
      <c r="L190" s="5" t="s">
        <v>25</v>
      </c>
      <c r="M190" s="7" t="str">
        <f>VLOOKUP(A190,Sheet2!$A$2:$R$3432,5,0)</f>
        <v>MH14HA2136</v>
      </c>
      <c r="N190" s="5" t="s">
        <v>25</v>
      </c>
      <c r="O190" s="5" t="s">
        <v>25</v>
      </c>
      <c r="P190" s="6" t="s">
        <v>25</v>
      </c>
      <c r="Q190" s="5" t="s">
        <v>25</v>
      </c>
      <c r="R190" s="5" t="s">
        <v>25</v>
      </c>
      <c r="S190" s="7" t="str">
        <f>VLOOKUP(A190,Sheet2!$A$2:$R$3432,18,0)</f>
        <v/>
      </c>
      <c r="T190" s="7" t="str">
        <f>VLOOKUP(A190,Sheet2!$A$2:$R$3432,17,0)</f>
        <v/>
      </c>
    </row>
    <row r="191" ht="15.75" customHeight="1">
      <c r="A191" s="3" t="s">
        <v>214</v>
      </c>
      <c r="B191" s="4" t="str">
        <f>VLOOKUP(A191,Sheet2!$A$2:$R$3432,2,0)</f>
        <v>2025-02-14 18:44:14</v>
      </c>
      <c r="C191" s="5" t="s">
        <v>25</v>
      </c>
      <c r="D191" s="6" t="s">
        <v>25</v>
      </c>
      <c r="E191" s="7">
        <f>VLOOKUP(A191,Sheet2!$A$2:$R$3432,4,0)</f>
        <v>9156807579</v>
      </c>
      <c r="F191" s="7" t="str">
        <f>VLOOKUP(A191,Sheet2!$A$2:$R$3432,3,0)</f>
        <v>SAVITA KAMBLE</v>
      </c>
      <c r="G191" s="5" t="s">
        <v>25</v>
      </c>
      <c r="H191" s="5" t="s">
        <v>25</v>
      </c>
      <c r="I191" s="5" t="s">
        <v>25</v>
      </c>
      <c r="J191" s="5" t="s">
        <v>25</v>
      </c>
      <c r="K191" s="7" t="str">
        <f>VLOOKUP(A191,Sheet2!$A$2:$R$3432,6,0)</f>
        <v>Honda Activa 6G</v>
      </c>
      <c r="L191" s="5" t="s">
        <v>25</v>
      </c>
      <c r="M191" s="7" t="str">
        <f>VLOOKUP(A191,Sheet2!$A$2:$R$3432,5,0)</f>
        <v>MH14KY2016</v>
      </c>
      <c r="N191" s="5" t="s">
        <v>25</v>
      </c>
      <c r="O191" s="5" t="s">
        <v>25</v>
      </c>
      <c r="P191" s="6" t="s">
        <v>25</v>
      </c>
      <c r="Q191" s="5" t="s">
        <v>25</v>
      </c>
      <c r="R191" s="5" t="s">
        <v>25</v>
      </c>
      <c r="S191" s="5" t="str">
        <f>VLOOKUP(A191,Sheet2!$A$2:$R$3432,18,0)</f>
        <v>JY15G6059491</v>
      </c>
      <c r="T191" s="7" t="str">
        <f>VLOOKUP(A191,Sheet2!$A$2:$R$3432,17,0)</f>
        <v>ME4JK1J7DPG059168</v>
      </c>
    </row>
    <row r="192" ht="15.75" customHeight="1">
      <c r="A192" s="3" t="s">
        <v>215</v>
      </c>
      <c r="B192" s="4" t="str">
        <f>VLOOKUP(A192,Sheet2!$A$2:$R$3432,2,0)</f>
        <v>2025-02-14 18:46:42</v>
      </c>
      <c r="C192" s="5" t="s">
        <v>25</v>
      </c>
      <c r="D192" s="6" t="s">
        <v>25</v>
      </c>
      <c r="E192" s="7">
        <f>VLOOKUP(A192,Sheet2!$A$2:$R$3432,4,0)</f>
        <v>7249590186</v>
      </c>
      <c r="F192" s="7" t="str">
        <f>VLOOKUP(A192,Sheet2!$A$2:$R$3432,3,0)</f>
        <v>MANJULA SINGH</v>
      </c>
      <c r="G192" s="5" t="s">
        <v>25</v>
      </c>
      <c r="H192" s="5" t="s">
        <v>25</v>
      </c>
      <c r="I192" s="5" t="s">
        <v>25</v>
      </c>
      <c r="J192" s="5" t="s">
        <v>25</v>
      </c>
      <c r="K192" s="7" t="str">
        <f>VLOOKUP(A192,Sheet2!$A$2:$R$3432,6,0)</f>
        <v>Honda Activa 5G</v>
      </c>
      <c r="L192" s="5" t="s">
        <v>25</v>
      </c>
      <c r="M192" s="7" t="str">
        <f>VLOOKUP(A192,Sheet2!$A$2:$R$3432,5,0)</f>
        <v>MH14HL1691</v>
      </c>
      <c r="N192" s="5" t="s">
        <v>25</v>
      </c>
      <c r="O192" s="5" t="s">
        <v>25</v>
      </c>
      <c r="P192" s="6" t="s">
        <v>25</v>
      </c>
      <c r="Q192" s="5" t="s">
        <v>25</v>
      </c>
      <c r="R192" s="5" t="s">
        <v>25</v>
      </c>
      <c r="S192" s="5" t="str">
        <f>VLOOKUP(A192,Sheet2!$A$2:$R$3432,18,0)</f>
        <v>JF50ET77771283</v>
      </c>
      <c r="T192" s="7" t="str">
        <f>VLOOKUP(A192,Sheet2!$A$2:$R$3432,17,0)</f>
        <v>ME4JF50AAKT771241</v>
      </c>
    </row>
    <row r="193" ht="15.75" customHeight="1">
      <c r="A193" s="3" t="s">
        <v>216</v>
      </c>
      <c r="B193" s="4" t="str">
        <f>VLOOKUP(A193,Sheet2!$A$2:$R$3432,2,0)</f>
        <v>2025-02-14 18:48:02</v>
      </c>
      <c r="C193" s="5" t="s">
        <v>25</v>
      </c>
      <c r="D193" s="6" t="s">
        <v>25</v>
      </c>
      <c r="E193" s="7">
        <f>VLOOKUP(A193,Sheet2!$A$2:$R$3432,4,0)</f>
        <v>7028394654</v>
      </c>
      <c r="F193" s="7" t="str">
        <f>VLOOKUP(A193,Sheet2!$A$2:$R$3432,3,0)</f>
        <v>ANIKET SAWANT</v>
      </c>
      <c r="G193" s="5" t="s">
        <v>25</v>
      </c>
      <c r="H193" s="5" t="s">
        <v>25</v>
      </c>
      <c r="I193" s="5" t="s">
        <v>25</v>
      </c>
      <c r="J193" s="5" t="s">
        <v>25</v>
      </c>
      <c r="K193" s="7" t="str">
        <f>VLOOKUP(A193,Sheet2!$A$2:$R$3432,6,0)</f>
        <v>Yamaha FZ S</v>
      </c>
      <c r="L193" s="5" t="s">
        <v>25</v>
      </c>
      <c r="M193" s="7" t="str">
        <f>VLOOKUP(A193,Sheet2!$A$2:$R$3432,5,0)</f>
        <v>MH11DK7832</v>
      </c>
      <c r="N193" s="5" t="s">
        <v>25</v>
      </c>
      <c r="O193" s="5" t="s">
        <v>25</v>
      </c>
      <c r="P193" s="6" t="s">
        <v>25</v>
      </c>
      <c r="Q193" s="5" t="s">
        <v>25</v>
      </c>
      <c r="R193" s="5" t="s">
        <v>25</v>
      </c>
      <c r="S193" s="5" t="str">
        <f>VLOOKUP(A193,Sheet2!$A$2:$R$3432,18,0)</f>
        <v>G3N3026744B</v>
      </c>
      <c r="T193" s="7" t="str">
        <f>VLOOKUP(A193,Sheet2!$A$2:$R$3432,17,0)</f>
        <v>ME1RG66K2PD0003041</v>
      </c>
    </row>
    <row r="194" ht="15.75" customHeight="1">
      <c r="A194" s="3" t="s">
        <v>217</v>
      </c>
      <c r="B194" s="4" t="str">
        <f>VLOOKUP(A194,Sheet2!$A$2:$R$3432,2,0)</f>
        <v>2025-02-14 18:55:12</v>
      </c>
      <c r="C194" s="5" t="s">
        <v>25</v>
      </c>
      <c r="D194" s="6" t="s">
        <v>25</v>
      </c>
      <c r="E194" s="7">
        <f>VLOOKUP(A194,Sheet2!$A$2:$R$3432,4,0)</f>
        <v>7200197926</v>
      </c>
      <c r="F194" s="7" t="str">
        <f>VLOOKUP(A194,Sheet2!$A$2:$R$3432,3,0)</f>
        <v>DEBASIS MISHRA </v>
      </c>
      <c r="G194" s="5" t="s">
        <v>25</v>
      </c>
      <c r="H194" s="5" t="s">
        <v>25</v>
      </c>
      <c r="I194" s="5" t="s">
        <v>25</v>
      </c>
      <c r="J194" s="5" t="s">
        <v>25</v>
      </c>
      <c r="K194" s="7" t="str">
        <f>VLOOKUP(A194,Sheet2!$A$2:$R$3432,6,0)</f>
        <v>Yezdi Scrambler Dual Tone</v>
      </c>
      <c r="L194" s="5" t="s">
        <v>25</v>
      </c>
      <c r="M194" s="7" t="str">
        <f>VLOOKUP(A194,Sheet2!$A$2:$R$3432,5,0)</f>
        <v>23BH7869B</v>
      </c>
      <c r="N194" s="5" t="s">
        <v>25</v>
      </c>
      <c r="O194" s="5" t="s">
        <v>25</v>
      </c>
      <c r="P194" s="6" t="s">
        <v>25</v>
      </c>
      <c r="Q194" s="5" t="s">
        <v>25</v>
      </c>
      <c r="R194" s="5" t="s">
        <v>25</v>
      </c>
      <c r="S194" s="7" t="str">
        <f>VLOOKUP(A194,Sheet2!$A$2:$R$3432,18,0)</f>
        <v/>
      </c>
      <c r="T194" s="7" t="str">
        <f>VLOOKUP(A194,Sheet2!$A$2:$R$3432,17,0)</f>
        <v/>
      </c>
    </row>
    <row r="195" ht="15.75" customHeight="1">
      <c r="A195" s="3" t="s">
        <v>218</v>
      </c>
      <c r="B195" s="4" t="str">
        <f>VLOOKUP(A195,Sheet2!$A$2:$R$3432,2,0)</f>
        <v>2025-02-14 19:55:18</v>
      </c>
      <c r="C195" s="5" t="s">
        <v>25</v>
      </c>
      <c r="D195" s="6" t="s">
        <v>25</v>
      </c>
      <c r="E195" s="7">
        <f>VLOOKUP(A195,Sheet2!$A$2:$R$3432,4,0)</f>
        <v>9860291168</v>
      </c>
      <c r="F195" s="7" t="str">
        <f>VLOOKUP(A195,Sheet2!$A$2:$R$3432,3,0)</f>
        <v>SUNIL KAPURE</v>
      </c>
      <c r="G195" s="5" t="s">
        <v>25</v>
      </c>
      <c r="H195" s="5" t="s">
        <v>25</v>
      </c>
      <c r="I195" s="5" t="s">
        <v>25</v>
      </c>
      <c r="J195" s="5" t="s">
        <v>25</v>
      </c>
      <c r="K195" s="7" t="str">
        <f>VLOOKUP(A195,Sheet2!$A$2:$R$3432,6,0)</f>
        <v>TVS Jupiter </v>
      </c>
      <c r="L195" s="5" t="s">
        <v>25</v>
      </c>
      <c r="M195" s="7" t="str">
        <f>VLOOKUP(A195,Sheet2!$A$2:$R$3432,5,0)</f>
        <v>MH14HP0674</v>
      </c>
      <c r="N195" s="5" t="s">
        <v>25</v>
      </c>
      <c r="O195" s="5" t="s">
        <v>25</v>
      </c>
      <c r="P195" s="6" t="s">
        <v>25</v>
      </c>
      <c r="Q195" s="5" t="s">
        <v>25</v>
      </c>
      <c r="R195" s="5" t="s">
        <v>25</v>
      </c>
      <c r="S195" s="7" t="str">
        <f>VLOOKUP(A195,Sheet2!$A$2:$R$3432,18,0)</f>
        <v/>
      </c>
      <c r="T195" s="7" t="str">
        <f>VLOOKUP(A195,Sheet2!$A$2:$R$3432,17,0)</f>
        <v/>
      </c>
    </row>
    <row r="196" ht="15.75" customHeight="1">
      <c r="A196" s="3" t="s">
        <v>219</v>
      </c>
      <c r="B196" s="4" t="str">
        <f>VLOOKUP(A196,Sheet2!$A$2:$R$3432,2,0)</f>
        <v>2025-02-14 19:55:41</v>
      </c>
      <c r="C196" s="5" t="s">
        <v>25</v>
      </c>
      <c r="D196" s="6" t="s">
        <v>25</v>
      </c>
      <c r="E196" s="7">
        <f>VLOOKUP(A196,Sheet2!$A$2:$R$3432,4,0)</f>
        <v>9764904600</v>
      </c>
      <c r="F196" s="7" t="str">
        <f>VLOOKUP(A196,Sheet2!$A$2:$R$3432,3,0)</f>
        <v>Sudhakar</v>
      </c>
      <c r="G196" s="5" t="s">
        <v>25</v>
      </c>
      <c r="H196" s="5" t="s">
        <v>25</v>
      </c>
      <c r="I196" s="5" t="s">
        <v>25</v>
      </c>
      <c r="J196" s="5" t="s">
        <v>25</v>
      </c>
      <c r="K196" s="7" t="str">
        <f>VLOOKUP(A196,Sheet2!$A$2:$R$3432,6,0)</f>
        <v>Honda Activa </v>
      </c>
      <c r="L196" s="5" t="s">
        <v>25</v>
      </c>
      <c r="M196" s="7" t="str">
        <f>VLOOKUP(A196,Sheet2!$A$2:$R$3432,5,0)</f>
        <v>MH14EG4420</v>
      </c>
      <c r="N196" s="5" t="s">
        <v>25</v>
      </c>
      <c r="O196" s="5" t="s">
        <v>25</v>
      </c>
      <c r="P196" s="6" t="s">
        <v>25</v>
      </c>
      <c r="Q196" s="5" t="s">
        <v>25</v>
      </c>
      <c r="R196" s="5" t="s">
        <v>25</v>
      </c>
      <c r="S196" s="5" t="str">
        <f>VLOOKUP(A196,Sheet2!$A$2:$R$3432,18,0)</f>
        <v>JF50E70618385</v>
      </c>
      <c r="T196" s="7" t="str">
        <f>VLOOKUP(A196,Sheet2!$A$2:$R$3432,17,0)</f>
        <v>ME4JF501CE7018436</v>
      </c>
    </row>
    <row r="197" ht="15.75" customHeight="1">
      <c r="A197" s="3" t="s">
        <v>220</v>
      </c>
      <c r="B197" s="4" t="str">
        <f>VLOOKUP(A197,Sheet2!$A$2:$R$3432,2,0)</f>
        <v>2025-02-14 19:57:03</v>
      </c>
      <c r="C197" s="5" t="s">
        <v>25</v>
      </c>
      <c r="D197" s="6" t="s">
        <v>25</v>
      </c>
      <c r="E197" s="7">
        <f>VLOOKUP(A197,Sheet2!$A$2:$R$3432,4,0)</f>
        <v>9545121357</v>
      </c>
      <c r="F197" s="7" t="str">
        <f>VLOOKUP(A197,Sheet2!$A$2:$R$3432,3,0)</f>
        <v>AKSHAY RANE</v>
      </c>
      <c r="G197" s="5" t="s">
        <v>25</v>
      </c>
      <c r="H197" s="5" t="s">
        <v>25</v>
      </c>
      <c r="I197" s="5" t="s">
        <v>25</v>
      </c>
      <c r="J197" s="5" t="s">
        <v>25</v>
      </c>
      <c r="K197" s="7" t="str">
        <f>VLOOKUP(A197,Sheet2!$A$2:$R$3432,6,0)</f>
        <v>Royal Enfield Classic 350</v>
      </c>
      <c r="L197" s="5" t="s">
        <v>25</v>
      </c>
      <c r="M197" s="7" t="str">
        <f>VLOOKUP(A197,Sheet2!$A$2:$R$3432,5,0)</f>
        <v>MH34AK4016</v>
      </c>
      <c r="N197" s="5" t="s">
        <v>25</v>
      </c>
      <c r="O197" s="5" t="s">
        <v>25</v>
      </c>
      <c r="P197" s="6" t="s">
        <v>25</v>
      </c>
      <c r="Q197" s="5" t="s">
        <v>25</v>
      </c>
      <c r="R197" s="5" t="s">
        <v>25</v>
      </c>
      <c r="S197" s="7" t="str">
        <f>VLOOKUP(A197,Sheet2!$A$2:$R$3432,18,0)</f>
        <v/>
      </c>
      <c r="T197" s="7" t="str">
        <f>VLOOKUP(A197,Sheet2!$A$2:$R$3432,17,0)</f>
        <v/>
      </c>
    </row>
    <row r="198" ht="15.75" customHeight="1">
      <c r="A198" s="3" t="s">
        <v>221</v>
      </c>
      <c r="B198" s="4" t="str">
        <f>VLOOKUP(A198,Sheet2!$A$2:$R$3432,2,0)</f>
        <v>2025-02-14 20:20:02</v>
      </c>
      <c r="C198" s="5" t="s">
        <v>25</v>
      </c>
      <c r="D198" s="6" t="s">
        <v>25</v>
      </c>
      <c r="E198" s="7">
        <f>VLOOKUP(A198,Sheet2!$A$2:$R$3432,4,0)</f>
        <v>8551878585</v>
      </c>
      <c r="F198" s="7" t="str">
        <f>VLOOKUP(A198,Sheet2!$A$2:$R$3432,3,0)</f>
        <v>SANDIP PATIL</v>
      </c>
      <c r="G198" s="5" t="s">
        <v>25</v>
      </c>
      <c r="H198" s="5" t="s">
        <v>25</v>
      </c>
      <c r="I198" s="5" t="s">
        <v>25</v>
      </c>
      <c r="J198" s="5" t="s">
        <v>25</v>
      </c>
      <c r="K198" s="7" t="str">
        <f>VLOOKUP(A198,Sheet2!$A$2:$R$3432,6,0)</f>
        <v>Honda Shine </v>
      </c>
      <c r="L198" s="5" t="s">
        <v>25</v>
      </c>
      <c r="M198" s="7" t="str">
        <f>VLOOKUP(A198,Sheet2!$A$2:$R$3432,5,0)</f>
        <v>MH14DU1698</v>
      </c>
      <c r="N198" s="5" t="s">
        <v>25</v>
      </c>
      <c r="O198" s="5" t="s">
        <v>25</v>
      </c>
      <c r="P198" s="6" t="s">
        <v>25</v>
      </c>
      <c r="Q198" s="5" t="s">
        <v>25</v>
      </c>
      <c r="R198" s="5" t="s">
        <v>25</v>
      </c>
      <c r="S198" s="7" t="str">
        <f>VLOOKUP(A198,Sheet2!$A$2:$R$3432,18,0)</f>
        <v/>
      </c>
      <c r="T198" s="7" t="str">
        <f>VLOOKUP(A198,Sheet2!$A$2:$R$3432,17,0)</f>
        <v/>
      </c>
    </row>
    <row r="199" ht="15.75" customHeight="1">
      <c r="A199" s="3" t="s">
        <v>222</v>
      </c>
      <c r="B199" s="4" t="str">
        <f>VLOOKUP(A199,Sheet2!$A$2:$R$3432,2,0)</f>
        <v>2025-02-14 17:33:05</v>
      </c>
      <c r="C199" s="5" t="s">
        <v>25</v>
      </c>
      <c r="D199" s="6" t="s">
        <v>25</v>
      </c>
      <c r="E199" s="7">
        <f>VLOOKUP(A199,Sheet2!$A$2:$R$3432,4,0)</f>
        <v>9890022157</v>
      </c>
      <c r="F199" s="7" t="str">
        <f>VLOOKUP(A199,Sheet2!$A$2:$R$3432,3,0)</f>
        <v>ARVIND PANDEY </v>
      </c>
      <c r="G199" s="5" t="s">
        <v>25</v>
      </c>
      <c r="H199" s="5" t="s">
        <v>25</v>
      </c>
      <c r="I199" s="5" t="s">
        <v>25</v>
      </c>
      <c r="J199" s="5" t="s">
        <v>25</v>
      </c>
      <c r="K199" s="7" t="str">
        <f>VLOOKUP(A199,Sheet2!$A$2:$R$3432,6,0)</f>
        <v>Hero Splendor Super New</v>
      </c>
      <c r="L199" s="5" t="s">
        <v>25</v>
      </c>
      <c r="M199" s="7" t="str">
        <f>VLOOKUP(A199,Sheet2!$A$2:$R$3432,5,0)</f>
        <v>MH14JV3260</v>
      </c>
      <c r="N199" s="5" t="s">
        <v>25</v>
      </c>
      <c r="O199" s="5" t="s">
        <v>25</v>
      </c>
      <c r="P199" s="6" t="s">
        <v>25</v>
      </c>
      <c r="Q199" s="5" t="s">
        <v>25</v>
      </c>
      <c r="R199" s="5" t="s">
        <v>25</v>
      </c>
      <c r="S199" s="5" t="str">
        <f>VLOOKUP(A199,Sheet2!$A$2:$R$3432,18,0)</f>
        <v>JA07ABM9B05359</v>
      </c>
      <c r="T199" s="7" t="str">
        <f>VLOOKUP(A199,Sheet2!$A$2:$R$3432,17,0)</f>
        <v>MBLJAW171MB00869</v>
      </c>
    </row>
    <row r="200" ht="15.75" customHeight="1">
      <c r="A200" s="3" t="s">
        <v>223</v>
      </c>
      <c r="B200" s="4" t="str">
        <f>VLOOKUP(A200,Sheet2!$A$2:$R$3432,2,0)</f>
        <v>2024-12-04 18:17:34</v>
      </c>
      <c r="C200" s="5" t="s">
        <v>25</v>
      </c>
      <c r="D200" s="6" t="s">
        <v>25</v>
      </c>
      <c r="E200" s="7">
        <f>VLOOKUP(A200,Sheet2!$A$2:$R$3432,4,0)</f>
        <v>9011070946</v>
      </c>
      <c r="F200" s="7" t="str">
        <f>VLOOKUP(A200,Sheet2!$A$2:$R$3432,3,0)</f>
        <v>Kavita Ingale</v>
      </c>
      <c r="G200" s="5" t="s">
        <v>25</v>
      </c>
      <c r="H200" s="5" t="s">
        <v>25</v>
      </c>
      <c r="I200" s="5" t="s">
        <v>25</v>
      </c>
      <c r="J200" s="5" t="s">
        <v>25</v>
      </c>
      <c r="K200" s="7" t="str">
        <f>VLOOKUP(A200,Sheet2!$A$2:$R$3432,6,0)</f>
        <v>Honda Activa 5G</v>
      </c>
      <c r="L200" s="5" t="s">
        <v>25</v>
      </c>
      <c r="M200" s="7" t="str">
        <f>VLOOKUP(A200,Sheet2!$A$2:$R$3432,5,0)</f>
        <v>MH14HT3867</v>
      </c>
      <c r="N200" s="5" t="s">
        <v>25</v>
      </c>
      <c r="O200" s="5" t="s">
        <v>25</v>
      </c>
      <c r="P200" s="6" t="s">
        <v>25</v>
      </c>
      <c r="Q200" s="5" t="s">
        <v>25</v>
      </c>
      <c r="R200" s="5" t="s">
        <v>25</v>
      </c>
      <c r="S200" s="5" t="str">
        <f>VLOOKUP(A200,Sheet2!$A$2:$R$3432,18,0)</f>
        <v>JF50EW0127740</v>
      </c>
      <c r="T200" s="7" t="str">
        <f>VLOOKUP(A200,Sheet2!$A$2:$R$3432,17,0)</f>
        <v>ME4JF50AGKW128317</v>
      </c>
    </row>
    <row r="201" ht="15.75" customHeight="1">
      <c r="A201" s="3" t="s">
        <v>224</v>
      </c>
      <c r="B201" s="4" t="str">
        <f>VLOOKUP(A201,Sheet2!$A$2:$R$3432,2,0)</f>
        <v>2024-12-04 17:29:31</v>
      </c>
      <c r="C201" s="5" t="s">
        <v>25</v>
      </c>
      <c r="D201" s="6" t="s">
        <v>25</v>
      </c>
      <c r="E201" s="7">
        <f>VLOOKUP(A201,Sheet2!$A$2:$R$3432,4,0)</f>
        <v>7226835854</v>
      </c>
      <c r="F201" s="7" t="str">
        <f>VLOOKUP(A201,Sheet2!$A$2:$R$3432,3,0)</f>
        <v>Jaideep </v>
      </c>
      <c r="G201" s="5" t="s">
        <v>25</v>
      </c>
      <c r="H201" s="5" t="s">
        <v>25</v>
      </c>
      <c r="I201" s="5" t="s">
        <v>25</v>
      </c>
      <c r="J201" s="5" t="s">
        <v>25</v>
      </c>
      <c r="K201" s="7" t="str">
        <f>VLOOKUP(A201,Sheet2!$A$2:$R$3432,6,0)</f>
        <v>Bajaj Pulsar N160</v>
      </c>
      <c r="L201" s="5" t="s">
        <v>25</v>
      </c>
      <c r="M201" s="7" t="str">
        <f>VLOOKUP(A201,Sheet2!$A$2:$R$3432,5,0)</f>
        <v>GJ05PW7472</v>
      </c>
      <c r="N201" s="5" t="s">
        <v>25</v>
      </c>
      <c r="O201" s="5" t="s">
        <v>25</v>
      </c>
      <c r="P201" s="6" t="s">
        <v>25</v>
      </c>
      <c r="Q201" s="5" t="s">
        <v>25</v>
      </c>
      <c r="R201" s="5" t="s">
        <v>25</v>
      </c>
      <c r="S201" s="5" t="str">
        <f>VLOOKUP(A201,Sheet2!$A$2:$R$3432,18,0)</f>
        <v>PDXCRK72460</v>
      </c>
      <c r="T201" s="7" t="str">
        <f>VLOOKUP(A201,Sheet2!$A$2:$R$3432,17,0)</f>
        <v>MD2854DX4KCK07988</v>
      </c>
    </row>
    <row r="202" ht="15.75" customHeight="1">
      <c r="A202" s="3" t="s">
        <v>225</v>
      </c>
      <c r="B202" s="4" t="str">
        <f>VLOOKUP(A202,Sheet2!$A$2:$R$3432,2,0)</f>
        <v>2024-12-04 18:37:22</v>
      </c>
      <c r="C202" s="5" t="s">
        <v>25</v>
      </c>
      <c r="D202" s="6" t="s">
        <v>25</v>
      </c>
      <c r="E202" s="7">
        <f>VLOOKUP(A202,Sheet2!$A$2:$R$3432,4,0)</f>
        <v>9689373878</v>
      </c>
      <c r="F202" s="7" t="str">
        <f>VLOOKUP(A202,Sheet2!$A$2:$R$3432,3,0)</f>
        <v>Pratima More </v>
      </c>
      <c r="G202" s="5" t="s">
        <v>25</v>
      </c>
      <c r="H202" s="5" t="s">
        <v>25</v>
      </c>
      <c r="I202" s="5" t="s">
        <v>25</v>
      </c>
      <c r="J202" s="5" t="s">
        <v>25</v>
      </c>
      <c r="K202" s="7" t="str">
        <f>VLOOKUP(A202,Sheet2!$A$2:$R$3432,6,0)</f>
        <v>TVS Jupiter </v>
      </c>
      <c r="L202" s="5" t="s">
        <v>25</v>
      </c>
      <c r="M202" s="7" t="str">
        <f>VLOOKUP(A202,Sheet2!$A$2:$R$3432,5,0)</f>
        <v>MH14EX5965</v>
      </c>
      <c r="N202" s="5" t="s">
        <v>25</v>
      </c>
      <c r="O202" s="5" t="s">
        <v>25</v>
      </c>
      <c r="P202" s="6" t="s">
        <v>25</v>
      </c>
      <c r="Q202" s="5" t="s">
        <v>25</v>
      </c>
      <c r="R202" s="5" t="s">
        <v>25</v>
      </c>
      <c r="S202" s="5" t="str">
        <f>VLOOKUP(A202,Sheet2!$A$2:$R$3432,18,0)</f>
        <v>BG4DF1498654</v>
      </c>
      <c r="T202" s="7" t="str">
        <f>VLOOKUP(A202,Sheet2!$A$2:$R$3432,17,0)</f>
        <v>MD626BG43F1D08483</v>
      </c>
    </row>
    <row r="203" ht="15.75" customHeight="1">
      <c r="A203" s="3" t="s">
        <v>226</v>
      </c>
      <c r="B203" s="4" t="str">
        <f>VLOOKUP(A203,Sheet2!$A$2:$R$3432,2,0)</f>
        <v>2024-12-04 18:56:50</v>
      </c>
      <c r="C203" s="5" t="s">
        <v>25</v>
      </c>
      <c r="D203" s="6" t="s">
        <v>25</v>
      </c>
      <c r="E203" s="7">
        <f>VLOOKUP(A203,Sheet2!$A$2:$R$3432,4,0)</f>
        <v>7905318496</v>
      </c>
      <c r="F203" s="7" t="str">
        <f>VLOOKUP(A203,Sheet2!$A$2:$R$3432,3,0)</f>
        <v>Smita</v>
      </c>
      <c r="G203" s="5" t="s">
        <v>25</v>
      </c>
      <c r="H203" s="5" t="s">
        <v>25</v>
      </c>
      <c r="I203" s="5" t="s">
        <v>25</v>
      </c>
      <c r="J203" s="5" t="s">
        <v>25</v>
      </c>
      <c r="K203" s="7" t="str">
        <f>VLOOKUP(A203,Sheet2!$A$2:$R$3432,6,0)</f>
        <v>TVS Jupiter </v>
      </c>
      <c r="L203" s="5" t="s">
        <v>25</v>
      </c>
      <c r="M203" s="7" t="str">
        <f>VLOOKUP(A203,Sheet2!$A$2:$R$3432,5,0)</f>
        <v>MH14HA3121</v>
      </c>
      <c r="N203" s="5" t="s">
        <v>25</v>
      </c>
      <c r="O203" s="5" t="s">
        <v>25</v>
      </c>
      <c r="P203" s="6" t="s">
        <v>25</v>
      </c>
      <c r="Q203" s="5" t="s">
        <v>25</v>
      </c>
      <c r="R203" s="5" t="s">
        <v>25</v>
      </c>
      <c r="S203" s="5" t="str">
        <f>VLOOKUP(A203,Sheet2!$A$2:$R$3432,18,0)</f>
        <v>EG4HEJ1538492</v>
      </c>
      <c r="T203" s="7" t="str">
        <f>VLOOKUP(A203,Sheet2!$A$2:$R$3432,17,0)</f>
        <v>MD626EG4XJ1FS4702</v>
      </c>
    </row>
    <row r="204" ht="15.75" customHeight="1">
      <c r="A204" s="3" t="s">
        <v>227</v>
      </c>
      <c r="B204" s="4" t="str">
        <f>VLOOKUP(A204,Sheet2!$A$2:$R$3432,2,0)</f>
        <v>2024-12-04 19:07:23</v>
      </c>
      <c r="C204" s="5" t="s">
        <v>25</v>
      </c>
      <c r="D204" s="6" t="s">
        <v>25</v>
      </c>
      <c r="E204" s="7">
        <f>VLOOKUP(A204,Sheet2!$A$2:$R$3432,4,0)</f>
        <v>9167426875</v>
      </c>
      <c r="F204" s="7" t="str">
        <f>VLOOKUP(A204,Sheet2!$A$2:$R$3432,3,0)</f>
        <v>Shubham Limbole</v>
      </c>
      <c r="G204" s="5" t="s">
        <v>25</v>
      </c>
      <c r="H204" s="5" t="s">
        <v>25</v>
      </c>
      <c r="I204" s="5" t="s">
        <v>25</v>
      </c>
      <c r="J204" s="5" t="s">
        <v>25</v>
      </c>
      <c r="K204" s="7" t="str">
        <f>VLOOKUP(A204,Sheet2!$A$2:$R$3432,6,0)</f>
        <v>Hero Maestro </v>
      </c>
      <c r="L204" s="5" t="s">
        <v>25</v>
      </c>
      <c r="M204" s="7" t="str">
        <f>VLOOKUP(A204,Sheet2!$A$2:$R$3432,5,0)</f>
        <v>MH46BH7225</v>
      </c>
      <c r="N204" s="5" t="s">
        <v>25</v>
      </c>
      <c r="O204" s="5" t="s">
        <v>25</v>
      </c>
      <c r="P204" s="6" t="s">
        <v>25</v>
      </c>
      <c r="Q204" s="5" t="s">
        <v>25</v>
      </c>
      <c r="R204" s="5" t="s">
        <v>25</v>
      </c>
      <c r="S204" s="5" t="str">
        <f>VLOOKUP(A204,Sheet2!$A$2:$R$3432,18,0)</f>
        <v>JF33ABHGK00656</v>
      </c>
      <c r="T204" s="7" t="str">
        <f>VLOOKUP(A204,Sheet2!$A$2:$R$3432,17,0)</f>
        <v>RUSTY FRAME</v>
      </c>
    </row>
    <row r="205" ht="15.75" customHeight="1">
      <c r="A205" s="3" t="s">
        <v>228</v>
      </c>
      <c r="B205" s="4" t="str">
        <f>VLOOKUP(A205,Sheet2!$A$2:$R$3432,2,0)</f>
        <v>2024-12-04 19:11:30</v>
      </c>
      <c r="C205" s="5" t="s">
        <v>25</v>
      </c>
      <c r="D205" s="6" t="s">
        <v>25</v>
      </c>
      <c r="E205" s="7">
        <f>VLOOKUP(A205,Sheet2!$A$2:$R$3432,4,0)</f>
        <v>9822421446</v>
      </c>
      <c r="F205" s="7" t="str">
        <f>VLOOKUP(A205,Sheet2!$A$2:$R$3432,3,0)</f>
        <v>SUPRIYA VIJAY CHANDGUDE</v>
      </c>
      <c r="G205" s="5" t="s">
        <v>25</v>
      </c>
      <c r="H205" s="5" t="s">
        <v>25</v>
      </c>
      <c r="I205" s="5" t="s">
        <v>25</v>
      </c>
      <c r="J205" s="5" t="s">
        <v>25</v>
      </c>
      <c r="K205" s="7" t="str">
        <f>VLOOKUP(A205,Sheet2!$A$2:$R$3432,6,0)</f>
        <v>Honda Activa 125</v>
      </c>
      <c r="L205" s="5" t="s">
        <v>25</v>
      </c>
      <c r="M205" s="7" t="str">
        <f>VLOOKUP(A205,Sheet2!$A$2:$R$3432,5,0)</f>
        <v>MH14JK4524</v>
      </c>
      <c r="N205" s="5" t="s">
        <v>25</v>
      </c>
      <c r="O205" s="5" t="s">
        <v>25</v>
      </c>
      <c r="P205" s="6" t="s">
        <v>25</v>
      </c>
      <c r="Q205" s="5" t="s">
        <v>25</v>
      </c>
      <c r="R205" s="5" t="s">
        <v>25</v>
      </c>
      <c r="S205" s="5" t="str">
        <f>VLOOKUP(A205,Sheet2!$A$2:$R$3432,18,0)</f>
        <v>JF49EW4101000</v>
      </c>
      <c r="T205" s="7" t="str">
        <f>VLOOKUP(A205,Sheet2!$A$2:$R$3432,17,0)</f>
        <v>DME4JF49MAMW002098</v>
      </c>
    </row>
    <row r="206" ht="15.75" customHeight="1">
      <c r="A206" s="3" t="s">
        <v>229</v>
      </c>
      <c r="B206" s="4" t="str">
        <f>VLOOKUP(A206,Sheet2!$A$2:$R$3432,2,0)</f>
        <v>2024-12-04 19:34:50</v>
      </c>
      <c r="C206" s="5" t="s">
        <v>25</v>
      </c>
      <c r="D206" s="6" t="s">
        <v>25</v>
      </c>
      <c r="E206" s="7">
        <f>VLOOKUP(A206,Sheet2!$A$2:$R$3432,4,0)</f>
        <v>8208129989</v>
      </c>
      <c r="F206" s="7" t="str">
        <f>VLOOKUP(A206,Sheet2!$A$2:$R$3432,3,0)</f>
        <v>Mukund</v>
      </c>
      <c r="G206" s="5" t="s">
        <v>25</v>
      </c>
      <c r="H206" s="5" t="s">
        <v>25</v>
      </c>
      <c r="I206" s="5" t="s">
        <v>25</v>
      </c>
      <c r="J206" s="5" t="s">
        <v>25</v>
      </c>
      <c r="K206" s="7" t="str">
        <f>VLOOKUP(A206,Sheet2!$A$2:$R$3432,6,0)</f>
        <v>Bajaj Avenger 150 Street</v>
      </c>
      <c r="L206" s="5" t="s">
        <v>25</v>
      </c>
      <c r="M206" s="7" t="str">
        <f>VLOOKUP(A206,Sheet2!$A$2:$R$3432,5,0)</f>
        <v>MH49AF2685</v>
      </c>
      <c r="N206" s="5" t="s">
        <v>25</v>
      </c>
      <c r="O206" s="5" t="s">
        <v>25</v>
      </c>
      <c r="P206" s="6" t="s">
        <v>25</v>
      </c>
      <c r="Q206" s="5" t="s">
        <v>25</v>
      </c>
      <c r="R206" s="5" t="s">
        <v>25</v>
      </c>
      <c r="S206" s="5" t="str">
        <f>VLOOKUP(A206,Sheet2!$A$2:$R$3432,18,0)</f>
        <v>PDZCGC24335</v>
      </c>
      <c r="T206" s="7" t="str">
        <f>VLOOKUP(A206,Sheet2!$A$2:$R$3432,17,0)</f>
        <v>MD2A85CZXGCC07344</v>
      </c>
    </row>
    <row r="207" ht="15.75" customHeight="1">
      <c r="A207" s="3" t="s">
        <v>230</v>
      </c>
      <c r="B207" s="4" t="str">
        <f>VLOOKUP(A207,Sheet2!$A$2:$R$3432,2,0)</f>
        <v>2024-12-04 19:50:50</v>
      </c>
      <c r="C207" s="5" t="s">
        <v>25</v>
      </c>
      <c r="D207" s="6" t="s">
        <v>25</v>
      </c>
      <c r="E207" s="7">
        <f>VLOOKUP(A207,Sheet2!$A$2:$R$3432,4,0)</f>
        <v>7620644446</v>
      </c>
      <c r="F207" s="7" t="str">
        <f>VLOOKUP(A207,Sheet2!$A$2:$R$3432,3,0)</f>
        <v>Harshal Jadhav</v>
      </c>
      <c r="G207" s="5" t="s">
        <v>25</v>
      </c>
      <c r="H207" s="5" t="s">
        <v>25</v>
      </c>
      <c r="I207" s="5" t="s">
        <v>25</v>
      </c>
      <c r="J207" s="5" t="s">
        <v>25</v>
      </c>
      <c r="K207" s="7" t="str">
        <f>VLOOKUP(A207,Sheet2!$A$2:$R$3432,6,0)</f>
        <v>Honda Unicorn </v>
      </c>
      <c r="L207" s="5" t="s">
        <v>25</v>
      </c>
      <c r="M207" s="7" t="str">
        <f>VLOOKUP(A207,Sheet2!$A$2:$R$3432,5,0)</f>
        <v>MH17BC1101</v>
      </c>
      <c r="N207" s="5" t="s">
        <v>25</v>
      </c>
      <c r="O207" s="5" t="s">
        <v>25</v>
      </c>
      <c r="P207" s="6" t="s">
        <v>25</v>
      </c>
      <c r="Q207" s="5" t="s">
        <v>25</v>
      </c>
      <c r="R207" s="5" t="s">
        <v>25</v>
      </c>
      <c r="S207" s="5" t="str">
        <f>VLOOKUP(A207,Sheet2!$A$2:$R$3432,18,0)</f>
        <v>KC09E8678135</v>
      </c>
      <c r="T207" s="7" t="str">
        <f>VLOOKUP(A207,Sheet2!$A$2:$R$3432,17,0)</f>
        <v>ME4KC09CDE8717638</v>
      </c>
    </row>
    <row r="208" ht="15.75" customHeight="1">
      <c r="A208" s="3" t="s">
        <v>231</v>
      </c>
      <c r="B208" s="4" t="str">
        <f>VLOOKUP(A208,Sheet2!$A$2:$R$3432,2,0)</f>
        <v>2025-04-11 20:58:25</v>
      </c>
      <c r="C208" s="5" t="s">
        <v>25</v>
      </c>
      <c r="D208" s="6" t="s">
        <v>25</v>
      </c>
      <c r="E208" s="7">
        <f>VLOOKUP(A208,Sheet2!$A$2:$R$3432,4,0)</f>
        <v>9881433661</v>
      </c>
      <c r="F208" s="7" t="str">
        <f>VLOOKUP(A208,Sheet2!$A$2:$R$3432,3,0)</f>
        <v>Satish Pawar </v>
      </c>
      <c r="G208" s="5" t="s">
        <v>25</v>
      </c>
      <c r="H208" s="5" t="s">
        <v>25</v>
      </c>
      <c r="I208" s="5" t="s">
        <v>25</v>
      </c>
      <c r="J208" s="5" t="s">
        <v>25</v>
      </c>
      <c r="K208" s="7" t="str">
        <f>VLOOKUP(A208,Sheet2!$A$2:$R$3432,6,0)</f>
        <v>Honda Activa </v>
      </c>
      <c r="L208" s="5" t="s">
        <v>25</v>
      </c>
      <c r="M208" s="7" t="str">
        <f>VLOOKUP(A208,Sheet2!$A$2:$R$3432,5,0)</f>
        <v>MH14EK8123</v>
      </c>
      <c r="N208" s="5" t="s">
        <v>25</v>
      </c>
      <c r="O208" s="5" t="s">
        <v>25</v>
      </c>
      <c r="P208" s="6" t="s">
        <v>25</v>
      </c>
      <c r="Q208" s="5" t="s">
        <v>25</v>
      </c>
      <c r="R208" s="5" t="s">
        <v>25</v>
      </c>
      <c r="S208" s="5" t="str">
        <f>VLOOKUP(A208,Sheet2!$A$2:$R$3432,18,0)</f>
        <v>JF50581089703</v>
      </c>
      <c r="T208" s="7" t="str">
        <f>VLOOKUP(A208,Sheet2!$A$2:$R$3432,17,0)</f>
        <v>MEJF502EE80903170</v>
      </c>
    </row>
    <row r="209" ht="15.75" customHeight="1">
      <c r="A209" s="3" t="s">
        <v>232</v>
      </c>
      <c r="B209" s="4" t="str">
        <f>VLOOKUP(A209,Sheet2!$A$2:$R$3432,2,0)</f>
        <v>2025-04-11 21:01:00</v>
      </c>
      <c r="C209" s="5" t="s">
        <v>25</v>
      </c>
      <c r="D209" s="6" t="s">
        <v>25</v>
      </c>
      <c r="E209" s="7">
        <f>VLOOKUP(A209,Sheet2!$A$2:$R$3432,4,0)</f>
        <v>9561466895</v>
      </c>
      <c r="F209" s="7" t="str">
        <f>VLOOKUP(A209,Sheet2!$A$2:$R$3432,3,0)</f>
        <v>Sudarshan </v>
      </c>
      <c r="G209" s="5" t="s">
        <v>25</v>
      </c>
      <c r="H209" s="5" t="s">
        <v>25</v>
      </c>
      <c r="I209" s="5" t="s">
        <v>25</v>
      </c>
      <c r="J209" s="5" t="s">
        <v>25</v>
      </c>
      <c r="K209" s="7" t="str">
        <f>VLOOKUP(A209,Sheet2!$A$2:$R$3432,6,0)</f>
        <v>Hero Karizma No Data</v>
      </c>
      <c r="L209" s="5" t="s">
        <v>25</v>
      </c>
      <c r="M209" s="7" t="str">
        <f>VLOOKUP(A209,Sheet2!$A$2:$R$3432,5,0)</f>
        <v>MH49M6215</v>
      </c>
      <c r="N209" s="5" t="s">
        <v>25</v>
      </c>
      <c r="O209" s="5" t="s">
        <v>25</v>
      </c>
      <c r="P209" s="6" t="s">
        <v>25</v>
      </c>
      <c r="Q209" s="5" t="s">
        <v>25</v>
      </c>
      <c r="R209" s="5" t="s">
        <v>25</v>
      </c>
      <c r="S209" s="7" t="str">
        <f>VLOOKUP(A209,Sheet2!$A$2:$R$3432,18,0)</f>
        <v/>
      </c>
      <c r="T209" s="7" t="str">
        <f>VLOOKUP(A209,Sheet2!$A$2:$R$3432,17,0)</f>
        <v/>
      </c>
    </row>
    <row r="210" ht="15.75" customHeight="1">
      <c r="A210" s="3" t="s">
        <v>233</v>
      </c>
      <c r="B210" s="4" t="str">
        <f>VLOOKUP(A210,Sheet2!$A$2:$R$3432,2,0)</f>
        <v>2025-04-11 21:04:54</v>
      </c>
      <c r="C210" s="5" t="s">
        <v>25</v>
      </c>
      <c r="D210" s="6" t="s">
        <v>25</v>
      </c>
      <c r="E210" s="7">
        <f>VLOOKUP(A210,Sheet2!$A$2:$R$3432,4,0)</f>
        <v>9370708502</v>
      </c>
      <c r="F210" s="7" t="str">
        <f>VLOOKUP(A210,Sheet2!$A$2:$R$3432,3,0)</f>
        <v>BHUSHAN GAIKWAD</v>
      </c>
      <c r="G210" s="5" t="s">
        <v>25</v>
      </c>
      <c r="H210" s="5" t="s">
        <v>25</v>
      </c>
      <c r="I210" s="5" t="s">
        <v>25</v>
      </c>
      <c r="J210" s="5" t="s">
        <v>25</v>
      </c>
      <c r="K210" s="7" t="str">
        <f>VLOOKUP(A210,Sheet2!$A$2:$R$3432,6,0)</f>
        <v>Bajaj Pulsar 150</v>
      </c>
      <c r="L210" s="5" t="s">
        <v>25</v>
      </c>
      <c r="M210" s="7" t="str">
        <f>VLOOKUP(A210,Sheet2!$A$2:$R$3432,5,0)</f>
        <v>MH41BC8934</v>
      </c>
      <c r="N210" s="5" t="s">
        <v>25</v>
      </c>
      <c r="O210" s="5" t="s">
        <v>25</v>
      </c>
      <c r="P210" s="6" t="s">
        <v>25</v>
      </c>
      <c r="Q210" s="5" t="s">
        <v>25</v>
      </c>
      <c r="R210" s="5" t="s">
        <v>25</v>
      </c>
      <c r="S210" s="5" t="str">
        <f>VLOOKUP(A210,Sheet2!$A$2:$R$3432,18,0)</f>
        <v>DHXC031843</v>
      </c>
      <c r="T210" s="7" t="str">
        <f>VLOOKUP(A210,Sheet2!$A$2:$R$3432,17,0)</f>
        <v>MDA11CXKCG38046</v>
      </c>
    </row>
    <row r="211" ht="15.75" customHeight="1">
      <c r="A211" s="3" t="s">
        <v>234</v>
      </c>
      <c r="B211" s="4" t="str">
        <f>VLOOKUP(A211,Sheet2!$A$2:$R$3432,2,0)</f>
        <v>2025-04-11 21:05:26</v>
      </c>
      <c r="C211" s="5" t="s">
        <v>25</v>
      </c>
      <c r="D211" s="6" t="s">
        <v>25</v>
      </c>
      <c r="E211" s="7">
        <f>VLOOKUP(A211,Sheet2!$A$2:$R$3432,4,0)</f>
        <v>9975001056</v>
      </c>
      <c r="F211" s="7" t="str">
        <f>VLOOKUP(A211,Sheet2!$A$2:$R$3432,3,0)</f>
        <v>SWAPNIL </v>
      </c>
      <c r="G211" s="5" t="s">
        <v>25</v>
      </c>
      <c r="H211" s="5" t="s">
        <v>25</v>
      </c>
      <c r="I211" s="5" t="s">
        <v>25</v>
      </c>
      <c r="J211" s="5" t="s">
        <v>25</v>
      </c>
      <c r="K211" s="7" t="str">
        <f>VLOOKUP(A211,Sheet2!$A$2:$R$3432,6,0)</f>
        <v>Hero Xpulse 200</v>
      </c>
      <c r="L211" s="5" t="s">
        <v>25</v>
      </c>
      <c r="M211" s="7" t="str">
        <f>VLOOKUP(A211,Sheet2!$A$2:$R$3432,5,0)</f>
        <v>MH27DF7190</v>
      </c>
      <c r="N211" s="5" t="s">
        <v>25</v>
      </c>
      <c r="O211" s="5" t="s">
        <v>25</v>
      </c>
      <c r="P211" s="6" t="s">
        <v>25</v>
      </c>
      <c r="Q211" s="5" t="s">
        <v>25</v>
      </c>
      <c r="R211" s="5" t="s">
        <v>25</v>
      </c>
      <c r="S211" s="5" t="str">
        <f>VLOOKUP(A211,Sheet2!$A$2:$R$3432,18,0)</f>
        <v>NC20HHGE02F14</v>
      </c>
      <c r="T211" s="7" t="str">
        <f>VLOOKUP(A211,Sheet2!$A$2:$R$3432,17,0)</f>
        <v>MBLLDL067NCE02154</v>
      </c>
    </row>
    <row r="212" ht="15.75" customHeight="1">
      <c r="A212" s="3" t="s">
        <v>235</v>
      </c>
      <c r="B212" s="4" t="str">
        <f>VLOOKUP(A212,Sheet2!$A$2:$R$3432,2,0)</f>
        <v>2025-04-11 21:05:59</v>
      </c>
      <c r="C212" s="5" t="s">
        <v>25</v>
      </c>
      <c r="D212" s="6" t="s">
        <v>25</v>
      </c>
      <c r="E212" s="7">
        <f>VLOOKUP(A212,Sheet2!$A$2:$R$3432,4,0)</f>
        <v>7798529737</v>
      </c>
      <c r="F212" s="7" t="str">
        <f>VLOOKUP(A212,Sheet2!$A$2:$R$3432,3,0)</f>
        <v>PRAVEEN MULEY </v>
      </c>
      <c r="G212" s="5" t="s">
        <v>25</v>
      </c>
      <c r="H212" s="5" t="s">
        <v>25</v>
      </c>
      <c r="I212" s="5" t="s">
        <v>25</v>
      </c>
      <c r="J212" s="5" t="s">
        <v>25</v>
      </c>
      <c r="K212" s="7" t="str">
        <f>VLOOKUP(A212,Sheet2!$A$2:$R$3432,6,0)</f>
        <v>Hero Passion Pro</v>
      </c>
      <c r="L212" s="5" t="s">
        <v>25</v>
      </c>
      <c r="M212" s="7" t="str">
        <f>VLOOKUP(A212,Sheet2!$A$2:$R$3432,5,0)</f>
        <v>MH16BP0203</v>
      </c>
      <c r="N212" s="5" t="s">
        <v>25</v>
      </c>
      <c r="O212" s="5" t="s">
        <v>25</v>
      </c>
      <c r="P212" s="6" t="s">
        <v>25</v>
      </c>
      <c r="Q212" s="5" t="s">
        <v>25</v>
      </c>
      <c r="R212" s="5" t="s">
        <v>25</v>
      </c>
      <c r="S212" s="7" t="str">
        <f>VLOOKUP(A212,Sheet2!$A$2:$R$3432,18,0)</f>
        <v/>
      </c>
      <c r="T212" s="7" t="str">
        <f>VLOOKUP(A212,Sheet2!$A$2:$R$3432,17,0)</f>
        <v/>
      </c>
    </row>
    <row r="213" ht="15.75" customHeight="1">
      <c r="A213" s="3" t="s">
        <v>236</v>
      </c>
      <c r="B213" s="4" t="str">
        <f>VLOOKUP(A213,Sheet2!$A$2:$R$3432,2,0)</f>
        <v>2025-04-11 21:06:19</v>
      </c>
      <c r="C213" s="5" t="s">
        <v>25</v>
      </c>
      <c r="D213" s="6" t="s">
        <v>25</v>
      </c>
      <c r="E213" s="7">
        <f>VLOOKUP(A213,Sheet2!$A$2:$R$3432,4,0)</f>
        <v>8446142636</v>
      </c>
      <c r="F213" s="7" t="str">
        <f>VLOOKUP(A213,Sheet2!$A$2:$R$3432,3,0)</f>
        <v>HARSHAL KAPSE </v>
      </c>
      <c r="G213" s="5" t="s">
        <v>25</v>
      </c>
      <c r="H213" s="5" t="s">
        <v>25</v>
      </c>
      <c r="I213" s="5" t="s">
        <v>25</v>
      </c>
      <c r="J213" s="5" t="s">
        <v>25</v>
      </c>
      <c r="K213" s="7" t="str">
        <f>VLOOKUP(A213,Sheet2!$A$2:$R$3432,6,0)</f>
        <v>Bajaj Pulsar 200 NS</v>
      </c>
      <c r="L213" s="5" t="s">
        <v>25</v>
      </c>
      <c r="M213" s="7" t="str">
        <f>VLOOKUP(A213,Sheet2!$A$2:$R$3432,5,0)</f>
        <v>MH14HA6342</v>
      </c>
      <c r="N213" s="5" t="s">
        <v>25</v>
      </c>
      <c r="O213" s="5" t="s">
        <v>25</v>
      </c>
      <c r="P213" s="6" t="s">
        <v>25</v>
      </c>
      <c r="Q213" s="5" t="s">
        <v>25</v>
      </c>
      <c r="R213" s="5" t="s">
        <v>25</v>
      </c>
      <c r="S213" s="5" t="str">
        <f>VLOOKUP(A213,Sheet2!$A$2:$R$3432,18,0)</f>
        <v>JLYCJB34714</v>
      </c>
      <c r="T213" s="7" t="str">
        <f>VLOOKUP(A213,Sheet2!$A$2:$R$3432,17,0)</f>
        <v>MD2A36FY7JCB36957</v>
      </c>
    </row>
    <row r="214" ht="15.75" customHeight="1">
      <c r="A214" s="3" t="s">
        <v>237</v>
      </c>
      <c r="B214" s="4" t="str">
        <f>VLOOKUP(A214,Sheet2!$A$2:$R$3432,2,0)</f>
        <v>2025-04-11 21:06:43</v>
      </c>
      <c r="C214" s="5" t="s">
        <v>25</v>
      </c>
      <c r="D214" s="6" t="s">
        <v>25</v>
      </c>
      <c r="E214" s="7">
        <f>VLOOKUP(A214,Sheet2!$A$2:$R$3432,4,0)</f>
        <v>9420558909</v>
      </c>
      <c r="F214" s="7" t="str">
        <f>VLOOKUP(A214,Sheet2!$A$2:$R$3432,3,0)</f>
        <v>UMESH MANKARI</v>
      </c>
      <c r="G214" s="5" t="s">
        <v>25</v>
      </c>
      <c r="H214" s="5" t="s">
        <v>25</v>
      </c>
      <c r="I214" s="5" t="s">
        <v>25</v>
      </c>
      <c r="J214" s="5" t="s">
        <v>25</v>
      </c>
      <c r="K214" s="7" t="str">
        <f>VLOOKUP(A214,Sheet2!$A$2:$R$3432,6,0)</f>
        <v>Honda SP 125 Disc</v>
      </c>
      <c r="L214" s="5" t="s">
        <v>25</v>
      </c>
      <c r="M214" s="7" t="str">
        <f>VLOOKUP(A214,Sheet2!$A$2:$R$3432,5,0)</f>
        <v>MH14KP9226</v>
      </c>
      <c r="N214" s="5" t="s">
        <v>25</v>
      </c>
      <c r="O214" s="5" t="s">
        <v>25</v>
      </c>
      <c r="P214" s="6" t="s">
        <v>25</v>
      </c>
      <c r="Q214" s="5" t="s">
        <v>25</v>
      </c>
      <c r="R214" s="5" t="s">
        <v>25</v>
      </c>
      <c r="S214" s="5" t="str">
        <f>VLOOKUP(A214,Sheet2!$A$2:$R$3432,18,0)</f>
        <v>JC83EDG196622</v>
      </c>
      <c r="T214" s="7" t="str">
        <f>VLOOKUP(A214,Sheet2!$A$2:$R$3432,17,0)</f>
        <v>ME4JC83ERPD023472</v>
      </c>
    </row>
    <row r="215" ht="15.75" customHeight="1">
      <c r="A215" s="3" t="s">
        <v>238</v>
      </c>
      <c r="B215" s="4" t="str">
        <f>VLOOKUP(A215,Sheet2!$A$2:$R$3432,2,0)</f>
        <v>2025-04-11 21:07:15</v>
      </c>
      <c r="C215" s="5" t="s">
        <v>25</v>
      </c>
      <c r="D215" s="6" t="s">
        <v>25</v>
      </c>
      <c r="E215" s="7">
        <f>VLOOKUP(A215,Sheet2!$A$2:$R$3432,4,0)</f>
        <v>9284541754</v>
      </c>
      <c r="F215" s="7" t="str">
        <f>VLOOKUP(A215,Sheet2!$A$2:$R$3432,3,0)</f>
        <v>Dheeraj Rajput</v>
      </c>
      <c r="G215" s="5" t="s">
        <v>25</v>
      </c>
      <c r="H215" s="5" t="s">
        <v>25</v>
      </c>
      <c r="I215" s="5" t="s">
        <v>25</v>
      </c>
      <c r="J215" s="5" t="s">
        <v>25</v>
      </c>
      <c r="K215" s="7" t="str">
        <f>VLOOKUP(A215,Sheet2!$A$2:$R$3432,6,0)</f>
        <v>Suzuki Access </v>
      </c>
      <c r="L215" s="5" t="s">
        <v>25</v>
      </c>
      <c r="M215" s="7" t="str">
        <f>VLOOKUP(A215,Sheet2!$A$2:$R$3432,5,0)</f>
        <v>MH15DD1642</v>
      </c>
      <c r="N215" s="5" t="s">
        <v>25</v>
      </c>
      <c r="O215" s="5" t="s">
        <v>25</v>
      </c>
      <c r="P215" s="6" t="s">
        <v>25</v>
      </c>
      <c r="Q215" s="5" t="s">
        <v>25</v>
      </c>
      <c r="R215" s="5" t="s">
        <v>25</v>
      </c>
      <c r="S215" s="7" t="str">
        <f>VLOOKUP(A215,Sheet2!$A$2:$R$3432,18,0)</f>
        <v/>
      </c>
      <c r="T215" s="7" t="str">
        <f>VLOOKUP(A215,Sheet2!$A$2:$R$3432,17,0)</f>
        <v>MB8CF4CAGB8312482</v>
      </c>
    </row>
    <row r="216" ht="15.75" customHeight="1">
      <c r="A216" s="3" t="s">
        <v>239</v>
      </c>
      <c r="B216" s="4" t="str">
        <f>VLOOKUP(A216,Sheet2!$A$2:$R$3432,2,0)</f>
        <v>2025-04-11 21:07:33</v>
      </c>
      <c r="C216" s="5" t="s">
        <v>25</v>
      </c>
      <c r="D216" s="6" t="s">
        <v>25</v>
      </c>
      <c r="E216" s="7">
        <f>VLOOKUP(A216,Sheet2!$A$2:$R$3432,4,0)</f>
        <v>8527538530</v>
      </c>
      <c r="F216" s="7" t="str">
        <f>VLOOKUP(A216,Sheet2!$A$2:$R$3432,3,0)</f>
        <v>Pravin</v>
      </c>
      <c r="G216" s="5" t="s">
        <v>25</v>
      </c>
      <c r="H216" s="5" t="s">
        <v>25</v>
      </c>
      <c r="I216" s="5" t="s">
        <v>25</v>
      </c>
      <c r="J216" s="5" t="s">
        <v>25</v>
      </c>
      <c r="K216" s="7" t="str">
        <f>VLOOKUP(A216,Sheet2!$A$2:$R$3432,6,0)</f>
        <v>TVS Jupiter </v>
      </c>
      <c r="L216" s="5" t="s">
        <v>25</v>
      </c>
      <c r="M216" s="7" t="str">
        <f>VLOOKUP(A216,Sheet2!$A$2:$R$3432,5,0)</f>
        <v>MH14LN0875</v>
      </c>
      <c r="N216" s="5" t="s">
        <v>25</v>
      </c>
      <c r="O216" s="5" t="s">
        <v>25</v>
      </c>
      <c r="P216" s="6" t="s">
        <v>25</v>
      </c>
      <c r="Q216" s="5" t="s">
        <v>25</v>
      </c>
      <c r="R216" s="5" t="s">
        <v>25</v>
      </c>
      <c r="S216" s="7" t="str">
        <f>VLOOKUP(A216,Sheet2!$A$2:$R$3432,18,0)</f>
        <v/>
      </c>
      <c r="T216" s="7" t="str">
        <f>VLOOKUP(A216,Sheet2!$A$2:$R$3432,17,0)</f>
        <v/>
      </c>
    </row>
    <row r="217" ht="15.75" customHeight="1">
      <c r="A217" s="3" t="s">
        <v>240</v>
      </c>
      <c r="B217" s="4" t="str">
        <f>VLOOKUP(A217,Sheet2!$A$2:$R$3432,2,0)</f>
        <v>2025-04-11 21:09:33</v>
      </c>
      <c r="C217" s="5" t="s">
        <v>25</v>
      </c>
      <c r="D217" s="6" t="s">
        <v>25</v>
      </c>
      <c r="E217" s="7">
        <f>VLOOKUP(A217,Sheet2!$A$2:$R$3432,4,0)</f>
        <v>9820420907</v>
      </c>
      <c r="F217" s="7" t="str">
        <f>VLOOKUP(A217,Sheet2!$A$2:$R$3432,3,0)</f>
        <v>Dnyanesh Joshi</v>
      </c>
      <c r="G217" s="5" t="s">
        <v>25</v>
      </c>
      <c r="H217" s="5" t="s">
        <v>25</v>
      </c>
      <c r="I217" s="5" t="s">
        <v>25</v>
      </c>
      <c r="J217" s="5" t="s">
        <v>25</v>
      </c>
      <c r="K217" s="7" t="str">
        <f>VLOOKUP(A217,Sheet2!$A$2:$R$3432,6,0)</f>
        <v>Honda Activa 110</v>
      </c>
      <c r="L217" s="5" t="s">
        <v>25</v>
      </c>
      <c r="M217" s="7" t="str">
        <f>VLOOKUP(A217,Sheet2!$A$2:$R$3432,5,0)</f>
        <v>MH19BN0480</v>
      </c>
      <c r="N217" s="5" t="s">
        <v>25</v>
      </c>
      <c r="O217" s="5" t="s">
        <v>25</v>
      </c>
      <c r="P217" s="6" t="s">
        <v>25</v>
      </c>
      <c r="Q217" s="5" t="s">
        <v>25</v>
      </c>
      <c r="R217" s="5" t="s">
        <v>25</v>
      </c>
      <c r="S217" s="5" t="str">
        <f>VLOOKUP(A217,Sheet2!$A$2:$R$3432,18,0)</f>
        <v>JC44E2388389</v>
      </c>
      <c r="T217" s="7" t="str">
        <f>VLOOKUP(A217,Sheet2!$A$2:$R$3432,17,0)</f>
        <v>ME4JC447LC8277313</v>
      </c>
    </row>
    <row r="218" ht="15.75" customHeight="1">
      <c r="A218" s="3" t="s">
        <v>241</v>
      </c>
      <c r="B218" s="4" t="str">
        <f>VLOOKUP(A218,Sheet2!$A$2:$R$3432,2,0)</f>
        <v>2025-04-11 21:09:51</v>
      </c>
      <c r="C218" s="5" t="s">
        <v>25</v>
      </c>
      <c r="D218" s="6" t="s">
        <v>25</v>
      </c>
      <c r="E218" s="7">
        <f>VLOOKUP(A218,Sheet2!$A$2:$R$3432,4,0)</f>
        <v>7387666051</v>
      </c>
      <c r="F218" s="7" t="str">
        <f>VLOOKUP(A218,Sheet2!$A$2:$R$3432,3,0)</f>
        <v>Jayesh </v>
      </c>
      <c r="G218" s="5" t="s">
        <v>25</v>
      </c>
      <c r="H218" s="5" t="s">
        <v>25</v>
      </c>
      <c r="I218" s="5" t="s">
        <v>25</v>
      </c>
      <c r="J218" s="5" t="s">
        <v>25</v>
      </c>
      <c r="K218" s="7" t="str">
        <f>VLOOKUP(A218,Sheet2!$A$2:$R$3432,6,0)</f>
        <v>Honda Unicorn </v>
      </c>
      <c r="L218" s="5" t="s">
        <v>25</v>
      </c>
      <c r="M218" s="7" t="str">
        <f>VLOOKUP(A218,Sheet2!$A$2:$R$3432,5,0)</f>
        <v>MH27DN2857</v>
      </c>
      <c r="N218" s="5" t="s">
        <v>25</v>
      </c>
      <c r="O218" s="5" t="s">
        <v>25</v>
      </c>
      <c r="P218" s="6" t="s">
        <v>25</v>
      </c>
      <c r="Q218" s="5" t="s">
        <v>25</v>
      </c>
      <c r="R218" s="5" t="s">
        <v>25</v>
      </c>
      <c r="S218" s="7" t="str">
        <f>VLOOKUP(A218,Sheet2!$A$2:$R$3432,18,0)</f>
        <v/>
      </c>
      <c r="T218" s="7" t="str">
        <f>VLOOKUP(A218,Sheet2!$A$2:$R$3432,17,0)</f>
        <v/>
      </c>
    </row>
    <row r="219" ht="15.75" customHeight="1">
      <c r="A219" s="3" t="s">
        <v>242</v>
      </c>
      <c r="B219" s="4" t="str">
        <f>VLOOKUP(A219,Sheet2!$A$2:$R$3432,2,0)</f>
        <v>2025-04-11 21:10:35</v>
      </c>
      <c r="C219" s="5" t="s">
        <v>25</v>
      </c>
      <c r="D219" s="6" t="s">
        <v>25</v>
      </c>
      <c r="E219" s="7">
        <f>VLOOKUP(A219,Sheet2!$A$2:$R$3432,4,0)</f>
        <v>7588937227</v>
      </c>
      <c r="F219" s="7" t="str">
        <f>VLOOKUP(A219,Sheet2!$A$2:$R$3432,3,0)</f>
        <v>DHANANJAY JADHAV </v>
      </c>
      <c r="G219" s="5" t="s">
        <v>25</v>
      </c>
      <c r="H219" s="5" t="s">
        <v>25</v>
      </c>
      <c r="I219" s="5" t="s">
        <v>25</v>
      </c>
      <c r="J219" s="5" t="s">
        <v>25</v>
      </c>
      <c r="K219" s="7" t="str">
        <f>VLOOKUP(A219,Sheet2!$A$2:$R$3432,6,0)</f>
        <v>Honda Unicorn 150</v>
      </c>
      <c r="L219" s="5" t="s">
        <v>25</v>
      </c>
      <c r="M219" s="7" t="str">
        <f>VLOOKUP(A219,Sheet2!$A$2:$R$3432,5,0)</f>
        <v>MH25AG8823</v>
      </c>
      <c r="N219" s="5" t="s">
        <v>25</v>
      </c>
      <c r="O219" s="5" t="s">
        <v>25</v>
      </c>
      <c r="P219" s="6" t="s">
        <v>25</v>
      </c>
      <c r="Q219" s="5" t="s">
        <v>25</v>
      </c>
      <c r="R219" s="5" t="s">
        <v>25</v>
      </c>
      <c r="S219" s="5" t="str">
        <f>VLOOKUP(A219,Sheet2!$A$2:$R$3432,18,0)</f>
        <v>KC31E18003945</v>
      </c>
      <c r="T219" s="7" t="str">
        <f>VLOOKUP(A219,Sheet2!$A$2:$R$3432,17,0)</f>
        <v>ME4KC311CH8003864</v>
      </c>
    </row>
    <row r="220" ht="15.75" customHeight="1">
      <c r="A220" s="3" t="s">
        <v>243</v>
      </c>
      <c r="B220" s="4" t="str">
        <f>VLOOKUP(A220,Sheet2!$A$2:$R$3432,2,0)</f>
        <v>2025-04-11 23:02:45</v>
      </c>
      <c r="C220" s="5" t="s">
        <v>25</v>
      </c>
      <c r="D220" s="6" t="s">
        <v>25</v>
      </c>
      <c r="E220" s="7">
        <f>VLOOKUP(A220,Sheet2!$A$2:$R$3432,4,0)</f>
        <v>9665390129</v>
      </c>
      <c r="F220" s="7" t="str">
        <f>VLOOKUP(A220,Sheet2!$A$2:$R$3432,3,0)</f>
        <v>Narayan Chavan</v>
      </c>
      <c r="G220" s="5" t="s">
        <v>25</v>
      </c>
      <c r="H220" s="5" t="s">
        <v>25</v>
      </c>
      <c r="I220" s="5" t="s">
        <v>25</v>
      </c>
      <c r="J220" s="5" t="s">
        <v>25</v>
      </c>
      <c r="K220" s="7" t="str">
        <f>VLOOKUP(A220,Sheet2!$A$2:$R$3432,6,0)</f>
        <v>Hero Deluxe CD</v>
      </c>
      <c r="L220" s="5" t="s">
        <v>25</v>
      </c>
      <c r="M220" s="7" t="str">
        <f>VLOOKUP(A220,Sheet2!$A$2:$R$3432,5,0)</f>
        <v>MH14FJ5958</v>
      </c>
      <c r="N220" s="5" t="s">
        <v>25</v>
      </c>
      <c r="O220" s="5" t="s">
        <v>25</v>
      </c>
      <c r="P220" s="6" t="s">
        <v>25</v>
      </c>
      <c r="Q220" s="5" t="s">
        <v>25</v>
      </c>
      <c r="R220" s="5" t="s">
        <v>25</v>
      </c>
      <c r="S220" s="5" t="str">
        <f>VLOOKUP(A220,Sheet2!$A$2:$R$3432,18,0)</f>
        <v>HA11EKF9K08191</v>
      </c>
      <c r="T220" s="7" t="str">
        <f>VLOOKUP(A220,Sheet2!$A$2:$R$3432,17,0)</f>
        <v>MBLHA11AZF9K08412</v>
      </c>
    </row>
    <row r="221" ht="15.75" customHeight="1">
      <c r="A221" s="3" t="s">
        <v>244</v>
      </c>
      <c r="B221" s="4" t="str">
        <f>VLOOKUP(A221,Sheet2!$A$2:$R$3432,2,0)</f>
        <v>2025-04-11 21:11:07</v>
      </c>
      <c r="C221" s="5" t="s">
        <v>25</v>
      </c>
      <c r="D221" s="6" t="s">
        <v>25</v>
      </c>
      <c r="E221" s="7">
        <f>VLOOKUP(A221,Sheet2!$A$2:$R$3432,4,0)</f>
        <v>9604141797</v>
      </c>
      <c r="F221" s="7" t="str">
        <f>VLOOKUP(A221,Sheet2!$A$2:$R$3432,3,0)</f>
        <v>Sanjay Joshi</v>
      </c>
      <c r="G221" s="5" t="s">
        <v>25</v>
      </c>
      <c r="H221" s="5" t="s">
        <v>25</v>
      </c>
      <c r="I221" s="5" t="s">
        <v>25</v>
      </c>
      <c r="J221" s="5" t="s">
        <v>25</v>
      </c>
      <c r="K221" s="7" t="str">
        <f>VLOOKUP(A221,Sheet2!$A$2:$R$3432,6,0)</f>
        <v>Hero Deluxe CD</v>
      </c>
      <c r="L221" s="5" t="s">
        <v>25</v>
      </c>
      <c r="M221" s="7" t="str">
        <f>VLOOKUP(A221,Sheet2!$A$2:$R$3432,5,0)</f>
        <v>MH14BB4962</v>
      </c>
      <c r="N221" s="5" t="s">
        <v>25</v>
      </c>
      <c r="O221" s="5" t="s">
        <v>25</v>
      </c>
      <c r="P221" s="6" t="s">
        <v>25</v>
      </c>
      <c r="Q221" s="5" t="s">
        <v>25</v>
      </c>
      <c r="R221" s="5" t="s">
        <v>25</v>
      </c>
      <c r="S221" s="7" t="str">
        <f>VLOOKUP(A221,Sheet2!$A$2:$R$3432,18,0)</f>
        <v/>
      </c>
      <c r="T221" s="7" t="str">
        <f>VLOOKUP(A221,Sheet2!$A$2:$R$3432,17,0)</f>
        <v>07C23F11529</v>
      </c>
    </row>
    <row r="222" ht="15.75" customHeight="1">
      <c r="A222" s="3" t="s">
        <v>245</v>
      </c>
      <c r="B222" s="4" t="str">
        <f>VLOOKUP(A222,Sheet2!$A$2:$R$3432,2,0)</f>
        <v>2025-04-11 21:08:10</v>
      </c>
      <c r="C222" s="5" t="s">
        <v>25</v>
      </c>
      <c r="D222" s="6" t="s">
        <v>25</v>
      </c>
      <c r="E222" s="7">
        <f>VLOOKUP(A222,Sheet2!$A$2:$R$3432,4,0)</f>
        <v>7841981343</v>
      </c>
      <c r="F222" s="7" t="str">
        <f>VLOOKUP(A222,Sheet2!$A$2:$R$3432,3,0)</f>
        <v>Omkar </v>
      </c>
      <c r="G222" s="5" t="s">
        <v>25</v>
      </c>
      <c r="H222" s="5" t="s">
        <v>25</v>
      </c>
      <c r="I222" s="5" t="s">
        <v>25</v>
      </c>
      <c r="J222" s="5" t="s">
        <v>25</v>
      </c>
      <c r="K222" s="7" t="str">
        <f>VLOOKUP(A222,Sheet2!$A$2:$R$3432,6,0)</f>
        <v>TVS Apache RTR 200 4V</v>
      </c>
      <c r="L222" s="5" t="s">
        <v>25</v>
      </c>
      <c r="M222" s="7" t="str">
        <f>VLOOKUP(A222,Sheet2!$A$2:$R$3432,5,0)</f>
        <v>MH14KX6224</v>
      </c>
      <c r="N222" s="5" t="s">
        <v>25</v>
      </c>
      <c r="O222" s="5" t="s">
        <v>25</v>
      </c>
      <c r="P222" s="6" t="s">
        <v>25</v>
      </c>
      <c r="Q222" s="5" t="s">
        <v>25</v>
      </c>
      <c r="R222" s="5" t="s">
        <v>25</v>
      </c>
      <c r="S222" s="7" t="str">
        <f>VLOOKUP(A222,Sheet2!$A$2:$R$3432,18,0)</f>
        <v/>
      </c>
      <c r="T222" s="7" t="str">
        <f>VLOOKUP(A222,Sheet2!$A$2:$R$3432,17,0)</f>
        <v/>
      </c>
    </row>
    <row r="223" ht="15.75" customHeight="1">
      <c r="A223" s="3" t="s">
        <v>246</v>
      </c>
      <c r="B223" s="4" t="str">
        <f>VLOOKUP(A223,Sheet2!$A$2:$R$3432,2,0)</f>
        <v>2024-12-08 18:51:05</v>
      </c>
      <c r="C223" s="5" t="s">
        <v>25</v>
      </c>
      <c r="D223" s="6" t="s">
        <v>25</v>
      </c>
      <c r="E223" s="7">
        <f>VLOOKUP(A223,Sheet2!$A$2:$R$3432,4,0)</f>
        <v>9503350260</v>
      </c>
      <c r="F223" s="7" t="str">
        <f>VLOOKUP(A223,Sheet2!$A$2:$R$3432,3,0)</f>
        <v>Ajinkya Dhomne</v>
      </c>
      <c r="G223" s="5" t="s">
        <v>25</v>
      </c>
      <c r="H223" s="5" t="s">
        <v>25</v>
      </c>
      <c r="I223" s="5" t="s">
        <v>25</v>
      </c>
      <c r="J223" s="5" t="s">
        <v>25</v>
      </c>
      <c r="K223" s="7" t="str">
        <f>VLOOKUP(A223,Sheet2!$A$2:$R$3432,6,0)</f>
        <v>Honda Unicorn 160</v>
      </c>
      <c r="L223" s="5" t="s">
        <v>25</v>
      </c>
      <c r="M223" s="7" t="str">
        <f>VLOOKUP(A223,Sheet2!$A$2:$R$3432,5,0)</f>
        <v>MH49AA4409</v>
      </c>
      <c r="N223" s="5" t="s">
        <v>25</v>
      </c>
      <c r="O223" s="5" t="s">
        <v>25</v>
      </c>
      <c r="P223" s="6" t="s">
        <v>25</v>
      </c>
      <c r="Q223" s="5" t="s">
        <v>25</v>
      </c>
      <c r="R223" s="5" t="s">
        <v>25</v>
      </c>
      <c r="S223" s="5" t="str">
        <f>VLOOKUP(A223,Sheet2!$A$2:$R$3432,18,0)</f>
        <v>KC20E80121497</v>
      </c>
      <c r="T223" s="7" t="str">
        <f>VLOOKUP(A223,Sheet2!$A$2:$R$3432,17,0)</f>
        <v>ME4KC201GF8110157</v>
      </c>
    </row>
    <row r="224" ht="15.75" customHeight="1">
      <c r="A224" s="3" t="s">
        <v>247</v>
      </c>
      <c r="B224" s="4" t="str">
        <f>VLOOKUP(A224,Sheet2!$A$2:$R$3432,2,0)</f>
        <v>2024-12-08 18:29:45</v>
      </c>
      <c r="C224" s="5" t="s">
        <v>25</v>
      </c>
      <c r="D224" s="6" t="s">
        <v>25</v>
      </c>
      <c r="E224" s="7">
        <f>VLOOKUP(A224,Sheet2!$A$2:$R$3432,4,0)</f>
        <v>8310924932</v>
      </c>
      <c r="F224" s="7" t="str">
        <f>VLOOKUP(A224,Sheet2!$A$2:$R$3432,3,0)</f>
        <v>Sanket H</v>
      </c>
      <c r="G224" s="5" t="s">
        <v>25</v>
      </c>
      <c r="H224" s="5" t="s">
        <v>25</v>
      </c>
      <c r="I224" s="5" t="s">
        <v>25</v>
      </c>
      <c r="J224" s="5" t="s">
        <v>25</v>
      </c>
      <c r="K224" s="7" t="str">
        <f>VLOOKUP(A224,Sheet2!$A$2:$R$3432,6,0)</f>
        <v>TVS Wego </v>
      </c>
      <c r="L224" s="5" t="s">
        <v>25</v>
      </c>
      <c r="M224" s="7" t="str">
        <f>VLOOKUP(A224,Sheet2!$A$2:$R$3432,5,0)</f>
        <v>MH12JH2201</v>
      </c>
      <c r="N224" s="5" t="s">
        <v>25</v>
      </c>
      <c r="O224" s="5" t="s">
        <v>25</v>
      </c>
      <c r="P224" s="6" t="s">
        <v>25</v>
      </c>
      <c r="Q224" s="5" t="s">
        <v>25</v>
      </c>
      <c r="R224" s="5" t="s">
        <v>25</v>
      </c>
      <c r="S224" s="5" t="str">
        <f>VLOOKUP(A224,Sheet2!$A$2:$R$3432,18,0)</f>
        <v>0G4HC1417597</v>
      </c>
      <c r="T224" s="7" t="str">
        <f>VLOOKUP(A224,Sheet2!$A$2:$R$3432,17,0)</f>
        <v>MD626AG44C1KG9995</v>
      </c>
    </row>
    <row r="225" ht="15.75" customHeight="1">
      <c r="A225" s="3" t="s">
        <v>248</v>
      </c>
      <c r="B225" s="4" t="str">
        <f>VLOOKUP(A225,Sheet2!$A$2:$R$3432,2,0)</f>
        <v>2024-12-08 19:49:35</v>
      </c>
      <c r="C225" s="5" t="s">
        <v>25</v>
      </c>
      <c r="D225" s="6" t="s">
        <v>25</v>
      </c>
      <c r="E225" s="7">
        <f>VLOOKUP(A225,Sheet2!$A$2:$R$3432,4,0)</f>
        <v>9981994491</v>
      </c>
      <c r="F225" s="7" t="str">
        <f>VLOOKUP(A225,Sheet2!$A$2:$R$3432,3,0)</f>
        <v>Kunal Saxena </v>
      </c>
      <c r="G225" s="5" t="s">
        <v>25</v>
      </c>
      <c r="H225" s="5" t="s">
        <v>25</v>
      </c>
      <c r="I225" s="5" t="s">
        <v>25</v>
      </c>
      <c r="J225" s="5" t="s">
        <v>25</v>
      </c>
      <c r="K225" s="7" t="str">
        <f>VLOOKUP(A225,Sheet2!$A$2:$R$3432,6,0)</f>
        <v>Royal Enfield ThunderBird 350</v>
      </c>
      <c r="L225" s="5" t="s">
        <v>25</v>
      </c>
      <c r="M225" s="7" t="str">
        <f>VLOOKUP(A225,Sheet2!$A$2:$R$3432,5,0)</f>
        <v>MP05MR9003</v>
      </c>
      <c r="N225" s="5" t="s">
        <v>25</v>
      </c>
      <c r="O225" s="5" t="s">
        <v>25</v>
      </c>
      <c r="P225" s="6" t="s">
        <v>25</v>
      </c>
      <c r="Q225" s="5" t="s">
        <v>25</v>
      </c>
      <c r="R225" s="5" t="s">
        <v>25</v>
      </c>
      <c r="S225" s="7" t="str">
        <f>VLOOKUP(A225,Sheet2!$A$2:$R$3432,18,0)</f>
        <v/>
      </c>
      <c r="T225" s="7" t="str">
        <f>VLOOKUP(A225,Sheet2!$A$2:$R$3432,17,0)</f>
        <v/>
      </c>
    </row>
    <row r="226" ht="15.75" customHeight="1">
      <c r="A226" s="3" t="s">
        <v>249</v>
      </c>
      <c r="B226" s="4" t="str">
        <f>VLOOKUP(A226,Sheet2!$A$2:$R$3432,2,0)</f>
        <v>2024-12-08 14:59:59</v>
      </c>
      <c r="C226" s="5" t="s">
        <v>25</v>
      </c>
      <c r="D226" s="6" t="s">
        <v>25</v>
      </c>
      <c r="E226" s="7">
        <f>VLOOKUP(A226,Sheet2!$A$2:$R$3432,4,0)</f>
        <v>9011464100</v>
      </c>
      <c r="F226" s="7" t="str">
        <f>VLOOKUP(A226,Sheet2!$A$2:$R$3432,3,0)</f>
        <v>SUDHANSHU </v>
      </c>
      <c r="G226" s="5" t="s">
        <v>25</v>
      </c>
      <c r="H226" s="5" t="s">
        <v>25</v>
      </c>
      <c r="I226" s="5" t="s">
        <v>25</v>
      </c>
      <c r="J226" s="5" t="s">
        <v>25</v>
      </c>
      <c r="K226" s="7" t="str">
        <f>VLOOKUP(A226,Sheet2!$A$2:$R$3432,6,0)</f>
        <v>Bajaj Avenger 220 Cruise</v>
      </c>
      <c r="L226" s="5" t="s">
        <v>25</v>
      </c>
      <c r="M226" s="7" t="str">
        <f>VLOOKUP(A226,Sheet2!$A$2:$R$3432,5,0)</f>
        <v>MH12QU9608</v>
      </c>
      <c r="N226" s="5" t="s">
        <v>25</v>
      </c>
      <c r="O226" s="5" t="s">
        <v>25</v>
      </c>
      <c r="P226" s="6" t="s">
        <v>25</v>
      </c>
      <c r="Q226" s="5" t="s">
        <v>25</v>
      </c>
      <c r="R226" s="5" t="s">
        <v>25</v>
      </c>
      <c r="S226" s="5" t="str">
        <f>VLOOKUP(A226,Sheet2!$A$2:$R$3432,18,0)</f>
        <v>JF16EBA9E159L9</v>
      </c>
      <c r="T226" s="7" t="str">
        <f>VLOOKUP(A226,Sheet2!$A$2:$R$3432,17,0)</f>
        <v>MBLJF16GDGF12789</v>
      </c>
    </row>
    <row r="227" ht="15.75" customHeight="1">
      <c r="A227" s="3" t="s">
        <v>250</v>
      </c>
      <c r="B227" s="4" t="str">
        <f>VLOOKUP(A227,Sheet2!$A$2:$R$3432,2,0)</f>
        <v>2024-12-08 18:58:50</v>
      </c>
      <c r="C227" s="5" t="s">
        <v>25</v>
      </c>
      <c r="D227" s="6" t="s">
        <v>25</v>
      </c>
      <c r="E227" s="7">
        <f>VLOOKUP(A227,Sheet2!$A$2:$R$3432,4,0)</f>
        <v>9579811663</v>
      </c>
      <c r="F227" s="7" t="str">
        <f>VLOOKUP(A227,Sheet2!$A$2:$R$3432,3,0)</f>
        <v>Darshan </v>
      </c>
      <c r="G227" s="5" t="s">
        <v>25</v>
      </c>
      <c r="H227" s="5" t="s">
        <v>25</v>
      </c>
      <c r="I227" s="5" t="s">
        <v>25</v>
      </c>
      <c r="J227" s="5" t="s">
        <v>25</v>
      </c>
      <c r="K227" s="7" t="str">
        <f>VLOOKUP(A227,Sheet2!$A$2:$R$3432,6,0)</f>
        <v>TVS Apache RTR 180 New</v>
      </c>
      <c r="L227" s="5" t="s">
        <v>25</v>
      </c>
      <c r="M227" s="7" t="str">
        <f>VLOOKUP(A227,Sheet2!$A$2:$R$3432,5,0)</f>
        <v>MH14DE5481</v>
      </c>
      <c r="N227" s="5" t="s">
        <v>25</v>
      </c>
      <c r="O227" s="5" t="s">
        <v>25</v>
      </c>
      <c r="P227" s="6" t="s">
        <v>25</v>
      </c>
      <c r="Q227" s="5" t="s">
        <v>25</v>
      </c>
      <c r="R227" s="5" t="s">
        <v>25</v>
      </c>
      <c r="S227" s="7" t="str">
        <f>VLOOKUP(A227,Sheet2!$A$2:$R$3432,18,0)</f>
        <v/>
      </c>
      <c r="T227" s="7" t="str">
        <f>VLOOKUP(A227,Sheet2!$A$2:$R$3432,17,0)</f>
        <v/>
      </c>
    </row>
    <row r="228" ht="15.75" customHeight="1">
      <c r="A228" s="3" t="s">
        <v>251</v>
      </c>
      <c r="B228" s="4" t="str">
        <f>VLOOKUP(A228,Sheet2!$A$2:$R$3432,2,0)</f>
        <v>2024-12-08 19:49:12</v>
      </c>
      <c r="C228" s="5" t="s">
        <v>25</v>
      </c>
      <c r="D228" s="6" t="s">
        <v>25</v>
      </c>
      <c r="E228" s="7">
        <f>VLOOKUP(A228,Sheet2!$A$2:$R$3432,4,0)</f>
        <v>7507770410</v>
      </c>
      <c r="F228" s="7" t="str">
        <f>VLOOKUP(A228,Sheet2!$A$2:$R$3432,3,0)</f>
        <v>Mohan</v>
      </c>
      <c r="G228" s="5" t="s">
        <v>25</v>
      </c>
      <c r="H228" s="5" t="s">
        <v>25</v>
      </c>
      <c r="I228" s="5" t="s">
        <v>25</v>
      </c>
      <c r="J228" s="5" t="s">
        <v>25</v>
      </c>
      <c r="K228" s="7" t="str">
        <f>VLOOKUP(A228,Sheet2!$A$2:$R$3432,6,0)</f>
        <v>Honda Activa 125</v>
      </c>
      <c r="L228" s="5" t="s">
        <v>25</v>
      </c>
      <c r="M228" s="7" t="str">
        <f>VLOOKUP(A228,Sheet2!$A$2:$R$3432,5,0)</f>
        <v>MH14EK6280</v>
      </c>
      <c r="N228" s="5" t="s">
        <v>25</v>
      </c>
      <c r="O228" s="5" t="s">
        <v>25</v>
      </c>
      <c r="P228" s="6" t="s">
        <v>25</v>
      </c>
      <c r="Q228" s="5" t="s">
        <v>25</v>
      </c>
      <c r="R228" s="5" t="s">
        <v>25</v>
      </c>
      <c r="S228" s="5" t="str">
        <f>VLOOKUP(A228,Sheet2!$A$2:$R$3432,18,0)</f>
        <v>JF49E80008841</v>
      </c>
      <c r="T228" s="7" t="str">
        <f>VLOOKUP(A228,Sheet2!$A$2:$R$3432,17,0)</f>
        <v>ME4JF491EE8007723</v>
      </c>
    </row>
    <row r="229" ht="15.75" customHeight="1">
      <c r="A229" s="3" t="s">
        <v>252</v>
      </c>
      <c r="B229" s="4" t="str">
        <f>VLOOKUP(A229,Sheet2!$A$2:$R$3432,2,0)</f>
        <v>2024-12-08 14:49:53</v>
      </c>
      <c r="C229" s="5" t="s">
        <v>25</v>
      </c>
      <c r="D229" s="6" t="s">
        <v>25</v>
      </c>
      <c r="E229" s="7">
        <f>VLOOKUP(A229,Sheet2!$A$2:$R$3432,4,0)</f>
        <v>8600660908</v>
      </c>
      <c r="F229" s="7" t="str">
        <f>VLOOKUP(A229,Sheet2!$A$2:$R$3432,3,0)</f>
        <v>Sonali Pawar </v>
      </c>
      <c r="G229" s="5" t="s">
        <v>25</v>
      </c>
      <c r="H229" s="5" t="s">
        <v>25</v>
      </c>
      <c r="I229" s="5" t="s">
        <v>25</v>
      </c>
      <c r="J229" s="5" t="s">
        <v>25</v>
      </c>
      <c r="K229" s="7" t="str">
        <f>VLOOKUP(A229,Sheet2!$A$2:$R$3432,6,0)</f>
        <v>Hero Pleasure </v>
      </c>
      <c r="L229" s="5" t="s">
        <v>25</v>
      </c>
      <c r="M229" s="7" t="str">
        <f>VLOOKUP(A229,Sheet2!$A$2:$R$3432,5,0)</f>
        <v>MH17AM7352</v>
      </c>
      <c r="N229" s="5" t="s">
        <v>25</v>
      </c>
      <c r="O229" s="5" t="s">
        <v>25</v>
      </c>
      <c r="P229" s="6" t="s">
        <v>25</v>
      </c>
      <c r="Q229" s="5" t="s">
        <v>25</v>
      </c>
      <c r="R229" s="5" t="s">
        <v>25</v>
      </c>
      <c r="S229" s="5" t="str">
        <f>VLOOKUP(A229,Sheet2!$A$2:$R$3432,18,0)</f>
        <v>JF16EBBGE27548</v>
      </c>
      <c r="T229" s="7" t="str">
        <f>VLOOKUP(A229,Sheet2!$A$2:$R$3432,17,0)</f>
        <v>MBLJF16EDBGE27218</v>
      </c>
    </row>
    <row r="230" ht="15.75" customHeight="1">
      <c r="A230" s="3" t="s">
        <v>253</v>
      </c>
      <c r="B230" s="4" t="str">
        <f>VLOOKUP(A230,Sheet2!$A$2:$R$3432,2,0)</f>
        <v>2024-12-08 14:45:16</v>
      </c>
      <c r="C230" s="5" t="s">
        <v>25</v>
      </c>
      <c r="D230" s="6" t="s">
        <v>25</v>
      </c>
      <c r="E230" s="7">
        <f>VLOOKUP(A230,Sheet2!$A$2:$R$3432,4,0)</f>
        <v>7498328012</v>
      </c>
      <c r="F230" s="7" t="str">
        <f>VLOOKUP(A230,Sheet2!$A$2:$R$3432,3,0)</f>
        <v>Ramchandra</v>
      </c>
      <c r="G230" s="5" t="s">
        <v>25</v>
      </c>
      <c r="H230" s="5" t="s">
        <v>25</v>
      </c>
      <c r="I230" s="5" t="s">
        <v>25</v>
      </c>
      <c r="J230" s="5" t="s">
        <v>25</v>
      </c>
      <c r="K230" s="7" t="str">
        <f>VLOOKUP(A230,Sheet2!$A$2:$R$3432,6,0)</f>
        <v>Honda Shine </v>
      </c>
      <c r="L230" s="5" t="s">
        <v>25</v>
      </c>
      <c r="M230" s="7" t="str">
        <f>VLOOKUP(A230,Sheet2!$A$2:$R$3432,5,0)</f>
        <v>MH14JV5923</v>
      </c>
      <c r="N230" s="5" t="s">
        <v>25</v>
      </c>
      <c r="O230" s="5" t="s">
        <v>25</v>
      </c>
      <c r="P230" s="6" t="s">
        <v>25</v>
      </c>
      <c r="Q230" s="5" t="s">
        <v>25</v>
      </c>
      <c r="R230" s="5" t="s">
        <v>25</v>
      </c>
      <c r="S230" s="5" t="str">
        <f>VLOOKUP(A230,Sheet2!$A$2:$R$3432,18,0)</f>
        <v>JC85ED107246</v>
      </c>
      <c r="T230" s="7" t="str">
        <f>VLOOKUP(A230,Sheet2!$A$2:$R$3432,17,0)</f>
        <v>ME4JC85AKMD047726</v>
      </c>
    </row>
    <row r="231" ht="15.75" customHeight="1">
      <c r="A231" s="3" t="s">
        <v>254</v>
      </c>
      <c r="B231" s="4" t="str">
        <f>VLOOKUP(A231,Sheet2!$A$2:$R$3432,2,0)</f>
        <v>2024-12-08 14:48:20</v>
      </c>
      <c r="C231" s="5" t="s">
        <v>25</v>
      </c>
      <c r="D231" s="6" t="s">
        <v>25</v>
      </c>
      <c r="E231" s="7">
        <f>VLOOKUP(A231,Sheet2!$A$2:$R$3432,4,0)</f>
        <v>9421276274</v>
      </c>
      <c r="F231" s="7" t="str">
        <f>VLOOKUP(A231,Sheet2!$A$2:$R$3432,3,0)</f>
        <v>Kalpesh Bagul</v>
      </c>
      <c r="G231" s="5" t="s">
        <v>25</v>
      </c>
      <c r="H231" s="5" t="s">
        <v>25</v>
      </c>
      <c r="I231" s="5" t="s">
        <v>25</v>
      </c>
      <c r="J231" s="5" t="s">
        <v>25</v>
      </c>
      <c r="K231" s="7" t="str">
        <f>VLOOKUP(A231,Sheet2!$A$2:$R$3432,6,0)</f>
        <v>Honda Activa </v>
      </c>
      <c r="L231" s="5" t="s">
        <v>25</v>
      </c>
      <c r="M231" s="7" t="str">
        <f>VLOOKUP(A231,Sheet2!$A$2:$R$3432,5,0)</f>
        <v>MH12RG3590</v>
      </c>
      <c r="N231" s="5" t="s">
        <v>25</v>
      </c>
      <c r="O231" s="5" t="s">
        <v>25</v>
      </c>
      <c r="P231" s="6" t="s">
        <v>25</v>
      </c>
      <c r="Q231" s="5" t="s">
        <v>25</v>
      </c>
      <c r="R231" s="5" t="s">
        <v>25</v>
      </c>
      <c r="S231" s="5" t="str">
        <f>VLOOKUP(A231,Sheet2!$A$2:$R$3432,18,0)</f>
        <v>JF50E47411371</v>
      </c>
      <c r="T231" s="7" t="str">
        <f>VLOOKUP(A231,Sheet2!$A$2:$R$3432,17,0)</f>
        <v>ME4JF50AL4411578</v>
      </c>
    </row>
    <row r="232" ht="15.75" customHeight="1">
      <c r="A232" s="3" t="s">
        <v>255</v>
      </c>
      <c r="B232" s="4" t="str">
        <f>VLOOKUP(A232,Sheet2!$A$2:$R$3432,2,0)</f>
        <v>2024-12-08 14:51:29</v>
      </c>
      <c r="C232" s="5" t="s">
        <v>25</v>
      </c>
      <c r="D232" s="6" t="s">
        <v>25</v>
      </c>
      <c r="E232" s="7">
        <f>VLOOKUP(A232,Sheet2!$A$2:$R$3432,4,0)</f>
        <v>8754474123</v>
      </c>
      <c r="F232" s="7" t="str">
        <f>VLOOKUP(A232,Sheet2!$A$2:$R$3432,3,0)</f>
        <v>Rajeev </v>
      </c>
      <c r="G232" s="5" t="s">
        <v>25</v>
      </c>
      <c r="H232" s="5" t="s">
        <v>25</v>
      </c>
      <c r="I232" s="5" t="s">
        <v>25</v>
      </c>
      <c r="J232" s="5" t="s">
        <v>25</v>
      </c>
      <c r="K232" s="7" t="str">
        <f>VLOOKUP(A232,Sheet2!$A$2:$R$3432,6,0)</f>
        <v>Honda Activa 6G</v>
      </c>
      <c r="L232" s="5" t="s">
        <v>25</v>
      </c>
      <c r="M232" s="7" t="str">
        <f>VLOOKUP(A232,Sheet2!$A$2:$R$3432,5,0)</f>
        <v>TN02BT9682</v>
      </c>
      <c r="N232" s="5" t="s">
        <v>25</v>
      </c>
      <c r="O232" s="5" t="s">
        <v>25</v>
      </c>
      <c r="P232" s="6" t="s">
        <v>25</v>
      </c>
      <c r="Q232" s="5" t="s">
        <v>25</v>
      </c>
      <c r="R232" s="5" t="s">
        <v>25</v>
      </c>
      <c r="S232" s="5" t="str">
        <f>VLOOKUP(A232,Sheet2!$A$2:$R$3432,18,0)</f>
        <v>JF91EG1384989</v>
      </c>
      <c r="T232" s="7" t="str">
        <f>VLOOKUP(A232,Sheet2!$A$2:$R$3432,17,0)</f>
        <v>ME4JF9148MG386019N</v>
      </c>
    </row>
    <row r="233" ht="15.75" customHeight="1">
      <c r="A233" s="3" t="s">
        <v>256</v>
      </c>
      <c r="B233" s="4" t="str">
        <f>VLOOKUP(A233,Sheet2!$A$2:$R$3432,2,0)</f>
        <v>2024-12-08 14:55:06</v>
      </c>
      <c r="C233" s="5" t="s">
        <v>25</v>
      </c>
      <c r="D233" s="6" t="s">
        <v>25</v>
      </c>
      <c r="E233" s="7">
        <f>VLOOKUP(A233,Sheet2!$A$2:$R$3432,4,0)</f>
        <v>9890921262</v>
      </c>
      <c r="F233" s="7" t="str">
        <f>VLOOKUP(A233,Sheet2!$A$2:$R$3432,3,0)</f>
        <v>SUDARSHAN </v>
      </c>
      <c r="G233" s="5" t="s">
        <v>25</v>
      </c>
      <c r="H233" s="5" t="s">
        <v>25</v>
      </c>
      <c r="I233" s="5" t="s">
        <v>25</v>
      </c>
      <c r="J233" s="5" t="s">
        <v>25</v>
      </c>
      <c r="K233" s="7" t="str">
        <f>VLOOKUP(A233,Sheet2!$A$2:$R$3432,6,0)</f>
        <v>TVS Star City </v>
      </c>
      <c r="L233" s="5" t="s">
        <v>25</v>
      </c>
      <c r="M233" s="7" t="str">
        <f>VLOOKUP(A233,Sheet2!$A$2:$R$3432,5,0)</f>
        <v>MH14CA7532</v>
      </c>
      <c r="N233" s="5" t="s">
        <v>25</v>
      </c>
      <c r="O233" s="5" t="s">
        <v>25</v>
      </c>
      <c r="P233" s="6" t="s">
        <v>25</v>
      </c>
      <c r="Q233" s="5" t="s">
        <v>25</v>
      </c>
      <c r="R233" s="5" t="s">
        <v>25</v>
      </c>
      <c r="S233" s="5" t="str">
        <f>VLOOKUP(A233,Sheet2!$A$2:$R$3432,18,0)</f>
        <v>CF1LE1124064</v>
      </c>
      <c r="T233" s="7" t="str">
        <f>VLOOKUP(A233,Sheet2!$A$2:$R$3432,17,0)</f>
        <v>MD625CF18E1176323</v>
      </c>
    </row>
    <row r="234" ht="15.75" customHeight="1">
      <c r="A234" s="3" t="s">
        <v>257</v>
      </c>
      <c r="B234" s="4" t="str">
        <f>VLOOKUP(A234,Sheet2!$A$2:$R$3432,2,0)</f>
        <v>2024-12-08 14:53:30</v>
      </c>
      <c r="C234" s="5" t="s">
        <v>25</v>
      </c>
      <c r="D234" s="6" t="s">
        <v>25</v>
      </c>
      <c r="E234" s="7">
        <f>VLOOKUP(A234,Sheet2!$A$2:$R$3432,4,0)</f>
        <v>9545537496</v>
      </c>
      <c r="F234" s="7" t="str">
        <f>VLOOKUP(A234,Sheet2!$A$2:$R$3432,3,0)</f>
        <v>Rohan </v>
      </c>
      <c r="G234" s="5" t="s">
        <v>25</v>
      </c>
      <c r="H234" s="5" t="s">
        <v>25</v>
      </c>
      <c r="I234" s="5" t="s">
        <v>25</v>
      </c>
      <c r="J234" s="5" t="s">
        <v>25</v>
      </c>
      <c r="K234" s="7" t="str">
        <f>VLOOKUP(A234,Sheet2!$A$2:$R$3432,6,0)</f>
        <v>Yamaha FZ V3</v>
      </c>
      <c r="L234" s="5" t="s">
        <v>25</v>
      </c>
      <c r="M234" s="7" t="str">
        <f>VLOOKUP(A234,Sheet2!$A$2:$R$3432,5,0)</f>
        <v>MH11CZ8986</v>
      </c>
      <c r="N234" s="5" t="s">
        <v>25</v>
      </c>
      <c r="O234" s="5" t="s">
        <v>25</v>
      </c>
      <c r="P234" s="6" t="s">
        <v>25</v>
      </c>
      <c r="Q234" s="5" t="s">
        <v>25</v>
      </c>
      <c r="R234" s="5" t="s">
        <v>25</v>
      </c>
      <c r="S234" s="5" t="str">
        <f>VLOOKUP(A234,Sheet2!$A$2:$R$3432,18,0)</f>
        <v>G3N5E0124779</v>
      </c>
      <c r="T234" s="7" t="str">
        <f>VLOOKUP(A234,Sheet2!$A$2:$R$3432,17,0)</f>
        <v>ME1RG6692M0007664</v>
      </c>
    </row>
    <row r="235" ht="15.75" customHeight="1">
      <c r="A235" s="3" t="s">
        <v>258</v>
      </c>
      <c r="B235" s="4" t="str">
        <f>VLOOKUP(A235,Sheet2!$A$2:$R$3432,2,0)</f>
        <v>2024-12-08 14:56:12</v>
      </c>
      <c r="C235" s="5" t="s">
        <v>25</v>
      </c>
      <c r="D235" s="6" t="s">
        <v>25</v>
      </c>
      <c r="E235" s="7">
        <f>VLOOKUP(A235,Sheet2!$A$2:$R$3432,4,0)</f>
        <v>9823637750</v>
      </c>
      <c r="F235" s="7" t="str">
        <f>VLOOKUP(A235,Sheet2!$A$2:$R$3432,3,0)</f>
        <v>Avinash More</v>
      </c>
      <c r="G235" s="5" t="s">
        <v>25</v>
      </c>
      <c r="H235" s="5" t="s">
        <v>25</v>
      </c>
      <c r="I235" s="5" t="s">
        <v>25</v>
      </c>
      <c r="J235" s="5" t="s">
        <v>25</v>
      </c>
      <c r="K235" s="7" t="str">
        <f>VLOOKUP(A235,Sheet2!$A$2:$R$3432,6,0)</f>
        <v>Hero Xpulse 200</v>
      </c>
      <c r="L235" s="5" t="s">
        <v>25</v>
      </c>
      <c r="M235" s="7" t="str">
        <f>VLOOKUP(A235,Sheet2!$A$2:$R$3432,5,0)</f>
        <v>MH14HR8911</v>
      </c>
      <c r="N235" s="5" t="s">
        <v>25</v>
      </c>
      <c r="O235" s="5" t="s">
        <v>25</v>
      </c>
      <c r="P235" s="6" t="s">
        <v>25</v>
      </c>
      <c r="Q235" s="5" t="s">
        <v>25</v>
      </c>
      <c r="R235" s="5" t="s">
        <v>25</v>
      </c>
      <c r="S235" s="5" t="str">
        <f>VLOOKUP(A235,Sheet2!$A$2:$R$3432,18,0)</f>
        <v>MC204BKGE00392</v>
      </c>
      <c r="T235" s="7" t="str">
        <f>VLOOKUP(A235,Sheet2!$A$2:$R$3432,17,0)</f>
        <v>MBLDL026KGF00343</v>
      </c>
    </row>
    <row r="236" ht="15.75" customHeight="1">
      <c r="A236" s="3" t="s">
        <v>259</v>
      </c>
      <c r="B236" s="4" t="str">
        <f>VLOOKUP(A236,Sheet2!$A$2:$R$3432,2,0)</f>
        <v>2024-12-08 14:57:45</v>
      </c>
      <c r="C236" s="5" t="s">
        <v>25</v>
      </c>
      <c r="D236" s="6" t="s">
        <v>25</v>
      </c>
      <c r="E236" s="7">
        <f>VLOOKUP(A236,Sheet2!$A$2:$R$3432,4,0)</f>
        <v>9545458661</v>
      </c>
      <c r="F236" s="7" t="str">
        <f>VLOOKUP(A236,Sheet2!$A$2:$R$3432,3,0)</f>
        <v>Mithun Vaidya</v>
      </c>
      <c r="G236" s="5" t="s">
        <v>25</v>
      </c>
      <c r="H236" s="5" t="s">
        <v>25</v>
      </c>
      <c r="I236" s="5" t="s">
        <v>25</v>
      </c>
      <c r="J236" s="5" t="s">
        <v>25</v>
      </c>
      <c r="K236" s="7" t="str">
        <f>VLOOKUP(A236,Sheet2!$A$2:$R$3432,6,0)</f>
        <v>Bajaj Avenger 220 Cruise</v>
      </c>
      <c r="L236" s="5" t="s">
        <v>25</v>
      </c>
      <c r="M236" s="7" t="str">
        <f>VLOOKUP(A236,Sheet2!$A$2:$R$3432,5,0)</f>
        <v>MH14GB7531</v>
      </c>
      <c r="N236" s="5" t="s">
        <v>25</v>
      </c>
      <c r="O236" s="5" t="s">
        <v>25</v>
      </c>
      <c r="P236" s="6" t="s">
        <v>25</v>
      </c>
      <c r="Q236" s="5" t="s">
        <v>25</v>
      </c>
      <c r="R236" s="5" t="s">
        <v>25</v>
      </c>
      <c r="S236" s="5" t="str">
        <f>VLOOKUP(A236,Sheet2!$A$2:$R$3432,18,0)</f>
        <v>PDYCHL76745</v>
      </c>
      <c r="T236" s="7" t="str">
        <f>VLOOKUP(A236,Sheet2!$A$2:$R$3432,17,0)</f>
        <v>MDZA22EY4HCL05790</v>
      </c>
    </row>
    <row r="237" ht="15.75" customHeight="1">
      <c r="A237" s="3" t="s">
        <v>260</v>
      </c>
      <c r="B237" s="4" t="str">
        <f>VLOOKUP(A237,Sheet2!$A$2:$R$3432,2,0)</f>
        <v>2024-12-08 18:16:26</v>
      </c>
      <c r="C237" s="5" t="s">
        <v>25</v>
      </c>
      <c r="D237" s="6" t="s">
        <v>25</v>
      </c>
      <c r="E237" s="7">
        <f>VLOOKUP(A237,Sheet2!$A$2:$R$3432,4,0)</f>
        <v>8149443971</v>
      </c>
      <c r="F237" s="7" t="str">
        <f>VLOOKUP(A237,Sheet2!$A$2:$R$3432,3,0)</f>
        <v>Rishabh</v>
      </c>
      <c r="G237" s="5" t="s">
        <v>25</v>
      </c>
      <c r="H237" s="5" t="s">
        <v>25</v>
      </c>
      <c r="I237" s="5" t="s">
        <v>25</v>
      </c>
      <c r="J237" s="5" t="s">
        <v>25</v>
      </c>
      <c r="K237" s="7" t="str">
        <f>VLOOKUP(A237,Sheet2!$A$2:$R$3432,6,0)</f>
        <v>Honda Activa 6G</v>
      </c>
      <c r="L237" s="5" t="s">
        <v>25</v>
      </c>
      <c r="M237" s="7" t="str">
        <f>VLOOKUP(A237,Sheet2!$A$2:$R$3432,5,0)</f>
        <v>MH14KT1540</v>
      </c>
      <c r="N237" s="5" t="s">
        <v>25</v>
      </c>
      <c r="O237" s="5" t="s">
        <v>25</v>
      </c>
      <c r="P237" s="6" t="s">
        <v>25</v>
      </c>
      <c r="Q237" s="5" t="s">
        <v>25</v>
      </c>
      <c r="R237" s="5" t="s">
        <v>25</v>
      </c>
      <c r="S237" s="5" t="str">
        <f>VLOOKUP(A237,Sheet2!$A$2:$R$3432,18,0)</f>
        <v>JK15EG5043553</v>
      </c>
      <c r="T237" s="7" t="str">
        <f>VLOOKUP(A237,Sheet2!$A$2:$R$3432,17,0)</f>
        <v>ME4JK156CPG043385</v>
      </c>
    </row>
    <row r="238" ht="15.75" customHeight="1">
      <c r="A238" s="3" t="s">
        <v>261</v>
      </c>
      <c r="B238" s="4" t="str">
        <f>VLOOKUP(A238,Sheet2!$A$2:$R$3432,2,0)</f>
        <v>2024-12-08 17:43:22</v>
      </c>
      <c r="C238" s="5" t="s">
        <v>25</v>
      </c>
      <c r="D238" s="6" t="s">
        <v>25</v>
      </c>
      <c r="E238" s="7">
        <f>VLOOKUP(A238,Sheet2!$A$2:$R$3432,4,0)</f>
        <v>9474590723</v>
      </c>
      <c r="F238" s="7" t="str">
        <f>VLOOKUP(A238,Sheet2!$A$2:$R$3432,3,0)</f>
        <v>Abhishek </v>
      </c>
      <c r="G238" s="5" t="s">
        <v>25</v>
      </c>
      <c r="H238" s="5" t="s">
        <v>25</v>
      </c>
      <c r="I238" s="5" t="s">
        <v>25</v>
      </c>
      <c r="J238" s="5" t="s">
        <v>25</v>
      </c>
      <c r="K238" s="7" t="str">
        <f>VLOOKUP(A238,Sheet2!$A$2:$R$3432,6,0)</f>
        <v>Honda Trigger </v>
      </c>
      <c r="L238" s="5" t="s">
        <v>25</v>
      </c>
      <c r="M238" s="7" t="str">
        <f>VLOOKUP(A238,Sheet2!$A$2:$R$3432,5,0)</f>
        <v>MH14ED9726</v>
      </c>
      <c r="N238" s="5" t="s">
        <v>25</v>
      </c>
      <c r="O238" s="5" t="s">
        <v>25</v>
      </c>
      <c r="P238" s="6" t="s">
        <v>25</v>
      </c>
      <c r="Q238" s="5" t="s">
        <v>25</v>
      </c>
      <c r="R238" s="5" t="s">
        <v>25</v>
      </c>
      <c r="S238" s="5" t="str">
        <f>VLOOKUP(A238,Sheet2!$A$2:$R$3432,18,0)</f>
        <v>KC19E80029205</v>
      </c>
      <c r="T238" s="7" t="str">
        <f>VLOOKUP(A238,Sheet2!$A$2:$R$3432,17,0)</f>
        <v>ME4KC19KD8020663</v>
      </c>
    </row>
    <row r="239" ht="15.75" customHeight="1">
      <c r="A239" s="3" t="s">
        <v>262</v>
      </c>
      <c r="B239" s="4" t="str">
        <f>VLOOKUP(A239,Sheet2!$A$2:$R$3432,2,0)</f>
        <v>2024-12-08 17:47:25</v>
      </c>
      <c r="C239" s="5" t="s">
        <v>25</v>
      </c>
      <c r="D239" s="6" t="s">
        <v>25</v>
      </c>
      <c r="E239" s="7">
        <f>VLOOKUP(A239,Sheet2!$A$2:$R$3432,4,0)</f>
        <v>7385916404</v>
      </c>
      <c r="F239" s="7" t="str">
        <f>VLOOKUP(A239,Sheet2!$A$2:$R$3432,3,0)</f>
        <v>Abhijit </v>
      </c>
      <c r="G239" s="5" t="s">
        <v>25</v>
      </c>
      <c r="H239" s="5" t="s">
        <v>25</v>
      </c>
      <c r="I239" s="5" t="s">
        <v>25</v>
      </c>
      <c r="J239" s="5" t="s">
        <v>25</v>
      </c>
      <c r="K239" s="7" t="str">
        <f>VLOOKUP(A239,Sheet2!$A$2:$R$3432,6,0)</f>
        <v>TVS Star City No Data</v>
      </c>
      <c r="L239" s="5" t="s">
        <v>25</v>
      </c>
      <c r="M239" s="7" t="str">
        <f>VLOOKUP(A239,Sheet2!$A$2:$R$3432,5,0)</f>
        <v>MH17BH4312</v>
      </c>
      <c r="N239" s="5" t="s">
        <v>25</v>
      </c>
      <c r="O239" s="5" t="s">
        <v>25</v>
      </c>
      <c r="P239" s="6" t="s">
        <v>25</v>
      </c>
      <c r="Q239" s="5" t="s">
        <v>25</v>
      </c>
      <c r="R239" s="5" t="s">
        <v>25</v>
      </c>
      <c r="S239" s="5" t="str">
        <f>VLOOKUP(A239,Sheet2!$A$2:$R$3432,18,0)</f>
        <v>CF1HF1531903</v>
      </c>
      <c r="T239" s="7" t="str">
        <f>VLOOKUP(A239,Sheet2!$A$2:$R$3432,17,0)</f>
        <v>MD625CF11E1H13578</v>
      </c>
    </row>
    <row r="240" ht="15.75" customHeight="1">
      <c r="A240" s="3" t="s">
        <v>263</v>
      </c>
      <c r="B240" s="4" t="str">
        <f>VLOOKUP(A240,Sheet2!$A$2:$R$3432,2,0)</f>
        <v>2024-12-08 18:15:14</v>
      </c>
      <c r="C240" s="5" t="s">
        <v>25</v>
      </c>
      <c r="D240" s="6" t="s">
        <v>25</v>
      </c>
      <c r="E240" s="7">
        <f>VLOOKUP(A240,Sheet2!$A$2:$R$3432,4,0)</f>
        <v>9400116295</v>
      </c>
      <c r="F240" s="7" t="str">
        <f>VLOOKUP(A240,Sheet2!$A$2:$R$3432,3,0)</f>
        <v>SHANIF K</v>
      </c>
      <c r="G240" s="5" t="s">
        <v>25</v>
      </c>
      <c r="H240" s="5" t="s">
        <v>25</v>
      </c>
      <c r="I240" s="5" t="s">
        <v>25</v>
      </c>
      <c r="J240" s="5" t="s">
        <v>25</v>
      </c>
      <c r="K240" s="7" t="str">
        <f>VLOOKUP(A240,Sheet2!$A$2:$R$3432,6,0)</f>
        <v>Yamaha FZ S 2.0</v>
      </c>
      <c r="L240" s="5" t="s">
        <v>25</v>
      </c>
      <c r="M240" s="7" t="str">
        <f>VLOOKUP(A240,Sheet2!$A$2:$R$3432,5,0)</f>
        <v>KL50F6074</v>
      </c>
      <c r="N240" s="5" t="s">
        <v>25</v>
      </c>
      <c r="O240" s="5" t="s">
        <v>25</v>
      </c>
      <c r="P240" s="6" t="s">
        <v>25</v>
      </c>
      <c r="Q240" s="5" t="s">
        <v>25</v>
      </c>
      <c r="R240" s="5" t="s">
        <v>25</v>
      </c>
      <c r="S240" s="5" t="str">
        <f>VLOOKUP(A240,Sheet2!$A$2:$R$3432,18,0)</f>
        <v>G3J3E0043143</v>
      </c>
      <c r="T240" s="7" t="str">
        <f>VLOOKUP(A240,Sheet2!$A$2:$R$3432,17,0)</f>
        <v>ME1RG4415H0009871</v>
      </c>
    </row>
    <row r="241" ht="15.75" customHeight="1">
      <c r="A241" s="3" t="s">
        <v>264</v>
      </c>
      <c r="B241" s="4" t="str">
        <f>VLOOKUP(A241,Sheet2!$A$2:$R$3432,2,0)</f>
        <v>2024-12-08 18:17:38</v>
      </c>
      <c r="C241" s="5" t="s">
        <v>25</v>
      </c>
      <c r="D241" s="6" t="s">
        <v>25</v>
      </c>
      <c r="E241" s="7">
        <f>VLOOKUP(A241,Sheet2!$A$2:$R$3432,4,0)</f>
        <v>9284618421</v>
      </c>
      <c r="F241" s="7" t="str">
        <f>VLOOKUP(A241,Sheet2!$A$2:$R$3432,3,0)</f>
        <v>Pratik Mane</v>
      </c>
      <c r="G241" s="5" t="s">
        <v>25</v>
      </c>
      <c r="H241" s="5" t="s">
        <v>25</v>
      </c>
      <c r="I241" s="5" t="s">
        <v>25</v>
      </c>
      <c r="J241" s="5" t="s">
        <v>25</v>
      </c>
      <c r="K241" s="7" t="str">
        <f>VLOOKUP(A241,Sheet2!$A$2:$R$3432,6,0)</f>
        <v>Hero Splendor iSmart</v>
      </c>
      <c r="L241" s="5" t="s">
        <v>25</v>
      </c>
      <c r="M241" s="7" t="str">
        <f>VLOOKUP(A241,Sheet2!$A$2:$R$3432,5,0)</f>
        <v>MH14GF1347</v>
      </c>
      <c r="N241" s="5" t="s">
        <v>25</v>
      </c>
      <c r="O241" s="5" t="s">
        <v>25</v>
      </c>
      <c r="P241" s="6" t="s">
        <v>25</v>
      </c>
      <c r="Q241" s="5" t="s">
        <v>25</v>
      </c>
      <c r="R241" s="5" t="s">
        <v>25</v>
      </c>
      <c r="S241" s="5" t="str">
        <f>VLOOKUP(A241,Sheet2!$A$2:$R$3432,18,0)</f>
        <v>HA12EMFHJ02538</v>
      </c>
      <c r="T241" s="7" t="str">
        <f>VLOOKUP(A241,Sheet2!$A$2:$R$3432,17,0)</f>
        <v>MBLHA12ACFHJ02537</v>
      </c>
    </row>
    <row r="242" ht="15.75" customHeight="1">
      <c r="A242" s="3" t="s">
        <v>265</v>
      </c>
      <c r="B242" s="4" t="str">
        <f>VLOOKUP(A242,Sheet2!$A$2:$R$3432,2,0)</f>
        <v>2024-12-08 18:30:11</v>
      </c>
      <c r="C242" s="5" t="s">
        <v>25</v>
      </c>
      <c r="D242" s="6" t="s">
        <v>25</v>
      </c>
      <c r="E242" s="7">
        <f>VLOOKUP(A242,Sheet2!$A$2:$R$3432,4,0)</f>
        <v>9665742133</v>
      </c>
      <c r="F242" s="7" t="str">
        <f>VLOOKUP(A242,Sheet2!$A$2:$R$3432,3,0)</f>
        <v>PRATIK MARATHE</v>
      </c>
      <c r="G242" s="5" t="s">
        <v>25</v>
      </c>
      <c r="H242" s="5" t="s">
        <v>25</v>
      </c>
      <c r="I242" s="5" t="s">
        <v>25</v>
      </c>
      <c r="J242" s="5" t="s">
        <v>25</v>
      </c>
      <c r="K242" s="7" t="str">
        <f>VLOOKUP(A242,Sheet2!$A$2:$R$3432,6,0)</f>
        <v>Honda Activa 6G</v>
      </c>
      <c r="L242" s="5" t="s">
        <v>25</v>
      </c>
      <c r="M242" s="7" t="str">
        <f>VLOOKUP(A242,Sheet2!$A$2:$R$3432,5,0)</f>
        <v>MH31FV0925</v>
      </c>
      <c r="N242" s="5" t="s">
        <v>25</v>
      </c>
      <c r="O242" s="5" t="s">
        <v>25</v>
      </c>
      <c r="P242" s="6" t="s">
        <v>25</v>
      </c>
      <c r="Q242" s="5" t="s">
        <v>25</v>
      </c>
      <c r="R242" s="5" t="s">
        <v>25</v>
      </c>
      <c r="S242" s="5" t="str">
        <f>VLOOKUP(A242,Sheet2!$A$2:$R$3432,18,0)</f>
        <v>JF01EW60377906</v>
      </c>
      <c r="T242" s="7" t="str">
        <f>VLOOKUP(A242,Sheet2!$A$2:$R$3432,17,0)</f>
        <v>ME4JF9CNW037712</v>
      </c>
    </row>
    <row r="243" ht="15.75" customHeight="1">
      <c r="A243" s="3" t="s">
        <v>266</v>
      </c>
      <c r="B243" s="4" t="str">
        <f>VLOOKUP(A243,Sheet2!$A$2:$R$3432,2,0)</f>
        <v>2024-12-08 19:40:35</v>
      </c>
      <c r="C243" s="5" t="s">
        <v>25</v>
      </c>
      <c r="D243" s="6" t="s">
        <v>25</v>
      </c>
      <c r="E243" s="7">
        <f>VLOOKUP(A243,Sheet2!$A$2:$R$3432,4,0)</f>
        <v>8421891504</v>
      </c>
      <c r="F243" s="7" t="str">
        <f>VLOOKUP(A243,Sheet2!$A$2:$R$3432,3,0)</f>
        <v>Aniket Shirode</v>
      </c>
      <c r="G243" s="5" t="s">
        <v>25</v>
      </c>
      <c r="H243" s="5" t="s">
        <v>25</v>
      </c>
      <c r="I243" s="5" t="s">
        <v>25</v>
      </c>
      <c r="J243" s="5" t="s">
        <v>25</v>
      </c>
      <c r="K243" s="7" t="str">
        <f>VLOOKUP(A243,Sheet2!$A$2:$R$3432,6,0)</f>
        <v>TVS Rider 125</v>
      </c>
      <c r="L243" s="5" t="s">
        <v>25</v>
      </c>
      <c r="M243" s="7" t="str">
        <f>VLOOKUP(A243,Sheet2!$A$2:$R$3432,5,0)</f>
        <v>MH12UV6678</v>
      </c>
      <c r="N243" s="5" t="s">
        <v>25</v>
      </c>
      <c r="O243" s="5" t="s">
        <v>25</v>
      </c>
      <c r="P243" s="6" t="s">
        <v>25</v>
      </c>
      <c r="Q243" s="5" t="s">
        <v>25</v>
      </c>
      <c r="R243" s="5" t="s">
        <v>25</v>
      </c>
      <c r="S243" s="7" t="str">
        <f>VLOOKUP(A243,Sheet2!$A$2:$R$3432,18,0)</f>
        <v/>
      </c>
      <c r="T243" s="7" t="str">
        <f>VLOOKUP(A243,Sheet2!$A$2:$R$3432,17,0)</f>
        <v>MD685AF97N05842</v>
      </c>
    </row>
    <row r="244" ht="15.75" customHeight="1">
      <c r="A244" s="3" t="s">
        <v>267</v>
      </c>
      <c r="B244" s="4" t="str">
        <f>VLOOKUP(A244,Sheet2!$A$2:$R$3432,2,0)</f>
        <v>2024-12-08 18:50:16</v>
      </c>
      <c r="C244" s="5" t="s">
        <v>25</v>
      </c>
      <c r="D244" s="6" t="s">
        <v>25</v>
      </c>
      <c r="E244" s="7">
        <f>VLOOKUP(A244,Sheet2!$A$2:$R$3432,4,0)</f>
        <v>9561552255</v>
      </c>
      <c r="F244" s="7" t="str">
        <f>VLOOKUP(A244,Sheet2!$A$2:$R$3432,3,0)</f>
        <v>Sagar</v>
      </c>
      <c r="G244" s="5" t="s">
        <v>25</v>
      </c>
      <c r="H244" s="5" t="s">
        <v>25</v>
      </c>
      <c r="I244" s="5" t="s">
        <v>25</v>
      </c>
      <c r="J244" s="5" t="s">
        <v>25</v>
      </c>
      <c r="K244" s="7" t="str">
        <f>VLOOKUP(A244,Sheet2!$A$2:$R$3432,6,0)</f>
        <v>Honda Unicorn 160</v>
      </c>
      <c r="L244" s="5" t="s">
        <v>25</v>
      </c>
      <c r="M244" s="7" t="str">
        <f>VLOOKUP(A244,Sheet2!$A$2:$R$3432,5,0)</f>
        <v>MH16BL4191</v>
      </c>
      <c r="N244" s="5" t="s">
        <v>25</v>
      </c>
      <c r="O244" s="5" t="s">
        <v>25</v>
      </c>
      <c r="P244" s="6" t="s">
        <v>25</v>
      </c>
      <c r="Q244" s="5" t="s">
        <v>25</v>
      </c>
      <c r="R244" s="5" t="s">
        <v>25</v>
      </c>
      <c r="S244" s="7" t="str">
        <f>VLOOKUP(A244,Sheet2!$A$2:$R$3432,18,0)</f>
        <v/>
      </c>
      <c r="T244" s="7" t="str">
        <f>VLOOKUP(A244,Sheet2!$A$2:$R$3432,17,0)</f>
        <v>ME4KC201DF8040962</v>
      </c>
    </row>
    <row r="245" ht="15.75" customHeight="1">
      <c r="A245" s="3" t="s">
        <v>268</v>
      </c>
      <c r="B245" s="4" t="str">
        <f>VLOOKUP(A245,Sheet2!$A$2:$R$3432,2,0)</f>
        <v>2024-12-08 18:52:13</v>
      </c>
      <c r="C245" s="5" t="s">
        <v>25</v>
      </c>
      <c r="D245" s="6" t="s">
        <v>25</v>
      </c>
      <c r="E245" s="7">
        <f>VLOOKUP(A245,Sheet2!$A$2:$R$3432,4,0)</f>
        <v>9890787847</v>
      </c>
      <c r="F245" s="7" t="str">
        <f>VLOOKUP(A245,Sheet2!$A$2:$R$3432,3,0)</f>
        <v>Mohit</v>
      </c>
      <c r="G245" s="5" t="s">
        <v>25</v>
      </c>
      <c r="H245" s="5" t="s">
        <v>25</v>
      </c>
      <c r="I245" s="5" t="s">
        <v>25</v>
      </c>
      <c r="J245" s="5" t="s">
        <v>25</v>
      </c>
      <c r="K245" s="7" t="str">
        <f>VLOOKUP(A245,Sheet2!$A$2:$R$3432,6,0)</f>
        <v>Yamaha FZ </v>
      </c>
      <c r="L245" s="5" t="s">
        <v>25</v>
      </c>
      <c r="M245" s="7" t="str">
        <f>VLOOKUP(A245,Sheet2!$A$2:$R$3432,5,0)</f>
        <v>MH12PP7876</v>
      </c>
      <c r="N245" s="5" t="s">
        <v>25</v>
      </c>
      <c r="O245" s="5" t="s">
        <v>25</v>
      </c>
      <c r="P245" s="6" t="s">
        <v>25</v>
      </c>
      <c r="Q245" s="5" t="s">
        <v>25</v>
      </c>
      <c r="R245" s="5" t="s">
        <v>25</v>
      </c>
      <c r="S245" s="5" t="str">
        <f>VLOOKUP(A245,Sheet2!$A$2:$R$3432,18,0)</f>
        <v>G3J3E0055117</v>
      </c>
      <c r="T245" s="7" t="str">
        <f>VLOOKUP(A245,Sheet2!$A$2:$R$3432,17,0)</f>
        <v>ME1RG4426H0037754</v>
      </c>
    </row>
    <row r="246" ht="15.75" customHeight="1">
      <c r="A246" s="3" t="s">
        <v>269</v>
      </c>
      <c r="B246" s="4" t="str">
        <f>VLOOKUP(A246,Sheet2!$A$2:$R$3432,2,0)</f>
        <v>2024-12-08 19:00:52</v>
      </c>
      <c r="C246" s="5" t="s">
        <v>25</v>
      </c>
      <c r="D246" s="6" t="s">
        <v>25</v>
      </c>
      <c r="E246" s="7">
        <f>VLOOKUP(A246,Sheet2!$A$2:$R$3432,4,0)</f>
        <v>9028259208</v>
      </c>
      <c r="F246" s="7" t="str">
        <f>VLOOKUP(A246,Sheet2!$A$2:$R$3432,3,0)</f>
        <v>Nikhil Dusane</v>
      </c>
      <c r="G246" s="5" t="s">
        <v>25</v>
      </c>
      <c r="H246" s="5" t="s">
        <v>25</v>
      </c>
      <c r="I246" s="5" t="s">
        <v>25</v>
      </c>
      <c r="J246" s="5" t="s">
        <v>25</v>
      </c>
      <c r="K246" s="7" t="str">
        <f>VLOOKUP(A246,Sheet2!$A$2:$R$3432,6,0)</f>
        <v>Bajaj Pulsar 125</v>
      </c>
      <c r="L246" s="5" t="s">
        <v>25</v>
      </c>
      <c r="M246" s="7" t="str">
        <f>VLOOKUP(A246,Sheet2!$A$2:$R$3432,5,0)</f>
        <v>MH19DQ8969</v>
      </c>
      <c r="N246" s="5" t="s">
        <v>25</v>
      </c>
      <c r="O246" s="5" t="s">
        <v>25</v>
      </c>
      <c r="P246" s="6" t="s">
        <v>25</v>
      </c>
      <c r="Q246" s="5" t="s">
        <v>25</v>
      </c>
      <c r="R246" s="5" t="s">
        <v>25</v>
      </c>
      <c r="S246" s="5" t="str">
        <f>VLOOKUP(A246,Sheet2!$A$2:$R$3432,18,0)</f>
        <v>D11XWLG64810</v>
      </c>
      <c r="T246" s="7" t="str">
        <f>VLOOKUP(A246,Sheet2!$A$2:$R$3432,17,0)</f>
        <v>MDB64BX3LWG1660</v>
      </c>
    </row>
    <row r="247" ht="15.75" customHeight="1">
      <c r="A247" s="3" t="s">
        <v>270</v>
      </c>
      <c r="B247" s="4" t="str">
        <f>VLOOKUP(A247,Sheet2!$A$2:$R$3432,2,0)</f>
        <v>2024-12-08 19:39:54</v>
      </c>
      <c r="C247" s="5" t="s">
        <v>25</v>
      </c>
      <c r="D247" s="6" t="s">
        <v>25</v>
      </c>
      <c r="E247" s="7">
        <f>VLOOKUP(A247,Sheet2!$A$2:$R$3432,4,0)</f>
        <v>8329085585</v>
      </c>
      <c r="F247" s="7" t="str">
        <f>VLOOKUP(A247,Sheet2!$A$2:$R$3432,3,0)</f>
        <v>Dhanajay</v>
      </c>
      <c r="G247" s="5" t="s">
        <v>25</v>
      </c>
      <c r="H247" s="5" t="s">
        <v>25</v>
      </c>
      <c r="I247" s="5" t="s">
        <v>25</v>
      </c>
      <c r="J247" s="5" t="s">
        <v>25</v>
      </c>
      <c r="K247" s="7" t="str">
        <f>VLOOKUP(A247,Sheet2!$A$2:$R$3432,6,0)</f>
        <v>Honda Shine BS6</v>
      </c>
      <c r="L247" s="5" t="s">
        <v>25</v>
      </c>
      <c r="M247" s="7" t="str">
        <f>VLOOKUP(A247,Sheet2!$A$2:$R$3432,5,0)</f>
        <v>MH12UH1649</v>
      </c>
      <c r="N247" s="5" t="s">
        <v>25</v>
      </c>
      <c r="O247" s="5" t="s">
        <v>25</v>
      </c>
      <c r="P247" s="6" t="s">
        <v>25</v>
      </c>
      <c r="Q247" s="5" t="s">
        <v>25</v>
      </c>
      <c r="R247" s="5" t="s">
        <v>25</v>
      </c>
      <c r="S247" s="5" t="str">
        <f>VLOOKUP(A247,Sheet2!$A$2:$R$3432,18,0)</f>
        <v>JC85E02135391</v>
      </c>
      <c r="T247" s="7" t="str">
        <f>VLOOKUP(A247,Sheet2!$A$2:$R$3432,17,0)</f>
        <v>ME4JE85DDM0047857</v>
      </c>
    </row>
    <row r="248" ht="15.75" customHeight="1">
      <c r="A248" s="3" t="s">
        <v>271</v>
      </c>
      <c r="B248" s="4" t="str">
        <f>VLOOKUP(A248,Sheet2!$A$2:$R$3432,2,0)</f>
        <v>2024-12-08 20:28:13</v>
      </c>
      <c r="C248" s="5" t="s">
        <v>25</v>
      </c>
      <c r="D248" s="6" t="s">
        <v>25</v>
      </c>
      <c r="E248" s="7">
        <f>VLOOKUP(A248,Sheet2!$A$2:$R$3432,4,0)</f>
        <v>9028881305</v>
      </c>
      <c r="F248" s="7" t="str">
        <f>VLOOKUP(A248,Sheet2!$A$2:$R$3432,3,0)</f>
        <v>Nitish Jawale</v>
      </c>
      <c r="G248" s="5" t="s">
        <v>25</v>
      </c>
      <c r="H248" s="5" t="s">
        <v>25</v>
      </c>
      <c r="I248" s="5" t="s">
        <v>25</v>
      </c>
      <c r="J248" s="5" t="s">
        <v>25</v>
      </c>
      <c r="K248" s="7" t="str">
        <f>VLOOKUP(A248,Sheet2!$A$2:$R$3432,6,0)</f>
        <v>Bajaj Avenger 220 Street</v>
      </c>
      <c r="L248" s="5" t="s">
        <v>25</v>
      </c>
      <c r="M248" s="7" t="str">
        <f>VLOOKUP(A248,Sheet2!$A$2:$R$3432,5,0)</f>
        <v>MH14EN3666</v>
      </c>
      <c r="N248" s="5" t="s">
        <v>25</v>
      </c>
      <c r="O248" s="5" t="s">
        <v>25</v>
      </c>
      <c r="P248" s="6" t="s">
        <v>25</v>
      </c>
      <c r="Q248" s="5" t="s">
        <v>25</v>
      </c>
      <c r="R248" s="5" t="s">
        <v>25</v>
      </c>
      <c r="S248" s="5" t="str">
        <f>VLOOKUP(A248,Sheet2!$A$2:$R$3432,18,0)</f>
        <v>PDZCEE9372</v>
      </c>
      <c r="T248" s="7" t="str">
        <f>VLOOKUP(A248,Sheet2!$A$2:$R$3432,17,0)</f>
        <v>MD222EZ6CE98077</v>
      </c>
    </row>
    <row r="249" ht="15.75" customHeight="1">
      <c r="A249" s="3" t="s">
        <v>272</v>
      </c>
      <c r="B249" s="4" t="str">
        <f>VLOOKUP(A249,Sheet2!$A$2:$R$3432,2,0)</f>
        <v>2024-12-08 19:38:29</v>
      </c>
      <c r="C249" s="5" t="s">
        <v>25</v>
      </c>
      <c r="D249" s="6" t="s">
        <v>25</v>
      </c>
      <c r="E249" s="7">
        <f>VLOOKUP(A249,Sheet2!$A$2:$R$3432,4,0)</f>
        <v>9096686830</v>
      </c>
      <c r="F249" s="7" t="str">
        <f>VLOOKUP(A249,Sheet2!$A$2:$R$3432,3,0)</f>
        <v>Anish</v>
      </c>
      <c r="G249" s="5" t="s">
        <v>25</v>
      </c>
      <c r="H249" s="5" t="s">
        <v>25</v>
      </c>
      <c r="I249" s="5" t="s">
        <v>25</v>
      </c>
      <c r="J249" s="5" t="s">
        <v>25</v>
      </c>
      <c r="K249" s="7" t="str">
        <f>VLOOKUP(A249,Sheet2!$A$2:$R$3432,6,0)</f>
        <v>TVS Jupiter 125</v>
      </c>
      <c r="L249" s="5" t="s">
        <v>25</v>
      </c>
      <c r="M249" s="7" t="str">
        <f>VLOOKUP(A249,Sheet2!$A$2:$R$3432,5,0)</f>
        <v>MH14KT7355</v>
      </c>
      <c r="N249" s="5" t="s">
        <v>25</v>
      </c>
      <c r="O249" s="5" t="s">
        <v>25</v>
      </c>
      <c r="P249" s="6" t="s">
        <v>25</v>
      </c>
      <c r="Q249" s="5" t="s">
        <v>25</v>
      </c>
      <c r="R249" s="5" t="s">
        <v>25</v>
      </c>
      <c r="S249" s="5" t="str">
        <f>VLOOKUP(A249,Sheet2!$A$2:$R$3432,18,0)</f>
        <v>BK4CP14232551</v>
      </c>
      <c r="T249" s="7" t="str">
        <f>VLOOKUP(A249,Sheet2!$A$2:$R$3432,17,0)</f>
        <v>MD626AK49P1C25367</v>
      </c>
    </row>
    <row r="250" ht="15.75" customHeight="1">
      <c r="A250" s="3" t="s">
        <v>273</v>
      </c>
      <c r="B250" s="4" t="str">
        <f>VLOOKUP(A250,Sheet2!$A$2:$R$3432,2,0)</f>
        <v>2024-12-08 19:41:46</v>
      </c>
      <c r="C250" s="5" t="s">
        <v>25</v>
      </c>
      <c r="D250" s="6" t="s">
        <v>25</v>
      </c>
      <c r="E250" s="7">
        <f>VLOOKUP(A250,Sheet2!$A$2:$R$3432,4,0)</f>
        <v>9657145925</v>
      </c>
      <c r="F250" s="7" t="str">
        <f>VLOOKUP(A250,Sheet2!$A$2:$R$3432,3,0)</f>
        <v>Pramod Mane</v>
      </c>
      <c r="G250" s="5" t="s">
        <v>25</v>
      </c>
      <c r="H250" s="5" t="s">
        <v>25</v>
      </c>
      <c r="I250" s="5" t="s">
        <v>25</v>
      </c>
      <c r="J250" s="5" t="s">
        <v>25</v>
      </c>
      <c r="K250" s="7" t="str">
        <f>VLOOKUP(A250,Sheet2!$A$2:$R$3432,6,0)</f>
        <v>Honda Activa </v>
      </c>
      <c r="L250" s="5" t="s">
        <v>25</v>
      </c>
      <c r="M250" s="7" t="str">
        <f>VLOOKUP(A250,Sheet2!$A$2:$R$3432,5,0)</f>
        <v>MH14EV3174</v>
      </c>
      <c r="N250" s="5" t="s">
        <v>25</v>
      </c>
      <c r="O250" s="5" t="s">
        <v>25</v>
      </c>
      <c r="P250" s="6" t="s">
        <v>25</v>
      </c>
      <c r="Q250" s="5" t="s">
        <v>25</v>
      </c>
      <c r="R250" s="5" t="s">
        <v>25</v>
      </c>
      <c r="S250" s="5" t="str">
        <f>VLOOKUP(A250,Sheet2!$A$2:$R$3432,18,0)</f>
        <v>JF50ET1768989</v>
      </c>
      <c r="T250" s="7" t="str">
        <f>VLOOKUP(A250,Sheet2!$A$2:$R$3432,17,0)</f>
        <v>ME4JFSSZAF1771289</v>
      </c>
    </row>
    <row r="251" ht="15.75" customHeight="1">
      <c r="A251" s="3" t="s">
        <v>274</v>
      </c>
      <c r="B251" s="4" t="str">
        <f>VLOOKUP(A251,Sheet2!$A$2:$R$3432,2,0)</f>
        <v>2024-12-08 19:46:04</v>
      </c>
      <c r="C251" s="5" t="s">
        <v>25</v>
      </c>
      <c r="D251" s="6" t="s">
        <v>25</v>
      </c>
      <c r="E251" s="7">
        <f>VLOOKUP(A251,Sheet2!$A$2:$R$3432,4,0)</f>
        <v>9005701616</v>
      </c>
      <c r="F251" s="7" t="str">
        <f>VLOOKUP(A251,Sheet2!$A$2:$R$3432,3,0)</f>
        <v>Anant</v>
      </c>
      <c r="G251" s="5" t="s">
        <v>25</v>
      </c>
      <c r="H251" s="5" t="s">
        <v>25</v>
      </c>
      <c r="I251" s="5" t="s">
        <v>25</v>
      </c>
      <c r="J251" s="5" t="s">
        <v>25</v>
      </c>
      <c r="K251" s="7" t="str">
        <f>VLOOKUP(A251,Sheet2!$A$2:$R$3432,6,0)</f>
        <v>Honda Activa i</v>
      </c>
      <c r="L251" s="5" t="s">
        <v>25</v>
      </c>
      <c r="M251" s="7" t="str">
        <f>VLOOKUP(A251,Sheet2!$A$2:$R$3432,5,0)</f>
        <v>MH12KD948</v>
      </c>
      <c r="N251" s="5" t="s">
        <v>25</v>
      </c>
      <c r="O251" s="5" t="s">
        <v>25</v>
      </c>
      <c r="P251" s="6" t="s">
        <v>25</v>
      </c>
      <c r="Q251" s="5" t="s">
        <v>25</v>
      </c>
      <c r="R251" s="5" t="s">
        <v>25</v>
      </c>
      <c r="S251" s="5" t="str">
        <f>VLOOKUP(A251,Sheet2!$A$2:$R$3432,18,0)</f>
        <v>JF46E80006345</v>
      </c>
      <c r="T251" s="7" t="str">
        <f>VLOOKUP(A251,Sheet2!$A$2:$R$3432,17,0)</f>
        <v>ME4JF48161D8006351</v>
      </c>
    </row>
    <row r="252" ht="15.75" customHeight="1">
      <c r="A252" s="3" t="s">
        <v>275</v>
      </c>
      <c r="B252" s="4" t="str">
        <f>VLOOKUP(A252,Sheet2!$A$2:$R$3432,2,0)</f>
        <v>2024-12-08 19:51:04</v>
      </c>
      <c r="C252" s="5" t="s">
        <v>25</v>
      </c>
      <c r="D252" s="6" t="s">
        <v>25</v>
      </c>
      <c r="E252" s="7">
        <f>VLOOKUP(A252,Sheet2!$A$2:$R$3432,4,0)</f>
        <v>8379829170</v>
      </c>
      <c r="F252" s="7" t="str">
        <f>VLOOKUP(A252,Sheet2!$A$2:$R$3432,3,0)</f>
        <v>Sunil Ahire </v>
      </c>
      <c r="G252" s="5" t="s">
        <v>25</v>
      </c>
      <c r="H252" s="5" t="s">
        <v>25</v>
      </c>
      <c r="I252" s="5" t="s">
        <v>25</v>
      </c>
      <c r="J252" s="5" t="s">
        <v>25</v>
      </c>
      <c r="K252" s="7" t="str">
        <f>VLOOKUP(A252,Sheet2!$A$2:$R$3432,6,0)</f>
        <v>Bajaj Discover 100M</v>
      </c>
      <c r="L252" s="5" t="s">
        <v>25</v>
      </c>
      <c r="M252" s="7" t="str">
        <f>VLOOKUP(A252,Sheet2!$A$2:$R$3432,5,0)</f>
        <v>MP40ML9858</v>
      </c>
      <c r="N252" s="5" t="s">
        <v>25</v>
      </c>
      <c r="O252" s="5" t="s">
        <v>25</v>
      </c>
      <c r="P252" s="6" t="s">
        <v>25</v>
      </c>
      <c r="Q252" s="5" t="s">
        <v>25</v>
      </c>
      <c r="R252" s="5" t="s">
        <v>25</v>
      </c>
      <c r="S252" s="5" t="str">
        <f>VLOOKUP(A252,Sheet2!$A$2:$R$3432,18,0)</f>
        <v>PAZRFD54297</v>
      </c>
      <c r="T252" s="7" t="str">
        <f>VLOOKUP(A252,Sheet2!$A$2:$R$3432,17,0)</f>
        <v>MD2A57AZ9FRD50630</v>
      </c>
    </row>
    <row r="253" ht="15.75" customHeight="1">
      <c r="A253" s="3" t="s">
        <v>276</v>
      </c>
      <c r="B253" s="4" t="str">
        <f>VLOOKUP(A253,Sheet2!$A$2:$R$3432,2,0)</f>
        <v>2024-12-08 19:52:17</v>
      </c>
      <c r="C253" s="5" t="s">
        <v>25</v>
      </c>
      <c r="D253" s="6" t="s">
        <v>25</v>
      </c>
      <c r="E253" s="7">
        <f>VLOOKUP(A253,Sheet2!$A$2:$R$3432,4,0)</f>
        <v>7387049083</v>
      </c>
      <c r="F253" s="7" t="str">
        <f>VLOOKUP(A253,Sheet2!$A$2:$R$3432,3,0)</f>
        <v>Jay</v>
      </c>
      <c r="G253" s="5" t="s">
        <v>25</v>
      </c>
      <c r="H253" s="5" t="s">
        <v>25</v>
      </c>
      <c r="I253" s="5" t="s">
        <v>25</v>
      </c>
      <c r="J253" s="5" t="s">
        <v>25</v>
      </c>
      <c r="K253" s="7" t="str">
        <f>VLOOKUP(A253,Sheet2!$A$2:$R$3432,6,0)</f>
        <v>Honda Unicorn 150</v>
      </c>
      <c r="L253" s="5" t="s">
        <v>25</v>
      </c>
      <c r="M253" s="7" t="str">
        <f>VLOOKUP(A253,Sheet2!$A$2:$R$3432,5,0)</f>
        <v>MH12UV5298</v>
      </c>
      <c r="N253" s="5" t="s">
        <v>25</v>
      </c>
      <c r="O253" s="5" t="s">
        <v>25</v>
      </c>
      <c r="P253" s="6" t="s">
        <v>25</v>
      </c>
      <c r="Q253" s="5" t="s">
        <v>25</v>
      </c>
      <c r="R253" s="5" t="s">
        <v>25</v>
      </c>
      <c r="S253" s="7" t="str">
        <f>VLOOKUP(A253,Sheet2!$A$2:$R$3432,18,0)</f>
        <v/>
      </c>
      <c r="T253" s="7" t="str">
        <f>VLOOKUP(A253,Sheet2!$A$2:$R$3432,17,0)</f>
        <v/>
      </c>
    </row>
    <row r="254" ht="15.75" customHeight="1">
      <c r="A254" s="3" t="s">
        <v>277</v>
      </c>
      <c r="B254" s="4" t="str">
        <f>VLOOKUP(A254,Sheet2!$A$2:$R$3432,2,0)</f>
        <v>2024-12-08 19:48:34</v>
      </c>
      <c r="C254" s="5" t="s">
        <v>25</v>
      </c>
      <c r="D254" s="6" t="s">
        <v>25</v>
      </c>
      <c r="E254" s="7">
        <f>VLOOKUP(A254,Sheet2!$A$2:$R$3432,4,0)</f>
        <v>9561493784</v>
      </c>
      <c r="F254" s="7" t="str">
        <f>VLOOKUP(A254,Sheet2!$A$2:$R$3432,3,0)</f>
        <v>Maksud Shaikh</v>
      </c>
      <c r="G254" s="5" t="s">
        <v>25</v>
      </c>
      <c r="H254" s="5" t="s">
        <v>25</v>
      </c>
      <c r="I254" s="5" t="s">
        <v>25</v>
      </c>
      <c r="J254" s="5" t="s">
        <v>25</v>
      </c>
      <c r="K254" s="7" t="str">
        <f>VLOOKUP(A254,Sheet2!$A$2:$R$3432,6,0)</f>
        <v>Honda Activa 110</v>
      </c>
      <c r="L254" s="5" t="s">
        <v>25</v>
      </c>
      <c r="M254" s="7" t="str">
        <f>VLOOKUP(A254,Sheet2!$A$2:$R$3432,5,0)</f>
        <v>MH13BW1894</v>
      </c>
      <c r="N254" s="5" t="s">
        <v>25</v>
      </c>
      <c r="O254" s="5" t="s">
        <v>25</v>
      </c>
      <c r="P254" s="6" t="s">
        <v>25</v>
      </c>
      <c r="Q254" s="5" t="s">
        <v>25</v>
      </c>
      <c r="R254" s="5" t="s">
        <v>25</v>
      </c>
      <c r="S254" s="7" t="str">
        <f>VLOOKUP(A254,Sheet2!$A$2:$R$3432,18,0)</f>
        <v/>
      </c>
      <c r="T254" s="7" t="str">
        <f>VLOOKUP(A254,Sheet2!$A$2:$R$3432,17,0)</f>
        <v>ME4JF502FE7106660</v>
      </c>
    </row>
    <row r="255" ht="15.75" customHeight="1">
      <c r="A255" s="3" t="s">
        <v>278</v>
      </c>
      <c r="B255" s="4" t="str">
        <f>VLOOKUP(A255,Sheet2!$A$2:$R$3432,2,0)</f>
        <v>2024-12-08 19:51:59</v>
      </c>
      <c r="C255" s="5" t="s">
        <v>25</v>
      </c>
      <c r="D255" s="6" t="s">
        <v>25</v>
      </c>
      <c r="E255" s="7">
        <f>VLOOKUP(A255,Sheet2!$A$2:$R$3432,4,0)</f>
        <v>9845350165</v>
      </c>
      <c r="F255" s="7" t="str">
        <f>VLOOKUP(A255,Sheet2!$A$2:$R$3432,3,0)</f>
        <v>ROHIT</v>
      </c>
      <c r="G255" s="5" t="s">
        <v>25</v>
      </c>
      <c r="H255" s="5" t="s">
        <v>25</v>
      </c>
      <c r="I255" s="5" t="s">
        <v>25</v>
      </c>
      <c r="J255" s="5" t="s">
        <v>25</v>
      </c>
      <c r="K255" s="7" t="str">
        <f>VLOOKUP(A255,Sheet2!$A$2:$R$3432,6,0)</f>
        <v>Yamaha FZ S 2.0</v>
      </c>
      <c r="L255" s="5" t="s">
        <v>25</v>
      </c>
      <c r="M255" s="7" t="str">
        <f>VLOOKUP(A255,Sheet2!$A$2:$R$3432,5,0)</f>
        <v>MH14JW3201</v>
      </c>
      <c r="N255" s="5" t="s">
        <v>25</v>
      </c>
      <c r="O255" s="5" t="s">
        <v>25</v>
      </c>
      <c r="P255" s="6" t="s">
        <v>25</v>
      </c>
      <c r="Q255" s="5" t="s">
        <v>25</v>
      </c>
      <c r="R255" s="5" t="s">
        <v>25</v>
      </c>
      <c r="S255" s="7" t="str">
        <f>VLOOKUP(A255,Sheet2!$A$2:$R$3432,18,0)</f>
        <v/>
      </c>
      <c r="T255" s="7" t="str">
        <f>VLOOKUP(A255,Sheet2!$A$2:$R$3432,17,0)</f>
        <v/>
      </c>
    </row>
    <row r="256" ht="15.75" customHeight="1">
      <c r="A256" s="3" t="s">
        <v>279</v>
      </c>
      <c r="B256" s="4" t="str">
        <f>VLOOKUP(A256,Sheet2!$A$2:$R$3432,2,0)</f>
        <v>2024-12-08 19:49:51</v>
      </c>
      <c r="C256" s="5" t="s">
        <v>25</v>
      </c>
      <c r="D256" s="6" t="s">
        <v>25</v>
      </c>
      <c r="E256" s="7">
        <f>VLOOKUP(A256,Sheet2!$A$2:$R$3432,4,0)</f>
        <v>9503387494</v>
      </c>
      <c r="F256" s="7" t="str">
        <f>VLOOKUP(A256,Sheet2!$A$2:$R$3432,3,0)</f>
        <v>Aashish Varma</v>
      </c>
      <c r="G256" s="5" t="s">
        <v>25</v>
      </c>
      <c r="H256" s="5" t="s">
        <v>25</v>
      </c>
      <c r="I256" s="5" t="s">
        <v>25</v>
      </c>
      <c r="J256" s="5" t="s">
        <v>25</v>
      </c>
      <c r="K256" s="7" t="str">
        <f>VLOOKUP(A256,Sheet2!$A$2:$R$3432,6,0)</f>
        <v>Honda Activa </v>
      </c>
      <c r="L256" s="5" t="s">
        <v>25</v>
      </c>
      <c r="M256" s="7" t="str">
        <f>VLOOKUP(A256,Sheet2!$A$2:$R$3432,5,0)</f>
        <v>MH12FW7052</v>
      </c>
      <c r="N256" s="5" t="s">
        <v>25</v>
      </c>
      <c r="O256" s="5" t="s">
        <v>25</v>
      </c>
      <c r="P256" s="6" t="s">
        <v>25</v>
      </c>
      <c r="Q256" s="5" t="s">
        <v>25</v>
      </c>
      <c r="R256" s="5" t="s">
        <v>25</v>
      </c>
      <c r="S256" s="5" t="str">
        <f>VLOOKUP(A256,Sheet2!$A$2:$R$3432,18,0)</f>
        <v>JC44E0529820</v>
      </c>
      <c r="T256" s="7" t="str">
        <f>VLOOKUP(A256,Sheet2!$A$2:$R$3432,17,0)</f>
        <v>ME4JC446BA8120266</v>
      </c>
    </row>
    <row r="257" ht="15.75" customHeight="1">
      <c r="A257" s="3" t="s">
        <v>280</v>
      </c>
      <c r="B257" s="4" t="str">
        <f>VLOOKUP(A257,Sheet2!$A$2:$R$3432,2,0)</f>
        <v>2024-12-08 19:50:26</v>
      </c>
      <c r="C257" s="5" t="s">
        <v>25</v>
      </c>
      <c r="D257" s="6" t="s">
        <v>25</v>
      </c>
      <c r="E257" s="7">
        <f>VLOOKUP(A257,Sheet2!$A$2:$R$3432,4,0)</f>
        <v>9838427722</v>
      </c>
      <c r="F257" s="7" t="str">
        <f>VLOOKUP(A257,Sheet2!$A$2:$R$3432,3,0)</f>
        <v>Anil Wahi</v>
      </c>
      <c r="G257" s="5" t="s">
        <v>25</v>
      </c>
      <c r="H257" s="5" t="s">
        <v>25</v>
      </c>
      <c r="I257" s="5" t="s">
        <v>25</v>
      </c>
      <c r="J257" s="5" t="s">
        <v>25</v>
      </c>
      <c r="K257" s="7" t="str">
        <f>VLOOKUP(A257,Sheet2!$A$2:$R$3432,6,0)</f>
        <v>TVS Jupiter </v>
      </c>
      <c r="L257" s="5" t="s">
        <v>25</v>
      </c>
      <c r="M257" s="7" t="str">
        <f>VLOOKUP(A257,Sheet2!$A$2:$R$3432,5,0)</f>
        <v>MH12UB9482</v>
      </c>
      <c r="N257" s="5" t="s">
        <v>25</v>
      </c>
      <c r="O257" s="5" t="s">
        <v>25</v>
      </c>
      <c r="P257" s="6" t="s">
        <v>25</v>
      </c>
      <c r="Q257" s="5" t="s">
        <v>25</v>
      </c>
      <c r="R257" s="5" t="s">
        <v>25</v>
      </c>
      <c r="S257" s="7" t="str">
        <f>VLOOKUP(A257,Sheet2!$A$2:$R$3432,18,0)</f>
        <v/>
      </c>
      <c r="T257" s="7" t="str">
        <f>VLOOKUP(A257,Sheet2!$A$2:$R$3432,17,0)</f>
        <v/>
      </c>
    </row>
    <row r="258" ht="15.75" customHeight="1">
      <c r="A258" s="3" t="s">
        <v>281</v>
      </c>
      <c r="B258" s="4" t="str">
        <f>VLOOKUP(A258,Sheet2!$A$2:$R$3432,2,0)</f>
        <v>2024-12-08 20:12:55</v>
      </c>
      <c r="C258" s="5" t="s">
        <v>25</v>
      </c>
      <c r="D258" s="6" t="s">
        <v>25</v>
      </c>
      <c r="E258" s="7">
        <f>VLOOKUP(A258,Sheet2!$A$2:$R$3432,4,0)</f>
        <v>9325421635</v>
      </c>
      <c r="F258" s="7" t="str">
        <f>VLOOKUP(A258,Sheet2!$A$2:$R$3432,3,0)</f>
        <v>Akshay Rahate</v>
      </c>
      <c r="G258" s="5" t="s">
        <v>25</v>
      </c>
      <c r="H258" s="5" t="s">
        <v>25</v>
      </c>
      <c r="I258" s="5" t="s">
        <v>25</v>
      </c>
      <c r="J258" s="5" t="s">
        <v>25</v>
      </c>
      <c r="K258" s="7" t="str">
        <f>VLOOKUP(A258,Sheet2!$A$2:$R$3432,6,0)</f>
        <v>Yamaha FZ </v>
      </c>
      <c r="L258" s="5" t="s">
        <v>25</v>
      </c>
      <c r="M258" s="7" t="str">
        <f>VLOOKUP(A258,Sheet2!$A$2:$R$3432,5,0)</f>
        <v>MH28AY0184</v>
      </c>
      <c r="N258" s="5" t="s">
        <v>25</v>
      </c>
      <c r="O258" s="5" t="s">
        <v>25</v>
      </c>
      <c r="P258" s="6" t="s">
        <v>25</v>
      </c>
      <c r="Q258" s="5" t="s">
        <v>25</v>
      </c>
      <c r="R258" s="5" t="s">
        <v>25</v>
      </c>
      <c r="S258" s="5" t="str">
        <f>VLOOKUP(A258,Sheet2!$A$2:$R$3432,18,0)</f>
        <v>G3J3E0117655</v>
      </c>
      <c r="T258" s="7" t="str">
        <f>VLOOKUP(A258,Sheet2!$A$2:$R$3432,17,0)</f>
        <v>ME1RG4429H0075345</v>
      </c>
    </row>
    <row r="259" ht="15.75" customHeight="1">
      <c r="A259" s="3" t="s">
        <v>282</v>
      </c>
      <c r="B259" s="4" t="str">
        <f>VLOOKUP(A259,Sheet2!$A$2:$R$3432,2,0)</f>
        <v>2024-12-08 20:34:38</v>
      </c>
      <c r="C259" s="5" t="s">
        <v>25</v>
      </c>
      <c r="D259" s="6" t="s">
        <v>25</v>
      </c>
      <c r="E259" s="7">
        <f>VLOOKUP(A259,Sheet2!$A$2:$R$3432,4,0)</f>
        <v>9028406766</v>
      </c>
      <c r="F259" s="7" t="str">
        <f>VLOOKUP(A259,Sheet2!$A$2:$R$3432,3,0)</f>
        <v>Rishi Singh</v>
      </c>
      <c r="G259" s="5" t="s">
        <v>25</v>
      </c>
      <c r="H259" s="5" t="s">
        <v>25</v>
      </c>
      <c r="I259" s="5" t="s">
        <v>25</v>
      </c>
      <c r="J259" s="5" t="s">
        <v>25</v>
      </c>
      <c r="K259" s="7" t="str">
        <f>VLOOKUP(A259,Sheet2!$A$2:$R$3432,6,0)</f>
        <v>Suzuki Gixxer </v>
      </c>
      <c r="L259" s="5" t="s">
        <v>25</v>
      </c>
      <c r="M259" s="7" t="str">
        <f>VLOOKUP(A259,Sheet2!$A$2:$R$3432,5,0)</f>
        <v>MH14EQ7349</v>
      </c>
      <c r="N259" s="5" t="s">
        <v>25</v>
      </c>
      <c r="O259" s="5" t="s">
        <v>25</v>
      </c>
      <c r="P259" s="6" t="s">
        <v>25</v>
      </c>
      <c r="Q259" s="5" t="s">
        <v>25</v>
      </c>
      <c r="R259" s="5" t="s">
        <v>25</v>
      </c>
      <c r="S259" s="7" t="str">
        <f>VLOOKUP(A259,Sheet2!$A$2:$R$3432,18,0)</f>
        <v/>
      </c>
      <c r="T259" s="7" t="str">
        <f>VLOOKUP(A259,Sheet2!$A$2:$R$3432,17,0)</f>
        <v/>
      </c>
    </row>
    <row r="260" ht="15.75" customHeight="1">
      <c r="A260" s="3" t="s">
        <v>283</v>
      </c>
      <c r="B260" s="4" t="str">
        <f>VLOOKUP(A260,Sheet2!$A$2:$R$3432,2,0)</f>
        <v>2025-01-13 19:05:40</v>
      </c>
      <c r="C260" s="5" t="s">
        <v>25</v>
      </c>
      <c r="D260" s="6" t="s">
        <v>25</v>
      </c>
      <c r="E260" s="7">
        <f>VLOOKUP(A260,Sheet2!$A$2:$R$3432,4,0)</f>
        <v>8208542395</v>
      </c>
      <c r="F260" s="7" t="str">
        <f>VLOOKUP(A260,Sheet2!$A$2:$R$3432,3,0)</f>
        <v>Priya Jadhav </v>
      </c>
      <c r="G260" s="5" t="s">
        <v>25</v>
      </c>
      <c r="H260" s="5" t="s">
        <v>25</v>
      </c>
      <c r="I260" s="5" t="s">
        <v>25</v>
      </c>
      <c r="J260" s="5" t="s">
        <v>25</v>
      </c>
      <c r="K260" s="7" t="str">
        <f>VLOOKUP(A260,Sheet2!$A$2:$R$3432,6,0)</f>
        <v>Honda Activa 3G</v>
      </c>
      <c r="L260" s="5" t="s">
        <v>25</v>
      </c>
      <c r="M260" s="7" t="str">
        <f>VLOOKUP(A260,Sheet2!$A$2:$R$3432,5,0)</f>
        <v>MH12NV3012</v>
      </c>
      <c r="N260" s="5" t="s">
        <v>25</v>
      </c>
      <c r="O260" s="5" t="s">
        <v>25</v>
      </c>
      <c r="P260" s="6" t="s">
        <v>25</v>
      </c>
      <c r="Q260" s="5" t="s">
        <v>25</v>
      </c>
      <c r="R260" s="5" t="s">
        <v>25</v>
      </c>
      <c r="S260" s="5" t="str">
        <f>VLOOKUP(A260,Sheet2!$A$2:$R$3432,18,0)</f>
        <v>JF50ET6063914</v>
      </c>
      <c r="T260" s="7" t="str">
        <f>VLOOKUP(A260,Sheet2!$A$2:$R$3432,17,0)</f>
        <v>ME4JF509LGT063530</v>
      </c>
    </row>
    <row r="261" ht="15.75" customHeight="1">
      <c r="A261" s="3" t="s">
        <v>284</v>
      </c>
      <c r="B261" s="4" t="str">
        <f>VLOOKUP(A261,Sheet2!$A$2:$R$3432,2,0)</f>
        <v>2025-01-13 19:06:45</v>
      </c>
      <c r="C261" s="5" t="s">
        <v>25</v>
      </c>
      <c r="D261" s="6" t="s">
        <v>25</v>
      </c>
      <c r="E261" s="7">
        <f>VLOOKUP(A261,Sheet2!$A$2:$R$3432,4,0)</f>
        <v>9575817330</v>
      </c>
      <c r="F261" s="7" t="str">
        <f>VLOOKUP(A261,Sheet2!$A$2:$R$3432,3,0)</f>
        <v>PAWAN PESHWANI</v>
      </c>
      <c r="G261" s="5" t="s">
        <v>25</v>
      </c>
      <c r="H261" s="5" t="s">
        <v>25</v>
      </c>
      <c r="I261" s="5" t="s">
        <v>25</v>
      </c>
      <c r="J261" s="5" t="s">
        <v>25</v>
      </c>
      <c r="K261" s="7" t="str">
        <f>VLOOKUP(A261,Sheet2!$A$2:$R$3432,6,0)</f>
        <v>Bajaj Pulsar 200 NS</v>
      </c>
      <c r="L261" s="5" t="s">
        <v>25</v>
      </c>
      <c r="M261" s="7" t="str">
        <f>VLOOKUP(A261,Sheet2!$A$2:$R$3432,5,0)</f>
        <v>MH14HP6506</v>
      </c>
      <c r="N261" s="5" t="s">
        <v>25</v>
      </c>
      <c r="O261" s="5" t="s">
        <v>25</v>
      </c>
      <c r="P261" s="6" t="s">
        <v>25</v>
      </c>
      <c r="Q261" s="5" t="s">
        <v>25</v>
      </c>
      <c r="R261" s="5" t="s">
        <v>25</v>
      </c>
      <c r="S261" s="5" t="str">
        <f>VLOOKUP(A261,Sheet2!$A$2:$R$3432,18,0)</f>
        <v>JLYCKA11433</v>
      </c>
      <c r="T261" s="7" t="str">
        <f>VLOOKUP(A261,Sheet2!$A$2:$R$3432,17,0)</f>
        <v>MD2A36EY0KCA21608</v>
      </c>
    </row>
    <row r="262" ht="15.75" customHeight="1">
      <c r="A262" s="3" t="s">
        <v>285</v>
      </c>
      <c r="B262" s="4" t="str">
        <f>VLOOKUP(A262,Sheet2!$A$2:$R$3432,2,0)</f>
        <v>2025-01-13 19:13:20</v>
      </c>
      <c r="C262" s="5" t="s">
        <v>25</v>
      </c>
      <c r="D262" s="6" t="s">
        <v>25</v>
      </c>
      <c r="E262" s="7">
        <f>VLOOKUP(A262,Sheet2!$A$2:$R$3432,4,0)</f>
        <v>8793291777</v>
      </c>
      <c r="F262" s="7" t="str">
        <f>VLOOKUP(A262,Sheet2!$A$2:$R$3432,3,0)</f>
        <v>ANIKESH BHAVSAR</v>
      </c>
      <c r="G262" s="5" t="s">
        <v>25</v>
      </c>
      <c r="H262" s="5" t="s">
        <v>25</v>
      </c>
      <c r="I262" s="5" t="s">
        <v>25</v>
      </c>
      <c r="J262" s="5" t="s">
        <v>25</v>
      </c>
      <c r="K262" s="7" t="str">
        <f>VLOOKUP(A262,Sheet2!$A$2:$R$3432,6,0)</f>
        <v>Yamaha MT 15</v>
      </c>
      <c r="L262" s="5" t="s">
        <v>25</v>
      </c>
      <c r="M262" s="7" t="str">
        <f>VLOOKUP(A262,Sheet2!$A$2:$R$3432,5,0)</f>
        <v>MH12SS3423</v>
      </c>
      <c r="N262" s="5" t="s">
        <v>25</v>
      </c>
      <c r="O262" s="5" t="s">
        <v>25</v>
      </c>
      <c r="P262" s="6" t="s">
        <v>25</v>
      </c>
      <c r="Q262" s="5" t="s">
        <v>25</v>
      </c>
      <c r="R262" s="5" t="s">
        <v>25</v>
      </c>
      <c r="S262" s="5" t="str">
        <f>VLOOKUP(A262,Sheet2!$A$2:$R$3432,18,0)</f>
        <v>GD3N4E0002280</v>
      </c>
      <c r="T262" s="7" t="str">
        <f>VLOOKUP(A262,Sheet2!$A$2:$R$3432,17,0)</f>
        <v>ME1RG6813L003964</v>
      </c>
    </row>
    <row r="263" ht="15.75" customHeight="1">
      <c r="A263" s="3" t="s">
        <v>286</v>
      </c>
      <c r="B263" s="4" t="str">
        <f>VLOOKUP(A263,Sheet2!$A$2:$R$3432,2,0)</f>
        <v>2025-01-13 19:33:48</v>
      </c>
      <c r="C263" s="5" t="s">
        <v>25</v>
      </c>
      <c r="D263" s="6" t="s">
        <v>25</v>
      </c>
      <c r="E263" s="7">
        <f>VLOOKUP(A263,Sheet2!$A$2:$R$3432,4,0)</f>
        <v>8805940133</v>
      </c>
      <c r="F263" s="7" t="str">
        <f>VLOOKUP(A263,Sheet2!$A$2:$R$3432,3,0)</f>
        <v>Prashant </v>
      </c>
      <c r="G263" s="5" t="s">
        <v>25</v>
      </c>
      <c r="H263" s="5" t="s">
        <v>25</v>
      </c>
      <c r="I263" s="5" t="s">
        <v>25</v>
      </c>
      <c r="J263" s="5" t="s">
        <v>25</v>
      </c>
      <c r="K263" s="7" t="str">
        <f>VLOOKUP(A263,Sheet2!$A$2:$R$3432,6,0)</f>
        <v>Honda Unicorn </v>
      </c>
      <c r="L263" s="5" t="s">
        <v>25</v>
      </c>
      <c r="M263" s="7" t="str">
        <f>VLOOKUP(A263,Sheet2!$A$2:$R$3432,5,0)</f>
        <v>MH12EH9891</v>
      </c>
      <c r="N263" s="5" t="s">
        <v>25</v>
      </c>
      <c r="O263" s="5" t="s">
        <v>25</v>
      </c>
      <c r="P263" s="6" t="s">
        <v>25</v>
      </c>
      <c r="Q263" s="5" t="s">
        <v>25</v>
      </c>
      <c r="R263" s="5" t="s">
        <v>25</v>
      </c>
      <c r="S263" s="7" t="str">
        <f>VLOOKUP(A263,Sheet2!$A$2:$R$3432,18,0)</f>
        <v/>
      </c>
      <c r="T263" s="7" t="str">
        <f>VLOOKUP(A263,Sheet2!$A$2:$R$3432,17,0)</f>
        <v/>
      </c>
    </row>
    <row r="264" ht="15.75" customHeight="1">
      <c r="A264" s="3" t="s">
        <v>287</v>
      </c>
      <c r="B264" s="4" t="str">
        <f>VLOOKUP(A264,Sheet2!$A$2:$R$3432,2,0)</f>
        <v>2025-01-13 19:48:51</v>
      </c>
      <c r="C264" s="5" t="s">
        <v>25</v>
      </c>
      <c r="D264" s="6" t="s">
        <v>25</v>
      </c>
      <c r="E264" s="7">
        <f>VLOOKUP(A264,Sheet2!$A$2:$R$3432,4,0)</f>
        <v>7620580447</v>
      </c>
      <c r="F264" s="7" t="str">
        <f>VLOOKUP(A264,Sheet2!$A$2:$R$3432,3,0)</f>
        <v>Pranali Bhootkar</v>
      </c>
      <c r="G264" s="5" t="s">
        <v>25</v>
      </c>
      <c r="H264" s="5" t="s">
        <v>25</v>
      </c>
      <c r="I264" s="5" t="s">
        <v>25</v>
      </c>
      <c r="J264" s="5" t="s">
        <v>25</v>
      </c>
      <c r="K264" s="7" t="str">
        <f>VLOOKUP(A264,Sheet2!$A$2:$R$3432,6,0)</f>
        <v>Honda Activa 125 BS6</v>
      </c>
      <c r="L264" s="5" t="s">
        <v>25</v>
      </c>
      <c r="M264" s="7" t="str">
        <f>VLOOKUP(A264,Sheet2!$A$2:$R$3432,5,0)</f>
        <v>MH12SM6182</v>
      </c>
      <c r="N264" s="5" t="s">
        <v>25</v>
      </c>
      <c r="O264" s="5" t="s">
        <v>25</v>
      </c>
      <c r="P264" s="6" t="s">
        <v>25</v>
      </c>
      <c r="Q264" s="5" t="s">
        <v>25</v>
      </c>
      <c r="R264" s="5" t="s">
        <v>25</v>
      </c>
      <c r="S264" s="5" t="str">
        <f>VLOOKUP(A264,Sheet2!$A$2:$R$3432,18,0)</f>
        <v>JF49EG4014140</v>
      </c>
      <c r="T264" s="7" t="str">
        <f>VLOOKUP(A264,Sheet2!$A$2:$R$3432,17,0)</f>
        <v>ME4JF49MALG009587</v>
      </c>
    </row>
    <row r="265" ht="15.75" customHeight="1">
      <c r="A265" s="3" t="s">
        <v>288</v>
      </c>
      <c r="B265" s="4" t="str">
        <f>VLOOKUP(A265,Sheet2!$A$2:$R$3432,2,0)</f>
        <v>2025-01-13 19:07:16</v>
      </c>
      <c r="C265" s="5" t="s">
        <v>25</v>
      </c>
      <c r="D265" s="6" t="s">
        <v>25</v>
      </c>
      <c r="E265" s="7">
        <f>VLOOKUP(A265,Sheet2!$A$2:$R$3432,4,0)</f>
        <v>9604428241</v>
      </c>
      <c r="F265" s="7" t="str">
        <f>VLOOKUP(A265,Sheet2!$A$2:$R$3432,3,0)</f>
        <v>GAURAV GHADGE</v>
      </c>
      <c r="G265" s="5" t="s">
        <v>25</v>
      </c>
      <c r="H265" s="5" t="s">
        <v>25</v>
      </c>
      <c r="I265" s="5" t="s">
        <v>25</v>
      </c>
      <c r="J265" s="5" t="s">
        <v>25</v>
      </c>
      <c r="K265" s="7" t="str">
        <f>VLOOKUP(A265,Sheet2!$A$2:$R$3432,6,0)</f>
        <v>Honda Unicorn 150</v>
      </c>
      <c r="L265" s="5" t="s">
        <v>25</v>
      </c>
      <c r="M265" s="7" t="str">
        <f>VLOOKUP(A265,Sheet2!$A$2:$R$3432,5,0)</f>
        <v>MH09ET1811</v>
      </c>
      <c r="N265" s="5" t="s">
        <v>25</v>
      </c>
      <c r="O265" s="5" t="s">
        <v>25</v>
      </c>
      <c r="P265" s="6" t="s">
        <v>25</v>
      </c>
      <c r="Q265" s="5" t="s">
        <v>25</v>
      </c>
      <c r="R265" s="5" t="s">
        <v>25</v>
      </c>
      <c r="S265" s="7" t="str">
        <f>VLOOKUP(A265,Sheet2!$A$2:$R$3432,18,0)</f>
        <v/>
      </c>
      <c r="T265" s="7" t="str">
        <f>VLOOKUP(A265,Sheet2!$A$2:$R$3432,17,0)</f>
        <v/>
      </c>
    </row>
    <row r="266" ht="15.75" customHeight="1">
      <c r="A266" s="3" t="s">
        <v>289</v>
      </c>
      <c r="B266" s="4" t="str">
        <f>VLOOKUP(A266,Sheet2!$A$2:$R$3432,2,0)</f>
        <v>2025-01-13 19:05:55</v>
      </c>
      <c r="C266" s="5" t="s">
        <v>25</v>
      </c>
      <c r="D266" s="6" t="s">
        <v>25</v>
      </c>
      <c r="E266" s="7">
        <f>VLOOKUP(A266,Sheet2!$A$2:$R$3432,4,0)</f>
        <v>9370712624</v>
      </c>
      <c r="F266" s="7" t="str">
        <f>VLOOKUP(A266,Sheet2!$A$2:$R$3432,3,0)</f>
        <v>Sagar</v>
      </c>
      <c r="G266" s="5" t="s">
        <v>25</v>
      </c>
      <c r="H266" s="5" t="s">
        <v>25</v>
      </c>
      <c r="I266" s="5" t="s">
        <v>25</v>
      </c>
      <c r="J266" s="5" t="s">
        <v>25</v>
      </c>
      <c r="K266" s="7" t="str">
        <f>VLOOKUP(A266,Sheet2!$A$2:$R$3432,6,0)</f>
        <v>Honda Dio New</v>
      </c>
      <c r="L266" s="5" t="s">
        <v>25</v>
      </c>
      <c r="M266" s="7" t="str">
        <f>VLOOKUP(A266,Sheet2!$A$2:$R$3432,5,0)</f>
        <v>MH14LG9768</v>
      </c>
      <c r="N266" s="5" t="s">
        <v>25</v>
      </c>
      <c r="O266" s="5" t="s">
        <v>25</v>
      </c>
      <c r="P266" s="6" t="s">
        <v>25</v>
      </c>
      <c r="Q266" s="5" t="s">
        <v>25</v>
      </c>
      <c r="R266" s="5" t="s">
        <v>25</v>
      </c>
      <c r="S266" s="7" t="str">
        <f>VLOOKUP(A266,Sheet2!$A$2:$R$3432,18,0)</f>
        <v/>
      </c>
      <c r="T266" s="7" t="str">
        <f>VLOOKUP(A266,Sheet2!$A$2:$R$3432,17,0)</f>
        <v/>
      </c>
    </row>
    <row r="267" ht="15.75" customHeight="1">
      <c r="A267" s="3" t="s">
        <v>290</v>
      </c>
      <c r="B267" s="4" t="str">
        <f>VLOOKUP(A267,Sheet2!$A$2:$R$3432,2,0)</f>
        <v>2025-01-13 19:06:19</v>
      </c>
      <c r="C267" s="5" t="s">
        <v>25</v>
      </c>
      <c r="D267" s="6" t="s">
        <v>25</v>
      </c>
      <c r="E267" s="7">
        <f>VLOOKUP(A267,Sheet2!$A$2:$R$3432,4,0)</f>
        <v>9881401160</v>
      </c>
      <c r="F267" s="7" t="str">
        <f>VLOOKUP(A267,Sheet2!$A$2:$R$3432,3,0)</f>
        <v>Dinesh Gaikwad </v>
      </c>
      <c r="G267" s="5" t="s">
        <v>25</v>
      </c>
      <c r="H267" s="5" t="s">
        <v>25</v>
      </c>
      <c r="I267" s="5" t="s">
        <v>25</v>
      </c>
      <c r="J267" s="5" t="s">
        <v>25</v>
      </c>
      <c r="K267" s="7" t="str">
        <f>VLOOKUP(A267,Sheet2!$A$2:$R$3432,6,0)</f>
        <v>Honda Shine 125</v>
      </c>
      <c r="L267" s="5" t="s">
        <v>25</v>
      </c>
      <c r="M267" s="7" t="str">
        <f>VLOOKUP(A267,Sheet2!$A$2:$R$3432,5,0)</f>
        <v>MH12JC8207</v>
      </c>
      <c r="N267" s="5" t="s">
        <v>25</v>
      </c>
      <c r="O267" s="5" t="s">
        <v>25</v>
      </c>
      <c r="P267" s="6" t="s">
        <v>25</v>
      </c>
      <c r="Q267" s="5" t="s">
        <v>25</v>
      </c>
      <c r="R267" s="5" t="s">
        <v>25</v>
      </c>
      <c r="S267" s="7" t="str">
        <f>VLOOKUP(A267,Sheet2!$A$2:$R$3432,18,0)</f>
        <v/>
      </c>
      <c r="T267" s="7" t="str">
        <f>VLOOKUP(A267,Sheet2!$A$2:$R$3432,17,0)</f>
        <v/>
      </c>
    </row>
    <row r="268" ht="15.75" customHeight="1">
      <c r="A268" s="3" t="s">
        <v>291</v>
      </c>
      <c r="B268" s="4" t="str">
        <f>VLOOKUP(A268,Sheet2!$A$2:$R$3432,2,0)</f>
        <v>2025-01-13 19:08:42</v>
      </c>
      <c r="C268" s="5" t="s">
        <v>25</v>
      </c>
      <c r="D268" s="6" t="s">
        <v>25</v>
      </c>
      <c r="E268" s="7">
        <f>VLOOKUP(A268,Sheet2!$A$2:$R$3432,4,0)</f>
        <v>8698190247</v>
      </c>
      <c r="F268" s="7" t="str">
        <f>VLOOKUP(A268,Sheet2!$A$2:$R$3432,3,0)</f>
        <v>KISHOR PATIL</v>
      </c>
      <c r="G268" s="5" t="s">
        <v>25</v>
      </c>
      <c r="H268" s="5" t="s">
        <v>25</v>
      </c>
      <c r="I268" s="5" t="s">
        <v>25</v>
      </c>
      <c r="J268" s="5" t="s">
        <v>25</v>
      </c>
      <c r="K268" s="7" t="str">
        <f>VLOOKUP(A268,Sheet2!$A$2:$R$3432,6,0)</f>
        <v>Honda Hornet 160R</v>
      </c>
      <c r="L268" s="5" t="s">
        <v>25</v>
      </c>
      <c r="M268" s="7" t="str">
        <f>VLOOKUP(A268,Sheet2!$A$2:$R$3432,5,0)</f>
        <v>MH14FZ3592</v>
      </c>
      <c r="N268" s="5" t="s">
        <v>25</v>
      </c>
      <c r="O268" s="5" t="s">
        <v>25</v>
      </c>
      <c r="P268" s="6" t="s">
        <v>25</v>
      </c>
      <c r="Q268" s="5" t="s">
        <v>25</v>
      </c>
      <c r="R268" s="5" t="s">
        <v>25</v>
      </c>
      <c r="S268" s="5" t="str">
        <f>VLOOKUP(A268,Sheet2!$A$2:$R$3432,18,0)</f>
        <v>KC23E80N9798</v>
      </c>
      <c r="T268" s="7" t="str">
        <f>VLOOKUP(A268,Sheet2!$A$2:$R$3432,17,0)</f>
        <v>ME4KC235LG8011875</v>
      </c>
    </row>
    <row r="269" ht="15.75" customHeight="1">
      <c r="A269" s="3" t="s">
        <v>292</v>
      </c>
      <c r="B269" s="4" t="str">
        <f>VLOOKUP(A269,Sheet2!$A$2:$R$3432,2,0)</f>
        <v>2025-01-13 19:12:47</v>
      </c>
      <c r="C269" s="5" t="s">
        <v>25</v>
      </c>
      <c r="D269" s="6" t="s">
        <v>25</v>
      </c>
      <c r="E269" s="7">
        <f>VLOOKUP(A269,Sheet2!$A$2:$R$3432,4,0)</f>
        <v>9004432771</v>
      </c>
      <c r="F269" s="7" t="str">
        <f>VLOOKUP(A269,Sheet2!$A$2:$R$3432,3,0)</f>
        <v>Dharmesh </v>
      </c>
      <c r="G269" s="5" t="s">
        <v>25</v>
      </c>
      <c r="H269" s="5" t="s">
        <v>25</v>
      </c>
      <c r="I269" s="5" t="s">
        <v>25</v>
      </c>
      <c r="J269" s="5" t="s">
        <v>25</v>
      </c>
      <c r="K269" s="7" t="str">
        <f>VLOOKUP(A269,Sheet2!$A$2:$R$3432,6,0)</f>
        <v>TVS Jupiter </v>
      </c>
      <c r="L269" s="5" t="s">
        <v>25</v>
      </c>
      <c r="M269" s="7" t="str">
        <f>VLOOKUP(A269,Sheet2!$A$2:$R$3432,5,0)</f>
        <v>MH14JQ6795</v>
      </c>
      <c r="N269" s="5" t="s">
        <v>25</v>
      </c>
      <c r="O269" s="5" t="s">
        <v>25</v>
      </c>
      <c r="P269" s="6" t="s">
        <v>25</v>
      </c>
      <c r="Q269" s="5" t="s">
        <v>25</v>
      </c>
      <c r="R269" s="5" t="s">
        <v>25</v>
      </c>
      <c r="S269" s="5" t="str">
        <f>VLOOKUP(A269,Sheet2!$A$2:$R$3432,18,0)</f>
        <v>DG5DM1J00318</v>
      </c>
      <c r="T269" s="7" t="str">
        <f>VLOOKUP(A269,Sheet2!$A$2:$R$3432,17,0)</f>
        <v>MD626CGJ1M1D00318</v>
      </c>
    </row>
    <row r="270" ht="15.75" customHeight="1">
      <c r="A270" s="3" t="s">
        <v>293</v>
      </c>
      <c r="B270" s="4" t="str">
        <f>VLOOKUP(A270,Sheet2!$A$2:$R$3432,2,0)</f>
        <v>2025-01-13 19:13:41</v>
      </c>
      <c r="C270" s="5" t="s">
        <v>25</v>
      </c>
      <c r="D270" s="6" t="s">
        <v>25</v>
      </c>
      <c r="E270" s="7">
        <f>VLOOKUP(A270,Sheet2!$A$2:$R$3432,4,0)</f>
        <v>9359006522</v>
      </c>
      <c r="F270" s="7" t="str">
        <f>VLOOKUP(A270,Sheet2!$A$2:$R$3432,3,0)</f>
        <v> Pranav Jagtap </v>
      </c>
      <c r="G270" s="5" t="s">
        <v>25</v>
      </c>
      <c r="H270" s="5" t="s">
        <v>25</v>
      </c>
      <c r="I270" s="5" t="s">
        <v>25</v>
      </c>
      <c r="J270" s="5" t="s">
        <v>25</v>
      </c>
      <c r="K270" s="7" t="str">
        <f>VLOOKUP(A270,Sheet2!$A$2:$R$3432,6,0)</f>
        <v>Hero Splendor Plus</v>
      </c>
      <c r="L270" s="5" t="s">
        <v>25</v>
      </c>
      <c r="M270" s="7" t="str">
        <f>VLOOKUP(A270,Sheet2!$A$2:$R$3432,5,0)</f>
        <v>MH12AM6026</v>
      </c>
      <c r="N270" s="5" t="s">
        <v>25</v>
      </c>
      <c r="O270" s="5" t="s">
        <v>25</v>
      </c>
      <c r="P270" s="6" t="s">
        <v>25</v>
      </c>
      <c r="Q270" s="5" t="s">
        <v>25</v>
      </c>
      <c r="R270" s="5" t="s">
        <v>25</v>
      </c>
      <c r="S270" s="5" t="str">
        <f>VLOOKUP(A270,Sheet2!$A$2:$R$3432,18,0)</f>
        <v>OOF18E06758</v>
      </c>
      <c r="T270" s="7" t="str">
        <f>VLOOKUP(A270,Sheet2!$A$2:$R$3432,17,0)</f>
        <v>00F20F04268</v>
      </c>
    </row>
    <row r="271" ht="15.75" customHeight="1">
      <c r="A271" s="3" t="s">
        <v>294</v>
      </c>
      <c r="B271" s="4" t="str">
        <f>VLOOKUP(A271,Sheet2!$A$2:$R$3432,2,0)</f>
        <v>2025-01-13 21:00:10</v>
      </c>
      <c r="C271" s="5" t="s">
        <v>25</v>
      </c>
      <c r="D271" s="6" t="s">
        <v>25</v>
      </c>
      <c r="E271" s="7">
        <f>VLOOKUP(A271,Sheet2!$A$2:$R$3432,4,0)</f>
        <v>8788309058</v>
      </c>
      <c r="F271" s="7" t="str">
        <f>VLOOKUP(A271,Sheet2!$A$2:$R$3432,3,0)</f>
        <v>Tushar Jabde</v>
      </c>
      <c r="G271" s="5" t="s">
        <v>25</v>
      </c>
      <c r="H271" s="5" t="s">
        <v>25</v>
      </c>
      <c r="I271" s="5" t="s">
        <v>25</v>
      </c>
      <c r="J271" s="5" t="s">
        <v>25</v>
      </c>
      <c r="K271" s="7" t="str">
        <f>VLOOKUP(A271,Sheet2!$A$2:$R$3432,6,0)</f>
        <v>Hero Splendor No Data</v>
      </c>
      <c r="L271" s="5" t="s">
        <v>25</v>
      </c>
      <c r="M271" s="7" t="str">
        <f>VLOOKUP(A271,Sheet2!$A$2:$R$3432,5,0)</f>
        <v>MH13AQ6169</v>
      </c>
      <c r="N271" s="5" t="s">
        <v>25</v>
      </c>
      <c r="O271" s="5" t="s">
        <v>25</v>
      </c>
      <c r="P271" s="6" t="s">
        <v>25</v>
      </c>
      <c r="Q271" s="5" t="s">
        <v>25</v>
      </c>
      <c r="R271" s="5" t="s">
        <v>25</v>
      </c>
      <c r="S271" s="7" t="str">
        <f>VLOOKUP(A271,Sheet2!$A$2:$R$3432,18,0)</f>
        <v/>
      </c>
      <c r="T271" s="7" t="str">
        <f>VLOOKUP(A271,Sheet2!$A$2:$R$3432,17,0)</f>
        <v/>
      </c>
    </row>
    <row r="272" ht="15.75" customHeight="1">
      <c r="A272" s="3" t="s">
        <v>295</v>
      </c>
      <c r="B272" s="4" t="str">
        <f>VLOOKUP(A272,Sheet2!$A$2:$R$3432,2,0)</f>
        <v>2024-12-23 19:03:42</v>
      </c>
      <c r="C272" s="5" t="s">
        <v>25</v>
      </c>
      <c r="D272" s="6" t="s">
        <v>25</v>
      </c>
      <c r="E272" s="7">
        <f>VLOOKUP(A272,Sheet2!$A$2:$R$3432,4,0)</f>
        <v>9923638981</v>
      </c>
      <c r="F272" s="7" t="str">
        <f>VLOOKUP(A272,Sheet2!$A$2:$R$3432,3,0)</f>
        <v>Deshmukh</v>
      </c>
      <c r="G272" s="5" t="s">
        <v>25</v>
      </c>
      <c r="H272" s="5" t="s">
        <v>25</v>
      </c>
      <c r="I272" s="5" t="s">
        <v>25</v>
      </c>
      <c r="J272" s="5" t="s">
        <v>25</v>
      </c>
      <c r="K272" s="7" t="str">
        <f>VLOOKUP(A272,Sheet2!$A$2:$R$3432,6,0)</f>
        <v>Honda Activa 110</v>
      </c>
      <c r="L272" s="5" t="s">
        <v>25</v>
      </c>
      <c r="M272" s="7" t="str">
        <f>VLOOKUP(A272,Sheet2!$A$2:$R$3432,5,0)</f>
        <v>MH14ED3957</v>
      </c>
      <c r="N272" s="5" t="s">
        <v>25</v>
      </c>
      <c r="O272" s="5" t="s">
        <v>25</v>
      </c>
      <c r="P272" s="6" t="s">
        <v>25</v>
      </c>
      <c r="Q272" s="5" t="s">
        <v>25</v>
      </c>
      <c r="R272" s="5" t="s">
        <v>25</v>
      </c>
      <c r="S272" s="5" t="str">
        <f>VLOOKUP(A272,Sheet2!$A$2:$R$3432,18,0)</f>
        <v>JF50E70451203</v>
      </c>
      <c r="T272" s="7" t="str">
        <f>VLOOKUP(A272,Sheet2!$A$2:$R$3432,17,0)</f>
        <v>ME4JF501KD7451152</v>
      </c>
    </row>
    <row r="273" ht="15.75" customHeight="1">
      <c r="A273" s="3" t="s">
        <v>296</v>
      </c>
      <c r="B273" s="4" t="str">
        <f>VLOOKUP(A273,Sheet2!$A$2:$R$3432,2,0)</f>
        <v>2024-12-23 18:25:51</v>
      </c>
      <c r="C273" s="5" t="s">
        <v>25</v>
      </c>
      <c r="D273" s="6" t="s">
        <v>25</v>
      </c>
      <c r="E273" s="7">
        <f>VLOOKUP(A273,Sheet2!$A$2:$R$3432,4,0)</f>
        <v>7038015420</v>
      </c>
      <c r="F273" s="7" t="str">
        <f>VLOOKUP(A273,Sheet2!$A$2:$R$3432,3,0)</f>
        <v>Sayli</v>
      </c>
      <c r="G273" s="5" t="s">
        <v>25</v>
      </c>
      <c r="H273" s="5" t="s">
        <v>25</v>
      </c>
      <c r="I273" s="5" t="s">
        <v>25</v>
      </c>
      <c r="J273" s="5" t="s">
        <v>25</v>
      </c>
      <c r="K273" s="7" t="str">
        <f>VLOOKUP(A273,Sheet2!$A$2:$R$3432,6,0)</f>
        <v>TVS Jupiter </v>
      </c>
      <c r="L273" s="5" t="s">
        <v>25</v>
      </c>
      <c r="M273" s="7" t="str">
        <f>VLOOKUP(A273,Sheet2!$A$2:$R$3432,5,0)</f>
        <v>MH12RG9285</v>
      </c>
      <c r="N273" s="5" t="s">
        <v>25</v>
      </c>
      <c r="O273" s="5" t="s">
        <v>25</v>
      </c>
      <c r="P273" s="6" t="s">
        <v>25</v>
      </c>
      <c r="Q273" s="5" t="s">
        <v>25</v>
      </c>
      <c r="R273" s="5" t="s">
        <v>25</v>
      </c>
      <c r="S273" s="7" t="str">
        <f>VLOOKUP(A273,Sheet2!$A$2:$R$3432,18,0)</f>
        <v/>
      </c>
      <c r="T273" s="7" t="str">
        <f>VLOOKUP(A273,Sheet2!$A$2:$R$3432,17,0)</f>
        <v/>
      </c>
    </row>
    <row r="274" ht="15.75" customHeight="1">
      <c r="A274" s="3" t="s">
        <v>297</v>
      </c>
      <c r="B274" s="4" t="str">
        <f>VLOOKUP(A274,Sheet2!$A$2:$R$3432,2,0)</f>
        <v>2024-12-23 18:24:10</v>
      </c>
      <c r="C274" s="5" t="s">
        <v>25</v>
      </c>
      <c r="D274" s="6" t="s">
        <v>25</v>
      </c>
      <c r="E274" s="7">
        <f>VLOOKUP(A274,Sheet2!$A$2:$R$3432,4,0)</f>
        <v>8888063966</v>
      </c>
      <c r="F274" s="7" t="str">
        <f>VLOOKUP(A274,Sheet2!$A$2:$R$3432,3,0)</f>
        <v>Gitanjali</v>
      </c>
      <c r="G274" s="5" t="s">
        <v>25</v>
      </c>
      <c r="H274" s="5" t="s">
        <v>25</v>
      </c>
      <c r="I274" s="5" t="s">
        <v>25</v>
      </c>
      <c r="J274" s="5" t="s">
        <v>25</v>
      </c>
      <c r="K274" s="7" t="str">
        <f>VLOOKUP(A274,Sheet2!$A$2:$R$3432,6,0)</f>
        <v>TVS Wego </v>
      </c>
      <c r="L274" s="5" t="s">
        <v>25</v>
      </c>
      <c r="M274" s="7" t="str">
        <f>VLOOKUP(A274,Sheet2!$A$2:$R$3432,5,0)</f>
        <v>MH14DZ3632</v>
      </c>
      <c r="N274" s="5" t="s">
        <v>25</v>
      </c>
      <c r="O274" s="5" t="s">
        <v>25</v>
      </c>
      <c r="P274" s="6" t="s">
        <v>25</v>
      </c>
      <c r="Q274" s="5" t="s">
        <v>25</v>
      </c>
      <c r="R274" s="5" t="s">
        <v>25</v>
      </c>
      <c r="S274" s="7" t="str">
        <f>VLOOKUP(A274,Sheet2!$A$2:$R$3432,18,0)</f>
        <v/>
      </c>
      <c r="T274" s="7" t="str">
        <f>VLOOKUP(A274,Sheet2!$A$2:$R$3432,17,0)</f>
        <v/>
      </c>
    </row>
    <row r="275" ht="15.75" customHeight="1">
      <c r="A275" s="3" t="s">
        <v>298</v>
      </c>
      <c r="B275" s="4" t="str">
        <f>VLOOKUP(A275,Sheet2!$A$2:$R$3432,2,0)</f>
        <v>2024-12-23 18:20:55</v>
      </c>
      <c r="C275" s="5" t="s">
        <v>25</v>
      </c>
      <c r="D275" s="6" t="s">
        <v>25</v>
      </c>
      <c r="E275" s="7">
        <f>VLOOKUP(A275,Sheet2!$A$2:$R$3432,4,0)</f>
        <v>9422494840</v>
      </c>
      <c r="F275" s="7" t="str">
        <f>VLOOKUP(A275,Sheet2!$A$2:$R$3432,3,0)</f>
        <v>CHANDRASHEKHAR </v>
      </c>
      <c r="G275" s="5" t="s">
        <v>25</v>
      </c>
      <c r="H275" s="5" t="s">
        <v>25</v>
      </c>
      <c r="I275" s="5" t="s">
        <v>25</v>
      </c>
      <c r="J275" s="5" t="s">
        <v>25</v>
      </c>
      <c r="K275" s="7" t="str">
        <f>VLOOKUP(A275,Sheet2!$A$2:$R$3432,6,0)</f>
        <v>Hero Pleasure </v>
      </c>
      <c r="L275" s="5" t="s">
        <v>25</v>
      </c>
      <c r="M275" s="7" t="str">
        <f>VLOOKUP(A275,Sheet2!$A$2:$R$3432,5,0)</f>
        <v>MH14GM8850</v>
      </c>
      <c r="N275" s="5" t="s">
        <v>25</v>
      </c>
      <c r="O275" s="5" t="s">
        <v>25</v>
      </c>
      <c r="P275" s="6" t="s">
        <v>25</v>
      </c>
      <c r="Q275" s="5" t="s">
        <v>25</v>
      </c>
      <c r="R275" s="5" t="s">
        <v>25</v>
      </c>
      <c r="S275" s="5" t="str">
        <f>VLOOKUP(A275,Sheet2!$A$2:$R$3432,18,0)</f>
        <v>JF16EGHGK5788</v>
      </c>
      <c r="T275" s="7" t="str">
        <f>VLOOKUP(A275,Sheet2!$A$2:$R$3432,17,0)</f>
        <v>MBLJFN03SHGK04581</v>
      </c>
    </row>
    <row r="276" ht="15.75" customHeight="1">
      <c r="A276" s="3" t="s">
        <v>299</v>
      </c>
      <c r="B276" s="4" t="str">
        <f>VLOOKUP(A276,Sheet2!$A$2:$R$3432,2,0)</f>
        <v>2024-12-23 18:21:18</v>
      </c>
      <c r="C276" s="5" t="s">
        <v>25</v>
      </c>
      <c r="D276" s="6" t="s">
        <v>25</v>
      </c>
      <c r="E276" s="7">
        <f>VLOOKUP(A276,Sheet2!$A$2:$R$3432,4,0)</f>
        <v>9168085222</v>
      </c>
      <c r="F276" s="7" t="str">
        <f>VLOOKUP(A276,Sheet2!$A$2:$R$3432,3,0)</f>
        <v>Suryoday Mukherjee </v>
      </c>
      <c r="G276" s="5" t="s">
        <v>25</v>
      </c>
      <c r="H276" s="5" t="s">
        <v>25</v>
      </c>
      <c r="I276" s="5" t="s">
        <v>25</v>
      </c>
      <c r="J276" s="5" t="s">
        <v>25</v>
      </c>
      <c r="K276" s="7" t="str">
        <f>VLOOKUP(A276,Sheet2!$A$2:$R$3432,6,0)</f>
        <v>Royal Enfield Hunter 350 Retro</v>
      </c>
      <c r="L276" s="5" t="s">
        <v>25</v>
      </c>
      <c r="M276" s="7" t="str">
        <f>VLOOKUP(A276,Sheet2!$A$2:$R$3432,5,0)</f>
        <v>MH14JW1498</v>
      </c>
      <c r="N276" s="5" t="s">
        <v>25</v>
      </c>
      <c r="O276" s="5" t="s">
        <v>25</v>
      </c>
      <c r="P276" s="6" t="s">
        <v>25</v>
      </c>
      <c r="Q276" s="5" t="s">
        <v>25</v>
      </c>
      <c r="R276" s="5" t="s">
        <v>25</v>
      </c>
      <c r="S276" s="7" t="str">
        <f>VLOOKUP(A276,Sheet2!$A$2:$R$3432,18,0)</f>
        <v/>
      </c>
      <c r="T276" s="7" t="str">
        <f>VLOOKUP(A276,Sheet2!$A$2:$R$3432,17,0)</f>
        <v>ME3J3A5FHM2001328</v>
      </c>
    </row>
    <row r="277" ht="15.75" customHeight="1">
      <c r="A277" s="3" t="s">
        <v>300</v>
      </c>
      <c r="B277" s="4" t="str">
        <f>VLOOKUP(A277,Sheet2!$A$2:$R$3432,2,0)</f>
        <v>2024-12-23 18:22:02</v>
      </c>
      <c r="C277" s="5" t="s">
        <v>25</v>
      </c>
      <c r="D277" s="6" t="s">
        <v>25</v>
      </c>
      <c r="E277" s="7">
        <f>VLOOKUP(A277,Sheet2!$A$2:$R$3432,4,0)</f>
        <v>9727754606</v>
      </c>
      <c r="F277" s="7" t="str">
        <f>VLOOKUP(A277,Sheet2!$A$2:$R$3432,3,0)</f>
        <v>Ajit Vaidya</v>
      </c>
      <c r="G277" s="5" t="s">
        <v>25</v>
      </c>
      <c r="H277" s="5" t="s">
        <v>25</v>
      </c>
      <c r="I277" s="5" t="s">
        <v>25</v>
      </c>
      <c r="J277" s="5" t="s">
        <v>25</v>
      </c>
      <c r="K277" s="7" t="str">
        <f>VLOOKUP(A277,Sheet2!$A$2:$R$3432,6,0)</f>
        <v>TVS Scooty PEP Plus</v>
      </c>
      <c r="L277" s="5" t="s">
        <v>25</v>
      </c>
      <c r="M277" s="7" t="str">
        <f>VLOOKUP(A277,Sheet2!$A$2:$R$3432,5,0)</f>
        <v>GJ01JU2579</v>
      </c>
      <c r="N277" s="5" t="s">
        <v>25</v>
      </c>
      <c r="O277" s="5" t="s">
        <v>25</v>
      </c>
      <c r="P277" s="6" t="s">
        <v>25</v>
      </c>
      <c r="Q277" s="5" t="s">
        <v>25</v>
      </c>
      <c r="R277" s="5" t="s">
        <v>25</v>
      </c>
      <c r="S277" s="5" t="str">
        <f>VLOOKUP(A277,Sheet2!$A$2:$R$3432,18,0)</f>
        <v>OG3BG2527300</v>
      </c>
      <c r="T277" s="7" t="str">
        <f>VLOOKUP(A277,Sheet2!$A$2:$R$3432,17,0)</f>
        <v>MD626BG32G2B29015</v>
      </c>
    </row>
    <row r="278" ht="15.75" customHeight="1">
      <c r="A278" s="3" t="s">
        <v>301</v>
      </c>
      <c r="B278" s="4" t="str">
        <f>VLOOKUP(A278,Sheet2!$A$2:$R$3432,2,0)</f>
        <v>2024-12-23 18:22:29</v>
      </c>
      <c r="C278" s="5" t="s">
        <v>25</v>
      </c>
      <c r="D278" s="6" t="s">
        <v>25</v>
      </c>
      <c r="E278" s="7">
        <f>VLOOKUP(A278,Sheet2!$A$2:$R$3432,4,0)</f>
        <v>8983644194</v>
      </c>
      <c r="F278" s="7" t="str">
        <f>VLOOKUP(A278,Sheet2!$A$2:$R$3432,3,0)</f>
        <v>Nishant Nagekar</v>
      </c>
      <c r="G278" s="5" t="s">
        <v>25</v>
      </c>
      <c r="H278" s="5" t="s">
        <v>25</v>
      </c>
      <c r="I278" s="5" t="s">
        <v>25</v>
      </c>
      <c r="J278" s="5" t="s">
        <v>25</v>
      </c>
      <c r="K278" s="7" t="str">
        <f>VLOOKUP(A278,Sheet2!$A$2:$R$3432,6,0)</f>
        <v>Honda Activa 6G</v>
      </c>
      <c r="L278" s="5" t="s">
        <v>25</v>
      </c>
      <c r="M278" s="7" t="str">
        <f>VLOOKUP(A278,Sheet2!$A$2:$R$3432,5,0)</f>
        <v>MH14KQ4755</v>
      </c>
      <c r="N278" s="5" t="s">
        <v>25</v>
      </c>
      <c r="O278" s="5" t="s">
        <v>25</v>
      </c>
      <c r="P278" s="6" t="s">
        <v>25</v>
      </c>
      <c r="Q278" s="5" t="s">
        <v>25</v>
      </c>
      <c r="R278" s="5" t="s">
        <v>25</v>
      </c>
      <c r="S278" s="5" t="str">
        <f>VLOOKUP(A278,Sheet2!$A$2:$R$3432,18,0)</f>
        <v>JK15EW5729610</v>
      </c>
      <c r="T278" s="7" t="str">
        <f>VLOOKUP(A278,Sheet2!$A$2:$R$3432,17,0)</f>
        <v>ME4JK156ERW729862</v>
      </c>
    </row>
    <row r="279" ht="15.75" customHeight="1">
      <c r="A279" s="3" t="s">
        <v>302</v>
      </c>
      <c r="B279" s="4" t="str">
        <f>VLOOKUP(A279,Sheet2!$A$2:$R$3432,2,0)</f>
        <v>2024-12-23 18:23:16</v>
      </c>
      <c r="C279" s="5" t="s">
        <v>25</v>
      </c>
      <c r="D279" s="6" t="s">
        <v>25</v>
      </c>
      <c r="E279" s="7">
        <f>VLOOKUP(A279,Sheet2!$A$2:$R$3432,4,0)</f>
        <v>7387043468</v>
      </c>
      <c r="F279" s="7" t="str">
        <f>VLOOKUP(A279,Sheet2!$A$2:$R$3432,3,0)</f>
        <v>Shivaji</v>
      </c>
      <c r="G279" s="5" t="s">
        <v>25</v>
      </c>
      <c r="H279" s="5" t="s">
        <v>25</v>
      </c>
      <c r="I279" s="5" t="s">
        <v>25</v>
      </c>
      <c r="J279" s="5" t="s">
        <v>25</v>
      </c>
      <c r="K279" s="7" t="str">
        <f>VLOOKUP(A279,Sheet2!$A$2:$R$3432,6,0)</f>
        <v>Honda Activa 3G</v>
      </c>
      <c r="L279" s="5" t="s">
        <v>25</v>
      </c>
      <c r="M279" s="7" t="str">
        <f>VLOOKUP(A279,Sheet2!$A$2:$R$3432,5,0)</f>
        <v>MH12MD5080</v>
      </c>
      <c r="N279" s="5" t="s">
        <v>25</v>
      </c>
      <c r="O279" s="5" t="s">
        <v>25</v>
      </c>
      <c r="P279" s="6" t="s">
        <v>25</v>
      </c>
      <c r="Q279" s="5" t="s">
        <v>25</v>
      </c>
      <c r="R279" s="5" t="s">
        <v>25</v>
      </c>
      <c r="S279" s="5" t="str">
        <f>VLOOKUP(A279,Sheet2!$A$2:$R$3432,18,0)</f>
        <v>JE50ET2446061</v>
      </c>
      <c r="T279" s="7" t="str">
        <f>VLOOKUP(A279,Sheet2!$A$2:$R$3432,17,0)</f>
        <v>ME4JF504FFT445006</v>
      </c>
    </row>
    <row r="280" ht="15.75" customHeight="1">
      <c r="A280" s="3" t="s">
        <v>303</v>
      </c>
      <c r="B280" s="4" t="str">
        <f>VLOOKUP(A280,Sheet2!$A$2:$R$3432,2,0)</f>
        <v>2024-12-23 18:25:19</v>
      </c>
      <c r="C280" s="5" t="s">
        <v>25</v>
      </c>
      <c r="D280" s="6" t="s">
        <v>25</v>
      </c>
      <c r="E280" s="7">
        <f>VLOOKUP(A280,Sheet2!$A$2:$R$3432,4,0)</f>
        <v>9881101308</v>
      </c>
      <c r="F280" s="7" t="str">
        <f>VLOOKUP(A280,Sheet2!$A$2:$R$3432,3,0)</f>
        <v>Harsh</v>
      </c>
      <c r="G280" s="5" t="s">
        <v>25</v>
      </c>
      <c r="H280" s="5" t="s">
        <v>25</v>
      </c>
      <c r="I280" s="5" t="s">
        <v>25</v>
      </c>
      <c r="J280" s="5" t="s">
        <v>25</v>
      </c>
      <c r="K280" s="7" t="str">
        <f>VLOOKUP(A280,Sheet2!$A$2:$R$3432,6,0)</f>
        <v>Honda Activa 4G</v>
      </c>
      <c r="L280" s="5" t="s">
        <v>25</v>
      </c>
      <c r="M280" s="7" t="str">
        <f>VLOOKUP(A280,Sheet2!$A$2:$R$3432,5,0)</f>
        <v>MH14GK0393</v>
      </c>
      <c r="N280" s="5" t="s">
        <v>25</v>
      </c>
      <c r="O280" s="5" t="s">
        <v>25</v>
      </c>
      <c r="P280" s="6" t="s">
        <v>25</v>
      </c>
      <c r="Q280" s="5" t="s">
        <v>25</v>
      </c>
      <c r="R280" s="5" t="s">
        <v>25</v>
      </c>
      <c r="S280" s="5" t="str">
        <f>VLOOKUP(A280,Sheet2!$A$2:$R$3432,18,0)</f>
        <v>JF50E45384745</v>
      </c>
      <c r="T280" s="7" t="str">
        <f>VLOOKUP(A280,Sheet2!$A$2:$R$3432,17,0)</f>
        <v>ME4JF507GHU384784</v>
      </c>
    </row>
    <row r="281" ht="15.75" customHeight="1">
      <c r="A281" s="3" t="s">
        <v>304</v>
      </c>
      <c r="B281" s="4" t="str">
        <f>VLOOKUP(A281,Sheet2!$A$2:$R$3432,2,0)</f>
        <v>2024-12-23 18:26:33</v>
      </c>
      <c r="C281" s="5" t="s">
        <v>25</v>
      </c>
      <c r="D281" s="6" t="s">
        <v>25</v>
      </c>
      <c r="E281" s="7">
        <f>VLOOKUP(A281,Sheet2!$A$2:$R$3432,4,0)</f>
        <v>9834859931</v>
      </c>
      <c r="F281" s="7" t="str">
        <f>VLOOKUP(A281,Sheet2!$A$2:$R$3432,3,0)</f>
        <v>PRASHANT SAWANT</v>
      </c>
      <c r="G281" s="5" t="s">
        <v>25</v>
      </c>
      <c r="H281" s="5" t="s">
        <v>25</v>
      </c>
      <c r="I281" s="5" t="s">
        <v>25</v>
      </c>
      <c r="J281" s="5" t="s">
        <v>25</v>
      </c>
      <c r="K281" s="7" t="str">
        <f>VLOOKUP(A281,Sheet2!$A$2:$R$3432,6,0)</f>
        <v>Aprilla SR SR 150</v>
      </c>
      <c r="L281" s="5" t="s">
        <v>25</v>
      </c>
      <c r="M281" s="7" t="str">
        <f>VLOOKUP(A281,Sheet2!$A$2:$R$3432,5,0)</f>
        <v>MH12SR7700</v>
      </c>
      <c r="N281" s="5" t="s">
        <v>25</v>
      </c>
      <c r="O281" s="5" t="s">
        <v>25</v>
      </c>
      <c r="P281" s="6" t="s">
        <v>25</v>
      </c>
      <c r="Q281" s="5" t="s">
        <v>25</v>
      </c>
      <c r="R281" s="5" t="s">
        <v>25</v>
      </c>
      <c r="S281" s="7" t="str">
        <f>VLOOKUP(A281,Sheet2!$A$2:$R$3432,18,0)</f>
        <v/>
      </c>
      <c r="T281" s="7" t="str">
        <f>VLOOKUP(A281,Sheet2!$A$2:$R$3432,17,0)</f>
        <v/>
      </c>
    </row>
    <row r="282" ht="15.75" customHeight="1">
      <c r="A282" s="3" t="s">
        <v>305</v>
      </c>
      <c r="B282" s="4" t="str">
        <f>VLOOKUP(A282,Sheet2!$A$2:$R$3432,2,0)</f>
        <v>2024-12-23 18:26:12</v>
      </c>
      <c r="C282" s="5" t="s">
        <v>25</v>
      </c>
      <c r="D282" s="6" t="s">
        <v>25</v>
      </c>
      <c r="E282" s="7">
        <f>VLOOKUP(A282,Sheet2!$A$2:$R$3432,4,0)</f>
        <v>9970886964</v>
      </c>
      <c r="F282" s="7" t="str">
        <f>VLOOKUP(A282,Sheet2!$A$2:$R$3432,3,0)</f>
        <v>Ashok Yadav </v>
      </c>
      <c r="G282" s="5" t="s">
        <v>25</v>
      </c>
      <c r="H282" s="5" t="s">
        <v>25</v>
      </c>
      <c r="I282" s="5" t="s">
        <v>25</v>
      </c>
      <c r="J282" s="5" t="s">
        <v>25</v>
      </c>
      <c r="K282" s="7" t="str">
        <f>VLOOKUP(A282,Sheet2!$A$2:$R$3432,6,0)</f>
        <v>Honda Activa </v>
      </c>
      <c r="L282" s="5" t="s">
        <v>25</v>
      </c>
      <c r="M282" s="7" t="str">
        <f>VLOOKUP(A282,Sheet2!$A$2:$R$3432,5,0)</f>
        <v>MH14EW8848</v>
      </c>
      <c r="N282" s="5" t="s">
        <v>25</v>
      </c>
      <c r="O282" s="5" t="s">
        <v>25</v>
      </c>
      <c r="P282" s="6" t="s">
        <v>25</v>
      </c>
      <c r="Q282" s="5" t="s">
        <v>25</v>
      </c>
      <c r="R282" s="5" t="s">
        <v>25</v>
      </c>
      <c r="S282" s="7" t="str">
        <f>VLOOKUP(A282,Sheet2!$A$2:$R$3432,18,0)</f>
        <v/>
      </c>
      <c r="T282" s="7" t="str">
        <f>VLOOKUP(A282,Sheet2!$A$2:$R$3432,17,0)</f>
        <v/>
      </c>
    </row>
    <row r="283" ht="15.75" customHeight="1">
      <c r="A283" s="3" t="s">
        <v>306</v>
      </c>
      <c r="B283" s="4" t="str">
        <f>VLOOKUP(A283,Sheet2!$A$2:$R$3432,2,0)</f>
        <v>2024-12-23 20:46:47</v>
      </c>
      <c r="C283" s="5" t="s">
        <v>25</v>
      </c>
      <c r="D283" s="6" t="s">
        <v>25</v>
      </c>
      <c r="E283" s="7">
        <f>VLOOKUP(A283,Sheet2!$A$2:$R$3432,4,0)</f>
        <v>7894850132</v>
      </c>
      <c r="F283" s="7" t="str">
        <f>VLOOKUP(A283,Sheet2!$A$2:$R$3432,3,0)</f>
        <v>ROSHAN</v>
      </c>
      <c r="G283" s="5" t="s">
        <v>25</v>
      </c>
      <c r="H283" s="5" t="s">
        <v>25</v>
      </c>
      <c r="I283" s="5" t="s">
        <v>25</v>
      </c>
      <c r="J283" s="5" t="s">
        <v>25</v>
      </c>
      <c r="K283" s="7" t="str">
        <f>VLOOKUP(A283,Sheet2!$A$2:$R$3432,6,0)</f>
        <v>Royal Enfield Bullet 350</v>
      </c>
      <c r="L283" s="5" t="s">
        <v>25</v>
      </c>
      <c r="M283" s="7" t="str">
        <f>VLOOKUP(A283,Sheet2!$A$2:$R$3432,5,0)</f>
        <v>OD33Q0227</v>
      </c>
      <c r="N283" s="5" t="s">
        <v>25</v>
      </c>
      <c r="O283" s="5" t="s">
        <v>25</v>
      </c>
      <c r="P283" s="6" t="s">
        <v>25</v>
      </c>
      <c r="Q283" s="5" t="s">
        <v>25</v>
      </c>
      <c r="R283" s="5" t="s">
        <v>25</v>
      </c>
      <c r="S283" s="7" t="str">
        <f>VLOOKUP(A283,Sheet2!$A$2:$R$3432,18,0)</f>
        <v/>
      </c>
      <c r="T283" s="7" t="str">
        <f>VLOOKUP(A283,Sheet2!$A$2:$R$3432,17,0)</f>
        <v/>
      </c>
    </row>
    <row r="284" ht="15.75" customHeight="1">
      <c r="A284" s="3" t="s">
        <v>307</v>
      </c>
      <c r="B284" s="4" t="str">
        <f>VLOOKUP(A284,Sheet2!$A$2:$R$3432,2,0)</f>
        <v>2024-12-23 19:16:15</v>
      </c>
      <c r="C284" s="5" t="s">
        <v>25</v>
      </c>
      <c r="D284" s="6" t="s">
        <v>25</v>
      </c>
      <c r="E284" s="7">
        <f>VLOOKUP(A284,Sheet2!$A$2:$R$3432,4,0)</f>
        <v>8793084321</v>
      </c>
      <c r="F284" s="7" t="str">
        <f>VLOOKUP(A284,Sheet2!$A$2:$R$3432,3,0)</f>
        <v>Sumit Chaudhari</v>
      </c>
      <c r="G284" s="5" t="s">
        <v>25</v>
      </c>
      <c r="H284" s="5" t="s">
        <v>25</v>
      </c>
      <c r="I284" s="5" t="s">
        <v>25</v>
      </c>
      <c r="J284" s="5" t="s">
        <v>25</v>
      </c>
      <c r="K284" s="7" t="str">
        <f>VLOOKUP(A284,Sheet2!$A$2:$R$3432,6,0)</f>
        <v>Honda Cliq </v>
      </c>
      <c r="L284" s="5" t="s">
        <v>25</v>
      </c>
      <c r="M284" s="7" t="str">
        <f>VLOOKUP(A284,Sheet2!$A$2:$R$3432,5,0)</f>
        <v>MH12QB1031</v>
      </c>
      <c r="N284" s="5" t="s">
        <v>25</v>
      </c>
      <c r="O284" s="5" t="s">
        <v>25</v>
      </c>
      <c r="P284" s="6" t="s">
        <v>25</v>
      </c>
      <c r="Q284" s="5" t="s">
        <v>25</v>
      </c>
      <c r="R284" s="5" t="s">
        <v>25</v>
      </c>
      <c r="S284" s="7" t="str">
        <f>VLOOKUP(A284,Sheet2!$A$2:$R$3432,18,0)</f>
        <v/>
      </c>
      <c r="T284" s="7" t="str">
        <f>VLOOKUP(A284,Sheet2!$A$2:$R$3432,17,0)</f>
        <v>ME4JF762JH7010514</v>
      </c>
    </row>
    <row r="285" ht="15.75" customHeight="1">
      <c r="A285" s="3" t="s">
        <v>308</v>
      </c>
      <c r="B285" s="4" t="str">
        <f>VLOOKUP(A285,Sheet2!$A$2:$R$3432,2,0)</f>
        <v>2024-12-23 19:16:37</v>
      </c>
      <c r="C285" s="5" t="s">
        <v>25</v>
      </c>
      <c r="D285" s="6" t="s">
        <v>25</v>
      </c>
      <c r="E285" s="7">
        <f>VLOOKUP(A285,Sheet2!$A$2:$R$3432,4,0)</f>
        <v>9552504362</v>
      </c>
      <c r="F285" s="7" t="str">
        <f>VLOOKUP(A285,Sheet2!$A$2:$R$3432,3,0)</f>
        <v>Rajendra Bagal</v>
      </c>
      <c r="G285" s="5" t="s">
        <v>25</v>
      </c>
      <c r="H285" s="5" t="s">
        <v>25</v>
      </c>
      <c r="I285" s="5" t="s">
        <v>25</v>
      </c>
      <c r="J285" s="5" t="s">
        <v>25</v>
      </c>
      <c r="K285" s="7" t="str">
        <f>VLOOKUP(A285,Sheet2!$A$2:$R$3432,6,0)</f>
        <v>Honda Activa HET</v>
      </c>
      <c r="L285" s="5" t="s">
        <v>25</v>
      </c>
      <c r="M285" s="7" t="str">
        <f>VLOOKUP(A285,Sheet2!$A$2:$R$3432,5,0)</f>
        <v>MH14ES6745</v>
      </c>
      <c r="N285" s="5" t="s">
        <v>25</v>
      </c>
      <c r="O285" s="5" t="s">
        <v>25</v>
      </c>
      <c r="P285" s="6" t="s">
        <v>25</v>
      </c>
      <c r="Q285" s="5" t="s">
        <v>25</v>
      </c>
      <c r="R285" s="5" t="s">
        <v>25</v>
      </c>
      <c r="S285" s="5" t="str">
        <f>VLOOKUP(A285,Sheet2!$A$2:$R$3432,18,0)</f>
        <v>JF50ET1614405</v>
      </c>
      <c r="T285" s="7" t="str">
        <f>VLOOKUP(A285,Sheet2!$A$2:$R$3432,17,0)</f>
        <v>ME4JF501CD7110269</v>
      </c>
    </row>
    <row r="286" ht="15.75" customHeight="1">
      <c r="A286" s="3" t="s">
        <v>309</v>
      </c>
      <c r="B286" s="4" t="str">
        <f>VLOOKUP(A286,Sheet2!$A$2:$R$3432,2,0)</f>
        <v>2024-12-23 19:38:50</v>
      </c>
      <c r="C286" s="5" t="s">
        <v>25</v>
      </c>
      <c r="D286" s="6" t="s">
        <v>25</v>
      </c>
      <c r="E286" s="7">
        <f>VLOOKUP(A286,Sheet2!$A$2:$R$3432,4,0)</f>
        <v>9665201372</v>
      </c>
      <c r="F286" s="7" t="str">
        <f>VLOOKUP(A286,Sheet2!$A$2:$R$3432,3,0)</f>
        <v>Sudarshan Gumaste</v>
      </c>
      <c r="G286" s="5" t="s">
        <v>25</v>
      </c>
      <c r="H286" s="5" t="s">
        <v>25</v>
      </c>
      <c r="I286" s="5" t="s">
        <v>25</v>
      </c>
      <c r="J286" s="5" t="s">
        <v>25</v>
      </c>
      <c r="K286" s="7" t="str">
        <f>VLOOKUP(A286,Sheet2!$A$2:$R$3432,6,0)</f>
        <v>Honda Shine CB</v>
      </c>
      <c r="L286" s="5" t="s">
        <v>25</v>
      </c>
      <c r="M286" s="7" t="str">
        <f>VLOOKUP(A286,Sheet2!$A$2:$R$3432,5,0)</f>
        <v>MH17CS9695</v>
      </c>
      <c r="N286" s="5" t="s">
        <v>25</v>
      </c>
      <c r="O286" s="5" t="s">
        <v>25</v>
      </c>
      <c r="P286" s="6" t="s">
        <v>25</v>
      </c>
      <c r="Q286" s="5" t="s">
        <v>25</v>
      </c>
      <c r="R286" s="5" t="s">
        <v>25</v>
      </c>
      <c r="S286" s="7" t="str">
        <f>VLOOKUP(A286,Sheet2!$A$2:$R$3432,18,0)</f>
        <v/>
      </c>
      <c r="T286" s="7" t="str">
        <f>VLOOKUP(A286,Sheet2!$A$2:$R$3432,17,0)</f>
        <v/>
      </c>
    </row>
    <row r="287" ht="15.75" customHeight="1">
      <c r="A287" s="3" t="s">
        <v>310</v>
      </c>
      <c r="B287" s="4" t="str">
        <f>VLOOKUP(A287,Sheet2!$A$2:$R$3432,2,0)</f>
        <v>2024-12-23 20:09:13</v>
      </c>
      <c r="C287" s="5" t="s">
        <v>25</v>
      </c>
      <c r="D287" s="6" t="s">
        <v>25</v>
      </c>
      <c r="E287" s="7">
        <f>VLOOKUP(A287,Sheet2!$A$2:$R$3432,4,0)</f>
        <v>9167426875</v>
      </c>
      <c r="F287" s="7" t="str">
        <f>VLOOKUP(A287,Sheet2!$A$2:$R$3432,3,0)</f>
        <v>Shubham Limbole</v>
      </c>
      <c r="G287" s="5" t="s">
        <v>25</v>
      </c>
      <c r="H287" s="5" t="s">
        <v>25</v>
      </c>
      <c r="I287" s="5" t="s">
        <v>25</v>
      </c>
      <c r="J287" s="5" t="s">
        <v>25</v>
      </c>
      <c r="K287" s="7" t="str">
        <f>VLOOKUP(A287,Sheet2!$A$2:$R$3432,6,0)</f>
        <v>Hero Maestro </v>
      </c>
      <c r="L287" s="5" t="s">
        <v>25</v>
      </c>
      <c r="M287" s="7" t="str">
        <f>VLOOKUP(A287,Sheet2!$A$2:$R$3432,5,0)</f>
        <v>MH46BH7225</v>
      </c>
      <c r="N287" s="5" t="s">
        <v>25</v>
      </c>
      <c r="O287" s="5" t="s">
        <v>25</v>
      </c>
      <c r="P287" s="6" t="s">
        <v>25</v>
      </c>
      <c r="Q287" s="5" t="s">
        <v>25</v>
      </c>
      <c r="R287" s="5" t="s">
        <v>25</v>
      </c>
      <c r="S287" s="5" t="str">
        <f>VLOOKUP(A287,Sheet2!$A$2:$R$3432,18,0)</f>
        <v>JF33ABHGK00656</v>
      </c>
      <c r="T287" s="7" t="str">
        <f>VLOOKUP(A287,Sheet2!$A$2:$R$3432,17,0)</f>
        <v>RUSTY FRAME</v>
      </c>
    </row>
    <row r="288" ht="15.75" customHeight="1">
      <c r="A288" s="3" t="s">
        <v>311</v>
      </c>
      <c r="B288" s="4" t="str">
        <f>VLOOKUP(A288,Sheet2!$A$2:$R$3432,2,0)</f>
        <v>2024-12-05 18:13:00</v>
      </c>
      <c r="C288" s="5" t="s">
        <v>25</v>
      </c>
      <c r="D288" s="6" t="s">
        <v>25</v>
      </c>
      <c r="E288" s="7">
        <f>VLOOKUP(A288,Sheet2!$A$2:$R$3432,4,0)</f>
        <v>8530252828</v>
      </c>
      <c r="F288" s="7" t="str">
        <f>VLOOKUP(A288,Sheet2!$A$2:$R$3432,3,0)</f>
        <v>Lalit More</v>
      </c>
      <c r="G288" s="5" t="s">
        <v>25</v>
      </c>
      <c r="H288" s="5" t="s">
        <v>25</v>
      </c>
      <c r="I288" s="5" t="s">
        <v>25</v>
      </c>
      <c r="J288" s="5" t="s">
        <v>25</v>
      </c>
      <c r="K288" s="7" t="str">
        <f>VLOOKUP(A288,Sheet2!$A$2:$R$3432,6,0)</f>
        <v>Honda Activa 6G</v>
      </c>
      <c r="L288" s="5" t="s">
        <v>25</v>
      </c>
      <c r="M288" s="7" t="str">
        <f>VLOOKUP(A288,Sheet2!$A$2:$R$3432,5,0)</f>
        <v>MH14KT6304</v>
      </c>
      <c r="N288" s="5" t="s">
        <v>25</v>
      </c>
      <c r="O288" s="5" t="s">
        <v>25</v>
      </c>
      <c r="P288" s="6" t="s">
        <v>25</v>
      </c>
      <c r="Q288" s="5" t="s">
        <v>25</v>
      </c>
      <c r="R288" s="5" t="s">
        <v>25</v>
      </c>
      <c r="S288" s="5" t="str">
        <f>VLOOKUP(A288,Sheet2!$A$2:$R$3432,18,0)</f>
        <v>JK15EG5077887</v>
      </c>
      <c r="T288" s="7" t="str">
        <f>VLOOKUP(A288,Sheet2!$A$2:$R$3432,17,0)</f>
        <v>ME40K156DPG0787518</v>
      </c>
    </row>
    <row r="289" ht="15.75" customHeight="1">
      <c r="A289" s="3" t="s">
        <v>312</v>
      </c>
      <c r="B289" s="4" t="str">
        <f>VLOOKUP(A289,Sheet2!$A$2:$R$3432,2,0)</f>
        <v>2024-12-05 18:24:38</v>
      </c>
      <c r="C289" s="5" t="s">
        <v>25</v>
      </c>
      <c r="D289" s="6" t="s">
        <v>25</v>
      </c>
      <c r="E289" s="7">
        <f>VLOOKUP(A289,Sheet2!$A$2:$R$3432,4,0)</f>
        <v>9029912316</v>
      </c>
      <c r="F289" s="7" t="str">
        <f>VLOOKUP(A289,Sheet2!$A$2:$R$3432,3,0)</f>
        <v>Joseph</v>
      </c>
      <c r="G289" s="5" t="s">
        <v>25</v>
      </c>
      <c r="H289" s="5" t="s">
        <v>25</v>
      </c>
      <c r="I289" s="5" t="s">
        <v>25</v>
      </c>
      <c r="J289" s="5" t="s">
        <v>25</v>
      </c>
      <c r="K289" s="7" t="str">
        <f>VLOOKUP(A289,Sheet2!$A$2:$R$3432,6,0)</f>
        <v>Honda Activa 125</v>
      </c>
      <c r="L289" s="5" t="s">
        <v>25</v>
      </c>
      <c r="M289" s="7" t="str">
        <f>VLOOKUP(A289,Sheet2!$A$2:$R$3432,5,0)</f>
        <v>MH14EN7302</v>
      </c>
      <c r="N289" s="5" t="s">
        <v>25</v>
      </c>
      <c r="O289" s="5" t="s">
        <v>25</v>
      </c>
      <c r="P289" s="6" t="s">
        <v>25</v>
      </c>
      <c r="Q289" s="5" t="s">
        <v>25</v>
      </c>
      <c r="R289" s="5" t="s">
        <v>25</v>
      </c>
      <c r="S289" s="5" t="str">
        <f>VLOOKUP(A289,Sheet2!$A$2:$R$3432,18,0)</f>
        <v>JF49E80034191</v>
      </c>
      <c r="T289" s="7" t="str">
        <f>VLOOKUP(A289,Sheet2!$A$2:$R$3432,17,0)</f>
        <v>ME4JF491GE031113</v>
      </c>
    </row>
    <row r="290" ht="15.75" customHeight="1">
      <c r="A290" s="3" t="s">
        <v>313</v>
      </c>
      <c r="B290" s="4" t="str">
        <f>VLOOKUP(A290,Sheet2!$A$2:$R$3432,2,0)</f>
        <v>2024-12-05 18:23:38</v>
      </c>
      <c r="C290" s="5" t="s">
        <v>25</v>
      </c>
      <c r="D290" s="6" t="s">
        <v>25</v>
      </c>
      <c r="E290" s="7">
        <f>VLOOKUP(A290,Sheet2!$A$2:$R$3432,4,0)</f>
        <v>9822032280</v>
      </c>
      <c r="F290" s="7" t="str">
        <f>VLOOKUP(A290,Sheet2!$A$2:$R$3432,3,0)</f>
        <v>Kale</v>
      </c>
      <c r="G290" s="5" t="s">
        <v>25</v>
      </c>
      <c r="H290" s="5" t="s">
        <v>25</v>
      </c>
      <c r="I290" s="5" t="s">
        <v>25</v>
      </c>
      <c r="J290" s="5" t="s">
        <v>25</v>
      </c>
      <c r="K290" s="7" t="str">
        <f>VLOOKUP(A290,Sheet2!$A$2:$R$3432,6,0)</f>
        <v>Honda Activa Old</v>
      </c>
      <c r="L290" s="5" t="s">
        <v>25</v>
      </c>
      <c r="M290" s="7" t="str">
        <f>VLOOKUP(A290,Sheet2!$A$2:$R$3432,5,0)</f>
        <v>MH12EK7543</v>
      </c>
      <c r="N290" s="5" t="s">
        <v>25</v>
      </c>
      <c r="O290" s="5" t="s">
        <v>25</v>
      </c>
      <c r="P290" s="6" t="s">
        <v>25</v>
      </c>
      <c r="Q290" s="5" t="s">
        <v>25</v>
      </c>
      <c r="R290" s="5" t="s">
        <v>25</v>
      </c>
      <c r="S290" s="5" t="str">
        <f>VLOOKUP(A290,Sheet2!$A$2:$R$3432,18,0)</f>
        <v>JF08E507468S</v>
      </c>
      <c r="T290" s="7" t="str">
        <f>VLOOKUP(A290,Sheet2!$A$2:$R$3432,17,0)</f>
        <v>ME4JF0893K78843143</v>
      </c>
    </row>
    <row r="291" ht="15.75" customHeight="1">
      <c r="A291" s="3" t="s">
        <v>314</v>
      </c>
      <c r="B291" s="4" t="str">
        <f>VLOOKUP(A291,Sheet2!$A$2:$R$3432,2,0)</f>
        <v>2025-01-19 12:56:00</v>
      </c>
      <c r="C291" s="5" t="s">
        <v>25</v>
      </c>
      <c r="D291" s="6" t="s">
        <v>25</v>
      </c>
      <c r="E291" s="7">
        <f>VLOOKUP(A291,Sheet2!$A$2:$R$3432,4,0)</f>
        <v>7304070707</v>
      </c>
      <c r="F291" s="7" t="str">
        <f>VLOOKUP(A291,Sheet2!$A$2:$R$3432,3,0)</f>
        <v>Girish Jadhav</v>
      </c>
      <c r="G291" s="5" t="s">
        <v>25</v>
      </c>
      <c r="H291" s="5" t="s">
        <v>25</v>
      </c>
      <c r="I291" s="5" t="s">
        <v>25</v>
      </c>
      <c r="J291" s="5" t="s">
        <v>25</v>
      </c>
      <c r="K291" s="7" t="str">
        <f>VLOOKUP(A291,Sheet2!$A$2:$R$3432,6,0)</f>
        <v>Bajaj Avenger 160 S ABS</v>
      </c>
      <c r="L291" s="5" t="s">
        <v>25</v>
      </c>
      <c r="M291" s="7" t="str">
        <f>VLOOKUP(A291,Sheet2!$A$2:$R$3432,5,0)</f>
        <v>MH14HV9323</v>
      </c>
      <c r="N291" s="5" t="s">
        <v>25</v>
      </c>
      <c r="O291" s="5" t="s">
        <v>25</v>
      </c>
      <c r="P291" s="6" t="s">
        <v>25</v>
      </c>
      <c r="Q291" s="5" t="s">
        <v>25</v>
      </c>
      <c r="R291" s="5" t="s">
        <v>25</v>
      </c>
      <c r="S291" s="5" t="str">
        <f>VLOOKUP(A291,Sheet2!$A$2:$R$3432,18,0)</f>
        <v>PDYCK005304</v>
      </c>
      <c r="T291" s="7" t="str">
        <f>VLOOKUP(A291,Sheet2!$A$2:$R$3432,17,0)</f>
        <v>MD2B57CY9KCG26696</v>
      </c>
    </row>
    <row r="292" ht="15.75" customHeight="1">
      <c r="A292" s="3" t="s">
        <v>315</v>
      </c>
      <c r="B292" s="4" t="str">
        <f>VLOOKUP(A292,Sheet2!$A$2:$R$3432,2,0)</f>
        <v>2025-01-19 18:17:44</v>
      </c>
      <c r="C292" s="5" t="s">
        <v>25</v>
      </c>
      <c r="D292" s="6" t="s">
        <v>25</v>
      </c>
      <c r="E292" s="7">
        <f>VLOOKUP(A292,Sheet2!$A$2:$R$3432,4,0)</f>
        <v>9960277897</v>
      </c>
      <c r="F292" s="7" t="str">
        <f>VLOOKUP(A292,Sheet2!$A$2:$R$3432,3,0)</f>
        <v>Devin Bhave</v>
      </c>
      <c r="G292" s="5" t="s">
        <v>25</v>
      </c>
      <c r="H292" s="5" t="s">
        <v>25</v>
      </c>
      <c r="I292" s="5" t="s">
        <v>25</v>
      </c>
      <c r="J292" s="5" t="s">
        <v>25</v>
      </c>
      <c r="K292" s="7" t="str">
        <f>VLOOKUP(A292,Sheet2!$A$2:$R$3432,6,0)</f>
        <v>Honda Activa 125</v>
      </c>
      <c r="L292" s="5" t="s">
        <v>25</v>
      </c>
      <c r="M292" s="7" t="str">
        <f>VLOOKUP(A292,Sheet2!$A$2:$R$3432,5,0)</f>
        <v>MH14JK0348</v>
      </c>
      <c r="N292" s="5" t="s">
        <v>25</v>
      </c>
      <c r="O292" s="5" t="s">
        <v>25</v>
      </c>
      <c r="P292" s="6" t="s">
        <v>25</v>
      </c>
      <c r="Q292" s="5" t="s">
        <v>25</v>
      </c>
      <c r="R292" s="5" t="s">
        <v>25</v>
      </c>
      <c r="S292" s="5" t="str">
        <f>VLOOKUP(A292,Sheet2!$A$2:$R$3432,18,0)</f>
        <v>JF49EW4093820</v>
      </c>
      <c r="T292" s="7" t="str">
        <f>VLOOKUP(A292,Sheet2!$A$2:$R$3432,17,0)</f>
        <v>ME4J49NMLW034543</v>
      </c>
    </row>
    <row r="293" ht="15.75" customHeight="1">
      <c r="A293" s="3" t="s">
        <v>316</v>
      </c>
      <c r="B293" s="4" t="str">
        <f>VLOOKUP(A293,Sheet2!$A$2:$R$3432,2,0)</f>
        <v>2025-01-19 18:22:13</v>
      </c>
      <c r="C293" s="5" t="s">
        <v>25</v>
      </c>
      <c r="D293" s="6" t="s">
        <v>25</v>
      </c>
      <c r="E293" s="7">
        <f>VLOOKUP(A293,Sheet2!$A$2:$R$3432,4,0)</f>
        <v>7447845767</v>
      </c>
      <c r="F293" s="7" t="str">
        <f>VLOOKUP(A293,Sheet2!$A$2:$R$3432,3,0)</f>
        <v>SHIDHANT PUND</v>
      </c>
      <c r="G293" s="5" t="s">
        <v>25</v>
      </c>
      <c r="H293" s="5" t="s">
        <v>25</v>
      </c>
      <c r="I293" s="5" t="s">
        <v>25</v>
      </c>
      <c r="J293" s="5" t="s">
        <v>25</v>
      </c>
      <c r="K293" s="7" t="str">
        <f>VLOOKUP(A293,Sheet2!$A$2:$R$3432,6,0)</f>
        <v>Suzuki Access  125 BS6</v>
      </c>
      <c r="L293" s="5" t="s">
        <v>25</v>
      </c>
      <c r="M293" s="7" t="str">
        <f>VLOOKUP(A293,Sheet2!$A$2:$R$3432,5,0)</f>
        <v>MH16DB8564</v>
      </c>
      <c r="N293" s="5" t="s">
        <v>25</v>
      </c>
      <c r="O293" s="5" t="s">
        <v>25</v>
      </c>
      <c r="P293" s="6" t="s">
        <v>25</v>
      </c>
      <c r="Q293" s="5" t="s">
        <v>25</v>
      </c>
      <c r="R293" s="5" t="s">
        <v>25</v>
      </c>
      <c r="S293" s="7" t="str">
        <f>VLOOKUP(A293,Sheet2!$A$2:$R$3432,18,0)</f>
        <v/>
      </c>
      <c r="T293" s="7" t="str">
        <f>VLOOKUP(A293,Sheet2!$A$2:$R$3432,17,0)</f>
        <v/>
      </c>
    </row>
    <row r="294" ht="15.75" customHeight="1">
      <c r="A294" s="3" t="s">
        <v>317</v>
      </c>
      <c r="B294" s="4" t="str">
        <f>VLOOKUP(A294,Sheet2!$A$2:$R$3432,2,0)</f>
        <v>2025-01-19 21:02:40</v>
      </c>
      <c r="C294" s="5" t="s">
        <v>25</v>
      </c>
      <c r="D294" s="6" t="s">
        <v>25</v>
      </c>
      <c r="E294" s="7">
        <f>VLOOKUP(A294,Sheet2!$A$2:$R$3432,4,0)</f>
        <v>9860704054</v>
      </c>
      <c r="F294" s="7" t="str">
        <f>VLOOKUP(A294,Sheet2!$A$2:$R$3432,3,0)</f>
        <v>Shivanand</v>
      </c>
      <c r="G294" s="5" t="s">
        <v>25</v>
      </c>
      <c r="H294" s="5" t="s">
        <v>25</v>
      </c>
      <c r="I294" s="5" t="s">
        <v>25</v>
      </c>
      <c r="J294" s="5" t="s">
        <v>25</v>
      </c>
      <c r="K294" s="7" t="str">
        <f>VLOOKUP(A294,Sheet2!$A$2:$R$3432,6,0)</f>
        <v>Honda Activa 6G</v>
      </c>
      <c r="L294" s="5" t="s">
        <v>25</v>
      </c>
      <c r="M294" s="7" t="str">
        <f>VLOOKUP(A294,Sheet2!$A$2:$R$3432,5,0)</f>
        <v>MH14KY5030</v>
      </c>
      <c r="N294" s="5" t="s">
        <v>25</v>
      </c>
      <c r="O294" s="5" t="s">
        <v>25</v>
      </c>
      <c r="P294" s="6" t="s">
        <v>25</v>
      </c>
      <c r="Q294" s="5" t="s">
        <v>25</v>
      </c>
      <c r="R294" s="5" t="s">
        <v>25</v>
      </c>
      <c r="S294" s="5" t="str">
        <f>VLOOKUP(A294,Sheet2!$A$2:$R$3432,18,0)</f>
        <v>JK15EG5163737</v>
      </c>
      <c r="T294" s="7" t="str">
        <f>VLOOKUP(A294,Sheet2!$A$2:$R$3432,17,0)</f>
        <v>ME4JK156GPG163550</v>
      </c>
    </row>
    <row r="295" ht="15.75" customHeight="1">
      <c r="A295" s="3" t="s">
        <v>318</v>
      </c>
      <c r="B295" s="4" t="str">
        <f>VLOOKUP(A295,Sheet2!$A$2:$R$3432,2,0)</f>
        <v>2025-01-19 20:22:47</v>
      </c>
      <c r="C295" s="5" t="s">
        <v>25</v>
      </c>
      <c r="D295" s="6" t="s">
        <v>25</v>
      </c>
      <c r="E295" s="7">
        <f>VLOOKUP(A295,Sheet2!$A$2:$R$3432,4,0)</f>
        <v>9421897311</v>
      </c>
      <c r="F295" s="7" t="str">
        <f>VLOOKUP(A295,Sheet2!$A$2:$R$3432,3,0)</f>
        <v>Piyush Bhangare</v>
      </c>
      <c r="G295" s="5" t="s">
        <v>25</v>
      </c>
      <c r="H295" s="5" t="s">
        <v>25</v>
      </c>
      <c r="I295" s="5" t="s">
        <v>25</v>
      </c>
      <c r="J295" s="5" t="s">
        <v>25</v>
      </c>
      <c r="K295" s="7" t="str">
        <f>VLOOKUP(A295,Sheet2!$A$2:$R$3432,6,0)</f>
        <v>Bajaj Discover 100M</v>
      </c>
      <c r="L295" s="5" t="s">
        <v>25</v>
      </c>
      <c r="M295" s="7" t="str">
        <f>VLOOKUP(A295,Sheet2!$A$2:$R$3432,5,0)</f>
        <v>MH39P9672</v>
      </c>
      <c r="N295" s="5" t="s">
        <v>25</v>
      </c>
      <c r="O295" s="5" t="s">
        <v>25</v>
      </c>
      <c r="P295" s="6" t="s">
        <v>25</v>
      </c>
      <c r="Q295" s="5" t="s">
        <v>25</v>
      </c>
      <c r="R295" s="5" t="s">
        <v>25</v>
      </c>
      <c r="S295" s="7" t="str">
        <f>VLOOKUP(A295,Sheet2!$A$2:$R$3432,18,0)</f>
        <v/>
      </c>
      <c r="T295" s="7" t="str">
        <f>VLOOKUP(A295,Sheet2!$A$2:$R$3432,17,0)</f>
        <v/>
      </c>
    </row>
    <row r="296" ht="15.75" customHeight="1">
      <c r="A296" s="3" t="s">
        <v>319</v>
      </c>
      <c r="B296" s="4" t="str">
        <f>VLOOKUP(A296,Sheet2!$A$2:$R$3432,2,0)</f>
        <v>2025-01-19 20:20:09</v>
      </c>
      <c r="C296" s="5" t="s">
        <v>25</v>
      </c>
      <c r="D296" s="6" t="s">
        <v>25</v>
      </c>
      <c r="E296" s="7">
        <f>VLOOKUP(A296,Sheet2!$A$2:$R$3432,4,0)</f>
        <v>7720072355</v>
      </c>
      <c r="F296" s="7" t="str">
        <f>VLOOKUP(A296,Sheet2!$A$2:$R$3432,3,0)</f>
        <v>Abhijeet</v>
      </c>
      <c r="G296" s="5" t="s">
        <v>25</v>
      </c>
      <c r="H296" s="5" t="s">
        <v>25</v>
      </c>
      <c r="I296" s="5" t="s">
        <v>25</v>
      </c>
      <c r="J296" s="5" t="s">
        <v>25</v>
      </c>
      <c r="K296" s="7" t="str">
        <f>VLOOKUP(A296,Sheet2!$A$2:$R$3432,6,0)</f>
        <v>Suzuki Access </v>
      </c>
      <c r="L296" s="5" t="s">
        <v>25</v>
      </c>
      <c r="M296" s="7" t="str">
        <f>VLOOKUP(A296,Sheet2!$A$2:$R$3432,5,0)</f>
        <v>MH20DQ1506</v>
      </c>
      <c r="N296" s="5" t="s">
        <v>25</v>
      </c>
      <c r="O296" s="5" t="s">
        <v>25</v>
      </c>
      <c r="P296" s="6" t="s">
        <v>25</v>
      </c>
      <c r="Q296" s="5" t="s">
        <v>25</v>
      </c>
      <c r="R296" s="5" t="s">
        <v>25</v>
      </c>
      <c r="S296" s="5" t="str">
        <f>VLOOKUP(A296,Sheet2!$A$2:$R$3432,18,0)</f>
        <v>F4862732186</v>
      </c>
      <c r="T296" s="7" t="str">
        <f>VLOOKUP(A296,Sheet2!$A$2:$R$3432,17,0)</f>
        <v>MB8CF4CACF8557169</v>
      </c>
    </row>
    <row r="297" ht="15.75" customHeight="1">
      <c r="A297" s="3" t="s">
        <v>320</v>
      </c>
      <c r="B297" s="4" t="str">
        <f>VLOOKUP(A297,Sheet2!$A$2:$R$3432,2,0)</f>
        <v>2025-01-19 20:18:49</v>
      </c>
      <c r="C297" s="5" t="s">
        <v>25</v>
      </c>
      <c r="D297" s="6" t="s">
        <v>25</v>
      </c>
      <c r="E297" s="7">
        <f>VLOOKUP(A297,Sheet2!$A$2:$R$3432,4,0)</f>
        <v>8087619986</v>
      </c>
      <c r="F297" s="7" t="str">
        <f>VLOOKUP(A297,Sheet2!$A$2:$R$3432,3,0)</f>
        <v>Puneet Thakkar</v>
      </c>
      <c r="G297" s="5" t="s">
        <v>25</v>
      </c>
      <c r="H297" s="5" t="s">
        <v>25</v>
      </c>
      <c r="I297" s="5" t="s">
        <v>25</v>
      </c>
      <c r="J297" s="5" t="s">
        <v>25</v>
      </c>
      <c r="K297" s="7" t="str">
        <f>VLOOKUP(A297,Sheet2!$A$2:$R$3432,6,0)</f>
        <v>TVS Jupiter </v>
      </c>
      <c r="L297" s="5" t="s">
        <v>25</v>
      </c>
      <c r="M297" s="7" t="str">
        <f>VLOOKUP(A297,Sheet2!$A$2:$R$3432,5,0)</f>
        <v>MH12RL0855</v>
      </c>
      <c r="N297" s="5" t="s">
        <v>25</v>
      </c>
      <c r="O297" s="5" t="s">
        <v>25</v>
      </c>
      <c r="P297" s="6" t="s">
        <v>25</v>
      </c>
      <c r="Q297" s="5" t="s">
        <v>25</v>
      </c>
      <c r="R297" s="5" t="s">
        <v>25</v>
      </c>
      <c r="S297" s="5" t="str">
        <f>VLOOKUP(A297,Sheet2!$A$2:$R$3432,18,0)</f>
        <v>EG4AK1726997</v>
      </c>
      <c r="T297" s="7" t="str">
        <f>VLOOKUP(A297,Sheet2!$A$2:$R$3432,17,0)</f>
        <v>MD626EG46K1A12532</v>
      </c>
    </row>
    <row r="298" ht="15.75" customHeight="1">
      <c r="A298" s="3" t="s">
        <v>321</v>
      </c>
      <c r="B298" s="4" t="str">
        <f>VLOOKUP(A298,Sheet2!$A$2:$R$3432,2,0)</f>
        <v>2025-01-19 20:05:13</v>
      </c>
      <c r="C298" s="5" t="s">
        <v>25</v>
      </c>
      <c r="D298" s="6" t="s">
        <v>25</v>
      </c>
      <c r="E298" s="7">
        <f>VLOOKUP(A298,Sheet2!$A$2:$R$3432,4,0)</f>
        <v>9021466897</v>
      </c>
      <c r="F298" s="7" t="str">
        <f>VLOOKUP(A298,Sheet2!$A$2:$R$3432,3,0)</f>
        <v>Abhijit </v>
      </c>
      <c r="G298" s="5" t="s">
        <v>25</v>
      </c>
      <c r="H298" s="5" t="s">
        <v>25</v>
      </c>
      <c r="I298" s="5" t="s">
        <v>25</v>
      </c>
      <c r="J298" s="5" t="s">
        <v>25</v>
      </c>
      <c r="K298" s="7" t="str">
        <f>VLOOKUP(A298,Sheet2!$A$2:$R$3432,6,0)</f>
        <v>Bajaj Pulsar 220</v>
      </c>
      <c r="L298" s="5" t="s">
        <v>25</v>
      </c>
      <c r="M298" s="7" t="str">
        <f>VLOOKUP(A298,Sheet2!$A$2:$R$3432,5,0)</f>
        <v>MH28BE1123</v>
      </c>
      <c r="N298" s="5" t="s">
        <v>25</v>
      </c>
      <c r="O298" s="5" t="s">
        <v>25</v>
      </c>
      <c r="P298" s="6" t="s">
        <v>25</v>
      </c>
      <c r="Q298" s="5" t="s">
        <v>25</v>
      </c>
      <c r="R298" s="5" t="s">
        <v>25</v>
      </c>
      <c r="S298" s="7" t="str">
        <f>VLOOKUP(A298,Sheet2!$A$2:$R$3432,18,0)</f>
        <v/>
      </c>
      <c r="T298" s="7" t="str">
        <f>VLOOKUP(A298,Sheet2!$A$2:$R$3432,17,0)</f>
        <v/>
      </c>
    </row>
    <row r="299" ht="15.75" customHeight="1">
      <c r="A299" s="3" t="s">
        <v>322</v>
      </c>
      <c r="B299" s="4" t="str">
        <f>VLOOKUP(A299,Sheet2!$A$2:$R$3432,2,0)</f>
        <v>2025-01-19 19:35:45</v>
      </c>
      <c r="C299" s="5" t="s">
        <v>25</v>
      </c>
      <c r="D299" s="6" t="s">
        <v>25</v>
      </c>
      <c r="E299" s="7">
        <f>VLOOKUP(A299,Sheet2!$A$2:$R$3432,4,0)</f>
        <v>9890335919</v>
      </c>
      <c r="F299" s="7" t="str">
        <f>VLOOKUP(A299,Sheet2!$A$2:$R$3432,3,0)</f>
        <v>Nilesh Kulkarni </v>
      </c>
      <c r="G299" s="5" t="s">
        <v>25</v>
      </c>
      <c r="H299" s="5" t="s">
        <v>25</v>
      </c>
      <c r="I299" s="5" t="s">
        <v>25</v>
      </c>
      <c r="J299" s="5" t="s">
        <v>25</v>
      </c>
      <c r="K299" s="7" t="str">
        <f>VLOOKUP(A299,Sheet2!$A$2:$R$3432,6,0)</f>
        <v>Honda Activa 6G</v>
      </c>
      <c r="L299" s="5" t="s">
        <v>25</v>
      </c>
      <c r="M299" s="7" t="str">
        <f>VLOOKUP(A299,Sheet2!$A$2:$R$3432,5,0)</f>
        <v>MH14JY3527</v>
      </c>
      <c r="N299" s="5" t="s">
        <v>25</v>
      </c>
      <c r="O299" s="5" t="s">
        <v>25</v>
      </c>
      <c r="P299" s="6" t="s">
        <v>25</v>
      </c>
      <c r="Q299" s="5" t="s">
        <v>25</v>
      </c>
      <c r="R299" s="5" t="s">
        <v>25</v>
      </c>
      <c r="S299" s="5" t="str">
        <f>VLOOKUP(A299,Sheet2!$A$2:$R$3432,18,0)</f>
        <v>JF91EG4000055</v>
      </c>
      <c r="T299" s="7" t="str">
        <f>VLOOKUP(A299,Sheet2!$A$2:$R$3432,17,0)</f>
        <v>ME4JF917JMG000311</v>
      </c>
    </row>
    <row r="300" ht="15.75" customHeight="1">
      <c r="A300" s="3" t="s">
        <v>323</v>
      </c>
      <c r="B300" s="4" t="str">
        <f>VLOOKUP(A300,Sheet2!$A$2:$R$3432,2,0)</f>
        <v>2025-01-19 19:09:54</v>
      </c>
      <c r="C300" s="5" t="s">
        <v>25</v>
      </c>
      <c r="D300" s="6" t="s">
        <v>25</v>
      </c>
      <c r="E300" s="7">
        <f>VLOOKUP(A300,Sheet2!$A$2:$R$3432,4,0)</f>
        <v>9823143276</v>
      </c>
      <c r="F300" s="7" t="str">
        <f>VLOOKUP(A300,Sheet2!$A$2:$R$3432,3,0)</f>
        <v>PRAVEEN</v>
      </c>
      <c r="G300" s="5" t="s">
        <v>25</v>
      </c>
      <c r="H300" s="5" t="s">
        <v>25</v>
      </c>
      <c r="I300" s="5" t="s">
        <v>25</v>
      </c>
      <c r="J300" s="5" t="s">
        <v>25</v>
      </c>
      <c r="K300" s="7" t="str">
        <f>VLOOKUP(A300,Sheet2!$A$2:$R$3432,6,0)</f>
        <v>Yamaha Fazer </v>
      </c>
      <c r="L300" s="5" t="s">
        <v>25</v>
      </c>
      <c r="M300" s="7" t="str">
        <f>VLOOKUP(A300,Sheet2!$A$2:$R$3432,5,0)</f>
        <v>MH14CQ2056</v>
      </c>
      <c r="N300" s="5" t="s">
        <v>25</v>
      </c>
      <c r="O300" s="5" t="s">
        <v>25</v>
      </c>
      <c r="P300" s="6" t="s">
        <v>25</v>
      </c>
      <c r="Q300" s="5" t="s">
        <v>25</v>
      </c>
      <c r="R300" s="5" t="s">
        <v>25</v>
      </c>
      <c r="S300" s="5" t="str">
        <f>VLOOKUP(A300,Sheet2!$A$2:$R$3432,18,0)</f>
        <v>4554002687</v>
      </c>
      <c r="T300" s="7" t="str">
        <f>VLOOKUP(A300,Sheet2!$A$2:$R$3432,17,0)</f>
        <v>ME1455049A2003980</v>
      </c>
    </row>
    <row r="301" ht="15.75" customHeight="1">
      <c r="A301" s="3" t="s">
        <v>324</v>
      </c>
      <c r="B301" s="4" t="str">
        <f>VLOOKUP(A301,Sheet2!$A$2:$R$3432,2,0)</f>
        <v>2025-01-19 18:18:21</v>
      </c>
      <c r="C301" s="5" t="s">
        <v>25</v>
      </c>
      <c r="D301" s="6" t="s">
        <v>25</v>
      </c>
      <c r="E301" s="7">
        <f>VLOOKUP(A301,Sheet2!$A$2:$R$3432,4,0)</f>
        <v>8668437323</v>
      </c>
      <c r="F301" s="7" t="str">
        <f>VLOOKUP(A301,Sheet2!$A$2:$R$3432,3,0)</f>
        <v>Robin Doutante</v>
      </c>
      <c r="G301" s="5" t="s">
        <v>25</v>
      </c>
      <c r="H301" s="5" t="s">
        <v>25</v>
      </c>
      <c r="I301" s="5" t="s">
        <v>25</v>
      </c>
      <c r="J301" s="5" t="s">
        <v>25</v>
      </c>
      <c r="K301" s="7" t="str">
        <f>VLOOKUP(A301,Sheet2!$A$2:$R$3432,6,0)</f>
        <v>Honda Shine CB</v>
      </c>
      <c r="L301" s="5" t="s">
        <v>25</v>
      </c>
      <c r="M301" s="7" t="str">
        <f>VLOOKUP(A301,Sheet2!$A$2:$R$3432,5,0)</f>
        <v>MH26BK4187</v>
      </c>
      <c r="N301" s="5" t="s">
        <v>25</v>
      </c>
      <c r="O301" s="5" t="s">
        <v>25</v>
      </c>
      <c r="P301" s="6" t="s">
        <v>25</v>
      </c>
      <c r="Q301" s="5" t="s">
        <v>25</v>
      </c>
      <c r="R301" s="5" t="s">
        <v>25</v>
      </c>
      <c r="S301" s="5" t="str">
        <f>VLOOKUP(A301,Sheet2!$A$2:$R$3432,18,0)</f>
        <v>JC65E72098362</v>
      </c>
      <c r="T301" s="7" t="str">
        <f>VLOOKUP(A301,Sheet2!$A$2:$R$3432,17,0)</f>
        <v>ME4JC65ADJ7083007</v>
      </c>
    </row>
    <row r="302" ht="15.75" customHeight="1">
      <c r="A302" s="3" t="s">
        <v>325</v>
      </c>
      <c r="B302" s="4" t="str">
        <f>VLOOKUP(A302,Sheet2!$A$2:$R$3432,2,0)</f>
        <v>2025-01-19 18:14:24</v>
      </c>
      <c r="C302" s="5" t="s">
        <v>25</v>
      </c>
      <c r="D302" s="6" t="s">
        <v>25</v>
      </c>
      <c r="E302" s="7">
        <f>VLOOKUP(A302,Sheet2!$A$2:$R$3432,4,0)</f>
        <v>9860765193</v>
      </c>
      <c r="F302" s="7" t="str">
        <f>VLOOKUP(A302,Sheet2!$A$2:$R$3432,3,0)</f>
        <v>Guruprasad</v>
      </c>
      <c r="G302" s="5" t="s">
        <v>25</v>
      </c>
      <c r="H302" s="5" t="s">
        <v>25</v>
      </c>
      <c r="I302" s="5" t="s">
        <v>25</v>
      </c>
      <c r="J302" s="5" t="s">
        <v>25</v>
      </c>
      <c r="K302" s="7" t="str">
        <f>VLOOKUP(A302,Sheet2!$A$2:$R$3432,6,0)</f>
        <v>Yamaha SZ RR</v>
      </c>
      <c r="L302" s="5" t="s">
        <v>25</v>
      </c>
      <c r="M302" s="7" t="str">
        <f>VLOOKUP(A302,Sheet2!$A$2:$R$3432,5,0)</f>
        <v>MH14DG3663</v>
      </c>
      <c r="N302" s="5" t="s">
        <v>25</v>
      </c>
      <c r="O302" s="5" t="s">
        <v>25</v>
      </c>
      <c r="P302" s="6" t="s">
        <v>25</v>
      </c>
      <c r="Q302" s="5" t="s">
        <v>25</v>
      </c>
      <c r="R302" s="5" t="s">
        <v>25</v>
      </c>
      <c r="S302" s="5" t="str">
        <f>VLOOKUP(A302,Sheet2!$A$2:$R$3432,18,0)</f>
        <v>1PM3007058</v>
      </c>
      <c r="T302" s="7" t="str">
        <f>VLOOKUP(A302,Sheet2!$A$2:$R$3432,17,0)</f>
        <v>ME11BM031C2007288</v>
      </c>
    </row>
    <row r="303" ht="15.75" customHeight="1">
      <c r="A303" s="3" t="s">
        <v>326</v>
      </c>
      <c r="B303" s="4" t="str">
        <f>VLOOKUP(A303,Sheet2!$A$2:$R$3432,2,0)</f>
        <v>2025-01-19 18:19:42</v>
      </c>
      <c r="C303" s="5" t="s">
        <v>25</v>
      </c>
      <c r="D303" s="6" t="s">
        <v>25</v>
      </c>
      <c r="E303" s="7">
        <f>VLOOKUP(A303,Sheet2!$A$2:$R$3432,4,0)</f>
        <v>7020046714</v>
      </c>
      <c r="F303" s="7" t="str">
        <f>VLOOKUP(A303,Sheet2!$A$2:$R$3432,3,0)</f>
        <v>BHAGWAT</v>
      </c>
      <c r="G303" s="5" t="s">
        <v>25</v>
      </c>
      <c r="H303" s="5" t="s">
        <v>25</v>
      </c>
      <c r="I303" s="5" t="s">
        <v>25</v>
      </c>
      <c r="J303" s="5" t="s">
        <v>25</v>
      </c>
      <c r="K303" s="7" t="str">
        <f>VLOOKUP(A303,Sheet2!$A$2:$R$3432,6,0)</f>
        <v>UM Renegade </v>
      </c>
      <c r="L303" s="5" t="s">
        <v>25</v>
      </c>
      <c r="M303" s="7" t="str">
        <f>VLOOKUP(A303,Sheet2!$A$2:$R$3432,5,0)</f>
        <v>MH12RS4678</v>
      </c>
      <c r="N303" s="5" t="s">
        <v>25</v>
      </c>
      <c r="O303" s="5" t="s">
        <v>25</v>
      </c>
      <c r="P303" s="6" t="s">
        <v>25</v>
      </c>
      <c r="Q303" s="5" t="s">
        <v>25</v>
      </c>
      <c r="R303" s="5" t="s">
        <v>25</v>
      </c>
      <c r="S303" s="5" t="str">
        <f>VLOOKUP(A303,Sheet2!$A$2:$R$3432,18,0)</f>
        <v>UX53005J100574</v>
      </c>
      <c r="T303" s="7" t="str">
        <f>VLOOKUP(A303,Sheet2!$A$2:$R$3432,17,0)</f>
        <v>MDCM3RDG1KE302723</v>
      </c>
    </row>
    <row r="304" ht="15.75" customHeight="1">
      <c r="A304" s="3" t="s">
        <v>327</v>
      </c>
      <c r="B304" s="4" t="str">
        <f>VLOOKUP(A304,Sheet2!$A$2:$R$3432,2,0)</f>
        <v>2025-01-19 18:17:15</v>
      </c>
      <c r="C304" s="5" t="s">
        <v>25</v>
      </c>
      <c r="D304" s="6" t="s">
        <v>25</v>
      </c>
      <c r="E304" s="7">
        <f>VLOOKUP(A304,Sheet2!$A$2:$R$3432,4,0)</f>
        <v>9022285528</v>
      </c>
      <c r="F304" s="7" t="str">
        <f>VLOOKUP(A304,Sheet2!$A$2:$R$3432,3,0)</f>
        <v>Punit Chauhan</v>
      </c>
      <c r="G304" s="5" t="s">
        <v>25</v>
      </c>
      <c r="H304" s="5" t="s">
        <v>25</v>
      </c>
      <c r="I304" s="5" t="s">
        <v>25</v>
      </c>
      <c r="J304" s="5" t="s">
        <v>25</v>
      </c>
      <c r="K304" s="7" t="str">
        <f>VLOOKUP(A304,Sheet2!$A$2:$R$3432,6,0)</f>
        <v>Bajaj Discover 125 Drum</v>
      </c>
      <c r="L304" s="5" t="s">
        <v>25</v>
      </c>
      <c r="M304" s="7" t="str">
        <f>VLOOKUP(A304,Sheet2!$A$2:$R$3432,5,0)</f>
        <v>MH03BL8606</v>
      </c>
      <c r="N304" s="5" t="s">
        <v>25</v>
      </c>
      <c r="O304" s="5" t="s">
        <v>25</v>
      </c>
      <c r="P304" s="6" t="s">
        <v>25</v>
      </c>
      <c r="Q304" s="5" t="s">
        <v>25</v>
      </c>
      <c r="R304" s="5" t="s">
        <v>25</v>
      </c>
      <c r="S304" s="7" t="str">
        <f>VLOOKUP(A304,Sheet2!$A$2:$R$3432,18,0)</f>
        <v/>
      </c>
      <c r="T304" s="7" t="str">
        <f>VLOOKUP(A304,Sheet2!$A$2:$R$3432,17,0)</f>
        <v/>
      </c>
    </row>
    <row r="305" ht="15.75" customHeight="1">
      <c r="A305" s="3" t="s">
        <v>328</v>
      </c>
      <c r="B305" s="4" t="str">
        <f>VLOOKUP(A305,Sheet2!$A$2:$R$3432,2,0)</f>
        <v>2025-01-19 18:16:13</v>
      </c>
      <c r="C305" s="5" t="s">
        <v>25</v>
      </c>
      <c r="D305" s="6" t="s">
        <v>25</v>
      </c>
      <c r="E305" s="7">
        <f>VLOOKUP(A305,Sheet2!$A$2:$R$3432,4,0)</f>
        <v>7620352876</v>
      </c>
      <c r="F305" s="7" t="str">
        <f>VLOOKUP(A305,Sheet2!$A$2:$R$3432,3,0)</f>
        <v>SHIVANIKA RAJPUT</v>
      </c>
      <c r="G305" s="5" t="s">
        <v>25</v>
      </c>
      <c r="H305" s="5" t="s">
        <v>25</v>
      </c>
      <c r="I305" s="5" t="s">
        <v>25</v>
      </c>
      <c r="J305" s="5" t="s">
        <v>25</v>
      </c>
      <c r="K305" s="7" t="str">
        <f>VLOOKUP(A305,Sheet2!$A$2:$R$3432,6,0)</f>
        <v>TVS Jupiter </v>
      </c>
      <c r="L305" s="5" t="s">
        <v>25</v>
      </c>
      <c r="M305" s="7" t="str">
        <f>VLOOKUP(A305,Sheet2!$A$2:$R$3432,5,0)</f>
        <v>MH14HJ7068</v>
      </c>
      <c r="N305" s="5" t="s">
        <v>25</v>
      </c>
      <c r="O305" s="5" t="s">
        <v>25</v>
      </c>
      <c r="P305" s="6" t="s">
        <v>25</v>
      </c>
      <c r="Q305" s="5" t="s">
        <v>25</v>
      </c>
      <c r="R305" s="5" t="s">
        <v>25</v>
      </c>
      <c r="S305" s="5" t="str">
        <f>VLOOKUP(A305,Sheet2!$A$2:$R$3432,18,0)</f>
        <v>EG4AK1X0042</v>
      </c>
      <c r="T305" s="7" t="str">
        <f>VLOOKUP(A305,Sheet2!$A$2:$R$3432,17,0)</f>
        <v>MD626EG44K1X0042</v>
      </c>
    </row>
    <row r="306" ht="15.75" customHeight="1">
      <c r="A306" s="3" t="s">
        <v>329</v>
      </c>
      <c r="B306" s="4" t="str">
        <f>VLOOKUP(A306,Sheet2!$A$2:$R$3432,2,0)</f>
        <v>2025-01-19 18:24:25</v>
      </c>
      <c r="C306" s="5" t="s">
        <v>25</v>
      </c>
      <c r="D306" s="6" t="s">
        <v>25</v>
      </c>
      <c r="E306" s="7">
        <f>VLOOKUP(A306,Sheet2!$A$2:$R$3432,4,0)</f>
        <v>7559212259</v>
      </c>
      <c r="F306" s="7" t="str">
        <f>VLOOKUP(A306,Sheet2!$A$2:$R$3432,3,0)</f>
        <v>Tarun</v>
      </c>
      <c r="G306" s="5" t="s">
        <v>25</v>
      </c>
      <c r="H306" s="5" t="s">
        <v>25</v>
      </c>
      <c r="I306" s="5" t="s">
        <v>25</v>
      </c>
      <c r="J306" s="5" t="s">
        <v>25</v>
      </c>
      <c r="K306" s="7" t="str">
        <f>VLOOKUP(A306,Sheet2!$A$2:$R$3432,6,0)</f>
        <v>TVS Rider 125</v>
      </c>
      <c r="L306" s="5" t="s">
        <v>25</v>
      </c>
      <c r="M306" s="7" t="str">
        <f>VLOOKUP(A306,Sheet2!$A$2:$R$3432,5,0)</f>
        <v>MH12UV6687</v>
      </c>
      <c r="N306" s="5" t="s">
        <v>25</v>
      </c>
      <c r="O306" s="5" t="s">
        <v>25</v>
      </c>
      <c r="P306" s="6" t="s">
        <v>25</v>
      </c>
      <c r="Q306" s="5" t="s">
        <v>25</v>
      </c>
      <c r="R306" s="5" t="s">
        <v>25</v>
      </c>
      <c r="S306" s="5" t="str">
        <f>VLOOKUP(A306,Sheet2!$A$2:$R$3432,18,0)</f>
        <v>AF9LN19090W</v>
      </c>
      <c r="T306" s="7" t="str">
        <f>VLOOKUP(A306,Sheet2!$A$2:$R$3432,17,0)</f>
        <v>MD625AF90N1L17227</v>
      </c>
    </row>
    <row r="307" ht="15.75" customHeight="1">
      <c r="A307" s="3" t="s">
        <v>330</v>
      </c>
      <c r="B307" s="4" t="str">
        <f>VLOOKUP(A307,Sheet2!$A$2:$R$3432,2,0)</f>
        <v>2025-01-19 18:31:58</v>
      </c>
      <c r="C307" s="5" t="s">
        <v>25</v>
      </c>
      <c r="D307" s="6" t="s">
        <v>25</v>
      </c>
      <c r="E307" s="7">
        <f>VLOOKUP(A307,Sheet2!$A$2:$R$3432,4,0)</f>
        <v>8180020200</v>
      </c>
      <c r="F307" s="7" t="str">
        <f>VLOOKUP(A307,Sheet2!$A$2:$R$3432,3,0)</f>
        <v>Suraj Koli</v>
      </c>
      <c r="G307" s="5" t="s">
        <v>25</v>
      </c>
      <c r="H307" s="5" t="s">
        <v>25</v>
      </c>
      <c r="I307" s="5" t="s">
        <v>25</v>
      </c>
      <c r="J307" s="5" t="s">
        <v>25</v>
      </c>
      <c r="K307" s="7" t="str">
        <f>VLOOKUP(A307,Sheet2!$A$2:$R$3432,6,0)</f>
        <v>Hero Passion Pro</v>
      </c>
      <c r="L307" s="5" t="s">
        <v>25</v>
      </c>
      <c r="M307" s="7" t="str">
        <f>VLOOKUP(A307,Sheet2!$A$2:$R$3432,5,0)</f>
        <v>MH14DG1339</v>
      </c>
      <c r="N307" s="5" t="s">
        <v>25</v>
      </c>
      <c r="O307" s="5" t="s">
        <v>25</v>
      </c>
      <c r="P307" s="6" t="s">
        <v>25</v>
      </c>
      <c r="Q307" s="5" t="s">
        <v>25</v>
      </c>
      <c r="R307" s="5" t="s">
        <v>25</v>
      </c>
      <c r="S307" s="5" t="str">
        <f>VLOOKUP(A307,Sheet2!$A$2:$R$3432,18,0)</f>
        <v>HA10EDCHBZ4391</v>
      </c>
      <c r="T307" s="7" t="str">
        <f>VLOOKUP(A307,Sheet2!$A$2:$R$3432,17,0)</f>
        <v>MBLHA10EWCHB21986</v>
      </c>
    </row>
    <row r="308" ht="15.75" customHeight="1">
      <c r="A308" s="3" t="s">
        <v>331</v>
      </c>
      <c r="B308" s="4" t="str">
        <f>VLOOKUP(A308,Sheet2!$A$2:$R$3432,2,0)</f>
        <v>2025-01-19 18:21:44</v>
      </c>
      <c r="C308" s="5" t="s">
        <v>25</v>
      </c>
      <c r="D308" s="6" t="s">
        <v>25</v>
      </c>
      <c r="E308" s="7">
        <f>VLOOKUP(A308,Sheet2!$A$2:$R$3432,4,0)</f>
        <v>7304070707</v>
      </c>
      <c r="F308" s="7" t="str">
        <f>VLOOKUP(A308,Sheet2!$A$2:$R$3432,3,0)</f>
        <v>Girish Jadhav</v>
      </c>
      <c r="G308" s="5" t="s">
        <v>25</v>
      </c>
      <c r="H308" s="5" t="s">
        <v>25</v>
      </c>
      <c r="I308" s="5" t="s">
        <v>25</v>
      </c>
      <c r="J308" s="5" t="s">
        <v>25</v>
      </c>
      <c r="K308" s="7" t="str">
        <f>VLOOKUP(A308,Sheet2!$A$2:$R$3432,6,0)</f>
        <v>Bajaj Avenger 160 S ABS</v>
      </c>
      <c r="L308" s="5" t="s">
        <v>25</v>
      </c>
      <c r="M308" s="7" t="str">
        <f>VLOOKUP(A308,Sheet2!$A$2:$R$3432,5,0)</f>
        <v>MH14HV9323</v>
      </c>
      <c r="N308" s="5" t="s">
        <v>25</v>
      </c>
      <c r="O308" s="5" t="s">
        <v>25</v>
      </c>
      <c r="P308" s="6" t="s">
        <v>25</v>
      </c>
      <c r="Q308" s="5" t="s">
        <v>25</v>
      </c>
      <c r="R308" s="5" t="s">
        <v>25</v>
      </c>
      <c r="S308" s="5" t="str">
        <f>VLOOKUP(A308,Sheet2!$A$2:$R$3432,18,0)</f>
        <v>PDYCK005304</v>
      </c>
      <c r="T308" s="7" t="str">
        <f>VLOOKUP(A308,Sheet2!$A$2:$R$3432,17,0)</f>
        <v>MD2B57CY9KCG26696</v>
      </c>
    </row>
    <row r="309" ht="15.75" customHeight="1">
      <c r="A309" s="3" t="s">
        <v>332</v>
      </c>
      <c r="B309" s="4" t="str">
        <f>VLOOKUP(A309,Sheet2!$A$2:$R$3432,2,0)</f>
        <v>2025-01-19 18:38:01</v>
      </c>
      <c r="C309" s="5" t="s">
        <v>25</v>
      </c>
      <c r="D309" s="6" t="s">
        <v>25</v>
      </c>
      <c r="E309" s="7">
        <f>VLOOKUP(A309,Sheet2!$A$2:$R$3432,4,0)</f>
        <v>9552513135</v>
      </c>
      <c r="F309" s="7" t="str">
        <f>VLOOKUP(A309,Sheet2!$A$2:$R$3432,3,0)</f>
        <v>Nagesh</v>
      </c>
      <c r="G309" s="5" t="s">
        <v>25</v>
      </c>
      <c r="H309" s="5" t="s">
        <v>25</v>
      </c>
      <c r="I309" s="5" t="s">
        <v>25</v>
      </c>
      <c r="J309" s="5" t="s">
        <v>25</v>
      </c>
      <c r="K309" s="7" t="str">
        <f>VLOOKUP(A309,Sheet2!$A$2:$R$3432,6,0)</f>
        <v>Hero Passion </v>
      </c>
      <c r="L309" s="5" t="s">
        <v>25</v>
      </c>
      <c r="M309" s="7" t="str">
        <f>VLOOKUP(A309,Sheet2!$A$2:$R$3432,5,0)</f>
        <v>MH14BN6168</v>
      </c>
      <c r="N309" s="5" t="s">
        <v>25</v>
      </c>
      <c r="O309" s="5" t="s">
        <v>25</v>
      </c>
      <c r="P309" s="6" t="s">
        <v>25</v>
      </c>
      <c r="Q309" s="5" t="s">
        <v>25</v>
      </c>
      <c r="R309" s="5" t="s">
        <v>25</v>
      </c>
      <c r="S309" s="5" t="str">
        <f>VLOOKUP(A309,Sheet2!$A$2:$R$3432,18,0)</f>
        <v>HA10E83GJ54284</v>
      </c>
      <c r="T309" s="7" t="str">
        <f>VLOOKUP(A309,Sheet2!$A$2:$R$3432,17,0)</f>
        <v>MBLHA10EL8GJ18062</v>
      </c>
    </row>
    <row r="310" ht="15.75" customHeight="1">
      <c r="A310" s="3" t="s">
        <v>333</v>
      </c>
      <c r="B310" s="4" t="str">
        <f>VLOOKUP(A310,Sheet2!$A$2:$R$3432,2,0)</f>
        <v>2025-01-19 18:25:40</v>
      </c>
      <c r="C310" s="5" t="s">
        <v>25</v>
      </c>
      <c r="D310" s="6" t="s">
        <v>25</v>
      </c>
      <c r="E310" s="7">
        <f>VLOOKUP(A310,Sheet2!$A$2:$R$3432,4,0)</f>
        <v>7798987281</v>
      </c>
      <c r="F310" s="7" t="str">
        <f>VLOOKUP(A310,Sheet2!$A$2:$R$3432,3,0)</f>
        <v>Sumit Kakkad</v>
      </c>
      <c r="G310" s="5" t="s">
        <v>25</v>
      </c>
      <c r="H310" s="5" t="s">
        <v>25</v>
      </c>
      <c r="I310" s="5" t="s">
        <v>25</v>
      </c>
      <c r="J310" s="5" t="s">
        <v>25</v>
      </c>
      <c r="K310" s="7" t="str">
        <f>VLOOKUP(A310,Sheet2!$A$2:$R$3432,6,0)</f>
        <v>Honda Activa </v>
      </c>
      <c r="L310" s="5" t="s">
        <v>25</v>
      </c>
      <c r="M310" s="7" t="str">
        <f>VLOOKUP(A310,Sheet2!$A$2:$R$3432,5,0)</f>
        <v>MH14EG2285</v>
      </c>
      <c r="N310" s="5" t="s">
        <v>25</v>
      </c>
      <c r="O310" s="5" t="s">
        <v>25</v>
      </c>
      <c r="P310" s="6" t="s">
        <v>25</v>
      </c>
      <c r="Q310" s="5" t="s">
        <v>25</v>
      </c>
      <c r="R310" s="5" t="s">
        <v>25</v>
      </c>
      <c r="S310" s="5" t="str">
        <f>VLOOKUP(A310,Sheet2!$A$2:$R$3432,18,0)</f>
        <v>JF50E80765343</v>
      </c>
      <c r="T310" s="7" t="str">
        <f>VLOOKUP(A310,Sheet2!$A$2:$R$3432,17,0)</f>
        <v>ME4JF501BE8766403</v>
      </c>
    </row>
    <row r="311" ht="15.75" customHeight="1">
      <c r="A311" s="3" t="s">
        <v>334</v>
      </c>
      <c r="B311" s="4" t="str">
        <f>VLOOKUP(A311,Sheet2!$A$2:$R$3432,2,0)</f>
        <v>2024-12-06 17:09:07</v>
      </c>
      <c r="C311" s="5" t="s">
        <v>25</v>
      </c>
      <c r="D311" s="6" t="s">
        <v>25</v>
      </c>
      <c r="E311" s="7">
        <f>VLOOKUP(A311,Sheet2!$A$2:$R$3432,4,0)</f>
        <v>9527176765</v>
      </c>
      <c r="F311" s="7" t="str">
        <f>VLOOKUP(A311,Sheet2!$A$2:$R$3432,3,0)</f>
        <v>Aditi Chaturvedi </v>
      </c>
      <c r="G311" s="5" t="s">
        <v>25</v>
      </c>
      <c r="H311" s="5" t="s">
        <v>25</v>
      </c>
      <c r="I311" s="5" t="s">
        <v>25</v>
      </c>
      <c r="J311" s="5" t="s">
        <v>25</v>
      </c>
      <c r="K311" s="7" t="str">
        <f>VLOOKUP(A311,Sheet2!$A$2:$R$3432,6,0)</f>
        <v>Honda Activa 110</v>
      </c>
      <c r="L311" s="5" t="s">
        <v>25</v>
      </c>
      <c r="M311" s="7" t="str">
        <f>VLOOKUP(A311,Sheet2!$A$2:$R$3432,5,0)</f>
        <v>MP04SH1765</v>
      </c>
      <c r="N311" s="5" t="s">
        <v>25</v>
      </c>
      <c r="O311" s="5" t="s">
        <v>25</v>
      </c>
      <c r="P311" s="6" t="s">
        <v>25</v>
      </c>
      <c r="Q311" s="5" t="s">
        <v>25</v>
      </c>
      <c r="R311" s="5" t="s">
        <v>25</v>
      </c>
      <c r="S311" s="7" t="str">
        <f>VLOOKUP(A311,Sheet2!$A$2:$R$3432,18,0)</f>
        <v/>
      </c>
      <c r="T311" s="7" t="str">
        <f>VLOOKUP(A311,Sheet2!$A$2:$R$3432,17,0)</f>
        <v/>
      </c>
    </row>
    <row r="312" ht="15.75" customHeight="1">
      <c r="A312" s="3" t="s">
        <v>335</v>
      </c>
      <c r="B312" s="4" t="str">
        <f>VLOOKUP(A312,Sheet2!$A$2:$R$3432,2,0)</f>
        <v>2024-12-06 16:58:41</v>
      </c>
      <c r="C312" s="5" t="s">
        <v>25</v>
      </c>
      <c r="D312" s="6" t="s">
        <v>25</v>
      </c>
      <c r="E312" s="7">
        <f>VLOOKUP(A312,Sheet2!$A$2:$R$3432,4,0)</f>
        <v>9049987787</v>
      </c>
      <c r="F312" s="7" t="str">
        <f>VLOOKUP(A312,Sheet2!$A$2:$R$3432,3,0)</f>
        <v>Mayank Sharma </v>
      </c>
      <c r="G312" s="5" t="s">
        <v>25</v>
      </c>
      <c r="H312" s="5" t="s">
        <v>25</v>
      </c>
      <c r="I312" s="5" t="s">
        <v>25</v>
      </c>
      <c r="J312" s="5" t="s">
        <v>25</v>
      </c>
      <c r="K312" s="7" t="str">
        <f>VLOOKUP(A312,Sheet2!$A$2:$R$3432,6,0)</f>
        <v>TVS Jupiter 125</v>
      </c>
      <c r="L312" s="5" t="s">
        <v>25</v>
      </c>
      <c r="M312" s="7" t="str">
        <f>VLOOKUP(A312,Sheet2!$A$2:$R$3432,5,0)</f>
        <v>MH14JY1107</v>
      </c>
      <c r="N312" s="5" t="s">
        <v>25</v>
      </c>
      <c r="O312" s="5" t="s">
        <v>25</v>
      </c>
      <c r="P312" s="6" t="s">
        <v>25</v>
      </c>
      <c r="Q312" s="5" t="s">
        <v>25</v>
      </c>
      <c r="R312" s="5" t="s">
        <v>25</v>
      </c>
      <c r="S312" s="5" t="str">
        <f>VLOOKUP(A312,Sheet2!$A$2:$R$3432,18,0)</f>
        <v>BKAAN1409686</v>
      </c>
      <c r="T312" s="7" t="str">
        <f>VLOOKUP(A312,Sheet2!$A$2:$R$3432,17,0)</f>
        <v>MD626AK42N1A75714</v>
      </c>
    </row>
    <row r="313" ht="15.75" customHeight="1">
      <c r="A313" s="3" t="s">
        <v>336</v>
      </c>
      <c r="B313" s="4" t="str">
        <f>VLOOKUP(A313,Sheet2!$A$2:$R$3432,2,0)</f>
        <v>2024-12-06 17:06:52</v>
      </c>
      <c r="C313" s="5" t="s">
        <v>25</v>
      </c>
      <c r="D313" s="6" t="s">
        <v>25</v>
      </c>
      <c r="E313" s="7">
        <f>VLOOKUP(A313,Sheet2!$A$2:$R$3432,4,0)</f>
        <v>8668682340</v>
      </c>
      <c r="F313" s="7" t="str">
        <f>VLOOKUP(A313,Sheet2!$A$2:$R$3432,3,0)</f>
        <v>Ramesh</v>
      </c>
      <c r="G313" s="5" t="s">
        <v>25</v>
      </c>
      <c r="H313" s="5" t="s">
        <v>25</v>
      </c>
      <c r="I313" s="5" t="s">
        <v>25</v>
      </c>
      <c r="J313" s="5" t="s">
        <v>25</v>
      </c>
      <c r="K313" s="7" t="str">
        <f>VLOOKUP(A313,Sheet2!$A$2:$R$3432,6,0)</f>
        <v>Honda Hornet </v>
      </c>
      <c r="L313" s="5" t="s">
        <v>25</v>
      </c>
      <c r="M313" s="7" t="str">
        <f>VLOOKUP(A313,Sheet2!$A$2:$R$3432,5,0)</f>
        <v>MH14GG3538</v>
      </c>
      <c r="N313" s="5" t="s">
        <v>25</v>
      </c>
      <c r="O313" s="5" t="s">
        <v>25</v>
      </c>
      <c r="P313" s="6" t="s">
        <v>25</v>
      </c>
      <c r="Q313" s="5" t="s">
        <v>25</v>
      </c>
      <c r="R313" s="5" t="s">
        <v>25</v>
      </c>
      <c r="S313" s="5" t="str">
        <f>VLOOKUP(A313,Sheet2!$A$2:$R$3432,18,0)</f>
        <v>KC23E84002579</v>
      </c>
      <c r="T313" s="7" t="str">
        <f>VLOOKUP(A313,Sheet2!$A$2:$R$3432,17,0)</f>
        <v>ME4KC239DH8002086</v>
      </c>
    </row>
    <row r="314" ht="15.75" customHeight="1">
      <c r="A314" s="3" t="s">
        <v>337</v>
      </c>
      <c r="B314" s="4" t="str">
        <f>VLOOKUP(A314,Sheet2!$A$2:$R$3432,2,0)</f>
        <v>2024-12-06 17:10:11</v>
      </c>
      <c r="C314" s="5" t="s">
        <v>25</v>
      </c>
      <c r="D314" s="6" t="s">
        <v>25</v>
      </c>
      <c r="E314" s="7">
        <f>VLOOKUP(A314,Sheet2!$A$2:$R$3432,4,0)</f>
        <v>9752717711</v>
      </c>
      <c r="F314" s="7" t="str">
        <f>VLOOKUP(A314,Sheet2!$A$2:$R$3432,3,0)</f>
        <v>Veena</v>
      </c>
      <c r="G314" s="5" t="s">
        <v>25</v>
      </c>
      <c r="H314" s="5" t="s">
        <v>25</v>
      </c>
      <c r="I314" s="5" t="s">
        <v>25</v>
      </c>
      <c r="J314" s="5" t="s">
        <v>25</v>
      </c>
      <c r="K314" s="7" t="str">
        <f>VLOOKUP(A314,Sheet2!$A$2:$R$3432,6,0)</f>
        <v>Hero Maestro </v>
      </c>
      <c r="L314" s="5" t="s">
        <v>25</v>
      </c>
      <c r="M314" s="7" t="str">
        <f>VLOOKUP(A314,Sheet2!$A$2:$R$3432,5,0)</f>
        <v>MP28SC0551</v>
      </c>
      <c r="N314" s="5" t="s">
        <v>25</v>
      </c>
      <c r="O314" s="5" t="s">
        <v>25</v>
      </c>
      <c r="P314" s="6" t="s">
        <v>25</v>
      </c>
      <c r="Q314" s="5" t="s">
        <v>25</v>
      </c>
      <c r="R314" s="5" t="s">
        <v>25</v>
      </c>
      <c r="S314" s="7" t="str">
        <f>VLOOKUP(A314,Sheet2!$A$2:$R$3432,18,0)</f>
        <v/>
      </c>
      <c r="T314" s="7" t="str">
        <f>VLOOKUP(A314,Sheet2!$A$2:$R$3432,17,0)</f>
        <v/>
      </c>
    </row>
    <row r="315" ht="15.75" customHeight="1">
      <c r="A315" s="3" t="s">
        <v>338</v>
      </c>
      <c r="B315" s="4" t="str">
        <f>VLOOKUP(A315,Sheet2!$A$2:$R$3432,2,0)</f>
        <v>2024-12-06 17:08:21</v>
      </c>
      <c r="C315" s="5" t="s">
        <v>25</v>
      </c>
      <c r="D315" s="6" t="s">
        <v>25</v>
      </c>
      <c r="E315" s="7">
        <f>VLOOKUP(A315,Sheet2!$A$2:$R$3432,4,0)</f>
        <v>9893727778</v>
      </c>
      <c r="F315" s="7" t="str">
        <f>VLOOKUP(A315,Sheet2!$A$2:$R$3432,3,0)</f>
        <v>Prinkesh </v>
      </c>
      <c r="G315" s="5" t="s">
        <v>25</v>
      </c>
      <c r="H315" s="5" t="s">
        <v>25</v>
      </c>
      <c r="I315" s="5" t="s">
        <v>25</v>
      </c>
      <c r="J315" s="5" t="s">
        <v>25</v>
      </c>
      <c r="K315" s="7" t="str">
        <f>VLOOKUP(A315,Sheet2!$A$2:$R$3432,6,0)</f>
        <v>TVS Jupiter </v>
      </c>
      <c r="L315" s="5" t="s">
        <v>25</v>
      </c>
      <c r="M315" s="7" t="str">
        <f>VLOOKUP(A315,Sheet2!$A$2:$R$3432,5,0)</f>
        <v>MH14GJ6923</v>
      </c>
      <c r="N315" s="5" t="s">
        <v>25</v>
      </c>
      <c r="O315" s="5" t="s">
        <v>25</v>
      </c>
      <c r="P315" s="6" t="s">
        <v>25</v>
      </c>
      <c r="Q315" s="5" t="s">
        <v>25</v>
      </c>
      <c r="R315" s="5" t="s">
        <v>25</v>
      </c>
      <c r="S315" s="5" t="str">
        <f>VLOOKUP(A315,Sheet2!$A$2:$R$3432,18,0)</f>
        <v>EG4BH1451925</v>
      </c>
      <c r="T315" s="7" t="str">
        <f>VLOOKUP(A315,Sheet2!$A$2:$R$3432,17,0)</f>
        <v>MD626EG49H1B34892</v>
      </c>
    </row>
    <row r="316" ht="15.75" customHeight="1">
      <c r="A316" s="3" t="s">
        <v>339</v>
      </c>
      <c r="B316" s="4" t="str">
        <f>VLOOKUP(A316,Sheet2!$A$2:$R$3432,2,0)</f>
        <v>2024-12-06 17:11:37</v>
      </c>
      <c r="C316" s="5" t="s">
        <v>25</v>
      </c>
      <c r="D316" s="6" t="s">
        <v>25</v>
      </c>
      <c r="E316" s="7">
        <f>VLOOKUP(A316,Sheet2!$A$2:$R$3432,4,0)</f>
        <v>9403308902</v>
      </c>
      <c r="F316" s="7" t="str">
        <f>VLOOKUP(A316,Sheet2!$A$2:$R$3432,3,0)</f>
        <v>Ritesh </v>
      </c>
      <c r="G316" s="5" t="s">
        <v>25</v>
      </c>
      <c r="H316" s="5" t="s">
        <v>25</v>
      </c>
      <c r="I316" s="5" t="s">
        <v>25</v>
      </c>
      <c r="J316" s="5" t="s">
        <v>25</v>
      </c>
      <c r="K316" s="7" t="str">
        <f>VLOOKUP(A316,Sheet2!$A$2:$R$3432,6,0)</f>
        <v>Suzuki Access </v>
      </c>
      <c r="L316" s="5" t="s">
        <v>25</v>
      </c>
      <c r="M316" s="7" t="str">
        <f>VLOOKUP(A316,Sheet2!$A$2:$R$3432,5,0)</f>
        <v>MH15HR6562</v>
      </c>
      <c r="N316" s="5" t="s">
        <v>25</v>
      </c>
      <c r="O316" s="5" t="s">
        <v>25</v>
      </c>
      <c r="P316" s="6" t="s">
        <v>25</v>
      </c>
      <c r="Q316" s="5" t="s">
        <v>25</v>
      </c>
      <c r="R316" s="5" t="s">
        <v>25</v>
      </c>
      <c r="S316" s="5" t="str">
        <f>VLOOKUP(A316,Sheet2!$A$2:$R$3432,18,0)</f>
        <v>AF216845827</v>
      </c>
      <c r="T316" s="7" t="str">
        <f>VLOOKUP(A316,Sheet2!$A$2:$R$3432,17,0)</f>
        <v>MB8DP12DKM8931556</v>
      </c>
    </row>
    <row r="317" ht="15.75" customHeight="1">
      <c r="A317" s="3" t="s">
        <v>340</v>
      </c>
      <c r="B317" s="4" t="str">
        <f>VLOOKUP(A317,Sheet2!$A$2:$R$3432,2,0)</f>
        <v>2024-12-06 19:21:28</v>
      </c>
      <c r="C317" s="5" t="s">
        <v>25</v>
      </c>
      <c r="D317" s="6" t="s">
        <v>25</v>
      </c>
      <c r="E317" s="7">
        <f>VLOOKUP(A317,Sheet2!$A$2:$R$3432,4,0)</f>
        <v>9028426870</v>
      </c>
      <c r="F317" s="7" t="str">
        <f>VLOOKUP(A317,Sheet2!$A$2:$R$3432,3,0)</f>
        <v>Ashutosh </v>
      </c>
      <c r="G317" s="5" t="s">
        <v>25</v>
      </c>
      <c r="H317" s="5" t="s">
        <v>25</v>
      </c>
      <c r="I317" s="5" t="s">
        <v>25</v>
      </c>
      <c r="J317" s="5" t="s">
        <v>25</v>
      </c>
      <c r="K317" s="7" t="str">
        <f>VLOOKUP(A317,Sheet2!$A$2:$R$3432,6,0)</f>
        <v>Honda Activa 6G</v>
      </c>
      <c r="L317" s="5" t="s">
        <v>25</v>
      </c>
      <c r="M317" s="7" t="str">
        <f>VLOOKUP(A317,Sheet2!$A$2:$R$3432,5,0)</f>
        <v>MH14JD7564</v>
      </c>
      <c r="N317" s="5" t="s">
        <v>25</v>
      </c>
      <c r="O317" s="5" t="s">
        <v>25</v>
      </c>
      <c r="P317" s="6" t="s">
        <v>25</v>
      </c>
      <c r="Q317" s="5" t="s">
        <v>25</v>
      </c>
      <c r="R317" s="5" t="s">
        <v>25</v>
      </c>
      <c r="S317" s="5" t="str">
        <f>VLOOKUP(A317,Sheet2!$A$2:$R$3432,18,0)</f>
        <v>JF91EW1064872</v>
      </c>
      <c r="T317" s="7" t="str">
        <f>VLOOKUP(A317,Sheet2!$A$2:$R$3432,17,0)</f>
        <v>ME4JF91GLWO64358</v>
      </c>
    </row>
    <row r="318" ht="15.75" customHeight="1">
      <c r="A318" s="3" t="s">
        <v>341</v>
      </c>
      <c r="B318" s="4" t="str">
        <f>VLOOKUP(A318,Sheet2!$A$2:$R$3432,2,0)</f>
        <v>2024-12-06 19:36:30</v>
      </c>
      <c r="C318" s="5" t="s">
        <v>25</v>
      </c>
      <c r="D318" s="6" t="s">
        <v>25</v>
      </c>
      <c r="E318" s="7">
        <f>VLOOKUP(A318,Sheet2!$A$2:$R$3432,4,0)</f>
        <v>8600947655</v>
      </c>
      <c r="F318" s="7" t="str">
        <f>VLOOKUP(A318,Sheet2!$A$2:$R$3432,3,0)</f>
        <v>Shinde</v>
      </c>
      <c r="G318" s="5" t="s">
        <v>25</v>
      </c>
      <c r="H318" s="5" t="s">
        <v>25</v>
      </c>
      <c r="I318" s="5" t="s">
        <v>25</v>
      </c>
      <c r="J318" s="5" t="s">
        <v>25</v>
      </c>
      <c r="K318" s="7" t="str">
        <f>VLOOKUP(A318,Sheet2!$A$2:$R$3432,6,0)</f>
        <v>Suzuki Access 125</v>
      </c>
      <c r="L318" s="5" t="s">
        <v>25</v>
      </c>
      <c r="M318" s="7" t="str">
        <f>VLOOKUP(A318,Sheet2!$A$2:$R$3432,5,0)</f>
        <v>MH14CN8579</v>
      </c>
      <c r="N318" s="5" t="s">
        <v>25</v>
      </c>
      <c r="O318" s="5" t="s">
        <v>25</v>
      </c>
      <c r="P318" s="6" t="s">
        <v>25</v>
      </c>
      <c r="Q318" s="5" t="s">
        <v>25</v>
      </c>
      <c r="R318" s="5" t="s">
        <v>25</v>
      </c>
      <c r="S318" s="5" t="str">
        <f>VLOOKUP(A318,Sheet2!$A$2:$R$3432,18,0)</f>
        <v>F486502406</v>
      </c>
      <c r="T318" s="7" t="str">
        <f>VLOOKUP(A318,Sheet2!$A$2:$R$3432,17,0)</f>
        <v>MB8CF4CAMA8139138</v>
      </c>
    </row>
    <row r="319" ht="15.75" customHeight="1">
      <c r="A319" s="3" t="s">
        <v>342</v>
      </c>
      <c r="B319" s="4" t="str">
        <f>VLOOKUP(A319,Sheet2!$A$2:$R$3432,2,0)</f>
        <v>2024-12-06 19:23:02</v>
      </c>
      <c r="C319" s="5" t="s">
        <v>25</v>
      </c>
      <c r="D319" s="6" t="s">
        <v>25</v>
      </c>
      <c r="E319" s="7">
        <f>VLOOKUP(A319,Sheet2!$A$2:$R$3432,4,0)</f>
        <v>9145398978</v>
      </c>
      <c r="F319" s="7" t="str">
        <f>VLOOKUP(A319,Sheet2!$A$2:$R$3432,3,0)</f>
        <v>CHETAN SAKORE</v>
      </c>
      <c r="G319" s="5" t="s">
        <v>25</v>
      </c>
      <c r="H319" s="5" t="s">
        <v>25</v>
      </c>
      <c r="I319" s="5" t="s">
        <v>25</v>
      </c>
      <c r="J319" s="5" t="s">
        <v>25</v>
      </c>
      <c r="K319" s="7" t="str">
        <f>VLOOKUP(A319,Sheet2!$A$2:$R$3432,6,0)</f>
        <v>KTM Duke 250</v>
      </c>
      <c r="L319" s="5" t="s">
        <v>25</v>
      </c>
      <c r="M319" s="7" t="str">
        <f>VLOOKUP(A319,Sheet2!$A$2:$R$3432,5,0)</f>
        <v>MH12JG5406</v>
      </c>
      <c r="N319" s="5" t="s">
        <v>25</v>
      </c>
      <c r="O319" s="5" t="s">
        <v>25</v>
      </c>
      <c r="P319" s="6" t="s">
        <v>25</v>
      </c>
      <c r="Q319" s="5" t="s">
        <v>25</v>
      </c>
      <c r="R319" s="5" t="s">
        <v>25</v>
      </c>
      <c r="S319" s="5" t="str">
        <f>VLOOKUP(A319,Sheet2!$A$2:$R$3432,18,0)</f>
        <v>Z-90613101</v>
      </c>
      <c r="T319" s="7" t="str">
        <f>VLOOKUP(A319,Sheet2!$A$2:$R$3432,17,0)</f>
        <v>VBKG4CHE4CC012816</v>
      </c>
    </row>
    <row r="320" ht="15.75" customHeight="1">
      <c r="A320" s="3" t="s">
        <v>343</v>
      </c>
      <c r="B320" s="4" t="str">
        <f>VLOOKUP(A320,Sheet2!$A$2:$R$3432,2,0)</f>
        <v>2024-12-06 19:35:24</v>
      </c>
      <c r="C320" s="5" t="s">
        <v>25</v>
      </c>
      <c r="D320" s="6" t="s">
        <v>25</v>
      </c>
      <c r="E320" s="7">
        <f>VLOOKUP(A320,Sheet2!$A$2:$R$3432,4,0)</f>
        <v>7028014990</v>
      </c>
      <c r="F320" s="7" t="str">
        <f>VLOOKUP(A320,Sheet2!$A$2:$R$3432,3,0)</f>
        <v>Saurabh Khandekar</v>
      </c>
      <c r="G320" s="5" t="s">
        <v>25</v>
      </c>
      <c r="H320" s="5" t="s">
        <v>25</v>
      </c>
      <c r="I320" s="5" t="s">
        <v>25</v>
      </c>
      <c r="J320" s="5" t="s">
        <v>25</v>
      </c>
      <c r="K320" s="7" t="str">
        <f>VLOOKUP(A320,Sheet2!$A$2:$R$3432,6,0)</f>
        <v>Hero Destini 125</v>
      </c>
      <c r="L320" s="5" t="s">
        <v>25</v>
      </c>
      <c r="M320" s="7" t="str">
        <f>VLOOKUP(A320,Sheet2!$A$2:$R$3432,5,0)</f>
        <v>MH10DW4975</v>
      </c>
      <c r="N320" s="5" t="s">
        <v>25</v>
      </c>
      <c r="O320" s="5" t="s">
        <v>25</v>
      </c>
      <c r="P320" s="6" t="s">
        <v>25</v>
      </c>
      <c r="Q320" s="5" t="s">
        <v>25</v>
      </c>
      <c r="R320" s="5" t="s">
        <v>25</v>
      </c>
      <c r="S320" s="5" t="str">
        <f>VLOOKUP(A320,Sheet2!$A$2:$R$3432,18,0)</f>
        <v>JF17EANGD03778</v>
      </c>
      <c r="T320" s="7" t="str">
        <f>VLOOKUP(A320,Sheet2!$A$2:$R$3432,17,0)</f>
        <v>MBLJFWZ49NGD02569</v>
      </c>
    </row>
    <row r="321" ht="15.75" customHeight="1">
      <c r="A321" s="3" t="s">
        <v>344</v>
      </c>
      <c r="B321" s="4" t="str">
        <f>VLOOKUP(A321,Sheet2!$A$2:$R$3432,2,0)</f>
        <v>2024-12-06 19:37:18</v>
      </c>
      <c r="C321" s="5" t="s">
        <v>25</v>
      </c>
      <c r="D321" s="6" t="s">
        <v>25</v>
      </c>
      <c r="E321" s="7">
        <f>VLOOKUP(A321,Sheet2!$A$2:$R$3432,4,0)</f>
        <v>8780283941</v>
      </c>
      <c r="F321" s="7" t="str">
        <f>VLOOKUP(A321,Sheet2!$A$2:$R$3432,3,0)</f>
        <v>Maumita </v>
      </c>
      <c r="G321" s="5" t="s">
        <v>25</v>
      </c>
      <c r="H321" s="5" t="s">
        <v>25</v>
      </c>
      <c r="I321" s="5" t="s">
        <v>25</v>
      </c>
      <c r="J321" s="5" t="s">
        <v>25</v>
      </c>
      <c r="K321" s="7" t="str">
        <f>VLOOKUP(A321,Sheet2!$A$2:$R$3432,6,0)</f>
        <v>Honda Activa 5G</v>
      </c>
      <c r="L321" s="5" t="s">
        <v>25</v>
      </c>
      <c r="M321" s="7" t="str">
        <f>VLOOKUP(A321,Sheet2!$A$2:$R$3432,5,0)</f>
        <v>MH12QS4251</v>
      </c>
      <c r="N321" s="5" t="s">
        <v>25</v>
      </c>
      <c r="O321" s="5" t="s">
        <v>25</v>
      </c>
      <c r="P321" s="6" t="s">
        <v>25</v>
      </c>
      <c r="Q321" s="5" t="s">
        <v>25</v>
      </c>
      <c r="R321" s="5" t="s">
        <v>25</v>
      </c>
      <c r="S321" s="5" t="str">
        <f>VLOOKUP(A321,Sheet2!$A$2:$R$3432,18,0)</f>
        <v>JF50FU7195795</v>
      </c>
      <c r="T321" s="7" t="str">
        <f>VLOOKUP(A321,Sheet2!$A$2:$R$3432,17,0)</f>
        <v>ME4JF50AGJU195725</v>
      </c>
    </row>
    <row r="322" ht="15.75" customHeight="1">
      <c r="A322" s="3" t="s">
        <v>345</v>
      </c>
      <c r="B322" s="4" t="str">
        <f>VLOOKUP(A322,Sheet2!$A$2:$R$3432,2,0)</f>
        <v>2024-12-06 17:07:48</v>
      </c>
      <c r="C322" s="5" t="s">
        <v>25</v>
      </c>
      <c r="D322" s="6" t="s">
        <v>25</v>
      </c>
      <c r="E322" s="7">
        <f>VLOOKUP(A322,Sheet2!$A$2:$R$3432,4,0)</f>
        <v>9962836700</v>
      </c>
      <c r="F322" s="7" t="str">
        <f>VLOOKUP(A322,Sheet2!$A$2:$R$3432,3,0)</f>
        <v>GAURAV </v>
      </c>
      <c r="G322" s="5" t="s">
        <v>25</v>
      </c>
      <c r="H322" s="5" t="s">
        <v>25</v>
      </c>
      <c r="I322" s="5" t="s">
        <v>25</v>
      </c>
      <c r="J322" s="5" t="s">
        <v>25</v>
      </c>
      <c r="K322" s="7" t="str">
        <f>VLOOKUP(A322,Sheet2!$A$2:$R$3432,6,0)</f>
        <v>TVS Jupiter No Data</v>
      </c>
      <c r="L322" s="5" t="s">
        <v>25</v>
      </c>
      <c r="M322" s="7" t="str">
        <f>VLOOKUP(A322,Sheet2!$A$2:$R$3432,5,0)</f>
        <v>MH14FV2548</v>
      </c>
      <c r="N322" s="5" t="s">
        <v>25</v>
      </c>
      <c r="O322" s="5" t="s">
        <v>25</v>
      </c>
      <c r="P322" s="6" t="s">
        <v>25</v>
      </c>
      <c r="Q322" s="5" t="s">
        <v>25</v>
      </c>
      <c r="R322" s="5" t="s">
        <v>25</v>
      </c>
      <c r="S322" s="5" t="str">
        <f>VLOOKUP(A322,Sheet2!$A$2:$R$3432,18,0)</f>
        <v>BG4FG1887157</v>
      </c>
      <c r="T322" s="7" t="str">
        <f>VLOOKUP(A322,Sheet2!$A$2:$R$3432,17,0)</f>
        <v>MD626BG47G1F93979</v>
      </c>
    </row>
    <row r="323" ht="15.75" customHeight="1">
      <c r="A323" s="3" t="s">
        <v>346</v>
      </c>
      <c r="B323" s="4" t="str">
        <f>VLOOKUP(A323,Sheet2!$A$2:$R$3432,2,0)</f>
        <v>2024-12-07 16:51:59</v>
      </c>
      <c r="C323" s="5" t="s">
        <v>25</v>
      </c>
      <c r="D323" s="6" t="s">
        <v>25</v>
      </c>
      <c r="E323" s="7">
        <f>VLOOKUP(A323,Sheet2!$A$2:$R$3432,4,0)</f>
        <v>9767986906</v>
      </c>
      <c r="F323" s="7" t="str">
        <f>VLOOKUP(A323,Sheet2!$A$2:$R$3432,3,0)</f>
        <v>Jayesh Shelar</v>
      </c>
      <c r="G323" s="5" t="s">
        <v>25</v>
      </c>
      <c r="H323" s="5" t="s">
        <v>25</v>
      </c>
      <c r="I323" s="5" t="s">
        <v>25</v>
      </c>
      <c r="J323" s="5" t="s">
        <v>25</v>
      </c>
      <c r="K323" s="7" t="str">
        <f>VLOOKUP(A323,Sheet2!$A$2:$R$3432,6,0)</f>
        <v>Honda Activa 3G</v>
      </c>
      <c r="L323" s="5" t="s">
        <v>25</v>
      </c>
      <c r="M323" s="7" t="str">
        <f>VLOOKUP(A323,Sheet2!$A$2:$R$3432,5,0)</f>
        <v>MH41AK2745</v>
      </c>
      <c r="N323" s="5" t="s">
        <v>25</v>
      </c>
      <c r="O323" s="5" t="s">
        <v>25</v>
      </c>
      <c r="P323" s="6" t="s">
        <v>25</v>
      </c>
      <c r="Q323" s="5" t="s">
        <v>25</v>
      </c>
      <c r="R323" s="5" t="s">
        <v>25</v>
      </c>
      <c r="S323" s="5" t="str">
        <f>VLOOKUP(A323,Sheet2!$A$2:$R$3432,18,0)</f>
        <v>JF50ET2747750</v>
      </c>
      <c r="T323" s="7" t="str">
        <f>VLOOKUP(A323,Sheet2!$A$2:$R$3432,17,0)</f>
        <v>ME4JF504JFT746872</v>
      </c>
    </row>
    <row r="324" ht="15.75" customHeight="1">
      <c r="A324" s="3" t="s">
        <v>347</v>
      </c>
      <c r="B324" s="4" t="str">
        <f>VLOOKUP(A324,Sheet2!$A$2:$R$3432,2,0)</f>
        <v>2024-12-07 16:52:51</v>
      </c>
      <c r="C324" s="5" t="s">
        <v>25</v>
      </c>
      <c r="D324" s="6" t="s">
        <v>25</v>
      </c>
      <c r="E324" s="7">
        <f>VLOOKUP(A324,Sheet2!$A$2:$R$3432,4,0)</f>
        <v>9822780116</v>
      </c>
      <c r="F324" s="7" t="str">
        <f>VLOOKUP(A324,Sheet2!$A$2:$R$3432,3,0)</f>
        <v>Ramesh Adagle</v>
      </c>
      <c r="G324" s="5" t="s">
        <v>25</v>
      </c>
      <c r="H324" s="5" t="s">
        <v>25</v>
      </c>
      <c r="I324" s="5" t="s">
        <v>25</v>
      </c>
      <c r="J324" s="5" t="s">
        <v>25</v>
      </c>
      <c r="K324" s="7" t="str">
        <f>VLOOKUP(A324,Sheet2!$A$2:$R$3432,6,0)</f>
        <v>Hero Passion Pro</v>
      </c>
      <c r="L324" s="5" t="s">
        <v>25</v>
      </c>
      <c r="M324" s="7" t="str">
        <f>VLOOKUP(A324,Sheet2!$A$2:$R$3432,5,0)</f>
        <v>MH12GW1640</v>
      </c>
      <c r="N324" s="5" t="s">
        <v>25</v>
      </c>
      <c r="O324" s="5" t="s">
        <v>25</v>
      </c>
      <c r="P324" s="6" t="s">
        <v>25</v>
      </c>
      <c r="Q324" s="5" t="s">
        <v>25</v>
      </c>
      <c r="R324" s="5" t="s">
        <v>25</v>
      </c>
      <c r="S324" s="7" t="str">
        <f>VLOOKUP(A324,Sheet2!$A$2:$R$3432,18,0)</f>
        <v/>
      </c>
      <c r="T324" s="7" t="str">
        <f>VLOOKUP(A324,Sheet2!$A$2:$R$3432,17,0)</f>
        <v/>
      </c>
    </row>
    <row r="325" ht="15.75" customHeight="1">
      <c r="A325" s="3" t="s">
        <v>348</v>
      </c>
      <c r="B325" s="4" t="str">
        <f>VLOOKUP(A325,Sheet2!$A$2:$R$3432,2,0)</f>
        <v>2024-12-07 18:41:44</v>
      </c>
      <c r="C325" s="5" t="s">
        <v>25</v>
      </c>
      <c r="D325" s="6" t="s">
        <v>25</v>
      </c>
      <c r="E325" s="7">
        <f>VLOOKUP(A325,Sheet2!$A$2:$R$3432,4,0)</f>
        <v>8668368998</v>
      </c>
      <c r="F325" s="7" t="str">
        <f>VLOOKUP(A325,Sheet2!$A$2:$R$3432,3,0)</f>
        <v>SWAPNIL KHARE</v>
      </c>
      <c r="G325" s="5" t="s">
        <v>25</v>
      </c>
      <c r="H325" s="5" t="s">
        <v>25</v>
      </c>
      <c r="I325" s="5" t="s">
        <v>25</v>
      </c>
      <c r="J325" s="5" t="s">
        <v>25</v>
      </c>
      <c r="K325" s="7" t="str">
        <f>VLOOKUP(A325,Sheet2!$A$2:$R$3432,6,0)</f>
        <v>Honda Activa 110</v>
      </c>
      <c r="L325" s="5" t="s">
        <v>25</v>
      </c>
      <c r="M325" s="7" t="str">
        <f>VLOOKUP(A325,Sheet2!$A$2:$R$3432,5,0)</f>
        <v>MH14DD6333</v>
      </c>
      <c r="N325" s="5" t="s">
        <v>25</v>
      </c>
      <c r="O325" s="5" t="s">
        <v>25</v>
      </c>
      <c r="P325" s="6" t="s">
        <v>25</v>
      </c>
      <c r="Q325" s="5" t="s">
        <v>25</v>
      </c>
      <c r="R325" s="5" t="s">
        <v>25</v>
      </c>
      <c r="S325" s="5" t="str">
        <f>VLOOKUP(A325,Sheet2!$A$2:$R$3432,18,0)</f>
        <v>JC44E5183425</v>
      </c>
      <c r="T325" s="7" t="str">
        <f>VLOOKUP(A325,Sheet2!$A$2:$R$3432,17,0)</f>
        <v>ME4JC448MB7163952</v>
      </c>
    </row>
    <row r="326" ht="15.75" customHeight="1">
      <c r="A326" s="3" t="s">
        <v>349</v>
      </c>
      <c r="B326" s="4" t="str">
        <f>VLOOKUP(A326,Sheet2!$A$2:$R$3432,2,0)</f>
        <v>2024-12-07 19:13:23</v>
      </c>
      <c r="C326" s="5" t="s">
        <v>25</v>
      </c>
      <c r="D326" s="6" t="s">
        <v>25</v>
      </c>
      <c r="E326" s="7">
        <f>VLOOKUP(A326,Sheet2!$A$2:$R$3432,4,0)</f>
        <v>7410008484</v>
      </c>
      <c r="F326" s="7" t="str">
        <f>VLOOKUP(A326,Sheet2!$A$2:$R$3432,3,0)</f>
        <v>Satyajit Jadhav</v>
      </c>
      <c r="G326" s="5" t="s">
        <v>25</v>
      </c>
      <c r="H326" s="5" t="s">
        <v>25</v>
      </c>
      <c r="I326" s="5" t="s">
        <v>25</v>
      </c>
      <c r="J326" s="5" t="s">
        <v>25</v>
      </c>
      <c r="K326" s="7" t="str">
        <f>VLOOKUP(A326,Sheet2!$A$2:$R$3432,6,0)</f>
        <v>TVS Apache 160 4V</v>
      </c>
      <c r="L326" s="5" t="s">
        <v>25</v>
      </c>
      <c r="M326" s="7" t="str">
        <f>VLOOKUP(A326,Sheet2!$A$2:$R$3432,5,0)</f>
        <v>MH50V2383</v>
      </c>
      <c r="N326" s="5" t="s">
        <v>25</v>
      </c>
      <c r="O326" s="5" t="s">
        <v>25</v>
      </c>
      <c r="P326" s="6" t="s">
        <v>25</v>
      </c>
      <c r="Q326" s="5" t="s">
        <v>25</v>
      </c>
      <c r="R326" s="5" t="s">
        <v>25</v>
      </c>
      <c r="S326" s="5" t="str">
        <f>VLOOKUP(A326,Sheet2!$A$2:$R$3432,18,0)</f>
        <v>GE5AP2608503</v>
      </c>
      <c r="T326" s="7" t="str">
        <f>VLOOKUP(A326,Sheet2!$A$2:$R$3432,17,0)</f>
        <v>MD637GE55PZA09163</v>
      </c>
    </row>
    <row r="327" ht="15.75" customHeight="1">
      <c r="A327" s="3" t="s">
        <v>350</v>
      </c>
      <c r="B327" s="4" t="str">
        <f>VLOOKUP(A327,Sheet2!$A$2:$R$3432,2,0)</f>
        <v>2024-12-07 20:48:46</v>
      </c>
      <c r="C327" s="5" t="s">
        <v>25</v>
      </c>
      <c r="D327" s="6" t="s">
        <v>25</v>
      </c>
      <c r="E327" s="7">
        <f>VLOOKUP(A327,Sheet2!$A$2:$R$3432,4,0)</f>
        <v>9404727535</v>
      </c>
      <c r="F327" s="7" t="str">
        <f>VLOOKUP(A327,Sheet2!$A$2:$R$3432,3,0)</f>
        <v>Aniket Chaudhary </v>
      </c>
      <c r="G327" s="5" t="s">
        <v>25</v>
      </c>
      <c r="H327" s="5" t="s">
        <v>25</v>
      </c>
      <c r="I327" s="5" t="s">
        <v>25</v>
      </c>
      <c r="J327" s="5" t="s">
        <v>25</v>
      </c>
      <c r="K327" s="7" t="str">
        <f>VLOOKUP(A327,Sheet2!$A$2:$R$3432,6,0)</f>
        <v>Hero Passion </v>
      </c>
      <c r="L327" s="5" t="s">
        <v>25</v>
      </c>
      <c r="M327" s="7" t="str">
        <f>VLOOKUP(A327,Sheet2!$A$2:$R$3432,5,0)</f>
        <v>MH12CQ9757</v>
      </c>
      <c r="N327" s="5" t="s">
        <v>25</v>
      </c>
      <c r="O327" s="5" t="s">
        <v>25</v>
      </c>
      <c r="P327" s="6" t="s">
        <v>25</v>
      </c>
      <c r="Q327" s="5" t="s">
        <v>25</v>
      </c>
      <c r="R327" s="5" t="s">
        <v>25</v>
      </c>
      <c r="S327" s="7" t="str">
        <f>VLOOKUP(A327,Sheet2!$A$2:$R$3432,18,0)</f>
        <v/>
      </c>
      <c r="T327" s="7" t="str">
        <f>VLOOKUP(A327,Sheet2!$A$2:$R$3432,17,0)</f>
        <v/>
      </c>
    </row>
    <row r="328" ht="15.75" customHeight="1">
      <c r="A328" s="3" t="s">
        <v>351</v>
      </c>
      <c r="B328" s="4" t="str">
        <f>VLOOKUP(A328,Sheet2!$A$2:$R$3432,2,0)</f>
        <v>2024-12-07 21:28:35</v>
      </c>
      <c r="C328" s="5" t="s">
        <v>25</v>
      </c>
      <c r="D328" s="6" t="s">
        <v>25</v>
      </c>
      <c r="E328" s="7">
        <f>VLOOKUP(A328,Sheet2!$A$2:$R$3432,4,0)</f>
        <v>8087287382</v>
      </c>
      <c r="F328" s="7" t="str">
        <f>VLOOKUP(A328,Sheet2!$A$2:$R$3432,3,0)</f>
        <v>Pratik</v>
      </c>
      <c r="G328" s="5" t="s">
        <v>25</v>
      </c>
      <c r="H328" s="5" t="s">
        <v>25</v>
      </c>
      <c r="I328" s="5" t="s">
        <v>25</v>
      </c>
      <c r="J328" s="5" t="s">
        <v>25</v>
      </c>
      <c r="K328" s="7" t="str">
        <f>VLOOKUP(A328,Sheet2!$A$2:$R$3432,6,0)</f>
        <v>Bajaj Avenger 220 Cruise</v>
      </c>
      <c r="L328" s="5" t="s">
        <v>25</v>
      </c>
      <c r="M328" s="7" t="str">
        <f>VLOOKUP(A328,Sheet2!$A$2:$R$3432,5,0)</f>
        <v>MH12NN0922</v>
      </c>
      <c r="N328" s="5" t="s">
        <v>25</v>
      </c>
      <c r="O328" s="5" t="s">
        <v>25</v>
      </c>
      <c r="P328" s="6" t="s">
        <v>25</v>
      </c>
      <c r="Q328" s="5" t="s">
        <v>25</v>
      </c>
      <c r="R328" s="5" t="s">
        <v>25</v>
      </c>
      <c r="S328" s="5" t="str">
        <f>VLOOKUP(A328,Sheet2!$A$2:$R$3432,18,0)</f>
        <v>RDYCGF2056</v>
      </c>
      <c r="T328" s="7" t="str">
        <f>VLOOKUP(A328,Sheet2!$A$2:$R$3432,17,0)</f>
        <v>MD2A22EY8GCF94660</v>
      </c>
    </row>
    <row r="329" ht="15.75" customHeight="1">
      <c r="A329" s="3" t="s">
        <v>352</v>
      </c>
      <c r="B329" s="4" t="str">
        <f>VLOOKUP(A329,Sheet2!$A$2:$R$3432,2,0)</f>
        <v>2024-12-25 20:10:40</v>
      </c>
      <c r="C329" s="5" t="s">
        <v>25</v>
      </c>
      <c r="D329" s="6" t="s">
        <v>25</v>
      </c>
      <c r="E329" s="7">
        <f>VLOOKUP(A329,Sheet2!$A$2:$R$3432,4,0)</f>
        <v>9421785042</v>
      </c>
      <c r="F329" s="7" t="str">
        <f>VLOOKUP(A329,Sheet2!$A$2:$R$3432,3,0)</f>
        <v>SAURABH DHAIT</v>
      </c>
      <c r="G329" s="5" t="s">
        <v>25</v>
      </c>
      <c r="H329" s="5" t="s">
        <v>25</v>
      </c>
      <c r="I329" s="5" t="s">
        <v>25</v>
      </c>
      <c r="J329" s="5" t="s">
        <v>25</v>
      </c>
      <c r="K329" s="7" t="str">
        <f>VLOOKUP(A329,Sheet2!$A$2:$R$3432,6,0)</f>
        <v>Bajaj Pulsar 150</v>
      </c>
      <c r="L329" s="5" t="s">
        <v>25</v>
      </c>
      <c r="M329" s="7" t="str">
        <f>VLOOKUP(A329,Sheet2!$A$2:$R$3432,5,0)</f>
        <v>MH33AH0909</v>
      </c>
      <c r="N329" s="5" t="s">
        <v>25</v>
      </c>
      <c r="O329" s="5" t="s">
        <v>25</v>
      </c>
      <c r="P329" s="6" t="s">
        <v>25</v>
      </c>
      <c r="Q329" s="5" t="s">
        <v>25</v>
      </c>
      <c r="R329" s="5" t="s">
        <v>25</v>
      </c>
      <c r="S329" s="7" t="str">
        <f>VLOOKUP(A329,Sheet2!$A$2:$R$3432,18,0)</f>
        <v/>
      </c>
      <c r="T329" s="7" t="str">
        <f>VLOOKUP(A329,Sheet2!$A$2:$R$3432,17,0)</f>
        <v/>
      </c>
    </row>
    <row r="330" ht="15.75" customHeight="1">
      <c r="A330" s="3" t="s">
        <v>353</v>
      </c>
      <c r="B330" s="4" t="str">
        <f>VLOOKUP(A330,Sheet2!$A$2:$R$3432,2,0)</f>
        <v>2024-12-25 20:05:40</v>
      </c>
      <c r="C330" s="5" t="s">
        <v>25</v>
      </c>
      <c r="D330" s="6" t="s">
        <v>25</v>
      </c>
      <c r="E330" s="7">
        <f>VLOOKUP(A330,Sheet2!$A$2:$R$3432,4,0)</f>
        <v>9552509211</v>
      </c>
      <c r="F330" s="7" t="str">
        <f>VLOOKUP(A330,Sheet2!$A$2:$R$3432,3,0)</f>
        <v>Ramesh Karsunde</v>
      </c>
      <c r="G330" s="5" t="s">
        <v>25</v>
      </c>
      <c r="H330" s="5" t="s">
        <v>25</v>
      </c>
      <c r="I330" s="5" t="s">
        <v>25</v>
      </c>
      <c r="J330" s="5" t="s">
        <v>25</v>
      </c>
      <c r="K330" s="7" t="str">
        <f>VLOOKUP(A330,Sheet2!$A$2:$R$3432,6,0)</f>
        <v>Bajaj Avenger 220 Cruise</v>
      </c>
      <c r="L330" s="5" t="s">
        <v>25</v>
      </c>
      <c r="M330" s="7" t="str">
        <f>VLOOKUP(A330,Sheet2!$A$2:$R$3432,5,0)</f>
        <v>MH12NC8109</v>
      </c>
      <c r="N330" s="5" t="s">
        <v>25</v>
      </c>
      <c r="O330" s="5" t="s">
        <v>25</v>
      </c>
      <c r="P330" s="6" t="s">
        <v>25</v>
      </c>
      <c r="Q330" s="5" t="s">
        <v>25</v>
      </c>
      <c r="R330" s="5" t="s">
        <v>25</v>
      </c>
      <c r="S330" s="5" t="str">
        <f>VLOOKUP(A330,Sheet2!$A$2:$R$3432,18,0)</f>
        <v>MDZGC399345</v>
      </c>
      <c r="T330" s="7" t="str">
        <f>VLOOKUP(A330,Sheet2!$A$2:$R$3432,17,0)</f>
        <v>MDZA22EZ1GCB56555</v>
      </c>
    </row>
    <row r="331" ht="15.75" customHeight="1">
      <c r="A331" s="3" t="s">
        <v>354</v>
      </c>
      <c r="B331" s="4" t="str">
        <f>VLOOKUP(A331,Sheet2!$A$2:$R$3432,2,0)</f>
        <v>2024-12-25 19:59:44</v>
      </c>
      <c r="C331" s="5" t="s">
        <v>25</v>
      </c>
      <c r="D331" s="6" t="s">
        <v>25</v>
      </c>
      <c r="E331" s="7">
        <f>VLOOKUP(A331,Sheet2!$A$2:$R$3432,4,0)</f>
        <v>9822677030</v>
      </c>
      <c r="F331" s="7" t="str">
        <f>VLOOKUP(A331,Sheet2!$A$2:$R$3432,3,0)</f>
        <v>Karan</v>
      </c>
      <c r="G331" s="5" t="s">
        <v>25</v>
      </c>
      <c r="H331" s="5" t="s">
        <v>25</v>
      </c>
      <c r="I331" s="5" t="s">
        <v>25</v>
      </c>
      <c r="J331" s="5" t="s">
        <v>25</v>
      </c>
      <c r="K331" s="7" t="str">
        <f>VLOOKUP(A331,Sheet2!$A$2:$R$3432,6,0)</f>
        <v>Honda Activa 6G</v>
      </c>
      <c r="L331" s="5" t="s">
        <v>25</v>
      </c>
      <c r="M331" s="7" t="str">
        <f>VLOOKUP(A331,Sheet2!$A$2:$R$3432,5,0)</f>
        <v>MH14LF2756</v>
      </c>
      <c r="N331" s="5" t="s">
        <v>25</v>
      </c>
      <c r="O331" s="5" t="s">
        <v>25</v>
      </c>
      <c r="P331" s="6" t="s">
        <v>25</v>
      </c>
      <c r="Q331" s="5" t="s">
        <v>25</v>
      </c>
      <c r="R331" s="5" t="s">
        <v>25</v>
      </c>
      <c r="S331" s="7" t="str">
        <f>VLOOKUP(A331,Sheet2!$A$2:$R$3432,18,0)</f>
        <v/>
      </c>
      <c r="T331" s="7" t="str">
        <f>VLOOKUP(A331,Sheet2!$A$2:$R$3432,17,0)</f>
        <v/>
      </c>
    </row>
    <row r="332" ht="15.75" customHeight="1">
      <c r="A332" s="3" t="s">
        <v>355</v>
      </c>
      <c r="B332" s="4" t="str">
        <f>VLOOKUP(A332,Sheet2!$A$2:$R$3432,2,0)</f>
        <v>2024-12-25 20:09:24</v>
      </c>
      <c r="C332" s="5" t="s">
        <v>25</v>
      </c>
      <c r="D332" s="6" t="s">
        <v>25</v>
      </c>
      <c r="E332" s="7">
        <f>VLOOKUP(A332,Sheet2!$A$2:$R$3432,4,0)</f>
        <v>8087198181</v>
      </c>
      <c r="F332" s="7" t="str">
        <f>VLOOKUP(A332,Sheet2!$A$2:$R$3432,3,0)</f>
        <v>Abhinav Deshmukh</v>
      </c>
      <c r="G332" s="5" t="s">
        <v>25</v>
      </c>
      <c r="H332" s="5" t="s">
        <v>25</v>
      </c>
      <c r="I332" s="5" t="s">
        <v>25</v>
      </c>
      <c r="J332" s="5" t="s">
        <v>25</v>
      </c>
      <c r="K332" s="7" t="str">
        <f>VLOOKUP(A332,Sheet2!$A$2:$R$3432,6,0)</f>
        <v>Suzuki Access 125</v>
      </c>
      <c r="L332" s="5" t="s">
        <v>25</v>
      </c>
      <c r="M332" s="7" t="str">
        <f>VLOOKUP(A332,Sheet2!$A$2:$R$3432,5,0)</f>
        <v>MH14HJ0992</v>
      </c>
      <c r="N332" s="5" t="s">
        <v>25</v>
      </c>
      <c r="O332" s="5" t="s">
        <v>25</v>
      </c>
      <c r="P332" s="6" t="s">
        <v>25</v>
      </c>
      <c r="Q332" s="5" t="s">
        <v>25</v>
      </c>
      <c r="R332" s="5" t="s">
        <v>25</v>
      </c>
      <c r="S332" s="5" t="str">
        <f>VLOOKUP(A332,Sheet2!$A$2:$R$3432,18,0)</f>
        <v>AF211890145</v>
      </c>
      <c r="T332" s="7" t="str">
        <f>VLOOKUP(A332,Sheet2!$A$2:$R$3432,17,0)</f>
        <v>MB8DP11AMJ8A9636</v>
      </c>
    </row>
    <row r="333" ht="15.75" customHeight="1">
      <c r="A333" s="3" t="s">
        <v>356</v>
      </c>
      <c r="B333" s="4" t="str">
        <f>VLOOKUP(A333,Sheet2!$A$2:$R$3432,2,0)</f>
        <v>2024-12-25 20:24:18</v>
      </c>
      <c r="C333" s="5" t="s">
        <v>25</v>
      </c>
      <c r="D333" s="6" t="s">
        <v>25</v>
      </c>
      <c r="E333" s="7">
        <f>VLOOKUP(A333,Sheet2!$A$2:$R$3432,4,0)</f>
        <v>7738157770</v>
      </c>
      <c r="F333" s="7" t="str">
        <f>VLOOKUP(A333,Sheet2!$A$2:$R$3432,3,0)</f>
        <v>MAKARAND MODE</v>
      </c>
      <c r="G333" s="5" t="s">
        <v>25</v>
      </c>
      <c r="H333" s="5" t="s">
        <v>25</v>
      </c>
      <c r="I333" s="5" t="s">
        <v>25</v>
      </c>
      <c r="J333" s="5" t="s">
        <v>25</v>
      </c>
      <c r="K333" s="7" t="str">
        <f>VLOOKUP(A333,Sheet2!$A$2:$R$3432,6,0)</f>
        <v>TVS Wego Basic</v>
      </c>
      <c r="L333" s="5" t="s">
        <v>25</v>
      </c>
      <c r="M333" s="7" t="str">
        <f>VLOOKUP(A333,Sheet2!$A$2:$R$3432,5,0)</f>
        <v>MH05CD1524</v>
      </c>
      <c r="N333" s="5" t="s">
        <v>25</v>
      </c>
      <c r="O333" s="5" t="s">
        <v>25</v>
      </c>
      <c r="P333" s="6" t="s">
        <v>25</v>
      </c>
      <c r="Q333" s="5" t="s">
        <v>25</v>
      </c>
      <c r="R333" s="5" t="s">
        <v>25</v>
      </c>
      <c r="S333" s="5" t="str">
        <f>VLOOKUP(A333,Sheet2!$A$2:$R$3432,18,0)</f>
        <v>OG4BE1110632</v>
      </c>
      <c r="T333" s="7" t="str">
        <f>VLOOKUP(A333,Sheet2!$A$2:$R$3432,17,0)</f>
        <v>MD626AS40E1B1410</v>
      </c>
    </row>
    <row r="334" ht="15.75" customHeight="1">
      <c r="A334" s="3" t="s">
        <v>357</v>
      </c>
      <c r="B334" s="4" t="str">
        <f>VLOOKUP(A334,Sheet2!$A$2:$R$3432,2,0)</f>
        <v>2024-12-25 19:59:21</v>
      </c>
      <c r="C334" s="5" t="s">
        <v>25</v>
      </c>
      <c r="D334" s="6" t="s">
        <v>25</v>
      </c>
      <c r="E334" s="7">
        <f>VLOOKUP(A334,Sheet2!$A$2:$R$3432,4,0)</f>
        <v>9970689986</v>
      </c>
      <c r="F334" s="7" t="str">
        <f>VLOOKUP(A334,Sheet2!$A$2:$R$3432,3,0)</f>
        <v>Pankaj Jain</v>
      </c>
      <c r="G334" s="5" t="s">
        <v>25</v>
      </c>
      <c r="H334" s="5" t="s">
        <v>25</v>
      </c>
      <c r="I334" s="5" t="s">
        <v>25</v>
      </c>
      <c r="J334" s="5" t="s">
        <v>25</v>
      </c>
      <c r="K334" s="7" t="str">
        <f>VLOOKUP(A334,Sheet2!$A$2:$R$3432,6,0)</f>
        <v>Bajaj Pulsar 150</v>
      </c>
      <c r="L334" s="5" t="s">
        <v>25</v>
      </c>
      <c r="M334" s="7" t="str">
        <f>VLOOKUP(A334,Sheet2!$A$2:$R$3432,5,0)</f>
        <v>MH12NL6570</v>
      </c>
      <c r="N334" s="5" t="s">
        <v>25</v>
      </c>
      <c r="O334" s="5" t="s">
        <v>25</v>
      </c>
      <c r="P334" s="6" t="s">
        <v>25</v>
      </c>
      <c r="Q334" s="5" t="s">
        <v>25</v>
      </c>
      <c r="R334" s="5" t="s">
        <v>25</v>
      </c>
      <c r="S334" s="5" t="str">
        <f>VLOOKUP(A334,Sheet2!$A$2:$R$3432,18,0)</f>
        <v>DHZWGEF14845</v>
      </c>
      <c r="T334" s="7" t="str">
        <f>VLOOKUP(A334,Sheet2!$A$2:$R$3432,17,0)</f>
        <v>MD2A11CZ24WF05088</v>
      </c>
    </row>
    <row r="335" ht="15.75" customHeight="1">
      <c r="A335" s="3" t="s">
        <v>358</v>
      </c>
      <c r="B335" s="4" t="str">
        <f>VLOOKUP(A335,Sheet2!$A$2:$R$3432,2,0)</f>
        <v>2024-12-25 20:00:06</v>
      </c>
      <c r="C335" s="5" t="s">
        <v>25</v>
      </c>
      <c r="D335" s="6" t="s">
        <v>25</v>
      </c>
      <c r="E335" s="7">
        <f>VLOOKUP(A335,Sheet2!$A$2:$R$3432,4,0)</f>
        <v>7385401705</v>
      </c>
      <c r="F335" s="7" t="str">
        <f>VLOOKUP(A335,Sheet2!$A$2:$R$3432,3,0)</f>
        <v>Poonam</v>
      </c>
      <c r="G335" s="5" t="s">
        <v>25</v>
      </c>
      <c r="H335" s="5" t="s">
        <v>25</v>
      </c>
      <c r="I335" s="5" t="s">
        <v>25</v>
      </c>
      <c r="J335" s="5" t="s">
        <v>25</v>
      </c>
      <c r="K335" s="7" t="str">
        <f>VLOOKUP(A335,Sheet2!$A$2:$R$3432,6,0)</f>
        <v>TVS Jupiter </v>
      </c>
      <c r="L335" s="5" t="s">
        <v>25</v>
      </c>
      <c r="M335" s="7" t="str">
        <f>VLOOKUP(A335,Sheet2!$A$2:$R$3432,5,0)</f>
        <v>MH25AU9156</v>
      </c>
      <c r="N335" s="5" t="s">
        <v>25</v>
      </c>
      <c r="O335" s="5" t="s">
        <v>25</v>
      </c>
      <c r="P335" s="6" t="s">
        <v>25</v>
      </c>
      <c r="Q335" s="5" t="s">
        <v>25</v>
      </c>
      <c r="R335" s="5" t="s">
        <v>25</v>
      </c>
      <c r="S335" s="7" t="str">
        <f>VLOOKUP(A335,Sheet2!$A$2:$R$3432,18,0)</f>
        <v/>
      </c>
      <c r="T335" s="7" t="str">
        <f>VLOOKUP(A335,Sheet2!$A$2:$R$3432,17,0)</f>
        <v/>
      </c>
    </row>
    <row r="336" ht="15.75" customHeight="1">
      <c r="A336" s="3" t="s">
        <v>359</v>
      </c>
      <c r="B336" s="4" t="str">
        <f>VLOOKUP(A336,Sheet2!$A$2:$R$3432,2,0)</f>
        <v>2024-12-25 20:03:14</v>
      </c>
      <c r="C336" s="5" t="s">
        <v>25</v>
      </c>
      <c r="D336" s="6" t="s">
        <v>25</v>
      </c>
      <c r="E336" s="7">
        <f>VLOOKUP(A336,Sheet2!$A$2:$R$3432,4,0)</f>
        <v>8329111460</v>
      </c>
      <c r="F336" s="7" t="str">
        <f>VLOOKUP(A336,Sheet2!$A$2:$R$3432,3,0)</f>
        <v>Saurabh</v>
      </c>
      <c r="G336" s="5" t="s">
        <v>25</v>
      </c>
      <c r="H336" s="5" t="s">
        <v>25</v>
      </c>
      <c r="I336" s="5" t="s">
        <v>25</v>
      </c>
      <c r="J336" s="5" t="s">
        <v>25</v>
      </c>
      <c r="K336" s="7" t="str">
        <f>VLOOKUP(A336,Sheet2!$A$2:$R$3432,6,0)</f>
        <v>Suzuki Gixxer </v>
      </c>
      <c r="L336" s="5" t="s">
        <v>25</v>
      </c>
      <c r="M336" s="7" t="str">
        <f>VLOOKUP(A336,Sheet2!$A$2:$R$3432,5,0)</f>
        <v>MH12MQ0145</v>
      </c>
      <c r="N336" s="5" t="s">
        <v>25</v>
      </c>
      <c r="O336" s="5" t="s">
        <v>25</v>
      </c>
      <c r="P336" s="6" t="s">
        <v>25</v>
      </c>
      <c r="Q336" s="5" t="s">
        <v>25</v>
      </c>
      <c r="R336" s="5" t="s">
        <v>25</v>
      </c>
      <c r="S336" s="7" t="str">
        <f>VLOOKUP(A336,Sheet2!$A$2:$R$3432,18,0)</f>
        <v/>
      </c>
      <c r="T336" s="7" t="str">
        <f>VLOOKUP(A336,Sheet2!$A$2:$R$3432,17,0)</f>
        <v/>
      </c>
    </row>
    <row r="337" ht="15.75" customHeight="1">
      <c r="A337" s="3" t="s">
        <v>360</v>
      </c>
      <c r="B337" s="4" t="str">
        <f>VLOOKUP(A337,Sheet2!$A$2:$R$3432,2,0)</f>
        <v>2024-12-25 20:08:23</v>
      </c>
      <c r="C337" s="5" t="s">
        <v>25</v>
      </c>
      <c r="D337" s="6" t="s">
        <v>25</v>
      </c>
      <c r="E337" s="7">
        <f>VLOOKUP(A337,Sheet2!$A$2:$R$3432,4,0)</f>
        <v>9767379988</v>
      </c>
      <c r="F337" s="7" t="str">
        <f>VLOOKUP(A337,Sheet2!$A$2:$R$3432,3,0)</f>
        <v>Suraj Shinde</v>
      </c>
      <c r="G337" s="5" t="s">
        <v>25</v>
      </c>
      <c r="H337" s="5" t="s">
        <v>25</v>
      </c>
      <c r="I337" s="5" t="s">
        <v>25</v>
      </c>
      <c r="J337" s="5" t="s">
        <v>25</v>
      </c>
      <c r="K337" s="7" t="str">
        <f>VLOOKUP(A337,Sheet2!$A$2:$R$3432,6,0)</f>
        <v>Honda CBR 250R</v>
      </c>
      <c r="L337" s="5" t="s">
        <v>25</v>
      </c>
      <c r="M337" s="7" t="str">
        <f>VLOOKUP(A337,Sheet2!$A$2:$R$3432,5,0)</f>
        <v>MH12KM1341</v>
      </c>
      <c r="N337" s="5" t="s">
        <v>25</v>
      </c>
      <c r="O337" s="5" t="s">
        <v>25</v>
      </c>
      <c r="P337" s="6" t="s">
        <v>25</v>
      </c>
      <c r="Q337" s="5" t="s">
        <v>25</v>
      </c>
      <c r="R337" s="5" t="s">
        <v>25</v>
      </c>
      <c r="S337" s="5" t="str">
        <f>VLOOKUP(A337,Sheet2!$A$2:$R$3432,18,0)</f>
        <v>80630997</v>
      </c>
      <c r="T337" s="7" t="str">
        <f>VLOOKUP(A337,Sheet2!$A$2:$R$3432,17,0)</f>
        <v>8017726</v>
      </c>
    </row>
    <row r="338" ht="15.75" customHeight="1">
      <c r="A338" s="3" t="s">
        <v>361</v>
      </c>
      <c r="B338" s="4" t="str">
        <f>VLOOKUP(A338,Sheet2!$A$2:$R$3432,2,0)</f>
        <v>2024-12-25 20:04:24</v>
      </c>
      <c r="C338" s="5" t="s">
        <v>25</v>
      </c>
      <c r="D338" s="6" t="s">
        <v>25</v>
      </c>
      <c r="E338" s="7">
        <f>VLOOKUP(A338,Sheet2!$A$2:$R$3432,4,0)</f>
        <v>9890022157</v>
      </c>
      <c r="F338" s="7" t="str">
        <f>VLOOKUP(A338,Sheet2!$A$2:$R$3432,3,0)</f>
        <v>Arvind Pandey </v>
      </c>
      <c r="G338" s="5" t="s">
        <v>25</v>
      </c>
      <c r="H338" s="5" t="s">
        <v>25</v>
      </c>
      <c r="I338" s="5" t="s">
        <v>25</v>
      </c>
      <c r="J338" s="5" t="s">
        <v>25</v>
      </c>
      <c r="K338" s="7" t="str">
        <f>VLOOKUP(A338,Sheet2!$A$2:$R$3432,6,0)</f>
        <v>Hero Deluxe HF</v>
      </c>
      <c r="L338" s="5" t="s">
        <v>25</v>
      </c>
      <c r="M338" s="7" t="str">
        <f>VLOOKUP(A338,Sheet2!$A$2:$R$3432,5,0)</f>
        <v>MH14HA2136</v>
      </c>
      <c r="N338" s="5" t="s">
        <v>25</v>
      </c>
      <c r="O338" s="5" t="s">
        <v>25</v>
      </c>
      <c r="P338" s="6" t="s">
        <v>25</v>
      </c>
      <c r="Q338" s="5" t="s">
        <v>25</v>
      </c>
      <c r="R338" s="5" t="s">
        <v>25</v>
      </c>
      <c r="S338" s="7" t="str">
        <f>VLOOKUP(A338,Sheet2!$A$2:$R$3432,18,0)</f>
        <v/>
      </c>
      <c r="T338" s="7" t="str">
        <f>VLOOKUP(A338,Sheet2!$A$2:$R$3432,17,0)</f>
        <v/>
      </c>
    </row>
    <row r="339" ht="15.75" customHeight="1">
      <c r="A339" s="3" t="s">
        <v>362</v>
      </c>
      <c r="B339" s="4" t="str">
        <f>VLOOKUP(A339,Sheet2!$A$2:$R$3432,2,0)</f>
        <v>2024-12-25 20:07:57</v>
      </c>
      <c r="C339" s="5" t="s">
        <v>25</v>
      </c>
      <c r="D339" s="6" t="s">
        <v>25</v>
      </c>
      <c r="E339" s="7">
        <f>VLOOKUP(A339,Sheet2!$A$2:$R$3432,4,0)</f>
        <v>8950816885</v>
      </c>
      <c r="F339" s="7" t="str">
        <f>VLOOKUP(A339,Sheet2!$A$2:$R$3432,3,0)</f>
        <v>Rahinder Singh </v>
      </c>
      <c r="G339" s="5" t="s">
        <v>25</v>
      </c>
      <c r="H339" s="5" t="s">
        <v>25</v>
      </c>
      <c r="I339" s="5" t="s">
        <v>25</v>
      </c>
      <c r="J339" s="5" t="s">
        <v>25</v>
      </c>
      <c r="K339" s="7" t="str">
        <f>VLOOKUP(A339,Sheet2!$A$2:$R$3432,6,0)</f>
        <v>Bajaj Pulsar 150 DTSi</v>
      </c>
      <c r="L339" s="5" t="s">
        <v>25</v>
      </c>
      <c r="M339" s="7" t="str">
        <f>VLOOKUP(A339,Sheet2!$A$2:$R$3432,5,0)</f>
        <v>MH14HP2877</v>
      </c>
      <c r="N339" s="5" t="s">
        <v>25</v>
      </c>
      <c r="O339" s="5" t="s">
        <v>25</v>
      </c>
      <c r="P339" s="6" t="s">
        <v>25</v>
      </c>
      <c r="Q339" s="5" t="s">
        <v>25</v>
      </c>
      <c r="R339" s="5" t="s">
        <v>25</v>
      </c>
      <c r="S339" s="5" t="str">
        <f>VLOOKUP(A339,Sheet2!$A$2:$R$3432,18,0)</f>
        <v>DHYCKA80339</v>
      </c>
      <c r="T339" s="7" t="str">
        <f>VLOOKUP(A339,Sheet2!$A$2:$R$3432,17,0)</f>
        <v>MD2A11CYXKCA00143</v>
      </c>
    </row>
    <row r="340" ht="15.75" customHeight="1">
      <c r="A340" s="3" t="s">
        <v>363</v>
      </c>
      <c r="B340" s="4" t="str">
        <f>VLOOKUP(A340,Sheet2!$A$2:$R$3432,2,0)</f>
        <v>2024-12-25 20:23:14</v>
      </c>
      <c r="C340" s="5" t="s">
        <v>25</v>
      </c>
      <c r="D340" s="6" t="s">
        <v>25</v>
      </c>
      <c r="E340" s="7">
        <f>VLOOKUP(A340,Sheet2!$A$2:$R$3432,4,0)</f>
        <v>9096270636</v>
      </c>
      <c r="F340" s="7" t="str">
        <f>VLOOKUP(A340,Sheet2!$A$2:$R$3432,3,0)</f>
        <v>YUVRAJ INGLE</v>
      </c>
      <c r="G340" s="5" t="s">
        <v>25</v>
      </c>
      <c r="H340" s="5" t="s">
        <v>25</v>
      </c>
      <c r="I340" s="5" t="s">
        <v>25</v>
      </c>
      <c r="J340" s="5" t="s">
        <v>25</v>
      </c>
      <c r="K340" s="7" t="str">
        <f>VLOOKUP(A340,Sheet2!$A$2:$R$3432,6,0)</f>
        <v>Yamaha FZ V3</v>
      </c>
      <c r="L340" s="5" t="s">
        <v>25</v>
      </c>
      <c r="M340" s="7" t="str">
        <f>VLOOKUP(A340,Sheet2!$A$2:$R$3432,5,0)</f>
        <v>MH11DL8625</v>
      </c>
      <c r="N340" s="5" t="s">
        <v>25</v>
      </c>
      <c r="O340" s="5" t="s">
        <v>25</v>
      </c>
      <c r="P340" s="6" t="s">
        <v>25</v>
      </c>
      <c r="Q340" s="5" t="s">
        <v>25</v>
      </c>
      <c r="R340" s="5" t="s">
        <v>25</v>
      </c>
      <c r="S340" s="5" t="str">
        <f>VLOOKUP(A340,Sheet2!$A$2:$R$3432,18,0)</f>
        <v>64N3E033723</v>
      </c>
      <c r="T340" s="7" t="str">
        <f>VLOOKUP(A340,Sheet2!$A$2:$R$3432,17,0)</f>
        <v>ME1RG66U7P0014208</v>
      </c>
    </row>
    <row r="341" ht="15.75" customHeight="1">
      <c r="A341" s="3" t="s">
        <v>364</v>
      </c>
      <c r="B341" s="4" t="str">
        <f>VLOOKUP(A341,Sheet2!$A$2:$R$3432,2,0)</f>
        <v>2024-12-09 12:18:49</v>
      </c>
      <c r="C341" s="5" t="s">
        <v>25</v>
      </c>
      <c r="D341" s="6" t="s">
        <v>25</v>
      </c>
      <c r="E341" s="7">
        <f>VLOOKUP(A341,Sheet2!$A$2:$R$3432,4,0)</f>
        <v>9561558844</v>
      </c>
      <c r="F341" s="7" t="str">
        <f>VLOOKUP(A341,Sheet2!$A$2:$R$3432,3,0)</f>
        <v>Pranesh</v>
      </c>
      <c r="G341" s="5" t="s">
        <v>25</v>
      </c>
      <c r="H341" s="5" t="s">
        <v>25</v>
      </c>
      <c r="I341" s="5" t="s">
        <v>25</v>
      </c>
      <c r="J341" s="5" t="s">
        <v>25</v>
      </c>
      <c r="K341" s="7" t="str">
        <f>VLOOKUP(A341,Sheet2!$A$2:$R$3432,6,0)</f>
        <v>Yamaha FZ S 2.0</v>
      </c>
      <c r="L341" s="5" t="s">
        <v>25</v>
      </c>
      <c r="M341" s="7" t="str">
        <f>VLOOKUP(A341,Sheet2!$A$2:$R$3432,5,0)</f>
        <v>MH12QD9028</v>
      </c>
      <c r="N341" s="5" t="s">
        <v>25</v>
      </c>
      <c r="O341" s="5" t="s">
        <v>25</v>
      </c>
      <c r="P341" s="6" t="s">
        <v>25</v>
      </c>
      <c r="Q341" s="5" t="s">
        <v>25</v>
      </c>
      <c r="R341" s="5" t="s">
        <v>25</v>
      </c>
      <c r="S341" s="5" t="str">
        <f>VLOOKUP(A341,Sheet2!$A$2:$R$3432,18,0)</f>
        <v>G3J3E0224177</v>
      </c>
      <c r="T341" s="7" t="str">
        <f>VLOOKUP(A341,Sheet2!$A$2:$R$3432,17,0)</f>
        <v>ME1RG4452J0006859</v>
      </c>
    </row>
    <row r="342" ht="15.75" customHeight="1">
      <c r="A342" s="3" t="s">
        <v>365</v>
      </c>
      <c r="B342" s="4" t="str">
        <f>VLOOKUP(A342,Sheet2!$A$2:$R$3432,2,0)</f>
        <v>2024-12-09 20:31:21</v>
      </c>
      <c r="C342" s="5" t="s">
        <v>25</v>
      </c>
      <c r="D342" s="6" t="s">
        <v>25</v>
      </c>
      <c r="E342" s="7">
        <f>VLOOKUP(A342,Sheet2!$A$2:$R$3432,4,0)</f>
        <v>7821917370</v>
      </c>
      <c r="F342" s="7" t="str">
        <f>VLOOKUP(A342,Sheet2!$A$2:$R$3432,3,0)</f>
        <v>ATHARVA OAK</v>
      </c>
      <c r="G342" s="5" t="s">
        <v>25</v>
      </c>
      <c r="H342" s="5" t="s">
        <v>25</v>
      </c>
      <c r="I342" s="5" t="s">
        <v>25</v>
      </c>
      <c r="J342" s="5" t="s">
        <v>25</v>
      </c>
      <c r="K342" s="7" t="str">
        <f>VLOOKUP(A342,Sheet2!$A$2:$R$3432,6,0)</f>
        <v>TVS Zest </v>
      </c>
      <c r="L342" s="5" t="s">
        <v>25</v>
      </c>
      <c r="M342" s="7" t="str">
        <f>VLOOKUP(A342,Sheet2!$A$2:$R$3432,5,0)</f>
        <v>MH12MC3518</v>
      </c>
      <c r="N342" s="5" t="s">
        <v>25</v>
      </c>
      <c r="O342" s="5" t="s">
        <v>25</v>
      </c>
      <c r="P342" s="6" t="s">
        <v>25</v>
      </c>
      <c r="Q342" s="5" t="s">
        <v>25</v>
      </c>
      <c r="R342" s="5" t="s">
        <v>25</v>
      </c>
      <c r="S342" s="5" t="str">
        <f>VLOOKUP(A342,Sheet2!$A$2:$R$3432,18,0)</f>
        <v>CG4EF091141</v>
      </c>
      <c r="T342" s="7" t="str">
        <f>VLOOKUP(A342,Sheet2!$A$2:$R$3432,17,0)</f>
        <v>MD626CG40F2E75786</v>
      </c>
    </row>
    <row r="343" ht="15.75" customHeight="1">
      <c r="A343" s="3" t="s">
        <v>366</v>
      </c>
      <c r="B343" s="4" t="str">
        <f>VLOOKUP(A343,Sheet2!$A$2:$R$3432,2,0)</f>
        <v>2024-12-09 19:09:58</v>
      </c>
      <c r="C343" s="5" t="s">
        <v>25</v>
      </c>
      <c r="D343" s="6" t="s">
        <v>25</v>
      </c>
      <c r="E343" s="7">
        <f>VLOOKUP(A343,Sheet2!$A$2:$R$3432,4,0)</f>
        <v>9325513775</v>
      </c>
      <c r="F343" s="7" t="str">
        <f>VLOOKUP(A343,Sheet2!$A$2:$R$3432,3,0)</f>
        <v>Manju</v>
      </c>
      <c r="G343" s="5" t="s">
        <v>25</v>
      </c>
      <c r="H343" s="5" t="s">
        <v>25</v>
      </c>
      <c r="I343" s="5" t="s">
        <v>25</v>
      </c>
      <c r="J343" s="5" t="s">
        <v>25</v>
      </c>
      <c r="K343" s="7" t="str">
        <f>VLOOKUP(A343,Sheet2!$A$2:$R$3432,6,0)</f>
        <v>TVS Jupiter </v>
      </c>
      <c r="L343" s="5" t="s">
        <v>25</v>
      </c>
      <c r="M343" s="7" t="str">
        <f>VLOOKUP(A343,Sheet2!$A$2:$R$3432,5,0)</f>
        <v>MH14HH8456</v>
      </c>
      <c r="N343" s="5" t="s">
        <v>25</v>
      </c>
      <c r="O343" s="5" t="s">
        <v>25</v>
      </c>
      <c r="P343" s="6" t="s">
        <v>25</v>
      </c>
      <c r="Q343" s="5" t="s">
        <v>25</v>
      </c>
      <c r="R343" s="5" t="s">
        <v>25</v>
      </c>
      <c r="S343" s="5" t="str">
        <f>VLOOKUP(A343,Sheet2!$A$2:$R$3432,18,0)</f>
        <v>EG4NJ1600362</v>
      </c>
      <c r="T343" s="7" t="str">
        <f>VLOOKUP(A343,Sheet2!$A$2:$R$3432,17,0)</f>
        <v>MD626EG43J1N00607</v>
      </c>
    </row>
    <row r="344" ht="15.75" customHeight="1">
      <c r="A344" s="3" t="s">
        <v>367</v>
      </c>
      <c r="B344" s="4" t="str">
        <f>VLOOKUP(A344,Sheet2!$A$2:$R$3432,2,0)</f>
        <v>2024-12-09 18:18:29</v>
      </c>
      <c r="C344" s="5" t="s">
        <v>25</v>
      </c>
      <c r="D344" s="6" t="s">
        <v>25</v>
      </c>
      <c r="E344" s="7">
        <f>VLOOKUP(A344,Sheet2!$A$2:$R$3432,4,0)</f>
        <v>9604873669</v>
      </c>
      <c r="F344" s="7" t="str">
        <f>VLOOKUP(A344,Sheet2!$A$2:$R$3432,3,0)</f>
        <v>Prashant Ambilwade</v>
      </c>
      <c r="G344" s="5" t="s">
        <v>25</v>
      </c>
      <c r="H344" s="5" t="s">
        <v>25</v>
      </c>
      <c r="I344" s="5" t="s">
        <v>25</v>
      </c>
      <c r="J344" s="5" t="s">
        <v>25</v>
      </c>
      <c r="K344" s="7" t="str">
        <f>VLOOKUP(A344,Sheet2!$A$2:$R$3432,6,0)</f>
        <v>Bajaj Pulsar 220F</v>
      </c>
      <c r="L344" s="5" t="s">
        <v>25</v>
      </c>
      <c r="M344" s="7" t="str">
        <f>VLOOKUP(A344,Sheet2!$A$2:$R$3432,5,0)</f>
        <v>MH14JG0179</v>
      </c>
      <c r="N344" s="5" t="s">
        <v>25</v>
      </c>
      <c r="O344" s="5" t="s">
        <v>25</v>
      </c>
      <c r="P344" s="6" t="s">
        <v>25</v>
      </c>
      <c r="Q344" s="5" t="s">
        <v>25</v>
      </c>
      <c r="R344" s="5" t="s">
        <v>25</v>
      </c>
      <c r="S344" s="5" t="str">
        <f>VLOOKUP(A344,Sheet2!$A$2:$R$3432,18,0)</f>
        <v>DKXCLLZ7088</v>
      </c>
      <c r="T344" s="7" t="str">
        <f>VLOOKUP(A344,Sheet2!$A$2:$R$3432,17,0)</f>
        <v>MD2ABEEBX5LCE30809</v>
      </c>
    </row>
    <row r="345" ht="15.75" customHeight="1">
      <c r="A345" s="3" t="s">
        <v>368</v>
      </c>
      <c r="B345" s="4" t="str">
        <f>VLOOKUP(A345,Sheet2!$A$2:$R$3432,2,0)</f>
        <v>2024-12-09 18:22:51</v>
      </c>
      <c r="C345" s="5" t="s">
        <v>25</v>
      </c>
      <c r="D345" s="6" t="s">
        <v>25</v>
      </c>
      <c r="E345" s="7">
        <f>VLOOKUP(A345,Sheet2!$A$2:$R$3432,4,0)</f>
        <v>9422178080</v>
      </c>
      <c r="F345" s="7" t="str">
        <f>VLOOKUP(A345,Sheet2!$A$2:$R$3432,3,0)</f>
        <v>Tejaswini Kale</v>
      </c>
      <c r="G345" s="5" t="s">
        <v>25</v>
      </c>
      <c r="H345" s="5" t="s">
        <v>25</v>
      </c>
      <c r="I345" s="5" t="s">
        <v>25</v>
      </c>
      <c r="J345" s="5" t="s">
        <v>25</v>
      </c>
      <c r="K345" s="7" t="str">
        <f>VLOOKUP(A345,Sheet2!$A$2:$R$3432,6,0)</f>
        <v>Hero Pleasure XTEC</v>
      </c>
      <c r="L345" s="5" t="s">
        <v>25</v>
      </c>
      <c r="M345" s="7" t="str">
        <f>VLOOKUP(A345,Sheet2!$A$2:$R$3432,5,0)</f>
        <v>MH22AX6758</v>
      </c>
      <c r="N345" s="5" t="s">
        <v>25</v>
      </c>
      <c r="O345" s="5" t="s">
        <v>25</v>
      </c>
      <c r="P345" s="6" t="s">
        <v>25</v>
      </c>
      <c r="Q345" s="5" t="s">
        <v>25</v>
      </c>
      <c r="R345" s="5" t="s">
        <v>25</v>
      </c>
      <c r="S345" s="5" t="str">
        <f>VLOOKUP(A345,Sheet2!$A$2:$R$3432,18,0)</f>
        <v>JF16EJME1401081</v>
      </c>
      <c r="T345" s="7" t="str">
        <f>VLOOKUP(A345,Sheet2!$A$2:$R$3432,17,0)</f>
        <v>MBLJFW357MGK0196</v>
      </c>
    </row>
    <row r="346" ht="15.75" customHeight="1">
      <c r="A346" s="3" t="s">
        <v>369</v>
      </c>
      <c r="B346" s="4" t="str">
        <f>VLOOKUP(A346,Sheet2!$A$2:$R$3432,2,0)</f>
        <v>2024-12-09 18:20:27</v>
      </c>
      <c r="C346" s="5" t="s">
        <v>25</v>
      </c>
      <c r="D346" s="6" t="s">
        <v>25</v>
      </c>
      <c r="E346" s="7">
        <f>VLOOKUP(A346,Sheet2!$A$2:$R$3432,4,0)</f>
        <v>8999608482</v>
      </c>
      <c r="F346" s="7" t="str">
        <f>VLOOKUP(A346,Sheet2!$A$2:$R$3432,3,0)</f>
        <v>Nisha</v>
      </c>
      <c r="G346" s="5" t="s">
        <v>25</v>
      </c>
      <c r="H346" s="5" t="s">
        <v>25</v>
      </c>
      <c r="I346" s="5" t="s">
        <v>25</v>
      </c>
      <c r="J346" s="5" t="s">
        <v>25</v>
      </c>
      <c r="K346" s="7" t="str">
        <f>VLOOKUP(A346,Sheet2!$A$2:$R$3432,6,0)</f>
        <v>Hero Pleasure </v>
      </c>
      <c r="L346" s="5" t="s">
        <v>25</v>
      </c>
      <c r="M346" s="7" t="str">
        <f>VLOOKUP(A346,Sheet2!$A$2:$R$3432,5,0)</f>
        <v>MH30AS0088</v>
      </c>
      <c r="N346" s="5" t="s">
        <v>25</v>
      </c>
      <c r="O346" s="5" t="s">
        <v>25</v>
      </c>
      <c r="P346" s="6" t="s">
        <v>25</v>
      </c>
      <c r="Q346" s="5" t="s">
        <v>25</v>
      </c>
      <c r="R346" s="5" t="s">
        <v>25</v>
      </c>
      <c r="S346" s="7" t="str">
        <f>VLOOKUP(A346,Sheet2!$A$2:$R$3432,18,0)</f>
        <v/>
      </c>
      <c r="T346" s="7" t="str">
        <f>VLOOKUP(A346,Sheet2!$A$2:$R$3432,17,0)</f>
        <v>MBLJF16ENFGM2028</v>
      </c>
    </row>
    <row r="347" ht="15.75" customHeight="1">
      <c r="A347" s="3" t="s">
        <v>370</v>
      </c>
      <c r="B347" s="4" t="str">
        <f>VLOOKUP(A347,Sheet2!$A$2:$R$3432,2,0)</f>
        <v>2024-12-09 18:25:21</v>
      </c>
      <c r="C347" s="5" t="s">
        <v>25</v>
      </c>
      <c r="D347" s="6" t="s">
        <v>25</v>
      </c>
      <c r="E347" s="7">
        <f>VLOOKUP(A347,Sheet2!$A$2:$R$3432,4,0)</f>
        <v>8180990186</v>
      </c>
      <c r="F347" s="7" t="str">
        <f>VLOOKUP(A347,Sheet2!$A$2:$R$3432,3,0)</f>
        <v>ANKIT</v>
      </c>
      <c r="G347" s="5" t="s">
        <v>25</v>
      </c>
      <c r="H347" s="5" t="s">
        <v>25</v>
      </c>
      <c r="I347" s="5" t="s">
        <v>25</v>
      </c>
      <c r="J347" s="5" t="s">
        <v>25</v>
      </c>
      <c r="K347" s="7" t="str">
        <f>VLOOKUP(A347,Sheet2!$A$2:$R$3432,6,0)</f>
        <v>Honda Livo </v>
      </c>
      <c r="L347" s="5" t="s">
        <v>25</v>
      </c>
      <c r="M347" s="7" t="str">
        <f>VLOOKUP(A347,Sheet2!$A$2:$R$3432,5,0)</f>
        <v>MH12RS9550</v>
      </c>
      <c r="N347" s="5" t="s">
        <v>25</v>
      </c>
      <c r="O347" s="5" t="s">
        <v>25</v>
      </c>
      <c r="P347" s="6" t="s">
        <v>25</v>
      </c>
      <c r="Q347" s="5" t="s">
        <v>25</v>
      </c>
      <c r="R347" s="5" t="s">
        <v>25</v>
      </c>
      <c r="S347" s="5" t="str">
        <f>VLOOKUP(A347,Sheet2!$A$2:$R$3432,18,0)</f>
        <v>JC71ET3168190</v>
      </c>
      <c r="T347" s="7" t="str">
        <f>VLOOKUP(A347,Sheet2!$A$2:$R$3432,17,0)</f>
        <v>ME4JC71ACKT011737</v>
      </c>
    </row>
    <row r="348" ht="15.75" customHeight="1">
      <c r="A348" s="3" t="s">
        <v>371</v>
      </c>
      <c r="B348" s="4" t="str">
        <f>VLOOKUP(A348,Sheet2!$A$2:$R$3432,2,0)</f>
        <v>2024-12-09 20:19:29</v>
      </c>
      <c r="C348" s="5" t="s">
        <v>25</v>
      </c>
      <c r="D348" s="6" t="s">
        <v>25</v>
      </c>
      <c r="E348" s="7">
        <f>VLOOKUP(A348,Sheet2!$A$2:$R$3432,4,0)</f>
        <v>8329647673</v>
      </c>
      <c r="F348" s="7" t="str">
        <f>VLOOKUP(A348,Sheet2!$A$2:$R$3432,3,0)</f>
        <v>Guruprasad Mahajan</v>
      </c>
      <c r="G348" s="5" t="s">
        <v>25</v>
      </c>
      <c r="H348" s="5" t="s">
        <v>25</v>
      </c>
      <c r="I348" s="5" t="s">
        <v>25</v>
      </c>
      <c r="J348" s="5" t="s">
        <v>25</v>
      </c>
      <c r="K348" s="7" t="str">
        <f>VLOOKUP(A348,Sheet2!$A$2:$R$3432,6,0)</f>
        <v>Bajaj Pulsar 200 NS</v>
      </c>
      <c r="L348" s="5" t="s">
        <v>25</v>
      </c>
      <c r="M348" s="7" t="str">
        <f>VLOOKUP(A348,Sheet2!$A$2:$R$3432,5,0)</f>
        <v>MH26CG1011</v>
      </c>
      <c r="N348" s="5" t="s">
        <v>25</v>
      </c>
      <c r="O348" s="5" t="s">
        <v>25</v>
      </c>
      <c r="P348" s="6" t="s">
        <v>25</v>
      </c>
      <c r="Q348" s="5" t="s">
        <v>25</v>
      </c>
      <c r="R348" s="5" t="s">
        <v>25</v>
      </c>
      <c r="S348" s="7" t="str">
        <f>VLOOKUP(A348,Sheet2!$A$2:$R$3432,18,0)</f>
        <v/>
      </c>
      <c r="T348" s="7" t="str">
        <f>VLOOKUP(A348,Sheet2!$A$2:$R$3432,17,0)</f>
        <v/>
      </c>
    </row>
    <row r="349" ht="15.75" customHeight="1">
      <c r="A349" s="3" t="s">
        <v>372</v>
      </c>
      <c r="B349" s="4" t="str">
        <f>VLOOKUP(A349,Sheet2!$A$2:$R$3432,2,0)</f>
        <v>2025-04-09 20:24:21</v>
      </c>
      <c r="C349" s="5" t="s">
        <v>25</v>
      </c>
      <c r="D349" s="6" t="s">
        <v>25</v>
      </c>
      <c r="E349" s="7">
        <f>VLOOKUP(A349,Sheet2!$A$2:$R$3432,4,0)</f>
        <v>7058534698</v>
      </c>
      <c r="F349" s="7" t="str">
        <f>VLOOKUP(A349,Sheet2!$A$2:$R$3432,3,0)</f>
        <v>VIRESH</v>
      </c>
      <c r="G349" s="5" t="s">
        <v>25</v>
      </c>
      <c r="H349" s="5" t="s">
        <v>25</v>
      </c>
      <c r="I349" s="5" t="s">
        <v>25</v>
      </c>
      <c r="J349" s="5" t="s">
        <v>25</v>
      </c>
      <c r="K349" s="7" t="str">
        <f>VLOOKUP(A349,Sheet2!$A$2:$R$3432,6,0)</f>
        <v>Hero Splendor NXG</v>
      </c>
      <c r="L349" s="5" t="s">
        <v>25</v>
      </c>
      <c r="M349" s="7" t="str">
        <f>VLOOKUP(A349,Sheet2!$A$2:$R$3432,5,0)</f>
        <v>MH13CP8140</v>
      </c>
      <c r="N349" s="5" t="s">
        <v>25</v>
      </c>
      <c r="O349" s="5" t="s">
        <v>25</v>
      </c>
      <c r="P349" s="6" t="s">
        <v>25</v>
      </c>
      <c r="Q349" s="5" t="s">
        <v>25</v>
      </c>
      <c r="R349" s="5" t="s">
        <v>25</v>
      </c>
      <c r="S349" s="7" t="str">
        <f>VLOOKUP(A349,Sheet2!$A$2:$R$3432,18,0)</f>
        <v/>
      </c>
      <c r="T349" s="7" t="str">
        <f>VLOOKUP(A349,Sheet2!$A$2:$R$3432,17,0)</f>
        <v/>
      </c>
    </row>
    <row r="350" ht="15.75" customHeight="1">
      <c r="A350" s="3" t="s">
        <v>373</v>
      </c>
      <c r="B350" s="4" t="str">
        <f>VLOOKUP(A350,Sheet2!$A$2:$R$3432,2,0)</f>
        <v>2025-04-09 20:25:10</v>
      </c>
      <c r="C350" s="5" t="s">
        <v>25</v>
      </c>
      <c r="D350" s="6" t="s">
        <v>25</v>
      </c>
      <c r="E350" s="7">
        <f>VLOOKUP(A350,Sheet2!$A$2:$R$3432,4,0)</f>
        <v>8275727570</v>
      </c>
      <c r="F350" s="7" t="str">
        <f>VLOOKUP(A350,Sheet2!$A$2:$R$3432,3,0)</f>
        <v>PARTH</v>
      </c>
      <c r="G350" s="5" t="s">
        <v>25</v>
      </c>
      <c r="H350" s="5" t="s">
        <v>25</v>
      </c>
      <c r="I350" s="5" t="s">
        <v>25</v>
      </c>
      <c r="J350" s="5" t="s">
        <v>25</v>
      </c>
      <c r="K350" s="7" t="str">
        <f>VLOOKUP(A350,Sheet2!$A$2:$R$3432,6,0)</f>
        <v>Honda Shine CB</v>
      </c>
      <c r="L350" s="5" t="s">
        <v>25</v>
      </c>
      <c r="M350" s="7" t="str">
        <f>VLOOKUP(A350,Sheet2!$A$2:$R$3432,5,0)</f>
        <v>MH18AQ3055</v>
      </c>
      <c r="N350" s="5" t="s">
        <v>25</v>
      </c>
      <c r="O350" s="5" t="s">
        <v>25</v>
      </c>
      <c r="P350" s="6" t="s">
        <v>25</v>
      </c>
      <c r="Q350" s="5" t="s">
        <v>25</v>
      </c>
      <c r="R350" s="5" t="s">
        <v>25</v>
      </c>
      <c r="S350" s="5" t="str">
        <f>VLOOKUP(A350,Sheet2!$A$2:$R$3432,18,0)</f>
        <v>JC36E73478984</v>
      </c>
      <c r="T350" s="7" t="str">
        <f>VLOOKUP(A350,Sheet2!$A$2:$R$3432,17,0)</f>
        <v>ME4JC36JEE7929159</v>
      </c>
    </row>
    <row r="351" ht="15.75" customHeight="1">
      <c r="A351" s="3" t="s">
        <v>374</v>
      </c>
      <c r="B351" s="4" t="str">
        <f>VLOOKUP(A351,Sheet2!$A$2:$R$3432,2,0)</f>
        <v>2025-04-09 20:21:46</v>
      </c>
      <c r="C351" s="5" t="s">
        <v>25</v>
      </c>
      <c r="D351" s="6" t="s">
        <v>25</v>
      </c>
      <c r="E351" s="7">
        <f>VLOOKUP(A351,Sheet2!$A$2:$R$3432,4,0)</f>
        <v>8793657381</v>
      </c>
      <c r="F351" s="7" t="str">
        <f>VLOOKUP(A351,Sheet2!$A$2:$R$3432,3,0)</f>
        <v>Mahul Joshi</v>
      </c>
      <c r="G351" s="5" t="s">
        <v>25</v>
      </c>
      <c r="H351" s="5" t="s">
        <v>25</v>
      </c>
      <c r="I351" s="5" t="s">
        <v>25</v>
      </c>
      <c r="J351" s="5" t="s">
        <v>25</v>
      </c>
      <c r="K351" s="7" t="str">
        <f>VLOOKUP(A351,Sheet2!$A$2:$R$3432,6,0)</f>
        <v>Honda Shine </v>
      </c>
      <c r="L351" s="5" t="s">
        <v>25</v>
      </c>
      <c r="M351" s="7" t="str">
        <f>VLOOKUP(A351,Sheet2!$A$2:$R$3432,5,0)</f>
        <v>MH14HF5708</v>
      </c>
      <c r="N351" s="5" t="s">
        <v>25</v>
      </c>
      <c r="O351" s="5" t="s">
        <v>25</v>
      </c>
      <c r="P351" s="6" t="s">
        <v>25</v>
      </c>
      <c r="Q351" s="5" t="s">
        <v>25</v>
      </c>
      <c r="R351" s="5" t="s">
        <v>25</v>
      </c>
      <c r="S351" s="5" t="str">
        <f>VLOOKUP(A351,Sheet2!$A$2:$R$3432,18,0)</f>
        <v>JC65E72330795</v>
      </c>
      <c r="T351" s="7" t="str">
        <f>VLOOKUP(A351,Sheet2!$A$2:$R$3432,17,0)</f>
        <v>ME4JC65BKJ7111779</v>
      </c>
    </row>
    <row r="352" ht="15.75" customHeight="1">
      <c r="A352" s="3" t="s">
        <v>375</v>
      </c>
      <c r="B352" s="4" t="str">
        <f>VLOOKUP(A352,Sheet2!$A$2:$R$3432,2,0)</f>
        <v>2025-04-09 20:23:13</v>
      </c>
      <c r="C352" s="5" t="s">
        <v>25</v>
      </c>
      <c r="D352" s="6" t="s">
        <v>25</v>
      </c>
      <c r="E352" s="7">
        <f>VLOOKUP(A352,Sheet2!$A$2:$R$3432,4,0)</f>
        <v>9588623757</v>
      </c>
      <c r="F352" s="7" t="str">
        <f>VLOOKUP(A352,Sheet2!$A$2:$R$3432,3,0)</f>
        <v>Mayur Tagad</v>
      </c>
      <c r="G352" s="5" t="s">
        <v>25</v>
      </c>
      <c r="H352" s="5" t="s">
        <v>25</v>
      </c>
      <c r="I352" s="5" t="s">
        <v>25</v>
      </c>
      <c r="J352" s="5" t="s">
        <v>25</v>
      </c>
      <c r="K352" s="7" t="str">
        <f>VLOOKUP(A352,Sheet2!$A$2:$R$3432,6,0)</f>
        <v>Yamaha FZ V3</v>
      </c>
      <c r="L352" s="5" t="s">
        <v>25</v>
      </c>
      <c r="M352" s="7" t="str">
        <f>VLOOKUP(A352,Sheet2!$A$2:$R$3432,5,0)</f>
        <v>MH16CR5669</v>
      </c>
      <c r="N352" s="5" t="s">
        <v>25</v>
      </c>
      <c r="O352" s="5" t="s">
        <v>25</v>
      </c>
      <c r="P352" s="6" t="s">
        <v>25</v>
      </c>
      <c r="Q352" s="5" t="s">
        <v>25</v>
      </c>
      <c r="R352" s="5" t="s">
        <v>25</v>
      </c>
      <c r="S352" s="5" t="str">
        <f>VLOOKUP(A352,Sheet2!$A$2:$R$3432,18,0)</f>
        <v>G3NSF0010675</v>
      </c>
      <c r="T352" s="7" t="str">
        <f>VLOOKUP(A352,Sheet2!$A$2:$R$3432,17,0)</f>
        <v>ME1RG6620CK0010777</v>
      </c>
    </row>
    <row r="353" ht="15.75" customHeight="1">
      <c r="A353" s="3" t="s">
        <v>376</v>
      </c>
      <c r="B353" s="4" t="str">
        <f>VLOOKUP(A353,Sheet2!$A$2:$R$3432,2,0)</f>
        <v>2025-04-09 20:21:02</v>
      </c>
      <c r="C353" s="5" t="s">
        <v>25</v>
      </c>
      <c r="D353" s="6" t="s">
        <v>25</v>
      </c>
      <c r="E353" s="7">
        <f>VLOOKUP(A353,Sheet2!$A$2:$R$3432,4,0)</f>
        <v>9130032065</v>
      </c>
      <c r="F353" s="7" t="str">
        <f>VLOOKUP(A353,Sheet2!$A$2:$R$3432,3,0)</f>
        <v>Prajwal </v>
      </c>
      <c r="G353" s="5" t="s">
        <v>25</v>
      </c>
      <c r="H353" s="5" t="s">
        <v>25</v>
      </c>
      <c r="I353" s="5" t="s">
        <v>25</v>
      </c>
      <c r="J353" s="5" t="s">
        <v>25</v>
      </c>
      <c r="K353" s="7" t="str">
        <f>VLOOKUP(A353,Sheet2!$A$2:$R$3432,6,0)</f>
        <v>Honda Activa 3G</v>
      </c>
      <c r="L353" s="5" t="s">
        <v>25</v>
      </c>
      <c r="M353" s="7" t="str">
        <f>VLOOKUP(A353,Sheet2!$A$2:$R$3432,5,0)</f>
        <v>MH16BX1559</v>
      </c>
      <c r="N353" s="5" t="s">
        <v>25</v>
      </c>
      <c r="O353" s="5" t="s">
        <v>25</v>
      </c>
      <c r="P353" s="6" t="s">
        <v>25</v>
      </c>
      <c r="Q353" s="5" t="s">
        <v>25</v>
      </c>
      <c r="R353" s="5" t="s">
        <v>25</v>
      </c>
      <c r="S353" s="7" t="str">
        <f>VLOOKUP(A353,Sheet2!$A$2:$R$3432,18,0)</f>
        <v/>
      </c>
      <c r="T353" s="7" t="str">
        <f>VLOOKUP(A353,Sheet2!$A$2:$R$3432,17,0)</f>
        <v/>
      </c>
    </row>
    <row r="354" ht="15.75" customHeight="1">
      <c r="A354" s="3" t="s">
        <v>377</v>
      </c>
      <c r="B354" s="4" t="str">
        <f>VLOOKUP(A354,Sheet2!$A$2:$R$3432,2,0)</f>
        <v>2025-04-09 20:37:18</v>
      </c>
      <c r="C354" s="5" t="s">
        <v>25</v>
      </c>
      <c r="D354" s="6" t="s">
        <v>25</v>
      </c>
      <c r="E354" s="7">
        <f>VLOOKUP(A354,Sheet2!$A$2:$R$3432,4,0)</f>
        <v>9922936592</v>
      </c>
      <c r="F354" s="7" t="str">
        <f>VLOOKUP(A354,Sheet2!$A$2:$R$3432,3,0)</f>
        <v>Patil</v>
      </c>
      <c r="G354" s="5" t="s">
        <v>25</v>
      </c>
      <c r="H354" s="5" t="s">
        <v>25</v>
      </c>
      <c r="I354" s="5" t="s">
        <v>25</v>
      </c>
      <c r="J354" s="5" t="s">
        <v>25</v>
      </c>
      <c r="K354" s="7" t="str">
        <f>VLOOKUP(A354,Sheet2!$A$2:$R$3432,6,0)</f>
        <v>Honda Shine BS6</v>
      </c>
      <c r="L354" s="5" t="s">
        <v>25</v>
      </c>
      <c r="M354" s="7" t="str">
        <f>VLOOKUP(A354,Sheet2!$A$2:$R$3432,5,0)</f>
        <v>MH14JZ8594</v>
      </c>
      <c r="N354" s="5" t="s">
        <v>25</v>
      </c>
      <c r="O354" s="5" t="s">
        <v>25</v>
      </c>
      <c r="P354" s="6" t="s">
        <v>25</v>
      </c>
      <c r="Q354" s="5" t="s">
        <v>25</v>
      </c>
      <c r="R354" s="5" t="s">
        <v>25</v>
      </c>
      <c r="S354" s="7" t="str">
        <f>VLOOKUP(A354,Sheet2!$A$2:$R$3432,18,0)</f>
        <v/>
      </c>
      <c r="T354" s="7" t="str">
        <f>VLOOKUP(A354,Sheet2!$A$2:$R$3432,17,0)</f>
        <v/>
      </c>
    </row>
    <row r="355" ht="15.75" customHeight="1">
      <c r="A355" s="3" t="s">
        <v>378</v>
      </c>
      <c r="B355" s="4" t="str">
        <f>VLOOKUP(A355,Sheet2!$A$2:$R$3432,2,0)</f>
        <v>2025-04-09 20:17:06</v>
      </c>
      <c r="C355" s="5" t="s">
        <v>25</v>
      </c>
      <c r="D355" s="6" t="s">
        <v>25</v>
      </c>
      <c r="E355" s="7">
        <f>VLOOKUP(A355,Sheet2!$A$2:$R$3432,4,0)</f>
        <v>9096274737</v>
      </c>
      <c r="F355" s="7" t="str">
        <f>VLOOKUP(A355,Sheet2!$A$2:$R$3432,3,0)</f>
        <v>Rohan Mehul</v>
      </c>
      <c r="G355" s="5" t="s">
        <v>25</v>
      </c>
      <c r="H355" s="5" t="s">
        <v>25</v>
      </c>
      <c r="I355" s="5" t="s">
        <v>25</v>
      </c>
      <c r="J355" s="5" t="s">
        <v>25</v>
      </c>
      <c r="K355" s="7" t="str">
        <f>VLOOKUP(A355,Sheet2!$A$2:$R$3432,6,0)</f>
        <v>Bajaj Avenger 220 Cruise</v>
      </c>
      <c r="L355" s="5" t="s">
        <v>25</v>
      </c>
      <c r="M355" s="7" t="str">
        <f>VLOOKUP(A355,Sheet2!$A$2:$R$3432,5,0)</f>
        <v>MH12GE9701</v>
      </c>
      <c r="N355" s="5" t="s">
        <v>25</v>
      </c>
      <c r="O355" s="5" t="s">
        <v>25</v>
      </c>
      <c r="P355" s="6" t="s">
        <v>25</v>
      </c>
      <c r="Q355" s="5" t="s">
        <v>25</v>
      </c>
      <c r="R355" s="5" t="s">
        <v>25</v>
      </c>
      <c r="S355" s="5" t="str">
        <f>VLOOKUP(A355,Sheet2!$A$2:$R$3432,18,0)</f>
        <v>PDGBT02982</v>
      </c>
      <c r="T355" s="7" t="str">
        <f>VLOOKUP(A355,Sheet2!$A$2:$R$3432,17,0)</f>
        <v>MD2DGPD22TCE02986</v>
      </c>
    </row>
    <row r="356" ht="15.75" customHeight="1">
      <c r="A356" s="3" t="s">
        <v>379</v>
      </c>
      <c r="B356" s="4" t="str">
        <f>VLOOKUP(A356,Sheet2!$A$2:$R$3432,2,0)</f>
        <v>2025-04-09 20:15:41</v>
      </c>
      <c r="C356" s="5" t="s">
        <v>25</v>
      </c>
      <c r="D356" s="6" t="s">
        <v>25</v>
      </c>
      <c r="E356" s="7">
        <f>VLOOKUP(A356,Sheet2!$A$2:$R$3432,4,0)</f>
        <v>8411084667</v>
      </c>
      <c r="F356" s="7" t="str">
        <f>VLOOKUP(A356,Sheet2!$A$2:$R$3432,3,0)</f>
        <v>ROHIT MORE</v>
      </c>
      <c r="G356" s="5" t="s">
        <v>25</v>
      </c>
      <c r="H356" s="5" t="s">
        <v>25</v>
      </c>
      <c r="I356" s="5" t="s">
        <v>25</v>
      </c>
      <c r="J356" s="5" t="s">
        <v>25</v>
      </c>
      <c r="K356" s="7" t="str">
        <f>VLOOKUP(A356,Sheet2!$A$2:$R$3432,6,0)</f>
        <v>Yamaha Fazer </v>
      </c>
      <c r="L356" s="5" t="s">
        <v>25</v>
      </c>
      <c r="M356" s="7" t="str">
        <f>VLOOKUP(A356,Sheet2!$A$2:$R$3432,5,0)</f>
        <v>MH09DS1121</v>
      </c>
      <c r="N356" s="5" t="s">
        <v>25</v>
      </c>
      <c r="O356" s="5" t="s">
        <v>25</v>
      </c>
      <c r="P356" s="6" t="s">
        <v>25</v>
      </c>
      <c r="Q356" s="5" t="s">
        <v>25</v>
      </c>
      <c r="R356" s="5" t="s">
        <v>25</v>
      </c>
      <c r="S356" s="7" t="str">
        <f>VLOOKUP(A356,Sheet2!$A$2:$R$3432,18,0)</f>
        <v/>
      </c>
      <c r="T356" s="7" t="str">
        <f>VLOOKUP(A356,Sheet2!$A$2:$R$3432,17,0)</f>
        <v/>
      </c>
    </row>
    <row r="357" ht="15.75" customHeight="1">
      <c r="A357" s="3" t="s">
        <v>380</v>
      </c>
      <c r="B357" s="4" t="str">
        <f>VLOOKUP(A357,Sheet2!$A$2:$R$3432,2,0)</f>
        <v>2025-04-09 20:15:24</v>
      </c>
      <c r="C357" s="5" t="s">
        <v>25</v>
      </c>
      <c r="D357" s="6" t="s">
        <v>25</v>
      </c>
      <c r="E357" s="7">
        <f>VLOOKUP(A357,Sheet2!$A$2:$R$3432,4,0)</f>
        <v>7387043468</v>
      </c>
      <c r="F357" s="7" t="str">
        <f>VLOOKUP(A357,Sheet2!$A$2:$R$3432,3,0)</f>
        <v>Shivaji Mandekar</v>
      </c>
      <c r="G357" s="5" t="s">
        <v>25</v>
      </c>
      <c r="H357" s="5" t="s">
        <v>25</v>
      </c>
      <c r="I357" s="5" t="s">
        <v>25</v>
      </c>
      <c r="J357" s="5" t="s">
        <v>25</v>
      </c>
      <c r="K357" s="7" t="str">
        <f>VLOOKUP(A357,Sheet2!$A$2:$R$3432,6,0)</f>
        <v>Hero Splendor Pro</v>
      </c>
      <c r="L357" s="5" t="s">
        <v>25</v>
      </c>
      <c r="M357" s="7" t="str">
        <f>VLOOKUP(A357,Sheet2!$A$2:$R$3432,5,0)</f>
        <v>MH12RX5890</v>
      </c>
      <c r="N357" s="5" t="s">
        <v>25</v>
      </c>
      <c r="O357" s="5" t="s">
        <v>25</v>
      </c>
      <c r="P357" s="6" t="s">
        <v>25</v>
      </c>
      <c r="Q357" s="5" t="s">
        <v>25</v>
      </c>
      <c r="R357" s="5" t="s">
        <v>25</v>
      </c>
      <c r="S357" s="5" t="str">
        <f>VLOOKUP(A357,Sheet2!$A$2:$R$3432,18,0)</f>
        <v>HA10AGK5607302</v>
      </c>
      <c r="T357" s="7" t="str">
        <f>VLOOKUP(A357,Sheet2!$A$2:$R$3432,17,0)</f>
        <v>MBLHAW087KSC04375</v>
      </c>
    </row>
    <row r="358" ht="15.75" customHeight="1">
      <c r="A358" s="3" t="s">
        <v>381</v>
      </c>
      <c r="B358" s="4" t="str">
        <f>VLOOKUP(A358,Sheet2!$A$2:$R$3432,2,0)</f>
        <v>2025-04-09 20:19:20</v>
      </c>
      <c r="C358" s="5" t="s">
        <v>25</v>
      </c>
      <c r="D358" s="6" t="s">
        <v>25</v>
      </c>
      <c r="E358" s="7">
        <f>VLOOKUP(A358,Sheet2!$A$2:$R$3432,4,0)</f>
        <v>9823637750</v>
      </c>
      <c r="F358" s="7" t="str">
        <f>VLOOKUP(A358,Sheet2!$A$2:$R$3432,3,0)</f>
        <v>Avinash More</v>
      </c>
      <c r="G358" s="5" t="s">
        <v>25</v>
      </c>
      <c r="H358" s="5" t="s">
        <v>25</v>
      </c>
      <c r="I358" s="5" t="s">
        <v>25</v>
      </c>
      <c r="J358" s="5" t="s">
        <v>25</v>
      </c>
      <c r="K358" s="7" t="str">
        <f>VLOOKUP(A358,Sheet2!$A$2:$R$3432,6,0)</f>
        <v>Hero Xpulse 200</v>
      </c>
      <c r="L358" s="5" t="s">
        <v>25</v>
      </c>
      <c r="M358" s="7" t="str">
        <f>VLOOKUP(A358,Sheet2!$A$2:$R$3432,5,0)</f>
        <v>MH14HR8911</v>
      </c>
      <c r="N358" s="5" t="s">
        <v>25</v>
      </c>
      <c r="O358" s="5" t="s">
        <v>25</v>
      </c>
      <c r="P358" s="6" t="s">
        <v>25</v>
      </c>
      <c r="Q358" s="5" t="s">
        <v>25</v>
      </c>
      <c r="R358" s="5" t="s">
        <v>25</v>
      </c>
      <c r="S358" s="5" t="str">
        <f>VLOOKUP(A358,Sheet2!$A$2:$R$3432,18,0)</f>
        <v>MC204BKGE00392</v>
      </c>
      <c r="T358" s="7" t="str">
        <f>VLOOKUP(A358,Sheet2!$A$2:$R$3432,17,0)</f>
        <v>MBLDL026KGF00343</v>
      </c>
    </row>
    <row r="359" ht="15.75" customHeight="1">
      <c r="A359" s="3" t="s">
        <v>382</v>
      </c>
      <c r="B359" s="4" t="str">
        <f>VLOOKUP(A359,Sheet2!$A$2:$R$3432,2,0)</f>
        <v>2025-04-09 20:25:48</v>
      </c>
      <c r="C359" s="5" t="s">
        <v>25</v>
      </c>
      <c r="D359" s="6" t="s">
        <v>25</v>
      </c>
      <c r="E359" s="7">
        <f>VLOOKUP(A359,Sheet2!$A$2:$R$3432,4,0)</f>
        <v>9545049944</v>
      </c>
      <c r="F359" s="7" t="str">
        <f>VLOOKUP(A359,Sheet2!$A$2:$R$3432,3,0)</f>
        <v>PRASAD MUNDHE</v>
      </c>
      <c r="G359" s="5" t="s">
        <v>25</v>
      </c>
      <c r="H359" s="5" t="s">
        <v>25</v>
      </c>
      <c r="I359" s="5" t="s">
        <v>25</v>
      </c>
      <c r="J359" s="5" t="s">
        <v>25</v>
      </c>
      <c r="K359" s="7" t="str">
        <f>VLOOKUP(A359,Sheet2!$A$2:$R$3432,6,0)</f>
        <v>Royal Enfield ThunderBird 350X</v>
      </c>
      <c r="L359" s="5" t="s">
        <v>25</v>
      </c>
      <c r="M359" s="7" t="str">
        <f>VLOOKUP(A359,Sheet2!$A$2:$R$3432,5,0)</f>
        <v>MH12RG6148</v>
      </c>
      <c r="N359" s="5" t="s">
        <v>25</v>
      </c>
      <c r="O359" s="5" t="s">
        <v>25</v>
      </c>
      <c r="P359" s="6" t="s">
        <v>25</v>
      </c>
      <c r="Q359" s="5" t="s">
        <v>25</v>
      </c>
      <c r="R359" s="5" t="s">
        <v>25</v>
      </c>
      <c r="S359" s="5" t="str">
        <f>VLOOKUP(A359,Sheet2!$A$2:$R$3432,18,0)</f>
        <v>U355D1KA1745536</v>
      </c>
      <c r="T359" s="7" t="str">
        <f>VLOOKUP(A359,Sheet2!$A$2:$R$3432,17,0)</f>
        <v>ME3U355C1KA407230</v>
      </c>
    </row>
    <row r="360" ht="15.75" customHeight="1">
      <c r="A360" s="3" t="s">
        <v>383</v>
      </c>
      <c r="B360" s="4" t="str">
        <f>VLOOKUP(A360,Sheet2!$A$2:$R$3432,2,0)</f>
        <v>2025-04-09 20:24:03</v>
      </c>
      <c r="C360" s="5" t="s">
        <v>25</v>
      </c>
      <c r="D360" s="6" t="s">
        <v>25</v>
      </c>
      <c r="E360" s="7">
        <f>VLOOKUP(A360,Sheet2!$A$2:$R$3432,4,0)</f>
        <v>8999728219</v>
      </c>
      <c r="F360" s="7" t="str">
        <f>VLOOKUP(A360,Sheet2!$A$2:$R$3432,3,0)</f>
        <v>Shravan</v>
      </c>
      <c r="G360" s="5" t="s">
        <v>25</v>
      </c>
      <c r="H360" s="5" t="s">
        <v>25</v>
      </c>
      <c r="I360" s="5" t="s">
        <v>25</v>
      </c>
      <c r="J360" s="5" t="s">
        <v>25</v>
      </c>
      <c r="K360" s="7" t="str">
        <f>VLOOKUP(A360,Sheet2!$A$2:$R$3432,6,0)</f>
        <v>Yamaha FZ S</v>
      </c>
      <c r="L360" s="5" t="s">
        <v>25</v>
      </c>
      <c r="M360" s="7" t="str">
        <f>VLOOKUP(A360,Sheet2!$A$2:$R$3432,5,0)</f>
        <v>MH12MU3705</v>
      </c>
      <c r="N360" s="5" t="s">
        <v>25</v>
      </c>
      <c r="O360" s="5" t="s">
        <v>25</v>
      </c>
      <c r="P360" s="6" t="s">
        <v>25</v>
      </c>
      <c r="Q360" s="5" t="s">
        <v>25</v>
      </c>
      <c r="R360" s="5" t="s">
        <v>25</v>
      </c>
      <c r="S360" s="7" t="str">
        <f>VLOOKUP(A360,Sheet2!$A$2:$R$3432,18,0)</f>
        <v/>
      </c>
      <c r="T360" s="7" t="str">
        <f>VLOOKUP(A360,Sheet2!$A$2:$R$3432,17,0)</f>
        <v/>
      </c>
    </row>
    <row r="361" ht="15.75" customHeight="1">
      <c r="A361" s="3" t="s">
        <v>384</v>
      </c>
      <c r="B361" s="4" t="str">
        <f>VLOOKUP(A361,Sheet2!$A$2:$R$3432,2,0)</f>
        <v>2025-04-09 21:05:41</v>
      </c>
      <c r="C361" s="5" t="s">
        <v>25</v>
      </c>
      <c r="D361" s="6" t="s">
        <v>25</v>
      </c>
      <c r="E361" s="7">
        <f>VLOOKUP(A361,Sheet2!$A$2:$R$3432,4,0)</f>
        <v>9206484443</v>
      </c>
      <c r="F361" s="7" t="str">
        <f>VLOOKUP(A361,Sheet2!$A$2:$R$3432,3,0)</f>
        <v>Rohit Bhosale </v>
      </c>
      <c r="G361" s="5" t="s">
        <v>25</v>
      </c>
      <c r="H361" s="5" t="s">
        <v>25</v>
      </c>
      <c r="I361" s="5" t="s">
        <v>25</v>
      </c>
      <c r="J361" s="5" t="s">
        <v>25</v>
      </c>
      <c r="K361" s="7" t="str">
        <f>VLOOKUP(A361,Sheet2!$A$2:$R$3432,6,0)</f>
        <v>TVS Wego No Data</v>
      </c>
      <c r="L361" s="5" t="s">
        <v>25</v>
      </c>
      <c r="M361" s="7" t="str">
        <f>VLOOKUP(A361,Sheet2!$A$2:$R$3432,5,0)</f>
        <v>MH14DY7186</v>
      </c>
      <c r="N361" s="5" t="s">
        <v>25</v>
      </c>
      <c r="O361" s="5" t="s">
        <v>25</v>
      </c>
      <c r="P361" s="6" t="s">
        <v>25</v>
      </c>
      <c r="Q361" s="5" t="s">
        <v>25</v>
      </c>
      <c r="R361" s="5" t="s">
        <v>25</v>
      </c>
      <c r="S361" s="7" t="str">
        <f>VLOOKUP(A361,Sheet2!$A$2:$R$3432,18,0)</f>
        <v/>
      </c>
      <c r="T361" s="7" t="str">
        <f>VLOOKUP(A361,Sheet2!$A$2:$R$3432,17,0)</f>
        <v/>
      </c>
    </row>
    <row r="362" ht="15.75" customHeight="1">
      <c r="A362" s="3" t="s">
        <v>385</v>
      </c>
      <c r="B362" s="4" t="str">
        <f>VLOOKUP(A362,Sheet2!$A$2:$R$3432,2,0)</f>
        <v>2025-04-09 21:05:06</v>
      </c>
      <c r="C362" s="5" t="s">
        <v>25</v>
      </c>
      <c r="D362" s="6" t="s">
        <v>25</v>
      </c>
      <c r="E362" s="7">
        <f>VLOOKUP(A362,Sheet2!$A$2:$R$3432,4,0)</f>
        <v>9503140318</v>
      </c>
      <c r="F362" s="7" t="str">
        <f>VLOOKUP(A362,Sheet2!$A$2:$R$3432,3,0)</f>
        <v>Abhinandan</v>
      </c>
      <c r="G362" s="5" t="s">
        <v>25</v>
      </c>
      <c r="H362" s="5" t="s">
        <v>25</v>
      </c>
      <c r="I362" s="5" t="s">
        <v>25</v>
      </c>
      <c r="J362" s="5" t="s">
        <v>25</v>
      </c>
      <c r="K362" s="7" t="str">
        <f>VLOOKUP(A362,Sheet2!$A$2:$R$3432,6,0)</f>
        <v>Honda Hornet </v>
      </c>
      <c r="L362" s="5" t="s">
        <v>25</v>
      </c>
      <c r="M362" s="7" t="str">
        <f>VLOOKUP(A362,Sheet2!$A$2:$R$3432,5,0)</f>
        <v>MH09FH1641</v>
      </c>
      <c r="N362" s="5" t="s">
        <v>25</v>
      </c>
      <c r="O362" s="5" t="s">
        <v>25</v>
      </c>
      <c r="P362" s="6" t="s">
        <v>25</v>
      </c>
      <c r="Q362" s="5" t="s">
        <v>25</v>
      </c>
      <c r="R362" s="5" t="s">
        <v>25</v>
      </c>
      <c r="S362" s="7" t="str">
        <f>VLOOKUP(A362,Sheet2!$A$2:$R$3432,18,0)</f>
        <v/>
      </c>
      <c r="T362" s="7" t="str">
        <f>VLOOKUP(A362,Sheet2!$A$2:$R$3432,17,0)</f>
        <v/>
      </c>
    </row>
    <row r="363" ht="15.75" customHeight="1">
      <c r="A363" s="3" t="s">
        <v>386</v>
      </c>
      <c r="B363" s="4" t="str">
        <f>VLOOKUP(A363,Sheet2!$A$2:$R$3432,2,0)</f>
        <v>2024-12-13 20:13:28</v>
      </c>
      <c r="C363" s="5" t="s">
        <v>25</v>
      </c>
      <c r="D363" s="6" t="s">
        <v>25</v>
      </c>
      <c r="E363" s="7">
        <f>VLOOKUP(A363,Sheet2!$A$2:$R$3432,4,0)</f>
        <v>9730183583</v>
      </c>
      <c r="F363" s="7" t="str">
        <f>VLOOKUP(A363,Sheet2!$A$2:$R$3432,3,0)</f>
        <v>Chetan Khandare</v>
      </c>
      <c r="G363" s="5" t="s">
        <v>25</v>
      </c>
      <c r="H363" s="5" t="s">
        <v>25</v>
      </c>
      <c r="I363" s="5" t="s">
        <v>25</v>
      </c>
      <c r="J363" s="5" t="s">
        <v>25</v>
      </c>
      <c r="K363" s="7" t="str">
        <f>VLOOKUP(A363,Sheet2!$A$2:$R$3432,6,0)</f>
        <v>Suzuki Access 125</v>
      </c>
      <c r="L363" s="5" t="s">
        <v>25</v>
      </c>
      <c r="M363" s="7" t="str">
        <f>VLOOKUP(A363,Sheet2!$A$2:$R$3432,5,0)</f>
        <v>MH14GP6084</v>
      </c>
      <c r="N363" s="5" t="s">
        <v>25</v>
      </c>
      <c r="O363" s="5" t="s">
        <v>25</v>
      </c>
      <c r="P363" s="6" t="s">
        <v>25</v>
      </c>
      <c r="Q363" s="5" t="s">
        <v>25</v>
      </c>
      <c r="R363" s="5" t="s">
        <v>25</v>
      </c>
      <c r="S363" s="5" t="str">
        <f>VLOOKUP(A363,Sheet2!$A$2:$R$3432,18,0)</f>
        <v>AF211429832</v>
      </c>
      <c r="T363" s="7" t="str">
        <f>VLOOKUP(A363,Sheet2!$A$2:$R$3432,17,0)</f>
        <v>MB8DP11AJH8553051</v>
      </c>
    </row>
    <row r="364" ht="15.75" customHeight="1">
      <c r="A364" s="3" t="s">
        <v>387</v>
      </c>
      <c r="B364" s="4" t="str">
        <f>VLOOKUP(A364,Sheet2!$A$2:$R$3432,2,0)</f>
        <v>2024-12-13 20:13:45</v>
      </c>
      <c r="C364" s="5" t="s">
        <v>25</v>
      </c>
      <c r="D364" s="6" t="s">
        <v>25</v>
      </c>
      <c r="E364" s="7">
        <f>VLOOKUP(A364,Sheet2!$A$2:$R$3432,4,0)</f>
        <v>9028167587</v>
      </c>
      <c r="F364" s="7" t="str">
        <f>VLOOKUP(A364,Sheet2!$A$2:$R$3432,3,0)</f>
        <v>VINAY SHARDUL </v>
      </c>
      <c r="G364" s="5" t="s">
        <v>25</v>
      </c>
      <c r="H364" s="5" t="s">
        <v>25</v>
      </c>
      <c r="I364" s="5" t="s">
        <v>25</v>
      </c>
      <c r="J364" s="5" t="s">
        <v>25</v>
      </c>
      <c r="K364" s="7" t="str">
        <f>VLOOKUP(A364,Sheet2!$A$2:$R$3432,6,0)</f>
        <v>Honda Grazia </v>
      </c>
      <c r="L364" s="5" t="s">
        <v>25</v>
      </c>
      <c r="M364" s="7" t="str">
        <f>VLOOKUP(A364,Sheet2!$A$2:$R$3432,5,0)</f>
        <v>MH15HR3174</v>
      </c>
      <c r="N364" s="5" t="s">
        <v>25</v>
      </c>
      <c r="O364" s="5" t="s">
        <v>25</v>
      </c>
      <c r="P364" s="6" t="s">
        <v>25</v>
      </c>
      <c r="Q364" s="5" t="s">
        <v>25</v>
      </c>
      <c r="R364" s="5" t="s">
        <v>25</v>
      </c>
      <c r="S364" s="5" t="str">
        <f>VLOOKUP(A364,Sheet2!$A$2:$R$3432,18,0)</f>
        <v>JF99EW0073436</v>
      </c>
      <c r="T364" s="7" t="str">
        <f>VLOOKUP(A364,Sheet2!$A$2:$R$3432,17,0)</f>
        <v>ME4JF994CMW008582</v>
      </c>
    </row>
    <row r="365" ht="15.75" customHeight="1">
      <c r="A365" s="3" t="s">
        <v>388</v>
      </c>
      <c r="B365" s="4" t="str">
        <f>VLOOKUP(A365,Sheet2!$A$2:$R$3432,2,0)</f>
        <v>2024-12-13 20:02:58</v>
      </c>
      <c r="C365" s="5" t="s">
        <v>25</v>
      </c>
      <c r="D365" s="6" t="s">
        <v>25</v>
      </c>
      <c r="E365" s="7">
        <f>VLOOKUP(A365,Sheet2!$A$2:$R$3432,4,0)</f>
        <v>8806018513</v>
      </c>
      <c r="F365" s="7" t="str">
        <f>VLOOKUP(A365,Sheet2!$A$2:$R$3432,3,0)</f>
        <v>Gaurav Pawar</v>
      </c>
      <c r="G365" s="5" t="s">
        <v>25</v>
      </c>
      <c r="H365" s="5" t="s">
        <v>25</v>
      </c>
      <c r="I365" s="5" t="s">
        <v>25</v>
      </c>
      <c r="J365" s="5" t="s">
        <v>25</v>
      </c>
      <c r="K365" s="7" t="str">
        <f>VLOOKUP(A365,Sheet2!$A$2:$R$3432,6,0)</f>
        <v>TVS Jupiter </v>
      </c>
      <c r="L365" s="5" t="s">
        <v>25</v>
      </c>
      <c r="M365" s="7" t="str">
        <f>VLOOKUP(A365,Sheet2!$A$2:$R$3432,5,0)</f>
        <v>MH19DG1273</v>
      </c>
      <c r="N365" s="5" t="s">
        <v>25</v>
      </c>
      <c r="O365" s="5" t="s">
        <v>25</v>
      </c>
      <c r="P365" s="6" t="s">
        <v>25</v>
      </c>
      <c r="Q365" s="5" t="s">
        <v>25</v>
      </c>
      <c r="R365" s="5" t="s">
        <v>25</v>
      </c>
      <c r="S365" s="5" t="str">
        <f>VLOOKUP(A365,Sheet2!$A$2:$R$3432,18,0)</f>
        <v>63382</v>
      </c>
      <c r="T365" s="7" t="str">
        <f>VLOOKUP(A365,Sheet2!$A$2:$R$3432,17,0)</f>
        <v>12835</v>
      </c>
    </row>
    <row r="366" ht="15.75" customHeight="1">
      <c r="A366" s="3" t="s">
        <v>389</v>
      </c>
      <c r="B366" s="4" t="str">
        <f>VLOOKUP(A366,Sheet2!$A$2:$R$3432,2,0)</f>
        <v>2024-12-13 19:58:42</v>
      </c>
      <c r="C366" s="5" t="s">
        <v>25</v>
      </c>
      <c r="D366" s="6" t="s">
        <v>25</v>
      </c>
      <c r="E366" s="7">
        <f>VLOOKUP(A366,Sheet2!$A$2:$R$3432,4,0)</f>
        <v>8698122475</v>
      </c>
      <c r="F366" s="7" t="str">
        <f>VLOOKUP(A366,Sheet2!$A$2:$R$3432,3,0)</f>
        <v>VAIBHAV </v>
      </c>
      <c r="G366" s="5" t="s">
        <v>25</v>
      </c>
      <c r="H366" s="5" t="s">
        <v>25</v>
      </c>
      <c r="I366" s="5" t="s">
        <v>25</v>
      </c>
      <c r="J366" s="5" t="s">
        <v>25</v>
      </c>
      <c r="K366" s="7" t="str">
        <f>VLOOKUP(A366,Sheet2!$A$2:$R$3432,6,0)</f>
        <v>Honda Activa 4G</v>
      </c>
      <c r="L366" s="5" t="s">
        <v>25</v>
      </c>
      <c r="M366" s="7" t="str">
        <f>VLOOKUP(A366,Sheet2!$A$2:$R$3432,5,0)</f>
        <v>MH12PK5003</v>
      </c>
      <c r="N366" s="5" t="s">
        <v>25</v>
      </c>
      <c r="O366" s="5" t="s">
        <v>25</v>
      </c>
      <c r="P366" s="6" t="s">
        <v>25</v>
      </c>
      <c r="Q366" s="5" t="s">
        <v>25</v>
      </c>
      <c r="R366" s="5" t="s">
        <v>25</v>
      </c>
      <c r="S366" s="7" t="str">
        <f>VLOOKUP(A366,Sheet2!$A$2:$R$3432,18,0)</f>
        <v/>
      </c>
      <c r="T366" s="7" t="str">
        <f>VLOOKUP(A366,Sheet2!$A$2:$R$3432,17,0)</f>
        <v/>
      </c>
    </row>
    <row r="367" ht="15.75" customHeight="1">
      <c r="A367" s="3" t="s">
        <v>390</v>
      </c>
      <c r="B367" s="4" t="str">
        <f>VLOOKUP(A367,Sheet2!$A$2:$R$3432,2,0)</f>
        <v>2024-12-13 20:09:17</v>
      </c>
      <c r="C367" s="5" t="s">
        <v>25</v>
      </c>
      <c r="D367" s="6" t="s">
        <v>25</v>
      </c>
      <c r="E367" s="7">
        <f>VLOOKUP(A367,Sheet2!$A$2:$R$3432,4,0)</f>
        <v>9584071888</v>
      </c>
      <c r="F367" s="7" t="str">
        <f>VLOOKUP(A367,Sheet2!$A$2:$R$3432,3,0)</f>
        <v>Sanket</v>
      </c>
      <c r="G367" s="5" t="s">
        <v>25</v>
      </c>
      <c r="H367" s="5" t="s">
        <v>25</v>
      </c>
      <c r="I367" s="5" t="s">
        <v>25</v>
      </c>
      <c r="J367" s="5" t="s">
        <v>25</v>
      </c>
      <c r="K367" s="7" t="str">
        <f>VLOOKUP(A367,Sheet2!$A$2:$R$3432,6,0)</f>
        <v>Suzuki Gixxer </v>
      </c>
      <c r="L367" s="5" t="s">
        <v>25</v>
      </c>
      <c r="M367" s="7" t="str">
        <f>VLOOKUP(A367,Sheet2!$A$2:$R$3432,5,0)</f>
        <v>MH12NC3666</v>
      </c>
      <c r="N367" s="5" t="s">
        <v>25</v>
      </c>
      <c r="O367" s="5" t="s">
        <v>25</v>
      </c>
      <c r="P367" s="6" t="s">
        <v>25</v>
      </c>
      <c r="Q367" s="5" t="s">
        <v>25</v>
      </c>
      <c r="R367" s="5" t="s">
        <v>25</v>
      </c>
      <c r="S367" s="5" t="str">
        <f>VLOOKUP(A367,Sheet2!$A$2:$R$3432,18,0)</f>
        <v>BGA1268050</v>
      </c>
      <c r="T367" s="7" t="str">
        <f>VLOOKUP(A367,Sheet2!$A$2:$R$3432,17,0)</f>
        <v>MB8n64bacg8228874</v>
      </c>
    </row>
    <row r="368" ht="15.75" customHeight="1">
      <c r="A368" s="3" t="s">
        <v>391</v>
      </c>
      <c r="B368" s="4" t="str">
        <f>VLOOKUP(A368,Sheet2!$A$2:$R$3432,2,0)</f>
        <v>2024-12-13 20:12:39</v>
      </c>
      <c r="C368" s="5" t="s">
        <v>25</v>
      </c>
      <c r="D368" s="6" t="s">
        <v>25</v>
      </c>
      <c r="E368" s="7">
        <f>VLOOKUP(A368,Sheet2!$A$2:$R$3432,4,0)</f>
        <v>7058552746</v>
      </c>
      <c r="F368" s="7" t="str">
        <f>VLOOKUP(A368,Sheet2!$A$2:$R$3432,3,0)</f>
        <v>Mansi</v>
      </c>
      <c r="G368" s="5" t="s">
        <v>25</v>
      </c>
      <c r="H368" s="5" t="s">
        <v>25</v>
      </c>
      <c r="I368" s="5" t="s">
        <v>25</v>
      </c>
      <c r="J368" s="5" t="s">
        <v>25</v>
      </c>
      <c r="K368" s="7" t="str">
        <f>VLOOKUP(A368,Sheet2!$A$2:$R$3432,6,0)</f>
        <v>Honda Activa 3G</v>
      </c>
      <c r="L368" s="5" t="s">
        <v>25</v>
      </c>
      <c r="M368" s="7" t="str">
        <f>VLOOKUP(A368,Sheet2!$A$2:$R$3432,5,0)</f>
        <v>MH34AW0805</v>
      </c>
      <c r="N368" s="5" t="s">
        <v>25</v>
      </c>
      <c r="O368" s="5" t="s">
        <v>25</v>
      </c>
      <c r="P368" s="6" t="s">
        <v>25</v>
      </c>
      <c r="Q368" s="5" t="s">
        <v>25</v>
      </c>
      <c r="R368" s="5" t="s">
        <v>25</v>
      </c>
      <c r="S368" s="5" t="str">
        <f>VLOOKUP(A368,Sheet2!$A$2:$R$3432,18,0)</f>
        <v>JF50E-T-2453033</v>
      </c>
      <c r="T368" s="7" t="str">
        <f>VLOOKUP(A368,Sheet2!$A$2:$R$3432,17,0)</f>
        <v>ME4JF504FFT451976</v>
      </c>
    </row>
    <row r="369" ht="15.75" customHeight="1">
      <c r="A369" s="3" t="s">
        <v>392</v>
      </c>
      <c r="B369" s="4" t="str">
        <f>VLOOKUP(A369,Sheet2!$A$2:$R$3432,2,0)</f>
        <v>2024-12-13 20:14:57</v>
      </c>
      <c r="C369" s="5" t="s">
        <v>25</v>
      </c>
      <c r="D369" s="6" t="s">
        <v>25</v>
      </c>
      <c r="E369" s="7">
        <f>VLOOKUP(A369,Sheet2!$A$2:$R$3432,4,0)</f>
        <v>9860306437</v>
      </c>
      <c r="F369" s="7" t="str">
        <f>VLOOKUP(A369,Sheet2!$A$2:$R$3432,3,0)</f>
        <v>Sushant Bhosle</v>
      </c>
      <c r="G369" s="5" t="s">
        <v>25</v>
      </c>
      <c r="H369" s="5" t="s">
        <v>25</v>
      </c>
      <c r="I369" s="5" t="s">
        <v>25</v>
      </c>
      <c r="J369" s="5" t="s">
        <v>25</v>
      </c>
      <c r="K369" s="7" t="str">
        <f>VLOOKUP(A369,Sheet2!$A$2:$R$3432,6,0)</f>
        <v>Honda Hornet </v>
      </c>
      <c r="L369" s="5" t="s">
        <v>25</v>
      </c>
      <c r="M369" s="7" t="str">
        <f>VLOOKUP(A369,Sheet2!$A$2:$R$3432,5,0)</f>
        <v>MH27BN4730</v>
      </c>
      <c r="N369" s="5" t="s">
        <v>25</v>
      </c>
      <c r="O369" s="5" t="s">
        <v>25</v>
      </c>
      <c r="P369" s="6" t="s">
        <v>25</v>
      </c>
      <c r="Q369" s="5" t="s">
        <v>25</v>
      </c>
      <c r="R369" s="5" t="s">
        <v>25</v>
      </c>
      <c r="S369" s="7" t="str">
        <f>VLOOKUP(A369,Sheet2!$A$2:$R$3432,18,0)</f>
        <v/>
      </c>
      <c r="T369" s="7" t="str">
        <f>VLOOKUP(A369,Sheet2!$A$2:$R$3432,17,0)</f>
        <v/>
      </c>
    </row>
    <row r="370" ht="15.75" customHeight="1">
      <c r="A370" s="3" t="s">
        <v>393</v>
      </c>
      <c r="B370" s="4" t="str">
        <f>VLOOKUP(A370,Sheet2!$A$2:$R$3432,2,0)</f>
        <v>2024-12-13 19:56:54</v>
      </c>
      <c r="C370" s="5" t="s">
        <v>25</v>
      </c>
      <c r="D370" s="6" t="s">
        <v>25</v>
      </c>
      <c r="E370" s="7">
        <f>VLOOKUP(A370,Sheet2!$A$2:$R$3432,4,0)</f>
        <v>9975060984</v>
      </c>
      <c r="F370" s="7" t="str">
        <f>VLOOKUP(A370,Sheet2!$A$2:$R$3432,3,0)</f>
        <v>UTKARSH</v>
      </c>
      <c r="G370" s="5" t="s">
        <v>25</v>
      </c>
      <c r="H370" s="5" t="s">
        <v>25</v>
      </c>
      <c r="I370" s="5" t="s">
        <v>25</v>
      </c>
      <c r="J370" s="5" t="s">
        <v>25</v>
      </c>
      <c r="K370" s="7" t="str">
        <f>VLOOKUP(A370,Sheet2!$A$2:$R$3432,6,0)</f>
        <v>TVS Jupiter No Data</v>
      </c>
      <c r="L370" s="5" t="s">
        <v>25</v>
      </c>
      <c r="M370" s="7" t="str">
        <f>VLOOKUP(A370,Sheet2!$A$2:$R$3432,5,0)</f>
        <v>MH24BC7909</v>
      </c>
      <c r="N370" s="5" t="s">
        <v>25</v>
      </c>
      <c r="O370" s="5" t="s">
        <v>25</v>
      </c>
      <c r="P370" s="6" t="s">
        <v>25</v>
      </c>
      <c r="Q370" s="5" t="s">
        <v>25</v>
      </c>
      <c r="R370" s="5" t="s">
        <v>25</v>
      </c>
      <c r="S370" s="5" t="str">
        <f>VLOOKUP(A370,Sheet2!$A$2:$R$3432,18,0)</f>
        <v>EG411J1648086</v>
      </c>
      <c r="T370" s="7" t="str">
        <f>VLOOKUP(A370,Sheet2!$A$2:$R$3432,17,0)</f>
        <v>MD626EG451P00545</v>
      </c>
    </row>
    <row r="371" ht="15.75" customHeight="1">
      <c r="A371" s="3" t="s">
        <v>394</v>
      </c>
      <c r="B371" s="4" t="str">
        <f>VLOOKUP(A371,Sheet2!$A$2:$R$3432,2,0)</f>
        <v>2024-12-13 19:57:23</v>
      </c>
      <c r="C371" s="5" t="s">
        <v>25</v>
      </c>
      <c r="D371" s="6" t="s">
        <v>25</v>
      </c>
      <c r="E371" s="7">
        <f>VLOOKUP(A371,Sheet2!$A$2:$R$3432,4,0)</f>
        <v>9764004230</v>
      </c>
      <c r="F371" s="7" t="str">
        <f>VLOOKUP(A371,Sheet2!$A$2:$R$3432,3,0)</f>
        <v>Tushar Gade</v>
      </c>
      <c r="G371" s="5" t="s">
        <v>25</v>
      </c>
      <c r="H371" s="5" t="s">
        <v>25</v>
      </c>
      <c r="I371" s="5" t="s">
        <v>25</v>
      </c>
      <c r="J371" s="5" t="s">
        <v>25</v>
      </c>
      <c r="K371" s="7" t="str">
        <f>VLOOKUP(A371,Sheet2!$A$2:$R$3432,6,0)</f>
        <v>Honda Activa 110</v>
      </c>
      <c r="L371" s="5" t="s">
        <v>25</v>
      </c>
      <c r="M371" s="7" t="str">
        <f>VLOOKUP(A371,Sheet2!$A$2:$R$3432,5,0)</f>
        <v>MH14DQ3464</v>
      </c>
      <c r="N371" s="5" t="s">
        <v>25</v>
      </c>
      <c r="O371" s="5" t="s">
        <v>25</v>
      </c>
      <c r="P371" s="6" t="s">
        <v>25</v>
      </c>
      <c r="Q371" s="5" t="s">
        <v>25</v>
      </c>
      <c r="R371" s="5" t="s">
        <v>25</v>
      </c>
      <c r="S371" s="5" t="str">
        <f>VLOOKUP(A371,Sheet2!$A$2:$R$3432,18,0)</f>
        <v>JC44E5533375</v>
      </c>
      <c r="T371" s="7" t="str">
        <f>VLOOKUP(A371,Sheet2!$A$2:$R$3432,17,0)</f>
        <v>ME4JC448HC7533351</v>
      </c>
    </row>
    <row r="372" ht="15.75" customHeight="1">
      <c r="A372" s="3" t="s">
        <v>395</v>
      </c>
      <c r="B372" s="4" t="str">
        <f>VLOOKUP(A372,Sheet2!$A$2:$R$3432,2,0)</f>
        <v>2024-12-13 19:57:53</v>
      </c>
      <c r="C372" s="5" t="s">
        <v>25</v>
      </c>
      <c r="D372" s="6" t="s">
        <v>25</v>
      </c>
      <c r="E372" s="7">
        <f>VLOOKUP(A372,Sheet2!$A$2:$R$3432,4,0)</f>
        <v>8788758255</v>
      </c>
      <c r="F372" s="7" t="str">
        <f>VLOOKUP(A372,Sheet2!$A$2:$R$3432,3,0)</f>
        <v>SANJAY BANDRE</v>
      </c>
      <c r="G372" s="5" t="s">
        <v>25</v>
      </c>
      <c r="H372" s="5" t="s">
        <v>25</v>
      </c>
      <c r="I372" s="5" t="s">
        <v>25</v>
      </c>
      <c r="J372" s="5" t="s">
        <v>25</v>
      </c>
      <c r="K372" s="7" t="str">
        <f>VLOOKUP(A372,Sheet2!$A$2:$R$3432,6,0)</f>
        <v>Honda Grazia </v>
      </c>
      <c r="L372" s="5" t="s">
        <v>25</v>
      </c>
      <c r="M372" s="7" t="str">
        <f>VLOOKUP(A372,Sheet2!$A$2:$R$3432,5,0)</f>
        <v>MH14GX9183</v>
      </c>
      <c r="N372" s="5" t="s">
        <v>25</v>
      </c>
      <c r="O372" s="5" t="s">
        <v>25</v>
      </c>
      <c r="P372" s="6" t="s">
        <v>25</v>
      </c>
      <c r="Q372" s="5" t="s">
        <v>25</v>
      </c>
      <c r="R372" s="5" t="s">
        <v>25</v>
      </c>
      <c r="S372" s="7" t="str">
        <f>VLOOKUP(A372,Sheet2!$A$2:$R$3432,18,0)</f>
        <v/>
      </c>
      <c r="T372" s="7" t="str">
        <f>VLOOKUP(A372,Sheet2!$A$2:$R$3432,17,0)</f>
        <v/>
      </c>
    </row>
    <row r="373" ht="15.75" customHeight="1">
      <c r="A373" s="3" t="s">
        <v>396</v>
      </c>
      <c r="B373" s="4" t="str">
        <f>VLOOKUP(A373,Sheet2!$A$2:$R$3432,2,0)</f>
        <v>2024-12-13 20:01:18</v>
      </c>
      <c r="C373" s="5" t="s">
        <v>25</v>
      </c>
      <c r="D373" s="6" t="s">
        <v>25</v>
      </c>
      <c r="E373" s="7">
        <f>VLOOKUP(A373,Sheet2!$A$2:$R$3432,4,0)</f>
        <v>7666969084</v>
      </c>
      <c r="F373" s="7" t="str">
        <f>VLOOKUP(A373,Sheet2!$A$2:$R$3432,3,0)</f>
        <v>Sanghamitra Bhonde</v>
      </c>
      <c r="G373" s="5" t="s">
        <v>25</v>
      </c>
      <c r="H373" s="5" t="s">
        <v>25</v>
      </c>
      <c r="I373" s="5" t="s">
        <v>25</v>
      </c>
      <c r="J373" s="5" t="s">
        <v>25</v>
      </c>
      <c r="K373" s="7" t="str">
        <f>VLOOKUP(A373,Sheet2!$A$2:$R$3432,6,0)</f>
        <v>Honda Activa 4G</v>
      </c>
      <c r="L373" s="5" t="s">
        <v>25</v>
      </c>
      <c r="M373" s="7" t="str">
        <f>VLOOKUP(A373,Sheet2!$A$2:$R$3432,5,0)</f>
        <v>MH12QD1081</v>
      </c>
      <c r="N373" s="5" t="s">
        <v>25</v>
      </c>
      <c r="O373" s="5" t="s">
        <v>25</v>
      </c>
      <c r="P373" s="6" t="s">
        <v>25</v>
      </c>
      <c r="Q373" s="5" t="s">
        <v>25</v>
      </c>
      <c r="R373" s="5" t="s">
        <v>25</v>
      </c>
      <c r="S373" s="7" t="str">
        <f>VLOOKUP(A373,Sheet2!$A$2:$R$3432,18,0)</f>
        <v/>
      </c>
      <c r="T373" s="7" t="str">
        <f>VLOOKUP(A373,Sheet2!$A$2:$R$3432,17,0)</f>
        <v/>
      </c>
    </row>
    <row r="374" ht="15.75" customHeight="1">
      <c r="A374" s="3" t="s">
        <v>397</v>
      </c>
      <c r="B374" s="4" t="str">
        <f>VLOOKUP(A374,Sheet2!$A$2:$R$3432,2,0)</f>
        <v>2024-12-13 20:02:08</v>
      </c>
      <c r="C374" s="5" t="s">
        <v>25</v>
      </c>
      <c r="D374" s="6" t="s">
        <v>25</v>
      </c>
      <c r="E374" s="7">
        <f>VLOOKUP(A374,Sheet2!$A$2:$R$3432,4,0)</f>
        <v>7820938456</v>
      </c>
      <c r="F374" s="7" t="str">
        <f>VLOOKUP(A374,Sheet2!$A$2:$R$3432,3,0)</f>
        <v>SWAPNIL GIRAMKAR</v>
      </c>
      <c r="G374" s="5" t="s">
        <v>25</v>
      </c>
      <c r="H374" s="5" t="s">
        <v>25</v>
      </c>
      <c r="I374" s="5" t="s">
        <v>25</v>
      </c>
      <c r="J374" s="5" t="s">
        <v>25</v>
      </c>
      <c r="K374" s="7" t="str">
        <f>VLOOKUP(A374,Sheet2!$A$2:$R$3432,6,0)</f>
        <v>Hero Pleasure </v>
      </c>
      <c r="L374" s="5" t="s">
        <v>25</v>
      </c>
      <c r="M374" s="7" t="str">
        <f>VLOOKUP(A374,Sheet2!$A$2:$R$3432,5,0)</f>
        <v>MH16AU9506</v>
      </c>
      <c r="N374" s="5" t="s">
        <v>25</v>
      </c>
      <c r="O374" s="5" t="s">
        <v>25</v>
      </c>
      <c r="P374" s="6" t="s">
        <v>25</v>
      </c>
      <c r="Q374" s="5" t="s">
        <v>25</v>
      </c>
      <c r="R374" s="5" t="s">
        <v>25</v>
      </c>
      <c r="S374" s="5" t="str">
        <f>VLOOKUP(A374,Sheet2!$A$2:$R$3432,18,0)</f>
        <v>JF16EBBG126893</v>
      </c>
      <c r="T374" s="7" t="str">
        <f>VLOOKUP(A374,Sheet2!$A$2:$R$3432,17,0)</f>
        <v>MBLTF16EDBGM27106</v>
      </c>
    </row>
    <row r="375" ht="15.75" customHeight="1">
      <c r="A375" s="3" t="s">
        <v>398</v>
      </c>
      <c r="B375" s="4" t="str">
        <f>VLOOKUP(A375,Sheet2!$A$2:$R$3432,2,0)</f>
        <v>2024-12-13 20:11:15</v>
      </c>
      <c r="C375" s="5" t="s">
        <v>25</v>
      </c>
      <c r="D375" s="6" t="s">
        <v>25</v>
      </c>
      <c r="E375" s="7">
        <f>VLOOKUP(A375,Sheet2!$A$2:$R$3432,4,0)</f>
        <v>8793125659</v>
      </c>
      <c r="F375" s="7" t="str">
        <f>VLOOKUP(A375,Sheet2!$A$2:$R$3432,3,0)</f>
        <v>AKBAL KHAN</v>
      </c>
      <c r="G375" s="5" t="s">
        <v>25</v>
      </c>
      <c r="H375" s="5" t="s">
        <v>25</v>
      </c>
      <c r="I375" s="5" t="s">
        <v>25</v>
      </c>
      <c r="J375" s="5" t="s">
        <v>25</v>
      </c>
      <c r="K375" s="7" t="str">
        <f>VLOOKUP(A375,Sheet2!$A$2:$R$3432,6,0)</f>
        <v>TVS Ntorq 125</v>
      </c>
      <c r="L375" s="5" t="s">
        <v>25</v>
      </c>
      <c r="M375" s="7" t="str">
        <f>VLOOKUP(A375,Sheet2!$A$2:$R$3432,5,0)</f>
        <v>MH14HA8358</v>
      </c>
      <c r="N375" s="5" t="s">
        <v>25</v>
      </c>
      <c r="O375" s="5" t="s">
        <v>25</v>
      </c>
      <c r="P375" s="6" t="s">
        <v>25</v>
      </c>
      <c r="Q375" s="5" t="s">
        <v>25</v>
      </c>
      <c r="R375" s="5" t="s">
        <v>25</v>
      </c>
      <c r="S375" s="5" t="str">
        <f>VLOOKUP(A375,Sheet2!$A$2:$R$3432,18,0)</f>
        <v>A67E1211010</v>
      </c>
      <c r="T375" s="7" t="str">
        <f>VLOOKUP(A375,Sheet2!$A$2:$R$3432,17,0)</f>
        <v>MD626AG7952E36766</v>
      </c>
    </row>
    <row r="376" ht="15.75" customHeight="1">
      <c r="A376" s="3" t="s">
        <v>399</v>
      </c>
      <c r="B376" s="4" t="str">
        <f>VLOOKUP(A376,Sheet2!$A$2:$R$3432,2,0)</f>
        <v>2024-12-13 20:48:08</v>
      </c>
      <c r="C376" s="5" t="s">
        <v>25</v>
      </c>
      <c r="D376" s="6" t="s">
        <v>25</v>
      </c>
      <c r="E376" s="7">
        <f>VLOOKUP(A376,Sheet2!$A$2:$R$3432,4,0)</f>
        <v>9326075507</v>
      </c>
      <c r="F376" s="7" t="str">
        <f>VLOOKUP(A376,Sheet2!$A$2:$R$3432,3,0)</f>
        <v>Saurabh Shende</v>
      </c>
      <c r="G376" s="5" t="s">
        <v>25</v>
      </c>
      <c r="H376" s="5" t="s">
        <v>25</v>
      </c>
      <c r="I376" s="5" t="s">
        <v>25</v>
      </c>
      <c r="J376" s="5" t="s">
        <v>25</v>
      </c>
      <c r="K376" s="7" t="str">
        <f>VLOOKUP(A376,Sheet2!$A$2:$R$3432,6,0)</f>
        <v>Bajaj Pulsar 220F</v>
      </c>
      <c r="L376" s="5" t="s">
        <v>25</v>
      </c>
      <c r="M376" s="7" t="str">
        <f>VLOOKUP(A376,Sheet2!$A$2:$R$3432,5,0)</f>
        <v>MH12HM7770</v>
      </c>
      <c r="N376" s="5" t="s">
        <v>25</v>
      </c>
      <c r="O376" s="5" t="s">
        <v>25</v>
      </c>
      <c r="P376" s="6" t="s">
        <v>25</v>
      </c>
      <c r="Q376" s="5" t="s">
        <v>25</v>
      </c>
      <c r="R376" s="5" t="s">
        <v>25</v>
      </c>
      <c r="S376" s="7" t="str">
        <f>VLOOKUP(A376,Sheet2!$A$2:$R$3432,18,0)</f>
        <v/>
      </c>
      <c r="T376" s="7" t="str">
        <f>VLOOKUP(A376,Sheet2!$A$2:$R$3432,17,0)</f>
        <v>MD2DH0KZZUCE40890</v>
      </c>
    </row>
    <row r="377" ht="15.75" customHeight="1">
      <c r="A377" s="3" t="s">
        <v>400</v>
      </c>
      <c r="B377" s="4" t="str">
        <f>VLOOKUP(A377,Sheet2!$A$2:$R$3432,2,0)</f>
        <v>2024-12-27 09:45:00</v>
      </c>
      <c r="C377" s="5" t="s">
        <v>25</v>
      </c>
      <c r="D377" s="6" t="s">
        <v>25</v>
      </c>
      <c r="E377" s="7">
        <f>VLOOKUP(A377,Sheet2!$A$2:$R$3432,4,0)</f>
        <v>9404728946</v>
      </c>
      <c r="F377" s="7" t="str">
        <f>VLOOKUP(A377,Sheet2!$A$2:$R$3432,3,0)</f>
        <v>Mihir Pimparkar</v>
      </c>
      <c r="G377" s="5" t="s">
        <v>25</v>
      </c>
      <c r="H377" s="5" t="s">
        <v>25</v>
      </c>
      <c r="I377" s="5" t="s">
        <v>25</v>
      </c>
      <c r="J377" s="5" t="s">
        <v>25</v>
      </c>
      <c r="K377" s="7" t="str">
        <f>VLOOKUP(A377,Sheet2!$A$2:$R$3432,6,0)</f>
        <v>Honda Shine </v>
      </c>
      <c r="L377" s="5" t="s">
        <v>25</v>
      </c>
      <c r="M377" s="7" t="str">
        <f>VLOOKUP(A377,Sheet2!$A$2:$R$3432,5,0)</f>
        <v>MH31CU9232</v>
      </c>
      <c r="N377" s="5" t="s">
        <v>25</v>
      </c>
      <c r="O377" s="5" t="s">
        <v>25</v>
      </c>
      <c r="P377" s="6" t="s">
        <v>25</v>
      </c>
      <c r="Q377" s="5" t="s">
        <v>25</v>
      </c>
      <c r="R377" s="5" t="s">
        <v>25</v>
      </c>
      <c r="S377" s="7" t="str">
        <f>VLOOKUP(A377,Sheet2!$A$2:$R$3432,18,0)</f>
        <v/>
      </c>
      <c r="T377" s="7" t="str">
        <f>VLOOKUP(A377,Sheet2!$A$2:$R$3432,17,0)</f>
        <v/>
      </c>
    </row>
    <row r="378" ht="15.75" customHeight="1">
      <c r="A378" s="3" t="s">
        <v>401</v>
      </c>
      <c r="B378" s="4" t="str">
        <f>VLOOKUP(A378,Sheet2!$A$2:$R$3432,2,0)</f>
        <v>2024-12-27 09:49:16</v>
      </c>
      <c r="C378" s="5" t="s">
        <v>25</v>
      </c>
      <c r="D378" s="6" t="s">
        <v>25</v>
      </c>
      <c r="E378" s="7">
        <f>VLOOKUP(A378,Sheet2!$A$2:$R$3432,4,0)</f>
        <v>8055405552</v>
      </c>
      <c r="F378" s="7" t="str">
        <f>VLOOKUP(A378,Sheet2!$A$2:$R$3432,3,0)</f>
        <v>Nitesh Patel</v>
      </c>
      <c r="G378" s="5" t="s">
        <v>25</v>
      </c>
      <c r="H378" s="5" t="s">
        <v>25</v>
      </c>
      <c r="I378" s="5" t="s">
        <v>25</v>
      </c>
      <c r="J378" s="5" t="s">
        <v>25</v>
      </c>
      <c r="K378" s="7" t="str">
        <f>VLOOKUP(A378,Sheet2!$A$2:$R$3432,6,0)</f>
        <v>Honda Activa 3G</v>
      </c>
      <c r="L378" s="5" t="s">
        <v>25</v>
      </c>
      <c r="M378" s="7" t="str">
        <f>VLOOKUP(A378,Sheet2!$A$2:$R$3432,5,0)</f>
        <v>MH09EE2043</v>
      </c>
      <c r="N378" s="5" t="s">
        <v>25</v>
      </c>
      <c r="O378" s="5" t="s">
        <v>25</v>
      </c>
      <c r="P378" s="6" t="s">
        <v>25</v>
      </c>
      <c r="Q378" s="5" t="s">
        <v>25</v>
      </c>
      <c r="R378" s="5" t="s">
        <v>25</v>
      </c>
      <c r="S378" s="5" t="str">
        <f>VLOOKUP(A378,Sheet2!$A$2:$R$3432,18,0)</f>
        <v>JF50E73212070</v>
      </c>
      <c r="T378" s="7" t="str">
        <f>VLOOKUP(A378,Sheet2!$A$2:$R$3432,17,0)</f>
        <v>ME4JF505GG7212959</v>
      </c>
    </row>
    <row r="379" ht="15.75" customHeight="1">
      <c r="A379" s="3" t="s">
        <v>402</v>
      </c>
      <c r="B379" s="4" t="str">
        <f>VLOOKUP(A379,Sheet2!$A$2:$R$3432,2,0)</f>
        <v>2024-12-27 09:48:49</v>
      </c>
      <c r="C379" s="5" t="s">
        <v>25</v>
      </c>
      <c r="D379" s="6" t="s">
        <v>25</v>
      </c>
      <c r="E379" s="7">
        <f>VLOOKUP(A379,Sheet2!$A$2:$R$3432,4,0)</f>
        <v>8412892212</v>
      </c>
      <c r="F379" s="7" t="str">
        <f>VLOOKUP(A379,Sheet2!$A$2:$R$3432,3,0)</f>
        <v>Rohan</v>
      </c>
      <c r="G379" s="5" t="s">
        <v>25</v>
      </c>
      <c r="H379" s="5" t="s">
        <v>25</v>
      </c>
      <c r="I379" s="5" t="s">
        <v>25</v>
      </c>
      <c r="J379" s="5" t="s">
        <v>25</v>
      </c>
      <c r="K379" s="7" t="str">
        <f>VLOOKUP(A379,Sheet2!$A$2:$R$3432,6,0)</f>
        <v>Honda Activa 6G</v>
      </c>
      <c r="L379" s="5" t="s">
        <v>25</v>
      </c>
      <c r="M379" s="7" t="str">
        <f>VLOOKUP(A379,Sheet2!$A$2:$R$3432,5,0)</f>
        <v>MH09FX5933</v>
      </c>
      <c r="N379" s="5" t="s">
        <v>25</v>
      </c>
      <c r="O379" s="5" t="s">
        <v>25</v>
      </c>
      <c r="P379" s="6" t="s">
        <v>25</v>
      </c>
      <c r="Q379" s="5" t="s">
        <v>25</v>
      </c>
      <c r="R379" s="5" t="s">
        <v>25</v>
      </c>
      <c r="S379" s="5" t="str">
        <f>VLOOKUP(A379,Sheet2!$A$2:$R$3432,18,0)</f>
        <v>JF91ED0182325</v>
      </c>
      <c r="T379" s="7" t="str">
        <f>VLOOKUP(A379,Sheet2!$A$2:$R$3432,17,0)</f>
        <v>ME4JF3JM0183319</v>
      </c>
    </row>
    <row r="380" ht="15.75" customHeight="1">
      <c r="A380" s="3" t="s">
        <v>403</v>
      </c>
      <c r="B380" s="4" t="str">
        <f>VLOOKUP(A380,Sheet2!$A$2:$R$3432,2,0)</f>
        <v>2024-12-27 09:47:47</v>
      </c>
      <c r="C380" s="5" t="s">
        <v>25</v>
      </c>
      <c r="D380" s="6" t="s">
        <v>25</v>
      </c>
      <c r="E380" s="7">
        <f>VLOOKUP(A380,Sheet2!$A$2:$R$3432,4,0)</f>
        <v>7447205019</v>
      </c>
      <c r="F380" s="7" t="str">
        <f>VLOOKUP(A380,Sheet2!$A$2:$R$3432,3,0)</f>
        <v>Abhishek Bhor</v>
      </c>
      <c r="G380" s="5" t="s">
        <v>25</v>
      </c>
      <c r="H380" s="5" t="s">
        <v>25</v>
      </c>
      <c r="I380" s="5" t="s">
        <v>25</v>
      </c>
      <c r="J380" s="5" t="s">
        <v>25</v>
      </c>
      <c r="K380" s="7" t="str">
        <f>VLOOKUP(A380,Sheet2!$A$2:$R$3432,6,0)</f>
        <v>Suzuki GS 150R</v>
      </c>
      <c r="L380" s="5" t="s">
        <v>25</v>
      </c>
      <c r="M380" s="7" t="str">
        <f>VLOOKUP(A380,Sheet2!$A$2:$R$3432,5,0)</f>
        <v>MH43AE8136</v>
      </c>
      <c r="N380" s="5" t="s">
        <v>25</v>
      </c>
      <c r="O380" s="5" t="s">
        <v>25</v>
      </c>
      <c r="P380" s="6" t="s">
        <v>25</v>
      </c>
      <c r="Q380" s="5" t="s">
        <v>25</v>
      </c>
      <c r="R380" s="5" t="s">
        <v>25</v>
      </c>
      <c r="S380" s="7" t="str">
        <f>VLOOKUP(A380,Sheet2!$A$2:$R$3432,18,0)</f>
        <v/>
      </c>
      <c r="T380" s="7" t="str">
        <f>VLOOKUP(A380,Sheet2!$A$2:$R$3432,17,0)</f>
        <v/>
      </c>
    </row>
    <row r="381" ht="15.75" customHeight="1">
      <c r="A381" s="3" t="s">
        <v>404</v>
      </c>
      <c r="B381" s="4" t="str">
        <f>VLOOKUP(A381,Sheet2!$A$2:$R$3432,2,0)</f>
        <v>2024-12-27 09:40:53</v>
      </c>
      <c r="C381" s="5" t="s">
        <v>25</v>
      </c>
      <c r="D381" s="6" t="s">
        <v>25</v>
      </c>
      <c r="E381" s="7">
        <f>VLOOKUP(A381,Sheet2!$A$2:$R$3432,4,0)</f>
        <v>9948994538</v>
      </c>
      <c r="F381" s="7" t="str">
        <f>VLOOKUP(A381,Sheet2!$A$2:$R$3432,3,0)</f>
        <v>Balaji Patil</v>
      </c>
      <c r="G381" s="5" t="s">
        <v>25</v>
      </c>
      <c r="H381" s="5" t="s">
        <v>25</v>
      </c>
      <c r="I381" s="5" t="s">
        <v>25</v>
      </c>
      <c r="J381" s="5" t="s">
        <v>25</v>
      </c>
      <c r="K381" s="7" t="str">
        <f>VLOOKUP(A381,Sheet2!$A$2:$R$3432,6,0)</f>
        <v>Hero Glamour </v>
      </c>
      <c r="L381" s="5" t="s">
        <v>25</v>
      </c>
      <c r="M381" s="7" t="str">
        <f>VLOOKUP(A381,Sheet2!$A$2:$R$3432,5,0)</f>
        <v>TS17C9029</v>
      </c>
      <c r="N381" s="5" t="s">
        <v>25</v>
      </c>
      <c r="O381" s="5" t="s">
        <v>25</v>
      </c>
      <c r="P381" s="6" t="s">
        <v>25</v>
      </c>
      <c r="Q381" s="5" t="s">
        <v>25</v>
      </c>
      <c r="R381" s="5" t="s">
        <v>25</v>
      </c>
      <c r="S381" s="7" t="str">
        <f>VLOOKUP(A381,Sheet2!$A$2:$R$3432,18,0)</f>
        <v/>
      </c>
      <c r="T381" s="7" t="str">
        <f>VLOOKUP(A381,Sheet2!$A$2:$R$3432,17,0)</f>
        <v/>
      </c>
    </row>
    <row r="382" ht="15.75" customHeight="1">
      <c r="A382" s="3" t="s">
        <v>405</v>
      </c>
      <c r="B382" s="4" t="str">
        <f>VLOOKUP(A382,Sheet2!$A$2:$R$3432,2,0)</f>
        <v>2024-12-27 09:42:00</v>
      </c>
      <c r="C382" s="5" t="s">
        <v>25</v>
      </c>
      <c r="D382" s="6" t="s">
        <v>25</v>
      </c>
      <c r="E382" s="7">
        <f>VLOOKUP(A382,Sheet2!$A$2:$R$3432,4,0)</f>
        <v>8208649476</v>
      </c>
      <c r="F382" s="7" t="str">
        <f>VLOOKUP(A382,Sheet2!$A$2:$R$3432,3,0)</f>
        <v>MRUNAL</v>
      </c>
      <c r="G382" s="5" t="s">
        <v>25</v>
      </c>
      <c r="H382" s="5" t="s">
        <v>25</v>
      </c>
      <c r="I382" s="5" t="s">
        <v>25</v>
      </c>
      <c r="J382" s="5" t="s">
        <v>25</v>
      </c>
      <c r="K382" s="7" t="str">
        <f>VLOOKUP(A382,Sheet2!$A$2:$R$3432,6,0)</f>
        <v>Hero Pleasure </v>
      </c>
      <c r="L382" s="5" t="s">
        <v>25</v>
      </c>
      <c r="M382" s="7" t="str">
        <f>VLOOKUP(A382,Sheet2!$A$2:$R$3432,5,0)</f>
        <v>MH49N0351</v>
      </c>
      <c r="N382" s="5" t="s">
        <v>25</v>
      </c>
      <c r="O382" s="5" t="s">
        <v>25</v>
      </c>
      <c r="P382" s="6" t="s">
        <v>25</v>
      </c>
      <c r="Q382" s="5" t="s">
        <v>25</v>
      </c>
      <c r="R382" s="5" t="s">
        <v>25</v>
      </c>
      <c r="S382" s="7" t="str">
        <f>VLOOKUP(A382,Sheet2!$A$2:$R$3432,18,0)</f>
        <v/>
      </c>
      <c r="T382" s="7" t="str">
        <f>VLOOKUP(A382,Sheet2!$A$2:$R$3432,17,0)</f>
        <v/>
      </c>
    </row>
    <row r="383" ht="15.75" customHeight="1">
      <c r="A383" s="3" t="s">
        <v>406</v>
      </c>
      <c r="B383" s="4" t="str">
        <f>VLOOKUP(A383,Sheet2!$A$2:$R$3432,2,0)</f>
        <v>2024-12-27 09:46:27</v>
      </c>
      <c r="C383" s="5" t="s">
        <v>25</v>
      </c>
      <c r="D383" s="6" t="s">
        <v>25</v>
      </c>
      <c r="E383" s="7">
        <f>VLOOKUP(A383,Sheet2!$A$2:$R$3432,4,0)</f>
        <v>9673330061</v>
      </c>
      <c r="F383" s="7" t="str">
        <f>VLOOKUP(A383,Sheet2!$A$2:$R$3432,3,0)</f>
        <v>SAVIO DAS</v>
      </c>
      <c r="G383" s="5" t="s">
        <v>25</v>
      </c>
      <c r="H383" s="5" t="s">
        <v>25</v>
      </c>
      <c r="I383" s="5" t="s">
        <v>25</v>
      </c>
      <c r="J383" s="5" t="s">
        <v>25</v>
      </c>
      <c r="K383" s="7" t="str">
        <f>VLOOKUP(A383,Sheet2!$A$2:$R$3432,6,0)</f>
        <v>Suzuki Access No Data</v>
      </c>
      <c r="L383" s="5" t="s">
        <v>25</v>
      </c>
      <c r="M383" s="7" t="str">
        <f>VLOOKUP(A383,Sheet2!$A$2:$R$3432,5,0)</f>
        <v>MH14EB1694</v>
      </c>
      <c r="N383" s="5" t="s">
        <v>25</v>
      </c>
      <c r="O383" s="5" t="s">
        <v>25</v>
      </c>
      <c r="P383" s="6" t="s">
        <v>25</v>
      </c>
      <c r="Q383" s="5" t="s">
        <v>25</v>
      </c>
      <c r="R383" s="5" t="s">
        <v>25</v>
      </c>
      <c r="S383" s="7" t="str">
        <f>VLOOKUP(A383,Sheet2!$A$2:$R$3432,18,0)</f>
        <v/>
      </c>
      <c r="T383" s="7" t="str">
        <f>VLOOKUP(A383,Sheet2!$A$2:$R$3432,17,0)</f>
        <v>MB8CF4CAHD8189637</v>
      </c>
    </row>
    <row r="384" ht="15.75" customHeight="1">
      <c r="A384" s="3" t="s">
        <v>407</v>
      </c>
      <c r="B384" s="4" t="str">
        <f>VLOOKUP(A384,Sheet2!$A$2:$R$3432,2,0)</f>
        <v>2024-12-27 09:48:23</v>
      </c>
      <c r="C384" s="5" t="s">
        <v>25</v>
      </c>
      <c r="D384" s="6" t="s">
        <v>25</v>
      </c>
      <c r="E384" s="7">
        <f>VLOOKUP(A384,Sheet2!$A$2:$R$3432,4,0)</f>
        <v>8805987378</v>
      </c>
      <c r="F384" s="7" t="str">
        <f>VLOOKUP(A384,Sheet2!$A$2:$R$3432,3,0)</f>
        <v>ADITYA</v>
      </c>
      <c r="G384" s="5" t="s">
        <v>25</v>
      </c>
      <c r="H384" s="5" t="s">
        <v>25</v>
      </c>
      <c r="I384" s="5" t="s">
        <v>25</v>
      </c>
      <c r="J384" s="5" t="s">
        <v>25</v>
      </c>
      <c r="K384" s="7" t="str">
        <f>VLOOKUP(A384,Sheet2!$A$2:$R$3432,6,0)</f>
        <v>Bajaj Pulsar 200 RS</v>
      </c>
      <c r="L384" s="5" t="s">
        <v>25</v>
      </c>
      <c r="M384" s="7" t="str">
        <f>VLOOKUP(A384,Sheet2!$A$2:$R$3432,5,0)</f>
        <v>MH30BN4003</v>
      </c>
      <c r="N384" s="5" t="s">
        <v>25</v>
      </c>
      <c r="O384" s="5" t="s">
        <v>25</v>
      </c>
      <c r="P384" s="6" t="s">
        <v>25</v>
      </c>
      <c r="Q384" s="5" t="s">
        <v>25</v>
      </c>
      <c r="R384" s="5" t="s">
        <v>25</v>
      </c>
      <c r="S384" s="5" t="str">
        <f>VLOOKUP(A384,Sheet2!$A$2:$R$3432,18,0)</f>
        <v>DTXGMM56141</v>
      </c>
      <c r="T384" s="7" t="str">
        <f>VLOOKUP(A384,Sheet2!$A$2:$R$3432,17,0)</f>
        <v/>
      </c>
    </row>
    <row r="385" ht="15.75" customHeight="1">
      <c r="A385" s="3" t="s">
        <v>408</v>
      </c>
      <c r="B385" s="4" t="str">
        <f>VLOOKUP(A385,Sheet2!$A$2:$R$3432,2,0)</f>
        <v>2024-12-27 19:34:29</v>
      </c>
      <c r="C385" s="5" t="s">
        <v>25</v>
      </c>
      <c r="D385" s="6" t="s">
        <v>25</v>
      </c>
      <c r="E385" s="7">
        <f>VLOOKUP(A385,Sheet2!$A$2:$R$3432,4,0)</f>
        <v>9892298006</v>
      </c>
      <c r="F385" s="7" t="str">
        <f>VLOOKUP(A385,Sheet2!$A$2:$R$3432,3,0)</f>
        <v>OMKAR PATIL</v>
      </c>
      <c r="G385" s="5" t="s">
        <v>25</v>
      </c>
      <c r="H385" s="5" t="s">
        <v>25</v>
      </c>
      <c r="I385" s="5" t="s">
        <v>25</v>
      </c>
      <c r="J385" s="5" t="s">
        <v>25</v>
      </c>
      <c r="K385" s="7" t="str">
        <f>VLOOKUP(A385,Sheet2!$A$2:$R$3432,6,0)</f>
        <v>Bajaj Pulsar 220</v>
      </c>
      <c r="L385" s="5" t="s">
        <v>25</v>
      </c>
      <c r="M385" s="7" t="str">
        <f>VLOOKUP(A385,Sheet2!$A$2:$R$3432,5,0)</f>
        <v>MH05EU5848</v>
      </c>
      <c r="N385" s="5" t="s">
        <v>25</v>
      </c>
      <c r="O385" s="5" t="s">
        <v>25</v>
      </c>
      <c r="P385" s="6" t="s">
        <v>25</v>
      </c>
      <c r="Q385" s="5" t="s">
        <v>25</v>
      </c>
      <c r="R385" s="5" t="s">
        <v>25</v>
      </c>
      <c r="S385" s="7" t="str">
        <f>VLOOKUP(A385,Sheet2!$A$2:$R$3432,18,0)</f>
        <v/>
      </c>
      <c r="T385" s="7" t="str">
        <f>VLOOKUP(A385,Sheet2!$A$2:$R$3432,17,0)</f>
        <v/>
      </c>
    </row>
    <row r="386" ht="15.75" customHeight="1">
      <c r="A386" s="3" t="s">
        <v>409</v>
      </c>
      <c r="B386" s="4" t="str">
        <f>VLOOKUP(A386,Sheet2!$A$2:$R$3432,2,0)</f>
        <v>2024-12-27 18:33:33</v>
      </c>
      <c r="C386" s="5" t="s">
        <v>25</v>
      </c>
      <c r="D386" s="6" t="s">
        <v>25</v>
      </c>
      <c r="E386" s="7">
        <f>VLOOKUP(A386,Sheet2!$A$2:$R$3432,4,0)</f>
        <v>9960458781</v>
      </c>
      <c r="F386" s="7" t="str">
        <f>VLOOKUP(A386,Sheet2!$A$2:$R$3432,3,0)</f>
        <v>Om Prakash </v>
      </c>
      <c r="G386" s="5" t="s">
        <v>25</v>
      </c>
      <c r="H386" s="5" t="s">
        <v>25</v>
      </c>
      <c r="I386" s="5" t="s">
        <v>25</v>
      </c>
      <c r="J386" s="5" t="s">
        <v>25</v>
      </c>
      <c r="K386" s="7" t="str">
        <f>VLOOKUP(A386,Sheet2!$A$2:$R$3432,6,0)</f>
        <v>Honda Activa 4G</v>
      </c>
      <c r="L386" s="5" t="s">
        <v>25</v>
      </c>
      <c r="M386" s="7" t="str">
        <f>VLOOKUP(A386,Sheet2!$A$2:$R$3432,5,0)</f>
        <v>MH14GG4086</v>
      </c>
      <c r="N386" s="5" t="s">
        <v>25</v>
      </c>
      <c r="O386" s="5" t="s">
        <v>25</v>
      </c>
      <c r="P386" s="6" t="s">
        <v>25</v>
      </c>
      <c r="Q386" s="5" t="s">
        <v>25</v>
      </c>
      <c r="R386" s="5" t="s">
        <v>25</v>
      </c>
      <c r="S386" s="7" t="str">
        <f>VLOOKUP(A386,Sheet2!$A$2:$R$3432,18,0)</f>
        <v/>
      </c>
      <c r="T386" s="7" t="str">
        <f>VLOOKUP(A386,Sheet2!$A$2:$R$3432,17,0)</f>
        <v/>
      </c>
    </row>
    <row r="387" ht="15.75" customHeight="1">
      <c r="A387" s="3" t="s">
        <v>410</v>
      </c>
      <c r="B387" s="4" t="str">
        <f>VLOOKUP(A387,Sheet2!$A$2:$R$3432,2,0)</f>
        <v>2024-12-27 18:31:46</v>
      </c>
      <c r="C387" s="5" t="s">
        <v>25</v>
      </c>
      <c r="D387" s="6" t="s">
        <v>25</v>
      </c>
      <c r="E387" s="7">
        <f>VLOOKUP(A387,Sheet2!$A$2:$R$3432,4,0)</f>
        <v>8446142636</v>
      </c>
      <c r="F387" s="7" t="str">
        <f>VLOOKUP(A387,Sheet2!$A$2:$R$3432,3,0)</f>
        <v>Harshad Kapse</v>
      </c>
      <c r="G387" s="5" t="s">
        <v>25</v>
      </c>
      <c r="H387" s="5" t="s">
        <v>25</v>
      </c>
      <c r="I387" s="5" t="s">
        <v>25</v>
      </c>
      <c r="J387" s="5" t="s">
        <v>25</v>
      </c>
      <c r="K387" s="7" t="str">
        <f>VLOOKUP(A387,Sheet2!$A$2:$R$3432,6,0)</f>
        <v>Honda Activa 125</v>
      </c>
      <c r="L387" s="5" t="s">
        <v>25</v>
      </c>
      <c r="M387" s="7" t="str">
        <f>VLOOKUP(A387,Sheet2!$A$2:$R$3432,5,0)</f>
        <v>MH14KV2655</v>
      </c>
      <c r="N387" s="5" t="s">
        <v>25</v>
      </c>
      <c r="O387" s="5" t="s">
        <v>25</v>
      </c>
      <c r="P387" s="6" t="s">
        <v>25</v>
      </c>
      <c r="Q387" s="5" t="s">
        <v>25</v>
      </c>
      <c r="R387" s="5" t="s">
        <v>25</v>
      </c>
      <c r="S387" s="7" t="str">
        <f>VLOOKUP(A387,Sheet2!$A$2:$R$3432,18,0)</f>
        <v/>
      </c>
      <c r="T387" s="7" t="str">
        <f>VLOOKUP(A387,Sheet2!$A$2:$R$3432,17,0)</f>
        <v/>
      </c>
    </row>
    <row r="388" ht="15.75" customHeight="1">
      <c r="A388" s="3" t="s">
        <v>411</v>
      </c>
      <c r="B388" s="4" t="str">
        <f>VLOOKUP(A388,Sheet2!$A$2:$R$3432,2,0)</f>
        <v>2024-12-27 18:33:13</v>
      </c>
      <c r="C388" s="5" t="s">
        <v>25</v>
      </c>
      <c r="D388" s="6" t="s">
        <v>25</v>
      </c>
      <c r="E388" s="7">
        <f>VLOOKUP(A388,Sheet2!$A$2:$R$3432,4,0)</f>
        <v>9673330061</v>
      </c>
      <c r="F388" s="7" t="str">
        <f>VLOOKUP(A388,Sheet2!$A$2:$R$3432,3,0)</f>
        <v>Savio Das</v>
      </c>
      <c r="G388" s="5" t="s">
        <v>25</v>
      </c>
      <c r="H388" s="5" t="s">
        <v>25</v>
      </c>
      <c r="I388" s="5" t="s">
        <v>25</v>
      </c>
      <c r="J388" s="5" t="s">
        <v>25</v>
      </c>
      <c r="K388" s="7" t="str">
        <f>VLOOKUP(A388,Sheet2!$A$2:$R$3432,6,0)</f>
        <v>TVS Apache RTR ABS 180</v>
      </c>
      <c r="L388" s="5" t="s">
        <v>25</v>
      </c>
      <c r="M388" s="7" t="str">
        <f>VLOOKUP(A388,Sheet2!$A$2:$R$3432,5,0)</f>
        <v>MH14FU3471</v>
      </c>
      <c r="N388" s="5" t="s">
        <v>25</v>
      </c>
      <c r="O388" s="5" t="s">
        <v>25</v>
      </c>
      <c r="P388" s="6" t="s">
        <v>25</v>
      </c>
      <c r="Q388" s="5" t="s">
        <v>25</v>
      </c>
      <c r="R388" s="5" t="s">
        <v>25</v>
      </c>
      <c r="S388" s="5" t="str">
        <f>VLOOKUP(A388,Sheet2!$A$2:$R$3432,18,0)</f>
        <v>AE6FG2000874</v>
      </c>
      <c r="T388" s="7" t="str">
        <f>VLOOKUP(A388,Sheet2!$A$2:$R$3432,17,0)</f>
        <v>MD634NE61G2F05681</v>
      </c>
    </row>
    <row r="389" ht="15.75" customHeight="1">
      <c r="A389" s="3" t="s">
        <v>412</v>
      </c>
      <c r="B389" s="4" t="str">
        <f>VLOOKUP(A389,Sheet2!$A$2:$R$3432,2,0)</f>
        <v>2024-12-27 18:34:07</v>
      </c>
      <c r="C389" s="5" t="s">
        <v>25</v>
      </c>
      <c r="D389" s="6" t="s">
        <v>25</v>
      </c>
      <c r="E389" s="7">
        <f>VLOOKUP(A389,Sheet2!$A$2:$R$3432,4,0)</f>
        <v>7387088383</v>
      </c>
      <c r="F389" s="7" t="str">
        <f>VLOOKUP(A389,Sheet2!$A$2:$R$3432,3,0)</f>
        <v>PRASHANT PATTNAIK</v>
      </c>
      <c r="G389" s="5" t="s">
        <v>25</v>
      </c>
      <c r="H389" s="5" t="s">
        <v>25</v>
      </c>
      <c r="I389" s="5" t="s">
        <v>25</v>
      </c>
      <c r="J389" s="5" t="s">
        <v>25</v>
      </c>
      <c r="K389" s="7" t="str">
        <f>VLOOKUP(A389,Sheet2!$A$2:$R$3432,6,0)</f>
        <v>Honda Activa 3G</v>
      </c>
      <c r="L389" s="5" t="s">
        <v>25</v>
      </c>
      <c r="M389" s="7" t="str">
        <f>VLOOKUP(A389,Sheet2!$A$2:$R$3432,5,0)</f>
        <v>MH14FL8927</v>
      </c>
      <c r="N389" s="5" t="s">
        <v>25</v>
      </c>
      <c r="O389" s="5" t="s">
        <v>25</v>
      </c>
      <c r="P389" s="6" t="s">
        <v>25</v>
      </c>
      <c r="Q389" s="5" t="s">
        <v>25</v>
      </c>
      <c r="R389" s="5" t="s">
        <v>25</v>
      </c>
      <c r="S389" s="7" t="str">
        <f>VLOOKUP(A389,Sheet2!$A$2:$R$3432,18,0)</f>
        <v/>
      </c>
      <c r="T389" s="7" t="str">
        <f>VLOOKUP(A389,Sheet2!$A$2:$R$3432,17,0)</f>
        <v/>
      </c>
    </row>
    <row r="390" ht="15.75" customHeight="1">
      <c r="A390" s="3" t="s">
        <v>413</v>
      </c>
      <c r="B390" s="4" t="str">
        <f>VLOOKUP(A390,Sheet2!$A$2:$R$3432,2,0)</f>
        <v>2024-12-27 18:34:21</v>
      </c>
      <c r="C390" s="5" t="s">
        <v>25</v>
      </c>
      <c r="D390" s="6" t="s">
        <v>25</v>
      </c>
      <c r="E390" s="7">
        <f>VLOOKUP(A390,Sheet2!$A$2:$R$3432,4,0)</f>
        <v>8408993339</v>
      </c>
      <c r="F390" s="7" t="str">
        <f>VLOOKUP(A390,Sheet2!$A$2:$R$3432,3,0)</f>
        <v>Vishal</v>
      </c>
      <c r="G390" s="5" t="s">
        <v>25</v>
      </c>
      <c r="H390" s="5" t="s">
        <v>25</v>
      </c>
      <c r="I390" s="5" t="s">
        <v>25</v>
      </c>
      <c r="J390" s="5" t="s">
        <v>25</v>
      </c>
      <c r="K390" s="7" t="str">
        <f>VLOOKUP(A390,Sheet2!$A$2:$R$3432,6,0)</f>
        <v>Honda Activa 110</v>
      </c>
      <c r="L390" s="5" t="s">
        <v>25</v>
      </c>
      <c r="M390" s="7" t="str">
        <f>VLOOKUP(A390,Sheet2!$A$2:$R$3432,5,0)</f>
        <v>MH12HP5240</v>
      </c>
      <c r="N390" s="5" t="s">
        <v>25</v>
      </c>
      <c r="O390" s="5" t="s">
        <v>25</v>
      </c>
      <c r="P390" s="6" t="s">
        <v>25</v>
      </c>
      <c r="Q390" s="5" t="s">
        <v>25</v>
      </c>
      <c r="R390" s="5" t="s">
        <v>25</v>
      </c>
      <c r="S390" s="7" t="str">
        <f>VLOOKUP(A390,Sheet2!$A$2:$R$3432,18,0)</f>
        <v/>
      </c>
      <c r="T390" s="7" t="str">
        <f>VLOOKUP(A390,Sheet2!$A$2:$R$3432,17,0)</f>
        <v>ME4JC448KB857994</v>
      </c>
    </row>
    <row r="391" ht="15.75" customHeight="1">
      <c r="A391" s="3" t="s">
        <v>414</v>
      </c>
      <c r="B391" s="4" t="str">
        <f>VLOOKUP(A391,Sheet2!$A$2:$R$3432,2,0)</f>
        <v>2024-12-27 18:35:18</v>
      </c>
      <c r="C391" s="5" t="s">
        <v>25</v>
      </c>
      <c r="D391" s="6" t="s">
        <v>25</v>
      </c>
      <c r="E391" s="7">
        <f>VLOOKUP(A391,Sheet2!$A$2:$R$3432,4,0)</f>
        <v>7709551262</v>
      </c>
      <c r="F391" s="7" t="str">
        <f>VLOOKUP(A391,Sheet2!$A$2:$R$3432,3,0)</f>
        <v>Tejas </v>
      </c>
      <c r="G391" s="5" t="s">
        <v>25</v>
      </c>
      <c r="H391" s="5" t="s">
        <v>25</v>
      </c>
      <c r="I391" s="5" t="s">
        <v>25</v>
      </c>
      <c r="J391" s="5" t="s">
        <v>25</v>
      </c>
      <c r="K391" s="7" t="str">
        <f>VLOOKUP(A391,Sheet2!$A$2:$R$3432,6,0)</f>
        <v>TVS Jupiter 125</v>
      </c>
      <c r="L391" s="5" t="s">
        <v>25</v>
      </c>
      <c r="M391" s="7" t="str">
        <f>VLOOKUP(A391,Sheet2!$A$2:$R$3432,5,0)</f>
        <v>MH14KY1137</v>
      </c>
      <c r="N391" s="5" t="s">
        <v>25</v>
      </c>
      <c r="O391" s="5" t="s">
        <v>25</v>
      </c>
      <c r="P391" s="6" t="s">
        <v>25</v>
      </c>
      <c r="Q391" s="5" t="s">
        <v>25</v>
      </c>
      <c r="R391" s="5" t="s">
        <v>25</v>
      </c>
      <c r="S391" s="7" t="str">
        <f>VLOOKUP(A391,Sheet2!$A$2:$R$3432,18,0)</f>
        <v/>
      </c>
      <c r="T391" s="7" t="str">
        <f>VLOOKUP(A391,Sheet2!$A$2:$R$3432,17,0)</f>
        <v/>
      </c>
    </row>
    <row r="392" ht="15.75" customHeight="1">
      <c r="A392" s="3" t="s">
        <v>415</v>
      </c>
      <c r="B392" s="4" t="str">
        <f>VLOOKUP(A392,Sheet2!$A$2:$R$3432,2,0)</f>
        <v>2024-12-27 18:36:22</v>
      </c>
      <c r="C392" s="5" t="s">
        <v>25</v>
      </c>
      <c r="D392" s="6" t="s">
        <v>25</v>
      </c>
      <c r="E392" s="7">
        <f>VLOOKUP(A392,Sheet2!$A$2:$R$3432,4,0)</f>
        <v>9028406766</v>
      </c>
      <c r="F392" s="7" t="str">
        <f>VLOOKUP(A392,Sheet2!$A$2:$R$3432,3,0)</f>
        <v>Rishi Singh</v>
      </c>
      <c r="G392" s="5" t="s">
        <v>25</v>
      </c>
      <c r="H392" s="5" t="s">
        <v>25</v>
      </c>
      <c r="I392" s="5" t="s">
        <v>25</v>
      </c>
      <c r="J392" s="5" t="s">
        <v>25</v>
      </c>
      <c r="K392" s="7" t="str">
        <f>VLOOKUP(A392,Sheet2!$A$2:$R$3432,6,0)</f>
        <v>Suzuki Gixxer </v>
      </c>
      <c r="L392" s="5" t="s">
        <v>25</v>
      </c>
      <c r="M392" s="7" t="str">
        <f>VLOOKUP(A392,Sheet2!$A$2:$R$3432,5,0)</f>
        <v>MH14EQ7349</v>
      </c>
      <c r="N392" s="5" t="s">
        <v>25</v>
      </c>
      <c r="O392" s="5" t="s">
        <v>25</v>
      </c>
      <c r="P392" s="6" t="s">
        <v>25</v>
      </c>
      <c r="Q392" s="5" t="s">
        <v>25</v>
      </c>
      <c r="R392" s="5" t="s">
        <v>25</v>
      </c>
      <c r="S392" s="7" t="str">
        <f>VLOOKUP(A392,Sheet2!$A$2:$R$3432,18,0)</f>
        <v/>
      </c>
      <c r="T392" s="7" t="str">
        <f>VLOOKUP(A392,Sheet2!$A$2:$R$3432,17,0)</f>
        <v/>
      </c>
    </row>
    <row r="393" ht="15.75" customHeight="1">
      <c r="A393" s="3" t="s">
        <v>416</v>
      </c>
      <c r="B393" s="4" t="str">
        <f>VLOOKUP(A393,Sheet2!$A$2:$R$3432,2,0)</f>
        <v>2024-12-27 18:40:28</v>
      </c>
      <c r="C393" s="5" t="s">
        <v>25</v>
      </c>
      <c r="D393" s="6" t="s">
        <v>25</v>
      </c>
      <c r="E393" s="7">
        <f>VLOOKUP(A393,Sheet2!$A$2:$R$3432,4,0)</f>
        <v>9423306423</v>
      </c>
      <c r="F393" s="7" t="str">
        <f>VLOOKUP(A393,Sheet2!$A$2:$R$3432,3,0)</f>
        <v>Aniket </v>
      </c>
      <c r="G393" s="5" t="s">
        <v>25</v>
      </c>
      <c r="H393" s="5" t="s">
        <v>25</v>
      </c>
      <c r="I393" s="5" t="s">
        <v>25</v>
      </c>
      <c r="J393" s="5" t="s">
        <v>25</v>
      </c>
      <c r="K393" s="7" t="str">
        <f>VLOOKUP(A393,Sheet2!$A$2:$R$3432,6,0)</f>
        <v>Hero CBZ Extreme</v>
      </c>
      <c r="L393" s="5" t="s">
        <v>25</v>
      </c>
      <c r="M393" s="7" t="str">
        <f>VLOOKUP(A393,Sheet2!$A$2:$R$3432,5,0)</f>
        <v>MH26Y7980</v>
      </c>
      <c r="N393" s="5" t="s">
        <v>25</v>
      </c>
      <c r="O393" s="5" t="s">
        <v>25</v>
      </c>
      <c r="P393" s="6" t="s">
        <v>25</v>
      </c>
      <c r="Q393" s="5" t="s">
        <v>25</v>
      </c>
      <c r="R393" s="5" t="s">
        <v>25</v>
      </c>
      <c r="S393" s="7" t="str">
        <f>VLOOKUP(A393,Sheet2!$A$2:$R$3432,18,0)</f>
        <v/>
      </c>
      <c r="T393" s="7" t="str">
        <f>VLOOKUP(A393,Sheet2!$A$2:$R$3432,17,0)</f>
        <v/>
      </c>
    </row>
    <row r="394" ht="15.75" customHeight="1">
      <c r="A394" s="3" t="s">
        <v>417</v>
      </c>
      <c r="B394" s="4" t="str">
        <f>VLOOKUP(A394,Sheet2!$A$2:$R$3432,2,0)</f>
        <v>2024-12-27 18:40:52</v>
      </c>
      <c r="C394" s="5" t="s">
        <v>25</v>
      </c>
      <c r="D394" s="6" t="s">
        <v>25</v>
      </c>
      <c r="E394" s="7">
        <f>VLOOKUP(A394,Sheet2!$A$2:$R$3432,4,0)</f>
        <v>9561649646</v>
      </c>
      <c r="F394" s="7" t="str">
        <f>VLOOKUP(A394,Sheet2!$A$2:$R$3432,3,0)</f>
        <v>Chinmay </v>
      </c>
      <c r="G394" s="5" t="s">
        <v>25</v>
      </c>
      <c r="H394" s="5" t="s">
        <v>25</v>
      </c>
      <c r="I394" s="5" t="s">
        <v>25</v>
      </c>
      <c r="J394" s="5" t="s">
        <v>25</v>
      </c>
      <c r="K394" s="7" t="str">
        <f>VLOOKUP(A394,Sheet2!$A$2:$R$3432,6,0)</f>
        <v>TVS Jupiter </v>
      </c>
      <c r="L394" s="5" t="s">
        <v>25</v>
      </c>
      <c r="M394" s="7" t="str">
        <f>VLOOKUP(A394,Sheet2!$A$2:$R$3432,5,0)</f>
        <v>MH12UG8824</v>
      </c>
      <c r="N394" s="5" t="s">
        <v>25</v>
      </c>
      <c r="O394" s="5" t="s">
        <v>25</v>
      </c>
      <c r="P394" s="6" t="s">
        <v>25</v>
      </c>
      <c r="Q394" s="5" t="s">
        <v>25</v>
      </c>
      <c r="R394" s="5" t="s">
        <v>25</v>
      </c>
      <c r="S394" s="7" t="str">
        <f>VLOOKUP(A394,Sheet2!$A$2:$R$3432,18,0)</f>
        <v/>
      </c>
      <c r="T394" s="7" t="str">
        <f>VLOOKUP(A394,Sheet2!$A$2:$R$3432,17,0)</f>
        <v/>
      </c>
    </row>
    <row r="395" ht="15.75" customHeight="1">
      <c r="A395" s="3" t="s">
        <v>418</v>
      </c>
      <c r="B395" s="4" t="str">
        <f>VLOOKUP(A395,Sheet2!$A$2:$R$3432,2,0)</f>
        <v>2024-12-27 18:41:17</v>
      </c>
      <c r="C395" s="5" t="s">
        <v>25</v>
      </c>
      <c r="D395" s="6" t="s">
        <v>25</v>
      </c>
      <c r="E395" s="7">
        <f>VLOOKUP(A395,Sheet2!$A$2:$R$3432,4,0)</f>
        <v>9561649646</v>
      </c>
      <c r="F395" s="7" t="str">
        <f>VLOOKUP(A395,Sheet2!$A$2:$R$3432,3,0)</f>
        <v>Chinmay</v>
      </c>
      <c r="G395" s="5" t="s">
        <v>25</v>
      </c>
      <c r="H395" s="5" t="s">
        <v>25</v>
      </c>
      <c r="I395" s="5" t="s">
        <v>25</v>
      </c>
      <c r="J395" s="5" t="s">
        <v>25</v>
      </c>
      <c r="K395" s="7" t="str">
        <f>VLOOKUP(A395,Sheet2!$A$2:$R$3432,6,0)</f>
        <v>Hero Pleasure </v>
      </c>
      <c r="L395" s="5" t="s">
        <v>25</v>
      </c>
      <c r="M395" s="7" t="str">
        <f>VLOOKUP(A395,Sheet2!$A$2:$R$3432,5,0)</f>
        <v>MH31EH1464</v>
      </c>
      <c r="N395" s="5" t="s">
        <v>25</v>
      </c>
      <c r="O395" s="5" t="s">
        <v>25</v>
      </c>
      <c r="P395" s="6" t="s">
        <v>25</v>
      </c>
      <c r="Q395" s="5" t="s">
        <v>25</v>
      </c>
      <c r="R395" s="5" t="s">
        <v>25</v>
      </c>
      <c r="S395" s="7" t="str">
        <f>VLOOKUP(A395,Sheet2!$A$2:$R$3432,18,0)</f>
        <v/>
      </c>
      <c r="T395" s="7" t="str">
        <f>VLOOKUP(A395,Sheet2!$A$2:$R$3432,17,0)</f>
        <v/>
      </c>
    </row>
    <row r="396" ht="15.75" customHeight="1">
      <c r="A396" s="3" t="s">
        <v>419</v>
      </c>
      <c r="B396" s="4" t="str">
        <f>VLOOKUP(A396,Sheet2!$A$2:$R$3432,2,0)</f>
        <v>2024-12-27 19:00:50</v>
      </c>
      <c r="C396" s="5" t="s">
        <v>25</v>
      </c>
      <c r="D396" s="6" t="s">
        <v>25</v>
      </c>
      <c r="E396" s="7">
        <f>VLOOKUP(A396,Sheet2!$A$2:$R$3432,4,0)</f>
        <v>7758882078</v>
      </c>
      <c r="F396" s="7" t="str">
        <f>VLOOKUP(A396,Sheet2!$A$2:$R$3432,3,0)</f>
        <v>Vivek Shukla</v>
      </c>
      <c r="G396" s="5" t="s">
        <v>25</v>
      </c>
      <c r="H396" s="5" t="s">
        <v>25</v>
      </c>
      <c r="I396" s="5" t="s">
        <v>25</v>
      </c>
      <c r="J396" s="5" t="s">
        <v>25</v>
      </c>
      <c r="K396" s="7" t="str">
        <f>VLOOKUP(A396,Sheet2!$A$2:$R$3432,6,0)</f>
        <v>Honda Activa </v>
      </c>
      <c r="L396" s="5" t="s">
        <v>25</v>
      </c>
      <c r="M396" s="7" t="str">
        <f>VLOOKUP(A396,Sheet2!$A$2:$R$3432,5,0)</f>
        <v>MH14FE1727</v>
      </c>
      <c r="N396" s="5" t="s">
        <v>25</v>
      </c>
      <c r="O396" s="5" t="s">
        <v>25</v>
      </c>
      <c r="P396" s="6" t="s">
        <v>25</v>
      </c>
      <c r="Q396" s="5" t="s">
        <v>25</v>
      </c>
      <c r="R396" s="5" t="s">
        <v>25</v>
      </c>
      <c r="S396" s="5" t="str">
        <f>VLOOKUP(A396,Sheet2!$A$2:$R$3432,18,0)</f>
        <v>JF50ET2688061</v>
      </c>
      <c r="T396" s="7" t="str">
        <f>VLOOKUP(A396,Sheet2!$A$2:$R$3432,17,0)</f>
        <v>ME4JF504HFT687698</v>
      </c>
    </row>
    <row r="397" ht="15.75" customHeight="1">
      <c r="A397" s="3" t="s">
        <v>420</v>
      </c>
      <c r="B397" s="4" t="str">
        <f>VLOOKUP(A397,Sheet2!$A$2:$R$3432,2,0)</f>
        <v>2024-12-27 19:02:37</v>
      </c>
      <c r="C397" s="5" t="s">
        <v>25</v>
      </c>
      <c r="D397" s="6" t="s">
        <v>25</v>
      </c>
      <c r="E397" s="7">
        <f>VLOOKUP(A397,Sheet2!$A$2:$R$3432,4,0)</f>
        <v>9595737922</v>
      </c>
      <c r="F397" s="7" t="str">
        <f>VLOOKUP(A397,Sheet2!$A$2:$R$3432,3,0)</f>
        <v>Sagar Mane</v>
      </c>
      <c r="G397" s="5" t="s">
        <v>25</v>
      </c>
      <c r="H397" s="5" t="s">
        <v>25</v>
      </c>
      <c r="I397" s="5" t="s">
        <v>25</v>
      </c>
      <c r="J397" s="5" t="s">
        <v>25</v>
      </c>
      <c r="K397" s="7" t="str">
        <f>VLOOKUP(A397,Sheet2!$A$2:$R$3432,6,0)</f>
        <v>Hero Passion Plus</v>
      </c>
      <c r="L397" s="5" t="s">
        <v>25</v>
      </c>
      <c r="M397" s="7" t="str">
        <f>VLOOKUP(A397,Sheet2!$A$2:$R$3432,5,0)</f>
        <v>MH14BQ3517</v>
      </c>
      <c r="N397" s="5" t="s">
        <v>25</v>
      </c>
      <c r="O397" s="5" t="s">
        <v>25</v>
      </c>
      <c r="P397" s="6" t="s">
        <v>25</v>
      </c>
      <c r="Q397" s="5" t="s">
        <v>25</v>
      </c>
      <c r="R397" s="5" t="s">
        <v>25</v>
      </c>
      <c r="S397" s="7" t="str">
        <f>VLOOKUP(A397,Sheet2!$A$2:$R$3432,18,0)</f>
        <v/>
      </c>
      <c r="T397" s="7" t="str">
        <f>VLOOKUP(A397,Sheet2!$A$2:$R$3432,17,0)</f>
        <v/>
      </c>
    </row>
    <row r="398" ht="15.75" customHeight="1">
      <c r="A398" s="3" t="s">
        <v>421</v>
      </c>
      <c r="B398" s="4" t="str">
        <f>VLOOKUP(A398,Sheet2!$A$2:$R$3432,2,0)</f>
        <v>2025-01-20 20:49:41</v>
      </c>
      <c r="C398" s="5" t="s">
        <v>25</v>
      </c>
      <c r="D398" s="6" t="s">
        <v>25</v>
      </c>
      <c r="E398" s="7">
        <f>VLOOKUP(A398,Sheet2!$A$2:$R$3432,4,0)</f>
        <v>8263918404</v>
      </c>
      <c r="F398" s="7" t="str">
        <f>VLOOKUP(A398,Sheet2!$A$2:$R$3432,3,0)</f>
        <v>HEMRAJ ASHOK PATEL</v>
      </c>
      <c r="G398" s="5" t="s">
        <v>25</v>
      </c>
      <c r="H398" s="5" t="s">
        <v>25</v>
      </c>
      <c r="I398" s="5" t="s">
        <v>25</v>
      </c>
      <c r="J398" s="5" t="s">
        <v>25</v>
      </c>
      <c r="K398" s="7" t="str">
        <f>VLOOKUP(A398,Sheet2!$A$2:$R$3432,6,0)</f>
        <v>Honda Unicorn 150</v>
      </c>
      <c r="L398" s="5" t="s">
        <v>25</v>
      </c>
      <c r="M398" s="7" t="str">
        <f>VLOOKUP(A398,Sheet2!$A$2:$R$3432,5,0)</f>
        <v>MH16BT5243</v>
      </c>
      <c r="N398" s="5" t="s">
        <v>25</v>
      </c>
      <c r="O398" s="5" t="s">
        <v>25</v>
      </c>
      <c r="P398" s="6" t="s">
        <v>25</v>
      </c>
      <c r="Q398" s="5" t="s">
        <v>25</v>
      </c>
      <c r="R398" s="5" t="s">
        <v>25</v>
      </c>
      <c r="S398" s="7" t="str">
        <f>VLOOKUP(A398,Sheet2!$A$2:$R$3432,18,0)</f>
        <v/>
      </c>
      <c r="T398" s="7" t="str">
        <f>VLOOKUP(A398,Sheet2!$A$2:$R$3432,17,0)</f>
        <v/>
      </c>
    </row>
    <row r="399" ht="15.75" customHeight="1">
      <c r="A399" s="3" t="s">
        <v>422</v>
      </c>
      <c r="B399" s="4" t="str">
        <f>VLOOKUP(A399,Sheet2!$A$2:$R$3432,2,0)</f>
        <v>2025-01-20 21:01:57</v>
      </c>
      <c r="C399" s="5" t="s">
        <v>25</v>
      </c>
      <c r="D399" s="6" t="s">
        <v>25</v>
      </c>
      <c r="E399" s="7">
        <f>VLOOKUP(A399,Sheet2!$A$2:$R$3432,4,0)</f>
        <v>8796967049</v>
      </c>
      <c r="F399" s="7" t="str">
        <f>VLOOKUP(A399,Sheet2!$A$2:$R$3432,3,0)</f>
        <v>Shrikant</v>
      </c>
      <c r="G399" s="5" t="s">
        <v>25</v>
      </c>
      <c r="H399" s="5" t="s">
        <v>25</v>
      </c>
      <c r="I399" s="5" t="s">
        <v>25</v>
      </c>
      <c r="J399" s="5" t="s">
        <v>25</v>
      </c>
      <c r="K399" s="7" t="str">
        <f>VLOOKUP(A399,Sheet2!$A$2:$R$3432,6,0)</f>
        <v>TVS Apache RTR 160</v>
      </c>
      <c r="L399" s="5" t="s">
        <v>25</v>
      </c>
      <c r="M399" s="7" t="str">
        <f>VLOOKUP(A399,Sheet2!$A$2:$R$3432,5,0)</f>
        <v>MH14DZ9411</v>
      </c>
      <c r="N399" s="5" t="s">
        <v>25</v>
      </c>
      <c r="O399" s="5" t="s">
        <v>25</v>
      </c>
      <c r="P399" s="6" t="s">
        <v>25</v>
      </c>
      <c r="Q399" s="5" t="s">
        <v>25</v>
      </c>
      <c r="R399" s="5" t="s">
        <v>25</v>
      </c>
      <c r="S399" s="5" t="str">
        <f>VLOOKUP(A399,Sheet2!$A$2:$R$3432,18,0)</f>
        <v>OEGDD2467724</v>
      </c>
      <c r="T399" s="7" t="str">
        <f>VLOOKUP(A399,Sheet2!$A$2:$R$3432,17,0)</f>
        <v>MD634KE41D2D78598</v>
      </c>
    </row>
    <row r="400" ht="15.75" customHeight="1">
      <c r="A400" s="3" t="s">
        <v>423</v>
      </c>
      <c r="B400" s="4" t="str">
        <f>VLOOKUP(A400,Sheet2!$A$2:$R$3432,2,0)</f>
        <v>2025-01-20 21:01:24</v>
      </c>
      <c r="C400" s="5" t="s">
        <v>25</v>
      </c>
      <c r="D400" s="6" t="s">
        <v>25</v>
      </c>
      <c r="E400" s="7">
        <f>VLOOKUP(A400,Sheet2!$A$2:$R$3432,4,0)</f>
        <v>8007272020</v>
      </c>
      <c r="F400" s="7" t="str">
        <f>VLOOKUP(A400,Sheet2!$A$2:$R$3432,3,0)</f>
        <v>Kunar Kumar</v>
      </c>
      <c r="G400" s="5" t="s">
        <v>25</v>
      </c>
      <c r="H400" s="5" t="s">
        <v>25</v>
      </c>
      <c r="I400" s="5" t="s">
        <v>25</v>
      </c>
      <c r="J400" s="5" t="s">
        <v>25</v>
      </c>
      <c r="K400" s="7" t="str">
        <f>VLOOKUP(A400,Sheet2!$A$2:$R$3432,6,0)</f>
        <v>Bajaj Pulsar 150 DTSi</v>
      </c>
      <c r="L400" s="5" t="s">
        <v>25</v>
      </c>
      <c r="M400" s="7" t="str">
        <f>VLOOKUP(A400,Sheet2!$A$2:$R$3432,5,0)</f>
        <v>MH12RD2513</v>
      </c>
      <c r="N400" s="5" t="s">
        <v>25</v>
      </c>
      <c r="O400" s="5" t="s">
        <v>25</v>
      </c>
      <c r="P400" s="6" t="s">
        <v>25</v>
      </c>
      <c r="Q400" s="5" t="s">
        <v>25</v>
      </c>
      <c r="R400" s="5" t="s">
        <v>25</v>
      </c>
      <c r="S400" s="7" t="str">
        <f>VLOOKUP(A400,Sheet2!$A$2:$R$3432,18,0)</f>
        <v/>
      </c>
      <c r="T400" s="7" t="str">
        <f>VLOOKUP(A400,Sheet2!$A$2:$R$3432,17,0)</f>
        <v>DHGBME18319</v>
      </c>
    </row>
    <row r="401" ht="15.75" customHeight="1">
      <c r="A401" s="3" t="s">
        <v>424</v>
      </c>
      <c r="B401" s="4" t="str">
        <f>VLOOKUP(A401,Sheet2!$A$2:$R$3432,2,0)</f>
        <v>2025-01-20 21:03:54</v>
      </c>
      <c r="C401" s="5" t="s">
        <v>25</v>
      </c>
      <c r="D401" s="6" t="s">
        <v>25</v>
      </c>
      <c r="E401" s="7">
        <f>VLOOKUP(A401,Sheet2!$A$2:$R$3432,4,0)</f>
        <v>8233279131</v>
      </c>
      <c r="F401" s="7" t="str">
        <f>VLOOKUP(A401,Sheet2!$A$2:$R$3432,3,0)</f>
        <v>PALAK ADHIKARI</v>
      </c>
      <c r="G401" s="5" t="s">
        <v>25</v>
      </c>
      <c r="H401" s="5" t="s">
        <v>25</v>
      </c>
      <c r="I401" s="5" t="s">
        <v>25</v>
      </c>
      <c r="J401" s="5" t="s">
        <v>25</v>
      </c>
      <c r="K401" s="7" t="str">
        <f>VLOOKUP(A401,Sheet2!$A$2:$R$3432,6,0)</f>
        <v>TVS Jupiter </v>
      </c>
      <c r="L401" s="5" t="s">
        <v>25</v>
      </c>
      <c r="M401" s="7" t="str">
        <f>VLOOKUP(A401,Sheet2!$A$2:$R$3432,5,0)</f>
        <v>MH14HA8350</v>
      </c>
      <c r="N401" s="5" t="s">
        <v>25</v>
      </c>
      <c r="O401" s="5" t="s">
        <v>25</v>
      </c>
      <c r="P401" s="6" t="s">
        <v>25</v>
      </c>
      <c r="Q401" s="5" t="s">
        <v>25</v>
      </c>
      <c r="R401" s="5" t="s">
        <v>25</v>
      </c>
      <c r="S401" s="5" t="str">
        <f>VLOOKUP(A401,Sheet2!$A$2:$R$3432,18,0)</f>
        <v>EG4DJ226951</v>
      </c>
      <c r="T401" s="7" t="str">
        <f>VLOOKUP(A401,Sheet2!$A$2:$R$3432,17,0)</f>
        <v>MD626EG48J3G83431</v>
      </c>
    </row>
    <row r="402" ht="15.75" customHeight="1">
      <c r="A402" s="3" t="s">
        <v>425</v>
      </c>
      <c r="B402" s="4" t="str">
        <f>VLOOKUP(A402,Sheet2!$A$2:$R$3432,2,0)</f>
        <v>2025-01-20 20:59:13</v>
      </c>
      <c r="C402" s="5" t="s">
        <v>25</v>
      </c>
      <c r="D402" s="6" t="s">
        <v>25</v>
      </c>
      <c r="E402" s="7">
        <f>VLOOKUP(A402,Sheet2!$A$2:$R$3432,4,0)</f>
        <v>8796967049</v>
      </c>
      <c r="F402" s="7" t="str">
        <f>VLOOKUP(A402,Sheet2!$A$2:$R$3432,3,0)</f>
        <v>Shrikant Pawar</v>
      </c>
      <c r="G402" s="5" t="s">
        <v>25</v>
      </c>
      <c r="H402" s="5" t="s">
        <v>25</v>
      </c>
      <c r="I402" s="5" t="s">
        <v>25</v>
      </c>
      <c r="J402" s="5" t="s">
        <v>25</v>
      </c>
      <c r="K402" s="7" t="str">
        <f>VLOOKUP(A402,Sheet2!$A$2:$R$3432,6,0)</f>
        <v>Honda Activa 5G</v>
      </c>
      <c r="L402" s="5" t="s">
        <v>25</v>
      </c>
      <c r="M402" s="7" t="str">
        <f>VLOOKUP(A402,Sheet2!$A$2:$R$3432,5,0)</f>
        <v>MH14GW6332</v>
      </c>
      <c r="N402" s="5" t="s">
        <v>25</v>
      </c>
      <c r="O402" s="5" t="s">
        <v>25</v>
      </c>
      <c r="P402" s="6" t="s">
        <v>25</v>
      </c>
      <c r="Q402" s="5" t="s">
        <v>25</v>
      </c>
      <c r="R402" s="5" t="s">
        <v>25</v>
      </c>
      <c r="S402" s="7" t="str">
        <f>VLOOKUP(A402,Sheet2!$A$2:$R$3432,18,0)</f>
        <v/>
      </c>
      <c r="T402" s="7" t="str">
        <f>VLOOKUP(A402,Sheet2!$A$2:$R$3432,17,0)</f>
        <v/>
      </c>
    </row>
    <row r="403" ht="15.75" customHeight="1">
      <c r="A403" s="3" t="s">
        <v>426</v>
      </c>
      <c r="B403" s="4" t="str">
        <f>VLOOKUP(A403,Sheet2!$A$2:$R$3432,2,0)</f>
        <v>2025-01-20 20:59:28</v>
      </c>
      <c r="C403" s="5" t="s">
        <v>25</v>
      </c>
      <c r="D403" s="6" t="s">
        <v>25</v>
      </c>
      <c r="E403" s="7">
        <f>VLOOKUP(A403,Sheet2!$A$2:$R$3432,4,0)</f>
        <v>9923350017</v>
      </c>
      <c r="F403" s="7" t="str">
        <f>VLOOKUP(A403,Sheet2!$A$2:$R$3432,3,0)</f>
        <v>AMRUTA</v>
      </c>
      <c r="G403" s="5" t="s">
        <v>25</v>
      </c>
      <c r="H403" s="5" t="s">
        <v>25</v>
      </c>
      <c r="I403" s="5" t="s">
        <v>25</v>
      </c>
      <c r="J403" s="5" t="s">
        <v>25</v>
      </c>
      <c r="K403" s="7" t="str">
        <f>VLOOKUP(A403,Sheet2!$A$2:$R$3432,6,0)</f>
        <v>Honda Dio </v>
      </c>
      <c r="L403" s="5" t="s">
        <v>25</v>
      </c>
      <c r="M403" s="7" t="str">
        <f>VLOOKUP(A403,Sheet2!$A$2:$R$3432,5,0)</f>
        <v>MH12GL3376</v>
      </c>
      <c r="N403" s="5" t="s">
        <v>25</v>
      </c>
      <c r="O403" s="5" t="s">
        <v>25</v>
      </c>
      <c r="P403" s="6" t="s">
        <v>25</v>
      </c>
      <c r="Q403" s="5" t="s">
        <v>25</v>
      </c>
      <c r="R403" s="5" t="s">
        <v>25</v>
      </c>
      <c r="S403" s="5" t="str">
        <f>VLOOKUP(A403,Sheet2!$A$2:$R$3432,18,0)</f>
        <v>JF11ET068724</v>
      </c>
      <c r="T403" s="7" t="str">
        <f>VLOOKUP(A403,Sheet2!$A$2:$R$3432,17,0)</f>
        <v>ME4JFXXXXX</v>
      </c>
    </row>
    <row r="404" ht="15.75" customHeight="1">
      <c r="A404" s="3" t="s">
        <v>427</v>
      </c>
      <c r="B404" s="4" t="str">
        <f>VLOOKUP(A404,Sheet2!$A$2:$R$3432,2,0)</f>
        <v>2025-01-20 20:59:52</v>
      </c>
      <c r="C404" s="5" t="s">
        <v>25</v>
      </c>
      <c r="D404" s="6" t="s">
        <v>25</v>
      </c>
      <c r="E404" s="7">
        <f>VLOOKUP(A404,Sheet2!$A$2:$R$3432,4,0)</f>
        <v>9823120418</v>
      </c>
      <c r="F404" s="7" t="str">
        <f>VLOOKUP(A404,Sheet2!$A$2:$R$3432,3,0)</f>
        <v>Vikram Jadhav </v>
      </c>
      <c r="G404" s="5" t="s">
        <v>25</v>
      </c>
      <c r="H404" s="5" t="s">
        <v>25</v>
      </c>
      <c r="I404" s="5" t="s">
        <v>25</v>
      </c>
      <c r="J404" s="5" t="s">
        <v>25</v>
      </c>
      <c r="K404" s="7" t="str">
        <f>VLOOKUP(A404,Sheet2!$A$2:$R$3432,6,0)</f>
        <v>Honda Activa 3G</v>
      </c>
      <c r="L404" s="5" t="s">
        <v>25</v>
      </c>
      <c r="M404" s="7" t="str">
        <f>VLOOKUP(A404,Sheet2!$A$2:$R$3432,5,0)</f>
        <v>MH14FV0955</v>
      </c>
      <c r="N404" s="5" t="s">
        <v>25</v>
      </c>
      <c r="O404" s="5" t="s">
        <v>25</v>
      </c>
      <c r="P404" s="6" t="s">
        <v>25</v>
      </c>
      <c r="Q404" s="5" t="s">
        <v>25</v>
      </c>
      <c r="R404" s="5" t="s">
        <v>25</v>
      </c>
      <c r="S404" s="5" t="str">
        <f>VLOOKUP(A404,Sheet2!$A$2:$R$3432,18,0)</f>
        <v>JF50EU3380183</v>
      </c>
      <c r="T404" s="7" t="str">
        <f>VLOOKUP(A404,Sheet2!$A$2:$R$3432,17,0)</f>
        <v>ME4JF505JG43D04D1</v>
      </c>
    </row>
    <row r="405" ht="15.75" customHeight="1">
      <c r="A405" s="3" t="s">
        <v>428</v>
      </c>
      <c r="B405" s="4" t="str">
        <f>VLOOKUP(A405,Sheet2!$A$2:$R$3432,2,0)</f>
        <v>2025-01-20 21:00:09</v>
      </c>
      <c r="C405" s="5" t="s">
        <v>25</v>
      </c>
      <c r="D405" s="6" t="s">
        <v>25</v>
      </c>
      <c r="E405" s="7">
        <f>VLOOKUP(A405,Sheet2!$A$2:$R$3432,4,0)</f>
        <v>7517227889</v>
      </c>
      <c r="F405" s="7" t="str">
        <f>VLOOKUP(A405,Sheet2!$A$2:$R$3432,3,0)</f>
        <v>SUSHMITA </v>
      </c>
      <c r="G405" s="5" t="s">
        <v>25</v>
      </c>
      <c r="H405" s="5" t="s">
        <v>25</v>
      </c>
      <c r="I405" s="5" t="s">
        <v>25</v>
      </c>
      <c r="J405" s="5" t="s">
        <v>25</v>
      </c>
      <c r="K405" s="7" t="str">
        <f>VLOOKUP(A405,Sheet2!$A$2:$R$3432,6,0)</f>
        <v>TVS Wego </v>
      </c>
      <c r="L405" s="5" t="s">
        <v>25</v>
      </c>
      <c r="M405" s="7" t="str">
        <f>VLOOKUP(A405,Sheet2!$A$2:$R$3432,5,0)</f>
        <v>MH10BS7801</v>
      </c>
      <c r="N405" s="5" t="s">
        <v>25</v>
      </c>
      <c r="O405" s="5" t="s">
        <v>25</v>
      </c>
      <c r="P405" s="6" t="s">
        <v>25</v>
      </c>
      <c r="Q405" s="5" t="s">
        <v>25</v>
      </c>
      <c r="R405" s="5" t="s">
        <v>25</v>
      </c>
      <c r="S405" s="5" t="str">
        <f>VLOOKUP(A405,Sheet2!$A$2:$R$3432,18,0)</f>
        <v>BG4BE1112484</v>
      </c>
      <c r="T405" s="7" t="str">
        <f>VLOOKUP(A405,Sheet2!$A$2:$R$3432,17,0)</f>
        <v>MD626AG44E1B16000</v>
      </c>
    </row>
    <row r="406" ht="15.75" customHeight="1">
      <c r="A406" s="3" t="s">
        <v>429</v>
      </c>
      <c r="B406" s="4" t="str">
        <f>VLOOKUP(A406,Sheet2!$A$2:$R$3432,2,0)</f>
        <v>2025-01-20 21:00:29</v>
      </c>
      <c r="C406" s="5" t="s">
        <v>25</v>
      </c>
      <c r="D406" s="6" t="s">
        <v>25</v>
      </c>
      <c r="E406" s="7">
        <f>VLOOKUP(A406,Sheet2!$A$2:$R$3432,4,0)</f>
        <v>9049002184</v>
      </c>
      <c r="F406" s="7" t="str">
        <f>VLOOKUP(A406,Sheet2!$A$2:$R$3432,3,0)</f>
        <v>Kiran Patil</v>
      </c>
      <c r="G406" s="5" t="s">
        <v>25</v>
      </c>
      <c r="H406" s="5" t="s">
        <v>25</v>
      </c>
      <c r="I406" s="5" t="s">
        <v>25</v>
      </c>
      <c r="J406" s="5" t="s">
        <v>25</v>
      </c>
      <c r="K406" s="7" t="str">
        <f>VLOOKUP(A406,Sheet2!$A$2:$R$3432,6,0)</f>
        <v>TVS Wego Basic</v>
      </c>
      <c r="L406" s="5" t="s">
        <v>25</v>
      </c>
      <c r="M406" s="7" t="str">
        <f>VLOOKUP(A406,Sheet2!$A$2:$R$3432,5,0)</f>
        <v>MH17AM2887</v>
      </c>
      <c r="N406" s="5" t="s">
        <v>25</v>
      </c>
      <c r="O406" s="5" t="s">
        <v>25</v>
      </c>
      <c r="P406" s="6" t="s">
        <v>25</v>
      </c>
      <c r="Q406" s="5" t="s">
        <v>25</v>
      </c>
      <c r="R406" s="5" t="s">
        <v>25</v>
      </c>
      <c r="S406" s="5" t="str">
        <f>VLOOKUP(A406,Sheet2!$A$2:$R$3432,18,0)</f>
        <v>BG4CB1128451</v>
      </c>
      <c r="T406" s="7" t="str">
        <f>VLOOKUP(A406,Sheet2!$A$2:$R$3432,17,0)</f>
        <v>MD626AG47B1C25966</v>
      </c>
    </row>
    <row r="407" ht="15.75" customHeight="1">
      <c r="A407" s="3" t="s">
        <v>430</v>
      </c>
      <c r="B407" s="4" t="str">
        <f>VLOOKUP(A407,Sheet2!$A$2:$R$3432,2,0)</f>
        <v>2025-01-20 21:01:11</v>
      </c>
      <c r="C407" s="5" t="s">
        <v>25</v>
      </c>
      <c r="D407" s="6" t="s">
        <v>25</v>
      </c>
      <c r="E407" s="7">
        <f>VLOOKUP(A407,Sheet2!$A$2:$R$3432,4,0)</f>
        <v>7559133630</v>
      </c>
      <c r="F407" s="7" t="str">
        <f>VLOOKUP(A407,Sheet2!$A$2:$R$3432,3,0)</f>
        <v>Divyajyoti Samal</v>
      </c>
      <c r="G407" s="5" t="s">
        <v>25</v>
      </c>
      <c r="H407" s="5" t="s">
        <v>25</v>
      </c>
      <c r="I407" s="5" t="s">
        <v>25</v>
      </c>
      <c r="J407" s="5" t="s">
        <v>25</v>
      </c>
      <c r="K407" s="7" t="str">
        <f>VLOOKUP(A407,Sheet2!$A$2:$R$3432,6,0)</f>
        <v>Bajaj Discover 150</v>
      </c>
      <c r="L407" s="5" t="s">
        <v>25</v>
      </c>
      <c r="M407" s="7" t="str">
        <f>VLOOKUP(A407,Sheet2!$A$2:$R$3432,5,0)</f>
        <v>MH14CV3426</v>
      </c>
      <c r="N407" s="5" t="s">
        <v>25</v>
      </c>
      <c r="O407" s="5" t="s">
        <v>25</v>
      </c>
      <c r="P407" s="6" t="s">
        <v>25</v>
      </c>
      <c r="Q407" s="5" t="s">
        <v>25</v>
      </c>
      <c r="R407" s="5" t="s">
        <v>25</v>
      </c>
      <c r="S407" s="7" t="str">
        <f>VLOOKUP(A407,Sheet2!$A$2:$R$3432,18,0)</f>
        <v/>
      </c>
      <c r="T407" s="7" t="str">
        <f>VLOOKUP(A407,Sheet2!$A$2:$R$3432,17,0)</f>
        <v/>
      </c>
    </row>
    <row r="408" ht="15.75" customHeight="1">
      <c r="A408" s="3" t="s">
        <v>431</v>
      </c>
      <c r="B408" s="4" t="str">
        <f>VLOOKUP(A408,Sheet2!$A$2:$R$3432,2,0)</f>
        <v>2025-01-20 21:00:56</v>
      </c>
      <c r="C408" s="5" t="s">
        <v>25</v>
      </c>
      <c r="D408" s="6" t="s">
        <v>25</v>
      </c>
      <c r="E408" s="7">
        <f>VLOOKUP(A408,Sheet2!$A$2:$R$3432,4,0)</f>
        <v>8007272020</v>
      </c>
      <c r="F408" s="7" t="str">
        <f>VLOOKUP(A408,Sheet2!$A$2:$R$3432,3,0)</f>
        <v>KUNAR KUMAR</v>
      </c>
      <c r="G408" s="5" t="s">
        <v>25</v>
      </c>
      <c r="H408" s="5" t="s">
        <v>25</v>
      </c>
      <c r="I408" s="5" t="s">
        <v>25</v>
      </c>
      <c r="J408" s="5" t="s">
        <v>25</v>
      </c>
      <c r="K408" s="7" t="str">
        <f>VLOOKUP(A408,Sheet2!$A$2:$R$3432,6,0)</f>
        <v>TVS Jupiter BS6</v>
      </c>
      <c r="L408" s="5" t="s">
        <v>25</v>
      </c>
      <c r="M408" s="7" t="str">
        <f>VLOOKUP(A408,Sheet2!$A$2:$R$3432,5,0)</f>
        <v>MH12UU4405</v>
      </c>
      <c r="N408" s="5" t="s">
        <v>25</v>
      </c>
      <c r="O408" s="5" t="s">
        <v>25</v>
      </c>
      <c r="P408" s="6" t="s">
        <v>25</v>
      </c>
      <c r="Q408" s="5" t="s">
        <v>25</v>
      </c>
      <c r="R408" s="5" t="s">
        <v>25</v>
      </c>
      <c r="S408" s="5" t="str">
        <f>VLOOKUP(A408,Sheet2!$A$2:$R$3432,18,0)</f>
        <v>EG5KN150756</v>
      </c>
      <c r="T408" s="7" t="str">
        <f>VLOOKUP(A408,Sheet2!$A$2:$R$3432,17,0)</f>
        <v>MD626CG58N1K23892</v>
      </c>
    </row>
    <row r="409" ht="15.75" customHeight="1">
      <c r="A409" s="3" t="s">
        <v>432</v>
      </c>
      <c r="B409" s="4" t="str">
        <f>VLOOKUP(A409,Sheet2!$A$2:$R$3432,2,0)</f>
        <v>2025-01-20 21:01:39</v>
      </c>
      <c r="C409" s="5" t="s">
        <v>25</v>
      </c>
      <c r="D409" s="6" t="s">
        <v>25</v>
      </c>
      <c r="E409" s="7">
        <f>VLOOKUP(A409,Sheet2!$A$2:$R$3432,4,0)</f>
        <v>9822623447</v>
      </c>
      <c r="F409" s="7" t="str">
        <f>VLOOKUP(A409,Sheet2!$A$2:$R$3432,3,0)</f>
        <v>ARUN PAWASEKAR</v>
      </c>
      <c r="G409" s="5" t="s">
        <v>25</v>
      </c>
      <c r="H409" s="5" t="s">
        <v>25</v>
      </c>
      <c r="I409" s="5" t="s">
        <v>25</v>
      </c>
      <c r="J409" s="5" t="s">
        <v>25</v>
      </c>
      <c r="K409" s="7" t="str">
        <f>VLOOKUP(A409,Sheet2!$A$2:$R$3432,6,0)</f>
        <v>Honda Activa 4G</v>
      </c>
      <c r="L409" s="5" t="s">
        <v>25</v>
      </c>
      <c r="M409" s="7" t="str">
        <f>VLOOKUP(A409,Sheet2!$A$2:$R$3432,5,0)</f>
        <v>MH14FR6407</v>
      </c>
      <c r="N409" s="5" t="s">
        <v>25</v>
      </c>
      <c r="O409" s="5" t="s">
        <v>25</v>
      </c>
      <c r="P409" s="6" t="s">
        <v>25</v>
      </c>
      <c r="Q409" s="5" t="s">
        <v>25</v>
      </c>
      <c r="R409" s="5" t="s">
        <v>25</v>
      </c>
      <c r="S409" s="5" t="str">
        <f>VLOOKUP(A409,Sheet2!$A$2:$R$3432,18,0)</f>
        <v>JF50ET552166</v>
      </c>
      <c r="T409" s="7" t="str">
        <f>VLOOKUP(A409,Sheet2!$A$2:$R$3432,17,0)</f>
        <v>ME4JF505GGT580906</v>
      </c>
    </row>
    <row r="410" ht="15.75" customHeight="1">
      <c r="A410" s="3" t="s">
        <v>433</v>
      </c>
      <c r="B410" s="4" t="str">
        <f>VLOOKUP(A410,Sheet2!$A$2:$R$3432,2,0)</f>
        <v>2025-01-20 21:03:41</v>
      </c>
      <c r="C410" s="5" t="s">
        <v>25</v>
      </c>
      <c r="D410" s="6" t="s">
        <v>25</v>
      </c>
      <c r="E410" s="7">
        <f>VLOOKUP(A410,Sheet2!$A$2:$R$3432,4,0)</f>
        <v>9881494647</v>
      </c>
      <c r="F410" s="7" t="str">
        <f>VLOOKUP(A410,Sheet2!$A$2:$R$3432,3,0)</f>
        <v>Parag Siddham</v>
      </c>
      <c r="G410" s="5" t="s">
        <v>25</v>
      </c>
      <c r="H410" s="5" t="s">
        <v>25</v>
      </c>
      <c r="I410" s="5" t="s">
        <v>25</v>
      </c>
      <c r="J410" s="5" t="s">
        <v>25</v>
      </c>
      <c r="K410" s="7" t="str">
        <f>VLOOKUP(A410,Sheet2!$A$2:$R$3432,6,0)</f>
        <v>Honda Activa 4G</v>
      </c>
      <c r="L410" s="5" t="s">
        <v>25</v>
      </c>
      <c r="M410" s="7" t="str">
        <f>VLOOKUP(A410,Sheet2!$A$2:$R$3432,5,0)</f>
        <v>MH14GK3378</v>
      </c>
      <c r="N410" s="5" t="s">
        <v>25</v>
      </c>
      <c r="O410" s="5" t="s">
        <v>25</v>
      </c>
      <c r="P410" s="6" t="s">
        <v>25</v>
      </c>
      <c r="Q410" s="5" t="s">
        <v>25</v>
      </c>
      <c r="R410" s="5" t="s">
        <v>25</v>
      </c>
      <c r="S410" s="5" t="str">
        <f>VLOOKUP(A410,Sheet2!$A$2:$R$3432,18,0)</f>
        <v>JF50E45384397</v>
      </c>
      <c r="T410" s="7" t="str">
        <f>VLOOKUP(A410,Sheet2!$A$2:$R$3432,17,0)</f>
        <v>ME4JF50GH008</v>
      </c>
    </row>
    <row r="411" ht="15.75" customHeight="1">
      <c r="A411" s="3" t="s">
        <v>434</v>
      </c>
      <c r="B411" s="4" t="str">
        <f>VLOOKUP(A411,Sheet2!$A$2:$R$3432,2,0)</f>
        <v>2025-01-20 21:02:59</v>
      </c>
      <c r="C411" s="5" t="s">
        <v>25</v>
      </c>
      <c r="D411" s="6" t="s">
        <v>25</v>
      </c>
      <c r="E411" s="7">
        <f>VLOOKUP(A411,Sheet2!$A$2:$R$3432,4,0)</f>
        <v>9604700437</v>
      </c>
      <c r="F411" s="7" t="str">
        <f>VLOOKUP(A411,Sheet2!$A$2:$R$3432,3,0)</f>
        <v>Nilesh Gaikwad </v>
      </c>
      <c r="G411" s="5" t="s">
        <v>25</v>
      </c>
      <c r="H411" s="5" t="s">
        <v>25</v>
      </c>
      <c r="I411" s="5" t="s">
        <v>25</v>
      </c>
      <c r="J411" s="5" t="s">
        <v>25</v>
      </c>
      <c r="K411" s="7" t="str">
        <f>VLOOKUP(A411,Sheet2!$A$2:$R$3432,6,0)</f>
        <v>Honda Shine </v>
      </c>
      <c r="L411" s="5" t="s">
        <v>25</v>
      </c>
      <c r="M411" s="7" t="str">
        <f>VLOOKUP(A411,Sheet2!$A$2:$R$3432,5,0)</f>
        <v>MH14FN6108</v>
      </c>
      <c r="N411" s="5" t="s">
        <v>25</v>
      </c>
      <c r="O411" s="5" t="s">
        <v>25</v>
      </c>
      <c r="P411" s="6" t="s">
        <v>25</v>
      </c>
      <c r="Q411" s="5" t="s">
        <v>25</v>
      </c>
      <c r="R411" s="5" t="s">
        <v>25</v>
      </c>
      <c r="S411" s="5" t="str">
        <f>VLOOKUP(A411,Sheet2!$A$2:$R$3432,18,0)</f>
        <v>JC65ET0324702</v>
      </c>
      <c r="T411" s="7" t="str">
        <f>VLOOKUP(A411,Sheet2!$A$2:$R$3432,17,0)</f>
        <v>ME4JC52CGT106037</v>
      </c>
    </row>
    <row r="412" ht="15.75" customHeight="1">
      <c r="A412" s="3" t="s">
        <v>435</v>
      </c>
      <c r="B412" s="4" t="str">
        <f>VLOOKUP(A412,Sheet2!$A$2:$R$3432,2,0)</f>
        <v>2025-02-15 20:04:05</v>
      </c>
      <c r="C412" s="5" t="s">
        <v>25</v>
      </c>
      <c r="D412" s="6" t="s">
        <v>25</v>
      </c>
      <c r="E412" s="7">
        <f>VLOOKUP(A412,Sheet2!$A$2:$R$3432,4,0)</f>
        <v>9096948907</v>
      </c>
      <c r="F412" s="7" t="str">
        <f>VLOOKUP(A412,Sheet2!$A$2:$R$3432,3,0)</f>
        <v>Aniruddha Gaikwad</v>
      </c>
      <c r="G412" s="5" t="s">
        <v>25</v>
      </c>
      <c r="H412" s="5" t="s">
        <v>25</v>
      </c>
      <c r="I412" s="5" t="s">
        <v>25</v>
      </c>
      <c r="J412" s="5" t="s">
        <v>25</v>
      </c>
      <c r="K412" s="7" t="str">
        <f>VLOOKUP(A412,Sheet2!$A$2:$R$3432,6,0)</f>
        <v>Honda Activa 125</v>
      </c>
      <c r="L412" s="5" t="s">
        <v>25</v>
      </c>
      <c r="M412" s="7" t="str">
        <f>VLOOKUP(A412,Sheet2!$A$2:$R$3432,5,0)</f>
        <v>MH12NS5035</v>
      </c>
      <c r="N412" s="5" t="s">
        <v>25</v>
      </c>
      <c r="O412" s="5" t="s">
        <v>25</v>
      </c>
      <c r="P412" s="6" t="s">
        <v>25</v>
      </c>
      <c r="Q412" s="5" t="s">
        <v>25</v>
      </c>
      <c r="R412" s="5" t="s">
        <v>25</v>
      </c>
      <c r="S412" s="5" t="str">
        <f>VLOOKUP(A412,Sheet2!$A$2:$R$3432,18,0)</f>
        <v>JF49E81361314</v>
      </c>
      <c r="T412" s="7" t="str">
        <f>VLOOKUP(A412,Sheet2!$A$2:$R$3432,17,0)</f>
        <v>ME4JF493LBB3080</v>
      </c>
    </row>
    <row r="413" ht="15.75" customHeight="1">
      <c r="A413" s="3" t="s">
        <v>436</v>
      </c>
      <c r="B413" s="4" t="str">
        <f>VLOOKUP(A413,Sheet2!$A$2:$R$3432,2,0)</f>
        <v>2025-02-15 20:04:45</v>
      </c>
      <c r="C413" s="5" t="s">
        <v>25</v>
      </c>
      <c r="D413" s="6" t="s">
        <v>25</v>
      </c>
      <c r="E413" s="7">
        <f>VLOOKUP(A413,Sheet2!$A$2:$R$3432,4,0)</f>
        <v>9763156566</v>
      </c>
      <c r="F413" s="7" t="str">
        <f>VLOOKUP(A413,Sheet2!$A$2:$R$3432,3,0)</f>
        <v>AMOL</v>
      </c>
      <c r="G413" s="5" t="s">
        <v>25</v>
      </c>
      <c r="H413" s="5" t="s">
        <v>25</v>
      </c>
      <c r="I413" s="5" t="s">
        <v>25</v>
      </c>
      <c r="J413" s="5" t="s">
        <v>25</v>
      </c>
      <c r="K413" s="7" t="str">
        <f>VLOOKUP(A413,Sheet2!$A$2:$R$3432,6,0)</f>
        <v>Honda Activa 6G</v>
      </c>
      <c r="L413" s="5" t="s">
        <v>25</v>
      </c>
      <c r="M413" s="7" t="str">
        <f>VLOOKUP(A413,Sheet2!$A$2:$R$3432,5,0)</f>
        <v>MH14JT9698</v>
      </c>
      <c r="N413" s="5" t="s">
        <v>25</v>
      </c>
      <c r="O413" s="5" t="s">
        <v>25</v>
      </c>
      <c r="P413" s="6" t="s">
        <v>25</v>
      </c>
      <c r="Q413" s="5" t="s">
        <v>25</v>
      </c>
      <c r="R413" s="5" t="s">
        <v>25</v>
      </c>
      <c r="S413" s="5" t="str">
        <f>VLOOKUP(A413,Sheet2!$A$2:$R$3432,18,0)</f>
        <v>JF91EW1501936</v>
      </c>
      <c r="T413" s="7" t="str">
        <f>VLOOKUP(A413,Sheet2!$A$2:$R$3432,17,0)</f>
        <v>ME4JF914JMW501915</v>
      </c>
    </row>
    <row r="414" ht="15.75" customHeight="1">
      <c r="A414" s="3" t="s">
        <v>437</v>
      </c>
      <c r="B414" s="4" t="str">
        <f>VLOOKUP(A414,Sheet2!$A$2:$R$3432,2,0)</f>
        <v>2025-02-15 20:11:51</v>
      </c>
      <c r="C414" s="5" t="s">
        <v>25</v>
      </c>
      <c r="D414" s="6" t="s">
        <v>25</v>
      </c>
      <c r="E414" s="7">
        <f>VLOOKUP(A414,Sheet2!$A$2:$R$3432,4,0)</f>
        <v>9960354792</v>
      </c>
      <c r="F414" s="7" t="str">
        <f>VLOOKUP(A414,Sheet2!$A$2:$R$3432,3,0)</f>
        <v>Pranav Jangam</v>
      </c>
      <c r="G414" s="5" t="s">
        <v>25</v>
      </c>
      <c r="H414" s="5" t="s">
        <v>25</v>
      </c>
      <c r="I414" s="5" t="s">
        <v>25</v>
      </c>
      <c r="J414" s="5" t="s">
        <v>25</v>
      </c>
      <c r="K414" s="7" t="str">
        <f>VLOOKUP(A414,Sheet2!$A$2:$R$3432,6,0)</f>
        <v>Hero Splendor PRO</v>
      </c>
      <c r="L414" s="5" t="s">
        <v>25</v>
      </c>
      <c r="M414" s="7" t="str">
        <f>VLOOKUP(A414,Sheet2!$A$2:$R$3432,5,0)</f>
        <v>MH14DY3629</v>
      </c>
      <c r="N414" s="5" t="s">
        <v>25</v>
      </c>
      <c r="O414" s="5" t="s">
        <v>25</v>
      </c>
      <c r="P414" s="6" t="s">
        <v>25</v>
      </c>
      <c r="Q414" s="5" t="s">
        <v>25</v>
      </c>
      <c r="R414" s="5" t="s">
        <v>25</v>
      </c>
      <c r="S414" s="7" t="str">
        <f>VLOOKUP(A414,Sheet2!$A$2:$R$3432,18,0)</f>
        <v/>
      </c>
      <c r="T414" s="7" t="str">
        <f>VLOOKUP(A414,Sheet2!$A$2:$R$3432,17,0)</f>
        <v>MBLHA10ASD9C02416</v>
      </c>
    </row>
    <row r="415" ht="15.75" customHeight="1">
      <c r="A415" s="3" t="s">
        <v>438</v>
      </c>
      <c r="B415" s="4" t="str">
        <f>VLOOKUP(A415,Sheet2!$A$2:$R$3432,2,0)</f>
        <v>2025-02-15 20:22:34</v>
      </c>
      <c r="C415" s="5" t="s">
        <v>25</v>
      </c>
      <c r="D415" s="6" t="s">
        <v>25</v>
      </c>
      <c r="E415" s="7">
        <f>VLOOKUP(A415,Sheet2!$A$2:$R$3432,4,0)</f>
        <v>8890345260</v>
      </c>
      <c r="F415" s="7" t="str">
        <f>VLOOKUP(A415,Sheet2!$A$2:$R$3432,3,0)</f>
        <v>HIMANSHU</v>
      </c>
      <c r="G415" s="5" t="s">
        <v>25</v>
      </c>
      <c r="H415" s="5" t="s">
        <v>25</v>
      </c>
      <c r="I415" s="5" t="s">
        <v>25</v>
      </c>
      <c r="J415" s="5" t="s">
        <v>25</v>
      </c>
      <c r="K415" s="7" t="str">
        <f>VLOOKUP(A415,Sheet2!$A$2:$R$3432,6,0)</f>
        <v>Honda Activa 5G</v>
      </c>
      <c r="L415" s="5" t="s">
        <v>25</v>
      </c>
      <c r="M415" s="7" t="str">
        <f>VLOOKUP(A415,Sheet2!$A$2:$R$3432,5,0)</f>
        <v>MH14HT6848</v>
      </c>
      <c r="N415" s="5" t="s">
        <v>25</v>
      </c>
      <c r="O415" s="5" t="s">
        <v>25</v>
      </c>
      <c r="P415" s="6" t="s">
        <v>25</v>
      </c>
      <c r="Q415" s="5" t="s">
        <v>25</v>
      </c>
      <c r="R415" s="5" t="s">
        <v>25</v>
      </c>
      <c r="S415" s="7" t="str">
        <f>VLOOKUP(A415,Sheet2!$A$2:$R$3432,18,0)</f>
        <v/>
      </c>
      <c r="T415" s="7" t="str">
        <f>VLOOKUP(A415,Sheet2!$A$2:$R$3432,17,0)</f>
        <v/>
      </c>
    </row>
    <row r="416" ht="15.75" customHeight="1">
      <c r="A416" s="3" t="s">
        <v>439</v>
      </c>
      <c r="B416" s="4" t="str">
        <f>VLOOKUP(A416,Sheet2!$A$2:$R$3432,2,0)</f>
        <v>2025-02-15 20:22:56</v>
      </c>
      <c r="C416" s="5" t="s">
        <v>25</v>
      </c>
      <c r="D416" s="6" t="s">
        <v>25</v>
      </c>
      <c r="E416" s="7">
        <f>VLOOKUP(A416,Sheet2!$A$2:$R$3432,4,0)</f>
        <v>8793429798</v>
      </c>
      <c r="F416" s="7" t="str">
        <f>VLOOKUP(A416,Sheet2!$A$2:$R$3432,3,0)</f>
        <v>VIRAJ</v>
      </c>
      <c r="G416" s="5" t="s">
        <v>25</v>
      </c>
      <c r="H416" s="5" t="s">
        <v>25</v>
      </c>
      <c r="I416" s="5" t="s">
        <v>25</v>
      </c>
      <c r="J416" s="5" t="s">
        <v>25</v>
      </c>
      <c r="K416" s="7" t="str">
        <f>VLOOKUP(A416,Sheet2!$A$2:$R$3432,6,0)</f>
        <v>Yamaha FZ S</v>
      </c>
      <c r="L416" s="5" t="s">
        <v>25</v>
      </c>
      <c r="M416" s="7" t="str">
        <f>VLOOKUP(A416,Sheet2!$A$2:$R$3432,5,0)</f>
        <v>MH12HU1308</v>
      </c>
      <c r="N416" s="5" t="s">
        <v>25</v>
      </c>
      <c r="O416" s="5" t="s">
        <v>25</v>
      </c>
      <c r="P416" s="6" t="s">
        <v>25</v>
      </c>
      <c r="Q416" s="5" t="s">
        <v>25</v>
      </c>
      <c r="R416" s="5" t="s">
        <v>25</v>
      </c>
      <c r="S416" s="5" t="str">
        <f>VLOOKUP(A416,Sheet2!$A$2:$R$3432,18,0)</f>
        <v>21C6050156</v>
      </c>
      <c r="T416" s="7" t="str">
        <f>VLOOKUP(A416,Sheet2!$A$2:$R$3432,17,0)</f>
        <v>ME121C081C2050136</v>
      </c>
    </row>
    <row r="417" ht="15.75" customHeight="1">
      <c r="A417" s="3" t="s">
        <v>440</v>
      </c>
      <c r="B417" s="4" t="str">
        <f>VLOOKUP(A417,Sheet2!$A$2:$R$3432,2,0)</f>
        <v>2025-02-15 20:23:27</v>
      </c>
      <c r="C417" s="5" t="s">
        <v>25</v>
      </c>
      <c r="D417" s="6" t="s">
        <v>25</v>
      </c>
      <c r="E417" s="7">
        <f>VLOOKUP(A417,Sheet2!$A$2:$R$3432,4,0)</f>
        <v>9028728906</v>
      </c>
      <c r="F417" s="7" t="str">
        <f>VLOOKUP(A417,Sheet2!$A$2:$R$3432,3,0)</f>
        <v>Ninad Thakur </v>
      </c>
      <c r="G417" s="5" t="s">
        <v>25</v>
      </c>
      <c r="H417" s="5" t="s">
        <v>25</v>
      </c>
      <c r="I417" s="5" t="s">
        <v>25</v>
      </c>
      <c r="J417" s="5" t="s">
        <v>25</v>
      </c>
      <c r="K417" s="7" t="str">
        <f>VLOOKUP(A417,Sheet2!$A$2:$R$3432,6,0)</f>
        <v>Bajaj Discover 125</v>
      </c>
      <c r="L417" s="5" t="s">
        <v>25</v>
      </c>
      <c r="M417" s="7" t="str">
        <f>VLOOKUP(A417,Sheet2!$A$2:$R$3432,5,0)</f>
        <v>MH14EW7511</v>
      </c>
      <c r="N417" s="5" t="s">
        <v>25</v>
      </c>
      <c r="O417" s="5" t="s">
        <v>25</v>
      </c>
      <c r="P417" s="6" t="s">
        <v>25</v>
      </c>
      <c r="Q417" s="5" t="s">
        <v>25</v>
      </c>
      <c r="R417" s="5" t="s">
        <v>25</v>
      </c>
      <c r="S417" s="5" t="str">
        <f>VLOOKUP(A417,Sheet2!$A$2:$R$3432,18,0)</f>
        <v>PAZWFM59144</v>
      </c>
      <c r="T417" s="7" t="str">
        <f>VLOOKUP(A417,Sheet2!$A$2:$R$3432,17,0)</f>
        <v>MD2A57BZ0FWM02398</v>
      </c>
    </row>
    <row r="418" ht="15.75" customHeight="1">
      <c r="A418" s="3" t="s">
        <v>441</v>
      </c>
      <c r="B418" s="4" t="str">
        <f>VLOOKUP(A418,Sheet2!$A$2:$R$3432,2,0)</f>
        <v>2025-02-15 20:24:13</v>
      </c>
      <c r="C418" s="5" t="s">
        <v>25</v>
      </c>
      <c r="D418" s="6" t="s">
        <v>25</v>
      </c>
      <c r="E418" s="7">
        <f>VLOOKUP(A418,Sheet2!$A$2:$R$3432,4,0)</f>
        <v>9009090205</v>
      </c>
      <c r="F418" s="7" t="str">
        <f>VLOOKUP(A418,Sheet2!$A$2:$R$3432,3,0)</f>
        <v>AKASH SAXENA</v>
      </c>
      <c r="G418" s="5" t="s">
        <v>25</v>
      </c>
      <c r="H418" s="5" t="s">
        <v>25</v>
      </c>
      <c r="I418" s="5" t="s">
        <v>25</v>
      </c>
      <c r="J418" s="5" t="s">
        <v>25</v>
      </c>
      <c r="K418" s="7" t="str">
        <f>VLOOKUP(A418,Sheet2!$A$2:$R$3432,6,0)</f>
        <v>Yamaha FZ FI</v>
      </c>
      <c r="L418" s="5" t="s">
        <v>25</v>
      </c>
      <c r="M418" s="7" t="str">
        <f>VLOOKUP(A418,Sheet2!$A$2:$R$3432,5,0)</f>
        <v>MH12RC0931</v>
      </c>
      <c r="N418" s="5" t="s">
        <v>25</v>
      </c>
      <c r="O418" s="5" t="s">
        <v>25</v>
      </c>
      <c r="P418" s="6" t="s">
        <v>25</v>
      </c>
      <c r="Q418" s="5" t="s">
        <v>25</v>
      </c>
      <c r="R418" s="5" t="s">
        <v>25</v>
      </c>
      <c r="S418" s="5" t="str">
        <f>VLOOKUP(A418,Sheet2!$A$2:$R$3432,18,0)</f>
        <v>G3J3E0379398</v>
      </c>
      <c r="T418" s="7" t="str">
        <f>VLOOKUP(A418,Sheet2!$A$2:$R$3432,17,0)</f>
        <v>ME1RG445AJ004835355</v>
      </c>
    </row>
    <row r="419" ht="15.75" customHeight="1">
      <c r="A419" s="3" t="s">
        <v>442</v>
      </c>
      <c r="B419" s="4" t="str">
        <f>VLOOKUP(A419,Sheet2!$A$2:$R$3432,2,0)</f>
        <v>2025-02-15 20:24:37</v>
      </c>
      <c r="C419" s="5" t="s">
        <v>25</v>
      </c>
      <c r="D419" s="6" t="s">
        <v>25</v>
      </c>
      <c r="E419" s="7">
        <f>VLOOKUP(A419,Sheet2!$A$2:$R$3432,4,0)</f>
        <v>9890611800</v>
      </c>
      <c r="F419" s="7" t="str">
        <f>VLOOKUP(A419,Sheet2!$A$2:$R$3432,3,0)</f>
        <v>SHISHIR VAIDYA</v>
      </c>
      <c r="G419" s="5" t="s">
        <v>25</v>
      </c>
      <c r="H419" s="5" t="s">
        <v>25</v>
      </c>
      <c r="I419" s="5" t="s">
        <v>25</v>
      </c>
      <c r="J419" s="5" t="s">
        <v>25</v>
      </c>
      <c r="K419" s="7" t="str">
        <f>VLOOKUP(A419,Sheet2!$A$2:$R$3432,6,0)</f>
        <v>Honda Activa 3G</v>
      </c>
      <c r="L419" s="5" t="s">
        <v>25</v>
      </c>
      <c r="M419" s="7" t="str">
        <f>VLOOKUP(A419,Sheet2!$A$2:$R$3432,5,0)</f>
        <v>MH14FE4951</v>
      </c>
      <c r="N419" s="5" t="s">
        <v>25</v>
      </c>
      <c r="O419" s="5" t="s">
        <v>25</v>
      </c>
      <c r="P419" s="6" t="s">
        <v>25</v>
      </c>
      <c r="Q419" s="5" t="s">
        <v>25</v>
      </c>
      <c r="R419" s="5" t="s">
        <v>25</v>
      </c>
      <c r="S419" s="7" t="str">
        <f>VLOOKUP(A419,Sheet2!$A$2:$R$3432,18,0)</f>
        <v/>
      </c>
      <c r="T419" s="7" t="str">
        <f>VLOOKUP(A419,Sheet2!$A$2:$R$3432,17,0)</f>
        <v/>
      </c>
    </row>
    <row r="420" ht="15.75" customHeight="1">
      <c r="A420" s="3" t="s">
        <v>443</v>
      </c>
      <c r="B420" s="4" t="str">
        <f>VLOOKUP(A420,Sheet2!$A$2:$R$3432,2,0)</f>
        <v>2025-02-15 20:25:00</v>
      </c>
      <c r="C420" s="5" t="s">
        <v>25</v>
      </c>
      <c r="D420" s="6" t="s">
        <v>25</v>
      </c>
      <c r="E420" s="7">
        <f>VLOOKUP(A420,Sheet2!$A$2:$R$3432,4,0)</f>
        <v>9511840420</v>
      </c>
      <c r="F420" s="7" t="str">
        <f>VLOOKUP(A420,Sheet2!$A$2:$R$3432,3,0)</f>
        <v>RAJESH </v>
      </c>
      <c r="G420" s="5" t="s">
        <v>25</v>
      </c>
      <c r="H420" s="5" t="s">
        <v>25</v>
      </c>
      <c r="I420" s="5" t="s">
        <v>25</v>
      </c>
      <c r="J420" s="5" t="s">
        <v>25</v>
      </c>
      <c r="K420" s="7" t="str">
        <f>VLOOKUP(A420,Sheet2!$A$2:$R$3432,6,0)</f>
        <v>Honda Shine BS6</v>
      </c>
      <c r="L420" s="5" t="s">
        <v>25</v>
      </c>
      <c r="M420" s="7" t="str">
        <f>VLOOKUP(A420,Sheet2!$A$2:$R$3432,5,0)</f>
        <v>MH22AY5643</v>
      </c>
      <c r="N420" s="5" t="s">
        <v>25</v>
      </c>
      <c r="O420" s="5" t="s">
        <v>25</v>
      </c>
      <c r="P420" s="6" t="s">
        <v>25</v>
      </c>
      <c r="Q420" s="5" t="s">
        <v>25</v>
      </c>
      <c r="R420" s="5" t="s">
        <v>25</v>
      </c>
      <c r="S420" s="7" t="str">
        <f>VLOOKUP(A420,Sheet2!$A$2:$R$3432,18,0)</f>
        <v/>
      </c>
      <c r="T420" s="7" t="str">
        <f>VLOOKUP(A420,Sheet2!$A$2:$R$3432,17,0)</f>
        <v/>
      </c>
    </row>
    <row r="421" ht="15.75" customHeight="1">
      <c r="A421" s="3" t="s">
        <v>444</v>
      </c>
      <c r="B421" s="4" t="str">
        <f>VLOOKUP(A421,Sheet2!$A$2:$R$3432,2,0)</f>
        <v>2025-03-12 20:17:49</v>
      </c>
      <c r="C421" s="5" t="s">
        <v>25</v>
      </c>
      <c r="D421" s="6" t="s">
        <v>25</v>
      </c>
      <c r="E421" s="7">
        <f>VLOOKUP(A421,Sheet2!$A$2:$R$3432,4,0)</f>
        <v>9588986487</v>
      </c>
      <c r="F421" s="7" t="str">
        <f>VLOOKUP(A421,Sheet2!$A$2:$R$3432,3,0)</f>
        <v>LAXMAN SINGH</v>
      </c>
      <c r="G421" s="5" t="s">
        <v>25</v>
      </c>
      <c r="H421" s="5" t="s">
        <v>25</v>
      </c>
      <c r="I421" s="5" t="s">
        <v>25</v>
      </c>
      <c r="J421" s="5" t="s">
        <v>25</v>
      </c>
      <c r="K421" s="7" t="str">
        <f>VLOOKUP(A421,Sheet2!$A$2:$R$3432,6,0)</f>
        <v>Hero Deluxe HF</v>
      </c>
      <c r="L421" s="5" t="s">
        <v>25</v>
      </c>
      <c r="M421" s="7" t="str">
        <f>VLOOKUP(A421,Sheet2!$A$2:$R$3432,5,0)</f>
        <v>MH14JJ2695</v>
      </c>
      <c r="N421" s="5" t="s">
        <v>25</v>
      </c>
      <c r="O421" s="5" t="s">
        <v>25</v>
      </c>
      <c r="P421" s="6" t="s">
        <v>25</v>
      </c>
      <c r="Q421" s="5" t="s">
        <v>25</v>
      </c>
      <c r="R421" s="5" t="s">
        <v>25</v>
      </c>
      <c r="S421" s="7" t="str">
        <f>VLOOKUP(A421,Sheet2!$A$2:$R$3432,18,0)</f>
        <v/>
      </c>
      <c r="T421" s="7" t="str">
        <f>VLOOKUP(A421,Sheet2!$A$2:$R$3432,17,0)</f>
        <v/>
      </c>
    </row>
    <row r="422" ht="15.75" customHeight="1">
      <c r="A422" s="3" t="s">
        <v>445</v>
      </c>
      <c r="B422" s="4" t="str">
        <f>VLOOKUP(A422,Sheet2!$A$2:$R$3432,2,0)</f>
        <v>2025-03-12 20:24:05</v>
      </c>
      <c r="C422" s="5" t="s">
        <v>25</v>
      </c>
      <c r="D422" s="6" t="s">
        <v>25</v>
      </c>
      <c r="E422" s="7">
        <f>VLOOKUP(A422,Sheet2!$A$2:$R$3432,4,0)</f>
        <v>9673758691</v>
      </c>
      <c r="F422" s="7" t="str">
        <f>VLOOKUP(A422,Sheet2!$A$2:$R$3432,3,0)</f>
        <v>RUSHIKESH SHELKE</v>
      </c>
      <c r="G422" s="5" t="s">
        <v>25</v>
      </c>
      <c r="H422" s="5" t="s">
        <v>25</v>
      </c>
      <c r="I422" s="5" t="s">
        <v>25</v>
      </c>
      <c r="J422" s="5" t="s">
        <v>25</v>
      </c>
      <c r="K422" s="7" t="str">
        <f>VLOOKUP(A422,Sheet2!$A$2:$R$3432,6,0)</f>
        <v>Yamaha FZ </v>
      </c>
      <c r="L422" s="5" t="s">
        <v>25</v>
      </c>
      <c r="M422" s="7" t="str">
        <f>VLOOKUP(A422,Sheet2!$A$2:$R$3432,5,0)</f>
        <v>MH12RB1925</v>
      </c>
      <c r="N422" s="5" t="s">
        <v>25</v>
      </c>
      <c r="O422" s="5" t="s">
        <v>25</v>
      </c>
      <c r="P422" s="6" t="s">
        <v>25</v>
      </c>
      <c r="Q422" s="5" t="s">
        <v>25</v>
      </c>
      <c r="R422" s="5" t="s">
        <v>25</v>
      </c>
      <c r="S422" s="5" t="str">
        <f>VLOOKUP(A422,Sheet2!$A$2:$R$3432,18,0)</f>
        <v>G3H7E0071904</v>
      </c>
      <c r="T422" s="7" t="str">
        <f>VLOOKUP(A422,Sheet2!$A$2:$R$3432,17,0)</f>
        <v>ME1G4219J0046776</v>
      </c>
    </row>
    <row r="423" ht="15.75" customHeight="1">
      <c r="A423" s="3" t="s">
        <v>446</v>
      </c>
      <c r="B423" s="4" t="str">
        <f>VLOOKUP(A423,Sheet2!$A$2:$R$3432,2,0)</f>
        <v>2025-03-12 20:19:04</v>
      </c>
      <c r="C423" s="5" t="s">
        <v>25</v>
      </c>
      <c r="D423" s="6" t="s">
        <v>25</v>
      </c>
      <c r="E423" s="7">
        <f>VLOOKUP(A423,Sheet2!$A$2:$R$3432,4,0)</f>
        <v>9766611011</v>
      </c>
      <c r="F423" s="7" t="str">
        <f>VLOOKUP(A423,Sheet2!$A$2:$R$3432,3,0)</f>
        <v>Atul Nandgude</v>
      </c>
      <c r="G423" s="5" t="s">
        <v>25</v>
      </c>
      <c r="H423" s="5" t="s">
        <v>25</v>
      </c>
      <c r="I423" s="5" t="s">
        <v>25</v>
      </c>
      <c r="J423" s="5" t="s">
        <v>25</v>
      </c>
      <c r="K423" s="7" t="str">
        <f>VLOOKUP(A423,Sheet2!$A$2:$R$3432,6,0)</f>
        <v>Suzuki Access 125</v>
      </c>
      <c r="L423" s="5" t="s">
        <v>25</v>
      </c>
      <c r="M423" s="7" t="str">
        <f>VLOOKUP(A423,Sheet2!$A$2:$R$3432,5,0)</f>
        <v>MH12QP1161</v>
      </c>
      <c r="N423" s="5" t="s">
        <v>25</v>
      </c>
      <c r="O423" s="5" t="s">
        <v>25</v>
      </c>
      <c r="P423" s="6" t="s">
        <v>25</v>
      </c>
      <c r="Q423" s="5" t="s">
        <v>25</v>
      </c>
      <c r="R423" s="5" t="s">
        <v>25</v>
      </c>
      <c r="S423" s="7" t="str">
        <f>VLOOKUP(A423,Sheet2!$A$2:$R$3432,18,0)</f>
        <v/>
      </c>
      <c r="T423" s="7" t="str">
        <f>VLOOKUP(A423,Sheet2!$A$2:$R$3432,17,0)</f>
        <v>MB8DP11ACJ87959</v>
      </c>
    </row>
    <row r="424" ht="15.75" customHeight="1">
      <c r="A424" s="3" t="s">
        <v>447</v>
      </c>
      <c r="B424" s="4" t="str">
        <f>VLOOKUP(A424,Sheet2!$A$2:$R$3432,2,0)</f>
        <v>2025-03-12 20:19:17</v>
      </c>
      <c r="C424" s="5" t="s">
        <v>25</v>
      </c>
      <c r="D424" s="6" t="s">
        <v>25</v>
      </c>
      <c r="E424" s="7">
        <f>VLOOKUP(A424,Sheet2!$A$2:$R$3432,4,0)</f>
        <v>7447845485</v>
      </c>
      <c r="F424" s="7" t="str">
        <f>VLOOKUP(A424,Sheet2!$A$2:$R$3432,3,0)</f>
        <v>Sanjay Shinde</v>
      </c>
      <c r="G424" s="5" t="s">
        <v>25</v>
      </c>
      <c r="H424" s="5" t="s">
        <v>25</v>
      </c>
      <c r="I424" s="5" t="s">
        <v>25</v>
      </c>
      <c r="J424" s="5" t="s">
        <v>25</v>
      </c>
      <c r="K424" s="7" t="str">
        <f>VLOOKUP(A424,Sheet2!$A$2:$R$3432,6,0)</f>
        <v>Honda Activa 3G</v>
      </c>
      <c r="L424" s="5" t="s">
        <v>25</v>
      </c>
      <c r="M424" s="7" t="str">
        <f>VLOOKUP(A424,Sheet2!$A$2:$R$3432,5,0)</f>
        <v>MH14FE3798</v>
      </c>
      <c r="N424" s="5" t="s">
        <v>25</v>
      </c>
      <c r="O424" s="5" t="s">
        <v>25</v>
      </c>
      <c r="P424" s="6" t="s">
        <v>25</v>
      </c>
      <c r="Q424" s="5" t="s">
        <v>25</v>
      </c>
      <c r="R424" s="5" t="s">
        <v>25</v>
      </c>
      <c r="S424" s="5" t="str">
        <f>VLOOKUP(A424,Sheet2!$A$2:$R$3432,18,0)</f>
        <v>JF50ET2673305</v>
      </c>
      <c r="T424" s="7" t="str">
        <f>VLOOKUP(A424,Sheet2!$A$2:$R$3432,17,0)</f>
        <v>ME4JF504HFT672414</v>
      </c>
    </row>
    <row r="425" ht="15.75" customHeight="1">
      <c r="A425" s="3" t="s">
        <v>448</v>
      </c>
      <c r="B425" s="4" t="str">
        <f>VLOOKUP(A425,Sheet2!$A$2:$R$3432,2,0)</f>
        <v>2025-03-12 20:21:03</v>
      </c>
      <c r="C425" s="5" t="s">
        <v>25</v>
      </c>
      <c r="D425" s="6" t="s">
        <v>25</v>
      </c>
      <c r="E425" s="7">
        <f>VLOOKUP(A425,Sheet2!$A$2:$R$3432,4,0)</f>
        <v>8983171782</v>
      </c>
      <c r="F425" s="7" t="str">
        <f>VLOOKUP(A425,Sheet2!$A$2:$R$3432,3,0)</f>
        <v>KUNAL</v>
      </c>
      <c r="G425" s="5" t="s">
        <v>25</v>
      </c>
      <c r="H425" s="5" t="s">
        <v>25</v>
      </c>
      <c r="I425" s="5" t="s">
        <v>25</v>
      </c>
      <c r="J425" s="5" t="s">
        <v>25</v>
      </c>
      <c r="K425" s="7" t="str">
        <f>VLOOKUP(A425,Sheet2!$A$2:$R$3432,6,0)</f>
        <v>TVS Wego Basic</v>
      </c>
      <c r="L425" s="5" t="s">
        <v>25</v>
      </c>
      <c r="M425" s="7" t="str">
        <f>VLOOKUP(A425,Sheet2!$A$2:$R$3432,5,0)</f>
        <v>MH12MD5229</v>
      </c>
      <c r="N425" s="5" t="s">
        <v>25</v>
      </c>
      <c r="O425" s="5" t="s">
        <v>25</v>
      </c>
      <c r="P425" s="6" t="s">
        <v>25</v>
      </c>
      <c r="Q425" s="5" t="s">
        <v>25</v>
      </c>
      <c r="R425" s="5" t="s">
        <v>25</v>
      </c>
      <c r="S425" s="7" t="str">
        <f>VLOOKUP(A425,Sheet2!$A$2:$R$3432,18,0)</f>
        <v/>
      </c>
      <c r="T425" s="7" t="str">
        <f>VLOOKUP(A425,Sheet2!$A$2:$R$3432,17,0)</f>
        <v/>
      </c>
    </row>
    <row r="426" ht="15.75" customHeight="1">
      <c r="A426" s="3" t="s">
        <v>449</v>
      </c>
      <c r="B426" s="4" t="str">
        <f>VLOOKUP(A426,Sheet2!$A$2:$R$3432,2,0)</f>
        <v>2025-03-12 20:22:32</v>
      </c>
      <c r="C426" s="5" t="s">
        <v>25</v>
      </c>
      <c r="D426" s="6" t="s">
        <v>25</v>
      </c>
      <c r="E426" s="7">
        <f>VLOOKUP(A426,Sheet2!$A$2:$R$3432,4,0)</f>
        <v>8806496670</v>
      </c>
      <c r="F426" s="7" t="str">
        <f>VLOOKUP(A426,Sheet2!$A$2:$R$3432,3,0)</f>
        <v>NIKHIL </v>
      </c>
      <c r="G426" s="5" t="s">
        <v>25</v>
      </c>
      <c r="H426" s="5" t="s">
        <v>25</v>
      </c>
      <c r="I426" s="5" t="s">
        <v>25</v>
      </c>
      <c r="J426" s="5" t="s">
        <v>25</v>
      </c>
      <c r="K426" s="7" t="str">
        <f>VLOOKUP(A426,Sheet2!$A$2:$R$3432,6,0)</f>
        <v>Honda Unicorn 150</v>
      </c>
      <c r="L426" s="5" t="s">
        <v>25</v>
      </c>
      <c r="M426" s="7" t="str">
        <f>VLOOKUP(A426,Sheet2!$A$2:$R$3432,5,0)</f>
        <v>MH12TE1062</v>
      </c>
      <c r="N426" s="5" t="s">
        <v>25</v>
      </c>
      <c r="O426" s="5" t="s">
        <v>25</v>
      </c>
      <c r="P426" s="6" t="s">
        <v>25</v>
      </c>
      <c r="Q426" s="5" t="s">
        <v>25</v>
      </c>
      <c r="R426" s="5" t="s">
        <v>25</v>
      </c>
      <c r="S426" s="5" t="str">
        <f>VLOOKUP(A426,Sheet2!$A$2:$R$3432,18,0)</f>
        <v>KC40EA011129</v>
      </c>
      <c r="T426" s="7" t="str">
        <f>VLOOKUP(A426,Sheet2!$A$2:$R$3432,17,0)</f>
        <v>ME4KC401JLA111349</v>
      </c>
    </row>
    <row r="427" ht="15.75" customHeight="1">
      <c r="A427" s="3" t="s">
        <v>450</v>
      </c>
      <c r="B427" s="4" t="str">
        <f>VLOOKUP(A427,Sheet2!$A$2:$R$3432,2,0)</f>
        <v>2025-03-12 20:24:24</v>
      </c>
      <c r="C427" s="5" t="s">
        <v>25</v>
      </c>
      <c r="D427" s="6" t="s">
        <v>25</v>
      </c>
      <c r="E427" s="7">
        <f>VLOOKUP(A427,Sheet2!$A$2:$R$3432,4,0)</f>
        <v>8055713311</v>
      </c>
      <c r="F427" s="7" t="str">
        <f>VLOOKUP(A427,Sheet2!$A$2:$R$3432,3,0)</f>
        <v>Ravindra Patil</v>
      </c>
      <c r="G427" s="5" t="s">
        <v>25</v>
      </c>
      <c r="H427" s="5" t="s">
        <v>25</v>
      </c>
      <c r="I427" s="5" t="s">
        <v>25</v>
      </c>
      <c r="J427" s="5" t="s">
        <v>25</v>
      </c>
      <c r="K427" s="7" t="str">
        <f>VLOOKUP(A427,Sheet2!$A$2:$R$3432,6,0)</f>
        <v>TVS Jupiter </v>
      </c>
      <c r="L427" s="5" t="s">
        <v>25</v>
      </c>
      <c r="M427" s="7" t="str">
        <f>VLOOKUP(A427,Sheet2!$A$2:$R$3432,5,0)</f>
        <v>MH14EK0042</v>
      </c>
      <c r="N427" s="5" t="s">
        <v>25</v>
      </c>
      <c r="O427" s="5" t="s">
        <v>25</v>
      </c>
      <c r="P427" s="6" t="s">
        <v>25</v>
      </c>
      <c r="Q427" s="5" t="s">
        <v>25</v>
      </c>
      <c r="R427" s="5" t="s">
        <v>25</v>
      </c>
      <c r="S427" s="5" t="str">
        <f>VLOOKUP(A427,Sheet2!$A$2:$R$3432,18,0)</f>
        <v>BG4DEM113380</v>
      </c>
      <c r="T427" s="7" t="str">
        <f>VLOOKUP(A427,Sheet2!$A$2:$R$3432,17,0)</f>
        <v>MD626BG40E1D37745</v>
      </c>
    </row>
    <row r="428" ht="15.75" customHeight="1">
      <c r="A428" s="3" t="s">
        <v>451</v>
      </c>
      <c r="B428" s="4" t="str">
        <f>VLOOKUP(A428,Sheet2!$A$2:$R$3432,2,0)</f>
        <v>2025-03-12 20:25:10</v>
      </c>
      <c r="C428" s="5" t="s">
        <v>25</v>
      </c>
      <c r="D428" s="6" t="s">
        <v>25</v>
      </c>
      <c r="E428" s="7">
        <f>VLOOKUP(A428,Sheet2!$A$2:$R$3432,4,0)</f>
        <v>9890907618</v>
      </c>
      <c r="F428" s="7" t="str">
        <f>VLOOKUP(A428,Sheet2!$A$2:$R$3432,3,0)</f>
        <v>Omkar</v>
      </c>
      <c r="G428" s="5" t="s">
        <v>25</v>
      </c>
      <c r="H428" s="5" t="s">
        <v>25</v>
      </c>
      <c r="I428" s="5" t="s">
        <v>25</v>
      </c>
      <c r="J428" s="5" t="s">
        <v>25</v>
      </c>
      <c r="K428" s="7" t="str">
        <f>VLOOKUP(A428,Sheet2!$A$2:$R$3432,6,0)</f>
        <v>Yamaha FZ V3</v>
      </c>
      <c r="L428" s="5" t="s">
        <v>25</v>
      </c>
      <c r="M428" s="7" t="str">
        <f>VLOOKUP(A428,Sheet2!$A$2:$R$3432,5,0)</f>
        <v>MH10DJ6558</v>
      </c>
      <c r="N428" s="5" t="s">
        <v>25</v>
      </c>
      <c r="O428" s="5" t="s">
        <v>25</v>
      </c>
      <c r="P428" s="6" t="s">
        <v>25</v>
      </c>
      <c r="Q428" s="5" t="s">
        <v>25</v>
      </c>
      <c r="R428" s="5" t="s">
        <v>25</v>
      </c>
      <c r="S428" s="7" t="str">
        <f>VLOOKUP(A428,Sheet2!$A$2:$R$3432,18,0)</f>
        <v/>
      </c>
      <c r="T428" s="7" t="str">
        <f>VLOOKUP(A428,Sheet2!$A$2:$R$3432,17,0)</f>
        <v/>
      </c>
    </row>
    <row r="429" ht="15.75" customHeight="1">
      <c r="A429" s="3" t="s">
        <v>452</v>
      </c>
      <c r="B429" s="4" t="str">
        <f>VLOOKUP(A429,Sheet2!$A$2:$R$3432,2,0)</f>
        <v>2025-03-12 20:25:38</v>
      </c>
      <c r="C429" s="5" t="s">
        <v>25</v>
      </c>
      <c r="D429" s="6" t="s">
        <v>25</v>
      </c>
      <c r="E429" s="7">
        <f>VLOOKUP(A429,Sheet2!$A$2:$R$3432,4,0)</f>
        <v>9979133935</v>
      </c>
      <c r="F429" s="7" t="str">
        <f>VLOOKUP(A429,Sheet2!$A$2:$R$3432,3,0)</f>
        <v>HIMEN TRIVEDI</v>
      </c>
      <c r="G429" s="5" t="s">
        <v>25</v>
      </c>
      <c r="H429" s="5" t="s">
        <v>25</v>
      </c>
      <c r="I429" s="5" t="s">
        <v>25</v>
      </c>
      <c r="J429" s="5" t="s">
        <v>25</v>
      </c>
      <c r="K429" s="7" t="str">
        <f>VLOOKUP(A429,Sheet2!$A$2:$R$3432,6,0)</f>
        <v>Honda Activa 3G</v>
      </c>
      <c r="L429" s="5" t="s">
        <v>25</v>
      </c>
      <c r="M429" s="7" t="str">
        <f>VLOOKUP(A429,Sheet2!$A$2:$R$3432,5,0)</f>
        <v>MH14FK7791</v>
      </c>
      <c r="N429" s="5" t="s">
        <v>25</v>
      </c>
      <c r="O429" s="5" t="s">
        <v>25</v>
      </c>
      <c r="P429" s="6" t="s">
        <v>25</v>
      </c>
      <c r="Q429" s="5" t="s">
        <v>25</v>
      </c>
      <c r="R429" s="5" t="s">
        <v>25</v>
      </c>
      <c r="S429" s="7" t="str">
        <f>VLOOKUP(A429,Sheet2!$A$2:$R$3432,18,0)</f>
        <v/>
      </c>
      <c r="T429" s="7" t="str">
        <f>VLOOKUP(A429,Sheet2!$A$2:$R$3432,17,0)</f>
        <v/>
      </c>
    </row>
    <row r="430" ht="15.75" customHeight="1">
      <c r="A430" s="3" t="s">
        <v>453</v>
      </c>
      <c r="B430" s="4" t="str">
        <f>VLOOKUP(A430,Sheet2!$A$2:$R$3432,2,0)</f>
        <v>2025-03-12 20:26:05</v>
      </c>
      <c r="C430" s="5" t="s">
        <v>25</v>
      </c>
      <c r="D430" s="6" t="s">
        <v>25</v>
      </c>
      <c r="E430" s="7">
        <f>VLOOKUP(A430,Sheet2!$A$2:$R$3432,4,0)</f>
        <v>7020785899</v>
      </c>
      <c r="F430" s="7" t="str">
        <f>VLOOKUP(A430,Sheet2!$A$2:$R$3432,3,0)</f>
        <v>SHRIKANT GAWALI</v>
      </c>
      <c r="G430" s="5" t="s">
        <v>25</v>
      </c>
      <c r="H430" s="5" t="s">
        <v>25</v>
      </c>
      <c r="I430" s="5" t="s">
        <v>25</v>
      </c>
      <c r="J430" s="5" t="s">
        <v>25</v>
      </c>
      <c r="K430" s="7" t="str">
        <f>VLOOKUP(A430,Sheet2!$A$2:$R$3432,6,0)</f>
        <v>Yamaha FZ V3</v>
      </c>
      <c r="L430" s="5" t="s">
        <v>25</v>
      </c>
      <c r="M430" s="7" t="str">
        <f>VLOOKUP(A430,Sheet2!$A$2:$R$3432,5,0)</f>
        <v>MH28BL0797</v>
      </c>
      <c r="N430" s="5" t="s">
        <v>25</v>
      </c>
      <c r="O430" s="5" t="s">
        <v>25</v>
      </c>
      <c r="P430" s="6" t="s">
        <v>25</v>
      </c>
      <c r="Q430" s="5" t="s">
        <v>25</v>
      </c>
      <c r="R430" s="5" t="s">
        <v>25</v>
      </c>
      <c r="S430" s="5" t="str">
        <f>VLOOKUP(A430,Sheet2!$A$2:$R$3432,18,0)</f>
        <v>G3N5E0086670</v>
      </c>
      <c r="T430" s="7" t="str">
        <f>VLOOKUP(A430,Sheet2!$A$2:$R$3432,17,0)</f>
        <v>ME1RG662PL005868</v>
      </c>
    </row>
    <row r="431" ht="15.75" customHeight="1">
      <c r="A431" s="3" t="s">
        <v>454</v>
      </c>
      <c r="B431" s="4" t="str">
        <f>VLOOKUP(A431,Sheet2!$A$2:$R$3432,2,0)</f>
        <v>2025-03-12 20:26:27</v>
      </c>
      <c r="C431" s="5" t="s">
        <v>25</v>
      </c>
      <c r="D431" s="6" t="s">
        <v>25</v>
      </c>
      <c r="E431" s="7">
        <f>VLOOKUP(A431,Sheet2!$A$2:$R$3432,4,0)</f>
        <v>9112000148</v>
      </c>
      <c r="F431" s="7" t="str">
        <f>VLOOKUP(A431,Sheet2!$A$2:$R$3432,3,0)</f>
        <v>Aditya </v>
      </c>
      <c r="G431" s="5" t="s">
        <v>25</v>
      </c>
      <c r="H431" s="5" t="s">
        <v>25</v>
      </c>
      <c r="I431" s="5" t="s">
        <v>25</v>
      </c>
      <c r="J431" s="5" t="s">
        <v>25</v>
      </c>
      <c r="K431" s="7" t="str">
        <f>VLOOKUP(A431,Sheet2!$A$2:$R$3432,6,0)</f>
        <v>Suzuki Access 125</v>
      </c>
      <c r="L431" s="5" t="s">
        <v>25</v>
      </c>
      <c r="M431" s="7" t="str">
        <f>VLOOKUP(A431,Sheet2!$A$2:$R$3432,5,0)</f>
        <v>MH27CS8967</v>
      </c>
      <c r="N431" s="5" t="s">
        <v>25</v>
      </c>
      <c r="O431" s="5" t="s">
        <v>25</v>
      </c>
      <c r="P431" s="6" t="s">
        <v>25</v>
      </c>
      <c r="Q431" s="5" t="s">
        <v>25</v>
      </c>
      <c r="R431" s="5" t="s">
        <v>25</v>
      </c>
      <c r="S431" s="5" t="str">
        <f>VLOOKUP(A431,Sheet2!$A$2:$R$3432,18,0)</f>
        <v>AF21245464</v>
      </c>
      <c r="T431" s="7" t="str">
        <f>VLOOKUP(A431,Sheet2!$A$2:$R$3432,17,0)</f>
        <v>MB8DP12DML8489353</v>
      </c>
    </row>
    <row r="432" ht="15.75" customHeight="1">
      <c r="A432" s="3" t="s">
        <v>455</v>
      </c>
      <c r="B432" s="4" t="str">
        <f>VLOOKUP(A432,Sheet2!$A$2:$R$3432,2,0)</f>
        <v>2025-03-12 20:27:05</v>
      </c>
      <c r="C432" s="5" t="s">
        <v>25</v>
      </c>
      <c r="D432" s="6" t="s">
        <v>25</v>
      </c>
      <c r="E432" s="7">
        <f>VLOOKUP(A432,Sheet2!$A$2:$R$3432,4,0)</f>
        <v>9373172927</v>
      </c>
      <c r="F432" s="7" t="str">
        <f>VLOOKUP(A432,Sheet2!$A$2:$R$3432,3,0)</f>
        <v>SELU SINGH</v>
      </c>
      <c r="G432" s="5" t="s">
        <v>25</v>
      </c>
      <c r="H432" s="5" t="s">
        <v>25</v>
      </c>
      <c r="I432" s="5" t="s">
        <v>25</v>
      </c>
      <c r="J432" s="5" t="s">
        <v>25</v>
      </c>
      <c r="K432" s="7" t="str">
        <f>VLOOKUP(A432,Sheet2!$A$2:$R$3432,6,0)</f>
        <v>Hero Splendor Pro</v>
      </c>
      <c r="L432" s="5" t="s">
        <v>25</v>
      </c>
      <c r="M432" s="7" t="str">
        <f>VLOOKUP(A432,Sheet2!$A$2:$R$3432,5,0)</f>
        <v>MH14KX9208</v>
      </c>
      <c r="N432" s="5" t="s">
        <v>25</v>
      </c>
      <c r="O432" s="5" t="s">
        <v>25</v>
      </c>
      <c r="P432" s="6" t="s">
        <v>25</v>
      </c>
      <c r="Q432" s="5" t="s">
        <v>25</v>
      </c>
      <c r="R432" s="5" t="s">
        <v>25</v>
      </c>
      <c r="S432" s="5" t="str">
        <f>VLOOKUP(A432,Sheet2!$A$2:$R$3432,18,0)</f>
        <v>HA11E8P4F09832</v>
      </c>
      <c r="T432" s="7" t="str">
        <f>VLOOKUP(A432,Sheet2!$A$2:$R$3432,17,0)</f>
        <v>MBLHAW228P4F12368</v>
      </c>
    </row>
    <row r="433" ht="15.75" customHeight="1">
      <c r="A433" s="3" t="s">
        <v>456</v>
      </c>
      <c r="B433" s="4" t="str">
        <f>VLOOKUP(A433,Sheet2!$A$2:$R$3432,2,0)</f>
        <v>2025-03-12 20:18:05</v>
      </c>
      <c r="C433" s="5" t="s">
        <v>25</v>
      </c>
      <c r="D433" s="6" t="s">
        <v>25</v>
      </c>
      <c r="E433" s="7">
        <f>VLOOKUP(A433,Sheet2!$A$2:$R$3432,4,0)</f>
        <v>9766611011</v>
      </c>
      <c r="F433" s="7" t="str">
        <f>VLOOKUP(A433,Sheet2!$A$2:$R$3432,3,0)</f>
        <v>ATUL NANDGUDE</v>
      </c>
      <c r="G433" s="5" t="s">
        <v>25</v>
      </c>
      <c r="H433" s="5" t="s">
        <v>25</v>
      </c>
      <c r="I433" s="5" t="s">
        <v>25</v>
      </c>
      <c r="J433" s="5" t="s">
        <v>25</v>
      </c>
      <c r="K433" s="7" t="str">
        <f>VLOOKUP(A433,Sheet2!$A$2:$R$3432,6,0)</f>
        <v>Honda Activa 110</v>
      </c>
      <c r="L433" s="5" t="s">
        <v>25</v>
      </c>
      <c r="M433" s="7" t="str">
        <f>VLOOKUP(A433,Sheet2!$A$2:$R$3432,5,0)</f>
        <v>MH14EB5971</v>
      </c>
      <c r="N433" s="5" t="s">
        <v>25</v>
      </c>
      <c r="O433" s="5" t="s">
        <v>25</v>
      </c>
      <c r="P433" s="6" t="s">
        <v>25</v>
      </c>
      <c r="Q433" s="5" t="s">
        <v>25</v>
      </c>
      <c r="R433" s="5" t="s">
        <v>25</v>
      </c>
      <c r="S433" s="7" t="str">
        <f>VLOOKUP(A433,Sheet2!$A$2:$R$3432,18,0)</f>
        <v/>
      </c>
      <c r="T433" s="7" t="str">
        <f>VLOOKUP(A433,Sheet2!$A$2:$R$3432,17,0)</f>
        <v/>
      </c>
    </row>
    <row r="434" ht="15.75" customHeight="1">
      <c r="A434" s="3" t="s">
        <v>457</v>
      </c>
      <c r="B434" s="4" t="str">
        <f>VLOOKUP(A434,Sheet2!$A$2:$R$3432,2,0)</f>
        <v>2025-02-16 18:03:06</v>
      </c>
      <c r="C434" s="5" t="s">
        <v>25</v>
      </c>
      <c r="D434" s="6" t="s">
        <v>25</v>
      </c>
      <c r="E434" s="7">
        <f>VLOOKUP(A434,Sheet2!$A$2:$R$3432,4,0)</f>
        <v>9767136223</v>
      </c>
      <c r="F434" s="7" t="str">
        <f>VLOOKUP(A434,Sheet2!$A$2:$R$3432,3,0)</f>
        <v>Bhagwat</v>
      </c>
      <c r="G434" s="5" t="s">
        <v>25</v>
      </c>
      <c r="H434" s="5" t="s">
        <v>25</v>
      </c>
      <c r="I434" s="5" t="s">
        <v>25</v>
      </c>
      <c r="J434" s="5" t="s">
        <v>25</v>
      </c>
      <c r="K434" s="7" t="str">
        <f>VLOOKUP(A434,Sheet2!$A$2:$R$3432,6,0)</f>
        <v>Hero Passion Plus</v>
      </c>
      <c r="L434" s="5" t="s">
        <v>25</v>
      </c>
      <c r="M434" s="7" t="str">
        <f>VLOOKUP(A434,Sheet2!$A$2:$R$3432,5,0)</f>
        <v>MH14AN5442</v>
      </c>
      <c r="N434" s="5" t="s">
        <v>25</v>
      </c>
      <c r="O434" s="5" t="s">
        <v>25</v>
      </c>
      <c r="P434" s="6" t="s">
        <v>25</v>
      </c>
      <c r="Q434" s="5" t="s">
        <v>25</v>
      </c>
      <c r="R434" s="5" t="s">
        <v>25</v>
      </c>
      <c r="S434" s="7" t="str">
        <f>VLOOKUP(A434,Sheet2!$A$2:$R$3432,18,0)</f>
        <v/>
      </c>
      <c r="T434" s="7" t="str">
        <f>VLOOKUP(A434,Sheet2!$A$2:$R$3432,17,0)</f>
        <v/>
      </c>
    </row>
    <row r="435" ht="15.75" customHeight="1">
      <c r="A435" s="3" t="s">
        <v>458</v>
      </c>
      <c r="B435" s="4" t="str">
        <f>VLOOKUP(A435,Sheet2!$A$2:$R$3432,2,0)</f>
        <v>2025-02-16 10:57:38</v>
      </c>
      <c r="C435" s="5" t="s">
        <v>25</v>
      </c>
      <c r="D435" s="6" t="s">
        <v>25</v>
      </c>
      <c r="E435" s="7">
        <f>VLOOKUP(A435,Sheet2!$A$2:$R$3432,4,0)</f>
        <v>8668442535</v>
      </c>
      <c r="F435" s="7" t="str">
        <f>VLOOKUP(A435,Sheet2!$A$2:$R$3432,3,0)</f>
        <v>PARMAR</v>
      </c>
      <c r="G435" s="5" t="s">
        <v>25</v>
      </c>
      <c r="H435" s="5" t="s">
        <v>25</v>
      </c>
      <c r="I435" s="5" t="s">
        <v>25</v>
      </c>
      <c r="J435" s="5" t="s">
        <v>25</v>
      </c>
      <c r="K435" s="7" t="str">
        <f>VLOOKUP(A435,Sheet2!$A$2:$R$3432,6,0)</f>
        <v>Royal Enfield Classic 500</v>
      </c>
      <c r="L435" s="5" t="s">
        <v>25</v>
      </c>
      <c r="M435" s="7" t="str">
        <f>VLOOKUP(A435,Sheet2!$A$2:$R$3432,5,0)</f>
        <v>MH12NT9150</v>
      </c>
      <c r="N435" s="5" t="s">
        <v>25</v>
      </c>
      <c r="O435" s="5" t="s">
        <v>25</v>
      </c>
      <c r="P435" s="6" t="s">
        <v>25</v>
      </c>
      <c r="Q435" s="5" t="s">
        <v>25</v>
      </c>
      <c r="R435" s="5" t="s">
        <v>25</v>
      </c>
      <c r="S435" s="7" t="str">
        <f>VLOOKUP(A435,Sheet2!$A$2:$R$3432,18,0)</f>
        <v/>
      </c>
      <c r="T435" s="7" t="str">
        <f>VLOOKUP(A435,Sheet2!$A$2:$R$3432,17,0)</f>
        <v/>
      </c>
    </row>
    <row r="436" ht="15.75" customHeight="1">
      <c r="A436" s="3" t="s">
        <v>459</v>
      </c>
      <c r="B436" s="4" t="str">
        <f>VLOOKUP(A436,Sheet2!$A$2:$R$3432,2,0)</f>
        <v>2025-02-16 18:05:11</v>
      </c>
      <c r="C436" s="5" t="s">
        <v>25</v>
      </c>
      <c r="D436" s="6" t="s">
        <v>25</v>
      </c>
      <c r="E436" s="7">
        <f>VLOOKUP(A436,Sheet2!$A$2:$R$3432,4,0)</f>
        <v>9604248148</v>
      </c>
      <c r="F436" s="7" t="str">
        <f>VLOOKUP(A436,Sheet2!$A$2:$R$3432,3,0)</f>
        <v>PRASHANT PAWAR</v>
      </c>
      <c r="G436" s="5" t="s">
        <v>25</v>
      </c>
      <c r="H436" s="5" t="s">
        <v>25</v>
      </c>
      <c r="I436" s="5" t="s">
        <v>25</v>
      </c>
      <c r="J436" s="5" t="s">
        <v>25</v>
      </c>
      <c r="K436" s="7" t="str">
        <f>VLOOKUP(A436,Sheet2!$A$2:$R$3432,6,0)</f>
        <v>TVS Scooty PEP Plus</v>
      </c>
      <c r="L436" s="5" t="s">
        <v>25</v>
      </c>
      <c r="M436" s="7" t="str">
        <f>VLOOKUP(A436,Sheet2!$A$2:$R$3432,5,0)</f>
        <v>MH14EX6225</v>
      </c>
      <c r="N436" s="5" t="s">
        <v>25</v>
      </c>
      <c r="O436" s="5" t="s">
        <v>25</v>
      </c>
      <c r="P436" s="6" t="s">
        <v>25</v>
      </c>
      <c r="Q436" s="5" t="s">
        <v>25</v>
      </c>
      <c r="R436" s="5" t="s">
        <v>25</v>
      </c>
      <c r="S436" s="7" t="str">
        <f>VLOOKUP(A436,Sheet2!$A$2:$R$3432,18,0)</f>
        <v/>
      </c>
      <c r="T436" s="7" t="str">
        <f>VLOOKUP(A436,Sheet2!$A$2:$R$3432,17,0)</f>
        <v>MD626BG38F2649870</v>
      </c>
    </row>
    <row r="437" ht="15.75" customHeight="1">
      <c r="A437" s="3" t="s">
        <v>460</v>
      </c>
      <c r="B437" s="4" t="str">
        <f>VLOOKUP(A437,Sheet2!$A$2:$R$3432,2,0)</f>
        <v>2025-02-16 18:02:32</v>
      </c>
      <c r="C437" s="5" t="s">
        <v>25</v>
      </c>
      <c r="D437" s="6" t="s">
        <v>25</v>
      </c>
      <c r="E437" s="7">
        <f>VLOOKUP(A437,Sheet2!$A$2:$R$3432,4,0)</f>
        <v>8123491626</v>
      </c>
      <c r="F437" s="7" t="str">
        <f>VLOOKUP(A437,Sheet2!$A$2:$R$3432,3,0)</f>
        <v>Omkar  Patil</v>
      </c>
      <c r="G437" s="5" t="s">
        <v>25</v>
      </c>
      <c r="H437" s="5" t="s">
        <v>25</v>
      </c>
      <c r="I437" s="5" t="s">
        <v>25</v>
      </c>
      <c r="J437" s="5" t="s">
        <v>25</v>
      </c>
      <c r="K437" s="7" t="str">
        <f>VLOOKUP(A437,Sheet2!$A$2:$R$3432,6,0)</f>
        <v>TVS Apache RTR 200 4V</v>
      </c>
      <c r="L437" s="5" t="s">
        <v>25</v>
      </c>
      <c r="M437" s="7" t="str">
        <f>VLOOKUP(A437,Sheet2!$A$2:$R$3432,5,0)</f>
        <v>MH12NV4780</v>
      </c>
      <c r="N437" s="5" t="s">
        <v>25</v>
      </c>
      <c r="O437" s="5" t="s">
        <v>25</v>
      </c>
      <c r="P437" s="6" t="s">
        <v>25</v>
      </c>
      <c r="Q437" s="5" t="s">
        <v>25</v>
      </c>
      <c r="R437" s="5" t="s">
        <v>25</v>
      </c>
      <c r="S437" s="7" t="str">
        <f>VLOOKUP(A437,Sheet2!$A$2:$R$3432,18,0)</f>
        <v/>
      </c>
      <c r="T437" s="7" t="str">
        <f>VLOOKUP(A437,Sheet2!$A$2:$R$3432,17,0)</f>
        <v/>
      </c>
    </row>
    <row r="438" ht="15.75" customHeight="1">
      <c r="A438" s="3" t="s">
        <v>461</v>
      </c>
      <c r="B438" s="4" t="str">
        <f>VLOOKUP(A438,Sheet2!$A$2:$R$3432,2,0)</f>
        <v>2025-02-16 18:03:49</v>
      </c>
      <c r="C438" s="5" t="s">
        <v>25</v>
      </c>
      <c r="D438" s="6" t="s">
        <v>25</v>
      </c>
      <c r="E438" s="7">
        <f>VLOOKUP(A438,Sheet2!$A$2:$R$3432,4,0)</f>
        <v>9930807660</v>
      </c>
      <c r="F438" s="7" t="str">
        <f>VLOOKUP(A438,Sheet2!$A$2:$R$3432,3,0)</f>
        <v>NILESH SAINI</v>
      </c>
      <c r="G438" s="5" t="s">
        <v>25</v>
      </c>
      <c r="H438" s="5" t="s">
        <v>25</v>
      </c>
      <c r="I438" s="5" t="s">
        <v>25</v>
      </c>
      <c r="J438" s="5" t="s">
        <v>25</v>
      </c>
      <c r="K438" s="7" t="str">
        <f>VLOOKUP(A438,Sheet2!$A$2:$R$3432,6,0)</f>
        <v>Honda Livo </v>
      </c>
      <c r="L438" s="5" t="s">
        <v>25</v>
      </c>
      <c r="M438" s="7" t="str">
        <f>VLOOKUP(A438,Sheet2!$A$2:$R$3432,5,0)</f>
        <v>MH04HL2436</v>
      </c>
      <c r="N438" s="5" t="s">
        <v>25</v>
      </c>
      <c r="O438" s="5" t="s">
        <v>25</v>
      </c>
      <c r="P438" s="6" t="s">
        <v>25</v>
      </c>
      <c r="Q438" s="5" t="s">
        <v>25</v>
      </c>
      <c r="R438" s="5" t="s">
        <v>25</v>
      </c>
      <c r="S438" s="5" t="str">
        <f>VLOOKUP(A438,Sheet2!$A$2:$R$3432,18,0)</f>
        <v>JC71ET012330</v>
      </c>
      <c r="T438" s="7" t="str">
        <f>VLOOKUP(A438,Sheet2!$A$2:$R$3432,17,0)</f>
        <v>ME4JC713DGT012101</v>
      </c>
    </row>
    <row r="439" ht="15.75" customHeight="1">
      <c r="A439" s="3" t="s">
        <v>462</v>
      </c>
      <c r="B439" s="4" t="str">
        <f>VLOOKUP(A439,Sheet2!$A$2:$R$3432,2,0)</f>
        <v>2025-02-16 19:21:45</v>
      </c>
      <c r="C439" s="5" t="s">
        <v>25</v>
      </c>
      <c r="D439" s="6" t="s">
        <v>25</v>
      </c>
      <c r="E439" s="7">
        <f>VLOOKUP(A439,Sheet2!$A$2:$R$3432,4,0)</f>
        <v>8626080389</v>
      </c>
      <c r="F439" s="7" t="str">
        <f>VLOOKUP(A439,Sheet2!$A$2:$R$3432,3,0)</f>
        <v>Dhiraj Bokade</v>
      </c>
      <c r="G439" s="5" t="s">
        <v>25</v>
      </c>
      <c r="H439" s="5" t="s">
        <v>25</v>
      </c>
      <c r="I439" s="5" t="s">
        <v>25</v>
      </c>
      <c r="J439" s="5" t="s">
        <v>25</v>
      </c>
      <c r="K439" s="7" t="str">
        <f>VLOOKUP(A439,Sheet2!$A$2:$R$3432,6,0)</f>
        <v>Yamaha FZ </v>
      </c>
      <c r="L439" s="5" t="s">
        <v>25</v>
      </c>
      <c r="M439" s="7" t="str">
        <f>VLOOKUP(A439,Sheet2!$A$2:$R$3432,5,0)</f>
        <v>MH43AE0646</v>
      </c>
      <c r="N439" s="5" t="s">
        <v>25</v>
      </c>
      <c r="O439" s="5" t="s">
        <v>25</v>
      </c>
      <c r="P439" s="6" t="s">
        <v>25</v>
      </c>
      <c r="Q439" s="5" t="s">
        <v>25</v>
      </c>
      <c r="R439" s="5" t="s">
        <v>25</v>
      </c>
      <c r="S439" s="5" t="str">
        <f>VLOOKUP(A439,Sheet2!$A$2:$R$3432,18,0)</f>
        <v>21C1083010</v>
      </c>
      <c r="T439" s="7" t="str">
        <f>VLOOKUP(A439,Sheet2!$A$2:$R$3432,17,0)</f>
        <v>ME121C011A2082905</v>
      </c>
    </row>
    <row r="440" ht="15.75" customHeight="1">
      <c r="A440" s="3" t="s">
        <v>463</v>
      </c>
      <c r="B440" s="4" t="str">
        <f>VLOOKUP(A440,Sheet2!$A$2:$R$3432,2,0)</f>
        <v>2025-02-16 19:24:19</v>
      </c>
      <c r="C440" s="5" t="s">
        <v>25</v>
      </c>
      <c r="D440" s="6" t="s">
        <v>25</v>
      </c>
      <c r="E440" s="7">
        <f>VLOOKUP(A440,Sheet2!$A$2:$R$3432,4,0)</f>
        <v>9975190975</v>
      </c>
      <c r="F440" s="7" t="str">
        <f>VLOOKUP(A440,Sheet2!$A$2:$R$3432,3,0)</f>
        <v>BHAVESH</v>
      </c>
      <c r="G440" s="5" t="s">
        <v>25</v>
      </c>
      <c r="H440" s="5" t="s">
        <v>25</v>
      </c>
      <c r="I440" s="5" t="s">
        <v>25</v>
      </c>
      <c r="J440" s="5" t="s">
        <v>25</v>
      </c>
      <c r="K440" s="7" t="str">
        <f>VLOOKUP(A440,Sheet2!$A$2:$R$3432,6,0)</f>
        <v>Honda Grazia </v>
      </c>
      <c r="L440" s="5" t="s">
        <v>25</v>
      </c>
      <c r="M440" s="7" t="str">
        <f>VLOOKUP(A440,Sheet2!$A$2:$R$3432,5,0)</f>
        <v>MH16CR9757</v>
      </c>
      <c r="N440" s="5" t="s">
        <v>25</v>
      </c>
      <c r="O440" s="5" t="s">
        <v>25</v>
      </c>
      <c r="P440" s="6" t="s">
        <v>25</v>
      </c>
      <c r="Q440" s="5" t="s">
        <v>25</v>
      </c>
      <c r="R440" s="5" t="s">
        <v>25</v>
      </c>
      <c r="S440" s="5" t="str">
        <f>VLOOKUP(A440,Sheet2!$A$2:$R$3432,18,0)</f>
        <v>JF49EW2022929</v>
      </c>
      <c r="T440" s="7" t="str">
        <f>VLOOKUP(A440,Sheet2!$A$2:$R$3432,17,0)</f>
        <v>ME4JF49KEKW0053967</v>
      </c>
    </row>
    <row r="441" ht="15.75" customHeight="1">
      <c r="A441" s="3" t="s">
        <v>464</v>
      </c>
      <c r="B441" s="4" t="str">
        <f>VLOOKUP(A441,Sheet2!$A$2:$R$3432,2,0)</f>
        <v>2025-02-16 19:25:03</v>
      </c>
      <c r="C441" s="5" t="s">
        <v>25</v>
      </c>
      <c r="D441" s="6" t="s">
        <v>25</v>
      </c>
      <c r="E441" s="7">
        <f>VLOOKUP(A441,Sheet2!$A$2:$R$3432,4,0)</f>
        <v>7888040218</v>
      </c>
      <c r="F441" s="7" t="str">
        <f>VLOOKUP(A441,Sheet2!$A$2:$R$3432,3,0)</f>
        <v>PRAKASH</v>
      </c>
      <c r="G441" s="5" t="s">
        <v>25</v>
      </c>
      <c r="H441" s="5" t="s">
        <v>25</v>
      </c>
      <c r="I441" s="5" t="s">
        <v>25</v>
      </c>
      <c r="J441" s="5" t="s">
        <v>25</v>
      </c>
      <c r="K441" s="7" t="str">
        <f>VLOOKUP(A441,Sheet2!$A$2:$R$3432,6,0)</f>
        <v>TVS Scooty Zest</v>
      </c>
      <c r="L441" s="5" t="s">
        <v>25</v>
      </c>
      <c r="M441" s="7" t="str">
        <f>VLOOKUP(A441,Sheet2!$A$2:$R$3432,5,0)</f>
        <v>MH14GQ6914</v>
      </c>
      <c r="N441" s="5" t="s">
        <v>25</v>
      </c>
      <c r="O441" s="5" t="s">
        <v>25</v>
      </c>
      <c r="P441" s="6" t="s">
        <v>25</v>
      </c>
      <c r="Q441" s="5" t="s">
        <v>25</v>
      </c>
      <c r="R441" s="5" t="s">
        <v>25</v>
      </c>
      <c r="S441" s="5" t="str">
        <f>VLOOKUP(A441,Sheet2!$A$2:$R$3432,18,0)</f>
        <v>FG4LH2355574</v>
      </c>
      <c r="T441" s="7" t="str">
        <f>VLOOKUP(A441,Sheet2!$A$2:$R$3432,17,0)</f>
        <v>MD626FG40HZL306105</v>
      </c>
    </row>
    <row r="442" ht="15.75" customHeight="1">
      <c r="A442" s="3" t="s">
        <v>465</v>
      </c>
      <c r="B442" s="4" t="str">
        <f>VLOOKUP(A442,Sheet2!$A$2:$R$3432,2,0)</f>
        <v>2025-02-16 19:25:26</v>
      </c>
      <c r="C442" s="5" t="s">
        <v>25</v>
      </c>
      <c r="D442" s="6" t="s">
        <v>25</v>
      </c>
      <c r="E442" s="7">
        <f>VLOOKUP(A442,Sheet2!$A$2:$R$3432,4,0)</f>
        <v>9359277762</v>
      </c>
      <c r="F442" s="7" t="str">
        <f>VLOOKUP(A442,Sheet2!$A$2:$R$3432,3,0)</f>
        <v>Vikrant Chavan </v>
      </c>
      <c r="G442" s="5" t="s">
        <v>25</v>
      </c>
      <c r="H442" s="5" t="s">
        <v>25</v>
      </c>
      <c r="I442" s="5" t="s">
        <v>25</v>
      </c>
      <c r="J442" s="5" t="s">
        <v>25</v>
      </c>
      <c r="K442" s="7" t="str">
        <f>VLOOKUP(A442,Sheet2!$A$2:$R$3432,6,0)</f>
        <v>Honda Activa 5G</v>
      </c>
      <c r="L442" s="5" t="s">
        <v>25</v>
      </c>
      <c r="M442" s="7" t="str">
        <f>VLOOKUP(A442,Sheet2!$A$2:$R$3432,5,0)</f>
        <v>MH14HH3024</v>
      </c>
      <c r="N442" s="5" t="s">
        <v>25</v>
      </c>
      <c r="O442" s="5" t="s">
        <v>25</v>
      </c>
      <c r="P442" s="6" t="s">
        <v>25</v>
      </c>
      <c r="Q442" s="5" t="s">
        <v>25</v>
      </c>
      <c r="R442" s="5" t="s">
        <v>25</v>
      </c>
      <c r="S442" s="5" t="str">
        <f>VLOOKUP(A442,Sheet2!$A$2:$R$3432,18,0)</f>
        <v>JF50ET8297249</v>
      </c>
      <c r="T442" s="7" t="str">
        <f>VLOOKUP(A442,Sheet2!$A$2:$R$3432,17,0)</f>
        <v>ME4JF50BLJT297844</v>
      </c>
    </row>
    <row r="443" ht="15.75" customHeight="1">
      <c r="A443" s="3" t="s">
        <v>466</v>
      </c>
      <c r="B443" s="4" t="str">
        <f>VLOOKUP(A443,Sheet2!$A$2:$R$3432,2,0)</f>
        <v>2025-02-16 19:26:11</v>
      </c>
      <c r="C443" s="5" t="s">
        <v>25</v>
      </c>
      <c r="D443" s="6" t="s">
        <v>25</v>
      </c>
      <c r="E443" s="7">
        <f>VLOOKUP(A443,Sheet2!$A$2:$R$3432,4,0)</f>
        <v>9595148548</v>
      </c>
      <c r="F443" s="7" t="str">
        <f>VLOOKUP(A443,Sheet2!$A$2:$R$3432,3,0)</f>
        <v>PRATIK MASKE</v>
      </c>
      <c r="G443" s="5" t="s">
        <v>25</v>
      </c>
      <c r="H443" s="5" t="s">
        <v>25</v>
      </c>
      <c r="I443" s="5" t="s">
        <v>25</v>
      </c>
      <c r="J443" s="5" t="s">
        <v>25</v>
      </c>
      <c r="K443" s="7" t="str">
        <f>VLOOKUP(A443,Sheet2!$A$2:$R$3432,6,0)</f>
        <v>Bajaj Pulsar 150</v>
      </c>
      <c r="L443" s="5" t="s">
        <v>25</v>
      </c>
      <c r="M443" s="7" t="str">
        <f>VLOOKUP(A443,Sheet2!$A$2:$R$3432,5,0)</f>
        <v>MH16BG7850</v>
      </c>
      <c r="N443" s="5" t="s">
        <v>25</v>
      </c>
      <c r="O443" s="5" t="s">
        <v>25</v>
      </c>
      <c r="P443" s="6" t="s">
        <v>25</v>
      </c>
      <c r="Q443" s="5" t="s">
        <v>25</v>
      </c>
      <c r="R443" s="5" t="s">
        <v>25</v>
      </c>
      <c r="S443" s="5" t="str">
        <f>VLOOKUP(A443,Sheet2!$A$2:$R$3432,18,0)</f>
        <v>DHZWEE13558</v>
      </c>
      <c r="T443" s="7" t="str">
        <f>VLOOKUP(A443,Sheet2!$A$2:$R$3432,17,0)</f>
        <v>MD2A11CZXE3E270261</v>
      </c>
    </row>
    <row r="444" ht="15.75" customHeight="1">
      <c r="A444" s="3" t="s">
        <v>467</v>
      </c>
      <c r="B444" s="4" t="str">
        <f>VLOOKUP(A444,Sheet2!$A$2:$R$3432,2,0)</f>
        <v>2025-02-16 19:26:38</v>
      </c>
      <c r="C444" s="5" t="s">
        <v>25</v>
      </c>
      <c r="D444" s="6" t="s">
        <v>25</v>
      </c>
      <c r="E444" s="7">
        <f>VLOOKUP(A444,Sheet2!$A$2:$R$3432,4,0)</f>
        <v>8805096141</v>
      </c>
      <c r="F444" s="7" t="str">
        <f>VLOOKUP(A444,Sheet2!$A$2:$R$3432,3,0)</f>
        <v>APEKSHA</v>
      </c>
      <c r="G444" s="5" t="s">
        <v>25</v>
      </c>
      <c r="H444" s="5" t="s">
        <v>25</v>
      </c>
      <c r="I444" s="5" t="s">
        <v>25</v>
      </c>
      <c r="J444" s="5" t="s">
        <v>25</v>
      </c>
      <c r="K444" s="7" t="str">
        <f>VLOOKUP(A444,Sheet2!$A$2:$R$3432,6,0)</f>
        <v>TVS Jupiter </v>
      </c>
      <c r="L444" s="5" t="s">
        <v>25</v>
      </c>
      <c r="M444" s="7" t="str">
        <f>VLOOKUP(A444,Sheet2!$A$2:$R$3432,5,0)</f>
        <v>MH12MG3293</v>
      </c>
      <c r="N444" s="5" t="s">
        <v>25</v>
      </c>
      <c r="O444" s="5" t="s">
        <v>25</v>
      </c>
      <c r="P444" s="6" t="s">
        <v>25</v>
      </c>
      <c r="Q444" s="5" t="s">
        <v>25</v>
      </c>
      <c r="R444" s="5" t="s">
        <v>25</v>
      </c>
      <c r="S444" s="5" t="str">
        <f>VLOOKUP(A444,Sheet2!$A$2:$R$3432,18,0)</f>
        <v>BG4HF1624623</v>
      </c>
      <c r="T444" s="7" t="str">
        <f>VLOOKUP(A444,Sheet2!$A$2:$R$3432,17,0)</f>
        <v>MD626BG43F1H24081</v>
      </c>
    </row>
    <row r="445" ht="15.75" customHeight="1">
      <c r="A445" s="3" t="s">
        <v>468</v>
      </c>
      <c r="B445" s="4" t="str">
        <f>VLOOKUP(A445,Sheet2!$A$2:$R$3432,2,0)</f>
        <v>2025-02-16 19:26:59</v>
      </c>
      <c r="C445" s="5" t="s">
        <v>25</v>
      </c>
      <c r="D445" s="6" t="s">
        <v>25</v>
      </c>
      <c r="E445" s="7">
        <f>VLOOKUP(A445,Sheet2!$A$2:$R$3432,4,0)</f>
        <v>8888700017</v>
      </c>
      <c r="F445" s="7" t="str">
        <f>VLOOKUP(A445,Sheet2!$A$2:$R$3432,3,0)</f>
        <v>PRAVEEN PAWAR </v>
      </c>
      <c r="G445" s="5" t="s">
        <v>25</v>
      </c>
      <c r="H445" s="5" t="s">
        <v>25</v>
      </c>
      <c r="I445" s="5" t="s">
        <v>25</v>
      </c>
      <c r="J445" s="5" t="s">
        <v>25</v>
      </c>
      <c r="K445" s="7" t="str">
        <f>VLOOKUP(A445,Sheet2!$A$2:$R$3432,6,0)</f>
        <v>Honda Dio New</v>
      </c>
      <c r="L445" s="5" t="s">
        <v>25</v>
      </c>
      <c r="M445" s="7" t="str">
        <f>VLOOKUP(A445,Sheet2!$A$2:$R$3432,5,0)</f>
        <v>MH14FU7656</v>
      </c>
      <c r="N445" s="5" t="s">
        <v>25</v>
      </c>
      <c r="O445" s="5" t="s">
        <v>25</v>
      </c>
      <c r="P445" s="6" t="s">
        <v>25</v>
      </c>
      <c r="Q445" s="5" t="s">
        <v>25</v>
      </c>
      <c r="R445" s="5" t="s">
        <v>25</v>
      </c>
      <c r="S445" s="5" t="str">
        <f>VLOOKUP(A445,Sheet2!$A$2:$R$3432,18,0)</f>
        <v>JF39EU104568</v>
      </c>
      <c r="T445" s="7" t="str">
        <f>VLOOKUP(A445,Sheet2!$A$2:$R$3432,17,0)</f>
        <v>ME4JF390H53JCXXXX</v>
      </c>
    </row>
    <row r="446" ht="15.75" customHeight="1">
      <c r="A446" s="3" t="s">
        <v>469</v>
      </c>
      <c r="B446" s="4" t="str">
        <f>VLOOKUP(A446,Sheet2!$A$2:$R$3432,2,0)</f>
        <v>2025-02-16 20:07:56</v>
      </c>
      <c r="C446" s="5" t="s">
        <v>25</v>
      </c>
      <c r="D446" s="6" t="s">
        <v>25</v>
      </c>
      <c r="E446" s="7">
        <f>VLOOKUP(A446,Sheet2!$A$2:$R$3432,4,0)</f>
        <v>8805976827</v>
      </c>
      <c r="F446" s="7" t="str">
        <f>VLOOKUP(A446,Sheet2!$A$2:$R$3432,3,0)</f>
        <v>SHRINAND</v>
      </c>
      <c r="G446" s="5" t="s">
        <v>25</v>
      </c>
      <c r="H446" s="5" t="s">
        <v>25</v>
      </c>
      <c r="I446" s="5" t="s">
        <v>25</v>
      </c>
      <c r="J446" s="5" t="s">
        <v>25</v>
      </c>
      <c r="K446" s="7" t="str">
        <f>VLOOKUP(A446,Sheet2!$A$2:$R$3432,6,0)</f>
        <v>Honda Dream Yuga </v>
      </c>
      <c r="L446" s="5" t="s">
        <v>25</v>
      </c>
      <c r="M446" s="7" t="str">
        <f>VLOOKUP(A446,Sheet2!$A$2:$R$3432,5,0)</f>
        <v>MH26AV7382</v>
      </c>
      <c r="N446" s="5" t="s">
        <v>25</v>
      </c>
      <c r="O446" s="5" t="s">
        <v>25</v>
      </c>
      <c r="P446" s="6" t="s">
        <v>25</v>
      </c>
      <c r="Q446" s="5" t="s">
        <v>25</v>
      </c>
      <c r="R446" s="5" t="s">
        <v>25</v>
      </c>
      <c r="S446" s="5" t="str">
        <f>VLOOKUP(A446,Sheet2!$A$2:$R$3432,18,0)</f>
        <v>JC58E19148J53</v>
      </c>
      <c r="T446" s="7" t="str">
        <f>VLOOKUP(A446,Sheet2!$A$2:$R$3432,17,0)</f>
        <v>ME4JC38SHFT198694</v>
      </c>
    </row>
    <row r="447" ht="15.75" customHeight="1">
      <c r="A447" s="3" t="s">
        <v>470</v>
      </c>
      <c r="B447" s="4" t="str">
        <f>VLOOKUP(A447,Sheet2!$A$2:$R$3432,2,0)</f>
        <v>2025-02-16 20:07:36</v>
      </c>
      <c r="C447" s="5" t="s">
        <v>25</v>
      </c>
      <c r="D447" s="6" t="s">
        <v>25</v>
      </c>
      <c r="E447" s="7">
        <f>VLOOKUP(A447,Sheet2!$A$2:$R$3432,4,0)</f>
        <v>7744895583</v>
      </c>
      <c r="F447" s="7" t="str">
        <f>VLOOKUP(A447,Sheet2!$A$2:$R$3432,3,0)</f>
        <v>Rohan </v>
      </c>
      <c r="G447" s="5" t="s">
        <v>25</v>
      </c>
      <c r="H447" s="5" t="s">
        <v>25</v>
      </c>
      <c r="I447" s="5" t="s">
        <v>25</v>
      </c>
      <c r="J447" s="5" t="s">
        <v>25</v>
      </c>
      <c r="K447" s="7" t="str">
        <f>VLOOKUP(A447,Sheet2!$A$2:$R$3432,6,0)</f>
        <v>Yamaha R15 V3</v>
      </c>
      <c r="L447" s="5" t="s">
        <v>25</v>
      </c>
      <c r="M447" s="7" t="str">
        <f>VLOOKUP(A447,Sheet2!$A$2:$R$3432,5,0)</f>
        <v>MH14JT9553</v>
      </c>
      <c r="N447" s="5" t="s">
        <v>25</v>
      </c>
      <c r="O447" s="5" t="s">
        <v>25</v>
      </c>
      <c r="P447" s="6" t="s">
        <v>25</v>
      </c>
      <c r="Q447" s="5" t="s">
        <v>25</v>
      </c>
      <c r="R447" s="5" t="s">
        <v>25</v>
      </c>
      <c r="S447" s="7" t="str">
        <f>VLOOKUP(A447,Sheet2!$A$2:$R$3432,18,0)</f>
        <v/>
      </c>
      <c r="T447" s="7" t="str">
        <f>VLOOKUP(A447,Sheet2!$A$2:$R$3432,17,0)</f>
        <v/>
      </c>
    </row>
    <row r="448" ht="15.75" customHeight="1">
      <c r="A448" s="3" t="s">
        <v>471</v>
      </c>
      <c r="B448" s="4" t="str">
        <f>VLOOKUP(A448,Sheet2!$A$2:$R$3432,2,0)</f>
        <v>2025-02-16 20:08:18</v>
      </c>
      <c r="C448" s="5" t="s">
        <v>25</v>
      </c>
      <c r="D448" s="6" t="s">
        <v>25</v>
      </c>
      <c r="E448" s="7">
        <f>VLOOKUP(A448,Sheet2!$A$2:$R$3432,4,0)</f>
        <v>9922941980</v>
      </c>
      <c r="F448" s="7" t="str">
        <f>VLOOKUP(A448,Sheet2!$A$2:$R$3432,3,0)</f>
        <v>Anil</v>
      </c>
      <c r="G448" s="5" t="s">
        <v>25</v>
      </c>
      <c r="H448" s="5" t="s">
        <v>25</v>
      </c>
      <c r="I448" s="5" t="s">
        <v>25</v>
      </c>
      <c r="J448" s="5" t="s">
        <v>25</v>
      </c>
      <c r="K448" s="7" t="str">
        <f>VLOOKUP(A448,Sheet2!$A$2:$R$3432,6,0)</f>
        <v>TVS Wego </v>
      </c>
      <c r="L448" s="5" t="s">
        <v>25</v>
      </c>
      <c r="M448" s="7" t="str">
        <f>VLOOKUP(A448,Sheet2!$A$2:$R$3432,5,0)</f>
        <v>MH14FE4220</v>
      </c>
      <c r="N448" s="5" t="s">
        <v>25</v>
      </c>
      <c r="O448" s="5" t="s">
        <v>25</v>
      </c>
      <c r="P448" s="6" t="s">
        <v>25</v>
      </c>
      <c r="Q448" s="5" t="s">
        <v>25</v>
      </c>
      <c r="R448" s="5" t="s">
        <v>25</v>
      </c>
      <c r="S448" s="5" t="str">
        <f>VLOOKUP(A448,Sheet2!$A$2:$R$3432,18,0)</f>
        <v>OG4KF1283100</v>
      </c>
      <c r="T448" s="7" t="str">
        <f>VLOOKUP(A448,Sheet2!$A$2:$R$3432,17,0)</f>
        <v>MD626AG42F1K88122</v>
      </c>
    </row>
    <row r="449" ht="15.75" customHeight="1">
      <c r="A449" s="3" t="s">
        <v>472</v>
      </c>
      <c r="B449" s="4" t="str">
        <f>VLOOKUP(A449,Sheet2!$A$2:$R$3432,2,0)</f>
        <v>2025-02-16 20:25:37</v>
      </c>
      <c r="C449" s="5" t="s">
        <v>25</v>
      </c>
      <c r="D449" s="6" t="s">
        <v>25</v>
      </c>
      <c r="E449" s="7">
        <f>VLOOKUP(A449,Sheet2!$A$2:$R$3432,4,0)</f>
        <v>7083009561</v>
      </c>
      <c r="F449" s="7" t="str">
        <f>VLOOKUP(A449,Sheet2!$A$2:$R$3432,3,0)</f>
        <v>Saurabh Gokhale</v>
      </c>
      <c r="G449" s="5" t="s">
        <v>25</v>
      </c>
      <c r="H449" s="5" t="s">
        <v>25</v>
      </c>
      <c r="I449" s="5" t="s">
        <v>25</v>
      </c>
      <c r="J449" s="5" t="s">
        <v>25</v>
      </c>
      <c r="K449" s="7" t="str">
        <f>VLOOKUP(A449,Sheet2!$A$2:$R$3432,6,0)</f>
        <v>TVS Jupiter </v>
      </c>
      <c r="L449" s="5" t="s">
        <v>25</v>
      </c>
      <c r="M449" s="7" t="str">
        <f>VLOOKUP(A449,Sheet2!$A$2:$R$3432,5,0)</f>
        <v>MH14GP3806</v>
      </c>
      <c r="N449" s="5" t="s">
        <v>25</v>
      </c>
      <c r="O449" s="5" t="s">
        <v>25</v>
      </c>
      <c r="P449" s="6" t="s">
        <v>25</v>
      </c>
      <c r="Q449" s="5" t="s">
        <v>25</v>
      </c>
      <c r="R449" s="5" t="s">
        <v>25</v>
      </c>
      <c r="S449" s="5" t="str">
        <f>VLOOKUP(A449,Sheet2!$A$2:$R$3432,18,0)</f>
        <v>EG4HH2414578</v>
      </c>
      <c r="T449" s="7" t="str">
        <f>VLOOKUP(A449,Sheet2!$A$2:$R$3432,17,0)</f>
        <v>MD626EG41H3460313</v>
      </c>
    </row>
    <row r="450" ht="15.75" customHeight="1">
      <c r="A450" s="3" t="s">
        <v>473</v>
      </c>
      <c r="B450" s="4" t="str">
        <f>VLOOKUP(A450,Sheet2!$A$2:$R$3432,2,0)</f>
        <v>2024-12-12 10:57:29</v>
      </c>
      <c r="C450" s="5" t="s">
        <v>25</v>
      </c>
      <c r="D450" s="6" t="s">
        <v>25</v>
      </c>
      <c r="E450" s="7">
        <f>VLOOKUP(A450,Sheet2!$A$2:$R$3432,4,0)</f>
        <v>8390784579</v>
      </c>
      <c r="F450" s="7" t="str">
        <f>VLOOKUP(A450,Sheet2!$A$2:$R$3432,3,0)</f>
        <v>Thakare </v>
      </c>
      <c r="G450" s="5" t="s">
        <v>25</v>
      </c>
      <c r="H450" s="5" t="s">
        <v>25</v>
      </c>
      <c r="I450" s="5" t="s">
        <v>25</v>
      </c>
      <c r="J450" s="5" t="s">
        <v>25</v>
      </c>
      <c r="K450" s="7" t="str">
        <f>VLOOKUP(A450,Sheet2!$A$2:$R$3432,6,0)</f>
        <v>Honda Activa 110</v>
      </c>
      <c r="L450" s="5" t="s">
        <v>25</v>
      </c>
      <c r="M450" s="7" t="str">
        <f>VLOOKUP(A450,Sheet2!$A$2:$R$3432,5,0)</f>
        <v>MH19BN849</v>
      </c>
      <c r="N450" s="5" t="s">
        <v>25</v>
      </c>
      <c r="O450" s="5" t="s">
        <v>25</v>
      </c>
      <c r="P450" s="6" t="s">
        <v>25</v>
      </c>
      <c r="Q450" s="5" t="s">
        <v>25</v>
      </c>
      <c r="R450" s="5" t="s">
        <v>25</v>
      </c>
      <c r="S450" s="7" t="str">
        <f>VLOOKUP(A450,Sheet2!$A$2:$R$3432,18,0)</f>
        <v/>
      </c>
      <c r="T450" s="7" t="str">
        <f>VLOOKUP(A450,Sheet2!$A$2:$R$3432,17,0)</f>
        <v/>
      </c>
    </row>
    <row r="451" ht="15.75" customHeight="1">
      <c r="A451" s="3" t="s">
        <v>474</v>
      </c>
      <c r="B451" s="4" t="str">
        <f>VLOOKUP(A451,Sheet2!$A$2:$R$3432,2,0)</f>
        <v>2024-12-12 18:41:37</v>
      </c>
      <c r="C451" s="5" t="s">
        <v>25</v>
      </c>
      <c r="D451" s="6" t="s">
        <v>25</v>
      </c>
      <c r="E451" s="7">
        <f>VLOOKUP(A451,Sheet2!$A$2:$R$3432,4,0)</f>
        <v>9049435389</v>
      </c>
      <c r="F451" s="7" t="str">
        <f>VLOOKUP(A451,Sheet2!$A$2:$R$3432,3,0)</f>
        <v>AKSHAY MHAPSEKAR</v>
      </c>
      <c r="G451" s="5" t="s">
        <v>25</v>
      </c>
      <c r="H451" s="5" t="s">
        <v>25</v>
      </c>
      <c r="I451" s="5" t="s">
        <v>25</v>
      </c>
      <c r="J451" s="5" t="s">
        <v>25</v>
      </c>
      <c r="K451" s="7" t="str">
        <f>VLOOKUP(A451,Sheet2!$A$2:$R$3432,6,0)</f>
        <v>Honda Activa 110</v>
      </c>
      <c r="L451" s="5" t="s">
        <v>25</v>
      </c>
      <c r="M451" s="7" t="str">
        <f>VLOOKUP(A451,Sheet2!$A$2:$R$3432,5,0)</f>
        <v>MH09CC8801</v>
      </c>
      <c r="N451" s="5" t="s">
        <v>25</v>
      </c>
      <c r="O451" s="5" t="s">
        <v>25</v>
      </c>
      <c r="P451" s="6" t="s">
        <v>25</v>
      </c>
      <c r="Q451" s="5" t="s">
        <v>25</v>
      </c>
      <c r="R451" s="5" t="s">
        <v>25</v>
      </c>
      <c r="S451" s="5" t="str">
        <f>VLOOKUP(A451,Sheet2!$A$2:$R$3432,18,0)</f>
        <v>JC44E5058579</v>
      </c>
      <c r="T451" s="7" t="str">
        <f>VLOOKUP(A451,Sheet2!$A$2:$R$3432,17,0)</f>
        <v>RUSTY FRAME </v>
      </c>
    </row>
    <row r="452" ht="15.75" customHeight="1">
      <c r="A452" s="3" t="s">
        <v>475</v>
      </c>
      <c r="B452" s="4" t="str">
        <f>VLOOKUP(A452,Sheet2!$A$2:$R$3432,2,0)</f>
        <v>2024-12-12 16:09:09</v>
      </c>
      <c r="C452" s="5" t="s">
        <v>25</v>
      </c>
      <c r="D452" s="6" t="s">
        <v>25</v>
      </c>
      <c r="E452" s="7">
        <f>VLOOKUP(A452,Sheet2!$A$2:$R$3432,4,0)</f>
        <v>9850813844</v>
      </c>
      <c r="F452" s="7" t="str">
        <f>VLOOKUP(A452,Sheet2!$A$2:$R$3432,3,0)</f>
        <v>SHUBHAM SAWANT</v>
      </c>
      <c r="G452" s="5" t="s">
        <v>25</v>
      </c>
      <c r="H452" s="5" t="s">
        <v>25</v>
      </c>
      <c r="I452" s="5" t="s">
        <v>25</v>
      </c>
      <c r="J452" s="5" t="s">
        <v>25</v>
      </c>
      <c r="K452" s="7" t="str">
        <f>VLOOKUP(A452,Sheet2!$A$2:$R$3432,6,0)</f>
        <v>Yamaha FZ V3</v>
      </c>
      <c r="L452" s="5" t="s">
        <v>25</v>
      </c>
      <c r="M452" s="7" t="str">
        <f>VLOOKUP(A452,Sheet2!$A$2:$R$3432,5,0)</f>
        <v>MH16DE9330</v>
      </c>
      <c r="N452" s="5" t="s">
        <v>25</v>
      </c>
      <c r="O452" s="5" t="s">
        <v>25</v>
      </c>
      <c r="P452" s="6" t="s">
        <v>25</v>
      </c>
      <c r="Q452" s="5" t="s">
        <v>25</v>
      </c>
      <c r="R452" s="5" t="s">
        <v>25</v>
      </c>
      <c r="S452" s="5" t="str">
        <f>VLOOKUP(A452,Sheet2!$A$2:$R$3432,18,0)</f>
        <v>G3N5E0324543</v>
      </c>
      <c r="T452" s="7" t="str">
        <f>VLOOKUP(A452,Sheet2!$A$2:$R$3432,17,0)</f>
        <v>ME1RG66X4P0001099</v>
      </c>
    </row>
    <row r="453" ht="15.75" customHeight="1">
      <c r="A453" s="3" t="s">
        <v>476</v>
      </c>
      <c r="B453" s="4" t="str">
        <f>VLOOKUP(A453,Sheet2!$A$2:$R$3432,2,0)</f>
        <v>2024-12-12 18:40:54</v>
      </c>
      <c r="C453" s="5" t="s">
        <v>25</v>
      </c>
      <c r="D453" s="6" t="s">
        <v>25</v>
      </c>
      <c r="E453" s="7">
        <f>VLOOKUP(A453,Sheet2!$A$2:$R$3432,4,0)</f>
        <v>9850808004</v>
      </c>
      <c r="F453" s="7" t="str">
        <f>VLOOKUP(A453,Sheet2!$A$2:$R$3432,3,0)</f>
        <v>Kailash</v>
      </c>
      <c r="G453" s="5" t="s">
        <v>25</v>
      </c>
      <c r="H453" s="5" t="s">
        <v>25</v>
      </c>
      <c r="I453" s="5" t="s">
        <v>25</v>
      </c>
      <c r="J453" s="5" t="s">
        <v>25</v>
      </c>
      <c r="K453" s="7" t="str">
        <f>VLOOKUP(A453,Sheet2!$A$2:$R$3432,6,0)</f>
        <v>Honda Activa i</v>
      </c>
      <c r="L453" s="5" t="s">
        <v>25</v>
      </c>
      <c r="M453" s="7" t="str">
        <f>VLOOKUP(A453,Sheet2!$A$2:$R$3432,5,0)</f>
        <v>MH14EJ4635</v>
      </c>
      <c r="N453" s="5" t="s">
        <v>25</v>
      </c>
      <c r="O453" s="5" t="s">
        <v>25</v>
      </c>
      <c r="P453" s="6" t="s">
        <v>25</v>
      </c>
      <c r="Q453" s="5" t="s">
        <v>25</v>
      </c>
      <c r="R453" s="5" t="s">
        <v>25</v>
      </c>
      <c r="S453" s="7" t="str">
        <f>VLOOKUP(A453,Sheet2!$A$2:$R$3432,18,0)</f>
        <v/>
      </c>
      <c r="T453" s="7" t="str">
        <f>VLOOKUP(A453,Sheet2!$A$2:$R$3432,17,0)</f>
        <v/>
      </c>
    </row>
    <row r="454" ht="15.75" customHeight="1">
      <c r="A454" s="3" t="s">
        <v>477</v>
      </c>
      <c r="B454" s="4" t="str">
        <f>VLOOKUP(A454,Sheet2!$A$2:$R$3432,2,0)</f>
        <v>2024-12-12 18:43:18</v>
      </c>
      <c r="C454" s="5" t="s">
        <v>25</v>
      </c>
      <c r="D454" s="6" t="s">
        <v>25</v>
      </c>
      <c r="E454" s="7">
        <f>VLOOKUP(A454,Sheet2!$A$2:$R$3432,4,0)</f>
        <v>9028129763</v>
      </c>
      <c r="F454" s="7" t="str">
        <f>VLOOKUP(A454,Sheet2!$A$2:$R$3432,3,0)</f>
        <v>Palash </v>
      </c>
      <c r="G454" s="5" t="s">
        <v>25</v>
      </c>
      <c r="H454" s="5" t="s">
        <v>25</v>
      </c>
      <c r="I454" s="5" t="s">
        <v>25</v>
      </c>
      <c r="J454" s="5" t="s">
        <v>25</v>
      </c>
      <c r="K454" s="7" t="str">
        <f>VLOOKUP(A454,Sheet2!$A$2:$R$3432,6,0)</f>
        <v>Hero Pleasure </v>
      </c>
      <c r="L454" s="5" t="s">
        <v>25</v>
      </c>
      <c r="M454" s="7" t="str">
        <f>VLOOKUP(A454,Sheet2!$A$2:$R$3432,5,0)</f>
        <v>MH31GZ8150</v>
      </c>
      <c r="N454" s="5" t="s">
        <v>25</v>
      </c>
      <c r="O454" s="5" t="s">
        <v>25</v>
      </c>
      <c r="P454" s="6" t="s">
        <v>25</v>
      </c>
      <c r="Q454" s="5" t="s">
        <v>25</v>
      </c>
      <c r="R454" s="5" t="s">
        <v>25</v>
      </c>
      <c r="S454" s="5" t="str">
        <f>VLOOKUP(A454,Sheet2!$A$2:$R$3432,18,0)</f>
        <v>JE16EGHCE04028</v>
      </c>
      <c r="T454" s="7" t="str">
        <f>VLOOKUP(A454,Sheet2!$A$2:$R$3432,17,0)</f>
        <v>MBCJFN033NGF041231</v>
      </c>
    </row>
    <row r="455" ht="15.75" customHeight="1">
      <c r="A455" s="3" t="s">
        <v>478</v>
      </c>
      <c r="B455" s="4" t="str">
        <f>VLOOKUP(A455,Sheet2!$A$2:$R$3432,2,0)</f>
        <v>2024-12-12 19:40:57</v>
      </c>
      <c r="C455" s="5" t="s">
        <v>25</v>
      </c>
      <c r="D455" s="6" t="s">
        <v>25</v>
      </c>
      <c r="E455" s="7">
        <f>VLOOKUP(A455,Sheet2!$A$2:$R$3432,4,0)</f>
        <v>8087457453</v>
      </c>
      <c r="F455" s="7" t="str">
        <f>VLOOKUP(A455,Sheet2!$A$2:$R$3432,3,0)</f>
        <v>ADITYA</v>
      </c>
      <c r="G455" s="5" t="s">
        <v>25</v>
      </c>
      <c r="H455" s="5" t="s">
        <v>25</v>
      </c>
      <c r="I455" s="5" t="s">
        <v>25</v>
      </c>
      <c r="J455" s="5" t="s">
        <v>25</v>
      </c>
      <c r="K455" s="7" t="str">
        <f>VLOOKUP(A455,Sheet2!$A$2:$R$3432,6,0)</f>
        <v>Yamaha Fascino </v>
      </c>
      <c r="L455" s="5" t="s">
        <v>25</v>
      </c>
      <c r="M455" s="7" t="str">
        <f>VLOOKUP(A455,Sheet2!$A$2:$R$3432,5,0)</f>
        <v>MH14GJ6972</v>
      </c>
      <c r="N455" s="5" t="s">
        <v>25</v>
      </c>
      <c r="O455" s="5" t="s">
        <v>25</v>
      </c>
      <c r="P455" s="6" t="s">
        <v>25</v>
      </c>
      <c r="Q455" s="5" t="s">
        <v>25</v>
      </c>
      <c r="R455" s="5" t="s">
        <v>25</v>
      </c>
      <c r="S455" s="7" t="str">
        <f>VLOOKUP(A455,Sheet2!$A$2:$R$3432,18,0)</f>
        <v/>
      </c>
      <c r="T455" s="7" t="str">
        <f>VLOOKUP(A455,Sheet2!$A$2:$R$3432,17,0)</f>
        <v/>
      </c>
    </row>
    <row r="456" ht="15.75" customHeight="1">
      <c r="A456" s="3" t="s">
        <v>479</v>
      </c>
      <c r="B456" s="4" t="str">
        <f>VLOOKUP(A456,Sheet2!$A$2:$R$3432,2,0)</f>
        <v>2024-12-26 21:02:31</v>
      </c>
      <c r="C456" s="5" t="s">
        <v>25</v>
      </c>
      <c r="D456" s="6" t="s">
        <v>25</v>
      </c>
      <c r="E456" s="7">
        <f>VLOOKUP(A456,Sheet2!$A$2:$R$3432,4,0)</f>
        <v>7743896453</v>
      </c>
      <c r="F456" s="7" t="str">
        <f>VLOOKUP(A456,Sheet2!$A$2:$R$3432,3,0)</f>
        <v>Bhavish</v>
      </c>
      <c r="G456" s="5" t="s">
        <v>25</v>
      </c>
      <c r="H456" s="5" t="s">
        <v>25</v>
      </c>
      <c r="I456" s="5" t="s">
        <v>25</v>
      </c>
      <c r="J456" s="5" t="s">
        <v>25</v>
      </c>
      <c r="K456" s="7" t="str">
        <f>VLOOKUP(A456,Sheet2!$A$2:$R$3432,6,0)</f>
        <v>Honda Activa 3G</v>
      </c>
      <c r="L456" s="5" t="s">
        <v>25</v>
      </c>
      <c r="M456" s="7" t="str">
        <f>VLOOKUP(A456,Sheet2!$A$2:$R$3432,5,0)</f>
        <v>MH20DP2924</v>
      </c>
      <c r="N456" s="5" t="s">
        <v>25</v>
      </c>
      <c r="O456" s="5" t="s">
        <v>25</v>
      </c>
      <c r="P456" s="6" t="s">
        <v>25</v>
      </c>
      <c r="Q456" s="5" t="s">
        <v>25</v>
      </c>
      <c r="R456" s="5" t="s">
        <v>25</v>
      </c>
      <c r="S456" s="7" t="str">
        <f>VLOOKUP(A456,Sheet2!$A$2:$R$3432,18,0)</f>
        <v/>
      </c>
      <c r="T456" s="7" t="str">
        <f>VLOOKUP(A456,Sheet2!$A$2:$R$3432,17,0)</f>
        <v/>
      </c>
    </row>
    <row r="457" ht="15.75" customHeight="1">
      <c r="A457" s="3" t="s">
        <v>480</v>
      </c>
      <c r="B457" s="4" t="str">
        <f>VLOOKUP(A457,Sheet2!$A$2:$R$3432,2,0)</f>
        <v>2024-12-26 21:03:28</v>
      </c>
      <c r="C457" s="5" t="s">
        <v>25</v>
      </c>
      <c r="D457" s="6" t="s">
        <v>25</v>
      </c>
      <c r="E457" s="7">
        <f>VLOOKUP(A457,Sheet2!$A$2:$R$3432,4,0)</f>
        <v>8379044749</v>
      </c>
      <c r="F457" s="7" t="str">
        <f>VLOOKUP(A457,Sheet2!$A$2:$R$3432,3,0)</f>
        <v>Nikhil</v>
      </c>
      <c r="G457" s="5" t="s">
        <v>25</v>
      </c>
      <c r="H457" s="5" t="s">
        <v>25</v>
      </c>
      <c r="I457" s="5" t="s">
        <v>25</v>
      </c>
      <c r="J457" s="5" t="s">
        <v>25</v>
      </c>
      <c r="K457" s="7" t="str">
        <f>VLOOKUP(A457,Sheet2!$A$2:$R$3432,6,0)</f>
        <v>LML Vespa </v>
      </c>
      <c r="L457" s="5" t="s">
        <v>25</v>
      </c>
      <c r="M457" s="7" t="str">
        <f>VLOOKUP(A457,Sheet2!$A$2:$R$3432,5,0)</f>
        <v>MH14JV9070</v>
      </c>
      <c r="N457" s="5" t="s">
        <v>25</v>
      </c>
      <c r="O457" s="5" t="s">
        <v>25</v>
      </c>
      <c r="P457" s="6" t="s">
        <v>25</v>
      </c>
      <c r="Q457" s="5" t="s">
        <v>25</v>
      </c>
      <c r="R457" s="5" t="s">
        <v>25</v>
      </c>
      <c r="S457" s="7" t="str">
        <f>VLOOKUP(A457,Sheet2!$A$2:$R$3432,18,0)</f>
        <v/>
      </c>
      <c r="T457" s="7" t="str">
        <f>VLOOKUP(A457,Sheet2!$A$2:$R$3432,17,0)</f>
        <v/>
      </c>
    </row>
    <row r="458" ht="15.75" customHeight="1">
      <c r="A458" s="3" t="s">
        <v>481</v>
      </c>
      <c r="B458" s="4" t="str">
        <f>VLOOKUP(A458,Sheet2!$A$2:$R$3432,2,0)</f>
        <v>2025-07-09 19:19:37</v>
      </c>
      <c r="C458" s="5" t="s">
        <v>25</v>
      </c>
      <c r="D458" s="6" t="s">
        <v>25</v>
      </c>
      <c r="E458" s="7">
        <f>VLOOKUP(A458,Sheet2!$A$2:$R$3432,4,0)</f>
        <v>8867799921</v>
      </c>
      <c r="F458" s="7" t="str">
        <f>VLOOKUP(A458,Sheet2!$A$2:$R$3432,3,0)</f>
        <v>ALI </v>
      </c>
      <c r="G458" s="5" t="s">
        <v>25</v>
      </c>
      <c r="H458" s="5" t="s">
        <v>25</v>
      </c>
      <c r="I458" s="5" t="s">
        <v>25</v>
      </c>
      <c r="J458" s="5" t="s">
        <v>25</v>
      </c>
      <c r="K458" s="7" t="str">
        <f>VLOOKUP(A458,Sheet2!$A$2:$R$3432,6,0)</f>
        <v>Honda Aviator </v>
      </c>
      <c r="L458" s="5" t="s">
        <v>25</v>
      </c>
      <c r="M458" s="7" t="str">
        <f>VLOOKUP(A458,Sheet2!$A$2:$R$3432,5,0)</f>
        <v>GJ05MH0397</v>
      </c>
      <c r="N458" s="5" t="s">
        <v>25</v>
      </c>
      <c r="O458" s="5" t="s">
        <v>25</v>
      </c>
      <c r="P458" s="6" t="s">
        <v>25</v>
      </c>
      <c r="Q458" s="5" t="s">
        <v>25</v>
      </c>
      <c r="R458" s="5" t="s">
        <v>25</v>
      </c>
      <c r="S458" s="5" t="str">
        <f>VLOOKUP(A458,Sheet2!$A$2:$R$3432,18,0)</f>
        <v>JF21E80304848</v>
      </c>
      <c r="T458" s="7" t="str">
        <f>VLOOKUP(A458,Sheet2!$A$2:$R$3432,17,0)</f>
        <v>ME4JF21FE8255788</v>
      </c>
    </row>
    <row r="459" ht="15.75" customHeight="1">
      <c r="A459" s="3" t="s">
        <v>482</v>
      </c>
      <c r="B459" s="4" t="str">
        <f>VLOOKUP(A459,Sheet2!$A$2:$R$3432,2,0)</f>
        <v>2025-07-09 19:19:54</v>
      </c>
      <c r="C459" s="5" t="s">
        <v>25</v>
      </c>
      <c r="D459" s="6" t="s">
        <v>25</v>
      </c>
      <c r="E459" s="7">
        <f>VLOOKUP(A459,Sheet2!$A$2:$R$3432,4,0)</f>
        <v>7588324090</v>
      </c>
      <c r="F459" s="7" t="str">
        <f>VLOOKUP(A459,Sheet2!$A$2:$R$3432,3,0)</f>
        <v>Aditya Kakad</v>
      </c>
      <c r="G459" s="5" t="s">
        <v>25</v>
      </c>
      <c r="H459" s="5" t="s">
        <v>25</v>
      </c>
      <c r="I459" s="5" t="s">
        <v>25</v>
      </c>
      <c r="J459" s="5" t="s">
        <v>25</v>
      </c>
      <c r="K459" s="7" t="str">
        <f>VLOOKUP(A459,Sheet2!$A$2:$R$3432,6,0)</f>
        <v>Yamaha R15 S</v>
      </c>
      <c r="L459" s="5" t="s">
        <v>25</v>
      </c>
      <c r="M459" s="7" t="str">
        <f>VLOOKUP(A459,Sheet2!$A$2:$R$3432,5,0)</f>
        <v>MH14GT0103</v>
      </c>
      <c r="N459" s="5" t="s">
        <v>25</v>
      </c>
      <c r="O459" s="5" t="s">
        <v>25</v>
      </c>
      <c r="P459" s="6" t="s">
        <v>25</v>
      </c>
      <c r="Q459" s="5" t="s">
        <v>25</v>
      </c>
      <c r="R459" s="5" t="s">
        <v>25</v>
      </c>
      <c r="S459" s="7" t="str">
        <f>VLOOKUP(A459,Sheet2!$A$2:$R$3432,18,0)</f>
        <v/>
      </c>
      <c r="T459" s="7" t="str">
        <f>VLOOKUP(A459,Sheet2!$A$2:$R$3432,17,0)</f>
        <v/>
      </c>
    </row>
    <row r="460" ht="15.75" customHeight="1">
      <c r="A460" s="3" t="s">
        <v>483</v>
      </c>
      <c r="B460" s="4" t="str">
        <f>VLOOKUP(A460,Sheet2!$A$2:$R$3432,2,0)</f>
        <v>2025-07-09 19:42:18</v>
      </c>
      <c r="C460" s="5" t="s">
        <v>25</v>
      </c>
      <c r="D460" s="6" t="s">
        <v>25</v>
      </c>
      <c r="E460" s="7">
        <f>VLOOKUP(A460,Sheet2!$A$2:$R$3432,4,0)</f>
        <v>9820900459</v>
      </c>
      <c r="F460" s="7" t="str">
        <f>VLOOKUP(A460,Sheet2!$A$2:$R$3432,3,0)</f>
        <v>Paresh Jain</v>
      </c>
      <c r="G460" s="5" t="s">
        <v>25</v>
      </c>
      <c r="H460" s="5" t="s">
        <v>25</v>
      </c>
      <c r="I460" s="5" t="s">
        <v>25</v>
      </c>
      <c r="J460" s="5" t="s">
        <v>25</v>
      </c>
      <c r="K460" s="7" t="str">
        <f>VLOOKUP(A460,Sheet2!$A$2:$R$3432,6,0)</f>
        <v>Suzuki Access </v>
      </c>
      <c r="L460" s="5" t="s">
        <v>25</v>
      </c>
      <c r="M460" s="7" t="str">
        <f>VLOOKUP(A460,Sheet2!$A$2:$R$3432,5,0)</f>
        <v>MH14FV6043</v>
      </c>
      <c r="N460" s="5" t="s">
        <v>25</v>
      </c>
      <c r="O460" s="5" t="s">
        <v>25</v>
      </c>
      <c r="P460" s="6" t="s">
        <v>25</v>
      </c>
      <c r="Q460" s="5" t="s">
        <v>25</v>
      </c>
      <c r="R460" s="5" t="s">
        <v>25</v>
      </c>
      <c r="S460" s="7" t="str">
        <f>VLOOKUP(A460,Sheet2!$A$2:$R$3432,18,0)</f>
        <v/>
      </c>
      <c r="T460" s="7" t="str">
        <f>VLOOKUP(A460,Sheet2!$A$2:$R$3432,17,0)</f>
        <v/>
      </c>
    </row>
    <row r="461" ht="15.75" customHeight="1">
      <c r="A461" s="3" t="s">
        <v>484</v>
      </c>
      <c r="B461" s="4" t="str">
        <f>VLOOKUP(A461,Sheet2!$A$2:$R$3432,2,0)</f>
        <v>2025-07-09 19:42:50</v>
      </c>
      <c r="C461" s="5" t="s">
        <v>25</v>
      </c>
      <c r="D461" s="6" t="s">
        <v>25</v>
      </c>
      <c r="E461" s="7">
        <f>VLOOKUP(A461,Sheet2!$A$2:$R$3432,4,0)</f>
        <v>9659394401</v>
      </c>
      <c r="F461" s="7" t="str">
        <f>VLOOKUP(A461,Sheet2!$A$2:$R$3432,3,0)</f>
        <v>Santhosh R</v>
      </c>
      <c r="G461" s="5" t="s">
        <v>25</v>
      </c>
      <c r="H461" s="5" t="s">
        <v>25</v>
      </c>
      <c r="I461" s="5" t="s">
        <v>25</v>
      </c>
      <c r="J461" s="5" t="s">
        <v>25</v>
      </c>
      <c r="K461" s="7" t="str">
        <f>VLOOKUP(A461,Sheet2!$A$2:$R$3432,6,0)</f>
        <v>Yamaha FZ S 2.0</v>
      </c>
      <c r="L461" s="5" t="s">
        <v>25</v>
      </c>
      <c r="M461" s="7" t="str">
        <f>VLOOKUP(A461,Sheet2!$A$2:$R$3432,5,0)</f>
        <v>TN40R8064</v>
      </c>
      <c r="N461" s="5" t="s">
        <v>25</v>
      </c>
      <c r="O461" s="5" t="s">
        <v>25</v>
      </c>
      <c r="P461" s="6" t="s">
        <v>25</v>
      </c>
      <c r="Q461" s="5" t="s">
        <v>25</v>
      </c>
      <c r="R461" s="5" t="s">
        <v>25</v>
      </c>
      <c r="S461" s="5" t="str">
        <f>VLOOKUP(A461,Sheet2!$A$2:$R$3432,18,0)</f>
        <v>G3L5E0022648</v>
      </c>
      <c r="T461" s="7" t="str">
        <f>VLOOKUP(A461,Sheet2!$A$2:$R$3432,17,0)</f>
        <v>ME1RG4489J0019890</v>
      </c>
    </row>
    <row r="462" ht="15.75" customHeight="1">
      <c r="A462" s="3" t="s">
        <v>485</v>
      </c>
      <c r="B462" s="4" t="str">
        <f>VLOOKUP(A462,Sheet2!$A$2:$R$3432,2,0)</f>
        <v>2025-07-09 19:43:12</v>
      </c>
      <c r="C462" s="5" t="s">
        <v>25</v>
      </c>
      <c r="D462" s="6" t="s">
        <v>25</v>
      </c>
      <c r="E462" s="7">
        <f>VLOOKUP(A462,Sheet2!$A$2:$R$3432,4,0)</f>
        <v>9920887998</v>
      </c>
      <c r="F462" s="7" t="str">
        <f>VLOOKUP(A462,Sheet2!$A$2:$R$3432,3,0)</f>
        <v>Prajot Kulkarni</v>
      </c>
      <c r="G462" s="5" t="s">
        <v>25</v>
      </c>
      <c r="H462" s="5" t="s">
        <v>25</v>
      </c>
      <c r="I462" s="5" t="s">
        <v>25</v>
      </c>
      <c r="J462" s="5" t="s">
        <v>25</v>
      </c>
      <c r="K462" s="7" t="str">
        <f>VLOOKUP(A462,Sheet2!$A$2:$R$3432,6,0)</f>
        <v>Bajaj Avenger 220 Street</v>
      </c>
      <c r="L462" s="5" t="s">
        <v>25</v>
      </c>
      <c r="M462" s="7" t="str">
        <f>VLOOKUP(A462,Sheet2!$A$2:$R$3432,5,0)</f>
        <v>MH14GR5818</v>
      </c>
      <c r="N462" s="5" t="s">
        <v>25</v>
      </c>
      <c r="O462" s="5" t="s">
        <v>25</v>
      </c>
      <c r="P462" s="6" t="s">
        <v>25</v>
      </c>
      <c r="Q462" s="5" t="s">
        <v>25</v>
      </c>
      <c r="R462" s="5" t="s">
        <v>25</v>
      </c>
      <c r="S462" s="5" t="str">
        <f>VLOOKUP(A462,Sheet2!$A$2:$R$3432,18,0)</f>
        <v>PDYCHH82232</v>
      </c>
      <c r="T462" s="7" t="str">
        <f>VLOOKUP(A462,Sheet2!$A$2:$R$3432,17,0)</f>
        <v>MD2A22EY8HCH68504</v>
      </c>
    </row>
    <row r="463" ht="15.75" customHeight="1">
      <c r="A463" s="3" t="s">
        <v>486</v>
      </c>
      <c r="B463" s="4" t="str">
        <f>VLOOKUP(A463,Sheet2!$A$2:$R$3432,2,0)</f>
        <v>2025-07-09 19:44:16</v>
      </c>
      <c r="C463" s="5" t="s">
        <v>25</v>
      </c>
      <c r="D463" s="6" t="s">
        <v>25</v>
      </c>
      <c r="E463" s="7">
        <f>VLOOKUP(A463,Sheet2!$A$2:$R$3432,4,0)</f>
        <v>9130828551</v>
      </c>
      <c r="F463" s="7" t="str">
        <f>VLOOKUP(A463,Sheet2!$A$2:$R$3432,3,0)</f>
        <v>Swapnil Wakachure</v>
      </c>
      <c r="G463" s="5" t="s">
        <v>25</v>
      </c>
      <c r="H463" s="5" t="s">
        <v>25</v>
      </c>
      <c r="I463" s="5" t="s">
        <v>25</v>
      </c>
      <c r="J463" s="5" t="s">
        <v>25</v>
      </c>
      <c r="K463" s="7" t="str">
        <f>VLOOKUP(A463,Sheet2!$A$2:$R$3432,6,0)</f>
        <v>Hero Xtreme </v>
      </c>
      <c r="L463" s="5" t="s">
        <v>25</v>
      </c>
      <c r="M463" s="7" t="str">
        <f>VLOOKUP(A463,Sheet2!$A$2:$R$3432,5,0)</f>
        <v>MH17X538</v>
      </c>
      <c r="N463" s="5" t="s">
        <v>25</v>
      </c>
      <c r="O463" s="5" t="s">
        <v>25</v>
      </c>
      <c r="P463" s="6" t="s">
        <v>25</v>
      </c>
      <c r="Q463" s="5" t="s">
        <v>25</v>
      </c>
      <c r="R463" s="5" t="s">
        <v>25</v>
      </c>
      <c r="S463" s="5" t="str">
        <f>VLOOKUP(A463,Sheet2!$A$2:$R$3432,18,0)</f>
        <v>064MBMC06</v>
      </c>
      <c r="T463" s="7" t="str">
        <f>VLOOKUP(A463,Sheet2!$A$2:$R$3432,17,0)</f>
        <v>OMBMM05909</v>
      </c>
    </row>
    <row r="464" ht="15.75" customHeight="1">
      <c r="A464" s="3" t="s">
        <v>487</v>
      </c>
      <c r="B464" s="4" t="str">
        <f>VLOOKUP(A464,Sheet2!$A$2:$R$3432,2,0)</f>
        <v>2025-07-09 19:45:49</v>
      </c>
      <c r="C464" s="5" t="s">
        <v>25</v>
      </c>
      <c r="D464" s="6" t="s">
        <v>25</v>
      </c>
      <c r="E464" s="7">
        <f>VLOOKUP(A464,Sheet2!$A$2:$R$3432,4,0)</f>
        <v>8805976827</v>
      </c>
      <c r="F464" s="7" t="str">
        <f>VLOOKUP(A464,Sheet2!$A$2:$R$3432,3,0)</f>
        <v>SHRINAND</v>
      </c>
      <c r="G464" s="5" t="s">
        <v>25</v>
      </c>
      <c r="H464" s="5" t="s">
        <v>25</v>
      </c>
      <c r="I464" s="5" t="s">
        <v>25</v>
      </c>
      <c r="J464" s="5" t="s">
        <v>25</v>
      </c>
      <c r="K464" s="7" t="str">
        <f>VLOOKUP(A464,Sheet2!$A$2:$R$3432,6,0)</f>
        <v>Honda Dream Yuga </v>
      </c>
      <c r="L464" s="5" t="s">
        <v>25</v>
      </c>
      <c r="M464" s="7" t="str">
        <f>VLOOKUP(A464,Sheet2!$A$2:$R$3432,5,0)</f>
        <v>MH26AV7382</v>
      </c>
      <c r="N464" s="5" t="s">
        <v>25</v>
      </c>
      <c r="O464" s="5" t="s">
        <v>25</v>
      </c>
      <c r="P464" s="6" t="s">
        <v>25</v>
      </c>
      <c r="Q464" s="5" t="s">
        <v>25</v>
      </c>
      <c r="R464" s="5" t="s">
        <v>25</v>
      </c>
      <c r="S464" s="5" t="str">
        <f>VLOOKUP(A464,Sheet2!$A$2:$R$3432,18,0)</f>
        <v>JC58E19148J53</v>
      </c>
      <c r="T464" s="7" t="str">
        <f>VLOOKUP(A464,Sheet2!$A$2:$R$3432,17,0)</f>
        <v>ME4JC38SHFT198694</v>
      </c>
    </row>
    <row r="465" ht="15.75" customHeight="1">
      <c r="A465" s="3" t="s">
        <v>488</v>
      </c>
      <c r="B465" s="4" t="str">
        <f>VLOOKUP(A465,Sheet2!$A$2:$R$3432,2,0)</f>
        <v>2025-07-09 19:45:06</v>
      </c>
      <c r="C465" s="5" t="s">
        <v>25</v>
      </c>
      <c r="D465" s="6" t="s">
        <v>25</v>
      </c>
      <c r="E465" s="7">
        <f>VLOOKUP(A465,Sheet2!$A$2:$R$3432,4,0)</f>
        <v>8626038265</v>
      </c>
      <c r="F465" s="7" t="str">
        <f>VLOOKUP(A465,Sheet2!$A$2:$R$3432,3,0)</f>
        <v>Abhijeet</v>
      </c>
      <c r="G465" s="5" t="s">
        <v>25</v>
      </c>
      <c r="H465" s="5" t="s">
        <v>25</v>
      </c>
      <c r="I465" s="5" t="s">
        <v>25</v>
      </c>
      <c r="J465" s="5" t="s">
        <v>25</v>
      </c>
      <c r="K465" s="7" t="str">
        <f>VLOOKUP(A465,Sheet2!$A$2:$R$3432,6,0)</f>
        <v>TVS Apache RTR 160</v>
      </c>
      <c r="L465" s="5" t="s">
        <v>25</v>
      </c>
      <c r="M465" s="7" t="str">
        <f>VLOOKUP(A465,Sheet2!$A$2:$R$3432,5,0)</f>
        <v>MH19DS5281</v>
      </c>
      <c r="N465" s="5" t="s">
        <v>25</v>
      </c>
      <c r="O465" s="5" t="s">
        <v>25</v>
      </c>
      <c r="P465" s="6" t="s">
        <v>25</v>
      </c>
      <c r="Q465" s="5" t="s">
        <v>25</v>
      </c>
      <c r="R465" s="5" t="s">
        <v>25</v>
      </c>
      <c r="S465" s="5" t="str">
        <f>VLOOKUP(A465,Sheet2!$A$2:$R$3432,18,0)</f>
        <v>DE5NL2X14147</v>
      </c>
      <c r="T465" s="7" t="str">
        <f>VLOOKUP(A465,Sheet2!$A$2:$R$3432,17,0)</f>
        <v>MD637DES1L2N14168</v>
      </c>
    </row>
    <row r="466" ht="15.75" customHeight="1">
      <c r="A466" s="3" t="s">
        <v>489</v>
      </c>
      <c r="B466" s="4" t="str">
        <f>VLOOKUP(A466,Sheet2!$A$2:$R$3432,2,0)</f>
        <v>2025-07-09 20:02:27</v>
      </c>
      <c r="C466" s="5" t="s">
        <v>25</v>
      </c>
      <c r="D466" s="6" t="s">
        <v>25</v>
      </c>
      <c r="E466" s="7">
        <f>VLOOKUP(A466,Sheet2!$A$2:$R$3432,4,0)</f>
        <v>9881241879</v>
      </c>
      <c r="F466" s="7" t="str">
        <f>VLOOKUP(A466,Sheet2!$A$2:$R$3432,3,0)</f>
        <v>Sanjay Hande</v>
      </c>
      <c r="G466" s="5" t="s">
        <v>25</v>
      </c>
      <c r="H466" s="5" t="s">
        <v>25</v>
      </c>
      <c r="I466" s="5" t="s">
        <v>25</v>
      </c>
      <c r="J466" s="5" t="s">
        <v>25</v>
      </c>
      <c r="K466" s="7" t="str">
        <f>VLOOKUP(A466,Sheet2!$A$2:$R$3432,6,0)</f>
        <v>TVS Scooty PEP Plus</v>
      </c>
      <c r="L466" s="5" t="s">
        <v>25</v>
      </c>
      <c r="M466" s="7" t="str">
        <f>VLOOKUP(A466,Sheet2!$A$2:$R$3432,5,0)</f>
        <v>MH14DW3492</v>
      </c>
      <c r="N466" s="5" t="s">
        <v>25</v>
      </c>
      <c r="O466" s="5" t="s">
        <v>25</v>
      </c>
      <c r="P466" s="6" t="s">
        <v>25</v>
      </c>
      <c r="Q466" s="5" t="s">
        <v>25</v>
      </c>
      <c r="R466" s="5" t="s">
        <v>25</v>
      </c>
      <c r="S466" s="7" t="str">
        <f>VLOOKUP(A466,Sheet2!$A$2:$R$3432,18,0)</f>
        <v/>
      </c>
      <c r="T466" s="7" t="str">
        <f>VLOOKUP(A466,Sheet2!$A$2:$R$3432,17,0)</f>
        <v>MD626BG36D2C62498</v>
      </c>
    </row>
    <row r="467" ht="15.75" customHeight="1">
      <c r="A467" s="3" t="s">
        <v>490</v>
      </c>
      <c r="B467" s="4" t="str">
        <f>VLOOKUP(A467,Sheet2!$A$2:$R$3432,2,0)</f>
        <v>2025-07-09 20:10:07</v>
      </c>
      <c r="C467" s="5" t="s">
        <v>25</v>
      </c>
      <c r="D467" s="6" t="s">
        <v>25</v>
      </c>
      <c r="E467" s="7">
        <f>VLOOKUP(A467,Sheet2!$A$2:$R$3432,4,0)</f>
        <v>6006019343</v>
      </c>
      <c r="F467" s="7" t="str">
        <f>VLOOKUP(A467,Sheet2!$A$2:$R$3432,3,0)</f>
        <v>ADITYA</v>
      </c>
      <c r="G467" s="5" t="s">
        <v>25</v>
      </c>
      <c r="H467" s="5" t="s">
        <v>25</v>
      </c>
      <c r="I467" s="5" t="s">
        <v>25</v>
      </c>
      <c r="J467" s="5" t="s">
        <v>25</v>
      </c>
      <c r="K467" s="7" t="str">
        <f>VLOOKUP(A467,Sheet2!$A$2:$R$3432,6,0)</f>
        <v>TVS Apache RTR 200 4V</v>
      </c>
      <c r="L467" s="5" t="s">
        <v>25</v>
      </c>
      <c r="M467" s="7" t="str">
        <f>VLOOKUP(A467,Sheet2!$A$2:$R$3432,5,0)</f>
        <v>MH14GL1299</v>
      </c>
      <c r="N467" s="5" t="s">
        <v>25</v>
      </c>
      <c r="O467" s="5" t="s">
        <v>25</v>
      </c>
      <c r="P467" s="6" t="s">
        <v>25</v>
      </c>
      <c r="Q467" s="5" t="s">
        <v>25</v>
      </c>
      <c r="R467" s="5" t="s">
        <v>25</v>
      </c>
      <c r="S467" s="5" t="str">
        <f>VLOOKUP(A467,Sheet2!$A$2:$R$3432,18,0)</f>
        <v>BR1EH209936</v>
      </c>
      <c r="T467" s="7" t="str">
        <f>VLOOKUP(A467,Sheet2!$A$2:$R$3432,17,0)</f>
        <v>MD637BR2ZHZG19856</v>
      </c>
    </row>
    <row r="468" ht="15.75" customHeight="1">
      <c r="A468" s="3" t="s">
        <v>491</v>
      </c>
      <c r="B468" s="4" t="str">
        <f>VLOOKUP(A468,Sheet2!$A$2:$R$3432,2,0)</f>
        <v>2025-07-09 20:25:24</v>
      </c>
      <c r="C468" s="5" t="s">
        <v>25</v>
      </c>
      <c r="D468" s="6" t="s">
        <v>25</v>
      </c>
      <c r="E468" s="7">
        <f>VLOOKUP(A468,Sheet2!$A$2:$R$3432,4,0)</f>
        <v>7620226043</v>
      </c>
      <c r="F468" s="7" t="str">
        <f>VLOOKUP(A468,Sheet2!$A$2:$R$3432,3,0)</f>
        <v>Mayuresh </v>
      </c>
      <c r="G468" s="5" t="s">
        <v>25</v>
      </c>
      <c r="H468" s="5" t="s">
        <v>25</v>
      </c>
      <c r="I468" s="5" t="s">
        <v>25</v>
      </c>
      <c r="J468" s="5" t="s">
        <v>25</v>
      </c>
      <c r="K468" s="7" t="str">
        <f>VLOOKUP(A468,Sheet2!$A$2:$R$3432,6,0)</f>
        <v>Hero Pleasure </v>
      </c>
      <c r="L468" s="5" t="s">
        <v>25</v>
      </c>
      <c r="M468" s="7" t="str">
        <f>VLOOKUP(A468,Sheet2!$A$2:$R$3432,5,0)</f>
        <v>MH19BR8125</v>
      </c>
      <c r="N468" s="5" t="s">
        <v>25</v>
      </c>
      <c r="O468" s="5" t="s">
        <v>25</v>
      </c>
      <c r="P468" s="6" t="s">
        <v>25</v>
      </c>
      <c r="Q468" s="5" t="s">
        <v>25</v>
      </c>
      <c r="R468" s="5" t="s">
        <v>25</v>
      </c>
      <c r="S468" s="5" t="str">
        <f>VLOOKUP(A468,Sheet2!$A$2:$R$3432,18,0)</f>
        <v>JF16EEGC29322</v>
      </c>
      <c r="T468" s="7" t="str">
        <f>VLOOKUP(A468,Sheet2!$A$2:$R$3432,17,0)</f>
        <v>MBLJF16E</v>
      </c>
    </row>
    <row r="469" ht="15.75" customHeight="1">
      <c r="A469" s="3" t="s">
        <v>492</v>
      </c>
      <c r="B469" s="4" t="str">
        <f>VLOOKUP(A469,Sheet2!$A$2:$R$3432,2,0)</f>
        <v>2025-07-09 07:14:34</v>
      </c>
      <c r="C469" s="5" t="s">
        <v>25</v>
      </c>
      <c r="D469" s="6" t="s">
        <v>25</v>
      </c>
      <c r="E469" s="7">
        <f>VLOOKUP(A469,Sheet2!$A$2:$R$3432,4,0)</f>
        <v>9159645953</v>
      </c>
      <c r="F469" s="7" t="str">
        <f>VLOOKUP(A469,Sheet2!$A$2:$R$3432,3,0)</f>
        <v>GAURAV </v>
      </c>
      <c r="G469" s="5" t="s">
        <v>25</v>
      </c>
      <c r="H469" s="5" t="s">
        <v>25</v>
      </c>
      <c r="I469" s="5" t="s">
        <v>25</v>
      </c>
      <c r="J469" s="5" t="s">
        <v>25</v>
      </c>
      <c r="K469" s="7" t="str">
        <f>VLOOKUP(A469,Sheet2!$A$2:$R$3432,6,0)</f>
        <v>TVS Apache RTR 200 4V</v>
      </c>
      <c r="L469" s="5" t="s">
        <v>25</v>
      </c>
      <c r="M469" s="7" t="str">
        <f>VLOOKUP(A469,Sheet2!$A$2:$R$3432,5,0)</f>
        <v>MH12RS1627</v>
      </c>
      <c r="N469" s="5" t="s">
        <v>25</v>
      </c>
      <c r="O469" s="5" t="s">
        <v>25</v>
      </c>
      <c r="P469" s="6" t="s">
        <v>25</v>
      </c>
      <c r="Q469" s="5" t="s">
        <v>25</v>
      </c>
      <c r="R469" s="5" t="s">
        <v>25</v>
      </c>
      <c r="S469" s="5" t="str">
        <f>VLOOKUP(A469,Sheet2!$A$2:$R$3432,18,0)</f>
        <v>BP1DK2500474</v>
      </c>
      <c r="T469" s="7" t="str">
        <f>VLOOKUP(A469,Sheet2!$A$2:$R$3432,17,0)</f>
        <v>MD637CR10K2D0015</v>
      </c>
    </row>
    <row r="470" ht="15.75" customHeight="1">
      <c r="A470" s="3" t="s">
        <v>493</v>
      </c>
      <c r="B470" s="4" t="str">
        <f>VLOOKUP(A470,Sheet2!$A$2:$R$3432,2,0)</f>
        <v>2025-07-09 07:14:03</v>
      </c>
      <c r="C470" s="5" t="s">
        <v>25</v>
      </c>
      <c r="D470" s="6" t="s">
        <v>25</v>
      </c>
      <c r="E470" s="7">
        <f>VLOOKUP(A470,Sheet2!$A$2:$R$3432,4,0)</f>
        <v>7972384590</v>
      </c>
      <c r="F470" s="7" t="str">
        <f>VLOOKUP(A470,Sheet2!$A$2:$R$3432,3,0)</f>
        <v>ANIKET KAMBLE</v>
      </c>
      <c r="G470" s="5" t="s">
        <v>25</v>
      </c>
      <c r="H470" s="5" t="s">
        <v>25</v>
      </c>
      <c r="I470" s="5" t="s">
        <v>25</v>
      </c>
      <c r="J470" s="5" t="s">
        <v>25</v>
      </c>
      <c r="K470" s="7" t="str">
        <f>VLOOKUP(A470,Sheet2!$A$2:$R$3432,6,0)</f>
        <v>TVS Jupiter BS6</v>
      </c>
      <c r="L470" s="5" t="s">
        <v>25</v>
      </c>
      <c r="M470" s="7" t="str">
        <f>VLOOKUP(A470,Sheet2!$A$2:$R$3432,5,0)</f>
        <v>MH14KC1075</v>
      </c>
      <c r="N470" s="5" t="s">
        <v>25</v>
      </c>
      <c r="O470" s="5" t="s">
        <v>25</v>
      </c>
      <c r="P470" s="6" t="s">
        <v>25</v>
      </c>
      <c r="Q470" s="5" t="s">
        <v>25</v>
      </c>
      <c r="R470" s="5" t="s">
        <v>25</v>
      </c>
      <c r="S470" s="7" t="str">
        <f>VLOOKUP(A470,Sheet2!$A$2:$R$3432,18,0)</f>
        <v/>
      </c>
      <c r="T470" s="7" t="str">
        <f>VLOOKUP(A470,Sheet2!$A$2:$R$3432,17,0)</f>
        <v/>
      </c>
    </row>
    <row r="471" ht="15.75" customHeight="1">
      <c r="A471" s="3" t="s">
        <v>494</v>
      </c>
      <c r="B471" s="4" t="str">
        <f>VLOOKUP(A471,Sheet2!$A$2:$R$3432,2,0)</f>
        <v>2025-07-09 07:13:02</v>
      </c>
      <c r="C471" s="5" t="s">
        <v>25</v>
      </c>
      <c r="D471" s="6" t="s">
        <v>25</v>
      </c>
      <c r="E471" s="7">
        <f>VLOOKUP(A471,Sheet2!$A$2:$R$3432,4,0)</f>
        <v>7058814314</v>
      </c>
      <c r="F471" s="7" t="str">
        <f>VLOOKUP(A471,Sheet2!$A$2:$R$3432,3,0)</f>
        <v>NILESH LONDHE</v>
      </c>
      <c r="G471" s="5" t="s">
        <v>25</v>
      </c>
      <c r="H471" s="5" t="s">
        <v>25</v>
      </c>
      <c r="I471" s="5" t="s">
        <v>25</v>
      </c>
      <c r="J471" s="5" t="s">
        <v>25</v>
      </c>
      <c r="K471" s="7" t="str">
        <f>VLOOKUP(A471,Sheet2!$A$2:$R$3432,6,0)</f>
        <v>Hero Maestro </v>
      </c>
      <c r="L471" s="5" t="s">
        <v>25</v>
      </c>
      <c r="M471" s="7" t="str">
        <f>VLOOKUP(A471,Sheet2!$A$2:$R$3432,5,0)</f>
        <v>MH14FY2746</v>
      </c>
      <c r="N471" s="5" t="s">
        <v>25</v>
      </c>
      <c r="O471" s="5" t="s">
        <v>25</v>
      </c>
      <c r="P471" s="6" t="s">
        <v>25</v>
      </c>
      <c r="Q471" s="5" t="s">
        <v>25</v>
      </c>
      <c r="R471" s="5" t="s">
        <v>25</v>
      </c>
      <c r="S471" s="5" t="str">
        <f>VLOOKUP(A471,Sheet2!$A$2:$R$3432,18,0)</f>
        <v>JF32AAFK25663</v>
      </c>
      <c r="T471" s="7" t="str">
        <f>VLOOKUP(A471,Sheet2!$A$2:$R$3432,17,0)</f>
        <v>MBLJF329EFCK1G594</v>
      </c>
    </row>
    <row r="472" ht="15.75" customHeight="1">
      <c r="A472" s="3" t="s">
        <v>495</v>
      </c>
      <c r="B472" s="4" t="str">
        <f>VLOOKUP(A472,Sheet2!$A$2:$R$3432,2,0)</f>
        <v>2025-07-09 07:10:56</v>
      </c>
      <c r="C472" s="5" t="s">
        <v>25</v>
      </c>
      <c r="D472" s="6" t="s">
        <v>25</v>
      </c>
      <c r="E472" s="7">
        <f>VLOOKUP(A472,Sheet2!$A$2:$R$3432,4,0)</f>
        <v>9823477354</v>
      </c>
      <c r="F472" s="7" t="str">
        <f>VLOOKUP(A472,Sheet2!$A$2:$R$3432,3,0)</f>
        <v>Akshay Shinde </v>
      </c>
      <c r="G472" s="5" t="s">
        <v>25</v>
      </c>
      <c r="H472" s="5" t="s">
        <v>25</v>
      </c>
      <c r="I472" s="5" t="s">
        <v>25</v>
      </c>
      <c r="J472" s="5" t="s">
        <v>25</v>
      </c>
      <c r="K472" s="7" t="str">
        <f>VLOOKUP(A472,Sheet2!$A$2:$R$3432,6,0)</f>
        <v>Honda SP 125 Drum</v>
      </c>
      <c r="L472" s="5" t="s">
        <v>25</v>
      </c>
      <c r="M472" s="7" t="str">
        <f>VLOOKUP(A472,Sheet2!$A$2:$R$3432,5,0)</f>
        <v>MH14JZ6209</v>
      </c>
      <c r="N472" s="5" t="s">
        <v>25</v>
      </c>
      <c r="O472" s="5" t="s">
        <v>25</v>
      </c>
      <c r="P472" s="6" t="s">
        <v>25</v>
      </c>
      <c r="Q472" s="5" t="s">
        <v>25</v>
      </c>
      <c r="R472" s="5" t="s">
        <v>25</v>
      </c>
      <c r="S472" s="5" t="str">
        <f>VLOOKUP(A472,Sheet2!$A$2:$R$3432,18,0)</f>
        <v>JC83EC2231132</v>
      </c>
      <c r="T472" s="7" t="str">
        <f>VLOOKUP(A472,Sheet2!$A$2:$R$3432,17,0)</f>
        <v>ME4JC83CMMC014787</v>
      </c>
    </row>
    <row r="473" ht="15.75" customHeight="1">
      <c r="A473" s="3" t="s">
        <v>496</v>
      </c>
      <c r="B473" s="4" t="str">
        <f>VLOOKUP(A473,Sheet2!$A$2:$R$3432,2,0)</f>
        <v>2025-07-09 07:11:58</v>
      </c>
      <c r="C473" s="5" t="s">
        <v>25</v>
      </c>
      <c r="D473" s="6" t="s">
        <v>25</v>
      </c>
      <c r="E473" s="7">
        <f>VLOOKUP(A473,Sheet2!$A$2:$R$3432,4,0)</f>
        <v>8435560245</v>
      </c>
      <c r="F473" s="7" t="str">
        <f>VLOOKUP(A473,Sheet2!$A$2:$R$3432,3,0)</f>
        <v>Mayank </v>
      </c>
      <c r="G473" s="5" t="s">
        <v>25</v>
      </c>
      <c r="H473" s="5" t="s">
        <v>25</v>
      </c>
      <c r="I473" s="5" t="s">
        <v>25</v>
      </c>
      <c r="J473" s="5" t="s">
        <v>25</v>
      </c>
      <c r="K473" s="7" t="str">
        <f>VLOOKUP(A473,Sheet2!$A$2:$R$3432,6,0)</f>
        <v>Hero Destini 125</v>
      </c>
      <c r="L473" s="5" t="s">
        <v>25</v>
      </c>
      <c r="M473" s="7" t="str">
        <f>VLOOKUP(A473,Sheet2!$A$2:$R$3432,5,0)</f>
        <v>MP09UT6846</v>
      </c>
      <c r="N473" s="5" t="s">
        <v>25</v>
      </c>
      <c r="O473" s="5" t="s">
        <v>25</v>
      </c>
      <c r="P473" s="6" t="s">
        <v>25</v>
      </c>
      <c r="Q473" s="5" t="s">
        <v>25</v>
      </c>
      <c r="R473" s="5" t="s">
        <v>25</v>
      </c>
      <c r="S473" s="5" t="str">
        <f>VLOOKUP(A473,Sheet2!$A$2:$R$3432,18,0)</f>
        <v>JF11E4GH07A79</v>
      </c>
      <c r="T473" s="7" t="str">
        <f>VLOOKUP(A473,Sheet2!$A$2:$R$3432,17,0)</f>
        <v>MBLJF1J052KG1107876</v>
      </c>
    </row>
    <row r="474" ht="15.75" customHeight="1">
      <c r="A474" s="3" t="s">
        <v>497</v>
      </c>
      <c r="B474" s="4" t="str">
        <f>VLOOKUP(A474,Sheet2!$A$2:$R$3432,2,0)</f>
        <v>2025-07-09 07:10:42</v>
      </c>
      <c r="C474" s="5" t="s">
        <v>25</v>
      </c>
      <c r="D474" s="6" t="s">
        <v>25</v>
      </c>
      <c r="E474" s="7">
        <f>VLOOKUP(A474,Sheet2!$A$2:$R$3432,4,0)</f>
        <v>8928136051</v>
      </c>
      <c r="F474" s="7" t="str">
        <f>VLOOKUP(A474,Sheet2!$A$2:$R$3432,3,0)</f>
        <v>Prabhat</v>
      </c>
      <c r="G474" s="5" t="s">
        <v>25</v>
      </c>
      <c r="H474" s="5" t="s">
        <v>25</v>
      </c>
      <c r="I474" s="5" t="s">
        <v>25</v>
      </c>
      <c r="J474" s="5" t="s">
        <v>25</v>
      </c>
      <c r="K474" s="7" t="str">
        <f>VLOOKUP(A474,Sheet2!$A$2:$R$3432,6,0)</f>
        <v>Hero Pleasure </v>
      </c>
      <c r="L474" s="5" t="s">
        <v>25</v>
      </c>
      <c r="M474" s="7" t="str">
        <f>VLOOKUP(A474,Sheet2!$A$2:$R$3432,5,0)</f>
        <v>MH31DR1646</v>
      </c>
      <c r="N474" s="5" t="s">
        <v>25</v>
      </c>
      <c r="O474" s="5" t="s">
        <v>25</v>
      </c>
      <c r="P474" s="6" t="s">
        <v>25</v>
      </c>
      <c r="Q474" s="5" t="s">
        <v>25</v>
      </c>
      <c r="R474" s="5" t="s">
        <v>25</v>
      </c>
      <c r="S474" s="5" t="str">
        <f>VLOOKUP(A474,Sheet2!$A$2:$R$3432,18,0)</f>
        <v>JIHW07469</v>
      </c>
      <c r="T474" s="7" t="str">
        <f>VLOOKUP(A474,Sheet2!$A$2:$R$3432,17,0)</f>
        <v>07J1HA07469</v>
      </c>
    </row>
    <row r="475" ht="15.75" customHeight="1">
      <c r="A475" s="3" t="s">
        <v>498</v>
      </c>
      <c r="B475" s="4" t="str">
        <f>VLOOKUP(A475,Sheet2!$A$2:$R$3432,2,0)</f>
        <v>2025-07-09 07:10:24</v>
      </c>
      <c r="C475" s="5" t="s">
        <v>25</v>
      </c>
      <c r="D475" s="6" t="s">
        <v>25</v>
      </c>
      <c r="E475" s="7">
        <f>VLOOKUP(A475,Sheet2!$A$2:$R$3432,4,0)</f>
        <v>9921181102</v>
      </c>
      <c r="F475" s="7" t="str">
        <f>VLOOKUP(A475,Sheet2!$A$2:$R$3432,3,0)</f>
        <v>Balasaheb Sathe </v>
      </c>
      <c r="G475" s="5" t="s">
        <v>25</v>
      </c>
      <c r="H475" s="5" t="s">
        <v>25</v>
      </c>
      <c r="I475" s="5" t="s">
        <v>25</v>
      </c>
      <c r="J475" s="5" t="s">
        <v>25</v>
      </c>
      <c r="K475" s="7" t="str">
        <f>VLOOKUP(A475,Sheet2!$A$2:$R$3432,6,0)</f>
        <v>Honda Aviator No Data</v>
      </c>
      <c r="L475" s="5" t="s">
        <v>25</v>
      </c>
      <c r="M475" s="7" t="str">
        <f>VLOOKUP(A475,Sheet2!$A$2:$R$3432,5,0)</f>
        <v>MH14DW3612</v>
      </c>
      <c r="N475" s="5" t="s">
        <v>25</v>
      </c>
      <c r="O475" s="5" t="s">
        <v>25</v>
      </c>
      <c r="P475" s="6" t="s">
        <v>25</v>
      </c>
      <c r="Q475" s="5" t="s">
        <v>25</v>
      </c>
      <c r="R475" s="5" t="s">
        <v>25</v>
      </c>
      <c r="S475" s="7" t="str">
        <f>VLOOKUP(A475,Sheet2!$A$2:$R$3432,18,0)</f>
        <v/>
      </c>
      <c r="T475" s="7" t="str">
        <f>VLOOKUP(A475,Sheet2!$A$2:$R$3432,17,0)</f>
        <v/>
      </c>
    </row>
    <row r="476" ht="15.75" customHeight="1">
      <c r="A476" s="3" t="s">
        <v>499</v>
      </c>
      <c r="B476" s="4" t="str">
        <f>VLOOKUP(A476,Sheet2!$A$2:$R$3432,2,0)</f>
        <v>2025-07-09 07:13:40</v>
      </c>
      <c r="C476" s="5" t="s">
        <v>25</v>
      </c>
      <c r="D476" s="6" t="s">
        <v>25</v>
      </c>
      <c r="E476" s="7">
        <f>VLOOKUP(A476,Sheet2!$A$2:$R$3432,4,0)</f>
        <v>7089897342</v>
      </c>
      <c r="F476" s="7" t="str">
        <f>VLOOKUP(A476,Sheet2!$A$2:$R$3432,3,0)</f>
        <v>GAURAV TAYEDE</v>
      </c>
      <c r="G476" s="5" t="s">
        <v>25</v>
      </c>
      <c r="H476" s="5" t="s">
        <v>25</v>
      </c>
      <c r="I476" s="5" t="s">
        <v>25</v>
      </c>
      <c r="J476" s="5" t="s">
        <v>25</v>
      </c>
      <c r="K476" s="7" t="str">
        <f>VLOOKUP(A476,Sheet2!$A$2:$R$3432,6,0)</f>
        <v>Yamaha FZ S 2.0</v>
      </c>
      <c r="L476" s="5" t="s">
        <v>25</v>
      </c>
      <c r="M476" s="7" t="str">
        <f>VLOOKUP(A476,Sheet2!$A$2:$R$3432,5,0)</f>
        <v>MH06BL2116</v>
      </c>
      <c r="N476" s="5" t="s">
        <v>25</v>
      </c>
      <c r="O476" s="5" t="s">
        <v>25</v>
      </c>
      <c r="P476" s="6" t="s">
        <v>25</v>
      </c>
      <c r="Q476" s="5" t="s">
        <v>25</v>
      </c>
      <c r="R476" s="5" t="s">
        <v>25</v>
      </c>
      <c r="S476" s="7" t="str">
        <f>VLOOKUP(A476,Sheet2!$A$2:$R$3432,18,0)</f>
        <v/>
      </c>
      <c r="T476" s="7" t="str">
        <f>VLOOKUP(A476,Sheet2!$A$2:$R$3432,17,0)</f>
        <v/>
      </c>
    </row>
    <row r="477" ht="15.75" customHeight="1">
      <c r="A477" s="3" t="s">
        <v>500</v>
      </c>
      <c r="B477" s="4" t="str">
        <f>VLOOKUP(A477,Sheet2!$A$2:$R$3432,2,0)</f>
        <v>2025-07-09 07:09:35</v>
      </c>
      <c r="C477" s="5" t="s">
        <v>25</v>
      </c>
      <c r="D477" s="6" t="s">
        <v>25</v>
      </c>
      <c r="E477" s="7">
        <f>VLOOKUP(A477,Sheet2!$A$2:$R$3432,4,0)</f>
        <v>7420035795</v>
      </c>
      <c r="F477" s="7" t="str">
        <f>VLOOKUP(A477,Sheet2!$A$2:$R$3432,3,0)</f>
        <v>BALAJI TRADERS </v>
      </c>
      <c r="G477" s="5" t="s">
        <v>25</v>
      </c>
      <c r="H477" s="5" t="s">
        <v>25</v>
      </c>
      <c r="I477" s="5" t="s">
        <v>25</v>
      </c>
      <c r="J477" s="5" t="s">
        <v>25</v>
      </c>
      <c r="K477" s="7" t="str">
        <f>VLOOKUP(A477,Sheet2!$A$2:$R$3432,6,0)</f>
        <v>Hero Pleasure </v>
      </c>
      <c r="L477" s="5" t="s">
        <v>25</v>
      </c>
      <c r="M477" s="7" t="str">
        <f>VLOOKUP(A477,Sheet2!$A$2:$R$3432,5,0)</f>
        <v>MH14CE3147</v>
      </c>
      <c r="N477" s="5" t="s">
        <v>25</v>
      </c>
      <c r="O477" s="5" t="s">
        <v>25</v>
      </c>
      <c r="P477" s="6" t="s">
        <v>25</v>
      </c>
      <c r="Q477" s="5" t="s">
        <v>25</v>
      </c>
      <c r="R477" s="5" t="s">
        <v>25</v>
      </c>
      <c r="S477" s="5" t="str">
        <f>VLOOKUP(A477,Sheet2!$A$2:$R$3432,18,0)</f>
        <v>JF16ETG15919</v>
      </c>
      <c r="T477" s="7" t="str">
        <f>VLOOKUP(A477,Sheet2!$A$2:$R$3432,17,0)</f>
        <v>MBLJF16EDAGF12789</v>
      </c>
    </row>
    <row r="478" ht="15.75" customHeight="1">
      <c r="A478" s="3" t="s">
        <v>501</v>
      </c>
      <c r="B478" s="4" t="str">
        <f>VLOOKUP(A478,Sheet2!$A$2:$R$3432,2,0)</f>
        <v>2025-07-09 07:14:16</v>
      </c>
      <c r="C478" s="5" t="s">
        <v>25</v>
      </c>
      <c r="D478" s="6" t="s">
        <v>25</v>
      </c>
      <c r="E478" s="7">
        <f>VLOOKUP(A478,Sheet2!$A$2:$R$3432,4,0)</f>
        <v>9730491631</v>
      </c>
      <c r="F478" s="7" t="str">
        <f>VLOOKUP(A478,Sheet2!$A$2:$R$3432,3,0)</f>
        <v>SWAPNIL </v>
      </c>
      <c r="G478" s="5" t="s">
        <v>25</v>
      </c>
      <c r="H478" s="5" t="s">
        <v>25</v>
      </c>
      <c r="I478" s="5" t="s">
        <v>25</v>
      </c>
      <c r="J478" s="5" t="s">
        <v>25</v>
      </c>
      <c r="K478" s="7" t="str">
        <f>VLOOKUP(A478,Sheet2!$A$2:$R$3432,6,0)</f>
        <v>Piaggio Vespa </v>
      </c>
      <c r="L478" s="5" t="s">
        <v>25</v>
      </c>
      <c r="M478" s="7" t="str">
        <f>VLOOKUP(A478,Sheet2!$A$2:$R$3432,5,0)</f>
        <v>MH14GL6678</v>
      </c>
      <c r="N478" s="5" t="s">
        <v>25</v>
      </c>
      <c r="O478" s="5" t="s">
        <v>25</v>
      </c>
      <c r="P478" s="6" t="s">
        <v>25</v>
      </c>
      <c r="Q478" s="5" t="s">
        <v>25</v>
      </c>
      <c r="R478" s="5" t="s">
        <v>25</v>
      </c>
      <c r="S478" s="7" t="str">
        <f>VLOOKUP(A478,Sheet2!$A$2:$R$3432,18,0)</f>
        <v/>
      </c>
      <c r="T478" s="7" t="str">
        <f>VLOOKUP(A478,Sheet2!$A$2:$R$3432,17,0)</f>
        <v/>
      </c>
    </row>
    <row r="479" ht="15.75" customHeight="1">
      <c r="A479" s="3" t="s">
        <v>502</v>
      </c>
      <c r="B479" s="4" t="str">
        <f>VLOOKUP(A479,Sheet2!$A$2:$R$3432,2,0)</f>
        <v>2024-07-28 20:04:18</v>
      </c>
      <c r="C479" s="5" t="s">
        <v>25</v>
      </c>
      <c r="D479" s="6" t="s">
        <v>25</v>
      </c>
      <c r="E479" s="7">
        <f>VLOOKUP(A479,Sheet2!$A$2:$R$3432,4,0)</f>
        <v>9325341310</v>
      </c>
      <c r="F479" s="7" t="str">
        <f>VLOOKUP(A479,Sheet2!$A$2:$R$3432,3,0)</f>
        <v>Dnyaneshwar Giri</v>
      </c>
      <c r="G479" s="5" t="s">
        <v>25</v>
      </c>
      <c r="H479" s="5" t="s">
        <v>25</v>
      </c>
      <c r="I479" s="5" t="s">
        <v>25</v>
      </c>
      <c r="J479" s="5" t="s">
        <v>25</v>
      </c>
      <c r="K479" s="7" t="str">
        <f>VLOOKUP(A479,Sheet2!$A$2:$R$3432,6,0)</f>
        <v>TVS Star City </v>
      </c>
      <c r="L479" s="5" t="s">
        <v>25</v>
      </c>
      <c r="M479" s="7" t="str">
        <f>VLOOKUP(A479,Sheet2!$A$2:$R$3432,5,0)</f>
        <v>MH20GA0621</v>
      </c>
      <c r="N479" s="5" t="s">
        <v>25</v>
      </c>
      <c r="O479" s="5" t="s">
        <v>25</v>
      </c>
      <c r="P479" s="6" t="s">
        <v>25</v>
      </c>
      <c r="Q479" s="5" t="s">
        <v>25</v>
      </c>
      <c r="R479" s="5" t="s">
        <v>25</v>
      </c>
      <c r="S479" s="5" t="str">
        <f>VLOOKUP(A479,Sheet2!$A$2:$R$3432,18,0)</f>
        <v>CK2LM100294640</v>
      </c>
      <c r="T479" s="7" t="str">
        <f>VLOOKUP(A479,Sheet2!$A$2:$R$3432,17,0)</f>
        <v>MD625AK29M1LD3334</v>
      </c>
    </row>
    <row r="480" ht="15.75" customHeight="1">
      <c r="A480" s="3" t="s">
        <v>503</v>
      </c>
      <c r="B480" s="4" t="str">
        <f>VLOOKUP(A480,Sheet2!$A$2:$R$3432,2,0)</f>
        <v>2024-07-28 20:43:52</v>
      </c>
      <c r="C480" s="5" t="s">
        <v>25</v>
      </c>
      <c r="D480" s="6" t="s">
        <v>25</v>
      </c>
      <c r="E480" s="7">
        <f>VLOOKUP(A480,Sheet2!$A$2:$R$3432,4,0)</f>
        <v>7219101025</v>
      </c>
      <c r="F480" s="7" t="str">
        <f>VLOOKUP(A480,Sheet2!$A$2:$R$3432,3,0)</f>
        <v>SANDIP</v>
      </c>
      <c r="G480" s="5" t="s">
        <v>25</v>
      </c>
      <c r="H480" s="5" t="s">
        <v>25</v>
      </c>
      <c r="I480" s="5" t="s">
        <v>25</v>
      </c>
      <c r="J480" s="5" t="s">
        <v>25</v>
      </c>
      <c r="K480" s="7" t="str">
        <f>VLOOKUP(A480,Sheet2!$A$2:$R$3432,6,0)</f>
        <v>Honda Activa 5G</v>
      </c>
      <c r="L480" s="5" t="s">
        <v>25</v>
      </c>
      <c r="M480" s="7" t="str">
        <f>VLOOKUP(A480,Sheet2!$A$2:$R$3432,5,0)</f>
        <v>MH14HJ2221</v>
      </c>
      <c r="N480" s="5" t="s">
        <v>25</v>
      </c>
      <c r="O480" s="5" t="s">
        <v>25</v>
      </c>
      <c r="P480" s="6" t="s">
        <v>25</v>
      </c>
      <c r="Q480" s="5" t="s">
        <v>25</v>
      </c>
      <c r="R480" s="5" t="s">
        <v>25</v>
      </c>
      <c r="S480" s="5" t="str">
        <f>VLOOKUP(A480,Sheet2!$A$2:$R$3432,18,0)</f>
        <v>JF50EU74135</v>
      </c>
      <c r="T480" s="7" t="str">
        <f>VLOOKUP(A480,Sheet2!$A$2:$R$3432,17,0)</f>
        <v>ME4JF50AMJU434466</v>
      </c>
    </row>
    <row r="481" ht="15.75" customHeight="1">
      <c r="A481" s="3" t="s">
        <v>504</v>
      </c>
      <c r="B481" s="4" t="str">
        <f>VLOOKUP(A481,Sheet2!$A$2:$R$3432,2,0)</f>
        <v>2024-07-28 20:46:29</v>
      </c>
      <c r="C481" s="5" t="s">
        <v>25</v>
      </c>
      <c r="D481" s="6" t="s">
        <v>25</v>
      </c>
      <c r="E481" s="7">
        <f>VLOOKUP(A481,Sheet2!$A$2:$R$3432,4,0)</f>
        <v>9833634746</v>
      </c>
      <c r="F481" s="7" t="str">
        <f>VLOOKUP(A481,Sheet2!$A$2:$R$3432,3,0)</f>
        <v>Chandrakant Godbole</v>
      </c>
      <c r="G481" s="5" t="s">
        <v>25</v>
      </c>
      <c r="H481" s="5" t="s">
        <v>25</v>
      </c>
      <c r="I481" s="5" t="s">
        <v>25</v>
      </c>
      <c r="J481" s="5" t="s">
        <v>25</v>
      </c>
      <c r="K481" s="7" t="str">
        <f>VLOOKUP(A481,Sheet2!$A$2:$R$3432,6,0)</f>
        <v>Bajaj Discover 125 Drum</v>
      </c>
      <c r="L481" s="5" t="s">
        <v>25</v>
      </c>
      <c r="M481" s="7" t="str">
        <f>VLOOKUP(A481,Sheet2!$A$2:$R$3432,5,0)</f>
        <v>MH05BA7716</v>
      </c>
      <c r="N481" s="5" t="s">
        <v>25</v>
      </c>
      <c r="O481" s="5" t="s">
        <v>25</v>
      </c>
      <c r="P481" s="6" t="s">
        <v>25</v>
      </c>
      <c r="Q481" s="5" t="s">
        <v>25</v>
      </c>
      <c r="R481" s="5" t="s">
        <v>25</v>
      </c>
      <c r="S481" s="5" t="str">
        <f>VLOOKUP(A481,Sheet2!$A$2:$R$3432,18,0)</f>
        <v>JBMBUD79036</v>
      </c>
      <c r="T481" s="7" t="str">
        <f>VLOOKUP(A481,Sheet2!$A$2:$R$3432,17,0)</f>
        <v>MD2DSPAZZUWD18738</v>
      </c>
    </row>
    <row r="482" ht="15.75" customHeight="1">
      <c r="A482" s="3" t="s">
        <v>505</v>
      </c>
      <c r="B482" s="4" t="str">
        <f>VLOOKUP(A482,Sheet2!$A$2:$R$3432,2,0)</f>
        <v>2024-07-28 20:41:58</v>
      </c>
      <c r="C482" s="5" t="s">
        <v>25</v>
      </c>
      <c r="D482" s="6" t="s">
        <v>25</v>
      </c>
      <c r="E482" s="7">
        <f>VLOOKUP(A482,Sheet2!$A$2:$R$3432,4,0)</f>
        <v>8149555665</v>
      </c>
      <c r="F482" s="7" t="str">
        <f>VLOOKUP(A482,Sheet2!$A$2:$R$3432,3,0)</f>
        <v>Kiran Chillat</v>
      </c>
      <c r="G482" s="5" t="s">
        <v>25</v>
      </c>
      <c r="H482" s="5" t="s">
        <v>25</v>
      </c>
      <c r="I482" s="5" t="s">
        <v>25</v>
      </c>
      <c r="J482" s="5" t="s">
        <v>25</v>
      </c>
      <c r="K482" s="7" t="str">
        <f>VLOOKUP(A482,Sheet2!$A$2:$R$3432,6,0)</f>
        <v>Honda Activa 110</v>
      </c>
      <c r="L482" s="5" t="s">
        <v>25</v>
      </c>
      <c r="M482" s="7" t="str">
        <f>VLOOKUP(A482,Sheet2!$A$2:$R$3432,5,0)</f>
        <v>MH14EF9340</v>
      </c>
      <c r="N482" s="5" t="s">
        <v>25</v>
      </c>
      <c r="O482" s="5" t="s">
        <v>25</v>
      </c>
      <c r="P482" s="6" t="s">
        <v>25</v>
      </c>
      <c r="Q482" s="5" t="s">
        <v>25</v>
      </c>
      <c r="R482" s="5" t="s">
        <v>25</v>
      </c>
      <c r="S482" s="5" t="str">
        <f>VLOOKUP(A482,Sheet2!$A$2:$R$3432,18,0)</f>
        <v>JF50ET0253775</v>
      </c>
      <c r="T482" s="7" t="str">
        <f>VLOOKUP(A482,Sheet2!$A$2:$R$3432,17,0)</f>
        <v>ME4JF50HBET253995</v>
      </c>
    </row>
    <row r="483" ht="15.75" customHeight="1">
      <c r="A483" s="3" t="s">
        <v>506</v>
      </c>
      <c r="B483" s="4" t="str">
        <f>VLOOKUP(A483,Sheet2!$A$2:$R$3432,2,0)</f>
        <v>2024-07-28 20:42:48</v>
      </c>
      <c r="C483" s="5" t="s">
        <v>25</v>
      </c>
      <c r="D483" s="6" t="s">
        <v>25</v>
      </c>
      <c r="E483" s="7">
        <f>VLOOKUP(A483,Sheet2!$A$2:$R$3432,4,0)</f>
        <v>8880519321</v>
      </c>
      <c r="F483" s="7" t="str">
        <f>VLOOKUP(A483,Sheet2!$A$2:$R$3432,3,0)</f>
        <v>ABHISHEK</v>
      </c>
      <c r="G483" s="5" t="s">
        <v>25</v>
      </c>
      <c r="H483" s="5" t="s">
        <v>25</v>
      </c>
      <c r="I483" s="5" t="s">
        <v>25</v>
      </c>
      <c r="J483" s="5" t="s">
        <v>25</v>
      </c>
      <c r="K483" s="7" t="str">
        <f>VLOOKUP(A483,Sheet2!$A$2:$R$3432,6,0)</f>
        <v>Bajaj Pulsar 220F</v>
      </c>
      <c r="L483" s="5" t="s">
        <v>25</v>
      </c>
      <c r="M483" s="7" t="str">
        <f>VLOOKUP(A483,Sheet2!$A$2:$R$3432,5,0)</f>
        <v>KA51EU6820</v>
      </c>
      <c r="N483" s="5" t="s">
        <v>25</v>
      </c>
      <c r="O483" s="5" t="s">
        <v>25</v>
      </c>
      <c r="P483" s="6" t="s">
        <v>25</v>
      </c>
      <c r="Q483" s="5" t="s">
        <v>25</v>
      </c>
      <c r="R483" s="5" t="s">
        <v>25</v>
      </c>
      <c r="S483" s="5" t="str">
        <f>VLOOKUP(A483,Sheet2!$A$2:$R$3432,18,0)</f>
        <v>DKZCGF37556</v>
      </c>
      <c r="T483" s="7" t="str">
        <f>VLOOKUP(A483,Sheet2!$A$2:$R$3432,17,0)</f>
        <v>MD2A13EZ0GCF20831</v>
      </c>
    </row>
    <row r="484" ht="15.75" customHeight="1">
      <c r="A484" s="3" t="s">
        <v>507</v>
      </c>
      <c r="B484" s="4" t="str">
        <f>VLOOKUP(A484,Sheet2!$A$2:$R$3432,2,0)</f>
        <v>2024-07-28 20:45:19</v>
      </c>
      <c r="C484" s="5" t="s">
        <v>25</v>
      </c>
      <c r="D484" s="6" t="s">
        <v>25</v>
      </c>
      <c r="E484" s="7">
        <f>VLOOKUP(A484,Sheet2!$A$2:$R$3432,4,0)</f>
        <v>8007444915</v>
      </c>
      <c r="F484" s="7" t="str">
        <f>VLOOKUP(A484,Sheet2!$A$2:$R$3432,3,0)</f>
        <v>Sanket Patil </v>
      </c>
      <c r="G484" s="5" t="s">
        <v>25</v>
      </c>
      <c r="H484" s="5" t="s">
        <v>25</v>
      </c>
      <c r="I484" s="5" t="s">
        <v>25</v>
      </c>
      <c r="J484" s="5" t="s">
        <v>25</v>
      </c>
      <c r="K484" s="7" t="str">
        <f>VLOOKUP(A484,Sheet2!$A$2:$R$3432,6,0)</f>
        <v>Hero Xpulse 200</v>
      </c>
      <c r="L484" s="5" t="s">
        <v>25</v>
      </c>
      <c r="M484" s="7" t="str">
        <f>VLOOKUP(A484,Sheet2!$A$2:$R$3432,5,0)</f>
        <v>MH12JW2871</v>
      </c>
      <c r="N484" s="5" t="s">
        <v>25</v>
      </c>
      <c r="O484" s="5" t="s">
        <v>25</v>
      </c>
      <c r="P484" s="6" t="s">
        <v>25</v>
      </c>
      <c r="Q484" s="5" t="s">
        <v>25</v>
      </c>
      <c r="R484" s="5" t="s">
        <v>25</v>
      </c>
      <c r="S484" s="5" t="str">
        <f>VLOOKUP(A484,Sheet2!$A$2:$R$3432,18,0)</f>
        <v>MC20AGLGJ00586</v>
      </c>
      <c r="T484" s="7" t="str">
        <f>VLOOKUP(A484,Sheet2!$A$2:$R$3432,17,0)</f>
        <v>MBLLD0LGJ01811</v>
      </c>
    </row>
    <row r="485" ht="15.75" customHeight="1">
      <c r="A485" s="3" t="s">
        <v>508</v>
      </c>
      <c r="B485" s="4" t="str">
        <f>VLOOKUP(A485,Sheet2!$A$2:$R$3432,2,0)</f>
        <v>2024-07-28 20:49:05</v>
      </c>
      <c r="C485" s="5" t="s">
        <v>25</v>
      </c>
      <c r="D485" s="6" t="s">
        <v>25</v>
      </c>
      <c r="E485" s="7">
        <f>VLOOKUP(A485,Sheet2!$A$2:$R$3432,4,0)</f>
        <v>9890675383</v>
      </c>
      <c r="F485" s="7" t="str">
        <f>VLOOKUP(A485,Sheet2!$A$2:$R$3432,3,0)</f>
        <v>Sujay Joshi</v>
      </c>
      <c r="G485" s="5" t="s">
        <v>25</v>
      </c>
      <c r="H485" s="5" t="s">
        <v>25</v>
      </c>
      <c r="I485" s="5" t="s">
        <v>25</v>
      </c>
      <c r="J485" s="5" t="s">
        <v>25</v>
      </c>
      <c r="K485" s="7" t="str">
        <f>VLOOKUP(A485,Sheet2!$A$2:$R$3432,6,0)</f>
        <v>Suzuki Access 125</v>
      </c>
      <c r="L485" s="5" t="s">
        <v>25</v>
      </c>
      <c r="M485" s="7" t="str">
        <f>VLOOKUP(A485,Sheet2!$A$2:$R$3432,5,0)</f>
        <v>MH12QQ8618</v>
      </c>
      <c r="N485" s="5" t="s">
        <v>25</v>
      </c>
      <c r="O485" s="5" t="s">
        <v>25</v>
      </c>
      <c r="P485" s="6" t="s">
        <v>25</v>
      </c>
      <c r="Q485" s="5" t="s">
        <v>25</v>
      </c>
      <c r="R485" s="5" t="s">
        <v>25</v>
      </c>
      <c r="S485" s="5" t="str">
        <f>VLOOKUP(A485,Sheet2!$A$2:$R$3432,18,0)</f>
        <v>AF211722746</v>
      </c>
      <c r="T485" s="7" t="str">
        <f>VLOOKUP(A485,Sheet2!$A$2:$R$3432,17,0)</f>
        <v>MB8DP11AFJ8925232</v>
      </c>
    </row>
    <row r="486" ht="15.75" customHeight="1">
      <c r="A486" s="3" t="s">
        <v>509</v>
      </c>
      <c r="B486" s="4" t="str">
        <f>VLOOKUP(A486,Sheet2!$A$2:$R$3432,2,0)</f>
        <v>2024-07-28 20:41:32</v>
      </c>
      <c r="C486" s="5" t="s">
        <v>25</v>
      </c>
      <c r="D486" s="6" t="s">
        <v>25</v>
      </c>
      <c r="E486" s="7">
        <f>VLOOKUP(A486,Sheet2!$A$2:$R$3432,4,0)</f>
        <v>9822889511</v>
      </c>
      <c r="F486" s="7" t="str">
        <f>VLOOKUP(A486,Sheet2!$A$2:$R$3432,3,0)</f>
        <v>Bhushan Patil</v>
      </c>
      <c r="G486" s="5" t="s">
        <v>25</v>
      </c>
      <c r="H486" s="5" t="s">
        <v>25</v>
      </c>
      <c r="I486" s="5" t="s">
        <v>25</v>
      </c>
      <c r="J486" s="5" t="s">
        <v>25</v>
      </c>
      <c r="K486" s="7" t="str">
        <f>VLOOKUP(A486,Sheet2!$A$2:$R$3432,6,0)</f>
        <v>Honda Unicorn </v>
      </c>
      <c r="L486" s="5" t="s">
        <v>25</v>
      </c>
      <c r="M486" s="7" t="str">
        <f>VLOOKUP(A486,Sheet2!$A$2:$R$3432,5,0)</f>
        <v>MH14BS1571</v>
      </c>
      <c r="N486" s="5" t="s">
        <v>25</v>
      </c>
      <c r="O486" s="5" t="s">
        <v>25</v>
      </c>
      <c r="P486" s="6" t="s">
        <v>25</v>
      </c>
      <c r="Q486" s="5" t="s">
        <v>25</v>
      </c>
      <c r="R486" s="5" t="s">
        <v>25</v>
      </c>
      <c r="S486" s="5" t="str">
        <f>VLOOKUP(A486,Sheet2!$A$2:$R$3432,18,0)</f>
        <v>K6091031920</v>
      </c>
      <c r="T486" s="7" t="str">
        <f>VLOOKUP(A486,Sheet2!$A$2:$R$3432,17,0)</f>
        <v>ME4KC093M88030825</v>
      </c>
    </row>
    <row r="487" ht="15.75" customHeight="1">
      <c r="A487" s="3" t="s">
        <v>510</v>
      </c>
      <c r="B487" s="4" t="str">
        <f>VLOOKUP(A487,Sheet2!$A$2:$R$3432,2,0)</f>
        <v>2024-07-28 20:11:03</v>
      </c>
      <c r="C487" s="5" t="s">
        <v>25</v>
      </c>
      <c r="D487" s="6" t="s">
        <v>25</v>
      </c>
      <c r="E487" s="7">
        <f>VLOOKUP(A487,Sheet2!$A$2:$R$3432,4,0)</f>
        <v>8830814890</v>
      </c>
      <c r="F487" s="7" t="str">
        <f>VLOOKUP(A487,Sheet2!$A$2:$R$3432,3,0)</f>
        <v>Shantanu Mane</v>
      </c>
      <c r="G487" s="5" t="s">
        <v>25</v>
      </c>
      <c r="H487" s="5" t="s">
        <v>25</v>
      </c>
      <c r="I487" s="5" t="s">
        <v>25</v>
      </c>
      <c r="J487" s="5" t="s">
        <v>25</v>
      </c>
      <c r="K487" s="7" t="str">
        <f>VLOOKUP(A487,Sheet2!$A$2:$R$3432,6,0)</f>
        <v>Hero Passion Plus</v>
      </c>
      <c r="L487" s="5" t="s">
        <v>25</v>
      </c>
      <c r="M487" s="7" t="str">
        <f>VLOOKUP(A487,Sheet2!$A$2:$R$3432,5,0)</f>
        <v>MH16W0014</v>
      </c>
      <c r="N487" s="5" t="s">
        <v>25</v>
      </c>
      <c r="O487" s="5" t="s">
        <v>25</v>
      </c>
      <c r="P487" s="6" t="s">
        <v>25</v>
      </c>
      <c r="Q487" s="5" t="s">
        <v>25</v>
      </c>
      <c r="R487" s="5" t="s">
        <v>25</v>
      </c>
      <c r="S487" s="5" t="str">
        <f>VLOOKUP(A487,Sheet2!$A$2:$R$3432,18,0)</f>
        <v>010835859</v>
      </c>
      <c r="T487" s="7" t="str">
        <f>VLOOKUP(A487,Sheet2!$A$2:$R$3432,17,0)</f>
        <v>040935322</v>
      </c>
    </row>
    <row r="488" ht="15.75" customHeight="1">
      <c r="A488" s="3" t="s">
        <v>511</v>
      </c>
      <c r="B488" s="4" t="str">
        <f>VLOOKUP(A488,Sheet2!$A$2:$R$3432,2,0)</f>
        <v>2024-07-28 20:51:53</v>
      </c>
      <c r="C488" s="5" t="s">
        <v>25</v>
      </c>
      <c r="D488" s="6" t="s">
        <v>25</v>
      </c>
      <c r="E488" s="7">
        <f>VLOOKUP(A488,Sheet2!$A$2:$R$3432,4,0)</f>
        <v>9762777049</v>
      </c>
      <c r="F488" s="7" t="str">
        <f>VLOOKUP(A488,Sheet2!$A$2:$R$3432,3,0)</f>
        <v>Swapnil Patil</v>
      </c>
      <c r="G488" s="5" t="s">
        <v>25</v>
      </c>
      <c r="H488" s="5" t="s">
        <v>25</v>
      </c>
      <c r="I488" s="5" t="s">
        <v>25</v>
      </c>
      <c r="J488" s="5" t="s">
        <v>25</v>
      </c>
      <c r="K488" s="7" t="str">
        <f>VLOOKUP(A488,Sheet2!$A$2:$R$3432,6,0)</f>
        <v>Yamaha FZ S</v>
      </c>
      <c r="L488" s="5" t="s">
        <v>25</v>
      </c>
      <c r="M488" s="7" t="str">
        <f>VLOOKUP(A488,Sheet2!$A$2:$R$3432,5,0)</f>
        <v>MH04KC5951</v>
      </c>
      <c r="N488" s="5" t="s">
        <v>25</v>
      </c>
      <c r="O488" s="5" t="s">
        <v>25</v>
      </c>
      <c r="P488" s="6" t="s">
        <v>25</v>
      </c>
      <c r="Q488" s="5" t="s">
        <v>25</v>
      </c>
      <c r="R488" s="5" t="s">
        <v>25</v>
      </c>
      <c r="S488" s="7" t="str">
        <f>VLOOKUP(A488,Sheet2!$A$2:$R$3432,18,0)</f>
        <v/>
      </c>
      <c r="T488" s="7" t="str">
        <f>VLOOKUP(A488,Sheet2!$A$2:$R$3432,17,0)</f>
        <v/>
      </c>
    </row>
    <row r="489" ht="15.75" customHeight="1">
      <c r="A489" s="3" t="s">
        <v>512</v>
      </c>
      <c r="B489" s="4" t="str">
        <f>VLOOKUP(A489,Sheet2!$A$2:$R$3432,2,0)</f>
        <v>2024-07-28 20:40:54</v>
      </c>
      <c r="C489" s="5" t="s">
        <v>25</v>
      </c>
      <c r="D489" s="6" t="s">
        <v>25</v>
      </c>
      <c r="E489" s="7">
        <f>VLOOKUP(A489,Sheet2!$A$2:$R$3432,4,0)</f>
        <v>9423569655</v>
      </c>
      <c r="F489" s="7" t="str">
        <f>VLOOKUP(A489,Sheet2!$A$2:$R$3432,3,0)</f>
        <v>Mahesh Khatal</v>
      </c>
      <c r="G489" s="5" t="s">
        <v>25</v>
      </c>
      <c r="H489" s="5" t="s">
        <v>25</v>
      </c>
      <c r="I489" s="5" t="s">
        <v>25</v>
      </c>
      <c r="J489" s="5" t="s">
        <v>25</v>
      </c>
      <c r="K489" s="7" t="str">
        <f>VLOOKUP(A489,Sheet2!$A$2:$R$3432,6,0)</f>
        <v>Suzuki Access </v>
      </c>
      <c r="L489" s="5" t="s">
        <v>25</v>
      </c>
      <c r="M489" s="7" t="str">
        <f>VLOOKUP(A489,Sheet2!$A$2:$R$3432,5,0)</f>
        <v>MH12PJ8195</v>
      </c>
      <c r="N489" s="5" t="s">
        <v>25</v>
      </c>
      <c r="O489" s="5" t="s">
        <v>25</v>
      </c>
      <c r="P489" s="6" t="s">
        <v>25</v>
      </c>
      <c r="Q489" s="5" t="s">
        <v>25</v>
      </c>
      <c r="R489" s="5" t="s">
        <v>25</v>
      </c>
      <c r="S489" s="5" t="str">
        <f>VLOOKUP(A489,Sheet2!$A$2:$R$3432,18,0)</f>
        <v>AF211332883</v>
      </c>
      <c r="T489" s="7" t="str">
        <f>VLOOKUP(A489,Sheet2!$A$2:$R$3432,17,0)</f>
        <v>MB8DP11AEH8437154</v>
      </c>
    </row>
    <row r="490" ht="15.75" customHeight="1">
      <c r="A490" s="3" t="s">
        <v>513</v>
      </c>
      <c r="B490" s="4" t="str">
        <f>VLOOKUP(A490,Sheet2!$A$2:$R$3432,2,0)</f>
        <v>2024-07-28 20:00:40</v>
      </c>
      <c r="C490" s="5" t="s">
        <v>25</v>
      </c>
      <c r="D490" s="6" t="s">
        <v>25</v>
      </c>
      <c r="E490" s="7">
        <f>VLOOKUP(A490,Sheet2!$A$2:$R$3432,4,0)</f>
        <v>8806702546</v>
      </c>
      <c r="F490" s="7" t="str">
        <f>VLOOKUP(A490,Sheet2!$A$2:$R$3432,3,0)</f>
        <v>BIRMANI</v>
      </c>
      <c r="G490" s="5" t="s">
        <v>25</v>
      </c>
      <c r="H490" s="5" t="s">
        <v>25</v>
      </c>
      <c r="I490" s="5" t="s">
        <v>25</v>
      </c>
      <c r="J490" s="5" t="s">
        <v>25</v>
      </c>
      <c r="K490" s="7" t="str">
        <f>VLOOKUP(A490,Sheet2!$A$2:$R$3432,6,0)</f>
        <v>TVS Jupiter BS6</v>
      </c>
      <c r="L490" s="5" t="s">
        <v>25</v>
      </c>
      <c r="M490" s="7" t="str">
        <f>VLOOKUP(A490,Sheet2!$A$2:$R$3432,5,0)</f>
        <v>MH12UP8495</v>
      </c>
      <c r="N490" s="5" t="s">
        <v>25</v>
      </c>
      <c r="O490" s="5" t="s">
        <v>25</v>
      </c>
      <c r="P490" s="6" t="s">
        <v>25</v>
      </c>
      <c r="Q490" s="5" t="s">
        <v>25</v>
      </c>
      <c r="R490" s="5" t="s">
        <v>25</v>
      </c>
      <c r="S490" s="7" t="str">
        <f>VLOOKUP(A490,Sheet2!$A$2:$R$3432,18,0)</f>
        <v/>
      </c>
      <c r="T490" s="7" t="str">
        <f>VLOOKUP(A490,Sheet2!$A$2:$R$3432,17,0)</f>
        <v/>
      </c>
    </row>
    <row r="491" ht="15.75" customHeight="1">
      <c r="A491" s="3" t="s">
        <v>514</v>
      </c>
      <c r="B491" s="4" t="str">
        <f>VLOOKUP(A491,Sheet2!$A$2:$R$3432,2,0)</f>
        <v>2024-07-28 20:08:20</v>
      </c>
      <c r="C491" s="5" t="s">
        <v>25</v>
      </c>
      <c r="D491" s="6" t="s">
        <v>25</v>
      </c>
      <c r="E491" s="7">
        <f>VLOOKUP(A491,Sheet2!$A$2:$R$3432,4,0)</f>
        <v>9370296626</v>
      </c>
      <c r="F491" s="7" t="str">
        <f>VLOOKUP(A491,Sheet2!$A$2:$R$3432,3,0)</f>
        <v>Sachin Pawar</v>
      </c>
      <c r="G491" s="5" t="s">
        <v>25</v>
      </c>
      <c r="H491" s="5" t="s">
        <v>25</v>
      </c>
      <c r="I491" s="5" t="s">
        <v>25</v>
      </c>
      <c r="J491" s="5" t="s">
        <v>25</v>
      </c>
      <c r="K491" s="7" t="str">
        <f>VLOOKUP(A491,Sheet2!$A$2:$R$3432,6,0)</f>
        <v>TVS Jupiter </v>
      </c>
      <c r="L491" s="5" t="s">
        <v>25</v>
      </c>
      <c r="M491" s="7" t="str">
        <f>VLOOKUP(A491,Sheet2!$A$2:$R$3432,5,0)</f>
        <v>MH12SG8171</v>
      </c>
      <c r="N491" s="5" t="s">
        <v>25</v>
      </c>
      <c r="O491" s="5" t="s">
        <v>25</v>
      </c>
      <c r="P491" s="6" t="s">
        <v>25</v>
      </c>
      <c r="Q491" s="5" t="s">
        <v>25</v>
      </c>
      <c r="R491" s="5" t="s">
        <v>25</v>
      </c>
      <c r="S491" s="7" t="str">
        <f>VLOOKUP(A491,Sheet2!$A$2:$R$3432,18,0)</f>
        <v/>
      </c>
      <c r="T491" s="7" t="str">
        <f>VLOOKUP(A491,Sheet2!$A$2:$R$3432,17,0)</f>
        <v/>
      </c>
    </row>
    <row r="492" ht="15.75" customHeight="1">
      <c r="A492" s="3" t="s">
        <v>515</v>
      </c>
      <c r="B492" s="4" t="str">
        <f>VLOOKUP(A492,Sheet2!$A$2:$R$3432,2,0)</f>
        <v>2024-07-28 20:04:53</v>
      </c>
      <c r="C492" s="5" t="s">
        <v>25</v>
      </c>
      <c r="D492" s="6" t="s">
        <v>25</v>
      </c>
      <c r="E492" s="7">
        <f>VLOOKUP(A492,Sheet2!$A$2:$R$3432,4,0)</f>
        <v>8484842631</v>
      </c>
      <c r="F492" s="7" t="str">
        <f>VLOOKUP(A492,Sheet2!$A$2:$R$3432,3,0)</f>
        <v>Aayush</v>
      </c>
      <c r="G492" s="5" t="s">
        <v>25</v>
      </c>
      <c r="H492" s="5" t="s">
        <v>25</v>
      </c>
      <c r="I492" s="5" t="s">
        <v>25</v>
      </c>
      <c r="J492" s="5" t="s">
        <v>25</v>
      </c>
      <c r="K492" s="7" t="str">
        <f>VLOOKUP(A492,Sheet2!$A$2:$R$3432,6,0)</f>
        <v>Honda Dream Yuga </v>
      </c>
      <c r="L492" s="5" t="s">
        <v>25</v>
      </c>
      <c r="M492" s="7" t="str">
        <f>VLOOKUP(A492,Sheet2!$A$2:$R$3432,5,0)</f>
        <v>MH19DK3617</v>
      </c>
      <c r="N492" s="5" t="s">
        <v>25</v>
      </c>
      <c r="O492" s="5" t="s">
        <v>25</v>
      </c>
      <c r="P492" s="6" t="s">
        <v>25</v>
      </c>
      <c r="Q492" s="5" t="s">
        <v>25</v>
      </c>
      <c r="R492" s="5" t="s">
        <v>25</v>
      </c>
      <c r="S492" s="5" t="str">
        <f>VLOOKUP(A492,Sheet2!$A$2:$R$3432,18,0)</f>
        <v>JC58ET7114866</v>
      </c>
      <c r="T492" s="7" t="str">
        <f>VLOOKUP(A492,Sheet2!$A$2:$R$3432,17,0)</f>
        <v>ME4JC58FCKY06561</v>
      </c>
    </row>
    <row r="493" ht="15.75" customHeight="1">
      <c r="A493" s="3" t="s">
        <v>516</v>
      </c>
      <c r="B493" s="4" t="str">
        <f>VLOOKUP(A493,Sheet2!$A$2:$R$3432,2,0)</f>
        <v>2024-07-28 20:01:34</v>
      </c>
      <c r="C493" s="5" t="s">
        <v>25</v>
      </c>
      <c r="D493" s="6" t="s">
        <v>25</v>
      </c>
      <c r="E493" s="7">
        <f>VLOOKUP(A493,Sheet2!$A$2:$R$3432,4,0)</f>
        <v>8329397971</v>
      </c>
      <c r="F493" s="7" t="str">
        <f>VLOOKUP(A493,Sheet2!$A$2:$R$3432,3,0)</f>
        <v>DARSHAN JAIN</v>
      </c>
      <c r="G493" s="5" t="s">
        <v>25</v>
      </c>
      <c r="H493" s="5" t="s">
        <v>25</v>
      </c>
      <c r="I493" s="5" t="s">
        <v>25</v>
      </c>
      <c r="J493" s="5" t="s">
        <v>25</v>
      </c>
      <c r="K493" s="7" t="str">
        <f>VLOOKUP(A493,Sheet2!$A$2:$R$3432,6,0)</f>
        <v>Bajaj Pulsar 135 LS</v>
      </c>
      <c r="L493" s="5" t="s">
        <v>25</v>
      </c>
      <c r="M493" s="7" t="str">
        <f>VLOOKUP(A493,Sheet2!$A$2:$R$3432,5,0)</f>
        <v>MH26AN3263</v>
      </c>
      <c r="N493" s="5" t="s">
        <v>25</v>
      </c>
      <c r="O493" s="5" t="s">
        <v>25</v>
      </c>
      <c r="P493" s="6" t="s">
        <v>25</v>
      </c>
      <c r="Q493" s="5" t="s">
        <v>25</v>
      </c>
      <c r="R493" s="5" t="s">
        <v>25</v>
      </c>
      <c r="S493" s="7" t="str">
        <f>VLOOKUP(A493,Sheet2!$A$2:$R$3432,18,0)</f>
        <v/>
      </c>
      <c r="T493" s="7" t="str">
        <f>VLOOKUP(A493,Sheet2!$A$2:$R$3432,17,0)</f>
        <v/>
      </c>
    </row>
    <row r="494" ht="15.75" customHeight="1">
      <c r="A494" s="3" t="s">
        <v>517</v>
      </c>
      <c r="B494" s="4" t="str">
        <f>VLOOKUP(A494,Sheet2!$A$2:$R$3432,2,0)</f>
        <v>2024-07-28 20:06:53</v>
      </c>
      <c r="C494" s="5" t="s">
        <v>25</v>
      </c>
      <c r="D494" s="6" t="s">
        <v>25</v>
      </c>
      <c r="E494" s="7">
        <f>VLOOKUP(A494,Sheet2!$A$2:$R$3432,4,0)</f>
        <v>9923349595</v>
      </c>
      <c r="F494" s="7" t="str">
        <f>VLOOKUP(A494,Sheet2!$A$2:$R$3432,3,0)</f>
        <v>Nikhil Uttekar</v>
      </c>
      <c r="G494" s="5" t="s">
        <v>25</v>
      </c>
      <c r="H494" s="5" t="s">
        <v>25</v>
      </c>
      <c r="I494" s="5" t="s">
        <v>25</v>
      </c>
      <c r="J494" s="5" t="s">
        <v>25</v>
      </c>
      <c r="K494" s="7" t="str">
        <f>VLOOKUP(A494,Sheet2!$A$2:$R$3432,6,0)</f>
        <v>Honda Activa 5G</v>
      </c>
      <c r="L494" s="5" t="s">
        <v>25</v>
      </c>
      <c r="M494" s="7" t="str">
        <f>VLOOKUP(A494,Sheet2!$A$2:$R$3432,5,0)</f>
        <v>MH14HV3851</v>
      </c>
      <c r="N494" s="5" t="s">
        <v>25</v>
      </c>
      <c r="O494" s="5" t="s">
        <v>25</v>
      </c>
      <c r="P494" s="6" t="s">
        <v>25</v>
      </c>
      <c r="Q494" s="5" t="s">
        <v>25</v>
      </c>
      <c r="R494" s="5" t="s">
        <v>25</v>
      </c>
      <c r="S494" s="7" t="str">
        <f>VLOOKUP(A494,Sheet2!$A$2:$R$3432,18,0)</f>
        <v/>
      </c>
      <c r="T494" s="7" t="str">
        <f>VLOOKUP(A494,Sheet2!$A$2:$R$3432,17,0)</f>
        <v/>
      </c>
    </row>
    <row r="495" ht="15.75" customHeight="1">
      <c r="A495" s="3" t="s">
        <v>518</v>
      </c>
      <c r="B495" s="4" t="str">
        <f>VLOOKUP(A495,Sheet2!$A$2:$R$3432,2,0)</f>
        <v>2024-07-28 20:02:47</v>
      </c>
      <c r="C495" s="5" t="s">
        <v>25</v>
      </c>
      <c r="D495" s="6" t="s">
        <v>25</v>
      </c>
      <c r="E495" s="7">
        <f>VLOOKUP(A495,Sheet2!$A$2:$R$3432,4,0)</f>
        <v>9881722657</v>
      </c>
      <c r="F495" s="7" t="str">
        <f>VLOOKUP(A495,Sheet2!$A$2:$R$3432,3,0)</f>
        <v>PRASHANT </v>
      </c>
      <c r="G495" s="5" t="s">
        <v>25</v>
      </c>
      <c r="H495" s="5" t="s">
        <v>25</v>
      </c>
      <c r="I495" s="5" t="s">
        <v>25</v>
      </c>
      <c r="J495" s="5" t="s">
        <v>25</v>
      </c>
      <c r="K495" s="7" t="str">
        <f>VLOOKUP(A495,Sheet2!$A$2:$R$3432,6,0)</f>
        <v>Honda Activa i</v>
      </c>
      <c r="L495" s="5" t="s">
        <v>25</v>
      </c>
      <c r="M495" s="7" t="str">
        <f>VLOOKUP(A495,Sheet2!$A$2:$R$3432,5,0)</f>
        <v>MH14ER3989</v>
      </c>
      <c r="N495" s="5" t="s">
        <v>25</v>
      </c>
      <c r="O495" s="5" t="s">
        <v>25</v>
      </c>
      <c r="P495" s="6" t="s">
        <v>25</v>
      </c>
      <c r="Q495" s="5" t="s">
        <v>25</v>
      </c>
      <c r="R495" s="5" t="s">
        <v>25</v>
      </c>
      <c r="S495" s="7" t="str">
        <f>VLOOKUP(A495,Sheet2!$A$2:$R$3432,18,0)</f>
        <v/>
      </c>
      <c r="T495" s="7" t="str">
        <f>VLOOKUP(A495,Sheet2!$A$2:$R$3432,17,0)</f>
        <v/>
      </c>
    </row>
    <row r="496" ht="15.75" customHeight="1">
      <c r="A496" s="3" t="s">
        <v>519</v>
      </c>
      <c r="B496" s="4" t="str">
        <f>VLOOKUP(A496,Sheet2!$A$2:$R$3432,2,0)</f>
        <v>2024-07-28 20:14:37</v>
      </c>
      <c r="C496" s="5" t="s">
        <v>25</v>
      </c>
      <c r="D496" s="6" t="s">
        <v>25</v>
      </c>
      <c r="E496" s="7">
        <f>VLOOKUP(A496,Sheet2!$A$2:$R$3432,4,0)</f>
        <v>9096095550</v>
      </c>
      <c r="F496" s="7" t="str">
        <f>VLOOKUP(A496,Sheet2!$A$2:$R$3432,3,0)</f>
        <v>Chetan Chiparikar</v>
      </c>
      <c r="G496" s="5" t="s">
        <v>25</v>
      </c>
      <c r="H496" s="5" t="s">
        <v>25</v>
      </c>
      <c r="I496" s="5" t="s">
        <v>25</v>
      </c>
      <c r="J496" s="5" t="s">
        <v>25</v>
      </c>
      <c r="K496" s="7" t="str">
        <f>VLOOKUP(A496,Sheet2!$A$2:$R$3432,6,0)</f>
        <v>Bajaj Avenger 220 Cruise</v>
      </c>
      <c r="L496" s="5" t="s">
        <v>25</v>
      </c>
      <c r="M496" s="7" t="str">
        <f>VLOOKUP(A496,Sheet2!$A$2:$R$3432,5,0)</f>
        <v>MH14DV3779</v>
      </c>
      <c r="N496" s="5" t="s">
        <v>25</v>
      </c>
      <c r="O496" s="5" t="s">
        <v>25</v>
      </c>
      <c r="P496" s="6" t="s">
        <v>25</v>
      </c>
      <c r="Q496" s="5" t="s">
        <v>25</v>
      </c>
      <c r="R496" s="5" t="s">
        <v>25</v>
      </c>
      <c r="S496" s="5" t="str">
        <f>VLOOKUP(A496,Sheet2!$A$2:$R$3432,18,0)</f>
        <v>PDZCDK22519</v>
      </c>
      <c r="T496" s="7" t="str">
        <f>VLOOKUP(A496,Sheet2!$A$2:$R$3432,17,0)</f>
        <v>MD2A22EZXDCL24623</v>
      </c>
    </row>
    <row r="497" ht="15.75" customHeight="1">
      <c r="A497" s="3" t="s">
        <v>520</v>
      </c>
      <c r="B497" s="4" t="str">
        <f>VLOOKUP(A497,Sheet2!$A$2:$R$3432,2,0)</f>
        <v>2024-07-28 19:58:54</v>
      </c>
      <c r="C497" s="5" t="s">
        <v>25</v>
      </c>
      <c r="D497" s="6" t="s">
        <v>25</v>
      </c>
      <c r="E497" s="7">
        <f>VLOOKUP(A497,Sheet2!$A$2:$R$3432,4,0)</f>
        <v>9579137595</v>
      </c>
      <c r="F497" s="7" t="str">
        <f>VLOOKUP(A497,Sheet2!$A$2:$R$3432,3,0)</f>
        <v>Abhishek</v>
      </c>
      <c r="G497" s="5" t="s">
        <v>25</v>
      </c>
      <c r="H497" s="5" t="s">
        <v>25</v>
      </c>
      <c r="I497" s="5" t="s">
        <v>25</v>
      </c>
      <c r="J497" s="5" t="s">
        <v>25</v>
      </c>
      <c r="K497" s="7" t="str">
        <f>VLOOKUP(A497,Sheet2!$A$2:$R$3432,6,0)</f>
        <v>Honda Shine HET</v>
      </c>
      <c r="L497" s="5" t="s">
        <v>25</v>
      </c>
      <c r="M497" s="7" t="str">
        <f>VLOOKUP(A497,Sheet2!$A$2:$R$3432,5,0)</f>
        <v>MH31FJ2666</v>
      </c>
      <c r="N497" s="5" t="s">
        <v>25</v>
      </c>
      <c r="O497" s="5" t="s">
        <v>25</v>
      </c>
      <c r="P497" s="6" t="s">
        <v>25</v>
      </c>
      <c r="Q497" s="5" t="s">
        <v>25</v>
      </c>
      <c r="R497" s="5" t="s">
        <v>25</v>
      </c>
      <c r="S497" s="7" t="str">
        <f>VLOOKUP(A497,Sheet2!$A$2:$R$3432,18,0)</f>
        <v/>
      </c>
      <c r="T497" s="7" t="str">
        <f>VLOOKUP(A497,Sheet2!$A$2:$R$3432,17,0)</f>
        <v>ME4JC65BFJ7063420</v>
      </c>
    </row>
    <row r="498" ht="15.75" customHeight="1">
      <c r="A498" s="3" t="s">
        <v>521</v>
      </c>
      <c r="B498" s="4" t="str">
        <f>VLOOKUP(A498,Sheet2!$A$2:$R$3432,2,0)</f>
        <v>2024-07-28 20:05:39</v>
      </c>
      <c r="C498" s="5" t="s">
        <v>25</v>
      </c>
      <c r="D498" s="6" t="s">
        <v>25</v>
      </c>
      <c r="E498" s="7">
        <f>VLOOKUP(A498,Sheet2!$A$2:$R$3432,4,0)</f>
        <v>9890335919</v>
      </c>
      <c r="F498" s="7" t="str">
        <f>VLOOKUP(A498,Sheet2!$A$2:$R$3432,3,0)</f>
        <v>NILESH KULKARNI </v>
      </c>
      <c r="G498" s="5" t="s">
        <v>25</v>
      </c>
      <c r="H498" s="5" t="s">
        <v>25</v>
      </c>
      <c r="I498" s="5" t="s">
        <v>25</v>
      </c>
      <c r="J498" s="5" t="s">
        <v>25</v>
      </c>
      <c r="K498" s="7" t="str">
        <f>VLOOKUP(A498,Sheet2!$A$2:$R$3432,6,0)</f>
        <v>Hero Passion Xpro</v>
      </c>
      <c r="L498" s="5" t="s">
        <v>25</v>
      </c>
      <c r="M498" s="7" t="str">
        <f>VLOOKUP(A498,Sheet2!$A$2:$R$3432,5,0)</f>
        <v>MH14JF5048</v>
      </c>
      <c r="N498" s="5" t="s">
        <v>25</v>
      </c>
      <c r="O498" s="5" t="s">
        <v>25</v>
      </c>
      <c r="P498" s="6" t="s">
        <v>25</v>
      </c>
      <c r="Q498" s="5" t="s">
        <v>25</v>
      </c>
      <c r="R498" s="5" t="s">
        <v>25</v>
      </c>
      <c r="S498" s="5" t="str">
        <f>VLOOKUP(A498,Sheet2!$A$2:$R$3432,18,0)</f>
        <v>JA06EWLHJ546609</v>
      </c>
      <c r="T498" s="7" t="str">
        <f>VLOOKUP(A498,Sheet2!$A$2:$R$3432,17,0)</f>
        <v>MBLJAW141LHJ39775</v>
      </c>
    </row>
    <row r="499" ht="15.75" customHeight="1">
      <c r="A499" s="3" t="s">
        <v>522</v>
      </c>
      <c r="B499" s="4" t="str">
        <f>VLOOKUP(A499,Sheet2!$A$2:$R$3432,2,0)</f>
        <v>2024-07-28 20:06:21</v>
      </c>
      <c r="C499" s="5" t="s">
        <v>25</v>
      </c>
      <c r="D499" s="6" t="s">
        <v>25</v>
      </c>
      <c r="E499" s="7">
        <f>VLOOKUP(A499,Sheet2!$A$2:$R$3432,4,0)</f>
        <v>9545458750</v>
      </c>
      <c r="F499" s="7" t="str">
        <f>VLOOKUP(A499,Sheet2!$A$2:$R$3432,3,0)</f>
        <v>Ruturaj</v>
      </c>
      <c r="G499" s="5" t="s">
        <v>25</v>
      </c>
      <c r="H499" s="5" t="s">
        <v>25</v>
      </c>
      <c r="I499" s="5" t="s">
        <v>25</v>
      </c>
      <c r="J499" s="5" t="s">
        <v>25</v>
      </c>
      <c r="K499" s="7" t="str">
        <f>VLOOKUP(A499,Sheet2!$A$2:$R$3432,6,0)</f>
        <v>Suzuki Access 125</v>
      </c>
      <c r="L499" s="5" t="s">
        <v>25</v>
      </c>
      <c r="M499" s="7" t="str">
        <f>VLOOKUP(A499,Sheet2!$A$2:$R$3432,5,0)</f>
        <v>MH14GF8461</v>
      </c>
      <c r="N499" s="5" t="s">
        <v>25</v>
      </c>
      <c r="O499" s="5" t="s">
        <v>25</v>
      </c>
      <c r="P499" s="6" t="s">
        <v>25</v>
      </c>
      <c r="Q499" s="5" t="s">
        <v>25</v>
      </c>
      <c r="R499" s="5" t="s">
        <v>25</v>
      </c>
      <c r="S499" s="5" t="str">
        <f>VLOOKUP(A499,Sheet2!$A$2:$R$3432,18,0)</f>
        <v>AF211282135</v>
      </c>
      <c r="T499" s="7" t="str">
        <f>VLOOKUP(A499,Sheet2!$A$2:$R$3432,17,0)</f>
        <v>M8DP11ADH8389275</v>
      </c>
    </row>
    <row r="500" ht="15.75" customHeight="1">
      <c r="A500" s="3" t="s">
        <v>523</v>
      </c>
      <c r="B500" s="4" t="str">
        <f>VLOOKUP(A500,Sheet2!$A$2:$R$3432,2,0)</f>
        <v>2024-07-28 20:36:40</v>
      </c>
      <c r="C500" s="5" t="s">
        <v>25</v>
      </c>
      <c r="D500" s="6" t="s">
        <v>25</v>
      </c>
      <c r="E500" s="7">
        <f>VLOOKUP(A500,Sheet2!$A$2:$R$3432,4,0)</f>
        <v>9075010601</v>
      </c>
      <c r="F500" s="7" t="str">
        <f>VLOOKUP(A500,Sheet2!$A$2:$R$3432,3,0)</f>
        <v>Harshal Bhat</v>
      </c>
      <c r="G500" s="5" t="s">
        <v>25</v>
      </c>
      <c r="H500" s="5" t="s">
        <v>25</v>
      </c>
      <c r="I500" s="5" t="s">
        <v>25</v>
      </c>
      <c r="J500" s="5" t="s">
        <v>25</v>
      </c>
      <c r="K500" s="7" t="str">
        <f>VLOOKUP(A500,Sheet2!$A$2:$R$3432,6,0)</f>
        <v>Honda Activa 5G</v>
      </c>
      <c r="L500" s="5" t="s">
        <v>25</v>
      </c>
      <c r="M500" s="7" t="str">
        <f>VLOOKUP(A500,Sheet2!$A$2:$R$3432,5,0)</f>
        <v>MH14HP9583</v>
      </c>
      <c r="N500" s="5" t="s">
        <v>25</v>
      </c>
      <c r="O500" s="5" t="s">
        <v>25</v>
      </c>
      <c r="P500" s="6" t="s">
        <v>25</v>
      </c>
      <c r="Q500" s="5" t="s">
        <v>25</v>
      </c>
      <c r="R500" s="5" t="s">
        <v>25</v>
      </c>
      <c r="S500" s="5" t="str">
        <f>VLOOKUP(A500,Sheet2!$A$2:$R$3432,18,0)</f>
        <v>JF50EW0009183</v>
      </c>
      <c r="T500" s="7" t="str">
        <f>VLOOKUP(A500,Sheet2!$A$2:$R$3432,17,0)</f>
        <v>ME4JF50ADKW009140</v>
      </c>
    </row>
    <row r="501" ht="15.75" customHeight="1">
      <c r="A501" s="3" t="s">
        <v>524</v>
      </c>
      <c r="B501" s="4" t="str">
        <f>VLOOKUP(A501,Sheet2!$A$2:$R$3432,2,0)</f>
        <v>2024-07-28 20:38:05</v>
      </c>
      <c r="C501" s="5" t="s">
        <v>25</v>
      </c>
      <c r="D501" s="6" t="s">
        <v>25</v>
      </c>
      <c r="E501" s="7">
        <f>VLOOKUP(A501,Sheet2!$A$2:$R$3432,4,0)</f>
        <v>8605775225</v>
      </c>
      <c r="F501" s="7" t="str">
        <f>VLOOKUP(A501,Sheet2!$A$2:$R$3432,3,0)</f>
        <v>Ganesh Jaware</v>
      </c>
      <c r="G501" s="5" t="s">
        <v>25</v>
      </c>
      <c r="H501" s="5" t="s">
        <v>25</v>
      </c>
      <c r="I501" s="5" t="s">
        <v>25</v>
      </c>
      <c r="J501" s="5" t="s">
        <v>25</v>
      </c>
      <c r="K501" s="7" t="str">
        <f>VLOOKUP(A501,Sheet2!$A$2:$R$3432,6,0)</f>
        <v>Honda Activa 5G</v>
      </c>
      <c r="L501" s="5" t="s">
        <v>25</v>
      </c>
      <c r="M501" s="7" t="str">
        <f>VLOOKUP(A501,Sheet2!$A$2:$R$3432,5,0)</f>
        <v>MH14HF0997</v>
      </c>
      <c r="N501" s="5" t="s">
        <v>25</v>
      </c>
      <c r="O501" s="5" t="s">
        <v>25</v>
      </c>
      <c r="P501" s="6" t="s">
        <v>25</v>
      </c>
      <c r="Q501" s="5" t="s">
        <v>25</v>
      </c>
      <c r="R501" s="5" t="s">
        <v>25</v>
      </c>
      <c r="S501" s="5" t="str">
        <f>VLOOKUP(A501,Sheet2!$A$2:$R$3432,18,0)</f>
        <v>JF50EU7345476</v>
      </c>
      <c r="T501" s="7" t="str">
        <f>VLOOKUP(A501,Sheet2!$A$2:$R$3432,17,0)</f>
        <v>ME4JF5AKJU345527</v>
      </c>
    </row>
    <row r="502" ht="15.75" customHeight="1">
      <c r="A502" s="3" t="s">
        <v>525</v>
      </c>
      <c r="B502" s="4" t="str">
        <f>VLOOKUP(A502,Sheet2!$A$2:$R$3432,2,0)</f>
        <v>2024-07-28 20:38:42</v>
      </c>
      <c r="C502" s="5" t="s">
        <v>25</v>
      </c>
      <c r="D502" s="6" t="s">
        <v>25</v>
      </c>
      <c r="E502" s="7">
        <f>VLOOKUP(A502,Sheet2!$A$2:$R$3432,4,0)</f>
        <v>8805357900</v>
      </c>
      <c r="F502" s="7" t="str">
        <f>VLOOKUP(A502,Sheet2!$A$2:$R$3432,3,0)</f>
        <v>Gauri Shankar </v>
      </c>
      <c r="G502" s="5" t="s">
        <v>25</v>
      </c>
      <c r="H502" s="5" t="s">
        <v>25</v>
      </c>
      <c r="I502" s="5" t="s">
        <v>25</v>
      </c>
      <c r="J502" s="5" t="s">
        <v>25</v>
      </c>
      <c r="K502" s="7" t="str">
        <f>VLOOKUP(A502,Sheet2!$A$2:$R$3432,6,0)</f>
        <v>Honda Activa 4G</v>
      </c>
      <c r="L502" s="5" t="s">
        <v>25</v>
      </c>
      <c r="M502" s="7" t="str">
        <f>VLOOKUP(A502,Sheet2!$A$2:$R$3432,5,0)</f>
        <v>TN22DF8203</v>
      </c>
      <c r="N502" s="5" t="s">
        <v>25</v>
      </c>
      <c r="O502" s="5" t="s">
        <v>25</v>
      </c>
      <c r="P502" s="6" t="s">
        <v>25</v>
      </c>
      <c r="Q502" s="5" t="s">
        <v>25</v>
      </c>
      <c r="R502" s="5" t="s">
        <v>25</v>
      </c>
      <c r="S502" s="5" t="str">
        <f>VLOOKUP(A502,Sheet2!$A$2:$R$3432,18,0)</f>
        <v>JF50ET517888</v>
      </c>
      <c r="T502" s="7" t="str">
        <f>VLOOKUP(A502,Sheet2!$A$2:$R$3432,17,0)</f>
        <v>ME4JF507DH1172723</v>
      </c>
    </row>
    <row r="503" ht="15.75" customHeight="1">
      <c r="A503" s="3" t="s">
        <v>526</v>
      </c>
      <c r="B503" s="4" t="str">
        <f>VLOOKUP(A503,Sheet2!$A$2:$R$3432,2,0)</f>
        <v>2024-07-28 20:48:02</v>
      </c>
      <c r="C503" s="5" t="s">
        <v>25</v>
      </c>
      <c r="D503" s="6" t="s">
        <v>25</v>
      </c>
      <c r="E503" s="7">
        <f>VLOOKUP(A503,Sheet2!$A$2:$R$3432,4,0)</f>
        <v>7391050757</v>
      </c>
      <c r="F503" s="7" t="str">
        <f>VLOOKUP(A503,Sheet2!$A$2:$R$3432,3,0)</f>
        <v>Giridhar </v>
      </c>
      <c r="G503" s="5" t="s">
        <v>25</v>
      </c>
      <c r="H503" s="5" t="s">
        <v>25</v>
      </c>
      <c r="I503" s="5" t="s">
        <v>25</v>
      </c>
      <c r="J503" s="5" t="s">
        <v>25</v>
      </c>
      <c r="K503" s="7" t="str">
        <f>VLOOKUP(A503,Sheet2!$A$2:$R$3432,6,0)</f>
        <v>TVS Jupiter 125</v>
      </c>
      <c r="L503" s="5" t="s">
        <v>25</v>
      </c>
      <c r="M503" s="7" t="str">
        <f>VLOOKUP(A503,Sheet2!$A$2:$R$3432,5,0)</f>
        <v>MH14KH9806</v>
      </c>
      <c r="N503" s="5" t="s">
        <v>25</v>
      </c>
      <c r="O503" s="5" t="s">
        <v>25</v>
      </c>
      <c r="P503" s="6" t="s">
        <v>25</v>
      </c>
      <c r="Q503" s="5" t="s">
        <v>25</v>
      </c>
      <c r="R503" s="5" t="s">
        <v>25</v>
      </c>
      <c r="S503" s="5" t="str">
        <f>VLOOKUP(A503,Sheet2!$A$2:$R$3432,18,0)</f>
        <v>BK4GN1616622</v>
      </c>
      <c r="T503" s="7" t="str">
        <f>VLOOKUP(A503,Sheet2!$A$2:$R$3432,17,0)</f>
        <v>MD62AK4XN1G17268</v>
      </c>
    </row>
    <row r="504" ht="15.75" customHeight="1">
      <c r="A504" s="3" t="s">
        <v>527</v>
      </c>
      <c r="B504" s="4" t="str">
        <f>VLOOKUP(A504,Sheet2!$A$2:$R$3432,2,0)</f>
        <v>2024-07-28 20:51:19</v>
      </c>
      <c r="C504" s="5" t="s">
        <v>25</v>
      </c>
      <c r="D504" s="6" t="s">
        <v>25</v>
      </c>
      <c r="E504" s="7">
        <f>VLOOKUP(A504,Sheet2!$A$2:$R$3432,4,0)</f>
        <v>9764317433</v>
      </c>
      <c r="F504" s="7" t="str">
        <f>VLOOKUP(A504,Sheet2!$A$2:$R$3432,3,0)</f>
        <v>SIMANCHAL DAS</v>
      </c>
      <c r="G504" s="5" t="s">
        <v>25</v>
      </c>
      <c r="H504" s="5" t="s">
        <v>25</v>
      </c>
      <c r="I504" s="5" t="s">
        <v>25</v>
      </c>
      <c r="J504" s="5" t="s">
        <v>25</v>
      </c>
      <c r="K504" s="7" t="str">
        <f>VLOOKUP(A504,Sheet2!$A$2:$R$3432,6,0)</f>
        <v>Honda Activa No Data</v>
      </c>
      <c r="L504" s="5" t="s">
        <v>25</v>
      </c>
      <c r="M504" s="7" t="str">
        <f>VLOOKUP(A504,Sheet2!$A$2:$R$3432,5,0)</f>
        <v>MH14DU5165</v>
      </c>
      <c r="N504" s="5" t="s">
        <v>25</v>
      </c>
      <c r="O504" s="5" t="s">
        <v>25</v>
      </c>
      <c r="P504" s="6" t="s">
        <v>25</v>
      </c>
      <c r="Q504" s="5" t="s">
        <v>25</v>
      </c>
      <c r="R504" s="5" t="s">
        <v>25</v>
      </c>
      <c r="S504" s="5" t="str">
        <f>VLOOKUP(A504,Sheet2!$A$2:$R$3432,18,0)</f>
        <v>JC44E5695847</v>
      </c>
      <c r="T504" s="7" t="str">
        <f>VLOOKUP(A504,Sheet2!$A$2:$R$3432,17,0)</f>
        <v>ME4JC448MC7695603</v>
      </c>
    </row>
    <row r="505" ht="15.75" customHeight="1">
      <c r="A505" s="3" t="s">
        <v>528</v>
      </c>
      <c r="B505" s="4" t="str">
        <f>VLOOKUP(A505,Sheet2!$A$2:$R$3432,2,0)</f>
        <v>2024-07-28 20:52:47</v>
      </c>
      <c r="C505" s="5" t="s">
        <v>25</v>
      </c>
      <c r="D505" s="6" t="s">
        <v>25</v>
      </c>
      <c r="E505" s="7">
        <f>VLOOKUP(A505,Sheet2!$A$2:$R$3432,4,0)</f>
        <v>9011640804</v>
      </c>
      <c r="F505" s="7" t="str">
        <f>VLOOKUP(A505,Sheet2!$A$2:$R$3432,3,0)</f>
        <v>Abhimanyu Kirolkar</v>
      </c>
      <c r="G505" s="5" t="s">
        <v>25</v>
      </c>
      <c r="H505" s="5" t="s">
        <v>25</v>
      </c>
      <c r="I505" s="5" t="s">
        <v>25</v>
      </c>
      <c r="J505" s="5" t="s">
        <v>25</v>
      </c>
      <c r="K505" s="7" t="str">
        <f>VLOOKUP(A505,Sheet2!$A$2:$R$3432,6,0)</f>
        <v>Honda Shine HET</v>
      </c>
      <c r="L505" s="5" t="s">
        <v>25</v>
      </c>
      <c r="M505" s="7" t="str">
        <f>VLOOKUP(A505,Sheet2!$A$2:$R$3432,5,0)</f>
        <v>MH19CB8089</v>
      </c>
      <c r="N505" s="5" t="s">
        <v>25</v>
      </c>
      <c r="O505" s="5" t="s">
        <v>25</v>
      </c>
      <c r="P505" s="6" t="s">
        <v>25</v>
      </c>
      <c r="Q505" s="5" t="s">
        <v>25</v>
      </c>
      <c r="R505" s="5" t="s">
        <v>25</v>
      </c>
      <c r="S505" s="5" t="str">
        <f>VLOOKUP(A505,Sheet2!$A$2:$R$3432,18,0)</f>
        <v>JC36E738943</v>
      </c>
      <c r="T505" s="7" t="str">
        <f>VLOOKUP(A505,Sheet2!$A$2:$R$3432,17,0)</f>
        <v>ME4JC36PAF7097785</v>
      </c>
    </row>
    <row r="506" ht="15.75" customHeight="1">
      <c r="A506" s="3" t="s">
        <v>529</v>
      </c>
      <c r="B506" s="4" t="str">
        <f>VLOOKUP(A506,Sheet2!$A$2:$R$3432,2,0)</f>
        <v>2025-04-12 20:57:31</v>
      </c>
      <c r="C506" s="5" t="s">
        <v>25</v>
      </c>
      <c r="D506" s="6" t="s">
        <v>25</v>
      </c>
      <c r="E506" s="7">
        <f>VLOOKUP(A506,Sheet2!$A$2:$R$3432,4,0)</f>
        <v>9890353072</v>
      </c>
      <c r="F506" s="7" t="str">
        <f>VLOOKUP(A506,Sheet2!$A$2:$R$3432,3,0)</f>
        <v>SANTOSH </v>
      </c>
      <c r="G506" s="5" t="s">
        <v>25</v>
      </c>
      <c r="H506" s="5" t="s">
        <v>25</v>
      </c>
      <c r="I506" s="5" t="s">
        <v>25</v>
      </c>
      <c r="J506" s="5" t="s">
        <v>25</v>
      </c>
      <c r="K506" s="7" t="str">
        <f>VLOOKUP(A506,Sheet2!$A$2:$R$3432,6,0)</f>
        <v>Honda Activa 110</v>
      </c>
      <c r="L506" s="5" t="s">
        <v>25</v>
      </c>
      <c r="M506" s="7" t="str">
        <f>VLOOKUP(A506,Sheet2!$A$2:$R$3432,5,0)</f>
        <v>MH25AC1374</v>
      </c>
      <c r="N506" s="5" t="s">
        <v>25</v>
      </c>
      <c r="O506" s="5" t="s">
        <v>25</v>
      </c>
      <c r="P506" s="6" t="s">
        <v>25</v>
      </c>
      <c r="Q506" s="5" t="s">
        <v>25</v>
      </c>
      <c r="R506" s="5" t="s">
        <v>25</v>
      </c>
      <c r="S506" s="5" t="str">
        <f>VLOOKUP(A506,Sheet2!$A$2:$R$3432,18,0)</f>
        <v>JF50ET1713578</v>
      </c>
      <c r="T506" s="7" t="str">
        <f>VLOOKUP(A506,Sheet2!$A$2:$R$3432,17,0)</f>
        <v>ME4JF502ME1711773</v>
      </c>
    </row>
    <row r="507" ht="15.75" customHeight="1">
      <c r="A507" s="3" t="s">
        <v>530</v>
      </c>
      <c r="B507" s="4" t="str">
        <f>VLOOKUP(A507,Sheet2!$A$2:$R$3432,2,0)</f>
        <v>2025-04-12 20:58:45</v>
      </c>
      <c r="C507" s="5" t="s">
        <v>25</v>
      </c>
      <c r="D507" s="6" t="s">
        <v>25</v>
      </c>
      <c r="E507" s="7">
        <f>VLOOKUP(A507,Sheet2!$A$2:$R$3432,4,0)</f>
        <v>9665885118</v>
      </c>
      <c r="F507" s="7" t="str">
        <f>VLOOKUP(A507,Sheet2!$A$2:$R$3432,3,0)</f>
        <v>Ankush Sonuse</v>
      </c>
      <c r="G507" s="5" t="s">
        <v>25</v>
      </c>
      <c r="H507" s="5" t="s">
        <v>25</v>
      </c>
      <c r="I507" s="5" t="s">
        <v>25</v>
      </c>
      <c r="J507" s="5" t="s">
        <v>25</v>
      </c>
      <c r="K507" s="7" t="str">
        <f>VLOOKUP(A507,Sheet2!$A$2:$R$3432,6,0)</f>
        <v>Honda Activa 6G</v>
      </c>
      <c r="L507" s="5" t="s">
        <v>25</v>
      </c>
      <c r="M507" s="7" t="str">
        <f>VLOOKUP(A507,Sheet2!$A$2:$R$3432,5,0)</f>
        <v>MH14KT9080</v>
      </c>
      <c r="N507" s="5" t="s">
        <v>25</v>
      </c>
      <c r="O507" s="5" t="s">
        <v>25</v>
      </c>
      <c r="P507" s="6" t="s">
        <v>25</v>
      </c>
      <c r="Q507" s="5" t="s">
        <v>25</v>
      </c>
      <c r="R507" s="5" t="s">
        <v>25</v>
      </c>
      <c r="S507" s="7" t="str">
        <f>VLOOKUP(A507,Sheet2!$A$2:$R$3432,18,0)</f>
        <v/>
      </c>
      <c r="T507" s="7" t="str">
        <f>VLOOKUP(A507,Sheet2!$A$2:$R$3432,17,0)</f>
        <v/>
      </c>
    </row>
    <row r="508" ht="15.75" customHeight="1">
      <c r="A508" s="3" t="s">
        <v>531</v>
      </c>
      <c r="B508" s="4" t="str">
        <f>VLOOKUP(A508,Sheet2!$A$2:$R$3432,2,0)</f>
        <v>2025-04-12 20:59:52</v>
      </c>
      <c r="C508" s="5" t="s">
        <v>25</v>
      </c>
      <c r="D508" s="6" t="s">
        <v>25</v>
      </c>
      <c r="E508" s="7">
        <f>VLOOKUP(A508,Sheet2!$A$2:$R$3432,4,0)</f>
        <v>9823471457</v>
      </c>
      <c r="F508" s="7" t="str">
        <f>VLOOKUP(A508,Sheet2!$A$2:$R$3432,3,0)</f>
        <v>Akshay </v>
      </c>
      <c r="G508" s="5" t="s">
        <v>25</v>
      </c>
      <c r="H508" s="5" t="s">
        <v>25</v>
      </c>
      <c r="I508" s="5" t="s">
        <v>25</v>
      </c>
      <c r="J508" s="5" t="s">
        <v>25</v>
      </c>
      <c r="K508" s="7" t="str">
        <f>VLOOKUP(A508,Sheet2!$A$2:$R$3432,6,0)</f>
        <v>Honda Shine </v>
      </c>
      <c r="L508" s="5" t="s">
        <v>25</v>
      </c>
      <c r="M508" s="7" t="str">
        <f>VLOOKUP(A508,Sheet2!$A$2:$R$3432,5,0)</f>
        <v>MH15DH7075</v>
      </c>
      <c r="N508" s="5" t="s">
        <v>25</v>
      </c>
      <c r="O508" s="5" t="s">
        <v>25</v>
      </c>
      <c r="P508" s="6" t="s">
        <v>25</v>
      </c>
      <c r="Q508" s="5" t="s">
        <v>25</v>
      </c>
      <c r="R508" s="5" t="s">
        <v>25</v>
      </c>
      <c r="S508" s="5" t="str">
        <f>VLOOKUP(A508,Sheet2!$A$2:$R$3432,18,0)</f>
        <v>JC30E5006556</v>
      </c>
      <c r="T508" s="7" t="str">
        <f>VLOOKUP(A508,Sheet2!$A$2:$R$3432,17,0)</f>
        <v>ME4JE366BC7002605</v>
      </c>
    </row>
    <row r="509" ht="15.75" customHeight="1">
      <c r="A509" s="3" t="s">
        <v>532</v>
      </c>
      <c r="B509" s="4" t="str">
        <f>VLOOKUP(A509,Sheet2!$A$2:$R$3432,2,0)</f>
        <v>2025-04-12 20:50:59</v>
      </c>
      <c r="C509" s="5" t="s">
        <v>25</v>
      </c>
      <c r="D509" s="6" t="s">
        <v>25</v>
      </c>
      <c r="E509" s="7">
        <f>VLOOKUP(A509,Sheet2!$A$2:$R$3432,4,0)</f>
        <v>9922442687</v>
      </c>
      <c r="F509" s="7" t="str">
        <f>VLOOKUP(A509,Sheet2!$A$2:$R$3432,3,0)</f>
        <v>Prashant </v>
      </c>
      <c r="G509" s="5" t="s">
        <v>25</v>
      </c>
      <c r="H509" s="5" t="s">
        <v>25</v>
      </c>
      <c r="I509" s="5" t="s">
        <v>25</v>
      </c>
      <c r="J509" s="5" t="s">
        <v>25</v>
      </c>
      <c r="K509" s="7" t="str">
        <f>VLOOKUP(A509,Sheet2!$A$2:$R$3432,6,0)</f>
        <v>Honda Activa 125</v>
      </c>
      <c r="L509" s="5" t="s">
        <v>25</v>
      </c>
      <c r="M509" s="7" t="str">
        <f>VLOOKUP(A509,Sheet2!$A$2:$R$3432,5,0)</f>
        <v>MH14KE2403</v>
      </c>
      <c r="N509" s="5" t="s">
        <v>25</v>
      </c>
      <c r="O509" s="5" t="s">
        <v>25</v>
      </c>
      <c r="P509" s="6" t="s">
        <v>25</v>
      </c>
      <c r="Q509" s="5" t="s">
        <v>25</v>
      </c>
      <c r="R509" s="5" t="s">
        <v>25</v>
      </c>
      <c r="S509" s="7" t="str">
        <f>VLOOKUP(A509,Sheet2!$A$2:$R$3432,18,0)</f>
        <v/>
      </c>
      <c r="T509" s="7" t="str">
        <f>VLOOKUP(A509,Sheet2!$A$2:$R$3432,17,0)</f>
        <v/>
      </c>
    </row>
    <row r="510" ht="15.75" customHeight="1">
      <c r="A510" s="3" t="s">
        <v>533</v>
      </c>
      <c r="B510" s="4" t="str">
        <f>VLOOKUP(A510,Sheet2!$A$2:$R$3432,2,0)</f>
        <v>2025-04-12 20:51:28</v>
      </c>
      <c r="C510" s="5" t="s">
        <v>25</v>
      </c>
      <c r="D510" s="6" t="s">
        <v>25</v>
      </c>
      <c r="E510" s="7">
        <f>VLOOKUP(A510,Sheet2!$A$2:$R$3432,4,0)</f>
        <v>9423826423</v>
      </c>
      <c r="F510" s="7" t="str">
        <f>VLOOKUP(A510,Sheet2!$A$2:$R$3432,3,0)</f>
        <v>Sushant Chaugule</v>
      </c>
      <c r="G510" s="5" t="s">
        <v>25</v>
      </c>
      <c r="H510" s="5" t="s">
        <v>25</v>
      </c>
      <c r="I510" s="5" t="s">
        <v>25</v>
      </c>
      <c r="J510" s="5" t="s">
        <v>25</v>
      </c>
      <c r="K510" s="7" t="str">
        <f>VLOOKUP(A510,Sheet2!$A$2:$R$3432,6,0)</f>
        <v>Honda Activa 110</v>
      </c>
      <c r="L510" s="5" t="s">
        <v>25</v>
      </c>
      <c r="M510" s="7" t="str">
        <f>VLOOKUP(A510,Sheet2!$A$2:$R$3432,5,0)</f>
        <v>MH14DK3929</v>
      </c>
      <c r="N510" s="5" t="s">
        <v>25</v>
      </c>
      <c r="O510" s="5" t="s">
        <v>25</v>
      </c>
      <c r="P510" s="6" t="s">
        <v>25</v>
      </c>
      <c r="Q510" s="5" t="s">
        <v>25</v>
      </c>
      <c r="R510" s="5" t="s">
        <v>25</v>
      </c>
      <c r="S510" s="7" t="str">
        <f>VLOOKUP(A510,Sheet2!$A$2:$R$3432,18,0)</f>
        <v/>
      </c>
      <c r="T510" s="7" t="str">
        <f>VLOOKUP(A510,Sheet2!$A$2:$R$3432,17,0)</f>
        <v>ME4JC448DC7307044</v>
      </c>
    </row>
    <row r="511" ht="15.75" customHeight="1">
      <c r="A511" s="3" t="s">
        <v>534</v>
      </c>
      <c r="B511" s="4" t="str">
        <f>VLOOKUP(A511,Sheet2!$A$2:$R$3432,2,0)</f>
        <v>2025-04-12 20:51:59</v>
      </c>
      <c r="C511" s="5" t="s">
        <v>25</v>
      </c>
      <c r="D511" s="6" t="s">
        <v>25</v>
      </c>
      <c r="E511" s="7">
        <f>VLOOKUP(A511,Sheet2!$A$2:$R$3432,4,0)</f>
        <v>7720072355</v>
      </c>
      <c r="F511" s="7" t="str">
        <f>VLOOKUP(A511,Sheet2!$A$2:$R$3432,3,0)</f>
        <v>Abhijit Moholkar</v>
      </c>
      <c r="G511" s="5" t="s">
        <v>25</v>
      </c>
      <c r="H511" s="5" t="s">
        <v>25</v>
      </c>
      <c r="I511" s="5" t="s">
        <v>25</v>
      </c>
      <c r="J511" s="5" t="s">
        <v>25</v>
      </c>
      <c r="K511" s="7" t="str">
        <f>VLOOKUP(A511,Sheet2!$A$2:$R$3432,6,0)</f>
        <v>TVS Jupiter </v>
      </c>
      <c r="L511" s="5" t="s">
        <v>25</v>
      </c>
      <c r="M511" s="7" t="str">
        <f>VLOOKUP(A511,Sheet2!$A$2:$R$3432,5,0)</f>
        <v>MH16CN8411</v>
      </c>
      <c r="N511" s="5" t="s">
        <v>25</v>
      </c>
      <c r="O511" s="5" t="s">
        <v>25</v>
      </c>
      <c r="P511" s="6" t="s">
        <v>25</v>
      </c>
      <c r="Q511" s="5" t="s">
        <v>25</v>
      </c>
      <c r="R511" s="5" t="s">
        <v>25</v>
      </c>
      <c r="S511" s="7" t="str">
        <f>VLOOKUP(A511,Sheet2!$A$2:$R$3432,18,0)</f>
        <v/>
      </c>
      <c r="T511" s="7" t="str">
        <f>VLOOKUP(A511,Sheet2!$A$2:$R$3432,17,0)</f>
        <v/>
      </c>
    </row>
    <row r="512" ht="15.75" customHeight="1">
      <c r="A512" s="3" t="s">
        <v>535</v>
      </c>
      <c r="B512" s="4" t="str">
        <f>VLOOKUP(A512,Sheet2!$A$2:$R$3432,2,0)</f>
        <v>2025-04-12 20:52:39</v>
      </c>
      <c r="C512" s="5" t="s">
        <v>25</v>
      </c>
      <c r="D512" s="6" t="s">
        <v>25</v>
      </c>
      <c r="E512" s="7">
        <f>VLOOKUP(A512,Sheet2!$A$2:$R$3432,4,0)</f>
        <v>7350342002</v>
      </c>
      <c r="F512" s="7" t="str">
        <f>VLOOKUP(A512,Sheet2!$A$2:$R$3432,3,0)</f>
        <v>Nikhil Pawar</v>
      </c>
      <c r="G512" s="5" t="s">
        <v>25</v>
      </c>
      <c r="H512" s="5" t="s">
        <v>25</v>
      </c>
      <c r="I512" s="5" t="s">
        <v>25</v>
      </c>
      <c r="J512" s="5" t="s">
        <v>25</v>
      </c>
      <c r="K512" s="7" t="str">
        <f>VLOOKUP(A512,Sheet2!$A$2:$R$3432,6,0)</f>
        <v>Honda Activa 6G</v>
      </c>
      <c r="L512" s="5" t="s">
        <v>25</v>
      </c>
      <c r="M512" s="7" t="str">
        <f>VLOOKUP(A512,Sheet2!$A$2:$R$3432,5,0)</f>
        <v>MH12VY9042</v>
      </c>
      <c r="N512" s="5" t="s">
        <v>25</v>
      </c>
      <c r="O512" s="5" t="s">
        <v>25</v>
      </c>
      <c r="P512" s="6" t="s">
        <v>25</v>
      </c>
      <c r="Q512" s="5" t="s">
        <v>25</v>
      </c>
      <c r="R512" s="5" t="s">
        <v>25</v>
      </c>
      <c r="S512" s="7" t="str">
        <f>VLOOKUP(A512,Sheet2!$A$2:$R$3432,18,0)</f>
        <v/>
      </c>
      <c r="T512" s="7" t="str">
        <f>VLOOKUP(A512,Sheet2!$A$2:$R$3432,17,0)</f>
        <v/>
      </c>
    </row>
    <row r="513" ht="15.75" customHeight="1">
      <c r="A513" s="3" t="s">
        <v>536</v>
      </c>
      <c r="B513" s="4" t="str">
        <f>VLOOKUP(A513,Sheet2!$A$2:$R$3432,2,0)</f>
        <v>2025-04-12 20:53:10</v>
      </c>
      <c r="C513" s="5" t="s">
        <v>25</v>
      </c>
      <c r="D513" s="6" t="s">
        <v>25</v>
      </c>
      <c r="E513" s="7">
        <f>VLOOKUP(A513,Sheet2!$A$2:$R$3432,4,0)</f>
        <v>9969018369</v>
      </c>
      <c r="F513" s="7" t="str">
        <f>VLOOKUP(A513,Sheet2!$A$2:$R$3432,3,0)</f>
        <v>Bipin</v>
      </c>
      <c r="G513" s="5" t="s">
        <v>25</v>
      </c>
      <c r="H513" s="5" t="s">
        <v>25</v>
      </c>
      <c r="I513" s="5" t="s">
        <v>25</v>
      </c>
      <c r="J513" s="5" t="s">
        <v>25</v>
      </c>
      <c r="K513" s="7" t="str">
        <f>VLOOKUP(A513,Sheet2!$A$2:$R$3432,6,0)</f>
        <v>Honda Activa 5G</v>
      </c>
      <c r="L513" s="5" t="s">
        <v>25</v>
      </c>
      <c r="M513" s="7" t="str">
        <f>VLOOKUP(A513,Sheet2!$A$2:$R$3432,5,0)</f>
        <v>MH14KZ3708</v>
      </c>
      <c r="N513" s="5" t="s">
        <v>25</v>
      </c>
      <c r="O513" s="5" t="s">
        <v>25</v>
      </c>
      <c r="P513" s="6" t="s">
        <v>25</v>
      </c>
      <c r="Q513" s="5" t="s">
        <v>25</v>
      </c>
      <c r="R513" s="5" t="s">
        <v>25</v>
      </c>
      <c r="S513" s="5" t="str">
        <f>VLOOKUP(A513,Sheet2!$A$2:$R$3432,18,0)</f>
        <v>JF50ET7107835</v>
      </c>
      <c r="T513" s="7" t="str">
        <f>VLOOKUP(A513,Sheet2!$A$2:$R$3432,17,0)</f>
        <v>ME4JF50ADJT107807</v>
      </c>
    </row>
    <row r="514" ht="15.75" customHeight="1">
      <c r="A514" s="3" t="s">
        <v>537</v>
      </c>
      <c r="B514" s="4" t="str">
        <f>VLOOKUP(A514,Sheet2!$A$2:$R$3432,2,0)</f>
        <v>2025-04-12 20:53:37</v>
      </c>
      <c r="C514" s="5" t="s">
        <v>25</v>
      </c>
      <c r="D514" s="6" t="s">
        <v>25</v>
      </c>
      <c r="E514" s="7">
        <f>VLOOKUP(A514,Sheet2!$A$2:$R$3432,4,0)</f>
        <v>9860587266</v>
      </c>
      <c r="F514" s="7" t="str">
        <f>VLOOKUP(A514,Sheet2!$A$2:$R$3432,3,0)</f>
        <v>Deepak Patil</v>
      </c>
      <c r="G514" s="5" t="s">
        <v>25</v>
      </c>
      <c r="H514" s="5" t="s">
        <v>25</v>
      </c>
      <c r="I514" s="5" t="s">
        <v>25</v>
      </c>
      <c r="J514" s="5" t="s">
        <v>25</v>
      </c>
      <c r="K514" s="7" t="str">
        <f>VLOOKUP(A514,Sheet2!$A$2:$R$3432,6,0)</f>
        <v>Honda Activa HET</v>
      </c>
      <c r="L514" s="5" t="s">
        <v>25</v>
      </c>
      <c r="M514" s="7" t="str">
        <f>VLOOKUP(A514,Sheet2!$A$2:$R$3432,5,0)</f>
        <v>MH14EN5336</v>
      </c>
      <c r="N514" s="5" t="s">
        <v>25</v>
      </c>
      <c r="O514" s="5" t="s">
        <v>25</v>
      </c>
      <c r="P514" s="6" t="s">
        <v>25</v>
      </c>
      <c r="Q514" s="5" t="s">
        <v>25</v>
      </c>
      <c r="R514" s="5" t="s">
        <v>25</v>
      </c>
      <c r="S514" s="5" t="str">
        <f>VLOOKUP(A514,Sheet2!$A$2:$R$3432,18,0)</f>
        <v>JF50T1264222</v>
      </c>
      <c r="T514" s="7" t="str">
        <f>VLOOKUP(A514,Sheet2!$A$2:$R$3432,17,0)</f>
        <v>ME4JF502HET262465</v>
      </c>
    </row>
    <row r="515" ht="15.75" customHeight="1">
      <c r="A515" s="3" t="s">
        <v>538</v>
      </c>
      <c r="B515" s="4" t="str">
        <f>VLOOKUP(A515,Sheet2!$A$2:$R$3432,2,0)</f>
        <v>2025-04-12 20:56:53</v>
      </c>
      <c r="C515" s="5" t="s">
        <v>25</v>
      </c>
      <c r="D515" s="6" t="s">
        <v>25</v>
      </c>
      <c r="E515" s="7">
        <f>VLOOKUP(A515,Sheet2!$A$2:$R$3432,4,0)</f>
        <v>9376121150</v>
      </c>
      <c r="F515" s="7" t="str">
        <f>VLOOKUP(A515,Sheet2!$A$2:$R$3432,3,0)</f>
        <v>SANTOSH</v>
      </c>
      <c r="G515" s="5" t="s">
        <v>25</v>
      </c>
      <c r="H515" s="5" t="s">
        <v>25</v>
      </c>
      <c r="I515" s="5" t="s">
        <v>25</v>
      </c>
      <c r="J515" s="5" t="s">
        <v>25</v>
      </c>
      <c r="K515" s="7" t="str">
        <f>VLOOKUP(A515,Sheet2!$A$2:$R$3432,6,0)</f>
        <v>Honda Activa 6G</v>
      </c>
      <c r="L515" s="5" t="s">
        <v>25</v>
      </c>
      <c r="M515" s="7" t="str">
        <f>VLOOKUP(A515,Sheet2!$A$2:$R$3432,5,0)</f>
        <v>MH14JS1113</v>
      </c>
      <c r="N515" s="5" t="s">
        <v>25</v>
      </c>
      <c r="O515" s="5" t="s">
        <v>25</v>
      </c>
      <c r="P515" s="6" t="s">
        <v>25</v>
      </c>
      <c r="Q515" s="5" t="s">
        <v>25</v>
      </c>
      <c r="R515" s="5" t="s">
        <v>25</v>
      </c>
      <c r="S515" s="5" t="str">
        <f>VLOOKUP(A515,Sheet2!$A$2:$R$3432,18,0)</f>
        <v>JF91EG1519213</v>
      </c>
      <c r="T515" s="7" t="str">
        <f>VLOOKUP(A515,Sheet2!$A$2:$R$3432,17,0)</f>
        <v>ME4JF914GMG520165</v>
      </c>
    </row>
    <row r="516" ht="15.75" customHeight="1">
      <c r="A516" s="3" t="s">
        <v>539</v>
      </c>
      <c r="B516" s="4" t="str">
        <f>VLOOKUP(A516,Sheet2!$A$2:$R$3432,2,0)</f>
        <v>2025-04-12 20:56:09</v>
      </c>
      <c r="C516" s="5" t="s">
        <v>25</v>
      </c>
      <c r="D516" s="6" t="s">
        <v>25</v>
      </c>
      <c r="E516" s="7">
        <f>VLOOKUP(A516,Sheet2!$A$2:$R$3432,4,0)</f>
        <v>7709316518</v>
      </c>
      <c r="F516" s="7" t="str">
        <f>VLOOKUP(A516,Sheet2!$A$2:$R$3432,3,0)</f>
        <v>Chaudhari</v>
      </c>
      <c r="G516" s="5" t="s">
        <v>25</v>
      </c>
      <c r="H516" s="5" t="s">
        <v>25</v>
      </c>
      <c r="I516" s="5" t="s">
        <v>25</v>
      </c>
      <c r="J516" s="5" t="s">
        <v>25</v>
      </c>
      <c r="K516" s="7" t="str">
        <f>VLOOKUP(A516,Sheet2!$A$2:$R$3432,6,0)</f>
        <v>Yamaha FZ S 2.0</v>
      </c>
      <c r="L516" s="5" t="s">
        <v>25</v>
      </c>
      <c r="M516" s="7" t="str">
        <f>VLOOKUP(A516,Sheet2!$A$2:$R$3432,5,0)</f>
        <v>MH12MQ9302</v>
      </c>
      <c r="N516" s="5" t="s">
        <v>25</v>
      </c>
      <c r="O516" s="5" t="s">
        <v>25</v>
      </c>
      <c r="P516" s="6" t="s">
        <v>25</v>
      </c>
      <c r="Q516" s="5" t="s">
        <v>25</v>
      </c>
      <c r="R516" s="5" t="s">
        <v>25</v>
      </c>
      <c r="S516" s="5" t="str">
        <f>VLOOKUP(A516,Sheet2!$A$2:$R$3432,18,0)</f>
        <v>G3C8E0189510</v>
      </c>
      <c r="T516" s="7" t="str">
        <f>VLOOKUP(A516,Sheet2!$A$2:$R$3432,17,0)</f>
        <v>me1rg071bf0061396</v>
      </c>
    </row>
    <row r="517" ht="15.75" customHeight="1">
      <c r="A517" s="3" t="s">
        <v>540</v>
      </c>
      <c r="B517" s="4" t="str">
        <f>VLOOKUP(A517,Sheet2!$A$2:$R$3432,2,0)</f>
        <v>2025-04-12 20:54:11</v>
      </c>
      <c r="C517" s="5" t="s">
        <v>25</v>
      </c>
      <c r="D517" s="6" t="s">
        <v>25</v>
      </c>
      <c r="E517" s="7">
        <f>VLOOKUP(A517,Sheet2!$A$2:$R$3432,4,0)</f>
        <v>9673844333</v>
      </c>
      <c r="F517" s="7" t="str">
        <f>VLOOKUP(A517,Sheet2!$A$2:$R$3432,3,0)</f>
        <v>CHIRAG</v>
      </c>
      <c r="G517" s="5" t="s">
        <v>25</v>
      </c>
      <c r="H517" s="5" t="s">
        <v>25</v>
      </c>
      <c r="I517" s="5" t="s">
        <v>25</v>
      </c>
      <c r="J517" s="5" t="s">
        <v>25</v>
      </c>
      <c r="K517" s="7" t="str">
        <f>VLOOKUP(A517,Sheet2!$A$2:$R$3432,6,0)</f>
        <v>Honda Unicorn 160</v>
      </c>
      <c r="L517" s="5" t="s">
        <v>25</v>
      </c>
      <c r="M517" s="7" t="str">
        <f>VLOOKUP(A517,Sheet2!$A$2:$R$3432,5,0)</f>
        <v>MH14GE0553</v>
      </c>
      <c r="N517" s="5" t="s">
        <v>25</v>
      </c>
      <c r="O517" s="5" t="s">
        <v>25</v>
      </c>
      <c r="P517" s="6" t="s">
        <v>25</v>
      </c>
      <c r="Q517" s="5" t="s">
        <v>25</v>
      </c>
      <c r="R517" s="5" t="s">
        <v>25</v>
      </c>
      <c r="S517" s="5" t="str">
        <f>VLOOKUP(A517,Sheet2!$A$2:$R$3432,18,0)</f>
        <v>KC20E81008226</v>
      </c>
      <c r="T517" s="7" t="str">
        <f>VLOOKUP(A517,Sheet2!$A$2:$R$3432,17,0)</f>
        <v>ME4KC209CH8003236</v>
      </c>
    </row>
    <row r="518" ht="15.75" customHeight="1">
      <c r="A518" s="3" t="s">
        <v>541</v>
      </c>
      <c r="B518" s="4" t="str">
        <f>VLOOKUP(A518,Sheet2!$A$2:$R$3432,2,0)</f>
        <v>2025-04-12 20:55:25</v>
      </c>
      <c r="C518" s="5" t="s">
        <v>25</v>
      </c>
      <c r="D518" s="6" t="s">
        <v>25</v>
      </c>
      <c r="E518" s="7">
        <f>VLOOKUP(A518,Sheet2!$A$2:$R$3432,4,0)</f>
        <v>9923976900</v>
      </c>
      <c r="F518" s="7" t="str">
        <f>VLOOKUP(A518,Sheet2!$A$2:$R$3432,3,0)</f>
        <v>Vishal Gupta</v>
      </c>
      <c r="G518" s="5" t="s">
        <v>25</v>
      </c>
      <c r="H518" s="5" t="s">
        <v>25</v>
      </c>
      <c r="I518" s="5" t="s">
        <v>25</v>
      </c>
      <c r="J518" s="5" t="s">
        <v>25</v>
      </c>
      <c r="K518" s="7" t="str">
        <f>VLOOKUP(A518,Sheet2!$A$2:$R$3432,6,0)</f>
        <v>Bajaj Avenger 220 Street</v>
      </c>
      <c r="L518" s="5" t="s">
        <v>25</v>
      </c>
      <c r="M518" s="7" t="str">
        <f>VLOOKUP(A518,Sheet2!$A$2:$R$3432,5,0)</f>
        <v>MH14DB9501</v>
      </c>
      <c r="N518" s="5" t="s">
        <v>25</v>
      </c>
      <c r="O518" s="5" t="s">
        <v>25</v>
      </c>
      <c r="P518" s="6" t="s">
        <v>25</v>
      </c>
      <c r="Q518" s="5" t="s">
        <v>25</v>
      </c>
      <c r="R518" s="5" t="s">
        <v>25</v>
      </c>
      <c r="S518" s="7" t="str">
        <f>VLOOKUP(A518,Sheet2!$A$2:$R$3432,18,0)</f>
        <v/>
      </c>
      <c r="T518" s="7" t="str">
        <f>VLOOKUP(A518,Sheet2!$A$2:$R$3432,17,0)</f>
        <v>MD2DGP0770096117</v>
      </c>
    </row>
    <row r="519" ht="15.75" customHeight="1">
      <c r="A519" s="3" t="s">
        <v>542</v>
      </c>
      <c r="B519" s="4" t="str">
        <f>VLOOKUP(A519,Sheet2!$A$2:$R$3432,2,0)</f>
        <v>2025-04-12 20:56:28</v>
      </c>
      <c r="C519" s="5" t="s">
        <v>25</v>
      </c>
      <c r="D519" s="6" t="s">
        <v>25</v>
      </c>
      <c r="E519" s="7">
        <f>VLOOKUP(A519,Sheet2!$A$2:$R$3432,4,0)</f>
        <v>9766678146</v>
      </c>
      <c r="F519" s="7" t="str">
        <f>VLOOKUP(A519,Sheet2!$A$2:$R$3432,3,0)</f>
        <v>Sumant</v>
      </c>
      <c r="G519" s="5" t="s">
        <v>25</v>
      </c>
      <c r="H519" s="5" t="s">
        <v>25</v>
      </c>
      <c r="I519" s="5" t="s">
        <v>25</v>
      </c>
      <c r="J519" s="5" t="s">
        <v>25</v>
      </c>
      <c r="K519" s="7" t="str">
        <f>VLOOKUP(A519,Sheet2!$A$2:$R$3432,6,0)</f>
        <v>TVS Jupiter </v>
      </c>
      <c r="L519" s="5" t="s">
        <v>25</v>
      </c>
      <c r="M519" s="7" t="str">
        <f>VLOOKUP(A519,Sheet2!$A$2:$R$3432,5,0)</f>
        <v>MH14HH4679</v>
      </c>
      <c r="N519" s="5" t="s">
        <v>25</v>
      </c>
      <c r="O519" s="5" t="s">
        <v>25</v>
      </c>
      <c r="P519" s="6" t="s">
        <v>25</v>
      </c>
      <c r="Q519" s="5" t="s">
        <v>25</v>
      </c>
      <c r="R519" s="5" t="s">
        <v>25</v>
      </c>
      <c r="S519" s="7" t="str">
        <f>VLOOKUP(A519,Sheet2!$A$2:$R$3432,18,0)</f>
        <v/>
      </c>
      <c r="T519" s="7" t="str">
        <f>VLOOKUP(A519,Sheet2!$A$2:$R$3432,17,0)</f>
        <v/>
      </c>
    </row>
    <row r="520" ht="15.75" customHeight="1">
      <c r="A520" s="3" t="s">
        <v>543</v>
      </c>
      <c r="B520" s="4" t="str">
        <f>VLOOKUP(A520,Sheet2!$A$2:$R$3432,2,0)</f>
        <v>2024-12-15 20:28:45</v>
      </c>
      <c r="C520" s="5" t="s">
        <v>25</v>
      </c>
      <c r="D520" s="6" t="s">
        <v>25</v>
      </c>
      <c r="E520" s="7">
        <f>VLOOKUP(A520,Sheet2!$A$2:$R$3432,4,0)</f>
        <v>9552541939</v>
      </c>
      <c r="F520" s="7" t="str">
        <f>VLOOKUP(A520,Sheet2!$A$2:$R$3432,3,0)</f>
        <v>Anjali Chavan</v>
      </c>
      <c r="G520" s="5" t="s">
        <v>25</v>
      </c>
      <c r="H520" s="5" t="s">
        <v>25</v>
      </c>
      <c r="I520" s="5" t="s">
        <v>25</v>
      </c>
      <c r="J520" s="5" t="s">
        <v>25</v>
      </c>
      <c r="K520" s="7" t="str">
        <f>VLOOKUP(A520,Sheet2!$A$2:$R$3432,6,0)</f>
        <v>Honda Shine CB</v>
      </c>
      <c r="L520" s="5" t="s">
        <v>25</v>
      </c>
      <c r="M520" s="7" t="str">
        <f>VLOOKUP(A520,Sheet2!$A$2:$R$3432,5,0)</f>
        <v>MH14HL1939</v>
      </c>
      <c r="N520" s="5" t="s">
        <v>25</v>
      </c>
      <c r="O520" s="5" t="s">
        <v>25</v>
      </c>
      <c r="P520" s="6" t="s">
        <v>25</v>
      </c>
      <c r="Q520" s="5" t="s">
        <v>25</v>
      </c>
      <c r="R520" s="5" t="s">
        <v>25</v>
      </c>
      <c r="S520" s="7" t="str">
        <f>VLOOKUP(A520,Sheet2!$A$2:$R$3432,18,0)</f>
        <v/>
      </c>
      <c r="T520" s="7" t="str">
        <f>VLOOKUP(A520,Sheet2!$A$2:$R$3432,17,0)</f>
        <v/>
      </c>
    </row>
    <row r="521" ht="15.75" customHeight="1">
      <c r="A521" s="3" t="s">
        <v>544</v>
      </c>
      <c r="B521" s="4" t="str">
        <f>VLOOKUP(A521,Sheet2!$A$2:$R$3432,2,0)</f>
        <v>2024-12-15 19:38:57</v>
      </c>
      <c r="C521" s="5" t="s">
        <v>25</v>
      </c>
      <c r="D521" s="6" t="s">
        <v>25</v>
      </c>
      <c r="E521" s="7">
        <f>VLOOKUP(A521,Sheet2!$A$2:$R$3432,4,0)</f>
        <v>9422752889</v>
      </c>
      <c r="F521" s="7" t="str">
        <f>VLOOKUP(A521,Sheet2!$A$2:$R$3432,3,0)</f>
        <v>Chinmay Pethe</v>
      </c>
      <c r="G521" s="5" t="s">
        <v>25</v>
      </c>
      <c r="H521" s="5" t="s">
        <v>25</v>
      </c>
      <c r="I521" s="5" t="s">
        <v>25</v>
      </c>
      <c r="J521" s="5" t="s">
        <v>25</v>
      </c>
      <c r="K521" s="7" t="str">
        <f>VLOOKUP(A521,Sheet2!$A$2:$R$3432,6,0)</f>
        <v>Yamaha MT 3</v>
      </c>
      <c r="L521" s="5" t="s">
        <v>25</v>
      </c>
      <c r="M521" s="7" t="str">
        <f>VLOOKUP(A521,Sheet2!$A$2:$R$3432,5,0)</f>
        <v>MH08AW3587</v>
      </c>
      <c r="N521" s="5" t="s">
        <v>25</v>
      </c>
      <c r="O521" s="5" t="s">
        <v>25</v>
      </c>
      <c r="P521" s="6" t="s">
        <v>25</v>
      </c>
      <c r="Q521" s="5" t="s">
        <v>25</v>
      </c>
      <c r="R521" s="5" t="s">
        <v>25</v>
      </c>
      <c r="S521" s="5" t="str">
        <f>VLOOKUP(A521,Sheet2!$A$2:$R$3432,18,0)</f>
        <v>G3NG30045691</v>
      </c>
      <c r="T521" s="7" t="str">
        <f>VLOOKUP(A521,Sheet2!$A$2:$R$3432,17,0)</f>
        <v>ME1RG6817L0013449</v>
      </c>
    </row>
    <row r="522" ht="15.75" customHeight="1">
      <c r="A522" s="3" t="s">
        <v>545</v>
      </c>
      <c r="B522" s="4" t="str">
        <f>VLOOKUP(A522,Sheet2!$A$2:$R$3432,2,0)</f>
        <v>2024-12-15 20:16:41</v>
      </c>
      <c r="C522" s="5" t="s">
        <v>25</v>
      </c>
      <c r="D522" s="6" t="s">
        <v>25</v>
      </c>
      <c r="E522" s="7">
        <f>VLOOKUP(A522,Sheet2!$A$2:$R$3432,4,0)</f>
        <v>9689780277</v>
      </c>
      <c r="F522" s="7" t="str">
        <f>VLOOKUP(A522,Sheet2!$A$2:$R$3432,3,0)</f>
        <v>Aditya</v>
      </c>
      <c r="G522" s="5" t="s">
        <v>25</v>
      </c>
      <c r="H522" s="5" t="s">
        <v>25</v>
      </c>
      <c r="I522" s="5" t="s">
        <v>25</v>
      </c>
      <c r="J522" s="5" t="s">
        <v>25</v>
      </c>
      <c r="K522" s="7" t="str">
        <f>VLOOKUP(A522,Sheet2!$A$2:$R$3432,6,0)</f>
        <v>Honda Shine </v>
      </c>
      <c r="L522" s="5" t="s">
        <v>25</v>
      </c>
      <c r="M522" s="7" t="str">
        <f>VLOOKUP(A522,Sheet2!$A$2:$R$3432,5,0)</f>
        <v>MH16AL6077</v>
      </c>
      <c r="N522" s="5" t="s">
        <v>25</v>
      </c>
      <c r="O522" s="5" t="s">
        <v>25</v>
      </c>
      <c r="P522" s="6" t="s">
        <v>25</v>
      </c>
      <c r="Q522" s="5" t="s">
        <v>25</v>
      </c>
      <c r="R522" s="5" t="s">
        <v>25</v>
      </c>
      <c r="S522" s="7" t="str">
        <f>VLOOKUP(A522,Sheet2!$A$2:$R$3432,18,0)</f>
        <v/>
      </c>
      <c r="T522" s="7" t="str">
        <f>VLOOKUP(A522,Sheet2!$A$2:$R$3432,17,0)</f>
        <v/>
      </c>
    </row>
    <row r="523" ht="15.75" customHeight="1">
      <c r="A523" s="3" t="s">
        <v>546</v>
      </c>
      <c r="B523" s="4" t="str">
        <f>VLOOKUP(A523,Sheet2!$A$2:$R$3432,2,0)</f>
        <v>2024-12-15 20:22:16</v>
      </c>
      <c r="C523" s="5" t="s">
        <v>25</v>
      </c>
      <c r="D523" s="6" t="s">
        <v>25</v>
      </c>
      <c r="E523" s="7">
        <f>VLOOKUP(A523,Sheet2!$A$2:$R$3432,4,0)</f>
        <v>8087506055</v>
      </c>
      <c r="F523" s="7" t="str">
        <f>VLOOKUP(A523,Sheet2!$A$2:$R$3432,3,0)</f>
        <v>Aditya</v>
      </c>
      <c r="G523" s="5" t="s">
        <v>25</v>
      </c>
      <c r="H523" s="5" t="s">
        <v>25</v>
      </c>
      <c r="I523" s="5" t="s">
        <v>25</v>
      </c>
      <c r="J523" s="5" t="s">
        <v>25</v>
      </c>
      <c r="K523" s="7" t="str">
        <f>VLOOKUP(A523,Sheet2!$A$2:$R$3432,6,0)</f>
        <v>Honda Activa 125</v>
      </c>
      <c r="L523" s="5" t="s">
        <v>25</v>
      </c>
      <c r="M523" s="7" t="str">
        <f>VLOOKUP(A523,Sheet2!$A$2:$R$3432,5,0)</f>
        <v>MH12VE0792</v>
      </c>
      <c r="N523" s="5" t="s">
        <v>25</v>
      </c>
      <c r="O523" s="5" t="s">
        <v>25</v>
      </c>
      <c r="P523" s="6" t="s">
        <v>25</v>
      </c>
      <c r="Q523" s="5" t="s">
        <v>25</v>
      </c>
      <c r="R523" s="5" t="s">
        <v>25</v>
      </c>
      <c r="S523" s="7" t="str">
        <f>VLOOKUP(A523,Sheet2!$A$2:$R$3432,18,0)</f>
        <v/>
      </c>
      <c r="T523" s="7" t="str">
        <f>VLOOKUP(A523,Sheet2!$A$2:$R$3432,17,0)</f>
        <v/>
      </c>
    </row>
    <row r="524" ht="15.75" customHeight="1">
      <c r="A524" s="3" t="s">
        <v>547</v>
      </c>
      <c r="B524" s="4" t="str">
        <f>VLOOKUP(A524,Sheet2!$A$2:$R$3432,2,0)</f>
        <v>2024-12-15 19:36:17</v>
      </c>
      <c r="C524" s="5" t="s">
        <v>25</v>
      </c>
      <c r="D524" s="6" t="s">
        <v>25</v>
      </c>
      <c r="E524" s="7">
        <f>VLOOKUP(A524,Sheet2!$A$2:$R$3432,4,0)</f>
        <v>7588197967</v>
      </c>
      <c r="F524" s="7" t="str">
        <f>VLOOKUP(A524,Sheet2!$A$2:$R$3432,3,0)</f>
        <v>Dhankane</v>
      </c>
      <c r="G524" s="5" t="s">
        <v>25</v>
      </c>
      <c r="H524" s="5" t="s">
        <v>25</v>
      </c>
      <c r="I524" s="5" t="s">
        <v>25</v>
      </c>
      <c r="J524" s="5" t="s">
        <v>25</v>
      </c>
      <c r="K524" s="7" t="str">
        <f>VLOOKUP(A524,Sheet2!$A$2:$R$3432,6,0)</f>
        <v>TVS Wego No Data</v>
      </c>
      <c r="L524" s="5" t="s">
        <v>25</v>
      </c>
      <c r="M524" s="7" t="str">
        <f>VLOOKUP(A524,Sheet2!$A$2:$R$3432,5,0)</f>
        <v>MH20CT9281</v>
      </c>
      <c r="N524" s="5" t="s">
        <v>25</v>
      </c>
      <c r="O524" s="5" t="s">
        <v>25</v>
      </c>
      <c r="P524" s="6" t="s">
        <v>25</v>
      </c>
      <c r="Q524" s="5" t="s">
        <v>25</v>
      </c>
      <c r="R524" s="5" t="s">
        <v>25</v>
      </c>
      <c r="S524" s="7" t="str">
        <f>VLOOKUP(A524,Sheet2!$A$2:$R$3432,18,0)</f>
        <v/>
      </c>
      <c r="T524" s="7" t="str">
        <f>VLOOKUP(A524,Sheet2!$A$2:$R$3432,17,0)</f>
        <v/>
      </c>
    </row>
    <row r="525" ht="15.75" customHeight="1">
      <c r="A525" s="3" t="s">
        <v>548</v>
      </c>
      <c r="B525" s="4" t="str">
        <f>VLOOKUP(A525,Sheet2!$A$2:$R$3432,2,0)</f>
        <v>2024-12-15 19:38:10</v>
      </c>
      <c r="C525" s="5" t="s">
        <v>25</v>
      </c>
      <c r="D525" s="6" t="s">
        <v>25</v>
      </c>
      <c r="E525" s="7">
        <f>VLOOKUP(A525,Sheet2!$A$2:$R$3432,4,0)</f>
        <v>9560950596</v>
      </c>
      <c r="F525" s="7" t="str">
        <f>VLOOKUP(A525,Sheet2!$A$2:$R$3432,3,0)</f>
        <v>Akshay Walekar</v>
      </c>
      <c r="G525" s="5" t="s">
        <v>25</v>
      </c>
      <c r="H525" s="5" t="s">
        <v>25</v>
      </c>
      <c r="I525" s="5" t="s">
        <v>25</v>
      </c>
      <c r="J525" s="5" t="s">
        <v>25</v>
      </c>
      <c r="K525" s="7" t="str">
        <f>VLOOKUP(A525,Sheet2!$A$2:$R$3432,6,0)</f>
        <v>Yamaha MT 15</v>
      </c>
      <c r="L525" s="5" t="s">
        <v>25</v>
      </c>
      <c r="M525" s="7" t="str">
        <f>VLOOKUP(A525,Sheet2!$A$2:$R$3432,5,0)</f>
        <v>MH12TJ3028</v>
      </c>
      <c r="N525" s="5" t="s">
        <v>25</v>
      </c>
      <c r="O525" s="5" t="s">
        <v>25</v>
      </c>
      <c r="P525" s="6" t="s">
        <v>25</v>
      </c>
      <c r="Q525" s="5" t="s">
        <v>25</v>
      </c>
      <c r="R525" s="5" t="s">
        <v>25</v>
      </c>
      <c r="S525" s="7" t="str">
        <f>VLOOKUP(A525,Sheet2!$A$2:$R$3432,18,0)</f>
        <v/>
      </c>
      <c r="T525" s="7" t="str">
        <f>VLOOKUP(A525,Sheet2!$A$2:$R$3432,17,0)</f>
        <v/>
      </c>
    </row>
    <row r="526" ht="15.75" customHeight="1">
      <c r="A526" s="3" t="s">
        <v>549</v>
      </c>
      <c r="B526" s="4" t="str">
        <f>VLOOKUP(A526,Sheet2!$A$2:$R$3432,2,0)</f>
        <v>2024-12-15 19:37:27</v>
      </c>
      <c r="C526" s="5" t="s">
        <v>25</v>
      </c>
      <c r="D526" s="6" t="s">
        <v>25</v>
      </c>
      <c r="E526" s="7">
        <f>VLOOKUP(A526,Sheet2!$A$2:$R$3432,4,0)</f>
        <v>9850169505</v>
      </c>
      <c r="F526" s="7" t="str">
        <f>VLOOKUP(A526,Sheet2!$A$2:$R$3432,3,0)</f>
        <v>D M Babral</v>
      </c>
      <c r="G526" s="5" t="s">
        <v>25</v>
      </c>
      <c r="H526" s="5" t="s">
        <v>25</v>
      </c>
      <c r="I526" s="5" t="s">
        <v>25</v>
      </c>
      <c r="J526" s="5" t="s">
        <v>25</v>
      </c>
      <c r="K526" s="7" t="str">
        <f>VLOOKUP(A526,Sheet2!$A$2:$R$3432,6,0)</f>
        <v>Honda Activa 3G</v>
      </c>
      <c r="L526" s="5" t="s">
        <v>25</v>
      </c>
      <c r="M526" s="7" t="str">
        <f>VLOOKUP(A526,Sheet2!$A$2:$R$3432,5,0)</f>
        <v>MH14EX7274</v>
      </c>
      <c r="N526" s="5" t="s">
        <v>25</v>
      </c>
      <c r="O526" s="5" t="s">
        <v>25</v>
      </c>
      <c r="P526" s="6" t="s">
        <v>25</v>
      </c>
      <c r="Q526" s="5" t="s">
        <v>25</v>
      </c>
      <c r="R526" s="5" t="s">
        <v>25</v>
      </c>
      <c r="S526" s="5" t="str">
        <f>VLOOKUP(A526,Sheet2!$A$2:$R$3432,18,0)</f>
        <v>JF50E72014879</v>
      </c>
      <c r="T526" s="7" t="str">
        <f>VLOOKUP(A526,Sheet2!$A$2:$R$3432,17,0)</f>
        <v>ME4JF504BF7015147</v>
      </c>
    </row>
    <row r="527" ht="15.75" customHeight="1">
      <c r="A527" s="3" t="s">
        <v>550</v>
      </c>
      <c r="B527" s="4" t="str">
        <f>VLOOKUP(A527,Sheet2!$A$2:$R$3432,2,0)</f>
        <v>2024-12-15 19:40:21</v>
      </c>
      <c r="C527" s="5" t="s">
        <v>25</v>
      </c>
      <c r="D527" s="6" t="s">
        <v>25</v>
      </c>
      <c r="E527" s="7">
        <f>VLOOKUP(A527,Sheet2!$A$2:$R$3432,4,0)</f>
        <v>8788219687</v>
      </c>
      <c r="F527" s="7" t="str">
        <f>VLOOKUP(A527,Sheet2!$A$2:$R$3432,3,0)</f>
        <v>Saurabh Gore </v>
      </c>
      <c r="G527" s="5" t="s">
        <v>25</v>
      </c>
      <c r="H527" s="5" t="s">
        <v>25</v>
      </c>
      <c r="I527" s="5" t="s">
        <v>25</v>
      </c>
      <c r="J527" s="5" t="s">
        <v>25</v>
      </c>
      <c r="K527" s="7" t="str">
        <f>VLOOKUP(A527,Sheet2!$A$2:$R$3432,6,0)</f>
        <v>TVS Wego </v>
      </c>
      <c r="L527" s="5" t="s">
        <v>25</v>
      </c>
      <c r="M527" s="7" t="str">
        <f>VLOOKUP(A527,Sheet2!$A$2:$R$3432,5,0)</f>
        <v>MH16BB5814</v>
      </c>
      <c r="N527" s="5" t="s">
        <v>25</v>
      </c>
      <c r="O527" s="5" t="s">
        <v>25</v>
      </c>
      <c r="P527" s="6" t="s">
        <v>25</v>
      </c>
      <c r="Q527" s="5" t="s">
        <v>25</v>
      </c>
      <c r="R527" s="5" t="s">
        <v>25</v>
      </c>
      <c r="S527" s="7" t="str">
        <f>VLOOKUP(A527,Sheet2!$A$2:$R$3432,18,0)</f>
        <v/>
      </c>
      <c r="T527" s="7" t="str">
        <f>VLOOKUP(A527,Sheet2!$A$2:$R$3432,17,0)</f>
        <v/>
      </c>
    </row>
    <row r="528" ht="15.75" customHeight="1">
      <c r="A528" s="3" t="s">
        <v>551</v>
      </c>
      <c r="B528" s="4" t="str">
        <f>VLOOKUP(A528,Sheet2!$A$2:$R$3432,2,0)</f>
        <v>2024-12-15 19:41:38</v>
      </c>
      <c r="C528" s="5" t="s">
        <v>25</v>
      </c>
      <c r="D528" s="6" t="s">
        <v>25</v>
      </c>
      <c r="E528" s="7">
        <f>VLOOKUP(A528,Sheet2!$A$2:$R$3432,4,0)</f>
        <v>9552541685</v>
      </c>
      <c r="F528" s="7" t="str">
        <f>VLOOKUP(A528,Sheet2!$A$2:$R$3432,3,0)</f>
        <v>Arpit Jain</v>
      </c>
      <c r="G528" s="5" t="s">
        <v>25</v>
      </c>
      <c r="H528" s="5" t="s">
        <v>25</v>
      </c>
      <c r="I528" s="5" t="s">
        <v>25</v>
      </c>
      <c r="J528" s="5" t="s">
        <v>25</v>
      </c>
      <c r="K528" s="7" t="str">
        <f>VLOOKUP(A528,Sheet2!$A$2:$R$3432,6,0)</f>
        <v>Honda Activa 125</v>
      </c>
      <c r="L528" s="5" t="s">
        <v>25</v>
      </c>
      <c r="M528" s="7" t="str">
        <f>VLOOKUP(A528,Sheet2!$A$2:$R$3432,5,0)</f>
        <v>MH14GX4180</v>
      </c>
      <c r="N528" s="5" t="s">
        <v>25</v>
      </c>
      <c r="O528" s="5" t="s">
        <v>25</v>
      </c>
      <c r="P528" s="6" t="s">
        <v>25</v>
      </c>
      <c r="Q528" s="5" t="s">
        <v>25</v>
      </c>
      <c r="R528" s="5" t="s">
        <v>25</v>
      </c>
      <c r="S528" s="7" t="str">
        <f>VLOOKUP(A528,Sheet2!$A$2:$R$3432,18,0)</f>
        <v/>
      </c>
      <c r="T528" s="7" t="str">
        <f>VLOOKUP(A528,Sheet2!$A$2:$R$3432,17,0)</f>
        <v>Me4jf496dju016291</v>
      </c>
    </row>
    <row r="529" ht="15.75" customHeight="1">
      <c r="A529" s="3" t="s">
        <v>552</v>
      </c>
      <c r="B529" s="4" t="str">
        <f>VLOOKUP(A529,Sheet2!$A$2:$R$3432,2,0)</f>
        <v>2024-12-15 19:56:17</v>
      </c>
      <c r="C529" s="5" t="s">
        <v>25</v>
      </c>
      <c r="D529" s="6" t="s">
        <v>25</v>
      </c>
      <c r="E529" s="7">
        <f>VLOOKUP(A529,Sheet2!$A$2:$R$3432,4,0)</f>
        <v>8805413757</v>
      </c>
      <c r="F529" s="7" t="str">
        <f>VLOOKUP(A529,Sheet2!$A$2:$R$3432,3,0)</f>
        <v>Akshay</v>
      </c>
      <c r="G529" s="5" t="s">
        <v>25</v>
      </c>
      <c r="H529" s="5" t="s">
        <v>25</v>
      </c>
      <c r="I529" s="5" t="s">
        <v>25</v>
      </c>
      <c r="J529" s="5" t="s">
        <v>25</v>
      </c>
      <c r="K529" s="7" t="str">
        <f>VLOOKUP(A529,Sheet2!$A$2:$R$3432,6,0)</f>
        <v>Honda Shine </v>
      </c>
      <c r="L529" s="5" t="s">
        <v>25</v>
      </c>
      <c r="M529" s="7" t="str">
        <f>VLOOKUP(A529,Sheet2!$A$2:$R$3432,5,0)</f>
        <v>MH17CN2571</v>
      </c>
      <c r="N529" s="5" t="s">
        <v>25</v>
      </c>
      <c r="O529" s="5" t="s">
        <v>25</v>
      </c>
      <c r="P529" s="6" t="s">
        <v>25</v>
      </c>
      <c r="Q529" s="5" t="s">
        <v>25</v>
      </c>
      <c r="R529" s="5" t="s">
        <v>25</v>
      </c>
      <c r="S529" s="7" t="str">
        <f>VLOOKUP(A529,Sheet2!$A$2:$R$3432,18,0)</f>
        <v/>
      </c>
      <c r="T529" s="7" t="str">
        <f>VLOOKUP(A529,Sheet2!$A$2:$R$3432,17,0)</f>
        <v>ME4JC856JLD018948</v>
      </c>
    </row>
    <row r="530" ht="15.75" customHeight="1">
      <c r="A530" s="3" t="s">
        <v>553</v>
      </c>
      <c r="B530" s="4" t="str">
        <f>VLOOKUP(A530,Sheet2!$A$2:$R$3432,2,0)</f>
        <v>2024-12-15 20:19:23</v>
      </c>
      <c r="C530" s="5" t="s">
        <v>25</v>
      </c>
      <c r="D530" s="6" t="s">
        <v>25</v>
      </c>
      <c r="E530" s="7">
        <f>VLOOKUP(A530,Sheet2!$A$2:$R$3432,4,0)</f>
        <v>8554032425</v>
      </c>
      <c r="F530" s="7" t="str">
        <f>VLOOKUP(A530,Sheet2!$A$2:$R$3432,3,0)</f>
        <v>Rahul Khobragade </v>
      </c>
      <c r="G530" s="5" t="s">
        <v>25</v>
      </c>
      <c r="H530" s="5" t="s">
        <v>25</v>
      </c>
      <c r="I530" s="5" t="s">
        <v>25</v>
      </c>
      <c r="J530" s="5" t="s">
        <v>25</v>
      </c>
      <c r="K530" s="7" t="str">
        <f>VLOOKUP(A530,Sheet2!$A$2:$R$3432,6,0)</f>
        <v>Honda Activa 3G</v>
      </c>
      <c r="L530" s="5" t="s">
        <v>25</v>
      </c>
      <c r="M530" s="7" t="str">
        <f>VLOOKUP(A530,Sheet2!$A$2:$R$3432,5,0)</f>
        <v>MH14FN4672</v>
      </c>
      <c r="N530" s="5" t="s">
        <v>25</v>
      </c>
      <c r="O530" s="5" t="s">
        <v>25</v>
      </c>
      <c r="P530" s="6" t="s">
        <v>25</v>
      </c>
      <c r="Q530" s="5" t="s">
        <v>25</v>
      </c>
      <c r="R530" s="5" t="s">
        <v>25</v>
      </c>
      <c r="S530" s="5" t="str">
        <f>VLOOKUP(A530,Sheet2!$A$2:$R$3432,18,0)</f>
        <v>JF50EU3033795</v>
      </c>
      <c r="T530" s="7" t="str">
        <f>VLOOKUP(A530,Sheet2!$A$2:$R$3432,17,0)</f>
        <v>ME4JF50GU03528</v>
      </c>
    </row>
    <row r="531" ht="15.75" customHeight="1">
      <c r="A531" s="3" t="s">
        <v>554</v>
      </c>
      <c r="B531" s="4" t="str">
        <f>VLOOKUP(A531,Sheet2!$A$2:$R$3432,2,0)</f>
        <v>2024-12-15 20:24:56</v>
      </c>
      <c r="C531" s="5" t="s">
        <v>25</v>
      </c>
      <c r="D531" s="6" t="s">
        <v>25</v>
      </c>
      <c r="E531" s="7">
        <f>VLOOKUP(A531,Sheet2!$A$2:$R$3432,4,0)</f>
        <v>9764317433</v>
      </c>
      <c r="F531" s="7" t="str">
        <f>VLOOKUP(A531,Sheet2!$A$2:$R$3432,3,0)</f>
        <v>SIMANCHAL DAS</v>
      </c>
      <c r="G531" s="5" t="s">
        <v>25</v>
      </c>
      <c r="H531" s="5" t="s">
        <v>25</v>
      </c>
      <c r="I531" s="5" t="s">
        <v>25</v>
      </c>
      <c r="J531" s="5" t="s">
        <v>25</v>
      </c>
      <c r="K531" s="7" t="str">
        <f>VLOOKUP(A531,Sheet2!$A$2:$R$3432,6,0)</f>
        <v>Honda Activa </v>
      </c>
      <c r="L531" s="5" t="s">
        <v>25</v>
      </c>
      <c r="M531" s="7" t="str">
        <f>VLOOKUP(A531,Sheet2!$A$2:$R$3432,5,0)</f>
        <v>MH14DU5105</v>
      </c>
      <c r="N531" s="5" t="s">
        <v>25</v>
      </c>
      <c r="O531" s="5" t="s">
        <v>25</v>
      </c>
      <c r="P531" s="6" t="s">
        <v>25</v>
      </c>
      <c r="Q531" s="5" t="s">
        <v>25</v>
      </c>
      <c r="R531" s="5" t="s">
        <v>25</v>
      </c>
      <c r="S531" s="5" t="str">
        <f>VLOOKUP(A531,Sheet2!$A$2:$R$3432,18,0)</f>
        <v>JC44E5695847</v>
      </c>
      <c r="T531" s="7" t="str">
        <f>VLOOKUP(A531,Sheet2!$A$2:$R$3432,17,0)</f>
        <v>ME4JC448MC7695603</v>
      </c>
    </row>
    <row r="532" ht="15.75" customHeight="1">
      <c r="A532" s="3" t="s">
        <v>555</v>
      </c>
      <c r="B532" s="4" t="str">
        <f>VLOOKUP(A532,Sheet2!$A$2:$R$3432,2,0)</f>
        <v>2024-12-15 20:27:12</v>
      </c>
      <c r="C532" s="5" t="s">
        <v>25</v>
      </c>
      <c r="D532" s="6" t="s">
        <v>25</v>
      </c>
      <c r="E532" s="7">
        <f>VLOOKUP(A532,Sheet2!$A$2:$R$3432,4,0)</f>
        <v>8889536468</v>
      </c>
      <c r="F532" s="7" t="str">
        <f>VLOOKUP(A532,Sheet2!$A$2:$R$3432,3,0)</f>
        <v>Aayushi</v>
      </c>
      <c r="G532" s="5" t="s">
        <v>25</v>
      </c>
      <c r="H532" s="5" t="s">
        <v>25</v>
      </c>
      <c r="I532" s="5" t="s">
        <v>25</v>
      </c>
      <c r="J532" s="5" t="s">
        <v>25</v>
      </c>
      <c r="K532" s="7" t="str">
        <f>VLOOKUP(A532,Sheet2!$A$2:$R$3432,6,0)</f>
        <v>Honda Activa 5G</v>
      </c>
      <c r="L532" s="5" t="s">
        <v>25</v>
      </c>
      <c r="M532" s="7" t="str">
        <f>VLOOKUP(A532,Sheet2!$A$2:$R$3432,5,0)</f>
        <v>MH12RZ5266</v>
      </c>
      <c r="N532" s="5" t="s">
        <v>25</v>
      </c>
      <c r="O532" s="5" t="s">
        <v>25</v>
      </c>
      <c r="P532" s="6" t="s">
        <v>25</v>
      </c>
      <c r="Q532" s="5" t="s">
        <v>25</v>
      </c>
      <c r="R532" s="5" t="s">
        <v>25</v>
      </c>
      <c r="S532" s="5" t="str">
        <f>VLOOKUP(A532,Sheet2!$A$2:$R$3432,18,0)</f>
        <v>DJ50E60201987</v>
      </c>
      <c r="T532" s="7" t="str">
        <f>VLOOKUP(A532,Sheet2!$A$2:$R$3432,17,0)</f>
        <v>ME4JF5OAHKG201904</v>
      </c>
    </row>
    <row r="533" ht="15.75" customHeight="1">
      <c r="A533" s="3" t="s">
        <v>556</v>
      </c>
      <c r="B533" s="4" t="str">
        <f>VLOOKUP(A533,Sheet2!$A$2:$R$3432,2,0)</f>
        <v>2024-12-15 20:32:09</v>
      </c>
      <c r="C533" s="5" t="s">
        <v>25</v>
      </c>
      <c r="D533" s="6" t="s">
        <v>25</v>
      </c>
      <c r="E533" s="7">
        <f>VLOOKUP(A533,Sheet2!$A$2:$R$3432,4,0)</f>
        <v>7894580132</v>
      </c>
      <c r="F533" s="7" t="str">
        <f>VLOOKUP(A533,Sheet2!$A$2:$R$3432,3,0)</f>
        <v>ROSHAN</v>
      </c>
      <c r="G533" s="5" t="s">
        <v>25</v>
      </c>
      <c r="H533" s="5" t="s">
        <v>25</v>
      </c>
      <c r="I533" s="5" t="s">
        <v>25</v>
      </c>
      <c r="J533" s="5" t="s">
        <v>25</v>
      </c>
      <c r="K533" s="7" t="str">
        <f>VLOOKUP(A533,Sheet2!$A$2:$R$3432,6,0)</f>
        <v>Honda Unicorn 160</v>
      </c>
      <c r="L533" s="5" t="s">
        <v>25</v>
      </c>
      <c r="M533" s="7" t="str">
        <f>VLOOKUP(A533,Sheet2!$A$2:$R$3432,5,0)</f>
        <v>OD33E7134</v>
      </c>
      <c r="N533" s="5" t="s">
        <v>25</v>
      </c>
      <c r="O533" s="5" t="s">
        <v>25</v>
      </c>
      <c r="P533" s="6" t="s">
        <v>25</v>
      </c>
      <c r="Q533" s="5" t="s">
        <v>25</v>
      </c>
      <c r="R533" s="5" t="s">
        <v>25</v>
      </c>
      <c r="S533" s="5" t="str">
        <f>VLOOKUP(A533,Sheet2!$A$2:$R$3432,18,0)</f>
        <v>KC20E80092875</v>
      </c>
      <c r="T533" s="7" t="str">
        <f>VLOOKUP(A533,Sheet2!$A$2:$R$3432,17,0)</f>
        <v>ME4KC202FE8009316</v>
      </c>
    </row>
    <row r="534" ht="15.75" customHeight="1">
      <c r="A534" s="3" t="s">
        <v>557</v>
      </c>
      <c r="B534" s="4" t="str">
        <f>VLOOKUP(A534,Sheet2!$A$2:$R$3432,2,0)</f>
        <v>2024-12-15 20:33:45</v>
      </c>
      <c r="C534" s="5" t="s">
        <v>25</v>
      </c>
      <c r="D534" s="6" t="s">
        <v>25</v>
      </c>
      <c r="E534" s="7">
        <f>VLOOKUP(A534,Sheet2!$A$2:$R$3432,4,0)</f>
        <v>9923350044</v>
      </c>
      <c r="F534" s="7" t="str">
        <f>VLOOKUP(A534,Sheet2!$A$2:$R$3432,3,0)</f>
        <v>Shruti Tendulkar</v>
      </c>
      <c r="G534" s="5" t="s">
        <v>25</v>
      </c>
      <c r="H534" s="5" t="s">
        <v>25</v>
      </c>
      <c r="I534" s="5" t="s">
        <v>25</v>
      </c>
      <c r="J534" s="5" t="s">
        <v>25</v>
      </c>
      <c r="K534" s="7" t="str">
        <f>VLOOKUP(A534,Sheet2!$A$2:$R$3432,6,0)</f>
        <v>Suzuki Access </v>
      </c>
      <c r="L534" s="5" t="s">
        <v>25</v>
      </c>
      <c r="M534" s="7" t="str">
        <f>VLOOKUP(A534,Sheet2!$A$2:$R$3432,5,0)</f>
        <v>MH12PL5552</v>
      </c>
      <c r="N534" s="5" t="s">
        <v>25</v>
      </c>
      <c r="O534" s="5" t="s">
        <v>25</v>
      </c>
      <c r="P534" s="6" t="s">
        <v>25</v>
      </c>
      <c r="Q534" s="5" t="s">
        <v>25</v>
      </c>
      <c r="R534" s="5" t="s">
        <v>25</v>
      </c>
      <c r="S534" s="5" t="str">
        <f>VLOOKUP(A534,Sheet2!$A$2:$R$3432,18,0)</f>
        <v>AF211374173</v>
      </c>
      <c r="T534" s="7" t="str">
        <f>VLOOKUP(A534,Sheet2!$A$2:$R$3432,17,0)</f>
        <v>MB8DP11AGH848094</v>
      </c>
    </row>
    <row r="535" ht="15.75" customHeight="1">
      <c r="A535" s="3" t="s">
        <v>558</v>
      </c>
      <c r="B535" s="4" t="str">
        <f>VLOOKUP(A535,Sheet2!$A$2:$R$3432,2,0)</f>
        <v>2024-12-15 21:00:46</v>
      </c>
      <c r="C535" s="5" t="s">
        <v>25</v>
      </c>
      <c r="D535" s="6" t="s">
        <v>25</v>
      </c>
      <c r="E535" s="7">
        <f>VLOOKUP(A535,Sheet2!$A$2:$R$3432,4,0)</f>
        <v>8698551614</v>
      </c>
      <c r="F535" s="7" t="str">
        <f>VLOOKUP(A535,Sheet2!$A$2:$R$3432,3,0)</f>
        <v>Tendulkar </v>
      </c>
      <c r="G535" s="5" t="s">
        <v>25</v>
      </c>
      <c r="H535" s="5" t="s">
        <v>25</v>
      </c>
      <c r="I535" s="5" t="s">
        <v>25</v>
      </c>
      <c r="J535" s="5" t="s">
        <v>25</v>
      </c>
      <c r="K535" s="7" t="str">
        <f>VLOOKUP(A535,Sheet2!$A$2:$R$3432,6,0)</f>
        <v>Honda Activa 125</v>
      </c>
      <c r="L535" s="5" t="s">
        <v>25</v>
      </c>
      <c r="M535" s="7" t="str">
        <f>VLOOKUP(A535,Sheet2!$A$2:$R$3432,5,0)</f>
        <v>MH12RU3184</v>
      </c>
      <c r="N535" s="5" t="s">
        <v>25</v>
      </c>
      <c r="O535" s="5" t="s">
        <v>25</v>
      </c>
      <c r="P535" s="6" t="s">
        <v>25</v>
      </c>
      <c r="Q535" s="5" t="s">
        <v>25</v>
      </c>
      <c r="R535" s="5" t="s">
        <v>25</v>
      </c>
      <c r="S535" s="7" t="str">
        <f>VLOOKUP(A535,Sheet2!$A$2:$R$3432,18,0)</f>
        <v/>
      </c>
      <c r="T535" s="7" t="str">
        <f>VLOOKUP(A535,Sheet2!$A$2:$R$3432,17,0)</f>
        <v/>
      </c>
    </row>
    <row r="536" ht="15.75" customHeight="1">
      <c r="A536" s="3" t="s">
        <v>559</v>
      </c>
      <c r="B536" s="4" t="str">
        <f>VLOOKUP(A536,Sheet2!$A$2:$R$3432,2,0)</f>
        <v>2024-12-15 21:01:02</v>
      </c>
      <c r="C536" s="5" t="s">
        <v>25</v>
      </c>
      <c r="D536" s="6" t="s">
        <v>25</v>
      </c>
      <c r="E536" s="7">
        <f>VLOOKUP(A536,Sheet2!$A$2:$R$3432,4,0)</f>
        <v>9545121357</v>
      </c>
      <c r="F536" s="7" t="str">
        <f>VLOOKUP(A536,Sheet2!$A$2:$R$3432,3,0)</f>
        <v>AKSHAY RANE</v>
      </c>
      <c r="G536" s="5" t="s">
        <v>25</v>
      </c>
      <c r="H536" s="5" t="s">
        <v>25</v>
      </c>
      <c r="I536" s="5" t="s">
        <v>25</v>
      </c>
      <c r="J536" s="5" t="s">
        <v>25</v>
      </c>
      <c r="K536" s="7" t="str">
        <f>VLOOKUP(A536,Sheet2!$A$2:$R$3432,6,0)</f>
        <v>Royal Enfield Classic 350</v>
      </c>
      <c r="L536" s="5" t="s">
        <v>25</v>
      </c>
      <c r="M536" s="7" t="str">
        <f>VLOOKUP(A536,Sheet2!$A$2:$R$3432,5,0)</f>
        <v>MH34AK4016</v>
      </c>
      <c r="N536" s="5" t="s">
        <v>25</v>
      </c>
      <c r="O536" s="5" t="s">
        <v>25</v>
      </c>
      <c r="P536" s="6" t="s">
        <v>25</v>
      </c>
      <c r="Q536" s="5" t="s">
        <v>25</v>
      </c>
      <c r="R536" s="5" t="s">
        <v>25</v>
      </c>
      <c r="S536" s="7" t="str">
        <f>VLOOKUP(A536,Sheet2!$A$2:$R$3432,18,0)</f>
        <v/>
      </c>
      <c r="T536" s="7" t="str">
        <f>VLOOKUP(A536,Sheet2!$A$2:$R$3432,17,0)</f>
        <v/>
      </c>
    </row>
    <row r="537" ht="15.75" customHeight="1">
      <c r="A537" s="3" t="s">
        <v>560</v>
      </c>
      <c r="B537" s="4" t="str">
        <f>VLOOKUP(A537,Sheet2!$A$2:$R$3432,2,0)</f>
        <v>2024-12-15 21:01:18</v>
      </c>
      <c r="C537" s="5" t="s">
        <v>25</v>
      </c>
      <c r="D537" s="6" t="s">
        <v>25</v>
      </c>
      <c r="E537" s="7">
        <f>VLOOKUP(A537,Sheet2!$A$2:$R$3432,4,0)</f>
        <v>8291329975</v>
      </c>
      <c r="F537" s="7" t="str">
        <f>VLOOKUP(A537,Sheet2!$A$2:$R$3432,3,0)</f>
        <v>Harsh PawniKar</v>
      </c>
      <c r="G537" s="5" t="s">
        <v>25</v>
      </c>
      <c r="H537" s="5" t="s">
        <v>25</v>
      </c>
      <c r="I537" s="5" t="s">
        <v>25</v>
      </c>
      <c r="J537" s="5" t="s">
        <v>25</v>
      </c>
      <c r="K537" s="7" t="str">
        <f>VLOOKUP(A537,Sheet2!$A$2:$R$3432,6,0)</f>
        <v>Honda Unicorn </v>
      </c>
      <c r="L537" s="5" t="s">
        <v>25</v>
      </c>
      <c r="M537" s="7" t="str">
        <f>VLOOKUP(A537,Sheet2!$A$2:$R$3432,5,0)</f>
        <v>MH14FV2051</v>
      </c>
      <c r="N537" s="5" t="s">
        <v>25</v>
      </c>
      <c r="O537" s="5" t="s">
        <v>25</v>
      </c>
      <c r="P537" s="6" t="s">
        <v>25</v>
      </c>
      <c r="Q537" s="5" t="s">
        <v>25</v>
      </c>
      <c r="R537" s="5" t="s">
        <v>25</v>
      </c>
      <c r="S537" s="5" t="str">
        <f>VLOOKUP(A537,Sheet2!$A$2:$R$3432,18,0)</f>
        <v>KCZOE80183992</v>
      </c>
      <c r="T537" s="7" t="str">
        <f>VLOOKUP(A537,Sheet2!$A$2:$R$3432,17,0)</f>
        <v>ME4KCZ04EG8019216</v>
      </c>
    </row>
    <row r="538" ht="15.75" customHeight="1">
      <c r="A538" s="3" t="s">
        <v>561</v>
      </c>
      <c r="B538" s="4" t="str">
        <f>VLOOKUP(A538,Sheet2!$A$2:$R$3432,2,0)</f>
        <v>2024-12-15 21:01:32</v>
      </c>
      <c r="C538" s="5" t="s">
        <v>25</v>
      </c>
      <c r="D538" s="6" t="s">
        <v>25</v>
      </c>
      <c r="E538" s="7">
        <f>VLOOKUP(A538,Sheet2!$A$2:$R$3432,4,0)</f>
        <v>9664976023</v>
      </c>
      <c r="F538" s="7" t="str">
        <f>VLOOKUP(A538,Sheet2!$A$2:$R$3432,3,0)</f>
        <v>MANESH GHODEKAR</v>
      </c>
      <c r="G538" s="5" t="s">
        <v>25</v>
      </c>
      <c r="H538" s="5" t="s">
        <v>25</v>
      </c>
      <c r="I538" s="5" t="s">
        <v>25</v>
      </c>
      <c r="J538" s="5" t="s">
        <v>25</v>
      </c>
      <c r="K538" s="7" t="str">
        <f>VLOOKUP(A538,Sheet2!$A$2:$R$3432,6,0)</f>
        <v>Suzuki Access 125</v>
      </c>
      <c r="L538" s="5" t="s">
        <v>25</v>
      </c>
      <c r="M538" s="7" t="str">
        <f>VLOOKUP(A538,Sheet2!$A$2:$R$3432,5,0)</f>
        <v>MH43BD3223</v>
      </c>
      <c r="N538" s="5" t="s">
        <v>25</v>
      </c>
      <c r="O538" s="5" t="s">
        <v>25</v>
      </c>
      <c r="P538" s="6" t="s">
        <v>25</v>
      </c>
      <c r="Q538" s="5" t="s">
        <v>25</v>
      </c>
      <c r="R538" s="5" t="s">
        <v>25</v>
      </c>
      <c r="S538" s="5" t="str">
        <f>VLOOKUP(A538,Sheet2!$A$2:$R$3432,18,0)</f>
        <v>AF211084168</v>
      </c>
      <c r="T538" s="7" t="str">
        <f>VLOOKUP(A538,Sheet2!$A$2:$R$3432,17,0)</f>
        <v>MB8DP11AH68191457</v>
      </c>
    </row>
    <row r="539" ht="15.75" customHeight="1">
      <c r="A539" s="3" t="s">
        <v>562</v>
      </c>
      <c r="B539" s="4" t="str">
        <f>VLOOKUP(A539,Sheet2!$A$2:$R$3432,2,0)</f>
        <v>2024-12-14 18:56:12</v>
      </c>
      <c r="C539" s="5" t="s">
        <v>25</v>
      </c>
      <c r="D539" s="6" t="s">
        <v>25</v>
      </c>
      <c r="E539" s="7">
        <f>VLOOKUP(A539,Sheet2!$A$2:$R$3432,4,0)</f>
        <v>8779872506</v>
      </c>
      <c r="F539" s="7" t="str">
        <f>VLOOKUP(A539,Sheet2!$A$2:$R$3432,3,0)</f>
        <v>Mayur Shinde </v>
      </c>
      <c r="G539" s="5" t="s">
        <v>25</v>
      </c>
      <c r="H539" s="5" t="s">
        <v>25</v>
      </c>
      <c r="I539" s="5" t="s">
        <v>25</v>
      </c>
      <c r="J539" s="5" t="s">
        <v>25</v>
      </c>
      <c r="K539" s="7" t="str">
        <f>VLOOKUP(A539,Sheet2!$A$2:$R$3432,6,0)</f>
        <v>Honda Unicorn 160</v>
      </c>
      <c r="L539" s="5" t="s">
        <v>25</v>
      </c>
      <c r="M539" s="7" t="str">
        <f>VLOOKUP(A539,Sheet2!$A$2:$R$3432,5,0)</f>
        <v>MH05DG0985</v>
      </c>
      <c r="N539" s="5" t="s">
        <v>25</v>
      </c>
      <c r="O539" s="5" t="s">
        <v>25</v>
      </c>
      <c r="P539" s="6" t="s">
        <v>25</v>
      </c>
      <c r="Q539" s="5" t="s">
        <v>25</v>
      </c>
      <c r="R539" s="5" t="s">
        <v>25</v>
      </c>
      <c r="S539" s="7" t="str">
        <f>VLOOKUP(A539,Sheet2!$A$2:$R$3432,18,0)</f>
        <v/>
      </c>
      <c r="T539" s="7" t="str">
        <f>VLOOKUP(A539,Sheet2!$A$2:$R$3432,17,0)</f>
        <v/>
      </c>
    </row>
    <row r="540" ht="15.75" customHeight="1">
      <c r="A540" s="3" t="s">
        <v>563</v>
      </c>
      <c r="B540" s="4" t="str">
        <f>VLOOKUP(A540,Sheet2!$A$2:$R$3432,2,0)</f>
        <v>2024-12-14 18:38:13</v>
      </c>
      <c r="C540" s="5" t="s">
        <v>25</v>
      </c>
      <c r="D540" s="6" t="s">
        <v>25</v>
      </c>
      <c r="E540" s="7">
        <f>VLOOKUP(A540,Sheet2!$A$2:$R$3432,4,0)</f>
        <v>7057937263</v>
      </c>
      <c r="F540" s="7" t="str">
        <f>VLOOKUP(A540,Sheet2!$A$2:$R$3432,3,0)</f>
        <v>GANESH SURYAWANSHI </v>
      </c>
      <c r="G540" s="5" t="s">
        <v>25</v>
      </c>
      <c r="H540" s="5" t="s">
        <v>25</v>
      </c>
      <c r="I540" s="5" t="s">
        <v>25</v>
      </c>
      <c r="J540" s="5" t="s">
        <v>25</v>
      </c>
      <c r="K540" s="7" t="str">
        <f>VLOOKUP(A540,Sheet2!$A$2:$R$3432,6,0)</f>
        <v>TVS Raider 125</v>
      </c>
      <c r="L540" s="5" t="s">
        <v>25</v>
      </c>
      <c r="M540" s="7" t="str">
        <f>VLOOKUP(A540,Sheet2!$A$2:$R$3432,5,0)</f>
        <v>MH19ED3598</v>
      </c>
      <c r="N540" s="5" t="s">
        <v>25</v>
      </c>
      <c r="O540" s="5" t="s">
        <v>25</v>
      </c>
      <c r="P540" s="6" t="s">
        <v>25</v>
      </c>
      <c r="Q540" s="5" t="s">
        <v>25</v>
      </c>
      <c r="R540" s="5" t="s">
        <v>25</v>
      </c>
      <c r="S540" s="7" t="str">
        <f>VLOOKUP(A540,Sheet2!$A$2:$R$3432,18,0)</f>
        <v/>
      </c>
      <c r="T540" s="7" t="str">
        <f>VLOOKUP(A540,Sheet2!$A$2:$R$3432,17,0)</f>
        <v/>
      </c>
    </row>
    <row r="541" ht="15.75" customHeight="1">
      <c r="A541" s="3" t="s">
        <v>564</v>
      </c>
      <c r="B541" s="4" t="str">
        <f>VLOOKUP(A541,Sheet2!$A$2:$R$3432,2,0)</f>
        <v>2024-12-14 18:58:30</v>
      </c>
      <c r="C541" s="5" t="s">
        <v>25</v>
      </c>
      <c r="D541" s="6" t="s">
        <v>25</v>
      </c>
      <c r="E541" s="7">
        <f>VLOOKUP(A541,Sheet2!$A$2:$R$3432,4,0)</f>
        <v>8097849578</v>
      </c>
      <c r="F541" s="7" t="str">
        <f>VLOOKUP(A541,Sheet2!$A$2:$R$3432,3,0)</f>
        <v>Akshay </v>
      </c>
      <c r="G541" s="5" t="s">
        <v>25</v>
      </c>
      <c r="H541" s="5" t="s">
        <v>25</v>
      </c>
      <c r="I541" s="5" t="s">
        <v>25</v>
      </c>
      <c r="J541" s="5" t="s">
        <v>25</v>
      </c>
      <c r="K541" s="7" t="str">
        <f>VLOOKUP(A541,Sheet2!$A$2:$R$3432,6,0)</f>
        <v>Honda Activa </v>
      </c>
      <c r="L541" s="5" t="s">
        <v>25</v>
      </c>
      <c r="M541" s="7" t="str">
        <f>VLOOKUP(A541,Sheet2!$A$2:$R$3432,5,0)</f>
        <v>MH12HM2208</v>
      </c>
      <c r="N541" s="5" t="s">
        <v>25</v>
      </c>
      <c r="O541" s="5" t="s">
        <v>25</v>
      </c>
      <c r="P541" s="6" t="s">
        <v>25</v>
      </c>
      <c r="Q541" s="5" t="s">
        <v>25</v>
      </c>
      <c r="R541" s="5" t="s">
        <v>25</v>
      </c>
      <c r="S541" s="5" t="str">
        <f>VLOOKUP(A541,Sheet2!$A$2:$R$3432,18,0)</f>
        <v>JC44E164747422</v>
      </c>
      <c r="T541" s="7" t="str">
        <f>VLOOKUP(A541,Sheet2!$A$2:$R$3432,17,0)</f>
        <v>ME4JC448KB85336520</v>
      </c>
    </row>
    <row r="542" ht="15.75" customHeight="1">
      <c r="A542" s="3" t="s">
        <v>565</v>
      </c>
      <c r="B542" s="4" t="str">
        <f>VLOOKUP(A542,Sheet2!$A$2:$R$3432,2,0)</f>
        <v>2024-12-14 18:34:26</v>
      </c>
      <c r="C542" s="5" t="s">
        <v>25</v>
      </c>
      <c r="D542" s="6" t="s">
        <v>25</v>
      </c>
      <c r="E542" s="7">
        <f>VLOOKUP(A542,Sheet2!$A$2:$R$3432,4,0)</f>
        <v>8484849999</v>
      </c>
      <c r="F542" s="7" t="str">
        <f>VLOOKUP(A542,Sheet2!$A$2:$R$3432,3,0)</f>
        <v>Amar Gawali</v>
      </c>
      <c r="G542" s="5" t="s">
        <v>25</v>
      </c>
      <c r="H542" s="5" t="s">
        <v>25</v>
      </c>
      <c r="I542" s="5" t="s">
        <v>25</v>
      </c>
      <c r="J542" s="5" t="s">
        <v>25</v>
      </c>
      <c r="K542" s="7" t="str">
        <f>VLOOKUP(A542,Sheet2!$A$2:$R$3432,6,0)</f>
        <v>Honda Activa 3G</v>
      </c>
      <c r="L542" s="5" t="s">
        <v>25</v>
      </c>
      <c r="M542" s="7" t="str">
        <f>VLOOKUP(A542,Sheet2!$A$2:$R$3432,5,0)</f>
        <v>MH14FZ9383</v>
      </c>
      <c r="N542" s="5" t="s">
        <v>25</v>
      </c>
      <c r="O542" s="5" t="s">
        <v>25</v>
      </c>
      <c r="P542" s="6" t="s">
        <v>25</v>
      </c>
      <c r="Q542" s="5" t="s">
        <v>25</v>
      </c>
      <c r="R542" s="5" t="s">
        <v>25</v>
      </c>
      <c r="S542" s="5" t="str">
        <f>VLOOKUP(A542,Sheet2!$A$2:$R$3432,18,0)</f>
        <v>JF50EU3409847</v>
      </c>
      <c r="T542" s="7" t="str">
        <f>VLOOKUP(A542,Sheet2!$A$2:$R$3432,17,0)</f>
        <v>ME4JF505JGU41</v>
      </c>
    </row>
    <row r="543" ht="15.75" customHeight="1">
      <c r="A543" s="3" t="s">
        <v>566</v>
      </c>
      <c r="B543" s="4" t="str">
        <f>VLOOKUP(A543,Sheet2!$A$2:$R$3432,2,0)</f>
        <v>2024-12-14 18:37:42</v>
      </c>
      <c r="C543" s="5" t="s">
        <v>25</v>
      </c>
      <c r="D543" s="6" t="s">
        <v>25</v>
      </c>
      <c r="E543" s="7">
        <f>VLOOKUP(A543,Sheet2!$A$2:$R$3432,4,0)</f>
        <v>8669059410</v>
      </c>
      <c r="F543" s="7" t="str">
        <f>VLOOKUP(A543,Sheet2!$A$2:$R$3432,3,0)</f>
        <v>Ajay Ingawale</v>
      </c>
      <c r="G543" s="5" t="s">
        <v>25</v>
      </c>
      <c r="H543" s="5" t="s">
        <v>25</v>
      </c>
      <c r="I543" s="5" t="s">
        <v>25</v>
      </c>
      <c r="J543" s="5" t="s">
        <v>25</v>
      </c>
      <c r="K543" s="7" t="str">
        <f>VLOOKUP(A543,Sheet2!$A$2:$R$3432,6,0)</f>
        <v>Honda Shine </v>
      </c>
      <c r="L543" s="5" t="s">
        <v>25</v>
      </c>
      <c r="M543" s="7" t="str">
        <f>VLOOKUP(A543,Sheet2!$A$2:$R$3432,5,0)</f>
        <v>MH14JF6704</v>
      </c>
      <c r="N543" s="5" t="s">
        <v>25</v>
      </c>
      <c r="O543" s="5" t="s">
        <v>25</v>
      </c>
      <c r="P543" s="6" t="s">
        <v>25</v>
      </c>
      <c r="Q543" s="5" t="s">
        <v>25</v>
      </c>
      <c r="R543" s="5" t="s">
        <v>25</v>
      </c>
      <c r="S543" s="7" t="str">
        <f>VLOOKUP(A543,Sheet2!$A$2:$R$3432,18,0)</f>
        <v/>
      </c>
      <c r="T543" s="7" t="str">
        <f>VLOOKUP(A543,Sheet2!$A$2:$R$3432,17,0)</f>
        <v/>
      </c>
    </row>
    <row r="544" ht="15.75" customHeight="1">
      <c r="A544" s="3" t="s">
        <v>567</v>
      </c>
      <c r="B544" s="4" t="str">
        <f>VLOOKUP(A544,Sheet2!$A$2:$R$3432,2,0)</f>
        <v>2024-12-14 18:38:47</v>
      </c>
      <c r="C544" s="5" t="s">
        <v>25</v>
      </c>
      <c r="D544" s="6" t="s">
        <v>25</v>
      </c>
      <c r="E544" s="7">
        <f>VLOOKUP(A544,Sheet2!$A$2:$R$3432,4,0)</f>
        <v>9028191356</v>
      </c>
      <c r="F544" s="7" t="str">
        <f>VLOOKUP(A544,Sheet2!$A$2:$R$3432,3,0)</f>
        <v>Vaibhav Shinde</v>
      </c>
      <c r="G544" s="5" t="s">
        <v>25</v>
      </c>
      <c r="H544" s="5" t="s">
        <v>25</v>
      </c>
      <c r="I544" s="5" t="s">
        <v>25</v>
      </c>
      <c r="J544" s="5" t="s">
        <v>25</v>
      </c>
      <c r="K544" s="7" t="str">
        <f>VLOOKUP(A544,Sheet2!$A$2:$R$3432,6,0)</f>
        <v>Honda Shine No Data</v>
      </c>
      <c r="L544" s="5" t="s">
        <v>25</v>
      </c>
      <c r="M544" s="7" t="str">
        <f>VLOOKUP(A544,Sheet2!$A$2:$R$3432,5,0)</f>
        <v>MH15HT5553</v>
      </c>
      <c r="N544" s="5" t="s">
        <v>25</v>
      </c>
      <c r="O544" s="5" t="s">
        <v>25</v>
      </c>
      <c r="P544" s="6" t="s">
        <v>25</v>
      </c>
      <c r="Q544" s="5" t="s">
        <v>25</v>
      </c>
      <c r="R544" s="5" t="s">
        <v>25</v>
      </c>
      <c r="S544" s="7" t="str">
        <f>VLOOKUP(A544,Sheet2!$A$2:$R$3432,18,0)</f>
        <v/>
      </c>
      <c r="T544" s="7" t="str">
        <f>VLOOKUP(A544,Sheet2!$A$2:$R$3432,17,0)</f>
        <v/>
      </c>
    </row>
    <row r="545" ht="15.75" customHeight="1">
      <c r="A545" s="3" t="s">
        <v>568</v>
      </c>
      <c r="B545" s="4" t="str">
        <f>VLOOKUP(A545,Sheet2!$A$2:$R$3432,2,0)</f>
        <v>2024-12-14 18:41:46</v>
      </c>
      <c r="C545" s="5" t="s">
        <v>25</v>
      </c>
      <c r="D545" s="6" t="s">
        <v>25</v>
      </c>
      <c r="E545" s="7">
        <f>VLOOKUP(A545,Sheet2!$A$2:$R$3432,4,0)</f>
        <v>8999662331</v>
      </c>
      <c r="F545" s="7" t="str">
        <f>VLOOKUP(A545,Sheet2!$A$2:$R$3432,3,0)</f>
        <v>TEJAS MEMANE</v>
      </c>
      <c r="G545" s="5" t="s">
        <v>25</v>
      </c>
      <c r="H545" s="5" t="s">
        <v>25</v>
      </c>
      <c r="I545" s="5" t="s">
        <v>25</v>
      </c>
      <c r="J545" s="5" t="s">
        <v>25</v>
      </c>
      <c r="K545" s="7" t="str">
        <f>VLOOKUP(A545,Sheet2!$A$2:$R$3432,6,0)</f>
        <v>Bajaj Discover 125M</v>
      </c>
      <c r="L545" s="5" t="s">
        <v>25</v>
      </c>
      <c r="M545" s="7" t="str">
        <f>VLOOKUP(A545,Sheet2!$A$2:$R$3432,5,0)</f>
        <v>MH12LL8178</v>
      </c>
      <c r="N545" s="5" t="s">
        <v>25</v>
      </c>
      <c r="O545" s="5" t="s">
        <v>25</v>
      </c>
      <c r="P545" s="6" t="s">
        <v>25</v>
      </c>
      <c r="Q545" s="5" t="s">
        <v>25</v>
      </c>
      <c r="R545" s="5" t="s">
        <v>25</v>
      </c>
      <c r="S545" s="7" t="str">
        <f>VLOOKUP(A545,Sheet2!$A$2:$R$3432,18,0)</f>
        <v/>
      </c>
      <c r="T545" s="7" t="str">
        <f>VLOOKUP(A545,Sheet2!$A$2:$R$3432,17,0)</f>
        <v/>
      </c>
    </row>
    <row r="546" ht="15.75" customHeight="1">
      <c r="A546" s="3" t="s">
        <v>569</v>
      </c>
      <c r="B546" s="4" t="str">
        <f>VLOOKUP(A546,Sheet2!$A$2:$R$3432,2,0)</f>
        <v>2024-12-14 18:56:44</v>
      </c>
      <c r="C546" s="5" t="s">
        <v>25</v>
      </c>
      <c r="D546" s="6" t="s">
        <v>25</v>
      </c>
      <c r="E546" s="7">
        <f>VLOOKUP(A546,Sheet2!$A$2:$R$3432,4,0)</f>
        <v>9404630994</v>
      </c>
      <c r="F546" s="7" t="str">
        <f>VLOOKUP(A546,Sheet2!$A$2:$R$3432,3,0)</f>
        <v>Chaitanya Kulkarni </v>
      </c>
      <c r="G546" s="5" t="s">
        <v>25</v>
      </c>
      <c r="H546" s="5" t="s">
        <v>25</v>
      </c>
      <c r="I546" s="5" t="s">
        <v>25</v>
      </c>
      <c r="J546" s="5" t="s">
        <v>25</v>
      </c>
      <c r="K546" s="7" t="str">
        <f>VLOOKUP(A546,Sheet2!$A$2:$R$3432,6,0)</f>
        <v>Honda Activa </v>
      </c>
      <c r="L546" s="5" t="s">
        <v>25</v>
      </c>
      <c r="M546" s="7" t="str">
        <f>VLOOKUP(A546,Sheet2!$A$2:$R$3432,5,0)</f>
        <v>MH14CE6864</v>
      </c>
      <c r="N546" s="5" t="s">
        <v>25</v>
      </c>
      <c r="O546" s="5" t="s">
        <v>25</v>
      </c>
      <c r="P546" s="6" t="s">
        <v>25</v>
      </c>
      <c r="Q546" s="5" t="s">
        <v>25</v>
      </c>
      <c r="R546" s="5" t="s">
        <v>25</v>
      </c>
      <c r="S546" s="5" t="str">
        <f>VLOOKUP(A546,Sheet2!$A$2:$R$3432,18,0)</f>
        <v>JC44E0795076</v>
      </c>
      <c r="T546" s="7" t="str">
        <f>VLOOKUP(A546,Sheet2!$A$2:$R$3432,17,0)</f>
        <v>ME4JC446A8350695</v>
      </c>
    </row>
    <row r="547" ht="15.75" customHeight="1">
      <c r="A547" s="3" t="s">
        <v>570</v>
      </c>
      <c r="B547" s="4" t="str">
        <f>VLOOKUP(A547,Sheet2!$A$2:$R$3432,2,0)</f>
        <v>2024-12-14 19:14:49</v>
      </c>
      <c r="C547" s="5" t="s">
        <v>25</v>
      </c>
      <c r="D547" s="6" t="s">
        <v>25</v>
      </c>
      <c r="E547" s="7">
        <f>VLOOKUP(A547,Sheet2!$A$2:$R$3432,4,0)</f>
        <v>8669787479</v>
      </c>
      <c r="F547" s="7" t="str">
        <f>VLOOKUP(A547,Sheet2!$A$2:$R$3432,3,0)</f>
        <v>AKASH</v>
      </c>
      <c r="G547" s="5" t="s">
        <v>25</v>
      </c>
      <c r="H547" s="5" t="s">
        <v>25</v>
      </c>
      <c r="I547" s="5" t="s">
        <v>25</v>
      </c>
      <c r="J547" s="5" t="s">
        <v>25</v>
      </c>
      <c r="K547" s="7" t="str">
        <f>VLOOKUP(A547,Sheet2!$A$2:$R$3432,6,0)</f>
        <v>Bajaj Pulsar 200 RS</v>
      </c>
      <c r="L547" s="5" t="s">
        <v>25</v>
      </c>
      <c r="M547" s="7" t="str">
        <f>VLOOKUP(A547,Sheet2!$A$2:$R$3432,5,0)</f>
        <v>MH12MT5605</v>
      </c>
      <c r="N547" s="5" t="s">
        <v>25</v>
      </c>
      <c r="O547" s="5" t="s">
        <v>25</v>
      </c>
      <c r="P547" s="6" t="s">
        <v>25</v>
      </c>
      <c r="Q547" s="5" t="s">
        <v>25</v>
      </c>
      <c r="R547" s="5" t="s">
        <v>25</v>
      </c>
      <c r="S547" s="7" t="str">
        <f>VLOOKUP(A547,Sheet2!$A$2:$R$3432,18,0)</f>
        <v/>
      </c>
      <c r="T547" s="7" t="str">
        <f>VLOOKUP(A547,Sheet2!$A$2:$R$3432,17,0)</f>
        <v>MD2A55FZ2GCK04049</v>
      </c>
    </row>
    <row r="548" ht="15.75" customHeight="1">
      <c r="A548" s="3" t="s">
        <v>571</v>
      </c>
      <c r="B548" s="4" t="str">
        <f>VLOOKUP(A548,Sheet2!$A$2:$R$3432,2,0)</f>
        <v>2024-12-14 20:25:25</v>
      </c>
      <c r="C548" s="5" t="s">
        <v>25</v>
      </c>
      <c r="D548" s="6" t="s">
        <v>25</v>
      </c>
      <c r="E548" s="7">
        <f>VLOOKUP(A548,Sheet2!$A$2:$R$3432,4,0)</f>
        <v>6261948875</v>
      </c>
      <c r="F548" s="7" t="str">
        <f>VLOOKUP(A548,Sheet2!$A$2:$R$3432,3,0)</f>
        <v>NISHI SEN</v>
      </c>
      <c r="G548" s="5" t="s">
        <v>25</v>
      </c>
      <c r="H548" s="5" t="s">
        <v>25</v>
      </c>
      <c r="I548" s="5" t="s">
        <v>25</v>
      </c>
      <c r="J548" s="5" t="s">
        <v>25</v>
      </c>
      <c r="K548" s="7" t="str">
        <f>VLOOKUP(A548,Sheet2!$A$2:$R$3432,6,0)</f>
        <v>Honda Activa 6G</v>
      </c>
      <c r="L548" s="5" t="s">
        <v>25</v>
      </c>
      <c r="M548" s="7" t="str">
        <f>VLOOKUP(A548,Sheet2!$A$2:$R$3432,5,0)</f>
        <v>MH14KE9124</v>
      </c>
      <c r="N548" s="5" t="s">
        <v>25</v>
      </c>
      <c r="O548" s="5" t="s">
        <v>25</v>
      </c>
      <c r="P548" s="6" t="s">
        <v>25</v>
      </c>
      <c r="Q548" s="5" t="s">
        <v>25</v>
      </c>
      <c r="R548" s="5" t="s">
        <v>25</v>
      </c>
      <c r="S548" s="7" t="str">
        <f>VLOOKUP(A548,Sheet2!$A$2:$R$3432,18,0)</f>
        <v/>
      </c>
      <c r="T548" s="7" t="str">
        <f>VLOOKUP(A548,Sheet2!$A$2:$R$3432,17,0)</f>
        <v/>
      </c>
    </row>
    <row r="549" ht="15.75" customHeight="1">
      <c r="A549" s="3" t="s">
        <v>572</v>
      </c>
      <c r="B549" s="4" t="str">
        <f>VLOOKUP(A549,Sheet2!$A$2:$R$3432,2,0)</f>
        <v>2024-12-14 19:53:09</v>
      </c>
      <c r="C549" s="5" t="s">
        <v>25</v>
      </c>
      <c r="D549" s="6" t="s">
        <v>25</v>
      </c>
      <c r="E549" s="7">
        <f>VLOOKUP(A549,Sheet2!$A$2:$R$3432,4,0)</f>
        <v>8871710584</v>
      </c>
      <c r="F549" s="7" t="str">
        <f>VLOOKUP(A549,Sheet2!$A$2:$R$3432,3,0)</f>
        <v>Parth Vyas</v>
      </c>
      <c r="G549" s="5" t="s">
        <v>25</v>
      </c>
      <c r="H549" s="5" t="s">
        <v>25</v>
      </c>
      <c r="I549" s="5" t="s">
        <v>25</v>
      </c>
      <c r="J549" s="5" t="s">
        <v>25</v>
      </c>
      <c r="K549" s="7" t="str">
        <f>VLOOKUP(A549,Sheet2!$A$2:$R$3432,6,0)</f>
        <v>Bajaj Avenger 150 Street</v>
      </c>
      <c r="L549" s="5" t="s">
        <v>25</v>
      </c>
      <c r="M549" s="7" t="str">
        <f>VLOOKUP(A549,Sheet2!$A$2:$R$3432,5,0)</f>
        <v>MH14GG0962</v>
      </c>
      <c r="N549" s="5" t="s">
        <v>25</v>
      </c>
      <c r="O549" s="5" t="s">
        <v>25</v>
      </c>
      <c r="P549" s="6" t="s">
        <v>25</v>
      </c>
      <c r="Q549" s="5" t="s">
        <v>25</v>
      </c>
      <c r="R549" s="5" t="s">
        <v>25</v>
      </c>
      <c r="S549" s="5" t="str">
        <f>VLOOKUP(A549,Sheet2!$A$2:$R$3432,18,0)</f>
        <v>PDYCHE36705</v>
      </c>
      <c r="T549" s="7" t="str">
        <f>VLOOKUP(A549,Sheet2!$A$2:$R$3432,17,0)</f>
        <v>MDZA85CYXCL15095</v>
      </c>
    </row>
    <row r="550" ht="15.75" customHeight="1">
      <c r="A550" s="3" t="s">
        <v>573</v>
      </c>
      <c r="B550" s="4" t="str">
        <f>VLOOKUP(A550,Sheet2!$A$2:$R$3432,2,0)</f>
        <v>2024-12-14 19:54:26</v>
      </c>
      <c r="C550" s="5" t="s">
        <v>25</v>
      </c>
      <c r="D550" s="6" t="s">
        <v>25</v>
      </c>
      <c r="E550" s="7">
        <f>VLOOKUP(A550,Sheet2!$A$2:$R$3432,4,0)</f>
        <v>8793314482</v>
      </c>
      <c r="F550" s="7" t="str">
        <f>VLOOKUP(A550,Sheet2!$A$2:$R$3432,3,0)</f>
        <v>Nitin</v>
      </c>
      <c r="G550" s="5" t="s">
        <v>25</v>
      </c>
      <c r="H550" s="5" t="s">
        <v>25</v>
      </c>
      <c r="I550" s="5" t="s">
        <v>25</v>
      </c>
      <c r="J550" s="5" t="s">
        <v>25</v>
      </c>
      <c r="K550" s="7" t="str">
        <f>VLOOKUP(A550,Sheet2!$A$2:$R$3432,6,0)</f>
        <v>Suzuki Access </v>
      </c>
      <c r="L550" s="5" t="s">
        <v>25</v>
      </c>
      <c r="M550" s="7" t="str">
        <f>VLOOKUP(A550,Sheet2!$A$2:$R$3432,5,0)</f>
        <v>MH14HB2389</v>
      </c>
      <c r="N550" s="5" t="s">
        <v>25</v>
      </c>
      <c r="O550" s="5" t="s">
        <v>25</v>
      </c>
      <c r="P550" s="6" t="s">
        <v>25</v>
      </c>
      <c r="Q550" s="5" t="s">
        <v>25</v>
      </c>
      <c r="R550" s="5" t="s">
        <v>25</v>
      </c>
      <c r="S550" s="7" t="str">
        <f>VLOOKUP(A550,Sheet2!$A$2:$R$3432,18,0)</f>
        <v/>
      </c>
      <c r="T550" s="7" t="str">
        <f>VLOOKUP(A550,Sheet2!$A$2:$R$3432,17,0)</f>
        <v/>
      </c>
    </row>
    <row r="551" ht="15.75" customHeight="1">
      <c r="A551" s="3" t="s">
        <v>574</v>
      </c>
      <c r="B551" s="4" t="str">
        <f>VLOOKUP(A551,Sheet2!$A$2:$R$3432,2,0)</f>
        <v>2024-12-14 20:38:56</v>
      </c>
      <c r="C551" s="5" t="s">
        <v>25</v>
      </c>
      <c r="D551" s="6" t="s">
        <v>25</v>
      </c>
      <c r="E551" s="7">
        <f>VLOOKUP(A551,Sheet2!$A$2:$R$3432,4,0)</f>
        <v>8999952413</v>
      </c>
      <c r="F551" s="7" t="str">
        <f>VLOOKUP(A551,Sheet2!$A$2:$R$3432,3,0)</f>
        <v>Rutuja Pandav</v>
      </c>
      <c r="G551" s="5" t="s">
        <v>25</v>
      </c>
      <c r="H551" s="5" t="s">
        <v>25</v>
      </c>
      <c r="I551" s="5" t="s">
        <v>25</v>
      </c>
      <c r="J551" s="5" t="s">
        <v>25</v>
      </c>
      <c r="K551" s="7" t="str">
        <f>VLOOKUP(A551,Sheet2!$A$2:$R$3432,6,0)</f>
        <v>Honda Activa </v>
      </c>
      <c r="L551" s="5" t="s">
        <v>25</v>
      </c>
      <c r="M551" s="7" t="str">
        <f>VLOOKUP(A551,Sheet2!$A$2:$R$3432,5,0)</f>
        <v>MH31DT7262</v>
      </c>
      <c r="N551" s="5" t="s">
        <v>25</v>
      </c>
      <c r="O551" s="5" t="s">
        <v>25</v>
      </c>
      <c r="P551" s="6" t="s">
        <v>25</v>
      </c>
      <c r="Q551" s="5" t="s">
        <v>25</v>
      </c>
      <c r="R551" s="5" t="s">
        <v>25</v>
      </c>
      <c r="S551" s="7" t="str">
        <f>VLOOKUP(A551,Sheet2!$A$2:$R$3432,18,0)</f>
        <v/>
      </c>
      <c r="T551" s="7" t="str">
        <f>VLOOKUP(A551,Sheet2!$A$2:$R$3432,17,0)</f>
        <v/>
      </c>
    </row>
    <row r="552" ht="15.75" customHeight="1">
      <c r="A552" s="3" t="s">
        <v>575</v>
      </c>
      <c r="B552" s="4" t="str">
        <f>VLOOKUP(A552,Sheet2!$A$2:$R$3432,2,0)</f>
        <v>2025-05-31 11:37:42</v>
      </c>
      <c r="C552" s="5" t="s">
        <v>25</v>
      </c>
      <c r="D552" s="6" t="s">
        <v>25</v>
      </c>
      <c r="E552" s="7">
        <f>VLOOKUP(A552,Sheet2!$A$2:$R$3432,4,0)</f>
        <v>8087814533</v>
      </c>
      <c r="F552" s="7" t="str">
        <f>VLOOKUP(A552,Sheet2!$A$2:$R$3432,3,0)</f>
        <v>Mehul Mehta</v>
      </c>
      <c r="G552" s="5" t="s">
        <v>25</v>
      </c>
      <c r="H552" s="5" t="s">
        <v>25</v>
      </c>
      <c r="I552" s="5" t="s">
        <v>25</v>
      </c>
      <c r="J552" s="5" t="s">
        <v>25</v>
      </c>
      <c r="K552" s="7" t="str">
        <f>VLOOKUP(A552,Sheet2!$A$2:$R$3432,6,0)</f>
        <v>Honda Aviator </v>
      </c>
      <c r="L552" s="5" t="s">
        <v>25</v>
      </c>
      <c r="M552" s="7" t="str">
        <f>VLOOKUP(A552,Sheet2!$A$2:$R$3432,5,0)</f>
        <v>MH19BL3728</v>
      </c>
      <c r="N552" s="5" t="s">
        <v>25</v>
      </c>
      <c r="O552" s="5" t="s">
        <v>25</v>
      </c>
      <c r="P552" s="6" t="s">
        <v>25</v>
      </c>
      <c r="Q552" s="5" t="s">
        <v>25</v>
      </c>
      <c r="R552" s="5" t="s">
        <v>25</v>
      </c>
      <c r="S552" s="7" t="str">
        <f>VLOOKUP(A552,Sheet2!$A$2:$R$3432,18,0)</f>
        <v/>
      </c>
      <c r="T552" s="7" t="str">
        <f>VLOOKUP(A552,Sheet2!$A$2:$R$3432,17,0)</f>
        <v/>
      </c>
    </row>
    <row r="553" ht="15.75" customHeight="1">
      <c r="A553" s="3" t="s">
        <v>576</v>
      </c>
      <c r="B553" s="4" t="str">
        <f>VLOOKUP(A553,Sheet2!$A$2:$R$3432,2,0)</f>
        <v>2025-05-31 20:41:15</v>
      </c>
      <c r="C553" s="5" t="s">
        <v>25</v>
      </c>
      <c r="D553" s="6" t="s">
        <v>25</v>
      </c>
      <c r="E553" s="7">
        <f>VLOOKUP(A553,Sheet2!$A$2:$R$3432,4,0)</f>
        <v>9881201210</v>
      </c>
      <c r="F553" s="7" t="str">
        <f>VLOOKUP(A553,Sheet2!$A$2:$R$3432,3,0)</f>
        <v>ATUL SARDESAI</v>
      </c>
      <c r="G553" s="5" t="s">
        <v>25</v>
      </c>
      <c r="H553" s="5" t="s">
        <v>25</v>
      </c>
      <c r="I553" s="5" t="s">
        <v>25</v>
      </c>
      <c r="J553" s="5" t="s">
        <v>25</v>
      </c>
      <c r="K553" s="7" t="str">
        <f>VLOOKUP(A553,Sheet2!$A$2:$R$3432,6,0)</f>
        <v>TVS Wego Basic</v>
      </c>
      <c r="L553" s="5" t="s">
        <v>25</v>
      </c>
      <c r="M553" s="7" t="str">
        <f>VLOOKUP(A553,Sheet2!$A$2:$R$3432,5,0)</f>
        <v>MH14EJ2171</v>
      </c>
      <c r="N553" s="5" t="s">
        <v>25</v>
      </c>
      <c r="O553" s="5" t="s">
        <v>25</v>
      </c>
      <c r="P553" s="6" t="s">
        <v>25</v>
      </c>
      <c r="Q553" s="5" t="s">
        <v>25</v>
      </c>
      <c r="R553" s="5" t="s">
        <v>25</v>
      </c>
      <c r="S553" s="7" t="str">
        <f>VLOOKUP(A553,Sheet2!$A$2:$R$3432,18,0)</f>
        <v/>
      </c>
      <c r="T553" s="7" t="str">
        <f>VLOOKUP(A553,Sheet2!$A$2:$R$3432,17,0)</f>
        <v/>
      </c>
    </row>
    <row r="554" ht="15.75" customHeight="1">
      <c r="A554" s="3" t="s">
        <v>577</v>
      </c>
      <c r="B554" s="4" t="str">
        <f>VLOOKUP(A554,Sheet2!$A$2:$R$3432,2,0)</f>
        <v>2025-05-31 20:39:22</v>
      </c>
      <c r="C554" s="5" t="s">
        <v>25</v>
      </c>
      <c r="D554" s="6" t="s">
        <v>25</v>
      </c>
      <c r="E554" s="7">
        <f>VLOOKUP(A554,Sheet2!$A$2:$R$3432,4,0)</f>
        <v>9527442912</v>
      </c>
      <c r="F554" s="7" t="str">
        <f>VLOOKUP(A554,Sheet2!$A$2:$R$3432,3,0)</f>
        <v>Shilendra Vane</v>
      </c>
      <c r="G554" s="5" t="s">
        <v>25</v>
      </c>
      <c r="H554" s="5" t="s">
        <v>25</v>
      </c>
      <c r="I554" s="5" t="s">
        <v>25</v>
      </c>
      <c r="J554" s="5" t="s">
        <v>25</v>
      </c>
      <c r="K554" s="7" t="str">
        <f>VLOOKUP(A554,Sheet2!$A$2:$R$3432,6,0)</f>
        <v>Honda Hornet 160R</v>
      </c>
      <c r="L554" s="5" t="s">
        <v>25</v>
      </c>
      <c r="M554" s="7" t="str">
        <f>VLOOKUP(A554,Sheet2!$A$2:$R$3432,5,0)</f>
        <v>MH12SB2965</v>
      </c>
      <c r="N554" s="5" t="s">
        <v>25</v>
      </c>
      <c r="O554" s="5" t="s">
        <v>25</v>
      </c>
      <c r="P554" s="6" t="s">
        <v>25</v>
      </c>
      <c r="Q554" s="5" t="s">
        <v>25</v>
      </c>
      <c r="R554" s="5" t="s">
        <v>25</v>
      </c>
      <c r="S554" s="7" t="str">
        <f>VLOOKUP(A554,Sheet2!$A$2:$R$3432,18,0)</f>
        <v/>
      </c>
      <c r="T554" s="7" t="str">
        <f>VLOOKUP(A554,Sheet2!$A$2:$R$3432,17,0)</f>
        <v/>
      </c>
    </row>
    <row r="555" ht="15.75" customHeight="1">
      <c r="A555" s="3" t="s">
        <v>578</v>
      </c>
      <c r="B555" s="4" t="str">
        <f>VLOOKUP(A555,Sheet2!$A$2:$R$3432,2,0)</f>
        <v>2025-05-31 20:40:52</v>
      </c>
      <c r="C555" s="5" t="s">
        <v>25</v>
      </c>
      <c r="D555" s="6" t="s">
        <v>25</v>
      </c>
      <c r="E555" s="7">
        <f>VLOOKUP(A555,Sheet2!$A$2:$R$3432,4,0)</f>
        <v>9423926986</v>
      </c>
      <c r="F555" s="7" t="str">
        <f>VLOOKUP(A555,Sheet2!$A$2:$R$3432,3,0)</f>
        <v>Sushma Daga</v>
      </c>
      <c r="G555" s="5" t="s">
        <v>25</v>
      </c>
      <c r="H555" s="5" t="s">
        <v>25</v>
      </c>
      <c r="I555" s="5" t="s">
        <v>25</v>
      </c>
      <c r="J555" s="5" t="s">
        <v>25</v>
      </c>
      <c r="K555" s="7" t="str">
        <f>VLOOKUP(A555,Sheet2!$A$2:$R$3432,6,0)</f>
        <v>Suzuki Access </v>
      </c>
      <c r="L555" s="5" t="s">
        <v>25</v>
      </c>
      <c r="M555" s="7" t="str">
        <f>VLOOKUP(A555,Sheet2!$A$2:$R$3432,5,0)</f>
        <v>MH16BS7404</v>
      </c>
      <c r="N555" s="5" t="s">
        <v>25</v>
      </c>
      <c r="O555" s="5" t="s">
        <v>25</v>
      </c>
      <c r="P555" s="6" t="s">
        <v>25</v>
      </c>
      <c r="Q555" s="5" t="s">
        <v>25</v>
      </c>
      <c r="R555" s="5" t="s">
        <v>25</v>
      </c>
      <c r="S555" s="7" t="str">
        <f>VLOOKUP(A555,Sheet2!$A$2:$R$3432,18,0)</f>
        <v/>
      </c>
      <c r="T555" s="7" t="str">
        <f>VLOOKUP(A555,Sheet2!$A$2:$R$3432,17,0)</f>
        <v/>
      </c>
    </row>
    <row r="556" ht="15.75" customHeight="1">
      <c r="A556" s="3" t="s">
        <v>579</v>
      </c>
      <c r="B556" s="4" t="str">
        <f>VLOOKUP(A556,Sheet2!$A$2:$R$3432,2,0)</f>
        <v>2025-05-31 20:33:51</v>
      </c>
      <c r="C556" s="5" t="s">
        <v>25</v>
      </c>
      <c r="D556" s="6" t="s">
        <v>25</v>
      </c>
      <c r="E556" s="7">
        <f>VLOOKUP(A556,Sheet2!$A$2:$R$3432,4,0)</f>
        <v>9011198283</v>
      </c>
      <c r="F556" s="7" t="str">
        <f>VLOOKUP(A556,Sheet2!$A$2:$R$3432,3,0)</f>
        <v>Dinesh Chavan</v>
      </c>
      <c r="G556" s="5" t="s">
        <v>25</v>
      </c>
      <c r="H556" s="5" t="s">
        <v>25</v>
      </c>
      <c r="I556" s="5" t="s">
        <v>25</v>
      </c>
      <c r="J556" s="5" t="s">
        <v>25</v>
      </c>
      <c r="K556" s="7" t="str">
        <f>VLOOKUP(A556,Sheet2!$A$2:$R$3432,6,0)</f>
        <v>Suzuki Access 125</v>
      </c>
      <c r="L556" s="5" t="s">
        <v>25</v>
      </c>
      <c r="M556" s="7" t="str">
        <f>VLOOKUP(A556,Sheet2!$A$2:$R$3432,5,0)</f>
        <v>MH14GP3924</v>
      </c>
      <c r="N556" s="5" t="s">
        <v>25</v>
      </c>
      <c r="O556" s="5" t="s">
        <v>25</v>
      </c>
      <c r="P556" s="6" t="s">
        <v>25</v>
      </c>
      <c r="Q556" s="5" t="s">
        <v>25</v>
      </c>
      <c r="R556" s="5" t="s">
        <v>25</v>
      </c>
      <c r="S556" s="5" t="str">
        <f>VLOOKUP(A556,Sheet2!$A$2:$R$3432,18,0)</f>
        <v>AF211411053</v>
      </c>
      <c r="T556" s="7" t="str">
        <f>VLOOKUP(A556,Sheet2!$A$2:$R$3432,17,0)</f>
        <v>B8DP11AHH8528309</v>
      </c>
    </row>
    <row r="557" ht="15.75" customHeight="1">
      <c r="A557" s="3" t="s">
        <v>580</v>
      </c>
      <c r="B557" s="4" t="str">
        <f>VLOOKUP(A557,Sheet2!$A$2:$R$3432,2,0)</f>
        <v>2025-05-31 20:33:25</v>
      </c>
      <c r="C557" s="5" t="s">
        <v>25</v>
      </c>
      <c r="D557" s="6" t="s">
        <v>25</v>
      </c>
      <c r="E557" s="7">
        <f>VLOOKUP(A557,Sheet2!$A$2:$R$3432,4,0)</f>
        <v>9921602020</v>
      </c>
      <c r="F557" s="7" t="str">
        <f>VLOOKUP(A557,Sheet2!$A$2:$R$3432,3,0)</f>
        <v>Amit Behera</v>
      </c>
      <c r="G557" s="5" t="s">
        <v>25</v>
      </c>
      <c r="H557" s="5" t="s">
        <v>25</v>
      </c>
      <c r="I557" s="5" t="s">
        <v>25</v>
      </c>
      <c r="J557" s="5" t="s">
        <v>25</v>
      </c>
      <c r="K557" s="7" t="str">
        <f>VLOOKUP(A557,Sheet2!$A$2:$R$3432,6,0)</f>
        <v>Hero Maestro </v>
      </c>
      <c r="L557" s="5" t="s">
        <v>25</v>
      </c>
      <c r="M557" s="7" t="str">
        <f>VLOOKUP(A557,Sheet2!$A$2:$R$3432,5,0)</f>
        <v>MH14ES0472</v>
      </c>
      <c r="N557" s="5" t="s">
        <v>25</v>
      </c>
      <c r="O557" s="5" t="s">
        <v>25</v>
      </c>
      <c r="P557" s="6" t="s">
        <v>25</v>
      </c>
      <c r="Q557" s="5" t="s">
        <v>25</v>
      </c>
      <c r="R557" s="5" t="s">
        <v>25</v>
      </c>
      <c r="S557" s="7" t="str">
        <f>VLOOKUP(A557,Sheet2!$A$2:$R$3432,18,0)</f>
        <v/>
      </c>
      <c r="T557" s="7" t="str">
        <f>VLOOKUP(A557,Sheet2!$A$2:$R$3432,17,0)</f>
        <v>MBLJF32ABEGE18214</v>
      </c>
    </row>
    <row r="558" ht="15.75" customHeight="1">
      <c r="A558" s="3" t="s">
        <v>581</v>
      </c>
      <c r="B558" s="4" t="str">
        <f>VLOOKUP(A558,Sheet2!$A$2:$R$3432,2,0)</f>
        <v>2025-05-31 20:34:45</v>
      </c>
      <c r="C558" s="5" t="s">
        <v>25</v>
      </c>
      <c r="D558" s="6" t="s">
        <v>25</v>
      </c>
      <c r="E558" s="7">
        <f>VLOOKUP(A558,Sheet2!$A$2:$R$3432,4,0)</f>
        <v>9823143276</v>
      </c>
      <c r="F558" s="7" t="str">
        <f>VLOOKUP(A558,Sheet2!$A$2:$R$3432,3,0)</f>
        <v>PRAVIN ANJIKAR </v>
      </c>
      <c r="G558" s="5" t="s">
        <v>25</v>
      </c>
      <c r="H558" s="5" t="s">
        <v>25</v>
      </c>
      <c r="I558" s="5" t="s">
        <v>25</v>
      </c>
      <c r="J558" s="5" t="s">
        <v>25</v>
      </c>
      <c r="K558" s="7" t="str">
        <f>VLOOKUP(A558,Sheet2!$A$2:$R$3432,6,0)</f>
        <v>Hero Pleasure </v>
      </c>
      <c r="L558" s="5" t="s">
        <v>25</v>
      </c>
      <c r="M558" s="7" t="str">
        <f>VLOOKUP(A558,Sheet2!$A$2:$R$3432,5,0)</f>
        <v>MH49N1675</v>
      </c>
      <c r="N558" s="5" t="s">
        <v>25</v>
      </c>
      <c r="O558" s="5" t="s">
        <v>25</v>
      </c>
      <c r="P558" s="6" t="s">
        <v>25</v>
      </c>
      <c r="Q558" s="5" t="s">
        <v>25</v>
      </c>
      <c r="R558" s="5" t="s">
        <v>25</v>
      </c>
      <c r="S558" s="5" t="str">
        <f>VLOOKUP(A558,Sheet2!$A$2:$R$3432,18,0)</f>
        <v>JF16ECDGF21888</v>
      </c>
      <c r="T558" s="7" t="str">
        <f>VLOOKUP(A558,Sheet2!$A$2:$R$3432,17,0)</f>
        <v>MBLJF16EFDGF21534</v>
      </c>
    </row>
    <row r="559" ht="15.75" customHeight="1">
      <c r="A559" s="3" t="s">
        <v>582</v>
      </c>
      <c r="B559" s="4" t="str">
        <f>VLOOKUP(A559,Sheet2!$A$2:$R$3432,2,0)</f>
        <v>2025-05-31 20:37:49</v>
      </c>
      <c r="C559" s="5" t="s">
        <v>25</v>
      </c>
      <c r="D559" s="6" t="s">
        <v>25</v>
      </c>
      <c r="E559" s="7">
        <f>VLOOKUP(A559,Sheet2!$A$2:$R$3432,4,0)</f>
        <v>8208012478</v>
      </c>
      <c r="F559" s="7" t="str">
        <f>VLOOKUP(A559,Sheet2!$A$2:$R$3432,3,0)</f>
        <v>Niranjan Mane</v>
      </c>
      <c r="G559" s="5" t="s">
        <v>25</v>
      </c>
      <c r="H559" s="5" t="s">
        <v>25</v>
      </c>
      <c r="I559" s="5" t="s">
        <v>25</v>
      </c>
      <c r="J559" s="5" t="s">
        <v>25</v>
      </c>
      <c r="K559" s="7" t="str">
        <f>VLOOKUP(A559,Sheet2!$A$2:$R$3432,6,0)</f>
        <v>Honda Dream Yuga </v>
      </c>
      <c r="L559" s="5" t="s">
        <v>25</v>
      </c>
      <c r="M559" s="7" t="str">
        <f>VLOOKUP(A559,Sheet2!$A$2:$R$3432,5,0)</f>
        <v>MH14GM0981</v>
      </c>
      <c r="N559" s="5" t="s">
        <v>25</v>
      </c>
      <c r="O559" s="5" t="s">
        <v>25</v>
      </c>
      <c r="P559" s="6" t="s">
        <v>25</v>
      </c>
      <c r="Q559" s="5" t="s">
        <v>25</v>
      </c>
      <c r="R559" s="5" t="s">
        <v>25</v>
      </c>
      <c r="S559" s="5" t="str">
        <f>VLOOKUP(A559,Sheet2!$A$2:$R$3432,18,0)</f>
        <v>JC58ET6042721</v>
      </c>
      <c r="T559" s="7" t="str">
        <f>VLOOKUP(A559,Sheet2!$A$2:$R$3432,17,0)</f>
        <v>ME4JC58DHHT042683</v>
      </c>
    </row>
    <row r="560" ht="15.75" customHeight="1">
      <c r="A560" s="3" t="s">
        <v>583</v>
      </c>
      <c r="B560" s="4" t="str">
        <f>VLOOKUP(A560,Sheet2!$A$2:$R$3432,2,0)</f>
        <v>2025-05-31 20:35:02</v>
      </c>
      <c r="C560" s="5" t="s">
        <v>25</v>
      </c>
      <c r="D560" s="6" t="s">
        <v>25</v>
      </c>
      <c r="E560" s="7">
        <f>VLOOKUP(A560,Sheet2!$A$2:$R$3432,4,0)</f>
        <v>8600002360</v>
      </c>
      <c r="F560" s="7" t="str">
        <f>VLOOKUP(A560,Sheet2!$A$2:$R$3432,3,0)</f>
        <v>Rahul Kulkarni </v>
      </c>
      <c r="G560" s="5" t="s">
        <v>25</v>
      </c>
      <c r="H560" s="5" t="s">
        <v>25</v>
      </c>
      <c r="I560" s="5" t="s">
        <v>25</v>
      </c>
      <c r="J560" s="5" t="s">
        <v>25</v>
      </c>
      <c r="K560" s="7" t="str">
        <f>VLOOKUP(A560,Sheet2!$A$2:$R$3432,6,0)</f>
        <v>Hero Pleasure </v>
      </c>
      <c r="L560" s="5" t="s">
        <v>25</v>
      </c>
      <c r="M560" s="7" t="str">
        <f>VLOOKUP(A560,Sheet2!$A$2:$R$3432,5,0)</f>
        <v>MH20BH4994</v>
      </c>
      <c r="N560" s="5" t="s">
        <v>25</v>
      </c>
      <c r="O560" s="5" t="s">
        <v>25</v>
      </c>
      <c r="P560" s="6" t="s">
        <v>25</v>
      </c>
      <c r="Q560" s="5" t="s">
        <v>25</v>
      </c>
      <c r="R560" s="5" t="s">
        <v>25</v>
      </c>
      <c r="S560" s="7" t="str">
        <f>VLOOKUP(A560,Sheet2!$A$2:$R$3432,18,0)</f>
        <v/>
      </c>
      <c r="T560" s="7" t="str">
        <f>VLOOKUP(A560,Sheet2!$A$2:$R$3432,17,0)</f>
        <v/>
      </c>
    </row>
    <row r="561" ht="15.75" customHeight="1">
      <c r="A561" s="3" t="s">
        <v>584</v>
      </c>
      <c r="B561" s="4" t="str">
        <f>VLOOKUP(A561,Sheet2!$A$2:$R$3432,2,0)</f>
        <v>2025-05-31 20:35:20</v>
      </c>
      <c r="C561" s="5" t="s">
        <v>25</v>
      </c>
      <c r="D561" s="6" t="s">
        <v>25</v>
      </c>
      <c r="E561" s="7">
        <f>VLOOKUP(A561,Sheet2!$A$2:$R$3432,4,0)</f>
        <v>9619865191</v>
      </c>
      <c r="F561" s="7" t="str">
        <f>VLOOKUP(A561,Sheet2!$A$2:$R$3432,3,0)</f>
        <v>NARAYAN </v>
      </c>
      <c r="G561" s="5" t="s">
        <v>25</v>
      </c>
      <c r="H561" s="5" t="s">
        <v>25</v>
      </c>
      <c r="I561" s="5" t="s">
        <v>25</v>
      </c>
      <c r="J561" s="5" t="s">
        <v>25</v>
      </c>
      <c r="K561" s="7" t="str">
        <f>VLOOKUP(A561,Sheet2!$A$2:$R$3432,6,0)</f>
        <v>Hero Splendor Pro</v>
      </c>
      <c r="L561" s="5" t="s">
        <v>25</v>
      </c>
      <c r="M561" s="7" t="str">
        <f>VLOOKUP(A561,Sheet2!$A$2:$R$3432,5,0)</f>
        <v>MH12UL2247</v>
      </c>
      <c r="N561" s="5" t="s">
        <v>25</v>
      </c>
      <c r="O561" s="5" t="s">
        <v>25</v>
      </c>
      <c r="P561" s="6" t="s">
        <v>25</v>
      </c>
      <c r="Q561" s="5" t="s">
        <v>25</v>
      </c>
      <c r="R561" s="5" t="s">
        <v>25</v>
      </c>
      <c r="S561" s="5" t="str">
        <f>VLOOKUP(A561,Sheet2!$A$2:$R$3432,18,0)</f>
        <v>HA11EAN4F16749</v>
      </c>
      <c r="T561" s="7" t="str">
        <f>VLOOKUP(A561,Sheet2!$A$2:$R$3432,17,0)</f>
        <v>MBLHA12175N4F14279</v>
      </c>
    </row>
    <row r="562" ht="15.75" customHeight="1">
      <c r="A562" s="3" t="s">
        <v>585</v>
      </c>
      <c r="B562" s="4" t="str">
        <f>VLOOKUP(A562,Sheet2!$A$2:$R$3432,2,0)</f>
        <v>2025-05-31 20:38:54</v>
      </c>
      <c r="C562" s="5" t="s">
        <v>25</v>
      </c>
      <c r="D562" s="6" t="s">
        <v>25</v>
      </c>
      <c r="E562" s="7">
        <f>VLOOKUP(A562,Sheet2!$A$2:$R$3432,4,0)</f>
        <v>8796861242</v>
      </c>
      <c r="F562" s="7" t="str">
        <f>VLOOKUP(A562,Sheet2!$A$2:$R$3432,3,0)</f>
        <v>Ketan</v>
      </c>
      <c r="G562" s="5" t="s">
        <v>25</v>
      </c>
      <c r="H562" s="5" t="s">
        <v>25</v>
      </c>
      <c r="I562" s="5" t="s">
        <v>25</v>
      </c>
      <c r="J562" s="5" t="s">
        <v>25</v>
      </c>
      <c r="K562" s="7" t="str">
        <f>VLOOKUP(A562,Sheet2!$A$2:$R$3432,6,0)</f>
        <v>Honda Shine </v>
      </c>
      <c r="L562" s="5" t="s">
        <v>25</v>
      </c>
      <c r="M562" s="7" t="str">
        <f>VLOOKUP(A562,Sheet2!$A$2:$R$3432,5,0)</f>
        <v>MH12KC3496</v>
      </c>
      <c r="N562" s="5" t="s">
        <v>25</v>
      </c>
      <c r="O562" s="5" t="s">
        <v>25</v>
      </c>
      <c r="P562" s="6" t="s">
        <v>25</v>
      </c>
      <c r="Q562" s="5" t="s">
        <v>25</v>
      </c>
      <c r="R562" s="5" t="s">
        <v>25</v>
      </c>
      <c r="S562" s="7" t="str">
        <f>VLOOKUP(A562,Sheet2!$A$2:$R$3432,18,0)</f>
        <v/>
      </c>
      <c r="T562" s="7" t="str">
        <f>VLOOKUP(A562,Sheet2!$A$2:$R$3432,17,0)</f>
        <v/>
      </c>
    </row>
    <row r="563" ht="15.75" customHeight="1">
      <c r="A563" s="3" t="s">
        <v>586</v>
      </c>
      <c r="B563" s="4" t="str">
        <f>VLOOKUP(A563,Sheet2!$A$2:$R$3432,2,0)</f>
        <v>2025-05-31 20:37:01</v>
      </c>
      <c r="C563" s="5" t="s">
        <v>25</v>
      </c>
      <c r="D563" s="6" t="s">
        <v>25</v>
      </c>
      <c r="E563" s="7">
        <f>VLOOKUP(A563,Sheet2!$A$2:$R$3432,4,0)</f>
        <v>7875503847</v>
      </c>
      <c r="F563" s="7" t="str">
        <f>VLOOKUP(A563,Sheet2!$A$2:$R$3432,3,0)</f>
        <v>PARIKSHIT </v>
      </c>
      <c r="G563" s="5" t="s">
        <v>25</v>
      </c>
      <c r="H563" s="5" t="s">
        <v>25</v>
      </c>
      <c r="I563" s="5" t="s">
        <v>25</v>
      </c>
      <c r="J563" s="5" t="s">
        <v>25</v>
      </c>
      <c r="K563" s="7" t="str">
        <f>VLOOKUP(A563,Sheet2!$A$2:$R$3432,6,0)</f>
        <v>Yamaha MT 15</v>
      </c>
      <c r="L563" s="5" t="s">
        <v>25</v>
      </c>
      <c r="M563" s="7" t="str">
        <f>VLOOKUP(A563,Sheet2!$A$2:$R$3432,5,0)</f>
        <v>MH14KX0808</v>
      </c>
      <c r="N563" s="5" t="s">
        <v>25</v>
      </c>
      <c r="O563" s="5" t="s">
        <v>25</v>
      </c>
      <c r="P563" s="6" t="s">
        <v>25</v>
      </c>
      <c r="Q563" s="5" t="s">
        <v>25</v>
      </c>
      <c r="R563" s="5" t="s">
        <v>25</v>
      </c>
      <c r="S563" s="7" t="str">
        <f>VLOOKUP(A563,Sheet2!$A$2:$R$3432,18,0)</f>
        <v/>
      </c>
      <c r="T563" s="7" t="str">
        <f>VLOOKUP(A563,Sheet2!$A$2:$R$3432,17,0)</f>
        <v/>
      </c>
    </row>
    <row r="564" ht="15.75" customHeight="1">
      <c r="A564" s="3" t="s">
        <v>587</v>
      </c>
      <c r="B564" s="4" t="str">
        <f>VLOOKUP(A564,Sheet2!$A$2:$R$3432,2,0)</f>
        <v>2025-05-31 20:35:53</v>
      </c>
      <c r="C564" s="5" t="s">
        <v>25</v>
      </c>
      <c r="D564" s="6" t="s">
        <v>25</v>
      </c>
      <c r="E564" s="7">
        <f>VLOOKUP(A564,Sheet2!$A$2:$R$3432,4,0)</f>
        <v>8484815480</v>
      </c>
      <c r="F564" s="7" t="str">
        <f>VLOOKUP(A564,Sheet2!$A$2:$R$3432,3,0)</f>
        <v>Ganesh Papat</v>
      </c>
      <c r="G564" s="5" t="s">
        <v>25</v>
      </c>
      <c r="H564" s="5" t="s">
        <v>25</v>
      </c>
      <c r="I564" s="5" t="s">
        <v>25</v>
      </c>
      <c r="J564" s="5" t="s">
        <v>25</v>
      </c>
      <c r="K564" s="7" t="str">
        <f>VLOOKUP(A564,Sheet2!$A$2:$R$3432,6,0)</f>
        <v>TVS Jupiter </v>
      </c>
      <c r="L564" s="5" t="s">
        <v>25</v>
      </c>
      <c r="M564" s="7" t="str">
        <f>VLOOKUP(A564,Sheet2!$A$2:$R$3432,5,0)</f>
        <v>MH14JZ2362</v>
      </c>
      <c r="N564" s="5" t="s">
        <v>25</v>
      </c>
      <c r="O564" s="5" t="s">
        <v>25</v>
      </c>
      <c r="P564" s="6" t="s">
        <v>25</v>
      </c>
      <c r="Q564" s="5" t="s">
        <v>25</v>
      </c>
      <c r="R564" s="5" t="s">
        <v>25</v>
      </c>
      <c r="S564" s="5" t="str">
        <f>VLOOKUP(A564,Sheet2!$A$2:$R$3432,18,0)</f>
        <v>EG5CN1000348</v>
      </c>
      <c r="T564" s="7" t="str">
        <f>VLOOKUP(A564,Sheet2!$A$2:$R$3432,17,0)</f>
        <v>MD626C650NC69266</v>
      </c>
    </row>
    <row r="565" ht="15.75" customHeight="1">
      <c r="A565" s="3" t="s">
        <v>588</v>
      </c>
      <c r="B565" s="4" t="str">
        <f>VLOOKUP(A565,Sheet2!$A$2:$R$3432,2,0)</f>
        <v>2025-05-31 20:32:19</v>
      </c>
      <c r="C565" s="5" t="s">
        <v>25</v>
      </c>
      <c r="D565" s="6" t="s">
        <v>25</v>
      </c>
      <c r="E565" s="7">
        <f>VLOOKUP(A565,Sheet2!$A$2:$R$3432,4,0)</f>
        <v>9727796920</v>
      </c>
      <c r="F565" s="7" t="str">
        <f>VLOOKUP(A565,Sheet2!$A$2:$R$3432,3,0)</f>
        <v>P K Mahapatra</v>
      </c>
      <c r="G565" s="5" t="s">
        <v>25</v>
      </c>
      <c r="H565" s="5" t="s">
        <v>25</v>
      </c>
      <c r="I565" s="5" t="s">
        <v>25</v>
      </c>
      <c r="J565" s="5" t="s">
        <v>25</v>
      </c>
      <c r="K565" s="7" t="str">
        <f>VLOOKUP(A565,Sheet2!$A$2:$R$3432,6,0)</f>
        <v>Honda Activa </v>
      </c>
      <c r="L565" s="5" t="s">
        <v>25</v>
      </c>
      <c r="M565" s="7" t="str">
        <f>VLOOKUP(A565,Sheet2!$A$2:$R$3432,5,0)</f>
        <v>MH12KH1517</v>
      </c>
      <c r="N565" s="5" t="s">
        <v>25</v>
      </c>
      <c r="O565" s="5" t="s">
        <v>25</v>
      </c>
      <c r="P565" s="6" t="s">
        <v>25</v>
      </c>
      <c r="Q565" s="5" t="s">
        <v>25</v>
      </c>
      <c r="R565" s="5" t="s">
        <v>25</v>
      </c>
      <c r="S565" s="5" t="str">
        <f>VLOOKUP(A565,Sheet2!$A$2:$R$3432,18,0)</f>
        <v>JF50E70410991</v>
      </c>
      <c r="T565" s="7" t="str">
        <f>VLOOKUP(A565,Sheet2!$A$2:$R$3432,17,0)</f>
        <v>RUSTY FRAME </v>
      </c>
    </row>
    <row r="566" ht="15.75" customHeight="1">
      <c r="A566" s="3" t="s">
        <v>589</v>
      </c>
      <c r="B566" s="4" t="str">
        <f>VLOOKUP(A566,Sheet2!$A$2:$R$3432,2,0)</f>
        <v>2025-05-31 20:34:17</v>
      </c>
      <c r="C566" s="5" t="s">
        <v>25</v>
      </c>
      <c r="D566" s="6" t="s">
        <v>25</v>
      </c>
      <c r="E566" s="7">
        <f>VLOOKUP(A566,Sheet2!$A$2:$R$3432,4,0)</f>
        <v>9960535250</v>
      </c>
      <c r="F566" s="7" t="str">
        <f>VLOOKUP(A566,Sheet2!$A$2:$R$3432,3,0)</f>
        <v>Akshay Naik</v>
      </c>
      <c r="G566" s="5" t="s">
        <v>25</v>
      </c>
      <c r="H566" s="5" t="s">
        <v>25</v>
      </c>
      <c r="I566" s="5" t="s">
        <v>25</v>
      </c>
      <c r="J566" s="5" t="s">
        <v>25</v>
      </c>
      <c r="K566" s="7" t="str">
        <f>VLOOKUP(A566,Sheet2!$A$2:$R$3432,6,0)</f>
        <v>Bajaj Pulsar 125</v>
      </c>
      <c r="L566" s="5" t="s">
        <v>25</v>
      </c>
      <c r="M566" s="7" t="str">
        <f>VLOOKUP(A566,Sheet2!$A$2:$R$3432,5,0)</f>
        <v>MH14JD8542</v>
      </c>
      <c r="N566" s="5" t="s">
        <v>25</v>
      </c>
      <c r="O566" s="5" t="s">
        <v>25</v>
      </c>
      <c r="P566" s="6" t="s">
        <v>25</v>
      </c>
      <c r="Q566" s="5" t="s">
        <v>25</v>
      </c>
      <c r="R566" s="5" t="s">
        <v>25</v>
      </c>
      <c r="S566" s="7" t="str">
        <f>VLOOKUP(A566,Sheet2!$A$2:$R$3432,18,0)</f>
        <v/>
      </c>
      <c r="T566" s="7" t="str">
        <f>VLOOKUP(A566,Sheet2!$A$2:$R$3432,17,0)</f>
        <v/>
      </c>
    </row>
    <row r="567" ht="15.75" customHeight="1">
      <c r="A567" s="3" t="s">
        <v>590</v>
      </c>
      <c r="B567" s="4" t="str">
        <f>VLOOKUP(A567,Sheet2!$A$2:$R$3432,2,0)</f>
        <v>2024-07-29 19:42:24</v>
      </c>
      <c r="C567" s="5" t="s">
        <v>25</v>
      </c>
      <c r="D567" s="6" t="s">
        <v>25</v>
      </c>
      <c r="E567" s="7">
        <f>VLOOKUP(A567,Sheet2!$A$2:$R$3432,4,0)</f>
        <v>7391050757</v>
      </c>
      <c r="F567" s="7" t="str">
        <f>VLOOKUP(A567,Sheet2!$A$2:$R$3432,3,0)</f>
        <v>GIRIDHAR </v>
      </c>
      <c r="G567" s="5" t="s">
        <v>25</v>
      </c>
      <c r="H567" s="5" t="s">
        <v>25</v>
      </c>
      <c r="I567" s="5" t="s">
        <v>25</v>
      </c>
      <c r="J567" s="5" t="s">
        <v>25</v>
      </c>
      <c r="K567" s="7" t="str">
        <f>VLOOKUP(A567,Sheet2!$A$2:$R$3432,6,0)</f>
        <v>Piaggio Vespa No Data</v>
      </c>
      <c r="L567" s="5" t="s">
        <v>25</v>
      </c>
      <c r="M567" s="7" t="str">
        <f>VLOOKUP(A567,Sheet2!$A$2:$R$3432,5,0)</f>
        <v>MH12MK9354</v>
      </c>
      <c r="N567" s="5" t="s">
        <v>25</v>
      </c>
      <c r="O567" s="5" t="s">
        <v>25</v>
      </c>
      <c r="P567" s="6" t="s">
        <v>25</v>
      </c>
      <c r="Q567" s="5" t="s">
        <v>25</v>
      </c>
      <c r="R567" s="5" t="s">
        <v>25</v>
      </c>
      <c r="S567" s="5" t="str">
        <f>VLOOKUP(A567,Sheet2!$A$2:$R$3432,18,0)</f>
        <v>ME419M115191</v>
      </c>
      <c r="T567" s="7" t="str">
        <f>VLOOKUP(A567,Sheet2!$A$2:$R$3432,17,0)</f>
        <v>MET000BATJ029662</v>
      </c>
    </row>
    <row r="568" ht="15.75" customHeight="1">
      <c r="A568" s="3" t="s">
        <v>591</v>
      </c>
      <c r="B568" s="4" t="str">
        <f>VLOOKUP(A568,Sheet2!$A$2:$R$3432,2,0)</f>
        <v>2024-07-29 18:40:13</v>
      </c>
      <c r="C568" s="5" t="s">
        <v>25</v>
      </c>
      <c r="D568" s="6" t="s">
        <v>25</v>
      </c>
      <c r="E568" s="7">
        <f>VLOOKUP(A568,Sheet2!$A$2:$R$3432,4,0)</f>
        <v>9022261342</v>
      </c>
      <c r="F568" s="7" t="str">
        <f>VLOOKUP(A568,Sheet2!$A$2:$R$3432,3,0)</f>
        <v>GANESH HANDARGULE</v>
      </c>
      <c r="G568" s="5" t="s">
        <v>25</v>
      </c>
      <c r="H568" s="5" t="s">
        <v>25</v>
      </c>
      <c r="I568" s="5" t="s">
        <v>25</v>
      </c>
      <c r="J568" s="5" t="s">
        <v>25</v>
      </c>
      <c r="K568" s="7" t="str">
        <f>VLOOKUP(A568,Sheet2!$A$2:$R$3432,6,0)</f>
        <v>TVS Star City +</v>
      </c>
      <c r="L568" s="5" t="s">
        <v>25</v>
      </c>
      <c r="M568" s="7" t="str">
        <f>VLOOKUP(A568,Sheet2!$A$2:$R$3432,5,0)</f>
        <v>MH20FA9052</v>
      </c>
      <c r="N568" s="5" t="s">
        <v>25</v>
      </c>
      <c r="O568" s="5" t="s">
        <v>25</v>
      </c>
      <c r="P568" s="6" t="s">
        <v>25</v>
      </c>
      <c r="Q568" s="5" t="s">
        <v>25</v>
      </c>
      <c r="R568" s="5" t="s">
        <v>25</v>
      </c>
      <c r="S568" s="5" t="str">
        <f>VLOOKUP(A568,Sheet2!$A$2:$R$3432,18,0)</f>
        <v>FF1GJ1973148</v>
      </c>
      <c r="T568" s="7" t="str">
        <f>VLOOKUP(A568,Sheet2!$A$2:$R$3432,17,0)</f>
        <v>MD625FF19JG04425</v>
      </c>
    </row>
    <row r="569" ht="15.75" customHeight="1">
      <c r="A569" s="3" t="s">
        <v>592</v>
      </c>
      <c r="B569" s="4" t="str">
        <f>VLOOKUP(A569,Sheet2!$A$2:$R$3432,2,0)</f>
        <v>2024-07-29 19:05:21</v>
      </c>
      <c r="C569" s="5" t="s">
        <v>25</v>
      </c>
      <c r="D569" s="6" t="s">
        <v>25</v>
      </c>
      <c r="E569" s="7">
        <f>VLOOKUP(A569,Sheet2!$A$2:$R$3432,4,0)</f>
        <v>9975668837</v>
      </c>
      <c r="F569" s="7" t="str">
        <f>VLOOKUP(A569,Sheet2!$A$2:$R$3432,3,0)</f>
        <v>Ravi Nair</v>
      </c>
      <c r="G569" s="5" t="s">
        <v>25</v>
      </c>
      <c r="H569" s="5" t="s">
        <v>25</v>
      </c>
      <c r="I569" s="5" t="s">
        <v>25</v>
      </c>
      <c r="J569" s="5" t="s">
        <v>25</v>
      </c>
      <c r="K569" s="7" t="str">
        <f>VLOOKUP(A569,Sheet2!$A$2:$R$3432,6,0)</f>
        <v>TVS Jupiter </v>
      </c>
      <c r="L569" s="5" t="s">
        <v>25</v>
      </c>
      <c r="M569" s="7" t="str">
        <f>VLOOKUP(A569,Sheet2!$A$2:$R$3432,5,0)</f>
        <v>MH14EB3240</v>
      </c>
      <c r="N569" s="5" t="s">
        <v>25</v>
      </c>
      <c r="O569" s="5" t="s">
        <v>25</v>
      </c>
      <c r="P569" s="6" t="s">
        <v>25</v>
      </c>
      <c r="Q569" s="5" t="s">
        <v>25</v>
      </c>
      <c r="R569" s="5" t="s">
        <v>25</v>
      </c>
      <c r="S569" s="7" t="str">
        <f>VLOOKUP(A569,Sheet2!$A$2:$R$3432,18,0)</f>
        <v/>
      </c>
      <c r="T569" s="7" t="str">
        <f>VLOOKUP(A569,Sheet2!$A$2:$R$3432,17,0)</f>
        <v/>
      </c>
    </row>
    <row r="570" ht="15.75" customHeight="1">
      <c r="A570" s="3" t="s">
        <v>593</v>
      </c>
      <c r="B570" s="4" t="str">
        <f>VLOOKUP(A570,Sheet2!$A$2:$R$3432,2,0)</f>
        <v>2024-07-29 18:36:14</v>
      </c>
      <c r="C570" s="5" t="s">
        <v>25</v>
      </c>
      <c r="D570" s="6" t="s">
        <v>25</v>
      </c>
      <c r="E570" s="7">
        <f>VLOOKUP(A570,Sheet2!$A$2:$R$3432,4,0)</f>
        <v>9890471821</v>
      </c>
      <c r="F570" s="7" t="str">
        <f>VLOOKUP(A570,Sheet2!$A$2:$R$3432,3,0)</f>
        <v>ANAND GUNDHECHA</v>
      </c>
      <c r="G570" s="5" t="s">
        <v>25</v>
      </c>
      <c r="H570" s="5" t="s">
        <v>25</v>
      </c>
      <c r="I570" s="5" t="s">
        <v>25</v>
      </c>
      <c r="J570" s="5" t="s">
        <v>25</v>
      </c>
      <c r="K570" s="7" t="str">
        <f>VLOOKUP(A570,Sheet2!$A$2:$R$3432,6,0)</f>
        <v>Honda Activa 125</v>
      </c>
      <c r="L570" s="5" t="s">
        <v>25</v>
      </c>
      <c r="M570" s="7" t="str">
        <f>VLOOKUP(A570,Sheet2!$A$2:$R$3432,5,0)</f>
        <v>MH14EN9002</v>
      </c>
      <c r="N570" s="5" t="s">
        <v>25</v>
      </c>
      <c r="O570" s="5" t="s">
        <v>25</v>
      </c>
      <c r="P570" s="6" t="s">
        <v>25</v>
      </c>
      <c r="Q570" s="5" t="s">
        <v>25</v>
      </c>
      <c r="R570" s="5" t="s">
        <v>25</v>
      </c>
      <c r="S570" s="7" t="str">
        <f>VLOOKUP(A570,Sheet2!$A$2:$R$3432,18,0)</f>
        <v/>
      </c>
      <c r="T570" s="7" t="str">
        <f>VLOOKUP(A570,Sheet2!$A$2:$R$3432,17,0)</f>
        <v/>
      </c>
    </row>
    <row r="571" ht="15.75" customHeight="1">
      <c r="A571" s="3" t="s">
        <v>594</v>
      </c>
      <c r="B571" s="4" t="str">
        <f>VLOOKUP(A571,Sheet2!$A$2:$R$3432,2,0)</f>
        <v>2024-07-29 12:16:48</v>
      </c>
      <c r="C571" s="5" t="s">
        <v>25</v>
      </c>
      <c r="D571" s="6" t="s">
        <v>25</v>
      </c>
      <c r="E571" s="7">
        <f>VLOOKUP(A571,Sheet2!$A$2:$R$3432,4,0)</f>
        <v>7875519284</v>
      </c>
      <c r="F571" s="7" t="str">
        <f>VLOOKUP(A571,Sheet2!$A$2:$R$3432,3,0)</f>
        <v>Varun</v>
      </c>
      <c r="G571" s="5" t="s">
        <v>25</v>
      </c>
      <c r="H571" s="5" t="s">
        <v>25</v>
      </c>
      <c r="I571" s="5" t="s">
        <v>25</v>
      </c>
      <c r="J571" s="5" t="s">
        <v>25</v>
      </c>
      <c r="K571" s="7" t="str">
        <f>VLOOKUP(A571,Sheet2!$A$2:$R$3432,6,0)</f>
        <v>Suzuki GS 150R</v>
      </c>
      <c r="L571" s="5" t="s">
        <v>25</v>
      </c>
      <c r="M571" s="7" t="str">
        <f>VLOOKUP(A571,Sheet2!$A$2:$R$3432,5,0)</f>
        <v>MH14CE7695</v>
      </c>
      <c r="N571" s="5" t="s">
        <v>25</v>
      </c>
      <c r="O571" s="5" t="s">
        <v>25</v>
      </c>
      <c r="P571" s="6" t="s">
        <v>25</v>
      </c>
      <c r="Q571" s="5" t="s">
        <v>25</v>
      </c>
      <c r="R571" s="5" t="s">
        <v>25</v>
      </c>
      <c r="S571" s="7" t="str">
        <f>VLOOKUP(A571,Sheet2!$A$2:$R$3432,18,0)</f>
        <v/>
      </c>
      <c r="T571" s="7" t="str">
        <f>VLOOKUP(A571,Sheet2!$A$2:$R$3432,17,0)</f>
        <v>RUSTY FRAME</v>
      </c>
    </row>
    <row r="572" ht="15.75" customHeight="1">
      <c r="A572" s="3" t="s">
        <v>595</v>
      </c>
      <c r="B572" s="4" t="str">
        <f>VLOOKUP(A572,Sheet2!$A$2:$R$3432,2,0)</f>
        <v>2024-07-29 18:38:37</v>
      </c>
      <c r="C572" s="5" t="s">
        <v>25</v>
      </c>
      <c r="D572" s="6" t="s">
        <v>25</v>
      </c>
      <c r="E572" s="7">
        <f>VLOOKUP(A572,Sheet2!$A$2:$R$3432,4,0)</f>
        <v>8793299989</v>
      </c>
      <c r="F572" s="7" t="str">
        <f>VLOOKUP(A572,Sheet2!$A$2:$R$3432,3,0)</f>
        <v>Naveen Kumar</v>
      </c>
      <c r="G572" s="5" t="s">
        <v>25</v>
      </c>
      <c r="H572" s="5" t="s">
        <v>25</v>
      </c>
      <c r="I572" s="5" t="s">
        <v>25</v>
      </c>
      <c r="J572" s="5" t="s">
        <v>25</v>
      </c>
      <c r="K572" s="7" t="str">
        <f>VLOOKUP(A572,Sheet2!$A$2:$R$3432,6,0)</f>
        <v>Hero Splendor Plus</v>
      </c>
      <c r="L572" s="5" t="s">
        <v>25</v>
      </c>
      <c r="M572" s="7" t="str">
        <f>VLOOKUP(A572,Sheet2!$A$2:$R$3432,5,0)</f>
        <v>MH14CE7395</v>
      </c>
      <c r="N572" s="5" t="s">
        <v>25</v>
      </c>
      <c r="O572" s="5" t="s">
        <v>25</v>
      </c>
      <c r="P572" s="6" t="s">
        <v>25</v>
      </c>
      <c r="Q572" s="5" t="s">
        <v>25</v>
      </c>
      <c r="R572" s="5" t="s">
        <v>25</v>
      </c>
      <c r="S572" s="5" t="str">
        <f>VLOOKUP(A572,Sheet2!$A$2:$R$3432,18,0)</f>
        <v>HA10EFA11F01874</v>
      </c>
      <c r="T572" s="7" t="str">
        <f>VLOOKUP(A572,Sheet2!$A$2:$R$3432,17,0)</f>
        <v>MBLHA10EZAHF00981</v>
      </c>
    </row>
    <row r="573" ht="15.75" customHeight="1">
      <c r="A573" s="3" t="s">
        <v>596</v>
      </c>
      <c r="B573" s="4" t="str">
        <f>VLOOKUP(A573,Sheet2!$A$2:$R$3432,2,0)</f>
        <v>2024-07-29 19:40:46</v>
      </c>
      <c r="C573" s="5" t="s">
        <v>25</v>
      </c>
      <c r="D573" s="6" t="s">
        <v>25</v>
      </c>
      <c r="E573" s="7">
        <f>VLOOKUP(A573,Sheet2!$A$2:$R$3432,4,0)</f>
        <v>8446092999</v>
      </c>
      <c r="F573" s="7" t="str">
        <f>VLOOKUP(A573,Sheet2!$A$2:$R$3432,3,0)</f>
        <v>Biradar</v>
      </c>
      <c r="G573" s="5" t="s">
        <v>25</v>
      </c>
      <c r="H573" s="5" t="s">
        <v>25</v>
      </c>
      <c r="I573" s="5" t="s">
        <v>25</v>
      </c>
      <c r="J573" s="5" t="s">
        <v>25</v>
      </c>
      <c r="K573" s="7" t="str">
        <f>VLOOKUP(A573,Sheet2!$A$2:$R$3432,6,0)</f>
        <v>Honda Dream Yuga </v>
      </c>
      <c r="L573" s="5" t="s">
        <v>25</v>
      </c>
      <c r="M573" s="7" t="str">
        <f>VLOOKUP(A573,Sheet2!$A$2:$R$3432,5,0)</f>
        <v>MH14HF6462</v>
      </c>
      <c r="N573" s="5" t="s">
        <v>25</v>
      </c>
      <c r="O573" s="5" t="s">
        <v>25</v>
      </c>
      <c r="P573" s="6" t="s">
        <v>25</v>
      </c>
      <c r="Q573" s="5" t="s">
        <v>25</v>
      </c>
      <c r="R573" s="5" t="s">
        <v>25</v>
      </c>
      <c r="S573" s="7" t="str">
        <f>VLOOKUP(A573,Sheet2!$A$2:$R$3432,18,0)</f>
        <v/>
      </c>
      <c r="T573" s="7" t="str">
        <f>VLOOKUP(A573,Sheet2!$A$2:$R$3432,17,0)</f>
        <v>ME4JC58EEJT044230</v>
      </c>
    </row>
    <row r="574" ht="15.75" customHeight="1">
      <c r="A574" s="3" t="s">
        <v>597</v>
      </c>
      <c r="B574" s="4" t="str">
        <f>VLOOKUP(A574,Sheet2!$A$2:$R$3432,2,0)</f>
        <v>2024-07-29 18:37:19</v>
      </c>
      <c r="C574" s="5" t="s">
        <v>25</v>
      </c>
      <c r="D574" s="6" t="s">
        <v>25</v>
      </c>
      <c r="E574" s="7">
        <f>VLOOKUP(A574,Sheet2!$A$2:$R$3432,4,0)</f>
        <v>9850127066</v>
      </c>
      <c r="F574" s="7" t="str">
        <f>VLOOKUP(A574,Sheet2!$A$2:$R$3432,3,0)</f>
        <v>Bhagvat Mashke</v>
      </c>
      <c r="G574" s="5" t="s">
        <v>25</v>
      </c>
      <c r="H574" s="5" t="s">
        <v>25</v>
      </c>
      <c r="I574" s="5" t="s">
        <v>25</v>
      </c>
      <c r="J574" s="5" t="s">
        <v>25</v>
      </c>
      <c r="K574" s="7" t="str">
        <f>VLOOKUP(A574,Sheet2!$A$2:$R$3432,6,0)</f>
        <v>Honda Shine 125</v>
      </c>
      <c r="L574" s="5" t="s">
        <v>25</v>
      </c>
      <c r="M574" s="7" t="str">
        <f>VLOOKUP(A574,Sheet2!$A$2:$R$3432,5,0)</f>
        <v>MH38AF7165</v>
      </c>
      <c r="N574" s="5" t="s">
        <v>25</v>
      </c>
      <c r="O574" s="5" t="s">
        <v>25</v>
      </c>
      <c r="P574" s="6" t="s">
        <v>25</v>
      </c>
      <c r="Q574" s="5" t="s">
        <v>25</v>
      </c>
      <c r="R574" s="5" t="s">
        <v>25</v>
      </c>
      <c r="S574" s="7" t="str">
        <f>VLOOKUP(A574,Sheet2!$A$2:$R$3432,18,0)</f>
        <v/>
      </c>
      <c r="T574" s="7" t="str">
        <f>VLOOKUP(A574,Sheet2!$A$2:$R$3432,17,0)</f>
        <v/>
      </c>
    </row>
    <row r="575" ht="15.75" customHeight="1">
      <c r="A575" s="3" t="s">
        <v>598</v>
      </c>
      <c r="B575" s="4" t="str">
        <f>VLOOKUP(A575,Sheet2!$A$2:$R$3432,2,0)</f>
        <v>2024-07-29 18:37:53</v>
      </c>
      <c r="C575" s="5" t="s">
        <v>25</v>
      </c>
      <c r="D575" s="6" t="s">
        <v>25</v>
      </c>
      <c r="E575" s="7">
        <f>VLOOKUP(A575,Sheet2!$A$2:$R$3432,4,0)</f>
        <v>9423349261</v>
      </c>
      <c r="F575" s="7" t="str">
        <f>VLOOKUP(A575,Sheet2!$A$2:$R$3432,3,0)</f>
        <v>Yash Karawat</v>
      </c>
      <c r="G575" s="5" t="s">
        <v>25</v>
      </c>
      <c r="H575" s="5" t="s">
        <v>25</v>
      </c>
      <c r="I575" s="5" t="s">
        <v>25</v>
      </c>
      <c r="J575" s="5" t="s">
        <v>25</v>
      </c>
      <c r="K575" s="7" t="str">
        <f>VLOOKUP(A575,Sheet2!$A$2:$R$3432,6,0)</f>
        <v>Honda Dazzler </v>
      </c>
      <c r="L575" s="5" t="s">
        <v>25</v>
      </c>
      <c r="M575" s="7" t="str">
        <f>VLOOKUP(A575,Sheet2!$A$2:$R$3432,5,0)</f>
        <v>KA19EC3479</v>
      </c>
      <c r="N575" s="5" t="s">
        <v>25</v>
      </c>
      <c r="O575" s="5" t="s">
        <v>25</v>
      </c>
      <c r="P575" s="6" t="s">
        <v>25</v>
      </c>
      <c r="Q575" s="5" t="s">
        <v>25</v>
      </c>
      <c r="R575" s="5" t="s">
        <v>25</v>
      </c>
      <c r="S575" s="5" t="str">
        <f>VLOOKUP(A575,Sheet2!$A$2:$R$3432,18,0)</f>
        <v>KC09E2032010</v>
      </c>
      <c r="T575" s="7" t="str">
        <f>VLOOKUP(A575,Sheet2!$A$2:$R$3432,17,0)</f>
        <v>ME4KC09AMA8032034</v>
      </c>
    </row>
    <row r="576" ht="15.75" customHeight="1">
      <c r="A576" s="3" t="s">
        <v>599</v>
      </c>
      <c r="B576" s="4" t="str">
        <f>VLOOKUP(A576,Sheet2!$A$2:$R$3432,2,0)</f>
        <v>2024-07-29 18:36:49</v>
      </c>
      <c r="C576" s="5" t="s">
        <v>25</v>
      </c>
      <c r="D576" s="6" t="s">
        <v>25</v>
      </c>
      <c r="E576" s="7">
        <f>VLOOKUP(A576,Sheet2!$A$2:$R$3432,4,0)</f>
        <v>9822338851</v>
      </c>
      <c r="F576" s="7" t="str">
        <f>VLOOKUP(A576,Sheet2!$A$2:$R$3432,3,0)</f>
        <v>SANDEEP DAPKE</v>
      </c>
      <c r="G576" s="5" t="s">
        <v>25</v>
      </c>
      <c r="H576" s="5" t="s">
        <v>25</v>
      </c>
      <c r="I576" s="5" t="s">
        <v>25</v>
      </c>
      <c r="J576" s="5" t="s">
        <v>25</v>
      </c>
      <c r="K576" s="7" t="str">
        <f>VLOOKUP(A576,Sheet2!$A$2:$R$3432,6,0)</f>
        <v>Yamaha Ray Z</v>
      </c>
      <c r="L576" s="5" t="s">
        <v>25</v>
      </c>
      <c r="M576" s="7" t="str">
        <f>VLOOKUP(A576,Sheet2!$A$2:$R$3432,5,0)</f>
        <v>MH14FY3450</v>
      </c>
      <c r="N576" s="5" t="s">
        <v>25</v>
      </c>
      <c r="O576" s="5" t="s">
        <v>25</v>
      </c>
      <c r="P576" s="6" t="s">
        <v>25</v>
      </c>
      <c r="Q576" s="5" t="s">
        <v>25</v>
      </c>
      <c r="R576" s="5" t="s">
        <v>25</v>
      </c>
      <c r="S576" s="7" t="str">
        <f>VLOOKUP(A576,Sheet2!$A$2:$R$3432,18,0)</f>
        <v/>
      </c>
      <c r="T576" s="7" t="str">
        <f>VLOOKUP(A576,Sheet2!$A$2:$R$3432,17,0)</f>
        <v/>
      </c>
    </row>
    <row r="577" ht="15.75" customHeight="1">
      <c r="A577" s="3" t="s">
        <v>600</v>
      </c>
      <c r="B577" s="4" t="str">
        <f>VLOOKUP(A577,Sheet2!$A$2:$R$3432,2,0)</f>
        <v>2024-12-16 20:22:26</v>
      </c>
      <c r="C577" s="5" t="s">
        <v>25</v>
      </c>
      <c r="D577" s="6" t="s">
        <v>25</v>
      </c>
      <c r="E577" s="7">
        <f>VLOOKUP(A577,Sheet2!$A$2:$R$3432,4,0)</f>
        <v>8898959509</v>
      </c>
      <c r="F577" s="7" t="str">
        <f>VLOOKUP(A577,Sheet2!$A$2:$R$3432,3,0)</f>
        <v>Shoyong</v>
      </c>
      <c r="G577" s="5" t="s">
        <v>25</v>
      </c>
      <c r="H577" s="5" t="s">
        <v>25</v>
      </c>
      <c r="I577" s="5" t="s">
        <v>25</v>
      </c>
      <c r="J577" s="5" t="s">
        <v>25</v>
      </c>
      <c r="K577" s="7" t="str">
        <f>VLOOKUP(A577,Sheet2!$A$2:$R$3432,6,0)</f>
        <v>Yamaha Fazer </v>
      </c>
      <c r="L577" s="5" t="s">
        <v>25</v>
      </c>
      <c r="M577" s="7" t="str">
        <f>VLOOKUP(A577,Sheet2!$A$2:$R$3432,5,0)</f>
        <v>MH01AZ0299</v>
      </c>
      <c r="N577" s="5" t="s">
        <v>25</v>
      </c>
      <c r="O577" s="5" t="s">
        <v>25</v>
      </c>
      <c r="P577" s="6" t="s">
        <v>25</v>
      </c>
      <c r="Q577" s="5" t="s">
        <v>25</v>
      </c>
      <c r="R577" s="5" t="s">
        <v>25</v>
      </c>
      <c r="S577" s="7" t="str">
        <f>VLOOKUP(A577,Sheet2!$A$2:$R$3432,18,0)</f>
        <v/>
      </c>
      <c r="T577" s="7" t="str">
        <f>VLOOKUP(A577,Sheet2!$A$2:$R$3432,17,0)</f>
        <v/>
      </c>
    </row>
    <row r="578" ht="15.75" customHeight="1">
      <c r="A578" s="3" t="s">
        <v>601</v>
      </c>
      <c r="B578" s="4" t="str">
        <f>VLOOKUP(A578,Sheet2!$A$2:$R$3432,2,0)</f>
        <v>2024-12-16 20:20:16</v>
      </c>
      <c r="C578" s="5" t="s">
        <v>25</v>
      </c>
      <c r="D578" s="6" t="s">
        <v>25</v>
      </c>
      <c r="E578" s="7">
        <f>VLOOKUP(A578,Sheet2!$A$2:$R$3432,4,0)</f>
        <v>8329675428</v>
      </c>
      <c r="F578" s="7" t="str">
        <f>VLOOKUP(A578,Sheet2!$A$2:$R$3432,3,0)</f>
        <v>Rohan Karekar</v>
      </c>
      <c r="G578" s="5" t="s">
        <v>25</v>
      </c>
      <c r="H578" s="5" t="s">
        <v>25</v>
      </c>
      <c r="I578" s="5" t="s">
        <v>25</v>
      </c>
      <c r="J578" s="5" t="s">
        <v>25</v>
      </c>
      <c r="K578" s="7" t="str">
        <f>VLOOKUP(A578,Sheet2!$A$2:$R$3432,6,0)</f>
        <v>Honda Activa 6G</v>
      </c>
      <c r="L578" s="5" t="s">
        <v>25</v>
      </c>
      <c r="M578" s="7" t="str">
        <f>VLOOKUP(A578,Sheet2!$A$2:$R$3432,5,0)</f>
        <v>MH17CP9694</v>
      </c>
      <c r="N578" s="5" t="s">
        <v>25</v>
      </c>
      <c r="O578" s="5" t="s">
        <v>25</v>
      </c>
      <c r="P578" s="6" t="s">
        <v>25</v>
      </c>
      <c r="Q578" s="5" t="s">
        <v>25</v>
      </c>
      <c r="R578" s="5" t="s">
        <v>25</v>
      </c>
      <c r="S578" s="5" t="str">
        <f>VLOOKUP(A578,Sheet2!$A$2:$R$3432,18,0)</f>
        <v>JF91EW260598</v>
      </c>
      <c r="T578" s="7" t="str">
        <f>VLOOKUP(A578,Sheet2!$A$2:$R$3432,17,0)</f>
        <v>ME4JF914AMW260436</v>
      </c>
    </row>
    <row r="579" ht="15.75" customHeight="1">
      <c r="A579" s="3" t="s">
        <v>602</v>
      </c>
      <c r="B579" s="4" t="str">
        <f>VLOOKUP(A579,Sheet2!$A$2:$R$3432,2,0)</f>
        <v>2024-12-16 19:38:46</v>
      </c>
      <c r="C579" s="5" t="s">
        <v>25</v>
      </c>
      <c r="D579" s="6" t="s">
        <v>25</v>
      </c>
      <c r="E579" s="7">
        <f>VLOOKUP(A579,Sheet2!$A$2:$R$3432,4,0)</f>
        <v>8550912046</v>
      </c>
      <c r="F579" s="7" t="str">
        <f>VLOOKUP(A579,Sheet2!$A$2:$R$3432,3,0)</f>
        <v>RAJ SHEKHAR SINGH </v>
      </c>
      <c r="G579" s="5" t="s">
        <v>25</v>
      </c>
      <c r="H579" s="5" t="s">
        <v>25</v>
      </c>
      <c r="I579" s="5" t="s">
        <v>25</v>
      </c>
      <c r="J579" s="5" t="s">
        <v>25</v>
      </c>
      <c r="K579" s="7" t="str">
        <f>VLOOKUP(A579,Sheet2!$A$2:$R$3432,6,0)</f>
        <v>Honda Activa 110</v>
      </c>
      <c r="L579" s="5" t="s">
        <v>25</v>
      </c>
      <c r="M579" s="7" t="str">
        <f>VLOOKUP(A579,Sheet2!$A$2:$R$3432,5,0)</f>
        <v>MH12KZ8696</v>
      </c>
      <c r="N579" s="5" t="s">
        <v>25</v>
      </c>
      <c r="O579" s="5" t="s">
        <v>25</v>
      </c>
      <c r="P579" s="6" t="s">
        <v>25</v>
      </c>
      <c r="Q579" s="5" t="s">
        <v>25</v>
      </c>
      <c r="R579" s="5" t="s">
        <v>25</v>
      </c>
      <c r="S579" s="7" t="str">
        <f>VLOOKUP(A579,Sheet2!$A$2:$R$3432,18,0)</f>
        <v/>
      </c>
      <c r="T579" s="7" t="str">
        <f>VLOOKUP(A579,Sheet2!$A$2:$R$3432,17,0)</f>
        <v/>
      </c>
    </row>
    <row r="580" ht="15.75" customHeight="1">
      <c r="A580" s="3" t="s">
        <v>603</v>
      </c>
      <c r="B580" s="4" t="str">
        <f>VLOOKUP(A580,Sheet2!$A$2:$R$3432,2,0)</f>
        <v>2024-12-16 19:39:21</v>
      </c>
      <c r="C580" s="5" t="s">
        <v>25</v>
      </c>
      <c r="D580" s="6" t="s">
        <v>25</v>
      </c>
      <c r="E580" s="7">
        <f>VLOOKUP(A580,Sheet2!$A$2:$R$3432,4,0)</f>
        <v>9511616301</v>
      </c>
      <c r="F580" s="7" t="str">
        <f>VLOOKUP(A580,Sheet2!$A$2:$R$3432,3,0)</f>
        <v>Amit</v>
      </c>
      <c r="G580" s="5" t="s">
        <v>25</v>
      </c>
      <c r="H580" s="5" t="s">
        <v>25</v>
      </c>
      <c r="I580" s="5" t="s">
        <v>25</v>
      </c>
      <c r="J580" s="5" t="s">
        <v>25</v>
      </c>
      <c r="K580" s="7" t="str">
        <f>VLOOKUP(A580,Sheet2!$A$2:$R$3432,6,0)</f>
        <v>TVS Scooty PEP</v>
      </c>
      <c r="L580" s="5" t="s">
        <v>25</v>
      </c>
      <c r="M580" s="7" t="str">
        <f>VLOOKUP(A580,Sheet2!$A$2:$R$3432,5,0)</f>
        <v>MH25AP1413</v>
      </c>
      <c r="N580" s="5" t="s">
        <v>25</v>
      </c>
      <c r="O580" s="5" t="s">
        <v>25</v>
      </c>
      <c r="P580" s="6" t="s">
        <v>25</v>
      </c>
      <c r="Q580" s="5" t="s">
        <v>25</v>
      </c>
      <c r="R580" s="5" t="s">
        <v>25</v>
      </c>
      <c r="S580" s="5" t="str">
        <f>VLOOKUP(A580,Sheet2!$A$2:$R$3432,18,0)</f>
        <v>AG3KJ2737015</v>
      </c>
      <c r="T580" s="7" t="str">
        <f>VLOOKUP(A580,Sheet2!$A$2:$R$3432,17,0)</f>
        <v>MD626AG36JZK41699</v>
      </c>
    </row>
    <row r="581" ht="15.75" customHeight="1">
      <c r="A581" s="3" t="s">
        <v>604</v>
      </c>
      <c r="B581" s="4" t="str">
        <f>VLOOKUP(A581,Sheet2!$A$2:$R$3432,2,0)</f>
        <v>2024-12-16 19:35:00</v>
      </c>
      <c r="C581" s="5" t="s">
        <v>25</v>
      </c>
      <c r="D581" s="6" t="s">
        <v>25</v>
      </c>
      <c r="E581" s="7">
        <f>VLOOKUP(A581,Sheet2!$A$2:$R$3432,4,0)</f>
        <v>8983377106</v>
      </c>
      <c r="F581" s="7" t="str">
        <f>VLOOKUP(A581,Sheet2!$A$2:$R$3432,3,0)</f>
        <v>Pankaj</v>
      </c>
      <c r="G581" s="5" t="s">
        <v>25</v>
      </c>
      <c r="H581" s="5" t="s">
        <v>25</v>
      </c>
      <c r="I581" s="5" t="s">
        <v>25</v>
      </c>
      <c r="J581" s="5" t="s">
        <v>25</v>
      </c>
      <c r="K581" s="7" t="str">
        <f>VLOOKUP(A581,Sheet2!$A$2:$R$3432,6,0)</f>
        <v>Bajaj Avenger 220 Street</v>
      </c>
      <c r="L581" s="5" t="s">
        <v>25</v>
      </c>
      <c r="M581" s="7" t="str">
        <f>VLOOKUP(A581,Sheet2!$A$2:$R$3432,5,0)</f>
        <v>MH14FP3799</v>
      </c>
      <c r="N581" s="5" t="s">
        <v>25</v>
      </c>
      <c r="O581" s="5" t="s">
        <v>25</v>
      </c>
      <c r="P581" s="6" t="s">
        <v>25</v>
      </c>
      <c r="Q581" s="5" t="s">
        <v>25</v>
      </c>
      <c r="R581" s="5" t="s">
        <v>25</v>
      </c>
      <c r="S581" s="7" t="str">
        <f>VLOOKUP(A581,Sheet2!$A$2:$R$3432,18,0)</f>
        <v/>
      </c>
      <c r="T581" s="7" t="str">
        <f>VLOOKUP(A581,Sheet2!$A$2:$R$3432,17,0)</f>
        <v>MDZA22EZ9GCA43386</v>
      </c>
    </row>
    <row r="582" ht="15.75" customHeight="1">
      <c r="A582" s="3" t="s">
        <v>605</v>
      </c>
      <c r="B582" s="4" t="str">
        <f>VLOOKUP(A582,Sheet2!$A$2:$R$3432,2,0)</f>
        <v>2024-12-16 20:36:04</v>
      </c>
      <c r="C582" s="5" t="s">
        <v>25</v>
      </c>
      <c r="D582" s="6" t="s">
        <v>25</v>
      </c>
      <c r="E582" s="7">
        <f>VLOOKUP(A582,Sheet2!$A$2:$R$3432,4,0)</f>
        <v>9158251319</v>
      </c>
      <c r="F582" s="7" t="str">
        <f>VLOOKUP(A582,Sheet2!$A$2:$R$3432,3,0)</f>
        <v>Prerna Joshi</v>
      </c>
      <c r="G582" s="5" t="s">
        <v>25</v>
      </c>
      <c r="H582" s="5" t="s">
        <v>25</v>
      </c>
      <c r="I582" s="5" t="s">
        <v>25</v>
      </c>
      <c r="J582" s="5" t="s">
        <v>25</v>
      </c>
      <c r="K582" s="7" t="str">
        <f>VLOOKUP(A582,Sheet2!$A$2:$R$3432,6,0)</f>
        <v>Honda Activa 6G</v>
      </c>
      <c r="L582" s="5" t="s">
        <v>25</v>
      </c>
      <c r="M582" s="7" t="str">
        <f>VLOOKUP(A582,Sheet2!$A$2:$R$3432,5,0)</f>
        <v>MH14JF4851</v>
      </c>
      <c r="N582" s="5" t="s">
        <v>25</v>
      </c>
      <c r="O582" s="5" t="s">
        <v>25</v>
      </c>
      <c r="P582" s="6" t="s">
        <v>25</v>
      </c>
      <c r="Q582" s="5" t="s">
        <v>25</v>
      </c>
      <c r="R582" s="5" t="s">
        <v>25</v>
      </c>
      <c r="S582" s="7" t="str">
        <f>VLOOKUP(A582,Sheet2!$A$2:$R$3432,18,0)</f>
        <v/>
      </c>
      <c r="T582" s="7" t="str">
        <f>VLOOKUP(A582,Sheet2!$A$2:$R$3432,17,0)</f>
        <v/>
      </c>
    </row>
    <row r="583" ht="15.75" customHeight="1">
      <c r="A583" s="3" t="s">
        <v>606</v>
      </c>
      <c r="B583" s="4" t="str">
        <f>VLOOKUP(A583,Sheet2!$A$2:$R$3432,2,0)</f>
        <v>2024-12-16 19:36:43</v>
      </c>
      <c r="C583" s="5" t="s">
        <v>25</v>
      </c>
      <c r="D583" s="6" t="s">
        <v>25</v>
      </c>
      <c r="E583" s="7">
        <f>VLOOKUP(A583,Sheet2!$A$2:$R$3432,4,0)</f>
        <v>9421897782</v>
      </c>
      <c r="F583" s="7" t="str">
        <f>VLOOKUP(A583,Sheet2!$A$2:$R$3432,3,0)</f>
        <v> Kamal Patil</v>
      </c>
      <c r="G583" s="5" t="s">
        <v>25</v>
      </c>
      <c r="H583" s="5" t="s">
        <v>25</v>
      </c>
      <c r="I583" s="5" t="s">
        <v>25</v>
      </c>
      <c r="J583" s="5" t="s">
        <v>25</v>
      </c>
      <c r="K583" s="7" t="str">
        <f>VLOOKUP(A583,Sheet2!$A$2:$R$3432,6,0)</f>
        <v>Honda Unicorn No Data</v>
      </c>
      <c r="L583" s="5" t="s">
        <v>25</v>
      </c>
      <c r="M583" s="7" t="str">
        <f>VLOOKUP(A583,Sheet2!$A$2:$R$3432,5,0)</f>
        <v>MH18BF4624</v>
      </c>
      <c r="N583" s="5" t="s">
        <v>25</v>
      </c>
      <c r="O583" s="5" t="s">
        <v>25</v>
      </c>
      <c r="P583" s="6" t="s">
        <v>25</v>
      </c>
      <c r="Q583" s="5" t="s">
        <v>25</v>
      </c>
      <c r="R583" s="5" t="s">
        <v>25</v>
      </c>
      <c r="S583" s="5" t="str">
        <f>VLOOKUP(A583,Sheet2!$A$2:$R$3432,18,0)</f>
        <v>KC31E80D84835</v>
      </c>
      <c r="T583" s="7" t="str">
        <f>VLOOKUP(A583,Sheet2!$A$2:$R$3432,17,0)</f>
        <v>ME4KC311HH8084766</v>
      </c>
    </row>
    <row r="584" ht="15.75" customHeight="1">
      <c r="A584" s="3" t="s">
        <v>607</v>
      </c>
      <c r="B584" s="4" t="str">
        <f>VLOOKUP(A584,Sheet2!$A$2:$R$3432,2,0)</f>
        <v>2024-12-16 19:13:47</v>
      </c>
      <c r="C584" s="5" t="s">
        <v>25</v>
      </c>
      <c r="D584" s="6" t="s">
        <v>25</v>
      </c>
      <c r="E584" s="7">
        <f>VLOOKUP(A584,Sheet2!$A$2:$R$3432,4,0)</f>
        <v>9970764342</v>
      </c>
      <c r="F584" s="7" t="str">
        <f>VLOOKUP(A584,Sheet2!$A$2:$R$3432,3,0)</f>
        <v>Abhishek Wagh</v>
      </c>
      <c r="G584" s="5" t="s">
        <v>25</v>
      </c>
      <c r="H584" s="5" t="s">
        <v>25</v>
      </c>
      <c r="I584" s="5" t="s">
        <v>25</v>
      </c>
      <c r="J584" s="5" t="s">
        <v>25</v>
      </c>
      <c r="K584" s="7" t="str">
        <f>VLOOKUP(A584,Sheet2!$A$2:$R$3432,6,0)</f>
        <v>Hero Passion </v>
      </c>
      <c r="L584" s="5" t="s">
        <v>25</v>
      </c>
      <c r="M584" s="7" t="str">
        <f>VLOOKUP(A584,Sheet2!$A$2:$R$3432,5,0)</f>
        <v>MH15CE9834</v>
      </c>
      <c r="N584" s="5" t="s">
        <v>25</v>
      </c>
      <c r="O584" s="5" t="s">
        <v>25</v>
      </c>
      <c r="P584" s="6" t="s">
        <v>25</v>
      </c>
      <c r="Q584" s="5" t="s">
        <v>25</v>
      </c>
      <c r="R584" s="5" t="s">
        <v>25</v>
      </c>
      <c r="S584" s="7" t="str">
        <f>VLOOKUP(A584,Sheet2!$A$2:$R$3432,18,0)</f>
        <v/>
      </c>
      <c r="T584" s="7" t="str">
        <f>VLOOKUP(A584,Sheet2!$A$2:$R$3432,17,0)</f>
        <v/>
      </c>
    </row>
    <row r="585" ht="15.75" customHeight="1">
      <c r="A585" s="3" t="s">
        <v>608</v>
      </c>
      <c r="B585" s="4" t="str">
        <f>VLOOKUP(A585,Sheet2!$A$2:$R$3432,2,0)</f>
        <v>2024-12-16 19:10:52</v>
      </c>
      <c r="C585" s="5" t="s">
        <v>25</v>
      </c>
      <c r="D585" s="6" t="s">
        <v>25</v>
      </c>
      <c r="E585" s="7">
        <f>VLOOKUP(A585,Sheet2!$A$2:$R$3432,4,0)</f>
        <v>7016813823</v>
      </c>
      <c r="F585" s="7" t="str">
        <f>VLOOKUP(A585,Sheet2!$A$2:$R$3432,3,0)</f>
        <v>Neha Shah</v>
      </c>
      <c r="G585" s="5" t="s">
        <v>25</v>
      </c>
      <c r="H585" s="5" t="s">
        <v>25</v>
      </c>
      <c r="I585" s="5" t="s">
        <v>25</v>
      </c>
      <c r="J585" s="5" t="s">
        <v>25</v>
      </c>
      <c r="K585" s="7" t="str">
        <f>VLOOKUP(A585,Sheet2!$A$2:$R$3432,6,0)</f>
        <v>Suzuki Access 125</v>
      </c>
      <c r="L585" s="5" t="s">
        <v>25</v>
      </c>
      <c r="M585" s="7" t="str">
        <f>VLOOKUP(A585,Sheet2!$A$2:$R$3432,5,0)</f>
        <v>MH14HL5742</v>
      </c>
      <c r="N585" s="5" t="s">
        <v>25</v>
      </c>
      <c r="O585" s="5" t="s">
        <v>25</v>
      </c>
      <c r="P585" s="6" t="s">
        <v>25</v>
      </c>
      <c r="Q585" s="5" t="s">
        <v>25</v>
      </c>
      <c r="R585" s="5" t="s">
        <v>25</v>
      </c>
      <c r="S585" s="7" t="str">
        <f>VLOOKUP(A585,Sheet2!$A$2:$R$3432,18,0)</f>
        <v/>
      </c>
      <c r="T585" s="7" t="str">
        <f>VLOOKUP(A585,Sheet2!$A$2:$R$3432,17,0)</f>
        <v/>
      </c>
    </row>
    <row r="586" ht="15.75" customHeight="1">
      <c r="A586" s="3" t="s">
        <v>609</v>
      </c>
      <c r="B586" s="4" t="str">
        <f>VLOOKUP(A586,Sheet2!$A$2:$R$3432,2,0)</f>
        <v>2024-12-16 19:11:42</v>
      </c>
      <c r="C586" s="5" t="s">
        <v>25</v>
      </c>
      <c r="D586" s="6" t="s">
        <v>25</v>
      </c>
      <c r="E586" s="7">
        <f>VLOOKUP(A586,Sheet2!$A$2:$R$3432,4,0)</f>
        <v>9766322412</v>
      </c>
      <c r="F586" s="7" t="str">
        <f>VLOOKUP(A586,Sheet2!$A$2:$R$3432,3,0)</f>
        <v>AJIT KORE</v>
      </c>
      <c r="G586" s="5" t="s">
        <v>25</v>
      </c>
      <c r="H586" s="5" t="s">
        <v>25</v>
      </c>
      <c r="I586" s="5" t="s">
        <v>25</v>
      </c>
      <c r="J586" s="5" t="s">
        <v>25</v>
      </c>
      <c r="K586" s="7" t="str">
        <f>VLOOKUP(A586,Sheet2!$A$2:$R$3432,6,0)</f>
        <v>TVS Wego </v>
      </c>
      <c r="L586" s="5" t="s">
        <v>25</v>
      </c>
      <c r="M586" s="7" t="str">
        <f>VLOOKUP(A586,Sheet2!$A$2:$R$3432,5,0)</f>
        <v>MH14FY5251</v>
      </c>
      <c r="N586" s="5" t="s">
        <v>25</v>
      </c>
      <c r="O586" s="5" t="s">
        <v>25</v>
      </c>
      <c r="P586" s="6" t="s">
        <v>25</v>
      </c>
      <c r="Q586" s="5" t="s">
        <v>25</v>
      </c>
      <c r="R586" s="5" t="s">
        <v>25</v>
      </c>
      <c r="S586" s="5" t="str">
        <f>VLOOKUP(A586,Sheet2!$A$2:$R$3432,18,0)</f>
        <v>DG4L19824391</v>
      </c>
      <c r="T586" s="7" t="str">
        <f>VLOOKUP(A586,Sheet2!$A$2:$R$3432,17,0)</f>
        <v>MD626AG40G1292755</v>
      </c>
    </row>
    <row r="587" ht="15.75" customHeight="1">
      <c r="A587" s="3" t="s">
        <v>610</v>
      </c>
      <c r="B587" s="4" t="str">
        <f>VLOOKUP(A587,Sheet2!$A$2:$R$3432,2,0)</f>
        <v>2024-12-16 19:12:23</v>
      </c>
      <c r="C587" s="5" t="s">
        <v>25</v>
      </c>
      <c r="D587" s="6" t="s">
        <v>25</v>
      </c>
      <c r="E587" s="7">
        <f>VLOOKUP(A587,Sheet2!$A$2:$R$3432,4,0)</f>
        <v>9820123108</v>
      </c>
      <c r="F587" s="7" t="str">
        <f>VLOOKUP(A587,Sheet2!$A$2:$R$3432,3,0)</f>
        <v>GANESH SURRYAWANSHI</v>
      </c>
      <c r="G587" s="5" t="s">
        <v>25</v>
      </c>
      <c r="H587" s="5" t="s">
        <v>25</v>
      </c>
      <c r="I587" s="5" t="s">
        <v>25</v>
      </c>
      <c r="J587" s="5" t="s">
        <v>25</v>
      </c>
      <c r="K587" s="7" t="str">
        <f>VLOOKUP(A587,Sheet2!$A$2:$R$3432,6,0)</f>
        <v>Honda Activa 110</v>
      </c>
      <c r="L587" s="5" t="s">
        <v>25</v>
      </c>
      <c r="M587" s="7" t="str">
        <f>VLOOKUP(A587,Sheet2!$A$2:$R$3432,5,0)</f>
        <v>MH14EG3730</v>
      </c>
      <c r="N587" s="5" t="s">
        <v>25</v>
      </c>
      <c r="O587" s="5" t="s">
        <v>25</v>
      </c>
      <c r="P587" s="6" t="s">
        <v>25</v>
      </c>
      <c r="Q587" s="5" t="s">
        <v>25</v>
      </c>
      <c r="R587" s="5" t="s">
        <v>25</v>
      </c>
      <c r="S587" s="5" t="str">
        <f>VLOOKUP(A587,Sheet2!$A$2:$R$3432,18,0)</f>
        <v>JF50E70596004</v>
      </c>
      <c r="T587" s="7" t="str">
        <f>VLOOKUP(A587,Sheet2!$A$2:$R$3432,17,0)</f>
        <v>ME4JF501B505098</v>
      </c>
    </row>
    <row r="588" ht="15.75" customHeight="1">
      <c r="A588" s="3" t="s">
        <v>611</v>
      </c>
      <c r="B588" s="4" t="str">
        <f>VLOOKUP(A588,Sheet2!$A$2:$R$3432,2,0)</f>
        <v>2024-12-16 19:34:44</v>
      </c>
      <c r="C588" s="5" t="s">
        <v>25</v>
      </c>
      <c r="D588" s="6" t="s">
        <v>25</v>
      </c>
      <c r="E588" s="7">
        <f>VLOOKUP(A588,Sheet2!$A$2:$R$3432,4,0)</f>
        <v>9922965047</v>
      </c>
      <c r="F588" s="7" t="str">
        <f>VLOOKUP(A588,Sheet2!$A$2:$R$3432,3,0)</f>
        <v>GIRISH KULKARNI </v>
      </c>
      <c r="G588" s="5" t="s">
        <v>25</v>
      </c>
      <c r="H588" s="5" t="s">
        <v>25</v>
      </c>
      <c r="I588" s="5" t="s">
        <v>25</v>
      </c>
      <c r="J588" s="5" t="s">
        <v>25</v>
      </c>
      <c r="K588" s="7" t="str">
        <f>VLOOKUP(A588,Sheet2!$A$2:$R$3432,6,0)</f>
        <v>TVS Scooty PEP</v>
      </c>
      <c r="L588" s="5" t="s">
        <v>25</v>
      </c>
      <c r="M588" s="7" t="str">
        <f>VLOOKUP(A588,Sheet2!$A$2:$R$3432,5,0)</f>
        <v>MH14CH0838</v>
      </c>
      <c r="N588" s="5" t="s">
        <v>25</v>
      </c>
      <c r="O588" s="5" t="s">
        <v>25</v>
      </c>
      <c r="P588" s="6" t="s">
        <v>25</v>
      </c>
      <c r="Q588" s="5" t="s">
        <v>25</v>
      </c>
      <c r="R588" s="5" t="s">
        <v>25</v>
      </c>
      <c r="S588" s="5" t="str">
        <f>VLOOKUP(A588,Sheet2!$A$2:$R$3432,18,0)</f>
        <v>063KA2255339</v>
      </c>
      <c r="T588" s="7" t="str">
        <f>VLOOKUP(A588,Sheet2!$A$2:$R$3432,17,0)</f>
        <v>MD626BG63A2K60263</v>
      </c>
    </row>
    <row r="589" ht="15.75" customHeight="1">
      <c r="A589" s="3" t="s">
        <v>612</v>
      </c>
      <c r="B589" s="4" t="str">
        <f>VLOOKUP(A589,Sheet2!$A$2:$R$3432,2,0)</f>
        <v>2024-12-16 19:35:25</v>
      </c>
      <c r="C589" s="5" t="s">
        <v>25</v>
      </c>
      <c r="D589" s="6" t="s">
        <v>25</v>
      </c>
      <c r="E589" s="7">
        <f>VLOOKUP(A589,Sheet2!$A$2:$R$3432,4,0)</f>
        <v>8983836822</v>
      </c>
      <c r="F589" s="7" t="str">
        <f>VLOOKUP(A589,Sheet2!$A$2:$R$3432,3,0)</f>
        <v>Omkar Joshi </v>
      </c>
      <c r="G589" s="5" t="s">
        <v>25</v>
      </c>
      <c r="H589" s="5" t="s">
        <v>25</v>
      </c>
      <c r="I589" s="5" t="s">
        <v>25</v>
      </c>
      <c r="J589" s="5" t="s">
        <v>25</v>
      </c>
      <c r="K589" s="7" t="str">
        <f>VLOOKUP(A589,Sheet2!$A$2:$R$3432,6,0)</f>
        <v>TVS Jupiter </v>
      </c>
      <c r="L589" s="5" t="s">
        <v>25</v>
      </c>
      <c r="M589" s="7" t="str">
        <f>VLOOKUP(A589,Sheet2!$A$2:$R$3432,5,0)</f>
        <v>MH14KK9064</v>
      </c>
      <c r="N589" s="5" t="s">
        <v>25</v>
      </c>
      <c r="O589" s="5" t="s">
        <v>25</v>
      </c>
      <c r="P589" s="6" t="s">
        <v>25</v>
      </c>
      <c r="Q589" s="5" t="s">
        <v>25</v>
      </c>
      <c r="R589" s="5" t="s">
        <v>25</v>
      </c>
      <c r="S589" s="5" t="str">
        <f>VLOOKUP(A589,Sheet2!$A$2:$R$3432,18,0)</f>
        <v>DG5LN1X03780</v>
      </c>
      <c r="T589" s="7" t="str">
        <f>VLOOKUP(A589,Sheet2!$A$2:$R$3432,17,0)</f>
        <v>MD626G5XNL13299</v>
      </c>
    </row>
    <row r="590" ht="15.75" customHeight="1">
      <c r="A590" s="3" t="s">
        <v>613</v>
      </c>
      <c r="B590" s="4" t="str">
        <f>VLOOKUP(A590,Sheet2!$A$2:$R$3432,2,0)</f>
        <v>2024-12-16 19:36:00</v>
      </c>
      <c r="C590" s="5" t="s">
        <v>25</v>
      </c>
      <c r="D590" s="6" t="s">
        <v>25</v>
      </c>
      <c r="E590" s="7">
        <f>VLOOKUP(A590,Sheet2!$A$2:$R$3432,4,0)</f>
        <v>8847397385</v>
      </c>
      <c r="F590" s="7" t="str">
        <f>VLOOKUP(A590,Sheet2!$A$2:$R$3432,3,0)</f>
        <v>Krish</v>
      </c>
      <c r="G590" s="5" t="s">
        <v>25</v>
      </c>
      <c r="H590" s="5" t="s">
        <v>25</v>
      </c>
      <c r="I590" s="5" t="s">
        <v>25</v>
      </c>
      <c r="J590" s="5" t="s">
        <v>25</v>
      </c>
      <c r="K590" s="7" t="str">
        <f>VLOOKUP(A590,Sheet2!$A$2:$R$3432,6,0)</f>
        <v>TVS Apache 160 4V</v>
      </c>
      <c r="L590" s="5" t="s">
        <v>25</v>
      </c>
      <c r="M590" s="7" t="str">
        <f>VLOOKUP(A590,Sheet2!$A$2:$R$3432,5,0)</f>
        <v>MH12SN0844</v>
      </c>
      <c r="N590" s="5" t="s">
        <v>25</v>
      </c>
      <c r="O590" s="5" t="s">
        <v>25</v>
      </c>
      <c r="P590" s="6" t="s">
        <v>25</v>
      </c>
      <c r="Q590" s="5" t="s">
        <v>25</v>
      </c>
      <c r="R590" s="5" t="s">
        <v>25</v>
      </c>
      <c r="S590" s="7" t="str">
        <f>VLOOKUP(A590,Sheet2!$A$2:$R$3432,18,0)</f>
        <v/>
      </c>
      <c r="T590" s="7" t="str">
        <f>VLOOKUP(A590,Sheet2!$A$2:$R$3432,17,0)</f>
        <v/>
      </c>
    </row>
    <row r="591" ht="15.75" customHeight="1">
      <c r="A591" s="3" t="s">
        <v>614</v>
      </c>
      <c r="B591" s="4" t="str">
        <f>VLOOKUP(A591,Sheet2!$A$2:$R$3432,2,0)</f>
        <v>2024-12-16 19:37:17</v>
      </c>
      <c r="C591" s="5" t="s">
        <v>25</v>
      </c>
      <c r="D591" s="6" t="s">
        <v>25</v>
      </c>
      <c r="E591" s="7">
        <f>VLOOKUP(A591,Sheet2!$A$2:$R$3432,4,0)</f>
        <v>7517570433</v>
      </c>
      <c r="F591" s="7" t="str">
        <f>VLOOKUP(A591,Sheet2!$A$2:$R$3432,3,0)</f>
        <v>AKASH KUMAR </v>
      </c>
      <c r="G591" s="5" t="s">
        <v>25</v>
      </c>
      <c r="H591" s="5" t="s">
        <v>25</v>
      </c>
      <c r="I591" s="5" t="s">
        <v>25</v>
      </c>
      <c r="J591" s="5" t="s">
        <v>25</v>
      </c>
      <c r="K591" s="7" t="str">
        <f>VLOOKUP(A591,Sheet2!$A$2:$R$3432,6,0)</f>
        <v>Yamaha Aerox 155</v>
      </c>
      <c r="L591" s="5" t="s">
        <v>25</v>
      </c>
      <c r="M591" s="7" t="str">
        <f>VLOOKUP(A591,Sheet2!$A$2:$R$3432,5,0)</f>
        <v>MH12UR1265</v>
      </c>
      <c r="N591" s="5" t="s">
        <v>25</v>
      </c>
      <c r="O591" s="5" t="s">
        <v>25</v>
      </c>
      <c r="P591" s="6" t="s">
        <v>25</v>
      </c>
      <c r="Q591" s="5" t="s">
        <v>25</v>
      </c>
      <c r="R591" s="5" t="s">
        <v>25</v>
      </c>
      <c r="S591" s="5" t="str">
        <f>VLOOKUP(A591,Sheet2!$A$2:$R$3432,18,0)</f>
        <v>G3R8E0011276</v>
      </c>
      <c r="T591" s="7" t="str">
        <f>VLOOKUP(A591,Sheet2!$A$2:$R$3432,17,0)</f>
        <v>ME1SG751N0074120</v>
      </c>
    </row>
    <row r="592" ht="15.75" customHeight="1">
      <c r="A592" s="3" t="s">
        <v>615</v>
      </c>
      <c r="B592" s="4" t="str">
        <f>VLOOKUP(A592,Sheet2!$A$2:$R$3432,2,0)</f>
        <v>2024-12-16 19:37:43</v>
      </c>
      <c r="C592" s="5" t="s">
        <v>25</v>
      </c>
      <c r="D592" s="6" t="s">
        <v>25</v>
      </c>
      <c r="E592" s="7">
        <f>VLOOKUP(A592,Sheet2!$A$2:$R$3432,4,0)</f>
        <v>8446920482</v>
      </c>
      <c r="F592" s="7" t="str">
        <f>VLOOKUP(A592,Sheet2!$A$2:$R$3432,3,0)</f>
        <v>Samiksha Shelke</v>
      </c>
      <c r="G592" s="5" t="s">
        <v>25</v>
      </c>
      <c r="H592" s="5" t="s">
        <v>25</v>
      </c>
      <c r="I592" s="5" t="s">
        <v>25</v>
      </c>
      <c r="J592" s="5" t="s">
        <v>25</v>
      </c>
      <c r="K592" s="7" t="str">
        <f>VLOOKUP(A592,Sheet2!$A$2:$R$3432,6,0)</f>
        <v>Honda Activa 3G</v>
      </c>
      <c r="L592" s="5" t="s">
        <v>25</v>
      </c>
      <c r="M592" s="7" t="str">
        <f>VLOOKUP(A592,Sheet2!$A$2:$R$3432,5,0)</f>
        <v>MH05DB9981</v>
      </c>
      <c r="N592" s="5" t="s">
        <v>25</v>
      </c>
      <c r="O592" s="5" t="s">
        <v>25</v>
      </c>
      <c r="P592" s="6" t="s">
        <v>25</v>
      </c>
      <c r="Q592" s="5" t="s">
        <v>25</v>
      </c>
      <c r="R592" s="5" t="s">
        <v>25</v>
      </c>
      <c r="S592" s="7" t="str">
        <f>VLOOKUP(A592,Sheet2!$A$2:$R$3432,18,0)</f>
        <v/>
      </c>
      <c r="T592" s="7" t="str">
        <f>VLOOKUP(A592,Sheet2!$A$2:$R$3432,17,0)</f>
        <v/>
      </c>
    </row>
    <row r="593" ht="15.75" customHeight="1">
      <c r="A593" s="3" t="s">
        <v>616</v>
      </c>
      <c r="B593" s="4" t="str">
        <f>VLOOKUP(A593,Sheet2!$A$2:$R$3432,2,0)</f>
        <v>2024-12-16 20:19:58</v>
      </c>
      <c r="C593" s="5" t="s">
        <v>25</v>
      </c>
      <c r="D593" s="6" t="s">
        <v>25</v>
      </c>
      <c r="E593" s="7">
        <f>VLOOKUP(A593,Sheet2!$A$2:$R$3432,4,0)</f>
        <v>7350307227</v>
      </c>
      <c r="F593" s="7" t="str">
        <f>VLOOKUP(A593,Sheet2!$A$2:$R$3432,3,0)</f>
        <v>Arjun Chandane</v>
      </c>
      <c r="G593" s="5" t="s">
        <v>25</v>
      </c>
      <c r="H593" s="5" t="s">
        <v>25</v>
      </c>
      <c r="I593" s="5" t="s">
        <v>25</v>
      </c>
      <c r="J593" s="5" t="s">
        <v>25</v>
      </c>
      <c r="K593" s="7" t="str">
        <f>VLOOKUP(A593,Sheet2!$A$2:$R$3432,6,0)</f>
        <v>Honda Activa 4G</v>
      </c>
      <c r="L593" s="5" t="s">
        <v>25</v>
      </c>
      <c r="M593" s="7" t="str">
        <f>VLOOKUP(A593,Sheet2!$A$2:$R$3432,5,0)</f>
        <v>MH12QJ9456</v>
      </c>
      <c r="N593" s="5" t="s">
        <v>25</v>
      </c>
      <c r="O593" s="5" t="s">
        <v>25</v>
      </c>
      <c r="P593" s="6" t="s">
        <v>25</v>
      </c>
      <c r="Q593" s="5" t="s">
        <v>25</v>
      </c>
      <c r="R593" s="5" t="s">
        <v>25</v>
      </c>
      <c r="S593" s="7" t="str">
        <f>VLOOKUP(A593,Sheet2!$A$2:$R$3432,18,0)</f>
        <v/>
      </c>
      <c r="T593" s="7" t="str">
        <f>VLOOKUP(A593,Sheet2!$A$2:$R$3432,17,0)</f>
        <v/>
      </c>
    </row>
    <row r="594" ht="15.75" customHeight="1">
      <c r="A594" s="3" t="s">
        <v>617</v>
      </c>
      <c r="B594" s="4" t="str">
        <f>VLOOKUP(A594,Sheet2!$A$2:$R$3432,2,0)</f>
        <v>2024-12-16 20:20:45</v>
      </c>
      <c r="C594" s="5" t="s">
        <v>25</v>
      </c>
      <c r="D594" s="6" t="s">
        <v>25</v>
      </c>
      <c r="E594" s="7">
        <f>VLOOKUP(A594,Sheet2!$A$2:$R$3432,4,0)</f>
        <v>9947668473</v>
      </c>
      <c r="F594" s="7" t="str">
        <f>VLOOKUP(A594,Sheet2!$A$2:$R$3432,3,0)</f>
        <v>Jaike</v>
      </c>
      <c r="G594" s="5" t="s">
        <v>25</v>
      </c>
      <c r="H594" s="5" t="s">
        <v>25</v>
      </c>
      <c r="I594" s="5" t="s">
        <v>25</v>
      </c>
      <c r="J594" s="5" t="s">
        <v>25</v>
      </c>
      <c r="K594" s="7" t="str">
        <f>VLOOKUP(A594,Sheet2!$A$2:$R$3432,6,0)</f>
        <v>Suzuki Gixxer </v>
      </c>
      <c r="L594" s="5" t="s">
        <v>25</v>
      </c>
      <c r="M594" s="7" t="str">
        <f>VLOOKUP(A594,Sheet2!$A$2:$R$3432,5,0)</f>
        <v>MH12MK9913</v>
      </c>
      <c r="N594" s="5" t="s">
        <v>25</v>
      </c>
      <c r="O594" s="5" t="s">
        <v>25</v>
      </c>
      <c r="P594" s="6" t="s">
        <v>25</v>
      </c>
      <c r="Q594" s="5" t="s">
        <v>25</v>
      </c>
      <c r="R594" s="5" t="s">
        <v>25</v>
      </c>
      <c r="S594" s="7" t="str">
        <f>VLOOKUP(A594,Sheet2!$A$2:$R$3432,18,0)</f>
        <v/>
      </c>
      <c r="T594" s="7" t="str">
        <f>VLOOKUP(A594,Sheet2!$A$2:$R$3432,17,0)</f>
        <v/>
      </c>
    </row>
    <row r="595" ht="15.75" customHeight="1">
      <c r="A595" s="3" t="s">
        <v>618</v>
      </c>
      <c r="B595" s="4" t="str">
        <f>VLOOKUP(A595,Sheet2!$A$2:$R$3432,2,0)</f>
        <v>2024-12-16 20:17:57</v>
      </c>
      <c r="C595" s="5" t="s">
        <v>25</v>
      </c>
      <c r="D595" s="6" t="s">
        <v>25</v>
      </c>
      <c r="E595" s="7">
        <f>VLOOKUP(A595,Sheet2!$A$2:$R$3432,4,0)</f>
        <v>9172460437</v>
      </c>
      <c r="F595" s="7" t="str">
        <f>VLOOKUP(A595,Sheet2!$A$2:$R$3432,3,0)</f>
        <v>Tarun</v>
      </c>
      <c r="G595" s="5" t="s">
        <v>25</v>
      </c>
      <c r="H595" s="5" t="s">
        <v>25</v>
      </c>
      <c r="I595" s="5" t="s">
        <v>25</v>
      </c>
      <c r="J595" s="5" t="s">
        <v>25</v>
      </c>
      <c r="K595" s="7" t="str">
        <f>VLOOKUP(A595,Sheet2!$A$2:$R$3432,6,0)</f>
        <v>Yamaha Fascino </v>
      </c>
      <c r="L595" s="5" t="s">
        <v>25</v>
      </c>
      <c r="M595" s="7" t="str">
        <f>VLOOKUP(A595,Sheet2!$A$2:$R$3432,5,0)</f>
        <v>MH12PB9345</v>
      </c>
      <c r="N595" s="5" t="s">
        <v>25</v>
      </c>
      <c r="O595" s="5" t="s">
        <v>25</v>
      </c>
      <c r="P595" s="6" t="s">
        <v>25</v>
      </c>
      <c r="Q595" s="5" t="s">
        <v>25</v>
      </c>
      <c r="R595" s="5" t="s">
        <v>25</v>
      </c>
      <c r="S595" s="7" t="str">
        <f>VLOOKUP(A595,Sheet2!$A$2:$R$3432,18,0)</f>
        <v/>
      </c>
      <c r="T595" s="7" t="str">
        <f>VLOOKUP(A595,Sheet2!$A$2:$R$3432,17,0)</f>
        <v/>
      </c>
    </row>
    <row r="596" ht="15.75" customHeight="1">
      <c r="A596" s="3" t="s">
        <v>619</v>
      </c>
      <c r="B596" s="4" t="str">
        <f>VLOOKUP(A596,Sheet2!$A$2:$R$3432,2,0)</f>
        <v>2024-12-28 17:23:04</v>
      </c>
      <c r="C596" s="5" t="s">
        <v>25</v>
      </c>
      <c r="D596" s="6" t="s">
        <v>25</v>
      </c>
      <c r="E596" s="7">
        <f>VLOOKUP(A596,Sheet2!$A$2:$R$3432,4,0)</f>
        <v>9727754606</v>
      </c>
      <c r="F596" s="7" t="str">
        <f>VLOOKUP(A596,Sheet2!$A$2:$R$3432,3,0)</f>
        <v>Ajit Vaidya</v>
      </c>
      <c r="G596" s="5" t="s">
        <v>25</v>
      </c>
      <c r="H596" s="5" t="s">
        <v>25</v>
      </c>
      <c r="I596" s="5" t="s">
        <v>25</v>
      </c>
      <c r="J596" s="5" t="s">
        <v>25</v>
      </c>
      <c r="K596" s="7" t="str">
        <f>VLOOKUP(A596,Sheet2!$A$2:$R$3432,6,0)</f>
        <v>TVS Scooty PEP Plus</v>
      </c>
      <c r="L596" s="5" t="s">
        <v>25</v>
      </c>
      <c r="M596" s="7" t="str">
        <f>VLOOKUP(A596,Sheet2!$A$2:$R$3432,5,0)</f>
        <v>GJ01JU2579</v>
      </c>
      <c r="N596" s="5" t="s">
        <v>25</v>
      </c>
      <c r="O596" s="5" t="s">
        <v>25</v>
      </c>
      <c r="P596" s="6" t="s">
        <v>25</v>
      </c>
      <c r="Q596" s="5" t="s">
        <v>25</v>
      </c>
      <c r="R596" s="5" t="s">
        <v>25</v>
      </c>
      <c r="S596" s="5" t="str">
        <f>VLOOKUP(A596,Sheet2!$A$2:$R$3432,18,0)</f>
        <v>OG3BG2527300</v>
      </c>
      <c r="T596" s="7" t="str">
        <f>VLOOKUP(A596,Sheet2!$A$2:$R$3432,17,0)</f>
        <v>MD626BG32G2B29015</v>
      </c>
    </row>
    <row r="597" ht="15.75" customHeight="1">
      <c r="A597" s="3" t="s">
        <v>620</v>
      </c>
      <c r="B597" s="4" t="str">
        <f>VLOOKUP(A597,Sheet2!$A$2:$R$3432,2,0)</f>
        <v>2024-12-28 17:23:50</v>
      </c>
      <c r="C597" s="5" t="s">
        <v>25</v>
      </c>
      <c r="D597" s="6" t="s">
        <v>25</v>
      </c>
      <c r="E597" s="7">
        <f>VLOOKUP(A597,Sheet2!$A$2:$R$3432,4,0)</f>
        <v>9766313203</v>
      </c>
      <c r="F597" s="7" t="str">
        <f>VLOOKUP(A597,Sheet2!$A$2:$R$3432,3,0)</f>
        <v>Gladwin</v>
      </c>
      <c r="G597" s="5" t="s">
        <v>25</v>
      </c>
      <c r="H597" s="5" t="s">
        <v>25</v>
      </c>
      <c r="I597" s="5" t="s">
        <v>25</v>
      </c>
      <c r="J597" s="5" t="s">
        <v>25</v>
      </c>
      <c r="K597" s="7" t="str">
        <f>VLOOKUP(A597,Sheet2!$A$2:$R$3432,6,0)</f>
        <v>Bajaj Avenger 220 Cruise</v>
      </c>
      <c r="L597" s="5" t="s">
        <v>25</v>
      </c>
      <c r="M597" s="7" t="str">
        <f>VLOOKUP(A597,Sheet2!$A$2:$R$3432,5,0)</f>
        <v>MH14CH8014</v>
      </c>
      <c r="N597" s="5" t="s">
        <v>25</v>
      </c>
      <c r="O597" s="5" t="s">
        <v>25</v>
      </c>
      <c r="P597" s="6" t="s">
        <v>25</v>
      </c>
      <c r="Q597" s="5" t="s">
        <v>25</v>
      </c>
      <c r="R597" s="5" t="s">
        <v>25</v>
      </c>
      <c r="S597" s="5" t="str">
        <f>VLOOKUP(A597,Sheet2!$A$2:$R$3432,18,0)</f>
        <v>PDGBT07786</v>
      </c>
      <c r="T597" s="7" t="str">
        <f>VLOOKUP(A597,Sheet2!$A$2:$R$3432,17,0)</f>
        <v>MD2DGPDZZTCG08020</v>
      </c>
    </row>
    <row r="598" ht="15.75" customHeight="1">
      <c r="A598" s="3" t="s">
        <v>621</v>
      </c>
      <c r="B598" s="4" t="str">
        <f>VLOOKUP(A598,Sheet2!$A$2:$R$3432,2,0)</f>
        <v>2024-12-28 17:23:28</v>
      </c>
      <c r="C598" s="5" t="s">
        <v>25</v>
      </c>
      <c r="D598" s="6" t="s">
        <v>25</v>
      </c>
      <c r="E598" s="7">
        <f>VLOOKUP(A598,Sheet2!$A$2:$R$3432,4,0)</f>
        <v>8149317397</v>
      </c>
      <c r="F598" s="7" t="str">
        <f>VLOOKUP(A598,Sheet2!$A$2:$R$3432,3,0)</f>
        <v>Omkar Badhe</v>
      </c>
      <c r="G598" s="5" t="s">
        <v>25</v>
      </c>
      <c r="H598" s="5" t="s">
        <v>25</v>
      </c>
      <c r="I598" s="5" t="s">
        <v>25</v>
      </c>
      <c r="J598" s="5" t="s">
        <v>25</v>
      </c>
      <c r="K598" s="7" t="str">
        <f>VLOOKUP(A598,Sheet2!$A$2:$R$3432,6,0)</f>
        <v>TVS Wego </v>
      </c>
      <c r="L598" s="5" t="s">
        <v>25</v>
      </c>
      <c r="M598" s="7" t="str">
        <f>VLOOKUP(A598,Sheet2!$A$2:$R$3432,5,0)</f>
        <v>MH14FP2288</v>
      </c>
      <c r="N598" s="5" t="s">
        <v>25</v>
      </c>
      <c r="O598" s="5" t="s">
        <v>25</v>
      </c>
      <c r="P598" s="6" t="s">
        <v>25</v>
      </c>
      <c r="Q598" s="5" t="s">
        <v>25</v>
      </c>
      <c r="R598" s="5" t="s">
        <v>25</v>
      </c>
      <c r="S598" s="5" t="str">
        <f>VLOOKUP(A598,Sheet2!$A$2:$R$3432,18,0)</f>
        <v>OG4CG1336274</v>
      </c>
      <c r="T598" s="7" t="str">
        <f>VLOOKUP(A598,Sheet2!$A$2:$R$3432,17,0)</f>
        <v>MD626AG42G1CG3301</v>
      </c>
    </row>
    <row r="599" ht="15.75" customHeight="1">
      <c r="A599" s="3" t="s">
        <v>622</v>
      </c>
      <c r="B599" s="4" t="str">
        <f>VLOOKUP(A599,Sheet2!$A$2:$R$3432,2,0)</f>
        <v>2024-12-28 18:52:29</v>
      </c>
      <c r="C599" s="5" t="s">
        <v>25</v>
      </c>
      <c r="D599" s="6" t="s">
        <v>25</v>
      </c>
      <c r="E599" s="7">
        <f>VLOOKUP(A599,Sheet2!$A$2:$R$3432,4,0)</f>
        <v>7888042126</v>
      </c>
      <c r="F599" s="7" t="str">
        <f>VLOOKUP(A599,Sheet2!$A$2:$R$3432,3,0)</f>
        <v>Saroj </v>
      </c>
      <c r="G599" s="5" t="s">
        <v>25</v>
      </c>
      <c r="H599" s="5" t="s">
        <v>25</v>
      </c>
      <c r="I599" s="5" t="s">
        <v>25</v>
      </c>
      <c r="J599" s="5" t="s">
        <v>25</v>
      </c>
      <c r="K599" s="7" t="str">
        <f>VLOOKUP(A599,Sheet2!$A$2:$R$3432,6,0)</f>
        <v>Honda Hornet </v>
      </c>
      <c r="L599" s="5" t="s">
        <v>25</v>
      </c>
      <c r="M599" s="7" t="str">
        <f>VLOOKUP(A599,Sheet2!$A$2:$R$3432,5,0)</f>
        <v>MH12PY4886</v>
      </c>
      <c r="N599" s="5" t="s">
        <v>25</v>
      </c>
      <c r="O599" s="5" t="s">
        <v>25</v>
      </c>
      <c r="P599" s="6" t="s">
        <v>25</v>
      </c>
      <c r="Q599" s="5" t="s">
        <v>25</v>
      </c>
      <c r="R599" s="5" t="s">
        <v>25</v>
      </c>
      <c r="S599" s="5" t="str">
        <f>VLOOKUP(A599,Sheet2!$A$2:$R$3432,18,0)</f>
        <v>KC23E84084225</v>
      </c>
      <c r="T599" s="7" t="str">
        <f>VLOOKUP(A599,Sheet2!$A$2:$R$3432,17,0)</f>
        <v>ME4KC239JH8044199</v>
      </c>
    </row>
    <row r="600" ht="15.75" customHeight="1">
      <c r="A600" s="3" t="s">
        <v>623</v>
      </c>
      <c r="B600" s="4" t="str">
        <f>VLOOKUP(A600,Sheet2!$A$2:$R$3432,2,0)</f>
        <v>2024-12-28 19:39:16</v>
      </c>
      <c r="C600" s="5" t="s">
        <v>25</v>
      </c>
      <c r="D600" s="6" t="s">
        <v>25</v>
      </c>
      <c r="E600" s="7">
        <f>VLOOKUP(A600,Sheet2!$A$2:$R$3432,4,0)</f>
        <v>7756877978</v>
      </c>
      <c r="F600" s="7" t="str">
        <f>VLOOKUP(A600,Sheet2!$A$2:$R$3432,3,0)</f>
        <v>Praveen Pardeshi</v>
      </c>
      <c r="G600" s="5" t="s">
        <v>25</v>
      </c>
      <c r="H600" s="5" t="s">
        <v>25</v>
      </c>
      <c r="I600" s="5" t="s">
        <v>25</v>
      </c>
      <c r="J600" s="5" t="s">
        <v>25</v>
      </c>
      <c r="K600" s="7" t="str">
        <f>VLOOKUP(A600,Sheet2!$A$2:$R$3432,6,0)</f>
        <v>Suzuki Access  125 BS6</v>
      </c>
      <c r="L600" s="5" t="s">
        <v>25</v>
      </c>
      <c r="M600" s="7" t="str">
        <f>VLOOKUP(A600,Sheet2!$A$2:$R$3432,5,0)</f>
        <v>MH13DU3917</v>
      </c>
      <c r="N600" s="5" t="s">
        <v>25</v>
      </c>
      <c r="O600" s="5" t="s">
        <v>25</v>
      </c>
      <c r="P600" s="6" t="s">
        <v>25</v>
      </c>
      <c r="Q600" s="5" t="s">
        <v>25</v>
      </c>
      <c r="R600" s="5" t="s">
        <v>25</v>
      </c>
      <c r="S600" s="5" t="str">
        <f>VLOOKUP(A600,Sheet2!$A$2:$R$3432,18,0)</f>
        <v>AF216749588</v>
      </c>
      <c r="T600" s="7" t="str">
        <f>VLOOKUP(A600,Sheet2!$A$2:$R$3432,17,0)</f>
        <v>M38DP12DGM8802150</v>
      </c>
    </row>
    <row r="601" ht="15.75" customHeight="1">
      <c r="A601" s="3" t="s">
        <v>624</v>
      </c>
      <c r="B601" s="4" t="str">
        <f>VLOOKUP(A601,Sheet2!$A$2:$R$3432,2,0)</f>
        <v>2024-12-30 18:22:21</v>
      </c>
      <c r="C601" s="5" t="s">
        <v>25</v>
      </c>
      <c r="D601" s="6" t="s">
        <v>25</v>
      </c>
      <c r="E601" s="7">
        <f>VLOOKUP(A601,Sheet2!$A$2:$R$3432,4,0)</f>
        <v>9588692507</v>
      </c>
      <c r="F601" s="7" t="str">
        <f>VLOOKUP(A601,Sheet2!$A$2:$R$3432,3,0)</f>
        <v>Karan Pathare</v>
      </c>
      <c r="G601" s="5" t="s">
        <v>25</v>
      </c>
      <c r="H601" s="5" t="s">
        <v>25</v>
      </c>
      <c r="I601" s="5" t="s">
        <v>25</v>
      </c>
      <c r="J601" s="5" t="s">
        <v>25</v>
      </c>
      <c r="K601" s="7" t="str">
        <f>VLOOKUP(A601,Sheet2!$A$2:$R$3432,6,0)</f>
        <v>Bajaj Avenger 220 Street</v>
      </c>
      <c r="L601" s="5" t="s">
        <v>25</v>
      </c>
      <c r="M601" s="7" t="str">
        <f>VLOOKUP(A601,Sheet2!$A$2:$R$3432,5,0)</f>
        <v>MH16AH5488</v>
      </c>
      <c r="N601" s="5" t="s">
        <v>25</v>
      </c>
      <c r="O601" s="5" t="s">
        <v>25</v>
      </c>
      <c r="P601" s="6" t="s">
        <v>25</v>
      </c>
      <c r="Q601" s="5" t="s">
        <v>25</v>
      </c>
      <c r="R601" s="5" t="s">
        <v>25</v>
      </c>
      <c r="S601" s="5" t="str">
        <f>VLOOKUP(A601,Sheet2!$A$2:$R$3432,18,0)</f>
        <v>JMGBSDJ8223</v>
      </c>
      <c r="T601" s="7" t="str">
        <f>VLOOKUP(A601,Sheet2!$A$2:$R$3432,17,0)</f>
        <v>RUSTY FRAME</v>
      </c>
    </row>
    <row r="602" ht="15.75" customHeight="1">
      <c r="A602" s="3" t="s">
        <v>625</v>
      </c>
      <c r="B602" s="4" t="str">
        <f>VLOOKUP(A602,Sheet2!$A$2:$R$3432,2,0)</f>
        <v>2024-12-30 18:24:06</v>
      </c>
      <c r="C602" s="5" t="s">
        <v>25</v>
      </c>
      <c r="D602" s="6" t="s">
        <v>25</v>
      </c>
      <c r="E602" s="7">
        <f>VLOOKUP(A602,Sheet2!$A$2:$R$3432,4,0)</f>
        <v>8600378300</v>
      </c>
      <c r="F602" s="7" t="str">
        <f>VLOOKUP(A602,Sheet2!$A$2:$R$3432,3,0)</f>
        <v>Rakesh Kulkarni</v>
      </c>
      <c r="G602" s="5" t="s">
        <v>25</v>
      </c>
      <c r="H602" s="5" t="s">
        <v>25</v>
      </c>
      <c r="I602" s="5" t="s">
        <v>25</v>
      </c>
      <c r="J602" s="5" t="s">
        <v>25</v>
      </c>
      <c r="K602" s="7" t="str">
        <f>VLOOKUP(A602,Sheet2!$A$2:$R$3432,6,0)</f>
        <v>Honda Activa </v>
      </c>
      <c r="L602" s="5" t="s">
        <v>25</v>
      </c>
      <c r="M602" s="7" t="str">
        <f>VLOOKUP(A602,Sheet2!$A$2:$R$3432,5,0)</f>
        <v>MH10BK5908</v>
      </c>
      <c r="N602" s="5" t="s">
        <v>25</v>
      </c>
      <c r="O602" s="5" t="s">
        <v>25</v>
      </c>
      <c r="P602" s="6" t="s">
        <v>25</v>
      </c>
      <c r="Q602" s="5" t="s">
        <v>25</v>
      </c>
      <c r="R602" s="5" t="s">
        <v>25</v>
      </c>
      <c r="S602" s="5" t="str">
        <f>VLOOKUP(A602,Sheet2!$A$2:$R$3432,18,0)</f>
        <v>JF50E80011216</v>
      </c>
      <c r="T602" s="7" t="str">
        <f>VLOOKUP(A602,Sheet2!$A$2:$R$3432,17,0)</f>
        <v>ME4JF501F08011462</v>
      </c>
    </row>
    <row r="603" ht="15.75" customHeight="1">
      <c r="A603" s="3" t="s">
        <v>626</v>
      </c>
      <c r="B603" s="4" t="str">
        <f>VLOOKUP(A603,Sheet2!$A$2:$R$3432,2,0)</f>
        <v>2024-12-30 18:25:43</v>
      </c>
      <c r="C603" s="5" t="s">
        <v>25</v>
      </c>
      <c r="D603" s="6" t="s">
        <v>25</v>
      </c>
      <c r="E603" s="7">
        <f>VLOOKUP(A603,Sheet2!$A$2:$R$3432,4,0)</f>
        <v>9326324684</v>
      </c>
      <c r="F603" s="7" t="str">
        <f>VLOOKUP(A603,Sheet2!$A$2:$R$3432,3,0)</f>
        <v>AMIT SHARMA </v>
      </c>
      <c r="G603" s="5" t="s">
        <v>25</v>
      </c>
      <c r="H603" s="5" t="s">
        <v>25</v>
      </c>
      <c r="I603" s="5" t="s">
        <v>25</v>
      </c>
      <c r="J603" s="5" t="s">
        <v>25</v>
      </c>
      <c r="K603" s="7" t="str">
        <f>VLOOKUP(A603,Sheet2!$A$2:$R$3432,6,0)</f>
        <v>TVS Jupiter </v>
      </c>
      <c r="L603" s="5" t="s">
        <v>25</v>
      </c>
      <c r="M603" s="7" t="str">
        <f>VLOOKUP(A603,Sheet2!$A$2:$R$3432,5,0)</f>
        <v>MH14HL5821</v>
      </c>
      <c r="N603" s="5" t="s">
        <v>25</v>
      </c>
      <c r="O603" s="5" t="s">
        <v>25</v>
      </c>
      <c r="P603" s="6" t="s">
        <v>25</v>
      </c>
      <c r="Q603" s="5" t="s">
        <v>25</v>
      </c>
      <c r="R603" s="5" t="s">
        <v>25</v>
      </c>
      <c r="S603" s="5" t="str">
        <f>VLOOKUP(A603,Sheet2!$A$2:$R$3432,18,0)</f>
        <v>EG4BK1000769</v>
      </c>
      <c r="T603" s="7" t="str">
        <f>VLOOKUP(A603,Sheet2!$A$2:$R$3432,17,0)</f>
        <v>MD626EG441ABK1B01371</v>
      </c>
    </row>
    <row r="604" ht="15.75" customHeight="1">
      <c r="A604" s="3" t="s">
        <v>627</v>
      </c>
      <c r="B604" s="4" t="str">
        <f>VLOOKUP(A604,Sheet2!$A$2:$R$3432,2,0)</f>
        <v>2024-12-30 17:11:59</v>
      </c>
      <c r="C604" s="5" t="s">
        <v>25</v>
      </c>
      <c r="D604" s="6" t="s">
        <v>25</v>
      </c>
      <c r="E604" s="7">
        <f>VLOOKUP(A604,Sheet2!$A$2:$R$3432,4,0)</f>
        <v>7506274005</v>
      </c>
      <c r="F604" s="7" t="str">
        <f>VLOOKUP(A604,Sheet2!$A$2:$R$3432,3,0)</f>
        <v>Mahesh Patil </v>
      </c>
      <c r="G604" s="5" t="s">
        <v>25</v>
      </c>
      <c r="H604" s="5" t="s">
        <v>25</v>
      </c>
      <c r="I604" s="5" t="s">
        <v>25</v>
      </c>
      <c r="J604" s="5" t="s">
        <v>25</v>
      </c>
      <c r="K604" s="7" t="str">
        <f>VLOOKUP(A604,Sheet2!$A$2:$R$3432,6,0)</f>
        <v>TVS Jupiter 125</v>
      </c>
      <c r="L604" s="5" t="s">
        <v>25</v>
      </c>
      <c r="M604" s="7" t="str">
        <f>VLOOKUP(A604,Sheet2!$A$2:$R$3432,5,0)</f>
        <v>MH19DY8052</v>
      </c>
      <c r="N604" s="5" t="s">
        <v>25</v>
      </c>
      <c r="O604" s="5" t="s">
        <v>25</v>
      </c>
      <c r="P604" s="6" t="s">
        <v>25</v>
      </c>
      <c r="Q604" s="5" t="s">
        <v>25</v>
      </c>
      <c r="R604" s="5" t="s">
        <v>25</v>
      </c>
      <c r="S604" s="7" t="str">
        <f>VLOOKUP(A604,Sheet2!$A$2:$R$3432,18,0)</f>
        <v/>
      </c>
      <c r="T604" s="7" t="str">
        <f>VLOOKUP(A604,Sheet2!$A$2:$R$3432,17,0)</f>
        <v/>
      </c>
    </row>
    <row r="605" ht="15.75" customHeight="1">
      <c r="A605" s="3" t="s">
        <v>628</v>
      </c>
      <c r="B605" s="4" t="str">
        <f>VLOOKUP(A605,Sheet2!$A$2:$R$3432,2,0)</f>
        <v>2024-12-30 17:12:54</v>
      </c>
      <c r="C605" s="5" t="s">
        <v>25</v>
      </c>
      <c r="D605" s="6" t="s">
        <v>25</v>
      </c>
      <c r="E605" s="7">
        <f>VLOOKUP(A605,Sheet2!$A$2:$R$3432,4,0)</f>
        <v>7066341364</v>
      </c>
      <c r="F605" s="7" t="str">
        <f>VLOOKUP(A605,Sheet2!$A$2:$R$3432,3,0)</f>
        <v>SHALIK</v>
      </c>
      <c r="G605" s="5" t="s">
        <v>25</v>
      </c>
      <c r="H605" s="5" t="s">
        <v>25</v>
      </c>
      <c r="I605" s="5" t="s">
        <v>25</v>
      </c>
      <c r="J605" s="5" t="s">
        <v>25</v>
      </c>
      <c r="K605" s="7" t="str">
        <f>VLOOKUP(A605,Sheet2!$A$2:$R$3432,6,0)</f>
        <v>Yamaha R15 </v>
      </c>
      <c r="L605" s="5" t="s">
        <v>25</v>
      </c>
      <c r="M605" s="7" t="str">
        <f>VLOOKUP(A605,Sheet2!$A$2:$R$3432,5,0)</f>
        <v>AS01BF0733</v>
      </c>
      <c r="N605" s="5" t="s">
        <v>25</v>
      </c>
      <c r="O605" s="5" t="s">
        <v>25</v>
      </c>
      <c r="P605" s="6" t="s">
        <v>25</v>
      </c>
      <c r="Q605" s="5" t="s">
        <v>25</v>
      </c>
      <c r="R605" s="5" t="s">
        <v>25</v>
      </c>
      <c r="S605" s="5" t="str">
        <f>VLOOKUP(A605,Sheet2!$A$2:$R$3432,18,0)</f>
        <v>11K4006982</v>
      </c>
      <c r="T605" s="7" t="str">
        <f>VLOOKUP(A605,Sheet2!$A$2:$R$3432,17,0)</f>
        <v>ME11CK045D3006987</v>
      </c>
    </row>
    <row r="606" ht="15.75" customHeight="1">
      <c r="A606" s="3" t="s">
        <v>629</v>
      </c>
      <c r="B606" s="4" t="str">
        <f>VLOOKUP(A606,Sheet2!$A$2:$R$3432,2,0)</f>
        <v>2024-12-30 18:22:02</v>
      </c>
      <c r="C606" s="5" t="s">
        <v>25</v>
      </c>
      <c r="D606" s="6" t="s">
        <v>25</v>
      </c>
      <c r="E606" s="7">
        <f>VLOOKUP(A606,Sheet2!$A$2:$R$3432,4,0)</f>
        <v>9527692735</v>
      </c>
      <c r="F606" s="7" t="str">
        <f>VLOOKUP(A606,Sheet2!$A$2:$R$3432,3,0)</f>
        <v>ANIL</v>
      </c>
      <c r="G606" s="5" t="s">
        <v>25</v>
      </c>
      <c r="H606" s="5" t="s">
        <v>25</v>
      </c>
      <c r="I606" s="5" t="s">
        <v>25</v>
      </c>
      <c r="J606" s="5" t="s">
        <v>25</v>
      </c>
      <c r="K606" s="7" t="str">
        <f>VLOOKUP(A606,Sheet2!$A$2:$R$3432,6,0)</f>
        <v>Royal Enfield Classic 350</v>
      </c>
      <c r="L606" s="5" t="s">
        <v>25</v>
      </c>
      <c r="M606" s="7" t="str">
        <f>VLOOKUP(A606,Sheet2!$A$2:$R$3432,5,0)</f>
        <v>MH26BJ0889</v>
      </c>
      <c r="N606" s="5" t="s">
        <v>25</v>
      </c>
      <c r="O606" s="5" t="s">
        <v>25</v>
      </c>
      <c r="P606" s="6" t="s">
        <v>25</v>
      </c>
      <c r="Q606" s="5" t="s">
        <v>25</v>
      </c>
      <c r="R606" s="5" t="s">
        <v>25</v>
      </c>
      <c r="S606" s="7" t="str">
        <f>VLOOKUP(A606,Sheet2!$A$2:$R$3432,18,0)</f>
        <v/>
      </c>
      <c r="T606" s="7" t="str">
        <f>VLOOKUP(A606,Sheet2!$A$2:$R$3432,17,0)</f>
        <v/>
      </c>
    </row>
    <row r="607" ht="15.75" customHeight="1">
      <c r="A607" s="3" t="s">
        <v>630</v>
      </c>
      <c r="B607" s="4" t="str">
        <f>VLOOKUP(A607,Sheet2!$A$2:$R$3432,2,0)</f>
        <v>2024-12-30 18:23:01</v>
      </c>
      <c r="C607" s="5" t="s">
        <v>25</v>
      </c>
      <c r="D607" s="6" t="s">
        <v>25</v>
      </c>
      <c r="E607" s="7">
        <f>VLOOKUP(A607,Sheet2!$A$2:$R$3432,4,0)</f>
        <v>9892720321</v>
      </c>
      <c r="F607" s="7" t="str">
        <f>VLOOKUP(A607,Sheet2!$A$2:$R$3432,3,0)</f>
        <v>KETAN SHINDE</v>
      </c>
      <c r="G607" s="5" t="s">
        <v>25</v>
      </c>
      <c r="H607" s="5" t="s">
        <v>25</v>
      </c>
      <c r="I607" s="5" t="s">
        <v>25</v>
      </c>
      <c r="J607" s="5" t="s">
        <v>25</v>
      </c>
      <c r="K607" s="7" t="str">
        <f>VLOOKUP(A607,Sheet2!$A$2:$R$3432,6,0)</f>
        <v>Bajaj Avenger 220 Street</v>
      </c>
      <c r="L607" s="5" t="s">
        <v>25</v>
      </c>
      <c r="M607" s="7" t="str">
        <f>VLOOKUP(A607,Sheet2!$A$2:$R$3432,5,0)</f>
        <v>MH14GR4330</v>
      </c>
      <c r="N607" s="5" t="s">
        <v>25</v>
      </c>
      <c r="O607" s="5" t="s">
        <v>25</v>
      </c>
      <c r="P607" s="6" t="s">
        <v>25</v>
      </c>
      <c r="Q607" s="5" t="s">
        <v>25</v>
      </c>
      <c r="R607" s="5" t="s">
        <v>25</v>
      </c>
      <c r="S607" s="7" t="str">
        <f>VLOOKUP(A607,Sheet2!$A$2:$R$3432,18,0)</f>
        <v/>
      </c>
      <c r="T607" s="7" t="str">
        <f>VLOOKUP(A607,Sheet2!$A$2:$R$3432,17,0)</f>
        <v/>
      </c>
    </row>
    <row r="608" ht="15.75" customHeight="1">
      <c r="A608" s="3" t="s">
        <v>631</v>
      </c>
      <c r="B608" s="4" t="str">
        <f>VLOOKUP(A608,Sheet2!$A$2:$R$3432,2,0)</f>
        <v>2024-12-30 18:25:18</v>
      </c>
      <c r="C608" s="5" t="s">
        <v>25</v>
      </c>
      <c r="D608" s="6" t="s">
        <v>25</v>
      </c>
      <c r="E608" s="7">
        <f>VLOOKUP(A608,Sheet2!$A$2:$R$3432,4,0)</f>
        <v>9834093322</v>
      </c>
      <c r="F608" s="7" t="str">
        <f>VLOOKUP(A608,Sheet2!$A$2:$R$3432,3,0)</f>
        <v>SANKET KALE</v>
      </c>
      <c r="G608" s="5" t="s">
        <v>25</v>
      </c>
      <c r="H608" s="5" t="s">
        <v>25</v>
      </c>
      <c r="I608" s="5" t="s">
        <v>25</v>
      </c>
      <c r="J608" s="5" t="s">
        <v>25</v>
      </c>
      <c r="K608" s="7" t="str">
        <f>VLOOKUP(A608,Sheet2!$A$2:$R$3432,6,0)</f>
        <v>Honda Activa 6G</v>
      </c>
      <c r="L608" s="5" t="s">
        <v>25</v>
      </c>
      <c r="M608" s="7" t="str">
        <f>VLOOKUP(A608,Sheet2!$A$2:$R$3432,5,0)</f>
        <v>MH13DW1698</v>
      </c>
      <c r="N608" s="5" t="s">
        <v>25</v>
      </c>
      <c r="O608" s="5" t="s">
        <v>25</v>
      </c>
      <c r="P608" s="6" t="s">
        <v>25</v>
      </c>
      <c r="Q608" s="5" t="s">
        <v>25</v>
      </c>
      <c r="R608" s="5" t="s">
        <v>25</v>
      </c>
      <c r="S608" s="5" t="str">
        <f>VLOOKUP(A608,Sheet2!$A$2:$R$3432,18,0)</f>
        <v>JF91EW6002164</v>
      </c>
      <c r="T608" s="7" t="str">
        <f>VLOOKUP(A608,Sheet2!$A$2:$R$3432,17,0)</f>
        <v>ME4JF919ANW002170</v>
      </c>
    </row>
    <row r="609" ht="15.75" customHeight="1">
      <c r="A609" s="3" t="s">
        <v>632</v>
      </c>
      <c r="B609" s="4" t="str">
        <f>VLOOKUP(A609,Sheet2!$A$2:$R$3432,2,0)</f>
        <v>2024-12-30 20:32:07</v>
      </c>
      <c r="C609" s="5" t="s">
        <v>25</v>
      </c>
      <c r="D609" s="6" t="s">
        <v>25</v>
      </c>
      <c r="E609" s="7">
        <f>VLOOKUP(A609,Sheet2!$A$2:$R$3432,4,0)</f>
        <v>9604846317</v>
      </c>
      <c r="F609" s="7" t="str">
        <f>VLOOKUP(A609,Sheet2!$A$2:$R$3432,3,0)</f>
        <v>Amit Thakur</v>
      </c>
      <c r="G609" s="5" t="s">
        <v>25</v>
      </c>
      <c r="H609" s="5" t="s">
        <v>25</v>
      </c>
      <c r="I609" s="5" t="s">
        <v>25</v>
      </c>
      <c r="J609" s="5" t="s">
        <v>25</v>
      </c>
      <c r="K609" s="7" t="str">
        <f>VLOOKUP(A609,Sheet2!$A$2:$R$3432,6,0)</f>
        <v>Honda Activa 110</v>
      </c>
      <c r="L609" s="5" t="s">
        <v>25</v>
      </c>
      <c r="M609" s="7" t="str">
        <f>VLOOKUP(A609,Sheet2!$A$2:$R$3432,5,0)</f>
        <v>MH14EL3472</v>
      </c>
      <c r="N609" s="5" t="s">
        <v>25</v>
      </c>
      <c r="O609" s="5" t="s">
        <v>25</v>
      </c>
      <c r="P609" s="6" t="s">
        <v>25</v>
      </c>
      <c r="Q609" s="5" t="s">
        <v>25</v>
      </c>
      <c r="R609" s="5" t="s">
        <v>25</v>
      </c>
      <c r="S609" s="7" t="str">
        <f>VLOOKUP(A609,Sheet2!$A$2:$R$3432,18,0)</f>
        <v/>
      </c>
      <c r="T609" s="7" t="str">
        <f>VLOOKUP(A609,Sheet2!$A$2:$R$3432,17,0)</f>
        <v>ME4JF502FET154206</v>
      </c>
    </row>
    <row r="610" ht="15.75" customHeight="1">
      <c r="A610" s="3" t="s">
        <v>633</v>
      </c>
      <c r="B610" s="4" t="str">
        <f>VLOOKUP(A610,Sheet2!$A$2:$R$3432,2,0)</f>
        <v>2024-12-30 20:31:54</v>
      </c>
      <c r="C610" s="5" t="s">
        <v>25</v>
      </c>
      <c r="D610" s="6" t="s">
        <v>25</v>
      </c>
      <c r="E610" s="7">
        <f>VLOOKUP(A610,Sheet2!$A$2:$R$3432,4,0)</f>
        <v>7972961054</v>
      </c>
      <c r="F610" s="7" t="str">
        <f>VLOOKUP(A610,Sheet2!$A$2:$R$3432,3,0)</f>
        <v>Vishal Kachhawah</v>
      </c>
      <c r="G610" s="5" t="s">
        <v>25</v>
      </c>
      <c r="H610" s="5" t="s">
        <v>25</v>
      </c>
      <c r="I610" s="5" t="s">
        <v>25</v>
      </c>
      <c r="J610" s="5" t="s">
        <v>25</v>
      </c>
      <c r="K610" s="7" t="str">
        <f>VLOOKUP(A610,Sheet2!$A$2:$R$3432,6,0)</f>
        <v>Royal Enfield Classic 350</v>
      </c>
      <c r="L610" s="5" t="s">
        <v>25</v>
      </c>
      <c r="M610" s="7" t="str">
        <f>VLOOKUP(A610,Sheet2!$A$2:$R$3432,5,0)</f>
        <v>MH15FD6944</v>
      </c>
      <c r="N610" s="5" t="s">
        <v>25</v>
      </c>
      <c r="O610" s="5" t="s">
        <v>25</v>
      </c>
      <c r="P610" s="6" t="s">
        <v>25</v>
      </c>
      <c r="Q610" s="5" t="s">
        <v>25</v>
      </c>
      <c r="R610" s="5" t="s">
        <v>25</v>
      </c>
      <c r="S610" s="5" t="str">
        <f>VLOOKUP(A610,Sheet2!$A$2:$R$3432,18,0)</f>
        <v>U385C1GA082170</v>
      </c>
      <c r="T610" s="7" t="str">
        <f>VLOOKUP(A610,Sheet2!$A$2:$R$3432,17,0)</f>
        <v>ME3U3S5C1GA362841</v>
      </c>
    </row>
    <row r="611" ht="15.75" customHeight="1">
      <c r="A611" s="3" t="s">
        <v>634</v>
      </c>
      <c r="B611" s="4" t="str">
        <f>VLOOKUP(A611,Sheet2!$A$2:$R$3432,2,0)</f>
        <v>2024-12-30 20:32:27</v>
      </c>
      <c r="C611" s="5" t="s">
        <v>25</v>
      </c>
      <c r="D611" s="6" t="s">
        <v>25</v>
      </c>
      <c r="E611" s="7">
        <f>VLOOKUP(A611,Sheet2!$A$2:$R$3432,4,0)</f>
        <v>9356905182</v>
      </c>
      <c r="F611" s="7" t="str">
        <f>VLOOKUP(A611,Sheet2!$A$2:$R$3432,3,0)</f>
        <v>RAHUL</v>
      </c>
      <c r="G611" s="5" t="s">
        <v>25</v>
      </c>
      <c r="H611" s="5" t="s">
        <v>25</v>
      </c>
      <c r="I611" s="5" t="s">
        <v>25</v>
      </c>
      <c r="J611" s="5" t="s">
        <v>25</v>
      </c>
      <c r="K611" s="7" t="str">
        <f>VLOOKUP(A611,Sheet2!$A$2:$R$3432,6,0)</f>
        <v>Hero Splendor Pro</v>
      </c>
      <c r="L611" s="5" t="s">
        <v>25</v>
      </c>
      <c r="M611" s="7" t="str">
        <f>VLOOKUP(A611,Sheet2!$A$2:$R$3432,5,0)</f>
        <v>MH14KC9231</v>
      </c>
      <c r="N611" s="5" t="s">
        <v>25</v>
      </c>
      <c r="O611" s="5" t="s">
        <v>25</v>
      </c>
      <c r="P611" s="6" t="s">
        <v>25</v>
      </c>
      <c r="Q611" s="5" t="s">
        <v>25</v>
      </c>
      <c r="R611" s="5" t="s">
        <v>25</v>
      </c>
      <c r="S611" s="5" t="str">
        <f>VLOOKUP(A611,Sheet2!$A$2:$R$3432,18,0)</f>
        <v>HA14E1N5E54511</v>
      </c>
      <c r="T611" s="7" t="str">
        <f>VLOOKUP(A611,Sheet2!$A$2:$R$3432,17,0)</f>
        <v>MBLHAW129H5E10313</v>
      </c>
    </row>
    <row r="612" ht="15.75" customHeight="1">
      <c r="A612" s="3" t="s">
        <v>635</v>
      </c>
      <c r="B612" s="4" t="str">
        <f>VLOOKUP(A612,Sheet2!$A$2:$R$3432,2,0)</f>
        <v>2024-12-29 19:30:02</v>
      </c>
      <c r="C612" s="5" t="s">
        <v>25</v>
      </c>
      <c r="D612" s="6" t="s">
        <v>25</v>
      </c>
      <c r="E612" s="7">
        <f>VLOOKUP(A612,Sheet2!$A$2:$R$3432,4,0)</f>
        <v>7083364232</v>
      </c>
      <c r="F612" s="7" t="str">
        <f>VLOOKUP(A612,Sheet2!$A$2:$R$3432,3,0)</f>
        <v>ONKAR</v>
      </c>
      <c r="G612" s="5" t="s">
        <v>25</v>
      </c>
      <c r="H612" s="5" t="s">
        <v>25</v>
      </c>
      <c r="I612" s="5" t="s">
        <v>25</v>
      </c>
      <c r="J612" s="5" t="s">
        <v>25</v>
      </c>
      <c r="K612" s="7" t="str">
        <f>VLOOKUP(A612,Sheet2!$A$2:$R$3432,6,0)</f>
        <v>Bajaj Discover DTSi</v>
      </c>
      <c r="L612" s="5" t="s">
        <v>25</v>
      </c>
      <c r="M612" s="7" t="str">
        <f>VLOOKUP(A612,Sheet2!$A$2:$R$3432,5,0)</f>
        <v>MH20BX9446</v>
      </c>
      <c r="N612" s="5" t="s">
        <v>25</v>
      </c>
      <c r="O612" s="5" t="s">
        <v>25</v>
      </c>
      <c r="P612" s="6" t="s">
        <v>25</v>
      </c>
      <c r="Q612" s="5" t="s">
        <v>25</v>
      </c>
      <c r="R612" s="5" t="s">
        <v>25</v>
      </c>
      <c r="S612" s="5" t="str">
        <f>VLOOKUP(A612,Sheet2!$A$2:$R$3432,18,0)</f>
        <v>JZM5TL73438</v>
      </c>
      <c r="T612" s="7" t="str">
        <f>VLOOKUP(A612,Sheet2!$A$2:$R$3432,17,0)</f>
        <v>MD2DSJZZZ8E6402</v>
      </c>
    </row>
    <row r="613" ht="15.75" customHeight="1">
      <c r="A613" s="3" t="s">
        <v>636</v>
      </c>
      <c r="B613" s="4" t="str">
        <f>VLOOKUP(A613,Sheet2!$A$2:$R$3432,2,0)</f>
        <v>2024-12-29 19:24:11</v>
      </c>
      <c r="C613" s="5" t="s">
        <v>25</v>
      </c>
      <c r="D613" s="6" t="s">
        <v>25</v>
      </c>
      <c r="E613" s="7">
        <f>VLOOKUP(A613,Sheet2!$A$2:$R$3432,4,0)</f>
        <v>7972023225</v>
      </c>
      <c r="F613" s="7" t="str">
        <f>VLOOKUP(A613,Sheet2!$A$2:$R$3432,3,0)</f>
        <v>Kiran</v>
      </c>
      <c r="G613" s="5" t="s">
        <v>25</v>
      </c>
      <c r="H613" s="5" t="s">
        <v>25</v>
      </c>
      <c r="I613" s="5" t="s">
        <v>25</v>
      </c>
      <c r="J613" s="5" t="s">
        <v>25</v>
      </c>
      <c r="K613" s="7" t="str">
        <f>VLOOKUP(A613,Sheet2!$A$2:$R$3432,6,0)</f>
        <v>Honda Activa 5G</v>
      </c>
      <c r="L613" s="5" t="s">
        <v>25</v>
      </c>
      <c r="M613" s="7" t="str">
        <f>VLOOKUP(A613,Sheet2!$A$2:$R$3432,5,0)</f>
        <v>MH20FE9136</v>
      </c>
      <c r="N613" s="5" t="s">
        <v>25</v>
      </c>
      <c r="O613" s="5" t="s">
        <v>25</v>
      </c>
      <c r="P613" s="6" t="s">
        <v>25</v>
      </c>
      <c r="Q613" s="5" t="s">
        <v>25</v>
      </c>
      <c r="R613" s="5" t="s">
        <v>25</v>
      </c>
      <c r="S613" s="5" t="str">
        <f>VLOOKUP(A613,Sheet2!$A$2:$R$3432,18,0)</f>
        <v>OG4F61394501</v>
      </c>
      <c r="T613" s="7" t="str">
        <f>VLOOKUP(A613,Sheet2!$A$2:$R$3432,17,0)</f>
        <v>ME4JF50BMJT326761</v>
      </c>
    </row>
    <row r="614" ht="15.75" customHeight="1">
      <c r="A614" s="3" t="s">
        <v>637</v>
      </c>
      <c r="B614" s="4" t="str">
        <f>VLOOKUP(A614,Sheet2!$A$2:$R$3432,2,0)</f>
        <v>2024-12-29 19:25:01</v>
      </c>
      <c r="C614" s="5" t="s">
        <v>25</v>
      </c>
      <c r="D614" s="6" t="s">
        <v>25</v>
      </c>
      <c r="E614" s="7">
        <f>VLOOKUP(A614,Sheet2!$A$2:$R$3432,4,0)</f>
        <v>8421486664</v>
      </c>
      <c r="F614" s="7" t="str">
        <f>VLOOKUP(A614,Sheet2!$A$2:$R$3432,3,0)</f>
        <v>SAURABH JATHAR</v>
      </c>
      <c r="G614" s="5" t="s">
        <v>25</v>
      </c>
      <c r="H614" s="5" t="s">
        <v>25</v>
      </c>
      <c r="I614" s="5" t="s">
        <v>25</v>
      </c>
      <c r="J614" s="5" t="s">
        <v>25</v>
      </c>
      <c r="K614" s="7" t="str">
        <f>VLOOKUP(A614,Sheet2!$A$2:$R$3432,6,0)</f>
        <v>Honda Unicorn 150</v>
      </c>
      <c r="L614" s="5" t="s">
        <v>25</v>
      </c>
      <c r="M614" s="7" t="str">
        <f>VLOOKUP(A614,Sheet2!$A$2:$R$3432,5,0)</f>
        <v>MH11CV9278</v>
      </c>
      <c r="N614" s="5" t="s">
        <v>25</v>
      </c>
      <c r="O614" s="5" t="s">
        <v>25</v>
      </c>
      <c r="P614" s="6" t="s">
        <v>25</v>
      </c>
      <c r="Q614" s="5" t="s">
        <v>25</v>
      </c>
      <c r="R614" s="5" t="s">
        <v>25</v>
      </c>
      <c r="S614" s="5" t="str">
        <f>VLOOKUP(A614,Sheet2!$A$2:$R$3432,18,0)</f>
        <v>KC31EA1189586</v>
      </c>
      <c r="T614" s="7" t="str">
        <f>VLOOKUP(A614,Sheet2!$A$2:$R$3432,17,0)</f>
        <v>ME4KC31MKA19583</v>
      </c>
    </row>
    <row r="615" ht="15.75" customHeight="1">
      <c r="A615" s="3" t="s">
        <v>638</v>
      </c>
      <c r="B615" s="4" t="str">
        <f>VLOOKUP(A615,Sheet2!$A$2:$R$3432,2,0)</f>
        <v>2024-12-29 19:25:37</v>
      </c>
      <c r="C615" s="5" t="s">
        <v>25</v>
      </c>
      <c r="D615" s="6" t="s">
        <v>25</v>
      </c>
      <c r="E615" s="7">
        <f>VLOOKUP(A615,Sheet2!$A$2:$R$3432,4,0)</f>
        <v>9657818768</v>
      </c>
      <c r="F615" s="7" t="str">
        <f>VLOOKUP(A615,Sheet2!$A$2:$R$3432,3,0)</f>
        <v>Amit Sonawane </v>
      </c>
      <c r="G615" s="5" t="s">
        <v>25</v>
      </c>
      <c r="H615" s="5" t="s">
        <v>25</v>
      </c>
      <c r="I615" s="5" t="s">
        <v>25</v>
      </c>
      <c r="J615" s="5" t="s">
        <v>25</v>
      </c>
      <c r="K615" s="7" t="str">
        <f>VLOOKUP(A615,Sheet2!$A$2:$R$3432,6,0)</f>
        <v>Bajaj Pulsar 220</v>
      </c>
      <c r="L615" s="5" t="s">
        <v>25</v>
      </c>
      <c r="M615" s="7" t="str">
        <f>VLOOKUP(A615,Sheet2!$A$2:$R$3432,5,0)</f>
        <v>MH14HC9709</v>
      </c>
      <c r="N615" s="5" t="s">
        <v>25</v>
      </c>
      <c r="O615" s="5" t="s">
        <v>25</v>
      </c>
      <c r="P615" s="6" t="s">
        <v>25</v>
      </c>
      <c r="Q615" s="5" t="s">
        <v>25</v>
      </c>
      <c r="R615" s="5" t="s">
        <v>25</v>
      </c>
      <c r="S615" s="5" t="str">
        <f>VLOOKUP(A615,Sheet2!$A$2:$R$3432,18,0)</f>
        <v>DKYCJF14476</v>
      </c>
      <c r="T615" s="7" t="str">
        <f>VLOOKUP(A615,Sheet2!$A$2:$R$3432,17,0)</f>
        <v>MD2413EY3JCF73859</v>
      </c>
    </row>
    <row r="616" ht="15.75" customHeight="1">
      <c r="A616" s="3" t="s">
        <v>639</v>
      </c>
      <c r="B616" s="4" t="str">
        <f>VLOOKUP(A616,Sheet2!$A$2:$R$3432,2,0)</f>
        <v>2024-12-29 19:26:46</v>
      </c>
      <c r="C616" s="5" t="s">
        <v>25</v>
      </c>
      <c r="D616" s="6" t="s">
        <v>25</v>
      </c>
      <c r="E616" s="7">
        <f>VLOOKUP(A616,Sheet2!$A$2:$R$3432,4,0)</f>
        <v>9881634714</v>
      </c>
      <c r="F616" s="7" t="str">
        <f>VLOOKUP(A616,Sheet2!$A$2:$R$3432,3,0)</f>
        <v>Parshuram Sable</v>
      </c>
      <c r="G616" s="5" t="s">
        <v>25</v>
      </c>
      <c r="H616" s="5" t="s">
        <v>25</v>
      </c>
      <c r="I616" s="5" t="s">
        <v>25</v>
      </c>
      <c r="J616" s="5" t="s">
        <v>25</v>
      </c>
      <c r="K616" s="7" t="str">
        <f>VLOOKUP(A616,Sheet2!$A$2:$R$3432,6,0)</f>
        <v>Honda Twister </v>
      </c>
      <c r="L616" s="5" t="s">
        <v>25</v>
      </c>
      <c r="M616" s="7" t="str">
        <f>VLOOKUP(A616,Sheet2!$A$2:$R$3432,5,0)</f>
        <v>MH12GW7642</v>
      </c>
      <c r="N616" s="5" t="s">
        <v>25</v>
      </c>
      <c r="O616" s="5" t="s">
        <v>25</v>
      </c>
      <c r="P616" s="6" t="s">
        <v>25</v>
      </c>
      <c r="Q616" s="5" t="s">
        <v>25</v>
      </c>
      <c r="R616" s="5" t="s">
        <v>25</v>
      </c>
      <c r="S616" s="5" t="str">
        <f>VLOOKUP(A616,Sheet2!$A$2:$R$3432,18,0)</f>
        <v>JC47F0154763</v>
      </c>
      <c r="T616" s="7" t="str">
        <f>VLOOKUP(A616,Sheet2!$A$2:$R$3432,17,0)</f>
        <v>ME4JC472AB8099329</v>
      </c>
    </row>
    <row r="617" ht="15.75" customHeight="1">
      <c r="A617" s="3" t="s">
        <v>640</v>
      </c>
      <c r="B617" s="4" t="str">
        <f>VLOOKUP(A617,Sheet2!$A$2:$R$3432,2,0)</f>
        <v>2024-12-29 19:27:55</v>
      </c>
      <c r="C617" s="5" t="s">
        <v>25</v>
      </c>
      <c r="D617" s="6" t="s">
        <v>25</v>
      </c>
      <c r="E617" s="7">
        <f>VLOOKUP(A617,Sheet2!$A$2:$R$3432,4,0)</f>
        <v>9881433661</v>
      </c>
      <c r="F617" s="7" t="str">
        <f>VLOOKUP(A617,Sheet2!$A$2:$R$3432,3,0)</f>
        <v>Satish Pawar </v>
      </c>
      <c r="G617" s="5" t="s">
        <v>25</v>
      </c>
      <c r="H617" s="5" t="s">
        <v>25</v>
      </c>
      <c r="I617" s="5" t="s">
        <v>25</v>
      </c>
      <c r="J617" s="5" t="s">
        <v>25</v>
      </c>
      <c r="K617" s="7" t="str">
        <f>VLOOKUP(A617,Sheet2!$A$2:$R$3432,6,0)</f>
        <v>Honda Activa No Data</v>
      </c>
      <c r="L617" s="5" t="s">
        <v>25</v>
      </c>
      <c r="M617" s="7" t="str">
        <f>VLOOKUP(A617,Sheet2!$A$2:$R$3432,5,0)</f>
        <v>MH14EK8123</v>
      </c>
      <c r="N617" s="5" t="s">
        <v>25</v>
      </c>
      <c r="O617" s="5" t="s">
        <v>25</v>
      </c>
      <c r="P617" s="6" t="s">
        <v>25</v>
      </c>
      <c r="Q617" s="5" t="s">
        <v>25</v>
      </c>
      <c r="R617" s="5" t="s">
        <v>25</v>
      </c>
      <c r="S617" s="5" t="str">
        <f>VLOOKUP(A617,Sheet2!$A$2:$R$3432,18,0)</f>
        <v>JF50581089703</v>
      </c>
      <c r="T617" s="7" t="str">
        <f>VLOOKUP(A617,Sheet2!$A$2:$R$3432,17,0)</f>
        <v>MEJF502EE80903170</v>
      </c>
    </row>
    <row r="618" ht="15.75" customHeight="1">
      <c r="A618" s="3" t="s">
        <v>641</v>
      </c>
      <c r="B618" s="4" t="str">
        <f>VLOOKUP(A618,Sheet2!$A$2:$R$3432,2,0)</f>
        <v>2024-12-29 19:28:38</v>
      </c>
      <c r="C618" s="5" t="s">
        <v>25</v>
      </c>
      <c r="D618" s="6" t="s">
        <v>25</v>
      </c>
      <c r="E618" s="7">
        <f>VLOOKUP(A618,Sheet2!$A$2:$R$3432,4,0)</f>
        <v>9881399332</v>
      </c>
      <c r="F618" s="7" t="str">
        <f>VLOOKUP(A618,Sheet2!$A$2:$R$3432,3,0)</f>
        <v>Jitendra Rajput</v>
      </c>
      <c r="G618" s="5" t="s">
        <v>25</v>
      </c>
      <c r="H618" s="5" t="s">
        <v>25</v>
      </c>
      <c r="I618" s="5" t="s">
        <v>25</v>
      </c>
      <c r="J618" s="5" t="s">
        <v>25</v>
      </c>
      <c r="K618" s="7" t="str">
        <f>VLOOKUP(A618,Sheet2!$A$2:$R$3432,6,0)</f>
        <v>TVS Jupiter </v>
      </c>
      <c r="L618" s="5" t="s">
        <v>25</v>
      </c>
      <c r="M618" s="7" t="str">
        <f>VLOOKUP(A618,Sheet2!$A$2:$R$3432,5,0)</f>
        <v>MH14GP3945</v>
      </c>
      <c r="N618" s="5" t="s">
        <v>25</v>
      </c>
      <c r="O618" s="5" t="s">
        <v>25</v>
      </c>
      <c r="P618" s="6" t="s">
        <v>25</v>
      </c>
      <c r="Q618" s="5" t="s">
        <v>25</v>
      </c>
      <c r="R618" s="5" t="s">
        <v>25</v>
      </c>
      <c r="S618" s="5" t="str">
        <f>VLOOKUP(A618,Sheet2!$A$2:$R$3432,18,0)</f>
        <v>EG4HH1509418</v>
      </c>
      <c r="T618" s="7" t="str">
        <f>VLOOKUP(A618,Sheet2!$A$2:$R$3432,17,0)</f>
        <v>MD626EG41H1H68505</v>
      </c>
    </row>
    <row r="619" ht="15.75" customHeight="1">
      <c r="A619" s="3" t="s">
        <v>642</v>
      </c>
      <c r="B619" s="4" t="str">
        <f>VLOOKUP(A619,Sheet2!$A$2:$R$3432,2,0)</f>
        <v>2024-12-29 19:30:31</v>
      </c>
      <c r="C619" s="5" t="s">
        <v>25</v>
      </c>
      <c r="D619" s="6" t="s">
        <v>25</v>
      </c>
      <c r="E619" s="7">
        <f>VLOOKUP(A619,Sheet2!$A$2:$R$3432,4,0)</f>
        <v>9970195941</v>
      </c>
      <c r="F619" s="7" t="str">
        <f>VLOOKUP(A619,Sheet2!$A$2:$R$3432,3,0)</f>
        <v>Madhumati</v>
      </c>
      <c r="G619" s="5" t="s">
        <v>25</v>
      </c>
      <c r="H619" s="5" t="s">
        <v>25</v>
      </c>
      <c r="I619" s="5" t="s">
        <v>25</v>
      </c>
      <c r="J619" s="5" t="s">
        <v>25</v>
      </c>
      <c r="K619" s="7" t="str">
        <f>VLOOKUP(A619,Sheet2!$A$2:$R$3432,6,0)</f>
        <v>Honda Activa 125</v>
      </c>
      <c r="L619" s="5" t="s">
        <v>25</v>
      </c>
      <c r="M619" s="7" t="str">
        <f>VLOOKUP(A619,Sheet2!$A$2:$R$3432,5,0)</f>
        <v>MH14EN5230</v>
      </c>
      <c r="N619" s="5" t="s">
        <v>25</v>
      </c>
      <c r="O619" s="5" t="s">
        <v>25</v>
      </c>
      <c r="P619" s="6" t="s">
        <v>25</v>
      </c>
      <c r="Q619" s="5" t="s">
        <v>25</v>
      </c>
      <c r="R619" s="5" t="s">
        <v>25</v>
      </c>
      <c r="S619" s="5" t="str">
        <f>VLOOKUP(A619,Sheet2!$A$2:$R$3432,18,0)</f>
        <v>JF49E80036098</v>
      </c>
      <c r="T619" s="7" t="str">
        <f>VLOOKUP(A619,Sheet2!$A$2:$R$3432,17,0)</f>
        <v>RUSTY FRAME</v>
      </c>
    </row>
    <row r="620" ht="15.75" customHeight="1">
      <c r="A620" s="3" t="s">
        <v>643</v>
      </c>
      <c r="B620" s="4" t="str">
        <f>VLOOKUP(A620,Sheet2!$A$2:$R$3432,2,0)</f>
        <v>2024-12-29 19:34:31</v>
      </c>
      <c r="C620" s="5" t="s">
        <v>25</v>
      </c>
      <c r="D620" s="6" t="s">
        <v>25</v>
      </c>
      <c r="E620" s="7">
        <f>VLOOKUP(A620,Sheet2!$A$2:$R$3432,4,0)</f>
        <v>9766945541</v>
      </c>
      <c r="F620" s="7" t="str">
        <f>VLOOKUP(A620,Sheet2!$A$2:$R$3432,3,0)</f>
        <v>Ashok Chaudhari</v>
      </c>
      <c r="G620" s="5" t="s">
        <v>25</v>
      </c>
      <c r="H620" s="5" t="s">
        <v>25</v>
      </c>
      <c r="I620" s="5" t="s">
        <v>25</v>
      </c>
      <c r="J620" s="5" t="s">
        <v>25</v>
      </c>
      <c r="K620" s="7" t="str">
        <f>VLOOKUP(A620,Sheet2!$A$2:$R$3432,6,0)</f>
        <v>Honda Activa 110</v>
      </c>
      <c r="L620" s="5" t="s">
        <v>25</v>
      </c>
      <c r="M620" s="7" t="str">
        <f>VLOOKUP(A620,Sheet2!$A$2:$R$3432,5,0)</f>
        <v>MH14EN3957</v>
      </c>
      <c r="N620" s="5" t="s">
        <v>25</v>
      </c>
      <c r="O620" s="5" t="s">
        <v>25</v>
      </c>
      <c r="P620" s="6" t="s">
        <v>25</v>
      </c>
      <c r="Q620" s="5" t="s">
        <v>25</v>
      </c>
      <c r="R620" s="5" t="s">
        <v>25</v>
      </c>
      <c r="S620" s="5" t="str">
        <f>VLOOKUP(A620,Sheet2!$A$2:$R$3432,18,0)</f>
        <v>JF50E81194860</v>
      </c>
      <c r="T620" s="7" t="str">
        <f>VLOOKUP(A620,Sheet2!$A$2:$R$3432,17,0)</f>
        <v>ME4JF502HE8196054</v>
      </c>
    </row>
    <row r="621" ht="15.75" customHeight="1">
      <c r="A621" s="3" t="s">
        <v>644</v>
      </c>
      <c r="B621" s="4" t="str">
        <f>VLOOKUP(A621,Sheet2!$A$2:$R$3432,2,0)</f>
        <v>2024-07-31 18:23:55</v>
      </c>
      <c r="C621" s="5" t="s">
        <v>25</v>
      </c>
      <c r="D621" s="6" t="s">
        <v>25</v>
      </c>
      <c r="E621" s="7">
        <f>VLOOKUP(A621,Sheet2!$A$2:$R$3432,4,0)</f>
        <v>9967050150</v>
      </c>
      <c r="F621" s="7" t="str">
        <f>VLOOKUP(A621,Sheet2!$A$2:$R$3432,3,0)</f>
        <v>UMESH PATIL </v>
      </c>
      <c r="G621" s="5" t="s">
        <v>25</v>
      </c>
      <c r="H621" s="5" t="s">
        <v>25</v>
      </c>
      <c r="I621" s="5" t="s">
        <v>25</v>
      </c>
      <c r="J621" s="5" t="s">
        <v>25</v>
      </c>
      <c r="K621" s="7" t="str">
        <f>VLOOKUP(A621,Sheet2!$A$2:$R$3432,6,0)</f>
        <v>Honda Aviator </v>
      </c>
      <c r="L621" s="5" t="s">
        <v>25</v>
      </c>
      <c r="M621" s="7" t="str">
        <f>VLOOKUP(A621,Sheet2!$A$2:$R$3432,5,0)</f>
        <v>MH39G5704</v>
      </c>
      <c r="N621" s="5" t="s">
        <v>25</v>
      </c>
      <c r="O621" s="5" t="s">
        <v>25</v>
      </c>
      <c r="P621" s="6" t="s">
        <v>25</v>
      </c>
      <c r="Q621" s="5" t="s">
        <v>25</v>
      </c>
      <c r="R621" s="5" t="s">
        <v>25</v>
      </c>
      <c r="S621" s="7" t="str">
        <f>VLOOKUP(A621,Sheet2!$A$2:$R$3432,18,0)</f>
        <v/>
      </c>
      <c r="T621" s="7" t="str">
        <f>VLOOKUP(A621,Sheet2!$A$2:$R$3432,17,0)</f>
        <v/>
      </c>
    </row>
    <row r="622" ht="15.75" customHeight="1">
      <c r="A622" s="3" t="s">
        <v>645</v>
      </c>
      <c r="B622" s="4" t="str">
        <f>VLOOKUP(A622,Sheet2!$A$2:$R$3432,2,0)</f>
        <v>2024-07-31 18:30:12</v>
      </c>
      <c r="C622" s="5" t="s">
        <v>25</v>
      </c>
      <c r="D622" s="6" t="s">
        <v>25</v>
      </c>
      <c r="E622" s="7">
        <f>VLOOKUP(A622,Sheet2!$A$2:$R$3432,4,0)</f>
        <v>9922300037</v>
      </c>
      <c r="F622" s="7" t="str">
        <f>VLOOKUP(A622,Sheet2!$A$2:$R$3432,3,0)</f>
        <v>Abhijeet </v>
      </c>
      <c r="G622" s="5" t="s">
        <v>25</v>
      </c>
      <c r="H622" s="5" t="s">
        <v>25</v>
      </c>
      <c r="I622" s="5" t="s">
        <v>25</v>
      </c>
      <c r="J622" s="5" t="s">
        <v>25</v>
      </c>
      <c r="K622" s="7" t="str">
        <f>VLOOKUP(A622,Sheet2!$A$2:$R$3432,6,0)</f>
        <v>Honda Activa Old</v>
      </c>
      <c r="L622" s="5" t="s">
        <v>25</v>
      </c>
      <c r="M622" s="7" t="str">
        <f>VLOOKUP(A622,Sheet2!$A$2:$R$3432,5,0)</f>
        <v>MH30W3121</v>
      </c>
      <c r="N622" s="5" t="s">
        <v>25</v>
      </c>
      <c r="O622" s="5" t="s">
        <v>25</v>
      </c>
      <c r="P622" s="6" t="s">
        <v>25</v>
      </c>
      <c r="Q622" s="5" t="s">
        <v>25</v>
      </c>
      <c r="R622" s="5" t="s">
        <v>25</v>
      </c>
      <c r="S622" s="7" t="str">
        <f>VLOOKUP(A622,Sheet2!$A$2:$R$3432,18,0)</f>
        <v/>
      </c>
      <c r="T622" s="7" t="str">
        <f>VLOOKUP(A622,Sheet2!$A$2:$R$3432,17,0)</f>
        <v/>
      </c>
    </row>
    <row r="623" ht="15.75" customHeight="1">
      <c r="A623" s="3" t="s">
        <v>646</v>
      </c>
      <c r="B623" s="4" t="str">
        <f>VLOOKUP(A623,Sheet2!$A$2:$R$3432,2,0)</f>
        <v>2024-07-31 18:27:06</v>
      </c>
      <c r="C623" s="5" t="s">
        <v>25</v>
      </c>
      <c r="D623" s="6" t="s">
        <v>25</v>
      </c>
      <c r="E623" s="7">
        <f>VLOOKUP(A623,Sheet2!$A$2:$R$3432,4,0)</f>
        <v>8975413826</v>
      </c>
      <c r="F623" s="7" t="str">
        <f>VLOOKUP(A623,Sheet2!$A$2:$R$3432,3,0)</f>
        <v>SAURABH</v>
      </c>
      <c r="G623" s="5" t="s">
        <v>25</v>
      </c>
      <c r="H623" s="5" t="s">
        <v>25</v>
      </c>
      <c r="I623" s="5" t="s">
        <v>25</v>
      </c>
      <c r="J623" s="5" t="s">
        <v>25</v>
      </c>
      <c r="K623" s="7" t="str">
        <f>VLOOKUP(A623,Sheet2!$A$2:$R$3432,6,0)</f>
        <v>Honda Activa 3G</v>
      </c>
      <c r="L623" s="5" t="s">
        <v>25</v>
      </c>
      <c r="M623" s="7" t="str">
        <f>VLOOKUP(A623,Sheet2!$A$2:$R$3432,5,0)</f>
        <v>MH14FE3609</v>
      </c>
      <c r="N623" s="5" t="s">
        <v>25</v>
      </c>
      <c r="O623" s="5" t="s">
        <v>25</v>
      </c>
      <c r="P623" s="6" t="s">
        <v>25</v>
      </c>
      <c r="Q623" s="5" t="s">
        <v>25</v>
      </c>
      <c r="R623" s="5" t="s">
        <v>25</v>
      </c>
      <c r="S623" s="7" t="str">
        <f>VLOOKUP(A623,Sheet2!$A$2:$R$3432,18,0)</f>
        <v/>
      </c>
      <c r="T623" s="7" t="str">
        <f>VLOOKUP(A623,Sheet2!$A$2:$R$3432,17,0)</f>
        <v/>
      </c>
    </row>
    <row r="624" ht="15.75" customHeight="1">
      <c r="A624" s="3" t="s">
        <v>647</v>
      </c>
      <c r="B624" s="4" t="str">
        <f>VLOOKUP(A624,Sheet2!$A$2:$R$3432,2,0)</f>
        <v>2024-07-31 18:33:05</v>
      </c>
      <c r="C624" s="5" t="s">
        <v>25</v>
      </c>
      <c r="D624" s="6" t="s">
        <v>25</v>
      </c>
      <c r="E624" s="7">
        <f>VLOOKUP(A624,Sheet2!$A$2:$R$3432,4,0)</f>
        <v>9049536462</v>
      </c>
      <c r="F624" s="7" t="str">
        <f>VLOOKUP(A624,Sheet2!$A$2:$R$3432,3,0)</f>
        <v>Manoj</v>
      </c>
      <c r="G624" s="5" t="s">
        <v>25</v>
      </c>
      <c r="H624" s="5" t="s">
        <v>25</v>
      </c>
      <c r="I624" s="5" t="s">
        <v>25</v>
      </c>
      <c r="J624" s="5" t="s">
        <v>25</v>
      </c>
      <c r="K624" s="7" t="str">
        <f>VLOOKUP(A624,Sheet2!$A$2:$R$3432,6,0)</f>
        <v>Honda Activa </v>
      </c>
      <c r="L624" s="5" t="s">
        <v>25</v>
      </c>
      <c r="M624" s="7" t="str">
        <f>VLOOKUP(A624,Sheet2!$A$2:$R$3432,5,0)</f>
        <v>MH14GB8855</v>
      </c>
      <c r="N624" s="5" t="s">
        <v>25</v>
      </c>
      <c r="O624" s="5" t="s">
        <v>25</v>
      </c>
      <c r="P624" s="6" t="s">
        <v>25</v>
      </c>
      <c r="Q624" s="5" t="s">
        <v>25</v>
      </c>
      <c r="R624" s="5" t="s">
        <v>25</v>
      </c>
      <c r="S624" s="5" t="str">
        <f>VLOOKUP(A624,Sheet2!$A$2:$R$3432,18,0)</f>
        <v>JF50U3017142</v>
      </c>
      <c r="T624" s="7" t="str">
        <f>VLOOKUP(A624,Sheet2!$A$2:$R$3432,17,0)</f>
        <v>ME4JF507BHU017099</v>
      </c>
    </row>
    <row r="625" ht="15.75" customHeight="1">
      <c r="A625" s="3" t="s">
        <v>648</v>
      </c>
      <c r="B625" s="4" t="str">
        <f>VLOOKUP(A625,Sheet2!$A$2:$R$3432,2,0)</f>
        <v>2024-07-31 18:32:44</v>
      </c>
      <c r="C625" s="5" t="s">
        <v>25</v>
      </c>
      <c r="D625" s="6" t="s">
        <v>25</v>
      </c>
      <c r="E625" s="7">
        <f>VLOOKUP(A625,Sheet2!$A$2:$R$3432,4,0)</f>
        <v>9144661472</v>
      </c>
      <c r="F625" s="7" t="str">
        <f>VLOOKUP(A625,Sheet2!$A$2:$R$3432,3,0)</f>
        <v>DEVESH</v>
      </c>
      <c r="G625" s="5" t="s">
        <v>25</v>
      </c>
      <c r="H625" s="5" t="s">
        <v>25</v>
      </c>
      <c r="I625" s="5" t="s">
        <v>25</v>
      </c>
      <c r="J625" s="5" t="s">
        <v>25</v>
      </c>
      <c r="K625" s="7" t="str">
        <f>VLOOKUP(A625,Sheet2!$A$2:$R$3432,6,0)</f>
        <v>Yamaha FZ S</v>
      </c>
      <c r="L625" s="5" t="s">
        <v>25</v>
      </c>
      <c r="M625" s="7" t="str">
        <f>VLOOKUP(A625,Sheet2!$A$2:$R$3432,5,0)</f>
        <v>MH14GQ5887</v>
      </c>
      <c r="N625" s="5" t="s">
        <v>25</v>
      </c>
      <c r="O625" s="5" t="s">
        <v>25</v>
      </c>
      <c r="P625" s="6" t="s">
        <v>25</v>
      </c>
      <c r="Q625" s="5" t="s">
        <v>25</v>
      </c>
      <c r="R625" s="5" t="s">
        <v>25</v>
      </c>
      <c r="S625" s="7" t="str">
        <f>VLOOKUP(A625,Sheet2!$A$2:$R$3432,18,0)</f>
        <v/>
      </c>
      <c r="T625" s="7" t="str">
        <f>VLOOKUP(A625,Sheet2!$A$2:$R$3432,17,0)</f>
        <v/>
      </c>
    </row>
    <row r="626" ht="15.75" customHeight="1">
      <c r="A626" s="3" t="s">
        <v>649</v>
      </c>
      <c r="B626" s="4" t="str">
        <f>VLOOKUP(A626,Sheet2!$A$2:$R$3432,2,0)</f>
        <v>2024-07-31 18:36:01</v>
      </c>
      <c r="C626" s="5" t="s">
        <v>25</v>
      </c>
      <c r="D626" s="6" t="s">
        <v>25</v>
      </c>
      <c r="E626" s="7">
        <f>VLOOKUP(A626,Sheet2!$A$2:$R$3432,4,0)</f>
        <v>9922219794</v>
      </c>
      <c r="F626" s="7" t="str">
        <f>VLOOKUP(A626,Sheet2!$A$2:$R$3432,3,0)</f>
        <v>SHAHAJI MORE</v>
      </c>
      <c r="G626" s="5" t="s">
        <v>25</v>
      </c>
      <c r="H626" s="5" t="s">
        <v>25</v>
      </c>
      <c r="I626" s="5" t="s">
        <v>25</v>
      </c>
      <c r="J626" s="5" t="s">
        <v>25</v>
      </c>
      <c r="K626" s="7" t="str">
        <f>VLOOKUP(A626,Sheet2!$A$2:$R$3432,6,0)</f>
        <v>Hero Deluxe CD</v>
      </c>
      <c r="L626" s="5" t="s">
        <v>25</v>
      </c>
      <c r="M626" s="7" t="str">
        <f>VLOOKUP(A626,Sheet2!$A$2:$R$3432,5,0)</f>
        <v>MH14AU0235</v>
      </c>
      <c r="N626" s="5" t="s">
        <v>25</v>
      </c>
      <c r="O626" s="5" t="s">
        <v>25</v>
      </c>
      <c r="P626" s="6" t="s">
        <v>25</v>
      </c>
      <c r="Q626" s="5" t="s">
        <v>25</v>
      </c>
      <c r="R626" s="5" t="s">
        <v>25</v>
      </c>
      <c r="S626" s="7" t="str">
        <f>VLOOKUP(A626,Sheet2!$A$2:$R$3432,18,0)</f>
        <v/>
      </c>
      <c r="T626" s="7" t="str">
        <f>VLOOKUP(A626,Sheet2!$A$2:$R$3432,17,0)</f>
        <v/>
      </c>
    </row>
    <row r="627" ht="15.75" customHeight="1">
      <c r="A627" s="3" t="s">
        <v>650</v>
      </c>
      <c r="B627" s="4" t="str">
        <f>VLOOKUP(A627,Sheet2!$A$2:$R$3432,2,0)</f>
        <v>2024-07-31 18:25:19</v>
      </c>
      <c r="C627" s="5" t="s">
        <v>25</v>
      </c>
      <c r="D627" s="6" t="s">
        <v>25</v>
      </c>
      <c r="E627" s="7">
        <f>VLOOKUP(A627,Sheet2!$A$2:$R$3432,4,0)</f>
        <v>9730197115</v>
      </c>
      <c r="F627" s="7" t="str">
        <f>VLOOKUP(A627,Sheet2!$A$2:$R$3432,3,0)</f>
        <v>VISHAL DANGARE</v>
      </c>
      <c r="G627" s="5" t="s">
        <v>25</v>
      </c>
      <c r="H627" s="5" t="s">
        <v>25</v>
      </c>
      <c r="I627" s="5" t="s">
        <v>25</v>
      </c>
      <c r="J627" s="5" t="s">
        <v>25</v>
      </c>
      <c r="K627" s="7" t="str">
        <f>VLOOKUP(A627,Sheet2!$A$2:$R$3432,6,0)</f>
        <v>TVS Jupiter BS6</v>
      </c>
      <c r="L627" s="5" t="s">
        <v>25</v>
      </c>
      <c r="M627" s="7" t="str">
        <f>VLOOKUP(A627,Sheet2!$A$2:$R$3432,5,0)</f>
        <v>MH14JN7864</v>
      </c>
      <c r="N627" s="5" t="s">
        <v>25</v>
      </c>
      <c r="O627" s="5" t="s">
        <v>25</v>
      </c>
      <c r="P627" s="6" t="s">
        <v>25</v>
      </c>
      <c r="Q627" s="5" t="s">
        <v>25</v>
      </c>
      <c r="R627" s="5" t="s">
        <v>25</v>
      </c>
      <c r="S627" s="5" t="str">
        <f>VLOOKUP(A627,Sheet2!$A$2:$R$3432,18,0)</f>
        <v>DG5BM14312</v>
      </c>
      <c r="T627" s="7" t="str">
        <f>VLOOKUP(A627,Sheet2!$A$2:$R$3432,17,0)</f>
        <v>MD626CG52M1B34269</v>
      </c>
    </row>
    <row r="628" ht="15.75" customHeight="1">
      <c r="A628" s="3" t="s">
        <v>651</v>
      </c>
      <c r="B628" s="4" t="str">
        <f>VLOOKUP(A628,Sheet2!$A$2:$R$3432,2,0)</f>
        <v>2024-07-31 18:32:02</v>
      </c>
      <c r="C628" s="5" t="s">
        <v>25</v>
      </c>
      <c r="D628" s="6" t="s">
        <v>25</v>
      </c>
      <c r="E628" s="7">
        <f>VLOOKUP(A628,Sheet2!$A$2:$R$3432,4,0)</f>
        <v>8551903000</v>
      </c>
      <c r="F628" s="7" t="str">
        <f>VLOOKUP(A628,Sheet2!$A$2:$R$3432,3,0)</f>
        <v>MADHURA BAVISKAR </v>
      </c>
      <c r="G628" s="5" t="s">
        <v>25</v>
      </c>
      <c r="H628" s="5" t="s">
        <v>25</v>
      </c>
      <c r="I628" s="5" t="s">
        <v>25</v>
      </c>
      <c r="J628" s="5" t="s">
        <v>25</v>
      </c>
      <c r="K628" s="7" t="str">
        <f>VLOOKUP(A628,Sheet2!$A$2:$R$3432,6,0)</f>
        <v>Piaggio Vespa </v>
      </c>
      <c r="L628" s="5" t="s">
        <v>25</v>
      </c>
      <c r="M628" s="7" t="str">
        <f>VLOOKUP(A628,Sheet2!$A$2:$R$3432,5,0)</f>
        <v>MH14EA971</v>
      </c>
      <c r="N628" s="5" t="s">
        <v>25</v>
      </c>
      <c r="O628" s="5" t="s">
        <v>25</v>
      </c>
      <c r="P628" s="6" t="s">
        <v>25</v>
      </c>
      <c r="Q628" s="5" t="s">
        <v>25</v>
      </c>
      <c r="R628" s="5" t="s">
        <v>25</v>
      </c>
      <c r="S628" s="7" t="str">
        <f>VLOOKUP(A628,Sheet2!$A$2:$R$3432,18,0)</f>
        <v/>
      </c>
      <c r="T628" s="7" t="str">
        <f>VLOOKUP(A628,Sheet2!$A$2:$R$3432,17,0)</f>
        <v/>
      </c>
    </row>
    <row r="629" ht="15.75" customHeight="1">
      <c r="A629" s="3" t="s">
        <v>652</v>
      </c>
      <c r="B629" s="4" t="str">
        <f>VLOOKUP(A629,Sheet2!$A$2:$R$3432,2,0)</f>
        <v>2025-03-13 19:43:30</v>
      </c>
      <c r="C629" s="5" t="s">
        <v>25</v>
      </c>
      <c r="D629" s="6" t="s">
        <v>25</v>
      </c>
      <c r="E629" s="7">
        <f>VLOOKUP(A629,Sheet2!$A$2:$R$3432,4,0)</f>
        <v>8390339222</v>
      </c>
      <c r="F629" s="7" t="str">
        <f>VLOOKUP(A629,Sheet2!$A$2:$R$3432,3,0)</f>
        <v>NITIN WAGHODE</v>
      </c>
      <c r="G629" s="5" t="s">
        <v>25</v>
      </c>
      <c r="H629" s="5" t="s">
        <v>25</v>
      </c>
      <c r="I629" s="5" t="s">
        <v>25</v>
      </c>
      <c r="J629" s="5" t="s">
        <v>25</v>
      </c>
      <c r="K629" s="7" t="str">
        <f>VLOOKUP(A629,Sheet2!$A$2:$R$3432,6,0)</f>
        <v>Bajaj Pulsar 200 RS</v>
      </c>
      <c r="L629" s="5" t="s">
        <v>25</v>
      </c>
      <c r="M629" s="7" t="str">
        <f>VLOOKUP(A629,Sheet2!$A$2:$R$3432,5,0)</f>
        <v>MH14FW9258</v>
      </c>
      <c r="N629" s="5" t="s">
        <v>25</v>
      </c>
      <c r="O629" s="5" t="s">
        <v>25</v>
      </c>
      <c r="P629" s="6" t="s">
        <v>25</v>
      </c>
      <c r="Q629" s="5" t="s">
        <v>25</v>
      </c>
      <c r="R629" s="5" t="s">
        <v>25</v>
      </c>
      <c r="S629" s="7" t="str">
        <f>VLOOKUP(A629,Sheet2!$A$2:$R$3432,18,0)</f>
        <v/>
      </c>
      <c r="T629" s="7" t="str">
        <f>VLOOKUP(A629,Sheet2!$A$2:$R$3432,17,0)</f>
        <v/>
      </c>
    </row>
    <row r="630" ht="15.75" customHeight="1">
      <c r="A630" s="3" t="s">
        <v>653</v>
      </c>
      <c r="B630" s="4" t="str">
        <f>VLOOKUP(A630,Sheet2!$A$2:$R$3432,2,0)</f>
        <v>2025-03-13 19:43:46</v>
      </c>
      <c r="C630" s="5" t="s">
        <v>25</v>
      </c>
      <c r="D630" s="6" t="s">
        <v>25</v>
      </c>
      <c r="E630" s="7">
        <f>VLOOKUP(A630,Sheet2!$A$2:$R$3432,4,0)</f>
        <v>9011069872</v>
      </c>
      <c r="F630" s="7" t="str">
        <f>VLOOKUP(A630,Sheet2!$A$2:$R$3432,3,0)</f>
        <v>SANTOSH SUTAR</v>
      </c>
      <c r="G630" s="5" t="s">
        <v>25</v>
      </c>
      <c r="H630" s="5" t="s">
        <v>25</v>
      </c>
      <c r="I630" s="5" t="s">
        <v>25</v>
      </c>
      <c r="J630" s="5" t="s">
        <v>25</v>
      </c>
      <c r="K630" s="7" t="str">
        <f>VLOOKUP(A630,Sheet2!$A$2:$R$3432,6,0)</f>
        <v>Hero Splendor Plus</v>
      </c>
      <c r="L630" s="5" t="s">
        <v>25</v>
      </c>
      <c r="M630" s="7" t="str">
        <f>VLOOKUP(A630,Sheet2!$A$2:$R$3432,5,0)</f>
        <v>MH14GM2715</v>
      </c>
      <c r="N630" s="5" t="s">
        <v>25</v>
      </c>
      <c r="O630" s="5" t="s">
        <v>25</v>
      </c>
      <c r="P630" s="6" t="s">
        <v>25</v>
      </c>
      <c r="Q630" s="5" t="s">
        <v>25</v>
      </c>
      <c r="R630" s="5" t="s">
        <v>25</v>
      </c>
      <c r="S630" s="7" t="str">
        <f>VLOOKUP(A630,Sheet2!$A$2:$R$3432,18,0)</f>
        <v/>
      </c>
      <c r="T630" s="7" t="str">
        <f>VLOOKUP(A630,Sheet2!$A$2:$R$3432,17,0)</f>
        <v/>
      </c>
    </row>
    <row r="631" ht="15.75" customHeight="1">
      <c r="A631" s="3" t="s">
        <v>654</v>
      </c>
      <c r="B631" s="4" t="str">
        <f>VLOOKUP(A631,Sheet2!$A$2:$R$3432,2,0)</f>
        <v>2025-03-13 19:48:09</v>
      </c>
      <c r="C631" s="5" t="s">
        <v>25</v>
      </c>
      <c r="D631" s="6" t="s">
        <v>25</v>
      </c>
      <c r="E631" s="7">
        <f>VLOOKUP(A631,Sheet2!$A$2:$R$3432,4,0)</f>
        <v>8983567419</v>
      </c>
      <c r="F631" s="7" t="str">
        <f>VLOOKUP(A631,Sheet2!$A$2:$R$3432,3,0)</f>
        <v>ABHIJEET DESHMUKH </v>
      </c>
      <c r="G631" s="5" t="s">
        <v>25</v>
      </c>
      <c r="H631" s="5" t="s">
        <v>25</v>
      </c>
      <c r="I631" s="5" t="s">
        <v>25</v>
      </c>
      <c r="J631" s="5" t="s">
        <v>25</v>
      </c>
      <c r="K631" s="7" t="str">
        <f>VLOOKUP(A631,Sheet2!$A$2:$R$3432,6,0)</f>
        <v>Bajaj Dominar 400</v>
      </c>
      <c r="L631" s="5" t="s">
        <v>25</v>
      </c>
      <c r="M631" s="7" t="str">
        <f>VLOOKUP(A631,Sheet2!$A$2:$R$3432,5,0)</f>
        <v>MH12UL9108</v>
      </c>
      <c r="N631" s="5" t="s">
        <v>25</v>
      </c>
      <c r="O631" s="5" t="s">
        <v>25</v>
      </c>
      <c r="P631" s="6" t="s">
        <v>25</v>
      </c>
      <c r="Q631" s="5" t="s">
        <v>25</v>
      </c>
      <c r="R631" s="5" t="s">
        <v>25</v>
      </c>
      <c r="S631" s="7" t="str">
        <f>VLOOKUP(A631,Sheet2!$A$2:$R$3432,18,0)</f>
        <v/>
      </c>
      <c r="T631" s="7" t="str">
        <f>VLOOKUP(A631,Sheet2!$A$2:$R$3432,17,0)</f>
        <v/>
      </c>
    </row>
    <row r="632" ht="15.75" customHeight="1">
      <c r="A632" s="3" t="s">
        <v>655</v>
      </c>
      <c r="B632" s="4" t="str">
        <f>VLOOKUP(A632,Sheet2!$A$2:$R$3432,2,0)</f>
        <v>2025-03-13 19:48:31</v>
      </c>
      <c r="C632" s="5" t="s">
        <v>25</v>
      </c>
      <c r="D632" s="6" t="s">
        <v>25</v>
      </c>
      <c r="E632" s="7">
        <f>VLOOKUP(A632,Sheet2!$A$2:$R$3432,4,0)</f>
        <v>8412892212</v>
      </c>
      <c r="F632" s="7" t="str">
        <f>VLOOKUP(A632,Sheet2!$A$2:$R$3432,3,0)</f>
        <v>Rohan</v>
      </c>
      <c r="G632" s="5" t="s">
        <v>25</v>
      </c>
      <c r="H632" s="5" t="s">
        <v>25</v>
      </c>
      <c r="I632" s="5" t="s">
        <v>25</v>
      </c>
      <c r="J632" s="5" t="s">
        <v>25</v>
      </c>
      <c r="K632" s="7" t="str">
        <f>VLOOKUP(A632,Sheet2!$A$2:$R$3432,6,0)</f>
        <v>Honda Activa 6G</v>
      </c>
      <c r="L632" s="5" t="s">
        <v>25</v>
      </c>
      <c r="M632" s="7" t="str">
        <f>VLOOKUP(A632,Sheet2!$A$2:$R$3432,5,0)</f>
        <v>MH09FX5933</v>
      </c>
      <c r="N632" s="5" t="s">
        <v>25</v>
      </c>
      <c r="O632" s="5" t="s">
        <v>25</v>
      </c>
      <c r="P632" s="6" t="s">
        <v>25</v>
      </c>
      <c r="Q632" s="5" t="s">
        <v>25</v>
      </c>
      <c r="R632" s="5" t="s">
        <v>25</v>
      </c>
      <c r="S632" s="5" t="str">
        <f>VLOOKUP(A632,Sheet2!$A$2:$R$3432,18,0)</f>
        <v>JF91ED0182325</v>
      </c>
      <c r="T632" s="7" t="str">
        <f>VLOOKUP(A632,Sheet2!$A$2:$R$3432,17,0)</f>
        <v>ME4JF3JM0183319</v>
      </c>
    </row>
    <row r="633" ht="15.75" customHeight="1">
      <c r="A633" s="3" t="s">
        <v>656</v>
      </c>
      <c r="B633" s="4" t="str">
        <f>VLOOKUP(A633,Sheet2!$A$2:$R$3432,2,0)</f>
        <v>2025-03-13 19:49:14</v>
      </c>
      <c r="C633" s="5" t="s">
        <v>25</v>
      </c>
      <c r="D633" s="6" t="s">
        <v>25</v>
      </c>
      <c r="E633" s="7">
        <f>VLOOKUP(A633,Sheet2!$A$2:$R$3432,4,0)</f>
        <v>9881690726</v>
      </c>
      <c r="F633" s="7" t="str">
        <f>VLOOKUP(A633,Sheet2!$A$2:$R$3432,3,0)</f>
        <v>Vijaymala Singh</v>
      </c>
      <c r="G633" s="5" t="s">
        <v>25</v>
      </c>
      <c r="H633" s="5" t="s">
        <v>25</v>
      </c>
      <c r="I633" s="5" t="s">
        <v>25</v>
      </c>
      <c r="J633" s="5" t="s">
        <v>25</v>
      </c>
      <c r="K633" s="7" t="str">
        <f>VLOOKUP(A633,Sheet2!$A$2:$R$3432,6,0)</f>
        <v>TVS Jupiter </v>
      </c>
      <c r="L633" s="5" t="s">
        <v>25</v>
      </c>
      <c r="M633" s="7" t="str">
        <f>VLOOKUP(A633,Sheet2!$A$2:$R$3432,5,0)</f>
        <v>MH14FH6775</v>
      </c>
      <c r="N633" s="5" t="s">
        <v>25</v>
      </c>
      <c r="O633" s="5" t="s">
        <v>25</v>
      </c>
      <c r="P633" s="6" t="s">
        <v>25</v>
      </c>
      <c r="Q633" s="5" t="s">
        <v>25</v>
      </c>
      <c r="R633" s="5" t="s">
        <v>25</v>
      </c>
      <c r="S633" s="7" t="str">
        <f>VLOOKUP(A633,Sheet2!$A$2:$R$3432,18,0)</f>
        <v/>
      </c>
      <c r="T633" s="7" t="str">
        <f>VLOOKUP(A633,Sheet2!$A$2:$R$3432,17,0)</f>
        <v>MD626BG42F1N51232</v>
      </c>
    </row>
    <row r="634" ht="15.75" customHeight="1">
      <c r="A634" s="3" t="s">
        <v>657</v>
      </c>
      <c r="B634" s="4" t="str">
        <f>VLOOKUP(A634,Sheet2!$A$2:$R$3432,2,0)</f>
        <v>2025-03-13 19:50:29</v>
      </c>
      <c r="C634" s="5" t="s">
        <v>25</v>
      </c>
      <c r="D634" s="6" t="s">
        <v>25</v>
      </c>
      <c r="E634" s="7">
        <f>VLOOKUP(A634,Sheet2!$A$2:$R$3432,4,0)</f>
        <v>8102008054</v>
      </c>
      <c r="F634" s="7" t="str">
        <f>VLOOKUP(A634,Sheet2!$A$2:$R$3432,3,0)</f>
        <v>SAURABH</v>
      </c>
      <c r="G634" s="5" t="s">
        <v>25</v>
      </c>
      <c r="H634" s="5" t="s">
        <v>25</v>
      </c>
      <c r="I634" s="5" t="s">
        <v>25</v>
      </c>
      <c r="J634" s="5" t="s">
        <v>25</v>
      </c>
      <c r="K634" s="7" t="str">
        <f>VLOOKUP(A634,Sheet2!$A$2:$R$3432,6,0)</f>
        <v>Yamaha FZ S</v>
      </c>
      <c r="L634" s="5" t="s">
        <v>25</v>
      </c>
      <c r="M634" s="7" t="str">
        <f>VLOOKUP(A634,Sheet2!$A$2:$R$3432,5,0)</f>
        <v>MH12GL3818</v>
      </c>
      <c r="N634" s="5" t="s">
        <v>25</v>
      </c>
      <c r="O634" s="5" t="s">
        <v>25</v>
      </c>
      <c r="P634" s="6" t="s">
        <v>25</v>
      </c>
      <c r="Q634" s="5" t="s">
        <v>25</v>
      </c>
      <c r="R634" s="5" t="s">
        <v>25</v>
      </c>
      <c r="S634" s="7" t="str">
        <f>VLOOKUP(A634,Sheet2!$A$2:$R$3432,18,0)</f>
        <v/>
      </c>
      <c r="T634" s="7" t="str">
        <f>VLOOKUP(A634,Sheet2!$A$2:$R$3432,17,0)</f>
        <v/>
      </c>
    </row>
    <row r="635" ht="15.75" customHeight="1">
      <c r="A635" s="3" t="s">
        <v>658</v>
      </c>
      <c r="B635" s="4" t="str">
        <f>VLOOKUP(A635,Sheet2!$A$2:$R$3432,2,0)</f>
        <v>2025-03-13 19:53:37</v>
      </c>
      <c r="C635" s="5" t="s">
        <v>25</v>
      </c>
      <c r="D635" s="6" t="s">
        <v>25</v>
      </c>
      <c r="E635" s="7">
        <f>VLOOKUP(A635,Sheet2!$A$2:$R$3432,4,0)</f>
        <v>9545166566</v>
      </c>
      <c r="F635" s="7" t="str">
        <f>VLOOKUP(A635,Sheet2!$A$2:$R$3432,3,0)</f>
        <v>ANKIT</v>
      </c>
      <c r="G635" s="5" t="s">
        <v>25</v>
      </c>
      <c r="H635" s="5" t="s">
        <v>25</v>
      </c>
      <c r="I635" s="5" t="s">
        <v>25</v>
      </c>
      <c r="J635" s="5" t="s">
        <v>25</v>
      </c>
      <c r="K635" s="7" t="str">
        <f>VLOOKUP(A635,Sheet2!$A$2:$R$3432,6,0)</f>
        <v>Bajaj Pulsar 150</v>
      </c>
      <c r="L635" s="5" t="s">
        <v>25</v>
      </c>
      <c r="M635" s="7" t="str">
        <f>VLOOKUP(A635,Sheet2!$A$2:$R$3432,5,0)</f>
        <v>KA51EC3604</v>
      </c>
      <c r="N635" s="5" t="s">
        <v>25</v>
      </c>
      <c r="O635" s="5" t="s">
        <v>25</v>
      </c>
      <c r="P635" s="6" t="s">
        <v>25</v>
      </c>
      <c r="Q635" s="5" t="s">
        <v>25</v>
      </c>
      <c r="R635" s="5" t="s">
        <v>25</v>
      </c>
      <c r="S635" s="7" t="str">
        <f>VLOOKUP(A635,Sheet2!$A$2:$R$3432,18,0)</f>
        <v/>
      </c>
      <c r="T635" s="7" t="str">
        <f>VLOOKUP(A635,Sheet2!$A$2:$R$3432,17,0)</f>
        <v/>
      </c>
    </row>
    <row r="636" ht="15.75" customHeight="1">
      <c r="A636" s="3" t="s">
        <v>659</v>
      </c>
      <c r="B636" s="4" t="str">
        <f>VLOOKUP(A636,Sheet2!$A$2:$R$3432,2,0)</f>
        <v>2025-03-13 19:50:46</v>
      </c>
      <c r="C636" s="5" t="s">
        <v>25</v>
      </c>
      <c r="D636" s="6" t="s">
        <v>25</v>
      </c>
      <c r="E636" s="7">
        <f>VLOOKUP(A636,Sheet2!$A$2:$R$3432,4,0)</f>
        <v>9822374050</v>
      </c>
      <c r="F636" s="7" t="str">
        <f>VLOOKUP(A636,Sheet2!$A$2:$R$3432,3,0)</f>
        <v>Snehdeep</v>
      </c>
      <c r="G636" s="5" t="s">
        <v>25</v>
      </c>
      <c r="H636" s="5" t="s">
        <v>25</v>
      </c>
      <c r="I636" s="5" t="s">
        <v>25</v>
      </c>
      <c r="J636" s="5" t="s">
        <v>25</v>
      </c>
      <c r="K636" s="7" t="str">
        <f>VLOOKUP(A636,Sheet2!$A$2:$R$3432,6,0)</f>
        <v>Suzuki Access 125</v>
      </c>
      <c r="L636" s="5" t="s">
        <v>25</v>
      </c>
      <c r="M636" s="7" t="str">
        <f>VLOOKUP(A636,Sheet2!$A$2:$R$3432,5,0)</f>
        <v>MH14FU8411</v>
      </c>
      <c r="N636" s="5" t="s">
        <v>25</v>
      </c>
      <c r="O636" s="5" t="s">
        <v>25</v>
      </c>
      <c r="P636" s="6" t="s">
        <v>25</v>
      </c>
      <c r="Q636" s="5" t="s">
        <v>25</v>
      </c>
      <c r="R636" s="5" t="s">
        <v>25</v>
      </c>
      <c r="S636" s="5" t="str">
        <f>VLOOKUP(A636,Sheet2!$A$2:$R$3432,18,0)</f>
        <v>AF211068473</v>
      </c>
      <c r="T636" s="7" t="str">
        <f>VLOOKUP(A636,Sheet2!$A$2:$R$3432,17,0)</f>
        <v>MB8DP11A668174297</v>
      </c>
    </row>
    <row r="637" ht="15.75" customHeight="1">
      <c r="A637" s="3" t="s">
        <v>660</v>
      </c>
      <c r="B637" s="4" t="str">
        <f>VLOOKUP(A637,Sheet2!$A$2:$R$3432,2,0)</f>
        <v>2025-01-23 13:54:17</v>
      </c>
      <c r="C637" s="5" t="s">
        <v>25</v>
      </c>
      <c r="D637" s="6" t="s">
        <v>25</v>
      </c>
      <c r="E637" s="7">
        <f>VLOOKUP(A637,Sheet2!$A$2:$R$3432,4,0)</f>
        <v>9604429500</v>
      </c>
      <c r="F637" s="7" t="str">
        <f>VLOOKUP(A637,Sheet2!$A$2:$R$3432,3,0)</f>
        <v>Kishor Shelke</v>
      </c>
      <c r="G637" s="5" t="s">
        <v>25</v>
      </c>
      <c r="H637" s="5" t="s">
        <v>25</v>
      </c>
      <c r="I637" s="5" t="s">
        <v>25</v>
      </c>
      <c r="J637" s="5" t="s">
        <v>25</v>
      </c>
      <c r="K637" s="7" t="str">
        <f>VLOOKUP(A637,Sheet2!$A$2:$R$3432,6,0)</f>
        <v>TVS Jupiter </v>
      </c>
      <c r="L637" s="5" t="s">
        <v>25</v>
      </c>
      <c r="M637" s="7" t="str">
        <f>VLOOKUP(A637,Sheet2!$A$2:$R$3432,5,0)</f>
        <v>MH14HC8298</v>
      </c>
      <c r="N637" s="5" t="s">
        <v>25</v>
      </c>
      <c r="O637" s="5" t="s">
        <v>25</v>
      </c>
      <c r="P637" s="6" t="s">
        <v>25</v>
      </c>
      <c r="Q637" s="5" t="s">
        <v>25</v>
      </c>
      <c r="R637" s="5" t="s">
        <v>25</v>
      </c>
      <c r="S637" s="5" t="str">
        <f>VLOOKUP(A637,Sheet2!$A$2:$R$3432,18,0)</f>
        <v>EG4K1416260</v>
      </c>
      <c r="T637" s="7" t="str">
        <f>VLOOKUP(A637,Sheet2!$A$2:$R$3432,17,0)</f>
        <v>MD626EG47J1K10869</v>
      </c>
    </row>
    <row r="638" ht="15.75" customHeight="1">
      <c r="A638" s="3" t="s">
        <v>661</v>
      </c>
      <c r="B638" s="4" t="str">
        <f>VLOOKUP(A638,Sheet2!$A$2:$R$3432,2,0)</f>
        <v>2025-01-23 15:44:50</v>
      </c>
      <c r="C638" s="5" t="s">
        <v>25</v>
      </c>
      <c r="D638" s="6" t="s">
        <v>25</v>
      </c>
      <c r="E638" s="7">
        <f>VLOOKUP(A638,Sheet2!$A$2:$R$3432,4,0)</f>
        <v>9404254482</v>
      </c>
      <c r="F638" s="7" t="str">
        <f>VLOOKUP(A638,Sheet2!$A$2:$R$3432,3,0)</f>
        <v>TEJAS RAUT</v>
      </c>
      <c r="G638" s="5" t="s">
        <v>25</v>
      </c>
      <c r="H638" s="5" t="s">
        <v>25</v>
      </c>
      <c r="I638" s="5" t="s">
        <v>25</v>
      </c>
      <c r="J638" s="5" t="s">
        <v>25</v>
      </c>
      <c r="K638" s="7" t="str">
        <f>VLOOKUP(A638,Sheet2!$A$2:$R$3432,6,0)</f>
        <v>Yamaha FZ V3</v>
      </c>
      <c r="L638" s="5" t="s">
        <v>25</v>
      </c>
      <c r="M638" s="7" t="str">
        <f>VLOOKUP(A638,Sheet2!$A$2:$R$3432,5,0)</f>
        <v>MH37Y9323</v>
      </c>
      <c r="N638" s="5" t="s">
        <v>25</v>
      </c>
      <c r="O638" s="5" t="s">
        <v>25</v>
      </c>
      <c r="P638" s="6" t="s">
        <v>25</v>
      </c>
      <c r="Q638" s="5" t="s">
        <v>25</v>
      </c>
      <c r="R638" s="5" t="s">
        <v>25</v>
      </c>
      <c r="S638" s="5" t="str">
        <f>VLOOKUP(A638,Sheet2!$A$2:$R$3432,18,0)</f>
        <v>G3L5E0097468</v>
      </c>
      <c r="T638" s="7" t="str">
        <f>VLOOKUP(A638,Sheet2!$A$2:$R$3432,17,0)</f>
        <v>ME1RG44G5K0035485</v>
      </c>
    </row>
    <row r="639" ht="15.75" customHeight="1">
      <c r="A639" s="3" t="s">
        <v>662</v>
      </c>
      <c r="B639" s="4" t="str">
        <f>VLOOKUP(A639,Sheet2!$A$2:$R$3432,2,0)</f>
        <v>2025-01-23 13:52:09</v>
      </c>
      <c r="C639" s="5" t="s">
        <v>25</v>
      </c>
      <c r="D639" s="6" t="s">
        <v>25</v>
      </c>
      <c r="E639" s="7">
        <f>VLOOKUP(A639,Sheet2!$A$2:$R$3432,4,0)</f>
        <v>7875067876</v>
      </c>
      <c r="F639" s="7" t="str">
        <f>VLOOKUP(A639,Sheet2!$A$2:$R$3432,3,0)</f>
        <v>Pankaj Verma</v>
      </c>
      <c r="G639" s="5" t="s">
        <v>25</v>
      </c>
      <c r="H639" s="5" t="s">
        <v>25</v>
      </c>
      <c r="I639" s="5" t="s">
        <v>25</v>
      </c>
      <c r="J639" s="5" t="s">
        <v>25</v>
      </c>
      <c r="K639" s="7" t="str">
        <f>VLOOKUP(A639,Sheet2!$A$2:$R$3432,6,0)</f>
        <v>Hero Duet </v>
      </c>
      <c r="L639" s="5" t="s">
        <v>25</v>
      </c>
      <c r="M639" s="7" t="str">
        <f>VLOOKUP(A639,Sheet2!$A$2:$R$3432,5,0)</f>
        <v>MH14HA7005</v>
      </c>
      <c r="N639" s="5" t="s">
        <v>25</v>
      </c>
      <c r="O639" s="5" t="s">
        <v>25</v>
      </c>
      <c r="P639" s="6" t="s">
        <v>25</v>
      </c>
      <c r="Q639" s="5" t="s">
        <v>25</v>
      </c>
      <c r="R639" s="5" t="s">
        <v>25</v>
      </c>
      <c r="S639" s="7" t="str">
        <f>VLOOKUP(A639,Sheet2!$A$2:$R$3432,18,0)</f>
        <v/>
      </c>
      <c r="T639" s="7" t="str">
        <f>VLOOKUP(A639,Sheet2!$A$2:$R$3432,17,0)</f>
        <v>MBLJFN026JGE08841</v>
      </c>
    </row>
    <row r="640" ht="15.75" customHeight="1">
      <c r="A640" s="3" t="s">
        <v>663</v>
      </c>
      <c r="B640" s="4" t="str">
        <f>VLOOKUP(A640,Sheet2!$A$2:$R$3432,2,0)</f>
        <v>2025-01-23 13:58:51</v>
      </c>
      <c r="C640" s="5" t="s">
        <v>25</v>
      </c>
      <c r="D640" s="6" t="s">
        <v>25</v>
      </c>
      <c r="E640" s="7">
        <f>VLOOKUP(A640,Sheet2!$A$2:$R$3432,4,0)</f>
        <v>7709643771</v>
      </c>
      <c r="F640" s="7" t="str">
        <f>VLOOKUP(A640,Sheet2!$A$2:$R$3432,3,0)</f>
        <v>Yogesh </v>
      </c>
      <c r="G640" s="5" t="s">
        <v>25</v>
      </c>
      <c r="H640" s="5" t="s">
        <v>25</v>
      </c>
      <c r="I640" s="5" t="s">
        <v>25</v>
      </c>
      <c r="J640" s="5" t="s">
        <v>25</v>
      </c>
      <c r="K640" s="7" t="str">
        <f>VLOOKUP(A640,Sheet2!$A$2:$R$3432,6,0)</f>
        <v>Honda Shine </v>
      </c>
      <c r="L640" s="5" t="s">
        <v>25</v>
      </c>
      <c r="M640" s="7" t="str">
        <f>VLOOKUP(A640,Sheet2!$A$2:$R$3432,5,0)</f>
        <v>MH13BJ6154</v>
      </c>
      <c r="N640" s="5" t="s">
        <v>25</v>
      </c>
      <c r="O640" s="5" t="s">
        <v>25</v>
      </c>
      <c r="P640" s="6" t="s">
        <v>25</v>
      </c>
      <c r="Q640" s="5" t="s">
        <v>25</v>
      </c>
      <c r="R640" s="5" t="s">
        <v>25</v>
      </c>
      <c r="S640" s="5" t="str">
        <f>VLOOKUP(A640,Sheet2!$A$2:$R$3432,18,0)</f>
        <v>JC36E7433322</v>
      </c>
      <c r="T640" s="7" t="str">
        <f>VLOOKUP(A640,Sheet2!$A$2:$R$3432,17,0)</f>
        <v>ME4JC36JMC7283143194</v>
      </c>
    </row>
    <row r="641" ht="15.75" customHeight="1">
      <c r="A641" s="3" t="s">
        <v>664</v>
      </c>
      <c r="B641" s="4" t="str">
        <f>VLOOKUP(A641,Sheet2!$A$2:$R$3432,2,0)</f>
        <v>2025-01-23 14:05:59</v>
      </c>
      <c r="C641" s="5" t="s">
        <v>25</v>
      </c>
      <c r="D641" s="6" t="s">
        <v>25</v>
      </c>
      <c r="E641" s="7">
        <f>VLOOKUP(A641,Sheet2!$A$2:$R$3432,4,0)</f>
        <v>9404108272</v>
      </c>
      <c r="F641" s="7" t="str">
        <f>VLOOKUP(A641,Sheet2!$A$2:$R$3432,3,0)</f>
        <v>Ajay Kharche</v>
      </c>
      <c r="G641" s="5" t="s">
        <v>25</v>
      </c>
      <c r="H641" s="5" t="s">
        <v>25</v>
      </c>
      <c r="I641" s="5" t="s">
        <v>25</v>
      </c>
      <c r="J641" s="5" t="s">
        <v>25</v>
      </c>
      <c r="K641" s="7" t="str">
        <f>VLOOKUP(A641,Sheet2!$A$2:$R$3432,6,0)</f>
        <v>TVS Jupiter </v>
      </c>
      <c r="L641" s="5" t="s">
        <v>25</v>
      </c>
      <c r="M641" s="7" t="str">
        <f>VLOOKUP(A641,Sheet2!$A$2:$R$3432,5,0)</f>
        <v>MH14HC4405</v>
      </c>
      <c r="N641" s="5" t="s">
        <v>25</v>
      </c>
      <c r="O641" s="5" t="s">
        <v>25</v>
      </c>
      <c r="P641" s="6" t="s">
        <v>25</v>
      </c>
      <c r="Q641" s="5" t="s">
        <v>25</v>
      </c>
      <c r="R641" s="5" t="s">
        <v>25</v>
      </c>
      <c r="S641" s="5" t="str">
        <f>VLOOKUP(A641,Sheet2!$A$2:$R$3432,18,0)</f>
        <v>EG4GJ1307340</v>
      </c>
      <c r="T641" s="7" t="str">
        <f>VLOOKUP(A641,Sheet2!$A$2:$R$3432,17,0)</f>
        <v>MD626EG45J1G70289</v>
      </c>
    </row>
    <row r="642" ht="15.75" customHeight="1">
      <c r="A642" s="3" t="s">
        <v>665</v>
      </c>
      <c r="B642" s="4" t="str">
        <f>VLOOKUP(A642,Sheet2!$A$2:$R$3432,2,0)</f>
        <v>2025-01-23 15:56:11</v>
      </c>
      <c r="C642" s="5" t="s">
        <v>25</v>
      </c>
      <c r="D642" s="6" t="s">
        <v>25</v>
      </c>
      <c r="E642" s="7">
        <f>VLOOKUP(A642,Sheet2!$A$2:$R$3432,4,0)</f>
        <v>8554972505</v>
      </c>
      <c r="F642" s="7" t="str">
        <f>VLOOKUP(A642,Sheet2!$A$2:$R$3432,3,0)</f>
        <v>Nilesh Patil </v>
      </c>
      <c r="G642" s="5" t="s">
        <v>25</v>
      </c>
      <c r="H642" s="5" t="s">
        <v>25</v>
      </c>
      <c r="I642" s="5" t="s">
        <v>25</v>
      </c>
      <c r="J642" s="5" t="s">
        <v>25</v>
      </c>
      <c r="K642" s="7" t="str">
        <f>VLOOKUP(A642,Sheet2!$A$2:$R$3432,6,0)</f>
        <v>Honda Aviator No Data</v>
      </c>
      <c r="L642" s="5" t="s">
        <v>25</v>
      </c>
      <c r="M642" s="7" t="str">
        <f>VLOOKUP(A642,Sheet2!$A$2:$R$3432,5,0)</f>
        <v>KA23W505</v>
      </c>
      <c r="N642" s="5" t="s">
        <v>25</v>
      </c>
      <c r="O642" s="5" t="s">
        <v>25</v>
      </c>
      <c r="P642" s="6" t="s">
        <v>25</v>
      </c>
      <c r="Q642" s="5" t="s">
        <v>25</v>
      </c>
      <c r="R642" s="5" t="s">
        <v>25</v>
      </c>
      <c r="S642" s="5" t="str">
        <f>VLOOKUP(A642,Sheet2!$A$2:$R$3432,18,0)</f>
        <v>RUSTY FRAME</v>
      </c>
      <c r="T642" s="7" t="str">
        <f>VLOOKUP(A642,Sheet2!$A$2:$R$3432,17,0)</f>
        <v>RUSTY FRAME</v>
      </c>
    </row>
    <row r="643" ht="15.75" customHeight="1">
      <c r="A643" s="3" t="s">
        <v>666</v>
      </c>
      <c r="B643" s="4" t="str">
        <f>VLOOKUP(A643,Sheet2!$A$2:$R$3432,2,0)</f>
        <v>2024-11-25 17:35:40</v>
      </c>
      <c r="C643" s="5" t="s">
        <v>25</v>
      </c>
      <c r="D643" s="6" t="s">
        <v>25</v>
      </c>
      <c r="E643" s="7">
        <f>VLOOKUP(A643,Sheet2!$A$2:$R$3432,4,0)</f>
        <v>9421322104</v>
      </c>
      <c r="F643" s="7" t="str">
        <f>VLOOKUP(A643,Sheet2!$A$2:$R$3432,3,0)</f>
        <v>Vishal Shinde</v>
      </c>
      <c r="G643" s="5" t="s">
        <v>25</v>
      </c>
      <c r="H643" s="5" t="s">
        <v>25</v>
      </c>
      <c r="I643" s="5" t="s">
        <v>25</v>
      </c>
      <c r="J643" s="5" t="s">
        <v>25</v>
      </c>
      <c r="K643" s="7" t="str">
        <f>VLOOKUP(A643,Sheet2!$A$2:$R$3432,6,0)</f>
        <v>Honda Trigger </v>
      </c>
      <c r="L643" s="5" t="s">
        <v>25</v>
      </c>
      <c r="M643" s="7" t="str">
        <f>VLOOKUP(A643,Sheet2!$A$2:$R$3432,5,0)</f>
        <v>MH14EF6079</v>
      </c>
      <c r="N643" s="5" t="s">
        <v>25</v>
      </c>
      <c r="O643" s="5" t="s">
        <v>25</v>
      </c>
      <c r="P643" s="6" t="s">
        <v>25</v>
      </c>
      <c r="Q643" s="5" t="s">
        <v>25</v>
      </c>
      <c r="R643" s="5" t="s">
        <v>25</v>
      </c>
      <c r="S643" s="7" t="str">
        <f>VLOOKUP(A643,Sheet2!$A$2:$R$3432,18,0)</f>
        <v/>
      </c>
      <c r="T643" s="7" t="str">
        <f>VLOOKUP(A643,Sheet2!$A$2:$R$3432,17,0)</f>
        <v>ME4KC191MD8029515</v>
      </c>
    </row>
    <row r="644" ht="15.75" customHeight="1">
      <c r="A644" s="3" t="s">
        <v>667</v>
      </c>
      <c r="B644" s="4" t="str">
        <f>VLOOKUP(A644,Sheet2!$A$2:$R$3432,2,0)</f>
        <v>2024-11-25 17:36:12</v>
      </c>
      <c r="C644" s="5" t="s">
        <v>25</v>
      </c>
      <c r="D644" s="6" t="s">
        <v>25</v>
      </c>
      <c r="E644" s="7">
        <f>VLOOKUP(A644,Sheet2!$A$2:$R$3432,4,0)</f>
        <v>7709278135</v>
      </c>
      <c r="F644" s="7" t="str">
        <f>VLOOKUP(A644,Sheet2!$A$2:$R$3432,3,0)</f>
        <v>CHANDRA SHEKHAR </v>
      </c>
      <c r="G644" s="5" t="s">
        <v>25</v>
      </c>
      <c r="H644" s="5" t="s">
        <v>25</v>
      </c>
      <c r="I644" s="5" t="s">
        <v>25</v>
      </c>
      <c r="J644" s="5" t="s">
        <v>25</v>
      </c>
      <c r="K644" s="7" t="str">
        <f>VLOOKUP(A644,Sheet2!$A$2:$R$3432,6,0)</f>
        <v>Hero Pleasure </v>
      </c>
      <c r="L644" s="5" t="s">
        <v>25</v>
      </c>
      <c r="M644" s="7" t="str">
        <f>VLOOKUP(A644,Sheet2!$A$2:$R$3432,5,0)</f>
        <v>MH14GF1373</v>
      </c>
      <c r="N644" s="5" t="s">
        <v>25</v>
      </c>
      <c r="O644" s="5" t="s">
        <v>25</v>
      </c>
      <c r="P644" s="6" t="s">
        <v>25</v>
      </c>
      <c r="Q644" s="5" t="s">
        <v>25</v>
      </c>
      <c r="R644" s="5" t="s">
        <v>25</v>
      </c>
      <c r="S644" s="7" t="str">
        <f>VLOOKUP(A644,Sheet2!$A$2:$R$3432,18,0)</f>
        <v/>
      </c>
      <c r="T644" s="7" t="str">
        <f>VLOOKUP(A644,Sheet2!$A$2:$R$3432,17,0)</f>
        <v/>
      </c>
    </row>
    <row r="645" ht="15.75" customHeight="1">
      <c r="A645" s="3" t="s">
        <v>668</v>
      </c>
      <c r="B645" s="4" t="str">
        <f>VLOOKUP(A645,Sheet2!$A$2:$R$3432,2,0)</f>
        <v>2024-11-25 17:34:28</v>
      </c>
      <c r="C645" s="5" t="s">
        <v>25</v>
      </c>
      <c r="D645" s="6" t="s">
        <v>25</v>
      </c>
      <c r="E645" s="7">
        <f>VLOOKUP(A645,Sheet2!$A$2:$R$3432,4,0)</f>
        <v>8408010539</v>
      </c>
      <c r="F645" s="7" t="str">
        <f>VLOOKUP(A645,Sheet2!$A$2:$R$3432,3,0)</f>
        <v>AJAY GHAYAL</v>
      </c>
      <c r="G645" s="5" t="s">
        <v>25</v>
      </c>
      <c r="H645" s="5" t="s">
        <v>25</v>
      </c>
      <c r="I645" s="5" t="s">
        <v>25</v>
      </c>
      <c r="J645" s="5" t="s">
        <v>25</v>
      </c>
      <c r="K645" s="7" t="str">
        <f>VLOOKUP(A645,Sheet2!$A$2:$R$3432,6,0)</f>
        <v>Bajaj Pulsar 160 NS</v>
      </c>
      <c r="L645" s="5" t="s">
        <v>25</v>
      </c>
      <c r="M645" s="7" t="str">
        <f>VLOOKUP(A645,Sheet2!$A$2:$R$3432,5,0)</f>
        <v>MH12TX7201</v>
      </c>
      <c r="N645" s="5" t="s">
        <v>25</v>
      </c>
      <c r="O645" s="5" t="s">
        <v>25</v>
      </c>
      <c r="P645" s="6" t="s">
        <v>25</v>
      </c>
      <c r="Q645" s="5" t="s">
        <v>25</v>
      </c>
      <c r="R645" s="5" t="s">
        <v>25</v>
      </c>
      <c r="S645" s="5" t="str">
        <f>VLOOKUP(A645,Sheet2!$A$2:$R$3432,18,0)</f>
        <v>JEXCMH3530</v>
      </c>
      <c r="T645" s="7" t="str">
        <f>VLOOKUP(A645,Sheet2!$A$2:$R$3432,17,0)</f>
        <v>MD2A692DX7MCH29238</v>
      </c>
    </row>
    <row r="646" ht="15.75" customHeight="1">
      <c r="A646" s="3" t="s">
        <v>669</v>
      </c>
      <c r="B646" s="4" t="str">
        <f>VLOOKUP(A646,Sheet2!$A$2:$R$3432,2,0)</f>
        <v>2024-11-25 19:53:17</v>
      </c>
      <c r="C646" s="5" t="s">
        <v>25</v>
      </c>
      <c r="D646" s="6" t="s">
        <v>25</v>
      </c>
      <c r="E646" s="7">
        <f>VLOOKUP(A646,Sheet2!$A$2:$R$3432,4,0)</f>
        <v>9028406766</v>
      </c>
      <c r="F646" s="7" t="str">
        <f>VLOOKUP(A646,Sheet2!$A$2:$R$3432,3,0)</f>
        <v>RISHI</v>
      </c>
      <c r="G646" s="5" t="s">
        <v>25</v>
      </c>
      <c r="H646" s="5" t="s">
        <v>25</v>
      </c>
      <c r="I646" s="5" t="s">
        <v>25</v>
      </c>
      <c r="J646" s="5" t="s">
        <v>25</v>
      </c>
      <c r="K646" s="7" t="str">
        <f>VLOOKUP(A646,Sheet2!$A$2:$R$3432,6,0)</f>
        <v>Suzuki Gixxer </v>
      </c>
      <c r="L646" s="5" t="s">
        <v>25</v>
      </c>
      <c r="M646" s="7" t="str">
        <f>VLOOKUP(A646,Sheet2!$A$2:$R$3432,5,0)</f>
        <v>MH12EQ7349</v>
      </c>
      <c r="N646" s="5" t="s">
        <v>25</v>
      </c>
      <c r="O646" s="5" t="s">
        <v>25</v>
      </c>
      <c r="P646" s="6" t="s">
        <v>25</v>
      </c>
      <c r="Q646" s="5" t="s">
        <v>25</v>
      </c>
      <c r="R646" s="5" t="s">
        <v>25</v>
      </c>
      <c r="S646" s="5" t="str">
        <f>VLOOKUP(A646,Sheet2!$A$2:$R$3432,18,0)</f>
        <v>BGA1106900</v>
      </c>
      <c r="T646" s="7" t="str">
        <f>VLOOKUP(A646,Sheet2!$A$2:$R$3432,17,0)</f>
        <v>MB8NG4BAJE8106331</v>
      </c>
    </row>
    <row r="647" ht="15.75" customHeight="1">
      <c r="A647" s="3" t="s">
        <v>670</v>
      </c>
      <c r="B647" s="4" t="str">
        <f>VLOOKUP(A647,Sheet2!$A$2:$R$3432,2,0)</f>
        <v>2024-11-25 19:54:16</v>
      </c>
      <c r="C647" s="5" t="s">
        <v>25</v>
      </c>
      <c r="D647" s="6" t="s">
        <v>25</v>
      </c>
      <c r="E647" s="7">
        <f>VLOOKUP(A647,Sheet2!$A$2:$R$3432,4,0)</f>
        <v>8983452130</v>
      </c>
      <c r="F647" s="7" t="str">
        <f>VLOOKUP(A647,Sheet2!$A$2:$R$3432,3,0)</f>
        <v>ASHISH NIMKARDE</v>
      </c>
      <c r="G647" s="5" t="s">
        <v>25</v>
      </c>
      <c r="H647" s="5" t="s">
        <v>25</v>
      </c>
      <c r="I647" s="5" t="s">
        <v>25</v>
      </c>
      <c r="J647" s="5" t="s">
        <v>25</v>
      </c>
      <c r="K647" s="7" t="str">
        <f>VLOOKUP(A647,Sheet2!$A$2:$R$3432,6,0)</f>
        <v>Honda Dazzler </v>
      </c>
      <c r="L647" s="5" t="s">
        <v>25</v>
      </c>
      <c r="M647" s="7" t="str">
        <f>VLOOKUP(A647,Sheet2!$A$2:$R$3432,5,0)</f>
        <v>MH12JR4703</v>
      </c>
      <c r="N647" s="5" t="s">
        <v>25</v>
      </c>
      <c r="O647" s="5" t="s">
        <v>25</v>
      </c>
      <c r="P647" s="6" t="s">
        <v>25</v>
      </c>
      <c r="Q647" s="5" t="s">
        <v>25</v>
      </c>
      <c r="R647" s="5" t="s">
        <v>25</v>
      </c>
      <c r="S647" s="7" t="str">
        <f>VLOOKUP(A647,Sheet2!$A$2:$R$3432,18,0)</f>
        <v/>
      </c>
      <c r="T647" s="7" t="str">
        <f>VLOOKUP(A647,Sheet2!$A$2:$R$3432,17,0)</f>
        <v/>
      </c>
    </row>
    <row r="648" ht="15.75" customHeight="1">
      <c r="A648" s="3" t="s">
        <v>671</v>
      </c>
      <c r="B648" s="4" t="str">
        <f>VLOOKUP(A648,Sheet2!$A$2:$R$3432,2,0)</f>
        <v>2024-11-25 19:54:43</v>
      </c>
      <c r="C648" s="5" t="s">
        <v>25</v>
      </c>
      <c r="D648" s="6" t="s">
        <v>25</v>
      </c>
      <c r="E648" s="7">
        <f>VLOOKUP(A648,Sheet2!$A$2:$R$3432,4,0)</f>
        <v>7507405483</v>
      </c>
      <c r="F648" s="7" t="str">
        <f>VLOOKUP(A648,Sheet2!$A$2:$R$3432,3,0)</f>
        <v>ARNAV</v>
      </c>
      <c r="G648" s="5" t="s">
        <v>25</v>
      </c>
      <c r="H648" s="5" t="s">
        <v>25</v>
      </c>
      <c r="I648" s="5" t="s">
        <v>25</v>
      </c>
      <c r="J648" s="5" t="s">
        <v>25</v>
      </c>
      <c r="K648" s="7" t="str">
        <f>VLOOKUP(A648,Sheet2!$A$2:$R$3432,6,0)</f>
        <v>Honda CB 350</v>
      </c>
      <c r="L648" s="5" t="s">
        <v>25</v>
      </c>
      <c r="M648" s="7" t="str">
        <f>VLOOKUP(A648,Sheet2!$A$2:$R$3432,5,0)</f>
        <v>MH12TQ0367</v>
      </c>
      <c r="N648" s="5" t="s">
        <v>25</v>
      </c>
      <c r="O648" s="5" t="s">
        <v>25</v>
      </c>
      <c r="P648" s="6" t="s">
        <v>25</v>
      </c>
      <c r="Q648" s="5" t="s">
        <v>25</v>
      </c>
      <c r="R648" s="5" t="s">
        <v>25</v>
      </c>
      <c r="S648" s="5" t="str">
        <f>VLOOKUP(A648,Sheet2!$A$2:$R$3432,18,0)</f>
        <v>NC58FA2005017</v>
      </c>
      <c r="T648" s="7" t="str">
        <f>VLOOKUP(A648,Sheet2!$A$2:$R$3432,17,0)</f>
        <v>ME4NC588JMA002360</v>
      </c>
    </row>
    <row r="649" ht="15.75" customHeight="1">
      <c r="A649" s="3" t="s">
        <v>672</v>
      </c>
      <c r="B649" s="4" t="str">
        <f>VLOOKUP(A649,Sheet2!$A$2:$R$3432,2,0)</f>
        <v>2024-11-25 19:56:17</v>
      </c>
      <c r="C649" s="5" t="s">
        <v>25</v>
      </c>
      <c r="D649" s="6" t="s">
        <v>25</v>
      </c>
      <c r="E649" s="7">
        <f>VLOOKUP(A649,Sheet2!$A$2:$R$3432,4,0)</f>
        <v>9767348464</v>
      </c>
      <c r="F649" s="7" t="str">
        <f>VLOOKUP(A649,Sheet2!$A$2:$R$3432,3,0)</f>
        <v>RUTURAJ RAJPUT</v>
      </c>
      <c r="G649" s="5" t="s">
        <v>25</v>
      </c>
      <c r="H649" s="5" t="s">
        <v>25</v>
      </c>
      <c r="I649" s="5" t="s">
        <v>25</v>
      </c>
      <c r="J649" s="5" t="s">
        <v>25</v>
      </c>
      <c r="K649" s="7" t="str">
        <f>VLOOKUP(A649,Sheet2!$A$2:$R$3432,6,0)</f>
        <v>Honda Activa 110</v>
      </c>
      <c r="L649" s="5" t="s">
        <v>25</v>
      </c>
      <c r="M649" s="7" t="str">
        <f>VLOOKUP(A649,Sheet2!$A$2:$R$3432,5,0)</f>
        <v>MH12KU7565</v>
      </c>
      <c r="N649" s="5" t="s">
        <v>25</v>
      </c>
      <c r="O649" s="5" t="s">
        <v>25</v>
      </c>
      <c r="P649" s="6" t="s">
        <v>25</v>
      </c>
      <c r="Q649" s="5" t="s">
        <v>25</v>
      </c>
      <c r="R649" s="5" t="s">
        <v>25</v>
      </c>
      <c r="S649" s="5" t="str">
        <f>VLOOKUP(A649,Sheet2!$A$2:$R$3432,18,0)</f>
        <v>JF50ET2201164</v>
      </c>
      <c r="T649" s="7" t="str">
        <f>VLOOKUP(A649,Sheet2!$A$2:$R$3432,17,0)</f>
        <v>ME4JF501AET203034</v>
      </c>
    </row>
    <row r="650" ht="15.75" customHeight="1">
      <c r="A650" s="3" t="s">
        <v>673</v>
      </c>
      <c r="B650" s="4" t="str">
        <f>VLOOKUP(A650,Sheet2!$A$2:$R$3432,2,0)</f>
        <v>2024-11-25 19:57:00</v>
      </c>
      <c r="C650" s="5" t="s">
        <v>25</v>
      </c>
      <c r="D650" s="6" t="s">
        <v>25</v>
      </c>
      <c r="E650" s="7">
        <f>VLOOKUP(A650,Sheet2!$A$2:$R$3432,4,0)</f>
        <v>9415219097</v>
      </c>
      <c r="F650" s="7" t="str">
        <f>VLOOKUP(A650,Sheet2!$A$2:$R$3432,3,0)</f>
        <v>NAMIT WAHI</v>
      </c>
      <c r="G650" s="5" t="s">
        <v>25</v>
      </c>
      <c r="H650" s="5" t="s">
        <v>25</v>
      </c>
      <c r="I650" s="5" t="s">
        <v>25</v>
      </c>
      <c r="J650" s="5" t="s">
        <v>25</v>
      </c>
      <c r="K650" s="7" t="str">
        <f>VLOOKUP(A650,Sheet2!$A$2:$R$3432,6,0)</f>
        <v>Honda Activa 5G</v>
      </c>
      <c r="L650" s="5" t="s">
        <v>25</v>
      </c>
      <c r="M650" s="7" t="str">
        <f>VLOOKUP(A650,Sheet2!$A$2:$R$3432,5,0)</f>
        <v>MH12QZ6441</v>
      </c>
      <c r="N650" s="5" t="s">
        <v>25</v>
      </c>
      <c r="O650" s="5" t="s">
        <v>25</v>
      </c>
      <c r="P650" s="6" t="s">
        <v>25</v>
      </c>
      <c r="Q650" s="5" t="s">
        <v>25</v>
      </c>
      <c r="R650" s="5" t="s">
        <v>25</v>
      </c>
      <c r="S650" s="5" t="str">
        <f>VLOOKUP(A650,Sheet2!$A$2:$R$3432,18,0)</f>
        <v>JF50ET7479808</v>
      </c>
      <c r="T650" s="7" t="str">
        <f>VLOOKUP(A650,Sheet2!$A$2:$R$3432,17,0)</f>
        <v>ME4JF50AJJT479715</v>
      </c>
    </row>
    <row r="651" ht="15.75" customHeight="1">
      <c r="A651" s="3" t="s">
        <v>674</v>
      </c>
      <c r="B651" s="4" t="str">
        <f>VLOOKUP(A651,Sheet2!$A$2:$R$3432,2,0)</f>
        <v>2024-11-25 19:57:40</v>
      </c>
      <c r="C651" s="5" t="s">
        <v>25</v>
      </c>
      <c r="D651" s="6" t="s">
        <v>25</v>
      </c>
      <c r="E651" s="7">
        <f>VLOOKUP(A651,Sheet2!$A$2:$R$3432,4,0)</f>
        <v>9911092741</v>
      </c>
      <c r="F651" s="7" t="str">
        <f>VLOOKUP(A651,Sheet2!$A$2:$R$3432,3,0)</f>
        <v>Manuraj Raghuwanshi</v>
      </c>
      <c r="G651" s="5" t="s">
        <v>25</v>
      </c>
      <c r="H651" s="5" t="s">
        <v>25</v>
      </c>
      <c r="I651" s="5" t="s">
        <v>25</v>
      </c>
      <c r="J651" s="5" t="s">
        <v>25</v>
      </c>
      <c r="K651" s="7" t="str">
        <f>VLOOKUP(A651,Sheet2!$A$2:$R$3432,6,0)</f>
        <v>Bajaj Avenger 150 Street</v>
      </c>
      <c r="L651" s="5" t="s">
        <v>25</v>
      </c>
      <c r="M651" s="7" t="str">
        <f>VLOOKUP(A651,Sheet2!$A$2:$R$3432,5,0)</f>
        <v>MH14FW4426</v>
      </c>
      <c r="N651" s="5" t="s">
        <v>25</v>
      </c>
      <c r="O651" s="5" t="s">
        <v>25</v>
      </c>
      <c r="P651" s="6" t="s">
        <v>25</v>
      </c>
      <c r="Q651" s="5" t="s">
        <v>25</v>
      </c>
      <c r="R651" s="5" t="s">
        <v>25</v>
      </c>
      <c r="S651" s="7" t="str">
        <f>VLOOKUP(A651,Sheet2!$A$2:$R$3432,18,0)</f>
        <v/>
      </c>
      <c r="T651" s="7" t="str">
        <f>VLOOKUP(A651,Sheet2!$A$2:$R$3432,17,0)</f>
        <v>MD2A85CZ1GCD24794</v>
      </c>
    </row>
    <row r="652" ht="15.75" customHeight="1">
      <c r="A652" s="3" t="s">
        <v>675</v>
      </c>
      <c r="B652" s="4" t="str">
        <f>VLOOKUP(A652,Sheet2!$A$2:$R$3432,2,0)</f>
        <v>2024-11-25 19:57:59</v>
      </c>
      <c r="C652" s="5" t="s">
        <v>25</v>
      </c>
      <c r="D652" s="6" t="s">
        <v>25</v>
      </c>
      <c r="E652" s="7">
        <f>VLOOKUP(A652,Sheet2!$A$2:$R$3432,4,0)</f>
        <v>9039169632</v>
      </c>
      <c r="F652" s="7" t="str">
        <f>VLOOKUP(A652,Sheet2!$A$2:$R$3432,3,0)</f>
        <v>RAHUL</v>
      </c>
      <c r="G652" s="5" t="s">
        <v>25</v>
      </c>
      <c r="H652" s="5" t="s">
        <v>25</v>
      </c>
      <c r="I652" s="5" t="s">
        <v>25</v>
      </c>
      <c r="J652" s="5" t="s">
        <v>25</v>
      </c>
      <c r="K652" s="7" t="str">
        <f>VLOOKUP(A652,Sheet2!$A$2:$R$3432,6,0)</f>
        <v>Honda Activa 3G</v>
      </c>
      <c r="L652" s="5" t="s">
        <v>25</v>
      </c>
      <c r="M652" s="7" t="str">
        <f>VLOOKUP(A652,Sheet2!$A$2:$R$3432,5,0)</f>
        <v>MH14LK1943</v>
      </c>
      <c r="N652" s="5" t="s">
        <v>25</v>
      </c>
      <c r="O652" s="5" t="s">
        <v>25</v>
      </c>
      <c r="P652" s="6" t="s">
        <v>25</v>
      </c>
      <c r="Q652" s="5" t="s">
        <v>25</v>
      </c>
      <c r="R652" s="5" t="s">
        <v>25</v>
      </c>
      <c r="S652" s="5" t="str">
        <f>VLOOKUP(A652,Sheet2!$A$2:$R$3432,18,0)</f>
        <v>JC44E0777486</v>
      </c>
      <c r="T652" s="7" t="str">
        <f>VLOOKUP(A652,Sheet2!$A$2:$R$3432,17,0)</f>
        <v>MEJC446GA68329623</v>
      </c>
    </row>
    <row r="653" ht="15.75" customHeight="1">
      <c r="A653" s="3" t="s">
        <v>676</v>
      </c>
      <c r="B653" s="4" t="str">
        <f>VLOOKUP(A653,Sheet2!$A$2:$R$3432,2,0)</f>
        <v>2024-11-25 21:01:44</v>
      </c>
      <c r="C653" s="5" t="s">
        <v>25</v>
      </c>
      <c r="D653" s="6" t="s">
        <v>25</v>
      </c>
      <c r="E653" s="7">
        <f>VLOOKUP(A653,Sheet2!$A$2:$R$3432,4,0)</f>
        <v>9423826423</v>
      </c>
      <c r="F653" s="7" t="str">
        <f>VLOOKUP(A653,Sheet2!$A$2:$R$3432,3,0)</f>
        <v>Sushant Chaugule</v>
      </c>
      <c r="G653" s="5" t="s">
        <v>25</v>
      </c>
      <c r="H653" s="5" t="s">
        <v>25</v>
      </c>
      <c r="I653" s="5" t="s">
        <v>25</v>
      </c>
      <c r="J653" s="5" t="s">
        <v>25</v>
      </c>
      <c r="K653" s="7" t="str">
        <f>VLOOKUP(A653,Sheet2!$A$2:$R$3432,6,0)</f>
        <v>Honda Activa 110</v>
      </c>
      <c r="L653" s="5" t="s">
        <v>25</v>
      </c>
      <c r="M653" s="7" t="str">
        <f>VLOOKUP(A653,Sheet2!$A$2:$R$3432,5,0)</f>
        <v>MH14DK3929</v>
      </c>
      <c r="N653" s="5" t="s">
        <v>25</v>
      </c>
      <c r="O653" s="5" t="s">
        <v>25</v>
      </c>
      <c r="P653" s="6" t="s">
        <v>25</v>
      </c>
      <c r="Q653" s="5" t="s">
        <v>25</v>
      </c>
      <c r="R653" s="5" t="s">
        <v>25</v>
      </c>
      <c r="S653" s="7" t="str">
        <f>VLOOKUP(A653,Sheet2!$A$2:$R$3432,18,0)</f>
        <v/>
      </c>
      <c r="T653" s="7" t="str">
        <f>VLOOKUP(A653,Sheet2!$A$2:$R$3432,17,0)</f>
        <v>ME4JC448DC7307044</v>
      </c>
    </row>
    <row r="654" ht="15.75" customHeight="1">
      <c r="A654" s="3" t="s">
        <v>677</v>
      </c>
      <c r="B654" s="4" t="str">
        <f>VLOOKUP(A654,Sheet2!$A$2:$R$3432,2,0)</f>
        <v>2024-11-25 19:58:21</v>
      </c>
      <c r="C654" s="5" t="s">
        <v>25</v>
      </c>
      <c r="D654" s="6" t="s">
        <v>25</v>
      </c>
      <c r="E654" s="7">
        <f>VLOOKUP(A654,Sheet2!$A$2:$R$3432,4,0)</f>
        <v>9167647747</v>
      </c>
      <c r="F654" s="7" t="str">
        <f>VLOOKUP(A654,Sheet2!$A$2:$R$3432,3,0)</f>
        <v>Sameer Jain </v>
      </c>
      <c r="G654" s="5" t="s">
        <v>25</v>
      </c>
      <c r="H654" s="5" t="s">
        <v>25</v>
      </c>
      <c r="I654" s="5" t="s">
        <v>25</v>
      </c>
      <c r="J654" s="5" t="s">
        <v>25</v>
      </c>
      <c r="K654" s="7" t="str">
        <f>VLOOKUP(A654,Sheet2!$A$2:$R$3432,6,0)</f>
        <v>TVS Jupiter </v>
      </c>
      <c r="L654" s="5" t="s">
        <v>25</v>
      </c>
      <c r="M654" s="7" t="str">
        <f>VLOOKUP(A654,Sheet2!$A$2:$R$3432,5,0)</f>
        <v>MH14GK2490</v>
      </c>
      <c r="N654" s="5" t="s">
        <v>25</v>
      </c>
      <c r="O654" s="5" t="s">
        <v>25</v>
      </c>
      <c r="P654" s="6" t="s">
        <v>25</v>
      </c>
      <c r="Q654" s="5" t="s">
        <v>25</v>
      </c>
      <c r="R654" s="5" t="s">
        <v>25</v>
      </c>
      <c r="S654" s="5" t="str">
        <f>VLOOKUP(A654,Sheet2!$A$2:$R$3432,18,0)</f>
        <v>EG4GH1814182</v>
      </c>
      <c r="T654" s="7" t="str">
        <f>VLOOKUP(A654,Sheet2!$A$2:$R$3432,17,0)</f>
        <v>MD626EG18H1G03745</v>
      </c>
    </row>
    <row r="655" ht="15.75" customHeight="1">
      <c r="A655" s="3" t="s">
        <v>678</v>
      </c>
      <c r="B655" s="4" t="str">
        <f>VLOOKUP(A655,Sheet2!$A$2:$R$3432,2,0)</f>
        <v>2024-12-18 16:49:47</v>
      </c>
      <c r="C655" s="5" t="s">
        <v>25</v>
      </c>
      <c r="D655" s="6" t="s">
        <v>25</v>
      </c>
      <c r="E655" s="7">
        <f>VLOOKUP(A655,Sheet2!$A$2:$R$3432,4,0)</f>
        <v>9322330767</v>
      </c>
      <c r="F655" s="7" t="str">
        <f>VLOOKUP(A655,Sheet2!$A$2:$R$3432,3,0)</f>
        <v>Lonkar</v>
      </c>
      <c r="G655" s="5" t="s">
        <v>25</v>
      </c>
      <c r="H655" s="5" t="s">
        <v>25</v>
      </c>
      <c r="I655" s="5" t="s">
        <v>25</v>
      </c>
      <c r="J655" s="5" t="s">
        <v>25</v>
      </c>
      <c r="K655" s="7" t="str">
        <f>VLOOKUP(A655,Sheet2!$A$2:$R$3432,6,0)</f>
        <v>Honda Activa 6G</v>
      </c>
      <c r="L655" s="5" t="s">
        <v>25</v>
      </c>
      <c r="M655" s="7" t="str">
        <f>VLOOKUP(A655,Sheet2!$A$2:$R$3432,5,0)</f>
        <v>MH12UD7923</v>
      </c>
      <c r="N655" s="5" t="s">
        <v>25</v>
      </c>
      <c r="O655" s="5" t="s">
        <v>25</v>
      </c>
      <c r="P655" s="6" t="s">
        <v>25</v>
      </c>
      <c r="Q655" s="5" t="s">
        <v>25</v>
      </c>
      <c r="R655" s="5" t="s">
        <v>25</v>
      </c>
      <c r="S655" s="5" t="str">
        <f>VLOOKUP(A655,Sheet2!$A$2:$R$3432,18,0)</f>
        <v>JF91EG7122960</v>
      </c>
      <c r="T655" s="7" t="str">
        <f>VLOOKUP(A655,Sheet2!$A$2:$R$3432,17,0)</f>
        <v>NE4JF91ACHNG122526</v>
      </c>
    </row>
    <row r="656" ht="15.75" customHeight="1">
      <c r="A656" s="3" t="s">
        <v>679</v>
      </c>
      <c r="B656" s="4" t="str">
        <f>VLOOKUP(A656,Sheet2!$A$2:$R$3432,2,0)</f>
        <v>2024-12-18 16:49:19</v>
      </c>
      <c r="C656" s="5" t="s">
        <v>25</v>
      </c>
      <c r="D656" s="6" t="s">
        <v>25</v>
      </c>
      <c r="E656" s="7">
        <f>VLOOKUP(A656,Sheet2!$A$2:$R$3432,4,0)</f>
        <v>8308438304</v>
      </c>
      <c r="F656" s="7" t="str">
        <f>VLOOKUP(A656,Sheet2!$A$2:$R$3432,3,0)</f>
        <v>ANIKET</v>
      </c>
      <c r="G656" s="5" t="s">
        <v>25</v>
      </c>
      <c r="H656" s="5" t="s">
        <v>25</v>
      </c>
      <c r="I656" s="5" t="s">
        <v>25</v>
      </c>
      <c r="J656" s="5" t="s">
        <v>25</v>
      </c>
      <c r="K656" s="7" t="str">
        <f>VLOOKUP(A656,Sheet2!$A$2:$R$3432,6,0)</f>
        <v>Yamaha R15 2</v>
      </c>
      <c r="L656" s="5" t="s">
        <v>25</v>
      </c>
      <c r="M656" s="7" t="str">
        <f>VLOOKUP(A656,Sheet2!$A$2:$R$3432,5,0)</f>
        <v>MH06BR4422</v>
      </c>
      <c r="N656" s="5" t="s">
        <v>25</v>
      </c>
      <c r="O656" s="5" t="s">
        <v>25</v>
      </c>
      <c r="P656" s="6" t="s">
        <v>25</v>
      </c>
      <c r="Q656" s="5" t="s">
        <v>25</v>
      </c>
      <c r="R656" s="5" t="s">
        <v>25</v>
      </c>
      <c r="S656" s="7" t="str">
        <f>VLOOKUP(A656,Sheet2!$A$2:$R$3432,18,0)</f>
        <v/>
      </c>
      <c r="T656" s="7" t="str">
        <f>VLOOKUP(A656,Sheet2!$A$2:$R$3432,17,0)</f>
        <v/>
      </c>
    </row>
    <row r="657" ht="15.75" customHeight="1">
      <c r="A657" s="3" t="s">
        <v>680</v>
      </c>
      <c r="B657" s="4" t="str">
        <f>VLOOKUP(A657,Sheet2!$A$2:$R$3432,2,0)</f>
        <v>2024-12-18 19:34:15</v>
      </c>
      <c r="C657" s="5" t="s">
        <v>25</v>
      </c>
      <c r="D657" s="6" t="s">
        <v>25</v>
      </c>
      <c r="E657" s="7">
        <f>VLOOKUP(A657,Sheet2!$A$2:$R$3432,4,0)</f>
        <v>7028922239</v>
      </c>
      <c r="F657" s="7" t="str">
        <f>VLOOKUP(A657,Sheet2!$A$2:$R$3432,3,0)</f>
        <v>Jasneet</v>
      </c>
      <c r="G657" s="5" t="s">
        <v>25</v>
      </c>
      <c r="H657" s="5" t="s">
        <v>25</v>
      </c>
      <c r="I657" s="5" t="s">
        <v>25</v>
      </c>
      <c r="J657" s="5" t="s">
        <v>25</v>
      </c>
      <c r="K657" s="7" t="str">
        <f>VLOOKUP(A657,Sheet2!$A$2:$R$3432,6,0)</f>
        <v>Jawa Jawa </v>
      </c>
      <c r="L657" s="5" t="s">
        <v>25</v>
      </c>
      <c r="M657" s="7" t="str">
        <f>VLOOKUP(A657,Sheet2!$A$2:$R$3432,5,0)</f>
        <v>MH14HR8428</v>
      </c>
      <c r="N657" s="5" t="s">
        <v>25</v>
      </c>
      <c r="O657" s="5" t="s">
        <v>25</v>
      </c>
      <c r="P657" s="6" t="s">
        <v>25</v>
      </c>
      <c r="Q657" s="5" t="s">
        <v>25</v>
      </c>
      <c r="R657" s="5" t="s">
        <v>25</v>
      </c>
      <c r="S657" s="7" t="str">
        <f>VLOOKUP(A657,Sheet2!$A$2:$R$3432,18,0)</f>
        <v/>
      </c>
      <c r="T657" s="7" t="str">
        <f>VLOOKUP(A657,Sheet2!$A$2:$R$3432,17,0)</f>
        <v/>
      </c>
    </row>
    <row r="658" ht="15.75" customHeight="1">
      <c r="A658" s="3" t="s">
        <v>681</v>
      </c>
      <c r="B658" s="4" t="str">
        <f>VLOOKUP(A658,Sheet2!$A$2:$R$3432,2,0)</f>
        <v>2024-12-18 20:19:23</v>
      </c>
      <c r="C658" s="5" t="s">
        <v>25</v>
      </c>
      <c r="D658" s="6" t="s">
        <v>25</v>
      </c>
      <c r="E658" s="7">
        <f>VLOOKUP(A658,Sheet2!$A$2:$R$3432,4,0)</f>
        <v>9503503387</v>
      </c>
      <c r="F658" s="7" t="str">
        <f>VLOOKUP(A658,Sheet2!$A$2:$R$3432,3,0)</f>
        <v>Rishikesh Nikam</v>
      </c>
      <c r="G658" s="5" t="s">
        <v>25</v>
      </c>
      <c r="H658" s="5" t="s">
        <v>25</v>
      </c>
      <c r="I658" s="5" t="s">
        <v>25</v>
      </c>
      <c r="J658" s="5" t="s">
        <v>25</v>
      </c>
      <c r="K658" s="7" t="str">
        <f>VLOOKUP(A658,Sheet2!$A$2:$R$3432,6,0)</f>
        <v>Bajaj Pulsar 125</v>
      </c>
      <c r="L658" s="5" t="s">
        <v>25</v>
      </c>
      <c r="M658" s="7" t="str">
        <f>VLOOKUP(A658,Sheet2!$A$2:$R$3432,5,0)</f>
        <v>MH19DR5242</v>
      </c>
      <c r="N658" s="5" t="s">
        <v>25</v>
      </c>
      <c r="O658" s="5" t="s">
        <v>25</v>
      </c>
      <c r="P658" s="6" t="s">
        <v>25</v>
      </c>
      <c r="Q658" s="5" t="s">
        <v>25</v>
      </c>
      <c r="R658" s="5" t="s">
        <v>25</v>
      </c>
      <c r="S658" s="7" t="str">
        <f>VLOOKUP(A658,Sheet2!$A$2:$R$3432,18,0)</f>
        <v/>
      </c>
      <c r="T658" s="7" t="str">
        <f>VLOOKUP(A658,Sheet2!$A$2:$R$3432,17,0)</f>
        <v/>
      </c>
    </row>
    <row r="659" ht="15.75" customHeight="1">
      <c r="A659" s="3" t="s">
        <v>682</v>
      </c>
      <c r="B659" s="4" t="str">
        <f>VLOOKUP(A659,Sheet2!$A$2:$R$3432,2,0)</f>
        <v>2024-12-18 19:35:44</v>
      </c>
      <c r="C659" s="5" t="s">
        <v>25</v>
      </c>
      <c r="D659" s="6" t="s">
        <v>25</v>
      </c>
      <c r="E659" s="7">
        <f>VLOOKUP(A659,Sheet2!$A$2:$R$3432,4,0)</f>
        <v>8830396347</v>
      </c>
      <c r="F659" s="7" t="str">
        <f>VLOOKUP(A659,Sheet2!$A$2:$R$3432,3,0)</f>
        <v>Kshitij Dhote</v>
      </c>
      <c r="G659" s="5" t="s">
        <v>25</v>
      </c>
      <c r="H659" s="5" t="s">
        <v>25</v>
      </c>
      <c r="I659" s="5" t="s">
        <v>25</v>
      </c>
      <c r="J659" s="5" t="s">
        <v>25</v>
      </c>
      <c r="K659" s="7" t="str">
        <f>VLOOKUP(A659,Sheet2!$A$2:$R$3432,6,0)</f>
        <v>TVS Wego No Data</v>
      </c>
      <c r="L659" s="5" t="s">
        <v>25</v>
      </c>
      <c r="M659" s="7" t="str">
        <f>VLOOKUP(A659,Sheet2!$A$2:$R$3432,5,0)</f>
        <v>MH31FJ9787</v>
      </c>
      <c r="N659" s="5" t="s">
        <v>25</v>
      </c>
      <c r="O659" s="5" t="s">
        <v>25</v>
      </c>
      <c r="P659" s="6" t="s">
        <v>25</v>
      </c>
      <c r="Q659" s="5" t="s">
        <v>25</v>
      </c>
      <c r="R659" s="5" t="s">
        <v>25</v>
      </c>
      <c r="S659" s="7" t="str">
        <f>VLOOKUP(A659,Sheet2!$A$2:$R$3432,18,0)</f>
        <v/>
      </c>
      <c r="T659" s="7" t="str">
        <f>VLOOKUP(A659,Sheet2!$A$2:$R$3432,17,0)</f>
        <v/>
      </c>
    </row>
    <row r="660" ht="15.75" customHeight="1">
      <c r="A660" s="3" t="s">
        <v>683</v>
      </c>
      <c r="B660" s="4" t="str">
        <f>VLOOKUP(A660,Sheet2!$A$2:$R$3432,2,0)</f>
        <v>2024-12-18 17:20:44</v>
      </c>
      <c r="C660" s="5" t="s">
        <v>25</v>
      </c>
      <c r="D660" s="6" t="s">
        <v>25</v>
      </c>
      <c r="E660" s="7">
        <f>VLOOKUP(A660,Sheet2!$A$2:$R$3432,4,0)</f>
        <v>8805911335</v>
      </c>
      <c r="F660" s="7" t="str">
        <f>VLOOKUP(A660,Sheet2!$A$2:$R$3432,3,0)</f>
        <v>YAMANAPPA </v>
      </c>
      <c r="G660" s="5" t="s">
        <v>25</v>
      </c>
      <c r="H660" s="5" t="s">
        <v>25</v>
      </c>
      <c r="I660" s="5" t="s">
        <v>25</v>
      </c>
      <c r="J660" s="5" t="s">
        <v>25</v>
      </c>
      <c r="K660" s="7" t="str">
        <f>VLOOKUP(A660,Sheet2!$A$2:$R$3432,6,0)</f>
        <v>TVS Wego Basic</v>
      </c>
      <c r="L660" s="5" t="s">
        <v>25</v>
      </c>
      <c r="M660" s="7" t="str">
        <f>VLOOKUP(A660,Sheet2!$A$2:$R$3432,5,0)</f>
        <v>MH14EW296</v>
      </c>
      <c r="N660" s="5" t="s">
        <v>25</v>
      </c>
      <c r="O660" s="5" t="s">
        <v>25</v>
      </c>
      <c r="P660" s="6" t="s">
        <v>25</v>
      </c>
      <c r="Q660" s="5" t="s">
        <v>25</v>
      </c>
      <c r="R660" s="5" t="s">
        <v>25</v>
      </c>
      <c r="S660" s="5" t="str">
        <f>VLOOKUP(A660,Sheet2!$A$2:$R$3432,18,0)</f>
        <v>0G4NE1217524</v>
      </c>
      <c r="T660" s="7" t="str">
        <f>VLOOKUP(A660,Sheet2!$A$2:$R$3432,17,0)</f>
        <v>RUSTY FREME</v>
      </c>
    </row>
    <row r="661" ht="15.75" customHeight="1">
      <c r="A661" s="3" t="s">
        <v>684</v>
      </c>
      <c r="B661" s="4" t="str">
        <f>VLOOKUP(A661,Sheet2!$A$2:$R$3432,2,0)</f>
        <v>2024-12-18 19:32:50</v>
      </c>
      <c r="C661" s="5" t="s">
        <v>25</v>
      </c>
      <c r="D661" s="6" t="s">
        <v>25</v>
      </c>
      <c r="E661" s="7">
        <f>VLOOKUP(A661,Sheet2!$A$2:$R$3432,4,0)</f>
        <v>9595907539</v>
      </c>
      <c r="F661" s="7" t="str">
        <f>VLOOKUP(A661,Sheet2!$A$2:$R$3432,3,0)</f>
        <v>Ramesh Vora</v>
      </c>
      <c r="G661" s="5" t="s">
        <v>25</v>
      </c>
      <c r="H661" s="5" t="s">
        <v>25</v>
      </c>
      <c r="I661" s="5" t="s">
        <v>25</v>
      </c>
      <c r="J661" s="5" t="s">
        <v>25</v>
      </c>
      <c r="K661" s="7" t="str">
        <f>VLOOKUP(A661,Sheet2!$A$2:$R$3432,6,0)</f>
        <v>Honda Activa 110</v>
      </c>
      <c r="L661" s="5" t="s">
        <v>25</v>
      </c>
      <c r="M661" s="7" t="str">
        <f>VLOOKUP(A661,Sheet2!$A$2:$R$3432,5,0)</f>
        <v>MH14DY0885</v>
      </c>
      <c r="N661" s="5" t="s">
        <v>25</v>
      </c>
      <c r="O661" s="5" t="s">
        <v>25</v>
      </c>
      <c r="P661" s="6" t="s">
        <v>25</v>
      </c>
      <c r="Q661" s="5" t="s">
        <v>25</v>
      </c>
      <c r="R661" s="5" t="s">
        <v>25</v>
      </c>
      <c r="S661" s="7" t="str">
        <f>VLOOKUP(A661,Sheet2!$A$2:$R$3432,18,0)</f>
        <v/>
      </c>
      <c r="T661" s="7" t="str">
        <f>VLOOKUP(A661,Sheet2!$A$2:$R$3432,17,0)</f>
        <v>ME4JF5010D8204433</v>
      </c>
    </row>
    <row r="662" ht="15.75" customHeight="1">
      <c r="A662" s="3" t="s">
        <v>685</v>
      </c>
      <c r="B662" s="4" t="str">
        <f>VLOOKUP(A662,Sheet2!$A$2:$R$3432,2,0)</f>
        <v>2024-12-18 19:32:01</v>
      </c>
      <c r="C662" s="5" t="s">
        <v>25</v>
      </c>
      <c r="D662" s="6" t="s">
        <v>25</v>
      </c>
      <c r="E662" s="7">
        <f>VLOOKUP(A662,Sheet2!$A$2:$R$3432,4,0)</f>
        <v>7620920249</v>
      </c>
      <c r="F662" s="7" t="str">
        <f>VLOOKUP(A662,Sheet2!$A$2:$R$3432,3,0)</f>
        <v>Pratik Masalkar</v>
      </c>
      <c r="G662" s="5" t="s">
        <v>25</v>
      </c>
      <c r="H662" s="5" t="s">
        <v>25</v>
      </c>
      <c r="I662" s="5" t="s">
        <v>25</v>
      </c>
      <c r="J662" s="5" t="s">
        <v>25</v>
      </c>
      <c r="K662" s="7" t="str">
        <f>VLOOKUP(A662,Sheet2!$A$2:$R$3432,6,0)</f>
        <v>Honda Unicorn </v>
      </c>
      <c r="L662" s="5" t="s">
        <v>25</v>
      </c>
      <c r="M662" s="7" t="str">
        <f>VLOOKUP(A662,Sheet2!$A$2:$R$3432,5,0)</f>
        <v>MH14GK7336</v>
      </c>
      <c r="N662" s="5" t="s">
        <v>25</v>
      </c>
      <c r="O662" s="5" t="s">
        <v>25</v>
      </c>
      <c r="P662" s="6" t="s">
        <v>25</v>
      </c>
      <c r="Q662" s="5" t="s">
        <v>25</v>
      </c>
      <c r="R662" s="5" t="s">
        <v>25</v>
      </c>
      <c r="S662" s="5" t="str">
        <f>VLOOKUP(A662,Sheet2!$A$2:$R$3432,18,0)</f>
        <v>KC31E80085442</v>
      </c>
      <c r="T662" s="7" t="str">
        <f>VLOOKUP(A662,Sheet2!$A$2:$R$3432,17,0)</f>
        <v>ME4KC311HH8085376</v>
      </c>
    </row>
    <row r="663" ht="15.75" customHeight="1">
      <c r="A663" s="3" t="s">
        <v>686</v>
      </c>
      <c r="B663" s="4" t="str">
        <f>VLOOKUP(A663,Sheet2!$A$2:$R$3432,2,0)</f>
        <v>2024-12-18 20:10:50</v>
      </c>
      <c r="C663" s="5" t="s">
        <v>25</v>
      </c>
      <c r="D663" s="6" t="s">
        <v>25</v>
      </c>
      <c r="E663" s="7">
        <f>VLOOKUP(A663,Sheet2!$A$2:$R$3432,4,0)</f>
        <v>7677835549</v>
      </c>
      <c r="F663" s="7" t="str">
        <f>VLOOKUP(A663,Sheet2!$A$2:$R$3432,3,0)</f>
        <v>AMAN KISHOR</v>
      </c>
      <c r="G663" s="5" t="s">
        <v>25</v>
      </c>
      <c r="H663" s="5" t="s">
        <v>25</v>
      </c>
      <c r="I663" s="5" t="s">
        <v>25</v>
      </c>
      <c r="J663" s="5" t="s">
        <v>25</v>
      </c>
      <c r="K663" s="7" t="str">
        <f>VLOOKUP(A663,Sheet2!$A$2:$R$3432,6,0)</f>
        <v>Yamaha R15 2</v>
      </c>
      <c r="L663" s="5" t="s">
        <v>25</v>
      </c>
      <c r="M663" s="7" t="str">
        <f>VLOOKUP(A663,Sheet2!$A$2:$R$3432,5,0)</f>
        <v>BR01CT4144</v>
      </c>
      <c r="N663" s="5" t="s">
        <v>25</v>
      </c>
      <c r="O663" s="5" t="s">
        <v>25</v>
      </c>
      <c r="P663" s="6" t="s">
        <v>25</v>
      </c>
      <c r="Q663" s="5" t="s">
        <v>25</v>
      </c>
      <c r="R663" s="5" t="s">
        <v>25</v>
      </c>
      <c r="S663" s="7" t="str">
        <f>VLOOKUP(A663,Sheet2!$A$2:$R$3432,18,0)</f>
        <v/>
      </c>
      <c r="T663" s="7" t="str">
        <f>VLOOKUP(A663,Sheet2!$A$2:$R$3432,17,0)</f>
        <v/>
      </c>
    </row>
    <row r="664" ht="15.75" customHeight="1">
      <c r="A664" s="3" t="s">
        <v>687</v>
      </c>
      <c r="B664" s="4" t="str">
        <f>VLOOKUP(A664,Sheet2!$A$2:$R$3432,2,0)</f>
        <v>2024-12-19 18:54:00</v>
      </c>
      <c r="C664" s="5" t="s">
        <v>25</v>
      </c>
      <c r="D664" s="6" t="s">
        <v>25</v>
      </c>
      <c r="E664" s="7">
        <f>VLOOKUP(A664,Sheet2!$A$2:$R$3432,4,0)</f>
        <v>9766199710</v>
      </c>
      <c r="F664" s="7" t="str">
        <f>VLOOKUP(A664,Sheet2!$A$2:$R$3432,3,0)</f>
        <v>PRASAD</v>
      </c>
      <c r="G664" s="5" t="s">
        <v>25</v>
      </c>
      <c r="H664" s="5" t="s">
        <v>25</v>
      </c>
      <c r="I664" s="5" t="s">
        <v>25</v>
      </c>
      <c r="J664" s="5" t="s">
        <v>25</v>
      </c>
      <c r="K664" s="7" t="str">
        <f>VLOOKUP(A664,Sheet2!$A$2:$R$3432,6,0)</f>
        <v>TVS Jupiter 125</v>
      </c>
      <c r="L664" s="5" t="s">
        <v>25</v>
      </c>
      <c r="M664" s="7" t="str">
        <f>VLOOKUP(A664,Sheet2!$A$2:$R$3432,5,0)</f>
        <v>MH14KE2387</v>
      </c>
      <c r="N664" s="5" t="s">
        <v>25</v>
      </c>
      <c r="O664" s="5" t="s">
        <v>25</v>
      </c>
      <c r="P664" s="6" t="s">
        <v>25</v>
      </c>
      <c r="Q664" s="5" t="s">
        <v>25</v>
      </c>
      <c r="R664" s="5" t="s">
        <v>25</v>
      </c>
      <c r="S664" s="5" t="str">
        <f>VLOOKUP(A664,Sheet2!$A$2:$R$3432,18,0)</f>
        <v>BK4FN1428009</v>
      </c>
      <c r="T664" s="7" t="str">
        <f>VLOOKUP(A664,Sheet2!$A$2:$R$3432,17,0)</f>
        <v>MD626AK46N1F29964</v>
      </c>
    </row>
    <row r="665" ht="15.75" customHeight="1">
      <c r="A665" s="3" t="s">
        <v>688</v>
      </c>
      <c r="B665" s="4" t="str">
        <f>VLOOKUP(A665,Sheet2!$A$2:$R$3432,2,0)</f>
        <v>2024-12-19 19:33:55</v>
      </c>
      <c r="C665" s="5" t="s">
        <v>25</v>
      </c>
      <c r="D665" s="6" t="s">
        <v>25</v>
      </c>
      <c r="E665" s="7">
        <f>VLOOKUP(A665,Sheet2!$A$2:$R$3432,4,0)</f>
        <v>9527065123</v>
      </c>
      <c r="F665" s="7" t="str">
        <f>VLOOKUP(A665,Sheet2!$A$2:$R$3432,3,0)</f>
        <v>GEETASWAMI</v>
      </c>
      <c r="G665" s="5" t="s">
        <v>25</v>
      </c>
      <c r="H665" s="5" t="s">
        <v>25</v>
      </c>
      <c r="I665" s="5" t="s">
        <v>25</v>
      </c>
      <c r="J665" s="5" t="s">
        <v>25</v>
      </c>
      <c r="K665" s="7" t="str">
        <f>VLOOKUP(A665,Sheet2!$A$2:$R$3432,6,0)</f>
        <v>Honda Activa 110</v>
      </c>
      <c r="L665" s="5" t="s">
        <v>25</v>
      </c>
      <c r="M665" s="7" t="str">
        <f>VLOOKUP(A665,Sheet2!$A$2:$R$3432,5,0)</f>
        <v>MH14DY4529</v>
      </c>
      <c r="N665" s="5" t="s">
        <v>25</v>
      </c>
      <c r="O665" s="5" t="s">
        <v>25</v>
      </c>
      <c r="P665" s="6" t="s">
        <v>25</v>
      </c>
      <c r="Q665" s="5" t="s">
        <v>25</v>
      </c>
      <c r="R665" s="5" t="s">
        <v>25</v>
      </c>
      <c r="S665" s="7" t="str">
        <f>VLOOKUP(A665,Sheet2!$A$2:$R$3432,18,0)</f>
        <v/>
      </c>
      <c r="T665" s="7" t="str">
        <f>VLOOKUP(A665,Sheet2!$A$2:$R$3432,17,0)</f>
        <v/>
      </c>
    </row>
    <row r="666" ht="15.75" customHeight="1">
      <c r="A666" s="3" t="s">
        <v>689</v>
      </c>
      <c r="B666" s="4" t="str">
        <f>VLOOKUP(A666,Sheet2!$A$2:$R$3432,2,0)</f>
        <v>2024-12-19 18:51:50</v>
      </c>
      <c r="C666" s="5" t="s">
        <v>25</v>
      </c>
      <c r="D666" s="6" t="s">
        <v>25</v>
      </c>
      <c r="E666" s="7">
        <f>VLOOKUP(A666,Sheet2!$A$2:$R$3432,4,0)</f>
        <v>8149546005</v>
      </c>
      <c r="F666" s="7" t="str">
        <f>VLOOKUP(A666,Sheet2!$A$2:$R$3432,3,0)</f>
        <v>ANKUR</v>
      </c>
      <c r="G666" s="5" t="s">
        <v>25</v>
      </c>
      <c r="H666" s="5" t="s">
        <v>25</v>
      </c>
      <c r="I666" s="5" t="s">
        <v>25</v>
      </c>
      <c r="J666" s="5" t="s">
        <v>25</v>
      </c>
      <c r="K666" s="7" t="str">
        <f>VLOOKUP(A666,Sheet2!$A$2:$R$3432,6,0)</f>
        <v>KTM RC 200</v>
      </c>
      <c r="L666" s="5" t="s">
        <v>25</v>
      </c>
      <c r="M666" s="7" t="str">
        <f>VLOOKUP(A666,Sheet2!$A$2:$R$3432,5,0)</f>
        <v>MH10EC3656</v>
      </c>
      <c r="N666" s="5" t="s">
        <v>25</v>
      </c>
      <c r="O666" s="5" t="s">
        <v>25</v>
      </c>
      <c r="P666" s="6" t="s">
        <v>25</v>
      </c>
      <c r="Q666" s="5" t="s">
        <v>25</v>
      </c>
      <c r="R666" s="5" t="s">
        <v>25</v>
      </c>
      <c r="S666" s="7" t="str">
        <f>VLOOKUP(A666,Sheet2!$A$2:$R$3432,18,0)</f>
        <v/>
      </c>
      <c r="T666" s="7" t="str">
        <f>VLOOKUP(A666,Sheet2!$A$2:$R$3432,17,0)</f>
        <v/>
      </c>
    </row>
    <row r="667" ht="15.75" customHeight="1">
      <c r="A667" s="3" t="s">
        <v>690</v>
      </c>
      <c r="B667" s="4" t="str">
        <f>VLOOKUP(A667,Sheet2!$A$2:$R$3432,2,0)</f>
        <v>2024-12-19 18:53:02</v>
      </c>
      <c r="C667" s="5" t="s">
        <v>25</v>
      </c>
      <c r="D667" s="6" t="s">
        <v>25</v>
      </c>
      <c r="E667" s="7">
        <f>VLOOKUP(A667,Sheet2!$A$2:$R$3432,4,0)</f>
        <v>9153912912</v>
      </c>
      <c r="F667" s="7" t="str">
        <f>VLOOKUP(A667,Sheet2!$A$2:$R$3432,3,0)</f>
        <v>Pratik Kanse </v>
      </c>
      <c r="G667" s="5" t="s">
        <v>25</v>
      </c>
      <c r="H667" s="5" t="s">
        <v>25</v>
      </c>
      <c r="I667" s="5" t="s">
        <v>25</v>
      </c>
      <c r="J667" s="5" t="s">
        <v>25</v>
      </c>
      <c r="K667" s="7" t="str">
        <f>VLOOKUP(A667,Sheet2!$A$2:$R$3432,6,0)</f>
        <v>Honda Activa 125</v>
      </c>
      <c r="L667" s="5" t="s">
        <v>25</v>
      </c>
      <c r="M667" s="7" t="str">
        <f>VLOOKUP(A667,Sheet2!$A$2:$R$3432,5,0)</f>
        <v>MH12RH3814</v>
      </c>
      <c r="N667" s="5" t="s">
        <v>25</v>
      </c>
      <c r="O667" s="5" t="s">
        <v>25</v>
      </c>
      <c r="P667" s="6" t="s">
        <v>25</v>
      </c>
      <c r="Q667" s="5" t="s">
        <v>25</v>
      </c>
      <c r="R667" s="5" t="s">
        <v>25</v>
      </c>
      <c r="S667" s="5" t="str">
        <f>VLOOKUP(A667,Sheet2!$A$2:$R$3432,18,0)</f>
        <v>JF49EU4040875</v>
      </c>
      <c r="T667" s="7" t="str">
        <f>VLOOKUP(A667,Sheet2!$A$2:$R$3432,17,0)</f>
        <v>ME4JF490LJ040959</v>
      </c>
    </row>
    <row r="668" ht="15.75" customHeight="1">
      <c r="A668" s="3" t="s">
        <v>691</v>
      </c>
      <c r="B668" s="4" t="str">
        <f>VLOOKUP(A668,Sheet2!$A$2:$R$3432,2,0)</f>
        <v>2024-12-19 18:53:35</v>
      </c>
      <c r="C668" s="5" t="s">
        <v>25</v>
      </c>
      <c r="D668" s="6" t="s">
        <v>25</v>
      </c>
      <c r="E668" s="7">
        <f>VLOOKUP(A668,Sheet2!$A$2:$R$3432,4,0)</f>
        <v>9322340462</v>
      </c>
      <c r="F668" s="7" t="str">
        <f>VLOOKUP(A668,Sheet2!$A$2:$R$3432,3,0)</f>
        <v>SINGH</v>
      </c>
      <c r="G668" s="5" t="s">
        <v>25</v>
      </c>
      <c r="H668" s="5" t="s">
        <v>25</v>
      </c>
      <c r="I668" s="5" t="s">
        <v>25</v>
      </c>
      <c r="J668" s="5" t="s">
        <v>25</v>
      </c>
      <c r="K668" s="7" t="str">
        <f>VLOOKUP(A668,Sheet2!$A$2:$R$3432,6,0)</f>
        <v>Honda Activa i</v>
      </c>
      <c r="L668" s="5" t="s">
        <v>25</v>
      </c>
      <c r="M668" s="7" t="str">
        <f>VLOOKUP(A668,Sheet2!$A$2:$R$3432,5,0)</f>
        <v>MH14FE3692</v>
      </c>
      <c r="N668" s="5" t="s">
        <v>25</v>
      </c>
      <c r="O668" s="5" t="s">
        <v>25</v>
      </c>
      <c r="P668" s="6" t="s">
        <v>25</v>
      </c>
      <c r="Q668" s="5" t="s">
        <v>25</v>
      </c>
      <c r="R668" s="5" t="s">
        <v>25</v>
      </c>
      <c r="S668" s="7" t="str">
        <f>VLOOKUP(A668,Sheet2!$A$2:$R$3432,18,0)</f>
        <v/>
      </c>
      <c r="T668" s="7" t="str">
        <f>VLOOKUP(A668,Sheet2!$A$2:$R$3432,17,0)</f>
        <v/>
      </c>
    </row>
    <row r="669" ht="15.75" customHeight="1">
      <c r="A669" s="3" t="s">
        <v>692</v>
      </c>
      <c r="B669" s="4" t="str">
        <f>VLOOKUP(A669,Sheet2!$A$2:$R$3432,2,0)</f>
        <v>2024-12-19 18:56:37</v>
      </c>
      <c r="C669" s="5" t="s">
        <v>25</v>
      </c>
      <c r="D669" s="6" t="s">
        <v>25</v>
      </c>
      <c r="E669" s="7">
        <f>VLOOKUP(A669,Sheet2!$A$2:$R$3432,4,0)</f>
        <v>7038982129</v>
      </c>
      <c r="F669" s="7" t="str">
        <f>VLOOKUP(A669,Sheet2!$A$2:$R$3432,3,0)</f>
        <v>AKIB</v>
      </c>
      <c r="G669" s="5" t="s">
        <v>25</v>
      </c>
      <c r="H669" s="5" t="s">
        <v>25</v>
      </c>
      <c r="I669" s="5" t="s">
        <v>25</v>
      </c>
      <c r="J669" s="5" t="s">
        <v>25</v>
      </c>
      <c r="K669" s="7" t="str">
        <f>VLOOKUP(A669,Sheet2!$A$2:$R$3432,6,0)</f>
        <v>Bajaj CT 100 </v>
      </c>
      <c r="L669" s="5" t="s">
        <v>25</v>
      </c>
      <c r="M669" s="7" t="str">
        <f>VLOOKUP(A669,Sheet2!$A$2:$R$3432,5,0)</f>
        <v>MH49AN7150</v>
      </c>
      <c r="N669" s="5" t="s">
        <v>25</v>
      </c>
      <c r="O669" s="5" t="s">
        <v>25</v>
      </c>
      <c r="P669" s="6" t="s">
        <v>25</v>
      </c>
      <c r="Q669" s="5" t="s">
        <v>25</v>
      </c>
      <c r="R669" s="5" t="s">
        <v>25</v>
      </c>
      <c r="S669" s="5" t="str">
        <f>VLOOKUP(A669,Sheet2!$A$2:$R$3432,18,0)</f>
        <v>DUZWG046245</v>
      </c>
      <c r="T669" s="7" t="str">
        <f>VLOOKUP(A669,Sheet2!$A$2:$R$3432,17,0)</f>
        <v>MD2A18AZ7GW09457</v>
      </c>
    </row>
    <row r="670" ht="15.75" customHeight="1">
      <c r="A670" s="3" t="s">
        <v>693</v>
      </c>
      <c r="B670" s="4" t="str">
        <f>VLOOKUP(A670,Sheet2!$A$2:$R$3432,2,0)</f>
        <v>2024-12-19 18:57:43</v>
      </c>
      <c r="C670" s="5" t="s">
        <v>25</v>
      </c>
      <c r="D670" s="6" t="s">
        <v>25</v>
      </c>
      <c r="E670" s="7">
        <f>VLOOKUP(A670,Sheet2!$A$2:$R$3432,4,0)</f>
        <v>9527552293</v>
      </c>
      <c r="F670" s="7" t="str">
        <f>VLOOKUP(A670,Sheet2!$A$2:$R$3432,3,0)</f>
        <v>SHANTARAM NERKAR</v>
      </c>
      <c r="G670" s="5" t="s">
        <v>25</v>
      </c>
      <c r="H670" s="5" t="s">
        <v>25</v>
      </c>
      <c r="I670" s="5" t="s">
        <v>25</v>
      </c>
      <c r="J670" s="5" t="s">
        <v>25</v>
      </c>
      <c r="K670" s="7" t="str">
        <f>VLOOKUP(A670,Sheet2!$A$2:$R$3432,6,0)</f>
        <v>Honda Activa 5G</v>
      </c>
      <c r="L670" s="5" t="s">
        <v>25</v>
      </c>
      <c r="M670" s="7" t="str">
        <f>VLOOKUP(A670,Sheet2!$A$2:$R$3432,5,0)</f>
        <v>MH14HF1039</v>
      </c>
      <c r="N670" s="5" t="s">
        <v>25</v>
      </c>
      <c r="O670" s="5" t="s">
        <v>25</v>
      </c>
      <c r="P670" s="6" t="s">
        <v>25</v>
      </c>
      <c r="Q670" s="5" t="s">
        <v>25</v>
      </c>
      <c r="R670" s="5" t="s">
        <v>25</v>
      </c>
      <c r="S670" s="5" t="str">
        <f>VLOOKUP(A670,Sheet2!$A$2:$R$3432,18,0)</f>
        <v>JF50T2567507</v>
      </c>
      <c r="T670" s="7" t="str">
        <f>VLOOKUP(A670,Sheet2!$A$2:$R$3432,17,0)</f>
        <v>ME45J50AKJT56794</v>
      </c>
    </row>
    <row r="671" ht="15.75" customHeight="1">
      <c r="A671" s="3" t="s">
        <v>694</v>
      </c>
      <c r="B671" s="4" t="str">
        <f>VLOOKUP(A671,Sheet2!$A$2:$R$3432,2,0)</f>
        <v>2024-12-19 18:58:02</v>
      </c>
      <c r="C671" s="5" t="s">
        <v>25</v>
      </c>
      <c r="D671" s="6" t="s">
        <v>25</v>
      </c>
      <c r="E671" s="7">
        <f>VLOOKUP(A671,Sheet2!$A$2:$R$3432,4,0)</f>
        <v>9699293084</v>
      </c>
      <c r="F671" s="7" t="str">
        <f>VLOOKUP(A671,Sheet2!$A$2:$R$3432,3,0)</f>
        <v>Girija</v>
      </c>
      <c r="G671" s="5" t="s">
        <v>25</v>
      </c>
      <c r="H671" s="5" t="s">
        <v>25</v>
      </c>
      <c r="I671" s="5" t="s">
        <v>25</v>
      </c>
      <c r="J671" s="5" t="s">
        <v>25</v>
      </c>
      <c r="K671" s="7" t="str">
        <f>VLOOKUP(A671,Sheet2!$A$2:$R$3432,6,0)</f>
        <v>Honda Activa 3G</v>
      </c>
      <c r="L671" s="5" t="s">
        <v>25</v>
      </c>
      <c r="M671" s="7" t="str">
        <f>VLOOKUP(A671,Sheet2!$A$2:$R$3432,5,0)</f>
        <v>MH12ND2790</v>
      </c>
      <c r="N671" s="5" t="s">
        <v>25</v>
      </c>
      <c r="O671" s="5" t="s">
        <v>25</v>
      </c>
      <c r="P671" s="6" t="s">
        <v>25</v>
      </c>
      <c r="Q671" s="5" t="s">
        <v>25</v>
      </c>
      <c r="R671" s="5" t="s">
        <v>25</v>
      </c>
      <c r="S671" s="7" t="str">
        <f>VLOOKUP(A671,Sheet2!$A$2:$R$3432,18,0)</f>
        <v/>
      </c>
      <c r="T671" s="7" t="str">
        <f>VLOOKUP(A671,Sheet2!$A$2:$R$3432,17,0)</f>
        <v/>
      </c>
    </row>
    <row r="672" ht="15.75" customHeight="1">
      <c r="A672" s="3" t="s">
        <v>695</v>
      </c>
      <c r="B672" s="4" t="str">
        <f>VLOOKUP(A672,Sheet2!$A$2:$R$3432,2,0)</f>
        <v>2025-02-17 19:30:24</v>
      </c>
      <c r="C672" s="5" t="s">
        <v>25</v>
      </c>
      <c r="D672" s="6" t="s">
        <v>25</v>
      </c>
      <c r="E672" s="7">
        <f>VLOOKUP(A672,Sheet2!$A$2:$R$3432,4,0)</f>
        <v>9075791172</v>
      </c>
      <c r="F672" s="7" t="str">
        <f>VLOOKUP(A672,Sheet2!$A$2:$R$3432,3,0)</f>
        <v>ADITYA </v>
      </c>
      <c r="G672" s="5" t="s">
        <v>25</v>
      </c>
      <c r="H672" s="5" t="s">
        <v>25</v>
      </c>
      <c r="I672" s="5" t="s">
        <v>25</v>
      </c>
      <c r="J672" s="5" t="s">
        <v>25</v>
      </c>
      <c r="K672" s="7" t="str">
        <f>VLOOKUP(A672,Sheet2!$A$2:$R$3432,6,0)</f>
        <v>Honda Activa 3G</v>
      </c>
      <c r="L672" s="5" t="s">
        <v>25</v>
      </c>
      <c r="M672" s="7" t="str">
        <f>VLOOKUP(A672,Sheet2!$A$2:$R$3432,5,0)</f>
        <v>MH14FK6546</v>
      </c>
      <c r="N672" s="5" t="s">
        <v>25</v>
      </c>
      <c r="O672" s="5" t="s">
        <v>25</v>
      </c>
      <c r="P672" s="6" t="s">
        <v>25</v>
      </c>
      <c r="Q672" s="5" t="s">
        <v>25</v>
      </c>
      <c r="R672" s="5" t="s">
        <v>25</v>
      </c>
      <c r="S672" s="7" t="str">
        <f>VLOOKUP(A672,Sheet2!$A$2:$R$3432,18,0)</f>
        <v/>
      </c>
      <c r="T672" s="7" t="str">
        <f>VLOOKUP(A672,Sheet2!$A$2:$R$3432,17,0)</f>
        <v/>
      </c>
    </row>
    <row r="673" ht="15.75" customHeight="1">
      <c r="A673" s="3" t="s">
        <v>696</v>
      </c>
      <c r="B673" s="4" t="str">
        <f>VLOOKUP(A673,Sheet2!$A$2:$R$3432,2,0)</f>
        <v>2025-02-17 20:43:26</v>
      </c>
      <c r="C673" s="5" t="s">
        <v>25</v>
      </c>
      <c r="D673" s="6" t="s">
        <v>25</v>
      </c>
      <c r="E673" s="7">
        <f>VLOOKUP(A673,Sheet2!$A$2:$R$3432,4,0)</f>
        <v>7276334217</v>
      </c>
      <c r="F673" s="7" t="str">
        <f>VLOOKUP(A673,Sheet2!$A$2:$R$3432,3,0)</f>
        <v> SUMANT SHARMA </v>
      </c>
      <c r="G673" s="5" t="s">
        <v>25</v>
      </c>
      <c r="H673" s="5" t="s">
        <v>25</v>
      </c>
      <c r="I673" s="5" t="s">
        <v>25</v>
      </c>
      <c r="J673" s="5" t="s">
        <v>25</v>
      </c>
      <c r="K673" s="7" t="str">
        <f>VLOOKUP(A673,Sheet2!$A$2:$R$3432,6,0)</f>
        <v>Yamaha FZ S</v>
      </c>
      <c r="L673" s="5" t="s">
        <v>25</v>
      </c>
      <c r="M673" s="7" t="str">
        <f>VLOOKUP(A673,Sheet2!$A$2:$R$3432,5,0)</f>
        <v>MH14EA3877</v>
      </c>
      <c r="N673" s="5" t="s">
        <v>25</v>
      </c>
      <c r="O673" s="5" t="s">
        <v>25</v>
      </c>
      <c r="P673" s="6" t="s">
        <v>25</v>
      </c>
      <c r="Q673" s="5" t="s">
        <v>25</v>
      </c>
      <c r="R673" s="5" t="s">
        <v>25</v>
      </c>
      <c r="S673" s="5" t="str">
        <f>VLOOKUP(A673,Sheet2!$A$2:$R$3432,18,0)</f>
        <v>21CH031733</v>
      </c>
      <c r="T673" s="7" t="str">
        <f>VLOOKUP(A673,Sheet2!$A$2:$R$3432,17,0)</f>
        <v>ME121COH7D20317441</v>
      </c>
    </row>
    <row r="674" ht="15.75" customHeight="1">
      <c r="A674" s="3" t="s">
        <v>697</v>
      </c>
      <c r="B674" s="4" t="str">
        <f>VLOOKUP(A674,Sheet2!$A$2:$R$3432,2,0)</f>
        <v>2025-02-17 19:29:21</v>
      </c>
      <c r="C674" s="5" t="s">
        <v>25</v>
      </c>
      <c r="D674" s="6" t="s">
        <v>25</v>
      </c>
      <c r="E674" s="7">
        <f>VLOOKUP(A674,Sheet2!$A$2:$R$3432,4,0)</f>
        <v>7030371806</v>
      </c>
      <c r="F674" s="7" t="str">
        <f>VLOOKUP(A674,Sheet2!$A$2:$R$3432,3,0)</f>
        <v>SACHIN </v>
      </c>
      <c r="G674" s="5" t="s">
        <v>25</v>
      </c>
      <c r="H674" s="5" t="s">
        <v>25</v>
      </c>
      <c r="I674" s="5" t="s">
        <v>25</v>
      </c>
      <c r="J674" s="5" t="s">
        <v>25</v>
      </c>
      <c r="K674" s="7" t="str">
        <f>VLOOKUP(A674,Sheet2!$A$2:$R$3432,6,0)</f>
        <v>Suzuki Access 125</v>
      </c>
      <c r="L674" s="5" t="s">
        <v>25</v>
      </c>
      <c r="M674" s="7" t="str">
        <f>VLOOKUP(A674,Sheet2!$A$2:$R$3432,5,0)</f>
        <v>MH12HY6212</v>
      </c>
      <c r="N674" s="5" t="s">
        <v>25</v>
      </c>
      <c r="O674" s="5" t="s">
        <v>25</v>
      </c>
      <c r="P674" s="6" t="s">
        <v>25</v>
      </c>
      <c r="Q674" s="5" t="s">
        <v>25</v>
      </c>
      <c r="R674" s="5" t="s">
        <v>25</v>
      </c>
      <c r="S674" s="7" t="str">
        <f>VLOOKUP(A674,Sheet2!$A$2:$R$3432,18,0)</f>
        <v/>
      </c>
      <c r="T674" s="7" t="str">
        <f>VLOOKUP(A674,Sheet2!$A$2:$R$3432,17,0)</f>
        <v/>
      </c>
    </row>
    <row r="675" ht="15.75" customHeight="1">
      <c r="A675" s="3" t="s">
        <v>698</v>
      </c>
      <c r="B675" s="4" t="str">
        <f>VLOOKUP(A675,Sheet2!$A$2:$R$3432,2,0)</f>
        <v>2025-02-17 19:29:53</v>
      </c>
      <c r="C675" s="5" t="s">
        <v>25</v>
      </c>
      <c r="D675" s="6" t="s">
        <v>25</v>
      </c>
      <c r="E675" s="7">
        <f>VLOOKUP(A675,Sheet2!$A$2:$R$3432,4,0)</f>
        <v>9404925331</v>
      </c>
      <c r="F675" s="7" t="str">
        <f>VLOOKUP(A675,Sheet2!$A$2:$R$3432,3,0)</f>
        <v>VAISHNAVI </v>
      </c>
      <c r="G675" s="5" t="s">
        <v>25</v>
      </c>
      <c r="H675" s="5" t="s">
        <v>25</v>
      </c>
      <c r="I675" s="5" t="s">
        <v>25</v>
      </c>
      <c r="J675" s="5" t="s">
        <v>25</v>
      </c>
      <c r="K675" s="7" t="str">
        <f>VLOOKUP(A675,Sheet2!$A$2:$R$3432,6,0)</f>
        <v>Piaggio Vespa </v>
      </c>
      <c r="L675" s="5" t="s">
        <v>25</v>
      </c>
      <c r="M675" s="7" t="str">
        <f>VLOOKUP(A675,Sheet2!$A$2:$R$3432,5,0)</f>
        <v>MH14EX4198</v>
      </c>
      <c r="N675" s="5" t="s">
        <v>25</v>
      </c>
      <c r="O675" s="5" t="s">
        <v>25</v>
      </c>
      <c r="P675" s="6" t="s">
        <v>25</v>
      </c>
      <c r="Q675" s="5" t="s">
        <v>25</v>
      </c>
      <c r="R675" s="5" t="s">
        <v>25</v>
      </c>
      <c r="S675" s="5" t="str">
        <f>VLOOKUP(A675,Sheet2!$A$2:$R$3432,18,0)</f>
        <v>M449M3096188</v>
      </c>
      <c r="T675" s="7" t="str">
        <f>VLOOKUP(A675,Sheet2!$A$2:$R$3432,17,0)</f>
        <v>MET0000BASB022755</v>
      </c>
    </row>
    <row r="676" ht="15.75" customHeight="1">
      <c r="A676" s="3" t="s">
        <v>699</v>
      </c>
      <c r="B676" s="4" t="str">
        <f>VLOOKUP(A676,Sheet2!$A$2:$R$3432,2,0)</f>
        <v>2025-02-17 20:42:43</v>
      </c>
      <c r="C676" s="5" t="s">
        <v>25</v>
      </c>
      <c r="D676" s="6" t="s">
        <v>25</v>
      </c>
      <c r="E676" s="7">
        <f>VLOOKUP(A676,Sheet2!$A$2:$R$3432,4,0)</f>
        <v>9518352796</v>
      </c>
      <c r="F676" s="7" t="str">
        <f>VLOOKUP(A676,Sheet2!$A$2:$R$3432,3,0)</f>
        <v>Shantanu Kamthe</v>
      </c>
      <c r="G676" s="5" t="s">
        <v>25</v>
      </c>
      <c r="H676" s="5" t="s">
        <v>25</v>
      </c>
      <c r="I676" s="5" t="s">
        <v>25</v>
      </c>
      <c r="J676" s="5" t="s">
        <v>25</v>
      </c>
      <c r="K676" s="7" t="str">
        <f>VLOOKUP(A676,Sheet2!$A$2:$R$3432,6,0)</f>
        <v>Honda Hornet </v>
      </c>
      <c r="L676" s="5" t="s">
        <v>25</v>
      </c>
      <c r="M676" s="7" t="str">
        <f>VLOOKUP(A676,Sheet2!$A$2:$R$3432,5,0)</f>
        <v>MH12PR6035</v>
      </c>
      <c r="N676" s="5" t="s">
        <v>25</v>
      </c>
      <c r="O676" s="5" t="s">
        <v>25</v>
      </c>
      <c r="P676" s="6" t="s">
        <v>25</v>
      </c>
      <c r="Q676" s="5" t="s">
        <v>25</v>
      </c>
      <c r="R676" s="5" t="s">
        <v>25</v>
      </c>
      <c r="S676" s="5" t="str">
        <f>VLOOKUP(A676,Sheet2!$A$2:$R$3432,18,0)</f>
        <v>KC23E849430</v>
      </c>
      <c r="T676" s="7" t="str">
        <f>VLOOKUP(A676,Sheet2!$A$2:$R$3432,17,0)</f>
        <v>ME4KC23AFH8016431</v>
      </c>
    </row>
    <row r="677" ht="15.75" customHeight="1">
      <c r="A677" s="3" t="s">
        <v>700</v>
      </c>
      <c r="B677" s="4" t="str">
        <f>VLOOKUP(A677,Sheet2!$A$2:$R$3432,2,0)</f>
        <v>2025-04-13 19:35:23</v>
      </c>
      <c r="C677" s="5" t="s">
        <v>25</v>
      </c>
      <c r="D677" s="6" t="s">
        <v>25</v>
      </c>
      <c r="E677" s="7">
        <f>VLOOKUP(A677,Sheet2!$A$2:$R$3432,4,0)</f>
        <v>7038172288</v>
      </c>
      <c r="F677" s="7" t="str">
        <f>VLOOKUP(A677,Sheet2!$A$2:$R$3432,3,0)</f>
        <v>ANIL WATERKAR</v>
      </c>
      <c r="G677" s="5" t="s">
        <v>25</v>
      </c>
      <c r="H677" s="5" t="s">
        <v>25</v>
      </c>
      <c r="I677" s="5" t="s">
        <v>25</v>
      </c>
      <c r="J677" s="5" t="s">
        <v>25</v>
      </c>
      <c r="K677" s="7" t="str">
        <f>VLOOKUP(A677,Sheet2!$A$2:$R$3432,6,0)</f>
        <v>Honda Activa 6G</v>
      </c>
      <c r="L677" s="5" t="s">
        <v>25</v>
      </c>
      <c r="M677" s="7" t="str">
        <f>VLOOKUP(A677,Sheet2!$A$2:$R$3432,5,0)</f>
        <v>MH14KE8427</v>
      </c>
      <c r="N677" s="5" t="s">
        <v>25</v>
      </c>
      <c r="O677" s="5" t="s">
        <v>25</v>
      </c>
      <c r="P677" s="6" t="s">
        <v>25</v>
      </c>
      <c r="Q677" s="5" t="s">
        <v>25</v>
      </c>
      <c r="R677" s="5" t="s">
        <v>25</v>
      </c>
      <c r="S677" s="5" t="str">
        <f>VLOOKUP(A677,Sheet2!$A$2:$R$3432,18,0)</f>
        <v>JF1EW7271690</v>
      </c>
      <c r="T677" s="7" t="str">
        <f>VLOOKUP(A677,Sheet2!$A$2:$R$3432,17,0)</f>
        <v>ME4JF91AGNW273292</v>
      </c>
    </row>
    <row r="678" ht="15.75" customHeight="1">
      <c r="A678" s="3" t="s">
        <v>701</v>
      </c>
      <c r="B678" s="4" t="str">
        <f>VLOOKUP(A678,Sheet2!$A$2:$R$3432,2,0)</f>
        <v>2025-04-13 19:36:49</v>
      </c>
      <c r="C678" s="5" t="s">
        <v>25</v>
      </c>
      <c r="D678" s="6" t="s">
        <v>25</v>
      </c>
      <c r="E678" s="7">
        <f>VLOOKUP(A678,Sheet2!$A$2:$R$3432,4,0)</f>
        <v>9175573138</v>
      </c>
      <c r="F678" s="7" t="str">
        <f>VLOOKUP(A678,Sheet2!$A$2:$R$3432,3,0)</f>
        <v>Sahil Saraf</v>
      </c>
      <c r="G678" s="5" t="s">
        <v>25</v>
      </c>
      <c r="H678" s="5" t="s">
        <v>25</v>
      </c>
      <c r="I678" s="5" t="s">
        <v>25</v>
      </c>
      <c r="J678" s="5" t="s">
        <v>25</v>
      </c>
      <c r="K678" s="7" t="str">
        <f>VLOOKUP(A678,Sheet2!$A$2:$R$3432,6,0)</f>
        <v>Royal Enfield Classic 350</v>
      </c>
      <c r="L678" s="5" t="s">
        <v>25</v>
      </c>
      <c r="M678" s="7" t="str">
        <f>VLOOKUP(A678,Sheet2!$A$2:$R$3432,5,0)</f>
        <v>MH19DS2711</v>
      </c>
      <c r="N678" s="5" t="s">
        <v>25</v>
      </c>
      <c r="O678" s="5" t="s">
        <v>25</v>
      </c>
      <c r="P678" s="6" t="s">
        <v>25</v>
      </c>
      <c r="Q678" s="5" t="s">
        <v>25</v>
      </c>
      <c r="R678" s="5" t="s">
        <v>25</v>
      </c>
      <c r="S678" s="5" t="str">
        <f>VLOOKUP(A678,Sheet2!$A$2:$R$3432,18,0)</f>
        <v>U3S51LN686852</v>
      </c>
      <c r="T678" s="7" t="str">
        <f>VLOOKUP(A678,Sheet2!$A$2:$R$3432,17,0)</f>
        <v>ME3U3S5FMA063484</v>
      </c>
    </row>
    <row r="679" ht="15.75" customHeight="1">
      <c r="A679" s="3" t="s">
        <v>702</v>
      </c>
      <c r="B679" s="4" t="str">
        <f>VLOOKUP(A679,Sheet2!$A$2:$R$3432,2,0)</f>
        <v>2025-04-13 19:39:07</v>
      </c>
      <c r="C679" s="5" t="s">
        <v>25</v>
      </c>
      <c r="D679" s="6" t="s">
        <v>25</v>
      </c>
      <c r="E679" s="7">
        <f>VLOOKUP(A679,Sheet2!$A$2:$R$3432,4,0)</f>
        <v>9860599253</v>
      </c>
      <c r="F679" s="7" t="str">
        <f>VLOOKUP(A679,Sheet2!$A$2:$R$3432,3,0)</f>
        <v>Swapnil Kale</v>
      </c>
      <c r="G679" s="5" t="s">
        <v>25</v>
      </c>
      <c r="H679" s="5" t="s">
        <v>25</v>
      </c>
      <c r="I679" s="5" t="s">
        <v>25</v>
      </c>
      <c r="J679" s="5" t="s">
        <v>25</v>
      </c>
      <c r="K679" s="7" t="str">
        <f>VLOOKUP(A679,Sheet2!$A$2:$R$3432,6,0)</f>
        <v>Hero Pleasure </v>
      </c>
      <c r="L679" s="5" t="s">
        <v>25</v>
      </c>
      <c r="M679" s="7" t="str">
        <f>VLOOKUP(A679,Sheet2!$A$2:$R$3432,5,0)</f>
        <v>MH12RW3897</v>
      </c>
      <c r="N679" s="5" t="s">
        <v>25</v>
      </c>
      <c r="O679" s="5" t="s">
        <v>25</v>
      </c>
      <c r="P679" s="6" t="s">
        <v>25</v>
      </c>
      <c r="Q679" s="5" t="s">
        <v>25</v>
      </c>
      <c r="R679" s="5" t="s">
        <v>25</v>
      </c>
      <c r="S679" s="7" t="str">
        <f>VLOOKUP(A679,Sheet2!$A$2:$R$3432,18,0)</f>
        <v/>
      </c>
      <c r="T679" s="7" t="str">
        <f>VLOOKUP(A679,Sheet2!$A$2:$R$3432,17,0)</f>
        <v/>
      </c>
    </row>
    <row r="680" ht="15.75" customHeight="1">
      <c r="A680" s="3" t="s">
        <v>703</v>
      </c>
      <c r="B680" s="4" t="str">
        <f>VLOOKUP(A680,Sheet2!$A$2:$R$3432,2,0)</f>
        <v>2025-04-13 19:43:40</v>
      </c>
      <c r="C680" s="5" t="s">
        <v>25</v>
      </c>
      <c r="D680" s="6" t="s">
        <v>25</v>
      </c>
      <c r="E680" s="7">
        <f>VLOOKUP(A680,Sheet2!$A$2:$R$3432,4,0)</f>
        <v>9604733663</v>
      </c>
      <c r="F680" s="7" t="str">
        <f>VLOOKUP(A680,Sheet2!$A$2:$R$3432,3,0)</f>
        <v>Saurabh</v>
      </c>
      <c r="G680" s="5" t="s">
        <v>25</v>
      </c>
      <c r="H680" s="5" t="s">
        <v>25</v>
      </c>
      <c r="I680" s="5" t="s">
        <v>25</v>
      </c>
      <c r="J680" s="5" t="s">
        <v>25</v>
      </c>
      <c r="K680" s="7" t="str">
        <f>VLOOKUP(A680,Sheet2!$A$2:$R$3432,6,0)</f>
        <v>Hero Deluxe HF</v>
      </c>
      <c r="L680" s="5" t="s">
        <v>25</v>
      </c>
      <c r="M680" s="7" t="str">
        <f>VLOOKUP(A680,Sheet2!$A$2:$R$3432,5,0)</f>
        <v>MH16CB0340</v>
      </c>
      <c r="N680" s="5" t="s">
        <v>25</v>
      </c>
      <c r="O680" s="5" t="s">
        <v>25</v>
      </c>
      <c r="P680" s="6" t="s">
        <v>25</v>
      </c>
      <c r="Q680" s="5" t="s">
        <v>25</v>
      </c>
      <c r="R680" s="5" t="s">
        <v>25</v>
      </c>
      <c r="S680" s="7" t="str">
        <f>VLOOKUP(A680,Sheet2!$A$2:$R$3432,18,0)</f>
        <v/>
      </c>
      <c r="T680" s="7" t="str">
        <f>VLOOKUP(A680,Sheet2!$A$2:$R$3432,17,0)</f>
        <v/>
      </c>
    </row>
    <row r="681" ht="15.75" customHeight="1">
      <c r="A681" s="3" t="s">
        <v>704</v>
      </c>
      <c r="B681" s="4" t="str">
        <f>VLOOKUP(A681,Sheet2!$A$2:$R$3432,2,0)</f>
        <v>2025-04-13 19:44:31</v>
      </c>
      <c r="C681" s="5" t="s">
        <v>25</v>
      </c>
      <c r="D681" s="6" t="s">
        <v>25</v>
      </c>
      <c r="E681" s="7">
        <f>VLOOKUP(A681,Sheet2!$A$2:$R$3432,4,0)</f>
        <v>7507291543</v>
      </c>
      <c r="F681" s="7" t="str">
        <f>VLOOKUP(A681,Sheet2!$A$2:$R$3432,3,0)</f>
        <v>AMIT SARAF</v>
      </c>
      <c r="G681" s="5" t="s">
        <v>25</v>
      </c>
      <c r="H681" s="5" t="s">
        <v>25</v>
      </c>
      <c r="I681" s="5" t="s">
        <v>25</v>
      </c>
      <c r="J681" s="5" t="s">
        <v>25</v>
      </c>
      <c r="K681" s="7" t="str">
        <f>VLOOKUP(A681,Sheet2!$A$2:$R$3432,6,0)</f>
        <v>Royal Enfield Classic 350</v>
      </c>
      <c r="L681" s="5" t="s">
        <v>25</v>
      </c>
      <c r="M681" s="7" t="str">
        <f>VLOOKUP(A681,Sheet2!$A$2:$R$3432,5,0)</f>
        <v>MH14JY2684</v>
      </c>
      <c r="N681" s="5" t="s">
        <v>25</v>
      </c>
      <c r="O681" s="5" t="s">
        <v>25</v>
      </c>
      <c r="P681" s="6" t="s">
        <v>25</v>
      </c>
      <c r="Q681" s="5" t="s">
        <v>25</v>
      </c>
      <c r="R681" s="5" t="s">
        <v>25</v>
      </c>
      <c r="S681" s="5" t="str">
        <f>VLOOKUP(A681,Sheet2!$A$2:$R$3432,18,0)</f>
        <v>J3A5FAN2546158</v>
      </c>
      <c r="T681" s="7" t="str">
        <f>VLOOKUP(A681,Sheet2!$A$2:$R$3432,17,0)</f>
        <v>ME3J3C5FAN2036376</v>
      </c>
    </row>
    <row r="682" ht="15.75" customHeight="1">
      <c r="A682" s="3" t="s">
        <v>705</v>
      </c>
      <c r="B682" s="4" t="str">
        <f>VLOOKUP(A682,Sheet2!$A$2:$R$3432,2,0)</f>
        <v>2025-04-13 19:45:11</v>
      </c>
      <c r="C682" s="5" t="s">
        <v>25</v>
      </c>
      <c r="D682" s="6" t="s">
        <v>25</v>
      </c>
      <c r="E682" s="7">
        <f>VLOOKUP(A682,Sheet2!$A$2:$R$3432,4,0)</f>
        <v>9421785433</v>
      </c>
      <c r="F682" s="7" t="str">
        <f>VLOOKUP(A682,Sheet2!$A$2:$R$3432,3,0)</f>
        <v>Saad Ahmed</v>
      </c>
      <c r="G682" s="5" t="s">
        <v>25</v>
      </c>
      <c r="H682" s="5" t="s">
        <v>25</v>
      </c>
      <c r="I682" s="5" t="s">
        <v>25</v>
      </c>
      <c r="J682" s="5" t="s">
        <v>25</v>
      </c>
      <c r="K682" s="7" t="str">
        <f>VLOOKUP(A682,Sheet2!$A$2:$R$3432,6,0)</f>
        <v>Royal Enfield Classic  350 Reborn</v>
      </c>
      <c r="L682" s="5" t="s">
        <v>25</v>
      </c>
      <c r="M682" s="7" t="str">
        <f>VLOOKUP(A682,Sheet2!$A$2:$R$3432,5,0)</f>
        <v>MH15HP7467</v>
      </c>
      <c r="N682" s="5" t="s">
        <v>25</v>
      </c>
      <c r="O682" s="5" t="s">
        <v>25</v>
      </c>
      <c r="P682" s="6" t="s">
        <v>25</v>
      </c>
      <c r="Q682" s="5" t="s">
        <v>25</v>
      </c>
      <c r="R682" s="5" t="s">
        <v>25</v>
      </c>
      <c r="S682" s="5" t="str">
        <f>VLOOKUP(A682,Sheet2!$A$2:$R$3432,18,0)</f>
        <v>J3A5FGM2109874</v>
      </c>
      <c r="T682" s="7" t="str">
        <f>VLOOKUP(A682,Sheet2!$A$2:$R$3432,17,0)</f>
        <v>MEBJ3C3FGM2006246</v>
      </c>
    </row>
    <row r="683" ht="15.75" customHeight="1">
      <c r="A683" s="3" t="s">
        <v>706</v>
      </c>
      <c r="B683" s="4" t="str">
        <f>VLOOKUP(A683,Sheet2!$A$2:$R$3432,2,0)</f>
        <v>2025-04-13 19:46:09</v>
      </c>
      <c r="C683" s="5" t="s">
        <v>25</v>
      </c>
      <c r="D683" s="6" t="s">
        <v>25</v>
      </c>
      <c r="E683" s="7">
        <f>VLOOKUP(A683,Sheet2!$A$2:$R$3432,4,0)</f>
        <v>7391050757</v>
      </c>
      <c r="F683" s="7" t="str">
        <f>VLOOKUP(A683,Sheet2!$A$2:$R$3432,3,0)</f>
        <v>GIRIDHAR </v>
      </c>
      <c r="G683" s="5" t="s">
        <v>25</v>
      </c>
      <c r="H683" s="5" t="s">
        <v>25</v>
      </c>
      <c r="I683" s="5" t="s">
        <v>25</v>
      </c>
      <c r="J683" s="5" t="s">
        <v>25</v>
      </c>
      <c r="K683" s="7" t="str">
        <f>VLOOKUP(A683,Sheet2!$A$2:$R$3432,6,0)</f>
        <v>Piaggio Vespa </v>
      </c>
      <c r="L683" s="5" t="s">
        <v>25</v>
      </c>
      <c r="M683" s="7" t="str">
        <f>VLOOKUP(A683,Sheet2!$A$2:$R$3432,5,0)</f>
        <v>MH12MK9354</v>
      </c>
      <c r="N683" s="5" t="s">
        <v>25</v>
      </c>
      <c r="O683" s="5" t="s">
        <v>25</v>
      </c>
      <c r="P683" s="6" t="s">
        <v>25</v>
      </c>
      <c r="Q683" s="5" t="s">
        <v>25</v>
      </c>
      <c r="R683" s="5" t="s">
        <v>25</v>
      </c>
      <c r="S683" s="5" t="str">
        <f>VLOOKUP(A683,Sheet2!$A$2:$R$3432,18,0)</f>
        <v>ME419M115191</v>
      </c>
      <c r="T683" s="7" t="str">
        <f>VLOOKUP(A683,Sheet2!$A$2:$R$3432,17,0)</f>
        <v>MET000BATJ029662</v>
      </c>
    </row>
    <row r="684" ht="15.75" customHeight="1">
      <c r="A684" s="3" t="s">
        <v>707</v>
      </c>
      <c r="B684" s="4" t="str">
        <f>VLOOKUP(A684,Sheet2!$A$2:$R$3432,2,0)</f>
        <v>2025-04-13 19:47:02</v>
      </c>
      <c r="C684" s="5" t="s">
        <v>25</v>
      </c>
      <c r="D684" s="6" t="s">
        <v>25</v>
      </c>
      <c r="E684" s="7">
        <f>VLOOKUP(A684,Sheet2!$A$2:$R$3432,4,0)</f>
        <v>9767474769</v>
      </c>
      <c r="F684" s="7" t="str">
        <f>VLOOKUP(A684,Sheet2!$A$2:$R$3432,3,0)</f>
        <v>Prithviraj </v>
      </c>
      <c r="G684" s="5" t="s">
        <v>25</v>
      </c>
      <c r="H684" s="5" t="s">
        <v>25</v>
      </c>
      <c r="I684" s="5" t="s">
        <v>25</v>
      </c>
      <c r="J684" s="5" t="s">
        <v>25</v>
      </c>
      <c r="K684" s="7" t="str">
        <f>VLOOKUP(A684,Sheet2!$A$2:$R$3432,6,0)</f>
        <v>Honda Activa 5G</v>
      </c>
      <c r="L684" s="5" t="s">
        <v>25</v>
      </c>
      <c r="M684" s="7" t="str">
        <f>VLOOKUP(A684,Sheet2!$A$2:$R$3432,5,0)</f>
        <v>MH14HC3458</v>
      </c>
      <c r="N684" s="5" t="s">
        <v>25</v>
      </c>
      <c r="O684" s="5" t="s">
        <v>25</v>
      </c>
      <c r="P684" s="6" t="s">
        <v>25</v>
      </c>
      <c r="Q684" s="5" t="s">
        <v>25</v>
      </c>
      <c r="R684" s="5" t="s">
        <v>25</v>
      </c>
      <c r="S684" s="5" t="str">
        <f>VLOOKUP(A684,Sheet2!$A$2:$R$3432,18,0)</f>
        <v>JF50EU8118001</v>
      </c>
      <c r="T684" s="7" t="str">
        <f>VLOOKUP(A684,Sheet2!$A$2:$R$3432,17,0)</f>
        <v>ME4JF50BHJU119741</v>
      </c>
    </row>
    <row r="685" ht="15.75" customHeight="1">
      <c r="A685" s="3" t="s">
        <v>708</v>
      </c>
      <c r="B685" s="4" t="str">
        <f>VLOOKUP(A685,Sheet2!$A$2:$R$3432,2,0)</f>
        <v>2025-04-13 19:47:53</v>
      </c>
      <c r="C685" s="5" t="s">
        <v>25</v>
      </c>
      <c r="D685" s="6" t="s">
        <v>25</v>
      </c>
      <c r="E685" s="7">
        <f>VLOOKUP(A685,Sheet2!$A$2:$R$3432,4,0)</f>
        <v>9403308902</v>
      </c>
      <c r="F685" s="7" t="str">
        <f>VLOOKUP(A685,Sheet2!$A$2:$R$3432,3,0)</f>
        <v>PRITESH</v>
      </c>
      <c r="G685" s="5" t="s">
        <v>25</v>
      </c>
      <c r="H685" s="5" t="s">
        <v>25</v>
      </c>
      <c r="I685" s="5" t="s">
        <v>25</v>
      </c>
      <c r="J685" s="5" t="s">
        <v>25</v>
      </c>
      <c r="K685" s="7" t="str">
        <f>VLOOKUP(A685,Sheet2!$A$2:$R$3432,6,0)</f>
        <v>Honda Unicorn 150</v>
      </c>
      <c r="L685" s="5" t="s">
        <v>25</v>
      </c>
      <c r="M685" s="7" t="str">
        <f>VLOOKUP(A685,Sheet2!$A$2:$R$3432,5,0)</f>
        <v>MH14JK5420</v>
      </c>
      <c r="N685" s="5" t="s">
        <v>25</v>
      </c>
      <c r="O685" s="5" t="s">
        <v>25</v>
      </c>
      <c r="P685" s="6" t="s">
        <v>25</v>
      </c>
      <c r="Q685" s="5" t="s">
        <v>25</v>
      </c>
      <c r="R685" s="5" t="s">
        <v>25</v>
      </c>
      <c r="S685" s="5" t="str">
        <f>VLOOKUP(A685,Sheet2!$A$2:$R$3432,18,0)</f>
        <v>KC40EA018415</v>
      </c>
      <c r="T685" s="7" t="str">
        <f>VLOOKUP(A685,Sheet2!$A$2:$R$3432,17,0)</f>
        <v>ME4KC401AMA286383</v>
      </c>
    </row>
    <row r="686" ht="15.75" customHeight="1">
      <c r="A686" s="3" t="s">
        <v>709</v>
      </c>
      <c r="B686" s="4" t="str">
        <f>VLOOKUP(A686,Sheet2!$A$2:$R$3432,2,0)</f>
        <v>2025-04-13 19:49:09</v>
      </c>
      <c r="C686" s="5" t="s">
        <v>25</v>
      </c>
      <c r="D686" s="6" t="s">
        <v>25</v>
      </c>
      <c r="E686" s="7">
        <f>VLOOKUP(A686,Sheet2!$A$2:$R$3432,4,0)</f>
        <v>7719043581</v>
      </c>
      <c r="F686" s="7" t="str">
        <f>VLOOKUP(A686,Sheet2!$A$2:$R$3432,3,0)</f>
        <v>Gaurang</v>
      </c>
      <c r="G686" s="5" t="s">
        <v>25</v>
      </c>
      <c r="H686" s="5" t="s">
        <v>25</v>
      </c>
      <c r="I686" s="5" t="s">
        <v>25</v>
      </c>
      <c r="J686" s="5" t="s">
        <v>25</v>
      </c>
      <c r="K686" s="7" t="str">
        <f>VLOOKUP(A686,Sheet2!$A$2:$R$3432,6,0)</f>
        <v>TVS Jupiter 125</v>
      </c>
      <c r="L686" s="5" t="s">
        <v>25</v>
      </c>
      <c r="M686" s="7" t="str">
        <f>VLOOKUP(A686,Sheet2!$A$2:$R$3432,5,0)</f>
        <v>MH14LF9585</v>
      </c>
      <c r="N686" s="5" t="s">
        <v>25</v>
      </c>
      <c r="O686" s="5" t="s">
        <v>25</v>
      </c>
      <c r="P686" s="6" t="s">
        <v>25</v>
      </c>
      <c r="Q686" s="5" t="s">
        <v>25</v>
      </c>
      <c r="R686" s="5" t="s">
        <v>25</v>
      </c>
      <c r="S686" s="7" t="str">
        <f>VLOOKUP(A686,Sheet2!$A$2:$R$3432,18,0)</f>
        <v/>
      </c>
      <c r="T686" s="7" t="str">
        <f>VLOOKUP(A686,Sheet2!$A$2:$R$3432,17,0)</f>
        <v/>
      </c>
    </row>
    <row r="687" ht="15.75" customHeight="1">
      <c r="A687" s="3" t="s">
        <v>710</v>
      </c>
      <c r="B687" s="4" t="str">
        <f>VLOOKUP(A687,Sheet2!$A$2:$R$3432,2,0)</f>
        <v>2025-04-13 19:49:39</v>
      </c>
      <c r="C687" s="5" t="s">
        <v>25</v>
      </c>
      <c r="D687" s="6" t="s">
        <v>25</v>
      </c>
      <c r="E687" s="7">
        <f>VLOOKUP(A687,Sheet2!$A$2:$R$3432,4,0)</f>
        <v>9404230680</v>
      </c>
      <c r="F687" s="7" t="str">
        <f>VLOOKUP(A687,Sheet2!$A$2:$R$3432,3,0)</f>
        <v>Abhishek Kudle </v>
      </c>
      <c r="G687" s="5" t="s">
        <v>25</v>
      </c>
      <c r="H687" s="5" t="s">
        <v>25</v>
      </c>
      <c r="I687" s="5" t="s">
        <v>25</v>
      </c>
      <c r="J687" s="5" t="s">
        <v>25</v>
      </c>
      <c r="K687" s="7" t="str">
        <f>VLOOKUP(A687,Sheet2!$A$2:$R$3432,6,0)</f>
        <v>Yamaha FZ </v>
      </c>
      <c r="L687" s="5" t="s">
        <v>25</v>
      </c>
      <c r="M687" s="7" t="str">
        <f>VLOOKUP(A687,Sheet2!$A$2:$R$3432,5,0)</f>
        <v>MH12KU4467</v>
      </c>
      <c r="N687" s="5" t="s">
        <v>25</v>
      </c>
      <c r="O687" s="5" t="s">
        <v>25</v>
      </c>
      <c r="P687" s="6" t="s">
        <v>25</v>
      </c>
      <c r="Q687" s="5" t="s">
        <v>25</v>
      </c>
      <c r="R687" s="5" t="s">
        <v>25</v>
      </c>
      <c r="S687" s="7" t="str">
        <f>VLOOKUP(A687,Sheet2!$A$2:$R$3432,18,0)</f>
        <v/>
      </c>
      <c r="T687" s="7" t="str">
        <f>VLOOKUP(A687,Sheet2!$A$2:$R$3432,17,0)</f>
        <v/>
      </c>
    </row>
    <row r="688" ht="15.75" customHeight="1">
      <c r="A688" s="3" t="s">
        <v>711</v>
      </c>
      <c r="B688" s="4" t="str">
        <f>VLOOKUP(A688,Sheet2!$A$2:$R$3432,2,0)</f>
        <v>2025-04-13 19:55:12</v>
      </c>
      <c r="C688" s="5" t="s">
        <v>25</v>
      </c>
      <c r="D688" s="6" t="s">
        <v>25</v>
      </c>
      <c r="E688" s="7">
        <f>VLOOKUP(A688,Sheet2!$A$2:$R$3432,4,0)</f>
        <v>8805189957</v>
      </c>
      <c r="F688" s="7" t="str">
        <f>VLOOKUP(A688,Sheet2!$A$2:$R$3432,3,0)</f>
        <v>RITESH PATIL</v>
      </c>
      <c r="G688" s="5" t="s">
        <v>25</v>
      </c>
      <c r="H688" s="5" t="s">
        <v>25</v>
      </c>
      <c r="I688" s="5" t="s">
        <v>25</v>
      </c>
      <c r="J688" s="5" t="s">
        <v>25</v>
      </c>
      <c r="K688" s="7" t="str">
        <f>VLOOKUP(A688,Sheet2!$A$2:$R$3432,6,0)</f>
        <v>Bajaj Discover 100</v>
      </c>
      <c r="L688" s="5" t="s">
        <v>25</v>
      </c>
      <c r="M688" s="7" t="str">
        <f>VLOOKUP(A688,Sheet2!$A$2:$R$3432,5,0)</f>
        <v>MH39M5625</v>
      </c>
      <c r="N688" s="5" t="s">
        <v>25</v>
      </c>
      <c r="O688" s="5" t="s">
        <v>25</v>
      </c>
      <c r="P688" s="6" t="s">
        <v>25</v>
      </c>
      <c r="Q688" s="5" t="s">
        <v>25</v>
      </c>
      <c r="R688" s="5" t="s">
        <v>25</v>
      </c>
      <c r="S688" s="7" t="str">
        <f>VLOOKUP(A688,Sheet2!$A$2:$R$3432,18,0)</f>
        <v/>
      </c>
      <c r="T688" s="7" t="str">
        <f>VLOOKUP(A688,Sheet2!$A$2:$R$3432,17,0)</f>
        <v/>
      </c>
    </row>
    <row r="689" ht="15.75" customHeight="1">
      <c r="A689" s="3" t="s">
        <v>712</v>
      </c>
      <c r="B689" s="4" t="str">
        <f>VLOOKUP(A689,Sheet2!$A$2:$R$3432,2,0)</f>
        <v>2025-04-13 20:01:47</v>
      </c>
      <c r="C689" s="5" t="s">
        <v>25</v>
      </c>
      <c r="D689" s="6" t="s">
        <v>25</v>
      </c>
      <c r="E689" s="7">
        <f>VLOOKUP(A689,Sheet2!$A$2:$R$3432,4,0)</f>
        <v>7020727318</v>
      </c>
      <c r="F689" s="7" t="str">
        <f>VLOOKUP(A689,Sheet2!$A$2:$R$3432,3,0)</f>
        <v>Mahesh</v>
      </c>
      <c r="G689" s="5" t="s">
        <v>25</v>
      </c>
      <c r="H689" s="5" t="s">
        <v>25</v>
      </c>
      <c r="I689" s="5" t="s">
        <v>25</v>
      </c>
      <c r="J689" s="5" t="s">
        <v>25</v>
      </c>
      <c r="K689" s="7" t="str">
        <f>VLOOKUP(A689,Sheet2!$A$2:$R$3432,6,0)</f>
        <v>Bajaj Pulsar 150</v>
      </c>
      <c r="L689" s="5" t="s">
        <v>25</v>
      </c>
      <c r="M689" s="7" t="str">
        <f>VLOOKUP(A689,Sheet2!$A$2:$R$3432,5,0)</f>
        <v>MH12GJ7764</v>
      </c>
      <c r="N689" s="5" t="s">
        <v>25</v>
      </c>
      <c r="O689" s="5" t="s">
        <v>25</v>
      </c>
      <c r="P689" s="6" t="s">
        <v>25</v>
      </c>
      <c r="Q689" s="5" t="s">
        <v>25</v>
      </c>
      <c r="R689" s="5" t="s">
        <v>25</v>
      </c>
      <c r="S689" s="5" t="str">
        <f>VLOOKUP(A689,Sheet2!$A$2:$R$3432,18,0)</f>
        <v>DHGBTG18083</v>
      </c>
      <c r="T689" s="7" t="str">
        <f>VLOOKUP(A689,Sheet2!$A$2:$R$3432,17,0)</f>
        <v>MD2DHZZTCG630910</v>
      </c>
    </row>
    <row r="690" ht="15.75" customHeight="1">
      <c r="A690" s="3" t="s">
        <v>713</v>
      </c>
      <c r="B690" s="4" t="str">
        <f>VLOOKUP(A690,Sheet2!$A$2:$R$3432,2,0)</f>
        <v>2025-01-01 20:29:01</v>
      </c>
      <c r="C690" s="5" t="s">
        <v>25</v>
      </c>
      <c r="D690" s="6" t="s">
        <v>25</v>
      </c>
      <c r="E690" s="7">
        <f>VLOOKUP(A690,Sheet2!$A$2:$R$3432,4,0)</f>
        <v>9405695471</v>
      </c>
      <c r="F690" s="7" t="str">
        <f>VLOOKUP(A690,Sheet2!$A$2:$R$3432,3,0)</f>
        <v>Yuvraj Kharche</v>
      </c>
      <c r="G690" s="5" t="s">
        <v>25</v>
      </c>
      <c r="H690" s="5" t="s">
        <v>25</v>
      </c>
      <c r="I690" s="5" t="s">
        <v>25</v>
      </c>
      <c r="J690" s="5" t="s">
        <v>25</v>
      </c>
      <c r="K690" s="7" t="str">
        <f>VLOOKUP(A690,Sheet2!$A$2:$R$3432,6,0)</f>
        <v>Yamaha FZ </v>
      </c>
      <c r="L690" s="5" t="s">
        <v>25</v>
      </c>
      <c r="M690" s="7" t="str">
        <f>VLOOKUP(A690,Sheet2!$A$2:$R$3432,5,0)</f>
        <v>MH12GS2826</v>
      </c>
      <c r="N690" s="5" t="s">
        <v>25</v>
      </c>
      <c r="O690" s="5" t="s">
        <v>25</v>
      </c>
      <c r="P690" s="6" t="s">
        <v>25</v>
      </c>
      <c r="Q690" s="5" t="s">
        <v>25</v>
      </c>
      <c r="R690" s="5" t="s">
        <v>25</v>
      </c>
      <c r="S690" s="5" t="str">
        <f>VLOOKUP(A690,Sheet2!$A$2:$R$3432,18,0)</f>
        <v>215028660</v>
      </c>
      <c r="T690" s="7" t="str">
        <f>VLOOKUP(A690,Sheet2!$A$2:$R$3432,17,0)</f>
        <v>ME121C052B2028860</v>
      </c>
    </row>
    <row r="691" ht="15.75" customHeight="1">
      <c r="A691" s="3" t="s">
        <v>714</v>
      </c>
      <c r="B691" s="4" t="str">
        <f>VLOOKUP(A691,Sheet2!$A$2:$R$3432,2,0)</f>
        <v>2025-01-01 20:28:44</v>
      </c>
      <c r="C691" s="5" t="s">
        <v>25</v>
      </c>
      <c r="D691" s="6" t="s">
        <v>25</v>
      </c>
      <c r="E691" s="7">
        <f>VLOOKUP(A691,Sheet2!$A$2:$R$3432,4,0)</f>
        <v>7620570902</v>
      </c>
      <c r="F691" s="7" t="str">
        <f>VLOOKUP(A691,Sheet2!$A$2:$R$3432,3,0)</f>
        <v> Shravan Kulkarni </v>
      </c>
      <c r="G691" s="5" t="s">
        <v>25</v>
      </c>
      <c r="H691" s="5" t="s">
        <v>25</v>
      </c>
      <c r="I691" s="5" t="s">
        <v>25</v>
      </c>
      <c r="J691" s="5" t="s">
        <v>25</v>
      </c>
      <c r="K691" s="7" t="str">
        <f>VLOOKUP(A691,Sheet2!$A$2:$R$3432,6,0)</f>
        <v>Honda Dio New</v>
      </c>
      <c r="L691" s="5" t="s">
        <v>25</v>
      </c>
      <c r="M691" s="7" t="str">
        <f>VLOOKUP(A691,Sheet2!$A$2:$R$3432,5,0)</f>
        <v>MH20FD0651</v>
      </c>
      <c r="N691" s="5" t="s">
        <v>25</v>
      </c>
      <c r="O691" s="5" t="s">
        <v>25</v>
      </c>
      <c r="P691" s="6" t="s">
        <v>25</v>
      </c>
      <c r="Q691" s="5" t="s">
        <v>25</v>
      </c>
      <c r="R691" s="5" t="s">
        <v>25</v>
      </c>
      <c r="S691" s="5" t="str">
        <f>VLOOKUP(A691,Sheet2!$A$2:$R$3432,18,0)</f>
        <v>JF3944059410</v>
      </c>
      <c r="T691" s="7" t="str">
        <f>VLOOKUP(A691,Sheet2!$A$2:$R$3432,17,0)</f>
        <v>ME4JF30HEJG15780</v>
      </c>
    </row>
    <row r="692" ht="15.75" customHeight="1">
      <c r="A692" s="3" t="s">
        <v>715</v>
      </c>
      <c r="B692" s="4" t="str">
        <f>VLOOKUP(A692,Sheet2!$A$2:$R$3432,2,0)</f>
        <v>2025-01-01 20:34:16</v>
      </c>
      <c r="C692" s="5" t="s">
        <v>25</v>
      </c>
      <c r="D692" s="6" t="s">
        <v>25</v>
      </c>
      <c r="E692" s="7">
        <f>VLOOKUP(A692,Sheet2!$A$2:$R$3432,4,0)</f>
        <v>8180030054</v>
      </c>
      <c r="F692" s="7" t="str">
        <f>VLOOKUP(A692,Sheet2!$A$2:$R$3432,3,0)</f>
        <v>TUSHAR</v>
      </c>
      <c r="G692" s="5" t="s">
        <v>25</v>
      </c>
      <c r="H692" s="5" t="s">
        <v>25</v>
      </c>
      <c r="I692" s="5" t="s">
        <v>25</v>
      </c>
      <c r="J692" s="5" t="s">
        <v>25</v>
      </c>
      <c r="K692" s="7" t="str">
        <f>VLOOKUP(A692,Sheet2!$A$2:$R$3432,6,0)</f>
        <v>Bajaj Discover 125M</v>
      </c>
      <c r="L692" s="5" t="s">
        <v>25</v>
      </c>
      <c r="M692" s="7" t="str">
        <f>VLOOKUP(A692,Sheet2!$A$2:$R$3432,5,0)</f>
        <v>MH19CG5255</v>
      </c>
      <c r="N692" s="5" t="s">
        <v>25</v>
      </c>
      <c r="O692" s="5" t="s">
        <v>25</v>
      </c>
      <c r="P692" s="6" t="s">
        <v>25</v>
      </c>
      <c r="Q692" s="5" t="s">
        <v>25</v>
      </c>
      <c r="R692" s="5" t="s">
        <v>25</v>
      </c>
      <c r="S692" s="7" t="str">
        <f>VLOOKUP(A692,Sheet2!$A$2:$R$3432,18,0)</f>
        <v/>
      </c>
      <c r="T692" s="7" t="str">
        <f>VLOOKUP(A692,Sheet2!$A$2:$R$3432,17,0)</f>
        <v/>
      </c>
    </row>
    <row r="693" ht="15.75" customHeight="1">
      <c r="A693" s="3" t="s">
        <v>716</v>
      </c>
      <c r="B693" s="4" t="str">
        <f>VLOOKUP(A693,Sheet2!$A$2:$R$3432,2,0)</f>
        <v>2025-01-01 20:33:43</v>
      </c>
      <c r="C693" s="5" t="s">
        <v>25</v>
      </c>
      <c r="D693" s="6" t="s">
        <v>25</v>
      </c>
      <c r="E693" s="7">
        <f>VLOOKUP(A693,Sheet2!$A$2:$R$3432,4,0)</f>
        <v>7888115886</v>
      </c>
      <c r="F693" s="7" t="str">
        <f>VLOOKUP(A693,Sheet2!$A$2:$R$3432,3,0)</f>
        <v>RAHUL BIST</v>
      </c>
      <c r="G693" s="5" t="s">
        <v>25</v>
      </c>
      <c r="H693" s="5" t="s">
        <v>25</v>
      </c>
      <c r="I693" s="5" t="s">
        <v>25</v>
      </c>
      <c r="J693" s="5" t="s">
        <v>25</v>
      </c>
      <c r="K693" s="7" t="str">
        <f>VLOOKUP(A693,Sheet2!$A$2:$R$3432,6,0)</f>
        <v>Suzuki Access  125 BS6</v>
      </c>
      <c r="L693" s="5" t="s">
        <v>25</v>
      </c>
      <c r="M693" s="7" t="str">
        <f>VLOOKUP(A693,Sheet2!$A$2:$R$3432,5,0)</f>
        <v>MH12VE8732</v>
      </c>
      <c r="N693" s="5" t="s">
        <v>25</v>
      </c>
      <c r="O693" s="5" t="s">
        <v>25</v>
      </c>
      <c r="P693" s="6" t="s">
        <v>25</v>
      </c>
      <c r="Q693" s="5" t="s">
        <v>25</v>
      </c>
      <c r="R693" s="5" t="s">
        <v>25</v>
      </c>
      <c r="S693" s="7" t="str">
        <f>VLOOKUP(A693,Sheet2!$A$2:$R$3432,18,0)</f>
        <v/>
      </c>
      <c r="T693" s="7" t="str">
        <f>VLOOKUP(A693,Sheet2!$A$2:$R$3432,17,0)</f>
        <v/>
      </c>
    </row>
    <row r="694" ht="15.75" customHeight="1">
      <c r="A694" s="3" t="s">
        <v>717</v>
      </c>
      <c r="B694" s="4" t="str">
        <f>VLOOKUP(A694,Sheet2!$A$2:$R$3432,2,0)</f>
        <v>2025-01-01 20:25:17</v>
      </c>
      <c r="C694" s="5" t="s">
        <v>25</v>
      </c>
      <c r="D694" s="6" t="s">
        <v>25</v>
      </c>
      <c r="E694" s="7">
        <f>VLOOKUP(A694,Sheet2!$A$2:$R$3432,4,0)</f>
        <v>7447426840</v>
      </c>
      <c r="F694" s="7" t="str">
        <f>VLOOKUP(A694,Sheet2!$A$2:$R$3432,3,0)</f>
        <v>NITIN PATIL</v>
      </c>
      <c r="G694" s="5" t="s">
        <v>25</v>
      </c>
      <c r="H694" s="5" t="s">
        <v>25</v>
      </c>
      <c r="I694" s="5" t="s">
        <v>25</v>
      </c>
      <c r="J694" s="5" t="s">
        <v>25</v>
      </c>
      <c r="K694" s="7" t="str">
        <f>VLOOKUP(A694,Sheet2!$A$2:$R$3432,6,0)</f>
        <v>Hero CBZ Extreme</v>
      </c>
      <c r="L694" s="5" t="s">
        <v>25</v>
      </c>
      <c r="M694" s="7" t="str">
        <f>VLOOKUP(A694,Sheet2!$A$2:$R$3432,5,0)</f>
        <v>MH14DB6382</v>
      </c>
      <c r="N694" s="5" t="s">
        <v>25</v>
      </c>
      <c r="O694" s="5" t="s">
        <v>25</v>
      </c>
      <c r="P694" s="6" t="s">
        <v>25</v>
      </c>
      <c r="Q694" s="5" t="s">
        <v>25</v>
      </c>
      <c r="R694" s="5" t="s">
        <v>25</v>
      </c>
      <c r="S694" s="7" t="str">
        <f>VLOOKUP(A694,Sheet2!$A$2:$R$3432,18,0)</f>
        <v/>
      </c>
      <c r="T694" s="7" t="str">
        <f>VLOOKUP(A694,Sheet2!$A$2:$R$3432,17,0)</f>
        <v/>
      </c>
    </row>
    <row r="695" ht="15.75" customHeight="1">
      <c r="A695" s="3" t="s">
        <v>718</v>
      </c>
      <c r="B695" s="4" t="str">
        <f>VLOOKUP(A695,Sheet2!$A$2:$R$3432,2,0)</f>
        <v>2025-01-01 20:25:37</v>
      </c>
      <c r="C695" s="5" t="s">
        <v>25</v>
      </c>
      <c r="D695" s="6" t="s">
        <v>25</v>
      </c>
      <c r="E695" s="7">
        <f>VLOOKUP(A695,Sheet2!$A$2:$R$3432,4,0)</f>
        <v>9881304592</v>
      </c>
      <c r="F695" s="7" t="str">
        <f>VLOOKUP(A695,Sheet2!$A$2:$R$3432,3,0)</f>
        <v>PUROHIT</v>
      </c>
      <c r="G695" s="5" t="s">
        <v>25</v>
      </c>
      <c r="H695" s="5" t="s">
        <v>25</v>
      </c>
      <c r="I695" s="5" t="s">
        <v>25</v>
      </c>
      <c r="J695" s="5" t="s">
        <v>25</v>
      </c>
      <c r="K695" s="7" t="str">
        <f>VLOOKUP(A695,Sheet2!$A$2:$R$3432,6,0)</f>
        <v>TVS Jupiter </v>
      </c>
      <c r="L695" s="5" t="s">
        <v>25</v>
      </c>
      <c r="M695" s="7" t="str">
        <f>VLOOKUP(A695,Sheet2!$A$2:$R$3432,5,0)</f>
        <v>MH14FF2912</v>
      </c>
      <c r="N695" s="5" t="s">
        <v>25</v>
      </c>
      <c r="O695" s="5" t="s">
        <v>25</v>
      </c>
      <c r="P695" s="6" t="s">
        <v>25</v>
      </c>
      <c r="Q695" s="5" t="s">
        <v>25</v>
      </c>
      <c r="R695" s="5" t="s">
        <v>25</v>
      </c>
      <c r="S695" s="5" t="str">
        <f>VLOOKUP(A695,Sheet2!$A$2:$R$3432,18,0)</f>
        <v>BG4LP1636543</v>
      </c>
      <c r="T695" s="7" t="str">
        <f>VLOOKUP(A695,Sheet2!$A$2:$R$3432,17,0)</f>
        <v>MD626BG41F1L95913</v>
      </c>
    </row>
    <row r="696" ht="15.75" customHeight="1">
      <c r="A696" s="3" t="s">
        <v>719</v>
      </c>
      <c r="B696" s="4" t="str">
        <f>VLOOKUP(A696,Sheet2!$A$2:$R$3432,2,0)</f>
        <v>2025-01-01 20:26:19</v>
      </c>
      <c r="C696" s="5" t="s">
        <v>25</v>
      </c>
      <c r="D696" s="6" t="s">
        <v>25</v>
      </c>
      <c r="E696" s="7">
        <f>VLOOKUP(A696,Sheet2!$A$2:$R$3432,4,0)</f>
        <v>9545322788</v>
      </c>
      <c r="F696" s="7" t="str">
        <f>VLOOKUP(A696,Sheet2!$A$2:$R$3432,3,0)</f>
        <v>BHUSHAN VARMA</v>
      </c>
      <c r="G696" s="5" t="s">
        <v>25</v>
      </c>
      <c r="H696" s="5" t="s">
        <v>25</v>
      </c>
      <c r="I696" s="5" t="s">
        <v>25</v>
      </c>
      <c r="J696" s="5" t="s">
        <v>25</v>
      </c>
      <c r="K696" s="7" t="str">
        <f>VLOOKUP(A696,Sheet2!$A$2:$R$3432,6,0)</f>
        <v>Honda Activa 3G</v>
      </c>
      <c r="L696" s="5" t="s">
        <v>25</v>
      </c>
      <c r="M696" s="7" t="str">
        <f>VLOOKUP(A696,Sheet2!$A$2:$R$3432,5,0)</f>
        <v>MH36V2254</v>
      </c>
      <c r="N696" s="5" t="s">
        <v>25</v>
      </c>
      <c r="O696" s="5" t="s">
        <v>25</v>
      </c>
      <c r="P696" s="6" t="s">
        <v>25</v>
      </c>
      <c r="Q696" s="5" t="s">
        <v>25</v>
      </c>
      <c r="R696" s="5" t="s">
        <v>25</v>
      </c>
      <c r="S696" s="5" t="str">
        <f>VLOOKUP(A696,Sheet2!$A$2:$R$3432,18,0)</f>
        <v>JF50ET3208723</v>
      </c>
      <c r="T696" s="7" t="str">
        <f>VLOOKUP(A696,Sheet2!$A$2:$R$3432,17,0)</f>
        <v>ME4JF50CT208342</v>
      </c>
    </row>
    <row r="697" ht="15.75" customHeight="1">
      <c r="A697" s="3" t="s">
        <v>720</v>
      </c>
      <c r="B697" s="4" t="str">
        <f>VLOOKUP(A697,Sheet2!$A$2:$R$3432,2,0)</f>
        <v>2025-01-01 20:27:30</v>
      </c>
      <c r="C697" s="5" t="s">
        <v>25</v>
      </c>
      <c r="D697" s="6" t="s">
        <v>25</v>
      </c>
      <c r="E697" s="7">
        <f>VLOOKUP(A697,Sheet2!$A$2:$R$3432,4,0)</f>
        <v>9930734093</v>
      </c>
      <c r="F697" s="7" t="str">
        <f>VLOOKUP(A697,Sheet2!$A$2:$R$3432,3,0)</f>
        <v>Nachiket</v>
      </c>
      <c r="G697" s="5" t="s">
        <v>25</v>
      </c>
      <c r="H697" s="5" t="s">
        <v>25</v>
      </c>
      <c r="I697" s="5" t="s">
        <v>25</v>
      </c>
      <c r="J697" s="5" t="s">
        <v>25</v>
      </c>
      <c r="K697" s="7" t="str">
        <f>VLOOKUP(A697,Sheet2!$A$2:$R$3432,6,0)</f>
        <v>TVS Wego </v>
      </c>
      <c r="L697" s="5" t="s">
        <v>25</v>
      </c>
      <c r="M697" s="7" t="str">
        <f>VLOOKUP(A697,Sheet2!$A$2:$R$3432,5,0)</f>
        <v>MH12NV7063</v>
      </c>
      <c r="N697" s="5" t="s">
        <v>25</v>
      </c>
      <c r="O697" s="5" t="s">
        <v>25</v>
      </c>
      <c r="P697" s="6" t="s">
        <v>25</v>
      </c>
      <c r="Q697" s="5" t="s">
        <v>25</v>
      </c>
      <c r="R697" s="5" t="s">
        <v>25</v>
      </c>
      <c r="S697" s="5" t="str">
        <f>VLOOKUP(A697,Sheet2!$A$2:$R$3432,18,0)</f>
        <v>GG4AH901646</v>
      </c>
      <c r="T697" s="7" t="str">
        <f>VLOOKUP(A697,Sheet2!$A$2:$R$3432,17,0)</f>
        <v>MD626AG43H1A13655</v>
      </c>
    </row>
    <row r="698" ht="15.75" customHeight="1">
      <c r="A698" s="3" t="s">
        <v>721</v>
      </c>
      <c r="B698" s="4" t="str">
        <f>VLOOKUP(A698,Sheet2!$A$2:$R$3432,2,0)</f>
        <v>2025-01-01 20:29:54</v>
      </c>
      <c r="C698" s="5" t="s">
        <v>25</v>
      </c>
      <c r="D698" s="6" t="s">
        <v>25</v>
      </c>
      <c r="E698" s="7">
        <f>VLOOKUP(A698,Sheet2!$A$2:$R$3432,4,0)</f>
        <v>7709901151</v>
      </c>
      <c r="F698" s="7" t="str">
        <f>VLOOKUP(A698,Sheet2!$A$2:$R$3432,3,0)</f>
        <v>ABHISHEK MURAI</v>
      </c>
      <c r="G698" s="5" t="s">
        <v>25</v>
      </c>
      <c r="H698" s="5" t="s">
        <v>25</v>
      </c>
      <c r="I698" s="5" t="s">
        <v>25</v>
      </c>
      <c r="J698" s="5" t="s">
        <v>25</v>
      </c>
      <c r="K698" s="7" t="str">
        <f>VLOOKUP(A698,Sheet2!$A$2:$R$3432,6,0)</f>
        <v>Honda Unicorn 150</v>
      </c>
      <c r="L698" s="5" t="s">
        <v>25</v>
      </c>
      <c r="M698" s="7" t="str">
        <f>VLOOKUP(A698,Sheet2!$A$2:$R$3432,5,0)</f>
        <v>MH37AF3858</v>
      </c>
      <c r="N698" s="5" t="s">
        <v>25</v>
      </c>
      <c r="O698" s="5" t="s">
        <v>25</v>
      </c>
      <c r="P698" s="6" t="s">
        <v>25</v>
      </c>
      <c r="Q698" s="5" t="s">
        <v>25</v>
      </c>
      <c r="R698" s="5" t="s">
        <v>25</v>
      </c>
      <c r="S698" s="5" t="str">
        <f>VLOOKUP(A698,Sheet2!$A$2:$R$3432,18,0)</f>
        <v>KC40EG3008185</v>
      </c>
      <c r="T698" s="7" t="str">
        <f>VLOOKUP(A698,Sheet2!$A$2:$R$3432,17,0)</f>
        <v>ME4KC404FPG008101</v>
      </c>
    </row>
    <row r="699" ht="15.75" customHeight="1">
      <c r="A699" s="3" t="s">
        <v>722</v>
      </c>
      <c r="B699" s="4" t="str">
        <f>VLOOKUP(A699,Sheet2!$A$2:$R$3432,2,0)</f>
        <v>2025-01-01 20:31:58</v>
      </c>
      <c r="C699" s="5" t="s">
        <v>25</v>
      </c>
      <c r="D699" s="6" t="s">
        <v>25</v>
      </c>
      <c r="E699" s="7">
        <f>VLOOKUP(A699,Sheet2!$A$2:$R$3432,4,0)</f>
        <v>9422543328</v>
      </c>
      <c r="F699" s="7" t="str">
        <f>VLOOKUP(A699,Sheet2!$A$2:$R$3432,3,0)</f>
        <v>Mandar Kale</v>
      </c>
      <c r="G699" s="5" t="s">
        <v>25</v>
      </c>
      <c r="H699" s="5" t="s">
        <v>25</v>
      </c>
      <c r="I699" s="5" t="s">
        <v>25</v>
      </c>
      <c r="J699" s="5" t="s">
        <v>25</v>
      </c>
      <c r="K699" s="7" t="str">
        <f>VLOOKUP(A699,Sheet2!$A$2:$R$3432,6,0)</f>
        <v>Hero Xtreme </v>
      </c>
      <c r="L699" s="5" t="s">
        <v>25</v>
      </c>
      <c r="M699" s="7" t="str">
        <f>VLOOKUP(A699,Sheet2!$A$2:$R$3432,5,0)</f>
        <v>MH27AV5060</v>
      </c>
      <c r="N699" s="5" t="s">
        <v>25</v>
      </c>
      <c r="O699" s="5" t="s">
        <v>25</v>
      </c>
      <c r="P699" s="6" t="s">
        <v>25</v>
      </c>
      <c r="Q699" s="5" t="s">
        <v>25</v>
      </c>
      <c r="R699" s="5" t="s">
        <v>25</v>
      </c>
      <c r="S699" s="7" t="str">
        <f>VLOOKUP(A699,Sheet2!$A$2:$R$3432,18,0)</f>
        <v/>
      </c>
      <c r="T699" s="7" t="str">
        <f>VLOOKUP(A699,Sheet2!$A$2:$R$3432,17,0)</f>
        <v/>
      </c>
    </row>
    <row r="700" ht="15.75" customHeight="1">
      <c r="A700" s="3" t="s">
        <v>723</v>
      </c>
      <c r="B700" s="4" t="str">
        <f>VLOOKUP(A700,Sheet2!$A$2:$R$3432,2,0)</f>
        <v>2025-01-01 20:29:28</v>
      </c>
      <c r="C700" s="5" t="s">
        <v>25</v>
      </c>
      <c r="D700" s="6" t="s">
        <v>25</v>
      </c>
      <c r="E700" s="7">
        <f>VLOOKUP(A700,Sheet2!$A$2:$R$3432,4,0)</f>
        <v>9175477077</v>
      </c>
      <c r="F700" s="7" t="str">
        <f>VLOOKUP(A700,Sheet2!$A$2:$R$3432,3,0)</f>
        <v>Mrudul</v>
      </c>
      <c r="G700" s="5" t="s">
        <v>25</v>
      </c>
      <c r="H700" s="5" t="s">
        <v>25</v>
      </c>
      <c r="I700" s="5" t="s">
        <v>25</v>
      </c>
      <c r="J700" s="5" t="s">
        <v>25</v>
      </c>
      <c r="K700" s="7" t="str">
        <f>VLOOKUP(A700,Sheet2!$A$2:$R$3432,6,0)</f>
        <v>Hero Duet </v>
      </c>
      <c r="L700" s="5" t="s">
        <v>25</v>
      </c>
      <c r="M700" s="7" t="str">
        <f>VLOOKUP(A700,Sheet2!$A$2:$R$3432,5,0)</f>
        <v>MH12NQ9478</v>
      </c>
      <c r="N700" s="5" t="s">
        <v>25</v>
      </c>
      <c r="O700" s="5" t="s">
        <v>25</v>
      </c>
      <c r="P700" s="6" t="s">
        <v>25</v>
      </c>
      <c r="Q700" s="5" t="s">
        <v>25</v>
      </c>
      <c r="R700" s="5" t="s">
        <v>25</v>
      </c>
      <c r="S700" s="5" t="str">
        <f>VLOOKUP(A700,Sheet2!$A$2:$R$3432,18,0)</f>
        <v>JF33AG4J14052</v>
      </c>
      <c r="T700" s="7" t="str">
        <f>VLOOKUP(A700,Sheet2!$A$2:$R$3432,17,0)</f>
        <v>MBLJF16ESGGJ00068</v>
      </c>
    </row>
    <row r="701" ht="15.75" customHeight="1">
      <c r="A701" s="3" t="s">
        <v>724</v>
      </c>
      <c r="B701" s="4" t="str">
        <f>VLOOKUP(A701,Sheet2!$A$2:$R$3432,2,0)</f>
        <v>2025-01-01 20:31:06</v>
      </c>
      <c r="C701" s="5" t="s">
        <v>25</v>
      </c>
      <c r="D701" s="6" t="s">
        <v>25</v>
      </c>
      <c r="E701" s="7">
        <f>VLOOKUP(A701,Sheet2!$A$2:$R$3432,4,0)</f>
        <v>7042932333</v>
      </c>
      <c r="F701" s="7" t="str">
        <f>VLOOKUP(A701,Sheet2!$A$2:$R$3432,3,0)</f>
        <v>Arjit Kumar</v>
      </c>
      <c r="G701" s="5" t="s">
        <v>25</v>
      </c>
      <c r="H701" s="5" t="s">
        <v>25</v>
      </c>
      <c r="I701" s="5" t="s">
        <v>25</v>
      </c>
      <c r="J701" s="5" t="s">
        <v>25</v>
      </c>
      <c r="K701" s="7" t="str">
        <f>VLOOKUP(A701,Sheet2!$A$2:$R$3432,6,0)</f>
        <v>Bajaj Pulsar 150 SD ABS</v>
      </c>
      <c r="L701" s="5" t="s">
        <v>25</v>
      </c>
      <c r="M701" s="7" t="str">
        <f>VLOOKUP(A701,Sheet2!$A$2:$R$3432,5,0)</f>
        <v>UP16CA6230</v>
      </c>
      <c r="N701" s="5" t="s">
        <v>25</v>
      </c>
      <c r="O701" s="5" t="s">
        <v>25</v>
      </c>
      <c r="P701" s="6" t="s">
        <v>25</v>
      </c>
      <c r="Q701" s="5" t="s">
        <v>25</v>
      </c>
      <c r="R701" s="5" t="s">
        <v>25</v>
      </c>
      <c r="S701" s="5" t="str">
        <f>VLOOKUP(A701,Sheet2!$A$2:$R$3432,18,0)</f>
        <v>DHRYJH67291</v>
      </c>
      <c r="T701" s="7" t="str">
        <f>VLOOKUP(A701,Sheet2!$A$2:$R$3432,17,0)</f>
        <v>MD2A11CYXJRH46894</v>
      </c>
    </row>
    <row r="702" ht="15.75" customHeight="1">
      <c r="A702" s="3" t="s">
        <v>725</v>
      </c>
      <c r="B702" s="4" t="str">
        <f>VLOOKUP(A702,Sheet2!$A$2:$R$3432,2,0)</f>
        <v>2025-01-01 20:31:21</v>
      </c>
      <c r="C702" s="5" t="s">
        <v>25</v>
      </c>
      <c r="D702" s="6" t="s">
        <v>25</v>
      </c>
      <c r="E702" s="7">
        <f>VLOOKUP(A702,Sheet2!$A$2:$R$3432,4,0)</f>
        <v>7798389718</v>
      </c>
      <c r="F702" s="7" t="str">
        <f>VLOOKUP(A702,Sheet2!$A$2:$R$3432,3,0)</f>
        <v>DHIRAJ</v>
      </c>
      <c r="G702" s="5" t="s">
        <v>25</v>
      </c>
      <c r="H702" s="5" t="s">
        <v>25</v>
      </c>
      <c r="I702" s="5" t="s">
        <v>25</v>
      </c>
      <c r="J702" s="5" t="s">
        <v>25</v>
      </c>
      <c r="K702" s="7" t="str">
        <f>VLOOKUP(A702,Sheet2!$A$2:$R$3432,6,0)</f>
        <v>TVS Ntorq 125</v>
      </c>
      <c r="L702" s="5" t="s">
        <v>25</v>
      </c>
      <c r="M702" s="7" t="str">
        <f>VLOOKUP(A702,Sheet2!$A$2:$R$3432,5,0)</f>
        <v>MH12RV9193</v>
      </c>
      <c r="N702" s="5" t="s">
        <v>25</v>
      </c>
      <c r="O702" s="5" t="s">
        <v>25</v>
      </c>
      <c r="P702" s="6" t="s">
        <v>25</v>
      </c>
      <c r="Q702" s="5" t="s">
        <v>25</v>
      </c>
      <c r="R702" s="5" t="s">
        <v>25</v>
      </c>
      <c r="S702" s="5" t="str">
        <f>VLOOKUP(A702,Sheet2!$A$2:$R$3432,18,0)</f>
        <v>AG7BK2X00046</v>
      </c>
      <c r="T702" s="7" t="str">
        <f>VLOOKUP(A702,Sheet2!$A$2:$R$3432,17,0)</f>
        <v>MD626AG73K2B03545</v>
      </c>
    </row>
    <row r="703" ht="15.75" customHeight="1">
      <c r="A703" s="3" t="s">
        <v>726</v>
      </c>
      <c r="B703" s="4" t="str">
        <f>VLOOKUP(A703,Sheet2!$A$2:$R$3432,2,0)</f>
        <v>2025-01-01 20:33:06</v>
      </c>
      <c r="C703" s="5" t="s">
        <v>25</v>
      </c>
      <c r="D703" s="6" t="s">
        <v>25</v>
      </c>
      <c r="E703" s="7">
        <f>VLOOKUP(A703,Sheet2!$A$2:$R$3432,4,0)</f>
        <v>8888951966</v>
      </c>
      <c r="F703" s="7" t="str">
        <f>VLOOKUP(A703,Sheet2!$A$2:$R$3432,3,0)</f>
        <v>Sanjay Dhanshetty</v>
      </c>
      <c r="G703" s="5" t="s">
        <v>25</v>
      </c>
      <c r="H703" s="5" t="s">
        <v>25</v>
      </c>
      <c r="I703" s="5" t="s">
        <v>25</v>
      </c>
      <c r="J703" s="5" t="s">
        <v>25</v>
      </c>
      <c r="K703" s="7" t="str">
        <f>VLOOKUP(A703,Sheet2!$A$2:$R$3432,6,0)</f>
        <v>Honda Shine 125</v>
      </c>
      <c r="L703" s="5" t="s">
        <v>25</v>
      </c>
      <c r="M703" s="7" t="str">
        <f>VLOOKUP(A703,Sheet2!$A$2:$R$3432,5,0)</f>
        <v>MH12HS9933</v>
      </c>
      <c r="N703" s="5" t="s">
        <v>25</v>
      </c>
      <c r="O703" s="5" t="s">
        <v>25</v>
      </c>
      <c r="P703" s="6" t="s">
        <v>25</v>
      </c>
      <c r="Q703" s="5" t="s">
        <v>25</v>
      </c>
      <c r="R703" s="5" t="s">
        <v>25</v>
      </c>
      <c r="S703" s="7" t="str">
        <f>VLOOKUP(A703,Sheet2!$A$2:$R$3432,18,0)</f>
        <v/>
      </c>
      <c r="T703" s="7" t="str">
        <f>VLOOKUP(A703,Sheet2!$A$2:$R$3432,17,0)</f>
        <v/>
      </c>
    </row>
    <row r="704" ht="15.75" customHeight="1">
      <c r="A704" s="3" t="s">
        <v>727</v>
      </c>
      <c r="B704" s="4" t="str">
        <f>VLOOKUP(A704,Sheet2!$A$2:$R$3432,2,0)</f>
        <v>2025-01-01 20:34:38</v>
      </c>
      <c r="C704" s="5" t="s">
        <v>25</v>
      </c>
      <c r="D704" s="6" t="s">
        <v>25</v>
      </c>
      <c r="E704" s="7">
        <f>VLOOKUP(A704,Sheet2!$A$2:$R$3432,4,0)</f>
        <v>9850022435</v>
      </c>
      <c r="F704" s="7" t="str">
        <f>VLOOKUP(A704,Sheet2!$A$2:$R$3432,3,0)</f>
        <v>PRAVEEN SONI</v>
      </c>
      <c r="G704" s="5" t="s">
        <v>25</v>
      </c>
      <c r="H704" s="5" t="s">
        <v>25</v>
      </c>
      <c r="I704" s="5" t="s">
        <v>25</v>
      </c>
      <c r="J704" s="5" t="s">
        <v>25</v>
      </c>
      <c r="K704" s="7" t="str">
        <f>VLOOKUP(A704,Sheet2!$A$2:$R$3432,6,0)</f>
        <v>Honda Unicorn 150</v>
      </c>
      <c r="L704" s="5" t="s">
        <v>25</v>
      </c>
      <c r="M704" s="7" t="str">
        <f>VLOOKUP(A704,Sheet2!$A$2:$R$3432,5,0)</f>
        <v>MH14FV3758</v>
      </c>
      <c r="N704" s="5" t="s">
        <v>25</v>
      </c>
      <c r="O704" s="5" t="s">
        <v>25</v>
      </c>
      <c r="P704" s="6" t="s">
        <v>25</v>
      </c>
      <c r="Q704" s="5" t="s">
        <v>25</v>
      </c>
      <c r="R704" s="5" t="s">
        <v>25</v>
      </c>
      <c r="S704" s="5" t="str">
        <f>VLOOKUP(A704,Sheet2!$A$2:$R$3432,18,0)</f>
        <v>KC09E87077933</v>
      </c>
      <c r="T704" s="7" t="str">
        <f>VLOOKUP(A704,Sheet2!$A$2:$R$3432,17,0)</f>
        <v>ME4KC09MJG8077969</v>
      </c>
    </row>
    <row r="705" ht="15.75" customHeight="1">
      <c r="A705" s="3" t="s">
        <v>728</v>
      </c>
      <c r="B705" s="4" t="str">
        <f>VLOOKUP(A705,Sheet2!$A$2:$R$3432,2,0)</f>
        <v>2025-01-01 20:34:54</v>
      </c>
      <c r="C705" s="5" t="s">
        <v>25</v>
      </c>
      <c r="D705" s="6" t="s">
        <v>25</v>
      </c>
      <c r="E705" s="7">
        <f>VLOOKUP(A705,Sheet2!$A$2:$R$3432,4,0)</f>
        <v>9850022435</v>
      </c>
      <c r="F705" s="7" t="str">
        <f>VLOOKUP(A705,Sheet2!$A$2:$R$3432,3,0)</f>
        <v>PRAVEEN SONI</v>
      </c>
      <c r="G705" s="5" t="s">
        <v>25</v>
      </c>
      <c r="H705" s="5" t="s">
        <v>25</v>
      </c>
      <c r="I705" s="5" t="s">
        <v>25</v>
      </c>
      <c r="J705" s="5" t="s">
        <v>25</v>
      </c>
      <c r="K705" s="7" t="str">
        <f>VLOOKUP(A705,Sheet2!$A$2:$R$3432,6,0)</f>
        <v>TVS Jupiter </v>
      </c>
      <c r="L705" s="5" t="s">
        <v>25</v>
      </c>
      <c r="M705" s="7" t="str">
        <f>VLOOKUP(A705,Sheet2!$A$2:$R$3432,5,0)</f>
        <v>MH14FV4585</v>
      </c>
      <c r="N705" s="5" t="s">
        <v>25</v>
      </c>
      <c r="O705" s="5" t="s">
        <v>25</v>
      </c>
      <c r="P705" s="6" t="s">
        <v>25</v>
      </c>
      <c r="Q705" s="5" t="s">
        <v>25</v>
      </c>
      <c r="R705" s="5" t="s">
        <v>25</v>
      </c>
      <c r="S705" s="5" t="str">
        <f>VLOOKUP(A705,Sheet2!$A$2:$R$3432,18,0)</f>
        <v>BG4GG15356</v>
      </c>
      <c r="T705" s="7" t="str">
        <f>VLOOKUP(A705,Sheet2!$A$2:$R$3432,17,0)</f>
        <v>MD626BG44G1G41</v>
      </c>
    </row>
    <row r="706" ht="15.75" customHeight="1">
      <c r="A706" s="3" t="s">
        <v>729</v>
      </c>
      <c r="B706" s="4" t="str">
        <f>VLOOKUP(A706,Sheet2!$A$2:$R$3432,2,0)</f>
        <v>2025-01-04 19:46:02</v>
      </c>
      <c r="C706" s="5" t="s">
        <v>25</v>
      </c>
      <c r="D706" s="6" t="s">
        <v>25</v>
      </c>
      <c r="E706" s="7">
        <f>VLOOKUP(A706,Sheet2!$A$2:$R$3432,4,0)</f>
        <v>7559156684</v>
      </c>
      <c r="F706" s="7" t="str">
        <f>VLOOKUP(A706,Sheet2!$A$2:$R$3432,3,0)</f>
        <v>Manisha Pawar</v>
      </c>
      <c r="G706" s="5" t="s">
        <v>25</v>
      </c>
      <c r="H706" s="5" t="s">
        <v>25</v>
      </c>
      <c r="I706" s="5" t="s">
        <v>25</v>
      </c>
      <c r="J706" s="5" t="s">
        <v>25</v>
      </c>
      <c r="K706" s="7" t="str">
        <f>VLOOKUP(A706,Sheet2!$A$2:$R$3432,6,0)</f>
        <v>Honda Activa 125</v>
      </c>
      <c r="L706" s="5" t="s">
        <v>25</v>
      </c>
      <c r="M706" s="7" t="str">
        <f>VLOOKUP(A706,Sheet2!$A$2:$R$3432,5,0)</f>
        <v>MH12SN2550</v>
      </c>
      <c r="N706" s="5" t="s">
        <v>25</v>
      </c>
      <c r="O706" s="5" t="s">
        <v>25</v>
      </c>
      <c r="P706" s="6" t="s">
        <v>25</v>
      </c>
      <c r="Q706" s="5" t="s">
        <v>25</v>
      </c>
      <c r="R706" s="5" t="s">
        <v>25</v>
      </c>
      <c r="S706" s="5" t="str">
        <f>VLOOKUP(A706,Sheet2!$A$2:$R$3432,18,0)</f>
        <v>JF49EW4022957</v>
      </c>
      <c r="T706" s="7" t="str">
        <f>VLOOKUP(A706,Sheet2!$A$2:$R$3432,17,0)</f>
        <v>ME4JF49MALWD14607</v>
      </c>
    </row>
    <row r="707" ht="15.75" customHeight="1">
      <c r="A707" s="3" t="s">
        <v>730</v>
      </c>
      <c r="B707" s="4" t="str">
        <f>VLOOKUP(A707,Sheet2!$A$2:$R$3432,2,0)</f>
        <v>2025-01-04 20:26:57</v>
      </c>
      <c r="C707" s="5" t="s">
        <v>25</v>
      </c>
      <c r="D707" s="6" t="s">
        <v>25</v>
      </c>
      <c r="E707" s="7">
        <f>VLOOKUP(A707,Sheet2!$A$2:$R$3432,4,0)</f>
        <v>7796657441</v>
      </c>
      <c r="F707" s="7" t="str">
        <f>VLOOKUP(A707,Sheet2!$A$2:$R$3432,3,0)</f>
        <v>Parth Nighojkar</v>
      </c>
      <c r="G707" s="5" t="s">
        <v>25</v>
      </c>
      <c r="H707" s="5" t="s">
        <v>25</v>
      </c>
      <c r="I707" s="5" t="s">
        <v>25</v>
      </c>
      <c r="J707" s="5" t="s">
        <v>25</v>
      </c>
      <c r="K707" s="7" t="str">
        <f>VLOOKUP(A707,Sheet2!$A$2:$R$3432,6,0)</f>
        <v>Honda Activa 110</v>
      </c>
      <c r="L707" s="5" t="s">
        <v>25</v>
      </c>
      <c r="M707" s="7" t="str">
        <f>VLOOKUP(A707,Sheet2!$A$2:$R$3432,5,0)</f>
        <v>MH12GQ9784</v>
      </c>
      <c r="N707" s="5" t="s">
        <v>25</v>
      </c>
      <c r="O707" s="5" t="s">
        <v>25</v>
      </c>
      <c r="P707" s="6" t="s">
        <v>25</v>
      </c>
      <c r="Q707" s="5" t="s">
        <v>25</v>
      </c>
      <c r="R707" s="5" t="s">
        <v>25</v>
      </c>
      <c r="S707" s="5" t="str">
        <f>VLOOKUP(A707,Sheet2!$A$2:$R$3432,18,0)</f>
        <v>JC44E1163987</v>
      </c>
      <c r="T707" s="7" t="str">
        <f>VLOOKUP(A707,Sheet2!$A$2:$R$3432,17,0)</f>
        <v>ME4JC448AB8053094</v>
      </c>
    </row>
    <row r="708" ht="15.75" customHeight="1">
      <c r="A708" s="3" t="s">
        <v>731</v>
      </c>
      <c r="B708" s="4" t="str">
        <f>VLOOKUP(A708,Sheet2!$A$2:$R$3432,2,0)</f>
        <v>2025-01-04 20:47:37</v>
      </c>
      <c r="C708" s="5" t="s">
        <v>25</v>
      </c>
      <c r="D708" s="6" t="s">
        <v>25</v>
      </c>
      <c r="E708" s="7">
        <f>VLOOKUP(A708,Sheet2!$A$2:$R$3432,4,0)</f>
        <v>7083009561</v>
      </c>
      <c r="F708" s="7" t="str">
        <f>VLOOKUP(A708,Sheet2!$A$2:$R$3432,3,0)</f>
        <v>Saurabh Gokhale</v>
      </c>
      <c r="G708" s="5" t="s">
        <v>25</v>
      </c>
      <c r="H708" s="5" t="s">
        <v>25</v>
      </c>
      <c r="I708" s="5" t="s">
        <v>25</v>
      </c>
      <c r="J708" s="5" t="s">
        <v>25</v>
      </c>
      <c r="K708" s="7" t="str">
        <f>VLOOKUP(A708,Sheet2!$A$2:$R$3432,6,0)</f>
        <v>TVS Jupiter </v>
      </c>
      <c r="L708" s="5" t="s">
        <v>25</v>
      </c>
      <c r="M708" s="7" t="str">
        <f>VLOOKUP(A708,Sheet2!$A$2:$R$3432,5,0)</f>
        <v>MH14GP3806</v>
      </c>
      <c r="N708" s="5" t="s">
        <v>25</v>
      </c>
      <c r="O708" s="5" t="s">
        <v>25</v>
      </c>
      <c r="P708" s="6" t="s">
        <v>25</v>
      </c>
      <c r="Q708" s="5" t="s">
        <v>25</v>
      </c>
      <c r="R708" s="5" t="s">
        <v>25</v>
      </c>
      <c r="S708" s="5" t="str">
        <f>VLOOKUP(A708,Sheet2!$A$2:$R$3432,18,0)</f>
        <v>EG4HH2414578</v>
      </c>
      <c r="T708" s="7" t="str">
        <f>VLOOKUP(A708,Sheet2!$A$2:$R$3432,17,0)</f>
        <v>MD626EG41H3460313</v>
      </c>
    </row>
    <row r="709" ht="15.75" customHeight="1">
      <c r="A709" s="3" t="s">
        <v>732</v>
      </c>
      <c r="B709" s="4" t="str">
        <f>VLOOKUP(A709,Sheet2!$A$2:$R$3432,2,0)</f>
        <v>2025-01-04 20:48:06</v>
      </c>
      <c r="C709" s="5" t="s">
        <v>25</v>
      </c>
      <c r="D709" s="6" t="s">
        <v>25</v>
      </c>
      <c r="E709" s="7">
        <f>VLOOKUP(A709,Sheet2!$A$2:$R$3432,4,0)</f>
        <v>8308812650</v>
      </c>
      <c r="F709" s="7" t="str">
        <f>VLOOKUP(A709,Sheet2!$A$2:$R$3432,3,0)</f>
        <v>Sarang Khargolkar</v>
      </c>
      <c r="G709" s="5" t="s">
        <v>25</v>
      </c>
      <c r="H709" s="5" t="s">
        <v>25</v>
      </c>
      <c r="I709" s="5" t="s">
        <v>25</v>
      </c>
      <c r="J709" s="5" t="s">
        <v>25</v>
      </c>
      <c r="K709" s="7" t="str">
        <f>VLOOKUP(A709,Sheet2!$A$2:$R$3432,6,0)</f>
        <v>Honda Activa 110</v>
      </c>
      <c r="L709" s="5" t="s">
        <v>25</v>
      </c>
      <c r="M709" s="7" t="str">
        <f>VLOOKUP(A709,Sheet2!$A$2:$R$3432,5,0)</f>
        <v>MH14DC6163</v>
      </c>
      <c r="N709" s="5" t="s">
        <v>25</v>
      </c>
      <c r="O709" s="5" t="s">
        <v>25</v>
      </c>
      <c r="P709" s="6" t="s">
        <v>25</v>
      </c>
      <c r="Q709" s="5" t="s">
        <v>25</v>
      </c>
      <c r="R709" s="5" t="s">
        <v>25</v>
      </c>
      <c r="S709" s="5" t="str">
        <f>VLOOKUP(A709,Sheet2!$A$2:$R$3432,18,0)</f>
        <v>JC44E1700759</v>
      </c>
      <c r="T709" s="7" t="str">
        <f>VLOOKUP(A709,Sheet2!$A$2:$R$3432,17,0)</f>
        <v>RUSTY FRAME</v>
      </c>
    </row>
    <row r="710" ht="15.75" customHeight="1">
      <c r="A710" s="3" t="s">
        <v>733</v>
      </c>
      <c r="B710" s="4" t="str">
        <f>VLOOKUP(A710,Sheet2!$A$2:$R$3432,2,0)</f>
        <v>2025-01-04 19:38:09</v>
      </c>
      <c r="C710" s="5" t="s">
        <v>25</v>
      </c>
      <c r="D710" s="6" t="s">
        <v>25</v>
      </c>
      <c r="E710" s="7">
        <f>VLOOKUP(A710,Sheet2!$A$2:$R$3432,4,0)</f>
        <v>9423578589</v>
      </c>
      <c r="F710" s="7" t="str">
        <f>VLOOKUP(A710,Sheet2!$A$2:$R$3432,3,0)</f>
        <v>Anushka</v>
      </c>
      <c r="G710" s="5" t="s">
        <v>25</v>
      </c>
      <c r="H710" s="5" t="s">
        <v>25</v>
      </c>
      <c r="I710" s="5" t="s">
        <v>25</v>
      </c>
      <c r="J710" s="5" t="s">
        <v>25</v>
      </c>
      <c r="K710" s="7" t="str">
        <f>VLOOKUP(A710,Sheet2!$A$2:$R$3432,6,0)</f>
        <v>Honda Dio New</v>
      </c>
      <c r="L710" s="5" t="s">
        <v>25</v>
      </c>
      <c r="M710" s="7" t="str">
        <f>VLOOKUP(A710,Sheet2!$A$2:$R$3432,5,0)</f>
        <v>MH14HR0119</v>
      </c>
      <c r="N710" s="5" t="s">
        <v>25</v>
      </c>
      <c r="O710" s="5" t="s">
        <v>25</v>
      </c>
      <c r="P710" s="6" t="s">
        <v>25</v>
      </c>
      <c r="Q710" s="5" t="s">
        <v>25</v>
      </c>
      <c r="R710" s="5" t="s">
        <v>25</v>
      </c>
      <c r="S710" s="7" t="str">
        <f>VLOOKUP(A710,Sheet2!$A$2:$R$3432,18,0)</f>
        <v/>
      </c>
      <c r="T710" s="7" t="str">
        <f>VLOOKUP(A710,Sheet2!$A$2:$R$3432,17,0)</f>
        <v/>
      </c>
    </row>
    <row r="711" ht="15.75" customHeight="1">
      <c r="A711" s="3" t="s">
        <v>734</v>
      </c>
      <c r="B711" s="4" t="str">
        <f>VLOOKUP(A711,Sheet2!$A$2:$R$3432,2,0)</f>
        <v>2025-01-04 19:37:38</v>
      </c>
      <c r="C711" s="5" t="s">
        <v>25</v>
      </c>
      <c r="D711" s="6" t="s">
        <v>25</v>
      </c>
      <c r="E711" s="7">
        <f>VLOOKUP(A711,Sheet2!$A$2:$R$3432,4,0)</f>
        <v>8871596446</v>
      </c>
      <c r="F711" s="7" t="str">
        <f>VLOOKUP(A711,Sheet2!$A$2:$R$3432,3,0)</f>
        <v>Ayush Nagori</v>
      </c>
      <c r="G711" s="5" t="s">
        <v>25</v>
      </c>
      <c r="H711" s="5" t="s">
        <v>25</v>
      </c>
      <c r="I711" s="5" t="s">
        <v>25</v>
      </c>
      <c r="J711" s="5" t="s">
        <v>25</v>
      </c>
      <c r="K711" s="7" t="str">
        <f>VLOOKUP(A711,Sheet2!$A$2:$R$3432,6,0)</f>
        <v>Yamaha FZ S 2.0</v>
      </c>
      <c r="L711" s="5" t="s">
        <v>25</v>
      </c>
      <c r="M711" s="7" t="str">
        <f>VLOOKUP(A711,Sheet2!$A$2:$R$3432,5,0)</f>
        <v>MH14HH2864</v>
      </c>
      <c r="N711" s="5" t="s">
        <v>25</v>
      </c>
      <c r="O711" s="5" t="s">
        <v>25</v>
      </c>
      <c r="P711" s="6" t="s">
        <v>25</v>
      </c>
      <c r="Q711" s="5" t="s">
        <v>25</v>
      </c>
      <c r="R711" s="5" t="s">
        <v>25</v>
      </c>
      <c r="S711" s="5" t="str">
        <f>VLOOKUP(A711,Sheet2!$A$2:$R$3432,18,0)</f>
        <v>G3J3E0381885</v>
      </c>
      <c r="T711" s="7" t="str">
        <f>VLOOKUP(A711,Sheet2!$A$2:$R$3432,17,0)</f>
        <v>ME1RG445AJ0050015</v>
      </c>
    </row>
    <row r="712" ht="15.75" customHeight="1">
      <c r="A712" s="3" t="s">
        <v>735</v>
      </c>
      <c r="B712" s="4" t="str">
        <f>VLOOKUP(A712,Sheet2!$A$2:$R$3432,2,0)</f>
        <v>2025-01-04 20:23:57</v>
      </c>
      <c r="C712" s="5" t="s">
        <v>25</v>
      </c>
      <c r="D712" s="6" t="s">
        <v>25</v>
      </c>
      <c r="E712" s="7">
        <f>VLOOKUP(A712,Sheet2!$A$2:$R$3432,4,0)</f>
        <v>9881889367</v>
      </c>
      <c r="F712" s="7" t="str">
        <f>VLOOKUP(A712,Sheet2!$A$2:$R$3432,3,0)</f>
        <v>Radhika Patil</v>
      </c>
      <c r="G712" s="5" t="s">
        <v>25</v>
      </c>
      <c r="H712" s="5" t="s">
        <v>25</v>
      </c>
      <c r="I712" s="5" t="s">
        <v>25</v>
      </c>
      <c r="J712" s="5" t="s">
        <v>25</v>
      </c>
      <c r="K712" s="7" t="str">
        <f>VLOOKUP(A712,Sheet2!$A$2:$R$3432,6,0)</f>
        <v>Honda Activa 125</v>
      </c>
      <c r="L712" s="5" t="s">
        <v>25</v>
      </c>
      <c r="M712" s="7" t="str">
        <f>VLOOKUP(A712,Sheet2!$A$2:$R$3432,5,0)</f>
        <v>MH12SS8869</v>
      </c>
      <c r="N712" s="5" t="s">
        <v>25</v>
      </c>
      <c r="O712" s="5" t="s">
        <v>25</v>
      </c>
      <c r="P712" s="6" t="s">
        <v>25</v>
      </c>
      <c r="Q712" s="5" t="s">
        <v>25</v>
      </c>
      <c r="R712" s="5" t="s">
        <v>25</v>
      </c>
      <c r="S712" s="5" t="str">
        <f>VLOOKUP(A712,Sheet2!$A$2:$R$3432,18,0)</f>
        <v>JF49ED4021028</v>
      </c>
      <c r="T712" s="7" t="str">
        <f>VLOOKUP(A712,Sheet2!$A$2:$R$3432,17,0)</f>
        <v>ME4JF40MGLDO12891</v>
      </c>
    </row>
    <row r="713" ht="15.75" customHeight="1">
      <c r="A713" s="3" t="s">
        <v>736</v>
      </c>
      <c r="B713" s="4" t="str">
        <f>VLOOKUP(A713,Sheet2!$A$2:$R$3432,2,0)</f>
        <v>2025-01-04 19:44:46</v>
      </c>
      <c r="C713" s="5" t="s">
        <v>25</v>
      </c>
      <c r="D713" s="6" t="s">
        <v>25</v>
      </c>
      <c r="E713" s="7">
        <f>VLOOKUP(A713,Sheet2!$A$2:$R$3432,4,0)</f>
        <v>9067325322</v>
      </c>
      <c r="F713" s="7" t="str">
        <f>VLOOKUP(A713,Sheet2!$A$2:$R$3432,3,0)</f>
        <v>MANAS KAREKAR</v>
      </c>
      <c r="G713" s="5" t="s">
        <v>25</v>
      </c>
      <c r="H713" s="5" t="s">
        <v>25</v>
      </c>
      <c r="I713" s="5" t="s">
        <v>25</v>
      </c>
      <c r="J713" s="5" t="s">
        <v>25</v>
      </c>
      <c r="K713" s="7" t="str">
        <f>VLOOKUP(A713,Sheet2!$A$2:$R$3432,6,0)</f>
        <v>Bajaj Pulsar 200 NS</v>
      </c>
      <c r="L713" s="5" t="s">
        <v>25</v>
      </c>
      <c r="M713" s="7" t="str">
        <f>VLOOKUP(A713,Sheet2!$A$2:$R$3432,5,0)</f>
        <v>MH07AR4601</v>
      </c>
      <c r="N713" s="5" t="s">
        <v>25</v>
      </c>
      <c r="O713" s="5" t="s">
        <v>25</v>
      </c>
      <c r="P713" s="6" t="s">
        <v>25</v>
      </c>
      <c r="Q713" s="5" t="s">
        <v>25</v>
      </c>
      <c r="R713" s="5" t="s">
        <v>25</v>
      </c>
      <c r="S713" s="7" t="str">
        <f>VLOOKUP(A713,Sheet2!$A$2:$R$3432,18,0)</f>
        <v/>
      </c>
      <c r="T713" s="7" t="str">
        <f>VLOOKUP(A713,Sheet2!$A$2:$R$3432,17,0)</f>
        <v/>
      </c>
    </row>
    <row r="714" ht="15.75" customHeight="1">
      <c r="A714" s="3" t="s">
        <v>737</v>
      </c>
      <c r="B714" s="4" t="str">
        <f>VLOOKUP(A714,Sheet2!$A$2:$R$3432,2,0)</f>
        <v>2025-01-04 19:41:59</v>
      </c>
      <c r="C714" s="5" t="s">
        <v>25</v>
      </c>
      <c r="D714" s="6" t="s">
        <v>25</v>
      </c>
      <c r="E714" s="7">
        <f>VLOOKUP(A714,Sheet2!$A$2:$R$3432,4,0)</f>
        <v>9765490093</v>
      </c>
      <c r="F714" s="7" t="str">
        <f>VLOOKUP(A714,Sheet2!$A$2:$R$3432,3,0)</f>
        <v>Saurabh Meshram</v>
      </c>
      <c r="G714" s="5" t="s">
        <v>25</v>
      </c>
      <c r="H714" s="5" t="s">
        <v>25</v>
      </c>
      <c r="I714" s="5" t="s">
        <v>25</v>
      </c>
      <c r="J714" s="5" t="s">
        <v>25</v>
      </c>
      <c r="K714" s="7" t="str">
        <f>VLOOKUP(A714,Sheet2!$A$2:$R$3432,6,0)</f>
        <v>Hero Maestro </v>
      </c>
      <c r="L714" s="5" t="s">
        <v>25</v>
      </c>
      <c r="M714" s="7" t="str">
        <f>VLOOKUP(A714,Sheet2!$A$2:$R$3432,5,0)</f>
        <v>MH14ET7782</v>
      </c>
      <c r="N714" s="5" t="s">
        <v>25</v>
      </c>
      <c r="O714" s="5" t="s">
        <v>25</v>
      </c>
      <c r="P714" s="6" t="s">
        <v>25</v>
      </c>
      <c r="Q714" s="5" t="s">
        <v>25</v>
      </c>
      <c r="R714" s="5" t="s">
        <v>25</v>
      </c>
      <c r="S714" s="5" t="str">
        <f>VLOOKUP(A714,Sheet2!$A$2:$R$3432,18,0)</f>
        <v>JF32AAEGM74700</v>
      </c>
      <c r="T714" s="7" t="str">
        <f>VLOOKUP(A714,Sheet2!$A$2:$R$3432,17,0)</f>
        <v>MBLJF32AEEGM11988</v>
      </c>
    </row>
    <row r="715" ht="15.75" customHeight="1">
      <c r="A715" s="3" t="s">
        <v>738</v>
      </c>
      <c r="B715" s="4" t="str">
        <f>VLOOKUP(A715,Sheet2!$A$2:$R$3432,2,0)</f>
        <v>2025-01-04 19:42:57</v>
      </c>
      <c r="C715" s="5" t="s">
        <v>25</v>
      </c>
      <c r="D715" s="6" t="s">
        <v>25</v>
      </c>
      <c r="E715" s="7">
        <f>VLOOKUP(A715,Sheet2!$A$2:$R$3432,4,0)</f>
        <v>7774006151</v>
      </c>
      <c r="F715" s="7" t="str">
        <f>VLOOKUP(A715,Sheet2!$A$2:$R$3432,3,0)</f>
        <v>Shital</v>
      </c>
      <c r="G715" s="5" t="s">
        <v>25</v>
      </c>
      <c r="H715" s="5" t="s">
        <v>25</v>
      </c>
      <c r="I715" s="5" t="s">
        <v>25</v>
      </c>
      <c r="J715" s="5" t="s">
        <v>25</v>
      </c>
      <c r="K715" s="7" t="str">
        <f>VLOOKUP(A715,Sheet2!$A$2:$R$3432,6,0)</f>
        <v>TVS Jupiter </v>
      </c>
      <c r="L715" s="5" t="s">
        <v>25</v>
      </c>
      <c r="M715" s="7" t="str">
        <f>VLOOKUP(A715,Sheet2!$A$2:$R$3432,5,0)</f>
        <v>MH14JT4108</v>
      </c>
      <c r="N715" s="5" t="s">
        <v>25</v>
      </c>
      <c r="O715" s="5" t="s">
        <v>25</v>
      </c>
      <c r="P715" s="6" t="s">
        <v>25</v>
      </c>
      <c r="Q715" s="5" t="s">
        <v>25</v>
      </c>
      <c r="R715" s="5" t="s">
        <v>25</v>
      </c>
      <c r="S715" s="7" t="str">
        <f>VLOOKUP(A715,Sheet2!$A$2:$R$3432,18,0)</f>
        <v/>
      </c>
      <c r="T715" s="7" t="str">
        <f>VLOOKUP(A715,Sheet2!$A$2:$R$3432,17,0)</f>
        <v/>
      </c>
    </row>
    <row r="716" ht="15.75" customHeight="1">
      <c r="A716" s="3" t="s">
        <v>739</v>
      </c>
      <c r="B716" s="4" t="str">
        <f>VLOOKUP(A716,Sheet2!$A$2:$R$3432,2,0)</f>
        <v>2025-01-04 19:42:32</v>
      </c>
      <c r="C716" s="5" t="s">
        <v>25</v>
      </c>
      <c r="D716" s="6" t="s">
        <v>25</v>
      </c>
      <c r="E716" s="7">
        <f>VLOOKUP(A716,Sheet2!$A$2:$R$3432,4,0)</f>
        <v>9028571891</v>
      </c>
      <c r="F716" s="7" t="str">
        <f>VLOOKUP(A716,Sheet2!$A$2:$R$3432,3,0)</f>
        <v>Nikhil</v>
      </c>
      <c r="G716" s="5" t="s">
        <v>25</v>
      </c>
      <c r="H716" s="5" t="s">
        <v>25</v>
      </c>
      <c r="I716" s="5" t="s">
        <v>25</v>
      </c>
      <c r="J716" s="5" t="s">
        <v>25</v>
      </c>
      <c r="K716" s="7" t="str">
        <f>VLOOKUP(A716,Sheet2!$A$2:$R$3432,6,0)</f>
        <v>TVS Jupiter </v>
      </c>
      <c r="L716" s="5" t="s">
        <v>25</v>
      </c>
      <c r="M716" s="7" t="str">
        <f>VLOOKUP(A716,Sheet2!$A$2:$R$3432,5,0)</f>
        <v>MH14GW6853</v>
      </c>
      <c r="N716" s="5" t="s">
        <v>25</v>
      </c>
      <c r="O716" s="5" t="s">
        <v>25</v>
      </c>
      <c r="P716" s="6" t="s">
        <v>25</v>
      </c>
      <c r="Q716" s="5" t="s">
        <v>25</v>
      </c>
      <c r="R716" s="5" t="s">
        <v>25</v>
      </c>
      <c r="S716" s="5" t="str">
        <f>VLOOKUP(A716,Sheet2!$A$2:$R$3432,18,0)</f>
        <v>EG4BJ1864262</v>
      </c>
      <c r="T716" s="7" t="str">
        <f>VLOOKUP(A716,Sheet2!$A$2:$R$3432,17,0)</f>
        <v>MD626EG4453B22353</v>
      </c>
    </row>
    <row r="717" ht="15.75" customHeight="1">
      <c r="A717" s="3" t="s">
        <v>740</v>
      </c>
      <c r="B717" s="4" t="str">
        <f>VLOOKUP(A717,Sheet2!$A$2:$R$3432,2,0)</f>
        <v>2025-01-04 19:36:41</v>
      </c>
      <c r="C717" s="5" t="s">
        <v>25</v>
      </c>
      <c r="D717" s="6" t="s">
        <v>25</v>
      </c>
      <c r="E717" s="7">
        <f>VLOOKUP(A717,Sheet2!$A$2:$R$3432,4,0)</f>
        <v>9175851835</v>
      </c>
      <c r="F717" s="7" t="str">
        <f>VLOOKUP(A717,Sheet2!$A$2:$R$3432,3,0)</f>
        <v>Pravin</v>
      </c>
      <c r="G717" s="5" t="s">
        <v>25</v>
      </c>
      <c r="H717" s="5" t="s">
        <v>25</v>
      </c>
      <c r="I717" s="5" t="s">
        <v>25</v>
      </c>
      <c r="J717" s="5" t="s">
        <v>25</v>
      </c>
      <c r="K717" s="7" t="str">
        <f>VLOOKUP(A717,Sheet2!$A$2:$R$3432,6,0)</f>
        <v>Suzuki Access </v>
      </c>
      <c r="L717" s="5" t="s">
        <v>25</v>
      </c>
      <c r="M717" s="7" t="str">
        <f>VLOOKUP(A717,Sheet2!$A$2:$R$3432,5,0)</f>
        <v>MH14HR2274</v>
      </c>
      <c r="N717" s="5" t="s">
        <v>25</v>
      </c>
      <c r="O717" s="5" t="s">
        <v>25</v>
      </c>
      <c r="P717" s="6" t="s">
        <v>25</v>
      </c>
      <c r="Q717" s="5" t="s">
        <v>25</v>
      </c>
      <c r="R717" s="5" t="s">
        <v>25</v>
      </c>
      <c r="S717" s="5" t="str">
        <f>VLOOKUP(A717,Sheet2!$A$2:$R$3432,18,0)</f>
        <v>AF212036921</v>
      </c>
      <c r="T717" s="7" t="str">
        <f>VLOOKUP(A717,Sheet2!$A$2:$R$3432,17,0)</f>
        <v>MB8DP11ADK8D15536</v>
      </c>
    </row>
    <row r="718" ht="15.75" customHeight="1">
      <c r="A718" s="3" t="s">
        <v>741</v>
      </c>
      <c r="B718" s="4" t="str">
        <f>VLOOKUP(A718,Sheet2!$A$2:$R$3432,2,0)</f>
        <v>2025-01-04 19:44:08</v>
      </c>
      <c r="C718" s="5" t="s">
        <v>25</v>
      </c>
      <c r="D718" s="6" t="s">
        <v>25</v>
      </c>
      <c r="E718" s="7">
        <f>VLOOKUP(A718,Sheet2!$A$2:$R$3432,4,0)</f>
        <v>9689907628</v>
      </c>
      <c r="F718" s="7" t="str">
        <f>VLOOKUP(A718,Sheet2!$A$2:$R$3432,3,0)</f>
        <v>SANTOSH SAMBRE</v>
      </c>
      <c r="G718" s="5" t="s">
        <v>25</v>
      </c>
      <c r="H718" s="5" t="s">
        <v>25</v>
      </c>
      <c r="I718" s="5" t="s">
        <v>25</v>
      </c>
      <c r="J718" s="5" t="s">
        <v>25</v>
      </c>
      <c r="K718" s="7" t="str">
        <f>VLOOKUP(A718,Sheet2!$A$2:$R$3432,6,0)</f>
        <v>Honda Activa </v>
      </c>
      <c r="L718" s="5" t="s">
        <v>25</v>
      </c>
      <c r="M718" s="7" t="str">
        <f>VLOOKUP(A718,Sheet2!$A$2:$R$3432,5,0)</f>
        <v>MH14FY5008</v>
      </c>
      <c r="N718" s="5" t="s">
        <v>25</v>
      </c>
      <c r="O718" s="5" t="s">
        <v>25</v>
      </c>
      <c r="P718" s="6" t="s">
        <v>25</v>
      </c>
      <c r="Q718" s="5" t="s">
        <v>25</v>
      </c>
      <c r="R718" s="5" t="s">
        <v>25</v>
      </c>
      <c r="S718" s="5" t="str">
        <f>VLOOKUP(A718,Sheet2!$A$2:$R$3432,18,0)</f>
        <v>JF48E81131297</v>
      </c>
      <c r="T718" s="7" t="str">
        <f>VLOOKUP(A718,Sheet2!$A$2:$R$3432,17,0)</f>
        <v>ME4JF488JG8020262</v>
      </c>
    </row>
    <row r="719" ht="15.75" customHeight="1">
      <c r="A719" s="3" t="s">
        <v>742</v>
      </c>
      <c r="B719" s="4" t="str">
        <f>VLOOKUP(A719,Sheet2!$A$2:$R$3432,2,0)</f>
        <v>2025-01-04 19:52:01</v>
      </c>
      <c r="C719" s="5" t="s">
        <v>25</v>
      </c>
      <c r="D719" s="6" t="s">
        <v>25</v>
      </c>
      <c r="E719" s="7">
        <f>VLOOKUP(A719,Sheet2!$A$2:$R$3432,4,0)</f>
        <v>9746902446</v>
      </c>
      <c r="F719" s="7" t="str">
        <f>VLOOKUP(A719,Sheet2!$A$2:$R$3432,3,0)</f>
        <v>Rino</v>
      </c>
      <c r="G719" s="5" t="s">
        <v>25</v>
      </c>
      <c r="H719" s="5" t="s">
        <v>25</v>
      </c>
      <c r="I719" s="5" t="s">
        <v>25</v>
      </c>
      <c r="J719" s="5" t="s">
        <v>25</v>
      </c>
      <c r="K719" s="7" t="str">
        <f>VLOOKUP(A719,Sheet2!$A$2:$R$3432,6,0)</f>
        <v>Hero Deluxe CD</v>
      </c>
      <c r="L719" s="5" t="s">
        <v>25</v>
      </c>
      <c r="M719" s="7" t="str">
        <f>VLOOKUP(A719,Sheet2!$A$2:$R$3432,5,0)</f>
        <v>KL45G6310</v>
      </c>
      <c r="N719" s="5" t="s">
        <v>25</v>
      </c>
      <c r="O719" s="5" t="s">
        <v>25</v>
      </c>
      <c r="P719" s="6" t="s">
        <v>25</v>
      </c>
      <c r="Q719" s="5" t="s">
        <v>25</v>
      </c>
      <c r="R719" s="5" t="s">
        <v>25</v>
      </c>
      <c r="S719" s="5" t="str">
        <f>VLOOKUP(A719,Sheet2!$A$2:$R$3432,18,0)</f>
        <v>HA11609L28040</v>
      </c>
      <c r="T719" s="7" t="str">
        <f>VLOOKUP(A719,Sheet2!$A$2:$R$3432,17,0)</f>
        <v/>
      </c>
    </row>
    <row r="720" ht="15.75" customHeight="1">
      <c r="A720" s="3" t="s">
        <v>743</v>
      </c>
      <c r="B720" s="4" t="str">
        <f>VLOOKUP(A720,Sheet2!$A$2:$R$3432,2,0)</f>
        <v>2025-01-04 20:49:40</v>
      </c>
      <c r="C720" s="5" t="s">
        <v>25</v>
      </c>
      <c r="D720" s="6" t="s">
        <v>25</v>
      </c>
      <c r="E720" s="7">
        <f>VLOOKUP(A720,Sheet2!$A$2:$R$3432,4,0)</f>
        <v>9970665252</v>
      </c>
      <c r="F720" s="7" t="str">
        <f>VLOOKUP(A720,Sheet2!$A$2:$R$3432,3,0)</f>
        <v>RAHUL PATHARE</v>
      </c>
      <c r="G720" s="5" t="s">
        <v>25</v>
      </c>
      <c r="H720" s="5" t="s">
        <v>25</v>
      </c>
      <c r="I720" s="5" t="s">
        <v>25</v>
      </c>
      <c r="J720" s="5" t="s">
        <v>25</v>
      </c>
      <c r="K720" s="7" t="str">
        <f>VLOOKUP(A720,Sheet2!$A$2:$R$3432,6,0)</f>
        <v>Honda Activa 110</v>
      </c>
      <c r="L720" s="5" t="s">
        <v>25</v>
      </c>
      <c r="M720" s="7" t="str">
        <f>VLOOKUP(A720,Sheet2!$A$2:$R$3432,5,0)</f>
        <v>MH14EJ5100</v>
      </c>
      <c r="N720" s="5" t="s">
        <v>25</v>
      </c>
      <c r="O720" s="5" t="s">
        <v>25</v>
      </c>
      <c r="P720" s="6" t="s">
        <v>25</v>
      </c>
      <c r="Q720" s="5" t="s">
        <v>25</v>
      </c>
      <c r="R720" s="5" t="s">
        <v>25</v>
      </c>
      <c r="S720" s="7" t="str">
        <f>VLOOKUP(A720,Sheet2!$A$2:$R$3432,18,0)</f>
        <v/>
      </c>
      <c r="T720" s="7" t="str">
        <f>VLOOKUP(A720,Sheet2!$A$2:$R$3432,17,0)</f>
        <v/>
      </c>
    </row>
    <row r="721" ht="15.75" customHeight="1">
      <c r="A721" s="3" t="s">
        <v>744</v>
      </c>
      <c r="B721" s="4" t="str">
        <f>VLOOKUP(A721,Sheet2!$A$2:$R$3432,2,0)</f>
        <v>2025-01-02 19:30:20</v>
      </c>
      <c r="C721" s="5" t="s">
        <v>25</v>
      </c>
      <c r="D721" s="6" t="s">
        <v>25</v>
      </c>
      <c r="E721" s="7">
        <f>VLOOKUP(A721,Sheet2!$A$2:$R$3432,4,0)</f>
        <v>9930807660</v>
      </c>
      <c r="F721" s="7" t="str">
        <f>VLOOKUP(A721,Sheet2!$A$2:$R$3432,3,0)</f>
        <v>Nilesh Saini</v>
      </c>
      <c r="G721" s="5" t="s">
        <v>25</v>
      </c>
      <c r="H721" s="5" t="s">
        <v>25</v>
      </c>
      <c r="I721" s="5" t="s">
        <v>25</v>
      </c>
      <c r="J721" s="5" t="s">
        <v>25</v>
      </c>
      <c r="K721" s="7" t="str">
        <f>VLOOKUP(A721,Sheet2!$A$2:$R$3432,6,0)</f>
        <v>TVS Jupiter </v>
      </c>
      <c r="L721" s="5" t="s">
        <v>25</v>
      </c>
      <c r="M721" s="7" t="str">
        <f>VLOOKUP(A721,Sheet2!$A$2:$R$3432,5,0)</f>
        <v>MH14KR8553</v>
      </c>
      <c r="N721" s="5" t="s">
        <v>25</v>
      </c>
      <c r="O721" s="5" t="s">
        <v>25</v>
      </c>
      <c r="P721" s="6" t="s">
        <v>25</v>
      </c>
      <c r="Q721" s="5" t="s">
        <v>25</v>
      </c>
      <c r="R721" s="5" t="s">
        <v>25</v>
      </c>
      <c r="S721" s="5" t="str">
        <f>VLOOKUP(A721,Sheet2!$A$2:$R$3432,18,0)</f>
        <v>DG5CP1X05519</v>
      </c>
      <c r="T721" s="7" t="str">
        <f>VLOOKUP(A721,Sheet2!$A$2:$R$3432,17,0)</f>
        <v>MD626CG58P1C10324</v>
      </c>
    </row>
    <row r="722" ht="15.75" customHeight="1">
      <c r="A722" s="3" t="s">
        <v>745</v>
      </c>
      <c r="B722" s="4" t="str">
        <f>VLOOKUP(A722,Sheet2!$A$2:$R$3432,2,0)</f>
        <v>2025-01-02 19:31:35</v>
      </c>
      <c r="C722" s="5" t="s">
        <v>25</v>
      </c>
      <c r="D722" s="6" t="s">
        <v>25</v>
      </c>
      <c r="E722" s="7">
        <f>VLOOKUP(A722,Sheet2!$A$2:$R$3432,4,0)</f>
        <v>9960036481</v>
      </c>
      <c r="F722" s="7" t="str">
        <f>VLOOKUP(A722,Sheet2!$A$2:$R$3432,3,0)</f>
        <v>SURAJ </v>
      </c>
      <c r="G722" s="5" t="s">
        <v>25</v>
      </c>
      <c r="H722" s="5" t="s">
        <v>25</v>
      </c>
      <c r="I722" s="5" t="s">
        <v>25</v>
      </c>
      <c r="J722" s="5" t="s">
        <v>25</v>
      </c>
      <c r="K722" s="7" t="str">
        <f>VLOOKUP(A722,Sheet2!$A$2:$R$3432,6,0)</f>
        <v>Aprilla SR SR 150</v>
      </c>
      <c r="L722" s="5" t="s">
        <v>25</v>
      </c>
      <c r="M722" s="7" t="str">
        <f>VLOOKUP(A722,Sheet2!$A$2:$R$3432,5,0)</f>
        <v>MH14HP7053</v>
      </c>
      <c r="N722" s="5" t="s">
        <v>25</v>
      </c>
      <c r="O722" s="5" t="s">
        <v>25</v>
      </c>
      <c r="P722" s="6" t="s">
        <v>25</v>
      </c>
      <c r="Q722" s="5" t="s">
        <v>25</v>
      </c>
      <c r="R722" s="5" t="s">
        <v>25</v>
      </c>
      <c r="S722" s="7" t="str">
        <f>VLOOKUP(A722,Sheet2!$A$2:$R$3432,18,0)</f>
        <v/>
      </c>
      <c r="T722" s="7" t="str">
        <f>VLOOKUP(A722,Sheet2!$A$2:$R$3432,17,0)</f>
        <v>MET0001CAYE001933</v>
      </c>
    </row>
    <row r="723" ht="15.75" customHeight="1">
      <c r="A723" s="3" t="s">
        <v>746</v>
      </c>
      <c r="B723" s="4" t="str">
        <f>VLOOKUP(A723,Sheet2!$A$2:$R$3432,2,0)</f>
        <v>2025-01-02 19:29:59</v>
      </c>
      <c r="C723" s="5" t="s">
        <v>25</v>
      </c>
      <c r="D723" s="6" t="s">
        <v>25</v>
      </c>
      <c r="E723" s="7">
        <f>VLOOKUP(A723,Sheet2!$A$2:$R$3432,4,0)</f>
        <v>9881673022</v>
      </c>
      <c r="F723" s="7" t="str">
        <f>VLOOKUP(A723,Sheet2!$A$2:$R$3432,3,0)</f>
        <v>Manish Nagpuram</v>
      </c>
      <c r="G723" s="5" t="s">
        <v>25</v>
      </c>
      <c r="H723" s="5" t="s">
        <v>25</v>
      </c>
      <c r="I723" s="5" t="s">
        <v>25</v>
      </c>
      <c r="J723" s="5" t="s">
        <v>25</v>
      </c>
      <c r="K723" s="7" t="str">
        <f>VLOOKUP(A723,Sheet2!$A$2:$R$3432,6,0)</f>
        <v>Suzuki Access </v>
      </c>
      <c r="L723" s="5" t="s">
        <v>25</v>
      </c>
      <c r="M723" s="7" t="str">
        <f>VLOOKUP(A723,Sheet2!$A$2:$R$3432,5,0)</f>
        <v>MH14GZ6838</v>
      </c>
      <c r="N723" s="5" t="s">
        <v>25</v>
      </c>
      <c r="O723" s="5" t="s">
        <v>25</v>
      </c>
      <c r="P723" s="6" t="s">
        <v>25</v>
      </c>
      <c r="Q723" s="5" t="s">
        <v>25</v>
      </c>
      <c r="R723" s="5" t="s">
        <v>25</v>
      </c>
      <c r="S723" s="5" t="str">
        <f>VLOOKUP(A723,Sheet2!$A$2:$R$3432,18,0)</f>
        <v>AF215055248</v>
      </c>
      <c r="T723" s="7" t="str">
        <f>VLOOKUP(A723,Sheet2!$A$2:$R$3432,17,0)</f>
        <v/>
      </c>
    </row>
    <row r="724" ht="15.75" customHeight="1">
      <c r="A724" s="3" t="s">
        <v>747</v>
      </c>
      <c r="B724" s="4" t="str">
        <f>VLOOKUP(A724,Sheet2!$A$2:$R$3432,2,0)</f>
        <v>2025-01-02 19:32:48</v>
      </c>
      <c r="C724" s="5" t="s">
        <v>25</v>
      </c>
      <c r="D724" s="6" t="s">
        <v>25</v>
      </c>
      <c r="E724" s="7">
        <f>VLOOKUP(A724,Sheet2!$A$2:$R$3432,4,0)</f>
        <v>9730283199</v>
      </c>
      <c r="F724" s="7" t="str">
        <f>VLOOKUP(A724,Sheet2!$A$2:$R$3432,3,0)</f>
        <v>Heattrace Technology</v>
      </c>
      <c r="G724" s="5" t="s">
        <v>25</v>
      </c>
      <c r="H724" s="5" t="s">
        <v>25</v>
      </c>
      <c r="I724" s="5" t="s">
        <v>25</v>
      </c>
      <c r="J724" s="5" t="s">
        <v>25</v>
      </c>
      <c r="K724" s="7" t="str">
        <f>VLOOKUP(A724,Sheet2!$A$2:$R$3432,6,0)</f>
        <v>Hero Glamour New</v>
      </c>
      <c r="L724" s="5" t="s">
        <v>25</v>
      </c>
      <c r="M724" s="7" t="str">
        <f>VLOOKUP(A724,Sheet2!$A$2:$R$3432,5,0)</f>
        <v>MH14FR7837</v>
      </c>
      <c r="N724" s="5" t="s">
        <v>25</v>
      </c>
      <c r="O724" s="5" t="s">
        <v>25</v>
      </c>
      <c r="P724" s="6" t="s">
        <v>25</v>
      </c>
      <c r="Q724" s="5" t="s">
        <v>25</v>
      </c>
      <c r="R724" s="5" t="s">
        <v>25</v>
      </c>
      <c r="S724" s="7" t="str">
        <f>VLOOKUP(A724,Sheet2!$A$2:$R$3432,18,0)</f>
        <v/>
      </c>
      <c r="T724" s="7" t="str">
        <f>VLOOKUP(A724,Sheet2!$A$2:$R$3432,17,0)</f>
        <v>MBLG8068LGGF12484</v>
      </c>
    </row>
    <row r="725" ht="15.75" customHeight="1">
      <c r="A725" s="3" t="s">
        <v>748</v>
      </c>
      <c r="B725" s="4" t="str">
        <f>VLOOKUP(A725,Sheet2!$A$2:$R$3432,2,0)</f>
        <v>2025-01-02 19:36:59</v>
      </c>
      <c r="C725" s="5" t="s">
        <v>25</v>
      </c>
      <c r="D725" s="6" t="s">
        <v>25</v>
      </c>
      <c r="E725" s="7">
        <f>VLOOKUP(A725,Sheet2!$A$2:$R$3432,4,0)</f>
        <v>7020232964</v>
      </c>
      <c r="F725" s="7" t="str">
        <f>VLOOKUP(A725,Sheet2!$A$2:$R$3432,3,0)</f>
        <v>Ashwini </v>
      </c>
      <c r="G725" s="5" t="s">
        <v>25</v>
      </c>
      <c r="H725" s="5" t="s">
        <v>25</v>
      </c>
      <c r="I725" s="5" t="s">
        <v>25</v>
      </c>
      <c r="J725" s="5" t="s">
        <v>25</v>
      </c>
      <c r="K725" s="7" t="str">
        <f>VLOOKUP(A725,Sheet2!$A$2:$R$3432,6,0)</f>
        <v>Honda Activa 3G</v>
      </c>
      <c r="L725" s="5" t="s">
        <v>25</v>
      </c>
      <c r="M725" s="7" t="str">
        <f>VLOOKUP(A725,Sheet2!$A$2:$R$3432,5,0)</f>
        <v>MH12MQ0370</v>
      </c>
      <c r="N725" s="5" t="s">
        <v>25</v>
      </c>
      <c r="O725" s="5" t="s">
        <v>25</v>
      </c>
      <c r="P725" s="6" t="s">
        <v>25</v>
      </c>
      <c r="Q725" s="5" t="s">
        <v>25</v>
      </c>
      <c r="R725" s="5" t="s">
        <v>25</v>
      </c>
      <c r="S725" s="7" t="str">
        <f>VLOOKUP(A725,Sheet2!$A$2:$R$3432,18,0)</f>
        <v/>
      </c>
      <c r="T725" s="7" t="str">
        <f>VLOOKUP(A725,Sheet2!$A$2:$R$3432,17,0)</f>
        <v/>
      </c>
    </row>
    <row r="726" ht="15.75" customHeight="1">
      <c r="A726" s="3" t="s">
        <v>749</v>
      </c>
      <c r="B726" s="4" t="str">
        <f>VLOOKUP(A726,Sheet2!$A$2:$R$3432,2,0)</f>
        <v>2025-01-02 21:05:07</v>
      </c>
      <c r="C726" s="5" t="s">
        <v>25</v>
      </c>
      <c r="D726" s="6" t="s">
        <v>25</v>
      </c>
      <c r="E726" s="7">
        <f>VLOOKUP(A726,Sheet2!$A$2:$R$3432,4,0)</f>
        <v>9028243280</v>
      </c>
      <c r="F726" s="7" t="str">
        <f>VLOOKUP(A726,Sheet2!$A$2:$R$3432,3,0)</f>
        <v>Maruti Giri</v>
      </c>
      <c r="G726" s="5" t="s">
        <v>25</v>
      </c>
      <c r="H726" s="5" t="s">
        <v>25</v>
      </c>
      <c r="I726" s="5" t="s">
        <v>25</v>
      </c>
      <c r="J726" s="5" t="s">
        <v>25</v>
      </c>
      <c r="K726" s="7" t="str">
        <f>VLOOKUP(A726,Sheet2!$A$2:$R$3432,6,0)</f>
        <v>TVS Jupiter </v>
      </c>
      <c r="L726" s="5" t="s">
        <v>25</v>
      </c>
      <c r="M726" s="7" t="str">
        <f>VLOOKUP(A726,Sheet2!$A$2:$R$3432,5,0)</f>
        <v>MH14FN6754</v>
      </c>
      <c r="N726" s="5" t="s">
        <v>25</v>
      </c>
      <c r="O726" s="5" t="s">
        <v>25</v>
      </c>
      <c r="P726" s="6" t="s">
        <v>25</v>
      </c>
      <c r="Q726" s="5" t="s">
        <v>25</v>
      </c>
      <c r="R726" s="5" t="s">
        <v>25</v>
      </c>
      <c r="S726" s="7" t="str">
        <f>VLOOKUP(A726,Sheet2!$A$2:$R$3432,18,0)</f>
        <v/>
      </c>
      <c r="T726" s="7" t="str">
        <f>VLOOKUP(A726,Sheet2!$A$2:$R$3432,17,0)</f>
        <v/>
      </c>
    </row>
    <row r="727" ht="15.75" customHeight="1">
      <c r="A727" s="3" t="s">
        <v>750</v>
      </c>
      <c r="B727" s="4" t="str">
        <f>VLOOKUP(A727,Sheet2!$A$2:$R$3432,2,0)</f>
        <v>2025-01-24 16:10:33</v>
      </c>
      <c r="C727" s="5" t="s">
        <v>25</v>
      </c>
      <c r="D727" s="6" t="s">
        <v>25</v>
      </c>
      <c r="E727" s="7">
        <f>VLOOKUP(A727,Sheet2!$A$2:$R$3432,4,0)</f>
        <v>7720039338</v>
      </c>
      <c r="F727" s="7" t="str">
        <f>VLOOKUP(A727,Sheet2!$A$2:$R$3432,3,0)</f>
        <v>Prashant Gawade</v>
      </c>
      <c r="G727" s="5" t="s">
        <v>25</v>
      </c>
      <c r="H727" s="5" t="s">
        <v>25</v>
      </c>
      <c r="I727" s="5" t="s">
        <v>25</v>
      </c>
      <c r="J727" s="5" t="s">
        <v>25</v>
      </c>
      <c r="K727" s="7" t="str">
        <f>VLOOKUP(A727,Sheet2!$A$2:$R$3432,6,0)</f>
        <v>Honda Activa HET</v>
      </c>
      <c r="L727" s="5" t="s">
        <v>25</v>
      </c>
      <c r="M727" s="7" t="str">
        <f>VLOOKUP(A727,Sheet2!$A$2:$R$3432,5,0)</f>
        <v>MH14EQ9238</v>
      </c>
      <c r="N727" s="5" t="s">
        <v>25</v>
      </c>
      <c r="O727" s="5" t="s">
        <v>25</v>
      </c>
      <c r="P727" s="6" t="s">
        <v>25</v>
      </c>
      <c r="Q727" s="5" t="s">
        <v>25</v>
      </c>
      <c r="R727" s="5" t="s">
        <v>25</v>
      </c>
      <c r="S727" s="5" t="str">
        <f>VLOOKUP(A727,Sheet2!$A$2:$R$3432,18,0)</f>
        <v>JF50E1455769</v>
      </c>
      <c r="T727" s="7" t="str">
        <f>VLOOKUP(A727,Sheet2!$A$2:$R$3432,17,0)</f>
        <v>ME4JF502KET456017</v>
      </c>
    </row>
    <row r="728" ht="15.75" customHeight="1">
      <c r="A728" s="3" t="s">
        <v>751</v>
      </c>
      <c r="B728" s="4" t="str">
        <f>VLOOKUP(A728,Sheet2!$A$2:$R$3432,2,0)</f>
        <v>2025-01-24 16:13:11</v>
      </c>
      <c r="C728" s="5" t="s">
        <v>25</v>
      </c>
      <c r="D728" s="6" t="s">
        <v>25</v>
      </c>
      <c r="E728" s="7">
        <f>VLOOKUP(A728,Sheet2!$A$2:$R$3432,4,0)</f>
        <v>9423807085</v>
      </c>
      <c r="F728" s="7" t="str">
        <f>VLOOKUP(A728,Sheet2!$A$2:$R$3432,3,0)</f>
        <v>Haridas</v>
      </c>
      <c r="G728" s="5" t="s">
        <v>25</v>
      </c>
      <c r="H728" s="5" t="s">
        <v>25</v>
      </c>
      <c r="I728" s="5" t="s">
        <v>25</v>
      </c>
      <c r="J728" s="5" t="s">
        <v>25</v>
      </c>
      <c r="K728" s="7" t="str">
        <f>VLOOKUP(A728,Sheet2!$A$2:$R$3432,6,0)</f>
        <v>TVS Jupiter </v>
      </c>
      <c r="L728" s="5" t="s">
        <v>25</v>
      </c>
      <c r="M728" s="7" t="str">
        <f>VLOOKUP(A728,Sheet2!$A$2:$R$3432,5,0)</f>
        <v>MH14GZ0962</v>
      </c>
      <c r="N728" s="5" t="s">
        <v>25</v>
      </c>
      <c r="O728" s="5" t="s">
        <v>25</v>
      </c>
      <c r="P728" s="6" t="s">
        <v>25</v>
      </c>
      <c r="Q728" s="5" t="s">
        <v>25</v>
      </c>
      <c r="R728" s="5" t="s">
        <v>25</v>
      </c>
      <c r="S728" s="5" t="str">
        <f>VLOOKUP(A728,Sheet2!$A$2:$R$3432,18,0)</f>
        <v>EG4CJ1946028</v>
      </c>
      <c r="T728" s="7" t="str">
        <f>VLOOKUP(A728,Sheet2!$A$2:$R$3432,17,0)</f>
        <v>MD626EG4J1C29559</v>
      </c>
    </row>
    <row r="729" ht="15.75" customHeight="1">
      <c r="A729" s="3" t="s">
        <v>752</v>
      </c>
      <c r="B729" s="4" t="str">
        <f>VLOOKUP(A729,Sheet2!$A$2:$R$3432,2,0)</f>
        <v>2025-01-24 16:16:47</v>
      </c>
      <c r="C729" s="5" t="s">
        <v>25</v>
      </c>
      <c r="D729" s="6" t="s">
        <v>25</v>
      </c>
      <c r="E729" s="7">
        <f>VLOOKUP(A729,Sheet2!$A$2:$R$3432,4,0)</f>
        <v>8530323636</v>
      </c>
      <c r="F729" s="7" t="str">
        <f>VLOOKUP(A729,Sheet2!$A$2:$R$3432,3,0)</f>
        <v>ABDUL TAMBOLI</v>
      </c>
      <c r="G729" s="5" t="s">
        <v>25</v>
      </c>
      <c r="H729" s="5" t="s">
        <v>25</v>
      </c>
      <c r="I729" s="5" t="s">
        <v>25</v>
      </c>
      <c r="J729" s="5" t="s">
        <v>25</v>
      </c>
      <c r="K729" s="7" t="str">
        <f>VLOOKUP(A729,Sheet2!$A$2:$R$3432,6,0)</f>
        <v>Honda Activa 125 BS6</v>
      </c>
      <c r="L729" s="5" t="s">
        <v>25</v>
      </c>
      <c r="M729" s="7" t="str">
        <f>VLOOKUP(A729,Sheet2!$A$2:$R$3432,5,0)</f>
        <v>MH14JW6289</v>
      </c>
      <c r="N729" s="5" t="s">
        <v>25</v>
      </c>
      <c r="O729" s="5" t="s">
        <v>25</v>
      </c>
      <c r="P729" s="6" t="s">
        <v>25</v>
      </c>
      <c r="Q729" s="5" t="s">
        <v>25</v>
      </c>
      <c r="R729" s="5" t="s">
        <v>25</v>
      </c>
      <c r="S729" s="5" t="str">
        <f>VLOOKUP(A729,Sheet2!$A$2:$R$3432,18,0)</f>
        <v>JR13EW016974</v>
      </c>
      <c r="T729" s="7" t="str">
        <f>VLOOKUP(A729,Sheet2!$A$2:$R$3432,17,0)</f>
        <v>ME4JK133LMW006295</v>
      </c>
    </row>
    <row r="730" ht="15.75" customHeight="1">
      <c r="A730" s="3" t="s">
        <v>753</v>
      </c>
      <c r="B730" s="4" t="str">
        <f>VLOOKUP(A730,Sheet2!$A$2:$R$3432,2,0)</f>
        <v>2025-01-24 16:21:14</v>
      </c>
      <c r="C730" s="5" t="s">
        <v>25</v>
      </c>
      <c r="D730" s="6" t="s">
        <v>25</v>
      </c>
      <c r="E730" s="7">
        <f>VLOOKUP(A730,Sheet2!$A$2:$R$3432,4,0)</f>
        <v>7972201259</v>
      </c>
      <c r="F730" s="7" t="str">
        <f>VLOOKUP(A730,Sheet2!$A$2:$R$3432,3,0)</f>
        <v>Shrikant </v>
      </c>
      <c r="G730" s="5" t="s">
        <v>25</v>
      </c>
      <c r="H730" s="5" t="s">
        <v>25</v>
      </c>
      <c r="I730" s="5" t="s">
        <v>25</v>
      </c>
      <c r="J730" s="5" t="s">
        <v>25</v>
      </c>
      <c r="K730" s="7" t="str">
        <f>VLOOKUP(A730,Sheet2!$A$2:$R$3432,6,0)</f>
        <v>Hero Passion Pro</v>
      </c>
      <c r="L730" s="5" t="s">
        <v>25</v>
      </c>
      <c r="M730" s="7" t="str">
        <f>VLOOKUP(A730,Sheet2!$A$2:$R$3432,5,0)</f>
        <v>MH14EB2125</v>
      </c>
      <c r="N730" s="5" t="s">
        <v>25</v>
      </c>
      <c r="O730" s="5" t="s">
        <v>25</v>
      </c>
      <c r="P730" s="6" t="s">
        <v>25</v>
      </c>
      <c r="Q730" s="5" t="s">
        <v>25</v>
      </c>
      <c r="R730" s="5" t="s">
        <v>25</v>
      </c>
      <c r="S730" s="5" t="str">
        <f>VLOOKUP(A730,Sheet2!$A$2:$R$3432,18,0)</f>
        <v>HA10E1HG64008</v>
      </c>
      <c r="T730" s="7" t="str">
        <f>VLOOKUP(A730,Sheet2!$A$2:$R$3432,17,0)</f>
        <v>MBLHA10AWDHG486G17</v>
      </c>
    </row>
    <row r="731" ht="15.75" customHeight="1">
      <c r="A731" s="3" t="s">
        <v>754</v>
      </c>
      <c r="B731" s="4" t="str">
        <f>VLOOKUP(A731,Sheet2!$A$2:$R$3432,2,0)</f>
        <v>2025-01-24 16:37:41</v>
      </c>
      <c r="C731" s="5" t="s">
        <v>25</v>
      </c>
      <c r="D731" s="6" t="s">
        <v>25</v>
      </c>
      <c r="E731" s="7">
        <f>VLOOKUP(A731,Sheet2!$A$2:$R$3432,4,0)</f>
        <v>7507293704</v>
      </c>
      <c r="F731" s="7" t="str">
        <f>VLOOKUP(A731,Sheet2!$A$2:$R$3432,3,0)</f>
        <v>JAYPAL DHANGAR</v>
      </c>
      <c r="G731" s="5" t="s">
        <v>25</v>
      </c>
      <c r="H731" s="5" t="s">
        <v>25</v>
      </c>
      <c r="I731" s="5" t="s">
        <v>25</v>
      </c>
      <c r="J731" s="5" t="s">
        <v>25</v>
      </c>
      <c r="K731" s="7" t="str">
        <f>VLOOKUP(A731,Sheet2!$A$2:$R$3432,6,0)</f>
        <v>Honda Shine </v>
      </c>
      <c r="L731" s="5" t="s">
        <v>25</v>
      </c>
      <c r="M731" s="7" t="str">
        <f>VLOOKUP(A731,Sheet2!$A$2:$R$3432,5,0)</f>
        <v>MH18AV5881</v>
      </c>
      <c r="N731" s="5" t="s">
        <v>25</v>
      </c>
      <c r="O731" s="5" t="s">
        <v>25</v>
      </c>
      <c r="P731" s="6" t="s">
        <v>25</v>
      </c>
      <c r="Q731" s="5" t="s">
        <v>25</v>
      </c>
      <c r="R731" s="5" t="s">
        <v>25</v>
      </c>
      <c r="S731" s="5" t="str">
        <f>VLOOKUP(A731,Sheet2!$A$2:$R$3432,18,0)</f>
        <v>JC65ET0265304</v>
      </c>
      <c r="T731" s="7" t="str">
        <f>VLOOKUP(A731,Sheet2!$A$2:$R$3432,17,0)</f>
        <v>ME4JF651PGT179930</v>
      </c>
    </row>
    <row r="732" ht="15.75" customHeight="1">
      <c r="A732" s="3" t="s">
        <v>755</v>
      </c>
      <c r="B732" s="4" t="str">
        <f>VLOOKUP(A732,Sheet2!$A$2:$R$3432,2,0)</f>
        <v>2025-01-24 16:50:12</v>
      </c>
      <c r="C732" s="5" t="s">
        <v>25</v>
      </c>
      <c r="D732" s="6" t="s">
        <v>25</v>
      </c>
      <c r="E732" s="7">
        <f>VLOOKUP(A732,Sheet2!$A$2:$R$3432,4,0)</f>
        <v>9604879914</v>
      </c>
      <c r="F732" s="7" t="str">
        <f>VLOOKUP(A732,Sheet2!$A$2:$R$3432,3,0)</f>
        <v>Abhijeet Kamthe</v>
      </c>
      <c r="G732" s="5" t="s">
        <v>25</v>
      </c>
      <c r="H732" s="5" t="s">
        <v>25</v>
      </c>
      <c r="I732" s="5" t="s">
        <v>25</v>
      </c>
      <c r="J732" s="5" t="s">
        <v>25</v>
      </c>
      <c r="K732" s="7" t="str">
        <f>VLOOKUP(A732,Sheet2!$A$2:$R$3432,6,0)</f>
        <v>Hero Splendor </v>
      </c>
      <c r="L732" s="5" t="s">
        <v>25</v>
      </c>
      <c r="M732" s="7" t="str">
        <f>VLOOKUP(A732,Sheet2!$A$2:$R$3432,5,0)</f>
        <v>MH14JK9068</v>
      </c>
      <c r="N732" s="5" t="s">
        <v>25</v>
      </c>
      <c r="O732" s="5" t="s">
        <v>25</v>
      </c>
      <c r="P732" s="6" t="s">
        <v>25</v>
      </c>
      <c r="Q732" s="5" t="s">
        <v>25</v>
      </c>
      <c r="R732" s="5" t="s">
        <v>25</v>
      </c>
      <c r="S732" s="5" t="str">
        <f>VLOOKUP(A732,Sheet2!$A$2:$R$3432,18,0)</f>
        <v>HA11EMSA09492</v>
      </c>
      <c r="T732" s="7" t="str">
        <f>VLOOKUP(A732,Sheet2!$A$2:$R$3432,17,0)</f>
        <v>MBLHAW125M5A42968</v>
      </c>
    </row>
    <row r="733" ht="15.75" customHeight="1">
      <c r="A733" s="3" t="s">
        <v>756</v>
      </c>
      <c r="B733" s="4" t="str">
        <f>VLOOKUP(A733,Sheet2!$A$2:$R$3432,2,0)</f>
        <v>2025-01-24 17:00:40</v>
      </c>
      <c r="C733" s="5" t="s">
        <v>25</v>
      </c>
      <c r="D733" s="6" t="s">
        <v>25</v>
      </c>
      <c r="E733" s="7">
        <f>VLOOKUP(A733,Sheet2!$A$2:$R$3432,4,0)</f>
        <v>9850554482</v>
      </c>
      <c r="F733" s="7" t="str">
        <f>VLOOKUP(A733,Sheet2!$A$2:$R$3432,3,0)</f>
        <v>Bharat Narkhede</v>
      </c>
      <c r="G733" s="5" t="s">
        <v>25</v>
      </c>
      <c r="H733" s="5" t="s">
        <v>25</v>
      </c>
      <c r="I733" s="5" t="s">
        <v>25</v>
      </c>
      <c r="J733" s="5" t="s">
        <v>25</v>
      </c>
      <c r="K733" s="7" t="str">
        <f>VLOOKUP(A733,Sheet2!$A$2:$R$3432,6,0)</f>
        <v>Hero Maestro Dash/Edge</v>
      </c>
      <c r="L733" s="5" t="s">
        <v>25</v>
      </c>
      <c r="M733" s="7" t="str">
        <f>VLOOKUP(A733,Sheet2!$A$2:$R$3432,5,0)</f>
        <v>MH14GJ3126</v>
      </c>
      <c r="N733" s="5" t="s">
        <v>25</v>
      </c>
      <c r="O733" s="5" t="s">
        <v>25</v>
      </c>
      <c r="P733" s="6" t="s">
        <v>25</v>
      </c>
      <c r="Q733" s="5" t="s">
        <v>25</v>
      </c>
      <c r="R733" s="5" t="s">
        <v>25</v>
      </c>
      <c r="S733" s="5" t="str">
        <f>VLOOKUP(A733,Sheet2!$A$2:$R$3432,18,0)</f>
        <v>JF33ABH4303958</v>
      </c>
      <c r="T733" s="7" t="str">
        <f>VLOOKUP(A733,Sheet2!$A$2:$R$3432,17,0)</f>
        <v/>
      </c>
    </row>
    <row r="734" ht="15.75" customHeight="1">
      <c r="A734" s="3" t="s">
        <v>757</v>
      </c>
      <c r="B734" s="4" t="str">
        <f>VLOOKUP(A734,Sheet2!$A$2:$R$3432,2,0)</f>
        <v>2025-01-24 17:12:25</v>
      </c>
      <c r="C734" s="5" t="s">
        <v>25</v>
      </c>
      <c r="D734" s="6" t="s">
        <v>25</v>
      </c>
      <c r="E734" s="7">
        <f>VLOOKUP(A734,Sheet2!$A$2:$R$3432,4,0)</f>
        <v>8975764090</v>
      </c>
      <c r="F734" s="7" t="str">
        <f>VLOOKUP(A734,Sheet2!$A$2:$R$3432,3,0)</f>
        <v>Bhargav</v>
      </c>
      <c r="G734" s="5" t="s">
        <v>25</v>
      </c>
      <c r="H734" s="5" t="s">
        <v>25</v>
      </c>
      <c r="I734" s="5" t="s">
        <v>25</v>
      </c>
      <c r="J734" s="5" t="s">
        <v>25</v>
      </c>
      <c r="K734" s="7" t="str">
        <f>VLOOKUP(A734,Sheet2!$A$2:$R$3432,6,0)</f>
        <v>Honda Dio </v>
      </c>
      <c r="L734" s="5" t="s">
        <v>25</v>
      </c>
      <c r="M734" s="7" t="str">
        <f>VLOOKUP(A734,Sheet2!$A$2:$R$3432,5,0)</f>
        <v>MH15EZ1487</v>
      </c>
      <c r="N734" s="5" t="s">
        <v>25</v>
      </c>
      <c r="O734" s="5" t="s">
        <v>25</v>
      </c>
      <c r="P734" s="6" t="s">
        <v>25</v>
      </c>
      <c r="Q734" s="5" t="s">
        <v>25</v>
      </c>
      <c r="R734" s="5" t="s">
        <v>25</v>
      </c>
      <c r="S734" s="5" t="str">
        <f>VLOOKUP(A734,Sheet2!$A$2:$R$3432,18,0)</f>
        <v>JP30E708998</v>
      </c>
      <c r="T734" s="7" t="str">
        <f>VLOOKUP(A734,Sheet2!$A$2:$R$3432,17,0)</f>
        <v>ME4JF303F7019040</v>
      </c>
    </row>
    <row r="735" ht="15.75" customHeight="1">
      <c r="A735" s="3" t="s">
        <v>758</v>
      </c>
      <c r="B735" s="4" t="str">
        <f>VLOOKUP(A735,Sheet2!$A$2:$R$3432,2,0)</f>
        <v>2025-01-24 18:10:56</v>
      </c>
      <c r="C735" s="5" t="s">
        <v>25</v>
      </c>
      <c r="D735" s="6" t="s">
        <v>25</v>
      </c>
      <c r="E735" s="7">
        <f>VLOOKUP(A735,Sheet2!$A$2:$R$3432,4,0)</f>
        <v>9970886964</v>
      </c>
      <c r="F735" s="7" t="str">
        <f>VLOOKUP(A735,Sheet2!$A$2:$R$3432,3,0)</f>
        <v>ASHOK YADAV</v>
      </c>
      <c r="G735" s="5" t="s">
        <v>25</v>
      </c>
      <c r="H735" s="5" t="s">
        <v>25</v>
      </c>
      <c r="I735" s="5" t="s">
        <v>25</v>
      </c>
      <c r="J735" s="5" t="s">
        <v>25</v>
      </c>
      <c r="K735" s="7" t="str">
        <f>VLOOKUP(A735,Sheet2!$A$2:$R$3432,6,0)</f>
        <v>Honda Dio </v>
      </c>
      <c r="L735" s="5" t="s">
        <v>25</v>
      </c>
      <c r="M735" s="7" t="str">
        <f>VLOOKUP(A735,Sheet2!$A$2:$R$3432,5,0)</f>
        <v>MH14BL8848</v>
      </c>
      <c r="N735" s="5" t="s">
        <v>25</v>
      </c>
      <c r="O735" s="5" t="s">
        <v>25</v>
      </c>
      <c r="P735" s="6" t="s">
        <v>25</v>
      </c>
      <c r="Q735" s="5" t="s">
        <v>25</v>
      </c>
      <c r="R735" s="5" t="s">
        <v>25</v>
      </c>
      <c r="S735" s="7" t="str">
        <f>VLOOKUP(A735,Sheet2!$A$2:$R$3432,18,0)</f>
        <v/>
      </c>
      <c r="T735" s="7" t="str">
        <f>VLOOKUP(A735,Sheet2!$A$2:$R$3432,17,0)</f>
        <v/>
      </c>
    </row>
    <row r="736" ht="15.75" customHeight="1">
      <c r="A736" s="3" t="s">
        <v>759</v>
      </c>
      <c r="B736" s="4" t="str">
        <f>VLOOKUP(A736,Sheet2!$A$2:$R$3432,2,0)</f>
        <v>2025-06-12 21:45:58</v>
      </c>
      <c r="C736" s="5" t="s">
        <v>25</v>
      </c>
      <c r="D736" s="6" t="s">
        <v>25</v>
      </c>
      <c r="E736" s="7">
        <f>VLOOKUP(A736,Sheet2!$A$2:$R$3432,4,0)</f>
        <v>9890252202</v>
      </c>
      <c r="F736" s="7" t="str">
        <f>VLOOKUP(A736,Sheet2!$A$2:$R$3432,3,0)</f>
        <v>Milind Borawke</v>
      </c>
      <c r="G736" s="5" t="s">
        <v>25</v>
      </c>
      <c r="H736" s="5" t="s">
        <v>25</v>
      </c>
      <c r="I736" s="5" t="s">
        <v>25</v>
      </c>
      <c r="J736" s="5" t="s">
        <v>25</v>
      </c>
      <c r="K736" s="7" t="str">
        <f>VLOOKUP(A736,Sheet2!$A$2:$R$3432,6,0)</f>
        <v>Yamaha Fascino No Data</v>
      </c>
      <c r="L736" s="5" t="s">
        <v>25</v>
      </c>
      <c r="M736" s="7" t="str">
        <f>VLOOKUP(A736,Sheet2!$A$2:$R$3432,5,0)</f>
        <v>MH12NY8650</v>
      </c>
      <c r="N736" s="5" t="s">
        <v>25</v>
      </c>
      <c r="O736" s="5" t="s">
        <v>25</v>
      </c>
      <c r="P736" s="6" t="s">
        <v>25</v>
      </c>
      <c r="Q736" s="5" t="s">
        <v>25</v>
      </c>
      <c r="R736" s="5" t="s">
        <v>25</v>
      </c>
      <c r="S736" s="7" t="str">
        <f>VLOOKUP(A736,Sheet2!$A$2:$R$3432,18,0)</f>
        <v/>
      </c>
      <c r="T736" s="7" t="str">
        <f>VLOOKUP(A736,Sheet2!$A$2:$R$3432,17,0)</f>
        <v/>
      </c>
    </row>
    <row r="737" ht="15.75" customHeight="1">
      <c r="A737" s="3" t="s">
        <v>760</v>
      </c>
      <c r="B737" s="4" t="str">
        <f>VLOOKUP(A737,Sheet2!$A$2:$R$3432,2,0)</f>
        <v>2025-06-12 21:51:01</v>
      </c>
      <c r="C737" s="5" t="s">
        <v>25</v>
      </c>
      <c r="D737" s="6" t="s">
        <v>25</v>
      </c>
      <c r="E737" s="7">
        <f>VLOOKUP(A737,Sheet2!$A$2:$R$3432,4,0)</f>
        <v>8087112204</v>
      </c>
      <c r="F737" s="7" t="str">
        <f>VLOOKUP(A737,Sheet2!$A$2:$R$3432,3,0)</f>
        <v>Harman</v>
      </c>
      <c r="G737" s="5" t="s">
        <v>25</v>
      </c>
      <c r="H737" s="5" t="s">
        <v>25</v>
      </c>
      <c r="I737" s="5" t="s">
        <v>25</v>
      </c>
      <c r="J737" s="5" t="s">
        <v>25</v>
      </c>
      <c r="K737" s="7" t="str">
        <f>VLOOKUP(A737,Sheet2!$A$2:$R$3432,6,0)</f>
        <v>Suzuki Access </v>
      </c>
      <c r="L737" s="5" t="s">
        <v>25</v>
      </c>
      <c r="M737" s="7" t="str">
        <f>VLOOKUP(A737,Sheet2!$A$2:$R$3432,5,0)</f>
        <v>MH14KE0187</v>
      </c>
      <c r="N737" s="5" t="s">
        <v>25</v>
      </c>
      <c r="O737" s="5" t="s">
        <v>25</v>
      </c>
      <c r="P737" s="6" t="s">
        <v>25</v>
      </c>
      <c r="Q737" s="5" t="s">
        <v>25</v>
      </c>
      <c r="R737" s="5" t="s">
        <v>25</v>
      </c>
      <c r="S737" s="7" t="str">
        <f>VLOOKUP(A737,Sheet2!$A$2:$R$3432,18,0)</f>
        <v/>
      </c>
      <c r="T737" s="7" t="str">
        <f>VLOOKUP(A737,Sheet2!$A$2:$R$3432,17,0)</f>
        <v/>
      </c>
    </row>
    <row r="738" ht="15.75" customHeight="1">
      <c r="A738" s="3" t="s">
        <v>761</v>
      </c>
      <c r="B738" s="4" t="str">
        <f>VLOOKUP(A738,Sheet2!$A$2:$R$3432,2,0)</f>
        <v>2025-06-12 21:58:31</v>
      </c>
      <c r="C738" s="5" t="s">
        <v>25</v>
      </c>
      <c r="D738" s="6" t="s">
        <v>25</v>
      </c>
      <c r="E738" s="7">
        <f>VLOOKUP(A738,Sheet2!$A$2:$R$3432,4,0)</f>
        <v>7879180214</v>
      </c>
      <c r="F738" s="7" t="str">
        <f>VLOOKUP(A738,Sheet2!$A$2:$R$3432,3,0)</f>
        <v>Mayank</v>
      </c>
      <c r="G738" s="5" t="s">
        <v>25</v>
      </c>
      <c r="H738" s="5" t="s">
        <v>25</v>
      </c>
      <c r="I738" s="5" t="s">
        <v>25</v>
      </c>
      <c r="J738" s="5" t="s">
        <v>25</v>
      </c>
      <c r="K738" s="7" t="str">
        <f>VLOOKUP(A738,Sheet2!$A$2:$R$3432,6,0)</f>
        <v>TVS Star Sports</v>
      </c>
      <c r="L738" s="5" t="s">
        <v>25</v>
      </c>
      <c r="M738" s="7" t="str">
        <f>VLOOKUP(A738,Sheet2!$A$2:$R$3432,5,0)</f>
        <v>MP43DP7376</v>
      </c>
      <c r="N738" s="5" t="s">
        <v>25</v>
      </c>
      <c r="O738" s="5" t="s">
        <v>25</v>
      </c>
      <c r="P738" s="6" t="s">
        <v>25</v>
      </c>
      <c r="Q738" s="5" t="s">
        <v>25</v>
      </c>
      <c r="R738" s="5" t="s">
        <v>25</v>
      </c>
      <c r="S738" s="7" t="str">
        <f>VLOOKUP(A738,Sheet2!$A$2:$R$3432,18,0)</f>
        <v/>
      </c>
      <c r="T738" s="7" t="str">
        <f>VLOOKUP(A738,Sheet2!$A$2:$R$3432,17,0)</f>
        <v/>
      </c>
    </row>
    <row r="739" ht="15.75" customHeight="1">
      <c r="A739" s="3" t="s">
        <v>762</v>
      </c>
      <c r="B739" s="4" t="str">
        <f>VLOOKUP(A739,Sheet2!$A$2:$R$3432,2,0)</f>
        <v>2025-06-12 22:02:39</v>
      </c>
      <c r="C739" s="5" t="s">
        <v>25</v>
      </c>
      <c r="D739" s="6" t="s">
        <v>25</v>
      </c>
      <c r="E739" s="7">
        <f>VLOOKUP(A739,Sheet2!$A$2:$R$3432,4,0)</f>
        <v>9604687980</v>
      </c>
      <c r="F739" s="7" t="str">
        <f>VLOOKUP(A739,Sheet2!$A$2:$R$3432,3,0)</f>
        <v>Pramod</v>
      </c>
      <c r="G739" s="5" t="s">
        <v>25</v>
      </c>
      <c r="H739" s="5" t="s">
        <v>25</v>
      </c>
      <c r="I739" s="5" t="s">
        <v>25</v>
      </c>
      <c r="J739" s="5" t="s">
        <v>25</v>
      </c>
      <c r="K739" s="7" t="str">
        <f>VLOOKUP(A739,Sheet2!$A$2:$R$3432,6,0)</f>
        <v>Hero Passion Pro</v>
      </c>
      <c r="L739" s="5" t="s">
        <v>25</v>
      </c>
      <c r="M739" s="7" t="str">
        <f>VLOOKUP(A739,Sheet2!$A$2:$R$3432,5,0)</f>
        <v>MH14DX8245</v>
      </c>
      <c r="N739" s="5" t="s">
        <v>25</v>
      </c>
      <c r="O739" s="5" t="s">
        <v>25</v>
      </c>
      <c r="P739" s="6" t="s">
        <v>25</v>
      </c>
      <c r="Q739" s="5" t="s">
        <v>25</v>
      </c>
      <c r="R739" s="5" t="s">
        <v>25</v>
      </c>
      <c r="S739" s="5" t="str">
        <f>VLOOKUP(A739,Sheet2!$A$2:$R$3432,18,0)</f>
        <v>HA105NDHG58308</v>
      </c>
      <c r="T739" s="7" t="str">
        <f>VLOOKUP(A739,Sheet2!$A$2:$R$3432,17,0)</f>
        <v>MBLHA10AWDH0194</v>
      </c>
    </row>
    <row r="740" ht="15.75" customHeight="1">
      <c r="A740" s="3" t="s">
        <v>763</v>
      </c>
      <c r="B740" s="4" t="str">
        <f>VLOOKUP(A740,Sheet2!$A$2:$R$3432,2,0)</f>
        <v>2025-06-12 22:06:31</v>
      </c>
      <c r="C740" s="5" t="s">
        <v>25</v>
      </c>
      <c r="D740" s="6" t="s">
        <v>25</v>
      </c>
      <c r="E740" s="7">
        <f>VLOOKUP(A740,Sheet2!$A$2:$R$3432,4,0)</f>
        <v>8793379595</v>
      </c>
      <c r="F740" s="7" t="str">
        <f>VLOOKUP(A740,Sheet2!$A$2:$R$3432,3,0)</f>
        <v>Ganesh Patkar</v>
      </c>
      <c r="G740" s="5" t="s">
        <v>25</v>
      </c>
      <c r="H740" s="5" t="s">
        <v>25</v>
      </c>
      <c r="I740" s="5" t="s">
        <v>25</v>
      </c>
      <c r="J740" s="5" t="s">
        <v>25</v>
      </c>
      <c r="K740" s="7" t="str">
        <f>VLOOKUP(A740,Sheet2!$A$2:$R$3432,6,0)</f>
        <v>TVS Scooty PEP</v>
      </c>
      <c r="L740" s="5" t="s">
        <v>25</v>
      </c>
      <c r="M740" s="7" t="str">
        <f>VLOOKUP(A740,Sheet2!$A$2:$R$3432,5,0)</f>
        <v>MH14AY2827</v>
      </c>
      <c r="N740" s="5" t="s">
        <v>25</v>
      </c>
      <c r="O740" s="5" t="s">
        <v>25</v>
      </c>
      <c r="P740" s="6" t="s">
        <v>25</v>
      </c>
      <c r="Q740" s="5" t="s">
        <v>25</v>
      </c>
      <c r="R740" s="5" t="s">
        <v>25</v>
      </c>
      <c r="S740" s="7" t="str">
        <f>VLOOKUP(A740,Sheet2!$A$2:$R$3432,18,0)</f>
        <v/>
      </c>
      <c r="T740" s="7" t="str">
        <f>VLOOKUP(A740,Sheet2!$A$2:$R$3432,17,0)</f>
        <v/>
      </c>
    </row>
    <row r="741" ht="15.75" customHeight="1">
      <c r="A741" s="3" t="s">
        <v>764</v>
      </c>
      <c r="B741" s="4" t="str">
        <f>VLOOKUP(A741,Sheet2!$A$2:$R$3432,2,0)</f>
        <v>2025-06-12 22:09:36</v>
      </c>
      <c r="C741" s="5" t="s">
        <v>25</v>
      </c>
      <c r="D741" s="6" t="s">
        <v>25</v>
      </c>
      <c r="E741" s="7">
        <f>VLOOKUP(A741,Sheet2!$A$2:$R$3432,4,0)</f>
        <v>9011298493</v>
      </c>
      <c r="F741" s="7" t="str">
        <f>VLOOKUP(A741,Sheet2!$A$2:$R$3432,3,0)</f>
        <v>Pratik Deshmukh </v>
      </c>
      <c r="G741" s="5" t="s">
        <v>25</v>
      </c>
      <c r="H741" s="5" t="s">
        <v>25</v>
      </c>
      <c r="I741" s="5" t="s">
        <v>25</v>
      </c>
      <c r="J741" s="5" t="s">
        <v>25</v>
      </c>
      <c r="K741" s="7" t="str">
        <f>VLOOKUP(A741,Sheet2!$A$2:$R$3432,6,0)</f>
        <v>Honda Unicorn 160</v>
      </c>
      <c r="L741" s="5" t="s">
        <v>25</v>
      </c>
      <c r="M741" s="7" t="str">
        <f>VLOOKUP(A741,Sheet2!$A$2:$R$3432,5,0)</f>
        <v>MH21AY7159</v>
      </c>
      <c r="N741" s="5" t="s">
        <v>25</v>
      </c>
      <c r="O741" s="5" t="s">
        <v>25</v>
      </c>
      <c r="P741" s="6" t="s">
        <v>25</v>
      </c>
      <c r="Q741" s="5" t="s">
        <v>25</v>
      </c>
      <c r="R741" s="5" t="s">
        <v>25</v>
      </c>
      <c r="S741" s="7" t="str">
        <f>VLOOKUP(A741,Sheet2!$A$2:$R$3432,18,0)</f>
        <v/>
      </c>
      <c r="T741" s="7" t="str">
        <f>VLOOKUP(A741,Sheet2!$A$2:$R$3432,17,0)</f>
        <v/>
      </c>
    </row>
    <row r="742" ht="15.75" customHeight="1">
      <c r="A742" s="3" t="s">
        <v>765</v>
      </c>
      <c r="B742" s="4" t="str">
        <f>VLOOKUP(A742,Sheet2!$A$2:$R$3432,2,0)</f>
        <v>2025-06-12 22:53:05</v>
      </c>
      <c r="C742" s="5" t="s">
        <v>25</v>
      </c>
      <c r="D742" s="6" t="s">
        <v>25</v>
      </c>
      <c r="E742" s="7">
        <f>VLOOKUP(A742,Sheet2!$A$2:$R$3432,4,0)</f>
        <v>8308547775</v>
      </c>
      <c r="F742" s="7" t="str">
        <f>VLOOKUP(A742,Sheet2!$A$2:$R$3432,3,0)</f>
        <v>Anil Nanaware</v>
      </c>
      <c r="G742" s="5" t="s">
        <v>25</v>
      </c>
      <c r="H742" s="5" t="s">
        <v>25</v>
      </c>
      <c r="I742" s="5" t="s">
        <v>25</v>
      </c>
      <c r="J742" s="5" t="s">
        <v>25</v>
      </c>
      <c r="K742" s="7" t="str">
        <f>VLOOKUP(A742,Sheet2!$A$2:$R$3432,6,0)</f>
        <v>Honda Shine </v>
      </c>
      <c r="L742" s="5" t="s">
        <v>25</v>
      </c>
      <c r="M742" s="7" t="str">
        <f>VLOOKUP(A742,Sheet2!$A$2:$R$3432,5,0)</f>
        <v>MH12SN7370</v>
      </c>
      <c r="N742" s="5" t="s">
        <v>25</v>
      </c>
      <c r="O742" s="5" t="s">
        <v>25</v>
      </c>
      <c r="P742" s="6" t="s">
        <v>25</v>
      </c>
      <c r="Q742" s="5" t="s">
        <v>25</v>
      </c>
      <c r="R742" s="5" t="s">
        <v>25</v>
      </c>
      <c r="S742" s="7" t="str">
        <f>VLOOKUP(A742,Sheet2!$A$2:$R$3432,18,0)</f>
        <v/>
      </c>
      <c r="T742" s="7" t="str">
        <f>VLOOKUP(A742,Sheet2!$A$2:$R$3432,17,0)</f>
        <v/>
      </c>
    </row>
    <row r="743" ht="15.75" customHeight="1">
      <c r="A743" s="3" t="s">
        <v>766</v>
      </c>
      <c r="B743" s="4" t="str">
        <f>VLOOKUP(A743,Sheet2!$A$2:$R$3432,2,0)</f>
        <v>2025-06-12 22:54:21</v>
      </c>
      <c r="C743" s="5" t="s">
        <v>25</v>
      </c>
      <c r="D743" s="6" t="s">
        <v>25</v>
      </c>
      <c r="E743" s="7">
        <f>VLOOKUP(A743,Sheet2!$A$2:$R$3432,4,0)</f>
        <v>9404930002</v>
      </c>
      <c r="F743" s="7" t="str">
        <f>VLOOKUP(A743,Sheet2!$A$2:$R$3432,3,0)</f>
        <v>Laxman Patil </v>
      </c>
      <c r="G743" s="5" t="s">
        <v>25</v>
      </c>
      <c r="H743" s="5" t="s">
        <v>25</v>
      </c>
      <c r="I743" s="5" t="s">
        <v>25</v>
      </c>
      <c r="J743" s="5" t="s">
        <v>25</v>
      </c>
      <c r="K743" s="7" t="str">
        <f>VLOOKUP(A743,Sheet2!$A$2:$R$3432,6,0)</f>
        <v>TVS Jupiter No Data</v>
      </c>
      <c r="L743" s="5" t="s">
        <v>25</v>
      </c>
      <c r="M743" s="7" t="str">
        <f>VLOOKUP(A743,Sheet2!$A$2:$R$3432,5,0)</f>
        <v>MH12MH5756</v>
      </c>
      <c r="N743" s="5" t="s">
        <v>25</v>
      </c>
      <c r="O743" s="5" t="s">
        <v>25</v>
      </c>
      <c r="P743" s="6" t="s">
        <v>25</v>
      </c>
      <c r="Q743" s="5" t="s">
        <v>25</v>
      </c>
      <c r="R743" s="5" t="s">
        <v>25</v>
      </c>
      <c r="S743" s="7" t="str">
        <f>VLOOKUP(A743,Sheet2!$A$2:$R$3432,18,0)</f>
        <v/>
      </c>
      <c r="T743" s="7" t="str">
        <f>VLOOKUP(A743,Sheet2!$A$2:$R$3432,17,0)</f>
        <v/>
      </c>
    </row>
    <row r="744" ht="15.75" customHeight="1">
      <c r="A744" s="3" t="s">
        <v>767</v>
      </c>
      <c r="B744" s="4" t="str">
        <f>VLOOKUP(A744,Sheet2!$A$2:$R$3432,2,0)</f>
        <v>2025-06-12 22:54:49</v>
      </c>
      <c r="C744" s="5" t="s">
        <v>25</v>
      </c>
      <c r="D744" s="6" t="s">
        <v>25</v>
      </c>
      <c r="E744" s="7">
        <f>VLOOKUP(A744,Sheet2!$A$2:$R$3432,4,0)</f>
        <v>9730183583</v>
      </c>
      <c r="F744" s="7" t="str">
        <f>VLOOKUP(A744,Sheet2!$A$2:$R$3432,3,0)</f>
        <v>Chetan Khandare</v>
      </c>
      <c r="G744" s="5" t="s">
        <v>25</v>
      </c>
      <c r="H744" s="5" t="s">
        <v>25</v>
      </c>
      <c r="I744" s="5" t="s">
        <v>25</v>
      </c>
      <c r="J744" s="5" t="s">
        <v>25</v>
      </c>
      <c r="K744" s="7" t="str">
        <f>VLOOKUP(A744,Sheet2!$A$2:$R$3432,6,0)</f>
        <v>Suzuki Access 125</v>
      </c>
      <c r="L744" s="5" t="s">
        <v>25</v>
      </c>
      <c r="M744" s="7" t="str">
        <f>VLOOKUP(A744,Sheet2!$A$2:$R$3432,5,0)</f>
        <v>MH14GP6084</v>
      </c>
      <c r="N744" s="5" t="s">
        <v>25</v>
      </c>
      <c r="O744" s="5" t="s">
        <v>25</v>
      </c>
      <c r="P744" s="6" t="s">
        <v>25</v>
      </c>
      <c r="Q744" s="5" t="s">
        <v>25</v>
      </c>
      <c r="R744" s="5" t="s">
        <v>25</v>
      </c>
      <c r="S744" s="5" t="str">
        <f>VLOOKUP(A744,Sheet2!$A$2:$R$3432,18,0)</f>
        <v>AF211429832</v>
      </c>
      <c r="T744" s="7" t="str">
        <f>VLOOKUP(A744,Sheet2!$A$2:$R$3432,17,0)</f>
        <v>MB8DP11AJH8553051</v>
      </c>
    </row>
    <row r="745" ht="15.75" customHeight="1">
      <c r="A745" s="3" t="s">
        <v>768</v>
      </c>
      <c r="B745" s="4" t="str">
        <f>VLOOKUP(A745,Sheet2!$A$2:$R$3432,2,0)</f>
        <v>2025-06-12 22:55:33</v>
      </c>
      <c r="C745" s="5" t="s">
        <v>25</v>
      </c>
      <c r="D745" s="6" t="s">
        <v>25</v>
      </c>
      <c r="E745" s="7">
        <f>VLOOKUP(A745,Sheet2!$A$2:$R$3432,4,0)</f>
        <v>9850601122</v>
      </c>
      <c r="F745" s="7" t="str">
        <f>VLOOKUP(A745,Sheet2!$A$2:$R$3432,3,0)</f>
        <v>Arun Bende</v>
      </c>
      <c r="G745" s="5" t="s">
        <v>25</v>
      </c>
      <c r="H745" s="5" t="s">
        <v>25</v>
      </c>
      <c r="I745" s="5" t="s">
        <v>25</v>
      </c>
      <c r="J745" s="5" t="s">
        <v>25</v>
      </c>
      <c r="K745" s="7" t="str">
        <f>VLOOKUP(A745,Sheet2!$A$2:$R$3432,6,0)</f>
        <v>Honda Activa 5G</v>
      </c>
      <c r="L745" s="5" t="s">
        <v>25</v>
      </c>
      <c r="M745" s="7" t="str">
        <f>VLOOKUP(A745,Sheet2!$A$2:$R$3432,5,0)</f>
        <v>KA01JE8845</v>
      </c>
      <c r="N745" s="5" t="s">
        <v>25</v>
      </c>
      <c r="O745" s="5" t="s">
        <v>25</v>
      </c>
      <c r="P745" s="6" t="s">
        <v>25</v>
      </c>
      <c r="Q745" s="5" t="s">
        <v>25</v>
      </c>
      <c r="R745" s="5" t="s">
        <v>25</v>
      </c>
      <c r="S745" s="7" t="str">
        <f>VLOOKUP(A745,Sheet2!$A$2:$R$3432,18,0)</f>
        <v/>
      </c>
      <c r="T745" s="7" t="str">
        <f>VLOOKUP(A745,Sheet2!$A$2:$R$3432,17,0)</f>
        <v/>
      </c>
    </row>
    <row r="746" ht="15.75" customHeight="1">
      <c r="A746" s="3" t="s">
        <v>769</v>
      </c>
      <c r="B746" s="4" t="str">
        <f>VLOOKUP(A746,Sheet2!$A$2:$R$3432,2,0)</f>
        <v>2025-06-12 22:59:20</v>
      </c>
      <c r="C746" s="5" t="s">
        <v>25</v>
      </c>
      <c r="D746" s="6" t="s">
        <v>25</v>
      </c>
      <c r="E746" s="7">
        <f>VLOOKUP(A746,Sheet2!$A$2:$R$3432,4,0)</f>
        <v>9011350595</v>
      </c>
      <c r="F746" s="7" t="str">
        <f>VLOOKUP(A746,Sheet2!$A$2:$R$3432,3,0)</f>
        <v>Savita</v>
      </c>
      <c r="G746" s="5" t="s">
        <v>25</v>
      </c>
      <c r="H746" s="5" t="s">
        <v>25</v>
      </c>
      <c r="I746" s="5" t="s">
        <v>25</v>
      </c>
      <c r="J746" s="5" t="s">
        <v>25</v>
      </c>
      <c r="K746" s="7" t="str">
        <f>VLOOKUP(A746,Sheet2!$A$2:$R$3432,6,0)</f>
        <v>TVS Jupiter </v>
      </c>
      <c r="L746" s="5" t="s">
        <v>25</v>
      </c>
      <c r="M746" s="7" t="str">
        <f>VLOOKUP(A746,Sheet2!$A$2:$R$3432,5,0)</f>
        <v>MH14HJ9348</v>
      </c>
      <c r="N746" s="5" t="s">
        <v>25</v>
      </c>
      <c r="O746" s="5" t="s">
        <v>25</v>
      </c>
      <c r="P746" s="6" t="s">
        <v>25</v>
      </c>
      <c r="Q746" s="5" t="s">
        <v>25</v>
      </c>
      <c r="R746" s="5" t="s">
        <v>25</v>
      </c>
      <c r="S746" s="7" t="str">
        <f>VLOOKUP(A746,Sheet2!$A$2:$R$3432,18,0)</f>
        <v/>
      </c>
      <c r="T746" s="7" t="str">
        <f>VLOOKUP(A746,Sheet2!$A$2:$R$3432,17,0)</f>
        <v/>
      </c>
    </row>
    <row r="747" ht="15.75" customHeight="1">
      <c r="A747" s="3" t="s">
        <v>770</v>
      </c>
      <c r="B747" s="4" t="str">
        <f>VLOOKUP(A747,Sheet2!$A$2:$R$3432,2,0)</f>
        <v>2025-06-12 23:00:33</v>
      </c>
      <c r="C747" s="5" t="s">
        <v>25</v>
      </c>
      <c r="D747" s="6" t="s">
        <v>25</v>
      </c>
      <c r="E747" s="7">
        <f>VLOOKUP(A747,Sheet2!$A$2:$R$3432,4,0)</f>
        <v>7796898227</v>
      </c>
      <c r="F747" s="7" t="str">
        <f>VLOOKUP(A747,Sheet2!$A$2:$R$3432,3,0)</f>
        <v>Sagar</v>
      </c>
      <c r="G747" s="5" t="s">
        <v>25</v>
      </c>
      <c r="H747" s="5" t="s">
        <v>25</v>
      </c>
      <c r="I747" s="5" t="s">
        <v>25</v>
      </c>
      <c r="J747" s="5" t="s">
        <v>25</v>
      </c>
      <c r="K747" s="7" t="str">
        <f>VLOOKUP(A747,Sheet2!$A$2:$R$3432,6,0)</f>
        <v>Bajaj Pulsar 200 NS</v>
      </c>
      <c r="L747" s="5" t="s">
        <v>25</v>
      </c>
      <c r="M747" s="7" t="str">
        <f>VLOOKUP(A747,Sheet2!$A$2:$R$3432,5,0)</f>
        <v>MH20FJ7642</v>
      </c>
      <c r="N747" s="5" t="s">
        <v>25</v>
      </c>
      <c r="O747" s="5" t="s">
        <v>25</v>
      </c>
      <c r="P747" s="6" t="s">
        <v>25</v>
      </c>
      <c r="Q747" s="5" t="s">
        <v>25</v>
      </c>
      <c r="R747" s="5" t="s">
        <v>25</v>
      </c>
      <c r="S747" s="7" t="str">
        <f>VLOOKUP(A747,Sheet2!$A$2:$R$3432,18,0)</f>
        <v/>
      </c>
      <c r="T747" s="7" t="str">
        <f>VLOOKUP(A747,Sheet2!$A$2:$R$3432,17,0)</f>
        <v/>
      </c>
    </row>
    <row r="748" ht="15.75" customHeight="1">
      <c r="A748" s="3" t="s">
        <v>771</v>
      </c>
      <c r="B748" s="4" t="str">
        <f>VLOOKUP(A748,Sheet2!$A$2:$R$3432,2,0)</f>
        <v>2025-06-12 23:01:50</v>
      </c>
      <c r="C748" s="5" t="s">
        <v>25</v>
      </c>
      <c r="D748" s="6" t="s">
        <v>25</v>
      </c>
      <c r="E748" s="7">
        <f>VLOOKUP(A748,Sheet2!$A$2:$R$3432,4,0)</f>
        <v>8411814848</v>
      </c>
      <c r="F748" s="7" t="str">
        <f>VLOOKUP(A748,Sheet2!$A$2:$R$3432,3,0)</f>
        <v>Hetvi Desai</v>
      </c>
      <c r="G748" s="5" t="s">
        <v>25</v>
      </c>
      <c r="H748" s="5" t="s">
        <v>25</v>
      </c>
      <c r="I748" s="5" t="s">
        <v>25</v>
      </c>
      <c r="J748" s="5" t="s">
        <v>25</v>
      </c>
      <c r="K748" s="7" t="str">
        <f>VLOOKUP(A748,Sheet2!$A$2:$R$3432,6,0)</f>
        <v>Honda Activa 125</v>
      </c>
      <c r="L748" s="5" t="s">
        <v>25</v>
      </c>
      <c r="M748" s="7" t="str">
        <f>VLOOKUP(A748,Sheet2!$A$2:$R$3432,5,0)</f>
        <v>MH14HL5163</v>
      </c>
      <c r="N748" s="5" t="s">
        <v>25</v>
      </c>
      <c r="O748" s="5" t="s">
        <v>25</v>
      </c>
      <c r="P748" s="6" t="s">
        <v>25</v>
      </c>
      <c r="Q748" s="5" t="s">
        <v>25</v>
      </c>
      <c r="R748" s="5" t="s">
        <v>25</v>
      </c>
      <c r="S748" s="7" t="str">
        <f>VLOOKUP(A748,Sheet2!$A$2:$R$3432,18,0)</f>
        <v/>
      </c>
      <c r="T748" s="7" t="str">
        <f>VLOOKUP(A748,Sheet2!$A$2:$R$3432,17,0)</f>
        <v>ME4JF4DBKU014343</v>
      </c>
    </row>
    <row r="749" ht="15.75" customHeight="1">
      <c r="A749" s="3" t="s">
        <v>772</v>
      </c>
      <c r="B749" s="4" t="str">
        <f>VLOOKUP(A749,Sheet2!$A$2:$R$3432,2,0)</f>
        <v>2025-06-12 23:03:33</v>
      </c>
      <c r="C749" s="5" t="s">
        <v>25</v>
      </c>
      <c r="D749" s="6" t="s">
        <v>25</v>
      </c>
      <c r="E749" s="7">
        <f>VLOOKUP(A749,Sheet2!$A$2:$R$3432,4,0)</f>
        <v>9545388866</v>
      </c>
      <c r="F749" s="7" t="str">
        <f>VLOOKUP(A749,Sheet2!$A$2:$R$3432,3,0)</f>
        <v>Ashutosh </v>
      </c>
      <c r="G749" s="5" t="s">
        <v>25</v>
      </c>
      <c r="H749" s="5" t="s">
        <v>25</v>
      </c>
      <c r="I749" s="5" t="s">
        <v>25</v>
      </c>
      <c r="J749" s="5" t="s">
        <v>25</v>
      </c>
      <c r="K749" s="7" t="str">
        <f>VLOOKUP(A749,Sheet2!$A$2:$R$3432,6,0)</f>
        <v>TVS Jupiter </v>
      </c>
      <c r="L749" s="5" t="s">
        <v>25</v>
      </c>
      <c r="M749" s="7" t="str">
        <f>VLOOKUP(A749,Sheet2!$A$2:$R$3432,5,0)</f>
        <v>MH30AM681</v>
      </c>
      <c r="N749" s="5" t="s">
        <v>25</v>
      </c>
      <c r="O749" s="5" t="s">
        <v>25</v>
      </c>
      <c r="P749" s="6" t="s">
        <v>25</v>
      </c>
      <c r="Q749" s="5" t="s">
        <v>25</v>
      </c>
      <c r="R749" s="5" t="s">
        <v>25</v>
      </c>
      <c r="S749" s="7" t="str">
        <f>VLOOKUP(A749,Sheet2!$A$2:$R$3432,18,0)</f>
        <v/>
      </c>
      <c r="T749" s="7" t="str">
        <f>VLOOKUP(A749,Sheet2!$A$2:$R$3432,17,0)</f>
        <v/>
      </c>
    </row>
    <row r="750" ht="15.75" customHeight="1">
      <c r="A750" s="3" t="s">
        <v>773</v>
      </c>
      <c r="B750" s="4" t="str">
        <f>VLOOKUP(A750,Sheet2!$A$2:$R$3432,2,0)</f>
        <v>2025-06-12 21:59:26</v>
      </c>
      <c r="C750" s="5" t="s">
        <v>25</v>
      </c>
      <c r="D750" s="6" t="s">
        <v>25</v>
      </c>
      <c r="E750" s="7">
        <f>VLOOKUP(A750,Sheet2!$A$2:$R$3432,4,0)</f>
        <v>8349353392</v>
      </c>
      <c r="F750" s="7" t="str">
        <f>VLOOKUP(A750,Sheet2!$A$2:$R$3432,3,0)</f>
        <v>Vasu</v>
      </c>
      <c r="G750" s="5" t="s">
        <v>25</v>
      </c>
      <c r="H750" s="5" t="s">
        <v>25</v>
      </c>
      <c r="I750" s="5" t="s">
        <v>25</v>
      </c>
      <c r="J750" s="5" t="s">
        <v>25</v>
      </c>
      <c r="K750" s="7" t="str">
        <f>VLOOKUP(A750,Sheet2!$A$2:$R$3432,6,0)</f>
        <v>Honda Livo </v>
      </c>
      <c r="L750" s="5" t="s">
        <v>25</v>
      </c>
      <c r="M750" s="7" t="str">
        <f>VLOOKUP(A750,Sheet2!$A$2:$R$3432,5,0)</f>
        <v>MP28MZ2373</v>
      </c>
      <c r="N750" s="5" t="s">
        <v>25</v>
      </c>
      <c r="O750" s="5" t="s">
        <v>25</v>
      </c>
      <c r="P750" s="6" t="s">
        <v>25</v>
      </c>
      <c r="Q750" s="5" t="s">
        <v>25</v>
      </c>
      <c r="R750" s="5" t="s">
        <v>25</v>
      </c>
      <c r="S750" s="7" t="str">
        <f>VLOOKUP(A750,Sheet2!$A$2:$R$3432,18,0)</f>
        <v/>
      </c>
      <c r="T750" s="7" t="str">
        <f>VLOOKUP(A750,Sheet2!$A$2:$R$3432,17,0)</f>
        <v/>
      </c>
    </row>
    <row r="751" ht="15.75" customHeight="1">
      <c r="A751" s="3" t="s">
        <v>774</v>
      </c>
      <c r="B751" s="4" t="str">
        <f>VLOOKUP(A751,Sheet2!$A$2:$R$3432,2,0)</f>
        <v>2025-06-12 21:39:08</v>
      </c>
      <c r="C751" s="5" t="s">
        <v>25</v>
      </c>
      <c r="D751" s="6" t="s">
        <v>25</v>
      </c>
      <c r="E751" s="7">
        <f>VLOOKUP(A751,Sheet2!$A$2:$R$3432,4,0)</f>
        <v>7219345488</v>
      </c>
      <c r="F751" s="7" t="str">
        <f>VLOOKUP(A751,Sheet2!$A$2:$R$3432,3,0)</f>
        <v>Aniruddha Deshpande </v>
      </c>
      <c r="G751" s="5" t="s">
        <v>25</v>
      </c>
      <c r="H751" s="5" t="s">
        <v>25</v>
      </c>
      <c r="I751" s="5" t="s">
        <v>25</v>
      </c>
      <c r="J751" s="5" t="s">
        <v>25</v>
      </c>
      <c r="K751" s="7" t="str">
        <f>VLOOKUP(A751,Sheet2!$A$2:$R$3432,6,0)</f>
        <v>Honda Unicorn 160 BS6</v>
      </c>
      <c r="L751" s="5" t="s">
        <v>25</v>
      </c>
      <c r="M751" s="7" t="str">
        <f>VLOOKUP(A751,Sheet2!$A$2:$R$3432,5,0)</f>
        <v>MH28BU7292</v>
      </c>
      <c r="N751" s="5" t="s">
        <v>25</v>
      </c>
      <c r="O751" s="5" t="s">
        <v>25</v>
      </c>
      <c r="P751" s="6" t="s">
        <v>25</v>
      </c>
      <c r="Q751" s="5" t="s">
        <v>25</v>
      </c>
      <c r="R751" s="5" t="s">
        <v>25</v>
      </c>
      <c r="S751" s="5" t="str">
        <f>VLOOKUP(A751,Sheet2!$A$2:$R$3432,18,0)</f>
        <v>KC40EA3016124</v>
      </c>
      <c r="T751" s="7" t="str">
        <f>VLOOKUP(A751,Sheet2!$A$2:$R$3432,17,0)</f>
        <v>ME4BC404GPA016426</v>
      </c>
    </row>
    <row r="752" ht="15.75" customHeight="1">
      <c r="A752" s="3" t="s">
        <v>775</v>
      </c>
      <c r="B752" s="4" t="str">
        <f>VLOOKUP(A752,Sheet2!$A$2:$R$3432,2,0)</f>
        <v>2025-06-12 21:35:23</v>
      </c>
      <c r="C752" s="5" t="s">
        <v>25</v>
      </c>
      <c r="D752" s="6" t="s">
        <v>25</v>
      </c>
      <c r="E752" s="7">
        <f>VLOOKUP(A752,Sheet2!$A$2:$R$3432,4,0)</f>
        <v>9665626256</v>
      </c>
      <c r="F752" s="7" t="str">
        <f>VLOOKUP(A752,Sheet2!$A$2:$R$3432,3,0)</f>
        <v>MAYUR</v>
      </c>
      <c r="G752" s="5" t="s">
        <v>25</v>
      </c>
      <c r="H752" s="5" t="s">
        <v>25</v>
      </c>
      <c r="I752" s="5" t="s">
        <v>25</v>
      </c>
      <c r="J752" s="5" t="s">
        <v>25</v>
      </c>
      <c r="K752" s="7" t="str">
        <f>VLOOKUP(A752,Sheet2!$A$2:$R$3432,6,0)</f>
        <v>Hero Passion Pro</v>
      </c>
      <c r="L752" s="5" t="s">
        <v>25</v>
      </c>
      <c r="M752" s="7" t="str">
        <f>VLOOKUP(A752,Sheet2!$A$2:$R$3432,5,0)</f>
        <v>MH12NY6215</v>
      </c>
      <c r="N752" s="5" t="s">
        <v>25</v>
      </c>
      <c r="O752" s="5" t="s">
        <v>25</v>
      </c>
      <c r="P752" s="6" t="s">
        <v>25</v>
      </c>
      <c r="Q752" s="5" t="s">
        <v>25</v>
      </c>
      <c r="R752" s="5" t="s">
        <v>25</v>
      </c>
      <c r="S752" s="5" t="str">
        <f>VLOOKUP(A752,Sheet2!$A$2:$R$3432,18,0)</f>
        <v>HA10AGNHB710</v>
      </c>
      <c r="T752" s="7" t="str">
        <f>VLOOKUP(A752,Sheet2!$A$2:$R$3432,17,0)</f>
        <v>MBLHAR182HHB6515</v>
      </c>
    </row>
    <row r="753" ht="15.75" customHeight="1">
      <c r="A753" s="3" t="s">
        <v>776</v>
      </c>
      <c r="B753" s="4" t="str">
        <f>VLOOKUP(A753,Sheet2!$A$2:$R$3432,2,0)</f>
        <v>2025-06-12 09:10:13</v>
      </c>
      <c r="C753" s="5" t="s">
        <v>25</v>
      </c>
      <c r="D753" s="6" t="s">
        <v>25</v>
      </c>
      <c r="E753" s="7">
        <f>VLOOKUP(A753,Sheet2!$A$2:$R$3432,4,0)</f>
        <v>9561099830</v>
      </c>
      <c r="F753" s="7" t="str">
        <f>VLOOKUP(A753,Sheet2!$A$2:$R$3432,3,0)</f>
        <v>Kailash Bhatia</v>
      </c>
      <c r="G753" s="5" t="s">
        <v>25</v>
      </c>
      <c r="H753" s="5" t="s">
        <v>25</v>
      </c>
      <c r="I753" s="5" t="s">
        <v>25</v>
      </c>
      <c r="J753" s="5" t="s">
        <v>25</v>
      </c>
      <c r="K753" s="7" t="str">
        <f>VLOOKUP(A753,Sheet2!$A$2:$R$3432,6,0)</f>
        <v>TVS Wego Basic</v>
      </c>
      <c r="L753" s="5" t="s">
        <v>25</v>
      </c>
      <c r="M753" s="7" t="str">
        <f>VLOOKUP(A753,Sheet2!$A$2:$R$3432,5,0)</f>
        <v>MH14DY5871</v>
      </c>
      <c r="N753" s="5" t="s">
        <v>25</v>
      </c>
      <c r="O753" s="5" t="s">
        <v>25</v>
      </c>
      <c r="P753" s="6" t="s">
        <v>25</v>
      </c>
      <c r="Q753" s="5" t="s">
        <v>25</v>
      </c>
      <c r="R753" s="5" t="s">
        <v>25</v>
      </c>
      <c r="S753" s="7" t="str">
        <f>VLOOKUP(A753,Sheet2!$A$2:$R$3432,18,0)</f>
        <v/>
      </c>
      <c r="T753" s="7" t="str">
        <f>VLOOKUP(A753,Sheet2!$A$2:$R$3432,17,0)</f>
        <v>MD626AG43D1C83609</v>
      </c>
    </row>
    <row r="754" ht="15.75" customHeight="1">
      <c r="A754" s="3" t="s">
        <v>777</v>
      </c>
      <c r="B754" s="4" t="str">
        <f>VLOOKUP(A754,Sheet2!$A$2:$R$3432,2,0)</f>
        <v>2025-06-12 21:38:37</v>
      </c>
      <c r="C754" s="5" t="s">
        <v>25</v>
      </c>
      <c r="D754" s="6" t="s">
        <v>25</v>
      </c>
      <c r="E754" s="7">
        <f>VLOOKUP(A754,Sheet2!$A$2:$R$3432,4,0)</f>
        <v>7620570902</v>
      </c>
      <c r="F754" s="7" t="str">
        <f>VLOOKUP(A754,Sheet2!$A$2:$R$3432,3,0)</f>
        <v> Shravan Kulkarni </v>
      </c>
      <c r="G754" s="5" t="s">
        <v>25</v>
      </c>
      <c r="H754" s="5" t="s">
        <v>25</v>
      </c>
      <c r="I754" s="5" t="s">
        <v>25</v>
      </c>
      <c r="J754" s="5" t="s">
        <v>25</v>
      </c>
      <c r="K754" s="7" t="str">
        <f>VLOOKUP(A754,Sheet2!$A$2:$R$3432,6,0)</f>
        <v>Honda Dio New</v>
      </c>
      <c r="L754" s="5" t="s">
        <v>25</v>
      </c>
      <c r="M754" s="7" t="str">
        <f>VLOOKUP(A754,Sheet2!$A$2:$R$3432,5,0)</f>
        <v>MH20FD0651</v>
      </c>
      <c r="N754" s="5" t="s">
        <v>25</v>
      </c>
      <c r="O754" s="5" t="s">
        <v>25</v>
      </c>
      <c r="P754" s="6" t="s">
        <v>25</v>
      </c>
      <c r="Q754" s="5" t="s">
        <v>25</v>
      </c>
      <c r="R754" s="5" t="s">
        <v>25</v>
      </c>
      <c r="S754" s="5" t="str">
        <f>VLOOKUP(A754,Sheet2!$A$2:$R$3432,18,0)</f>
        <v>JF3944059410</v>
      </c>
      <c r="T754" s="7" t="str">
        <f>VLOOKUP(A754,Sheet2!$A$2:$R$3432,17,0)</f>
        <v>ME4JF30HEJG15780</v>
      </c>
    </row>
    <row r="755" ht="15.75" customHeight="1">
      <c r="A755" s="3" t="s">
        <v>778</v>
      </c>
      <c r="B755" s="4" t="str">
        <f>VLOOKUP(A755,Sheet2!$A$2:$R$3432,2,0)</f>
        <v>2025-06-12 21:37:05</v>
      </c>
      <c r="C755" s="5" t="s">
        <v>25</v>
      </c>
      <c r="D755" s="6" t="s">
        <v>25</v>
      </c>
      <c r="E755" s="7">
        <f>VLOOKUP(A755,Sheet2!$A$2:$R$3432,4,0)</f>
        <v>8669787479</v>
      </c>
      <c r="F755" s="7" t="str">
        <f>VLOOKUP(A755,Sheet2!$A$2:$R$3432,3,0)</f>
        <v>Akash </v>
      </c>
      <c r="G755" s="5" t="s">
        <v>25</v>
      </c>
      <c r="H755" s="5" t="s">
        <v>25</v>
      </c>
      <c r="I755" s="5" t="s">
        <v>25</v>
      </c>
      <c r="J755" s="5" t="s">
        <v>25</v>
      </c>
      <c r="K755" s="7" t="str">
        <f>VLOOKUP(A755,Sheet2!$A$2:$R$3432,6,0)</f>
        <v>Honda Activa 125</v>
      </c>
      <c r="L755" s="5" t="s">
        <v>25</v>
      </c>
      <c r="M755" s="7" t="str">
        <f>VLOOKUP(A755,Sheet2!$A$2:$R$3432,5,0)</f>
        <v>MH48AU3746</v>
      </c>
      <c r="N755" s="5" t="s">
        <v>25</v>
      </c>
      <c r="O755" s="5" t="s">
        <v>25</v>
      </c>
      <c r="P755" s="6" t="s">
        <v>25</v>
      </c>
      <c r="Q755" s="5" t="s">
        <v>25</v>
      </c>
      <c r="R755" s="5" t="s">
        <v>25</v>
      </c>
      <c r="S755" s="7" t="str">
        <f>VLOOKUP(A755,Sheet2!$A$2:$R$3432,18,0)</f>
        <v/>
      </c>
      <c r="T755" s="7" t="str">
        <f>VLOOKUP(A755,Sheet2!$A$2:$R$3432,17,0)</f>
        <v/>
      </c>
    </row>
    <row r="756" ht="15.75" customHeight="1">
      <c r="A756" s="3" t="s">
        <v>779</v>
      </c>
      <c r="B756" s="4" t="str">
        <f>VLOOKUP(A756,Sheet2!$A$2:$R$3432,2,0)</f>
        <v>2025-06-12 21:33:45</v>
      </c>
      <c r="C756" s="5" t="s">
        <v>25</v>
      </c>
      <c r="D756" s="6" t="s">
        <v>25</v>
      </c>
      <c r="E756" s="7">
        <f>VLOOKUP(A756,Sheet2!$A$2:$R$3432,4,0)</f>
        <v>9822607239</v>
      </c>
      <c r="F756" s="7" t="str">
        <f>VLOOKUP(A756,Sheet2!$A$2:$R$3432,3,0)</f>
        <v>Sanket</v>
      </c>
      <c r="G756" s="5" t="s">
        <v>25</v>
      </c>
      <c r="H756" s="5" t="s">
        <v>25</v>
      </c>
      <c r="I756" s="5" t="s">
        <v>25</v>
      </c>
      <c r="J756" s="5" t="s">
        <v>25</v>
      </c>
      <c r="K756" s="7" t="str">
        <f>VLOOKUP(A756,Sheet2!$A$2:$R$3432,6,0)</f>
        <v>Honda Activa 110</v>
      </c>
      <c r="L756" s="5" t="s">
        <v>25</v>
      </c>
      <c r="M756" s="7" t="str">
        <f>VLOOKUP(A756,Sheet2!$A$2:$R$3432,5,0)</f>
        <v>MH17BK5973</v>
      </c>
      <c r="N756" s="5" t="s">
        <v>25</v>
      </c>
      <c r="O756" s="5" t="s">
        <v>25</v>
      </c>
      <c r="P756" s="6" t="s">
        <v>25</v>
      </c>
      <c r="Q756" s="5" t="s">
        <v>25</v>
      </c>
      <c r="R756" s="5" t="s">
        <v>25</v>
      </c>
      <c r="S756" s="7" t="str">
        <f>VLOOKUP(A756,Sheet2!$A$2:$R$3432,18,0)</f>
        <v/>
      </c>
      <c r="T756" s="7" t="str">
        <f>VLOOKUP(A756,Sheet2!$A$2:$R$3432,17,0)</f>
        <v/>
      </c>
    </row>
    <row r="757" ht="15.75" customHeight="1">
      <c r="A757" s="3" t="s">
        <v>780</v>
      </c>
      <c r="B757" s="4" t="str">
        <f>VLOOKUP(A757,Sheet2!$A$2:$R$3432,2,0)</f>
        <v>2025-06-12 21:44:28</v>
      </c>
      <c r="C757" s="5" t="s">
        <v>25</v>
      </c>
      <c r="D757" s="6" t="s">
        <v>25</v>
      </c>
      <c r="E757" s="7">
        <f>VLOOKUP(A757,Sheet2!$A$2:$R$3432,4,0)</f>
        <v>9834585422</v>
      </c>
      <c r="F757" s="7" t="str">
        <f>VLOOKUP(A757,Sheet2!$A$2:$R$3432,3,0)</f>
        <v>Ashwini Patil </v>
      </c>
      <c r="G757" s="5" t="s">
        <v>25</v>
      </c>
      <c r="H757" s="5" t="s">
        <v>25</v>
      </c>
      <c r="I757" s="5" t="s">
        <v>25</v>
      </c>
      <c r="J757" s="5" t="s">
        <v>25</v>
      </c>
      <c r="K757" s="7" t="str">
        <f>VLOOKUP(A757,Sheet2!$A$2:$R$3432,6,0)</f>
        <v>Honda Activa </v>
      </c>
      <c r="L757" s="5" t="s">
        <v>25</v>
      </c>
      <c r="M757" s="7" t="str">
        <f>VLOOKUP(A757,Sheet2!$A$2:$R$3432,5,0)</f>
        <v>MH32X6154</v>
      </c>
      <c r="N757" s="5" t="s">
        <v>25</v>
      </c>
      <c r="O757" s="5" t="s">
        <v>25</v>
      </c>
      <c r="P757" s="6" t="s">
        <v>25</v>
      </c>
      <c r="Q757" s="5" t="s">
        <v>25</v>
      </c>
      <c r="R757" s="5" t="s">
        <v>25</v>
      </c>
      <c r="S757" s="5" t="str">
        <f>VLOOKUP(A757,Sheet2!$A$2:$R$3432,18,0)</f>
        <v>JF50E80378614</v>
      </c>
      <c r="T757" s="7" t="str">
        <f>VLOOKUP(A757,Sheet2!$A$2:$R$3432,17,0)</f>
        <v/>
      </c>
    </row>
    <row r="758" ht="15.75" customHeight="1">
      <c r="A758" s="3" t="s">
        <v>781</v>
      </c>
      <c r="B758" s="4" t="str">
        <f>VLOOKUP(A758,Sheet2!$A$2:$R$3432,2,0)</f>
        <v>2025-06-12 21:50:10</v>
      </c>
      <c r="C758" s="5" t="s">
        <v>25</v>
      </c>
      <c r="D758" s="6" t="s">
        <v>25</v>
      </c>
      <c r="E758" s="7">
        <f>VLOOKUP(A758,Sheet2!$A$2:$R$3432,4,0)</f>
        <v>7038446657</v>
      </c>
      <c r="F758" s="7" t="str">
        <f>VLOOKUP(A758,Sheet2!$A$2:$R$3432,3,0)</f>
        <v>Aditya </v>
      </c>
      <c r="G758" s="5" t="s">
        <v>25</v>
      </c>
      <c r="H758" s="5" t="s">
        <v>25</v>
      </c>
      <c r="I758" s="5" t="s">
        <v>25</v>
      </c>
      <c r="J758" s="5" t="s">
        <v>25</v>
      </c>
      <c r="K758" s="7" t="str">
        <f>VLOOKUP(A758,Sheet2!$A$2:$R$3432,6,0)</f>
        <v>Honda Hornet </v>
      </c>
      <c r="L758" s="5" t="s">
        <v>25</v>
      </c>
      <c r="M758" s="7" t="str">
        <f>VLOOKUP(A758,Sheet2!$A$2:$R$3432,5,0)</f>
        <v>MH14JY2256</v>
      </c>
      <c r="N758" s="5" t="s">
        <v>25</v>
      </c>
      <c r="O758" s="5" t="s">
        <v>25</v>
      </c>
      <c r="P758" s="6" t="s">
        <v>25</v>
      </c>
      <c r="Q758" s="5" t="s">
        <v>25</v>
      </c>
      <c r="R758" s="5" t="s">
        <v>25</v>
      </c>
      <c r="S758" s="7" t="str">
        <f>VLOOKUP(A758,Sheet2!$A$2:$R$3432,18,0)</f>
        <v/>
      </c>
      <c r="T758" s="7" t="str">
        <f>VLOOKUP(A758,Sheet2!$A$2:$R$3432,17,0)</f>
        <v/>
      </c>
    </row>
    <row r="759" ht="15.75" customHeight="1">
      <c r="A759" s="3" t="s">
        <v>782</v>
      </c>
      <c r="B759" s="4" t="str">
        <f>VLOOKUP(A759,Sheet2!$A$2:$R$3432,2,0)</f>
        <v>2025-06-12 21:45:03</v>
      </c>
      <c r="C759" s="5" t="s">
        <v>25</v>
      </c>
      <c r="D759" s="6" t="s">
        <v>25</v>
      </c>
      <c r="E759" s="7">
        <f>VLOOKUP(A759,Sheet2!$A$2:$R$3432,4,0)</f>
        <v>7018550395</v>
      </c>
      <c r="F759" s="7" t="str">
        <f>VLOOKUP(A759,Sheet2!$A$2:$R$3432,3,0)</f>
        <v>Nitin</v>
      </c>
      <c r="G759" s="5" t="s">
        <v>25</v>
      </c>
      <c r="H759" s="5" t="s">
        <v>25</v>
      </c>
      <c r="I759" s="5" t="s">
        <v>25</v>
      </c>
      <c r="J759" s="5" t="s">
        <v>25</v>
      </c>
      <c r="K759" s="7" t="str">
        <f>VLOOKUP(A759,Sheet2!$A$2:$R$3432,6,0)</f>
        <v>Bajaj Pulsar 200 NS</v>
      </c>
      <c r="L759" s="5" t="s">
        <v>25</v>
      </c>
      <c r="M759" s="7" t="str">
        <f>VLOOKUP(A759,Sheet2!$A$2:$R$3432,5,0)</f>
        <v>MH14HX6792</v>
      </c>
      <c r="N759" s="5" t="s">
        <v>25</v>
      </c>
      <c r="O759" s="5" t="s">
        <v>25</v>
      </c>
      <c r="P759" s="6" t="s">
        <v>25</v>
      </c>
      <c r="Q759" s="5" t="s">
        <v>25</v>
      </c>
      <c r="R759" s="5" t="s">
        <v>25</v>
      </c>
      <c r="S759" s="7" t="str">
        <f>VLOOKUP(A759,Sheet2!$A$2:$R$3432,18,0)</f>
        <v/>
      </c>
      <c r="T759" s="7" t="str">
        <f>VLOOKUP(A759,Sheet2!$A$2:$R$3432,17,0)</f>
        <v/>
      </c>
    </row>
    <row r="760" ht="15.75" customHeight="1">
      <c r="A760" s="3" t="s">
        <v>783</v>
      </c>
      <c r="B760" s="4" t="str">
        <f>VLOOKUP(A760,Sheet2!$A$2:$R$3432,2,0)</f>
        <v>2025-06-12 21:49:45</v>
      </c>
      <c r="C760" s="5" t="s">
        <v>25</v>
      </c>
      <c r="D760" s="6" t="s">
        <v>25</v>
      </c>
      <c r="E760" s="7">
        <f>VLOOKUP(A760,Sheet2!$A$2:$R$3432,4,0)</f>
        <v>7387776463</v>
      </c>
      <c r="F760" s="7" t="str">
        <f>VLOOKUP(A760,Sheet2!$A$2:$R$3432,3,0)</f>
        <v>Ajay Chavan</v>
      </c>
      <c r="G760" s="5" t="s">
        <v>25</v>
      </c>
      <c r="H760" s="5" t="s">
        <v>25</v>
      </c>
      <c r="I760" s="5" t="s">
        <v>25</v>
      </c>
      <c r="J760" s="5" t="s">
        <v>25</v>
      </c>
      <c r="K760" s="7" t="str">
        <f>VLOOKUP(A760,Sheet2!$A$2:$R$3432,6,0)</f>
        <v>Yamaha FZ </v>
      </c>
      <c r="L760" s="5" t="s">
        <v>25</v>
      </c>
      <c r="M760" s="7" t="str">
        <f>VLOOKUP(A760,Sheet2!$A$2:$R$3432,5,0)</f>
        <v>MH46BN1377</v>
      </c>
      <c r="N760" s="5" t="s">
        <v>25</v>
      </c>
      <c r="O760" s="5" t="s">
        <v>25</v>
      </c>
      <c r="P760" s="6" t="s">
        <v>25</v>
      </c>
      <c r="Q760" s="5" t="s">
        <v>25</v>
      </c>
      <c r="R760" s="5" t="s">
        <v>25</v>
      </c>
      <c r="S760" s="5" t="str">
        <f>VLOOKUP(A760,Sheet2!$A$2:$R$3432,18,0)</f>
        <v>G3J3E0285090</v>
      </c>
      <c r="T760" s="7" t="str">
        <f>VLOOKUP(A760,Sheet2!$A$2:$R$3432,17,0)</f>
        <v>ME1RG4485J0005232</v>
      </c>
    </row>
    <row r="761" ht="15.75" customHeight="1">
      <c r="A761" s="3" t="s">
        <v>784</v>
      </c>
      <c r="B761" s="4" t="str">
        <f>VLOOKUP(A761,Sheet2!$A$2:$R$3432,2,0)</f>
        <v>2025-06-12 21:48:26</v>
      </c>
      <c r="C761" s="5" t="s">
        <v>25</v>
      </c>
      <c r="D761" s="6" t="s">
        <v>25</v>
      </c>
      <c r="E761" s="7">
        <f>VLOOKUP(A761,Sheet2!$A$2:$R$3432,4,0)</f>
        <v>7775971397</v>
      </c>
      <c r="F761" s="7" t="str">
        <f>VLOOKUP(A761,Sheet2!$A$2:$R$3432,3,0)</f>
        <v>Shivam Lahane</v>
      </c>
      <c r="G761" s="5" t="s">
        <v>25</v>
      </c>
      <c r="H761" s="5" t="s">
        <v>25</v>
      </c>
      <c r="I761" s="5" t="s">
        <v>25</v>
      </c>
      <c r="J761" s="5" t="s">
        <v>25</v>
      </c>
      <c r="K761" s="7" t="str">
        <f>VLOOKUP(A761,Sheet2!$A$2:$R$3432,6,0)</f>
        <v>Yamaha FZ No Data</v>
      </c>
      <c r="L761" s="5" t="s">
        <v>25</v>
      </c>
      <c r="M761" s="7" t="str">
        <f>VLOOKUP(A761,Sheet2!$A$2:$R$3432,5,0)</f>
        <v>MH14KL7090</v>
      </c>
      <c r="N761" s="5" t="s">
        <v>25</v>
      </c>
      <c r="O761" s="5" t="s">
        <v>25</v>
      </c>
      <c r="P761" s="6" t="s">
        <v>25</v>
      </c>
      <c r="Q761" s="5" t="s">
        <v>25</v>
      </c>
      <c r="R761" s="5" t="s">
        <v>25</v>
      </c>
      <c r="S761" s="7" t="str">
        <f>VLOOKUP(A761,Sheet2!$A$2:$R$3432,18,0)</f>
        <v/>
      </c>
      <c r="T761" s="7" t="str">
        <f>VLOOKUP(A761,Sheet2!$A$2:$R$3432,17,0)</f>
        <v/>
      </c>
    </row>
    <row r="762" ht="15.75" customHeight="1">
      <c r="A762" s="3" t="s">
        <v>785</v>
      </c>
      <c r="B762" s="4" t="str">
        <f>VLOOKUP(A762,Sheet2!$A$2:$R$3432,2,0)</f>
        <v>2025-06-12 21:43:33</v>
      </c>
      <c r="C762" s="5" t="s">
        <v>25</v>
      </c>
      <c r="D762" s="6" t="s">
        <v>25</v>
      </c>
      <c r="E762" s="7">
        <f>VLOOKUP(A762,Sheet2!$A$2:$R$3432,4,0)</f>
        <v>9867620802</v>
      </c>
      <c r="F762" s="7" t="str">
        <f>VLOOKUP(A762,Sheet2!$A$2:$R$3432,3,0)</f>
        <v>Shailndra Bhat</v>
      </c>
      <c r="G762" s="5" t="s">
        <v>25</v>
      </c>
      <c r="H762" s="5" t="s">
        <v>25</v>
      </c>
      <c r="I762" s="5" t="s">
        <v>25</v>
      </c>
      <c r="J762" s="5" t="s">
        <v>25</v>
      </c>
      <c r="K762" s="7" t="str">
        <f>VLOOKUP(A762,Sheet2!$A$2:$R$3432,6,0)</f>
        <v>Hero Maestro </v>
      </c>
      <c r="L762" s="5" t="s">
        <v>25</v>
      </c>
      <c r="M762" s="7" t="str">
        <f>VLOOKUP(A762,Sheet2!$A$2:$R$3432,5,0)</f>
        <v>MH46AA2787</v>
      </c>
      <c r="N762" s="5" t="s">
        <v>25</v>
      </c>
      <c r="O762" s="5" t="s">
        <v>25</v>
      </c>
      <c r="P762" s="6" t="s">
        <v>25</v>
      </c>
      <c r="Q762" s="5" t="s">
        <v>25</v>
      </c>
      <c r="R762" s="5" t="s">
        <v>25</v>
      </c>
      <c r="S762" s="5" t="str">
        <f>VLOOKUP(A762,Sheet2!$A$2:$R$3432,18,0)</f>
        <v>JF32AAGA28821</v>
      </c>
      <c r="T762" s="7" t="str">
        <f>VLOOKUP(A762,Sheet2!$A$2:$R$3432,17,0)</f>
        <v>MBLJF32ABEGA39477</v>
      </c>
    </row>
    <row r="763" ht="15.75" customHeight="1">
      <c r="A763" s="3" t="s">
        <v>786</v>
      </c>
      <c r="B763" s="4" t="str">
        <f>VLOOKUP(A763,Sheet2!$A$2:$R$3432,2,0)</f>
        <v>2025-06-12 21:46:37</v>
      </c>
      <c r="C763" s="5" t="s">
        <v>25</v>
      </c>
      <c r="D763" s="6" t="s">
        <v>25</v>
      </c>
      <c r="E763" s="7">
        <f>VLOOKUP(A763,Sheet2!$A$2:$R$3432,4,0)</f>
        <v>7757009174</v>
      </c>
      <c r="F763" s="7" t="str">
        <f>VLOOKUP(A763,Sheet2!$A$2:$R$3432,3,0)</f>
        <v>Vaibhav Kulkarni</v>
      </c>
      <c r="G763" s="5" t="s">
        <v>25</v>
      </c>
      <c r="H763" s="5" t="s">
        <v>25</v>
      </c>
      <c r="I763" s="5" t="s">
        <v>25</v>
      </c>
      <c r="J763" s="5" t="s">
        <v>25</v>
      </c>
      <c r="K763" s="7" t="str">
        <f>VLOOKUP(A763,Sheet2!$A$2:$R$3432,6,0)</f>
        <v>Hero Pleasure Old</v>
      </c>
      <c r="L763" s="5" t="s">
        <v>25</v>
      </c>
      <c r="M763" s="7" t="str">
        <f>VLOOKUP(A763,Sheet2!$A$2:$R$3432,5,0)</f>
        <v>MH14DK6863</v>
      </c>
      <c r="N763" s="5" t="s">
        <v>25</v>
      </c>
      <c r="O763" s="5" t="s">
        <v>25</v>
      </c>
      <c r="P763" s="6" t="s">
        <v>25</v>
      </c>
      <c r="Q763" s="5" t="s">
        <v>25</v>
      </c>
      <c r="R763" s="5" t="s">
        <v>25</v>
      </c>
      <c r="S763" s="7" t="str">
        <f>VLOOKUP(A763,Sheet2!$A$2:$R$3432,18,0)</f>
        <v/>
      </c>
      <c r="T763" s="7" t="str">
        <f>VLOOKUP(A763,Sheet2!$A$2:$R$3432,17,0)</f>
        <v>MBLJF16EDCG024928</v>
      </c>
    </row>
    <row r="764" ht="15.75" customHeight="1">
      <c r="A764" s="3" t="s">
        <v>787</v>
      </c>
      <c r="B764" s="4" t="str">
        <f>VLOOKUP(A764,Sheet2!$A$2:$R$3432,2,0)</f>
        <v>2025-06-12 21:43:01</v>
      </c>
      <c r="C764" s="5" t="s">
        <v>25</v>
      </c>
      <c r="D764" s="6" t="s">
        <v>25</v>
      </c>
      <c r="E764" s="7">
        <f>VLOOKUP(A764,Sheet2!$A$2:$R$3432,4,0)</f>
        <v>9930807660</v>
      </c>
      <c r="F764" s="7" t="str">
        <f>VLOOKUP(A764,Sheet2!$A$2:$R$3432,3,0)</f>
        <v>Nilesh Saini</v>
      </c>
      <c r="G764" s="5" t="s">
        <v>25</v>
      </c>
      <c r="H764" s="5" t="s">
        <v>25</v>
      </c>
      <c r="I764" s="5" t="s">
        <v>25</v>
      </c>
      <c r="J764" s="5" t="s">
        <v>25</v>
      </c>
      <c r="K764" s="7" t="str">
        <f>VLOOKUP(A764,Sheet2!$A$2:$R$3432,6,0)</f>
        <v>TVS Jupiter </v>
      </c>
      <c r="L764" s="5" t="s">
        <v>25</v>
      </c>
      <c r="M764" s="7" t="str">
        <f>VLOOKUP(A764,Sheet2!$A$2:$R$3432,5,0)</f>
        <v>MH14KR8553</v>
      </c>
      <c r="N764" s="5" t="s">
        <v>25</v>
      </c>
      <c r="O764" s="5" t="s">
        <v>25</v>
      </c>
      <c r="P764" s="6" t="s">
        <v>25</v>
      </c>
      <c r="Q764" s="5" t="s">
        <v>25</v>
      </c>
      <c r="R764" s="5" t="s">
        <v>25</v>
      </c>
      <c r="S764" s="5" t="str">
        <f>VLOOKUP(A764,Sheet2!$A$2:$R$3432,18,0)</f>
        <v>DG5CP1X05519</v>
      </c>
      <c r="T764" s="7" t="str">
        <f>VLOOKUP(A764,Sheet2!$A$2:$R$3432,17,0)</f>
        <v>MD626CG58P1C10324</v>
      </c>
    </row>
    <row r="765" ht="15.75" customHeight="1">
      <c r="A765" s="3" t="s">
        <v>788</v>
      </c>
      <c r="B765" s="4" t="str">
        <f>VLOOKUP(A765,Sheet2!$A$2:$R$3432,2,0)</f>
        <v>2025-06-12 21:40:35</v>
      </c>
      <c r="C765" s="5" t="s">
        <v>25</v>
      </c>
      <c r="D765" s="6" t="s">
        <v>25</v>
      </c>
      <c r="E765" s="7">
        <f>VLOOKUP(A765,Sheet2!$A$2:$R$3432,4,0)</f>
        <v>8275439129</v>
      </c>
      <c r="F765" s="7" t="str">
        <f>VLOOKUP(A765,Sheet2!$A$2:$R$3432,3,0)</f>
        <v>Pratik Muley</v>
      </c>
      <c r="G765" s="5" t="s">
        <v>25</v>
      </c>
      <c r="H765" s="5" t="s">
        <v>25</v>
      </c>
      <c r="I765" s="5" t="s">
        <v>25</v>
      </c>
      <c r="J765" s="5" t="s">
        <v>25</v>
      </c>
      <c r="K765" s="7" t="str">
        <f>VLOOKUP(A765,Sheet2!$A$2:$R$3432,6,0)</f>
        <v>Hero Hunk </v>
      </c>
      <c r="L765" s="5" t="s">
        <v>25</v>
      </c>
      <c r="M765" s="7" t="str">
        <f>VLOOKUP(A765,Sheet2!$A$2:$R$3432,5,0)</f>
        <v>MH40BA1726</v>
      </c>
      <c r="N765" s="5" t="s">
        <v>25</v>
      </c>
      <c r="O765" s="5" t="s">
        <v>25</v>
      </c>
      <c r="P765" s="6" t="s">
        <v>25</v>
      </c>
      <c r="Q765" s="5" t="s">
        <v>25</v>
      </c>
      <c r="R765" s="5" t="s">
        <v>25</v>
      </c>
      <c r="S765" s="7" t="str">
        <f>VLOOKUP(A765,Sheet2!$A$2:$R$3432,18,0)</f>
        <v/>
      </c>
      <c r="T765" s="7" t="str">
        <f>VLOOKUP(A765,Sheet2!$A$2:$R$3432,17,0)</f>
        <v>JI</v>
      </c>
    </row>
    <row r="766" ht="15.75" customHeight="1">
      <c r="A766" s="3" t="s">
        <v>789</v>
      </c>
      <c r="B766" s="4" t="str">
        <f>VLOOKUP(A766,Sheet2!$A$2:$R$3432,2,0)</f>
        <v>2025-06-12 21:54:23</v>
      </c>
      <c r="C766" s="5" t="s">
        <v>25</v>
      </c>
      <c r="D766" s="6" t="s">
        <v>25</v>
      </c>
      <c r="E766" s="7">
        <f>VLOOKUP(A766,Sheet2!$A$2:$R$3432,4,0)</f>
        <v>9764908181</v>
      </c>
      <c r="F766" s="7" t="str">
        <f>VLOOKUP(A766,Sheet2!$A$2:$R$3432,3,0)</f>
        <v>Pankaj Patil </v>
      </c>
      <c r="G766" s="5" t="s">
        <v>25</v>
      </c>
      <c r="H766" s="5" t="s">
        <v>25</v>
      </c>
      <c r="I766" s="5" t="s">
        <v>25</v>
      </c>
      <c r="J766" s="5" t="s">
        <v>25</v>
      </c>
      <c r="K766" s="7" t="str">
        <f>VLOOKUP(A766,Sheet2!$A$2:$R$3432,6,0)</f>
        <v>TVS Scooty PEP</v>
      </c>
      <c r="L766" s="5" t="s">
        <v>25</v>
      </c>
      <c r="M766" s="7" t="str">
        <f>VLOOKUP(A766,Sheet2!$A$2:$R$3432,5,0)</f>
        <v>MH09EP4364</v>
      </c>
      <c r="N766" s="5" t="s">
        <v>25</v>
      </c>
      <c r="O766" s="5" t="s">
        <v>25</v>
      </c>
      <c r="P766" s="6" t="s">
        <v>25</v>
      </c>
      <c r="Q766" s="5" t="s">
        <v>25</v>
      </c>
      <c r="R766" s="5" t="s">
        <v>25</v>
      </c>
      <c r="S766" s="7" t="str">
        <f>VLOOKUP(A766,Sheet2!$A$2:$R$3432,18,0)</f>
        <v/>
      </c>
      <c r="T766" s="7" t="str">
        <f>VLOOKUP(A766,Sheet2!$A$2:$R$3432,17,0)</f>
        <v/>
      </c>
    </row>
    <row r="767" ht="15.75" customHeight="1">
      <c r="A767" s="3" t="s">
        <v>790</v>
      </c>
      <c r="B767" s="4" t="str">
        <f>VLOOKUP(A767,Sheet2!$A$2:$R$3432,2,0)</f>
        <v>2025-06-12 21:42:12</v>
      </c>
      <c r="C767" s="5" t="s">
        <v>25</v>
      </c>
      <c r="D767" s="6" t="s">
        <v>25</v>
      </c>
      <c r="E767" s="7">
        <f>VLOOKUP(A767,Sheet2!$A$2:$R$3432,4,0)</f>
        <v>9970556259</v>
      </c>
      <c r="F767" s="7" t="str">
        <f>VLOOKUP(A767,Sheet2!$A$2:$R$3432,3,0)</f>
        <v>John</v>
      </c>
      <c r="G767" s="5" t="s">
        <v>25</v>
      </c>
      <c r="H767" s="5" t="s">
        <v>25</v>
      </c>
      <c r="I767" s="5" t="s">
        <v>25</v>
      </c>
      <c r="J767" s="5" t="s">
        <v>25</v>
      </c>
      <c r="K767" s="7" t="str">
        <f>VLOOKUP(A767,Sheet2!$A$2:$R$3432,6,0)</f>
        <v>Honda Activa Old</v>
      </c>
      <c r="L767" s="5" t="s">
        <v>25</v>
      </c>
      <c r="M767" s="7" t="str">
        <f>VLOOKUP(A767,Sheet2!$A$2:$R$3432,5,0)</f>
        <v>MH12DN2655</v>
      </c>
      <c r="N767" s="5" t="s">
        <v>25</v>
      </c>
      <c r="O767" s="5" t="s">
        <v>25</v>
      </c>
      <c r="P767" s="6" t="s">
        <v>25</v>
      </c>
      <c r="Q767" s="5" t="s">
        <v>25</v>
      </c>
      <c r="R767" s="5" t="s">
        <v>25</v>
      </c>
      <c r="S767" s="7" t="str">
        <f>VLOOKUP(A767,Sheet2!$A$2:$R$3432,18,0)</f>
        <v/>
      </c>
      <c r="T767" s="7" t="str">
        <f>VLOOKUP(A767,Sheet2!$A$2:$R$3432,17,0)</f>
        <v/>
      </c>
    </row>
    <row r="768" ht="15.75" customHeight="1">
      <c r="A768" s="3" t="s">
        <v>791</v>
      </c>
      <c r="B768" s="4" t="str">
        <f>VLOOKUP(A768,Sheet2!$A$2:$R$3432,2,0)</f>
        <v>2025-06-12 21:41:31</v>
      </c>
      <c r="C768" s="5" t="s">
        <v>25</v>
      </c>
      <c r="D768" s="6" t="s">
        <v>25</v>
      </c>
      <c r="E768" s="7">
        <f>VLOOKUP(A768,Sheet2!$A$2:$R$3432,4,0)</f>
        <v>9325594347</v>
      </c>
      <c r="F768" s="7" t="str">
        <f>VLOOKUP(A768,Sheet2!$A$2:$R$3432,3,0)</f>
        <v>DEEPAK KUMAR SINGH</v>
      </c>
      <c r="G768" s="5" t="s">
        <v>25</v>
      </c>
      <c r="H768" s="5" t="s">
        <v>25</v>
      </c>
      <c r="I768" s="5" t="s">
        <v>25</v>
      </c>
      <c r="J768" s="5" t="s">
        <v>25</v>
      </c>
      <c r="K768" s="7" t="str">
        <f>VLOOKUP(A768,Sheet2!$A$2:$R$3432,6,0)</f>
        <v>Honda Activa 125</v>
      </c>
      <c r="L768" s="5" t="s">
        <v>25</v>
      </c>
      <c r="M768" s="7" t="str">
        <f>VLOOKUP(A768,Sheet2!$A$2:$R$3432,5,0)</f>
        <v>MH14HC0442</v>
      </c>
      <c r="N768" s="5" t="s">
        <v>25</v>
      </c>
      <c r="O768" s="5" t="s">
        <v>25</v>
      </c>
      <c r="P768" s="6" t="s">
        <v>25</v>
      </c>
      <c r="Q768" s="5" t="s">
        <v>25</v>
      </c>
      <c r="R768" s="5" t="s">
        <v>25</v>
      </c>
      <c r="S768" s="7" t="str">
        <f>VLOOKUP(A768,Sheet2!$A$2:$R$3432,18,0)</f>
        <v/>
      </c>
      <c r="T768" s="7" t="str">
        <f>VLOOKUP(A768,Sheet2!$A$2:$R$3432,17,0)</f>
        <v/>
      </c>
    </row>
    <row r="769" ht="15.75" customHeight="1">
      <c r="A769" s="3" t="s">
        <v>792</v>
      </c>
      <c r="B769" s="4" t="str">
        <f>VLOOKUP(A769,Sheet2!$A$2:$R$3432,2,0)</f>
        <v>2025-06-12 21:54:57</v>
      </c>
      <c r="C769" s="5" t="s">
        <v>25</v>
      </c>
      <c r="D769" s="6" t="s">
        <v>25</v>
      </c>
      <c r="E769" s="7">
        <f>VLOOKUP(A769,Sheet2!$A$2:$R$3432,4,0)</f>
        <v>9422228043</v>
      </c>
      <c r="F769" s="7" t="str">
        <f>VLOOKUP(A769,Sheet2!$A$2:$R$3432,3,0)</f>
        <v>GAJENDRA WAGHMARE</v>
      </c>
      <c r="G769" s="5" t="s">
        <v>25</v>
      </c>
      <c r="H769" s="5" t="s">
        <v>25</v>
      </c>
      <c r="I769" s="5" t="s">
        <v>25</v>
      </c>
      <c r="J769" s="5" t="s">
        <v>25</v>
      </c>
      <c r="K769" s="7" t="str">
        <f>VLOOKUP(A769,Sheet2!$A$2:$R$3432,6,0)</f>
        <v>Honda Activa 6G</v>
      </c>
      <c r="L769" s="5" t="s">
        <v>25</v>
      </c>
      <c r="M769" s="7" t="str">
        <f>VLOOKUP(A769,Sheet2!$A$2:$R$3432,5,0)</f>
        <v>MH14JK0534</v>
      </c>
      <c r="N769" s="5" t="s">
        <v>25</v>
      </c>
      <c r="O769" s="5" t="s">
        <v>25</v>
      </c>
      <c r="P769" s="6" t="s">
        <v>25</v>
      </c>
      <c r="Q769" s="5" t="s">
        <v>25</v>
      </c>
      <c r="R769" s="5" t="s">
        <v>25</v>
      </c>
      <c r="S769" s="7" t="str">
        <f>VLOOKUP(A769,Sheet2!$A$2:$R$3432,18,0)</f>
        <v/>
      </c>
      <c r="T769" s="7" t="str">
        <f>VLOOKUP(A769,Sheet2!$A$2:$R$3432,17,0)</f>
        <v/>
      </c>
    </row>
    <row r="770" ht="15.75" customHeight="1">
      <c r="A770" s="3" t="s">
        <v>793</v>
      </c>
      <c r="B770" s="4" t="str">
        <f>VLOOKUP(A770,Sheet2!$A$2:$R$3432,2,0)</f>
        <v>2025-06-12 21:52:53</v>
      </c>
      <c r="C770" s="5" t="s">
        <v>25</v>
      </c>
      <c r="D770" s="6" t="s">
        <v>25</v>
      </c>
      <c r="E770" s="7">
        <f>VLOOKUP(A770,Sheet2!$A$2:$R$3432,4,0)</f>
        <v>9665431727</v>
      </c>
      <c r="F770" s="7" t="str">
        <f>VLOOKUP(A770,Sheet2!$A$2:$R$3432,3,0)</f>
        <v>Swapnil</v>
      </c>
      <c r="G770" s="5" t="s">
        <v>25</v>
      </c>
      <c r="H770" s="5" t="s">
        <v>25</v>
      </c>
      <c r="I770" s="5" t="s">
        <v>25</v>
      </c>
      <c r="J770" s="5" t="s">
        <v>25</v>
      </c>
      <c r="K770" s="7" t="str">
        <f>VLOOKUP(A770,Sheet2!$A$2:$R$3432,6,0)</f>
        <v>Bajaj Avenger 160 Street</v>
      </c>
      <c r="L770" s="5" t="s">
        <v>25</v>
      </c>
      <c r="M770" s="7" t="str">
        <f>VLOOKUP(A770,Sheet2!$A$2:$R$3432,5,0)</f>
        <v>MH14JT2365</v>
      </c>
      <c r="N770" s="5" t="s">
        <v>25</v>
      </c>
      <c r="O770" s="5" t="s">
        <v>25</v>
      </c>
      <c r="P770" s="6" t="s">
        <v>25</v>
      </c>
      <c r="Q770" s="5" t="s">
        <v>25</v>
      </c>
      <c r="R770" s="5" t="s">
        <v>25</v>
      </c>
      <c r="S770" s="7" t="str">
        <f>VLOOKUP(A770,Sheet2!$A$2:$R$3432,18,0)</f>
        <v/>
      </c>
      <c r="T770" s="7" t="str">
        <f>VLOOKUP(A770,Sheet2!$A$2:$R$3432,17,0)</f>
        <v/>
      </c>
    </row>
    <row r="771" ht="15.75" customHeight="1">
      <c r="A771" s="3" t="s">
        <v>794</v>
      </c>
      <c r="B771" s="4" t="str">
        <f>VLOOKUP(A771,Sheet2!$A$2:$R$3432,2,0)</f>
        <v>2025-06-12 21:53:44</v>
      </c>
      <c r="C771" s="5" t="s">
        <v>25</v>
      </c>
      <c r="D771" s="6" t="s">
        <v>25</v>
      </c>
      <c r="E771" s="7">
        <f>VLOOKUP(A771,Sheet2!$A$2:$R$3432,4,0)</f>
        <v>7972907145</v>
      </c>
      <c r="F771" s="7" t="str">
        <f>VLOOKUP(A771,Sheet2!$A$2:$R$3432,3,0)</f>
        <v>A.B</v>
      </c>
      <c r="G771" s="5" t="s">
        <v>25</v>
      </c>
      <c r="H771" s="5" t="s">
        <v>25</v>
      </c>
      <c r="I771" s="5" t="s">
        <v>25</v>
      </c>
      <c r="J771" s="5" t="s">
        <v>25</v>
      </c>
      <c r="K771" s="7" t="str">
        <f>VLOOKUP(A771,Sheet2!$A$2:$R$3432,6,0)</f>
        <v>Yamaha MT 15</v>
      </c>
      <c r="L771" s="5" t="s">
        <v>25</v>
      </c>
      <c r="M771" s="7" t="str">
        <f>VLOOKUP(A771,Sheet2!$A$2:$R$3432,5,0)</f>
        <v>MH15GZ3098</v>
      </c>
      <c r="N771" s="5" t="s">
        <v>25</v>
      </c>
      <c r="O771" s="5" t="s">
        <v>25</v>
      </c>
      <c r="P771" s="6" t="s">
        <v>25</v>
      </c>
      <c r="Q771" s="5" t="s">
        <v>25</v>
      </c>
      <c r="R771" s="5" t="s">
        <v>25</v>
      </c>
      <c r="S771" s="7" t="str">
        <f>VLOOKUP(A771,Sheet2!$A$2:$R$3432,18,0)</f>
        <v/>
      </c>
      <c r="T771" s="7" t="str">
        <f>VLOOKUP(A771,Sheet2!$A$2:$R$3432,17,0)</f>
        <v/>
      </c>
    </row>
    <row r="772" ht="15.75" customHeight="1">
      <c r="A772" s="3" t="s">
        <v>795</v>
      </c>
      <c r="B772" s="4" t="str">
        <f>VLOOKUP(A772,Sheet2!$A$2:$R$3432,2,0)</f>
        <v>2025-06-12 21:57:25</v>
      </c>
      <c r="C772" s="5" t="s">
        <v>25</v>
      </c>
      <c r="D772" s="6" t="s">
        <v>25</v>
      </c>
      <c r="E772" s="7">
        <f>VLOOKUP(A772,Sheet2!$A$2:$R$3432,4,0)</f>
        <v>9158682999</v>
      </c>
      <c r="F772" s="7" t="str">
        <f>VLOOKUP(A772,Sheet2!$A$2:$R$3432,3,0)</f>
        <v>Ramprasad </v>
      </c>
      <c r="G772" s="5" t="s">
        <v>25</v>
      </c>
      <c r="H772" s="5" t="s">
        <v>25</v>
      </c>
      <c r="I772" s="5" t="s">
        <v>25</v>
      </c>
      <c r="J772" s="5" t="s">
        <v>25</v>
      </c>
      <c r="K772" s="7" t="str">
        <f>VLOOKUP(A772,Sheet2!$A$2:$R$3432,6,0)</f>
        <v>Honda Activa 110</v>
      </c>
      <c r="L772" s="5" t="s">
        <v>25</v>
      </c>
      <c r="M772" s="7" t="str">
        <f>VLOOKUP(A772,Sheet2!$A$2:$R$3432,5,0)</f>
        <v>MH14EF7871</v>
      </c>
      <c r="N772" s="5" t="s">
        <v>25</v>
      </c>
      <c r="O772" s="5" t="s">
        <v>25</v>
      </c>
      <c r="P772" s="6" t="s">
        <v>25</v>
      </c>
      <c r="Q772" s="5" t="s">
        <v>25</v>
      </c>
      <c r="R772" s="5" t="s">
        <v>25</v>
      </c>
      <c r="S772" s="7" t="str">
        <f>VLOOKUP(A772,Sheet2!$A$2:$R$3432,18,0)</f>
        <v/>
      </c>
      <c r="T772" s="7" t="str">
        <f>VLOOKUP(A772,Sheet2!$A$2:$R$3432,17,0)</f>
        <v/>
      </c>
    </row>
    <row r="773" ht="15.75" customHeight="1">
      <c r="A773" s="3" t="s">
        <v>796</v>
      </c>
      <c r="B773" s="4" t="str">
        <f>VLOOKUP(A773,Sheet2!$A$2:$R$3432,2,0)</f>
        <v>2025-06-12 22:15:25</v>
      </c>
      <c r="C773" s="5" t="s">
        <v>25</v>
      </c>
      <c r="D773" s="6" t="s">
        <v>25</v>
      </c>
      <c r="E773" s="7">
        <f>VLOOKUP(A773,Sheet2!$A$2:$R$3432,4,0)</f>
        <v>8329085585</v>
      </c>
      <c r="F773" s="7" t="str">
        <f>VLOOKUP(A773,Sheet2!$A$2:$R$3432,3,0)</f>
        <v>Dhanajay</v>
      </c>
      <c r="G773" s="5" t="s">
        <v>25</v>
      </c>
      <c r="H773" s="5" t="s">
        <v>25</v>
      </c>
      <c r="I773" s="5" t="s">
        <v>25</v>
      </c>
      <c r="J773" s="5" t="s">
        <v>25</v>
      </c>
      <c r="K773" s="7" t="str">
        <f>VLOOKUP(A773,Sheet2!$A$2:$R$3432,6,0)</f>
        <v>Honda Shine BS6</v>
      </c>
      <c r="L773" s="5" t="s">
        <v>25</v>
      </c>
      <c r="M773" s="7" t="str">
        <f>VLOOKUP(A773,Sheet2!$A$2:$R$3432,5,0)</f>
        <v>MH12UH1649</v>
      </c>
      <c r="N773" s="5" t="s">
        <v>25</v>
      </c>
      <c r="O773" s="5" t="s">
        <v>25</v>
      </c>
      <c r="P773" s="6" t="s">
        <v>25</v>
      </c>
      <c r="Q773" s="5" t="s">
        <v>25</v>
      </c>
      <c r="R773" s="5" t="s">
        <v>25</v>
      </c>
      <c r="S773" s="5" t="str">
        <f>VLOOKUP(A773,Sheet2!$A$2:$R$3432,18,0)</f>
        <v>JC85E02135391</v>
      </c>
      <c r="T773" s="7" t="str">
        <f>VLOOKUP(A773,Sheet2!$A$2:$R$3432,17,0)</f>
        <v>ME4JE85DDM0047857</v>
      </c>
    </row>
    <row r="774" ht="15.75" customHeight="1">
      <c r="A774" s="3" t="s">
        <v>797</v>
      </c>
      <c r="B774" s="4" t="str">
        <f>VLOOKUP(A774,Sheet2!$A$2:$R$3432,2,0)</f>
        <v>2025-06-12 22:03:34</v>
      </c>
      <c r="C774" s="5" t="s">
        <v>25</v>
      </c>
      <c r="D774" s="6" t="s">
        <v>25</v>
      </c>
      <c r="E774" s="7">
        <f>VLOOKUP(A774,Sheet2!$A$2:$R$3432,4,0)</f>
        <v>9370869175</v>
      </c>
      <c r="F774" s="7" t="str">
        <f>VLOOKUP(A774,Sheet2!$A$2:$R$3432,3,0)</f>
        <v>Gopal More</v>
      </c>
      <c r="G774" s="5" t="s">
        <v>25</v>
      </c>
      <c r="H774" s="5" t="s">
        <v>25</v>
      </c>
      <c r="I774" s="5" t="s">
        <v>25</v>
      </c>
      <c r="J774" s="5" t="s">
        <v>25</v>
      </c>
      <c r="K774" s="7" t="str">
        <f>VLOOKUP(A774,Sheet2!$A$2:$R$3432,6,0)</f>
        <v>Hero Splendor Plus</v>
      </c>
      <c r="L774" s="5" t="s">
        <v>25</v>
      </c>
      <c r="M774" s="7" t="str">
        <f>VLOOKUP(A774,Sheet2!$A$2:$R$3432,5,0)</f>
        <v>MH12DF1437</v>
      </c>
      <c r="N774" s="5" t="s">
        <v>25</v>
      </c>
      <c r="O774" s="5" t="s">
        <v>25</v>
      </c>
      <c r="P774" s="6" t="s">
        <v>25</v>
      </c>
      <c r="Q774" s="5" t="s">
        <v>25</v>
      </c>
      <c r="R774" s="5" t="s">
        <v>25</v>
      </c>
      <c r="S774" s="7" t="str">
        <f>VLOOKUP(A774,Sheet2!$A$2:$R$3432,18,0)</f>
        <v/>
      </c>
      <c r="T774" s="7" t="str">
        <f>VLOOKUP(A774,Sheet2!$A$2:$R$3432,17,0)</f>
        <v>06A16F31256</v>
      </c>
    </row>
    <row r="775" ht="15.75" customHeight="1">
      <c r="A775" s="3" t="s">
        <v>798</v>
      </c>
      <c r="B775" s="4" t="str">
        <f>VLOOKUP(A775,Sheet2!$A$2:$R$3432,2,0)</f>
        <v>2025-06-12 22:19:46</v>
      </c>
      <c r="C775" s="5" t="s">
        <v>25</v>
      </c>
      <c r="D775" s="6" t="s">
        <v>25</v>
      </c>
      <c r="E775" s="7">
        <f>VLOOKUP(A775,Sheet2!$A$2:$R$3432,4,0)</f>
        <v>9833693526</v>
      </c>
      <c r="F775" s="7" t="str">
        <f>VLOOKUP(A775,Sheet2!$A$2:$R$3432,3,0)</f>
        <v>Sneha Sathe</v>
      </c>
      <c r="G775" s="5" t="s">
        <v>25</v>
      </c>
      <c r="H775" s="5" t="s">
        <v>25</v>
      </c>
      <c r="I775" s="5" t="s">
        <v>25</v>
      </c>
      <c r="J775" s="5" t="s">
        <v>25</v>
      </c>
      <c r="K775" s="7" t="str">
        <f>VLOOKUP(A775,Sheet2!$A$2:$R$3432,6,0)</f>
        <v>TVS Jupiter </v>
      </c>
      <c r="L775" s="5" t="s">
        <v>25</v>
      </c>
      <c r="M775" s="7" t="str">
        <f>VLOOKUP(A775,Sheet2!$A$2:$R$3432,5,0)</f>
        <v>MH14HJ3006</v>
      </c>
      <c r="N775" s="5" t="s">
        <v>25</v>
      </c>
      <c r="O775" s="5" t="s">
        <v>25</v>
      </c>
      <c r="P775" s="6" t="s">
        <v>25</v>
      </c>
      <c r="Q775" s="5" t="s">
        <v>25</v>
      </c>
      <c r="R775" s="5" t="s">
        <v>25</v>
      </c>
      <c r="S775" s="5" t="str">
        <f>VLOOKUP(A775,Sheet2!$A$2:$R$3432,18,0)</f>
        <v>EG4PJ131035</v>
      </c>
      <c r="T775" s="7" t="str">
        <f>VLOOKUP(A775,Sheet2!$A$2:$R$3432,17,0)</f>
        <v>MD626EG4TJIP1602</v>
      </c>
    </row>
    <row r="776" ht="15.75" customHeight="1">
      <c r="A776" s="3" t="s">
        <v>799</v>
      </c>
      <c r="B776" s="4" t="str">
        <f>VLOOKUP(A776,Sheet2!$A$2:$R$3432,2,0)</f>
        <v>2025-06-12 22:14:56</v>
      </c>
      <c r="C776" s="5" t="s">
        <v>25</v>
      </c>
      <c r="D776" s="6" t="s">
        <v>25</v>
      </c>
      <c r="E776" s="7">
        <f>VLOOKUP(A776,Sheet2!$A$2:$R$3432,4,0)</f>
        <v>9921390651</v>
      </c>
      <c r="F776" s="7" t="str">
        <f>VLOOKUP(A776,Sheet2!$A$2:$R$3432,3,0)</f>
        <v>Ravindra Shelke</v>
      </c>
      <c r="G776" s="5" t="s">
        <v>25</v>
      </c>
      <c r="H776" s="5" t="s">
        <v>25</v>
      </c>
      <c r="I776" s="5" t="s">
        <v>25</v>
      </c>
      <c r="J776" s="5" t="s">
        <v>25</v>
      </c>
      <c r="K776" s="7" t="str">
        <f>VLOOKUP(A776,Sheet2!$A$2:$R$3432,6,0)</f>
        <v>Suzuki Gixxer </v>
      </c>
      <c r="L776" s="5" t="s">
        <v>25</v>
      </c>
      <c r="M776" s="7" t="str">
        <f>VLOOKUP(A776,Sheet2!$A$2:$R$3432,5,0)</f>
        <v>MH12LX8222</v>
      </c>
      <c r="N776" s="5" t="s">
        <v>25</v>
      </c>
      <c r="O776" s="5" t="s">
        <v>25</v>
      </c>
      <c r="P776" s="6" t="s">
        <v>25</v>
      </c>
      <c r="Q776" s="5" t="s">
        <v>25</v>
      </c>
      <c r="R776" s="5" t="s">
        <v>25</v>
      </c>
      <c r="S776" s="5" t="str">
        <f>VLOOKUP(A776,Sheet2!$A$2:$R$3432,18,0)</f>
        <v>BGA1132230</v>
      </c>
      <c r="T776" s="7" t="str">
        <f>VLOOKUP(A776,Sheet2!$A$2:$R$3432,17,0)</f>
        <v>MB8NG4BAAF8135081</v>
      </c>
    </row>
    <row r="777" ht="15.75" customHeight="1">
      <c r="A777" s="3" t="s">
        <v>800</v>
      </c>
      <c r="B777" s="4" t="str">
        <f>VLOOKUP(A777,Sheet2!$A$2:$R$3432,2,0)</f>
        <v>2025-06-12 22:18:50</v>
      </c>
      <c r="C777" s="5" t="s">
        <v>25</v>
      </c>
      <c r="D777" s="6" t="s">
        <v>25</v>
      </c>
      <c r="E777" s="7">
        <f>VLOOKUP(A777,Sheet2!$A$2:$R$3432,4,0)</f>
        <v>7972023225</v>
      </c>
      <c r="F777" s="7" t="str">
        <f>VLOOKUP(A777,Sheet2!$A$2:$R$3432,3,0)</f>
        <v>Kiran</v>
      </c>
      <c r="G777" s="5" t="s">
        <v>25</v>
      </c>
      <c r="H777" s="5" t="s">
        <v>25</v>
      </c>
      <c r="I777" s="5" t="s">
        <v>25</v>
      </c>
      <c r="J777" s="5" t="s">
        <v>25</v>
      </c>
      <c r="K777" s="7" t="str">
        <f>VLOOKUP(A777,Sheet2!$A$2:$R$3432,6,0)</f>
        <v>Honda Activa 5G</v>
      </c>
      <c r="L777" s="5" t="s">
        <v>25</v>
      </c>
      <c r="M777" s="7" t="str">
        <f>VLOOKUP(A777,Sheet2!$A$2:$R$3432,5,0)</f>
        <v>MH20FE9136</v>
      </c>
      <c r="N777" s="5" t="s">
        <v>25</v>
      </c>
      <c r="O777" s="5" t="s">
        <v>25</v>
      </c>
      <c r="P777" s="6" t="s">
        <v>25</v>
      </c>
      <c r="Q777" s="5" t="s">
        <v>25</v>
      </c>
      <c r="R777" s="5" t="s">
        <v>25</v>
      </c>
      <c r="S777" s="5" t="str">
        <f>VLOOKUP(A777,Sheet2!$A$2:$R$3432,18,0)</f>
        <v>OG4F61394501</v>
      </c>
      <c r="T777" s="7" t="str">
        <f>VLOOKUP(A777,Sheet2!$A$2:$R$3432,17,0)</f>
        <v>ME4JF50BMJT326761</v>
      </c>
    </row>
    <row r="778" ht="15.75" customHeight="1">
      <c r="A778" s="3" t="s">
        <v>801</v>
      </c>
      <c r="B778" s="4" t="str">
        <f>VLOOKUP(A778,Sheet2!$A$2:$R$3432,2,0)</f>
        <v>2025-06-12 22:17:31</v>
      </c>
      <c r="C778" s="5" t="s">
        <v>25</v>
      </c>
      <c r="D778" s="6" t="s">
        <v>25</v>
      </c>
      <c r="E778" s="7">
        <f>VLOOKUP(A778,Sheet2!$A$2:$R$3432,4,0)</f>
        <v>8485002345</v>
      </c>
      <c r="F778" s="7" t="str">
        <f>VLOOKUP(A778,Sheet2!$A$2:$R$3432,3,0)</f>
        <v>Bhakt</v>
      </c>
      <c r="G778" s="5" t="s">
        <v>25</v>
      </c>
      <c r="H778" s="5" t="s">
        <v>25</v>
      </c>
      <c r="I778" s="5" t="s">
        <v>25</v>
      </c>
      <c r="J778" s="5" t="s">
        <v>25</v>
      </c>
      <c r="K778" s="7" t="str">
        <f>VLOOKUP(A778,Sheet2!$A$2:$R$3432,6,0)</f>
        <v>Yamaha MT 15</v>
      </c>
      <c r="L778" s="5" t="s">
        <v>25</v>
      </c>
      <c r="M778" s="7" t="str">
        <f>VLOOKUP(A778,Sheet2!$A$2:$R$3432,5,0)</f>
        <v>MH12UP4862</v>
      </c>
      <c r="N778" s="5" t="s">
        <v>25</v>
      </c>
      <c r="O778" s="5" t="s">
        <v>25</v>
      </c>
      <c r="P778" s="6" t="s">
        <v>25</v>
      </c>
      <c r="Q778" s="5" t="s">
        <v>25</v>
      </c>
      <c r="R778" s="5" t="s">
        <v>25</v>
      </c>
      <c r="S778" s="7" t="str">
        <f>VLOOKUP(A778,Sheet2!$A$2:$R$3432,18,0)</f>
        <v/>
      </c>
      <c r="T778" s="7" t="str">
        <f>VLOOKUP(A778,Sheet2!$A$2:$R$3432,17,0)</f>
        <v/>
      </c>
    </row>
    <row r="779" ht="15.75" customHeight="1">
      <c r="A779" s="3" t="s">
        <v>802</v>
      </c>
      <c r="B779" s="4" t="str">
        <f>VLOOKUP(A779,Sheet2!$A$2:$R$3432,2,0)</f>
        <v>2025-06-12 22:13:33</v>
      </c>
      <c r="C779" s="5" t="s">
        <v>25</v>
      </c>
      <c r="D779" s="6" t="s">
        <v>25</v>
      </c>
      <c r="E779" s="7">
        <f>VLOOKUP(A779,Sheet2!$A$2:$R$3432,4,0)</f>
        <v>8956958994</v>
      </c>
      <c r="F779" s="7" t="str">
        <f>VLOOKUP(A779,Sheet2!$A$2:$R$3432,3,0)</f>
        <v>Gopal Kale</v>
      </c>
      <c r="G779" s="5" t="s">
        <v>25</v>
      </c>
      <c r="H779" s="5" t="s">
        <v>25</v>
      </c>
      <c r="I779" s="5" t="s">
        <v>25</v>
      </c>
      <c r="J779" s="5" t="s">
        <v>25</v>
      </c>
      <c r="K779" s="7" t="str">
        <f>VLOOKUP(A779,Sheet2!$A$2:$R$3432,6,0)</f>
        <v>Honda Unicorn 160 BS6</v>
      </c>
      <c r="L779" s="5" t="s">
        <v>25</v>
      </c>
      <c r="M779" s="7" t="str">
        <f>VLOOKUP(A779,Sheet2!$A$2:$R$3432,5,0)</f>
        <v>MH14LR0950</v>
      </c>
      <c r="N779" s="5" t="s">
        <v>25</v>
      </c>
      <c r="O779" s="5" t="s">
        <v>25</v>
      </c>
      <c r="P779" s="6" t="s">
        <v>25</v>
      </c>
      <c r="Q779" s="5" t="s">
        <v>25</v>
      </c>
      <c r="R779" s="5" t="s">
        <v>25</v>
      </c>
      <c r="S779" s="7" t="str">
        <f>VLOOKUP(A779,Sheet2!$A$2:$R$3432,18,0)</f>
        <v/>
      </c>
      <c r="T779" s="7" t="str">
        <f>VLOOKUP(A779,Sheet2!$A$2:$R$3432,17,0)</f>
        <v/>
      </c>
    </row>
    <row r="780" ht="15.75" customHeight="1">
      <c r="A780" s="3" t="s">
        <v>803</v>
      </c>
      <c r="B780" s="4" t="str">
        <f>VLOOKUP(A780,Sheet2!$A$2:$R$3432,2,0)</f>
        <v>2025-06-12 22:18:23</v>
      </c>
      <c r="C780" s="5" t="s">
        <v>25</v>
      </c>
      <c r="D780" s="6" t="s">
        <v>25</v>
      </c>
      <c r="E780" s="7">
        <f>VLOOKUP(A780,Sheet2!$A$2:$R$3432,4,0)</f>
        <v>9527413254</v>
      </c>
      <c r="F780" s="7" t="str">
        <f>VLOOKUP(A780,Sheet2!$A$2:$R$3432,3,0)</f>
        <v>Abhilash</v>
      </c>
      <c r="G780" s="5" t="s">
        <v>25</v>
      </c>
      <c r="H780" s="5" t="s">
        <v>25</v>
      </c>
      <c r="I780" s="5" t="s">
        <v>25</v>
      </c>
      <c r="J780" s="5" t="s">
        <v>25</v>
      </c>
      <c r="K780" s="7" t="str">
        <f>VLOOKUP(A780,Sheet2!$A$2:$R$3432,6,0)</f>
        <v>Yamaha FZ </v>
      </c>
      <c r="L780" s="5" t="s">
        <v>25</v>
      </c>
      <c r="M780" s="7" t="str">
        <f>VLOOKUP(A780,Sheet2!$A$2:$R$3432,5,0)</f>
        <v>MH32AR7340</v>
      </c>
      <c r="N780" s="5" t="s">
        <v>25</v>
      </c>
      <c r="O780" s="5" t="s">
        <v>25</v>
      </c>
      <c r="P780" s="6" t="s">
        <v>25</v>
      </c>
      <c r="Q780" s="5" t="s">
        <v>25</v>
      </c>
      <c r="R780" s="5" t="s">
        <v>25</v>
      </c>
      <c r="S780" s="5" t="str">
        <f>VLOOKUP(A780,Sheet2!$A$2:$R$3432,18,0)</f>
        <v>G3N3E0128118</v>
      </c>
      <c r="T780" s="7" t="str">
        <f>VLOOKUP(A780,Sheet2!$A$2:$R$3432,17,0)</f>
        <v>ME1RG6665M000560</v>
      </c>
    </row>
    <row r="781" ht="15.75" customHeight="1">
      <c r="A781" s="3" t="s">
        <v>804</v>
      </c>
      <c r="B781" s="4" t="str">
        <f>VLOOKUP(A781,Sheet2!$A$2:$R$3432,2,0)</f>
        <v>2025-06-12 22:16:06</v>
      </c>
      <c r="C781" s="5" t="s">
        <v>25</v>
      </c>
      <c r="D781" s="6" t="s">
        <v>25</v>
      </c>
      <c r="E781" s="7">
        <f>VLOOKUP(A781,Sheet2!$A$2:$R$3432,4,0)</f>
        <v>9923442446</v>
      </c>
      <c r="F781" s="7" t="str">
        <f>VLOOKUP(A781,Sheet2!$A$2:$R$3432,3,0)</f>
        <v>Ravindra Kavitkar</v>
      </c>
      <c r="G781" s="5" t="s">
        <v>25</v>
      </c>
      <c r="H781" s="5" t="s">
        <v>25</v>
      </c>
      <c r="I781" s="5" t="s">
        <v>25</v>
      </c>
      <c r="J781" s="5" t="s">
        <v>25</v>
      </c>
      <c r="K781" s="7" t="str">
        <f>VLOOKUP(A781,Sheet2!$A$2:$R$3432,6,0)</f>
        <v>Yamaha FZ 1</v>
      </c>
      <c r="L781" s="5" t="s">
        <v>25</v>
      </c>
      <c r="M781" s="7" t="str">
        <f>VLOOKUP(A781,Sheet2!$A$2:$R$3432,5,0)</f>
        <v>MH14CB7678</v>
      </c>
      <c r="N781" s="5" t="s">
        <v>25</v>
      </c>
      <c r="O781" s="5" t="s">
        <v>25</v>
      </c>
      <c r="P781" s="6" t="s">
        <v>25</v>
      </c>
      <c r="Q781" s="5" t="s">
        <v>25</v>
      </c>
      <c r="R781" s="5" t="s">
        <v>25</v>
      </c>
      <c r="S781" s="5" t="str">
        <f>VLOOKUP(A781,Sheet2!$A$2:$R$3432,18,0)</f>
        <v>21G60001626</v>
      </c>
      <c r="T781" s="7" t="str">
        <f>VLOOKUP(A781,Sheet2!$A$2:$R$3432,17,0)</f>
        <v>ME121C064A2001636</v>
      </c>
    </row>
    <row r="782" ht="15.75" customHeight="1">
      <c r="A782" s="3" t="s">
        <v>805</v>
      </c>
      <c r="B782" s="4" t="str">
        <f>VLOOKUP(A782,Sheet2!$A$2:$R$3432,2,0)</f>
        <v>2025-06-12 22:12:50</v>
      </c>
      <c r="C782" s="5" t="s">
        <v>25</v>
      </c>
      <c r="D782" s="6" t="s">
        <v>25</v>
      </c>
      <c r="E782" s="7">
        <f>VLOOKUP(A782,Sheet2!$A$2:$R$3432,4,0)</f>
        <v>9850987875</v>
      </c>
      <c r="F782" s="7" t="str">
        <f>VLOOKUP(A782,Sheet2!$A$2:$R$3432,3,0)</f>
        <v>Prasanna</v>
      </c>
      <c r="G782" s="5" t="s">
        <v>25</v>
      </c>
      <c r="H782" s="5" t="s">
        <v>25</v>
      </c>
      <c r="I782" s="5" t="s">
        <v>25</v>
      </c>
      <c r="J782" s="5" t="s">
        <v>25</v>
      </c>
      <c r="K782" s="7" t="str">
        <f>VLOOKUP(A782,Sheet2!$A$2:$R$3432,6,0)</f>
        <v>TVS Scooty PEP Plus</v>
      </c>
      <c r="L782" s="5" t="s">
        <v>25</v>
      </c>
      <c r="M782" s="7" t="str">
        <f>VLOOKUP(A782,Sheet2!$A$2:$R$3432,5,0)</f>
        <v>MH14EB3776</v>
      </c>
      <c r="N782" s="5" t="s">
        <v>25</v>
      </c>
      <c r="O782" s="5" t="s">
        <v>25</v>
      </c>
      <c r="P782" s="6" t="s">
        <v>25</v>
      </c>
      <c r="Q782" s="5" t="s">
        <v>25</v>
      </c>
      <c r="R782" s="5" t="s">
        <v>25</v>
      </c>
      <c r="S782" s="5" t="str">
        <f>VLOOKUP(A782,Sheet2!$A$2:$R$3432,18,0)</f>
        <v>0G3KD212032</v>
      </c>
      <c r="T782" s="7" t="str">
        <f>VLOOKUP(A782,Sheet2!$A$2:$R$3432,17,0)</f>
        <v>MD66B36DZK446640</v>
      </c>
    </row>
    <row r="783" ht="15.75" customHeight="1">
      <c r="A783" s="3" t="s">
        <v>806</v>
      </c>
      <c r="B783" s="4" t="str">
        <f>VLOOKUP(A783,Sheet2!$A$2:$R$3432,2,0)</f>
        <v>2025-06-12 22:10:44</v>
      </c>
      <c r="C783" s="5" t="s">
        <v>25</v>
      </c>
      <c r="D783" s="6" t="s">
        <v>25</v>
      </c>
      <c r="E783" s="7">
        <f>VLOOKUP(A783,Sheet2!$A$2:$R$3432,4,0)</f>
        <v>8806530966</v>
      </c>
      <c r="F783" s="7" t="str">
        <f>VLOOKUP(A783,Sheet2!$A$2:$R$3432,3,0)</f>
        <v>Chaitanya Pandit </v>
      </c>
      <c r="G783" s="5" t="s">
        <v>25</v>
      </c>
      <c r="H783" s="5" t="s">
        <v>25</v>
      </c>
      <c r="I783" s="5" t="s">
        <v>25</v>
      </c>
      <c r="J783" s="5" t="s">
        <v>25</v>
      </c>
      <c r="K783" s="7" t="str">
        <f>VLOOKUP(A783,Sheet2!$A$2:$R$3432,6,0)</f>
        <v>Honda Activa 5G</v>
      </c>
      <c r="L783" s="5" t="s">
        <v>25</v>
      </c>
      <c r="M783" s="7" t="str">
        <f>VLOOKUP(A783,Sheet2!$A$2:$R$3432,5,0)</f>
        <v>MH12QJ9058</v>
      </c>
      <c r="N783" s="5" t="s">
        <v>25</v>
      </c>
      <c r="O783" s="5" t="s">
        <v>25</v>
      </c>
      <c r="P783" s="6" t="s">
        <v>25</v>
      </c>
      <c r="Q783" s="5" t="s">
        <v>25</v>
      </c>
      <c r="R783" s="5" t="s">
        <v>25</v>
      </c>
      <c r="S783" s="7" t="str">
        <f>VLOOKUP(A783,Sheet2!$A$2:$R$3432,18,0)</f>
        <v/>
      </c>
      <c r="T783" s="7" t="str">
        <f>VLOOKUP(A783,Sheet2!$A$2:$R$3432,17,0)</f>
        <v/>
      </c>
    </row>
    <row r="784" ht="15.75" customHeight="1">
      <c r="A784" s="3" t="s">
        <v>807</v>
      </c>
      <c r="B784" s="4" t="str">
        <f>VLOOKUP(A784,Sheet2!$A$2:$R$3432,2,0)</f>
        <v>2025-06-12 09:08:34</v>
      </c>
      <c r="C784" s="5" t="s">
        <v>25</v>
      </c>
      <c r="D784" s="6" t="s">
        <v>25</v>
      </c>
      <c r="E784" s="7">
        <f>VLOOKUP(A784,Sheet2!$A$2:$R$3432,4,0)</f>
        <v>8793344560</v>
      </c>
      <c r="F784" s="7" t="str">
        <f>VLOOKUP(A784,Sheet2!$A$2:$R$3432,3,0)</f>
        <v>Shubham</v>
      </c>
      <c r="G784" s="5" t="s">
        <v>25</v>
      </c>
      <c r="H784" s="5" t="s">
        <v>25</v>
      </c>
      <c r="I784" s="5" t="s">
        <v>25</v>
      </c>
      <c r="J784" s="5" t="s">
        <v>25</v>
      </c>
      <c r="K784" s="7" t="str">
        <f>VLOOKUP(A784,Sheet2!$A$2:$R$3432,6,0)</f>
        <v>TVS Apache RTR 160</v>
      </c>
      <c r="L784" s="5" t="s">
        <v>25</v>
      </c>
      <c r="M784" s="7" t="str">
        <f>VLOOKUP(A784,Sheet2!$A$2:$R$3432,5,0)</f>
        <v>MH12SH6918</v>
      </c>
      <c r="N784" s="5" t="s">
        <v>25</v>
      </c>
      <c r="O784" s="5" t="s">
        <v>25</v>
      </c>
      <c r="P784" s="6" t="s">
        <v>25</v>
      </c>
      <c r="Q784" s="5" t="s">
        <v>25</v>
      </c>
      <c r="R784" s="5" t="s">
        <v>25</v>
      </c>
      <c r="S784" s="7" t="str">
        <f>VLOOKUP(A784,Sheet2!$A$2:$R$3432,18,0)</f>
        <v/>
      </c>
      <c r="T784" s="7" t="str">
        <f>VLOOKUP(A784,Sheet2!$A$2:$R$3432,17,0)</f>
        <v>MD673CE77K2H01623</v>
      </c>
    </row>
    <row r="785" ht="15.75" customHeight="1">
      <c r="A785" s="3" t="s">
        <v>808</v>
      </c>
      <c r="B785" s="4" t="str">
        <f>VLOOKUP(A785,Sheet2!$A$2:$R$3432,2,0)</f>
        <v>2025-06-12 22:08:39</v>
      </c>
      <c r="C785" s="5" t="s">
        <v>25</v>
      </c>
      <c r="D785" s="6" t="s">
        <v>25</v>
      </c>
      <c r="E785" s="7">
        <f>VLOOKUP(A785,Sheet2!$A$2:$R$3432,4,0)</f>
        <v>8652629446</v>
      </c>
      <c r="F785" s="7" t="str">
        <f>VLOOKUP(A785,Sheet2!$A$2:$R$3432,3,0)</f>
        <v>Amol Temgire</v>
      </c>
      <c r="G785" s="5" t="s">
        <v>25</v>
      </c>
      <c r="H785" s="5" t="s">
        <v>25</v>
      </c>
      <c r="I785" s="5" t="s">
        <v>25</v>
      </c>
      <c r="J785" s="5" t="s">
        <v>25</v>
      </c>
      <c r="K785" s="7" t="str">
        <f>VLOOKUP(A785,Sheet2!$A$2:$R$3432,6,0)</f>
        <v>Honda Activa HET</v>
      </c>
      <c r="L785" s="5" t="s">
        <v>25</v>
      </c>
      <c r="M785" s="7" t="str">
        <f>VLOOKUP(A785,Sheet2!$A$2:$R$3432,5,0)</f>
        <v>MH12LN1654</v>
      </c>
      <c r="N785" s="5" t="s">
        <v>25</v>
      </c>
      <c r="O785" s="5" t="s">
        <v>25</v>
      </c>
      <c r="P785" s="6" t="s">
        <v>25</v>
      </c>
      <c r="Q785" s="5" t="s">
        <v>25</v>
      </c>
      <c r="R785" s="5" t="s">
        <v>25</v>
      </c>
      <c r="S785" s="5" t="str">
        <f>VLOOKUP(A785,Sheet2!$A$2:$R$3432,18,0)</f>
        <v>JF50E71177962</v>
      </c>
      <c r="T785" s="7" t="str">
        <f>VLOOKUP(A785,Sheet2!$A$2:$R$3432,17,0)</f>
        <v/>
      </c>
    </row>
    <row r="786" ht="15.75" customHeight="1">
      <c r="A786" s="3" t="s">
        <v>809</v>
      </c>
      <c r="B786" s="4" t="str">
        <f>VLOOKUP(A786,Sheet2!$A$2:$R$3432,2,0)</f>
        <v>2025-06-12 22:04:49</v>
      </c>
      <c r="C786" s="5" t="s">
        <v>25</v>
      </c>
      <c r="D786" s="6" t="s">
        <v>25</v>
      </c>
      <c r="E786" s="7">
        <f>VLOOKUP(A786,Sheet2!$A$2:$R$3432,4,0)</f>
        <v>9175190377</v>
      </c>
      <c r="F786" s="7" t="str">
        <f>VLOOKUP(A786,Sheet2!$A$2:$R$3432,3,0)</f>
        <v>SAGAR </v>
      </c>
      <c r="G786" s="5" t="s">
        <v>25</v>
      </c>
      <c r="H786" s="5" t="s">
        <v>25</v>
      </c>
      <c r="I786" s="5" t="s">
        <v>25</v>
      </c>
      <c r="J786" s="5" t="s">
        <v>25</v>
      </c>
      <c r="K786" s="7" t="str">
        <f>VLOOKUP(A786,Sheet2!$A$2:$R$3432,6,0)</f>
        <v>TVS Jupiter BS6</v>
      </c>
      <c r="L786" s="5" t="s">
        <v>25</v>
      </c>
      <c r="M786" s="7" t="str">
        <f>VLOOKUP(A786,Sheet2!$A$2:$R$3432,5,0)</f>
        <v>MH48CA0134</v>
      </c>
      <c r="N786" s="5" t="s">
        <v>25</v>
      </c>
      <c r="O786" s="5" t="s">
        <v>25</v>
      </c>
      <c r="P786" s="6" t="s">
        <v>25</v>
      </c>
      <c r="Q786" s="5" t="s">
        <v>25</v>
      </c>
      <c r="R786" s="5" t="s">
        <v>25</v>
      </c>
      <c r="S786" s="7" t="str">
        <f>VLOOKUP(A786,Sheet2!$A$2:$R$3432,18,0)</f>
        <v/>
      </c>
      <c r="T786" s="7" t="str">
        <f>VLOOKUP(A786,Sheet2!$A$2:$R$3432,17,0)</f>
        <v/>
      </c>
    </row>
    <row r="787" ht="15.75" customHeight="1">
      <c r="A787" s="3" t="s">
        <v>810</v>
      </c>
      <c r="B787" s="4" t="str">
        <f>VLOOKUP(A787,Sheet2!$A$2:$R$3432,2,0)</f>
        <v>2025-06-12 22:05:29</v>
      </c>
      <c r="C787" s="5" t="s">
        <v>25</v>
      </c>
      <c r="D787" s="6" t="s">
        <v>25</v>
      </c>
      <c r="E787" s="7">
        <f>VLOOKUP(A787,Sheet2!$A$2:$R$3432,4,0)</f>
        <v>9404925331</v>
      </c>
      <c r="F787" s="7" t="str">
        <f>VLOOKUP(A787,Sheet2!$A$2:$R$3432,3,0)</f>
        <v>VAISHNAVI </v>
      </c>
      <c r="G787" s="5" t="s">
        <v>25</v>
      </c>
      <c r="H787" s="5" t="s">
        <v>25</v>
      </c>
      <c r="I787" s="5" t="s">
        <v>25</v>
      </c>
      <c r="J787" s="5" t="s">
        <v>25</v>
      </c>
      <c r="K787" s="7" t="str">
        <f>VLOOKUP(A787,Sheet2!$A$2:$R$3432,6,0)</f>
        <v>Piaggio Vespa </v>
      </c>
      <c r="L787" s="5" t="s">
        <v>25</v>
      </c>
      <c r="M787" s="7" t="str">
        <f>VLOOKUP(A787,Sheet2!$A$2:$R$3432,5,0)</f>
        <v>MH14EX4198</v>
      </c>
      <c r="N787" s="5" t="s">
        <v>25</v>
      </c>
      <c r="O787" s="5" t="s">
        <v>25</v>
      </c>
      <c r="P787" s="6" t="s">
        <v>25</v>
      </c>
      <c r="Q787" s="5" t="s">
        <v>25</v>
      </c>
      <c r="R787" s="5" t="s">
        <v>25</v>
      </c>
      <c r="S787" s="5" t="str">
        <f>VLOOKUP(A787,Sheet2!$A$2:$R$3432,18,0)</f>
        <v>M449M3096188</v>
      </c>
      <c r="T787" s="7" t="str">
        <f>VLOOKUP(A787,Sheet2!$A$2:$R$3432,17,0)</f>
        <v>MET0000BASB022755</v>
      </c>
    </row>
    <row r="788" ht="15.75" customHeight="1">
      <c r="A788" s="3" t="s">
        <v>811</v>
      </c>
      <c r="B788" s="4" t="str">
        <f>VLOOKUP(A788,Sheet2!$A$2:$R$3432,2,0)</f>
        <v>2025-06-12 09:06:47</v>
      </c>
      <c r="C788" s="5" t="s">
        <v>25</v>
      </c>
      <c r="D788" s="6" t="s">
        <v>25</v>
      </c>
      <c r="E788" s="7">
        <f>VLOOKUP(A788,Sheet2!$A$2:$R$3432,4,0)</f>
        <v>9975142631</v>
      </c>
      <c r="F788" s="7" t="str">
        <f>VLOOKUP(A788,Sheet2!$A$2:$R$3432,3,0)</f>
        <v>Rohit </v>
      </c>
      <c r="G788" s="5" t="s">
        <v>25</v>
      </c>
      <c r="H788" s="5" t="s">
        <v>25</v>
      </c>
      <c r="I788" s="5" t="s">
        <v>25</v>
      </c>
      <c r="J788" s="5" t="s">
        <v>25</v>
      </c>
      <c r="K788" s="7" t="str">
        <f>VLOOKUP(A788,Sheet2!$A$2:$R$3432,6,0)</f>
        <v>Honda Activa 6G</v>
      </c>
      <c r="L788" s="5" t="s">
        <v>25</v>
      </c>
      <c r="M788" s="7" t="str">
        <f>VLOOKUP(A788,Sheet2!$A$2:$R$3432,5,0)</f>
        <v>MH04LC1088</v>
      </c>
      <c r="N788" s="5" t="s">
        <v>25</v>
      </c>
      <c r="O788" s="5" t="s">
        <v>25</v>
      </c>
      <c r="P788" s="6" t="s">
        <v>25</v>
      </c>
      <c r="Q788" s="5" t="s">
        <v>25</v>
      </c>
      <c r="R788" s="5" t="s">
        <v>25</v>
      </c>
      <c r="S788" s="5" t="str">
        <f>VLOOKUP(A788,Sheet2!$A$2:$R$3432,18,0)</f>
        <v>JF91EW5009727</v>
      </c>
      <c r="T788" s="7" t="str">
        <f>VLOOKUP(A788,Sheet2!$A$2:$R$3432,17,0)</f>
        <v>ME4JE918JMW009604</v>
      </c>
    </row>
    <row r="789" ht="15.75" customHeight="1">
      <c r="A789" s="3" t="s">
        <v>812</v>
      </c>
      <c r="B789" s="4" t="str">
        <f>VLOOKUP(A789,Sheet2!$A$2:$R$3432,2,0)</f>
        <v>2025-06-12 22:04:04</v>
      </c>
      <c r="C789" s="5" t="s">
        <v>25</v>
      </c>
      <c r="D789" s="6" t="s">
        <v>25</v>
      </c>
      <c r="E789" s="7">
        <f>VLOOKUP(A789,Sheet2!$A$2:$R$3432,4,0)</f>
        <v>8793087874</v>
      </c>
      <c r="F789" s="7" t="str">
        <f>VLOOKUP(A789,Sheet2!$A$2:$R$3432,3,0)</f>
        <v>Aditya </v>
      </c>
      <c r="G789" s="5" t="s">
        <v>25</v>
      </c>
      <c r="H789" s="5" t="s">
        <v>25</v>
      </c>
      <c r="I789" s="5" t="s">
        <v>25</v>
      </c>
      <c r="J789" s="5" t="s">
        <v>25</v>
      </c>
      <c r="K789" s="7" t="str">
        <f>VLOOKUP(A789,Sheet2!$A$2:$R$3432,6,0)</f>
        <v>Honda Activa 6G</v>
      </c>
      <c r="L789" s="5" t="s">
        <v>25</v>
      </c>
      <c r="M789" s="7" t="str">
        <f>VLOOKUP(A789,Sheet2!$A$2:$R$3432,5,0)</f>
        <v>MH27CT1447</v>
      </c>
      <c r="N789" s="5" t="s">
        <v>25</v>
      </c>
      <c r="O789" s="5" t="s">
        <v>25</v>
      </c>
      <c r="P789" s="6" t="s">
        <v>25</v>
      </c>
      <c r="Q789" s="5" t="s">
        <v>25</v>
      </c>
      <c r="R789" s="5" t="s">
        <v>25</v>
      </c>
      <c r="S789" s="7" t="str">
        <f>VLOOKUP(A789,Sheet2!$A$2:$R$3432,18,0)</f>
        <v/>
      </c>
      <c r="T789" s="7" t="str">
        <f>VLOOKUP(A789,Sheet2!$A$2:$R$3432,17,0)</f>
        <v/>
      </c>
    </row>
    <row r="790" ht="15.75" customHeight="1">
      <c r="A790" s="3" t="s">
        <v>813</v>
      </c>
      <c r="B790" s="4" t="str">
        <f>VLOOKUP(A790,Sheet2!$A$2:$R$3432,2,0)</f>
        <v>2025-06-12 22:07:59</v>
      </c>
      <c r="C790" s="5" t="s">
        <v>25</v>
      </c>
      <c r="D790" s="6" t="s">
        <v>25</v>
      </c>
      <c r="E790" s="7">
        <f>VLOOKUP(A790,Sheet2!$A$2:$R$3432,4,0)</f>
        <v>8668688802</v>
      </c>
      <c r="F790" s="7" t="str">
        <f>VLOOKUP(A790,Sheet2!$A$2:$R$3432,3,0)</f>
        <v>Sonawane</v>
      </c>
      <c r="G790" s="5" t="s">
        <v>25</v>
      </c>
      <c r="H790" s="5" t="s">
        <v>25</v>
      </c>
      <c r="I790" s="5" t="s">
        <v>25</v>
      </c>
      <c r="J790" s="5" t="s">
        <v>25</v>
      </c>
      <c r="K790" s="7" t="str">
        <f>VLOOKUP(A790,Sheet2!$A$2:$R$3432,6,0)</f>
        <v>Honda Dream Yuga </v>
      </c>
      <c r="L790" s="5" t="s">
        <v>25</v>
      </c>
      <c r="M790" s="7" t="str">
        <f>VLOOKUP(A790,Sheet2!$A$2:$R$3432,5,0)</f>
        <v>MH18AH7226</v>
      </c>
      <c r="N790" s="5" t="s">
        <v>25</v>
      </c>
      <c r="O790" s="5" t="s">
        <v>25</v>
      </c>
      <c r="P790" s="6" t="s">
        <v>25</v>
      </c>
      <c r="Q790" s="5" t="s">
        <v>25</v>
      </c>
      <c r="R790" s="5" t="s">
        <v>25</v>
      </c>
      <c r="S790" s="7" t="str">
        <f>VLOOKUP(A790,Sheet2!$A$2:$R$3432,18,0)</f>
        <v/>
      </c>
      <c r="T790" s="7" t="str">
        <f>VLOOKUP(A790,Sheet2!$A$2:$R$3432,17,0)</f>
        <v/>
      </c>
    </row>
    <row r="791" ht="15.75" customHeight="1">
      <c r="A791" s="3" t="s">
        <v>814</v>
      </c>
      <c r="B791" s="4" t="str">
        <f>VLOOKUP(A791,Sheet2!$A$2:$R$3432,2,0)</f>
        <v>2025-06-12 09:05:36</v>
      </c>
      <c r="C791" s="5" t="s">
        <v>25</v>
      </c>
      <c r="D791" s="6" t="s">
        <v>25</v>
      </c>
      <c r="E791" s="7">
        <f>VLOOKUP(A791,Sheet2!$A$2:$R$3432,4,0)</f>
        <v>9545128458</v>
      </c>
      <c r="F791" s="7" t="str">
        <f>VLOOKUP(A791,Sheet2!$A$2:$R$3432,3,0)</f>
        <v>Siddheshwar</v>
      </c>
      <c r="G791" s="5" t="s">
        <v>25</v>
      </c>
      <c r="H791" s="5" t="s">
        <v>25</v>
      </c>
      <c r="I791" s="5" t="s">
        <v>25</v>
      </c>
      <c r="J791" s="5" t="s">
        <v>25</v>
      </c>
      <c r="K791" s="7" t="str">
        <f>VLOOKUP(A791,Sheet2!$A$2:$R$3432,6,0)</f>
        <v>Yamaha FZ S</v>
      </c>
      <c r="L791" s="5" t="s">
        <v>25</v>
      </c>
      <c r="M791" s="7" t="str">
        <f>VLOOKUP(A791,Sheet2!$A$2:$R$3432,5,0)</f>
        <v>MH21BB8457</v>
      </c>
      <c r="N791" s="5" t="s">
        <v>25</v>
      </c>
      <c r="O791" s="5" t="s">
        <v>25</v>
      </c>
      <c r="P791" s="6" t="s">
        <v>25</v>
      </c>
      <c r="Q791" s="5" t="s">
        <v>25</v>
      </c>
      <c r="R791" s="5" t="s">
        <v>25</v>
      </c>
      <c r="S791" s="5" t="str">
        <f>VLOOKUP(A791,Sheet2!$A$2:$R$3432,18,0)</f>
        <v>G8C8E0423944</v>
      </c>
      <c r="T791" s="7" t="str">
        <f>VLOOKUP(A791,Sheet2!$A$2:$R$3432,17,0)</f>
        <v>ME1RG0721H0282423</v>
      </c>
    </row>
    <row r="792" ht="15.75" customHeight="1">
      <c r="A792" s="3" t="s">
        <v>815</v>
      </c>
      <c r="B792" s="4" t="str">
        <f>VLOOKUP(A792,Sheet2!$A$2:$R$3432,2,0)</f>
        <v>2025-01-03 10:27:39</v>
      </c>
      <c r="C792" s="5" t="s">
        <v>25</v>
      </c>
      <c r="D792" s="6" t="s">
        <v>25</v>
      </c>
      <c r="E792" s="7">
        <f>VLOOKUP(A792,Sheet2!$A$2:$R$3432,4,0)</f>
        <v>9828944144</v>
      </c>
      <c r="F792" s="7" t="str">
        <f>VLOOKUP(A792,Sheet2!$A$2:$R$3432,3,0)</f>
        <v>Dhanraj</v>
      </c>
      <c r="G792" s="5" t="s">
        <v>25</v>
      </c>
      <c r="H792" s="5" t="s">
        <v>25</v>
      </c>
      <c r="I792" s="5" t="s">
        <v>25</v>
      </c>
      <c r="J792" s="5" t="s">
        <v>25</v>
      </c>
      <c r="K792" s="7" t="str">
        <f>VLOOKUP(A792,Sheet2!$A$2:$R$3432,6,0)</f>
        <v>Hero Splendor </v>
      </c>
      <c r="L792" s="5" t="s">
        <v>25</v>
      </c>
      <c r="M792" s="7" t="str">
        <f>VLOOKUP(A792,Sheet2!$A$2:$R$3432,5,0)</f>
        <v>MH12FL0518</v>
      </c>
      <c r="N792" s="5" t="s">
        <v>25</v>
      </c>
      <c r="O792" s="5" t="s">
        <v>25</v>
      </c>
      <c r="P792" s="6" t="s">
        <v>25</v>
      </c>
      <c r="Q792" s="5" t="s">
        <v>25</v>
      </c>
      <c r="R792" s="5" t="s">
        <v>25</v>
      </c>
      <c r="S792" s="7" t="str">
        <f>VLOOKUP(A792,Sheet2!$A$2:$R$3432,18,0)</f>
        <v/>
      </c>
      <c r="T792" s="7" t="str">
        <f>VLOOKUP(A792,Sheet2!$A$2:$R$3432,17,0)</f>
        <v/>
      </c>
    </row>
    <row r="793" ht="15.75" customHeight="1">
      <c r="A793" s="3" t="s">
        <v>816</v>
      </c>
      <c r="B793" s="4" t="str">
        <f>VLOOKUP(A793,Sheet2!$A$2:$R$3432,2,0)</f>
        <v>2025-01-03 19:32:45</v>
      </c>
      <c r="C793" s="5" t="s">
        <v>25</v>
      </c>
      <c r="D793" s="6" t="s">
        <v>25</v>
      </c>
      <c r="E793" s="7">
        <f>VLOOKUP(A793,Sheet2!$A$2:$R$3432,4,0)</f>
        <v>9545172341</v>
      </c>
      <c r="F793" s="7" t="str">
        <f>VLOOKUP(A793,Sheet2!$A$2:$R$3432,3,0)</f>
        <v>Vaibhav Kate</v>
      </c>
      <c r="G793" s="5" t="s">
        <v>25</v>
      </c>
      <c r="H793" s="5" t="s">
        <v>25</v>
      </c>
      <c r="I793" s="5" t="s">
        <v>25</v>
      </c>
      <c r="J793" s="5" t="s">
        <v>25</v>
      </c>
      <c r="K793" s="7" t="str">
        <f>VLOOKUP(A793,Sheet2!$A$2:$R$3432,6,0)</f>
        <v>Honda Activa 125</v>
      </c>
      <c r="L793" s="5" t="s">
        <v>25</v>
      </c>
      <c r="M793" s="7" t="str">
        <f>VLOOKUP(A793,Sheet2!$A$2:$R$3432,5,0)</f>
        <v>MH16BP4882</v>
      </c>
      <c r="N793" s="5" t="s">
        <v>25</v>
      </c>
      <c r="O793" s="5" t="s">
        <v>25</v>
      </c>
      <c r="P793" s="6" t="s">
        <v>25</v>
      </c>
      <c r="Q793" s="5" t="s">
        <v>25</v>
      </c>
      <c r="R793" s="5" t="s">
        <v>25</v>
      </c>
      <c r="S793" s="5" t="str">
        <f>VLOOKUP(A793,Sheet2!$A$2:$R$3432,18,0)</f>
        <v>JF45E81106304</v>
      </c>
      <c r="T793" s="7" t="str">
        <f>VLOOKUP(A793,Sheet2!$A$2:$R$3432,17,0)</f>
        <v>ME4JF493LF8092255</v>
      </c>
    </row>
    <row r="794" ht="15.75" customHeight="1">
      <c r="A794" s="3" t="s">
        <v>817</v>
      </c>
      <c r="B794" s="4" t="str">
        <f>VLOOKUP(A794,Sheet2!$A$2:$R$3432,2,0)</f>
        <v>2025-01-03 19:25:55</v>
      </c>
      <c r="C794" s="5" t="s">
        <v>25</v>
      </c>
      <c r="D794" s="6" t="s">
        <v>25</v>
      </c>
      <c r="E794" s="7">
        <f>VLOOKUP(A794,Sheet2!$A$2:$R$3432,4,0)</f>
        <v>8237620849</v>
      </c>
      <c r="F794" s="7" t="str">
        <f>VLOOKUP(A794,Sheet2!$A$2:$R$3432,3,0)</f>
        <v>Sanket Girmal</v>
      </c>
      <c r="G794" s="5" t="s">
        <v>25</v>
      </c>
      <c r="H794" s="5" t="s">
        <v>25</v>
      </c>
      <c r="I794" s="5" t="s">
        <v>25</v>
      </c>
      <c r="J794" s="5" t="s">
        <v>25</v>
      </c>
      <c r="K794" s="7" t="str">
        <f>VLOOKUP(A794,Sheet2!$A$2:$R$3432,6,0)</f>
        <v>Bajaj Pulsar 200 NS</v>
      </c>
      <c r="L794" s="5" t="s">
        <v>25</v>
      </c>
      <c r="M794" s="7" t="str">
        <f>VLOOKUP(A794,Sheet2!$A$2:$R$3432,5,0)</f>
        <v>MH09FH6332</v>
      </c>
      <c r="N794" s="5" t="s">
        <v>25</v>
      </c>
      <c r="O794" s="5" t="s">
        <v>25</v>
      </c>
      <c r="P794" s="6" t="s">
        <v>25</v>
      </c>
      <c r="Q794" s="5" t="s">
        <v>25</v>
      </c>
      <c r="R794" s="5" t="s">
        <v>25</v>
      </c>
      <c r="S794" s="7" t="str">
        <f>VLOOKUP(A794,Sheet2!$A$2:$R$3432,18,0)</f>
        <v/>
      </c>
      <c r="T794" s="7" t="str">
        <f>VLOOKUP(A794,Sheet2!$A$2:$R$3432,17,0)</f>
        <v/>
      </c>
    </row>
    <row r="795" ht="15.75" customHeight="1">
      <c r="A795" s="3" t="s">
        <v>818</v>
      </c>
      <c r="B795" s="4" t="str">
        <f>VLOOKUP(A795,Sheet2!$A$2:$R$3432,2,0)</f>
        <v>2025-01-03 19:27:14</v>
      </c>
      <c r="C795" s="5" t="s">
        <v>25</v>
      </c>
      <c r="D795" s="6" t="s">
        <v>25</v>
      </c>
      <c r="E795" s="7">
        <f>VLOOKUP(A795,Sheet2!$A$2:$R$3432,4,0)</f>
        <v>9828944144</v>
      </c>
      <c r="F795" s="7" t="str">
        <f>VLOOKUP(A795,Sheet2!$A$2:$R$3432,3,0)</f>
        <v>Dhanraj</v>
      </c>
      <c r="G795" s="5" t="s">
        <v>25</v>
      </c>
      <c r="H795" s="5" t="s">
        <v>25</v>
      </c>
      <c r="I795" s="5" t="s">
        <v>25</v>
      </c>
      <c r="J795" s="5" t="s">
        <v>25</v>
      </c>
      <c r="K795" s="7" t="str">
        <f>VLOOKUP(A795,Sheet2!$A$2:$R$3432,6,0)</f>
        <v>Hero Splendor </v>
      </c>
      <c r="L795" s="5" t="s">
        <v>25</v>
      </c>
      <c r="M795" s="7" t="str">
        <f>VLOOKUP(A795,Sheet2!$A$2:$R$3432,5,0)</f>
        <v>MH12FL0518</v>
      </c>
      <c r="N795" s="5" t="s">
        <v>25</v>
      </c>
      <c r="O795" s="5" t="s">
        <v>25</v>
      </c>
      <c r="P795" s="6" t="s">
        <v>25</v>
      </c>
      <c r="Q795" s="5" t="s">
        <v>25</v>
      </c>
      <c r="R795" s="5" t="s">
        <v>25</v>
      </c>
      <c r="S795" s="7" t="str">
        <f>VLOOKUP(A795,Sheet2!$A$2:$R$3432,18,0)</f>
        <v/>
      </c>
      <c r="T795" s="7" t="str">
        <f>VLOOKUP(A795,Sheet2!$A$2:$R$3432,17,0)</f>
        <v/>
      </c>
    </row>
    <row r="796" ht="15.75" customHeight="1">
      <c r="A796" s="3" t="s">
        <v>819</v>
      </c>
      <c r="B796" s="4" t="str">
        <f>VLOOKUP(A796,Sheet2!$A$2:$R$3432,2,0)</f>
        <v>2025-01-03 19:32:16</v>
      </c>
      <c r="C796" s="5" t="s">
        <v>25</v>
      </c>
      <c r="D796" s="6" t="s">
        <v>25</v>
      </c>
      <c r="E796" s="7">
        <f>VLOOKUP(A796,Sheet2!$A$2:$R$3432,4,0)</f>
        <v>9561518586</v>
      </c>
      <c r="F796" s="7" t="str">
        <f>VLOOKUP(A796,Sheet2!$A$2:$R$3432,3,0)</f>
        <v>SAURABH </v>
      </c>
      <c r="G796" s="5" t="s">
        <v>25</v>
      </c>
      <c r="H796" s="5" t="s">
        <v>25</v>
      </c>
      <c r="I796" s="5" t="s">
        <v>25</v>
      </c>
      <c r="J796" s="5" t="s">
        <v>25</v>
      </c>
      <c r="K796" s="7" t="str">
        <f>VLOOKUP(A796,Sheet2!$A$2:$R$3432,6,0)</f>
        <v>Honda Activa 6G</v>
      </c>
      <c r="L796" s="5" t="s">
        <v>25</v>
      </c>
      <c r="M796" s="7" t="str">
        <f>VLOOKUP(A796,Sheet2!$A$2:$R$3432,5,0)</f>
        <v>MH14LT3086</v>
      </c>
      <c r="N796" s="5" t="s">
        <v>25</v>
      </c>
      <c r="O796" s="5" t="s">
        <v>25</v>
      </c>
      <c r="P796" s="6" t="s">
        <v>25</v>
      </c>
      <c r="Q796" s="5" t="s">
        <v>25</v>
      </c>
      <c r="R796" s="5" t="s">
        <v>25</v>
      </c>
      <c r="S796" s="5" t="str">
        <f>VLOOKUP(A796,Sheet2!$A$2:$R$3432,18,0)</f>
        <v>JK15EW7045100</v>
      </c>
      <c r="T796" s="7" t="str">
        <f>VLOOKUP(A796,Sheet2!$A$2:$R$3432,17,0)</f>
        <v>ME4JK158GRW044966</v>
      </c>
    </row>
    <row r="797" ht="15.75" customHeight="1">
      <c r="A797" s="3" t="s">
        <v>820</v>
      </c>
      <c r="B797" s="4" t="str">
        <f>VLOOKUP(A797,Sheet2!$A$2:$R$3432,2,0)</f>
        <v>2025-01-03 20:28:02</v>
      </c>
      <c r="C797" s="5" t="s">
        <v>25</v>
      </c>
      <c r="D797" s="6" t="s">
        <v>25</v>
      </c>
      <c r="E797" s="7">
        <f>VLOOKUP(A797,Sheet2!$A$2:$R$3432,4,0)</f>
        <v>8210674190</v>
      </c>
      <c r="F797" s="7" t="str">
        <f>VLOOKUP(A797,Sheet2!$A$2:$R$3432,3,0)</f>
        <v>Saurabh</v>
      </c>
      <c r="G797" s="5" t="s">
        <v>25</v>
      </c>
      <c r="H797" s="5" t="s">
        <v>25</v>
      </c>
      <c r="I797" s="5" t="s">
        <v>25</v>
      </c>
      <c r="J797" s="5" t="s">
        <v>25</v>
      </c>
      <c r="K797" s="7" t="str">
        <f>VLOOKUP(A797,Sheet2!$A$2:$R$3432,6,0)</f>
        <v>Bajaj Avenger 220 Street</v>
      </c>
      <c r="L797" s="5" t="s">
        <v>25</v>
      </c>
      <c r="M797" s="7" t="str">
        <f>VLOOKUP(A797,Sheet2!$A$2:$R$3432,5,0)</f>
        <v>MH15HP6614</v>
      </c>
      <c r="N797" s="5" t="s">
        <v>25</v>
      </c>
      <c r="O797" s="5" t="s">
        <v>25</v>
      </c>
      <c r="P797" s="6" t="s">
        <v>25</v>
      </c>
      <c r="Q797" s="5" t="s">
        <v>25</v>
      </c>
      <c r="R797" s="5" t="s">
        <v>25</v>
      </c>
      <c r="S797" s="7" t="str">
        <f>VLOOKUP(A797,Sheet2!$A$2:$R$3432,18,0)</f>
        <v/>
      </c>
      <c r="T797" s="7" t="str">
        <f>VLOOKUP(A797,Sheet2!$A$2:$R$3432,17,0)</f>
        <v/>
      </c>
    </row>
    <row r="798" ht="15.75" customHeight="1">
      <c r="A798" s="3" t="s">
        <v>821</v>
      </c>
      <c r="B798" s="4" t="str">
        <f>VLOOKUP(A798,Sheet2!$A$2:$R$3432,2,0)</f>
        <v>2025-01-03 20:31:39</v>
      </c>
      <c r="C798" s="5" t="s">
        <v>25</v>
      </c>
      <c r="D798" s="6" t="s">
        <v>25</v>
      </c>
      <c r="E798" s="7">
        <f>VLOOKUP(A798,Sheet2!$A$2:$R$3432,4,0)</f>
        <v>7038446657</v>
      </c>
      <c r="F798" s="7" t="str">
        <f>VLOOKUP(A798,Sheet2!$A$2:$R$3432,3,0)</f>
        <v>Aditya </v>
      </c>
      <c r="G798" s="5" t="s">
        <v>25</v>
      </c>
      <c r="H798" s="5" t="s">
        <v>25</v>
      </c>
      <c r="I798" s="5" t="s">
        <v>25</v>
      </c>
      <c r="J798" s="5" t="s">
        <v>25</v>
      </c>
      <c r="K798" s="7" t="str">
        <f>VLOOKUP(A798,Sheet2!$A$2:$R$3432,6,0)</f>
        <v>Honda Hornet </v>
      </c>
      <c r="L798" s="5" t="s">
        <v>25</v>
      </c>
      <c r="M798" s="7" t="str">
        <f>VLOOKUP(A798,Sheet2!$A$2:$R$3432,5,0)</f>
        <v>MH14JY2256</v>
      </c>
      <c r="N798" s="5" t="s">
        <v>25</v>
      </c>
      <c r="O798" s="5" t="s">
        <v>25</v>
      </c>
      <c r="P798" s="6" t="s">
        <v>25</v>
      </c>
      <c r="Q798" s="5" t="s">
        <v>25</v>
      </c>
      <c r="R798" s="5" t="s">
        <v>25</v>
      </c>
      <c r="S798" s="7" t="str">
        <f>VLOOKUP(A798,Sheet2!$A$2:$R$3432,18,0)</f>
        <v/>
      </c>
      <c r="T798" s="7" t="str">
        <f>VLOOKUP(A798,Sheet2!$A$2:$R$3432,17,0)</f>
        <v/>
      </c>
    </row>
    <row r="799" ht="15.75" customHeight="1">
      <c r="A799" s="3" t="s">
        <v>822</v>
      </c>
      <c r="B799" s="4" t="str">
        <f>VLOOKUP(A799,Sheet2!$A$2:$R$3432,2,0)</f>
        <v>2025-01-05 20:22:24</v>
      </c>
      <c r="C799" s="5" t="s">
        <v>25</v>
      </c>
      <c r="D799" s="6" t="s">
        <v>25</v>
      </c>
      <c r="E799" s="7">
        <f>VLOOKUP(A799,Sheet2!$A$2:$R$3432,4,0)</f>
        <v>8055430868</v>
      </c>
      <c r="F799" s="7" t="str">
        <f>VLOOKUP(A799,Sheet2!$A$2:$R$3432,3,0)</f>
        <v>Ganesh Jojare</v>
      </c>
      <c r="G799" s="5" t="s">
        <v>25</v>
      </c>
      <c r="H799" s="5" t="s">
        <v>25</v>
      </c>
      <c r="I799" s="5" t="s">
        <v>25</v>
      </c>
      <c r="J799" s="5" t="s">
        <v>25</v>
      </c>
      <c r="K799" s="7" t="str">
        <f>VLOOKUP(A799,Sheet2!$A$2:$R$3432,6,0)</f>
        <v>Bajaj Pulsar 220F</v>
      </c>
      <c r="L799" s="5" t="s">
        <v>25</v>
      </c>
      <c r="M799" s="7" t="str">
        <f>VLOOKUP(A799,Sheet2!$A$2:$R$3432,5,0)</f>
        <v>MH12GY5970</v>
      </c>
      <c r="N799" s="5" t="s">
        <v>25</v>
      </c>
      <c r="O799" s="5" t="s">
        <v>25</v>
      </c>
      <c r="P799" s="6" t="s">
        <v>25</v>
      </c>
      <c r="Q799" s="5" t="s">
        <v>25</v>
      </c>
      <c r="R799" s="5" t="s">
        <v>25</v>
      </c>
      <c r="S799" s="5" t="str">
        <f>VLOOKUP(A799,Sheet2!$A$2:$R$3432,18,0)</f>
        <v>DKGBUC35390</v>
      </c>
      <c r="T799" s="7" t="str">
        <f>VLOOKUP(A799,Sheet2!$A$2:$R$3432,17,0)</f>
        <v>MD2DHDKZZUCC23822</v>
      </c>
    </row>
    <row r="800" ht="15.75" customHeight="1">
      <c r="A800" s="3" t="s">
        <v>823</v>
      </c>
      <c r="B800" s="4" t="str">
        <f>VLOOKUP(A800,Sheet2!$A$2:$R$3432,2,0)</f>
        <v>2025-01-05 20:21:16</v>
      </c>
      <c r="C800" s="5" t="s">
        <v>25</v>
      </c>
      <c r="D800" s="6" t="s">
        <v>25</v>
      </c>
      <c r="E800" s="7">
        <f>VLOOKUP(A800,Sheet2!$A$2:$R$3432,4,0)</f>
        <v>7420035795</v>
      </c>
      <c r="F800" s="7" t="str">
        <f>VLOOKUP(A800,Sheet2!$A$2:$R$3432,3,0)</f>
        <v>BALAJI TRADERS </v>
      </c>
      <c r="G800" s="5" t="s">
        <v>25</v>
      </c>
      <c r="H800" s="5" t="s">
        <v>25</v>
      </c>
      <c r="I800" s="5" t="s">
        <v>25</v>
      </c>
      <c r="J800" s="5" t="s">
        <v>25</v>
      </c>
      <c r="K800" s="7" t="str">
        <f>VLOOKUP(A800,Sheet2!$A$2:$R$3432,6,0)</f>
        <v>Hero Pleasure </v>
      </c>
      <c r="L800" s="5" t="s">
        <v>25</v>
      </c>
      <c r="M800" s="7" t="str">
        <f>VLOOKUP(A800,Sheet2!$A$2:$R$3432,5,0)</f>
        <v>MH14CE3147</v>
      </c>
      <c r="N800" s="5" t="s">
        <v>25</v>
      </c>
      <c r="O800" s="5" t="s">
        <v>25</v>
      </c>
      <c r="P800" s="6" t="s">
        <v>25</v>
      </c>
      <c r="Q800" s="5" t="s">
        <v>25</v>
      </c>
      <c r="R800" s="5" t="s">
        <v>25</v>
      </c>
      <c r="S800" s="5" t="str">
        <f>VLOOKUP(A800,Sheet2!$A$2:$R$3432,18,0)</f>
        <v>JF16ETG15919</v>
      </c>
      <c r="T800" s="7" t="str">
        <f>VLOOKUP(A800,Sheet2!$A$2:$R$3432,17,0)</f>
        <v>MBLJF16EDAGF12789</v>
      </c>
    </row>
    <row r="801" ht="15.75" customHeight="1">
      <c r="A801" s="3" t="s">
        <v>824</v>
      </c>
      <c r="B801" s="4" t="str">
        <f>VLOOKUP(A801,Sheet2!$A$2:$R$3432,2,0)</f>
        <v>2025-01-05 20:19:59</v>
      </c>
      <c r="C801" s="5" t="s">
        <v>25</v>
      </c>
      <c r="D801" s="6" t="s">
        <v>25</v>
      </c>
      <c r="E801" s="7">
        <f>VLOOKUP(A801,Sheet2!$A$2:$R$3432,4,0)</f>
        <v>8788219687</v>
      </c>
      <c r="F801" s="7" t="str">
        <f>VLOOKUP(A801,Sheet2!$A$2:$R$3432,3,0)</f>
        <v>SAURABH GORE</v>
      </c>
      <c r="G801" s="5" t="s">
        <v>25</v>
      </c>
      <c r="H801" s="5" t="s">
        <v>25</v>
      </c>
      <c r="I801" s="5" t="s">
        <v>25</v>
      </c>
      <c r="J801" s="5" t="s">
        <v>25</v>
      </c>
      <c r="K801" s="7" t="str">
        <f>VLOOKUP(A801,Sheet2!$A$2:$R$3432,6,0)</f>
        <v>Bajaj Pulsar 150</v>
      </c>
      <c r="L801" s="5" t="s">
        <v>25</v>
      </c>
      <c r="M801" s="7" t="str">
        <f>VLOOKUP(A801,Sheet2!$A$2:$R$3432,5,0)</f>
        <v>MH16BR2877</v>
      </c>
      <c r="N801" s="5" t="s">
        <v>25</v>
      </c>
      <c r="O801" s="5" t="s">
        <v>25</v>
      </c>
      <c r="P801" s="6" t="s">
        <v>25</v>
      </c>
      <c r="Q801" s="5" t="s">
        <v>25</v>
      </c>
      <c r="R801" s="5" t="s">
        <v>25</v>
      </c>
      <c r="S801" s="5" t="str">
        <f>VLOOKUP(A801,Sheet2!$A$2:$R$3432,18,0)</f>
        <v>MD2A11CZXGBW19437</v>
      </c>
      <c r="T801" s="7" t="str">
        <f>VLOOKUP(A801,Sheet2!$A$2:$R$3432,17,0)</f>
        <v>DH2WGB30327</v>
      </c>
    </row>
    <row r="802" ht="15.75" customHeight="1">
      <c r="A802" s="3" t="s">
        <v>825</v>
      </c>
      <c r="B802" s="4" t="str">
        <f>VLOOKUP(A802,Sheet2!$A$2:$R$3432,2,0)</f>
        <v>2025-01-05 20:17:52</v>
      </c>
      <c r="C802" s="5" t="s">
        <v>25</v>
      </c>
      <c r="D802" s="6" t="s">
        <v>25</v>
      </c>
      <c r="E802" s="7">
        <f>VLOOKUP(A802,Sheet2!$A$2:$R$3432,4,0)</f>
        <v>7038982545</v>
      </c>
      <c r="F802" s="7" t="str">
        <f>VLOOKUP(A802,Sheet2!$A$2:$R$3432,3,0)</f>
        <v>Harshad Rathod</v>
      </c>
      <c r="G802" s="5" t="s">
        <v>25</v>
      </c>
      <c r="H802" s="5" t="s">
        <v>25</v>
      </c>
      <c r="I802" s="5" t="s">
        <v>25</v>
      </c>
      <c r="J802" s="5" t="s">
        <v>25</v>
      </c>
      <c r="K802" s="7" t="str">
        <f>VLOOKUP(A802,Sheet2!$A$2:$R$3432,6,0)</f>
        <v>Yamaha FZS V3.0</v>
      </c>
      <c r="L802" s="5" t="s">
        <v>25</v>
      </c>
      <c r="M802" s="7" t="str">
        <f>VLOOKUP(A802,Sheet2!$A$2:$R$3432,5,0)</f>
        <v>MH12FL9669</v>
      </c>
      <c r="N802" s="5" t="s">
        <v>25</v>
      </c>
      <c r="O802" s="5" t="s">
        <v>25</v>
      </c>
      <c r="P802" s="6" t="s">
        <v>25</v>
      </c>
      <c r="Q802" s="5" t="s">
        <v>25</v>
      </c>
      <c r="R802" s="5" t="s">
        <v>25</v>
      </c>
      <c r="S802" s="5" t="str">
        <f>VLOOKUP(A802,Sheet2!$A$2:$R$3432,18,0)</f>
        <v>21C2014164</v>
      </c>
      <c r="T802" s="7" t="str">
        <f>VLOOKUP(A802,Sheet2!$A$2:$R$3432,17,0)</f>
        <v>ME121C02492014253</v>
      </c>
    </row>
    <row r="803" ht="15.75" customHeight="1">
      <c r="A803" s="3" t="s">
        <v>826</v>
      </c>
      <c r="B803" s="4" t="str">
        <f>VLOOKUP(A803,Sheet2!$A$2:$R$3432,2,0)</f>
        <v>2025-01-05 20:10:34</v>
      </c>
      <c r="C803" s="5" t="s">
        <v>25</v>
      </c>
      <c r="D803" s="6" t="s">
        <v>25</v>
      </c>
      <c r="E803" s="7">
        <f>VLOOKUP(A803,Sheet2!$A$2:$R$3432,4,0)</f>
        <v>8879350508</v>
      </c>
      <c r="F803" s="7" t="str">
        <f>VLOOKUP(A803,Sheet2!$A$2:$R$3432,3,0)</f>
        <v>Prashant Pande</v>
      </c>
      <c r="G803" s="5" t="s">
        <v>25</v>
      </c>
      <c r="H803" s="5" t="s">
        <v>25</v>
      </c>
      <c r="I803" s="5" t="s">
        <v>25</v>
      </c>
      <c r="J803" s="5" t="s">
        <v>25</v>
      </c>
      <c r="K803" s="7" t="str">
        <f>VLOOKUP(A803,Sheet2!$A$2:$R$3432,6,0)</f>
        <v>TVS Wego No Data</v>
      </c>
      <c r="L803" s="5" t="s">
        <v>25</v>
      </c>
      <c r="M803" s="7" t="str">
        <f>VLOOKUP(A803,Sheet2!$A$2:$R$3432,5,0)</f>
        <v>MH43BT4988</v>
      </c>
      <c r="N803" s="5" t="s">
        <v>25</v>
      </c>
      <c r="O803" s="5" t="s">
        <v>25</v>
      </c>
      <c r="P803" s="6" t="s">
        <v>25</v>
      </c>
      <c r="Q803" s="5" t="s">
        <v>25</v>
      </c>
      <c r="R803" s="5" t="s">
        <v>25</v>
      </c>
      <c r="S803" s="7" t="str">
        <f>VLOOKUP(A803,Sheet2!$A$2:$R$3432,18,0)</f>
        <v/>
      </c>
      <c r="T803" s="7" t="str">
        <f>VLOOKUP(A803,Sheet2!$A$2:$R$3432,17,0)</f>
        <v/>
      </c>
    </row>
    <row r="804" ht="15.75" customHeight="1">
      <c r="A804" s="3" t="s">
        <v>827</v>
      </c>
      <c r="B804" s="4" t="str">
        <f>VLOOKUP(A804,Sheet2!$A$2:$R$3432,2,0)</f>
        <v>2025-01-05 13:05:46</v>
      </c>
      <c r="C804" s="5" t="s">
        <v>25</v>
      </c>
      <c r="D804" s="6" t="s">
        <v>25</v>
      </c>
      <c r="E804" s="7">
        <f>VLOOKUP(A804,Sheet2!$A$2:$R$3432,4,0)</f>
        <v>9922800811</v>
      </c>
      <c r="F804" s="7" t="str">
        <f>VLOOKUP(A804,Sheet2!$A$2:$R$3432,3,0)</f>
        <v>Dilip Rathod</v>
      </c>
      <c r="G804" s="5" t="s">
        <v>25</v>
      </c>
      <c r="H804" s="5" t="s">
        <v>25</v>
      </c>
      <c r="I804" s="5" t="s">
        <v>25</v>
      </c>
      <c r="J804" s="5" t="s">
        <v>25</v>
      </c>
      <c r="K804" s="7" t="str">
        <f>VLOOKUP(A804,Sheet2!$A$2:$R$3432,6,0)</f>
        <v>Bajaj Pulsar 150</v>
      </c>
      <c r="L804" s="5" t="s">
        <v>25</v>
      </c>
      <c r="M804" s="7" t="str">
        <f>VLOOKUP(A804,Sheet2!$A$2:$R$3432,5,0)</f>
        <v>MH12DX2482</v>
      </c>
      <c r="N804" s="5" t="s">
        <v>25</v>
      </c>
      <c r="O804" s="5" t="s">
        <v>25</v>
      </c>
      <c r="P804" s="6" t="s">
        <v>25</v>
      </c>
      <c r="Q804" s="5" t="s">
        <v>25</v>
      </c>
      <c r="R804" s="5" t="s">
        <v>25</v>
      </c>
      <c r="S804" s="7" t="str">
        <f>VLOOKUP(A804,Sheet2!$A$2:$R$3432,18,0)</f>
        <v/>
      </c>
      <c r="T804" s="7" t="str">
        <f>VLOOKUP(A804,Sheet2!$A$2:$R$3432,17,0)</f>
        <v/>
      </c>
    </row>
    <row r="805" ht="15.75" customHeight="1">
      <c r="A805" s="3" t="s">
        <v>828</v>
      </c>
      <c r="B805" s="4" t="str">
        <f>VLOOKUP(A805,Sheet2!$A$2:$R$3432,2,0)</f>
        <v>2025-01-05 20:11:15</v>
      </c>
      <c r="C805" s="5" t="s">
        <v>25</v>
      </c>
      <c r="D805" s="6" t="s">
        <v>25</v>
      </c>
      <c r="E805" s="7">
        <f>VLOOKUP(A805,Sheet2!$A$2:$R$3432,4,0)</f>
        <v>9922939367</v>
      </c>
      <c r="F805" s="7" t="str">
        <f>VLOOKUP(A805,Sheet2!$A$2:$R$3432,3,0)</f>
        <v>Shaha Sandesh</v>
      </c>
      <c r="G805" s="5" t="s">
        <v>25</v>
      </c>
      <c r="H805" s="5" t="s">
        <v>25</v>
      </c>
      <c r="I805" s="5" t="s">
        <v>25</v>
      </c>
      <c r="J805" s="5" t="s">
        <v>25</v>
      </c>
      <c r="K805" s="7" t="str">
        <f>VLOOKUP(A805,Sheet2!$A$2:$R$3432,6,0)</f>
        <v>LML Vespa </v>
      </c>
      <c r="L805" s="5" t="s">
        <v>25</v>
      </c>
      <c r="M805" s="7" t="str">
        <f>VLOOKUP(A805,Sheet2!$A$2:$R$3432,5,0)</f>
        <v>MH12PY0924</v>
      </c>
      <c r="N805" s="5" t="s">
        <v>25</v>
      </c>
      <c r="O805" s="5" t="s">
        <v>25</v>
      </c>
      <c r="P805" s="6" t="s">
        <v>25</v>
      </c>
      <c r="Q805" s="5" t="s">
        <v>25</v>
      </c>
      <c r="R805" s="5" t="s">
        <v>25</v>
      </c>
      <c r="S805" s="7" t="str">
        <f>VLOOKUP(A805,Sheet2!$A$2:$R$3432,18,0)</f>
        <v/>
      </c>
      <c r="T805" s="7" t="str">
        <f>VLOOKUP(A805,Sheet2!$A$2:$R$3432,17,0)</f>
        <v/>
      </c>
    </row>
    <row r="806" ht="15.75" customHeight="1">
      <c r="A806" s="3" t="s">
        <v>829</v>
      </c>
      <c r="B806" s="4" t="str">
        <f>VLOOKUP(A806,Sheet2!$A$2:$R$3432,2,0)</f>
        <v>2025-01-05 20:18:54</v>
      </c>
      <c r="C806" s="5" t="s">
        <v>25</v>
      </c>
      <c r="D806" s="6" t="s">
        <v>25</v>
      </c>
      <c r="E806" s="7">
        <f>VLOOKUP(A806,Sheet2!$A$2:$R$3432,4,0)</f>
        <v>9595777496</v>
      </c>
      <c r="F806" s="7" t="str">
        <f>VLOOKUP(A806,Sheet2!$A$2:$R$3432,3,0)</f>
        <v>Saurabh Shinde </v>
      </c>
      <c r="G806" s="5" t="s">
        <v>25</v>
      </c>
      <c r="H806" s="5" t="s">
        <v>25</v>
      </c>
      <c r="I806" s="5" t="s">
        <v>25</v>
      </c>
      <c r="J806" s="5" t="s">
        <v>25</v>
      </c>
      <c r="K806" s="7" t="str">
        <f>VLOOKUP(A806,Sheet2!$A$2:$R$3432,6,0)</f>
        <v>Royal Enfield Bullet 350</v>
      </c>
      <c r="L806" s="5" t="s">
        <v>25</v>
      </c>
      <c r="M806" s="7" t="str">
        <f>VLOOKUP(A806,Sheet2!$A$2:$R$3432,5,0)</f>
        <v>MH34CC3562</v>
      </c>
      <c r="N806" s="5" t="s">
        <v>25</v>
      </c>
      <c r="O806" s="5" t="s">
        <v>25</v>
      </c>
      <c r="P806" s="6" t="s">
        <v>25</v>
      </c>
      <c r="Q806" s="5" t="s">
        <v>25</v>
      </c>
      <c r="R806" s="5" t="s">
        <v>25</v>
      </c>
      <c r="S806" s="7" t="str">
        <f>VLOOKUP(A806,Sheet2!$A$2:$R$3432,18,0)</f>
        <v/>
      </c>
      <c r="T806" s="7" t="str">
        <f>VLOOKUP(A806,Sheet2!$A$2:$R$3432,17,0)</f>
        <v>ME3J3D5FKNT100345</v>
      </c>
    </row>
    <row r="807" ht="15.75" customHeight="1">
      <c r="A807" s="3" t="s">
        <v>830</v>
      </c>
      <c r="B807" s="4" t="str">
        <f>VLOOKUP(A807,Sheet2!$A$2:$R$3432,2,0)</f>
        <v>2025-01-05 20:11:47</v>
      </c>
      <c r="C807" s="5" t="s">
        <v>25</v>
      </c>
      <c r="D807" s="6" t="s">
        <v>25</v>
      </c>
      <c r="E807" s="7">
        <f>VLOOKUP(A807,Sheet2!$A$2:$R$3432,4,0)</f>
        <v>8838258454</v>
      </c>
      <c r="F807" s="7" t="str">
        <f>VLOOKUP(A807,Sheet2!$A$2:$R$3432,3,0)</f>
        <v>Getan</v>
      </c>
      <c r="G807" s="5" t="s">
        <v>25</v>
      </c>
      <c r="H807" s="5" t="s">
        <v>25</v>
      </c>
      <c r="I807" s="5" t="s">
        <v>25</v>
      </c>
      <c r="J807" s="5" t="s">
        <v>25</v>
      </c>
      <c r="K807" s="7" t="str">
        <f>VLOOKUP(A807,Sheet2!$A$2:$R$3432,6,0)</f>
        <v>Suzuki Access </v>
      </c>
      <c r="L807" s="5" t="s">
        <v>25</v>
      </c>
      <c r="M807" s="7" t="str">
        <f>VLOOKUP(A807,Sheet2!$A$2:$R$3432,5,0)</f>
        <v>TN38CV8110</v>
      </c>
      <c r="N807" s="5" t="s">
        <v>25</v>
      </c>
      <c r="O807" s="5" t="s">
        <v>25</v>
      </c>
      <c r="P807" s="6" t="s">
        <v>25</v>
      </c>
      <c r="Q807" s="5" t="s">
        <v>25</v>
      </c>
      <c r="R807" s="5" t="s">
        <v>25</v>
      </c>
      <c r="S807" s="7" t="str">
        <f>VLOOKUP(A807,Sheet2!$A$2:$R$3432,18,0)</f>
        <v/>
      </c>
      <c r="T807" s="7" t="str">
        <f>VLOOKUP(A807,Sheet2!$A$2:$R$3432,17,0)</f>
        <v/>
      </c>
    </row>
    <row r="808" ht="15.75" customHeight="1">
      <c r="A808" s="3" t="s">
        <v>831</v>
      </c>
      <c r="B808" s="4" t="str">
        <f>VLOOKUP(A808,Sheet2!$A$2:$R$3432,2,0)</f>
        <v>2025-01-05 20:15:37</v>
      </c>
      <c r="C808" s="5" t="s">
        <v>25</v>
      </c>
      <c r="D808" s="6" t="s">
        <v>25</v>
      </c>
      <c r="E808" s="7">
        <f>VLOOKUP(A808,Sheet2!$A$2:$R$3432,4,0)</f>
        <v>8007999162</v>
      </c>
      <c r="F808" s="7" t="str">
        <f>VLOOKUP(A808,Sheet2!$A$2:$R$3432,3,0)</f>
        <v>Kirti Kulkarni </v>
      </c>
      <c r="G808" s="5" t="s">
        <v>25</v>
      </c>
      <c r="H808" s="5" t="s">
        <v>25</v>
      </c>
      <c r="I808" s="5" t="s">
        <v>25</v>
      </c>
      <c r="J808" s="5" t="s">
        <v>25</v>
      </c>
      <c r="K808" s="7" t="str">
        <f>VLOOKUP(A808,Sheet2!$A$2:$R$3432,6,0)</f>
        <v>TVS Jupiter </v>
      </c>
      <c r="L808" s="5" t="s">
        <v>25</v>
      </c>
      <c r="M808" s="7" t="str">
        <f>VLOOKUP(A808,Sheet2!$A$2:$R$3432,5,0)</f>
        <v>MH14JY4279</v>
      </c>
      <c r="N808" s="5" t="s">
        <v>25</v>
      </c>
      <c r="O808" s="5" t="s">
        <v>25</v>
      </c>
      <c r="P808" s="6" t="s">
        <v>25</v>
      </c>
      <c r="Q808" s="5" t="s">
        <v>25</v>
      </c>
      <c r="R808" s="5" t="s">
        <v>25</v>
      </c>
      <c r="S808" s="7" t="str">
        <f>VLOOKUP(A808,Sheet2!$A$2:$R$3432,18,0)</f>
        <v/>
      </c>
      <c r="T808" s="7" t="str">
        <f>VLOOKUP(A808,Sheet2!$A$2:$R$3432,17,0)</f>
        <v/>
      </c>
    </row>
    <row r="809" ht="15.75" customHeight="1">
      <c r="A809" s="3" t="s">
        <v>832</v>
      </c>
      <c r="B809" s="4" t="str">
        <f>VLOOKUP(A809,Sheet2!$A$2:$R$3432,2,0)</f>
        <v>2025-01-05 20:23:28</v>
      </c>
      <c r="C809" s="5" t="s">
        <v>25</v>
      </c>
      <c r="D809" s="6" t="s">
        <v>25</v>
      </c>
      <c r="E809" s="7">
        <f>VLOOKUP(A809,Sheet2!$A$2:$R$3432,4,0)</f>
        <v>9975248780</v>
      </c>
      <c r="F809" s="7" t="str">
        <f>VLOOKUP(A809,Sheet2!$A$2:$R$3432,3,0)</f>
        <v>Rohit Waghmare </v>
      </c>
      <c r="G809" s="5" t="s">
        <v>25</v>
      </c>
      <c r="H809" s="5" t="s">
        <v>25</v>
      </c>
      <c r="I809" s="5" t="s">
        <v>25</v>
      </c>
      <c r="J809" s="5" t="s">
        <v>25</v>
      </c>
      <c r="K809" s="7" t="str">
        <f>VLOOKUP(A809,Sheet2!$A$2:$R$3432,6,0)</f>
        <v>Honda Activa 3G</v>
      </c>
      <c r="L809" s="5" t="s">
        <v>25</v>
      </c>
      <c r="M809" s="7" t="str">
        <f>VLOOKUP(A809,Sheet2!$A$2:$R$3432,5,0)</f>
        <v>MH14FE9609</v>
      </c>
      <c r="N809" s="5" t="s">
        <v>25</v>
      </c>
      <c r="O809" s="5" t="s">
        <v>25</v>
      </c>
      <c r="P809" s="6" t="s">
        <v>25</v>
      </c>
      <c r="Q809" s="5" t="s">
        <v>25</v>
      </c>
      <c r="R809" s="5" t="s">
        <v>25</v>
      </c>
      <c r="S809" s="5" t="str">
        <f>VLOOKUP(A809,Sheet2!$A$2:$R$3432,18,0)</f>
        <v>82243757</v>
      </c>
      <c r="T809" s="7" t="str">
        <f>VLOOKUP(A809,Sheet2!$A$2:$R$3432,17,0)</f>
        <v>8244628</v>
      </c>
    </row>
    <row r="810" ht="15.75" customHeight="1">
      <c r="A810" s="3" t="s">
        <v>833</v>
      </c>
      <c r="B810" s="4" t="str">
        <f>VLOOKUP(A810,Sheet2!$A$2:$R$3432,2,0)</f>
        <v>2025-01-05 20:09:55</v>
      </c>
      <c r="C810" s="5" t="s">
        <v>25</v>
      </c>
      <c r="D810" s="6" t="s">
        <v>25</v>
      </c>
      <c r="E810" s="7">
        <f>VLOOKUP(A810,Sheet2!$A$2:$R$3432,4,0)</f>
        <v>8600991151</v>
      </c>
      <c r="F810" s="7" t="str">
        <f>VLOOKUP(A810,Sheet2!$A$2:$R$3432,3,0)</f>
        <v>Dheeraj Patil</v>
      </c>
      <c r="G810" s="5" t="s">
        <v>25</v>
      </c>
      <c r="H810" s="5" t="s">
        <v>25</v>
      </c>
      <c r="I810" s="5" t="s">
        <v>25</v>
      </c>
      <c r="J810" s="5" t="s">
        <v>25</v>
      </c>
      <c r="K810" s="7" t="str">
        <f>VLOOKUP(A810,Sheet2!$A$2:$R$3432,6,0)</f>
        <v>Honda Activa 110</v>
      </c>
      <c r="L810" s="5" t="s">
        <v>25</v>
      </c>
      <c r="M810" s="7" t="str">
        <f>VLOOKUP(A810,Sheet2!$A$2:$R$3432,5,0)</f>
        <v>MH12KC6349</v>
      </c>
      <c r="N810" s="5" t="s">
        <v>25</v>
      </c>
      <c r="O810" s="5" t="s">
        <v>25</v>
      </c>
      <c r="P810" s="6" t="s">
        <v>25</v>
      </c>
      <c r="Q810" s="5" t="s">
        <v>25</v>
      </c>
      <c r="R810" s="5" t="s">
        <v>25</v>
      </c>
      <c r="S810" s="7" t="str">
        <f>VLOOKUP(A810,Sheet2!$A$2:$R$3432,18,0)</f>
        <v/>
      </c>
      <c r="T810" s="7" t="str">
        <f>VLOOKUP(A810,Sheet2!$A$2:$R$3432,17,0)</f>
        <v>ME4JF501FB8332188</v>
      </c>
    </row>
    <row r="811" ht="15.75" customHeight="1">
      <c r="A811" s="3" t="s">
        <v>834</v>
      </c>
      <c r="B811" s="4" t="str">
        <f>VLOOKUP(A811,Sheet2!$A$2:$R$3432,2,0)</f>
        <v>2025-01-05 20:14:44</v>
      </c>
      <c r="C811" s="5" t="s">
        <v>25</v>
      </c>
      <c r="D811" s="6" t="s">
        <v>25</v>
      </c>
      <c r="E811" s="7">
        <f>VLOOKUP(A811,Sheet2!$A$2:$R$3432,4,0)</f>
        <v>9960409602</v>
      </c>
      <c r="F811" s="7" t="str">
        <f>VLOOKUP(A811,Sheet2!$A$2:$R$3432,3,0)</f>
        <v>Deepak Raut</v>
      </c>
      <c r="G811" s="5" t="s">
        <v>25</v>
      </c>
      <c r="H811" s="5" t="s">
        <v>25</v>
      </c>
      <c r="I811" s="5" t="s">
        <v>25</v>
      </c>
      <c r="J811" s="5" t="s">
        <v>25</v>
      </c>
      <c r="K811" s="7" t="str">
        <f>VLOOKUP(A811,Sheet2!$A$2:$R$3432,6,0)</f>
        <v>Honda Activa 3G</v>
      </c>
      <c r="L811" s="5" t="s">
        <v>25</v>
      </c>
      <c r="M811" s="7" t="str">
        <f>VLOOKUP(A811,Sheet2!$A$2:$R$3432,5,0)</f>
        <v>MH36W1705</v>
      </c>
      <c r="N811" s="5" t="s">
        <v>25</v>
      </c>
      <c r="O811" s="5" t="s">
        <v>25</v>
      </c>
      <c r="P811" s="6" t="s">
        <v>25</v>
      </c>
      <c r="Q811" s="5" t="s">
        <v>25</v>
      </c>
      <c r="R811" s="5" t="s">
        <v>25</v>
      </c>
      <c r="S811" s="7" t="str">
        <f>VLOOKUP(A811,Sheet2!$A$2:$R$3432,18,0)</f>
        <v/>
      </c>
      <c r="T811" s="7" t="str">
        <f>VLOOKUP(A811,Sheet2!$A$2:$R$3432,17,0)</f>
        <v/>
      </c>
    </row>
    <row r="812" ht="15.75" customHeight="1">
      <c r="A812" s="3" t="s">
        <v>835</v>
      </c>
      <c r="B812" s="4" t="str">
        <f>VLOOKUP(A812,Sheet2!$A$2:$R$3432,2,0)</f>
        <v>2025-01-05 20:12:18</v>
      </c>
      <c r="C812" s="5" t="s">
        <v>25</v>
      </c>
      <c r="D812" s="6" t="s">
        <v>25</v>
      </c>
      <c r="E812" s="7">
        <f>VLOOKUP(A812,Sheet2!$A$2:$R$3432,4,0)</f>
        <v>9623621319</v>
      </c>
      <c r="F812" s="7" t="str">
        <f>VLOOKUP(A812,Sheet2!$A$2:$R$3432,3,0)</f>
        <v>NILESH PATIL</v>
      </c>
      <c r="G812" s="5" t="s">
        <v>25</v>
      </c>
      <c r="H812" s="5" t="s">
        <v>25</v>
      </c>
      <c r="I812" s="5" t="s">
        <v>25</v>
      </c>
      <c r="J812" s="5" t="s">
        <v>25</v>
      </c>
      <c r="K812" s="7" t="str">
        <f>VLOOKUP(A812,Sheet2!$A$2:$R$3432,6,0)</f>
        <v>Yamaha FZ V3</v>
      </c>
      <c r="L812" s="5" t="s">
        <v>25</v>
      </c>
      <c r="M812" s="7" t="str">
        <f>VLOOKUP(A812,Sheet2!$A$2:$R$3432,5,0)</f>
        <v>MH09FH9273</v>
      </c>
      <c r="N812" s="5" t="s">
        <v>25</v>
      </c>
      <c r="O812" s="5" t="s">
        <v>25</v>
      </c>
      <c r="P812" s="6" t="s">
        <v>25</v>
      </c>
      <c r="Q812" s="5" t="s">
        <v>25</v>
      </c>
      <c r="R812" s="5" t="s">
        <v>25</v>
      </c>
      <c r="S812" s="7" t="str">
        <f>VLOOKUP(A812,Sheet2!$A$2:$R$3432,18,0)</f>
        <v/>
      </c>
      <c r="T812" s="7" t="str">
        <f>VLOOKUP(A812,Sheet2!$A$2:$R$3432,17,0)</f>
        <v/>
      </c>
    </row>
    <row r="813" ht="15.75" customHeight="1">
      <c r="A813" s="3" t="s">
        <v>836</v>
      </c>
      <c r="B813" s="4" t="str">
        <f>VLOOKUP(A813,Sheet2!$A$2:$R$3432,2,0)</f>
        <v>2025-01-05 20:20:33</v>
      </c>
      <c r="C813" s="5" t="s">
        <v>25</v>
      </c>
      <c r="D813" s="6" t="s">
        <v>25</v>
      </c>
      <c r="E813" s="7">
        <f>VLOOKUP(A813,Sheet2!$A$2:$R$3432,4,0)</f>
        <v>9527065123</v>
      </c>
      <c r="F813" s="7" t="str">
        <f>VLOOKUP(A813,Sheet2!$A$2:$R$3432,3,0)</f>
        <v>GEETASWAMI</v>
      </c>
      <c r="G813" s="5" t="s">
        <v>25</v>
      </c>
      <c r="H813" s="5" t="s">
        <v>25</v>
      </c>
      <c r="I813" s="5" t="s">
        <v>25</v>
      </c>
      <c r="J813" s="5" t="s">
        <v>25</v>
      </c>
      <c r="K813" s="7" t="str">
        <f>VLOOKUP(A813,Sheet2!$A$2:$R$3432,6,0)</f>
        <v>Honda Activa 110</v>
      </c>
      <c r="L813" s="5" t="s">
        <v>25</v>
      </c>
      <c r="M813" s="7" t="str">
        <f>VLOOKUP(A813,Sheet2!$A$2:$R$3432,5,0)</f>
        <v>MH14DY4529</v>
      </c>
      <c r="N813" s="5" t="s">
        <v>25</v>
      </c>
      <c r="O813" s="5" t="s">
        <v>25</v>
      </c>
      <c r="P813" s="6" t="s">
        <v>25</v>
      </c>
      <c r="Q813" s="5" t="s">
        <v>25</v>
      </c>
      <c r="R813" s="5" t="s">
        <v>25</v>
      </c>
      <c r="S813" s="7" t="str">
        <f>VLOOKUP(A813,Sheet2!$A$2:$R$3432,18,0)</f>
        <v/>
      </c>
      <c r="T813" s="7" t="str">
        <f>VLOOKUP(A813,Sheet2!$A$2:$R$3432,17,0)</f>
        <v/>
      </c>
    </row>
    <row r="814" ht="15.75" customHeight="1">
      <c r="A814" s="3" t="s">
        <v>837</v>
      </c>
      <c r="B814" s="4" t="str">
        <f>VLOOKUP(A814,Sheet2!$A$2:$R$3432,2,0)</f>
        <v>2025-01-05 20:22:04</v>
      </c>
      <c r="C814" s="5" t="s">
        <v>25</v>
      </c>
      <c r="D814" s="6" t="s">
        <v>25</v>
      </c>
      <c r="E814" s="7">
        <f>VLOOKUP(A814,Sheet2!$A$2:$R$3432,4,0)</f>
        <v>7843067860</v>
      </c>
      <c r="F814" s="7" t="str">
        <f>VLOOKUP(A814,Sheet2!$A$2:$R$3432,3,0)</f>
        <v>Patil</v>
      </c>
      <c r="G814" s="5" t="s">
        <v>25</v>
      </c>
      <c r="H814" s="5" t="s">
        <v>25</v>
      </c>
      <c r="I814" s="5" t="s">
        <v>25</v>
      </c>
      <c r="J814" s="5" t="s">
        <v>25</v>
      </c>
      <c r="K814" s="7" t="str">
        <f>VLOOKUP(A814,Sheet2!$A$2:$R$3432,6,0)</f>
        <v>Hero Duet No Data</v>
      </c>
      <c r="L814" s="5" t="s">
        <v>25</v>
      </c>
      <c r="M814" s="7" t="str">
        <f>VLOOKUP(A814,Sheet2!$A$2:$R$3432,5,0)</f>
        <v>MH12SM9220</v>
      </c>
      <c r="N814" s="5" t="s">
        <v>25</v>
      </c>
      <c r="O814" s="5" t="s">
        <v>25</v>
      </c>
      <c r="P814" s="6" t="s">
        <v>25</v>
      </c>
      <c r="Q814" s="5" t="s">
        <v>25</v>
      </c>
      <c r="R814" s="5" t="s">
        <v>25</v>
      </c>
      <c r="S814" s="7" t="str">
        <f>VLOOKUP(A814,Sheet2!$A$2:$R$3432,18,0)</f>
        <v/>
      </c>
      <c r="T814" s="7" t="str">
        <f>VLOOKUP(A814,Sheet2!$A$2:$R$3432,17,0)</f>
        <v/>
      </c>
    </row>
    <row r="815" ht="15.75" customHeight="1">
      <c r="A815" s="3" t="s">
        <v>838</v>
      </c>
      <c r="B815" s="4" t="str">
        <f>VLOOKUP(A815,Sheet2!$A$2:$R$3432,2,0)</f>
        <v>2025-01-05 20:24:55</v>
      </c>
      <c r="C815" s="5" t="s">
        <v>25</v>
      </c>
      <c r="D815" s="6" t="s">
        <v>25</v>
      </c>
      <c r="E815" s="7">
        <f>VLOOKUP(A815,Sheet2!$A$2:$R$3432,4,0)</f>
        <v>9767673142</v>
      </c>
      <c r="F815" s="7" t="str">
        <f>VLOOKUP(A815,Sheet2!$A$2:$R$3432,3,0)</f>
        <v>Suraj</v>
      </c>
      <c r="G815" s="5" t="s">
        <v>25</v>
      </c>
      <c r="H815" s="5" t="s">
        <v>25</v>
      </c>
      <c r="I815" s="5" t="s">
        <v>25</v>
      </c>
      <c r="J815" s="5" t="s">
        <v>25</v>
      </c>
      <c r="K815" s="7" t="str">
        <f>VLOOKUP(A815,Sheet2!$A$2:$R$3432,6,0)</f>
        <v>Bajaj Pulsar 125 NS</v>
      </c>
      <c r="L815" s="5" t="s">
        <v>25</v>
      </c>
      <c r="M815" s="7" t="str">
        <f>VLOOKUP(A815,Sheet2!$A$2:$R$3432,5,0)</f>
        <v>MH12TW6957</v>
      </c>
      <c r="N815" s="5" t="s">
        <v>25</v>
      </c>
      <c r="O815" s="5" t="s">
        <v>25</v>
      </c>
      <c r="P815" s="6" t="s">
        <v>25</v>
      </c>
      <c r="Q815" s="5" t="s">
        <v>25</v>
      </c>
      <c r="R815" s="5" t="s">
        <v>25</v>
      </c>
      <c r="S815" s="7" t="str">
        <f>VLOOKUP(A815,Sheet2!$A$2:$R$3432,18,0)</f>
        <v/>
      </c>
      <c r="T815" s="7" t="str">
        <f>VLOOKUP(A815,Sheet2!$A$2:$R$3432,17,0)</f>
        <v/>
      </c>
    </row>
    <row r="816" ht="15.75" customHeight="1">
      <c r="A816" s="3" t="s">
        <v>839</v>
      </c>
      <c r="B816" s="4" t="str">
        <f>VLOOKUP(A816,Sheet2!$A$2:$R$3432,2,0)</f>
        <v>2025-01-05 20:45:35</v>
      </c>
      <c r="C816" s="5" t="s">
        <v>25</v>
      </c>
      <c r="D816" s="6" t="s">
        <v>25</v>
      </c>
      <c r="E816" s="7">
        <f>VLOOKUP(A816,Sheet2!$A$2:$R$3432,4,0)</f>
        <v>9404068663</v>
      </c>
      <c r="F816" s="7" t="str">
        <f>VLOOKUP(A816,Sheet2!$A$2:$R$3432,3,0)</f>
        <v>PRANAV KARHALE</v>
      </c>
      <c r="G816" s="5" t="s">
        <v>25</v>
      </c>
      <c r="H816" s="5" t="s">
        <v>25</v>
      </c>
      <c r="I816" s="5" t="s">
        <v>25</v>
      </c>
      <c r="J816" s="5" t="s">
        <v>25</v>
      </c>
      <c r="K816" s="7" t="str">
        <f>VLOOKUP(A816,Sheet2!$A$2:$R$3432,6,0)</f>
        <v>Hero Maestro Dash/Edge</v>
      </c>
      <c r="L816" s="5" t="s">
        <v>25</v>
      </c>
      <c r="M816" s="7" t="str">
        <f>VLOOKUP(A816,Sheet2!$A$2:$R$3432,5,0)</f>
        <v>MH26AX3567</v>
      </c>
      <c r="N816" s="5" t="s">
        <v>25</v>
      </c>
      <c r="O816" s="5" t="s">
        <v>25</v>
      </c>
      <c r="P816" s="6" t="s">
        <v>25</v>
      </c>
      <c r="Q816" s="5" t="s">
        <v>25</v>
      </c>
      <c r="R816" s="5" t="s">
        <v>25</v>
      </c>
      <c r="S816" s="5" t="str">
        <f>VLOOKUP(A816,Sheet2!$A$2:$R$3432,18,0)</f>
        <v>JF33AAG415326</v>
      </c>
      <c r="T816" s="7" t="str">
        <f>VLOOKUP(A816,Sheet2!$A$2:$R$3432,17,0)</f>
        <v>MBLJ33AAG4A12G36</v>
      </c>
    </row>
    <row r="817" ht="15.75" customHeight="1">
      <c r="A817" s="3" t="s">
        <v>840</v>
      </c>
      <c r="B817" s="4" t="str">
        <f>VLOOKUP(A817,Sheet2!$A$2:$R$3432,2,0)</f>
        <v>2025-01-05 20:59:42</v>
      </c>
      <c r="C817" s="5" t="s">
        <v>25</v>
      </c>
      <c r="D817" s="6" t="s">
        <v>25</v>
      </c>
      <c r="E817" s="7">
        <f>VLOOKUP(A817,Sheet2!$A$2:$R$3432,4,0)</f>
        <v>9130172492</v>
      </c>
      <c r="F817" s="7" t="str">
        <f>VLOOKUP(A817,Sheet2!$A$2:$R$3432,3,0)</f>
        <v>SAHIL</v>
      </c>
      <c r="G817" s="5" t="s">
        <v>25</v>
      </c>
      <c r="H817" s="5" t="s">
        <v>25</v>
      </c>
      <c r="I817" s="5" t="s">
        <v>25</v>
      </c>
      <c r="J817" s="5" t="s">
        <v>25</v>
      </c>
      <c r="K817" s="7" t="str">
        <f>VLOOKUP(A817,Sheet2!$A$2:$R$3432,6,0)</f>
        <v>Royal Enfield Classic 350</v>
      </c>
      <c r="L817" s="5" t="s">
        <v>25</v>
      </c>
      <c r="M817" s="7" t="str">
        <f>VLOOKUP(A817,Sheet2!$A$2:$R$3432,5,0)</f>
        <v>MH15HJ2459</v>
      </c>
      <c r="N817" s="5" t="s">
        <v>25</v>
      </c>
      <c r="O817" s="5" t="s">
        <v>25</v>
      </c>
      <c r="P817" s="6" t="s">
        <v>25</v>
      </c>
      <c r="Q817" s="5" t="s">
        <v>25</v>
      </c>
      <c r="R817" s="5" t="s">
        <v>25</v>
      </c>
      <c r="S817" s="7" t="str">
        <f>VLOOKUP(A817,Sheet2!$A$2:$R$3432,18,0)</f>
        <v/>
      </c>
      <c r="T817" s="7" t="str">
        <f>VLOOKUP(A817,Sheet2!$A$2:$R$3432,17,0)</f>
        <v/>
      </c>
    </row>
    <row r="818" ht="15.75" customHeight="1">
      <c r="A818" s="3" t="s">
        <v>841</v>
      </c>
      <c r="B818" s="4" t="str">
        <f>VLOOKUP(A818,Sheet2!$A$2:$R$3432,2,0)</f>
        <v>2025-01-25 21:23:42</v>
      </c>
      <c r="C818" s="5" t="s">
        <v>25</v>
      </c>
      <c r="D818" s="6" t="s">
        <v>25</v>
      </c>
      <c r="E818" s="7">
        <f>VLOOKUP(A818,Sheet2!$A$2:$R$3432,4,0)</f>
        <v>9206484443</v>
      </c>
      <c r="F818" s="7" t="str">
        <f>VLOOKUP(A818,Sheet2!$A$2:$R$3432,3,0)</f>
        <v>Rohit Bhosle</v>
      </c>
      <c r="G818" s="5" t="s">
        <v>25</v>
      </c>
      <c r="H818" s="5" t="s">
        <v>25</v>
      </c>
      <c r="I818" s="5" t="s">
        <v>25</v>
      </c>
      <c r="J818" s="5" t="s">
        <v>25</v>
      </c>
      <c r="K818" s="7" t="str">
        <f>VLOOKUP(A818,Sheet2!$A$2:$R$3432,6,0)</f>
        <v>TVS Apache RTR 160</v>
      </c>
      <c r="L818" s="5" t="s">
        <v>25</v>
      </c>
      <c r="M818" s="7" t="str">
        <f>VLOOKUP(A818,Sheet2!$A$2:$R$3432,5,0)</f>
        <v>MH10DM6860</v>
      </c>
      <c r="N818" s="5" t="s">
        <v>25</v>
      </c>
      <c r="O818" s="5" t="s">
        <v>25</v>
      </c>
      <c r="P818" s="6" t="s">
        <v>25</v>
      </c>
      <c r="Q818" s="5" t="s">
        <v>25</v>
      </c>
      <c r="R818" s="5" t="s">
        <v>25</v>
      </c>
      <c r="S818" s="7" t="str">
        <f>VLOOKUP(A818,Sheet2!$A$2:$R$3432,18,0)</f>
        <v/>
      </c>
      <c r="T818" s="7" t="str">
        <f>VLOOKUP(A818,Sheet2!$A$2:$R$3432,17,0)</f>
        <v>MD634KE42G23CX17</v>
      </c>
    </row>
    <row r="819" ht="15.75" customHeight="1">
      <c r="A819" s="3" t="s">
        <v>842</v>
      </c>
      <c r="B819" s="4" t="str">
        <f>VLOOKUP(A819,Sheet2!$A$2:$R$3432,2,0)</f>
        <v>2025-01-25 19:24:44</v>
      </c>
      <c r="C819" s="5" t="s">
        <v>25</v>
      </c>
      <c r="D819" s="6" t="s">
        <v>25</v>
      </c>
      <c r="E819" s="7">
        <f>VLOOKUP(A819,Sheet2!$A$2:$R$3432,4,0)</f>
        <v>8796147967</v>
      </c>
      <c r="F819" s="7" t="str">
        <f>VLOOKUP(A819,Sheet2!$A$2:$R$3432,3,0)</f>
        <v>ABHAY JADHAV</v>
      </c>
      <c r="G819" s="5" t="s">
        <v>25</v>
      </c>
      <c r="H819" s="5" t="s">
        <v>25</v>
      </c>
      <c r="I819" s="5" t="s">
        <v>25</v>
      </c>
      <c r="J819" s="5" t="s">
        <v>25</v>
      </c>
      <c r="K819" s="7" t="str">
        <f>VLOOKUP(A819,Sheet2!$A$2:$R$3432,6,0)</f>
        <v>Honda Activa 6G</v>
      </c>
      <c r="L819" s="5" t="s">
        <v>25</v>
      </c>
      <c r="M819" s="7" t="str">
        <f>VLOOKUP(A819,Sheet2!$A$2:$R$3432,5,0)</f>
        <v>MH41BG3871</v>
      </c>
      <c r="N819" s="5" t="s">
        <v>25</v>
      </c>
      <c r="O819" s="5" t="s">
        <v>25</v>
      </c>
      <c r="P819" s="6" t="s">
        <v>25</v>
      </c>
      <c r="Q819" s="5" t="s">
        <v>25</v>
      </c>
      <c r="R819" s="5" t="s">
        <v>25</v>
      </c>
      <c r="S819" s="5" t="str">
        <f>VLOOKUP(A819,Sheet2!$A$2:$R$3432,18,0)</f>
        <v>JF91EW5054189</v>
      </c>
      <c r="T819" s="7" t="str">
        <f>VLOOKUP(A819,Sheet2!$A$2:$R$3432,17,0)</f>
        <v>ME4JF9184MW053955</v>
      </c>
    </row>
    <row r="820" ht="15.75" customHeight="1">
      <c r="A820" s="3" t="s">
        <v>843</v>
      </c>
      <c r="B820" s="4" t="str">
        <f>VLOOKUP(A820,Sheet2!$A$2:$R$3432,2,0)</f>
        <v>2025-01-25 15:25:17</v>
      </c>
      <c r="C820" s="5" t="s">
        <v>25</v>
      </c>
      <c r="D820" s="6" t="s">
        <v>25</v>
      </c>
      <c r="E820" s="7">
        <f>VLOOKUP(A820,Sheet2!$A$2:$R$3432,4,0)</f>
        <v>9834923277</v>
      </c>
      <c r="F820" s="7" t="str">
        <f>VLOOKUP(A820,Sheet2!$A$2:$R$3432,3,0)</f>
        <v>Ramakant</v>
      </c>
      <c r="G820" s="5" t="s">
        <v>25</v>
      </c>
      <c r="H820" s="5" t="s">
        <v>25</v>
      </c>
      <c r="I820" s="5" t="s">
        <v>25</v>
      </c>
      <c r="J820" s="5" t="s">
        <v>25</v>
      </c>
      <c r="K820" s="7" t="str">
        <f>VLOOKUP(A820,Sheet2!$A$2:$R$3432,6,0)</f>
        <v>Bajaj Pulsar 150 DTSi</v>
      </c>
      <c r="L820" s="5" t="s">
        <v>25</v>
      </c>
      <c r="M820" s="7" t="str">
        <f>VLOOKUP(A820,Sheet2!$A$2:$R$3432,5,0)</f>
        <v>MH14AT2090</v>
      </c>
      <c r="N820" s="5" t="s">
        <v>25</v>
      </c>
      <c r="O820" s="5" t="s">
        <v>25</v>
      </c>
      <c r="P820" s="6" t="s">
        <v>25</v>
      </c>
      <c r="Q820" s="5" t="s">
        <v>25</v>
      </c>
      <c r="R820" s="5" t="s">
        <v>25</v>
      </c>
      <c r="S820" s="7" t="str">
        <f>VLOOKUP(A820,Sheet2!$A$2:$R$3432,18,0)</f>
        <v/>
      </c>
      <c r="T820" s="7" t="str">
        <f>VLOOKUP(A820,Sheet2!$A$2:$R$3432,17,0)</f>
        <v/>
      </c>
    </row>
    <row r="821" ht="15.75" customHeight="1">
      <c r="A821" s="3" t="s">
        <v>844</v>
      </c>
      <c r="B821" s="4" t="str">
        <f>VLOOKUP(A821,Sheet2!$A$2:$R$3432,2,0)</f>
        <v>2025-01-25 21:06:07</v>
      </c>
      <c r="C821" s="5" t="s">
        <v>25</v>
      </c>
      <c r="D821" s="6" t="s">
        <v>25</v>
      </c>
      <c r="E821" s="7">
        <f>VLOOKUP(A821,Sheet2!$A$2:$R$3432,4,0)</f>
        <v>7387093447</v>
      </c>
      <c r="F821" s="7" t="str">
        <f>VLOOKUP(A821,Sheet2!$A$2:$R$3432,3,0)</f>
        <v>VISHVENDRA </v>
      </c>
      <c r="G821" s="5" t="s">
        <v>25</v>
      </c>
      <c r="H821" s="5" t="s">
        <v>25</v>
      </c>
      <c r="I821" s="5" t="s">
        <v>25</v>
      </c>
      <c r="J821" s="5" t="s">
        <v>25</v>
      </c>
      <c r="K821" s="7" t="str">
        <f>VLOOKUP(A821,Sheet2!$A$2:$R$3432,6,0)</f>
        <v>Bajaj Pulsar 150</v>
      </c>
      <c r="L821" s="5" t="s">
        <v>25</v>
      </c>
      <c r="M821" s="7" t="str">
        <f>VLOOKUP(A821,Sheet2!$A$2:$R$3432,5,0)</f>
        <v>MH14DE940</v>
      </c>
      <c r="N821" s="5" t="s">
        <v>25</v>
      </c>
      <c r="O821" s="5" t="s">
        <v>25</v>
      </c>
      <c r="P821" s="6" t="s">
        <v>25</v>
      </c>
      <c r="Q821" s="5" t="s">
        <v>25</v>
      </c>
      <c r="R821" s="5" t="s">
        <v>25</v>
      </c>
      <c r="S821" s="5" t="str">
        <f>VLOOKUP(A821,Sheet2!$A$2:$R$3432,18,0)</f>
        <v>DHGB4K72214</v>
      </c>
      <c r="T821" s="7" t="str">
        <f>VLOOKUP(A821,Sheet2!$A$2:$R$3432,17,0)</f>
        <v>MDZDHDHZZUCK04610</v>
      </c>
    </row>
    <row r="822" ht="15.75" customHeight="1">
      <c r="A822" s="3" t="s">
        <v>845</v>
      </c>
      <c r="B822" s="4" t="str">
        <f>VLOOKUP(A822,Sheet2!$A$2:$R$3432,2,0)</f>
        <v>2025-01-25 20:53:27</v>
      </c>
      <c r="C822" s="5" t="s">
        <v>25</v>
      </c>
      <c r="D822" s="6" t="s">
        <v>25</v>
      </c>
      <c r="E822" s="7">
        <f>VLOOKUP(A822,Sheet2!$A$2:$R$3432,4,0)</f>
        <v>9168912110</v>
      </c>
      <c r="F822" s="7" t="str">
        <f>VLOOKUP(A822,Sheet2!$A$2:$R$3432,3,0)</f>
        <v>Aniket Patankar</v>
      </c>
      <c r="G822" s="5" t="s">
        <v>25</v>
      </c>
      <c r="H822" s="5" t="s">
        <v>25</v>
      </c>
      <c r="I822" s="5" t="s">
        <v>25</v>
      </c>
      <c r="J822" s="5" t="s">
        <v>25</v>
      </c>
      <c r="K822" s="7" t="str">
        <f>VLOOKUP(A822,Sheet2!$A$2:$R$3432,6,0)</f>
        <v>Suzuki Access 125</v>
      </c>
      <c r="L822" s="5" t="s">
        <v>25</v>
      </c>
      <c r="M822" s="7" t="str">
        <f>VLOOKUP(A822,Sheet2!$A$2:$R$3432,5,0)</f>
        <v>MH14KP9984</v>
      </c>
      <c r="N822" s="5" t="s">
        <v>25</v>
      </c>
      <c r="O822" s="5" t="s">
        <v>25</v>
      </c>
      <c r="P822" s="6" t="s">
        <v>25</v>
      </c>
      <c r="Q822" s="5" t="s">
        <v>25</v>
      </c>
      <c r="R822" s="5" t="s">
        <v>25</v>
      </c>
      <c r="S822" s="5" t="str">
        <f>VLOOKUP(A822,Sheet2!$A$2:$R$3432,18,0)</f>
        <v>AF217376499</v>
      </c>
      <c r="T822" s="7" t="str">
        <f>VLOOKUP(A822,Sheet2!$A$2:$R$3432,17,0)</f>
        <v>MB8DP12DBP8F4119</v>
      </c>
    </row>
    <row r="823" ht="15.75" customHeight="1">
      <c r="A823" s="3" t="s">
        <v>846</v>
      </c>
      <c r="B823" s="4" t="str">
        <f>VLOOKUP(A823,Sheet2!$A$2:$R$3432,2,0)</f>
        <v>2025-01-25 19:10:35</v>
      </c>
      <c r="C823" s="5" t="s">
        <v>25</v>
      </c>
      <c r="D823" s="6" t="s">
        <v>25</v>
      </c>
      <c r="E823" s="7">
        <f>VLOOKUP(A823,Sheet2!$A$2:$R$3432,4,0)</f>
        <v>9595183679</v>
      </c>
      <c r="F823" s="7" t="str">
        <f>VLOOKUP(A823,Sheet2!$A$2:$R$3432,3,0)</f>
        <v>Sagar Rode</v>
      </c>
      <c r="G823" s="5" t="s">
        <v>25</v>
      </c>
      <c r="H823" s="5" t="s">
        <v>25</v>
      </c>
      <c r="I823" s="5" t="s">
        <v>25</v>
      </c>
      <c r="J823" s="5" t="s">
        <v>25</v>
      </c>
      <c r="K823" s="7" t="str">
        <f>VLOOKUP(A823,Sheet2!$A$2:$R$3432,6,0)</f>
        <v>Bajaj Pulsar 150</v>
      </c>
      <c r="L823" s="5" t="s">
        <v>25</v>
      </c>
      <c r="M823" s="7" t="str">
        <f>VLOOKUP(A823,Sheet2!$A$2:$R$3432,5,0)</f>
        <v>MH12LR4192</v>
      </c>
      <c r="N823" s="5" t="s">
        <v>25</v>
      </c>
      <c r="O823" s="5" t="s">
        <v>25</v>
      </c>
      <c r="P823" s="6" t="s">
        <v>25</v>
      </c>
      <c r="Q823" s="5" t="s">
        <v>25</v>
      </c>
      <c r="R823" s="5" t="s">
        <v>25</v>
      </c>
      <c r="S823" s="5" t="str">
        <f>VLOOKUP(A823,Sheet2!$A$2:$R$3432,18,0)</f>
        <v>DHZCEJ62430</v>
      </c>
      <c r="T823" s="7" t="str">
        <f>VLOOKUP(A823,Sheet2!$A$2:$R$3432,17,0)</f>
        <v>MD2A11CZ3CJ83203</v>
      </c>
    </row>
    <row r="824" ht="15.75" customHeight="1">
      <c r="A824" s="3" t="s">
        <v>847</v>
      </c>
      <c r="B824" s="4" t="str">
        <f>VLOOKUP(A824,Sheet2!$A$2:$R$3432,2,0)</f>
        <v>2025-01-25 19:42:49</v>
      </c>
      <c r="C824" s="5" t="s">
        <v>25</v>
      </c>
      <c r="D824" s="6" t="s">
        <v>25</v>
      </c>
      <c r="E824" s="7">
        <f>VLOOKUP(A824,Sheet2!$A$2:$R$3432,4,0)</f>
        <v>9172992292</v>
      </c>
      <c r="F824" s="7" t="str">
        <f>VLOOKUP(A824,Sheet2!$A$2:$R$3432,3,0)</f>
        <v>Sairaj</v>
      </c>
      <c r="G824" s="5" t="s">
        <v>25</v>
      </c>
      <c r="H824" s="5" t="s">
        <v>25</v>
      </c>
      <c r="I824" s="5" t="s">
        <v>25</v>
      </c>
      <c r="J824" s="5" t="s">
        <v>25</v>
      </c>
      <c r="K824" s="7" t="str">
        <f>VLOOKUP(A824,Sheet2!$A$2:$R$3432,6,0)</f>
        <v>Yamaha FZ V3</v>
      </c>
      <c r="L824" s="5" t="s">
        <v>25</v>
      </c>
      <c r="M824" s="7" t="str">
        <f>VLOOKUP(A824,Sheet2!$A$2:$R$3432,5,0)</f>
        <v>MH26CD0564</v>
      </c>
      <c r="N824" s="5" t="s">
        <v>25</v>
      </c>
      <c r="O824" s="5" t="s">
        <v>25</v>
      </c>
      <c r="P824" s="6" t="s">
        <v>25</v>
      </c>
      <c r="Q824" s="5" t="s">
        <v>25</v>
      </c>
      <c r="R824" s="5" t="s">
        <v>25</v>
      </c>
      <c r="S824" s="5" t="str">
        <f>VLOOKUP(A824,Sheet2!$A$2:$R$3432,18,0)</f>
        <v>G3N3E0234542</v>
      </c>
      <c r="T824" s="7" t="str">
        <f>VLOOKUP(A824,Sheet2!$A$2:$R$3432,17,0)</f>
        <v>ME1RG6689N0019141</v>
      </c>
    </row>
    <row r="825" ht="15.75" customHeight="1">
      <c r="A825" s="3" t="s">
        <v>848</v>
      </c>
      <c r="B825" s="4" t="str">
        <f>VLOOKUP(A825,Sheet2!$A$2:$R$3432,2,0)</f>
        <v>2025-01-25 20:57:06</v>
      </c>
      <c r="C825" s="5" t="s">
        <v>25</v>
      </c>
      <c r="D825" s="6" t="s">
        <v>25</v>
      </c>
      <c r="E825" s="7">
        <f>VLOOKUP(A825,Sheet2!$A$2:$R$3432,4,0)</f>
        <v>7588407315</v>
      </c>
      <c r="F825" s="7" t="str">
        <f>VLOOKUP(A825,Sheet2!$A$2:$R$3432,3,0)</f>
        <v>Yatish Bhole</v>
      </c>
      <c r="G825" s="5" t="s">
        <v>25</v>
      </c>
      <c r="H825" s="5" t="s">
        <v>25</v>
      </c>
      <c r="I825" s="5" t="s">
        <v>25</v>
      </c>
      <c r="J825" s="5" t="s">
        <v>25</v>
      </c>
      <c r="K825" s="7" t="str">
        <f>VLOOKUP(A825,Sheet2!$A$2:$R$3432,6,0)</f>
        <v>Honda Unicorn </v>
      </c>
      <c r="L825" s="5" t="s">
        <v>25</v>
      </c>
      <c r="M825" s="7" t="str">
        <f>VLOOKUP(A825,Sheet2!$A$2:$R$3432,5,0)</f>
        <v>MH19DR7049</v>
      </c>
      <c r="N825" s="5" t="s">
        <v>25</v>
      </c>
      <c r="O825" s="5" t="s">
        <v>25</v>
      </c>
      <c r="P825" s="6" t="s">
        <v>25</v>
      </c>
      <c r="Q825" s="5" t="s">
        <v>25</v>
      </c>
      <c r="R825" s="5" t="s">
        <v>25</v>
      </c>
      <c r="S825" s="5" t="str">
        <f>VLOOKUP(A825,Sheet2!$A$2:$R$3432,18,0)</f>
        <v>KC40EA0137238</v>
      </c>
      <c r="T825" s="7" t="str">
        <f>VLOOKUP(A825,Sheet2!$A$2:$R$3432,17,0)</f>
        <v>ME4KC401LLA157078</v>
      </c>
    </row>
    <row r="826" ht="15.75" customHeight="1">
      <c r="A826" s="3" t="s">
        <v>849</v>
      </c>
      <c r="B826" s="4" t="str">
        <f>VLOOKUP(A826,Sheet2!$A$2:$R$3432,2,0)</f>
        <v>2025-01-25 21:02:57</v>
      </c>
      <c r="C826" s="5" t="s">
        <v>25</v>
      </c>
      <c r="D826" s="6" t="s">
        <v>25</v>
      </c>
      <c r="E826" s="7">
        <f>VLOOKUP(A826,Sheet2!$A$2:$R$3432,4,0)</f>
        <v>9527092900</v>
      </c>
      <c r="F826" s="7" t="str">
        <f>VLOOKUP(A826,Sheet2!$A$2:$R$3432,3,0)</f>
        <v>Sumit</v>
      </c>
      <c r="G826" s="5" t="s">
        <v>25</v>
      </c>
      <c r="H826" s="5" t="s">
        <v>25</v>
      </c>
      <c r="I826" s="5" t="s">
        <v>25</v>
      </c>
      <c r="J826" s="5" t="s">
        <v>25</v>
      </c>
      <c r="K826" s="7" t="str">
        <f>VLOOKUP(A826,Sheet2!$A$2:$R$3432,6,0)</f>
        <v>TVS Jupiter </v>
      </c>
      <c r="L826" s="5" t="s">
        <v>25</v>
      </c>
      <c r="M826" s="7" t="str">
        <f>VLOOKUP(A826,Sheet2!$A$2:$R$3432,5,0)</f>
        <v>MH14HS5134</v>
      </c>
      <c r="N826" s="5" t="s">
        <v>25</v>
      </c>
      <c r="O826" s="5" t="s">
        <v>25</v>
      </c>
      <c r="P826" s="6" t="s">
        <v>25</v>
      </c>
      <c r="Q826" s="5" t="s">
        <v>25</v>
      </c>
      <c r="R826" s="5" t="s">
        <v>25</v>
      </c>
      <c r="S826" s="5" t="str">
        <f>VLOOKUP(A826,Sheet2!$A$2:$R$3432,18,0)</f>
        <v>DG4FK1012001</v>
      </c>
      <c r="T826" s="7" t="str">
        <f>VLOOKUP(A826,Sheet2!$A$2:$R$3432,17,0)</f>
        <v>MD626EG40K1F24710</v>
      </c>
    </row>
    <row r="827" ht="15.75" customHeight="1">
      <c r="A827" s="3" t="s">
        <v>850</v>
      </c>
      <c r="B827" s="4" t="str">
        <f>VLOOKUP(A827,Sheet2!$A$2:$R$3432,2,0)</f>
        <v>2025-01-25 21:00:08</v>
      </c>
      <c r="C827" s="5" t="s">
        <v>25</v>
      </c>
      <c r="D827" s="6" t="s">
        <v>25</v>
      </c>
      <c r="E827" s="7">
        <f>VLOOKUP(A827,Sheet2!$A$2:$R$3432,4,0)</f>
        <v>9970725771</v>
      </c>
      <c r="F827" s="7" t="str">
        <f>VLOOKUP(A827,Sheet2!$A$2:$R$3432,3,0)</f>
        <v>Ashish</v>
      </c>
      <c r="G827" s="5" t="s">
        <v>25</v>
      </c>
      <c r="H827" s="5" t="s">
        <v>25</v>
      </c>
      <c r="I827" s="5" t="s">
        <v>25</v>
      </c>
      <c r="J827" s="5" t="s">
        <v>25</v>
      </c>
      <c r="K827" s="7" t="str">
        <f>VLOOKUP(A827,Sheet2!$A$2:$R$3432,6,0)</f>
        <v>Honda Unicorn 150</v>
      </c>
      <c r="L827" s="5" t="s">
        <v>25</v>
      </c>
      <c r="M827" s="7" t="str">
        <f>VLOOKUP(A827,Sheet2!$A$2:$R$3432,5,0)</f>
        <v>MH12GH3818</v>
      </c>
      <c r="N827" s="5" t="s">
        <v>25</v>
      </c>
      <c r="O827" s="5" t="s">
        <v>25</v>
      </c>
      <c r="P827" s="6" t="s">
        <v>25</v>
      </c>
      <c r="Q827" s="5" t="s">
        <v>25</v>
      </c>
      <c r="R827" s="5" t="s">
        <v>25</v>
      </c>
      <c r="S827" s="5" t="str">
        <f>VLOOKUP(A827,Sheet2!$A$2:$R$3432,18,0)</f>
        <v>KC091E6046335</v>
      </c>
      <c r="T827" s="7" t="str">
        <f>VLOOKUP(A827,Sheet2!$A$2:$R$3432,17,0)</f>
        <v>ME4KC09CJAB0044504</v>
      </c>
    </row>
    <row r="828" ht="15.75" customHeight="1">
      <c r="A828" s="3" t="s">
        <v>851</v>
      </c>
      <c r="B828" s="4" t="str">
        <f>VLOOKUP(A828,Sheet2!$A$2:$R$3432,2,0)</f>
        <v>2025-01-25 21:05:01</v>
      </c>
      <c r="C828" s="5" t="s">
        <v>25</v>
      </c>
      <c r="D828" s="6" t="s">
        <v>25</v>
      </c>
      <c r="E828" s="7">
        <f>VLOOKUP(A828,Sheet2!$A$2:$R$3432,4,0)</f>
        <v>8308539993</v>
      </c>
      <c r="F828" s="7" t="str">
        <f>VLOOKUP(A828,Sheet2!$A$2:$R$3432,3,0)</f>
        <v>Suraj Patil</v>
      </c>
      <c r="G828" s="5" t="s">
        <v>25</v>
      </c>
      <c r="H828" s="5" t="s">
        <v>25</v>
      </c>
      <c r="I828" s="5" t="s">
        <v>25</v>
      </c>
      <c r="J828" s="5" t="s">
        <v>25</v>
      </c>
      <c r="K828" s="7" t="str">
        <f>VLOOKUP(A828,Sheet2!$A$2:$R$3432,6,0)</f>
        <v>Suzuki Gixxer SF</v>
      </c>
      <c r="L828" s="5" t="s">
        <v>25</v>
      </c>
      <c r="M828" s="7" t="str">
        <f>VLOOKUP(A828,Sheet2!$A$2:$R$3432,5,0)</f>
        <v>MH19EF6936</v>
      </c>
      <c r="N828" s="5" t="s">
        <v>25</v>
      </c>
      <c r="O828" s="5" t="s">
        <v>25</v>
      </c>
      <c r="P828" s="6" t="s">
        <v>25</v>
      </c>
      <c r="Q828" s="5" t="s">
        <v>25</v>
      </c>
      <c r="R828" s="5" t="s">
        <v>25</v>
      </c>
      <c r="S828" s="5" t="str">
        <f>VLOOKUP(A828,Sheet2!$A$2:$R$3432,18,0)</f>
        <v>EJA1244130</v>
      </c>
      <c r="T828" s="7" t="str">
        <f>VLOOKUP(A828,Sheet2!$A$2:$R$3432,17,0)</f>
        <v>ME8EL11NKP8102847</v>
      </c>
    </row>
    <row r="829" ht="15.75" customHeight="1">
      <c r="A829" s="3" t="s">
        <v>852</v>
      </c>
      <c r="B829" s="4" t="str">
        <f>VLOOKUP(A829,Sheet2!$A$2:$R$3432,2,0)</f>
        <v>2025-01-25 21:07:53</v>
      </c>
      <c r="C829" s="5" t="s">
        <v>25</v>
      </c>
      <c r="D829" s="6" t="s">
        <v>25</v>
      </c>
      <c r="E829" s="7">
        <f>VLOOKUP(A829,Sheet2!$A$2:$R$3432,4,0)</f>
        <v>8379050219</v>
      </c>
      <c r="F829" s="7" t="str">
        <f>VLOOKUP(A829,Sheet2!$A$2:$R$3432,3,0)</f>
        <v>Vishal Suryawanshi </v>
      </c>
      <c r="G829" s="5" t="s">
        <v>25</v>
      </c>
      <c r="H829" s="5" t="s">
        <v>25</v>
      </c>
      <c r="I829" s="5" t="s">
        <v>25</v>
      </c>
      <c r="J829" s="5" t="s">
        <v>25</v>
      </c>
      <c r="K829" s="7" t="str">
        <f>VLOOKUP(A829,Sheet2!$A$2:$R$3432,6,0)</f>
        <v>Honda Unicorn </v>
      </c>
      <c r="L829" s="5" t="s">
        <v>25</v>
      </c>
      <c r="M829" s="7" t="str">
        <f>VLOOKUP(A829,Sheet2!$A$2:$R$3432,5,0)</f>
        <v>MH20GN4116</v>
      </c>
      <c r="N829" s="5" t="s">
        <v>25</v>
      </c>
      <c r="O829" s="5" t="s">
        <v>25</v>
      </c>
      <c r="P829" s="6" t="s">
        <v>25</v>
      </c>
      <c r="Q829" s="5" t="s">
        <v>25</v>
      </c>
      <c r="R829" s="5" t="s">
        <v>25</v>
      </c>
      <c r="S829" s="5" t="str">
        <f>VLOOKUP(A829,Sheet2!$A$2:$R$3432,18,0)</f>
        <v>KC40EA3013885</v>
      </c>
      <c r="T829" s="7" t="str">
        <f>VLOOKUP(A829,Sheet2!$A$2:$R$3432,17,0)</f>
        <v>ME4KC404FPA013761</v>
      </c>
    </row>
    <row r="830" ht="15.75" customHeight="1">
      <c r="A830" s="3" t="s">
        <v>853</v>
      </c>
      <c r="B830" s="4" t="str">
        <f>VLOOKUP(A830,Sheet2!$A$2:$R$3432,2,0)</f>
        <v>2025-01-25 21:09:29</v>
      </c>
      <c r="C830" s="5" t="s">
        <v>25</v>
      </c>
      <c r="D830" s="6" t="s">
        <v>25</v>
      </c>
      <c r="E830" s="7">
        <f>VLOOKUP(A830,Sheet2!$A$2:$R$3432,4,0)</f>
        <v>7387109986</v>
      </c>
      <c r="F830" s="7" t="str">
        <f>VLOOKUP(A830,Sheet2!$A$2:$R$3432,3,0)</f>
        <v>RAGHURAJ</v>
      </c>
      <c r="G830" s="5" t="s">
        <v>25</v>
      </c>
      <c r="H830" s="5" t="s">
        <v>25</v>
      </c>
      <c r="I830" s="5" t="s">
        <v>25</v>
      </c>
      <c r="J830" s="5" t="s">
        <v>25</v>
      </c>
      <c r="K830" s="7" t="str">
        <f>VLOOKUP(A830,Sheet2!$A$2:$R$3432,6,0)</f>
        <v>Bajaj Pulsar 220</v>
      </c>
      <c r="L830" s="5" t="s">
        <v>25</v>
      </c>
      <c r="M830" s="7" t="str">
        <f>VLOOKUP(A830,Sheet2!$A$2:$R$3432,5,0)</f>
        <v>MH12HK8203</v>
      </c>
      <c r="N830" s="5" t="s">
        <v>25</v>
      </c>
      <c r="O830" s="5" t="s">
        <v>25</v>
      </c>
      <c r="P830" s="6" t="s">
        <v>25</v>
      </c>
      <c r="Q830" s="5" t="s">
        <v>25</v>
      </c>
      <c r="R830" s="5" t="s">
        <v>25</v>
      </c>
      <c r="S830" s="5" t="str">
        <f>VLOOKUP(A830,Sheet2!$A$2:$R$3432,18,0)</f>
        <v>DKGBU59123MD20H01</v>
      </c>
      <c r="T830" s="7" t="str">
        <f>VLOOKUP(A830,Sheet2!$A$2:$R$3432,17,0)</f>
        <v>MD29HDHZZU0F43933</v>
      </c>
    </row>
    <row r="831" ht="15.75" customHeight="1">
      <c r="A831" s="3" t="s">
        <v>854</v>
      </c>
      <c r="B831" s="4" t="str">
        <f>VLOOKUP(A831,Sheet2!$A$2:$R$3432,2,0)</f>
        <v>2025-01-25 21:12:04</v>
      </c>
      <c r="C831" s="5" t="s">
        <v>25</v>
      </c>
      <c r="D831" s="6" t="s">
        <v>25</v>
      </c>
      <c r="E831" s="7">
        <f>VLOOKUP(A831,Sheet2!$A$2:$R$3432,4,0)</f>
        <v>9922504486</v>
      </c>
      <c r="F831" s="7" t="str">
        <f>VLOOKUP(A831,Sheet2!$A$2:$R$3432,3,0)</f>
        <v>AMEYA DHAVALE</v>
      </c>
      <c r="G831" s="5" t="s">
        <v>25</v>
      </c>
      <c r="H831" s="5" t="s">
        <v>25</v>
      </c>
      <c r="I831" s="5" t="s">
        <v>25</v>
      </c>
      <c r="J831" s="5" t="s">
        <v>25</v>
      </c>
      <c r="K831" s="7" t="str">
        <f>VLOOKUP(A831,Sheet2!$A$2:$R$3432,6,0)</f>
        <v>TVS Jupiter </v>
      </c>
      <c r="L831" s="5" t="s">
        <v>25</v>
      </c>
      <c r="M831" s="7" t="str">
        <f>VLOOKUP(A831,Sheet2!$A$2:$R$3432,5,0)</f>
        <v>MH12QJ5833</v>
      </c>
      <c r="N831" s="5" t="s">
        <v>25</v>
      </c>
      <c r="O831" s="5" t="s">
        <v>25</v>
      </c>
      <c r="P831" s="6" t="s">
        <v>25</v>
      </c>
      <c r="Q831" s="5" t="s">
        <v>25</v>
      </c>
      <c r="R831" s="5" t="s">
        <v>25</v>
      </c>
      <c r="S831" s="5" t="str">
        <f>VLOOKUP(A831,Sheet2!$A$2:$R$3432,18,0)</f>
        <v>EG4AJ2X85950</v>
      </c>
      <c r="T831" s="7" t="str">
        <f>VLOOKUP(A831,Sheet2!$A$2:$R$3432,17,0)</f>
        <v>MD2A37CZXCWJ08572</v>
      </c>
    </row>
    <row r="832" ht="15.75" customHeight="1">
      <c r="A832" s="3" t="s">
        <v>855</v>
      </c>
      <c r="B832" s="4" t="str">
        <f>VLOOKUP(A832,Sheet2!$A$2:$R$3432,2,0)</f>
        <v>2025-01-25 21:15:46</v>
      </c>
      <c r="C832" s="5" t="s">
        <v>25</v>
      </c>
      <c r="D832" s="6" t="s">
        <v>25</v>
      </c>
      <c r="E832" s="7">
        <f>VLOOKUP(A832,Sheet2!$A$2:$R$3432,4,0)</f>
        <v>8275943281</v>
      </c>
      <c r="F832" s="7" t="str">
        <f>VLOOKUP(A832,Sheet2!$A$2:$R$3432,3,0)</f>
        <v>Shashank</v>
      </c>
      <c r="G832" s="5" t="s">
        <v>25</v>
      </c>
      <c r="H832" s="5" t="s">
        <v>25</v>
      </c>
      <c r="I832" s="5" t="s">
        <v>25</v>
      </c>
      <c r="J832" s="5" t="s">
        <v>25</v>
      </c>
      <c r="K832" s="7" t="str">
        <f>VLOOKUP(A832,Sheet2!$A$2:$R$3432,6,0)</f>
        <v>Yamaha FZ No Data</v>
      </c>
      <c r="L832" s="5" t="s">
        <v>25</v>
      </c>
      <c r="M832" s="7" t="str">
        <f>VLOOKUP(A832,Sheet2!$A$2:$R$3432,5,0)</f>
        <v>MH12QQ9840</v>
      </c>
      <c r="N832" s="5" t="s">
        <v>25</v>
      </c>
      <c r="O832" s="5" t="s">
        <v>25</v>
      </c>
      <c r="P832" s="6" t="s">
        <v>25</v>
      </c>
      <c r="Q832" s="5" t="s">
        <v>25</v>
      </c>
      <c r="R832" s="5" t="s">
        <v>25</v>
      </c>
      <c r="S832" s="5" t="str">
        <f>VLOOKUP(A832,Sheet2!$A$2:$R$3432,18,0)</f>
        <v>G3J3E0279339</v>
      </c>
      <c r="T832" s="7" t="str">
        <f>VLOOKUP(A832,Sheet2!$A$2:$R$3432,17,0)</f>
        <v>ME1RG4935J0037</v>
      </c>
    </row>
    <row r="833" ht="15.75" customHeight="1">
      <c r="A833" s="3" t="s">
        <v>856</v>
      </c>
      <c r="B833" s="4" t="str">
        <f>VLOOKUP(A833,Sheet2!$A$2:$R$3432,2,0)</f>
        <v>2025-01-25 21:13:34</v>
      </c>
      <c r="C833" s="5" t="s">
        <v>25</v>
      </c>
      <c r="D833" s="6" t="s">
        <v>25</v>
      </c>
      <c r="E833" s="7">
        <f>VLOOKUP(A833,Sheet2!$A$2:$R$3432,4,0)</f>
        <v>9604879914</v>
      </c>
      <c r="F833" s="7" t="str">
        <f>VLOOKUP(A833,Sheet2!$A$2:$R$3432,3,0)</f>
        <v>Abhijeet </v>
      </c>
      <c r="G833" s="5" t="s">
        <v>25</v>
      </c>
      <c r="H833" s="5" t="s">
        <v>25</v>
      </c>
      <c r="I833" s="5" t="s">
        <v>25</v>
      </c>
      <c r="J833" s="5" t="s">
        <v>25</v>
      </c>
      <c r="K833" s="7" t="str">
        <f>VLOOKUP(A833,Sheet2!$A$2:$R$3432,6,0)</f>
        <v>TVS Scooty PEP</v>
      </c>
      <c r="L833" s="5" t="s">
        <v>25</v>
      </c>
      <c r="M833" s="7" t="str">
        <f>VLOOKUP(A833,Sheet2!$A$2:$R$3432,5,0)</f>
        <v>MH14AJ2358</v>
      </c>
      <c r="N833" s="5" t="s">
        <v>25</v>
      </c>
      <c r="O833" s="5" t="s">
        <v>25</v>
      </c>
      <c r="P833" s="6" t="s">
        <v>25</v>
      </c>
      <c r="Q833" s="5" t="s">
        <v>25</v>
      </c>
      <c r="R833" s="5" t="s">
        <v>25</v>
      </c>
      <c r="S833" s="7" t="str">
        <f>VLOOKUP(A833,Sheet2!$A$2:$R$3432,18,0)</f>
        <v/>
      </c>
      <c r="T833" s="7" t="str">
        <f>VLOOKUP(A833,Sheet2!$A$2:$R$3432,17,0)</f>
        <v>MD626AW942E08630</v>
      </c>
    </row>
    <row r="834" ht="15.75" customHeight="1">
      <c r="A834" s="3" t="s">
        <v>857</v>
      </c>
      <c r="B834" s="4" t="str">
        <f>VLOOKUP(A834,Sheet2!$A$2:$R$3432,2,0)</f>
        <v>2025-01-25 21:17:54</v>
      </c>
      <c r="C834" s="5" t="s">
        <v>25</v>
      </c>
      <c r="D834" s="6" t="s">
        <v>25</v>
      </c>
      <c r="E834" s="7">
        <f>VLOOKUP(A834,Sheet2!$A$2:$R$3432,4,0)</f>
        <v>8805413757</v>
      </c>
      <c r="F834" s="7" t="str">
        <f>VLOOKUP(A834,Sheet2!$A$2:$R$3432,3,0)</f>
        <v>Akshay</v>
      </c>
      <c r="G834" s="5" t="s">
        <v>25</v>
      </c>
      <c r="H834" s="5" t="s">
        <v>25</v>
      </c>
      <c r="I834" s="5" t="s">
        <v>25</v>
      </c>
      <c r="J834" s="5" t="s">
        <v>25</v>
      </c>
      <c r="K834" s="7" t="str">
        <f>VLOOKUP(A834,Sheet2!$A$2:$R$3432,6,0)</f>
        <v>Honda Shine </v>
      </c>
      <c r="L834" s="5" t="s">
        <v>25</v>
      </c>
      <c r="M834" s="7" t="str">
        <f>VLOOKUP(A834,Sheet2!$A$2:$R$3432,5,0)</f>
        <v>MH17CN2571</v>
      </c>
      <c r="N834" s="5" t="s">
        <v>25</v>
      </c>
      <c r="O834" s="5" t="s">
        <v>25</v>
      </c>
      <c r="P834" s="6" t="s">
        <v>25</v>
      </c>
      <c r="Q834" s="5" t="s">
        <v>25</v>
      </c>
      <c r="R834" s="5" t="s">
        <v>25</v>
      </c>
      <c r="S834" s="7" t="str">
        <f>VLOOKUP(A834,Sheet2!$A$2:$R$3432,18,0)</f>
        <v/>
      </c>
      <c r="T834" s="7" t="str">
        <f>VLOOKUP(A834,Sheet2!$A$2:$R$3432,17,0)</f>
        <v>ME4JC856JLD018948</v>
      </c>
    </row>
    <row r="835" ht="15.75" customHeight="1">
      <c r="A835" s="3" t="s">
        <v>858</v>
      </c>
      <c r="B835" s="4" t="str">
        <f>VLOOKUP(A835,Sheet2!$A$2:$R$3432,2,0)</f>
        <v>2025-01-25 21:19:19</v>
      </c>
      <c r="C835" s="5" t="s">
        <v>25</v>
      </c>
      <c r="D835" s="6" t="s">
        <v>25</v>
      </c>
      <c r="E835" s="7">
        <f>VLOOKUP(A835,Sheet2!$A$2:$R$3432,4,0)</f>
        <v>9167426875</v>
      </c>
      <c r="F835" s="7" t="str">
        <f>VLOOKUP(A835,Sheet2!$A$2:$R$3432,3,0)</f>
        <v>Shubham Limbole</v>
      </c>
      <c r="G835" s="5" t="s">
        <v>25</v>
      </c>
      <c r="H835" s="5" t="s">
        <v>25</v>
      </c>
      <c r="I835" s="5" t="s">
        <v>25</v>
      </c>
      <c r="J835" s="5" t="s">
        <v>25</v>
      </c>
      <c r="K835" s="7" t="str">
        <f>VLOOKUP(A835,Sheet2!$A$2:$R$3432,6,0)</f>
        <v>Hero Maestro </v>
      </c>
      <c r="L835" s="5" t="s">
        <v>25</v>
      </c>
      <c r="M835" s="7" t="str">
        <f>VLOOKUP(A835,Sheet2!$A$2:$R$3432,5,0)</f>
        <v>MH46BH7225</v>
      </c>
      <c r="N835" s="5" t="s">
        <v>25</v>
      </c>
      <c r="O835" s="5" t="s">
        <v>25</v>
      </c>
      <c r="P835" s="6" t="s">
        <v>25</v>
      </c>
      <c r="Q835" s="5" t="s">
        <v>25</v>
      </c>
      <c r="R835" s="5" t="s">
        <v>25</v>
      </c>
      <c r="S835" s="5" t="str">
        <f>VLOOKUP(A835,Sheet2!$A$2:$R$3432,18,0)</f>
        <v>JF33ABHGK00656</v>
      </c>
      <c r="T835" s="7" t="str">
        <f>VLOOKUP(A835,Sheet2!$A$2:$R$3432,17,0)</f>
        <v>RUSTY FRAME</v>
      </c>
    </row>
    <row r="836" ht="15.75" customHeight="1">
      <c r="A836" s="3" t="s">
        <v>859</v>
      </c>
      <c r="B836" s="4" t="str">
        <f>VLOOKUP(A836,Sheet2!$A$2:$R$3432,2,0)</f>
        <v>2025-01-27 18:23:12</v>
      </c>
      <c r="C836" s="5" t="s">
        <v>25</v>
      </c>
      <c r="D836" s="6" t="s">
        <v>25</v>
      </c>
      <c r="E836" s="7">
        <f>VLOOKUP(A836,Sheet2!$A$2:$R$3432,4,0)</f>
        <v>9405944951</v>
      </c>
      <c r="F836" s="7" t="str">
        <f>VLOOKUP(A836,Sheet2!$A$2:$R$3432,3,0)</f>
        <v>ANOOP AGRAWAL</v>
      </c>
      <c r="G836" s="5" t="s">
        <v>25</v>
      </c>
      <c r="H836" s="5" t="s">
        <v>25</v>
      </c>
      <c r="I836" s="5" t="s">
        <v>25</v>
      </c>
      <c r="J836" s="5" t="s">
        <v>25</v>
      </c>
      <c r="K836" s="7" t="str">
        <f>VLOOKUP(A836,Sheet2!$A$2:$R$3432,6,0)</f>
        <v>Honda Shine </v>
      </c>
      <c r="L836" s="5" t="s">
        <v>25</v>
      </c>
      <c r="M836" s="7" t="str">
        <f>VLOOKUP(A836,Sheet2!$A$2:$R$3432,5,0)</f>
        <v>MH14FE0275</v>
      </c>
      <c r="N836" s="5" t="s">
        <v>25</v>
      </c>
      <c r="O836" s="5" t="s">
        <v>25</v>
      </c>
      <c r="P836" s="6" t="s">
        <v>25</v>
      </c>
      <c r="Q836" s="5" t="s">
        <v>25</v>
      </c>
      <c r="R836" s="5" t="s">
        <v>25</v>
      </c>
      <c r="S836" s="5" t="str">
        <f>VLOOKUP(A836,Sheet2!$A$2:$R$3432,18,0)</f>
        <v>JC65ET0117306</v>
      </c>
      <c r="T836" s="7" t="str">
        <f>VLOOKUP(A836,Sheet2!$A$2:$R$3432,17,0)</f>
        <v>ME4JC651HET081965</v>
      </c>
    </row>
    <row r="837" ht="15.75" customHeight="1">
      <c r="A837" s="3" t="s">
        <v>860</v>
      </c>
      <c r="B837" s="4" t="str">
        <f>VLOOKUP(A837,Sheet2!$A$2:$R$3432,2,0)</f>
        <v>2025-01-27 18:08:53</v>
      </c>
      <c r="C837" s="5" t="s">
        <v>25</v>
      </c>
      <c r="D837" s="6" t="s">
        <v>25</v>
      </c>
      <c r="E837" s="7">
        <f>VLOOKUP(A837,Sheet2!$A$2:$R$3432,4,0)</f>
        <v>9158796797</v>
      </c>
      <c r="F837" s="7" t="str">
        <f>VLOOKUP(A837,Sheet2!$A$2:$R$3432,3,0)</f>
        <v>Harshal Pandit</v>
      </c>
      <c r="G837" s="5" t="s">
        <v>25</v>
      </c>
      <c r="H837" s="5" t="s">
        <v>25</v>
      </c>
      <c r="I837" s="5" t="s">
        <v>25</v>
      </c>
      <c r="J837" s="5" t="s">
        <v>25</v>
      </c>
      <c r="K837" s="7" t="str">
        <f>VLOOKUP(A837,Sheet2!$A$2:$R$3432,6,0)</f>
        <v>Yamaha SZ RR</v>
      </c>
      <c r="L837" s="5" t="s">
        <v>25</v>
      </c>
      <c r="M837" s="7" t="str">
        <f>VLOOKUP(A837,Sheet2!$A$2:$R$3432,5,0)</f>
        <v>MH17AL6435</v>
      </c>
      <c r="N837" s="5" t="s">
        <v>25</v>
      </c>
      <c r="O837" s="5" t="s">
        <v>25</v>
      </c>
      <c r="P837" s="6" t="s">
        <v>25</v>
      </c>
      <c r="Q837" s="5" t="s">
        <v>25</v>
      </c>
      <c r="R837" s="5" t="s">
        <v>25</v>
      </c>
      <c r="S837" s="5" t="str">
        <f>VLOOKUP(A837,Sheet2!$A$2:$R$3432,18,0)</f>
        <v>54B1017203</v>
      </c>
      <c r="T837" s="7" t="str">
        <f>VLOOKUP(A837,Sheet2!$A$2:$R$3432,17,0)</f>
        <v>ME154B0X42D7187</v>
      </c>
    </row>
    <row r="838" ht="15.75" customHeight="1">
      <c r="A838" s="3" t="s">
        <v>861</v>
      </c>
      <c r="B838" s="4" t="str">
        <f>VLOOKUP(A838,Sheet2!$A$2:$R$3432,2,0)</f>
        <v>2025-01-27 18:12:21</v>
      </c>
      <c r="C838" s="5" t="s">
        <v>25</v>
      </c>
      <c r="D838" s="6" t="s">
        <v>25</v>
      </c>
      <c r="E838" s="7">
        <f>VLOOKUP(A838,Sheet2!$A$2:$R$3432,4,0)</f>
        <v>9579516919</v>
      </c>
      <c r="F838" s="7" t="str">
        <f>VLOOKUP(A838,Sheet2!$A$2:$R$3432,3,0)</f>
        <v>Piyush Deshmukh</v>
      </c>
      <c r="G838" s="5" t="s">
        <v>25</v>
      </c>
      <c r="H838" s="5" t="s">
        <v>25</v>
      </c>
      <c r="I838" s="5" t="s">
        <v>25</v>
      </c>
      <c r="J838" s="5" t="s">
        <v>25</v>
      </c>
      <c r="K838" s="7" t="str">
        <f>VLOOKUP(A838,Sheet2!$A$2:$R$3432,6,0)</f>
        <v>Hero Pleasure </v>
      </c>
      <c r="L838" s="5" t="s">
        <v>25</v>
      </c>
      <c r="M838" s="7" t="str">
        <f>VLOOKUP(A838,Sheet2!$A$2:$R$3432,5,0)</f>
        <v>MH31DD5796</v>
      </c>
      <c r="N838" s="5" t="s">
        <v>25</v>
      </c>
      <c r="O838" s="5" t="s">
        <v>25</v>
      </c>
      <c r="P838" s="6" t="s">
        <v>25</v>
      </c>
      <c r="Q838" s="5" t="s">
        <v>25</v>
      </c>
      <c r="R838" s="5" t="s">
        <v>25</v>
      </c>
      <c r="S838" s="5" t="str">
        <f>VLOOKUP(A838,Sheet2!$A$2:$R$3432,18,0)</f>
        <v>JF16EA9GM14413</v>
      </c>
      <c r="T838" s="7" t="str">
        <f>VLOOKUP(A838,Sheet2!$A$2:$R$3432,17,0)</f>
        <v>MBLJF16EGA08104</v>
      </c>
    </row>
    <row r="839" ht="15.75" customHeight="1">
      <c r="A839" s="3" t="s">
        <v>862</v>
      </c>
      <c r="B839" s="4" t="str">
        <f>VLOOKUP(A839,Sheet2!$A$2:$R$3432,2,0)</f>
        <v>2025-01-27 18:14:13</v>
      </c>
      <c r="C839" s="5" t="s">
        <v>25</v>
      </c>
      <c r="D839" s="6" t="s">
        <v>25</v>
      </c>
      <c r="E839" s="7">
        <f>VLOOKUP(A839,Sheet2!$A$2:$R$3432,4,0)</f>
        <v>9860246322</v>
      </c>
      <c r="F839" s="7" t="str">
        <f>VLOOKUP(A839,Sheet2!$A$2:$R$3432,3,0)</f>
        <v>Shubham Mangale</v>
      </c>
      <c r="G839" s="5" t="s">
        <v>25</v>
      </c>
      <c r="H839" s="5" t="s">
        <v>25</v>
      </c>
      <c r="I839" s="5" t="s">
        <v>25</v>
      </c>
      <c r="J839" s="5" t="s">
        <v>25</v>
      </c>
      <c r="K839" s="7" t="str">
        <f>VLOOKUP(A839,Sheet2!$A$2:$R$3432,6,0)</f>
        <v>Hero Splendor No Data</v>
      </c>
      <c r="L839" s="5" t="s">
        <v>25</v>
      </c>
      <c r="M839" s="7" t="str">
        <f>VLOOKUP(A839,Sheet2!$A$2:$R$3432,5,0)</f>
        <v>MH14DB4826</v>
      </c>
      <c r="N839" s="5" t="s">
        <v>25</v>
      </c>
      <c r="O839" s="5" t="s">
        <v>25</v>
      </c>
      <c r="P839" s="6" t="s">
        <v>25</v>
      </c>
      <c r="Q839" s="5" t="s">
        <v>25</v>
      </c>
      <c r="R839" s="5" t="s">
        <v>25</v>
      </c>
      <c r="S839" s="5" t="str">
        <f>VLOOKUP(A839,Sheet2!$A$2:$R$3432,18,0)</f>
        <v>HA10EFB11K00457</v>
      </c>
      <c r="T839" s="7" t="str">
        <f>VLOOKUP(A839,Sheet2!$A$2:$R$3432,17,0)</f>
        <v>MBLHA10EZBHK00502</v>
      </c>
    </row>
    <row r="840" ht="15.75" customHeight="1">
      <c r="A840" s="3" t="s">
        <v>863</v>
      </c>
      <c r="B840" s="4" t="str">
        <f>VLOOKUP(A840,Sheet2!$A$2:$R$3432,2,0)</f>
        <v>2025-01-27 18:17:20</v>
      </c>
      <c r="C840" s="5" t="s">
        <v>25</v>
      </c>
      <c r="D840" s="6" t="s">
        <v>25</v>
      </c>
      <c r="E840" s="7">
        <f>VLOOKUP(A840,Sheet2!$A$2:$R$3432,4,0)</f>
        <v>8880519321</v>
      </c>
      <c r="F840" s="7" t="str">
        <f>VLOOKUP(A840,Sheet2!$A$2:$R$3432,3,0)</f>
        <v>ABHISHEK</v>
      </c>
      <c r="G840" s="5" t="s">
        <v>25</v>
      </c>
      <c r="H840" s="5" t="s">
        <v>25</v>
      </c>
      <c r="I840" s="5" t="s">
        <v>25</v>
      </c>
      <c r="J840" s="5" t="s">
        <v>25</v>
      </c>
      <c r="K840" s="7" t="str">
        <f>VLOOKUP(A840,Sheet2!$A$2:$R$3432,6,0)</f>
        <v>Bajaj Pulsar 220F</v>
      </c>
      <c r="L840" s="5" t="s">
        <v>25</v>
      </c>
      <c r="M840" s="7" t="str">
        <f>VLOOKUP(A840,Sheet2!$A$2:$R$3432,5,0)</f>
        <v>KA51EU6820</v>
      </c>
      <c r="N840" s="5" t="s">
        <v>25</v>
      </c>
      <c r="O840" s="5" t="s">
        <v>25</v>
      </c>
      <c r="P840" s="6" t="s">
        <v>25</v>
      </c>
      <c r="Q840" s="5" t="s">
        <v>25</v>
      </c>
      <c r="R840" s="5" t="s">
        <v>25</v>
      </c>
      <c r="S840" s="5" t="str">
        <f>VLOOKUP(A840,Sheet2!$A$2:$R$3432,18,0)</f>
        <v>DKZCGF37556</v>
      </c>
      <c r="T840" s="7" t="str">
        <f>VLOOKUP(A840,Sheet2!$A$2:$R$3432,17,0)</f>
        <v>MD2A13EZ0GCF20831</v>
      </c>
    </row>
    <row r="841" ht="15.75" customHeight="1">
      <c r="A841" s="3" t="s">
        <v>864</v>
      </c>
      <c r="B841" s="4" t="str">
        <f>VLOOKUP(A841,Sheet2!$A$2:$R$3432,2,0)</f>
        <v>2025-01-27 18:21:29</v>
      </c>
      <c r="C841" s="5" t="s">
        <v>25</v>
      </c>
      <c r="D841" s="6" t="s">
        <v>25</v>
      </c>
      <c r="E841" s="7">
        <f>VLOOKUP(A841,Sheet2!$A$2:$R$3432,4,0)</f>
        <v>9892720321</v>
      </c>
      <c r="F841" s="7" t="str">
        <f>VLOOKUP(A841,Sheet2!$A$2:$R$3432,3,0)</f>
        <v>Kiran</v>
      </c>
      <c r="G841" s="5" t="s">
        <v>25</v>
      </c>
      <c r="H841" s="5" t="s">
        <v>25</v>
      </c>
      <c r="I841" s="5" t="s">
        <v>25</v>
      </c>
      <c r="J841" s="5" t="s">
        <v>25</v>
      </c>
      <c r="K841" s="7" t="str">
        <f>VLOOKUP(A841,Sheet2!$A$2:$R$3432,6,0)</f>
        <v>Honda Dio No Data</v>
      </c>
      <c r="L841" s="5" t="s">
        <v>25</v>
      </c>
      <c r="M841" s="7" t="str">
        <f>VLOOKUP(A841,Sheet2!$A$2:$R$3432,5,0)</f>
        <v>MH09EA7532</v>
      </c>
      <c r="N841" s="5" t="s">
        <v>25</v>
      </c>
      <c r="O841" s="5" t="s">
        <v>25</v>
      </c>
      <c r="P841" s="6" t="s">
        <v>25</v>
      </c>
      <c r="Q841" s="5" t="s">
        <v>25</v>
      </c>
      <c r="R841" s="5" t="s">
        <v>25</v>
      </c>
      <c r="S841" s="5" t="str">
        <f>VLOOKUP(A841,Sheet2!$A$2:$R$3432,18,0)</f>
        <v>JF35E722654</v>
      </c>
      <c r="T841" s="7" t="str">
        <f>VLOOKUP(A841,Sheet2!$A$2:$R$3432,17,0)</f>
        <v>ME4JF394JF702597</v>
      </c>
    </row>
    <row r="842" ht="15.75" customHeight="1">
      <c r="A842" s="3" t="s">
        <v>865</v>
      </c>
      <c r="B842" s="4" t="str">
        <f>VLOOKUP(A842,Sheet2!$A$2:$R$3432,2,0)</f>
        <v>2025-01-27 18:25:37</v>
      </c>
      <c r="C842" s="5" t="s">
        <v>25</v>
      </c>
      <c r="D842" s="6" t="s">
        <v>25</v>
      </c>
      <c r="E842" s="7">
        <f>VLOOKUP(A842,Sheet2!$A$2:$R$3432,4,0)</f>
        <v>9893864338</v>
      </c>
      <c r="F842" s="7" t="str">
        <f>VLOOKUP(A842,Sheet2!$A$2:$R$3432,3,0)</f>
        <v>Prateek </v>
      </c>
      <c r="G842" s="5" t="s">
        <v>25</v>
      </c>
      <c r="H842" s="5" t="s">
        <v>25</v>
      </c>
      <c r="I842" s="5" t="s">
        <v>25</v>
      </c>
      <c r="J842" s="5" t="s">
        <v>25</v>
      </c>
      <c r="K842" s="7" t="str">
        <f>VLOOKUP(A842,Sheet2!$A$2:$R$3432,6,0)</f>
        <v>Honda Activa 3G</v>
      </c>
      <c r="L842" s="5" t="s">
        <v>25</v>
      </c>
      <c r="M842" s="7" t="str">
        <f>VLOOKUP(A842,Sheet2!$A$2:$R$3432,5,0)</f>
        <v>MH12LW8029</v>
      </c>
      <c r="N842" s="5" t="s">
        <v>25</v>
      </c>
      <c r="O842" s="5" t="s">
        <v>25</v>
      </c>
      <c r="P842" s="6" t="s">
        <v>25</v>
      </c>
      <c r="Q842" s="5" t="s">
        <v>25</v>
      </c>
      <c r="R842" s="5" t="s">
        <v>25</v>
      </c>
      <c r="S842" s="5" t="str">
        <f>VLOOKUP(A842,Sheet2!$A$2:$R$3432,18,0)</f>
        <v>JF50ET2193371</v>
      </c>
      <c r="T842" s="7" t="str">
        <f>VLOOKUP(A842,Sheet2!$A$2:$R$3432,17,0)</f>
        <v>ME4JF504CFT192352</v>
      </c>
    </row>
    <row r="843" ht="15.75" customHeight="1">
      <c r="A843" s="3" t="s">
        <v>866</v>
      </c>
      <c r="B843" s="4" t="str">
        <f>VLOOKUP(A843,Sheet2!$A$2:$R$3432,2,0)</f>
        <v>2025-01-27 18:27:07</v>
      </c>
      <c r="C843" s="5" t="s">
        <v>25</v>
      </c>
      <c r="D843" s="6" t="s">
        <v>25</v>
      </c>
      <c r="E843" s="7">
        <f>VLOOKUP(A843,Sheet2!$A$2:$R$3432,4,0)</f>
        <v>9604788998</v>
      </c>
      <c r="F843" s="7" t="str">
        <f>VLOOKUP(A843,Sheet2!$A$2:$R$3432,3,0)</f>
        <v>Imran </v>
      </c>
      <c r="G843" s="5" t="s">
        <v>25</v>
      </c>
      <c r="H843" s="5" t="s">
        <v>25</v>
      </c>
      <c r="I843" s="5" t="s">
        <v>25</v>
      </c>
      <c r="J843" s="5" t="s">
        <v>25</v>
      </c>
      <c r="K843" s="7" t="str">
        <f>VLOOKUP(A843,Sheet2!$A$2:$R$3432,6,0)</f>
        <v>Suzuki Avenis 125</v>
      </c>
      <c r="L843" s="5" t="s">
        <v>25</v>
      </c>
      <c r="M843" s="7" t="str">
        <f>VLOOKUP(A843,Sheet2!$A$2:$R$3432,5,0)</f>
        <v>MH14JZ8159</v>
      </c>
      <c r="N843" s="5" t="s">
        <v>25</v>
      </c>
      <c r="O843" s="5" t="s">
        <v>25</v>
      </c>
      <c r="P843" s="6" t="s">
        <v>25</v>
      </c>
      <c r="Q843" s="5" t="s">
        <v>25</v>
      </c>
      <c r="R843" s="5" t="s">
        <v>25</v>
      </c>
      <c r="S843" s="5" t="str">
        <f>VLOOKUP(A843,Sheet2!$A$2:$R$3432,18,0)</f>
        <v>AF212784851</v>
      </c>
      <c r="T843" s="7" t="str">
        <f>VLOOKUP(A843,Sheet2!$A$2:$R$3432,17,0)</f>
        <v>ME8EA12ACN8121713</v>
      </c>
    </row>
    <row r="844" ht="15.75" customHeight="1">
      <c r="A844" s="3" t="s">
        <v>867</v>
      </c>
      <c r="B844" s="4" t="str">
        <f>VLOOKUP(A844,Sheet2!$A$2:$R$3432,2,0)</f>
        <v>2025-01-27 18:30:58</v>
      </c>
      <c r="C844" s="5" t="s">
        <v>25</v>
      </c>
      <c r="D844" s="6" t="s">
        <v>25</v>
      </c>
      <c r="E844" s="7">
        <f>VLOOKUP(A844,Sheet2!$A$2:$R$3432,4,0)</f>
        <v>9823142250</v>
      </c>
      <c r="F844" s="7" t="str">
        <f>VLOOKUP(A844,Sheet2!$A$2:$R$3432,3,0)</f>
        <v>Vaidya</v>
      </c>
      <c r="G844" s="5" t="s">
        <v>25</v>
      </c>
      <c r="H844" s="5" t="s">
        <v>25</v>
      </c>
      <c r="I844" s="5" t="s">
        <v>25</v>
      </c>
      <c r="J844" s="5" t="s">
        <v>25</v>
      </c>
      <c r="K844" s="7" t="str">
        <f>VLOOKUP(A844,Sheet2!$A$2:$R$3432,6,0)</f>
        <v>Honda Activa </v>
      </c>
      <c r="L844" s="5" t="s">
        <v>25</v>
      </c>
      <c r="M844" s="7" t="str">
        <f>VLOOKUP(A844,Sheet2!$A$2:$R$3432,5,0)</f>
        <v>MH12KS9233</v>
      </c>
      <c r="N844" s="5" t="s">
        <v>25</v>
      </c>
      <c r="O844" s="5" t="s">
        <v>25</v>
      </c>
      <c r="P844" s="6" t="s">
        <v>25</v>
      </c>
      <c r="Q844" s="5" t="s">
        <v>25</v>
      </c>
      <c r="R844" s="5" t="s">
        <v>25</v>
      </c>
      <c r="S844" s="5" t="str">
        <f>VLOOKUP(A844,Sheet2!$A$2:$R$3432,18,0)</f>
        <v>JF50E7053833</v>
      </c>
      <c r="T844" s="7" t="str">
        <f>VLOOKUP(A844,Sheet2!$A$2:$R$3432,17,0)</f>
        <v>ME4JF501AE7536861861</v>
      </c>
    </row>
    <row r="845" ht="15.75" customHeight="1">
      <c r="A845" s="3" t="s">
        <v>868</v>
      </c>
      <c r="B845" s="4" t="str">
        <f>VLOOKUP(A845,Sheet2!$A$2:$R$3432,2,0)</f>
        <v>2025-01-27 18:34:40</v>
      </c>
      <c r="C845" s="5" t="s">
        <v>25</v>
      </c>
      <c r="D845" s="6" t="s">
        <v>25</v>
      </c>
      <c r="E845" s="7">
        <f>VLOOKUP(A845,Sheet2!$A$2:$R$3432,4,0)</f>
        <v>9371812725</v>
      </c>
      <c r="F845" s="7" t="str">
        <f>VLOOKUP(A845,Sheet2!$A$2:$R$3432,3,0)</f>
        <v>Manoj Bhanage</v>
      </c>
      <c r="G845" s="5" t="s">
        <v>25</v>
      </c>
      <c r="H845" s="5" t="s">
        <v>25</v>
      </c>
      <c r="I845" s="5" t="s">
        <v>25</v>
      </c>
      <c r="J845" s="5" t="s">
        <v>25</v>
      </c>
      <c r="K845" s="7" t="str">
        <f>VLOOKUP(A845,Sheet2!$A$2:$R$3432,6,0)</f>
        <v>Honda Unicorn No Data</v>
      </c>
      <c r="L845" s="5" t="s">
        <v>25</v>
      </c>
      <c r="M845" s="7" t="str">
        <f>VLOOKUP(A845,Sheet2!$A$2:$R$3432,5,0)</f>
        <v>MH14CY5613</v>
      </c>
      <c r="N845" s="5" t="s">
        <v>25</v>
      </c>
      <c r="O845" s="5" t="s">
        <v>25</v>
      </c>
      <c r="P845" s="6" t="s">
        <v>25</v>
      </c>
      <c r="Q845" s="5" t="s">
        <v>25</v>
      </c>
      <c r="R845" s="5" t="s">
        <v>25</v>
      </c>
      <c r="S845" s="5" t="str">
        <f>VLOOKUP(A845,Sheet2!$A$2:$R$3432,18,0)</f>
        <v>KC0981632968</v>
      </c>
      <c r="T845" s="7" t="str">
        <f>VLOOKUP(A845,Sheet2!$A$2:$R$3432,17,0)</f>
        <v>ME4KC096GB8128257</v>
      </c>
    </row>
    <row r="846" ht="15.75" customHeight="1">
      <c r="A846" s="3" t="s">
        <v>869</v>
      </c>
      <c r="B846" s="4" t="str">
        <f>VLOOKUP(A846,Sheet2!$A$2:$R$3432,2,0)</f>
        <v>2025-01-27 18:56:06</v>
      </c>
      <c r="C846" s="5" t="s">
        <v>25</v>
      </c>
      <c r="D846" s="6" t="s">
        <v>25</v>
      </c>
      <c r="E846" s="7">
        <f>VLOOKUP(A846,Sheet2!$A$2:$R$3432,4,0)</f>
        <v>8087274970</v>
      </c>
      <c r="F846" s="7" t="str">
        <f>VLOOKUP(A846,Sheet2!$A$2:$R$3432,3,0)</f>
        <v>Vikas Chauhan</v>
      </c>
      <c r="G846" s="5" t="s">
        <v>25</v>
      </c>
      <c r="H846" s="5" t="s">
        <v>25</v>
      </c>
      <c r="I846" s="5" t="s">
        <v>25</v>
      </c>
      <c r="J846" s="5" t="s">
        <v>25</v>
      </c>
      <c r="K846" s="7" t="str">
        <f>VLOOKUP(A846,Sheet2!$A$2:$R$3432,6,0)</f>
        <v>Honda Activa 4G</v>
      </c>
      <c r="L846" s="5" t="s">
        <v>25</v>
      </c>
      <c r="M846" s="7" t="str">
        <f>VLOOKUP(A846,Sheet2!$A$2:$R$3432,5,0)</f>
        <v>MH14GQ1756</v>
      </c>
      <c r="N846" s="5" t="s">
        <v>25</v>
      </c>
      <c r="O846" s="5" t="s">
        <v>25</v>
      </c>
      <c r="P846" s="6" t="s">
        <v>25</v>
      </c>
      <c r="Q846" s="5" t="s">
        <v>25</v>
      </c>
      <c r="R846" s="5" t="s">
        <v>25</v>
      </c>
      <c r="S846" s="5" t="str">
        <f>VLOOKUP(A846,Sheet2!$A$2:$R$3432,18,0)</f>
        <v>JF50ET5760093</v>
      </c>
      <c r="T846" s="7" t="str">
        <f>VLOOKUP(A846,Sheet2!$A$2:$R$3432,17,0)</f>
        <v>ME45F507KHT2F9374</v>
      </c>
    </row>
    <row r="847" ht="15.75" customHeight="1">
      <c r="A847" s="3" t="s">
        <v>870</v>
      </c>
      <c r="B847" s="4" t="str">
        <f>VLOOKUP(A847,Sheet2!$A$2:$R$3432,2,0)</f>
        <v>2025-05-14 19:53:15</v>
      </c>
      <c r="C847" s="5" t="s">
        <v>25</v>
      </c>
      <c r="D847" s="6" t="s">
        <v>25</v>
      </c>
      <c r="E847" s="7">
        <f>VLOOKUP(A847,Sheet2!$A$2:$R$3432,4,0)</f>
        <v>9289386984</v>
      </c>
      <c r="F847" s="7" t="str">
        <f>VLOOKUP(A847,Sheet2!$A$2:$R$3432,3,0)</f>
        <v>BINOD GUPTA</v>
      </c>
      <c r="G847" s="5" t="s">
        <v>25</v>
      </c>
      <c r="H847" s="5" t="s">
        <v>25</v>
      </c>
      <c r="I847" s="5" t="s">
        <v>25</v>
      </c>
      <c r="J847" s="5" t="s">
        <v>25</v>
      </c>
      <c r="K847" s="7" t="str">
        <f>VLOOKUP(A847,Sheet2!$A$2:$R$3432,6,0)</f>
        <v>Bajaj Discover 125ST</v>
      </c>
      <c r="L847" s="5" t="s">
        <v>25</v>
      </c>
      <c r="M847" s="7" t="str">
        <f>VLOOKUP(A847,Sheet2!$A$2:$R$3432,5,0)</f>
        <v>UP16AL5687</v>
      </c>
      <c r="N847" s="5" t="s">
        <v>25</v>
      </c>
      <c r="O847" s="5" t="s">
        <v>25</v>
      </c>
      <c r="P847" s="6" t="s">
        <v>25</v>
      </c>
      <c r="Q847" s="5" t="s">
        <v>25</v>
      </c>
      <c r="R847" s="5" t="s">
        <v>25</v>
      </c>
      <c r="S847" s="5" t="str">
        <f>VLOOKUP(A847,Sheet2!$A$2:$R$3432,18,0)</f>
        <v>JEZPC045113</v>
      </c>
      <c r="T847" s="7" t="str">
        <f>VLOOKUP(A847,Sheet2!$A$2:$R$3432,17,0)</f>
        <v>MD2A37CZ4CPG76693</v>
      </c>
    </row>
    <row r="848" ht="15.75" customHeight="1">
      <c r="A848" s="3" t="s">
        <v>871</v>
      </c>
      <c r="B848" s="4" t="str">
        <f>VLOOKUP(A848,Sheet2!$A$2:$R$3432,2,0)</f>
        <v>2025-05-14 19:51:17</v>
      </c>
      <c r="C848" s="5" t="s">
        <v>25</v>
      </c>
      <c r="D848" s="6" t="s">
        <v>25</v>
      </c>
      <c r="E848" s="7">
        <f>VLOOKUP(A848,Sheet2!$A$2:$R$3432,4,0)</f>
        <v>9595737922</v>
      </c>
      <c r="F848" s="7" t="str">
        <f>VLOOKUP(A848,Sheet2!$A$2:$R$3432,3,0)</f>
        <v>Sagar Mane</v>
      </c>
      <c r="G848" s="5" t="s">
        <v>25</v>
      </c>
      <c r="H848" s="5" t="s">
        <v>25</v>
      </c>
      <c r="I848" s="5" t="s">
        <v>25</v>
      </c>
      <c r="J848" s="5" t="s">
        <v>25</v>
      </c>
      <c r="K848" s="7" t="str">
        <f>VLOOKUP(A848,Sheet2!$A$2:$R$3432,6,0)</f>
        <v>Hero Passion Plus</v>
      </c>
      <c r="L848" s="5" t="s">
        <v>25</v>
      </c>
      <c r="M848" s="7" t="str">
        <f>VLOOKUP(A848,Sheet2!$A$2:$R$3432,5,0)</f>
        <v>MH14BQ3517</v>
      </c>
      <c r="N848" s="5" t="s">
        <v>25</v>
      </c>
      <c r="O848" s="5" t="s">
        <v>25</v>
      </c>
      <c r="P848" s="6" t="s">
        <v>25</v>
      </c>
      <c r="Q848" s="5" t="s">
        <v>25</v>
      </c>
      <c r="R848" s="5" t="s">
        <v>25</v>
      </c>
      <c r="S848" s="7" t="str">
        <f>VLOOKUP(A848,Sheet2!$A$2:$R$3432,18,0)</f>
        <v/>
      </c>
      <c r="T848" s="7" t="str">
        <f>VLOOKUP(A848,Sheet2!$A$2:$R$3432,17,0)</f>
        <v/>
      </c>
    </row>
    <row r="849" ht="15.75" customHeight="1">
      <c r="A849" s="3" t="s">
        <v>872</v>
      </c>
      <c r="B849" s="4" t="str">
        <f>VLOOKUP(A849,Sheet2!$A$2:$R$3432,2,0)</f>
        <v>2025-05-14 19:51:54</v>
      </c>
      <c r="C849" s="5" t="s">
        <v>25</v>
      </c>
      <c r="D849" s="6" t="s">
        <v>25</v>
      </c>
      <c r="E849" s="7">
        <f>VLOOKUP(A849,Sheet2!$A$2:$R$3432,4,0)</f>
        <v>9689373878</v>
      </c>
      <c r="F849" s="7" t="str">
        <f>VLOOKUP(A849,Sheet2!$A$2:$R$3432,3,0)</f>
        <v>Pratima More </v>
      </c>
      <c r="G849" s="5" t="s">
        <v>25</v>
      </c>
      <c r="H849" s="5" t="s">
        <v>25</v>
      </c>
      <c r="I849" s="5" t="s">
        <v>25</v>
      </c>
      <c r="J849" s="5" t="s">
        <v>25</v>
      </c>
      <c r="K849" s="7" t="str">
        <f>VLOOKUP(A849,Sheet2!$A$2:$R$3432,6,0)</f>
        <v>TVS Jupiter </v>
      </c>
      <c r="L849" s="5" t="s">
        <v>25</v>
      </c>
      <c r="M849" s="7" t="str">
        <f>VLOOKUP(A849,Sheet2!$A$2:$R$3432,5,0)</f>
        <v>MH14EX5965</v>
      </c>
      <c r="N849" s="5" t="s">
        <v>25</v>
      </c>
      <c r="O849" s="5" t="s">
        <v>25</v>
      </c>
      <c r="P849" s="6" t="s">
        <v>25</v>
      </c>
      <c r="Q849" s="5" t="s">
        <v>25</v>
      </c>
      <c r="R849" s="5" t="s">
        <v>25</v>
      </c>
      <c r="S849" s="5" t="str">
        <f>VLOOKUP(A849,Sheet2!$A$2:$R$3432,18,0)</f>
        <v>BG4DF1498654</v>
      </c>
      <c r="T849" s="7" t="str">
        <f>VLOOKUP(A849,Sheet2!$A$2:$R$3432,17,0)</f>
        <v>MD626BG43F1D08483</v>
      </c>
    </row>
    <row r="850" ht="15.75" customHeight="1">
      <c r="A850" s="3" t="s">
        <v>873</v>
      </c>
      <c r="B850" s="4" t="str">
        <f>VLOOKUP(A850,Sheet2!$A$2:$R$3432,2,0)</f>
        <v>2025-05-14 19:52:15</v>
      </c>
      <c r="C850" s="5" t="s">
        <v>25</v>
      </c>
      <c r="D850" s="6" t="s">
        <v>25</v>
      </c>
      <c r="E850" s="7">
        <f>VLOOKUP(A850,Sheet2!$A$2:$R$3432,4,0)</f>
        <v>9511833496</v>
      </c>
      <c r="F850" s="7" t="str">
        <f>VLOOKUP(A850,Sheet2!$A$2:$R$3432,3,0)</f>
        <v>BHAVESH</v>
      </c>
      <c r="G850" s="5" t="s">
        <v>25</v>
      </c>
      <c r="H850" s="5" t="s">
        <v>25</v>
      </c>
      <c r="I850" s="5" t="s">
        <v>25</v>
      </c>
      <c r="J850" s="5" t="s">
        <v>25</v>
      </c>
      <c r="K850" s="7" t="str">
        <f>VLOOKUP(A850,Sheet2!$A$2:$R$3432,6,0)</f>
        <v>TVS Jupiter </v>
      </c>
      <c r="L850" s="5" t="s">
        <v>25</v>
      </c>
      <c r="M850" s="7" t="str">
        <f>VLOOKUP(A850,Sheet2!$A$2:$R$3432,5,0)</f>
        <v>MH14LN2637</v>
      </c>
      <c r="N850" s="5" t="s">
        <v>25</v>
      </c>
      <c r="O850" s="5" t="s">
        <v>25</v>
      </c>
      <c r="P850" s="6" t="s">
        <v>25</v>
      </c>
      <c r="Q850" s="5" t="s">
        <v>25</v>
      </c>
      <c r="R850" s="5" t="s">
        <v>25</v>
      </c>
      <c r="S850" s="5" t="str">
        <f>VLOOKUP(A850,Sheet2!$A$2:$R$3432,18,0)</f>
        <v>DG5DR1107023</v>
      </c>
      <c r="T850" s="7" t="str">
        <f>VLOOKUP(A850,Sheet2!$A$2:$R$3432,17,0)</f>
        <v>MD626CG57R1D12703</v>
      </c>
    </row>
    <row r="851" ht="15.75" customHeight="1">
      <c r="A851" s="3" t="s">
        <v>874</v>
      </c>
      <c r="B851" s="4" t="str">
        <f>VLOOKUP(A851,Sheet2!$A$2:$R$3432,2,0)</f>
        <v>2025-05-14 19:53:50</v>
      </c>
      <c r="C851" s="5" t="s">
        <v>25</v>
      </c>
      <c r="D851" s="6" t="s">
        <v>25</v>
      </c>
      <c r="E851" s="7">
        <f>VLOOKUP(A851,Sheet2!$A$2:$R$3432,4,0)</f>
        <v>8600108711</v>
      </c>
      <c r="F851" s="7" t="str">
        <f>VLOOKUP(A851,Sheet2!$A$2:$R$3432,3,0)</f>
        <v>TANMAY LONKAR</v>
      </c>
      <c r="G851" s="5" t="s">
        <v>25</v>
      </c>
      <c r="H851" s="5" t="s">
        <v>25</v>
      </c>
      <c r="I851" s="5" t="s">
        <v>25</v>
      </c>
      <c r="J851" s="5" t="s">
        <v>25</v>
      </c>
      <c r="K851" s="7" t="str">
        <f>VLOOKUP(A851,Sheet2!$A$2:$R$3432,6,0)</f>
        <v>Honda Hornet 160R</v>
      </c>
      <c r="L851" s="5" t="s">
        <v>25</v>
      </c>
      <c r="M851" s="7" t="str">
        <f>VLOOKUP(A851,Sheet2!$A$2:$R$3432,5,0)</f>
        <v>MH12NC5276</v>
      </c>
      <c r="N851" s="5" t="s">
        <v>25</v>
      </c>
      <c r="O851" s="5" t="s">
        <v>25</v>
      </c>
      <c r="P851" s="6" t="s">
        <v>25</v>
      </c>
      <c r="Q851" s="5" t="s">
        <v>25</v>
      </c>
      <c r="R851" s="5" t="s">
        <v>25</v>
      </c>
      <c r="S851" s="5" t="str">
        <f>VLOOKUP(A851,Sheet2!$A$2:$R$3432,18,0)</f>
        <v>KC23E8003576</v>
      </c>
      <c r="T851" s="7" t="str">
        <f>VLOOKUP(A851,Sheet2!$A$2:$R$3432,17,0)</f>
        <v>ME4KC231AG8004425</v>
      </c>
    </row>
    <row r="852" ht="15.75" customHeight="1">
      <c r="A852" s="3" t="s">
        <v>875</v>
      </c>
      <c r="B852" s="4" t="str">
        <f>VLOOKUP(A852,Sheet2!$A$2:$R$3432,2,0)</f>
        <v>2025-05-14 19:54:11</v>
      </c>
      <c r="C852" s="5" t="s">
        <v>25</v>
      </c>
      <c r="D852" s="6" t="s">
        <v>25</v>
      </c>
      <c r="E852" s="7">
        <f>VLOOKUP(A852,Sheet2!$A$2:$R$3432,4,0)</f>
        <v>9561466895</v>
      </c>
      <c r="F852" s="7" t="str">
        <f>VLOOKUP(A852,Sheet2!$A$2:$R$3432,3,0)</f>
        <v>Sudarshan </v>
      </c>
      <c r="G852" s="5" t="s">
        <v>25</v>
      </c>
      <c r="H852" s="5" t="s">
        <v>25</v>
      </c>
      <c r="I852" s="5" t="s">
        <v>25</v>
      </c>
      <c r="J852" s="5" t="s">
        <v>25</v>
      </c>
      <c r="K852" s="7" t="str">
        <f>VLOOKUP(A852,Sheet2!$A$2:$R$3432,6,0)</f>
        <v>Hero Karizma </v>
      </c>
      <c r="L852" s="5" t="s">
        <v>25</v>
      </c>
      <c r="M852" s="7" t="str">
        <f>VLOOKUP(A852,Sheet2!$A$2:$R$3432,5,0)</f>
        <v>MH49M6215</v>
      </c>
      <c r="N852" s="5" t="s">
        <v>25</v>
      </c>
      <c r="O852" s="5" t="s">
        <v>25</v>
      </c>
      <c r="P852" s="6" t="s">
        <v>25</v>
      </c>
      <c r="Q852" s="5" t="s">
        <v>25</v>
      </c>
      <c r="R852" s="5" t="s">
        <v>25</v>
      </c>
      <c r="S852" s="7" t="str">
        <f>VLOOKUP(A852,Sheet2!$A$2:$R$3432,18,0)</f>
        <v/>
      </c>
      <c r="T852" s="7" t="str">
        <f>VLOOKUP(A852,Sheet2!$A$2:$R$3432,17,0)</f>
        <v/>
      </c>
    </row>
    <row r="853" ht="15.75" customHeight="1">
      <c r="A853" s="3" t="s">
        <v>876</v>
      </c>
      <c r="B853" s="4" t="str">
        <f>VLOOKUP(A853,Sheet2!$A$2:$R$3432,2,0)</f>
        <v>2025-05-14 20:36:38</v>
      </c>
      <c r="C853" s="5" t="s">
        <v>25</v>
      </c>
      <c r="D853" s="6" t="s">
        <v>25</v>
      </c>
      <c r="E853" s="7">
        <f>VLOOKUP(A853,Sheet2!$A$2:$R$3432,4,0)</f>
        <v>9798209244</v>
      </c>
      <c r="F853" s="7" t="str">
        <f>VLOOKUP(A853,Sheet2!$A$2:$R$3432,3,0)</f>
        <v>MANISHA MISHRA</v>
      </c>
      <c r="G853" s="5" t="s">
        <v>25</v>
      </c>
      <c r="H853" s="5" t="s">
        <v>25</v>
      </c>
      <c r="I853" s="5" t="s">
        <v>25</v>
      </c>
      <c r="J853" s="5" t="s">
        <v>25</v>
      </c>
      <c r="K853" s="7" t="str">
        <f>VLOOKUP(A853,Sheet2!$A$2:$R$3432,6,0)</f>
        <v>Hero Xoom LX</v>
      </c>
      <c r="L853" s="5" t="s">
        <v>25</v>
      </c>
      <c r="M853" s="7" t="str">
        <f>VLOOKUP(A853,Sheet2!$A$2:$R$3432,5,0)</f>
        <v>MH14LQ5301</v>
      </c>
      <c r="N853" s="5" t="s">
        <v>25</v>
      </c>
      <c r="O853" s="5" t="s">
        <v>25</v>
      </c>
      <c r="P853" s="6" t="s">
        <v>25</v>
      </c>
      <c r="Q853" s="5" t="s">
        <v>25</v>
      </c>
      <c r="R853" s="5" t="s">
        <v>25</v>
      </c>
      <c r="S853" s="5" t="str">
        <f>VLOOKUP(A853,Sheet2!$A$2:$R$3432,18,0)</f>
        <v>JF16EPRGD04074</v>
      </c>
      <c r="T853" s="7" t="str">
        <f>VLOOKUP(A853,Sheet2!$A$2:$R$3432,17,0)</f>
        <v>MBLJFW00RG003420</v>
      </c>
    </row>
    <row r="854" ht="15.75" customHeight="1">
      <c r="A854" s="3" t="s">
        <v>877</v>
      </c>
      <c r="B854" s="4" t="str">
        <f>VLOOKUP(A854,Sheet2!$A$2:$R$3432,2,0)</f>
        <v>2025-05-14 20:36:28</v>
      </c>
      <c r="C854" s="5" t="s">
        <v>25</v>
      </c>
      <c r="D854" s="6" t="s">
        <v>25</v>
      </c>
      <c r="E854" s="7">
        <f>VLOOKUP(A854,Sheet2!$A$2:$R$3432,4,0)</f>
        <v>9325618400</v>
      </c>
      <c r="F854" s="7" t="str">
        <f>VLOOKUP(A854,Sheet2!$A$2:$R$3432,3,0)</f>
        <v>Vishwa Mehta</v>
      </c>
      <c r="G854" s="5" t="s">
        <v>25</v>
      </c>
      <c r="H854" s="5" t="s">
        <v>25</v>
      </c>
      <c r="I854" s="5" t="s">
        <v>25</v>
      </c>
      <c r="J854" s="5" t="s">
        <v>25</v>
      </c>
      <c r="K854" s="7" t="str">
        <f>VLOOKUP(A854,Sheet2!$A$2:$R$3432,6,0)</f>
        <v>TVS Apache 160 4V</v>
      </c>
      <c r="L854" s="5" t="s">
        <v>25</v>
      </c>
      <c r="M854" s="7" t="str">
        <f>VLOOKUP(A854,Sheet2!$A$2:$R$3432,5,0)</f>
        <v>MH14HN6730</v>
      </c>
      <c r="N854" s="5" t="s">
        <v>25</v>
      </c>
      <c r="O854" s="5" t="s">
        <v>25</v>
      </c>
      <c r="P854" s="6" t="s">
        <v>25</v>
      </c>
      <c r="Q854" s="5" t="s">
        <v>25</v>
      </c>
      <c r="R854" s="5" t="s">
        <v>25</v>
      </c>
      <c r="S854" s="5" t="str">
        <f>VLOOKUP(A854,Sheet2!$A$2:$R$3432,18,0)</f>
        <v>CE7CK2702622</v>
      </c>
      <c r="T854" s="7" t="str">
        <f>VLOOKUP(A854,Sheet2!$A$2:$R$3432,17,0)</f>
        <v>MD637CE76K2C03011</v>
      </c>
    </row>
    <row r="855" ht="15.75" customHeight="1">
      <c r="A855" s="3" t="s">
        <v>878</v>
      </c>
      <c r="B855" s="4" t="str">
        <f>VLOOKUP(A855,Sheet2!$A$2:$R$3432,2,0)</f>
        <v>2025-03-15 20:10:06</v>
      </c>
      <c r="C855" s="5" t="s">
        <v>25</v>
      </c>
      <c r="D855" s="6" t="s">
        <v>25</v>
      </c>
      <c r="E855" s="7">
        <f>VLOOKUP(A855,Sheet2!$A$2:$R$3432,4,0)</f>
        <v>9960036481</v>
      </c>
      <c r="F855" s="7" t="str">
        <f>VLOOKUP(A855,Sheet2!$A$2:$R$3432,3,0)</f>
        <v>Suraj</v>
      </c>
      <c r="G855" s="5" t="s">
        <v>25</v>
      </c>
      <c r="H855" s="5" t="s">
        <v>25</v>
      </c>
      <c r="I855" s="5" t="s">
        <v>25</v>
      </c>
      <c r="J855" s="5" t="s">
        <v>25</v>
      </c>
      <c r="K855" s="7" t="str">
        <f>VLOOKUP(A855,Sheet2!$A$2:$R$3432,6,0)</f>
        <v>Aprilla SR SR 150</v>
      </c>
      <c r="L855" s="5" t="s">
        <v>25</v>
      </c>
      <c r="M855" s="7" t="str">
        <f>VLOOKUP(A855,Sheet2!$A$2:$R$3432,5,0)</f>
        <v>MH14HS5275</v>
      </c>
      <c r="N855" s="5" t="s">
        <v>25</v>
      </c>
      <c r="O855" s="5" t="s">
        <v>25</v>
      </c>
      <c r="P855" s="6" t="s">
        <v>25</v>
      </c>
      <c r="Q855" s="5" t="s">
        <v>25</v>
      </c>
      <c r="R855" s="5" t="s">
        <v>25</v>
      </c>
      <c r="S855" s="7" t="str">
        <f>VLOOKUP(A855,Sheet2!$A$2:$R$3432,18,0)</f>
        <v/>
      </c>
      <c r="T855" s="7" t="str">
        <f>VLOOKUP(A855,Sheet2!$A$2:$R$3432,17,0)</f>
        <v/>
      </c>
    </row>
    <row r="856" ht="15.75" customHeight="1">
      <c r="A856" s="3" t="s">
        <v>879</v>
      </c>
      <c r="B856" s="4" t="str">
        <f>VLOOKUP(A856,Sheet2!$A$2:$R$3432,2,0)</f>
        <v>2025-03-15 19:31:08</v>
      </c>
      <c r="C856" s="5" t="s">
        <v>25</v>
      </c>
      <c r="D856" s="6" t="s">
        <v>25</v>
      </c>
      <c r="E856" s="7">
        <f>VLOOKUP(A856,Sheet2!$A$2:$R$3432,4,0)</f>
        <v>9175645184</v>
      </c>
      <c r="F856" s="7" t="str">
        <f>VLOOKUP(A856,Sheet2!$A$2:$R$3432,3,0)</f>
        <v>RAM NARESH</v>
      </c>
      <c r="G856" s="5" t="s">
        <v>25</v>
      </c>
      <c r="H856" s="5" t="s">
        <v>25</v>
      </c>
      <c r="I856" s="5" t="s">
        <v>25</v>
      </c>
      <c r="J856" s="5" t="s">
        <v>25</v>
      </c>
      <c r="K856" s="7" t="str">
        <f>VLOOKUP(A856,Sheet2!$A$2:$R$3432,6,0)</f>
        <v>TVS Victor </v>
      </c>
      <c r="L856" s="5" t="s">
        <v>25</v>
      </c>
      <c r="M856" s="7" t="str">
        <f>VLOOKUP(A856,Sheet2!$A$2:$R$3432,5,0)</f>
        <v>MH12QP5582</v>
      </c>
      <c r="N856" s="5" t="s">
        <v>25</v>
      </c>
      <c r="O856" s="5" t="s">
        <v>25</v>
      </c>
      <c r="P856" s="6" t="s">
        <v>25</v>
      </c>
      <c r="Q856" s="5" t="s">
        <v>25</v>
      </c>
      <c r="R856" s="5" t="s">
        <v>25</v>
      </c>
      <c r="S856" s="5" t="str">
        <f>VLOOKUP(A856,Sheet2!$A$2:$R$3432,18,0)</f>
        <v>LE1EJ1714914</v>
      </c>
      <c r="T856" s="7" t="str">
        <f>VLOOKUP(A856,Sheet2!$A$2:$R$3432,17,0)</f>
        <v>MD625GF11J1E23809</v>
      </c>
    </row>
    <row r="857" ht="15.75" customHeight="1">
      <c r="A857" s="3" t="s">
        <v>880</v>
      </c>
      <c r="B857" s="4" t="str">
        <f>VLOOKUP(A857,Sheet2!$A$2:$R$3432,2,0)</f>
        <v>2025-03-15 19:29:34</v>
      </c>
      <c r="C857" s="5" t="s">
        <v>25</v>
      </c>
      <c r="D857" s="6" t="s">
        <v>25</v>
      </c>
      <c r="E857" s="7">
        <f>VLOOKUP(A857,Sheet2!$A$2:$R$3432,4,0)</f>
        <v>7987202654</v>
      </c>
      <c r="F857" s="7" t="str">
        <f>VLOOKUP(A857,Sheet2!$A$2:$R$3432,3,0)</f>
        <v>Himanshu Maheshwari </v>
      </c>
      <c r="G857" s="5" t="s">
        <v>25</v>
      </c>
      <c r="H857" s="5" t="s">
        <v>25</v>
      </c>
      <c r="I857" s="5" t="s">
        <v>25</v>
      </c>
      <c r="J857" s="5" t="s">
        <v>25</v>
      </c>
      <c r="K857" s="7" t="str">
        <f>VLOOKUP(A857,Sheet2!$A$2:$R$3432,6,0)</f>
        <v>Yamaha FZ X</v>
      </c>
      <c r="L857" s="5" t="s">
        <v>25</v>
      </c>
      <c r="M857" s="7" t="str">
        <f>VLOOKUP(A857,Sheet2!$A$2:$R$3432,5,0)</f>
        <v>MH14KM0607</v>
      </c>
      <c r="N857" s="5" t="s">
        <v>25</v>
      </c>
      <c r="O857" s="5" t="s">
        <v>25</v>
      </c>
      <c r="P857" s="6" t="s">
        <v>25</v>
      </c>
      <c r="Q857" s="5" t="s">
        <v>25</v>
      </c>
      <c r="R857" s="5" t="s">
        <v>25</v>
      </c>
      <c r="S857" s="7" t="str">
        <f>VLOOKUP(A857,Sheet2!$A$2:$R$3432,18,0)</f>
        <v/>
      </c>
      <c r="T857" s="7" t="str">
        <f>VLOOKUP(A857,Sheet2!$A$2:$R$3432,17,0)</f>
        <v/>
      </c>
    </row>
    <row r="858" ht="15.75" customHeight="1">
      <c r="A858" s="3" t="s">
        <v>881</v>
      </c>
      <c r="B858" s="4" t="str">
        <f>VLOOKUP(A858,Sheet2!$A$2:$R$3432,2,0)</f>
        <v>2025-03-15 19:30:39</v>
      </c>
      <c r="C858" s="5" t="s">
        <v>25</v>
      </c>
      <c r="D858" s="6" t="s">
        <v>25</v>
      </c>
      <c r="E858" s="7">
        <f>VLOOKUP(A858,Sheet2!$A$2:$R$3432,4,0)</f>
        <v>7276395330</v>
      </c>
      <c r="F858" s="7" t="str">
        <f>VLOOKUP(A858,Sheet2!$A$2:$R$3432,3,0)</f>
        <v>Sumit Upwanshi</v>
      </c>
      <c r="G858" s="5" t="s">
        <v>25</v>
      </c>
      <c r="H858" s="5" t="s">
        <v>25</v>
      </c>
      <c r="I858" s="5" t="s">
        <v>25</v>
      </c>
      <c r="J858" s="5" t="s">
        <v>25</v>
      </c>
      <c r="K858" s="7" t="str">
        <f>VLOOKUP(A858,Sheet2!$A$2:$R$3432,6,0)</f>
        <v>Hero Passion Pro</v>
      </c>
      <c r="L858" s="5" t="s">
        <v>25</v>
      </c>
      <c r="M858" s="7" t="str">
        <f>VLOOKUP(A858,Sheet2!$A$2:$R$3432,5,0)</f>
        <v>MH14EB4034</v>
      </c>
      <c r="N858" s="5" t="s">
        <v>25</v>
      </c>
      <c r="O858" s="5" t="s">
        <v>25</v>
      </c>
      <c r="P858" s="6" t="s">
        <v>25</v>
      </c>
      <c r="Q858" s="5" t="s">
        <v>25</v>
      </c>
      <c r="R858" s="5" t="s">
        <v>25</v>
      </c>
      <c r="S858" s="7" t="str">
        <f>VLOOKUP(A858,Sheet2!$A$2:$R$3432,18,0)</f>
        <v/>
      </c>
      <c r="T858" s="7" t="str">
        <f>VLOOKUP(A858,Sheet2!$A$2:$R$3432,17,0)</f>
        <v/>
      </c>
    </row>
    <row r="859" ht="15.75" customHeight="1">
      <c r="A859" s="3" t="s">
        <v>882</v>
      </c>
      <c r="B859" s="4" t="str">
        <f>VLOOKUP(A859,Sheet2!$A$2:$R$3432,2,0)</f>
        <v>2025-03-15 19:32:13</v>
      </c>
      <c r="C859" s="5" t="s">
        <v>25</v>
      </c>
      <c r="D859" s="6" t="s">
        <v>25</v>
      </c>
      <c r="E859" s="7">
        <f>VLOOKUP(A859,Sheet2!$A$2:$R$3432,4,0)</f>
        <v>8329990611</v>
      </c>
      <c r="F859" s="7" t="str">
        <f>VLOOKUP(A859,Sheet2!$A$2:$R$3432,3,0)</f>
        <v>SAYALI VIBHUTE</v>
      </c>
      <c r="G859" s="5" t="s">
        <v>25</v>
      </c>
      <c r="H859" s="5" t="s">
        <v>25</v>
      </c>
      <c r="I859" s="5" t="s">
        <v>25</v>
      </c>
      <c r="J859" s="5" t="s">
        <v>25</v>
      </c>
      <c r="K859" s="7" t="str">
        <f>VLOOKUP(A859,Sheet2!$A$2:$R$3432,6,0)</f>
        <v>Suzuki Access 125</v>
      </c>
      <c r="L859" s="5" t="s">
        <v>25</v>
      </c>
      <c r="M859" s="7" t="str">
        <f>VLOOKUP(A859,Sheet2!$A$2:$R$3432,5,0)</f>
        <v>MH10DE3724</v>
      </c>
      <c r="N859" s="5" t="s">
        <v>25</v>
      </c>
      <c r="O859" s="5" t="s">
        <v>25</v>
      </c>
      <c r="P859" s="6" t="s">
        <v>25</v>
      </c>
      <c r="Q859" s="5" t="s">
        <v>25</v>
      </c>
      <c r="R859" s="5" t="s">
        <v>25</v>
      </c>
      <c r="S859" s="7" t="str">
        <f>VLOOKUP(A859,Sheet2!$A$2:$R$3432,18,0)</f>
        <v/>
      </c>
      <c r="T859" s="7" t="str">
        <f>VLOOKUP(A859,Sheet2!$A$2:$R$3432,17,0)</f>
        <v/>
      </c>
    </row>
    <row r="860" ht="15.75" customHeight="1">
      <c r="A860" s="3" t="s">
        <v>883</v>
      </c>
      <c r="B860" s="4" t="str">
        <f>VLOOKUP(A860,Sheet2!$A$2:$R$3432,2,0)</f>
        <v>2025-03-15 19:35:11</v>
      </c>
      <c r="C860" s="5" t="s">
        <v>25</v>
      </c>
      <c r="D860" s="6" t="s">
        <v>25</v>
      </c>
      <c r="E860" s="7">
        <f>VLOOKUP(A860,Sheet2!$A$2:$R$3432,4,0)</f>
        <v>7709067293</v>
      </c>
      <c r="F860" s="7" t="str">
        <f>VLOOKUP(A860,Sheet2!$A$2:$R$3432,3,0)</f>
        <v>Avinash Wagh</v>
      </c>
      <c r="G860" s="5" t="s">
        <v>25</v>
      </c>
      <c r="H860" s="5" t="s">
        <v>25</v>
      </c>
      <c r="I860" s="5" t="s">
        <v>25</v>
      </c>
      <c r="J860" s="5" t="s">
        <v>25</v>
      </c>
      <c r="K860" s="7" t="str">
        <f>VLOOKUP(A860,Sheet2!$A$2:$R$3432,6,0)</f>
        <v>Bajaj Dominar 250</v>
      </c>
      <c r="L860" s="5" t="s">
        <v>25</v>
      </c>
      <c r="M860" s="7" t="str">
        <f>VLOOKUP(A860,Sheet2!$A$2:$R$3432,5,0)</f>
        <v>MH14JF4520</v>
      </c>
      <c r="N860" s="5" t="s">
        <v>25</v>
      </c>
      <c r="O860" s="5" t="s">
        <v>25</v>
      </c>
      <c r="P860" s="6" t="s">
        <v>25</v>
      </c>
      <c r="Q860" s="5" t="s">
        <v>25</v>
      </c>
      <c r="R860" s="5" t="s">
        <v>25</v>
      </c>
      <c r="S860" s="7" t="str">
        <f>VLOOKUP(A860,Sheet2!$A$2:$R$3432,18,0)</f>
        <v/>
      </c>
      <c r="T860" s="7" t="str">
        <f>VLOOKUP(A860,Sheet2!$A$2:$R$3432,17,0)</f>
        <v/>
      </c>
    </row>
    <row r="861" ht="15.75" customHeight="1">
      <c r="A861" s="3" t="s">
        <v>884</v>
      </c>
      <c r="B861" s="4" t="str">
        <f>VLOOKUP(A861,Sheet2!$A$2:$R$3432,2,0)</f>
        <v>2025-03-15 19:36:32</v>
      </c>
      <c r="C861" s="5" t="s">
        <v>25</v>
      </c>
      <c r="D861" s="6" t="s">
        <v>25</v>
      </c>
      <c r="E861" s="7">
        <f>VLOOKUP(A861,Sheet2!$A$2:$R$3432,4,0)</f>
        <v>7507903254</v>
      </c>
      <c r="F861" s="7" t="str">
        <f>VLOOKUP(A861,Sheet2!$A$2:$R$3432,3,0)</f>
        <v>SHASHWAT</v>
      </c>
      <c r="G861" s="5" t="s">
        <v>25</v>
      </c>
      <c r="H861" s="5" t="s">
        <v>25</v>
      </c>
      <c r="I861" s="5" t="s">
        <v>25</v>
      </c>
      <c r="J861" s="5" t="s">
        <v>25</v>
      </c>
      <c r="K861" s="7" t="str">
        <f>VLOOKUP(A861,Sheet2!$A$2:$R$3432,6,0)</f>
        <v>TVS Jupiter BS6</v>
      </c>
      <c r="L861" s="5" t="s">
        <v>25</v>
      </c>
      <c r="M861" s="7" t="str">
        <f>VLOOKUP(A861,Sheet2!$A$2:$R$3432,5,0)</f>
        <v>MH19DT6957</v>
      </c>
      <c r="N861" s="5" t="s">
        <v>25</v>
      </c>
      <c r="O861" s="5" t="s">
        <v>25</v>
      </c>
      <c r="P861" s="6" t="s">
        <v>25</v>
      </c>
      <c r="Q861" s="5" t="s">
        <v>25</v>
      </c>
      <c r="R861" s="5" t="s">
        <v>25</v>
      </c>
      <c r="S861" s="5" t="str">
        <f>VLOOKUP(A861,Sheet2!$A$2:$R$3432,18,0)</f>
        <v>GG5CM1901003</v>
      </c>
      <c r="T861" s="7" t="str">
        <f>VLOOKUP(A861,Sheet2!$A$2:$R$3432,17,0)</f>
        <v>MD626EG58M1C01081</v>
      </c>
    </row>
    <row r="862" ht="15.75" customHeight="1">
      <c r="A862" s="3" t="s">
        <v>885</v>
      </c>
      <c r="B862" s="4" t="str">
        <f>VLOOKUP(A862,Sheet2!$A$2:$R$3432,2,0)</f>
        <v>2025-03-15 19:36:04</v>
      </c>
      <c r="C862" s="5" t="s">
        <v>25</v>
      </c>
      <c r="D862" s="6" t="s">
        <v>25</v>
      </c>
      <c r="E862" s="7">
        <f>VLOOKUP(A862,Sheet2!$A$2:$R$3432,4,0)</f>
        <v>9823237638</v>
      </c>
      <c r="F862" s="7" t="str">
        <f>VLOOKUP(A862,Sheet2!$A$2:$R$3432,3,0)</f>
        <v>Mahesh Shroti</v>
      </c>
      <c r="G862" s="5" t="s">
        <v>25</v>
      </c>
      <c r="H862" s="5" t="s">
        <v>25</v>
      </c>
      <c r="I862" s="5" t="s">
        <v>25</v>
      </c>
      <c r="J862" s="5" t="s">
        <v>25</v>
      </c>
      <c r="K862" s="7" t="str">
        <f>VLOOKUP(A862,Sheet2!$A$2:$R$3432,6,0)</f>
        <v>Honda Activa 3G</v>
      </c>
      <c r="L862" s="5" t="s">
        <v>25</v>
      </c>
      <c r="M862" s="7" t="str">
        <f>VLOOKUP(A862,Sheet2!$A$2:$R$3432,5,0)</f>
        <v>MH12ND6234</v>
      </c>
      <c r="N862" s="5" t="s">
        <v>25</v>
      </c>
      <c r="O862" s="5" t="s">
        <v>25</v>
      </c>
      <c r="P862" s="6" t="s">
        <v>25</v>
      </c>
      <c r="Q862" s="5" t="s">
        <v>25</v>
      </c>
      <c r="R862" s="5" t="s">
        <v>25</v>
      </c>
      <c r="S862" s="7" t="str">
        <f>VLOOKUP(A862,Sheet2!$A$2:$R$3432,18,0)</f>
        <v/>
      </c>
      <c r="T862" s="7" t="str">
        <f>VLOOKUP(A862,Sheet2!$A$2:$R$3432,17,0)</f>
        <v/>
      </c>
    </row>
    <row r="863" ht="15.75" customHeight="1">
      <c r="A863" s="3" t="s">
        <v>886</v>
      </c>
      <c r="B863" s="4" t="str">
        <f>VLOOKUP(A863,Sheet2!$A$2:$R$3432,2,0)</f>
        <v>2025-03-15 19:38:13</v>
      </c>
      <c r="C863" s="5" t="s">
        <v>25</v>
      </c>
      <c r="D863" s="6" t="s">
        <v>25</v>
      </c>
      <c r="E863" s="7">
        <f>VLOOKUP(A863,Sheet2!$A$2:$R$3432,4,0)</f>
        <v>9727754606</v>
      </c>
      <c r="F863" s="7" t="str">
        <f>VLOOKUP(A863,Sheet2!$A$2:$R$3432,3,0)</f>
        <v>Ajit Vaidya</v>
      </c>
      <c r="G863" s="5" t="s">
        <v>25</v>
      </c>
      <c r="H863" s="5" t="s">
        <v>25</v>
      </c>
      <c r="I863" s="5" t="s">
        <v>25</v>
      </c>
      <c r="J863" s="5" t="s">
        <v>25</v>
      </c>
      <c r="K863" s="7" t="str">
        <f>VLOOKUP(A863,Sheet2!$A$2:$R$3432,6,0)</f>
        <v>Honda Dio New</v>
      </c>
      <c r="L863" s="5" t="s">
        <v>25</v>
      </c>
      <c r="M863" s="7" t="str">
        <f>VLOOKUP(A863,Sheet2!$A$2:$R$3432,5,0)</f>
        <v>MH14HJ8150</v>
      </c>
      <c r="N863" s="5" t="s">
        <v>25</v>
      </c>
      <c r="O863" s="5" t="s">
        <v>25</v>
      </c>
      <c r="P863" s="6" t="s">
        <v>25</v>
      </c>
      <c r="Q863" s="5" t="s">
        <v>25</v>
      </c>
      <c r="R863" s="5" t="s">
        <v>25</v>
      </c>
      <c r="S863" s="7" t="str">
        <f>VLOOKUP(A863,Sheet2!$A$2:$R$3432,18,0)</f>
        <v/>
      </c>
      <c r="T863" s="7" t="str">
        <f>VLOOKUP(A863,Sheet2!$A$2:$R$3432,17,0)</f>
        <v>ME4JF39HLJU022413</v>
      </c>
    </row>
    <row r="864" ht="15.75" customHeight="1">
      <c r="A864" s="3" t="s">
        <v>887</v>
      </c>
      <c r="B864" s="4" t="str">
        <f>VLOOKUP(A864,Sheet2!$A$2:$R$3432,2,0)</f>
        <v>2025-03-15 19:39:04</v>
      </c>
      <c r="C864" s="5" t="s">
        <v>25</v>
      </c>
      <c r="D864" s="6" t="s">
        <v>25</v>
      </c>
      <c r="E864" s="7">
        <f>VLOOKUP(A864,Sheet2!$A$2:$R$3432,4,0)</f>
        <v>8007738151</v>
      </c>
      <c r="F864" s="7" t="str">
        <f>VLOOKUP(A864,Sheet2!$A$2:$R$3432,3,0)</f>
        <v>RAHUL PARDESHI </v>
      </c>
      <c r="G864" s="5" t="s">
        <v>25</v>
      </c>
      <c r="H864" s="5" t="s">
        <v>25</v>
      </c>
      <c r="I864" s="5" t="s">
        <v>25</v>
      </c>
      <c r="J864" s="5" t="s">
        <v>25</v>
      </c>
      <c r="K864" s="7" t="str">
        <f>VLOOKUP(A864,Sheet2!$A$2:$R$3432,6,0)</f>
        <v>Suzuki Access  125 BS6</v>
      </c>
      <c r="L864" s="5" t="s">
        <v>25</v>
      </c>
      <c r="M864" s="7" t="str">
        <f>VLOOKUP(A864,Sheet2!$A$2:$R$3432,5,0)</f>
        <v>MH14LG0749</v>
      </c>
      <c r="N864" s="5" t="s">
        <v>25</v>
      </c>
      <c r="O864" s="5" t="s">
        <v>25</v>
      </c>
      <c r="P864" s="6" t="s">
        <v>25</v>
      </c>
      <c r="Q864" s="5" t="s">
        <v>25</v>
      </c>
      <c r="R864" s="5" t="s">
        <v>25</v>
      </c>
      <c r="S864" s="5" t="str">
        <f>VLOOKUP(A864,Sheet2!$A$2:$R$3432,18,0)</f>
        <v>AF214479933</v>
      </c>
      <c r="T864" s="7" t="str">
        <f>VLOOKUP(A864,Sheet2!$A$2:$R$3432,17,0)</f>
        <v>MB8DP12MR8542537</v>
      </c>
    </row>
    <row r="865" ht="15.75" customHeight="1">
      <c r="A865" s="3" t="s">
        <v>888</v>
      </c>
      <c r="B865" s="4" t="str">
        <f>VLOOKUP(A865,Sheet2!$A$2:$R$3432,2,0)</f>
        <v>2025-03-15 20:08:23</v>
      </c>
      <c r="C865" s="5" t="s">
        <v>25</v>
      </c>
      <c r="D865" s="6" t="s">
        <v>25</v>
      </c>
      <c r="E865" s="7">
        <f>VLOOKUP(A865,Sheet2!$A$2:$R$3432,4,0)</f>
        <v>8329730571</v>
      </c>
      <c r="F865" s="7" t="str">
        <f>VLOOKUP(A865,Sheet2!$A$2:$R$3432,3,0)</f>
        <v>Harshad Padvi</v>
      </c>
      <c r="G865" s="5" t="s">
        <v>25</v>
      </c>
      <c r="H865" s="5" t="s">
        <v>25</v>
      </c>
      <c r="I865" s="5" t="s">
        <v>25</v>
      </c>
      <c r="J865" s="5" t="s">
        <v>25</v>
      </c>
      <c r="K865" s="7" t="str">
        <f>VLOOKUP(A865,Sheet2!$A$2:$R$3432,6,0)</f>
        <v>Bajaj Pulsar 200 NS</v>
      </c>
      <c r="L865" s="5" t="s">
        <v>25</v>
      </c>
      <c r="M865" s="7" t="str">
        <f>VLOOKUP(A865,Sheet2!$A$2:$R$3432,5,0)</f>
        <v>MH39AE7781</v>
      </c>
      <c r="N865" s="5" t="s">
        <v>25</v>
      </c>
      <c r="O865" s="5" t="s">
        <v>25</v>
      </c>
      <c r="P865" s="6" t="s">
        <v>25</v>
      </c>
      <c r="Q865" s="5" t="s">
        <v>25</v>
      </c>
      <c r="R865" s="5" t="s">
        <v>25</v>
      </c>
      <c r="S865" s="7" t="str">
        <f>VLOOKUP(A865,Sheet2!$A$2:$R$3432,18,0)</f>
        <v/>
      </c>
      <c r="T865" s="7" t="str">
        <f>VLOOKUP(A865,Sheet2!$A$2:$R$3432,17,0)</f>
        <v/>
      </c>
    </row>
    <row r="866" ht="15.75" customHeight="1">
      <c r="A866" s="3" t="s">
        <v>889</v>
      </c>
      <c r="B866" s="4" t="str">
        <f>VLOOKUP(A866,Sheet2!$A$2:$R$3432,2,0)</f>
        <v>2025-03-15 20:09:12</v>
      </c>
      <c r="C866" s="5" t="s">
        <v>25</v>
      </c>
      <c r="D866" s="6" t="s">
        <v>25</v>
      </c>
      <c r="E866" s="7">
        <f>VLOOKUP(A866,Sheet2!$A$2:$R$3432,4,0)</f>
        <v>9422178080</v>
      </c>
      <c r="F866" s="7" t="str">
        <f>VLOOKUP(A866,Sheet2!$A$2:$R$3432,3,0)</f>
        <v>TUSHAR KALE</v>
      </c>
      <c r="G866" s="5" t="s">
        <v>25</v>
      </c>
      <c r="H866" s="5" t="s">
        <v>25</v>
      </c>
      <c r="I866" s="5" t="s">
        <v>25</v>
      </c>
      <c r="J866" s="5" t="s">
        <v>25</v>
      </c>
      <c r="K866" s="7" t="str">
        <f>VLOOKUP(A866,Sheet2!$A$2:$R$3432,6,0)</f>
        <v>Honda Shine CB</v>
      </c>
      <c r="L866" s="5" t="s">
        <v>25</v>
      </c>
      <c r="M866" s="7" t="str">
        <f>VLOOKUP(A866,Sheet2!$A$2:$R$3432,5,0)</f>
        <v>MH22AR8507</v>
      </c>
      <c r="N866" s="5" t="s">
        <v>25</v>
      </c>
      <c r="O866" s="5" t="s">
        <v>25</v>
      </c>
      <c r="P866" s="6" t="s">
        <v>25</v>
      </c>
      <c r="Q866" s="5" t="s">
        <v>25</v>
      </c>
      <c r="R866" s="5" t="s">
        <v>25</v>
      </c>
      <c r="S866" s="5" t="str">
        <f>VLOOKUP(A866,Sheet2!$A$2:$R$3432,18,0)</f>
        <v>JC65ET215741</v>
      </c>
      <c r="T866" s="7" t="str">
        <f>VLOOKUP(A866,Sheet2!$A$2:$R$3432,17,0)</f>
        <v>ME4JC65AFJT101064</v>
      </c>
    </row>
    <row r="867" ht="15.75" customHeight="1">
      <c r="A867" s="3" t="s">
        <v>890</v>
      </c>
      <c r="B867" s="4" t="str">
        <f>VLOOKUP(A867,Sheet2!$A$2:$R$3432,2,0)</f>
        <v>2025-03-15 20:27:16</v>
      </c>
      <c r="C867" s="5" t="s">
        <v>25</v>
      </c>
      <c r="D867" s="6" t="s">
        <v>25</v>
      </c>
      <c r="E867" s="7">
        <f>VLOOKUP(A867,Sheet2!$A$2:$R$3432,4,0)</f>
        <v>9049098932</v>
      </c>
      <c r="F867" s="7" t="str">
        <f>VLOOKUP(A867,Sheet2!$A$2:$R$3432,3,0)</f>
        <v>Saurabh Chandra</v>
      </c>
      <c r="G867" s="5" t="s">
        <v>25</v>
      </c>
      <c r="H867" s="5" t="s">
        <v>25</v>
      </c>
      <c r="I867" s="5" t="s">
        <v>25</v>
      </c>
      <c r="J867" s="5" t="s">
        <v>25</v>
      </c>
      <c r="K867" s="7" t="str">
        <f>VLOOKUP(A867,Sheet2!$A$2:$R$3432,6,0)</f>
        <v>TVS NTorq 125</v>
      </c>
      <c r="L867" s="5" t="s">
        <v>25</v>
      </c>
      <c r="M867" s="7" t="str">
        <f>VLOOKUP(A867,Sheet2!$A$2:$R$3432,5,0)</f>
        <v>MH14HP9866</v>
      </c>
      <c r="N867" s="5" t="s">
        <v>25</v>
      </c>
      <c r="O867" s="5" t="s">
        <v>25</v>
      </c>
      <c r="P867" s="6" t="s">
        <v>25</v>
      </c>
      <c r="Q867" s="5" t="s">
        <v>25</v>
      </c>
      <c r="R867" s="5" t="s">
        <v>25</v>
      </c>
      <c r="S867" s="7" t="str">
        <f>VLOOKUP(A867,Sheet2!$A$2:$R$3432,18,0)</f>
        <v/>
      </c>
      <c r="T867" s="7" t="str">
        <f>VLOOKUP(A867,Sheet2!$A$2:$R$3432,17,0)</f>
        <v>MD626AG79K2C72382</v>
      </c>
    </row>
    <row r="868" ht="15.75" customHeight="1">
      <c r="A868" s="3" t="s">
        <v>891</v>
      </c>
      <c r="B868" s="4" t="str">
        <f>VLOOKUP(A868,Sheet2!$A$2:$R$3432,2,0)</f>
        <v>2025-05-15 11:18:55</v>
      </c>
      <c r="C868" s="5" t="s">
        <v>25</v>
      </c>
      <c r="D868" s="6" t="s">
        <v>25</v>
      </c>
      <c r="E868" s="7">
        <f>VLOOKUP(A868,Sheet2!$A$2:$R$3432,4,0)</f>
        <v>7743915677</v>
      </c>
      <c r="F868" s="7" t="str">
        <f>VLOOKUP(A868,Sheet2!$A$2:$R$3432,3,0)</f>
        <v>Vaibhav Malviya</v>
      </c>
      <c r="G868" s="5" t="s">
        <v>25</v>
      </c>
      <c r="H868" s="5" t="s">
        <v>25</v>
      </c>
      <c r="I868" s="5" t="s">
        <v>25</v>
      </c>
      <c r="J868" s="5" t="s">
        <v>25</v>
      </c>
      <c r="K868" s="7" t="str">
        <f>VLOOKUP(A868,Sheet2!$A$2:$R$3432,6,0)</f>
        <v>Suzuki Access  125 BS6</v>
      </c>
      <c r="L868" s="5" t="s">
        <v>25</v>
      </c>
      <c r="M868" s="7" t="str">
        <f>VLOOKUP(A868,Sheet2!$A$2:$R$3432,5,0)</f>
        <v>MH14KL6395</v>
      </c>
      <c r="N868" s="5" t="s">
        <v>25</v>
      </c>
      <c r="O868" s="5" t="s">
        <v>25</v>
      </c>
      <c r="P868" s="6" t="s">
        <v>25</v>
      </c>
      <c r="Q868" s="5" t="s">
        <v>25</v>
      </c>
      <c r="R868" s="5" t="s">
        <v>25</v>
      </c>
      <c r="S868" s="7" t="str">
        <f>VLOOKUP(A868,Sheet2!$A$2:$R$3432,18,0)</f>
        <v/>
      </c>
      <c r="T868" s="7" t="str">
        <f>VLOOKUP(A868,Sheet2!$A$2:$R$3432,17,0)</f>
        <v/>
      </c>
    </row>
    <row r="869" ht="15.75" customHeight="1">
      <c r="A869" s="3" t="s">
        <v>892</v>
      </c>
      <c r="B869" s="4" t="str">
        <f>VLOOKUP(A869,Sheet2!$A$2:$R$3432,2,0)</f>
        <v>2025-05-15 18:46:31</v>
      </c>
      <c r="C869" s="5" t="s">
        <v>25</v>
      </c>
      <c r="D869" s="6" t="s">
        <v>25</v>
      </c>
      <c r="E869" s="7">
        <f>VLOOKUP(A869,Sheet2!$A$2:$R$3432,4,0)</f>
        <v>9764948865</v>
      </c>
      <c r="F869" s="7" t="str">
        <f>VLOOKUP(A869,Sheet2!$A$2:$R$3432,3,0)</f>
        <v>ANIL</v>
      </c>
      <c r="G869" s="5" t="s">
        <v>25</v>
      </c>
      <c r="H869" s="5" t="s">
        <v>25</v>
      </c>
      <c r="I869" s="5" t="s">
        <v>25</v>
      </c>
      <c r="J869" s="5" t="s">
        <v>25</v>
      </c>
      <c r="K869" s="7" t="str">
        <f>VLOOKUP(A869,Sheet2!$A$2:$R$3432,6,0)</f>
        <v>Honda SP 125 Drum</v>
      </c>
      <c r="L869" s="5" t="s">
        <v>25</v>
      </c>
      <c r="M869" s="7" t="str">
        <f>VLOOKUP(A869,Sheet2!$A$2:$R$3432,5,0)</f>
        <v>MH14JQ0621</v>
      </c>
      <c r="N869" s="5" t="s">
        <v>25</v>
      </c>
      <c r="O869" s="5" t="s">
        <v>25</v>
      </c>
      <c r="P869" s="6" t="s">
        <v>25</v>
      </c>
      <c r="Q869" s="5" t="s">
        <v>25</v>
      </c>
      <c r="R869" s="5" t="s">
        <v>25</v>
      </c>
      <c r="S869" s="5" t="str">
        <f>VLOOKUP(A869,Sheet2!$A$2:$R$3432,18,0)</f>
        <v>JC83EG0340289</v>
      </c>
      <c r="T869" s="7" t="str">
        <f>VLOOKUP(A869,Sheet2!$A$2:$R$3432,17,0)</f>
        <v>ME4JC832BMG1358</v>
      </c>
    </row>
    <row r="870" ht="15.75" customHeight="1">
      <c r="A870" s="3" t="s">
        <v>893</v>
      </c>
      <c r="B870" s="4" t="str">
        <f>VLOOKUP(A870,Sheet2!$A$2:$R$3432,2,0)</f>
        <v>2025-05-15 18:45:15</v>
      </c>
      <c r="C870" s="5" t="s">
        <v>25</v>
      </c>
      <c r="D870" s="6" t="s">
        <v>25</v>
      </c>
      <c r="E870" s="7">
        <f>VLOOKUP(A870,Sheet2!$A$2:$R$3432,4,0)</f>
        <v>9028426690</v>
      </c>
      <c r="F870" s="7" t="str">
        <f>VLOOKUP(A870,Sheet2!$A$2:$R$3432,3,0)</f>
        <v>AMRUTA </v>
      </c>
      <c r="G870" s="5" t="s">
        <v>25</v>
      </c>
      <c r="H870" s="5" t="s">
        <v>25</v>
      </c>
      <c r="I870" s="5" t="s">
        <v>25</v>
      </c>
      <c r="J870" s="5" t="s">
        <v>25</v>
      </c>
      <c r="K870" s="7" t="str">
        <f>VLOOKUP(A870,Sheet2!$A$2:$R$3432,6,0)</f>
        <v>Hero Pleasure </v>
      </c>
      <c r="L870" s="5" t="s">
        <v>25</v>
      </c>
      <c r="M870" s="7" t="str">
        <f>VLOOKUP(A870,Sheet2!$A$2:$R$3432,5,0)</f>
        <v>MH12KF2553</v>
      </c>
      <c r="N870" s="5" t="s">
        <v>25</v>
      </c>
      <c r="O870" s="5" t="s">
        <v>25</v>
      </c>
      <c r="P870" s="6" t="s">
        <v>25</v>
      </c>
      <c r="Q870" s="5" t="s">
        <v>25</v>
      </c>
      <c r="R870" s="5" t="s">
        <v>25</v>
      </c>
      <c r="S870" s="7" t="str">
        <f>VLOOKUP(A870,Sheet2!$A$2:$R$3432,18,0)</f>
        <v/>
      </c>
      <c r="T870" s="7" t="str">
        <f>VLOOKUP(A870,Sheet2!$A$2:$R$3432,17,0)</f>
        <v/>
      </c>
    </row>
    <row r="871" ht="15.75" customHeight="1">
      <c r="A871" s="3" t="s">
        <v>894</v>
      </c>
      <c r="B871" s="4" t="str">
        <f>VLOOKUP(A871,Sheet2!$A$2:$R$3432,2,0)</f>
        <v>2025-05-15 18:47:50</v>
      </c>
      <c r="C871" s="5" t="s">
        <v>25</v>
      </c>
      <c r="D871" s="6" t="s">
        <v>25</v>
      </c>
      <c r="E871" s="7">
        <f>VLOOKUP(A871,Sheet2!$A$2:$R$3432,4,0)</f>
        <v>8793072076</v>
      </c>
      <c r="F871" s="7" t="str">
        <f>VLOOKUP(A871,Sheet2!$A$2:$R$3432,3,0)</f>
        <v>GIRISH SATAV</v>
      </c>
      <c r="G871" s="5" t="s">
        <v>25</v>
      </c>
      <c r="H871" s="5" t="s">
        <v>25</v>
      </c>
      <c r="I871" s="5" t="s">
        <v>25</v>
      </c>
      <c r="J871" s="5" t="s">
        <v>25</v>
      </c>
      <c r="K871" s="7" t="str">
        <f>VLOOKUP(A871,Sheet2!$A$2:$R$3432,6,0)</f>
        <v>Honda Dio </v>
      </c>
      <c r="L871" s="5" t="s">
        <v>25</v>
      </c>
      <c r="M871" s="7" t="str">
        <f>VLOOKUP(A871,Sheet2!$A$2:$R$3432,5,0)</f>
        <v>MH12EZ3207</v>
      </c>
      <c r="N871" s="5" t="s">
        <v>25</v>
      </c>
      <c r="O871" s="5" t="s">
        <v>25</v>
      </c>
      <c r="P871" s="6" t="s">
        <v>25</v>
      </c>
      <c r="Q871" s="5" t="s">
        <v>25</v>
      </c>
      <c r="R871" s="5" t="s">
        <v>25</v>
      </c>
      <c r="S871" s="7" t="str">
        <f>VLOOKUP(A871,Sheet2!$A$2:$R$3432,18,0)</f>
        <v/>
      </c>
      <c r="T871" s="7" t="str">
        <f>VLOOKUP(A871,Sheet2!$A$2:$R$3432,17,0)</f>
        <v/>
      </c>
    </row>
    <row r="872" ht="15.75" customHeight="1">
      <c r="A872" s="3" t="s">
        <v>895</v>
      </c>
      <c r="B872" s="4" t="str">
        <f>VLOOKUP(A872,Sheet2!$A$2:$R$3432,2,0)</f>
        <v>2025-05-15 18:49:22</v>
      </c>
      <c r="C872" s="5" t="s">
        <v>25</v>
      </c>
      <c r="D872" s="6" t="s">
        <v>25</v>
      </c>
      <c r="E872" s="7">
        <f>VLOOKUP(A872,Sheet2!$A$2:$R$3432,4,0)</f>
        <v>7972417412</v>
      </c>
      <c r="F872" s="7" t="str">
        <f>VLOOKUP(A872,Sheet2!$A$2:$R$3432,3,0)</f>
        <v>Gajanan Salunke</v>
      </c>
      <c r="G872" s="5" t="s">
        <v>25</v>
      </c>
      <c r="H872" s="5" t="s">
        <v>25</v>
      </c>
      <c r="I872" s="5" t="s">
        <v>25</v>
      </c>
      <c r="J872" s="5" t="s">
        <v>25</v>
      </c>
      <c r="K872" s="7" t="str">
        <f>VLOOKUP(A872,Sheet2!$A$2:$R$3432,6,0)</f>
        <v>Yamaha FZ FI</v>
      </c>
      <c r="L872" s="5" t="s">
        <v>25</v>
      </c>
      <c r="M872" s="7" t="str">
        <f>VLOOKUP(A872,Sheet2!$A$2:$R$3432,5,0)</f>
        <v>MH14GK9592</v>
      </c>
      <c r="N872" s="5" t="s">
        <v>25</v>
      </c>
      <c r="O872" s="5" t="s">
        <v>25</v>
      </c>
      <c r="P872" s="6" t="s">
        <v>25</v>
      </c>
      <c r="Q872" s="5" t="s">
        <v>25</v>
      </c>
      <c r="R872" s="5" t="s">
        <v>25</v>
      </c>
      <c r="S872" s="7" t="str">
        <f>VLOOKUP(A872,Sheet2!$A$2:$R$3432,18,0)</f>
        <v/>
      </c>
      <c r="T872" s="7" t="str">
        <f>VLOOKUP(A872,Sheet2!$A$2:$R$3432,17,0)</f>
        <v>ME1RG442840056705</v>
      </c>
    </row>
    <row r="873" ht="15.75" customHeight="1">
      <c r="A873" s="3" t="s">
        <v>896</v>
      </c>
      <c r="B873" s="4" t="str">
        <f>VLOOKUP(A873,Sheet2!$A$2:$R$3432,2,0)</f>
        <v>2025-05-15 18:49:48</v>
      </c>
      <c r="C873" s="5" t="s">
        <v>25</v>
      </c>
      <c r="D873" s="6" t="s">
        <v>25</v>
      </c>
      <c r="E873" s="7">
        <f>VLOOKUP(A873,Sheet2!$A$2:$R$3432,4,0)</f>
        <v>9049836820</v>
      </c>
      <c r="F873" s="7" t="str">
        <f>VLOOKUP(A873,Sheet2!$A$2:$R$3432,3,0)</f>
        <v>Rishi</v>
      </c>
      <c r="G873" s="5" t="s">
        <v>25</v>
      </c>
      <c r="H873" s="5" t="s">
        <v>25</v>
      </c>
      <c r="I873" s="5" t="s">
        <v>25</v>
      </c>
      <c r="J873" s="5" t="s">
        <v>25</v>
      </c>
      <c r="K873" s="7" t="str">
        <f>VLOOKUP(A873,Sheet2!$A$2:$R$3432,6,0)</f>
        <v>Suzuki Access 125</v>
      </c>
      <c r="L873" s="5" t="s">
        <v>25</v>
      </c>
      <c r="M873" s="7" t="str">
        <f>VLOOKUP(A873,Sheet2!$A$2:$R$3432,5,0)</f>
        <v>MH14JT6624</v>
      </c>
      <c r="N873" s="5" t="s">
        <v>25</v>
      </c>
      <c r="O873" s="5" t="s">
        <v>25</v>
      </c>
      <c r="P873" s="6" t="s">
        <v>25</v>
      </c>
      <c r="Q873" s="5" t="s">
        <v>25</v>
      </c>
      <c r="R873" s="5" t="s">
        <v>25</v>
      </c>
      <c r="S873" s="5" t="str">
        <f>VLOOKUP(A873,Sheet2!$A$2:$R$3432,18,0)</f>
        <v>AE21684743</v>
      </c>
      <c r="T873" s="7" t="str">
        <f>VLOOKUP(A873,Sheet2!$A$2:$R$3432,17,0)</f>
        <v>MB8DP1ZDKM8892889</v>
      </c>
    </row>
    <row r="874" ht="15.75" customHeight="1">
      <c r="A874" s="3" t="s">
        <v>897</v>
      </c>
      <c r="B874" s="4" t="str">
        <f>VLOOKUP(A874,Sheet2!$A$2:$R$3432,2,0)</f>
        <v>2025-05-15 20:39:35</v>
      </c>
      <c r="C874" s="5" t="s">
        <v>25</v>
      </c>
      <c r="D874" s="6" t="s">
        <v>25</v>
      </c>
      <c r="E874" s="7">
        <f>VLOOKUP(A874,Sheet2!$A$2:$R$3432,4,0)</f>
        <v>9983995688</v>
      </c>
      <c r="F874" s="7" t="str">
        <f>VLOOKUP(A874,Sheet2!$A$2:$R$3432,3,0)</f>
        <v>MAHENDRA</v>
      </c>
      <c r="G874" s="5" t="s">
        <v>25</v>
      </c>
      <c r="H874" s="5" t="s">
        <v>25</v>
      </c>
      <c r="I874" s="5" t="s">
        <v>25</v>
      </c>
      <c r="J874" s="5" t="s">
        <v>25</v>
      </c>
      <c r="K874" s="7" t="str">
        <f>VLOOKUP(A874,Sheet2!$A$2:$R$3432,6,0)</f>
        <v>Hero Splendor Pro</v>
      </c>
      <c r="L874" s="5" t="s">
        <v>25</v>
      </c>
      <c r="M874" s="7" t="str">
        <f>VLOOKUP(A874,Sheet2!$A$2:$R$3432,5,0)</f>
        <v>MH12UT8465</v>
      </c>
      <c r="N874" s="5" t="s">
        <v>25</v>
      </c>
      <c r="O874" s="5" t="s">
        <v>25</v>
      </c>
      <c r="P874" s="6" t="s">
        <v>25</v>
      </c>
      <c r="Q874" s="5" t="s">
        <v>25</v>
      </c>
      <c r="R874" s="5" t="s">
        <v>25</v>
      </c>
      <c r="S874" s="7" t="str">
        <f>VLOOKUP(A874,Sheet2!$A$2:$R$3432,18,0)</f>
        <v/>
      </c>
      <c r="T874" s="7" t="str">
        <f>VLOOKUP(A874,Sheet2!$A$2:$R$3432,17,0)</f>
        <v/>
      </c>
    </row>
    <row r="875" ht="15.75" customHeight="1">
      <c r="A875" s="3" t="s">
        <v>898</v>
      </c>
      <c r="B875" s="4" t="str">
        <f>VLOOKUP(A875,Sheet2!$A$2:$R$3432,2,0)</f>
        <v>2025-05-15 20:38:57</v>
      </c>
      <c r="C875" s="5" t="s">
        <v>25</v>
      </c>
      <c r="D875" s="6" t="s">
        <v>25</v>
      </c>
      <c r="E875" s="7">
        <f>VLOOKUP(A875,Sheet2!$A$2:$R$3432,4,0)</f>
        <v>9833114601</v>
      </c>
      <c r="F875" s="7" t="str">
        <f>VLOOKUP(A875,Sheet2!$A$2:$R$3432,3,0)</f>
        <v>RAMESH</v>
      </c>
      <c r="G875" s="5" t="s">
        <v>25</v>
      </c>
      <c r="H875" s="5" t="s">
        <v>25</v>
      </c>
      <c r="I875" s="5" t="s">
        <v>25</v>
      </c>
      <c r="J875" s="5" t="s">
        <v>25</v>
      </c>
      <c r="K875" s="7" t="str">
        <f>VLOOKUP(A875,Sheet2!$A$2:$R$3432,6,0)</f>
        <v>TVS Scooty PEP Plus</v>
      </c>
      <c r="L875" s="5" t="s">
        <v>25</v>
      </c>
      <c r="M875" s="7" t="str">
        <f>VLOOKUP(A875,Sheet2!$A$2:$R$3432,5,0)</f>
        <v>MH12DL8117</v>
      </c>
      <c r="N875" s="5" t="s">
        <v>25</v>
      </c>
      <c r="O875" s="5" t="s">
        <v>25</v>
      </c>
      <c r="P875" s="6" t="s">
        <v>25</v>
      </c>
      <c r="Q875" s="5" t="s">
        <v>25</v>
      </c>
      <c r="R875" s="5" t="s">
        <v>25</v>
      </c>
      <c r="S875" s="7" t="str">
        <f>VLOOKUP(A875,Sheet2!$A$2:$R$3432,18,0)</f>
        <v/>
      </c>
      <c r="T875" s="7" t="str">
        <f>VLOOKUP(A875,Sheet2!$A$2:$R$3432,17,0)</f>
        <v/>
      </c>
    </row>
    <row r="876" ht="15.75" customHeight="1">
      <c r="A876" s="3" t="s">
        <v>899</v>
      </c>
      <c r="B876" s="4" t="str">
        <f>VLOOKUP(A876,Sheet2!$A$2:$R$3432,2,0)</f>
        <v>2025-05-15 20:40:11</v>
      </c>
      <c r="C876" s="5" t="s">
        <v>25</v>
      </c>
      <c r="D876" s="6" t="s">
        <v>25</v>
      </c>
      <c r="E876" s="7">
        <f>VLOOKUP(A876,Sheet2!$A$2:$R$3432,4,0)</f>
        <v>9923285252</v>
      </c>
      <c r="F876" s="7" t="str">
        <f>VLOOKUP(A876,Sheet2!$A$2:$R$3432,3,0)</f>
        <v>SHUBHAM UBLE</v>
      </c>
      <c r="G876" s="5" t="s">
        <v>25</v>
      </c>
      <c r="H876" s="5" t="s">
        <v>25</v>
      </c>
      <c r="I876" s="5" t="s">
        <v>25</v>
      </c>
      <c r="J876" s="5" t="s">
        <v>25</v>
      </c>
      <c r="K876" s="7" t="str">
        <f>VLOOKUP(A876,Sheet2!$A$2:$R$3432,6,0)</f>
        <v>Bajaj Pulsar 150</v>
      </c>
      <c r="L876" s="5" t="s">
        <v>25</v>
      </c>
      <c r="M876" s="7" t="str">
        <f>VLOOKUP(A876,Sheet2!$A$2:$R$3432,5,0)</f>
        <v>MH20DU6275</v>
      </c>
      <c r="N876" s="5" t="s">
        <v>25</v>
      </c>
      <c r="O876" s="5" t="s">
        <v>25</v>
      </c>
      <c r="P876" s="6" t="s">
        <v>25</v>
      </c>
      <c r="Q876" s="5" t="s">
        <v>25</v>
      </c>
      <c r="R876" s="5" t="s">
        <v>25</v>
      </c>
      <c r="S876" s="5" t="str">
        <f>VLOOKUP(A876,Sheet2!$A$2:$R$3432,18,0)</f>
        <v>X</v>
      </c>
      <c r="T876" s="7" t="str">
        <f>VLOOKUP(A876,Sheet2!$A$2:$R$3432,17,0)</f>
        <v>MD2A11CZIPW0818</v>
      </c>
    </row>
    <row r="877" ht="15.75" customHeight="1">
      <c r="A877" s="3" t="s">
        <v>900</v>
      </c>
      <c r="B877" s="4" t="str">
        <f>VLOOKUP(A877,Sheet2!$A$2:$R$3432,2,0)</f>
        <v>2025-01-08 20:28:57</v>
      </c>
      <c r="C877" s="5" t="s">
        <v>25</v>
      </c>
      <c r="D877" s="6" t="s">
        <v>25</v>
      </c>
      <c r="E877" s="7">
        <f>VLOOKUP(A877,Sheet2!$A$2:$R$3432,4,0)</f>
        <v>9975562308</v>
      </c>
      <c r="F877" s="7" t="str">
        <f>VLOOKUP(A877,Sheet2!$A$2:$R$3432,3,0)</f>
        <v>MOHAMMAD ZAID</v>
      </c>
      <c r="G877" s="5" t="s">
        <v>25</v>
      </c>
      <c r="H877" s="5" t="s">
        <v>25</v>
      </c>
      <c r="I877" s="5" t="s">
        <v>25</v>
      </c>
      <c r="J877" s="5" t="s">
        <v>25</v>
      </c>
      <c r="K877" s="7" t="str">
        <f>VLOOKUP(A877,Sheet2!$A$2:$R$3432,6,0)</f>
        <v>Honda Activa 6G</v>
      </c>
      <c r="L877" s="5" t="s">
        <v>25</v>
      </c>
      <c r="M877" s="7" t="str">
        <f>VLOOKUP(A877,Sheet2!$A$2:$R$3432,5,0)</f>
        <v>MH40BY8505</v>
      </c>
      <c r="N877" s="5" t="s">
        <v>25</v>
      </c>
      <c r="O877" s="5" t="s">
        <v>25</v>
      </c>
      <c r="P877" s="6" t="s">
        <v>25</v>
      </c>
      <c r="Q877" s="5" t="s">
        <v>25</v>
      </c>
      <c r="R877" s="5" t="s">
        <v>25</v>
      </c>
      <c r="S877" s="7" t="str">
        <f>VLOOKUP(A877,Sheet2!$A$2:$R$3432,18,0)</f>
        <v/>
      </c>
      <c r="T877" s="7" t="str">
        <f>VLOOKUP(A877,Sheet2!$A$2:$R$3432,17,0)</f>
        <v/>
      </c>
    </row>
    <row r="878" ht="15.75" customHeight="1">
      <c r="A878" s="3" t="s">
        <v>901</v>
      </c>
      <c r="B878" s="4" t="str">
        <f>VLOOKUP(A878,Sheet2!$A$2:$R$3432,2,0)</f>
        <v>2025-01-08 19:01:48</v>
      </c>
      <c r="C878" s="5" t="s">
        <v>25</v>
      </c>
      <c r="D878" s="6" t="s">
        <v>25</v>
      </c>
      <c r="E878" s="7">
        <f>VLOOKUP(A878,Sheet2!$A$2:$R$3432,4,0)</f>
        <v>9011213042</v>
      </c>
      <c r="F878" s="7" t="str">
        <f>VLOOKUP(A878,Sheet2!$A$2:$R$3432,3,0)</f>
        <v>Ramesh Jadhav</v>
      </c>
      <c r="G878" s="5" t="s">
        <v>25</v>
      </c>
      <c r="H878" s="5" t="s">
        <v>25</v>
      </c>
      <c r="I878" s="5" t="s">
        <v>25</v>
      </c>
      <c r="J878" s="5" t="s">
        <v>25</v>
      </c>
      <c r="K878" s="7" t="str">
        <f>VLOOKUP(A878,Sheet2!$A$2:$R$3432,6,0)</f>
        <v>Hero Splendor PRO</v>
      </c>
      <c r="L878" s="5" t="s">
        <v>25</v>
      </c>
      <c r="M878" s="7" t="str">
        <f>VLOOKUP(A878,Sheet2!$A$2:$R$3432,5,0)</f>
        <v>MH14EW1373</v>
      </c>
      <c r="N878" s="5" t="s">
        <v>25</v>
      </c>
      <c r="O878" s="5" t="s">
        <v>25</v>
      </c>
      <c r="P878" s="6" t="s">
        <v>25</v>
      </c>
      <c r="Q878" s="5" t="s">
        <v>25</v>
      </c>
      <c r="R878" s="5" t="s">
        <v>25</v>
      </c>
      <c r="S878" s="7" t="str">
        <f>VLOOKUP(A878,Sheet2!$A$2:$R$3432,18,0)</f>
        <v/>
      </c>
      <c r="T878" s="7" t="str">
        <f>VLOOKUP(A878,Sheet2!$A$2:$R$3432,17,0)</f>
        <v>MBLHA10BFE9M08342</v>
      </c>
    </row>
    <row r="879" ht="15.75" customHeight="1">
      <c r="A879" s="3" t="s">
        <v>902</v>
      </c>
      <c r="B879" s="4" t="str">
        <f>VLOOKUP(A879,Sheet2!$A$2:$R$3432,2,0)</f>
        <v>2025-01-08 11:20:19</v>
      </c>
      <c r="C879" s="5" t="s">
        <v>25</v>
      </c>
      <c r="D879" s="6" t="s">
        <v>25</v>
      </c>
      <c r="E879" s="7">
        <f>VLOOKUP(A879,Sheet2!$A$2:$R$3432,4,0)</f>
        <v>7758951016</v>
      </c>
      <c r="F879" s="7" t="str">
        <f>VLOOKUP(A879,Sheet2!$A$2:$R$3432,3,0)</f>
        <v>MUNNA KAKARE</v>
      </c>
      <c r="G879" s="5" t="s">
        <v>25</v>
      </c>
      <c r="H879" s="5" t="s">
        <v>25</v>
      </c>
      <c r="I879" s="5" t="s">
        <v>25</v>
      </c>
      <c r="J879" s="5" t="s">
        <v>25</v>
      </c>
      <c r="K879" s="7" t="str">
        <f>VLOOKUP(A879,Sheet2!$A$2:$R$3432,6,0)</f>
        <v>Piaggio Vespa </v>
      </c>
      <c r="L879" s="5" t="s">
        <v>25</v>
      </c>
      <c r="M879" s="7" t="str">
        <f>VLOOKUP(A879,Sheet2!$A$2:$R$3432,5,0)</f>
        <v>MH12TL5051</v>
      </c>
      <c r="N879" s="5" t="s">
        <v>25</v>
      </c>
      <c r="O879" s="5" t="s">
        <v>25</v>
      </c>
      <c r="P879" s="6" t="s">
        <v>25</v>
      </c>
      <c r="Q879" s="5" t="s">
        <v>25</v>
      </c>
      <c r="R879" s="5" t="s">
        <v>25</v>
      </c>
      <c r="S879" s="7" t="str">
        <f>VLOOKUP(A879,Sheet2!$A$2:$R$3432,18,0)</f>
        <v/>
      </c>
      <c r="T879" s="7" t="str">
        <f>VLOOKUP(A879,Sheet2!$A$2:$R$3432,17,0)</f>
        <v/>
      </c>
    </row>
    <row r="880" ht="15.75" customHeight="1">
      <c r="A880" s="3" t="s">
        <v>903</v>
      </c>
      <c r="B880" s="4" t="str">
        <f>VLOOKUP(A880,Sheet2!$A$2:$R$3432,2,0)</f>
        <v>2025-01-08 23:03:59</v>
      </c>
      <c r="C880" s="5" t="s">
        <v>25</v>
      </c>
      <c r="D880" s="6" t="s">
        <v>25</v>
      </c>
      <c r="E880" s="7">
        <f>VLOOKUP(A880,Sheet2!$A$2:$R$3432,4,0)</f>
        <v>7447628825</v>
      </c>
      <c r="F880" s="7" t="str">
        <f>VLOOKUP(A880,Sheet2!$A$2:$R$3432,3,0)</f>
        <v>BHAGYASHREE JAMKHEDKAR</v>
      </c>
      <c r="G880" s="5" t="s">
        <v>25</v>
      </c>
      <c r="H880" s="5" t="s">
        <v>25</v>
      </c>
      <c r="I880" s="5" t="s">
        <v>25</v>
      </c>
      <c r="J880" s="5" t="s">
        <v>25</v>
      </c>
      <c r="K880" s="7" t="str">
        <f>VLOOKUP(A880,Sheet2!$A$2:$R$3432,6,0)</f>
        <v>Piaggio Vespa </v>
      </c>
      <c r="L880" s="5" t="s">
        <v>25</v>
      </c>
      <c r="M880" s="7" t="str">
        <f>VLOOKUP(A880,Sheet2!$A$2:$R$3432,5,0)</f>
        <v>MH14HV3101</v>
      </c>
      <c r="N880" s="5" t="s">
        <v>25</v>
      </c>
      <c r="O880" s="5" t="s">
        <v>25</v>
      </c>
      <c r="P880" s="6" t="s">
        <v>25</v>
      </c>
      <c r="Q880" s="5" t="s">
        <v>25</v>
      </c>
      <c r="R880" s="5" t="s">
        <v>25</v>
      </c>
      <c r="S880" s="5" t="str">
        <f>VLOOKUP(A880,Sheet2!$A$2:$R$3432,18,0)</f>
        <v>MET000NAYG004070</v>
      </c>
      <c r="T880" s="7" t="str">
        <f>VLOOKUP(A880,Sheet2!$A$2:$R$3432,17,0)</f>
        <v>M449M3224315</v>
      </c>
    </row>
    <row r="881" ht="15.75" customHeight="1">
      <c r="A881" s="3" t="s">
        <v>904</v>
      </c>
      <c r="B881" s="4" t="str">
        <f>VLOOKUP(A881,Sheet2!$A$2:$R$3432,2,0)</f>
        <v>2025-01-08 20:37:57</v>
      </c>
      <c r="C881" s="5" t="s">
        <v>25</v>
      </c>
      <c r="D881" s="6" t="s">
        <v>25</v>
      </c>
      <c r="E881" s="7">
        <f>VLOOKUP(A881,Sheet2!$A$2:$R$3432,4,0)</f>
        <v>7558701609</v>
      </c>
      <c r="F881" s="7" t="str">
        <f>VLOOKUP(A881,Sheet2!$A$2:$R$3432,3,0)</f>
        <v>PUNIT PATIL</v>
      </c>
      <c r="G881" s="5" t="s">
        <v>25</v>
      </c>
      <c r="H881" s="5" t="s">
        <v>25</v>
      </c>
      <c r="I881" s="5" t="s">
        <v>25</v>
      </c>
      <c r="J881" s="5" t="s">
        <v>25</v>
      </c>
      <c r="K881" s="7" t="str">
        <f>VLOOKUP(A881,Sheet2!$A$2:$R$3432,6,0)</f>
        <v>Yamaha FZ S 2.0</v>
      </c>
      <c r="L881" s="5" t="s">
        <v>25</v>
      </c>
      <c r="M881" s="7" t="str">
        <f>VLOOKUP(A881,Sheet2!$A$2:$R$3432,5,0)</f>
        <v>MH12NG6585</v>
      </c>
      <c r="N881" s="5" t="s">
        <v>25</v>
      </c>
      <c r="O881" s="5" t="s">
        <v>25</v>
      </c>
      <c r="P881" s="6" t="s">
        <v>25</v>
      </c>
      <c r="Q881" s="5" t="s">
        <v>25</v>
      </c>
      <c r="R881" s="5" t="s">
        <v>25</v>
      </c>
      <c r="S881" s="5" t="str">
        <f>VLOOKUP(A881,Sheet2!$A$2:$R$3432,18,0)</f>
        <v>63C8E0338466</v>
      </c>
      <c r="T881" s="7" t="str">
        <f>VLOOKUP(A881,Sheet2!$A$2:$R$3432,17,0)</f>
        <v>ME1RG072660221884</v>
      </c>
    </row>
    <row r="882" ht="15.75" customHeight="1">
      <c r="A882" s="3" t="s">
        <v>905</v>
      </c>
      <c r="B882" s="4" t="str">
        <f>VLOOKUP(A882,Sheet2!$A$2:$R$3432,2,0)</f>
        <v>2025-01-08 20:26:48</v>
      </c>
      <c r="C882" s="5" t="s">
        <v>25</v>
      </c>
      <c r="D882" s="6" t="s">
        <v>25</v>
      </c>
      <c r="E882" s="7">
        <f>VLOOKUP(A882,Sheet2!$A$2:$R$3432,4,0)</f>
        <v>8087489274</v>
      </c>
      <c r="F882" s="7" t="str">
        <f>VLOOKUP(A882,Sheet2!$A$2:$R$3432,3,0)</f>
        <v>NAVNATH</v>
      </c>
      <c r="G882" s="5" t="s">
        <v>25</v>
      </c>
      <c r="H882" s="5" t="s">
        <v>25</v>
      </c>
      <c r="I882" s="5" t="s">
        <v>25</v>
      </c>
      <c r="J882" s="5" t="s">
        <v>25</v>
      </c>
      <c r="K882" s="7" t="str">
        <f>VLOOKUP(A882,Sheet2!$A$2:$R$3432,6,0)</f>
        <v>Honda Unicorn 150</v>
      </c>
      <c r="L882" s="5" t="s">
        <v>25</v>
      </c>
      <c r="M882" s="7" t="str">
        <f>VLOOKUP(A882,Sheet2!$A$2:$R$3432,5,0)</f>
        <v>MH17CE0499</v>
      </c>
      <c r="N882" s="5" t="s">
        <v>25</v>
      </c>
      <c r="O882" s="5" t="s">
        <v>25</v>
      </c>
      <c r="P882" s="6" t="s">
        <v>25</v>
      </c>
      <c r="Q882" s="5" t="s">
        <v>25</v>
      </c>
      <c r="R882" s="5" t="s">
        <v>25</v>
      </c>
      <c r="S882" s="7" t="str">
        <f>VLOOKUP(A882,Sheet2!$A$2:$R$3432,18,0)</f>
        <v/>
      </c>
      <c r="T882" s="7" t="str">
        <f>VLOOKUP(A882,Sheet2!$A$2:$R$3432,17,0)</f>
        <v/>
      </c>
    </row>
    <row r="883" ht="15.75" customHeight="1">
      <c r="A883" s="3" t="s">
        <v>906</v>
      </c>
      <c r="B883" s="4" t="str">
        <f>VLOOKUP(A883,Sheet2!$A$2:$R$3432,2,0)</f>
        <v>2025-01-08 19:05:04</v>
      </c>
      <c r="C883" s="5" t="s">
        <v>25</v>
      </c>
      <c r="D883" s="6" t="s">
        <v>25</v>
      </c>
      <c r="E883" s="7">
        <f>VLOOKUP(A883,Sheet2!$A$2:$R$3432,4,0)</f>
        <v>9370192988</v>
      </c>
      <c r="F883" s="7" t="str">
        <f>VLOOKUP(A883,Sheet2!$A$2:$R$3432,3,0)</f>
        <v>Vivek </v>
      </c>
      <c r="G883" s="5" t="s">
        <v>25</v>
      </c>
      <c r="H883" s="5" t="s">
        <v>25</v>
      </c>
      <c r="I883" s="5" t="s">
        <v>25</v>
      </c>
      <c r="J883" s="5" t="s">
        <v>25</v>
      </c>
      <c r="K883" s="7" t="str">
        <f>VLOOKUP(A883,Sheet2!$A$2:$R$3432,6,0)</f>
        <v>Honda Activa 3G</v>
      </c>
      <c r="L883" s="5" t="s">
        <v>25</v>
      </c>
      <c r="M883" s="7" t="str">
        <f>VLOOKUP(A883,Sheet2!$A$2:$R$3432,5,0)</f>
        <v>MH14FP6536</v>
      </c>
      <c r="N883" s="5" t="s">
        <v>25</v>
      </c>
      <c r="O883" s="5" t="s">
        <v>25</v>
      </c>
      <c r="P883" s="6" t="s">
        <v>25</v>
      </c>
      <c r="Q883" s="5" t="s">
        <v>25</v>
      </c>
      <c r="R883" s="5" t="s">
        <v>25</v>
      </c>
      <c r="S883" s="5" t="str">
        <f>VLOOKUP(A883,Sheet2!$A$2:$R$3432,18,0)</f>
        <v>JF503315357</v>
      </c>
      <c r="T883" s="7" t="str">
        <f>VLOOKUP(A883,Sheet2!$A$2:$R$3432,17,0)</f>
        <v>ME45F50GT314980</v>
      </c>
    </row>
    <row r="884" ht="15.75" customHeight="1">
      <c r="A884" s="3" t="s">
        <v>907</v>
      </c>
      <c r="B884" s="4" t="str">
        <f>VLOOKUP(A884,Sheet2!$A$2:$R$3432,2,0)</f>
        <v>2025-01-08 19:02:34</v>
      </c>
      <c r="C884" s="5" t="s">
        <v>25</v>
      </c>
      <c r="D884" s="6" t="s">
        <v>25</v>
      </c>
      <c r="E884" s="7">
        <f>VLOOKUP(A884,Sheet2!$A$2:$R$3432,4,0)</f>
        <v>9096400647</v>
      </c>
      <c r="F884" s="7" t="str">
        <f>VLOOKUP(A884,Sheet2!$A$2:$R$3432,3,0)</f>
        <v>Saurabh</v>
      </c>
      <c r="G884" s="5" t="s">
        <v>25</v>
      </c>
      <c r="H884" s="5" t="s">
        <v>25</v>
      </c>
      <c r="I884" s="5" t="s">
        <v>25</v>
      </c>
      <c r="J884" s="5" t="s">
        <v>25</v>
      </c>
      <c r="K884" s="7" t="str">
        <f>VLOOKUP(A884,Sheet2!$A$2:$R$3432,6,0)</f>
        <v>TVS Apache RTR 160</v>
      </c>
      <c r="L884" s="5" t="s">
        <v>25</v>
      </c>
      <c r="M884" s="7" t="str">
        <f>VLOOKUP(A884,Sheet2!$A$2:$R$3432,5,0)</f>
        <v>MH05EK5273</v>
      </c>
      <c r="N884" s="5" t="s">
        <v>25</v>
      </c>
      <c r="O884" s="5" t="s">
        <v>25</v>
      </c>
      <c r="P884" s="6" t="s">
        <v>25</v>
      </c>
      <c r="Q884" s="5" t="s">
        <v>25</v>
      </c>
      <c r="R884" s="5" t="s">
        <v>25</v>
      </c>
      <c r="S884" s="7" t="str">
        <f>VLOOKUP(A884,Sheet2!$A$2:$R$3432,18,0)</f>
        <v/>
      </c>
      <c r="T884" s="7" t="str">
        <f>VLOOKUP(A884,Sheet2!$A$2:$R$3432,17,0)</f>
        <v/>
      </c>
    </row>
    <row r="885" ht="15.75" customHeight="1">
      <c r="A885" s="3" t="s">
        <v>908</v>
      </c>
      <c r="B885" s="4" t="str">
        <f>VLOOKUP(A885,Sheet2!$A$2:$R$3432,2,0)</f>
        <v>2025-01-08 19:04:30</v>
      </c>
      <c r="C885" s="5" t="s">
        <v>25</v>
      </c>
      <c r="D885" s="6" t="s">
        <v>25</v>
      </c>
      <c r="E885" s="7">
        <f>VLOOKUP(A885,Sheet2!$A$2:$R$3432,4,0)</f>
        <v>7905469291</v>
      </c>
      <c r="F885" s="7" t="str">
        <f>VLOOKUP(A885,Sheet2!$A$2:$R$3432,3,0)</f>
        <v>AMIT SINGH</v>
      </c>
      <c r="G885" s="5" t="s">
        <v>25</v>
      </c>
      <c r="H885" s="5" t="s">
        <v>25</v>
      </c>
      <c r="I885" s="5" t="s">
        <v>25</v>
      </c>
      <c r="J885" s="5" t="s">
        <v>25</v>
      </c>
      <c r="K885" s="7" t="str">
        <f>VLOOKUP(A885,Sheet2!$A$2:$R$3432,6,0)</f>
        <v>Honda Activa 110</v>
      </c>
      <c r="L885" s="5" t="s">
        <v>25</v>
      </c>
      <c r="M885" s="7" t="str">
        <f>VLOOKUP(A885,Sheet2!$A$2:$R$3432,5,0)</f>
        <v>MH12KS3717</v>
      </c>
      <c r="N885" s="5" t="s">
        <v>25</v>
      </c>
      <c r="O885" s="5" t="s">
        <v>25</v>
      </c>
      <c r="P885" s="6" t="s">
        <v>25</v>
      </c>
      <c r="Q885" s="5" t="s">
        <v>25</v>
      </c>
      <c r="R885" s="5" t="s">
        <v>25</v>
      </c>
      <c r="S885" s="5" t="str">
        <f>VLOOKUP(A885,Sheet2!$A$2:$R$3432,18,0)</f>
        <v>JF50E80655329</v>
      </c>
      <c r="T885" s="7" t="str">
        <f>VLOOKUP(A885,Sheet2!$A$2:$R$3432,17,0)</f>
        <v>ME4JF501MD8656411</v>
      </c>
    </row>
    <row r="886" ht="15.75" customHeight="1">
      <c r="A886" s="3" t="s">
        <v>909</v>
      </c>
      <c r="B886" s="4" t="str">
        <f>VLOOKUP(A886,Sheet2!$A$2:$R$3432,2,0)</f>
        <v>2025-01-08 20:26:02</v>
      </c>
      <c r="C886" s="5" t="s">
        <v>25</v>
      </c>
      <c r="D886" s="6" t="s">
        <v>25</v>
      </c>
      <c r="E886" s="7">
        <f>VLOOKUP(A886,Sheet2!$A$2:$R$3432,4,0)</f>
        <v>7796390470</v>
      </c>
      <c r="F886" s="7" t="str">
        <f>VLOOKUP(A886,Sheet2!$A$2:$R$3432,3,0)</f>
        <v>SHINDE</v>
      </c>
      <c r="G886" s="5" t="s">
        <v>25</v>
      </c>
      <c r="H886" s="5" t="s">
        <v>25</v>
      </c>
      <c r="I886" s="5" t="s">
        <v>25</v>
      </c>
      <c r="J886" s="5" t="s">
        <v>25</v>
      </c>
      <c r="K886" s="7" t="str">
        <f>VLOOKUP(A886,Sheet2!$A$2:$R$3432,6,0)</f>
        <v>Honda Activa 6G</v>
      </c>
      <c r="L886" s="5" t="s">
        <v>25</v>
      </c>
      <c r="M886" s="7" t="str">
        <f>VLOOKUP(A886,Sheet2!$A$2:$R$3432,5,0)</f>
        <v>MH38AC4101</v>
      </c>
      <c r="N886" s="5" t="s">
        <v>25</v>
      </c>
      <c r="O886" s="5" t="s">
        <v>25</v>
      </c>
      <c r="P886" s="6" t="s">
        <v>25</v>
      </c>
      <c r="Q886" s="5" t="s">
        <v>25</v>
      </c>
      <c r="R886" s="5" t="s">
        <v>25</v>
      </c>
      <c r="S886" s="7" t="str">
        <f>VLOOKUP(A886,Sheet2!$A$2:$R$3432,18,0)</f>
        <v/>
      </c>
      <c r="T886" s="7" t="str">
        <f>VLOOKUP(A886,Sheet2!$A$2:$R$3432,17,0)</f>
        <v/>
      </c>
    </row>
    <row r="887" ht="15.75" customHeight="1">
      <c r="A887" s="3" t="s">
        <v>910</v>
      </c>
      <c r="B887" s="4" t="str">
        <f>VLOOKUP(A887,Sheet2!$A$2:$R$3432,2,0)</f>
        <v>2025-01-08 20:37:06</v>
      </c>
      <c r="C887" s="5" t="s">
        <v>25</v>
      </c>
      <c r="D887" s="6" t="s">
        <v>25</v>
      </c>
      <c r="E887" s="7">
        <f>VLOOKUP(A887,Sheet2!$A$2:$R$3432,4,0)</f>
        <v>9309471948</v>
      </c>
      <c r="F887" s="7" t="str">
        <f>VLOOKUP(A887,Sheet2!$A$2:$R$3432,3,0)</f>
        <v>NAVIN</v>
      </c>
      <c r="G887" s="5" t="s">
        <v>25</v>
      </c>
      <c r="H887" s="5" t="s">
        <v>25</v>
      </c>
      <c r="I887" s="5" t="s">
        <v>25</v>
      </c>
      <c r="J887" s="5" t="s">
        <v>25</v>
      </c>
      <c r="K887" s="7" t="str">
        <f>VLOOKUP(A887,Sheet2!$A$2:$R$3432,6,0)</f>
        <v>Bajaj Pulsar 150 AS</v>
      </c>
      <c r="L887" s="5" t="s">
        <v>25</v>
      </c>
      <c r="M887" s="7" t="str">
        <f>VLOOKUP(A887,Sheet2!$A$2:$R$3432,5,0)</f>
        <v>KA36W0987</v>
      </c>
      <c r="N887" s="5" t="s">
        <v>25</v>
      </c>
      <c r="O887" s="5" t="s">
        <v>25</v>
      </c>
      <c r="P887" s="6" t="s">
        <v>25</v>
      </c>
      <c r="Q887" s="5" t="s">
        <v>25</v>
      </c>
      <c r="R887" s="5" t="s">
        <v>25</v>
      </c>
      <c r="S887" s="5" t="str">
        <f>VLOOKUP(A887,Sheet2!$A$2:$R$3432,18,0)</f>
        <v>JEZCFE33385</v>
      </c>
      <c r="T887" s="7" t="str">
        <f>VLOOKUP(A887,Sheet2!$A$2:$R$3432,17,0)</f>
        <v>RUSTY FRAME </v>
      </c>
    </row>
    <row r="888" ht="15.75" customHeight="1">
      <c r="A888" s="3" t="s">
        <v>911</v>
      </c>
      <c r="B888" s="4" t="str">
        <f>VLOOKUP(A888,Sheet2!$A$2:$R$3432,2,0)</f>
        <v>2025-01-08 20:35:38</v>
      </c>
      <c r="C888" s="5" t="s">
        <v>25</v>
      </c>
      <c r="D888" s="6" t="s">
        <v>25</v>
      </c>
      <c r="E888" s="7">
        <f>VLOOKUP(A888,Sheet2!$A$2:$R$3432,4,0)</f>
        <v>9373825616</v>
      </c>
      <c r="F888" s="7" t="str">
        <f>VLOOKUP(A888,Sheet2!$A$2:$R$3432,3,0)</f>
        <v>Gaurav Kaple </v>
      </c>
      <c r="G888" s="5" t="s">
        <v>25</v>
      </c>
      <c r="H888" s="5" t="s">
        <v>25</v>
      </c>
      <c r="I888" s="5" t="s">
        <v>25</v>
      </c>
      <c r="J888" s="5" t="s">
        <v>25</v>
      </c>
      <c r="K888" s="7" t="str">
        <f>VLOOKUP(A888,Sheet2!$A$2:$R$3432,6,0)</f>
        <v>Suzuki Access </v>
      </c>
      <c r="L888" s="5" t="s">
        <v>25</v>
      </c>
      <c r="M888" s="7" t="str">
        <f>VLOOKUP(A888,Sheet2!$A$2:$R$3432,5,0)</f>
        <v>MH14KK2266</v>
      </c>
      <c r="N888" s="5" t="s">
        <v>25</v>
      </c>
      <c r="O888" s="5" t="s">
        <v>25</v>
      </c>
      <c r="P888" s="6" t="s">
        <v>25</v>
      </c>
      <c r="Q888" s="5" t="s">
        <v>25</v>
      </c>
      <c r="R888" s="5" t="s">
        <v>25</v>
      </c>
      <c r="S888" s="5" t="str">
        <f>VLOOKUP(A888,Sheet2!$A$2:$R$3432,18,0)</f>
        <v>AF212937433</v>
      </c>
      <c r="T888" s="7" t="str">
        <f>VLOOKUP(A888,Sheet2!$A$2:$R$3432,17,0)</f>
        <v>MB8DP12DJN8D05942</v>
      </c>
    </row>
    <row r="889" ht="15.75" customHeight="1">
      <c r="A889" s="3" t="s">
        <v>912</v>
      </c>
      <c r="B889" s="4" t="str">
        <f>VLOOKUP(A889,Sheet2!$A$2:$R$3432,2,0)</f>
        <v>2025-01-06 18:39:35</v>
      </c>
      <c r="C889" s="5" t="s">
        <v>25</v>
      </c>
      <c r="D889" s="6" t="s">
        <v>25</v>
      </c>
      <c r="E889" s="7">
        <f>VLOOKUP(A889,Sheet2!$A$2:$R$3432,4,0)</f>
        <v>9890022157</v>
      </c>
      <c r="F889" s="7" t="str">
        <f>VLOOKUP(A889,Sheet2!$A$2:$R$3432,3,0)</f>
        <v>ARVIND PANDEY </v>
      </c>
      <c r="G889" s="5" t="s">
        <v>25</v>
      </c>
      <c r="H889" s="5" t="s">
        <v>25</v>
      </c>
      <c r="I889" s="5" t="s">
        <v>25</v>
      </c>
      <c r="J889" s="5" t="s">
        <v>25</v>
      </c>
      <c r="K889" s="7" t="str">
        <f>VLOOKUP(A889,Sheet2!$A$2:$R$3432,6,0)</f>
        <v>Hero Splendor Super New</v>
      </c>
      <c r="L889" s="5" t="s">
        <v>25</v>
      </c>
      <c r="M889" s="7" t="str">
        <f>VLOOKUP(A889,Sheet2!$A$2:$R$3432,5,0)</f>
        <v>MH14JV3260</v>
      </c>
      <c r="N889" s="5" t="s">
        <v>25</v>
      </c>
      <c r="O889" s="5" t="s">
        <v>25</v>
      </c>
      <c r="P889" s="6" t="s">
        <v>25</v>
      </c>
      <c r="Q889" s="5" t="s">
        <v>25</v>
      </c>
      <c r="R889" s="5" t="s">
        <v>25</v>
      </c>
      <c r="S889" s="5" t="str">
        <f>VLOOKUP(A889,Sheet2!$A$2:$R$3432,18,0)</f>
        <v>JA07ABM9B05359</v>
      </c>
      <c r="T889" s="7" t="str">
        <f>VLOOKUP(A889,Sheet2!$A$2:$R$3432,17,0)</f>
        <v>MBLJAW171MB00869</v>
      </c>
    </row>
    <row r="890" ht="15.75" customHeight="1">
      <c r="A890" s="3" t="s">
        <v>913</v>
      </c>
      <c r="B890" s="4" t="str">
        <f>VLOOKUP(A890,Sheet2!$A$2:$R$3432,2,0)</f>
        <v>2025-01-06 18:46:18</v>
      </c>
      <c r="C890" s="5" t="s">
        <v>25</v>
      </c>
      <c r="D890" s="6" t="s">
        <v>25</v>
      </c>
      <c r="E890" s="7">
        <f>VLOOKUP(A890,Sheet2!$A$2:$R$3432,4,0)</f>
        <v>9834585422</v>
      </c>
      <c r="F890" s="7" t="str">
        <f>VLOOKUP(A890,Sheet2!$A$2:$R$3432,3,0)</f>
        <v>Ashwini Patil </v>
      </c>
      <c r="G890" s="5" t="s">
        <v>25</v>
      </c>
      <c r="H890" s="5" t="s">
        <v>25</v>
      </c>
      <c r="I890" s="5" t="s">
        <v>25</v>
      </c>
      <c r="J890" s="5" t="s">
        <v>25</v>
      </c>
      <c r="K890" s="7" t="str">
        <f>VLOOKUP(A890,Sheet2!$A$2:$R$3432,6,0)</f>
        <v>Honda Activa </v>
      </c>
      <c r="L890" s="5" t="s">
        <v>25</v>
      </c>
      <c r="M890" s="7" t="str">
        <f>VLOOKUP(A890,Sheet2!$A$2:$R$3432,5,0)</f>
        <v>MH32X6154</v>
      </c>
      <c r="N890" s="5" t="s">
        <v>25</v>
      </c>
      <c r="O890" s="5" t="s">
        <v>25</v>
      </c>
      <c r="P890" s="6" t="s">
        <v>25</v>
      </c>
      <c r="Q890" s="5" t="s">
        <v>25</v>
      </c>
      <c r="R890" s="5" t="s">
        <v>25</v>
      </c>
      <c r="S890" s="5" t="str">
        <f>VLOOKUP(A890,Sheet2!$A$2:$R$3432,18,0)</f>
        <v>JF50E80378614</v>
      </c>
      <c r="T890" s="7" t="str">
        <f>VLOOKUP(A890,Sheet2!$A$2:$R$3432,17,0)</f>
        <v/>
      </c>
    </row>
    <row r="891" ht="15.75" customHeight="1">
      <c r="A891" s="3" t="s">
        <v>914</v>
      </c>
      <c r="B891" s="4" t="str">
        <f>VLOOKUP(A891,Sheet2!$A$2:$R$3432,2,0)</f>
        <v>2025-01-06 18:47:45</v>
      </c>
      <c r="C891" s="5" t="s">
        <v>25</v>
      </c>
      <c r="D891" s="6" t="s">
        <v>25</v>
      </c>
      <c r="E891" s="7">
        <f>VLOOKUP(A891,Sheet2!$A$2:$R$3432,4,0)</f>
        <v>7083686364</v>
      </c>
      <c r="F891" s="7" t="str">
        <f>VLOOKUP(A891,Sheet2!$A$2:$R$3432,3,0)</f>
        <v>Bala</v>
      </c>
      <c r="G891" s="5" t="s">
        <v>25</v>
      </c>
      <c r="H891" s="5" t="s">
        <v>25</v>
      </c>
      <c r="I891" s="5" t="s">
        <v>25</v>
      </c>
      <c r="J891" s="5" t="s">
        <v>25</v>
      </c>
      <c r="K891" s="7" t="str">
        <f>VLOOKUP(A891,Sheet2!$A$2:$R$3432,6,0)</f>
        <v>Hero Duet </v>
      </c>
      <c r="L891" s="5" t="s">
        <v>25</v>
      </c>
      <c r="M891" s="7" t="str">
        <f>VLOOKUP(A891,Sheet2!$A$2:$R$3432,5,0)</f>
        <v>MH14GT5699</v>
      </c>
      <c r="N891" s="5" t="s">
        <v>25</v>
      </c>
      <c r="O891" s="5" t="s">
        <v>25</v>
      </c>
      <c r="P891" s="6" t="s">
        <v>25</v>
      </c>
      <c r="Q891" s="5" t="s">
        <v>25</v>
      </c>
      <c r="R891" s="5" t="s">
        <v>25</v>
      </c>
      <c r="S891" s="7" t="str">
        <f>VLOOKUP(A891,Sheet2!$A$2:$R$3432,18,0)</f>
        <v/>
      </c>
      <c r="T891" s="7" t="str">
        <f>VLOOKUP(A891,Sheet2!$A$2:$R$3432,17,0)</f>
        <v/>
      </c>
    </row>
    <row r="892" ht="15.75" customHeight="1">
      <c r="A892" s="3" t="s">
        <v>915</v>
      </c>
      <c r="B892" s="4" t="str">
        <f>VLOOKUP(A892,Sheet2!$A$2:$R$3432,2,0)</f>
        <v>2025-01-06 18:48:01</v>
      </c>
      <c r="C892" s="5" t="s">
        <v>25</v>
      </c>
      <c r="D892" s="6" t="s">
        <v>25</v>
      </c>
      <c r="E892" s="7">
        <f>VLOOKUP(A892,Sheet2!$A$2:$R$3432,4,0)</f>
        <v>9689901230</v>
      </c>
      <c r="F892" s="7" t="str">
        <f>VLOOKUP(A892,Sheet2!$A$2:$R$3432,3,0)</f>
        <v>Neeta Ahire</v>
      </c>
      <c r="G892" s="5" t="s">
        <v>25</v>
      </c>
      <c r="H892" s="5" t="s">
        <v>25</v>
      </c>
      <c r="I892" s="5" t="s">
        <v>25</v>
      </c>
      <c r="J892" s="5" t="s">
        <v>25</v>
      </c>
      <c r="K892" s="7" t="str">
        <f>VLOOKUP(A892,Sheet2!$A$2:$R$3432,6,0)</f>
        <v>Honda Aviator </v>
      </c>
      <c r="L892" s="5" t="s">
        <v>25</v>
      </c>
      <c r="M892" s="7" t="str">
        <f>VLOOKUP(A892,Sheet2!$A$2:$R$3432,5,0)</f>
        <v>MH14EL3111</v>
      </c>
      <c r="N892" s="5" t="s">
        <v>25</v>
      </c>
      <c r="O892" s="5" t="s">
        <v>25</v>
      </c>
      <c r="P892" s="6" t="s">
        <v>25</v>
      </c>
      <c r="Q892" s="5" t="s">
        <v>25</v>
      </c>
      <c r="R892" s="5" t="s">
        <v>25</v>
      </c>
      <c r="S892" s="7" t="str">
        <f>VLOOKUP(A892,Sheet2!$A$2:$R$3432,18,0)</f>
        <v/>
      </c>
      <c r="T892" s="7" t="str">
        <f>VLOOKUP(A892,Sheet2!$A$2:$R$3432,17,0)</f>
        <v>ME4JF215EE8J45590</v>
      </c>
    </row>
    <row r="893" ht="15.75" customHeight="1">
      <c r="A893" s="3" t="s">
        <v>916</v>
      </c>
      <c r="B893" s="4" t="str">
        <f>VLOOKUP(A893,Sheet2!$A$2:$R$3432,2,0)</f>
        <v>2025-01-06 19:42:42</v>
      </c>
      <c r="C893" s="5" t="s">
        <v>25</v>
      </c>
      <c r="D893" s="6" t="s">
        <v>25</v>
      </c>
      <c r="E893" s="7">
        <f>VLOOKUP(A893,Sheet2!$A$2:$R$3432,4,0)</f>
        <v>7276208127</v>
      </c>
      <c r="F893" s="7" t="str">
        <f>VLOOKUP(A893,Sheet2!$A$2:$R$3432,3,0)</f>
        <v>Abhishek </v>
      </c>
      <c r="G893" s="5" t="s">
        <v>25</v>
      </c>
      <c r="H893" s="5" t="s">
        <v>25</v>
      </c>
      <c r="I893" s="5" t="s">
        <v>25</v>
      </c>
      <c r="J893" s="5" t="s">
        <v>25</v>
      </c>
      <c r="K893" s="7" t="str">
        <f>VLOOKUP(A893,Sheet2!$A$2:$R$3432,6,0)</f>
        <v>Honda Livo </v>
      </c>
      <c r="L893" s="5" t="s">
        <v>25</v>
      </c>
      <c r="M893" s="7" t="str">
        <f>VLOOKUP(A893,Sheet2!$A$2:$R$3432,5,0)</f>
        <v>MH27BR3694</v>
      </c>
      <c r="N893" s="5" t="s">
        <v>25</v>
      </c>
      <c r="O893" s="5" t="s">
        <v>25</v>
      </c>
      <c r="P893" s="6" t="s">
        <v>25</v>
      </c>
      <c r="Q893" s="5" t="s">
        <v>25</v>
      </c>
      <c r="R893" s="5" t="s">
        <v>25</v>
      </c>
      <c r="S893" s="5" t="str">
        <f>VLOOKUP(A893,Sheet2!$A$2:$R$3432,18,0)</f>
        <v>JC71ET0187349</v>
      </c>
      <c r="T893" s="7" t="str">
        <f>VLOOKUP(A893,Sheet2!$A$2:$R$3432,17,0)</f>
        <v>ME4JC713EGT015651</v>
      </c>
    </row>
    <row r="894" ht="15.75" customHeight="1">
      <c r="A894" s="3" t="s">
        <v>917</v>
      </c>
      <c r="B894" s="4" t="str">
        <f>VLOOKUP(A894,Sheet2!$A$2:$R$3432,2,0)</f>
        <v>2025-01-06 19:42:56</v>
      </c>
      <c r="C894" s="5" t="s">
        <v>25</v>
      </c>
      <c r="D894" s="6" t="s">
        <v>25</v>
      </c>
      <c r="E894" s="7">
        <f>VLOOKUP(A894,Sheet2!$A$2:$R$3432,4,0)</f>
        <v>7588586356</v>
      </c>
      <c r="F894" s="7" t="str">
        <f>VLOOKUP(A894,Sheet2!$A$2:$R$3432,3,0)</f>
        <v>Sammed Patil </v>
      </c>
      <c r="G894" s="5" t="s">
        <v>25</v>
      </c>
      <c r="H894" s="5" t="s">
        <v>25</v>
      </c>
      <c r="I894" s="5" t="s">
        <v>25</v>
      </c>
      <c r="J894" s="5" t="s">
        <v>25</v>
      </c>
      <c r="K894" s="7" t="str">
        <f>VLOOKUP(A894,Sheet2!$A$2:$R$3432,6,0)</f>
        <v>TVS Jupiter </v>
      </c>
      <c r="L894" s="5" t="s">
        <v>25</v>
      </c>
      <c r="M894" s="7" t="str">
        <f>VLOOKUP(A894,Sheet2!$A$2:$R$3432,5,0)</f>
        <v>MH09FF2407</v>
      </c>
      <c r="N894" s="5" t="s">
        <v>25</v>
      </c>
      <c r="O894" s="5" t="s">
        <v>25</v>
      </c>
      <c r="P894" s="6" t="s">
        <v>25</v>
      </c>
      <c r="Q894" s="5" t="s">
        <v>25</v>
      </c>
      <c r="R894" s="5" t="s">
        <v>25</v>
      </c>
      <c r="S894" s="7" t="str">
        <f>VLOOKUP(A894,Sheet2!$A$2:$R$3432,18,0)</f>
        <v/>
      </c>
      <c r="T894" s="7" t="str">
        <f>VLOOKUP(A894,Sheet2!$A$2:$R$3432,17,0)</f>
        <v/>
      </c>
    </row>
    <row r="895" ht="15.75" customHeight="1">
      <c r="A895" s="3" t="s">
        <v>918</v>
      </c>
      <c r="B895" s="4" t="str">
        <f>VLOOKUP(A895,Sheet2!$A$2:$R$3432,2,0)</f>
        <v>2025-01-06 19:51:36</v>
      </c>
      <c r="C895" s="5" t="s">
        <v>25</v>
      </c>
      <c r="D895" s="6" t="s">
        <v>25</v>
      </c>
      <c r="E895" s="7">
        <f>VLOOKUP(A895,Sheet2!$A$2:$R$3432,4,0)</f>
        <v>7838851007</v>
      </c>
      <c r="F895" s="7" t="str">
        <f>VLOOKUP(A895,Sheet2!$A$2:$R$3432,3,0)</f>
        <v>VIPUL SINGH</v>
      </c>
      <c r="G895" s="5" t="s">
        <v>25</v>
      </c>
      <c r="H895" s="5" t="s">
        <v>25</v>
      </c>
      <c r="I895" s="5" t="s">
        <v>25</v>
      </c>
      <c r="J895" s="5" t="s">
        <v>25</v>
      </c>
      <c r="K895" s="7" t="str">
        <f>VLOOKUP(A895,Sheet2!$A$2:$R$3432,6,0)</f>
        <v>Bajaj Pulsar 200 NS</v>
      </c>
      <c r="L895" s="5" t="s">
        <v>25</v>
      </c>
      <c r="M895" s="7" t="str">
        <f>VLOOKUP(A895,Sheet2!$A$2:$R$3432,5,0)</f>
        <v>MH12QN1354</v>
      </c>
      <c r="N895" s="5" t="s">
        <v>25</v>
      </c>
      <c r="O895" s="5" t="s">
        <v>25</v>
      </c>
      <c r="P895" s="6" t="s">
        <v>25</v>
      </c>
      <c r="Q895" s="5" t="s">
        <v>25</v>
      </c>
      <c r="R895" s="5" t="s">
        <v>25</v>
      </c>
      <c r="S895" s="5" t="str">
        <f>VLOOKUP(A895,Sheet2!$A$2:$R$3432,18,0)</f>
        <v>JLYCJB3580</v>
      </c>
      <c r="T895" s="7" t="str">
        <f>VLOOKUP(A895,Sheet2!$A$2:$R$3432,17,0)</f>
        <v>MD2A36FY7JCB38143</v>
      </c>
    </row>
    <row r="896" ht="15.75" customHeight="1">
      <c r="A896" s="3" t="s">
        <v>919</v>
      </c>
      <c r="B896" s="4" t="str">
        <f>VLOOKUP(A896,Sheet2!$A$2:$R$3432,2,0)</f>
        <v>2025-04-16 10:42:57</v>
      </c>
      <c r="C896" s="5" t="s">
        <v>25</v>
      </c>
      <c r="D896" s="6" t="s">
        <v>25</v>
      </c>
      <c r="E896" s="7">
        <f>VLOOKUP(A896,Sheet2!$A$2:$R$3432,4,0)</f>
        <v>8668452345</v>
      </c>
      <c r="F896" s="7" t="str">
        <f>VLOOKUP(A896,Sheet2!$A$2:$R$3432,3,0)</f>
        <v>Kunal Kamgale</v>
      </c>
      <c r="G896" s="5" t="s">
        <v>25</v>
      </c>
      <c r="H896" s="5" t="s">
        <v>25</v>
      </c>
      <c r="I896" s="5" t="s">
        <v>25</v>
      </c>
      <c r="J896" s="5" t="s">
        <v>25</v>
      </c>
      <c r="K896" s="7" t="str">
        <f>VLOOKUP(A896,Sheet2!$A$2:$R$3432,6,0)</f>
        <v>Suzuki Gixxer 250 SF</v>
      </c>
      <c r="L896" s="5" t="s">
        <v>25</v>
      </c>
      <c r="M896" s="7" t="str">
        <f>VLOOKUP(A896,Sheet2!$A$2:$R$3432,5,0)</f>
        <v>MH13DZ2926</v>
      </c>
      <c r="N896" s="5" t="s">
        <v>25</v>
      </c>
      <c r="O896" s="5" t="s">
        <v>25</v>
      </c>
      <c r="P896" s="6" t="s">
        <v>25</v>
      </c>
      <c r="Q896" s="5" t="s">
        <v>25</v>
      </c>
      <c r="R896" s="5" t="s">
        <v>25</v>
      </c>
      <c r="S896" s="5" t="str">
        <f>VLOOKUP(A896,Sheet2!$A$2:$R$3432,18,0)</f>
        <v>EJA1162198</v>
      </c>
      <c r="T896" s="7" t="str">
        <f>VLOOKUP(A896,Sheet2!$A$2:$R$3432,17,0)</f>
        <v>MB8ED22JHN8105352</v>
      </c>
    </row>
    <row r="897" ht="15.75" customHeight="1">
      <c r="A897" s="3" t="s">
        <v>920</v>
      </c>
      <c r="B897" s="4" t="str">
        <f>VLOOKUP(A897,Sheet2!$A$2:$R$3432,2,0)</f>
        <v>2025-04-16 10:38:50</v>
      </c>
      <c r="C897" s="5" t="s">
        <v>25</v>
      </c>
      <c r="D897" s="6" t="s">
        <v>25</v>
      </c>
      <c r="E897" s="7">
        <f>VLOOKUP(A897,Sheet2!$A$2:$R$3432,4,0)</f>
        <v>8550944566</v>
      </c>
      <c r="F897" s="7" t="str">
        <f>VLOOKUP(A897,Sheet2!$A$2:$R$3432,3,0)</f>
        <v>SAURAV JAISWAL </v>
      </c>
      <c r="G897" s="5" t="s">
        <v>25</v>
      </c>
      <c r="H897" s="5" t="s">
        <v>25</v>
      </c>
      <c r="I897" s="5" t="s">
        <v>25</v>
      </c>
      <c r="J897" s="5" t="s">
        <v>25</v>
      </c>
      <c r="K897" s="7" t="str">
        <f>VLOOKUP(A897,Sheet2!$A$2:$R$3432,6,0)</f>
        <v>Bajaj Avenger 150 Street</v>
      </c>
      <c r="L897" s="5" t="s">
        <v>25</v>
      </c>
      <c r="M897" s="7" t="str">
        <f>VLOOKUP(A897,Sheet2!$A$2:$R$3432,5,0)</f>
        <v>MH14FQ1179</v>
      </c>
      <c r="N897" s="5" t="s">
        <v>25</v>
      </c>
      <c r="O897" s="5" t="s">
        <v>25</v>
      </c>
      <c r="P897" s="6" t="s">
        <v>25</v>
      </c>
      <c r="Q897" s="5" t="s">
        <v>25</v>
      </c>
      <c r="R897" s="5" t="s">
        <v>25</v>
      </c>
      <c r="S897" s="7" t="str">
        <f>VLOOKUP(A897,Sheet2!$A$2:$R$3432,18,0)</f>
        <v/>
      </c>
      <c r="T897" s="7" t="str">
        <f>VLOOKUP(A897,Sheet2!$A$2:$R$3432,17,0)</f>
        <v/>
      </c>
    </row>
    <row r="898" ht="15.75" customHeight="1">
      <c r="A898" s="3" t="s">
        <v>921</v>
      </c>
      <c r="B898" s="4" t="str">
        <f>VLOOKUP(A898,Sheet2!$A$2:$R$3432,2,0)</f>
        <v>2025-04-16 10:41:43</v>
      </c>
      <c r="C898" s="5" t="s">
        <v>25</v>
      </c>
      <c r="D898" s="6" t="s">
        <v>25</v>
      </c>
      <c r="E898" s="7">
        <f>VLOOKUP(A898,Sheet2!$A$2:$R$3432,4,0)</f>
        <v>8275222246</v>
      </c>
      <c r="F898" s="7" t="str">
        <f>VLOOKUP(A898,Sheet2!$A$2:$R$3432,3,0)</f>
        <v>Kedar</v>
      </c>
      <c r="G898" s="5" t="s">
        <v>25</v>
      </c>
      <c r="H898" s="5" t="s">
        <v>25</v>
      </c>
      <c r="I898" s="5" t="s">
        <v>25</v>
      </c>
      <c r="J898" s="5" t="s">
        <v>25</v>
      </c>
      <c r="K898" s="7" t="str">
        <f>VLOOKUP(A898,Sheet2!$A$2:$R$3432,6,0)</f>
        <v>TVS Apache RTR 200 4V</v>
      </c>
      <c r="L898" s="5" t="s">
        <v>25</v>
      </c>
      <c r="M898" s="7" t="str">
        <f>VLOOKUP(A898,Sheet2!$A$2:$R$3432,5,0)</f>
        <v>MH23BA2765</v>
      </c>
      <c r="N898" s="5" t="s">
        <v>25</v>
      </c>
      <c r="O898" s="5" t="s">
        <v>25</v>
      </c>
      <c r="P898" s="6" t="s">
        <v>25</v>
      </c>
      <c r="Q898" s="5" t="s">
        <v>25</v>
      </c>
      <c r="R898" s="5" t="s">
        <v>25</v>
      </c>
      <c r="S898" s="7" t="str">
        <f>VLOOKUP(A898,Sheet2!$A$2:$R$3432,18,0)</f>
        <v/>
      </c>
      <c r="T898" s="7" t="str">
        <f>VLOOKUP(A898,Sheet2!$A$2:$R$3432,17,0)</f>
        <v/>
      </c>
    </row>
    <row r="899" ht="15.75" customHeight="1">
      <c r="A899" s="3" t="s">
        <v>922</v>
      </c>
      <c r="B899" s="4" t="str">
        <f>VLOOKUP(A899,Sheet2!$A$2:$R$3432,2,0)</f>
        <v>2025-04-16 10:42:05</v>
      </c>
      <c r="C899" s="5" t="s">
        <v>25</v>
      </c>
      <c r="D899" s="6" t="s">
        <v>25</v>
      </c>
      <c r="E899" s="7">
        <f>VLOOKUP(A899,Sheet2!$A$2:$R$3432,4,0)</f>
        <v>7304070707</v>
      </c>
      <c r="F899" s="7" t="str">
        <f>VLOOKUP(A899,Sheet2!$A$2:$R$3432,3,0)</f>
        <v>Girish Jadhav</v>
      </c>
      <c r="G899" s="5" t="s">
        <v>25</v>
      </c>
      <c r="H899" s="5" t="s">
        <v>25</v>
      </c>
      <c r="I899" s="5" t="s">
        <v>25</v>
      </c>
      <c r="J899" s="5" t="s">
        <v>25</v>
      </c>
      <c r="K899" s="7" t="str">
        <f>VLOOKUP(A899,Sheet2!$A$2:$R$3432,6,0)</f>
        <v>Bajaj Avenger 160 S ABS</v>
      </c>
      <c r="L899" s="5" t="s">
        <v>25</v>
      </c>
      <c r="M899" s="7" t="str">
        <f>VLOOKUP(A899,Sheet2!$A$2:$R$3432,5,0)</f>
        <v>MH14HV9323</v>
      </c>
      <c r="N899" s="5" t="s">
        <v>25</v>
      </c>
      <c r="O899" s="5" t="s">
        <v>25</v>
      </c>
      <c r="P899" s="6" t="s">
        <v>25</v>
      </c>
      <c r="Q899" s="5" t="s">
        <v>25</v>
      </c>
      <c r="R899" s="5" t="s">
        <v>25</v>
      </c>
      <c r="S899" s="5" t="str">
        <f>VLOOKUP(A899,Sheet2!$A$2:$R$3432,18,0)</f>
        <v>PDYCK005304</v>
      </c>
      <c r="T899" s="7" t="str">
        <f>VLOOKUP(A899,Sheet2!$A$2:$R$3432,17,0)</f>
        <v>MD2B57CY9KCG26696</v>
      </c>
    </row>
    <row r="900" ht="15.75" customHeight="1">
      <c r="A900" s="3" t="s">
        <v>923</v>
      </c>
      <c r="B900" s="4" t="str">
        <f>VLOOKUP(A900,Sheet2!$A$2:$R$3432,2,0)</f>
        <v>2025-04-16 10:44:51</v>
      </c>
      <c r="C900" s="5" t="s">
        <v>25</v>
      </c>
      <c r="D900" s="6" t="s">
        <v>25</v>
      </c>
      <c r="E900" s="7">
        <f>VLOOKUP(A900,Sheet2!$A$2:$R$3432,4,0)</f>
        <v>9850278965</v>
      </c>
      <c r="F900" s="7" t="str">
        <f>VLOOKUP(A900,Sheet2!$A$2:$R$3432,3,0)</f>
        <v>Prashant Godane</v>
      </c>
      <c r="G900" s="5" t="s">
        <v>25</v>
      </c>
      <c r="H900" s="5" t="s">
        <v>25</v>
      </c>
      <c r="I900" s="5" t="s">
        <v>25</v>
      </c>
      <c r="J900" s="5" t="s">
        <v>25</v>
      </c>
      <c r="K900" s="7" t="str">
        <f>VLOOKUP(A900,Sheet2!$A$2:$R$3432,6,0)</f>
        <v>Hero Splendor Plus</v>
      </c>
      <c r="L900" s="5" t="s">
        <v>25</v>
      </c>
      <c r="M900" s="7" t="str">
        <f>VLOOKUP(A900,Sheet2!$A$2:$R$3432,5,0)</f>
        <v>MH14AU4388</v>
      </c>
      <c r="N900" s="5" t="s">
        <v>25</v>
      </c>
      <c r="O900" s="5" t="s">
        <v>25</v>
      </c>
      <c r="P900" s="6" t="s">
        <v>25</v>
      </c>
      <c r="Q900" s="5" t="s">
        <v>25</v>
      </c>
      <c r="R900" s="5" t="s">
        <v>25</v>
      </c>
      <c r="S900" s="7" t="str">
        <f>VLOOKUP(A900,Sheet2!$A$2:$R$3432,18,0)</f>
        <v/>
      </c>
      <c r="T900" s="7" t="str">
        <f>VLOOKUP(A900,Sheet2!$A$2:$R$3432,17,0)</f>
        <v/>
      </c>
    </row>
    <row r="901" ht="15.75" customHeight="1">
      <c r="A901" s="3" t="s">
        <v>924</v>
      </c>
      <c r="B901" s="4" t="str">
        <f>VLOOKUP(A901,Sheet2!$A$2:$R$3432,2,0)</f>
        <v>2025-04-16 10:44:09</v>
      </c>
      <c r="C901" s="5" t="s">
        <v>25</v>
      </c>
      <c r="D901" s="6" t="s">
        <v>25</v>
      </c>
      <c r="E901" s="7">
        <f>VLOOKUP(A901,Sheet2!$A$2:$R$3432,4,0)</f>
        <v>8956873768</v>
      </c>
      <c r="F901" s="7" t="str">
        <f>VLOOKUP(A901,Sheet2!$A$2:$R$3432,3,0)</f>
        <v>Rohan Naidu</v>
      </c>
      <c r="G901" s="5" t="s">
        <v>25</v>
      </c>
      <c r="H901" s="5" t="s">
        <v>25</v>
      </c>
      <c r="I901" s="5" t="s">
        <v>25</v>
      </c>
      <c r="J901" s="5" t="s">
        <v>25</v>
      </c>
      <c r="K901" s="7" t="str">
        <f>VLOOKUP(A901,Sheet2!$A$2:$R$3432,6,0)</f>
        <v>Honda Activa </v>
      </c>
      <c r="L901" s="5" t="s">
        <v>25</v>
      </c>
      <c r="M901" s="7" t="str">
        <f>VLOOKUP(A901,Sheet2!$A$2:$R$3432,5,0)</f>
        <v>MH20ES5306</v>
      </c>
      <c r="N901" s="5" t="s">
        <v>25</v>
      </c>
      <c r="O901" s="5" t="s">
        <v>25</v>
      </c>
      <c r="P901" s="6" t="s">
        <v>25</v>
      </c>
      <c r="Q901" s="5" t="s">
        <v>25</v>
      </c>
      <c r="R901" s="5" t="s">
        <v>25</v>
      </c>
      <c r="S901" s="5" t="str">
        <f>VLOOKUP(A901,Sheet2!$A$2:$R$3432,18,0)</f>
        <v>JF50EV5586284</v>
      </c>
      <c r="T901" s="7" t="str">
        <f>VLOOKUP(A901,Sheet2!$A$2:$R$3432,17,0)</f>
        <v>ME4JF507JFU586214</v>
      </c>
    </row>
    <row r="902" ht="15.75" customHeight="1">
      <c r="A902" s="3" t="s">
        <v>925</v>
      </c>
      <c r="B902" s="4" t="str">
        <f>VLOOKUP(A902,Sheet2!$A$2:$R$3432,2,0)</f>
        <v>2025-04-16 10:45:24</v>
      </c>
      <c r="C902" s="5" t="s">
        <v>25</v>
      </c>
      <c r="D902" s="6" t="s">
        <v>25</v>
      </c>
      <c r="E902" s="7">
        <f>VLOOKUP(A902,Sheet2!$A$2:$R$3432,4,0)</f>
        <v>9538776586</v>
      </c>
      <c r="F902" s="7" t="str">
        <f>VLOOKUP(A902,Sheet2!$A$2:$R$3432,3,0)</f>
        <v>Sachin</v>
      </c>
      <c r="G902" s="5" t="s">
        <v>25</v>
      </c>
      <c r="H902" s="5" t="s">
        <v>25</v>
      </c>
      <c r="I902" s="5" t="s">
        <v>25</v>
      </c>
      <c r="J902" s="5" t="s">
        <v>25</v>
      </c>
      <c r="K902" s="7" t="str">
        <f>VLOOKUP(A902,Sheet2!$A$2:$R$3432,6,0)</f>
        <v>Bajaj Pulsar 200 NS</v>
      </c>
      <c r="L902" s="5" t="s">
        <v>25</v>
      </c>
      <c r="M902" s="7" t="str">
        <f>VLOOKUP(A902,Sheet2!$A$2:$R$3432,5,0)</f>
        <v>KA22HN0458</v>
      </c>
      <c r="N902" s="5" t="s">
        <v>25</v>
      </c>
      <c r="O902" s="5" t="s">
        <v>25</v>
      </c>
      <c r="P902" s="6" t="s">
        <v>25</v>
      </c>
      <c r="Q902" s="5" t="s">
        <v>25</v>
      </c>
      <c r="R902" s="5" t="s">
        <v>25</v>
      </c>
      <c r="S902" s="7" t="str">
        <f>VLOOKUP(A902,Sheet2!$A$2:$R$3432,18,0)</f>
        <v/>
      </c>
      <c r="T902" s="7" t="str">
        <f>VLOOKUP(A902,Sheet2!$A$2:$R$3432,17,0)</f>
        <v/>
      </c>
    </row>
    <row r="903" ht="15.75" customHeight="1">
      <c r="A903" s="3" t="s">
        <v>926</v>
      </c>
      <c r="B903" s="4" t="str">
        <f>VLOOKUP(A903,Sheet2!$A$2:$R$3432,2,0)</f>
        <v>2025-04-16 10:46:31</v>
      </c>
      <c r="C903" s="5" t="s">
        <v>25</v>
      </c>
      <c r="D903" s="6" t="s">
        <v>25</v>
      </c>
      <c r="E903" s="7">
        <f>VLOOKUP(A903,Sheet2!$A$2:$R$3432,4,0)</f>
        <v>9579137595</v>
      </c>
      <c r="F903" s="7" t="str">
        <f>VLOOKUP(A903,Sheet2!$A$2:$R$3432,3,0)</f>
        <v>Abhishek </v>
      </c>
      <c r="G903" s="5" t="s">
        <v>25</v>
      </c>
      <c r="H903" s="5" t="s">
        <v>25</v>
      </c>
      <c r="I903" s="5" t="s">
        <v>25</v>
      </c>
      <c r="J903" s="5" t="s">
        <v>25</v>
      </c>
      <c r="K903" s="7" t="str">
        <f>VLOOKUP(A903,Sheet2!$A$2:$R$3432,6,0)</f>
        <v>TVS Jupiter </v>
      </c>
      <c r="L903" s="5" t="s">
        <v>25</v>
      </c>
      <c r="M903" s="7" t="str">
        <f>VLOOKUP(A903,Sheet2!$A$2:$R$3432,5,0)</f>
        <v>MH40BX8880</v>
      </c>
      <c r="N903" s="5" t="s">
        <v>25</v>
      </c>
      <c r="O903" s="5" t="s">
        <v>25</v>
      </c>
      <c r="P903" s="6" t="s">
        <v>25</v>
      </c>
      <c r="Q903" s="5" t="s">
        <v>25</v>
      </c>
      <c r="R903" s="5" t="s">
        <v>25</v>
      </c>
      <c r="S903" s="5" t="str">
        <f>VLOOKUP(A903,Sheet2!$A$2:$R$3432,18,0)</f>
        <v>EG4CK1X12635</v>
      </c>
      <c r="T903" s="7" t="str">
        <f>VLOOKUP(A903,Sheet2!$A$2:$R$3432,17,0)</f>
        <v>MD626EG44K122526</v>
      </c>
    </row>
    <row r="904" ht="15.75" customHeight="1">
      <c r="A904" s="3" t="s">
        <v>927</v>
      </c>
      <c r="B904" s="4" t="str">
        <f>VLOOKUP(A904,Sheet2!$A$2:$R$3432,2,0)</f>
        <v>2025-04-16 10:52:01</v>
      </c>
      <c r="C904" s="5" t="s">
        <v>25</v>
      </c>
      <c r="D904" s="6" t="s">
        <v>25</v>
      </c>
      <c r="E904" s="7">
        <f>VLOOKUP(A904,Sheet2!$A$2:$R$3432,4,0)</f>
        <v>9766523567</v>
      </c>
      <c r="F904" s="7" t="str">
        <f>VLOOKUP(A904,Sheet2!$A$2:$R$3432,3,0)</f>
        <v>Laxmikant Bende</v>
      </c>
      <c r="G904" s="5" t="s">
        <v>25</v>
      </c>
      <c r="H904" s="5" t="s">
        <v>25</v>
      </c>
      <c r="I904" s="5" t="s">
        <v>25</v>
      </c>
      <c r="J904" s="5" t="s">
        <v>25</v>
      </c>
      <c r="K904" s="7" t="str">
        <f>VLOOKUP(A904,Sheet2!$A$2:$R$3432,6,0)</f>
        <v>Hero Maestro </v>
      </c>
      <c r="L904" s="5" t="s">
        <v>25</v>
      </c>
      <c r="M904" s="7" t="str">
        <f>VLOOKUP(A904,Sheet2!$A$2:$R$3432,5,0)</f>
        <v>MH14FP3936</v>
      </c>
      <c r="N904" s="5" t="s">
        <v>25</v>
      </c>
      <c r="O904" s="5" t="s">
        <v>25</v>
      </c>
      <c r="P904" s="6" t="s">
        <v>25</v>
      </c>
      <c r="Q904" s="5" t="s">
        <v>25</v>
      </c>
      <c r="R904" s="5" t="s">
        <v>25</v>
      </c>
      <c r="S904" s="7" t="str">
        <f>VLOOKUP(A904,Sheet2!$A$2:$R$3432,18,0)</f>
        <v/>
      </c>
      <c r="T904" s="7" t="str">
        <f>VLOOKUP(A904,Sheet2!$A$2:$R$3432,17,0)</f>
        <v/>
      </c>
    </row>
    <row r="905" ht="15.75" customHeight="1">
      <c r="A905" s="3" t="s">
        <v>928</v>
      </c>
      <c r="B905" s="4" t="str">
        <f>VLOOKUP(A905,Sheet2!$A$2:$R$3432,2,0)</f>
        <v>2025-04-16 10:53:03</v>
      </c>
      <c r="C905" s="5" t="s">
        <v>25</v>
      </c>
      <c r="D905" s="6" t="s">
        <v>25</v>
      </c>
      <c r="E905" s="7">
        <f>VLOOKUP(A905,Sheet2!$A$2:$R$3432,4,0)</f>
        <v>8652500531</v>
      </c>
      <c r="F905" s="7" t="str">
        <f>VLOOKUP(A905,Sheet2!$A$2:$R$3432,3,0)</f>
        <v>Parikshit </v>
      </c>
      <c r="G905" s="5" t="s">
        <v>25</v>
      </c>
      <c r="H905" s="5" t="s">
        <v>25</v>
      </c>
      <c r="I905" s="5" t="s">
        <v>25</v>
      </c>
      <c r="J905" s="5" t="s">
        <v>25</v>
      </c>
      <c r="K905" s="7" t="str">
        <f>VLOOKUP(A905,Sheet2!$A$2:$R$3432,6,0)</f>
        <v>Bajaj Pulsar 125</v>
      </c>
      <c r="L905" s="5" t="s">
        <v>25</v>
      </c>
      <c r="M905" s="7" t="str">
        <f>VLOOKUP(A905,Sheet2!$A$2:$R$3432,5,0)</f>
        <v>MH14JD7195</v>
      </c>
      <c r="N905" s="5" t="s">
        <v>25</v>
      </c>
      <c r="O905" s="5" t="s">
        <v>25</v>
      </c>
      <c r="P905" s="6" t="s">
        <v>25</v>
      </c>
      <c r="Q905" s="5" t="s">
        <v>25</v>
      </c>
      <c r="R905" s="5" t="s">
        <v>25</v>
      </c>
      <c r="S905" s="7" t="str">
        <f>VLOOKUP(A905,Sheet2!$A$2:$R$3432,18,0)</f>
        <v/>
      </c>
      <c r="T905" s="7" t="str">
        <f>VLOOKUP(A905,Sheet2!$A$2:$R$3432,17,0)</f>
        <v/>
      </c>
    </row>
    <row r="906" ht="15.75" customHeight="1">
      <c r="A906" s="3" t="s">
        <v>929</v>
      </c>
      <c r="B906" s="4" t="str">
        <f>VLOOKUP(A906,Sheet2!$A$2:$R$3432,2,0)</f>
        <v>2025-04-16 10:53:29</v>
      </c>
      <c r="C906" s="5" t="s">
        <v>25</v>
      </c>
      <c r="D906" s="6" t="s">
        <v>25</v>
      </c>
      <c r="E906" s="7">
        <f>VLOOKUP(A906,Sheet2!$A$2:$R$3432,4,0)</f>
        <v>9763643907</v>
      </c>
      <c r="F906" s="7" t="str">
        <f>VLOOKUP(A906,Sheet2!$A$2:$R$3432,3,0)</f>
        <v>MAHESH DHUMAL</v>
      </c>
      <c r="G906" s="5" t="s">
        <v>25</v>
      </c>
      <c r="H906" s="5" t="s">
        <v>25</v>
      </c>
      <c r="I906" s="5" t="s">
        <v>25</v>
      </c>
      <c r="J906" s="5" t="s">
        <v>25</v>
      </c>
      <c r="K906" s="7" t="str">
        <f>VLOOKUP(A906,Sheet2!$A$2:$R$3432,6,0)</f>
        <v>Hero Splendor Plus</v>
      </c>
      <c r="L906" s="5" t="s">
        <v>25</v>
      </c>
      <c r="M906" s="7" t="str">
        <f>VLOOKUP(A906,Sheet2!$A$2:$R$3432,5,0)</f>
        <v>MH14DW8241</v>
      </c>
      <c r="N906" s="5" t="s">
        <v>25</v>
      </c>
      <c r="O906" s="5" t="s">
        <v>25</v>
      </c>
      <c r="P906" s="6" t="s">
        <v>25</v>
      </c>
      <c r="Q906" s="5" t="s">
        <v>25</v>
      </c>
      <c r="R906" s="5" t="s">
        <v>25</v>
      </c>
      <c r="S906" s="5" t="str">
        <f>VLOOKUP(A906,Sheet2!$A$2:$R$3432,18,0)</f>
        <v>HA10EJDHC13871</v>
      </c>
      <c r="T906" s="7" t="str">
        <f>VLOOKUP(A906,Sheet2!$A$2:$R$3432,17,0)</f>
        <v>MBLHA10ALDHC93039</v>
      </c>
    </row>
    <row r="907" ht="15.75" customHeight="1">
      <c r="A907" s="3" t="s">
        <v>930</v>
      </c>
      <c r="B907" s="4" t="str">
        <f>VLOOKUP(A907,Sheet2!$A$2:$R$3432,2,0)</f>
        <v>2025-04-16 10:56:09</v>
      </c>
      <c r="C907" s="5" t="s">
        <v>25</v>
      </c>
      <c r="D907" s="6" t="s">
        <v>25</v>
      </c>
      <c r="E907" s="7">
        <f>VLOOKUP(A907,Sheet2!$A$2:$R$3432,4,0)</f>
        <v>8624020989</v>
      </c>
      <c r="F907" s="7" t="str">
        <f>VLOOKUP(A907,Sheet2!$A$2:$R$3432,3,0)</f>
        <v>Kshitij Kapre</v>
      </c>
      <c r="G907" s="5" t="s">
        <v>25</v>
      </c>
      <c r="H907" s="5" t="s">
        <v>25</v>
      </c>
      <c r="I907" s="5" t="s">
        <v>25</v>
      </c>
      <c r="J907" s="5" t="s">
        <v>25</v>
      </c>
      <c r="K907" s="7" t="str">
        <f>VLOOKUP(A907,Sheet2!$A$2:$R$3432,6,0)</f>
        <v>Hero Xpulse 200</v>
      </c>
      <c r="L907" s="5" t="s">
        <v>25</v>
      </c>
      <c r="M907" s="7" t="str">
        <f>VLOOKUP(A907,Sheet2!$A$2:$R$3432,5,0)</f>
        <v>MH47AR3605</v>
      </c>
      <c r="N907" s="5" t="s">
        <v>25</v>
      </c>
      <c r="O907" s="5" t="s">
        <v>25</v>
      </c>
      <c r="P907" s="6" t="s">
        <v>25</v>
      </c>
      <c r="Q907" s="5" t="s">
        <v>25</v>
      </c>
      <c r="R907" s="5" t="s">
        <v>25</v>
      </c>
      <c r="S907" s="5" t="str">
        <f>VLOOKUP(A907,Sheet2!$A$2:$R$3432,18,0)</f>
        <v>M620ABGK00314</v>
      </c>
      <c r="T907" s="7" t="str">
        <f>VLOOKUP(A907,Sheet2!$A$2:$R$3432,17,0)</f>
        <v>MBLLDL028K00347</v>
      </c>
    </row>
    <row r="908" ht="15.75" customHeight="1">
      <c r="A908" s="3" t="s">
        <v>931</v>
      </c>
      <c r="B908" s="4" t="str">
        <f>VLOOKUP(A908,Sheet2!$A$2:$R$3432,2,0)</f>
        <v>2025-04-16 10:55:50</v>
      </c>
      <c r="C908" s="5" t="s">
        <v>25</v>
      </c>
      <c r="D908" s="6" t="s">
        <v>25</v>
      </c>
      <c r="E908" s="7">
        <f>VLOOKUP(A908,Sheet2!$A$2:$R$3432,4,0)</f>
        <v>7559156684</v>
      </c>
      <c r="F908" s="7" t="str">
        <f>VLOOKUP(A908,Sheet2!$A$2:$R$3432,3,0)</f>
        <v>Manisha Pawar</v>
      </c>
      <c r="G908" s="5" t="s">
        <v>25</v>
      </c>
      <c r="H908" s="5" t="s">
        <v>25</v>
      </c>
      <c r="I908" s="5" t="s">
        <v>25</v>
      </c>
      <c r="J908" s="5" t="s">
        <v>25</v>
      </c>
      <c r="K908" s="7" t="str">
        <f>VLOOKUP(A908,Sheet2!$A$2:$R$3432,6,0)</f>
        <v>Honda Activa 125</v>
      </c>
      <c r="L908" s="5" t="s">
        <v>25</v>
      </c>
      <c r="M908" s="7" t="str">
        <f>VLOOKUP(A908,Sheet2!$A$2:$R$3432,5,0)</f>
        <v>MH12SN2550</v>
      </c>
      <c r="N908" s="5" t="s">
        <v>25</v>
      </c>
      <c r="O908" s="5" t="s">
        <v>25</v>
      </c>
      <c r="P908" s="6" t="s">
        <v>25</v>
      </c>
      <c r="Q908" s="5" t="s">
        <v>25</v>
      </c>
      <c r="R908" s="5" t="s">
        <v>25</v>
      </c>
      <c r="S908" s="5" t="str">
        <f>VLOOKUP(A908,Sheet2!$A$2:$R$3432,18,0)</f>
        <v>JF49EW4022957</v>
      </c>
      <c r="T908" s="7" t="str">
        <f>VLOOKUP(A908,Sheet2!$A$2:$R$3432,17,0)</f>
        <v>ME4JF49MALWD14607</v>
      </c>
    </row>
    <row r="909" ht="15.75" customHeight="1">
      <c r="A909" s="3" t="s">
        <v>932</v>
      </c>
      <c r="B909" s="4" t="str">
        <f>VLOOKUP(A909,Sheet2!$A$2:$R$3432,2,0)</f>
        <v>2025-04-16 10:57:29</v>
      </c>
      <c r="C909" s="5" t="s">
        <v>25</v>
      </c>
      <c r="D909" s="6" t="s">
        <v>25</v>
      </c>
      <c r="E909" s="7">
        <f>VLOOKUP(A909,Sheet2!$A$2:$R$3432,4,0)</f>
        <v>8989684659</v>
      </c>
      <c r="F909" s="7" t="str">
        <f>VLOOKUP(A909,Sheet2!$A$2:$R$3432,3,0)</f>
        <v>APOORVA KUMAR PANDEY </v>
      </c>
      <c r="G909" s="5" t="s">
        <v>25</v>
      </c>
      <c r="H909" s="5" t="s">
        <v>25</v>
      </c>
      <c r="I909" s="5" t="s">
        <v>25</v>
      </c>
      <c r="J909" s="5" t="s">
        <v>25</v>
      </c>
      <c r="K909" s="7" t="str">
        <f>VLOOKUP(A909,Sheet2!$A$2:$R$3432,6,0)</f>
        <v>Bajaj Avenger 220 Street</v>
      </c>
      <c r="L909" s="5" t="s">
        <v>25</v>
      </c>
      <c r="M909" s="7" t="str">
        <f>VLOOKUP(A909,Sheet2!$A$2:$R$3432,5,0)</f>
        <v>MH12LM7571</v>
      </c>
      <c r="N909" s="5" t="s">
        <v>25</v>
      </c>
      <c r="O909" s="5" t="s">
        <v>25</v>
      </c>
      <c r="P909" s="6" t="s">
        <v>25</v>
      </c>
      <c r="Q909" s="5" t="s">
        <v>25</v>
      </c>
      <c r="R909" s="5" t="s">
        <v>25</v>
      </c>
      <c r="S909" s="5" t="str">
        <f>VLOOKUP(A909,Sheet2!$A$2:$R$3432,18,0)</f>
        <v>BDZCR108</v>
      </c>
      <c r="T909" s="7" t="str">
        <f>VLOOKUP(A909,Sheet2!$A$2:$R$3432,17,0)</f>
        <v>MD2A22EZXETF06021</v>
      </c>
    </row>
    <row r="910" ht="15.75" customHeight="1">
      <c r="A910" s="3" t="s">
        <v>933</v>
      </c>
      <c r="B910" s="4" t="str">
        <f>VLOOKUP(A910,Sheet2!$A$2:$R$3432,2,0)</f>
        <v>2025-04-16 11:10:14</v>
      </c>
      <c r="C910" s="5" t="s">
        <v>25</v>
      </c>
      <c r="D910" s="6" t="s">
        <v>25</v>
      </c>
      <c r="E910" s="7">
        <f>VLOOKUP(A910,Sheet2!$A$2:$R$3432,4,0)</f>
        <v>7774991134</v>
      </c>
      <c r="F910" s="7" t="str">
        <f>VLOOKUP(A910,Sheet2!$A$2:$R$3432,3,0)</f>
        <v>Vivek Shete</v>
      </c>
      <c r="G910" s="5" t="s">
        <v>25</v>
      </c>
      <c r="H910" s="5" t="s">
        <v>25</v>
      </c>
      <c r="I910" s="5" t="s">
        <v>25</v>
      </c>
      <c r="J910" s="5" t="s">
        <v>25</v>
      </c>
      <c r="K910" s="7" t="str">
        <f>VLOOKUP(A910,Sheet2!$A$2:$R$3432,6,0)</f>
        <v>KTM DUKE 200</v>
      </c>
      <c r="L910" s="5" t="s">
        <v>25</v>
      </c>
      <c r="M910" s="7" t="str">
        <f>VLOOKUP(A910,Sheet2!$A$2:$R$3432,5,0)</f>
        <v>MH12RQ3265</v>
      </c>
      <c r="N910" s="5" t="s">
        <v>25</v>
      </c>
      <c r="O910" s="5" t="s">
        <v>25</v>
      </c>
      <c r="P910" s="6" t="s">
        <v>25</v>
      </c>
      <c r="Q910" s="5" t="s">
        <v>25</v>
      </c>
      <c r="R910" s="5" t="s">
        <v>25</v>
      </c>
      <c r="S910" s="5" t="str">
        <f>VLOOKUP(A910,Sheet2!$A$2:$R$3432,18,0)</f>
        <v>996007620</v>
      </c>
      <c r="T910" s="7" t="str">
        <f>VLOOKUP(A910,Sheet2!$A$2:$R$3432,17,0)</f>
        <v>MD2JUCYM4KC040949</v>
      </c>
    </row>
    <row r="911" ht="15.75" customHeight="1">
      <c r="A911" s="3" t="s">
        <v>934</v>
      </c>
      <c r="B911" s="4" t="str">
        <f>VLOOKUP(A911,Sheet2!$A$2:$R$3432,2,0)</f>
        <v>2025-04-16 11:10:38</v>
      </c>
      <c r="C911" s="5" t="s">
        <v>25</v>
      </c>
      <c r="D911" s="6" t="s">
        <v>25</v>
      </c>
      <c r="E911" s="7">
        <f>VLOOKUP(A911,Sheet2!$A$2:$R$3432,4,0)</f>
        <v>8982816414</v>
      </c>
      <c r="F911" s="7" t="str">
        <f>VLOOKUP(A911,Sheet2!$A$2:$R$3432,3,0)</f>
        <v>SUBHANSH</v>
      </c>
      <c r="G911" s="5" t="s">
        <v>25</v>
      </c>
      <c r="H911" s="5" t="s">
        <v>25</v>
      </c>
      <c r="I911" s="5" t="s">
        <v>25</v>
      </c>
      <c r="J911" s="5" t="s">
        <v>25</v>
      </c>
      <c r="K911" s="7" t="str">
        <f>VLOOKUP(A911,Sheet2!$A$2:$R$3432,6,0)</f>
        <v>Bajaj Discover 150 F</v>
      </c>
      <c r="L911" s="5" t="s">
        <v>25</v>
      </c>
      <c r="M911" s="7" t="str">
        <f>VLOOKUP(A911,Sheet2!$A$2:$R$3432,5,0)</f>
        <v>CG07AU9041</v>
      </c>
      <c r="N911" s="5" t="s">
        <v>25</v>
      </c>
      <c r="O911" s="5" t="s">
        <v>25</v>
      </c>
      <c r="P911" s="6" t="s">
        <v>25</v>
      </c>
      <c r="Q911" s="5" t="s">
        <v>25</v>
      </c>
      <c r="R911" s="5" t="s">
        <v>25</v>
      </c>
      <c r="S911" s="7" t="str">
        <f>VLOOKUP(A911,Sheet2!$A$2:$R$3432,18,0)</f>
        <v/>
      </c>
      <c r="T911" s="7" t="str">
        <f>VLOOKUP(A911,Sheet2!$A$2:$R$3432,17,0)</f>
        <v/>
      </c>
    </row>
    <row r="912" ht="15.75" customHeight="1">
      <c r="A912" s="3" t="s">
        <v>935</v>
      </c>
      <c r="B912" s="4" t="str">
        <f>VLOOKUP(A912,Sheet2!$A$2:$R$3432,2,0)</f>
        <v>2025-04-16 11:11:05</v>
      </c>
      <c r="C912" s="5" t="s">
        <v>25</v>
      </c>
      <c r="D912" s="6" t="s">
        <v>25</v>
      </c>
      <c r="E912" s="7">
        <f>VLOOKUP(A912,Sheet2!$A$2:$R$3432,4,0)</f>
        <v>9604050463</v>
      </c>
      <c r="F912" s="7" t="str">
        <f>VLOOKUP(A912,Sheet2!$A$2:$R$3432,3,0)</f>
        <v>ARNAV</v>
      </c>
      <c r="G912" s="5" t="s">
        <v>25</v>
      </c>
      <c r="H912" s="5" t="s">
        <v>25</v>
      </c>
      <c r="I912" s="5" t="s">
        <v>25</v>
      </c>
      <c r="J912" s="5" t="s">
        <v>25</v>
      </c>
      <c r="K912" s="7" t="str">
        <f>VLOOKUP(A912,Sheet2!$A$2:$R$3432,6,0)</f>
        <v>Honda Activa 3G</v>
      </c>
      <c r="L912" s="5" t="s">
        <v>25</v>
      </c>
      <c r="M912" s="7" t="str">
        <f>VLOOKUP(A912,Sheet2!$A$2:$R$3432,5,0)</f>
        <v>MH14FP6544</v>
      </c>
      <c r="N912" s="5" t="s">
        <v>25</v>
      </c>
      <c r="O912" s="5" t="s">
        <v>25</v>
      </c>
      <c r="P912" s="6" t="s">
        <v>25</v>
      </c>
      <c r="Q912" s="5" t="s">
        <v>25</v>
      </c>
      <c r="R912" s="5" t="s">
        <v>25</v>
      </c>
      <c r="S912" s="7" t="str">
        <f>VLOOKUP(A912,Sheet2!$A$2:$R$3432,18,0)</f>
        <v/>
      </c>
      <c r="T912" s="7" t="str">
        <f>VLOOKUP(A912,Sheet2!$A$2:$R$3432,17,0)</f>
        <v/>
      </c>
    </row>
    <row r="913" ht="15.75" customHeight="1">
      <c r="A913" s="3" t="s">
        <v>936</v>
      </c>
      <c r="B913" s="4" t="str">
        <f>VLOOKUP(A913,Sheet2!$A$2:$R$3432,2,0)</f>
        <v>2025-04-16 20:24:56</v>
      </c>
      <c r="C913" s="5" t="s">
        <v>25</v>
      </c>
      <c r="D913" s="6" t="s">
        <v>25</v>
      </c>
      <c r="E913" s="7">
        <f>VLOOKUP(A913,Sheet2!$A$2:$R$3432,4,0)</f>
        <v>8788446591</v>
      </c>
      <c r="F913" s="7" t="str">
        <f>VLOOKUP(A913,Sheet2!$A$2:$R$3432,3,0)</f>
        <v>SAURABH </v>
      </c>
      <c r="G913" s="5" t="s">
        <v>25</v>
      </c>
      <c r="H913" s="5" t="s">
        <v>25</v>
      </c>
      <c r="I913" s="5" t="s">
        <v>25</v>
      </c>
      <c r="J913" s="5" t="s">
        <v>25</v>
      </c>
      <c r="K913" s="7" t="str">
        <f>VLOOKUP(A913,Sheet2!$A$2:$R$3432,6,0)</f>
        <v>Hero Passion Pro</v>
      </c>
      <c r="L913" s="5" t="s">
        <v>25</v>
      </c>
      <c r="M913" s="7" t="str">
        <f>VLOOKUP(A913,Sheet2!$A$2:$R$3432,5,0)</f>
        <v>MH08X1925</v>
      </c>
      <c r="N913" s="5" t="s">
        <v>25</v>
      </c>
      <c r="O913" s="5" t="s">
        <v>25</v>
      </c>
      <c r="P913" s="6" t="s">
        <v>25</v>
      </c>
      <c r="Q913" s="5" t="s">
        <v>25</v>
      </c>
      <c r="R913" s="5" t="s">
        <v>25</v>
      </c>
      <c r="S913" s="7" t="str">
        <f>VLOOKUP(A913,Sheet2!$A$2:$R$3432,18,0)</f>
        <v/>
      </c>
      <c r="T913" s="7" t="str">
        <f>VLOOKUP(A913,Sheet2!$A$2:$R$3432,17,0)</f>
        <v/>
      </c>
    </row>
    <row r="914" ht="15.75" customHeight="1">
      <c r="A914" s="3" t="s">
        <v>937</v>
      </c>
      <c r="B914" s="4" t="str">
        <f>VLOOKUP(A914,Sheet2!$A$2:$R$3432,2,0)</f>
        <v>2025-04-16 20:30:12</v>
      </c>
      <c r="C914" s="5" t="s">
        <v>25</v>
      </c>
      <c r="D914" s="6" t="s">
        <v>25</v>
      </c>
      <c r="E914" s="7">
        <f>VLOOKUP(A914,Sheet2!$A$2:$R$3432,4,0)</f>
        <v>6263390446</v>
      </c>
      <c r="F914" s="7" t="str">
        <f>VLOOKUP(A914,Sheet2!$A$2:$R$3432,3,0)</f>
        <v>SAURABH </v>
      </c>
      <c r="G914" s="5" t="s">
        <v>25</v>
      </c>
      <c r="H914" s="5" t="s">
        <v>25</v>
      </c>
      <c r="I914" s="5" t="s">
        <v>25</v>
      </c>
      <c r="J914" s="5" t="s">
        <v>25</v>
      </c>
      <c r="K914" s="7" t="str">
        <f>VLOOKUP(A914,Sheet2!$A$2:$R$3432,6,0)</f>
        <v>Bajaj Pulsar 150</v>
      </c>
      <c r="L914" s="5" t="s">
        <v>25</v>
      </c>
      <c r="M914" s="7" t="str">
        <f>VLOOKUP(A914,Sheet2!$A$2:$R$3432,5,0)</f>
        <v>GJ01PS4303</v>
      </c>
      <c r="N914" s="5" t="s">
        <v>25</v>
      </c>
      <c r="O914" s="5" t="s">
        <v>25</v>
      </c>
      <c r="P914" s="6" t="s">
        <v>25</v>
      </c>
      <c r="Q914" s="5" t="s">
        <v>25</v>
      </c>
      <c r="R914" s="5" t="s">
        <v>25</v>
      </c>
      <c r="S914" s="5" t="str">
        <f>VLOOKUP(A914,Sheet2!$A$2:$R$3432,18,0)</f>
        <v>DBZWDD31310</v>
      </c>
      <c r="T914" s="7" t="str">
        <f>VLOOKUP(A914,Sheet2!$A$2:$R$3432,17,0)</f>
        <v>MD2A11GZ5DWE27224</v>
      </c>
    </row>
    <row r="915" ht="15.75" customHeight="1">
      <c r="A915" s="3" t="s">
        <v>938</v>
      </c>
      <c r="B915" s="4" t="str">
        <f>VLOOKUP(A915,Sheet2!$A$2:$R$3432,2,0)</f>
        <v>2025-04-16 20:31:02</v>
      </c>
      <c r="C915" s="5" t="s">
        <v>25</v>
      </c>
      <c r="D915" s="6" t="s">
        <v>25</v>
      </c>
      <c r="E915" s="7">
        <f>VLOOKUP(A915,Sheet2!$A$2:$R$3432,4,0)</f>
        <v>9937785388</v>
      </c>
      <c r="F915" s="7" t="str">
        <f>VLOOKUP(A915,Sheet2!$A$2:$R$3432,3,0)</f>
        <v>KANHEYA</v>
      </c>
      <c r="G915" s="5" t="s">
        <v>25</v>
      </c>
      <c r="H915" s="5" t="s">
        <v>25</v>
      </c>
      <c r="I915" s="5" t="s">
        <v>25</v>
      </c>
      <c r="J915" s="5" t="s">
        <v>25</v>
      </c>
      <c r="K915" s="7" t="str">
        <f>VLOOKUP(A915,Sheet2!$A$2:$R$3432,6,0)</f>
        <v>Yamaha FZ V3</v>
      </c>
      <c r="L915" s="5" t="s">
        <v>25</v>
      </c>
      <c r="M915" s="7" t="str">
        <f>VLOOKUP(A915,Sheet2!$A$2:$R$3432,5,0)</f>
        <v>MH12SS9950</v>
      </c>
      <c r="N915" s="5" t="s">
        <v>25</v>
      </c>
      <c r="O915" s="5" t="s">
        <v>25</v>
      </c>
      <c r="P915" s="6" t="s">
        <v>25</v>
      </c>
      <c r="Q915" s="5" t="s">
        <v>25</v>
      </c>
      <c r="R915" s="5" t="s">
        <v>25</v>
      </c>
      <c r="S915" s="7" t="str">
        <f>VLOOKUP(A915,Sheet2!$A$2:$R$3432,18,0)</f>
        <v/>
      </c>
      <c r="T915" s="7" t="str">
        <f>VLOOKUP(A915,Sheet2!$A$2:$R$3432,17,0)</f>
        <v/>
      </c>
    </row>
    <row r="916" ht="15.75" customHeight="1">
      <c r="A916" s="3" t="s">
        <v>939</v>
      </c>
      <c r="B916" s="4" t="str">
        <f>VLOOKUP(A916,Sheet2!$A$2:$R$3432,2,0)</f>
        <v>2025-04-16 20:31:44</v>
      </c>
      <c r="C916" s="5" t="s">
        <v>25</v>
      </c>
      <c r="D916" s="6" t="s">
        <v>25</v>
      </c>
      <c r="E916" s="7">
        <f>VLOOKUP(A916,Sheet2!$A$2:$R$3432,4,0)</f>
        <v>8806713737</v>
      </c>
      <c r="F916" s="7" t="str">
        <f>VLOOKUP(A916,Sheet2!$A$2:$R$3432,3,0)</f>
        <v>Ravindra Deshpande</v>
      </c>
      <c r="G916" s="5" t="s">
        <v>25</v>
      </c>
      <c r="H916" s="5" t="s">
        <v>25</v>
      </c>
      <c r="I916" s="5" t="s">
        <v>25</v>
      </c>
      <c r="J916" s="5" t="s">
        <v>25</v>
      </c>
      <c r="K916" s="7" t="str">
        <f>VLOOKUP(A916,Sheet2!$A$2:$R$3432,6,0)</f>
        <v>Suzuki Access 125</v>
      </c>
      <c r="L916" s="5" t="s">
        <v>25</v>
      </c>
      <c r="M916" s="7" t="str">
        <f>VLOOKUP(A916,Sheet2!$A$2:$R$3432,5,0)</f>
        <v>MH42AP7375</v>
      </c>
      <c r="N916" s="5" t="s">
        <v>25</v>
      </c>
      <c r="O916" s="5" t="s">
        <v>25</v>
      </c>
      <c r="P916" s="6" t="s">
        <v>25</v>
      </c>
      <c r="Q916" s="5" t="s">
        <v>25</v>
      </c>
      <c r="R916" s="5" t="s">
        <v>25</v>
      </c>
      <c r="S916" s="5" t="str">
        <f>VLOOKUP(A916,Sheet2!$A$2:$R$3432,18,0)</f>
        <v>AF211298610</v>
      </c>
      <c r="T916" s="7" t="str">
        <f>VLOOKUP(A916,Sheet2!$A$2:$R$3432,17,0)</f>
        <v>MB8DP11ADH8394643</v>
      </c>
    </row>
    <row r="917" ht="15.75" customHeight="1">
      <c r="A917" s="3" t="s">
        <v>940</v>
      </c>
      <c r="B917" s="4" t="str">
        <f>VLOOKUP(A917,Sheet2!$A$2:$R$3432,2,0)</f>
        <v>2025-04-16 20:32:30</v>
      </c>
      <c r="C917" s="5" t="s">
        <v>25</v>
      </c>
      <c r="D917" s="6" t="s">
        <v>25</v>
      </c>
      <c r="E917" s="7">
        <f>VLOOKUP(A917,Sheet2!$A$2:$R$3432,4,0)</f>
        <v>8888700017</v>
      </c>
      <c r="F917" s="7" t="str">
        <f>VLOOKUP(A917,Sheet2!$A$2:$R$3432,3,0)</f>
        <v>PRAVIN PAWAR</v>
      </c>
      <c r="G917" s="5" t="s">
        <v>25</v>
      </c>
      <c r="H917" s="5" t="s">
        <v>25</v>
      </c>
      <c r="I917" s="5" t="s">
        <v>25</v>
      </c>
      <c r="J917" s="5" t="s">
        <v>25</v>
      </c>
      <c r="K917" s="7" t="str">
        <f>VLOOKUP(A917,Sheet2!$A$2:$R$3432,6,0)</f>
        <v>Honda Stunner </v>
      </c>
      <c r="L917" s="5" t="s">
        <v>25</v>
      </c>
      <c r="M917" s="7" t="str">
        <f>VLOOKUP(A917,Sheet2!$A$2:$R$3432,5,0)</f>
        <v>MH12KV3827</v>
      </c>
      <c r="N917" s="5" t="s">
        <v>25</v>
      </c>
      <c r="O917" s="5" t="s">
        <v>25</v>
      </c>
      <c r="P917" s="6" t="s">
        <v>25</v>
      </c>
      <c r="Q917" s="5" t="s">
        <v>25</v>
      </c>
      <c r="R917" s="5" t="s">
        <v>25</v>
      </c>
      <c r="S917" s="7" t="str">
        <f>VLOOKUP(A917,Sheet2!$A$2:$R$3432,18,0)</f>
        <v/>
      </c>
      <c r="T917" s="7" t="str">
        <f>VLOOKUP(A917,Sheet2!$A$2:$R$3432,17,0)</f>
        <v/>
      </c>
    </row>
    <row r="918" ht="15.75" customHeight="1">
      <c r="A918" s="3" t="s">
        <v>941</v>
      </c>
      <c r="B918" s="4" t="str">
        <f>VLOOKUP(A918,Sheet2!$A$2:$R$3432,2,0)</f>
        <v>2025-04-16 20:33:00</v>
      </c>
      <c r="C918" s="5" t="s">
        <v>25</v>
      </c>
      <c r="D918" s="6" t="s">
        <v>25</v>
      </c>
      <c r="E918" s="7">
        <f>VLOOKUP(A918,Sheet2!$A$2:$R$3432,4,0)</f>
        <v>7499176192</v>
      </c>
      <c r="F918" s="7" t="str">
        <f>VLOOKUP(A918,Sheet2!$A$2:$R$3432,3,0)</f>
        <v>DNYANESHWAR PIMPLE</v>
      </c>
      <c r="G918" s="5" t="s">
        <v>25</v>
      </c>
      <c r="H918" s="5" t="s">
        <v>25</v>
      </c>
      <c r="I918" s="5" t="s">
        <v>25</v>
      </c>
      <c r="J918" s="5" t="s">
        <v>25</v>
      </c>
      <c r="K918" s="7" t="str">
        <f>VLOOKUP(A918,Sheet2!$A$2:$R$3432,6,0)</f>
        <v>Honda Shine CB</v>
      </c>
      <c r="L918" s="5" t="s">
        <v>25</v>
      </c>
      <c r="M918" s="7" t="str">
        <f>VLOOKUP(A918,Sheet2!$A$2:$R$3432,5,0)</f>
        <v>MH12QX0602</v>
      </c>
      <c r="N918" s="5" t="s">
        <v>25</v>
      </c>
      <c r="O918" s="5" t="s">
        <v>25</v>
      </c>
      <c r="P918" s="6" t="s">
        <v>25</v>
      </c>
      <c r="Q918" s="5" t="s">
        <v>25</v>
      </c>
      <c r="R918" s="5" t="s">
        <v>25</v>
      </c>
      <c r="S918" s="5" t="str">
        <f>VLOOKUP(A918,Sheet2!$A$2:$R$3432,18,0)</f>
        <v>JC65E72206998</v>
      </c>
      <c r="T918" s="7" t="str">
        <f>VLOOKUP(A918,Sheet2!$A$2:$R$3432,17,0)</f>
        <v>ME4JC6586J70756</v>
      </c>
    </row>
    <row r="919" ht="15.75" customHeight="1">
      <c r="A919" s="3" t="s">
        <v>942</v>
      </c>
      <c r="B919" s="4" t="str">
        <f>VLOOKUP(A919,Sheet2!$A$2:$R$3432,2,0)</f>
        <v>2025-04-16 20:33:21</v>
      </c>
      <c r="C919" s="5" t="s">
        <v>25</v>
      </c>
      <c r="D919" s="6" t="s">
        <v>25</v>
      </c>
      <c r="E919" s="7">
        <f>VLOOKUP(A919,Sheet2!$A$2:$R$3432,4,0)</f>
        <v>9096948907</v>
      </c>
      <c r="F919" s="7" t="str">
        <f>VLOOKUP(A919,Sheet2!$A$2:$R$3432,3,0)</f>
        <v>Aniruddha Gaikwad</v>
      </c>
      <c r="G919" s="5" t="s">
        <v>25</v>
      </c>
      <c r="H919" s="5" t="s">
        <v>25</v>
      </c>
      <c r="I919" s="5" t="s">
        <v>25</v>
      </c>
      <c r="J919" s="5" t="s">
        <v>25</v>
      </c>
      <c r="K919" s="7" t="str">
        <f>VLOOKUP(A919,Sheet2!$A$2:$R$3432,6,0)</f>
        <v>Honda Activa 125</v>
      </c>
      <c r="L919" s="5" t="s">
        <v>25</v>
      </c>
      <c r="M919" s="7" t="str">
        <f>VLOOKUP(A919,Sheet2!$A$2:$R$3432,5,0)</f>
        <v>MH12NS5035</v>
      </c>
      <c r="N919" s="5" t="s">
        <v>25</v>
      </c>
      <c r="O919" s="5" t="s">
        <v>25</v>
      </c>
      <c r="P919" s="6" t="s">
        <v>25</v>
      </c>
      <c r="Q919" s="5" t="s">
        <v>25</v>
      </c>
      <c r="R919" s="5" t="s">
        <v>25</v>
      </c>
      <c r="S919" s="5" t="str">
        <f>VLOOKUP(A919,Sheet2!$A$2:$R$3432,18,0)</f>
        <v>JF49E81361314</v>
      </c>
      <c r="T919" s="7" t="str">
        <f>VLOOKUP(A919,Sheet2!$A$2:$R$3432,17,0)</f>
        <v>ME4JF493LBB3080</v>
      </c>
    </row>
    <row r="920" ht="15.75" customHeight="1">
      <c r="A920" s="3" t="s">
        <v>943</v>
      </c>
      <c r="B920" s="4" t="str">
        <f>VLOOKUP(A920,Sheet2!$A$2:$R$3432,2,0)</f>
        <v>2025-07-10 18:41:07</v>
      </c>
      <c r="C920" s="5" t="s">
        <v>25</v>
      </c>
      <c r="D920" s="6" t="s">
        <v>25</v>
      </c>
      <c r="E920" s="7">
        <f>VLOOKUP(A920,Sheet2!$A$2:$R$3432,4,0)</f>
        <v>8600190953</v>
      </c>
      <c r="F920" s="7" t="str">
        <f>VLOOKUP(A920,Sheet2!$A$2:$R$3432,3,0)</f>
        <v>Krunal </v>
      </c>
      <c r="G920" s="5" t="s">
        <v>25</v>
      </c>
      <c r="H920" s="5" t="s">
        <v>25</v>
      </c>
      <c r="I920" s="5" t="s">
        <v>25</v>
      </c>
      <c r="J920" s="5" t="s">
        <v>25</v>
      </c>
      <c r="K920" s="7" t="str">
        <f>VLOOKUP(A920,Sheet2!$A$2:$R$3432,6,0)</f>
        <v>Honda Activa </v>
      </c>
      <c r="L920" s="5" t="s">
        <v>25</v>
      </c>
      <c r="M920" s="7" t="str">
        <f>VLOOKUP(A920,Sheet2!$A$2:$R$3432,5,0)</f>
        <v>MH12LB6913</v>
      </c>
      <c r="N920" s="5" t="s">
        <v>25</v>
      </c>
      <c r="O920" s="5" t="s">
        <v>25</v>
      </c>
      <c r="P920" s="6" t="s">
        <v>25</v>
      </c>
      <c r="Q920" s="5" t="s">
        <v>25</v>
      </c>
      <c r="R920" s="5" t="s">
        <v>25</v>
      </c>
      <c r="S920" s="5" t="str">
        <f>VLOOKUP(A920,Sheet2!$A$2:$R$3432,18,0)</f>
        <v>JF50E71059038</v>
      </c>
      <c r="T920" s="7" t="str">
        <f>VLOOKUP(A920,Sheet2!$A$2:$R$3432,17,0)</f>
        <v>ME4JF502EE7059022</v>
      </c>
    </row>
    <row r="921" ht="15.75" customHeight="1">
      <c r="A921" s="3" t="s">
        <v>944</v>
      </c>
      <c r="B921" s="4" t="str">
        <f>VLOOKUP(A921,Sheet2!$A$2:$R$3432,2,0)</f>
        <v>2025-07-10 20:36:37</v>
      </c>
      <c r="C921" s="5" t="s">
        <v>25</v>
      </c>
      <c r="D921" s="6" t="s">
        <v>25</v>
      </c>
      <c r="E921" s="7">
        <f>VLOOKUP(A921,Sheet2!$A$2:$R$3432,4,0)</f>
        <v>9011095149</v>
      </c>
      <c r="F921" s="7" t="str">
        <f>VLOOKUP(A921,Sheet2!$A$2:$R$3432,3,0)</f>
        <v>GITANJALI KURHEKAR</v>
      </c>
      <c r="G921" s="5" t="s">
        <v>25</v>
      </c>
      <c r="H921" s="5" t="s">
        <v>25</v>
      </c>
      <c r="I921" s="5" t="s">
        <v>25</v>
      </c>
      <c r="J921" s="5" t="s">
        <v>25</v>
      </c>
      <c r="K921" s="7" t="str">
        <f>VLOOKUP(A921,Sheet2!$A$2:$R$3432,6,0)</f>
        <v>Suzuki Access 125</v>
      </c>
      <c r="L921" s="5" t="s">
        <v>25</v>
      </c>
      <c r="M921" s="7" t="str">
        <f>VLOOKUP(A921,Sheet2!$A$2:$R$3432,5,0)</f>
        <v>MH12RG7136</v>
      </c>
      <c r="N921" s="5" t="s">
        <v>25</v>
      </c>
      <c r="O921" s="5" t="s">
        <v>25</v>
      </c>
      <c r="P921" s="6" t="s">
        <v>25</v>
      </c>
      <c r="Q921" s="5" t="s">
        <v>25</v>
      </c>
      <c r="R921" s="5" t="s">
        <v>25</v>
      </c>
      <c r="S921" s="5" t="str">
        <f>VLOOKUP(A921,Sheet2!$A$2:$R$3432,18,0)</f>
        <v>AF211920104</v>
      </c>
      <c r="T921" s="7" t="str">
        <f>VLOOKUP(A921,Sheet2!$A$2:$R$3432,17,0)</f>
        <v>MB8DP11AK8B25959</v>
      </c>
    </row>
    <row r="922" ht="15.75" customHeight="1">
      <c r="A922" s="3" t="s">
        <v>945</v>
      </c>
      <c r="B922" s="4" t="str">
        <f>VLOOKUP(A922,Sheet2!$A$2:$R$3432,2,0)</f>
        <v>2025-07-10 20:37:21</v>
      </c>
      <c r="C922" s="5" t="s">
        <v>25</v>
      </c>
      <c r="D922" s="6" t="s">
        <v>25</v>
      </c>
      <c r="E922" s="7">
        <f>VLOOKUP(A922,Sheet2!$A$2:$R$3432,4,0)</f>
        <v>8237012346</v>
      </c>
      <c r="F922" s="7" t="str">
        <f>VLOOKUP(A922,Sheet2!$A$2:$R$3432,3,0)</f>
        <v>SHANTANU  PATIL </v>
      </c>
      <c r="G922" s="5" t="s">
        <v>25</v>
      </c>
      <c r="H922" s="5" t="s">
        <v>25</v>
      </c>
      <c r="I922" s="5" t="s">
        <v>25</v>
      </c>
      <c r="J922" s="5" t="s">
        <v>25</v>
      </c>
      <c r="K922" s="7" t="str">
        <f>VLOOKUP(A922,Sheet2!$A$2:$R$3432,6,0)</f>
        <v>Honda Activa No Data</v>
      </c>
      <c r="L922" s="5" t="s">
        <v>25</v>
      </c>
      <c r="M922" s="7" t="str">
        <f>VLOOKUP(A922,Sheet2!$A$2:$R$3432,5,0)</f>
        <v>MH09CC9671</v>
      </c>
      <c r="N922" s="5" t="s">
        <v>25</v>
      </c>
      <c r="O922" s="5" t="s">
        <v>25</v>
      </c>
      <c r="P922" s="6" t="s">
        <v>25</v>
      </c>
      <c r="Q922" s="5" t="s">
        <v>25</v>
      </c>
      <c r="R922" s="5" t="s">
        <v>25</v>
      </c>
      <c r="S922" s="5" t="str">
        <f>VLOOKUP(A922,Sheet2!$A$2:$R$3432,18,0)</f>
        <v>JC44E5067845</v>
      </c>
      <c r="T922" s="7" t="str">
        <f>VLOOKUP(A922,Sheet2!$A$2:$R$3432,17,0)</f>
        <v>NE4JC446</v>
      </c>
    </row>
    <row r="923" ht="15.75" customHeight="1">
      <c r="A923" s="3" t="s">
        <v>946</v>
      </c>
      <c r="B923" s="4" t="str">
        <f>VLOOKUP(A923,Sheet2!$A$2:$R$3432,2,0)</f>
        <v>2025-07-10 20:37:39</v>
      </c>
      <c r="C923" s="5" t="s">
        <v>25</v>
      </c>
      <c r="D923" s="6" t="s">
        <v>25</v>
      </c>
      <c r="E923" s="7">
        <f>VLOOKUP(A923,Sheet2!$A$2:$R$3432,4,0)</f>
        <v>9130032065</v>
      </c>
      <c r="F923" s="7" t="str">
        <f>VLOOKUP(A923,Sheet2!$A$2:$R$3432,3,0)</f>
        <v>Laxmikant </v>
      </c>
      <c r="G923" s="5" t="s">
        <v>25</v>
      </c>
      <c r="H923" s="5" t="s">
        <v>25</v>
      </c>
      <c r="I923" s="5" t="s">
        <v>25</v>
      </c>
      <c r="J923" s="5" t="s">
        <v>25</v>
      </c>
      <c r="K923" s="7" t="str">
        <f>VLOOKUP(A923,Sheet2!$A$2:$R$3432,6,0)</f>
        <v>Royal Enfield Himalayan </v>
      </c>
      <c r="L923" s="5" t="s">
        <v>25</v>
      </c>
      <c r="M923" s="7" t="str">
        <f>VLOOKUP(A923,Sheet2!$A$2:$R$3432,5,0)</f>
        <v>MH12QD6958</v>
      </c>
      <c r="N923" s="5" t="s">
        <v>25</v>
      </c>
      <c r="O923" s="5" t="s">
        <v>25</v>
      </c>
      <c r="P923" s="6" t="s">
        <v>25</v>
      </c>
      <c r="Q923" s="5" t="s">
        <v>25</v>
      </c>
      <c r="R923" s="5" t="s">
        <v>25</v>
      </c>
      <c r="S923" s="7" t="str">
        <f>VLOOKUP(A923,Sheet2!$A$2:$R$3432,18,0)</f>
        <v/>
      </c>
      <c r="T923" s="7" t="str">
        <f>VLOOKUP(A923,Sheet2!$A$2:$R$3432,17,0)</f>
        <v/>
      </c>
    </row>
    <row r="924" ht="15.75" customHeight="1">
      <c r="A924" s="3" t="s">
        <v>947</v>
      </c>
      <c r="B924" s="4" t="str">
        <f>VLOOKUP(A924,Sheet2!$A$2:$R$3432,2,0)</f>
        <v>2025-07-10 20:37:58</v>
      </c>
      <c r="C924" s="5" t="s">
        <v>25</v>
      </c>
      <c r="D924" s="6" t="s">
        <v>25</v>
      </c>
      <c r="E924" s="7">
        <f>VLOOKUP(A924,Sheet2!$A$2:$R$3432,4,0)</f>
        <v>9730777876</v>
      </c>
      <c r="F924" s="7" t="str">
        <f>VLOOKUP(A924,Sheet2!$A$2:$R$3432,3,0)</f>
        <v>Kalpesh Upasani </v>
      </c>
      <c r="G924" s="5" t="s">
        <v>25</v>
      </c>
      <c r="H924" s="5" t="s">
        <v>25</v>
      </c>
      <c r="I924" s="5" t="s">
        <v>25</v>
      </c>
      <c r="J924" s="5" t="s">
        <v>25</v>
      </c>
      <c r="K924" s="7" t="str">
        <f>VLOOKUP(A924,Sheet2!$A$2:$R$3432,6,0)</f>
        <v>Honda Activa 5G</v>
      </c>
      <c r="L924" s="5" t="s">
        <v>25</v>
      </c>
      <c r="M924" s="7" t="str">
        <f>VLOOKUP(A924,Sheet2!$A$2:$R$3432,5,0)</f>
        <v>MH14GF9365</v>
      </c>
      <c r="N924" s="5" t="s">
        <v>25</v>
      </c>
      <c r="O924" s="5" t="s">
        <v>25</v>
      </c>
      <c r="P924" s="6" t="s">
        <v>25</v>
      </c>
      <c r="Q924" s="5" t="s">
        <v>25</v>
      </c>
      <c r="R924" s="5" t="s">
        <v>25</v>
      </c>
      <c r="S924" s="5" t="str">
        <f>VLOOKUP(A924,Sheet2!$A$2:$R$3432,18,0)</f>
        <v>JF50EU5078516</v>
      </c>
      <c r="T924" s="7" t="str">
        <f>VLOOKUP(A924,Sheet2!$A$2:$R$3432,17,0)</f>
        <v>ME4JF5070CHU078457</v>
      </c>
    </row>
    <row r="925" ht="15.75" customHeight="1">
      <c r="A925" s="3" t="s">
        <v>948</v>
      </c>
      <c r="B925" s="4" t="str">
        <f>VLOOKUP(A925,Sheet2!$A$2:$R$3432,2,0)</f>
        <v>2025-07-10 20:38:28</v>
      </c>
      <c r="C925" s="5" t="s">
        <v>25</v>
      </c>
      <c r="D925" s="6" t="s">
        <v>25</v>
      </c>
      <c r="E925" s="7">
        <f>VLOOKUP(A925,Sheet2!$A$2:$R$3432,4,0)</f>
        <v>9765844529</v>
      </c>
      <c r="F925" s="7" t="str">
        <f>VLOOKUP(A925,Sheet2!$A$2:$R$3432,3,0)</f>
        <v>Nikhil </v>
      </c>
      <c r="G925" s="5" t="s">
        <v>25</v>
      </c>
      <c r="H925" s="5" t="s">
        <v>25</v>
      </c>
      <c r="I925" s="5" t="s">
        <v>25</v>
      </c>
      <c r="J925" s="5" t="s">
        <v>25</v>
      </c>
      <c r="K925" s="7" t="str">
        <f>VLOOKUP(A925,Sheet2!$A$2:$R$3432,6,0)</f>
        <v>Yamaha FZ V3</v>
      </c>
      <c r="L925" s="5" t="s">
        <v>25</v>
      </c>
      <c r="M925" s="7" t="str">
        <f>VLOOKUP(A925,Sheet2!$A$2:$R$3432,5,0)</f>
        <v>MH12QP7323</v>
      </c>
      <c r="N925" s="5" t="s">
        <v>25</v>
      </c>
      <c r="O925" s="5" t="s">
        <v>25</v>
      </c>
      <c r="P925" s="6" t="s">
        <v>25</v>
      </c>
      <c r="Q925" s="5" t="s">
        <v>25</v>
      </c>
      <c r="R925" s="5" t="s">
        <v>25</v>
      </c>
      <c r="S925" s="5" t="str">
        <f>VLOOKUP(A925,Sheet2!$A$2:$R$3432,18,0)</f>
        <v>G3J3E0159424</v>
      </c>
      <c r="T925" s="7" t="str">
        <f>VLOOKUP(A925,Sheet2!$A$2:$R$3432,17,0)</f>
        <v>ME1RG442AHD104382</v>
      </c>
    </row>
    <row r="926" ht="15.75" customHeight="1">
      <c r="A926" s="3" t="s">
        <v>949</v>
      </c>
      <c r="B926" s="4" t="str">
        <f>VLOOKUP(A926,Sheet2!$A$2:$R$3432,2,0)</f>
        <v>2025-07-10 20:39:09</v>
      </c>
      <c r="C926" s="5" t="s">
        <v>25</v>
      </c>
      <c r="D926" s="6" t="s">
        <v>25</v>
      </c>
      <c r="E926" s="7">
        <f>VLOOKUP(A926,Sheet2!$A$2:$R$3432,4,0)</f>
        <v>8237669414</v>
      </c>
      <c r="F926" s="7" t="str">
        <f>VLOOKUP(A926,Sheet2!$A$2:$R$3432,3,0)</f>
        <v>SANKALP YERAWAR</v>
      </c>
      <c r="G926" s="5" t="s">
        <v>25</v>
      </c>
      <c r="H926" s="5" t="s">
        <v>25</v>
      </c>
      <c r="I926" s="5" t="s">
        <v>25</v>
      </c>
      <c r="J926" s="5" t="s">
        <v>25</v>
      </c>
      <c r="K926" s="7" t="str">
        <f>VLOOKUP(A926,Sheet2!$A$2:$R$3432,6,0)</f>
        <v>Yamaha MT 15</v>
      </c>
      <c r="L926" s="5" t="s">
        <v>25</v>
      </c>
      <c r="M926" s="7" t="str">
        <f>VLOOKUP(A926,Sheet2!$A$2:$R$3432,5,0)</f>
        <v>MH14HP1653</v>
      </c>
      <c r="N926" s="5" t="s">
        <v>25</v>
      </c>
      <c r="O926" s="5" t="s">
        <v>25</v>
      </c>
      <c r="P926" s="6" t="s">
        <v>25</v>
      </c>
      <c r="Q926" s="5" t="s">
        <v>25</v>
      </c>
      <c r="R926" s="5" t="s">
        <v>25</v>
      </c>
      <c r="S926" s="5" t="str">
        <f>VLOOKUP(A926,Sheet2!$A$2:$R$3432,18,0)</f>
        <v>G3K5E0086860</v>
      </c>
      <c r="T926" s="7" t="str">
        <f>VLOOKUP(A926,Sheet2!$A$2:$R$3432,17,0)</f>
        <v>ME1RG5913K0003326</v>
      </c>
    </row>
    <row r="927" ht="15.75" customHeight="1">
      <c r="A927" s="3" t="s">
        <v>950</v>
      </c>
      <c r="B927" s="4" t="str">
        <f>VLOOKUP(A927,Sheet2!$A$2:$R$3432,2,0)</f>
        <v>2025-07-10 20:39:57</v>
      </c>
      <c r="C927" s="5" t="s">
        <v>25</v>
      </c>
      <c r="D927" s="6" t="s">
        <v>25</v>
      </c>
      <c r="E927" s="7">
        <f>VLOOKUP(A927,Sheet2!$A$2:$R$3432,4,0)</f>
        <v>7588188574</v>
      </c>
      <c r="F927" s="7" t="str">
        <f>VLOOKUP(A927,Sheet2!$A$2:$R$3432,3,0)</f>
        <v>ANKIT PATIL</v>
      </c>
      <c r="G927" s="5" t="s">
        <v>25</v>
      </c>
      <c r="H927" s="5" t="s">
        <v>25</v>
      </c>
      <c r="I927" s="5" t="s">
        <v>25</v>
      </c>
      <c r="J927" s="5" t="s">
        <v>25</v>
      </c>
      <c r="K927" s="7" t="str">
        <f>VLOOKUP(A927,Sheet2!$A$2:$R$3432,6,0)</f>
        <v>Bajaj Pulsar 200 RS</v>
      </c>
      <c r="L927" s="5" t="s">
        <v>25</v>
      </c>
      <c r="M927" s="7" t="str">
        <f>VLOOKUP(A927,Sheet2!$A$2:$R$3432,5,0)</f>
        <v>MH29AU9595</v>
      </c>
      <c r="N927" s="5" t="s">
        <v>25</v>
      </c>
      <c r="O927" s="5" t="s">
        <v>25</v>
      </c>
      <c r="P927" s="6" t="s">
        <v>25</v>
      </c>
      <c r="Q927" s="5" t="s">
        <v>25</v>
      </c>
      <c r="R927" s="5" t="s">
        <v>25</v>
      </c>
      <c r="S927" s="7" t="str">
        <f>VLOOKUP(A927,Sheet2!$A$2:$R$3432,18,0)</f>
        <v/>
      </c>
      <c r="T927" s="7" t="str">
        <f>VLOOKUP(A927,Sheet2!$A$2:$R$3432,17,0)</f>
        <v/>
      </c>
    </row>
    <row r="928" ht="15.75" customHeight="1">
      <c r="A928" s="3" t="s">
        <v>951</v>
      </c>
      <c r="B928" s="4" t="str">
        <f>VLOOKUP(A928,Sheet2!$A$2:$R$3432,2,0)</f>
        <v>2025-07-10 17:58:41</v>
      </c>
      <c r="C928" s="5" t="s">
        <v>25</v>
      </c>
      <c r="D928" s="6" t="s">
        <v>25</v>
      </c>
      <c r="E928" s="7">
        <f>VLOOKUP(A928,Sheet2!$A$2:$R$3432,4,0)</f>
        <v>7447845485</v>
      </c>
      <c r="F928" s="7" t="str">
        <f>VLOOKUP(A928,Sheet2!$A$2:$R$3432,3,0)</f>
        <v>Sanjay Shinde</v>
      </c>
      <c r="G928" s="5" t="s">
        <v>25</v>
      </c>
      <c r="H928" s="5" t="s">
        <v>25</v>
      </c>
      <c r="I928" s="5" t="s">
        <v>25</v>
      </c>
      <c r="J928" s="5" t="s">
        <v>25</v>
      </c>
      <c r="K928" s="7" t="str">
        <f>VLOOKUP(A928,Sheet2!$A$2:$R$3432,6,0)</f>
        <v>Honda Activa 3G</v>
      </c>
      <c r="L928" s="5" t="s">
        <v>25</v>
      </c>
      <c r="M928" s="7" t="str">
        <f>VLOOKUP(A928,Sheet2!$A$2:$R$3432,5,0)</f>
        <v>MH14FE3798</v>
      </c>
      <c r="N928" s="5" t="s">
        <v>25</v>
      </c>
      <c r="O928" s="5" t="s">
        <v>25</v>
      </c>
      <c r="P928" s="6" t="s">
        <v>25</v>
      </c>
      <c r="Q928" s="5" t="s">
        <v>25</v>
      </c>
      <c r="R928" s="5" t="s">
        <v>25</v>
      </c>
      <c r="S928" s="5" t="str">
        <f>VLOOKUP(A928,Sheet2!$A$2:$R$3432,18,0)</f>
        <v>JF50ET2673305</v>
      </c>
      <c r="T928" s="7" t="str">
        <f>VLOOKUP(A928,Sheet2!$A$2:$R$3432,17,0)</f>
        <v>ME4JF504HFT672414</v>
      </c>
    </row>
    <row r="929" ht="15.75" customHeight="1">
      <c r="A929" s="3" t="s">
        <v>952</v>
      </c>
      <c r="B929" s="4" t="str">
        <f>VLOOKUP(A929,Sheet2!$A$2:$R$3432,2,0)</f>
        <v>2025-07-10 20:38:47</v>
      </c>
      <c r="C929" s="5" t="s">
        <v>25</v>
      </c>
      <c r="D929" s="6" t="s">
        <v>25</v>
      </c>
      <c r="E929" s="7">
        <f>VLOOKUP(A929,Sheet2!$A$2:$R$3432,4,0)</f>
        <v>9766611011</v>
      </c>
      <c r="F929" s="7" t="str">
        <f>VLOOKUP(A929,Sheet2!$A$2:$R$3432,3,0)</f>
        <v>Atul Nandgude</v>
      </c>
      <c r="G929" s="5" t="s">
        <v>25</v>
      </c>
      <c r="H929" s="5" t="s">
        <v>25</v>
      </c>
      <c r="I929" s="5" t="s">
        <v>25</v>
      </c>
      <c r="J929" s="5" t="s">
        <v>25</v>
      </c>
      <c r="K929" s="7" t="str">
        <f>VLOOKUP(A929,Sheet2!$A$2:$R$3432,6,0)</f>
        <v>Suzuki Access 125</v>
      </c>
      <c r="L929" s="5" t="s">
        <v>25</v>
      </c>
      <c r="M929" s="7" t="str">
        <f>VLOOKUP(A929,Sheet2!$A$2:$R$3432,5,0)</f>
        <v>MH12QP1161</v>
      </c>
      <c r="N929" s="5" t="s">
        <v>25</v>
      </c>
      <c r="O929" s="5" t="s">
        <v>25</v>
      </c>
      <c r="P929" s="6" t="s">
        <v>25</v>
      </c>
      <c r="Q929" s="5" t="s">
        <v>25</v>
      </c>
      <c r="R929" s="5" t="s">
        <v>25</v>
      </c>
      <c r="S929" s="7" t="str">
        <f>VLOOKUP(A929,Sheet2!$A$2:$R$3432,18,0)</f>
        <v/>
      </c>
      <c r="T929" s="7" t="str">
        <f>VLOOKUP(A929,Sheet2!$A$2:$R$3432,17,0)</f>
        <v>MB8DP11ACJ87959</v>
      </c>
    </row>
    <row r="930" ht="15.75" customHeight="1">
      <c r="A930" s="3" t="s">
        <v>953</v>
      </c>
      <c r="B930" s="4" t="str">
        <f>VLOOKUP(A930,Sheet2!$A$2:$R$3432,2,0)</f>
        <v>2025-07-10 20:40:17</v>
      </c>
      <c r="C930" s="5" t="s">
        <v>25</v>
      </c>
      <c r="D930" s="6" t="s">
        <v>25</v>
      </c>
      <c r="E930" s="7">
        <f>VLOOKUP(A930,Sheet2!$A$2:$R$3432,4,0)</f>
        <v>9850575226</v>
      </c>
      <c r="F930" s="7" t="str">
        <f>VLOOKUP(A930,Sheet2!$A$2:$R$3432,3,0)</f>
        <v>Prashant</v>
      </c>
      <c r="G930" s="5" t="s">
        <v>25</v>
      </c>
      <c r="H930" s="5" t="s">
        <v>25</v>
      </c>
      <c r="I930" s="5" t="s">
        <v>25</v>
      </c>
      <c r="J930" s="5" t="s">
        <v>25</v>
      </c>
      <c r="K930" s="7" t="str">
        <f>VLOOKUP(A930,Sheet2!$A$2:$R$3432,6,0)</f>
        <v>Hero Pleasure </v>
      </c>
      <c r="L930" s="5" t="s">
        <v>25</v>
      </c>
      <c r="M930" s="7" t="str">
        <f>VLOOKUP(A930,Sheet2!$A$2:$R$3432,5,0)</f>
        <v>MH14EF6321</v>
      </c>
      <c r="N930" s="5" t="s">
        <v>25</v>
      </c>
      <c r="O930" s="5" t="s">
        <v>25</v>
      </c>
      <c r="P930" s="6" t="s">
        <v>25</v>
      </c>
      <c r="Q930" s="5" t="s">
        <v>25</v>
      </c>
      <c r="R930" s="5" t="s">
        <v>25</v>
      </c>
      <c r="S930" s="7" t="str">
        <f>VLOOKUP(A930,Sheet2!$A$2:$R$3432,18,0)</f>
        <v/>
      </c>
      <c r="T930" s="7" t="str">
        <f>VLOOKUP(A930,Sheet2!$A$2:$R$3432,17,0)</f>
        <v>MBLJF16EFDJM19457</v>
      </c>
    </row>
    <row r="931" ht="15.75" customHeight="1">
      <c r="A931" s="3" t="s">
        <v>954</v>
      </c>
      <c r="B931" s="4" t="str">
        <f>VLOOKUP(A931,Sheet2!$A$2:$R$3432,2,0)</f>
        <v>2025-03-16 19:26:07</v>
      </c>
      <c r="C931" s="5" t="s">
        <v>25</v>
      </c>
      <c r="D931" s="6" t="s">
        <v>25</v>
      </c>
      <c r="E931" s="7">
        <f>VLOOKUP(A931,Sheet2!$A$2:$R$3432,4,0)</f>
        <v>7350671228</v>
      </c>
      <c r="F931" s="7" t="str">
        <f>VLOOKUP(A931,Sheet2!$A$2:$R$3432,3,0)</f>
        <v>Dhiraj</v>
      </c>
      <c r="G931" s="5" t="s">
        <v>25</v>
      </c>
      <c r="H931" s="5" t="s">
        <v>25</v>
      </c>
      <c r="I931" s="5" t="s">
        <v>25</v>
      </c>
      <c r="J931" s="5" t="s">
        <v>25</v>
      </c>
      <c r="K931" s="7" t="str">
        <f>VLOOKUP(A931,Sheet2!$A$2:$R$3432,6,0)</f>
        <v>Honda Unicorn </v>
      </c>
      <c r="L931" s="5" t="s">
        <v>25</v>
      </c>
      <c r="M931" s="7" t="str">
        <f>VLOOKUP(A931,Sheet2!$A$2:$R$3432,5,0)</f>
        <v>MH12MH8784</v>
      </c>
      <c r="N931" s="5" t="s">
        <v>25</v>
      </c>
      <c r="O931" s="5" t="s">
        <v>25</v>
      </c>
      <c r="P931" s="6" t="s">
        <v>25</v>
      </c>
      <c r="Q931" s="5" t="s">
        <v>25</v>
      </c>
      <c r="R931" s="5" t="s">
        <v>25</v>
      </c>
      <c r="S931" s="7" t="str">
        <f>VLOOKUP(A931,Sheet2!$A$2:$R$3432,18,0)</f>
        <v/>
      </c>
      <c r="T931" s="7" t="str">
        <f>VLOOKUP(A931,Sheet2!$A$2:$R$3432,17,0)</f>
        <v/>
      </c>
    </row>
    <row r="932" ht="15.75" customHeight="1">
      <c r="A932" s="3" t="s">
        <v>955</v>
      </c>
      <c r="B932" s="4" t="str">
        <f>VLOOKUP(A932,Sheet2!$A$2:$R$3432,2,0)</f>
        <v>2025-03-16 19:23:04</v>
      </c>
      <c r="C932" s="5" t="s">
        <v>25</v>
      </c>
      <c r="D932" s="6" t="s">
        <v>25</v>
      </c>
      <c r="E932" s="7">
        <f>VLOOKUP(A932,Sheet2!$A$2:$R$3432,4,0)</f>
        <v>9922946166</v>
      </c>
      <c r="F932" s="7" t="str">
        <f>VLOOKUP(A932,Sheet2!$A$2:$R$3432,3,0)</f>
        <v>Ashish </v>
      </c>
      <c r="G932" s="5" t="s">
        <v>25</v>
      </c>
      <c r="H932" s="5" t="s">
        <v>25</v>
      </c>
      <c r="I932" s="5" t="s">
        <v>25</v>
      </c>
      <c r="J932" s="5" t="s">
        <v>25</v>
      </c>
      <c r="K932" s="7" t="str">
        <f>VLOOKUP(A932,Sheet2!$A$2:$R$3432,6,0)</f>
        <v>Honda Activa </v>
      </c>
      <c r="L932" s="5" t="s">
        <v>25</v>
      </c>
      <c r="M932" s="7" t="str">
        <f>VLOOKUP(A932,Sheet2!$A$2:$R$3432,5,0)</f>
        <v>MH14BA943</v>
      </c>
      <c r="N932" s="5" t="s">
        <v>25</v>
      </c>
      <c r="O932" s="5" t="s">
        <v>25</v>
      </c>
      <c r="P932" s="6" t="s">
        <v>25</v>
      </c>
      <c r="Q932" s="5" t="s">
        <v>25</v>
      </c>
      <c r="R932" s="5" t="s">
        <v>25</v>
      </c>
      <c r="S932" s="7" t="str">
        <f>VLOOKUP(A932,Sheet2!$A$2:$R$3432,18,0)</f>
        <v/>
      </c>
      <c r="T932" s="7" t="str">
        <f>VLOOKUP(A932,Sheet2!$A$2:$R$3432,17,0)</f>
        <v/>
      </c>
    </row>
    <row r="933" ht="15.75" customHeight="1">
      <c r="A933" s="3" t="s">
        <v>956</v>
      </c>
      <c r="B933" s="4" t="str">
        <f>VLOOKUP(A933,Sheet2!$A$2:$R$3432,2,0)</f>
        <v>2025-03-16 19:23:50</v>
      </c>
      <c r="C933" s="5" t="s">
        <v>25</v>
      </c>
      <c r="D933" s="6" t="s">
        <v>25</v>
      </c>
      <c r="E933" s="7">
        <f>VLOOKUP(A933,Sheet2!$A$2:$R$3432,4,0)</f>
        <v>9881219968</v>
      </c>
      <c r="F933" s="7" t="str">
        <f>VLOOKUP(A933,Sheet2!$A$2:$R$3432,3,0)</f>
        <v>Pravin Kakade</v>
      </c>
      <c r="G933" s="5" t="s">
        <v>25</v>
      </c>
      <c r="H933" s="5" t="s">
        <v>25</v>
      </c>
      <c r="I933" s="5" t="s">
        <v>25</v>
      </c>
      <c r="J933" s="5" t="s">
        <v>25</v>
      </c>
      <c r="K933" s="7" t="str">
        <f>VLOOKUP(A933,Sheet2!$A$2:$R$3432,6,0)</f>
        <v>Honda Activa 4G</v>
      </c>
      <c r="L933" s="5" t="s">
        <v>25</v>
      </c>
      <c r="M933" s="7" t="str">
        <f>VLOOKUP(A933,Sheet2!$A$2:$R$3432,5,0)</f>
        <v>MH14GJ4609</v>
      </c>
      <c r="N933" s="5" t="s">
        <v>25</v>
      </c>
      <c r="O933" s="5" t="s">
        <v>25</v>
      </c>
      <c r="P933" s="6" t="s">
        <v>25</v>
      </c>
      <c r="Q933" s="5" t="s">
        <v>25</v>
      </c>
      <c r="R933" s="5" t="s">
        <v>25</v>
      </c>
      <c r="S933" s="5" t="str">
        <f>VLOOKUP(A933,Sheet2!$A$2:$R$3432,18,0)</f>
        <v>JF50EU5257882</v>
      </c>
      <c r="T933" s="7" t="str">
        <f>VLOOKUP(A933,Sheet2!$A$2:$R$3432,17,0)</f>
        <v>ME4JF507EHU257763</v>
      </c>
    </row>
    <row r="934" ht="15.75" customHeight="1">
      <c r="A934" s="3" t="s">
        <v>957</v>
      </c>
      <c r="B934" s="4" t="str">
        <f>VLOOKUP(A934,Sheet2!$A$2:$R$3432,2,0)</f>
        <v>2025-03-16 19:29:47</v>
      </c>
      <c r="C934" s="5" t="s">
        <v>25</v>
      </c>
      <c r="D934" s="6" t="s">
        <v>25</v>
      </c>
      <c r="E934" s="7">
        <f>VLOOKUP(A934,Sheet2!$A$2:$R$3432,4,0)</f>
        <v>8408063569</v>
      </c>
      <c r="F934" s="7" t="str">
        <f>VLOOKUP(A934,Sheet2!$A$2:$R$3432,3,0)</f>
        <v>Sumedh</v>
      </c>
      <c r="G934" s="5" t="s">
        <v>25</v>
      </c>
      <c r="H934" s="5" t="s">
        <v>25</v>
      </c>
      <c r="I934" s="5" t="s">
        <v>25</v>
      </c>
      <c r="J934" s="5" t="s">
        <v>25</v>
      </c>
      <c r="K934" s="7" t="str">
        <f>VLOOKUP(A934,Sheet2!$A$2:$R$3432,6,0)</f>
        <v>Yamaha FZ S 2.0</v>
      </c>
      <c r="L934" s="5" t="s">
        <v>25</v>
      </c>
      <c r="M934" s="7" t="str">
        <f>VLOOKUP(A934,Sheet2!$A$2:$R$3432,5,0)</f>
        <v>MH12RG4235</v>
      </c>
      <c r="N934" s="5" t="s">
        <v>25</v>
      </c>
      <c r="O934" s="5" t="s">
        <v>25</v>
      </c>
      <c r="P934" s="6" t="s">
        <v>25</v>
      </c>
      <c r="Q934" s="5" t="s">
        <v>25</v>
      </c>
      <c r="R934" s="5" t="s">
        <v>25</v>
      </c>
      <c r="S934" s="7" t="str">
        <f>VLOOKUP(A934,Sheet2!$A$2:$R$3432,18,0)</f>
        <v/>
      </c>
      <c r="T934" s="7" t="str">
        <f>VLOOKUP(A934,Sheet2!$A$2:$R$3432,17,0)</f>
        <v/>
      </c>
    </row>
    <row r="935" ht="15.75" customHeight="1">
      <c r="A935" s="3" t="s">
        <v>958</v>
      </c>
      <c r="B935" s="4" t="str">
        <f>VLOOKUP(A935,Sheet2!$A$2:$R$3432,2,0)</f>
        <v>2025-03-16 19:28:53</v>
      </c>
      <c r="C935" s="5" t="s">
        <v>25</v>
      </c>
      <c r="D935" s="6" t="s">
        <v>25</v>
      </c>
      <c r="E935" s="7">
        <f>VLOOKUP(A935,Sheet2!$A$2:$R$3432,4,0)</f>
        <v>9545458750</v>
      </c>
      <c r="F935" s="7" t="str">
        <f>VLOOKUP(A935,Sheet2!$A$2:$R$3432,3,0)</f>
        <v>Ruturaj</v>
      </c>
      <c r="G935" s="5" t="s">
        <v>25</v>
      </c>
      <c r="H935" s="5" t="s">
        <v>25</v>
      </c>
      <c r="I935" s="5" t="s">
        <v>25</v>
      </c>
      <c r="J935" s="5" t="s">
        <v>25</v>
      </c>
      <c r="K935" s="7" t="str">
        <f>VLOOKUP(A935,Sheet2!$A$2:$R$3432,6,0)</f>
        <v>Suzuki Access 125</v>
      </c>
      <c r="L935" s="5" t="s">
        <v>25</v>
      </c>
      <c r="M935" s="7" t="str">
        <f>VLOOKUP(A935,Sheet2!$A$2:$R$3432,5,0)</f>
        <v>MH14GF8461</v>
      </c>
      <c r="N935" s="5" t="s">
        <v>25</v>
      </c>
      <c r="O935" s="5" t="s">
        <v>25</v>
      </c>
      <c r="P935" s="6" t="s">
        <v>25</v>
      </c>
      <c r="Q935" s="5" t="s">
        <v>25</v>
      </c>
      <c r="R935" s="5" t="s">
        <v>25</v>
      </c>
      <c r="S935" s="5" t="str">
        <f>VLOOKUP(A935,Sheet2!$A$2:$R$3432,18,0)</f>
        <v>AF211282135</v>
      </c>
      <c r="T935" s="7" t="str">
        <f>VLOOKUP(A935,Sheet2!$A$2:$R$3432,17,0)</f>
        <v>M8DP11ADH8389275</v>
      </c>
    </row>
    <row r="936" ht="15.75" customHeight="1">
      <c r="A936" s="3" t="s">
        <v>959</v>
      </c>
      <c r="B936" s="4" t="str">
        <f>VLOOKUP(A936,Sheet2!$A$2:$R$3432,2,0)</f>
        <v>2025-03-16 19:25:12</v>
      </c>
      <c r="C936" s="5" t="s">
        <v>25</v>
      </c>
      <c r="D936" s="6" t="s">
        <v>25</v>
      </c>
      <c r="E936" s="7">
        <f>VLOOKUP(A936,Sheet2!$A$2:$R$3432,4,0)</f>
        <v>8600660908</v>
      </c>
      <c r="F936" s="7" t="str">
        <f>VLOOKUP(A936,Sheet2!$A$2:$R$3432,3,0)</f>
        <v>Sonali Pawar </v>
      </c>
      <c r="G936" s="5" t="s">
        <v>25</v>
      </c>
      <c r="H936" s="5" t="s">
        <v>25</v>
      </c>
      <c r="I936" s="5" t="s">
        <v>25</v>
      </c>
      <c r="J936" s="5" t="s">
        <v>25</v>
      </c>
      <c r="K936" s="7" t="str">
        <f>VLOOKUP(A936,Sheet2!$A$2:$R$3432,6,0)</f>
        <v>Hero Pleasure </v>
      </c>
      <c r="L936" s="5" t="s">
        <v>25</v>
      </c>
      <c r="M936" s="7" t="str">
        <f>VLOOKUP(A936,Sheet2!$A$2:$R$3432,5,0)</f>
        <v>MH17AM7352</v>
      </c>
      <c r="N936" s="5" t="s">
        <v>25</v>
      </c>
      <c r="O936" s="5" t="s">
        <v>25</v>
      </c>
      <c r="P936" s="6" t="s">
        <v>25</v>
      </c>
      <c r="Q936" s="5" t="s">
        <v>25</v>
      </c>
      <c r="R936" s="5" t="s">
        <v>25</v>
      </c>
      <c r="S936" s="5" t="str">
        <f>VLOOKUP(A936,Sheet2!$A$2:$R$3432,18,0)</f>
        <v>JF16EBBGE27548</v>
      </c>
      <c r="T936" s="7" t="str">
        <f>VLOOKUP(A936,Sheet2!$A$2:$R$3432,17,0)</f>
        <v>MBLJF16EDBGE27218</v>
      </c>
    </row>
    <row r="937" ht="15.75" customHeight="1">
      <c r="A937" s="3" t="s">
        <v>960</v>
      </c>
      <c r="B937" s="4" t="str">
        <f>VLOOKUP(A937,Sheet2!$A$2:$R$3432,2,0)</f>
        <v>2025-03-16 19:27:01</v>
      </c>
      <c r="C937" s="5" t="s">
        <v>25</v>
      </c>
      <c r="D937" s="6" t="s">
        <v>25</v>
      </c>
      <c r="E937" s="7">
        <f>VLOOKUP(A937,Sheet2!$A$2:$R$3432,4,0)</f>
        <v>9552137691</v>
      </c>
      <c r="F937" s="7" t="str">
        <f>VLOOKUP(A937,Sheet2!$A$2:$R$3432,3,0)</f>
        <v>Yadav</v>
      </c>
      <c r="G937" s="5" t="s">
        <v>25</v>
      </c>
      <c r="H937" s="5" t="s">
        <v>25</v>
      </c>
      <c r="I937" s="5" t="s">
        <v>25</v>
      </c>
      <c r="J937" s="5" t="s">
        <v>25</v>
      </c>
      <c r="K937" s="7" t="str">
        <f>VLOOKUP(A937,Sheet2!$A$2:$R$3432,6,0)</f>
        <v>Honda Activa 3G</v>
      </c>
      <c r="L937" s="5" t="s">
        <v>25</v>
      </c>
      <c r="M937" s="7" t="str">
        <f>VLOOKUP(A937,Sheet2!$A$2:$R$3432,5,0)</f>
        <v>MH14EV5910</v>
      </c>
      <c r="N937" s="5" t="s">
        <v>25</v>
      </c>
      <c r="O937" s="5" t="s">
        <v>25</v>
      </c>
      <c r="P937" s="6" t="s">
        <v>25</v>
      </c>
      <c r="Q937" s="5" t="s">
        <v>25</v>
      </c>
      <c r="R937" s="5" t="s">
        <v>25</v>
      </c>
      <c r="S937" s="7" t="str">
        <f>VLOOKUP(A937,Sheet2!$A$2:$R$3432,18,0)</f>
        <v/>
      </c>
      <c r="T937" s="7" t="str">
        <f>VLOOKUP(A937,Sheet2!$A$2:$R$3432,17,0)</f>
        <v/>
      </c>
    </row>
    <row r="938" ht="15.75" customHeight="1">
      <c r="A938" s="3" t="s">
        <v>961</v>
      </c>
      <c r="B938" s="4" t="str">
        <f>VLOOKUP(A938,Sheet2!$A$2:$R$3432,2,0)</f>
        <v>2025-03-16 19:27:50</v>
      </c>
      <c r="C938" s="5" t="s">
        <v>25</v>
      </c>
      <c r="D938" s="6" t="s">
        <v>25</v>
      </c>
      <c r="E938" s="7">
        <f>VLOOKUP(A938,Sheet2!$A$2:$R$3432,4,0)</f>
        <v>9552519795</v>
      </c>
      <c r="F938" s="7" t="str">
        <f>VLOOKUP(A938,Sheet2!$A$2:$R$3432,3,0)</f>
        <v>Abhijit Tilekar</v>
      </c>
      <c r="G938" s="5" t="s">
        <v>25</v>
      </c>
      <c r="H938" s="5" t="s">
        <v>25</v>
      </c>
      <c r="I938" s="5" t="s">
        <v>25</v>
      </c>
      <c r="J938" s="5" t="s">
        <v>25</v>
      </c>
      <c r="K938" s="7" t="str">
        <f>VLOOKUP(A938,Sheet2!$A$2:$R$3432,6,0)</f>
        <v>TVS Raider 125</v>
      </c>
      <c r="L938" s="5" t="s">
        <v>25</v>
      </c>
      <c r="M938" s="7" t="str">
        <f>VLOOKUP(A938,Sheet2!$A$2:$R$3432,5,0)</f>
        <v>MH12UL3197</v>
      </c>
      <c r="N938" s="5" t="s">
        <v>25</v>
      </c>
      <c r="O938" s="5" t="s">
        <v>25</v>
      </c>
      <c r="P938" s="6" t="s">
        <v>25</v>
      </c>
      <c r="Q938" s="5" t="s">
        <v>25</v>
      </c>
      <c r="R938" s="5" t="s">
        <v>25</v>
      </c>
      <c r="S938" s="7" t="str">
        <f>VLOOKUP(A938,Sheet2!$A$2:$R$3432,18,0)</f>
        <v/>
      </c>
      <c r="T938" s="7" t="str">
        <f>VLOOKUP(A938,Sheet2!$A$2:$R$3432,17,0)</f>
        <v/>
      </c>
    </row>
    <row r="939" ht="15.75" customHeight="1">
      <c r="A939" s="3" t="s">
        <v>962</v>
      </c>
      <c r="B939" s="4" t="str">
        <f>VLOOKUP(A939,Sheet2!$A$2:$R$3432,2,0)</f>
        <v>2025-03-16 19:28:13</v>
      </c>
      <c r="C939" s="5" t="s">
        <v>25</v>
      </c>
      <c r="D939" s="6" t="s">
        <v>25</v>
      </c>
      <c r="E939" s="7">
        <f>VLOOKUP(A939,Sheet2!$A$2:$R$3432,4,0)</f>
        <v>9422541447</v>
      </c>
      <c r="F939" s="7" t="str">
        <f>VLOOKUP(A939,Sheet2!$A$2:$R$3432,3,0)</f>
        <v>Kevendra Pundhir</v>
      </c>
      <c r="G939" s="5" t="s">
        <v>25</v>
      </c>
      <c r="H939" s="5" t="s">
        <v>25</v>
      </c>
      <c r="I939" s="5" t="s">
        <v>25</v>
      </c>
      <c r="J939" s="5" t="s">
        <v>25</v>
      </c>
      <c r="K939" s="7" t="str">
        <f>VLOOKUP(A939,Sheet2!$A$2:$R$3432,6,0)</f>
        <v>Honda Activa 4G</v>
      </c>
      <c r="L939" s="5" t="s">
        <v>25</v>
      </c>
      <c r="M939" s="7" t="str">
        <f>VLOOKUP(A939,Sheet2!$A$2:$R$3432,5,0)</f>
        <v>MH14GF6204</v>
      </c>
      <c r="N939" s="5" t="s">
        <v>25</v>
      </c>
      <c r="O939" s="5" t="s">
        <v>25</v>
      </c>
      <c r="P939" s="6" t="s">
        <v>25</v>
      </c>
      <c r="Q939" s="5" t="s">
        <v>25</v>
      </c>
      <c r="R939" s="5" t="s">
        <v>25</v>
      </c>
      <c r="S939" s="5" t="str">
        <f>VLOOKUP(A939,Sheet2!$A$2:$R$3432,18,0)</f>
        <v>JF50EU5120331</v>
      </c>
      <c r="T939" s="7" t="str">
        <f>VLOOKUP(A939,Sheet2!$A$2:$R$3432,17,0)</f>
        <v>ME4JF507D4U120272</v>
      </c>
    </row>
    <row r="940" ht="15.75" customHeight="1">
      <c r="A940" s="3" t="s">
        <v>963</v>
      </c>
      <c r="B940" s="4" t="str">
        <f>VLOOKUP(A940,Sheet2!$A$2:$R$3432,2,0)</f>
        <v>2025-03-16 19:31:03</v>
      </c>
      <c r="C940" s="5" t="s">
        <v>25</v>
      </c>
      <c r="D940" s="6" t="s">
        <v>25</v>
      </c>
      <c r="E940" s="7">
        <f>VLOOKUP(A940,Sheet2!$A$2:$R$3432,4,0)</f>
        <v>9370716797</v>
      </c>
      <c r="F940" s="7" t="str">
        <f>VLOOKUP(A940,Sheet2!$A$2:$R$3432,3,0)</f>
        <v>YADNESH</v>
      </c>
      <c r="G940" s="5" t="s">
        <v>25</v>
      </c>
      <c r="H940" s="5" t="s">
        <v>25</v>
      </c>
      <c r="I940" s="5" t="s">
        <v>25</v>
      </c>
      <c r="J940" s="5" t="s">
        <v>25</v>
      </c>
      <c r="K940" s="7" t="str">
        <f>VLOOKUP(A940,Sheet2!$A$2:$R$3432,6,0)</f>
        <v>Honda Shine BS6</v>
      </c>
      <c r="L940" s="5" t="s">
        <v>25</v>
      </c>
      <c r="M940" s="7" t="str">
        <f>VLOOKUP(A940,Sheet2!$A$2:$R$3432,5,0)</f>
        <v>MH30BM8370</v>
      </c>
      <c r="N940" s="5" t="s">
        <v>25</v>
      </c>
      <c r="O940" s="5" t="s">
        <v>25</v>
      </c>
      <c r="P940" s="6" t="s">
        <v>25</v>
      </c>
      <c r="Q940" s="5" t="s">
        <v>25</v>
      </c>
      <c r="R940" s="5" t="s">
        <v>25</v>
      </c>
      <c r="S940" s="5" t="str">
        <f>VLOOKUP(A940,Sheet2!$A$2:$R$3432,18,0)</f>
        <v>JC85EG0195639</v>
      </c>
      <c r="T940" s="7" t="str">
        <f>VLOOKUP(A940,Sheet2!$A$2:$R$3432,17,0)</f>
        <v>ME4JC856MLG048160</v>
      </c>
    </row>
    <row r="941" ht="15.75" customHeight="1">
      <c r="A941" s="3" t="s">
        <v>964</v>
      </c>
      <c r="B941" s="4" t="str">
        <f>VLOOKUP(A941,Sheet2!$A$2:$R$3432,2,0)</f>
        <v>2025-03-16 19:31:26</v>
      </c>
      <c r="C941" s="5" t="s">
        <v>25</v>
      </c>
      <c r="D941" s="6" t="s">
        <v>25</v>
      </c>
      <c r="E941" s="7">
        <f>VLOOKUP(A941,Sheet2!$A$2:$R$3432,4,0)</f>
        <v>9975556564</v>
      </c>
      <c r="F941" s="7" t="str">
        <f>VLOOKUP(A941,Sheet2!$A$2:$R$3432,3,0)</f>
        <v>Prathamesh Chavan</v>
      </c>
      <c r="G941" s="5" t="s">
        <v>25</v>
      </c>
      <c r="H941" s="5" t="s">
        <v>25</v>
      </c>
      <c r="I941" s="5" t="s">
        <v>25</v>
      </c>
      <c r="J941" s="5" t="s">
        <v>25</v>
      </c>
      <c r="K941" s="7" t="str">
        <f>VLOOKUP(A941,Sheet2!$A$2:$R$3432,6,0)</f>
        <v>KTM DUKE 200</v>
      </c>
      <c r="L941" s="5" t="s">
        <v>25</v>
      </c>
      <c r="M941" s="7" t="str">
        <f>VLOOKUP(A941,Sheet2!$A$2:$R$3432,5,0)</f>
        <v>MH14FF7514</v>
      </c>
      <c r="N941" s="5" t="s">
        <v>25</v>
      </c>
      <c r="O941" s="5" t="s">
        <v>25</v>
      </c>
      <c r="P941" s="6" t="s">
        <v>25</v>
      </c>
      <c r="Q941" s="5" t="s">
        <v>25</v>
      </c>
      <c r="R941" s="5" t="s">
        <v>25</v>
      </c>
      <c r="S941" s="7" t="str">
        <f>VLOOKUP(A941,Sheet2!$A$2:$R$3432,18,0)</f>
        <v/>
      </c>
      <c r="T941" s="7" t="str">
        <f>VLOOKUP(A941,Sheet2!$A$2:$R$3432,17,0)</f>
        <v/>
      </c>
    </row>
    <row r="942" ht="15.75" customHeight="1">
      <c r="A942" s="3" t="s">
        <v>965</v>
      </c>
      <c r="B942" s="4" t="str">
        <f>VLOOKUP(A942,Sheet2!$A$2:$R$3432,2,0)</f>
        <v>2025-03-16 19:31:58</v>
      </c>
      <c r="C942" s="5" t="s">
        <v>25</v>
      </c>
      <c r="D942" s="6" t="s">
        <v>25</v>
      </c>
      <c r="E942" s="7">
        <f>VLOOKUP(A942,Sheet2!$A$2:$R$3432,4,0)</f>
        <v>9049054895</v>
      </c>
      <c r="F942" s="7" t="str">
        <f>VLOOKUP(A942,Sheet2!$A$2:$R$3432,3,0)</f>
        <v>Rishikesh </v>
      </c>
      <c r="G942" s="5" t="s">
        <v>25</v>
      </c>
      <c r="H942" s="5" t="s">
        <v>25</v>
      </c>
      <c r="I942" s="5" t="s">
        <v>25</v>
      </c>
      <c r="J942" s="5" t="s">
        <v>25</v>
      </c>
      <c r="K942" s="7" t="str">
        <f>VLOOKUP(A942,Sheet2!$A$2:$R$3432,6,0)</f>
        <v>Yamaha FZ 25</v>
      </c>
      <c r="L942" s="5" t="s">
        <v>25</v>
      </c>
      <c r="M942" s="7" t="str">
        <f>VLOOKUP(A942,Sheet2!$A$2:$R$3432,5,0)</f>
        <v>MH12QS2072</v>
      </c>
      <c r="N942" s="5" t="s">
        <v>25</v>
      </c>
      <c r="O942" s="5" t="s">
        <v>25</v>
      </c>
      <c r="P942" s="6" t="s">
        <v>25</v>
      </c>
      <c r="Q942" s="5" t="s">
        <v>25</v>
      </c>
      <c r="R942" s="5" t="s">
        <v>25</v>
      </c>
      <c r="S942" s="5" t="str">
        <f>VLOOKUP(A942,Sheet2!$A$2:$R$3432,18,0)</f>
        <v>G3H7E0065061</v>
      </c>
      <c r="T942" s="7" t="str">
        <f>VLOOKUP(A942,Sheet2!$A$2:$R$3432,17,0)</f>
        <v>ME1RG4217J0041493</v>
      </c>
    </row>
    <row r="943" ht="15.75" customHeight="1">
      <c r="A943" s="3" t="s">
        <v>966</v>
      </c>
      <c r="B943" s="4" t="str">
        <f>VLOOKUP(A943,Sheet2!$A$2:$R$3432,2,0)</f>
        <v>2025-03-16 20:03:51</v>
      </c>
      <c r="C943" s="5" t="s">
        <v>25</v>
      </c>
      <c r="D943" s="6" t="s">
        <v>25</v>
      </c>
      <c r="E943" s="7">
        <f>VLOOKUP(A943,Sheet2!$A$2:$R$3432,4,0)</f>
        <v>9766239407</v>
      </c>
      <c r="F943" s="7" t="str">
        <f>VLOOKUP(A943,Sheet2!$A$2:$R$3432,3,0)</f>
        <v>VARUNA GOEL</v>
      </c>
      <c r="G943" s="5" t="s">
        <v>25</v>
      </c>
      <c r="H943" s="5" t="s">
        <v>25</v>
      </c>
      <c r="I943" s="5" t="s">
        <v>25</v>
      </c>
      <c r="J943" s="5" t="s">
        <v>25</v>
      </c>
      <c r="K943" s="7" t="str">
        <f>VLOOKUP(A943,Sheet2!$A$2:$R$3432,6,0)</f>
        <v>TVS Wego Basic</v>
      </c>
      <c r="L943" s="5" t="s">
        <v>25</v>
      </c>
      <c r="M943" s="7" t="str">
        <f>VLOOKUP(A943,Sheet2!$A$2:$R$3432,5,0)</f>
        <v>MH14EB7046</v>
      </c>
      <c r="N943" s="5" t="s">
        <v>25</v>
      </c>
      <c r="O943" s="5" t="s">
        <v>25</v>
      </c>
      <c r="P943" s="6" t="s">
        <v>25</v>
      </c>
      <c r="Q943" s="5" t="s">
        <v>25</v>
      </c>
      <c r="R943" s="5" t="s">
        <v>25</v>
      </c>
      <c r="S943" s="7" t="str">
        <f>VLOOKUP(A943,Sheet2!$A$2:$R$3432,18,0)</f>
        <v/>
      </c>
      <c r="T943" s="7" t="str">
        <f>VLOOKUP(A943,Sheet2!$A$2:$R$3432,17,0)</f>
        <v/>
      </c>
    </row>
    <row r="944" ht="15.75" customHeight="1">
      <c r="A944" s="3" t="s">
        <v>967</v>
      </c>
      <c r="B944" s="4" t="str">
        <f>VLOOKUP(A944,Sheet2!$A$2:$R$3432,2,0)</f>
        <v>2025-03-16 20:35:19</v>
      </c>
      <c r="C944" s="5" t="s">
        <v>25</v>
      </c>
      <c r="D944" s="6" t="s">
        <v>25</v>
      </c>
      <c r="E944" s="7">
        <f>VLOOKUP(A944,Sheet2!$A$2:$R$3432,4,0)</f>
        <v>9422733881</v>
      </c>
      <c r="F944" s="7" t="str">
        <f>VLOOKUP(A944,Sheet2!$A$2:$R$3432,3,0)</f>
        <v>Prashant Jangam</v>
      </c>
      <c r="G944" s="5" t="s">
        <v>25</v>
      </c>
      <c r="H944" s="5" t="s">
        <v>25</v>
      </c>
      <c r="I944" s="5" t="s">
        <v>25</v>
      </c>
      <c r="J944" s="5" t="s">
        <v>25</v>
      </c>
      <c r="K944" s="7" t="str">
        <f>VLOOKUP(A944,Sheet2!$A$2:$R$3432,6,0)</f>
        <v>Yamaha FZ S</v>
      </c>
      <c r="L944" s="5" t="s">
        <v>25</v>
      </c>
      <c r="M944" s="7" t="str">
        <f>VLOOKUP(A944,Sheet2!$A$2:$R$3432,5,0)</f>
        <v>MH11CR2729</v>
      </c>
      <c r="N944" s="5" t="s">
        <v>25</v>
      </c>
      <c r="O944" s="5" t="s">
        <v>25</v>
      </c>
      <c r="P944" s="6" t="s">
        <v>25</v>
      </c>
      <c r="Q944" s="5" t="s">
        <v>25</v>
      </c>
      <c r="R944" s="5" t="s">
        <v>25</v>
      </c>
      <c r="S944" s="7" t="str">
        <f>VLOOKUP(A944,Sheet2!$A$2:$R$3432,18,0)</f>
        <v/>
      </c>
      <c r="T944" s="7" t="str">
        <f>VLOOKUP(A944,Sheet2!$A$2:$R$3432,17,0)</f>
        <v/>
      </c>
    </row>
    <row r="945" ht="15.75" customHeight="1">
      <c r="A945" s="3" t="s">
        <v>968</v>
      </c>
      <c r="B945" s="4" t="str">
        <f>VLOOKUP(A945,Sheet2!$A$2:$R$3432,2,0)</f>
        <v>2025-03-16 20:38:58</v>
      </c>
      <c r="C945" s="5" t="s">
        <v>25</v>
      </c>
      <c r="D945" s="6" t="s">
        <v>25</v>
      </c>
      <c r="E945" s="7">
        <f>VLOOKUP(A945,Sheet2!$A$2:$R$3432,4,0)</f>
        <v>9975562308</v>
      </c>
      <c r="F945" s="7" t="str">
        <f>VLOOKUP(A945,Sheet2!$A$2:$R$3432,3,0)</f>
        <v>MOHAMMAD ZAID</v>
      </c>
      <c r="G945" s="5" t="s">
        <v>25</v>
      </c>
      <c r="H945" s="5" t="s">
        <v>25</v>
      </c>
      <c r="I945" s="5" t="s">
        <v>25</v>
      </c>
      <c r="J945" s="5" t="s">
        <v>25</v>
      </c>
      <c r="K945" s="7" t="str">
        <f>VLOOKUP(A945,Sheet2!$A$2:$R$3432,6,0)</f>
        <v>Honda Activa 5G</v>
      </c>
      <c r="L945" s="5" t="s">
        <v>25</v>
      </c>
      <c r="M945" s="7" t="str">
        <f>VLOOKUP(A945,Sheet2!$A$2:$R$3432,5,0)</f>
        <v>MH40BX7990</v>
      </c>
      <c r="N945" s="5" t="s">
        <v>25</v>
      </c>
      <c r="O945" s="5" t="s">
        <v>25</v>
      </c>
      <c r="P945" s="6" t="s">
        <v>25</v>
      </c>
      <c r="Q945" s="5" t="s">
        <v>25</v>
      </c>
      <c r="R945" s="5" t="s">
        <v>25</v>
      </c>
      <c r="S945" s="5" t="str">
        <f>VLOOKUP(A945,Sheet2!$A$2:$R$3432,18,0)</f>
        <v>JF92EG006138</v>
      </c>
      <c r="T945" s="7" t="str">
        <f>VLOOKUP(A945,Sheet2!$A$2:$R$3432,17,0)</f>
        <v>ME4JF922HKG061704</v>
      </c>
    </row>
    <row r="946" ht="15.75" customHeight="1">
      <c r="A946" s="3" t="s">
        <v>969</v>
      </c>
      <c r="B946" s="4" t="str">
        <f>VLOOKUP(A946,Sheet2!$A$2:$R$3432,2,0)</f>
        <v>2025-03-16 20:39:49</v>
      </c>
      <c r="C946" s="5" t="s">
        <v>25</v>
      </c>
      <c r="D946" s="6" t="s">
        <v>25</v>
      </c>
      <c r="E946" s="7">
        <f>VLOOKUP(A946,Sheet2!$A$2:$R$3432,4,0)</f>
        <v>9764696387</v>
      </c>
      <c r="F946" s="7" t="str">
        <f>VLOOKUP(A946,Sheet2!$A$2:$R$3432,3,0)</f>
        <v>Sangram Sathe</v>
      </c>
      <c r="G946" s="5" t="s">
        <v>25</v>
      </c>
      <c r="H946" s="5" t="s">
        <v>25</v>
      </c>
      <c r="I946" s="5" t="s">
        <v>25</v>
      </c>
      <c r="J946" s="5" t="s">
        <v>25</v>
      </c>
      <c r="K946" s="7" t="str">
        <f>VLOOKUP(A946,Sheet2!$A$2:$R$3432,6,0)</f>
        <v>Honda Activa 5G</v>
      </c>
      <c r="L946" s="5" t="s">
        <v>25</v>
      </c>
      <c r="M946" s="7" t="str">
        <f>VLOOKUP(A946,Sheet2!$A$2:$R$3432,5,0)</f>
        <v>MH14HP9561</v>
      </c>
      <c r="N946" s="5" t="s">
        <v>25</v>
      </c>
      <c r="O946" s="5" t="s">
        <v>25</v>
      </c>
      <c r="P946" s="6" t="s">
        <v>25</v>
      </c>
      <c r="Q946" s="5" t="s">
        <v>25</v>
      </c>
      <c r="R946" s="5" t="s">
        <v>25</v>
      </c>
      <c r="S946" s="7" t="str">
        <f>VLOOKUP(A946,Sheet2!$A$2:$R$3432,18,0)</f>
        <v/>
      </c>
      <c r="T946" s="7" t="str">
        <f>VLOOKUP(A946,Sheet2!$A$2:$R$3432,17,0)</f>
        <v>ME4JF50BEW008206</v>
      </c>
    </row>
    <row r="947" ht="15.75" customHeight="1">
      <c r="A947" s="3" t="s">
        <v>970</v>
      </c>
      <c r="B947" s="4" t="str">
        <f>VLOOKUP(A947,Sheet2!$A$2:$R$3432,2,0)</f>
        <v>2025-05-30 12:41:36</v>
      </c>
      <c r="C947" s="5" t="s">
        <v>25</v>
      </c>
      <c r="D947" s="6" t="s">
        <v>25</v>
      </c>
      <c r="E947" s="7">
        <f>VLOOKUP(A947,Sheet2!$A$2:$R$3432,4,0)</f>
        <v>9822338851</v>
      </c>
      <c r="F947" s="7" t="str">
        <f>VLOOKUP(A947,Sheet2!$A$2:$R$3432,3,0)</f>
        <v>AMIT DAPKE</v>
      </c>
      <c r="G947" s="5" t="s">
        <v>25</v>
      </c>
      <c r="H947" s="5" t="s">
        <v>25</v>
      </c>
      <c r="I947" s="5" t="s">
        <v>25</v>
      </c>
      <c r="J947" s="5" t="s">
        <v>25</v>
      </c>
      <c r="K947" s="7" t="str">
        <f>VLOOKUP(A947,Sheet2!$A$2:$R$3432,6,0)</f>
        <v>Yamaha Ray Z</v>
      </c>
      <c r="L947" s="5" t="s">
        <v>25</v>
      </c>
      <c r="M947" s="7" t="str">
        <f>VLOOKUP(A947,Sheet2!$A$2:$R$3432,5,0)</f>
        <v>MH14FY3450</v>
      </c>
      <c r="N947" s="5" t="s">
        <v>25</v>
      </c>
      <c r="O947" s="5" t="s">
        <v>25</v>
      </c>
      <c r="P947" s="6" t="s">
        <v>25</v>
      </c>
      <c r="Q947" s="5" t="s">
        <v>25</v>
      </c>
      <c r="R947" s="5" t="s">
        <v>25</v>
      </c>
      <c r="S947" s="7" t="str">
        <f>VLOOKUP(A947,Sheet2!$A$2:$R$3432,18,0)</f>
        <v/>
      </c>
      <c r="T947" s="7" t="str">
        <f>VLOOKUP(A947,Sheet2!$A$2:$R$3432,17,0)</f>
        <v/>
      </c>
    </row>
    <row r="948" ht="15.75" customHeight="1">
      <c r="A948" s="3" t="s">
        <v>971</v>
      </c>
      <c r="B948" s="4" t="str">
        <f>VLOOKUP(A948,Sheet2!$A$2:$R$3432,2,0)</f>
        <v>2025-05-30 20:46:33</v>
      </c>
      <c r="C948" s="5" t="s">
        <v>25</v>
      </c>
      <c r="D948" s="6" t="s">
        <v>25</v>
      </c>
      <c r="E948" s="7">
        <f>VLOOKUP(A948,Sheet2!$A$2:$R$3432,4,0)</f>
        <v>9822525596</v>
      </c>
      <c r="F948" s="7" t="str">
        <f>VLOOKUP(A948,Sheet2!$A$2:$R$3432,3,0)</f>
        <v>DEEPALI JAWDEKAR</v>
      </c>
      <c r="G948" s="5" t="s">
        <v>25</v>
      </c>
      <c r="H948" s="5" t="s">
        <v>25</v>
      </c>
      <c r="I948" s="5" t="s">
        <v>25</v>
      </c>
      <c r="J948" s="5" t="s">
        <v>25</v>
      </c>
      <c r="K948" s="7" t="str">
        <f>VLOOKUP(A948,Sheet2!$A$2:$R$3432,6,0)</f>
        <v>Hero Pleasure </v>
      </c>
      <c r="L948" s="5" t="s">
        <v>25</v>
      </c>
      <c r="M948" s="7" t="str">
        <f>VLOOKUP(A948,Sheet2!$A$2:$R$3432,5,0)</f>
        <v>MH12GJ4818</v>
      </c>
      <c r="N948" s="5" t="s">
        <v>25</v>
      </c>
      <c r="O948" s="5" t="s">
        <v>25</v>
      </c>
      <c r="P948" s="6" t="s">
        <v>25</v>
      </c>
      <c r="Q948" s="5" t="s">
        <v>25</v>
      </c>
      <c r="R948" s="5" t="s">
        <v>25</v>
      </c>
      <c r="S948" s="7" t="str">
        <f>VLOOKUP(A948,Sheet2!$A$2:$R$3432,18,0)</f>
        <v/>
      </c>
      <c r="T948" s="7" t="str">
        <f>VLOOKUP(A948,Sheet2!$A$2:$R$3432,17,0)</f>
        <v/>
      </c>
    </row>
    <row r="949" ht="15.75" customHeight="1">
      <c r="A949" s="3" t="s">
        <v>972</v>
      </c>
      <c r="B949" s="4" t="str">
        <f>VLOOKUP(A949,Sheet2!$A$2:$R$3432,2,0)</f>
        <v>2025-05-30 20:47:53</v>
      </c>
      <c r="C949" s="5" t="s">
        <v>25</v>
      </c>
      <c r="D949" s="6" t="s">
        <v>25</v>
      </c>
      <c r="E949" s="7">
        <f>VLOOKUP(A949,Sheet2!$A$2:$R$3432,4,0)</f>
        <v>8975042910</v>
      </c>
      <c r="F949" s="7" t="str">
        <f>VLOOKUP(A949,Sheet2!$A$2:$R$3432,3,0)</f>
        <v>Rohit </v>
      </c>
      <c r="G949" s="5" t="s">
        <v>25</v>
      </c>
      <c r="H949" s="5" t="s">
        <v>25</v>
      </c>
      <c r="I949" s="5" t="s">
        <v>25</v>
      </c>
      <c r="J949" s="5" t="s">
        <v>25</v>
      </c>
      <c r="K949" s="7" t="str">
        <f>VLOOKUP(A949,Sheet2!$A$2:$R$3432,6,0)</f>
        <v>Honda Hornet </v>
      </c>
      <c r="L949" s="5" t="s">
        <v>25</v>
      </c>
      <c r="M949" s="7" t="str">
        <f>VLOOKUP(A949,Sheet2!$A$2:$R$3432,5,0)</f>
        <v>MH12QP3130</v>
      </c>
      <c r="N949" s="5" t="s">
        <v>25</v>
      </c>
      <c r="O949" s="5" t="s">
        <v>25</v>
      </c>
      <c r="P949" s="6" t="s">
        <v>25</v>
      </c>
      <c r="Q949" s="5" t="s">
        <v>25</v>
      </c>
      <c r="R949" s="5" t="s">
        <v>25</v>
      </c>
      <c r="S949" s="5" t="str">
        <f>VLOOKUP(A949,Sheet2!$A$2:$R$3432,18,0)</f>
        <v>KC23E85011521</v>
      </c>
      <c r="T949" s="7" t="str">
        <f>VLOOKUP(A949,Sheet2!$A$2:$R$3432,17,0)</f>
        <v>ME4KC23KEJ8000550</v>
      </c>
    </row>
    <row r="950" ht="15.75" customHeight="1">
      <c r="A950" s="3" t="s">
        <v>973</v>
      </c>
      <c r="B950" s="4" t="str">
        <f>VLOOKUP(A950,Sheet2!$A$2:$R$3432,2,0)</f>
        <v>2025-05-30 20:48:20</v>
      </c>
      <c r="C950" s="5" t="s">
        <v>25</v>
      </c>
      <c r="D950" s="6" t="s">
        <v>25</v>
      </c>
      <c r="E950" s="7">
        <f>VLOOKUP(A950,Sheet2!$A$2:$R$3432,4,0)</f>
        <v>9860985548</v>
      </c>
      <c r="F950" s="7" t="str">
        <f>VLOOKUP(A950,Sheet2!$A$2:$R$3432,3,0)</f>
        <v>Rahul Mande</v>
      </c>
      <c r="G950" s="5" t="s">
        <v>25</v>
      </c>
      <c r="H950" s="5" t="s">
        <v>25</v>
      </c>
      <c r="I950" s="5" t="s">
        <v>25</v>
      </c>
      <c r="J950" s="5" t="s">
        <v>25</v>
      </c>
      <c r="K950" s="7" t="str">
        <f>VLOOKUP(A950,Sheet2!$A$2:$R$3432,6,0)</f>
        <v>Honda Shine </v>
      </c>
      <c r="L950" s="5" t="s">
        <v>25</v>
      </c>
      <c r="M950" s="7" t="str">
        <f>VLOOKUP(A950,Sheet2!$A$2:$R$3432,5,0)</f>
        <v>MH12JD0423</v>
      </c>
      <c r="N950" s="5" t="s">
        <v>25</v>
      </c>
      <c r="O950" s="5" t="s">
        <v>25</v>
      </c>
      <c r="P950" s="6" t="s">
        <v>25</v>
      </c>
      <c r="Q950" s="5" t="s">
        <v>25</v>
      </c>
      <c r="R950" s="5" t="s">
        <v>25</v>
      </c>
      <c r="S950" s="5" t="str">
        <f>VLOOKUP(A950,Sheet2!$A$2:$R$3432,18,0)</f>
        <v>JC36E7122684</v>
      </c>
      <c r="T950" s="7" t="str">
        <f>VLOOKUP(A950,Sheet2!$A$2:$R$3432,17,0)</f>
        <v>ME4JC36JFC7082544</v>
      </c>
    </row>
    <row r="951" ht="15.75" customHeight="1">
      <c r="A951" s="3" t="s">
        <v>974</v>
      </c>
      <c r="B951" s="4" t="str">
        <f>VLOOKUP(A951,Sheet2!$A$2:$R$3432,2,0)</f>
        <v>2025-05-30 21:00:18</v>
      </c>
      <c r="C951" s="5" t="s">
        <v>25</v>
      </c>
      <c r="D951" s="6" t="s">
        <v>25</v>
      </c>
      <c r="E951" s="7">
        <f>VLOOKUP(A951,Sheet2!$A$2:$R$3432,4,0)</f>
        <v>7620583643</v>
      </c>
      <c r="F951" s="7" t="str">
        <f>VLOOKUP(A951,Sheet2!$A$2:$R$3432,3,0)</f>
        <v>SHAHAJI DEOKAR</v>
      </c>
      <c r="G951" s="5" t="s">
        <v>25</v>
      </c>
      <c r="H951" s="5" t="s">
        <v>25</v>
      </c>
      <c r="I951" s="5" t="s">
        <v>25</v>
      </c>
      <c r="J951" s="5" t="s">
        <v>25</v>
      </c>
      <c r="K951" s="7" t="str">
        <f>VLOOKUP(A951,Sheet2!$A$2:$R$3432,6,0)</f>
        <v>Piaggio Vespa </v>
      </c>
      <c r="L951" s="5" t="s">
        <v>25</v>
      </c>
      <c r="M951" s="7" t="str">
        <f>VLOOKUP(A951,Sheet2!$A$2:$R$3432,5,0)</f>
        <v>MH14GL1169</v>
      </c>
      <c r="N951" s="5" t="s">
        <v>25</v>
      </c>
      <c r="O951" s="5" t="s">
        <v>25</v>
      </c>
      <c r="P951" s="6" t="s">
        <v>25</v>
      </c>
      <c r="Q951" s="5" t="s">
        <v>25</v>
      </c>
      <c r="R951" s="5" t="s">
        <v>25</v>
      </c>
      <c r="S951" s="7" t="str">
        <f>VLOOKUP(A951,Sheet2!$A$2:$R$3432,18,0)</f>
        <v/>
      </c>
      <c r="T951" s="7" t="str">
        <f>VLOOKUP(A951,Sheet2!$A$2:$R$3432,17,0)</f>
        <v/>
      </c>
    </row>
    <row r="952" ht="15.75" customHeight="1">
      <c r="A952" s="3" t="s">
        <v>975</v>
      </c>
      <c r="B952" s="4" t="str">
        <f>VLOOKUP(A952,Sheet2!$A$2:$R$3432,2,0)</f>
        <v>2025-05-30 21:01:54</v>
      </c>
      <c r="C952" s="5" t="s">
        <v>25</v>
      </c>
      <c r="D952" s="6" t="s">
        <v>25</v>
      </c>
      <c r="E952" s="7">
        <f>VLOOKUP(A952,Sheet2!$A$2:$R$3432,4,0)</f>
        <v>9766611011</v>
      </c>
      <c r="F952" s="7" t="str">
        <f>VLOOKUP(A952,Sheet2!$A$2:$R$3432,3,0)</f>
        <v>Atul Nandgude</v>
      </c>
      <c r="G952" s="5" t="s">
        <v>25</v>
      </c>
      <c r="H952" s="5" t="s">
        <v>25</v>
      </c>
      <c r="I952" s="5" t="s">
        <v>25</v>
      </c>
      <c r="J952" s="5" t="s">
        <v>25</v>
      </c>
      <c r="K952" s="7" t="str">
        <f>VLOOKUP(A952,Sheet2!$A$2:$R$3432,6,0)</f>
        <v>Suzuki Access 125</v>
      </c>
      <c r="L952" s="5" t="s">
        <v>25</v>
      </c>
      <c r="M952" s="7" t="str">
        <f>VLOOKUP(A952,Sheet2!$A$2:$R$3432,5,0)</f>
        <v>MH12QP1161</v>
      </c>
      <c r="N952" s="5" t="s">
        <v>25</v>
      </c>
      <c r="O952" s="5" t="s">
        <v>25</v>
      </c>
      <c r="P952" s="6" t="s">
        <v>25</v>
      </c>
      <c r="Q952" s="5" t="s">
        <v>25</v>
      </c>
      <c r="R952" s="5" t="s">
        <v>25</v>
      </c>
      <c r="S952" s="7" t="str">
        <f>VLOOKUP(A952,Sheet2!$A$2:$R$3432,18,0)</f>
        <v/>
      </c>
      <c r="T952" s="7" t="str">
        <f>VLOOKUP(A952,Sheet2!$A$2:$R$3432,17,0)</f>
        <v>MB8DP11ACJ87959</v>
      </c>
    </row>
    <row r="953" ht="15.75" customHeight="1">
      <c r="A953" s="3" t="s">
        <v>976</v>
      </c>
      <c r="B953" s="4" t="str">
        <f>VLOOKUP(A953,Sheet2!$A$2:$R$3432,2,0)</f>
        <v>2025-05-30 21:01:03</v>
      </c>
      <c r="C953" s="5" t="s">
        <v>25</v>
      </c>
      <c r="D953" s="6" t="s">
        <v>25</v>
      </c>
      <c r="E953" s="7">
        <f>VLOOKUP(A953,Sheet2!$A$2:$R$3432,4,0)</f>
        <v>8806489705</v>
      </c>
      <c r="F953" s="7" t="str">
        <f>VLOOKUP(A953,Sheet2!$A$2:$R$3432,3,0)</f>
        <v>Gopal</v>
      </c>
      <c r="G953" s="5" t="s">
        <v>25</v>
      </c>
      <c r="H953" s="5" t="s">
        <v>25</v>
      </c>
      <c r="I953" s="5" t="s">
        <v>25</v>
      </c>
      <c r="J953" s="5" t="s">
        <v>25</v>
      </c>
      <c r="K953" s="7" t="str">
        <f>VLOOKUP(A953,Sheet2!$A$2:$R$3432,6,0)</f>
        <v>Yamaha R15 </v>
      </c>
      <c r="L953" s="5" t="s">
        <v>25</v>
      </c>
      <c r="M953" s="7" t="str">
        <f>VLOOKUP(A953,Sheet2!$A$2:$R$3432,5,0)</f>
        <v>MH20FQ4212</v>
      </c>
      <c r="N953" s="5" t="s">
        <v>25</v>
      </c>
      <c r="O953" s="5" t="s">
        <v>25</v>
      </c>
      <c r="P953" s="6" t="s">
        <v>25</v>
      </c>
      <c r="Q953" s="5" t="s">
        <v>25</v>
      </c>
      <c r="R953" s="5" t="s">
        <v>25</v>
      </c>
      <c r="S953" s="7" t="str">
        <f>VLOOKUP(A953,Sheet2!$A$2:$R$3432,18,0)</f>
        <v/>
      </c>
      <c r="T953" s="7" t="str">
        <f>VLOOKUP(A953,Sheet2!$A$2:$R$3432,17,0)</f>
        <v/>
      </c>
    </row>
    <row r="954" ht="15.75" customHeight="1">
      <c r="A954" s="3" t="s">
        <v>977</v>
      </c>
      <c r="B954" s="4" t="str">
        <f>VLOOKUP(A954,Sheet2!$A$2:$R$3432,2,0)</f>
        <v>2025-05-30 20:59:58</v>
      </c>
      <c r="C954" s="5" t="s">
        <v>25</v>
      </c>
      <c r="D954" s="6" t="s">
        <v>25</v>
      </c>
      <c r="E954" s="7">
        <f>VLOOKUP(A954,Sheet2!$A$2:$R$3432,4,0)</f>
        <v>8446434116</v>
      </c>
      <c r="F954" s="7" t="str">
        <f>VLOOKUP(A954,Sheet2!$A$2:$R$3432,3,0)</f>
        <v>Yashodhan</v>
      </c>
      <c r="G954" s="5" t="s">
        <v>25</v>
      </c>
      <c r="H954" s="5" t="s">
        <v>25</v>
      </c>
      <c r="I954" s="5" t="s">
        <v>25</v>
      </c>
      <c r="J954" s="5" t="s">
        <v>25</v>
      </c>
      <c r="K954" s="7" t="str">
        <f>VLOOKUP(A954,Sheet2!$A$2:$R$3432,6,0)</f>
        <v>Yamaha FZ V3</v>
      </c>
      <c r="L954" s="5" t="s">
        <v>25</v>
      </c>
      <c r="M954" s="7" t="str">
        <f>VLOOKUP(A954,Sheet2!$A$2:$R$3432,5,0)</f>
        <v>MH15HV3731</v>
      </c>
      <c r="N954" s="5" t="s">
        <v>25</v>
      </c>
      <c r="O954" s="5" t="s">
        <v>25</v>
      </c>
      <c r="P954" s="6" t="s">
        <v>25</v>
      </c>
      <c r="Q954" s="5" t="s">
        <v>25</v>
      </c>
      <c r="R954" s="5" t="s">
        <v>25</v>
      </c>
      <c r="S954" s="7" t="str">
        <f>VLOOKUP(A954,Sheet2!$A$2:$R$3432,18,0)</f>
        <v/>
      </c>
      <c r="T954" s="7" t="str">
        <f>VLOOKUP(A954,Sheet2!$A$2:$R$3432,17,0)</f>
        <v/>
      </c>
    </row>
    <row r="955" ht="15.75" customHeight="1">
      <c r="A955" s="3" t="s">
        <v>978</v>
      </c>
      <c r="B955" s="4" t="str">
        <f>VLOOKUP(A955,Sheet2!$A$2:$R$3432,2,0)</f>
        <v>2025-05-30 20:45:06</v>
      </c>
      <c r="C955" s="5" t="s">
        <v>25</v>
      </c>
      <c r="D955" s="6" t="s">
        <v>25</v>
      </c>
      <c r="E955" s="7">
        <f>VLOOKUP(A955,Sheet2!$A$2:$R$3432,4,0)</f>
        <v>8308974699</v>
      </c>
      <c r="F955" s="7" t="str">
        <f>VLOOKUP(A955,Sheet2!$A$2:$R$3432,3,0)</f>
        <v> Matthew </v>
      </c>
      <c r="G955" s="5" t="s">
        <v>25</v>
      </c>
      <c r="H955" s="5" t="s">
        <v>25</v>
      </c>
      <c r="I955" s="5" t="s">
        <v>25</v>
      </c>
      <c r="J955" s="5" t="s">
        <v>25</v>
      </c>
      <c r="K955" s="7" t="str">
        <f>VLOOKUP(A955,Sheet2!$A$2:$R$3432,6,0)</f>
        <v>Yamaha Aerox 155</v>
      </c>
      <c r="L955" s="5" t="s">
        <v>25</v>
      </c>
      <c r="M955" s="7" t="str">
        <f>VLOOKUP(A955,Sheet2!$A$2:$R$3432,5,0)</f>
        <v>MH14KG8312</v>
      </c>
      <c r="N955" s="5" t="s">
        <v>25</v>
      </c>
      <c r="O955" s="5" t="s">
        <v>25</v>
      </c>
      <c r="P955" s="6" t="s">
        <v>25</v>
      </c>
      <c r="Q955" s="5" t="s">
        <v>25</v>
      </c>
      <c r="R955" s="5" t="s">
        <v>25</v>
      </c>
      <c r="S955" s="7" t="str">
        <f>VLOOKUP(A955,Sheet2!$A$2:$R$3432,18,0)</f>
        <v/>
      </c>
      <c r="T955" s="7" t="str">
        <f>VLOOKUP(A955,Sheet2!$A$2:$R$3432,17,0)</f>
        <v/>
      </c>
    </row>
    <row r="956" ht="15.75" customHeight="1">
      <c r="A956" s="3" t="s">
        <v>979</v>
      </c>
      <c r="B956" s="4" t="str">
        <f>VLOOKUP(A956,Sheet2!$A$2:$R$3432,2,0)</f>
        <v>2025-05-30 20:49:07</v>
      </c>
      <c r="C956" s="5" t="s">
        <v>25</v>
      </c>
      <c r="D956" s="6" t="s">
        <v>25</v>
      </c>
      <c r="E956" s="7">
        <f>VLOOKUP(A956,Sheet2!$A$2:$R$3432,4,0)</f>
        <v>9527040553</v>
      </c>
      <c r="F956" s="7" t="str">
        <f>VLOOKUP(A956,Sheet2!$A$2:$R$3432,3,0)</f>
        <v>Albart</v>
      </c>
      <c r="G956" s="5" t="s">
        <v>25</v>
      </c>
      <c r="H956" s="5" t="s">
        <v>25</v>
      </c>
      <c r="I956" s="5" t="s">
        <v>25</v>
      </c>
      <c r="J956" s="5" t="s">
        <v>25</v>
      </c>
      <c r="K956" s="7" t="str">
        <f>VLOOKUP(A956,Sheet2!$A$2:$R$3432,6,0)</f>
        <v>KTM RC 200</v>
      </c>
      <c r="L956" s="5" t="s">
        <v>25</v>
      </c>
      <c r="M956" s="7" t="str">
        <f>VLOOKUP(A956,Sheet2!$A$2:$R$3432,5,0)</f>
        <v>MH14FK1070</v>
      </c>
      <c r="N956" s="5" t="s">
        <v>25</v>
      </c>
      <c r="O956" s="5" t="s">
        <v>25</v>
      </c>
      <c r="P956" s="6" t="s">
        <v>25</v>
      </c>
      <c r="Q956" s="5" t="s">
        <v>25</v>
      </c>
      <c r="R956" s="5" t="s">
        <v>25</v>
      </c>
      <c r="S956" s="7" t="str">
        <f>VLOOKUP(A956,Sheet2!$A$2:$R$3432,18,0)</f>
        <v/>
      </c>
      <c r="T956" s="7" t="str">
        <f>VLOOKUP(A956,Sheet2!$A$2:$R$3432,17,0)</f>
        <v>MD2JYCH0FC038344</v>
      </c>
    </row>
    <row r="957" ht="15.75" customHeight="1">
      <c r="A957" s="3" t="s">
        <v>980</v>
      </c>
      <c r="B957" s="4" t="str">
        <f>VLOOKUP(A957,Sheet2!$A$2:$R$3432,2,0)</f>
        <v>2025-05-30 21:01:35</v>
      </c>
      <c r="C957" s="5" t="s">
        <v>25</v>
      </c>
      <c r="D957" s="6" t="s">
        <v>25</v>
      </c>
      <c r="E957" s="7">
        <f>VLOOKUP(A957,Sheet2!$A$2:$R$3432,4,0)</f>
        <v>8390888129</v>
      </c>
      <c r="F957" s="7" t="str">
        <f>VLOOKUP(A957,Sheet2!$A$2:$R$3432,3,0)</f>
        <v>Venkatesh </v>
      </c>
      <c r="G957" s="5" t="s">
        <v>25</v>
      </c>
      <c r="H957" s="5" t="s">
        <v>25</v>
      </c>
      <c r="I957" s="5" t="s">
        <v>25</v>
      </c>
      <c r="J957" s="5" t="s">
        <v>25</v>
      </c>
      <c r="K957" s="7" t="str">
        <f>VLOOKUP(A957,Sheet2!$A$2:$R$3432,6,0)</f>
        <v>Bajaj Pulsar 160 NS</v>
      </c>
      <c r="L957" s="5" t="s">
        <v>25</v>
      </c>
      <c r="M957" s="7" t="str">
        <f>VLOOKUP(A957,Sheet2!$A$2:$R$3432,5,0)</f>
        <v>MH24BG3320</v>
      </c>
      <c r="N957" s="5" t="s">
        <v>25</v>
      </c>
      <c r="O957" s="5" t="s">
        <v>25</v>
      </c>
      <c r="P957" s="6" t="s">
        <v>25</v>
      </c>
      <c r="Q957" s="5" t="s">
        <v>25</v>
      </c>
      <c r="R957" s="5" t="s">
        <v>25</v>
      </c>
      <c r="S957" s="5" t="str">
        <f>VLOOKUP(A957,Sheet2!$A$2:$R$3432,18,0)</f>
        <v>JLXCNB1596</v>
      </c>
      <c r="T957" s="7" t="str">
        <f>VLOOKUP(A957,Sheet2!$A$2:$R$3432,17,0)</f>
        <v>MDZA92DXONCB14418</v>
      </c>
    </row>
    <row r="958" ht="15.75" customHeight="1">
      <c r="A958" s="3" t="s">
        <v>981</v>
      </c>
      <c r="B958" s="4" t="str">
        <f>VLOOKUP(A958,Sheet2!$A$2:$R$3432,2,0)</f>
        <v>2025-05-30 20:57:40</v>
      </c>
      <c r="C958" s="5" t="s">
        <v>25</v>
      </c>
      <c r="D958" s="6" t="s">
        <v>25</v>
      </c>
      <c r="E958" s="7">
        <f>VLOOKUP(A958,Sheet2!$A$2:$R$3432,4,0)</f>
        <v>8237828630</v>
      </c>
      <c r="F958" s="7" t="str">
        <f>VLOOKUP(A958,Sheet2!$A$2:$R$3432,3,0)</f>
        <v>Ajay</v>
      </c>
      <c r="G958" s="5" t="s">
        <v>25</v>
      </c>
      <c r="H958" s="5" t="s">
        <v>25</v>
      </c>
      <c r="I958" s="5" t="s">
        <v>25</v>
      </c>
      <c r="J958" s="5" t="s">
        <v>25</v>
      </c>
      <c r="K958" s="7" t="str">
        <f>VLOOKUP(A958,Sheet2!$A$2:$R$3432,6,0)</f>
        <v>Bajaj Pulsar 150</v>
      </c>
      <c r="L958" s="5" t="s">
        <v>25</v>
      </c>
      <c r="M958" s="7" t="str">
        <f>VLOOKUP(A958,Sheet2!$A$2:$R$3432,5,0)</f>
        <v>MH20CL9845</v>
      </c>
      <c r="N958" s="5" t="s">
        <v>25</v>
      </c>
      <c r="O958" s="5" t="s">
        <v>25</v>
      </c>
      <c r="P958" s="6" t="s">
        <v>25</v>
      </c>
      <c r="Q958" s="5" t="s">
        <v>25</v>
      </c>
      <c r="R958" s="5" t="s">
        <v>25</v>
      </c>
      <c r="S958" s="5" t="str">
        <f>VLOOKUP(A958,Sheet2!$A$2:$R$3432,18,0)</f>
        <v>DHZCCC14640</v>
      </c>
      <c r="T958" s="7" t="str">
        <f>VLOOKUP(A958,Sheet2!$A$2:$R$3432,17,0)</f>
        <v>MD2A11CZ8CCG77590</v>
      </c>
    </row>
    <row r="959" ht="15.75" customHeight="1">
      <c r="A959" s="3" t="s">
        <v>982</v>
      </c>
      <c r="B959" s="4" t="str">
        <f>VLOOKUP(A959,Sheet2!$A$2:$R$3432,2,0)</f>
        <v>2025-05-30 20:58:47</v>
      </c>
      <c r="C959" s="5" t="s">
        <v>25</v>
      </c>
      <c r="D959" s="6" t="s">
        <v>25</v>
      </c>
      <c r="E959" s="7">
        <f>VLOOKUP(A959,Sheet2!$A$2:$R$3432,4,0)</f>
        <v>7304070707</v>
      </c>
      <c r="F959" s="7" t="str">
        <f>VLOOKUP(A959,Sheet2!$A$2:$R$3432,3,0)</f>
        <v>Girish Jadhav</v>
      </c>
      <c r="G959" s="5" t="s">
        <v>25</v>
      </c>
      <c r="H959" s="5" t="s">
        <v>25</v>
      </c>
      <c r="I959" s="5" t="s">
        <v>25</v>
      </c>
      <c r="J959" s="5" t="s">
        <v>25</v>
      </c>
      <c r="K959" s="7" t="str">
        <f>VLOOKUP(A959,Sheet2!$A$2:$R$3432,6,0)</f>
        <v>Bajaj Avenger 160 S ABS</v>
      </c>
      <c r="L959" s="5" t="s">
        <v>25</v>
      </c>
      <c r="M959" s="7" t="str">
        <f>VLOOKUP(A959,Sheet2!$A$2:$R$3432,5,0)</f>
        <v>MH14HV9323</v>
      </c>
      <c r="N959" s="5" t="s">
        <v>25</v>
      </c>
      <c r="O959" s="5" t="s">
        <v>25</v>
      </c>
      <c r="P959" s="6" t="s">
        <v>25</v>
      </c>
      <c r="Q959" s="5" t="s">
        <v>25</v>
      </c>
      <c r="R959" s="5" t="s">
        <v>25</v>
      </c>
      <c r="S959" s="5" t="str">
        <f>VLOOKUP(A959,Sheet2!$A$2:$R$3432,18,0)</f>
        <v>PDYCK005304</v>
      </c>
      <c r="T959" s="7" t="str">
        <f>VLOOKUP(A959,Sheet2!$A$2:$R$3432,17,0)</f>
        <v>MD2B57CY9KCG26696</v>
      </c>
    </row>
    <row r="960" ht="15.75" customHeight="1">
      <c r="A960" s="3" t="s">
        <v>983</v>
      </c>
      <c r="B960" s="4" t="str">
        <f>VLOOKUP(A960,Sheet2!$A$2:$R$3432,2,0)</f>
        <v>2025-05-30 21:01:22</v>
      </c>
      <c r="C960" s="5" t="s">
        <v>25</v>
      </c>
      <c r="D960" s="6" t="s">
        <v>25</v>
      </c>
      <c r="E960" s="7">
        <f>VLOOKUP(A960,Sheet2!$A$2:$R$3432,4,0)</f>
        <v>9604687980</v>
      </c>
      <c r="F960" s="7" t="str">
        <f>VLOOKUP(A960,Sheet2!$A$2:$R$3432,3,0)</f>
        <v>Pramod</v>
      </c>
      <c r="G960" s="5" t="s">
        <v>25</v>
      </c>
      <c r="H960" s="5" t="s">
        <v>25</v>
      </c>
      <c r="I960" s="5" t="s">
        <v>25</v>
      </c>
      <c r="J960" s="5" t="s">
        <v>25</v>
      </c>
      <c r="K960" s="7" t="str">
        <f>VLOOKUP(A960,Sheet2!$A$2:$R$3432,6,0)</f>
        <v>Honda Shine </v>
      </c>
      <c r="L960" s="5" t="s">
        <v>25</v>
      </c>
      <c r="M960" s="7" t="str">
        <f>VLOOKUP(A960,Sheet2!$A$2:$R$3432,5,0)</f>
        <v>MH14HT8245</v>
      </c>
      <c r="N960" s="5" t="s">
        <v>25</v>
      </c>
      <c r="O960" s="5" t="s">
        <v>25</v>
      </c>
      <c r="P960" s="6" t="s">
        <v>25</v>
      </c>
      <c r="Q960" s="5" t="s">
        <v>25</v>
      </c>
      <c r="R960" s="5" t="s">
        <v>25</v>
      </c>
      <c r="S960" s="7" t="str">
        <f>VLOOKUP(A960,Sheet2!$A$2:$R$3432,18,0)</f>
        <v/>
      </c>
      <c r="T960" s="7" t="str">
        <f>VLOOKUP(A960,Sheet2!$A$2:$R$3432,17,0)</f>
        <v/>
      </c>
    </row>
    <row r="961" ht="15.75" customHeight="1">
      <c r="A961" s="3" t="s">
        <v>984</v>
      </c>
      <c r="B961" s="4" t="str">
        <f>VLOOKUP(A961,Sheet2!$A$2:$R$3432,2,0)</f>
        <v>2024-10-09 13:23:18</v>
      </c>
      <c r="C961" s="5" t="s">
        <v>25</v>
      </c>
      <c r="D961" s="6" t="s">
        <v>25</v>
      </c>
      <c r="E961" s="7">
        <f>VLOOKUP(A961,Sheet2!$A$2:$R$3432,4,0)</f>
        <v>7558701609</v>
      </c>
      <c r="F961" s="7" t="str">
        <f>VLOOKUP(A961,Sheet2!$A$2:$R$3432,3,0)</f>
        <v>PUNIT PATIL</v>
      </c>
      <c r="G961" s="5" t="s">
        <v>25</v>
      </c>
      <c r="H961" s="5" t="s">
        <v>25</v>
      </c>
      <c r="I961" s="5" t="s">
        <v>25</v>
      </c>
      <c r="J961" s="5" t="s">
        <v>25</v>
      </c>
      <c r="K961" s="7" t="str">
        <f>VLOOKUP(A961,Sheet2!$A$2:$R$3432,6,0)</f>
        <v>Yamaha FZ S 2.0</v>
      </c>
      <c r="L961" s="5" t="s">
        <v>25</v>
      </c>
      <c r="M961" s="7" t="str">
        <f>VLOOKUP(A961,Sheet2!$A$2:$R$3432,5,0)</f>
        <v>MH12NG6585</v>
      </c>
      <c r="N961" s="5" t="s">
        <v>25</v>
      </c>
      <c r="O961" s="5" t="s">
        <v>25</v>
      </c>
      <c r="P961" s="6" t="s">
        <v>25</v>
      </c>
      <c r="Q961" s="5" t="s">
        <v>25</v>
      </c>
      <c r="R961" s="5" t="s">
        <v>25</v>
      </c>
      <c r="S961" s="5" t="str">
        <f>VLOOKUP(A961,Sheet2!$A$2:$R$3432,18,0)</f>
        <v>63C8E0338466</v>
      </c>
      <c r="T961" s="7" t="str">
        <f>VLOOKUP(A961,Sheet2!$A$2:$R$3432,17,0)</f>
        <v>ME1RG072660221884</v>
      </c>
    </row>
    <row r="962" ht="15.75" customHeight="1">
      <c r="A962" s="3" t="s">
        <v>985</v>
      </c>
      <c r="B962" s="4" t="str">
        <f>VLOOKUP(A962,Sheet2!$A$2:$R$3432,2,0)</f>
        <v>2024-10-09 13:28:05</v>
      </c>
      <c r="C962" s="5" t="s">
        <v>25</v>
      </c>
      <c r="D962" s="6" t="s">
        <v>25</v>
      </c>
      <c r="E962" s="7">
        <f>VLOOKUP(A962,Sheet2!$A$2:$R$3432,4,0)</f>
        <v>7030962464</v>
      </c>
      <c r="F962" s="7" t="str">
        <f>VLOOKUP(A962,Sheet2!$A$2:$R$3432,3,0)</f>
        <v>KAUSTUBH </v>
      </c>
      <c r="G962" s="5" t="s">
        <v>25</v>
      </c>
      <c r="H962" s="5" t="s">
        <v>25</v>
      </c>
      <c r="I962" s="5" t="s">
        <v>25</v>
      </c>
      <c r="J962" s="5" t="s">
        <v>25</v>
      </c>
      <c r="K962" s="7" t="str">
        <f>VLOOKUP(A962,Sheet2!$A$2:$R$3432,6,0)</f>
        <v>Honda Dio New</v>
      </c>
      <c r="L962" s="5" t="s">
        <v>25</v>
      </c>
      <c r="M962" s="7" t="str">
        <f>VLOOKUP(A962,Sheet2!$A$2:$R$3432,5,0)</f>
        <v>MH14JG7531</v>
      </c>
      <c r="N962" s="5" t="s">
        <v>25</v>
      </c>
      <c r="O962" s="5" t="s">
        <v>25</v>
      </c>
      <c r="P962" s="6" t="s">
        <v>25</v>
      </c>
      <c r="Q962" s="5" t="s">
        <v>25</v>
      </c>
      <c r="R962" s="5" t="s">
        <v>25</v>
      </c>
      <c r="S962" s="5" t="str">
        <f>VLOOKUP(A962,Sheet2!$A$2:$R$3432,18,0)</f>
        <v>JF98EW1002334</v>
      </c>
      <c r="T962" s="7" t="str">
        <f>VLOOKUP(A962,Sheet2!$A$2:$R$3432,17,0)</f>
        <v>ME4JF984BLW001779</v>
      </c>
    </row>
    <row r="963" ht="15.75" customHeight="1">
      <c r="A963" s="3" t="s">
        <v>986</v>
      </c>
      <c r="B963" s="4" t="str">
        <f>VLOOKUP(A963,Sheet2!$A$2:$R$3432,2,0)</f>
        <v>2024-10-09 20:55:35</v>
      </c>
      <c r="C963" s="5" t="s">
        <v>25</v>
      </c>
      <c r="D963" s="6" t="s">
        <v>25</v>
      </c>
      <c r="E963" s="7">
        <f>VLOOKUP(A963,Sheet2!$A$2:$R$3432,4,0)</f>
        <v>9656720772</v>
      </c>
      <c r="F963" s="7" t="str">
        <f>VLOOKUP(A963,Sheet2!$A$2:$R$3432,3,0)</f>
        <v>Shal</v>
      </c>
      <c r="G963" s="5" t="s">
        <v>25</v>
      </c>
      <c r="H963" s="5" t="s">
        <v>25</v>
      </c>
      <c r="I963" s="5" t="s">
        <v>25</v>
      </c>
      <c r="J963" s="5" t="s">
        <v>25</v>
      </c>
      <c r="K963" s="7" t="str">
        <f>VLOOKUP(A963,Sheet2!$A$2:$R$3432,6,0)</f>
        <v>Yamaha FZ S 2.0</v>
      </c>
      <c r="L963" s="5" t="s">
        <v>25</v>
      </c>
      <c r="M963" s="7" t="str">
        <f>VLOOKUP(A963,Sheet2!$A$2:$R$3432,5,0)</f>
        <v>KL46Q2413</v>
      </c>
      <c r="N963" s="5" t="s">
        <v>25</v>
      </c>
      <c r="O963" s="5" t="s">
        <v>25</v>
      </c>
      <c r="P963" s="6" t="s">
        <v>25</v>
      </c>
      <c r="Q963" s="5" t="s">
        <v>25</v>
      </c>
      <c r="R963" s="5" t="s">
        <v>25</v>
      </c>
      <c r="S963" s="7" t="str">
        <f>VLOOKUP(A963,Sheet2!$A$2:$R$3432,18,0)</f>
        <v/>
      </c>
      <c r="T963" s="7" t="str">
        <f>VLOOKUP(A963,Sheet2!$A$2:$R$3432,17,0)</f>
        <v/>
      </c>
    </row>
    <row r="964" ht="15.75" customHeight="1">
      <c r="A964" s="3" t="s">
        <v>987</v>
      </c>
      <c r="B964" s="4" t="str">
        <f>VLOOKUP(A964,Sheet2!$A$2:$R$3432,2,0)</f>
        <v>2024-10-09 20:05:24</v>
      </c>
      <c r="C964" s="5" t="s">
        <v>25</v>
      </c>
      <c r="D964" s="6" t="s">
        <v>25</v>
      </c>
      <c r="E964" s="7">
        <f>VLOOKUP(A964,Sheet2!$A$2:$R$3432,4,0)</f>
        <v>8149688146</v>
      </c>
      <c r="F964" s="7" t="str">
        <f>VLOOKUP(A964,Sheet2!$A$2:$R$3432,3,0)</f>
        <v>Aniket</v>
      </c>
      <c r="G964" s="5" t="s">
        <v>25</v>
      </c>
      <c r="H964" s="5" t="s">
        <v>25</v>
      </c>
      <c r="I964" s="5" t="s">
        <v>25</v>
      </c>
      <c r="J964" s="5" t="s">
        <v>25</v>
      </c>
      <c r="K964" s="7" t="str">
        <f>VLOOKUP(A964,Sheet2!$A$2:$R$3432,6,0)</f>
        <v>TVS Apache RTR 200 4V</v>
      </c>
      <c r="L964" s="5" t="s">
        <v>25</v>
      </c>
      <c r="M964" s="7" t="str">
        <f>VLOOKUP(A964,Sheet2!$A$2:$R$3432,5,0)</f>
        <v>MH12SG1357</v>
      </c>
      <c r="N964" s="5" t="s">
        <v>25</v>
      </c>
      <c r="O964" s="5" t="s">
        <v>25</v>
      </c>
      <c r="P964" s="6" t="s">
        <v>25</v>
      </c>
      <c r="Q964" s="5" t="s">
        <v>25</v>
      </c>
      <c r="R964" s="5" t="s">
        <v>25</v>
      </c>
      <c r="S964" s="7" t="str">
        <f>VLOOKUP(A964,Sheet2!$A$2:$R$3432,18,0)</f>
        <v/>
      </c>
      <c r="T964" s="7" t="str">
        <f>VLOOKUP(A964,Sheet2!$A$2:$R$3432,17,0)</f>
        <v/>
      </c>
    </row>
    <row r="965" ht="15.75" customHeight="1">
      <c r="A965" s="3" t="s">
        <v>988</v>
      </c>
      <c r="B965" s="4" t="str">
        <f>VLOOKUP(A965,Sheet2!$A$2:$R$3432,2,0)</f>
        <v>2024-10-09 19:54:02</v>
      </c>
      <c r="C965" s="5" t="s">
        <v>25</v>
      </c>
      <c r="D965" s="6" t="s">
        <v>25</v>
      </c>
      <c r="E965" s="7">
        <f>VLOOKUP(A965,Sheet2!$A$2:$R$3432,4,0)</f>
        <v>8669082369</v>
      </c>
      <c r="F965" s="7" t="str">
        <f>VLOOKUP(A965,Sheet2!$A$2:$R$3432,3,0)</f>
        <v>BHUSHAN </v>
      </c>
      <c r="G965" s="5" t="s">
        <v>25</v>
      </c>
      <c r="H965" s="5" t="s">
        <v>25</v>
      </c>
      <c r="I965" s="5" t="s">
        <v>25</v>
      </c>
      <c r="J965" s="5" t="s">
        <v>25</v>
      </c>
      <c r="K965" s="7" t="str">
        <f>VLOOKUP(A965,Sheet2!$A$2:$R$3432,6,0)</f>
        <v>Honda Livo </v>
      </c>
      <c r="L965" s="5" t="s">
        <v>25</v>
      </c>
      <c r="M965" s="7" t="str">
        <f>VLOOKUP(A965,Sheet2!$A$2:$R$3432,5,0)</f>
        <v>MH12MH6242</v>
      </c>
      <c r="N965" s="5" t="s">
        <v>25</v>
      </c>
      <c r="O965" s="5" t="s">
        <v>25</v>
      </c>
      <c r="P965" s="6" t="s">
        <v>25</v>
      </c>
      <c r="Q965" s="5" t="s">
        <v>25</v>
      </c>
      <c r="R965" s="5" t="s">
        <v>25</v>
      </c>
      <c r="S965" s="5" t="str">
        <f>VLOOKUP(A965,Sheet2!$A$2:$R$3432,18,0)</f>
        <v>JC7ET0017661</v>
      </c>
      <c r="T965" s="7" t="str">
        <f>VLOOKUP(A965,Sheet2!$A$2:$R$3432,17,0)</f>
        <v>ME4JC711JFT011659</v>
      </c>
    </row>
    <row r="966" ht="15.75" customHeight="1">
      <c r="A966" s="3" t="s">
        <v>989</v>
      </c>
      <c r="B966" s="4" t="str">
        <f>VLOOKUP(A966,Sheet2!$A$2:$R$3432,2,0)</f>
        <v>2024-10-09 13:26:21</v>
      </c>
      <c r="C966" s="5" t="s">
        <v>25</v>
      </c>
      <c r="D966" s="6" t="s">
        <v>25</v>
      </c>
      <c r="E966" s="7">
        <f>VLOOKUP(A966,Sheet2!$A$2:$R$3432,4,0)</f>
        <v>7020245148</v>
      </c>
      <c r="F966" s="7" t="str">
        <f>VLOOKUP(A966,Sheet2!$A$2:$R$3432,3,0)</f>
        <v>Inamdar</v>
      </c>
      <c r="G966" s="5" t="s">
        <v>25</v>
      </c>
      <c r="H966" s="5" t="s">
        <v>25</v>
      </c>
      <c r="I966" s="5" t="s">
        <v>25</v>
      </c>
      <c r="J966" s="5" t="s">
        <v>25</v>
      </c>
      <c r="K966" s="7" t="str">
        <f>VLOOKUP(A966,Sheet2!$A$2:$R$3432,6,0)</f>
        <v>Honda Activa 6G</v>
      </c>
      <c r="L966" s="5" t="s">
        <v>25</v>
      </c>
      <c r="M966" s="7" t="str">
        <f>VLOOKUP(A966,Sheet2!$A$2:$R$3432,5,0)</f>
        <v>MH14JV0748</v>
      </c>
      <c r="N966" s="5" t="s">
        <v>25</v>
      </c>
      <c r="O966" s="5" t="s">
        <v>25</v>
      </c>
      <c r="P966" s="6" t="s">
        <v>25</v>
      </c>
      <c r="Q966" s="5" t="s">
        <v>25</v>
      </c>
      <c r="R966" s="5" t="s">
        <v>25</v>
      </c>
      <c r="S966" s="5" t="str">
        <f>VLOOKUP(A966,Sheet2!$A$2:$R$3432,18,0)</f>
        <v>JF91EG5009860</v>
      </c>
      <c r="T966" s="7" t="str">
        <f>VLOOKUP(A966,Sheet2!$A$2:$R$3432,17,0)</f>
        <v>ME4JF918JMG009507</v>
      </c>
    </row>
    <row r="967" ht="15.75" customHeight="1">
      <c r="A967" s="3" t="s">
        <v>990</v>
      </c>
      <c r="B967" s="4" t="str">
        <f>VLOOKUP(A967,Sheet2!$A$2:$R$3432,2,0)</f>
        <v>2024-10-09 20:08:06</v>
      </c>
      <c r="C967" s="5" t="s">
        <v>25</v>
      </c>
      <c r="D967" s="6" t="s">
        <v>25</v>
      </c>
      <c r="E967" s="7">
        <f>VLOOKUP(A967,Sheet2!$A$2:$R$3432,4,0)</f>
        <v>9969018369</v>
      </c>
      <c r="F967" s="7" t="str">
        <f>VLOOKUP(A967,Sheet2!$A$2:$R$3432,3,0)</f>
        <v>Bipin</v>
      </c>
      <c r="G967" s="5" t="s">
        <v>25</v>
      </c>
      <c r="H967" s="5" t="s">
        <v>25</v>
      </c>
      <c r="I967" s="5" t="s">
        <v>25</v>
      </c>
      <c r="J967" s="5" t="s">
        <v>25</v>
      </c>
      <c r="K967" s="7" t="str">
        <f>VLOOKUP(A967,Sheet2!$A$2:$R$3432,6,0)</f>
        <v>Honda Activa 5G</v>
      </c>
      <c r="L967" s="5" t="s">
        <v>25</v>
      </c>
      <c r="M967" s="7" t="str">
        <f>VLOOKUP(A967,Sheet2!$A$2:$R$3432,5,0)</f>
        <v>MH14KZ3708</v>
      </c>
      <c r="N967" s="5" t="s">
        <v>25</v>
      </c>
      <c r="O967" s="5" t="s">
        <v>25</v>
      </c>
      <c r="P967" s="6" t="s">
        <v>25</v>
      </c>
      <c r="Q967" s="5" t="s">
        <v>25</v>
      </c>
      <c r="R967" s="5" t="s">
        <v>25</v>
      </c>
      <c r="S967" s="5" t="str">
        <f>VLOOKUP(A967,Sheet2!$A$2:$R$3432,18,0)</f>
        <v>JF50ET7107835</v>
      </c>
      <c r="T967" s="7" t="str">
        <f>VLOOKUP(A967,Sheet2!$A$2:$R$3432,17,0)</f>
        <v>ME4JF50ADJT107807</v>
      </c>
    </row>
    <row r="968" ht="15.75" customHeight="1">
      <c r="A968" s="3" t="s">
        <v>991</v>
      </c>
      <c r="B968" s="4" t="str">
        <f>VLOOKUP(A968,Sheet2!$A$2:$R$3432,2,0)</f>
        <v>2024-10-09 13:25:36</v>
      </c>
      <c r="C968" s="5" t="s">
        <v>25</v>
      </c>
      <c r="D968" s="6" t="s">
        <v>25</v>
      </c>
      <c r="E968" s="7">
        <f>VLOOKUP(A968,Sheet2!$A$2:$R$3432,4,0)</f>
        <v>9850380576</v>
      </c>
      <c r="F968" s="7" t="str">
        <f>VLOOKUP(A968,Sheet2!$A$2:$R$3432,3,0)</f>
        <v>Pandit Patekari</v>
      </c>
      <c r="G968" s="5" t="s">
        <v>25</v>
      </c>
      <c r="H968" s="5" t="s">
        <v>25</v>
      </c>
      <c r="I968" s="5" t="s">
        <v>25</v>
      </c>
      <c r="J968" s="5" t="s">
        <v>25</v>
      </c>
      <c r="K968" s="7" t="str">
        <f>VLOOKUP(A968,Sheet2!$A$2:$R$3432,6,0)</f>
        <v>Hero Pleasure </v>
      </c>
      <c r="L968" s="5" t="s">
        <v>25</v>
      </c>
      <c r="M968" s="7" t="str">
        <f>VLOOKUP(A968,Sheet2!$A$2:$R$3432,5,0)</f>
        <v>MH14DD2179</v>
      </c>
      <c r="N968" s="5" t="s">
        <v>25</v>
      </c>
      <c r="O968" s="5" t="s">
        <v>25</v>
      </c>
      <c r="P968" s="6" t="s">
        <v>25</v>
      </c>
      <c r="Q968" s="5" t="s">
        <v>25</v>
      </c>
      <c r="R968" s="5" t="s">
        <v>25</v>
      </c>
      <c r="S968" s="5" t="str">
        <f>VLOOKUP(A968,Sheet2!$A$2:$R$3432,18,0)</f>
        <v>JF16EBEG106157</v>
      </c>
      <c r="T968" s="7" t="str">
        <f>VLOOKUP(A968,Sheet2!$A$2:$R$3432,17,0)</f>
        <v>MBLJF16EDBGM106338</v>
      </c>
    </row>
    <row r="969" ht="15.75" customHeight="1">
      <c r="A969" s="3" t="s">
        <v>992</v>
      </c>
      <c r="B969" s="4" t="str">
        <f>VLOOKUP(A969,Sheet2!$A$2:$R$3432,2,0)</f>
        <v>2024-10-09 13:31:22</v>
      </c>
      <c r="C969" s="5" t="s">
        <v>25</v>
      </c>
      <c r="D969" s="6" t="s">
        <v>25</v>
      </c>
      <c r="E969" s="7">
        <f>VLOOKUP(A969,Sheet2!$A$2:$R$3432,4,0)</f>
        <v>9604141797</v>
      </c>
      <c r="F969" s="7" t="str">
        <f>VLOOKUP(A969,Sheet2!$A$2:$R$3432,3,0)</f>
        <v>Sanjay Joshi</v>
      </c>
      <c r="G969" s="5" t="s">
        <v>25</v>
      </c>
      <c r="H969" s="5" t="s">
        <v>25</v>
      </c>
      <c r="I969" s="5" t="s">
        <v>25</v>
      </c>
      <c r="J969" s="5" t="s">
        <v>25</v>
      </c>
      <c r="K969" s="7" t="str">
        <f>VLOOKUP(A969,Sheet2!$A$2:$R$3432,6,0)</f>
        <v>Hero Splendor </v>
      </c>
      <c r="L969" s="5" t="s">
        <v>25</v>
      </c>
      <c r="M969" s="7" t="str">
        <f>VLOOKUP(A969,Sheet2!$A$2:$R$3432,5,0)</f>
        <v>MH14BB4962</v>
      </c>
      <c r="N969" s="5" t="s">
        <v>25</v>
      </c>
      <c r="O969" s="5" t="s">
        <v>25</v>
      </c>
      <c r="P969" s="6" t="s">
        <v>25</v>
      </c>
      <c r="Q969" s="5" t="s">
        <v>25</v>
      </c>
      <c r="R969" s="5" t="s">
        <v>25</v>
      </c>
      <c r="S969" s="7" t="str">
        <f>VLOOKUP(A969,Sheet2!$A$2:$R$3432,18,0)</f>
        <v/>
      </c>
      <c r="T969" s="7" t="str">
        <f>VLOOKUP(A969,Sheet2!$A$2:$R$3432,17,0)</f>
        <v>07C23F11529</v>
      </c>
    </row>
    <row r="970" ht="15.75" customHeight="1">
      <c r="A970" s="3" t="s">
        <v>993</v>
      </c>
      <c r="B970" s="4" t="str">
        <f>VLOOKUP(A970,Sheet2!$A$2:$R$3432,2,0)</f>
        <v>2024-10-09 13:33:25</v>
      </c>
      <c r="C970" s="5" t="s">
        <v>25</v>
      </c>
      <c r="D970" s="6" t="s">
        <v>25</v>
      </c>
      <c r="E970" s="7">
        <f>VLOOKUP(A970,Sheet2!$A$2:$R$3432,4,0)</f>
        <v>9158976668</v>
      </c>
      <c r="F970" s="7" t="str">
        <f>VLOOKUP(A970,Sheet2!$A$2:$R$3432,3,0)</f>
        <v>ANUJ GUPTA</v>
      </c>
      <c r="G970" s="5" t="s">
        <v>25</v>
      </c>
      <c r="H970" s="5" t="s">
        <v>25</v>
      </c>
      <c r="I970" s="5" t="s">
        <v>25</v>
      </c>
      <c r="J970" s="5" t="s">
        <v>25</v>
      </c>
      <c r="K970" s="7" t="str">
        <f>VLOOKUP(A970,Sheet2!$A$2:$R$3432,6,0)</f>
        <v>Bajaj Avenger 220 Cruise</v>
      </c>
      <c r="L970" s="5" t="s">
        <v>25</v>
      </c>
      <c r="M970" s="7" t="str">
        <f>VLOOKUP(A970,Sheet2!$A$2:$R$3432,5,0)</f>
        <v>MH12MP4216</v>
      </c>
      <c r="N970" s="5" t="s">
        <v>25</v>
      </c>
      <c r="O970" s="5" t="s">
        <v>25</v>
      </c>
      <c r="P970" s="6" t="s">
        <v>25</v>
      </c>
      <c r="Q970" s="5" t="s">
        <v>25</v>
      </c>
      <c r="R970" s="5" t="s">
        <v>25</v>
      </c>
      <c r="S970" s="5" t="str">
        <f>VLOOKUP(A970,Sheet2!$A$2:$R$3432,18,0)</f>
        <v>PDZCEJ576552</v>
      </c>
      <c r="T970" s="7" t="str">
        <f>VLOOKUP(A970,Sheet2!$A$2:$R$3432,17,0)</f>
        <v>MD2A22E2ECJ82311</v>
      </c>
    </row>
    <row r="971" ht="15.75" customHeight="1">
      <c r="A971" s="3" t="s">
        <v>994</v>
      </c>
      <c r="B971" s="4" t="str">
        <f>VLOOKUP(A971,Sheet2!$A$2:$R$3432,2,0)</f>
        <v>2024-10-09 13:34:29</v>
      </c>
      <c r="C971" s="5" t="s">
        <v>25</v>
      </c>
      <c r="D971" s="6" t="s">
        <v>25</v>
      </c>
      <c r="E971" s="7">
        <f>VLOOKUP(A971,Sheet2!$A$2:$R$3432,4,0)</f>
        <v>9028512702</v>
      </c>
      <c r="F971" s="7" t="str">
        <f>VLOOKUP(A971,Sheet2!$A$2:$R$3432,3,0)</f>
        <v>Abbas</v>
      </c>
      <c r="G971" s="5" t="s">
        <v>25</v>
      </c>
      <c r="H971" s="5" t="s">
        <v>25</v>
      </c>
      <c r="I971" s="5" t="s">
        <v>25</v>
      </c>
      <c r="J971" s="5" t="s">
        <v>25</v>
      </c>
      <c r="K971" s="7" t="str">
        <f>VLOOKUP(A971,Sheet2!$A$2:$R$3432,6,0)</f>
        <v>TVS Jupiter </v>
      </c>
      <c r="L971" s="5" t="s">
        <v>25</v>
      </c>
      <c r="M971" s="7" t="str">
        <f>VLOOKUP(A971,Sheet2!$A$2:$R$3432,5,0)</f>
        <v>MH14HN5332</v>
      </c>
      <c r="N971" s="5" t="s">
        <v>25</v>
      </c>
      <c r="O971" s="5" t="s">
        <v>25</v>
      </c>
      <c r="P971" s="6" t="s">
        <v>25</v>
      </c>
      <c r="Q971" s="5" t="s">
        <v>25</v>
      </c>
      <c r="R971" s="5" t="s">
        <v>25</v>
      </c>
      <c r="S971" s="5" t="str">
        <f>VLOOKUP(A971,Sheet2!$A$2:$R$3432,18,0)</f>
        <v>DG4BK1106673</v>
      </c>
      <c r="T971" s="7" t="str">
        <f>VLOOKUP(A971,Sheet2!$A$2:$R$3432,17,0)</f>
        <v>MD626EG48K1B14981</v>
      </c>
    </row>
    <row r="972" ht="15.75" customHeight="1">
      <c r="A972" s="3" t="s">
        <v>995</v>
      </c>
      <c r="B972" s="4" t="str">
        <f>VLOOKUP(A972,Sheet2!$A$2:$R$3432,2,0)</f>
        <v>2024-10-09 13:29:25</v>
      </c>
      <c r="C972" s="5" t="s">
        <v>25</v>
      </c>
      <c r="D972" s="6" t="s">
        <v>25</v>
      </c>
      <c r="E972" s="7">
        <f>VLOOKUP(A972,Sheet2!$A$2:$R$3432,4,0)</f>
        <v>8421486664</v>
      </c>
      <c r="F972" s="7" t="str">
        <f>VLOOKUP(A972,Sheet2!$A$2:$R$3432,3,0)</f>
        <v>SAURABH JATHAR</v>
      </c>
      <c r="G972" s="5" t="s">
        <v>25</v>
      </c>
      <c r="H972" s="5" t="s">
        <v>25</v>
      </c>
      <c r="I972" s="5" t="s">
        <v>25</v>
      </c>
      <c r="J972" s="5" t="s">
        <v>25</v>
      </c>
      <c r="K972" s="7" t="str">
        <f>VLOOKUP(A972,Sheet2!$A$2:$R$3432,6,0)</f>
        <v>Honda Unicorn 150</v>
      </c>
      <c r="L972" s="5" t="s">
        <v>25</v>
      </c>
      <c r="M972" s="7" t="str">
        <f>VLOOKUP(A972,Sheet2!$A$2:$R$3432,5,0)</f>
        <v>MH11CV9278</v>
      </c>
      <c r="N972" s="5" t="s">
        <v>25</v>
      </c>
      <c r="O972" s="5" t="s">
        <v>25</v>
      </c>
      <c r="P972" s="6" t="s">
        <v>25</v>
      </c>
      <c r="Q972" s="5" t="s">
        <v>25</v>
      </c>
      <c r="R972" s="5" t="s">
        <v>25</v>
      </c>
      <c r="S972" s="5" t="str">
        <f>VLOOKUP(A972,Sheet2!$A$2:$R$3432,18,0)</f>
        <v>KC31EA1189586</v>
      </c>
      <c r="T972" s="7" t="str">
        <f>VLOOKUP(A972,Sheet2!$A$2:$R$3432,17,0)</f>
        <v>ME4KC31MKA19583</v>
      </c>
    </row>
    <row r="973" ht="15.75" customHeight="1">
      <c r="A973" s="3" t="s">
        <v>996</v>
      </c>
      <c r="B973" s="4" t="str">
        <f>VLOOKUP(A973,Sheet2!$A$2:$R$3432,2,0)</f>
        <v>2024-10-09 13:30:45</v>
      </c>
      <c r="C973" s="5" t="s">
        <v>25</v>
      </c>
      <c r="D973" s="6" t="s">
        <v>25</v>
      </c>
      <c r="E973" s="7">
        <f>VLOOKUP(A973,Sheet2!$A$2:$R$3432,4,0)</f>
        <v>9028426690</v>
      </c>
      <c r="F973" s="7" t="str">
        <f>VLOOKUP(A973,Sheet2!$A$2:$R$3432,3,0)</f>
        <v>AMRUTA </v>
      </c>
      <c r="G973" s="5" t="s">
        <v>25</v>
      </c>
      <c r="H973" s="5" t="s">
        <v>25</v>
      </c>
      <c r="I973" s="5" t="s">
        <v>25</v>
      </c>
      <c r="J973" s="5" t="s">
        <v>25</v>
      </c>
      <c r="K973" s="7" t="str">
        <f>VLOOKUP(A973,Sheet2!$A$2:$R$3432,6,0)</f>
        <v>Hero Pleasure </v>
      </c>
      <c r="L973" s="5" t="s">
        <v>25</v>
      </c>
      <c r="M973" s="7" t="str">
        <f>VLOOKUP(A973,Sheet2!$A$2:$R$3432,5,0)</f>
        <v>MH12KF2553</v>
      </c>
      <c r="N973" s="5" t="s">
        <v>25</v>
      </c>
      <c r="O973" s="5" t="s">
        <v>25</v>
      </c>
      <c r="P973" s="6" t="s">
        <v>25</v>
      </c>
      <c r="Q973" s="5" t="s">
        <v>25</v>
      </c>
      <c r="R973" s="5" t="s">
        <v>25</v>
      </c>
      <c r="S973" s="7" t="str">
        <f>VLOOKUP(A973,Sheet2!$A$2:$R$3432,18,0)</f>
        <v/>
      </c>
      <c r="T973" s="7" t="str">
        <f>VLOOKUP(A973,Sheet2!$A$2:$R$3432,17,0)</f>
        <v/>
      </c>
    </row>
    <row r="974" ht="15.75" customHeight="1">
      <c r="A974" s="3" t="s">
        <v>997</v>
      </c>
      <c r="B974" s="4" t="str">
        <f>VLOOKUP(A974,Sheet2!$A$2:$R$3432,2,0)</f>
        <v>2024-10-09 13:32:20</v>
      </c>
      <c r="C974" s="5" t="s">
        <v>25</v>
      </c>
      <c r="D974" s="6" t="s">
        <v>25</v>
      </c>
      <c r="E974" s="7">
        <f>VLOOKUP(A974,Sheet2!$A$2:$R$3432,4,0)</f>
        <v>8668610879</v>
      </c>
      <c r="F974" s="7" t="str">
        <f>VLOOKUP(A974,Sheet2!$A$2:$R$3432,3,0)</f>
        <v>LAXMIKANT </v>
      </c>
      <c r="G974" s="5" t="s">
        <v>25</v>
      </c>
      <c r="H974" s="5" t="s">
        <v>25</v>
      </c>
      <c r="I974" s="5" t="s">
        <v>25</v>
      </c>
      <c r="J974" s="5" t="s">
        <v>25</v>
      </c>
      <c r="K974" s="7" t="str">
        <f>VLOOKUP(A974,Sheet2!$A$2:$R$3432,6,0)</f>
        <v>Honda Activa 3G</v>
      </c>
      <c r="L974" s="5" t="s">
        <v>25</v>
      </c>
      <c r="M974" s="7" t="str">
        <f>VLOOKUP(A974,Sheet2!$A$2:$R$3432,5,0)</f>
        <v>MH16BS1559</v>
      </c>
      <c r="N974" s="5" t="s">
        <v>25</v>
      </c>
      <c r="O974" s="5" t="s">
        <v>25</v>
      </c>
      <c r="P974" s="6" t="s">
        <v>25</v>
      </c>
      <c r="Q974" s="5" t="s">
        <v>25</v>
      </c>
      <c r="R974" s="5" t="s">
        <v>25</v>
      </c>
      <c r="S974" s="5" t="str">
        <f>VLOOKUP(A974,Sheet2!$A$2:$R$3432,18,0)</f>
        <v>JF50ET3630768</v>
      </c>
      <c r="T974" s="7" t="str">
        <f>VLOOKUP(A974,Sheet2!$A$2:$R$3432,17,0)</f>
        <v>ME4JF50544TG430642</v>
      </c>
    </row>
    <row r="975" ht="15.75" customHeight="1">
      <c r="A975" s="3" t="s">
        <v>998</v>
      </c>
      <c r="B975" s="4" t="str">
        <f>VLOOKUP(A975,Sheet2!$A$2:$R$3432,2,0)</f>
        <v>2024-10-09 13:35:36</v>
      </c>
      <c r="C975" s="5" t="s">
        <v>25</v>
      </c>
      <c r="D975" s="6" t="s">
        <v>25</v>
      </c>
      <c r="E975" s="7">
        <f>VLOOKUP(A975,Sheet2!$A$2:$R$3432,4,0)</f>
        <v>9921390651</v>
      </c>
      <c r="F975" s="7" t="str">
        <f>VLOOKUP(A975,Sheet2!$A$2:$R$3432,3,0)</f>
        <v>Ravindra Shelke</v>
      </c>
      <c r="G975" s="5" t="s">
        <v>25</v>
      </c>
      <c r="H975" s="5" t="s">
        <v>25</v>
      </c>
      <c r="I975" s="5" t="s">
        <v>25</v>
      </c>
      <c r="J975" s="5" t="s">
        <v>25</v>
      </c>
      <c r="K975" s="7" t="str">
        <f>VLOOKUP(A975,Sheet2!$A$2:$R$3432,6,0)</f>
        <v>Suzuki Gixxer </v>
      </c>
      <c r="L975" s="5" t="s">
        <v>25</v>
      </c>
      <c r="M975" s="7" t="str">
        <f>VLOOKUP(A975,Sheet2!$A$2:$R$3432,5,0)</f>
        <v>MH12LX8222</v>
      </c>
      <c r="N975" s="5" t="s">
        <v>25</v>
      </c>
      <c r="O975" s="5" t="s">
        <v>25</v>
      </c>
      <c r="P975" s="6" t="s">
        <v>25</v>
      </c>
      <c r="Q975" s="5" t="s">
        <v>25</v>
      </c>
      <c r="R975" s="5" t="s">
        <v>25</v>
      </c>
      <c r="S975" s="5" t="str">
        <f>VLOOKUP(A975,Sheet2!$A$2:$R$3432,18,0)</f>
        <v>BGA1132230</v>
      </c>
      <c r="T975" s="7" t="str">
        <f>VLOOKUP(A975,Sheet2!$A$2:$R$3432,17,0)</f>
        <v>MB8NG4BAAF8135081</v>
      </c>
    </row>
    <row r="976" ht="15.75" customHeight="1">
      <c r="A976" s="3" t="s">
        <v>999</v>
      </c>
      <c r="B976" s="4" t="str">
        <f>VLOOKUP(A976,Sheet2!$A$2:$R$3432,2,0)</f>
        <v>2024-10-09 20:52:26</v>
      </c>
      <c r="C976" s="5" t="s">
        <v>25</v>
      </c>
      <c r="D976" s="6" t="s">
        <v>25</v>
      </c>
      <c r="E976" s="7">
        <f>VLOOKUP(A976,Sheet2!$A$2:$R$3432,4,0)</f>
        <v>8624080590</v>
      </c>
      <c r="F976" s="7" t="str">
        <f>VLOOKUP(A976,Sheet2!$A$2:$R$3432,3,0)</f>
        <v>ROSHAN FAUNDE </v>
      </c>
      <c r="G976" s="5" t="s">
        <v>25</v>
      </c>
      <c r="H976" s="5" t="s">
        <v>25</v>
      </c>
      <c r="I976" s="5" t="s">
        <v>25</v>
      </c>
      <c r="J976" s="5" t="s">
        <v>25</v>
      </c>
      <c r="K976" s="7" t="str">
        <f>VLOOKUP(A976,Sheet2!$A$2:$R$3432,6,0)</f>
        <v>Yamaha FZ S 2.0</v>
      </c>
      <c r="L976" s="5" t="s">
        <v>25</v>
      </c>
      <c r="M976" s="7" t="str">
        <f>VLOOKUP(A976,Sheet2!$A$2:$R$3432,5,0)</f>
        <v>MH12SH6806</v>
      </c>
      <c r="N976" s="5" t="s">
        <v>25</v>
      </c>
      <c r="O976" s="5" t="s">
        <v>25</v>
      </c>
      <c r="P976" s="6" t="s">
        <v>25</v>
      </c>
      <c r="Q976" s="5" t="s">
        <v>25</v>
      </c>
      <c r="R976" s="5" t="s">
        <v>25</v>
      </c>
      <c r="S976" s="7" t="str">
        <f>VLOOKUP(A976,Sheet2!$A$2:$R$3432,18,0)</f>
        <v/>
      </c>
      <c r="T976" s="7" t="str">
        <f>VLOOKUP(A976,Sheet2!$A$2:$R$3432,17,0)</f>
        <v/>
      </c>
    </row>
    <row r="977" ht="15.75" customHeight="1">
      <c r="A977" s="3" t="s">
        <v>1000</v>
      </c>
      <c r="B977" s="4" t="str">
        <f>VLOOKUP(A977,Sheet2!$A$2:$R$3432,2,0)</f>
        <v>2024-10-09 19:52:31</v>
      </c>
      <c r="C977" s="5" t="s">
        <v>25</v>
      </c>
      <c r="D977" s="6" t="s">
        <v>25</v>
      </c>
      <c r="E977" s="7">
        <f>VLOOKUP(A977,Sheet2!$A$2:$R$3432,4,0)</f>
        <v>7587488517</v>
      </c>
      <c r="F977" s="7" t="str">
        <f>VLOOKUP(A977,Sheet2!$A$2:$R$3432,3,0)</f>
        <v>SURESH PATEL</v>
      </c>
      <c r="G977" s="5" t="s">
        <v>25</v>
      </c>
      <c r="H977" s="5" t="s">
        <v>25</v>
      </c>
      <c r="I977" s="5" t="s">
        <v>25</v>
      </c>
      <c r="J977" s="5" t="s">
        <v>25</v>
      </c>
      <c r="K977" s="7" t="str">
        <f>VLOOKUP(A977,Sheet2!$A$2:$R$3432,6,0)</f>
        <v>Bajaj Pulsar 135</v>
      </c>
      <c r="L977" s="5" t="s">
        <v>25</v>
      </c>
      <c r="M977" s="7" t="str">
        <f>VLOOKUP(A977,Sheet2!$A$2:$R$3432,5,0)</f>
        <v>GG12AA0363</v>
      </c>
      <c r="N977" s="5" t="s">
        <v>25</v>
      </c>
      <c r="O977" s="5" t="s">
        <v>25</v>
      </c>
      <c r="P977" s="6" t="s">
        <v>25</v>
      </c>
      <c r="Q977" s="5" t="s">
        <v>25</v>
      </c>
      <c r="R977" s="5" t="s">
        <v>25</v>
      </c>
      <c r="S977" s="5" t="str">
        <f>VLOOKUP(A977,Sheet2!$A$2:$R$3432,18,0)</f>
        <v>JECB5M85746</v>
      </c>
      <c r="T977" s="7" t="str">
        <f>VLOOKUP(A977,Sheet2!$A$2:$R$3432,17,0)</f>
        <v>MD2JDJDZZ9CM8532</v>
      </c>
    </row>
    <row r="978" ht="15.75" customHeight="1">
      <c r="A978" s="3" t="s">
        <v>1001</v>
      </c>
      <c r="B978" s="4" t="str">
        <f>VLOOKUP(A978,Sheet2!$A$2:$R$3432,2,0)</f>
        <v>2024-10-09 19:50:14</v>
      </c>
      <c r="C978" s="5" t="s">
        <v>25</v>
      </c>
      <c r="D978" s="6" t="s">
        <v>25</v>
      </c>
      <c r="E978" s="7">
        <f>VLOOKUP(A978,Sheet2!$A$2:$R$3432,4,0)</f>
        <v>9527092900</v>
      </c>
      <c r="F978" s="7" t="str">
        <f>VLOOKUP(A978,Sheet2!$A$2:$R$3432,3,0)</f>
        <v>SUMIT</v>
      </c>
      <c r="G978" s="5" t="s">
        <v>25</v>
      </c>
      <c r="H978" s="5" t="s">
        <v>25</v>
      </c>
      <c r="I978" s="5" t="s">
        <v>25</v>
      </c>
      <c r="J978" s="5" t="s">
        <v>25</v>
      </c>
      <c r="K978" s="7" t="str">
        <f>VLOOKUP(A978,Sheet2!$A$2:$R$3432,6,0)</f>
        <v>Hero Xtreme Sports</v>
      </c>
      <c r="L978" s="5" t="s">
        <v>25</v>
      </c>
      <c r="M978" s="7" t="str">
        <f>VLOOKUP(A978,Sheet2!$A$2:$R$3432,5,0)</f>
        <v>MH12GG5958</v>
      </c>
      <c r="N978" s="5" t="s">
        <v>25</v>
      </c>
      <c r="O978" s="5" t="s">
        <v>25</v>
      </c>
      <c r="P978" s="6" t="s">
        <v>25</v>
      </c>
      <c r="Q978" s="5" t="s">
        <v>25</v>
      </c>
      <c r="R978" s="5" t="s">
        <v>25</v>
      </c>
      <c r="S978" s="7" t="str">
        <f>VLOOKUP(A978,Sheet2!$A$2:$R$3432,18,0)</f>
        <v/>
      </c>
      <c r="T978" s="7" t="str">
        <f>VLOOKUP(A978,Sheet2!$A$2:$R$3432,17,0)</f>
        <v/>
      </c>
    </row>
    <row r="979" ht="15.75" customHeight="1">
      <c r="A979" s="3" t="s">
        <v>1002</v>
      </c>
      <c r="B979" s="4" t="str">
        <f>VLOOKUP(A979,Sheet2!$A$2:$R$3432,2,0)</f>
        <v>2024-10-09 19:55:14</v>
      </c>
      <c r="C979" s="5" t="s">
        <v>25</v>
      </c>
      <c r="D979" s="6" t="s">
        <v>25</v>
      </c>
      <c r="E979" s="7">
        <f>VLOOKUP(A979,Sheet2!$A$2:$R$3432,4,0)</f>
        <v>9970058268</v>
      </c>
      <c r="F979" s="7" t="str">
        <f>VLOOKUP(A979,Sheet2!$A$2:$R$3432,3,0)</f>
        <v>RAJU YADAV</v>
      </c>
      <c r="G979" s="5" t="s">
        <v>25</v>
      </c>
      <c r="H979" s="5" t="s">
        <v>25</v>
      </c>
      <c r="I979" s="5" t="s">
        <v>25</v>
      </c>
      <c r="J979" s="5" t="s">
        <v>25</v>
      </c>
      <c r="K979" s="7" t="str">
        <f>VLOOKUP(A979,Sheet2!$A$2:$R$3432,6,0)</f>
        <v>TVS Jupiter </v>
      </c>
      <c r="L979" s="5" t="s">
        <v>25</v>
      </c>
      <c r="M979" s="7" t="str">
        <f>VLOOKUP(A979,Sheet2!$A$2:$R$3432,5,0)</f>
        <v>MH14HL5827</v>
      </c>
      <c r="N979" s="5" t="s">
        <v>25</v>
      </c>
      <c r="O979" s="5" t="s">
        <v>25</v>
      </c>
      <c r="P979" s="6" t="s">
        <v>25</v>
      </c>
      <c r="Q979" s="5" t="s">
        <v>25</v>
      </c>
      <c r="R979" s="5" t="s">
        <v>25</v>
      </c>
      <c r="S979" s="5" t="str">
        <f>VLOOKUP(A979,Sheet2!$A$2:$R$3432,18,0)</f>
        <v>EG4AK1537147</v>
      </c>
      <c r="T979" s="7" t="str">
        <f>VLOOKUP(A979,Sheet2!$A$2:$R$3432,17,0)</f>
        <v>MD626EG41K1A27150</v>
      </c>
    </row>
    <row r="980" ht="15.75" customHeight="1">
      <c r="A980" s="3" t="s">
        <v>1003</v>
      </c>
      <c r="B980" s="4" t="str">
        <f>VLOOKUP(A980,Sheet2!$A$2:$R$3432,2,0)</f>
        <v>2024-10-09 19:56:48</v>
      </c>
      <c r="C980" s="5" t="s">
        <v>25</v>
      </c>
      <c r="D980" s="6" t="s">
        <v>25</v>
      </c>
      <c r="E980" s="7">
        <f>VLOOKUP(A980,Sheet2!$A$2:$R$3432,4,0)</f>
        <v>8698124780</v>
      </c>
      <c r="F980" s="7" t="str">
        <f>VLOOKUP(A980,Sheet2!$A$2:$R$3432,3,0)</f>
        <v>Vimal</v>
      </c>
      <c r="G980" s="5" t="s">
        <v>25</v>
      </c>
      <c r="H980" s="5" t="s">
        <v>25</v>
      </c>
      <c r="I980" s="5" t="s">
        <v>25</v>
      </c>
      <c r="J980" s="5" t="s">
        <v>25</v>
      </c>
      <c r="K980" s="7" t="str">
        <f>VLOOKUP(A980,Sheet2!$A$2:$R$3432,6,0)</f>
        <v>Bajaj Pulsar 200 NS</v>
      </c>
      <c r="L980" s="5" t="s">
        <v>25</v>
      </c>
      <c r="M980" s="7" t="str">
        <f>VLOOKUP(A980,Sheet2!$A$2:$R$3432,5,0)</f>
        <v>MH14DQ3361</v>
      </c>
      <c r="N980" s="5" t="s">
        <v>25</v>
      </c>
      <c r="O980" s="5" t="s">
        <v>25</v>
      </c>
      <c r="P980" s="6" t="s">
        <v>25</v>
      </c>
      <c r="Q980" s="5" t="s">
        <v>25</v>
      </c>
      <c r="R980" s="5" t="s">
        <v>25</v>
      </c>
      <c r="S980" s="5" t="str">
        <f>VLOOKUP(A980,Sheet2!$A$2:$R$3432,18,0)</f>
        <v>JLZCCC01933</v>
      </c>
      <c r="T980" s="7" t="str">
        <f>VLOOKUP(A980,Sheet2!$A$2:$R$3432,17,0)</f>
        <v>MD2A36FZ1CCDO2305</v>
      </c>
    </row>
    <row r="981" ht="15.75" customHeight="1">
      <c r="A981" s="3" t="s">
        <v>1004</v>
      </c>
      <c r="B981" s="4" t="str">
        <f>VLOOKUP(A981,Sheet2!$A$2:$R$3432,2,0)</f>
        <v>2024-10-09 19:58:20</v>
      </c>
      <c r="C981" s="5" t="s">
        <v>25</v>
      </c>
      <c r="D981" s="6" t="s">
        <v>25</v>
      </c>
      <c r="E981" s="7">
        <f>VLOOKUP(A981,Sheet2!$A$2:$R$3432,4,0)</f>
        <v>8329124368</v>
      </c>
      <c r="F981" s="7" t="str">
        <f>VLOOKUP(A981,Sheet2!$A$2:$R$3432,3,0)</f>
        <v>Adesh</v>
      </c>
      <c r="G981" s="5" t="s">
        <v>25</v>
      </c>
      <c r="H981" s="5" t="s">
        <v>25</v>
      </c>
      <c r="I981" s="5" t="s">
        <v>25</v>
      </c>
      <c r="J981" s="5" t="s">
        <v>25</v>
      </c>
      <c r="K981" s="7" t="str">
        <f>VLOOKUP(A981,Sheet2!$A$2:$R$3432,6,0)</f>
        <v>Bajaj Pulsar 200 NS</v>
      </c>
      <c r="L981" s="5" t="s">
        <v>25</v>
      </c>
      <c r="M981" s="7" t="str">
        <f>VLOOKUP(A981,Sheet2!$A$2:$R$3432,5,0)</f>
        <v>MH08AW2429</v>
      </c>
      <c r="N981" s="5" t="s">
        <v>25</v>
      </c>
      <c r="O981" s="5" t="s">
        <v>25</v>
      </c>
      <c r="P981" s="6" t="s">
        <v>25</v>
      </c>
      <c r="Q981" s="5" t="s">
        <v>25</v>
      </c>
      <c r="R981" s="5" t="s">
        <v>25</v>
      </c>
      <c r="S981" s="5" t="str">
        <f>VLOOKUP(A981,Sheet2!$A$2:$R$3432,18,0)</f>
        <v>JLXCLL02294</v>
      </c>
      <c r="T981" s="7" t="str">
        <f>VLOOKUP(A981,Sheet2!$A$2:$R$3432,17,0)</f>
        <v>MD2AG30EXLCL1511319</v>
      </c>
    </row>
    <row r="982" ht="15.75" customHeight="1">
      <c r="A982" s="3" t="s">
        <v>1005</v>
      </c>
      <c r="B982" s="4" t="str">
        <f>VLOOKUP(A982,Sheet2!$A$2:$R$3432,2,0)</f>
        <v>2024-10-09 19:59:49</v>
      </c>
      <c r="C982" s="5" t="s">
        <v>25</v>
      </c>
      <c r="D982" s="6" t="s">
        <v>25</v>
      </c>
      <c r="E982" s="7">
        <f>VLOOKUP(A982,Sheet2!$A$2:$R$3432,4,0)</f>
        <v>8871618082</v>
      </c>
      <c r="F982" s="7" t="str">
        <f>VLOOKUP(A982,Sheet2!$A$2:$R$3432,3,0)</f>
        <v>Astha</v>
      </c>
      <c r="G982" s="5" t="s">
        <v>25</v>
      </c>
      <c r="H982" s="5" t="s">
        <v>25</v>
      </c>
      <c r="I982" s="5" t="s">
        <v>25</v>
      </c>
      <c r="J982" s="5" t="s">
        <v>25</v>
      </c>
      <c r="K982" s="7" t="str">
        <f>VLOOKUP(A982,Sheet2!$A$2:$R$3432,6,0)</f>
        <v>TVS Jupiter </v>
      </c>
      <c r="L982" s="5" t="s">
        <v>25</v>
      </c>
      <c r="M982" s="7" t="str">
        <f>VLOOKUP(A982,Sheet2!$A$2:$R$3432,5,0)</f>
        <v>MH40CK6436</v>
      </c>
      <c r="N982" s="5" t="s">
        <v>25</v>
      </c>
      <c r="O982" s="5" t="s">
        <v>25</v>
      </c>
      <c r="P982" s="6" t="s">
        <v>25</v>
      </c>
      <c r="Q982" s="5" t="s">
        <v>25</v>
      </c>
      <c r="R982" s="5" t="s">
        <v>25</v>
      </c>
      <c r="S982" s="5" t="str">
        <f>VLOOKUP(A982,Sheet2!$A$2:$R$3432,18,0)</f>
        <v>GG5BN1611977</v>
      </c>
      <c r="T982" s="7" t="str">
        <f>VLOOKUP(A982,Sheet2!$A$2:$R$3432,17,0)</f>
        <v>MD62EG57N1C00103</v>
      </c>
    </row>
    <row r="983" ht="15.75" customHeight="1">
      <c r="A983" s="3" t="s">
        <v>1006</v>
      </c>
      <c r="B983" s="4" t="str">
        <f>VLOOKUP(A983,Sheet2!$A$2:$R$3432,2,0)</f>
        <v>2024-10-09 20:06:20</v>
      </c>
      <c r="C983" s="5" t="s">
        <v>25</v>
      </c>
      <c r="D983" s="6" t="s">
        <v>25</v>
      </c>
      <c r="E983" s="7">
        <f>VLOOKUP(A983,Sheet2!$A$2:$R$3432,4,0)</f>
        <v>8698534478</v>
      </c>
      <c r="F983" s="7" t="str">
        <f>VLOOKUP(A983,Sheet2!$A$2:$R$3432,3,0)</f>
        <v>ATHARVA JOSHI</v>
      </c>
      <c r="G983" s="5" t="s">
        <v>25</v>
      </c>
      <c r="H983" s="5" t="s">
        <v>25</v>
      </c>
      <c r="I983" s="5" t="s">
        <v>25</v>
      </c>
      <c r="J983" s="5" t="s">
        <v>25</v>
      </c>
      <c r="K983" s="7" t="str">
        <f>VLOOKUP(A983,Sheet2!$A$2:$R$3432,6,0)</f>
        <v>TVS Ntorq 125</v>
      </c>
      <c r="L983" s="5" t="s">
        <v>25</v>
      </c>
      <c r="M983" s="7" t="str">
        <f>VLOOKUP(A983,Sheet2!$A$2:$R$3432,5,0)</f>
        <v>MH14HA7139</v>
      </c>
      <c r="N983" s="5" t="s">
        <v>25</v>
      </c>
      <c r="O983" s="5" t="s">
        <v>25</v>
      </c>
      <c r="P983" s="6" t="s">
        <v>25</v>
      </c>
      <c r="Q983" s="5" t="s">
        <v>25</v>
      </c>
      <c r="R983" s="5" t="s">
        <v>25</v>
      </c>
      <c r="S983" s="5" t="str">
        <f>VLOOKUP(A983,Sheet2!$A$2:$R$3432,18,0)</f>
        <v>AG7E12X164207</v>
      </c>
      <c r="T983" s="7" t="str">
        <f>VLOOKUP(A983,Sheet2!$A$2:$R$3432,17,0)</f>
        <v>MD626H67052E40219</v>
      </c>
    </row>
    <row r="984" ht="15.75" customHeight="1">
      <c r="A984" s="3" t="s">
        <v>1007</v>
      </c>
      <c r="B984" s="4" t="str">
        <f>VLOOKUP(A984,Sheet2!$A$2:$R$3432,2,0)</f>
        <v>2024-10-09 20:00:37</v>
      </c>
      <c r="C984" s="5" t="s">
        <v>25</v>
      </c>
      <c r="D984" s="6" t="s">
        <v>25</v>
      </c>
      <c r="E984" s="7">
        <f>VLOOKUP(A984,Sheet2!$A$2:$R$3432,4,0)</f>
        <v>9881007260</v>
      </c>
      <c r="F984" s="7" t="str">
        <f>VLOOKUP(A984,Sheet2!$A$2:$R$3432,3,0)</f>
        <v>SHAILESH </v>
      </c>
      <c r="G984" s="5" t="s">
        <v>25</v>
      </c>
      <c r="H984" s="5" t="s">
        <v>25</v>
      </c>
      <c r="I984" s="5" t="s">
        <v>25</v>
      </c>
      <c r="J984" s="5" t="s">
        <v>25</v>
      </c>
      <c r="K984" s="7" t="str">
        <f>VLOOKUP(A984,Sheet2!$A$2:$R$3432,6,0)</f>
        <v>Piaggio Vespa </v>
      </c>
      <c r="L984" s="5" t="s">
        <v>25</v>
      </c>
      <c r="M984" s="7" t="str">
        <f>VLOOKUP(A984,Sheet2!$A$2:$R$3432,5,0)</f>
        <v>MH12MM912</v>
      </c>
      <c r="N984" s="5" t="s">
        <v>25</v>
      </c>
      <c r="O984" s="5" t="s">
        <v>25</v>
      </c>
      <c r="P984" s="6" t="s">
        <v>25</v>
      </c>
      <c r="Q984" s="5" t="s">
        <v>25</v>
      </c>
      <c r="R984" s="5" t="s">
        <v>25</v>
      </c>
      <c r="S984" s="5" t="str">
        <f>VLOOKUP(A984,Sheet2!$A$2:$R$3432,18,0)</f>
        <v>MG49M311G558</v>
      </c>
      <c r="T984" s="7" t="str">
        <f>VLOOKUP(A984,Sheet2!$A$2:$R$3432,17,0)</f>
        <v>MET0000DAATJ002460</v>
      </c>
    </row>
    <row r="985" ht="15.75" customHeight="1">
      <c r="A985" s="3" t="s">
        <v>1008</v>
      </c>
      <c r="B985" s="4" t="str">
        <f>VLOOKUP(A985,Sheet2!$A$2:$R$3432,2,0)</f>
        <v>2024-10-09 20:03:15</v>
      </c>
      <c r="C985" s="5" t="s">
        <v>25</v>
      </c>
      <c r="D985" s="6" t="s">
        <v>25</v>
      </c>
      <c r="E985" s="7">
        <f>VLOOKUP(A985,Sheet2!$A$2:$R$3432,4,0)</f>
        <v>9860196088</v>
      </c>
      <c r="F985" s="7" t="str">
        <f>VLOOKUP(A985,Sheet2!$A$2:$R$3432,3,0)</f>
        <v>REVAN KARADI</v>
      </c>
      <c r="G985" s="5" t="s">
        <v>25</v>
      </c>
      <c r="H985" s="5" t="s">
        <v>25</v>
      </c>
      <c r="I985" s="5" t="s">
        <v>25</v>
      </c>
      <c r="J985" s="5" t="s">
        <v>25</v>
      </c>
      <c r="K985" s="7" t="str">
        <f>VLOOKUP(A985,Sheet2!$A$2:$R$3432,6,0)</f>
        <v>Bajaj Discover 100</v>
      </c>
      <c r="L985" s="5" t="s">
        <v>25</v>
      </c>
      <c r="M985" s="7" t="str">
        <f>VLOOKUP(A985,Sheet2!$A$2:$R$3432,5,0)</f>
        <v>MH12JB2174</v>
      </c>
      <c r="N985" s="5" t="s">
        <v>25</v>
      </c>
      <c r="O985" s="5" t="s">
        <v>25</v>
      </c>
      <c r="P985" s="6" t="s">
        <v>25</v>
      </c>
      <c r="Q985" s="5" t="s">
        <v>25</v>
      </c>
      <c r="R985" s="5" t="s">
        <v>25</v>
      </c>
      <c r="S985" s="5" t="str">
        <f>VLOOKUP(A985,Sheet2!$A$2:$R$3432,18,0)</f>
        <v>JBZWCC75201</v>
      </c>
      <c r="T985" s="7" t="str">
        <f>VLOOKUP(A985,Sheet2!$A$2:$R$3432,17,0)</f>
        <v>MDZA14AZ7CWC08011</v>
      </c>
    </row>
    <row r="986" ht="15.75" customHeight="1">
      <c r="A986" s="3" t="s">
        <v>1009</v>
      </c>
      <c r="B986" s="4" t="str">
        <f>VLOOKUP(A986,Sheet2!$A$2:$R$3432,2,0)</f>
        <v>2024-10-09 20:01:07</v>
      </c>
      <c r="C986" s="5" t="s">
        <v>25</v>
      </c>
      <c r="D986" s="6" t="s">
        <v>25</v>
      </c>
      <c r="E986" s="7">
        <f>VLOOKUP(A986,Sheet2!$A$2:$R$3432,4,0)</f>
        <v>8237582429</v>
      </c>
      <c r="F986" s="7" t="str">
        <f>VLOOKUP(A986,Sheet2!$A$2:$R$3432,3,0)</f>
        <v>NISHANT</v>
      </c>
      <c r="G986" s="5" t="s">
        <v>25</v>
      </c>
      <c r="H986" s="5" t="s">
        <v>25</v>
      </c>
      <c r="I986" s="5" t="s">
        <v>25</v>
      </c>
      <c r="J986" s="5" t="s">
        <v>25</v>
      </c>
      <c r="K986" s="7" t="str">
        <f>VLOOKUP(A986,Sheet2!$A$2:$R$3432,6,0)</f>
        <v>Honda Activa 110</v>
      </c>
      <c r="L986" s="5" t="s">
        <v>25</v>
      </c>
      <c r="M986" s="7" t="str">
        <f>VLOOKUP(A986,Sheet2!$A$2:$R$3432,5,0)</f>
        <v>MH26AZ6159</v>
      </c>
      <c r="N986" s="5" t="s">
        <v>25</v>
      </c>
      <c r="O986" s="5" t="s">
        <v>25</v>
      </c>
      <c r="P986" s="6" t="s">
        <v>25</v>
      </c>
      <c r="Q986" s="5" t="s">
        <v>25</v>
      </c>
      <c r="R986" s="5" t="s">
        <v>25</v>
      </c>
      <c r="S986" s="5" t="str">
        <f>VLOOKUP(A986,Sheet2!$A$2:$R$3432,18,0)</f>
        <v>JF50E43360158</v>
      </c>
      <c r="T986" s="7" t="str">
        <f>VLOOKUP(A986,Sheet2!$A$2:$R$3432,17,0)</f>
        <v>ME4JF50 RUSTY </v>
      </c>
    </row>
    <row r="987" ht="15.75" customHeight="1">
      <c r="A987" s="3" t="s">
        <v>1010</v>
      </c>
      <c r="B987" s="4" t="str">
        <f>VLOOKUP(A987,Sheet2!$A$2:$R$3432,2,0)</f>
        <v>2024-10-09 20:02:32</v>
      </c>
      <c r="C987" s="5" t="s">
        <v>25</v>
      </c>
      <c r="D987" s="6" t="s">
        <v>25</v>
      </c>
      <c r="E987" s="7">
        <f>VLOOKUP(A987,Sheet2!$A$2:$R$3432,4,0)</f>
        <v>9245106459</v>
      </c>
      <c r="F987" s="7" t="str">
        <f>VLOOKUP(A987,Sheet2!$A$2:$R$3432,3,0)</f>
        <v>SHRERAM</v>
      </c>
      <c r="G987" s="5" t="s">
        <v>25</v>
      </c>
      <c r="H987" s="5" t="s">
        <v>25</v>
      </c>
      <c r="I987" s="5" t="s">
        <v>25</v>
      </c>
      <c r="J987" s="5" t="s">
        <v>25</v>
      </c>
      <c r="K987" s="7" t="str">
        <f>VLOOKUP(A987,Sheet2!$A$2:$R$3432,6,0)</f>
        <v>Honda Twister </v>
      </c>
      <c r="L987" s="5" t="s">
        <v>25</v>
      </c>
      <c r="M987" s="7" t="str">
        <f>VLOOKUP(A987,Sheet2!$A$2:$R$3432,5,0)</f>
        <v>TN76J6162</v>
      </c>
      <c r="N987" s="5" t="s">
        <v>25</v>
      </c>
      <c r="O987" s="5" t="s">
        <v>25</v>
      </c>
      <c r="P987" s="6" t="s">
        <v>25</v>
      </c>
      <c r="Q987" s="5" t="s">
        <v>25</v>
      </c>
      <c r="R987" s="5" t="s">
        <v>25</v>
      </c>
      <c r="S987" s="7" t="str">
        <f>VLOOKUP(A987,Sheet2!$A$2:$R$3432,18,0)</f>
        <v/>
      </c>
      <c r="T987" s="7" t="str">
        <f>VLOOKUP(A987,Sheet2!$A$2:$R$3432,17,0)</f>
        <v/>
      </c>
    </row>
    <row r="988" ht="15.75" customHeight="1">
      <c r="A988" s="3" t="s">
        <v>1011</v>
      </c>
      <c r="B988" s="4" t="str">
        <f>VLOOKUP(A988,Sheet2!$A$2:$R$3432,2,0)</f>
        <v>2024-10-09 20:04:12</v>
      </c>
      <c r="C988" s="5" t="s">
        <v>25</v>
      </c>
      <c r="D988" s="6" t="s">
        <v>25</v>
      </c>
      <c r="E988" s="7">
        <f>VLOOKUP(A988,Sheet2!$A$2:$R$3432,4,0)</f>
        <v>8983888330</v>
      </c>
      <c r="F988" s="7" t="str">
        <f>VLOOKUP(A988,Sheet2!$A$2:$R$3432,3,0)</f>
        <v>PRIYANKA JAIN</v>
      </c>
      <c r="G988" s="5" t="s">
        <v>25</v>
      </c>
      <c r="H988" s="5" t="s">
        <v>25</v>
      </c>
      <c r="I988" s="5" t="s">
        <v>25</v>
      </c>
      <c r="J988" s="5" t="s">
        <v>25</v>
      </c>
      <c r="K988" s="7" t="str">
        <f>VLOOKUP(A988,Sheet2!$A$2:$R$3432,6,0)</f>
        <v>Honda Activa 5G</v>
      </c>
      <c r="L988" s="5" t="s">
        <v>25</v>
      </c>
      <c r="M988" s="7" t="str">
        <f>VLOOKUP(A988,Sheet2!$A$2:$R$3432,5,0)</f>
        <v>MH20FA2226</v>
      </c>
      <c r="N988" s="5" t="s">
        <v>25</v>
      </c>
      <c r="O988" s="5" t="s">
        <v>25</v>
      </c>
      <c r="P988" s="6" t="s">
        <v>25</v>
      </c>
      <c r="Q988" s="5" t="s">
        <v>25</v>
      </c>
      <c r="R988" s="5" t="s">
        <v>25</v>
      </c>
      <c r="S988" s="7" t="str">
        <f>VLOOKUP(A988,Sheet2!$A$2:$R$3432,18,0)</f>
        <v/>
      </c>
      <c r="T988" s="7" t="str">
        <f>VLOOKUP(A988,Sheet2!$A$2:$R$3432,17,0)</f>
        <v/>
      </c>
    </row>
    <row r="989" ht="15.75" customHeight="1">
      <c r="A989" s="3" t="s">
        <v>1012</v>
      </c>
      <c r="B989" s="4" t="str">
        <f>VLOOKUP(A989,Sheet2!$A$2:$R$3432,2,0)</f>
        <v>2024-10-09 20:05:54</v>
      </c>
      <c r="C989" s="5" t="s">
        <v>25</v>
      </c>
      <c r="D989" s="6" t="s">
        <v>25</v>
      </c>
      <c r="E989" s="7">
        <f>VLOOKUP(A989,Sheet2!$A$2:$R$3432,4,0)</f>
        <v>9545225465</v>
      </c>
      <c r="F989" s="7" t="str">
        <f>VLOOKUP(A989,Sheet2!$A$2:$R$3432,3,0)</f>
        <v>NAGESH KHEMNAR</v>
      </c>
      <c r="G989" s="5" t="s">
        <v>25</v>
      </c>
      <c r="H989" s="5" t="s">
        <v>25</v>
      </c>
      <c r="I989" s="5" t="s">
        <v>25</v>
      </c>
      <c r="J989" s="5" t="s">
        <v>25</v>
      </c>
      <c r="K989" s="7" t="str">
        <f>VLOOKUP(A989,Sheet2!$A$2:$R$3432,6,0)</f>
        <v>Honda Dio </v>
      </c>
      <c r="L989" s="5" t="s">
        <v>25</v>
      </c>
      <c r="M989" s="7" t="str">
        <f>VLOOKUP(A989,Sheet2!$A$2:$R$3432,5,0)</f>
        <v>MH14CB5903</v>
      </c>
      <c r="N989" s="5" t="s">
        <v>25</v>
      </c>
      <c r="O989" s="5" t="s">
        <v>25</v>
      </c>
      <c r="P989" s="6" t="s">
        <v>25</v>
      </c>
      <c r="Q989" s="5" t="s">
        <v>25</v>
      </c>
      <c r="R989" s="5" t="s">
        <v>25</v>
      </c>
      <c r="S989" s="5" t="str">
        <f>VLOOKUP(A989,Sheet2!$A$2:$R$3432,18,0)</f>
        <v>JFME4031446</v>
      </c>
      <c r="T989" s="7" t="str">
        <f>VLOOKUP(A989,Sheet2!$A$2:$R$3432,17,0)</f>
        <v>RUSTY</v>
      </c>
    </row>
    <row r="990" ht="15.75" customHeight="1">
      <c r="A990" s="3" t="s">
        <v>1013</v>
      </c>
      <c r="B990" s="4" t="str">
        <f>VLOOKUP(A990,Sheet2!$A$2:$R$3432,2,0)</f>
        <v>2024-10-09 20:07:23</v>
      </c>
      <c r="C990" s="5" t="s">
        <v>25</v>
      </c>
      <c r="D990" s="6" t="s">
        <v>25</v>
      </c>
      <c r="E990" s="7">
        <f>VLOOKUP(A990,Sheet2!$A$2:$R$3432,4,0)</f>
        <v>9834496568</v>
      </c>
      <c r="F990" s="7" t="str">
        <f>VLOOKUP(A990,Sheet2!$A$2:$R$3432,3,0)</f>
        <v>Namdev</v>
      </c>
      <c r="G990" s="5" t="s">
        <v>25</v>
      </c>
      <c r="H990" s="5" t="s">
        <v>25</v>
      </c>
      <c r="I990" s="5" t="s">
        <v>25</v>
      </c>
      <c r="J990" s="5" t="s">
        <v>25</v>
      </c>
      <c r="K990" s="7" t="str">
        <f>VLOOKUP(A990,Sheet2!$A$2:$R$3432,6,0)</f>
        <v>Hero Passion Pro</v>
      </c>
      <c r="L990" s="5" t="s">
        <v>25</v>
      </c>
      <c r="M990" s="7" t="str">
        <f>VLOOKUP(A990,Sheet2!$A$2:$R$3432,5,0)</f>
        <v>MH26W6359</v>
      </c>
      <c r="N990" s="5" t="s">
        <v>25</v>
      </c>
      <c r="O990" s="5" t="s">
        <v>25</v>
      </c>
      <c r="P990" s="6" t="s">
        <v>25</v>
      </c>
      <c r="Q990" s="5" t="s">
        <v>25</v>
      </c>
      <c r="R990" s="5" t="s">
        <v>25</v>
      </c>
      <c r="S990" s="7" t="str">
        <f>VLOOKUP(A990,Sheet2!$A$2:$R$3432,18,0)</f>
        <v/>
      </c>
      <c r="T990" s="7" t="str">
        <f>VLOOKUP(A990,Sheet2!$A$2:$R$3432,17,0)</f>
        <v/>
      </c>
    </row>
    <row r="991" ht="15.75" customHeight="1">
      <c r="A991" s="3" t="s">
        <v>1014</v>
      </c>
      <c r="B991" s="4" t="str">
        <f>VLOOKUP(A991,Sheet2!$A$2:$R$3432,2,0)</f>
        <v>2024-10-09 20:08:38</v>
      </c>
      <c r="C991" s="5" t="s">
        <v>25</v>
      </c>
      <c r="D991" s="6" t="s">
        <v>25</v>
      </c>
      <c r="E991" s="7">
        <f>VLOOKUP(A991,Sheet2!$A$2:$R$3432,4,0)</f>
        <v>7507291543</v>
      </c>
      <c r="F991" s="7" t="str">
        <f>VLOOKUP(A991,Sheet2!$A$2:$R$3432,3,0)</f>
        <v>AMIT SARAF</v>
      </c>
      <c r="G991" s="5" t="s">
        <v>25</v>
      </c>
      <c r="H991" s="5" t="s">
        <v>25</v>
      </c>
      <c r="I991" s="5" t="s">
        <v>25</v>
      </c>
      <c r="J991" s="5" t="s">
        <v>25</v>
      </c>
      <c r="K991" s="7" t="str">
        <f>VLOOKUP(A991,Sheet2!$A$2:$R$3432,6,0)</f>
        <v>Royal Enfield Classic 350</v>
      </c>
      <c r="L991" s="5" t="s">
        <v>25</v>
      </c>
      <c r="M991" s="7" t="str">
        <f>VLOOKUP(A991,Sheet2!$A$2:$R$3432,5,0)</f>
        <v>MH14JY2684</v>
      </c>
      <c r="N991" s="5" t="s">
        <v>25</v>
      </c>
      <c r="O991" s="5" t="s">
        <v>25</v>
      </c>
      <c r="P991" s="6" t="s">
        <v>25</v>
      </c>
      <c r="Q991" s="5" t="s">
        <v>25</v>
      </c>
      <c r="R991" s="5" t="s">
        <v>25</v>
      </c>
      <c r="S991" s="5" t="str">
        <f>VLOOKUP(A991,Sheet2!$A$2:$R$3432,18,0)</f>
        <v>J3A5FAN2546158</v>
      </c>
      <c r="T991" s="7" t="str">
        <f>VLOOKUP(A991,Sheet2!$A$2:$R$3432,17,0)</f>
        <v>ME3J3C5FAN2036376</v>
      </c>
    </row>
    <row r="992" ht="15.75" customHeight="1">
      <c r="A992" s="3" t="s">
        <v>1015</v>
      </c>
      <c r="B992" s="4" t="str">
        <f>VLOOKUP(A992,Sheet2!$A$2:$R$3432,2,0)</f>
        <v>2024-10-09 20:13:00</v>
      </c>
      <c r="C992" s="5" t="s">
        <v>25</v>
      </c>
      <c r="D992" s="6" t="s">
        <v>25</v>
      </c>
      <c r="E992" s="7">
        <f>VLOOKUP(A992,Sheet2!$A$2:$R$3432,4,0)</f>
        <v>7387186785</v>
      </c>
      <c r="F992" s="7" t="str">
        <f>VLOOKUP(A992,Sheet2!$A$2:$R$3432,3,0)</f>
        <v>AMIT SURYAVANSHI </v>
      </c>
      <c r="G992" s="5" t="s">
        <v>25</v>
      </c>
      <c r="H992" s="5" t="s">
        <v>25</v>
      </c>
      <c r="I992" s="5" t="s">
        <v>25</v>
      </c>
      <c r="J992" s="5" t="s">
        <v>25</v>
      </c>
      <c r="K992" s="7" t="str">
        <f>VLOOKUP(A992,Sheet2!$A$2:$R$3432,6,0)</f>
        <v>Honda Activa 6G</v>
      </c>
      <c r="L992" s="5" t="s">
        <v>25</v>
      </c>
      <c r="M992" s="7" t="str">
        <f>VLOOKUP(A992,Sheet2!$A$2:$R$3432,5,0)</f>
        <v>MH42BD2980</v>
      </c>
      <c r="N992" s="5" t="s">
        <v>25</v>
      </c>
      <c r="O992" s="5" t="s">
        <v>25</v>
      </c>
      <c r="P992" s="6" t="s">
        <v>25</v>
      </c>
      <c r="Q992" s="5" t="s">
        <v>25</v>
      </c>
      <c r="R992" s="5" t="s">
        <v>25</v>
      </c>
      <c r="S992" s="5" t="str">
        <f>VLOOKUP(A992,Sheet2!$A$2:$R$3432,18,0)</f>
        <v>JF91EG1564834</v>
      </c>
      <c r="T992" s="7" t="str">
        <f>VLOOKUP(A992,Sheet2!$A$2:$R$3432,17,0)</f>
        <v>ME4914HMG565846</v>
      </c>
    </row>
    <row r="993" ht="15.75" customHeight="1">
      <c r="A993" s="3" t="s">
        <v>1016</v>
      </c>
      <c r="B993" s="4" t="str">
        <f>VLOOKUP(A993,Sheet2!$A$2:$R$3432,2,0)</f>
        <v>2024-10-09 20:15:04</v>
      </c>
      <c r="C993" s="5" t="s">
        <v>25</v>
      </c>
      <c r="D993" s="6" t="s">
        <v>25</v>
      </c>
      <c r="E993" s="7">
        <f>VLOOKUP(A993,Sheet2!$A$2:$R$3432,4,0)</f>
        <v>9028976273</v>
      </c>
      <c r="F993" s="7" t="str">
        <f>VLOOKUP(A993,Sheet2!$A$2:$R$3432,3,0)</f>
        <v>Sitaram </v>
      </c>
      <c r="G993" s="5" t="s">
        <v>25</v>
      </c>
      <c r="H993" s="5" t="s">
        <v>25</v>
      </c>
      <c r="I993" s="5" t="s">
        <v>25</v>
      </c>
      <c r="J993" s="5" t="s">
        <v>25</v>
      </c>
      <c r="K993" s="7" t="str">
        <f>VLOOKUP(A993,Sheet2!$A$2:$R$3432,6,0)</f>
        <v>Honda Activa 6G</v>
      </c>
      <c r="L993" s="5" t="s">
        <v>25</v>
      </c>
      <c r="M993" s="7" t="str">
        <f>VLOOKUP(A993,Sheet2!$A$2:$R$3432,5,0)</f>
        <v>MH26BU9934</v>
      </c>
      <c r="N993" s="5" t="s">
        <v>25</v>
      </c>
      <c r="O993" s="5" t="s">
        <v>25</v>
      </c>
      <c r="P993" s="6" t="s">
        <v>25</v>
      </c>
      <c r="Q993" s="5" t="s">
        <v>25</v>
      </c>
      <c r="R993" s="5" t="s">
        <v>25</v>
      </c>
      <c r="S993" s="5" t="str">
        <f>VLOOKUP(A993,Sheet2!$A$2:$R$3432,18,0)</f>
        <v>JF91EG0210766</v>
      </c>
      <c r="T993" s="7" t="str">
        <f>VLOOKUP(A993,Sheet2!$A$2:$R$3432,17,0)</f>
        <v>ME4JF913J21053</v>
      </c>
    </row>
    <row r="994" ht="15.75" customHeight="1">
      <c r="A994" s="3" t="s">
        <v>1017</v>
      </c>
      <c r="B994" s="4" t="str">
        <f>VLOOKUP(A994,Sheet2!$A$2:$R$3432,2,0)</f>
        <v>2024-10-09 20:16:21</v>
      </c>
      <c r="C994" s="5" t="s">
        <v>25</v>
      </c>
      <c r="D994" s="6" t="s">
        <v>25</v>
      </c>
      <c r="E994" s="7">
        <f>VLOOKUP(A994,Sheet2!$A$2:$R$3432,4,0)</f>
        <v>8308822448</v>
      </c>
      <c r="F994" s="7" t="str">
        <f>VLOOKUP(A994,Sheet2!$A$2:$R$3432,3,0)</f>
        <v>NILESH SARODE</v>
      </c>
      <c r="G994" s="5" t="s">
        <v>25</v>
      </c>
      <c r="H994" s="5" t="s">
        <v>25</v>
      </c>
      <c r="I994" s="5" t="s">
        <v>25</v>
      </c>
      <c r="J994" s="5" t="s">
        <v>25</v>
      </c>
      <c r="K994" s="7" t="str">
        <f>VLOOKUP(A994,Sheet2!$A$2:$R$3432,6,0)</f>
        <v>Hero Splendor </v>
      </c>
      <c r="L994" s="5" t="s">
        <v>25</v>
      </c>
      <c r="M994" s="7" t="str">
        <f>VLOOKUP(A994,Sheet2!$A$2:$R$3432,5,0)</f>
        <v>MH14AA955</v>
      </c>
      <c r="N994" s="5" t="s">
        <v>25</v>
      </c>
      <c r="O994" s="5" t="s">
        <v>25</v>
      </c>
      <c r="P994" s="6" t="s">
        <v>25</v>
      </c>
      <c r="Q994" s="5" t="s">
        <v>25</v>
      </c>
      <c r="R994" s="5" t="s">
        <v>25</v>
      </c>
      <c r="S994" s="7" t="str">
        <f>VLOOKUP(A994,Sheet2!$A$2:$R$3432,18,0)</f>
        <v/>
      </c>
      <c r="T994" s="7" t="str">
        <f>VLOOKUP(A994,Sheet2!$A$2:$R$3432,17,0)</f>
        <v/>
      </c>
    </row>
    <row r="995" ht="15.75" customHeight="1">
      <c r="A995" s="3" t="s">
        <v>1018</v>
      </c>
      <c r="B995" s="4" t="str">
        <f>VLOOKUP(A995,Sheet2!$A$2:$R$3432,2,0)</f>
        <v>2024-10-09 20:17:16</v>
      </c>
      <c r="C995" s="5" t="s">
        <v>25</v>
      </c>
      <c r="D995" s="6" t="s">
        <v>25</v>
      </c>
      <c r="E995" s="7">
        <f>VLOOKUP(A995,Sheet2!$A$2:$R$3432,4,0)</f>
        <v>9325110511</v>
      </c>
      <c r="F995" s="7" t="str">
        <f>VLOOKUP(A995,Sheet2!$A$2:$R$3432,3,0)</f>
        <v>DARSHIKA</v>
      </c>
      <c r="G995" s="5" t="s">
        <v>25</v>
      </c>
      <c r="H995" s="5" t="s">
        <v>25</v>
      </c>
      <c r="I995" s="5" t="s">
        <v>25</v>
      </c>
      <c r="J995" s="5" t="s">
        <v>25</v>
      </c>
      <c r="K995" s="7" t="str">
        <f>VLOOKUP(A995,Sheet2!$A$2:$R$3432,6,0)</f>
        <v>TVS Scooty PEP Plus</v>
      </c>
      <c r="L995" s="5" t="s">
        <v>25</v>
      </c>
      <c r="M995" s="7" t="str">
        <f>VLOOKUP(A995,Sheet2!$A$2:$R$3432,5,0)</f>
        <v>MH27CD9576</v>
      </c>
      <c r="N995" s="5" t="s">
        <v>25</v>
      </c>
      <c r="O995" s="5" t="s">
        <v>25</v>
      </c>
      <c r="P995" s="6" t="s">
        <v>25</v>
      </c>
      <c r="Q995" s="5" t="s">
        <v>25</v>
      </c>
      <c r="R995" s="5" t="s">
        <v>25</v>
      </c>
      <c r="S995" s="5" t="str">
        <f>VLOOKUP(A995,Sheet2!$A$2:$R$3432,18,0)</f>
        <v>AG3GH2068559</v>
      </c>
      <c r="T995" s="7" t="str">
        <f>VLOOKUP(A995,Sheet2!$A$2:$R$3432,17,0)</f>
        <v>MD626AG3SH2H75676</v>
      </c>
    </row>
    <row r="996" ht="15.75" customHeight="1">
      <c r="A996" s="3" t="s">
        <v>1019</v>
      </c>
      <c r="B996" s="4" t="str">
        <f>VLOOKUP(A996,Sheet2!$A$2:$R$3432,2,0)</f>
        <v>2024-10-09 20:19:11</v>
      </c>
      <c r="C996" s="5" t="s">
        <v>25</v>
      </c>
      <c r="D996" s="6" t="s">
        <v>25</v>
      </c>
      <c r="E996" s="7">
        <f>VLOOKUP(A996,Sheet2!$A$2:$R$3432,4,0)</f>
        <v>7038172288</v>
      </c>
      <c r="F996" s="7" t="str">
        <f>VLOOKUP(A996,Sheet2!$A$2:$R$3432,3,0)</f>
        <v>ANIL WATERKAR</v>
      </c>
      <c r="G996" s="5" t="s">
        <v>25</v>
      </c>
      <c r="H996" s="5" t="s">
        <v>25</v>
      </c>
      <c r="I996" s="5" t="s">
        <v>25</v>
      </c>
      <c r="J996" s="5" t="s">
        <v>25</v>
      </c>
      <c r="K996" s="7" t="str">
        <f>VLOOKUP(A996,Sheet2!$A$2:$R$3432,6,0)</f>
        <v>Honda Activa 6G</v>
      </c>
      <c r="L996" s="5" t="s">
        <v>25</v>
      </c>
      <c r="M996" s="7" t="str">
        <f>VLOOKUP(A996,Sheet2!$A$2:$R$3432,5,0)</f>
        <v>MH14KE8427</v>
      </c>
      <c r="N996" s="5" t="s">
        <v>25</v>
      </c>
      <c r="O996" s="5" t="s">
        <v>25</v>
      </c>
      <c r="P996" s="6" t="s">
        <v>25</v>
      </c>
      <c r="Q996" s="5" t="s">
        <v>25</v>
      </c>
      <c r="R996" s="5" t="s">
        <v>25</v>
      </c>
      <c r="S996" s="5" t="str">
        <f>VLOOKUP(A996,Sheet2!$A$2:$R$3432,18,0)</f>
        <v>JF1EW7271690</v>
      </c>
      <c r="T996" s="7" t="str">
        <f>VLOOKUP(A996,Sheet2!$A$2:$R$3432,17,0)</f>
        <v>ME4JF91AGNW273292</v>
      </c>
    </row>
    <row r="997" ht="15.75" customHeight="1">
      <c r="A997" s="3" t="s">
        <v>1020</v>
      </c>
      <c r="B997" s="4" t="str">
        <f>VLOOKUP(A997,Sheet2!$A$2:$R$3432,2,0)</f>
        <v>2024-10-09 20:20:43</v>
      </c>
      <c r="C997" s="5" t="s">
        <v>25</v>
      </c>
      <c r="D997" s="6" t="s">
        <v>25</v>
      </c>
      <c r="E997" s="7">
        <f>VLOOKUP(A997,Sheet2!$A$2:$R$3432,4,0)</f>
        <v>9921516024</v>
      </c>
      <c r="F997" s="7" t="str">
        <f>VLOOKUP(A997,Sheet2!$A$2:$R$3432,3,0)</f>
        <v>SWPANIL CHITNIS</v>
      </c>
      <c r="G997" s="5" t="s">
        <v>25</v>
      </c>
      <c r="H997" s="5" t="s">
        <v>25</v>
      </c>
      <c r="I997" s="5" t="s">
        <v>25</v>
      </c>
      <c r="J997" s="5" t="s">
        <v>25</v>
      </c>
      <c r="K997" s="7" t="str">
        <f>VLOOKUP(A997,Sheet2!$A$2:$R$3432,6,0)</f>
        <v>Honda Shine CB</v>
      </c>
      <c r="L997" s="5" t="s">
        <v>25</v>
      </c>
      <c r="M997" s="7" t="str">
        <f>VLOOKUP(A997,Sheet2!$A$2:$R$3432,5,0)</f>
        <v>MH12KV1707</v>
      </c>
      <c r="N997" s="5" t="s">
        <v>25</v>
      </c>
      <c r="O997" s="5" t="s">
        <v>25</v>
      </c>
      <c r="P997" s="6" t="s">
        <v>25</v>
      </c>
      <c r="Q997" s="5" t="s">
        <v>25</v>
      </c>
      <c r="R997" s="5" t="s">
        <v>25</v>
      </c>
      <c r="S997" s="5" t="str">
        <f>VLOOKUP(A997,Sheet2!$A$2:$R$3432,18,0)</f>
        <v>JC36E73276609</v>
      </c>
      <c r="T997" s="7" t="str">
        <f>VLOOKUP(A997,Sheet2!$A$2:$R$3432,17,0)</f>
        <v>ME4JC36KB7388229</v>
      </c>
    </row>
    <row r="998" ht="15.75" customHeight="1">
      <c r="A998" s="3" t="s">
        <v>1021</v>
      </c>
      <c r="B998" s="4" t="str">
        <f>VLOOKUP(A998,Sheet2!$A$2:$R$3432,2,0)</f>
        <v>2024-10-09 20:37:35</v>
      </c>
      <c r="C998" s="5" t="s">
        <v>25</v>
      </c>
      <c r="D998" s="6" t="s">
        <v>25</v>
      </c>
      <c r="E998" s="7">
        <f>VLOOKUP(A998,Sheet2!$A$2:$R$3432,4,0)</f>
        <v>9039169632</v>
      </c>
      <c r="F998" s="7" t="str">
        <f>VLOOKUP(A998,Sheet2!$A$2:$R$3432,3,0)</f>
        <v>RAHUL</v>
      </c>
      <c r="G998" s="5" t="s">
        <v>25</v>
      </c>
      <c r="H998" s="5" t="s">
        <v>25</v>
      </c>
      <c r="I998" s="5" t="s">
        <v>25</v>
      </c>
      <c r="J998" s="5" t="s">
        <v>25</v>
      </c>
      <c r="K998" s="7" t="str">
        <f>VLOOKUP(A998,Sheet2!$A$2:$R$3432,6,0)</f>
        <v>Honda Activa 3G</v>
      </c>
      <c r="L998" s="5" t="s">
        <v>25</v>
      </c>
      <c r="M998" s="7" t="str">
        <f>VLOOKUP(A998,Sheet2!$A$2:$R$3432,5,0)</f>
        <v>MH14LK1943</v>
      </c>
      <c r="N998" s="5" t="s">
        <v>25</v>
      </c>
      <c r="O998" s="5" t="s">
        <v>25</v>
      </c>
      <c r="P998" s="6" t="s">
        <v>25</v>
      </c>
      <c r="Q998" s="5" t="s">
        <v>25</v>
      </c>
      <c r="R998" s="5" t="s">
        <v>25</v>
      </c>
      <c r="S998" s="5" t="str">
        <f>VLOOKUP(A998,Sheet2!$A$2:$R$3432,18,0)</f>
        <v>JC44E0777486</v>
      </c>
      <c r="T998" s="7" t="str">
        <f>VLOOKUP(A998,Sheet2!$A$2:$R$3432,17,0)</f>
        <v>MEJC446GA68329623</v>
      </c>
    </row>
    <row r="999" ht="15.75" customHeight="1">
      <c r="A999" s="3" t="s">
        <v>1022</v>
      </c>
      <c r="B999" s="4" t="str">
        <f>VLOOKUP(A999,Sheet2!$A$2:$R$3432,2,0)</f>
        <v>2024-10-09 20:54:50</v>
      </c>
      <c r="C999" s="5" t="s">
        <v>25</v>
      </c>
      <c r="D999" s="6" t="s">
        <v>25</v>
      </c>
      <c r="E999" s="7">
        <f>VLOOKUP(A999,Sheet2!$A$2:$R$3432,4,0)</f>
        <v>9011312727</v>
      </c>
      <c r="F999" s="7" t="str">
        <f>VLOOKUP(A999,Sheet2!$A$2:$R$3432,3,0)</f>
        <v>Ruturaj</v>
      </c>
      <c r="G999" s="5" t="s">
        <v>25</v>
      </c>
      <c r="H999" s="5" t="s">
        <v>25</v>
      </c>
      <c r="I999" s="5" t="s">
        <v>25</v>
      </c>
      <c r="J999" s="5" t="s">
        <v>25</v>
      </c>
      <c r="K999" s="7" t="str">
        <f>VLOOKUP(A999,Sheet2!$A$2:$R$3432,6,0)</f>
        <v>TVS Scooty PEP Plus</v>
      </c>
      <c r="L999" s="5" t="s">
        <v>25</v>
      </c>
      <c r="M999" s="7" t="str">
        <f>VLOOKUP(A999,Sheet2!$A$2:$R$3432,5,0)</f>
        <v>MH14HP7029</v>
      </c>
      <c r="N999" s="5" t="s">
        <v>25</v>
      </c>
      <c r="O999" s="5" t="s">
        <v>25</v>
      </c>
      <c r="P999" s="6" t="s">
        <v>25</v>
      </c>
      <c r="Q999" s="5" t="s">
        <v>25</v>
      </c>
      <c r="R999" s="5" t="s">
        <v>25</v>
      </c>
      <c r="S999" s="7" t="str">
        <f>VLOOKUP(A999,Sheet2!$A$2:$R$3432,18,0)</f>
        <v/>
      </c>
      <c r="T999" s="7" t="str">
        <f>VLOOKUP(A999,Sheet2!$A$2:$R$3432,17,0)</f>
        <v>MD626AG31K2D00159</v>
      </c>
    </row>
    <row r="1000" ht="15.75" customHeight="1">
      <c r="A1000" s="3" t="s">
        <v>1023</v>
      </c>
      <c r="B1000" s="4" t="str">
        <f>VLOOKUP(A1000,Sheet2!$A$2:$R$3432,2,0)</f>
        <v>2024-10-09 20:50:28</v>
      </c>
      <c r="C1000" s="5" t="s">
        <v>25</v>
      </c>
      <c r="D1000" s="6" t="s">
        <v>25</v>
      </c>
      <c r="E1000" s="7">
        <f>VLOOKUP(A1000,Sheet2!$A$2:$R$3432,4,0)</f>
        <v>8552040505</v>
      </c>
      <c r="F1000" s="7" t="str">
        <f>VLOOKUP(A1000,Sheet2!$A$2:$R$3432,3,0)</f>
        <v>SANDIP</v>
      </c>
      <c r="G1000" s="5" t="s">
        <v>25</v>
      </c>
      <c r="H1000" s="5" t="s">
        <v>25</v>
      </c>
      <c r="I1000" s="5" t="s">
        <v>25</v>
      </c>
      <c r="J1000" s="5" t="s">
        <v>25</v>
      </c>
      <c r="K1000" s="7" t="str">
        <f>VLOOKUP(A1000,Sheet2!$A$2:$R$3432,6,0)</f>
        <v>Piaggio Vespa </v>
      </c>
      <c r="L1000" s="5" t="s">
        <v>25</v>
      </c>
      <c r="M1000" s="7" t="str">
        <f>VLOOKUP(A1000,Sheet2!$A$2:$R$3432,5,0)</f>
        <v>MH12LB2984</v>
      </c>
      <c r="N1000" s="5" t="s">
        <v>25</v>
      </c>
      <c r="O1000" s="5" t="s">
        <v>25</v>
      </c>
      <c r="P1000" s="6" t="s">
        <v>25</v>
      </c>
      <c r="Q1000" s="5" t="s">
        <v>25</v>
      </c>
      <c r="R1000" s="5" t="s">
        <v>25</v>
      </c>
      <c r="S1000" s="7" t="str">
        <f>VLOOKUP(A1000,Sheet2!$A$2:$R$3432,18,0)</f>
        <v/>
      </c>
      <c r="T1000" s="7" t="str">
        <f>VLOOKUP(A1000,Sheet2!$A$2:$R$3432,17,0)</f>
        <v/>
      </c>
    </row>
    <row r="1001" ht="15.75" customHeight="1">
      <c r="A1001" s="3" t="s">
        <v>1024</v>
      </c>
      <c r="B1001" s="4" t="str">
        <f>VLOOKUP(A1001,Sheet2!$A$2:$R$3432,2,0)</f>
        <v>2024-10-09 20:51:46</v>
      </c>
      <c r="C1001" s="5" t="s">
        <v>25</v>
      </c>
      <c r="D1001" s="6" t="s">
        <v>25</v>
      </c>
      <c r="E1001" s="7">
        <f>VLOOKUP(A1001,Sheet2!$A$2:$R$3432,4,0)</f>
        <v>9975562308</v>
      </c>
      <c r="F1001" s="7" t="str">
        <f>VLOOKUP(A1001,Sheet2!$A$2:$R$3432,3,0)</f>
        <v>MOHAMMAD ZAID</v>
      </c>
      <c r="G1001" s="5" t="s">
        <v>25</v>
      </c>
      <c r="H1001" s="5" t="s">
        <v>25</v>
      </c>
      <c r="I1001" s="5" t="s">
        <v>25</v>
      </c>
      <c r="J1001" s="5" t="s">
        <v>25</v>
      </c>
      <c r="K1001" s="7" t="str">
        <f>VLOOKUP(A1001,Sheet2!$A$2:$R$3432,6,0)</f>
        <v>Honda Activa 6G</v>
      </c>
      <c r="L1001" s="5" t="s">
        <v>25</v>
      </c>
      <c r="M1001" s="7" t="str">
        <f>VLOOKUP(A1001,Sheet2!$A$2:$R$3432,5,0)</f>
        <v>MH40BY8505</v>
      </c>
      <c r="N1001" s="5" t="s">
        <v>25</v>
      </c>
      <c r="O1001" s="5" t="s">
        <v>25</v>
      </c>
      <c r="P1001" s="6" t="s">
        <v>25</v>
      </c>
      <c r="Q1001" s="5" t="s">
        <v>25</v>
      </c>
      <c r="R1001" s="5" t="s">
        <v>25</v>
      </c>
      <c r="S1001" s="7" t="str">
        <f>VLOOKUP(A1001,Sheet2!$A$2:$R$3432,18,0)</f>
        <v/>
      </c>
      <c r="T1001" s="7" t="str">
        <f>VLOOKUP(A1001,Sheet2!$A$2:$R$3432,17,0)</f>
        <v/>
      </c>
    </row>
    <row r="1002" ht="15.75" customHeight="1">
      <c r="A1002" s="3" t="s">
        <v>1025</v>
      </c>
      <c r="B1002" s="4" t="str">
        <f>VLOOKUP(A1002,Sheet2!$A$2:$R$3432,2,0)</f>
        <v>2024-10-09 20:53:09</v>
      </c>
      <c r="C1002" s="5" t="s">
        <v>25</v>
      </c>
      <c r="D1002" s="6" t="s">
        <v>25</v>
      </c>
      <c r="E1002" s="7">
        <f>VLOOKUP(A1002,Sheet2!$A$2:$R$3432,4,0)</f>
        <v>9860533058</v>
      </c>
      <c r="F1002" s="7" t="str">
        <f>VLOOKUP(A1002,Sheet2!$A$2:$R$3432,3,0)</f>
        <v>Swati Kumbhar</v>
      </c>
      <c r="G1002" s="5" t="s">
        <v>25</v>
      </c>
      <c r="H1002" s="5" t="s">
        <v>25</v>
      </c>
      <c r="I1002" s="5" t="s">
        <v>25</v>
      </c>
      <c r="J1002" s="5" t="s">
        <v>25</v>
      </c>
      <c r="K1002" s="7" t="str">
        <f>VLOOKUP(A1002,Sheet2!$A$2:$R$3432,6,0)</f>
        <v>TVS Scooty PEP Plus</v>
      </c>
      <c r="L1002" s="5" t="s">
        <v>25</v>
      </c>
      <c r="M1002" s="7" t="str">
        <f>VLOOKUP(A1002,Sheet2!$A$2:$R$3432,5,0)</f>
        <v>MH14GW0384</v>
      </c>
      <c r="N1002" s="5" t="s">
        <v>25</v>
      </c>
      <c r="O1002" s="5" t="s">
        <v>25</v>
      </c>
      <c r="P1002" s="6" t="s">
        <v>25</v>
      </c>
      <c r="Q1002" s="5" t="s">
        <v>25</v>
      </c>
      <c r="R1002" s="5" t="s">
        <v>25</v>
      </c>
      <c r="S1002" s="5" t="str">
        <f>VLOOKUP(A1002,Sheet2!$A$2:$R$3432,18,0)</f>
        <v>AG3CJ2553684</v>
      </c>
      <c r="T1002" s="7" t="str">
        <f>VLOOKUP(A1002,Sheet2!$A$2:$R$3432,17,0)</f>
        <v>MD626AG37JZC57347</v>
      </c>
    </row>
    <row r="1003" ht="15.75" customHeight="1">
      <c r="A1003" s="3" t="s">
        <v>1026</v>
      </c>
      <c r="B1003" s="4" t="str">
        <f>VLOOKUP(A1003,Sheet2!$A$2:$R$3432,2,0)</f>
        <v>2024-10-09 20:57:05</v>
      </c>
      <c r="C1003" s="5" t="s">
        <v>25</v>
      </c>
      <c r="D1003" s="6" t="s">
        <v>25</v>
      </c>
      <c r="E1003" s="7">
        <f>VLOOKUP(A1003,Sheet2!$A$2:$R$3432,4,0)</f>
        <v>8411084667</v>
      </c>
      <c r="F1003" s="7" t="str">
        <f>VLOOKUP(A1003,Sheet2!$A$2:$R$3432,3,0)</f>
        <v>ROHIT MORE</v>
      </c>
      <c r="G1003" s="5" t="s">
        <v>25</v>
      </c>
      <c r="H1003" s="5" t="s">
        <v>25</v>
      </c>
      <c r="I1003" s="5" t="s">
        <v>25</v>
      </c>
      <c r="J1003" s="5" t="s">
        <v>25</v>
      </c>
      <c r="K1003" s="7" t="str">
        <f>VLOOKUP(A1003,Sheet2!$A$2:$R$3432,6,0)</f>
        <v>Yamaha Fazer </v>
      </c>
      <c r="L1003" s="5" t="s">
        <v>25</v>
      </c>
      <c r="M1003" s="7" t="str">
        <f>VLOOKUP(A1003,Sheet2!$A$2:$R$3432,5,0)</f>
        <v>MH09DS1121</v>
      </c>
      <c r="N1003" s="5" t="s">
        <v>25</v>
      </c>
      <c r="O1003" s="5" t="s">
        <v>25</v>
      </c>
      <c r="P1003" s="6" t="s">
        <v>25</v>
      </c>
      <c r="Q1003" s="5" t="s">
        <v>25</v>
      </c>
      <c r="R1003" s="5" t="s">
        <v>25</v>
      </c>
      <c r="S1003" s="7" t="str">
        <f>VLOOKUP(A1003,Sheet2!$A$2:$R$3432,18,0)</f>
        <v/>
      </c>
      <c r="T1003" s="7" t="str">
        <f>VLOOKUP(A1003,Sheet2!$A$2:$R$3432,17,0)</f>
        <v/>
      </c>
    </row>
    <row r="1004" ht="15.75" customHeight="1">
      <c r="A1004" s="3" t="s">
        <v>1027</v>
      </c>
      <c r="B1004" s="4" t="str">
        <f>VLOOKUP(A1004,Sheet2!$A$2:$R$3432,2,0)</f>
        <v>2024-10-09 20:58:29</v>
      </c>
      <c r="C1004" s="5" t="s">
        <v>25</v>
      </c>
      <c r="D1004" s="6" t="s">
        <v>25</v>
      </c>
      <c r="E1004" s="7">
        <f>VLOOKUP(A1004,Sheet2!$A$2:$R$3432,4,0)</f>
        <v>8237312103</v>
      </c>
      <c r="F1004" s="7" t="str">
        <f>VLOOKUP(A1004,Sheet2!$A$2:$R$3432,3,0)</f>
        <v>Santosh</v>
      </c>
      <c r="G1004" s="5" t="s">
        <v>25</v>
      </c>
      <c r="H1004" s="5" t="s">
        <v>25</v>
      </c>
      <c r="I1004" s="5" t="s">
        <v>25</v>
      </c>
      <c r="J1004" s="5" t="s">
        <v>25</v>
      </c>
      <c r="K1004" s="7" t="str">
        <f>VLOOKUP(A1004,Sheet2!$A$2:$R$3432,6,0)</f>
        <v>Hero Pleasure </v>
      </c>
      <c r="L1004" s="5" t="s">
        <v>25</v>
      </c>
      <c r="M1004" s="7" t="str">
        <f>VLOOKUP(A1004,Sheet2!$A$2:$R$3432,5,0)</f>
        <v>MH14CH1363</v>
      </c>
      <c r="N1004" s="5" t="s">
        <v>25</v>
      </c>
      <c r="O1004" s="5" t="s">
        <v>25</v>
      </c>
      <c r="P1004" s="6" t="s">
        <v>25</v>
      </c>
      <c r="Q1004" s="5" t="s">
        <v>25</v>
      </c>
      <c r="R1004" s="5" t="s">
        <v>25</v>
      </c>
      <c r="S1004" s="7" t="str">
        <f>VLOOKUP(A1004,Sheet2!$A$2:$R$3432,18,0)</f>
        <v/>
      </c>
      <c r="T1004" s="7" t="str">
        <f>VLOOKUP(A1004,Sheet2!$A$2:$R$3432,17,0)</f>
        <v/>
      </c>
    </row>
    <row r="1005" ht="15.75" customHeight="1">
      <c r="A1005" s="3" t="s">
        <v>1028</v>
      </c>
      <c r="B1005" s="4" t="str">
        <f>VLOOKUP(A1005,Sheet2!$A$2:$R$3432,2,0)</f>
        <v>2024-10-09 20:59:40</v>
      </c>
      <c r="C1005" s="5" t="s">
        <v>25</v>
      </c>
      <c r="D1005" s="6" t="s">
        <v>25</v>
      </c>
      <c r="E1005" s="7">
        <f>VLOOKUP(A1005,Sheet2!$A$2:$R$3432,4,0)</f>
        <v>9823397545</v>
      </c>
      <c r="F1005" s="7" t="str">
        <f>VLOOKUP(A1005,Sheet2!$A$2:$R$3432,3,0)</f>
        <v>ABHIMANYU PRASAD</v>
      </c>
      <c r="G1005" s="5" t="s">
        <v>25</v>
      </c>
      <c r="H1005" s="5" t="s">
        <v>25</v>
      </c>
      <c r="I1005" s="5" t="s">
        <v>25</v>
      </c>
      <c r="J1005" s="5" t="s">
        <v>25</v>
      </c>
      <c r="K1005" s="7" t="str">
        <f>VLOOKUP(A1005,Sheet2!$A$2:$R$3432,6,0)</f>
        <v>TVS Jupiter </v>
      </c>
      <c r="L1005" s="5" t="s">
        <v>25</v>
      </c>
      <c r="M1005" s="7" t="str">
        <f>VLOOKUP(A1005,Sheet2!$A$2:$R$3432,5,0)</f>
        <v>MH14HA9821</v>
      </c>
      <c r="N1005" s="5" t="s">
        <v>25</v>
      </c>
      <c r="O1005" s="5" t="s">
        <v>25</v>
      </c>
      <c r="P1005" s="6" t="s">
        <v>25</v>
      </c>
      <c r="Q1005" s="5" t="s">
        <v>25</v>
      </c>
      <c r="R1005" s="5" t="s">
        <v>25</v>
      </c>
      <c r="S1005" s="7" t="str">
        <f>VLOOKUP(A1005,Sheet2!$A$2:$R$3432,18,0)</f>
        <v/>
      </c>
      <c r="T1005" s="7" t="str">
        <f>VLOOKUP(A1005,Sheet2!$A$2:$R$3432,17,0)</f>
        <v/>
      </c>
    </row>
    <row r="1006" ht="15.75" customHeight="1">
      <c r="A1006" s="3" t="s">
        <v>1029</v>
      </c>
      <c r="B1006" s="4" t="str">
        <f>VLOOKUP(A1006,Sheet2!$A$2:$R$3432,2,0)</f>
        <v>2024-10-09 21:02:57</v>
      </c>
      <c r="C1006" s="5" t="s">
        <v>25</v>
      </c>
      <c r="D1006" s="6" t="s">
        <v>25</v>
      </c>
      <c r="E1006" s="7">
        <f>VLOOKUP(A1006,Sheet2!$A$2:$R$3432,4,0)</f>
        <v>9373923285</v>
      </c>
      <c r="F1006" s="7" t="str">
        <f>VLOOKUP(A1006,Sheet2!$A$2:$R$3432,3,0)</f>
        <v>MAHESH</v>
      </c>
      <c r="G1006" s="5" t="s">
        <v>25</v>
      </c>
      <c r="H1006" s="5" t="s">
        <v>25</v>
      </c>
      <c r="I1006" s="5" t="s">
        <v>25</v>
      </c>
      <c r="J1006" s="5" t="s">
        <v>25</v>
      </c>
      <c r="K1006" s="7" t="str">
        <f>VLOOKUP(A1006,Sheet2!$A$2:$R$3432,6,0)</f>
        <v>Bajaj Pulsar 125</v>
      </c>
      <c r="L1006" s="5" t="s">
        <v>25</v>
      </c>
      <c r="M1006" s="7" t="str">
        <f>VLOOKUP(A1006,Sheet2!$A$2:$R$3432,5,0)</f>
        <v>MH25AX4217</v>
      </c>
      <c r="N1006" s="5" t="s">
        <v>25</v>
      </c>
      <c r="O1006" s="5" t="s">
        <v>25</v>
      </c>
      <c r="P1006" s="6" t="s">
        <v>25</v>
      </c>
      <c r="Q1006" s="5" t="s">
        <v>25</v>
      </c>
      <c r="R1006" s="5" t="s">
        <v>25</v>
      </c>
      <c r="S1006" s="7" t="str">
        <f>VLOOKUP(A1006,Sheet2!$A$2:$R$3432,18,0)</f>
        <v/>
      </c>
      <c r="T1006" s="7" t="str">
        <f>VLOOKUP(A1006,Sheet2!$A$2:$R$3432,17,0)</f>
        <v/>
      </c>
    </row>
    <row r="1007" ht="15.75" customHeight="1">
      <c r="A1007" s="3" t="s">
        <v>1030</v>
      </c>
      <c r="B1007" s="4" t="str">
        <f>VLOOKUP(A1007,Sheet2!$A$2:$R$3432,2,0)</f>
        <v>2025-01-09 20:26:10</v>
      </c>
      <c r="C1007" s="5" t="s">
        <v>25</v>
      </c>
      <c r="D1007" s="6" t="s">
        <v>25</v>
      </c>
      <c r="E1007" s="7">
        <f>VLOOKUP(A1007,Sheet2!$A$2:$R$3432,4,0)</f>
        <v>9890064441</v>
      </c>
      <c r="F1007" s="7" t="str">
        <f>VLOOKUP(A1007,Sheet2!$A$2:$R$3432,3,0)</f>
        <v>PRAKASH</v>
      </c>
      <c r="G1007" s="5" t="s">
        <v>25</v>
      </c>
      <c r="H1007" s="5" t="s">
        <v>25</v>
      </c>
      <c r="I1007" s="5" t="s">
        <v>25</v>
      </c>
      <c r="J1007" s="5" t="s">
        <v>25</v>
      </c>
      <c r="K1007" s="7" t="str">
        <f>VLOOKUP(A1007,Sheet2!$A$2:$R$3432,6,0)</f>
        <v>Honda Unicorn 150</v>
      </c>
      <c r="L1007" s="5" t="s">
        <v>25</v>
      </c>
      <c r="M1007" s="7" t="str">
        <f>VLOOKUP(A1007,Sheet2!$A$2:$R$3432,5,0)</f>
        <v>MH12FX5223</v>
      </c>
      <c r="N1007" s="5" t="s">
        <v>25</v>
      </c>
      <c r="O1007" s="5" t="s">
        <v>25</v>
      </c>
      <c r="P1007" s="6" t="s">
        <v>25</v>
      </c>
      <c r="Q1007" s="5" t="s">
        <v>25</v>
      </c>
      <c r="R1007" s="5" t="s">
        <v>25</v>
      </c>
      <c r="S1007" s="5" t="str">
        <f>VLOOKUP(A1007,Sheet2!$A$2:$R$3432,18,0)</f>
        <v>KC09EH1138883</v>
      </c>
      <c r="T1007" s="7" t="str">
        <f>VLOOKUP(A1007,Sheet2!$A$2:$R$3432,17,0)</f>
        <v>MB4KC093CA8137648</v>
      </c>
    </row>
    <row r="1008" ht="15.75" customHeight="1">
      <c r="A1008" s="3" t="s">
        <v>1031</v>
      </c>
      <c r="B1008" s="4" t="str">
        <f>VLOOKUP(A1008,Sheet2!$A$2:$R$3432,2,0)</f>
        <v>2025-01-09 20:20:55</v>
      </c>
      <c r="C1008" s="5" t="s">
        <v>25</v>
      </c>
      <c r="D1008" s="6" t="s">
        <v>25</v>
      </c>
      <c r="E1008" s="7">
        <f>VLOOKUP(A1008,Sheet2!$A$2:$R$3432,4,0)</f>
        <v>9370116607</v>
      </c>
      <c r="F1008" s="7" t="str">
        <f>VLOOKUP(A1008,Sheet2!$A$2:$R$3432,3,0)</f>
        <v>Ajay Choudhary </v>
      </c>
      <c r="G1008" s="5" t="s">
        <v>25</v>
      </c>
      <c r="H1008" s="5" t="s">
        <v>25</v>
      </c>
      <c r="I1008" s="5" t="s">
        <v>25</v>
      </c>
      <c r="J1008" s="5" t="s">
        <v>25</v>
      </c>
      <c r="K1008" s="7" t="str">
        <f>VLOOKUP(A1008,Sheet2!$A$2:$R$3432,6,0)</f>
        <v>Hero Passion Pro</v>
      </c>
      <c r="L1008" s="5" t="s">
        <v>25</v>
      </c>
      <c r="M1008" s="7" t="str">
        <f>VLOOKUP(A1008,Sheet2!$A$2:$R$3432,5,0)</f>
        <v>MH31DQ9816</v>
      </c>
      <c r="N1008" s="5" t="s">
        <v>25</v>
      </c>
      <c r="O1008" s="5" t="s">
        <v>25</v>
      </c>
      <c r="P1008" s="6" t="s">
        <v>25</v>
      </c>
      <c r="Q1008" s="5" t="s">
        <v>25</v>
      </c>
      <c r="R1008" s="5" t="s">
        <v>25</v>
      </c>
      <c r="S1008" s="7" t="str">
        <f>VLOOKUP(A1008,Sheet2!$A$2:$R$3432,18,0)</f>
        <v/>
      </c>
      <c r="T1008" s="7" t="str">
        <f>VLOOKUP(A1008,Sheet2!$A$2:$R$3432,17,0)</f>
        <v/>
      </c>
    </row>
    <row r="1009" ht="15.75" customHeight="1">
      <c r="A1009" s="3" t="s">
        <v>1032</v>
      </c>
      <c r="B1009" s="4" t="str">
        <f>VLOOKUP(A1009,Sheet2!$A$2:$R$3432,2,0)</f>
        <v>2025-01-09 20:25:06</v>
      </c>
      <c r="C1009" s="5" t="s">
        <v>25</v>
      </c>
      <c r="D1009" s="6" t="s">
        <v>25</v>
      </c>
      <c r="E1009" s="7">
        <f>VLOOKUP(A1009,Sheet2!$A$2:$R$3432,4,0)</f>
        <v>9763971166</v>
      </c>
      <c r="F1009" s="7" t="str">
        <f>VLOOKUP(A1009,Sheet2!$A$2:$R$3432,3,0)</f>
        <v>SHANKAR RATHOD</v>
      </c>
      <c r="G1009" s="5" t="s">
        <v>25</v>
      </c>
      <c r="H1009" s="5" t="s">
        <v>25</v>
      </c>
      <c r="I1009" s="5" t="s">
        <v>25</v>
      </c>
      <c r="J1009" s="5" t="s">
        <v>25</v>
      </c>
      <c r="K1009" s="7" t="str">
        <f>VLOOKUP(A1009,Sheet2!$A$2:$R$3432,6,0)</f>
        <v>Honda Activa 3G</v>
      </c>
      <c r="L1009" s="5" t="s">
        <v>25</v>
      </c>
      <c r="M1009" s="7" t="str">
        <f>VLOOKUP(A1009,Sheet2!$A$2:$R$3432,5,0)</f>
        <v>MH14FJ7588</v>
      </c>
      <c r="N1009" s="5" t="s">
        <v>25</v>
      </c>
      <c r="O1009" s="5" t="s">
        <v>25</v>
      </c>
      <c r="P1009" s="6" t="s">
        <v>25</v>
      </c>
      <c r="Q1009" s="5" t="s">
        <v>25</v>
      </c>
      <c r="R1009" s="5" t="s">
        <v>25</v>
      </c>
      <c r="S1009" s="5" t="str">
        <f>VLOOKUP(A1009,Sheet2!$A$2:$R$3432,18,0)</f>
        <v>JF50ET092048</v>
      </c>
      <c r="T1009" s="7" t="str">
        <f>VLOOKUP(A1009,Sheet2!$A$2:$R$3432,17,0)</f>
        <v>ME4JF506AGT0991809</v>
      </c>
    </row>
    <row r="1010" ht="15.75" customHeight="1">
      <c r="A1010" s="3" t="s">
        <v>1033</v>
      </c>
      <c r="B1010" s="4" t="str">
        <f>VLOOKUP(A1010,Sheet2!$A$2:$R$3432,2,0)</f>
        <v>2025-01-09 20:16:08</v>
      </c>
      <c r="C1010" s="5" t="s">
        <v>25</v>
      </c>
      <c r="D1010" s="6" t="s">
        <v>25</v>
      </c>
      <c r="E1010" s="7">
        <f>VLOOKUP(A1010,Sheet2!$A$2:$R$3432,4,0)</f>
        <v>7972201259</v>
      </c>
      <c r="F1010" s="7" t="str">
        <f>VLOOKUP(A1010,Sheet2!$A$2:$R$3432,3,0)</f>
        <v>SHREEKANT PUJARI</v>
      </c>
      <c r="G1010" s="5" t="s">
        <v>25</v>
      </c>
      <c r="H1010" s="5" t="s">
        <v>25</v>
      </c>
      <c r="I1010" s="5" t="s">
        <v>25</v>
      </c>
      <c r="J1010" s="5" t="s">
        <v>25</v>
      </c>
      <c r="K1010" s="7" t="str">
        <f>VLOOKUP(A1010,Sheet2!$A$2:$R$3432,6,0)</f>
        <v>Royal Enfield Classic 500</v>
      </c>
      <c r="L1010" s="5" t="s">
        <v>25</v>
      </c>
      <c r="M1010" s="7" t="str">
        <f>VLOOKUP(A1010,Sheet2!$A$2:$R$3432,5,0)</f>
        <v>MH14FL8228</v>
      </c>
      <c r="N1010" s="5" t="s">
        <v>25</v>
      </c>
      <c r="O1010" s="5" t="s">
        <v>25</v>
      </c>
      <c r="P1010" s="6" t="s">
        <v>25</v>
      </c>
      <c r="Q1010" s="5" t="s">
        <v>25</v>
      </c>
      <c r="R1010" s="5" t="s">
        <v>25</v>
      </c>
      <c r="S1010" s="7" t="str">
        <f>VLOOKUP(A1010,Sheet2!$A$2:$R$3432,18,0)</f>
        <v/>
      </c>
      <c r="T1010" s="7" t="str">
        <f>VLOOKUP(A1010,Sheet2!$A$2:$R$3432,17,0)</f>
        <v/>
      </c>
    </row>
    <row r="1011" ht="15.75" customHeight="1">
      <c r="A1011" s="3" t="s">
        <v>1034</v>
      </c>
      <c r="B1011" s="4" t="str">
        <f>VLOOKUP(A1011,Sheet2!$A$2:$R$3432,2,0)</f>
        <v>2025-01-09 20:20:01</v>
      </c>
      <c r="C1011" s="5" t="s">
        <v>25</v>
      </c>
      <c r="D1011" s="6" t="s">
        <v>25</v>
      </c>
      <c r="E1011" s="7">
        <f>VLOOKUP(A1011,Sheet2!$A$2:$R$3432,4,0)</f>
        <v>9423464382</v>
      </c>
      <c r="F1011" s="7" t="str">
        <f>VLOOKUP(A1011,Sheet2!$A$2:$R$3432,3,0)</f>
        <v>SAGAR MANE</v>
      </c>
      <c r="G1011" s="5" t="s">
        <v>25</v>
      </c>
      <c r="H1011" s="5" t="s">
        <v>25</v>
      </c>
      <c r="I1011" s="5" t="s">
        <v>25</v>
      </c>
      <c r="J1011" s="5" t="s">
        <v>25</v>
      </c>
      <c r="K1011" s="7" t="str">
        <f>VLOOKUP(A1011,Sheet2!$A$2:$R$3432,6,0)</f>
        <v>TVS Apache RTR 180 New</v>
      </c>
      <c r="L1011" s="5" t="s">
        <v>25</v>
      </c>
      <c r="M1011" s="7" t="str">
        <f>VLOOKUP(A1011,Sheet2!$A$2:$R$3432,5,0)</f>
        <v>MH16BL7499</v>
      </c>
      <c r="N1011" s="5" t="s">
        <v>25</v>
      </c>
      <c r="O1011" s="5" t="s">
        <v>25</v>
      </c>
      <c r="P1011" s="6" t="s">
        <v>25</v>
      </c>
      <c r="Q1011" s="5" t="s">
        <v>25</v>
      </c>
      <c r="R1011" s="5" t="s">
        <v>25</v>
      </c>
      <c r="S1011" s="7" t="str">
        <f>VLOOKUP(A1011,Sheet2!$A$2:$R$3432,18,0)</f>
        <v/>
      </c>
      <c r="T1011" s="7" t="str">
        <f>VLOOKUP(A1011,Sheet2!$A$2:$R$3432,17,0)</f>
        <v/>
      </c>
    </row>
    <row r="1012" ht="15.75" customHeight="1">
      <c r="A1012" s="3" t="s">
        <v>1035</v>
      </c>
      <c r="B1012" s="4" t="str">
        <f>VLOOKUP(A1012,Sheet2!$A$2:$R$3432,2,0)</f>
        <v>2025-01-09 20:19:00</v>
      </c>
      <c r="C1012" s="5" t="s">
        <v>25</v>
      </c>
      <c r="D1012" s="6" t="s">
        <v>25</v>
      </c>
      <c r="E1012" s="7">
        <f>VLOOKUP(A1012,Sheet2!$A$2:$R$3432,4,0)</f>
        <v>9987001877</v>
      </c>
      <c r="F1012" s="7" t="str">
        <f>VLOOKUP(A1012,Sheet2!$A$2:$R$3432,3,0)</f>
        <v>Sachin Aher</v>
      </c>
      <c r="G1012" s="5" t="s">
        <v>25</v>
      </c>
      <c r="H1012" s="5" t="s">
        <v>25</v>
      </c>
      <c r="I1012" s="5" t="s">
        <v>25</v>
      </c>
      <c r="J1012" s="5" t="s">
        <v>25</v>
      </c>
      <c r="K1012" s="7" t="str">
        <f>VLOOKUP(A1012,Sheet2!$A$2:$R$3432,6,0)</f>
        <v>Suzuki Access </v>
      </c>
      <c r="L1012" s="5" t="s">
        <v>25</v>
      </c>
      <c r="M1012" s="7" t="str">
        <f>VLOOKUP(A1012,Sheet2!$A$2:$R$3432,5,0)</f>
        <v>MH02CC7716</v>
      </c>
      <c r="N1012" s="5" t="s">
        <v>25</v>
      </c>
      <c r="O1012" s="5" t="s">
        <v>25</v>
      </c>
      <c r="P1012" s="6" t="s">
        <v>25</v>
      </c>
      <c r="Q1012" s="5" t="s">
        <v>25</v>
      </c>
      <c r="R1012" s="5" t="s">
        <v>25</v>
      </c>
      <c r="S1012" s="7" t="str">
        <f>VLOOKUP(A1012,Sheet2!$A$2:$R$3432,18,0)</f>
        <v/>
      </c>
      <c r="T1012" s="7" t="str">
        <f>VLOOKUP(A1012,Sheet2!$A$2:$R$3432,17,0)</f>
        <v>MB8C84CAAB8167209</v>
      </c>
    </row>
    <row r="1013" ht="15.75" customHeight="1">
      <c r="A1013" s="3" t="s">
        <v>1036</v>
      </c>
      <c r="B1013" s="4" t="str">
        <f>VLOOKUP(A1013,Sheet2!$A$2:$R$3432,2,0)</f>
        <v>2025-01-09 20:24:35</v>
      </c>
      <c r="C1013" s="5" t="s">
        <v>25</v>
      </c>
      <c r="D1013" s="6" t="s">
        <v>25</v>
      </c>
      <c r="E1013" s="7">
        <f>VLOOKUP(A1013,Sheet2!$A$2:$R$3432,4,0)</f>
        <v>9825609542</v>
      </c>
      <c r="F1013" s="7" t="str">
        <f>VLOOKUP(A1013,Sheet2!$A$2:$R$3432,3,0)</f>
        <v>SMITH PATEL</v>
      </c>
      <c r="G1013" s="5" t="s">
        <v>25</v>
      </c>
      <c r="H1013" s="5" t="s">
        <v>25</v>
      </c>
      <c r="I1013" s="5" t="s">
        <v>25</v>
      </c>
      <c r="J1013" s="5" t="s">
        <v>25</v>
      </c>
      <c r="K1013" s="7" t="str">
        <f>VLOOKUP(A1013,Sheet2!$A$2:$R$3432,6,0)</f>
        <v>Honda Twister </v>
      </c>
      <c r="L1013" s="5" t="s">
        <v>25</v>
      </c>
      <c r="M1013" s="7" t="str">
        <f>VLOOKUP(A1013,Sheet2!$A$2:$R$3432,5,0)</f>
        <v>MH04FG1201</v>
      </c>
      <c r="N1013" s="5" t="s">
        <v>25</v>
      </c>
      <c r="O1013" s="5" t="s">
        <v>25</v>
      </c>
      <c r="P1013" s="6" t="s">
        <v>25</v>
      </c>
      <c r="Q1013" s="5" t="s">
        <v>25</v>
      </c>
      <c r="R1013" s="5" t="s">
        <v>25</v>
      </c>
      <c r="S1013" s="7" t="str">
        <f>VLOOKUP(A1013,Sheet2!$A$2:$R$3432,18,0)</f>
        <v/>
      </c>
      <c r="T1013" s="7" t="str">
        <f>VLOOKUP(A1013,Sheet2!$A$2:$R$3432,17,0)</f>
        <v/>
      </c>
    </row>
    <row r="1014" ht="15.75" customHeight="1">
      <c r="A1014" s="3" t="s">
        <v>1037</v>
      </c>
      <c r="B1014" s="4" t="str">
        <f>VLOOKUP(A1014,Sheet2!$A$2:$R$3432,2,0)</f>
        <v>2025-01-09 20:21:34</v>
      </c>
      <c r="C1014" s="5" t="s">
        <v>25</v>
      </c>
      <c r="D1014" s="6" t="s">
        <v>25</v>
      </c>
      <c r="E1014" s="7">
        <f>VLOOKUP(A1014,Sheet2!$A$2:$R$3432,4,0)</f>
        <v>9860246178</v>
      </c>
      <c r="F1014" s="7" t="str">
        <f>VLOOKUP(A1014,Sheet2!$A$2:$R$3432,3,0)</f>
        <v>BHAVESH</v>
      </c>
      <c r="G1014" s="5" t="s">
        <v>25</v>
      </c>
      <c r="H1014" s="5" t="s">
        <v>25</v>
      </c>
      <c r="I1014" s="5" t="s">
        <v>25</v>
      </c>
      <c r="J1014" s="5" t="s">
        <v>25</v>
      </c>
      <c r="K1014" s="7" t="str">
        <f>VLOOKUP(A1014,Sheet2!$A$2:$R$3432,6,0)</f>
        <v>Honda Activa 125</v>
      </c>
      <c r="L1014" s="5" t="s">
        <v>25</v>
      </c>
      <c r="M1014" s="7" t="str">
        <f>VLOOKUP(A1014,Sheet2!$A$2:$R$3432,5,0)</f>
        <v>MH14FJ0624</v>
      </c>
      <c r="N1014" s="5" t="s">
        <v>25</v>
      </c>
      <c r="O1014" s="5" t="s">
        <v>25</v>
      </c>
      <c r="P1014" s="6" t="s">
        <v>25</v>
      </c>
      <c r="Q1014" s="5" t="s">
        <v>25</v>
      </c>
      <c r="R1014" s="5" t="s">
        <v>25</v>
      </c>
      <c r="S1014" s="5" t="str">
        <f>VLOOKUP(A1014,Sheet2!$A$2:$R$3432,18,0)</f>
        <v>JF49E81099918</v>
      </c>
      <c r="T1014" s="7" t="str">
        <f>VLOOKUP(A1014,Sheet2!$A$2:$R$3432,17,0)</f>
        <v>ME4JF49 RUSTY FRAME </v>
      </c>
    </row>
    <row r="1015" ht="15.75" customHeight="1">
      <c r="A1015" s="3" t="s">
        <v>1038</v>
      </c>
      <c r="B1015" s="4" t="str">
        <f>VLOOKUP(A1015,Sheet2!$A$2:$R$3432,2,0)</f>
        <v>2025-01-09 20:22:53</v>
      </c>
      <c r="C1015" s="5" t="s">
        <v>25</v>
      </c>
      <c r="D1015" s="6" t="s">
        <v>25</v>
      </c>
      <c r="E1015" s="7">
        <f>VLOOKUP(A1015,Sheet2!$A$2:$R$3432,4,0)</f>
        <v>9049435389</v>
      </c>
      <c r="F1015" s="7" t="str">
        <f>VLOOKUP(A1015,Sheet2!$A$2:$R$3432,3,0)</f>
        <v>AKSHAY MHAPSEKAR</v>
      </c>
      <c r="G1015" s="5" t="s">
        <v>25</v>
      </c>
      <c r="H1015" s="5" t="s">
        <v>25</v>
      </c>
      <c r="I1015" s="5" t="s">
        <v>25</v>
      </c>
      <c r="J1015" s="5" t="s">
        <v>25</v>
      </c>
      <c r="K1015" s="7" t="str">
        <f>VLOOKUP(A1015,Sheet2!$A$2:$R$3432,6,0)</f>
        <v>Honda Activa 110</v>
      </c>
      <c r="L1015" s="5" t="s">
        <v>25</v>
      </c>
      <c r="M1015" s="7" t="str">
        <f>VLOOKUP(A1015,Sheet2!$A$2:$R$3432,5,0)</f>
        <v>MH09CC8801</v>
      </c>
      <c r="N1015" s="5" t="s">
        <v>25</v>
      </c>
      <c r="O1015" s="5" t="s">
        <v>25</v>
      </c>
      <c r="P1015" s="6" t="s">
        <v>25</v>
      </c>
      <c r="Q1015" s="5" t="s">
        <v>25</v>
      </c>
      <c r="R1015" s="5" t="s">
        <v>25</v>
      </c>
      <c r="S1015" s="5" t="str">
        <f>VLOOKUP(A1015,Sheet2!$A$2:$R$3432,18,0)</f>
        <v>JC44E5058579</v>
      </c>
      <c r="T1015" s="7" t="str">
        <f>VLOOKUP(A1015,Sheet2!$A$2:$R$3432,17,0)</f>
        <v>RUSTY FRAME </v>
      </c>
    </row>
    <row r="1016" ht="15.75" customHeight="1">
      <c r="A1016" s="3" t="s">
        <v>1039</v>
      </c>
      <c r="B1016" s="4" t="str">
        <f>VLOOKUP(A1016,Sheet2!$A$2:$R$3432,2,0)</f>
        <v>2025-01-09 20:23:29</v>
      </c>
      <c r="C1016" s="5" t="s">
        <v>25</v>
      </c>
      <c r="D1016" s="6" t="s">
        <v>25</v>
      </c>
      <c r="E1016" s="7">
        <f>VLOOKUP(A1016,Sheet2!$A$2:$R$3432,4,0)</f>
        <v>9039931017</v>
      </c>
      <c r="F1016" s="7" t="str">
        <f>VLOOKUP(A1016,Sheet2!$A$2:$R$3432,3,0)</f>
        <v>GAURAV </v>
      </c>
      <c r="G1016" s="5" t="s">
        <v>25</v>
      </c>
      <c r="H1016" s="5" t="s">
        <v>25</v>
      </c>
      <c r="I1016" s="5" t="s">
        <v>25</v>
      </c>
      <c r="J1016" s="5" t="s">
        <v>25</v>
      </c>
      <c r="K1016" s="7" t="str">
        <f>VLOOKUP(A1016,Sheet2!$A$2:$R$3432,6,0)</f>
        <v>Honda Activa 5G</v>
      </c>
      <c r="L1016" s="5" t="s">
        <v>25</v>
      </c>
      <c r="M1016" s="7" t="str">
        <f>VLOOKUP(A1016,Sheet2!$A$2:$R$3432,5,0)</f>
        <v>MH12QK8110</v>
      </c>
      <c r="N1016" s="5" t="s">
        <v>25</v>
      </c>
      <c r="O1016" s="5" t="s">
        <v>25</v>
      </c>
      <c r="P1016" s="6" t="s">
        <v>25</v>
      </c>
      <c r="Q1016" s="5" t="s">
        <v>25</v>
      </c>
      <c r="R1016" s="5" t="s">
        <v>25</v>
      </c>
      <c r="S1016" s="5" t="str">
        <f>VLOOKUP(A1016,Sheet2!$A$2:$R$3432,18,0)</f>
        <v>JF50E47058590</v>
      </c>
      <c r="T1016" s="7" t="str">
        <f>VLOOKUP(A1016,Sheet2!$A$2:$R$3432,17,0)</f>
        <v>ME4JF5050ADJU058556</v>
      </c>
    </row>
    <row r="1017" ht="15.75" customHeight="1">
      <c r="A1017" s="3" t="s">
        <v>1040</v>
      </c>
      <c r="B1017" s="4" t="str">
        <f>VLOOKUP(A1017,Sheet2!$A$2:$R$3432,2,0)</f>
        <v>2025-01-09 20:24:12</v>
      </c>
      <c r="C1017" s="5" t="s">
        <v>25</v>
      </c>
      <c r="D1017" s="6" t="s">
        <v>25</v>
      </c>
      <c r="E1017" s="7">
        <f>VLOOKUP(A1017,Sheet2!$A$2:$R$3432,4,0)</f>
        <v>9867456473</v>
      </c>
      <c r="F1017" s="7" t="str">
        <f>VLOOKUP(A1017,Sheet2!$A$2:$R$3432,3,0)</f>
        <v>KAUSTUBH JOSHI</v>
      </c>
      <c r="G1017" s="5" t="s">
        <v>25</v>
      </c>
      <c r="H1017" s="5" t="s">
        <v>25</v>
      </c>
      <c r="I1017" s="5" t="s">
        <v>25</v>
      </c>
      <c r="J1017" s="5" t="s">
        <v>25</v>
      </c>
      <c r="K1017" s="7" t="str">
        <f>VLOOKUP(A1017,Sheet2!$A$2:$R$3432,6,0)</f>
        <v>Honda Activa 4G</v>
      </c>
      <c r="L1017" s="5" t="s">
        <v>25</v>
      </c>
      <c r="M1017" s="7" t="str">
        <f>VLOOKUP(A1017,Sheet2!$A$2:$R$3432,5,0)</f>
        <v>MH14GP6843</v>
      </c>
      <c r="N1017" s="5" t="s">
        <v>25</v>
      </c>
      <c r="O1017" s="5" t="s">
        <v>25</v>
      </c>
      <c r="P1017" s="6" t="s">
        <v>25</v>
      </c>
      <c r="Q1017" s="5" t="s">
        <v>25</v>
      </c>
      <c r="R1017" s="5" t="s">
        <v>25</v>
      </c>
      <c r="S1017" s="5" t="str">
        <f>VLOOKUP(A1017,Sheet2!$A$2:$R$3432,18,0)</f>
        <v>JF50EU563217</v>
      </c>
      <c r="T1017" s="7" t="str">
        <f>VLOOKUP(A1017,Sheet2!$A$2:$R$3432,17,0)</f>
        <v>ME4JF507KHU653187</v>
      </c>
    </row>
    <row r="1018" ht="15.75" customHeight="1">
      <c r="A1018" s="3" t="s">
        <v>1041</v>
      </c>
      <c r="B1018" s="4" t="str">
        <f>VLOOKUP(A1018,Sheet2!$A$2:$R$3432,2,0)</f>
        <v>2024-09-04 20:56:52</v>
      </c>
      <c r="C1018" s="5" t="s">
        <v>25</v>
      </c>
      <c r="D1018" s="6" t="s">
        <v>25</v>
      </c>
      <c r="E1018" s="7">
        <f>VLOOKUP(A1018,Sheet2!$A$2:$R$3432,4,0)</f>
        <v>8999471673</v>
      </c>
      <c r="F1018" s="7" t="str">
        <f>VLOOKUP(A1018,Sheet2!$A$2:$R$3432,3,0)</f>
        <v>Prasad Bairagi </v>
      </c>
      <c r="G1018" s="5" t="s">
        <v>25</v>
      </c>
      <c r="H1018" s="5" t="s">
        <v>25</v>
      </c>
      <c r="I1018" s="5" t="s">
        <v>25</v>
      </c>
      <c r="J1018" s="5" t="s">
        <v>25</v>
      </c>
      <c r="K1018" s="7" t="str">
        <f>VLOOKUP(A1018,Sheet2!$A$2:$R$3432,6,0)</f>
        <v>TVS Jupiter </v>
      </c>
      <c r="L1018" s="5" t="s">
        <v>25</v>
      </c>
      <c r="M1018" s="7" t="str">
        <f>VLOOKUP(A1018,Sheet2!$A$2:$R$3432,5,0)</f>
        <v>MH15HF4568</v>
      </c>
      <c r="N1018" s="5" t="s">
        <v>25</v>
      </c>
      <c r="O1018" s="5" t="s">
        <v>25</v>
      </c>
      <c r="P1018" s="6" t="s">
        <v>25</v>
      </c>
      <c r="Q1018" s="5" t="s">
        <v>25</v>
      </c>
      <c r="R1018" s="5" t="s">
        <v>25</v>
      </c>
      <c r="S1018" s="5" t="str">
        <f>VLOOKUP(A1018,Sheet2!$A$2:$R$3432,18,0)</f>
        <v>DG5HL1104747</v>
      </c>
      <c r="T1018" s="7" t="str">
        <f>VLOOKUP(A1018,Sheet2!$A$2:$R$3432,17,0)</f>
        <v>MD626CG53L1H25617</v>
      </c>
    </row>
    <row r="1019" ht="15.75" customHeight="1">
      <c r="A1019" s="3" t="s">
        <v>1042</v>
      </c>
      <c r="B1019" s="4" t="str">
        <f>VLOOKUP(A1019,Sheet2!$A$2:$R$3432,2,0)</f>
        <v>2024-09-04 20:19:29</v>
      </c>
      <c r="C1019" s="5" t="s">
        <v>25</v>
      </c>
      <c r="D1019" s="6" t="s">
        <v>25</v>
      </c>
      <c r="E1019" s="7">
        <f>VLOOKUP(A1019,Sheet2!$A$2:$R$3432,4,0)</f>
        <v>9595907539</v>
      </c>
      <c r="F1019" s="7" t="str">
        <f>VLOOKUP(A1019,Sheet2!$A$2:$R$3432,3,0)</f>
        <v>Ramesh Vora</v>
      </c>
      <c r="G1019" s="5" t="s">
        <v>25</v>
      </c>
      <c r="H1019" s="5" t="s">
        <v>25</v>
      </c>
      <c r="I1019" s="5" t="s">
        <v>25</v>
      </c>
      <c r="J1019" s="5" t="s">
        <v>25</v>
      </c>
      <c r="K1019" s="7" t="str">
        <f>VLOOKUP(A1019,Sheet2!$A$2:$R$3432,6,0)</f>
        <v>Honda Activa 110</v>
      </c>
      <c r="L1019" s="5" t="s">
        <v>25</v>
      </c>
      <c r="M1019" s="7" t="str">
        <f>VLOOKUP(A1019,Sheet2!$A$2:$R$3432,5,0)</f>
        <v>MH14DY0885</v>
      </c>
      <c r="N1019" s="5" t="s">
        <v>25</v>
      </c>
      <c r="O1019" s="5" t="s">
        <v>25</v>
      </c>
      <c r="P1019" s="6" t="s">
        <v>25</v>
      </c>
      <c r="Q1019" s="5" t="s">
        <v>25</v>
      </c>
      <c r="R1019" s="5" t="s">
        <v>25</v>
      </c>
      <c r="S1019" s="7" t="str">
        <f>VLOOKUP(A1019,Sheet2!$A$2:$R$3432,18,0)</f>
        <v/>
      </c>
      <c r="T1019" s="7" t="str">
        <f>VLOOKUP(A1019,Sheet2!$A$2:$R$3432,17,0)</f>
        <v>ME4JF5010D8204433</v>
      </c>
    </row>
    <row r="1020" ht="15.75" customHeight="1">
      <c r="A1020" s="3" t="s">
        <v>1043</v>
      </c>
      <c r="B1020" s="4" t="str">
        <f>VLOOKUP(A1020,Sheet2!$A$2:$R$3432,2,0)</f>
        <v>2024-09-04 20:19:55</v>
      </c>
      <c r="C1020" s="5" t="s">
        <v>25</v>
      </c>
      <c r="D1020" s="6" t="s">
        <v>25</v>
      </c>
      <c r="E1020" s="7">
        <f>VLOOKUP(A1020,Sheet2!$A$2:$R$3432,4,0)</f>
        <v>7057160005</v>
      </c>
      <c r="F1020" s="7" t="str">
        <f>VLOOKUP(A1020,Sheet2!$A$2:$R$3432,3,0)</f>
        <v>Swaraj </v>
      </c>
      <c r="G1020" s="5" t="s">
        <v>25</v>
      </c>
      <c r="H1020" s="5" t="s">
        <v>25</v>
      </c>
      <c r="I1020" s="5" t="s">
        <v>25</v>
      </c>
      <c r="J1020" s="5" t="s">
        <v>25</v>
      </c>
      <c r="K1020" s="7" t="str">
        <f>VLOOKUP(A1020,Sheet2!$A$2:$R$3432,6,0)</f>
        <v>Honda Activa 110</v>
      </c>
      <c r="L1020" s="5" t="s">
        <v>25</v>
      </c>
      <c r="M1020" s="7" t="str">
        <f>VLOOKUP(A1020,Sheet2!$A$2:$R$3432,5,0)</f>
        <v>MH12GG4596</v>
      </c>
      <c r="N1020" s="5" t="s">
        <v>25</v>
      </c>
      <c r="O1020" s="5" t="s">
        <v>25</v>
      </c>
      <c r="P1020" s="6" t="s">
        <v>25</v>
      </c>
      <c r="Q1020" s="5" t="s">
        <v>25</v>
      </c>
      <c r="R1020" s="5" t="s">
        <v>25</v>
      </c>
      <c r="S1020" s="7" t="str">
        <f>VLOOKUP(A1020,Sheet2!$A$2:$R$3432,18,0)</f>
        <v/>
      </c>
      <c r="T1020" s="7" t="str">
        <f>VLOOKUP(A1020,Sheet2!$A$2:$R$3432,17,0)</f>
        <v/>
      </c>
    </row>
    <row r="1021" ht="15.75" customHeight="1">
      <c r="A1021" s="3" t="s">
        <v>1044</v>
      </c>
      <c r="B1021" s="4" t="str">
        <f>VLOOKUP(A1021,Sheet2!$A$2:$R$3432,2,0)</f>
        <v>2024-09-04 20:11:37</v>
      </c>
      <c r="C1021" s="5" t="s">
        <v>25</v>
      </c>
      <c r="D1021" s="6" t="s">
        <v>25</v>
      </c>
      <c r="E1021" s="7">
        <f>VLOOKUP(A1021,Sheet2!$A$2:$R$3432,4,0)</f>
        <v>7620644446</v>
      </c>
      <c r="F1021" s="7" t="str">
        <f>VLOOKUP(A1021,Sheet2!$A$2:$R$3432,3,0)</f>
        <v>Harshal Jadhav </v>
      </c>
      <c r="G1021" s="5" t="s">
        <v>25</v>
      </c>
      <c r="H1021" s="5" t="s">
        <v>25</v>
      </c>
      <c r="I1021" s="5" t="s">
        <v>25</v>
      </c>
      <c r="J1021" s="5" t="s">
        <v>25</v>
      </c>
      <c r="K1021" s="7" t="str">
        <f>VLOOKUP(A1021,Sheet2!$A$2:$R$3432,6,0)</f>
        <v>Honda Activa 6G</v>
      </c>
      <c r="L1021" s="5" t="s">
        <v>25</v>
      </c>
      <c r="M1021" s="7" t="str">
        <f>VLOOKUP(A1021,Sheet2!$A$2:$R$3432,5,0)</f>
        <v>MH12UD7465</v>
      </c>
      <c r="N1021" s="5" t="s">
        <v>25</v>
      </c>
      <c r="O1021" s="5" t="s">
        <v>25</v>
      </c>
      <c r="P1021" s="6" t="s">
        <v>25</v>
      </c>
      <c r="Q1021" s="5" t="s">
        <v>25</v>
      </c>
      <c r="R1021" s="5" t="s">
        <v>25</v>
      </c>
      <c r="S1021" s="7" t="str">
        <f>VLOOKUP(A1021,Sheet2!$A$2:$R$3432,18,0)</f>
        <v/>
      </c>
      <c r="T1021" s="7" t="str">
        <f>VLOOKUP(A1021,Sheet2!$A$2:$R$3432,17,0)</f>
        <v/>
      </c>
    </row>
    <row r="1022" ht="15.75" customHeight="1">
      <c r="A1022" s="3" t="s">
        <v>1045</v>
      </c>
      <c r="B1022" s="4" t="str">
        <f>VLOOKUP(A1022,Sheet2!$A$2:$R$3432,2,0)</f>
        <v>2024-09-04 20:11:13</v>
      </c>
      <c r="C1022" s="5" t="s">
        <v>25</v>
      </c>
      <c r="D1022" s="6" t="s">
        <v>25</v>
      </c>
      <c r="E1022" s="7">
        <f>VLOOKUP(A1022,Sheet2!$A$2:$R$3432,4,0)</f>
        <v>8007363740</v>
      </c>
      <c r="F1022" s="7" t="str">
        <f>VLOOKUP(A1022,Sheet2!$A$2:$R$3432,3,0)</f>
        <v>Vijay Bhosle </v>
      </c>
      <c r="G1022" s="5" t="s">
        <v>25</v>
      </c>
      <c r="H1022" s="5" t="s">
        <v>25</v>
      </c>
      <c r="I1022" s="5" t="s">
        <v>25</v>
      </c>
      <c r="J1022" s="5" t="s">
        <v>25</v>
      </c>
      <c r="K1022" s="7" t="str">
        <f>VLOOKUP(A1022,Sheet2!$A$2:$R$3432,6,0)</f>
        <v>Honda SP 125 Drum</v>
      </c>
      <c r="L1022" s="5" t="s">
        <v>25</v>
      </c>
      <c r="M1022" s="7" t="str">
        <f>VLOOKUP(A1022,Sheet2!$A$2:$R$3432,5,0)</f>
        <v>MH21BY4702</v>
      </c>
      <c r="N1022" s="5" t="s">
        <v>25</v>
      </c>
      <c r="O1022" s="5" t="s">
        <v>25</v>
      </c>
      <c r="P1022" s="6" t="s">
        <v>25</v>
      </c>
      <c r="Q1022" s="5" t="s">
        <v>25</v>
      </c>
      <c r="R1022" s="5" t="s">
        <v>25</v>
      </c>
      <c r="S1022" s="7" t="str">
        <f>VLOOKUP(A1022,Sheet2!$A$2:$R$3432,18,0)</f>
        <v/>
      </c>
      <c r="T1022" s="7" t="str">
        <f>VLOOKUP(A1022,Sheet2!$A$2:$R$3432,17,0)</f>
        <v/>
      </c>
    </row>
    <row r="1023" ht="15.75" customHeight="1">
      <c r="A1023" s="3" t="s">
        <v>1046</v>
      </c>
      <c r="B1023" s="4" t="str">
        <f>VLOOKUP(A1023,Sheet2!$A$2:$R$3432,2,0)</f>
        <v>2024-09-04 20:12:41</v>
      </c>
      <c r="C1023" s="5" t="s">
        <v>25</v>
      </c>
      <c r="D1023" s="6" t="s">
        <v>25</v>
      </c>
      <c r="E1023" s="7">
        <f>VLOOKUP(A1023,Sheet2!$A$2:$R$3432,4,0)</f>
        <v>9823062767</v>
      </c>
      <c r="F1023" s="7" t="str">
        <f>VLOOKUP(A1023,Sheet2!$A$2:$R$3432,3,0)</f>
        <v>Anil Waghmode</v>
      </c>
      <c r="G1023" s="5" t="s">
        <v>25</v>
      </c>
      <c r="H1023" s="5" t="s">
        <v>25</v>
      </c>
      <c r="I1023" s="5" t="s">
        <v>25</v>
      </c>
      <c r="J1023" s="5" t="s">
        <v>25</v>
      </c>
      <c r="K1023" s="7" t="str">
        <f>VLOOKUP(A1023,Sheet2!$A$2:$R$3432,6,0)</f>
        <v>Honda Shine HET</v>
      </c>
      <c r="L1023" s="5" t="s">
        <v>25</v>
      </c>
      <c r="M1023" s="7" t="str">
        <f>VLOOKUP(A1023,Sheet2!$A$2:$R$3432,5,0)</f>
        <v>MH12PY6879</v>
      </c>
      <c r="N1023" s="5" t="s">
        <v>25</v>
      </c>
      <c r="O1023" s="5" t="s">
        <v>25</v>
      </c>
      <c r="P1023" s="6" t="s">
        <v>25</v>
      </c>
      <c r="Q1023" s="5" t="s">
        <v>25</v>
      </c>
      <c r="R1023" s="5" t="s">
        <v>25</v>
      </c>
      <c r="S1023" s="5" t="str">
        <f>VLOOKUP(A1023,Sheet2!$A$2:$R$3432,18,0)</f>
        <v>JC73ET1283105</v>
      </c>
      <c r="T1023" s="7" t="str">
        <f>VLOOKUP(A1023,Sheet2!$A$2:$R$3432,17,0)</f>
        <v>ME4JC735AJT117320</v>
      </c>
    </row>
    <row r="1024" ht="15.75" customHeight="1">
      <c r="A1024" s="3" t="s">
        <v>1047</v>
      </c>
      <c r="B1024" s="4" t="str">
        <f>VLOOKUP(A1024,Sheet2!$A$2:$R$3432,2,0)</f>
        <v>2024-09-04 20:13:25</v>
      </c>
      <c r="C1024" s="5" t="s">
        <v>25</v>
      </c>
      <c r="D1024" s="6" t="s">
        <v>25</v>
      </c>
      <c r="E1024" s="7">
        <f>VLOOKUP(A1024,Sheet2!$A$2:$R$3432,4,0)</f>
        <v>8888868942</v>
      </c>
      <c r="F1024" s="7" t="str">
        <f>VLOOKUP(A1024,Sheet2!$A$2:$R$3432,3,0)</f>
        <v>Amol Tikone</v>
      </c>
      <c r="G1024" s="5" t="s">
        <v>25</v>
      </c>
      <c r="H1024" s="5" t="s">
        <v>25</v>
      </c>
      <c r="I1024" s="5" t="s">
        <v>25</v>
      </c>
      <c r="J1024" s="5" t="s">
        <v>25</v>
      </c>
      <c r="K1024" s="7" t="str">
        <f>VLOOKUP(A1024,Sheet2!$A$2:$R$3432,6,0)</f>
        <v>Hero Pleasure </v>
      </c>
      <c r="L1024" s="5" t="s">
        <v>25</v>
      </c>
      <c r="M1024" s="7" t="str">
        <f>VLOOKUP(A1024,Sheet2!$A$2:$R$3432,5,0)</f>
        <v>MH12HM8685</v>
      </c>
      <c r="N1024" s="5" t="s">
        <v>25</v>
      </c>
      <c r="O1024" s="5" t="s">
        <v>25</v>
      </c>
      <c r="P1024" s="6" t="s">
        <v>25</v>
      </c>
      <c r="Q1024" s="5" t="s">
        <v>25</v>
      </c>
      <c r="R1024" s="5" t="s">
        <v>25</v>
      </c>
      <c r="S1024" s="7" t="str">
        <f>VLOOKUP(A1024,Sheet2!$A$2:$R$3432,18,0)</f>
        <v/>
      </c>
      <c r="T1024" s="7" t="str">
        <f>VLOOKUP(A1024,Sheet2!$A$2:$R$3432,17,0)</f>
        <v>MBLJF16EDBGK28043</v>
      </c>
    </row>
    <row r="1025" ht="15.75" customHeight="1">
      <c r="A1025" s="3" t="s">
        <v>1048</v>
      </c>
      <c r="B1025" s="4" t="str">
        <f>VLOOKUP(A1025,Sheet2!$A$2:$R$3432,2,0)</f>
        <v>2024-09-04 20:15:24</v>
      </c>
      <c r="C1025" s="5" t="s">
        <v>25</v>
      </c>
      <c r="D1025" s="6" t="s">
        <v>25</v>
      </c>
      <c r="E1025" s="7">
        <f>VLOOKUP(A1025,Sheet2!$A$2:$R$3432,4,0)</f>
        <v>8698535457</v>
      </c>
      <c r="F1025" s="7" t="str">
        <f>VLOOKUP(A1025,Sheet2!$A$2:$R$3432,3,0)</f>
        <v>PRITI BAKSHI</v>
      </c>
      <c r="G1025" s="5" t="s">
        <v>25</v>
      </c>
      <c r="H1025" s="5" t="s">
        <v>25</v>
      </c>
      <c r="I1025" s="5" t="s">
        <v>25</v>
      </c>
      <c r="J1025" s="5" t="s">
        <v>25</v>
      </c>
      <c r="K1025" s="7" t="str">
        <f>VLOOKUP(A1025,Sheet2!$A$2:$R$3432,6,0)</f>
        <v>TVS Scooty PEP Plus</v>
      </c>
      <c r="L1025" s="5" t="s">
        <v>25</v>
      </c>
      <c r="M1025" s="7" t="str">
        <f>VLOOKUP(A1025,Sheet2!$A$2:$R$3432,5,0)</f>
        <v>MH14EA0597</v>
      </c>
      <c r="N1025" s="5" t="s">
        <v>25</v>
      </c>
      <c r="O1025" s="5" t="s">
        <v>25</v>
      </c>
      <c r="P1025" s="6" t="s">
        <v>25</v>
      </c>
      <c r="Q1025" s="5" t="s">
        <v>25</v>
      </c>
      <c r="R1025" s="5" t="s">
        <v>25</v>
      </c>
      <c r="S1025" s="5" t="str">
        <f>VLOOKUP(A1025,Sheet2!$A$2:$R$3432,18,0)</f>
        <v>O63ED2120243</v>
      </c>
      <c r="T1025" s="7" t="str">
        <f>VLOOKUP(A1025,Sheet2!$A$2:$R$3432,17,0)</f>
        <v>MD626B636D2E94213</v>
      </c>
    </row>
    <row r="1026" ht="15.75" customHeight="1">
      <c r="A1026" s="3" t="s">
        <v>1049</v>
      </c>
      <c r="B1026" s="4" t="str">
        <f>VLOOKUP(A1026,Sheet2!$A$2:$R$3432,2,0)</f>
        <v>2024-09-04 20:15:57</v>
      </c>
      <c r="C1026" s="5" t="s">
        <v>25</v>
      </c>
      <c r="D1026" s="6" t="s">
        <v>25</v>
      </c>
      <c r="E1026" s="7">
        <f>VLOOKUP(A1026,Sheet2!$A$2:$R$3432,4,0)</f>
        <v>9545878780</v>
      </c>
      <c r="F1026" s="7" t="str">
        <f>VLOOKUP(A1026,Sheet2!$A$2:$R$3432,3,0)</f>
        <v>Aman</v>
      </c>
      <c r="G1026" s="5" t="s">
        <v>25</v>
      </c>
      <c r="H1026" s="5" t="s">
        <v>25</v>
      </c>
      <c r="I1026" s="5" t="s">
        <v>25</v>
      </c>
      <c r="J1026" s="5" t="s">
        <v>25</v>
      </c>
      <c r="K1026" s="7" t="str">
        <f>VLOOKUP(A1026,Sheet2!$A$2:$R$3432,6,0)</f>
        <v>Honda Activa 5G</v>
      </c>
      <c r="L1026" s="5" t="s">
        <v>25</v>
      </c>
      <c r="M1026" s="7" t="str">
        <f>VLOOKUP(A1026,Sheet2!$A$2:$R$3432,5,0)</f>
        <v>MH12QP2377</v>
      </c>
      <c r="N1026" s="5" t="s">
        <v>25</v>
      </c>
      <c r="O1026" s="5" t="s">
        <v>25</v>
      </c>
      <c r="P1026" s="6" t="s">
        <v>25</v>
      </c>
      <c r="Q1026" s="5" t="s">
        <v>25</v>
      </c>
      <c r="R1026" s="5" t="s">
        <v>25</v>
      </c>
      <c r="S1026" s="5" t="str">
        <f>VLOOKUP(A1026,Sheet2!$A$2:$R$3432,18,0)</f>
        <v>JF50EU8052805</v>
      </c>
      <c r="T1026" s="7" t="str">
        <f>VLOOKUP(A1026,Sheet2!$A$2:$R$3432,17,0)</f>
        <v>ME4J50BFJU52758</v>
      </c>
    </row>
    <row r="1027" ht="15.75" customHeight="1">
      <c r="A1027" s="3" t="s">
        <v>1050</v>
      </c>
      <c r="B1027" s="4" t="str">
        <f>VLOOKUP(A1027,Sheet2!$A$2:$R$3432,2,0)</f>
        <v>2024-09-04 20:16:48</v>
      </c>
      <c r="C1027" s="5" t="s">
        <v>25</v>
      </c>
      <c r="D1027" s="6" t="s">
        <v>25</v>
      </c>
      <c r="E1027" s="7">
        <f>VLOOKUP(A1027,Sheet2!$A$2:$R$3432,4,0)</f>
        <v>8867232985</v>
      </c>
      <c r="F1027" s="7" t="str">
        <f>VLOOKUP(A1027,Sheet2!$A$2:$R$3432,3,0)</f>
        <v>Nagendra </v>
      </c>
      <c r="G1027" s="5" t="s">
        <v>25</v>
      </c>
      <c r="H1027" s="5" t="s">
        <v>25</v>
      </c>
      <c r="I1027" s="5" t="s">
        <v>25</v>
      </c>
      <c r="J1027" s="5" t="s">
        <v>25</v>
      </c>
      <c r="K1027" s="7" t="str">
        <f>VLOOKUP(A1027,Sheet2!$A$2:$R$3432,6,0)</f>
        <v>Yamaha MT 15</v>
      </c>
      <c r="L1027" s="5" t="s">
        <v>25</v>
      </c>
      <c r="M1027" s="7" t="str">
        <f>VLOOKUP(A1027,Sheet2!$A$2:$R$3432,5,0)</f>
        <v>KA02KK1019</v>
      </c>
      <c r="N1027" s="5" t="s">
        <v>25</v>
      </c>
      <c r="O1027" s="5" t="s">
        <v>25</v>
      </c>
      <c r="P1027" s="6" t="s">
        <v>25</v>
      </c>
      <c r="Q1027" s="5" t="s">
        <v>25</v>
      </c>
      <c r="R1027" s="5" t="s">
        <v>25</v>
      </c>
      <c r="S1027" s="7" t="str">
        <f>VLOOKUP(A1027,Sheet2!$A$2:$R$3432,18,0)</f>
        <v/>
      </c>
      <c r="T1027" s="7" t="str">
        <f>VLOOKUP(A1027,Sheet2!$A$2:$R$3432,17,0)</f>
        <v/>
      </c>
    </row>
    <row r="1028" ht="15.75" customHeight="1">
      <c r="A1028" s="3" t="s">
        <v>1051</v>
      </c>
      <c r="B1028" s="4" t="str">
        <f>VLOOKUP(A1028,Sheet2!$A$2:$R$3432,2,0)</f>
        <v>2024-09-04 20:19:04</v>
      </c>
      <c r="C1028" s="5" t="s">
        <v>25</v>
      </c>
      <c r="D1028" s="6" t="s">
        <v>25</v>
      </c>
      <c r="E1028" s="7">
        <f>VLOOKUP(A1028,Sheet2!$A$2:$R$3432,4,0)</f>
        <v>9373558441</v>
      </c>
      <c r="F1028" s="7" t="str">
        <f>VLOOKUP(A1028,Sheet2!$A$2:$R$3432,3,0)</f>
        <v>Suyog Bagul</v>
      </c>
      <c r="G1028" s="5" t="s">
        <v>25</v>
      </c>
      <c r="H1028" s="5" t="s">
        <v>25</v>
      </c>
      <c r="I1028" s="5" t="s">
        <v>25</v>
      </c>
      <c r="J1028" s="5" t="s">
        <v>25</v>
      </c>
      <c r="K1028" s="7" t="str">
        <f>VLOOKUP(A1028,Sheet2!$A$2:$R$3432,6,0)</f>
        <v>Honda Unicorn </v>
      </c>
      <c r="L1028" s="5" t="s">
        <v>25</v>
      </c>
      <c r="M1028" s="7" t="str">
        <f>VLOOKUP(A1028,Sheet2!$A$2:$R$3432,5,0)</f>
        <v>MH18BK4845</v>
      </c>
      <c r="N1028" s="5" t="s">
        <v>25</v>
      </c>
      <c r="O1028" s="5" t="s">
        <v>25</v>
      </c>
      <c r="P1028" s="6" t="s">
        <v>25</v>
      </c>
      <c r="Q1028" s="5" t="s">
        <v>25</v>
      </c>
      <c r="R1028" s="5" t="s">
        <v>25</v>
      </c>
      <c r="S1028" s="7" t="str">
        <f>VLOOKUP(A1028,Sheet2!$A$2:$R$3432,18,0)</f>
        <v/>
      </c>
      <c r="T1028" s="7" t="str">
        <f>VLOOKUP(A1028,Sheet2!$A$2:$R$3432,17,0)</f>
        <v/>
      </c>
    </row>
    <row r="1029" ht="15.75" customHeight="1">
      <c r="A1029" s="3" t="s">
        <v>1052</v>
      </c>
      <c r="B1029" s="4" t="str">
        <f>VLOOKUP(A1029,Sheet2!$A$2:$R$3432,2,0)</f>
        <v>2024-09-04 20:20:47</v>
      </c>
      <c r="C1029" s="5" t="s">
        <v>25</v>
      </c>
      <c r="D1029" s="6" t="s">
        <v>25</v>
      </c>
      <c r="E1029" s="7">
        <f>VLOOKUP(A1029,Sheet2!$A$2:$R$3432,4,0)</f>
        <v>8272979075</v>
      </c>
      <c r="F1029" s="7" t="str">
        <f>VLOOKUP(A1029,Sheet2!$A$2:$R$3432,3,0)</f>
        <v>Shubham </v>
      </c>
      <c r="G1029" s="5" t="s">
        <v>25</v>
      </c>
      <c r="H1029" s="5" t="s">
        <v>25</v>
      </c>
      <c r="I1029" s="5" t="s">
        <v>25</v>
      </c>
      <c r="J1029" s="5" t="s">
        <v>25</v>
      </c>
      <c r="K1029" s="7" t="str">
        <f>VLOOKUP(A1029,Sheet2!$A$2:$R$3432,6,0)</f>
        <v>Suzuki Gixxer SF</v>
      </c>
      <c r="L1029" s="5" t="s">
        <v>25</v>
      </c>
      <c r="M1029" s="7" t="str">
        <f>VLOOKUP(A1029,Sheet2!$A$2:$R$3432,5,0)</f>
        <v>MH03CQ6419</v>
      </c>
      <c r="N1029" s="5" t="s">
        <v>25</v>
      </c>
      <c r="O1029" s="5" t="s">
        <v>25</v>
      </c>
      <c r="P1029" s="6" t="s">
        <v>25</v>
      </c>
      <c r="Q1029" s="5" t="s">
        <v>25</v>
      </c>
      <c r="R1029" s="5" t="s">
        <v>25</v>
      </c>
      <c r="S1029" s="7" t="str">
        <f>VLOOKUP(A1029,Sheet2!$A$2:$R$3432,18,0)</f>
        <v/>
      </c>
      <c r="T1029" s="7" t="str">
        <f>VLOOKUP(A1029,Sheet2!$A$2:$R$3432,17,0)</f>
        <v/>
      </c>
    </row>
    <row r="1030" ht="15.75" customHeight="1">
      <c r="A1030" s="3" t="s">
        <v>1053</v>
      </c>
      <c r="B1030" s="4" t="str">
        <f>VLOOKUP(A1030,Sheet2!$A$2:$R$3432,2,0)</f>
        <v>2024-09-04 20:21:51</v>
      </c>
      <c r="C1030" s="5" t="s">
        <v>25</v>
      </c>
      <c r="D1030" s="6" t="s">
        <v>25</v>
      </c>
      <c r="E1030" s="7">
        <f>VLOOKUP(A1030,Sheet2!$A$2:$R$3432,4,0)</f>
        <v>8975042910</v>
      </c>
      <c r="F1030" s="7" t="str">
        <f>VLOOKUP(A1030,Sheet2!$A$2:$R$3432,3,0)</f>
        <v>Rohit </v>
      </c>
      <c r="G1030" s="5" t="s">
        <v>25</v>
      </c>
      <c r="H1030" s="5" t="s">
        <v>25</v>
      </c>
      <c r="I1030" s="5" t="s">
        <v>25</v>
      </c>
      <c r="J1030" s="5" t="s">
        <v>25</v>
      </c>
      <c r="K1030" s="7" t="str">
        <f>VLOOKUP(A1030,Sheet2!$A$2:$R$3432,6,0)</f>
        <v>Honda Hornet </v>
      </c>
      <c r="L1030" s="5" t="s">
        <v>25</v>
      </c>
      <c r="M1030" s="7" t="str">
        <f>VLOOKUP(A1030,Sheet2!$A$2:$R$3432,5,0)</f>
        <v>MH12QP3130</v>
      </c>
      <c r="N1030" s="5" t="s">
        <v>25</v>
      </c>
      <c r="O1030" s="5" t="s">
        <v>25</v>
      </c>
      <c r="P1030" s="6" t="s">
        <v>25</v>
      </c>
      <c r="Q1030" s="5" t="s">
        <v>25</v>
      </c>
      <c r="R1030" s="5" t="s">
        <v>25</v>
      </c>
      <c r="S1030" s="5" t="str">
        <f>VLOOKUP(A1030,Sheet2!$A$2:$R$3432,18,0)</f>
        <v>KC23E85011521</v>
      </c>
      <c r="T1030" s="7" t="str">
        <f>VLOOKUP(A1030,Sheet2!$A$2:$R$3432,17,0)</f>
        <v>ME4KC23KEJ8000550</v>
      </c>
    </row>
    <row r="1031" ht="15.75" customHeight="1">
      <c r="A1031" s="3" t="s">
        <v>1054</v>
      </c>
      <c r="B1031" s="4" t="str">
        <f>VLOOKUP(A1031,Sheet2!$A$2:$R$3432,2,0)</f>
        <v>2024-09-04 20:22:42</v>
      </c>
      <c r="C1031" s="5" t="s">
        <v>25</v>
      </c>
      <c r="D1031" s="6" t="s">
        <v>25</v>
      </c>
      <c r="E1031" s="7">
        <f>VLOOKUP(A1031,Sheet2!$A$2:$R$3432,4,0)</f>
        <v>8484908611</v>
      </c>
      <c r="F1031" s="7" t="str">
        <f>VLOOKUP(A1031,Sheet2!$A$2:$R$3432,3,0)</f>
        <v>Parth</v>
      </c>
      <c r="G1031" s="5" t="s">
        <v>25</v>
      </c>
      <c r="H1031" s="5" t="s">
        <v>25</v>
      </c>
      <c r="I1031" s="5" t="s">
        <v>25</v>
      </c>
      <c r="J1031" s="5" t="s">
        <v>25</v>
      </c>
      <c r="K1031" s="7" t="str">
        <f>VLOOKUP(A1031,Sheet2!$A$2:$R$3432,6,0)</f>
        <v>Bajaj Pulsar 200 NS</v>
      </c>
      <c r="L1031" s="5" t="s">
        <v>25</v>
      </c>
      <c r="M1031" s="7" t="str">
        <f>VLOOKUP(A1031,Sheet2!$A$2:$R$3432,5,0)</f>
        <v>MH14HT5150</v>
      </c>
      <c r="N1031" s="5" t="s">
        <v>25</v>
      </c>
      <c r="O1031" s="5" t="s">
        <v>25</v>
      </c>
      <c r="P1031" s="6" t="s">
        <v>25</v>
      </c>
      <c r="Q1031" s="5" t="s">
        <v>25</v>
      </c>
      <c r="R1031" s="5" t="s">
        <v>25</v>
      </c>
      <c r="S1031" s="7" t="str">
        <f>VLOOKUP(A1031,Sheet2!$A$2:$R$3432,18,0)</f>
        <v/>
      </c>
      <c r="T1031" s="7" t="str">
        <f>VLOOKUP(A1031,Sheet2!$A$2:$R$3432,17,0)</f>
        <v/>
      </c>
    </row>
    <row r="1032" ht="15.75" customHeight="1">
      <c r="A1032" s="3" t="s">
        <v>1055</v>
      </c>
      <c r="B1032" s="4" t="str">
        <f>VLOOKUP(A1032,Sheet2!$A$2:$R$3432,2,0)</f>
        <v>2024-09-04 20:25:45</v>
      </c>
      <c r="C1032" s="5" t="s">
        <v>25</v>
      </c>
      <c r="D1032" s="6" t="s">
        <v>25</v>
      </c>
      <c r="E1032" s="7">
        <f>VLOOKUP(A1032,Sheet2!$A$2:$R$3432,4,0)</f>
        <v>9503387494</v>
      </c>
      <c r="F1032" s="7" t="str">
        <f>VLOOKUP(A1032,Sheet2!$A$2:$R$3432,3,0)</f>
        <v>Aashish Varma</v>
      </c>
      <c r="G1032" s="5" t="s">
        <v>25</v>
      </c>
      <c r="H1032" s="5" t="s">
        <v>25</v>
      </c>
      <c r="I1032" s="5" t="s">
        <v>25</v>
      </c>
      <c r="J1032" s="5" t="s">
        <v>25</v>
      </c>
      <c r="K1032" s="7" t="str">
        <f>VLOOKUP(A1032,Sheet2!$A$2:$R$3432,6,0)</f>
        <v>Honda Activa No Data</v>
      </c>
      <c r="L1032" s="5" t="s">
        <v>25</v>
      </c>
      <c r="M1032" s="7" t="str">
        <f>VLOOKUP(A1032,Sheet2!$A$2:$R$3432,5,0)</f>
        <v>MH12FW7052</v>
      </c>
      <c r="N1032" s="5" t="s">
        <v>25</v>
      </c>
      <c r="O1032" s="5" t="s">
        <v>25</v>
      </c>
      <c r="P1032" s="6" t="s">
        <v>25</v>
      </c>
      <c r="Q1032" s="5" t="s">
        <v>25</v>
      </c>
      <c r="R1032" s="5" t="s">
        <v>25</v>
      </c>
      <c r="S1032" s="5" t="str">
        <f>VLOOKUP(A1032,Sheet2!$A$2:$R$3432,18,0)</f>
        <v>JC44E0529820</v>
      </c>
      <c r="T1032" s="7" t="str">
        <f>VLOOKUP(A1032,Sheet2!$A$2:$R$3432,17,0)</f>
        <v>ME4JC446BA8120266</v>
      </c>
    </row>
    <row r="1033" ht="15.75" customHeight="1">
      <c r="A1033" s="3" t="s">
        <v>1056</v>
      </c>
      <c r="B1033" s="4" t="str">
        <f>VLOOKUP(A1033,Sheet2!$A$2:$R$3432,2,0)</f>
        <v>2024-09-04 20:30:45</v>
      </c>
      <c r="C1033" s="5" t="s">
        <v>25</v>
      </c>
      <c r="D1033" s="6" t="s">
        <v>25</v>
      </c>
      <c r="E1033" s="7">
        <f>VLOOKUP(A1033,Sheet2!$A$2:$R$3432,4,0)</f>
        <v>8275446293</v>
      </c>
      <c r="F1033" s="7" t="str">
        <f>VLOOKUP(A1033,Sheet2!$A$2:$R$3432,3,0)</f>
        <v>Milind Borawke</v>
      </c>
      <c r="G1033" s="5" t="s">
        <v>25</v>
      </c>
      <c r="H1033" s="5" t="s">
        <v>25</v>
      </c>
      <c r="I1033" s="5" t="s">
        <v>25</v>
      </c>
      <c r="J1033" s="5" t="s">
        <v>25</v>
      </c>
      <c r="K1033" s="7" t="str">
        <f>VLOOKUP(A1033,Sheet2!$A$2:$R$3432,6,0)</f>
        <v>Yamaha Fascino </v>
      </c>
      <c r="L1033" s="5" t="s">
        <v>25</v>
      </c>
      <c r="M1033" s="7" t="str">
        <f>VLOOKUP(A1033,Sheet2!$A$2:$R$3432,5,0)</f>
        <v>MH12NY8650</v>
      </c>
      <c r="N1033" s="5" t="s">
        <v>25</v>
      </c>
      <c r="O1033" s="5" t="s">
        <v>25</v>
      </c>
      <c r="P1033" s="6" t="s">
        <v>25</v>
      </c>
      <c r="Q1033" s="5" t="s">
        <v>25</v>
      </c>
      <c r="R1033" s="5" t="s">
        <v>25</v>
      </c>
      <c r="S1033" s="7" t="str">
        <f>VLOOKUP(A1033,Sheet2!$A$2:$R$3432,18,0)</f>
        <v/>
      </c>
      <c r="T1033" s="7" t="str">
        <f>VLOOKUP(A1033,Sheet2!$A$2:$R$3432,17,0)</f>
        <v/>
      </c>
    </row>
    <row r="1034" ht="15.75" customHeight="1">
      <c r="A1034" s="3" t="s">
        <v>1057</v>
      </c>
      <c r="B1034" s="4" t="str">
        <f>VLOOKUP(A1034,Sheet2!$A$2:$R$3432,2,0)</f>
        <v>2024-09-04 20:32:59</v>
      </c>
      <c r="C1034" s="5" t="s">
        <v>25</v>
      </c>
      <c r="D1034" s="6" t="s">
        <v>25</v>
      </c>
      <c r="E1034" s="7">
        <f>VLOOKUP(A1034,Sheet2!$A$2:$R$3432,4,0)</f>
        <v>9370530324</v>
      </c>
      <c r="F1034" s="7" t="str">
        <f>VLOOKUP(A1034,Sheet2!$A$2:$R$3432,3,0)</f>
        <v>Sachin</v>
      </c>
      <c r="G1034" s="5" t="s">
        <v>25</v>
      </c>
      <c r="H1034" s="5" t="s">
        <v>25</v>
      </c>
      <c r="I1034" s="5" t="s">
        <v>25</v>
      </c>
      <c r="J1034" s="5" t="s">
        <v>25</v>
      </c>
      <c r="K1034" s="7" t="str">
        <f>VLOOKUP(A1034,Sheet2!$A$2:$R$3432,6,0)</f>
        <v>TVS Wego </v>
      </c>
      <c r="L1034" s="5" t="s">
        <v>25</v>
      </c>
      <c r="M1034" s="7" t="str">
        <f>VLOOKUP(A1034,Sheet2!$A$2:$R$3432,5,0)</f>
        <v>MH12GY7606</v>
      </c>
      <c r="N1034" s="5" t="s">
        <v>25</v>
      </c>
      <c r="O1034" s="5" t="s">
        <v>25</v>
      </c>
      <c r="P1034" s="6" t="s">
        <v>25</v>
      </c>
      <c r="Q1034" s="5" t="s">
        <v>25</v>
      </c>
      <c r="R1034" s="5" t="s">
        <v>25</v>
      </c>
      <c r="S1034" s="7" t="str">
        <f>VLOOKUP(A1034,Sheet2!$A$2:$R$3432,18,0)</f>
        <v/>
      </c>
      <c r="T1034" s="7" t="str">
        <f>VLOOKUP(A1034,Sheet2!$A$2:$R$3432,17,0)</f>
        <v/>
      </c>
    </row>
    <row r="1035" ht="15.75" customHeight="1">
      <c r="A1035" s="3" t="s">
        <v>1058</v>
      </c>
      <c r="B1035" s="4" t="str">
        <f>VLOOKUP(A1035,Sheet2!$A$2:$R$3432,2,0)</f>
        <v>2024-09-04 20:32:22</v>
      </c>
      <c r="C1035" s="5" t="s">
        <v>25</v>
      </c>
      <c r="D1035" s="6" t="s">
        <v>25</v>
      </c>
      <c r="E1035" s="7">
        <f>VLOOKUP(A1035,Sheet2!$A$2:$R$3432,4,0)</f>
        <v>9348759848</v>
      </c>
      <c r="F1035" s="7" t="str">
        <f>VLOOKUP(A1035,Sheet2!$A$2:$R$3432,3,0)</f>
        <v>Varun</v>
      </c>
      <c r="G1035" s="5" t="s">
        <v>25</v>
      </c>
      <c r="H1035" s="5" t="s">
        <v>25</v>
      </c>
      <c r="I1035" s="5" t="s">
        <v>25</v>
      </c>
      <c r="J1035" s="5" t="s">
        <v>25</v>
      </c>
      <c r="K1035" s="7" t="str">
        <f>VLOOKUP(A1035,Sheet2!$A$2:$R$3432,6,0)</f>
        <v>TVS Apache RTR 200 4V</v>
      </c>
      <c r="L1035" s="5" t="s">
        <v>25</v>
      </c>
      <c r="M1035" s="7" t="str">
        <f>VLOOKUP(A1035,Sheet2!$A$2:$R$3432,5,0)</f>
        <v>MH12PD1623</v>
      </c>
      <c r="N1035" s="5" t="s">
        <v>25</v>
      </c>
      <c r="O1035" s="5" t="s">
        <v>25</v>
      </c>
      <c r="P1035" s="6" t="s">
        <v>25</v>
      </c>
      <c r="Q1035" s="5" t="s">
        <v>25</v>
      </c>
      <c r="R1035" s="5" t="s">
        <v>25</v>
      </c>
      <c r="S1035" s="7" t="str">
        <f>VLOOKUP(A1035,Sheet2!$A$2:$R$3432,18,0)</f>
        <v/>
      </c>
      <c r="T1035" s="7" t="str">
        <f>VLOOKUP(A1035,Sheet2!$A$2:$R$3432,17,0)</f>
        <v/>
      </c>
    </row>
    <row r="1036" ht="15.75" customHeight="1">
      <c r="A1036" s="3" t="s">
        <v>1059</v>
      </c>
      <c r="B1036" s="4" t="str">
        <f>VLOOKUP(A1036,Sheet2!$A$2:$R$3432,2,0)</f>
        <v>2024-09-04 20:33:46</v>
      </c>
      <c r="C1036" s="5" t="s">
        <v>25</v>
      </c>
      <c r="D1036" s="6" t="s">
        <v>25</v>
      </c>
      <c r="E1036" s="7">
        <f>VLOOKUP(A1036,Sheet2!$A$2:$R$3432,4,0)</f>
        <v>9552179245</v>
      </c>
      <c r="F1036" s="7" t="str">
        <f>VLOOKUP(A1036,Sheet2!$A$2:$R$3432,3,0)</f>
        <v>Kaushik</v>
      </c>
      <c r="G1036" s="5" t="s">
        <v>25</v>
      </c>
      <c r="H1036" s="5" t="s">
        <v>25</v>
      </c>
      <c r="I1036" s="5" t="s">
        <v>25</v>
      </c>
      <c r="J1036" s="5" t="s">
        <v>25</v>
      </c>
      <c r="K1036" s="7" t="str">
        <f>VLOOKUP(A1036,Sheet2!$A$2:$R$3432,6,0)</f>
        <v>Honda Activa 110</v>
      </c>
      <c r="L1036" s="5" t="s">
        <v>25</v>
      </c>
      <c r="M1036" s="7" t="str">
        <f>VLOOKUP(A1036,Sheet2!$A$2:$R$3432,5,0)</f>
        <v>MH14EW2215</v>
      </c>
      <c r="N1036" s="5" t="s">
        <v>25</v>
      </c>
      <c r="O1036" s="5" t="s">
        <v>25</v>
      </c>
      <c r="P1036" s="6" t="s">
        <v>25</v>
      </c>
      <c r="Q1036" s="5" t="s">
        <v>25</v>
      </c>
      <c r="R1036" s="5" t="s">
        <v>25</v>
      </c>
      <c r="S1036" s="5" t="str">
        <f>VLOOKUP(A1036,Sheet2!$A$2:$R$3432,18,0)</f>
        <v>JF50E72012042</v>
      </c>
      <c r="T1036" s="7" t="str">
        <f>VLOOKUP(A1036,Sheet2!$A$2:$R$3432,17,0)</f>
        <v>ME4JF504BF7012078</v>
      </c>
    </row>
    <row r="1037" ht="15.75" customHeight="1">
      <c r="A1037" s="3" t="s">
        <v>1060</v>
      </c>
      <c r="B1037" s="4" t="str">
        <f>VLOOKUP(A1037,Sheet2!$A$2:$R$3432,2,0)</f>
        <v>2024-09-04 20:42:34</v>
      </c>
      <c r="C1037" s="5" t="s">
        <v>25</v>
      </c>
      <c r="D1037" s="6" t="s">
        <v>25</v>
      </c>
      <c r="E1037" s="7">
        <f>VLOOKUP(A1037,Sheet2!$A$2:$R$3432,4,0)</f>
        <v>8698881484</v>
      </c>
      <c r="F1037" s="7" t="str">
        <f>VLOOKUP(A1037,Sheet2!$A$2:$R$3432,3,0)</f>
        <v>Vaidehi Shejwalkar</v>
      </c>
      <c r="G1037" s="5" t="s">
        <v>25</v>
      </c>
      <c r="H1037" s="5" t="s">
        <v>25</v>
      </c>
      <c r="I1037" s="5" t="s">
        <v>25</v>
      </c>
      <c r="J1037" s="5" t="s">
        <v>25</v>
      </c>
      <c r="K1037" s="7" t="str">
        <f>VLOOKUP(A1037,Sheet2!$A$2:$R$3432,6,0)</f>
        <v>Honda Activa 5G</v>
      </c>
      <c r="L1037" s="5" t="s">
        <v>25</v>
      </c>
      <c r="M1037" s="7" t="str">
        <f>VLOOKUP(A1037,Sheet2!$A$2:$R$3432,5,0)</f>
        <v>MH32AP3622</v>
      </c>
      <c r="N1037" s="5" t="s">
        <v>25</v>
      </c>
      <c r="O1037" s="5" t="s">
        <v>25</v>
      </c>
      <c r="P1037" s="6" t="s">
        <v>25</v>
      </c>
      <c r="Q1037" s="5" t="s">
        <v>25</v>
      </c>
      <c r="R1037" s="5" t="s">
        <v>25</v>
      </c>
      <c r="S1037" s="5" t="str">
        <f>VLOOKUP(A1037,Sheet2!$A$2:$R$3432,18,0)</f>
        <v>JC50EG0255232</v>
      </c>
      <c r="T1037" s="7" t="str">
        <f>VLOOKUP(A1037,Sheet2!$A$2:$R$3432,17,0)</f>
        <v>ME4JF50AJKG255155</v>
      </c>
    </row>
    <row r="1038" ht="15.75" customHeight="1">
      <c r="A1038" s="3" t="s">
        <v>1061</v>
      </c>
      <c r="B1038" s="4" t="str">
        <f>VLOOKUP(A1038,Sheet2!$A$2:$R$3432,2,0)</f>
        <v>2024-09-04 20:37:38</v>
      </c>
      <c r="C1038" s="5" t="s">
        <v>25</v>
      </c>
      <c r="D1038" s="6" t="s">
        <v>25</v>
      </c>
      <c r="E1038" s="7">
        <f>VLOOKUP(A1038,Sheet2!$A$2:$R$3432,4,0)</f>
        <v>7709561377</v>
      </c>
      <c r="F1038" s="7" t="str">
        <f>VLOOKUP(A1038,Sheet2!$A$2:$R$3432,3,0)</f>
        <v>Kalyani Chavan </v>
      </c>
      <c r="G1038" s="5" t="s">
        <v>25</v>
      </c>
      <c r="H1038" s="5" t="s">
        <v>25</v>
      </c>
      <c r="I1038" s="5" t="s">
        <v>25</v>
      </c>
      <c r="J1038" s="5" t="s">
        <v>25</v>
      </c>
      <c r="K1038" s="7" t="str">
        <f>VLOOKUP(A1038,Sheet2!$A$2:$R$3432,6,0)</f>
        <v>Suzuki Access 125</v>
      </c>
      <c r="L1038" s="5" t="s">
        <v>25</v>
      </c>
      <c r="M1038" s="7" t="str">
        <f>VLOOKUP(A1038,Sheet2!$A$2:$R$3432,5,0)</f>
        <v>MH14KM2375</v>
      </c>
      <c r="N1038" s="5" t="s">
        <v>25</v>
      </c>
      <c r="O1038" s="5" t="s">
        <v>25</v>
      </c>
      <c r="P1038" s="6" t="s">
        <v>25</v>
      </c>
      <c r="Q1038" s="5" t="s">
        <v>25</v>
      </c>
      <c r="R1038" s="5" t="s">
        <v>25</v>
      </c>
      <c r="S1038" s="7" t="str">
        <f>VLOOKUP(A1038,Sheet2!$A$2:$R$3432,18,0)</f>
        <v/>
      </c>
      <c r="T1038" s="7" t="str">
        <f>VLOOKUP(A1038,Sheet2!$A$2:$R$3432,17,0)</f>
        <v/>
      </c>
    </row>
    <row r="1039" ht="15.75" customHeight="1">
      <c r="A1039" s="3" t="s">
        <v>1062</v>
      </c>
      <c r="B1039" s="4" t="str">
        <f>VLOOKUP(A1039,Sheet2!$A$2:$R$3432,2,0)</f>
        <v>2024-09-04 20:38:26</v>
      </c>
      <c r="C1039" s="5" t="s">
        <v>25</v>
      </c>
      <c r="D1039" s="6" t="s">
        <v>25</v>
      </c>
      <c r="E1039" s="7">
        <f>VLOOKUP(A1039,Sheet2!$A$2:$R$3432,4,0)</f>
        <v>9325585559</v>
      </c>
      <c r="F1039" s="7" t="str">
        <f>VLOOKUP(A1039,Sheet2!$A$2:$R$3432,3,0)</f>
        <v>Deepak Sevak</v>
      </c>
      <c r="G1039" s="5" t="s">
        <v>25</v>
      </c>
      <c r="H1039" s="5" t="s">
        <v>25</v>
      </c>
      <c r="I1039" s="5" t="s">
        <v>25</v>
      </c>
      <c r="J1039" s="5" t="s">
        <v>25</v>
      </c>
      <c r="K1039" s="7" t="str">
        <f>VLOOKUP(A1039,Sheet2!$A$2:$R$3432,6,0)</f>
        <v>Honda Activa 110</v>
      </c>
      <c r="L1039" s="5" t="s">
        <v>25</v>
      </c>
      <c r="M1039" s="7" t="str">
        <f>VLOOKUP(A1039,Sheet2!$A$2:$R$3432,5,0)</f>
        <v>MH14DG7159</v>
      </c>
      <c r="N1039" s="5" t="s">
        <v>25</v>
      </c>
      <c r="O1039" s="5" t="s">
        <v>25</v>
      </c>
      <c r="P1039" s="6" t="s">
        <v>25</v>
      </c>
      <c r="Q1039" s="5" t="s">
        <v>25</v>
      </c>
      <c r="R1039" s="5" t="s">
        <v>25</v>
      </c>
      <c r="S1039" s="7" t="str">
        <f>VLOOKUP(A1039,Sheet2!$A$2:$R$3432,18,0)</f>
        <v/>
      </c>
      <c r="T1039" s="7" t="str">
        <f>VLOOKUP(A1039,Sheet2!$A$2:$R$3432,17,0)</f>
        <v/>
      </c>
    </row>
    <row r="1040" ht="15.75" customHeight="1">
      <c r="A1040" s="3" t="s">
        <v>1063</v>
      </c>
      <c r="B1040" s="4" t="str">
        <f>VLOOKUP(A1040,Sheet2!$A$2:$R$3432,2,0)</f>
        <v>2024-09-04 20:39:55</v>
      </c>
      <c r="C1040" s="5" t="s">
        <v>25</v>
      </c>
      <c r="D1040" s="6" t="s">
        <v>25</v>
      </c>
      <c r="E1040" s="7">
        <f>VLOOKUP(A1040,Sheet2!$A$2:$R$3432,4,0)</f>
        <v>7042932333</v>
      </c>
      <c r="F1040" s="7" t="str">
        <f>VLOOKUP(A1040,Sheet2!$A$2:$R$3432,3,0)</f>
        <v>Arjit Kumar</v>
      </c>
      <c r="G1040" s="5" t="s">
        <v>25</v>
      </c>
      <c r="H1040" s="5" t="s">
        <v>25</v>
      </c>
      <c r="I1040" s="5" t="s">
        <v>25</v>
      </c>
      <c r="J1040" s="5" t="s">
        <v>25</v>
      </c>
      <c r="K1040" s="7" t="str">
        <f>VLOOKUP(A1040,Sheet2!$A$2:$R$3432,6,0)</f>
        <v>Bajaj Pulsar 150 SD ABS</v>
      </c>
      <c r="L1040" s="5" t="s">
        <v>25</v>
      </c>
      <c r="M1040" s="7" t="str">
        <f>VLOOKUP(A1040,Sheet2!$A$2:$R$3432,5,0)</f>
        <v>UP16CA6230</v>
      </c>
      <c r="N1040" s="5" t="s">
        <v>25</v>
      </c>
      <c r="O1040" s="5" t="s">
        <v>25</v>
      </c>
      <c r="P1040" s="6" t="s">
        <v>25</v>
      </c>
      <c r="Q1040" s="5" t="s">
        <v>25</v>
      </c>
      <c r="R1040" s="5" t="s">
        <v>25</v>
      </c>
      <c r="S1040" s="5" t="str">
        <f>VLOOKUP(A1040,Sheet2!$A$2:$R$3432,18,0)</f>
        <v>DHRYJH67291</v>
      </c>
      <c r="T1040" s="7" t="str">
        <f>VLOOKUP(A1040,Sheet2!$A$2:$R$3432,17,0)</f>
        <v>MD2A11CYXJRH46894</v>
      </c>
    </row>
    <row r="1041" ht="15.75" customHeight="1">
      <c r="A1041" s="3" t="s">
        <v>1064</v>
      </c>
      <c r="B1041" s="4" t="str">
        <f>VLOOKUP(A1041,Sheet2!$A$2:$R$3432,2,0)</f>
        <v>2024-09-04 20:40:40</v>
      </c>
      <c r="C1041" s="5" t="s">
        <v>25</v>
      </c>
      <c r="D1041" s="6" t="s">
        <v>25</v>
      </c>
      <c r="E1041" s="7">
        <f>VLOOKUP(A1041,Sheet2!$A$2:$R$3432,4,0)</f>
        <v>9960277897</v>
      </c>
      <c r="F1041" s="7" t="str">
        <f>VLOOKUP(A1041,Sheet2!$A$2:$R$3432,3,0)</f>
        <v>Devin Bhave</v>
      </c>
      <c r="G1041" s="5" t="s">
        <v>25</v>
      </c>
      <c r="H1041" s="5" t="s">
        <v>25</v>
      </c>
      <c r="I1041" s="5" t="s">
        <v>25</v>
      </c>
      <c r="J1041" s="5" t="s">
        <v>25</v>
      </c>
      <c r="K1041" s="7" t="str">
        <f>VLOOKUP(A1041,Sheet2!$A$2:$R$3432,6,0)</f>
        <v>Honda Activa 125</v>
      </c>
      <c r="L1041" s="5" t="s">
        <v>25</v>
      </c>
      <c r="M1041" s="7" t="str">
        <f>VLOOKUP(A1041,Sheet2!$A$2:$R$3432,5,0)</f>
        <v>MH14JK0348</v>
      </c>
      <c r="N1041" s="5" t="s">
        <v>25</v>
      </c>
      <c r="O1041" s="5" t="s">
        <v>25</v>
      </c>
      <c r="P1041" s="6" t="s">
        <v>25</v>
      </c>
      <c r="Q1041" s="5" t="s">
        <v>25</v>
      </c>
      <c r="R1041" s="5" t="s">
        <v>25</v>
      </c>
      <c r="S1041" s="5" t="str">
        <f>VLOOKUP(A1041,Sheet2!$A$2:$R$3432,18,0)</f>
        <v>JF49EW4093820</v>
      </c>
      <c r="T1041" s="7" t="str">
        <f>VLOOKUP(A1041,Sheet2!$A$2:$R$3432,17,0)</f>
        <v>ME4J49NMLW034543</v>
      </c>
    </row>
    <row r="1042" ht="15.75" customHeight="1">
      <c r="A1042" s="3" t="s">
        <v>1065</v>
      </c>
      <c r="B1042" s="4" t="str">
        <f>VLOOKUP(A1042,Sheet2!$A$2:$R$3432,2,0)</f>
        <v>2024-09-04 20:42:00</v>
      </c>
      <c r="C1042" s="5" t="s">
        <v>25</v>
      </c>
      <c r="D1042" s="6" t="s">
        <v>25</v>
      </c>
      <c r="E1042" s="7">
        <f>VLOOKUP(A1042,Sheet2!$A$2:$R$3432,4,0)</f>
        <v>9370116607</v>
      </c>
      <c r="F1042" s="7" t="str">
        <f>VLOOKUP(A1042,Sheet2!$A$2:$R$3432,3,0)</f>
        <v>Ajay Choudhary </v>
      </c>
      <c r="G1042" s="5" t="s">
        <v>25</v>
      </c>
      <c r="H1042" s="5" t="s">
        <v>25</v>
      </c>
      <c r="I1042" s="5" t="s">
        <v>25</v>
      </c>
      <c r="J1042" s="5" t="s">
        <v>25</v>
      </c>
      <c r="K1042" s="7" t="str">
        <f>VLOOKUP(A1042,Sheet2!$A$2:$R$3432,6,0)</f>
        <v>Hero Passion Pro</v>
      </c>
      <c r="L1042" s="5" t="s">
        <v>25</v>
      </c>
      <c r="M1042" s="7" t="str">
        <f>VLOOKUP(A1042,Sheet2!$A$2:$R$3432,5,0)</f>
        <v>MH31DQ9816</v>
      </c>
      <c r="N1042" s="5" t="s">
        <v>25</v>
      </c>
      <c r="O1042" s="5" t="s">
        <v>25</v>
      </c>
      <c r="P1042" s="6" t="s">
        <v>25</v>
      </c>
      <c r="Q1042" s="5" t="s">
        <v>25</v>
      </c>
      <c r="R1042" s="5" t="s">
        <v>25</v>
      </c>
      <c r="S1042" s="7" t="str">
        <f>VLOOKUP(A1042,Sheet2!$A$2:$R$3432,18,0)</f>
        <v/>
      </c>
      <c r="T1042" s="7" t="str">
        <f>VLOOKUP(A1042,Sheet2!$A$2:$R$3432,17,0)</f>
        <v/>
      </c>
    </row>
    <row r="1043" ht="15.75" customHeight="1">
      <c r="A1043" s="3" t="s">
        <v>1066</v>
      </c>
      <c r="B1043" s="4" t="str">
        <f>VLOOKUP(A1043,Sheet2!$A$2:$R$3432,2,0)</f>
        <v>2024-09-04 20:43:04</v>
      </c>
      <c r="C1043" s="5" t="s">
        <v>25</v>
      </c>
      <c r="D1043" s="6" t="s">
        <v>25</v>
      </c>
      <c r="E1043" s="7">
        <f>VLOOKUP(A1043,Sheet2!$A$2:$R$3432,4,0)</f>
        <v>8308350648</v>
      </c>
      <c r="F1043" s="7" t="str">
        <f>VLOOKUP(A1043,Sheet2!$A$2:$R$3432,3,0)</f>
        <v>Akshay Patil</v>
      </c>
      <c r="G1043" s="5" t="s">
        <v>25</v>
      </c>
      <c r="H1043" s="5" t="s">
        <v>25</v>
      </c>
      <c r="I1043" s="5" t="s">
        <v>25</v>
      </c>
      <c r="J1043" s="5" t="s">
        <v>25</v>
      </c>
      <c r="K1043" s="7" t="str">
        <f>VLOOKUP(A1043,Sheet2!$A$2:$R$3432,6,0)</f>
        <v>Honda Shine HET</v>
      </c>
      <c r="L1043" s="5" t="s">
        <v>25</v>
      </c>
      <c r="M1043" s="7" t="str">
        <f>VLOOKUP(A1043,Sheet2!$A$2:$R$3432,5,0)</f>
        <v>MH09EE1924</v>
      </c>
      <c r="N1043" s="5" t="s">
        <v>25</v>
      </c>
      <c r="O1043" s="5" t="s">
        <v>25</v>
      </c>
      <c r="P1043" s="6" t="s">
        <v>25</v>
      </c>
      <c r="Q1043" s="5" t="s">
        <v>25</v>
      </c>
      <c r="R1043" s="5" t="s">
        <v>25</v>
      </c>
      <c r="S1043" s="5" t="str">
        <f>VLOOKUP(A1043,Sheet2!$A$2:$R$3432,18,0)</f>
        <v>JC65E70692734</v>
      </c>
      <c r="T1043" s="7" t="str">
        <f>VLOOKUP(A1043,Sheet2!$A$2:$R$3432,17,0)</f>
        <v>ME4JC651KG7461324</v>
      </c>
    </row>
    <row r="1044" ht="15.75" customHeight="1">
      <c r="A1044" s="3" t="s">
        <v>1067</v>
      </c>
      <c r="B1044" s="4" t="str">
        <f>VLOOKUP(A1044,Sheet2!$A$2:$R$3432,2,0)</f>
        <v>2024-09-04 20:46:34</v>
      </c>
      <c r="C1044" s="5" t="s">
        <v>25</v>
      </c>
      <c r="D1044" s="6" t="s">
        <v>25</v>
      </c>
      <c r="E1044" s="7">
        <f>VLOOKUP(A1044,Sheet2!$A$2:$R$3432,4,0)</f>
        <v>8308974699</v>
      </c>
      <c r="F1044" s="7" t="str">
        <f>VLOOKUP(A1044,Sheet2!$A$2:$R$3432,3,0)</f>
        <v> Matthew </v>
      </c>
      <c r="G1044" s="5" t="s">
        <v>25</v>
      </c>
      <c r="H1044" s="5" t="s">
        <v>25</v>
      </c>
      <c r="I1044" s="5" t="s">
        <v>25</v>
      </c>
      <c r="J1044" s="5" t="s">
        <v>25</v>
      </c>
      <c r="K1044" s="7" t="str">
        <f>VLOOKUP(A1044,Sheet2!$A$2:$R$3432,6,0)</f>
        <v>Yamaha Aerox 155</v>
      </c>
      <c r="L1044" s="5" t="s">
        <v>25</v>
      </c>
      <c r="M1044" s="7" t="str">
        <f>VLOOKUP(A1044,Sheet2!$A$2:$R$3432,5,0)</f>
        <v>MH14KG8312</v>
      </c>
      <c r="N1044" s="5" t="s">
        <v>25</v>
      </c>
      <c r="O1044" s="5" t="s">
        <v>25</v>
      </c>
      <c r="P1044" s="6" t="s">
        <v>25</v>
      </c>
      <c r="Q1044" s="5" t="s">
        <v>25</v>
      </c>
      <c r="R1044" s="5" t="s">
        <v>25</v>
      </c>
      <c r="S1044" s="7" t="str">
        <f>VLOOKUP(A1044,Sheet2!$A$2:$R$3432,18,0)</f>
        <v/>
      </c>
      <c r="T1044" s="7" t="str">
        <f>VLOOKUP(A1044,Sheet2!$A$2:$R$3432,17,0)</f>
        <v/>
      </c>
    </row>
    <row r="1045" ht="15.75" customHeight="1">
      <c r="A1045" s="3" t="s">
        <v>1068</v>
      </c>
      <c r="B1045" s="4" t="str">
        <f>VLOOKUP(A1045,Sheet2!$A$2:$R$3432,2,0)</f>
        <v>2024-09-04 20:44:29</v>
      </c>
      <c r="C1045" s="5" t="s">
        <v>25</v>
      </c>
      <c r="D1045" s="6" t="s">
        <v>25</v>
      </c>
      <c r="E1045" s="7">
        <f>VLOOKUP(A1045,Sheet2!$A$2:$R$3432,4,0)</f>
        <v>8862041481</v>
      </c>
      <c r="F1045" s="7" t="str">
        <f>VLOOKUP(A1045,Sheet2!$A$2:$R$3432,3,0)</f>
        <v>Jitendra Bhatnagar</v>
      </c>
      <c r="G1045" s="5" t="s">
        <v>25</v>
      </c>
      <c r="H1045" s="5" t="s">
        <v>25</v>
      </c>
      <c r="I1045" s="5" t="s">
        <v>25</v>
      </c>
      <c r="J1045" s="5" t="s">
        <v>25</v>
      </c>
      <c r="K1045" s="7" t="str">
        <f>VLOOKUP(A1045,Sheet2!$A$2:$R$3432,6,0)</f>
        <v>Hero Passion </v>
      </c>
      <c r="L1045" s="5" t="s">
        <v>25</v>
      </c>
      <c r="M1045" s="7" t="str">
        <f>VLOOKUP(A1045,Sheet2!$A$2:$R$3432,5,0)</f>
        <v>MH12EE8452</v>
      </c>
      <c r="N1045" s="5" t="s">
        <v>25</v>
      </c>
      <c r="O1045" s="5" t="s">
        <v>25</v>
      </c>
      <c r="P1045" s="6" t="s">
        <v>25</v>
      </c>
      <c r="Q1045" s="5" t="s">
        <v>25</v>
      </c>
      <c r="R1045" s="5" t="s">
        <v>25</v>
      </c>
      <c r="S1045" s="5" t="str">
        <f>VLOOKUP(A1045,Sheet2!$A$2:$R$3432,18,0)</f>
        <v>01J21C10575</v>
      </c>
      <c r="T1045" s="7" t="str">
        <f>VLOOKUP(A1045,Sheet2!$A$2:$R$3432,17,0)</f>
        <v>01J21M34838</v>
      </c>
    </row>
    <row r="1046" ht="15.75" customHeight="1">
      <c r="A1046" s="3" t="s">
        <v>1069</v>
      </c>
      <c r="B1046" s="4" t="str">
        <f>VLOOKUP(A1046,Sheet2!$A$2:$R$3432,2,0)</f>
        <v>2024-09-04 20:45:18</v>
      </c>
      <c r="C1046" s="5" t="s">
        <v>25</v>
      </c>
      <c r="D1046" s="6" t="s">
        <v>25</v>
      </c>
      <c r="E1046" s="7">
        <f>VLOOKUP(A1046,Sheet2!$A$2:$R$3432,4,0)</f>
        <v>9370231215</v>
      </c>
      <c r="F1046" s="7" t="str">
        <f>VLOOKUP(A1046,Sheet2!$A$2:$R$3432,3,0)</f>
        <v>Abhishek </v>
      </c>
      <c r="G1046" s="5" t="s">
        <v>25</v>
      </c>
      <c r="H1046" s="5" t="s">
        <v>25</v>
      </c>
      <c r="I1046" s="5" t="s">
        <v>25</v>
      </c>
      <c r="J1046" s="5" t="s">
        <v>25</v>
      </c>
      <c r="K1046" s="7" t="str">
        <f>VLOOKUP(A1046,Sheet2!$A$2:$R$3432,6,0)</f>
        <v>TVS Rider 125</v>
      </c>
      <c r="L1046" s="5" t="s">
        <v>25</v>
      </c>
      <c r="M1046" s="7" t="str">
        <f>VLOOKUP(A1046,Sheet2!$A$2:$R$3432,5,0)</f>
        <v>MH24BN6238</v>
      </c>
      <c r="N1046" s="5" t="s">
        <v>25</v>
      </c>
      <c r="O1046" s="5" t="s">
        <v>25</v>
      </c>
      <c r="P1046" s="6" t="s">
        <v>25</v>
      </c>
      <c r="Q1046" s="5" t="s">
        <v>25</v>
      </c>
      <c r="R1046" s="5" t="s">
        <v>25</v>
      </c>
      <c r="S1046" s="7" t="str">
        <f>VLOOKUP(A1046,Sheet2!$A$2:$R$3432,18,0)</f>
        <v/>
      </c>
      <c r="T1046" s="7" t="str">
        <f>VLOOKUP(A1046,Sheet2!$A$2:$R$3432,17,0)</f>
        <v/>
      </c>
    </row>
    <row r="1047" ht="15.75" customHeight="1">
      <c r="A1047" s="3" t="s">
        <v>1070</v>
      </c>
      <c r="B1047" s="4" t="str">
        <f>VLOOKUP(A1047,Sheet2!$A$2:$R$3432,2,0)</f>
        <v>2024-09-04 20:46:06</v>
      </c>
      <c r="C1047" s="5" t="s">
        <v>25</v>
      </c>
      <c r="D1047" s="6" t="s">
        <v>25</v>
      </c>
      <c r="E1047" s="7">
        <f>VLOOKUP(A1047,Sheet2!$A$2:$R$3432,4,0)</f>
        <v>9021232598</v>
      </c>
      <c r="F1047" s="7" t="str">
        <f>VLOOKUP(A1047,Sheet2!$A$2:$R$3432,3,0)</f>
        <v>Vishal Borate</v>
      </c>
      <c r="G1047" s="5" t="s">
        <v>25</v>
      </c>
      <c r="H1047" s="5" t="s">
        <v>25</v>
      </c>
      <c r="I1047" s="5" t="s">
        <v>25</v>
      </c>
      <c r="J1047" s="5" t="s">
        <v>25</v>
      </c>
      <c r="K1047" s="7" t="str">
        <f>VLOOKUP(A1047,Sheet2!$A$2:$R$3432,6,0)</f>
        <v>Hero Deluxe HF</v>
      </c>
      <c r="L1047" s="5" t="s">
        <v>25</v>
      </c>
      <c r="M1047" s="7" t="str">
        <f>VLOOKUP(A1047,Sheet2!$A$2:$R$3432,5,0)</f>
        <v>MH14DU2176</v>
      </c>
      <c r="N1047" s="5" t="s">
        <v>25</v>
      </c>
      <c r="O1047" s="5" t="s">
        <v>25</v>
      </c>
      <c r="P1047" s="6" t="s">
        <v>25</v>
      </c>
      <c r="Q1047" s="5" t="s">
        <v>25</v>
      </c>
      <c r="R1047" s="5" t="s">
        <v>25</v>
      </c>
      <c r="S1047" s="5" t="str">
        <f>VLOOKUP(A1047,Sheet2!$A$2:$R$3432,18,0)</f>
        <v>HA11EFC9L06051</v>
      </c>
      <c r="T1047" s="7" t="str">
        <f>VLOOKUP(A1047,Sheet2!$A$2:$R$3432,17,0)</f>
        <v>MBLHA11EWC9L03753</v>
      </c>
    </row>
    <row r="1048" ht="15.75" customHeight="1">
      <c r="A1048" s="3" t="s">
        <v>1071</v>
      </c>
      <c r="B1048" s="4" t="str">
        <f>VLOOKUP(A1048,Sheet2!$A$2:$R$3432,2,0)</f>
        <v>2024-09-04 20:49:00</v>
      </c>
      <c r="C1048" s="5" t="s">
        <v>25</v>
      </c>
      <c r="D1048" s="6" t="s">
        <v>25</v>
      </c>
      <c r="E1048" s="7">
        <f>VLOOKUP(A1048,Sheet2!$A$2:$R$3432,4,0)</f>
        <v>7263845449</v>
      </c>
      <c r="F1048" s="7" t="str">
        <f>VLOOKUP(A1048,Sheet2!$A$2:$R$3432,3,0)</f>
        <v>OMKAR NAVLE</v>
      </c>
      <c r="G1048" s="5" t="s">
        <v>25</v>
      </c>
      <c r="H1048" s="5" t="s">
        <v>25</v>
      </c>
      <c r="I1048" s="5" t="s">
        <v>25</v>
      </c>
      <c r="J1048" s="5" t="s">
        <v>25</v>
      </c>
      <c r="K1048" s="7" t="str">
        <f>VLOOKUP(A1048,Sheet2!$A$2:$R$3432,6,0)</f>
        <v>Honda X Blade No Data</v>
      </c>
      <c r="L1048" s="5" t="s">
        <v>25</v>
      </c>
      <c r="M1048" s="7" t="str">
        <f>VLOOKUP(A1048,Sheet2!$A$2:$R$3432,5,0)</f>
        <v>MH17CL9740</v>
      </c>
      <c r="N1048" s="5" t="s">
        <v>25</v>
      </c>
      <c r="O1048" s="5" t="s">
        <v>25</v>
      </c>
      <c r="P1048" s="6" t="s">
        <v>25</v>
      </c>
      <c r="Q1048" s="5" t="s">
        <v>25</v>
      </c>
      <c r="R1048" s="5" t="s">
        <v>25</v>
      </c>
      <c r="S1048" s="5" t="str">
        <f>VLOOKUP(A1048,Sheet2!$A$2:$R$3432,18,0)</f>
        <v>KE35E3004302</v>
      </c>
      <c r="T1048" s="7" t="str">
        <f>VLOOKUP(A1048,Sheet2!$A$2:$R$3432,17,0)</f>
        <v>ME4KC356GLA002007</v>
      </c>
    </row>
    <row r="1049" ht="15.75" customHeight="1">
      <c r="A1049" s="3" t="s">
        <v>1072</v>
      </c>
      <c r="B1049" s="4" t="str">
        <f>VLOOKUP(A1049,Sheet2!$A$2:$R$3432,2,0)</f>
        <v>2024-09-04 20:49:42</v>
      </c>
      <c r="C1049" s="5" t="s">
        <v>25</v>
      </c>
      <c r="D1049" s="6" t="s">
        <v>25</v>
      </c>
      <c r="E1049" s="7">
        <f>VLOOKUP(A1049,Sheet2!$A$2:$R$3432,4,0)</f>
        <v>8624945353</v>
      </c>
      <c r="F1049" s="7" t="str">
        <f>VLOOKUP(A1049,Sheet2!$A$2:$R$3432,3,0)</f>
        <v>Soham</v>
      </c>
      <c r="G1049" s="5" t="s">
        <v>25</v>
      </c>
      <c r="H1049" s="5" t="s">
        <v>25</v>
      </c>
      <c r="I1049" s="5" t="s">
        <v>25</v>
      </c>
      <c r="J1049" s="5" t="s">
        <v>25</v>
      </c>
      <c r="K1049" s="7" t="str">
        <f>VLOOKUP(A1049,Sheet2!$A$2:$R$3432,6,0)</f>
        <v>Yamaha FZ </v>
      </c>
      <c r="L1049" s="5" t="s">
        <v>25</v>
      </c>
      <c r="M1049" s="7" t="str">
        <f>VLOOKUP(A1049,Sheet2!$A$2:$R$3432,5,0)</f>
        <v>MH36V4009</v>
      </c>
      <c r="N1049" s="5" t="s">
        <v>25</v>
      </c>
      <c r="O1049" s="5" t="s">
        <v>25</v>
      </c>
      <c r="P1049" s="6" t="s">
        <v>25</v>
      </c>
      <c r="Q1049" s="5" t="s">
        <v>25</v>
      </c>
      <c r="R1049" s="5" t="s">
        <v>25</v>
      </c>
      <c r="S1049" s="7" t="str">
        <f>VLOOKUP(A1049,Sheet2!$A$2:$R$3432,18,0)</f>
        <v/>
      </c>
      <c r="T1049" s="7" t="str">
        <f>VLOOKUP(A1049,Sheet2!$A$2:$R$3432,17,0)</f>
        <v/>
      </c>
    </row>
    <row r="1050" ht="15.75" customHeight="1">
      <c r="A1050" s="3" t="s">
        <v>1073</v>
      </c>
      <c r="B1050" s="4" t="str">
        <f>VLOOKUP(A1050,Sheet2!$A$2:$R$3432,2,0)</f>
        <v>2024-09-04 20:50:28</v>
      </c>
      <c r="C1050" s="5" t="s">
        <v>25</v>
      </c>
      <c r="D1050" s="6" t="s">
        <v>25</v>
      </c>
      <c r="E1050" s="7">
        <f>VLOOKUP(A1050,Sheet2!$A$2:$R$3432,4,0)</f>
        <v>9975248780</v>
      </c>
      <c r="F1050" s="7" t="str">
        <f>VLOOKUP(A1050,Sheet2!$A$2:$R$3432,3,0)</f>
        <v>Rohit Waghmare</v>
      </c>
      <c r="G1050" s="5" t="s">
        <v>25</v>
      </c>
      <c r="H1050" s="5" t="s">
        <v>25</v>
      </c>
      <c r="I1050" s="5" t="s">
        <v>25</v>
      </c>
      <c r="J1050" s="5" t="s">
        <v>25</v>
      </c>
      <c r="K1050" s="7" t="str">
        <f>VLOOKUP(A1050,Sheet2!$A$2:$R$3432,6,0)</f>
        <v>Honda SP 125 Drum</v>
      </c>
      <c r="L1050" s="5" t="s">
        <v>25</v>
      </c>
      <c r="M1050" s="7" t="str">
        <f>VLOOKUP(A1050,Sheet2!$A$2:$R$3432,5,0)</f>
        <v>MH14JF5753</v>
      </c>
      <c r="N1050" s="5" t="s">
        <v>25</v>
      </c>
      <c r="O1050" s="5" t="s">
        <v>25</v>
      </c>
      <c r="P1050" s="6" t="s">
        <v>25</v>
      </c>
      <c r="Q1050" s="5" t="s">
        <v>25</v>
      </c>
      <c r="R1050" s="5" t="s">
        <v>25</v>
      </c>
      <c r="S1050" s="7" t="str">
        <f>VLOOKUP(A1050,Sheet2!$A$2:$R$3432,18,0)</f>
        <v/>
      </c>
      <c r="T1050" s="7" t="str">
        <f>VLOOKUP(A1050,Sheet2!$A$2:$R$3432,17,0)</f>
        <v/>
      </c>
    </row>
    <row r="1051" ht="15.75" customHeight="1">
      <c r="A1051" s="3" t="s">
        <v>1074</v>
      </c>
      <c r="B1051" s="4" t="str">
        <f>VLOOKUP(A1051,Sheet2!$A$2:$R$3432,2,0)</f>
        <v>2024-09-04 20:53:27</v>
      </c>
      <c r="C1051" s="5" t="s">
        <v>25</v>
      </c>
      <c r="D1051" s="6" t="s">
        <v>25</v>
      </c>
      <c r="E1051" s="7">
        <f>VLOOKUP(A1051,Sheet2!$A$2:$R$3432,4,0)</f>
        <v>7038096433</v>
      </c>
      <c r="F1051" s="7" t="str">
        <f>VLOOKUP(A1051,Sheet2!$A$2:$R$3432,3,0)</f>
        <v>Gaurav Varma </v>
      </c>
      <c r="G1051" s="5" t="s">
        <v>25</v>
      </c>
      <c r="H1051" s="5" t="s">
        <v>25</v>
      </c>
      <c r="I1051" s="5" t="s">
        <v>25</v>
      </c>
      <c r="J1051" s="5" t="s">
        <v>25</v>
      </c>
      <c r="K1051" s="7" t="str">
        <f>VLOOKUP(A1051,Sheet2!$A$2:$R$3432,6,0)</f>
        <v>Suzuki Gixxer </v>
      </c>
      <c r="L1051" s="5" t="s">
        <v>25</v>
      </c>
      <c r="M1051" s="7" t="str">
        <f>VLOOKUP(A1051,Sheet2!$A$2:$R$3432,5,0)</f>
        <v>MH14HP3199</v>
      </c>
      <c r="N1051" s="5" t="s">
        <v>25</v>
      </c>
      <c r="O1051" s="5" t="s">
        <v>25</v>
      </c>
      <c r="P1051" s="6" t="s">
        <v>25</v>
      </c>
      <c r="Q1051" s="5" t="s">
        <v>25</v>
      </c>
      <c r="R1051" s="5" t="s">
        <v>25</v>
      </c>
      <c r="S1051" s="7" t="str">
        <f>VLOOKUP(A1051,Sheet2!$A$2:$R$3432,18,0)</f>
        <v/>
      </c>
      <c r="T1051" s="7" t="str">
        <f>VLOOKUP(A1051,Sheet2!$A$2:$R$3432,17,0)</f>
        <v/>
      </c>
    </row>
    <row r="1052" ht="15.75" customHeight="1">
      <c r="A1052" s="3" t="s">
        <v>1075</v>
      </c>
      <c r="B1052" s="4" t="str">
        <f>VLOOKUP(A1052,Sheet2!$A$2:$R$3432,2,0)</f>
        <v>2024-09-04 20:52:31</v>
      </c>
      <c r="C1052" s="5" t="s">
        <v>25</v>
      </c>
      <c r="D1052" s="6" t="s">
        <v>25</v>
      </c>
      <c r="E1052" s="7">
        <f>VLOOKUP(A1052,Sheet2!$A$2:$R$3432,4,0)</f>
        <v>8600081747</v>
      </c>
      <c r="F1052" s="7" t="str">
        <f>VLOOKUP(A1052,Sheet2!$A$2:$R$3432,3,0)</f>
        <v>Sony dsouza</v>
      </c>
      <c r="G1052" s="5" t="s">
        <v>25</v>
      </c>
      <c r="H1052" s="5" t="s">
        <v>25</v>
      </c>
      <c r="I1052" s="5" t="s">
        <v>25</v>
      </c>
      <c r="J1052" s="5" t="s">
        <v>25</v>
      </c>
      <c r="K1052" s="7" t="str">
        <f>VLOOKUP(A1052,Sheet2!$A$2:$R$3432,6,0)</f>
        <v>TVS Jupiter 125</v>
      </c>
      <c r="L1052" s="5" t="s">
        <v>25</v>
      </c>
      <c r="M1052" s="7" t="str">
        <f>VLOOKUP(A1052,Sheet2!$A$2:$R$3432,5,0)</f>
        <v>MH14JW1507</v>
      </c>
      <c r="N1052" s="5" t="s">
        <v>25</v>
      </c>
      <c r="O1052" s="5" t="s">
        <v>25</v>
      </c>
      <c r="P1052" s="6" t="s">
        <v>25</v>
      </c>
      <c r="Q1052" s="5" t="s">
        <v>25</v>
      </c>
      <c r="R1052" s="5" t="s">
        <v>25</v>
      </c>
      <c r="S1052" s="5" t="str">
        <f>VLOOKUP(A1052,Sheet2!$A$2:$R$3432,18,0)</f>
        <v>BK4PM1605085</v>
      </c>
      <c r="T1052" s="7" t="str">
        <f>VLOOKUP(A1052,Sheet2!$A$2:$R$3432,17,0)</f>
        <v>MD626AK48M05606</v>
      </c>
    </row>
    <row r="1053" ht="15.75" customHeight="1">
      <c r="A1053" s="3" t="s">
        <v>1076</v>
      </c>
      <c r="B1053" s="4" t="str">
        <f>VLOOKUP(A1053,Sheet2!$A$2:$R$3432,2,0)</f>
        <v>2024-09-04 20:52:50</v>
      </c>
      <c r="C1053" s="5" t="s">
        <v>25</v>
      </c>
      <c r="D1053" s="6" t="s">
        <v>25</v>
      </c>
      <c r="E1053" s="7">
        <f>VLOOKUP(A1053,Sheet2!$A$2:$R$3432,4,0)</f>
        <v>9890528909</v>
      </c>
      <c r="F1053" s="7" t="str">
        <f>VLOOKUP(A1053,Sheet2!$A$2:$R$3432,3,0)</f>
        <v>Sameer </v>
      </c>
      <c r="G1053" s="5" t="s">
        <v>25</v>
      </c>
      <c r="H1053" s="5" t="s">
        <v>25</v>
      </c>
      <c r="I1053" s="5" t="s">
        <v>25</v>
      </c>
      <c r="J1053" s="5" t="s">
        <v>25</v>
      </c>
      <c r="K1053" s="7" t="str">
        <f>VLOOKUP(A1053,Sheet2!$A$2:$R$3432,6,0)</f>
        <v>Honda Activa 125</v>
      </c>
      <c r="L1053" s="5" t="s">
        <v>25</v>
      </c>
      <c r="M1053" s="7" t="str">
        <f>VLOOKUP(A1053,Sheet2!$A$2:$R$3432,5,0)</f>
        <v>MH12LN8873</v>
      </c>
      <c r="N1053" s="5" t="s">
        <v>25</v>
      </c>
      <c r="O1053" s="5" t="s">
        <v>25</v>
      </c>
      <c r="P1053" s="6" t="s">
        <v>25</v>
      </c>
      <c r="Q1053" s="5" t="s">
        <v>25</v>
      </c>
      <c r="R1053" s="5" t="s">
        <v>25</v>
      </c>
      <c r="S1053" s="7" t="str">
        <f>VLOOKUP(A1053,Sheet2!$A$2:$R$3432,18,0)</f>
        <v/>
      </c>
      <c r="T1053" s="7" t="str">
        <f>VLOOKUP(A1053,Sheet2!$A$2:$R$3432,17,0)</f>
        <v/>
      </c>
    </row>
    <row r="1054" ht="15.75" customHeight="1">
      <c r="A1054" s="3" t="s">
        <v>1077</v>
      </c>
      <c r="B1054" s="4" t="str">
        <f>VLOOKUP(A1054,Sheet2!$A$2:$R$3432,2,0)</f>
        <v>2024-09-04 20:53:43</v>
      </c>
      <c r="C1054" s="5" t="s">
        <v>25</v>
      </c>
      <c r="D1054" s="6" t="s">
        <v>25</v>
      </c>
      <c r="E1054" s="7">
        <f>VLOOKUP(A1054,Sheet2!$A$2:$R$3432,4,0)</f>
        <v>9822031110</v>
      </c>
      <c r="F1054" s="7" t="str">
        <f>VLOOKUP(A1054,Sheet2!$A$2:$R$3432,3,0)</f>
        <v>AJAY BATHE</v>
      </c>
      <c r="G1054" s="5" t="s">
        <v>25</v>
      </c>
      <c r="H1054" s="5" t="s">
        <v>25</v>
      </c>
      <c r="I1054" s="5" t="s">
        <v>25</v>
      </c>
      <c r="J1054" s="5" t="s">
        <v>25</v>
      </c>
      <c r="K1054" s="7" t="str">
        <f>VLOOKUP(A1054,Sheet2!$A$2:$R$3432,6,0)</f>
        <v>Honda Activa 125</v>
      </c>
      <c r="L1054" s="5" t="s">
        <v>25</v>
      </c>
      <c r="M1054" s="7" t="str">
        <f>VLOOKUP(A1054,Sheet2!$A$2:$R$3432,5,0)</f>
        <v>MH14HH1103</v>
      </c>
      <c r="N1054" s="5" t="s">
        <v>25</v>
      </c>
      <c r="O1054" s="5" t="s">
        <v>25</v>
      </c>
      <c r="P1054" s="6" t="s">
        <v>25</v>
      </c>
      <c r="Q1054" s="5" t="s">
        <v>25</v>
      </c>
      <c r="R1054" s="5" t="s">
        <v>25</v>
      </c>
      <c r="S1054" s="7" t="str">
        <f>VLOOKUP(A1054,Sheet2!$A$2:$R$3432,18,0)</f>
        <v/>
      </c>
      <c r="T1054" s="7" t="str">
        <f>VLOOKUP(A1054,Sheet2!$A$2:$R$3432,17,0)</f>
        <v/>
      </c>
    </row>
    <row r="1055" ht="15.75" customHeight="1">
      <c r="A1055" s="3" t="s">
        <v>1078</v>
      </c>
      <c r="B1055" s="4" t="str">
        <f>VLOOKUP(A1055,Sheet2!$A$2:$R$3432,2,0)</f>
        <v>2024-09-04 20:55:08</v>
      </c>
      <c r="C1055" s="5" t="s">
        <v>25</v>
      </c>
      <c r="D1055" s="6" t="s">
        <v>25</v>
      </c>
      <c r="E1055" s="7">
        <f>VLOOKUP(A1055,Sheet2!$A$2:$R$3432,4,0)</f>
        <v>9158029726</v>
      </c>
      <c r="F1055" s="7" t="str">
        <f>VLOOKUP(A1055,Sheet2!$A$2:$R$3432,3,0)</f>
        <v>Pradeep Shirke </v>
      </c>
      <c r="G1055" s="5" t="s">
        <v>25</v>
      </c>
      <c r="H1055" s="5" t="s">
        <v>25</v>
      </c>
      <c r="I1055" s="5" t="s">
        <v>25</v>
      </c>
      <c r="J1055" s="5" t="s">
        <v>25</v>
      </c>
      <c r="K1055" s="7" t="str">
        <f>VLOOKUP(A1055,Sheet2!$A$2:$R$3432,6,0)</f>
        <v>TVS Apache RTR 160</v>
      </c>
      <c r="L1055" s="5" t="s">
        <v>25</v>
      </c>
      <c r="M1055" s="7" t="str">
        <f>VLOOKUP(A1055,Sheet2!$A$2:$R$3432,5,0)</f>
        <v>MH14JS5977</v>
      </c>
      <c r="N1055" s="5" t="s">
        <v>25</v>
      </c>
      <c r="O1055" s="5" t="s">
        <v>25</v>
      </c>
      <c r="P1055" s="6" t="s">
        <v>25</v>
      </c>
      <c r="Q1055" s="5" t="s">
        <v>25</v>
      </c>
      <c r="R1055" s="5" t="s">
        <v>25</v>
      </c>
      <c r="S1055" s="5" t="str">
        <f>VLOOKUP(A1055,Sheet2!$A$2:$R$3432,18,0)</f>
        <v>GESFM2912978</v>
      </c>
      <c r="T1055" s="7" t="str">
        <f>VLOOKUP(A1055,Sheet2!$A$2:$R$3432,17,0)</f>
        <v>MD651DE55MZF12721</v>
      </c>
    </row>
    <row r="1056" ht="15.75" customHeight="1">
      <c r="A1056" s="3" t="s">
        <v>1079</v>
      </c>
      <c r="B1056" s="4" t="str">
        <f>VLOOKUP(A1056,Sheet2!$A$2:$R$3432,2,0)</f>
        <v>2024-09-04 20:55:51</v>
      </c>
      <c r="C1056" s="5" t="s">
        <v>25</v>
      </c>
      <c r="D1056" s="6" t="s">
        <v>25</v>
      </c>
      <c r="E1056" s="7">
        <f>VLOOKUP(A1056,Sheet2!$A$2:$R$3432,4,0)</f>
        <v>9422076757</v>
      </c>
      <c r="F1056" s="7" t="str">
        <f>VLOOKUP(A1056,Sheet2!$A$2:$R$3432,3,0)</f>
        <v>Akshay Patil </v>
      </c>
      <c r="G1056" s="5" t="s">
        <v>25</v>
      </c>
      <c r="H1056" s="5" t="s">
        <v>25</v>
      </c>
      <c r="I1056" s="5" t="s">
        <v>25</v>
      </c>
      <c r="J1056" s="5" t="s">
        <v>25</v>
      </c>
      <c r="K1056" s="7" t="str">
        <f>VLOOKUP(A1056,Sheet2!$A$2:$R$3432,6,0)</f>
        <v>Suzuki Gixxer </v>
      </c>
      <c r="L1056" s="5" t="s">
        <v>25</v>
      </c>
      <c r="M1056" s="7" t="str">
        <f>VLOOKUP(A1056,Sheet2!$A$2:$R$3432,5,0)</f>
        <v>MH12SH4689</v>
      </c>
      <c r="N1056" s="5" t="s">
        <v>25</v>
      </c>
      <c r="O1056" s="5" t="s">
        <v>25</v>
      </c>
      <c r="P1056" s="6" t="s">
        <v>25</v>
      </c>
      <c r="Q1056" s="5" t="s">
        <v>25</v>
      </c>
      <c r="R1056" s="5" t="s">
        <v>25</v>
      </c>
      <c r="S1056" s="5" t="str">
        <f>VLOOKUP(A1056,Sheet2!$A$2:$R$3432,18,0)</f>
        <v>BGA1677074</v>
      </c>
      <c r="T1056" s="7" t="str">
        <f>VLOOKUP(A1056,Sheet2!$A$2:$R$3432,17,0)</f>
        <v>MB8ED11AKK8114274</v>
      </c>
    </row>
    <row r="1057" ht="15.75" customHeight="1">
      <c r="A1057" s="3" t="s">
        <v>1080</v>
      </c>
      <c r="B1057" s="4" t="str">
        <f>VLOOKUP(A1057,Sheet2!$A$2:$R$3432,2,0)</f>
        <v>2024-09-04 20:56:20</v>
      </c>
      <c r="C1057" s="5" t="s">
        <v>25</v>
      </c>
      <c r="D1057" s="6" t="s">
        <v>25</v>
      </c>
      <c r="E1057" s="7">
        <f>VLOOKUP(A1057,Sheet2!$A$2:$R$3432,4,0)</f>
        <v>9098282011</v>
      </c>
      <c r="F1057" s="7" t="str">
        <f>VLOOKUP(A1057,Sheet2!$A$2:$R$3432,3,0)</f>
        <v>Niraj Singh</v>
      </c>
      <c r="G1057" s="5" t="s">
        <v>25</v>
      </c>
      <c r="H1057" s="5" t="s">
        <v>25</v>
      </c>
      <c r="I1057" s="5" t="s">
        <v>25</v>
      </c>
      <c r="J1057" s="5" t="s">
        <v>25</v>
      </c>
      <c r="K1057" s="7" t="str">
        <f>VLOOKUP(A1057,Sheet2!$A$2:$R$3432,6,0)</f>
        <v>TVS Jupiter </v>
      </c>
      <c r="L1057" s="5" t="s">
        <v>25</v>
      </c>
      <c r="M1057" s="7" t="str">
        <f>VLOOKUP(A1057,Sheet2!$A$2:$R$3432,5,0)</f>
        <v>MH14JB0434</v>
      </c>
      <c r="N1057" s="5" t="s">
        <v>25</v>
      </c>
      <c r="O1057" s="5" t="s">
        <v>25</v>
      </c>
      <c r="P1057" s="6" t="s">
        <v>25</v>
      </c>
      <c r="Q1057" s="5" t="s">
        <v>25</v>
      </c>
      <c r="R1057" s="5" t="s">
        <v>25</v>
      </c>
      <c r="S1057" s="7" t="str">
        <f>VLOOKUP(A1057,Sheet2!$A$2:$R$3432,18,0)</f>
        <v/>
      </c>
      <c r="T1057" s="7" t="str">
        <f>VLOOKUP(A1057,Sheet2!$A$2:$R$3432,17,0)</f>
        <v/>
      </c>
    </row>
    <row r="1058" ht="15.75" customHeight="1">
      <c r="A1058" s="3" t="s">
        <v>1081</v>
      </c>
      <c r="B1058" s="4" t="str">
        <f>VLOOKUP(A1058,Sheet2!$A$2:$R$3432,2,0)</f>
        <v>2024-09-04 20:58:18</v>
      </c>
      <c r="C1058" s="5" t="s">
        <v>25</v>
      </c>
      <c r="D1058" s="6" t="s">
        <v>25</v>
      </c>
      <c r="E1058" s="7">
        <f>VLOOKUP(A1058,Sheet2!$A$2:$R$3432,4,0)</f>
        <v>7219548073</v>
      </c>
      <c r="F1058" s="7" t="str">
        <f>VLOOKUP(A1058,Sheet2!$A$2:$R$3432,3,0)</f>
        <v>Hitesh</v>
      </c>
      <c r="G1058" s="5" t="s">
        <v>25</v>
      </c>
      <c r="H1058" s="5" t="s">
        <v>25</v>
      </c>
      <c r="I1058" s="5" t="s">
        <v>25</v>
      </c>
      <c r="J1058" s="5" t="s">
        <v>25</v>
      </c>
      <c r="K1058" s="7" t="str">
        <f>VLOOKUP(A1058,Sheet2!$A$2:$R$3432,6,0)</f>
        <v>TVS Apache RTR 160</v>
      </c>
      <c r="L1058" s="5" t="s">
        <v>25</v>
      </c>
      <c r="M1058" s="7" t="str">
        <f>VLOOKUP(A1058,Sheet2!$A$2:$R$3432,5,0)</f>
        <v>MH27CH7317</v>
      </c>
      <c r="N1058" s="5" t="s">
        <v>25</v>
      </c>
      <c r="O1058" s="5" t="s">
        <v>25</v>
      </c>
      <c r="P1058" s="6" t="s">
        <v>25</v>
      </c>
      <c r="Q1058" s="5" t="s">
        <v>25</v>
      </c>
      <c r="R1058" s="5" t="s">
        <v>25</v>
      </c>
      <c r="S1058" s="7" t="str">
        <f>VLOOKUP(A1058,Sheet2!$A$2:$R$3432,18,0)</f>
        <v/>
      </c>
      <c r="T1058" s="7" t="str">
        <f>VLOOKUP(A1058,Sheet2!$A$2:$R$3432,17,0)</f>
        <v/>
      </c>
    </row>
    <row r="1059" ht="15.75" customHeight="1">
      <c r="A1059" s="3" t="s">
        <v>1082</v>
      </c>
      <c r="B1059" s="4" t="str">
        <f>VLOOKUP(A1059,Sheet2!$A$2:$R$3432,2,0)</f>
        <v>2024-09-04 20:52:01</v>
      </c>
      <c r="C1059" s="5" t="s">
        <v>25</v>
      </c>
      <c r="D1059" s="6" t="s">
        <v>25</v>
      </c>
      <c r="E1059" s="7">
        <f>VLOOKUP(A1059,Sheet2!$A$2:$R$3432,4,0)</f>
        <v>9503558142</v>
      </c>
      <c r="F1059" s="7" t="str">
        <f>VLOOKUP(A1059,Sheet2!$A$2:$R$3432,3,0)</f>
        <v>Amol Belkar</v>
      </c>
      <c r="G1059" s="5" t="s">
        <v>25</v>
      </c>
      <c r="H1059" s="5" t="s">
        <v>25</v>
      </c>
      <c r="I1059" s="5" t="s">
        <v>25</v>
      </c>
      <c r="J1059" s="5" t="s">
        <v>25</v>
      </c>
      <c r="K1059" s="7" t="str">
        <f>VLOOKUP(A1059,Sheet2!$A$2:$R$3432,6,0)</f>
        <v>Bajaj Avenger 220 Cruise</v>
      </c>
      <c r="L1059" s="5" t="s">
        <v>25</v>
      </c>
      <c r="M1059" s="7" t="str">
        <f>VLOOKUP(A1059,Sheet2!$A$2:$R$3432,5,0)</f>
        <v>MH14EK5304</v>
      </c>
      <c r="N1059" s="5" t="s">
        <v>25</v>
      </c>
      <c r="O1059" s="5" t="s">
        <v>25</v>
      </c>
      <c r="P1059" s="6" t="s">
        <v>25</v>
      </c>
      <c r="Q1059" s="5" t="s">
        <v>25</v>
      </c>
      <c r="R1059" s="5" t="s">
        <v>25</v>
      </c>
      <c r="S1059" s="7" t="str">
        <f>VLOOKUP(A1059,Sheet2!$A$2:$R$3432,18,0)</f>
        <v/>
      </c>
      <c r="T1059" s="7" t="str">
        <f>VLOOKUP(A1059,Sheet2!$A$2:$R$3432,17,0)</f>
        <v/>
      </c>
    </row>
    <row r="1060" ht="15.75" customHeight="1">
      <c r="A1060" s="3" t="s">
        <v>1083</v>
      </c>
      <c r="B1060" s="4" t="str">
        <f>VLOOKUP(A1060,Sheet2!$A$2:$R$3432,2,0)</f>
        <v>2025-02-19 20:02:27</v>
      </c>
      <c r="C1060" s="5" t="s">
        <v>25</v>
      </c>
      <c r="D1060" s="6" t="s">
        <v>25</v>
      </c>
      <c r="E1060" s="7">
        <f>VLOOKUP(A1060,Sheet2!$A$2:$R$3432,4,0)</f>
        <v>7006073367</v>
      </c>
      <c r="F1060" s="7" t="str">
        <f>VLOOKUP(A1060,Sheet2!$A$2:$R$3432,3,0)</f>
        <v>Ashutosh </v>
      </c>
      <c r="G1060" s="5" t="s">
        <v>25</v>
      </c>
      <c r="H1060" s="5" t="s">
        <v>25</v>
      </c>
      <c r="I1060" s="5" t="s">
        <v>25</v>
      </c>
      <c r="J1060" s="5" t="s">
        <v>25</v>
      </c>
      <c r="K1060" s="7" t="str">
        <f>VLOOKUP(A1060,Sheet2!$A$2:$R$3432,6,0)</f>
        <v>TVS Jupiter </v>
      </c>
      <c r="L1060" s="5" t="s">
        <v>25</v>
      </c>
      <c r="M1060" s="7" t="str">
        <f>VLOOKUP(A1060,Sheet2!$A$2:$R$3432,5,0)</f>
        <v>MH14HP7199</v>
      </c>
      <c r="N1060" s="5" t="s">
        <v>25</v>
      </c>
      <c r="O1060" s="5" t="s">
        <v>25</v>
      </c>
      <c r="P1060" s="6" t="s">
        <v>25</v>
      </c>
      <c r="Q1060" s="5" t="s">
        <v>25</v>
      </c>
      <c r="R1060" s="5" t="s">
        <v>25</v>
      </c>
      <c r="S1060" s="5" t="str">
        <f>VLOOKUP(A1060,Sheet2!$A$2:$R$3432,18,0)</f>
        <v>EGDK1115922</v>
      </c>
      <c r="T1060" s="7" t="str">
        <f>VLOOKUP(A1060,Sheet2!$A$2:$R$3432,17,0)</f>
        <v>MD626EG4X1D21680</v>
      </c>
    </row>
    <row r="1061" ht="15.75" customHeight="1">
      <c r="A1061" s="3" t="s">
        <v>1084</v>
      </c>
      <c r="B1061" s="4" t="str">
        <f>VLOOKUP(A1061,Sheet2!$A$2:$R$3432,2,0)</f>
        <v>2025-02-19 19:31:28</v>
      </c>
      <c r="C1061" s="5" t="s">
        <v>25</v>
      </c>
      <c r="D1061" s="6" t="s">
        <v>25</v>
      </c>
      <c r="E1061" s="7">
        <f>VLOOKUP(A1061,Sheet2!$A$2:$R$3432,4,0)</f>
        <v>9604687980</v>
      </c>
      <c r="F1061" s="7" t="str">
        <f>VLOOKUP(A1061,Sheet2!$A$2:$R$3432,3,0)</f>
        <v>Pramod </v>
      </c>
      <c r="G1061" s="5" t="s">
        <v>25</v>
      </c>
      <c r="H1061" s="5" t="s">
        <v>25</v>
      </c>
      <c r="I1061" s="5" t="s">
        <v>25</v>
      </c>
      <c r="J1061" s="5" t="s">
        <v>25</v>
      </c>
      <c r="K1061" s="7" t="str">
        <f>VLOOKUP(A1061,Sheet2!$A$2:$R$3432,6,0)</f>
        <v>Hero Splendor PRO</v>
      </c>
      <c r="L1061" s="5" t="s">
        <v>25</v>
      </c>
      <c r="M1061" s="7" t="str">
        <f>VLOOKUP(A1061,Sheet2!$A$2:$R$3432,5,0)</f>
        <v>MH14FB3064</v>
      </c>
      <c r="N1061" s="5" t="s">
        <v>25</v>
      </c>
      <c r="O1061" s="5" t="s">
        <v>25</v>
      </c>
      <c r="P1061" s="6" t="s">
        <v>25</v>
      </c>
      <c r="Q1061" s="5" t="s">
        <v>25</v>
      </c>
      <c r="R1061" s="5" t="s">
        <v>25</v>
      </c>
      <c r="S1061" s="5" t="str">
        <f>VLOOKUP(A1061,Sheet2!$A$2:$R$3432,18,0)</f>
        <v>HA10ERFHA1313</v>
      </c>
      <c r="T1061" s="7" t="str">
        <f>VLOOKUP(A1061,Sheet2!$A$2:$R$3432,17,0)</f>
        <v>MBLHA10BEFHH01146</v>
      </c>
    </row>
    <row r="1062" ht="15.75" customHeight="1">
      <c r="A1062" s="3" t="s">
        <v>1085</v>
      </c>
      <c r="B1062" s="4" t="str">
        <f>VLOOKUP(A1062,Sheet2!$A$2:$R$3432,2,0)</f>
        <v>2025-02-19 19:31:55</v>
      </c>
      <c r="C1062" s="5" t="s">
        <v>25</v>
      </c>
      <c r="D1062" s="6" t="s">
        <v>25</v>
      </c>
      <c r="E1062" s="7">
        <f>VLOOKUP(A1062,Sheet2!$A$2:$R$3432,4,0)</f>
        <v>9561040040</v>
      </c>
      <c r="F1062" s="7" t="str">
        <f>VLOOKUP(A1062,Sheet2!$A$2:$R$3432,3,0)</f>
        <v>AMOL JADHAV</v>
      </c>
      <c r="G1062" s="5" t="s">
        <v>25</v>
      </c>
      <c r="H1062" s="5" t="s">
        <v>25</v>
      </c>
      <c r="I1062" s="5" t="s">
        <v>25</v>
      </c>
      <c r="J1062" s="5" t="s">
        <v>25</v>
      </c>
      <c r="K1062" s="7" t="str">
        <f>VLOOKUP(A1062,Sheet2!$A$2:$R$3432,6,0)</f>
        <v>Honda Activa 3G</v>
      </c>
      <c r="L1062" s="5" t="s">
        <v>25</v>
      </c>
      <c r="M1062" s="7" t="str">
        <f>VLOOKUP(A1062,Sheet2!$A$2:$R$3432,5,0)</f>
        <v>MH10CG4525</v>
      </c>
      <c r="N1062" s="5" t="s">
        <v>25</v>
      </c>
      <c r="O1062" s="5" t="s">
        <v>25</v>
      </c>
      <c r="P1062" s="6" t="s">
        <v>25</v>
      </c>
      <c r="Q1062" s="5" t="s">
        <v>25</v>
      </c>
      <c r="R1062" s="5" t="s">
        <v>25</v>
      </c>
      <c r="S1062" s="5" t="str">
        <f>VLOOKUP(A1062,Sheet2!$A$2:$R$3432,18,0)</f>
        <v>JF50EU3060877</v>
      </c>
      <c r="T1062" s="7" t="str">
        <f>VLOOKUP(A1062,Sheet2!$A$2:$R$3432,17,0)</f>
        <v>ME4JF505DGU060952</v>
      </c>
    </row>
    <row r="1063" ht="15.75" customHeight="1">
      <c r="A1063" s="3" t="s">
        <v>1086</v>
      </c>
      <c r="B1063" s="4" t="str">
        <f>VLOOKUP(A1063,Sheet2!$A$2:$R$3432,2,0)</f>
        <v>2025-02-19 19:32:14</v>
      </c>
      <c r="C1063" s="5" t="s">
        <v>25</v>
      </c>
      <c r="D1063" s="6" t="s">
        <v>25</v>
      </c>
      <c r="E1063" s="7">
        <f>VLOOKUP(A1063,Sheet2!$A$2:$R$3432,4,0)</f>
        <v>9404630994</v>
      </c>
      <c r="F1063" s="7" t="str">
        <f>VLOOKUP(A1063,Sheet2!$A$2:$R$3432,3,0)</f>
        <v>Chaitanya Kulkarni </v>
      </c>
      <c r="G1063" s="5" t="s">
        <v>25</v>
      </c>
      <c r="H1063" s="5" t="s">
        <v>25</v>
      </c>
      <c r="I1063" s="5" t="s">
        <v>25</v>
      </c>
      <c r="J1063" s="5" t="s">
        <v>25</v>
      </c>
      <c r="K1063" s="7" t="str">
        <f>VLOOKUP(A1063,Sheet2!$A$2:$R$3432,6,0)</f>
        <v>Honda Activa </v>
      </c>
      <c r="L1063" s="5" t="s">
        <v>25</v>
      </c>
      <c r="M1063" s="7" t="str">
        <f>VLOOKUP(A1063,Sheet2!$A$2:$R$3432,5,0)</f>
        <v>MH14CE6864</v>
      </c>
      <c r="N1063" s="5" t="s">
        <v>25</v>
      </c>
      <c r="O1063" s="5" t="s">
        <v>25</v>
      </c>
      <c r="P1063" s="6" t="s">
        <v>25</v>
      </c>
      <c r="Q1063" s="5" t="s">
        <v>25</v>
      </c>
      <c r="R1063" s="5" t="s">
        <v>25</v>
      </c>
      <c r="S1063" s="5" t="str">
        <f>VLOOKUP(A1063,Sheet2!$A$2:$R$3432,18,0)</f>
        <v>JC44E0795076</v>
      </c>
      <c r="T1063" s="7" t="str">
        <f>VLOOKUP(A1063,Sheet2!$A$2:$R$3432,17,0)</f>
        <v>ME4JC446A8350695</v>
      </c>
    </row>
    <row r="1064" ht="15.75" customHeight="1">
      <c r="A1064" s="3" t="s">
        <v>1087</v>
      </c>
      <c r="B1064" s="4" t="str">
        <f>VLOOKUP(A1064,Sheet2!$A$2:$R$3432,2,0)</f>
        <v>2025-02-19 19:32:35</v>
      </c>
      <c r="C1064" s="5" t="s">
        <v>25</v>
      </c>
      <c r="D1064" s="6" t="s">
        <v>25</v>
      </c>
      <c r="E1064" s="7">
        <f>VLOOKUP(A1064,Sheet2!$A$2:$R$3432,4,0)</f>
        <v>8446645375</v>
      </c>
      <c r="F1064" s="7" t="str">
        <f>VLOOKUP(A1064,Sheet2!$A$2:$R$3432,3,0)</f>
        <v>Yogesh Thakur</v>
      </c>
      <c r="G1064" s="5" t="s">
        <v>25</v>
      </c>
      <c r="H1064" s="5" t="s">
        <v>25</v>
      </c>
      <c r="I1064" s="5" t="s">
        <v>25</v>
      </c>
      <c r="J1064" s="5" t="s">
        <v>25</v>
      </c>
      <c r="K1064" s="7" t="str">
        <f>VLOOKUP(A1064,Sheet2!$A$2:$R$3432,6,0)</f>
        <v>Honda Shine HET</v>
      </c>
      <c r="L1064" s="5" t="s">
        <v>25</v>
      </c>
      <c r="M1064" s="7" t="str">
        <f>VLOOKUP(A1064,Sheet2!$A$2:$R$3432,5,0)</f>
        <v>MH14FB7036</v>
      </c>
      <c r="N1064" s="5" t="s">
        <v>25</v>
      </c>
      <c r="O1064" s="5" t="s">
        <v>25</v>
      </c>
      <c r="P1064" s="6" t="s">
        <v>25</v>
      </c>
      <c r="Q1064" s="5" t="s">
        <v>25</v>
      </c>
      <c r="R1064" s="5" t="s">
        <v>25</v>
      </c>
      <c r="S1064" s="5" t="str">
        <f>VLOOKUP(A1064,Sheet2!$A$2:$R$3432,18,0)</f>
        <v>JC65ET0077434</v>
      </c>
      <c r="T1064" s="7" t="str">
        <f>VLOOKUP(A1064,Sheet2!$A$2:$R$3432,17,0)</f>
        <v>ME4JC651GFT054143</v>
      </c>
    </row>
    <row r="1065" ht="15.75" customHeight="1">
      <c r="A1065" s="3" t="s">
        <v>1088</v>
      </c>
      <c r="B1065" s="4" t="str">
        <f>VLOOKUP(A1065,Sheet2!$A$2:$R$3432,2,0)</f>
        <v>2025-02-19 19:34:17</v>
      </c>
      <c r="C1065" s="5" t="s">
        <v>25</v>
      </c>
      <c r="D1065" s="6" t="s">
        <v>25</v>
      </c>
      <c r="E1065" s="7">
        <f>VLOOKUP(A1065,Sheet2!$A$2:$R$3432,4,0)</f>
        <v>9657970454</v>
      </c>
      <c r="F1065" s="7" t="str">
        <f>VLOOKUP(A1065,Sheet2!$A$2:$R$3432,3,0)</f>
        <v>Megha Joshi </v>
      </c>
      <c r="G1065" s="5" t="s">
        <v>25</v>
      </c>
      <c r="H1065" s="5" t="s">
        <v>25</v>
      </c>
      <c r="I1065" s="5" t="s">
        <v>25</v>
      </c>
      <c r="J1065" s="5" t="s">
        <v>25</v>
      </c>
      <c r="K1065" s="7" t="str">
        <f>VLOOKUP(A1065,Sheet2!$A$2:$R$3432,6,0)</f>
        <v>Hero Pleasure No Data</v>
      </c>
      <c r="L1065" s="5" t="s">
        <v>25</v>
      </c>
      <c r="M1065" s="7" t="str">
        <f>VLOOKUP(A1065,Sheet2!$A$2:$R$3432,5,0)</f>
        <v>MH14CH1403</v>
      </c>
      <c r="N1065" s="5" t="s">
        <v>25</v>
      </c>
      <c r="O1065" s="5" t="s">
        <v>25</v>
      </c>
      <c r="P1065" s="6" t="s">
        <v>25</v>
      </c>
      <c r="Q1065" s="5" t="s">
        <v>25</v>
      </c>
      <c r="R1065" s="5" t="s">
        <v>25</v>
      </c>
      <c r="S1065" s="5" t="str">
        <f>VLOOKUP(A1065,Sheet2!$A$2:$R$3432,18,0)</f>
        <v>JF16EBHGJ14439</v>
      </c>
      <c r="T1065" s="7" t="str">
        <f>VLOOKUP(A1065,Sheet2!$A$2:$R$3432,17,0)</f>
        <v>MBLJF16EEAGJE3056</v>
      </c>
    </row>
    <row r="1066" ht="15.75" customHeight="1">
      <c r="A1066" s="3" t="s">
        <v>1089</v>
      </c>
      <c r="B1066" s="4" t="str">
        <f>VLOOKUP(A1066,Sheet2!$A$2:$R$3432,2,0)</f>
        <v>2025-02-19 19:35:48</v>
      </c>
      <c r="C1066" s="5" t="s">
        <v>25</v>
      </c>
      <c r="D1066" s="6" t="s">
        <v>25</v>
      </c>
      <c r="E1066" s="7">
        <f>VLOOKUP(A1066,Sheet2!$A$2:$R$3432,4,0)</f>
        <v>9665390129</v>
      </c>
      <c r="F1066" s="7" t="str">
        <f>VLOOKUP(A1066,Sheet2!$A$2:$R$3432,3,0)</f>
        <v>Narayan Chavan</v>
      </c>
      <c r="G1066" s="5" t="s">
        <v>25</v>
      </c>
      <c r="H1066" s="5" t="s">
        <v>25</v>
      </c>
      <c r="I1066" s="5" t="s">
        <v>25</v>
      </c>
      <c r="J1066" s="5" t="s">
        <v>25</v>
      </c>
      <c r="K1066" s="7" t="str">
        <f>VLOOKUP(A1066,Sheet2!$A$2:$R$3432,6,0)</f>
        <v>Hero Deluxe CD</v>
      </c>
      <c r="L1066" s="5" t="s">
        <v>25</v>
      </c>
      <c r="M1066" s="7" t="str">
        <f>VLOOKUP(A1066,Sheet2!$A$2:$R$3432,5,0)</f>
        <v>MH14FJ5958</v>
      </c>
      <c r="N1066" s="5" t="s">
        <v>25</v>
      </c>
      <c r="O1066" s="5" t="s">
        <v>25</v>
      </c>
      <c r="P1066" s="6" t="s">
        <v>25</v>
      </c>
      <c r="Q1066" s="5" t="s">
        <v>25</v>
      </c>
      <c r="R1066" s="5" t="s">
        <v>25</v>
      </c>
      <c r="S1066" s="5" t="str">
        <f>VLOOKUP(A1066,Sheet2!$A$2:$R$3432,18,0)</f>
        <v>HA11EKF9K08191</v>
      </c>
      <c r="T1066" s="7" t="str">
        <f>VLOOKUP(A1066,Sheet2!$A$2:$R$3432,17,0)</f>
        <v>MBLHA11AZF9K08412</v>
      </c>
    </row>
    <row r="1067" ht="15.75" customHeight="1">
      <c r="A1067" s="3" t="s">
        <v>1090</v>
      </c>
      <c r="B1067" s="4" t="str">
        <f>VLOOKUP(A1067,Sheet2!$A$2:$R$3432,2,0)</f>
        <v>2025-02-19 20:04:10</v>
      </c>
      <c r="C1067" s="5" t="s">
        <v>25</v>
      </c>
      <c r="D1067" s="6" t="s">
        <v>25</v>
      </c>
      <c r="E1067" s="7">
        <f>VLOOKUP(A1067,Sheet2!$A$2:$R$3432,4,0)</f>
        <v>7798104738</v>
      </c>
      <c r="F1067" s="7" t="str">
        <f>VLOOKUP(A1067,Sheet2!$A$2:$R$3432,3,0)</f>
        <v>Dattatray </v>
      </c>
      <c r="G1067" s="5" t="s">
        <v>25</v>
      </c>
      <c r="H1067" s="5" t="s">
        <v>25</v>
      </c>
      <c r="I1067" s="5" t="s">
        <v>25</v>
      </c>
      <c r="J1067" s="5" t="s">
        <v>25</v>
      </c>
      <c r="K1067" s="7" t="str">
        <f>VLOOKUP(A1067,Sheet2!$A$2:$R$3432,6,0)</f>
        <v>Bajaj Discover 135</v>
      </c>
      <c r="L1067" s="5" t="s">
        <v>25</v>
      </c>
      <c r="M1067" s="7" t="str">
        <f>VLOOKUP(A1067,Sheet2!$A$2:$R$3432,5,0)</f>
        <v>MH14AT8161</v>
      </c>
      <c r="N1067" s="5" t="s">
        <v>25</v>
      </c>
      <c r="O1067" s="5" t="s">
        <v>25</v>
      </c>
      <c r="P1067" s="6" t="s">
        <v>25</v>
      </c>
      <c r="Q1067" s="5" t="s">
        <v>25</v>
      </c>
      <c r="R1067" s="5" t="s">
        <v>25</v>
      </c>
      <c r="S1067" s="7" t="str">
        <f>VLOOKUP(A1067,Sheet2!$A$2:$R$3432,18,0)</f>
        <v/>
      </c>
      <c r="T1067" s="7" t="str">
        <f>VLOOKUP(A1067,Sheet2!$A$2:$R$3432,17,0)</f>
        <v/>
      </c>
    </row>
    <row r="1068" ht="15.75" customHeight="1">
      <c r="A1068" s="3" t="s">
        <v>1091</v>
      </c>
      <c r="B1068" s="4" t="str">
        <f>VLOOKUP(A1068,Sheet2!$A$2:$R$3432,2,0)</f>
        <v>2025-02-19 20:27:57</v>
      </c>
      <c r="C1068" s="5" t="s">
        <v>25</v>
      </c>
      <c r="D1068" s="6" t="s">
        <v>25</v>
      </c>
      <c r="E1068" s="7">
        <f>VLOOKUP(A1068,Sheet2!$A$2:$R$3432,4,0)</f>
        <v>8999186695</v>
      </c>
      <c r="F1068" s="7" t="str">
        <f>VLOOKUP(A1068,Sheet2!$A$2:$R$3432,3,0)</f>
        <v>RENU </v>
      </c>
      <c r="G1068" s="5" t="s">
        <v>25</v>
      </c>
      <c r="H1068" s="5" t="s">
        <v>25</v>
      </c>
      <c r="I1068" s="5" t="s">
        <v>25</v>
      </c>
      <c r="J1068" s="5" t="s">
        <v>25</v>
      </c>
      <c r="K1068" s="7" t="str">
        <f>VLOOKUP(A1068,Sheet2!$A$2:$R$3432,6,0)</f>
        <v>TVS Jupiter 125</v>
      </c>
      <c r="L1068" s="5" t="s">
        <v>25</v>
      </c>
      <c r="M1068" s="7" t="str">
        <f>VLOOKUP(A1068,Sheet2!$A$2:$R$3432,5,0)</f>
        <v>MH14JZ1780</v>
      </c>
      <c r="N1068" s="5" t="s">
        <v>25</v>
      </c>
      <c r="O1068" s="5" t="s">
        <v>25</v>
      </c>
      <c r="P1068" s="6" t="s">
        <v>25</v>
      </c>
      <c r="Q1068" s="5" t="s">
        <v>25</v>
      </c>
      <c r="R1068" s="5" t="s">
        <v>25</v>
      </c>
      <c r="S1068" s="7" t="str">
        <f>VLOOKUP(A1068,Sheet2!$A$2:$R$3432,18,0)</f>
        <v/>
      </c>
      <c r="T1068" s="7" t="str">
        <f>VLOOKUP(A1068,Sheet2!$A$2:$R$3432,17,0)</f>
        <v/>
      </c>
    </row>
    <row r="1069" ht="15.75" customHeight="1">
      <c r="A1069" s="3" t="s">
        <v>1092</v>
      </c>
      <c r="B1069" s="4" t="str">
        <f>VLOOKUP(A1069,Sheet2!$A$2:$R$3432,2,0)</f>
        <v>2025-01-10 20:23:06</v>
      </c>
      <c r="C1069" s="5" t="s">
        <v>25</v>
      </c>
      <c r="D1069" s="6" t="s">
        <v>25</v>
      </c>
      <c r="E1069" s="7">
        <f>VLOOKUP(A1069,Sheet2!$A$2:$R$3432,4,0)</f>
        <v>7276334217</v>
      </c>
      <c r="F1069" s="7" t="str">
        <f>VLOOKUP(A1069,Sheet2!$A$2:$R$3432,3,0)</f>
        <v>Sumant Sharma</v>
      </c>
      <c r="G1069" s="5" t="s">
        <v>25</v>
      </c>
      <c r="H1069" s="5" t="s">
        <v>25</v>
      </c>
      <c r="I1069" s="5" t="s">
        <v>25</v>
      </c>
      <c r="J1069" s="5" t="s">
        <v>25</v>
      </c>
      <c r="K1069" s="7" t="str">
        <f>VLOOKUP(A1069,Sheet2!$A$2:$R$3432,6,0)</f>
        <v>Honda Unicorn </v>
      </c>
      <c r="L1069" s="5" t="s">
        <v>25</v>
      </c>
      <c r="M1069" s="7" t="str">
        <f>VLOOKUP(A1069,Sheet2!$A$2:$R$3432,5,0)</f>
        <v>MH27AH3398</v>
      </c>
      <c r="N1069" s="5" t="s">
        <v>25</v>
      </c>
      <c r="O1069" s="5" t="s">
        <v>25</v>
      </c>
      <c r="P1069" s="6" t="s">
        <v>25</v>
      </c>
      <c r="Q1069" s="5" t="s">
        <v>25</v>
      </c>
      <c r="R1069" s="5" t="s">
        <v>25</v>
      </c>
      <c r="S1069" s="5" t="str">
        <f>VLOOKUP(A1069,Sheet2!$A$2:$R$3432,18,0)</f>
        <v>KC09E1052494</v>
      </c>
      <c r="T1069" s="7" t="str">
        <f>VLOOKUP(A1069,Sheet2!$A$2:$R$3432,17,0)</f>
        <v>RUSTY FRAME</v>
      </c>
    </row>
    <row r="1070" ht="15.75" customHeight="1">
      <c r="A1070" s="3" t="s">
        <v>1093</v>
      </c>
      <c r="B1070" s="4" t="str">
        <f>VLOOKUP(A1070,Sheet2!$A$2:$R$3432,2,0)</f>
        <v>2025-01-10 20:24:18</v>
      </c>
      <c r="C1070" s="5" t="s">
        <v>25</v>
      </c>
      <c r="D1070" s="6" t="s">
        <v>25</v>
      </c>
      <c r="E1070" s="7">
        <f>VLOOKUP(A1070,Sheet2!$A$2:$R$3432,4,0)</f>
        <v>9404237428</v>
      </c>
      <c r="F1070" s="7" t="str">
        <f>VLOOKUP(A1070,Sheet2!$A$2:$R$3432,3,0)</f>
        <v>Bhupesh Patil</v>
      </c>
      <c r="G1070" s="5" t="s">
        <v>25</v>
      </c>
      <c r="H1070" s="5" t="s">
        <v>25</v>
      </c>
      <c r="I1070" s="5" t="s">
        <v>25</v>
      </c>
      <c r="J1070" s="5" t="s">
        <v>25</v>
      </c>
      <c r="K1070" s="7" t="str">
        <f>VLOOKUP(A1070,Sheet2!$A$2:$R$3432,6,0)</f>
        <v>Suzuki Gixxer No Data</v>
      </c>
      <c r="L1070" s="5" t="s">
        <v>25</v>
      </c>
      <c r="M1070" s="7" t="str">
        <f>VLOOKUP(A1070,Sheet2!$A$2:$R$3432,5,0)</f>
        <v>MH12RS3224</v>
      </c>
      <c r="N1070" s="5" t="s">
        <v>25</v>
      </c>
      <c r="O1070" s="5" t="s">
        <v>25</v>
      </c>
      <c r="P1070" s="6" t="s">
        <v>25</v>
      </c>
      <c r="Q1070" s="5" t="s">
        <v>25</v>
      </c>
      <c r="R1070" s="5" t="s">
        <v>25</v>
      </c>
      <c r="S1070" s="7" t="str">
        <f>VLOOKUP(A1070,Sheet2!$A$2:$R$3432,18,0)</f>
        <v/>
      </c>
      <c r="T1070" s="7" t="str">
        <f>VLOOKUP(A1070,Sheet2!$A$2:$R$3432,17,0)</f>
        <v/>
      </c>
    </row>
    <row r="1071" ht="15.75" customHeight="1">
      <c r="A1071" s="3" t="s">
        <v>1094</v>
      </c>
      <c r="B1071" s="4" t="str">
        <f>VLOOKUP(A1071,Sheet2!$A$2:$R$3432,2,0)</f>
        <v>2025-01-10 20:22:29</v>
      </c>
      <c r="C1071" s="5" t="s">
        <v>25</v>
      </c>
      <c r="D1071" s="6" t="s">
        <v>25</v>
      </c>
      <c r="E1071" s="7">
        <f>VLOOKUP(A1071,Sheet2!$A$2:$R$3432,4,0)</f>
        <v>7620644446</v>
      </c>
      <c r="F1071" s="7" t="str">
        <f>VLOOKUP(A1071,Sheet2!$A$2:$R$3432,3,0)</f>
        <v>Harshal Jadhav </v>
      </c>
      <c r="G1071" s="5" t="s">
        <v>25</v>
      </c>
      <c r="H1071" s="5" t="s">
        <v>25</v>
      </c>
      <c r="I1071" s="5" t="s">
        <v>25</v>
      </c>
      <c r="J1071" s="5" t="s">
        <v>25</v>
      </c>
      <c r="K1071" s="7" t="str">
        <f>VLOOKUP(A1071,Sheet2!$A$2:$R$3432,6,0)</f>
        <v>Honda Activa 6G</v>
      </c>
      <c r="L1071" s="5" t="s">
        <v>25</v>
      </c>
      <c r="M1071" s="7" t="str">
        <f>VLOOKUP(A1071,Sheet2!$A$2:$R$3432,5,0)</f>
        <v>MH12UD7465</v>
      </c>
      <c r="N1071" s="5" t="s">
        <v>25</v>
      </c>
      <c r="O1071" s="5" t="s">
        <v>25</v>
      </c>
      <c r="P1071" s="6" t="s">
        <v>25</v>
      </c>
      <c r="Q1071" s="5" t="s">
        <v>25</v>
      </c>
      <c r="R1071" s="5" t="s">
        <v>25</v>
      </c>
      <c r="S1071" s="7" t="str">
        <f>VLOOKUP(A1071,Sheet2!$A$2:$R$3432,18,0)</f>
        <v/>
      </c>
      <c r="T1071" s="7" t="str">
        <f>VLOOKUP(A1071,Sheet2!$A$2:$R$3432,17,0)</f>
        <v/>
      </c>
    </row>
    <row r="1072" ht="15.75" customHeight="1">
      <c r="A1072" s="3" t="s">
        <v>1095</v>
      </c>
      <c r="B1072" s="4" t="str">
        <f>VLOOKUP(A1072,Sheet2!$A$2:$R$3432,2,0)</f>
        <v>2025-01-10 20:47:39</v>
      </c>
      <c r="C1072" s="5" t="s">
        <v>25</v>
      </c>
      <c r="D1072" s="6" t="s">
        <v>25</v>
      </c>
      <c r="E1072" s="7">
        <f>VLOOKUP(A1072,Sheet2!$A$2:$R$3432,4,0)</f>
        <v>8080718265</v>
      </c>
      <c r="F1072" s="7" t="str">
        <f>VLOOKUP(A1072,Sheet2!$A$2:$R$3432,3,0)</f>
        <v>Raj Munot</v>
      </c>
      <c r="G1072" s="5" t="s">
        <v>25</v>
      </c>
      <c r="H1072" s="5" t="s">
        <v>25</v>
      </c>
      <c r="I1072" s="5" t="s">
        <v>25</v>
      </c>
      <c r="J1072" s="5" t="s">
        <v>25</v>
      </c>
      <c r="K1072" s="7" t="str">
        <f>VLOOKUP(A1072,Sheet2!$A$2:$R$3432,6,0)</f>
        <v>Honda Shine No Data</v>
      </c>
      <c r="L1072" s="5" t="s">
        <v>25</v>
      </c>
      <c r="M1072" s="7" t="str">
        <f>VLOOKUP(A1072,Sheet2!$A$2:$R$3432,5,0)</f>
        <v>MH14HS8236</v>
      </c>
      <c r="N1072" s="5" t="s">
        <v>25</v>
      </c>
      <c r="O1072" s="5" t="s">
        <v>25</v>
      </c>
      <c r="P1072" s="6" t="s">
        <v>25</v>
      </c>
      <c r="Q1072" s="5" t="s">
        <v>25</v>
      </c>
      <c r="R1072" s="5" t="s">
        <v>25</v>
      </c>
      <c r="S1072" s="7" t="str">
        <f>VLOOKUP(A1072,Sheet2!$A$2:$R$3432,18,0)</f>
        <v/>
      </c>
      <c r="T1072" s="7" t="str">
        <f>VLOOKUP(A1072,Sheet2!$A$2:$R$3432,17,0)</f>
        <v/>
      </c>
    </row>
    <row r="1073" ht="15.75" customHeight="1">
      <c r="A1073" s="3" t="s">
        <v>1096</v>
      </c>
      <c r="B1073" s="4" t="str">
        <f>VLOOKUP(A1073,Sheet2!$A$2:$R$3432,2,0)</f>
        <v>2025-01-10 20:21:00</v>
      </c>
      <c r="C1073" s="5" t="s">
        <v>25</v>
      </c>
      <c r="D1073" s="6" t="s">
        <v>25</v>
      </c>
      <c r="E1073" s="7">
        <f>VLOOKUP(A1073,Sheet2!$A$2:$R$3432,4,0)</f>
        <v>9730023680</v>
      </c>
      <c r="F1073" s="7" t="str">
        <f>VLOOKUP(A1073,Sheet2!$A$2:$R$3432,3,0)</f>
        <v>Malay Vaishnav</v>
      </c>
      <c r="G1073" s="5" t="s">
        <v>25</v>
      </c>
      <c r="H1073" s="5" t="s">
        <v>25</v>
      </c>
      <c r="I1073" s="5" t="s">
        <v>25</v>
      </c>
      <c r="J1073" s="5" t="s">
        <v>25</v>
      </c>
      <c r="K1073" s="7" t="str">
        <f>VLOOKUP(A1073,Sheet2!$A$2:$R$3432,6,0)</f>
        <v>TVS Jupiter </v>
      </c>
      <c r="L1073" s="5" t="s">
        <v>25</v>
      </c>
      <c r="M1073" s="7" t="str">
        <f>VLOOKUP(A1073,Sheet2!$A$2:$R$3432,5,0)</f>
        <v>MH12QK6885</v>
      </c>
      <c r="N1073" s="5" t="s">
        <v>25</v>
      </c>
      <c r="O1073" s="5" t="s">
        <v>25</v>
      </c>
      <c r="P1073" s="6" t="s">
        <v>25</v>
      </c>
      <c r="Q1073" s="5" t="s">
        <v>25</v>
      </c>
      <c r="R1073" s="5" t="s">
        <v>25</v>
      </c>
      <c r="S1073" s="7" t="str">
        <f>VLOOKUP(A1073,Sheet2!$A$2:$R$3432,18,0)</f>
        <v/>
      </c>
      <c r="T1073" s="7" t="str">
        <f>VLOOKUP(A1073,Sheet2!$A$2:$R$3432,17,0)</f>
        <v>md626e642j3c10821</v>
      </c>
    </row>
    <row r="1074" ht="15.75" customHeight="1">
      <c r="A1074" s="3" t="s">
        <v>1097</v>
      </c>
      <c r="B1074" s="4" t="str">
        <f>VLOOKUP(A1074,Sheet2!$A$2:$R$3432,2,0)</f>
        <v>2025-01-10 20:21:45</v>
      </c>
      <c r="C1074" s="5" t="s">
        <v>25</v>
      </c>
      <c r="D1074" s="6" t="s">
        <v>25</v>
      </c>
      <c r="E1074" s="7">
        <f>VLOOKUP(A1074,Sheet2!$A$2:$R$3432,4,0)</f>
        <v>9823442293</v>
      </c>
      <c r="F1074" s="7" t="str">
        <f>VLOOKUP(A1074,Sheet2!$A$2:$R$3432,3,0)</f>
        <v>Yogesh Mokashi</v>
      </c>
      <c r="G1074" s="5" t="s">
        <v>25</v>
      </c>
      <c r="H1074" s="5" t="s">
        <v>25</v>
      </c>
      <c r="I1074" s="5" t="s">
        <v>25</v>
      </c>
      <c r="J1074" s="5" t="s">
        <v>25</v>
      </c>
      <c r="K1074" s="7" t="str">
        <f>VLOOKUP(A1074,Sheet2!$A$2:$R$3432,6,0)</f>
        <v>Honda Activa 125</v>
      </c>
      <c r="L1074" s="5" t="s">
        <v>25</v>
      </c>
      <c r="M1074" s="7" t="str">
        <f>VLOOKUP(A1074,Sheet2!$A$2:$R$3432,5,0)</f>
        <v>MH14FQ3054</v>
      </c>
      <c r="N1074" s="5" t="s">
        <v>25</v>
      </c>
      <c r="O1074" s="5" t="s">
        <v>25</v>
      </c>
      <c r="P1074" s="6" t="s">
        <v>25</v>
      </c>
      <c r="Q1074" s="5" t="s">
        <v>25</v>
      </c>
      <c r="R1074" s="5" t="s">
        <v>25</v>
      </c>
      <c r="S1074" s="5" t="str">
        <f>VLOOKUP(A1074,Sheet2!$A$2:$R$3432,18,0)</f>
        <v>JFH9E81222327</v>
      </c>
      <c r="T1074" s="7" t="str">
        <f>VLOOKUP(A1074,Sheet2!$A$2:$R$3432,17,0)</f>
        <v>MEHJFH93E08132085</v>
      </c>
    </row>
    <row r="1075" ht="15.75" customHeight="1">
      <c r="A1075" s="3" t="s">
        <v>1098</v>
      </c>
      <c r="B1075" s="4" t="str">
        <f>VLOOKUP(A1075,Sheet2!$A$2:$R$3432,2,0)</f>
        <v>2025-01-11 19:52:03</v>
      </c>
      <c r="C1075" s="5" t="s">
        <v>25</v>
      </c>
      <c r="D1075" s="6" t="s">
        <v>25</v>
      </c>
      <c r="E1075" s="7">
        <f>VLOOKUP(A1075,Sheet2!$A$2:$R$3432,4,0)</f>
        <v>9860518502</v>
      </c>
      <c r="F1075" s="7" t="str">
        <f>VLOOKUP(A1075,Sheet2!$A$2:$R$3432,3,0)</f>
        <v>DANISH SHAIKH</v>
      </c>
      <c r="G1075" s="5" t="s">
        <v>25</v>
      </c>
      <c r="H1075" s="5" t="s">
        <v>25</v>
      </c>
      <c r="I1075" s="5" t="s">
        <v>25</v>
      </c>
      <c r="J1075" s="5" t="s">
        <v>25</v>
      </c>
      <c r="K1075" s="7" t="str">
        <f>VLOOKUP(A1075,Sheet2!$A$2:$R$3432,6,0)</f>
        <v>TVS Jupiter </v>
      </c>
      <c r="L1075" s="5" t="s">
        <v>25</v>
      </c>
      <c r="M1075" s="7" t="str">
        <f>VLOOKUP(A1075,Sheet2!$A$2:$R$3432,5,0)</f>
        <v>MH12QH1031</v>
      </c>
      <c r="N1075" s="5" t="s">
        <v>25</v>
      </c>
      <c r="O1075" s="5" t="s">
        <v>25</v>
      </c>
      <c r="P1075" s="6" t="s">
        <v>25</v>
      </c>
      <c r="Q1075" s="5" t="s">
        <v>25</v>
      </c>
      <c r="R1075" s="5" t="s">
        <v>25</v>
      </c>
      <c r="S1075" s="7" t="str">
        <f>VLOOKUP(A1075,Sheet2!$A$2:$R$3432,18,0)</f>
        <v/>
      </c>
      <c r="T1075" s="7" t="str">
        <f>VLOOKUP(A1075,Sheet2!$A$2:$R$3432,17,0)</f>
        <v/>
      </c>
    </row>
    <row r="1076" ht="15.75" customHeight="1">
      <c r="A1076" s="3" t="s">
        <v>1099</v>
      </c>
      <c r="B1076" s="4" t="str">
        <f>VLOOKUP(A1076,Sheet2!$A$2:$R$3432,2,0)</f>
        <v>2025-01-11 20:00:12</v>
      </c>
      <c r="C1076" s="5" t="s">
        <v>25</v>
      </c>
      <c r="D1076" s="6" t="s">
        <v>25</v>
      </c>
      <c r="E1076" s="7">
        <f>VLOOKUP(A1076,Sheet2!$A$2:$R$3432,4,0)</f>
        <v>9511612827</v>
      </c>
      <c r="F1076" s="7" t="str">
        <f>VLOOKUP(A1076,Sheet2!$A$2:$R$3432,3,0)</f>
        <v>Atharva </v>
      </c>
      <c r="G1076" s="5" t="s">
        <v>25</v>
      </c>
      <c r="H1076" s="5" t="s">
        <v>25</v>
      </c>
      <c r="I1076" s="5" t="s">
        <v>25</v>
      </c>
      <c r="J1076" s="5" t="s">
        <v>25</v>
      </c>
      <c r="K1076" s="7" t="str">
        <f>VLOOKUP(A1076,Sheet2!$A$2:$R$3432,6,0)</f>
        <v>Hero Duet </v>
      </c>
      <c r="L1076" s="5" t="s">
        <v>25</v>
      </c>
      <c r="M1076" s="7" t="str">
        <f>VLOOKUP(A1076,Sheet2!$A$2:$R$3432,5,0)</f>
        <v>MH13CW9501</v>
      </c>
      <c r="N1076" s="5" t="s">
        <v>25</v>
      </c>
      <c r="O1076" s="5" t="s">
        <v>25</v>
      </c>
      <c r="P1076" s="6" t="s">
        <v>25</v>
      </c>
      <c r="Q1076" s="5" t="s">
        <v>25</v>
      </c>
      <c r="R1076" s="5" t="s">
        <v>25</v>
      </c>
      <c r="S1076" s="7" t="str">
        <f>VLOOKUP(A1076,Sheet2!$A$2:$R$3432,18,0)</f>
        <v/>
      </c>
      <c r="T1076" s="7" t="str">
        <f>VLOOKUP(A1076,Sheet2!$A$2:$R$3432,17,0)</f>
        <v/>
      </c>
    </row>
    <row r="1077" ht="15.75" customHeight="1">
      <c r="A1077" s="3" t="s">
        <v>1100</v>
      </c>
      <c r="B1077" s="4" t="str">
        <f>VLOOKUP(A1077,Sheet2!$A$2:$R$3432,2,0)</f>
        <v>2025-01-11 19:48:13</v>
      </c>
      <c r="C1077" s="5" t="s">
        <v>25</v>
      </c>
      <c r="D1077" s="6" t="s">
        <v>25</v>
      </c>
      <c r="E1077" s="7">
        <f>VLOOKUP(A1077,Sheet2!$A$2:$R$3432,4,0)</f>
        <v>9659394401</v>
      </c>
      <c r="F1077" s="7" t="str">
        <f>VLOOKUP(A1077,Sheet2!$A$2:$R$3432,3,0)</f>
        <v>Santhosh R</v>
      </c>
      <c r="G1077" s="5" t="s">
        <v>25</v>
      </c>
      <c r="H1077" s="5" t="s">
        <v>25</v>
      </c>
      <c r="I1077" s="5" t="s">
        <v>25</v>
      </c>
      <c r="J1077" s="5" t="s">
        <v>25</v>
      </c>
      <c r="K1077" s="7" t="str">
        <f>VLOOKUP(A1077,Sheet2!$A$2:$R$3432,6,0)</f>
        <v>Yamaha FZ S 2.0</v>
      </c>
      <c r="L1077" s="5" t="s">
        <v>25</v>
      </c>
      <c r="M1077" s="7" t="str">
        <f>VLOOKUP(A1077,Sheet2!$A$2:$R$3432,5,0)</f>
        <v>TN40R8064</v>
      </c>
      <c r="N1077" s="5" t="s">
        <v>25</v>
      </c>
      <c r="O1077" s="5" t="s">
        <v>25</v>
      </c>
      <c r="P1077" s="6" t="s">
        <v>25</v>
      </c>
      <c r="Q1077" s="5" t="s">
        <v>25</v>
      </c>
      <c r="R1077" s="5" t="s">
        <v>25</v>
      </c>
      <c r="S1077" s="5" t="str">
        <f>VLOOKUP(A1077,Sheet2!$A$2:$R$3432,18,0)</f>
        <v>G3L5E0022648</v>
      </c>
      <c r="T1077" s="7" t="str">
        <f>VLOOKUP(A1077,Sheet2!$A$2:$R$3432,17,0)</f>
        <v>ME1RG4489J0019890</v>
      </c>
    </row>
    <row r="1078" ht="15.75" customHeight="1">
      <c r="A1078" s="3" t="s">
        <v>1101</v>
      </c>
      <c r="B1078" s="4" t="str">
        <f>VLOOKUP(A1078,Sheet2!$A$2:$R$3432,2,0)</f>
        <v>2025-01-11 19:50:49</v>
      </c>
      <c r="C1078" s="5" t="s">
        <v>25</v>
      </c>
      <c r="D1078" s="6" t="s">
        <v>25</v>
      </c>
      <c r="E1078" s="7">
        <f>VLOOKUP(A1078,Sheet2!$A$2:$R$3432,4,0)</f>
        <v>8484842631</v>
      </c>
      <c r="F1078" s="7" t="str">
        <f>VLOOKUP(A1078,Sheet2!$A$2:$R$3432,3,0)</f>
        <v>Aayush</v>
      </c>
      <c r="G1078" s="5" t="s">
        <v>25</v>
      </c>
      <c r="H1078" s="5" t="s">
        <v>25</v>
      </c>
      <c r="I1078" s="5" t="s">
        <v>25</v>
      </c>
      <c r="J1078" s="5" t="s">
        <v>25</v>
      </c>
      <c r="K1078" s="7" t="str">
        <f>VLOOKUP(A1078,Sheet2!$A$2:$R$3432,6,0)</f>
        <v>Honda Dream Yuga No Data</v>
      </c>
      <c r="L1078" s="5" t="s">
        <v>25</v>
      </c>
      <c r="M1078" s="7" t="str">
        <f>VLOOKUP(A1078,Sheet2!$A$2:$R$3432,5,0)</f>
        <v>MH19DK3617</v>
      </c>
      <c r="N1078" s="5" t="s">
        <v>25</v>
      </c>
      <c r="O1078" s="5" t="s">
        <v>25</v>
      </c>
      <c r="P1078" s="6" t="s">
        <v>25</v>
      </c>
      <c r="Q1078" s="5" t="s">
        <v>25</v>
      </c>
      <c r="R1078" s="5" t="s">
        <v>25</v>
      </c>
      <c r="S1078" s="5" t="str">
        <f>VLOOKUP(A1078,Sheet2!$A$2:$R$3432,18,0)</f>
        <v>JC58ET7114866</v>
      </c>
      <c r="T1078" s="7" t="str">
        <f>VLOOKUP(A1078,Sheet2!$A$2:$R$3432,17,0)</f>
        <v>ME4JC58FCKY06561</v>
      </c>
    </row>
    <row r="1079" ht="15.75" customHeight="1">
      <c r="A1079" s="3" t="s">
        <v>1102</v>
      </c>
      <c r="B1079" s="4" t="str">
        <f>VLOOKUP(A1079,Sheet2!$A$2:$R$3432,2,0)</f>
        <v>2025-01-11 19:56:40</v>
      </c>
      <c r="C1079" s="5" t="s">
        <v>25</v>
      </c>
      <c r="D1079" s="6" t="s">
        <v>25</v>
      </c>
      <c r="E1079" s="7">
        <f>VLOOKUP(A1079,Sheet2!$A$2:$R$3432,4,0)</f>
        <v>9762861972</v>
      </c>
      <c r="F1079" s="7" t="str">
        <f>VLOOKUP(A1079,Sheet2!$A$2:$R$3432,3,0)</f>
        <v>Amey </v>
      </c>
      <c r="G1079" s="5" t="s">
        <v>25</v>
      </c>
      <c r="H1079" s="5" t="s">
        <v>25</v>
      </c>
      <c r="I1079" s="5" t="s">
        <v>25</v>
      </c>
      <c r="J1079" s="5" t="s">
        <v>25</v>
      </c>
      <c r="K1079" s="7" t="str">
        <f>VLOOKUP(A1079,Sheet2!$A$2:$R$3432,6,0)</f>
        <v>Yamaha R15 V3</v>
      </c>
      <c r="L1079" s="5" t="s">
        <v>25</v>
      </c>
      <c r="M1079" s="7" t="str">
        <f>VLOOKUP(A1079,Sheet2!$A$2:$R$3432,5,0)</f>
        <v>MH14JN0887</v>
      </c>
      <c r="N1079" s="5" t="s">
        <v>25</v>
      </c>
      <c r="O1079" s="5" t="s">
        <v>25</v>
      </c>
      <c r="P1079" s="6" t="s">
        <v>25</v>
      </c>
      <c r="Q1079" s="5" t="s">
        <v>25</v>
      </c>
      <c r="R1079" s="5" t="s">
        <v>25</v>
      </c>
      <c r="S1079" s="5" t="str">
        <f>VLOOKUP(A1079,Sheet2!$A$2:$R$3432,18,0)</f>
        <v>G3N460076805</v>
      </c>
      <c r="T1079" s="7" t="str">
        <f>VLOOKUP(A1079,Sheet2!$A$2:$R$3432,17,0)</f>
        <v>ME1RG671BL0052645</v>
      </c>
    </row>
    <row r="1080" ht="15.75" customHeight="1">
      <c r="A1080" s="3" t="s">
        <v>1103</v>
      </c>
      <c r="B1080" s="4" t="str">
        <f>VLOOKUP(A1080,Sheet2!$A$2:$R$3432,2,0)</f>
        <v>2025-01-11 19:52:53</v>
      </c>
      <c r="C1080" s="5" t="s">
        <v>25</v>
      </c>
      <c r="D1080" s="6" t="s">
        <v>25</v>
      </c>
      <c r="E1080" s="7">
        <f>VLOOKUP(A1080,Sheet2!$A$2:$R$3432,4,0)</f>
        <v>8007822462</v>
      </c>
      <c r="F1080" s="7" t="str">
        <f>VLOOKUP(A1080,Sheet2!$A$2:$R$3432,3,0)</f>
        <v>YOGESH</v>
      </c>
      <c r="G1080" s="5" t="s">
        <v>25</v>
      </c>
      <c r="H1080" s="5" t="s">
        <v>25</v>
      </c>
      <c r="I1080" s="5" t="s">
        <v>25</v>
      </c>
      <c r="J1080" s="5" t="s">
        <v>25</v>
      </c>
      <c r="K1080" s="7" t="str">
        <f>VLOOKUP(A1080,Sheet2!$A$2:$R$3432,6,0)</f>
        <v>Honda Shine </v>
      </c>
      <c r="L1080" s="5" t="s">
        <v>25</v>
      </c>
      <c r="M1080" s="7" t="str">
        <f>VLOOKUP(A1080,Sheet2!$A$2:$R$3432,5,0)</f>
        <v>MH26BH5645</v>
      </c>
      <c r="N1080" s="5" t="s">
        <v>25</v>
      </c>
      <c r="O1080" s="5" t="s">
        <v>25</v>
      </c>
      <c r="P1080" s="6" t="s">
        <v>25</v>
      </c>
      <c r="Q1080" s="5" t="s">
        <v>25</v>
      </c>
      <c r="R1080" s="5" t="s">
        <v>25</v>
      </c>
      <c r="S1080" s="7" t="str">
        <f>VLOOKUP(A1080,Sheet2!$A$2:$R$3432,18,0)</f>
        <v/>
      </c>
      <c r="T1080" s="7" t="str">
        <f>VLOOKUP(A1080,Sheet2!$A$2:$R$3432,17,0)</f>
        <v/>
      </c>
    </row>
    <row r="1081" ht="15.75" customHeight="1">
      <c r="A1081" s="3" t="s">
        <v>1104</v>
      </c>
      <c r="B1081" s="4" t="str">
        <f>VLOOKUP(A1081,Sheet2!$A$2:$R$3432,2,0)</f>
        <v>2025-01-11 20:01:11</v>
      </c>
      <c r="C1081" s="5" t="s">
        <v>25</v>
      </c>
      <c r="D1081" s="6" t="s">
        <v>25</v>
      </c>
      <c r="E1081" s="7">
        <f>VLOOKUP(A1081,Sheet2!$A$2:$R$3432,4,0)</f>
        <v>9404545177</v>
      </c>
      <c r="F1081" s="7" t="str">
        <f>VLOOKUP(A1081,Sheet2!$A$2:$R$3432,3,0)</f>
        <v>Bhushan Narkhede</v>
      </c>
      <c r="G1081" s="5" t="s">
        <v>25</v>
      </c>
      <c r="H1081" s="5" t="s">
        <v>25</v>
      </c>
      <c r="I1081" s="5" t="s">
        <v>25</v>
      </c>
      <c r="J1081" s="5" t="s">
        <v>25</v>
      </c>
      <c r="K1081" s="7" t="str">
        <f>VLOOKUP(A1081,Sheet2!$A$2:$R$3432,6,0)</f>
        <v>Bajaj Pulsar 150</v>
      </c>
      <c r="L1081" s="5" t="s">
        <v>25</v>
      </c>
      <c r="M1081" s="7" t="str">
        <f>VLOOKUP(A1081,Sheet2!$A$2:$R$3432,5,0)</f>
        <v>MH21AA7147</v>
      </c>
      <c r="N1081" s="5" t="s">
        <v>25</v>
      </c>
      <c r="O1081" s="5" t="s">
        <v>25</v>
      </c>
      <c r="P1081" s="6" t="s">
        <v>25</v>
      </c>
      <c r="Q1081" s="5" t="s">
        <v>25</v>
      </c>
      <c r="R1081" s="5" t="s">
        <v>25</v>
      </c>
      <c r="S1081" s="5" t="str">
        <f>VLOOKUP(A1081,Sheet2!$A$2:$R$3432,18,0)</f>
        <v>DHGBTF98682</v>
      </c>
      <c r="T1081" s="7" t="str">
        <f>VLOOKUP(A1081,Sheet2!$A$2:$R$3432,17,0)</f>
        <v>MD2DHDHZZTCF10362</v>
      </c>
    </row>
    <row r="1082" ht="15.75" customHeight="1">
      <c r="A1082" s="3" t="s">
        <v>1105</v>
      </c>
      <c r="B1082" s="4" t="str">
        <f>VLOOKUP(A1082,Sheet2!$A$2:$R$3432,2,0)</f>
        <v>2025-01-11 19:54:15</v>
      </c>
      <c r="C1082" s="5" t="s">
        <v>25</v>
      </c>
      <c r="D1082" s="6" t="s">
        <v>25</v>
      </c>
      <c r="E1082" s="7">
        <f>VLOOKUP(A1082,Sheet2!$A$2:$R$3432,4,0)</f>
        <v>8827719555</v>
      </c>
      <c r="F1082" s="7" t="str">
        <f>VLOOKUP(A1082,Sheet2!$A$2:$R$3432,3,0)</f>
        <v>PRANAV</v>
      </c>
      <c r="G1082" s="5" t="s">
        <v>25</v>
      </c>
      <c r="H1082" s="5" t="s">
        <v>25</v>
      </c>
      <c r="I1082" s="5" t="s">
        <v>25</v>
      </c>
      <c r="J1082" s="5" t="s">
        <v>25</v>
      </c>
      <c r="K1082" s="7" t="str">
        <f>VLOOKUP(A1082,Sheet2!$A$2:$R$3432,6,0)</f>
        <v>TVS Jupiter </v>
      </c>
      <c r="L1082" s="5" t="s">
        <v>25</v>
      </c>
      <c r="M1082" s="7" t="str">
        <f>VLOOKUP(A1082,Sheet2!$A$2:$R$3432,5,0)</f>
        <v>MH12PK3521</v>
      </c>
      <c r="N1082" s="5" t="s">
        <v>25</v>
      </c>
      <c r="O1082" s="5" t="s">
        <v>25</v>
      </c>
      <c r="P1082" s="6" t="s">
        <v>25</v>
      </c>
      <c r="Q1082" s="5" t="s">
        <v>25</v>
      </c>
      <c r="R1082" s="5" t="s">
        <v>25</v>
      </c>
      <c r="S1082" s="7" t="str">
        <f>VLOOKUP(A1082,Sheet2!$A$2:$R$3432,18,0)</f>
        <v/>
      </c>
      <c r="T1082" s="7" t="str">
        <f>VLOOKUP(A1082,Sheet2!$A$2:$R$3432,17,0)</f>
        <v/>
      </c>
    </row>
    <row r="1083" ht="15.75" customHeight="1">
      <c r="A1083" s="3" t="s">
        <v>1106</v>
      </c>
      <c r="B1083" s="4" t="str">
        <f>VLOOKUP(A1083,Sheet2!$A$2:$R$3432,2,0)</f>
        <v>2025-01-11 19:54:47</v>
      </c>
      <c r="C1083" s="5" t="s">
        <v>25</v>
      </c>
      <c r="D1083" s="6" t="s">
        <v>25</v>
      </c>
      <c r="E1083" s="7">
        <f>VLOOKUP(A1083,Sheet2!$A$2:$R$3432,4,0)</f>
        <v>7276208127</v>
      </c>
      <c r="F1083" s="7" t="str">
        <f>VLOOKUP(A1083,Sheet2!$A$2:$R$3432,3,0)</f>
        <v>ABHISHEK SANGWAI</v>
      </c>
      <c r="G1083" s="5" t="s">
        <v>25</v>
      </c>
      <c r="H1083" s="5" t="s">
        <v>25</v>
      </c>
      <c r="I1083" s="5" t="s">
        <v>25</v>
      </c>
      <c r="J1083" s="5" t="s">
        <v>25</v>
      </c>
      <c r="K1083" s="7" t="str">
        <f>VLOOKUP(A1083,Sheet2!$A$2:$R$3432,6,0)</f>
        <v>Honda Activa 3G</v>
      </c>
      <c r="L1083" s="5" t="s">
        <v>25</v>
      </c>
      <c r="M1083" s="7" t="str">
        <f>VLOOKUP(A1083,Sheet2!$A$2:$R$3432,5,0)</f>
        <v>MH27BM1665</v>
      </c>
      <c r="N1083" s="5" t="s">
        <v>25</v>
      </c>
      <c r="O1083" s="5" t="s">
        <v>25</v>
      </c>
      <c r="P1083" s="6" t="s">
        <v>25</v>
      </c>
      <c r="Q1083" s="5" t="s">
        <v>25</v>
      </c>
      <c r="R1083" s="5" t="s">
        <v>25</v>
      </c>
      <c r="S1083" s="7" t="str">
        <f>VLOOKUP(A1083,Sheet2!$A$2:$R$3432,18,0)</f>
        <v/>
      </c>
      <c r="T1083" s="7" t="str">
        <f>VLOOKUP(A1083,Sheet2!$A$2:$R$3432,17,0)</f>
        <v/>
      </c>
    </row>
    <row r="1084" ht="15.75" customHeight="1">
      <c r="A1084" s="3" t="s">
        <v>1107</v>
      </c>
      <c r="B1084" s="4" t="str">
        <f>VLOOKUP(A1084,Sheet2!$A$2:$R$3432,2,0)</f>
        <v>2025-01-11 19:57:39</v>
      </c>
      <c r="C1084" s="5" t="s">
        <v>25</v>
      </c>
      <c r="D1084" s="6" t="s">
        <v>25</v>
      </c>
      <c r="E1084" s="7">
        <f>VLOOKUP(A1084,Sheet2!$A$2:$R$3432,4,0)</f>
        <v>9921390651</v>
      </c>
      <c r="F1084" s="7" t="str">
        <f>VLOOKUP(A1084,Sheet2!$A$2:$R$3432,3,0)</f>
        <v>Ravindra Shelke</v>
      </c>
      <c r="G1084" s="5" t="s">
        <v>25</v>
      </c>
      <c r="H1084" s="5" t="s">
        <v>25</v>
      </c>
      <c r="I1084" s="5" t="s">
        <v>25</v>
      </c>
      <c r="J1084" s="5" t="s">
        <v>25</v>
      </c>
      <c r="K1084" s="7" t="str">
        <f>VLOOKUP(A1084,Sheet2!$A$2:$R$3432,6,0)</f>
        <v>Suzuki Gixxer No Data</v>
      </c>
      <c r="L1084" s="5" t="s">
        <v>25</v>
      </c>
      <c r="M1084" s="7" t="str">
        <f>VLOOKUP(A1084,Sheet2!$A$2:$R$3432,5,0)</f>
        <v>MH12LX8222</v>
      </c>
      <c r="N1084" s="5" t="s">
        <v>25</v>
      </c>
      <c r="O1084" s="5" t="s">
        <v>25</v>
      </c>
      <c r="P1084" s="6" t="s">
        <v>25</v>
      </c>
      <c r="Q1084" s="5" t="s">
        <v>25</v>
      </c>
      <c r="R1084" s="5" t="s">
        <v>25</v>
      </c>
      <c r="S1084" s="5" t="str">
        <f>VLOOKUP(A1084,Sheet2!$A$2:$R$3432,18,0)</f>
        <v>BGA1132230</v>
      </c>
      <c r="T1084" s="7" t="str">
        <f>VLOOKUP(A1084,Sheet2!$A$2:$R$3432,17,0)</f>
        <v>MB8NG4BAAF8135081</v>
      </c>
    </row>
    <row r="1085" ht="15.75" customHeight="1">
      <c r="A1085" s="3" t="s">
        <v>1108</v>
      </c>
      <c r="B1085" s="4" t="str">
        <f>VLOOKUP(A1085,Sheet2!$A$2:$R$3432,2,0)</f>
        <v>2025-01-11 19:58:06</v>
      </c>
      <c r="C1085" s="5" t="s">
        <v>25</v>
      </c>
      <c r="D1085" s="6" t="s">
        <v>25</v>
      </c>
      <c r="E1085" s="7">
        <f>VLOOKUP(A1085,Sheet2!$A$2:$R$3432,4,0)</f>
        <v>9860310094</v>
      </c>
      <c r="F1085" s="7" t="str">
        <f>VLOOKUP(A1085,Sheet2!$A$2:$R$3432,3,0)</f>
        <v>Niranjan Satpute</v>
      </c>
      <c r="G1085" s="5" t="s">
        <v>25</v>
      </c>
      <c r="H1085" s="5" t="s">
        <v>25</v>
      </c>
      <c r="I1085" s="5" t="s">
        <v>25</v>
      </c>
      <c r="J1085" s="5" t="s">
        <v>25</v>
      </c>
      <c r="K1085" s="7" t="str">
        <f>VLOOKUP(A1085,Sheet2!$A$2:$R$3432,6,0)</f>
        <v>TVS Jupiter </v>
      </c>
      <c r="L1085" s="5" t="s">
        <v>25</v>
      </c>
      <c r="M1085" s="7" t="str">
        <f>VLOOKUP(A1085,Sheet2!$A$2:$R$3432,5,0)</f>
        <v>MH17CA2087</v>
      </c>
      <c r="N1085" s="5" t="s">
        <v>25</v>
      </c>
      <c r="O1085" s="5" t="s">
        <v>25</v>
      </c>
      <c r="P1085" s="6" t="s">
        <v>25</v>
      </c>
      <c r="Q1085" s="5" t="s">
        <v>25</v>
      </c>
      <c r="R1085" s="5" t="s">
        <v>25</v>
      </c>
      <c r="S1085" s="7" t="str">
        <f>VLOOKUP(A1085,Sheet2!$A$2:$R$3432,18,0)</f>
        <v/>
      </c>
      <c r="T1085" s="7" t="str">
        <f>VLOOKUP(A1085,Sheet2!$A$2:$R$3432,17,0)</f>
        <v>MD626EG42H3443066</v>
      </c>
    </row>
    <row r="1086" ht="15.75" customHeight="1">
      <c r="A1086" s="3" t="s">
        <v>1109</v>
      </c>
      <c r="B1086" s="4" t="str">
        <f>VLOOKUP(A1086,Sheet2!$A$2:$R$3432,2,0)</f>
        <v>2025-01-11 20:01:27</v>
      </c>
      <c r="C1086" s="5" t="s">
        <v>25</v>
      </c>
      <c r="D1086" s="6" t="s">
        <v>25</v>
      </c>
      <c r="E1086" s="7">
        <f>VLOOKUP(A1086,Sheet2!$A$2:$R$3432,4,0)</f>
        <v>9765552699</v>
      </c>
      <c r="F1086" s="7" t="str">
        <f>VLOOKUP(A1086,Sheet2!$A$2:$R$3432,3,0)</f>
        <v>Ankit Gupta </v>
      </c>
      <c r="G1086" s="5" t="s">
        <v>25</v>
      </c>
      <c r="H1086" s="5" t="s">
        <v>25</v>
      </c>
      <c r="I1086" s="5" t="s">
        <v>25</v>
      </c>
      <c r="J1086" s="5" t="s">
        <v>25</v>
      </c>
      <c r="K1086" s="7" t="str">
        <f>VLOOKUP(A1086,Sheet2!$A$2:$R$3432,6,0)</f>
        <v>Yamaha FZ 1</v>
      </c>
      <c r="L1086" s="5" t="s">
        <v>25</v>
      </c>
      <c r="M1086" s="7" t="str">
        <f>VLOOKUP(A1086,Sheet2!$A$2:$R$3432,5,0)</f>
        <v>MH05BZ2152</v>
      </c>
      <c r="N1086" s="5" t="s">
        <v>25</v>
      </c>
      <c r="O1086" s="5" t="s">
        <v>25</v>
      </c>
      <c r="P1086" s="6" t="s">
        <v>25</v>
      </c>
      <c r="Q1086" s="5" t="s">
        <v>25</v>
      </c>
      <c r="R1086" s="5" t="s">
        <v>25</v>
      </c>
      <c r="S1086" s="5" t="str">
        <f>VLOOKUP(A1086,Sheet2!$A$2:$R$3432,18,0)</f>
        <v>21CH061613</v>
      </c>
      <c r="T1086" s="7" t="str">
        <f>VLOOKUP(A1086,Sheet2!$A$2:$R$3432,17,0)</f>
        <v>21COH1E2061480</v>
      </c>
    </row>
    <row r="1087" ht="15.75" customHeight="1">
      <c r="A1087" s="3" t="s">
        <v>1110</v>
      </c>
      <c r="B1087" s="4" t="str">
        <f>VLOOKUP(A1087,Sheet2!$A$2:$R$3432,2,0)</f>
        <v>2025-01-11 20:02:29</v>
      </c>
      <c r="C1087" s="5" t="s">
        <v>25</v>
      </c>
      <c r="D1087" s="6" t="s">
        <v>25</v>
      </c>
      <c r="E1087" s="7">
        <f>VLOOKUP(A1087,Sheet2!$A$2:$R$3432,4,0)</f>
        <v>8888426814</v>
      </c>
      <c r="F1087" s="7" t="str">
        <f>VLOOKUP(A1087,Sheet2!$A$2:$R$3432,3,0)</f>
        <v>YOGESH</v>
      </c>
      <c r="G1087" s="5" t="s">
        <v>25</v>
      </c>
      <c r="H1087" s="5" t="s">
        <v>25</v>
      </c>
      <c r="I1087" s="5" t="s">
        <v>25</v>
      </c>
      <c r="J1087" s="5" t="s">
        <v>25</v>
      </c>
      <c r="K1087" s="7" t="str">
        <f>VLOOKUP(A1087,Sheet2!$A$2:$R$3432,6,0)</f>
        <v>Honda Unicorn 150</v>
      </c>
      <c r="L1087" s="5" t="s">
        <v>25</v>
      </c>
      <c r="M1087" s="7" t="str">
        <f>VLOOKUP(A1087,Sheet2!$A$2:$R$3432,5,0)</f>
        <v>MH12DH1522</v>
      </c>
      <c r="N1087" s="5" t="s">
        <v>25</v>
      </c>
      <c r="O1087" s="5" t="s">
        <v>25</v>
      </c>
      <c r="P1087" s="6" t="s">
        <v>25</v>
      </c>
      <c r="Q1087" s="5" t="s">
        <v>25</v>
      </c>
      <c r="R1087" s="5" t="s">
        <v>25</v>
      </c>
      <c r="S1087" s="7" t="str">
        <f>VLOOKUP(A1087,Sheet2!$A$2:$R$3432,18,0)</f>
        <v/>
      </c>
      <c r="T1087" s="7" t="str">
        <f>VLOOKUP(A1087,Sheet2!$A$2:$R$3432,17,0)</f>
        <v/>
      </c>
    </row>
    <row r="1088" ht="15.75" customHeight="1">
      <c r="A1088" s="3" t="s">
        <v>1111</v>
      </c>
      <c r="B1088" s="4" t="str">
        <f>VLOOKUP(A1088,Sheet2!$A$2:$R$3432,2,0)</f>
        <v>2025-01-11 21:04:36</v>
      </c>
      <c r="C1088" s="5" t="s">
        <v>25</v>
      </c>
      <c r="D1088" s="6" t="s">
        <v>25</v>
      </c>
      <c r="E1088" s="7">
        <f>VLOOKUP(A1088,Sheet2!$A$2:$R$3432,4,0)</f>
        <v>7677146058</v>
      </c>
      <c r="F1088" s="7" t="str">
        <f>VLOOKUP(A1088,Sheet2!$A$2:$R$3432,3,0)</f>
        <v>SAURABH MISHRA</v>
      </c>
      <c r="G1088" s="5" t="s">
        <v>25</v>
      </c>
      <c r="H1088" s="5" t="s">
        <v>25</v>
      </c>
      <c r="I1088" s="5" t="s">
        <v>25</v>
      </c>
      <c r="J1088" s="5" t="s">
        <v>25</v>
      </c>
      <c r="K1088" s="7" t="str">
        <f>VLOOKUP(A1088,Sheet2!$A$2:$R$3432,6,0)</f>
        <v>Bajaj Pulsar 180</v>
      </c>
      <c r="L1088" s="5" t="s">
        <v>25</v>
      </c>
      <c r="M1088" s="7" t="str">
        <f>VLOOKUP(A1088,Sheet2!$A$2:$R$3432,5,0)</f>
        <v>OR02BB2077</v>
      </c>
      <c r="N1088" s="5" t="s">
        <v>25</v>
      </c>
      <c r="O1088" s="5" t="s">
        <v>25</v>
      </c>
      <c r="P1088" s="6" t="s">
        <v>25</v>
      </c>
      <c r="Q1088" s="5" t="s">
        <v>25</v>
      </c>
      <c r="R1088" s="5" t="s">
        <v>25</v>
      </c>
      <c r="S1088" s="7" t="str">
        <f>VLOOKUP(A1088,Sheet2!$A$2:$R$3432,18,0)</f>
        <v/>
      </c>
      <c r="T1088" s="7" t="str">
        <f>VLOOKUP(A1088,Sheet2!$A$2:$R$3432,17,0)</f>
        <v/>
      </c>
    </row>
    <row r="1089" ht="15.75" customHeight="1">
      <c r="A1089" s="3" t="s">
        <v>1112</v>
      </c>
      <c r="B1089" s="4" t="str">
        <f>VLOOKUP(A1089,Sheet2!$A$2:$R$3432,2,0)</f>
        <v>2025-01-11 21:03:19</v>
      </c>
      <c r="C1089" s="5" t="s">
        <v>25</v>
      </c>
      <c r="D1089" s="6" t="s">
        <v>25</v>
      </c>
      <c r="E1089" s="7">
        <f>VLOOKUP(A1089,Sheet2!$A$2:$R$3432,4,0)</f>
        <v>9823062767</v>
      </c>
      <c r="F1089" s="7" t="str">
        <f>VLOOKUP(A1089,Sheet2!$A$2:$R$3432,3,0)</f>
        <v>Anil Waghmode</v>
      </c>
      <c r="G1089" s="5" t="s">
        <v>25</v>
      </c>
      <c r="H1089" s="5" t="s">
        <v>25</v>
      </c>
      <c r="I1089" s="5" t="s">
        <v>25</v>
      </c>
      <c r="J1089" s="5" t="s">
        <v>25</v>
      </c>
      <c r="K1089" s="7" t="str">
        <f>VLOOKUP(A1089,Sheet2!$A$2:$R$3432,6,0)</f>
        <v>Honda Shine HET</v>
      </c>
      <c r="L1089" s="5" t="s">
        <v>25</v>
      </c>
      <c r="M1089" s="7" t="str">
        <f>VLOOKUP(A1089,Sheet2!$A$2:$R$3432,5,0)</f>
        <v>MH12PY6879</v>
      </c>
      <c r="N1089" s="5" t="s">
        <v>25</v>
      </c>
      <c r="O1089" s="5" t="s">
        <v>25</v>
      </c>
      <c r="P1089" s="6" t="s">
        <v>25</v>
      </c>
      <c r="Q1089" s="5" t="s">
        <v>25</v>
      </c>
      <c r="R1089" s="5" t="s">
        <v>25</v>
      </c>
      <c r="S1089" s="5" t="str">
        <f>VLOOKUP(A1089,Sheet2!$A$2:$R$3432,18,0)</f>
        <v>JC73ET1283105</v>
      </c>
      <c r="T1089" s="7" t="str">
        <f>VLOOKUP(A1089,Sheet2!$A$2:$R$3432,17,0)</f>
        <v>ME4JC735AJT117320</v>
      </c>
    </row>
    <row r="1090" ht="15.75" customHeight="1">
      <c r="A1090" s="3" t="s">
        <v>1113</v>
      </c>
      <c r="B1090" s="4" t="str">
        <f>VLOOKUP(A1090,Sheet2!$A$2:$R$3432,2,0)</f>
        <v>2025-06-01 20:30:44</v>
      </c>
      <c r="C1090" s="5" t="s">
        <v>25</v>
      </c>
      <c r="D1090" s="6" t="s">
        <v>25</v>
      </c>
      <c r="E1090" s="7">
        <f>VLOOKUP(A1090,Sheet2!$A$2:$R$3432,4,0)</f>
        <v>9850272039</v>
      </c>
      <c r="F1090" s="7" t="str">
        <f>VLOOKUP(A1090,Sheet2!$A$2:$R$3432,3,0)</f>
        <v>RAHUL SARSAMKAR</v>
      </c>
      <c r="G1090" s="5" t="s">
        <v>25</v>
      </c>
      <c r="H1090" s="5" t="s">
        <v>25</v>
      </c>
      <c r="I1090" s="5" t="s">
        <v>25</v>
      </c>
      <c r="J1090" s="5" t="s">
        <v>25</v>
      </c>
      <c r="K1090" s="7" t="str">
        <f>VLOOKUP(A1090,Sheet2!$A$2:$R$3432,6,0)</f>
        <v>Suzuki Access 125</v>
      </c>
      <c r="L1090" s="5" t="s">
        <v>25</v>
      </c>
      <c r="M1090" s="7" t="str">
        <f>VLOOKUP(A1090,Sheet2!$A$2:$R$3432,5,0)</f>
        <v>MH14GV9605</v>
      </c>
      <c r="N1090" s="5" t="s">
        <v>25</v>
      </c>
      <c r="O1090" s="5" t="s">
        <v>25</v>
      </c>
      <c r="P1090" s="6" t="s">
        <v>25</v>
      </c>
      <c r="Q1090" s="5" t="s">
        <v>25</v>
      </c>
      <c r="R1090" s="5" t="s">
        <v>25</v>
      </c>
      <c r="S1090" s="7" t="str">
        <f>VLOOKUP(A1090,Sheet2!$A$2:$R$3432,18,0)</f>
        <v/>
      </c>
      <c r="T1090" s="7" t="str">
        <f>VLOOKUP(A1090,Sheet2!$A$2:$R$3432,17,0)</f>
        <v/>
      </c>
    </row>
    <row r="1091" ht="15.75" customHeight="1">
      <c r="A1091" s="3" t="s">
        <v>1114</v>
      </c>
      <c r="B1091" s="4" t="str">
        <f>VLOOKUP(A1091,Sheet2!$A$2:$R$3432,2,0)</f>
        <v>2025-06-01 20:32:25</v>
      </c>
      <c r="C1091" s="5" t="s">
        <v>25</v>
      </c>
      <c r="D1091" s="6" t="s">
        <v>25</v>
      </c>
      <c r="E1091" s="7">
        <f>VLOOKUP(A1091,Sheet2!$A$2:$R$3432,4,0)</f>
        <v>8210674190</v>
      </c>
      <c r="F1091" s="7" t="str">
        <f>VLOOKUP(A1091,Sheet2!$A$2:$R$3432,3,0)</f>
        <v>Saurabh</v>
      </c>
      <c r="G1091" s="5" t="s">
        <v>25</v>
      </c>
      <c r="H1091" s="5" t="s">
        <v>25</v>
      </c>
      <c r="I1091" s="5" t="s">
        <v>25</v>
      </c>
      <c r="J1091" s="5" t="s">
        <v>25</v>
      </c>
      <c r="K1091" s="7" t="str">
        <f>VLOOKUP(A1091,Sheet2!$A$2:$R$3432,6,0)</f>
        <v>Bajaj Avenger 220 Street</v>
      </c>
      <c r="L1091" s="5" t="s">
        <v>25</v>
      </c>
      <c r="M1091" s="7" t="str">
        <f>VLOOKUP(A1091,Sheet2!$A$2:$R$3432,5,0)</f>
        <v>MH15HP6614</v>
      </c>
      <c r="N1091" s="5" t="s">
        <v>25</v>
      </c>
      <c r="O1091" s="5" t="s">
        <v>25</v>
      </c>
      <c r="P1091" s="6" t="s">
        <v>25</v>
      </c>
      <c r="Q1091" s="5" t="s">
        <v>25</v>
      </c>
      <c r="R1091" s="5" t="s">
        <v>25</v>
      </c>
      <c r="S1091" s="7" t="str">
        <f>VLOOKUP(A1091,Sheet2!$A$2:$R$3432,18,0)</f>
        <v/>
      </c>
      <c r="T1091" s="7" t="str">
        <f>VLOOKUP(A1091,Sheet2!$A$2:$R$3432,17,0)</f>
        <v/>
      </c>
    </row>
    <row r="1092" ht="15.75" customHeight="1">
      <c r="A1092" s="3" t="s">
        <v>1115</v>
      </c>
      <c r="B1092" s="4" t="str">
        <f>VLOOKUP(A1092,Sheet2!$A$2:$R$3432,2,0)</f>
        <v>2025-06-01 20:38:54</v>
      </c>
      <c r="C1092" s="5" t="s">
        <v>25</v>
      </c>
      <c r="D1092" s="6" t="s">
        <v>25</v>
      </c>
      <c r="E1092" s="7">
        <f>VLOOKUP(A1092,Sheet2!$A$2:$R$3432,4,0)</f>
        <v>9822895852</v>
      </c>
      <c r="F1092" s="7" t="str">
        <f>VLOOKUP(A1092,Sheet2!$A$2:$R$3432,3,0)</f>
        <v>DEEPAK</v>
      </c>
      <c r="G1092" s="5" t="s">
        <v>25</v>
      </c>
      <c r="H1092" s="5" t="s">
        <v>25</v>
      </c>
      <c r="I1092" s="5" t="s">
        <v>25</v>
      </c>
      <c r="J1092" s="5" t="s">
        <v>25</v>
      </c>
      <c r="K1092" s="7" t="str">
        <f>VLOOKUP(A1092,Sheet2!$A$2:$R$3432,6,0)</f>
        <v>TVS Jupiter BS6</v>
      </c>
      <c r="L1092" s="5" t="s">
        <v>25</v>
      </c>
      <c r="M1092" s="7" t="str">
        <f>VLOOKUP(A1092,Sheet2!$A$2:$R$3432,5,0)</f>
        <v>MH14KY1882</v>
      </c>
      <c r="N1092" s="5" t="s">
        <v>25</v>
      </c>
      <c r="O1092" s="5" t="s">
        <v>25</v>
      </c>
      <c r="P1092" s="6" t="s">
        <v>25</v>
      </c>
      <c r="Q1092" s="5" t="s">
        <v>25</v>
      </c>
      <c r="R1092" s="5" t="s">
        <v>25</v>
      </c>
      <c r="S1092" s="7" t="str">
        <f>VLOOKUP(A1092,Sheet2!$A$2:$R$3432,18,0)</f>
        <v/>
      </c>
      <c r="T1092" s="7" t="str">
        <f>VLOOKUP(A1092,Sheet2!$A$2:$R$3432,17,0)</f>
        <v/>
      </c>
    </row>
    <row r="1093" ht="15.75" customHeight="1">
      <c r="A1093" s="3" t="s">
        <v>1116</v>
      </c>
      <c r="B1093" s="4" t="str">
        <f>VLOOKUP(A1093,Sheet2!$A$2:$R$3432,2,0)</f>
        <v>2025-06-01 20:36:26</v>
      </c>
      <c r="C1093" s="5" t="s">
        <v>25</v>
      </c>
      <c r="D1093" s="6" t="s">
        <v>25</v>
      </c>
      <c r="E1093" s="7">
        <f>VLOOKUP(A1093,Sheet2!$A$2:$R$3432,4,0)</f>
        <v>8329735047</v>
      </c>
      <c r="F1093" s="7" t="str">
        <f>VLOOKUP(A1093,Sheet2!$A$2:$R$3432,3,0)</f>
        <v>Hemant </v>
      </c>
      <c r="G1093" s="5" t="s">
        <v>25</v>
      </c>
      <c r="H1093" s="5" t="s">
        <v>25</v>
      </c>
      <c r="I1093" s="5" t="s">
        <v>25</v>
      </c>
      <c r="J1093" s="5" t="s">
        <v>25</v>
      </c>
      <c r="K1093" s="7" t="str">
        <f>VLOOKUP(A1093,Sheet2!$A$2:$R$3432,6,0)</f>
        <v>Honda Activa 125</v>
      </c>
      <c r="L1093" s="5" t="s">
        <v>25</v>
      </c>
      <c r="M1093" s="7" t="str">
        <f>VLOOKUP(A1093,Sheet2!$A$2:$R$3432,5,0)</f>
        <v>MH12SH6599</v>
      </c>
      <c r="N1093" s="5" t="s">
        <v>25</v>
      </c>
      <c r="O1093" s="5" t="s">
        <v>25</v>
      </c>
      <c r="P1093" s="6" t="s">
        <v>25</v>
      </c>
      <c r="Q1093" s="5" t="s">
        <v>25</v>
      </c>
      <c r="R1093" s="5" t="s">
        <v>25</v>
      </c>
      <c r="S1093" s="5" t="str">
        <f>VLOOKUP(A1093,Sheet2!$A$2:$R$3432,18,0)</f>
        <v>JF49EW4011289</v>
      </c>
      <c r="T1093" s="7" t="str">
        <f>VLOOKUP(A1093,Sheet2!$A$2:$R$3432,17,0)</f>
        <v>ME4JF49MLKW007956</v>
      </c>
    </row>
    <row r="1094" ht="15.75" customHeight="1">
      <c r="A1094" s="3" t="s">
        <v>1117</v>
      </c>
      <c r="B1094" s="4" t="str">
        <f>VLOOKUP(A1094,Sheet2!$A$2:$R$3432,2,0)</f>
        <v>2025-06-01 20:38:20</v>
      </c>
      <c r="C1094" s="5" t="s">
        <v>25</v>
      </c>
      <c r="D1094" s="6" t="s">
        <v>25</v>
      </c>
      <c r="E1094" s="7">
        <f>VLOOKUP(A1094,Sheet2!$A$2:$R$3432,4,0)</f>
        <v>8087444804</v>
      </c>
      <c r="F1094" s="7" t="str">
        <f>VLOOKUP(A1094,Sheet2!$A$2:$R$3432,3,0)</f>
        <v>Chetan Narkhede</v>
      </c>
      <c r="G1094" s="5" t="s">
        <v>25</v>
      </c>
      <c r="H1094" s="5" t="s">
        <v>25</v>
      </c>
      <c r="I1094" s="5" t="s">
        <v>25</v>
      </c>
      <c r="J1094" s="5" t="s">
        <v>25</v>
      </c>
      <c r="K1094" s="7" t="str">
        <f>VLOOKUP(A1094,Sheet2!$A$2:$R$3432,6,0)</f>
        <v>Honda Activa </v>
      </c>
      <c r="L1094" s="5" t="s">
        <v>25</v>
      </c>
      <c r="M1094" s="7" t="str">
        <f>VLOOKUP(A1094,Sheet2!$A$2:$R$3432,5,0)</f>
        <v>MH12GL7321</v>
      </c>
      <c r="N1094" s="5" t="s">
        <v>25</v>
      </c>
      <c r="O1094" s="5" t="s">
        <v>25</v>
      </c>
      <c r="P1094" s="6" t="s">
        <v>25</v>
      </c>
      <c r="Q1094" s="5" t="s">
        <v>25</v>
      </c>
      <c r="R1094" s="5" t="s">
        <v>25</v>
      </c>
      <c r="S1094" s="7" t="str">
        <f>VLOOKUP(A1094,Sheet2!$A$2:$R$3432,18,0)</f>
        <v/>
      </c>
      <c r="T1094" s="7" t="str">
        <f>VLOOKUP(A1094,Sheet2!$A$2:$R$3432,17,0)</f>
        <v>RUSTY FRAME</v>
      </c>
    </row>
    <row r="1095" ht="15.75" customHeight="1">
      <c r="A1095" s="3" t="s">
        <v>1118</v>
      </c>
      <c r="B1095" s="4" t="str">
        <f>VLOOKUP(A1095,Sheet2!$A$2:$R$3432,2,0)</f>
        <v>2025-06-01 20:37:47</v>
      </c>
      <c r="C1095" s="5" t="s">
        <v>25</v>
      </c>
      <c r="D1095" s="6" t="s">
        <v>25</v>
      </c>
      <c r="E1095" s="7">
        <f>VLOOKUP(A1095,Sheet2!$A$2:$R$3432,4,0)</f>
        <v>8602196399</v>
      </c>
      <c r="F1095" s="7" t="str">
        <f>VLOOKUP(A1095,Sheet2!$A$2:$R$3432,3,0)</f>
        <v>Ghanil</v>
      </c>
      <c r="G1095" s="5" t="s">
        <v>25</v>
      </c>
      <c r="H1095" s="5" t="s">
        <v>25</v>
      </c>
      <c r="I1095" s="5" t="s">
        <v>25</v>
      </c>
      <c r="J1095" s="5" t="s">
        <v>25</v>
      </c>
      <c r="K1095" s="7" t="str">
        <f>VLOOKUP(A1095,Sheet2!$A$2:$R$3432,6,0)</f>
        <v>TVS Apache RTR 200 4V</v>
      </c>
      <c r="L1095" s="5" t="s">
        <v>25</v>
      </c>
      <c r="M1095" s="7" t="str">
        <f>VLOOKUP(A1095,Sheet2!$A$2:$R$3432,5,0)</f>
        <v>MH12SS6253</v>
      </c>
      <c r="N1095" s="5" t="s">
        <v>25</v>
      </c>
      <c r="O1095" s="5" t="s">
        <v>25</v>
      </c>
      <c r="P1095" s="6" t="s">
        <v>25</v>
      </c>
      <c r="Q1095" s="5" t="s">
        <v>25</v>
      </c>
      <c r="R1095" s="5" t="s">
        <v>25</v>
      </c>
      <c r="S1095" s="7" t="str">
        <f>VLOOKUP(A1095,Sheet2!$A$2:$R$3432,18,0)</f>
        <v/>
      </c>
      <c r="T1095" s="7" t="str">
        <f>VLOOKUP(A1095,Sheet2!$A$2:$R$3432,17,0)</f>
        <v/>
      </c>
    </row>
    <row r="1096" ht="15.75" customHeight="1">
      <c r="A1096" s="3" t="s">
        <v>1119</v>
      </c>
      <c r="B1096" s="4" t="str">
        <f>VLOOKUP(A1096,Sheet2!$A$2:$R$3432,2,0)</f>
        <v>2025-06-01 20:38:37</v>
      </c>
      <c r="C1096" s="5" t="s">
        <v>25</v>
      </c>
      <c r="D1096" s="6" t="s">
        <v>25</v>
      </c>
      <c r="E1096" s="7">
        <f>VLOOKUP(A1096,Sheet2!$A$2:$R$3432,4,0)</f>
        <v>8446645375</v>
      </c>
      <c r="F1096" s="7" t="str">
        <f>VLOOKUP(A1096,Sheet2!$A$2:$R$3432,3,0)</f>
        <v>Yogesh Thakur</v>
      </c>
      <c r="G1096" s="5" t="s">
        <v>25</v>
      </c>
      <c r="H1096" s="5" t="s">
        <v>25</v>
      </c>
      <c r="I1096" s="5" t="s">
        <v>25</v>
      </c>
      <c r="J1096" s="5" t="s">
        <v>25</v>
      </c>
      <c r="K1096" s="7" t="str">
        <f>VLOOKUP(A1096,Sheet2!$A$2:$R$3432,6,0)</f>
        <v>Honda Shine HET</v>
      </c>
      <c r="L1096" s="5" t="s">
        <v>25</v>
      </c>
      <c r="M1096" s="7" t="str">
        <f>VLOOKUP(A1096,Sheet2!$A$2:$R$3432,5,0)</f>
        <v>MH14FB7036</v>
      </c>
      <c r="N1096" s="5" t="s">
        <v>25</v>
      </c>
      <c r="O1096" s="5" t="s">
        <v>25</v>
      </c>
      <c r="P1096" s="6" t="s">
        <v>25</v>
      </c>
      <c r="Q1096" s="5" t="s">
        <v>25</v>
      </c>
      <c r="R1096" s="5" t="s">
        <v>25</v>
      </c>
      <c r="S1096" s="5" t="str">
        <f>VLOOKUP(A1096,Sheet2!$A$2:$R$3432,18,0)</f>
        <v>JC65ET0077434</v>
      </c>
      <c r="T1096" s="7" t="str">
        <f>VLOOKUP(A1096,Sheet2!$A$2:$R$3432,17,0)</f>
        <v>ME4JC651GFT054143</v>
      </c>
    </row>
    <row r="1097" ht="15.75" customHeight="1">
      <c r="A1097" s="3" t="s">
        <v>1120</v>
      </c>
      <c r="B1097" s="4" t="str">
        <f>VLOOKUP(A1097,Sheet2!$A$2:$R$3432,2,0)</f>
        <v>2025-06-01 20:37:17</v>
      </c>
      <c r="C1097" s="5" t="s">
        <v>25</v>
      </c>
      <c r="D1097" s="6" t="s">
        <v>25</v>
      </c>
      <c r="E1097" s="7">
        <f>VLOOKUP(A1097,Sheet2!$A$2:$R$3432,4,0)</f>
        <v>8888263054</v>
      </c>
      <c r="F1097" s="7" t="str">
        <f>VLOOKUP(A1097,Sheet2!$A$2:$R$3432,3,0)</f>
        <v>Balwir Kenhre</v>
      </c>
      <c r="G1097" s="5" t="s">
        <v>25</v>
      </c>
      <c r="H1097" s="5" t="s">
        <v>25</v>
      </c>
      <c r="I1097" s="5" t="s">
        <v>25</v>
      </c>
      <c r="J1097" s="5" t="s">
        <v>25</v>
      </c>
      <c r="K1097" s="7" t="str">
        <f>VLOOKUP(A1097,Sheet2!$A$2:$R$3432,6,0)</f>
        <v>Yamaha FZ </v>
      </c>
      <c r="L1097" s="5" t="s">
        <v>25</v>
      </c>
      <c r="M1097" s="7" t="str">
        <f>VLOOKUP(A1097,Sheet2!$A$2:$R$3432,5,0)</f>
        <v>MH12UG1373</v>
      </c>
      <c r="N1097" s="5" t="s">
        <v>25</v>
      </c>
      <c r="O1097" s="5" t="s">
        <v>25</v>
      </c>
      <c r="P1097" s="6" t="s">
        <v>25</v>
      </c>
      <c r="Q1097" s="5" t="s">
        <v>25</v>
      </c>
      <c r="R1097" s="5" t="s">
        <v>25</v>
      </c>
      <c r="S1097" s="7" t="str">
        <f>VLOOKUP(A1097,Sheet2!$A$2:$R$3432,18,0)</f>
        <v/>
      </c>
      <c r="T1097" s="7" t="str">
        <f>VLOOKUP(A1097,Sheet2!$A$2:$R$3432,17,0)</f>
        <v/>
      </c>
    </row>
    <row r="1098" ht="15.75" customHeight="1">
      <c r="A1098" s="3" t="s">
        <v>1121</v>
      </c>
      <c r="B1098" s="4" t="str">
        <f>VLOOKUP(A1098,Sheet2!$A$2:$R$3432,2,0)</f>
        <v>2025-06-01 20:29:26</v>
      </c>
      <c r="C1098" s="5" t="s">
        <v>25</v>
      </c>
      <c r="D1098" s="6" t="s">
        <v>25</v>
      </c>
      <c r="E1098" s="7">
        <f>VLOOKUP(A1098,Sheet2!$A$2:$R$3432,4,0)</f>
        <v>9175477077</v>
      </c>
      <c r="F1098" s="7" t="str">
        <f>VLOOKUP(A1098,Sheet2!$A$2:$R$3432,3,0)</f>
        <v>Mrudul</v>
      </c>
      <c r="G1098" s="5" t="s">
        <v>25</v>
      </c>
      <c r="H1098" s="5" t="s">
        <v>25</v>
      </c>
      <c r="I1098" s="5" t="s">
        <v>25</v>
      </c>
      <c r="J1098" s="5" t="s">
        <v>25</v>
      </c>
      <c r="K1098" s="7" t="str">
        <f>VLOOKUP(A1098,Sheet2!$A$2:$R$3432,6,0)</f>
        <v>Hero Duet </v>
      </c>
      <c r="L1098" s="5" t="s">
        <v>25</v>
      </c>
      <c r="M1098" s="7" t="str">
        <f>VLOOKUP(A1098,Sheet2!$A$2:$R$3432,5,0)</f>
        <v>MH12NQ9478</v>
      </c>
      <c r="N1098" s="5" t="s">
        <v>25</v>
      </c>
      <c r="O1098" s="5" t="s">
        <v>25</v>
      </c>
      <c r="P1098" s="6" t="s">
        <v>25</v>
      </c>
      <c r="Q1098" s="5" t="s">
        <v>25</v>
      </c>
      <c r="R1098" s="5" t="s">
        <v>25</v>
      </c>
      <c r="S1098" s="5" t="str">
        <f>VLOOKUP(A1098,Sheet2!$A$2:$R$3432,18,0)</f>
        <v>JF33AG4J14052</v>
      </c>
      <c r="T1098" s="7" t="str">
        <f>VLOOKUP(A1098,Sheet2!$A$2:$R$3432,17,0)</f>
        <v>MBLJF16ESGGJ00068</v>
      </c>
    </row>
    <row r="1099" ht="15.75" customHeight="1">
      <c r="A1099" s="3" t="s">
        <v>1122</v>
      </c>
      <c r="B1099" s="4" t="str">
        <f>VLOOKUP(A1099,Sheet2!$A$2:$R$3432,2,0)</f>
        <v>2025-06-01 20:34:32</v>
      </c>
      <c r="C1099" s="5" t="s">
        <v>25</v>
      </c>
      <c r="D1099" s="6" t="s">
        <v>25</v>
      </c>
      <c r="E1099" s="7">
        <f>VLOOKUP(A1099,Sheet2!$A$2:$R$3432,4,0)</f>
        <v>9975024113</v>
      </c>
      <c r="F1099" s="7" t="str">
        <f>VLOOKUP(A1099,Sheet2!$A$2:$R$3432,3,0)</f>
        <v>Kunal Dongre</v>
      </c>
      <c r="G1099" s="5" t="s">
        <v>25</v>
      </c>
      <c r="H1099" s="5" t="s">
        <v>25</v>
      </c>
      <c r="I1099" s="5" t="s">
        <v>25</v>
      </c>
      <c r="J1099" s="5" t="s">
        <v>25</v>
      </c>
      <c r="K1099" s="7" t="str">
        <f>VLOOKUP(A1099,Sheet2!$A$2:$R$3432,6,0)</f>
        <v>Bajaj Avenger 160 Street</v>
      </c>
      <c r="L1099" s="5" t="s">
        <v>25</v>
      </c>
      <c r="M1099" s="7" t="str">
        <f>VLOOKUP(A1099,Sheet2!$A$2:$R$3432,5,0)</f>
        <v>MH12RW5759</v>
      </c>
      <c r="N1099" s="5" t="s">
        <v>25</v>
      </c>
      <c r="O1099" s="5" t="s">
        <v>25</v>
      </c>
      <c r="P1099" s="6" t="s">
        <v>25</v>
      </c>
      <c r="Q1099" s="5" t="s">
        <v>25</v>
      </c>
      <c r="R1099" s="5" t="s">
        <v>25</v>
      </c>
      <c r="S1099" s="7" t="str">
        <f>VLOOKUP(A1099,Sheet2!$A$2:$R$3432,18,0)</f>
        <v/>
      </c>
      <c r="T1099" s="7" t="str">
        <f>VLOOKUP(A1099,Sheet2!$A$2:$R$3432,17,0)</f>
        <v/>
      </c>
    </row>
    <row r="1100" ht="15.75" customHeight="1">
      <c r="A1100" s="3" t="s">
        <v>1123</v>
      </c>
      <c r="B1100" s="4" t="str">
        <f>VLOOKUP(A1100,Sheet2!$A$2:$R$3432,2,0)</f>
        <v>2025-06-01 20:31:40</v>
      </c>
      <c r="C1100" s="5" t="s">
        <v>25</v>
      </c>
      <c r="D1100" s="6" t="s">
        <v>25</v>
      </c>
      <c r="E1100" s="7">
        <f>VLOOKUP(A1100,Sheet2!$A$2:$R$3432,4,0)</f>
        <v>7709580077</v>
      </c>
      <c r="F1100" s="7" t="str">
        <f>VLOOKUP(A1100,Sheet2!$A$2:$R$3432,3,0)</f>
        <v>Amit Tarsoliya</v>
      </c>
      <c r="G1100" s="5" t="s">
        <v>25</v>
      </c>
      <c r="H1100" s="5" t="s">
        <v>25</v>
      </c>
      <c r="I1100" s="5" t="s">
        <v>25</v>
      </c>
      <c r="J1100" s="5" t="s">
        <v>25</v>
      </c>
      <c r="K1100" s="7" t="str">
        <f>VLOOKUP(A1100,Sheet2!$A$2:$R$3432,6,0)</f>
        <v>Hero Deluxe CD</v>
      </c>
      <c r="L1100" s="5" t="s">
        <v>25</v>
      </c>
      <c r="M1100" s="7" t="str">
        <f>VLOOKUP(A1100,Sheet2!$A$2:$R$3432,5,0)</f>
        <v>MH12HU4026</v>
      </c>
      <c r="N1100" s="5" t="s">
        <v>25</v>
      </c>
      <c r="O1100" s="5" t="s">
        <v>25</v>
      </c>
      <c r="P1100" s="6" t="s">
        <v>25</v>
      </c>
      <c r="Q1100" s="5" t="s">
        <v>25</v>
      </c>
      <c r="R1100" s="5" t="s">
        <v>25</v>
      </c>
      <c r="S1100" s="7" t="str">
        <f>VLOOKUP(A1100,Sheet2!$A$2:$R$3432,18,0)</f>
        <v/>
      </c>
      <c r="T1100" s="7" t="str">
        <f>VLOOKUP(A1100,Sheet2!$A$2:$R$3432,17,0)</f>
        <v>MBLHA11ERC9C03129</v>
      </c>
    </row>
    <row r="1101" ht="15.75" customHeight="1">
      <c r="A1101" s="3" t="s">
        <v>1124</v>
      </c>
      <c r="B1101" s="4" t="str">
        <f>VLOOKUP(A1101,Sheet2!$A$2:$R$3432,2,0)</f>
        <v>2025-06-01 20:35:34</v>
      </c>
      <c r="C1101" s="5" t="s">
        <v>25</v>
      </c>
      <c r="D1101" s="6" t="s">
        <v>25</v>
      </c>
      <c r="E1101" s="7">
        <f>VLOOKUP(A1101,Sheet2!$A$2:$R$3432,4,0)</f>
        <v>7709599301</v>
      </c>
      <c r="F1101" s="7" t="str">
        <f>VLOOKUP(A1101,Sheet2!$A$2:$R$3432,3,0)</f>
        <v>Mangesh</v>
      </c>
      <c r="G1101" s="5" t="s">
        <v>25</v>
      </c>
      <c r="H1101" s="5" t="s">
        <v>25</v>
      </c>
      <c r="I1101" s="5" t="s">
        <v>25</v>
      </c>
      <c r="J1101" s="5" t="s">
        <v>25</v>
      </c>
      <c r="K1101" s="7" t="str">
        <f>VLOOKUP(A1101,Sheet2!$A$2:$R$3432,6,0)</f>
        <v>Bajaj Pulsar 150</v>
      </c>
      <c r="L1101" s="5" t="s">
        <v>25</v>
      </c>
      <c r="M1101" s="7" t="str">
        <f>VLOOKUP(A1101,Sheet2!$A$2:$R$3432,5,0)</f>
        <v>MH27BD8644</v>
      </c>
      <c r="N1101" s="5" t="s">
        <v>25</v>
      </c>
      <c r="O1101" s="5" t="s">
        <v>25</v>
      </c>
      <c r="P1101" s="6" t="s">
        <v>25</v>
      </c>
      <c r="Q1101" s="5" t="s">
        <v>25</v>
      </c>
      <c r="R1101" s="5" t="s">
        <v>25</v>
      </c>
      <c r="S1101" s="7" t="str">
        <f>VLOOKUP(A1101,Sheet2!$A$2:$R$3432,18,0)</f>
        <v/>
      </c>
      <c r="T1101" s="7" t="str">
        <f>VLOOKUP(A1101,Sheet2!$A$2:$R$3432,17,0)</f>
        <v/>
      </c>
    </row>
    <row r="1102" ht="15.75" customHeight="1">
      <c r="A1102" s="3" t="s">
        <v>1125</v>
      </c>
      <c r="B1102" s="4" t="str">
        <f>VLOOKUP(A1102,Sheet2!$A$2:$R$3432,2,0)</f>
        <v>2025-06-01 20:39:33</v>
      </c>
      <c r="C1102" s="5" t="s">
        <v>25</v>
      </c>
      <c r="D1102" s="6" t="s">
        <v>25</v>
      </c>
      <c r="E1102" s="7">
        <f>VLOOKUP(A1102,Sheet2!$A$2:$R$3432,4,0)</f>
        <v>8010498580</v>
      </c>
      <c r="F1102" s="7" t="str">
        <f>VLOOKUP(A1102,Sheet2!$A$2:$R$3432,3,0)</f>
        <v>KUSHAL </v>
      </c>
      <c r="G1102" s="5" t="s">
        <v>25</v>
      </c>
      <c r="H1102" s="5" t="s">
        <v>25</v>
      </c>
      <c r="I1102" s="5" t="s">
        <v>25</v>
      </c>
      <c r="J1102" s="5" t="s">
        <v>25</v>
      </c>
      <c r="K1102" s="7" t="str">
        <f>VLOOKUP(A1102,Sheet2!$A$2:$R$3432,6,0)</f>
        <v>Honda CB 350</v>
      </c>
      <c r="L1102" s="5" t="s">
        <v>25</v>
      </c>
      <c r="M1102" s="7" t="str">
        <f>VLOOKUP(A1102,Sheet2!$A$2:$R$3432,5,0)</f>
        <v>MH31FY9797</v>
      </c>
      <c r="N1102" s="5" t="s">
        <v>25</v>
      </c>
      <c r="O1102" s="5" t="s">
        <v>25</v>
      </c>
      <c r="P1102" s="6" t="s">
        <v>25</v>
      </c>
      <c r="Q1102" s="5" t="s">
        <v>25</v>
      </c>
      <c r="R1102" s="5" t="s">
        <v>25</v>
      </c>
      <c r="S1102" s="5" t="str">
        <f>VLOOKUP(A1102,Sheet2!$A$2:$R$3432,18,0)</f>
        <v>NC58EA3007349</v>
      </c>
      <c r="T1102" s="7" t="str">
        <f>VLOOKUP(A1102,Sheet2!$A$2:$R$3432,17,0)</f>
        <v>ME4NC58AJPA002016</v>
      </c>
    </row>
    <row r="1103" ht="15.75" customHeight="1">
      <c r="A1103" s="3" t="s">
        <v>1126</v>
      </c>
      <c r="B1103" s="4" t="str">
        <f>VLOOKUP(A1103,Sheet2!$A$2:$R$3432,2,0)</f>
        <v>2025-06-01 20:40:12</v>
      </c>
      <c r="C1103" s="5" t="s">
        <v>25</v>
      </c>
      <c r="D1103" s="6" t="s">
        <v>25</v>
      </c>
      <c r="E1103" s="7">
        <f>VLOOKUP(A1103,Sheet2!$A$2:$R$3432,4,0)</f>
        <v>9763489598</v>
      </c>
      <c r="F1103" s="7" t="str">
        <f>VLOOKUP(A1103,Sheet2!$A$2:$R$3432,3,0)</f>
        <v>Vaibhav Kamthe</v>
      </c>
      <c r="G1103" s="5" t="s">
        <v>25</v>
      </c>
      <c r="H1103" s="5" t="s">
        <v>25</v>
      </c>
      <c r="I1103" s="5" t="s">
        <v>25</v>
      </c>
      <c r="J1103" s="5" t="s">
        <v>25</v>
      </c>
      <c r="K1103" s="7" t="str">
        <f>VLOOKUP(A1103,Sheet2!$A$2:$R$3432,6,0)</f>
        <v>Honda Activa 3G</v>
      </c>
      <c r="L1103" s="5" t="s">
        <v>25</v>
      </c>
      <c r="M1103" s="7" t="str">
        <f>VLOOKUP(A1103,Sheet2!$A$2:$R$3432,5,0)</f>
        <v>MH14FB3856</v>
      </c>
      <c r="N1103" s="5" t="s">
        <v>25</v>
      </c>
      <c r="O1103" s="5" t="s">
        <v>25</v>
      </c>
      <c r="P1103" s="6" t="s">
        <v>25</v>
      </c>
      <c r="Q1103" s="5" t="s">
        <v>25</v>
      </c>
      <c r="R1103" s="5" t="s">
        <v>25</v>
      </c>
      <c r="S1103" s="5" t="str">
        <f>VLOOKUP(A1103,Sheet2!$A$2:$R$3432,18,0)</f>
        <v>JF50ET2644032</v>
      </c>
      <c r="T1103" s="7" t="str">
        <f>VLOOKUP(A1103,Sheet2!$A$2:$R$3432,17,0)</f>
        <v>ME4JF504HFT642985</v>
      </c>
    </row>
    <row r="1104" ht="15.75" customHeight="1">
      <c r="A1104" s="3" t="s">
        <v>1127</v>
      </c>
      <c r="B1104" s="4" t="str">
        <f>VLOOKUP(A1104,Sheet2!$A$2:$R$3432,2,0)</f>
        <v>2025-06-01 21:04:56</v>
      </c>
      <c r="C1104" s="5" t="s">
        <v>25</v>
      </c>
      <c r="D1104" s="6" t="s">
        <v>25</v>
      </c>
      <c r="E1104" s="7">
        <f>VLOOKUP(A1104,Sheet2!$A$2:$R$3432,4,0)</f>
        <v>9970629341</v>
      </c>
      <c r="F1104" s="7" t="str">
        <f>VLOOKUP(A1104,Sheet2!$A$2:$R$3432,3,0)</f>
        <v>Bhushan</v>
      </c>
      <c r="G1104" s="5" t="s">
        <v>25</v>
      </c>
      <c r="H1104" s="5" t="s">
        <v>25</v>
      </c>
      <c r="I1104" s="5" t="s">
        <v>25</v>
      </c>
      <c r="J1104" s="5" t="s">
        <v>25</v>
      </c>
      <c r="K1104" s="7" t="str">
        <f>VLOOKUP(A1104,Sheet2!$A$2:$R$3432,6,0)</f>
        <v>Hero Maestro </v>
      </c>
      <c r="L1104" s="5" t="s">
        <v>25</v>
      </c>
      <c r="M1104" s="7" t="str">
        <f>VLOOKUP(A1104,Sheet2!$A$2:$R$3432,5,0)</f>
        <v>MH12LB2284</v>
      </c>
      <c r="N1104" s="5" t="s">
        <v>25</v>
      </c>
      <c r="O1104" s="5" t="s">
        <v>25</v>
      </c>
      <c r="P1104" s="6" t="s">
        <v>25</v>
      </c>
      <c r="Q1104" s="5" t="s">
        <v>25</v>
      </c>
      <c r="R1104" s="5" t="s">
        <v>25</v>
      </c>
      <c r="S1104" s="7" t="str">
        <f>VLOOKUP(A1104,Sheet2!$A$2:$R$3432,18,0)</f>
        <v/>
      </c>
      <c r="T1104" s="7" t="str">
        <f>VLOOKUP(A1104,Sheet2!$A$2:$R$3432,17,0)</f>
        <v/>
      </c>
    </row>
    <row r="1105" ht="15.75" customHeight="1">
      <c r="A1105" s="3" t="s">
        <v>1128</v>
      </c>
      <c r="B1105" s="4" t="str">
        <f>VLOOKUP(A1105,Sheet2!$A$2:$R$3432,2,0)</f>
        <v>2025-02-20 19:14:01</v>
      </c>
      <c r="C1105" s="5" t="s">
        <v>25</v>
      </c>
      <c r="D1105" s="6" t="s">
        <v>25</v>
      </c>
      <c r="E1105" s="7">
        <f>VLOOKUP(A1105,Sheet2!$A$2:$R$3432,4,0)</f>
        <v>8928876805</v>
      </c>
      <c r="F1105" s="7" t="str">
        <f>VLOOKUP(A1105,Sheet2!$A$2:$R$3432,3,0)</f>
        <v>Amitesh</v>
      </c>
      <c r="G1105" s="5" t="s">
        <v>25</v>
      </c>
      <c r="H1105" s="5" t="s">
        <v>25</v>
      </c>
      <c r="I1105" s="5" t="s">
        <v>25</v>
      </c>
      <c r="J1105" s="5" t="s">
        <v>25</v>
      </c>
      <c r="K1105" s="7" t="str">
        <f>VLOOKUP(A1105,Sheet2!$A$2:$R$3432,6,0)</f>
        <v>Honda Unicorn </v>
      </c>
      <c r="L1105" s="5" t="s">
        <v>25</v>
      </c>
      <c r="M1105" s="7" t="str">
        <f>VLOOKUP(A1105,Sheet2!$A$2:$R$3432,5,0)</f>
        <v>MH14CQ4830</v>
      </c>
      <c r="N1105" s="5" t="s">
        <v>25</v>
      </c>
      <c r="O1105" s="5" t="s">
        <v>25</v>
      </c>
      <c r="P1105" s="6" t="s">
        <v>25</v>
      </c>
      <c r="Q1105" s="5" t="s">
        <v>25</v>
      </c>
      <c r="R1105" s="5" t="s">
        <v>25</v>
      </c>
      <c r="S1105" s="5" t="str">
        <f>VLOOKUP(A1105,Sheet2!$A$2:$R$3432,18,0)</f>
        <v>KC09E6077300</v>
      </c>
      <c r="T1105" s="7" t="str">
        <f>VLOOKUP(A1105,Sheet2!$A$2:$R$3432,17,0)</f>
        <v>ME4KC09CAB8074490</v>
      </c>
    </row>
    <row r="1106" ht="15.75" customHeight="1">
      <c r="A1106" s="3" t="s">
        <v>1129</v>
      </c>
      <c r="B1106" s="4" t="str">
        <f>VLOOKUP(A1106,Sheet2!$A$2:$R$3432,2,0)</f>
        <v>2025-02-20 19:12:22</v>
      </c>
      <c r="C1106" s="5" t="s">
        <v>25</v>
      </c>
      <c r="D1106" s="6" t="s">
        <v>25</v>
      </c>
      <c r="E1106" s="7">
        <f>VLOOKUP(A1106,Sheet2!$A$2:$R$3432,4,0)</f>
        <v>7588177320</v>
      </c>
      <c r="F1106" s="7" t="str">
        <f>VLOOKUP(A1106,Sheet2!$A$2:$R$3432,3,0)</f>
        <v>SHUBHAM VAIDYA </v>
      </c>
      <c r="G1106" s="5" t="s">
        <v>25</v>
      </c>
      <c r="H1106" s="5" t="s">
        <v>25</v>
      </c>
      <c r="I1106" s="5" t="s">
        <v>25</v>
      </c>
      <c r="J1106" s="5" t="s">
        <v>25</v>
      </c>
      <c r="K1106" s="7" t="str">
        <f>VLOOKUP(A1106,Sheet2!$A$2:$R$3432,6,0)</f>
        <v>Honda Activa 4G</v>
      </c>
      <c r="L1106" s="5" t="s">
        <v>25</v>
      </c>
      <c r="M1106" s="7" t="str">
        <f>VLOOKUP(A1106,Sheet2!$A$2:$R$3432,5,0)</f>
        <v>MH44R5658</v>
      </c>
      <c r="N1106" s="5" t="s">
        <v>25</v>
      </c>
      <c r="O1106" s="5" t="s">
        <v>25</v>
      </c>
      <c r="P1106" s="6" t="s">
        <v>25</v>
      </c>
      <c r="Q1106" s="5" t="s">
        <v>25</v>
      </c>
      <c r="R1106" s="5" t="s">
        <v>25</v>
      </c>
      <c r="S1106" s="5" t="str">
        <f>VLOOKUP(A1106,Sheet2!$A$2:$R$3432,18,0)</f>
        <v>JF50E75291131</v>
      </c>
      <c r="T1106" s="7" t="str">
        <f>VLOOKUP(A1106,Sheet2!$A$2:$R$3432,17,0)</f>
        <v>ME4JF507HH7291501</v>
      </c>
    </row>
    <row r="1107" ht="15.75" customHeight="1">
      <c r="A1107" s="3" t="s">
        <v>1130</v>
      </c>
      <c r="B1107" s="4" t="str">
        <f>VLOOKUP(A1107,Sheet2!$A$2:$R$3432,2,0)</f>
        <v>2025-02-20 19:09:51</v>
      </c>
      <c r="C1107" s="5" t="s">
        <v>25</v>
      </c>
      <c r="D1107" s="6" t="s">
        <v>25</v>
      </c>
      <c r="E1107" s="7">
        <f>VLOOKUP(A1107,Sheet2!$A$2:$R$3432,4,0)</f>
        <v>9075791172</v>
      </c>
      <c r="F1107" s="7" t="str">
        <f>VLOOKUP(A1107,Sheet2!$A$2:$R$3432,3,0)</f>
        <v>ADITYA SHEJAL</v>
      </c>
      <c r="G1107" s="5" t="s">
        <v>25</v>
      </c>
      <c r="H1107" s="5" t="s">
        <v>25</v>
      </c>
      <c r="I1107" s="5" t="s">
        <v>25</v>
      </c>
      <c r="J1107" s="5" t="s">
        <v>25</v>
      </c>
      <c r="K1107" s="7" t="str">
        <f>VLOOKUP(A1107,Sheet2!$A$2:$R$3432,6,0)</f>
        <v>Yamaha R15 S</v>
      </c>
      <c r="L1107" s="5" t="s">
        <v>25</v>
      </c>
      <c r="M1107" s="7" t="str">
        <f>VLOOKUP(A1107,Sheet2!$A$2:$R$3432,5,0)</f>
        <v>MH14JS6218</v>
      </c>
      <c r="N1107" s="5" t="s">
        <v>25</v>
      </c>
      <c r="O1107" s="5" t="s">
        <v>25</v>
      </c>
      <c r="P1107" s="6" t="s">
        <v>25</v>
      </c>
      <c r="Q1107" s="5" t="s">
        <v>25</v>
      </c>
      <c r="R1107" s="5" t="s">
        <v>25</v>
      </c>
      <c r="S1107" s="5" t="str">
        <f>VLOOKUP(A1107,Sheet2!$A$2:$R$3432,18,0)</f>
        <v>G3N460127194</v>
      </c>
      <c r="T1107" s="7" t="str">
        <f>VLOOKUP(A1107,Sheet2!$A$2:$R$3432,17,0)</f>
        <v>ME1RG6719MDD80836</v>
      </c>
    </row>
    <row r="1108" ht="15.75" customHeight="1">
      <c r="A1108" s="3" t="s">
        <v>1131</v>
      </c>
      <c r="B1108" s="4" t="str">
        <f>VLOOKUP(A1108,Sheet2!$A$2:$R$3432,2,0)</f>
        <v>2025-02-20 19:11:37</v>
      </c>
      <c r="C1108" s="5" t="s">
        <v>25</v>
      </c>
      <c r="D1108" s="6" t="s">
        <v>25</v>
      </c>
      <c r="E1108" s="7">
        <f>VLOOKUP(A1108,Sheet2!$A$2:$R$3432,4,0)</f>
        <v>9764474044</v>
      </c>
      <c r="F1108" s="7" t="str">
        <f>VLOOKUP(A1108,Sheet2!$A$2:$R$3432,3,0)</f>
        <v>Kuldeep Sharma</v>
      </c>
      <c r="G1108" s="5" t="s">
        <v>25</v>
      </c>
      <c r="H1108" s="5" t="s">
        <v>25</v>
      </c>
      <c r="I1108" s="5" t="s">
        <v>25</v>
      </c>
      <c r="J1108" s="5" t="s">
        <v>25</v>
      </c>
      <c r="K1108" s="7" t="str">
        <f>VLOOKUP(A1108,Sheet2!$A$2:$R$3432,6,0)</f>
        <v>Bajaj Pulsar 150 DTSi</v>
      </c>
      <c r="L1108" s="5" t="s">
        <v>25</v>
      </c>
      <c r="M1108" s="7" t="str">
        <f>VLOOKUP(A1108,Sheet2!$A$2:$R$3432,5,0)</f>
        <v>MH14CA0851</v>
      </c>
      <c r="N1108" s="5" t="s">
        <v>25</v>
      </c>
      <c r="O1108" s="5" t="s">
        <v>25</v>
      </c>
      <c r="P1108" s="6" t="s">
        <v>25</v>
      </c>
      <c r="Q1108" s="5" t="s">
        <v>25</v>
      </c>
      <c r="R1108" s="5" t="s">
        <v>25</v>
      </c>
      <c r="S1108" s="7" t="str">
        <f>VLOOKUP(A1108,Sheet2!$A$2:$R$3432,18,0)</f>
        <v/>
      </c>
      <c r="T1108" s="7" t="str">
        <f>VLOOKUP(A1108,Sheet2!$A$2:$R$3432,17,0)</f>
        <v>MD2DHDHZZ5CL27030</v>
      </c>
    </row>
    <row r="1109" ht="15.75" customHeight="1">
      <c r="A1109" s="3" t="s">
        <v>1132</v>
      </c>
      <c r="B1109" s="4" t="str">
        <f>VLOOKUP(A1109,Sheet2!$A$2:$R$3432,2,0)</f>
        <v>2025-02-20 19:13:15</v>
      </c>
      <c r="C1109" s="5" t="s">
        <v>25</v>
      </c>
      <c r="D1109" s="6" t="s">
        <v>25</v>
      </c>
      <c r="E1109" s="7">
        <f>VLOOKUP(A1109,Sheet2!$A$2:$R$3432,4,0)</f>
        <v>9049430696</v>
      </c>
      <c r="F1109" s="7" t="str">
        <f>VLOOKUP(A1109,Sheet2!$A$2:$R$3432,3,0)</f>
        <v>Pranay </v>
      </c>
      <c r="G1109" s="5" t="s">
        <v>25</v>
      </c>
      <c r="H1109" s="5" t="s">
        <v>25</v>
      </c>
      <c r="I1109" s="5" t="s">
        <v>25</v>
      </c>
      <c r="J1109" s="5" t="s">
        <v>25</v>
      </c>
      <c r="K1109" s="7" t="str">
        <f>VLOOKUP(A1109,Sheet2!$A$2:$R$3432,6,0)</f>
        <v>Honda Activa 3G</v>
      </c>
      <c r="L1109" s="5" t="s">
        <v>25</v>
      </c>
      <c r="M1109" s="7" t="str">
        <f>VLOOKUP(A1109,Sheet2!$A$2:$R$3432,5,0)</f>
        <v>MH14HY3851</v>
      </c>
      <c r="N1109" s="5" t="s">
        <v>25</v>
      </c>
      <c r="O1109" s="5" t="s">
        <v>25</v>
      </c>
      <c r="P1109" s="6" t="s">
        <v>25</v>
      </c>
      <c r="Q1109" s="5" t="s">
        <v>25</v>
      </c>
      <c r="R1109" s="5" t="s">
        <v>25</v>
      </c>
      <c r="S1109" s="7" t="str">
        <f>VLOOKUP(A1109,Sheet2!$A$2:$R$3432,18,0)</f>
        <v/>
      </c>
      <c r="T1109" s="7" t="str">
        <f>VLOOKUP(A1109,Sheet2!$A$2:$R$3432,17,0)</f>
        <v/>
      </c>
    </row>
    <row r="1110" ht="15.75" customHeight="1">
      <c r="A1110" s="3" t="s">
        <v>1133</v>
      </c>
      <c r="B1110" s="4" t="str">
        <f>VLOOKUP(A1110,Sheet2!$A$2:$R$3432,2,0)</f>
        <v>2025-03-17 19:41:20</v>
      </c>
      <c r="C1110" s="5" t="s">
        <v>25</v>
      </c>
      <c r="D1110" s="6" t="s">
        <v>25</v>
      </c>
      <c r="E1110" s="7">
        <f>VLOOKUP(A1110,Sheet2!$A$2:$R$3432,4,0)</f>
        <v>9028884749</v>
      </c>
      <c r="F1110" s="7" t="str">
        <f>VLOOKUP(A1110,Sheet2!$A$2:$R$3432,3,0)</f>
        <v>Bhawarlal</v>
      </c>
      <c r="G1110" s="5" t="s">
        <v>25</v>
      </c>
      <c r="H1110" s="5" t="s">
        <v>25</v>
      </c>
      <c r="I1110" s="5" t="s">
        <v>25</v>
      </c>
      <c r="J1110" s="5" t="s">
        <v>25</v>
      </c>
      <c r="K1110" s="7" t="str">
        <f>VLOOKUP(A1110,Sheet2!$A$2:$R$3432,6,0)</f>
        <v>Hero Splendor Plus</v>
      </c>
      <c r="L1110" s="5" t="s">
        <v>25</v>
      </c>
      <c r="M1110" s="7" t="str">
        <f>VLOOKUP(A1110,Sheet2!$A$2:$R$3432,5,0)</f>
        <v>MH12GL4188</v>
      </c>
      <c r="N1110" s="5" t="s">
        <v>25</v>
      </c>
      <c r="O1110" s="5" t="s">
        <v>25</v>
      </c>
      <c r="P1110" s="6" t="s">
        <v>25</v>
      </c>
      <c r="Q1110" s="5" t="s">
        <v>25</v>
      </c>
      <c r="R1110" s="5" t="s">
        <v>25</v>
      </c>
      <c r="S1110" s="5" t="str">
        <f>VLOOKUP(A1110,Sheet2!$A$2:$R$3432,18,0)</f>
        <v>HA10EFAHK57930</v>
      </c>
      <c r="T1110" s="7" t="str">
        <f>VLOOKUP(A1110,Sheet2!$A$2:$R$3432,17,0)</f>
        <v>MBLHA10EYAHK12493</v>
      </c>
    </row>
    <row r="1111" ht="15.75" customHeight="1">
      <c r="A1111" s="3" t="s">
        <v>1134</v>
      </c>
      <c r="B1111" s="4" t="str">
        <f>VLOOKUP(A1111,Sheet2!$A$2:$R$3432,2,0)</f>
        <v>2025-03-17 19:45:40</v>
      </c>
      <c r="C1111" s="5" t="s">
        <v>25</v>
      </c>
      <c r="D1111" s="6" t="s">
        <v>25</v>
      </c>
      <c r="E1111" s="7">
        <f>VLOOKUP(A1111,Sheet2!$A$2:$R$3432,4,0)</f>
        <v>8805413757</v>
      </c>
      <c r="F1111" s="7" t="str">
        <f>VLOOKUP(A1111,Sheet2!$A$2:$R$3432,3,0)</f>
        <v>AKSHAY</v>
      </c>
      <c r="G1111" s="5" t="s">
        <v>25</v>
      </c>
      <c r="H1111" s="5" t="s">
        <v>25</v>
      </c>
      <c r="I1111" s="5" t="s">
        <v>25</v>
      </c>
      <c r="J1111" s="5" t="s">
        <v>25</v>
      </c>
      <c r="K1111" s="7" t="str">
        <f>VLOOKUP(A1111,Sheet2!$A$2:$R$3432,6,0)</f>
        <v>Royal Enfield ELECTRA 350</v>
      </c>
      <c r="L1111" s="5" t="s">
        <v>25</v>
      </c>
      <c r="M1111" s="7" t="str">
        <f>VLOOKUP(A1111,Sheet2!$A$2:$R$3432,5,0)</f>
        <v>MH16BA6336</v>
      </c>
      <c r="N1111" s="5" t="s">
        <v>25</v>
      </c>
      <c r="O1111" s="5" t="s">
        <v>25</v>
      </c>
      <c r="P1111" s="6" t="s">
        <v>25</v>
      </c>
      <c r="Q1111" s="5" t="s">
        <v>25</v>
      </c>
      <c r="R1111" s="5" t="s">
        <v>25</v>
      </c>
      <c r="S1111" s="5" t="str">
        <f>VLOOKUP(A1111,Sheet2!$A$2:$R$3432,18,0)</f>
        <v>U35C0DB230382</v>
      </c>
      <c r="T1111" s="7" t="str">
        <f>VLOOKUP(A1111,Sheet2!$A$2:$R$3432,17,0)</f>
        <v>ME3U355C00328</v>
      </c>
    </row>
    <row r="1112" ht="15.75" customHeight="1">
      <c r="A1112" s="3" t="s">
        <v>1135</v>
      </c>
      <c r="B1112" s="4" t="str">
        <f>VLOOKUP(A1112,Sheet2!$A$2:$R$3432,2,0)</f>
        <v>2025-03-17 19:46:02</v>
      </c>
      <c r="C1112" s="5" t="s">
        <v>25</v>
      </c>
      <c r="D1112" s="6" t="s">
        <v>25</v>
      </c>
      <c r="E1112" s="7">
        <f>VLOOKUP(A1112,Sheet2!$A$2:$R$3432,4,0)</f>
        <v>7720008950</v>
      </c>
      <c r="F1112" s="7" t="str">
        <f>VLOOKUP(A1112,Sheet2!$A$2:$R$3432,3,0)</f>
        <v>ABHIJEET RASKAR</v>
      </c>
      <c r="G1112" s="5" t="s">
        <v>25</v>
      </c>
      <c r="H1112" s="5" t="s">
        <v>25</v>
      </c>
      <c r="I1112" s="5" t="s">
        <v>25</v>
      </c>
      <c r="J1112" s="5" t="s">
        <v>25</v>
      </c>
      <c r="K1112" s="7" t="str">
        <f>VLOOKUP(A1112,Sheet2!$A$2:$R$3432,6,0)</f>
        <v>Hero Deluxe HF</v>
      </c>
      <c r="L1112" s="5" t="s">
        <v>25</v>
      </c>
      <c r="M1112" s="7" t="str">
        <f>VLOOKUP(A1112,Sheet2!$A$2:$R$3432,5,0)</f>
        <v>MH12JR0733</v>
      </c>
      <c r="N1112" s="5" t="s">
        <v>25</v>
      </c>
      <c r="O1112" s="5" t="s">
        <v>25</v>
      </c>
      <c r="P1112" s="6" t="s">
        <v>25</v>
      </c>
      <c r="Q1112" s="5" t="s">
        <v>25</v>
      </c>
      <c r="R1112" s="5" t="s">
        <v>25</v>
      </c>
      <c r="S1112" s="5" t="str">
        <f>VLOOKUP(A1112,Sheet2!$A$2:$R$3432,18,0)</f>
        <v>HA11EFC9K10751</v>
      </c>
      <c r="T1112" s="7" t="str">
        <f>VLOOKUP(A1112,Sheet2!$A$2:$R$3432,17,0)</f>
        <v>MBLHA11EVC9K0111</v>
      </c>
    </row>
    <row r="1113" ht="15.75" customHeight="1">
      <c r="A1113" s="3" t="s">
        <v>1136</v>
      </c>
      <c r="B1113" s="4" t="str">
        <f>VLOOKUP(A1113,Sheet2!$A$2:$R$3432,2,0)</f>
        <v>2025-03-17 19:47:00</v>
      </c>
      <c r="C1113" s="5" t="s">
        <v>25</v>
      </c>
      <c r="D1113" s="6" t="s">
        <v>25</v>
      </c>
      <c r="E1113" s="7">
        <f>VLOOKUP(A1113,Sheet2!$A$2:$R$3432,4,0)</f>
        <v>9067171926</v>
      </c>
      <c r="F1113" s="7" t="str">
        <f>VLOOKUP(A1113,Sheet2!$A$2:$R$3432,3,0)</f>
        <v>DEEPALI MUTHAL</v>
      </c>
      <c r="G1113" s="5" t="s">
        <v>25</v>
      </c>
      <c r="H1113" s="5" t="s">
        <v>25</v>
      </c>
      <c r="I1113" s="5" t="s">
        <v>25</v>
      </c>
      <c r="J1113" s="5" t="s">
        <v>25</v>
      </c>
      <c r="K1113" s="7" t="str">
        <f>VLOOKUP(A1113,Sheet2!$A$2:$R$3432,6,0)</f>
        <v>Honda Activa 3G</v>
      </c>
      <c r="L1113" s="5" t="s">
        <v>25</v>
      </c>
      <c r="M1113" s="7" t="str">
        <f>VLOOKUP(A1113,Sheet2!$A$2:$R$3432,5,0)</f>
        <v>MH12NF3992</v>
      </c>
      <c r="N1113" s="5" t="s">
        <v>25</v>
      </c>
      <c r="O1113" s="5" t="s">
        <v>25</v>
      </c>
      <c r="P1113" s="6" t="s">
        <v>25</v>
      </c>
      <c r="Q1113" s="5" t="s">
        <v>25</v>
      </c>
      <c r="R1113" s="5" t="s">
        <v>25</v>
      </c>
      <c r="S1113" s="5" t="str">
        <f>VLOOKUP(A1113,Sheet2!$A$2:$R$3432,18,0)</f>
        <v>JF50E6T3444086</v>
      </c>
      <c r="T1113" s="7" t="str">
        <f>VLOOKUP(A1113,Sheet2!$A$2:$R$3432,17,0)</f>
        <v>ME4JF505EGT443929</v>
      </c>
    </row>
    <row r="1114" ht="15.75" customHeight="1">
      <c r="A1114" s="3" t="s">
        <v>1137</v>
      </c>
      <c r="B1114" s="4" t="str">
        <f>VLOOKUP(A1114,Sheet2!$A$2:$R$3432,2,0)</f>
        <v>2025-03-17 20:03:51</v>
      </c>
      <c r="C1114" s="5" t="s">
        <v>25</v>
      </c>
      <c r="D1114" s="6" t="s">
        <v>25</v>
      </c>
      <c r="E1114" s="7">
        <f>VLOOKUP(A1114,Sheet2!$A$2:$R$3432,4,0)</f>
        <v>7387521234</v>
      </c>
      <c r="F1114" s="7" t="str">
        <f>VLOOKUP(A1114,Sheet2!$A$2:$R$3432,3,0)</f>
        <v>Akhil Shastri </v>
      </c>
      <c r="G1114" s="5" t="s">
        <v>25</v>
      </c>
      <c r="H1114" s="5" t="s">
        <v>25</v>
      </c>
      <c r="I1114" s="5" t="s">
        <v>25</v>
      </c>
      <c r="J1114" s="5" t="s">
        <v>25</v>
      </c>
      <c r="K1114" s="7" t="str">
        <f>VLOOKUP(A1114,Sheet2!$A$2:$R$3432,6,0)</f>
        <v>Honda Activa 6G</v>
      </c>
      <c r="L1114" s="5" t="s">
        <v>25</v>
      </c>
      <c r="M1114" s="7" t="str">
        <f>VLOOKUP(A1114,Sheet2!$A$2:$R$3432,5,0)</f>
        <v>MH14JJ6954</v>
      </c>
      <c r="N1114" s="5" t="s">
        <v>25</v>
      </c>
      <c r="O1114" s="5" t="s">
        <v>25</v>
      </c>
      <c r="P1114" s="6" t="s">
        <v>25</v>
      </c>
      <c r="Q1114" s="5" t="s">
        <v>25</v>
      </c>
      <c r="R1114" s="5" t="s">
        <v>25</v>
      </c>
      <c r="S1114" s="5" t="str">
        <f>VLOOKUP(A1114,Sheet2!$A$2:$R$3432,18,0)</f>
        <v>JF91EG1289544</v>
      </c>
      <c r="T1114" s="7" t="str">
        <f>VLOOKUP(A1114,Sheet2!$A$2:$R$3432,17,0)</f>
        <v>ME4JF914LLG299564</v>
      </c>
    </row>
    <row r="1115" ht="15.75" customHeight="1">
      <c r="A1115" s="3" t="s">
        <v>1138</v>
      </c>
      <c r="B1115" s="4" t="str">
        <f>VLOOKUP(A1115,Sheet2!$A$2:$R$3432,2,0)</f>
        <v>2025-01-12 20:43:22</v>
      </c>
      <c r="C1115" s="5" t="s">
        <v>25</v>
      </c>
      <c r="D1115" s="6" t="s">
        <v>25</v>
      </c>
      <c r="E1115" s="7">
        <f>VLOOKUP(A1115,Sheet2!$A$2:$R$3432,4,0)</f>
        <v>9595595444</v>
      </c>
      <c r="F1115" s="7" t="str">
        <f>VLOOKUP(A1115,Sheet2!$A$2:$R$3432,3,0)</f>
        <v>AKSHAY</v>
      </c>
      <c r="G1115" s="5" t="s">
        <v>25</v>
      </c>
      <c r="H1115" s="5" t="s">
        <v>25</v>
      </c>
      <c r="I1115" s="5" t="s">
        <v>25</v>
      </c>
      <c r="J1115" s="5" t="s">
        <v>25</v>
      </c>
      <c r="K1115" s="7" t="str">
        <f>VLOOKUP(A1115,Sheet2!$A$2:$R$3432,6,0)</f>
        <v>Honda Activa i</v>
      </c>
      <c r="L1115" s="5" t="s">
        <v>25</v>
      </c>
      <c r="M1115" s="7" t="str">
        <f>VLOOKUP(A1115,Sheet2!$A$2:$R$3432,5,0)</f>
        <v>MH30AK4249</v>
      </c>
      <c r="N1115" s="5" t="s">
        <v>25</v>
      </c>
      <c r="O1115" s="5" t="s">
        <v>25</v>
      </c>
      <c r="P1115" s="6" t="s">
        <v>25</v>
      </c>
      <c r="Q1115" s="5" t="s">
        <v>25</v>
      </c>
      <c r="R1115" s="5" t="s">
        <v>25</v>
      </c>
      <c r="S1115" s="7" t="str">
        <f>VLOOKUP(A1115,Sheet2!$A$2:$R$3432,18,0)</f>
        <v/>
      </c>
      <c r="T1115" s="7" t="str">
        <f>VLOOKUP(A1115,Sheet2!$A$2:$R$3432,17,0)</f>
        <v/>
      </c>
    </row>
    <row r="1116" ht="15.75" customHeight="1">
      <c r="A1116" s="3" t="s">
        <v>1139</v>
      </c>
      <c r="B1116" s="4" t="str">
        <f>VLOOKUP(A1116,Sheet2!$A$2:$R$3432,2,0)</f>
        <v>2025-01-12 20:45:47</v>
      </c>
      <c r="C1116" s="5" t="s">
        <v>25</v>
      </c>
      <c r="D1116" s="6" t="s">
        <v>25</v>
      </c>
      <c r="E1116" s="7">
        <f>VLOOKUP(A1116,Sheet2!$A$2:$R$3432,4,0)</f>
        <v>9975562308</v>
      </c>
      <c r="F1116" s="7" t="str">
        <f>VLOOKUP(A1116,Sheet2!$A$2:$R$3432,3,0)</f>
        <v>MOHAMMAD ZAID</v>
      </c>
      <c r="G1116" s="5" t="s">
        <v>25</v>
      </c>
      <c r="H1116" s="5" t="s">
        <v>25</v>
      </c>
      <c r="I1116" s="5" t="s">
        <v>25</v>
      </c>
      <c r="J1116" s="5" t="s">
        <v>25</v>
      </c>
      <c r="K1116" s="7" t="str">
        <f>VLOOKUP(A1116,Sheet2!$A$2:$R$3432,6,0)</f>
        <v>Honda Activa 5G</v>
      </c>
      <c r="L1116" s="5" t="s">
        <v>25</v>
      </c>
      <c r="M1116" s="7" t="str">
        <f>VLOOKUP(A1116,Sheet2!$A$2:$R$3432,5,0)</f>
        <v>MH40BX7990</v>
      </c>
      <c r="N1116" s="5" t="s">
        <v>25</v>
      </c>
      <c r="O1116" s="5" t="s">
        <v>25</v>
      </c>
      <c r="P1116" s="6" t="s">
        <v>25</v>
      </c>
      <c r="Q1116" s="5" t="s">
        <v>25</v>
      </c>
      <c r="R1116" s="5" t="s">
        <v>25</v>
      </c>
      <c r="S1116" s="5" t="str">
        <f>VLOOKUP(A1116,Sheet2!$A$2:$R$3432,18,0)</f>
        <v>JF92EG006138</v>
      </c>
      <c r="T1116" s="7" t="str">
        <f>VLOOKUP(A1116,Sheet2!$A$2:$R$3432,17,0)</f>
        <v>ME4JF922HKG061704</v>
      </c>
    </row>
    <row r="1117" ht="15.75" customHeight="1">
      <c r="A1117" s="3" t="s">
        <v>1140</v>
      </c>
      <c r="B1117" s="4" t="str">
        <f>VLOOKUP(A1117,Sheet2!$A$2:$R$3432,2,0)</f>
        <v>2025-01-12 19:23:43</v>
      </c>
      <c r="C1117" s="5" t="s">
        <v>25</v>
      </c>
      <c r="D1117" s="6" t="s">
        <v>25</v>
      </c>
      <c r="E1117" s="7">
        <f>VLOOKUP(A1117,Sheet2!$A$2:$R$3432,4,0)</f>
        <v>7558416895</v>
      </c>
      <c r="F1117" s="7" t="str">
        <f>VLOOKUP(A1117,Sheet2!$A$2:$R$3432,3,0)</f>
        <v>CHAITANYA </v>
      </c>
      <c r="G1117" s="5" t="s">
        <v>25</v>
      </c>
      <c r="H1117" s="5" t="s">
        <v>25</v>
      </c>
      <c r="I1117" s="5" t="s">
        <v>25</v>
      </c>
      <c r="J1117" s="5" t="s">
        <v>25</v>
      </c>
      <c r="K1117" s="7" t="str">
        <f>VLOOKUP(A1117,Sheet2!$A$2:$R$3432,6,0)</f>
        <v>Bajaj Pulsar 220</v>
      </c>
      <c r="L1117" s="5" t="s">
        <v>25</v>
      </c>
      <c r="M1117" s="7" t="str">
        <f>VLOOKUP(A1117,Sheet2!$A$2:$R$3432,5,0)</f>
        <v>MH36R5453</v>
      </c>
      <c r="N1117" s="5" t="s">
        <v>25</v>
      </c>
      <c r="O1117" s="5" t="s">
        <v>25</v>
      </c>
      <c r="P1117" s="6" t="s">
        <v>25</v>
      </c>
      <c r="Q1117" s="5" t="s">
        <v>25</v>
      </c>
      <c r="R1117" s="5" t="s">
        <v>25</v>
      </c>
      <c r="S1117" s="7" t="str">
        <f>VLOOKUP(A1117,Sheet2!$A$2:$R$3432,18,0)</f>
        <v/>
      </c>
      <c r="T1117" s="7" t="str">
        <f>VLOOKUP(A1117,Sheet2!$A$2:$R$3432,17,0)</f>
        <v/>
      </c>
    </row>
    <row r="1118" ht="15.75" customHeight="1">
      <c r="A1118" s="3" t="s">
        <v>1141</v>
      </c>
      <c r="B1118" s="4" t="str">
        <f>VLOOKUP(A1118,Sheet2!$A$2:$R$3432,2,0)</f>
        <v>2025-01-12 20:42:10</v>
      </c>
      <c r="C1118" s="5" t="s">
        <v>25</v>
      </c>
      <c r="D1118" s="6" t="s">
        <v>25</v>
      </c>
      <c r="E1118" s="7">
        <f>VLOOKUP(A1118,Sheet2!$A$2:$R$3432,4,0)</f>
        <v>9130828551</v>
      </c>
      <c r="F1118" s="7" t="str">
        <f>VLOOKUP(A1118,Sheet2!$A$2:$R$3432,3,0)</f>
        <v>Swapnil Wakachure</v>
      </c>
      <c r="G1118" s="5" t="s">
        <v>25</v>
      </c>
      <c r="H1118" s="5" t="s">
        <v>25</v>
      </c>
      <c r="I1118" s="5" t="s">
        <v>25</v>
      </c>
      <c r="J1118" s="5" t="s">
        <v>25</v>
      </c>
      <c r="K1118" s="7" t="str">
        <f>VLOOKUP(A1118,Sheet2!$A$2:$R$3432,6,0)</f>
        <v>Hero Xtreme </v>
      </c>
      <c r="L1118" s="5" t="s">
        <v>25</v>
      </c>
      <c r="M1118" s="7" t="str">
        <f>VLOOKUP(A1118,Sheet2!$A$2:$R$3432,5,0)</f>
        <v>MH17X538</v>
      </c>
      <c r="N1118" s="5" t="s">
        <v>25</v>
      </c>
      <c r="O1118" s="5" t="s">
        <v>25</v>
      </c>
      <c r="P1118" s="6" t="s">
        <v>25</v>
      </c>
      <c r="Q1118" s="5" t="s">
        <v>25</v>
      </c>
      <c r="R1118" s="5" t="s">
        <v>25</v>
      </c>
      <c r="S1118" s="5" t="str">
        <f>VLOOKUP(A1118,Sheet2!$A$2:$R$3432,18,0)</f>
        <v>064MBMC06</v>
      </c>
      <c r="T1118" s="7" t="str">
        <f>VLOOKUP(A1118,Sheet2!$A$2:$R$3432,17,0)</f>
        <v>OMBMM05909</v>
      </c>
    </row>
    <row r="1119" ht="15.75" customHeight="1">
      <c r="A1119" s="3" t="s">
        <v>1142</v>
      </c>
      <c r="B1119" s="4" t="str">
        <f>VLOOKUP(A1119,Sheet2!$A$2:$R$3432,2,0)</f>
        <v>2025-01-12 20:46:16</v>
      </c>
      <c r="C1119" s="5" t="s">
        <v>25</v>
      </c>
      <c r="D1119" s="6" t="s">
        <v>25</v>
      </c>
      <c r="E1119" s="7">
        <f>VLOOKUP(A1119,Sheet2!$A$2:$R$3432,4,0)</f>
        <v>9922216271</v>
      </c>
      <c r="F1119" s="7" t="str">
        <f>VLOOKUP(A1119,Sheet2!$A$2:$R$3432,3,0)</f>
        <v>RAJENDRA MANE</v>
      </c>
      <c r="G1119" s="5" t="s">
        <v>25</v>
      </c>
      <c r="H1119" s="5" t="s">
        <v>25</v>
      </c>
      <c r="I1119" s="5" t="s">
        <v>25</v>
      </c>
      <c r="J1119" s="5" t="s">
        <v>25</v>
      </c>
      <c r="K1119" s="7" t="str">
        <f>VLOOKUP(A1119,Sheet2!$A$2:$R$3432,6,0)</f>
        <v>Bajaj Platina 110cc</v>
      </c>
      <c r="L1119" s="5" t="s">
        <v>25</v>
      </c>
      <c r="M1119" s="7" t="str">
        <f>VLOOKUP(A1119,Sheet2!$A$2:$R$3432,5,0)</f>
        <v>MH12VY2902</v>
      </c>
      <c r="N1119" s="5" t="s">
        <v>25</v>
      </c>
      <c r="O1119" s="5" t="s">
        <v>25</v>
      </c>
      <c r="P1119" s="6" t="s">
        <v>25</v>
      </c>
      <c r="Q1119" s="5" t="s">
        <v>25</v>
      </c>
      <c r="R1119" s="5" t="s">
        <v>25</v>
      </c>
      <c r="S1119" s="5" t="str">
        <f>VLOOKUP(A1119,Sheet2!$A$2:$R$3432,18,0)</f>
        <v>PFXWPE22020</v>
      </c>
      <c r="T1119" s="7" t="str">
        <f>VLOOKUP(A1119,Sheet2!$A$2:$R$3432,17,0)</f>
        <v>MD2B77X6PWE07267</v>
      </c>
    </row>
    <row r="1120" ht="15.75" customHeight="1">
      <c r="A1120" s="3" t="s">
        <v>1143</v>
      </c>
      <c r="B1120" s="4" t="str">
        <f>VLOOKUP(A1120,Sheet2!$A$2:$R$3432,2,0)</f>
        <v>2025-01-12 20:47:01</v>
      </c>
      <c r="C1120" s="5" t="s">
        <v>25</v>
      </c>
      <c r="D1120" s="6" t="s">
        <v>25</v>
      </c>
      <c r="E1120" s="7">
        <f>VLOOKUP(A1120,Sheet2!$A$2:$R$3432,4,0)</f>
        <v>9860145589</v>
      </c>
      <c r="F1120" s="7" t="str">
        <f>VLOOKUP(A1120,Sheet2!$A$2:$R$3432,3,0)</f>
        <v>SHIVAM SONI</v>
      </c>
      <c r="G1120" s="5" t="s">
        <v>25</v>
      </c>
      <c r="H1120" s="5" t="s">
        <v>25</v>
      </c>
      <c r="I1120" s="5" t="s">
        <v>25</v>
      </c>
      <c r="J1120" s="5" t="s">
        <v>25</v>
      </c>
      <c r="K1120" s="7" t="str">
        <f>VLOOKUP(A1120,Sheet2!$A$2:$R$3432,6,0)</f>
        <v>Honda Activa 110</v>
      </c>
      <c r="L1120" s="5" t="s">
        <v>25</v>
      </c>
      <c r="M1120" s="7" t="str">
        <f>VLOOKUP(A1120,Sheet2!$A$2:$R$3432,5,0)</f>
        <v>MH12KV5716</v>
      </c>
      <c r="N1120" s="5" t="s">
        <v>25</v>
      </c>
      <c r="O1120" s="5" t="s">
        <v>25</v>
      </c>
      <c r="P1120" s="6" t="s">
        <v>25</v>
      </c>
      <c r="Q1120" s="5" t="s">
        <v>25</v>
      </c>
      <c r="R1120" s="5" t="s">
        <v>25</v>
      </c>
      <c r="S1120" s="7" t="str">
        <f>VLOOKUP(A1120,Sheet2!$A$2:$R$3432,18,0)</f>
        <v/>
      </c>
      <c r="T1120" s="7" t="str">
        <f>VLOOKUP(A1120,Sheet2!$A$2:$R$3432,17,0)</f>
        <v/>
      </c>
    </row>
    <row r="1121" ht="15.75" customHeight="1">
      <c r="A1121" s="3" t="s">
        <v>1144</v>
      </c>
      <c r="B1121" s="4" t="str">
        <f>VLOOKUP(A1121,Sheet2!$A$2:$R$3432,2,0)</f>
        <v>2025-01-12 20:48:30</v>
      </c>
      <c r="C1121" s="5" t="s">
        <v>25</v>
      </c>
      <c r="D1121" s="6" t="s">
        <v>25</v>
      </c>
      <c r="E1121" s="7">
        <f>VLOOKUP(A1121,Sheet2!$A$2:$R$3432,4,0)</f>
        <v>9754361727</v>
      </c>
      <c r="F1121" s="7" t="str">
        <f>VLOOKUP(A1121,Sheet2!$A$2:$R$3432,3,0)</f>
        <v>Kuldeep</v>
      </c>
      <c r="G1121" s="5" t="s">
        <v>25</v>
      </c>
      <c r="H1121" s="5" t="s">
        <v>25</v>
      </c>
      <c r="I1121" s="5" t="s">
        <v>25</v>
      </c>
      <c r="J1121" s="5" t="s">
        <v>25</v>
      </c>
      <c r="K1121" s="7" t="str">
        <f>VLOOKUP(A1121,Sheet2!$A$2:$R$3432,6,0)</f>
        <v>Bajaj Pulsar 150</v>
      </c>
      <c r="L1121" s="5" t="s">
        <v>25</v>
      </c>
      <c r="M1121" s="7" t="str">
        <f>VLOOKUP(A1121,Sheet2!$A$2:$R$3432,5,0)</f>
        <v>MP41MT4381</v>
      </c>
      <c r="N1121" s="5" t="s">
        <v>25</v>
      </c>
      <c r="O1121" s="5" t="s">
        <v>25</v>
      </c>
      <c r="P1121" s="6" t="s">
        <v>25</v>
      </c>
      <c r="Q1121" s="5" t="s">
        <v>25</v>
      </c>
      <c r="R1121" s="5" t="s">
        <v>25</v>
      </c>
      <c r="S1121" s="7" t="str">
        <f>VLOOKUP(A1121,Sheet2!$A$2:$R$3432,18,0)</f>
        <v/>
      </c>
      <c r="T1121" s="7" t="str">
        <f>VLOOKUP(A1121,Sheet2!$A$2:$R$3432,17,0)</f>
        <v/>
      </c>
    </row>
    <row r="1122" ht="15.75" customHeight="1">
      <c r="A1122" s="3" t="s">
        <v>1145</v>
      </c>
      <c r="B1122" s="4" t="str">
        <f>VLOOKUP(A1122,Sheet2!$A$2:$R$3432,2,0)</f>
        <v>2025-01-12 20:50:21</v>
      </c>
      <c r="C1122" s="5" t="s">
        <v>25</v>
      </c>
      <c r="D1122" s="6" t="s">
        <v>25</v>
      </c>
      <c r="E1122" s="7">
        <f>VLOOKUP(A1122,Sheet2!$A$2:$R$3432,4,0)</f>
        <v>9822321050</v>
      </c>
      <c r="F1122" s="7" t="str">
        <f>VLOOKUP(A1122,Sheet2!$A$2:$R$3432,3,0)</f>
        <v>Sandip Patil</v>
      </c>
      <c r="G1122" s="5" t="s">
        <v>25</v>
      </c>
      <c r="H1122" s="5" t="s">
        <v>25</v>
      </c>
      <c r="I1122" s="5" t="s">
        <v>25</v>
      </c>
      <c r="J1122" s="5" t="s">
        <v>25</v>
      </c>
      <c r="K1122" s="7" t="str">
        <f>VLOOKUP(A1122,Sheet2!$A$2:$R$3432,6,0)</f>
        <v>TVS Jupiter </v>
      </c>
      <c r="L1122" s="5" t="s">
        <v>25</v>
      </c>
      <c r="M1122" s="7" t="str">
        <f>VLOOKUP(A1122,Sheet2!$A$2:$R$3432,5,0)</f>
        <v>MH12QP2015</v>
      </c>
      <c r="N1122" s="5" t="s">
        <v>25</v>
      </c>
      <c r="O1122" s="5" t="s">
        <v>25</v>
      </c>
      <c r="P1122" s="6" t="s">
        <v>25</v>
      </c>
      <c r="Q1122" s="5" t="s">
        <v>25</v>
      </c>
      <c r="R1122" s="5" t="s">
        <v>25</v>
      </c>
      <c r="S1122" s="5" t="str">
        <f>VLOOKUP(A1122,Sheet2!$A$2:$R$3432,18,0)</f>
        <v>EGHEJ1277690</v>
      </c>
      <c r="T1122" s="7" t="str">
        <f>VLOOKUP(A1122,Sheet2!$A$2:$R$3432,17,0)</f>
        <v>MD626EG41E22640</v>
      </c>
    </row>
    <row r="1123" ht="15.75" customHeight="1">
      <c r="A1123" s="3" t="s">
        <v>1146</v>
      </c>
      <c r="B1123" s="4" t="str">
        <f>VLOOKUP(A1123,Sheet2!$A$2:$R$3432,2,0)</f>
        <v>2025-01-12 20:51:07</v>
      </c>
      <c r="C1123" s="5" t="s">
        <v>25</v>
      </c>
      <c r="D1123" s="6" t="s">
        <v>25</v>
      </c>
      <c r="E1123" s="7">
        <f>VLOOKUP(A1123,Sheet2!$A$2:$R$3432,4,0)</f>
        <v>9623441461</v>
      </c>
      <c r="F1123" s="7" t="str">
        <f>VLOOKUP(A1123,Sheet2!$A$2:$R$3432,3,0)</f>
        <v>Ravindra Mungale</v>
      </c>
      <c r="G1123" s="5" t="s">
        <v>25</v>
      </c>
      <c r="H1123" s="5" t="s">
        <v>25</v>
      </c>
      <c r="I1123" s="5" t="s">
        <v>25</v>
      </c>
      <c r="J1123" s="5" t="s">
        <v>25</v>
      </c>
      <c r="K1123" s="7" t="str">
        <f>VLOOKUP(A1123,Sheet2!$A$2:$R$3432,6,0)</f>
        <v>Suzuki Access 125</v>
      </c>
      <c r="L1123" s="5" t="s">
        <v>25</v>
      </c>
      <c r="M1123" s="7" t="str">
        <f>VLOOKUP(A1123,Sheet2!$A$2:$R$3432,5,0)</f>
        <v>MH14GR8441</v>
      </c>
      <c r="N1123" s="5" t="s">
        <v>25</v>
      </c>
      <c r="O1123" s="5" t="s">
        <v>25</v>
      </c>
      <c r="P1123" s="6" t="s">
        <v>25</v>
      </c>
      <c r="Q1123" s="5" t="s">
        <v>25</v>
      </c>
      <c r="R1123" s="5" t="s">
        <v>25</v>
      </c>
      <c r="S1123" s="5" t="str">
        <f>VLOOKUP(A1123,Sheet2!$A$2:$R$3432,18,0)</f>
        <v>AF211442629</v>
      </c>
      <c r="T1123" s="7" t="str">
        <f>VLOOKUP(A1123,Sheet2!$A$2:$R$3432,17,0)</f>
        <v>MB8DP11AJH8570591</v>
      </c>
    </row>
    <row r="1124" ht="15.75" customHeight="1">
      <c r="A1124" s="3" t="s">
        <v>1147</v>
      </c>
      <c r="B1124" s="4" t="str">
        <f>VLOOKUP(A1124,Sheet2!$A$2:$R$3432,2,0)</f>
        <v>2025-01-12 20:51:33</v>
      </c>
      <c r="C1124" s="5" t="s">
        <v>25</v>
      </c>
      <c r="D1124" s="6" t="s">
        <v>25</v>
      </c>
      <c r="E1124" s="7">
        <f>VLOOKUP(A1124,Sheet2!$A$2:$R$3432,4,0)</f>
        <v>8825057720</v>
      </c>
      <c r="F1124" s="7" t="str">
        <f>VLOOKUP(A1124,Sheet2!$A$2:$R$3432,3,0)</f>
        <v>ADITYA </v>
      </c>
      <c r="G1124" s="5" t="s">
        <v>25</v>
      </c>
      <c r="H1124" s="5" t="s">
        <v>25</v>
      </c>
      <c r="I1124" s="5" t="s">
        <v>25</v>
      </c>
      <c r="J1124" s="5" t="s">
        <v>25</v>
      </c>
      <c r="K1124" s="7" t="str">
        <f>VLOOKUP(A1124,Sheet2!$A$2:$R$3432,6,0)</f>
        <v>Bajaj Pulsar N160</v>
      </c>
      <c r="L1124" s="5" t="s">
        <v>25</v>
      </c>
      <c r="M1124" s="7" t="str">
        <f>VLOOKUP(A1124,Sheet2!$A$2:$R$3432,5,0)</f>
        <v>MH12WS2611</v>
      </c>
      <c r="N1124" s="5" t="s">
        <v>25</v>
      </c>
      <c r="O1124" s="5" t="s">
        <v>25</v>
      </c>
      <c r="P1124" s="6" t="s">
        <v>25</v>
      </c>
      <c r="Q1124" s="5" t="s">
        <v>25</v>
      </c>
      <c r="R1124" s="5" t="s">
        <v>25</v>
      </c>
      <c r="S1124" s="5" t="str">
        <f>VLOOKUP(A1124,Sheet2!$A$2:$R$3432,18,0)</f>
        <v>PDXCRM73449</v>
      </c>
      <c r="T1124" s="7" t="str">
        <f>VLOOKUP(A1124,Sheet2!$A$2:$R$3432,17,0)</f>
        <v>MD2B54DX8CN2930</v>
      </c>
    </row>
    <row r="1125" ht="15.75" customHeight="1">
      <c r="A1125" s="3" t="s">
        <v>1148</v>
      </c>
      <c r="B1125" s="4" t="str">
        <f>VLOOKUP(A1125,Sheet2!$A$2:$R$3432,2,0)</f>
        <v>2025-01-12 20:54:55</v>
      </c>
      <c r="C1125" s="5" t="s">
        <v>25</v>
      </c>
      <c r="D1125" s="6" t="s">
        <v>25</v>
      </c>
      <c r="E1125" s="7">
        <f>VLOOKUP(A1125,Sheet2!$A$2:$R$3432,4,0)</f>
        <v>9822246694</v>
      </c>
      <c r="F1125" s="7" t="str">
        <f>VLOOKUP(A1125,Sheet2!$A$2:$R$3432,3,0)</f>
        <v>ATUL</v>
      </c>
      <c r="G1125" s="5" t="s">
        <v>25</v>
      </c>
      <c r="H1125" s="5" t="s">
        <v>25</v>
      </c>
      <c r="I1125" s="5" t="s">
        <v>25</v>
      </c>
      <c r="J1125" s="5" t="s">
        <v>25</v>
      </c>
      <c r="K1125" s="7" t="str">
        <f>VLOOKUP(A1125,Sheet2!$A$2:$R$3432,6,0)</f>
        <v>Honda Twister </v>
      </c>
      <c r="L1125" s="5" t="s">
        <v>25</v>
      </c>
      <c r="M1125" s="7" t="str">
        <f>VLOOKUP(A1125,Sheet2!$A$2:$R$3432,5,0)</f>
        <v>MH12GH8988</v>
      </c>
      <c r="N1125" s="5" t="s">
        <v>25</v>
      </c>
      <c r="O1125" s="5" t="s">
        <v>25</v>
      </c>
      <c r="P1125" s="6" t="s">
        <v>25</v>
      </c>
      <c r="Q1125" s="5" t="s">
        <v>25</v>
      </c>
      <c r="R1125" s="5" t="s">
        <v>25</v>
      </c>
      <c r="S1125" s="5" t="str">
        <f>VLOOKUP(A1125,Sheet2!$A$2:$R$3432,18,0)</f>
        <v>JC47E0667841</v>
      </c>
      <c r="T1125" s="7" t="str">
        <f>VLOOKUP(A1125,Sheet2!$A$2:$R$3432,17,0)</f>
        <v>ME4JC474FA8022443</v>
      </c>
    </row>
    <row r="1126" ht="15.75" customHeight="1">
      <c r="A1126" s="3" t="s">
        <v>1149</v>
      </c>
      <c r="B1126" s="4" t="str">
        <f>VLOOKUP(A1126,Sheet2!$A$2:$R$3432,2,0)</f>
        <v>2025-01-12 20:56:31</v>
      </c>
      <c r="C1126" s="5" t="s">
        <v>25</v>
      </c>
      <c r="D1126" s="6" t="s">
        <v>25</v>
      </c>
      <c r="E1126" s="7">
        <f>VLOOKUP(A1126,Sheet2!$A$2:$R$3432,4,0)</f>
        <v>8308828687</v>
      </c>
      <c r="F1126" s="7" t="str">
        <f>VLOOKUP(A1126,Sheet2!$A$2:$R$3432,3,0)</f>
        <v>Manoj Bhosle</v>
      </c>
      <c r="G1126" s="5" t="s">
        <v>25</v>
      </c>
      <c r="H1126" s="5" t="s">
        <v>25</v>
      </c>
      <c r="I1126" s="5" t="s">
        <v>25</v>
      </c>
      <c r="J1126" s="5" t="s">
        <v>25</v>
      </c>
      <c r="K1126" s="7" t="str">
        <f>VLOOKUP(A1126,Sheet2!$A$2:$R$3432,6,0)</f>
        <v>Honda Unicorn </v>
      </c>
      <c r="L1126" s="5" t="s">
        <v>25</v>
      </c>
      <c r="M1126" s="7" t="str">
        <f>VLOOKUP(A1126,Sheet2!$A$2:$R$3432,5,0)</f>
        <v>MH20FH7624</v>
      </c>
      <c r="N1126" s="5" t="s">
        <v>25</v>
      </c>
      <c r="O1126" s="5" t="s">
        <v>25</v>
      </c>
      <c r="P1126" s="6" t="s">
        <v>25</v>
      </c>
      <c r="Q1126" s="5" t="s">
        <v>25</v>
      </c>
      <c r="R1126" s="5" t="s">
        <v>25</v>
      </c>
      <c r="S1126" s="7" t="str">
        <f>VLOOKUP(A1126,Sheet2!$A$2:$R$3432,18,0)</f>
        <v/>
      </c>
      <c r="T1126" s="7" t="str">
        <f>VLOOKUP(A1126,Sheet2!$A$2:$R$3432,17,0)</f>
        <v/>
      </c>
    </row>
    <row r="1127" ht="15.75" customHeight="1">
      <c r="A1127" s="3" t="s">
        <v>1150</v>
      </c>
      <c r="B1127" s="4" t="str">
        <f>VLOOKUP(A1127,Sheet2!$A$2:$R$3432,2,0)</f>
        <v>2025-01-12 20:59:36</v>
      </c>
      <c r="C1127" s="5" t="s">
        <v>25</v>
      </c>
      <c r="D1127" s="6" t="s">
        <v>25</v>
      </c>
      <c r="E1127" s="7">
        <f>VLOOKUP(A1127,Sheet2!$A$2:$R$3432,4,0)</f>
        <v>9175805081</v>
      </c>
      <c r="F1127" s="7" t="str">
        <f>VLOOKUP(A1127,Sheet2!$A$2:$R$3432,3,0)</f>
        <v>Rajesh Shikhare</v>
      </c>
      <c r="G1127" s="5" t="s">
        <v>25</v>
      </c>
      <c r="H1127" s="5" t="s">
        <v>25</v>
      </c>
      <c r="I1127" s="5" t="s">
        <v>25</v>
      </c>
      <c r="J1127" s="5" t="s">
        <v>25</v>
      </c>
      <c r="K1127" s="7" t="str">
        <f>VLOOKUP(A1127,Sheet2!$A$2:$R$3432,6,0)</f>
        <v>TVS Apache RTR 160</v>
      </c>
      <c r="L1127" s="5" t="s">
        <v>25</v>
      </c>
      <c r="M1127" s="7" t="str">
        <f>VLOOKUP(A1127,Sheet2!$A$2:$R$3432,5,0)</f>
        <v>MH14HY2444</v>
      </c>
      <c r="N1127" s="5" t="s">
        <v>25</v>
      </c>
      <c r="O1127" s="5" t="s">
        <v>25</v>
      </c>
      <c r="P1127" s="6" t="s">
        <v>25</v>
      </c>
      <c r="Q1127" s="5" t="s">
        <v>25</v>
      </c>
      <c r="R1127" s="5" t="s">
        <v>25</v>
      </c>
      <c r="S1127" s="5" t="str">
        <f>VLOOKUP(A1127,Sheet2!$A$2:$R$3432,18,0)</f>
        <v>CE71K2701621</v>
      </c>
      <c r="T1127" s="7" t="str">
        <f>VLOOKUP(A1127,Sheet2!$A$2:$R$3432,17,0)</f>
        <v>MD637CE79K2L6177</v>
      </c>
    </row>
    <row r="1128" ht="15.75" customHeight="1">
      <c r="A1128" s="3" t="s">
        <v>1151</v>
      </c>
      <c r="B1128" s="4" t="str">
        <f>VLOOKUP(A1128,Sheet2!$A$2:$R$3432,2,0)</f>
        <v>2025-01-12 20:59:11</v>
      </c>
      <c r="C1128" s="5" t="s">
        <v>25</v>
      </c>
      <c r="D1128" s="6" t="s">
        <v>25</v>
      </c>
      <c r="E1128" s="7">
        <f>VLOOKUP(A1128,Sheet2!$A$2:$R$3432,4,0)</f>
        <v>8668452345</v>
      </c>
      <c r="F1128" s="7" t="str">
        <f>VLOOKUP(A1128,Sheet2!$A$2:$R$3432,3,0)</f>
        <v>Kunal Kamgale</v>
      </c>
      <c r="G1128" s="5" t="s">
        <v>25</v>
      </c>
      <c r="H1128" s="5" t="s">
        <v>25</v>
      </c>
      <c r="I1128" s="5" t="s">
        <v>25</v>
      </c>
      <c r="J1128" s="5" t="s">
        <v>25</v>
      </c>
      <c r="K1128" s="7" t="str">
        <f>VLOOKUP(A1128,Sheet2!$A$2:$R$3432,6,0)</f>
        <v>Suzuki Gixxer 250 SF</v>
      </c>
      <c r="L1128" s="5" t="s">
        <v>25</v>
      </c>
      <c r="M1128" s="7" t="str">
        <f>VLOOKUP(A1128,Sheet2!$A$2:$R$3432,5,0)</f>
        <v>MH13DZ2926</v>
      </c>
      <c r="N1128" s="5" t="s">
        <v>25</v>
      </c>
      <c r="O1128" s="5" t="s">
        <v>25</v>
      </c>
      <c r="P1128" s="6" t="s">
        <v>25</v>
      </c>
      <c r="Q1128" s="5" t="s">
        <v>25</v>
      </c>
      <c r="R1128" s="5" t="s">
        <v>25</v>
      </c>
      <c r="S1128" s="5" t="str">
        <f>VLOOKUP(A1128,Sheet2!$A$2:$R$3432,18,0)</f>
        <v>EJA1162198</v>
      </c>
      <c r="T1128" s="7" t="str">
        <f>VLOOKUP(A1128,Sheet2!$A$2:$R$3432,17,0)</f>
        <v>MB8ED22JHN8105352</v>
      </c>
    </row>
    <row r="1129" ht="15.75" customHeight="1">
      <c r="A1129" s="3" t="s">
        <v>1152</v>
      </c>
      <c r="B1129" s="4" t="str">
        <f>VLOOKUP(A1129,Sheet2!$A$2:$R$3432,2,0)</f>
        <v>2025-01-12 21:00:36</v>
      </c>
      <c r="C1129" s="5" t="s">
        <v>25</v>
      </c>
      <c r="D1129" s="6" t="s">
        <v>25</v>
      </c>
      <c r="E1129" s="7">
        <f>VLOOKUP(A1129,Sheet2!$A$2:$R$3432,4,0)</f>
        <v>9404727535</v>
      </c>
      <c r="F1129" s="7" t="str">
        <f>VLOOKUP(A1129,Sheet2!$A$2:$R$3432,3,0)</f>
        <v>Aniket Chaudhary </v>
      </c>
      <c r="G1129" s="5" t="s">
        <v>25</v>
      </c>
      <c r="H1129" s="5" t="s">
        <v>25</v>
      </c>
      <c r="I1129" s="5" t="s">
        <v>25</v>
      </c>
      <c r="J1129" s="5" t="s">
        <v>25</v>
      </c>
      <c r="K1129" s="7" t="str">
        <f>VLOOKUP(A1129,Sheet2!$A$2:$R$3432,6,0)</f>
        <v>Hero Passion </v>
      </c>
      <c r="L1129" s="5" t="s">
        <v>25</v>
      </c>
      <c r="M1129" s="7" t="str">
        <f>VLOOKUP(A1129,Sheet2!$A$2:$R$3432,5,0)</f>
        <v>MH12CQ9757</v>
      </c>
      <c r="N1129" s="5" t="s">
        <v>25</v>
      </c>
      <c r="O1129" s="5" t="s">
        <v>25</v>
      </c>
      <c r="P1129" s="6" t="s">
        <v>25</v>
      </c>
      <c r="Q1129" s="5" t="s">
        <v>25</v>
      </c>
      <c r="R1129" s="5" t="s">
        <v>25</v>
      </c>
      <c r="S1129" s="7" t="str">
        <f>VLOOKUP(A1129,Sheet2!$A$2:$R$3432,18,0)</f>
        <v/>
      </c>
      <c r="T1129" s="7" t="str">
        <f>VLOOKUP(A1129,Sheet2!$A$2:$R$3432,17,0)</f>
        <v/>
      </c>
    </row>
    <row r="1130" ht="15.75" customHeight="1">
      <c r="A1130" s="3" t="s">
        <v>1153</v>
      </c>
      <c r="B1130" s="4" t="str">
        <f>VLOOKUP(A1130,Sheet2!$A$2:$R$3432,2,0)</f>
        <v>2025-01-12 12:11:16</v>
      </c>
      <c r="C1130" s="5" t="s">
        <v>25</v>
      </c>
      <c r="D1130" s="6" t="s">
        <v>25</v>
      </c>
      <c r="E1130" s="7">
        <f>VLOOKUP(A1130,Sheet2!$A$2:$R$3432,4,0)</f>
        <v>9975491991</v>
      </c>
      <c r="F1130" s="7" t="str">
        <f>VLOOKUP(A1130,Sheet2!$A$2:$R$3432,3,0)</f>
        <v>Borikar</v>
      </c>
      <c r="G1130" s="5" t="s">
        <v>25</v>
      </c>
      <c r="H1130" s="5" t="s">
        <v>25</v>
      </c>
      <c r="I1130" s="5" t="s">
        <v>25</v>
      </c>
      <c r="J1130" s="5" t="s">
        <v>25</v>
      </c>
      <c r="K1130" s="7" t="str">
        <f>VLOOKUP(A1130,Sheet2!$A$2:$R$3432,6,0)</f>
        <v>TVS Jupiter </v>
      </c>
      <c r="L1130" s="5" t="s">
        <v>25</v>
      </c>
      <c r="M1130" s="7" t="str">
        <f>VLOOKUP(A1130,Sheet2!$A$2:$R$3432,5,0)</f>
        <v>MH14ER5886</v>
      </c>
      <c r="N1130" s="5" t="s">
        <v>25</v>
      </c>
      <c r="O1130" s="5" t="s">
        <v>25</v>
      </c>
      <c r="P1130" s="6" t="s">
        <v>25</v>
      </c>
      <c r="Q1130" s="5" t="s">
        <v>25</v>
      </c>
      <c r="R1130" s="5" t="s">
        <v>25</v>
      </c>
      <c r="S1130" s="5" t="str">
        <f>VLOOKUP(A1130,Sheet2!$A$2:$R$3432,18,0)</f>
        <v>BG4LE1306115</v>
      </c>
      <c r="T1130" s="7" t="str">
        <f>VLOOKUP(A1130,Sheet2!$A$2:$R$3432,17,0)</f>
        <v>MD526BG445E1L10277</v>
      </c>
    </row>
    <row r="1131" ht="15.75" customHeight="1">
      <c r="A1131" s="3" t="s">
        <v>1154</v>
      </c>
      <c r="B1131" s="4" t="str">
        <f>VLOOKUP(A1131,Sheet2!$A$2:$R$3432,2,0)</f>
        <v>2025-01-30 20:03:51</v>
      </c>
      <c r="C1131" s="5" t="s">
        <v>25</v>
      </c>
      <c r="D1131" s="6" t="s">
        <v>25</v>
      </c>
      <c r="E1131" s="7">
        <f>VLOOKUP(A1131,Sheet2!$A$2:$R$3432,4,0)</f>
        <v>8788540666</v>
      </c>
      <c r="F1131" s="7" t="str">
        <f>VLOOKUP(A1131,Sheet2!$A$2:$R$3432,3,0)</f>
        <v>Vaishnav Ramkrishna</v>
      </c>
      <c r="G1131" s="5" t="s">
        <v>25</v>
      </c>
      <c r="H1131" s="5" t="s">
        <v>25</v>
      </c>
      <c r="I1131" s="5" t="s">
        <v>25</v>
      </c>
      <c r="J1131" s="5" t="s">
        <v>25</v>
      </c>
      <c r="K1131" s="7" t="str">
        <f>VLOOKUP(A1131,Sheet2!$A$2:$R$3432,6,0)</f>
        <v>TVS Star City +</v>
      </c>
      <c r="L1131" s="5" t="s">
        <v>25</v>
      </c>
      <c r="M1131" s="7" t="str">
        <f>VLOOKUP(A1131,Sheet2!$A$2:$R$3432,5,0)</f>
        <v>MH41BJ3720</v>
      </c>
      <c r="N1131" s="5" t="s">
        <v>25</v>
      </c>
      <c r="O1131" s="5" t="s">
        <v>25</v>
      </c>
      <c r="P1131" s="6" t="s">
        <v>25</v>
      </c>
      <c r="Q1131" s="5" t="s">
        <v>25</v>
      </c>
      <c r="R1131" s="5" t="s">
        <v>25</v>
      </c>
      <c r="S1131" s="5" t="str">
        <f>VLOOKUP(A1131,Sheet2!$A$2:$R$3432,18,0)</f>
        <v>CK2CN1350943</v>
      </c>
      <c r="T1131" s="7" t="str">
        <f>VLOOKUP(A1131,Sheet2!$A$2:$R$3432,17,0)</f>
        <v>MD625AK23NC50764</v>
      </c>
    </row>
    <row r="1132" ht="15.75" customHeight="1">
      <c r="A1132" s="3" t="s">
        <v>1155</v>
      </c>
      <c r="B1132" s="4" t="str">
        <f>VLOOKUP(A1132,Sheet2!$A$2:$R$3432,2,0)</f>
        <v>2025-01-30 19:29:30</v>
      </c>
      <c r="C1132" s="5" t="s">
        <v>25</v>
      </c>
      <c r="D1132" s="6" t="s">
        <v>25</v>
      </c>
      <c r="E1132" s="7">
        <f>VLOOKUP(A1132,Sheet2!$A$2:$R$3432,4,0)</f>
        <v>9960632050</v>
      </c>
      <c r="F1132" s="7" t="str">
        <f>VLOOKUP(A1132,Sheet2!$A$2:$R$3432,3,0)</f>
        <v>PRANAV MANKAR </v>
      </c>
      <c r="G1132" s="5" t="s">
        <v>25</v>
      </c>
      <c r="H1132" s="5" t="s">
        <v>25</v>
      </c>
      <c r="I1132" s="5" t="s">
        <v>25</v>
      </c>
      <c r="J1132" s="5" t="s">
        <v>25</v>
      </c>
      <c r="K1132" s="7" t="str">
        <f>VLOOKUP(A1132,Sheet2!$A$2:$R$3432,6,0)</f>
        <v>Hero Karizma R</v>
      </c>
      <c r="L1132" s="5" t="s">
        <v>25</v>
      </c>
      <c r="M1132" s="7" t="str">
        <f>VLOOKUP(A1132,Sheet2!$A$2:$R$3432,5,0)</f>
        <v>MH31DE4170</v>
      </c>
      <c r="N1132" s="5" t="s">
        <v>25</v>
      </c>
      <c r="O1132" s="5" t="s">
        <v>25</v>
      </c>
      <c r="P1132" s="6" t="s">
        <v>25</v>
      </c>
      <c r="Q1132" s="5" t="s">
        <v>25</v>
      </c>
      <c r="R1132" s="5" t="s">
        <v>25</v>
      </c>
      <c r="S1132" s="5" t="str">
        <f>VLOOKUP(A1132,Sheet2!$A$2:$R$3432,18,0)</f>
        <v>MC38EAGB00834</v>
      </c>
      <c r="T1132" s="7" t="str">
        <f>VLOOKUP(A1132,Sheet2!$A$2:$R$3432,17,0)</f>
        <v>MBLMC38EBAGBBD865</v>
      </c>
    </row>
    <row r="1133" ht="15.75" customHeight="1">
      <c r="A1133" s="3" t="s">
        <v>1156</v>
      </c>
      <c r="B1133" s="4" t="str">
        <f>VLOOKUP(A1133,Sheet2!$A$2:$R$3432,2,0)</f>
        <v>2025-01-30 19:46:08</v>
      </c>
      <c r="C1133" s="5" t="s">
        <v>25</v>
      </c>
      <c r="D1133" s="6" t="s">
        <v>25</v>
      </c>
      <c r="E1133" s="7">
        <f>VLOOKUP(A1133,Sheet2!$A$2:$R$3432,4,0)</f>
        <v>9822707836</v>
      </c>
      <c r="F1133" s="7" t="str">
        <f>VLOOKUP(A1133,Sheet2!$A$2:$R$3432,3,0)</f>
        <v>Anil</v>
      </c>
      <c r="G1133" s="5" t="s">
        <v>25</v>
      </c>
      <c r="H1133" s="5" t="s">
        <v>25</v>
      </c>
      <c r="I1133" s="5" t="s">
        <v>25</v>
      </c>
      <c r="J1133" s="5" t="s">
        <v>25</v>
      </c>
      <c r="K1133" s="7" t="str">
        <f>VLOOKUP(A1133,Sheet2!$A$2:$R$3432,6,0)</f>
        <v>Honda Activa 110</v>
      </c>
      <c r="L1133" s="5" t="s">
        <v>25</v>
      </c>
      <c r="M1133" s="7" t="str">
        <f>VLOOKUP(A1133,Sheet2!$A$2:$R$3432,5,0)</f>
        <v>MH12JG1485</v>
      </c>
      <c r="N1133" s="5" t="s">
        <v>25</v>
      </c>
      <c r="O1133" s="5" t="s">
        <v>25</v>
      </c>
      <c r="P1133" s="6" t="s">
        <v>25</v>
      </c>
      <c r="Q1133" s="5" t="s">
        <v>25</v>
      </c>
      <c r="R1133" s="5" t="s">
        <v>25</v>
      </c>
      <c r="S1133" s="5" t="str">
        <f>VLOOKUP(A1133,Sheet2!$A$2:$R$3432,18,0)</f>
        <v>JC44E2241313</v>
      </c>
      <c r="T1133" s="7" t="str">
        <f>VLOOKUP(A1133,Sheet2!$A$2:$R$3432,17,0)</f>
        <v>ME4JC447HCG130243</v>
      </c>
    </row>
    <row r="1134" ht="15.75" customHeight="1">
      <c r="A1134" s="3" t="s">
        <v>1157</v>
      </c>
      <c r="B1134" s="4" t="str">
        <f>VLOOKUP(A1134,Sheet2!$A$2:$R$3432,2,0)</f>
        <v>2025-01-30 20:54:33</v>
      </c>
      <c r="C1134" s="5" t="s">
        <v>25</v>
      </c>
      <c r="D1134" s="6" t="s">
        <v>25</v>
      </c>
      <c r="E1134" s="7">
        <f>VLOOKUP(A1134,Sheet2!$A$2:$R$3432,4,0)</f>
        <v>8123584316</v>
      </c>
      <c r="F1134" s="7" t="str">
        <f>VLOOKUP(A1134,Sheet2!$A$2:$R$3432,3,0)</f>
        <v>Someshwar</v>
      </c>
      <c r="G1134" s="5" t="s">
        <v>25</v>
      </c>
      <c r="H1134" s="5" t="s">
        <v>25</v>
      </c>
      <c r="I1134" s="5" t="s">
        <v>25</v>
      </c>
      <c r="J1134" s="5" t="s">
        <v>25</v>
      </c>
      <c r="K1134" s="7" t="str">
        <f>VLOOKUP(A1134,Sheet2!$A$2:$R$3432,6,0)</f>
        <v>Honda Activa 3G</v>
      </c>
      <c r="L1134" s="5" t="s">
        <v>25</v>
      </c>
      <c r="M1134" s="7" t="str">
        <f>VLOOKUP(A1134,Sheet2!$A$2:$R$3432,5,0)</f>
        <v>MH12NC7404</v>
      </c>
      <c r="N1134" s="5" t="s">
        <v>25</v>
      </c>
      <c r="O1134" s="5" t="s">
        <v>25</v>
      </c>
      <c r="P1134" s="6" t="s">
        <v>25</v>
      </c>
      <c r="Q1134" s="5" t="s">
        <v>25</v>
      </c>
      <c r="R1134" s="5" t="s">
        <v>25</v>
      </c>
      <c r="S1134" s="5" t="str">
        <f>VLOOKUP(A1134,Sheet2!$A$2:$R$3432,18,0)</f>
        <v>JF50EU3114428</v>
      </c>
      <c r="T1134" s="7" t="str">
        <f>VLOOKUP(A1134,Sheet2!$A$2:$R$3432,17,0)</f>
        <v>ME4JF505EGU114446</v>
      </c>
    </row>
    <row r="1135" ht="15.75" customHeight="1">
      <c r="A1135" s="3" t="s">
        <v>1158</v>
      </c>
      <c r="B1135" s="4" t="str">
        <f>VLOOKUP(A1135,Sheet2!$A$2:$R$3432,2,0)</f>
        <v>2025-01-30 19:49:14</v>
      </c>
      <c r="C1135" s="5" t="s">
        <v>25</v>
      </c>
      <c r="D1135" s="6" t="s">
        <v>25</v>
      </c>
      <c r="E1135" s="7">
        <f>VLOOKUP(A1135,Sheet2!$A$2:$R$3432,4,0)</f>
        <v>7507353773</v>
      </c>
      <c r="F1135" s="7" t="str">
        <f>VLOOKUP(A1135,Sheet2!$A$2:$R$3432,3,0)</f>
        <v>Dratik Nikalje</v>
      </c>
      <c r="G1135" s="5" t="s">
        <v>25</v>
      </c>
      <c r="H1135" s="5" t="s">
        <v>25</v>
      </c>
      <c r="I1135" s="5" t="s">
        <v>25</v>
      </c>
      <c r="J1135" s="5" t="s">
        <v>25</v>
      </c>
      <c r="K1135" s="7" t="str">
        <f>VLOOKUP(A1135,Sheet2!$A$2:$R$3432,6,0)</f>
        <v>Yamaha FZ V3</v>
      </c>
      <c r="L1135" s="5" t="s">
        <v>25</v>
      </c>
      <c r="M1135" s="7" t="str">
        <f>VLOOKUP(A1135,Sheet2!$A$2:$R$3432,5,0)</f>
        <v>MH21BX3511</v>
      </c>
      <c r="N1135" s="5" t="s">
        <v>25</v>
      </c>
      <c r="O1135" s="5" t="s">
        <v>25</v>
      </c>
      <c r="P1135" s="6" t="s">
        <v>25</v>
      </c>
      <c r="Q1135" s="5" t="s">
        <v>25</v>
      </c>
      <c r="R1135" s="5" t="s">
        <v>25</v>
      </c>
      <c r="S1135" s="5" t="str">
        <f>VLOOKUP(A1135,Sheet2!$A$2:$R$3432,18,0)</f>
        <v>G3N3F0247021</v>
      </c>
      <c r="T1135" s="7" t="str">
        <f>VLOOKUP(A1135,Sheet2!$A$2:$R$3432,17,0)</f>
        <v>ME1RG668ANOO23737</v>
      </c>
    </row>
    <row r="1136" ht="15.75" customHeight="1">
      <c r="A1136" s="3" t="s">
        <v>1159</v>
      </c>
      <c r="B1136" s="4" t="str">
        <f>VLOOKUP(A1136,Sheet2!$A$2:$R$3432,2,0)</f>
        <v>2025-01-30 19:50:08</v>
      </c>
      <c r="C1136" s="5" t="s">
        <v>25</v>
      </c>
      <c r="D1136" s="6" t="s">
        <v>25</v>
      </c>
      <c r="E1136" s="7">
        <f>VLOOKUP(A1136,Sheet2!$A$2:$R$3432,4,0)</f>
        <v>7709128661</v>
      </c>
      <c r="F1136" s="7" t="str">
        <f>VLOOKUP(A1136,Sheet2!$A$2:$R$3432,3,0)</f>
        <v>Om Chandan</v>
      </c>
      <c r="G1136" s="5" t="s">
        <v>25</v>
      </c>
      <c r="H1136" s="5" t="s">
        <v>25</v>
      </c>
      <c r="I1136" s="5" t="s">
        <v>25</v>
      </c>
      <c r="J1136" s="5" t="s">
        <v>25</v>
      </c>
      <c r="K1136" s="7" t="str">
        <f>VLOOKUP(A1136,Sheet2!$A$2:$R$3432,6,0)</f>
        <v>Bajaj Pulsar 125 NS</v>
      </c>
      <c r="L1136" s="5" t="s">
        <v>25</v>
      </c>
      <c r="M1136" s="7" t="str">
        <f>VLOOKUP(A1136,Sheet2!$A$2:$R$3432,5,0)</f>
        <v>MH14KY4838</v>
      </c>
      <c r="N1136" s="5" t="s">
        <v>25</v>
      </c>
      <c r="O1136" s="5" t="s">
        <v>25</v>
      </c>
      <c r="P1136" s="6" t="s">
        <v>25</v>
      </c>
      <c r="Q1136" s="5" t="s">
        <v>25</v>
      </c>
      <c r="R1136" s="5" t="s">
        <v>25</v>
      </c>
      <c r="S1136" s="5" t="str">
        <f>VLOOKUP(A1136,Sheet2!$A$2:$R$3432,18,0)</f>
        <v>JEXCJE05Z155</v>
      </c>
      <c r="T1136" s="7" t="str">
        <f>VLOOKUP(A1136,Sheet2!$A$2:$R$3432,17,0)</f>
        <v>MB02B72B72B72BX1PCB05204</v>
      </c>
    </row>
    <row r="1137" ht="15.75" customHeight="1">
      <c r="A1137" s="3" t="s">
        <v>1160</v>
      </c>
      <c r="B1137" s="4" t="str">
        <f>VLOOKUP(A1137,Sheet2!$A$2:$R$3432,2,0)</f>
        <v>2025-01-30 19:57:44</v>
      </c>
      <c r="C1137" s="5" t="s">
        <v>25</v>
      </c>
      <c r="D1137" s="6" t="s">
        <v>25</v>
      </c>
      <c r="E1137" s="7">
        <f>VLOOKUP(A1137,Sheet2!$A$2:$R$3432,4,0)</f>
        <v>7083675499</v>
      </c>
      <c r="F1137" s="7" t="str">
        <f>VLOOKUP(A1137,Sheet2!$A$2:$R$3432,3,0)</f>
        <v>Desmukh</v>
      </c>
      <c r="G1137" s="5" t="s">
        <v>25</v>
      </c>
      <c r="H1137" s="5" t="s">
        <v>25</v>
      </c>
      <c r="I1137" s="5" t="s">
        <v>25</v>
      </c>
      <c r="J1137" s="5" t="s">
        <v>25</v>
      </c>
      <c r="K1137" s="7" t="str">
        <f>VLOOKUP(A1137,Sheet2!$A$2:$R$3432,6,0)</f>
        <v>Hero Pleasure </v>
      </c>
      <c r="L1137" s="5" t="s">
        <v>25</v>
      </c>
      <c r="M1137" s="7" t="str">
        <f>VLOOKUP(A1137,Sheet2!$A$2:$R$3432,5,0)</f>
        <v>MH14CH7195</v>
      </c>
      <c r="N1137" s="5" t="s">
        <v>25</v>
      </c>
      <c r="O1137" s="5" t="s">
        <v>25</v>
      </c>
      <c r="P1137" s="6" t="s">
        <v>25</v>
      </c>
      <c r="Q1137" s="5" t="s">
        <v>25</v>
      </c>
      <c r="R1137" s="5" t="s">
        <v>25</v>
      </c>
      <c r="S1137" s="5" t="str">
        <f>VLOOKUP(A1137,Sheet2!$A$2:$R$3432,18,0)</f>
        <v>JF16EB8EK28496</v>
      </c>
      <c r="T1137" s="7" t="str">
        <f>VLOOKUP(A1137,Sheet2!$A$2:$R$3432,17,0)</f>
        <v>MBLJF16EDAGK15515</v>
      </c>
    </row>
    <row r="1138" ht="15.75" customHeight="1">
      <c r="A1138" s="3" t="s">
        <v>1161</v>
      </c>
      <c r="B1138" s="4" t="str">
        <f>VLOOKUP(A1138,Sheet2!$A$2:$R$3432,2,0)</f>
        <v>2025-01-30 19:51:35</v>
      </c>
      <c r="C1138" s="5" t="s">
        <v>25</v>
      </c>
      <c r="D1138" s="6" t="s">
        <v>25</v>
      </c>
      <c r="E1138" s="7">
        <f>VLOOKUP(A1138,Sheet2!$A$2:$R$3432,4,0)</f>
        <v>7841091808</v>
      </c>
      <c r="F1138" s="7" t="str">
        <f>VLOOKUP(A1138,Sheet2!$A$2:$R$3432,3,0)</f>
        <v>VARDHAN</v>
      </c>
      <c r="G1138" s="5" t="s">
        <v>25</v>
      </c>
      <c r="H1138" s="5" t="s">
        <v>25</v>
      </c>
      <c r="I1138" s="5" t="s">
        <v>25</v>
      </c>
      <c r="J1138" s="5" t="s">
        <v>25</v>
      </c>
      <c r="K1138" s="7" t="str">
        <f>VLOOKUP(A1138,Sheet2!$A$2:$R$3432,6,0)</f>
        <v>TVS Jupiter </v>
      </c>
      <c r="L1138" s="5" t="s">
        <v>25</v>
      </c>
      <c r="M1138" s="7" t="str">
        <f>VLOOKUP(A1138,Sheet2!$A$2:$R$3432,5,0)</f>
        <v>MH25AM2859</v>
      </c>
      <c r="N1138" s="5" t="s">
        <v>25</v>
      </c>
      <c r="O1138" s="5" t="s">
        <v>25</v>
      </c>
      <c r="P1138" s="6" t="s">
        <v>25</v>
      </c>
      <c r="Q1138" s="5" t="s">
        <v>25</v>
      </c>
      <c r="R1138" s="5" t="s">
        <v>25</v>
      </c>
      <c r="S1138" s="7" t="str">
        <f>VLOOKUP(A1138,Sheet2!$A$2:$R$3432,18,0)</f>
        <v/>
      </c>
      <c r="T1138" s="7" t="str">
        <f>VLOOKUP(A1138,Sheet2!$A$2:$R$3432,17,0)</f>
        <v/>
      </c>
    </row>
    <row r="1139" ht="15.75" customHeight="1">
      <c r="A1139" s="3" t="s">
        <v>1162</v>
      </c>
      <c r="B1139" s="4" t="str">
        <f>VLOOKUP(A1139,Sheet2!$A$2:$R$3432,2,0)</f>
        <v>2025-01-30 19:53:31</v>
      </c>
      <c r="C1139" s="5" t="s">
        <v>25</v>
      </c>
      <c r="D1139" s="6" t="s">
        <v>25</v>
      </c>
      <c r="E1139" s="7">
        <f>VLOOKUP(A1139,Sheet2!$A$2:$R$3432,4,0)</f>
        <v>8149332257</v>
      </c>
      <c r="F1139" s="7" t="str">
        <f>VLOOKUP(A1139,Sheet2!$A$2:$R$3432,3,0)</f>
        <v>Vishwas Patil</v>
      </c>
      <c r="G1139" s="5" t="s">
        <v>25</v>
      </c>
      <c r="H1139" s="5" t="s">
        <v>25</v>
      </c>
      <c r="I1139" s="5" t="s">
        <v>25</v>
      </c>
      <c r="J1139" s="5" t="s">
        <v>25</v>
      </c>
      <c r="K1139" s="7" t="str">
        <f>VLOOKUP(A1139,Sheet2!$A$2:$R$3432,6,0)</f>
        <v>Honda Trigger </v>
      </c>
      <c r="L1139" s="5" t="s">
        <v>25</v>
      </c>
      <c r="M1139" s="7" t="str">
        <f>VLOOKUP(A1139,Sheet2!$A$2:$R$3432,5,0)</f>
        <v>MH19BW7959</v>
      </c>
      <c r="N1139" s="5" t="s">
        <v>25</v>
      </c>
      <c r="O1139" s="5" t="s">
        <v>25</v>
      </c>
      <c r="P1139" s="6" t="s">
        <v>25</v>
      </c>
      <c r="Q1139" s="5" t="s">
        <v>25</v>
      </c>
      <c r="R1139" s="5" t="s">
        <v>25</v>
      </c>
      <c r="S1139" s="5" t="str">
        <f>VLOOKUP(A1139,Sheet2!$A$2:$R$3432,18,0)</f>
        <v>KC19E80024908</v>
      </c>
      <c r="T1139" s="7" t="str">
        <f>VLOOKUP(A1139,Sheet2!$A$2:$R$3432,17,0)</f>
        <v>ME4KC191KD8018049</v>
      </c>
    </row>
    <row r="1140" ht="15.75" customHeight="1">
      <c r="A1140" s="3" t="s">
        <v>1163</v>
      </c>
      <c r="B1140" s="4" t="str">
        <f>VLOOKUP(A1140,Sheet2!$A$2:$R$3432,2,0)</f>
        <v>2025-01-30 19:54:29</v>
      </c>
      <c r="C1140" s="5" t="s">
        <v>25</v>
      </c>
      <c r="D1140" s="6" t="s">
        <v>25</v>
      </c>
      <c r="E1140" s="7">
        <f>VLOOKUP(A1140,Sheet2!$A$2:$R$3432,4,0)</f>
        <v>8668442535</v>
      </c>
      <c r="F1140" s="7" t="str">
        <f>VLOOKUP(A1140,Sheet2!$A$2:$R$3432,3,0)</f>
        <v>Parmar</v>
      </c>
      <c r="G1140" s="5" t="s">
        <v>25</v>
      </c>
      <c r="H1140" s="5" t="s">
        <v>25</v>
      </c>
      <c r="I1140" s="5" t="s">
        <v>25</v>
      </c>
      <c r="J1140" s="5" t="s">
        <v>25</v>
      </c>
      <c r="K1140" s="7" t="str">
        <f>VLOOKUP(A1140,Sheet2!$A$2:$R$3432,6,0)</f>
        <v>TVS Jupiter </v>
      </c>
      <c r="L1140" s="5" t="s">
        <v>25</v>
      </c>
      <c r="M1140" s="7" t="str">
        <f>VLOOKUP(A1140,Sheet2!$A$2:$R$3432,5,0)</f>
        <v>MH14EV2899</v>
      </c>
      <c r="N1140" s="5" t="s">
        <v>25</v>
      </c>
      <c r="O1140" s="5" t="s">
        <v>25</v>
      </c>
      <c r="P1140" s="6" t="s">
        <v>25</v>
      </c>
      <c r="Q1140" s="5" t="s">
        <v>25</v>
      </c>
      <c r="R1140" s="5" t="s">
        <v>25</v>
      </c>
      <c r="S1140" s="5" t="str">
        <f>VLOOKUP(A1140,Sheet2!$A$2:$R$3432,18,0)</f>
        <v>BG4PE1384706</v>
      </c>
      <c r="T1140" s="7" t="str">
        <f>VLOOKUP(A1140,Sheet2!$A$2:$R$3432,17,0)</f>
        <v>MD62BG48E1P92078</v>
      </c>
    </row>
    <row r="1141" ht="15.75" customHeight="1">
      <c r="A1141" s="3" t="s">
        <v>1164</v>
      </c>
      <c r="B1141" s="4" t="str">
        <f>VLOOKUP(A1141,Sheet2!$A$2:$R$3432,2,0)</f>
        <v>2025-01-30 19:56:20</v>
      </c>
      <c r="C1141" s="5" t="s">
        <v>25</v>
      </c>
      <c r="D1141" s="6" t="s">
        <v>25</v>
      </c>
      <c r="E1141" s="7">
        <f>VLOOKUP(A1141,Sheet2!$A$2:$R$3432,4,0)</f>
        <v>8180806160</v>
      </c>
      <c r="F1141" s="7" t="str">
        <f>VLOOKUP(A1141,Sheet2!$A$2:$R$3432,3,0)</f>
        <v>Swapnil </v>
      </c>
      <c r="G1141" s="5" t="s">
        <v>25</v>
      </c>
      <c r="H1141" s="5" t="s">
        <v>25</v>
      </c>
      <c r="I1141" s="5" t="s">
        <v>25</v>
      </c>
      <c r="J1141" s="5" t="s">
        <v>25</v>
      </c>
      <c r="K1141" s="7" t="str">
        <f>VLOOKUP(A1141,Sheet2!$A$2:$R$3432,6,0)</f>
        <v>Honda Hornet </v>
      </c>
      <c r="L1141" s="5" t="s">
        <v>25</v>
      </c>
      <c r="M1141" s="7" t="str">
        <f>VLOOKUP(A1141,Sheet2!$A$2:$R$3432,5,0)</f>
        <v>MH14HF5810</v>
      </c>
      <c r="N1141" s="5" t="s">
        <v>25</v>
      </c>
      <c r="O1141" s="5" t="s">
        <v>25</v>
      </c>
      <c r="P1141" s="6" t="s">
        <v>25</v>
      </c>
      <c r="Q1141" s="5" t="s">
        <v>25</v>
      </c>
      <c r="R1141" s="5" t="s">
        <v>25</v>
      </c>
      <c r="S1141" s="5" t="str">
        <f>VLOOKUP(A1141,Sheet2!$A$2:$R$3432,18,0)</f>
        <v>KC23E85047052</v>
      </c>
      <c r="T1141" s="7" t="str">
        <f>VLOOKUP(A1141,Sheet2!$A$2:$R$3432,17,0)</f>
        <v>ME4KC23GJ801884</v>
      </c>
    </row>
    <row r="1142" ht="15.75" customHeight="1">
      <c r="A1142" s="3" t="s">
        <v>1165</v>
      </c>
      <c r="B1142" s="4" t="str">
        <f>VLOOKUP(A1142,Sheet2!$A$2:$R$3432,2,0)</f>
        <v>2025-01-30 19:59:46</v>
      </c>
      <c r="C1142" s="5" t="s">
        <v>25</v>
      </c>
      <c r="D1142" s="6" t="s">
        <v>25</v>
      </c>
      <c r="E1142" s="7">
        <f>VLOOKUP(A1142,Sheet2!$A$2:$R$3432,4,0)</f>
        <v>9987555184</v>
      </c>
      <c r="F1142" s="7" t="str">
        <f>VLOOKUP(A1142,Sheet2!$A$2:$R$3432,3,0)</f>
        <v>Gaurav Manjarekar</v>
      </c>
      <c r="G1142" s="5" t="s">
        <v>25</v>
      </c>
      <c r="H1142" s="5" t="s">
        <v>25</v>
      </c>
      <c r="I1142" s="5" t="s">
        <v>25</v>
      </c>
      <c r="J1142" s="5" t="s">
        <v>25</v>
      </c>
      <c r="K1142" s="7" t="str">
        <f>VLOOKUP(A1142,Sheet2!$A$2:$R$3432,6,0)</f>
        <v>Yamaha FZ S 2.0</v>
      </c>
      <c r="L1142" s="5" t="s">
        <v>25</v>
      </c>
      <c r="M1142" s="7" t="str">
        <f>VLOOKUP(A1142,Sheet2!$A$2:$R$3432,5,0)</f>
        <v>MH01BX0787</v>
      </c>
      <c r="N1142" s="5" t="s">
        <v>25</v>
      </c>
      <c r="O1142" s="5" t="s">
        <v>25</v>
      </c>
      <c r="P1142" s="6" t="s">
        <v>25</v>
      </c>
      <c r="Q1142" s="5" t="s">
        <v>25</v>
      </c>
      <c r="R1142" s="5" t="s">
        <v>25</v>
      </c>
      <c r="S1142" s="5" t="str">
        <f>VLOOKUP(A1142,Sheet2!$A$2:$R$3432,18,0)</f>
        <v>G3C8E0022347</v>
      </c>
      <c r="T1142" s="7" t="str">
        <f>VLOOKUP(A1142,Sheet2!$A$2:$R$3432,17,0)</f>
        <v>ME1RG0716E0009766</v>
      </c>
    </row>
    <row r="1143" ht="15.75" customHeight="1">
      <c r="A1143" s="3" t="s">
        <v>1166</v>
      </c>
      <c r="B1143" s="4" t="str">
        <f>VLOOKUP(A1143,Sheet2!$A$2:$R$3432,2,0)</f>
        <v>2025-01-30 20:02:50</v>
      </c>
      <c r="C1143" s="5" t="s">
        <v>25</v>
      </c>
      <c r="D1143" s="6" t="s">
        <v>25</v>
      </c>
      <c r="E1143" s="7">
        <f>VLOOKUP(A1143,Sheet2!$A$2:$R$3432,4,0)</f>
        <v>9420777521</v>
      </c>
      <c r="F1143" s="7" t="str">
        <f>VLOOKUP(A1143,Sheet2!$A$2:$R$3432,3,0)</f>
        <v>Sudhir Patil</v>
      </c>
      <c r="G1143" s="5" t="s">
        <v>25</v>
      </c>
      <c r="H1143" s="5" t="s">
        <v>25</v>
      </c>
      <c r="I1143" s="5" t="s">
        <v>25</v>
      </c>
      <c r="J1143" s="5" t="s">
        <v>25</v>
      </c>
      <c r="K1143" s="7" t="str">
        <f>VLOOKUP(A1143,Sheet2!$A$2:$R$3432,6,0)</f>
        <v>TVS Jupiter </v>
      </c>
      <c r="L1143" s="5" t="s">
        <v>25</v>
      </c>
      <c r="M1143" s="7" t="str">
        <f>VLOOKUP(A1143,Sheet2!$A$2:$R$3432,5,0)</f>
        <v>MH14GF1242</v>
      </c>
      <c r="N1143" s="5" t="s">
        <v>25</v>
      </c>
      <c r="O1143" s="5" t="s">
        <v>25</v>
      </c>
      <c r="P1143" s="6" t="s">
        <v>25</v>
      </c>
      <c r="Q1143" s="5" t="s">
        <v>25</v>
      </c>
      <c r="R1143" s="5" t="s">
        <v>25</v>
      </c>
      <c r="S1143" s="5" t="str">
        <f>VLOOKUP(A1143,Sheet2!$A$2:$R$3432,18,0)</f>
        <v>BG4AH1116886</v>
      </c>
      <c r="T1143" s="7" t="str">
        <f>VLOOKUP(A1143,Sheet2!$A$2:$R$3432,17,0)</f>
        <v>MD2A6BG4X41A23783</v>
      </c>
    </row>
    <row r="1144" ht="15.75" customHeight="1">
      <c r="A1144" s="3" t="s">
        <v>1167</v>
      </c>
      <c r="B1144" s="4" t="str">
        <f>VLOOKUP(A1144,Sheet2!$A$2:$R$3432,2,0)</f>
        <v>2025-01-30 20:08:30</v>
      </c>
      <c r="C1144" s="5" t="s">
        <v>25</v>
      </c>
      <c r="D1144" s="6" t="s">
        <v>25</v>
      </c>
      <c r="E1144" s="7">
        <f>VLOOKUP(A1144,Sheet2!$A$2:$R$3432,4,0)</f>
        <v>9922844617</v>
      </c>
      <c r="F1144" s="7" t="str">
        <f>VLOOKUP(A1144,Sheet2!$A$2:$R$3432,3,0)</f>
        <v>Ashish </v>
      </c>
      <c r="G1144" s="5" t="s">
        <v>25</v>
      </c>
      <c r="H1144" s="5" t="s">
        <v>25</v>
      </c>
      <c r="I1144" s="5" t="s">
        <v>25</v>
      </c>
      <c r="J1144" s="5" t="s">
        <v>25</v>
      </c>
      <c r="K1144" s="7" t="str">
        <f>VLOOKUP(A1144,Sheet2!$A$2:$R$3432,6,0)</f>
        <v>Yamaha FZ V3</v>
      </c>
      <c r="L1144" s="5" t="s">
        <v>25</v>
      </c>
      <c r="M1144" s="7" t="str">
        <f>VLOOKUP(A1144,Sheet2!$A$2:$R$3432,5,0)</f>
        <v>MH12VK9414</v>
      </c>
      <c r="N1144" s="5" t="s">
        <v>25</v>
      </c>
      <c r="O1144" s="5" t="s">
        <v>25</v>
      </c>
      <c r="P1144" s="6" t="s">
        <v>25</v>
      </c>
      <c r="Q1144" s="5" t="s">
        <v>25</v>
      </c>
      <c r="R1144" s="5" t="s">
        <v>25</v>
      </c>
      <c r="S1144" s="5" t="str">
        <f>VLOOKUP(A1144,Sheet2!$A$2:$R$3432,18,0)</f>
        <v>G3N3E0298676</v>
      </c>
      <c r="T1144" s="7" t="str">
        <f>VLOOKUP(A1144,Sheet2!$A$2:$R$3432,17,0)</f>
        <v>ME1RG66L490016538</v>
      </c>
    </row>
    <row r="1145" ht="15.75" customHeight="1">
      <c r="A1145" s="3" t="s">
        <v>1168</v>
      </c>
      <c r="B1145" s="4" t="str">
        <f>VLOOKUP(A1145,Sheet2!$A$2:$R$3432,2,0)</f>
        <v>2025-01-30 20:05:16</v>
      </c>
      <c r="C1145" s="5" t="s">
        <v>25</v>
      </c>
      <c r="D1145" s="6" t="s">
        <v>25</v>
      </c>
      <c r="E1145" s="7">
        <f>VLOOKUP(A1145,Sheet2!$A$2:$R$3432,4,0)</f>
        <v>9597600514</v>
      </c>
      <c r="F1145" s="7" t="str">
        <f>VLOOKUP(A1145,Sheet2!$A$2:$R$3432,3,0)</f>
        <v>Suraj </v>
      </c>
      <c r="G1145" s="5" t="s">
        <v>25</v>
      </c>
      <c r="H1145" s="5" t="s">
        <v>25</v>
      </c>
      <c r="I1145" s="5" t="s">
        <v>25</v>
      </c>
      <c r="J1145" s="5" t="s">
        <v>25</v>
      </c>
      <c r="K1145" s="7" t="str">
        <f>VLOOKUP(A1145,Sheet2!$A$2:$R$3432,6,0)</f>
        <v>Honda Activa 125</v>
      </c>
      <c r="L1145" s="5" t="s">
        <v>25</v>
      </c>
      <c r="M1145" s="7" t="str">
        <f>VLOOKUP(A1145,Sheet2!$A$2:$R$3432,5,0)</f>
        <v>MH10DJ0358</v>
      </c>
      <c r="N1145" s="5" t="s">
        <v>25</v>
      </c>
      <c r="O1145" s="5" t="s">
        <v>25</v>
      </c>
      <c r="P1145" s="6" t="s">
        <v>25</v>
      </c>
      <c r="Q1145" s="5" t="s">
        <v>25</v>
      </c>
      <c r="R1145" s="5" t="s">
        <v>25</v>
      </c>
      <c r="S1145" s="5" t="str">
        <f>VLOOKUP(A1145,Sheet2!$A$2:$R$3432,18,0)</f>
        <v>JF49E54012032</v>
      </c>
      <c r="T1145" s="7" t="str">
        <f>VLOOKUP(A1145,Sheet2!$A$2:$R$3432,17,0)</f>
        <v>ME4JF49BLJU022825</v>
      </c>
    </row>
    <row r="1146" ht="15.75" customHeight="1">
      <c r="A1146" s="3" t="s">
        <v>1169</v>
      </c>
      <c r="B1146" s="4" t="str">
        <f>VLOOKUP(A1146,Sheet2!$A$2:$R$3432,2,0)</f>
        <v>2025-01-30 20:07:39</v>
      </c>
      <c r="C1146" s="5" t="s">
        <v>25</v>
      </c>
      <c r="D1146" s="6" t="s">
        <v>25</v>
      </c>
      <c r="E1146" s="7">
        <f>VLOOKUP(A1146,Sheet2!$A$2:$R$3432,4,0)</f>
        <v>7775958359</v>
      </c>
      <c r="F1146" s="7" t="str">
        <f>VLOOKUP(A1146,Sheet2!$A$2:$R$3432,3,0)</f>
        <v>Omkar Kale </v>
      </c>
      <c r="G1146" s="5" t="s">
        <v>25</v>
      </c>
      <c r="H1146" s="5" t="s">
        <v>25</v>
      </c>
      <c r="I1146" s="5" t="s">
        <v>25</v>
      </c>
      <c r="J1146" s="5" t="s">
        <v>25</v>
      </c>
      <c r="K1146" s="7" t="str">
        <f>VLOOKUP(A1146,Sheet2!$A$2:$R$3432,6,0)</f>
        <v>TVS Apache RTR 160</v>
      </c>
      <c r="L1146" s="5" t="s">
        <v>25</v>
      </c>
      <c r="M1146" s="7" t="str">
        <f>VLOOKUP(A1146,Sheet2!$A$2:$R$3432,5,0)</f>
        <v>MH12TW9066</v>
      </c>
      <c r="N1146" s="5" t="s">
        <v>25</v>
      </c>
      <c r="O1146" s="5" t="s">
        <v>25</v>
      </c>
      <c r="P1146" s="6" t="s">
        <v>25</v>
      </c>
      <c r="Q1146" s="5" t="s">
        <v>25</v>
      </c>
      <c r="R1146" s="5" t="s">
        <v>25</v>
      </c>
      <c r="S1146" s="5" t="str">
        <f>VLOOKUP(A1146,Sheet2!$A$2:$R$3432,18,0)</f>
        <v>GE5PM2701961</v>
      </c>
      <c r="T1146" s="7" t="str">
        <f>VLOOKUP(A1146,Sheet2!$A$2:$R$3432,17,0)</f>
        <v>MD637GF56M2P01778</v>
      </c>
    </row>
    <row r="1147" ht="15.75" customHeight="1">
      <c r="A1147" s="3" t="s">
        <v>1170</v>
      </c>
      <c r="B1147" s="4" t="str">
        <f>VLOOKUP(A1147,Sheet2!$A$2:$R$3432,2,0)</f>
        <v>2025-01-30 20:06:08</v>
      </c>
      <c r="C1147" s="5" t="s">
        <v>25</v>
      </c>
      <c r="D1147" s="6" t="s">
        <v>25</v>
      </c>
      <c r="E1147" s="7">
        <f>VLOOKUP(A1147,Sheet2!$A$2:$R$3432,4,0)</f>
        <v>9834479478</v>
      </c>
      <c r="F1147" s="7" t="str">
        <f>VLOOKUP(A1147,Sheet2!$A$2:$R$3432,3,0)</f>
        <v>Sayoni</v>
      </c>
      <c r="G1147" s="5" t="s">
        <v>25</v>
      </c>
      <c r="H1147" s="5" t="s">
        <v>25</v>
      </c>
      <c r="I1147" s="5" t="s">
        <v>25</v>
      </c>
      <c r="J1147" s="5" t="s">
        <v>25</v>
      </c>
      <c r="K1147" s="7" t="str">
        <f>VLOOKUP(A1147,Sheet2!$A$2:$R$3432,6,0)</f>
        <v>Yamaha Fascino 125</v>
      </c>
      <c r="L1147" s="5" t="s">
        <v>25</v>
      </c>
      <c r="M1147" s="7" t="str">
        <f>VLOOKUP(A1147,Sheet2!$A$2:$R$3432,5,0)</f>
        <v>MH45AJ4211</v>
      </c>
      <c r="N1147" s="5" t="s">
        <v>25</v>
      </c>
      <c r="O1147" s="5" t="s">
        <v>25</v>
      </c>
      <c r="P1147" s="6" t="s">
        <v>25</v>
      </c>
      <c r="Q1147" s="5" t="s">
        <v>25</v>
      </c>
      <c r="R1147" s="5" t="s">
        <v>25</v>
      </c>
      <c r="S1147" s="5" t="str">
        <f>VLOOKUP(A1147,Sheet2!$A$2:$R$3432,18,0)</f>
        <v>E5Y3E0545541</v>
      </c>
      <c r="T1147" s="7" t="str">
        <f>VLOOKUP(A1147,Sheet2!$A$2:$R$3432,17,0)</f>
        <v>ME15ED129J022911</v>
      </c>
    </row>
    <row r="1148" ht="15.75" customHeight="1">
      <c r="A1148" s="3" t="s">
        <v>1171</v>
      </c>
      <c r="B1148" s="4" t="str">
        <f>VLOOKUP(A1148,Sheet2!$A$2:$R$3432,2,0)</f>
        <v>2025-01-30 20:10:28</v>
      </c>
      <c r="C1148" s="5" t="s">
        <v>25</v>
      </c>
      <c r="D1148" s="6" t="s">
        <v>25</v>
      </c>
      <c r="E1148" s="7">
        <f>VLOOKUP(A1148,Sheet2!$A$2:$R$3432,4,0)</f>
        <v>9421785433</v>
      </c>
      <c r="F1148" s="7" t="str">
        <f>VLOOKUP(A1148,Sheet2!$A$2:$R$3432,3,0)</f>
        <v>Saad Ahmed</v>
      </c>
      <c r="G1148" s="5" t="s">
        <v>25</v>
      </c>
      <c r="H1148" s="5" t="s">
        <v>25</v>
      </c>
      <c r="I1148" s="5" t="s">
        <v>25</v>
      </c>
      <c r="J1148" s="5" t="s">
        <v>25</v>
      </c>
      <c r="K1148" s="7" t="str">
        <f>VLOOKUP(A1148,Sheet2!$A$2:$R$3432,6,0)</f>
        <v>Royal Enfield Classic  350 Reborn</v>
      </c>
      <c r="L1148" s="5" t="s">
        <v>25</v>
      </c>
      <c r="M1148" s="7" t="str">
        <f>VLOOKUP(A1148,Sheet2!$A$2:$R$3432,5,0)</f>
        <v>MH15HP7467</v>
      </c>
      <c r="N1148" s="5" t="s">
        <v>25</v>
      </c>
      <c r="O1148" s="5" t="s">
        <v>25</v>
      </c>
      <c r="P1148" s="6" t="s">
        <v>25</v>
      </c>
      <c r="Q1148" s="5" t="s">
        <v>25</v>
      </c>
      <c r="R1148" s="5" t="s">
        <v>25</v>
      </c>
      <c r="S1148" s="5" t="str">
        <f>VLOOKUP(A1148,Sheet2!$A$2:$R$3432,18,0)</f>
        <v>J3A5FGM2109874</v>
      </c>
      <c r="T1148" s="7" t="str">
        <f>VLOOKUP(A1148,Sheet2!$A$2:$R$3432,17,0)</f>
        <v>MEBJ3C3FGM2006246</v>
      </c>
    </row>
    <row r="1149" ht="15.75" customHeight="1">
      <c r="A1149" s="3" t="s">
        <v>1172</v>
      </c>
      <c r="B1149" s="4" t="str">
        <f>VLOOKUP(A1149,Sheet2!$A$2:$R$3432,2,0)</f>
        <v>2025-01-30 20:09:31</v>
      </c>
      <c r="C1149" s="5" t="s">
        <v>25</v>
      </c>
      <c r="D1149" s="6" t="s">
        <v>25</v>
      </c>
      <c r="E1149" s="7">
        <f>VLOOKUP(A1149,Sheet2!$A$2:$R$3432,4,0)</f>
        <v>9975649543</v>
      </c>
      <c r="F1149" s="7" t="str">
        <f>VLOOKUP(A1149,Sheet2!$A$2:$R$3432,3,0)</f>
        <v>Mayank Bhati</v>
      </c>
      <c r="G1149" s="5" t="s">
        <v>25</v>
      </c>
      <c r="H1149" s="5" t="s">
        <v>25</v>
      </c>
      <c r="I1149" s="5" t="s">
        <v>25</v>
      </c>
      <c r="J1149" s="5" t="s">
        <v>25</v>
      </c>
      <c r="K1149" s="7" t="str">
        <f>VLOOKUP(A1149,Sheet2!$A$2:$R$3432,6,0)</f>
        <v>Honda Activa 125</v>
      </c>
      <c r="L1149" s="5" t="s">
        <v>25</v>
      </c>
      <c r="M1149" s="7" t="str">
        <f>VLOOKUP(A1149,Sheet2!$A$2:$R$3432,5,0)</f>
        <v>MH14FU7679</v>
      </c>
      <c r="N1149" s="5" t="s">
        <v>25</v>
      </c>
      <c r="O1149" s="5" t="s">
        <v>25</v>
      </c>
      <c r="P1149" s="6" t="s">
        <v>25</v>
      </c>
      <c r="Q1149" s="5" t="s">
        <v>25</v>
      </c>
      <c r="R1149" s="5" t="s">
        <v>25</v>
      </c>
      <c r="S1149" s="5" t="str">
        <f>VLOOKUP(A1149,Sheet2!$A$2:$R$3432,18,0)</f>
        <v>JF45E81293059</v>
      </c>
      <c r="T1149" s="7" t="str">
        <f>VLOOKUP(A1149,Sheet2!$A$2:$R$3432,17,0)</f>
        <v>ME4JF493HG8251009</v>
      </c>
    </row>
    <row r="1150" ht="15.75" customHeight="1">
      <c r="A1150" s="3" t="s">
        <v>1173</v>
      </c>
      <c r="B1150" s="4" t="str">
        <f>VLOOKUP(A1150,Sheet2!$A$2:$R$3432,2,0)</f>
        <v>2025-01-30 20:11:14</v>
      </c>
      <c r="C1150" s="5" t="s">
        <v>25</v>
      </c>
      <c r="D1150" s="6" t="s">
        <v>25</v>
      </c>
      <c r="E1150" s="7">
        <f>VLOOKUP(A1150,Sheet2!$A$2:$R$3432,4,0)</f>
        <v>9158706555</v>
      </c>
      <c r="F1150" s="7" t="str">
        <f>VLOOKUP(A1150,Sheet2!$A$2:$R$3432,3,0)</f>
        <v>Ravindra Shinde</v>
      </c>
      <c r="G1150" s="5" t="s">
        <v>25</v>
      </c>
      <c r="H1150" s="5" t="s">
        <v>25</v>
      </c>
      <c r="I1150" s="5" t="s">
        <v>25</v>
      </c>
      <c r="J1150" s="5" t="s">
        <v>25</v>
      </c>
      <c r="K1150" s="7" t="str">
        <f>VLOOKUP(A1150,Sheet2!$A$2:$R$3432,6,0)</f>
        <v>Honda Activa HET</v>
      </c>
      <c r="L1150" s="5" t="s">
        <v>25</v>
      </c>
      <c r="M1150" s="7" t="str">
        <f>VLOOKUP(A1150,Sheet2!$A$2:$R$3432,5,0)</f>
        <v>MH14DY6790</v>
      </c>
      <c r="N1150" s="5" t="s">
        <v>25</v>
      </c>
      <c r="O1150" s="5" t="s">
        <v>25</v>
      </c>
      <c r="P1150" s="6" t="s">
        <v>25</v>
      </c>
      <c r="Q1150" s="5" t="s">
        <v>25</v>
      </c>
      <c r="R1150" s="5" t="s">
        <v>25</v>
      </c>
      <c r="S1150" s="5" t="str">
        <f>VLOOKUP(A1150,Sheet2!$A$2:$R$3432,18,0)</f>
        <v>JF50E70236491</v>
      </c>
      <c r="T1150" s="7" t="str">
        <f>VLOOKUP(A1150,Sheet2!$A$2:$R$3432,17,0)</f>
        <v>ME4JF501E07336433</v>
      </c>
    </row>
    <row r="1151" ht="15.75" customHeight="1">
      <c r="A1151" s="3" t="s">
        <v>1174</v>
      </c>
      <c r="B1151" s="4" t="str">
        <f>VLOOKUP(A1151,Sheet2!$A$2:$R$3432,2,0)</f>
        <v>2025-01-30 20:14:17</v>
      </c>
      <c r="C1151" s="5" t="s">
        <v>25</v>
      </c>
      <c r="D1151" s="6" t="s">
        <v>25</v>
      </c>
      <c r="E1151" s="7">
        <f>VLOOKUP(A1151,Sheet2!$A$2:$R$3432,4,0)</f>
        <v>9689780277</v>
      </c>
      <c r="F1151" s="7" t="str">
        <f>VLOOKUP(A1151,Sheet2!$A$2:$R$3432,3,0)</f>
        <v>Aditya</v>
      </c>
      <c r="G1151" s="5" t="s">
        <v>25</v>
      </c>
      <c r="H1151" s="5" t="s">
        <v>25</v>
      </c>
      <c r="I1151" s="5" t="s">
        <v>25</v>
      </c>
      <c r="J1151" s="5" t="s">
        <v>25</v>
      </c>
      <c r="K1151" s="7" t="str">
        <f>VLOOKUP(A1151,Sheet2!$A$2:$R$3432,6,0)</f>
        <v>Honda Shine </v>
      </c>
      <c r="L1151" s="5" t="s">
        <v>25</v>
      </c>
      <c r="M1151" s="7" t="str">
        <f>VLOOKUP(A1151,Sheet2!$A$2:$R$3432,5,0)</f>
        <v>MH16AL6077</v>
      </c>
      <c r="N1151" s="5" t="s">
        <v>25</v>
      </c>
      <c r="O1151" s="5" t="s">
        <v>25</v>
      </c>
      <c r="P1151" s="6" t="s">
        <v>25</v>
      </c>
      <c r="Q1151" s="5" t="s">
        <v>25</v>
      </c>
      <c r="R1151" s="5" t="s">
        <v>25</v>
      </c>
      <c r="S1151" s="7" t="str">
        <f>VLOOKUP(A1151,Sheet2!$A$2:$R$3432,18,0)</f>
        <v/>
      </c>
      <c r="T1151" s="7" t="str">
        <f>VLOOKUP(A1151,Sheet2!$A$2:$R$3432,17,0)</f>
        <v/>
      </c>
    </row>
    <row r="1152" ht="15.75" customHeight="1">
      <c r="A1152" s="3" t="s">
        <v>1175</v>
      </c>
      <c r="B1152" s="4" t="str">
        <f>VLOOKUP(A1152,Sheet2!$A$2:$R$3432,2,0)</f>
        <v>2025-01-31 11:25:07</v>
      </c>
      <c r="C1152" s="5" t="s">
        <v>25</v>
      </c>
      <c r="D1152" s="6" t="s">
        <v>25</v>
      </c>
      <c r="E1152" s="7">
        <f>VLOOKUP(A1152,Sheet2!$A$2:$R$3432,4,0)</f>
        <v>7507082611</v>
      </c>
      <c r="F1152" s="7" t="str">
        <f>VLOOKUP(A1152,Sheet2!$A$2:$R$3432,3,0)</f>
        <v>Rohit</v>
      </c>
      <c r="G1152" s="5" t="s">
        <v>25</v>
      </c>
      <c r="H1152" s="5" t="s">
        <v>25</v>
      </c>
      <c r="I1152" s="5" t="s">
        <v>25</v>
      </c>
      <c r="J1152" s="5" t="s">
        <v>25</v>
      </c>
      <c r="K1152" s="7" t="str">
        <f>VLOOKUP(A1152,Sheet2!$A$2:$R$3432,6,0)</f>
        <v>TVS Jupiter No Data</v>
      </c>
      <c r="L1152" s="5" t="s">
        <v>25</v>
      </c>
      <c r="M1152" s="7" t="str">
        <f>VLOOKUP(A1152,Sheet2!$A$2:$R$3432,5,0)</f>
        <v>MH14HN4759</v>
      </c>
      <c r="N1152" s="5" t="s">
        <v>25</v>
      </c>
      <c r="O1152" s="5" t="s">
        <v>25</v>
      </c>
      <c r="P1152" s="6" t="s">
        <v>25</v>
      </c>
      <c r="Q1152" s="5" t="s">
        <v>25</v>
      </c>
      <c r="R1152" s="5" t="s">
        <v>25</v>
      </c>
      <c r="S1152" s="5" t="str">
        <f>VLOOKUP(A1152,Sheet2!$A$2:$R$3432,18,0)</f>
        <v>EG4BK1007938</v>
      </c>
      <c r="T1152" s="7" t="str">
        <f>VLOOKUP(A1152,Sheet2!$A$2:$R$3432,17,0)</f>
        <v>MD626EG41K1B13381</v>
      </c>
    </row>
    <row r="1153" ht="15.75" customHeight="1">
      <c r="A1153" s="3" t="s">
        <v>1176</v>
      </c>
      <c r="B1153" s="4" t="str">
        <f>VLOOKUP(A1153,Sheet2!$A$2:$R$3432,2,0)</f>
        <v>2025-01-31 17:17:07</v>
      </c>
      <c r="C1153" s="5" t="s">
        <v>25</v>
      </c>
      <c r="D1153" s="6" t="s">
        <v>25</v>
      </c>
      <c r="E1153" s="7">
        <f>VLOOKUP(A1153,Sheet2!$A$2:$R$3432,4,0)</f>
        <v>9850079713</v>
      </c>
      <c r="F1153" s="7" t="str">
        <f>VLOOKUP(A1153,Sheet2!$A$2:$R$3432,3,0)</f>
        <v>Shrikant</v>
      </c>
      <c r="G1153" s="5" t="s">
        <v>25</v>
      </c>
      <c r="H1153" s="5" t="s">
        <v>25</v>
      </c>
      <c r="I1153" s="5" t="s">
        <v>25</v>
      </c>
      <c r="J1153" s="5" t="s">
        <v>25</v>
      </c>
      <c r="K1153" s="7" t="str">
        <f>VLOOKUP(A1153,Sheet2!$A$2:$R$3432,6,0)</f>
        <v>Honda Activa 125</v>
      </c>
      <c r="L1153" s="5" t="s">
        <v>25</v>
      </c>
      <c r="M1153" s="7" t="str">
        <f>VLOOKUP(A1153,Sheet2!$A$2:$R$3432,5,0)</f>
        <v>MH48AE7186</v>
      </c>
      <c r="N1153" s="5" t="s">
        <v>25</v>
      </c>
      <c r="O1153" s="5" t="s">
        <v>25</v>
      </c>
      <c r="P1153" s="6" t="s">
        <v>25</v>
      </c>
      <c r="Q1153" s="5" t="s">
        <v>25</v>
      </c>
      <c r="R1153" s="5" t="s">
        <v>25</v>
      </c>
      <c r="S1153" s="7" t="str">
        <f>VLOOKUP(A1153,Sheet2!$A$2:$R$3432,18,0)</f>
        <v/>
      </c>
      <c r="T1153" s="7" t="str">
        <f>VLOOKUP(A1153,Sheet2!$A$2:$R$3432,17,0)</f>
        <v/>
      </c>
    </row>
    <row r="1154" ht="15.75" customHeight="1">
      <c r="A1154" s="3" t="s">
        <v>1177</v>
      </c>
      <c r="B1154" s="4" t="str">
        <f>VLOOKUP(A1154,Sheet2!$A$2:$R$3432,2,0)</f>
        <v>2025-01-31 17:18:04</v>
      </c>
      <c r="C1154" s="5" t="s">
        <v>25</v>
      </c>
      <c r="D1154" s="6" t="s">
        <v>25</v>
      </c>
      <c r="E1154" s="7">
        <f>VLOOKUP(A1154,Sheet2!$A$2:$R$3432,4,0)</f>
        <v>7020218470</v>
      </c>
      <c r="F1154" s="7" t="str">
        <f>VLOOKUP(A1154,Sheet2!$A$2:$R$3432,3,0)</f>
        <v>Umesh Dhumal </v>
      </c>
      <c r="G1154" s="5" t="s">
        <v>25</v>
      </c>
      <c r="H1154" s="5" t="s">
        <v>25</v>
      </c>
      <c r="I1154" s="5" t="s">
        <v>25</v>
      </c>
      <c r="J1154" s="5" t="s">
        <v>25</v>
      </c>
      <c r="K1154" s="7" t="str">
        <f>VLOOKUP(A1154,Sheet2!$A$2:$R$3432,6,0)</f>
        <v>Honda Shine </v>
      </c>
      <c r="L1154" s="5" t="s">
        <v>25</v>
      </c>
      <c r="M1154" s="7" t="str">
        <f>VLOOKUP(A1154,Sheet2!$A$2:$R$3432,5,0)</f>
        <v>MH12TW1197</v>
      </c>
      <c r="N1154" s="5" t="s">
        <v>25</v>
      </c>
      <c r="O1154" s="5" t="s">
        <v>25</v>
      </c>
      <c r="P1154" s="6" t="s">
        <v>25</v>
      </c>
      <c r="Q1154" s="5" t="s">
        <v>25</v>
      </c>
      <c r="R1154" s="5" t="s">
        <v>25</v>
      </c>
      <c r="S1154" s="5" t="str">
        <f>VLOOKUP(A1154,Sheet2!$A$2:$R$3432,18,0)</f>
        <v>JC85ED1093294</v>
      </c>
      <c r="T1154" s="7" t="str">
        <f>VLOOKUP(A1154,Sheet2!$A$2:$R$3432,17,0)</f>
        <v>ME4JC85AKM0060767</v>
      </c>
    </row>
    <row r="1155" ht="15.75" customHeight="1">
      <c r="A1155" s="3" t="s">
        <v>1178</v>
      </c>
      <c r="B1155" s="4" t="str">
        <f>VLOOKUP(A1155,Sheet2!$A$2:$R$3432,2,0)</f>
        <v>2025-01-31 19:50:12</v>
      </c>
      <c r="C1155" s="5" t="s">
        <v>25</v>
      </c>
      <c r="D1155" s="6" t="s">
        <v>25</v>
      </c>
      <c r="E1155" s="7">
        <f>VLOOKUP(A1155,Sheet2!$A$2:$R$3432,4,0)</f>
        <v>8975764090</v>
      </c>
      <c r="F1155" s="7" t="str">
        <f>VLOOKUP(A1155,Sheet2!$A$2:$R$3432,3,0)</f>
        <v>Bhargav</v>
      </c>
      <c r="G1155" s="5" t="s">
        <v>25</v>
      </c>
      <c r="H1155" s="5" t="s">
        <v>25</v>
      </c>
      <c r="I1155" s="5" t="s">
        <v>25</v>
      </c>
      <c r="J1155" s="5" t="s">
        <v>25</v>
      </c>
      <c r="K1155" s="7" t="str">
        <f>VLOOKUP(A1155,Sheet2!$A$2:$R$3432,6,0)</f>
        <v>Honda Dio </v>
      </c>
      <c r="L1155" s="5" t="s">
        <v>25</v>
      </c>
      <c r="M1155" s="7" t="str">
        <f>VLOOKUP(A1155,Sheet2!$A$2:$R$3432,5,0)</f>
        <v>MH15EZ1487</v>
      </c>
      <c r="N1155" s="5" t="s">
        <v>25</v>
      </c>
      <c r="O1155" s="5" t="s">
        <v>25</v>
      </c>
      <c r="P1155" s="6" t="s">
        <v>25</v>
      </c>
      <c r="Q1155" s="5" t="s">
        <v>25</v>
      </c>
      <c r="R1155" s="5" t="s">
        <v>25</v>
      </c>
      <c r="S1155" s="5" t="str">
        <f>VLOOKUP(A1155,Sheet2!$A$2:$R$3432,18,0)</f>
        <v>JP30E708998</v>
      </c>
      <c r="T1155" s="7" t="str">
        <f>VLOOKUP(A1155,Sheet2!$A$2:$R$3432,17,0)</f>
        <v>ME4JF303F7019040</v>
      </c>
    </row>
    <row r="1156" ht="15.75" customHeight="1">
      <c r="A1156" s="3" t="s">
        <v>1179</v>
      </c>
      <c r="B1156" s="4" t="str">
        <f>VLOOKUP(A1156,Sheet2!$A$2:$R$3432,2,0)</f>
        <v>2025-01-31 19:35:04</v>
      </c>
      <c r="C1156" s="5" t="s">
        <v>25</v>
      </c>
      <c r="D1156" s="6" t="s">
        <v>25</v>
      </c>
      <c r="E1156" s="7">
        <f>VLOOKUP(A1156,Sheet2!$A$2:$R$3432,4,0)</f>
        <v>8484815480</v>
      </c>
      <c r="F1156" s="7" t="str">
        <f>VLOOKUP(A1156,Sheet2!$A$2:$R$3432,3,0)</f>
        <v>Ganesh Papat</v>
      </c>
      <c r="G1156" s="5" t="s">
        <v>25</v>
      </c>
      <c r="H1156" s="5" t="s">
        <v>25</v>
      </c>
      <c r="I1156" s="5" t="s">
        <v>25</v>
      </c>
      <c r="J1156" s="5" t="s">
        <v>25</v>
      </c>
      <c r="K1156" s="7" t="str">
        <f>VLOOKUP(A1156,Sheet2!$A$2:$R$3432,6,0)</f>
        <v>TVS Jupiter </v>
      </c>
      <c r="L1156" s="5" t="s">
        <v>25</v>
      </c>
      <c r="M1156" s="7" t="str">
        <f>VLOOKUP(A1156,Sheet2!$A$2:$R$3432,5,0)</f>
        <v>MH14JZ2362</v>
      </c>
      <c r="N1156" s="5" t="s">
        <v>25</v>
      </c>
      <c r="O1156" s="5" t="s">
        <v>25</v>
      </c>
      <c r="P1156" s="6" t="s">
        <v>25</v>
      </c>
      <c r="Q1156" s="5" t="s">
        <v>25</v>
      </c>
      <c r="R1156" s="5" t="s">
        <v>25</v>
      </c>
      <c r="S1156" s="5" t="str">
        <f>VLOOKUP(A1156,Sheet2!$A$2:$R$3432,18,0)</f>
        <v>EG5CN1000348</v>
      </c>
      <c r="T1156" s="7" t="str">
        <f>VLOOKUP(A1156,Sheet2!$A$2:$R$3432,17,0)</f>
        <v>MD626C650NC69266</v>
      </c>
    </row>
    <row r="1157" ht="15.75" customHeight="1">
      <c r="A1157" s="3" t="s">
        <v>1180</v>
      </c>
      <c r="B1157" s="4" t="str">
        <f>VLOOKUP(A1157,Sheet2!$A$2:$R$3432,2,0)</f>
        <v>2025-01-31 19:38:06</v>
      </c>
      <c r="C1157" s="5" t="s">
        <v>25</v>
      </c>
      <c r="D1157" s="6" t="s">
        <v>25</v>
      </c>
      <c r="E1157" s="7">
        <f>VLOOKUP(A1157,Sheet2!$A$2:$R$3432,4,0)</f>
        <v>9370708502</v>
      </c>
      <c r="F1157" s="7" t="str">
        <f>VLOOKUP(A1157,Sheet2!$A$2:$R$3432,3,0)</f>
        <v>BHUSHAN GAIKWAD</v>
      </c>
      <c r="G1157" s="5" t="s">
        <v>25</v>
      </c>
      <c r="H1157" s="5" t="s">
        <v>25</v>
      </c>
      <c r="I1157" s="5" t="s">
        <v>25</v>
      </c>
      <c r="J1157" s="5" t="s">
        <v>25</v>
      </c>
      <c r="K1157" s="7" t="str">
        <f>VLOOKUP(A1157,Sheet2!$A$2:$R$3432,6,0)</f>
        <v>Bajaj Pulsar 150</v>
      </c>
      <c r="L1157" s="5" t="s">
        <v>25</v>
      </c>
      <c r="M1157" s="7" t="str">
        <f>VLOOKUP(A1157,Sheet2!$A$2:$R$3432,5,0)</f>
        <v>MH41BC8934</v>
      </c>
      <c r="N1157" s="5" t="s">
        <v>25</v>
      </c>
      <c r="O1157" s="5" t="s">
        <v>25</v>
      </c>
      <c r="P1157" s="6" t="s">
        <v>25</v>
      </c>
      <c r="Q1157" s="5" t="s">
        <v>25</v>
      </c>
      <c r="R1157" s="5" t="s">
        <v>25</v>
      </c>
      <c r="S1157" s="5" t="str">
        <f>VLOOKUP(A1157,Sheet2!$A$2:$R$3432,18,0)</f>
        <v>DHXC031843</v>
      </c>
      <c r="T1157" s="7" t="str">
        <f>VLOOKUP(A1157,Sheet2!$A$2:$R$3432,17,0)</f>
        <v>MDA11CXKCG38046</v>
      </c>
    </row>
    <row r="1158" ht="15.75" customHeight="1">
      <c r="A1158" s="3" t="s">
        <v>1181</v>
      </c>
      <c r="B1158" s="4" t="str">
        <f>VLOOKUP(A1158,Sheet2!$A$2:$R$3432,2,0)</f>
        <v>2025-01-31 19:49:05</v>
      </c>
      <c r="C1158" s="5" t="s">
        <v>25</v>
      </c>
      <c r="D1158" s="6" t="s">
        <v>25</v>
      </c>
      <c r="E1158" s="7">
        <f>VLOOKUP(A1158,Sheet2!$A$2:$R$3432,4,0)</f>
        <v>8668689181</v>
      </c>
      <c r="F1158" s="7" t="str">
        <f>VLOOKUP(A1158,Sheet2!$A$2:$R$3432,3,0)</f>
        <v>Dhananjay </v>
      </c>
      <c r="G1158" s="5" t="s">
        <v>25</v>
      </c>
      <c r="H1158" s="5" t="s">
        <v>25</v>
      </c>
      <c r="I1158" s="5" t="s">
        <v>25</v>
      </c>
      <c r="J1158" s="5" t="s">
        <v>25</v>
      </c>
      <c r="K1158" s="7" t="str">
        <f>VLOOKUP(A1158,Sheet2!$A$2:$R$3432,6,0)</f>
        <v>Honda Unicorn 150</v>
      </c>
      <c r="L1158" s="5" t="s">
        <v>25</v>
      </c>
      <c r="M1158" s="7" t="str">
        <f>VLOOKUP(A1158,Sheet2!$A$2:$R$3432,5,0)</f>
        <v>MH14HE6586</v>
      </c>
      <c r="N1158" s="5" t="s">
        <v>25</v>
      </c>
      <c r="O1158" s="5" t="s">
        <v>25</v>
      </c>
      <c r="P1158" s="6" t="s">
        <v>25</v>
      </c>
      <c r="Q1158" s="5" t="s">
        <v>25</v>
      </c>
      <c r="R1158" s="5" t="s">
        <v>25</v>
      </c>
      <c r="S1158" s="5" t="str">
        <f>VLOOKUP(A1158,Sheet2!$A$2:$R$3432,18,0)</f>
        <v>KC31E80425672</v>
      </c>
      <c r="T1158" s="7" t="str">
        <f>VLOOKUP(A1158,Sheet2!$A$2:$R$3432,17,0)</f>
        <v>ME4KC311KJ8425779</v>
      </c>
    </row>
    <row r="1159" ht="15.75" customHeight="1">
      <c r="A1159" s="3" t="s">
        <v>1182</v>
      </c>
      <c r="B1159" s="4" t="str">
        <f>VLOOKUP(A1159,Sheet2!$A$2:$R$3432,2,0)</f>
        <v>2025-01-31 19:39:19</v>
      </c>
      <c r="C1159" s="5" t="s">
        <v>25</v>
      </c>
      <c r="D1159" s="6" t="s">
        <v>25</v>
      </c>
      <c r="E1159" s="7">
        <f>VLOOKUP(A1159,Sheet2!$A$2:$R$3432,4,0)</f>
        <v>9168912110</v>
      </c>
      <c r="F1159" s="7" t="str">
        <f>VLOOKUP(A1159,Sheet2!$A$2:$R$3432,3,0)</f>
        <v>Aniket Patankar</v>
      </c>
      <c r="G1159" s="5" t="s">
        <v>25</v>
      </c>
      <c r="H1159" s="5" t="s">
        <v>25</v>
      </c>
      <c r="I1159" s="5" t="s">
        <v>25</v>
      </c>
      <c r="J1159" s="5" t="s">
        <v>25</v>
      </c>
      <c r="K1159" s="7" t="str">
        <f>VLOOKUP(A1159,Sheet2!$A$2:$R$3432,6,0)</f>
        <v>Bajaj Pulsar 150</v>
      </c>
      <c r="L1159" s="5" t="s">
        <v>25</v>
      </c>
      <c r="M1159" s="7" t="str">
        <f>VLOOKUP(A1159,Sheet2!$A$2:$R$3432,5,0)</f>
        <v>MH10BU0021</v>
      </c>
      <c r="N1159" s="5" t="s">
        <v>25</v>
      </c>
      <c r="O1159" s="5" t="s">
        <v>25</v>
      </c>
      <c r="P1159" s="6" t="s">
        <v>25</v>
      </c>
      <c r="Q1159" s="5" t="s">
        <v>25</v>
      </c>
      <c r="R1159" s="5" t="s">
        <v>25</v>
      </c>
      <c r="S1159" s="7" t="str">
        <f>VLOOKUP(A1159,Sheet2!$A$2:$R$3432,18,0)</f>
        <v/>
      </c>
      <c r="T1159" s="7" t="str">
        <f>VLOOKUP(A1159,Sheet2!$A$2:$R$3432,17,0)</f>
        <v/>
      </c>
    </row>
    <row r="1160" ht="15.75" customHeight="1">
      <c r="A1160" s="3" t="s">
        <v>1183</v>
      </c>
      <c r="B1160" s="4" t="str">
        <f>VLOOKUP(A1160,Sheet2!$A$2:$R$3432,2,0)</f>
        <v>2025-01-31 19:40:42</v>
      </c>
      <c r="C1160" s="5" t="s">
        <v>25</v>
      </c>
      <c r="D1160" s="6" t="s">
        <v>25</v>
      </c>
      <c r="E1160" s="7">
        <f>VLOOKUP(A1160,Sheet2!$A$2:$R$3432,4,0)</f>
        <v>9404547447</v>
      </c>
      <c r="F1160" s="7" t="str">
        <f>VLOOKUP(A1160,Sheet2!$A$2:$R$3432,3,0)</f>
        <v>Shrikant katare</v>
      </c>
      <c r="G1160" s="5" t="s">
        <v>25</v>
      </c>
      <c r="H1160" s="5" t="s">
        <v>25</v>
      </c>
      <c r="I1160" s="5" t="s">
        <v>25</v>
      </c>
      <c r="J1160" s="5" t="s">
        <v>25</v>
      </c>
      <c r="K1160" s="7" t="str">
        <f>VLOOKUP(A1160,Sheet2!$A$2:$R$3432,6,0)</f>
        <v>Suzuki Access 125</v>
      </c>
      <c r="L1160" s="5" t="s">
        <v>25</v>
      </c>
      <c r="M1160" s="7" t="str">
        <f>VLOOKUP(A1160,Sheet2!$A$2:$R$3432,5,0)</f>
        <v>MH14GJ6057</v>
      </c>
      <c r="N1160" s="5" t="s">
        <v>25</v>
      </c>
      <c r="O1160" s="5" t="s">
        <v>25</v>
      </c>
      <c r="P1160" s="6" t="s">
        <v>25</v>
      </c>
      <c r="Q1160" s="5" t="s">
        <v>25</v>
      </c>
      <c r="R1160" s="5" t="s">
        <v>25</v>
      </c>
      <c r="S1160" s="5" t="str">
        <f>VLOOKUP(A1160,Sheet2!$A$2:$R$3432,18,0)</f>
        <v>AF21262474</v>
      </c>
      <c r="T1160" s="7" t="str">
        <f>VLOOKUP(A1160,Sheet2!$A$2:$R$3432,17,0)</f>
        <v>MB8DP11CH8369545</v>
      </c>
    </row>
    <row r="1161" ht="15.75" customHeight="1">
      <c r="A1161" s="3" t="s">
        <v>1184</v>
      </c>
      <c r="B1161" s="4" t="str">
        <f>VLOOKUP(A1161,Sheet2!$A$2:$R$3432,2,0)</f>
        <v>2025-01-31 20:05:49</v>
      </c>
      <c r="C1161" s="5" t="s">
        <v>25</v>
      </c>
      <c r="D1161" s="6" t="s">
        <v>25</v>
      </c>
      <c r="E1161" s="7">
        <f>VLOOKUP(A1161,Sheet2!$A$2:$R$3432,4,0)</f>
        <v>7420035795</v>
      </c>
      <c r="F1161" s="7" t="str">
        <f>VLOOKUP(A1161,Sheet2!$A$2:$R$3432,3,0)</f>
        <v>BALAJI TRADERS </v>
      </c>
      <c r="G1161" s="5" t="s">
        <v>25</v>
      </c>
      <c r="H1161" s="5" t="s">
        <v>25</v>
      </c>
      <c r="I1161" s="5" t="s">
        <v>25</v>
      </c>
      <c r="J1161" s="5" t="s">
        <v>25</v>
      </c>
      <c r="K1161" s="7" t="str">
        <f>VLOOKUP(A1161,Sheet2!$A$2:$R$3432,6,0)</f>
        <v>Hero Pleasure </v>
      </c>
      <c r="L1161" s="5" t="s">
        <v>25</v>
      </c>
      <c r="M1161" s="7" t="str">
        <f>VLOOKUP(A1161,Sheet2!$A$2:$R$3432,5,0)</f>
        <v>MH14CE3147</v>
      </c>
      <c r="N1161" s="5" t="s">
        <v>25</v>
      </c>
      <c r="O1161" s="5" t="s">
        <v>25</v>
      </c>
      <c r="P1161" s="6" t="s">
        <v>25</v>
      </c>
      <c r="Q1161" s="5" t="s">
        <v>25</v>
      </c>
      <c r="R1161" s="5" t="s">
        <v>25</v>
      </c>
      <c r="S1161" s="5" t="str">
        <f>VLOOKUP(A1161,Sheet2!$A$2:$R$3432,18,0)</f>
        <v>JF16ETG15919</v>
      </c>
      <c r="T1161" s="7" t="str">
        <f>VLOOKUP(A1161,Sheet2!$A$2:$R$3432,17,0)</f>
        <v>MBLJF16EDAGF12789</v>
      </c>
    </row>
    <row r="1162" ht="15.75" customHeight="1">
      <c r="A1162" s="3" t="s">
        <v>1185</v>
      </c>
      <c r="B1162" s="4" t="str">
        <f>VLOOKUP(A1162,Sheet2!$A$2:$R$3432,2,0)</f>
        <v>2025-01-31 20:23:29</v>
      </c>
      <c r="C1162" s="5" t="s">
        <v>25</v>
      </c>
      <c r="D1162" s="6" t="s">
        <v>25</v>
      </c>
      <c r="E1162" s="7">
        <f>VLOOKUP(A1162,Sheet2!$A$2:$R$3432,4,0)</f>
        <v>9850893369</v>
      </c>
      <c r="F1162" s="7" t="str">
        <f>VLOOKUP(A1162,Sheet2!$A$2:$R$3432,3,0)</f>
        <v>Vinod Chhajed</v>
      </c>
      <c r="G1162" s="5" t="s">
        <v>25</v>
      </c>
      <c r="H1162" s="5" t="s">
        <v>25</v>
      </c>
      <c r="I1162" s="5" t="s">
        <v>25</v>
      </c>
      <c r="J1162" s="5" t="s">
        <v>25</v>
      </c>
      <c r="K1162" s="7" t="str">
        <f>VLOOKUP(A1162,Sheet2!$A$2:$R$3432,6,0)</f>
        <v>Honda Activa 110</v>
      </c>
      <c r="L1162" s="5" t="s">
        <v>25</v>
      </c>
      <c r="M1162" s="7" t="str">
        <f>VLOOKUP(A1162,Sheet2!$A$2:$R$3432,5,0)</f>
        <v>MH12KX3146</v>
      </c>
      <c r="N1162" s="5" t="s">
        <v>25</v>
      </c>
      <c r="O1162" s="5" t="s">
        <v>25</v>
      </c>
      <c r="P1162" s="6" t="s">
        <v>25</v>
      </c>
      <c r="Q1162" s="5" t="s">
        <v>25</v>
      </c>
      <c r="R1162" s="5" t="s">
        <v>25</v>
      </c>
      <c r="S1162" s="5" t="str">
        <f>VLOOKUP(A1162,Sheet2!$A$2:$R$3432,18,0)</f>
        <v>JF50E70634287</v>
      </c>
      <c r="T1162" s="7" t="str">
        <f>VLOOKUP(A1162,Sheet2!$A$2:$R$3432,17,0)</f>
        <v>ME4JF501CE763233</v>
      </c>
    </row>
    <row r="1163" ht="15.75" customHeight="1">
      <c r="A1163" s="3" t="s">
        <v>1186</v>
      </c>
      <c r="B1163" s="4" t="str">
        <f>VLOOKUP(A1163,Sheet2!$A$2:$R$3432,2,0)</f>
        <v>2025-02-21 19:29:58</v>
      </c>
      <c r="C1163" s="5" t="s">
        <v>25</v>
      </c>
      <c r="D1163" s="6" t="s">
        <v>25</v>
      </c>
      <c r="E1163" s="7">
        <f>VLOOKUP(A1163,Sheet2!$A$2:$R$3432,4,0)</f>
        <v>9662466141</v>
      </c>
      <c r="F1163" s="7" t="str">
        <f>VLOOKUP(A1163,Sheet2!$A$2:$R$3432,3,0)</f>
        <v>Maulik </v>
      </c>
      <c r="G1163" s="5" t="s">
        <v>25</v>
      </c>
      <c r="H1163" s="5" t="s">
        <v>25</v>
      </c>
      <c r="I1163" s="5" t="s">
        <v>25</v>
      </c>
      <c r="J1163" s="5" t="s">
        <v>25</v>
      </c>
      <c r="K1163" s="7" t="str">
        <f>VLOOKUP(A1163,Sheet2!$A$2:$R$3432,6,0)</f>
        <v>Honda Activa 125</v>
      </c>
      <c r="L1163" s="5" t="s">
        <v>25</v>
      </c>
      <c r="M1163" s="7" t="str">
        <f>VLOOKUP(A1163,Sheet2!$A$2:$R$3432,5,0)</f>
        <v>GJ07CJ0614</v>
      </c>
      <c r="N1163" s="5" t="s">
        <v>25</v>
      </c>
      <c r="O1163" s="5" t="s">
        <v>25</v>
      </c>
      <c r="P1163" s="6" t="s">
        <v>25</v>
      </c>
      <c r="Q1163" s="5" t="s">
        <v>25</v>
      </c>
      <c r="R1163" s="5" t="s">
        <v>25</v>
      </c>
      <c r="S1163" s="5" t="str">
        <f>VLOOKUP(A1163,Sheet2!$A$2:$R$3432,18,0)</f>
        <v>JF49E8137006</v>
      </c>
      <c r="T1163" s="7" t="str">
        <f>VLOOKUP(A1163,Sheet2!$A$2:$R$3432,17,0)</f>
        <v>ME4JF493LG8315707</v>
      </c>
    </row>
    <row r="1164" ht="15.75" customHeight="1">
      <c r="A1164" s="3" t="s">
        <v>1187</v>
      </c>
      <c r="B1164" s="4" t="str">
        <f>VLOOKUP(A1164,Sheet2!$A$2:$R$3432,2,0)</f>
        <v>2025-02-21 19:30:27</v>
      </c>
      <c r="C1164" s="5" t="s">
        <v>25</v>
      </c>
      <c r="D1164" s="6" t="s">
        <v>25</v>
      </c>
      <c r="E1164" s="7">
        <f>VLOOKUP(A1164,Sheet2!$A$2:$R$3432,4,0)</f>
        <v>8459809289</v>
      </c>
      <c r="F1164" s="7" t="str">
        <f>VLOOKUP(A1164,Sheet2!$A$2:$R$3432,3,0)</f>
        <v>VAISHALI LONKAR </v>
      </c>
      <c r="G1164" s="5" t="s">
        <v>25</v>
      </c>
      <c r="H1164" s="5" t="s">
        <v>25</v>
      </c>
      <c r="I1164" s="5" t="s">
        <v>25</v>
      </c>
      <c r="J1164" s="5" t="s">
        <v>25</v>
      </c>
      <c r="K1164" s="7" t="str">
        <f>VLOOKUP(A1164,Sheet2!$A$2:$R$3432,6,0)</f>
        <v>Honda Activa 6G</v>
      </c>
      <c r="L1164" s="5" t="s">
        <v>25</v>
      </c>
      <c r="M1164" s="7" t="str">
        <f>VLOOKUP(A1164,Sheet2!$A$2:$R$3432,5,0)</f>
        <v>MH32AU6979</v>
      </c>
      <c r="N1164" s="5" t="s">
        <v>25</v>
      </c>
      <c r="O1164" s="5" t="s">
        <v>25</v>
      </c>
      <c r="P1164" s="6" t="s">
        <v>25</v>
      </c>
      <c r="Q1164" s="5" t="s">
        <v>25</v>
      </c>
      <c r="R1164" s="5" t="s">
        <v>25</v>
      </c>
      <c r="S1164" s="7" t="str">
        <f>VLOOKUP(A1164,Sheet2!$A$2:$R$3432,18,0)</f>
        <v/>
      </c>
      <c r="T1164" s="7" t="str">
        <f>VLOOKUP(A1164,Sheet2!$A$2:$R$3432,17,0)</f>
        <v/>
      </c>
    </row>
    <row r="1165" ht="15.75" customHeight="1">
      <c r="A1165" s="3" t="s">
        <v>1188</v>
      </c>
      <c r="B1165" s="4" t="str">
        <f>VLOOKUP(A1165,Sheet2!$A$2:$R$3432,2,0)</f>
        <v>2025-02-21 19:31:00</v>
      </c>
      <c r="C1165" s="5" t="s">
        <v>25</v>
      </c>
      <c r="D1165" s="6" t="s">
        <v>25</v>
      </c>
      <c r="E1165" s="7">
        <f>VLOOKUP(A1165,Sheet2!$A$2:$R$3432,4,0)</f>
        <v>8928219052</v>
      </c>
      <c r="F1165" s="7" t="str">
        <f>VLOOKUP(A1165,Sheet2!$A$2:$R$3432,3,0)</f>
        <v>KRISHNA </v>
      </c>
      <c r="G1165" s="5" t="s">
        <v>25</v>
      </c>
      <c r="H1165" s="5" t="s">
        <v>25</v>
      </c>
      <c r="I1165" s="5" t="s">
        <v>25</v>
      </c>
      <c r="J1165" s="5" t="s">
        <v>25</v>
      </c>
      <c r="K1165" s="7" t="str">
        <f>VLOOKUP(A1165,Sheet2!$A$2:$R$3432,6,0)</f>
        <v>Royal Enfield Classic 350</v>
      </c>
      <c r="L1165" s="5" t="s">
        <v>25</v>
      </c>
      <c r="M1165" s="7" t="str">
        <f>VLOOKUP(A1165,Sheet2!$A$2:$R$3432,5,0)</f>
        <v>MH12PB2533</v>
      </c>
      <c r="N1165" s="5" t="s">
        <v>25</v>
      </c>
      <c r="O1165" s="5" t="s">
        <v>25</v>
      </c>
      <c r="P1165" s="6" t="s">
        <v>25</v>
      </c>
      <c r="Q1165" s="5" t="s">
        <v>25</v>
      </c>
      <c r="R1165" s="5" t="s">
        <v>25</v>
      </c>
      <c r="S1165" s="5" t="str">
        <f>VLOOKUP(A1165,Sheet2!$A$2:$R$3432,18,0)</f>
        <v>U3S5C0HA232932</v>
      </c>
      <c r="T1165" s="7" t="str">
        <f>VLOOKUP(A1165,Sheet2!$A$2:$R$3432,17,0)</f>
        <v>ME3U385C1HA053088</v>
      </c>
    </row>
    <row r="1166" ht="15.75" customHeight="1">
      <c r="A1166" s="3" t="s">
        <v>1189</v>
      </c>
      <c r="B1166" s="4" t="str">
        <f>VLOOKUP(A1166,Sheet2!$A$2:$R$3432,2,0)</f>
        <v>2025-02-21 19:48:11</v>
      </c>
      <c r="C1166" s="5" t="s">
        <v>25</v>
      </c>
      <c r="D1166" s="6" t="s">
        <v>25</v>
      </c>
      <c r="E1166" s="7">
        <f>VLOOKUP(A1166,Sheet2!$A$2:$R$3432,4,0)</f>
        <v>9462632977</v>
      </c>
      <c r="F1166" s="7" t="str">
        <f>VLOOKUP(A1166,Sheet2!$A$2:$R$3432,3,0)</f>
        <v>DIVYANSHU</v>
      </c>
      <c r="G1166" s="5" t="s">
        <v>25</v>
      </c>
      <c r="H1166" s="5" t="s">
        <v>25</v>
      </c>
      <c r="I1166" s="5" t="s">
        <v>25</v>
      </c>
      <c r="J1166" s="5" t="s">
        <v>25</v>
      </c>
      <c r="K1166" s="7" t="str">
        <f>VLOOKUP(A1166,Sheet2!$A$2:$R$3432,6,0)</f>
        <v>TVS Jupiter No Data</v>
      </c>
      <c r="L1166" s="5" t="s">
        <v>25</v>
      </c>
      <c r="M1166" s="7" t="str">
        <f>VLOOKUP(A1166,Sheet2!$A$2:$R$3432,5,0)</f>
        <v>MH12PP3426</v>
      </c>
      <c r="N1166" s="5" t="s">
        <v>25</v>
      </c>
      <c r="O1166" s="5" t="s">
        <v>25</v>
      </c>
      <c r="P1166" s="6" t="s">
        <v>25</v>
      </c>
      <c r="Q1166" s="5" t="s">
        <v>25</v>
      </c>
      <c r="R1166" s="5" t="s">
        <v>25</v>
      </c>
      <c r="S1166" s="7" t="str">
        <f>VLOOKUP(A1166,Sheet2!$A$2:$R$3432,18,0)</f>
        <v/>
      </c>
      <c r="T1166" s="7" t="str">
        <f>VLOOKUP(A1166,Sheet2!$A$2:$R$3432,17,0)</f>
        <v/>
      </c>
    </row>
    <row r="1167" ht="15.75" customHeight="1">
      <c r="A1167" s="3" t="s">
        <v>1190</v>
      </c>
      <c r="B1167" s="4" t="str">
        <f>VLOOKUP(A1167,Sheet2!$A$2:$R$3432,2,0)</f>
        <v>2025-02-21 20:33:39</v>
      </c>
      <c r="C1167" s="5" t="s">
        <v>25</v>
      </c>
      <c r="D1167" s="6" t="s">
        <v>25</v>
      </c>
      <c r="E1167" s="7">
        <f>VLOOKUP(A1167,Sheet2!$A$2:$R$3432,4,0)</f>
        <v>8446642710</v>
      </c>
      <c r="F1167" s="7" t="str">
        <f>VLOOKUP(A1167,Sheet2!$A$2:$R$3432,3,0)</f>
        <v>AKASH</v>
      </c>
      <c r="G1167" s="5" t="s">
        <v>25</v>
      </c>
      <c r="H1167" s="5" t="s">
        <v>25</v>
      </c>
      <c r="I1167" s="5" t="s">
        <v>25</v>
      </c>
      <c r="J1167" s="5" t="s">
        <v>25</v>
      </c>
      <c r="K1167" s="7" t="str">
        <f>VLOOKUP(A1167,Sheet2!$A$2:$R$3432,6,0)</f>
        <v>Bajaj Pulsar 200 NS</v>
      </c>
      <c r="L1167" s="5" t="s">
        <v>25</v>
      </c>
      <c r="M1167" s="7" t="str">
        <f>VLOOKUP(A1167,Sheet2!$A$2:$R$3432,5,0)</f>
        <v>MH12NT8234</v>
      </c>
      <c r="N1167" s="5" t="s">
        <v>25</v>
      </c>
      <c r="O1167" s="5" t="s">
        <v>25</v>
      </c>
      <c r="P1167" s="6" t="s">
        <v>25</v>
      </c>
      <c r="Q1167" s="5" t="s">
        <v>25</v>
      </c>
      <c r="R1167" s="5" t="s">
        <v>25</v>
      </c>
      <c r="S1167" s="7" t="str">
        <f>VLOOKUP(A1167,Sheet2!$A$2:$R$3432,18,0)</f>
        <v/>
      </c>
      <c r="T1167" s="7" t="str">
        <f>VLOOKUP(A1167,Sheet2!$A$2:$R$3432,17,0)</f>
        <v/>
      </c>
    </row>
    <row r="1168" ht="15.75" customHeight="1">
      <c r="A1168" s="3" t="s">
        <v>1191</v>
      </c>
      <c r="B1168" s="4" t="str">
        <f>VLOOKUP(A1168,Sheet2!$A$2:$R$3432,2,0)</f>
        <v>2025-02-21 20:32:25</v>
      </c>
      <c r="C1168" s="5" t="s">
        <v>25</v>
      </c>
      <c r="D1168" s="6" t="s">
        <v>25</v>
      </c>
      <c r="E1168" s="7">
        <f>VLOOKUP(A1168,Sheet2!$A$2:$R$3432,4,0)</f>
        <v>9713965060</v>
      </c>
      <c r="F1168" s="7" t="str">
        <f>VLOOKUP(A1168,Sheet2!$A$2:$R$3432,3,0)</f>
        <v>ANKUR</v>
      </c>
      <c r="G1168" s="5" t="s">
        <v>25</v>
      </c>
      <c r="H1168" s="5" t="s">
        <v>25</v>
      </c>
      <c r="I1168" s="5" t="s">
        <v>25</v>
      </c>
      <c r="J1168" s="5" t="s">
        <v>25</v>
      </c>
      <c r="K1168" s="7" t="str">
        <f>VLOOKUP(A1168,Sheet2!$A$2:$R$3432,6,0)</f>
        <v>Yamaha SZ RR</v>
      </c>
      <c r="L1168" s="5" t="s">
        <v>25</v>
      </c>
      <c r="M1168" s="7" t="str">
        <f>VLOOKUP(A1168,Sheet2!$A$2:$R$3432,5,0)</f>
        <v>MH12JX3912</v>
      </c>
      <c r="N1168" s="5" t="s">
        <v>25</v>
      </c>
      <c r="O1168" s="5" t="s">
        <v>25</v>
      </c>
      <c r="P1168" s="6" t="s">
        <v>25</v>
      </c>
      <c r="Q1168" s="5" t="s">
        <v>25</v>
      </c>
      <c r="R1168" s="5" t="s">
        <v>25</v>
      </c>
      <c r="S1168" s="7" t="str">
        <f>VLOOKUP(A1168,Sheet2!$A$2:$R$3432,18,0)</f>
        <v/>
      </c>
      <c r="T1168" s="7" t="str">
        <f>VLOOKUP(A1168,Sheet2!$A$2:$R$3432,17,0)</f>
        <v/>
      </c>
    </row>
    <row r="1169" ht="15.75" customHeight="1">
      <c r="A1169" s="3" t="s">
        <v>1192</v>
      </c>
      <c r="B1169" s="4" t="str">
        <f>VLOOKUP(A1169,Sheet2!$A$2:$R$3432,2,0)</f>
        <v>2025-02-21 20:34:20</v>
      </c>
      <c r="C1169" s="5" t="s">
        <v>25</v>
      </c>
      <c r="D1169" s="6" t="s">
        <v>25</v>
      </c>
      <c r="E1169" s="7">
        <f>VLOOKUP(A1169,Sheet2!$A$2:$R$3432,4,0)</f>
        <v>8308941879</v>
      </c>
      <c r="F1169" s="7" t="str">
        <f>VLOOKUP(A1169,Sheet2!$A$2:$R$3432,3,0)</f>
        <v>SHRUTI</v>
      </c>
      <c r="G1169" s="5" t="s">
        <v>25</v>
      </c>
      <c r="H1169" s="5" t="s">
        <v>25</v>
      </c>
      <c r="I1169" s="5" t="s">
        <v>25</v>
      </c>
      <c r="J1169" s="5" t="s">
        <v>25</v>
      </c>
      <c r="K1169" s="7" t="str">
        <f>VLOOKUP(A1169,Sheet2!$A$2:$R$3432,6,0)</f>
        <v>Honda Dio New</v>
      </c>
      <c r="L1169" s="5" t="s">
        <v>25</v>
      </c>
      <c r="M1169" s="7" t="str">
        <f>VLOOKUP(A1169,Sheet2!$A$2:$R$3432,5,0)</f>
        <v>MH12LC6996</v>
      </c>
      <c r="N1169" s="5" t="s">
        <v>25</v>
      </c>
      <c r="O1169" s="5" t="s">
        <v>25</v>
      </c>
      <c r="P1169" s="6" t="s">
        <v>25</v>
      </c>
      <c r="Q1169" s="5" t="s">
        <v>25</v>
      </c>
      <c r="R1169" s="5" t="s">
        <v>25</v>
      </c>
      <c r="S1169" s="5" t="str">
        <f>VLOOKUP(A1169,Sheet2!$A$2:$R$3432,18,0)</f>
        <v>JF9E71031678</v>
      </c>
      <c r="T1169" s="7" t="str">
        <f>VLOOKUP(A1169,Sheet2!$A$2:$R$3432,17,0)</f>
        <v>ME4JF392EEJ131862</v>
      </c>
    </row>
    <row r="1170" ht="15.75" customHeight="1">
      <c r="A1170" s="3" t="s">
        <v>1193</v>
      </c>
      <c r="B1170" s="4" t="str">
        <f>VLOOKUP(A1170,Sheet2!$A$2:$R$3432,2,0)</f>
        <v>2025-02-21 20:34:34</v>
      </c>
      <c r="C1170" s="5" t="s">
        <v>25</v>
      </c>
      <c r="D1170" s="6" t="s">
        <v>25</v>
      </c>
      <c r="E1170" s="7">
        <f>VLOOKUP(A1170,Sheet2!$A$2:$R$3432,4,0)</f>
        <v>9975325973</v>
      </c>
      <c r="F1170" s="7" t="str">
        <f>VLOOKUP(A1170,Sheet2!$A$2:$R$3432,3,0)</f>
        <v>ONKAR PATHAK</v>
      </c>
      <c r="G1170" s="5" t="s">
        <v>25</v>
      </c>
      <c r="H1170" s="5" t="s">
        <v>25</v>
      </c>
      <c r="I1170" s="5" t="s">
        <v>25</v>
      </c>
      <c r="J1170" s="5" t="s">
        <v>25</v>
      </c>
      <c r="K1170" s="7" t="str">
        <f>VLOOKUP(A1170,Sheet2!$A$2:$R$3432,6,0)</f>
        <v>Bajaj Pulsar 220</v>
      </c>
      <c r="L1170" s="5" t="s">
        <v>25</v>
      </c>
      <c r="M1170" s="7" t="str">
        <f>VLOOKUP(A1170,Sheet2!$A$2:$R$3432,5,0)</f>
        <v>MH31CZ7606</v>
      </c>
      <c r="N1170" s="5" t="s">
        <v>25</v>
      </c>
      <c r="O1170" s="5" t="s">
        <v>25</v>
      </c>
      <c r="P1170" s="6" t="s">
        <v>25</v>
      </c>
      <c r="Q1170" s="5" t="s">
        <v>25</v>
      </c>
      <c r="R1170" s="5" t="s">
        <v>25</v>
      </c>
      <c r="S1170" s="7" t="str">
        <f>VLOOKUP(A1170,Sheet2!$A$2:$R$3432,18,0)</f>
        <v/>
      </c>
      <c r="T1170" s="7" t="str">
        <f>VLOOKUP(A1170,Sheet2!$A$2:$R$3432,17,0)</f>
        <v/>
      </c>
    </row>
    <row r="1171" ht="15.75" customHeight="1">
      <c r="A1171" s="3" t="s">
        <v>1194</v>
      </c>
      <c r="B1171" s="4" t="str">
        <f>VLOOKUP(A1171,Sheet2!$A$2:$R$3432,2,0)</f>
        <v>2025-01-15 12:51:31</v>
      </c>
      <c r="C1171" s="5" t="s">
        <v>25</v>
      </c>
      <c r="D1171" s="6" t="s">
        <v>25</v>
      </c>
      <c r="E1171" s="7">
        <f>VLOOKUP(A1171,Sheet2!$A$2:$R$3432,4,0)</f>
        <v>9604966836</v>
      </c>
      <c r="F1171" s="7" t="str">
        <f>VLOOKUP(A1171,Sheet2!$A$2:$R$3432,3,0)</f>
        <v>AJIT JADHAV</v>
      </c>
      <c r="G1171" s="5" t="s">
        <v>25</v>
      </c>
      <c r="H1171" s="5" t="s">
        <v>25</v>
      </c>
      <c r="I1171" s="5" t="s">
        <v>25</v>
      </c>
      <c r="J1171" s="5" t="s">
        <v>25</v>
      </c>
      <c r="K1171" s="7" t="str">
        <f>VLOOKUP(A1171,Sheet2!$A$2:$R$3432,6,0)</f>
        <v>Yamaha FZ V3</v>
      </c>
      <c r="L1171" s="5" t="s">
        <v>25</v>
      </c>
      <c r="M1171" s="7" t="str">
        <f>VLOOKUP(A1171,Sheet2!$A$2:$R$3432,5,0)</f>
        <v>MH14KZ6075</v>
      </c>
      <c r="N1171" s="5" t="s">
        <v>25</v>
      </c>
      <c r="O1171" s="5" t="s">
        <v>25</v>
      </c>
      <c r="P1171" s="6" t="s">
        <v>25</v>
      </c>
      <c r="Q1171" s="5" t="s">
        <v>25</v>
      </c>
      <c r="R1171" s="5" t="s">
        <v>25</v>
      </c>
      <c r="S1171" s="7" t="str">
        <f>VLOOKUP(A1171,Sheet2!$A$2:$R$3432,18,0)</f>
        <v/>
      </c>
      <c r="T1171" s="7" t="str">
        <f>VLOOKUP(A1171,Sheet2!$A$2:$R$3432,17,0)</f>
        <v/>
      </c>
    </row>
    <row r="1172" ht="15.75" customHeight="1">
      <c r="A1172" s="3" t="s">
        <v>1195</v>
      </c>
      <c r="B1172" s="4" t="str">
        <f>VLOOKUP(A1172,Sheet2!$A$2:$R$3432,2,0)</f>
        <v>2025-01-15 20:30:13</v>
      </c>
      <c r="C1172" s="5" t="s">
        <v>25</v>
      </c>
      <c r="D1172" s="6" t="s">
        <v>25</v>
      </c>
      <c r="E1172" s="7">
        <f>VLOOKUP(A1172,Sheet2!$A$2:$R$3432,4,0)</f>
        <v>9096161717</v>
      </c>
      <c r="F1172" s="7" t="str">
        <f>VLOOKUP(A1172,Sheet2!$A$2:$R$3432,3,0)</f>
        <v>KALPESH DEVASHI</v>
      </c>
      <c r="G1172" s="5" t="s">
        <v>25</v>
      </c>
      <c r="H1172" s="5" t="s">
        <v>25</v>
      </c>
      <c r="I1172" s="5" t="s">
        <v>25</v>
      </c>
      <c r="J1172" s="5" t="s">
        <v>25</v>
      </c>
      <c r="K1172" s="7" t="str">
        <f>VLOOKUP(A1172,Sheet2!$A$2:$R$3432,6,0)</f>
        <v>Honda Activa 110</v>
      </c>
      <c r="L1172" s="5" t="s">
        <v>25</v>
      </c>
      <c r="M1172" s="7" t="str">
        <f>VLOOKUP(A1172,Sheet2!$A$2:$R$3432,5,0)</f>
        <v>MH12LB5390</v>
      </c>
      <c r="N1172" s="5" t="s">
        <v>25</v>
      </c>
      <c r="O1172" s="5" t="s">
        <v>25</v>
      </c>
      <c r="P1172" s="6" t="s">
        <v>25</v>
      </c>
      <c r="Q1172" s="5" t="s">
        <v>25</v>
      </c>
      <c r="R1172" s="5" t="s">
        <v>25</v>
      </c>
      <c r="S1172" s="7" t="str">
        <f>VLOOKUP(A1172,Sheet2!$A$2:$R$3432,18,0)</f>
        <v/>
      </c>
      <c r="T1172" s="7" t="str">
        <f>VLOOKUP(A1172,Sheet2!$A$2:$R$3432,17,0)</f>
        <v/>
      </c>
    </row>
    <row r="1173" ht="15.75" customHeight="1">
      <c r="A1173" s="3" t="s">
        <v>1196</v>
      </c>
      <c r="B1173" s="4" t="str">
        <f>VLOOKUP(A1173,Sheet2!$A$2:$R$3432,2,0)</f>
        <v>2025-01-15 20:38:56</v>
      </c>
      <c r="C1173" s="5" t="s">
        <v>25</v>
      </c>
      <c r="D1173" s="6" t="s">
        <v>25</v>
      </c>
      <c r="E1173" s="7">
        <f>VLOOKUP(A1173,Sheet2!$A$2:$R$3432,4,0)</f>
        <v>9130968278</v>
      </c>
      <c r="F1173" s="7" t="str">
        <f>VLOOKUP(A1173,Sheet2!$A$2:$R$3432,3,0)</f>
        <v>SAHIL</v>
      </c>
      <c r="G1173" s="5" t="s">
        <v>25</v>
      </c>
      <c r="H1173" s="5" t="s">
        <v>25</v>
      </c>
      <c r="I1173" s="5" t="s">
        <v>25</v>
      </c>
      <c r="J1173" s="5" t="s">
        <v>25</v>
      </c>
      <c r="K1173" s="7" t="str">
        <f>VLOOKUP(A1173,Sheet2!$A$2:$R$3432,6,0)</f>
        <v>Bajaj Pulsar 220</v>
      </c>
      <c r="L1173" s="5" t="s">
        <v>25</v>
      </c>
      <c r="M1173" s="7" t="str">
        <f>VLOOKUP(A1173,Sheet2!$A$2:$R$3432,5,0)</f>
        <v>MH27BL4940</v>
      </c>
      <c r="N1173" s="5" t="s">
        <v>25</v>
      </c>
      <c r="O1173" s="5" t="s">
        <v>25</v>
      </c>
      <c r="P1173" s="6" t="s">
        <v>25</v>
      </c>
      <c r="Q1173" s="5" t="s">
        <v>25</v>
      </c>
      <c r="R1173" s="5" t="s">
        <v>25</v>
      </c>
      <c r="S1173" s="7" t="str">
        <f>VLOOKUP(A1173,Sheet2!$A$2:$R$3432,18,0)</f>
        <v/>
      </c>
      <c r="T1173" s="7" t="str">
        <f>VLOOKUP(A1173,Sheet2!$A$2:$R$3432,17,0)</f>
        <v/>
      </c>
    </row>
    <row r="1174" ht="15.75" customHeight="1">
      <c r="A1174" s="3" t="s">
        <v>1197</v>
      </c>
      <c r="B1174" s="4" t="str">
        <f>VLOOKUP(A1174,Sheet2!$A$2:$R$3432,2,0)</f>
        <v>2025-01-15 20:59:54</v>
      </c>
      <c r="C1174" s="5" t="s">
        <v>25</v>
      </c>
      <c r="D1174" s="6" t="s">
        <v>25</v>
      </c>
      <c r="E1174" s="7">
        <f>VLOOKUP(A1174,Sheet2!$A$2:$R$3432,4,0)</f>
        <v>8233279131</v>
      </c>
      <c r="F1174" s="7" t="str">
        <f>VLOOKUP(A1174,Sheet2!$A$2:$R$3432,3,0)</f>
        <v>PALAK ADHIKARI</v>
      </c>
      <c r="G1174" s="5" t="s">
        <v>25</v>
      </c>
      <c r="H1174" s="5" t="s">
        <v>25</v>
      </c>
      <c r="I1174" s="5" t="s">
        <v>25</v>
      </c>
      <c r="J1174" s="5" t="s">
        <v>25</v>
      </c>
      <c r="K1174" s="7" t="str">
        <f>VLOOKUP(A1174,Sheet2!$A$2:$R$3432,6,0)</f>
        <v>TVS Jupiter </v>
      </c>
      <c r="L1174" s="5" t="s">
        <v>25</v>
      </c>
      <c r="M1174" s="7" t="str">
        <f>VLOOKUP(A1174,Sheet2!$A$2:$R$3432,5,0)</f>
        <v>MH14HA8350</v>
      </c>
      <c r="N1174" s="5" t="s">
        <v>25</v>
      </c>
      <c r="O1174" s="5" t="s">
        <v>25</v>
      </c>
      <c r="P1174" s="6" t="s">
        <v>25</v>
      </c>
      <c r="Q1174" s="5" t="s">
        <v>25</v>
      </c>
      <c r="R1174" s="5" t="s">
        <v>25</v>
      </c>
      <c r="S1174" s="5" t="str">
        <f>VLOOKUP(A1174,Sheet2!$A$2:$R$3432,18,0)</f>
        <v>EG4DJ226951</v>
      </c>
      <c r="T1174" s="7" t="str">
        <f>VLOOKUP(A1174,Sheet2!$A$2:$R$3432,17,0)</f>
        <v>MD626EG48J3G83431</v>
      </c>
    </row>
    <row r="1175" ht="15.75" customHeight="1">
      <c r="A1175" s="3" t="s">
        <v>1198</v>
      </c>
      <c r="B1175" s="4" t="str">
        <f>VLOOKUP(A1175,Sheet2!$A$2:$R$3432,2,0)</f>
        <v>2025-02-22 18:50:51</v>
      </c>
      <c r="C1175" s="5" t="s">
        <v>25</v>
      </c>
      <c r="D1175" s="6" t="s">
        <v>25</v>
      </c>
      <c r="E1175" s="7">
        <f>VLOOKUP(A1175,Sheet2!$A$2:$R$3432,4,0)</f>
        <v>7391050757</v>
      </c>
      <c r="F1175" s="7" t="str">
        <f>VLOOKUP(A1175,Sheet2!$A$2:$R$3432,3,0)</f>
        <v>Giridhar </v>
      </c>
      <c r="G1175" s="5" t="s">
        <v>25</v>
      </c>
      <c r="H1175" s="5" t="s">
        <v>25</v>
      </c>
      <c r="I1175" s="5" t="s">
        <v>25</v>
      </c>
      <c r="J1175" s="5" t="s">
        <v>25</v>
      </c>
      <c r="K1175" s="7" t="str">
        <f>VLOOKUP(A1175,Sheet2!$A$2:$R$3432,6,0)</f>
        <v>TVS Jupiter 125</v>
      </c>
      <c r="L1175" s="5" t="s">
        <v>25</v>
      </c>
      <c r="M1175" s="7" t="str">
        <f>VLOOKUP(A1175,Sheet2!$A$2:$R$3432,5,0)</f>
        <v>MH14KH9806</v>
      </c>
      <c r="N1175" s="5" t="s">
        <v>25</v>
      </c>
      <c r="O1175" s="5" t="s">
        <v>25</v>
      </c>
      <c r="P1175" s="6" t="s">
        <v>25</v>
      </c>
      <c r="Q1175" s="5" t="s">
        <v>25</v>
      </c>
      <c r="R1175" s="5" t="s">
        <v>25</v>
      </c>
      <c r="S1175" s="5" t="str">
        <f>VLOOKUP(A1175,Sheet2!$A$2:$R$3432,18,0)</f>
        <v>BK4GN1616622</v>
      </c>
      <c r="T1175" s="7" t="str">
        <f>VLOOKUP(A1175,Sheet2!$A$2:$R$3432,17,0)</f>
        <v>MD62AK4XN1G17268</v>
      </c>
    </row>
    <row r="1176" ht="15.75" customHeight="1">
      <c r="A1176" s="3" t="s">
        <v>1199</v>
      </c>
      <c r="B1176" s="4" t="str">
        <f>VLOOKUP(A1176,Sheet2!$A$2:$R$3432,2,0)</f>
        <v>2025-02-22 18:52:08</v>
      </c>
      <c r="C1176" s="5" t="s">
        <v>25</v>
      </c>
      <c r="D1176" s="6" t="s">
        <v>25</v>
      </c>
      <c r="E1176" s="7">
        <f>VLOOKUP(A1176,Sheet2!$A$2:$R$3432,4,0)</f>
        <v>8421040002</v>
      </c>
      <c r="F1176" s="7" t="str">
        <f>VLOOKUP(A1176,Sheet2!$A$2:$R$3432,3,0)</f>
        <v>VIJAY MANJRE</v>
      </c>
      <c r="G1176" s="5" t="s">
        <v>25</v>
      </c>
      <c r="H1176" s="5" t="s">
        <v>25</v>
      </c>
      <c r="I1176" s="5" t="s">
        <v>25</v>
      </c>
      <c r="J1176" s="5" t="s">
        <v>25</v>
      </c>
      <c r="K1176" s="7" t="str">
        <f>VLOOKUP(A1176,Sheet2!$A$2:$R$3432,6,0)</f>
        <v>Hero Passion Pro</v>
      </c>
      <c r="L1176" s="5" t="s">
        <v>25</v>
      </c>
      <c r="M1176" s="7" t="str">
        <f>VLOOKUP(A1176,Sheet2!$A$2:$R$3432,5,0)</f>
        <v>MH14CT3358</v>
      </c>
      <c r="N1176" s="5" t="s">
        <v>25</v>
      </c>
      <c r="O1176" s="5" t="s">
        <v>25</v>
      </c>
      <c r="P1176" s="6" t="s">
        <v>25</v>
      </c>
      <c r="Q1176" s="5" t="s">
        <v>25</v>
      </c>
      <c r="R1176" s="5" t="s">
        <v>25</v>
      </c>
      <c r="S1176" s="7" t="str">
        <f>VLOOKUP(A1176,Sheet2!$A$2:$R$3432,18,0)</f>
        <v/>
      </c>
      <c r="T1176" s="7" t="str">
        <f>VLOOKUP(A1176,Sheet2!$A$2:$R$3432,17,0)</f>
        <v>MBLHA10EWBGC23560</v>
      </c>
    </row>
    <row r="1177" ht="15.75" customHeight="1">
      <c r="A1177" s="3" t="s">
        <v>1200</v>
      </c>
      <c r="B1177" s="4" t="str">
        <f>VLOOKUP(A1177,Sheet2!$A$2:$R$3432,2,0)</f>
        <v>2025-02-22 18:54:05</v>
      </c>
      <c r="C1177" s="5" t="s">
        <v>25</v>
      </c>
      <c r="D1177" s="6" t="s">
        <v>25</v>
      </c>
      <c r="E1177" s="7">
        <f>VLOOKUP(A1177,Sheet2!$A$2:$R$3432,4,0)</f>
        <v>8381016173</v>
      </c>
      <c r="F1177" s="7" t="str">
        <f>VLOOKUP(A1177,Sheet2!$A$2:$R$3432,3,0)</f>
        <v>PRASAD PATIL</v>
      </c>
      <c r="G1177" s="5" t="s">
        <v>25</v>
      </c>
      <c r="H1177" s="5" t="s">
        <v>25</v>
      </c>
      <c r="I1177" s="5" t="s">
        <v>25</v>
      </c>
      <c r="J1177" s="5" t="s">
        <v>25</v>
      </c>
      <c r="K1177" s="7" t="str">
        <f>VLOOKUP(A1177,Sheet2!$A$2:$R$3432,6,0)</f>
        <v>Suzuki Access 125</v>
      </c>
      <c r="L1177" s="5" t="s">
        <v>25</v>
      </c>
      <c r="M1177" s="7" t="str">
        <f>VLOOKUP(A1177,Sheet2!$A$2:$R$3432,5,0)</f>
        <v>MH13EH2087</v>
      </c>
      <c r="N1177" s="5" t="s">
        <v>25</v>
      </c>
      <c r="O1177" s="5" t="s">
        <v>25</v>
      </c>
      <c r="P1177" s="6" t="s">
        <v>25</v>
      </c>
      <c r="Q1177" s="5" t="s">
        <v>25</v>
      </c>
      <c r="R1177" s="5" t="s">
        <v>25</v>
      </c>
      <c r="S1177" s="5" t="str">
        <f>VLOOKUP(A1177,Sheet2!$A$2:$R$3432,18,0)</f>
        <v>AF2176864</v>
      </c>
      <c r="T1177" s="7" t="str">
        <f>VLOOKUP(A1177,Sheet2!$A$2:$R$3432,17,0)</f>
        <v>MB8DP12P12PKP8470010</v>
      </c>
    </row>
    <row r="1178" ht="15.75" customHeight="1">
      <c r="A1178" s="3" t="s">
        <v>1201</v>
      </c>
      <c r="B1178" s="4" t="str">
        <f>VLOOKUP(A1178,Sheet2!$A$2:$R$3432,2,0)</f>
        <v>2025-02-22 18:55:05</v>
      </c>
      <c r="C1178" s="5" t="s">
        <v>25</v>
      </c>
      <c r="D1178" s="6" t="s">
        <v>25</v>
      </c>
      <c r="E1178" s="7">
        <f>VLOOKUP(A1178,Sheet2!$A$2:$R$3432,4,0)</f>
        <v>9960354792</v>
      </c>
      <c r="F1178" s="7" t="str">
        <f>VLOOKUP(A1178,Sheet2!$A$2:$R$3432,3,0)</f>
        <v>Pranav Jagam</v>
      </c>
      <c r="G1178" s="5" t="s">
        <v>25</v>
      </c>
      <c r="H1178" s="5" t="s">
        <v>25</v>
      </c>
      <c r="I1178" s="5" t="s">
        <v>25</v>
      </c>
      <c r="J1178" s="5" t="s">
        <v>25</v>
      </c>
      <c r="K1178" s="7" t="str">
        <f>VLOOKUP(A1178,Sheet2!$A$2:$R$3432,6,0)</f>
        <v>TVS Zest 110</v>
      </c>
      <c r="L1178" s="5" t="s">
        <v>25</v>
      </c>
      <c r="M1178" s="7" t="str">
        <f>VLOOKUP(A1178,Sheet2!$A$2:$R$3432,5,0)</f>
        <v>MH14FU6291</v>
      </c>
      <c r="N1178" s="5" t="s">
        <v>25</v>
      </c>
      <c r="O1178" s="5" t="s">
        <v>25</v>
      </c>
      <c r="P1178" s="6" t="s">
        <v>25</v>
      </c>
      <c r="Q1178" s="5" t="s">
        <v>25</v>
      </c>
      <c r="R1178" s="5" t="s">
        <v>25</v>
      </c>
      <c r="S1178" s="7" t="str">
        <f>VLOOKUP(A1178,Sheet2!$A$2:$R$3432,18,0)</f>
        <v/>
      </c>
      <c r="T1178" s="7" t="str">
        <f>VLOOKUP(A1178,Sheet2!$A$2:$R$3432,17,0)</f>
        <v/>
      </c>
    </row>
    <row r="1179" ht="15.75" customHeight="1">
      <c r="A1179" s="3" t="s">
        <v>1202</v>
      </c>
      <c r="B1179" s="4" t="str">
        <f>VLOOKUP(A1179,Sheet2!$A$2:$R$3432,2,0)</f>
        <v>2025-02-22 18:53:45</v>
      </c>
      <c r="C1179" s="5" t="s">
        <v>25</v>
      </c>
      <c r="D1179" s="6" t="s">
        <v>25</v>
      </c>
      <c r="E1179" s="7">
        <f>VLOOKUP(A1179,Sheet2!$A$2:$R$3432,4,0)</f>
        <v>8446971705</v>
      </c>
      <c r="F1179" s="7" t="str">
        <f>VLOOKUP(A1179,Sheet2!$A$2:$R$3432,3,0)</f>
        <v>OMKAR</v>
      </c>
      <c r="G1179" s="5" t="s">
        <v>25</v>
      </c>
      <c r="H1179" s="5" t="s">
        <v>25</v>
      </c>
      <c r="I1179" s="5" t="s">
        <v>25</v>
      </c>
      <c r="J1179" s="5" t="s">
        <v>25</v>
      </c>
      <c r="K1179" s="7" t="str">
        <f>VLOOKUP(A1179,Sheet2!$A$2:$R$3432,6,0)</f>
        <v>Honda Activa 5G</v>
      </c>
      <c r="L1179" s="5" t="s">
        <v>25</v>
      </c>
      <c r="M1179" s="7" t="str">
        <f>VLOOKUP(A1179,Sheet2!$A$2:$R$3432,5,0)</f>
        <v>MH14HP6014</v>
      </c>
      <c r="N1179" s="5" t="s">
        <v>25</v>
      </c>
      <c r="O1179" s="5" t="s">
        <v>25</v>
      </c>
      <c r="P1179" s="6" t="s">
        <v>25</v>
      </c>
      <c r="Q1179" s="5" t="s">
        <v>25</v>
      </c>
      <c r="R1179" s="5" t="s">
        <v>25</v>
      </c>
      <c r="S1179" s="7" t="str">
        <f>VLOOKUP(A1179,Sheet2!$A$2:$R$3432,18,0)</f>
        <v/>
      </c>
      <c r="T1179" s="7" t="str">
        <f>VLOOKUP(A1179,Sheet2!$A$2:$R$3432,17,0)</f>
        <v/>
      </c>
    </row>
    <row r="1180" ht="15.75" customHeight="1">
      <c r="A1180" s="3" t="s">
        <v>1203</v>
      </c>
      <c r="B1180" s="4" t="str">
        <f>VLOOKUP(A1180,Sheet2!$A$2:$R$3432,2,0)</f>
        <v>2025-02-22 19:15:28</v>
      </c>
      <c r="C1180" s="5" t="s">
        <v>25</v>
      </c>
      <c r="D1180" s="6" t="s">
        <v>25</v>
      </c>
      <c r="E1180" s="7">
        <f>VLOOKUP(A1180,Sheet2!$A$2:$R$3432,4,0)</f>
        <v>8485002345</v>
      </c>
      <c r="F1180" s="7" t="str">
        <f>VLOOKUP(A1180,Sheet2!$A$2:$R$3432,3,0)</f>
        <v>Bhakt</v>
      </c>
      <c r="G1180" s="5" t="s">
        <v>25</v>
      </c>
      <c r="H1180" s="5" t="s">
        <v>25</v>
      </c>
      <c r="I1180" s="5" t="s">
        <v>25</v>
      </c>
      <c r="J1180" s="5" t="s">
        <v>25</v>
      </c>
      <c r="K1180" s="7" t="str">
        <f>VLOOKUP(A1180,Sheet2!$A$2:$R$3432,6,0)</f>
        <v>Yamaha MT 15</v>
      </c>
      <c r="L1180" s="5" t="s">
        <v>25</v>
      </c>
      <c r="M1180" s="7" t="str">
        <f>VLOOKUP(A1180,Sheet2!$A$2:$R$3432,5,0)</f>
        <v>MH12UP4862</v>
      </c>
      <c r="N1180" s="5" t="s">
        <v>25</v>
      </c>
      <c r="O1180" s="5" t="s">
        <v>25</v>
      </c>
      <c r="P1180" s="6" t="s">
        <v>25</v>
      </c>
      <c r="Q1180" s="5" t="s">
        <v>25</v>
      </c>
      <c r="R1180" s="5" t="s">
        <v>25</v>
      </c>
      <c r="S1180" s="7" t="str">
        <f>VLOOKUP(A1180,Sheet2!$A$2:$R$3432,18,0)</f>
        <v/>
      </c>
      <c r="T1180" s="7" t="str">
        <f>VLOOKUP(A1180,Sheet2!$A$2:$R$3432,17,0)</f>
        <v/>
      </c>
    </row>
    <row r="1181" ht="15.75" customHeight="1">
      <c r="A1181" s="3" t="s">
        <v>1204</v>
      </c>
      <c r="B1181" s="4" t="str">
        <f>VLOOKUP(A1181,Sheet2!$A$2:$R$3432,2,0)</f>
        <v>2025-02-22 19:16:58</v>
      </c>
      <c r="C1181" s="5" t="s">
        <v>25</v>
      </c>
      <c r="D1181" s="6" t="s">
        <v>25</v>
      </c>
      <c r="E1181" s="7">
        <f>VLOOKUP(A1181,Sheet2!$A$2:$R$3432,4,0)</f>
        <v>9552235880</v>
      </c>
      <c r="F1181" s="7" t="str">
        <f>VLOOKUP(A1181,Sheet2!$A$2:$R$3432,3,0)</f>
        <v>Sachin Chaudhary </v>
      </c>
      <c r="G1181" s="5" t="s">
        <v>25</v>
      </c>
      <c r="H1181" s="5" t="s">
        <v>25</v>
      </c>
      <c r="I1181" s="5" t="s">
        <v>25</v>
      </c>
      <c r="J1181" s="5" t="s">
        <v>25</v>
      </c>
      <c r="K1181" s="7" t="str">
        <f>VLOOKUP(A1181,Sheet2!$A$2:$R$3432,6,0)</f>
        <v>Honda Activa </v>
      </c>
      <c r="L1181" s="5" t="s">
        <v>25</v>
      </c>
      <c r="M1181" s="7" t="str">
        <f>VLOOKUP(A1181,Sheet2!$A$2:$R$3432,5,0)</f>
        <v>MH12GH9665</v>
      </c>
      <c r="N1181" s="5" t="s">
        <v>25</v>
      </c>
      <c r="O1181" s="5" t="s">
        <v>25</v>
      </c>
      <c r="P1181" s="6" t="s">
        <v>25</v>
      </c>
      <c r="Q1181" s="5" t="s">
        <v>25</v>
      </c>
      <c r="R1181" s="5" t="s">
        <v>25</v>
      </c>
      <c r="S1181" s="7" t="str">
        <f>VLOOKUP(A1181,Sheet2!$A$2:$R$3432,18,0)</f>
        <v/>
      </c>
      <c r="T1181" s="7" t="str">
        <f>VLOOKUP(A1181,Sheet2!$A$2:$R$3432,17,0)</f>
        <v/>
      </c>
    </row>
    <row r="1182" ht="15.75" customHeight="1">
      <c r="A1182" s="3" t="s">
        <v>1205</v>
      </c>
      <c r="B1182" s="4" t="str">
        <f>VLOOKUP(A1182,Sheet2!$A$2:$R$3432,2,0)</f>
        <v>2025-02-22 19:36:27</v>
      </c>
      <c r="C1182" s="5" t="s">
        <v>25</v>
      </c>
      <c r="D1182" s="6" t="s">
        <v>25</v>
      </c>
      <c r="E1182" s="7">
        <f>VLOOKUP(A1182,Sheet2!$A$2:$R$3432,4,0)</f>
        <v>9353500905</v>
      </c>
      <c r="F1182" s="7" t="str">
        <f>VLOOKUP(A1182,Sheet2!$A$2:$R$3432,3,0)</f>
        <v>RAHUL K</v>
      </c>
      <c r="G1182" s="5" t="s">
        <v>25</v>
      </c>
      <c r="H1182" s="5" t="s">
        <v>25</v>
      </c>
      <c r="I1182" s="5" t="s">
        <v>25</v>
      </c>
      <c r="J1182" s="5" t="s">
        <v>25</v>
      </c>
      <c r="K1182" s="7" t="str">
        <f>VLOOKUP(A1182,Sheet2!$A$2:$R$3432,6,0)</f>
        <v>Suzuki Access 125</v>
      </c>
      <c r="L1182" s="5" t="s">
        <v>25</v>
      </c>
      <c r="M1182" s="7" t="str">
        <f>VLOOKUP(A1182,Sheet2!$A$2:$R$3432,5,0)</f>
        <v>MH12UB8120</v>
      </c>
      <c r="N1182" s="5" t="s">
        <v>25</v>
      </c>
      <c r="O1182" s="5" t="s">
        <v>25</v>
      </c>
      <c r="P1182" s="6" t="s">
        <v>25</v>
      </c>
      <c r="Q1182" s="5" t="s">
        <v>25</v>
      </c>
      <c r="R1182" s="5" t="s">
        <v>25</v>
      </c>
      <c r="S1182" s="5" t="str">
        <f>VLOOKUP(A1182,Sheet2!$A$2:$R$3432,18,0)</f>
        <v>AF216983397</v>
      </c>
      <c r="T1182" s="7" t="str">
        <f>VLOOKUP(A1182,Sheet2!$A$2:$R$3432,17,0)</f>
        <v>MB8DP12DVN8A88571</v>
      </c>
    </row>
    <row r="1183" ht="15.75" customHeight="1">
      <c r="A1183" s="3" t="s">
        <v>1206</v>
      </c>
      <c r="B1183" s="4" t="str">
        <f>VLOOKUP(A1183,Sheet2!$A$2:$R$3432,2,0)</f>
        <v>2024-08-28 20:20:30</v>
      </c>
      <c r="C1183" s="5" t="s">
        <v>25</v>
      </c>
      <c r="D1183" s="6" t="s">
        <v>25</v>
      </c>
      <c r="E1183" s="7">
        <f>VLOOKUP(A1183,Sheet2!$A$2:$R$3432,4,0)</f>
        <v>7620583643</v>
      </c>
      <c r="F1183" s="7" t="str">
        <f>VLOOKUP(A1183,Sheet2!$A$2:$R$3432,3,0)</f>
        <v>SHAHAJI DEOKAR</v>
      </c>
      <c r="G1183" s="5" t="s">
        <v>25</v>
      </c>
      <c r="H1183" s="5" t="s">
        <v>25</v>
      </c>
      <c r="I1183" s="5" t="s">
        <v>25</v>
      </c>
      <c r="J1183" s="5" t="s">
        <v>25</v>
      </c>
      <c r="K1183" s="7" t="str">
        <f>VLOOKUP(A1183,Sheet2!$A$2:$R$3432,6,0)</f>
        <v>Piaggio Vespa </v>
      </c>
      <c r="L1183" s="5" t="s">
        <v>25</v>
      </c>
      <c r="M1183" s="7" t="str">
        <f>VLOOKUP(A1183,Sheet2!$A$2:$R$3432,5,0)</f>
        <v>MH14GL1169</v>
      </c>
      <c r="N1183" s="5" t="s">
        <v>25</v>
      </c>
      <c r="O1183" s="5" t="s">
        <v>25</v>
      </c>
      <c r="P1183" s="6" t="s">
        <v>25</v>
      </c>
      <c r="Q1183" s="5" t="s">
        <v>25</v>
      </c>
      <c r="R1183" s="5" t="s">
        <v>25</v>
      </c>
      <c r="S1183" s="7" t="str">
        <f>VLOOKUP(A1183,Sheet2!$A$2:$R$3432,18,0)</f>
        <v/>
      </c>
      <c r="T1183" s="7" t="str">
        <f>VLOOKUP(A1183,Sheet2!$A$2:$R$3432,17,0)</f>
        <v/>
      </c>
    </row>
    <row r="1184" ht="15.75" customHeight="1">
      <c r="A1184" s="3" t="s">
        <v>1207</v>
      </c>
      <c r="B1184" s="4" t="str">
        <f>VLOOKUP(A1184,Sheet2!$A$2:$R$3432,2,0)</f>
        <v>2024-08-28 20:37:02</v>
      </c>
      <c r="C1184" s="5" t="s">
        <v>25</v>
      </c>
      <c r="D1184" s="6" t="s">
        <v>25</v>
      </c>
      <c r="E1184" s="7">
        <f>VLOOKUP(A1184,Sheet2!$A$2:$R$3432,4,0)</f>
        <v>8149209655</v>
      </c>
      <c r="F1184" s="7" t="str">
        <f>VLOOKUP(A1184,Sheet2!$A$2:$R$3432,3,0)</f>
        <v>Saurabh </v>
      </c>
      <c r="G1184" s="5" t="s">
        <v>25</v>
      </c>
      <c r="H1184" s="5" t="s">
        <v>25</v>
      </c>
      <c r="I1184" s="5" t="s">
        <v>25</v>
      </c>
      <c r="J1184" s="5" t="s">
        <v>25</v>
      </c>
      <c r="K1184" s="7" t="str">
        <f>VLOOKUP(A1184,Sheet2!$A$2:$R$3432,6,0)</f>
        <v>Hero Deluxe HF</v>
      </c>
      <c r="L1184" s="5" t="s">
        <v>25</v>
      </c>
      <c r="M1184" s="7" t="str">
        <f>VLOOKUP(A1184,Sheet2!$A$2:$R$3432,5,0)</f>
        <v>MH10CF6968</v>
      </c>
      <c r="N1184" s="5" t="s">
        <v>25</v>
      </c>
      <c r="O1184" s="5" t="s">
        <v>25</v>
      </c>
      <c r="P1184" s="6" t="s">
        <v>25</v>
      </c>
      <c r="Q1184" s="5" t="s">
        <v>25</v>
      </c>
      <c r="R1184" s="5" t="s">
        <v>25</v>
      </c>
      <c r="S1184" s="5" t="str">
        <f>VLOOKUP(A1184,Sheet2!$A$2:$R$3432,18,0)</f>
        <v>HA11EKQ9C10118</v>
      </c>
      <c r="T1184" s="7" t="str">
        <f>VLOOKUP(A1184,Sheet2!$A$2:$R$3432,17,0)</f>
        <v>MBLHA11AZG9C10360</v>
      </c>
    </row>
    <row r="1185" ht="15.75" customHeight="1">
      <c r="A1185" s="3" t="s">
        <v>1208</v>
      </c>
      <c r="B1185" s="4" t="str">
        <f>VLOOKUP(A1185,Sheet2!$A$2:$R$3432,2,0)</f>
        <v>2024-08-28 20:36:04</v>
      </c>
      <c r="C1185" s="5" t="s">
        <v>25</v>
      </c>
      <c r="D1185" s="6" t="s">
        <v>25</v>
      </c>
      <c r="E1185" s="7">
        <f>VLOOKUP(A1185,Sheet2!$A$2:$R$3432,4,0)</f>
        <v>7769915926</v>
      </c>
      <c r="F1185" s="7" t="str">
        <f>VLOOKUP(A1185,Sheet2!$A$2:$R$3432,3,0)</f>
        <v>SUMIT GORE</v>
      </c>
      <c r="G1185" s="5" t="s">
        <v>25</v>
      </c>
      <c r="H1185" s="5" t="s">
        <v>25</v>
      </c>
      <c r="I1185" s="5" t="s">
        <v>25</v>
      </c>
      <c r="J1185" s="5" t="s">
        <v>25</v>
      </c>
      <c r="K1185" s="7" t="str">
        <f>VLOOKUP(A1185,Sheet2!$A$2:$R$3432,6,0)</f>
        <v>Royal Enfield Meteor  350</v>
      </c>
      <c r="L1185" s="5" t="s">
        <v>25</v>
      </c>
      <c r="M1185" s="7" t="str">
        <f>VLOOKUP(A1185,Sheet2!$A$2:$R$3432,5,0)</f>
        <v>MH14JK3965</v>
      </c>
      <c r="N1185" s="5" t="s">
        <v>25</v>
      </c>
      <c r="O1185" s="5" t="s">
        <v>25</v>
      </c>
      <c r="P1185" s="6" t="s">
        <v>25</v>
      </c>
      <c r="Q1185" s="5" t="s">
        <v>25</v>
      </c>
      <c r="R1185" s="5" t="s">
        <v>25</v>
      </c>
      <c r="S1185" s="5" t="str">
        <f>VLOOKUP(A1185,Sheet2!$A$2:$R$3432,18,0)</f>
        <v>J3A5FML2009326</v>
      </c>
      <c r="T1185" s="7" t="str">
        <f>VLOOKUP(A1185,Sheet2!$A$2:$R$3432,17,0)</f>
        <v>ME3J3A5FML2007657</v>
      </c>
    </row>
    <row r="1186" ht="15.75" customHeight="1">
      <c r="A1186" s="3" t="s">
        <v>1209</v>
      </c>
      <c r="B1186" s="4" t="str">
        <f>VLOOKUP(A1186,Sheet2!$A$2:$R$3432,2,0)</f>
        <v>2024-08-28 20:38:38</v>
      </c>
      <c r="C1186" s="5" t="s">
        <v>25</v>
      </c>
      <c r="D1186" s="6" t="s">
        <v>25</v>
      </c>
      <c r="E1186" s="7">
        <f>VLOOKUP(A1186,Sheet2!$A$2:$R$3432,4,0)</f>
        <v>9284298453</v>
      </c>
      <c r="F1186" s="7" t="str">
        <f>VLOOKUP(A1186,Sheet2!$A$2:$R$3432,3,0)</f>
        <v>Rahul Borve</v>
      </c>
      <c r="G1186" s="5" t="s">
        <v>25</v>
      </c>
      <c r="H1186" s="5" t="s">
        <v>25</v>
      </c>
      <c r="I1186" s="5" t="s">
        <v>25</v>
      </c>
      <c r="J1186" s="5" t="s">
        <v>25</v>
      </c>
      <c r="K1186" s="7" t="str">
        <f>VLOOKUP(A1186,Sheet2!$A$2:$R$3432,6,0)</f>
        <v>Aprilla SR SR 150</v>
      </c>
      <c r="L1186" s="5" t="s">
        <v>25</v>
      </c>
      <c r="M1186" s="7" t="str">
        <f>VLOOKUP(A1186,Sheet2!$A$2:$R$3432,5,0)</f>
        <v>MH12PS1465</v>
      </c>
      <c r="N1186" s="5" t="s">
        <v>25</v>
      </c>
      <c r="O1186" s="5" t="s">
        <v>25</v>
      </c>
      <c r="P1186" s="6" t="s">
        <v>25</v>
      </c>
      <c r="Q1186" s="5" t="s">
        <v>25</v>
      </c>
      <c r="R1186" s="5" t="s">
        <v>25</v>
      </c>
      <c r="S1186" s="5" t="str">
        <f>VLOOKUP(A1186,Sheet2!$A$2:$R$3432,18,0)</f>
        <v>M911M3030588</v>
      </c>
      <c r="T1186" s="7" t="str">
        <f>VLOOKUP(A1186,Sheet2!$A$2:$R$3432,17,0)</f>
        <v>MET0061AAVH030302</v>
      </c>
    </row>
    <row r="1187" ht="15.75" customHeight="1">
      <c r="A1187" s="3" t="s">
        <v>1210</v>
      </c>
      <c r="B1187" s="4" t="str">
        <f>VLOOKUP(A1187,Sheet2!$A$2:$R$3432,2,0)</f>
        <v>2024-08-28 20:37:19</v>
      </c>
      <c r="C1187" s="5" t="s">
        <v>25</v>
      </c>
      <c r="D1187" s="6" t="s">
        <v>25</v>
      </c>
      <c r="E1187" s="7">
        <f>VLOOKUP(A1187,Sheet2!$A$2:$R$3432,4,0)</f>
        <v>9011225678</v>
      </c>
      <c r="F1187" s="7" t="str">
        <f>VLOOKUP(A1187,Sheet2!$A$2:$R$3432,3,0)</f>
        <v>Saurabh </v>
      </c>
      <c r="G1187" s="5" t="s">
        <v>25</v>
      </c>
      <c r="H1187" s="5" t="s">
        <v>25</v>
      </c>
      <c r="I1187" s="5" t="s">
        <v>25</v>
      </c>
      <c r="J1187" s="5" t="s">
        <v>25</v>
      </c>
      <c r="K1187" s="7" t="str">
        <f>VLOOKUP(A1187,Sheet2!$A$2:$R$3432,6,0)</f>
        <v>Honda Activa 6G</v>
      </c>
      <c r="L1187" s="5" t="s">
        <v>25</v>
      </c>
      <c r="M1187" s="7" t="str">
        <f>VLOOKUP(A1187,Sheet2!$A$2:$R$3432,5,0)</f>
        <v>MH14KM1073</v>
      </c>
      <c r="N1187" s="5" t="s">
        <v>25</v>
      </c>
      <c r="O1187" s="5" t="s">
        <v>25</v>
      </c>
      <c r="P1187" s="6" t="s">
        <v>25</v>
      </c>
      <c r="Q1187" s="5" t="s">
        <v>25</v>
      </c>
      <c r="R1187" s="5" t="s">
        <v>25</v>
      </c>
      <c r="S1187" s="5" t="str">
        <f>VLOOKUP(A1187,Sheet2!$A$2:$R$3432,18,0)</f>
        <v>JF19EG7455387</v>
      </c>
      <c r="T1187" s="7" t="str">
        <f>VLOOKUP(A1187,Sheet2!$A$2:$R$3432,17,0)</f>
        <v>ME4JF51ALNG455146</v>
      </c>
    </row>
    <row r="1188" ht="15.75" customHeight="1">
      <c r="A1188" s="3" t="s">
        <v>1211</v>
      </c>
      <c r="B1188" s="4" t="str">
        <f>VLOOKUP(A1188,Sheet2!$A$2:$R$3432,2,0)</f>
        <v>2024-08-28 20:33:22</v>
      </c>
      <c r="C1188" s="5" t="s">
        <v>25</v>
      </c>
      <c r="D1188" s="6" t="s">
        <v>25</v>
      </c>
      <c r="E1188" s="7">
        <f>VLOOKUP(A1188,Sheet2!$A$2:$R$3432,4,0)</f>
        <v>7387153454</v>
      </c>
      <c r="F1188" s="7" t="str">
        <f>VLOOKUP(A1188,Sheet2!$A$2:$R$3432,3,0)</f>
        <v>Anuj Shukla </v>
      </c>
      <c r="G1188" s="5" t="s">
        <v>25</v>
      </c>
      <c r="H1188" s="5" t="s">
        <v>25</v>
      </c>
      <c r="I1188" s="5" t="s">
        <v>25</v>
      </c>
      <c r="J1188" s="5" t="s">
        <v>25</v>
      </c>
      <c r="K1188" s="7" t="str">
        <f>VLOOKUP(A1188,Sheet2!$A$2:$R$3432,6,0)</f>
        <v>Yamaha FZ V3</v>
      </c>
      <c r="L1188" s="5" t="s">
        <v>25</v>
      </c>
      <c r="M1188" s="7" t="str">
        <f>VLOOKUP(A1188,Sheet2!$A$2:$R$3432,5,0)</f>
        <v>MH49AM4017</v>
      </c>
      <c r="N1188" s="5" t="s">
        <v>25</v>
      </c>
      <c r="O1188" s="5" t="s">
        <v>25</v>
      </c>
      <c r="P1188" s="6" t="s">
        <v>25</v>
      </c>
      <c r="Q1188" s="5" t="s">
        <v>25</v>
      </c>
      <c r="R1188" s="5" t="s">
        <v>25</v>
      </c>
      <c r="S1188" s="7" t="str">
        <f>VLOOKUP(A1188,Sheet2!$A$2:$R$3432,18,0)</f>
        <v/>
      </c>
      <c r="T1188" s="7" t="str">
        <f>VLOOKUP(A1188,Sheet2!$A$2:$R$3432,17,0)</f>
        <v/>
      </c>
    </row>
    <row r="1189" ht="15.75" customHeight="1">
      <c r="A1189" s="3" t="s">
        <v>1212</v>
      </c>
      <c r="B1189" s="4" t="str">
        <f>VLOOKUP(A1189,Sheet2!$A$2:$R$3432,2,0)</f>
        <v>2024-08-28 20:48:36</v>
      </c>
      <c r="C1189" s="5" t="s">
        <v>25</v>
      </c>
      <c r="D1189" s="6" t="s">
        <v>25</v>
      </c>
      <c r="E1189" s="7">
        <f>VLOOKUP(A1189,Sheet2!$A$2:$R$3432,4,0)</f>
        <v>9665276545</v>
      </c>
      <c r="F1189" s="7" t="str">
        <f>VLOOKUP(A1189,Sheet2!$A$2:$R$3432,3,0)</f>
        <v>Mangesh</v>
      </c>
      <c r="G1189" s="5" t="s">
        <v>25</v>
      </c>
      <c r="H1189" s="5" t="s">
        <v>25</v>
      </c>
      <c r="I1189" s="5" t="s">
        <v>25</v>
      </c>
      <c r="J1189" s="5" t="s">
        <v>25</v>
      </c>
      <c r="K1189" s="7" t="str">
        <f>VLOOKUP(A1189,Sheet2!$A$2:$R$3432,6,0)</f>
        <v>Yamaha SZ RR</v>
      </c>
      <c r="L1189" s="5" t="s">
        <v>25</v>
      </c>
      <c r="M1189" s="7" t="str">
        <f>VLOOKUP(A1189,Sheet2!$A$2:$R$3432,5,0)</f>
        <v>MH14DZ4971</v>
      </c>
      <c r="N1189" s="5" t="s">
        <v>25</v>
      </c>
      <c r="O1189" s="5" t="s">
        <v>25</v>
      </c>
      <c r="P1189" s="6" t="s">
        <v>25</v>
      </c>
      <c r="Q1189" s="5" t="s">
        <v>25</v>
      </c>
      <c r="R1189" s="5" t="s">
        <v>25</v>
      </c>
      <c r="S1189" s="7" t="str">
        <f>VLOOKUP(A1189,Sheet2!$A$2:$R$3432,18,0)</f>
        <v/>
      </c>
      <c r="T1189" s="7" t="str">
        <f>VLOOKUP(A1189,Sheet2!$A$2:$R$3432,17,0)</f>
        <v/>
      </c>
    </row>
    <row r="1190" ht="15.75" customHeight="1">
      <c r="A1190" s="3" t="s">
        <v>1213</v>
      </c>
      <c r="B1190" s="4" t="str">
        <f>VLOOKUP(A1190,Sheet2!$A$2:$R$3432,2,0)</f>
        <v>2024-08-28 20:31:47</v>
      </c>
      <c r="C1190" s="5" t="s">
        <v>25</v>
      </c>
      <c r="D1190" s="6" t="s">
        <v>25</v>
      </c>
      <c r="E1190" s="7">
        <f>VLOOKUP(A1190,Sheet2!$A$2:$R$3432,4,0)</f>
        <v>8007444915</v>
      </c>
      <c r="F1190" s="7" t="str">
        <f>VLOOKUP(A1190,Sheet2!$A$2:$R$3432,3,0)</f>
        <v>Sanket Patil </v>
      </c>
      <c r="G1190" s="5" t="s">
        <v>25</v>
      </c>
      <c r="H1190" s="5" t="s">
        <v>25</v>
      </c>
      <c r="I1190" s="5" t="s">
        <v>25</v>
      </c>
      <c r="J1190" s="5" t="s">
        <v>25</v>
      </c>
      <c r="K1190" s="7" t="str">
        <f>VLOOKUP(A1190,Sheet2!$A$2:$R$3432,6,0)</f>
        <v>Hero Xpulse 200</v>
      </c>
      <c r="L1190" s="5" t="s">
        <v>25</v>
      </c>
      <c r="M1190" s="7" t="str">
        <f>VLOOKUP(A1190,Sheet2!$A$2:$R$3432,5,0)</f>
        <v>MH12SW2871</v>
      </c>
      <c r="N1190" s="5" t="s">
        <v>25</v>
      </c>
      <c r="O1190" s="5" t="s">
        <v>25</v>
      </c>
      <c r="P1190" s="6" t="s">
        <v>25</v>
      </c>
      <c r="Q1190" s="5" t="s">
        <v>25</v>
      </c>
      <c r="R1190" s="5" t="s">
        <v>25</v>
      </c>
      <c r="S1190" s="5" t="str">
        <f>VLOOKUP(A1190,Sheet2!$A$2:$R$3432,18,0)</f>
        <v>MC20AGLGJ00586</v>
      </c>
      <c r="T1190" s="7" t="str">
        <f>VLOOKUP(A1190,Sheet2!$A$2:$R$3432,17,0)</f>
        <v>MBLLD0LGJ01811</v>
      </c>
    </row>
    <row r="1191" ht="15.75" customHeight="1">
      <c r="A1191" s="3" t="s">
        <v>1214</v>
      </c>
      <c r="B1191" s="4" t="str">
        <f>VLOOKUP(A1191,Sheet2!$A$2:$R$3432,2,0)</f>
        <v>2024-08-28 20:39:14</v>
      </c>
      <c r="C1191" s="5" t="s">
        <v>25</v>
      </c>
      <c r="D1191" s="6" t="s">
        <v>25</v>
      </c>
      <c r="E1191" s="7">
        <f>VLOOKUP(A1191,Sheet2!$A$2:$R$3432,4,0)</f>
        <v>8208687302</v>
      </c>
      <c r="F1191" s="7" t="str">
        <f>VLOOKUP(A1191,Sheet2!$A$2:$R$3432,3,0)</f>
        <v>SHUBHAM </v>
      </c>
      <c r="G1191" s="5" t="s">
        <v>25</v>
      </c>
      <c r="H1191" s="5" t="s">
        <v>25</v>
      </c>
      <c r="I1191" s="5" t="s">
        <v>25</v>
      </c>
      <c r="J1191" s="5" t="s">
        <v>25</v>
      </c>
      <c r="K1191" s="7" t="str">
        <f>VLOOKUP(A1191,Sheet2!$A$2:$R$3432,6,0)</f>
        <v>Aprilla SR SR 150</v>
      </c>
      <c r="L1191" s="5" t="s">
        <v>25</v>
      </c>
      <c r="M1191" s="7" t="str">
        <f>VLOOKUP(A1191,Sheet2!$A$2:$R$3432,5,0)</f>
        <v>MH12NS7755</v>
      </c>
      <c r="N1191" s="5" t="s">
        <v>25</v>
      </c>
      <c r="O1191" s="5" t="s">
        <v>25</v>
      </c>
      <c r="P1191" s="6" t="s">
        <v>25</v>
      </c>
      <c r="Q1191" s="5" t="s">
        <v>25</v>
      </c>
      <c r="R1191" s="5" t="s">
        <v>25</v>
      </c>
      <c r="S1191" s="7" t="str">
        <f>VLOOKUP(A1191,Sheet2!$A$2:$R$3432,18,0)</f>
        <v/>
      </c>
      <c r="T1191" s="7" t="str">
        <f>VLOOKUP(A1191,Sheet2!$A$2:$R$3432,17,0)</f>
        <v/>
      </c>
    </row>
    <row r="1192" ht="15.75" customHeight="1">
      <c r="A1192" s="3" t="s">
        <v>1215</v>
      </c>
      <c r="B1192" s="4" t="str">
        <f>VLOOKUP(A1192,Sheet2!$A$2:$R$3432,2,0)</f>
        <v>2024-08-28 20:31:02</v>
      </c>
      <c r="C1192" s="5" t="s">
        <v>25</v>
      </c>
      <c r="D1192" s="6" t="s">
        <v>25</v>
      </c>
      <c r="E1192" s="7">
        <f>VLOOKUP(A1192,Sheet2!$A$2:$R$3432,4,0)</f>
        <v>8623065653</v>
      </c>
      <c r="F1192" s="7" t="str">
        <f>VLOOKUP(A1192,Sheet2!$A$2:$R$3432,3,0)</f>
        <v>Sanket Bele </v>
      </c>
      <c r="G1192" s="5" t="s">
        <v>25</v>
      </c>
      <c r="H1192" s="5" t="s">
        <v>25</v>
      </c>
      <c r="I1192" s="5" t="s">
        <v>25</v>
      </c>
      <c r="J1192" s="5" t="s">
        <v>25</v>
      </c>
      <c r="K1192" s="7" t="str">
        <f>VLOOKUP(A1192,Sheet2!$A$2:$R$3432,6,0)</f>
        <v>Royal Enfield Classic 350</v>
      </c>
      <c r="L1192" s="5" t="s">
        <v>25</v>
      </c>
      <c r="M1192" s="7" t="str">
        <f>VLOOKUP(A1192,Sheet2!$A$2:$R$3432,5,0)</f>
        <v>DL12SH6751</v>
      </c>
      <c r="N1192" s="5" t="s">
        <v>25</v>
      </c>
      <c r="O1192" s="5" t="s">
        <v>25</v>
      </c>
      <c r="P1192" s="6" t="s">
        <v>25</v>
      </c>
      <c r="Q1192" s="5" t="s">
        <v>25</v>
      </c>
      <c r="R1192" s="5" t="s">
        <v>25</v>
      </c>
      <c r="S1192" s="5" t="str">
        <f>VLOOKUP(A1192,Sheet2!$A$2:$R$3432,18,0)</f>
        <v>U3S5C1H293404</v>
      </c>
      <c r="T1192" s="7" t="str">
        <f>VLOOKUP(A1192,Sheet2!$A$2:$R$3432,17,0)</f>
        <v>ME3U3S5C1GH666576</v>
      </c>
    </row>
    <row r="1193" ht="15.75" customHeight="1">
      <c r="A1193" s="3" t="s">
        <v>1216</v>
      </c>
      <c r="B1193" s="4" t="str">
        <f>VLOOKUP(A1193,Sheet2!$A$2:$R$3432,2,0)</f>
        <v>2024-08-28 20:29:55</v>
      </c>
      <c r="C1193" s="5" t="s">
        <v>25</v>
      </c>
      <c r="D1193" s="6" t="s">
        <v>25</v>
      </c>
      <c r="E1193" s="7">
        <f>VLOOKUP(A1193,Sheet2!$A$2:$R$3432,4,0)</f>
        <v>9890504294</v>
      </c>
      <c r="F1193" s="7" t="str">
        <f>VLOOKUP(A1193,Sheet2!$A$2:$R$3432,3,0)</f>
        <v>SUNIL MARATHE</v>
      </c>
      <c r="G1193" s="5" t="s">
        <v>25</v>
      </c>
      <c r="H1193" s="5" t="s">
        <v>25</v>
      </c>
      <c r="I1193" s="5" t="s">
        <v>25</v>
      </c>
      <c r="J1193" s="5" t="s">
        <v>25</v>
      </c>
      <c r="K1193" s="7" t="str">
        <f>VLOOKUP(A1193,Sheet2!$A$2:$R$3432,6,0)</f>
        <v>Honda Activa 4G</v>
      </c>
      <c r="L1193" s="5" t="s">
        <v>25</v>
      </c>
      <c r="M1193" s="7" t="str">
        <f>VLOOKUP(A1193,Sheet2!$A$2:$R$3432,5,0)</f>
        <v>MH12RL6254</v>
      </c>
      <c r="N1193" s="5" t="s">
        <v>25</v>
      </c>
      <c r="O1193" s="5" t="s">
        <v>25</v>
      </c>
      <c r="P1193" s="6" t="s">
        <v>25</v>
      </c>
      <c r="Q1193" s="5" t="s">
        <v>25</v>
      </c>
      <c r="R1193" s="5" t="s">
        <v>25</v>
      </c>
      <c r="S1193" s="7" t="str">
        <f>VLOOKUP(A1193,Sheet2!$A$2:$R$3432,18,0)</f>
        <v/>
      </c>
      <c r="T1193" s="7" t="str">
        <f>VLOOKUP(A1193,Sheet2!$A$2:$R$3432,17,0)</f>
        <v/>
      </c>
    </row>
    <row r="1194" ht="15.75" customHeight="1">
      <c r="A1194" s="3" t="s">
        <v>1217</v>
      </c>
      <c r="B1194" s="4" t="str">
        <f>VLOOKUP(A1194,Sheet2!$A$2:$R$3432,2,0)</f>
        <v>2024-08-28 20:44:39</v>
      </c>
      <c r="C1194" s="5" t="s">
        <v>25</v>
      </c>
      <c r="D1194" s="6" t="s">
        <v>25</v>
      </c>
      <c r="E1194" s="7">
        <f>VLOOKUP(A1194,Sheet2!$A$2:$R$3432,4,0)</f>
        <v>9579730207</v>
      </c>
      <c r="F1194" s="7" t="str">
        <f>VLOOKUP(A1194,Sheet2!$A$2:$R$3432,3,0)</f>
        <v>GAURAV JADHAV</v>
      </c>
      <c r="G1194" s="5" t="s">
        <v>25</v>
      </c>
      <c r="H1194" s="5" t="s">
        <v>25</v>
      </c>
      <c r="I1194" s="5" t="s">
        <v>25</v>
      </c>
      <c r="J1194" s="5" t="s">
        <v>25</v>
      </c>
      <c r="K1194" s="7" t="str">
        <f>VLOOKUP(A1194,Sheet2!$A$2:$R$3432,6,0)</f>
        <v>Suzuki Access 125</v>
      </c>
      <c r="L1194" s="5" t="s">
        <v>25</v>
      </c>
      <c r="M1194" s="7" t="str">
        <f>VLOOKUP(A1194,Sheet2!$A$2:$R$3432,5,0)</f>
        <v>MH15DN1247</v>
      </c>
      <c r="N1194" s="5" t="s">
        <v>25</v>
      </c>
      <c r="O1194" s="5" t="s">
        <v>25</v>
      </c>
      <c r="P1194" s="6" t="s">
        <v>25</v>
      </c>
      <c r="Q1194" s="5" t="s">
        <v>25</v>
      </c>
      <c r="R1194" s="5" t="s">
        <v>25</v>
      </c>
      <c r="S1194" s="5" t="str">
        <f>VLOOKUP(A1194,Sheet2!$A$2:$R$3432,18,0)</f>
        <v>F486985511</v>
      </c>
      <c r="T1194" s="7" t="str">
        <f>VLOOKUP(A1194,Sheet2!$A$2:$R$3432,17,0)</f>
        <v>MB8CF4CADC8122599</v>
      </c>
    </row>
    <row r="1195" ht="15.75" customHeight="1">
      <c r="A1195" s="3" t="s">
        <v>1218</v>
      </c>
      <c r="B1195" s="4" t="str">
        <f>VLOOKUP(A1195,Sheet2!$A$2:$R$3432,2,0)</f>
        <v>2024-08-28 20:29:02</v>
      </c>
      <c r="C1195" s="5" t="s">
        <v>25</v>
      </c>
      <c r="D1195" s="6" t="s">
        <v>25</v>
      </c>
      <c r="E1195" s="7">
        <f>VLOOKUP(A1195,Sheet2!$A$2:$R$3432,4,0)</f>
        <v>9764705265</v>
      </c>
      <c r="F1195" s="7" t="str">
        <f>VLOOKUP(A1195,Sheet2!$A$2:$R$3432,3,0)</f>
        <v>SANKALP </v>
      </c>
      <c r="G1195" s="5" t="s">
        <v>25</v>
      </c>
      <c r="H1195" s="5" t="s">
        <v>25</v>
      </c>
      <c r="I1195" s="5" t="s">
        <v>25</v>
      </c>
      <c r="J1195" s="5" t="s">
        <v>25</v>
      </c>
      <c r="K1195" s="7" t="str">
        <f>VLOOKUP(A1195,Sheet2!$A$2:$R$3432,6,0)</f>
        <v>Honda Dio </v>
      </c>
      <c r="L1195" s="5" t="s">
        <v>25</v>
      </c>
      <c r="M1195" s="7" t="str">
        <f>VLOOKUP(A1195,Sheet2!$A$2:$R$3432,5,0)</f>
        <v>GA03F3805</v>
      </c>
      <c r="N1195" s="5" t="s">
        <v>25</v>
      </c>
      <c r="O1195" s="5" t="s">
        <v>25</v>
      </c>
      <c r="P1195" s="6" t="s">
        <v>25</v>
      </c>
      <c r="Q1195" s="5" t="s">
        <v>25</v>
      </c>
      <c r="R1195" s="5" t="s">
        <v>25</v>
      </c>
      <c r="S1195" s="5" t="str">
        <f>VLOOKUP(A1195,Sheet2!$A$2:$R$3432,18,0)</f>
        <v>JF11E5275100</v>
      </c>
      <c r="T1195" s="7" t="str">
        <f>VLOOKUP(A1195,Sheet2!$A$2:$R$3432,17,0)</f>
        <v>RUSTY FRAME </v>
      </c>
    </row>
    <row r="1196" ht="15.75" customHeight="1">
      <c r="A1196" s="3" t="s">
        <v>1219</v>
      </c>
      <c r="B1196" s="4" t="str">
        <f>VLOOKUP(A1196,Sheet2!$A$2:$R$3432,2,0)</f>
        <v>2024-08-28 20:28:22</v>
      </c>
      <c r="C1196" s="5" t="s">
        <v>25</v>
      </c>
      <c r="D1196" s="6" t="s">
        <v>25</v>
      </c>
      <c r="E1196" s="7">
        <f>VLOOKUP(A1196,Sheet2!$A$2:$R$3432,4,0)</f>
        <v>7499793906</v>
      </c>
      <c r="F1196" s="7" t="str">
        <f>VLOOKUP(A1196,Sheet2!$A$2:$R$3432,3,0)</f>
        <v>AJIT BORALKAR </v>
      </c>
      <c r="G1196" s="5" t="s">
        <v>25</v>
      </c>
      <c r="H1196" s="5" t="s">
        <v>25</v>
      </c>
      <c r="I1196" s="5" t="s">
        <v>25</v>
      </c>
      <c r="J1196" s="5" t="s">
        <v>25</v>
      </c>
      <c r="K1196" s="7" t="str">
        <f>VLOOKUP(A1196,Sheet2!$A$2:$R$3432,6,0)</f>
        <v>KTM Duke 250</v>
      </c>
      <c r="L1196" s="5" t="s">
        <v>25</v>
      </c>
      <c r="M1196" s="7" t="str">
        <f>VLOOKUP(A1196,Sheet2!$A$2:$R$3432,5,0)</f>
        <v>MH26BG2986</v>
      </c>
      <c r="N1196" s="5" t="s">
        <v>25</v>
      </c>
      <c r="O1196" s="5" t="s">
        <v>25</v>
      </c>
      <c r="P1196" s="6" t="s">
        <v>25</v>
      </c>
      <c r="Q1196" s="5" t="s">
        <v>25</v>
      </c>
      <c r="R1196" s="5" t="s">
        <v>25</v>
      </c>
      <c r="S1196" s="7" t="str">
        <f>VLOOKUP(A1196,Sheet2!$A$2:$R$3432,18,0)</f>
        <v/>
      </c>
      <c r="T1196" s="7" t="str">
        <f>VLOOKUP(A1196,Sheet2!$A$2:$R$3432,17,0)</f>
        <v/>
      </c>
    </row>
    <row r="1197" ht="15.75" customHeight="1">
      <c r="A1197" s="3" t="s">
        <v>1220</v>
      </c>
      <c r="B1197" s="4" t="str">
        <f>VLOOKUP(A1197,Sheet2!$A$2:$R$3432,2,0)</f>
        <v>2024-08-28 19:19:36</v>
      </c>
      <c r="C1197" s="5" t="s">
        <v>25</v>
      </c>
      <c r="D1197" s="6" t="s">
        <v>25</v>
      </c>
      <c r="E1197" s="7">
        <f>VLOOKUP(A1197,Sheet2!$A$2:$R$3432,4,0)</f>
        <v>8806496670</v>
      </c>
      <c r="F1197" s="7" t="str">
        <f>VLOOKUP(A1197,Sheet2!$A$2:$R$3432,3,0)</f>
        <v>NIKHIL </v>
      </c>
      <c r="G1197" s="5" t="s">
        <v>25</v>
      </c>
      <c r="H1197" s="5" t="s">
        <v>25</v>
      </c>
      <c r="I1197" s="5" t="s">
        <v>25</v>
      </c>
      <c r="J1197" s="5" t="s">
        <v>25</v>
      </c>
      <c r="K1197" s="7" t="str">
        <f>VLOOKUP(A1197,Sheet2!$A$2:$R$3432,6,0)</f>
        <v>Honda Unicorn 150</v>
      </c>
      <c r="L1197" s="5" t="s">
        <v>25</v>
      </c>
      <c r="M1197" s="7" t="str">
        <f>VLOOKUP(A1197,Sheet2!$A$2:$R$3432,5,0)</f>
        <v>MH12TE1062</v>
      </c>
      <c r="N1197" s="5" t="s">
        <v>25</v>
      </c>
      <c r="O1197" s="5" t="s">
        <v>25</v>
      </c>
      <c r="P1197" s="6" t="s">
        <v>25</v>
      </c>
      <c r="Q1197" s="5" t="s">
        <v>25</v>
      </c>
      <c r="R1197" s="5" t="s">
        <v>25</v>
      </c>
      <c r="S1197" s="5" t="str">
        <f>VLOOKUP(A1197,Sheet2!$A$2:$R$3432,18,0)</f>
        <v>KC40EA011129</v>
      </c>
      <c r="T1197" s="7" t="str">
        <f>VLOOKUP(A1197,Sheet2!$A$2:$R$3432,17,0)</f>
        <v>ME4KC401JLA111349</v>
      </c>
    </row>
    <row r="1198" ht="15.75" customHeight="1">
      <c r="A1198" s="3" t="s">
        <v>1221</v>
      </c>
      <c r="B1198" s="4" t="str">
        <f>VLOOKUP(A1198,Sheet2!$A$2:$R$3432,2,0)</f>
        <v>2024-08-28 20:24:36</v>
      </c>
      <c r="C1198" s="5" t="s">
        <v>25</v>
      </c>
      <c r="D1198" s="6" t="s">
        <v>25</v>
      </c>
      <c r="E1198" s="7">
        <f>VLOOKUP(A1198,Sheet2!$A$2:$R$3432,4,0)</f>
        <v>9049402388</v>
      </c>
      <c r="F1198" s="7" t="str">
        <f>VLOOKUP(A1198,Sheet2!$A$2:$R$3432,3,0)</f>
        <v>ANURADHA </v>
      </c>
      <c r="G1198" s="5" t="s">
        <v>25</v>
      </c>
      <c r="H1198" s="5" t="s">
        <v>25</v>
      </c>
      <c r="I1198" s="5" t="s">
        <v>25</v>
      </c>
      <c r="J1198" s="5" t="s">
        <v>25</v>
      </c>
      <c r="K1198" s="7" t="str">
        <f>VLOOKUP(A1198,Sheet2!$A$2:$R$3432,6,0)</f>
        <v>Honda Dio </v>
      </c>
      <c r="L1198" s="5" t="s">
        <v>25</v>
      </c>
      <c r="M1198" s="7" t="str">
        <f>VLOOKUP(A1198,Sheet2!$A$2:$R$3432,5,0)</f>
        <v>MH12EN1665</v>
      </c>
      <c r="N1198" s="5" t="s">
        <v>25</v>
      </c>
      <c r="O1198" s="5" t="s">
        <v>25</v>
      </c>
      <c r="P1198" s="6" t="s">
        <v>25</v>
      </c>
      <c r="Q1198" s="5" t="s">
        <v>25</v>
      </c>
      <c r="R1198" s="5" t="s">
        <v>25</v>
      </c>
      <c r="S1198" s="5" t="str">
        <f>VLOOKUP(A1198,Sheet2!$A$2:$R$3432,18,0)</f>
        <v>JF11E6063496</v>
      </c>
      <c r="T1198" s="7" t="str">
        <f>VLOOKUP(A1198,Sheet2!$A$2:$R$3432,17,0)</f>
        <v>ME4JF113K78002053</v>
      </c>
    </row>
    <row r="1199" ht="15.75" customHeight="1">
      <c r="A1199" s="3" t="s">
        <v>1222</v>
      </c>
      <c r="B1199" s="4" t="str">
        <f>VLOOKUP(A1199,Sheet2!$A$2:$R$3432,2,0)</f>
        <v>2024-08-28 20:23:50</v>
      </c>
      <c r="C1199" s="5" t="s">
        <v>25</v>
      </c>
      <c r="D1199" s="6" t="s">
        <v>25</v>
      </c>
      <c r="E1199" s="7">
        <f>VLOOKUP(A1199,Sheet2!$A$2:$R$3432,4,0)</f>
        <v>9637881773</v>
      </c>
      <c r="F1199" s="7" t="str">
        <f>VLOOKUP(A1199,Sheet2!$A$2:$R$3432,3,0)</f>
        <v>ANIRUDDHA </v>
      </c>
      <c r="G1199" s="5" t="s">
        <v>25</v>
      </c>
      <c r="H1199" s="5" t="s">
        <v>25</v>
      </c>
      <c r="I1199" s="5" t="s">
        <v>25</v>
      </c>
      <c r="J1199" s="5" t="s">
        <v>25</v>
      </c>
      <c r="K1199" s="7" t="str">
        <f>VLOOKUP(A1199,Sheet2!$A$2:$R$3432,6,0)</f>
        <v>Piaggio Vespa No Data</v>
      </c>
      <c r="L1199" s="5" t="s">
        <v>25</v>
      </c>
      <c r="M1199" s="7" t="str">
        <f>VLOOKUP(A1199,Sheet2!$A$2:$R$3432,5,0)</f>
        <v>MH31EW8159</v>
      </c>
      <c r="N1199" s="5" t="s">
        <v>25</v>
      </c>
      <c r="O1199" s="5" t="s">
        <v>25</v>
      </c>
      <c r="P1199" s="6" t="s">
        <v>25</v>
      </c>
      <c r="Q1199" s="5" t="s">
        <v>25</v>
      </c>
      <c r="R1199" s="5" t="s">
        <v>25</v>
      </c>
      <c r="S1199" s="7" t="str">
        <f>VLOOKUP(A1199,Sheet2!$A$2:$R$3432,18,0)</f>
        <v/>
      </c>
      <c r="T1199" s="7" t="str">
        <f>VLOOKUP(A1199,Sheet2!$A$2:$R$3432,17,0)</f>
        <v/>
      </c>
    </row>
    <row r="1200" ht="15.75" customHeight="1">
      <c r="A1200" s="3" t="s">
        <v>1223</v>
      </c>
      <c r="B1200" s="4" t="str">
        <f>VLOOKUP(A1200,Sheet2!$A$2:$R$3432,2,0)</f>
        <v>2024-08-28 20:37:42</v>
      </c>
      <c r="C1200" s="5" t="s">
        <v>25</v>
      </c>
      <c r="D1200" s="6" t="s">
        <v>25</v>
      </c>
      <c r="E1200" s="7">
        <f>VLOOKUP(A1200,Sheet2!$A$2:$R$3432,4,0)</f>
        <v>8149209655</v>
      </c>
      <c r="F1200" s="7" t="str">
        <f>VLOOKUP(A1200,Sheet2!$A$2:$R$3432,3,0)</f>
        <v>Saurabh </v>
      </c>
      <c r="G1200" s="5" t="s">
        <v>25</v>
      </c>
      <c r="H1200" s="5" t="s">
        <v>25</v>
      </c>
      <c r="I1200" s="5" t="s">
        <v>25</v>
      </c>
      <c r="J1200" s="5" t="s">
        <v>25</v>
      </c>
      <c r="K1200" s="7" t="str">
        <f>VLOOKUP(A1200,Sheet2!$A$2:$R$3432,6,0)</f>
        <v>Hero Deluxe HF</v>
      </c>
      <c r="L1200" s="5" t="s">
        <v>25</v>
      </c>
      <c r="M1200" s="7" t="str">
        <f>VLOOKUP(A1200,Sheet2!$A$2:$R$3432,5,0)</f>
        <v>MH10CF6968</v>
      </c>
      <c r="N1200" s="5" t="s">
        <v>25</v>
      </c>
      <c r="O1200" s="5" t="s">
        <v>25</v>
      </c>
      <c r="P1200" s="6" t="s">
        <v>25</v>
      </c>
      <c r="Q1200" s="5" t="s">
        <v>25</v>
      </c>
      <c r="R1200" s="5" t="s">
        <v>25</v>
      </c>
      <c r="S1200" s="5" t="str">
        <f>VLOOKUP(A1200,Sheet2!$A$2:$R$3432,18,0)</f>
        <v>HA11EKQ9C10118</v>
      </c>
      <c r="T1200" s="7" t="str">
        <f>VLOOKUP(A1200,Sheet2!$A$2:$R$3432,17,0)</f>
        <v>MBLHA11AZG9C10360</v>
      </c>
    </row>
    <row r="1201" ht="15.75" customHeight="1">
      <c r="A1201" s="3" t="s">
        <v>1224</v>
      </c>
      <c r="B1201" s="4" t="str">
        <f>VLOOKUP(A1201,Sheet2!$A$2:$R$3432,2,0)</f>
        <v>2024-08-28 20:21:14</v>
      </c>
      <c r="C1201" s="5" t="s">
        <v>25</v>
      </c>
      <c r="D1201" s="6" t="s">
        <v>25</v>
      </c>
      <c r="E1201" s="7">
        <f>VLOOKUP(A1201,Sheet2!$A$2:$R$3432,4,0)</f>
        <v>9822681910</v>
      </c>
      <c r="F1201" s="7" t="str">
        <f>VLOOKUP(A1201,Sheet2!$A$2:$R$3432,3,0)</f>
        <v>Mahesh Patil</v>
      </c>
      <c r="G1201" s="5" t="s">
        <v>25</v>
      </c>
      <c r="H1201" s="5" t="s">
        <v>25</v>
      </c>
      <c r="I1201" s="5" t="s">
        <v>25</v>
      </c>
      <c r="J1201" s="5" t="s">
        <v>25</v>
      </c>
      <c r="K1201" s="7" t="str">
        <f>VLOOKUP(A1201,Sheet2!$A$2:$R$3432,6,0)</f>
        <v>TVS Jupiter </v>
      </c>
      <c r="L1201" s="5" t="s">
        <v>25</v>
      </c>
      <c r="M1201" s="7" t="str">
        <f>VLOOKUP(A1201,Sheet2!$A$2:$R$3432,5,0)</f>
        <v>MH14EX7143</v>
      </c>
      <c r="N1201" s="5" t="s">
        <v>25</v>
      </c>
      <c r="O1201" s="5" t="s">
        <v>25</v>
      </c>
      <c r="P1201" s="6" t="s">
        <v>25</v>
      </c>
      <c r="Q1201" s="5" t="s">
        <v>25</v>
      </c>
      <c r="R1201" s="5" t="s">
        <v>25</v>
      </c>
      <c r="S1201" s="7" t="str">
        <f>VLOOKUP(A1201,Sheet2!$A$2:$R$3432,18,0)</f>
        <v/>
      </c>
      <c r="T1201" s="7" t="str">
        <f>VLOOKUP(A1201,Sheet2!$A$2:$R$3432,17,0)</f>
        <v/>
      </c>
    </row>
    <row r="1202" ht="15.75" customHeight="1">
      <c r="A1202" s="3" t="s">
        <v>1225</v>
      </c>
      <c r="B1202" s="4" t="str">
        <f>VLOOKUP(A1202,Sheet2!$A$2:$R$3432,2,0)</f>
        <v>2024-08-28 20:22:48</v>
      </c>
      <c r="C1202" s="5" t="s">
        <v>25</v>
      </c>
      <c r="D1202" s="6" t="s">
        <v>25</v>
      </c>
      <c r="E1202" s="7">
        <f>VLOOKUP(A1202,Sheet2!$A$2:$R$3432,4,0)</f>
        <v>7517583870</v>
      </c>
      <c r="F1202" s="7" t="str">
        <f>VLOOKUP(A1202,Sheet2!$A$2:$R$3432,3,0)</f>
        <v>PRITHVIRAJ DESHMUKH </v>
      </c>
      <c r="G1202" s="5" t="s">
        <v>25</v>
      </c>
      <c r="H1202" s="5" t="s">
        <v>25</v>
      </c>
      <c r="I1202" s="5" t="s">
        <v>25</v>
      </c>
      <c r="J1202" s="5" t="s">
        <v>25</v>
      </c>
      <c r="K1202" s="7" t="str">
        <f>VLOOKUP(A1202,Sheet2!$A$2:$R$3432,6,0)</f>
        <v>Honda Activa 110</v>
      </c>
      <c r="L1202" s="5" t="s">
        <v>25</v>
      </c>
      <c r="M1202" s="7" t="str">
        <f>VLOOKUP(A1202,Sheet2!$A$2:$R$3432,5,0)</f>
        <v>MH21AJ0177</v>
      </c>
      <c r="N1202" s="5" t="s">
        <v>25</v>
      </c>
      <c r="O1202" s="5" t="s">
        <v>25</v>
      </c>
      <c r="P1202" s="6" t="s">
        <v>25</v>
      </c>
      <c r="Q1202" s="5" t="s">
        <v>25</v>
      </c>
      <c r="R1202" s="5" t="s">
        <v>25</v>
      </c>
      <c r="S1202" s="5" t="str">
        <f>VLOOKUP(A1202,Sheet2!$A$2:$R$3432,18,0)</f>
        <v>JF50E80095172</v>
      </c>
      <c r="T1202" s="7" t="str">
        <f>VLOOKUP(A1202,Sheet2!$A$2:$R$3432,17,0)</f>
        <v>RUSTY FRAME </v>
      </c>
    </row>
    <row r="1203" ht="15.75" customHeight="1">
      <c r="A1203" s="3" t="s">
        <v>1226</v>
      </c>
      <c r="B1203" s="4" t="str">
        <f>VLOOKUP(A1203,Sheet2!$A$2:$R$3432,2,0)</f>
        <v>2024-08-28 20:25:26</v>
      </c>
      <c r="C1203" s="5" t="s">
        <v>25</v>
      </c>
      <c r="D1203" s="6" t="s">
        <v>25</v>
      </c>
      <c r="E1203" s="7">
        <f>VLOOKUP(A1203,Sheet2!$A$2:$R$3432,4,0)</f>
        <v>9834342420</v>
      </c>
      <c r="F1203" s="7" t="str">
        <f>VLOOKUP(A1203,Sheet2!$A$2:$R$3432,3,0)</f>
        <v>GAJANAN </v>
      </c>
      <c r="G1203" s="5" t="s">
        <v>25</v>
      </c>
      <c r="H1203" s="5" t="s">
        <v>25</v>
      </c>
      <c r="I1203" s="5" t="s">
        <v>25</v>
      </c>
      <c r="J1203" s="5" t="s">
        <v>25</v>
      </c>
      <c r="K1203" s="7" t="str">
        <f>VLOOKUP(A1203,Sheet2!$A$2:$R$3432,6,0)</f>
        <v>Honda Shine BS6</v>
      </c>
      <c r="L1203" s="5" t="s">
        <v>25</v>
      </c>
      <c r="M1203" s="7" t="str">
        <f>VLOOKUP(A1203,Sheet2!$A$2:$R$3432,5,0)</f>
        <v>MH28BH9344</v>
      </c>
      <c r="N1203" s="5" t="s">
        <v>25</v>
      </c>
      <c r="O1203" s="5" t="s">
        <v>25</v>
      </c>
      <c r="P1203" s="6" t="s">
        <v>25</v>
      </c>
      <c r="Q1203" s="5" t="s">
        <v>25</v>
      </c>
      <c r="R1203" s="5" t="s">
        <v>25</v>
      </c>
      <c r="S1203" s="7" t="str">
        <f>VLOOKUP(A1203,Sheet2!$A$2:$R$3432,18,0)</f>
        <v/>
      </c>
      <c r="T1203" s="7" t="str">
        <f>VLOOKUP(A1203,Sheet2!$A$2:$R$3432,17,0)</f>
        <v/>
      </c>
    </row>
    <row r="1204" ht="15.75" customHeight="1">
      <c r="A1204" s="3" t="s">
        <v>1227</v>
      </c>
      <c r="B1204" s="4" t="str">
        <f>VLOOKUP(A1204,Sheet2!$A$2:$R$3432,2,0)</f>
        <v>2024-08-28 20:27:14</v>
      </c>
      <c r="C1204" s="5" t="s">
        <v>25</v>
      </c>
      <c r="D1204" s="6" t="s">
        <v>25</v>
      </c>
      <c r="E1204" s="7">
        <f>VLOOKUP(A1204,Sheet2!$A$2:$R$3432,4,0)</f>
        <v>9958443787</v>
      </c>
      <c r="F1204" s="7" t="str">
        <f>VLOOKUP(A1204,Sheet2!$A$2:$R$3432,3,0)</f>
        <v>HIMANSHU SHARMA</v>
      </c>
      <c r="G1204" s="5" t="s">
        <v>25</v>
      </c>
      <c r="H1204" s="5" t="s">
        <v>25</v>
      </c>
      <c r="I1204" s="5" t="s">
        <v>25</v>
      </c>
      <c r="J1204" s="5" t="s">
        <v>25</v>
      </c>
      <c r="K1204" s="7" t="str">
        <f>VLOOKUP(A1204,Sheet2!$A$2:$R$3432,6,0)</f>
        <v>Jawa Forty Two </v>
      </c>
      <c r="L1204" s="5" t="s">
        <v>25</v>
      </c>
      <c r="M1204" s="7" t="str">
        <f>VLOOKUP(A1204,Sheet2!$A$2:$R$3432,5,0)</f>
        <v>MH12SM9013</v>
      </c>
      <c r="N1204" s="5" t="s">
        <v>25</v>
      </c>
      <c r="O1204" s="5" t="s">
        <v>25</v>
      </c>
      <c r="P1204" s="6" t="s">
        <v>25</v>
      </c>
      <c r="Q1204" s="5" t="s">
        <v>25</v>
      </c>
      <c r="R1204" s="5" t="s">
        <v>25</v>
      </c>
      <c r="S1204" s="5" t="str">
        <f>VLOOKUP(A1204,Sheet2!$A$2:$R$3432,18,0)</f>
        <v>NAL030094</v>
      </c>
      <c r="T1204" s="7" t="str">
        <f>VLOOKUP(A1204,Sheet2!$A$2:$R$3432,17,0)</f>
        <v>MZDKW1C16L1A29000</v>
      </c>
    </row>
    <row r="1205" ht="15.75" customHeight="1">
      <c r="A1205" s="3" t="s">
        <v>1228</v>
      </c>
      <c r="B1205" s="4" t="str">
        <f>VLOOKUP(A1205,Sheet2!$A$2:$R$3432,2,0)</f>
        <v>2024-08-28 20:36:45</v>
      </c>
      <c r="C1205" s="5" t="s">
        <v>25</v>
      </c>
      <c r="D1205" s="6" t="s">
        <v>25</v>
      </c>
      <c r="E1205" s="7">
        <f>VLOOKUP(A1205,Sheet2!$A$2:$R$3432,4,0)</f>
        <v>7387109986</v>
      </c>
      <c r="F1205" s="7" t="str">
        <f>VLOOKUP(A1205,Sheet2!$A$2:$R$3432,3,0)</f>
        <v>RAGHURAJ</v>
      </c>
      <c r="G1205" s="5" t="s">
        <v>25</v>
      </c>
      <c r="H1205" s="5" t="s">
        <v>25</v>
      </c>
      <c r="I1205" s="5" t="s">
        <v>25</v>
      </c>
      <c r="J1205" s="5" t="s">
        <v>25</v>
      </c>
      <c r="K1205" s="7" t="str">
        <f>VLOOKUP(A1205,Sheet2!$A$2:$R$3432,6,0)</f>
        <v>Bajaj Pulsar 220</v>
      </c>
      <c r="L1205" s="5" t="s">
        <v>25</v>
      </c>
      <c r="M1205" s="7" t="str">
        <f>VLOOKUP(A1205,Sheet2!$A$2:$R$3432,5,0)</f>
        <v>MH12HK8203</v>
      </c>
      <c r="N1205" s="5" t="s">
        <v>25</v>
      </c>
      <c r="O1205" s="5" t="s">
        <v>25</v>
      </c>
      <c r="P1205" s="6" t="s">
        <v>25</v>
      </c>
      <c r="Q1205" s="5" t="s">
        <v>25</v>
      </c>
      <c r="R1205" s="5" t="s">
        <v>25</v>
      </c>
      <c r="S1205" s="5" t="str">
        <f>VLOOKUP(A1205,Sheet2!$A$2:$R$3432,18,0)</f>
        <v>DKGBU59123MD20H01</v>
      </c>
      <c r="T1205" s="7" t="str">
        <f>VLOOKUP(A1205,Sheet2!$A$2:$R$3432,17,0)</f>
        <v>MD29HDHZZU0F43933</v>
      </c>
    </row>
    <row r="1206" ht="15.75" customHeight="1">
      <c r="A1206" s="3" t="s">
        <v>1229</v>
      </c>
      <c r="B1206" s="4" t="str">
        <f>VLOOKUP(A1206,Sheet2!$A$2:$R$3432,2,0)</f>
        <v>2024-08-28 20:40:53</v>
      </c>
      <c r="C1206" s="5" t="s">
        <v>25</v>
      </c>
      <c r="D1206" s="6" t="s">
        <v>25</v>
      </c>
      <c r="E1206" s="7">
        <f>VLOOKUP(A1206,Sheet2!$A$2:$R$3432,4,0)</f>
        <v>9156299054</v>
      </c>
      <c r="F1206" s="7" t="str">
        <f>VLOOKUP(A1206,Sheet2!$A$2:$R$3432,3,0)</f>
        <v>TUSHAR BASAKARE</v>
      </c>
      <c r="G1206" s="5" t="s">
        <v>25</v>
      </c>
      <c r="H1206" s="5" t="s">
        <v>25</v>
      </c>
      <c r="I1206" s="5" t="s">
        <v>25</v>
      </c>
      <c r="J1206" s="5" t="s">
        <v>25</v>
      </c>
      <c r="K1206" s="7" t="str">
        <f>VLOOKUP(A1206,Sheet2!$A$2:$R$3432,6,0)</f>
        <v>TVS Apache RTR 200 4V</v>
      </c>
      <c r="L1206" s="5" t="s">
        <v>25</v>
      </c>
      <c r="M1206" s="7" t="str">
        <f>VLOOKUP(A1206,Sheet2!$A$2:$R$3432,5,0)</f>
        <v>MH13ED9451</v>
      </c>
      <c r="N1206" s="5" t="s">
        <v>25</v>
      </c>
      <c r="O1206" s="5" t="s">
        <v>25</v>
      </c>
      <c r="P1206" s="6" t="s">
        <v>25</v>
      </c>
      <c r="Q1206" s="5" t="s">
        <v>25</v>
      </c>
      <c r="R1206" s="5" t="s">
        <v>25</v>
      </c>
      <c r="S1206" s="7" t="str">
        <f>VLOOKUP(A1206,Sheet2!$A$2:$R$3432,18,0)</f>
        <v/>
      </c>
      <c r="T1206" s="7" t="str">
        <f>VLOOKUP(A1206,Sheet2!$A$2:$R$3432,17,0)</f>
        <v/>
      </c>
    </row>
    <row r="1207" ht="15.75" customHeight="1">
      <c r="A1207" s="3" t="s">
        <v>1230</v>
      </c>
      <c r="B1207" s="4" t="str">
        <f>VLOOKUP(A1207,Sheet2!$A$2:$R$3432,2,0)</f>
        <v>2024-08-28 20:41:07</v>
      </c>
      <c r="C1207" s="5" t="s">
        <v>25</v>
      </c>
      <c r="D1207" s="6" t="s">
        <v>25</v>
      </c>
      <c r="E1207" s="7">
        <f>VLOOKUP(A1207,Sheet2!$A$2:$R$3432,4,0)</f>
        <v>9689919635</v>
      </c>
      <c r="F1207" s="7" t="str">
        <f>VLOOKUP(A1207,Sheet2!$A$2:$R$3432,3,0)</f>
        <v>SB HIREMAT</v>
      </c>
      <c r="G1207" s="5" t="s">
        <v>25</v>
      </c>
      <c r="H1207" s="5" t="s">
        <v>25</v>
      </c>
      <c r="I1207" s="5" t="s">
        <v>25</v>
      </c>
      <c r="J1207" s="5" t="s">
        <v>25</v>
      </c>
      <c r="K1207" s="7" t="str">
        <f>VLOOKUP(A1207,Sheet2!$A$2:$R$3432,6,0)</f>
        <v>Yamaha Ray Z</v>
      </c>
      <c r="L1207" s="5" t="s">
        <v>25</v>
      </c>
      <c r="M1207" s="7" t="str">
        <f>VLOOKUP(A1207,Sheet2!$A$2:$R$3432,5,0)</f>
        <v>MH14EN5127</v>
      </c>
      <c r="N1207" s="5" t="s">
        <v>25</v>
      </c>
      <c r="O1207" s="5" t="s">
        <v>25</v>
      </c>
      <c r="P1207" s="6" t="s">
        <v>25</v>
      </c>
      <c r="Q1207" s="5" t="s">
        <v>25</v>
      </c>
      <c r="R1207" s="5" t="s">
        <v>25</v>
      </c>
      <c r="S1207" s="7" t="str">
        <f>VLOOKUP(A1207,Sheet2!$A$2:$R$3432,18,0)</f>
        <v/>
      </c>
      <c r="T1207" s="7" t="str">
        <f>VLOOKUP(A1207,Sheet2!$A$2:$R$3432,17,0)</f>
        <v/>
      </c>
    </row>
    <row r="1208" ht="15.75" customHeight="1">
      <c r="A1208" s="3" t="s">
        <v>1231</v>
      </c>
      <c r="B1208" s="4" t="str">
        <f>VLOOKUP(A1208,Sheet2!$A$2:$R$3432,2,0)</f>
        <v>2024-08-28 20:41:36</v>
      </c>
      <c r="C1208" s="5" t="s">
        <v>25</v>
      </c>
      <c r="D1208" s="6" t="s">
        <v>25</v>
      </c>
      <c r="E1208" s="7">
        <f>VLOOKUP(A1208,Sheet2!$A$2:$R$3432,4,0)</f>
        <v>9322165483</v>
      </c>
      <c r="F1208" s="7" t="str">
        <f>VLOOKUP(A1208,Sheet2!$A$2:$R$3432,3,0)</f>
        <v>ABHIJEET </v>
      </c>
      <c r="G1208" s="5" t="s">
        <v>25</v>
      </c>
      <c r="H1208" s="5" t="s">
        <v>25</v>
      </c>
      <c r="I1208" s="5" t="s">
        <v>25</v>
      </c>
      <c r="J1208" s="5" t="s">
        <v>25</v>
      </c>
      <c r="K1208" s="7" t="str">
        <f>VLOOKUP(A1208,Sheet2!$A$2:$R$3432,6,0)</f>
        <v>TVS Wego Basic</v>
      </c>
      <c r="L1208" s="5" t="s">
        <v>25</v>
      </c>
      <c r="M1208" s="7" t="str">
        <f>VLOOKUP(A1208,Sheet2!$A$2:$R$3432,5,0)</f>
        <v>MH14DC3994</v>
      </c>
      <c r="N1208" s="5" t="s">
        <v>25</v>
      </c>
      <c r="O1208" s="5" t="s">
        <v>25</v>
      </c>
      <c r="P1208" s="6" t="s">
        <v>25</v>
      </c>
      <c r="Q1208" s="5" t="s">
        <v>25</v>
      </c>
      <c r="R1208" s="5" t="s">
        <v>25</v>
      </c>
      <c r="S1208" s="5" t="str">
        <f>VLOOKUP(A1208,Sheet2!$A$2:$R$3432,18,0)</f>
        <v>OG4LB1251393</v>
      </c>
      <c r="T1208" s="7" t="str">
        <f>VLOOKUP(A1208,Sheet2!$A$2:$R$3432,17,0)</f>
        <v>MD626AG48B1L57695</v>
      </c>
    </row>
    <row r="1209" ht="15.75" customHeight="1">
      <c r="A1209" s="3" t="s">
        <v>1232</v>
      </c>
      <c r="B1209" s="4" t="str">
        <f>VLOOKUP(A1209,Sheet2!$A$2:$R$3432,2,0)</f>
        <v>2024-08-28 20:45:13</v>
      </c>
      <c r="C1209" s="5" t="s">
        <v>25</v>
      </c>
      <c r="D1209" s="6" t="s">
        <v>25</v>
      </c>
      <c r="E1209" s="7">
        <f>VLOOKUP(A1209,Sheet2!$A$2:$R$3432,4,0)</f>
        <v>9953100815</v>
      </c>
      <c r="F1209" s="7" t="str">
        <f>VLOOKUP(A1209,Sheet2!$A$2:$R$3432,3,0)</f>
        <v>Rajesh</v>
      </c>
      <c r="G1209" s="5" t="s">
        <v>25</v>
      </c>
      <c r="H1209" s="5" t="s">
        <v>25</v>
      </c>
      <c r="I1209" s="5" t="s">
        <v>25</v>
      </c>
      <c r="J1209" s="5" t="s">
        <v>25</v>
      </c>
      <c r="K1209" s="7" t="str">
        <f>VLOOKUP(A1209,Sheet2!$A$2:$R$3432,6,0)</f>
        <v>Hero Maestro </v>
      </c>
      <c r="L1209" s="5" t="s">
        <v>25</v>
      </c>
      <c r="M1209" s="7" t="str">
        <f>VLOOKUP(A1209,Sheet2!$A$2:$R$3432,5,0)</f>
        <v>MH14ET0821</v>
      </c>
      <c r="N1209" s="5" t="s">
        <v>25</v>
      </c>
      <c r="O1209" s="5" t="s">
        <v>25</v>
      </c>
      <c r="P1209" s="6" t="s">
        <v>25</v>
      </c>
      <c r="Q1209" s="5" t="s">
        <v>25</v>
      </c>
      <c r="R1209" s="5" t="s">
        <v>25</v>
      </c>
      <c r="S1209" s="5" t="str">
        <f>VLOOKUP(A1209,Sheet2!$A$2:$R$3432,18,0)</f>
        <v>JF32AAEGM15658</v>
      </c>
      <c r="T1209" s="7" t="str">
        <f>VLOOKUP(A1209,Sheet2!$A$2:$R$3432,17,0)</f>
        <v>MBLJF32ADEGM110548</v>
      </c>
    </row>
    <row r="1210" ht="15.75" customHeight="1">
      <c r="A1210" s="3" t="s">
        <v>1233</v>
      </c>
      <c r="B1210" s="4" t="str">
        <f>VLOOKUP(A1210,Sheet2!$A$2:$R$3432,2,0)</f>
        <v>2024-08-28 20:49:36</v>
      </c>
      <c r="C1210" s="5" t="s">
        <v>25</v>
      </c>
      <c r="D1210" s="6" t="s">
        <v>25</v>
      </c>
      <c r="E1210" s="7">
        <f>VLOOKUP(A1210,Sheet2!$A$2:$R$3432,4,0)</f>
        <v>9766950002</v>
      </c>
      <c r="F1210" s="7" t="str">
        <f>VLOOKUP(A1210,Sheet2!$A$2:$R$3432,3,0)</f>
        <v>ANUJ NAGPAL</v>
      </c>
      <c r="G1210" s="5" t="s">
        <v>25</v>
      </c>
      <c r="H1210" s="5" t="s">
        <v>25</v>
      </c>
      <c r="I1210" s="5" t="s">
        <v>25</v>
      </c>
      <c r="J1210" s="5" t="s">
        <v>25</v>
      </c>
      <c r="K1210" s="7" t="str">
        <f>VLOOKUP(A1210,Sheet2!$A$2:$R$3432,6,0)</f>
        <v>Honda Activa 5G</v>
      </c>
      <c r="L1210" s="5" t="s">
        <v>25</v>
      </c>
      <c r="M1210" s="7" t="str">
        <f>VLOOKUP(A1210,Sheet2!$A$2:$R$3432,5,0)</f>
        <v>MH14HL9455</v>
      </c>
      <c r="N1210" s="5" t="s">
        <v>25</v>
      </c>
      <c r="O1210" s="5" t="s">
        <v>25</v>
      </c>
      <c r="P1210" s="6" t="s">
        <v>25</v>
      </c>
      <c r="Q1210" s="5" t="s">
        <v>25</v>
      </c>
      <c r="R1210" s="5" t="s">
        <v>25</v>
      </c>
      <c r="S1210" s="7" t="str">
        <f>VLOOKUP(A1210,Sheet2!$A$2:$R$3432,18,0)</f>
        <v/>
      </c>
      <c r="T1210" s="7" t="str">
        <f>VLOOKUP(A1210,Sheet2!$A$2:$R$3432,17,0)</f>
        <v/>
      </c>
    </row>
    <row r="1211" ht="15.75" customHeight="1">
      <c r="A1211" s="3" t="s">
        <v>1234</v>
      </c>
      <c r="B1211" s="4" t="str">
        <f>VLOOKUP(A1211,Sheet2!$A$2:$R$3432,2,0)</f>
        <v>2025-02-03 11:37:51</v>
      </c>
      <c r="C1211" s="5" t="s">
        <v>25</v>
      </c>
      <c r="D1211" s="6" t="s">
        <v>25</v>
      </c>
      <c r="E1211" s="7">
        <f>VLOOKUP(A1211,Sheet2!$A$2:$R$3432,4,0)</f>
        <v>9595183679</v>
      </c>
      <c r="F1211" s="7" t="str">
        <f>VLOOKUP(A1211,Sheet2!$A$2:$R$3432,3,0)</f>
        <v>Sagar Rode</v>
      </c>
      <c r="G1211" s="5" t="s">
        <v>25</v>
      </c>
      <c r="H1211" s="5" t="s">
        <v>25</v>
      </c>
      <c r="I1211" s="5" t="s">
        <v>25</v>
      </c>
      <c r="J1211" s="5" t="s">
        <v>25</v>
      </c>
      <c r="K1211" s="7" t="str">
        <f>VLOOKUP(A1211,Sheet2!$A$2:$R$3432,6,0)</f>
        <v>Bajaj Pulsar 150</v>
      </c>
      <c r="L1211" s="5" t="s">
        <v>25</v>
      </c>
      <c r="M1211" s="7" t="str">
        <f>VLOOKUP(A1211,Sheet2!$A$2:$R$3432,5,0)</f>
        <v>MH12LR4192</v>
      </c>
      <c r="N1211" s="5" t="s">
        <v>25</v>
      </c>
      <c r="O1211" s="5" t="s">
        <v>25</v>
      </c>
      <c r="P1211" s="6" t="s">
        <v>25</v>
      </c>
      <c r="Q1211" s="5" t="s">
        <v>25</v>
      </c>
      <c r="R1211" s="5" t="s">
        <v>25</v>
      </c>
      <c r="S1211" s="5" t="str">
        <f>VLOOKUP(A1211,Sheet2!$A$2:$R$3432,18,0)</f>
        <v>DHZCEJ62430</v>
      </c>
      <c r="T1211" s="7" t="str">
        <f>VLOOKUP(A1211,Sheet2!$A$2:$R$3432,17,0)</f>
        <v>MD2A11CZ3CJ83203</v>
      </c>
    </row>
    <row r="1212" ht="15.75" customHeight="1">
      <c r="A1212" s="3" t="s">
        <v>1235</v>
      </c>
      <c r="B1212" s="4" t="str">
        <f>VLOOKUP(A1212,Sheet2!$A$2:$R$3432,2,0)</f>
        <v>2025-02-03 11:11:59</v>
      </c>
      <c r="C1212" s="5" t="s">
        <v>25</v>
      </c>
      <c r="D1212" s="6" t="s">
        <v>25</v>
      </c>
      <c r="E1212" s="7">
        <f>VLOOKUP(A1212,Sheet2!$A$2:$R$3432,4,0)</f>
        <v>7709881219</v>
      </c>
      <c r="F1212" s="7" t="str">
        <f>VLOOKUP(A1212,Sheet2!$A$2:$R$3432,3,0)</f>
        <v>KIRAN CHINCHOLE</v>
      </c>
      <c r="G1212" s="5" t="s">
        <v>25</v>
      </c>
      <c r="H1212" s="5" t="s">
        <v>25</v>
      </c>
      <c r="I1212" s="5" t="s">
        <v>25</v>
      </c>
      <c r="J1212" s="5" t="s">
        <v>25</v>
      </c>
      <c r="K1212" s="7" t="str">
        <f>VLOOKUP(A1212,Sheet2!$A$2:$R$3432,6,0)</f>
        <v>Bajaj Pulsar 150</v>
      </c>
      <c r="L1212" s="5" t="s">
        <v>25</v>
      </c>
      <c r="M1212" s="7" t="str">
        <f>VLOOKUP(A1212,Sheet2!$A$2:$R$3432,5,0)</f>
        <v>MH13BS1863</v>
      </c>
      <c r="N1212" s="5" t="s">
        <v>25</v>
      </c>
      <c r="O1212" s="5" t="s">
        <v>25</v>
      </c>
      <c r="P1212" s="6" t="s">
        <v>25</v>
      </c>
      <c r="Q1212" s="5" t="s">
        <v>25</v>
      </c>
      <c r="R1212" s="5" t="s">
        <v>25</v>
      </c>
      <c r="S1212" s="5" t="str">
        <f>VLOOKUP(A1212,Sheet2!$A$2:$R$3432,18,0)</f>
        <v>DHCJ51814</v>
      </c>
      <c r="T1212" s="7" t="str">
        <f>VLOOKUP(A1212,Sheet2!$A$2:$R$3432,17,0)</f>
        <v>MD2A11CZ9DCJ71264</v>
      </c>
    </row>
    <row r="1213" ht="15.75" customHeight="1">
      <c r="A1213" s="3" t="s">
        <v>1236</v>
      </c>
      <c r="B1213" s="4" t="str">
        <f>VLOOKUP(A1213,Sheet2!$A$2:$R$3432,2,0)</f>
        <v>2025-02-03 11:21:41</v>
      </c>
      <c r="C1213" s="5" t="s">
        <v>25</v>
      </c>
      <c r="D1213" s="6" t="s">
        <v>25</v>
      </c>
      <c r="E1213" s="7">
        <f>VLOOKUP(A1213,Sheet2!$A$2:$R$3432,4,0)</f>
        <v>9279005403</v>
      </c>
      <c r="F1213" s="7" t="str">
        <f>VLOOKUP(A1213,Sheet2!$A$2:$R$3432,3,0)</f>
        <v>Ajay</v>
      </c>
      <c r="G1213" s="5" t="s">
        <v>25</v>
      </c>
      <c r="H1213" s="5" t="s">
        <v>25</v>
      </c>
      <c r="I1213" s="5" t="s">
        <v>25</v>
      </c>
      <c r="J1213" s="5" t="s">
        <v>25</v>
      </c>
      <c r="K1213" s="7" t="str">
        <f>VLOOKUP(A1213,Sheet2!$A$2:$R$3432,6,0)</f>
        <v>Bajaj Discover 125</v>
      </c>
      <c r="L1213" s="5" t="s">
        <v>25</v>
      </c>
      <c r="M1213" s="7" t="str">
        <f>VLOOKUP(A1213,Sheet2!$A$2:$R$3432,5,0)</f>
        <v>MH05BH7716</v>
      </c>
      <c r="N1213" s="5" t="s">
        <v>25</v>
      </c>
      <c r="O1213" s="5" t="s">
        <v>25</v>
      </c>
      <c r="P1213" s="6" t="s">
        <v>25</v>
      </c>
      <c r="Q1213" s="5" t="s">
        <v>25</v>
      </c>
      <c r="R1213" s="5" t="s">
        <v>25</v>
      </c>
      <c r="S1213" s="7" t="str">
        <f>VLOOKUP(A1213,Sheet2!$A$2:$R$3432,18,0)</f>
        <v/>
      </c>
      <c r="T1213" s="7" t="str">
        <f>VLOOKUP(A1213,Sheet2!$A$2:$R$3432,17,0)</f>
        <v/>
      </c>
    </row>
    <row r="1214" ht="15.75" customHeight="1">
      <c r="A1214" s="3" t="s">
        <v>1237</v>
      </c>
      <c r="B1214" s="4" t="str">
        <f>VLOOKUP(A1214,Sheet2!$A$2:$R$3432,2,0)</f>
        <v>2025-02-03 11:06:25</v>
      </c>
      <c r="C1214" s="5" t="s">
        <v>25</v>
      </c>
      <c r="D1214" s="6" t="s">
        <v>25</v>
      </c>
      <c r="E1214" s="7">
        <f>VLOOKUP(A1214,Sheet2!$A$2:$R$3432,4,0)</f>
        <v>7588081781</v>
      </c>
      <c r="F1214" s="7" t="str">
        <f>VLOOKUP(A1214,Sheet2!$A$2:$R$3432,3,0)</f>
        <v>Shrikant </v>
      </c>
      <c r="G1214" s="5" t="s">
        <v>25</v>
      </c>
      <c r="H1214" s="5" t="s">
        <v>25</v>
      </c>
      <c r="I1214" s="5" t="s">
        <v>25</v>
      </c>
      <c r="J1214" s="5" t="s">
        <v>25</v>
      </c>
      <c r="K1214" s="7" t="str">
        <f>VLOOKUP(A1214,Sheet2!$A$2:$R$3432,6,0)</f>
        <v>Yamaha FZ V3</v>
      </c>
      <c r="L1214" s="5" t="s">
        <v>25</v>
      </c>
      <c r="M1214" s="7" t="str">
        <f>VLOOKUP(A1214,Sheet2!$A$2:$R$3432,5,0)</f>
        <v>MH14HS9179</v>
      </c>
      <c r="N1214" s="5" t="s">
        <v>25</v>
      </c>
      <c r="O1214" s="5" t="s">
        <v>25</v>
      </c>
      <c r="P1214" s="6" t="s">
        <v>25</v>
      </c>
      <c r="Q1214" s="5" t="s">
        <v>25</v>
      </c>
      <c r="R1214" s="5" t="s">
        <v>25</v>
      </c>
      <c r="S1214" s="7" t="str">
        <f>VLOOKUP(A1214,Sheet2!$A$2:$R$3432,18,0)</f>
        <v/>
      </c>
      <c r="T1214" s="7" t="str">
        <f>VLOOKUP(A1214,Sheet2!$A$2:$R$3432,17,0)</f>
        <v/>
      </c>
    </row>
    <row r="1215" ht="15.75" customHeight="1">
      <c r="A1215" s="3" t="s">
        <v>1238</v>
      </c>
      <c r="B1215" s="4" t="str">
        <f>VLOOKUP(A1215,Sheet2!$A$2:$R$3432,2,0)</f>
        <v>2025-02-03 11:26:45</v>
      </c>
      <c r="C1215" s="5" t="s">
        <v>25</v>
      </c>
      <c r="D1215" s="6" t="s">
        <v>25</v>
      </c>
      <c r="E1215" s="7">
        <f>VLOOKUP(A1215,Sheet2!$A$2:$R$3432,4,0)</f>
        <v>8600120363</v>
      </c>
      <c r="F1215" s="7" t="str">
        <f>VLOOKUP(A1215,Sheet2!$A$2:$R$3432,3,0)</f>
        <v>Roshan Satokar</v>
      </c>
      <c r="G1215" s="5" t="s">
        <v>25</v>
      </c>
      <c r="H1215" s="5" t="s">
        <v>25</v>
      </c>
      <c r="I1215" s="5" t="s">
        <v>25</v>
      </c>
      <c r="J1215" s="5" t="s">
        <v>25</v>
      </c>
      <c r="K1215" s="7" t="str">
        <f>VLOOKUP(A1215,Sheet2!$A$2:$R$3432,6,0)</f>
        <v>Yamaha FZ V3</v>
      </c>
      <c r="L1215" s="5" t="s">
        <v>25</v>
      </c>
      <c r="M1215" s="7" t="str">
        <f>VLOOKUP(A1215,Sheet2!$A$2:$R$3432,5,0)</f>
        <v>MH14HZ2590</v>
      </c>
      <c r="N1215" s="5" t="s">
        <v>25</v>
      </c>
      <c r="O1215" s="5" t="s">
        <v>25</v>
      </c>
      <c r="P1215" s="6" t="s">
        <v>25</v>
      </c>
      <c r="Q1215" s="5" t="s">
        <v>25</v>
      </c>
      <c r="R1215" s="5" t="s">
        <v>25</v>
      </c>
      <c r="S1215" s="5" t="str">
        <f>VLOOKUP(A1215,Sheet2!$A$2:$R$3432,18,0)</f>
        <v>93N3E0013947</v>
      </c>
      <c r="T1215" s="7" t="str">
        <f>VLOOKUP(A1215,Sheet2!$A$2:$R$3432,17,0)</f>
        <v>ME1RG661CK001574</v>
      </c>
    </row>
    <row r="1216" ht="15.75" customHeight="1">
      <c r="A1216" s="3" t="s">
        <v>1239</v>
      </c>
      <c r="B1216" s="4" t="str">
        <f>VLOOKUP(A1216,Sheet2!$A$2:$R$3432,2,0)</f>
        <v>2025-02-03 11:29:14</v>
      </c>
      <c r="C1216" s="5" t="s">
        <v>25</v>
      </c>
      <c r="D1216" s="6" t="s">
        <v>25</v>
      </c>
      <c r="E1216" s="7">
        <f>VLOOKUP(A1216,Sheet2!$A$2:$R$3432,4,0)</f>
        <v>7875503847</v>
      </c>
      <c r="F1216" s="7" t="str">
        <f>VLOOKUP(A1216,Sheet2!$A$2:$R$3432,3,0)</f>
        <v>PARIKSHIT </v>
      </c>
      <c r="G1216" s="5" t="s">
        <v>25</v>
      </c>
      <c r="H1216" s="5" t="s">
        <v>25</v>
      </c>
      <c r="I1216" s="5" t="s">
        <v>25</v>
      </c>
      <c r="J1216" s="5" t="s">
        <v>25</v>
      </c>
      <c r="K1216" s="7" t="str">
        <f>VLOOKUP(A1216,Sheet2!$A$2:$R$3432,6,0)</f>
        <v>Yamaha MT 15</v>
      </c>
      <c r="L1216" s="5" t="s">
        <v>25</v>
      </c>
      <c r="M1216" s="7" t="str">
        <f>VLOOKUP(A1216,Sheet2!$A$2:$R$3432,5,0)</f>
        <v>MH14KX0808</v>
      </c>
      <c r="N1216" s="5" t="s">
        <v>25</v>
      </c>
      <c r="O1216" s="5" t="s">
        <v>25</v>
      </c>
      <c r="P1216" s="6" t="s">
        <v>25</v>
      </c>
      <c r="Q1216" s="5" t="s">
        <v>25</v>
      </c>
      <c r="R1216" s="5" t="s">
        <v>25</v>
      </c>
      <c r="S1216" s="7" t="str">
        <f>VLOOKUP(A1216,Sheet2!$A$2:$R$3432,18,0)</f>
        <v/>
      </c>
      <c r="T1216" s="7" t="str">
        <f>VLOOKUP(A1216,Sheet2!$A$2:$R$3432,17,0)</f>
        <v/>
      </c>
    </row>
    <row r="1217" ht="15.75" customHeight="1">
      <c r="A1217" s="3" t="s">
        <v>1240</v>
      </c>
      <c r="B1217" s="4" t="str">
        <f>VLOOKUP(A1217,Sheet2!$A$2:$R$3432,2,0)</f>
        <v>2025-02-03 11:27:54</v>
      </c>
      <c r="C1217" s="5" t="s">
        <v>25</v>
      </c>
      <c r="D1217" s="6" t="s">
        <v>25</v>
      </c>
      <c r="E1217" s="7">
        <f>VLOOKUP(A1217,Sheet2!$A$2:$R$3432,4,0)</f>
        <v>9156365605</v>
      </c>
      <c r="F1217" s="7" t="str">
        <f>VLOOKUP(A1217,Sheet2!$A$2:$R$3432,3,0)</f>
        <v>AKSHAY JADHAV</v>
      </c>
      <c r="G1217" s="5" t="s">
        <v>25</v>
      </c>
      <c r="H1217" s="5" t="s">
        <v>25</v>
      </c>
      <c r="I1217" s="5" t="s">
        <v>25</v>
      </c>
      <c r="J1217" s="5" t="s">
        <v>25</v>
      </c>
      <c r="K1217" s="7" t="str">
        <f>VLOOKUP(A1217,Sheet2!$A$2:$R$3432,6,0)</f>
        <v>Yamaha FZ S 2.0</v>
      </c>
      <c r="L1217" s="5" t="s">
        <v>25</v>
      </c>
      <c r="M1217" s="7" t="str">
        <f>VLOOKUP(A1217,Sheet2!$A$2:$R$3432,5,0)</f>
        <v>MH29AZ0216</v>
      </c>
      <c r="N1217" s="5" t="s">
        <v>25</v>
      </c>
      <c r="O1217" s="5" t="s">
        <v>25</v>
      </c>
      <c r="P1217" s="6" t="s">
        <v>25</v>
      </c>
      <c r="Q1217" s="5" t="s">
        <v>25</v>
      </c>
      <c r="R1217" s="5" t="s">
        <v>25</v>
      </c>
      <c r="S1217" s="5" t="str">
        <f>VLOOKUP(A1217,Sheet2!$A$2:$R$3432,18,0)</f>
        <v>G3C8E0402086</v>
      </c>
      <c r="T1217" s="7" t="str">
        <f>VLOOKUP(A1217,Sheet2!$A$2:$R$3432,17,0)</f>
        <v>ME1RG072BG0266529</v>
      </c>
    </row>
    <row r="1218" ht="15.75" customHeight="1">
      <c r="A1218" s="3" t="s">
        <v>1241</v>
      </c>
      <c r="B1218" s="4" t="str">
        <f>VLOOKUP(A1218,Sheet2!$A$2:$R$3432,2,0)</f>
        <v>2025-02-03 11:41:41</v>
      </c>
      <c r="C1218" s="5" t="s">
        <v>25</v>
      </c>
      <c r="D1218" s="6" t="s">
        <v>25</v>
      </c>
      <c r="E1218" s="7">
        <f>VLOOKUP(A1218,Sheet2!$A$2:$R$3432,4,0)</f>
        <v>7023966782</v>
      </c>
      <c r="F1218" s="7" t="str">
        <f>VLOOKUP(A1218,Sheet2!$A$2:$R$3432,3,0)</f>
        <v>Shreya </v>
      </c>
      <c r="G1218" s="5" t="s">
        <v>25</v>
      </c>
      <c r="H1218" s="5" t="s">
        <v>25</v>
      </c>
      <c r="I1218" s="5" t="s">
        <v>25</v>
      </c>
      <c r="J1218" s="5" t="s">
        <v>25</v>
      </c>
      <c r="K1218" s="7" t="str">
        <f>VLOOKUP(A1218,Sheet2!$A$2:$R$3432,6,0)</f>
        <v>TVS Jupiter No Data</v>
      </c>
      <c r="L1218" s="5" t="s">
        <v>25</v>
      </c>
      <c r="M1218" s="7" t="str">
        <f>VLOOKUP(A1218,Sheet2!$A$2:$R$3432,5,0)</f>
        <v>MH14KX2278</v>
      </c>
      <c r="N1218" s="5" t="s">
        <v>25</v>
      </c>
      <c r="O1218" s="5" t="s">
        <v>25</v>
      </c>
      <c r="P1218" s="6" t="s">
        <v>25</v>
      </c>
      <c r="Q1218" s="5" t="s">
        <v>25</v>
      </c>
      <c r="R1218" s="5" t="s">
        <v>25</v>
      </c>
      <c r="S1218" s="7" t="str">
        <f>VLOOKUP(A1218,Sheet2!$A$2:$R$3432,18,0)</f>
        <v/>
      </c>
      <c r="T1218" s="7" t="str">
        <f>VLOOKUP(A1218,Sheet2!$A$2:$R$3432,17,0)</f>
        <v/>
      </c>
    </row>
    <row r="1219" ht="15.75" customHeight="1">
      <c r="A1219" s="3" t="s">
        <v>1242</v>
      </c>
      <c r="B1219" s="4" t="str">
        <f>VLOOKUP(A1219,Sheet2!$A$2:$R$3432,2,0)</f>
        <v>2025-02-03 11:40:20</v>
      </c>
      <c r="C1219" s="5" t="s">
        <v>25</v>
      </c>
      <c r="D1219" s="6" t="s">
        <v>25</v>
      </c>
      <c r="E1219" s="7">
        <f>VLOOKUP(A1219,Sheet2!$A$2:$R$3432,4,0)</f>
        <v>9763714117</v>
      </c>
      <c r="F1219" s="7" t="str">
        <f>VLOOKUP(A1219,Sheet2!$A$2:$R$3432,3,0)</f>
        <v>Poonam Kadam</v>
      </c>
      <c r="G1219" s="5" t="s">
        <v>25</v>
      </c>
      <c r="H1219" s="5" t="s">
        <v>25</v>
      </c>
      <c r="I1219" s="5" t="s">
        <v>25</v>
      </c>
      <c r="J1219" s="5" t="s">
        <v>25</v>
      </c>
      <c r="K1219" s="7" t="str">
        <f>VLOOKUP(A1219,Sheet2!$A$2:$R$3432,6,0)</f>
        <v>TVS Jupiter </v>
      </c>
      <c r="L1219" s="5" t="s">
        <v>25</v>
      </c>
      <c r="M1219" s="7" t="str">
        <f>VLOOKUP(A1219,Sheet2!$A$2:$R$3432,5,0)</f>
        <v>MH30AU5450</v>
      </c>
      <c r="N1219" s="5" t="s">
        <v>25</v>
      </c>
      <c r="O1219" s="5" t="s">
        <v>25</v>
      </c>
      <c r="P1219" s="6" t="s">
        <v>25</v>
      </c>
      <c r="Q1219" s="5" t="s">
        <v>25</v>
      </c>
      <c r="R1219" s="5" t="s">
        <v>25</v>
      </c>
      <c r="S1219" s="5" t="str">
        <f>VLOOKUP(A1219,Sheet2!$A$2:$R$3432,18,0)</f>
        <v>BG4GG1011428</v>
      </c>
      <c r="T1219" s="7" t="str">
        <f>VLOOKUP(A1219,Sheet2!$A$2:$R$3432,17,0)</f>
        <v>MD626B47G1G16208</v>
      </c>
    </row>
    <row r="1220" ht="15.75" customHeight="1">
      <c r="A1220" s="3" t="s">
        <v>1243</v>
      </c>
      <c r="B1220" s="4" t="str">
        <f>VLOOKUP(A1220,Sheet2!$A$2:$R$3432,2,0)</f>
        <v>2025-02-03 11:34:09</v>
      </c>
      <c r="C1220" s="5" t="s">
        <v>25</v>
      </c>
      <c r="D1220" s="6" t="s">
        <v>25</v>
      </c>
      <c r="E1220" s="7">
        <f>VLOOKUP(A1220,Sheet2!$A$2:$R$3432,4,0)</f>
        <v>7796658452</v>
      </c>
      <c r="F1220" s="7" t="str">
        <f>VLOOKUP(A1220,Sheet2!$A$2:$R$3432,3,0)</f>
        <v>Parag Nigam</v>
      </c>
      <c r="G1220" s="5" t="s">
        <v>25</v>
      </c>
      <c r="H1220" s="5" t="s">
        <v>25</v>
      </c>
      <c r="I1220" s="5" t="s">
        <v>25</v>
      </c>
      <c r="J1220" s="5" t="s">
        <v>25</v>
      </c>
      <c r="K1220" s="7" t="str">
        <f>VLOOKUP(A1220,Sheet2!$A$2:$R$3432,6,0)</f>
        <v>Honda Activa 3G</v>
      </c>
      <c r="L1220" s="5" t="s">
        <v>25</v>
      </c>
      <c r="M1220" s="7" t="str">
        <f>VLOOKUP(A1220,Sheet2!$A$2:$R$3432,5,0)</f>
        <v>MP08UC9966</v>
      </c>
      <c r="N1220" s="5" t="s">
        <v>25</v>
      </c>
      <c r="O1220" s="5" t="s">
        <v>25</v>
      </c>
      <c r="P1220" s="6" t="s">
        <v>25</v>
      </c>
      <c r="Q1220" s="5" t="s">
        <v>25</v>
      </c>
      <c r="R1220" s="5" t="s">
        <v>25</v>
      </c>
      <c r="S1220" s="7" t="str">
        <f>VLOOKUP(A1220,Sheet2!$A$2:$R$3432,18,0)</f>
        <v/>
      </c>
      <c r="T1220" s="7" t="str">
        <f>VLOOKUP(A1220,Sheet2!$A$2:$R$3432,17,0)</f>
        <v/>
      </c>
    </row>
    <row r="1221" ht="15.75" customHeight="1">
      <c r="A1221" s="3" t="s">
        <v>1244</v>
      </c>
      <c r="B1221" s="4" t="str">
        <f>VLOOKUP(A1221,Sheet2!$A$2:$R$3432,2,0)</f>
        <v>2025-02-03 11:35:34</v>
      </c>
      <c r="C1221" s="5" t="s">
        <v>25</v>
      </c>
      <c r="D1221" s="6" t="s">
        <v>25</v>
      </c>
      <c r="E1221" s="7">
        <f>VLOOKUP(A1221,Sheet2!$A$2:$R$3432,4,0)</f>
        <v>7057611495</v>
      </c>
      <c r="F1221" s="7" t="str">
        <f>VLOOKUP(A1221,Sheet2!$A$2:$R$3432,3,0)</f>
        <v>Baliram </v>
      </c>
      <c r="G1221" s="5" t="s">
        <v>25</v>
      </c>
      <c r="H1221" s="5" t="s">
        <v>25</v>
      </c>
      <c r="I1221" s="5" t="s">
        <v>25</v>
      </c>
      <c r="J1221" s="5" t="s">
        <v>25</v>
      </c>
      <c r="K1221" s="7" t="str">
        <f>VLOOKUP(A1221,Sheet2!$A$2:$R$3432,6,0)</f>
        <v>Hero Passion Pro</v>
      </c>
      <c r="L1221" s="5" t="s">
        <v>25</v>
      </c>
      <c r="M1221" s="7" t="str">
        <f>VLOOKUP(A1221,Sheet2!$A$2:$R$3432,5,0)</f>
        <v>MH14CB0439</v>
      </c>
      <c r="N1221" s="5" t="s">
        <v>25</v>
      </c>
      <c r="O1221" s="5" t="s">
        <v>25</v>
      </c>
      <c r="P1221" s="6" t="s">
        <v>25</v>
      </c>
      <c r="Q1221" s="5" t="s">
        <v>25</v>
      </c>
      <c r="R1221" s="5" t="s">
        <v>25</v>
      </c>
      <c r="S1221" s="7" t="str">
        <f>VLOOKUP(A1221,Sheet2!$A$2:$R$3432,18,0)</f>
        <v/>
      </c>
      <c r="T1221" s="7" t="str">
        <f>VLOOKUP(A1221,Sheet2!$A$2:$R$3432,17,0)</f>
        <v/>
      </c>
    </row>
    <row r="1222" ht="15.75" customHeight="1">
      <c r="A1222" s="3" t="s">
        <v>1245</v>
      </c>
      <c r="B1222" s="4" t="str">
        <f>VLOOKUP(A1222,Sheet2!$A$2:$R$3432,2,0)</f>
        <v>2025-02-03 11:43:22</v>
      </c>
      <c r="C1222" s="5" t="s">
        <v>25</v>
      </c>
      <c r="D1222" s="6" t="s">
        <v>25</v>
      </c>
      <c r="E1222" s="7">
        <f>VLOOKUP(A1222,Sheet2!$A$2:$R$3432,4,0)</f>
        <v>9975097452</v>
      </c>
      <c r="F1222" s="7" t="str">
        <f>VLOOKUP(A1222,Sheet2!$A$2:$R$3432,3,0)</f>
        <v>Sameer </v>
      </c>
      <c r="G1222" s="5" t="s">
        <v>25</v>
      </c>
      <c r="H1222" s="5" t="s">
        <v>25</v>
      </c>
      <c r="I1222" s="5" t="s">
        <v>25</v>
      </c>
      <c r="J1222" s="5" t="s">
        <v>25</v>
      </c>
      <c r="K1222" s="7" t="str">
        <f>VLOOKUP(A1222,Sheet2!$A$2:$R$3432,6,0)</f>
        <v>TVS Apache RTR 160</v>
      </c>
      <c r="L1222" s="5" t="s">
        <v>25</v>
      </c>
      <c r="M1222" s="7" t="str">
        <f>VLOOKUP(A1222,Sheet2!$A$2:$R$3432,5,0)</f>
        <v>MH14JC3780</v>
      </c>
      <c r="N1222" s="5" t="s">
        <v>25</v>
      </c>
      <c r="O1222" s="5" t="s">
        <v>25</v>
      </c>
      <c r="P1222" s="6" t="s">
        <v>25</v>
      </c>
      <c r="Q1222" s="5" t="s">
        <v>25</v>
      </c>
      <c r="R1222" s="5" t="s">
        <v>25</v>
      </c>
      <c r="S1222" s="7" t="str">
        <f>VLOOKUP(A1222,Sheet2!$A$2:$R$3432,18,0)</f>
        <v/>
      </c>
      <c r="T1222" s="7" t="str">
        <f>VLOOKUP(A1222,Sheet2!$A$2:$R$3432,17,0)</f>
        <v/>
      </c>
    </row>
    <row r="1223" ht="15.75" customHeight="1">
      <c r="A1223" s="3" t="s">
        <v>1246</v>
      </c>
      <c r="B1223" s="4" t="str">
        <f>VLOOKUP(A1223,Sheet2!$A$2:$R$3432,2,0)</f>
        <v>2025-02-03 19:35:38</v>
      </c>
      <c r="C1223" s="5" t="s">
        <v>25</v>
      </c>
      <c r="D1223" s="6" t="s">
        <v>25</v>
      </c>
      <c r="E1223" s="7">
        <f>VLOOKUP(A1223,Sheet2!$A$2:$R$3432,4,0)</f>
        <v>9699050052</v>
      </c>
      <c r="F1223" s="7" t="str">
        <f>VLOOKUP(A1223,Sheet2!$A$2:$R$3432,3,0)</f>
        <v>VANSH YEOLE</v>
      </c>
      <c r="G1223" s="5" t="s">
        <v>25</v>
      </c>
      <c r="H1223" s="5" t="s">
        <v>25</v>
      </c>
      <c r="I1223" s="5" t="s">
        <v>25</v>
      </c>
      <c r="J1223" s="5" t="s">
        <v>25</v>
      </c>
      <c r="K1223" s="7" t="str">
        <f>VLOOKUP(A1223,Sheet2!$A$2:$R$3432,6,0)</f>
        <v>Honda Activa 5G</v>
      </c>
      <c r="L1223" s="5" t="s">
        <v>25</v>
      </c>
      <c r="M1223" s="7" t="str">
        <f>VLOOKUP(A1223,Sheet2!$A$2:$R$3432,5,0)</f>
        <v>MH14HL0491</v>
      </c>
      <c r="N1223" s="5" t="s">
        <v>25</v>
      </c>
      <c r="O1223" s="5" t="s">
        <v>25</v>
      </c>
      <c r="P1223" s="6" t="s">
        <v>25</v>
      </c>
      <c r="Q1223" s="5" t="s">
        <v>25</v>
      </c>
      <c r="R1223" s="5" t="s">
        <v>25</v>
      </c>
      <c r="S1223" s="7" t="str">
        <f>VLOOKUP(A1223,Sheet2!$A$2:$R$3432,18,0)</f>
        <v/>
      </c>
      <c r="T1223" s="7" t="str">
        <f>VLOOKUP(A1223,Sheet2!$A$2:$R$3432,17,0)</f>
        <v/>
      </c>
    </row>
    <row r="1224" ht="15.75" customHeight="1">
      <c r="A1224" s="3" t="s">
        <v>1247</v>
      </c>
      <c r="B1224" s="4" t="str">
        <f>VLOOKUP(A1224,Sheet2!$A$2:$R$3432,2,0)</f>
        <v>2025-02-03 19:36:30</v>
      </c>
      <c r="C1224" s="5" t="s">
        <v>25</v>
      </c>
      <c r="D1224" s="6" t="s">
        <v>25</v>
      </c>
      <c r="E1224" s="7">
        <f>VLOOKUP(A1224,Sheet2!$A$2:$R$3432,4,0)</f>
        <v>9881008708</v>
      </c>
      <c r="F1224" s="7" t="str">
        <f>VLOOKUP(A1224,Sheet2!$A$2:$R$3432,3,0)</f>
        <v>SHRINIVAS </v>
      </c>
      <c r="G1224" s="5" t="s">
        <v>25</v>
      </c>
      <c r="H1224" s="5" t="s">
        <v>25</v>
      </c>
      <c r="I1224" s="5" t="s">
        <v>25</v>
      </c>
      <c r="J1224" s="5" t="s">
        <v>25</v>
      </c>
      <c r="K1224" s="7" t="str">
        <f>VLOOKUP(A1224,Sheet2!$A$2:$R$3432,6,0)</f>
        <v>Suzuki Swish </v>
      </c>
      <c r="L1224" s="5" t="s">
        <v>25</v>
      </c>
      <c r="M1224" s="7" t="str">
        <f>VLOOKUP(A1224,Sheet2!$A$2:$R$3432,5,0)</f>
        <v>MH14EE9803</v>
      </c>
      <c r="N1224" s="5" t="s">
        <v>25</v>
      </c>
      <c r="O1224" s="5" t="s">
        <v>25</v>
      </c>
      <c r="P1224" s="6" t="s">
        <v>25</v>
      </c>
      <c r="Q1224" s="5" t="s">
        <v>25</v>
      </c>
      <c r="R1224" s="5" t="s">
        <v>25</v>
      </c>
      <c r="S1224" s="5" t="str">
        <f>VLOOKUP(A1224,Sheet2!$A$2:$R$3432,18,0)</f>
        <v>F4862456392</v>
      </c>
      <c r="T1224" s="7" t="str">
        <f>VLOOKUP(A1224,Sheet2!$A$2:$R$3432,17,0)</f>
        <v>MB8CFACBLD8139091</v>
      </c>
    </row>
    <row r="1225" ht="15.75" customHeight="1">
      <c r="A1225" s="3" t="s">
        <v>1248</v>
      </c>
      <c r="B1225" s="4" t="str">
        <f>VLOOKUP(A1225,Sheet2!$A$2:$R$3432,2,0)</f>
        <v>2025-02-03 20:54:15</v>
      </c>
      <c r="C1225" s="5" t="s">
        <v>25</v>
      </c>
      <c r="D1225" s="6" t="s">
        <v>25</v>
      </c>
      <c r="E1225" s="7">
        <f>VLOOKUP(A1225,Sheet2!$A$2:$R$3432,4,0)</f>
        <v>9834802810</v>
      </c>
      <c r="F1225" s="7" t="str">
        <f>VLOOKUP(A1225,Sheet2!$A$2:$R$3432,3,0)</f>
        <v>RUPESH WANKHEDE </v>
      </c>
      <c r="G1225" s="5" t="s">
        <v>25</v>
      </c>
      <c r="H1225" s="5" t="s">
        <v>25</v>
      </c>
      <c r="I1225" s="5" t="s">
        <v>25</v>
      </c>
      <c r="J1225" s="5" t="s">
        <v>25</v>
      </c>
      <c r="K1225" s="7" t="str">
        <f>VLOOKUP(A1225,Sheet2!$A$2:$R$3432,6,0)</f>
        <v>Hero Passion Pro</v>
      </c>
      <c r="L1225" s="5" t="s">
        <v>25</v>
      </c>
      <c r="M1225" s="7" t="str">
        <f>VLOOKUP(A1225,Sheet2!$A$2:$R$3432,5,0)</f>
        <v>MH39L2431</v>
      </c>
      <c r="N1225" s="5" t="s">
        <v>25</v>
      </c>
      <c r="O1225" s="5" t="s">
        <v>25</v>
      </c>
      <c r="P1225" s="6" t="s">
        <v>25</v>
      </c>
      <c r="Q1225" s="5" t="s">
        <v>25</v>
      </c>
      <c r="R1225" s="5" t="s">
        <v>25</v>
      </c>
      <c r="S1225" s="5" t="str">
        <f>VLOOKUP(A1225,Sheet2!$A$2:$R$3432,18,0)</f>
        <v>HA10EDBH012655</v>
      </c>
      <c r="T1225" s="7" t="str">
        <f>VLOOKUP(A1225,Sheet2!$A$2:$R$3432,17,0)</f>
        <v>MLHA10EWBHJ13321</v>
      </c>
    </row>
    <row r="1226" ht="15.75" customHeight="1">
      <c r="A1226" s="3" t="s">
        <v>1249</v>
      </c>
      <c r="B1226" s="4" t="str">
        <f>VLOOKUP(A1226,Sheet2!$A$2:$R$3432,2,0)</f>
        <v>2025-02-03 19:31:50</v>
      </c>
      <c r="C1226" s="5" t="s">
        <v>25</v>
      </c>
      <c r="D1226" s="6" t="s">
        <v>25</v>
      </c>
      <c r="E1226" s="7">
        <f>VLOOKUP(A1226,Sheet2!$A$2:$R$3432,4,0)</f>
        <v>9665118456</v>
      </c>
      <c r="F1226" s="7" t="str">
        <f>VLOOKUP(A1226,Sheet2!$A$2:$R$3432,3,0)</f>
        <v>YOGESH</v>
      </c>
      <c r="G1226" s="5" t="s">
        <v>25</v>
      </c>
      <c r="H1226" s="5" t="s">
        <v>25</v>
      </c>
      <c r="I1226" s="5" t="s">
        <v>25</v>
      </c>
      <c r="J1226" s="5" t="s">
        <v>25</v>
      </c>
      <c r="K1226" s="7" t="str">
        <f>VLOOKUP(A1226,Sheet2!$A$2:$R$3432,6,0)</f>
        <v>Bajaj Platina 100ES</v>
      </c>
      <c r="L1226" s="5" t="s">
        <v>25</v>
      </c>
      <c r="M1226" s="7" t="str">
        <f>VLOOKUP(A1226,Sheet2!$A$2:$R$3432,5,0)</f>
        <v>MH11CX8705</v>
      </c>
      <c r="N1226" s="5" t="s">
        <v>25</v>
      </c>
      <c r="O1226" s="5" t="s">
        <v>25</v>
      </c>
      <c r="P1226" s="6" t="s">
        <v>25</v>
      </c>
      <c r="Q1226" s="5" t="s">
        <v>25</v>
      </c>
      <c r="R1226" s="5" t="s">
        <v>25</v>
      </c>
      <c r="S1226" s="5" t="str">
        <f>VLOOKUP(A1226,Sheet2!$A$2:$R$3432,18,0)</f>
        <v>PFXWL117902</v>
      </c>
      <c r="T1226" s="7" t="str">
        <f>VLOOKUP(A1226,Sheet2!$A$2:$R$3432,17,0)</f>
        <v>MD2A76AX5LWM1473</v>
      </c>
    </row>
    <row r="1227" ht="15.75" customHeight="1">
      <c r="A1227" s="3" t="s">
        <v>1250</v>
      </c>
      <c r="B1227" s="4" t="str">
        <f>VLOOKUP(A1227,Sheet2!$A$2:$R$3432,2,0)</f>
        <v>2025-02-03 19:33:25</v>
      </c>
      <c r="C1227" s="5" t="s">
        <v>25</v>
      </c>
      <c r="D1227" s="6" t="s">
        <v>25</v>
      </c>
      <c r="E1227" s="7">
        <f>VLOOKUP(A1227,Sheet2!$A$2:$R$3432,4,0)</f>
        <v>9766828603</v>
      </c>
      <c r="F1227" s="7" t="str">
        <f>VLOOKUP(A1227,Sheet2!$A$2:$R$3432,3,0)</f>
        <v>SAURABH SHARMA</v>
      </c>
      <c r="G1227" s="5" t="s">
        <v>25</v>
      </c>
      <c r="H1227" s="5" t="s">
        <v>25</v>
      </c>
      <c r="I1227" s="5" t="s">
        <v>25</v>
      </c>
      <c r="J1227" s="5" t="s">
        <v>25</v>
      </c>
      <c r="K1227" s="7" t="str">
        <f>VLOOKUP(A1227,Sheet2!$A$2:$R$3432,6,0)</f>
        <v>TVS Jupiter 125</v>
      </c>
      <c r="L1227" s="5" t="s">
        <v>25</v>
      </c>
      <c r="M1227" s="7" t="str">
        <f>VLOOKUP(A1227,Sheet2!$A$2:$R$3432,5,0)</f>
        <v>MH27DD3339</v>
      </c>
      <c r="N1227" s="5" t="s">
        <v>25</v>
      </c>
      <c r="O1227" s="5" t="s">
        <v>25</v>
      </c>
      <c r="P1227" s="6" t="s">
        <v>25</v>
      </c>
      <c r="Q1227" s="5" t="s">
        <v>25</v>
      </c>
      <c r="R1227" s="5" t="s">
        <v>25</v>
      </c>
      <c r="S1227" s="5" t="str">
        <f>VLOOKUP(A1227,Sheet2!$A$2:$R$3432,18,0)</f>
        <v>MK4PM1112871</v>
      </c>
      <c r="T1227" s="7" t="str">
        <f>VLOOKUP(A1227,Sheet2!$A$2:$R$3432,17,0)</f>
        <v>MD626AK4XN1A65416</v>
      </c>
    </row>
    <row r="1228" ht="15.75" customHeight="1">
      <c r="A1228" s="3" t="s">
        <v>1251</v>
      </c>
      <c r="B1228" s="4" t="str">
        <f>VLOOKUP(A1228,Sheet2!$A$2:$R$3432,2,0)</f>
        <v>2025-02-03 19:36:47</v>
      </c>
      <c r="C1228" s="5" t="s">
        <v>25</v>
      </c>
      <c r="D1228" s="6" t="s">
        <v>25</v>
      </c>
      <c r="E1228" s="7">
        <f>VLOOKUP(A1228,Sheet2!$A$2:$R$3432,4,0)</f>
        <v>7875374892</v>
      </c>
      <c r="F1228" s="7" t="str">
        <f>VLOOKUP(A1228,Sheet2!$A$2:$R$3432,3,0)</f>
        <v>Sidhdesh</v>
      </c>
      <c r="G1228" s="5" t="s">
        <v>25</v>
      </c>
      <c r="H1228" s="5" t="s">
        <v>25</v>
      </c>
      <c r="I1228" s="5" t="s">
        <v>25</v>
      </c>
      <c r="J1228" s="5" t="s">
        <v>25</v>
      </c>
      <c r="K1228" s="7" t="str">
        <f>VLOOKUP(A1228,Sheet2!$A$2:$R$3432,6,0)</f>
        <v>Yamaha FZ S 2.0</v>
      </c>
      <c r="L1228" s="5" t="s">
        <v>25</v>
      </c>
      <c r="M1228" s="7" t="str">
        <f>VLOOKUP(A1228,Sheet2!$A$2:$R$3432,5,0)</f>
        <v>MH08AH1144</v>
      </c>
      <c r="N1228" s="5" t="s">
        <v>25</v>
      </c>
      <c r="O1228" s="5" t="s">
        <v>25</v>
      </c>
      <c r="P1228" s="6" t="s">
        <v>25</v>
      </c>
      <c r="Q1228" s="5" t="s">
        <v>25</v>
      </c>
      <c r="R1228" s="5" t="s">
        <v>25</v>
      </c>
      <c r="S1228" s="5" t="str">
        <f>VLOOKUP(A1228,Sheet2!$A$2:$R$3432,18,0)</f>
        <v>G3C8ED184221</v>
      </c>
      <c r="T1228" s="7" t="str">
        <f>VLOOKUP(A1228,Sheet2!$A$2:$R$3432,17,0)</f>
        <v>ME1RG0727F0111102</v>
      </c>
    </row>
    <row r="1229" ht="15.75" customHeight="1">
      <c r="A1229" s="3" t="s">
        <v>1252</v>
      </c>
      <c r="B1229" s="4" t="str">
        <f>VLOOKUP(A1229,Sheet2!$A$2:$R$3432,2,0)</f>
        <v>2025-02-03 19:37:31</v>
      </c>
      <c r="C1229" s="5" t="s">
        <v>25</v>
      </c>
      <c r="D1229" s="6" t="s">
        <v>25</v>
      </c>
      <c r="E1229" s="7">
        <f>VLOOKUP(A1229,Sheet2!$A$2:$R$3432,4,0)</f>
        <v>8446698371</v>
      </c>
      <c r="F1229" s="7" t="str">
        <f>VLOOKUP(A1229,Sheet2!$A$2:$R$3432,3,0)</f>
        <v>SHRINIWAS DESHMUKH </v>
      </c>
      <c r="G1229" s="5" t="s">
        <v>25</v>
      </c>
      <c r="H1229" s="5" t="s">
        <v>25</v>
      </c>
      <c r="I1229" s="5" t="s">
        <v>25</v>
      </c>
      <c r="J1229" s="5" t="s">
        <v>25</v>
      </c>
      <c r="K1229" s="7" t="str">
        <f>VLOOKUP(A1229,Sheet2!$A$2:$R$3432,6,0)</f>
        <v>Honda Aviator </v>
      </c>
      <c r="L1229" s="5" t="s">
        <v>25</v>
      </c>
      <c r="M1229" s="7" t="str">
        <f>VLOOKUP(A1229,Sheet2!$A$2:$R$3432,5,0)</f>
        <v>MH16BP6248</v>
      </c>
      <c r="N1229" s="5" t="s">
        <v>25</v>
      </c>
      <c r="O1229" s="5" t="s">
        <v>25</v>
      </c>
      <c r="P1229" s="6" t="s">
        <v>25</v>
      </c>
      <c r="Q1229" s="5" t="s">
        <v>25</v>
      </c>
      <c r="R1229" s="5" t="s">
        <v>25</v>
      </c>
      <c r="S1229" s="7" t="str">
        <f>VLOOKUP(A1229,Sheet2!$A$2:$R$3432,18,0)</f>
        <v/>
      </c>
      <c r="T1229" s="7" t="str">
        <f>VLOOKUP(A1229,Sheet2!$A$2:$R$3432,17,0)</f>
        <v/>
      </c>
    </row>
    <row r="1230" ht="15.75" customHeight="1">
      <c r="A1230" s="3" t="s">
        <v>1253</v>
      </c>
      <c r="B1230" s="4" t="str">
        <f>VLOOKUP(A1230,Sheet2!$A$2:$R$3432,2,0)</f>
        <v>2025-02-03 19:41:01</v>
      </c>
      <c r="C1230" s="5" t="s">
        <v>25</v>
      </c>
      <c r="D1230" s="6" t="s">
        <v>25</v>
      </c>
      <c r="E1230" s="7">
        <f>VLOOKUP(A1230,Sheet2!$A$2:$R$3432,4,0)</f>
        <v>9850380576</v>
      </c>
      <c r="F1230" s="7" t="str">
        <f>VLOOKUP(A1230,Sheet2!$A$2:$R$3432,3,0)</f>
        <v>Pandit Patekari</v>
      </c>
      <c r="G1230" s="5" t="s">
        <v>25</v>
      </c>
      <c r="H1230" s="5" t="s">
        <v>25</v>
      </c>
      <c r="I1230" s="5" t="s">
        <v>25</v>
      </c>
      <c r="J1230" s="5" t="s">
        <v>25</v>
      </c>
      <c r="K1230" s="7" t="str">
        <f>VLOOKUP(A1230,Sheet2!$A$2:$R$3432,6,0)</f>
        <v>Hero Passion Plus</v>
      </c>
      <c r="L1230" s="5" t="s">
        <v>25</v>
      </c>
      <c r="M1230" s="7" t="str">
        <f>VLOOKUP(A1230,Sheet2!$A$2:$R$3432,5,0)</f>
        <v>MH12FJ2072</v>
      </c>
      <c r="N1230" s="5" t="s">
        <v>25</v>
      </c>
      <c r="O1230" s="5" t="s">
        <v>25</v>
      </c>
      <c r="P1230" s="6" t="s">
        <v>25</v>
      </c>
      <c r="Q1230" s="5" t="s">
        <v>25</v>
      </c>
      <c r="R1230" s="5" t="s">
        <v>25</v>
      </c>
      <c r="S1230" s="7" t="str">
        <f>VLOOKUP(A1230,Sheet2!$A$2:$R$3432,18,0)</f>
        <v/>
      </c>
      <c r="T1230" s="7" t="str">
        <f>VLOOKUP(A1230,Sheet2!$A$2:$R$3432,17,0)</f>
        <v/>
      </c>
    </row>
    <row r="1231" ht="15.75" customHeight="1">
      <c r="A1231" s="3" t="s">
        <v>1254</v>
      </c>
      <c r="B1231" s="4" t="str">
        <f>VLOOKUP(A1231,Sheet2!$A$2:$R$3432,2,0)</f>
        <v>2025-02-03 19:38:47</v>
      </c>
      <c r="C1231" s="5" t="s">
        <v>25</v>
      </c>
      <c r="D1231" s="6" t="s">
        <v>25</v>
      </c>
      <c r="E1231" s="7">
        <f>VLOOKUP(A1231,Sheet2!$A$2:$R$3432,4,0)</f>
        <v>9764962964</v>
      </c>
      <c r="F1231" s="7" t="str">
        <f>VLOOKUP(A1231,Sheet2!$A$2:$R$3432,3,0)</f>
        <v>ANIKET PATIL</v>
      </c>
      <c r="G1231" s="5" t="s">
        <v>25</v>
      </c>
      <c r="H1231" s="5" t="s">
        <v>25</v>
      </c>
      <c r="I1231" s="5" t="s">
        <v>25</v>
      </c>
      <c r="J1231" s="5" t="s">
        <v>25</v>
      </c>
      <c r="K1231" s="7" t="str">
        <f>VLOOKUP(A1231,Sheet2!$A$2:$R$3432,6,0)</f>
        <v>Yamaha FZ S</v>
      </c>
      <c r="L1231" s="5" t="s">
        <v>25</v>
      </c>
      <c r="M1231" s="7" t="str">
        <f>VLOOKUP(A1231,Sheet2!$A$2:$R$3432,5,0)</f>
        <v>MH12FQ2402</v>
      </c>
      <c r="N1231" s="5" t="s">
        <v>25</v>
      </c>
      <c r="O1231" s="5" t="s">
        <v>25</v>
      </c>
      <c r="P1231" s="6" t="s">
        <v>25</v>
      </c>
      <c r="Q1231" s="5" t="s">
        <v>25</v>
      </c>
      <c r="R1231" s="5" t="s">
        <v>25</v>
      </c>
      <c r="S1231" s="5" t="str">
        <f>VLOOKUP(A1231,Sheet2!$A$2:$R$3432,18,0)</f>
        <v>21C202094</v>
      </c>
      <c r="T1231" s="7" t="str">
        <f>VLOOKUP(A1231,Sheet2!$A$2:$R$3432,17,0)</f>
        <v>ME121G0275202502</v>
      </c>
    </row>
    <row r="1232" ht="15.75" customHeight="1">
      <c r="A1232" s="3" t="s">
        <v>1255</v>
      </c>
      <c r="B1232" s="4" t="str">
        <f>VLOOKUP(A1232,Sheet2!$A$2:$R$3432,2,0)</f>
        <v>2025-02-03 19:39:27</v>
      </c>
      <c r="C1232" s="5" t="s">
        <v>25</v>
      </c>
      <c r="D1232" s="6" t="s">
        <v>25</v>
      </c>
      <c r="E1232" s="7">
        <f>VLOOKUP(A1232,Sheet2!$A$2:$R$3432,4,0)</f>
        <v>8827240458</v>
      </c>
      <c r="F1232" s="7" t="str">
        <f>VLOOKUP(A1232,Sheet2!$A$2:$R$3432,3,0)</f>
        <v>SHUBHAM </v>
      </c>
      <c r="G1232" s="5" t="s">
        <v>25</v>
      </c>
      <c r="H1232" s="5" t="s">
        <v>25</v>
      </c>
      <c r="I1232" s="5" t="s">
        <v>25</v>
      </c>
      <c r="J1232" s="5" t="s">
        <v>25</v>
      </c>
      <c r="K1232" s="7" t="str">
        <f>VLOOKUP(A1232,Sheet2!$A$2:$R$3432,6,0)</f>
        <v>Bajaj Pulsar 200 RS</v>
      </c>
      <c r="L1232" s="5" t="s">
        <v>25</v>
      </c>
      <c r="M1232" s="7" t="str">
        <f>VLOOKUP(A1232,Sheet2!$A$2:$R$3432,5,0)</f>
        <v>MH12RS6490</v>
      </c>
      <c r="N1232" s="5" t="s">
        <v>25</v>
      </c>
      <c r="O1232" s="5" t="s">
        <v>25</v>
      </c>
      <c r="P1232" s="6" t="s">
        <v>25</v>
      </c>
      <c r="Q1232" s="5" t="s">
        <v>25</v>
      </c>
      <c r="R1232" s="5" t="s">
        <v>25</v>
      </c>
      <c r="S1232" s="5" t="str">
        <f>VLOOKUP(A1232,Sheet2!$A$2:$R$3432,18,0)</f>
        <v>JLYCKA80121</v>
      </c>
      <c r="T1232" s="7" t="str">
        <f>VLOOKUP(A1232,Sheet2!$A$2:$R$3432,17,0)</f>
        <v/>
      </c>
    </row>
    <row r="1233" ht="15.75" customHeight="1">
      <c r="A1233" s="3" t="s">
        <v>1256</v>
      </c>
      <c r="B1233" s="4" t="str">
        <f>VLOOKUP(A1233,Sheet2!$A$2:$R$3432,2,0)</f>
        <v>2025-02-03 19:40:08</v>
      </c>
      <c r="C1233" s="5" t="s">
        <v>25</v>
      </c>
      <c r="D1233" s="6" t="s">
        <v>25</v>
      </c>
      <c r="E1233" s="7">
        <f>VLOOKUP(A1233,Sheet2!$A$2:$R$3432,4,0)</f>
        <v>8982547243</v>
      </c>
      <c r="F1233" s="7" t="str">
        <f>VLOOKUP(A1233,Sheet2!$A$2:$R$3432,3,0)</f>
        <v>ABHINAV </v>
      </c>
      <c r="G1233" s="5" t="s">
        <v>25</v>
      </c>
      <c r="H1233" s="5" t="s">
        <v>25</v>
      </c>
      <c r="I1233" s="5" t="s">
        <v>25</v>
      </c>
      <c r="J1233" s="5" t="s">
        <v>25</v>
      </c>
      <c r="K1233" s="7" t="str">
        <f>VLOOKUP(A1233,Sheet2!$A$2:$R$3432,6,0)</f>
        <v>KTM Duke 250</v>
      </c>
      <c r="L1233" s="5" t="s">
        <v>25</v>
      </c>
      <c r="M1233" s="7" t="str">
        <f>VLOOKUP(A1233,Sheet2!$A$2:$R$3432,5,0)</f>
        <v>MP20NG4891</v>
      </c>
      <c r="N1233" s="5" t="s">
        <v>25</v>
      </c>
      <c r="O1233" s="5" t="s">
        <v>25</v>
      </c>
      <c r="P1233" s="6" t="s">
        <v>25</v>
      </c>
      <c r="Q1233" s="5" t="s">
        <v>25</v>
      </c>
      <c r="R1233" s="5" t="s">
        <v>25</v>
      </c>
      <c r="S1233" s="5" t="str">
        <f>VLOOKUP(A1233,Sheet2!$A$2:$R$3432,18,0)</f>
        <v>J97X06614</v>
      </c>
      <c r="T1233" s="7" t="str">
        <f>VLOOKUP(A1233,Sheet2!$A$2:$R$3432,17,0)</f>
        <v>MD2JPE4C9HC026502</v>
      </c>
    </row>
    <row r="1234" ht="15.75" customHeight="1">
      <c r="A1234" s="3" t="s">
        <v>1257</v>
      </c>
      <c r="B1234" s="4" t="str">
        <f>VLOOKUP(A1234,Sheet2!$A$2:$R$3432,2,0)</f>
        <v>2025-02-03 19:40:21</v>
      </c>
      <c r="C1234" s="5" t="s">
        <v>25</v>
      </c>
      <c r="D1234" s="6" t="s">
        <v>25</v>
      </c>
      <c r="E1234" s="7">
        <f>VLOOKUP(A1234,Sheet2!$A$2:$R$3432,4,0)</f>
        <v>9140942561</v>
      </c>
      <c r="F1234" s="7" t="str">
        <f>VLOOKUP(A1234,Sheet2!$A$2:$R$3432,3,0)</f>
        <v>DHIRAJ</v>
      </c>
      <c r="G1234" s="5" t="s">
        <v>25</v>
      </c>
      <c r="H1234" s="5" t="s">
        <v>25</v>
      </c>
      <c r="I1234" s="5" t="s">
        <v>25</v>
      </c>
      <c r="J1234" s="5" t="s">
        <v>25</v>
      </c>
      <c r="K1234" s="7" t="str">
        <f>VLOOKUP(A1234,Sheet2!$A$2:$R$3432,6,0)</f>
        <v>Honda Activa 6G</v>
      </c>
      <c r="L1234" s="5" t="s">
        <v>25</v>
      </c>
      <c r="M1234" s="7" t="str">
        <f>VLOOKUP(A1234,Sheet2!$A$2:$R$3432,5,0)</f>
        <v>MH14KY4360</v>
      </c>
      <c r="N1234" s="5" t="s">
        <v>25</v>
      </c>
      <c r="O1234" s="5" t="s">
        <v>25</v>
      </c>
      <c r="P1234" s="6" t="s">
        <v>25</v>
      </c>
      <c r="Q1234" s="5" t="s">
        <v>25</v>
      </c>
      <c r="R1234" s="5" t="s">
        <v>25</v>
      </c>
      <c r="S1234" s="7" t="str">
        <f>VLOOKUP(A1234,Sheet2!$A$2:$R$3432,18,0)</f>
        <v/>
      </c>
      <c r="T1234" s="7" t="str">
        <f>VLOOKUP(A1234,Sheet2!$A$2:$R$3432,17,0)</f>
        <v/>
      </c>
    </row>
    <row r="1235" ht="15.75" customHeight="1">
      <c r="A1235" s="3" t="s">
        <v>1258</v>
      </c>
      <c r="B1235" s="4" t="str">
        <f>VLOOKUP(A1235,Sheet2!$A$2:$R$3432,2,0)</f>
        <v>2025-02-03 19:40:45</v>
      </c>
      <c r="C1235" s="5" t="s">
        <v>25</v>
      </c>
      <c r="D1235" s="6" t="s">
        <v>25</v>
      </c>
      <c r="E1235" s="7">
        <f>VLOOKUP(A1235,Sheet2!$A$2:$R$3432,4,0)</f>
        <v>9975925116</v>
      </c>
      <c r="F1235" s="7" t="str">
        <f>VLOOKUP(A1235,Sheet2!$A$2:$R$3432,3,0)</f>
        <v>LACHAKE</v>
      </c>
      <c r="G1235" s="5" t="s">
        <v>25</v>
      </c>
      <c r="H1235" s="5" t="s">
        <v>25</v>
      </c>
      <c r="I1235" s="5" t="s">
        <v>25</v>
      </c>
      <c r="J1235" s="5" t="s">
        <v>25</v>
      </c>
      <c r="K1235" s="7" t="str">
        <f>VLOOKUP(A1235,Sheet2!$A$2:$R$3432,6,0)</f>
        <v>Honda Activa Old</v>
      </c>
      <c r="L1235" s="5" t="s">
        <v>25</v>
      </c>
      <c r="M1235" s="7" t="str">
        <f>VLOOKUP(A1235,Sheet2!$A$2:$R$3432,5,0)</f>
        <v>MH12EK1289</v>
      </c>
      <c r="N1235" s="5" t="s">
        <v>25</v>
      </c>
      <c r="O1235" s="5" t="s">
        <v>25</v>
      </c>
      <c r="P1235" s="6" t="s">
        <v>25</v>
      </c>
      <c r="Q1235" s="5" t="s">
        <v>25</v>
      </c>
      <c r="R1235" s="5" t="s">
        <v>25</v>
      </c>
      <c r="S1235" s="5" t="str">
        <f>VLOOKUP(A1235,Sheet2!$A$2:$R$3432,18,0)</f>
        <v>JF08E5210123</v>
      </c>
      <c r="T1235" s="7" t="str">
        <f>VLOOKUP(A1235,Sheet2!$A$2:$R$3432,17,0)</f>
        <v>ME4JF083A98178545</v>
      </c>
    </row>
    <row r="1236" ht="15.75" customHeight="1">
      <c r="A1236" s="3" t="s">
        <v>1259</v>
      </c>
      <c r="B1236" s="4" t="str">
        <f>VLOOKUP(A1236,Sheet2!$A$2:$R$3432,2,0)</f>
        <v>2025-02-03 19:41:22</v>
      </c>
      <c r="C1236" s="5" t="s">
        <v>25</v>
      </c>
      <c r="D1236" s="6" t="s">
        <v>25</v>
      </c>
      <c r="E1236" s="7">
        <f>VLOOKUP(A1236,Sheet2!$A$2:$R$3432,4,0)</f>
        <v>9404068663</v>
      </c>
      <c r="F1236" s="7" t="str">
        <f>VLOOKUP(A1236,Sheet2!$A$2:$R$3432,3,0)</f>
        <v>PRANAV KARHALE</v>
      </c>
      <c r="G1236" s="5" t="s">
        <v>25</v>
      </c>
      <c r="H1236" s="5" t="s">
        <v>25</v>
      </c>
      <c r="I1236" s="5" t="s">
        <v>25</v>
      </c>
      <c r="J1236" s="5" t="s">
        <v>25</v>
      </c>
      <c r="K1236" s="7" t="str">
        <f>VLOOKUP(A1236,Sheet2!$A$2:$R$3432,6,0)</f>
        <v>Hero Maestro Dash/Edge</v>
      </c>
      <c r="L1236" s="5" t="s">
        <v>25</v>
      </c>
      <c r="M1236" s="7" t="str">
        <f>VLOOKUP(A1236,Sheet2!$A$2:$R$3432,5,0)</f>
        <v>MH26AX3567</v>
      </c>
      <c r="N1236" s="5" t="s">
        <v>25</v>
      </c>
      <c r="O1236" s="5" t="s">
        <v>25</v>
      </c>
      <c r="P1236" s="6" t="s">
        <v>25</v>
      </c>
      <c r="Q1236" s="5" t="s">
        <v>25</v>
      </c>
      <c r="R1236" s="5" t="s">
        <v>25</v>
      </c>
      <c r="S1236" s="5" t="str">
        <f>VLOOKUP(A1236,Sheet2!$A$2:$R$3432,18,0)</f>
        <v>JF33AAG415326</v>
      </c>
      <c r="T1236" s="7" t="str">
        <f>VLOOKUP(A1236,Sheet2!$A$2:$R$3432,17,0)</f>
        <v>MBLJ33AAG4A12G36</v>
      </c>
    </row>
    <row r="1237" ht="15.75" customHeight="1">
      <c r="A1237" s="3" t="s">
        <v>1260</v>
      </c>
      <c r="B1237" s="4" t="str">
        <f>VLOOKUP(A1237,Sheet2!$A$2:$R$3432,2,0)</f>
        <v>2025-02-01 19:23:51</v>
      </c>
      <c r="C1237" s="5" t="s">
        <v>25</v>
      </c>
      <c r="D1237" s="6" t="s">
        <v>25</v>
      </c>
      <c r="E1237" s="7">
        <f>VLOOKUP(A1237,Sheet2!$A$2:$R$3432,4,0)</f>
        <v>8805349053</v>
      </c>
      <c r="F1237" s="7" t="str">
        <f>VLOOKUP(A1237,Sheet2!$A$2:$R$3432,3,0)</f>
        <v>Omkar</v>
      </c>
      <c r="G1237" s="5" t="s">
        <v>25</v>
      </c>
      <c r="H1237" s="5" t="s">
        <v>25</v>
      </c>
      <c r="I1237" s="5" t="s">
        <v>25</v>
      </c>
      <c r="J1237" s="5" t="s">
        <v>25</v>
      </c>
      <c r="K1237" s="7" t="str">
        <f>VLOOKUP(A1237,Sheet2!$A$2:$R$3432,6,0)</f>
        <v>Bajaj Discover 100M</v>
      </c>
      <c r="L1237" s="5" t="s">
        <v>25</v>
      </c>
      <c r="M1237" s="7" t="str">
        <f>VLOOKUP(A1237,Sheet2!$A$2:$R$3432,5,0)</f>
        <v>MH15CY6419</v>
      </c>
      <c r="N1237" s="5" t="s">
        <v>25</v>
      </c>
      <c r="O1237" s="5" t="s">
        <v>25</v>
      </c>
      <c r="P1237" s="6" t="s">
        <v>25</v>
      </c>
      <c r="Q1237" s="5" t="s">
        <v>25</v>
      </c>
      <c r="R1237" s="5" t="s">
        <v>25</v>
      </c>
      <c r="S1237" s="7" t="str">
        <f>VLOOKUP(A1237,Sheet2!$A$2:$R$3432,18,0)</f>
        <v/>
      </c>
      <c r="T1237" s="7" t="str">
        <f>VLOOKUP(A1237,Sheet2!$A$2:$R$3432,17,0)</f>
        <v>MD2DSPAZZTWK18104</v>
      </c>
    </row>
    <row r="1238" ht="15.75" customHeight="1">
      <c r="A1238" s="3" t="s">
        <v>1261</v>
      </c>
      <c r="B1238" s="4" t="str">
        <f>VLOOKUP(A1238,Sheet2!$A$2:$R$3432,2,0)</f>
        <v>2025-02-01 19:23:27</v>
      </c>
      <c r="C1238" s="5" t="s">
        <v>25</v>
      </c>
      <c r="D1238" s="6" t="s">
        <v>25</v>
      </c>
      <c r="E1238" s="7">
        <f>VLOOKUP(A1238,Sheet2!$A$2:$R$3432,4,0)</f>
        <v>9881399332</v>
      </c>
      <c r="F1238" s="7" t="str">
        <f>VLOOKUP(A1238,Sheet2!$A$2:$R$3432,3,0)</f>
        <v>Jitendra Rajput</v>
      </c>
      <c r="G1238" s="5" t="s">
        <v>25</v>
      </c>
      <c r="H1238" s="5" t="s">
        <v>25</v>
      </c>
      <c r="I1238" s="5" t="s">
        <v>25</v>
      </c>
      <c r="J1238" s="5" t="s">
        <v>25</v>
      </c>
      <c r="K1238" s="7" t="str">
        <f>VLOOKUP(A1238,Sheet2!$A$2:$R$3432,6,0)</f>
        <v>TVS Jupiter </v>
      </c>
      <c r="L1238" s="5" t="s">
        <v>25</v>
      </c>
      <c r="M1238" s="7" t="str">
        <f>VLOOKUP(A1238,Sheet2!$A$2:$R$3432,5,0)</f>
        <v>MH14GP3945</v>
      </c>
      <c r="N1238" s="5" t="s">
        <v>25</v>
      </c>
      <c r="O1238" s="5" t="s">
        <v>25</v>
      </c>
      <c r="P1238" s="6" t="s">
        <v>25</v>
      </c>
      <c r="Q1238" s="5" t="s">
        <v>25</v>
      </c>
      <c r="R1238" s="5" t="s">
        <v>25</v>
      </c>
      <c r="S1238" s="5" t="str">
        <f>VLOOKUP(A1238,Sheet2!$A$2:$R$3432,18,0)</f>
        <v>EG4HH1509418</v>
      </c>
      <c r="T1238" s="7" t="str">
        <f>VLOOKUP(A1238,Sheet2!$A$2:$R$3432,17,0)</f>
        <v>MD626EG41H1H68505</v>
      </c>
    </row>
    <row r="1239" ht="15.75" customHeight="1">
      <c r="A1239" s="3" t="s">
        <v>1262</v>
      </c>
      <c r="B1239" s="4" t="str">
        <f>VLOOKUP(A1239,Sheet2!$A$2:$R$3432,2,0)</f>
        <v>2025-05-16 19:15:19</v>
      </c>
      <c r="C1239" s="5" t="s">
        <v>25</v>
      </c>
      <c r="D1239" s="6" t="s">
        <v>25</v>
      </c>
      <c r="E1239" s="7">
        <f>VLOOKUP(A1239,Sheet2!$A$2:$R$3432,4,0)</f>
        <v>8446325827</v>
      </c>
      <c r="F1239" s="7" t="str">
        <f>VLOOKUP(A1239,Sheet2!$A$2:$R$3432,3,0)</f>
        <v>Pankaj Katkar</v>
      </c>
      <c r="G1239" s="5" t="s">
        <v>25</v>
      </c>
      <c r="H1239" s="5" t="s">
        <v>25</v>
      </c>
      <c r="I1239" s="5" t="s">
        <v>25</v>
      </c>
      <c r="J1239" s="5" t="s">
        <v>25</v>
      </c>
      <c r="K1239" s="7" t="str">
        <f>VLOOKUP(A1239,Sheet2!$A$2:$R$3432,6,0)</f>
        <v>Honda Hornet 160R</v>
      </c>
      <c r="L1239" s="5" t="s">
        <v>25</v>
      </c>
      <c r="M1239" s="7" t="str">
        <f>VLOOKUP(A1239,Sheet2!$A$2:$R$3432,5,0)</f>
        <v>MH12SG6280</v>
      </c>
      <c r="N1239" s="5" t="s">
        <v>25</v>
      </c>
      <c r="O1239" s="5" t="s">
        <v>25</v>
      </c>
      <c r="P1239" s="6" t="s">
        <v>25</v>
      </c>
      <c r="Q1239" s="5" t="s">
        <v>25</v>
      </c>
      <c r="R1239" s="5" t="s">
        <v>25</v>
      </c>
      <c r="S1239" s="7" t="str">
        <f>VLOOKUP(A1239,Sheet2!$A$2:$R$3432,18,0)</f>
        <v/>
      </c>
      <c r="T1239" s="7" t="str">
        <f>VLOOKUP(A1239,Sheet2!$A$2:$R$3432,17,0)</f>
        <v/>
      </c>
    </row>
    <row r="1240" ht="15.75" customHeight="1">
      <c r="A1240" s="3" t="s">
        <v>1263</v>
      </c>
      <c r="B1240" s="4" t="str">
        <f>VLOOKUP(A1240,Sheet2!$A$2:$R$3432,2,0)</f>
        <v>2025-05-16 19:17:38</v>
      </c>
      <c r="C1240" s="5" t="s">
        <v>25</v>
      </c>
      <c r="D1240" s="6" t="s">
        <v>25</v>
      </c>
      <c r="E1240" s="7">
        <f>VLOOKUP(A1240,Sheet2!$A$2:$R$3432,4,0)</f>
        <v>7350902618</v>
      </c>
      <c r="F1240" s="7" t="str">
        <f>VLOOKUP(A1240,Sheet2!$A$2:$R$3432,3,0)</f>
        <v>PRATIK SALUNKHE</v>
      </c>
      <c r="G1240" s="5" t="s">
        <v>25</v>
      </c>
      <c r="H1240" s="5" t="s">
        <v>25</v>
      </c>
      <c r="I1240" s="5" t="s">
        <v>25</v>
      </c>
      <c r="J1240" s="5" t="s">
        <v>25</v>
      </c>
      <c r="K1240" s="7" t="str">
        <f>VLOOKUP(A1240,Sheet2!$A$2:$R$3432,6,0)</f>
        <v>Hero Passion Pro</v>
      </c>
      <c r="L1240" s="5" t="s">
        <v>25</v>
      </c>
      <c r="M1240" s="7" t="str">
        <f>VLOOKUP(A1240,Sheet2!$A$2:$R$3432,5,0)</f>
        <v>MH14DD6574</v>
      </c>
      <c r="N1240" s="5" t="s">
        <v>25</v>
      </c>
      <c r="O1240" s="5" t="s">
        <v>25</v>
      </c>
      <c r="P1240" s="6" t="s">
        <v>25</v>
      </c>
      <c r="Q1240" s="5" t="s">
        <v>25</v>
      </c>
      <c r="R1240" s="5" t="s">
        <v>25</v>
      </c>
      <c r="S1240" s="5" t="str">
        <f>VLOOKUP(A1240,Sheet2!$A$2:$R$3432,18,0)</f>
        <v>HA10EDBGM54004</v>
      </c>
      <c r="T1240" s="7" t="str">
        <f>VLOOKUP(A1240,Sheet2!$A$2:$R$3432,17,0)</f>
        <v>MBLHA10EWBGM22283</v>
      </c>
    </row>
    <row r="1241" ht="15.75" customHeight="1">
      <c r="A1241" s="3" t="s">
        <v>1264</v>
      </c>
      <c r="B1241" s="4" t="str">
        <f>VLOOKUP(A1241,Sheet2!$A$2:$R$3432,2,0)</f>
        <v>2025-05-16 19:18:46</v>
      </c>
      <c r="C1241" s="5" t="s">
        <v>25</v>
      </c>
      <c r="D1241" s="6" t="s">
        <v>25</v>
      </c>
      <c r="E1241" s="7">
        <f>VLOOKUP(A1241,Sheet2!$A$2:$R$3432,4,0)</f>
        <v>9923586566</v>
      </c>
      <c r="F1241" s="7" t="str">
        <f>VLOOKUP(A1241,Sheet2!$A$2:$R$3432,3,0)</f>
        <v>Dnyaneshwar </v>
      </c>
      <c r="G1241" s="5" t="s">
        <v>25</v>
      </c>
      <c r="H1241" s="5" t="s">
        <v>25</v>
      </c>
      <c r="I1241" s="5" t="s">
        <v>25</v>
      </c>
      <c r="J1241" s="5" t="s">
        <v>25</v>
      </c>
      <c r="K1241" s="7" t="str">
        <f>VLOOKUP(A1241,Sheet2!$A$2:$R$3432,6,0)</f>
        <v>Honda Activa No Data</v>
      </c>
      <c r="L1241" s="5" t="s">
        <v>25</v>
      </c>
      <c r="M1241" s="7" t="str">
        <f>VLOOKUP(A1241,Sheet2!$A$2:$R$3432,5,0)</f>
        <v>MH14BY6690</v>
      </c>
      <c r="N1241" s="5" t="s">
        <v>25</v>
      </c>
      <c r="O1241" s="5" t="s">
        <v>25</v>
      </c>
      <c r="P1241" s="6" t="s">
        <v>25</v>
      </c>
      <c r="Q1241" s="5" t="s">
        <v>25</v>
      </c>
      <c r="R1241" s="5" t="s">
        <v>25</v>
      </c>
      <c r="S1241" s="7" t="str">
        <f>VLOOKUP(A1241,Sheet2!$A$2:$R$3432,18,0)</f>
        <v/>
      </c>
      <c r="T1241" s="7" t="str">
        <f>VLOOKUP(A1241,Sheet2!$A$2:$R$3432,17,0)</f>
        <v/>
      </c>
    </row>
    <row r="1242" ht="15.75" customHeight="1">
      <c r="A1242" s="3" t="s">
        <v>1265</v>
      </c>
      <c r="B1242" s="4" t="str">
        <f>VLOOKUP(A1242,Sheet2!$A$2:$R$3432,2,0)</f>
        <v>2025-05-16 20:59:24</v>
      </c>
      <c r="C1242" s="5" t="s">
        <v>25</v>
      </c>
      <c r="D1242" s="6" t="s">
        <v>25</v>
      </c>
      <c r="E1242" s="7">
        <f>VLOOKUP(A1242,Sheet2!$A$2:$R$3432,4,0)</f>
        <v>9172706338</v>
      </c>
      <c r="F1242" s="7" t="str">
        <f>VLOOKUP(A1242,Sheet2!$A$2:$R$3432,3,0)</f>
        <v>Manish Mahtre</v>
      </c>
      <c r="G1242" s="5" t="s">
        <v>25</v>
      </c>
      <c r="H1242" s="5" t="s">
        <v>25</v>
      </c>
      <c r="I1242" s="5" t="s">
        <v>25</v>
      </c>
      <c r="J1242" s="5" t="s">
        <v>25</v>
      </c>
      <c r="K1242" s="7" t="str">
        <f>VLOOKUP(A1242,Sheet2!$A$2:$R$3432,6,0)</f>
        <v>Hero Passion Pro</v>
      </c>
      <c r="L1242" s="5" t="s">
        <v>25</v>
      </c>
      <c r="M1242" s="7" t="str">
        <f>VLOOKUP(A1242,Sheet2!$A$2:$R$3432,5,0)</f>
        <v>MH04GB2646</v>
      </c>
      <c r="N1242" s="5" t="s">
        <v>25</v>
      </c>
      <c r="O1242" s="5" t="s">
        <v>25</v>
      </c>
      <c r="P1242" s="6" t="s">
        <v>25</v>
      </c>
      <c r="Q1242" s="5" t="s">
        <v>25</v>
      </c>
      <c r="R1242" s="5" t="s">
        <v>25</v>
      </c>
      <c r="S1242" s="7" t="str">
        <f>VLOOKUP(A1242,Sheet2!$A$2:$R$3432,18,0)</f>
        <v/>
      </c>
      <c r="T1242" s="7" t="str">
        <f>VLOOKUP(A1242,Sheet2!$A$2:$R$3432,17,0)</f>
        <v/>
      </c>
    </row>
    <row r="1243" ht="15.75" customHeight="1">
      <c r="A1243" s="3" t="s">
        <v>1266</v>
      </c>
      <c r="B1243" s="4" t="str">
        <f>VLOOKUP(A1243,Sheet2!$A$2:$R$3432,2,0)</f>
        <v>2025-05-16 20:59:49</v>
      </c>
      <c r="C1243" s="5" t="s">
        <v>25</v>
      </c>
      <c r="D1243" s="6" t="s">
        <v>25</v>
      </c>
      <c r="E1243" s="7">
        <f>VLOOKUP(A1243,Sheet2!$A$2:$R$3432,4,0)</f>
        <v>9764062658</v>
      </c>
      <c r="F1243" s="7" t="str">
        <f>VLOOKUP(A1243,Sheet2!$A$2:$R$3432,3,0)</f>
        <v>Nilesh Chawada</v>
      </c>
      <c r="G1243" s="5" t="s">
        <v>25</v>
      </c>
      <c r="H1243" s="5" t="s">
        <v>25</v>
      </c>
      <c r="I1243" s="5" t="s">
        <v>25</v>
      </c>
      <c r="J1243" s="5" t="s">
        <v>25</v>
      </c>
      <c r="K1243" s="7" t="str">
        <f>VLOOKUP(A1243,Sheet2!$A$2:$R$3432,6,0)</f>
        <v>Honda Activa 6G</v>
      </c>
      <c r="L1243" s="5" t="s">
        <v>25</v>
      </c>
      <c r="M1243" s="7" t="str">
        <f>VLOOKUP(A1243,Sheet2!$A$2:$R$3432,5,0)</f>
        <v>MH12TZ9291</v>
      </c>
      <c r="N1243" s="5" t="s">
        <v>25</v>
      </c>
      <c r="O1243" s="5" t="s">
        <v>25</v>
      </c>
      <c r="P1243" s="6" t="s">
        <v>25</v>
      </c>
      <c r="Q1243" s="5" t="s">
        <v>25</v>
      </c>
      <c r="R1243" s="5" t="s">
        <v>25</v>
      </c>
      <c r="S1243" s="5" t="str">
        <f>VLOOKUP(A1243,Sheet2!$A$2:$R$3432,18,0)</f>
        <v>JF91EW4023080</v>
      </c>
      <c r="T1243" s="7" t="str">
        <f>VLOOKUP(A1243,Sheet2!$A$2:$R$3432,17,0)</f>
        <v>ME4JF917LMWO23170</v>
      </c>
    </row>
    <row r="1244" ht="15.75" customHeight="1">
      <c r="A1244" s="3" t="s">
        <v>1267</v>
      </c>
      <c r="B1244" s="4" t="str">
        <f>VLOOKUP(A1244,Sheet2!$A$2:$R$3432,2,0)</f>
        <v>2025-05-16 21:00:05</v>
      </c>
      <c r="C1244" s="5" t="s">
        <v>25</v>
      </c>
      <c r="D1244" s="6" t="s">
        <v>25</v>
      </c>
      <c r="E1244" s="7">
        <f>VLOOKUP(A1244,Sheet2!$A$2:$R$3432,4,0)</f>
        <v>9975043837</v>
      </c>
      <c r="F1244" s="7" t="str">
        <f>VLOOKUP(A1244,Sheet2!$A$2:$R$3432,3,0)</f>
        <v>Sanjeev</v>
      </c>
      <c r="G1244" s="5" t="s">
        <v>25</v>
      </c>
      <c r="H1244" s="5" t="s">
        <v>25</v>
      </c>
      <c r="I1244" s="5" t="s">
        <v>25</v>
      </c>
      <c r="J1244" s="5" t="s">
        <v>25</v>
      </c>
      <c r="K1244" s="7" t="str">
        <f>VLOOKUP(A1244,Sheet2!$A$2:$R$3432,6,0)</f>
        <v>Bajaj Platina </v>
      </c>
      <c r="L1244" s="5" t="s">
        <v>25</v>
      </c>
      <c r="M1244" s="7" t="str">
        <f>VLOOKUP(A1244,Sheet2!$A$2:$R$3432,5,0)</f>
        <v>MH40SR6436</v>
      </c>
      <c r="N1244" s="5" t="s">
        <v>25</v>
      </c>
      <c r="O1244" s="5" t="s">
        <v>25</v>
      </c>
      <c r="P1244" s="6" t="s">
        <v>25</v>
      </c>
      <c r="Q1244" s="5" t="s">
        <v>25</v>
      </c>
      <c r="R1244" s="5" t="s">
        <v>25</v>
      </c>
      <c r="S1244" s="5" t="str">
        <f>VLOOKUP(A1244,Sheet2!$A$2:$R$3432,18,0)</f>
        <v>JAMBRM27485</v>
      </c>
      <c r="T1244" s="7" t="str">
        <f>VLOOKUP(A1244,Sheet2!$A$2:$R$3432,17,0)</f>
        <v>MD2DDJKZZRWM79081</v>
      </c>
    </row>
    <row r="1245" ht="15.75" customHeight="1">
      <c r="A1245" s="3" t="s">
        <v>1268</v>
      </c>
      <c r="B1245" s="4" t="str">
        <f>VLOOKUP(A1245,Sheet2!$A$2:$R$3432,2,0)</f>
        <v>2025-02-02 19:28:31</v>
      </c>
      <c r="C1245" s="5" t="s">
        <v>25</v>
      </c>
      <c r="D1245" s="6" t="s">
        <v>25</v>
      </c>
      <c r="E1245" s="7">
        <f>VLOOKUP(A1245,Sheet2!$A$2:$R$3432,4,0)</f>
        <v>9067325322</v>
      </c>
      <c r="F1245" s="7" t="str">
        <f>VLOOKUP(A1245,Sheet2!$A$2:$R$3432,3,0)</f>
        <v>MANAS KAREKAR</v>
      </c>
      <c r="G1245" s="5" t="s">
        <v>25</v>
      </c>
      <c r="H1245" s="5" t="s">
        <v>25</v>
      </c>
      <c r="I1245" s="5" t="s">
        <v>25</v>
      </c>
      <c r="J1245" s="5" t="s">
        <v>25</v>
      </c>
      <c r="K1245" s="7" t="str">
        <f>VLOOKUP(A1245,Sheet2!$A$2:$R$3432,6,0)</f>
        <v>Bajaj Pulsar 200 NS</v>
      </c>
      <c r="L1245" s="5" t="s">
        <v>25</v>
      </c>
      <c r="M1245" s="7" t="str">
        <f>VLOOKUP(A1245,Sheet2!$A$2:$R$3432,5,0)</f>
        <v>MH07AR4601</v>
      </c>
      <c r="N1245" s="5" t="s">
        <v>25</v>
      </c>
      <c r="O1245" s="5" t="s">
        <v>25</v>
      </c>
      <c r="P1245" s="6" t="s">
        <v>25</v>
      </c>
      <c r="Q1245" s="5" t="s">
        <v>25</v>
      </c>
      <c r="R1245" s="5" t="s">
        <v>25</v>
      </c>
      <c r="S1245" s="7" t="str">
        <f>VLOOKUP(A1245,Sheet2!$A$2:$R$3432,18,0)</f>
        <v/>
      </c>
      <c r="T1245" s="7" t="str">
        <f>VLOOKUP(A1245,Sheet2!$A$2:$R$3432,17,0)</f>
        <v/>
      </c>
    </row>
    <row r="1246" ht="15.75" customHeight="1">
      <c r="A1246" s="3" t="s">
        <v>1269</v>
      </c>
      <c r="B1246" s="4" t="str">
        <f>VLOOKUP(A1246,Sheet2!$A$2:$R$3432,2,0)</f>
        <v>2025-02-02 19:38:23</v>
      </c>
      <c r="C1246" s="5" t="s">
        <v>25</v>
      </c>
      <c r="D1246" s="6" t="s">
        <v>25</v>
      </c>
      <c r="E1246" s="7">
        <f>VLOOKUP(A1246,Sheet2!$A$2:$R$3432,4,0)</f>
        <v>8308350648</v>
      </c>
      <c r="F1246" s="7" t="str">
        <f>VLOOKUP(A1246,Sheet2!$A$2:$R$3432,3,0)</f>
        <v>Akshay Patil</v>
      </c>
      <c r="G1246" s="5" t="s">
        <v>25</v>
      </c>
      <c r="H1246" s="5" t="s">
        <v>25</v>
      </c>
      <c r="I1246" s="5" t="s">
        <v>25</v>
      </c>
      <c r="J1246" s="5" t="s">
        <v>25</v>
      </c>
      <c r="K1246" s="7" t="str">
        <f>VLOOKUP(A1246,Sheet2!$A$2:$R$3432,6,0)</f>
        <v>Honda Shine HET</v>
      </c>
      <c r="L1246" s="5" t="s">
        <v>25</v>
      </c>
      <c r="M1246" s="7" t="str">
        <f>VLOOKUP(A1246,Sheet2!$A$2:$R$3432,5,0)</f>
        <v>MH09EE1924</v>
      </c>
      <c r="N1246" s="5" t="s">
        <v>25</v>
      </c>
      <c r="O1246" s="5" t="s">
        <v>25</v>
      </c>
      <c r="P1246" s="6" t="s">
        <v>25</v>
      </c>
      <c r="Q1246" s="5" t="s">
        <v>25</v>
      </c>
      <c r="R1246" s="5" t="s">
        <v>25</v>
      </c>
      <c r="S1246" s="5" t="str">
        <f>VLOOKUP(A1246,Sheet2!$A$2:$R$3432,18,0)</f>
        <v>JC65E70692734</v>
      </c>
      <c r="T1246" s="7" t="str">
        <f>VLOOKUP(A1246,Sheet2!$A$2:$R$3432,17,0)</f>
        <v>ME4JC651KG7461324</v>
      </c>
    </row>
    <row r="1247" ht="15.75" customHeight="1">
      <c r="A1247" s="3" t="s">
        <v>1270</v>
      </c>
      <c r="B1247" s="4" t="str">
        <f>VLOOKUP(A1247,Sheet2!$A$2:$R$3432,2,0)</f>
        <v>2025-02-02 20:29:19</v>
      </c>
      <c r="C1247" s="5" t="s">
        <v>25</v>
      </c>
      <c r="D1247" s="6" t="s">
        <v>25</v>
      </c>
      <c r="E1247" s="7">
        <f>VLOOKUP(A1247,Sheet2!$A$2:$R$3432,4,0)</f>
        <v>8275418288</v>
      </c>
      <c r="F1247" s="7" t="str">
        <f>VLOOKUP(A1247,Sheet2!$A$2:$R$3432,3,0)</f>
        <v>Prasad Gulhane</v>
      </c>
      <c r="G1247" s="5" t="s">
        <v>25</v>
      </c>
      <c r="H1247" s="5" t="s">
        <v>25</v>
      </c>
      <c r="I1247" s="5" t="s">
        <v>25</v>
      </c>
      <c r="J1247" s="5" t="s">
        <v>25</v>
      </c>
      <c r="K1247" s="7" t="str">
        <f>VLOOKUP(A1247,Sheet2!$A$2:$R$3432,6,0)</f>
        <v>Honda Shine HET</v>
      </c>
      <c r="L1247" s="5" t="s">
        <v>25</v>
      </c>
      <c r="M1247" s="7" t="str">
        <f>VLOOKUP(A1247,Sheet2!$A$2:$R$3432,5,0)</f>
        <v>MH14EX0506</v>
      </c>
      <c r="N1247" s="5" t="s">
        <v>25</v>
      </c>
      <c r="O1247" s="5" t="s">
        <v>25</v>
      </c>
      <c r="P1247" s="6" t="s">
        <v>25</v>
      </c>
      <c r="Q1247" s="5" t="s">
        <v>25</v>
      </c>
      <c r="R1247" s="5" t="s">
        <v>25</v>
      </c>
      <c r="S1247" s="5" t="str">
        <f>VLOOKUP(A1247,Sheet2!$A$2:$R$3432,18,0)</f>
        <v>JC65E70039648</v>
      </c>
      <c r="T1247" s="7" t="str">
        <f>VLOOKUP(A1247,Sheet2!$A$2:$R$3432,17,0)</f>
        <v>ME4JC652CF7013041</v>
      </c>
    </row>
    <row r="1248" ht="15.75" customHeight="1">
      <c r="A1248" s="3" t="s">
        <v>1271</v>
      </c>
      <c r="B1248" s="4" t="str">
        <f>VLOOKUP(A1248,Sheet2!$A$2:$R$3432,2,0)</f>
        <v>2025-02-02 19:25:13</v>
      </c>
      <c r="C1248" s="5" t="s">
        <v>25</v>
      </c>
      <c r="D1248" s="6" t="s">
        <v>25</v>
      </c>
      <c r="E1248" s="7">
        <f>VLOOKUP(A1248,Sheet2!$A$2:$R$3432,4,0)</f>
        <v>9130867248</v>
      </c>
      <c r="F1248" s="7" t="str">
        <f>VLOOKUP(A1248,Sheet2!$A$2:$R$3432,3,0)</f>
        <v>Omkar</v>
      </c>
      <c r="G1248" s="5" t="s">
        <v>25</v>
      </c>
      <c r="H1248" s="5" t="s">
        <v>25</v>
      </c>
      <c r="I1248" s="5" t="s">
        <v>25</v>
      </c>
      <c r="J1248" s="5" t="s">
        <v>25</v>
      </c>
      <c r="K1248" s="7" t="str">
        <f>VLOOKUP(A1248,Sheet2!$A$2:$R$3432,6,0)</f>
        <v>Honda Hornet </v>
      </c>
      <c r="L1248" s="5" t="s">
        <v>25</v>
      </c>
      <c r="M1248" s="7" t="str">
        <f>VLOOKUP(A1248,Sheet2!$A$2:$R$3432,5,0)</f>
        <v>MH14FK2385</v>
      </c>
      <c r="N1248" s="5" t="s">
        <v>25</v>
      </c>
      <c r="O1248" s="5" t="s">
        <v>25</v>
      </c>
      <c r="P1248" s="6" t="s">
        <v>25</v>
      </c>
      <c r="Q1248" s="5" t="s">
        <v>25</v>
      </c>
      <c r="R1248" s="5" t="s">
        <v>25</v>
      </c>
      <c r="S1248" s="5" t="str">
        <f>VLOOKUP(A1248,Sheet2!$A$2:$R$3432,18,0)</f>
        <v>KC23E80002017</v>
      </c>
      <c r="T1248" s="7" t="str">
        <f>VLOOKUP(A1248,Sheet2!$A$2:$R$3432,17,0)</f>
        <v>ME4KC232MF800537</v>
      </c>
    </row>
    <row r="1249" ht="15.75" customHeight="1">
      <c r="A1249" s="3" t="s">
        <v>1272</v>
      </c>
      <c r="B1249" s="4" t="str">
        <f>VLOOKUP(A1249,Sheet2!$A$2:$R$3432,2,0)</f>
        <v>2025-02-02 19:25:54</v>
      </c>
      <c r="C1249" s="5" t="s">
        <v>25</v>
      </c>
      <c r="D1249" s="6" t="s">
        <v>25</v>
      </c>
      <c r="E1249" s="7">
        <f>VLOOKUP(A1249,Sheet2!$A$2:$R$3432,4,0)</f>
        <v>9713192081</v>
      </c>
      <c r="F1249" s="7" t="str">
        <f>VLOOKUP(A1249,Sheet2!$A$2:$R$3432,3,0)</f>
        <v>RAJAT RAJPUT</v>
      </c>
      <c r="G1249" s="5" t="s">
        <v>25</v>
      </c>
      <c r="H1249" s="5" t="s">
        <v>25</v>
      </c>
      <c r="I1249" s="5" t="s">
        <v>25</v>
      </c>
      <c r="J1249" s="5" t="s">
        <v>25</v>
      </c>
      <c r="K1249" s="7" t="str">
        <f>VLOOKUP(A1249,Sheet2!$A$2:$R$3432,6,0)</f>
        <v>Honda Activa 6G</v>
      </c>
      <c r="L1249" s="5" t="s">
        <v>25</v>
      </c>
      <c r="M1249" s="7" t="str">
        <f>VLOOKUP(A1249,Sheet2!$A$2:$R$3432,5,0)</f>
        <v>MP09ZU1739</v>
      </c>
      <c r="N1249" s="5" t="s">
        <v>25</v>
      </c>
      <c r="O1249" s="5" t="s">
        <v>25</v>
      </c>
      <c r="P1249" s="6" t="s">
        <v>25</v>
      </c>
      <c r="Q1249" s="5" t="s">
        <v>25</v>
      </c>
      <c r="R1249" s="5" t="s">
        <v>25</v>
      </c>
      <c r="S1249" s="5" t="str">
        <f>VLOOKUP(A1249,Sheet2!$A$2:$R$3432,18,0)</f>
        <v>JK15E05121551</v>
      </c>
      <c r="T1249" s="7" t="str">
        <f>VLOOKUP(A1249,Sheet2!$A$2:$R$3432,17,0)</f>
        <v>ME4JK156FP121618</v>
      </c>
    </row>
    <row r="1250" ht="15.75" customHeight="1">
      <c r="A1250" s="3" t="s">
        <v>1273</v>
      </c>
      <c r="B1250" s="4" t="str">
        <f>VLOOKUP(A1250,Sheet2!$A$2:$R$3432,2,0)</f>
        <v>2025-02-02 19:26:21</v>
      </c>
      <c r="C1250" s="5" t="s">
        <v>25</v>
      </c>
      <c r="D1250" s="6" t="s">
        <v>25</v>
      </c>
      <c r="E1250" s="7">
        <f>VLOOKUP(A1250,Sheet2!$A$2:$R$3432,4,0)</f>
        <v>9890335919</v>
      </c>
      <c r="F1250" s="7" t="str">
        <f>VLOOKUP(A1250,Sheet2!$A$2:$R$3432,3,0)</f>
        <v>NILESH KULKARNI </v>
      </c>
      <c r="G1250" s="5" t="s">
        <v>25</v>
      </c>
      <c r="H1250" s="5" t="s">
        <v>25</v>
      </c>
      <c r="I1250" s="5" t="s">
        <v>25</v>
      </c>
      <c r="J1250" s="5" t="s">
        <v>25</v>
      </c>
      <c r="K1250" s="7" t="str">
        <f>VLOOKUP(A1250,Sheet2!$A$2:$R$3432,6,0)</f>
        <v>Hero Passion Xpro</v>
      </c>
      <c r="L1250" s="5" t="s">
        <v>25</v>
      </c>
      <c r="M1250" s="7" t="str">
        <f>VLOOKUP(A1250,Sheet2!$A$2:$R$3432,5,0)</f>
        <v>MH14JF5048</v>
      </c>
      <c r="N1250" s="5" t="s">
        <v>25</v>
      </c>
      <c r="O1250" s="5" t="s">
        <v>25</v>
      </c>
      <c r="P1250" s="6" t="s">
        <v>25</v>
      </c>
      <c r="Q1250" s="5" t="s">
        <v>25</v>
      </c>
      <c r="R1250" s="5" t="s">
        <v>25</v>
      </c>
      <c r="S1250" s="5" t="str">
        <f>VLOOKUP(A1250,Sheet2!$A$2:$R$3432,18,0)</f>
        <v>JA06EWLHJ546609</v>
      </c>
      <c r="T1250" s="7" t="str">
        <f>VLOOKUP(A1250,Sheet2!$A$2:$R$3432,17,0)</f>
        <v>MBLJAW141LHJ39775</v>
      </c>
    </row>
    <row r="1251" ht="15.75" customHeight="1">
      <c r="A1251" s="3" t="s">
        <v>1274</v>
      </c>
      <c r="B1251" s="4" t="str">
        <f>VLOOKUP(A1251,Sheet2!$A$2:$R$3432,2,0)</f>
        <v>2025-02-02 19:26:56</v>
      </c>
      <c r="C1251" s="5" t="s">
        <v>25</v>
      </c>
      <c r="D1251" s="6" t="s">
        <v>25</v>
      </c>
      <c r="E1251" s="7">
        <f>VLOOKUP(A1251,Sheet2!$A$2:$R$3432,4,0)</f>
        <v>7387094988</v>
      </c>
      <c r="F1251" s="7" t="str">
        <f>VLOOKUP(A1251,Sheet2!$A$2:$R$3432,3,0)</f>
        <v>Abhijit Kale</v>
      </c>
      <c r="G1251" s="5" t="s">
        <v>25</v>
      </c>
      <c r="H1251" s="5" t="s">
        <v>25</v>
      </c>
      <c r="I1251" s="5" t="s">
        <v>25</v>
      </c>
      <c r="J1251" s="5" t="s">
        <v>25</v>
      </c>
      <c r="K1251" s="7" t="str">
        <f>VLOOKUP(A1251,Sheet2!$A$2:$R$3432,6,0)</f>
        <v>TVS Jupiter </v>
      </c>
      <c r="L1251" s="5" t="s">
        <v>25</v>
      </c>
      <c r="M1251" s="7" t="str">
        <f>VLOOKUP(A1251,Sheet2!$A$2:$R$3432,5,0)</f>
        <v>MH14HN8125</v>
      </c>
      <c r="N1251" s="5" t="s">
        <v>25</v>
      </c>
      <c r="O1251" s="5" t="s">
        <v>25</v>
      </c>
      <c r="P1251" s="6" t="s">
        <v>25</v>
      </c>
      <c r="Q1251" s="5" t="s">
        <v>25</v>
      </c>
      <c r="R1251" s="5" t="s">
        <v>25</v>
      </c>
      <c r="S1251" s="5" t="str">
        <f>VLOOKUP(A1251,Sheet2!$A$2:$R$3432,18,0)</f>
        <v>CG4BK1106879</v>
      </c>
      <c r="T1251" s="7" t="str">
        <f>VLOOKUP(A1251,Sheet2!$A$2:$R$3432,17,0)</f>
        <v>MD62E42K1B11378</v>
      </c>
    </row>
    <row r="1252" ht="15.75" customHeight="1">
      <c r="A1252" s="3" t="s">
        <v>1275</v>
      </c>
      <c r="B1252" s="4" t="str">
        <f>VLOOKUP(A1252,Sheet2!$A$2:$R$3432,2,0)</f>
        <v>2025-02-02 19:27:47</v>
      </c>
      <c r="C1252" s="5" t="s">
        <v>25</v>
      </c>
      <c r="D1252" s="6" t="s">
        <v>25</v>
      </c>
      <c r="E1252" s="7">
        <f>VLOOKUP(A1252,Sheet2!$A$2:$R$3432,4,0)</f>
        <v>9657431142</v>
      </c>
      <c r="F1252" s="7" t="str">
        <f>VLOOKUP(A1252,Sheet2!$A$2:$R$3432,3,0)</f>
        <v>Mukesh Prajapati </v>
      </c>
      <c r="G1252" s="5" t="s">
        <v>25</v>
      </c>
      <c r="H1252" s="5" t="s">
        <v>25</v>
      </c>
      <c r="I1252" s="5" t="s">
        <v>25</v>
      </c>
      <c r="J1252" s="5" t="s">
        <v>25</v>
      </c>
      <c r="K1252" s="7" t="str">
        <f>VLOOKUP(A1252,Sheet2!$A$2:$R$3432,6,0)</f>
        <v>Honda Activa 4G</v>
      </c>
      <c r="L1252" s="5" t="s">
        <v>25</v>
      </c>
      <c r="M1252" s="7" t="str">
        <f>VLOOKUP(A1252,Sheet2!$A$2:$R$3432,5,0)</f>
        <v>MH12PX9894</v>
      </c>
      <c r="N1252" s="5" t="s">
        <v>25</v>
      </c>
      <c r="O1252" s="5" t="s">
        <v>25</v>
      </c>
      <c r="P1252" s="6" t="s">
        <v>25</v>
      </c>
      <c r="Q1252" s="5" t="s">
        <v>25</v>
      </c>
      <c r="R1252" s="5" t="s">
        <v>25</v>
      </c>
      <c r="S1252" s="7" t="str">
        <f>VLOOKUP(A1252,Sheet2!$A$2:$R$3432,18,0)</f>
        <v/>
      </c>
      <c r="T1252" s="7" t="str">
        <f>VLOOKUP(A1252,Sheet2!$A$2:$R$3432,17,0)</f>
        <v/>
      </c>
    </row>
    <row r="1253" ht="15.75" customHeight="1">
      <c r="A1253" s="3" t="s">
        <v>1276</v>
      </c>
      <c r="B1253" s="4" t="str">
        <f>VLOOKUP(A1253,Sheet2!$A$2:$R$3432,2,0)</f>
        <v>2025-02-02 20:30:32</v>
      </c>
      <c r="C1253" s="5" t="s">
        <v>25</v>
      </c>
      <c r="D1253" s="6" t="s">
        <v>25</v>
      </c>
      <c r="E1253" s="7">
        <f>VLOOKUP(A1253,Sheet2!$A$2:$R$3432,4,0)</f>
        <v>9011312727</v>
      </c>
      <c r="F1253" s="7" t="str">
        <f>VLOOKUP(A1253,Sheet2!$A$2:$R$3432,3,0)</f>
        <v>Ruturaj</v>
      </c>
      <c r="G1253" s="5" t="s">
        <v>25</v>
      </c>
      <c r="H1253" s="5" t="s">
        <v>25</v>
      </c>
      <c r="I1253" s="5" t="s">
        <v>25</v>
      </c>
      <c r="J1253" s="5" t="s">
        <v>25</v>
      </c>
      <c r="K1253" s="7" t="str">
        <f>VLOOKUP(A1253,Sheet2!$A$2:$R$3432,6,0)</f>
        <v>TVS Jupiter </v>
      </c>
      <c r="L1253" s="5" t="s">
        <v>25</v>
      </c>
      <c r="M1253" s="7" t="str">
        <f>VLOOKUP(A1253,Sheet2!$A$2:$R$3432,5,0)</f>
        <v>MH14JF4311</v>
      </c>
      <c r="N1253" s="5" t="s">
        <v>25</v>
      </c>
      <c r="O1253" s="5" t="s">
        <v>25</v>
      </c>
      <c r="P1253" s="6" t="s">
        <v>25</v>
      </c>
      <c r="Q1253" s="5" t="s">
        <v>25</v>
      </c>
      <c r="R1253" s="5" t="s">
        <v>25</v>
      </c>
      <c r="S1253" s="7" t="str">
        <f>VLOOKUP(A1253,Sheet2!$A$2:$R$3432,18,0)</f>
        <v/>
      </c>
      <c r="T1253" s="7" t="str">
        <f>VLOOKUP(A1253,Sheet2!$A$2:$R$3432,17,0)</f>
        <v>MD626CG53L1C07728</v>
      </c>
    </row>
    <row r="1254" ht="15.75" customHeight="1">
      <c r="A1254" s="3" t="s">
        <v>1277</v>
      </c>
      <c r="B1254" s="4" t="str">
        <f>VLOOKUP(A1254,Sheet2!$A$2:$R$3432,2,0)</f>
        <v>2025-02-02 20:31:05</v>
      </c>
      <c r="C1254" s="5" t="s">
        <v>25</v>
      </c>
      <c r="D1254" s="6" t="s">
        <v>25</v>
      </c>
      <c r="E1254" s="7">
        <f>VLOOKUP(A1254,Sheet2!$A$2:$R$3432,4,0)</f>
        <v>9763489598</v>
      </c>
      <c r="F1254" s="7" t="str">
        <f>VLOOKUP(A1254,Sheet2!$A$2:$R$3432,3,0)</f>
        <v>Vaibhav Kamthe</v>
      </c>
      <c r="G1254" s="5" t="s">
        <v>25</v>
      </c>
      <c r="H1254" s="5" t="s">
        <v>25</v>
      </c>
      <c r="I1254" s="5" t="s">
        <v>25</v>
      </c>
      <c r="J1254" s="5" t="s">
        <v>25</v>
      </c>
      <c r="K1254" s="7" t="str">
        <f>VLOOKUP(A1254,Sheet2!$A$2:$R$3432,6,0)</f>
        <v>Honda Activa 3G</v>
      </c>
      <c r="L1254" s="5" t="s">
        <v>25</v>
      </c>
      <c r="M1254" s="7" t="str">
        <f>VLOOKUP(A1254,Sheet2!$A$2:$R$3432,5,0)</f>
        <v>MH14FB3856</v>
      </c>
      <c r="N1254" s="5" t="s">
        <v>25</v>
      </c>
      <c r="O1254" s="5" t="s">
        <v>25</v>
      </c>
      <c r="P1254" s="6" t="s">
        <v>25</v>
      </c>
      <c r="Q1254" s="5" t="s">
        <v>25</v>
      </c>
      <c r="R1254" s="5" t="s">
        <v>25</v>
      </c>
      <c r="S1254" s="5" t="str">
        <f>VLOOKUP(A1254,Sheet2!$A$2:$R$3432,18,0)</f>
        <v>JF50ET2644032</v>
      </c>
      <c r="T1254" s="7" t="str">
        <f>VLOOKUP(A1254,Sheet2!$A$2:$R$3432,17,0)</f>
        <v>ME4JF504HFT642985</v>
      </c>
    </row>
    <row r="1255" ht="15.75" customHeight="1">
      <c r="A1255" s="3" t="s">
        <v>1278</v>
      </c>
      <c r="B1255" s="4" t="str">
        <f>VLOOKUP(A1255,Sheet2!$A$2:$R$3432,2,0)</f>
        <v>2025-02-02 20:32:07</v>
      </c>
      <c r="C1255" s="5" t="s">
        <v>25</v>
      </c>
      <c r="D1255" s="6" t="s">
        <v>25</v>
      </c>
      <c r="E1255" s="7">
        <f>VLOOKUP(A1255,Sheet2!$A$2:$R$3432,4,0)</f>
        <v>6200605115</v>
      </c>
      <c r="F1255" s="7" t="str">
        <f>VLOOKUP(A1255,Sheet2!$A$2:$R$3432,3,0)</f>
        <v>Abhijit </v>
      </c>
      <c r="G1255" s="5" t="s">
        <v>25</v>
      </c>
      <c r="H1255" s="5" t="s">
        <v>25</v>
      </c>
      <c r="I1255" s="5" t="s">
        <v>25</v>
      </c>
      <c r="J1255" s="5" t="s">
        <v>25</v>
      </c>
      <c r="K1255" s="7" t="str">
        <f>VLOOKUP(A1255,Sheet2!$A$2:$R$3432,6,0)</f>
        <v>Suzuki Access 125</v>
      </c>
      <c r="L1255" s="5" t="s">
        <v>25</v>
      </c>
      <c r="M1255" s="7" t="str">
        <f>VLOOKUP(A1255,Sheet2!$A$2:$R$3432,5,0)</f>
        <v>MH14HX1866</v>
      </c>
      <c r="N1255" s="5" t="s">
        <v>25</v>
      </c>
      <c r="O1255" s="5" t="s">
        <v>25</v>
      </c>
      <c r="P1255" s="6" t="s">
        <v>25</v>
      </c>
      <c r="Q1255" s="5" t="s">
        <v>25</v>
      </c>
      <c r="R1255" s="5" t="s">
        <v>25</v>
      </c>
      <c r="S1255" s="5" t="str">
        <f>VLOOKUP(A1255,Sheet2!$A$2:$R$3432,18,0)</f>
        <v>AF216168521</v>
      </c>
      <c r="T1255" s="7" t="str">
        <f>VLOOKUP(A1255,Sheet2!$A$2:$R$3432,17,0)</f>
        <v>MB8DP11AKK8G04968</v>
      </c>
    </row>
    <row r="1256" ht="15.75" customHeight="1">
      <c r="A1256" s="3" t="s">
        <v>1279</v>
      </c>
      <c r="B1256" s="4" t="str">
        <f>VLOOKUP(A1256,Sheet2!$A$2:$R$3432,2,0)</f>
        <v>2025-02-02 20:33:25</v>
      </c>
      <c r="C1256" s="5" t="s">
        <v>25</v>
      </c>
      <c r="D1256" s="6" t="s">
        <v>25</v>
      </c>
      <c r="E1256" s="7">
        <f>VLOOKUP(A1256,Sheet2!$A$2:$R$3432,4,0)</f>
        <v>9923334008</v>
      </c>
      <c r="F1256" s="7" t="str">
        <f>VLOOKUP(A1256,Sheet2!$A$2:$R$3432,3,0)</f>
        <v>Nihar</v>
      </c>
      <c r="G1256" s="5" t="s">
        <v>25</v>
      </c>
      <c r="H1256" s="5" t="s">
        <v>25</v>
      </c>
      <c r="I1256" s="5" t="s">
        <v>25</v>
      </c>
      <c r="J1256" s="5" t="s">
        <v>25</v>
      </c>
      <c r="K1256" s="7" t="str">
        <f>VLOOKUP(A1256,Sheet2!$A$2:$R$3432,6,0)</f>
        <v>Honda Activa 125</v>
      </c>
      <c r="L1256" s="5" t="s">
        <v>25</v>
      </c>
      <c r="M1256" s="7" t="str">
        <f>VLOOKUP(A1256,Sheet2!$A$2:$R$3432,5,0)</f>
        <v>MH14HR3385</v>
      </c>
      <c r="N1256" s="5" t="s">
        <v>25</v>
      </c>
      <c r="O1256" s="5" t="s">
        <v>25</v>
      </c>
      <c r="P1256" s="6" t="s">
        <v>25</v>
      </c>
      <c r="Q1256" s="5" t="s">
        <v>25</v>
      </c>
      <c r="R1256" s="5" t="s">
        <v>25</v>
      </c>
      <c r="S1256" s="5" t="str">
        <f>VLOOKUP(A1256,Sheet2!$A$2:$R$3432,18,0)</f>
        <v>JF49EW1007149</v>
      </c>
      <c r="T1256" s="7" t="str">
        <f>VLOOKUP(A1256,Sheet2!$A$2:$R$3432,17,0)</f>
        <v>ME4JF490DKW002062</v>
      </c>
    </row>
    <row r="1257" ht="15.75" customHeight="1">
      <c r="A1257" s="3" t="s">
        <v>1280</v>
      </c>
      <c r="B1257" s="4" t="str">
        <f>VLOOKUP(A1257,Sheet2!$A$2:$R$3432,2,0)</f>
        <v>2025-06-14 15:28:03</v>
      </c>
      <c r="C1257" s="5" t="s">
        <v>25</v>
      </c>
      <c r="D1257" s="6" t="s">
        <v>25</v>
      </c>
      <c r="E1257" s="7">
        <f>VLOOKUP(A1257,Sheet2!$A$2:$R$3432,4,0)</f>
        <v>9673758691</v>
      </c>
      <c r="F1257" s="7" t="str">
        <f>VLOOKUP(A1257,Sheet2!$A$2:$R$3432,3,0)</f>
        <v>RUSHIKESH SHELKE</v>
      </c>
      <c r="G1257" s="5" t="s">
        <v>25</v>
      </c>
      <c r="H1257" s="5" t="s">
        <v>25</v>
      </c>
      <c r="I1257" s="5" t="s">
        <v>25</v>
      </c>
      <c r="J1257" s="5" t="s">
        <v>25</v>
      </c>
      <c r="K1257" s="7" t="str">
        <f>VLOOKUP(A1257,Sheet2!$A$2:$R$3432,6,0)</f>
        <v>Yamaha FZ </v>
      </c>
      <c r="L1257" s="5" t="s">
        <v>25</v>
      </c>
      <c r="M1257" s="7" t="str">
        <f>VLOOKUP(A1257,Sheet2!$A$2:$R$3432,5,0)</f>
        <v>MH12RB1925</v>
      </c>
      <c r="N1257" s="5" t="s">
        <v>25</v>
      </c>
      <c r="O1257" s="5" t="s">
        <v>25</v>
      </c>
      <c r="P1257" s="6" t="s">
        <v>25</v>
      </c>
      <c r="Q1257" s="5" t="s">
        <v>25</v>
      </c>
      <c r="R1257" s="5" t="s">
        <v>25</v>
      </c>
      <c r="S1257" s="5" t="str">
        <f>VLOOKUP(A1257,Sheet2!$A$2:$R$3432,18,0)</f>
        <v>G3H7E0071904</v>
      </c>
      <c r="T1257" s="7" t="str">
        <f>VLOOKUP(A1257,Sheet2!$A$2:$R$3432,17,0)</f>
        <v>ME1G4219J0046776</v>
      </c>
    </row>
    <row r="1258" ht="15.75" customHeight="1">
      <c r="A1258" s="3" t="s">
        <v>1281</v>
      </c>
      <c r="B1258" s="4" t="str">
        <f>VLOOKUP(A1258,Sheet2!$A$2:$R$3432,2,0)</f>
        <v>2025-06-14 16:34:12</v>
      </c>
      <c r="C1258" s="5" t="s">
        <v>25</v>
      </c>
      <c r="D1258" s="6" t="s">
        <v>25</v>
      </c>
      <c r="E1258" s="7">
        <f>VLOOKUP(A1258,Sheet2!$A$2:$R$3432,4,0)</f>
        <v>8600702668</v>
      </c>
      <c r="F1258" s="7" t="str">
        <f>VLOOKUP(A1258,Sheet2!$A$2:$R$3432,3,0)</f>
        <v>Om Gotale</v>
      </c>
      <c r="G1258" s="5" t="s">
        <v>25</v>
      </c>
      <c r="H1258" s="5" t="s">
        <v>25</v>
      </c>
      <c r="I1258" s="5" t="s">
        <v>25</v>
      </c>
      <c r="J1258" s="5" t="s">
        <v>25</v>
      </c>
      <c r="K1258" s="7" t="str">
        <f>VLOOKUP(A1258,Sheet2!$A$2:$R$3432,6,0)</f>
        <v>TVS Rider 125</v>
      </c>
      <c r="L1258" s="5" t="s">
        <v>25</v>
      </c>
      <c r="M1258" s="7" t="str">
        <f>VLOOKUP(A1258,Sheet2!$A$2:$R$3432,5,0)</f>
        <v>MH24BT3976</v>
      </c>
      <c r="N1258" s="5" t="s">
        <v>25</v>
      </c>
      <c r="O1258" s="5" t="s">
        <v>25</v>
      </c>
      <c r="P1258" s="6" t="s">
        <v>25</v>
      </c>
      <c r="Q1258" s="5" t="s">
        <v>25</v>
      </c>
      <c r="R1258" s="5" t="s">
        <v>25</v>
      </c>
      <c r="S1258" s="5" t="str">
        <f>VLOOKUP(A1258,Sheet2!$A$2:$R$3432,18,0)</f>
        <v>AF9FF1718540</v>
      </c>
      <c r="T1258" s="7" t="str">
        <f>VLOOKUP(A1258,Sheet2!$A$2:$R$3432,17,0)</f>
        <v>MD625AF93P1F18724</v>
      </c>
    </row>
    <row r="1259" ht="15.75" customHeight="1">
      <c r="A1259" s="3" t="s">
        <v>1282</v>
      </c>
      <c r="B1259" s="4" t="str">
        <f>VLOOKUP(A1259,Sheet2!$A$2:$R$3432,2,0)</f>
        <v>2025-06-14 16:32:40</v>
      </c>
      <c r="C1259" s="5" t="s">
        <v>25</v>
      </c>
      <c r="D1259" s="6" t="s">
        <v>25</v>
      </c>
      <c r="E1259" s="7">
        <f>VLOOKUP(A1259,Sheet2!$A$2:$R$3432,4,0)</f>
        <v>9545432288</v>
      </c>
      <c r="F1259" s="7" t="str">
        <f>VLOOKUP(A1259,Sheet2!$A$2:$R$3432,3,0)</f>
        <v>Hemant Dhake</v>
      </c>
      <c r="G1259" s="5" t="s">
        <v>25</v>
      </c>
      <c r="H1259" s="5" t="s">
        <v>25</v>
      </c>
      <c r="I1259" s="5" t="s">
        <v>25</v>
      </c>
      <c r="J1259" s="5" t="s">
        <v>25</v>
      </c>
      <c r="K1259" s="7" t="str">
        <f>VLOOKUP(A1259,Sheet2!$A$2:$R$3432,6,0)</f>
        <v>TVS Ntorq 125</v>
      </c>
      <c r="L1259" s="5" t="s">
        <v>25</v>
      </c>
      <c r="M1259" s="7" t="str">
        <f>VLOOKUP(A1259,Sheet2!$A$2:$R$3432,5,0)</f>
        <v>MH14JZ0413</v>
      </c>
      <c r="N1259" s="5" t="s">
        <v>25</v>
      </c>
      <c r="O1259" s="5" t="s">
        <v>25</v>
      </c>
      <c r="P1259" s="6" t="s">
        <v>25</v>
      </c>
      <c r="Q1259" s="5" t="s">
        <v>25</v>
      </c>
      <c r="R1259" s="5" t="s">
        <v>25</v>
      </c>
      <c r="S1259" s="5" t="str">
        <f>VLOOKUP(A1259,Sheet2!$A$2:$R$3432,18,0)</f>
        <v>AK3CH2803155</v>
      </c>
      <c r="T1259" s="7" t="str">
        <f>VLOOKUP(A1259,Sheet2!$A$2:$R$3432,17,0)</f>
        <v>MD626AK31N2C04303</v>
      </c>
    </row>
    <row r="1260" ht="15.75" customHeight="1">
      <c r="A1260" s="3" t="s">
        <v>1283</v>
      </c>
      <c r="B1260" s="4" t="str">
        <f>VLOOKUP(A1260,Sheet2!$A$2:$R$3432,2,0)</f>
        <v>2025-06-14 16:35:11</v>
      </c>
      <c r="C1260" s="5" t="s">
        <v>25</v>
      </c>
      <c r="D1260" s="6" t="s">
        <v>25</v>
      </c>
      <c r="E1260" s="7">
        <f>VLOOKUP(A1260,Sheet2!$A$2:$R$3432,4,0)</f>
        <v>9604599747</v>
      </c>
      <c r="F1260" s="7" t="str">
        <f>VLOOKUP(A1260,Sheet2!$A$2:$R$3432,3,0)</f>
        <v>Manoj Pawar </v>
      </c>
      <c r="G1260" s="5" t="s">
        <v>25</v>
      </c>
      <c r="H1260" s="5" t="s">
        <v>25</v>
      </c>
      <c r="I1260" s="5" t="s">
        <v>25</v>
      </c>
      <c r="J1260" s="5" t="s">
        <v>25</v>
      </c>
      <c r="K1260" s="7" t="str">
        <f>VLOOKUP(A1260,Sheet2!$A$2:$R$3432,6,0)</f>
        <v>LML Vespa </v>
      </c>
      <c r="L1260" s="5" t="s">
        <v>25</v>
      </c>
      <c r="M1260" s="7" t="str">
        <f>VLOOKUP(A1260,Sheet2!$A$2:$R$3432,5,0)</f>
        <v>MH12UE2936</v>
      </c>
      <c r="N1260" s="5" t="s">
        <v>25</v>
      </c>
      <c r="O1260" s="5" t="s">
        <v>25</v>
      </c>
      <c r="P1260" s="6" t="s">
        <v>25</v>
      </c>
      <c r="Q1260" s="5" t="s">
        <v>25</v>
      </c>
      <c r="R1260" s="5" t="s">
        <v>25</v>
      </c>
      <c r="S1260" s="7" t="str">
        <f>VLOOKUP(A1260,Sheet2!$A$2:$R$3432,18,0)</f>
        <v/>
      </c>
      <c r="T1260" s="7" t="str">
        <f>VLOOKUP(A1260,Sheet2!$A$2:$R$3432,17,0)</f>
        <v/>
      </c>
    </row>
    <row r="1261" ht="15.75" customHeight="1">
      <c r="A1261" s="3" t="s">
        <v>1284</v>
      </c>
      <c r="B1261" s="4" t="str">
        <f>VLOOKUP(A1261,Sheet2!$A$2:$R$3432,2,0)</f>
        <v>2025-06-14 16:39:37</v>
      </c>
      <c r="C1261" s="5" t="s">
        <v>25</v>
      </c>
      <c r="D1261" s="6" t="s">
        <v>25</v>
      </c>
      <c r="E1261" s="7">
        <f>VLOOKUP(A1261,Sheet2!$A$2:$R$3432,4,0)</f>
        <v>8208814588</v>
      </c>
      <c r="F1261" s="7" t="str">
        <f>VLOOKUP(A1261,Sheet2!$A$2:$R$3432,3,0)</f>
        <v>Prithvi Desai </v>
      </c>
      <c r="G1261" s="5" t="s">
        <v>25</v>
      </c>
      <c r="H1261" s="5" t="s">
        <v>25</v>
      </c>
      <c r="I1261" s="5" t="s">
        <v>25</v>
      </c>
      <c r="J1261" s="5" t="s">
        <v>25</v>
      </c>
      <c r="K1261" s="7" t="str">
        <f>VLOOKUP(A1261,Sheet2!$A$2:$R$3432,6,0)</f>
        <v>Honda Activa 4G</v>
      </c>
      <c r="L1261" s="5" t="s">
        <v>25</v>
      </c>
      <c r="M1261" s="7" t="str">
        <f>VLOOKUP(A1261,Sheet2!$A$2:$R$3432,5,0)</f>
        <v>MH12PY7840</v>
      </c>
      <c r="N1261" s="5" t="s">
        <v>25</v>
      </c>
      <c r="O1261" s="5" t="s">
        <v>25</v>
      </c>
      <c r="P1261" s="6" t="s">
        <v>25</v>
      </c>
      <c r="Q1261" s="5" t="s">
        <v>25</v>
      </c>
      <c r="R1261" s="5" t="s">
        <v>25</v>
      </c>
      <c r="S1261" s="7" t="str">
        <f>VLOOKUP(A1261,Sheet2!$A$2:$R$3432,18,0)</f>
        <v/>
      </c>
      <c r="T1261" s="7" t="str">
        <f>VLOOKUP(A1261,Sheet2!$A$2:$R$3432,17,0)</f>
        <v/>
      </c>
    </row>
    <row r="1262" ht="15.75" customHeight="1">
      <c r="A1262" s="3" t="s">
        <v>1285</v>
      </c>
      <c r="B1262" s="4" t="str">
        <f>VLOOKUP(A1262,Sheet2!$A$2:$R$3432,2,0)</f>
        <v>2025-06-14 16:39:12</v>
      </c>
      <c r="C1262" s="5" t="s">
        <v>25</v>
      </c>
      <c r="D1262" s="6" t="s">
        <v>25</v>
      </c>
      <c r="E1262" s="7">
        <f>VLOOKUP(A1262,Sheet2!$A$2:$R$3432,4,0)</f>
        <v>9167426875</v>
      </c>
      <c r="F1262" s="7" t="str">
        <f>VLOOKUP(A1262,Sheet2!$A$2:$R$3432,3,0)</f>
        <v>Shubham Limbole</v>
      </c>
      <c r="G1262" s="5" t="s">
        <v>25</v>
      </c>
      <c r="H1262" s="5" t="s">
        <v>25</v>
      </c>
      <c r="I1262" s="5" t="s">
        <v>25</v>
      </c>
      <c r="J1262" s="5" t="s">
        <v>25</v>
      </c>
      <c r="K1262" s="7" t="str">
        <f>VLOOKUP(A1262,Sheet2!$A$2:$R$3432,6,0)</f>
        <v>Hero Maestro </v>
      </c>
      <c r="L1262" s="5" t="s">
        <v>25</v>
      </c>
      <c r="M1262" s="7" t="str">
        <f>VLOOKUP(A1262,Sheet2!$A$2:$R$3432,5,0)</f>
        <v>MH46BH7225</v>
      </c>
      <c r="N1262" s="5" t="s">
        <v>25</v>
      </c>
      <c r="O1262" s="5" t="s">
        <v>25</v>
      </c>
      <c r="P1262" s="6" t="s">
        <v>25</v>
      </c>
      <c r="Q1262" s="5" t="s">
        <v>25</v>
      </c>
      <c r="R1262" s="5" t="s">
        <v>25</v>
      </c>
      <c r="S1262" s="5" t="str">
        <f>VLOOKUP(A1262,Sheet2!$A$2:$R$3432,18,0)</f>
        <v>JF33ABHGK00656</v>
      </c>
      <c r="T1262" s="7" t="str">
        <f>VLOOKUP(A1262,Sheet2!$A$2:$R$3432,17,0)</f>
        <v>RUSTY FRAME</v>
      </c>
    </row>
    <row r="1263" ht="15.75" customHeight="1">
      <c r="A1263" s="3" t="s">
        <v>1286</v>
      </c>
      <c r="B1263" s="4" t="str">
        <f>VLOOKUP(A1263,Sheet2!$A$2:$R$3432,2,0)</f>
        <v>2025-06-14 16:48:35</v>
      </c>
      <c r="C1263" s="5" t="s">
        <v>25</v>
      </c>
      <c r="D1263" s="6" t="s">
        <v>25</v>
      </c>
      <c r="E1263" s="7">
        <f>VLOOKUP(A1263,Sheet2!$A$2:$R$3432,4,0)</f>
        <v>9309510376</v>
      </c>
      <c r="F1263" s="7" t="str">
        <f>VLOOKUP(A1263,Sheet2!$A$2:$R$3432,3,0)</f>
        <v>Aniket </v>
      </c>
      <c r="G1263" s="5" t="s">
        <v>25</v>
      </c>
      <c r="H1263" s="5" t="s">
        <v>25</v>
      </c>
      <c r="I1263" s="5" t="s">
        <v>25</v>
      </c>
      <c r="J1263" s="5" t="s">
        <v>25</v>
      </c>
      <c r="K1263" s="7" t="str">
        <f>VLOOKUP(A1263,Sheet2!$A$2:$R$3432,6,0)</f>
        <v>Hero Splendor </v>
      </c>
      <c r="L1263" s="5" t="s">
        <v>25</v>
      </c>
      <c r="M1263" s="7" t="str">
        <f>VLOOKUP(A1263,Sheet2!$A$2:$R$3432,5,0)</f>
        <v>MH31BM6651</v>
      </c>
      <c r="N1263" s="5" t="s">
        <v>25</v>
      </c>
      <c r="O1263" s="5" t="s">
        <v>25</v>
      </c>
      <c r="P1263" s="6" t="s">
        <v>25</v>
      </c>
      <c r="Q1263" s="5" t="s">
        <v>25</v>
      </c>
      <c r="R1263" s="5" t="s">
        <v>25</v>
      </c>
      <c r="S1263" s="7" t="str">
        <f>VLOOKUP(A1263,Sheet2!$A$2:$R$3432,18,0)</f>
        <v/>
      </c>
      <c r="T1263" s="7" t="str">
        <f>VLOOKUP(A1263,Sheet2!$A$2:$R$3432,17,0)</f>
        <v/>
      </c>
    </row>
    <row r="1264" ht="15.75" customHeight="1">
      <c r="A1264" s="3" t="s">
        <v>1287</v>
      </c>
      <c r="B1264" s="4" t="str">
        <f>VLOOKUP(A1264,Sheet2!$A$2:$R$3432,2,0)</f>
        <v>2025-06-14 16:50:44</v>
      </c>
      <c r="C1264" s="5" t="s">
        <v>25</v>
      </c>
      <c r="D1264" s="6" t="s">
        <v>25</v>
      </c>
      <c r="E1264" s="7">
        <f>VLOOKUP(A1264,Sheet2!$A$2:$R$3432,4,0)</f>
        <v>9730183583</v>
      </c>
      <c r="F1264" s="7" t="str">
        <f>VLOOKUP(A1264,Sheet2!$A$2:$R$3432,3,0)</f>
        <v>Chetan </v>
      </c>
      <c r="G1264" s="5" t="s">
        <v>25</v>
      </c>
      <c r="H1264" s="5" t="s">
        <v>25</v>
      </c>
      <c r="I1264" s="5" t="s">
        <v>25</v>
      </c>
      <c r="J1264" s="5" t="s">
        <v>25</v>
      </c>
      <c r="K1264" s="7" t="str">
        <f>VLOOKUP(A1264,Sheet2!$A$2:$R$3432,6,0)</f>
        <v>Bajaj Pulsar 150</v>
      </c>
      <c r="L1264" s="5" t="s">
        <v>25</v>
      </c>
      <c r="M1264" s="7" t="str">
        <f>VLOOKUP(A1264,Sheet2!$A$2:$R$3432,5,0)</f>
        <v>MH14CF6717</v>
      </c>
      <c r="N1264" s="5" t="s">
        <v>25</v>
      </c>
      <c r="O1264" s="5" t="s">
        <v>25</v>
      </c>
      <c r="P1264" s="6" t="s">
        <v>25</v>
      </c>
      <c r="Q1264" s="5" t="s">
        <v>25</v>
      </c>
      <c r="R1264" s="5" t="s">
        <v>25</v>
      </c>
      <c r="S1264" s="7" t="str">
        <f>VLOOKUP(A1264,Sheet2!$A$2:$R$3432,18,0)</f>
        <v/>
      </c>
      <c r="T1264" s="7" t="str">
        <f>VLOOKUP(A1264,Sheet2!$A$2:$R$3432,17,0)</f>
        <v/>
      </c>
    </row>
    <row r="1265" ht="15.75" customHeight="1">
      <c r="A1265" s="3" t="s">
        <v>1288</v>
      </c>
      <c r="B1265" s="4" t="str">
        <f>VLOOKUP(A1265,Sheet2!$A$2:$R$3432,2,0)</f>
        <v>2025-06-14 16:52:11</v>
      </c>
      <c r="C1265" s="5" t="s">
        <v>25</v>
      </c>
      <c r="D1265" s="6" t="s">
        <v>25</v>
      </c>
      <c r="E1265" s="7">
        <f>VLOOKUP(A1265,Sheet2!$A$2:$R$3432,4,0)</f>
        <v>8888406994</v>
      </c>
      <c r="F1265" s="7" t="str">
        <f>VLOOKUP(A1265,Sheet2!$A$2:$R$3432,3,0)</f>
        <v>Shivaji Kamble</v>
      </c>
      <c r="G1265" s="5" t="s">
        <v>25</v>
      </c>
      <c r="H1265" s="5" t="s">
        <v>25</v>
      </c>
      <c r="I1265" s="5" t="s">
        <v>25</v>
      </c>
      <c r="J1265" s="5" t="s">
        <v>25</v>
      </c>
      <c r="K1265" s="7" t="str">
        <f>VLOOKUP(A1265,Sheet2!$A$2:$R$3432,6,0)</f>
        <v>Royal Enfield Classic 350</v>
      </c>
      <c r="L1265" s="5" t="s">
        <v>25</v>
      </c>
      <c r="M1265" s="7" t="str">
        <f>VLOOKUP(A1265,Sheet2!$A$2:$R$3432,5,0)</f>
        <v>MH14FV8176</v>
      </c>
      <c r="N1265" s="5" t="s">
        <v>25</v>
      </c>
      <c r="O1265" s="5" t="s">
        <v>25</v>
      </c>
      <c r="P1265" s="6" t="s">
        <v>25</v>
      </c>
      <c r="Q1265" s="5" t="s">
        <v>25</v>
      </c>
      <c r="R1265" s="5" t="s">
        <v>25</v>
      </c>
      <c r="S1265" s="5" t="str">
        <f>VLOOKUP(A1265,Sheet2!$A$2:$R$3432,18,0)</f>
        <v>435500GH1123857</v>
      </c>
      <c r="T1265" s="7" t="str">
        <f>VLOOKUP(A1265,Sheet2!$A$2:$R$3432,17,0)</f>
        <v>ME34353010H47467</v>
      </c>
    </row>
    <row r="1266" ht="15.75" customHeight="1">
      <c r="A1266" s="3" t="s">
        <v>1289</v>
      </c>
      <c r="B1266" s="4" t="str">
        <f>VLOOKUP(A1266,Sheet2!$A$2:$R$3432,2,0)</f>
        <v>2025-06-14 17:25:00</v>
      </c>
      <c r="C1266" s="5" t="s">
        <v>25</v>
      </c>
      <c r="D1266" s="6" t="s">
        <v>25</v>
      </c>
      <c r="E1266" s="7">
        <f>VLOOKUP(A1266,Sheet2!$A$2:$R$3432,4,0)</f>
        <v>9960618178</v>
      </c>
      <c r="F1266" s="7" t="str">
        <f>VLOOKUP(A1266,Sheet2!$A$2:$R$3432,3,0)</f>
        <v>Shantanu Sadar</v>
      </c>
      <c r="G1266" s="5" t="s">
        <v>25</v>
      </c>
      <c r="H1266" s="5" t="s">
        <v>25</v>
      </c>
      <c r="I1266" s="5" t="s">
        <v>25</v>
      </c>
      <c r="J1266" s="5" t="s">
        <v>25</v>
      </c>
      <c r="K1266" s="7" t="str">
        <f>VLOOKUP(A1266,Sheet2!$A$2:$R$3432,6,0)</f>
        <v>Honda Activa 5G</v>
      </c>
      <c r="L1266" s="5" t="s">
        <v>25</v>
      </c>
      <c r="M1266" s="7" t="str">
        <f>VLOOKUP(A1266,Sheet2!$A$2:$R$3432,5,0)</f>
        <v>MH14HV2298</v>
      </c>
      <c r="N1266" s="5" t="s">
        <v>25</v>
      </c>
      <c r="O1266" s="5" t="s">
        <v>25</v>
      </c>
      <c r="P1266" s="6" t="s">
        <v>25</v>
      </c>
      <c r="Q1266" s="5" t="s">
        <v>25</v>
      </c>
      <c r="R1266" s="5" t="s">
        <v>25</v>
      </c>
      <c r="S1266" s="7" t="str">
        <f>VLOOKUP(A1266,Sheet2!$A$2:$R$3432,18,0)</f>
        <v/>
      </c>
      <c r="T1266" s="7" t="str">
        <f>VLOOKUP(A1266,Sheet2!$A$2:$R$3432,17,0)</f>
        <v/>
      </c>
    </row>
    <row r="1267" ht="15.75" customHeight="1">
      <c r="A1267" s="3" t="s">
        <v>1290</v>
      </c>
      <c r="B1267" s="4" t="str">
        <f>VLOOKUP(A1267,Sheet2!$A$2:$R$3432,2,0)</f>
        <v>2025-06-14 18:15:51</v>
      </c>
      <c r="C1267" s="5" t="s">
        <v>25</v>
      </c>
      <c r="D1267" s="6" t="s">
        <v>25</v>
      </c>
      <c r="E1267" s="7">
        <f>VLOOKUP(A1267,Sheet2!$A$2:$R$3432,4,0)</f>
        <v>9765611433</v>
      </c>
      <c r="F1267" s="7" t="str">
        <f>VLOOKUP(A1267,Sheet2!$A$2:$R$3432,3,0)</f>
        <v>Rohan Chandorkar </v>
      </c>
      <c r="G1267" s="5" t="s">
        <v>25</v>
      </c>
      <c r="H1267" s="5" t="s">
        <v>25</v>
      </c>
      <c r="I1267" s="5" t="s">
        <v>25</v>
      </c>
      <c r="J1267" s="5" t="s">
        <v>25</v>
      </c>
      <c r="K1267" s="7" t="str">
        <f>VLOOKUP(A1267,Sheet2!$A$2:$R$3432,6,0)</f>
        <v>Honda Activa 3G</v>
      </c>
      <c r="L1267" s="5" t="s">
        <v>25</v>
      </c>
      <c r="M1267" s="7" t="str">
        <f>VLOOKUP(A1267,Sheet2!$A$2:$R$3432,5,0)</f>
        <v>MH12MX6520</v>
      </c>
      <c r="N1267" s="5" t="s">
        <v>25</v>
      </c>
      <c r="O1267" s="5" t="s">
        <v>25</v>
      </c>
      <c r="P1267" s="6" t="s">
        <v>25</v>
      </c>
      <c r="Q1267" s="5" t="s">
        <v>25</v>
      </c>
      <c r="R1267" s="5" t="s">
        <v>25</v>
      </c>
      <c r="S1267" s="7" t="str">
        <f>VLOOKUP(A1267,Sheet2!$A$2:$R$3432,18,0)</f>
        <v/>
      </c>
      <c r="T1267" s="7" t="str">
        <f>VLOOKUP(A1267,Sheet2!$A$2:$R$3432,17,0)</f>
        <v/>
      </c>
    </row>
    <row r="1268" ht="15.75" customHeight="1">
      <c r="A1268" s="3" t="s">
        <v>1291</v>
      </c>
      <c r="B1268" s="4" t="str">
        <f>VLOOKUP(A1268,Sheet2!$A$2:$R$3432,2,0)</f>
        <v>2025-06-14 13:25:12</v>
      </c>
      <c r="C1268" s="5" t="s">
        <v>25</v>
      </c>
      <c r="D1268" s="6" t="s">
        <v>25</v>
      </c>
      <c r="E1268" s="7">
        <f>VLOOKUP(A1268,Sheet2!$A$2:$R$3432,4,0)</f>
        <v>8484908611</v>
      </c>
      <c r="F1268" s="7" t="str">
        <f>VLOOKUP(A1268,Sheet2!$A$2:$R$3432,3,0)</f>
        <v>Parth</v>
      </c>
      <c r="G1268" s="5" t="s">
        <v>25</v>
      </c>
      <c r="H1268" s="5" t="s">
        <v>25</v>
      </c>
      <c r="I1268" s="5" t="s">
        <v>25</v>
      </c>
      <c r="J1268" s="5" t="s">
        <v>25</v>
      </c>
      <c r="K1268" s="7" t="str">
        <f>VLOOKUP(A1268,Sheet2!$A$2:$R$3432,6,0)</f>
        <v>Bajaj Pulsar 200 NS</v>
      </c>
      <c r="L1268" s="5" t="s">
        <v>25</v>
      </c>
      <c r="M1268" s="7" t="str">
        <f>VLOOKUP(A1268,Sheet2!$A$2:$R$3432,5,0)</f>
        <v>MH14HT5150</v>
      </c>
      <c r="N1268" s="5" t="s">
        <v>25</v>
      </c>
      <c r="O1268" s="5" t="s">
        <v>25</v>
      </c>
      <c r="P1268" s="6" t="s">
        <v>25</v>
      </c>
      <c r="Q1268" s="5" t="s">
        <v>25</v>
      </c>
      <c r="R1268" s="5" t="s">
        <v>25</v>
      </c>
      <c r="S1268" s="7" t="str">
        <f>VLOOKUP(A1268,Sheet2!$A$2:$R$3432,18,0)</f>
        <v/>
      </c>
      <c r="T1268" s="7" t="str">
        <f>VLOOKUP(A1268,Sheet2!$A$2:$R$3432,17,0)</f>
        <v/>
      </c>
    </row>
    <row r="1269" ht="15.75" customHeight="1">
      <c r="A1269" s="3" t="s">
        <v>1292</v>
      </c>
      <c r="B1269" s="4" t="str">
        <f>VLOOKUP(A1269,Sheet2!$A$2:$R$3432,2,0)</f>
        <v>2025-02-23 17:19:09</v>
      </c>
      <c r="C1269" s="5" t="s">
        <v>25</v>
      </c>
      <c r="D1269" s="6" t="s">
        <v>25</v>
      </c>
      <c r="E1269" s="7">
        <f>VLOOKUP(A1269,Sheet2!$A$2:$R$3432,4,0)</f>
        <v>8446092999</v>
      </c>
      <c r="F1269" s="7" t="str">
        <f>VLOOKUP(A1269,Sheet2!$A$2:$R$3432,3,0)</f>
        <v>Biradar</v>
      </c>
      <c r="G1269" s="5" t="s">
        <v>25</v>
      </c>
      <c r="H1269" s="5" t="s">
        <v>25</v>
      </c>
      <c r="I1269" s="5" t="s">
        <v>25</v>
      </c>
      <c r="J1269" s="5" t="s">
        <v>25</v>
      </c>
      <c r="K1269" s="7" t="str">
        <f>VLOOKUP(A1269,Sheet2!$A$2:$R$3432,6,0)</f>
        <v>Honda Dream Yuga </v>
      </c>
      <c r="L1269" s="5" t="s">
        <v>25</v>
      </c>
      <c r="M1269" s="7" t="str">
        <f>VLOOKUP(A1269,Sheet2!$A$2:$R$3432,5,0)</f>
        <v>MH14HF6462</v>
      </c>
      <c r="N1269" s="5" t="s">
        <v>25</v>
      </c>
      <c r="O1269" s="5" t="s">
        <v>25</v>
      </c>
      <c r="P1269" s="6" t="s">
        <v>25</v>
      </c>
      <c r="Q1269" s="5" t="s">
        <v>25</v>
      </c>
      <c r="R1269" s="5" t="s">
        <v>25</v>
      </c>
      <c r="S1269" s="7" t="str">
        <f>VLOOKUP(A1269,Sheet2!$A$2:$R$3432,18,0)</f>
        <v/>
      </c>
      <c r="T1269" s="7" t="str">
        <f>VLOOKUP(A1269,Sheet2!$A$2:$R$3432,17,0)</f>
        <v>ME4JC58EEJT044230</v>
      </c>
    </row>
    <row r="1270" ht="15.75" customHeight="1">
      <c r="A1270" s="3" t="s">
        <v>1293</v>
      </c>
      <c r="B1270" s="4" t="str">
        <f>VLOOKUP(A1270,Sheet2!$A$2:$R$3432,2,0)</f>
        <v>2025-02-23 17:19:45</v>
      </c>
      <c r="C1270" s="5" t="s">
        <v>25</v>
      </c>
      <c r="D1270" s="6" t="s">
        <v>25</v>
      </c>
      <c r="E1270" s="7">
        <f>VLOOKUP(A1270,Sheet2!$A$2:$R$3432,4,0)</f>
        <v>7588190236</v>
      </c>
      <c r="F1270" s="7" t="str">
        <f>VLOOKUP(A1270,Sheet2!$A$2:$R$3432,3,0)</f>
        <v>MAYURESH </v>
      </c>
      <c r="G1270" s="5" t="s">
        <v>25</v>
      </c>
      <c r="H1270" s="5" t="s">
        <v>25</v>
      </c>
      <c r="I1270" s="5" t="s">
        <v>25</v>
      </c>
      <c r="J1270" s="5" t="s">
        <v>25</v>
      </c>
      <c r="K1270" s="7" t="str">
        <f>VLOOKUP(A1270,Sheet2!$A$2:$R$3432,6,0)</f>
        <v>Bajaj Pulsar 125 NS</v>
      </c>
      <c r="L1270" s="5" t="s">
        <v>25</v>
      </c>
      <c r="M1270" s="7" t="str">
        <f>VLOOKUP(A1270,Sheet2!$A$2:$R$3432,5,0)</f>
        <v>MH15JR9664</v>
      </c>
      <c r="N1270" s="5" t="s">
        <v>25</v>
      </c>
      <c r="O1270" s="5" t="s">
        <v>25</v>
      </c>
      <c r="P1270" s="6" t="s">
        <v>25</v>
      </c>
      <c r="Q1270" s="5" t="s">
        <v>25</v>
      </c>
      <c r="R1270" s="5" t="s">
        <v>25</v>
      </c>
      <c r="S1270" s="5" t="str">
        <f>VLOOKUP(A1270,Sheet2!$A$2:$R$3432,18,0)</f>
        <v>JEXCRLJ224</v>
      </c>
      <c r="T1270" s="7" t="str">
        <f>VLOOKUP(A1270,Sheet2!$A$2:$R$3432,17,0)</f>
        <v>MD2B72BXRCL779740</v>
      </c>
    </row>
    <row r="1271" ht="15.75" customHeight="1">
      <c r="A1271" s="3" t="s">
        <v>1294</v>
      </c>
      <c r="B1271" s="4" t="str">
        <f>VLOOKUP(A1271,Sheet2!$A$2:$R$3432,2,0)</f>
        <v>2025-02-23 17:20:05</v>
      </c>
      <c r="C1271" s="5" t="s">
        <v>25</v>
      </c>
      <c r="D1271" s="6" t="s">
        <v>25</v>
      </c>
      <c r="E1271" s="7">
        <f>VLOOKUP(A1271,Sheet2!$A$2:$R$3432,4,0)</f>
        <v>8796407968</v>
      </c>
      <c r="F1271" s="7" t="str">
        <f>VLOOKUP(A1271,Sheet2!$A$2:$R$3432,3,0)</f>
        <v>NIKHIL </v>
      </c>
      <c r="G1271" s="5" t="s">
        <v>25</v>
      </c>
      <c r="H1271" s="5" t="s">
        <v>25</v>
      </c>
      <c r="I1271" s="5" t="s">
        <v>25</v>
      </c>
      <c r="J1271" s="5" t="s">
        <v>25</v>
      </c>
      <c r="K1271" s="7" t="str">
        <f>VLOOKUP(A1271,Sheet2!$A$2:$R$3432,6,0)</f>
        <v>TVS Jupiter </v>
      </c>
      <c r="L1271" s="5" t="s">
        <v>25</v>
      </c>
      <c r="M1271" s="7" t="str">
        <f>VLOOKUP(A1271,Sheet2!$A$2:$R$3432,5,0)</f>
        <v>MH14JY9534</v>
      </c>
      <c r="N1271" s="5" t="s">
        <v>25</v>
      </c>
      <c r="O1271" s="5" t="s">
        <v>25</v>
      </c>
      <c r="P1271" s="6" t="s">
        <v>25</v>
      </c>
      <c r="Q1271" s="5" t="s">
        <v>25</v>
      </c>
      <c r="R1271" s="5" t="s">
        <v>25</v>
      </c>
      <c r="S1271" s="5" t="str">
        <f>VLOOKUP(A1271,Sheet2!$A$2:$R$3432,18,0)</f>
        <v>EG5BM180019</v>
      </c>
      <c r="T1271" s="7" t="str">
        <f>VLOOKUP(A1271,Sheet2!$A$2:$R$3432,17,0)</f>
        <v>MD626EG55NIC66701</v>
      </c>
    </row>
    <row r="1272" ht="15.75" customHeight="1">
      <c r="A1272" s="3" t="s">
        <v>1295</v>
      </c>
      <c r="B1272" s="4" t="str">
        <f>VLOOKUP(A1272,Sheet2!$A$2:$R$3432,2,0)</f>
        <v>2025-02-23 17:37:24</v>
      </c>
      <c r="C1272" s="5" t="s">
        <v>25</v>
      </c>
      <c r="D1272" s="6" t="s">
        <v>25</v>
      </c>
      <c r="E1272" s="7">
        <f>VLOOKUP(A1272,Sheet2!$A$2:$R$3432,4,0)</f>
        <v>7069956654</v>
      </c>
      <c r="F1272" s="7" t="str">
        <f>VLOOKUP(A1272,Sheet2!$A$2:$R$3432,3,0)</f>
        <v>Punjab sindh</v>
      </c>
      <c r="G1272" s="5" t="s">
        <v>25</v>
      </c>
      <c r="H1272" s="5" t="s">
        <v>25</v>
      </c>
      <c r="I1272" s="5" t="s">
        <v>25</v>
      </c>
      <c r="J1272" s="5" t="s">
        <v>25</v>
      </c>
      <c r="K1272" s="7" t="str">
        <f>VLOOKUP(A1272,Sheet2!$A$2:$R$3432,6,0)</f>
        <v>Honda Activa 4G</v>
      </c>
      <c r="L1272" s="5" t="s">
        <v>25</v>
      </c>
      <c r="M1272" s="7" t="str">
        <f>VLOOKUP(A1272,Sheet2!$A$2:$R$3432,5,0)</f>
        <v>MH12QJ9937</v>
      </c>
      <c r="N1272" s="5" t="s">
        <v>25</v>
      </c>
      <c r="O1272" s="5" t="s">
        <v>25</v>
      </c>
      <c r="P1272" s="6" t="s">
        <v>25</v>
      </c>
      <c r="Q1272" s="5" t="s">
        <v>25</v>
      </c>
      <c r="R1272" s="5" t="s">
        <v>25</v>
      </c>
      <c r="S1272" s="7" t="str">
        <f>VLOOKUP(A1272,Sheet2!$A$2:$R$3432,18,0)</f>
        <v/>
      </c>
      <c r="T1272" s="7" t="str">
        <f>VLOOKUP(A1272,Sheet2!$A$2:$R$3432,17,0)</f>
        <v>ME4JF5CBJU132924</v>
      </c>
    </row>
    <row r="1273" ht="15.75" customHeight="1">
      <c r="A1273" s="3" t="s">
        <v>1296</v>
      </c>
      <c r="B1273" s="4" t="str">
        <f>VLOOKUP(A1273,Sheet2!$A$2:$R$3432,2,0)</f>
        <v>2025-02-23 18:57:49</v>
      </c>
      <c r="C1273" s="5" t="s">
        <v>25</v>
      </c>
      <c r="D1273" s="6" t="s">
        <v>25</v>
      </c>
      <c r="E1273" s="7">
        <f>VLOOKUP(A1273,Sheet2!$A$2:$R$3432,4,0)</f>
        <v>7588943265</v>
      </c>
      <c r="F1273" s="7" t="str">
        <f>VLOOKUP(A1273,Sheet2!$A$2:$R$3432,3,0)</f>
        <v>RANJIT WAGHULE</v>
      </c>
      <c r="G1273" s="5" t="s">
        <v>25</v>
      </c>
      <c r="H1273" s="5" t="s">
        <v>25</v>
      </c>
      <c r="I1273" s="5" t="s">
        <v>25</v>
      </c>
      <c r="J1273" s="5" t="s">
        <v>25</v>
      </c>
      <c r="K1273" s="7" t="str">
        <f>VLOOKUP(A1273,Sheet2!$A$2:$R$3432,6,0)</f>
        <v>TVS Jupiter </v>
      </c>
      <c r="L1273" s="5" t="s">
        <v>25</v>
      </c>
      <c r="M1273" s="7" t="str">
        <f>VLOOKUP(A1273,Sheet2!$A$2:$R$3432,5,0)</f>
        <v>MH14GV5526</v>
      </c>
      <c r="N1273" s="5" t="s">
        <v>25</v>
      </c>
      <c r="O1273" s="5" t="s">
        <v>25</v>
      </c>
      <c r="P1273" s="6" t="s">
        <v>25</v>
      </c>
      <c r="Q1273" s="5" t="s">
        <v>25</v>
      </c>
      <c r="R1273" s="5" t="s">
        <v>25</v>
      </c>
      <c r="S1273" s="5" t="str">
        <f>VLOOKUP(A1273,Sheet2!$A$2:$R$3432,18,0)</f>
        <v>EG4BJ1406017</v>
      </c>
      <c r="T1273" s="7" t="str">
        <f>VLOOKUP(A1273,Sheet2!$A$2:$R$3432,17,0)</f>
        <v>MD626EG42J1B4237</v>
      </c>
    </row>
    <row r="1274" ht="15.75" customHeight="1">
      <c r="A1274" s="3" t="s">
        <v>1297</v>
      </c>
      <c r="B1274" s="4" t="str">
        <f>VLOOKUP(A1274,Sheet2!$A$2:$R$3432,2,0)</f>
        <v>2025-02-23 17:57:41</v>
      </c>
      <c r="C1274" s="5" t="s">
        <v>25</v>
      </c>
      <c r="D1274" s="6" t="s">
        <v>25</v>
      </c>
      <c r="E1274" s="7">
        <f>VLOOKUP(A1274,Sheet2!$A$2:$R$3432,4,0)</f>
        <v>9167426875</v>
      </c>
      <c r="F1274" s="7" t="str">
        <f>VLOOKUP(A1274,Sheet2!$A$2:$R$3432,3,0)</f>
        <v>Shubham Limbole</v>
      </c>
      <c r="G1274" s="5" t="s">
        <v>25</v>
      </c>
      <c r="H1274" s="5" t="s">
        <v>25</v>
      </c>
      <c r="I1274" s="5" t="s">
        <v>25</v>
      </c>
      <c r="J1274" s="5" t="s">
        <v>25</v>
      </c>
      <c r="K1274" s="7" t="str">
        <f>VLOOKUP(A1274,Sheet2!$A$2:$R$3432,6,0)</f>
        <v>Hero Maestro </v>
      </c>
      <c r="L1274" s="5" t="s">
        <v>25</v>
      </c>
      <c r="M1274" s="7" t="str">
        <f>VLOOKUP(A1274,Sheet2!$A$2:$R$3432,5,0)</f>
        <v>MH46BH7225</v>
      </c>
      <c r="N1274" s="5" t="s">
        <v>25</v>
      </c>
      <c r="O1274" s="5" t="s">
        <v>25</v>
      </c>
      <c r="P1274" s="6" t="s">
        <v>25</v>
      </c>
      <c r="Q1274" s="5" t="s">
        <v>25</v>
      </c>
      <c r="R1274" s="5" t="s">
        <v>25</v>
      </c>
      <c r="S1274" s="5" t="str">
        <f>VLOOKUP(A1274,Sheet2!$A$2:$R$3432,18,0)</f>
        <v>JF33ABHGK00656</v>
      </c>
      <c r="T1274" s="7" t="str">
        <f>VLOOKUP(A1274,Sheet2!$A$2:$R$3432,17,0)</f>
        <v>RUSTY FRAME</v>
      </c>
    </row>
    <row r="1275" ht="15.75" customHeight="1">
      <c r="A1275" s="3" t="s">
        <v>1298</v>
      </c>
      <c r="B1275" s="4" t="str">
        <f>VLOOKUP(A1275,Sheet2!$A$2:$R$3432,2,0)</f>
        <v>2025-02-23 18:07:02</v>
      </c>
      <c r="C1275" s="5" t="s">
        <v>25</v>
      </c>
      <c r="D1275" s="6" t="s">
        <v>25</v>
      </c>
      <c r="E1275" s="7">
        <f>VLOOKUP(A1275,Sheet2!$A$2:$R$3432,4,0)</f>
        <v>9403900847</v>
      </c>
      <c r="F1275" s="7" t="str">
        <f>VLOOKUP(A1275,Sheet2!$A$2:$R$3432,3,0)</f>
        <v>Shubham</v>
      </c>
      <c r="G1275" s="5" t="s">
        <v>25</v>
      </c>
      <c r="H1275" s="5" t="s">
        <v>25</v>
      </c>
      <c r="I1275" s="5" t="s">
        <v>25</v>
      </c>
      <c r="J1275" s="5" t="s">
        <v>25</v>
      </c>
      <c r="K1275" s="7" t="str">
        <f>VLOOKUP(A1275,Sheet2!$A$2:$R$3432,6,0)</f>
        <v>Suzuki Access </v>
      </c>
      <c r="L1275" s="5" t="s">
        <v>25</v>
      </c>
      <c r="M1275" s="7" t="str">
        <f>VLOOKUP(A1275,Sheet2!$A$2:$R$3432,5,0)</f>
        <v>MH23BA0558</v>
      </c>
      <c r="N1275" s="5" t="s">
        <v>25</v>
      </c>
      <c r="O1275" s="5" t="s">
        <v>25</v>
      </c>
      <c r="P1275" s="6" t="s">
        <v>25</v>
      </c>
      <c r="Q1275" s="5" t="s">
        <v>25</v>
      </c>
      <c r="R1275" s="5" t="s">
        <v>25</v>
      </c>
      <c r="S1275" s="5" t="str">
        <f>VLOOKUP(A1275,Sheet2!$A$2:$R$3432,18,0)</f>
        <v>AF216037526</v>
      </c>
      <c r="T1275" s="7" t="str">
        <f>VLOOKUP(A1275,Sheet2!$A$2:$R$3432,17,0)</f>
        <v>MB8DP11ABK8G06622</v>
      </c>
    </row>
    <row r="1276" ht="15.75" customHeight="1">
      <c r="A1276" s="3" t="s">
        <v>1299</v>
      </c>
      <c r="B1276" s="4" t="str">
        <f>VLOOKUP(A1276,Sheet2!$A$2:$R$3432,2,0)</f>
        <v>2025-02-23 18:31:33</v>
      </c>
      <c r="C1276" s="5" t="s">
        <v>25</v>
      </c>
      <c r="D1276" s="6" t="s">
        <v>25</v>
      </c>
      <c r="E1276" s="7">
        <f>VLOOKUP(A1276,Sheet2!$A$2:$R$3432,4,0)</f>
        <v>7478233936</v>
      </c>
      <c r="F1276" s="7" t="str">
        <f>VLOOKUP(A1276,Sheet2!$A$2:$R$3432,3,0)</f>
        <v>ARINDAM SEN</v>
      </c>
      <c r="G1276" s="5" t="s">
        <v>25</v>
      </c>
      <c r="H1276" s="5" t="s">
        <v>25</v>
      </c>
      <c r="I1276" s="5" t="s">
        <v>25</v>
      </c>
      <c r="J1276" s="5" t="s">
        <v>25</v>
      </c>
      <c r="K1276" s="7" t="str">
        <f>VLOOKUP(A1276,Sheet2!$A$2:$R$3432,6,0)</f>
        <v>Bajaj Discover 150 S</v>
      </c>
      <c r="L1276" s="5" t="s">
        <v>25</v>
      </c>
      <c r="M1276" s="7" t="str">
        <f>VLOOKUP(A1276,Sheet2!$A$2:$R$3432,5,0)</f>
        <v>WB34AN1645</v>
      </c>
      <c r="N1276" s="5" t="s">
        <v>25</v>
      </c>
      <c r="O1276" s="5" t="s">
        <v>25</v>
      </c>
      <c r="P1276" s="6" t="s">
        <v>25</v>
      </c>
      <c r="Q1276" s="5" t="s">
        <v>25</v>
      </c>
      <c r="R1276" s="5" t="s">
        <v>25</v>
      </c>
      <c r="S1276" s="5" t="str">
        <f>VLOOKUP(A1276,Sheet2!$A$2:$R$3432,18,0)</f>
        <v>JFZRE04652</v>
      </c>
      <c r="T1276" s="7" t="str">
        <f>VLOOKUP(A1276,Sheet2!$A$2:$R$3432,17,0)</f>
        <v>MD2A64C76ER54578</v>
      </c>
    </row>
    <row r="1277" ht="15.75" customHeight="1">
      <c r="A1277" s="3" t="s">
        <v>1300</v>
      </c>
      <c r="B1277" s="4" t="str">
        <f>VLOOKUP(A1277,Sheet2!$A$2:$R$3432,2,0)</f>
        <v>2025-02-23 18:55:32</v>
      </c>
      <c r="C1277" s="5" t="s">
        <v>25</v>
      </c>
      <c r="D1277" s="6" t="s">
        <v>25</v>
      </c>
      <c r="E1277" s="7">
        <f>VLOOKUP(A1277,Sheet2!$A$2:$R$3432,4,0)</f>
        <v>9353500905</v>
      </c>
      <c r="F1277" s="7" t="str">
        <f>VLOOKUP(A1277,Sheet2!$A$2:$R$3432,3,0)</f>
        <v>RAHUL K</v>
      </c>
      <c r="G1277" s="5" t="s">
        <v>25</v>
      </c>
      <c r="H1277" s="5" t="s">
        <v>25</v>
      </c>
      <c r="I1277" s="5" t="s">
        <v>25</v>
      </c>
      <c r="J1277" s="5" t="s">
        <v>25</v>
      </c>
      <c r="K1277" s="7" t="str">
        <f>VLOOKUP(A1277,Sheet2!$A$2:$R$3432,6,0)</f>
        <v>Suzuki Access 125</v>
      </c>
      <c r="L1277" s="5" t="s">
        <v>25</v>
      </c>
      <c r="M1277" s="7" t="str">
        <f>VLOOKUP(A1277,Sheet2!$A$2:$R$3432,5,0)</f>
        <v>MH12UB8120</v>
      </c>
      <c r="N1277" s="5" t="s">
        <v>25</v>
      </c>
      <c r="O1277" s="5" t="s">
        <v>25</v>
      </c>
      <c r="P1277" s="6" t="s">
        <v>25</v>
      </c>
      <c r="Q1277" s="5" t="s">
        <v>25</v>
      </c>
      <c r="R1277" s="5" t="s">
        <v>25</v>
      </c>
      <c r="S1277" s="5" t="str">
        <f>VLOOKUP(A1277,Sheet2!$A$2:$R$3432,18,0)</f>
        <v>AF216983397</v>
      </c>
      <c r="T1277" s="7" t="str">
        <f>VLOOKUP(A1277,Sheet2!$A$2:$R$3432,17,0)</f>
        <v>MB8DP12DVN8A88571</v>
      </c>
    </row>
    <row r="1278" ht="15.75" customHeight="1">
      <c r="A1278" s="3" t="s">
        <v>1301</v>
      </c>
      <c r="B1278" s="4" t="str">
        <f>VLOOKUP(A1278,Sheet2!$A$2:$R$3432,2,0)</f>
        <v>2025-02-23 19:44:08</v>
      </c>
      <c r="C1278" s="5" t="s">
        <v>25</v>
      </c>
      <c r="D1278" s="6" t="s">
        <v>25</v>
      </c>
      <c r="E1278" s="7">
        <f>VLOOKUP(A1278,Sheet2!$A$2:$R$3432,4,0)</f>
        <v>8237212835</v>
      </c>
      <c r="F1278" s="7" t="str">
        <f>VLOOKUP(A1278,Sheet2!$A$2:$R$3432,3,0)</f>
        <v>MAHESH VARPE</v>
      </c>
      <c r="G1278" s="5" t="s">
        <v>25</v>
      </c>
      <c r="H1278" s="5" t="s">
        <v>25</v>
      </c>
      <c r="I1278" s="5" t="s">
        <v>25</v>
      </c>
      <c r="J1278" s="5" t="s">
        <v>25</v>
      </c>
      <c r="K1278" s="7" t="str">
        <f>VLOOKUP(A1278,Sheet2!$A$2:$R$3432,6,0)</f>
        <v>Honda Activa 5G</v>
      </c>
      <c r="L1278" s="5" t="s">
        <v>25</v>
      </c>
      <c r="M1278" s="7" t="str">
        <f>VLOOKUP(A1278,Sheet2!$A$2:$R$3432,5,0)</f>
        <v>MH12SC7814</v>
      </c>
      <c r="N1278" s="5" t="s">
        <v>25</v>
      </c>
      <c r="O1278" s="5" t="s">
        <v>25</v>
      </c>
      <c r="P1278" s="6" t="s">
        <v>25</v>
      </c>
      <c r="Q1278" s="5" t="s">
        <v>25</v>
      </c>
      <c r="R1278" s="5" t="s">
        <v>25</v>
      </c>
      <c r="S1278" s="7" t="str">
        <f>VLOOKUP(A1278,Sheet2!$A$2:$R$3432,18,0)</f>
        <v/>
      </c>
      <c r="T1278" s="7" t="str">
        <f>VLOOKUP(A1278,Sheet2!$A$2:$R$3432,17,0)</f>
        <v/>
      </c>
    </row>
    <row r="1279" ht="15.75" customHeight="1">
      <c r="A1279" s="3" t="s">
        <v>1302</v>
      </c>
      <c r="B1279" s="4" t="str">
        <f>VLOOKUP(A1279,Sheet2!$A$2:$R$3432,2,0)</f>
        <v>2025-02-23 20:19:18</v>
      </c>
      <c r="C1279" s="5" t="s">
        <v>25</v>
      </c>
      <c r="D1279" s="6" t="s">
        <v>25</v>
      </c>
      <c r="E1279" s="7">
        <f>VLOOKUP(A1279,Sheet2!$A$2:$R$3432,4,0)</f>
        <v>9823561983</v>
      </c>
      <c r="F1279" s="7" t="str">
        <f>VLOOKUP(A1279,Sheet2!$A$2:$R$3432,3,0)</f>
        <v>MAHESH KHOT</v>
      </c>
      <c r="G1279" s="5" t="s">
        <v>25</v>
      </c>
      <c r="H1279" s="5" t="s">
        <v>25</v>
      </c>
      <c r="I1279" s="5" t="s">
        <v>25</v>
      </c>
      <c r="J1279" s="5" t="s">
        <v>25</v>
      </c>
      <c r="K1279" s="7" t="str">
        <f>VLOOKUP(A1279,Sheet2!$A$2:$R$3432,6,0)</f>
        <v>Honda Aviator </v>
      </c>
      <c r="L1279" s="5" t="s">
        <v>25</v>
      </c>
      <c r="M1279" s="7" t="str">
        <f>VLOOKUP(A1279,Sheet2!$A$2:$R$3432,5,0)</f>
        <v>MH12FJ4279</v>
      </c>
      <c r="N1279" s="5" t="s">
        <v>25</v>
      </c>
      <c r="O1279" s="5" t="s">
        <v>25</v>
      </c>
      <c r="P1279" s="6" t="s">
        <v>25</v>
      </c>
      <c r="Q1279" s="5" t="s">
        <v>25</v>
      </c>
      <c r="R1279" s="5" t="s">
        <v>25</v>
      </c>
      <c r="S1279" s="7" t="str">
        <f>VLOOKUP(A1279,Sheet2!$A$2:$R$3432,18,0)</f>
        <v/>
      </c>
      <c r="T1279" s="7" t="str">
        <f>VLOOKUP(A1279,Sheet2!$A$2:$R$3432,17,0)</f>
        <v/>
      </c>
    </row>
    <row r="1280" ht="15.75" customHeight="1">
      <c r="A1280" s="3" t="s">
        <v>1303</v>
      </c>
      <c r="B1280" s="4" t="str">
        <f>VLOOKUP(A1280,Sheet2!$A$2:$R$3432,2,0)</f>
        <v>2025-02-23 20:22:11</v>
      </c>
      <c r="C1280" s="5" t="s">
        <v>25</v>
      </c>
      <c r="D1280" s="6" t="s">
        <v>25</v>
      </c>
      <c r="E1280" s="7">
        <f>VLOOKUP(A1280,Sheet2!$A$2:$R$3432,4,0)</f>
        <v>8237872859</v>
      </c>
      <c r="F1280" s="7" t="str">
        <f>VLOOKUP(A1280,Sheet2!$A$2:$R$3432,3,0)</f>
        <v>VIRAJ DESHMUKH </v>
      </c>
      <c r="G1280" s="5" t="s">
        <v>25</v>
      </c>
      <c r="H1280" s="5" t="s">
        <v>25</v>
      </c>
      <c r="I1280" s="5" t="s">
        <v>25</v>
      </c>
      <c r="J1280" s="5" t="s">
        <v>25</v>
      </c>
      <c r="K1280" s="7" t="str">
        <f>VLOOKUP(A1280,Sheet2!$A$2:$R$3432,6,0)</f>
        <v>Honda Activa 6G</v>
      </c>
      <c r="L1280" s="5" t="s">
        <v>25</v>
      </c>
      <c r="M1280" s="7" t="str">
        <f>VLOOKUP(A1280,Sheet2!$A$2:$R$3432,5,0)</f>
        <v>MH19DR6729</v>
      </c>
      <c r="N1280" s="5" t="s">
        <v>25</v>
      </c>
      <c r="O1280" s="5" t="s">
        <v>25</v>
      </c>
      <c r="P1280" s="6" t="s">
        <v>25</v>
      </c>
      <c r="Q1280" s="5" t="s">
        <v>25</v>
      </c>
      <c r="R1280" s="5" t="s">
        <v>25</v>
      </c>
      <c r="S1280" s="7" t="str">
        <f>VLOOKUP(A1280,Sheet2!$A$2:$R$3432,18,0)</f>
        <v/>
      </c>
      <c r="T1280" s="7" t="str">
        <f>VLOOKUP(A1280,Sheet2!$A$2:$R$3432,17,0)</f>
        <v/>
      </c>
    </row>
    <row r="1281" ht="15.75" customHeight="1">
      <c r="A1281" s="3" t="s">
        <v>1304</v>
      </c>
      <c r="B1281" s="4" t="str">
        <f>VLOOKUP(A1281,Sheet2!$A$2:$R$3432,2,0)</f>
        <v>2025-03-19 19:45:29</v>
      </c>
      <c r="C1281" s="5" t="s">
        <v>25</v>
      </c>
      <c r="D1281" s="6" t="s">
        <v>25</v>
      </c>
      <c r="E1281" s="7">
        <f>VLOOKUP(A1281,Sheet2!$A$2:$R$3432,4,0)</f>
        <v>7709502465</v>
      </c>
      <c r="F1281" s="7" t="str">
        <f>VLOOKUP(A1281,Sheet2!$A$2:$R$3432,3,0)</f>
        <v>Hitesh</v>
      </c>
      <c r="G1281" s="5" t="s">
        <v>25</v>
      </c>
      <c r="H1281" s="5" t="s">
        <v>25</v>
      </c>
      <c r="I1281" s="5" t="s">
        <v>25</v>
      </c>
      <c r="J1281" s="5" t="s">
        <v>25</v>
      </c>
      <c r="K1281" s="7" t="str">
        <f>VLOOKUP(A1281,Sheet2!$A$2:$R$3432,6,0)</f>
        <v>TVS Ntorq 125</v>
      </c>
      <c r="L1281" s="5" t="s">
        <v>25</v>
      </c>
      <c r="M1281" s="7" t="str">
        <f>VLOOKUP(A1281,Sheet2!$A$2:$R$3432,5,0)</f>
        <v>MH14HH3570</v>
      </c>
      <c r="N1281" s="5" t="s">
        <v>25</v>
      </c>
      <c r="O1281" s="5" t="s">
        <v>25</v>
      </c>
      <c r="P1281" s="6" t="s">
        <v>25</v>
      </c>
      <c r="Q1281" s="5" t="s">
        <v>25</v>
      </c>
      <c r="R1281" s="5" t="s">
        <v>25</v>
      </c>
      <c r="S1281" s="7" t="str">
        <f>VLOOKUP(A1281,Sheet2!$A$2:$R$3432,18,0)</f>
        <v/>
      </c>
      <c r="T1281" s="7" t="str">
        <f>VLOOKUP(A1281,Sheet2!$A$2:$R$3432,17,0)</f>
        <v/>
      </c>
    </row>
    <row r="1282" ht="15.75" customHeight="1">
      <c r="A1282" s="3" t="s">
        <v>1305</v>
      </c>
      <c r="B1282" s="4" t="str">
        <f>VLOOKUP(A1282,Sheet2!$A$2:$R$3432,2,0)</f>
        <v>2025-03-19 19:44:52</v>
      </c>
      <c r="C1282" s="5" t="s">
        <v>25</v>
      </c>
      <c r="D1282" s="6" t="s">
        <v>25</v>
      </c>
      <c r="E1282" s="7">
        <f>VLOOKUP(A1282,Sheet2!$A$2:$R$3432,4,0)</f>
        <v>9049987787</v>
      </c>
      <c r="F1282" s="7" t="str">
        <f>VLOOKUP(A1282,Sheet2!$A$2:$R$3432,3,0)</f>
        <v>Mayank</v>
      </c>
      <c r="G1282" s="5" t="s">
        <v>25</v>
      </c>
      <c r="H1282" s="5" t="s">
        <v>25</v>
      </c>
      <c r="I1282" s="5" t="s">
        <v>25</v>
      </c>
      <c r="J1282" s="5" t="s">
        <v>25</v>
      </c>
      <c r="K1282" s="7" t="str">
        <f>VLOOKUP(A1282,Sheet2!$A$2:$R$3432,6,0)</f>
        <v>Honda Activa </v>
      </c>
      <c r="L1282" s="5" t="s">
        <v>25</v>
      </c>
      <c r="M1282" s="7" t="str">
        <f>VLOOKUP(A1282,Sheet2!$A$2:$R$3432,5,0)</f>
        <v>MH14CT8243</v>
      </c>
      <c r="N1282" s="5" t="s">
        <v>25</v>
      </c>
      <c r="O1282" s="5" t="s">
        <v>25</v>
      </c>
      <c r="P1282" s="6" t="s">
        <v>25</v>
      </c>
      <c r="Q1282" s="5" t="s">
        <v>25</v>
      </c>
      <c r="R1282" s="5" t="s">
        <v>25</v>
      </c>
      <c r="S1282" s="7" t="str">
        <f>VLOOKUP(A1282,Sheet2!$A$2:$R$3432,18,0)</f>
        <v/>
      </c>
      <c r="T1282" s="7" t="str">
        <f>VLOOKUP(A1282,Sheet2!$A$2:$R$3432,17,0)</f>
        <v/>
      </c>
    </row>
    <row r="1283" ht="15.75" customHeight="1">
      <c r="A1283" s="3" t="s">
        <v>1306</v>
      </c>
      <c r="B1283" s="4" t="str">
        <f>VLOOKUP(A1283,Sheet2!$A$2:$R$3432,2,0)</f>
        <v>2025-03-19 19:49:42</v>
      </c>
      <c r="C1283" s="5" t="s">
        <v>25</v>
      </c>
      <c r="D1283" s="6" t="s">
        <v>25</v>
      </c>
      <c r="E1283" s="7">
        <f>VLOOKUP(A1283,Sheet2!$A$2:$R$3432,4,0)</f>
        <v>9921725353</v>
      </c>
      <c r="F1283" s="7" t="str">
        <f>VLOOKUP(A1283,Sheet2!$A$2:$R$3432,3,0)</f>
        <v>AJAY CHAUHAN</v>
      </c>
      <c r="G1283" s="5" t="s">
        <v>25</v>
      </c>
      <c r="H1283" s="5" t="s">
        <v>25</v>
      </c>
      <c r="I1283" s="5" t="s">
        <v>25</v>
      </c>
      <c r="J1283" s="5" t="s">
        <v>25</v>
      </c>
      <c r="K1283" s="7" t="str">
        <f>VLOOKUP(A1283,Sheet2!$A$2:$R$3432,6,0)</f>
        <v>Honda Shine HET</v>
      </c>
      <c r="L1283" s="5" t="s">
        <v>25</v>
      </c>
      <c r="M1283" s="7" t="str">
        <f>VLOOKUP(A1283,Sheet2!$A$2:$R$3432,5,0)</f>
        <v>MH12MY8063</v>
      </c>
      <c r="N1283" s="5" t="s">
        <v>25</v>
      </c>
      <c r="O1283" s="5" t="s">
        <v>25</v>
      </c>
      <c r="P1283" s="6" t="s">
        <v>25</v>
      </c>
      <c r="Q1283" s="5" t="s">
        <v>25</v>
      </c>
      <c r="R1283" s="5" t="s">
        <v>25</v>
      </c>
      <c r="S1283" s="5" t="str">
        <f>VLOOKUP(A1283,Sheet2!$A$2:$R$3432,18,0)</f>
        <v>JC7380044703</v>
      </c>
      <c r="T1283" s="7" t="str">
        <f>VLOOKUP(A1283,Sheet2!$A$2:$R$3432,17,0)</f>
        <v>ME4JC731BG8019972</v>
      </c>
    </row>
    <row r="1284" ht="15.75" customHeight="1">
      <c r="A1284" s="3" t="s">
        <v>1307</v>
      </c>
      <c r="B1284" s="4" t="str">
        <f>VLOOKUP(A1284,Sheet2!$A$2:$R$3432,2,0)</f>
        <v>2025-03-19 19:50:53</v>
      </c>
      <c r="C1284" s="5" t="s">
        <v>25</v>
      </c>
      <c r="D1284" s="6" t="s">
        <v>25</v>
      </c>
      <c r="E1284" s="7">
        <f>VLOOKUP(A1284,Sheet2!$A$2:$R$3432,4,0)</f>
        <v>8623871502</v>
      </c>
      <c r="F1284" s="7" t="str">
        <f>VLOOKUP(A1284,Sheet2!$A$2:$R$3432,3,0)</f>
        <v>Gangaram Nath</v>
      </c>
      <c r="G1284" s="5" t="s">
        <v>25</v>
      </c>
      <c r="H1284" s="5" t="s">
        <v>25</v>
      </c>
      <c r="I1284" s="5" t="s">
        <v>25</v>
      </c>
      <c r="J1284" s="5" t="s">
        <v>25</v>
      </c>
      <c r="K1284" s="7" t="str">
        <f>VLOOKUP(A1284,Sheet2!$A$2:$R$3432,6,0)</f>
        <v>Yamaha FZ 1</v>
      </c>
      <c r="L1284" s="5" t="s">
        <v>25</v>
      </c>
      <c r="M1284" s="7" t="str">
        <f>VLOOKUP(A1284,Sheet2!$A$2:$R$3432,5,0)</f>
        <v>MH14BY1720</v>
      </c>
      <c r="N1284" s="5" t="s">
        <v>25</v>
      </c>
      <c r="O1284" s="5" t="s">
        <v>25</v>
      </c>
      <c r="P1284" s="6" t="s">
        <v>25</v>
      </c>
      <c r="Q1284" s="5" t="s">
        <v>25</v>
      </c>
      <c r="R1284" s="5" t="s">
        <v>25</v>
      </c>
      <c r="S1284" s="5" t="str">
        <f>VLOOKUP(A1284,Sheet2!$A$2:$R$3432,18,0)</f>
        <v>21C1074063</v>
      </c>
      <c r="T1284" s="7" t="str">
        <f>VLOOKUP(A1284,Sheet2!$A$2:$R$3432,17,0)</f>
        <v>ME121C01X92074171</v>
      </c>
    </row>
    <row r="1285" ht="15.75" customHeight="1">
      <c r="A1285" s="3" t="s">
        <v>1308</v>
      </c>
      <c r="B1285" s="4" t="str">
        <f>VLOOKUP(A1285,Sheet2!$A$2:$R$3432,2,0)</f>
        <v>2025-03-19 19:53:16</v>
      </c>
      <c r="C1285" s="5" t="s">
        <v>25</v>
      </c>
      <c r="D1285" s="6" t="s">
        <v>25</v>
      </c>
      <c r="E1285" s="7">
        <f>VLOOKUP(A1285,Sheet2!$A$2:$R$3432,4,0)</f>
        <v>8308822448</v>
      </c>
      <c r="F1285" s="7" t="str">
        <f>VLOOKUP(A1285,Sheet2!$A$2:$R$3432,3,0)</f>
        <v>NILESH SARODE</v>
      </c>
      <c r="G1285" s="5" t="s">
        <v>25</v>
      </c>
      <c r="H1285" s="5" t="s">
        <v>25</v>
      </c>
      <c r="I1285" s="5" t="s">
        <v>25</v>
      </c>
      <c r="J1285" s="5" t="s">
        <v>25</v>
      </c>
      <c r="K1285" s="7" t="str">
        <f>VLOOKUP(A1285,Sheet2!$A$2:$R$3432,6,0)</f>
        <v>Honda Activa 6G</v>
      </c>
      <c r="L1285" s="5" t="s">
        <v>25</v>
      </c>
      <c r="M1285" s="7" t="str">
        <f>VLOOKUP(A1285,Sheet2!$A$2:$R$3432,5,0)</f>
        <v>MH14LD3799</v>
      </c>
      <c r="N1285" s="5" t="s">
        <v>25</v>
      </c>
      <c r="O1285" s="5" t="s">
        <v>25</v>
      </c>
      <c r="P1285" s="6" t="s">
        <v>25</v>
      </c>
      <c r="Q1285" s="5" t="s">
        <v>25</v>
      </c>
      <c r="R1285" s="5" t="s">
        <v>25</v>
      </c>
      <c r="S1285" s="5" t="str">
        <f>VLOOKUP(A1285,Sheet2!$A$2:$R$3432,18,0)</f>
        <v>JK37EW0003530</v>
      </c>
      <c r="T1285" s="7" t="str">
        <f>VLOOKUP(A1285,Sheet2!$A$2:$R$3432,17,0)</f>
        <v>ME4JK370KPW003597</v>
      </c>
    </row>
    <row r="1286" ht="15.75" customHeight="1">
      <c r="A1286" s="3" t="s">
        <v>1309</v>
      </c>
      <c r="B1286" s="4" t="str">
        <f>VLOOKUP(A1286,Sheet2!$A$2:$R$3432,2,0)</f>
        <v>2025-03-19 19:52:08</v>
      </c>
      <c r="C1286" s="5" t="s">
        <v>25</v>
      </c>
      <c r="D1286" s="6" t="s">
        <v>25</v>
      </c>
      <c r="E1286" s="7">
        <f>VLOOKUP(A1286,Sheet2!$A$2:$R$3432,4,0)</f>
        <v>9673797573</v>
      </c>
      <c r="F1286" s="7" t="str">
        <f>VLOOKUP(A1286,Sheet2!$A$2:$R$3432,3,0)</f>
        <v>Abhinav Mohite</v>
      </c>
      <c r="G1286" s="5" t="s">
        <v>25</v>
      </c>
      <c r="H1286" s="5" t="s">
        <v>25</v>
      </c>
      <c r="I1286" s="5" t="s">
        <v>25</v>
      </c>
      <c r="J1286" s="5" t="s">
        <v>25</v>
      </c>
      <c r="K1286" s="7" t="str">
        <f>VLOOKUP(A1286,Sheet2!$A$2:$R$3432,6,0)</f>
        <v>Hero Ignitor </v>
      </c>
      <c r="L1286" s="5" t="s">
        <v>25</v>
      </c>
      <c r="M1286" s="7" t="str">
        <f>VLOOKUP(A1286,Sheet2!$A$2:$R$3432,5,0)</f>
        <v>MH09DJ8475</v>
      </c>
      <c r="N1286" s="5" t="s">
        <v>25</v>
      </c>
      <c r="O1286" s="5" t="s">
        <v>25</v>
      </c>
      <c r="P1286" s="6" t="s">
        <v>25</v>
      </c>
      <c r="Q1286" s="5" t="s">
        <v>25</v>
      </c>
      <c r="R1286" s="5" t="s">
        <v>25</v>
      </c>
      <c r="S1286" s="7" t="str">
        <f>VLOOKUP(A1286,Sheet2!$A$2:$R$3432,18,0)</f>
        <v/>
      </c>
      <c r="T1286" s="7" t="str">
        <f>VLOOKUP(A1286,Sheet2!$A$2:$R$3432,17,0)</f>
        <v/>
      </c>
    </row>
    <row r="1287" ht="15.75" customHeight="1">
      <c r="A1287" s="3" t="s">
        <v>1310</v>
      </c>
      <c r="B1287" s="4" t="str">
        <f>VLOOKUP(A1287,Sheet2!$A$2:$R$3432,2,0)</f>
        <v>2025-03-19 19:52:57</v>
      </c>
      <c r="C1287" s="5" t="s">
        <v>25</v>
      </c>
      <c r="D1287" s="6" t="s">
        <v>25</v>
      </c>
      <c r="E1287" s="7">
        <f>VLOOKUP(A1287,Sheet2!$A$2:$R$3432,4,0)</f>
        <v>7588663598</v>
      </c>
      <c r="F1287" s="7" t="str">
        <f>VLOOKUP(A1287,Sheet2!$A$2:$R$3432,3,0)</f>
        <v>Rameshwar</v>
      </c>
      <c r="G1287" s="5" t="s">
        <v>25</v>
      </c>
      <c r="H1287" s="5" t="s">
        <v>25</v>
      </c>
      <c r="I1287" s="5" t="s">
        <v>25</v>
      </c>
      <c r="J1287" s="5" t="s">
        <v>25</v>
      </c>
      <c r="K1287" s="7" t="str">
        <f>VLOOKUP(A1287,Sheet2!$A$2:$R$3432,6,0)</f>
        <v>Royal Enfield ThunderBird 350</v>
      </c>
      <c r="L1287" s="5" t="s">
        <v>25</v>
      </c>
      <c r="M1287" s="7" t="str">
        <f>VLOOKUP(A1287,Sheet2!$A$2:$R$3432,5,0)</f>
        <v>MH31FL5725</v>
      </c>
      <c r="N1287" s="5" t="s">
        <v>25</v>
      </c>
      <c r="O1287" s="5" t="s">
        <v>25</v>
      </c>
      <c r="P1287" s="6" t="s">
        <v>25</v>
      </c>
      <c r="Q1287" s="5" t="s">
        <v>25</v>
      </c>
      <c r="R1287" s="5" t="s">
        <v>25</v>
      </c>
      <c r="S1287" s="7" t="str">
        <f>VLOOKUP(A1287,Sheet2!$A$2:$R$3432,18,0)</f>
        <v/>
      </c>
      <c r="T1287" s="7" t="str">
        <f>VLOOKUP(A1287,Sheet2!$A$2:$R$3432,17,0)</f>
        <v/>
      </c>
    </row>
    <row r="1288" ht="15.75" customHeight="1">
      <c r="A1288" s="3" t="s">
        <v>1311</v>
      </c>
      <c r="B1288" s="4" t="str">
        <f>VLOOKUP(A1288,Sheet2!$A$2:$R$3432,2,0)</f>
        <v>2025-03-19 20:05:10</v>
      </c>
      <c r="C1288" s="5" t="s">
        <v>25</v>
      </c>
      <c r="D1288" s="6" t="s">
        <v>25</v>
      </c>
      <c r="E1288" s="7">
        <f>VLOOKUP(A1288,Sheet2!$A$2:$R$3432,4,0)</f>
        <v>9987555184</v>
      </c>
      <c r="F1288" s="7" t="str">
        <f>VLOOKUP(A1288,Sheet2!$A$2:$R$3432,3,0)</f>
        <v>GAURAV Manjrekar </v>
      </c>
      <c r="G1288" s="5" t="s">
        <v>25</v>
      </c>
      <c r="H1288" s="5" t="s">
        <v>25</v>
      </c>
      <c r="I1288" s="5" t="s">
        <v>25</v>
      </c>
      <c r="J1288" s="5" t="s">
        <v>25</v>
      </c>
      <c r="K1288" s="7" t="str">
        <f>VLOOKUP(A1288,Sheet2!$A$2:$R$3432,6,0)</f>
        <v>TVS Scooty Streak</v>
      </c>
      <c r="L1288" s="5" t="s">
        <v>25</v>
      </c>
      <c r="M1288" s="7" t="str">
        <f>VLOOKUP(A1288,Sheet2!$A$2:$R$3432,5,0)</f>
        <v>MH08AC5581</v>
      </c>
      <c r="N1288" s="5" t="s">
        <v>25</v>
      </c>
      <c r="O1288" s="5" t="s">
        <v>25</v>
      </c>
      <c r="P1288" s="6" t="s">
        <v>25</v>
      </c>
      <c r="Q1288" s="5" t="s">
        <v>25</v>
      </c>
      <c r="R1288" s="5" t="s">
        <v>25</v>
      </c>
      <c r="S1288" s="7" t="str">
        <f>VLOOKUP(A1288,Sheet2!$A$2:$R$3432,18,0)</f>
        <v/>
      </c>
      <c r="T1288" s="7" t="str">
        <f>VLOOKUP(A1288,Sheet2!$A$2:$R$3432,17,0)</f>
        <v/>
      </c>
    </row>
    <row r="1289" ht="15.75" customHeight="1">
      <c r="A1289" s="3" t="s">
        <v>1312</v>
      </c>
      <c r="B1289" s="4" t="str">
        <f>VLOOKUP(A1289,Sheet2!$A$2:$R$3432,2,0)</f>
        <v>2025-03-19 20:06:00</v>
      </c>
      <c r="C1289" s="5" t="s">
        <v>25</v>
      </c>
      <c r="D1289" s="6" t="s">
        <v>25</v>
      </c>
      <c r="E1289" s="7">
        <f>VLOOKUP(A1289,Sheet2!$A$2:$R$3432,4,0)</f>
        <v>9096095550</v>
      </c>
      <c r="F1289" s="7" t="str">
        <f>VLOOKUP(A1289,Sheet2!$A$2:$R$3432,3,0)</f>
        <v>Chetan </v>
      </c>
      <c r="G1289" s="5" t="s">
        <v>25</v>
      </c>
      <c r="H1289" s="5" t="s">
        <v>25</v>
      </c>
      <c r="I1289" s="5" t="s">
        <v>25</v>
      </c>
      <c r="J1289" s="5" t="s">
        <v>25</v>
      </c>
      <c r="K1289" s="7" t="str">
        <f>VLOOKUP(A1289,Sheet2!$A$2:$R$3432,6,0)</f>
        <v>Bajaj Avenger 150 Street</v>
      </c>
      <c r="L1289" s="5" t="s">
        <v>25</v>
      </c>
      <c r="M1289" s="7" t="str">
        <f>VLOOKUP(A1289,Sheet2!$A$2:$R$3432,5,0)</f>
        <v>MH14DV3739</v>
      </c>
      <c r="N1289" s="5" t="s">
        <v>25</v>
      </c>
      <c r="O1289" s="5" t="s">
        <v>25</v>
      </c>
      <c r="P1289" s="6" t="s">
        <v>25</v>
      </c>
      <c r="Q1289" s="5" t="s">
        <v>25</v>
      </c>
      <c r="R1289" s="5" t="s">
        <v>25</v>
      </c>
      <c r="S1289" s="7" t="str">
        <f>VLOOKUP(A1289,Sheet2!$A$2:$R$3432,18,0)</f>
        <v/>
      </c>
      <c r="T1289" s="7" t="str">
        <f>VLOOKUP(A1289,Sheet2!$A$2:$R$3432,17,0)</f>
        <v/>
      </c>
    </row>
    <row r="1290" ht="15.75" customHeight="1">
      <c r="A1290" s="3" t="s">
        <v>1313</v>
      </c>
      <c r="B1290" s="4" t="str">
        <f>VLOOKUP(A1290,Sheet2!$A$2:$R$3432,2,0)</f>
        <v>2025-03-19 20:43:59</v>
      </c>
      <c r="C1290" s="5" t="s">
        <v>25</v>
      </c>
      <c r="D1290" s="6" t="s">
        <v>25</v>
      </c>
      <c r="E1290" s="7">
        <f>VLOOKUP(A1290,Sheet2!$A$2:$R$3432,4,0)</f>
        <v>8928398306</v>
      </c>
      <c r="F1290" s="7" t="str">
        <f>VLOOKUP(A1290,Sheet2!$A$2:$R$3432,3,0)</f>
        <v>PRASHANT</v>
      </c>
      <c r="G1290" s="5" t="s">
        <v>25</v>
      </c>
      <c r="H1290" s="5" t="s">
        <v>25</v>
      </c>
      <c r="I1290" s="5" t="s">
        <v>25</v>
      </c>
      <c r="J1290" s="5" t="s">
        <v>25</v>
      </c>
      <c r="K1290" s="7" t="str">
        <f>VLOOKUP(A1290,Sheet2!$A$2:$R$3432,6,0)</f>
        <v>Suzuki Gixxer </v>
      </c>
      <c r="L1290" s="5" t="s">
        <v>25</v>
      </c>
      <c r="M1290" s="7" t="str">
        <f>VLOOKUP(A1290,Sheet2!$A$2:$R$3432,5,0)</f>
        <v>MH02DV7919</v>
      </c>
      <c r="N1290" s="5" t="s">
        <v>25</v>
      </c>
      <c r="O1290" s="5" t="s">
        <v>25</v>
      </c>
      <c r="P1290" s="6" t="s">
        <v>25</v>
      </c>
      <c r="Q1290" s="5" t="s">
        <v>25</v>
      </c>
      <c r="R1290" s="5" t="s">
        <v>25</v>
      </c>
      <c r="S1290" s="7" t="str">
        <f>VLOOKUP(A1290,Sheet2!$A$2:$R$3432,18,0)</f>
        <v/>
      </c>
      <c r="T1290" s="7" t="str">
        <f>VLOOKUP(A1290,Sheet2!$A$2:$R$3432,17,0)</f>
        <v/>
      </c>
    </row>
    <row r="1291" ht="15.75" customHeight="1">
      <c r="A1291" s="3" t="s">
        <v>1314</v>
      </c>
      <c r="B1291" s="4" t="str">
        <f>VLOOKUP(A1291,Sheet2!$A$2:$R$3432,2,0)</f>
        <v>2025-03-19 20:44:47</v>
      </c>
      <c r="C1291" s="5" t="s">
        <v>25</v>
      </c>
      <c r="D1291" s="6" t="s">
        <v>25</v>
      </c>
      <c r="E1291" s="7">
        <f>VLOOKUP(A1291,Sheet2!$A$2:$R$3432,4,0)</f>
        <v>9561323467</v>
      </c>
      <c r="F1291" s="7" t="str">
        <f>VLOOKUP(A1291,Sheet2!$A$2:$R$3432,3,0)</f>
        <v>SUNNY TAWAR</v>
      </c>
      <c r="G1291" s="5" t="s">
        <v>25</v>
      </c>
      <c r="H1291" s="5" t="s">
        <v>25</v>
      </c>
      <c r="I1291" s="5" t="s">
        <v>25</v>
      </c>
      <c r="J1291" s="5" t="s">
        <v>25</v>
      </c>
      <c r="K1291" s="7" t="str">
        <f>VLOOKUP(A1291,Sheet2!$A$2:$R$3432,6,0)</f>
        <v>Yamaha R15 2</v>
      </c>
      <c r="L1291" s="5" t="s">
        <v>25</v>
      </c>
      <c r="M1291" s="7" t="str">
        <f>VLOOKUP(A1291,Sheet2!$A$2:$R$3432,5,0)</f>
        <v>MH15FL2468</v>
      </c>
      <c r="N1291" s="5" t="s">
        <v>25</v>
      </c>
      <c r="O1291" s="5" t="s">
        <v>25</v>
      </c>
      <c r="P1291" s="6" t="s">
        <v>25</v>
      </c>
      <c r="Q1291" s="5" t="s">
        <v>25</v>
      </c>
      <c r="R1291" s="5" t="s">
        <v>25</v>
      </c>
      <c r="S1291" s="5" t="str">
        <f>VLOOKUP(A1291,Sheet2!$A$2:$R$3432,18,0)</f>
        <v>G3C7E0082330</v>
      </c>
      <c r="T1291" s="7" t="str">
        <f>VLOOKUP(A1291,Sheet2!$A$2:$R$3432,17,0)</f>
        <v>ME1RG0627G0022106</v>
      </c>
    </row>
    <row r="1292" ht="15.75" customHeight="1">
      <c r="A1292" s="3" t="s">
        <v>1315</v>
      </c>
      <c r="B1292" s="4" t="str">
        <f>VLOOKUP(A1292,Sheet2!$A$2:$R$3432,2,0)</f>
        <v>2025-02-07 18:51:19</v>
      </c>
      <c r="C1292" s="5" t="s">
        <v>25</v>
      </c>
      <c r="D1292" s="6" t="s">
        <v>25</v>
      </c>
      <c r="E1292" s="7">
        <f>VLOOKUP(A1292,Sheet2!$A$2:$R$3432,4,0)</f>
        <v>9423424644</v>
      </c>
      <c r="F1292" s="7" t="str">
        <f>VLOOKUP(A1292,Sheet2!$A$2:$R$3432,3,0)</f>
        <v>RAHUL</v>
      </c>
      <c r="G1292" s="5" t="s">
        <v>25</v>
      </c>
      <c r="H1292" s="5" t="s">
        <v>25</v>
      </c>
      <c r="I1292" s="5" t="s">
        <v>25</v>
      </c>
      <c r="J1292" s="5" t="s">
        <v>25</v>
      </c>
      <c r="K1292" s="7" t="str">
        <f>VLOOKUP(A1292,Sheet2!$A$2:$R$3432,6,0)</f>
        <v>Hero Pleasure </v>
      </c>
      <c r="L1292" s="5" t="s">
        <v>25</v>
      </c>
      <c r="M1292" s="7" t="str">
        <f>VLOOKUP(A1292,Sheet2!$A$2:$R$3432,5,0)</f>
        <v>MH20BF8386</v>
      </c>
      <c r="N1292" s="5" t="s">
        <v>25</v>
      </c>
      <c r="O1292" s="5" t="s">
        <v>25</v>
      </c>
      <c r="P1292" s="6" t="s">
        <v>25</v>
      </c>
      <c r="Q1292" s="5" t="s">
        <v>25</v>
      </c>
      <c r="R1292" s="5" t="s">
        <v>25</v>
      </c>
      <c r="S1292" s="7" t="str">
        <f>VLOOKUP(A1292,Sheet2!$A$2:$R$3432,18,0)</f>
        <v/>
      </c>
      <c r="T1292" s="7" t="str">
        <f>VLOOKUP(A1292,Sheet2!$A$2:$R$3432,17,0)</f>
        <v/>
      </c>
    </row>
    <row r="1293" ht="15.75" customHeight="1">
      <c r="A1293" s="3" t="s">
        <v>1316</v>
      </c>
      <c r="B1293" s="4" t="str">
        <f>VLOOKUP(A1293,Sheet2!$A$2:$R$3432,2,0)</f>
        <v>2025-02-07 18:48:49</v>
      </c>
      <c r="C1293" s="5" t="s">
        <v>25</v>
      </c>
      <c r="D1293" s="6" t="s">
        <v>25</v>
      </c>
      <c r="E1293" s="7">
        <f>VLOOKUP(A1293,Sheet2!$A$2:$R$3432,4,0)</f>
        <v>9423424644</v>
      </c>
      <c r="F1293" s="7" t="str">
        <f>VLOOKUP(A1293,Sheet2!$A$2:$R$3432,3,0)</f>
        <v>RAHUL ADGAONKAR </v>
      </c>
      <c r="G1293" s="5" t="s">
        <v>25</v>
      </c>
      <c r="H1293" s="5" t="s">
        <v>25</v>
      </c>
      <c r="I1293" s="5" t="s">
        <v>25</v>
      </c>
      <c r="J1293" s="5" t="s">
        <v>25</v>
      </c>
      <c r="K1293" s="7" t="str">
        <f>VLOOKUP(A1293,Sheet2!$A$2:$R$3432,6,0)</f>
        <v>Honda Activa 110</v>
      </c>
      <c r="L1293" s="5" t="s">
        <v>25</v>
      </c>
      <c r="M1293" s="7" t="str">
        <f>VLOOKUP(A1293,Sheet2!$A$2:$R$3432,5,0)</f>
        <v>MH12GM8322</v>
      </c>
      <c r="N1293" s="5" t="s">
        <v>25</v>
      </c>
      <c r="O1293" s="5" t="s">
        <v>25</v>
      </c>
      <c r="P1293" s="6" t="s">
        <v>25</v>
      </c>
      <c r="Q1293" s="5" t="s">
        <v>25</v>
      </c>
      <c r="R1293" s="5" t="s">
        <v>25</v>
      </c>
      <c r="S1293" s="5" t="str">
        <f>VLOOKUP(A1293,Sheet2!$A$2:$R$3432,18,0)</f>
        <v>JC44E1067903</v>
      </c>
      <c r="T1293" s="7" t="str">
        <f>VLOOKUP(A1293,Sheet2!$A$2:$R$3432,17,0)</f>
        <v>ME4JC4414MA8191211</v>
      </c>
    </row>
    <row r="1294" ht="15.75" customHeight="1">
      <c r="A1294" s="3" t="s">
        <v>1317</v>
      </c>
      <c r="B1294" s="4" t="str">
        <f>VLOOKUP(A1294,Sheet2!$A$2:$R$3432,2,0)</f>
        <v>2025-02-07 11:55:19</v>
      </c>
      <c r="C1294" s="5" t="s">
        <v>25</v>
      </c>
      <c r="D1294" s="6" t="s">
        <v>25</v>
      </c>
      <c r="E1294" s="7">
        <f>VLOOKUP(A1294,Sheet2!$A$2:$R$3432,4,0)</f>
        <v>8446698371</v>
      </c>
      <c r="F1294" s="7" t="str">
        <f>VLOOKUP(A1294,Sheet2!$A$2:$R$3432,3,0)</f>
        <v>SHRINIWAS DESHMUKH </v>
      </c>
      <c r="G1294" s="5" t="s">
        <v>25</v>
      </c>
      <c r="H1294" s="5" t="s">
        <v>25</v>
      </c>
      <c r="I1294" s="5" t="s">
        <v>25</v>
      </c>
      <c r="J1294" s="5" t="s">
        <v>25</v>
      </c>
      <c r="K1294" s="7" t="str">
        <f>VLOOKUP(A1294,Sheet2!$A$2:$R$3432,6,0)</f>
        <v>Honda Aviator </v>
      </c>
      <c r="L1294" s="5" t="s">
        <v>25</v>
      </c>
      <c r="M1294" s="7" t="str">
        <f>VLOOKUP(A1294,Sheet2!$A$2:$R$3432,5,0)</f>
        <v>MH16BP6248</v>
      </c>
      <c r="N1294" s="5" t="s">
        <v>25</v>
      </c>
      <c r="O1294" s="5" t="s">
        <v>25</v>
      </c>
      <c r="P1294" s="6" t="s">
        <v>25</v>
      </c>
      <c r="Q1294" s="5" t="s">
        <v>25</v>
      </c>
      <c r="R1294" s="5" t="s">
        <v>25</v>
      </c>
      <c r="S1294" s="7" t="str">
        <f>VLOOKUP(A1294,Sheet2!$A$2:$R$3432,18,0)</f>
        <v/>
      </c>
      <c r="T1294" s="7" t="str">
        <f>VLOOKUP(A1294,Sheet2!$A$2:$R$3432,17,0)</f>
        <v/>
      </c>
    </row>
    <row r="1295" ht="15.75" customHeight="1">
      <c r="A1295" s="3" t="s">
        <v>1318</v>
      </c>
      <c r="B1295" s="4" t="str">
        <f>VLOOKUP(A1295,Sheet2!$A$2:$R$3432,2,0)</f>
        <v>2025-02-07 12:53:29</v>
      </c>
      <c r="C1295" s="5" t="s">
        <v>25</v>
      </c>
      <c r="D1295" s="6" t="s">
        <v>25</v>
      </c>
      <c r="E1295" s="7">
        <f>VLOOKUP(A1295,Sheet2!$A$2:$R$3432,4,0)</f>
        <v>9921209010</v>
      </c>
      <c r="F1295" s="7" t="str">
        <f>VLOOKUP(A1295,Sheet2!$A$2:$R$3432,3,0)</f>
        <v>AYANUDDIN</v>
      </c>
      <c r="G1295" s="5" t="s">
        <v>25</v>
      </c>
      <c r="H1295" s="5" t="s">
        <v>25</v>
      </c>
      <c r="I1295" s="5" t="s">
        <v>25</v>
      </c>
      <c r="J1295" s="5" t="s">
        <v>25</v>
      </c>
      <c r="K1295" s="7" t="str">
        <f>VLOOKUP(A1295,Sheet2!$A$2:$R$3432,6,0)</f>
        <v>Honda Unicorn 150</v>
      </c>
      <c r="L1295" s="5" t="s">
        <v>25</v>
      </c>
      <c r="M1295" s="7" t="str">
        <f>VLOOKUP(A1295,Sheet2!$A$2:$R$3432,5,0)</f>
        <v>MH14HJ9892</v>
      </c>
      <c r="N1295" s="5" t="s">
        <v>25</v>
      </c>
      <c r="O1295" s="5" t="s">
        <v>25</v>
      </c>
      <c r="P1295" s="6" t="s">
        <v>25</v>
      </c>
      <c r="Q1295" s="5" t="s">
        <v>25</v>
      </c>
      <c r="R1295" s="5" t="s">
        <v>25</v>
      </c>
      <c r="S1295" s="5" t="str">
        <f>VLOOKUP(A1295,Sheet2!$A$2:$R$3432,18,0)</f>
        <v>KC31E80468763</v>
      </c>
      <c r="T1295" s="7" t="str">
        <f>VLOOKUP(A1295,Sheet2!$A$2:$R$3432,17,0)</f>
        <v>ME4KC311MJ8469882</v>
      </c>
    </row>
    <row r="1296" ht="15.75" customHeight="1">
      <c r="A1296" s="3" t="s">
        <v>1319</v>
      </c>
      <c r="B1296" s="4" t="str">
        <f>VLOOKUP(A1296,Sheet2!$A$2:$R$3432,2,0)</f>
        <v>2025-02-07 12:53:51</v>
      </c>
      <c r="C1296" s="5" t="s">
        <v>25</v>
      </c>
      <c r="D1296" s="6" t="s">
        <v>25</v>
      </c>
      <c r="E1296" s="7">
        <f>VLOOKUP(A1296,Sheet2!$A$2:$R$3432,4,0)</f>
        <v>8087205340</v>
      </c>
      <c r="F1296" s="7" t="str">
        <f>VLOOKUP(A1296,Sheet2!$A$2:$R$3432,3,0)</f>
        <v>Neha Tayal</v>
      </c>
      <c r="G1296" s="5" t="s">
        <v>25</v>
      </c>
      <c r="H1296" s="5" t="s">
        <v>25</v>
      </c>
      <c r="I1296" s="5" t="s">
        <v>25</v>
      </c>
      <c r="J1296" s="5" t="s">
        <v>25</v>
      </c>
      <c r="K1296" s="7" t="str">
        <f>VLOOKUP(A1296,Sheet2!$A$2:$R$3432,6,0)</f>
        <v>Hero Maestro Dash/Edge</v>
      </c>
      <c r="L1296" s="5" t="s">
        <v>25</v>
      </c>
      <c r="M1296" s="7" t="str">
        <f>VLOOKUP(A1296,Sheet2!$A$2:$R$3432,5,0)</f>
        <v>MH14FW0676</v>
      </c>
      <c r="N1296" s="5" t="s">
        <v>25</v>
      </c>
      <c r="O1296" s="5" t="s">
        <v>25</v>
      </c>
      <c r="P1296" s="6" t="s">
        <v>25</v>
      </c>
      <c r="Q1296" s="5" t="s">
        <v>25</v>
      </c>
      <c r="R1296" s="5" t="s">
        <v>25</v>
      </c>
      <c r="S1296" s="7" t="str">
        <f>VLOOKUP(A1296,Sheet2!$A$2:$R$3432,18,0)</f>
        <v/>
      </c>
      <c r="T1296" s="7" t="str">
        <f>VLOOKUP(A1296,Sheet2!$A$2:$R$3432,17,0)</f>
        <v/>
      </c>
    </row>
    <row r="1297" ht="15.75" customHeight="1">
      <c r="A1297" s="3" t="s">
        <v>1320</v>
      </c>
      <c r="B1297" s="4" t="str">
        <f>VLOOKUP(A1297,Sheet2!$A$2:$R$3432,2,0)</f>
        <v>2025-02-07 12:54:29</v>
      </c>
      <c r="C1297" s="5" t="s">
        <v>25</v>
      </c>
      <c r="D1297" s="6" t="s">
        <v>25</v>
      </c>
      <c r="E1297" s="7">
        <f>VLOOKUP(A1297,Sheet2!$A$2:$R$3432,4,0)</f>
        <v>9823123051</v>
      </c>
      <c r="F1297" s="7" t="str">
        <f>VLOOKUP(A1297,Sheet2!$A$2:$R$3432,3,0)</f>
        <v>Gajanan Mudlyar</v>
      </c>
      <c r="G1297" s="5" t="s">
        <v>25</v>
      </c>
      <c r="H1297" s="5" t="s">
        <v>25</v>
      </c>
      <c r="I1297" s="5" t="s">
        <v>25</v>
      </c>
      <c r="J1297" s="5" t="s">
        <v>25</v>
      </c>
      <c r="K1297" s="7" t="str">
        <f>VLOOKUP(A1297,Sheet2!$A$2:$R$3432,6,0)</f>
        <v>Honda Activa 3G</v>
      </c>
      <c r="L1297" s="5" t="s">
        <v>25</v>
      </c>
      <c r="M1297" s="7" t="str">
        <f>VLOOKUP(A1297,Sheet2!$A$2:$R$3432,5,0)</f>
        <v>MH12MX8141</v>
      </c>
      <c r="N1297" s="5" t="s">
        <v>25</v>
      </c>
      <c r="O1297" s="5" t="s">
        <v>25</v>
      </c>
      <c r="P1297" s="6" t="s">
        <v>25</v>
      </c>
      <c r="Q1297" s="5" t="s">
        <v>25</v>
      </c>
      <c r="R1297" s="5" t="s">
        <v>25</v>
      </c>
      <c r="S1297" s="5" t="str">
        <f>VLOOKUP(A1297,Sheet2!$A$2:$R$3432,18,0)</f>
        <v>JF50EU3028152</v>
      </c>
      <c r="T1297" s="7" t="str">
        <f>VLOOKUP(A1297,Sheet2!$A$2:$R$3432,17,0)</f>
        <v>ME4JF505CGU028175</v>
      </c>
    </row>
    <row r="1298" ht="15.75" customHeight="1">
      <c r="A1298" s="3" t="s">
        <v>1321</v>
      </c>
      <c r="B1298" s="4" t="str">
        <f>VLOOKUP(A1298,Sheet2!$A$2:$R$3432,2,0)</f>
        <v>2025-02-07 18:33:42</v>
      </c>
      <c r="C1298" s="5" t="s">
        <v>25</v>
      </c>
      <c r="D1298" s="6" t="s">
        <v>25</v>
      </c>
      <c r="E1298" s="7">
        <f>VLOOKUP(A1298,Sheet2!$A$2:$R$3432,4,0)</f>
        <v>9665626256</v>
      </c>
      <c r="F1298" s="7" t="str">
        <f>VLOOKUP(A1298,Sheet2!$A$2:$R$3432,3,0)</f>
        <v>MAYUR</v>
      </c>
      <c r="G1298" s="5" t="s">
        <v>25</v>
      </c>
      <c r="H1298" s="5" t="s">
        <v>25</v>
      </c>
      <c r="I1298" s="5" t="s">
        <v>25</v>
      </c>
      <c r="J1298" s="5" t="s">
        <v>25</v>
      </c>
      <c r="K1298" s="7" t="str">
        <f>VLOOKUP(A1298,Sheet2!$A$2:$R$3432,6,0)</f>
        <v>Hero Passion Pro</v>
      </c>
      <c r="L1298" s="5" t="s">
        <v>25</v>
      </c>
      <c r="M1298" s="7" t="str">
        <f>VLOOKUP(A1298,Sheet2!$A$2:$R$3432,5,0)</f>
        <v>MH12NY6215</v>
      </c>
      <c r="N1298" s="5" t="s">
        <v>25</v>
      </c>
      <c r="O1298" s="5" t="s">
        <v>25</v>
      </c>
      <c r="P1298" s="6" t="s">
        <v>25</v>
      </c>
      <c r="Q1298" s="5" t="s">
        <v>25</v>
      </c>
      <c r="R1298" s="5" t="s">
        <v>25</v>
      </c>
      <c r="S1298" s="5" t="str">
        <f>VLOOKUP(A1298,Sheet2!$A$2:$R$3432,18,0)</f>
        <v>HA10AGNHB710</v>
      </c>
      <c r="T1298" s="7" t="str">
        <f>VLOOKUP(A1298,Sheet2!$A$2:$R$3432,17,0)</f>
        <v>MBLHAR182HHB6515</v>
      </c>
    </row>
    <row r="1299" ht="15.75" customHeight="1">
      <c r="A1299" s="3" t="s">
        <v>1322</v>
      </c>
      <c r="B1299" s="4" t="str">
        <f>VLOOKUP(A1299,Sheet2!$A$2:$R$3432,2,0)</f>
        <v>2025-02-07 19:46:41</v>
      </c>
      <c r="C1299" s="5" t="s">
        <v>25</v>
      </c>
      <c r="D1299" s="6" t="s">
        <v>25</v>
      </c>
      <c r="E1299" s="7">
        <f>VLOOKUP(A1299,Sheet2!$A$2:$R$3432,4,0)</f>
        <v>8554928353</v>
      </c>
      <c r="F1299" s="7" t="str">
        <f>VLOOKUP(A1299,Sheet2!$A$2:$R$3432,3,0)</f>
        <v>ANIKET PATIL</v>
      </c>
      <c r="G1299" s="5" t="s">
        <v>25</v>
      </c>
      <c r="H1299" s="5" t="s">
        <v>25</v>
      </c>
      <c r="I1299" s="5" t="s">
        <v>25</v>
      </c>
      <c r="J1299" s="5" t="s">
        <v>25</v>
      </c>
      <c r="K1299" s="7" t="str">
        <f>VLOOKUP(A1299,Sheet2!$A$2:$R$3432,6,0)</f>
        <v>Honda Unicorn 150</v>
      </c>
      <c r="L1299" s="5" t="s">
        <v>25</v>
      </c>
      <c r="M1299" s="7" t="str">
        <f>VLOOKUP(A1299,Sheet2!$A$2:$R$3432,5,0)</f>
        <v>MH09GP1265</v>
      </c>
      <c r="N1299" s="5" t="s">
        <v>25</v>
      </c>
      <c r="O1299" s="5" t="s">
        <v>25</v>
      </c>
      <c r="P1299" s="6" t="s">
        <v>25</v>
      </c>
      <c r="Q1299" s="5" t="s">
        <v>25</v>
      </c>
      <c r="R1299" s="5" t="s">
        <v>25</v>
      </c>
      <c r="S1299" s="5" t="str">
        <f>VLOOKUP(A1299,Sheet2!$A$2:$R$3432,18,0)</f>
        <v>KC40EG3070428</v>
      </c>
      <c r="T1299" s="7" t="str">
        <f>VLOOKUP(A1299,Sheet2!$A$2:$R$3432,17,0)</f>
        <v>ME4KC404LPG070263</v>
      </c>
    </row>
    <row r="1300" ht="15.75" customHeight="1">
      <c r="A1300" s="3" t="s">
        <v>1323</v>
      </c>
      <c r="B1300" s="4" t="str">
        <f>VLOOKUP(A1300,Sheet2!$A$2:$R$3432,2,0)</f>
        <v>2025-02-07 20:16:06</v>
      </c>
      <c r="C1300" s="5" t="s">
        <v>25</v>
      </c>
      <c r="D1300" s="6" t="s">
        <v>25</v>
      </c>
      <c r="E1300" s="7">
        <f>VLOOKUP(A1300,Sheet2!$A$2:$R$3432,4,0)</f>
        <v>9921637431</v>
      </c>
      <c r="F1300" s="7" t="str">
        <f>VLOOKUP(A1300,Sheet2!$A$2:$R$3432,3,0)</f>
        <v>Rishi Patil</v>
      </c>
      <c r="G1300" s="5" t="s">
        <v>25</v>
      </c>
      <c r="H1300" s="5" t="s">
        <v>25</v>
      </c>
      <c r="I1300" s="5" t="s">
        <v>25</v>
      </c>
      <c r="J1300" s="5" t="s">
        <v>25</v>
      </c>
      <c r="K1300" s="7" t="str">
        <f>VLOOKUP(A1300,Sheet2!$A$2:$R$3432,6,0)</f>
        <v>Suzuki Access 125</v>
      </c>
      <c r="L1300" s="5" t="s">
        <v>25</v>
      </c>
      <c r="M1300" s="7" t="str">
        <f>VLOOKUP(A1300,Sheet2!$A$2:$R$3432,5,0)</f>
        <v>MH14HE0954</v>
      </c>
      <c r="N1300" s="5" t="s">
        <v>25</v>
      </c>
      <c r="O1300" s="5" t="s">
        <v>25</v>
      </c>
      <c r="P1300" s="6" t="s">
        <v>25</v>
      </c>
      <c r="Q1300" s="5" t="s">
        <v>25</v>
      </c>
      <c r="R1300" s="5" t="s">
        <v>25</v>
      </c>
      <c r="S1300" s="5" t="str">
        <f>VLOOKUP(A1300,Sheet2!$A$2:$R$3432,18,0)</f>
        <v>AF211810256</v>
      </c>
      <c r="T1300" s="7" t="str">
        <f>VLOOKUP(A1300,Sheet2!$A$2:$R$3432,17,0)</f>
        <v>MB8DPMAJJ8041132</v>
      </c>
    </row>
    <row r="1301" ht="15.75" customHeight="1">
      <c r="A1301" s="3" t="s">
        <v>1324</v>
      </c>
      <c r="B1301" s="4" t="str">
        <f>VLOOKUP(A1301,Sheet2!$A$2:$R$3432,2,0)</f>
        <v>2025-02-07 18:50:26</v>
      </c>
      <c r="C1301" s="5" t="s">
        <v>25</v>
      </c>
      <c r="D1301" s="6" t="s">
        <v>25</v>
      </c>
      <c r="E1301" s="7">
        <f>VLOOKUP(A1301,Sheet2!$A$2:$R$3432,4,0)</f>
        <v>8209163122</v>
      </c>
      <c r="F1301" s="7" t="str">
        <f>VLOOKUP(A1301,Sheet2!$A$2:$R$3432,3,0)</f>
        <v>SWAROOP SINGH</v>
      </c>
      <c r="G1301" s="5" t="s">
        <v>25</v>
      </c>
      <c r="H1301" s="5" t="s">
        <v>25</v>
      </c>
      <c r="I1301" s="5" t="s">
        <v>25</v>
      </c>
      <c r="J1301" s="5" t="s">
        <v>25</v>
      </c>
      <c r="K1301" s="7" t="str">
        <f>VLOOKUP(A1301,Sheet2!$A$2:$R$3432,6,0)</f>
        <v>Hero Splendor Pro</v>
      </c>
      <c r="L1301" s="5" t="s">
        <v>25</v>
      </c>
      <c r="M1301" s="7" t="str">
        <f>VLOOKUP(A1301,Sheet2!$A$2:$R$3432,5,0)</f>
        <v>MH14KZ1137</v>
      </c>
      <c r="N1301" s="5" t="s">
        <v>25</v>
      </c>
      <c r="O1301" s="5" t="s">
        <v>25</v>
      </c>
      <c r="P1301" s="6" t="s">
        <v>25</v>
      </c>
      <c r="Q1301" s="5" t="s">
        <v>25</v>
      </c>
      <c r="R1301" s="5" t="s">
        <v>25</v>
      </c>
      <c r="S1301" s="5" t="str">
        <f>VLOOKUP(A1301,Sheet2!$A$2:$R$3432,18,0)</f>
        <v>HA12E5P4H06081</v>
      </c>
      <c r="T1301" s="7" t="str">
        <f>VLOOKUP(A1301,Sheet2!$A$2:$R$3432,17,0)</f>
        <v>MBLHAWQQ0PGH05498</v>
      </c>
    </row>
    <row r="1302" ht="15.75" customHeight="1">
      <c r="A1302" s="3" t="s">
        <v>1325</v>
      </c>
      <c r="B1302" s="4" t="str">
        <f>VLOOKUP(A1302,Sheet2!$A$2:$R$3432,2,0)</f>
        <v>2025-02-07 19:44:54</v>
      </c>
      <c r="C1302" s="5" t="s">
        <v>25</v>
      </c>
      <c r="D1302" s="6" t="s">
        <v>25</v>
      </c>
      <c r="E1302" s="7">
        <f>VLOOKUP(A1302,Sheet2!$A$2:$R$3432,4,0)</f>
        <v>9623295801</v>
      </c>
      <c r="F1302" s="7" t="str">
        <f>VLOOKUP(A1302,Sheet2!$A$2:$R$3432,3,0)</f>
        <v>BHAKTI GHOLAP</v>
      </c>
      <c r="G1302" s="5" t="s">
        <v>25</v>
      </c>
      <c r="H1302" s="5" t="s">
        <v>25</v>
      </c>
      <c r="I1302" s="5" t="s">
        <v>25</v>
      </c>
      <c r="J1302" s="5" t="s">
        <v>25</v>
      </c>
      <c r="K1302" s="7" t="str">
        <f>VLOOKUP(A1302,Sheet2!$A$2:$R$3432,6,0)</f>
        <v>Honda Activa 110</v>
      </c>
      <c r="L1302" s="5" t="s">
        <v>25</v>
      </c>
      <c r="M1302" s="7" t="str">
        <f>VLOOKUP(A1302,Sheet2!$A$2:$R$3432,5,0)</f>
        <v>MH12MT0878</v>
      </c>
      <c r="N1302" s="5" t="s">
        <v>25</v>
      </c>
      <c r="O1302" s="5" t="s">
        <v>25</v>
      </c>
      <c r="P1302" s="6" t="s">
        <v>25</v>
      </c>
      <c r="Q1302" s="5" t="s">
        <v>25</v>
      </c>
      <c r="R1302" s="5" t="s">
        <v>25</v>
      </c>
      <c r="S1302" s="5" t="str">
        <f>VLOOKUP(A1302,Sheet2!$A$2:$R$3432,18,0)</f>
        <v>JF50ET3061953</v>
      </c>
      <c r="T1302" s="7" t="str">
        <f>VLOOKUP(A1302,Sheet2!$A$2:$R$3432,17,0)</f>
        <v>ME4JF505BGT061566</v>
      </c>
    </row>
    <row r="1303" ht="15.75" customHeight="1">
      <c r="A1303" s="3" t="s">
        <v>1326</v>
      </c>
      <c r="B1303" s="4" t="str">
        <f>VLOOKUP(A1303,Sheet2!$A$2:$R$3432,2,0)</f>
        <v>2025-02-07 18:31:35</v>
      </c>
      <c r="C1303" s="5" t="s">
        <v>25</v>
      </c>
      <c r="D1303" s="6" t="s">
        <v>25</v>
      </c>
      <c r="E1303" s="7">
        <f>VLOOKUP(A1303,Sheet2!$A$2:$R$3432,4,0)</f>
        <v>7038169181</v>
      </c>
      <c r="F1303" s="7" t="str">
        <f>VLOOKUP(A1303,Sheet2!$A$2:$R$3432,3,0)</f>
        <v>ABHIJEET THAKUR </v>
      </c>
      <c r="G1303" s="5" t="s">
        <v>25</v>
      </c>
      <c r="H1303" s="5" t="s">
        <v>25</v>
      </c>
      <c r="I1303" s="5" t="s">
        <v>25</v>
      </c>
      <c r="J1303" s="5" t="s">
        <v>25</v>
      </c>
      <c r="K1303" s="7" t="str">
        <f>VLOOKUP(A1303,Sheet2!$A$2:$R$3432,6,0)</f>
        <v>Hero Pleasure XTEC</v>
      </c>
      <c r="L1303" s="5" t="s">
        <v>25</v>
      </c>
      <c r="M1303" s="7" t="str">
        <f>VLOOKUP(A1303,Sheet2!$A$2:$R$3432,5,0)</f>
        <v>MH18BQ3649</v>
      </c>
      <c r="N1303" s="5" t="s">
        <v>25</v>
      </c>
      <c r="O1303" s="5" t="s">
        <v>25</v>
      </c>
      <c r="P1303" s="6" t="s">
        <v>25</v>
      </c>
      <c r="Q1303" s="5" t="s">
        <v>25</v>
      </c>
      <c r="R1303" s="5" t="s">
        <v>25</v>
      </c>
      <c r="S1303" s="7" t="str">
        <f>VLOOKUP(A1303,Sheet2!$A$2:$R$3432,18,0)</f>
        <v/>
      </c>
      <c r="T1303" s="7" t="str">
        <f>VLOOKUP(A1303,Sheet2!$A$2:$R$3432,17,0)</f>
        <v/>
      </c>
    </row>
    <row r="1304" ht="15.75" customHeight="1">
      <c r="A1304" s="3" t="s">
        <v>1327</v>
      </c>
      <c r="B1304" s="4" t="str">
        <f>VLOOKUP(A1304,Sheet2!$A$2:$R$3432,2,0)</f>
        <v>2025-02-07 18:32:16</v>
      </c>
      <c r="C1304" s="5" t="s">
        <v>25</v>
      </c>
      <c r="D1304" s="6" t="s">
        <v>25</v>
      </c>
      <c r="E1304" s="7">
        <f>VLOOKUP(A1304,Sheet2!$A$2:$R$3432,4,0)</f>
        <v>8421314789</v>
      </c>
      <c r="F1304" s="7" t="str">
        <f>VLOOKUP(A1304,Sheet2!$A$2:$R$3432,3,0)</f>
        <v>VIVEK PADOLE</v>
      </c>
      <c r="G1304" s="5" t="s">
        <v>25</v>
      </c>
      <c r="H1304" s="5" t="s">
        <v>25</v>
      </c>
      <c r="I1304" s="5" t="s">
        <v>25</v>
      </c>
      <c r="J1304" s="5" t="s">
        <v>25</v>
      </c>
      <c r="K1304" s="7" t="str">
        <f>VLOOKUP(A1304,Sheet2!$A$2:$R$3432,6,0)</f>
        <v>Honda SP 125 Disc</v>
      </c>
      <c r="L1304" s="5" t="s">
        <v>25</v>
      </c>
      <c r="M1304" s="7" t="str">
        <f>VLOOKUP(A1304,Sheet2!$A$2:$R$3432,5,0)</f>
        <v>MH34BY4123</v>
      </c>
      <c r="N1304" s="5" t="s">
        <v>25</v>
      </c>
      <c r="O1304" s="5" t="s">
        <v>25</v>
      </c>
      <c r="P1304" s="6" t="s">
        <v>25</v>
      </c>
      <c r="Q1304" s="5" t="s">
        <v>25</v>
      </c>
      <c r="R1304" s="5" t="s">
        <v>25</v>
      </c>
      <c r="S1304" s="5" t="str">
        <f>VLOOKUP(A1304,Sheet2!$A$2:$R$3432,18,0)</f>
        <v>JC83EG0496621</v>
      </c>
      <c r="T1304" s="7" t="str">
        <f>VLOOKUP(A1304,Sheet2!$A$2:$R$3432,17,0)</f>
        <v>ME4JC833GM049293</v>
      </c>
    </row>
    <row r="1305" ht="15.75" customHeight="1">
      <c r="A1305" s="3" t="s">
        <v>1328</v>
      </c>
      <c r="B1305" s="4" t="str">
        <f>VLOOKUP(A1305,Sheet2!$A$2:$R$3432,2,0)</f>
        <v>2025-02-07 19:41:30</v>
      </c>
      <c r="C1305" s="5" t="s">
        <v>25</v>
      </c>
      <c r="D1305" s="6" t="s">
        <v>25</v>
      </c>
      <c r="E1305" s="7">
        <f>VLOOKUP(A1305,Sheet2!$A$2:$R$3432,4,0)</f>
        <v>8830634258</v>
      </c>
      <c r="F1305" s="7" t="str">
        <f>VLOOKUP(A1305,Sheet2!$A$2:$R$3432,3,0)</f>
        <v>Vishal Pawar </v>
      </c>
      <c r="G1305" s="5" t="s">
        <v>25</v>
      </c>
      <c r="H1305" s="5" t="s">
        <v>25</v>
      </c>
      <c r="I1305" s="5" t="s">
        <v>25</v>
      </c>
      <c r="J1305" s="5" t="s">
        <v>25</v>
      </c>
      <c r="K1305" s="7" t="str">
        <f>VLOOKUP(A1305,Sheet2!$A$2:$R$3432,6,0)</f>
        <v>Yamaha FZ V3</v>
      </c>
      <c r="L1305" s="5" t="s">
        <v>25</v>
      </c>
      <c r="M1305" s="7" t="str">
        <f>VLOOKUP(A1305,Sheet2!$A$2:$R$3432,5,0)</f>
        <v>MH14KY2388</v>
      </c>
      <c r="N1305" s="5" t="s">
        <v>25</v>
      </c>
      <c r="O1305" s="5" t="s">
        <v>25</v>
      </c>
      <c r="P1305" s="6" t="s">
        <v>25</v>
      </c>
      <c r="Q1305" s="5" t="s">
        <v>25</v>
      </c>
      <c r="R1305" s="5" t="s">
        <v>25</v>
      </c>
      <c r="S1305" s="7" t="str">
        <f>VLOOKUP(A1305,Sheet2!$A$2:$R$3432,18,0)</f>
        <v/>
      </c>
      <c r="T1305" s="7" t="str">
        <f>VLOOKUP(A1305,Sheet2!$A$2:$R$3432,17,0)</f>
        <v/>
      </c>
    </row>
    <row r="1306" ht="15.75" customHeight="1">
      <c r="A1306" s="3" t="s">
        <v>1329</v>
      </c>
      <c r="B1306" s="4" t="str">
        <f>VLOOKUP(A1306,Sheet2!$A$2:$R$3432,2,0)</f>
        <v>2025-02-07 19:45:46</v>
      </c>
      <c r="C1306" s="5" t="s">
        <v>25</v>
      </c>
      <c r="D1306" s="6" t="s">
        <v>25</v>
      </c>
      <c r="E1306" s="7">
        <f>VLOOKUP(A1306,Sheet2!$A$2:$R$3432,4,0)</f>
        <v>7060327247</v>
      </c>
      <c r="F1306" s="7" t="str">
        <f>VLOOKUP(A1306,Sheet2!$A$2:$R$3432,3,0)</f>
        <v>AMAN JOSHI</v>
      </c>
      <c r="G1306" s="5" t="s">
        <v>25</v>
      </c>
      <c r="H1306" s="5" t="s">
        <v>25</v>
      </c>
      <c r="I1306" s="5" t="s">
        <v>25</v>
      </c>
      <c r="J1306" s="5" t="s">
        <v>25</v>
      </c>
      <c r="K1306" s="7" t="str">
        <f>VLOOKUP(A1306,Sheet2!$A$2:$R$3432,6,0)</f>
        <v>Royal Enfield Meteor  350</v>
      </c>
      <c r="L1306" s="5" t="s">
        <v>25</v>
      </c>
      <c r="M1306" s="7" t="str">
        <f>VLOOKUP(A1306,Sheet2!$A$2:$R$3432,5,0)</f>
        <v>UK07DY7782</v>
      </c>
      <c r="N1306" s="5" t="s">
        <v>25</v>
      </c>
      <c r="O1306" s="5" t="s">
        <v>25</v>
      </c>
      <c r="P1306" s="6" t="s">
        <v>25</v>
      </c>
      <c r="Q1306" s="5" t="s">
        <v>25</v>
      </c>
      <c r="R1306" s="5" t="s">
        <v>25</v>
      </c>
      <c r="S1306" s="5" t="str">
        <f>VLOOKUP(A1306,Sheet2!$A$2:$R$3432,18,0)</f>
        <v>J3A5FGM2107899</v>
      </c>
      <c r="T1306" s="7" t="str">
        <f>VLOOKUP(A1306,Sheet2!$A$2:$R$3432,17,0)</f>
        <v>ME3J3A5FGM12004423</v>
      </c>
    </row>
    <row r="1307" ht="15.75" customHeight="1">
      <c r="A1307" s="3" t="s">
        <v>1330</v>
      </c>
      <c r="B1307" s="4" t="str">
        <f>VLOOKUP(A1307,Sheet2!$A$2:$R$3432,2,0)</f>
        <v>2025-02-07 19:46:12</v>
      </c>
      <c r="C1307" s="5" t="s">
        <v>25</v>
      </c>
      <c r="D1307" s="6" t="s">
        <v>25</v>
      </c>
      <c r="E1307" s="7">
        <f>VLOOKUP(A1307,Sheet2!$A$2:$R$3432,4,0)</f>
        <v>9404301311</v>
      </c>
      <c r="F1307" s="7" t="str">
        <f>VLOOKUP(A1307,Sheet2!$A$2:$R$3432,3,0)</f>
        <v>Rishikesh Yelsangi</v>
      </c>
      <c r="G1307" s="5" t="s">
        <v>25</v>
      </c>
      <c r="H1307" s="5" t="s">
        <v>25</v>
      </c>
      <c r="I1307" s="5" t="s">
        <v>25</v>
      </c>
      <c r="J1307" s="5" t="s">
        <v>25</v>
      </c>
      <c r="K1307" s="7" t="str">
        <f>VLOOKUP(A1307,Sheet2!$A$2:$R$3432,6,0)</f>
        <v>Suzuki Access 125</v>
      </c>
      <c r="L1307" s="5" t="s">
        <v>25</v>
      </c>
      <c r="M1307" s="7" t="str">
        <f>VLOOKUP(A1307,Sheet2!$A$2:$R$3432,5,0)</f>
        <v>MH13CM5408</v>
      </c>
      <c r="N1307" s="5" t="s">
        <v>25</v>
      </c>
      <c r="O1307" s="5" t="s">
        <v>25</v>
      </c>
      <c r="P1307" s="6" t="s">
        <v>25</v>
      </c>
      <c r="Q1307" s="5" t="s">
        <v>25</v>
      </c>
      <c r="R1307" s="5" t="s">
        <v>25</v>
      </c>
      <c r="S1307" s="7" t="str">
        <f>VLOOKUP(A1307,Sheet2!$A$2:$R$3432,18,0)</f>
        <v/>
      </c>
      <c r="T1307" s="7" t="str">
        <f>VLOOKUP(A1307,Sheet2!$A$2:$R$3432,17,0)</f>
        <v/>
      </c>
    </row>
    <row r="1308" ht="15.75" customHeight="1">
      <c r="A1308" s="3" t="s">
        <v>1331</v>
      </c>
      <c r="B1308" s="4" t="str">
        <f>VLOOKUP(A1308,Sheet2!$A$2:$R$3432,2,0)</f>
        <v>2025-02-07 20:16:54</v>
      </c>
      <c r="C1308" s="5" t="s">
        <v>25</v>
      </c>
      <c r="D1308" s="6" t="s">
        <v>25</v>
      </c>
      <c r="E1308" s="7">
        <f>VLOOKUP(A1308,Sheet2!$A$2:$R$3432,4,0)</f>
        <v>9850022435</v>
      </c>
      <c r="F1308" s="7" t="str">
        <f>VLOOKUP(A1308,Sheet2!$A$2:$R$3432,3,0)</f>
        <v>PRAVEEN SONI</v>
      </c>
      <c r="G1308" s="5" t="s">
        <v>25</v>
      </c>
      <c r="H1308" s="5" t="s">
        <v>25</v>
      </c>
      <c r="I1308" s="5" t="s">
        <v>25</v>
      </c>
      <c r="J1308" s="5" t="s">
        <v>25</v>
      </c>
      <c r="K1308" s="7" t="str">
        <f>VLOOKUP(A1308,Sheet2!$A$2:$R$3432,6,0)</f>
        <v>TVS Jupiter </v>
      </c>
      <c r="L1308" s="5" t="s">
        <v>25</v>
      </c>
      <c r="M1308" s="7" t="str">
        <f>VLOOKUP(A1308,Sheet2!$A$2:$R$3432,5,0)</f>
        <v>MH14FV4585</v>
      </c>
      <c r="N1308" s="5" t="s">
        <v>25</v>
      </c>
      <c r="O1308" s="5" t="s">
        <v>25</v>
      </c>
      <c r="P1308" s="6" t="s">
        <v>25</v>
      </c>
      <c r="Q1308" s="5" t="s">
        <v>25</v>
      </c>
      <c r="R1308" s="5" t="s">
        <v>25</v>
      </c>
      <c r="S1308" s="5" t="str">
        <f>VLOOKUP(A1308,Sheet2!$A$2:$R$3432,18,0)</f>
        <v>BG4GG15356</v>
      </c>
      <c r="T1308" s="7" t="str">
        <f>VLOOKUP(A1308,Sheet2!$A$2:$R$3432,17,0)</f>
        <v>MD626BG44G1G41</v>
      </c>
    </row>
    <row r="1309" ht="15.75" customHeight="1">
      <c r="A1309" s="3" t="s">
        <v>1332</v>
      </c>
      <c r="B1309" s="4" t="str">
        <f>VLOOKUP(A1309,Sheet2!$A$2:$R$3432,2,0)</f>
        <v>2025-02-05 20:39:37</v>
      </c>
      <c r="C1309" s="5" t="s">
        <v>25</v>
      </c>
      <c r="D1309" s="6" t="s">
        <v>25</v>
      </c>
      <c r="E1309" s="7">
        <f>VLOOKUP(A1309,Sheet2!$A$2:$R$3432,4,0)</f>
        <v>8975407780</v>
      </c>
      <c r="F1309" s="7" t="str">
        <f>VLOOKUP(A1309,Sheet2!$A$2:$R$3432,3,0)</f>
        <v>PANDURANG SAKHALE</v>
      </c>
      <c r="G1309" s="5" t="s">
        <v>25</v>
      </c>
      <c r="H1309" s="5" t="s">
        <v>25</v>
      </c>
      <c r="I1309" s="5" t="s">
        <v>25</v>
      </c>
      <c r="J1309" s="5" t="s">
        <v>25</v>
      </c>
      <c r="K1309" s="7" t="str">
        <f>VLOOKUP(A1309,Sheet2!$A$2:$R$3432,6,0)</f>
        <v>Honda Unicorn 150</v>
      </c>
      <c r="L1309" s="5" t="s">
        <v>25</v>
      </c>
      <c r="M1309" s="7" t="str">
        <f>VLOOKUP(A1309,Sheet2!$A$2:$R$3432,5,0)</f>
        <v>MH15GP6307</v>
      </c>
      <c r="N1309" s="5" t="s">
        <v>25</v>
      </c>
      <c r="O1309" s="5" t="s">
        <v>25</v>
      </c>
      <c r="P1309" s="6" t="s">
        <v>25</v>
      </c>
      <c r="Q1309" s="5" t="s">
        <v>25</v>
      </c>
      <c r="R1309" s="5" t="s">
        <v>25</v>
      </c>
      <c r="S1309" s="5" t="str">
        <f>VLOOKUP(A1309,Sheet2!$A$2:$R$3432,18,0)</f>
        <v>KC31E80429776</v>
      </c>
      <c r="T1309" s="7" t="str">
        <f>VLOOKUP(A1309,Sheet2!$A$2:$R$3432,17,0)</f>
        <v>ME4KC311KJ8429859</v>
      </c>
    </row>
    <row r="1310" ht="15.75" customHeight="1">
      <c r="A1310" s="3" t="s">
        <v>1333</v>
      </c>
      <c r="B1310" s="4" t="str">
        <f>VLOOKUP(A1310,Sheet2!$A$2:$R$3432,2,0)</f>
        <v>2025-02-05 20:31:49</v>
      </c>
      <c r="C1310" s="5" t="s">
        <v>25</v>
      </c>
      <c r="D1310" s="6" t="s">
        <v>25</v>
      </c>
      <c r="E1310" s="7">
        <f>VLOOKUP(A1310,Sheet2!$A$2:$R$3432,4,0)</f>
        <v>9921637431</v>
      </c>
      <c r="F1310" s="7" t="str">
        <f>VLOOKUP(A1310,Sheet2!$A$2:$R$3432,3,0)</f>
        <v>Rishi Patil</v>
      </c>
      <c r="G1310" s="5" t="s">
        <v>25</v>
      </c>
      <c r="H1310" s="5" t="s">
        <v>25</v>
      </c>
      <c r="I1310" s="5" t="s">
        <v>25</v>
      </c>
      <c r="J1310" s="5" t="s">
        <v>25</v>
      </c>
      <c r="K1310" s="7" t="str">
        <f>VLOOKUP(A1310,Sheet2!$A$2:$R$3432,6,0)</f>
        <v>TVS Apache RTR 160</v>
      </c>
      <c r="L1310" s="5" t="s">
        <v>25</v>
      </c>
      <c r="M1310" s="7" t="str">
        <f>VLOOKUP(A1310,Sheet2!$A$2:$R$3432,5,0)</f>
        <v>MH15EK3122</v>
      </c>
      <c r="N1310" s="5" t="s">
        <v>25</v>
      </c>
      <c r="O1310" s="5" t="s">
        <v>25</v>
      </c>
      <c r="P1310" s="6" t="s">
        <v>25</v>
      </c>
      <c r="Q1310" s="5" t="s">
        <v>25</v>
      </c>
      <c r="R1310" s="5" t="s">
        <v>25</v>
      </c>
      <c r="S1310" s="5" t="str">
        <f>VLOOKUP(A1310,Sheet2!$A$2:$R$3432,18,0)</f>
        <v>OE4AE2552905</v>
      </c>
      <c r="T1310" s="7" t="str">
        <f>VLOOKUP(A1310,Sheet2!$A$2:$R$3432,17,0)</f>
        <v>MD634KE47E2A62110</v>
      </c>
    </row>
    <row r="1311" ht="15.75" customHeight="1">
      <c r="A1311" s="3" t="s">
        <v>1334</v>
      </c>
      <c r="B1311" s="4" t="str">
        <f>VLOOKUP(A1311,Sheet2!$A$2:$R$3432,2,0)</f>
        <v>2025-02-05 20:35:36</v>
      </c>
      <c r="C1311" s="5" t="s">
        <v>25</v>
      </c>
      <c r="D1311" s="6" t="s">
        <v>25</v>
      </c>
      <c r="E1311" s="7">
        <f>VLOOKUP(A1311,Sheet2!$A$2:$R$3432,4,0)</f>
        <v>9823828186</v>
      </c>
      <c r="F1311" s="7" t="str">
        <f>VLOOKUP(A1311,Sheet2!$A$2:$R$3432,3,0)</f>
        <v>AJAY AWALE</v>
      </c>
      <c r="G1311" s="5" t="s">
        <v>25</v>
      </c>
      <c r="H1311" s="5" t="s">
        <v>25</v>
      </c>
      <c r="I1311" s="5" t="s">
        <v>25</v>
      </c>
      <c r="J1311" s="5" t="s">
        <v>25</v>
      </c>
      <c r="K1311" s="7" t="str">
        <f>VLOOKUP(A1311,Sheet2!$A$2:$R$3432,6,0)</f>
        <v>Hero CBZ Extreme</v>
      </c>
      <c r="L1311" s="5" t="s">
        <v>25</v>
      </c>
      <c r="M1311" s="7" t="str">
        <f>VLOOKUP(A1311,Sheet2!$A$2:$R$3432,5,0)</f>
        <v>MH14CY3732</v>
      </c>
      <c r="N1311" s="5" t="s">
        <v>25</v>
      </c>
      <c r="O1311" s="5" t="s">
        <v>25</v>
      </c>
      <c r="P1311" s="6" t="s">
        <v>25</v>
      </c>
      <c r="Q1311" s="5" t="s">
        <v>25</v>
      </c>
      <c r="R1311" s="5" t="s">
        <v>25</v>
      </c>
      <c r="S1311" s="5" t="str">
        <f>VLOOKUP(A1311,Sheet2!$A$2:$R$3432,18,0)</f>
        <v>KC12EDBGF16789</v>
      </c>
      <c r="T1311" s="7" t="str">
        <f>VLOOKUP(A1311,Sheet2!$A$2:$R$3432,17,0)</f>
        <v>MBLKC13EFBGE14626</v>
      </c>
    </row>
    <row r="1312" ht="15.75" customHeight="1">
      <c r="A1312" s="3" t="s">
        <v>1335</v>
      </c>
      <c r="B1312" s="4" t="str">
        <f>VLOOKUP(A1312,Sheet2!$A$2:$R$3432,2,0)</f>
        <v>2025-02-05 20:39:54</v>
      </c>
      <c r="C1312" s="5" t="s">
        <v>25</v>
      </c>
      <c r="D1312" s="6" t="s">
        <v>25</v>
      </c>
      <c r="E1312" s="7">
        <f>VLOOKUP(A1312,Sheet2!$A$2:$R$3432,4,0)</f>
        <v>7776017931</v>
      </c>
      <c r="F1312" s="7" t="str">
        <f>VLOOKUP(A1312,Sheet2!$A$2:$R$3432,3,0)</f>
        <v>Yogini Belapurkar</v>
      </c>
      <c r="G1312" s="5" t="s">
        <v>25</v>
      </c>
      <c r="H1312" s="5" t="s">
        <v>25</v>
      </c>
      <c r="I1312" s="5" t="s">
        <v>25</v>
      </c>
      <c r="J1312" s="5" t="s">
        <v>25</v>
      </c>
      <c r="K1312" s="7" t="str">
        <f>VLOOKUP(A1312,Sheet2!$A$2:$R$3432,6,0)</f>
        <v>TVS Wego Basic</v>
      </c>
      <c r="L1312" s="5" t="s">
        <v>25</v>
      </c>
      <c r="M1312" s="7" t="str">
        <f>VLOOKUP(A1312,Sheet2!$A$2:$R$3432,5,0)</f>
        <v>MH14CF4044</v>
      </c>
      <c r="N1312" s="5" t="s">
        <v>25</v>
      </c>
      <c r="O1312" s="5" t="s">
        <v>25</v>
      </c>
      <c r="P1312" s="6" t="s">
        <v>25</v>
      </c>
      <c r="Q1312" s="5" t="s">
        <v>25</v>
      </c>
      <c r="R1312" s="5" t="s">
        <v>25</v>
      </c>
      <c r="S1312" s="7" t="str">
        <f>VLOOKUP(A1312,Sheet2!$A$2:$R$3432,18,0)</f>
        <v/>
      </c>
      <c r="T1312" s="7" t="str">
        <f>VLOOKUP(A1312,Sheet2!$A$2:$R$3432,17,0)</f>
        <v>MD626AG40A1G22420</v>
      </c>
    </row>
    <row r="1313" ht="15.75" customHeight="1">
      <c r="A1313" s="3" t="s">
        <v>1336</v>
      </c>
      <c r="B1313" s="4" t="str">
        <f>VLOOKUP(A1313,Sheet2!$A$2:$R$3432,2,0)</f>
        <v>2025-02-05 20:39:01</v>
      </c>
      <c r="C1313" s="5" t="s">
        <v>25</v>
      </c>
      <c r="D1313" s="6" t="s">
        <v>25</v>
      </c>
      <c r="E1313" s="7">
        <f>VLOOKUP(A1313,Sheet2!$A$2:$R$3432,4,0)</f>
        <v>8830337694</v>
      </c>
      <c r="F1313" s="7" t="str">
        <f>VLOOKUP(A1313,Sheet2!$A$2:$R$3432,3,0)</f>
        <v>Aniket Joshi</v>
      </c>
      <c r="G1313" s="5" t="s">
        <v>25</v>
      </c>
      <c r="H1313" s="5" t="s">
        <v>25</v>
      </c>
      <c r="I1313" s="5" t="s">
        <v>25</v>
      </c>
      <c r="J1313" s="5" t="s">
        <v>25</v>
      </c>
      <c r="K1313" s="7" t="str">
        <f>VLOOKUP(A1313,Sheet2!$A$2:$R$3432,6,0)</f>
        <v>Honda Dio New</v>
      </c>
      <c r="L1313" s="5" t="s">
        <v>25</v>
      </c>
      <c r="M1313" s="7" t="str">
        <f>VLOOKUP(A1313,Sheet2!$A$2:$R$3432,5,0)</f>
        <v>MH20FS4406</v>
      </c>
      <c r="N1313" s="5" t="s">
        <v>25</v>
      </c>
      <c r="O1313" s="5" t="s">
        <v>25</v>
      </c>
      <c r="P1313" s="6" t="s">
        <v>25</v>
      </c>
      <c r="Q1313" s="5" t="s">
        <v>25</v>
      </c>
      <c r="R1313" s="5" t="s">
        <v>25</v>
      </c>
      <c r="S1313" s="5" t="str">
        <f>VLOOKUP(A1313,Sheet2!$A$2:$R$3432,18,0)</f>
        <v>JF98FG1066712</v>
      </c>
      <c r="T1313" s="7" t="str">
        <f>VLOOKUP(A1313,Sheet2!$A$2:$R$3432,17,0)</f>
        <v>ME4JF984LLG057356</v>
      </c>
    </row>
    <row r="1314" ht="15.75" customHeight="1">
      <c r="A1314" s="3" t="s">
        <v>1337</v>
      </c>
      <c r="B1314" s="4" t="str">
        <f>VLOOKUP(A1314,Sheet2!$A$2:$R$3432,2,0)</f>
        <v>2025-02-05 20:30:58</v>
      </c>
      <c r="C1314" s="5" t="s">
        <v>25</v>
      </c>
      <c r="D1314" s="6" t="s">
        <v>25</v>
      </c>
      <c r="E1314" s="7">
        <f>VLOOKUP(A1314,Sheet2!$A$2:$R$3432,4,0)</f>
        <v>9686753313</v>
      </c>
      <c r="F1314" s="7" t="str">
        <f>VLOOKUP(A1314,Sheet2!$A$2:$R$3432,3,0)</f>
        <v>ABHISHEK </v>
      </c>
      <c r="G1314" s="5" t="s">
        <v>25</v>
      </c>
      <c r="H1314" s="5" t="s">
        <v>25</v>
      </c>
      <c r="I1314" s="5" t="s">
        <v>25</v>
      </c>
      <c r="J1314" s="5" t="s">
        <v>25</v>
      </c>
      <c r="K1314" s="7" t="str">
        <f>VLOOKUP(A1314,Sheet2!$A$2:$R$3432,6,0)</f>
        <v>Yamaha FZ V3</v>
      </c>
      <c r="L1314" s="5" t="s">
        <v>25</v>
      </c>
      <c r="M1314" s="7" t="str">
        <f>VLOOKUP(A1314,Sheet2!$A$2:$R$3432,5,0)</f>
        <v>KA14ES8444</v>
      </c>
      <c r="N1314" s="5" t="s">
        <v>25</v>
      </c>
      <c r="O1314" s="5" t="s">
        <v>25</v>
      </c>
      <c r="P1314" s="6" t="s">
        <v>25</v>
      </c>
      <c r="Q1314" s="5" t="s">
        <v>25</v>
      </c>
      <c r="R1314" s="5" t="s">
        <v>25</v>
      </c>
      <c r="S1314" s="5" t="str">
        <f>VLOOKUP(A1314,Sheet2!$A$2:$R$3432,18,0)</f>
        <v>G3L5E0064942</v>
      </c>
      <c r="T1314" s="7" t="str">
        <f>VLOOKUP(A1314,Sheet2!$A$2:$R$3432,17,0)</f>
        <v>ME1RG44E5K0011735</v>
      </c>
    </row>
    <row r="1315" ht="15.75" customHeight="1">
      <c r="A1315" s="3" t="s">
        <v>1338</v>
      </c>
      <c r="B1315" s="4" t="str">
        <f>VLOOKUP(A1315,Sheet2!$A$2:$R$3432,2,0)</f>
        <v>2025-02-05 20:38:13</v>
      </c>
      <c r="C1315" s="5" t="s">
        <v>25</v>
      </c>
      <c r="D1315" s="6" t="s">
        <v>25</v>
      </c>
      <c r="E1315" s="7">
        <f>VLOOKUP(A1315,Sheet2!$A$2:$R$3432,4,0)</f>
        <v>7073828883</v>
      </c>
      <c r="F1315" s="7" t="str">
        <f>VLOOKUP(A1315,Sheet2!$A$2:$R$3432,3,0)</f>
        <v>Kunal</v>
      </c>
      <c r="G1315" s="5" t="s">
        <v>25</v>
      </c>
      <c r="H1315" s="5" t="s">
        <v>25</v>
      </c>
      <c r="I1315" s="5" t="s">
        <v>25</v>
      </c>
      <c r="J1315" s="5" t="s">
        <v>25</v>
      </c>
      <c r="K1315" s="7" t="str">
        <f>VLOOKUP(A1315,Sheet2!$A$2:$R$3432,6,0)</f>
        <v>Bajaj Dominar 400</v>
      </c>
      <c r="L1315" s="5" t="s">
        <v>25</v>
      </c>
      <c r="M1315" s="7" t="str">
        <f>VLOOKUP(A1315,Sheet2!$A$2:$R$3432,5,0)</f>
        <v>MH14JD2402</v>
      </c>
      <c r="N1315" s="5" t="s">
        <v>25</v>
      </c>
      <c r="O1315" s="5" t="s">
        <v>25</v>
      </c>
      <c r="P1315" s="6" t="s">
        <v>25</v>
      </c>
      <c r="Q1315" s="5" t="s">
        <v>25</v>
      </c>
      <c r="R1315" s="5" t="s">
        <v>25</v>
      </c>
      <c r="S1315" s="7" t="str">
        <f>VLOOKUP(A1315,Sheet2!$A$2:$R$3432,18,0)</f>
        <v/>
      </c>
      <c r="T1315" s="7" t="str">
        <f>VLOOKUP(A1315,Sheet2!$A$2:$R$3432,17,0)</f>
        <v/>
      </c>
    </row>
    <row r="1316" ht="15.75" customHeight="1">
      <c r="A1316" s="3" t="s">
        <v>1339</v>
      </c>
      <c r="B1316" s="4" t="str">
        <f>VLOOKUP(A1316,Sheet2!$A$2:$R$3432,2,0)</f>
        <v>2025-02-05 20:34:38</v>
      </c>
      <c r="C1316" s="5" t="s">
        <v>25</v>
      </c>
      <c r="D1316" s="6" t="s">
        <v>25</v>
      </c>
      <c r="E1316" s="7">
        <f>VLOOKUP(A1316,Sheet2!$A$2:$R$3432,4,0)</f>
        <v>9823751917</v>
      </c>
      <c r="F1316" s="7" t="str">
        <f>VLOOKUP(A1316,Sheet2!$A$2:$R$3432,3,0)</f>
        <v>PRATIK KANSE</v>
      </c>
      <c r="G1316" s="5" t="s">
        <v>25</v>
      </c>
      <c r="H1316" s="5" t="s">
        <v>25</v>
      </c>
      <c r="I1316" s="5" t="s">
        <v>25</v>
      </c>
      <c r="J1316" s="5" t="s">
        <v>25</v>
      </c>
      <c r="K1316" s="7" t="str">
        <f>VLOOKUP(A1316,Sheet2!$A$2:$R$3432,6,0)</f>
        <v>Yamaha Ray Z</v>
      </c>
      <c r="L1316" s="5" t="s">
        <v>25</v>
      </c>
      <c r="M1316" s="7" t="str">
        <f>VLOOKUP(A1316,Sheet2!$A$2:$R$3432,5,0)</f>
        <v>MH09DB8139</v>
      </c>
      <c r="N1316" s="5" t="s">
        <v>25</v>
      </c>
      <c r="O1316" s="5" t="s">
        <v>25</v>
      </c>
      <c r="P1316" s="6" t="s">
        <v>25</v>
      </c>
      <c r="Q1316" s="5" t="s">
        <v>25</v>
      </c>
      <c r="R1316" s="5" t="s">
        <v>25</v>
      </c>
      <c r="S1316" s="5" t="str">
        <f>VLOOKUP(A1316,Sheet2!$A$2:$R$3432,18,0)</f>
        <v>2N1067093</v>
      </c>
      <c r="T1316" s="7" t="str">
        <f>VLOOKUP(A1316,Sheet2!$A$2:$R$3432,17,0)</f>
        <v>ME12NC01AD2067095</v>
      </c>
    </row>
    <row r="1317" ht="15.75" customHeight="1">
      <c r="A1317" s="3" t="s">
        <v>1340</v>
      </c>
      <c r="B1317" s="4" t="str">
        <f>VLOOKUP(A1317,Sheet2!$A$2:$R$3432,2,0)</f>
        <v>2025-02-05 20:40:57</v>
      </c>
      <c r="C1317" s="5" t="s">
        <v>25</v>
      </c>
      <c r="D1317" s="6" t="s">
        <v>25</v>
      </c>
      <c r="E1317" s="7">
        <f>VLOOKUP(A1317,Sheet2!$A$2:$R$3432,4,0)</f>
        <v>9923054555</v>
      </c>
      <c r="F1317" s="7" t="str">
        <f>VLOOKUP(A1317,Sheet2!$A$2:$R$3432,3,0)</f>
        <v>Nikhil</v>
      </c>
      <c r="G1317" s="5" t="s">
        <v>25</v>
      </c>
      <c r="H1317" s="5" t="s">
        <v>25</v>
      </c>
      <c r="I1317" s="5" t="s">
        <v>25</v>
      </c>
      <c r="J1317" s="5" t="s">
        <v>25</v>
      </c>
      <c r="K1317" s="7" t="str">
        <f>VLOOKUP(A1317,Sheet2!$A$2:$R$3432,6,0)</f>
        <v>Yamaha Ray </v>
      </c>
      <c r="L1317" s="5" t="s">
        <v>25</v>
      </c>
      <c r="M1317" s="7" t="str">
        <f>VLOOKUP(A1317,Sheet2!$A$2:$R$3432,5,0)</f>
        <v>MH12KG3615</v>
      </c>
      <c r="N1317" s="5" t="s">
        <v>25</v>
      </c>
      <c r="O1317" s="5" t="s">
        <v>25</v>
      </c>
      <c r="P1317" s="6" t="s">
        <v>25</v>
      </c>
      <c r="Q1317" s="5" t="s">
        <v>25</v>
      </c>
      <c r="R1317" s="5" t="s">
        <v>25</v>
      </c>
      <c r="S1317" s="7" t="str">
        <f>VLOOKUP(A1317,Sheet2!$A$2:$R$3432,18,0)</f>
        <v/>
      </c>
      <c r="T1317" s="7" t="str">
        <f>VLOOKUP(A1317,Sheet2!$A$2:$R$3432,17,0)</f>
        <v/>
      </c>
    </row>
    <row r="1318" ht="15.75" customHeight="1">
      <c r="A1318" s="3" t="s">
        <v>1341</v>
      </c>
      <c r="B1318" s="4" t="str">
        <f>VLOOKUP(A1318,Sheet2!$A$2:$R$3432,2,0)</f>
        <v>2025-02-05 20:40:22</v>
      </c>
      <c r="C1318" s="5" t="s">
        <v>25</v>
      </c>
      <c r="D1318" s="6" t="s">
        <v>25</v>
      </c>
      <c r="E1318" s="7">
        <f>VLOOKUP(A1318,Sheet2!$A$2:$R$3432,4,0)</f>
        <v>7999037534</v>
      </c>
      <c r="F1318" s="7" t="str">
        <f>VLOOKUP(A1318,Sheet2!$A$2:$R$3432,3,0)</f>
        <v>RISHBH </v>
      </c>
      <c r="G1318" s="5" t="s">
        <v>25</v>
      </c>
      <c r="H1318" s="5" t="s">
        <v>25</v>
      </c>
      <c r="I1318" s="5" t="s">
        <v>25</v>
      </c>
      <c r="J1318" s="5" t="s">
        <v>25</v>
      </c>
      <c r="K1318" s="7" t="str">
        <f>VLOOKUP(A1318,Sheet2!$A$2:$R$3432,6,0)</f>
        <v>Honda Activa 4G</v>
      </c>
      <c r="L1318" s="5" t="s">
        <v>25</v>
      </c>
      <c r="M1318" s="7" t="str">
        <f>VLOOKUP(A1318,Sheet2!$A$2:$R$3432,5,0)</f>
        <v>CG07BK6110</v>
      </c>
      <c r="N1318" s="5" t="s">
        <v>25</v>
      </c>
      <c r="O1318" s="5" t="s">
        <v>25</v>
      </c>
      <c r="P1318" s="6" t="s">
        <v>25</v>
      </c>
      <c r="Q1318" s="5" t="s">
        <v>25</v>
      </c>
      <c r="R1318" s="5" t="s">
        <v>25</v>
      </c>
      <c r="S1318" s="5" t="str">
        <f>VLOOKUP(A1318,Sheet2!$A$2:$R$3432,18,0)</f>
        <v>JF50E7981042</v>
      </c>
      <c r="T1318" s="7" t="str">
        <f>VLOOKUP(A1318,Sheet2!$A$2:$R$3432,17,0)</f>
        <v>ME4JF50CBJJ81034</v>
      </c>
    </row>
    <row r="1319" ht="15.75" customHeight="1">
      <c r="A1319" s="3" t="s">
        <v>1342</v>
      </c>
      <c r="B1319" s="4" t="str">
        <f>VLOOKUP(A1319,Sheet2!$A$2:$R$3432,2,0)</f>
        <v>2025-02-05 20:40:37</v>
      </c>
      <c r="C1319" s="5" t="s">
        <v>25</v>
      </c>
      <c r="D1319" s="6" t="s">
        <v>25</v>
      </c>
      <c r="E1319" s="7">
        <f>VLOOKUP(A1319,Sheet2!$A$2:$R$3432,4,0)</f>
        <v>9987441077</v>
      </c>
      <c r="F1319" s="7" t="str">
        <f>VLOOKUP(A1319,Sheet2!$A$2:$R$3432,3,0)</f>
        <v>VAIBHAV PUDAGE</v>
      </c>
      <c r="G1319" s="5" t="s">
        <v>25</v>
      </c>
      <c r="H1319" s="5" t="s">
        <v>25</v>
      </c>
      <c r="I1319" s="5" t="s">
        <v>25</v>
      </c>
      <c r="J1319" s="5" t="s">
        <v>25</v>
      </c>
      <c r="K1319" s="7" t="str">
        <f>VLOOKUP(A1319,Sheet2!$A$2:$R$3432,6,0)</f>
        <v>TVS Jupiter 125</v>
      </c>
      <c r="L1319" s="5" t="s">
        <v>25</v>
      </c>
      <c r="M1319" s="7" t="str">
        <f>VLOOKUP(A1319,Sheet2!$A$2:$R$3432,5,0)</f>
        <v>MH14JV4790</v>
      </c>
      <c r="N1319" s="5" t="s">
        <v>25</v>
      </c>
      <c r="O1319" s="5" t="s">
        <v>25</v>
      </c>
      <c r="P1319" s="6" t="s">
        <v>25</v>
      </c>
      <c r="Q1319" s="5" t="s">
        <v>25</v>
      </c>
      <c r="R1319" s="5" t="s">
        <v>25</v>
      </c>
      <c r="S1319" s="7" t="str">
        <f>VLOOKUP(A1319,Sheet2!$A$2:$R$3432,18,0)</f>
        <v/>
      </c>
      <c r="T1319" s="7" t="str">
        <f>VLOOKUP(A1319,Sheet2!$A$2:$R$3432,17,0)</f>
        <v/>
      </c>
    </row>
    <row r="1320" ht="15.75" customHeight="1">
      <c r="A1320" s="3" t="s">
        <v>1343</v>
      </c>
      <c r="B1320" s="4" t="str">
        <f>VLOOKUP(A1320,Sheet2!$A$2:$R$3432,2,0)</f>
        <v>2025-02-05 20:37:25</v>
      </c>
      <c r="C1320" s="5" t="s">
        <v>25</v>
      </c>
      <c r="D1320" s="6" t="s">
        <v>25</v>
      </c>
      <c r="E1320" s="7">
        <f>VLOOKUP(A1320,Sheet2!$A$2:$R$3432,4,0)</f>
        <v>9422659013</v>
      </c>
      <c r="F1320" s="7" t="str">
        <f>VLOOKUP(A1320,Sheet2!$A$2:$R$3432,3,0)</f>
        <v>AKASH DHOLE</v>
      </c>
      <c r="G1320" s="5" t="s">
        <v>25</v>
      </c>
      <c r="H1320" s="5" t="s">
        <v>25</v>
      </c>
      <c r="I1320" s="5" t="s">
        <v>25</v>
      </c>
      <c r="J1320" s="5" t="s">
        <v>25</v>
      </c>
      <c r="K1320" s="7" t="str">
        <f>VLOOKUP(A1320,Sheet2!$A$2:$R$3432,6,0)</f>
        <v>Hero Glamour No Data</v>
      </c>
      <c r="L1320" s="5" t="s">
        <v>25</v>
      </c>
      <c r="M1320" s="7" t="str">
        <f>VLOOKUP(A1320,Sheet2!$A$2:$R$3432,5,0)</f>
        <v>MH32V2161</v>
      </c>
      <c r="N1320" s="5" t="s">
        <v>25</v>
      </c>
      <c r="O1320" s="5" t="s">
        <v>25</v>
      </c>
      <c r="P1320" s="6" t="s">
        <v>25</v>
      </c>
      <c r="Q1320" s="5" t="s">
        <v>25</v>
      </c>
      <c r="R1320" s="5" t="s">
        <v>25</v>
      </c>
      <c r="S1320" s="5" t="str">
        <f>VLOOKUP(A1320,Sheet2!$A$2:$R$3432,18,0)</f>
        <v>JA06EFCGA22829</v>
      </c>
      <c r="T1320" s="7" t="str">
        <f>VLOOKUP(A1320,Sheet2!$A$2:$R$3432,17,0)</f>
        <v>MBLJA06EUCGA28767</v>
      </c>
    </row>
    <row r="1321" ht="15.75" customHeight="1">
      <c r="A1321" s="3" t="s">
        <v>1344</v>
      </c>
      <c r="B1321" s="4" t="str">
        <f>VLOOKUP(A1321,Sheet2!$A$2:$R$3432,2,0)</f>
        <v>2025-05-17 10:19:03</v>
      </c>
      <c r="C1321" s="5" t="s">
        <v>25</v>
      </c>
      <c r="D1321" s="6" t="s">
        <v>25</v>
      </c>
      <c r="E1321" s="7">
        <f>VLOOKUP(A1321,Sheet2!$A$2:$R$3432,4,0)</f>
        <v>9822327439</v>
      </c>
      <c r="F1321" s="7" t="str">
        <f>VLOOKUP(A1321,Sheet2!$A$2:$R$3432,3,0)</f>
        <v>Madhukar Bharti</v>
      </c>
      <c r="G1321" s="5" t="s">
        <v>25</v>
      </c>
      <c r="H1321" s="5" t="s">
        <v>25</v>
      </c>
      <c r="I1321" s="5" t="s">
        <v>25</v>
      </c>
      <c r="J1321" s="5" t="s">
        <v>25</v>
      </c>
      <c r="K1321" s="7" t="str">
        <f>VLOOKUP(A1321,Sheet2!$A$2:$R$3432,6,0)</f>
        <v>Honda Shine </v>
      </c>
      <c r="L1321" s="5" t="s">
        <v>25</v>
      </c>
      <c r="M1321" s="7" t="str">
        <f>VLOOKUP(A1321,Sheet2!$A$2:$R$3432,5,0)</f>
        <v>MH14HH1059</v>
      </c>
      <c r="N1321" s="5" t="s">
        <v>25</v>
      </c>
      <c r="O1321" s="5" t="s">
        <v>25</v>
      </c>
      <c r="P1321" s="6" t="s">
        <v>25</v>
      </c>
      <c r="Q1321" s="5" t="s">
        <v>25</v>
      </c>
      <c r="R1321" s="5" t="s">
        <v>25</v>
      </c>
      <c r="S1321" s="5" t="str">
        <f>VLOOKUP(A1321,Sheet2!$A$2:$R$3432,18,0)</f>
        <v>JC65E72383041</v>
      </c>
      <c r="T1321" s="7" t="str">
        <f>VLOOKUP(A1321,Sheet2!$A$2:$R$3432,17,0)</f>
        <v>ME4JC65ALJ7244462</v>
      </c>
    </row>
    <row r="1322" ht="15.75" customHeight="1">
      <c r="A1322" s="3" t="s">
        <v>1345</v>
      </c>
      <c r="B1322" s="4" t="str">
        <f>VLOOKUP(A1322,Sheet2!$A$2:$R$3432,2,0)</f>
        <v>2025-05-17 11:46:04</v>
      </c>
      <c r="C1322" s="5" t="s">
        <v>25</v>
      </c>
      <c r="D1322" s="6" t="s">
        <v>25</v>
      </c>
      <c r="E1322" s="7">
        <f>VLOOKUP(A1322,Sheet2!$A$2:$R$3432,4,0)</f>
        <v>9049002184</v>
      </c>
      <c r="F1322" s="7" t="str">
        <f>VLOOKUP(A1322,Sheet2!$A$2:$R$3432,3,0)</f>
        <v>Kiran Patil</v>
      </c>
      <c r="G1322" s="5" t="s">
        <v>25</v>
      </c>
      <c r="H1322" s="5" t="s">
        <v>25</v>
      </c>
      <c r="I1322" s="5" t="s">
        <v>25</v>
      </c>
      <c r="J1322" s="5" t="s">
        <v>25</v>
      </c>
      <c r="K1322" s="7" t="str">
        <f>VLOOKUP(A1322,Sheet2!$A$2:$R$3432,6,0)</f>
        <v>TVS Wego Basic</v>
      </c>
      <c r="L1322" s="5" t="s">
        <v>25</v>
      </c>
      <c r="M1322" s="7" t="str">
        <f>VLOOKUP(A1322,Sheet2!$A$2:$R$3432,5,0)</f>
        <v>MH17AM2887</v>
      </c>
      <c r="N1322" s="5" t="s">
        <v>25</v>
      </c>
      <c r="O1322" s="5" t="s">
        <v>25</v>
      </c>
      <c r="P1322" s="6" t="s">
        <v>25</v>
      </c>
      <c r="Q1322" s="5" t="s">
        <v>25</v>
      </c>
      <c r="R1322" s="5" t="s">
        <v>25</v>
      </c>
      <c r="S1322" s="5" t="str">
        <f>VLOOKUP(A1322,Sheet2!$A$2:$R$3432,18,0)</f>
        <v>BG4CB1128451</v>
      </c>
      <c r="T1322" s="7" t="str">
        <f>VLOOKUP(A1322,Sheet2!$A$2:$R$3432,17,0)</f>
        <v>MD626AG47B1C25966</v>
      </c>
    </row>
    <row r="1323" ht="15.75" customHeight="1">
      <c r="A1323" s="3" t="s">
        <v>1346</v>
      </c>
      <c r="B1323" s="4" t="str">
        <f>VLOOKUP(A1323,Sheet2!$A$2:$R$3432,2,0)</f>
        <v>2025-05-17 12:46:46</v>
      </c>
      <c r="C1323" s="5" t="s">
        <v>25</v>
      </c>
      <c r="D1323" s="6" t="s">
        <v>25</v>
      </c>
      <c r="E1323" s="7">
        <f>VLOOKUP(A1323,Sheet2!$A$2:$R$3432,4,0)</f>
        <v>9405944951</v>
      </c>
      <c r="F1323" s="7" t="str">
        <f>VLOOKUP(A1323,Sheet2!$A$2:$R$3432,3,0)</f>
        <v>ANOOP AGRAWAL</v>
      </c>
      <c r="G1323" s="5" t="s">
        <v>25</v>
      </c>
      <c r="H1323" s="5" t="s">
        <v>25</v>
      </c>
      <c r="I1323" s="5" t="s">
        <v>25</v>
      </c>
      <c r="J1323" s="5" t="s">
        <v>25</v>
      </c>
      <c r="K1323" s="7" t="str">
        <f>VLOOKUP(A1323,Sheet2!$A$2:$R$3432,6,0)</f>
        <v>Honda Shine </v>
      </c>
      <c r="L1323" s="5" t="s">
        <v>25</v>
      </c>
      <c r="M1323" s="7" t="str">
        <f>VLOOKUP(A1323,Sheet2!$A$2:$R$3432,5,0)</f>
        <v>MH14FE0275</v>
      </c>
      <c r="N1323" s="5" t="s">
        <v>25</v>
      </c>
      <c r="O1323" s="5" t="s">
        <v>25</v>
      </c>
      <c r="P1323" s="6" t="s">
        <v>25</v>
      </c>
      <c r="Q1323" s="5" t="s">
        <v>25</v>
      </c>
      <c r="R1323" s="5" t="s">
        <v>25</v>
      </c>
      <c r="S1323" s="5" t="str">
        <f>VLOOKUP(A1323,Sheet2!$A$2:$R$3432,18,0)</f>
        <v>JC65ET0117306</v>
      </c>
      <c r="T1323" s="7" t="str">
        <f>VLOOKUP(A1323,Sheet2!$A$2:$R$3432,17,0)</f>
        <v>ME4JC651HET081965</v>
      </c>
    </row>
    <row r="1324" ht="15.75" customHeight="1">
      <c r="A1324" s="3" t="s">
        <v>1347</v>
      </c>
      <c r="B1324" s="4" t="str">
        <f>VLOOKUP(A1324,Sheet2!$A$2:$R$3432,2,0)</f>
        <v>2025-05-17 12:24:26</v>
      </c>
      <c r="C1324" s="5" t="s">
        <v>25</v>
      </c>
      <c r="D1324" s="6" t="s">
        <v>25</v>
      </c>
      <c r="E1324" s="7">
        <f>VLOOKUP(A1324,Sheet2!$A$2:$R$3432,4,0)</f>
        <v>9834723980</v>
      </c>
      <c r="F1324" s="7" t="str">
        <f>VLOOKUP(A1324,Sheet2!$A$2:$R$3432,3,0)</f>
        <v>Satish Gaikwad </v>
      </c>
      <c r="G1324" s="5" t="s">
        <v>25</v>
      </c>
      <c r="H1324" s="5" t="s">
        <v>25</v>
      </c>
      <c r="I1324" s="5" t="s">
        <v>25</v>
      </c>
      <c r="J1324" s="5" t="s">
        <v>25</v>
      </c>
      <c r="K1324" s="7" t="str">
        <f>VLOOKUP(A1324,Sheet2!$A$2:$R$3432,6,0)</f>
        <v>Bajaj Chetak Electric</v>
      </c>
      <c r="L1324" s="5" t="s">
        <v>25</v>
      </c>
      <c r="M1324" s="7" t="str">
        <f>VLOOKUP(A1324,Sheet2!$A$2:$R$3432,5,0)</f>
        <v>MH14LK9439</v>
      </c>
      <c r="N1324" s="5" t="s">
        <v>25</v>
      </c>
      <c r="O1324" s="5" t="s">
        <v>25</v>
      </c>
      <c r="P1324" s="6" t="s">
        <v>25</v>
      </c>
      <c r="Q1324" s="5" t="s">
        <v>25</v>
      </c>
      <c r="R1324" s="5" t="s">
        <v>25</v>
      </c>
      <c r="S1324" s="7" t="str">
        <f>VLOOKUP(A1324,Sheet2!$A$2:$R$3432,18,0)</f>
        <v/>
      </c>
      <c r="T1324" s="7" t="str">
        <f>VLOOKUP(A1324,Sheet2!$A$2:$R$3432,17,0)</f>
        <v/>
      </c>
    </row>
    <row r="1325" ht="15.75" customHeight="1">
      <c r="A1325" s="3" t="s">
        <v>1348</v>
      </c>
      <c r="B1325" s="4" t="str">
        <f>VLOOKUP(A1325,Sheet2!$A$2:$R$3432,2,0)</f>
        <v>2025-05-17 17:51:45</v>
      </c>
      <c r="C1325" s="5" t="s">
        <v>25</v>
      </c>
      <c r="D1325" s="6" t="s">
        <v>25</v>
      </c>
      <c r="E1325" s="7">
        <f>VLOOKUP(A1325,Sheet2!$A$2:$R$3432,4,0)</f>
        <v>8275555995</v>
      </c>
      <c r="F1325" s="7" t="str">
        <f>VLOOKUP(A1325,Sheet2!$A$2:$R$3432,3,0)</f>
        <v>Yash</v>
      </c>
      <c r="G1325" s="5" t="s">
        <v>25</v>
      </c>
      <c r="H1325" s="5" t="s">
        <v>25</v>
      </c>
      <c r="I1325" s="5" t="s">
        <v>25</v>
      </c>
      <c r="J1325" s="5" t="s">
        <v>25</v>
      </c>
      <c r="K1325" s="7" t="str">
        <f>VLOOKUP(A1325,Sheet2!$A$2:$R$3432,6,0)</f>
        <v>Honda Shine No Data</v>
      </c>
      <c r="L1325" s="5" t="s">
        <v>25</v>
      </c>
      <c r="M1325" s="7" t="str">
        <f>VLOOKUP(A1325,Sheet2!$A$2:$R$3432,5,0)</f>
        <v>MH29BM0079</v>
      </c>
      <c r="N1325" s="5" t="s">
        <v>25</v>
      </c>
      <c r="O1325" s="5" t="s">
        <v>25</v>
      </c>
      <c r="P1325" s="6" t="s">
        <v>25</v>
      </c>
      <c r="Q1325" s="5" t="s">
        <v>25</v>
      </c>
      <c r="R1325" s="5" t="s">
        <v>25</v>
      </c>
      <c r="S1325" s="7" t="str">
        <f>VLOOKUP(A1325,Sheet2!$A$2:$R$3432,18,0)</f>
        <v/>
      </c>
      <c r="T1325" s="7" t="str">
        <f>VLOOKUP(A1325,Sheet2!$A$2:$R$3432,17,0)</f>
        <v/>
      </c>
    </row>
    <row r="1326" ht="15.75" customHeight="1">
      <c r="A1326" s="3" t="s">
        <v>1349</v>
      </c>
      <c r="B1326" s="4" t="str">
        <f>VLOOKUP(A1326,Sheet2!$A$2:$R$3432,2,0)</f>
        <v>2025-05-17 19:49:09</v>
      </c>
      <c r="C1326" s="5" t="s">
        <v>25</v>
      </c>
      <c r="D1326" s="6" t="s">
        <v>25</v>
      </c>
      <c r="E1326" s="7">
        <f>VLOOKUP(A1326,Sheet2!$A$2:$R$3432,4,0)</f>
        <v>9011654177</v>
      </c>
      <c r="F1326" s="7" t="str">
        <f>VLOOKUP(A1326,Sheet2!$A$2:$R$3432,3,0)</f>
        <v>Ajay Chaudhary </v>
      </c>
      <c r="G1326" s="5" t="s">
        <v>25</v>
      </c>
      <c r="H1326" s="5" t="s">
        <v>25</v>
      </c>
      <c r="I1326" s="5" t="s">
        <v>25</v>
      </c>
      <c r="J1326" s="5" t="s">
        <v>25</v>
      </c>
      <c r="K1326" s="7" t="str">
        <f>VLOOKUP(A1326,Sheet2!$A$2:$R$3432,6,0)</f>
        <v>Bajaj Avenger 160 Street</v>
      </c>
      <c r="L1326" s="5" t="s">
        <v>25</v>
      </c>
      <c r="M1326" s="7" t="str">
        <f>VLOOKUP(A1326,Sheet2!$A$2:$R$3432,5,0)</f>
        <v>MH20FS7375</v>
      </c>
      <c r="N1326" s="5" t="s">
        <v>25</v>
      </c>
      <c r="O1326" s="5" t="s">
        <v>25</v>
      </c>
      <c r="P1326" s="6" t="s">
        <v>25</v>
      </c>
      <c r="Q1326" s="5" t="s">
        <v>25</v>
      </c>
      <c r="R1326" s="5" t="s">
        <v>25</v>
      </c>
      <c r="S1326" s="5" t="str">
        <f>VLOOKUP(A1326,Sheet2!$A$2:$R$3432,18,0)</f>
        <v>PDXCLG35076</v>
      </c>
      <c r="T1326" s="7" t="str">
        <f>VLOOKUP(A1326,Sheet2!$A$2:$R$3432,17,0)</f>
        <v>MD2B57CX4LCH26973</v>
      </c>
    </row>
    <row r="1327" ht="15.75" customHeight="1">
      <c r="A1327" s="3" t="s">
        <v>1350</v>
      </c>
      <c r="B1327" s="4" t="str">
        <f>VLOOKUP(A1327,Sheet2!$A$2:$R$3432,2,0)</f>
        <v>2025-05-17 19:51:47</v>
      </c>
      <c r="C1327" s="5" t="s">
        <v>25</v>
      </c>
      <c r="D1327" s="6" t="s">
        <v>25</v>
      </c>
      <c r="E1327" s="7">
        <f>VLOOKUP(A1327,Sheet2!$A$2:$R$3432,4,0)</f>
        <v>7529960144</v>
      </c>
      <c r="F1327" s="7" t="str">
        <f>VLOOKUP(A1327,Sheet2!$A$2:$R$3432,3,0)</f>
        <v>Venkatesh</v>
      </c>
      <c r="G1327" s="5" t="s">
        <v>25</v>
      </c>
      <c r="H1327" s="5" t="s">
        <v>25</v>
      </c>
      <c r="I1327" s="5" t="s">
        <v>25</v>
      </c>
      <c r="J1327" s="5" t="s">
        <v>25</v>
      </c>
      <c r="K1327" s="7" t="str">
        <f>VLOOKUP(A1327,Sheet2!$A$2:$R$3432,6,0)</f>
        <v>Royal Enfield ELECTRA 350</v>
      </c>
      <c r="L1327" s="5" t="s">
        <v>25</v>
      </c>
      <c r="M1327" s="7" t="str">
        <f>VLOOKUP(A1327,Sheet2!$A$2:$R$3432,5,0)</f>
        <v>MH14DL9323</v>
      </c>
      <c r="N1327" s="5" t="s">
        <v>25</v>
      </c>
      <c r="O1327" s="5" t="s">
        <v>25</v>
      </c>
      <c r="P1327" s="6" t="s">
        <v>25</v>
      </c>
      <c r="Q1327" s="5" t="s">
        <v>25</v>
      </c>
      <c r="R1327" s="5" t="s">
        <v>25</v>
      </c>
      <c r="S1327" s="7" t="str">
        <f>VLOOKUP(A1327,Sheet2!$A$2:$R$3432,18,0)</f>
        <v/>
      </c>
      <c r="T1327" s="7" t="str">
        <f>VLOOKUP(A1327,Sheet2!$A$2:$R$3432,17,0)</f>
        <v/>
      </c>
    </row>
    <row r="1328" ht="15.75" customHeight="1">
      <c r="A1328" s="3" t="s">
        <v>1351</v>
      </c>
      <c r="B1328" s="4" t="str">
        <f>VLOOKUP(A1328,Sheet2!$A$2:$R$3432,2,0)</f>
        <v>2025-05-17 19:52:12</v>
      </c>
      <c r="C1328" s="5" t="s">
        <v>25</v>
      </c>
      <c r="D1328" s="6" t="s">
        <v>25</v>
      </c>
      <c r="E1328" s="7">
        <f>VLOOKUP(A1328,Sheet2!$A$2:$R$3432,4,0)</f>
        <v>8999834707</v>
      </c>
      <c r="F1328" s="7" t="str">
        <f>VLOOKUP(A1328,Sheet2!$A$2:$R$3432,3,0)</f>
        <v>Hrishikesh Nawale</v>
      </c>
      <c r="G1328" s="5" t="s">
        <v>25</v>
      </c>
      <c r="H1328" s="5" t="s">
        <v>25</v>
      </c>
      <c r="I1328" s="5" t="s">
        <v>25</v>
      </c>
      <c r="J1328" s="5" t="s">
        <v>25</v>
      </c>
      <c r="K1328" s="7" t="str">
        <f>VLOOKUP(A1328,Sheet2!$A$2:$R$3432,6,0)</f>
        <v>Yamaha MT 15</v>
      </c>
      <c r="L1328" s="5" t="s">
        <v>25</v>
      </c>
      <c r="M1328" s="7" t="str">
        <f>VLOOKUP(A1328,Sheet2!$A$2:$R$3432,5,0)</f>
        <v>MH11DF8181</v>
      </c>
      <c r="N1328" s="5" t="s">
        <v>25</v>
      </c>
      <c r="O1328" s="5" t="s">
        <v>25</v>
      </c>
      <c r="P1328" s="6" t="s">
        <v>25</v>
      </c>
      <c r="Q1328" s="5" t="s">
        <v>25</v>
      </c>
      <c r="R1328" s="5" t="s">
        <v>25</v>
      </c>
      <c r="S1328" s="5" t="str">
        <f>VLOOKUP(A1328,Sheet2!$A$2:$R$3432,18,0)</f>
        <v>G3N4E0287472</v>
      </c>
      <c r="T1328" s="7" t="str">
        <f>VLOOKUP(A1328,Sheet2!$A$2:$R$3432,17,0)</f>
        <v>ME1RG6825N0015036</v>
      </c>
    </row>
    <row r="1329" ht="15.75" customHeight="1">
      <c r="A1329" s="3" t="s">
        <v>1352</v>
      </c>
      <c r="B1329" s="4" t="str">
        <f>VLOOKUP(A1329,Sheet2!$A$2:$R$3432,2,0)</f>
        <v>2025-05-17 19:55:43</v>
      </c>
      <c r="C1329" s="5" t="s">
        <v>25</v>
      </c>
      <c r="D1329" s="6" t="s">
        <v>25</v>
      </c>
      <c r="E1329" s="7">
        <f>VLOOKUP(A1329,Sheet2!$A$2:$R$3432,4,0)</f>
        <v>9822858252</v>
      </c>
      <c r="F1329" s="7" t="str">
        <f>VLOOKUP(A1329,Sheet2!$A$2:$R$3432,3,0)</f>
        <v>Sampat Pathare</v>
      </c>
      <c r="G1329" s="5" t="s">
        <v>25</v>
      </c>
      <c r="H1329" s="5" t="s">
        <v>25</v>
      </c>
      <c r="I1329" s="5" t="s">
        <v>25</v>
      </c>
      <c r="J1329" s="5" t="s">
        <v>25</v>
      </c>
      <c r="K1329" s="7" t="str">
        <f>VLOOKUP(A1329,Sheet2!$A$2:$R$3432,6,0)</f>
        <v>Honda Shine </v>
      </c>
      <c r="L1329" s="5" t="s">
        <v>25</v>
      </c>
      <c r="M1329" s="7" t="str">
        <f>VLOOKUP(A1329,Sheet2!$A$2:$R$3432,5,0)</f>
        <v>MH14EQ8940</v>
      </c>
      <c r="N1329" s="5" t="s">
        <v>25</v>
      </c>
      <c r="O1329" s="5" t="s">
        <v>25</v>
      </c>
      <c r="P1329" s="6" t="s">
        <v>25</v>
      </c>
      <c r="Q1329" s="5" t="s">
        <v>25</v>
      </c>
      <c r="R1329" s="5" t="s">
        <v>25</v>
      </c>
      <c r="S1329" s="5" t="str">
        <f>VLOOKUP(A1329,Sheet2!$A$2:$R$3432,18,0)</f>
        <v>JC36E73686663</v>
      </c>
      <c r="T1329" s="7" t="str">
        <f>VLOOKUP(A1329,Sheet2!$A$2:$R$3432,17,0)</f>
        <v>ME4JC36NJE7085163</v>
      </c>
    </row>
    <row r="1330" ht="15.75" customHeight="1">
      <c r="A1330" s="3" t="s">
        <v>1353</v>
      </c>
      <c r="B1330" s="4" t="str">
        <f>VLOOKUP(A1330,Sheet2!$A$2:$R$3432,2,0)</f>
        <v>2025-05-17 19:56:07</v>
      </c>
      <c r="C1330" s="5" t="s">
        <v>25</v>
      </c>
      <c r="D1330" s="6" t="s">
        <v>25</v>
      </c>
      <c r="E1330" s="7">
        <f>VLOOKUP(A1330,Sheet2!$A$2:$R$3432,4,0)</f>
        <v>8180990186</v>
      </c>
      <c r="F1330" s="7" t="str">
        <f>VLOOKUP(A1330,Sheet2!$A$2:$R$3432,3,0)</f>
        <v>ANKIT</v>
      </c>
      <c r="G1330" s="5" t="s">
        <v>25</v>
      </c>
      <c r="H1330" s="5" t="s">
        <v>25</v>
      </c>
      <c r="I1330" s="5" t="s">
        <v>25</v>
      </c>
      <c r="J1330" s="5" t="s">
        <v>25</v>
      </c>
      <c r="K1330" s="7" t="str">
        <f>VLOOKUP(A1330,Sheet2!$A$2:$R$3432,6,0)</f>
        <v>Honda Livo </v>
      </c>
      <c r="L1330" s="5" t="s">
        <v>25</v>
      </c>
      <c r="M1330" s="7" t="str">
        <f>VLOOKUP(A1330,Sheet2!$A$2:$R$3432,5,0)</f>
        <v>MH12RS9550</v>
      </c>
      <c r="N1330" s="5" t="s">
        <v>25</v>
      </c>
      <c r="O1330" s="5" t="s">
        <v>25</v>
      </c>
      <c r="P1330" s="6" t="s">
        <v>25</v>
      </c>
      <c r="Q1330" s="5" t="s">
        <v>25</v>
      </c>
      <c r="R1330" s="5" t="s">
        <v>25</v>
      </c>
      <c r="S1330" s="5" t="str">
        <f>VLOOKUP(A1330,Sheet2!$A$2:$R$3432,18,0)</f>
        <v>JC71ET3168190</v>
      </c>
      <c r="T1330" s="7" t="str">
        <f>VLOOKUP(A1330,Sheet2!$A$2:$R$3432,17,0)</f>
        <v>ME4JC71ACKT011737</v>
      </c>
    </row>
    <row r="1331" ht="15.75" customHeight="1">
      <c r="A1331" s="3" t="s">
        <v>1354</v>
      </c>
      <c r="B1331" s="4" t="str">
        <f>VLOOKUP(A1331,Sheet2!$A$2:$R$3432,2,0)</f>
        <v>2025-05-17 19:57:12</v>
      </c>
      <c r="C1331" s="5" t="s">
        <v>25</v>
      </c>
      <c r="D1331" s="6" t="s">
        <v>25</v>
      </c>
      <c r="E1331" s="7">
        <f>VLOOKUP(A1331,Sheet2!$A$2:$R$3432,4,0)</f>
        <v>9373172927</v>
      </c>
      <c r="F1331" s="7" t="str">
        <f>VLOOKUP(A1331,Sheet2!$A$2:$R$3432,3,0)</f>
        <v>SELU SINGH</v>
      </c>
      <c r="G1331" s="5" t="s">
        <v>25</v>
      </c>
      <c r="H1331" s="5" t="s">
        <v>25</v>
      </c>
      <c r="I1331" s="5" t="s">
        <v>25</v>
      </c>
      <c r="J1331" s="5" t="s">
        <v>25</v>
      </c>
      <c r="K1331" s="7" t="str">
        <f>VLOOKUP(A1331,Sheet2!$A$2:$R$3432,6,0)</f>
        <v>Hero Splendor Pro</v>
      </c>
      <c r="L1331" s="5" t="s">
        <v>25</v>
      </c>
      <c r="M1331" s="7" t="str">
        <f>VLOOKUP(A1331,Sheet2!$A$2:$R$3432,5,0)</f>
        <v>MH14KX9208</v>
      </c>
      <c r="N1331" s="5" t="s">
        <v>25</v>
      </c>
      <c r="O1331" s="5" t="s">
        <v>25</v>
      </c>
      <c r="P1331" s="6" t="s">
        <v>25</v>
      </c>
      <c r="Q1331" s="5" t="s">
        <v>25</v>
      </c>
      <c r="R1331" s="5" t="s">
        <v>25</v>
      </c>
      <c r="S1331" s="5" t="str">
        <f>VLOOKUP(A1331,Sheet2!$A$2:$R$3432,18,0)</f>
        <v>HA11E8P4F09832</v>
      </c>
      <c r="T1331" s="7" t="str">
        <f>VLOOKUP(A1331,Sheet2!$A$2:$R$3432,17,0)</f>
        <v>MBLHAW228P4F12368</v>
      </c>
    </row>
    <row r="1332" ht="15.75" customHeight="1">
      <c r="A1332" s="3" t="s">
        <v>1355</v>
      </c>
      <c r="B1332" s="4" t="str">
        <f>VLOOKUP(A1332,Sheet2!$A$2:$R$3432,2,0)</f>
        <v>2025-05-17 20:09:59</v>
      </c>
      <c r="C1332" s="5" t="s">
        <v>25</v>
      </c>
      <c r="D1332" s="6" t="s">
        <v>25</v>
      </c>
      <c r="E1332" s="7">
        <f>VLOOKUP(A1332,Sheet2!$A$2:$R$3432,4,0)</f>
        <v>8867799921</v>
      </c>
      <c r="F1332" s="7" t="str">
        <f>VLOOKUP(A1332,Sheet2!$A$2:$R$3432,3,0)</f>
        <v>ALI </v>
      </c>
      <c r="G1332" s="5" t="s">
        <v>25</v>
      </c>
      <c r="H1332" s="5" t="s">
        <v>25</v>
      </c>
      <c r="I1332" s="5" t="s">
        <v>25</v>
      </c>
      <c r="J1332" s="5" t="s">
        <v>25</v>
      </c>
      <c r="K1332" s="7" t="str">
        <f>VLOOKUP(A1332,Sheet2!$A$2:$R$3432,6,0)</f>
        <v>Honda Aviator </v>
      </c>
      <c r="L1332" s="5" t="s">
        <v>25</v>
      </c>
      <c r="M1332" s="7" t="str">
        <f>VLOOKUP(A1332,Sheet2!$A$2:$R$3432,5,0)</f>
        <v>GJ05MH0397</v>
      </c>
      <c r="N1332" s="5" t="s">
        <v>25</v>
      </c>
      <c r="O1332" s="5" t="s">
        <v>25</v>
      </c>
      <c r="P1332" s="6" t="s">
        <v>25</v>
      </c>
      <c r="Q1332" s="5" t="s">
        <v>25</v>
      </c>
      <c r="R1332" s="5" t="s">
        <v>25</v>
      </c>
      <c r="S1332" s="5" t="str">
        <f>VLOOKUP(A1332,Sheet2!$A$2:$R$3432,18,0)</f>
        <v>JF21E80304848</v>
      </c>
      <c r="T1332" s="7" t="str">
        <f>VLOOKUP(A1332,Sheet2!$A$2:$R$3432,17,0)</f>
        <v>ME4JF21FE8255788</v>
      </c>
    </row>
    <row r="1333" ht="15.75" customHeight="1">
      <c r="A1333" s="3" t="s">
        <v>1356</v>
      </c>
      <c r="B1333" s="4" t="str">
        <f>VLOOKUP(A1333,Sheet2!$A$2:$R$3432,2,0)</f>
        <v>2025-07-11 20:26:33</v>
      </c>
      <c r="C1333" s="5" t="s">
        <v>25</v>
      </c>
      <c r="D1333" s="6" t="s">
        <v>25</v>
      </c>
      <c r="E1333" s="7">
        <f>VLOOKUP(A1333,Sheet2!$A$2:$R$3432,4,0)</f>
        <v>9960876618</v>
      </c>
      <c r="F1333" s="7" t="str">
        <f>VLOOKUP(A1333,Sheet2!$A$2:$R$3432,3,0)</f>
        <v>SANDIP </v>
      </c>
      <c r="G1333" s="5" t="s">
        <v>25</v>
      </c>
      <c r="H1333" s="5" t="s">
        <v>25</v>
      </c>
      <c r="I1333" s="5" t="s">
        <v>25</v>
      </c>
      <c r="J1333" s="5" t="s">
        <v>25</v>
      </c>
      <c r="K1333" s="7" t="str">
        <f>VLOOKUP(A1333,Sheet2!$A$2:$R$3432,6,0)</f>
        <v>Hero Pleasure </v>
      </c>
      <c r="L1333" s="5" t="s">
        <v>25</v>
      </c>
      <c r="M1333" s="7" t="str">
        <f>VLOOKUP(A1333,Sheet2!$A$2:$R$3432,5,0)</f>
        <v>MH14EE9206</v>
      </c>
      <c r="N1333" s="5" t="s">
        <v>25</v>
      </c>
      <c r="O1333" s="5" t="s">
        <v>25</v>
      </c>
      <c r="P1333" s="6" t="s">
        <v>25</v>
      </c>
      <c r="Q1333" s="5" t="s">
        <v>25</v>
      </c>
      <c r="R1333" s="5" t="s">
        <v>25</v>
      </c>
      <c r="S1333" s="7" t="str">
        <f>VLOOKUP(A1333,Sheet2!$A$2:$R$3432,18,0)</f>
        <v/>
      </c>
      <c r="T1333" s="7" t="str">
        <f>VLOOKUP(A1333,Sheet2!$A$2:$R$3432,17,0)</f>
        <v/>
      </c>
    </row>
    <row r="1334" ht="15.75" customHeight="1">
      <c r="A1334" s="3" t="s">
        <v>1357</v>
      </c>
      <c r="B1334" s="4" t="str">
        <f>VLOOKUP(A1334,Sheet2!$A$2:$R$3432,2,0)</f>
        <v>2025-07-11 20:22:41</v>
      </c>
      <c r="C1334" s="5" t="s">
        <v>25</v>
      </c>
      <c r="D1334" s="6" t="s">
        <v>25</v>
      </c>
      <c r="E1334" s="7">
        <f>VLOOKUP(A1334,Sheet2!$A$2:$R$3432,4,0)</f>
        <v>8149414243</v>
      </c>
      <c r="F1334" s="7" t="str">
        <f>VLOOKUP(A1334,Sheet2!$A$2:$R$3432,3,0)</f>
        <v>OMKAR DAGA</v>
      </c>
      <c r="G1334" s="5" t="s">
        <v>25</v>
      </c>
      <c r="H1334" s="5" t="s">
        <v>25</v>
      </c>
      <c r="I1334" s="5" t="s">
        <v>25</v>
      </c>
      <c r="J1334" s="5" t="s">
        <v>25</v>
      </c>
      <c r="K1334" s="7" t="str">
        <f>VLOOKUP(A1334,Sheet2!$A$2:$R$3432,6,0)</f>
        <v>Honda Activa 6G</v>
      </c>
      <c r="L1334" s="5" t="s">
        <v>25</v>
      </c>
      <c r="M1334" s="7" t="str">
        <f>VLOOKUP(A1334,Sheet2!$A$2:$R$3432,5,0)</f>
        <v>MH17CT5612</v>
      </c>
      <c r="N1334" s="5" t="s">
        <v>25</v>
      </c>
      <c r="O1334" s="5" t="s">
        <v>25</v>
      </c>
      <c r="P1334" s="6" t="s">
        <v>25</v>
      </c>
      <c r="Q1334" s="5" t="s">
        <v>25</v>
      </c>
      <c r="R1334" s="5" t="s">
        <v>25</v>
      </c>
      <c r="S1334" s="5" t="str">
        <f>VLOOKUP(A1334,Sheet2!$A$2:$R$3432,18,0)</f>
        <v>JF91EG60A0957</v>
      </c>
      <c r="T1334" s="7" t="str">
        <f>VLOOKUP(A1334,Sheet2!$A$2:$R$3432,17,0)</f>
        <v>ME4JF919BNG0205545</v>
      </c>
    </row>
    <row r="1335" ht="15.75" customHeight="1">
      <c r="A1335" s="3" t="s">
        <v>1358</v>
      </c>
      <c r="B1335" s="4" t="str">
        <f>VLOOKUP(A1335,Sheet2!$A$2:$R$3432,2,0)</f>
        <v>2025-07-11 20:23:26</v>
      </c>
      <c r="C1335" s="5" t="s">
        <v>25</v>
      </c>
      <c r="D1335" s="6" t="s">
        <v>25</v>
      </c>
      <c r="E1335" s="7">
        <f>VLOOKUP(A1335,Sheet2!$A$2:$R$3432,4,0)</f>
        <v>7841981343</v>
      </c>
      <c r="F1335" s="7" t="str">
        <f>VLOOKUP(A1335,Sheet2!$A$2:$R$3432,3,0)</f>
        <v>OMKAR DHAVALE</v>
      </c>
      <c r="G1335" s="5" t="s">
        <v>25</v>
      </c>
      <c r="H1335" s="5" t="s">
        <v>25</v>
      </c>
      <c r="I1335" s="5" t="s">
        <v>25</v>
      </c>
      <c r="J1335" s="5" t="s">
        <v>25</v>
      </c>
      <c r="K1335" s="7" t="str">
        <f>VLOOKUP(A1335,Sheet2!$A$2:$R$3432,6,0)</f>
        <v>TVS Apache RTR 200 4V</v>
      </c>
      <c r="L1335" s="5" t="s">
        <v>25</v>
      </c>
      <c r="M1335" s="7" t="str">
        <f>VLOOKUP(A1335,Sheet2!$A$2:$R$3432,5,0)</f>
        <v>MH14KX6224</v>
      </c>
      <c r="N1335" s="5" t="s">
        <v>25</v>
      </c>
      <c r="O1335" s="5" t="s">
        <v>25</v>
      </c>
      <c r="P1335" s="6" t="s">
        <v>25</v>
      </c>
      <c r="Q1335" s="5" t="s">
        <v>25</v>
      </c>
      <c r="R1335" s="5" t="s">
        <v>25</v>
      </c>
      <c r="S1335" s="7" t="str">
        <f>VLOOKUP(A1335,Sheet2!$A$2:$R$3432,18,0)</f>
        <v/>
      </c>
      <c r="T1335" s="7" t="str">
        <f>VLOOKUP(A1335,Sheet2!$A$2:$R$3432,17,0)</f>
        <v/>
      </c>
    </row>
    <row r="1336" ht="15.75" customHeight="1">
      <c r="A1336" s="3" t="s">
        <v>1359</v>
      </c>
      <c r="B1336" s="4" t="str">
        <f>VLOOKUP(A1336,Sheet2!$A$2:$R$3432,2,0)</f>
        <v>2025-07-11 20:24:00</v>
      </c>
      <c r="C1336" s="5" t="s">
        <v>25</v>
      </c>
      <c r="D1336" s="6" t="s">
        <v>25</v>
      </c>
      <c r="E1336" s="7">
        <f>VLOOKUP(A1336,Sheet2!$A$2:$R$3432,4,0)</f>
        <v>7715971770</v>
      </c>
      <c r="F1336" s="7" t="str">
        <f>VLOOKUP(A1336,Sheet2!$A$2:$R$3432,3,0)</f>
        <v>Vinayak Patil</v>
      </c>
      <c r="G1336" s="5" t="s">
        <v>25</v>
      </c>
      <c r="H1336" s="5" t="s">
        <v>25</v>
      </c>
      <c r="I1336" s="5" t="s">
        <v>25</v>
      </c>
      <c r="J1336" s="5" t="s">
        <v>25</v>
      </c>
      <c r="K1336" s="7" t="str">
        <f>VLOOKUP(A1336,Sheet2!$A$2:$R$3432,6,0)</f>
        <v>TVS Jupiter </v>
      </c>
      <c r="L1336" s="5" t="s">
        <v>25</v>
      </c>
      <c r="M1336" s="7" t="str">
        <f>VLOOKUP(A1336,Sheet2!$A$2:$R$3432,5,0)</f>
        <v>MH12SH5779</v>
      </c>
      <c r="N1336" s="5" t="s">
        <v>25</v>
      </c>
      <c r="O1336" s="5" t="s">
        <v>25</v>
      </c>
      <c r="P1336" s="6" t="s">
        <v>25</v>
      </c>
      <c r="Q1336" s="5" t="s">
        <v>25</v>
      </c>
      <c r="R1336" s="5" t="s">
        <v>25</v>
      </c>
      <c r="S1336" s="5" t="str">
        <f>VLOOKUP(A1336,Sheet2!$A$2:$R$3432,18,0)</f>
        <v>EG4NK1506171</v>
      </c>
      <c r="T1336" s="7" t="str">
        <f>VLOOKUP(A1336,Sheet2!$A$2:$R$3432,17,0)</f>
        <v>MD626EG46K1N13336</v>
      </c>
    </row>
    <row r="1337" ht="15.75" customHeight="1">
      <c r="A1337" s="3" t="s">
        <v>1360</v>
      </c>
      <c r="B1337" s="4" t="str">
        <f>VLOOKUP(A1337,Sheet2!$A$2:$R$3432,2,0)</f>
        <v>2025-07-11 20:24:35</v>
      </c>
      <c r="C1337" s="5" t="s">
        <v>25</v>
      </c>
      <c r="D1337" s="6" t="s">
        <v>25</v>
      </c>
      <c r="E1337" s="7">
        <f>VLOOKUP(A1337,Sheet2!$A$2:$R$3432,4,0)</f>
        <v>9422312026</v>
      </c>
      <c r="F1337" s="7" t="str">
        <f>VLOOKUP(A1337,Sheet2!$A$2:$R$3432,3,0)</f>
        <v>Sachin</v>
      </c>
      <c r="G1337" s="5" t="s">
        <v>25</v>
      </c>
      <c r="H1337" s="5" t="s">
        <v>25</v>
      </c>
      <c r="I1337" s="5" t="s">
        <v>25</v>
      </c>
      <c r="J1337" s="5" t="s">
        <v>25</v>
      </c>
      <c r="K1337" s="7" t="str">
        <f>VLOOKUP(A1337,Sheet2!$A$2:$R$3432,6,0)</f>
        <v>Honda Activa 110</v>
      </c>
      <c r="L1337" s="5" t="s">
        <v>25</v>
      </c>
      <c r="M1337" s="7" t="str">
        <f>VLOOKUP(A1337,Sheet2!$A$2:$R$3432,5,0)</f>
        <v>MH14FN6719</v>
      </c>
      <c r="N1337" s="5" t="s">
        <v>25</v>
      </c>
      <c r="O1337" s="5" t="s">
        <v>25</v>
      </c>
      <c r="P1337" s="6" t="s">
        <v>25</v>
      </c>
      <c r="Q1337" s="5" t="s">
        <v>25</v>
      </c>
      <c r="R1337" s="5" t="s">
        <v>25</v>
      </c>
      <c r="S1337" s="5" t="str">
        <f>VLOOKUP(A1337,Sheet2!$A$2:$R$3432,18,0)</f>
        <v>JG50EU3037233</v>
      </c>
      <c r="T1337" s="7" t="str">
        <f>VLOOKUP(A1337,Sheet2!$A$2:$R$3432,17,0)</f>
        <v>ME4JG505CG4037056</v>
      </c>
    </row>
    <row r="1338" ht="15.75" customHeight="1">
      <c r="A1338" s="3" t="s">
        <v>1361</v>
      </c>
      <c r="B1338" s="4" t="str">
        <f>VLOOKUP(A1338,Sheet2!$A$2:$R$3432,2,0)</f>
        <v>2025-07-11 20:25:03</v>
      </c>
      <c r="C1338" s="5" t="s">
        <v>25</v>
      </c>
      <c r="D1338" s="6" t="s">
        <v>25</v>
      </c>
      <c r="E1338" s="7">
        <f>VLOOKUP(A1338,Sheet2!$A$2:$R$3432,4,0)</f>
        <v>8379829170</v>
      </c>
      <c r="F1338" s="7" t="str">
        <f>VLOOKUP(A1338,Sheet2!$A$2:$R$3432,3,0)</f>
        <v>Sunil Ahire</v>
      </c>
      <c r="G1338" s="5" t="s">
        <v>25</v>
      </c>
      <c r="H1338" s="5" t="s">
        <v>25</v>
      </c>
      <c r="I1338" s="5" t="s">
        <v>25</v>
      </c>
      <c r="J1338" s="5" t="s">
        <v>25</v>
      </c>
      <c r="K1338" s="7" t="str">
        <f>VLOOKUP(A1338,Sheet2!$A$2:$R$3432,6,0)</f>
        <v>Honda Activa 6G</v>
      </c>
      <c r="L1338" s="5" t="s">
        <v>25</v>
      </c>
      <c r="M1338" s="7" t="str">
        <f>VLOOKUP(A1338,Sheet2!$A$2:$R$3432,5,0)</f>
        <v>MH14KG1657</v>
      </c>
      <c r="N1338" s="5" t="s">
        <v>25</v>
      </c>
      <c r="O1338" s="5" t="s">
        <v>25</v>
      </c>
      <c r="P1338" s="6" t="s">
        <v>25</v>
      </c>
      <c r="Q1338" s="5" t="s">
        <v>25</v>
      </c>
      <c r="R1338" s="5" t="s">
        <v>25</v>
      </c>
      <c r="S1338" s="5" t="str">
        <f>VLOOKUP(A1338,Sheet2!$A$2:$R$3432,18,0)</f>
        <v>JF21E60173081</v>
      </c>
      <c r="T1338" s="7" t="str">
        <f>VLOOKUP(A1338,Sheet2!$A$2:$R$3432,17,0)</f>
        <v>ME4JF215EE8145590</v>
      </c>
    </row>
    <row r="1339" ht="15.75" customHeight="1">
      <c r="A1339" s="3" t="s">
        <v>1362</v>
      </c>
      <c r="B1339" s="4" t="str">
        <f>VLOOKUP(A1339,Sheet2!$A$2:$R$3432,2,0)</f>
        <v>2025-07-11 20:26:03</v>
      </c>
      <c r="C1339" s="5" t="s">
        <v>25</v>
      </c>
      <c r="D1339" s="6" t="s">
        <v>25</v>
      </c>
      <c r="E1339" s="7">
        <f>VLOOKUP(A1339,Sheet2!$A$2:$R$3432,4,0)</f>
        <v>9850778933</v>
      </c>
      <c r="F1339" s="7" t="str">
        <f>VLOOKUP(A1339,Sheet2!$A$2:$R$3432,3,0)</f>
        <v>Chinmay </v>
      </c>
      <c r="G1339" s="5" t="s">
        <v>25</v>
      </c>
      <c r="H1339" s="5" t="s">
        <v>25</v>
      </c>
      <c r="I1339" s="5" t="s">
        <v>25</v>
      </c>
      <c r="J1339" s="5" t="s">
        <v>25</v>
      </c>
      <c r="K1339" s="7" t="str">
        <f>VLOOKUP(A1339,Sheet2!$A$2:$R$3432,6,0)</f>
        <v>Honda Activa 4G</v>
      </c>
      <c r="L1339" s="5" t="s">
        <v>25</v>
      </c>
      <c r="M1339" s="7" t="str">
        <f>VLOOKUP(A1339,Sheet2!$A$2:$R$3432,5,0)</f>
        <v>MH31FD2467</v>
      </c>
      <c r="N1339" s="5" t="s">
        <v>25</v>
      </c>
      <c r="O1339" s="5" t="s">
        <v>25</v>
      </c>
      <c r="P1339" s="6" t="s">
        <v>25</v>
      </c>
      <c r="Q1339" s="5" t="s">
        <v>25</v>
      </c>
      <c r="R1339" s="5" t="s">
        <v>25</v>
      </c>
      <c r="S1339" s="7" t="str">
        <f>VLOOKUP(A1339,Sheet2!$A$2:$R$3432,18,0)</f>
        <v/>
      </c>
      <c r="T1339" s="7" t="str">
        <f>VLOOKUP(A1339,Sheet2!$A$2:$R$3432,17,0)</f>
        <v/>
      </c>
    </row>
    <row r="1340" ht="15.75" customHeight="1">
      <c r="A1340" s="3" t="s">
        <v>1363</v>
      </c>
      <c r="B1340" s="4" t="str">
        <f>VLOOKUP(A1340,Sheet2!$A$2:$R$3432,2,0)</f>
        <v>2025-07-11 20:27:16</v>
      </c>
      <c r="C1340" s="5" t="s">
        <v>25</v>
      </c>
      <c r="D1340" s="6" t="s">
        <v>25</v>
      </c>
      <c r="E1340" s="7">
        <f>VLOOKUP(A1340,Sheet2!$A$2:$R$3432,4,0)</f>
        <v>8600873977</v>
      </c>
      <c r="F1340" s="7" t="str">
        <f>VLOOKUP(A1340,Sheet2!$A$2:$R$3432,3,0)</f>
        <v>AVINASH </v>
      </c>
      <c r="G1340" s="5" t="s">
        <v>25</v>
      </c>
      <c r="H1340" s="5" t="s">
        <v>25</v>
      </c>
      <c r="I1340" s="5" t="s">
        <v>25</v>
      </c>
      <c r="J1340" s="5" t="s">
        <v>25</v>
      </c>
      <c r="K1340" s="7" t="str">
        <f>VLOOKUP(A1340,Sheet2!$A$2:$R$3432,6,0)</f>
        <v>Bajaj Pulsar 150</v>
      </c>
      <c r="L1340" s="5" t="s">
        <v>25</v>
      </c>
      <c r="M1340" s="7" t="str">
        <f>VLOOKUP(A1340,Sheet2!$A$2:$R$3432,5,0)</f>
        <v>MH12MD0128</v>
      </c>
      <c r="N1340" s="5" t="s">
        <v>25</v>
      </c>
      <c r="O1340" s="5" t="s">
        <v>25</v>
      </c>
      <c r="P1340" s="6" t="s">
        <v>25</v>
      </c>
      <c r="Q1340" s="5" t="s">
        <v>25</v>
      </c>
      <c r="R1340" s="5" t="s">
        <v>25</v>
      </c>
      <c r="S1340" s="7" t="str">
        <f>VLOOKUP(A1340,Sheet2!$A$2:$R$3432,18,0)</f>
        <v/>
      </c>
      <c r="T1340" s="7" t="str">
        <f>VLOOKUP(A1340,Sheet2!$A$2:$R$3432,17,0)</f>
        <v/>
      </c>
    </row>
    <row r="1341" ht="15.75" customHeight="1">
      <c r="A1341" s="3" t="s">
        <v>1364</v>
      </c>
      <c r="B1341" s="4" t="str">
        <f>VLOOKUP(A1341,Sheet2!$A$2:$R$3432,2,0)</f>
        <v>2025-07-11 20:27:36</v>
      </c>
      <c r="C1341" s="5" t="s">
        <v>25</v>
      </c>
      <c r="D1341" s="6" t="s">
        <v>25</v>
      </c>
      <c r="E1341" s="7">
        <f>VLOOKUP(A1341,Sheet2!$A$2:$R$3432,4,0)</f>
        <v>9588623757</v>
      </c>
      <c r="F1341" s="7" t="str">
        <f>VLOOKUP(A1341,Sheet2!$A$2:$R$3432,3,0)</f>
        <v>Mayur Tagad</v>
      </c>
      <c r="G1341" s="5" t="s">
        <v>25</v>
      </c>
      <c r="H1341" s="5" t="s">
        <v>25</v>
      </c>
      <c r="I1341" s="5" t="s">
        <v>25</v>
      </c>
      <c r="J1341" s="5" t="s">
        <v>25</v>
      </c>
      <c r="K1341" s="7" t="str">
        <f>VLOOKUP(A1341,Sheet2!$A$2:$R$3432,6,0)</f>
        <v>Yamaha FZ V3</v>
      </c>
      <c r="L1341" s="5" t="s">
        <v>25</v>
      </c>
      <c r="M1341" s="7" t="str">
        <f>VLOOKUP(A1341,Sheet2!$A$2:$R$3432,5,0)</f>
        <v>MH16CR5669</v>
      </c>
      <c r="N1341" s="5" t="s">
        <v>25</v>
      </c>
      <c r="O1341" s="5" t="s">
        <v>25</v>
      </c>
      <c r="P1341" s="6" t="s">
        <v>25</v>
      </c>
      <c r="Q1341" s="5" t="s">
        <v>25</v>
      </c>
      <c r="R1341" s="5" t="s">
        <v>25</v>
      </c>
      <c r="S1341" s="5" t="str">
        <f>VLOOKUP(A1341,Sheet2!$A$2:$R$3432,18,0)</f>
        <v>G3NSF0010675</v>
      </c>
      <c r="T1341" s="7" t="str">
        <f>VLOOKUP(A1341,Sheet2!$A$2:$R$3432,17,0)</f>
        <v>ME1RG6620CK0010777</v>
      </c>
    </row>
    <row r="1342" ht="15.75" customHeight="1">
      <c r="A1342" s="3" t="s">
        <v>1365</v>
      </c>
      <c r="B1342" s="4" t="str">
        <f>VLOOKUP(A1342,Sheet2!$A$2:$R$3432,2,0)</f>
        <v>2025-02-24 20:04:03</v>
      </c>
      <c r="C1342" s="5" t="s">
        <v>25</v>
      </c>
      <c r="D1342" s="6" t="s">
        <v>25</v>
      </c>
      <c r="E1342" s="7">
        <f>VLOOKUP(A1342,Sheet2!$A$2:$R$3432,4,0)</f>
        <v>9011557655</v>
      </c>
      <c r="F1342" s="7" t="str">
        <f>VLOOKUP(A1342,Sheet2!$A$2:$R$3432,3,0)</f>
        <v>Shubham Pawar</v>
      </c>
      <c r="G1342" s="5" t="s">
        <v>25</v>
      </c>
      <c r="H1342" s="5" t="s">
        <v>25</v>
      </c>
      <c r="I1342" s="5" t="s">
        <v>25</v>
      </c>
      <c r="J1342" s="5" t="s">
        <v>25</v>
      </c>
      <c r="K1342" s="7" t="str">
        <f>VLOOKUP(A1342,Sheet2!$A$2:$R$3432,6,0)</f>
        <v>Honda Activa </v>
      </c>
      <c r="L1342" s="5" t="s">
        <v>25</v>
      </c>
      <c r="M1342" s="7" t="str">
        <f>VLOOKUP(A1342,Sheet2!$A$2:$R$3432,5,0)</f>
        <v>MH14GF1044</v>
      </c>
      <c r="N1342" s="5" t="s">
        <v>25</v>
      </c>
      <c r="O1342" s="5" t="s">
        <v>25</v>
      </c>
      <c r="P1342" s="6" t="s">
        <v>25</v>
      </c>
      <c r="Q1342" s="5" t="s">
        <v>25</v>
      </c>
      <c r="R1342" s="5" t="s">
        <v>25</v>
      </c>
      <c r="S1342" s="5" t="str">
        <f>VLOOKUP(A1342,Sheet2!$A$2:$R$3432,18,0)</f>
        <v>JF50EU6171317</v>
      </c>
      <c r="T1342" s="7" t="str">
        <f>VLOOKUP(A1342,Sheet2!$A$2:$R$3432,17,0)</f>
        <v>ME4JF5098HU171267</v>
      </c>
    </row>
    <row r="1343" ht="15.75" customHeight="1">
      <c r="A1343" s="3" t="s">
        <v>1366</v>
      </c>
      <c r="B1343" s="4" t="str">
        <f>VLOOKUP(A1343,Sheet2!$A$2:$R$3432,2,0)</f>
        <v>2025-02-24 20:03:09</v>
      </c>
      <c r="C1343" s="5" t="s">
        <v>25</v>
      </c>
      <c r="D1343" s="6" t="s">
        <v>25</v>
      </c>
      <c r="E1343" s="7">
        <f>VLOOKUP(A1343,Sheet2!$A$2:$R$3432,4,0)</f>
        <v>9146083378</v>
      </c>
      <c r="F1343" s="7" t="str">
        <f>VLOOKUP(A1343,Sheet2!$A$2:$R$3432,3,0)</f>
        <v>TANMAY</v>
      </c>
      <c r="G1343" s="5" t="s">
        <v>25</v>
      </c>
      <c r="H1343" s="5" t="s">
        <v>25</v>
      </c>
      <c r="I1343" s="5" t="s">
        <v>25</v>
      </c>
      <c r="J1343" s="5" t="s">
        <v>25</v>
      </c>
      <c r="K1343" s="7" t="str">
        <f>VLOOKUP(A1343,Sheet2!$A$2:$R$3432,6,0)</f>
        <v>Bajaj Pulsar 160 NS</v>
      </c>
      <c r="L1343" s="5" t="s">
        <v>25</v>
      </c>
      <c r="M1343" s="7" t="str">
        <f>VLOOKUP(A1343,Sheet2!$A$2:$R$3432,5,0)</f>
        <v>MH37AA8042</v>
      </c>
      <c r="N1343" s="5" t="s">
        <v>25</v>
      </c>
      <c r="O1343" s="5" t="s">
        <v>25</v>
      </c>
      <c r="P1343" s="6" t="s">
        <v>25</v>
      </c>
      <c r="Q1343" s="5" t="s">
        <v>25</v>
      </c>
      <c r="R1343" s="5" t="s">
        <v>25</v>
      </c>
      <c r="S1343" s="7" t="str">
        <f>VLOOKUP(A1343,Sheet2!$A$2:$R$3432,18,0)</f>
        <v/>
      </c>
      <c r="T1343" s="7" t="str">
        <f>VLOOKUP(A1343,Sheet2!$A$2:$R$3432,17,0)</f>
        <v/>
      </c>
    </row>
    <row r="1344" ht="15.75" customHeight="1">
      <c r="A1344" s="3" t="s">
        <v>1367</v>
      </c>
      <c r="B1344" s="4" t="str">
        <f>VLOOKUP(A1344,Sheet2!$A$2:$R$3432,2,0)</f>
        <v>2025-02-24 20:04:22</v>
      </c>
      <c r="C1344" s="5" t="s">
        <v>25</v>
      </c>
      <c r="D1344" s="6" t="s">
        <v>25</v>
      </c>
      <c r="E1344" s="7">
        <f>VLOOKUP(A1344,Sheet2!$A$2:$R$3432,4,0)</f>
        <v>7406056477</v>
      </c>
      <c r="F1344" s="7" t="str">
        <f>VLOOKUP(A1344,Sheet2!$A$2:$R$3432,3,0)</f>
        <v>Ashutosh </v>
      </c>
      <c r="G1344" s="5" t="s">
        <v>25</v>
      </c>
      <c r="H1344" s="5" t="s">
        <v>25</v>
      </c>
      <c r="I1344" s="5" t="s">
        <v>25</v>
      </c>
      <c r="J1344" s="5" t="s">
        <v>25</v>
      </c>
      <c r="K1344" s="7" t="str">
        <f>VLOOKUP(A1344,Sheet2!$A$2:$R$3432,6,0)</f>
        <v>TVS Apache RTR 160</v>
      </c>
      <c r="L1344" s="5" t="s">
        <v>25</v>
      </c>
      <c r="M1344" s="7" t="str">
        <f>VLOOKUP(A1344,Sheet2!$A$2:$R$3432,5,0)</f>
        <v>MH15JP8584</v>
      </c>
      <c r="N1344" s="5" t="s">
        <v>25</v>
      </c>
      <c r="O1344" s="5" t="s">
        <v>25</v>
      </c>
      <c r="P1344" s="6" t="s">
        <v>25</v>
      </c>
      <c r="Q1344" s="5" t="s">
        <v>25</v>
      </c>
      <c r="R1344" s="5" t="s">
        <v>25</v>
      </c>
      <c r="S1344" s="5" t="str">
        <f>VLOOKUP(A1344,Sheet2!$A$2:$R$3432,18,0)</f>
        <v>OE4FG2008309</v>
      </c>
      <c r="T1344" s="7" t="str">
        <f>VLOOKUP(A1344,Sheet2!$A$2:$R$3432,17,0)</f>
        <v>MD634KE4XGF60465</v>
      </c>
    </row>
    <row r="1345" ht="15.75" customHeight="1">
      <c r="A1345" s="3" t="s">
        <v>1368</v>
      </c>
      <c r="B1345" s="4" t="str">
        <f>VLOOKUP(A1345,Sheet2!$A$2:$R$3432,2,0)</f>
        <v>2025-02-24 20:03:48</v>
      </c>
      <c r="C1345" s="5" t="s">
        <v>25</v>
      </c>
      <c r="D1345" s="6" t="s">
        <v>25</v>
      </c>
      <c r="E1345" s="7">
        <f>VLOOKUP(A1345,Sheet2!$A$2:$R$3432,4,0)</f>
        <v>9075509481</v>
      </c>
      <c r="F1345" s="7" t="str">
        <f>VLOOKUP(A1345,Sheet2!$A$2:$R$3432,3,0)</f>
        <v>VINIT</v>
      </c>
      <c r="G1345" s="5" t="s">
        <v>25</v>
      </c>
      <c r="H1345" s="5" t="s">
        <v>25</v>
      </c>
      <c r="I1345" s="5" t="s">
        <v>25</v>
      </c>
      <c r="J1345" s="5" t="s">
        <v>25</v>
      </c>
      <c r="K1345" s="7" t="str">
        <f>VLOOKUP(A1345,Sheet2!$A$2:$R$3432,6,0)</f>
        <v>Honda Unicorn 150</v>
      </c>
      <c r="L1345" s="5" t="s">
        <v>25</v>
      </c>
      <c r="M1345" s="7" t="str">
        <f>VLOOKUP(A1345,Sheet2!$A$2:$R$3432,5,0)</f>
        <v>MH07AL8747</v>
      </c>
      <c r="N1345" s="5" t="s">
        <v>25</v>
      </c>
      <c r="O1345" s="5" t="s">
        <v>25</v>
      </c>
      <c r="P1345" s="6" t="s">
        <v>25</v>
      </c>
      <c r="Q1345" s="5" t="s">
        <v>25</v>
      </c>
      <c r="R1345" s="5" t="s">
        <v>25</v>
      </c>
      <c r="S1345" s="5" t="str">
        <f>VLOOKUP(A1345,Sheet2!$A$2:$R$3432,18,0)</f>
        <v>KC31E80475683</v>
      </c>
      <c r="T1345" s="7" t="str">
        <f>VLOOKUP(A1345,Sheet2!$A$2:$R$3432,17,0)</f>
        <v>ME5KC311MJ85765P5</v>
      </c>
    </row>
    <row r="1346" ht="15.75" customHeight="1">
      <c r="A1346" s="3" t="s">
        <v>1369</v>
      </c>
      <c r="B1346" s="4" t="str">
        <f>VLOOKUP(A1346,Sheet2!$A$2:$R$3432,2,0)</f>
        <v>2025-02-24 20:04:46</v>
      </c>
      <c r="C1346" s="5" t="s">
        <v>25</v>
      </c>
      <c r="D1346" s="6" t="s">
        <v>25</v>
      </c>
      <c r="E1346" s="7">
        <f>VLOOKUP(A1346,Sheet2!$A$2:$R$3432,4,0)</f>
        <v>8308760085</v>
      </c>
      <c r="F1346" s="7" t="str">
        <f>VLOOKUP(A1346,Sheet2!$A$2:$R$3432,3,0)</f>
        <v>Tejas </v>
      </c>
      <c r="G1346" s="5" t="s">
        <v>25</v>
      </c>
      <c r="H1346" s="5" t="s">
        <v>25</v>
      </c>
      <c r="I1346" s="5" t="s">
        <v>25</v>
      </c>
      <c r="J1346" s="5" t="s">
        <v>25</v>
      </c>
      <c r="K1346" s="7" t="str">
        <f>VLOOKUP(A1346,Sheet2!$A$2:$R$3432,6,0)</f>
        <v>Honda Activa 6G</v>
      </c>
      <c r="L1346" s="5" t="s">
        <v>25</v>
      </c>
      <c r="M1346" s="7" t="str">
        <f>VLOOKUP(A1346,Sheet2!$A$2:$R$3432,5,0)</f>
        <v>MH09FW6516</v>
      </c>
      <c r="N1346" s="5" t="s">
        <v>25</v>
      </c>
      <c r="O1346" s="5" t="s">
        <v>25</v>
      </c>
      <c r="P1346" s="6" t="s">
        <v>25</v>
      </c>
      <c r="Q1346" s="5" t="s">
        <v>25</v>
      </c>
      <c r="R1346" s="5" t="s">
        <v>25</v>
      </c>
      <c r="S1346" s="7" t="str">
        <f>VLOOKUP(A1346,Sheet2!$A$2:$R$3432,18,0)</f>
        <v/>
      </c>
      <c r="T1346" s="7" t="str">
        <f>VLOOKUP(A1346,Sheet2!$A$2:$R$3432,17,0)</f>
        <v/>
      </c>
    </row>
    <row r="1347" ht="15.75" customHeight="1">
      <c r="A1347" s="3" t="s">
        <v>1370</v>
      </c>
      <c r="B1347" s="4" t="str">
        <f>VLOOKUP(A1347,Sheet2!$A$2:$R$3432,2,0)</f>
        <v>2025-02-24 20:03:32</v>
      </c>
      <c r="C1347" s="5" t="s">
        <v>25</v>
      </c>
      <c r="D1347" s="6" t="s">
        <v>25</v>
      </c>
      <c r="E1347" s="7">
        <f>VLOOKUP(A1347,Sheet2!$A$2:$R$3432,4,0)</f>
        <v>8484849999</v>
      </c>
      <c r="F1347" s="7" t="str">
        <f>VLOOKUP(A1347,Sheet2!$A$2:$R$3432,3,0)</f>
        <v>Amar Gavali</v>
      </c>
      <c r="G1347" s="5" t="s">
        <v>25</v>
      </c>
      <c r="H1347" s="5" t="s">
        <v>25</v>
      </c>
      <c r="I1347" s="5" t="s">
        <v>25</v>
      </c>
      <c r="J1347" s="5" t="s">
        <v>25</v>
      </c>
      <c r="K1347" s="7" t="str">
        <f>VLOOKUP(A1347,Sheet2!$A$2:$R$3432,6,0)</f>
        <v>Honda Activa 3G</v>
      </c>
      <c r="L1347" s="5" t="s">
        <v>25</v>
      </c>
      <c r="M1347" s="7" t="str">
        <f>VLOOKUP(A1347,Sheet2!$A$2:$R$3432,5,0)</f>
        <v>MH14FZ9383</v>
      </c>
      <c r="N1347" s="5" t="s">
        <v>25</v>
      </c>
      <c r="O1347" s="5" t="s">
        <v>25</v>
      </c>
      <c r="P1347" s="6" t="s">
        <v>25</v>
      </c>
      <c r="Q1347" s="5" t="s">
        <v>25</v>
      </c>
      <c r="R1347" s="5" t="s">
        <v>25</v>
      </c>
      <c r="S1347" s="5" t="str">
        <f>VLOOKUP(A1347,Sheet2!$A$2:$R$3432,18,0)</f>
        <v>JF50EU3409847</v>
      </c>
      <c r="T1347" s="7" t="str">
        <f>VLOOKUP(A1347,Sheet2!$A$2:$R$3432,17,0)</f>
        <v>ME4JF505JGU41</v>
      </c>
    </row>
    <row r="1348" ht="15.75" customHeight="1">
      <c r="A1348" s="3" t="s">
        <v>1371</v>
      </c>
      <c r="B1348" s="4" t="str">
        <f>VLOOKUP(A1348,Sheet2!$A$2:$R$3432,2,0)</f>
        <v>2025-04-17 20:16:26</v>
      </c>
      <c r="C1348" s="5" t="s">
        <v>25</v>
      </c>
      <c r="D1348" s="6" t="s">
        <v>25</v>
      </c>
      <c r="E1348" s="7">
        <f>VLOOKUP(A1348,Sheet2!$A$2:$R$3432,4,0)</f>
        <v>8691033815</v>
      </c>
      <c r="F1348" s="7" t="str">
        <f>VLOOKUP(A1348,Sheet2!$A$2:$R$3432,3,0)</f>
        <v>Kavita Paidipaty</v>
      </c>
      <c r="G1348" s="5" t="s">
        <v>25</v>
      </c>
      <c r="H1348" s="5" t="s">
        <v>25</v>
      </c>
      <c r="I1348" s="5" t="s">
        <v>25</v>
      </c>
      <c r="J1348" s="5" t="s">
        <v>25</v>
      </c>
      <c r="K1348" s="7" t="str">
        <f>VLOOKUP(A1348,Sheet2!$A$2:$R$3432,6,0)</f>
        <v>Honda Activa 3G</v>
      </c>
      <c r="L1348" s="5" t="s">
        <v>25</v>
      </c>
      <c r="M1348" s="7" t="str">
        <f>VLOOKUP(A1348,Sheet2!$A$2:$R$3432,5,0)</f>
        <v>MH14FA3028</v>
      </c>
      <c r="N1348" s="5" t="s">
        <v>25</v>
      </c>
      <c r="O1348" s="5" t="s">
        <v>25</v>
      </c>
      <c r="P1348" s="6" t="s">
        <v>25</v>
      </c>
      <c r="Q1348" s="5" t="s">
        <v>25</v>
      </c>
      <c r="R1348" s="5" t="s">
        <v>25</v>
      </c>
      <c r="S1348" s="7" t="str">
        <f>VLOOKUP(A1348,Sheet2!$A$2:$R$3432,18,0)</f>
        <v/>
      </c>
      <c r="T1348" s="7" t="str">
        <f>VLOOKUP(A1348,Sheet2!$A$2:$R$3432,17,0)</f>
        <v>ME4JF504FFT407529</v>
      </c>
    </row>
    <row r="1349" ht="15.75" customHeight="1">
      <c r="A1349" s="3" t="s">
        <v>1372</v>
      </c>
      <c r="B1349" s="4" t="str">
        <f>VLOOKUP(A1349,Sheet2!$A$2:$R$3432,2,0)</f>
        <v>2025-04-17 20:30:50</v>
      </c>
      <c r="C1349" s="5" t="s">
        <v>25</v>
      </c>
      <c r="D1349" s="6" t="s">
        <v>25</v>
      </c>
      <c r="E1349" s="7">
        <f>VLOOKUP(A1349,Sheet2!$A$2:$R$3432,4,0)</f>
        <v>8308835093</v>
      </c>
      <c r="F1349" s="7" t="str">
        <f>VLOOKUP(A1349,Sheet2!$A$2:$R$3432,3,0)</f>
        <v>DESHMUKH </v>
      </c>
      <c r="G1349" s="5" t="s">
        <v>25</v>
      </c>
      <c r="H1349" s="5" t="s">
        <v>25</v>
      </c>
      <c r="I1349" s="5" t="s">
        <v>25</v>
      </c>
      <c r="J1349" s="5" t="s">
        <v>25</v>
      </c>
      <c r="K1349" s="7" t="str">
        <f>VLOOKUP(A1349,Sheet2!$A$2:$R$3432,6,0)</f>
        <v>Honda Shine 125</v>
      </c>
      <c r="L1349" s="5" t="s">
        <v>25</v>
      </c>
      <c r="M1349" s="7" t="str">
        <f>VLOOKUP(A1349,Sheet2!$A$2:$R$3432,5,0)</f>
        <v>MH14DP151</v>
      </c>
      <c r="N1349" s="5" t="s">
        <v>25</v>
      </c>
      <c r="O1349" s="5" t="s">
        <v>25</v>
      </c>
      <c r="P1349" s="6" t="s">
        <v>25</v>
      </c>
      <c r="Q1349" s="5" t="s">
        <v>25</v>
      </c>
      <c r="R1349" s="5" t="s">
        <v>25</v>
      </c>
      <c r="S1349" s="7" t="str">
        <f>VLOOKUP(A1349,Sheet2!$A$2:$R$3432,18,0)</f>
        <v/>
      </c>
      <c r="T1349" s="7" t="str">
        <f>VLOOKUP(A1349,Sheet2!$A$2:$R$3432,17,0)</f>
        <v/>
      </c>
    </row>
    <row r="1350" ht="15.75" customHeight="1">
      <c r="A1350" s="3" t="s">
        <v>1373</v>
      </c>
      <c r="B1350" s="4" t="str">
        <f>VLOOKUP(A1350,Sheet2!$A$2:$R$3432,2,0)</f>
        <v>2025-04-17 20:31:57</v>
      </c>
      <c r="C1350" s="5" t="s">
        <v>25</v>
      </c>
      <c r="D1350" s="6" t="s">
        <v>25</v>
      </c>
      <c r="E1350" s="7">
        <f>VLOOKUP(A1350,Sheet2!$A$2:$R$3432,4,0)</f>
        <v>9623565855</v>
      </c>
      <c r="F1350" s="7" t="str">
        <f>VLOOKUP(A1350,Sheet2!$A$2:$R$3432,3,0)</f>
        <v>VIJAY SAVLE</v>
      </c>
      <c r="G1350" s="5" t="s">
        <v>25</v>
      </c>
      <c r="H1350" s="5" t="s">
        <v>25</v>
      </c>
      <c r="I1350" s="5" t="s">
        <v>25</v>
      </c>
      <c r="J1350" s="5" t="s">
        <v>25</v>
      </c>
      <c r="K1350" s="7" t="str">
        <f>VLOOKUP(A1350,Sheet2!$A$2:$R$3432,6,0)</f>
        <v>Honda Activa 3G</v>
      </c>
      <c r="L1350" s="5" t="s">
        <v>25</v>
      </c>
      <c r="M1350" s="7" t="str">
        <f>VLOOKUP(A1350,Sheet2!$A$2:$R$3432,5,0)</f>
        <v>MH12NR6873</v>
      </c>
      <c r="N1350" s="5" t="s">
        <v>25</v>
      </c>
      <c r="O1350" s="5" t="s">
        <v>25</v>
      </c>
      <c r="P1350" s="6" t="s">
        <v>25</v>
      </c>
      <c r="Q1350" s="5" t="s">
        <v>25</v>
      </c>
      <c r="R1350" s="5" t="s">
        <v>25</v>
      </c>
      <c r="S1350" s="5" t="str">
        <f>VLOOKUP(A1350,Sheet2!$A$2:$R$3432,18,0)</f>
        <v>JF50EU3166035</v>
      </c>
      <c r="T1350" s="7" t="str">
        <f>VLOOKUP(A1350,Sheet2!$A$2:$R$3432,17,0)</f>
        <v/>
      </c>
    </row>
    <row r="1351" ht="15.75" customHeight="1">
      <c r="A1351" s="3" t="s">
        <v>1374</v>
      </c>
      <c r="B1351" s="4" t="str">
        <f>VLOOKUP(A1351,Sheet2!$A$2:$R$3432,2,0)</f>
        <v>2025-04-17 20:32:24</v>
      </c>
      <c r="C1351" s="5" t="s">
        <v>25</v>
      </c>
      <c r="D1351" s="6" t="s">
        <v>25</v>
      </c>
      <c r="E1351" s="7">
        <f>VLOOKUP(A1351,Sheet2!$A$2:$R$3432,4,0)</f>
        <v>7972069150</v>
      </c>
      <c r="F1351" s="7" t="str">
        <f>VLOOKUP(A1351,Sheet2!$A$2:$R$3432,3,0)</f>
        <v>Abhilash Kable</v>
      </c>
      <c r="G1351" s="5" t="s">
        <v>25</v>
      </c>
      <c r="H1351" s="5" t="s">
        <v>25</v>
      </c>
      <c r="I1351" s="5" t="s">
        <v>25</v>
      </c>
      <c r="J1351" s="5" t="s">
        <v>25</v>
      </c>
      <c r="K1351" s="7" t="str">
        <f>VLOOKUP(A1351,Sheet2!$A$2:$R$3432,6,0)</f>
        <v>Yamaha FZ S</v>
      </c>
      <c r="L1351" s="5" t="s">
        <v>25</v>
      </c>
      <c r="M1351" s="7" t="str">
        <f>VLOOKUP(A1351,Sheet2!$A$2:$R$3432,5,0)</f>
        <v>MH40AN8075</v>
      </c>
      <c r="N1351" s="5" t="s">
        <v>25</v>
      </c>
      <c r="O1351" s="5" t="s">
        <v>25</v>
      </c>
      <c r="P1351" s="6" t="s">
        <v>25</v>
      </c>
      <c r="Q1351" s="5" t="s">
        <v>25</v>
      </c>
      <c r="R1351" s="5" t="s">
        <v>25</v>
      </c>
      <c r="S1351" s="7" t="str">
        <f>VLOOKUP(A1351,Sheet2!$A$2:$R$3432,18,0)</f>
        <v/>
      </c>
      <c r="T1351" s="7" t="str">
        <f>VLOOKUP(A1351,Sheet2!$A$2:$R$3432,17,0)</f>
        <v/>
      </c>
    </row>
    <row r="1352" ht="15.75" customHeight="1">
      <c r="A1352" s="3" t="s">
        <v>1375</v>
      </c>
      <c r="B1352" s="4" t="str">
        <f>VLOOKUP(A1352,Sheet2!$A$2:$R$3432,2,0)</f>
        <v>2025-04-18 09:55:29</v>
      </c>
      <c r="C1352" s="5" t="s">
        <v>25</v>
      </c>
      <c r="D1352" s="6" t="s">
        <v>25</v>
      </c>
      <c r="E1352" s="7">
        <f>VLOOKUP(A1352,Sheet2!$A$2:$R$3432,4,0)</f>
        <v>9511687899</v>
      </c>
      <c r="F1352" s="7" t="str">
        <f>VLOOKUP(A1352,Sheet2!$A$2:$R$3432,3,0)</f>
        <v>ASHISH</v>
      </c>
      <c r="G1352" s="5" t="s">
        <v>25</v>
      </c>
      <c r="H1352" s="5" t="s">
        <v>25</v>
      </c>
      <c r="I1352" s="5" t="s">
        <v>25</v>
      </c>
      <c r="J1352" s="5" t="s">
        <v>25</v>
      </c>
      <c r="K1352" s="7" t="str">
        <f>VLOOKUP(A1352,Sheet2!$A$2:$R$3432,6,0)</f>
        <v>Honda Shine CB</v>
      </c>
      <c r="L1352" s="5" t="s">
        <v>25</v>
      </c>
      <c r="M1352" s="7" t="str">
        <f>VLOOKUP(A1352,Sheet2!$A$2:$R$3432,5,0)</f>
        <v>MH16CB9165</v>
      </c>
      <c r="N1352" s="5" t="s">
        <v>25</v>
      </c>
      <c r="O1352" s="5" t="s">
        <v>25</v>
      </c>
      <c r="P1352" s="6" t="s">
        <v>25</v>
      </c>
      <c r="Q1352" s="5" t="s">
        <v>25</v>
      </c>
      <c r="R1352" s="5" t="s">
        <v>25</v>
      </c>
      <c r="S1352" s="7" t="str">
        <f>VLOOKUP(A1352,Sheet2!$A$2:$R$3432,18,0)</f>
        <v/>
      </c>
      <c r="T1352" s="7" t="str">
        <f>VLOOKUP(A1352,Sheet2!$A$2:$R$3432,17,0)</f>
        <v/>
      </c>
    </row>
    <row r="1353" ht="15.75" customHeight="1">
      <c r="A1353" s="3" t="s">
        <v>1376</v>
      </c>
      <c r="B1353" s="4" t="str">
        <f>VLOOKUP(A1353,Sheet2!$A$2:$R$3432,2,0)</f>
        <v>2025-04-18 19:51:47</v>
      </c>
      <c r="C1353" s="5" t="s">
        <v>25</v>
      </c>
      <c r="D1353" s="6" t="s">
        <v>25</v>
      </c>
      <c r="E1353" s="7">
        <f>VLOOKUP(A1353,Sheet2!$A$2:$R$3432,4,0)</f>
        <v>9962836700</v>
      </c>
      <c r="F1353" s="7" t="str">
        <f>VLOOKUP(A1353,Sheet2!$A$2:$R$3432,3,0)</f>
        <v>GAURAV </v>
      </c>
      <c r="G1353" s="5" t="s">
        <v>25</v>
      </c>
      <c r="H1353" s="5" t="s">
        <v>25</v>
      </c>
      <c r="I1353" s="5" t="s">
        <v>25</v>
      </c>
      <c r="J1353" s="5" t="s">
        <v>25</v>
      </c>
      <c r="K1353" s="7" t="str">
        <f>VLOOKUP(A1353,Sheet2!$A$2:$R$3432,6,0)</f>
        <v>TVS Jupiter </v>
      </c>
      <c r="L1353" s="5" t="s">
        <v>25</v>
      </c>
      <c r="M1353" s="7" t="str">
        <f>VLOOKUP(A1353,Sheet2!$A$2:$R$3432,5,0)</f>
        <v>MH14FV2548</v>
      </c>
      <c r="N1353" s="5" t="s">
        <v>25</v>
      </c>
      <c r="O1353" s="5" t="s">
        <v>25</v>
      </c>
      <c r="P1353" s="6" t="s">
        <v>25</v>
      </c>
      <c r="Q1353" s="5" t="s">
        <v>25</v>
      </c>
      <c r="R1353" s="5" t="s">
        <v>25</v>
      </c>
      <c r="S1353" s="5" t="str">
        <f>VLOOKUP(A1353,Sheet2!$A$2:$R$3432,18,0)</f>
        <v>BG4FG1887157</v>
      </c>
      <c r="T1353" s="7" t="str">
        <f>VLOOKUP(A1353,Sheet2!$A$2:$R$3432,17,0)</f>
        <v>MD626BG47G1F93979</v>
      </c>
    </row>
    <row r="1354" ht="15.75" customHeight="1">
      <c r="A1354" s="3" t="s">
        <v>1377</v>
      </c>
      <c r="B1354" s="4" t="str">
        <f>VLOOKUP(A1354,Sheet2!$A$2:$R$3432,2,0)</f>
        <v>2025-04-18 20:17:09</v>
      </c>
      <c r="C1354" s="5" t="s">
        <v>25</v>
      </c>
      <c r="D1354" s="6" t="s">
        <v>25</v>
      </c>
      <c r="E1354" s="7">
        <f>VLOOKUP(A1354,Sheet2!$A$2:$R$3432,4,0)</f>
        <v>7774991134</v>
      </c>
      <c r="F1354" s="7" t="str">
        <f>VLOOKUP(A1354,Sheet2!$A$2:$R$3432,3,0)</f>
        <v>Vivek Shete</v>
      </c>
      <c r="G1354" s="5" t="s">
        <v>25</v>
      </c>
      <c r="H1354" s="5" t="s">
        <v>25</v>
      </c>
      <c r="I1354" s="5" t="s">
        <v>25</v>
      </c>
      <c r="J1354" s="5" t="s">
        <v>25</v>
      </c>
      <c r="K1354" s="7" t="str">
        <f>VLOOKUP(A1354,Sheet2!$A$2:$R$3432,6,0)</f>
        <v>KTM DUKE 200</v>
      </c>
      <c r="L1354" s="5" t="s">
        <v>25</v>
      </c>
      <c r="M1354" s="7" t="str">
        <f>VLOOKUP(A1354,Sheet2!$A$2:$R$3432,5,0)</f>
        <v>MH12RQ3265</v>
      </c>
      <c r="N1354" s="5" t="s">
        <v>25</v>
      </c>
      <c r="O1354" s="5" t="s">
        <v>25</v>
      </c>
      <c r="P1354" s="6" t="s">
        <v>25</v>
      </c>
      <c r="Q1354" s="5" t="s">
        <v>25</v>
      </c>
      <c r="R1354" s="5" t="s">
        <v>25</v>
      </c>
      <c r="S1354" s="5" t="str">
        <f>VLOOKUP(A1354,Sheet2!$A$2:$R$3432,18,0)</f>
        <v>996007620</v>
      </c>
      <c r="T1354" s="7" t="str">
        <f>VLOOKUP(A1354,Sheet2!$A$2:$R$3432,17,0)</f>
        <v>MD2JUCYM4KC040949</v>
      </c>
    </row>
    <row r="1355" ht="15.75" customHeight="1">
      <c r="A1355" s="3" t="s">
        <v>1378</v>
      </c>
      <c r="B1355" s="4" t="str">
        <f>VLOOKUP(A1355,Sheet2!$A$2:$R$3432,2,0)</f>
        <v>2025-04-18 20:18:11</v>
      </c>
      <c r="C1355" s="5" t="s">
        <v>25</v>
      </c>
      <c r="D1355" s="6" t="s">
        <v>25</v>
      </c>
      <c r="E1355" s="7">
        <f>VLOOKUP(A1355,Sheet2!$A$2:$R$3432,4,0)</f>
        <v>9422752889</v>
      </c>
      <c r="F1355" s="7" t="str">
        <f>VLOOKUP(A1355,Sheet2!$A$2:$R$3432,3,0)</f>
        <v>Chinmay Pethe</v>
      </c>
      <c r="G1355" s="5" t="s">
        <v>25</v>
      </c>
      <c r="H1355" s="5" t="s">
        <v>25</v>
      </c>
      <c r="I1355" s="5" t="s">
        <v>25</v>
      </c>
      <c r="J1355" s="5" t="s">
        <v>25</v>
      </c>
      <c r="K1355" s="7" t="str">
        <f>VLOOKUP(A1355,Sheet2!$A$2:$R$3432,6,0)</f>
        <v>Yamaha MT 3</v>
      </c>
      <c r="L1355" s="5" t="s">
        <v>25</v>
      </c>
      <c r="M1355" s="7" t="str">
        <f>VLOOKUP(A1355,Sheet2!$A$2:$R$3432,5,0)</f>
        <v>MH08AW3587</v>
      </c>
      <c r="N1355" s="5" t="s">
        <v>25</v>
      </c>
      <c r="O1355" s="5" t="s">
        <v>25</v>
      </c>
      <c r="P1355" s="6" t="s">
        <v>25</v>
      </c>
      <c r="Q1355" s="5" t="s">
        <v>25</v>
      </c>
      <c r="R1355" s="5" t="s">
        <v>25</v>
      </c>
      <c r="S1355" s="5" t="str">
        <f>VLOOKUP(A1355,Sheet2!$A$2:$R$3432,18,0)</f>
        <v>G3NG30045691</v>
      </c>
      <c r="T1355" s="7" t="str">
        <f>VLOOKUP(A1355,Sheet2!$A$2:$R$3432,17,0)</f>
        <v>ME1RG6817L0013449</v>
      </c>
    </row>
    <row r="1356" ht="15.75" customHeight="1">
      <c r="A1356" s="3" t="s">
        <v>1379</v>
      </c>
      <c r="B1356" s="4" t="str">
        <f>VLOOKUP(A1356,Sheet2!$A$2:$R$3432,2,0)</f>
        <v>2025-04-18 20:18:47</v>
      </c>
      <c r="C1356" s="5" t="s">
        <v>25</v>
      </c>
      <c r="D1356" s="6" t="s">
        <v>25</v>
      </c>
      <c r="E1356" s="7">
        <f>VLOOKUP(A1356,Sheet2!$A$2:$R$3432,4,0)</f>
        <v>8888084488</v>
      </c>
      <c r="F1356" s="7" t="str">
        <f>VLOOKUP(A1356,Sheet2!$A$2:$R$3432,3,0)</f>
        <v>AJINKYA</v>
      </c>
      <c r="G1356" s="5" t="s">
        <v>25</v>
      </c>
      <c r="H1356" s="5" t="s">
        <v>25</v>
      </c>
      <c r="I1356" s="5" t="s">
        <v>25</v>
      </c>
      <c r="J1356" s="5" t="s">
        <v>25</v>
      </c>
      <c r="K1356" s="7" t="str">
        <f>VLOOKUP(A1356,Sheet2!$A$2:$R$3432,6,0)</f>
        <v>TVS Jupiter </v>
      </c>
      <c r="L1356" s="5" t="s">
        <v>25</v>
      </c>
      <c r="M1356" s="7" t="str">
        <f>VLOOKUP(A1356,Sheet2!$A$2:$R$3432,5,0)</f>
        <v>MH15HP8073</v>
      </c>
      <c r="N1356" s="5" t="s">
        <v>25</v>
      </c>
      <c r="O1356" s="5" t="s">
        <v>25</v>
      </c>
      <c r="P1356" s="6" t="s">
        <v>25</v>
      </c>
      <c r="Q1356" s="5" t="s">
        <v>25</v>
      </c>
      <c r="R1356" s="5" t="s">
        <v>25</v>
      </c>
      <c r="S1356" s="7" t="str">
        <f>VLOOKUP(A1356,Sheet2!$A$2:$R$3432,18,0)</f>
        <v/>
      </c>
      <c r="T1356" s="7" t="str">
        <f>VLOOKUP(A1356,Sheet2!$A$2:$R$3432,17,0)</f>
        <v/>
      </c>
    </row>
    <row r="1357" ht="15.75" customHeight="1">
      <c r="A1357" s="3" t="s">
        <v>1380</v>
      </c>
      <c r="B1357" s="4" t="str">
        <f>VLOOKUP(A1357,Sheet2!$A$2:$R$3432,2,0)</f>
        <v>2025-04-18 20:20:04</v>
      </c>
      <c r="C1357" s="5" t="s">
        <v>25</v>
      </c>
      <c r="D1357" s="6" t="s">
        <v>25</v>
      </c>
      <c r="E1357" s="7">
        <f>VLOOKUP(A1357,Sheet2!$A$2:$R$3432,4,0)</f>
        <v>9421836434</v>
      </c>
      <c r="F1357" s="7" t="str">
        <f>VLOOKUP(A1357,Sheet2!$A$2:$R$3432,3,0)</f>
        <v>Nandan Deshpande</v>
      </c>
      <c r="G1357" s="5" t="s">
        <v>25</v>
      </c>
      <c r="H1357" s="5" t="s">
        <v>25</v>
      </c>
      <c r="I1357" s="5" t="s">
        <v>25</v>
      </c>
      <c r="J1357" s="5" t="s">
        <v>25</v>
      </c>
      <c r="K1357" s="7" t="str">
        <f>VLOOKUP(A1357,Sheet2!$A$2:$R$3432,6,0)</f>
        <v>Honda Shine HET</v>
      </c>
      <c r="L1357" s="5" t="s">
        <v>25</v>
      </c>
      <c r="M1357" s="7" t="str">
        <f>VLOOKUP(A1357,Sheet2!$A$2:$R$3432,5,0)</f>
        <v>MH12KX8392</v>
      </c>
      <c r="N1357" s="5" t="s">
        <v>25</v>
      </c>
      <c r="O1357" s="5" t="s">
        <v>25</v>
      </c>
      <c r="P1357" s="6" t="s">
        <v>25</v>
      </c>
      <c r="Q1357" s="5" t="s">
        <v>25</v>
      </c>
      <c r="R1357" s="5" t="s">
        <v>25</v>
      </c>
      <c r="S1357" s="5" t="str">
        <f>VLOOKUP(A1357,Sheet2!$A$2:$R$3432,18,0)</f>
        <v>JC36ET7052618</v>
      </c>
      <c r="T1357" s="7" t="str">
        <f>VLOOKUP(A1357,Sheet2!$A$2:$R$3432,17,0)</f>
        <v>ME4JC36KCET019587</v>
      </c>
    </row>
    <row r="1358" ht="15.75" customHeight="1">
      <c r="A1358" s="3" t="s">
        <v>1381</v>
      </c>
      <c r="B1358" s="4" t="str">
        <f>VLOOKUP(A1358,Sheet2!$A$2:$R$3432,2,0)</f>
        <v>2025-04-18 20:20:35</v>
      </c>
      <c r="C1358" s="5" t="s">
        <v>25</v>
      </c>
      <c r="D1358" s="6" t="s">
        <v>25</v>
      </c>
      <c r="E1358" s="7">
        <f>VLOOKUP(A1358,Sheet2!$A$2:$R$3432,4,0)</f>
        <v>7507365078</v>
      </c>
      <c r="F1358" s="7" t="str">
        <f>VLOOKUP(A1358,Sheet2!$A$2:$R$3432,3,0)</f>
        <v>Rahil Shaikh </v>
      </c>
      <c r="G1358" s="5" t="s">
        <v>25</v>
      </c>
      <c r="H1358" s="5" t="s">
        <v>25</v>
      </c>
      <c r="I1358" s="5" t="s">
        <v>25</v>
      </c>
      <c r="J1358" s="5" t="s">
        <v>25</v>
      </c>
      <c r="K1358" s="7" t="str">
        <f>VLOOKUP(A1358,Sheet2!$A$2:$R$3432,6,0)</f>
        <v>Hero Xpulse 200</v>
      </c>
      <c r="L1358" s="5" t="s">
        <v>25</v>
      </c>
      <c r="M1358" s="7" t="str">
        <f>VLOOKUP(A1358,Sheet2!$A$2:$R$3432,5,0)</f>
        <v>MH15JE1843</v>
      </c>
      <c r="N1358" s="5" t="s">
        <v>25</v>
      </c>
      <c r="O1358" s="5" t="s">
        <v>25</v>
      </c>
      <c r="P1358" s="6" t="s">
        <v>25</v>
      </c>
      <c r="Q1358" s="5" t="s">
        <v>25</v>
      </c>
      <c r="R1358" s="5" t="s">
        <v>25</v>
      </c>
      <c r="S1358" s="5" t="str">
        <f>VLOOKUP(A1358,Sheet2!$A$2:$R$3432,18,0)</f>
        <v>MBLDL061NGK2237</v>
      </c>
      <c r="T1358" s="7" t="str">
        <f>VLOOKUP(A1358,Sheet2!$A$2:$R$3432,17,0)</f>
        <v>MC20AHMGKB1000</v>
      </c>
    </row>
    <row r="1359" ht="15.75" customHeight="1">
      <c r="A1359" s="3" t="s">
        <v>1382</v>
      </c>
      <c r="B1359" s="4" t="str">
        <f>VLOOKUP(A1359,Sheet2!$A$2:$R$3432,2,0)</f>
        <v>2025-04-18 20:21:00</v>
      </c>
      <c r="C1359" s="5" t="s">
        <v>25</v>
      </c>
      <c r="D1359" s="6" t="s">
        <v>25</v>
      </c>
      <c r="E1359" s="7">
        <f>VLOOKUP(A1359,Sheet2!$A$2:$R$3432,4,0)</f>
        <v>9284301331</v>
      </c>
      <c r="F1359" s="7" t="str">
        <f>VLOOKUP(A1359,Sheet2!$A$2:$R$3432,3,0)</f>
        <v>GAURAV FUSHE</v>
      </c>
      <c r="G1359" s="5" t="s">
        <v>25</v>
      </c>
      <c r="H1359" s="5" t="s">
        <v>25</v>
      </c>
      <c r="I1359" s="5" t="s">
        <v>25</v>
      </c>
      <c r="J1359" s="5" t="s">
        <v>25</v>
      </c>
      <c r="K1359" s="7" t="str">
        <f>VLOOKUP(A1359,Sheet2!$A$2:$R$3432,6,0)</f>
        <v>Honda Activa 6G</v>
      </c>
      <c r="L1359" s="5" t="s">
        <v>25</v>
      </c>
      <c r="M1359" s="7" t="str">
        <f>VLOOKUP(A1359,Sheet2!$A$2:$R$3432,5,0)</f>
        <v>MH14KX5449</v>
      </c>
      <c r="N1359" s="5" t="s">
        <v>25</v>
      </c>
      <c r="O1359" s="5" t="s">
        <v>25</v>
      </c>
      <c r="P1359" s="6" t="s">
        <v>25</v>
      </c>
      <c r="Q1359" s="5" t="s">
        <v>25</v>
      </c>
      <c r="R1359" s="5" t="s">
        <v>25</v>
      </c>
      <c r="S1359" s="5" t="str">
        <f>VLOOKUP(A1359,Sheet2!$A$2:$R$3432,18,0)</f>
        <v>JK15EW5170880</v>
      </c>
      <c r="T1359" s="7" t="str">
        <f>VLOOKUP(A1359,Sheet2!$A$2:$R$3432,17,0)</f>
        <v>ME4JK156EPW170877</v>
      </c>
    </row>
    <row r="1360" ht="15.75" customHeight="1">
      <c r="A1360" s="3" t="s">
        <v>1383</v>
      </c>
      <c r="B1360" s="4" t="str">
        <f>VLOOKUP(A1360,Sheet2!$A$2:$R$3432,2,0)</f>
        <v>2025-04-18 20:21:28</v>
      </c>
      <c r="C1360" s="5" t="s">
        <v>25</v>
      </c>
      <c r="D1360" s="6" t="s">
        <v>25</v>
      </c>
      <c r="E1360" s="7">
        <f>VLOOKUP(A1360,Sheet2!$A$2:$R$3432,4,0)</f>
        <v>8149414243</v>
      </c>
      <c r="F1360" s="7" t="str">
        <f>VLOOKUP(A1360,Sheet2!$A$2:$R$3432,3,0)</f>
        <v>OMKAR DAGA</v>
      </c>
      <c r="G1360" s="5" t="s">
        <v>25</v>
      </c>
      <c r="H1360" s="5" t="s">
        <v>25</v>
      </c>
      <c r="I1360" s="5" t="s">
        <v>25</v>
      </c>
      <c r="J1360" s="5" t="s">
        <v>25</v>
      </c>
      <c r="K1360" s="7" t="str">
        <f>VLOOKUP(A1360,Sheet2!$A$2:$R$3432,6,0)</f>
        <v>Honda Activa 6G</v>
      </c>
      <c r="L1360" s="5" t="s">
        <v>25</v>
      </c>
      <c r="M1360" s="7" t="str">
        <f>VLOOKUP(A1360,Sheet2!$A$2:$R$3432,5,0)</f>
        <v>MH17CT5612</v>
      </c>
      <c r="N1360" s="5" t="s">
        <v>25</v>
      </c>
      <c r="O1360" s="5" t="s">
        <v>25</v>
      </c>
      <c r="P1360" s="6" t="s">
        <v>25</v>
      </c>
      <c r="Q1360" s="5" t="s">
        <v>25</v>
      </c>
      <c r="R1360" s="5" t="s">
        <v>25</v>
      </c>
      <c r="S1360" s="5" t="str">
        <f>VLOOKUP(A1360,Sheet2!$A$2:$R$3432,18,0)</f>
        <v>JF91EG60A0957</v>
      </c>
      <c r="T1360" s="7" t="str">
        <f>VLOOKUP(A1360,Sheet2!$A$2:$R$3432,17,0)</f>
        <v>ME4JF919BNG0205545</v>
      </c>
    </row>
    <row r="1361" ht="15.75" customHeight="1">
      <c r="A1361" s="3" t="s">
        <v>1384</v>
      </c>
      <c r="B1361" s="4" t="str">
        <f>VLOOKUP(A1361,Sheet2!$A$2:$R$3432,2,0)</f>
        <v>2025-04-18 20:31:45</v>
      </c>
      <c r="C1361" s="5" t="s">
        <v>25</v>
      </c>
      <c r="D1361" s="6" t="s">
        <v>25</v>
      </c>
      <c r="E1361" s="7">
        <f>VLOOKUP(A1361,Sheet2!$A$2:$R$3432,4,0)</f>
        <v>8380934175</v>
      </c>
      <c r="F1361" s="7" t="str">
        <f>VLOOKUP(A1361,Sheet2!$A$2:$R$3432,3,0)</f>
        <v>SMEETA KURVE</v>
      </c>
      <c r="G1361" s="5" t="s">
        <v>25</v>
      </c>
      <c r="H1361" s="5" t="s">
        <v>25</v>
      </c>
      <c r="I1361" s="5" t="s">
        <v>25</v>
      </c>
      <c r="J1361" s="5" t="s">
        <v>25</v>
      </c>
      <c r="K1361" s="7" t="str">
        <f>VLOOKUP(A1361,Sheet2!$A$2:$R$3432,6,0)</f>
        <v>Honda Activa 4G</v>
      </c>
      <c r="L1361" s="5" t="s">
        <v>25</v>
      </c>
      <c r="M1361" s="7" t="str">
        <f>VLOOKUP(A1361,Sheet2!$A$2:$R$3432,5,0)</f>
        <v>MH14GW1025</v>
      </c>
      <c r="N1361" s="5" t="s">
        <v>25</v>
      </c>
      <c r="O1361" s="5" t="s">
        <v>25</v>
      </c>
      <c r="P1361" s="6" t="s">
        <v>25</v>
      </c>
      <c r="Q1361" s="5" t="s">
        <v>25</v>
      </c>
      <c r="R1361" s="5" t="s">
        <v>25</v>
      </c>
      <c r="S1361" s="5" t="str">
        <f>VLOOKUP(A1361,Sheet2!$A$2:$R$3432,18,0)</f>
        <v>JF58EU9118337</v>
      </c>
      <c r="T1361" s="7" t="str">
        <f>VLOOKUP(A1361,Sheet2!$A$2:$R$3432,17,0)</f>
        <v>ME4JF50CBJU115279</v>
      </c>
    </row>
    <row r="1362" ht="15.75" customHeight="1">
      <c r="A1362" s="3" t="s">
        <v>1385</v>
      </c>
      <c r="B1362" s="4" t="str">
        <f>VLOOKUP(A1362,Sheet2!$A$2:$R$3432,2,0)</f>
        <v>2025-04-18 20:54:36</v>
      </c>
      <c r="C1362" s="5" t="s">
        <v>25</v>
      </c>
      <c r="D1362" s="6" t="s">
        <v>25</v>
      </c>
      <c r="E1362" s="7">
        <f>VLOOKUP(A1362,Sheet2!$A$2:$R$3432,4,0)</f>
        <v>7066083767</v>
      </c>
      <c r="F1362" s="7" t="str">
        <f>VLOOKUP(A1362,Sheet2!$A$2:$R$3432,3,0)</f>
        <v>RISHABH THAKKAR</v>
      </c>
      <c r="G1362" s="5" t="s">
        <v>25</v>
      </c>
      <c r="H1362" s="5" t="s">
        <v>25</v>
      </c>
      <c r="I1362" s="5" t="s">
        <v>25</v>
      </c>
      <c r="J1362" s="5" t="s">
        <v>25</v>
      </c>
      <c r="K1362" s="7" t="str">
        <f>VLOOKUP(A1362,Sheet2!$A$2:$R$3432,6,0)</f>
        <v>Honda Shine CB</v>
      </c>
      <c r="L1362" s="5" t="s">
        <v>25</v>
      </c>
      <c r="M1362" s="7" t="str">
        <f>VLOOKUP(A1362,Sheet2!$A$2:$R$3432,5,0)</f>
        <v>MH12LK1863</v>
      </c>
      <c r="N1362" s="5" t="s">
        <v>25</v>
      </c>
      <c r="O1362" s="5" t="s">
        <v>25</v>
      </c>
      <c r="P1362" s="6" t="s">
        <v>25</v>
      </c>
      <c r="Q1362" s="5" t="s">
        <v>25</v>
      </c>
      <c r="R1362" s="5" t="s">
        <v>25</v>
      </c>
      <c r="S1362" s="7" t="str">
        <f>VLOOKUP(A1362,Sheet2!$A$2:$R$3432,18,0)</f>
        <v/>
      </c>
      <c r="T1362" s="7" t="str">
        <f>VLOOKUP(A1362,Sheet2!$A$2:$R$3432,17,0)</f>
        <v/>
      </c>
    </row>
    <row r="1363" ht="15.75" customHeight="1">
      <c r="A1363" s="3" t="s">
        <v>1386</v>
      </c>
      <c r="B1363" s="4" t="str">
        <f>VLOOKUP(A1363,Sheet2!$A$2:$R$3432,2,0)</f>
        <v>2025-04-18 21:01:35</v>
      </c>
      <c r="C1363" s="5" t="s">
        <v>25</v>
      </c>
      <c r="D1363" s="6" t="s">
        <v>25</v>
      </c>
      <c r="E1363" s="7">
        <f>VLOOKUP(A1363,Sheet2!$A$2:$R$3432,4,0)</f>
        <v>8552963503</v>
      </c>
      <c r="F1363" s="7" t="str">
        <f>VLOOKUP(A1363,Sheet2!$A$2:$R$3432,3,0)</f>
        <v>RIYA</v>
      </c>
      <c r="G1363" s="5" t="s">
        <v>25</v>
      </c>
      <c r="H1363" s="5" t="s">
        <v>25</v>
      </c>
      <c r="I1363" s="5" t="s">
        <v>25</v>
      </c>
      <c r="J1363" s="5" t="s">
        <v>25</v>
      </c>
      <c r="K1363" s="7" t="str">
        <f>VLOOKUP(A1363,Sheet2!$A$2:$R$3432,6,0)</f>
        <v>Honda Dio New</v>
      </c>
      <c r="L1363" s="5" t="s">
        <v>25</v>
      </c>
      <c r="M1363" s="7" t="str">
        <f>VLOOKUP(A1363,Sheet2!$A$2:$R$3432,5,0)</f>
        <v>MH12QV2903</v>
      </c>
      <c r="N1363" s="5" t="s">
        <v>25</v>
      </c>
      <c r="O1363" s="5" t="s">
        <v>25</v>
      </c>
      <c r="P1363" s="6" t="s">
        <v>25</v>
      </c>
      <c r="Q1363" s="5" t="s">
        <v>25</v>
      </c>
      <c r="R1363" s="5" t="s">
        <v>25</v>
      </c>
      <c r="S1363" s="5" t="str">
        <f>VLOOKUP(A1363,Sheet2!$A$2:$R$3432,18,0)</f>
        <v>JF39E4033275</v>
      </c>
      <c r="T1363" s="7" t="str">
        <f>VLOOKUP(A1363,Sheet2!$A$2:$R$3432,17,0)</f>
        <v>ME4JF39KHJ4005142</v>
      </c>
    </row>
    <row r="1364" ht="15.75" customHeight="1">
      <c r="A1364" s="3" t="s">
        <v>1387</v>
      </c>
      <c r="B1364" s="4" t="str">
        <f>VLOOKUP(A1364,Sheet2!$A$2:$R$3432,2,0)</f>
        <v>2025-03-20 19:22:58</v>
      </c>
      <c r="C1364" s="5" t="s">
        <v>25</v>
      </c>
      <c r="D1364" s="6" t="s">
        <v>25</v>
      </c>
      <c r="E1364" s="7">
        <f>VLOOKUP(A1364,Sheet2!$A$2:$R$3432,4,0)</f>
        <v>9322165483</v>
      </c>
      <c r="F1364" s="7" t="str">
        <f>VLOOKUP(A1364,Sheet2!$A$2:$R$3432,3,0)</f>
        <v>ABHIJEET </v>
      </c>
      <c r="G1364" s="5" t="s">
        <v>25</v>
      </c>
      <c r="H1364" s="5" t="s">
        <v>25</v>
      </c>
      <c r="I1364" s="5" t="s">
        <v>25</v>
      </c>
      <c r="J1364" s="5" t="s">
        <v>25</v>
      </c>
      <c r="K1364" s="7" t="str">
        <f>VLOOKUP(A1364,Sheet2!$A$2:$R$3432,6,0)</f>
        <v>TVS Wego Basic</v>
      </c>
      <c r="L1364" s="5" t="s">
        <v>25</v>
      </c>
      <c r="M1364" s="7" t="str">
        <f>VLOOKUP(A1364,Sheet2!$A$2:$R$3432,5,0)</f>
        <v>MH14DC3994</v>
      </c>
      <c r="N1364" s="5" t="s">
        <v>25</v>
      </c>
      <c r="O1364" s="5" t="s">
        <v>25</v>
      </c>
      <c r="P1364" s="6" t="s">
        <v>25</v>
      </c>
      <c r="Q1364" s="5" t="s">
        <v>25</v>
      </c>
      <c r="R1364" s="5" t="s">
        <v>25</v>
      </c>
      <c r="S1364" s="5" t="str">
        <f>VLOOKUP(A1364,Sheet2!$A$2:$R$3432,18,0)</f>
        <v>OG4LB1251393</v>
      </c>
      <c r="T1364" s="7" t="str">
        <f>VLOOKUP(A1364,Sheet2!$A$2:$R$3432,17,0)</f>
        <v>MD626AG48B1L57695</v>
      </c>
    </row>
    <row r="1365" ht="15.75" customHeight="1">
      <c r="A1365" s="3" t="s">
        <v>1388</v>
      </c>
      <c r="B1365" s="4" t="str">
        <f>VLOOKUP(A1365,Sheet2!$A$2:$R$3432,2,0)</f>
        <v>2025-03-20 19:23:16</v>
      </c>
      <c r="C1365" s="5" t="s">
        <v>25</v>
      </c>
      <c r="D1365" s="6" t="s">
        <v>25</v>
      </c>
      <c r="E1365" s="7">
        <f>VLOOKUP(A1365,Sheet2!$A$2:$R$3432,4,0)</f>
        <v>8805413942</v>
      </c>
      <c r="F1365" s="7" t="str">
        <f>VLOOKUP(A1365,Sheet2!$A$2:$R$3432,3,0)</f>
        <v>Shweta </v>
      </c>
      <c r="G1365" s="5" t="s">
        <v>25</v>
      </c>
      <c r="H1365" s="5" t="s">
        <v>25</v>
      </c>
      <c r="I1365" s="5" t="s">
        <v>25</v>
      </c>
      <c r="J1365" s="5" t="s">
        <v>25</v>
      </c>
      <c r="K1365" s="7" t="str">
        <f>VLOOKUP(A1365,Sheet2!$A$2:$R$3432,6,0)</f>
        <v>TVS Jupiter </v>
      </c>
      <c r="L1365" s="5" t="s">
        <v>25</v>
      </c>
      <c r="M1365" s="7" t="str">
        <f>VLOOKUP(A1365,Sheet2!$A$2:$R$3432,5,0)</f>
        <v>MH14HX4486</v>
      </c>
      <c r="N1365" s="5" t="s">
        <v>25</v>
      </c>
      <c r="O1365" s="5" t="s">
        <v>25</v>
      </c>
      <c r="P1365" s="6" t="s">
        <v>25</v>
      </c>
      <c r="Q1365" s="5" t="s">
        <v>25</v>
      </c>
      <c r="R1365" s="5" t="s">
        <v>25</v>
      </c>
      <c r="S1365" s="5" t="str">
        <f>VLOOKUP(A1365,Sheet2!$A$2:$R$3432,18,0)</f>
        <v>EG4KK1509476</v>
      </c>
      <c r="T1365" s="7" t="str">
        <f>VLOOKUP(A1365,Sheet2!$A$2:$R$3432,17,0)</f>
        <v>MD626EG46K1K16227</v>
      </c>
    </row>
    <row r="1366" ht="15.75" customHeight="1">
      <c r="A1366" s="3" t="s">
        <v>1389</v>
      </c>
      <c r="B1366" s="4" t="str">
        <f>VLOOKUP(A1366,Sheet2!$A$2:$R$3432,2,0)</f>
        <v>2025-03-20 20:18:01</v>
      </c>
      <c r="C1366" s="5" t="s">
        <v>25</v>
      </c>
      <c r="D1366" s="6" t="s">
        <v>25</v>
      </c>
      <c r="E1366" s="7">
        <f>VLOOKUP(A1366,Sheet2!$A$2:$R$3432,4,0)</f>
        <v>8999036300</v>
      </c>
      <c r="F1366" s="7" t="str">
        <f>VLOOKUP(A1366,Sheet2!$A$2:$R$3432,3,0)</f>
        <v>Prasad Aloorkar</v>
      </c>
      <c r="G1366" s="5" t="s">
        <v>25</v>
      </c>
      <c r="H1366" s="5" t="s">
        <v>25</v>
      </c>
      <c r="I1366" s="5" t="s">
        <v>25</v>
      </c>
      <c r="J1366" s="5" t="s">
        <v>25</v>
      </c>
      <c r="K1366" s="7" t="str">
        <f>VLOOKUP(A1366,Sheet2!$A$2:$R$3432,6,0)</f>
        <v>Bajaj Pulsar 160 NS</v>
      </c>
      <c r="L1366" s="5" t="s">
        <v>25</v>
      </c>
      <c r="M1366" s="7" t="str">
        <f>VLOOKUP(A1366,Sheet2!$A$2:$R$3432,5,0)</f>
        <v>MH12VM3273</v>
      </c>
      <c r="N1366" s="5" t="s">
        <v>25</v>
      </c>
      <c r="O1366" s="5" t="s">
        <v>25</v>
      </c>
      <c r="P1366" s="6" t="s">
        <v>25</v>
      </c>
      <c r="Q1366" s="5" t="s">
        <v>25</v>
      </c>
      <c r="R1366" s="5" t="s">
        <v>25</v>
      </c>
      <c r="S1366" s="7" t="str">
        <f>VLOOKUP(A1366,Sheet2!$A$2:$R$3432,18,0)</f>
        <v/>
      </c>
      <c r="T1366" s="7" t="str">
        <f>VLOOKUP(A1366,Sheet2!$A$2:$R$3432,17,0)</f>
        <v/>
      </c>
    </row>
    <row r="1367" ht="15.75" customHeight="1">
      <c r="A1367" s="3" t="s">
        <v>1390</v>
      </c>
      <c r="B1367" s="4" t="str">
        <f>VLOOKUP(A1367,Sheet2!$A$2:$R$3432,2,0)</f>
        <v>2025-03-20 20:18:35</v>
      </c>
      <c r="C1367" s="5" t="s">
        <v>25</v>
      </c>
      <c r="D1367" s="6" t="s">
        <v>25</v>
      </c>
      <c r="E1367" s="7">
        <f>VLOOKUP(A1367,Sheet2!$A$2:$R$3432,4,0)</f>
        <v>9763879453</v>
      </c>
      <c r="F1367" s="7" t="str">
        <f>VLOOKUP(A1367,Sheet2!$A$2:$R$3432,3,0)</f>
        <v>Aashish Dixit</v>
      </c>
      <c r="G1367" s="5" t="s">
        <v>25</v>
      </c>
      <c r="H1367" s="5" t="s">
        <v>25</v>
      </c>
      <c r="I1367" s="5" t="s">
        <v>25</v>
      </c>
      <c r="J1367" s="5" t="s">
        <v>25</v>
      </c>
      <c r="K1367" s="7" t="str">
        <f>VLOOKUP(A1367,Sheet2!$A$2:$R$3432,6,0)</f>
        <v>Honda Unicorn No Data</v>
      </c>
      <c r="L1367" s="5" t="s">
        <v>25</v>
      </c>
      <c r="M1367" s="7" t="str">
        <f>VLOOKUP(A1367,Sheet2!$A$2:$R$3432,5,0)</f>
        <v>MH11CF6458</v>
      </c>
      <c r="N1367" s="5" t="s">
        <v>25</v>
      </c>
      <c r="O1367" s="5" t="s">
        <v>25</v>
      </c>
      <c r="P1367" s="6" t="s">
        <v>25</v>
      </c>
      <c r="Q1367" s="5" t="s">
        <v>25</v>
      </c>
      <c r="R1367" s="5" t="s">
        <v>25</v>
      </c>
      <c r="S1367" s="5" t="str">
        <f>VLOOKUP(A1367,Sheet2!$A$2:$R$3432,18,0)</f>
        <v>KC31E00K1250</v>
      </c>
      <c r="T1367" s="7" t="str">
        <f>VLOOKUP(A1367,Sheet2!$A$2:$R$3432,17,0)</f>
        <v>ME4KC311DH8014176</v>
      </c>
    </row>
    <row r="1368" ht="15.75" customHeight="1">
      <c r="A1368" s="3" t="s">
        <v>1391</v>
      </c>
      <c r="B1368" s="4" t="str">
        <f>VLOOKUP(A1368,Sheet2!$A$2:$R$3432,2,0)</f>
        <v>2025-04-05 18:10:05</v>
      </c>
      <c r="C1368" s="5" t="s">
        <v>25</v>
      </c>
      <c r="D1368" s="6" t="s">
        <v>25</v>
      </c>
      <c r="E1368" s="7">
        <f>VLOOKUP(A1368,Sheet2!$A$2:$R$3432,4,0)</f>
        <v>7218632686</v>
      </c>
      <c r="F1368" s="7" t="str">
        <f>VLOOKUP(A1368,Sheet2!$A$2:$R$3432,3,0)</f>
        <v>Shubham</v>
      </c>
      <c r="G1368" s="5" t="s">
        <v>25</v>
      </c>
      <c r="H1368" s="5" t="s">
        <v>25</v>
      </c>
      <c r="I1368" s="5" t="s">
        <v>25</v>
      </c>
      <c r="J1368" s="5" t="s">
        <v>25</v>
      </c>
      <c r="K1368" s="7" t="str">
        <f>VLOOKUP(A1368,Sheet2!$A$2:$R$3432,6,0)</f>
        <v>TVS Rider 125</v>
      </c>
      <c r="L1368" s="5" t="s">
        <v>25</v>
      </c>
      <c r="M1368" s="7" t="str">
        <f>VLOOKUP(A1368,Sheet2!$A$2:$R$3432,5,0)</f>
        <v>MH49BT3103</v>
      </c>
      <c r="N1368" s="5" t="s">
        <v>25</v>
      </c>
      <c r="O1368" s="5" t="s">
        <v>25</v>
      </c>
      <c r="P1368" s="6" t="s">
        <v>25</v>
      </c>
      <c r="Q1368" s="5" t="s">
        <v>25</v>
      </c>
      <c r="R1368" s="5" t="s">
        <v>25</v>
      </c>
      <c r="S1368" s="7" t="str">
        <f>VLOOKUP(A1368,Sheet2!$A$2:$R$3432,18,0)</f>
        <v/>
      </c>
      <c r="T1368" s="7" t="str">
        <f>VLOOKUP(A1368,Sheet2!$A$2:$R$3432,17,0)</f>
        <v/>
      </c>
    </row>
    <row r="1369" ht="15.75" customHeight="1">
      <c r="A1369" s="3" t="s">
        <v>1392</v>
      </c>
      <c r="B1369" s="4" t="str">
        <f>VLOOKUP(A1369,Sheet2!$A$2:$R$3432,2,0)</f>
        <v>2025-04-05 18:11:24</v>
      </c>
      <c r="C1369" s="5" t="s">
        <v>25</v>
      </c>
      <c r="D1369" s="6" t="s">
        <v>25</v>
      </c>
      <c r="E1369" s="7">
        <f>VLOOKUP(A1369,Sheet2!$A$2:$R$3432,4,0)</f>
        <v>9970900021</v>
      </c>
      <c r="F1369" s="7" t="str">
        <f>VLOOKUP(A1369,Sheet2!$A$2:$R$3432,3,0)</f>
        <v>SUSHANT DESAI</v>
      </c>
      <c r="G1369" s="5" t="s">
        <v>25</v>
      </c>
      <c r="H1369" s="5" t="s">
        <v>25</v>
      </c>
      <c r="I1369" s="5" t="s">
        <v>25</v>
      </c>
      <c r="J1369" s="5" t="s">
        <v>25</v>
      </c>
      <c r="K1369" s="7" t="str">
        <f>VLOOKUP(A1369,Sheet2!$A$2:$R$3432,6,0)</f>
        <v>Suzuki Access  125 BS6</v>
      </c>
      <c r="L1369" s="5" t="s">
        <v>25</v>
      </c>
      <c r="M1369" s="7" t="str">
        <f>VLOOKUP(A1369,Sheet2!$A$2:$R$3432,5,0)</f>
        <v>MH14JC6599</v>
      </c>
      <c r="N1369" s="5" t="s">
        <v>25</v>
      </c>
      <c r="O1369" s="5" t="s">
        <v>25</v>
      </c>
      <c r="P1369" s="6" t="s">
        <v>25</v>
      </c>
      <c r="Q1369" s="5" t="s">
        <v>25</v>
      </c>
      <c r="R1369" s="5" t="s">
        <v>25</v>
      </c>
      <c r="S1369" s="5" t="str">
        <f>VLOOKUP(A1369,Sheet2!$A$2:$R$3432,18,0)</f>
        <v>AF2122686772</v>
      </c>
      <c r="T1369" s="7" t="str">
        <f>VLOOKUP(A1369,Sheet2!$A$2:$R$3432,17,0)</f>
        <v>MB8DP12DAL8120548</v>
      </c>
    </row>
    <row r="1370" ht="15.75" customHeight="1">
      <c r="A1370" s="3" t="s">
        <v>1393</v>
      </c>
      <c r="B1370" s="4" t="str">
        <f>VLOOKUP(A1370,Sheet2!$A$2:$R$3432,2,0)</f>
        <v>2025-04-05 20:33:26</v>
      </c>
      <c r="C1370" s="5" t="s">
        <v>25</v>
      </c>
      <c r="D1370" s="6" t="s">
        <v>25</v>
      </c>
      <c r="E1370" s="7">
        <f>VLOOKUP(A1370,Sheet2!$A$2:$R$3432,4,0)</f>
        <v>8208424628</v>
      </c>
      <c r="F1370" s="7" t="str">
        <f>VLOOKUP(A1370,Sheet2!$A$2:$R$3432,3,0)</f>
        <v>Gaurav Chaudhari</v>
      </c>
      <c r="G1370" s="5" t="s">
        <v>25</v>
      </c>
      <c r="H1370" s="5" t="s">
        <v>25</v>
      </c>
      <c r="I1370" s="5" t="s">
        <v>25</v>
      </c>
      <c r="J1370" s="5" t="s">
        <v>25</v>
      </c>
      <c r="K1370" s="7" t="str">
        <f>VLOOKUP(A1370,Sheet2!$A$2:$R$3432,6,0)</f>
        <v>Hero Passion XPRO</v>
      </c>
      <c r="L1370" s="5" t="s">
        <v>25</v>
      </c>
      <c r="M1370" s="7" t="str">
        <f>VLOOKUP(A1370,Sheet2!$A$2:$R$3432,5,0)</f>
        <v>MH19DE8406</v>
      </c>
      <c r="N1370" s="5" t="s">
        <v>25</v>
      </c>
      <c r="O1370" s="5" t="s">
        <v>25</v>
      </c>
      <c r="P1370" s="6" t="s">
        <v>25</v>
      </c>
      <c r="Q1370" s="5" t="s">
        <v>25</v>
      </c>
      <c r="R1370" s="5" t="s">
        <v>25</v>
      </c>
      <c r="S1370" s="5" t="str">
        <f>VLOOKUP(A1370,Sheet2!$A$2:$R$3432,18,0)</f>
        <v>JA06ETJGE08787</v>
      </c>
      <c r="T1370" s="7" t="str">
        <f>VLOOKUP(A1370,Sheet2!$A$2:$R$3432,17,0)</f>
        <v>MBLJAR151JGE07143</v>
      </c>
    </row>
    <row r="1371" ht="15.75" customHeight="1">
      <c r="A1371" s="3" t="s">
        <v>1394</v>
      </c>
      <c r="B1371" s="4" t="str">
        <f>VLOOKUP(A1371,Sheet2!$A$2:$R$3432,2,0)</f>
        <v>2025-04-05 18:18:34</v>
      </c>
      <c r="C1371" s="5" t="s">
        <v>25</v>
      </c>
      <c r="D1371" s="6" t="s">
        <v>25</v>
      </c>
      <c r="E1371" s="7">
        <f>VLOOKUP(A1371,Sheet2!$A$2:$R$3432,4,0)</f>
        <v>9175815712</v>
      </c>
      <c r="F1371" s="7" t="str">
        <f>VLOOKUP(A1371,Sheet2!$A$2:$R$3432,3,0)</f>
        <v>Golu</v>
      </c>
      <c r="G1371" s="5" t="s">
        <v>25</v>
      </c>
      <c r="H1371" s="5" t="s">
        <v>25</v>
      </c>
      <c r="I1371" s="5" t="s">
        <v>25</v>
      </c>
      <c r="J1371" s="5" t="s">
        <v>25</v>
      </c>
      <c r="K1371" s="7" t="str">
        <f>VLOOKUP(A1371,Sheet2!$A$2:$R$3432,6,0)</f>
        <v>Hero Pleasure </v>
      </c>
      <c r="L1371" s="5" t="s">
        <v>25</v>
      </c>
      <c r="M1371" s="7" t="str">
        <f>VLOOKUP(A1371,Sheet2!$A$2:$R$3432,5,0)</f>
        <v>MH14CZ5470</v>
      </c>
      <c r="N1371" s="5" t="s">
        <v>25</v>
      </c>
      <c r="O1371" s="5" t="s">
        <v>25</v>
      </c>
      <c r="P1371" s="6" t="s">
        <v>25</v>
      </c>
      <c r="Q1371" s="5" t="s">
        <v>25</v>
      </c>
      <c r="R1371" s="5" t="s">
        <v>25</v>
      </c>
      <c r="S1371" s="7" t="str">
        <f>VLOOKUP(A1371,Sheet2!$A$2:$R$3432,18,0)</f>
        <v/>
      </c>
      <c r="T1371" s="7" t="str">
        <f>VLOOKUP(A1371,Sheet2!$A$2:$R$3432,17,0)</f>
        <v/>
      </c>
    </row>
    <row r="1372" ht="15.75" customHeight="1">
      <c r="A1372" s="3" t="s">
        <v>1395</v>
      </c>
      <c r="B1372" s="4" t="str">
        <f>VLOOKUP(A1372,Sheet2!$A$2:$R$3432,2,0)</f>
        <v>2025-04-05 18:15:46</v>
      </c>
      <c r="C1372" s="5" t="s">
        <v>25</v>
      </c>
      <c r="D1372" s="6" t="s">
        <v>25</v>
      </c>
      <c r="E1372" s="7">
        <f>VLOOKUP(A1372,Sheet2!$A$2:$R$3432,4,0)</f>
        <v>8055960575</v>
      </c>
      <c r="F1372" s="7" t="str">
        <f>VLOOKUP(A1372,Sheet2!$A$2:$R$3432,3,0)</f>
        <v>RAKESH MAHAJAN</v>
      </c>
      <c r="G1372" s="5" t="s">
        <v>25</v>
      </c>
      <c r="H1372" s="5" t="s">
        <v>25</v>
      </c>
      <c r="I1372" s="5" t="s">
        <v>25</v>
      </c>
      <c r="J1372" s="5" t="s">
        <v>25</v>
      </c>
      <c r="K1372" s="7" t="str">
        <f>VLOOKUP(A1372,Sheet2!$A$2:$R$3432,6,0)</f>
        <v>TVS Jupiter 125</v>
      </c>
      <c r="L1372" s="5" t="s">
        <v>25</v>
      </c>
      <c r="M1372" s="7" t="str">
        <f>VLOOKUP(A1372,Sheet2!$A$2:$R$3432,5,0)</f>
        <v>MH19DZ0846</v>
      </c>
      <c r="N1372" s="5" t="s">
        <v>25</v>
      </c>
      <c r="O1372" s="5" t="s">
        <v>25</v>
      </c>
      <c r="P1372" s="6" t="s">
        <v>25</v>
      </c>
      <c r="Q1372" s="5" t="s">
        <v>25</v>
      </c>
      <c r="R1372" s="5" t="s">
        <v>25</v>
      </c>
      <c r="S1372" s="7" t="str">
        <f>VLOOKUP(A1372,Sheet2!$A$2:$R$3432,18,0)</f>
        <v/>
      </c>
      <c r="T1372" s="7" t="str">
        <f>VLOOKUP(A1372,Sheet2!$A$2:$R$3432,17,0)</f>
        <v/>
      </c>
    </row>
    <row r="1373" ht="15.75" customHeight="1">
      <c r="A1373" s="3" t="s">
        <v>1396</v>
      </c>
      <c r="B1373" s="4" t="str">
        <f>VLOOKUP(A1373,Sheet2!$A$2:$R$3432,2,0)</f>
        <v>2025-04-05 18:14:03</v>
      </c>
      <c r="C1373" s="5" t="s">
        <v>25</v>
      </c>
      <c r="D1373" s="6" t="s">
        <v>25</v>
      </c>
      <c r="E1373" s="7">
        <f>VLOOKUP(A1373,Sheet2!$A$2:$R$3432,4,0)</f>
        <v>7722076026</v>
      </c>
      <c r="F1373" s="7" t="str">
        <f>VLOOKUP(A1373,Sheet2!$A$2:$R$3432,3,0)</f>
        <v>Prasanna </v>
      </c>
      <c r="G1373" s="5" t="s">
        <v>25</v>
      </c>
      <c r="H1373" s="5" t="s">
        <v>25</v>
      </c>
      <c r="I1373" s="5" t="s">
        <v>25</v>
      </c>
      <c r="J1373" s="5" t="s">
        <v>25</v>
      </c>
      <c r="K1373" s="7" t="str">
        <f>VLOOKUP(A1373,Sheet2!$A$2:$R$3432,6,0)</f>
        <v>Honda Activa 125</v>
      </c>
      <c r="L1373" s="5" t="s">
        <v>25</v>
      </c>
      <c r="M1373" s="7" t="str">
        <f>VLOOKUP(A1373,Sheet2!$A$2:$R$3432,5,0)</f>
        <v>MH14KT6924</v>
      </c>
      <c r="N1373" s="5" t="s">
        <v>25</v>
      </c>
      <c r="O1373" s="5" t="s">
        <v>25</v>
      </c>
      <c r="P1373" s="6" t="s">
        <v>25</v>
      </c>
      <c r="Q1373" s="5" t="s">
        <v>25</v>
      </c>
      <c r="R1373" s="5" t="s">
        <v>25</v>
      </c>
      <c r="S1373" s="7" t="str">
        <f>VLOOKUP(A1373,Sheet2!$A$2:$R$3432,18,0)</f>
        <v/>
      </c>
      <c r="T1373" s="7" t="str">
        <f>VLOOKUP(A1373,Sheet2!$A$2:$R$3432,17,0)</f>
        <v/>
      </c>
    </row>
    <row r="1374" ht="15.75" customHeight="1">
      <c r="A1374" s="3" t="s">
        <v>1397</v>
      </c>
      <c r="B1374" s="4" t="str">
        <f>VLOOKUP(A1374,Sheet2!$A$2:$R$3432,2,0)</f>
        <v>2025-04-05 18:16:41</v>
      </c>
      <c r="C1374" s="5" t="s">
        <v>25</v>
      </c>
      <c r="D1374" s="6" t="s">
        <v>25</v>
      </c>
      <c r="E1374" s="7">
        <f>VLOOKUP(A1374,Sheet2!$A$2:$R$3432,4,0)</f>
        <v>9405371391</v>
      </c>
      <c r="F1374" s="7" t="str">
        <f>VLOOKUP(A1374,Sheet2!$A$2:$R$3432,3,0)</f>
        <v>PAWAN BANG</v>
      </c>
      <c r="G1374" s="5" t="s">
        <v>25</v>
      </c>
      <c r="H1374" s="5" t="s">
        <v>25</v>
      </c>
      <c r="I1374" s="5" t="s">
        <v>25</v>
      </c>
      <c r="J1374" s="5" t="s">
        <v>25</v>
      </c>
      <c r="K1374" s="7" t="str">
        <f>VLOOKUP(A1374,Sheet2!$A$2:$R$3432,6,0)</f>
        <v>Bajaj Pulsar 125</v>
      </c>
      <c r="L1374" s="5" t="s">
        <v>25</v>
      </c>
      <c r="M1374" s="7" t="str">
        <f>VLOOKUP(A1374,Sheet2!$A$2:$R$3432,5,0)</f>
        <v>MH12SN4113</v>
      </c>
      <c r="N1374" s="5" t="s">
        <v>25</v>
      </c>
      <c r="O1374" s="5" t="s">
        <v>25</v>
      </c>
      <c r="P1374" s="6" t="s">
        <v>25</v>
      </c>
      <c r="Q1374" s="5" t="s">
        <v>25</v>
      </c>
      <c r="R1374" s="5" t="s">
        <v>25</v>
      </c>
      <c r="S1374" s="5" t="str">
        <f>VLOOKUP(A1374,Sheet2!$A$2:$R$3432,18,0)</f>
        <v>DHYWLK06032</v>
      </c>
      <c r="T1374" s="7" t="str">
        <f>VLOOKUP(A1374,Sheet2!$A$2:$R$3432,17,0)</f>
        <v>MD2B64BY5LWK06895</v>
      </c>
    </row>
    <row r="1375" ht="15.75" customHeight="1">
      <c r="A1375" s="3" t="s">
        <v>1398</v>
      </c>
      <c r="B1375" s="4" t="str">
        <f>VLOOKUP(A1375,Sheet2!$A$2:$R$3432,2,0)</f>
        <v>2025-04-05 18:19:10</v>
      </c>
      <c r="C1375" s="5" t="s">
        <v>25</v>
      </c>
      <c r="D1375" s="6" t="s">
        <v>25</v>
      </c>
      <c r="E1375" s="7">
        <f>VLOOKUP(A1375,Sheet2!$A$2:$R$3432,4,0)</f>
        <v>8605651344</v>
      </c>
      <c r="F1375" s="7" t="str">
        <f>VLOOKUP(A1375,Sheet2!$A$2:$R$3432,3,0)</f>
        <v>Prashik</v>
      </c>
      <c r="G1375" s="5" t="s">
        <v>25</v>
      </c>
      <c r="H1375" s="5" t="s">
        <v>25</v>
      </c>
      <c r="I1375" s="5" t="s">
        <v>25</v>
      </c>
      <c r="J1375" s="5" t="s">
        <v>25</v>
      </c>
      <c r="K1375" s="7" t="str">
        <f>VLOOKUP(A1375,Sheet2!$A$2:$R$3432,6,0)</f>
        <v>Bajaj Pulsar 200 NS</v>
      </c>
      <c r="L1375" s="5" t="s">
        <v>25</v>
      </c>
      <c r="M1375" s="7" t="str">
        <f>VLOOKUP(A1375,Sheet2!$A$2:$R$3432,5,0)</f>
        <v>MH31FJ7569</v>
      </c>
      <c r="N1375" s="5" t="s">
        <v>25</v>
      </c>
      <c r="O1375" s="5" t="s">
        <v>25</v>
      </c>
      <c r="P1375" s="6" t="s">
        <v>25</v>
      </c>
      <c r="Q1375" s="5" t="s">
        <v>25</v>
      </c>
      <c r="R1375" s="5" t="s">
        <v>25</v>
      </c>
      <c r="S1375" s="5" t="str">
        <f>VLOOKUP(A1375,Sheet2!$A$2:$R$3432,18,0)</f>
        <v>JL5CE55886</v>
      </c>
      <c r="T1375" s="7" t="str">
        <f>VLOOKUP(A1375,Sheet2!$A$2:$R$3432,17,0)</f>
        <v>MD2A36F47JCE58918</v>
      </c>
    </row>
    <row r="1376" ht="15.75" customHeight="1">
      <c r="A1376" s="3" t="s">
        <v>1399</v>
      </c>
      <c r="B1376" s="4" t="str">
        <f>VLOOKUP(A1376,Sheet2!$A$2:$R$3432,2,0)</f>
        <v>2025-04-05 20:31:43</v>
      </c>
      <c r="C1376" s="5" t="s">
        <v>25</v>
      </c>
      <c r="D1376" s="6" t="s">
        <v>25</v>
      </c>
      <c r="E1376" s="7">
        <f>VLOOKUP(A1376,Sheet2!$A$2:$R$3432,4,0)</f>
        <v>9665626256</v>
      </c>
      <c r="F1376" s="7" t="str">
        <f>VLOOKUP(A1376,Sheet2!$A$2:$R$3432,3,0)</f>
        <v>MAYUR</v>
      </c>
      <c r="G1376" s="5" t="s">
        <v>25</v>
      </c>
      <c r="H1376" s="5" t="s">
        <v>25</v>
      </c>
      <c r="I1376" s="5" t="s">
        <v>25</v>
      </c>
      <c r="J1376" s="5" t="s">
        <v>25</v>
      </c>
      <c r="K1376" s="7" t="str">
        <f>VLOOKUP(A1376,Sheet2!$A$2:$R$3432,6,0)</f>
        <v>Hero Passion Pro</v>
      </c>
      <c r="L1376" s="5" t="s">
        <v>25</v>
      </c>
      <c r="M1376" s="7" t="str">
        <f>VLOOKUP(A1376,Sheet2!$A$2:$R$3432,5,0)</f>
        <v>MH12NY6215</v>
      </c>
      <c r="N1376" s="5" t="s">
        <v>25</v>
      </c>
      <c r="O1376" s="5" t="s">
        <v>25</v>
      </c>
      <c r="P1376" s="6" t="s">
        <v>25</v>
      </c>
      <c r="Q1376" s="5" t="s">
        <v>25</v>
      </c>
      <c r="R1376" s="5" t="s">
        <v>25</v>
      </c>
      <c r="S1376" s="5" t="str">
        <f>VLOOKUP(A1376,Sheet2!$A$2:$R$3432,18,0)</f>
        <v>HA10AGNHB710</v>
      </c>
      <c r="T1376" s="7" t="str">
        <f>VLOOKUP(A1376,Sheet2!$A$2:$R$3432,17,0)</f>
        <v>MBLHAR182HHB6515</v>
      </c>
    </row>
    <row r="1377" ht="15.75" customHeight="1">
      <c r="A1377" s="3" t="s">
        <v>1400</v>
      </c>
      <c r="B1377" s="4" t="str">
        <f>VLOOKUP(A1377,Sheet2!$A$2:$R$3432,2,0)</f>
        <v>2025-04-05 20:32:24</v>
      </c>
      <c r="C1377" s="5" t="s">
        <v>25</v>
      </c>
      <c r="D1377" s="6" t="s">
        <v>25</v>
      </c>
      <c r="E1377" s="7">
        <f>VLOOKUP(A1377,Sheet2!$A$2:$R$3432,4,0)</f>
        <v>7030962464</v>
      </c>
      <c r="F1377" s="7" t="str">
        <f>VLOOKUP(A1377,Sheet2!$A$2:$R$3432,3,0)</f>
        <v>KAUSTUBH </v>
      </c>
      <c r="G1377" s="5" t="s">
        <v>25</v>
      </c>
      <c r="H1377" s="5" t="s">
        <v>25</v>
      </c>
      <c r="I1377" s="5" t="s">
        <v>25</v>
      </c>
      <c r="J1377" s="5" t="s">
        <v>25</v>
      </c>
      <c r="K1377" s="7" t="str">
        <f>VLOOKUP(A1377,Sheet2!$A$2:$R$3432,6,0)</f>
        <v>Honda Dio New</v>
      </c>
      <c r="L1377" s="5" t="s">
        <v>25</v>
      </c>
      <c r="M1377" s="7" t="str">
        <f>VLOOKUP(A1377,Sheet2!$A$2:$R$3432,5,0)</f>
        <v>MH14JG7531</v>
      </c>
      <c r="N1377" s="5" t="s">
        <v>25</v>
      </c>
      <c r="O1377" s="5" t="s">
        <v>25</v>
      </c>
      <c r="P1377" s="6" t="s">
        <v>25</v>
      </c>
      <c r="Q1377" s="5" t="s">
        <v>25</v>
      </c>
      <c r="R1377" s="5" t="s">
        <v>25</v>
      </c>
      <c r="S1377" s="5" t="str">
        <f>VLOOKUP(A1377,Sheet2!$A$2:$R$3432,18,0)</f>
        <v>JF98EW1002334</v>
      </c>
      <c r="T1377" s="7" t="str">
        <f>VLOOKUP(A1377,Sheet2!$A$2:$R$3432,17,0)</f>
        <v>ME4JF984BLW001779</v>
      </c>
    </row>
    <row r="1378" ht="15.75" customHeight="1">
      <c r="A1378" s="3" t="s">
        <v>1401</v>
      </c>
      <c r="B1378" s="4" t="str">
        <f>VLOOKUP(A1378,Sheet2!$A$2:$R$3432,2,0)</f>
        <v>2025-04-05 20:32:49</v>
      </c>
      <c r="C1378" s="5" t="s">
        <v>25</v>
      </c>
      <c r="D1378" s="6" t="s">
        <v>25</v>
      </c>
      <c r="E1378" s="7">
        <f>VLOOKUP(A1378,Sheet2!$A$2:$R$3432,4,0)</f>
        <v>9822160112</v>
      </c>
      <c r="F1378" s="7" t="str">
        <f>VLOOKUP(A1378,Sheet2!$A$2:$R$3432,3,0)</f>
        <v>Gaurav Mali </v>
      </c>
      <c r="G1378" s="5" t="s">
        <v>25</v>
      </c>
      <c r="H1378" s="5" t="s">
        <v>25</v>
      </c>
      <c r="I1378" s="5" t="s">
        <v>25</v>
      </c>
      <c r="J1378" s="5" t="s">
        <v>25</v>
      </c>
      <c r="K1378" s="7" t="str">
        <f>VLOOKUP(A1378,Sheet2!$A$2:$R$3432,6,0)</f>
        <v>Hero Pleasure </v>
      </c>
      <c r="L1378" s="5" t="s">
        <v>25</v>
      </c>
      <c r="M1378" s="7" t="str">
        <f>VLOOKUP(A1378,Sheet2!$A$2:$R$3432,5,0)</f>
        <v>MH14KK2379</v>
      </c>
      <c r="N1378" s="5" t="s">
        <v>25</v>
      </c>
      <c r="O1378" s="5" t="s">
        <v>25</v>
      </c>
      <c r="P1378" s="6" t="s">
        <v>25</v>
      </c>
      <c r="Q1378" s="5" t="s">
        <v>25</v>
      </c>
      <c r="R1378" s="5" t="s">
        <v>25</v>
      </c>
      <c r="S1378" s="5" t="str">
        <f>VLOOKUP(A1378,Sheet2!$A$2:$R$3432,18,0)</f>
        <v>JF16ESNGJ06392</v>
      </c>
      <c r="T1378" s="7" t="str">
        <f>VLOOKUP(A1378,Sheet2!$A$2:$R$3432,17,0)</f>
        <v>MBLJFW474NGJ18421</v>
      </c>
    </row>
    <row r="1379" ht="15.75" customHeight="1">
      <c r="A1379" s="3" t="s">
        <v>1402</v>
      </c>
      <c r="B1379" s="4" t="str">
        <f>VLOOKUP(A1379,Sheet2!$A$2:$R$3432,2,0)</f>
        <v>2025-04-05 17:37:09</v>
      </c>
      <c r="C1379" s="5" t="s">
        <v>25</v>
      </c>
      <c r="D1379" s="6" t="s">
        <v>25</v>
      </c>
      <c r="E1379" s="7">
        <f>VLOOKUP(A1379,Sheet2!$A$2:$R$3432,4,0)</f>
        <v>9975125481</v>
      </c>
      <c r="F1379" s="7" t="str">
        <f>VLOOKUP(A1379,Sheet2!$A$2:$R$3432,3,0)</f>
        <v>SHIVTEJ SHINDE</v>
      </c>
      <c r="G1379" s="5" t="s">
        <v>25</v>
      </c>
      <c r="H1379" s="5" t="s">
        <v>25</v>
      </c>
      <c r="I1379" s="5" t="s">
        <v>25</v>
      </c>
      <c r="J1379" s="5" t="s">
        <v>25</v>
      </c>
      <c r="K1379" s="7" t="str">
        <f>VLOOKUP(A1379,Sheet2!$A$2:$R$3432,6,0)</f>
        <v>Yamaha FZ S 2.0</v>
      </c>
      <c r="L1379" s="5" t="s">
        <v>25</v>
      </c>
      <c r="M1379" s="7" t="str">
        <f>VLOOKUP(A1379,Sheet2!$A$2:$R$3432,5,0)</f>
        <v>MH42AW3695</v>
      </c>
      <c r="N1379" s="5" t="s">
        <v>25</v>
      </c>
      <c r="O1379" s="5" t="s">
        <v>25</v>
      </c>
      <c r="P1379" s="6" t="s">
        <v>25</v>
      </c>
      <c r="Q1379" s="5" t="s">
        <v>25</v>
      </c>
      <c r="R1379" s="5" t="s">
        <v>25</v>
      </c>
      <c r="S1379" s="7" t="str">
        <f>VLOOKUP(A1379,Sheet2!$A$2:$R$3432,18,0)</f>
        <v/>
      </c>
      <c r="T1379" s="7" t="str">
        <f>VLOOKUP(A1379,Sheet2!$A$2:$R$3432,17,0)</f>
        <v/>
      </c>
    </row>
    <row r="1380" ht="15.75" customHeight="1">
      <c r="A1380" s="3" t="s">
        <v>1403</v>
      </c>
      <c r="B1380" s="4" t="str">
        <f>VLOOKUP(A1380,Sheet2!$A$2:$R$3432,2,0)</f>
        <v>2025-04-05 20:30:02</v>
      </c>
      <c r="C1380" s="5" t="s">
        <v>25</v>
      </c>
      <c r="D1380" s="6" t="s">
        <v>25</v>
      </c>
      <c r="E1380" s="7">
        <f>VLOOKUP(A1380,Sheet2!$A$2:$R$3432,4,0)</f>
        <v>8530252828</v>
      </c>
      <c r="F1380" s="7" t="str">
        <f>VLOOKUP(A1380,Sheet2!$A$2:$R$3432,3,0)</f>
        <v>Lalit More</v>
      </c>
      <c r="G1380" s="5" t="s">
        <v>25</v>
      </c>
      <c r="H1380" s="5" t="s">
        <v>25</v>
      </c>
      <c r="I1380" s="5" t="s">
        <v>25</v>
      </c>
      <c r="J1380" s="5" t="s">
        <v>25</v>
      </c>
      <c r="K1380" s="7" t="str">
        <f>VLOOKUP(A1380,Sheet2!$A$2:$R$3432,6,0)</f>
        <v>Honda Activa 6G</v>
      </c>
      <c r="L1380" s="5" t="s">
        <v>25</v>
      </c>
      <c r="M1380" s="7" t="str">
        <f>VLOOKUP(A1380,Sheet2!$A$2:$R$3432,5,0)</f>
        <v>MH14KT6304</v>
      </c>
      <c r="N1380" s="5" t="s">
        <v>25</v>
      </c>
      <c r="O1380" s="5" t="s">
        <v>25</v>
      </c>
      <c r="P1380" s="6" t="s">
        <v>25</v>
      </c>
      <c r="Q1380" s="5" t="s">
        <v>25</v>
      </c>
      <c r="R1380" s="5" t="s">
        <v>25</v>
      </c>
      <c r="S1380" s="5" t="str">
        <f>VLOOKUP(A1380,Sheet2!$A$2:$R$3432,18,0)</f>
        <v>JK15EG5077887</v>
      </c>
      <c r="T1380" s="7" t="str">
        <f>VLOOKUP(A1380,Sheet2!$A$2:$R$3432,17,0)</f>
        <v>ME40K156DPG0787518</v>
      </c>
    </row>
    <row r="1381" ht="15.75" customHeight="1">
      <c r="A1381" s="3" t="s">
        <v>1404</v>
      </c>
      <c r="B1381" s="4" t="str">
        <f>VLOOKUP(A1381,Sheet2!$A$2:$R$3432,2,0)</f>
        <v>2025-04-05 17:51:54</v>
      </c>
      <c r="C1381" s="5" t="s">
        <v>25</v>
      </c>
      <c r="D1381" s="6" t="s">
        <v>25</v>
      </c>
      <c r="E1381" s="7">
        <f>VLOOKUP(A1381,Sheet2!$A$2:$R$3432,4,0)</f>
        <v>9881212187</v>
      </c>
      <c r="F1381" s="7" t="str">
        <f>VLOOKUP(A1381,Sheet2!$A$2:$R$3432,3,0)</f>
        <v>Sujeet Sanap</v>
      </c>
      <c r="G1381" s="5" t="s">
        <v>25</v>
      </c>
      <c r="H1381" s="5" t="s">
        <v>25</v>
      </c>
      <c r="I1381" s="5" t="s">
        <v>25</v>
      </c>
      <c r="J1381" s="5" t="s">
        <v>25</v>
      </c>
      <c r="K1381" s="7" t="str">
        <f>VLOOKUP(A1381,Sheet2!$A$2:$R$3432,6,0)</f>
        <v>Hero Pleasure </v>
      </c>
      <c r="L1381" s="5" t="s">
        <v>25</v>
      </c>
      <c r="M1381" s="7" t="str">
        <f>VLOOKUP(A1381,Sheet2!$A$2:$R$3432,5,0)</f>
        <v>MH14FP0537</v>
      </c>
      <c r="N1381" s="5" t="s">
        <v>25</v>
      </c>
      <c r="O1381" s="5" t="s">
        <v>25</v>
      </c>
      <c r="P1381" s="6" t="s">
        <v>25</v>
      </c>
      <c r="Q1381" s="5" t="s">
        <v>25</v>
      </c>
      <c r="R1381" s="5" t="s">
        <v>25</v>
      </c>
      <c r="S1381" s="7" t="str">
        <f>VLOOKUP(A1381,Sheet2!$A$2:$R$3432,18,0)</f>
        <v/>
      </c>
      <c r="T1381" s="7" t="str">
        <f>VLOOKUP(A1381,Sheet2!$A$2:$R$3432,17,0)</f>
        <v/>
      </c>
    </row>
    <row r="1382" ht="15.75" customHeight="1">
      <c r="A1382" s="3" t="s">
        <v>1405</v>
      </c>
      <c r="B1382" s="4" t="str">
        <f>VLOOKUP(A1382,Sheet2!$A$2:$R$3432,2,0)</f>
        <v>2025-04-05 20:32:10</v>
      </c>
      <c r="C1382" s="5" t="s">
        <v>25</v>
      </c>
      <c r="D1382" s="6" t="s">
        <v>25</v>
      </c>
      <c r="E1382" s="7">
        <f>VLOOKUP(A1382,Sheet2!$A$2:$R$3432,4,0)</f>
        <v>9850278965</v>
      </c>
      <c r="F1382" s="7" t="str">
        <f>VLOOKUP(A1382,Sheet2!$A$2:$R$3432,3,0)</f>
        <v>Prashant Godane</v>
      </c>
      <c r="G1382" s="5" t="s">
        <v>25</v>
      </c>
      <c r="H1382" s="5" t="s">
        <v>25</v>
      </c>
      <c r="I1382" s="5" t="s">
        <v>25</v>
      </c>
      <c r="J1382" s="5" t="s">
        <v>25</v>
      </c>
      <c r="K1382" s="7" t="str">
        <f>VLOOKUP(A1382,Sheet2!$A$2:$R$3432,6,0)</f>
        <v>Hero Splendor Plus</v>
      </c>
      <c r="L1382" s="5" t="s">
        <v>25</v>
      </c>
      <c r="M1382" s="7" t="str">
        <f>VLOOKUP(A1382,Sheet2!$A$2:$R$3432,5,0)</f>
        <v>MH14AU4388</v>
      </c>
      <c r="N1382" s="5" t="s">
        <v>25</v>
      </c>
      <c r="O1382" s="5" t="s">
        <v>25</v>
      </c>
      <c r="P1382" s="6" t="s">
        <v>25</v>
      </c>
      <c r="Q1382" s="5" t="s">
        <v>25</v>
      </c>
      <c r="R1382" s="5" t="s">
        <v>25</v>
      </c>
      <c r="S1382" s="7" t="str">
        <f>VLOOKUP(A1382,Sheet2!$A$2:$R$3432,18,0)</f>
        <v/>
      </c>
      <c r="T1382" s="7" t="str">
        <f>VLOOKUP(A1382,Sheet2!$A$2:$R$3432,17,0)</f>
        <v/>
      </c>
    </row>
    <row r="1383" ht="15.75" customHeight="1">
      <c r="A1383" s="3" t="s">
        <v>1406</v>
      </c>
      <c r="B1383" s="4" t="str">
        <f>VLOOKUP(A1383,Sheet2!$A$2:$R$3432,2,0)</f>
        <v>2025-04-05 18:17:18</v>
      </c>
      <c r="C1383" s="5" t="s">
        <v>25</v>
      </c>
      <c r="D1383" s="6" t="s">
        <v>25</v>
      </c>
      <c r="E1383" s="7">
        <f>VLOOKUP(A1383,Sheet2!$A$2:$R$3432,4,0)</f>
        <v>9579465253</v>
      </c>
      <c r="F1383" s="7" t="str">
        <f>VLOOKUP(A1383,Sheet2!$A$2:$R$3432,3,0)</f>
        <v>VINAYAK BOBADE</v>
      </c>
      <c r="G1383" s="5" t="s">
        <v>25</v>
      </c>
      <c r="H1383" s="5" t="s">
        <v>25</v>
      </c>
      <c r="I1383" s="5" t="s">
        <v>25</v>
      </c>
      <c r="J1383" s="5" t="s">
        <v>25</v>
      </c>
      <c r="K1383" s="7" t="str">
        <f>VLOOKUP(A1383,Sheet2!$A$2:$R$3432,6,0)</f>
        <v>Hero Splendor Pro</v>
      </c>
      <c r="L1383" s="5" t="s">
        <v>25</v>
      </c>
      <c r="M1383" s="7" t="str">
        <f>VLOOKUP(A1383,Sheet2!$A$2:$R$3432,5,0)</f>
        <v>MH34AK7823</v>
      </c>
      <c r="N1383" s="5" t="s">
        <v>25</v>
      </c>
      <c r="O1383" s="5" t="s">
        <v>25</v>
      </c>
      <c r="P1383" s="6" t="s">
        <v>25</v>
      </c>
      <c r="Q1383" s="5" t="s">
        <v>25</v>
      </c>
      <c r="R1383" s="5" t="s">
        <v>25</v>
      </c>
      <c r="S1383" s="7" t="str">
        <f>VLOOKUP(A1383,Sheet2!$A$2:$R$3432,18,0)</f>
        <v/>
      </c>
      <c r="T1383" s="7" t="str">
        <f>VLOOKUP(A1383,Sheet2!$A$2:$R$3432,17,0)</f>
        <v/>
      </c>
    </row>
    <row r="1384" ht="15.75" customHeight="1">
      <c r="A1384" s="3" t="s">
        <v>1407</v>
      </c>
      <c r="B1384" s="4" t="str">
        <f>VLOOKUP(A1384,Sheet2!$A$2:$R$3432,2,0)</f>
        <v>2025-04-05 18:21:05</v>
      </c>
      <c r="C1384" s="5" t="s">
        <v>25</v>
      </c>
      <c r="D1384" s="6" t="s">
        <v>25</v>
      </c>
      <c r="E1384" s="7">
        <f>VLOOKUP(A1384,Sheet2!$A$2:$R$3432,4,0)</f>
        <v>8209857827</v>
      </c>
      <c r="F1384" s="7" t="str">
        <f>VLOOKUP(A1384,Sheet2!$A$2:$R$3432,3,0)</f>
        <v>Nehal Sharma</v>
      </c>
      <c r="G1384" s="5" t="s">
        <v>25</v>
      </c>
      <c r="H1384" s="5" t="s">
        <v>25</v>
      </c>
      <c r="I1384" s="5" t="s">
        <v>25</v>
      </c>
      <c r="J1384" s="5" t="s">
        <v>25</v>
      </c>
      <c r="K1384" s="7" t="str">
        <f>VLOOKUP(A1384,Sheet2!$A$2:$R$3432,6,0)</f>
        <v>Honda Activa 3G</v>
      </c>
      <c r="L1384" s="5" t="s">
        <v>25</v>
      </c>
      <c r="M1384" s="7" t="str">
        <f>VLOOKUP(A1384,Sheet2!$A$2:$R$3432,5,0)</f>
        <v>MH12NC6918</v>
      </c>
      <c r="N1384" s="5" t="s">
        <v>25</v>
      </c>
      <c r="O1384" s="5" t="s">
        <v>25</v>
      </c>
      <c r="P1384" s="6" t="s">
        <v>25</v>
      </c>
      <c r="Q1384" s="5" t="s">
        <v>25</v>
      </c>
      <c r="R1384" s="5" t="s">
        <v>25</v>
      </c>
      <c r="S1384" s="7" t="str">
        <f>VLOOKUP(A1384,Sheet2!$A$2:$R$3432,18,0)</f>
        <v/>
      </c>
      <c r="T1384" s="7" t="str">
        <f>VLOOKUP(A1384,Sheet2!$A$2:$R$3432,17,0)</f>
        <v/>
      </c>
    </row>
    <row r="1385" ht="15.75" customHeight="1">
      <c r="A1385" s="3" t="s">
        <v>1408</v>
      </c>
      <c r="B1385" s="4" t="str">
        <f>VLOOKUP(A1385,Sheet2!$A$2:$R$3432,2,0)</f>
        <v>2025-04-05 20:30:20</v>
      </c>
      <c r="C1385" s="5" t="s">
        <v>25</v>
      </c>
      <c r="D1385" s="6" t="s">
        <v>25</v>
      </c>
      <c r="E1385" s="7">
        <f>VLOOKUP(A1385,Sheet2!$A$2:$R$3432,4,0)</f>
        <v>7062155658</v>
      </c>
      <c r="F1385" s="7" t="str">
        <f>VLOOKUP(A1385,Sheet2!$A$2:$R$3432,3,0)</f>
        <v>Gautam</v>
      </c>
      <c r="G1385" s="5" t="s">
        <v>25</v>
      </c>
      <c r="H1385" s="5" t="s">
        <v>25</v>
      </c>
      <c r="I1385" s="5" t="s">
        <v>25</v>
      </c>
      <c r="J1385" s="5" t="s">
        <v>25</v>
      </c>
      <c r="K1385" s="7" t="str">
        <f>VLOOKUP(A1385,Sheet2!$A$2:$R$3432,6,0)</f>
        <v>TVS Jupiter BS6</v>
      </c>
      <c r="L1385" s="5" t="s">
        <v>25</v>
      </c>
      <c r="M1385" s="7" t="str">
        <f>VLOOKUP(A1385,Sheet2!$A$2:$R$3432,5,0)</f>
        <v>MH14JC8962</v>
      </c>
      <c r="N1385" s="5" t="s">
        <v>25</v>
      </c>
      <c r="O1385" s="5" t="s">
        <v>25</v>
      </c>
      <c r="P1385" s="6" t="s">
        <v>25</v>
      </c>
      <c r="Q1385" s="5" t="s">
        <v>25</v>
      </c>
      <c r="R1385" s="5" t="s">
        <v>25</v>
      </c>
      <c r="S1385" s="5" t="str">
        <f>VLOOKUP(A1385,Sheet2!$A$2:$R$3432,18,0)</f>
        <v>EG5HL3717015</v>
      </c>
      <c r="T1385" s="7" t="str">
        <f>VLOOKUP(A1385,Sheet2!$A$2:$R$3432,17,0)</f>
        <v>MD626CG52L3A19254</v>
      </c>
    </row>
    <row r="1386" ht="15.75" customHeight="1">
      <c r="A1386" s="3" t="s">
        <v>1409</v>
      </c>
      <c r="B1386" s="4" t="str">
        <f>VLOOKUP(A1386,Sheet2!$A$2:$R$3432,2,0)</f>
        <v>2025-04-05 20:31:20</v>
      </c>
      <c r="C1386" s="5" t="s">
        <v>25</v>
      </c>
      <c r="D1386" s="6" t="s">
        <v>25</v>
      </c>
      <c r="E1386" s="7">
        <f>VLOOKUP(A1386,Sheet2!$A$2:$R$3432,4,0)</f>
        <v>7676630408</v>
      </c>
      <c r="F1386" s="7" t="str">
        <f>VLOOKUP(A1386,Sheet2!$A$2:$R$3432,3,0)</f>
        <v>SUJIT KUMBHAR </v>
      </c>
      <c r="G1386" s="5" t="s">
        <v>25</v>
      </c>
      <c r="H1386" s="5" t="s">
        <v>25</v>
      </c>
      <c r="I1386" s="5" t="s">
        <v>25</v>
      </c>
      <c r="J1386" s="5" t="s">
        <v>25</v>
      </c>
      <c r="K1386" s="7" t="str">
        <f>VLOOKUP(A1386,Sheet2!$A$2:$R$3432,6,0)</f>
        <v>Honda Activa 3G</v>
      </c>
      <c r="L1386" s="5" t="s">
        <v>25</v>
      </c>
      <c r="M1386" s="7" t="str">
        <f>VLOOKUP(A1386,Sheet2!$A$2:$R$3432,5,0)</f>
        <v>KA22ES5733</v>
      </c>
      <c r="N1386" s="5" t="s">
        <v>25</v>
      </c>
      <c r="O1386" s="5" t="s">
        <v>25</v>
      </c>
      <c r="P1386" s="6" t="s">
        <v>25</v>
      </c>
      <c r="Q1386" s="5" t="s">
        <v>25</v>
      </c>
      <c r="R1386" s="5" t="s">
        <v>25</v>
      </c>
      <c r="S1386" s="5" t="str">
        <f>VLOOKUP(A1386,Sheet2!$A$2:$R$3432,18,0)</f>
        <v>JF50ET2180303</v>
      </c>
      <c r="T1386" s="7" t="str">
        <f>VLOOKUP(A1386,Sheet2!$A$2:$R$3432,17,0)</f>
        <v>ME4JF504CFT2702725</v>
      </c>
    </row>
    <row r="1387" ht="15.75" customHeight="1">
      <c r="A1387" s="3" t="s">
        <v>1410</v>
      </c>
      <c r="B1387" s="4" t="str">
        <f>VLOOKUP(A1387,Sheet2!$A$2:$R$3432,2,0)</f>
        <v>2025-03-21 10:11:34</v>
      </c>
      <c r="C1387" s="5" t="s">
        <v>25</v>
      </c>
      <c r="D1387" s="6" t="s">
        <v>25</v>
      </c>
      <c r="E1387" s="7">
        <f>VLOOKUP(A1387,Sheet2!$A$2:$R$3432,4,0)</f>
        <v>8793291777</v>
      </c>
      <c r="F1387" s="7" t="str">
        <f>VLOOKUP(A1387,Sheet2!$A$2:$R$3432,3,0)</f>
        <v>ANIKESH BHAVSAR</v>
      </c>
      <c r="G1387" s="5" t="s">
        <v>25</v>
      </c>
      <c r="H1387" s="5" t="s">
        <v>25</v>
      </c>
      <c r="I1387" s="5" t="s">
        <v>25</v>
      </c>
      <c r="J1387" s="5" t="s">
        <v>25</v>
      </c>
      <c r="K1387" s="7" t="str">
        <f>VLOOKUP(A1387,Sheet2!$A$2:$R$3432,6,0)</f>
        <v>Yamaha MT 15</v>
      </c>
      <c r="L1387" s="5" t="s">
        <v>25</v>
      </c>
      <c r="M1387" s="7" t="str">
        <f>VLOOKUP(A1387,Sheet2!$A$2:$R$3432,5,0)</f>
        <v>MH12SS3423</v>
      </c>
      <c r="N1387" s="5" t="s">
        <v>25</v>
      </c>
      <c r="O1387" s="5" t="s">
        <v>25</v>
      </c>
      <c r="P1387" s="6" t="s">
        <v>25</v>
      </c>
      <c r="Q1387" s="5" t="s">
        <v>25</v>
      </c>
      <c r="R1387" s="5" t="s">
        <v>25</v>
      </c>
      <c r="S1387" s="5" t="str">
        <f>VLOOKUP(A1387,Sheet2!$A$2:$R$3432,18,0)</f>
        <v>GD3N4E0002280</v>
      </c>
      <c r="T1387" s="7" t="str">
        <f>VLOOKUP(A1387,Sheet2!$A$2:$R$3432,17,0)</f>
        <v>ME1RG6813L003964</v>
      </c>
    </row>
    <row r="1388" ht="15.75" customHeight="1">
      <c r="A1388" s="3" t="s">
        <v>1411</v>
      </c>
      <c r="B1388" s="4" t="str">
        <f>VLOOKUP(A1388,Sheet2!$A$2:$R$3432,2,0)</f>
        <v>2025-03-21 09:54:56</v>
      </c>
      <c r="C1388" s="5" t="s">
        <v>25</v>
      </c>
      <c r="D1388" s="6" t="s">
        <v>25</v>
      </c>
      <c r="E1388" s="7">
        <f>VLOOKUP(A1388,Sheet2!$A$2:$R$3432,4,0)</f>
        <v>7709146799</v>
      </c>
      <c r="F1388" s="7" t="str">
        <f>VLOOKUP(A1388,Sheet2!$A$2:$R$3432,3,0)</f>
        <v>Shubham Chopra </v>
      </c>
      <c r="G1388" s="5" t="s">
        <v>25</v>
      </c>
      <c r="H1388" s="5" t="s">
        <v>25</v>
      </c>
      <c r="I1388" s="5" t="s">
        <v>25</v>
      </c>
      <c r="J1388" s="5" t="s">
        <v>25</v>
      </c>
      <c r="K1388" s="7" t="str">
        <f>VLOOKUP(A1388,Sheet2!$A$2:$R$3432,6,0)</f>
        <v>Bajaj Pulsar 180</v>
      </c>
      <c r="L1388" s="5" t="s">
        <v>25</v>
      </c>
      <c r="M1388" s="7" t="str">
        <f>VLOOKUP(A1388,Sheet2!$A$2:$R$3432,5,0)</f>
        <v>MH14DK0245</v>
      </c>
      <c r="N1388" s="5" t="s">
        <v>25</v>
      </c>
      <c r="O1388" s="5" t="s">
        <v>25</v>
      </c>
      <c r="P1388" s="6" t="s">
        <v>25</v>
      </c>
      <c r="Q1388" s="5" t="s">
        <v>25</v>
      </c>
      <c r="R1388" s="5" t="s">
        <v>25</v>
      </c>
      <c r="S1388" s="5" t="str">
        <f>VLOOKUP(A1388,Sheet2!$A$2:$R$3432,18,0)</f>
        <v>DJCBUL75235</v>
      </c>
      <c r="T1388" s="7" t="str">
        <f>VLOOKUP(A1388,Sheet2!$A$2:$R$3432,17,0)</f>
        <v>MDZDJZZUCL27590</v>
      </c>
    </row>
    <row r="1389" ht="15.75" customHeight="1">
      <c r="A1389" s="3" t="s">
        <v>1412</v>
      </c>
      <c r="B1389" s="4" t="str">
        <f>VLOOKUP(A1389,Sheet2!$A$2:$R$3432,2,0)</f>
        <v>2025-03-21 09:55:38</v>
      </c>
      <c r="C1389" s="5" t="s">
        <v>25</v>
      </c>
      <c r="D1389" s="6" t="s">
        <v>25</v>
      </c>
      <c r="E1389" s="7">
        <f>VLOOKUP(A1389,Sheet2!$A$2:$R$3432,4,0)</f>
        <v>9833114601</v>
      </c>
      <c r="F1389" s="7" t="str">
        <f>VLOOKUP(A1389,Sheet2!$A$2:$R$3432,3,0)</f>
        <v>RAMESH CHAUDHARI </v>
      </c>
      <c r="G1389" s="5" t="s">
        <v>25</v>
      </c>
      <c r="H1389" s="5" t="s">
        <v>25</v>
      </c>
      <c r="I1389" s="5" t="s">
        <v>25</v>
      </c>
      <c r="J1389" s="5" t="s">
        <v>25</v>
      </c>
      <c r="K1389" s="7" t="str">
        <f>VLOOKUP(A1389,Sheet2!$A$2:$R$3432,6,0)</f>
        <v>Hero Splendor iSmart</v>
      </c>
      <c r="L1389" s="5" t="s">
        <v>25</v>
      </c>
      <c r="M1389" s="7" t="str">
        <f>VLOOKUP(A1389,Sheet2!$A$2:$R$3432,5,0)</f>
        <v>MH12MS4558</v>
      </c>
      <c r="N1389" s="5" t="s">
        <v>25</v>
      </c>
      <c r="O1389" s="5" t="s">
        <v>25</v>
      </c>
      <c r="P1389" s="6" t="s">
        <v>25</v>
      </c>
      <c r="Q1389" s="5" t="s">
        <v>25</v>
      </c>
      <c r="R1389" s="5" t="s">
        <v>25</v>
      </c>
      <c r="S1389" s="5" t="str">
        <f>VLOOKUP(A1389,Sheet2!$A$2:$R$3432,18,0)</f>
        <v>HA10EYFHL61084</v>
      </c>
      <c r="T1389" s="7" t="str">
        <f>VLOOKUP(A1389,Sheet2!$A$2:$R$3432,17,0)</f>
        <v>MBLHA10CAFHL31765</v>
      </c>
    </row>
    <row r="1390" ht="15.75" customHeight="1">
      <c r="A1390" s="3" t="s">
        <v>1413</v>
      </c>
      <c r="B1390" s="4" t="str">
        <f>VLOOKUP(A1390,Sheet2!$A$2:$R$3432,2,0)</f>
        <v>2025-03-21 19:35:35</v>
      </c>
      <c r="C1390" s="5" t="s">
        <v>25</v>
      </c>
      <c r="D1390" s="6" t="s">
        <v>25</v>
      </c>
      <c r="E1390" s="7">
        <f>VLOOKUP(A1390,Sheet2!$A$2:$R$3432,4,0)</f>
        <v>9370192988</v>
      </c>
      <c r="F1390" s="7" t="str">
        <f>VLOOKUP(A1390,Sheet2!$A$2:$R$3432,3,0)</f>
        <v>Vivek </v>
      </c>
      <c r="G1390" s="5" t="s">
        <v>25</v>
      </c>
      <c r="H1390" s="5" t="s">
        <v>25</v>
      </c>
      <c r="I1390" s="5" t="s">
        <v>25</v>
      </c>
      <c r="J1390" s="5" t="s">
        <v>25</v>
      </c>
      <c r="K1390" s="7" t="str">
        <f>VLOOKUP(A1390,Sheet2!$A$2:$R$3432,6,0)</f>
        <v>Honda Activa 3G</v>
      </c>
      <c r="L1390" s="5" t="s">
        <v>25</v>
      </c>
      <c r="M1390" s="7" t="str">
        <f>VLOOKUP(A1390,Sheet2!$A$2:$R$3432,5,0)</f>
        <v>MH14FP6536</v>
      </c>
      <c r="N1390" s="5" t="s">
        <v>25</v>
      </c>
      <c r="O1390" s="5" t="s">
        <v>25</v>
      </c>
      <c r="P1390" s="6" t="s">
        <v>25</v>
      </c>
      <c r="Q1390" s="5" t="s">
        <v>25</v>
      </c>
      <c r="R1390" s="5" t="s">
        <v>25</v>
      </c>
      <c r="S1390" s="5" t="str">
        <f>VLOOKUP(A1390,Sheet2!$A$2:$R$3432,18,0)</f>
        <v>JF503315357</v>
      </c>
      <c r="T1390" s="7" t="str">
        <f>VLOOKUP(A1390,Sheet2!$A$2:$R$3432,17,0)</f>
        <v>ME45F50GT314980</v>
      </c>
    </row>
    <row r="1391" ht="15.75" customHeight="1">
      <c r="A1391" s="3" t="s">
        <v>1414</v>
      </c>
      <c r="B1391" s="4" t="str">
        <f>VLOOKUP(A1391,Sheet2!$A$2:$R$3432,2,0)</f>
        <v>2025-03-21 19:36:10</v>
      </c>
      <c r="C1391" s="5" t="s">
        <v>25</v>
      </c>
      <c r="D1391" s="6" t="s">
        <v>25</v>
      </c>
      <c r="E1391" s="7">
        <f>VLOOKUP(A1391,Sheet2!$A$2:$R$3432,4,0)</f>
        <v>7769824669</v>
      </c>
      <c r="F1391" s="7" t="str">
        <f>VLOOKUP(A1391,Sheet2!$A$2:$R$3432,3,0)</f>
        <v>Shreyas Sonwane </v>
      </c>
      <c r="G1391" s="5" t="s">
        <v>25</v>
      </c>
      <c r="H1391" s="5" t="s">
        <v>25</v>
      </c>
      <c r="I1391" s="5" t="s">
        <v>25</v>
      </c>
      <c r="J1391" s="5" t="s">
        <v>25</v>
      </c>
      <c r="K1391" s="7" t="str">
        <f>VLOOKUP(A1391,Sheet2!$A$2:$R$3432,6,0)</f>
        <v>Hero Passion Pro</v>
      </c>
      <c r="L1391" s="5" t="s">
        <v>25</v>
      </c>
      <c r="M1391" s="7" t="str">
        <f>VLOOKUP(A1391,Sheet2!$A$2:$R$3432,5,0)</f>
        <v>MH15FA5003</v>
      </c>
      <c r="N1391" s="5" t="s">
        <v>25</v>
      </c>
      <c r="O1391" s="5" t="s">
        <v>25</v>
      </c>
      <c r="P1391" s="6" t="s">
        <v>25</v>
      </c>
      <c r="Q1391" s="5" t="s">
        <v>25</v>
      </c>
      <c r="R1391" s="5" t="s">
        <v>25</v>
      </c>
      <c r="S1391" s="7" t="str">
        <f>VLOOKUP(A1391,Sheet2!$A$2:$R$3432,18,0)</f>
        <v/>
      </c>
      <c r="T1391" s="7" t="str">
        <f>VLOOKUP(A1391,Sheet2!$A$2:$R$3432,17,0)</f>
        <v/>
      </c>
    </row>
    <row r="1392" ht="15.75" customHeight="1">
      <c r="A1392" s="3" t="s">
        <v>1415</v>
      </c>
      <c r="B1392" s="4" t="str">
        <f>VLOOKUP(A1392,Sheet2!$A$2:$R$3432,2,0)</f>
        <v>2025-03-21 19:37:13</v>
      </c>
      <c r="C1392" s="5" t="s">
        <v>25</v>
      </c>
      <c r="D1392" s="6" t="s">
        <v>25</v>
      </c>
      <c r="E1392" s="7">
        <f>VLOOKUP(A1392,Sheet2!$A$2:$R$3432,4,0)</f>
        <v>9403833134</v>
      </c>
      <c r="F1392" s="7" t="str">
        <f>VLOOKUP(A1392,Sheet2!$A$2:$R$3432,3,0)</f>
        <v>Kedar Lachke</v>
      </c>
      <c r="G1392" s="5" t="s">
        <v>25</v>
      </c>
      <c r="H1392" s="5" t="s">
        <v>25</v>
      </c>
      <c r="I1392" s="5" t="s">
        <v>25</v>
      </c>
      <c r="J1392" s="5" t="s">
        <v>25</v>
      </c>
      <c r="K1392" s="7" t="str">
        <f>VLOOKUP(A1392,Sheet2!$A$2:$R$3432,6,0)</f>
        <v>TVS Wego </v>
      </c>
      <c r="L1392" s="5" t="s">
        <v>25</v>
      </c>
      <c r="M1392" s="7" t="str">
        <f>VLOOKUP(A1392,Sheet2!$A$2:$R$3432,5,0)</f>
        <v>MH12HP7311</v>
      </c>
      <c r="N1392" s="5" t="s">
        <v>25</v>
      </c>
      <c r="O1392" s="5" t="s">
        <v>25</v>
      </c>
      <c r="P1392" s="6" t="s">
        <v>25</v>
      </c>
      <c r="Q1392" s="5" t="s">
        <v>25</v>
      </c>
      <c r="R1392" s="5" t="s">
        <v>25</v>
      </c>
      <c r="S1392" s="5" t="str">
        <f>VLOOKUP(A1392,Sheet2!$A$2:$R$3432,18,0)</f>
        <v>x</v>
      </c>
      <c r="T1392" s="7" t="str">
        <f>VLOOKUP(A1392,Sheet2!$A$2:$R$3432,17,0)</f>
        <v>RUSTY FRAME</v>
      </c>
    </row>
    <row r="1393" ht="15.75" customHeight="1">
      <c r="A1393" s="3" t="s">
        <v>1416</v>
      </c>
      <c r="B1393" s="4" t="str">
        <f>VLOOKUP(A1393,Sheet2!$A$2:$R$3432,2,0)</f>
        <v>2025-03-21 19:37:41</v>
      </c>
      <c r="C1393" s="5" t="s">
        <v>25</v>
      </c>
      <c r="D1393" s="6" t="s">
        <v>25</v>
      </c>
      <c r="E1393" s="7">
        <f>VLOOKUP(A1393,Sheet2!$A$2:$R$3432,4,0)</f>
        <v>9773790675</v>
      </c>
      <c r="F1393" s="7" t="str">
        <f>VLOOKUP(A1393,Sheet2!$A$2:$R$3432,3,0)</f>
        <v>Ujwala </v>
      </c>
      <c r="G1393" s="5" t="s">
        <v>25</v>
      </c>
      <c r="H1393" s="5" t="s">
        <v>25</v>
      </c>
      <c r="I1393" s="5" t="s">
        <v>25</v>
      </c>
      <c r="J1393" s="5" t="s">
        <v>25</v>
      </c>
      <c r="K1393" s="7" t="str">
        <f>VLOOKUP(A1393,Sheet2!$A$2:$R$3432,6,0)</f>
        <v>TVS Jupiter </v>
      </c>
      <c r="L1393" s="5" t="s">
        <v>25</v>
      </c>
      <c r="M1393" s="7" t="str">
        <f>VLOOKUP(A1393,Sheet2!$A$2:$R$3432,5,0)</f>
        <v>MH14GB3965</v>
      </c>
      <c r="N1393" s="5" t="s">
        <v>25</v>
      </c>
      <c r="O1393" s="5" t="s">
        <v>25</v>
      </c>
      <c r="P1393" s="6" t="s">
        <v>25</v>
      </c>
      <c r="Q1393" s="5" t="s">
        <v>25</v>
      </c>
      <c r="R1393" s="5" t="s">
        <v>25</v>
      </c>
      <c r="S1393" s="7" t="str">
        <f>VLOOKUP(A1393,Sheet2!$A$2:$R$3432,18,0)</f>
        <v/>
      </c>
      <c r="T1393" s="7" t="str">
        <f>VLOOKUP(A1393,Sheet2!$A$2:$R$3432,17,0)</f>
        <v/>
      </c>
    </row>
    <row r="1394" ht="15.75" customHeight="1">
      <c r="A1394" s="3" t="s">
        <v>1417</v>
      </c>
      <c r="B1394" s="4" t="str">
        <f>VLOOKUP(A1394,Sheet2!$A$2:$R$3432,2,0)</f>
        <v>2025-03-21 19:38:08</v>
      </c>
      <c r="C1394" s="5" t="s">
        <v>25</v>
      </c>
      <c r="D1394" s="6" t="s">
        <v>25</v>
      </c>
      <c r="E1394" s="7">
        <f>VLOOKUP(A1394,Sheet2!$A$2:$R$3432,4,0)</f>
        <v>9623443324</v>
      </c>
      <c r="F1394" s="7" t="str">
        <f>VLOOKUP(A1394,Sheet2!$A$2:$R$3432,3,0)</f>
        <v>Akshay </v>
      </c>
      <c r="G1394" s="5" t="s">
        <v>25</v>
      </c>
      <c r="H1394" s="5" t="s">
        <v>25</v>
      </c>
      <c r="I1394" s="5" t="s">
        <v>25</v>
      </c>
      <c r="J1394" s="5" t="s">
        <v>25</v>
      </c>
      <c r="K1394" s="7" t="str">
        <f>VLOOKUP(A1394,Sheet2!$A$2:$R$3432,6,0)</f>
        <v>KTM Duke 390</v>
      </c>
      <c r="L1394" s="5" t="s">
        <v>25</v>
      </c>
      <c r="M1394" s="7" t="str">
        <f>VLOOKUP(A1394,Sheet2!$A$2:$R$3432,5,0)</f>
        <v>MH29CA1422</v>
      </c>
      <c r="N1394" s="5" t="s">
        <v>25</v>
      </c>
      <c r="O1394" s="5" t="s">
        <v>25</v>
      </c>
      <c r="P1394" s="6" t="s">
        <v>25</v>
      </c>
      <c r="Q1394" s="5" t="s">
        <v>25</v>
      </c>
      <c r="R1394" s="5" t="s">
        <v>25</v>
      </c>
      <c r="S1394" s="7" t="str">
        <f>VLOOKUP(A1394,Sheet2!$A$2:$R$3432,18,0)</f>
        <v/>
      </c>
      <c r="T1394" s="7" t="str">
        <f>VLOOKUP(A1394,Sheet2!$A$2:$R$3432,17,0)</f>
        <v/>
      </c>
    </row>
    <row r="1395" ht="15.75" customHeight="1">
      <c r="A1395" s="3" t="s">
        <v>1418</v>
      </c>
      <c r="B1395" s="4" t="str">
        <f>VLOOKUP(A1395,Sheet2!$A$2:$R$3432,2,0)</f>
        <v>2025-03-21 19:43:22</v>
      </c>
      <c r="C1395" s="5" t="s">
        <v>25</v>
      </c>
      <c r="D1395" s="6" t="s">
        <v>25</v>
      </c>
      <c r="E1395" s="7">
        <f>VLOOKUP(A1395,Sheet2!$A$2:$R$3432,4,0)</f>
        <v>9860196088</v>
      </c>
      <c r="F1395" s="7" t="str">
        <f>VLOOKUP(A1395,Sheet2!$A$2:$R$3432,3,0)</f>
        <v>REVAN KARADI</v>
      </c>
      <c r="G1395" s="5" t="s">
        <v>25</v>
      </c>
      <c r="H1395" s="5" t="s">
        <v>25</v>
      </c>
      <c r="I1395" s="5" t="s">
        <v>25</v>
      </c>
      <c r="J1395" s="5" t="s">
        <v>25</v>
      </c>
      <c r="K1395" s="7" t="str">
        <f>VLOOKUP(A1395,Sheet2!$A$2:$R$3432,6,0)</f>
        <v>Bajaj Discover 100</v>
      </c>
      <c r="L1395" s="5" t="s">
        <v>25</v>
      </c>
      <c r="M1395" s="7" t="str">
        <f>VLOOKUP(A1395,Sheet2!$A$2:$R$3432,5,0)</f>
        <v>MH12JB2174</v>
      </c>
      <c r="N1395" s="5" t="s">
        <v>25</v>
      </c>
      <c r="O1395" s="5" t="s">
        <v>25</v>
      </c>
      <c r="P1395" s="6" t="s">
        <v>25</v>
      </c>
      <c r="Q1395" s="5" t="s">
        <v>25</v>
      </c>
      <c r="R1395" s="5" t="s">
        <v>25</v>
      </c>
      <c r="S1395" s="5" t="str">
        <f>VLOOKUP(A1395,Sheet2!$A$2:$R$3432,18,0)</f>
        <v>JBZWCC75201</v>
      </c>
      <c r="T1395" s="7" t="str">
        <f>VLOOKUP(A1395,Sheet2!$A$2:$R$3432,17,0)</f>
        <v>MDZA14AZ7CWC08011</v>
      </c>
    </row>
    <row r="1396" ht="15.75" customHeight="1">
      <c r="A1396" s="3" t="s">
        <v>1419</v>
      </c>
      <c r="B1396" s="4" t="str">
        <f>VLOOKUP(A1396,Sheet2!$A$2:$R$3432,2,0)</f>
        <v>2025-03-21 19:44:18</v>
      </c>
      <c r="C1396" s="5" t="s">
        <v>25</v>
      </c>
      <c r="D1396" s="6" t="s">
        <v>25</v>
      </c>
      <c r="E1396" s="7">
        <f>VLOOKUP(A1396,Sheet2!$A$2:$R$3432,4,0)</f>
        <v>9890216950</v>
      </c>
      <c r="F1396" s="7" t="str">
        <f>VLOOKUP(A1396,Sheet2!$A$2:$R$3432,3,0)</f>
        <v>Sahil Patekar</v>
      </c>
      <c r="G1396" s="5" t="s">
        <v>25</v>
      </c>
      <c r="H1396" s="5" t="s">
        <v>25</v>
      </c>
      <c r="I1396" s="5" t="s">
        <v>25</v>
      </c>
      <c r="J1396" s="5" t="s">
        <v>25</v>
      </c>
      <c r="K1396" s="7" t="str">
        <f>VLOOKUP(A1396,Sheet2!$A$2:$R$3432,6,0)</f>
        <v>Bajaj Pulsar 160 NS</v>
      </c>
      <c r="L1396" s="5" t="s">
        <v>25</v>
      </c>
      <c r="M1396" s="7" t="str">
        <f>VLOOKUP(A1396,Sheet2!$A$2:$R$3432,5,0)</f>
        <v>MH12TB3639</v>
      </c>
      <c r="N1396" s="5" t="s">
        <v>25</v>
      </c>
      <c r="O1396" s="5" t="s">
        <v>25</v>
      </c>
      <c r="P1396" s="6" t="s">
        <v>25</v>
      </c>
      <c r="Q1396" s="5" t="s">
        <v>25</v>
      </c>
      <c r="R1396" s="5" t="s">
        <v>25</v>
      </c>
      <c r="S1396" s="7" t="str">
        <f>VLOOKUP(A1396,Sheet2!$A$2:$R$3432,18,0)</f>
        <v/>
      </c>
      <c r="T1396" s="7" t="str">
        <f>VLOOKUP(A1396,Sheet2!$A$2:$R$3432,17,0)</f>
        <v/>
      </c>
    </row>
    <row r="1397" ht="15.75" customHeight="1">
      <c r="A1397" s="3" t="s">
        <v>1420</v>
      </c>
      <c r="B1397" s="4" t="str">
        <f>VLOOKUP(A1397,Sheet2!$A$2:$R$3432,2,0)</f>
        <v>2025-03-21 19:59:32</v>
      </c>
      <c r="C1397" s="5" t="s">
        <v>25</v>
      </c>
      <c r="D1397" s="6" t="s">
        <v>25</v>
      </c>
      <c r="E1397" s="7">
        <f>VLOOKUP(A1397,Sheet2!$A$2:$R$3432,4,0)</f>
        <v>8329731386</v>
      </c>
      <c r="F1397" s="7" t="str">
        <f>VLOOKUP(A1397,Sheet2!$A$2:$R$3432,3,0)</f>
        <v>VINIT JANNU</v>
      </c>
      <c r="G1397" s="5" t="s">
        <v>25</v>
      </c>
      <c r="H1397" s="5" t="s">
        <v>25</v>
      </c>
      <c r="I1397" s="5" t="s">
        <v>25</v>
      </c>
      <c r="J1397" s="5" t="s">
        <v>25</v>
      </c>
      <c r="K1397" s="7" t="str">
        <f>VLOOKUP(A1397,Sheet2!$A$2:$R$3432,6,0)</f>
        <v>Hero Splendor Plus</v>
      </c>
      <c r="L1397" s="5" t="s">
        <v>25</v>
      </c>
      <c r="M1397" s="7" t="str">
        <f>VLOOKUP(A1397,Sheet2!$A$2:$R$3432,5,0)</f>
        <v>MH13P6938</v>
      </c>
      <c r="N1397" s="5" t="s">
        <v>25</v>
      </c>
      <c r="O1397" s="5" t="s">
        <v>25</v>
      </c>
      <c r="P1397" s="6" t="s">
        <v>25</v>
      </c>
      <c r="Q1397" s="5" t="s">
        <v>25</v>
      </c>
      <c r="R1397" s="5" t="s">
        <v>25</v>
      </c>
      <c r="S1397" s="5" t="str">
        <f>VLOOKUP(A1397,Sheet2!$A$2:$R$3432,18,0)</f>
        <v>00D18M14693</v>
      </c>
      <c r="T1397" s="7" t="str">
        <f>VLOOKUP(A1397,Sheet2!$A$2:$R$3432,17,0)</f>
        <v>00D20C24779</v>
      </c>
    </row>
    <row r="1398" ht="15.75" customHeight="1">
      <c r="A1398" s="3" t="s">
        <v>1421</v>
      </c>
      <c r="B1398" s="4" t="str">
        <f>VLOOKUP(A1398,Sheet2!$A$2:$R$3432,2,0)</f>
        <v>2025-03-21 20:10:47</v>
      </c>
      <c r="C1398" s="5" t="s">
        <v>25</v>
      </c>
      <c r="D1398" s="6" t="s">
        <v>25</v>
      </c>
      <c r="E1398" s="7">
        <f>VLOOKUP(A1398,Sheet2!$A$2:$R$3432,4,0)</f>
        <v>9011111199</v>
      </c>
      <c r="F1398" s="7" t="str">
        <f>VLOOKUP(A1398,Sheet2!$A$2:$R$3432,3,0)</f>
        <v>Sachin Tambe</v>
      </c>
      <c r="G1398" s="5" t="s">
        <v>25</v>
      </c>
      <c r="H1398" s="5" t="s">
        <v>25</v>
      </c>
      <c r="I1398" s="5" t="s">
        <v>25</v>
      </c>
      <c r="J1398" s="5" t="s">
        <v>25</v>
      </c>
      <c r="K1398" s="7" t="str">
        <f>VLOOKUP(A1398,Sheet2!$A$2:$R$3432,6,0)</f>
        <v>Honda Activa 5G</v>
      </c>
      <c r="L1398" s="5" t="s">
        <v>25</v>
      </c>
      <c r="M1398" s="7" t="str">
        <f>VLOOKUP(A1398,Sheet2!$A$2:$R$3432,5,0)</f>
        <v>MH14HF5667</v>
      </c>
      <c r="N1398" s="5" t="s">
        <v>25</v>
      </c>
      <c r="O1398" s="5" t="s">
        <v>25</v>
      </c>
      <c r="P1398" s="6" t="s">
        <v>25</v>
      </c>
      <c r="Q1398" s="5" t="s">
        <v>25</v>
      </c>
      <c r="R1398" s="5" t="s">
        <v>25</v>
      </c>
      <c r="S1398" s="5" t="str">
        <f>VLOOKUP(A1398,Sheet2!$A$2:$R$3432,18,0)</f>
        <v>JF50EU8161225</v>
      </c>
      <c r="T1398" s="7" t="str">
        <f>VLOOKUP(A1398,Sheet2!$A$2:$R$3432,17,0)</f>
        <v>ME4JF50BLJU16771</v>
      </c>
    </row>
    <row r="1399" ht="15.75" customHeight="1">
      <c r="A1399" s="3" t="s">
        <v>1422</v>
      </c>
      <c r="B1399" s="4" t="str">
        <f>VLOOKUP(A1399,Sheet2!$A$2:$R$3432,2,0)</f>
        <v>2025-02-25 18:39:31</v>
      </c>
      <c r="C1399" s="5" t="s">
        <v>25</v>
      </c>
      <c r="D1399" s="6" t="s">
        <v>25</v>
      </c>
      <c r="E1399" s="7">
        <f>VLOOKUP(A1399,Sheet2!$A$2:$R$3432,4,0)</f>
        <v>9075953518</v>
      </c>
      <c r="F1399" s="7" t="str">
        <f>VLOOKUP(A1399,Sheet2!$A$2:$R$3432,3,0)</f>
        <v>RAHUL SARDAR</v>
      </c>
      <c r="G1399" s="5" t="s">
        <v>25</v>
      </c>
      <c r="H1399" s="5" t="s">
        <v>25</v>
      </c>
      <c r="I1399" s="5" t="s">
        <v>25</v>
      </c>
      <c r="J1399" s="5" t="s">
        <v>25</v>
      </c>
      <c r="K1399" s="7" t="str">
        <f>VLOOKUP(A1399,Sheet2!$A$2:$R$3432,6,0)</f>
        <v>TVS Radeon </v>
      </c>
      <c r="L1399" s="5" t="s">
        <v>25</v>
      </c>
      <c r="M1399" s="7" t="str">
        <f>VLOOKUP(A1399,Sheet2!$A$2:$R$3432,5,0)</f>
        <v>MH14HT4472</v>
      </c>
      <c r="N1399" s="5" t="s">
        <v>25</v>
      </c>
      <c r="O1399" s="5" t="s">
        <v>25</v>
      </c>
      <c r="P1399" s="6" t="s">
        <v>25</v>
      </c>
      <c r="Q1399" s="5" t="s">
        <v>25</v>
      </c>
      <c r="R1399" s="5" t="s">
        <v>25</v>
      </c>
      <c r="S1399" s="5" t="str">
        <f>VLOOKUP(A1399,Sheet2!$A$2:$R$3432,18,0)</f>
        <v>KF1FK141454</v>
      </c>
      <c r="T1399" s="7" t="str">
        <f>VLOOKUP(A1399,Sheet2!$A$2:$R$3432,17,0)</f>
        <v>MD625HF15K1F09941</v>
      </c>
    </row>
    <row r="1400" ht="15.75" customHeight="1">
      <c r="A1400" s="3" t="s">
        <v>1423</v>
      </c>
      <c r="B1400" s="4" t="str">
        <f>VLOOKUP(A1400,Sheet2!$A$2:$R$3432,2,0)</f>
        <v>2025-02-25 18:29:18</v>
      </c>
      <c r="C1400" s="5" t="s">
        <v>25</v>
      </c>
      <c r="D1400" s="6" t="s">
        <v>25</v>
      </c>
      <c r="E1400" s="7">
        <f>VLOOKUP(A1400,Sheet2!$A$2:$R$3432,4,0)</f>
        <v>9922930157</v>
      </c>
      <c r="F1400" s="7" t="str">
        <f>VLOOKUP(A1400,Sheet2!$A$2:$R$3432,3,0)</f>
        <v>Ramesh Manjarekar</v>
      </c>
      <c r="G1400" s="5" t="s">
        <v>25</v>
      </c>
      <c r="H1400" s="5" t="s">
        <v>25</v>
      </c>
      <c r="I1400" s="5" t="s">
        <v>25</v>
      </c>
      <c r="J1400" s="5" t="s">
        <v>25</v>
      </c>
      <c r="K1400" s="7" t="str">
        <f>VLOOKUP(A1400,Sheet2!$A$2:$R$3432,6,0)</f>
        <v>Honda Dio </v>
      </c>
      <c r="L1400" s="5" t="s">
        <v>25</v>
      </c>
      <c r="M1400" s="7" t="str">
        <f>VLOOKUP(A1400,Sheet2!$A$2:$R$3432,5,0)</f>
        <v>MH14CH4129</v>
      </c>
      <c r="N1400" s="5" t="s">
        <v>25</v>
      </c>
      <c r="O1400" s="5" t="s">
        <v>25</v>
      </c>
      <c r="P1400" s="6" t="s">
        <v>25</v>
      </c>
      <c r="Q1400" s="5" t="s">
        <v>25</v>
      </c>
      <c r="R1400" s="5" t="s">
        <v>25</v>
      </c>
      <c r="S1400" s="5" t="str">
        <f>VLOOKUP(A1400,Sheet2!$A$2:$R$3432,18,0)</f>
        <v>JF11E4065852</v>
      </c>
      <c r="T1400" s="7" t="str">
        <f>VLOOKUP(A1400,Sheet2!$A$2:$R$3432,17,0)</f>
        <v>ME4JF11BKA065955</v>
      </c>
    </row>
    <row r="1401" ht="15.75" customHeight="1">
      <c r="A1401" s="3" t="s">
        <v>1424</v>
      </c>
      <c r="B1401" s="4" t="str">
        <f>VLOOKUP(A1401,Sheet2!$A$2:$R$3432,2,0)</f>
        <v>2025-02-25 18:40:00</v>
      </c>
      <c r="C1401" s="5" t="s">
        <v>25</v>
      </c>
      <c r="D1401" s="6" t="s">
        <v>25</v>
      </c>
      <c r="E1401" s="7">
        <f>VLOOKUP(A1401,Sheet2!$A$2:$R$3432,4,0)</f>
        <v>9370530324</v>
      </c>
      <c r="F1401" s="7" t="str">
        <f>VLOOKUP(A1401,Sheet2!$A$2:$R$3432,3,0)</f>
        <v>Sachin</v>
      </c>
      <c r="G1401" s="5" t="s">
        <v>25</v>
      </c>
      <c r="H1401" s="5" t="s">
        <v>25</v>
      </c>
      <c r="I1401" s="5" t="s">
        <v>25</v>
      </c>
      <c r="J1401" s="5" t="s">
        <v>25</v>
      </c>
      <c r="K1401" s="7" t="str">
        <f>VLOOKUP(A1401,Sheet2!$A$2:$R$3432,6,0)</f>
        <v>TVS Wego </v>
      </c>
      <c r="L1401" s="5" t="s">
        <v>25</v>
      </c>
      <c r="M1401" s="7" t="str">
        <f>VLOOKUP(A1401,Sheet2!$A$2:$R$3432,5,0)</f>
        <v>MH12GY7606</v>
      </c>
      <c r="N1401" s="5" t="s">
        <v>25</v>
      </c>
      <c r="O1401" s="5" t="s">
        <v>25</v>
      </c>
      <c r="P1401" s="6" t="s">
        <v>25</v>
      </c>
      <c r="Q1401" s="5" t="s">
        <v>25</v>
      </c>
      <c r="R1401" s="5" t="s">
        <v>25</v>
      </c>
      <c r="S1401" s="7" t="str">
        <f>VLOOKUP(A1401,Sheet2!$A$2:$R$3432,18,0)</f>
        <v/>
      </c>
      <c r="T1401" s="7" t="str">
        <f>VLOOKUP(A1401,Sheet2!$A$2:$R$3432,17,0)</f>
        <v/>
      </c>
    </row>
    <row r="1402" ht="15.75" customHeight="1">
      <c r="A1402" s="3" t="s">
        <v>1425</v>
      </c>
      <c r="B1402" s="4" t="str">
        <f>VLOOKUP(A1402,Sheet2!$A$2:$R$3432,2,0)</f>
        <v>2025-02-25 18:40:15</v>
      </c>
      <c r="C1402" s="5" t="s">
        <v>25</v>
      </c>
      <c r="D1402" s="6" t="s">
        <v>25</v>
      </c>
      <c r="E1402" s="7">
        <f>VLOOKUP(A1402,Sheet2!$A$2:$R$3432,4,0)</f>
        <v>9326075507</v>
      </c>
      <c r="F1402" s="7" t="str">
        <f>VLOOKUP(A1402,Sheet2!$A$2:$R$3432,3,0)</f>
        <v>Saurabh Shende</v>
      </c>
      <c r="G1402" s="5" t="s">
        <v>25</v>
      </c>
      <c r="H1402" s="5" t="s">
        <v>25</v>
      </c>
      <c r="I1402" s="5" t="s">
        <v>25</v>
      </c>
      <c r="J1402" s="5" t="s">
        <v>25</v>
      </c>
      <c r="K1402" s="7" t="str">
        <f>VLOOKUP(A1402,Sheet2!$A$2:$R$3432,6,0)</f>
        <v>Honda Hornet </v>
      </c>
      <c r="L1402" s="5" t="s">
        <v>25</v>
      </c>
      <c r="M1402" s="7" t="str">
        <f>VLOOKUP(A1402,Sheet2!$A$2:$R$3432,5,0)</f>
        <v>MH03CL8189</v>
      </c>
      <c r="N1402" s="5" t="s">
        <v>25</v>
      </c>
      <c r="O1402" s="5" t="s">
        <v>25</v>
      </c>
      <c r="P1402" s="6" t="s">
        <v>25</v>
      </c>
      <c r="Q1402" s="5" t="s">
        <v>25</v>
      </c>
      <c r="R1402" s="5" t="s">
        <v>25</v>
      </c>
      <c r="S1402" s="5" t="str">
        <f>VLOOKUP(A1402,Sheet2!$A$2:$R$3432,18,0)</f>
        <v>KC23E-8-0116477</v>
      </c>
      <c r="T1402" s="7" t="str">
        <f>VLOOKUP(A1402,Sheet2!$A$2:$R$3432,17,0)</f>
        <v>ME4KC236MG8002653</v>
      </c>
    </row>
    <row r="1403" ht="15.75" customHeight="1">
      <c r="A1403" s="3" t="s">
        <v>1426</v>
      </c>
      <c r="B1403" s="4" t="str">
        <f>VLOOKUP(A1403,Sheet2!$A$2:$R$3432,2,0)</f>
        <v>2025-02-25 18:41:26</v>
      </c>
      <c r="C1403" s="5" t="s">
        <v>25</v>
      </c>
      <c r="D1403" s="6" t="s">
        <v>25</v>
      </c>
      <c r="E1403" s="7">
        <f>VLOOKUP(A1403,Sheet2!$A$2:$R$3432,4,0)</f>
        <v>7769976094</v>
      </c>
      <c r="F1403" s="7" t="str">
        <f>VLOOKUP(A1403,Sheet2!$A$2:$R$3432,3,0)</f>
        <v>MAHESH PATIL </v>
      </c>
      <c r="G1403" s="5" t="s">
        <v>25</v>
      </c>
      <c r="H1403" s="5" t="s">
        <v>25</v>
      </c>
      <c r="I1403" s="5" t="s">
        <v>25</v>
      </c>
      <c r="J1403" s="5" t="s">
        <v>25</v>
      </c>
      <c r="K1403" s="7" t="str">
        <f>VLOOKUP(A1403,Sheet2!$A$2:$R$3432,6,0)</f>
        <v>Honda Twister </v>
      </c>
      <c r="L1403" s="5" t="s">
        <v>25</v>
      </c>
      <c r="M1403" s="7" t="str">
        <f>VLOOKUP(A1403,Sheet2!$A$2:$R$3432,5,0)</f>
        <v>MH14DG4046</v>
      </c>
      <c r="N1403" s="5" t="s">
        <v>25</v>
      </c>
      <c r="O1403" s="5" t="s">
        <v>25</v>
      </c>
      <c r="P1403" s="6" t="s">
        <v>25</v>
      </c>
      <c r="Q1403" s="5" t="s">
        <v>25</v>
      </c>
      <c r="R1403" s="5" t="s">
        <v>25</v>
      </c>
      <c r="S1403" s="5" t="str">
        <f>VLOOKUP(A1403,Sheet2!$A$2:$R$3432,18,0)</f>
        <v>JC4CE0098240</v>
      </c>
      <c r="T1403" s="7" t="str">
        <f>VLOOKUP(A1403,Sheet2!$A$2:$R$3432,17,0)</f>
        <v>ME4JC476AC7026907</v>
      </c>
    </row>
    <row r="1404" ht="15.75" customHeight="1">
      <c r="A1404" s="3" t="s">
        <v>1427</v>
      </c>
      <c r="B1404" s="4" t="str">
        <f>VLOOKUP(A1404,Sheet2!$A$2:$R$3432,2,0)</f>
        <v>2025-02-25 19:44:46</v>
      </c>
      <c r="C1404" s="5" t="s">
        <v>25</v>
      </c>
      <c r="D1404" s="6" t="s">
        <v>25</v>
      </c>
      <c r="E1404" s="7">
        <f>VLOOKUP(A1404,Sheet2!$A$2:$R$3432,4,0)</f>
        <v>8446391968</v>
      </c>
      <c r="F1404" s="7" t="str">
        <f>VLOOKUP(A1404,Sheet2!$A$2:$R$3432,3,0)</f>
        <v>SHAUNAK</v>
      </c>
      <c r="G1404" s="5" t="s">
        <v>25</v>
      </c>
      <c r="H1404" s="5" t="s">
        <v>25</v>
      </c>
      <c r="I1404" s="5" t="s">
        <v>25</v>
      </c>
      <c r="J1404" s="5" t="s">
        <v>25</v>
      </c>
      <c r="K1404" s="7" t="str">
        <f>VLOOKUP(A1404,Sheet2!$A$2:$R$3432,6,0)</f>
        <v>Honda Activa 3G</v>
      </c>
      <c r="L1404" s="5" t="s">
        <v>25</v>
      </c>
      <c r="M1404" s="7" t="str">
        <f>VLOOKUP(A1404,Sheet2!$A$2:$R$3432,5,0)</f>
        <v>MH31EW7360</v>
      </c>
      <c r="N1404" s="5" t="s">
        <v>25</v>
      </c>
      <c r="O1404" s="5" t="s">
        <v>25</v>
      </c>
      <c r="P1404" s="6" t="s">
        <v>25</v>
      </c>
      <c r="Q1404" s="5" t="s">
        <v>25</v>
      </c>
      <c r="R1404" s="5" t="s">
        <v>25</v>
      </c>
      <c r="S1404" s="5" t="str">
        <f>VLOOKUP(A1404,Sheet2!$A$2:$R$3432,18,0)</f>
        <v>JF50ET3603122</v>
      </c>
      <c r="T1404" s="7" t="str">
        <f>VLOOKUP(A1404,Sheet2!$A$2:$R$3432,17,0)</f>
        <v>ME4JF505GGT602992</v>
      </c>
    </row>
    <row r="1405" ht="15.75" customHeight="1">
      <c r="A1405" s="3" t="s">
        <v>1428</v>
      </c>
      <c r="B1405" s="4" t="str">
        <f>VLOOKUP(A1405,Sheet2!$A$2:$R$3432,2,0)</f>
        <v>2025-02-27 19:53:44</v>
      </c>
      <c r="C1405" s="5" t="s">
        <v>25</v>
      </c>
      <c r="D1405" s="6" t="s">
        <v>25</v>
      </c>
      <c r="E1405" s="7">
        <f>VLOOKUP(A1405,Sheet2!$A$2:$R$3432,4,0)</f>
        <v>8087739250</v>
      </c>
      <c r="F1405" s="7" t="str">
        <f>VLOOKUP(A1405,Sheet2!$A$2:$R$3432,3,0)</f>
        <v>ANIKET AGRAWAL</v>
      </c>
      <c r="G1405" s="5" t="s">
        <v>25</v>
      </c>
      <c r="H1405" s="5" t="s">
        <v>25</v>
      </c>
      <c r="I1405" s="5" t="s">
        <v>25</v>
      </c>
      <c r="J1405" s="5" t="s">
        <v>25</v>
      </c>
      <c r="K1405" s="7" t="str">
        <f>VLOOKUP(A1405,Sheet2!$A$2:$R$3432,6,0)</f>
        <v>Suzuki Gixxer SF</v>
      </c>
      <c r="L1405" s="5" t="s">
        <v>25</v>
      </c>
      <c r="M1405" s="7" t="str">
        <f>VLOOKUP(A1405,Sheet2!$A$2:$R$3432,5,0)</f>
        <v>MH14HB4477</v>
      </c>
      <c r="N1405" s="5" t="s">
        <v>25</v>
      </c>
      <c r="O1405" s="5" t="s">
        <v>25</v>
      </c>
      <c r="P1405" s="6" t="s">
        <v>25</v>
      </c>
      <c r="Q1405" s="5" t="s">
        <v>25</v>
      </c>
      <c r="R1405" s="5" t="s">
        <v>25</v>
      </c>
      <c r="S1405" s="5" t="str">
        <f>VLOOKUP(A1405,Sheet2!$A$2:$R$3432,18,0)</f>
        <v>BGAA572478</v>
      </c>
      <c r="T1405" s="7" t="str">
        <f>VLOOKUP(A1405,Sheet2!$A$2:$R$3432,17,0)</f>
        <v>MB8NGABBFU8321979</v>
      </c>
    </row>
    <row r="1406" ht="15.75" customHeight="1">
      <c r="A1406" s="3" t="s">
        <v>1429</v>
      </c>
      <c r="B1406" s="4" t="str">
        <f>VLOOKUP(A1406,Sheet2!$A$2:$R$3432,2,0)</f>
        <v>2025-02-27 11:54:33</v>
      </c>
      <c r="C1406" s="5" t="s">
        <v>25</v>
      </c>
      <c r="D1406" s="6" t="s">
        <v>25</v>
      </c>
      <c r="E1406" s="7">
        <f>VLOOKUP(A1406,Sheet2!$A$2:$R$3432,4,0)</f>
        <v>8087987588</v>
      </c>
      <c r="F1406" s="7" t="str">
        <f>VLOOKUP(A1406,Sheet2!$A$2:$R$3432,3,0)</f>
        <v>VAIBHAV GAIKWAD </v>
      </c>
      <c r="G1406" s="5" t="s">
        <v>25</v>
      </c>
      <c r="H1406" s="5" t="s">
        <v>25</v>
      </c>
      <c r="I1406" s="5" t="s">
        <v>25</v>
      </c>
      <c r="J1406" s="5" t="s">
        <v>25</v>
      </c>
      <c r="K1406" s="7" t="str">
        <f>VLOOKUP(A1406,Sheet2!$A$2:$R$3432,6,0)</f>
        <v>TVS Jupiter </v>
      </c>
      <c r="L1406" s="5" t="s">
        <v>25</v>
      </c>
      <c r="M1406" s="7" t="str">
        <f>VLOOKUP(A1406,Sheet2!$A$2:$R$3432,5,0)</f>
        <v>MH28AM5004</v>
      </c>
      <c r="N1406" s="5" t="s">
        <v>25</v>
      </c>
      <c r="O1406" s="5" t="s">
        <v>25</v>
      </c>
      <c r="P1406" s="6" t="s">
        <v>25</v>
      </c>
      <c r="Q1406" s="5" t="s">
        <v>25</v>
      </c>
      <c r="R1406" s="5" t="s">
        <v>25</v>
      </c>
      <c r="S1406" s="5" t="str">
        <f>VLOOKUP(A1406,Sheet2!$A$2:$R$3432,18,0)</f>
        <v>BG4AF1417207</v>
      </c>
      <c r="T1406" s="7" t="str">
        <f>VLOOKUP(A1406,Sheet2!$A$2:$R$3432,17,0)</f>
        <v>MD626BG43FAA25923</v>
      </c>
    </row>
    <row r="1407" ht="15.75" customHeight="1">
      <c r="A1407" s="3" t="s">
        <v>1430</v>
      </c>
      <c r="B1407" s="4" t="str">
        <f>VLOOKUP(A1407,Sheet2!$A$2:$R$3432,2,0)</f>
        <v>2025-02-27 11:56:48</v>
      </c>
      <c r="C1407" s="5" t="s">
        <v>25</v>
      </c>
      <c r="D1407" s="6" t="s">
        <v>25</v>
      </c>
      <c r="E1407" s="7">
        <f>VLOOKUP(A1407,Sheet2!$A$2:$R$3432,4,0)</f>
        <v>7020980478</v>
      </c>
      <c r="F1407" s="7" t="str">
        <f>VLOOKUP(A1407,Sheet2!$A$2:$R$3432,3,0)</f>
        <v>OMKAR NAVLE</v>
      </c>
      <c r="G1407" s="5" t="s">
        <v>25</v>
      </c>
      <c r="H1407" s="5" t="s">
        <v>25</v>
      </c>
      <c r="I1407" s="5" t="s">
        <v>25</v>
      </c>
      <c r="J1407" s="5" t="s">
        <v>25</v>
      </c>
      <c r="K1407" s="7" t="str">
        <f>VLOOKUP(A1407,Sheet2!$A$2:$R$3432,6,0)</f>
        <v>Honda Activa 3G</v>
      </c>
      <c r="L1407" s="5" t="s">
        <v>25</v>
      </c>
      <c r="M1407" s="7" t="str">
        <f>VLOOKUP(A1407,Sheet2!$A$2:$R$3432,5,0)</f>
        <v>MH03CN5161</v>
      </c>
      <c r="N1407" s="5" t="s">
        <v>25</v>
      </c>
      <c r="O1407" s="5" t="s">
        <v>25</v>
      </c>
      <c r="P1407" s="6" t="s">
        <v>25</v>
      </c>
      <c r="Q1407" s="5" t="s">
        <v>25</v>
      </c>
      <c r="R1407" s="5" t="s">
        <v>25</v>
      </c>
      <c r="S1407" s="7" t="str">
        <f>VLOOKUP(A1407,Sheet2!$A$2:$R$3432,18,0)</f>
        <v/>
      </c>
      <c r="T1407" s="7" t="str">
        <f>VLOOKUP(A1407,Sheet2!$A$2:$R$3432,17,0)</f>
        <v/>
      </c>
    </row>
    <row r="1408" ht="15.75" customHeight="1">
      <c r="A1408" s="3" t="s">
        <v>1431</v>
      </c>
      <c r="B1408" s="4" t="str">
        <f>VLOOKUP(A1408,Sheet2!$A$2:$R$3432,2,0)</f>
        <v>2025-02-27 19:54:57</v>
      </c>
      <c r="C1408" s="5" t="s">
        <v>25</v>
      </c>
      <c r="D1408" s="6" t="s">
        <v>25</v>
      </c>
      <c r="E1408" s="7">
        <f>VLOOKUP(A1408,Sheet2!$A$2:$R$3432,4,0)</f>
        <v>9823256415</v>
      </c>
      <c r="F1408" s="7" t="str">
        <f>VLOOKUP(A1408,Sheet2!$A$2:$R$3432,3,0)</f>
        <v>Nainish</v>
      </c>
      <c r="G1408" s="5" t="s">
        <v>25</v>
      </c>
      <c r="H1408" s="5" t="s">
        <v>25</v>
      </c>
      <c r="I1408" s="5" t="s">
        <v>25</v>
      </c>
      <c r="J1408" s="5" t="s">
        <v>25</v>
      </c>
      <c r="K1408" s="7" t="str">
        <f>VLOOKUP(A1408,Sheet2!$A$2:$R$3432,6,0)</f>
        <v>Honda Activa 4G</v>
      </c>
      <c r="L1408" s="5" t="s">
        <v>25</v>
      </c>
      <c r="M1408" s="7" t="str">
        <f>VLOOKUP(A1408,Sheet2!$A$2:$R$3432,5,0)</f>
        <v>MH14GR0978</v>
      </c>
      <c r="N1408" s="5" t="s">
        <v>25</v>
      </c>
      <c r="O1408" s="5" t="s">
        <v>25</v>
      </c>
      <c r="P1408" s="6" t="s">
        <v>25</v>
      </c>
      <c r="Q1408" s="5" t="s">
        <v>25</v>
      </c>
      <c r="R1408" s="5" t="s">
        <v>25</v>
      </c>
      <c r="S1408" s="5" t="str">
        <f>VLOOKUP(A1408,Sheet2!$A$2:$R$3432,18,0)</f>
        <v>JF50EU9065523</v>
      </c>
      <c r="T1408" s="7" t="str">
        <f>VLOOKUP(A1408,Sheet2!$A$2:$R$3432,17,0)</f>
        <v>ME4JF50CMHUD05486</v>
      </c>
    </row>
    <row r="1409" ht="15.75" customHeight="1">
      <c r="A1409" s="3" t="s">
        <v>1432</v>
      </c>
      <c r="B1409" s="4" t="str">
        <f>VLOOKUP(A1409,Sheet2!$A$2:$R$3432,2,0)</f>
        <v>2025-02-27 19:49:12</v>
      </c>
      <c r="C1409" s="5" t="s">
        <v>25</v>
      </c>
      <c r="D1409" s="6" t="s">
        <v>25</v>
      </c>
      <c r="E1409" s="7">
        <f>VLOOKUP(A1409,Sheet2!$A$2:$R$3432,4,0)</f>
        <v>9158029726</v>
      </c>
      <c r="F1409" s="7" t="str">
        <f>VLOOKUP(A1409,Sheet2!$A$2:$R$3432,3,0)</f>
        <v>Pradeep Shirke </v>
      </c>
      <c r="G1409" s="5" t="s">
        <v>25</v>
      </c>
      <c r="H1409" s="5" t="s">
        <v>25</v>
      </c>
      <c r="I1409" s="5" t="s">
        <v>25</v>
      </c>
      <c r="J1409" s="5" t="s">
        <v>25</v>
      </c>
      <c r="K1409" s="7" t="str">
        <f>VLOOKUP(A1409,Sheet2!$A$2:$R$3432,6,0)</f>
        <v>TVS Apache RTR 160</v>
      </c>
      <c r="L1409" s="5" t="s">
        <v>25</v>
      </c>
      <c r="M1409" s="7" t="str">
        <f>VLOOKUP(A1409,Sheet2!$A$2:$R$3432,5,0)</f>
        <v>MH14JS5977</v>
      </c>
      <c r="N1409" s="5" t="s">
        <v>25</v>
      </c>
      <c r="O1409" s="5" t="s">
        <v>25</v>
      </c>
      <c r="P1409" s="6" t="s">
        <v>25</v>
      </c>
      <c r="Q1409" s="5" t="s">
        <v>25</v>
      </c>
      <c r="R1409" s="5" t="s">
        <v>25</v>
      </c>
      <c r="S1409" s="5" t="str">
        <f>VLOOKUP(A1409,Sheet2!$A$2:$R$3432,18,0)</f>
        <v>GESFM2912978</v>
      </c>
      <c r="T1409" s="7" t="str">
        <f>VLOOKUP(A1409,Sheet2!$A$2:$R$3432,17,0)</f>
        <v>MD651DE55MZF12721</v>
      </c>
    </row>
    <row r="1410" ht="15.75" customHeight="1">
      <c r="A1410" s="3" t="s">
        <v>1433</v>
      </c>
      <c r="B1410" s="4" t="str">
        <f>VLOOKUP(A1410,Sheet2!$A$2:$R$3432,2,0)</f>
        <v>2025-02-27 19:49:49</v>
      </c>
      <c r="C1410" s="5" t="s">
        <v>25</v>
      </c>
      <c r="D1410" s="6" t="s">
        <v>25</v>
      </c>
      <c r="E1410" s="7">
        <f>VLOOKUP(A1410,Sheet2!$A$2:$R$3432,4,0)</f>
        <v>8668366276</v>
      </c>
      <c r="F1410" s="7" t="str">
        <f>VLOOKUP(A1410,Sheet2!$A$2:$R$3432,3,0)</f>
        <v>VAIBHAV </v>
      </c>
      <c r="G1410" s="5" t="s">
        <v>25</v>
      </c>
      <c r="H1410" s="5" t="s">
        <v>25</v>
      </c>
      <c r="I1410" s="5" t="s">
        <v>25</v>
      </c>
      <c r="J1410" s="5" t="s">
        <v>25</v>
      </c>
      <c r="K1410" s="7" t="str">
        <f>VLOOKUP(A1410,Sheet2!$A$2:$R$3432,6,0)</f>
        <v>Honda Activa 5G</v>
      </c>
      <c r="L1410" s="5" t="s">
        <v>25</v>
      </c>
      <c r="M1410" s="7" t="str">
        <f>VLOOKUP(A1410,Sheet2!$A$2:$R$3432,5,0)</f>
        <v>MH26BT3835</v>
      </c>
      <c r="N1410" s="5" t="s">
        <v>25</v>
      </c>
      <c r="O1410" s="5" t="s">
        <v>25</v>
      </c>
      <c r="P1410" s="6" t="s">
        <v>25</v>
      </c>
      <c r="Q1410" s="5" t="s">
        <v>25</v>
      </c>
      <c r="R1410" s="5" t="s">
        <v>25</v>
      </c>
      <c r="S1410" s="5" t="str">
        <f>VLOOKUP(A1410,Sheet2!$A$2:$R$3432,18,0)</f>
        <v>JF50EG43616Z</v>
      </c>
      <c r="T1410" s="7" t="str">
        <f>VLOOKUP(A1410,Sheet2!$A$2:$R$3432,17,0)</f>
        <v>ME4JF50DMKG936091</v>
      </c>
    </row>
    <row r="1411" ht="15.75" customHeight="1">
      <c r="A1411" s="3" t="s">
        <v>1434</v>
      </c>
      <c r="B1411" s="4" t="str">
        <f>VLOOKUP(A1411,Sheet2!$A$2:$R$3432,2,0)</f>
        <v>2025-02-27 19:54:19</v>
      </c>
      <c r="C1411" s="5" t="s">
        <v>25</v>
      </c>
      <c r="D1411" s="6" t="s">
        <v>25</v>
      </c>
      <c r="E1411" s="7">
        <f>VLOOKUP(A1411,Sheet2!$A$2:$R$3432,4,0)</f>
        <v>9552566105</v>
      </c>
      <c r="F1411" s="7" t="str">
        <f>VLOOKUP(A1411,Sheet2!$A$2:$R$3432,3,0)</f>
        <v>PRAVEEN</v>
      </c>
      <c r="G1411" s="5" t="s">
        <v>25</v>
      </c>
      <c r="H1411" s="5" t="s">
        <v>25</v>
      </c>
      <c r="I1411" s="5" t="s">
        <v>25</v>
      </c>
      <c r="J1411" s="5" t="s">
        <v>25</v>
      </c>
      <c r="K1411" s="7" t="str">
        <f>VLOOKUP(A1411,Sheet2!$A$2:$R$3432,6,0)</f>
        <v>Honda Activa 110</v>
      </c>
      <c r="L1411" s="5" t="s">
        <v>25</v>
      </c>
      <c r="M1411" s="7" t="str">
        <f>VLOOKUP(A1411,Sheet2!$A$2:$R$3432,5,0)</f>
        <v>MH12GJ6578</v>
      </c>
      <c r="N1411" s="5" t="s">
        <v>25</v>
      </c>
      <c r="O1411" s="5" t="s">
        <v>25</v>
      </c>
      <c r="P1411" s="6" t="s">
        <v>25</v>
      </c>
      <c r="Q1411" s="5" t="s">
        <v>25</v>
      </c>
      <c r="R1411" s="5" t="s">
        <v>25</v>
      </c>
      <c r="S1411" s="5" t="str">
        <f>VLOOKUP(A1411,Sheet2!$A$2:$R$3432,18,0)</f>
        <v>JC44E0966093</v>
      </c>
      <c r="T1411" s="7" t="str">
        <f>VLOOKUP(A1411,Sheet2!$A$2:$R$3432,17,0)</f>
        <v>ME4J44XXXXXX</v>
      </c>
    </row>
    <row r="1412" ht="15.75" customHeight="1">
      <c r="A1412" s="3" t="s">
        <v>1435</v>
      </c>
      <c r="B1412" s="4" t="str">
        <f>VLOOKUP(A1412,Sheet2!$A$2:$R$3432,2,0)</f>
        <v>2025-02-27 19:52:44</v>
      </c>
      <c r="C1412" s="5" t="s">
        <v>25</v>
      </c>
      <c r="D1412" s="6" t="s">
        <v>25</v>
      </c>
      <c r="E1412" s="7">
        <f>VLOOKUP(A1412,Sheet2!$A$2:$R$3432,4,0)</f>
        <v>9096270636</v>
      </c>
      <c r="F1412" s="7" t="str">
        <f>VLOOKUP(A1412,Sheet2!$A$2:$R$3432,3,0)</f>
        <v>YUVRAJ INGLE</v>
      </c>
      <c r="G1412" s="5" t="s">
        <v>25</v>
      </c>
      <c r="H1412" s="5" t="s">
        <v>25</v>
      </c>
      <c r="I1412" s="5" t="s">
        <v>25</v>
      </c>
      <c r="J1412" s="5" t="s">
        <v>25</v>
      </c>
      <c r="K1412" s="7" t="str">
        <f>VLOOKUP(A1412,Sheet2!$A$2:$R$3432,6,0)</f>
        <v>Yamaha FZ V3</v>
      </c>
      <c r="L1412" s="5" t="s">
        <v>25</v>
      </c>
      <c r="M1412" s="7" t="str">
        <f>VLOOKUP(A1412,Sheet2!$A$2:$R$3432,5,0)</f>
        <v>MH11DL8625</v>
      </c>
      <c r="N1412" s="5" t="s">
        <v>25</v>
      </c>
      <c r="O1412" s="5" t="s">
        <v>25</v>
      </c>
      <c r="P1412" s="6" t="s">
        <v>25</v>
      </c>
      <c r="Q1412" s="5" t="s">
        <v>25</v>
      </c>
      <c r="R1412" s="5" t="s">
        <v>25</v>
      </c>
      <c r="S1412" s="5" t="str">
        <f>VLOOKUP(A1412,Sheet2!$A$2:$R$3432,18,0)</f>
        <v>64N3E033723</v>
      </c>
      <c r="T1412" s="7" t="str">
        <f>VLOOKUP(A1412,Sheet2!$A$2:$R$3432,17,0)</f>
        <v>ME1RG66U7P0014208</v>
      </c>
    </row>
    <row r="1413" ht="15.75" customHeight="1">
      <c r="A1413" s="3" t="s">
        <v>1436</v>
      </c>
      <c r="B1413" s="4" t="str">
        <f>VLOOKUP(A1413,Sheet2!$A$2:$R$3432,2,0)</f>
        <v>2025-02-06 20:02:52</v>
      </c>
      <c r="C1413" s="5" t="s">
        <v>25</v>
      </c>
      <c r="D1413" s="6" t="s">
        <v>25</v>
      </c>
      <c r="E1413" s="7">
        <f>VLOOKUP(A1413,Sheet2!$A$2:$R$3432,4,0)</f>
        <v>9881304592</v>
      </c>
      <c r="F1413" s="7" t="str">
        <f>VLOOKUP(A1413,Sheet2!$A$2:$R$3432,3,0)</f>
        <v>Manisha Purohit </v>
      </c>
      <c r="G1413" s="5" t="s">
        <v>25</v>
      </c>
      <c r="H1413" s="5" t="s">
        <v>25</v>
      </c>
      <c r="I1413" s="5" t="s">
        <v>25</v>
      </c>
      <c r="J1413" s="5" t="s">
        <v>25</v>
      </c>
      <c r="K1413" s="7" t="str">
        <f>VLOOKUP(A1413,Sheet2!$A$2:$R$3432,6,0)</f>
        <v>Hero Pleasure </v>
      </c>
      <c r="L1413" s="5" t="s">
        <v>25</v>
      </c>
      <c r="M1413" s="7" t="str">
        <f>VLOOKUP(A1413,Sheet2!$A$2:$R$3432,5,0)</f>
        <v>MH12MK4502</v>
      </c>
      <c r="N1413" s="5" t="s">
        <v>25</v>
      </c>
      <c r="O1413" s="5" t="s">
        <v>25</v>
      </c>
      <c r="P1413" s="6" t="s">
        <v>25</v>
      </c>
      <c r="Q1413" s="5" t="s">
        <v>25</v>
      </c>
      <c r="R1413" s="5" t="s">
        <v>25</v>
      </c>
      <c r="S1413" s="5" t="str">
        <f>VLOOKUP(A1413,Sheet2!$A$2:$R$3432,18,0)</f>
        <v>JF16ECFGB03586</v>
      </c>
      <c r="T1413" s="7" t="str">
        <f>VLOOKUP(A1413,Sheet2!$A$2:$R$3432,17,0)</f>
        <v>MBLJF16EHFGB20342</v>
      </c>
    </row>
    <row r="1414" ht="15.75" customHeight="1">
      <c r="A1414" s="3" t="s">
        <v>1437</v>
      </c>
      <c r="B1414" s="4" t="str">
        <f>VLOOKUP(A1414,Sheet2!$A$2:$R$3432,2,0)</f>
        <v>2025-02-06 19:47:24</v>
      </c>
      <c r="C1414" s="5" t="s">
        <v>25</v>
      </c>
      <c r="D1414" s="6" t="s">
        <v>25</v>
      </c>
      <c r="E1414" s="7">
        <f>VLOOKUP(A1414,Sheet2!$A$2:$R$3432,4,0)</f>
        <v>8484923252</v>
      </c>
      <c r="F1414" s="7" t="str">
        <f>VLOOKUP(A1414,Sheet2!$A$2:$R$3432,3,0)</f>
        <v>VIPUL MALI</v>
      </c>
      <c r="G1414" s="5" t="s">
        <v>25</v>
      </c>
      <c r="H1414" s="5" t="s">
        <v>25</v>
      </c>
      <c r="I1414" s="5" t="s">
        <v>25</v>
      </c>
      <c r="J1414" s="5" t="s">
        <v>25</v>
      </c>
      <c r="K1414" s="7" t="str">
        <f>VLOOKUP(A1414,Sheet2!$A$2:$R$3432,6,0)</f>
        <v>Honda Hornet 160R</v>
      </c>
      <c r="L1414" s="5" t="s">
        <v>25</v>
      </c>
      <c r="M1414" s="7" t="str">
        <f>VLOOKUP(A1414,Sheet2!$A$2:$R$3432,5,0)</f>
        <v>MH14HX6579</v>
      </c>
      <c r="N1414" s="5" t="s">
        <v>25</v>
      </c>
      <c r="O1414" s="5" t="s">
        <v>25</v>
      </c>
      <c r="P1414" s="6" t="s">
        <v>25</v>
      </c>
      <c r="Q1414" s="5" t="s">
        <v>25</v>
      </c>
      <c r="R1414" s="5" t="s">
        <v>25</v>
      </c>
      <c r="S1414" s="7" t="str">
        <f>VLOOKUP(A1414,Sheet2!$A$2:$R$3432,18,0)</f>
        <v/>
      </c>
      <c r="T1414" s="7" t="str">
        <f>VLOOKUP(A1414,Sheet2!$A$2:$R$3432,17,0)</f>
        <v/>
      </c>
    </row>
    <row r="1415" ht="15.75" customHeight="1">
      <c r="A1415" s="3" t="s">
        <v>1438</v>
      </c>
      <c r="B1415" s="4" t="str">
        <f>VLOOKUP(A1415,Sheet2!$A$2:$R$3432,2,0)</f>
        <v>2025-02-06 19:46:07</v>
      </c>
      <c r="C1415" s="5" t="s">
        <v>25</v>
      </c>
      <c r="D1415" s="6" t="s">
        <v>25</v>
      </c>
      <c r="E1415" s="7">
        <f>VLOOKUP(A1415,Sheet2!$A$2:$R$3432,4,0)</f>
        <v>8380858393</v>
      </c>
      <c r="F1415" s="7" t="str">
        <f>VLOOKUP(A1415,Sheet2!$A$2:$R$3432,3,0)</f>
        <v>Shreenath</v>
      </c>
      <c r="G1415" s="5" t="s">
        <v>25</v>
      </c>
      <c r="H1415" s="5" t="s">
        <v>25</v>
      </c>
      <c r="I1415" s="5" t="s">
        <v>25</v>
      </c>
      <c r="J1415" s="5" t="s">
        <v>25</v>
      </c>
      <c r="K1415" s="7" t="str">
        <f>VLOOKUP(A1415,Sheet2!$A$2:$R$3432,6,0)</f>
        <v>Honda Shine </v>
      </c>
      <c r="L1415" s="5" t="s">
        <v>25</v>
      </c>
      <c r="M1415" s="7" t="str">
        <f>VLOOKUP(A1415,Sheet2!$A$2:$R$3432,5,0)</f>
        <v>MH14JJ7948</v>
      </c>
      <c r="N1415" s="5" t="s">
        <v>25</v>
      </c>
      <c r="O1415" s="5" t="s">
        <v>25</v>
      </c>
      <c r="P1415" s="6" t="s">
        <v>25</v>
      </c>
      <c r="Q1415" s="5" t="s">
        <v>25</v>
      </c>
      <c r="R1415" s="5" t="s">
        <v>25</v>
      </c>
      <c r="S1415" s="5" t="str">
        <f>VLOOKUP(A1415,Sheet2!$A$2:$R$3432,18,0)</f>
        <v>JC85E00259615</v>
      </c>
      <c r="T1415" s="7" t="str">
        <f>VLOOKUP(A1415,Sheet2!$A$2:$R$3432,17,0)</f>
        <v>ME4JC855MCD040965</v>
      </c>
    </row>
    <row r="1416" ht="15.75" customHeight="1">
      <c r="A1416" s="3" t="s">
        <v>1439</v>
      </c>
      <c r="B1416" s="4" t="str">
        <f>VLOOKUP(A1416,Sheet2!$A$2:$R$3432,2,0)</f>
        <v>2025-02-06 19:50:40</v>
      </c>
      <c r="C1416" s="5" t="s">
        <v>25</v>
      </c>
      <c r="D1416" s="6" t="s">
        <v>25</v>
      </c>
      <c r="E1416" s="7">
        <f>VLOOKUP(A1416,Sheet2!$A$2:$R$3432,4,0)</f>
        <v>8788710853</v>
      </c>
      <c r="F1416" s="7" t="str">
        <f>VLOOKUP(A1416,Sheet2!$A$2:$R$3432,3,0)</f>
        <v>NIKITA SODMISE</v>
      </c>
      <c r="G1416" s="5" t="s">
        <v>25</v>
      </c>
      <c r="H1416" s="5" t="s">
        <v>25</v>
      </c>
      <c r="I1416" s="5" t="s">
        <v>25</v>
      </c>
      <c r="J1416" s="5" t="s">
        <v>25</v>
      </c>
      <c r="K1416" s="7" t="str">
        <f>VLOOKUP(A1416,Sheet2!$A$2:$R$3432,6,0)</f>
        <v>Honda Activa 3G</v>
      </c>
      <c r="L1416" s="5" t="s">
        <v>25</v>
      </c>
      <c r="M1416" s="7" t="str">
        <f>VLOOKUP(A1416,Sheet2!$A$2:$R$3432,5,0)</f>
        <v>MH11BW3959</v>
      </c>
      <c r="N1416" s="5" t="s">
        <v>25</v>
      </c>
      <c r="O1416" s="5" t="s">
        <v>25</v>
      </c>
      <c r="P1416" s="6" t="s">
        <v>25</v>
      </c>
      <c r="Q1416" s="5" t="s">
        <v>25</v>
      </c>
      <c r="R1416" s="5" t="s">
        <v>25</v>
      </c>
      <c r="S1416" s="5" t="str">
        <f>VLOOKUP(A1416,Sheet2!$A$2:$R$3432,18,0)</f>
        <v>JF50ET2215732</v>
      </c>
      <c r="T1416" s="7" t="str">
        <f>VLOOKUP(A1416,Sheet2!$A$2:$R$3432,17,0)</f>
        <v>ME4JF504CFT21472</v>
      </c>
    </row>
    <row r="1417" ht="15.75" customHeight="1">
      <c r="A1417" s="3" t="s">
        <v>1440</v>
      </c>
      <c r="B1417" s="4" t="str">
        <f>VLOOKUP(A1417,Sheet2!$A$2:$R$3432,2,0)</f>
        <v>2025-02-06 19:53:30</v>
      </c>
      <c r="C1417" s="5" t="s">
        <v>25</v>
      </c>
      <c r="D1417" s="6" t="s">
        <v>25</v>
      </c>
      <c r="E1417" s="7">
        <f>VLOOKUP(A1417,Sheet2!$A$2:$R$3432,4,0)</f>
        <v>9405208321</v>
      </c>
      <c r="F1417" s="7" t="str">
        <f>VLOOKUP(A1417,Sheet2!$A$2:$R$3432,3,0)</f>
        <v>Suhas Deshmukh </v>
      </c>
      <c r="G1417" s="5" t="s">
        <v>25</v>
      </c>
      <c r="H1417" s="5" t="s">
        <v>25</v>
      </c>
      <c r="I1417" s="5" t="s">
        <v>25</v>
      </c>
      <c r="J1417" s="5" t="s">
        <v>25</v>
      </c>
      <c r="K1417" s="7" t="str">
        <f>VLOOKUP(A1417,Sheet2!$A$2:$R$3432,6,0)</f>
        <v>Yamaha FZ V3</v>
      </c>
      <c r="L1417" s="5" t="s">
        <v>25</v>
      </c>
      <c r="M1417" s="7" t="str">
        <f>VLOOKUP(A1417,Sheet2!$A$2:$R$3432,5,0)</f>
        <v>MH22AU1972</v>
      </c>
      <c r="N1417" s="5" t="s">
        <v>25</v>
      </c>
      <c r="O1417" s="5" t="s">
        <v>25</v>
      </c>
      <c r="P1417" s="6" t="s">
        <v>25</v>
      </c>
      <c r="Q1417" s="5" t="s">
        <v>25</v>
      </c>
      <c r="R1417" s="5" t="s">
        <v>25</v>
      </c>
      <c r="S1417" s="7" t="str">
        <f>VLOOKUP(A1417,Sheet2!$A$2:$R$3432,18,0)</f>
        <v/>
      </c>
      <c r="T1417" s="7" t="str">
        <f>VLOOKUP(A1417,Sheet2!$A$2:$R$3432,17,0)</f>
        <v/>
      </c>
    </row>
    <row r="1418" ht="15.75" customHeight="1">
      <c r="A1418" s="3" t="s">
        <v>1441</v>
      </c>
      <c r="B1418" s="4" t="str">
        <f>VLOOKUP(A1418,Sheet2!$A$2:$R$3432,2,0)</f>
        <v>2025-02-06 19:55:34</v>
      </c>
      <c r="C1418" s="5" t="s">
        <v>25</v>
      </c>
      <c r="D1418" s="6" t="s">
        <v>25</v>
      </c>
      <c r="E1418" s="7">
        <f>VLOOKUP(A1418,Sheet2!$A$2:$R$3432,4,0)</f>
        <v>8600837706</v>
      </c>
      <c r="F1418" s="7" t="str">
        <f>VLOOKUP(A1418,Sheet2!$A$2:$R$3432,3,0)</f>
        <v>NILESH</v>
      </c>
      <c r="G1418" s="5" t="s">
        <v>25</v>
      </c>
      <c r="H1418" s="5" t="s">
        <v>25</v>
      </c>
      <c r="I1418" s="5" t="s">
        <v>25</v>
      </c>
      <c r="J1418" s="5" t="s">
        <v>25</v>
      </c>
      <c r="K1418" s="7" t="str">
        <f>VLOOKUP(A1418,Sheet2!$A$2:$R$3432,6,0)</f>
        <v>Hero Pleasure </v>
      </c>
      <c r="L1418" s="5" t="s">
        <v>25</v>
      </c>
      <c r="M1418" s="7" t="str">
        <f>VLOOKUP(A1418,Sheet2!$A$2:$R$3432,5,0)</f>
        <v>MH21AH1427</v>
      </c>
      <c r="N1418" s="5" t="s">
        <v>25</v>
      </c>
      <c r="O1418" s="5" t="s">
        <v>25</v>
      </c>
      <c r="P1418" s="6" t="s">
        <v>25</v>
      </c>
      <c r="Q1418" s="5" t="s">
        <v>25</v>
      </c>
      <c r="R1418" s="5" t="s">
        <v>25</v>
      </c>
      <c r="S1418" s="5" t="str">
        <f>VLOOKUP(A1418,Sheet2!$A$2:$R$3432,18,0)</f>
        <v>ME16E00ER4409</v>
      </c>
      <c r="T1418" s="7" t="str">
        <f>VLOOKUP(A1418,Sheet2!$A$2:$R$3432,17,0)</f>
        <v>MBLJF16ECK64627</v>
      </c>
    </row>
    <row r="1419" ht="15.75" customHeight="1">
      <c r="A1419" s="3" t="s">
        <v>1442</v>
      </c>
      <c r="B1419" s="4" t="str">
        <f>VLOOKUP(A1419,Sheet2!$A$2:$R$3432,2,0)</f>
        <v>2025-02-06 19:58:13</v>
      </c>
      <c r="C1419" s="5" t="s">
        <v>25</v>
      </c>
      <c r="D1419" s="6" t="s">
        <v>25</v>
      </c>
      <c r="E1419" s="7">
        <f>VLOOKUP(A1419,Sheet2!$A$2:$R$3432,4,0)</f>
        <v>7028001439</v>
      </c>
      <c r="F1419" s="7" t="str">
        <f>VLOOKUP(A1419,Sheet2!$A$2:$R$3432,3,0)</f>
        <v>Ajinkya Warhade</v>
      </c>
      <c r="G1419" s="5" t="s">
        <v>25</v>
      </c>
      <c r="H1419" s="5" t="s">
        <v>25</v>
      </c>
      <c r="I1419" s="5" t="s">
        <v>25</v>
      </c>
      <c r="J1419" s="5" t="s">
        <v>25</v>
      </c>
      <c r="K1419" s="7" t="str">
        <f>VLOOKUP(A1419,Sheet2!$A$2:$R$3432,6,0)</f>
        <v>TVS Jupiter </v>
      </c>
      <c r="L1419" s="5" t="s">
        <v>25</v>
      </c>
      <c r="M1419" s="7" t="str">
        <f>VLOOKUP(A1419,Sheet2!$A$2:$R$3432,5,0)</f>
        <v>MH12RX4773</v>
      </c>
      <c r="N1419" s="5" t="s">
        <v>25</v>
      </c>
      <c r="O1419" s="5" t="s">
        <v>25</v>
      </c>
      <c r="P1419" s="6" t="s">
        <v>25</v>
      </c>
      <c r="Q1419" s="5" t="s">
        <v>25</v>
      </c>
      <c r="R1419" s="5" t="s">
        <v>25</v>
      </c>
      <c r="S1419" s="5" t="str">
        <f>VLOOKUP(A1419,Sheet2!$A$2:$R$3432,18,0)</f>
        <v>EG4GK1416107</v>
      </c>
      <c r="T1419" s="7" t="str">
        <f>VLOOKUP(A1419,Sheet2!$A$2:$R$3432,17,0)</f>
        <v>MD626EG45K1G28173</v>
      </c>
    </row>
    <row r="1420" ht="15.75" customHeight="1">
      <c r="A1420" s="3" t="s">
        <v>1443</v>
      </c>
      <c r="B1420" s="4" t="str">
        <f>VLOOKUP(A1420,Sheet2!$A$2:$R$3432,2,0)</f>
        <v>2025-02-06 19:56:59</v>
      </c>
      <c r="C1420" s="5" t="s">
        <v>25</v>
      </c>
      <c r="D1420" s="6" t="s">
        <v>25</v>
      </c>
      <c r="E1420" s="7">
        <f>VLOOKUP(A1420,Sheet2!$A$2:$R$3432,4,0)</f>
        <v>8698882339</v>
      </c>
      <c r="F1420" s="7" t="str">
        <f>VLOOKUP(A1420,Sheet2!$A$2:$R$3432,3,0)</f>
        <v>ASHWINI SHINDE</v>
      </c>
      <c r="G1420" s="5" t="s">
        <v>25</v>
      </c>
      <c r="H1420" s="5" t="s">
        <v>25</v>
      </c>
      <c r="I1420" s="5" t="s">
        <v>25</v>
      </c>
      <c r="J1420" s="5" t="s">
        <v>25</v>
      </c>
      <c r="K1420" s="7" t="str">
        <f>VLOOKUP(A1420,Sheet2!$A$2:$R$3432,6,0)</f>
        <v>Honda Activa 5G</v>
      </c>
      <c r="L1420" s="5" t="s">
        <v>25</v>
      </c>
      <c r="M1420" s="7" t="str">
        <f>VLOOKUP(A1420,Sheet2!$A$2:$R$3432,5,0)</f>
        <v>MH14HH1058</v>
      </c>
      <c r="N1420" s="5" t="s">
        <v>25</v>
      </c>
      <c r="O1420" s="5" t="s">
        <v>25</v>
      </c>
      <c r="P1420" s="6" t="s">
        <v>25</v>
      </c>
      <c r="Q1420" s="5" t="s">
        <v>25</v>
      </c>
      <c r="R1420" s="5" t="s">
        <v>25</v>
      </c>
      <c r="S1420" s="5" t="str">
        <f>VLOOKUP(A1420,Sheet2!$A$2:$R$3432,18,0)</f>
        <v>JF50E47380915</v>
      </c>
      <c r="T1420" s="7" t="str">
        <f>VLOOKUP(A1420,Sheet2!$A$2:$R$3432,17,0)</f>
        <v>ME4JF50ALJU380878</v>
      </c>
    </row>
    <row r="1421" ht="15.75" customHeight="1">
      <c r="A1421" s="3" t="s">
        <v>1444</v>
      </c>
      <c r="B1421" s="4" t="str">
        <f>VLOOKUP(A1421,Sheet2!$A$2:$R$3432,2,0)</f>
        <v>2025-02-06 19:59:29</v>
      </c>
      <c r="C1421" s="5" t="s">
        <v>25</v>
      </c>
      <c r="D1421" s="6" t="s">
        <v>25</v>
      </c>
      <c r="E1421" s="7">
        <f>VLOOKUP(A1421,Sheet2!$A$2:$R$3432,4,0)</f>
        <v>9028332011</v>
      </c>
      <c r="F1421" s="7" t="str">
        <f>VLOOKUP(A1421,Sheet2!$A$2:$R$3432,3,0)</f>
        <v>SACHIN KARADE</v>
      </c>
      <c r="G1421" s="5" t="s">
        <v>25</v>
      </c>
      <c r="H1421" s="5" t="s">
        <v>25</v>
      </c>
      <c r="I1421" s="5" t="s">
        <v>25</v>
      </c>
      <c r="J1421" s="5" t="s">
        <v>25</v>
      </c>
      <c r="K1421" s="7" t="str">
        <f>VLOOKUP(A1421,Sheet2!$A$2:$R$3432,6,0)</f>
        <v>Suzuki Access  125 BS6</v>
      </c>
      <c r="L1421" s="5" t="s">
        <v>25</v>
      </c>
      <c r="M1421" s="7" t="str">
        <f>VLOOKUP(A1421,Sheet2!$A$2:$R$3432,5,0)</f>
        <v>MH12WS6399</v>
      </c>
      <c r="N1421" s="5" t="s">
        <v>25</v>
      </c>
      <c r="O1421" s="5" t="s">
        <v>25</v>
      </c>
      <c r="P1421" s="6" t="s">
        <v>25</v>
      </c>
      <c r="Q1421" s="5" t="s">
        <v>25</v>
      </c>
      <c r="R1421" s="5" t="s">
        <v>25</v>
      </c>
      <c r="S1421" s="5" t="str">
        <f>VLOOKUP(A1421,Sheet2!$A$2:$R$3432,18,0)</f>
        <v>AF2177777351</v>
      </c>
      <c r="T1421" s="7" t="str">
        <f>VLOOKUP(A1421,Sheet2!$A$2:$R$3432,17,0)</f>
        <v>MBL8DP128604947</v>
      </c>
    </row>
    <row r="1422" ht="15.75" customHeight="1">
      <c r="A1422" s="3" t="s">
        <v>1445</v>
      </c>
      <c r="B1422" s="4" t="str">
        <f>VLOOKUP(A1422,Sheet2!$A$2:$R$3432,2,0)</f>
        <v>2025-02-06 19:58:58</v>
      </c>
      <c r="C1422" s="5" t="s">
        <v>25</v>
      </c>
      <c r="D1422" s="6" t="s">
        <v>25</v>
      </c>
      <c r="E1422" s="7">
        <f>VLOOKUP(A1422,Sheet2!$A$2:$R$3432,4,0)</f>
        <v>7385844472</v>
      </c>
      <c r="F1422" s="7" t="str">
        <f>VLOOKUP(A1422,Sheet2!$A$2:$R$3432,3,0)</f>
        <v>SAMEER</v>
      </c>
      <c r="G1422" s="5" t="s">
        <v>25</v>
      </c>
      <c r="H1422" s="5" t="s">
        <v>25</v>
      </c>
      <c r="I1422" s="5" t="s">
        <v>25</v>
      </c>
      <c r="J1422" s="5" t="s">
        <v>25</v>
      </c>
      <c r="K1422" s="7" t="str">
        <f>VLOOKUP(A1422,Sheet2!$A$2:$R$3432,6,0)</f>
        <v>TVS Jupiter BS6</v>
      </c>
      <c r="L1422" s="5" t="s">
        <v>25</v>
      </c>
      <c r="M1422" s="7" t="str">
        <f>VLOOKUP(A1422,Sheet2!$A$2:$R$3432,5,0)</f>
        <v>MH12SV6911</v>
      </c>
      <c r="N1422" s="5" t="s">
        <v>25</v>
      </c>
      <c r="O1422" s="5" t="s">
        <v>25</v>
      </c>
      <c r="P1422" s="6" t="s">
        <v>25</v>
      </c>
      <c r="Q1422" s="5" t="s">
        <v>25</v>
      </c>
      <c r="R1422" s="5" t="s">
        <v>25</v>
      </c>
      <c r="S1422" s="7" t="str">
        <f>VLOOKUP(A1422,Sheet2!$A$2:$R$3432,18,0)</f>
        <v/>
      </c>
      <c r="T1422" s="7" t="str">
        <f>VLOOKUP(A1422,Sheet2!$A$2:$R$3432,17,0)</f>
        <v/>
      </c>
    </row>
    <row r="1423" ht="15.75" customHeight="1">
      <c r="A1423" s="3" t="s">
        <v>1446</v>
      </c>
      <c r="B1423" s="4" t="str">
        <f>VLOOKUP(A1423,Sheet2!$A$2:$R$3432,2,0)</f>
        <v>2025-02-06 20:00:34</v>
      </c>
      <c r="C1423" s="5" t="s">
        <v>25</v>
      </c>
      <c r="D1423" s="6" t="s">
        <v>25</v>
      </c>
      <c r="E1423" s="7">
        <f>VLOOKUP(A1423,Sheet2!$A$2:$R$3432,4,0)</f>
        <v>9765844529</v>
      </c>
      <c r="F1423" s="7" t="str">
        <f>VLOOKUP(A1423,Sheet2!$A$2:$R$3432,3,0)</f>
        <v>Nikhil </v>
      </c>
      <c r="G1423" s="5" t="s">
        <v>25</v>
      </c>
      <c r="H1423" s="5" t="s">
        <v>25</v>
      </c>
      <c r="I1423" s="5" t="s">
        <v>25</v>
      </c>
      <c r="J1423" s="5" t="s">
        <v>25</v>
      </c>
      <c r="K1423" s="7" t="str">
        <f>VLOOKUP(A1423,Sheet2!$A$2:$R$3432,6,0)</f>
        <v>Yamaha FZ V3</v>
      </c>
      <c r="L1423" s="5" t="s">
        <v>25</v>
      </c>
      <c r="M1423" s="7" t="str">
        <f>VLOOKUP(A1423,Sheet2!$A$2:$R$3432,5,0)</f>
        <v>MH12QP7323</v>
      </c>
      <c r="N1423" s="5" t="s">
        <v>25</v>
      </c>
      <c r="O1423" s="5" t="s">
        <v>25</v>
      </c>
      <c r="P1423" s="6" t="s">
        <v>25</v>
      </c>
      <c r="Q1423" s="5" t="s">
        <v>25</v>
      </c>
      <c r="R1423" s="5" t="s">
        <v>25</v>
      </c>
      <c r="S1423" s="5" t="str">
        <f>VLOOKUP(A1423,Sheet2!$A$2:$R$3432,18,0)</f>
        <v>G3J3E0159424</v>
      </c>
      <c r="T1423" s="7" t="str">
        <f>VLOOKUP(A1423,Sheet2!$A$2:$R$3432,17,0)</f>
        <v>ME1RG442AHD104382</v>
      </c>
    </row>
    <row r="1424" ht="15.75" customHeight="1">
      <c r="A1424" s="3" t="s">
        <v>1447</v>
      </c>
      <c r="B1424" s="4" t="str">
        <f>VLOOKUP(A1424,Sheet2!$A$2:$R$3432,2,0)</f>
        <v>2025-02-06 20:01:13</v>
      </c>
      <c r="C1424" s="5" t="s">
        <v>25</v>
      </c>
      <c r="D1424" s="6" t="s">
        <v>25</v>
      </c>
      <c r="E1424" s="7">
        <f>VLOOKUP(A1424,Sheet2!$A$2:$R$3432,4,0)</f>
        <v>9823143276</v>
      </c>
      <c r="F1424" s="7" t="str">
        <f>VLOOKUP(A1424,Sheet2!$A$2:$R$3432,3,0)</f>
        <v>PRAVIN ANJIKAR </v>
      </c>
      <c r="G1424" s="5" t="s">
        <v>25</v>
      </c>
      <c r="H1424" s="5" t="s">
        <v>25</v>
      </c>
      <c r="I1424" s="5" t="s">
        <v>25</v>
      </c>
      <c r="J1424" s="5" t="s">
        <v>25</v>
      </c>
      <c r="K1424" s="7" t="str">
        <f>VLOOKUP(A1424,Sheet2!$A$2:$R$3432,6,0)</f>
        <v>Hero Pleasure </v>
      </c>
      <c r="L1424" s="5" t="s">
        <v>25</v>
      </c>
      <c r="M1424" s="7" t="str">
        <f>VLOOKUP(A1424,Sheet2!$A$2:$R$3432,5,0)</f>
        <v>MH49N1675</v>
      </c>
      <c r="N1424" s="5" t="s">
        <v>25</v>
      </c>
      <c r="O1424" s="5" t="s">
        <v>25</v>
      </c>
      <c r="P1424" s="6" t="s">
        <v>25</v>
      </c>
      <c r="Q1424" s="5" t="s">
        <v>25</v>
      </c>
      <c r="R1424" s="5" t="s">
        <v>25</v>
      </c>
      <c r="S1424" s="5" t="str">
        <f>VLOOKUP(A1424,Sheet2!$A$2:$R$3432,18,0)</f>
        <v>JF16ECDGF21888</v>
      </c>
      <c r="T1424" s="7" t="str">
        <f>VLOOKUP(A1424,Sheet2!$A$2:$R$3432,17,0)</f>
        <v>MBLJF16EFDGF21534</v>
      </c>
    </row>
    <row r="1425" ht="15.75" customHeight="1">
      <c r="A1425" s="3" t="s">
        <v>1448</v>
      </c>
      <c r="B1425" s="4" t="str">
        <f>VLOOKUP(A1425,Sheet2!$A$2:$R$3432,2,0)</f>
        <v>2025-02-06 20:04:04</v>
      </c>
      <c r="C1425" s="5" t="s">
        <v>25</v>
      </c>
      <c r="D1425" s="6" t="s">
        <v>25</v>
      </c>
      <c r="E1425" s="7">
        <f>VLOOKUP(A1425,Sheet2!$A$2:$R$3432,4,0)</f>
        <v>9422303398</v>
      </c>
      <c r="F1425" s="7" t="str">
        <f>VLOOKUP(A1425,Sheet2!$A$2:$R$3432,3,0)</f>
        <v>Sandhya Ghorpade</v>
      </c>
      <c r="G1425" s="5" t="s">
        <v>25</v>
      </c>
      <c r="H1425" s="5" t="s">
        <v>25</v>
      </c>
      <c r="I1425" s="5" t="s">
        <v>25</v>
      </c>
      <c r="J1425" s="5" t="s">
        <v>25</v>
      </c>
      <c r="K1425" s="7" t="str">
        <f>VLOOKUP(A1425,Sheet2!$A$2:$R$3432,6,0)</f>
        <v>TVS Scooty PEP Plus</v>
      </c>
      <c r="L1425" s="5" t="s">
        <v>25</v>
      </c>
      <c r="M1425" s="7" t="str">
        <f>VLOOKUP(A1425,Sheet2!$A$2:$R$3432,5,0)</f>
        <v>MH14DL0160</v>
      </c>
      <c r="N1425" s="5" t="s">
        <v>25</v>
      </c>
      <c r="O1425" s="5" t="s">
        <v>25</v>
      </c>
      <c r="P1425" s="6" t="s">
        <v>25</v>
      </c>
      <c r="Q1425" s="5" t="s">
        <v>25</v>
      </c>
      <c r="R1425" s="5" t="s">
        <v>25</v>
      </c>
      <c r="S1425" s="5" t="str">
        <f>VLOOKUP(A1425,Sheet2!$A$2:$R$3432,18,0)</f>
        <v>RUSTY FRAME</v>
      </c>
      <c r="T1425" s="7" t="str">
        <f>VLOOKUP(A1425,Sheet2!$A$2:$R$3432,17,0)</f>
        <v>MD626BG35C2E99983</v>
      </c>
    </row>
    <row r="1426" ht="15.75" customHeight="1">
      <c r="A1426" s="3" t="s">
        <v>1449</v>
      </c>
      <c r="B1426" s="4" t="str">
        <f>VLOOKUP(A1426,Sheet2!$A$2:$R$3432,2,0)</f>
        <v>2025-02-08 20:17:20</v>
      </c>
      <c r="C1426" s="5" t="s">
        <v>25</v>
      </c>
      <c r="D1426" s="6" t="s">
        <v>25</v>
      </c>
      <c r="E1426" s="7">
        <f>VLOOKUP(A1426,Sheet2!$A$2:$R$3432,4,0)</f>
        <v>8411002659</v>
      </c>
      <c r="F1426" s="7" t="str">
        <f>VLOOKUP(A1426,Sheet2!$A$2:$R$3432,3,0)</f>
        <v>AISHWARYA</v>
      </c>
      <c r="G1426" s="5" t="s">
        <v>25</v>
      </c>
      <c r="H1426" s="5" t="s">
        <v>25</v>
      </c>
      <c r="I1426" s="5" t="s">
        <v>25</v>
      </c>
      <c r="J1426" s="5" t="s">
        <v>25</v>
      </c>
      <c r="K1426" s="7" t="str">
        <f>VLOOKUP(A1426,Sheet2!$A$2:$R$3432,6,0)</f>
        <v>Honda Activa 6G</v>
      </c>
      <c r="L1426" s="5" t="s">
        <v>25</v>
      </c>
      <c r="M1426" s="7" t="str">
        <f>VLOOKUP(A1426,Sheet2!$A$2:$R$3432,5,0)</f>
        <v>MH41BC9212</v>
      </c>
      <c r="N1426" s="5" t="s">
        <v>25</v>
      </c>
      <c r="O1426" s="5" t="s">
        <v>25</v>
      </c>
      <c r="P1426" s="6" t="s">
        <v>25</v>
      </c>
      <c r="Q1426" s="5" t="s">
        <v>25</v>
      </c>
      <c r="R1426" s="5" t="s">
        <v>25</v>
      </c>
      <c r="S1426" s="5" t="str">
        <f>VLOOKUP(A1426,Sheet2!$A$2:$R$3432,18,0)</f>
        <v>JF91EG1180846</v>
      </c>
      <c r="T1426" s="7" t="str">
        <f>VLOOKUP(A1426,Sheet2!$A$2:$R$3432,17,0)</f>
        <v>ME4JF914JG182274</v>
      </c>
    </row>
    <row r="1427" ht="15.75" customHeight="1">
      <c r="A1427" s="3" t="s">
        <v>1450</v>
      </c>
      <c r="B1427" s="4" t="str">
        <f>VLOOKUP(A1427,Sheet2!$A$2:$R$3432,2,0)</f>
        <v>2025-02-08 20:32:30</v>
      </c>
      <c r="C1427" s="5" t="s">
        <v>25</v>
      </c>
      <c r="D1427" s="6" t="s">
        <v>25</v>
      </c>
      <c r="E1427" s="7">
        <f>VLOOKUP(A1427,Sheet2!$A$2:$R$3432,4,0)</f>
        <v>9623907023</v>
      </c>
      <c r="F1427" s="7" t="str">
        <f>VLOOKUP(A1427,Sheet2!$A$2:$R$3432,3,0)</f>
        <v>VAISHNAV PHARLE</v>
      </c>
      <c r="G1427" s="5" t="s">
        <v>25</v>
      </c>
      <c r="H1427" s="5" t="s">
        <v>25</v>
      </c>
      <c r="I1427" s="5" t="s">
        <v>25</v>
      </c>
      <c r="J1427" s="5" t="s">
        <v>25</v>
      </c>
      <c r="K1427" s="7" t="str">
        <f>VLOOKUP(A1427,Sheet2!$A$2:$R$3432,6,0)</f>
        <v>Honda Livo </v>
      </c>
      <c r="L1427" s="5" t="s">
        <v>25</v>
      </c>
      <c r="M1427" s="7" t="str">
        <f>VLOOKUP(A1427,Sheet2!$A$2:$R$3432,5,0)</f>
        <v>MH16CN1655</v>
      </c>
      <c r="N1427" s="5" t="s">
        <v>25</v>
      </c>
      <c r="O1427" s="5" t="s">
        <v>25</v>
      </c>
      <c r="P1427" s="6" t="s">
        <v>25</v>
      </c>
      <c r="Q1427" s="5" t="s">
        <v>25</v>
      </c>
      <c r="R1427" s="5" t="s">
        <v>25</v>
      </c>
      <c r="S1427" s="7" t="str">
        <f>VLOOKUP(A1427,Sheet2!$A$2:$R$3432,18,0)</f>
        <v/>
      </c>
      <c r="T1427" s="7" t="str">
        <f>VLOOKUP(A1427,Sheet2!$A$2:$R$3432,17,0)</f>
        <v/>
      </c>
    </row>
    <row r="1428" ht="15.75" customHeight="1">
      <c r="A1428" s="3" t="s">
        <v>1451</v>
      </c>
      <c r="B1428" s="4" t="str">
        <f>VLOOKUP(A1428,Sheet2!$A$2:$R$3432,2,0)</f>
        <v>2025-02-08 20:22:18</v>
      </c>
      <c r="C1428" s="5" t="s">
        <v>25</v>
      </c>
      <c r="D1428" s="6" t="s">
        <v>25</v>
      </c>
      <c r="E1428" s="7">
        <f>VLOOKUP(A1428,Sheet2!$A$2:$R$3432,4,0)</f>
        <v>8888870951</v>
      </c>
      <c r="F1428" s="7" t="str">
        <f>VLOOKUP(A1428,Sheet2!$A$2:$R$3432,3,0)</f>
        <v>Rahul Baviskar</v>
      </c>
      <c r="G1428" s="5" t="s">
        <v>25</v>
      </c>
      <c r="H1428" s="5" t="s">
        <v>25</v>
      </c>
      <c r="I1428" s="5" t="s">
        <v>25</v>
      </c>
      <c r="J1428" s="5" t="s">
        <v>25</v>
      </c>
      <c r="K1428" s="7" t="str">
        <f>VLOOKUP(A1428,Sheet2!$A$2:$R$3432,6,0)</f>
        <v>TVS Wego </v>
      </c>
      <c r="L1428" s="5" t="s">
        <v>25</v>
      </c>
      <c r="M1428" s="7" t="str">
        <f>VLOOKUP(A1428,Sheet2!$A$2:$R$3432,5,0)</f>
        <v>MH14DB7476</v>
      </c>
      <c r="N1428" s="5" t="s">
        <v>25</v>
      </c>
      <c r="O1428" s="5" t="s">
        <v>25</v>
      </c>
      <c r="P1428" s="6" t="s">
        <v>25</v>
      </c>
      <c r="Q1428" s="5" t="s">
        <v>25</v>
      </c>
      <c r="R1428" s="5" t="s">
        <v>25</v>
      </c>
      <c r="S1428" s="7" t="str">
        <f>VLOOKUP(A1428,Sheet2!$A$2:$R$3432,18,0)</f>
        <v/>
      </c>
      <c r="T1428" s="7" t="str">
        <f>VLOOKUP(A1428,Sheet2!$A$2:$R$3432,17,0)</f>
        <v/>
      </c>
    </row>
    <row r="1429" ht="15.75" customHeight="1">
      <c r="A1429" s="3" t="s">
        <v>1452</v>
      </c>
      <c r="B1429" s="4" t="str">
        <f>VLOOKUP(A1429,Sheet2!$A$2:$R$3432,2,0)</f>
        <v>2025-02-08 20:16:41</v>
      </c>
      <c r="C1429" s="5" t="s">
        <v>25</v>
      </c>
      <c r="D1429" s="6" t="s">
        <v>25</v>
      </c>
      <c r="E1429" s="7">
        <f>VLOOKUP(A1429,Sheet2!$A$2:$R$3432,4,0)</f>
        <v>7387680231</v>
      </c>
      <c r="F1429" s="7" t="str">
        <f>VLOOKUP(A1429,Sheet2!$A$2:$R$3432,3,0)</f>
        <v>GORAKH</v>
      </c>
      <c r="G1429" s="5" t="s">
        <v>25</v>
      </c>
      <c r="H1429" s="5" t="s">
        <v>25</v>
      </c>
      <c r="I1429" s="5" t="s">
        <v>25</v>
      </c>
      <c r="J1429" s="5" t="s">
        <v>25</v>
      </c>
      <c r="K1429" s="7" t="str">
        <f>VLOOKUP(A1429,Sheet2!$A$2:$R$3432,6,0)</f>
        <v>TVS Jupiter 125</v>
      </c>
      <c r="L1429" s="5" t="s">
        <v>25</v>
      </c>
      <c r="M1429" s="7" t="str">
        <f>VLOOKUP(A1429,Sheet2!$A$2:$R$3432,5,0)</f>
        <v>MH12VH4680</v>
      </c>
      <c r="N1429" s="5" t="s">
        <v>25</v>
      </c>
      <c r="O1429" s="5" t="s">
        <v>25</v>
      </c>
      <c r="P1429" s="6" t="s">
        <v>25</v>
      </c>
      <c r="Q1429" s="5" t="s">
        <v>25</v>
      </c>
      <c r="R1429" s="5" t="s">
        <v>25</v>
      </c>
      <c r="S1429" s="5" t="str">
        <f>VLOOKUP(A1429,Sheet2!$A$2:$R$3432,18,0)</f>
        <v>BK4BP1023223</v>
      </c>
      <c r="T1429" s="7" t="str">
        <f>VLOOKUP(A1429,Sheet2!$A$2:$R$3432,17,0)</f>
        <v>MD626BAK48P125597</v>
      </c>
    </row>
    <row r="1430" ht="15.75" customHeight="1">
      <c r="A1430" s="3" t="s">
        <v>1453</v>
      </c>
      <c r="B1430" s="4" t="str">
        <f>VLOOKUP(A1430,Sheet2!$A$2:$R$3432,2,0)</f>
        <v>2025-02-08 20:19:48</v>
      </c>
      <c r="C1430" s="5" t="s">
        <v>25</v>
      </c>
      <c r="D1430" s="6" t="s">
        <v>25</v>
      </c>
      <c r="E1430" s="7">
        <f>VLOOKUP(A1430,Sheet2!$A$2:$R$3432,4,0)</f>
        <v>8378978460</v>
      </c>
      <c r="F1430" s="7" t="str">
        <f>VLOOKUP(A1430,Sheet2!$A$2:$R$3432,3,0)</f>
        <v>VISHAL WAGH</v>
      </c>
      <c r="G1430" s="5" t="s">
        <v>25</v>
      </c>
      <c r="H1430" s="5" t="s">
        <v>25</v>
      </c>
      <c r="I1430" s="5" t="s">
        <v>25</v>
      </c>
      <c r="J1430" s="5" t="s">
        <v>25</v>
      </c>
      <c r="K1430" s="7" t="str">
        <f>VLOOKUP(A1430,Sheet2!$A$2:$R$3432,6,0)</f>
        <v>Honda Activa 110</v>
      </c>
      <c r="L1430" s="5" t="s">
        <v>25</v>
      </c>
      <c r="M1430" s="7" t="str">
        <f>VLOOKUP(A1430,Sheet2!$A$2:$R$3432,5,0)</f>
        <v>MH31DG2618</v>
      </c>
      <c r="N1430" s="5" t="s">
        <v>25</v>
      </c>
      <c r="O1430" s="5" t="s">
        <v>25</v>
      </c>
      <c r="P1430" s="6" t="s">
        <v>25</v>
      </c>
      <c r="Q1430" s="5" t="s">
        <v>25</v>
      </c>
      <c r="R1430" s="5" t="s">
        <v>25</v>
      </c>
      <c r="S1430" s="5" t="str">
        <f>VLOOKUP(A1430,Sheet2!$A$2:$R$3432,18,0)</f>
        <v>JC44E0208335</v>
      </c>
      <c r="T1430" s="7" t="str">
        <f>VLOOKUP(A1430,Sheet2!$A$2:$R$3432,17,0)</f>
        <v>ME4JC446ED8265009</v>
      </c>
    </row>
    <row r="1431" ht="15.75" customHeight="1">
      <c r="A1431" s="3" t="s">
        <v>1454</v>
      </c>
      <c r="B1431" s="4" t="str">
        <f>VLOOKUP(A1431,Sheet2!$A$2:$R$3432,2,0)</f>
        <v>2025-02-08 20:18:10</v>
      </c>
      <c r="C1431" s="5" t="s">
        <v>25</v>
      </c>
      <c r="D1431" s="6" t="s">
        <v>25</v>
      </c>
      <c r="E1431" s="7">
        <f>VLOOKUP(A1431,Sheet2!$A$2:$R$3432,4,0)</f>
        <v>8779872506</v>
      </c>
      <c r="F1431" s="7" t="str">
        <f>VLOOKUP(A1431,Sheet2!$A$2:$R$3432,3,0)</f>
        <v>Mayur Shinde </v>
      </c>
      <c r="G1431" s="5" t="s">
        <v>25</v>
      </c>
      <c r="H1431" s="5" t="s">
        <v>25</v>
      </c>
      <c r="I1431" s="5" t="s">
        <v>25</v>
      </c>
      <c r="J1431" s="5" t="s">
        <v>25</v>
      </c>
      <c r="K1431" s="7" t="str">
        <f>VLOOKUP(A1431,Sheet2!$A$2:$R$3432,6,0)</f>
        <v>Honda Unicorn 160</v>
      </c>
      <c r="L1431" s="5" t="s">
        <v>25</v>
      </c>
      <c r="M1431" s="7" t="str">
        <f>VLOOKUP(A1431,Sheet2!$A$2:$R$3432,5,0)</f>
        <v>MH05DG0985</v>
      </c>
      <c r="N1431" s="5" t="s">
        <v>25</v>
      </c>
      <c r="O1431" s="5" t="s">
        <v>25</v>
      </c>
      <c r="P1431" s="6" t="s">
        <v>25</v>
      </c>
      <c r="Q1431" s="5" t="s">
        <v>25</v>
      </c>
      <c r="R1431" s="5" t="s">
        <v>25</v>
      </c>
      <c r="S1431" s="7" t="str">
        <f>VLOOKUP(A1431,Sheet2!$A$2:$R$3432,18,0)</f>
        <v/>
      </c>
      <c r="T1431" s="7" t="str">
        <f>VLOOKUP(A1431,Sheet2!$A$2:$R$3432,17,0)</f>
        <v/>
      </c>
    </row>
    <row r="1432" ht="15.75" customHeight="1">
      <c r="A1432" s="3" t="s">
        <v>1455</v>
      </c>
      <c r="B1432" s="4" t="str">
        <f>VLOOKUP(A1432,Sheet2!$A$2:$R$3432,2,0)</f>
        <v>2025-02-08 20:21:22</v>
      </c>
      <c r="C1432" s="5" t="s">
        <v>25</v>
      </c>
      <c r="D1432" s="6" t="s">
        <v>25</v>
      </c>
      <c r="E1432" s="7">
        <f>VLOOKUP(A1432,Sheet2!$A$2:$R$3432,4,0)</f>
        <v>9881241879</v>
      </c>
      <c r="F1432" s="7" t="str">
        <f>VLOOKUP(A1432,Sheet2!$A$2:$R$3432,3,0)</f>
        <v>Sanjay Hande</v>
      </c>
      <c r="G1432" s="5" t="s">
        <v>25</v>
      </c>
      <c r="H1432" s="5" t="s">
        <v>25</v>
      </c>
      <c r="I1432" s="5" t="s">
        <v>25</v>
      </c>
      <c r="J1432" s="5" t="s">
        <v>25</v>
      </c>
      <c r="K1432" s="7" t="str">
        <f>VLOOKUP(A1432,Sheet2!$A$2:$R$3432,6,0)</f>
        <v>TVS Scooty PEP Plus</v>
      </c>
      <c r="L1432" s="5" t="s">
        <v>25</v>
      </c>
      <c r="M1432" s="7" t="str">
        <f>VLOOKUP(A1432,Sheet2!$A$2:$R$3432,5,0)</f>
        <v>MH14DW3492</v>
      </c>
      <c r="N1432" s="5" t="s">
        <v>25</v>
      </c>
      <c r="O1432" s="5" t="s">
        <v>25</v>
      </c>
      <c r="P1432" s="6" t="s">
        <v>25</v>
      </c>
      <c r="Q1432" s="5" t="s">
        <v>25</v>
      </c>
      <c r="R1432" s="5" t="s">
        <v>25</v>
      </c>
      <c r="S1432" s="7" t="str">
        <f>VLOOKUP(A1432,Sheet2!$A$2:$R$3432,18,0)</f>
        <v/>
      </c>
      <c r="T1432" s="7" t="str">
        <f>VLOOKUP(A1432,Sheet2!$A$2:$R$3432,17,0)</f>
        <v>MD626BG36D2C62498</v>
      </c>
    </row>
    <row r="1433" ht="15.75" customHeight="1">
      <c r="A1433" s="3" t="s">
        <v>1456</v>
      </c>
      <c r="B1433" s="4" t="str">
        <f>VLOOKUP(A1433,Sheet2!$A$2:$R$3432,2,0)</f>
        <v>2025-02-08 20:22:54</v>
      </c>
      <c r="C1433" s="5" t="s">
        <v>25</v>
      </c>
      <c r="D1433" s="6" t="s">
        <v>25</v>
      </c>
      <c r="E1433" s="7">
        <f>VLOOKUP(A1433,Sheet2!$A$2:$R$3432,4,0)</f>
        <v>7875040912</v>
      </c>
      <c r="F1433" s="7" t="str">
        <f>VLOOKUP(A1433,Sheet2!$A$2:$R$3432,3,0)</f>
        <v>Mayank</v>
      </c>
      <c r="G1433" s="5" t="s">
        <v>25</v>
      </c>
      <c r="H1433" s="5" t="s">
        <v>25</v>
      </c>
      <c r="I1433" s="5" t="s">
        <v>25</v>
      </c>
      <c r="J1433" s="5" t="s">
        <v>25</v>
      </c>
      <c r="K1433" s="7" t="str">
        <f>VLOOKUP(A1433,Sheet2!$A$2:$R$3432,6,0)</f>
        <v>Yamaha FZ 1</v>
      </c>
      <c r="L1433" s="5" t="s">
        <v>25</v>
      </c>
      <c r="M1433" s="7" t="str">
        <f>VLOOKUP(A1433,Sheet2!$A$2:$R$3432,5,0)</f>
        <v>MH12GX9314</v>
      </c>
      <c r="N1433" s="5" t="s">
        <v>25</v>
      </c>
      <c r="O1433" s="5" t="s">
        <v>25</v>
      </c>
      <c r="P1433" s="6" t="s">
        <v>25</v>
      </c>
      <c r="Q1433" s="5" t="s">
        <v>25</v>
      </c>
      <c r="R1433" s="5" t="s">
        <v>25</v>
      </c>
      <c r="S1433" s="5" t="str">
        <f>VLOOKUP(A1433,Sheet2!$A$2:$R$3432,18,0)</f>
        <v>21C7001278</v>
      </c>
      <c r="T1433" s="7" t="str">
        <f>VLOOKUP(A1433,Sheet2!$A$2:$R$3432,17,0)</f>
        <v>ME121C07582001237</v>
      </c>
    </row>
    <row r="1434" ht="15.75" customHeight="1">
      <c r="A1434" s="3" t="s">
        <v>1457</v>
      </c>
      <c r="B1434" s="4" t="str">
        <f>VLOOKUP(A1434,Sheet2!$A$2:$R$3432,2,0)</f>
        <v>2025-02-08 20:23:56</v>
      </c>
      <c r="C1434" s="5" t="s">
        <v>25</v>
      </c>
      <c r="D1434" s="6" t="s">
        <v>25</v>
      </c>
      <c r="E1434" s="7">
        <f>VLOOKUP(A1434,Sheet2!$A$2:$R$3432,4,0)</f>
        <v>9130914347</v>
      </c>
      <c r="F1434" s="7" t="str">
        <f>VLOOKUP(A1434,Sheet2!$A$2:$R$3432,3,0)</f>
        <v>SHWETA HAMBIR</v>
      </c>
      <c r="G1434" s="5" t="s">
        <v>25</v>
      </c>
      <c r="H1434" s="5" t="s">
        <v>25</v>
      </c>
      <c r="I1434" s="5" t="s">
        <v>25</v>
      </c>
      <c r="J1434" s="5" t="s">
        <v>25</v>
      </c>
      <c r="K1434" s="7" t="str">
        <f>VLOOKUP(A1434,Sheet2!$A$2:$R$3432,6,0)</f>
        <v>Suzuki Access 125</v>
      </c>
      <c r="L1434" s="5" t="s">
        <v>25</v>
      </c>
      <c r="M1434" s="7" t="str">
        <f>VLOOKUP(A1434,Sheet2!$A$2:$R$3432,5,0)</f>
        <v>MH14KY0094</v>
      </c>
      <c r="N1434" s="5" t="s">
        <v>25</v>
      </c>
      <c r="O1434" s="5" t="s">
        <v>25</v>
      </c>
      <c r="P1434" s="6" t="s">
        <v>25</v>
      </c>
      <c r="Q1434" s="5" t="s">
        <v>25</v>
      </c>
      <c r="R1434" s="5" t="s">
        <v>25</v>
      </c>
      <c r="S1434" s="5" t="str">
        <f>VLOOKUP(A1434,Sheet2!$A$2:$R$3432,18,0)</f>
        <v>AF213289556</v>
      </c>
      <c r="T1434" s="7" t="str">
        <f>VLOOKUP(A1434,Sheet2!$A$2:$R$3432,17,0)</f>
        <v>MB8DP12PGP8309832</v>
      </c>
    </row>
    <row r="1435" ht="15.75" customHeight="1">
      <c r="A1435" s="3" t="s">
        <v>1458</v>
      </c>
      <c r="B1435" s="4" t="str">
        <f>VLOOKUP(A1435,Sheet2!$A$2:$R$3432,2,0)</f>
        <v>2025-02-08 20:32:59</v>
      </c>
      <c r="C1435" s="5" t="s">
        <v>25</v>
      </c>
      <c r="D1435" s="6" t="s">
        <v>25</v>
      </c>
      <c r="E1435" s="7">
        <f>VLOOKUP(A1435,Sheet2!$A$2:$R$3432,4,0)</f>
        <v>9970172806</v>
      </c>
      <c r="F1435" s="7" t="str">
        <f>VLOOKUP(A1435,Sheet2!$A$2:$R$3432,3,0)</f>
        <v>Rohit Mohite</v>
      </c>
      <c r="G1435" s="5" t="s">
        <v>25</v>
      </c>
      <c r="H1435" s="5" t="s">
        <v>25</v>
      </c>
      <c r="I1435" s="5" t="s">
        <v>25</v>
      </c>
      <c r="J1435" s="5" t="s">
        <v>25</v>
      </c>
      <c r="K1435" s="7" t="str">
        <f>VLOOKUP(A1435,Sheet2!$A$2:$R$3432,6,0)</f>
        <v>Yamaha FZ FI</v>
      </c>
      <c r="L1435" s="5" t="s">
        <v>25</v>
      </c>
      <c r="M1435" s="7" t="str">
        <f>VLOOKUP(A1435,Sheet2!$A$2:$R$3432,5,0)</f>
        <v>MH17BU9513</v>
      </c>
      <c r="N1435" s="5" t="s">
        <v>25</v>
      </c>
      <c r="O1435" s="5" t="s">
        <v>25</v>
      </c>
      <c r="P1435" s="6" t="s">
        <v>25</v>
      </c>
      <c r="Q1435" s="5" t="s">
        <v>25</v>
      </c>
      <c r="R1435" s="5" t="s">
        <v>25</v>
      </c>
      <c r="S1435" s="7" t="str">
        <f>VLOOKUP(A1435,Sheet2!$A$2:$R$3432,18,0)</f>
        <v/>
      </c>
      <c r="T1435" s="7" t="str">
        <f>VLOOKUP(A1435,Sheet2!$A$2:$R$3432,17,0)</f>
        <v>ME1RG4416H0013408</v>
      </c>
    </row>
    <row r="1436" ht="15.75" customHeight="1">
      <c r="A1436" s="3" t="s">
        <v>1459</v>
      </c>
      <c r="B1436" s="4" t="str">
        <f>VLOOKUP(A1436,Sheet2!$A$2:$R$3432,2,0)</f>
        <v>2025-02-08 20:45:20</v>
      </c>
      <c r="C1436" s="5" t="s">
        <v>25</v>
      </c>
      <c r="D1436" s="6" t="s">
        <v>25</v>
      </c>
      <c r="E1436" s="7">
        <f>VLOOKUP(A1436,Sheet2!$A$2:$R$3432,4,0)</f>
        <v>9987555184</v>
      </c>
      <c r="F1436" s="7" t="str">
        <f>VLOOKUP(A1436,Sheet2!$A$2:$R$3432,3,0)</f>
        <v>GAURAV Manjrekar </v>
      </c>
      <c r="G1436" s="5" t="s">
        <v>25</v>
      </c>
      <c r="H1436" s="5" t="s">
        <v>25</v>
      </c>
      <c r="I1436" s="5" t="s">
        <v>25</v>
      </c>
      <c r="J1436" s="5" t="s">
        <v>25</v>
      </c>
      <c r="K1436" s="7" t="str">
        <f>VLOOKUP(A1436,Sheet2!$A$2:$R$3432,6,0)</f>
        <v>TVS Scooty Streak</v>
      </c>
      <c r="L1436" s="5" t="s">
        <v>25</v>
      </c>
      <c r="M1436" s="7" t="str">
        <f>VLOOKUP(A1436,Sheet2!$A$2:$R$3432,5,0)</f>
        <v>MH08AC5581</v>
      </c>
      <c r="N1436" s="5" t="s">
        <v>25</v>
      </c>
      <c r="O1436" s="5" t="s">
        <v>25</v>
      </c>
      <c r="P1436" s="6" t="s">
        <v>25</v>
      </c>
      <c r="Q1436" s="5" t="s">
        <v>25</v>
      </c>
      <c r="R1436" s="5" t="s">
        <v>25</v>
      </c>
      <c r="S1436" s="7" t="str">
        <f>VLOOKUP(A1436,Sheet2!$A$2:$R$3432,18,0)</f>
        <v/>
      </c>
      <c r="T1436" s="7" t="str">
        <f>VLOOKUP(A1436,Sheet2!$A$2:$R$3432,17,0)</f>
        <v/>
      </c>
    </row>
    <row r="1437" ht="15.75" customHeight="1">
      <c r="A1437" s="3" t="s">
        <v>1460</v>
      </c>
      <c r="B1437" s="4" t="str">
        <f>VLOOKUP(A1437,Sheet2!$A$2:$R$3432,2,0)</f>
        <v>2025-02-08 20:52:42</v>
      </c>
      <c r="C1437" s="5" t="s">
        <v>25</v>
      </c>
      <c r="D1437" s="6" t="s">
        <v>25</v>
      </c>
      <c r="E1437" s="7">
        <f>VLOOKUP(A1437,Sheet2!$A$2:$R$3432,4,0)</f>
        <v>9767057304</v>
      </c>
      <c r="F1437" s="7" t="str">
        <f>VLOOKUP(A1437,Sheet2!$A$2:$R$3432,3,0)</f>
        <v>MADAN PANDIT</v>
      </c>
      <c r="G1437" s="5" t="s">
        <v>25</v>
      </c>
      <c r="H1437" s="5" t="s">
        <v>25</v>
      </c>
      <c r="I1437" s="5" t="s">
        <v>25</v>
      </c>
      <c r="J1437" s="5" t="s">
        <v>25</v>
      </c>
      <c r="K1437" s="7" t="str">
        <f>VLOOKUP(A1437,Sheet2!$A$2:$R$3432,6,0)</f>
        <v>Hero Splendor iSmart</v>
      </c>
      <c r="L1437" s="5" t="s">
        <v>25</v>
      </c>
      <c r="M1437" s="7" t="str">
        <f>VLOOKUP(A1437,Sheet2!$A$2:$R$3432,5,0)</f>
        <v>MH14EK7933</v>
      </c>
      <c r="N1437" s="5" t="s">
        <v>25</v>
      </c>
      <c r="O1437" s="5" t="s">
        <v>25</v>
      </c>
      <c r="P1437" s="6" t="s">
        <v>25</v>
      </c>
      <c r="Q1437" s="5" t="s">
        <v>25</v>
      </c>
      <c r="R1437" s="5" t="s">
        <v>25</v>
      </c>
      <c r="S1437" s="5" t="str">
        <f>VLOOKUP(A1437,Sheet2!$A$2:$R$3432,18,0)</f>
        <v>HA12EME9E11007</v>
      </c>
      <c r="T1437" s="7" t="str">
        <f>VLOOKUP(A1437,Sheet2!$A$2:$R$3432,17,0)</f>
        <v>MBLHA12ACEGE10840</v>
      </c>
    </row>
    <row r="1438" ht="15.75" customHeight="1">
      <c r="A1438" s="3" t="s">
        <v>1461</v>
      </c>
      <c r="B1438" s="4" t="str">
        <f>VLOOKUP(A1438,Sheet2!$A$2:$R$3432,2,0)</f>
        <v>2025-02-08 20:56:16</v>
      </c>
      <c r="C1438" s="5" t="s">
        <v>25</v>
      </c>
      <c r="D1438" s="6" t="s">
        <v>25</v>
      </c>
      <c r="E1438" s="7">
        <f>VLOOKUP(A1438,Sheet2!$A$2:$R$3432,4,0)</f>
        <v>9657108764</v>
      </c>
      <c r="F1438" s="7" t="str">
        <f>VLOOKUP(A1438,Sheet2!$A$2:$R$3432,3,0)</f>
        <v>Radhe Sham Pandit </v>
      </c>
      <c r="G1438" s="5" t="s">
        <v>25</v>
      </c>
      <c r="H1438" s="5" t="s">
        <v>25</v>
      </c>
      <c r="I1438" s="5" t="s">
        <v>25</v>
      </c>
      <c r="J1438" s="5" t="s">
        <v>25</v>
      </c>
      <c r="K1438" s="7" t="str">
        <f>VLOOKUP(A1438,Sheet2!$A$2:$R$3432,6,0)</f>
        <v>TVS Jupiter </v>
      </c>
      <c r="L1438" s="5" t="s">
        <v>25</v>
      </c>
      <c r="M1438" s="7" t="str">
        <f>VLOOKUP(A1438,Sheet2!$A$2:$R$3432,5,0)</f>
        <v>MH12MQ2009</v>
      </c>
      <c r="N1438" s="5" t="s">
        <v>25</v>
      </c>
      <c r="O1438" s="5" t="s">
        <v>25</v>
      </c>
      <c r="P1438" s="6" t="s">
        <v>25</v>
      </c>
      <c r="Q1438" s="5" t="s">
        <v>25</v>
      </c>
      <c r="R1438" s="5" t="s">
        <v>25</v>
      </c>
      <c r="S1438" s="7" t="str">
        <f>VLOOKUP(A1438,Sheet2!$A$2:$R$3432,18,0)</f>
        <v/>
      </c>
      <c r="T1438" s="7" t="str">
        <f>VLOOKUP(A1438,Sheet2!$A$2:$R$3432,17,0)</f>
        <v/>
      </c>
    </row>
    <row r="1439" ht="15.75" customHeight="1">
      <c r="A1439" s="3" t="s">
        <v>1462</v>
      </c>
      <c r="B1439" s="4" t="str">
        <f>VLOOKUP(A1439,Sheet2!$A$2:$R$3432,2,0)</f>
        <v>2025-02-09 18:58:53</v>
      </c>
      <c r="C1439" s="5" t="s">
        <v>25</v>
      </c>
      <c r="D1439" s="6" t="s">
        <v>25</v>
      </c>
      <c r="E1439" s="7">
        <f>VLOOKUP(A1439,Sheet2!$A$2:$R$3432,4,0)</f>
        <v>8796143994</v>
      </c>
      <c r="F1439" s="7" t="str">
        <f>VLOOKUP(A1439,Sheet2!$A$2:$R$3432,3,0)</f>
        <v>DESHPANDE </v>
      </c>
      <c r="G1439" s="5" t="s">
        <v>25</v>
      </c>
      <c r="H1439" s="5" t="s">
        <v>25</v>
      </c>
      <c r="I1439" s="5" t="s">
        <v>25</v>
      </c>
      <c r="J1439" s="5" t="s">
        <v>25</v>
      </c>
      <c r="K1439" s="7" t="str">
        <f>VLOOKUP(A1439,Sheet2!$A$2:$R$3432,6,0)</f>
        <v>Honda Unicorn 160</v>
      </c>
      <c r="L1439" s="5" t="s">
        <v>25</v>
      </c>
      <c r="M1439" s="7" t="str">
        <f>VLOOKUP(A1439,Sheet2!$A$2:$R$3432,5,0)</f>
        <v>MH14EX3678</v>
      </c>
      <c r="N1439" s="5" t="s">
        <v>25</v>
      </c>
      <c r="O1439" s="5" t="s">
        <v>25</v>
      </c>
      <c r="P1439" s="6" t="s">
        <v>25</v>
      </c>
      <c r="Q1439" s="5" t="s">
        <v>25</v>
      </c>
      <c r="R1439" s="5" t="s">
        <v>25</v>
      </c>
      <c r="S1439" s="5" t="str">
        <f>VLOOKUP(A1439,Sheet2!$A$2:$R$3432,18,0)</f>
        <v>KC20E8001097</v>
      </c>
      <c r="T1439" s="7" t="str">
        <f>VLOOKUP(A1439,Sheet2!$A$2:$R$3432,17,0)</f>
        <v>ME4KC201DF804134</v>
      </c>
    </row>
    <row r="1440" ht="15.75" customHeight="1">
      <c r="A1440" s="3" t="s">
        <v>1463</v>
      </c>
      <c r="B1440" s="4" t="str">
        <f>VLOOKUP(A1440,Sheet2!$A$2:$R$3432,2,0)</f>
        <v>2025-02-09 18:41:51</v>
      </c>
      <c r="C1440" s="5" t="s">
        <v>25</v>
      </c>
      <c r="D1440" s="6" t="s">
        <v>25</v>
      </c>
      <c r="E1440" s="7">
        <f>VLOOKUP(A1440,Sheet2!$A$2:$R$3432,4,0)</f>
        <v>9947668473</v>
      </c>
      <c r="F1440" s="7" t="str">
        <f>VLOOKUP(A1440,Sheet2!$A$2:$R$3432,3,0)</f>
        <v>JAIKE</v>
      </c>
      <c r="G1440" s="5" t="s">
        <v>25</v>
      </c>
      <c r="H1440" s="5" t="s">
        <v>25</v>
      </c>
      <c r="I1440" s="5" t="s">
        <v>25</v>
      </c>
      <c r="J1440" s="5" t="s">
        <v>25</v>
      </c>
      <c r="K1440" s="7" t="str">
        <f>VLOOKUP(A1440,Sheet2!$A$2:$R$3432,6,0)</f>
        <v>Bajaj Pulsar 200 AS</v>
      </c>
      <c r="L1440" s="5" t="s">
        <v>25</v>
      </c>
      <c r="M1440" s="7" t="str">
        <f>VLOOKUP(A1440,Sheet2!$A$2:$R$3432,5,0)</f>
        <v>MH12MT1028</v>
      </c>
      <c r="N1440" s="5" t="s">
        <v>25</v>
      </c>
      <c r="O1440" s="5" t="s">
        <v>25</v>
      </c>
      <c r="P1440" s="6" t="s">
        <v>25</v>
      </c>
      <c r="Q1440" s="5" t="s">
        <v>25</v>
      </c>
      <c r="R1440" s="5" t="s">
        <v>25</v>
      </c>
      <c r="S1440" s="5" t="str">
        <f>VLOOKUP(A1440,Sheet2!$A$2:$R$3432,18,0)</f>
        <v>JLZCLFF49704</v>
      </c>
      <c r="T1440" s="7" t="str">
        <f>VLOOKUP(A1440,Sheet2!$A$2:$R$3432,17,0)</f>
        <v>MD2A30FZ3FCF44856</v>
      </c>
    </row>
    <row r="1441" ht="15.75" customHeight="1">
      <c r="A1441" s="3" t="s">
        <v>1464</v>
      </c>
      <c r="B1441" s="4" t="str">
        <f>VLOOKUP(A1441,Sheet2!$A$2:$R$3432,2,0)</f>
        <v>2025-02-09 20:25:21</v>
      </c>
      <c r="C1441" s="5" t="s">
        <v>25</v>
      </c>
      <c r="D1441" s="6" t="s">
        <v>25</v>
      </c>
      <c r="E1441" s="7">
        <f>VLOOKUP(A1441,Sheet2!$A$2:$R$3432,4,0)</f>
        <v>9175190377</v>
      </c>
      <c r="F1441" s="7" t="str">
        <f>VLOOKUP(A1441,Sheet2!$A$2:$R$3432,3,0)</f>
        <v>SAGAR </v>
      </c>
      <c r="G1441" s="5" t="s">
        <v>25</v>
      </c>
      <c r="H1441" s="5" t="s">
        <v>25</v>
      </c>
      <c r="I1441" s="5" t="s">
        <v>25</v>
      </c>
      <c r="J1441" s="5" t="s">
        <v>25</v>
      </c>
      <c r="K1441" s="7" t="str">
        <f>VLOOKUP(A1441,Sheet2!$A$2:$R$3432,6,0)</f>
        <v>TVS Jupiter BS6</v>
      </c>
      <c r="L1441" s="5" t="s">
        <v>25</v>
      </c>
      <c r="M1441" s="7" t="str">
        <f>VLOOKUP(A1441,Sheet2!$A$2:$R$3432,5,0)</f>
        <v>MH48CA0134</v>
      </c>
      <c r="N1441" s="5" t="s">
        <v>25</v>
      </c>
      <c r="O1441" s="5" t="s">
        <v>25</v>
      </c>
      <c r="P1441" s="6" t="s">
        <v>25</v>
      </c>
      <c r="Q1441" s="5" t="s">
        <v>25</v>
      </c>
      <c r="R1441" s="5" t="s">
        <v>25</v>
      </c>
      <c r="S1441" s="7" t="str">
        <f>VLOOKUP(A1441,Sheet2!$A$2:$R$3432,18,0)</f>
        <v/>
      </c>
      <c r="T1441" s="7" t="str">
        <f>VLOOKUP(A1441,Sheet2!$A$2:$R$3432,17,0)</f>
        <v/>
      </c>
    </row>
    <row r="1442" ht="15.75" customHeight="1">
      <c r="A1442" s="3" t="s">
        <v>1465</v>
      </c>
      <c r="B1442" s="4" t="str">
        <f>VLOOKUP(A1442,Sheet2!$A$2:$R$3432,2,0)</f>
        <v>2025-02-09 20:37:45</v>
      </c>
      <c r="C1442" s="5" t="s">
        <v>25</v>
      </c>
      <c r="D1442" s="6" t="s">
        <v>25</v>
      </c>
      <c r="E1442" s="7">
        <f>VLOOKUP(A1442,Sheet2!$A$2:$R$3432,4,0)</f>
        <v>9604000439</v>
      </c>
      <c r="F1442" s="7" t="str">
        <f>VLOOKUP(A1442,Sheet2!$A$2:$R$3432,3,0)</f>
        <v>Sandeep Bhor</v>
      </c>
      <c r="G1442" s="5" t="s">
        <v>25</v>
      </c>
      <c r="H1442" s="5" t="s">
        <v>25</v>
      </c>
      <c r="I1442" s="5" t="s">
        <v>25</v>
      </c>
      <c r="J1442" s="5" t="s">
        <v>25</v>
      </c>
      <c r="K1442" s="7" t="str">
        <f>VLOOKUP(A1442,Sheet2!$A$2:$R$3432,6,0)</f>
        <v>Hero Deluxe HF</v>
      </c>
      <c r="L1442" s="5" t="s">
        <v>25</v>
      </c>
      <c r="M1442" s="7" t="str">
        <f>VLOOKUP(A1442,Sheet2!$A$2:$R$3432,5,0)</f>
        <v>MH14GV2147</v>
      </c>
      <c r="N1442" s="5" t="s">
        <v>25</v>
      </c>
      <c r="O1442" s="5" t="s">
        <v>25</v>
      </c>
      <c r="P1442" s="6" t="s">
        <v>25</v>
      </c>
      <c r="Q1442" s="5" t="s">
        <v>25</v>
      </c>
      <c r="R1442" s="5" t="s">
        <v>25</v>
      </c>
      <c r="S1442" s="7" t="str">
        <f>VLOOKUP(A1442,Sheet2!$A$2:$R$3432,18,0)</f>
        <v/>
      </c>
      <c r="T1442" s="7" t="str">
        <f>VLOOKUP(A1442,Sheet2!$A$2:$R$3432,17,0)</f>
        <v/>
      </c>
    </row>
    <row r="1443" ht="15.75" customHeight="1">
      <c r="A1443" s="3" t="s">
        <v>1466</v>
      </c>
      <c r="B1443" s="4" t="str">
        <f>VLOOKUP(A1443,Sheet2!$A$2:$R$3432,2,0)</f>
        <v>2025-02-09 18:40:18</v>
      </c>
      <c r="C1443" s="5" t="s">
        <v>25</v>
      </c>
      <c r="D1443" s="6" t="s">
        <v>25</v>
      </c>
      <c r="E1443" s="7">
        <f>VLOOKUP(A1443,Sheet2!$A$2:$R$3432,4,0)</f>
        <v>8319097240</v>
      </c>
      <c r="F1443" s="7" t="str">
        <f>VLOOKUP(A1443,Sheet2!$A$2:$R$3432,3,0)</f>
        <v>Shikha Sharma</v>
      </c>
      <c r="G1443" s="5" t="s">
        <v>25</v>
      </c>
      <c r="H1443" s="5" t="s">
        <v>25</v>
      </c>
      <c r="I1443" s="5" t="s">
        <v>25</v>
      </c>
      <c r="J1443" s="5" t="s">
        <v>25</v>
      </c>
      <c r="K1443" s="7" t="str">
        <f>VLOOKUP(A1443,Sheet2!$A$2:$R$3432,6,0)</f>
        <v>Honda Activa 4G</v>
      </c>
      <c r="L1443" s="5" t="s">
        <v>25</v>
      </c>
      <c r="M1443" s="7" t="str">
        <f>VLOOKUP(A1443,Sheet2!$A$2:$R$3432,5,0)</f>
        <v>MP04SZ8398</v>
      </c>
      <c r="N1443" s="5" t="s">
        <v>25</v>
      </c>
      <c r="O1443" s="5" t="s">
        <v>25</v>
      </c>
      <c r="P1443" s="6" t="s">
        <v>25</v>
      </c>
      <c r="Q1443" s="5" t="s">
        <v>25</v>
      </c>
      <c r="R1443" s="5" t="s">
        <v>25</v>
      </c>
      <c r="S1443" s="5" t="str">
        <f>VLOOKUP(A1443,Sheet2!$A$2:$R$3432,18,0)</f>
        <v>JF50ET5557243</v>
      </c>
      <c r="T1443" s="7" t="str">
        <f>VLOOKUP(A1443,Sheet2!$A$2:$R$3432,17,0)</f>
        <v>ME4JF507JHT557059</v>
      </c>
    </row>
    <row r="1444" ht="15.75" customHeight="1">
      <c r="A1444" s="3" t="s">
        <v>1467</v>
      </c>
      <c r="B1444" s="4" t="str">
        <f>VLOOKUP(A1444,Sheet2!$A$2:$R$3432,2,0)</f>
        <v>2025-02-09 19:06:16</v>
      </c>
      <c r="C1444" s="5" t="s">
        <v>25</v>
      </c>
      <c r="D1444" s="6" t="s">
        <v>25</v>
      </c>
      <c r="E1444" s="7">
        <f>VLOOKUP(A1444,Sheet2!$A$2:$R$3432,4,0)</f>
        <v>9823102994</v>
      </c>
      <c r="F1444" s="7" t="str">
        <f>VLOOKUP(A1444,Sheet2!$A$2:$R$3432,3,0)</f>
        <v>NITIN</v>
      </c>
      <c r="G1444" s="5" t="s">
        <v>25</v>
      </c>
      <c r="H1444" s="5" t="s">
        <v>25</v>
      </c>
      <c r="I1444" s="5" t="s">
        <v>25</v>
      </c>
      <c r="J1444" s="5" t="s">
        <v>25</v>
      </c>
      <c r="K1444" s="7" t="str">
        <f>VLOOKUP(A1444,Sheet2!$A$2:$R$3432,6,0)</f>
        <v>Bajaj Pulsar 180</v>
      </c>
      <c r="L1444" s="5" t="s">
        <v>25</v>
      </c>
      <c r="M1444" s="7" t="str">
        <f>VLOOKUP(A1444,Sheet2!$A$2:$R$3432,5,0)</f>
        <v>MH14FF9616</v>
      </c>
      <c r="N1444" s="5" t="s">
        <v>25</v>
      </c>
      <c r="O1444" s="5" t="s">
        <v>25</v>
      </c>
      <c r="P1444" s="6" t="s">
        <v>25</v>
      </c>
      <c r="Q1444" s="5" t="s">
        <v>25</v>
      </c>
      <c r="R1444" s="5" t="s">
        <v>25</v>
      </c>
      <c r="S1444" s="5" t="str">
        <f>VLOOKUP(A1444,Sheet2!$A$2:$R$3432,18,0)</f>
        <v>DJZCF53564</v>
      </c>
      <c r="T1444" s="7" t="str">
        <f>VLOOKUP(A1444,Sheet2!$A$2:$R$3432,17,0)</f>
        <v>MD2A12DZ0FCF26655</v>
      </c>
    </row>
    <row r="1445" ht="15.75" customHeight="1">
      <c r="A1445" s="3" t="s">
        <v>1468</v>
      </c>
      <c r="B1445" s="4" t="str">
        <f>VLOOKUP(A1445,Sheet2!$A$2:$R$3432,2,0)</f>
        <v>2025-02-09 19:08:06</v>
      </c>
      <c r="C1445" s="5" t="s">
        <v>25</v>
      </c>
      <c r="D1445" s="6" t="s">
        <v>25</v>
      </c>
      <c r="E1445" s="7">
        <f>VLOOKUP(A1445,Sheet2!$A$2:$R$3432,4,0)</f>
        <v>9158984530</v>
      </c>
      <c r="F1445" s="7" t="str">
        <f>VLOOKUP(A1445,Sheet2!$A$2:$R$3432,3,0)</f>
        <v>Kapil Agrawal</v>
      </c>
      <c r="G1445" s="5" t="s">
        <v>25</v>
      </c>
      <c r="H1445" s="5" t="s">
        <v>25</v>
      </c>
      <c r="I1445" s="5" t="s">
        <v>25</v>
      </c>
      <c r="J1445" s="5" t="s">
        <v>25</v>
      </c>
      <c r="K1445" s="7" t="str">
        <f>VLOOKUP(A1445,Sheet2!$A$2:$R$3432,6,0)</f>
        <v>Bajaj Discover 125 Drum</v>
      </c>
      <c r="L1445" s="5" t="s">
        <v>25</v>
      </c>
      <c r="M1445" s="7" t="str">
        <f>VLOOKUP(A1445,Sheet2!$A$2:$R$3432,5,0)</f>
        <v>MH12JB4380</v>
      </c>
      <c r="N1445" s="5" t="s">
        <v>25</v>
      </c>
      <c r="O1445" s="5" t="s">
        <v>25</v>
      </c>
      <c r="P1445" s="6" t="s">
        <v>25</v>
      </c>
      <c r="Q1445" s="5" t="s">
        <v>25</v>
      </c>
      <c r="R1445" s="5" t="s">
        <v>25</v>
      </c>
      <c r="S1445" s="7" t="str">
        <f>VLOOKUP(A1445,Sheet2!$A$2:$R$3432,18,0)</f>
        <v/>
      </c>
      <c r="T1445" s="7" t="str">
        <f>VLOOKUP(A1445,Sheet2!$A$2:$R$3432,17,0)</f>
        <v>MD2D5JZZZVWA22468</v>
      </c>
    </row>
    <row r="1446" ht="15.75" customHeight="1">
      <c r="A1446" s="3" t="s">
        <v>1469</v>
      </c>
      <c r="B1446" s="4" t="str">
        <f>VLOOKUP(A1446,Sheet2!$A$2:$R$3432,2,0)</f>
        <v>2025-02-09 19:04:03</v>
      </c>
      <c r="C1446" s="5" t="s">
        <v>25</v>
      </c>
      <c r="D1446" s="6" t="s">
        <v>25</v>
      </c>
      <c r="E1446" s="7">
        <f>VLOOKUP(A1446,Sheet2!$A$2:$R$3432,4,0)</f>
        <v>7741931293</v>
      </c>
      <c r="F1446" s="7" t="str">
        <f>VLOOKUP(A1446,Sheet2!$A$2:$R$3432,3,0)</f>
        <v>Kiran Survase</v>
      </c>
      <c r="G1446" s="5" t="s">
        <v>25</v>
      </c>
      <c r="H1446" s="5" t="s">
        <v>25</v>
      </c>
      <c r="I1446" s="5" t="s">
        <v>25</v>
      </c>
      <c r="J1446" s="5" t="s">
        <v>25</v>
      </c>
      <c r="K1446" s="7" t="str">
        <f>VLOOKUP(A1446,Sheet2!$A$2:$R$3432,6,0)</f>
        <v>Honda Shine </v>
      </c>
      <c r="L1446" s="5" t="s">
        <v>25</v>
      </c>
      <c r="M1446" s="7" t="str">
        <f>VLOOKUP(A1446,Sheet2!$A$2:$R$3432,5,0)</f>
        <v>MH17CH6941</v>
      </c>
      <c r="N1446" s="5" t="s">
        <v>25</v>
      </c>
      <c r="O1446" s="5" t="s">
        <v>25</v>
      </c>
      <c r="P1446" s="6" t="s">
        <v>25</v>
      </c>
      <c r="Q1446" s="5" t="s">
        <v>25</v>
      </c>
      <c r="R1446" s="5" t="s">
        <v>25</v>
      </c>
      <c r="S1446" s="7" t="str">
        <f>VLOOKUP(A1446,Sheet2!$A$2:$R$3432,18,0)</f>
        <v/>
      </c>
      <c r="T1446" s="7" t="str">
        <f>VLOOKUP(A1446,Sheet2!$A$2:$R$3432,17,0)</f>
        <v/>
      </c>
    </row>
    <row r="1447" ht="15.75" customHeight="1">
      <c r="A1447" s="3" t="s">
        <v>1470</v>
      </c>
      <c r="B1447" s="4" t="str">
        <f>VLOOKUP(A1447,Sheet2!$A$2:$R$3432,2,0)</f>
        <v>2025-02-09 18:51:24</v>
      </c>
      <c r="C1447" s="5" t="s">
        <v>25</v>
      </c>
      <c r="D1447" s="6" t="s">
        <v>25</v>
      </c>
      <c r="E1447" s="7">
        <f>VLOOKUP(A1447,Sheet2!$A$2:$R$3432,4,0)</f>
        <v>8010579362</v>
      </c>
      <c r="F1447" s="7" t="str">
        <f>VLOOKUP(A1447,Sheet2!$A$2:$R$3432,3,0)</f>
        <v>Tushar Patil</v>
      </c>
      <c r="G1447" s="5" t="s">
        <v>25</v>
      </c>
      <c r="H1447" s="5" t="s">
        <v>25</v>
      </c>
      <c r="I1447" s="5" t="s">
        <v>25</v>
      </c>
      <c r="J1447" s="5" t="s">
        <v>25</v>
      </c>
      <c r="K1447" s="7" t="str">
        <f>VLOOKUP(A1447,Sheet2!$A$2:$R$3432,6,0)</f>
        <v>Bajaj Pulsar 125</v>
      </c>
      <c r="L1447" s="5" t="s">
        <v>25</v>
      </c>
      <c r="M1447" s="7" t="str">
        <f>VLOOKUP(A1447,Sheet2!$A$2:$R$3432,5,0)</f>
        <v>MH12TF9425</v>
      </c>
      <c r="N1447" s="5" t="s">
        <v>25</v>
      </c>
      <c r="O1447" s="5" t="s">
        <v>25</v>
      </c>
      <c r="P1447" s="6" t="s">
        <v>25</v>
      </c>
      <c r="Q1447" s="5" t="s">
        <v>25</v>
      </c>
      <c r="R1447" s="5" t="s">
        <v>25</v>
      </c>
      <c r="S1447" s="5" t="str">
        <f>VLOOKUP(A1447,Sheet2!$A$2:$R$3432,18,0)</f>
        <v>DHXWLH76609</v>
      </c>
      <c r="T1447" s="7" t="str">
        <f>VLOOKUP(A1447,Sheet2!$A$2:$R$3432,17,0)</f>
        <v>MD2B68BX6LWH09515</v>
      </c>
    </row>
    <row r="1448" ht="15.75" customHeight="1">
      <c r="A1448" s="3" t="s">
        <v>1471</v>
      </c>
      <c r="B1448" s="4" t="str">
        <f>VLOOKUP(A1448,Sheet2!$A$2:$R$3432,2,0)</f>
        <v>2025-02-09 18:52:44</v>
      </c>
      <c r="C1448" s="5" t="s">
        <v>25</v>
      </c>
      <c r="D1448" s="6" t="s">
        <v>25</v>
      </c>
      <c r="E1448" s="7">
        <f>VLOOKUP(A1448,Sheet2!$A$2:$R$3432,4,0)</f>
        <v>9850127066</v>
      </c>
      <c r="F1448" s="7" t="str">
        <f>VLOOKUP(A1448,Sheet2!$A$2:$R$3432,3,0)</f>
        <v>Bhagvat Mashke</v>
      </c>
      <c r="G1448" s="5" t="s">
        <v>25</v>
      </c>
      <c r="H1448" s="5" t="s">
        <v>25</v>
      </c>
      <c r="I1448" s="5" t="s">
        <v>25</v>
      </c>
      <c r="J1448" s="5" t="s">
        <v>25</v>
      </c>
      <c r="K1448" s="7" t="str">
        <f>VLOOKUP(A1448,Sheet2!$A$2:$R$3432,6,0)</f>
        <v>Honda Shine 125</v>
      </c>
      <c r="L1448" s="5" t="s">
        <v>25</v>
      </c>
      <c r="M1448" s="7" t="str">
        <f>VLOOKUP(A1448,Sheet2!$A$2:$R$3432,5,0)</f>
        <v>MH38AF7165</v>
      </c>
      <c r="N1448" s="5" t="s">
        <v>25</v>
      </c>
      <c r="O1448" s="5" t="s">
        <v>25</v>
      </c>
      <c r="P1448" s="6" t="s">
        <v>25</v>
      </c>
      <c r="Q1448" s="5" t="s">
        <v>25</v>
      </c>
      <c r="R1448" s="5" t="s">
        <v>25</v>
      </c>
      <c r="S1448" s="7" t="str">
        <f>VLOOKUP(A1448,Sheet2!$A$2:$R$3432,18,0)</f>
        <v/>
      </c>
      <c r="T1448" s="7" t="str">
        <f>VLOOKUP(A1448,Sheet2!$A$2:$R$3432,17,0)</f>
        <v/>
      </c>
    </row>
    <row r="1449" ht="15.75" customHeight="1">
      <c r="A1449" s="3" t="s">
        <v>1472</v>
      </c>
      <c r="B1449" s="4" t="str">
        <f>VLOOKUP(A1449,Sheet2!$A$2:$R$3432,2,0)</f>
        <v>2025-02-09 18:56:59</v>
      </c>
      <c r="C1449" s="5" t="s">
        <v>25</v>
      </c>
      <c r="D1449" s="6" t="s">
        <v>25</v>
      </c>
      <c r="E1449" s="7">
        <f>VLOOKUP(A1449,Sheet2!$A$2:$R$3432,4,0)</f>
        <v>9284070323</v>
      </c>
      <c r="F1449" s="7" t="str">
        <f>VLOOKUP(A1449,Sheet2!$A$2:$R$3432,3,0)</f>
        <v>ASHWIN JADHAV</v>
      </c>
      <c r="G1449" s="5" t="s">
        <v>25</v>
      </c>
      <c r="H1449" s="5" t="s">
        <v>25</v>
      </c>
      <c r="I1449" s="5" t="s">
        <v>25</v>
      </c>
      <c r="J1449" s="5" t="s">
        <v>25</v>
      </c>
      <c r="K1449" s="7" t="str">
        <f>VLOOKUP(A1449,Sheet2!$A$2:$R$3432,6,0)</f>
        <v>Hero Maestro Dash/Edge</v>
      </c>
      <c r="L1449" s="5" t="s">
        <v>25</v>
      </c>
      <c r="M1449" s="7" t="str">
        <f>VLOOKUP(A1449,Sheet2!$A$2:$R$3432,5,0)</f>
        <v>MH20DX2793</v>
      </c>
      <c r="N1449" s="5" t="s">
        <v>25</v>
      </c>
      <c r="O1449" s="5" t="s">
        <v>25</v>
      </c>
      <c r="P1449" s="6" t="s">
        <v>25</v>
      </c>
      <c r="Q1449" s="5" t="s">
        <v>25</v>
      </c>
      <c r="R1449" s="5" t="s">
        <v>25</v>
      </c>
      <c r="S1449" s="7" t="str">
        <f>VLOOKUP(A1449,Sheet2!$A$2:$R$3432,18,0)</f>
        <v/>
      </c>
      <c r="T1449" s="7" t="str">
        <f>VLOOKUP(A1449,Sheet2!$A$2:$R$3432,17,0)</f>
        <v/>
      </c>
    </row>
    <row r="1450" ht="15.75" customHeight="1">
      <c r="A1450" s="3" t="s">
        <v>1473</v>
      </c>
      <c r="B1450" s="4" t="str">
        <f>VLOOKUP(A1450,Sheet2!$A$2:$R$3432,2,0)</f>
        <v>2025-02-09 18:58:10</v>
      </c>
      <c r="C1450" s="5" t="s">
        <v>25</v>
      </c>
      <c r="D1450" s="6" t="s">
        <v>25</v>
      </c>
      <c r="E1450" s="7">
        <f>VLOOKUP(A1450,Sheet2!$A$2:$R$3432,4,0)</f>
        <v>9823940546</v>
      </c>
      <c r="F1450" s="7" t="str">
        <f>VLOOKUP(A1450,Sheet2!$A$2:$R$3432,3,0)</f>
        <v>RAJAN JAIN</v>
      </c>
      <c r="G1450" s="5" t="s">
        <v>25</v>
      </c>
      <c r="H1450" s="5" t="s">
        <v>25</v>
      </c>
      <c r="I1450" s="5" t="s">
        <v>25</v>
      </c>
      <c r="J1450" s="5" t="s">
        <v>25</v>
      </c>
      <c r="K1450" s="7" t="str">
        <f>VLOOKUP(A1450,Sheet2!$A$2:$R$3432,6,0)</f>
        <v>TVS Jupiter BS6</v>
      </c>
      <c r="L1450" s="5" t="s">
        <v>25</v>
      </c>
      <c r="M1450" s="7" t="str">
        <f>VLOOKUP(A1450,Sheet2!$A$2:$R$3432,5,0)</f>
        <v>MH14LD8805</v>
      </c>
      <c r="N1450" s="5" t="s">
        <v>25</v>
      </c>
      <c r="O1450" s="5" t="s">
        <v>25</v>
      </c>
      <c r="P1450" s="6" t="s">
        <v>25</v>
      </c>
      <c r="Q1450" s="5" t="s">
        <v>25</v>
      </c>
      <c r="R1450" s="5" t="s">
        <v>25</v>
      </c>
      <c r="S1450" s="5" t="str">
        <f>VLOOKUP(A1450,Sheet2!$A$2:$R$3432,18,0)</f>
        <v>DG5LP1528766</v>
      </c>
      <c r="T1450" s="7" t="str">
        <f>VLOOKUP(A1450,Sheet2!$A$2:$R$3432,17,0)</f>
        <v>MD626CG56P247565</v>
      </c>
    </row>
    <row r="1451" ht="15.75" customHeight="1">
      <c r="A1451" s="3" t="s">
        <v>1474</v>
      </c>
      <c r="B1451" s="4" t="str">
        <f>VLOOKUP(A1451,Sheet2!$A$2:$R$3432,2,0)</f>
        <v>2025-02-09 19:00:00</v>
      </c>
      <c r="C1451" s="5" t="s">
        <v>25</v>
      </c>
      <c r="D1451" s="6" t="s">
        <v>25</v>
      </c>
      <c r="E1451" s="7">
        <f>VLOOKUP(A1451,Sheet2!$A$2:$R$3432,4,0)</f>
        <v>9096138063</v>
      </c>
      <c r="F1451" s="7" t="str">
        <f>VLOOKUP(A1451,Sheet2!$A$2:$R$3432,3,0)</f>
        <v>G.D. KUMBHARKAR</v>
      </c>
      <c r="G1451" s="5" t="s">
        <v>25</v>
      </c>
      <c r="H1451" s="5" t="s">
        <v>25</v>
      </c>
      <c r="I1451" s="5" t="s">
        <v>25</v>
      </c>
      <c r="J1451" s="5" t="s">
        <v>25</v>
      </c>
      <c r="K1451" s="7" t="str">
        <f>VLOOKUP(A1451,Sheet2!$A$2:$R$3432,6,0)</f>
        <v>Bajaj Boxer </v>
      </c>
      <c r="L1451" s="5" t="s">
        <v>25</v>
      </c>
      <c r="M1451" s="7" t="str">
        <f>VLOOKUP(A1451,Sheet2!$A$2:$R$3432,5,0)</f>
        <v>MH14Z3167</v>
      </c>
      <c r="N1451" s="5" t="s">
        <v>25</v>
      </c>
      <c r="O1451" s="5" t="s">
        <v>25</v>
      </c>
      <c r="P1451" s="6" t="s">
        <v>25</v>
      </c>
      <c r="Q1451" s="5" t="s">
        <v>25</v>
      </c>
      <c r="R1451" s="5" t="s">
        <v>25</v>
      </c>
      <c r="S1451" s="7" t="str">
        <f>VLOOKUP(A1451,Sheet2!$A$2:$R$3432,18,0)</f>
        <v/>
      </c>
      <c r="T1451" s="7" t="str">
        <f>VLOOKUP(A1451,Sheet2!$A$2:$R$3432,17,0)</f>
        <v/>
      </c>
    </row>
    <row r="1452" ht="15.75" customHeight="1">
      <c r="A1452" s="3" t="s">
        <v>1475</v>
      </c>
      <c r="B1452" s="4" t="str">
        <f>VLOOKUP(A1452,Sheet2!$A$2:$R$3432,2,0)</f>
        <v>2025-02-09 19:07:25</v>
      </c>
      <c r="C1452" s="5" t="s">
        <v>25</v>
      </c>
      <c r="D1452" s="6" t="s">
        <v>25</v>
      </c>
      <c r="E1452" s="7">
        <f>VLOOKUP(A1452,Sheet2!$A$2:$R$3432,4,0)</f>
        <v>8899189765</v>
      </c>
      <c r="F1452" s="7" t="str">
        <f>VLOOKUP(A1452,Sheet2!$A$2:$R$3432,3,0)</f>
        <v>AYUSH</v>
      </c>
      <c r="G1452" s="5" t="s">
        <v>25</v>
      </c>
      <c r="H1452" s="5" t="s">
        <v>25</v>
      </c>
      <c r="I1452" s="5" t="s">
        <v>25</v>
      </c>
      <c r="J1452" s="5" t="s">
        <v>25</v>
      </c>
      <c r="K1452" s="7" t="str">
        <f>VLOOKUP(A1452,Sheet2!$A$2:$R$3432,6,0)</f>
        <v>Honda Activa 3G</v>
      </c>
      <c r="L1452" s="5" t="s">
        <v>25</v>
      </c>
      <c r="M1452" s="7" t="str">
        <f>VLOOKUP(A1452,Sheet2!$A$2:$R$3432,5,0)</f>
        <v>MH04HR6590</v>
      </c>
      <c r="N1452" s="5" t="s">
        <v>25</v>
      </c>
      <c r="O1452" s="5" t="s">
        <v>25</v>
      </c>
      <c r="P1452" s="6" t="s">
        <v>25</v>
      </c>
      <c r="Q1452" s="5" t="s">
        <v>25</v>
      </c>
      <c r="R1452" s="5" t="s">
        <v>25</v>
      </c>
      <c r="S1452" s="5" t="str">
        <f>VLOOKUP(A1452,Sheet2!$A$2:$R$3432,18,0)</f>
        <v>JF50E73253643</v>
      </c>
      <c r="T1452" s="7" t="str">
        <f>VLOOKUP(A1452,Sheet2!$A$2:$R$3432,17,0)</f>
        <v>ME4JF505GG7254365</v>
      </c>
    </row>
    <row r="1453" ht="15.75" customHeight="1">
      <c r="A1453" s="3" t="s">
        <v>1476</v>
      </c>
      <c r="B1453" s="4" t="str">
        <f>VLOOKUP(A1453,Sheet2!$A$2:$R$3432,2,0)</f>
        <v>2025-02-09 19:12:59</v>
      </c>
      <c r="C1453" s="5" t="s">
        <v>25</v>
      </c>
      <c r="D1453" s="6" t="s">
        <v>25</v>
      </c>
      <c r="E1453" s="7">
        <f>VLOOKUP(A1453,Sheet2!$A$2:$R$3432,4,0)</f>
        <v>7588580233</v>
      </c>
      <c r="F1453" s="7" t="str">
        <f>VLOOKUP(A1453,Sheet2!$A$2:$R$3432,3,0)</f>
        <v>Sushil Chaudhari</v>
      </c>
      <c r="G1453" s="5" t="s">
        <v>25</v>
      </c>
      <c r="H1453" s="5" t="s">
        <v>25</v>
      </c>
      <c r="I1453" s="5" t="s">
        <v>25</v>
      </c>
      <c r="J1453" s="5" t="s">
        <v>25</v>
      </c>
      <c r="K1453" s="7" t="str">
        <f>VLOOKUP(A1453,Sheet2!$A$2:$R$3432,6,0)</f>
        <v>Hero Pleasure </v>
      </c>
      <c r="L1453" s="5" t="s">
        <v>25</v>
      </c>
      <c r="M1453" s="7" t="str">
        <f>VLOOKUP(A1453,Sheet2!$A$2:$R$3432,5,0)</f>
        <v>MH14EJ1506</v>
      </c>
      <c r="N1453" s="5" t="s">
        <v>25</v>
      </c>
      <c r="O1453" s="5" t="s">
        <v>25</v>
      </c>
      <c r="P1453" s="6" t="s">
        <v>25</v>
      </c>
      <c r="Q1453" s="5" t="s">
        <v>25</v>
      </c>
      <c r="R1453" s="5" t="s">
        <v>25</v>
      </c>
      <c r="S1453" s="7" t="str">
        <f>VLOOKUP(A1453,Sheet2!$A$2:$R$3432,18,0)</f>
        <v/>
      </c>
      <c r="T1453" s="7" t="str">
        <f>VLOOKUP(A1453,Sheet2!$A$2:$R$3432,17,0)</f>
        <v/>
      </c>
    </row>
    <row r="1454" ht="15.75" customHeight="1">
      <c r="A1454" s="3" t="s">
        <v>1477</v>
      </c>
      <c r="B1454" s="4" t="str">
        <f>VLOOKUP(A1454,Sheet2!$A$2:$R$3432,2,0)</f>
        <v>2025-02-09 19:21:04</v>
      </c>
      <c r="C1454" s="5" t="s">
        <v>25</v>
      </c>
      <c r="D1454" s="6" t="s">
        <v>25</v>
      </c>
      <c r="E1454" s="7">
        <f>VLOOKUP(A1454,Sheet2!$A$2:$R$3432,4,0)</f>
        <v>7588437919</v>
      </c>
      <c r="F1454" s="7" t="str">
        <f>VLOOKUP(A1454,Sheet2!$A$2:$R$3432,3,0)</f>
        <v>SANSKRITI</v>
      </c>
      <c r="G1454" s="5" t="s">
        <v>25</v>
      </c>
      <c r="H1454" s="5" t="s">
        <v>25</v>
      </c>
      <c r="I1454" s="5" t="s">
        <v>25</v>
      </c>
      <c r="J1454" s="5" t="s">
        <v>25</v>
      </c>
      <c r="K1454" s="7" t="str">
        <f>VLOOKUP(A1454,Sheet2!$A$2:$R$3432,6,0)</f>
        <v>Honda Activa 5G</v>
      </c>
      <c r="L1454" s="5" t="s">
        <v>25</v>
      </c>
      <c r="M1454" s="7" t="str">
        <f>VLOOKUP(A1454,Sheet2!$A$2:$R$3432,5,0)</f>
        <v>MH31FJ7726</v>
      </c>
      <c r="N1454" s="5" t="s">
        <v>25</v>
      </c>
      <c r="O1454" s="5" t="s">
        <v>25</v>
      </c>
      <c r="P1454" s="6" t="s">
        <v>25</v>
      </c>
      <c r="Q1454" s="5" t="s">
        <v>25</v>
      </c>
      <c r="R1454" s="5" t="s">
        <v>25</v>
      </c>
      <c r="S1454" s="5" t="str">
        <f>VLOOKUP(A1454,Sheet2!$A$2:$R$3432,18,0)</f>
        <v>JF50EU7328985</v>
      </c>
      <c r="T1454" s="7" t="str">
        <f>VLOOKUP(A1454,Sheet2!$A$2:$R$3432,17,0)</f>
        <v>ME4550AKJU326966</v>
      </c>
    </row>
    <row r="1455" ht="15.75" customHeight="1">
      <c r="A1455" s="3" t="s">
        <v>1478</v>
      </c>
      <c r="B1455" s="4" t="str">
        <f>VLOOKUP(A1455,Sheet2!$A$2:$R$3432,2,0)</f>
        <v>2025-02-09 19:55:36</v>
      </c>
      <c r="C1455" s="5" t="s">
        <v>25</v>
      </c>
      <c r="D1455" s="6" t="s">
        <v>25</v>
      </c>
      <c r="E1455" s="7">
        <f>VLOOKUP(A1455,Sheet2!$A$2:$R$3432,4,0)</f>
        <v>8888700017</v>
      </c>
      <c r="F1455" s="7" t="str">
        <f>VLOOKUP(A1455,Sheet2!$A$2:$R$3432,3,0)</f>
        <v>PRAVIN PAWAR</v>
      </c>
      <c r="G1455" s="5" t="s">
        <v>25</v>
      </c>
      <c r="H1455" s="5" t="s">
        <v>25</v>
      </c>
      <c r="I1455" s="5" t="s">
        <v>25</v>
      </c>
      <c r="J1455" s="5" t="s">
        <v>25</v>
      </c>
      <c r="K1455" s="7" t="str">
        <f>VLOOKUP(A1455,Sheet2!$A$2:$R$3432,6,0)</f>
        <v>Honda Stunner </v>
      </c>
      <c r="L1455" s="5" t="s">
        <v>25</v>
      </c>
      <c r="M1455" s="7" t="str">
        <f>VLOOKUP(A1455,Sheet2!$A$2:$R$3432,5,0)</f>
        <v>MH12KV3827</v>
      </c>
      <c r="N1455" s="5" t="s">
        <v>25</v>
      </c>
      <c r="O1455" s="5" t="s">
        <v>25</v>
      </c>
      <c r="P1455" s="6" t="s">
        <v>25</v>
      </c>
      <c r="Q1455" s="5" t="s">
        <v>25</v>
      </c>
      <c r="R1455" s="5" t="s">
        <v>25</v>
      </c>
      <c r="S1455" s="7" t="str">
        <f>VLOOKUP(A1455,Sheet2!$A$2:$R$3432,18,0)</f>
        <v/>
      </c>
      <c r="T1455" s="7" t="str">
        <f>VLOOKUP(A1455,Sheet2!$A$2:$R$3432,17,0)</f>
        <v/>
      </c>
    </row>
    <row r="1456" ht="15.75" customHeight="1">
      <c r="A1456" s="3" t="s">
        <v>1479</v>
      </c>
      <c r="B1456" s="4" t="str">
        <f>VLOOKUP(A1456,Sheet2!$A$2:$R$3432,2,0)</f>
        <v>2025-02-09 20:25:01</v>
      </c>
      <c r="C1456" s="5" t="s">
        <v>25</v>
      </c>
      <c r="D1456" s="6" t="s">
        <v>25</v>
      </c>
      <c r="E1456" s="7">
        <f>VLOOKUP(A1456,Sheet2!$A$2:$R$3432,4,0)</f>
        <v>9511687899</v>
      </c>
      <c r="F1456" s="7" t="str">
        <f>VLOOKUP(A1456,Sheet2!$A$2:$R$3432,3,0)</f>
        <v>ASHISH</v>
      </c>
      <c r="G1456" s="5" t="s">
        <v>25</v>
      </c>
      <c r="H1456" s="5" t="s">
        <v>25</v>
      </c>
      <c r="I1456" s="5" t="s">
        <v>25</v>
      </c>
      <c r="J1456" s="5" t="s">
        <v>25</v>
      </c>
      <c r="K1456" s="7" t="str">
        <f>VLOOKUP(A1456,Sheet2!$A$2:$R$3432,6,0)</f>
        <v>Honda Shine CB</v>
      </c>
      <c r="L1456" s="5" t="s">
        <v>25</v>
      </c>
      <c r="M1456" s="7" t="str">
        <f>VLOOKUP(A1456,Sheet2!$A$2:$R$3432,5,0)</f>
        <v>MH16CB9165</v>
      </c>
      <c r="N1456" s="5" t="s">
        <v>25</v>
      </c>
      <c r="O1456" s="5" t="s">
        <v>25</v>
      </c>
      <c r="P1456" s="6" t="s">
        <v>25</v>
      </c>
      <c r="Q1456" s="5" t="s">
        <v>25</v>
      </c>
      <c r="R1456" s="5" t="s">
        <v>25</v>
      </c>
      <c r="S1456" s="7" t="str">
        <f>VLOOKUP(A1456,Sheet2!$A$2:$R$3432,18,0)</f>
        <v/>
      </c>
      <c r="T1456" s="7" t="str">
        <f>VLOOKUP(A1456,Sheet2!$A$2:$R$3432,17,0)</f>
        <v/>
      </c>
    </row>
    <row r="1457" ht="15.75" customHeight="1">
      <c r="A1457" s="3" t="s">
        <v>1480</v>
      </c>
      <c r="B1457" s="4" t="str">
        <f>VLOOKUP(A1457,Sheet2!$A$2:$R$3432,2,0)</f>
        <v>2025-02-09 20:24:19</v>
      </c>
      <c r="C1457" s="5" t="s">
        <v>25</v>
      </c>
      <c r="D1457" s="6" t="s">
        <v>25</v>
      </c>
      <c r="E1457" s="7">
        <f>VLOOKUP(A1457,Sheet2!$A$2:$R$3432,4,0)</f>
        <v>9403257246</v>
      </c>
      <c r="F1457" s="7" t="str">
        <f>VLOOKUP(A1457,Sheet2!$A$2:$R$3432,3,0)</f>
        <v>PRATYUSH BALERAO</v>
      </c>
      <c r="G1457" s="5" t="s">
        <v>25</v>
      </c>
      <c r="H1457" s="5" t="s">
        <v>25</v>
      </c>
      <c r="I1457" s="5" t="s">
        <v>25</v>
      </c>
      <c r="J1457" s="5" t="s">
        <v>25</v>
      </c>
      <c r="K1457" s="7" t="str">
        <f>VLOOKUP(A1457,Sheet2!$A$2:$R$3432,6,0)</f>
        <v>TVS Jupiter Grande</v>
      </c>
      <c r="L1457" s="5" t="s">
        <v>25</v>
      </c>
      <c r="M1457" s="7" t="str">
        <f>VLOOKUP(A1457,Sheet2!$A$2:$R$3432,5,0)</f>
        <v>MH12PM9246</v>
      </c>
      <c r="N1457" s="5" t="s">
        <v>25</v>
      </c>
      <c r="O1457" s="5" t="s">
        <v>25</v>
      </c>
      <c r="P1457" s="6" t="s">
        <v>25</v>
      </c>
      <c r="Q1457" s="5" t="s">
        <v>25</v>
      </c>
      <c r="R1457" s="5" t="s">
        <v>25</v>
      </c>
      <c r="S1457" s="5" t="str">
        <f>VLOOKUP(A1457,Sheet2!$A$2:$R$3432,18,0)</f>
        <v>EG4HH2322403</v>
      </c>
      <c r="T1457" s="7" t="str">
        <f>VLOOKUP(A1457,Sheet2!$A$2:$R$3432,17,0)</f>
        <v>MD626EG40H1H76806</v>
      </c>
    </row>
    <row r="1458" ht="15.75" customHeight="1">
      <c r="A1458" s="3" t="s">
        <v>1481</v>
      </c>
      <c r="B1458" s="4" t="str">
        <f>VLOOKUP(A1458,Sheet2!$A$2:$R$3432,2,0)</f>
        <v>2025-02-09 20:23:49</v>
      </c>
      <c r="C1458" s="5" t="s">
        <v>25</v>
      </c>
      <c r="D1458" s="6" t="s">
        <v>25</v>
      </c>
      <c r="E1458" s="7">
        <f>VLOOKUP(A1458,Sheet2!$A$2:$R$3432,4,0)</f>
        <v>7039035250</v>
      </c>
      <c r="F1458" s="7" t="str">
        <f>VLOOKUP(A1458,Sheet2!$A$2:$R$3432,3,0)</f>
        <v>PRADEEP </v>
      </c>
      <c r="G1458" s="5" t="s">
        <v>25</v>
      </c>
      <c r="H1458" s="5" t="s">
        <v>25</v>
      </c>
      <c r="I1458" s="5" t="s">
        <v>25</v>
      </c>
      <c r="J1458" s="5" t="s">
        <v>25</v>
      </c>
      <c r="K1458" s="7" t="str">
        <f>VLOOKUP(A1458,Sheet2!$A$2:$R$3432,6,0)</f>
        <v>TVS Jupiter BS6</v>
      </c>
      <c r="L1458" s="5" t="s">
        <v>25</v>
      </c>
      <c r="M1458" s="7" t="str">
        <f>VLOOKUP(A1458,Sheet2!$A$2:$R$3432,5,0)</f>
        <v>MH14LD9319</v>
      </c>
      <c r="N1458" s="5" t="s">
        <v>25</v>
      </c>
      <c r="O1458" s="5" t="s">
        <v>25</v>
      </c>
      <c r="P1458" s="6" t="s">
        <v>25</v>
      </c>
      <c r="Q1458" s="5" t="s">
        <v>25</v>
      </c>
      <c r="R1458" s="5" t="s">
        <v>25</v>
      </c>
      <c r="S1458" s="5" t="str">
        <f>VLOOKUP(A1458,Sheet2!$A$2:$R$3432,18,0)</f>
        <v>DG6LP1712034</v>
      </c>
      <c r="T1458" s="7" t="str">
        <f>VLOOKUP(A1458,Sheet2!$A$2:$R$3432,17,0)</f>
        <v>MD626CG5P1322039</v>
      </c>
    </row>
    <row r="1459" ht="15.75" customHeight="1">
      <c r="A1459" s="3" t="s">
        <v>1482</v>
      </c>
      <c r="B1459" s="4" t="str">
        <f>VLOOKUP(A1459,Sheet2!$A$2:$R$3432,2,0)</f>
        <v>2025-04-02 20:25:31</v>
      </c>
      <c r="C1459" s="5" t="s">
        <v>25</v>
      </c>
      <c r="D1459" s="6" t="s">
        <v>25</v>
      </c>
      <c r="E1459" s="7">
        <f>VLOOKUP(A1459,Sheet2!$A$2:$R$3432,4,0)</f>
        <v>9834114667</v>
      </c>
      <c r="F1459" s="7" t="str">
        <f>VLOOKUP(A1459,Sheet2!$A$2:$R$3432,3,0)</f>
        <v>Ram</v>
      </c>
      <c r="G1459" s="5" t="s">
        <v>25</v>
      </c>
      <c r="H1459" s="5" t="s">
        <v>25</v>
      </c>
      <c r="I1459" s="5" t="s">
        <v>25</v>
      </c>
      <c r="J1459" s="5" t="s">
        <v>25</v>
      </c>
      <c r="K1459" s="7" t="str">
        <f>VLOOKUP(A1459,Sheet2!$A$2:$R$3432,6,0)</f>
        <v>Suzuki Access </v>
      </c>
      <c r="L1459" s="5" t="s">
        <v>25</v>
      </c>
      <c r="M1459" s="7" t="str">
        <f>VLOOKUP(A1459,Sheet2!$A$2:$R$3432,5,0)</f>
        <v>MH27CF9281</v>
      </c>
      <c r="N1459" s="5" t="s">
        <v>25</v>
      </c>
      <c r="O1459" s="5" t="s">
        <v>25</v>
      </c>
      <c r="P1459" s="6" t="s">
        <v>25</v>
      </c>
      <c r="Q1459" s="5" t="s">
        <v>25</v>
      </c>
      <c r="R1459" s="5" t="s">
        <v>25</v>
      </c>
      <c r="S1459" s="5" t="str">
        <f>VLOOKUP(A1459,Sheet2!$A$2:$R$3432,18,0)</f>
        <v>AF211560163</v>
      </c>
      <c r="T1459" s="7" t="str">
        <f>VLOOKUP(A1459,Sheet2!$A$2:$R$3432,17,0)</f>
        <v>MB8DP11AAJ8710157</v>
      </c>
    </row>
    <row r="1460" ht="15.75" customHeight="1">
      <c r="A1460" s="3" t="s">
        <v>1483</v>
      </c>
      <c r="B1460" s="4" t="str">
        <f>VLOOKUP(A1460,Sheet2!$A$2:$R$3432,2,0)</f>
        <v>2025-04-02 20:26:10</v>
      </c>
      <c r="C1460" s="5" t="s">
        <v>25</v>
      </c>
      <c r="D1460" s="6" t="s">
        <v>25</v>
      </c>
      <c r="E1460" s="7">
        <f>VLOOKUP(A1460,Sheet2!$A$2:$R$3432,4,0)</f>
        <v>7888008424</v>
      </c>
      <c r="F1460" s="7" t="str">
        <f>VLOOKUP(A1460,Sheet2!$A$2:$R$3432,3,0)</f>
        <v>PRAMOD ZUNJARRAO </v>
      </c>
      <c r="G1460" s="5" t="s">
        <v>25</v>
      </c>
      <c r="H1460" s="5" t="s">
        <v>25</v>
      </c>
      <c r="I1460" s="5" t="s">
        <v>25</v>
      </c>
      <c r="J1460" s="5" t="s">
        <v>25</v>
      </c>
      <c r="K1460" s="7" t="str">
        <f>VLOOKUP(A1460,Sheet2!$A$2:$R$3432,6,0)</f>
        <v>Piaggio Vespa </v>
      </c>
      <c r="L1460" s="5" t="s">
        <v>25</v>
      </c>
      <c r="M1460" s="7" t="str">
        <f>VLOOKUP(A1460,Sheet2!$A$2:$R$3432,5,0)</f>
        <v>MH14GL3119</v>
      </c>
      <c r="N1460" s="5" t="s">
        <v>25</v>
      </c>
      <c r="O1460" s="5" t="s">
        <v>25</v>
      </c>
      <c r="P1460" s="6" t="s">
        <v>25</v>
      </c>
      <c r="Q1460" s="5" t="s">
        <v>25</v>
      </c>
      <c r="R1460" s="5" t="s">
        <v>25</v>
      </c>
      <c r="S1460" s="7" t="str">
        <f>VLOOKUP(A1460,Sheet2!$A$2:$R$3432,18,0)</f>
        <v/>
      </c>
      <c r="T1460" s="7" t="str">
        <f>VLOOKUP(A1460,Sheet2!$A$2:$R$3432,17,0)</f>
        <v/>
      </c>
    </row>
    <row r="1461" ht="15.75" customHeight="1">
      <c r="A1461" s="3" t="s">
        <v>1484</v>
      </c>
      <c r="B1461" s="4" t="str">
        <f>VLOOKUP(A1461,Sheet2!$A$2:$R$3432,2,0)</f>
        <v>2025-04-02 20:25:03</v>
      </c>
      <c r="C1461" s="5" t="s">
        <v>25</v>
      </c>
      <c r="D1461" s="6" t="s">
        <v>25</v>
      </c>
      <c r="E1461" s="7">
        <f>VLOOKUP(A1461,Sheet2!$A$2:$R$3432,4,0)</f>
        <v>7776827663</v>
      </c>
      <c r="F1461" s="7" t="str">
        <f>VLOOKUP(A1461,Sheet2!$A$2:$R$3432,3,0)</f>
        <v>SHUBHANGI </v>
      </c>
      <c r="G1461" s="5" t="s">
        <v>25</v>
      </c>
      <c r="H1461" s="5" t="s">
        <v>25</v>
      </c>
      <c r="I1461" s="5" t="s">
        <v>25</v>
      </c>
      <c r="J1461" s="5" t="s">
        <v>25</v>
      </c>
      <c r="K1461" s="7" t="str">
        <f>VLOOKUP(A1461,Sheet2!$A$2:$R$3432,6,0)</f>
        <v>Honda Activa i</v>
      </c>
      <c r="L1461" s="5" t="s">
        <v>25</v>
      </c>
      <c r="M1461" s="7" t="str">
        <f>VLOOKUP(A1461,Sheet2!$A$2:$R$3432,5,0)</f>
        <v>MH36T1799</v>
      </c>
      <c r="N1461" s="5" t="s">
        <v>25</v>
      </c>
      <c r="O1461" s="5" t="s">
        <v>25</v>
      </c>
      <c r="P1461" s="6" t="s">
        <v>25</v>
      </c>
      <c r="Q1461" s="5" t="s">
        <v>25</v>
      </c>
      <c r="R1461" s="5" t="s">
        <v>25</v>
      </c>
      <c r="S1461" s="5" t="str">
        <f>VLOOKUP(A1461,Sheet2!$A$2:$R$3432,18,0)</f>
        <v>JF48E80231956</v>
      </c>
      <c r="T1461" s="7" t="str">
        <f>VLOOKUP(A1461,Sheet2!$A$2:$R$3432,17,0)</f>
        <v>ME4JF481ME8331673</v>
      </c>
    </row>
    <row r="1462" ht="15.75" customHeight="1">
      <c r="A1462" s="3" t="s">
        <v>1485</v>
      </c>
      <c r="B1462" s="4" t="str">
        <f>VLOOKUP(A1462,Sheet2!$A$2:$R$3432,2,0)</f>
        <v>2025-02-12 12:06:06</v>
      </c>
      <c r="C1462" s="5" t="s">
        <v>25</v>
      </c>
      <c r="D1462" s="6" t="s">
        <v>25</v>
      </c>
      <c r="E1462" s="7">
        <f>VLOOKUP(A1462,Sheet2!$A$2:$R$3432,4,0)</f>
        <v>8793714550</v>
      </c>
      <c r="F1462" s="7" t="str">
        <f>VLOOKUP(A1462,Sheet2!$A$2:$R$3432,3,0)</f>
        <v>ANIL CHAVAN</v>
      </c>
      <c r="G1462" s="5" t="s">
        <v>25</v>
      </c>
      <c r="H1462" s="5" t="s">
        <v>25</v>
      </c>
      <c r="I1462" s="5" t="s">
        <v>25</v>
      </c>
      <c r="J1462" s="5" t="s">
        <v>25</v>
      </c>
      <c r="K1462" s="7" t="str">
        <f>VLOOKUP(A1462,Sheet2!$A$2:$R$3432,6,0)</f>
        <v>Royal Enfield Classic 350</v>
      </c>
      <c r="L1462" s="5" t="s">
        <v>25</v>
      </c>
      <c r="M1462" s="7" t="str">
        <f>VLOOKUP(A1462,Sheet2!$A$2:$R$3432,5,0)</f>
        <v>MH12RU1427</v>
      </c>
      <c r="N1462" s="5" t="s">
        <v>25</v>
      </c>
      <c r="O1462" s="5" t="s">
        <v>25</v>
      </c>
      <c r="P1462" s="6" t="s">
        <v>25</v>
      </c>
      <c r="Q1462" s="5" t="s">
        <v>25</v>
      </c>
      <c r="R1462" s="5" t="s">
        <v>25</v>
      </c>
      <c r="S1462" s="5" t="str">
        <f>VLOOKUP(A1462,Sheet2!$A$2:$R$3432,18,0)</f>
        <v>U3S5CKF510264</v>
      </c>
      <c r="T1462" s="7" t="str">
        <f>VLOOKUP(A1462,Sheet2!$A$2:$R$3432,17,0)</f>
        <v>ME3U355C2KE527867</v>
      </c>
    </row>
    <row r="1463" ht="15.75" customHeight="1">
      <c r="A1463" s="3" t="s">
        <v>1486</v>
      </c>
      <c r="B1463" s="4" t="str">
        <f>VLOOKUP(A1463,Sheet2!$A$2:$R$3432,2,0)</f>
        <v>2025-02-28 17:58:20</v>
      </c>
      <c r="C1463" s="5" t="s">
        <v>25</v>
      </c>
      <c r="D1463" s="6" t="s">
        <v>25</v>
      </c>
      <c r="E1463" s="7">
        <f>VLOOKUP(A1463,Sheet2!$A$2:$R$3432,4,0)</f>
        <v>9175815712</v>
      </c>
      <c r="F1463" s="7" t="str">
        <f>VLOOKUP(A1463,Sheet2!$A$2:$R$3432,3,0)</f>
        <v>Golu</v>
      </c>
      <c r="G1463" s="5" t="s">
        <v>25</v>
      </c>
      <c r="H1463" s="5" t="s">
        <v>25</v>
      </c>
      <c r="I1463" s="5" t="s">
        <v>25</v>
      </c>
      <c r="J1463" s="5" t="s">
        <v>25</v>
      </c>
      <c r="K1463" s="7" t="str">
        <f>VLOOKUP(A1463,Sheet2!$A$2:$R$3432,6,0)</f>
        <v>Hero Splendor Pro</v>
      </c>
      <c r="L1463" s="5" t="s">
        <v>25</v>
      </c>
      <c r="M1463" s="7" t="str">
        <f>VLOOKUP(A1463,Sheet2!$A$2:$R$3432,5,0)</f>
        <v>MH14JB9786</v>
      </c>
      <c r="N1463" s="5" t="s">
        <v>25</v>
      </c>
      <c r="O1463" s="5" t="s">
        <v>25</v>
      </c>
      <c r="P1463" s="6" t="s">
        <v>25</v>
      </c>
      <c r="Q1463" s="5" t="s">
        <v>25</v>
      </c>
      <c r="R1463" s="5" t="s">
        <v>25</v>
      </c>
      <c r="S1463" s="7" t="str">
        <f>VLOOKUP(A1463,Sheet2!$A$2:$R$3432,18,0)</f>
        <v/>
      </c>
      <c r="T1463" s="7" t="str">
        <f>VLOOKUP(A1463,Sheet2!$A$2:$R$3432,17,0)</f>
        <v/>
      </c>
    </row>
    <row r="1464" ht="15.75" customHeight="1">
      <c r="A1464" s="3" t="s">
        <v>1487</v>
      </c>
      <c r="B1464" s="4" t="str">
        <f>VLOOKUP(A1464,Sheet2!$A$2:$R$3432,2,0)</f>
        <v>2025-02-28 18:23:17</v>
      </c>
      <c r="C1464" s="5" t="s">
        <v>25</v>
      </c>
      <c r="D1464" s="6" t="s">
        <v>25</v>
      </c>
      <c r="E1464" s="7">
        <f>VLOOKUP(A1464,Sheet2!$A$2:$R$3432,4,0)</f>
        <v>8983033618</v>
      </c>
      <c r="F1464" s="7" t="str">
        <f>VLOOKUP(A1464,Sheet2!$A$2:$R$3432,3,0)</f>
        <v>Mangesh</v>
      </c>
      <c r="G1464" s="5" t="s">
        <v>25</v>
      </c>
      <c r="H1464" s="5" t="s">
        <v>25</v>
      </c>
      <c r="I1464" s="5" t="s">
        <v>25</v>
      </c>
      <c r="J1464" s="5" t="s">
        <v>25</v>
      </c>
      <c r="K1464" s="7" t="str">
        <f>VLOOKUP(A1464,Sheet2!$A$2:$R$3432,6,0)</f>
        <v>Honda Unicorn 150</v>
      </c>
      <c r="L1464" s="5" t="s">
        <v>25</v>
      </c>
      <c r="M1464" s="7" t="str">
        <f>VLOOKUP(A1464,Sheet2!$A$2:$R$3432,5,0)</f>
        <v>MH14BW1298</v>
      </c>
      <c r="N1464" s="5" t="s">
        <v>25</v>
      </c>
      <c r="O1464" s="5" t="s">
        <v>25</v>
      </c>
      <c r="P1464" s="6" t="s">
        <v>25</v>
      </c>
      <c r="Q1464" s="5" t="s">
        <v>25</v>
      </c>
      <c r="R1464" s="5" t="s">
        <v>25</v>
      </c>
      <c r="S1464" s="5" t="str">
        <f>VLOOKUP(A1464,Sheet2!$A$2:$R$3432,18,0)</f>
        <v>KC09E1093558</v>
      </c>
      <c r="T1464" s="7" t="str">
        <f>VLOOKUP(A1464,Sheet2!$A$2:$R$3432,17,0)</f>
        <v>ME4KC093J98092084</v>
      </c>
    </row>
    <row r="1465" ht="15.75" customHeight="1">
      <c r="A1465" s="3" t="s">
        <v>1488</v>
      </c>
      <c r="B1465" s="4" t="str">
        <f>VLOOKUP(A1465,Sheet2!$A$2:$R$3432,2,0)</f>
        <v>2025-02-28 17:42:19</v>
      </c>
      <c r="C1465" s="5" t="s">
        <v>25</v>
      </c>
      <c r="D1465" s="6" t="s">
        <v>25</v>
      </c>
      <c r="E1465" s="7">
        <f>VLOOKUP(A1465,Sheet2!$A$2:$R$3432,4,0)</f>
        <v>9967050150</v>
      </c>
      <c r="F1465" s="7" t="str">
        <f>VLOOKUP(A1465,Sheet2!$A$2:$R$3432,3,0)</f>
        <v>Umesh Patil </v>
      </c>
      <c r="G1465" s="5" t="s">
        <v>25</v>
      </c>
      <c r="H1465" s="5" t="s">
        <v>25</v>
      </c>
      <c r="I1465" s="5" t="s">
        <v>25</v>
      </c>
      <c r="J1465" s="5" t="s">
        <v>25</v>
      </c>
      <c r="K1465" s="7" t="str">
        <f>VLOOKUP(A1465,Sheet2!$A$2:$R$3432,6,0)</f>
        <v>Honda Activa 5G</v>
      </c>
      <c r="L1465" s="5" t="s">
        <v>25</v>
      </c>
      <c r="M1465" s="7" t="str">
        <f>VLOOKUP(A1465,Sheet2!$A$2:$R$3432,5,0)</f>
        <v>MH12RZ7630</v>
      </c>
      <c r="N1465" s="5" t="s">
        <v>25</v>
      </c>
      <c r="O1465" s="5" t="s">
        <v>25</v>
      </c>
      <c r="P1465" s="6" t="s">
        <v>25</v>
      </c>
      <c r="Q1465" s="5" t="s">
        <v>25</v>
      </c>
      <c r="R1465" s="5" t="s">
        <v>25</v>
      </c>
      <c r="S1465" s="5" t="str">
        <f>VLOOKUP(A1465,Sheet2!$A$2:$R$3432,18,0)</f>
        <v>JF50EG0229612</v>
      </c>
      <c r="T1465" s="7" t="str">
        <f>VLOOKUP(A1465,Sheet2!$A$2:$R$3432,17,0)</f>
        <v>ME4JF50AHKG229609</v>
      </c>
    </row>
    <row r="1466" ht="15.75" customHeight="1">
      <c r="A1466" s="3" t="s">
        <v>1489</v>
      </c>
      <c r="B1466" s="4" t="str">
        <f>VLOOKUP(A1466,Sheet2!$A$2:$R$3432,2,0)</f>
        <v>2025-02-28 17:43:30</v>
      </c>
      <c r="C1466" s="5" t="s">
        <v>25</v>
      </c>
      <c r="D1466" s="6" t="s">
        <v>25</v>
      </c>
      <c r="E1466" s="7">
        <f>VLOOKUP(A1466,Sheet2!$A$2:$R$3432,4,0)</f>
        <v>9867082659</v>
      </c>
      <c r="F1466" s="7" t="str">
        <f>VLOOKUP(A1466,Sheet2!$A$2:$R$3432,3,0)</f>
        <v>SHISHIR MALVIYA </v>
      </c>
      <c r="G1466" s="5" t="s">
        <v>25</v>
      </c>
      <c r="H1466" s="5" t="s">
        <v>25</v>
      </c>
      <c r="I1466" s="5" t="s">
        <v>25</v>
      </c>
      <c r="J1466" s="5" t="s">
        <v>25</v>
      </c>
      <c r="K1466" s="7" t="str">
        <f>VLOOKUP(A1466,Sheet2!$A$2:$R$3432,6,0)</f>
        <v>Yamaha FZ </v>
      </c>
      <c r="L1466" s="5" t="s">
        <v>25</v>
      </c>
      <c r="M1466" s="7" t="str">
        <f>VLOOKUP(A1466,Sheet2!$A$2:$R$3432,5,0)</f>
        <v>MH02CM0809</v>
      </c>
      <c r="N1466" s="5" t="s">
        <v>25</v>
      </c>
      <c r="O1466" s="5" t="s">
        <v>25</v>
      </c>
      <c r="P1466" s="6" t="s">
        <v>25</v>
      </c>
      <c r="Q1466" s="5" t="s">
        <v>25</v>
      </c>
      <c r="R1466" s="5" t="s">
        <v>25</v>
      </c>
      <c r="S1466" s="7" t="str">
        <f>VLOOKUP(A1466,Sheet2!$A$2:$R$3432,18,0)</f>
        <v/>
      </c>
      <c r="T1466" s="7" t="str">
        <f>VLOOKUP(A1466,Sheet2!$A$2:$R$3432,17,0)</f>
        <v/>
      </c>
    </row>
    <row r="1467" ht="15.75" customHeight="1">
      <c r="A1467" s="3" t="s">
        <v>1490</v>
      </c>
      <c r="B1467" s="4" t="str">
        <f>VLOOKUP(A1467,Sheet2!$A$2:$R$3432,2,0)</f>
        <v>2025-02-28 17:45:07</v>
      </c>
      <c r="C1467" s="5" t="s">
        <v>25</v>
      </c>
      <c r="D1467" s="6" t="s">
        <v>25</v>
      </c>
      <c r="E1467" s="7">
        <f>VLOOKUP(A1467,Sheet2!$A$2:$R$3432,4,0)</f>
        <v>9881399332</v>
      </c>
      <c r="F1467" s="7" t="str">
        <f>VLOOKUP(A1467,Sheet2!$A$2:$R$3432,3,0)</f>
        <v>JITENDRA RAJPUT</v>
      </c>
      <c r="G1467" s="5" t="s">
        <v>25</v>
      </c>
      <c r="H1467" s="5" t="s">
        <v>25</v>
      </c>
      <c r="I1467" s="5" t="s">
        <v>25</v>
      </c>
      <c r="J1467" s="5" t="s">
        <v>25</v>
      </c>
      <c r="K1467" s="7" t="str">
        <f>VLOOKUP(A1467,Sheet2!$A$2:$R$3432,6,0)</f>
        <v>Royal Enfield ThunderBird 350</v>
      </c>
      <c r="L1467" s="5" t="s">
        <v>25</v>
      </c>
      <c r="M1467" s="7" t="str">
        <f>VLOOKUP(A1467,Sheet2!$A$2:$R$3432,5,0)</f>
        <v>MH14GE7951</v>
      </c>
      <c r="N1467" s="5" t="s">
        <v>25</v>
      </c>
      <c r="O1467" s="5" t="s">
        <v>25</v>
      </c>
      <c r="P1467" s="6" t="s">
        <v>25</v>
      </c>
      <c r="Q1467" s="5" t="s">
        <v>25</v>
      </c>
      <c r="R1467" s="5" t="s">
        <v>25</v>
      </c>
      <c r="S1467" s="5" t="str">
        <f>VLOOKUP(A1467,Sheet2!$A$2:$R$3432,18,0)</f>
        <v>435COHB260966</v>
      </c>
      <c r="T1467" s="7" t="str">
        <f>VLOOKUP(A1467,Sheet2!$A$2:$R$3432,17,0)</f>
        <v>ME34355C1HB073547</v>
      </c>
    </row>
    <row r="1468" ht="15.75" customHeight="1">
      <c r="A1468" s="3" t="s">
        <v>1491</v>
      </c>
      <c r="B1468" s="4" t="str">
        <f>VLOOKUP(A1468,Sheet2!$A$2:$R$3432,2,0)</f>
        <v>2025-02-28 17:59:11</v>
      </c>
      <c r="C1468" s="5" t="s">
        <v>25</v>
      </c>
      <c r="D1468" s="6" t="s">
        <v>25</v>
      </c>
      <c r="E1468" s="7">
        <f>VLOOKUP(A1468,Sheet2!$A$2:$R$3432,4,0)</f>
        <v>8237668546</v>
      </c>
      <c r="F1468" s="7" t="str">
        <f>VLOOKUP(A1468,Sheet2!$A$2:$R$3432,3,0)</f>
        <v>Chinmay </v>
      </c>
      <c r="G1468" s="5" t="s">
        <v>25</v>
      </c>
      <c r="H1468" s="5" t="s">
        <v>25</v>
      </c>
      <c r="I1468" s="5" t="s">
        <v>25</v>
      </c>
      <c r="J1468" s="5" t="s">
        <v>25</v>
      </c>
      <c r="K1468" s="7" t="str">
        <f>VLOOKUP(A1468,Sheet2!$A$2:$R$3432,6,0)</f>
        <v>Suzuki Access </v>
      </c>
      <c r="L1468" s="5" t="s">
        <v>25</v>
      </c>
      <c r="M1468" s="7" t="str">
        <f>VLOOKUP(A1468,Sheet2!$A$2:$R$3432,5,0)</f>
        <v>MH20FR3649</v>
      </c>
      <c r="N1468" s="5" t="s">
        <v>25</v>
      </c>
      <c r="O1468" s="5" t="s">
        <v>25</v>
      </c>
      <c r="P1468" s="6" t="s">
        <v>25</v>
      </c>
      <c r="Q1468" s="5" t="s">
        <v>25</v>
      </c>
      <c r="R1468" s="5" t="s">
        <v>25</v>
      </c>
      <c r="S1468" s="7" t="str">
        <f>VLOOKUP(A1468,Sheet2!$A$2:$R$3432,18,0)</f>
        <v/>
      </c>
      <c r="T1468" s="7" t="str">
        <f>VLOOKUP(A1468,Sheet2!$A$2:$R$3432,17,0)</f>
        <v/>
      </c>
    </row>
    <row r="1469" ht="15.75" customHeight="1">
      <c r="A1469" s="3" t="s">
        <v>1492</v>
      </c>
      <c r="B1469" s="4" t="str">
        <f>VLOOKUP(A1469,Sheet2!$A$2:$R$3432,2,0)</f>
        <v>2025-02-28 19:17:24</v>
      </c>
      <c r="C1469" s="5" t="s">
        <v>25</v>
      </c>
      <c r="D1469" s="6" t="s">
        <v>25</v>
      </c>
      <c r="E1469" s="7">
        <f>VLOOKUP(A1469,Sheet2!$A$2:$R$3432,4,0)</f>
        <v>9004140071</v>
      </c>
      <c r="F1469" s="7" t="str">
        <f>VLOOKUP(A1469,Sheet2!$A$2:$R$3432,3,0)</f>
        <v>Pranjal Patil</v>
      </c>
      <c r="G1469" s="5" t="s">
        <v>25</v>
      </c>
      <c r="H1469" s="5" t="s">
        <v>25</v>
      </c>
      <c r="I1469" s="5" t="s">
        <v>25</v>
      </c>
      <c r="J1469" s="5" t="s">
        <v>25</v>
      </c>
      <c r="K1469" s="7" t="str">
        <f>VLOOKUP(A1469,Sheet2!$A$2:$R$3432,6,0)</f>
        <v>Honda Dio </v>
      </c>
      <c r="L1469" s="5" t="s">
        <v>25</v>
      </c>
      <c r="M1469" s="7" t="str">
        <f>VLOOKUP(A1469,Sheet2!$A$2:$R$3432,5,0)</f>
        <v>MH14GX8994</v>
      </c>
      <c r="N1469" s="5" t="s">
        <v>25</v>
      </c>
      <c r="O1469" s="5" t="s">
        <v>25</v>
      </c>
      <c r="P1469" s="6" t="s">
        <v>25</v>
      </c>
      <c r="Q1469" s="5" t="s">
        <v>25</v>
      </c>
      <c r="R1469" s="5" t="s">
        <v>25</v>
      </c>
      <c r="S1469" s="7" t="str">
        <f>VLOOKUP(A1469,Sheet2!$A$2:$R$3432,18,0)</f>
        <v/>
      </c>
      <c r="T1469" s="7" t="str">
        <f>VLOOKUP(A1469,Sheet2!$A$2:$R$3432,17,0)</f>
        <v/>
      </c>
    </row>
    <row r="1470" ht="15.75" customHeight="1">
      <c r="A1470" s="3" t="s">
        <v>1493</v>
      </c>
      <c r="B1470" s="4" t="str">
        <f>VLOOKUP(A1470,Sheet2!$A$2:$R$3432,2,0)</f>
        <v>2025-02-28 20:08:11</v>
      </c>
      <c r="C1470" s="5" t="s">
        <v>25</v>
      </c>
      <c r="D1470" s="6" t="s">
        <v>25</v>
      </c>
      <c r="E1470" s="7">
        <f>VLOOKUP(A1470,Sheet2!$A$2:$R$3432,4,0)</f>
        <v>9309733792</v>
      </c>
      <c r="F1470" s="7" t="str">
        <f>VLOOKUP(A1470,Sheet2!$A$2:$R$3432,3,0)</f>
        <v>Kedar Deshmukh</v>
      </c>
      <c r="G1470" s="5" t="s">
        <v>25</v>
      </c>
      <c r="H1470" s="5" t="s">
        <v>25</v>
      </c>
      <c r="I1470" s="5" t="s">
        <v>25</v>
      </c>
      <c r="J1470" s="5" t="s">
        <v>25</v>
      </c>
      <c r="K1470" s="7" t="str">
        <f>VLOOKUP(A1470,Sheet2!$A$2:$R$3432,6,0)</f>
        <v>TVS Apache RTR 160</v>
      </c>
      <c r="L1470" s="5" t="s">
        <v>25</v>
      </c>
      <c r="M1470" s="7" t="str">
        <f>VLOOKUP(A1470,Sheet2!$A$2:$R$3432,5,0)</f>
        <v>MH12JB7356</v>
      </c>
      <c r="N1470" s="5" t="s">
        <v>25</v>
      </c>
      <c r="O1470" s="5" t="s">
        <v>25</v>
      </c>
      <c r="P1470" s="6" t="s">
        <v>25</v>
      </c>
      <c r="Q1470" s="5" t="s">
        <v>25</v>
      </c>
      <c r="R1470" s="5" t="s">
        <v>25</v>
      </c>
      <c r="S1470" s="5" t="str">
        <f>VLOOKUP(A1470,Sheet2!$A$2:$R$3432,18,0)</f>
        <v>RUSTY FRAME</v>
      </c>
      <c r="T1470" s="7" t="str">
        <f>VLOOKUP(A1470,Sheet2!$A$2:$R$3432,17,0)</f>
        <v>MD634KE4XL2069770</v>
      </c>
    </row>
    <row r="1471" ht="15.75" customHeight="1">
      <c r="A1471" s="3" t="s">
        <v>1494</v>
      </c>
      <c r="B1471" s="4" t="str">
        <f>VLOOKUP(A1471,Sheet2!$A$2:$R$3432,2,0)</f>
        <v>2025-02-28 20:12:14</v>
      </c>
      <c r="C1471" s="5" t="s">
        <v>25</v>
      </c>
      <c r="D1471" s="6" t="s">
        <v>25</v>
      </c>
      <c r="E1471" s="7">
        <f>VLOOKUP(A1471,Sheet2!$A$2:$R$3432,4,0)</f>
        <v>8390072317</v>
      </c>
      <c r="F1471" s="7" t="str">
        <f>VLOOKUP(A1471,Sheet2!$A$2:$R$3432,3,0)</f>
        <v>MANOJ PATIL</v>
      </c>
      <c r="G1471" s="5" t="s">
        <v>25</v>
      </c>
      <c r="H1471" s="5" t="s">
        <v>25</v>
      </c>
      <c r="I1471" s="5" t="s">
        <v>25</v>
      </c>
      <c r="J1471" s="5" t="s">
        <v>25</v>
      </c>
      <c r="K1471" s="7" t="str">
        <f>VLOOKUP(A1471,Sheet2!$A$2:$R$3432,6,0)</f>
        <v>Suzuki Access 125</v>
      </c>
      <c r="L1471" s="5" t="s">
        <v>25</v>
      </c>
      <c r="M1471" s="7" t="str">
        <f>VLOOKUP(A1471,Sheet2!$A$2:$R$3432,5,0)</f>
        <v>MH15HB0660</v>
      </c>
      <c r="N1471" s="5" t="s">
        <v>25</v>
      </c>
      <c r="O1471" s="5" t="s">
        <v>25</v>
      </c>
      <c r="P1471" s="6" t="s">
        <v>25</v>
      </c>
      <c r="Q1471" s="5" t="s">
        <v>25</v>
      </c>
      <c r="R1471" s="5" t="s">
        <v>25</v>
      </c>
      <c r="S1471" s="5" t="str">
        <f>VLOOKUP(A1471,Sheet2!$A$2:$R$3432,18,0)</f>
        <v>AF212190704</v>
      </c>
      <c r="T1471" s="7" t="str">
        <f>VLOOKUP(A1471,Sheet2!$A$2:$R$3432,17,0)</f>
        <v>MB8DP11AKK8F81701</v>
      </c>
    </row>
    <row r="1472" ht="15.75" customHeight="1">
      <c r="A1472" s="3" t="s">
        <v>1495</v>
      </c>
      <c r="B1472" s="4" t="str">
        <f>VLOOKUP(A1472,Sheet2!$A$2:$R$3432,2,0)</f>
        <v>2025-02-28 20:21:41</v>
      </c>
      <c r="C1472" s="5" t="s">
        <v>25</v>
      </c>
      <c r="D1472" s="6" t="s">
        <v>25</v>
      </c>
      <c r="E1472" s="7">
        <f>VLOOKUP(A1472,Sheet2!$A$2:$R$3432,4,0)</f>
        <v>8551833133</v>
      </c>
      <c r="F1472" s="7" t="str">
        <f>VLOOKUP(A1472,Sheet2!$A$2:$R$3432,3,0)</f>
        <v>Simanta</v>
      </c>
      <c r="G1472" s="5" t="s">
        <v>25</v>
      </c>
      <c r="H1472" s="5" t="s">
        <v>25</v>
      </c>
      <c r="I1472" s="5" t="s">
        <v>25</v>
      </c>
      <c r="J1472" s="5" t="s">
        <v>25</v>
      </c>
      <c r="K1472" s="7" t="str">
        <f>VLOOKUP(A1472,Sheet2!$A$2:$R$3432,6,0)</f>
        <v>Honda Activa 6G</v>
      </c>
      <c r="L1472" s="5" t="s">
        <v>25</v>
      </c>
      <c r="M1472" s="7" t="str">
        <f>VLOOKUP(A1472,Sheet2!$A$2:$R$3432,5,0)</f>
        <v>MH14KL5467</v>
      </c>
      <c r="N1472" s="5" t="s">
        <v>25</v>
      </c>
      <c r="O1472" s="5" t="s">
        <v>25</v>
      </c>
      <c r="P1472" s="6" t="s">
        <v>25</v>
      </c>
      <c r="Q1472" s="5" t="s">
        <v>25</v>
      </c>
      <c r="R1472" s="5" t="s">
        <v>25</v>
      </c>
      <c r="S1472" s="7" t="str">
        <f>VLOOKUP(A1472,Sheet2!$A$2:$R$3432,18,0)</f>
        <v/>
      </c>
      <c r="T1472" s="7" t="str">
        <f>VLOOKUP(A1472,Sheet2!$A$2:$R$3432,17,0)</f>
        <v/>
      </c>
    </row>
    <row r="1473" ht="15.75" customHeight="1">
      <c r="A1473" s="3" t="s">
        <v>1496</v>
      </c>
      <c r="B1473" s="4" t="str">
        <f>VLOOKUP(A1473,Sheet2!$A$2:$R$3432,2,0)</f>
        <v>2025-02-28 20:41:49</v>
      </c>
      <c r="C1473" s="5" t="s">
        <v>25</v>
      </c>
      <c r="D1473" s="6" t="s">
        <v>25</v>
      </c>
      <c r="E1473" s="7">
        <f>VLOOKUP(A1473,Sheet2!$A$2:$R$3432,4,0)</f>
        <v>7038323363</v>
      </c>
      <c r="F1473" s="7" t="str">
        <f>VLOOKUP(A1473,Sheet2!$A$2:$R$3432,3,0)</f>
        <v>HANUMAN</v>
      </c>
      <c r="G1473" s="5" t="s">
        <v>25</v>
      </c>
      <c r="H1473" s="5" t="s">
        <v>25</v>
      </c>
      <c r="I1473" s="5" t="s">
        <v>25</v>
      </c>
      <c r="J1473" s="5" t="s">
        <v>25</v>
      </c>
      <c r="K1473" s="7" t="str">
        <f>VLOOKUP(A1473,Sheet2!$A$2:$R$3432,6,0)</f>
        <v>Honda Shine SP</v>
      </c>
      <c r="L1473" s="5" t="s">
        <v>25</v>
      </c>
      <c r="M1473" s="7" t="str">
        <f>VLOOKUP(A1473,Sheet2!$A$2:$R$3432,5,0)</f>
        <v>MH12PK1859</v>
      </c>
      <c r="N1473" s="5" t="s">
        <v>25</v>
      </c>
      <c r="O1473" s="5" t="s">
        <v>25</v>
      </c>
      <c r="P1473" s="6" t="s">
        <v>25</v>
      </c>
      <c r="Q1473" s="5" t="s">
        <v>25</v>
      </c>
      <c r="R1473" s="5" t="s">
        <v>25</v>
      </c>
      <c r="S1473" s="5" t="str">
        <f>VLOOKUP(A1473,Sheet2!$A$2:$R$3432,18,0)</f>
        <v>JC73EF1101093</v>
      </c>
      <c r="T1473" s="7" t="str">
        <f>VLOOKUP(A1473,Sheet2!$A$2:$R$3432,17,0)</f>
        <v>ME4JC735EHT051845</v>
      </c>
    </row>
    <row r="1474" ht="15.75" customHeight="1">
      <c r="A1474" s="3" t="s">
        <v>1497</v>
      </c>
      <c r="B1474" s="4" t="str">
        <f>VLOOKUP(A1474,Sheet2!$A$2:$R$3432,2,0)</f>
        <v>2025-02-10 19:01:38</v>
      </c>
      <c r="C1474" s="5" t="s">
        <v>25</v>
      </c>
      <c r="D1474" s="6" t="s">
        <v>25</v>
      </c>
      <c r="E1474" s="7">
        <f>VLOOKUP(A1474,Sheet2!$A$2:$R$3432,4,0)</f>
        <v>9373841171</v>
      </c>
      <c r="F1474" s="7" t="str">
        <f>VLOOKUP(A1474,Sheet2!$A$2:$R$3432,3,0)</f>
        <v>Parameshwar</v>
      </c>
      <c r="G1474" s="5" t="s">
        <v>25</v>
      </c>
      <c r="H1474" s="5" t="s">
        <v>25</v>
      </c>
      <c r="I1474" s="5" t="s">
        <v>25</v>
      </c>
      <c r="J1474" s="5" t="s">
        <v>25</v>
      </c>
      <c r="K1474" s="7" t="str">
        <f>VLOOKUP(A1474,Sheet2!$A$2:$R$3432,6,0)</f>
        <v>TVS Scooty Streak</v>
      </c>
      <c r="L1474" s="5" t="s">
        <v>25</v>
      </c>
      <c r="M1474" s="7" t="str">
        <f>VLOOKUP(A1474,Sheet2!$A$2:$R$3432,5,0)</f>
        <v>MH16AL8336</v>
      </c>
      <c r="N1474" s="5" t="s">
        <v>25</v>
      </c>
      <c r="O1474" s="5" t="s">
        <v>25</v>
      </c>
      <c r="P1474" s="6" t="s">
        <v>25</v>
      </c>
      <c r="Q1474" s="5" t="s">
        <v>25</v>
      </c>
      <c r="R1474" s="5" t="s">
        <v>25</v>
      </c>
      <c r="S1474" s="7" t="str">
        <f>VLOOKUP(A1474,Sheet2!$A$2:$R$3432,18,0)</f>
        <v/>
      </c>
      <c r="T1474" s="7" t="str">
        <f>VLOOKUP(A1474,Sheet2!$A$2:$R$3432,17,0)</f>
        <v/>
      </c>
    </row>
    <row r="1475" ht="15.75" customHeight="1">
      <c r="A1475" s="3" t="s">
        <v>1498</v>
      </c>
      <c r="B1475" s="4" t="str">
        <f>VLOOKUP(A1475,Sheet2!$A$2:$R$3432,2,0)</f>
        <v>2025-02-10 19:00:43</v>
      </c>
      <c r="C1475" s="5" t="s">
        <v>25</v>
      </c>
      <c r="D1475" s="6" t="s">
        <v>25</v>
      </c>
      <c r="E1475" s="7">
        <f>VLOOKUP(A1475,Sheet2!$A$2:$R$3432,4,0)</f>
        <v>7219101025</v>
      </c>
      <c r="F1475" s="7" t="str">
        <f>VLOOKUP(A1475,Sheet2!$A$2:$R$3432,3,0)</f>
        <v>SANDIP</v>
      </c>
      <c r="G1475" s="5" t="s">
        <v>25</v>
      </c>
      <c r="H1475" s="5" t="s">
        <v>25</v>
      </c>
      <c r="I1475" s="5" t="s">
        <v>25</v>
      </c>
      <c r="J1475" s="5" t="s">
        <v>25</v>
      </c>
      <c r="K1475" s="7" t="str">
        <f>VLOOKUP(A1475,Sheet2!$A$2:$R$3432,6,0)</f>
        <v>Honda Activa 5G</v>
      </c>
      <c r="L1475" s="5" t="s">
        <v>25</v>
      </c>
      <c r="M1475" s="7" t="str">
        <f>VLOOKUP(A1475,Sheet2!$A$2:$R$3432,5,0)</f>
        <v>MH14HJ2221</v>
      </c>
      <c r="N1475" s="5" t="s">
        <v>25</v>
      </c>
      <c r="O1475" s="5" t="s">
        <v>25</v>
      </c>
      <c r="P1475" s="6" t="s">
        <v>25</v>
      </c>
      <c r="Q1475" s="5" t="s">
        <v>25</v>
      </c>
      <c r="R1475" s="5" t="s">
        <v>25</v>
      </c>
      <c r="S1475" s="5" t="str">
        <f>VLOOKUP(A1475,Sheet2!$A$2:$R$3432,18,0)</f>
        <v>JF50EU74135</v>
      </c>
      <c r="T1475" s="7" t="str">
        <f>VLOOKUP(A1475,Sheet2!$A$2:$R$3432,17,0)</f>
        <v>ME4JF50AMJU434466</v>
      </c>
    </row>
    <row r="1476" ht="15.75" customHeight="1">
      <c r="A1476" s="3" t="s">
        <v>1499</v>
      </c>
      <c r="B1476" s="4" t="str">
        <f>VLOOKUP(A1476,Sheet2!$A$2:$R$3432,2,0)</f>
        <v>2025-02-10 19:01:02</v>
      </c>
      <c r="C1476" s="5" t="s">
        <v>25</v>
      </c>
      <c r="D1476" s="6" t="s">
        <v>25</v>
      </c>
      <c r="E1476" s="7">
        <f>VLOOKUP(A1476,Sheet2!$A$2:$R$3432,4,0)</f>
        <v>8087321560</v>
      </c>
      <c r="F1476" s="7" t="str">
        <f>VLOOKUP(A1476,Sheet2!$A$2:$R$3432,3,0)</f>
        <v>ABHISHEK </v>
      </c>
      <c r="G1476" s="5" t="s">
        <v>25</v>
      </c>
      <c r="H1476" s="5" t="s">
        <v>25</v>
      </c>
      <c r="I1476" s="5" t="s">
        <v>25</v>
      </c>
      <c r="J1476" s="5" t="s">
        <v>25</v>
      </c>
      <c r="K1476" s="7" t="str">
        <f>VLOOKUP(A1476,Sheet2!$A$2:$R$3432,6,0)</f>
        <v>Honda Shine CB</v>
      </c>
      <c r="L1476" s="5" t="s">
        <v>25</v>
      </c>
      <c r="M1476" s="7" t="str">
        <f>VLOOKUP(A1476,Sheet2!$A$2:$R$3432,5,0)</f>
        <v>MH16BD0175</v>
      </c>
      <c r="N1476" s="5" t="s">
        <v>25</v>
      </c>
      <c r="O1476" s="5" t="s">
        <v>25</v>
      </c>
      <c r="P1476" s="6" t="s">
        <v>25</v>
      </c>
      <c r="Q1476" s="5" t="s">
        <v>25</v>
      </c>
      <c r="R1476" s="5" t="s">
        <v>25</v>
      </c>
      <c r="S1476" s="7" t="str">
        <f>VLOOKUP(A1476,Sheet2!$A$2:$R$3432,18,0)</f>
        <v/>
      </c>
      <c r="T1476" s="7" t="str">
        <f>VLOOKUP(A1476,Sheet2!$A$2:$R$3432,17,0)</f>
        <v/>
      </c>
    </row>
    <row r="1477" ht="15.75" customHeight="1">
      <c r="A1477" s="3" t="s">
        <v>1500</v>
      </c>
      <c r="B1477" s="4" t="str">
        <f>VLOOKUP(A1477,Sheet2!$A$2:$R$3432,2,0)</f>
        <v>2025-02-10 18:59:53</v>
      </c>
      <c r="C1477" s="5" t="s">
        <v>25</v>
      </c>
      <c r="D1477" s="6" t="s">
        <v>25</v>
      </c>
      <c r="E1477" s="7">
        <f>VLOOKUP(A1477,Sheet2!$A$2:$R$3432,4,0)</f>
        <v>7039035250</v>
      </c>
      <c r="F1477" s="7" t="str">
        <f>VLOOKUP(A1477,Sheet2!$A$2:$R$3432,3,0)</f>
        <v>Pradeep </v>
      </c>
      <c r="G1477" s="5" t="s">
        <v>25</v>
      </c>
      <c r="H1477" s="5" t="s">
        <v>25</v>
      </c>
      <c r="I1477" s="5" t="s">
        <v>25</v>
      </c>
      <c r="J1477" s="5" t="s">
        <v>25</v>
      </c>
      <c r="K1477" s="7" t="str">
        <f>VLOOKUP(A1477,Sheet2!$A$2:$R$3432,6,0)</f>
        <v>Honda Activa 3G</v>
      </c>
      <c r="L1477" s="5" t="s">
        <v>25</v>
      </c>
      <c r="M1477" s="7" t="str">
        <f>VLOOKUP(A1477,Sheet2!$A$2:$R$3432,5,0)</f>
        <v>MH48AR3598</v>
      </c>
      <c r="N1477" s="5" t="s">
        <v>25</v>
      </c>
      <c r="O1477" s="5" t="s">
        <v>25</v>
      </c>
      <c r="P1477" s="6" t="s">
        <v>25</v>
      </c>
      <c r="Q1477" s="5" t="s">
        <v>25</v>
      </c>
      <c r="R1477" s="5" t="s">
        <v>25</v>
      </c>
      <c r="S1477" s="5" t="str">
        <f>VLOOKUP(A1477,Sheet2!$A$2:$R$3432,18,0)</f>
        <v>JF50603239861</v>
      </c>
      <c r="T1477" s="7" t="str">
        <f>VLOOKUP(A1477,Sheet2!$A$2:$R$3432,17,0)</f>
        <v>ME4JF505GGU240017</v>
      </c>
    </row>
    <row r="1478" ht="15.75" customHeight="1">
      <c r="A1478" s="3" t="s">
        <v>1501</v>
      </c>
      <c r="B1478" s="4" t="str">
        <f>VLOOKUP(A1478,Sheet2!$A$2:$R$3432,2,0)</f>
        <v>2025-02-10 19:35:36</v>
      </c>
      <c r="C1478" s="5" t="s">
        <v>25</v>
      </c>
      <c r="D1478" s="6" t="s">
        <v>25</v>
      </c>
      <c r="E1478" s="7">
        <f>VLOOKUP(A1478,Sheet2!$A$2:$R$3432,4,0)</f>
        <v>7838851007</v>
      </c>
      <c r="F1478" s="7" t="str">
        <f>VLOOKUP(A1478,Sheet2!$A$2:$R$3432,3,0)</f>
        <v>VIPUL SINGH</v>
      </c>
      <c r="G1478" s="5" t="s">
        <v>25</v>
      </c>
      <c r="H1478" s="5" t="s">
        <v>25</v>
      </c>
      <c r="I1478" s="5" t="s">
        <v>25</v>
      </c>
      <c r="J1478" s="5" t="s">
        <v>25</v>
      </c>
      <c r="K1478" s="7" t="str">
        <f>VLOOKUP(A1478,Sheet2!$A$2:$R$3432,6,0)</f>
        <v>Bajaj Pulsar 200 NS</v>
      </c>
      <c r="L1478" s="5" t="s">
        <v>25</v>
      </c>
      <c r="M1478" s="7" t="str">
        <f>VLOOKUP(A1478,Sheet2!$A$2:$R$3432,5,0)</f>
        <v>MH12QN1354</v>
      </c>
      <c r="N1478" s="5" t="s">
        <v>25</v>
      </c>
      <c r="O1478" s="5" t="s">
        <v>25</v>
      </c>
      <c r="P1478" s="6" t="s">
        <v>25</v>
      </c>
      <c r="Q1478" s="5" t="s">
        <v>25</v>
      </c>
      <c r="R1478" s="5" t="s">
        <v>25</v>
      </c>
      <c r="S1478" s="5" t="str">
        <f>VLOOKUP(A1478,Sheet2!$A$2:$R$3432,18,0)</f>
        <v>JLYCJB3580</v>
      </c>
      <c r="T1478" s="7" t="str">
        <f>VLOOKUP(A1478,Sheet2!$A$2:$R$3432,17,0)</f>
        <v>MD2A36FY7JCB38143</v>
      </c>
    </row>
    <row r="1479" ht="15.75" customHeight="1">
      <c r="A1479" s="3" t="s">
        <v>1502</v>
      </c>
      <c r="B1479" s="4" t="str">
        <f>VLOOKUP(A1479,Sheet2!$A$2:$R$3432,2,0)</f>
        <v>2025-02-10 19:36:14</v>
      </c>
      <c r="C1479" s="5" t="s">
        <v>25</v>
      </c>
      <c r="D1479" s="6" t="s">
        <v>25</v>
      </c>
      <c r="E1479" s="7">
        <f>VLOOKUP(A1479,Sheet2!$A$2:$R$3432,4,0)</f>
        <v>9881889367</v>
      </c>
      <c r="F1479" s="7" t="str">
        <f>VLOOKUP(A1479,Sheet2!$A$2:$R$3432,3,0)</f>
        <v>Radhika Patil</v>
      </c>
      <c r="G1479" s="5" t="s">
        <v>25</v>
      </c>
      <c r="H1479" s="5" t="s">
        <v>25</v>
      </c>
      <c r="I1479" s="5" t="s">
        <v>25</v>
      </c>
      <c r="J1479" s="5" t="s">
        <v>25</v>
      </c>
      <c r="K1479" s="7" t="str">
        <f>VLOOKUP(A1479,Sheet2!$A$2:$R$3432,6,0)</f>
        <v>Honda Activa 125</v>
      </c>
      <c r="L1479" s="5" t="s">
        <v>25</v>
      </c>
      <c r="M1479" s="7" t="str">
        <f>VLOOKUP(A1479,Sheet2!$A$2:$R$3432,5,0)</f>
        <v>MH12SS8869</v>
      </c>
      <c r="N1479" s="5" t="s">
        <v>25</v>
      </c>
      <c r="O1479" s="5" t="s">
        <v>25</v>
      </c>
      <c r="P1479" s="6" t="s">
        <v>25</v>
      </c>
      <c r="Q1479" s="5" t="s">
        <v>25</v>
      </c>
      <c r="R1479" s="5" t="s">
        <v>25</v>
      </c>
      <c r="S1479" s="5" t="str">
        <f>VLOOKUP(A1479,Sheet2!$A$2:$R$3432,18,0)</f>
        <v>JF49ED4021028</v>
      </c>
      <c r="T1479" s="7" t="str">
        <f>VLOOKUP(A1479,Sheet2!$A$2:$R$3432,17,0)</f>
        <v>ME4JF40MGLDO12891</v>
      </c>
    </row>
    <row r="1480" ht="15.75" customHeight="1">
      <c r="A1480" s="3" t="s">
        <v>1503</v>
      </c>
      <c r="B1480" s="4" t="str">
        <f>VLOOKUP(A1480,Sheet2!$A$2:$R$3432,2,0)</f>
        <v>2025-02-10 19:38:31</v>
      </c>
      <c r="C1480" s="5" t="s">
        <v>25</v>
      </c>
      <c r="D1480" s="6" t="s">
        <v>25</v>
      </c>
      <c r="E1480" s="7">
        <f>VLOOKUP(A1480,Sheet2!$A$2:$R$3432,4,0)</f>
        <v>9960657236</v>
      </c>
      <c r="F1480" s="7" t="str">
        <f>VLOOKUP(A1480,Sheet2!$A$2:$R$3432,3,0)</f>
        <v>SUKHPREET</v>
      </c>
      <c r="G1480" s="5" t="s">
        <v>25</v>
      </c>
      <c r="H1480" s="5" t="s">
        <v>25</v>
      </c>
      <c r="I1480" s="5" t="s">
        <v>25</v>
      </c>
      <c r="J1480" s="5" t="s">
        <v>25</v>
      </c>
      <c r="K1480" s="7" t="str">
        <f>VLOOKUP(A1480,Sheet2!$A$2:$R$3432,6,0)</f>
        <v>Yamaha FZ 25</v>
      </c>
      <c r="L1480" s="5" t="s">
        <v>25</v>
      </c>
      <c r="M1480" s="7" t="str">
        <f>VLOOKUP(A1480,Sheet2!$A$2:$R$3432,5,0)</f>
        <v>MH12PR2948</v>
      </c>
      <c r="N1480" s="5" t="s">
        <v>25</v>
      </c>
      <c r="O1480" s="5" t="s">
        <v>25</v>
      </c>
      <c r="P1480" s="6" t="s">
        <v>25</v>
      </c>
      <c r="Q1480" s="5" t="s">
        <v>25</v>
      </c>
      <c r="R1480" s="5" t="s">
        <v>25</v>
      </c>
      <c r="S1480" s="5" t="str">
        <f>VLOOKUP(A1480,Sheet2!$A$2:$R$3432,18,0)</f>
        <v>G3H7E0017818</v>
      </c>
      <c r="T1480" s="7" t="str">
        <f>VLOOKUP(A1480,Sheet2!$A$2:$R$3432,17,0)</f>
        <v>ME1RG4215H0017939</v>
      </c>
    </row>
    <row r="1481" ht="15.75" customHeight="1">
      <c r="A1481" s="3" t="s">
        <v>1504</v>
      </c>
      <c r="B1481" s="4" t="str">
        <f>VLOOKUP(A1481,Sheet2!$A$2:$R$3432,2,0)</f>
        <v>2025-02-10 19:56:50</v>
      </c>
      <c r="C1481" s="5" t="s">
        <v>25</v>
      </c>
      <c r="D1481" s="6" t="s">
        <v>25</v>
      </c>
      <c r="E1481" s="7">
        <f>VLOOKUP(A1481,Sheet2!$A$2:$R$3432,4,0)</f>
        <v>9653346275</v>
      </c>
      <c r="F1481" s="7" t="str">
        <f>VLOOKUP(A1481,Sheet2!$A$2:$R$3432,3,0)</f>
        <v>RANJEET DHUMAL</v>
      </c>
      <c r="G1481" s="5" t="s">
        <v>25</v>
      </c>
      <c r="H1481" s="5" t="s">
        <v>25</v>
      </c>
      <c r="I1481" s="5" t="s">
        <v>25</v>
      </c>
      <c r="J1481" s="5" t="s">
        <v>25</v>
      </c>
      <c r="K1481" s="7" t="str">
        <f>VLOOKUP(A1481,Sheet2!$A$2:$R$3432,6,0)</f>
        <v>Hero CBZ Extreme</v>
      </c>
      <c r="L1481" s="5" t="s">
        <v>25</v>
      </c>
      <c r="M1481" s="7" t="str">
        <f>VLOOKUP(A1481,Sheet2!$A$2:$R$3432,5,0)</f>
        <v>MH09BS4887</v>
      </c>
      <c r="N1481" s="5" t="s">
        <v>25</v>
      </c>
      <c r="O1481" s="5" t="s">
        <v>25</v>
      </c>
      <c r="P1481" s="6" t="s">
        <v>25</v>
      </c>
      <c r="Q1481" s="5" t="s">
        <v>25</v>
      </c>
      <c r="R1481" s="5" t="s">
        <v>25</v>
      </c>
      <c r="S1481" s="5" t="str">
        <f>VLOOKUP(A1481,Sheet2!$A$2:$R$3432,18,0)</f>
        <v>KC12EBAGG13128</v>
      </c>
      <c r="T1481" s="7" t="str">
        <f>VLOOKUP(A1481,Sheet2!$A$2:$R$3432,17,0)</f>
        <v>MBLK13RCSGG13998</v>
      </c>
    </row>
    <row r="1482" ht="15.75" customHeight="1">
      <c r="A1482" s="3" t="s">
        <v>1505</v>
      </c>
      <c r="B1482" s="4" t="str">
        <f>VLOOKUP(A1482,Sheet2!$A$2:$R$3432,2,0)</f>
        <v>2025-02-10 19:57:12</v>
      </c>
      <c r="C1482" s="5" t="s">
        <v>25</v>
      </c>
      <c r="D1482" s="6" t="s">
        <v>25</v>
      </c>
      <c r="E1482" s="7">
        <f>VLOOKUP(A1482,Sheet2!$A$2:$R$3432,4,0)</f>
        <v>8308547775</v>
      </c>
      <c r="F1482" s="7" t="str">
        <f>VLOOKUP(A1482,Sheet2!$A$2:$R$3432,3,0)</f>
        <v>Anil Nanaware</v>
      </c>
      <c r="G1482" s="5" t="s">
        <v>25</v>
      </c>
      <c r="H1482" s="5" t="s">
        <v>25</v>
      </c>
      <c r="I1482" s="5" t="s">
        <v>25</v>
      </c>
      <c r="J1482" s="5" t="s">
        <v>25</v>
      </c>
      <c r="K1482" s="7" t="str">
        <f>VLOOKUP(A1482,Sheet2!$A$2:$R$3432,6,0)</f>
        <v>Honda Shine </v>
      </c>
      <c r="L1482" s="5" t="s">
        <v>25</v>
      </c>
      <c r="M1482" s="7" t="str">
        <f>VLOOKUP(A1482,Sheet2!$A$2:$R$3432,5,0)</f>
        <v>MH12SN7370</v>
      </c>
      <c r="N1482" s="5" t="s">
        <v>25</v>
      </c>
      <c r="O1482" s="5" t="s">
        <v>25</v>
      </c>
      <c r="P1482" s="6" t="s">
        <v>25</v>
      </c>
      <c r="Q1482" s="5" t="s">
        <v>25</v>
      </c>
      <c r="R1482" s="5" t="s">
        <v>25</v>
      </c>
      <c r="S1482" s="7" t="str">
        <f>VLOOKUP(A1482,Sheet2!$A$2:$R$3432,18,0)</f>
        <v/>
      </c>
      <c r="T1482" s="7" t="str">
        <f>VLOOKUP(A1482,Sheet2!$A$2:$R$3432,17,0)</f>
        <v/>
      </c>
    </row>
    <row r="1483" ht="15.75" customHeight="1">
      <c r="A1483" s="3" t="s">
        <v>1506</v>
      </c>
      <c r="B1483" s="4" t="str">
        <f>VLOOKUP(A1483,Sheet2!$A$2:$R$3432,2,0)</f>
        <v>2025-06-15 12:36:40</v>
      </c>
      <c r="C1483" s="5" t="s">
        <v>25</v>
      </c>
      <c r="D1483" s="6" t="s">
        <v>25</v>
      </c>
      <c r="E1483" s="7">
        <f>VLOOKUP(A1483,Sheet2!$A$2:$R$3432,4,0)</f>
        <v>9423213076</v>
      </c>
      <c r="F1483" s="7" t="str">
        <f>VLOOKUP(A1483,Sheet2!$A$2:$R$3432,3,0)</f>
        <v>Dhawal</v>
      </c>
      <c r="G1483" s="5" t="s">
        <v>25</v>
      </c>
      <c r="H1483" s="5" t="s">
        <v>25</v>
      </c>
      <c r="I1483" s="5" t="s">
        <v>25</v>
      </c>
      <c r="J1483" s="5" t="s">
        <v>25</v>
      </c>
      <c r="K1483" s="7" t="str">
        <f>VLOOKUP(A1483,Sheet2!$A$2:$R$3432,6,0)</f>
        <v>Yamaha SZ </v>
      </c>
      <c r="L1483" s="5" t="s">
        <v>25</v>
      </c>
      <c r="M1483" s="7" t="str">
        <f>VLOOKUP(A1483,Sheet2!$A$2:$R$3432,5,0)</f>
        <v>MH12GQ8004</v>
      </c>
      <c r="N1483" s="5" t="s">
        <v>25</v>
      </c>
      <c r="O1483" s="5" t="s">
        <v>25</v>
      </c>
      <c r="P1483" s="6" t="s">
        <v>25</v>
      </c>
      <c r="Q1483" s="5" t="s">
        <v>25</v>
      </c>
      <c r="R1483" s="5" t="s">
        <v>25</v>
      </c>
      <c r="S1483" s="7" t="str">
        <f>VLOOKUP(A1483,Sheet2!$A$2:$R$3432,18,0)</f>
        <v/>
      </c>
      <c r="T1483" s="7" t="str">
        <f>VLOOKUP(A1483,Sheet2!$A$2:$R$3432,17,0)</f>
        <v/>
      </c>
    </row>
    <row r="1484" ht="15.75" customHeight="1">
      <c r="A1484" s="3" t="s">
        <v>1507</v>
      </c>
      <c r="B1484" s="4" t="str">
        <f>VLOOKUP(A1484,Sheet2!$A$2:$R$3432,2,0)</f>
        <v>2025-06-15 12:37:36</v>
      </c>
      <c r="C1484" s="5" t="s">
        <v>25</v>
      </c>
      <c r="D1484" s="6" t="s">
        <v>25</v>
      </c>
      <c r="E1484" s="7">
        <f>VLOOKUP(A1484,Sheet2!$A$2:$R$3432,4,0)</f>
        <v>9767937467</v>
      </c>
      <c r="F1484" s="7" t="str">
        <f>VLOOKUP(A1484,Sheet2!$A$2:$R$3432,3,0)</f>
        <v>Mayur Bobde</v>
      </c>
      <c r="G1484" s="5" t="s">
        <v>25</v>
      </c>
      <c r="H1484" s="5" t="s">
        <v>25</v>
      </c>
      <c r="I1484" s="5" t="s">
        <v>25</v>
      </c>
      <c r="J1484" s="5" t="s">
        <v>25</v>
      </c>
      <c r="K1484" s="7" t="str">
        <f>VLOOKUP(A1484,Sheet2!$A$2:$R$3432,6,0)</f>
        <v>Yamaha FZ V3</v>
      </c>
      <c r="L1484" s="5" t="s">
        <v>25</v>
      </c>
      <c r="M1484" s="7" t="str">
        <f>VLOOKUP(A1484,Sheet2!$A$2:$R$3432,5,0)</f>
        <v>MH22AS3054</v>
      </c>
      <c r="N1484" s="5" t="s">
        <v>25</v>
      </c>
      <c r="O1484" s="5" t="s">
        <v>25</v>
      </c>
      <c r="P1484" s="6" t="s">
        <v>25</v>
      </c>
      <c r="Q1484" s="5" t="s">
        <v>25</v>
      </c>
      <c r="R1484" s="5" t="s">
        <v>25</v>
      </c>
      <c r="S1484" s="5" t="str">
        <f>VLOOKUP(A1484,Sheet2!$A$2:$R$3432,18,0)</f>
        <v>G3J3E0435236</v>
      </c>
      <c r="T1484" s="7" t="str">
        <f>VLOOKUP(A1484,Sheet2!$A$2:$R$3432,17,0)</f>
        <v/>
      </c>
    </row>
    <row r="1485" ht="15.75" customHeight="1">
      <c r="A1485" s="3" t="s">
        <v>1508</v>
      </c>
      <c r="B1485" s="4" t="str">
        <f>VLOOKUP(A1485,Sheet2!$A$2:$R$3432,2,0)</f>
        <v>2025-06-15 12:39:35</v>
      </c>
      <c r="C1485" s="5" t="s">
        <v>25</v>
      </c>
      <c r="D1485" s="6" t="s">
        <v>25</v>
      </c>
      <c r="E1485" s="7">
        <f>VLOOKUP(A1485,Sheet2!$A$2:$R$3432,4,0)</f>
        <v>8888426814</v>
      </c>
      <c r="F1485" s="7" t="str">
        <f>VLOOKUP(A1485,Sheet2!$A$2:$R$3432,3,0)</f>
        <v>YOGESH</v>
      </c>
      <c r="G1485" s="5" t="s">
        <v>25</v>
      </c>
      <c r="H1485" s="5" t="s">
        <v>25</v>
      </c>
      <c r="I1485" s="5" t="s">
        <v>25</v>
      </c>
      <c r="J1485" s="5" t="s">
        <v>25</v>
      </c>
      <c r="K1485" s="7" t="str">
        <f>VLOOKUP(A1485,Sheet2!$A$2:$R$3432,6,0)</f>
        <v>Honda Unicorn 150</v>
      </c>
      <c r="L1485" s="5" t="s">
        <v>25</v>
      </c>
      <c r="M1485" s="7" t="str">
        <f>VLOOKUP(A1485,Sheet2!$A$2:$R$3432,5,0)</f>
        <v>MH12DH1522</v>
      </c>
      <c r="N1485" s="5" t="s">
        <v>25</v>
      </c>
      <c r="O1485" s="5" t="s">
        <v>25</v>
      </c>
      <c r="P1485" s="6" t="s">
        <v>25</v>
      </c>
      <c r="Q1485" s="5" t="s">
        <v>25</v>
      </c>
      <c r="R1485" s="5" t="s">
        <v>25</v>
      </c>
      <c r="S1485" s="7" t="str">
        <f>VLOOKUP(A1485,Sheet2!$A$2:$R$3432,18,0)</f>
        <v/>
      </c>
      <c r="T1485" s="7" t="str">
        <f>VLOOKUP(A1485,Sheet2!$A$2:$R$3432,17,0)</f>
        <v/>
      </c>
    </row>
    <row r="1486" ht="15.75" customHeight="1">
      <c r="A1486" s="3" t="s">
        <v>1509</v>
      </c>
      <c r="B1486" s="4" t="str">
        <f>VLOOKUP(A1486,Sheet2!$A$2:$R$3432,2,0)</f>
        <v>2025-06-15 12:41:53</v>
      </c>
      <c r="C1486" s="5" t="s">
        <v>25</v>
      </c>
      <c r="D1486" s="6" t="s">
        <v>25</v>
      </c>
      <c r="E1486" s="7">
        <f>VLOOKUP(A1486,Sheet2!$A$2:$R$3432,4,0)</f>
        <v>9763971166</v>
      </c>
      <c r="F1486" s="7" t="str">
        <f>VLOOKUP(A1486,Sheet2!$A$2:$R$3432,3,0)</f>
        <v>SHANKAR RATHOD</v>
      </c>
      <c r="G1486" s="5" t="s">
        <v>25</v>
      </c>
      <c r="H1486" s="5" t="s">
        <v>25</v>
      </c>
      <c r="I1486" s="5" t="s">
        <v>25</v>
      </c>
      <c r="J1486" s="5" t="s">
        <v>25</v>
      </c>
      <c r="K1486" s="7" t="str">
        <f>VLOOKUP(A1486,Sheet2!$A$2:$R$3432,6,0)</f>
        <v>Honda Activa 3G</v>
      </c>
      <c r="L1486" s="5" t="s">
        <v>25</v>
      </c>
      <c r="M1486" s="7" t="str">
        <f>VLOOKUP(A1486,Sheet2!$A$2:$R$3432,5,0)</f>
        <v>MH14FJ7588</v>
      </c>
      <c r="N1486" s="5" t="s">
        <v>25</v>
      </c>
      <c r="O1486" s="5" t="s">
        <v>25</v>
      </c>
      <c r="P1486" s="6" t="s">
        <v>25</v>
      </c>
      <c r="Q1486" s="5" t="s">
        <v>25</v>
      </c>
      <c r="R1486" s="5" t="s">
        <v>25</v>
      </c>
      <c r="S1486" s="5" t="str">
        <f>VLOOKUP(A1486,Sheet2!$A$2:$R$3432,18,0)</f>
        <v>JF50ET092048</v>
      </c>
      <c r="T1486" s="7" t="str">
        <f>VLOOKUP(A1486,Sheet2!$A$2:$R$3432,17,0)</f>
        <v>ME4JF506AGT0991809</v>
      </c>
    </row>
    <row r="1487" ht="15.75" customHeight="1">
      <c r="A1487" s="3" t="s">
        <v>1510</v>
      </c>
      <c r="B1487" s="4" t="str">
        <f>VLOOKUP(A1487,Sheet2!$A$2:$R$3432,2,0)</f>
        <v>2025-06-15 12:42:28</v>
      </c>
      <c r="C1487" s="5" t="s">
        <v>25</v>
      </c>
      <c r="D1487" s="6" t="s">
        <v>25</v>
      </c>
      <c r="E1487" s="7">
        <f>VLOOKUP(A1487,Sheet2!$A$2:$R$3432,4,0)</f>
        <v>8308760085</v>
      </c>
      <c r="F1487" s="7" t="str">
        <f>VLOOKUP(A1487,Sheet2!$A$2:$R$3432,3,0)</f>
        <v>Tejas </v>
      </c>
      <c r="G1487" s="5" t="s">
        <v>25</v>
      </c>
      <c r="H1487" s="5" t="s">
        <v>25</v>
      </c>
      <c r="I1487" s="5" t="s">
        <v>25</v>
      </c>
      <c r="J1487" s="5" t="s">
        <v>25</v>
      </c>
      <c r="K1487" s="7" t="str">
        <f>VLOOKUP(A1487,Sheet2!$A$2:$R$3432,6,0)</f>
        <v>Honda Activa 6G</v>
      </c>
      <c r="L1487" s="5" t="s">
        <v>25</v>
      </c>
      <c r="M1487" s="7" t="str">
        <f>VLOOKUP(A1487,Sheet2!$A$2:$R$3432,5,0)</f>
        <v>MH09FW6516</v>
      </c>
      <c r="N1487" s="5" t="s">
        <v>25</v>
      </c>
      <c r="O1487" s="5" t="s">
        <v>25</v>
      </c>
      <c r="P1487" s="6" t="s">
        <v>25</v>
      </c>
      <c r="Q1487" s="5" t="s">
        <v>25</v>
      </c>
      <c r="R1487" s="5" t="s">
        <v>25</v>
      </c>
      <c r="S1487" s="7" t="str">
        <f>VLOOKUP(A1487,Sheet2!$A$2:$R$3432,18,0)</f>
        <v/>
      </c>
      <c r="T1487" s="7" t="str">
        <f>VLOOKUP(A1487,Sheet2!$A$2:$R$3432,17,0)</f>
        <v/>
      </c>
    </row>
    <row r="1488" ht="15.75" customHeight="1">
      <c r="A1488" s="3" t="s">
        <v>1511</v>
      </c>
      <c r="B1488" s="4" t="str">
        <f>VLOOKUP(A1488,Sheet2!$A$2:$R$3432,2,0)</f>
        <v>2025-06-15 12:42:50</v>
      </c>
      <c r="C1488" s="5" t="s">
        <v>25</v>
      </c>
      <c r="D1488" s="6" t="s">
        <v>25</v>
      </c>
      <c r="E1488" s="7">
        <f>VLOOKUP(A1488,Sheet2!$A$2:$R$3432,4,0)</f>
        <v>7719043581</v>
      </c>
      <c r="F1488" s="7" t="str">
        <f>VLOOKUP(A1488,Sheet2!$A$2:$R$3432,3,0)</f>
        <v>Gaurang</v>
      </c>
      <c r="G1488" s="5" t="s">
        <v>25</v>
      </c>
      <c r="H1488" s="5" t="s">
        <v>25</v>
      </c>
      <c r="I1488" s="5" t="s">
        <v>25</v>
      </c>
      <c r="J1488" s="5" t="s">
        <v>25</v>
      </c>
      <c r="K1488" s="7" t="str">
        <f>VLOOKUP(A1488,Sheet2!$A$2:$R$3432,6,0)</f>
        <v>TVS Jupiter 125</v>
      </c>
      <c r="L1488" s="5" t="s">
        <v>25</v>
      </c>
      <c r="M1488" s="7" t="str">
        <f>VLOOKUP(A1488,Sheet2!$A$2:$R$3432,5,0)</f>
        <v>MH14LF9585</v>
      </c>
      <c r="N1488" s="5" t="s">
        <v>25</v>
      </c>
      <c r="O1488" s="5" t="s">
        <v>25</v>
      </c>
      <c r="P1488" s="6" t="s">
        <v>25</v>
      </c>
      <c r="Q1488" s="5" t="s">
        <v>25</v>
      </c>
      <c r="R1488" s="5" t="s">
        <v>25</v>
      </c>
      <c r="S1488" s="7" t="str">
        <f>VLOOKUP(A1488,Sheet2!$A$2:$R$3432,18,0)</f>
        <v/>
      </c>
      <c r="T1488" s="7" t="str">
        <f>VLOOKUP(A1488,Sheet2!$A$2:$R$3432,17,0)</f>
        <v/>
      </c>
    </row>
    <row r="1489" ht="15.75" customHeight="1">
      <c r="A1489" s="3" t="s">
        <v>1512</v>
      </c>
      <c r="B1489" s="4" t="str">
        <f>VLOOKUP(A1489,Sheet2!$A$2:$R$3432,2,0)</f>
        <v>2025-06-15 12:44:46</v>
      </c>
      <c r="C1489" s="5" t="s">
        <v>25</v>
      </c>
      <c r="D1489" s="6" t="s">
        <v>25</v>
      </c>
      <c r="E1489" s="7">
        <f>VLOOKUP(A1489,Sheet2!$A$2:$R$3432,4,0)</f>
        <v>9913583322</v>
      </c>
      <c r="F1489" s="7" t="str">
        <f>VLOOKUP(A1489,Sheet2!$A$2:$R$3432,3,0)</f>
        <v>Sumish</v>
      </c>
      <c r="G1489" s="5" t="s">
        <v>25</v>
      </c>
      <c r="H1489" s="5" t="s">
        <v>25</v>
      </c>
      <c r="I1489" s="5" t="s">
        <v>25</v>
      </c>
      <c r="J1489" s="5" t="s">
        <v>25</v>
      </c>
      <c r="K1489" s="7" t="str">
        <f>VLOOKUP(A1489,Sheet2!$A$2:$R$3432,6,0)</f>
        <v>TVS Ntorq 125</v>
      </c>
      <c r="L1489" s="5" t="s">
        <v>25</v>
      </c>
      <c r="M1489" s="7" t="str">
        <f>VLOOKUP(A1489,Sheet2!$A$2:$R$3432,5,0)</f>
        <v>MH12TE9261</v>
      </c>
      <c r="N1489" s="5" t="s">
        <v>25</v>
      </c>
      <c r="O1489" s="5" t="s">
        <v>25</v>
      </c>
      <c r="P1489" s="6" t="s">
        <v>25</v>
      </c>
      <c r="Q1489" s="5" t="s">
        <v>25</v>
      </c>
      <c r="R1489" s="5" t="s">
        <v>25</v>
      </c>
      <c r="S1489" s="7" t="str">
        <f>VLOOKUP(A1489,Sheet2!$A$2:$R$3432,18,0)</f>
        <v/>
      </c>
      <c r="T1489" s="7" t="str">
        <f>VLOOKUP(A1489,Sheet2!$A$2:$R$3432,17,0)</f>
        <v/>
      </c>
    </row>
    <row r="1490" ht="15.75" customHeight="1">
      <c r="A1490" s="3" t="s">
        <v>1513</v>
      </c>
      <c r="B1490" s="4" t="str">
        <f>VLOOKUP(A1490,Sheet2!$A$2:$R$3432,2,0)</f>
        <v>2025-06-15 12:43:51</v>
      </c>
      <c r="C1490" s="5" t="s">
        <v>25</v>
      </c>
      <c r="D1490" s="6" t="s">
        <v>25</v>
      </c>
      <c r="E1490" s="7">
        <f>VLOOKUP(A1490,Sheet2!$A$2:$R$3432,4,0)</f>
        <v>9823223921</v>
      </c>
      <c r="F1490" s="7" t="str">
        <f>VLOOKUP(A1490,Sheet2!$A$2:$R$3432,3,0)</f>
        <v>Saraf</v>
      </c>
      <c r="G1490" s="5" t="s">
        <v>25</v>
      </c>
      <c r="H1490" s="5" t="s">
        <v>25</v>
      </c>
      <c r="I1490" s="5" t="s">
        <v>25</v>
      </c>
      <c r="J1490" s="5" t="s">
        <v>25</v>
      </c>
      <c r="K1490" s="7" t="str">
        <f>VLOOKUP(A1490,Sheet2!$A$2:$R$3432,6,0)</f>
        <v>Honda Dio </v>
      </c>
      <c r="L1490" s="5" t="s">
        <v>25</v>
      </c>
      <c r="M1490" s="7" t="str">
        <f>VLOOKUP(A1490,Sheet2!$A$2:$R$3432,5,0)</f>
        <v>MH12GC5489</v>
      </c>
      <c r="N1490" s="5" t="s">
        <v>25</v>
      </c>
      <c r="O1490" s="5" t="s">
        <v>25</v>
      </c>
      <c r="P1490" s="6" t="s">
        <v>25</v>
      </c>
      <c r="Q1490" s="5" t="s">
        <v>25</v>
      </c>
      <c r="R1490" s="5" t="s">
        <v>25</v>
      </c>
      <c r="S1490" s="5" t="str">
        <f>VLOOKUP(A1490,Sheet2!$A$2:$R$3432,18,0)</f>
        <v>JF11E4032875</v>
      </c>
      <c r="T1490" s="7" t="str">
        <f>VLOOKUP(A1490,Sheet2!$A$2:$R$3432,17,0)</f>
        <v>ME4JF118EA8032794</v>
      </c>
    </row>
    <row r="1491" ht="15.75" customHeight="1">
      <c r="A1491" s="3" t="s">
        <v>1514</v>
      </c>
      <c r="B1491" s="4" t="str">
        <f>VLOOKUP(A1491,Sheet2!$A$2:$R$3432,2,0)</f>
        <v>2025-06-15 12:46:23</v>
      </c>
      <c r="C1491" s="5" t="s">
        <v>25</v>
      </c>
      <c r="D1491" s="6" t="s">
        <v>25</v>
      </c>
      <c r="E1491" s="7">
        <f>VLOOKUP(A1491,Sheet2!$A$2:$R$3432,4,0)</f>
        <v>8788309058</v>
      </c>
      <c r="F1491" s="7" t="str">
        <f>VLOOKUP(A1491,Sheet2!$A$2:$R$3432,3,0)</f>
        <v>Tushar Jabde</v>
      </c>
      <c r="G1491" s="5" t="s">
        <v>25</v>
      </c>
      <c r="H1491" s="5" t="s">
        <v>25</v>
      </c>
      <c r="I1491" s="5" t="s">
        <v>25</v>
      </c>
      <c r="J1491" s="5" t="s">
        <v>25</v>
      </c>
      <c r="K1491" s="7" t="str">
        <f>VLOOKUP(A1491,Sheet2!$A$2:$R$3432,6,0)</f>
        <v>Honda Activa 5G</v>
      </c>
      <c r="L1491" s="5" t="s">
        <v>25</v>
      </c>
      <c r="M1491" s="7" t="str">
        <f>VLOOKUP(A1491,Sheet2!$A$2:$R$3432,5,0)</f>
        <v>MH13DL9218</v>
      </c>
      <c r="N1491" s="5" t="s">
        <v>25</v>
      </c>
      <c r="O1491" s="5" t="s">
        <v>25</v>
      </c>
      <c r="P1491" s="6" t="s">
        <v>25</v>
      </c>
      <c r="Q1491" s="5" t="s">
        <v>25</v>
      </c>
      <c r="R1491" s="5" t="s">
        <v>25</v>
      </c>
      <c r="S1491" s="5" t="str">
        <f>VLOOKUP(A1491,Sheet2!$A$2:$R$3432,18,0)</f>
        <v>JF50EW0222101</v>
      </c>
      <c r="T1491" s="7" t="str">
        <f>VLOOKUP(A1491,Sheet2!$A$2:$R$3432,17,0)</f>
        <v>ME4JF50AJKWZZ3265</v>
      </c>
    </row>
    <row r="1492" ht="15.75" customHeight="1">
      <c r="A1492" s="3" t="s">
        <v>1515</v>
      </c>
      <c r="B1492" s="4" t="str">
        <f>VLOOKUP(A1492,Sheet2!$A$2:$R$3432,2,0)</f>
        <v>2025-06-15 12:47:08</v>
      </c>
      <c r="C1492" s="5" t="s">
        <v>25</v>
      </c>
      <c r="D1492" s="6" t="s">
        <v>25</v>
      </c>
      <c r="E1492" s="7">
        <f>VLOOKUP(A1492,Sheet2!$A$2:$R$3432,4,0)</f>
        <v>9579021218</v>
      </c>
      <c r="F1492" s="7" t="str">
        <f>VLOOKUP(A1492,Sheet2!$A$2:$R$3432,3,0)</f>
        <v>Gaurav Dhokriya</v>
      </c>
      <c r="G1492" s="5" t="s">
        <v>25</v>
      </c>
      <c r="H1492" s="5" t="s">
        <v>25</v>
      </c>
      <c r="I1492" s="5" t="s">
        <v>25</v>
      </c>
      <c r="J1492" s="5" t="s">
        <v>25</v>
      </c>
      <c r="K1492" s="7" t="str">
        <f>VLOOKUP(A1492,Sheet2!$A$2:$R$3432,6,0)</f>
        <v>TVS Jupiter </v>
      </c>
      <c r="L1492" s="5" t="s">
        <v>25</v>
      </c>
      <c r="M1492" s="7" t="str">
        <f>VLOOKUP(A1492,Sheet2!$A$2:$R$3432,5,0)</f>
        <v>MH16CX5966</v>
      </c>
      <c r="N1492" s="5" t="s">
        <v>25</v>
      </c>
      <c r="O1492" s="5" t="s">
        <v>25</v>
      </c>
      <c r="P1492" s="6" t="s">
        <v>25</v>
      </c>
      <c r="Q1492" s="5" t="s">
        <v>25</v>
      </c>
      <c r="R1492" s="5" t="s">
        <v>25</v>
      </c>
      <c r="S1492" s="7" t="str">
        <f>VLOOKUP(A1492,Sheet2!$A$2:$R$3432,18,0)</f>
        <v/>
      </c>
      <c r="T1492" s="7" t="str">
        <f>VLOOKUP(A1492,Sheet2!$A$2:$R$3432,17,0)</f>
        <v/>
      </c>
    </row>
    <row r="1493" ht="15.75" customHeight="1">
      <c r="A1493" s="3" t="s">
        <v>1516</v>
      </c>
      <c r="B1493" s="4" t="str">
        <f>VLOOKUP(A1493,Sheet2!$A$2:$R$3432,2,0)</f>
        <v>2025-06-15 12:49:43</v>
      </c>
      <c r="C1493" s="5" t="s">
        <v>25</v>
      </c>
      <c r="D1493" s="6" t="s">
        <v>25</v>
      </c>
      <c r="E1493" s="7">
        <f>VLOOKUP(A1493,Sheet2!$A$2:$R$3432,4,0)</f>
        <v>7840914805</v>
      </c>
      <c r="F1493" s="7" t="str">
        <f>VLOOKUP(A1493,Sheet2!$A$2:$R$3432,3,0)</f>
        <v>Mayank Mane</v>
      </c>
      <c r="G1493" s="5" t="s">
        <v>25</v>
      </c>
      <c r="H1493" s="5" t="s">
        <v>25</v>
      </c>
      <c r="I1493" s="5" t="s">
        <v>25</v>
      </c>
      <c r="J1493" s="5" t="s">
        <v>25</v>
      </c>
      <c r="K1493" s="7" t="str">
        <f>VLOOKUP(A1493,Sheet2!$A$2:$R$3432,6,0)</f>
        <v>Honda Shine </v>
      </c>
      <c r="L1493" s="5" t="s">
        <v>25</v>
      </c>
      <c r="M1493" s="7" t="str">
        <f>VLOOKUP(A1493,Sheet2!$A$2:$R$3432,5,0)</f>
        <v>MH09DB2398</v>
      </c>
      <c r="N1493" s="5" t="s">
        <v>25</v>
      </c>
      <c r="O1493" s="5" t="s">
        <v>25</v>
      </c>
      <c r="P1493" s="6" t="s">
        <v>25</v>
      </c>
      <c r="Q1493" s="5" t="s">
        <v>25</v>
      </c>
      <c r="R1493" s="5" t="s">
        <v>25</v>
      </c>
      <c r="S1493" s="7" t="str">
        <f>VLOOKUP(A1493,Sheet2!$A$2:$R$3432,18,0)</f>
        <v/>
      </c>
      <c r="T1493" s="7" t="str">
        <f>VLOOKUP(A1493,Sheet2!$A$2:$R$3432,17,0)</f>
        <v/>
      </c>
    </row>
    <row r="1494" ht="15.75" customHeight="1">
      <c r="A1494" s="3" t="s">
        <v>1517</v>
      </c>
      <c r="B1494" s="4" t="str">
        <f>VLOOKUP(A1494,Sheet2!$A$2:$R$3432,2,0)</f>
        <v>2025-06-15 12:48:21</v>
      </c>
      <c r="C1494" s="5" t="s">
        <v>25</v>
      </c>
      <c r="D1494" s="6" t="s">
        <v>25</v>
      </c>
      <c r="E1494" s="7">
        <f>VLOOKUP(A1494,Sheet2!$A$2:$R$3432,4,0)</f>
        <v>7709281068</v>
      </c>
      <c r="F1494" s="7" t="str">
        <f>VLOOKUP(A1494,Sheet2!$A$2:$R$3432,3,0)</f>
        <v>Nikhil Jadhav</v>
      </c>
      <c r="G1494" s="5" t="s">
        <v>25</v>
      </c>
      <c r="H1494" s="5" t="s">
        <v>25</v>
      </c>
      <c r="I1494" s="5" t="s">
        <v>25</v>
      </c>
      <c r="J1494" s="5" t="s">
        <v>25</v>
      </c>
      <c r="K1494" s="7" t="str">
        <f>VLOOKUP(A1494,Sheet2!$A$2:$R$3432,6,0)</f>
        <v>Jawa Jawa </v>
      </c>
      <c r="L1494" s="5" t="s">
        <v>25</v>
      </c>
      <c r="M1494" s="7" t="str">
        <f>VLOOKUP(A1494,Sheet2!$A$2:$R$3432,5,0)</f>
        <v>MH29CA3518</v>
      </c>
      <c r="N1494" s="5" t="s">
        <v>25</v>
      </c>
      <c r="O1494" s="5" t="s">
        <v>25</v>
      </c>
      <c r="P1494" s="6" t="s">
        <v>25</v>
      </c>
      <c r="Q1494" s="5" t="s">
        <v>25</v>
      </c>
      <c r="R1494" s="5" t="s">
        <v>25</v>
      </c>
      <c r="S1494" s="7" t="str">
        <f>VLOOKUP(A1494,Sheet2!$A$2:$R$3432,18,0)</f>
        <v/>
      </c>
      <c r="T1494" s="7" t="str">
        <f>VLOOKUP(A1494,Sheet2!$A$2:$R$3432,17,0)</f>
        <v/>
      </c>
    </row>
    <row r="1495" ht="15.75" customHeight="1">
      <c r="A1495" s="3" t="s">
        <v>1518</v>
      </c>
      <c r="B1495" s="4" t="str">
        <f>VLOOKUP(A1495,Sheet2!$A$2:$R$3432,2,0)</f>
        <v>2025-06-15 12:52:48</v>
      </c>
      <c r="C1495" s="5" t="s">
        <v>25</v>
      </c>
      <c r="D1495" s="6" t="s">
        <v>25</v>
      </c>
      <c r="E1495" s="7">
        <f>VLOOKUP(A1495,Sheet2!$A$2:$R$3432,4,0)</f>
        <v>7069956654</v>
      </c>
      <c r="F1495" s="7" t="str">
        <f>VLOOKUP(A1495,Sheet2!$A$2:$R$3432,3,0)</f>
        <v>Panjab Sindh Dairy</v>
      </c>
      <c r="G1495" s="5" t="s">
        <v>25</v>
      </c>
      <c r="H1495" s="5" t="s">
        <v>25</v>
      </c>
      <c r="I1495" s="5" t="s">
        <v>25</v>
      </c>
      <c r="J1495" s="5" t="s">
        <v>25</v>
      </c>
      <c r="K1495" s="7" t="str">
        <f>VLOOKUP(A1495,Sheet2!$A$2:$R$3432,6,0)</f>
        <v>TVS Jupiter </v>
      </c>
      <c r="L1495" s="5" t="s">
        <v>25</v>
      </c>
      <c r="M1495" s="7" t="str">
        <f>VLOOKUP(A1495,Sheet2!$A$2:$R$3432,5,0)</f>
        <v>GJ15DG5796</v>
      </c>
      <c r="N1495" s="5" t="s">
        <v>25</v>
      </c>
      <c r="O1495" s="5" t="s">
        <v>25</v>
      </c>
      <c r="P1495" s="6" t="s">
        <v>25</v>
      </c>
      <c r="Q1495" s="5" t="s">
        <v>25</v>
      </c>
      <c r="R1495" s="5" t="s">
        <v>25</v>
      </c>
      <c r="S1495" s="5" t="str">
        <f>VLOOKUP(A1495,Sheet2!$A$2:$R$3432,18,0)</f>
        <v>EG4EK1X27873</v>
      </c>
      <c r="T1495" s="7" t="str">
        <f>VLOOKUP(A1495,Sheet2!$A$2:$R$3432,17,0)</f>
        <v>MD626EG47K1E41713</v>
      </c>
    </row>
    <row r="1496" ht="15.75" customHeight="1">
      <c r="A1496" s="3" t="s">
        <v>1519</v>
      </c>
      <c r="B1496" s="4" t="str">
        <f>VLOOKUP(A1496,Sheet2!$A$2:$R$3432,2,0)</f>
        <v>2025-06-19 12:03:29</v>
      </c>
      <c r="C1496" s="5" t="s">
        <v>25</v>
      </c>
      <c r="D1496" s="6" t="s">
        <v>25</v>
      </c>
      <c r="E1496" s="7">
        <f>VLOOKUP(A1496,Sheet2!$A$2:$R$3432,4,0)</f>
        <v>8412892212</v>
      </c>
      <c r="F1496" s="7" t="str">
        <f>VLOOKUP(A1496,Sheet2!$A$2:$R$3432,3,0)</f>
        <v>Rohan</v>
      </c>
      <c r="G1496" s="5" t="s">
        <v>25</v>
      </c>
      <c r="H1496" s="5" t="s">
        <v>25</v>
      </c>
      <c r="I1496" s="5" t="s">
        <v>25</v>
      </c>
      <c r="J1496" s="5" t="s">
        <v>25</v>
      </c>
      <c r="K1496" s="7" t="str">
        <f>VLOOKUP(A1496,Sheet2!$A$2:$R$3432,6,0)</f>
        <v>Honda Activa 6G</v>
      </c>
      <c r="L1496" s="5" t="s">
        <v>25</v>
      </c>
      <c r="M1496" s="7" t="str">
        <f>VLOOKUP(A1496,Sheet2!$A$2:$R$3432,5,0)</f>
        <v>MH09FX5933</v>
      </c>
      <c r="N1496" s="5" t="s">
        <v>25</v>
      </c>
      <c r="O1496" s="5" t="s">
        <v>25</v>
      </c>
      <c r="P1496" s="6" t="s">
        <v>25</v>
      </c>
      <c r="Q1496" s="5" t="s">
        <v>25</v>
      </c>
      <c r="R1496" s="5" t="s">
        <v>25</v>
      </c>
      <c r="S1496" s="5" t="str">
        <f>VLOOKUP(A1496,Sheet2!$A$2:$R$3432,18,0)</f>
        <v>JF91ED0182325</v>
      </c>
      <c r="T1496" s="7" t="str">
        <f>VLOOKUP(A1496,Sheet2!$A$2:$R$3432,17,0)</f>
        <v>ME4JF3JM0183319</v>
      </c>
    </row>
    <row r="1497" ht="15.75" customHeight="1">
      <c r="A1497" s="3" t="s">
        <v>1520</v>
      </c>
      <c r="B1497" s="4" t="str">
        <f>VLOOKUP(A1497,Sheet2!$A$2:$R$3432,2,0)</f>
        <v>2025-06-19 11:38:20</v>
      </c>
      <c r="C1497" s="5" t="s">
        <v>25</v>
      </c>
      <c r="D1497" s="6" t="s">
        <v>25</v>
      </c>
      <c r="E1497" s="7">
        <f>VLOOKUP(A1497,Sheet2!$A$2:$R$3432,4,0)</f>
        <v>8763838777</v>
      </c>
      <c r="F1497" s="7" t="str">
        <f>VLOOKUP(A1497,Sheet2!$A$2:$R$3432,3,0)</f>
        <v>Diksha Singh</v>
      </c>
      <c r="G1497" s="5" t="s">
        <v>25</v>
      </c>
      <c r="H1497" s="5" t="s">
        <v>25</v>
      </c>
      <c r="I1497" s="5" t="s">
        <v>25</v>
      </c>
      <c r="J1497" s="5" t="s">
        <v>25</v>
      </c>
      <c r="K1497" s="7" t="str">
        <f>VLOOKUP(A1497,Sheet2!$A$2:$R$3432,6,0)</f>
        <v>Honda Activa 4G</v>
      </c>
      <c r="L1497" s="5" t="s">
        <v>25</v>
      </c>
      <c r="M1497" s="7" t="str">
        <f>VLOOKUP(A1497,Sheet2!$A$2:$R$3432,5,0)</f>
        <v>MH14GE3718</v>
      </c>
      <c r="N1497" s="5" t="s">
        <v>25</v>
      </c>
      <c r="O1497" s="5" t="s">
        <v>25</v>
      </c>
      <c r="P1497" s="6" t="s">
        <v>25</v>
      </c>
      <c r="Q1497" s="5" t="s">
        <v>25</v>
      </c>
      <c r="R1497" s="5" t="s">
        <v>25</v>
      </c>
      <c r="S1497" s="5" t="str">
        <f>VLOOKUP(A1497,Sheet2!$A$2:$R$3432,18,0)</f>
        <v>JF50E15057026</v>
      </c>
      <c r="T1497" s="7" t="str">
        <f>VLOOKUP(A1497,Sheet2!$A$2:$R$3432,17,0)</f>
        <v>ME4JF507CHT056850</v>
      </c>
    </row>
    <row r="1498" ht="15.75" customHeight="1">
      <c r="A1498" s="3" t="s">
        <v>1521</v>
      </c>
      <c r="B1498" s="4" t="str">
        <f>VLOOKUP(A1498,Sheet2!$A$2:$R$3432,2,0)</f>
        <v>2025-06-19 11:42:08</v>
      </c>
      <c r="C1498" s="5" t="s">
        <v>25</v>
      </c>
      <c r="D1498" s="6" t="s">
        <v>25</v>
      </c>
      <c r="E1498" s="7">
        <f>VLOOKUP(A1498,Sheet2!$A$2:$R$3432,4,0)</f>
        <v>8698124780</v>
      </c>
      <c r="F1498" s="7" t="str">
        <f>VLOOKUP(A1498,Sheet2!$A$2:$R$3432,3,0)</f>
        <v>Vimal</v>
      </c>
      <c r="G1498" s="5" t="s">
        <v>25</v>
      </c>
      <c r="H1498" s="5" t="s">
        <v>25</v>
      </c>
      <c r="I1498" s="5" t="s">
        <v>25</v>
      </c>
      <c r="J1498" s="5" t="s">
        <v>25</v>
      </c>
      <c r="K1498" s="7" t="str">
        <f>VLOOKUP(A1498,Sheet2!$A$2:$R$3432,6,0)</f>
        <v>Bajaj Pulsar 200 NS</v>
      </c>
      <c r="L1498" s="5" t="s">
        <v>25</v>
      </c>
      <c r="M1498" s="7" t="str">
        <f>VLOOKUP(A1498,Sheet2!$A$2:$R$3432,5,0)</f>
        <v>MH14DQ3361</v>
      </c>
      <c r="N1498" s="5" t="s">
        <v>25</v>
      </c>
      <c r="O1498" s="5" t="s">
        <v>25</v>
      </c>
      <c r="P1498" s="6" t="s">
        <v>25</v>
      </c>
      <c r="Q1498" s="5" t="s">
        <v>25</v>
      </c>
      <c r="R1498" s="5" t="s">
        <v>25</v>
      </c>
      <c r="S1498" s="5" t="str">
        <f>VLOOKUP(A1498,Sheet2!$A$2:$R$3432,18,0)</f>
        <v>JLZCCC01933</v>
      </c>
      <c r="T1498" s="7" t="str">
        <f>VLOOKUP(A1498,Sheet2!$A$2:$R$3432,17,0)</f>
        <v>MD2A36FZ1CCDO2305</v>
      </c>
    </row>
    <row r="1499" ht="15.75" customHeight="1">
      <c r="A1499" s="3" t="s">
        <v>1522</v>
      </c>
      <c r="B1499" s="4" t="str">
        <f>VLOOKUP(A1499,Sheet2!$A$2:$R$3432,2,0)</f>
        <v>2025-06-19 12:13:03</v>
      </c>
      <c r="C1499" s="5" t="s">
        <v>25</v>
      </c>
      <c r="D1499" s="6" t="s">
        <v>25</v>
      </c>
      <c r="E1499" s="7">
        <f>VLOOKUP(A1499,Sheet2!$A$2:$R$3432,4,0)</f>
        <v>9767379988</v>
      </c>
      <c r="F1499" s="7" t="str">
        <f>VLOOKUP(A1499,Sheet2!$A$2:$R$3432,3,0)</f>
        <v>Prachi Shinde</v>
      </c>
      <c r="G1499" s="5" t="s">
        <v>25</v>
      </c>
      <c r="H1499" s="5" t="s">
        <v>25</v>
      </c>
      <c r="I1499" s="5" t="s">
        <v>25</v>
      </c>
      <c r="J1499" s="5" t="s">
        <v>25</v>
      </c>
      <c r="K1499" s="7" t="str">
        <f>VLOOKUP(A1499,Sheet2!$A$2:$R$3432,6,0)</f>
        <v>Honda Activa 3G</v>
      </c>
      <c r="L1499" s="5" t="s">
        <v>25</v>
      </c>
      <c r="M1499" s="7" t="str">
        <f>VLOOKUP(A1499,Sheet2!$A$2:$R$3432,5,0)</f>
        <v>MH12MP2409</v>
      </c>
      <c r="N1499" s="5" t="s">
        <v>25</v>
      </c>
      <c r="O1499" s="5" t="s">
        <v>25</v>
      </c>
      <c r="P1499" s="6" t="s">
        <v>25</v>
      </c>
      <c r="Q1499" s="5" t="s">
        <v>25</v>
      </c>
      <c r="R1499" s="5" t="s">
        <v>25</v>
      </c>
      <c r="S1499" s="5" t="str">
        <f>VLOOKUP(A1499,Sheet2!$A$2:$R$3432,18,0)</f>
        <v>JF50E72420525</v>
      </c>
      <c r="T1499" s="7" t="str">
        <f>VLOOKUP(A1499,Sheet2!$A$2:$R$3432,17,0)</f>
        <v>ME4JP504LF7420538</v>
      </c>
    </row>
    <row r="1500" ht="15.75" customHeight="1">
      <c r="A1500" s="3" t="s">
        <v>1523</v>
      </c>
      <c r="B1500" s="4" t="str">
        <f>VLOOKUP(A1500,Sheet2!$A$2:$R$3432,2,0)</f>
        <v>2025-06-19 12:11:57</v>
      </c>
      <c r="C1500" s="5" t="s">
        <v>25</v>
      </c>
      <c r="D1500" s="6" t="s">
        <v>25</v>
      </c>
      <c r="E1500" s="7">
        <f>VLOOKUP(A1500,Sheet2!$A$2:$R$3432,4,0)</f>
        <v>9689672919</v>
      </c>
      <c r="F1500" s="7" t="str">
        <f>VLOOKUP(A1500,Sheet2!$A$2:$R$3432,3,0)</f>
        <v>Mukesh Nandurkar</v>
      </c>
      <c r="G1500" s="5" t="s">
        <v>25</v>
      </c>
      <c r="H1500" s="5" t="s">
        <v>25</v>
      </c>
      <c r="I1500" s="5" t="s">
        <v>25</v>
      </c>
      <c r="J1500" s="5" t="s">
        <v>25</v>
      </c>
      <c r="K1500" s="7" t="str">
        <f>VLOOKUP(A1500,Sheet2!$A$2:$R$3432,6,0)</f>
        <v>Yamaha FZ V3</v>
      </c>
      <c r="L1500" s="5" t="s">
        <v>25</v>
      </c>
      <c r="M1500" s="7" t="str">
        <f>VLOOKUP(A1500,Sheet2!$A$2:$R$3432,5,0)</f>
        <v>MH12UQ8936</v>
      </c>
      <c r="N1500" s="5" t="s">
        <v>25</v>
      </c>
      <c r="O1500" s="5" t="s">
        <v>25</v>
      </c>
      <c r="P1500" s="6" t="s">
        <v>25</v>
      </c>
      <c r="Q1500" s="5" t="s">
        <v>25</v>
      </c>
      <c r="R1500" s="5" t="s">
        <v>25</v>
      </c>
      <c r="S1500" s="5" t="str">
        <f>VLOOKUP(A1500,Sheet2!$A$2:$R$3432,18,0)</f>
        <v>G3N3E0224098</v>
      </c>
      <c r="T1500" s="7" t="str">
        <f>VLOOKUP(A1500,Sheet2!$A$2:$R$3432,17,0)</f>
        <v>ME1RG66DBN0045414</v>
      </c>
    </row>
    <row r="1501" ht="15.75" customHeight="1">
      <c r="A1501" s="3" t="s">
        <v>1524</v>
      </c>
      <c r="B1501" s="4" t="str">
        <f>VLOOKUP(A1501,Sheet2!$A$2:$R$3432,2,0)</f>
        <v>2025-06-19 12:13:53</v>
      </c>
      <c r="C1501" s="5" t="s">
        <v>25</v>
      </c>
      <c r="D1501" s="6" t="s">
        <v>25</v>
      </c>
      <c r="E1501" s="7">
        <f>VLOOKUP(A1501,Sheet2!$A$2:$R$3432,4,0)</f>
        <v>8237788395</v>
      </c>
      <c r="F1501" s="7" t="str">
        <f>VLOOKUP(A1501,Sheet2!$A$2:$R$3432,3,0)</f>
        <v>Shubham</v>
      </c>
      <c r="G1501" s="5" t="s">
        <v>25</v>
      </c>
      <c r="H1501" s="5" t="s">
        <v>25</v>
      </c>
      <c r="I1501" s="5" t="s">
        <v>25</v>
      </c>
      <c r="J1501" s="5" t="s">
        <v>25</v>
      </c>
      <c r="K1501" s="7" t="str">
        <f>VLOOKUP(A1501,Sheet2!$A$2:$R$3432,6,0)</f>
        <v>Honda Activa HET</v>
      </c>
      <c r="L1501" s="5" t="s">
        <v>25</v>
      </c>
      <c r="M1501" s="7" t="str">
        <f>VLOOKUP(A1501,Sheet2!$A$2:$R$3432,5,0)</f>
        <v>MH14EE7149</v>
      </c>
      <c r="N1501" s="5" t="s">
        <v>25</v>
      </c>
      <c r="O1501" s="5" t="s">
        <v>25</v>
      </c>
      <c r="P1501" s="6" t="s">
        <v>25</v>
      </c>
      <c r="Q1501" s="5" t="s">
        <v>25</v>
      </c>
      <c r="R1501" s="5" t="s">
        <v>25</v>
      </c>
      <c r="S1501" s="7" t="str">
        <f>VLOOKUP(A1501,Sheet2!$A$2:$R$3432,18,0)</f>
        <v/>
      </c>
      <c r="T1501" s="7" t="str">
        <f>VLOOKUP(A1501,Sheet2!$A$2:$R$3432,17,0)</f>
        <v>ME4JF501LD8626166</v>
      </c>
    </row>
    <row r="1502" ht="15.75" customHeight="1">
      <c r="A1502" s="3" t="s">
        <v>1525</v>
      </c>
      <c r="B1502" s="4" t="str">
        <f>VLOOKUP(A1502,Sheet2!$A$2:$R$3432,2,0)</f>
        <v>2025-06-19 12:16:26</v>
      </c>
      <c r="C1502" s="5" t="s">
        <v>25</v>
      </c>
      <c r="D1502" s="6" t="s">
        <v>25</v>
      </c>
      <c r="E1502" s="7">
        <f>VLOOKUP(A1502,Sheet2!$A$2:$R$3432,4,0)</f>
        <v>8080514184</v>
      </c>
      <c r="F1502" s="7" t="str">
        <f>VLOOKUP(A1502,Sheet2!$A$2:$R$3432,3,0)</f>
        <v>AMOL SUTAR</v>
      </c>
      <c r="G1502" s="5" t="s">
        <v>25</v>
      </c>
      <c r="H1502" s="5" t="s">
        <v>25</v>
      </c>
      <c r="I1502" s="5" t="s">
        <v>25</v>
      </c>
      <c r="J1502" s="5" t="s">
        <v>25</v>
      </c>
      <c r="K1502" s="7" t="str">
        <f>VLOOKUP(A1502,Sheet2!$A$2:$R$3432,6,0)</f>
        <v>TVS Apache 160 4V</v>
      </c>
      <c r="L1502" s="5" t="s">
        <v>25</v>
      </c>
      <c r="M1502" s="7" t="str">
        <f>VLOOKUP(A1502,Sheet2!$A$2:$R$3432,5,0)</f>
        <v>MH07AK6720</v>
      </c>
      <c r="N1502" s="5" t="s">
        <v>25</v>
      </c>
      <c r="O1502" s="5" t="s">
        <v>25</v>
      </c>
      <c r="P1502" s="6" t="s">
        <v>25</v>
      </c>
      <c r="Q1502" s="5" t="s">
        <v>25</v>
      </c>
      <c r="R1502" s="5" t="s">
        <v>25</v>
      </c>
      <c r="S1502" s="5" t="str">
        <f>VLOOKUP(A1502,Sheet2!$A$2:$R$3432,18,0)</f>
        <v>AE7CJ2X01445</v>
      </c>
      <c r="T1502" s="7" t="str">
        <f>VLOOKUP(A1502,Sheet2!$A$2:$R$3432,17,0)</f>
        <v>MD6327AE77J2C04447</v>
      </c>
    </row>
    <row r="1503" ht="15.75" customHeight="1">
      <c r="A1503" s="3" t="s">
        <v>1526</v>
      </c>
      <c r="B1503" s="4" t="str">
        <f>VLOOKUP(A1503,Sheet2!$A$2:$R$3432,2,0)</f>
        <v>2025-06-19 12:17:42</v>
      </c>
      <c r="C1503" s="5" t="s">
        <v>25</v>
      </c>
      <c r="D1503" s="6" t="s">
        <v>25</v>
      </c>
      <c r="E1503" s="7">
        <f>VLOOKUP(A1503,Sheet2!$A$2:$R$3432,4,0)</f>
        <v>9096758102</v>
      </c>
      <c r="F1503" s="7" t="str">
        <f>VLOOKUP(A1503,Sheet2!$A$2:$R$3432,3,0)</f>
        <v>Rishikesh Patil </v>
      </c>
      <c r="G1503" s="5" t="s">
        <v>25</v>
      </c>
      <c r="H1503" s="5" t="s">
        <v>25</v>
      </c>
      <c r="I1503" s="5" t="s">
        <v>25</v>
      </c>
      <c r="J1503" s="5" t="s">
        <v>25</v>
      </c>
      <c r="K1503" s="7" t="str">
        <f>VLOOKUP(A1503,Sheet2!$A$2:$R$3432,6,0)</f>
        <v>Bajaj Pulsar 200 NS</v>
      </c>
      <c r="L1503" s="5" t="s">
        <v>25</v>
      </c>
      <c r="M1503" s="7" t="str">
        <f>VLOOKUP(A1503,Sheet2!$A$2:$R$3432,5,0)</f>
        <v>MH11BU6462</v>
      </c>
      <c r="N1503" s="5" t="s">
        <v>25</v>
      </c>
      <c r="O1503" s="5" t="s">
        <v>25</v>
      </c>
      <c r="P1503" s="6" t="s">
        <v>25</v>
      </c>
      <c r="Q1503" s="5" t="s">
        <v>25</v>
      </c>
      <c r="R1503" s="5" t="s">
        <v>25</v>
      </c>
      <c r="S1503" s="7" t="str">
        <f>VLOOKUP(A1503,Sheet2!$A$2:$R$3432,18,0)</f>
        <v/>
      </c>
      <c r="T1503" s="7" t="str">
        <f>VLOOKUP(A1503,Sheet2!$A$2:$R$3432,17,0)</f>
        <v/>
      </c>
    </row>
    <row r="1504" ht="15.75" customHeight="1">
      <c r="A1504" s="3" t="s">
        <v>1527</v>
      </c>
      <c r="B1504" s="4" t="str">
        <f>VLOOKUP(A1504,Sheet2!$A$2:$R$3432,2,0)</f>
        <v>2025-06-19 12:19:09</v>
      </c>
      <c r="C1504" s="5" t="s">
        <v>25</v>
      </c>
      <c r="D1504" s="6" t="s">
        <v>25</v>
      </c>
      <c r="E1504" s="7">
        <f>VLOOKUP(A1504,Sheet2!$A$2:$R$3432,4,0)</f>
        <v>9822889511</v>
      </c>
      <c r="F1504" s="7" t="str">
        <f>VLOOKUP(A1504,Sheet2!$A$2:$R$3432,3,0)</f>
        <v>Bhushan Patil</v>
      </c>
      <c r="G1504" s="5" t="s">
        <v>25</v>
      </c>
      <c r="H1504" s="5" t="s">
        <v>25</v>
      </c>
      <c r="I1504" s="5" t="s">
        <v>25</v>
      </c>
      <c r="J1504" s="5" t="s">
        <v>25</v>
      </c>
      <c r="K1504" s="7" t="str">
        <f>VLOOKUP(A1504,Sheet2!$A$2:$R$3432,6,0)</f>
        <v>Honda Unicorn </v>
      </c>
      <c r="L1504" s="5" t="s">
        <v>25</v>
      </c>
      <c r="M1504" s="7" t="str">
        <f>VLOOKUP(A1504,Sheet2!$A$2:$R$3432,5,0)</f>
        <v>MH14BS1571</v>
      </c>
      <c r="N1504" s="5" t="s">
        <v>25</v>
      </c>
      <c r="O1504" s="5" t="s">
        <v>25</v>
      </c>
      <c r="P1504" s="6" t="s">
        <v>25</v>
      </c>
      <c r="Q1504" s="5" t="s">
        <v>25</v>
      </c>
      <c r="R1504" s="5" t="s">
        <v>25</v>
      </c>
      <c r="S1504" s="5" t="str">
        <f>VLOOKUP(A1504,Sheet2!$A$2:$R$3432,18,0)</f>
        <v>K6091031920</v>
      </c>
      <c r="T1504" s="7" t="str">
        <f>VLOOKUP(A1504,Sheet2!$A$2:$R$3432,17,0)</f>
        <v>ME4KC093M88030825</v>
      </c>
    </row>
    <row r="1505" ht="15.75" customHeight="1">
      <c r="A1505" s="3" t="s">
        <v>1528</v>
      </c>
      <c r="B1505" s="4" t="str">
        <f>VLOOKUP(A1505,Sheet2!$A$2:$R$3432,2,0)</f>
        <v>2025-06-19 12:20:36</v>
      </c>
      <c r="C1505" s="5" t="s">
        <v>25</v>
      </c>
      <c r="D1505" s="6" t="s">
        <v>25</v>
      </c>
      <c r="E1505" s="7">
        <f>VLOOKUP(A1505,Sheet2!$A$2:$R$3432,4,0)</f>
        <v>9359006522</v>
      </c>
      <c r="F1505" s="7" t="str">
        <f>VLOOKUP(A1505,Sheet2!$A$2:$R$3432,3,0)</f>
        <v> Pranav Jagtap </v>
      </c>
      <c r="G1505" s="5" t="s">
        <v>25</v>
      </c>
      <c r="H1505" s="5" t="s">
        <v>25</v>
      </c>
      <c r="I1505" s="5" t="s">
        <v>25</v>
      </c>
      <c r="J1505" s="5" t="s">
        <v>25</v>
      </c>
      <c r="K1505" s="7" t="str">
        <f>VLOOKUP(A1505,Sheet2!$A$2:$R$3432,6,0)</f>
        <v>Hero Splendor Plus</v>
      </c>
      <c r="L1505" s="5" t="s">
        <v>25</v>
      </c>
      <c r="M1505" s="7" t="str">
        <f>VLOOKUP(A1505,Sheet2!$A$2:$R$3432,5,0)</f>
        <v>MH12AM6026</v>
      </c>
      <c r="N1505" s="5" t="s">
        <v>25</v>
      </c>
      <c r="O1505" s="5" t="s">
        <v>25</v>
      </c>
      <c r="P1505" s="6" t="s">
        <v>25</v>
      </c>
      <c r="Q1505" s="5" t="s">
        <v>25</v>
      </c>
      <c r="R1505" s="5" t="s">
        <v>25</v>
      </c>
      <c r="S1505" s="5" t="str">
        <f>VLOOKUP(A1505,Sheet2!$A$2:$R$3432,18,0)</f>
        <v>OOF18E06758</v>
      </c>
      <c r="T1505" s="7" t="str">
        <f>VLOOKUP(A1505,Sheet2!$A$2:$R$3432,17,0)</f>
        <v>00F20F04268</v>
      </c>
    </row>
    <row r="1506" ht="15.75" customHeight="1">
      <c r="A1506" s="3" t="s">
        <v>1529</v>
      </c>
      <c r="B1506" s="4" t="str">
        <f>VLOOKUP(A1506,Sheet2!$A$2:$R$3432,2,0)</f>
        <v>2025-06-19 12:21:00</v>
      </c>
      <c r="C1506" s="5" t="s">
        <v>25</v>
      </c>
      <c r="D1506" s="6" t="s">
        <v>25</v>
      </c>
      <c r="E1506" s="7">
        <f>VLOOKUP(A1506,Sheet2!$A$2:$R$3432,4,0)</f>
        <v>9518352796</v>
      </c>
      <c r="F1506" s="7" t="str">
        <f>VLOOKUP(A1506,Sheet2!$A$2:$R$3432,3,0)</f>
        <v>Kamthe</v>
      </c>
      <c r="G1506" s="5" t="s">
        <v>25</v>
      </c>
      <c r="H1506" s="5" t="s">
        <v>25</v>
      </c>
      <c r="I1506" s="5" t="s">
        <v>25</v>
      </c>
      <c r="J1506" s="5" t="s">
        <v>25</v>
      </c>
      <c r="K1506" s="7" t="str">
        <f>VLOOKUP(A1506,Sheet2!$A$2:$R$3432,6,0)</f>
        <v>Honda Activa </v>
      </c>
      <c r="L1506" s="5" t="s">
        <v>25</v>
      </c>
      <c r="M1506" s="7" t="str">
        <f>VLOOKUP(A1506,Sheet2!$A$2:$R$3432,5,0)</f>
        <v>MH14BE7566</v>
      </c>
      <c r="N1506" s="5" t="s">
        <v>25</v>
      </c>
      <c r="O1506" s="5" t="s">
        <v>25</v>
      </c>
      <c r="P1506" s="6" t="s">
        <v>25</v>
      </c>
      <c r="Q1506" s="5" t="s">
        <v>25</v>
      </c>
      <c r="R1506" s="5" t="s">
        <v>25</v>
      </c>
      <c r="S1506" s="7" t="str">
        <f>VLOOKUP(A1506,Sheet2!$A$2:$R$3432,18,0)</f>
        <v/>
      </c>
      <c r="T1506" s="7" t="str">
        <f>VLOOKUP(A1506,Sheet2!$A$2:$R$3432,17,0)</f>
        <v/>
      </c>
    </row>
    <row r="1507" ht="15.75" customHeight="1">
      <c r="A1507" s="3" t="s">
        <v>1530</v>
      </c>
      <c r="B1507" s="4" t="str">
        <f>VLOOKUP(A1507,Sheet2!$A$2:$R$3432,2,0)</f>
        <v>2025-06-19 12:25:07</v>
      </c>
      <c r="C1507" s="5" t="s">
        <v>25</v>
      </c>
      <c r="D1507" s="6" t="s">
        <v>25</v>
      </c>
      <c r="E1507" s="7">
        <f>VLOOKUP(A1507,Sheet2!$A$2:$R$3432,4,0)</f>
        <v>9657003580</v>
      </c>
      <c r="F1507" s="7" t="str">
        <f>VLOOKUP(A1507,Sheet2!$A$2:$R$3432,3,0)</f>
        <v>NISARG</v>
      </c>
      <c r="G1507" s="5" t="s">
        <v>25</v>
      </c>
      <c r="H1507" s="5" t="s">
        <v>25</v>
      </c>
      <c r="I1507" s="5" t="s">
        <v>25</v>
      </c>
      <c r="J1507" s="5" t="s">
        <v>25</v>
      </c>
      <c r="K1507" s="7" t="str">
        <f>VLOOKUP(A1507,Sheet2!$A$2:$R$3432,6,0)</f>
        <v>TVS Jupiter </v>
      </c>
      <c r="L1507" s="5" t="s">
        <v>25</v>
      </c>
      <c r="M1507" s="7" t="str">
        <f>VLOOKUP(A1507,Sheet2!$A$2:$R$3432,5,0)</f>
        <v>MH14HA1917</v>
      </c>
      <c r="N1507" s="5" t="s">
        <v>25</v>
      </c>
      <c r="O1507" s="5" t="s">
        <v>25</v>
      </c>
      <c r="P1507" s="6" t="s">
        <v>25</v>
      </c>
      <c r="Q1507" s="5" t="s">
        <v>25</v>
      </c>
      <c r="R1507" s="5" t="s">
        <v>25</v>
      </c>
      <c r="S1507" s="5" t="str">
        <f>VLOOKUP(A1507,Sheet2!$A$2:$R$3432,18,0)</f>
        <v>GG5DN1101452</v>
      </c>
      <c r="T1507" s="7" t="str">
        <f>VLOOKUP(A1507,Sheet2!$A$2:$R$3432,17,0)</f>
        <v>MD626EG51N1D01699</v>
      </c>
    </row>
    <row r="1508" ht="15.75" customHeight="1">
      <c r="A1508" s="3" t="s">
        <v>1531</v>
      </c>
      <c r="B1508" s="4" t="str">
        <f>VLOOKUP(A1508,Sheet2!$A$2:$R$3432,2,0)</f>
        <v>2025-06-19 12:26:18</v>
      </c>
      <c r="C1508" s="5" t="s">
        <v>25</v>
      </c>
      <c r="D1508" s="6" t="s">
        <v>25</v>
      </c>
      <c r="E1508" s="7">
        <f>VLOOKUP(A1508,Sheet2!$A$2:$R$3432,4,0)</f>
        <v>9370708502</v>
      </c>
      <c r="F1508" s="7" t="str">
        <f>VLOOKUP(A1508,Sheet2!$A$2:$R$3432,3,0)</f>
        <v>BHUSHAN GAIKWAD</v>
      </c>
      <c r="G1508" s="5" t="s">
        <v>25</v>
      </c>
      <c r="H1508" s="5" t="s">
        <v>25</v>
      </c>
      <c r="I1508" s="5" t="s">
        <v>25</v>
      </c>
      <c r="J1508" s="5" t="s">
        <v>25</v>
      </c>
      <c r="K1508" s="7" t="str">
        <f>VLOOKUP(A1508,Sheet2!$A$2:$R$3432,6,0)</f>
        <v>Bajaj Pulsar 150</v>
      </c>
      <c r="L1508" s="5" t="s">
        <v>25</v>
      </c>
      <c r="M1508" s="7" t="str">
        <f>VLOOKUP(A1508,Sheet2!$A$2:$R$3432,5,0)</f>
        <v>MH41BC8934</v>
      </c>
      <c r="N1508" s="5" t="s">
        <v>25</v>
      </c>
      <c r="O1508" s="5" t="s">
        <v>25</v>
      </c>
      <c r="P1508" s="6" t="s">
        <v>25</v>
      </c>
      <c r="Q1508" s="5" t="s">
        <v>25</v>
      </c>
      <c r="R1508" s="5" t="s">
        <v>25</v>
      </c>
      <c r="S1508" s="5" t="str">
        <f>VLOOKUP(A1508,Sheet2!$A$2:$R$3432,18,0)</f>
        <v>DHXC031843</v>
      </c>
      <c r="T1508" s="7" t="str">
        <f>VLOOKUP(A1508,Sheet2!$A$2:$R$3432,17,0)</f>
        <v>MDA11CXKCG38046</v>
      </c>
    </row>
    <row r="1509" ht="15.75" customHeight="1">
      <c r="A1509" s="3" t="s">
        <v>1532</v>
      </c>
      <c r="B1509" s="4" t="str">
        <f>VLOOKUP(A1509,Sheet2!$A$2:$R$3432,2,0)</f>
        <v>2025-06-19 12:24:07</v>
      </c>
      <c r="C1509" s="5" t="s">
        <v>25</v>
      </c>
      <c r="D1509" s="6" t="s">
        <v>25</v>
      </c>
      <c r="E1509" s="7">
        <f>VLOOKUP(A1509,Sheet2!$A$2:$R$3432,4,0)</f>
        <v>9421769679</v>
      </c>
      <c r="F1509" s="7" t="str">
        <f>VLOOKUP(A1509,Sheet2!$A$2:$R$3432,3,0)</f>
        <v>Pranav Binniwale</v>
      </c>
      <c r="G1509" s="5" t="s">
        <v>25</v>
      </c>
      <c r="H1509" s="5" t="s">
        <v>25</v>
      </c>
      <c r="I1509" s="5" t="s">
        <v>25</v>
      </c>
      <c r="J1509" s="5" t="s">
        <v>25</v>
      </c>
      <c r="K1509" s="7" t="str">
        <f>VLOOKUP(A1509,Sheet2!$A$2:$R$3432,6,0)</f>
        <v>Suzuki Access  125 BS6</v>
      </c>
      <c r="L1509" s="5" t="s">
        <v>25</v>
      </c>
      <c r="M1509" s="7" t="str">
        <f>VLOOKUP(A1509,Sheet2!$A$2:$R$3432,5,0)</f>
        <v>MH14KG4459</v>
      </c>
      <c r="N1509" s="5" t="s">
        <v>25</v>
      </c>
      <c r="O1509" s="5" t="s">
        <v>25</v>
      </c>
      <c r="P1509" s="6" t="s">
        <v>25</v>
      </c>
      <c r="Q1509" s="5" t="s">
        <v>25</v>
      </c>
      <c r="R1509" s="5" t="s">
        <v>25</v>
      </c>
      <c r="S1509" s="5" t="str">
        <f>VLOOKUP(A1509,Sheet2!$A$2:$R$3432,18,0)</f>
        <v>AF212404332</v>
      </c>
      <c r="T1509" s="7" t="str">
        <f>VLOOKUP(A1509,Sheet2!$A$2:$R$3432,17,0)</f>
        <v>MB8DP12DHN8C61600</v>
      </c>
    </row>
    <row r="1510" ht="15.75" customHeight="1">
      <c r="A1510" s="3" t="s">
        <v>1533</v>
      </c>
      <c r="B1510" s="4" t="str">
        <f>VLOOKUP(A1510,Sheet2!$A$2:$R$3432,2,0)</f>
        <v>2025-06-19 12:24:25</v>
      </c>
      <c r="C1510" s="5" t="s">
        <v>25</v>
      </c>
      <c r="D1510" s="6" t="s">
        <v>25</v>
      </c>
      <c r="E1510" s="7">
        <f>VLOOKUP(A1510,Sheet2!$A$2:$R$3432,4,0)</f>
        <v>9822465380</v>
      </c>
      <c r="F1510" s="7" t="str">
        <f>VLOOKUP(A1510,Sheet2!$A$2:$R$3432,3,0)</f>
        <v>MUNDHE DENTAL </v>
      </c>
      <c r="G1510" s="5" t="s">
        <v>25</v>
      </c>
      <c r="H1510" s="5" t="s">
        <v>25</v>
      </c>
      <c r="I1510" s="5" t="s">
        <v>25</v>
      </c>
      <c r="J1510" s="5" t="s">
        <v>25</v>
      </c>
      <c r="K1510" s="7" t="str">
        <f>VLOOKUP(A1510,Sheet2!$A$2:$R$3432,6,0)</f>
        <v>TVS Jupiter BS6</v>
      </c>
      <c r="L1510" s="5" t="s">
        <v>25</v>
      </c>
      <c r="M1510" s="7" t="str">
        <f>VLOOKUP(A1510,Sheet2!$A$2:$R$3432,5,0)</f>
        <v>MH26BY5095</v>
      </c>
      <c r="N1510" s="5" t="s">
        <v>25</v>
      </c>
      <c r="O1510" s="5" t="s">
        <v>25</v>
      </c>
      <c r="P1510" s="6" t="s">
        <v>25</v>
      </c>
      <c r="Q1510" s="5" t="s">
        <v>25</v>
      </c>
      <c r="R1510" s="5" t="s">
        <v>25</v>
      </c>
      <c r="S1510" s="7" t="str">
        <f>VLOOKUP(A1510,Sheet2!$A$2:$R$3432,18,0)</f>
        <v/>
      </c>
      <c r="T1510" s="7" t="str">
        <f>VLOOKUP(A1510,Sheet2!$A$2:$R$3432,17,0)</f>
        <v/>
      </c>
    </row>
    <row r="1511" ht="15.75" customHeight="1">
      <c r="A1511" s="3" t="s">
        <v>1534</v>
      </c>
      <c r="B1511" s="4" t="str">
        <f>VLOOKUP(A1511,Sheet2!$A$2:$R$3432,2,0)</f>
        <v>2025-06-19 11:37:13</v>
      </c>
      <c r="C1511" s="5" t="s">
        <v>25</v>
      </c>
      <c r="D1511" s="6" t="s">
        <v>25</v>
      </c>
      <c r="E1511" s="7">
        <f>VLOOKUP(A1511,Sheet2!$A$2:$R$3432,4,0)</f>
        <v>9158146411</v>
      </c>
      <c r="F1511" s="7" t="str">
        <f>VLOOKUP(A1511,Sheet2!$A$2:$R$3432,3,0)</f>
        <v>Rahul </v>
      </c>
      <c r="G1511" s="5" t="s">
        <v>25</v>
      </c>
      <c r="H1511" s="5" t="s">
        <v>25</v>
      </c>
      <c r="I1511" s="5" t="s">
        <v>25</v>
      </c>
      <c r="J1511" s="5" t="s">
        <v>25</v>
      </c>
      <c r="K1511" s="7" t="str">
        <f>VLOOKUP(A1511,Sheet2!$A$2:$R$3432,6,0)</f>
        <v>Hero Duet </v>
      </c>
      <c r="L1511" s="5" t="s">
        <v>25</v>
      </c>
      <c r="M1511" s="7" t="str">
        <f>VLOOKUP(A1511,Sheet2!$A$2:$R$3432,5,0)</f>
        <v>MH40BB8231</v>
      </c>
      <c r="N1511" s="5" t="s">
        <v>25</v>
      </c>
      <c r="O1511" s="5" t="s">
        <v>25</v>
      </c>
      <c r="P1511" s="6" t="s">
        <v>25</v>
      </c>
      <c r="Q1511" s="5" t="s">
        <v>25</v>
      </c>
      <c r="R1511" s="5" t="s">
        <v>25</v>
      </c>
      <c r="S1511" s="7" t="str">
        <f>VLOOKUP(A1511,Sheet2!$A$2:$R$3432,18,0)</f>
        <v/>
      </c>
      <c r="T1511" s="7" t="str">
        <f>VLOOKUP(A1511,Sheet2!$A$2:$R$3432,17,0)</f>
        <v/>
      </c>
    </row>
    <row r="1512" ht="15.75" customHeight="1">
      <c r="A1512" s="3" t="s">
        <v>1535</v>
      </c>
      <c r="B1512" s="4" t="str">
        <f>VLOOKUP(A1512,Sheet2!$A$2:$R$3432,2,0)</f>
        <v>2025-06-19 11:40:19</v>
      </c>
      <c r="C1512" s="5" t="s">
        <v>25</v>
      </c>
      <c r="D1512" s="6" t="s">
        <v>25</v>
      </c>
      <c r="E1512" s="7">
        <f>VLOOKUP(A1512,Sheet2!$A$2:$R$3432,4,0)</f>
        <v>7083979871</v>
      </c>
      <c r="F1512" s="7" t="str">
        <f>VLOOKUP(A1512,Sheet2!$A$2:$R$3432,3,0)</f>
        <v>Tarique Shaikh</v>
      </c>
      <c r="G1512" s="5" t="s">
        <v>25</v>
      </c>
      <c r="H1512" s="5" t="s">
        <v>25</v>
      </c>
      <c r="I1512" s="5" t="s">
        <v>25</v>
      </c>
      <c r="J1512" s="5" t="s">
        <v>25</v>
      </c>
      <c r="K1512" s="7" t="str">
        <f>VLOOKUP(A1512,Sheet2!$A$2:$R$3432,6,0)</f>
        <v>Hero Passion Plus</v>
      </c>
      <c r="L1512" s="5" t="s">
        <v>25</v>
      </c>
      <c r="M1512" s="7" t="str">
        <f>VLOOKUP(A1512,Sheet2!$A$2:$R$3432,5,0)</f>
        <v>MH26X7649</v>
      </c>
      <c r="N1512" s="5" t="s">
        <v>25</v>
      </c>
      <c r="O1512" s="5" t="s">
        <v>25</v>
      </c>
      <c r="P1512" s="6" t="s">
        <v>25</v>
      </c>
      <c r="Q1512" s="5" t="s">
        <v>25</v>
      </c>
      <c r="R1512" s="5" t="s">
        <v>25</v>
      </c>
      <c r="S1512" s="5" t="str">
        <f>VLOOKUP(A1512,Sheet2!$A$2:$R$3432,18,0)</f>
        <v>HA10FB9HM04186</v>
      </c>
      <c r="T1512" s="7" t="str">
        <f>VLOOKUP(A1512,Sheet2!$A$2:$R$3432,17,0)</f>
        <v>MBLHA10EG9HM02463</v>
      </c>
    </row>
    <row r="1513" ht="15.75" customHeight="1">
      <c r="A1513" s="3" t="s">
        <v>1536</v>
      </c>
      <c r="B1513" s="4" t="str">
        <f>VLOOKUP(A1513,Sheet2!$A$2:$R$3432,2,0)</f>
        <v>2025-06-19 11:43:13</v>
      </c>
      <c r="C1513" s="5" t="s">
        <v>25</v>
      </c>
      <c r="D1513" s="6" t="s">
        <v>25</v>
      </c>
      <c r="E1513" s="7">
        <f>VLOOKUP(A1513,Sheet2!$A$2:$R$3432,4,0)</f>
        <v>9763980864</v>
      </c>
      <c r="F1513" s="7" t="str">
        <f>VLOOKUP(A1513,Sheet2!$A$2:$R$3432,3,0)</f>
        <v>Ravi Ranjan </v>
      </c>
      <c r="G1513" s="5" t="s">
        <v>25</v>
      </c>
      <c r="H1513" s="5" t="s">
        <v>25</v>
      </c>
      <c r="I1513" s="5" t="s">
        <v>25</v>
      </c>
      <c r="J1513" s="5" t="s">
        <v>25</v>
      </c>
      <c r="K1513" s="7" t="str">
        <f>VLOOKUP(A1513,Sheet2!$A$2:$R$3432,6,0)</f>
        <v>Bajaj Avenger 220 Cruise</v>
      </c>
      <c r="L1513" s="5" t="s">
        <v>25</v>
      </c>
      <c r="M1513" s="7" t="str">
        <f>VLOOKUP(A1513,Sheet2!$A$2:$R$3432,5,0)</f>
        <v>MH14GP9164</v>
      </c>
      <c r="N1513" s="5" t="s">
        <v>25</v>
      </c>
      <c r="O1513" s="5" t="s">
        <v>25</v>
      </c>
      <c r="P1513" s="6" t="s">
        <v>25</v>
      </c>
      <c r="Q1513" s="5" t="s">
        <v>25</v>
      </c>
      <c r="R1513" s="5" t="s">
        <v>25</v>
      </c>
      <c r="S1513" s="7" t="str">
        <f>VLOOKUP(A1513,Sheet2!$A$2:$R$3432,18,0)</f>
        <v/>
      </c>
      <c r="T1513" s="7" t="str">
        <f>VLOOKUP(A1513,Sheet2!$A$2:$R$3432,17,0)</f>
        <v/>
      </c>
    </row>
    <row r="1514" ht="15.75" customHeight="1">
      <c r="A1514" s="3" t="s">
        <v>1537</v>
      </c>
      <c r="B1514" s="4" t="str">
        <f>VLOOKUP(A1514,Sheet2!$A$2:$R$3432,2,0)</f>
        <v>2025-06-19 11:45:52</v>
      </c>
      <c r="C1514" s="5" t="s">
        <v>25</v>
      </c>
      <c r="D1514" s="6" t="s">
        <v>25</v>
      </c>
      <c r="E1514" s="7">
        <f>VLOOKUP(A1514,Sheet2!$A$2:$R$3432,4,0)</f>
        <v>9595353296</v>
      </c>
      <c r="F1514" s="7" t="str">
        <f>VLOOKUP(A1514,Sheet2!$A$2:$R$3432,3,0)</f>
        <v>SACHIN NIKAM </v>
      </c>
      <c r="G1514" s="5" t="s">
        <v>25</v>
      </c>
      <c r="H1514" s="5" t="s">
        <v>25</v>
      </c>
      <c r="I1514" s="5" t="s">
        <v>25</v>
      </c>
      <c r="J1514" s="5" t="s">
        <v>25</v>
      </c>
      <c r="K1514" s="7" t="str">
        <f>VLOOKUP(A1514,Sheet2!$A$2:$R$3432,6,0)</f>
        <v>Hero Karizma R</v>
      </c>
      <c r="L1514" s="5" t="s">
        <v>25</v>
      </c>
      <c r="M1514" s="7" t="str">
        <f>VLOOKUP(A1514,Sheet2!$A$2:$R$3432,5,0)</f>
        <v>MH12KG3074</v>
      </c>
      <c r="N1514" s="5" t="s">
        <v>25</v>
      </c>
      <c r="O1514" s="5" t="s">
        <v>25</v>
      </c>
      <c r="P1514" s="6" t="s">
        <v>25</v>
      </c>
      <c r="Q1514" s="5" t="s">
        <v>25</v>
      </c>
      <c r="R1514" s="5" t="s">
        <v>25</v>
      </c>
      <c r="S1514" s="7" t="str">
        <f>VLOOKUP(A1514,Sheet2!$A$2:$R$3432,18,0)</f>
        <v/>
      </c>
      <c r="T1514" s="7" t="str">
        <f>VLOOKUP(A1514,Sheet2!$A$2:$R$3432,17,0)</f>
        <v/>
      </c>
    </row>
    <row r="1515" ht="15.75" customHeight="1">
      <c r="A1515" s="3" t="s">
        <v>1538</v>
      </c>
      <c r="B1515" s="4" t="str">
        <f>VLOOKUP(A1515,Sheet2!$A$2:$R$3432,2,0)</f>
        <v>2025-06-19 11:46:56</v>
      </c>
      <c r="C1515" s="5" t="s">
        <v>25</v>
      </c>
      <c r="D1515" s="6" t="s">
        <v>25</v>
      </c>
      <c r="E1515" s="7">
        <f>VLOOKUP(A1515,Sheet2!$A$2:$R$3432,4,0)</f>
        <v>8975158353</v>
      </c>
      <c r="F1515" s="7" t="str">
        <f>VLOOKUP(A1515,Sheet2!$A$2:$R$3432,3,0)</f>
        <v>Avanish Pul</v>
      </c>
      <c r="G1515" s="5" t="s">
        <v>25</v>
      </c>
      <c r="H1515" s="5" t="s">
        <v>25</v>
      </c>
      <c r="I1515" s="5" t="s">
        <v>25</v>
      </c>
      <c r="J1515" s="5" t="s">
        <v>25</v>
      </c>
      <c r="K1515" s="7" t="str">
        <f>VLOOKUP(A1515,Sheet2!$A$2:$R$3432,6,0)</f>
        <v>Honda Activa 125</v>
      </c>
      <c r="L1515" s="5" t="s">
        <v>25</v>
      </c>
      <c r="M1515" s="7" t="str">
        <f>VLOOKUP(A1515,Sheet2!$A$2:$R$3432,5,0)</f>
        <v>MH14KV3557</v>
      </c>
      <c r="N1515" s="5" t="s">
        <v>25</v>
      </c>
      <c r="O1515" s="5" t="s">
        <v>25</v>
      </c>
      <c r="P1515" s="6" t="s">
        <v>25</v>
      </c>
      <c r="Q1515" s="5" t="s">
        <v>25</v>
      </c>
      <c r="R1515" s="5" t="s">
        <v>25</v>
      </c>
      <c r="S1515" s="7" t="str">
        <f>VLOOKUP(A1515,Sheet2!$A$2:$R$3432,18,0)</f>
        <v/>
      </c>
      <c r="T1515" s="7" t="str">
        <f>VLOOKUP(A1515,Sheet2!$A$2:$R$3432,17,0)</f>
        <v/>
      </c>
    </row>
    <row r="1516" ht="15.75" customHeight="1">
      <c r="A1516" s="3" t="s">
        <v>1539</v>
      </c>
      <c r="B1516" s="4" t="str">
        <f>VLOOKUP(A1516,Sheet2!$A$2:$R$3432,2,0)</f>
        <v>2025-06-19 11:52:05</v>
      </c>
      <c r="C1516" s="5" t="s">
        <v>25</v>
      </c>
      <c r="D1516" s="6" t="s">
        <v>25</v>
      </c>
      <c r="E1516" s="7">
        <f>VLOOKUP(A1516,Sheet2!$A$2:$R$3432,4,0)</f>
        <v>7385942438</v>
      </c>
      <c r="F1516" s="7" t="str">
        <f>VLOOKUP(A1516,Sheet2!$A$2:$R$3432,3,0)</f>
        <v>Anchal</v>
      </c>
      <c r="G1516" s="5" t="s">
        <v>25</v>
      </c>
      <c r="H1516" s="5" t="s">
        <v>25</v>
      </c>
      <c r="I1516" s="5" t="s">
        <v>25</v>
      </c>
      <c r="J1516" s="5" t="s">
        <v>25</v>
      </c>
      <c r="K1516" s="7" t="str">
        <f>VLOOKUP(A1516,Sheet2!$A$2:$R$3432,6,0)</f>
        <v>Honda Activa 110</v>
      </c>
      <c r="L1516" s="5" t="s">
        <v>25</v>
      </c>
      <c r="M1516" s="7" t="str">
        <f>VLOOKUP(A1516,Sheet2!$A$2:$R$3432,5,0)</f>
        <v>MH27AZ5188</v>
      </c>
      <c r="N1516" s="5" t="s">
        <v>25</v>
      </c>
      <c r="O1516" s="5" t="s">
        <v>25</v>
      </c>
      <c r="P1516" s="6" t="s">
        <v>25</v>
      </c>
      <c r="Q1516" s="5" t="s">
        <v>25</v>
      </c>
      <c r="R1516" s="5" t="s">
        <v>25</v>
      </c>
      <c r="S1516" s="5" t="str">
        <f>VLOOKUP(A1516,Sheet2!$A$2:$R$3432,18,0)</f>
        <v>JF50E82558366</v>
      </c>
      <c r="T1516" s="7" t="str">
        <f>VLOOKUP(A1516,Sheet2!$A$2:$R$3432,17,0)</f>
        <v>ME4JF301KD8559676</v>
      </c>
    </row>
    <row r="1517" ht="15.75" customHeight="1">
      <c r="A1517" s="3" t="s">
        <v>1540</v>
      </c>
      <c r="B1517" s="4" t="str">
        <f>VLOOKUP(A1517,Sheet2!$A$2:$R$3432,2,0)</f>
        <v>2025-06-19 11:48:43</v>
      </c>
      <c r="C1517" s="5" t="s">
        <v>25</v>
      </c>
      <c r="D1517" s="6" t="s">
        <v>25</v>
      </c>
      <c r="E1517" s="7">
        <f>VLOOKUP(A1517,Sheet2!$A$2:$R$3432,4,0)</f>
        <v>8123584316</v>
      </c>
      <c r="F1517" s="7" t="str">
        <f>VLOOKUP(A1517,Sheet2!$A$2:$R$3432,3,0)</f>
        <v>Someshwar </v>
      </c>
      <c r="G1517" s="5" t="s">
        <v>25</v>
      </c>
      <c r="H1517" s="5" t="s">
        <v>25</v>
      </c>
      <c r="I1517" s="5" t="s">
        <v>25</v>
      </c>
      <c r="J1517" s="5" t="s">
        <v>25</v>
      </c>
      <c r="K1517" s="7" t="str">
        <f>VLOOKUP(A1517,Sheet2!$A$2:$R$3432,6,0)</f>
        <v>Hero Xtreme </v>
      </c>
      <c r="L1517" s="5" t="s">
        <v>25</v>
      </c>
      <c r="M1517" s="7" t="str">
        <f>VLOOKUP(A1517,Sheet2!$A$2:$R$3432,5,0)</f>
        <v>MH14DZ2656</v>
      </c>
      <c r="N1517" s="5" t="s">
        <v>25</v>
      </c>
      <c r="O1517" s="5" t="s">
        <v>25</v>
      </c>
      <c r="P1517" s="6" t="s">
        <v>25</v>
      </c>
      <c r="Q1517" s="5" t="s">
        <v>25</v>
      </c>
      <c r="R1517" s="5" t="s">
        <v>25</v>
      </c>
      <c r="S1517" s="5" t="str">
        <f>VLOOKUP(A1517,Sheet2!$A$2:$R$3432,18,0)</f>
        <v>KC12EEDGF02394</v>
      </c>
      <c r="T1517" s="7" t="str">
        <f>VLOOKUP(A1517,Sheet2!$A$2:$R$3432,17,0)</f>
        <v>MBLKC12EHDGF0191</v>
      </c>
    </row>
    <row r="1518" ht="15.75" customHeight="1">
      <c r="A1518" s="3" t="s">
        <v>1541</v>
      </c>
      <c r="B1518" s="4" t="str">
        <f>VLOOKUP(A1518,Sheet2!$A$2:$R$3432,2,0)</f>
        <v>2025-06-19 11:49:32</v>
      </c>
      <c r="C1518" s="5" t="s">
        <v>25</v>
      </c>
      <c r="D1518" s="6" t="s">
        <v>25</v>
      </c>
      <c r="E1518" s="7">
        <f>VLOOKUP(A1518,Sheet2!$A$2:$R$3432,4,0)</f>
        <v>9730001633</v>
      </c>
      <c r="F1518" s="7" t="str">
        <f>VLOOKUP(A1518,Sheet2!$A$2:$R$3432,3,0)</f>
        <v>Prasad Digikar</v>
      </c>
      <c r="G1518" s="5" t="s">
        <v>25</v>
      </c>
      <c r="H1518" s="5" t="s">
        <v>25</v>
      </c>
      <c r="I1518" s="5" t="s">
        <v>25</v>
      </c>
      <c r="J1518" s="5" t="s">
        <v>25</v>
      </c>
      <c r="K1518" s="7" t="str">
        <f>VLOOKUP(A1518,Sheet2!$A$2:$R$3432,6,0)</f>
        <v>Honda Activa i</v>
      </c>
      <c r="L1518" s="5" t="s">
        <v>25</v>
      </c>
      <c r="M1518" s="7" t="str">
        <f>VLOOKUP(A1518,Sheet2!$A$2:$R$3432,5,0)</f>
        <v>MH14GQ6732</v>
      </c>
      <c r="N1518" s="5" t="s">
        <v>25</v>
      </c>
      <c r="O1518" s="5" t="s">
        <v>25</v>
      </c>
      <c r="P1518" s="6" t="s">
        <v>25</v>
      </c>
      <c r="Q1518" s="5" t="s">
        <v>25</v>
      </c>
      <c r="R1518" s="5" t="s">
        <v>25</v>
      </c>
      <c r="S1518" s="7" t="str">
        <f>VLOOKUP(A1518,Sheet2!$A$2:$R$3432,18,0)</f>
        <v/>
      </c>
      <c r="T1518" s="7" t="str">
        <f>VLOOKUP(A1518,Sheet2!$A$2:$R$3432,17,0)</f>
        <v>ME4JF48BKH8044872</v>
      </c>
    </row>
    <row r="1519" ht="15.75" customHeight="1">
      <c r="A1519" s="3" t="s">
        <v>1542</v>
      </c>
      <c r="B1519" s="4" t="str">
        <f>VLOOKUP(A1519,Sheet2!$A$2:$R$3432,2,0)</f>
        <v>2025-06-19 12:24:39</v>
      </c>
      <c r="C1519" s="5" t="s">
        <v>25</v>
      </c>
      <c r="D1519" s="6" t="s">
        <v>25</v>
      </c>
      <c r="E1519" s="7">
        <f>VLOOKUP(A1519,Sheet2!$A$2:$R$3432,4,0)</f>
        <v>8624809110</v>
      </c>
      <c r="F1519" s="7" t="str">
        <f>VLOOKUP(A1519,Sheet2!$A$2:$R$3432,3,0)</f>
        <v>Aditya</v>
      </c>
      <c r="G1519" s="5" t="s">
        <v>25</v>
      </c>
      <c r="H1519" s="5" t="s">
        <v>25</v>
      </c>
      <c r="I1519" s="5" t="s">
        <v>25</v>
      </c>
      <c r="J1519" s="5" t="s">
        <v>25</v>
      </c>
      <c r="K1519" s="7" t="str">
        <f>VLOOKUP(A1519,Sheet2!$A$2:$R$3432,6,0)</f>
        <v>Honda Activa 3G</v>
      </c>
      <c r="L1519" s="5" t="s">
        <v>25</v>
      </c>
      <c r="M1519" s="7" t="str">
        <f>VLOOKUP(A1519,Sheet2!$A$2:$R$3432,5,0)</f>
        <v>MH14FU3507</v>
      </c>
      <c r="N1519" s="5" t="s">
        <v>25</v>
      </c>
      <c r="O1519" s="5" t="s">
        <v>25</v>
      </c>
      <c r="P1519" s="6" t="s">
        <v>25</v>
      </c>
      <c r="Q1519" s="5" t="s">
        <v>25</v>
      </c>
      <c r="R1519" s="5" t="s">
        <v>25</v>
      </c>
      <c r="S1519" s="7" t="str">
        <f>VLOOKUP(A1519,Sheet2!$A$2:$R$3432,18,0)</f>
        <v/>
      </c>
      <c r="T1519" s="7" t="str">
        <f>VLOOKUP(A1519,Sheet2!$A$2:$R$3432,17,0)</f>
        <v/>
      </c>
    </row>
    <row r="1520" ht="15.75" customHeight="1">
      <c r="A1520" s="3" t="s">
        <v>1543</v>
      </c>
      <c r="B1520" s="4" t="str">
        <f>VLOOKUP(A1520,Sheet2!$A$2:$R$3432,2,0)</f>
        <v>2025-06-19 12:24:50</v>
      </c>
      <c r="C1520" s="5" t="s">
        <v>25</v>
      </c>
      <c r="D1520" s="6" t="s">
        <v>25</v>
      </c>
      <c r="E1520" s="7">
        <f>VLOOKUP(A1520,Sheet2!$A$2:$R$3432,4,0)</f>
        <v>8087274970</v>
      </c>
      <c r="F1520" s="7" t="str">
        <f>VLOOKUP(A1520,Sheet2!$A$2:$R$3432,3,0)</f>
        <v>Vikas Chauhan</v>
      </c>
      <c r="G1520" s="5" t="s">
        <v>25</v>
      </c>
      <c r="H1520" s="5" t="s">
        <v>25</v>
      </c>
      <c r="I1520" s="5" t="s">
        <v>25</v>
      </c>
      <c r="J1520" s="5" t="s">
        <v>25</v>
      </c>
      <c r="K1520" s="7" t="str">
        <f>VLOOKUP(A1520,Sheet2!$A$2:$R$3432,6,0)</f>
        <v>Honda Activa 4G</v>
      </c>
      <c r="L1520" s="5" t="s">
        <v>25</v>
      </c>
      <c r="M1520" s="7" t="str">
        <f>VLOOKUP(A1520,Sheet2!$A$2:$R$3432,5,0)</f>
        <v>MH14GQ1756</v>
      </c>
      <c r="N1520" s="5" t="s">
        <v>25</v>
      </c>
      <c r="O1520" s="5" t="s">
        <v>25</v>
      </c>
      <c r="P1520" s="6" t="s">
        <v>25</v>
      </c>
      <c r="Q1520" s="5" t="s">
        <v>25</v>
      </c>
      <c r="R1520" s="5" t="s">
        <v>25</v>
      </c>
      <c r="S1520" s="5" t="str">
        <f>VLOOKUP(A1520,Sheet2!$A$2:$R$3432,18,0)</f>
        <v>JF50ET5760093</v>
      </c>
      <c r="T1520" s="7" t="str">
        <f>VLOOKUP(A1520,Sheet2!$A$2:$R$3432,17,0)</f>
        <v>ME45F507KHT2F9374</v>
      </c>
    </row>
    <row r="1521" ht="15.75" customHeight="1">
      <c r="A1521" s="3" t="s">
        <v>1544</v>
      </c>
      <c r="B1521" s="4" t="str">
        <f>VLOOKUP(A1521,Sheet2!$A$2:$R$3432,2,0)</f>
        <v>2025-06-19 11:54:55</v>
      </c>
      <c r="C1521" s="5" t="s">
        <v>25</v>
      </c>
      <c r="D1521" s="6" t="s">
        <v>25</v>
      </c>
      <c r="E1521" s="7">
        <f>VLOOKUP(A1521,Sheet2!$A$2:$R$3432,4,0)</f>
        <v>9404727535</v>
      </c>
      <c r="F1521" s="7" t="str">
        <f>VLOOKUP(A1521,Sheet2!$A$2:$R$3432,3,0)</f>
        <v>Aniket Chaudhary </v>
      </c>
      <c r="G1521" s="5" t="s">
        <v>25</v>
      </c>
      <c r="H1521" s="5" t="s">
        <v>25</v>
      </c>
      <c r="I1521" s="5" t="s">
        <v>25</v>
      </c>
      <c r="J1521" s="5" t="s">
        <v>25</v>
      </c>
      <c r="K1521" s="7" t="str">
        <f>VLOOKUP(A1521,Sheet2!$A$2:$R$3432,6,0)</f>
        <v>Hero Passion </v>
      </c>
      <c r="L1521" s="5" t="s">
        <v>25</v>
      </c>
      <c r="M1521" s="7" t="str">
        <f>VLOOKUP(A1521,Sheet2!$A$2:$R$3432,5,0)</f>
        <v>MH12CQ9757</v>
      </c>
      <c r="N1521" s="5" t="s">
        <v>25</v>
      </c>
      <c r="O1521" s="5" t="s">
        <v>25</v>
      </c>
      <c r="P1521" s="6" t="s">
        <v>25</v>
      </c>
      <c r="Q1521" s="5" t="s">
        <v>25</v>
      </c>
      <c r="R1521" s="5" t="s">
        <v>25</v>
      </c>
      <c r="S1521" s="7" t="str">
        <f>VLOOKUP(A1521,Sheet2!$A$2:$R$3432,18,0)</f>
        <v/>
      </c>
      <c r="T1521" s="7" t="str">
        <f>VLOOKUP(A1521,Sheet2!$A$2:$R$3432,17,0)</f>
        <v/>
      </c>
    </row>
    <row r="1522" ht="15.75" customHeight="1">
      <c r="A1522" s="3" t="s">
        <v>1545</v>
      </c>
      <c r="B1522" s="4" t="str">
        <f>VLOOKUP(A1522,Sheet2!$A$2:$R$3432,2,0)</f>
        <v>2025-06-19 12:26:34</v>
      </c>
      <c r="C1522" s="5" t="s">
        <v>25</v>
      </c>
      <c r="D1522" s="6" t="s">
        <v>25</v>
      </c>
      <c r="E1522" s="7">
        <f>VLOOKUP(A1522,Sheet2!$A$2:$R$3432,4,0)</f>
        <v>9834785873</v>
      </c>
      <c r="F1522" s="7" t="str">
        <f>VLOOKUP(A1522,Sheet2!$A$2:$R$3432,3,0)</f>
        <v>Sayali Joshi</v>
      </c>
      <c r="G1522" s="5" t="s">
        <v>25</v>
      </c>
      <c r="H1522" s="5" t="s">
        <v>25</v>
      </c>
      <c r="I1522" s="5" t="s">
        <v>25</v>
      </c>
      <c r="J1522" s="5" t="s">
        <v>25</v>
      </c>
      <c r="K1522" s="7" t="str">
        <f>VLOOKUP(A1522,Sheet2!$A$2:$R$3432,6,0)</f>
        <v>Honda Activa 5G</v>
      </c>
      <c r="L1522" s="5" t="s">
        <v>25</v>
      </c>
      <c r="M1522" s="7" t="str">
        <f>VLOOKUP(A1522,Sheet2!$A$2:$R$3432,5,0)</f>
        <v>MH14HT3072</v>
      </c>
      <c r="N1522" s="5" t="s">
        <v>25</v>
      </c>
      <c r="O1522" s="5" t="s">
        <v>25</v>
      </c>
      <c r="P1522" s="6" t="s">
        <v>25</v>
      </c>
      <c r="Q1522" s="5" t="s">
        <v>25</v>
      </c>
      <c r="R1522" s="5" t="s">
        <v>25</v>
      </c>
      <c r="S1522" s="7" t="str">
        <f>VLOOKUP(A1522,Sheet2!$A$2:$R$3432,18,0)</f>
        <v/>
      </c>
      <c r="T1522" s="7" t="str">
        <f>VLOOKUP(A1522,Sheet2!$A$2:$R$3432,17,0)</f>
        <v/>
      </c>
    </row>
    <row r="1523" ht="15.75" customHeight="1">
      <c r="A1523" s="3" t="s">
        <v>1546</v>
      </c>
      <c r="B1523" s="4" t="str">
        <f>VLOOKUP(A1523,Sheet2!$A$2:$R$3432,2,0)</f>
        <v>2025-06-19 12:00:30</v>
      </c>
      <c r="C1523" s="5" t="s">
        <v>25</v>
      </c>
      <c r="D1523" s="6" t="s">
        <v>25</v>
      </c>
      <c r="E1523" s="7">
        <f>VLOOKUP(A1523,Sheet2!$A$2:$R$3432,4,0)</f>
        <v>9834240147</v>
      </c>
      <c r="F1523" s="7" t="str">
        <f>VLOOKUP(A1523,Sheet2!$A$2:$R$3432,3,0)</f>
        <v>Akhilesh Gughane </v>
      </c>
      <c r="G1523" s="5" t="s">
        <v>25</v>
      </c>
      <c r="H1523" s="5" t="s">
        <v>25</v>
      </c>
      <c r="I1523" s="5" t="s">
        <v>25</v>
      </c>
      <c r="J1523" s="5" t="s">
        <v>25</v>
      </c>
      <c r="K1523" s="7" t="str">
        <f>VLOOKUP(A1523,Sheet2!$A$2:$R$3432,6,0)</f>
        <v>Bajaj Discover 135</v>
      </c>
      <c r="L1523" s="5" t="s">
        <v>25</v>
      </c>
      <c r="M1523" s="7" t="str">
        <f>VLOOKUP(A1523,Sheet2!$A$2:$R$3432,5,0)</f>
        <v>MH14BP3787</v>
      </c>
      <c r="N1523" s="5" t="s">
        <v>25</v>
      </c>
      <c r="O1523" s="5" t="s">
        <v>25</v>
      </c>
      <c r="P1523" s="6" t="s">
        <v>25</v>
      </c>
      <c r="Q1523" s="5" t="s">
        <v>25</v>
      </c>
      <c r="R1523" s="5" t="s">
        <v>25</v>
      </c>
      <c r="S1523" s="5" t="str">
        <f>VLOOKUP(A1523,Sheet2!$A$2:$R$3432,18,0)</f>
        <v>JNGBRC60332</v>
      </c>
      <c r="T1523" s="7" t="str">
        <f>VLOOKUP(A1523,Sheet2!$A$2:$R$3432,17,0)</f>
        <v>MD2DSJNZZRCC33852</v>
      </c>
    </row>
    <row r="1524" ht="15.75" customHeight="1">
      <c r="A1524" s="3" t="s">
        <v>1547</v>
      </c>
      <c r="B1524" s="4" t="str">
        <f>VLOOKUP(A1524,Sheet2!$A$2:$R$3432,2,0)</f>
        <v>2025-06-19 12:00:57</v>
      </c>
      <c r="C1524" s="5" t="s">
        <v>25</v>
      </c>
      <c r="D1524" s="6" t="s">
        <v>25</v>
      </c>
      <c r="E1524" s="7">
        <f>VLOOKUP(A1524,Sheet2!$A$2:$R$3432,4,0)</f>
        <v>9158420110</v>
      </c>
      <c r="F1524" s="7" t="str">
        <f>VLOOKUP(A1524,Sheet2!$A$2:$R$3432,3,0)</f>
        <v>Neeraj Kulkarni</v>
      </c>
      <c r="G1524" s="5" t="s">
        <v>25</v>
      </c>
      <c r="H1524" s="5" t="s">
        <v>25</v>
      </c>
      <c r="I1524" s="5" t="s">
        <v>25</v>
      </c>
      <c r="J1524" s="5" t="s">
        <v>25</v>
      </c>
      <c r="K1524" s="7" t="str">
        <f>VLOOKUP(A1524,Sheet2!$A$2:$R$3432,6,0)</f>
        <v>Honda Shine BS6</v>
      </c>
      <c r="L1524" s="5" t="s">
        <v>25</v>
      </c>
      <c r="M1524" s="7" t="str">
        <f>VLOOKUP(A1524,Sheet2!$A$2:$R$3432,5,0)</f>
        <v>MH15KB2457</v>
      </c>
      <c r="N1524" s="5" t="s">
        <v>25</v>
      </c>
      <c r="O1524" s="5" t="s">
        <v>25</v>
      </c>
      <c r="P1524" s="6" t="s">
        <v>25</v>
      </c>
      <c r="Q1524" s="5" t="s">
        <v>25</v>
      </c>
      <c r="R1524" s="5" t="s">
        <v>25</v>
      </c>
      <c r="S1524" s="5" t="str">
        <f>VLOOKUP(A1524,Sheet2!$A$2:$R$3432,18,0)</f>
        <v>JC85ED3556401</v>
      </c>
      <c r="T1524" s="7" t="str">
        <f>VLOOKUP(A1524,Sheet2!$A$2:$R$3432,17,0)</f>
        <v>ME4JC85HLRD180947</v>
      </c>
    </row>
    <row r="1525" ht="15.75" customHeight="1">
      <c r="A1525" s="3" t="s">
        <v>1548</v>
      </c>
      <c r="B1525" s="4" t="str">
        <f>VLOOKUP(A1525,Sheet2!$A$2:$R$3432,2,0)</f>
        <v>2025-06-19 12:05:34</v>
      </c>
      <c r="C1525" s="5" t="s">
        <v>25</v>
      </c>
      <c r="D1525" s="6" t="s">
        <v>25</v>
      </c>
      <c r="E1525" s="7">
        <f>VLOOKUP(A1525,Sheet2!$A$2:$R$3432,4,0)</f>
        <v>8010055220</v>
      </c>
      <c r="F1525" s="7" t="str">
        <f>VLOOKUP(A1525,Sheet2!$A$2:$R$3432,3,0)</f>
        <v>Tejas Ranka</v>
      </c>
      <c r="G1525" s="5" t="s">
        <v>25</v>
      </c>
      <c r="H1525" s="5" t="s">
        <v>25</v>
      </c>
      <c r="I1525" s="5" t="s">
        <v>25</v>
      </c>
      <c r="J1525" s="5" t="s">
        <v>25</v>
      </c>
      <c r="K1525" s="7" t="str">
        <f>VLOOKUP(A1525,Sheet2!$A$2:$R$3432,6,0)</f>
        <v>Hero Deluxe CD</v>
      </c>
      <c r="L1525" s="5" t="s">
        <v>25</v>
      </c>
      <c r="M1525" s="7" t="str">
        <f>VLOOKUP(A1525,Sheet2!$A$2:$R$3432,5,0)</f>
        <v>MH16AW0245</v>
      </c>
      <c r="N1525" s="5" t="s">
        <v>25</v>
      </c>
      <c r="O1525" s="5" t="s">
        <v>25</v>
      </c>
      <c r="P1525" s="6" t="s">
        <v>25</v>
      </c>
      <c r="Q1525" s="5" t="s">
        <v>25</v>
      </c>
      <c r="R1525" s="5" t="s">
        <v>25</v>
      </c>
      <c r="S1525" s="7" t="str">
        <f>VLOOKUP(A1525,Sheet2!$A$2:$R$3432,18,0)</f>
        <v/>
      </c>
      <c r="T1525" s="7" t="str">
        <f>VLOOKUP(A1525,Sheet2!$A$2:$R$3432,17,0)</f>
        <v/>
      </c>
    </row>
    <row r="1526" ht="15.75" customHeight="1">
      <c r="A1526" s="3" t="s">
        <v>1549</v>
      </c>
      <c r="B1526" s="4" t="str">
        <f>VLOOKUP(A1526,Sheet2!$A$2:$R$3432,2,0)</f>
        <v>2025-06-19 12:02:25</v>
      </c>
      <c r="C1526" s="5" t="s">
        <v>25</v>
      </c>
      <c r="D1526" s="6" t="s">
        <v>25</v>
      </c>
      <c r="E1526" s="7">
        <f>VLOOKUP(A1526,Sheet2!$A$2:$R$3432,4,0)</f>
        <v>8459871622</v>
      </c>
      <c r="F1526" s="7" t="str">
        <f>VLOOKUP(A1526,Sheet2!$A$2:$R$3432,3,0)</f>
        <v>Vedant Joshi</v>
      </c>
      <c r="G1526" s="5" t="s">
        <v>25</v>
      </c>
      <c r="H1526" s="5" t="s">
        <v>25</v>
      </c>
      <c r="I1526" s="5" t="s">
        <v>25</v>
      </c>
      <c r="J1526" s="5" t="s">
        <v>25</v>
      </c>
      <c r="K1526" s="7" t="str">
        <f>VLOOKUP(A1526,Sheet2!$A$2:$R$3432,6,0)</f>
        <v>Honda Activa 3G</v>
      </c>
      <c r="L1526" s="5" t="s">
        <v>25</v>
      </c>
      <c r="M1526" s="7" t="str">
        <f>VLOOKUP(A1526,Sheet2!$A$2:$R$3432,5,0)</f>
        <v>MH19CM3665</v>
      </c>
      <c r="N1526" s="5" t="s">
        <v>25</v>
      </c>
      <c r="O1526" s="5" t="s">
        <v>25</v>
      </c>
      <c r="P1526" s="6" t="s">
        <v>25</v>
      </c>
      <c r="Q1526" s="5" t="s">
        <v>25</v>
      </c>
      <c r="R1526" s="5" t="s">
        <v>25</v>
      </c>
      <c r="S1526" s="7" t="str">
        <f>VLOOKUP(A1526,Sheet2!$A$2:$R$3432,18,0)</f>
        <v/>
      </c>
      <c r="T1526" s="7" t="str">
        <f>VLOOKUP(A1526,Sheet2!$A$2:$R$3432,17,0)</f>
        <v/>
      </c>
    </row>
    <row r="1527" ht="15.75" customHeight="1">
      <c r="A1527" s="3" t="s">
        <v>1550</v>
      </c>
      <c r="B1527" s="4" t="str">
        <f>VLOOKUP(A1527,Sheet2!$A$2:$R$3432,2,0)</f>
        <v>2025-06-19 12:07:01</v>
      </c>
      <c r="C1527" s="5" t="s">
        <v>25</v>
      </c>
      <c r="D1527" s="6" t="s">
        <v>25</v>
      </c>
      <c r="E1527" s="7">
        <f>VLOOKUP(A1527,Sheet2!$A$2:$R$3432,4,0)</f>
        <v>9322626148</v>
      </c>
      <c r="F1527" s="7" t="str">
        <f>VLOOKUP(A1527,Sheet2!$A$2:$R$3432,3,0)</f>
        <v>Vaibhav Gorde</v>
      </c>
      <c r="G1527" s="5" t="s">
        <v>25</v>
      </c>
      <c r="H1527" s="5" t="s">
        <v>25</v>
      </c>
      <c r="I1527" s="5" t="s">
        <v>25</v>
      </c>
      <c r="J1527" s="5" t="s">
        <v>25</v>
      </c>
      <c r="K1527" s="7" t="str">
        <f>VLOOKUP(A1527,Sheet2!$A$2:$R$3432,6,0)</f>
        <v>Royal Enfield Bullet 350</v>
      </c>
      <c r="L1527" s="5" t="s">
        <v>25</v>
      </c>
      <c r="M1527" s="7" t="str">
        <f>VLOOKUP(A1527,Sheet2!$A$2:$R$3432,5,0)</f>
        <v>MH12TB4868</v>
      </c>
      <c r="N1527" s="5" t="s">
        <v>25</v>
      </c>
      <c r="O1527" s="5" t="s">
        <v>25</v>
      </c>
      <c r="P1527" s="6" t="s">
        <v>25</v>
      </c>
      <c r="Q1527" s="5" t="s">
        <v>25</v>
      </c>
      <c r="R1527" s="5" t="s">
        <v>25</v>
      </c>
      <c r="S1527" s="7" t="str">
        <f>VLOOKUP(A1527,Sheet2!$A$2:$R$3432,18,0)</f>
        <v/>
      </c>
      <c r="T1527" s="7" t="str">
        <f>VLOOKUP(A1527,Sheet2!$A$2:$R$3432,17,0)</f>
        <v/>
      </c>
    </row>
    <row r="1528" ht="15.75" customHeight="1">
      <c r="A1528" s="3" t="s">
        <v>1551</v>
      </c>
      <c r="B1528" s="4" t="str">
        <f>VLOOKUP(A1528,Sheet2!$A$2:$R$3432,2,0)</f>
        <v>2025-06-19 12:10:35</v>
      </c>
      <c r="C1528" s="5" t="s">
        <v>25</v>
      </c>
      <c r="D1528" s="6" t="s">
        <v>25</v>
      </c>
      <c r="E1528" s="7">
        <f>VLOOKUP(A1528,Sheet2!$A$2:$R$3432,4,0)</f>
        <v>8888121238</v>
      </c>
      <c r="F1528" s="7" t="str">
        <f>VLOOKUP(A1528,Sheet2!$A$2:$R$3432,3,0)</f>
        <v>Ajinkya </v>
      </c>
      <c r="G1528" s="5" t="s">
        <v>25</v>
      </c>
      <c r="H1528" s="5" t="s">
        <v>25</v>
      </c>
      <c r="I1528" s="5" t="s">
        <v>25</v>
      </c>
      <c r="J1528" s="5" t="s">
        <v>25</v>
      </c>
      <c r="K1528" s="7" t="str">
        <f>VLOOKUP(A1528,Sheet2!$A$2:$R$3432,6,0)</f>
        <v>Yamaha FZ </v>
      </c>
      <c r="L1528" s="5" t="s">
        <v>25</v>
      </c>
      <c r="M1528" s="7" t="str">
        <f>VLOOKUP(A1528,Sheet2!$A$2:$R$3432,5,0)</f>
        <v>MH10DB9492</v>
      </c>
      <c r="N1528" s="5" t="s">
        <v>25</v>
      </c>
      <c r="O1528" s="5" t="s">
        <v>25</v>
      </c>
      <c r="P1528" s="6" t="s">
        <v>25</v>
      </c>
      <c r="Q1528" s="5" t="s">
        <v>25</v>
      </c>
      <c r="R1528" s="5" t="s">
        <v>25</v>
      </c>
      <c r="S1528" s="5" t="str">
        <f>VLOOKUP(A1528,Sheet2!$A$2:$R$3432,18,0)</f>
        <v>63J914045</v>
      </c>
      <c r="T1528" s="7" t="str">
        <f>VLOOKUP(A1528,Sheet2!$A$2:$R$3432,17,0)</f>
        <v>ME1RG4477J0009976</v>
      </c>
    </row>
    <row r="1529" ht="15.75" customHeight="1">
      <c r="A1529" s="3" t="s">
        <v>1552</v>
      </c>
      <c r="B1529" s="4" t="str">
        <f>VLOOKUP(A1529,Sheet2!$A$2:$R$3432,2,0)</f>
        <v>2025-06-19 12:08:47</v>
      </c>
      <c r="C1529" s="5" t="s">
        <v>25</v>
      </c>
      <c r="D1529" s="6" t="s">
        <v>25</v>
      </c>
      <c r="E1529" s="7">
        <f>VLOOKUP(A1529,Sheet2!$A$2:$R$3432,4,0)</f>
        <v>7276876123</v>
      </c>
      <c r="F1529" s="7" t="str">
        <f>VLOOKUP(A1529,Sheet2!$A$2:$R$3432,3,0)</f>
        <v>Debabrata Mohanty</v>
      </c>
      <c r="G1529" s="5" t="s">
        <v>25</v>
      </c>
      <c r="H1529" s="5" t="s">
        <v>25</v>
      </c>
      <c r="I1529" s="5" t="s">
        <v>25</v>
      </c>
      <c r="J1529" s="5" t="s">
        <v>25</v>
      </c>
      <c r="K1529" s="7" t="str">
        <f>VLOOKUP(A1529,Sheet2!$A$2:$R$3432,6,0)</f>
        <v>Suzuki Gixxer </v>
      </c>
      <c r="L1529" s="5" t="s">
        <v>25</v>
      </c>
      <c r="M1529" s="7" t="str">
        <f>VLOOKUP(A1529,Sheet2!$A$2:$R$3432,5,0)</f>
        <v>MH14EW1653</v>
      </c>
      <c r="N1529" s="5" t="s">
        <v>25</v>
      </c>
      <c r="O1529" s="5" t="s">
        <v>25</v>
      </c>
      <c r="P1529" s="6" t="s">
        <v>25</v>
      </c>
      <c r="Q1529" s="5" t="s">
        <v>25</v>
      </c>
      <c r="R1529" s="5" t="s">
        <v>25</v>
      </c>
      <c r="S1529" s="5" t="str">
        <f>VLOOKUP(A1529,Sheet2!$A$2:$R$3432,18,0)</f>
        <v>BGA1137385</v>
      </c>
      <c r="T1529" s="7" t="str">
        <f>VLOOKUP(A1529,Sheet2!$A$2:$R$3432,17,0)</f>
        <v>MB8NG4BAAF8133800</v>
      </c>
    </row>
    <row r="1530" ht="15.75" customHeight="1">
      <c r="A1530" s="3" t="s">
        <v>1553</v>
      </c>
      <c r="B1530" s="4" t="str">
        <f>VLOOKUP(A1530,Sheet2!$A$2:$R$3432,2,0)</f>
        <v>2025-06-19 12:09:52</v>
      </c>
      <c r="C1530" s="5" t="s">
        <v>25</v>
      </c>
      <c r="D1530" s="6" t="s">
        <v>25</v>
      </c>
      <c r="E1530" s="7">
        <f>VLOOKUP(A1530,Sheet2!$A$2:$R$3432,4,0)</f>
        <v>9850601122</v>
      </c>
      <c r="F1530" s="7" t="str">
        <f>VLOOKUP(A1530,Sheet2!$A$2:$R$3432,3,0)</f>
        <v>Arun Bande</v>
      </c>
      <c r="G1530" s="5" t="s">
        <v>25</v>
      </c>
      <c r="H1530" s="5" t="s">
        <v>25</v>
      </c>
      <c r="I1530" s="5" t="s">
        <v>25</v>
      </c>
      <c r="J1530" s="5" t="s">
        <v>25</v>
      </c>
      <c r="K1530" s="7" t="str">
        <f>VLOOKUP(A1530,Sheet2!$A$2:$R$3432,6,0)</f>
        <v>Hero CD 100 SS</v>
      </c>
      <c r="L1530" s="5" t="s">
        <v>25</v>
      </c>
      <c r="M1530" s="7" t="str">
        <f>VLOOKUP(A1530,Sheet2!$A$2:$R$3432,5,0)</f>
        <v>MH14R1932</v>
      </c>
      <c r="N1530" s="5" t="s">
        <v>25</v>
      </c>
      <c r="O1530" s="5" t="s">
        <v>25</v>
      </c>
      <c r="P1530" s="6" t="s">
        <v>25</v>
      </c>
      <c r="Q1530" s="5" t="s">
        <v>25</v>
      </c>
      <c r="R1530" s="5" t="s">
        <v>25</v>
      </c>
      <c r="S1530" s="7" t="str">
        <f>VLOOKUP(A1530,Sheet2!$A$2:$R$3432,18,0)</f>
        <v/>
      </c>
      <c r="T1530" s="7" t="str">
        <f>VLOOKUP(A1530,Sheet2!$A$2:$R$3432,17,0)</f>
        <v/>
      </c>
    </row>
    <row r="1531" ht="15.75" customHeight="1">
      <c r="A1531" s="3" t="s">
        <v>1554</v>
      </c>
      <c r="B1531" s="4" t="str">
        <f>VLOOKUP(A1531,Sheet2!$A$2:$R$3432,2,0)</f>
        <v>2025-06-19 14:29:45</v>
      </c>
      <c r="C1531" s="5" t="s">
        <v>25</v>
      </c>
      <c r="D1531" s="6" t="s">
        <v>25</v>
      </c>
      <c r="E1531" s="7">
        <f>VLOOKUP(A1531,Sheet2!$A$2:$R$3432,4,0)</f>
        <v>9764705265</v>
      </c>
      <c r="F1531" s="7" t="str">
        <f>VLOOKUP(A1531,Sheet2!$A$2:$R$3432,3,0)</f>
        <v>Sankalp</v>
      </c>
      <c r="G1531" s="5" t="s">
        <v>25</v>
      </c>
      <c r="H1531" s="5" t="s">
        <v>25</v>
      </c>
      <c r="I1531" s="5" t="s">
        <v>25</v>
      </c>
      <c r="J1531" s="5" t="s">
        <v>25</v>
      </c>
      <c r="K1531" s="7" t="str">
        <f>VLOOKUP(A1531,Sheet2!$A$2:$R$3432,6,0)</f>
        <v>Yamaha R15 2</v>
      </c>
      <c r="L1531" s="5" t="s">
        <v>25</v>
      </c>
      <c r="M1531" s="7" t="str">
        <f>VLOOKUP(A1531,Sheet2!$A$2:$R$3432,5,0)</f>
        <v>MH12GS6291</v>
      </c>
      <c r="N1531" s="5" t="s">
        <v>25</v>
      </c>
      <c r="O1531" s="5" t="s">
        <v>25</v>
      </c>
      <c r="P1531" s="6" t="s">
        <v>25</v>
      </c>
      <c r="Q1531" s="5" t="s">
        <v>25</v>
      </c>
      <c r="R1531" s="5" t="s">
        <v>25</v>
      </c>
      <c r="S1531" s="7" t="str">
        <f>VLOOKUP(A1531,Sheet2!$A$2:$R$3432,18,0)</f>
        <v/>
      </c>
      <c r="T1531" s="7" t="str">
        <f>VLOOKUP(A1531,Sheet2!$A$2:$R$3432,17,0)</f>
        <v/>
      </c>
    </row>
    <row r="1532" ht="15.75" customHeight="1">
      <c r="A1532" s="3" t="s">
        <v>1555</v>
      </c>
      <c r="B1532" s="4" t="str">
        <f>VLOOKUP(A1532,Sheet2!$A$2:$R$3432,2,0)</f>
        <v>2025-06-19 17:58:09</v>
      </c>
      <c r="C1532" s="5" t="s">
        <v>25</v>
      </c>
      <c r="D1532" s="6" t="s">
        <v>25</v>
      </c>
      <c r="E1532" s="7">
        <f>VLOOKUP(A1532,Sheet2!$A$2:$R$3432,4,0)</f>
        <v>7387043468</v>
      </c>
      <c r="F1532" s="7" t="str">
        <f>VLOOKUP(A1532,Sheet2!$A$2:$R$3432,3,0)</f>
        <v>Shivaji</v>
      </c>
      <c r="G1532" s="5" t="s">
        <v>25</v>
      </c>
      <c r="H1532" s="5" t="s">
        <v>25</v>
      </c>
      <c r="I1532" s="5" t="s">
        <v>25</v>
      </c>
      <c r="J1532" s="5" t="s">
        <v>25</v>
      </c>
      <c r="K1532" s="7" t="str">
        <f>VLOOKUP(A1532,Sheet2!$A$2:$R$3432,6,0)</f>
        <v>Honda Activa 3G</v>
      </c>
      <c r="L1532" s="5" t="s">
        <v>25</v>
      </c>
      <c r="M1532" s="7" t="str">
        <f>VLOOKUP(A1532,Sheet2!$A$2:$R$3432,5,0)</f>
        <v>MH12MD5080</v>
      </c>
      <c r="N1532" s="5" t="s">
        <v>25</v>
      </c>
      <c r="O1532" s="5" t="s">
        <v>25</v>
      </c>
      <c r="P1532" s="6" t="s">
        <v>25</v>
      </c>
      <c r="Q1532" s="5" t="s">
        <v>25</v>
      </c>
      <c r="R1532" s="5" t="s">
        <v>25</v>
      </c>
      <c r="S1532" s="5" t="str">
        <f>VLOOKUP(A1532,Sheet2!$A$2:$R$3432,18,0)</f>
        <v>JE50ET2446061</v>
      </c>
      <c r="T1532" s="7" t="str">
        <f>VLOOKUP(A1532,Sheet2!$A$2:$R$3432,17,0)</f>
        <v>ME4JF504FFT445006</v>
      </c>
    </row>
    <row r="1533" ht="15.75" customHeight="1">
      <c r="A1533" s="3" t="s">
        <v>1556</v>
      </c>
      <c r="B1533" s="4" t="str">
        <f>VLOOKUP(A1533,Sheet2!$A$2:$R$3432,2,0)</f>
        <v>2025-06-19 17:57:29</v>
      </c>
      <c r="C1533" s="5" t="s">
        <v>25</v>
      </c>
      <c r="D1533" s="6" t="s">
        <v>25</v>
      </c>
      <c r="E1533" s="7">
        <f>VLOOKUP(A1533,Sheet2!$A$2:$R$3432,4,0)</f>
        <v>9309471948</v>
      </c>
      <c r="F1533" s="7" t="str">
        <f>VLOOKUP(A1533,Sheet2!$A$2:$R$3432,3,0)</f>
        <v>Naveen</v>
      </c>
      <c r="G1533" s="5" t="s">
        <v>25</v>
      </c>
      <c r="H1533" s="5" t="s">
        <v>25</v>
      </c>
      <c r="I1533" s="5" t="s">
        <v>25</v>
      </c>
      <c r="J1533" s="5" t="s">
        <v>25</v>
      </c>
      <c r="K1533" s="7" t="str">
        <f>VLOOKUP(A1533,Sheet2!$A$2:$R$3432,6,0)</f>
        <v>Bajaj Pulsar 150 AS</v>
      </c>
      <c r="L1533" s="5" t="s">
        <v>25</v>
      </c>
      <c r="M1533" s="7" t="str">
        <f>VLOOKUP(A1533,Sheet2!$A$2:$R$3432,5,0)</f>
        <v>KA26W0987</v>
      </c>
      <c r="N1533" s="5" t="s">
        <v>25</v>
      </c>
      <c r="O1533" s="5" t="s">
        <v>25</v>
      </c>
      <c r="P1533" s="6" t="s">
        <v>25</v>
      </c>
      <c r="Q1533" s="5" t="s">
        <v>25</v>
      </c>
      <c r="R1533" s="5" t="s">
        <v>25</v>
      </c>
      <c r="S1533" s="7" t="str">
        <f>VLOOKUP(A1533,Sheet2!$A$2:$R$3432,18,0)</f>
        <v/>
      </c>
      <c r="T1533" s="7" t="str">
        <f>VLOOKUP(A1533,Sheet2!$A$2:$R$3432,17,0)</f>
        <v/>
      </c>
    </row>
    <row r="1534" ht="15.75" customHeight="1">
      <c r="A1534" s="3" t="s">
        <v>1557</v>
      </c>
      <c r="B1534" s="4" t="str">
        <f>VLOOKUP(A1534,Sheet2!$A$2:$R$3432,2,0)</f>
        <v>2025-06-19 20:19:23</v>
      </c>
      <c r="C1534" s="5" t="s">
        <v>25</v>
      </c>
      <c r="D1534" s="6" t="s">
        <v>25</v>
      </c>
      <c r="E1534" s="7">
        <f>VLOOKUP(A1534,Sheet2!$A$2:$R$3432,4,0)</f>
        <v>9158796797</v>
      </c>
      <c r="F1534" s="7" t="str">
        <f>VLOOKUP(A1534,Sheet2!$A$2:$R$3432,3,0)</f>
        <v>Harshal Pandit</v>
      </c>
      <c r="G1534" s="5" t="s">
        <v>25</v>
      </c>
      <c r="H1534" s="5" t="s">
        <v>25</v>
      </c>
      <c r="I1534" s="5" t="s">
        <v>25</v>
      </c>
      <c r="J1534" s="5" t="s">
        <v>25</v>
      </c>
      <c r="K1534" s="7" t="str">
        <f>VLOOKUP(A1534,Sheet2!$A$2:$R$3432,6,0)</f>
        <v>Yamaha SZ RR</v>
      </c>
      <c r="L1534" s="5" t="s">
        <v>25</v>
      </c>
      <c r="M1534" s="7" t="str">
        <f>VLOOKUP(A1534,Sheet2!$A$2:$R$3432,5,0)</f>
        <v>MH17AL6435</v>
      </c>
      <c r="N1534" s="5" t="s">
        <v>25</v>
      </c>
      <c r="O1534" s="5" t="s">
        <v>25</v>
      </c>
      <c r="P1534" s="6" t="s">
        <v>25</v>
      </c>
      <c r="Q1534" s="5" t="s">
        <v>25</v>
      </c>
      <c r="R1534" s="5" t="s">
        <v>25</v>
      </c>
      <c r="S1534" s="5" t="str">
        <f>VLOOKUP(A1534,Sheet2!$A$2:$R$3432,18,0)</f>
        <v>54B1017203</v>
      </c>
      <c r="T1534" s="7" t="str">
        <f>VLOOKUP(A1534,Sheet2!$A$2:$R$3432,17,0)</f>
        <v>ME154B0X42D7187</v>
      </c>
    </row>
    <row r="1535" ht="15.75" customHeight="1">
      <c r="A1535" s="3" t="s">
        <v>1558</v>
      </c>
      <c r="B1535" s="4" t="str">
        <f>VLOOKUP(A1535,Sheet2!$A$2:$R$3432,2,0)</f>
        <v>2025-06-19 12:25:59</v>
      </c>
      <c r="C1535" s="5" t="s">
        <v>25</v>
      </c>
      <c r="D1535" s="6" t="s">
        <v>25</v>
      </c>
      <c r="E1535" s="7">
        <f>VLOOKUP(A1535,Sheet2!$A$2:$R$3432,4,0)</f>
        <v>9665431727</v>
      </c>
      <c r="F1535" s="7" t="str">
        <f>VLOOKUP(A1535,Sheet2!$A$2:$R$3432,3,0)</f>
        <v>Swapnil</v>
      </c>
      <c r="G1535" s="5" t="s">
        <v>25</v>
      </c>
      <c r="H1535" s="5" t="s">
        <v>25</v>
      </c>
      <c r="I1535" s="5" t="s">
        <v>25</v>
      </c>
      <c r="J1535" s="5" t="s">
        <v>25</v>
      </c>
      <c r="K1535" s="7" t="str">
        <f>VLOOKUP(A1535,Sheet2!$A$2:$R$3432,6,0)</f>
        <v>TVS Jupiter </v>
      </c>
      <c r="L1535" s="5" t="s">
        <v>25</v>
      </c>
      <c r="M1535" s="7" t="str">
        <f>VLOOKUP(A1535,Sheet2!$A$2:$R$3432,5,0)</f>
        <v>MH14JT2587</v>
      </c>
      <c r="N1535" s="5" t="s">
        <v>25</v>
      </c>
      <c r="O1535" s="5" t="s">
        <v>25</v>
      </c>
      <c r="P1535" s="6" t="s">
        <v>25</v>
      </c>
      <c r="Q1535" s="5" t="s">
        <v>25</v>
      </c>
      <c r="R1535" s="5" t="s">
        <v>25</v>
      </c>
      <c r="S1535" s="7" t="str">
        <f>VLOOKUP(A1535,Sheet2!$A$2:$R$3432,18,0)</f>
        <v/>
      </c>
      <c r="T1535" s="7" t="str">
        <f>VLOOKUP(A1535,Sheet2!$A$2:$R$3432,17,0)</f>
        <v/>
      </c>
    </row>
    <row r="1536" ht="15.75" customHeight="1">
      <c r="A1536" s="3" t="s">
        <v>1559</v>
      </c>
      <c r="B1536" s="4" t="str">
        <f>VLOOKUP(A1536,Sheet2!$A$2:$R$3432,2,0)</f>
        <v>2025-06-19 12:25:46</v>
      </c>
      <c r="C1536" s="5" t="s">
        <v>25</v>
      </c>
      <c r="D1536" s="6" t="s">
        <v>25</v>
      </c>
      <c r="E1536" s="7">
        <f>VLOOKUP(A1536,Sheet2!$A$2:$R$3432,4,0)</f>
        <v>9767474769</v>
      </c>
      <c r="F1536" s="7" t="str">
        <f>VLOOKUP(A1536,Sheet2!$A$2:$R$3432,3,0)</f>
        <v>Prithviraj </v>
      </c>
      <c r="G1536" s="5" t="s">
        <v>25</v>
      </c>
      <c r="H1536" s="5" t="s">
        <v>25</v>
      </c>
      <c r="I1536" s="5" t="s">
        <v>25</v>
      </c>
      <c r="J1536" s="5" t="s">
        <v>25</v>
      </c>
      <c r="K1536" s="7" t="str">
        <f>VLOOKUP(A1536,Sheet2!$A$2:$R$3432,6,0)</f>
        <v>Honda Activa 5G</v>
      </c>
      <c r="L1536" s="5" t="s">
        <v>25</v>
      </c>
      <c r="M1536" s="7" t="str">
        <f>VLOOKUP(A1536,Sheet2!$A$2:$R$3432,5,0)</f>
        <v>MH14HC3458</v>
      </c>
      <c r="N1536" s="5" t="s">
        <v>25</v>
      </c>
      <c r="O1536" s="5" t="s">
        <v>25</v>
      </c>
      <c r="P1536" s="6" t="s">
        <v>25</v>
      </c>
      <c r="Q1536" s="5" t="s">
        <v>25</v>
      </c>
      <c r="R1536" s="5" t="s">
        <v>25</v>
      </c>
      <c r="S1536" s="5" t="str">
        <f>VLOOKUP(A1536,Sheet2!$A$2:$R$3432,18,0)</f>
        <v>JF50EU8118001</v>
      </c>
      <c r="T1536" s="7" t="str">
        <f>VLOOKUP(A1536,Sheet2!$A$2:$R$3432,17,0)</f>
        <v>ME4JF50BHJU119741</v>
      </c>
    </row>
    <row r="1537" ht="15.75" customHeight="1">
      <c r="A1537" s="3" t="s">
        <v>1560</v>
      </c>
      <c r="B1537" s="4" t="str">
        <f>VLOOKUP(A1537,Sheet2!$A$2:$R$3432,2,0)</f>
        <v>2025-06-19 12:25:28</v>
      </c>
      <c r="C1537" s="5" t="s">
        <v>25</v>
      </c>
      <c r="D1537" s="6" t="s">
        <v>25</v>
      </c>
      <c r="E1537" s="7">
        <f>VLOOKUP(A1537,Sheet2!$A$2:$R$3432,4,0)</f>
        <v>9764696387</v>
      </c>
      <c r="F1537" s="7" t="str">
        <f>VLOOKUP(A1537,Sheet2!$A$2:$R$3432,3,0)</f>
        <v>Sangram Sathe</v>
      </c>
      <c r="G1537" s="5" t="s">
        <v>25</v>
      </c>
      <c r="H1537" s="5" t="s">
        <v>25</v>
      </c>
      <c r="I1537" s="5" t="s">
        <v>25</v>
      </c>
      <c r="J1537" s="5" t="s">
        <v>25</v>
      </c>
      <c r="K1537" s="7" t="str">
        <f>VLOOKUP(A1537,Sheet2!$A$2:$R$3432,6,0)</f>
        <v>TVS Jupiter </v>
      </c>
      <c r="L1537" s="5" t="s">
        <v>25</v>
      </c>
      <c r="M1537" s="7" t="str">
        <f>VLOOKUP(A1537,Sheet2!$A$2:$R$3432,5,0)</f>
        <v>MH14HT0800</v>
      </c>
      <c r="N1537" s="5" t="s">
        <v>25</v>
      </c>
      <c r="O1537" s="5" t="s">
        <v>25</v>
      </c>
      <c r="P1537" s="6" t="s">
        <v>25</v>
      </c>
      <c r="Q1537" s="5" t="s">
        <v>25</v>
      </c>
      <c r="R1537" s="5" t="s">
        <v>25</v>
      </c>
      <c r="S1537" s="7" t="str">
        <f>VLOOKUP(A1537,Sheet2!$A$2:$R$3432,18,0)</f>
        <v/>
      </c>
      <c r="T1537" s="7" t="str">
        <f>VLOOKUP(A1537,Sheet2!$A$2:$R$3432,17,0)</f>
        <v>MD626EG4XK1H37339</v>
      </c>
    </row>
    <row r="1538" ht="15.75" customHeight="1">
      <c r="A1538" s="3" t="s">
        <v>1561</v>
      </c>
      <c r="B1538" s="4" t="str">
        <f>VLOOKUP(A1538,Sheet2!$A$2:$R$3432,2,0)</f>
        <v>2025-03-22 20:03:15</v>
      </c>
      <c r="C1538" s="5" t="s">
        <v>25</v>
      </c>
      <c r="D1538" s="6" t="s">
        <v>25</v>
      </c>
      <c r="E1538" s="7">
        <f>VLOOKUP(A1538,Sheet2!$A$2:$R$3432,4,0)</f>
        <v>9664976023</v>
      </c>
      <c r="F1538" s="7" t="str">
        <f>VLOOKUP(A1538,Sheet2!$A$2:$R$3432,3,0)</f>
        <v>MANESH GHODEKAR</v>
      </c>
      <c r="G1538" s="5" t="s">
        <v>25</v>
      </c>
      <c r="H1538" s="5" t="s">
        <v>25</v>
      </c>
      <c r="I1538" s="5" t="s">
        <v>25</v>
      </c>
      <c r="J1538" s="5" t="s">
        <v>25</v>
      </c>
      <c r="K1538" s="7" t="str">
        <f>VLOOKUP(A1538,Sheet2!$A$2:$R$3432,6,0)</f>
        <v>Suzuki Access 125</v>
      </c>
      <c r="L1538" s="5" t="s">
        <v>25</v>
      </c>
      <c r="M1538" s="7" t="str">
        <f>VLOOKUP(A1538,Sheet2!$A$2:$R$3432,5,0)</f>
        <v>MH43BD3223</v>
      </c>
      <c r="N1538" s="5" t="s">
        <v>25</v>
      </c>
      <c r="O1538" s="5" t="s">
        <v>25</v>
      </c>
      <c r="P1538" s="6" t="s">
        <v>25</v>
      </c>
      <c r="Q1538" s="5" t="s">
        <v>25</v>
      </c>
      <c r="R1538" s="5" t="s">
        <v>25</v>
      </c>
      <c r="S1538" s="5" t="str">
        <f>VLOOKUP(A1538,Sheet2!$A$2:$R$3432,18,0)</f>
        <v>AF211084168</v>
      </c>
      <c r="T1538" s="7" t="str">
        <f>VLOOKUP(A1538,Sheet2!$A$2:$R$3432,17,0)</f>
        <v>MB8DP11AH68191457</v>
      </c>
    </row>
    <row r="1539" ht="15.75" customHeight="1">
      <c r="A1539" s="3" t="s">
        <v>1562</v>
      </c>
      <c r="B1539" s="4" t="str">
        <f>VLOOKUP(A1539,Sheet2!$A$2:$R$3432,2,0)</f>
        <v>2025-03-22 20:03:53</v>
      </c>
      <c r="C1539" s="5" t="s">
        <v>25</v>
      </c>
      <c r="D1539" s="6" t="s">
        <v>25</v>
      </c>
      <c r="E1539" s="7">
        <f>VLOOKUP(A1539,Sheet2!$A$2:$R$3432,4,0)</f>
        <v>9284298453</v>
      </c>
      <c r="F1539" s="7" t="str">
        <f>VLOOKUP(A1539,Sheet2!$A$2:$R$3432,3,0)</f>
        <v>Rahul Borve</v>
      </c>
      <c r="G1539" s="5" t="s">
        <v>25</v>
      </c>
      <c r="H1539" s="5" t="s">
        <v>25</v>
      </c>
      <c r="I1539" s="5" t="s">
        <v>25</v>
      </c>
      <c r="J1539" s="5" t="s">
        <v>25</v>
      </c>
      <c r="K1539" s="7" t="str">
        <f>VLOOKUP(A1539,Sheet2!$A$2:$R$3432,6,0)</f>
        <v>Aprilla SR SR 150</v>
      </c>
      <c r="L1539" s="5" t="s">
        <v>25</v>
      </c>
      <c r="M1539" s="7" t="str">
        <f>VLOOKUP(A1539,Sheet2!$A$2:$R$3432,5,0)</f>
        <v>MH12PS1465</v>
      </c>
      <c r="N1539" s="5" t="s">
        <v>25</v>
      </c>
      <c r="O1539" s="5" t="s">
        <v>25</v>
      </c>
      <c r="P1539" s="6" t="s">
        <v>25</v>
      </c>
      <c r="Q1539" s="5" t="s">
        <v>25</v>
      </c>
      <c r="R1539" s="5" t="s">
        <v>25</v>
      </c>
      <c r="S1539" s="5" t="str">
        <f>VLOOKUP(A1539,Sheet2!$A$2:$R$3432,18,0)</f>
        <v>M911M3030588</v>
      </c>
      <c r="T1539" s="7" t="str">
        <f>VLOOKUP(A1539,Sheet2!$A$2:$R$3432,17,0)</f>
        <v>MET0061AAVH030302</v>
      </c>
    </row>
    <row r="1540" ht="15.75" customHeight="1">
      <c r="A1540" s="3" t="s">
        <v>1563</v>
      </c>
      <c r="B1540" s="4" t="str">
        <f>VLOOKUP(A1540,Sheet2!$A$2:$R$3432,2,0)</f>
        <v>2025-03-22 20:04:22</v>
      </c>
      <c r="C1540" s="5" t="s">
        <v>25</v>
      </c>
      <c r="D1540" s="6" t="s">
        <v>25</v>
      </c>
      <c r="E1540" s="7">
        <f>VLOOKUP(A1540,Sheet2!$A$2:$R$3432,4,0)</f>
        <v>8880263040</v>
      </c>
      <c r="F1540" s="7" t="str">
        <f>VLOOKUP(A1540,Sheet2!$A$2:$R$3432,3,0)</f>
        <v>Avdhoot Jadhav </v>
      </c>
      <c r="G1540" s="5" t="s">
        <v>25</v>
      </c>
      <c r="H1540" s="5" t="s">
        <v>25</v>
      </c>
      <c r="I1540" s="5" t="s">
        <v>25</v>
      </c>
      <c r="J1540" s="5" t="s">
        <v>25</v>
      </c>
      <c r="K1540" s="7" t="str">
        <f>VLOOKUP(A1540,Sheet2!$A$2:$R$3432,6,0)</f>
        <v>Yamaha R15 </v>
      </c>
      <c r="L1540" s="5" t="s">
        <v>25</v>
      </c>
      <c r="M1540" s="7" t="str">
        <f>VLOOKUP(A1540,Sheet2!$A$2:$R$3432,5,0)</f>
        <v>KA22EW4971</v>
      </c>
      <c r="N1540" s="5" t="s">
        <v>25</v>
      </c>
      <c r="O1540" s="5" t="s">
        <v>25</v>
      </c>
      <c r="P1540" s="6" t="s">
        <v>25</v>
      </c>
      <c r="Q1540" s="5" t="s">
        <v>25</v>
      </c>
      <c r="R1540" s="5" t="s">
        <v>25</v>
      </c>
      <c r="S1540" s="7" t="str">
        <f>VLOOKUP(A1540,Sheet2!$A$2:$R$3432,18,0)</f>
        <v/>
      </c>
      <c r="T1540" s="7" t="str">
        <f>VLOOKUP(A1540,Sheet2!$A$2:$R$3432,17,0)</f>
        <v/>
      </c>
    </row>
    <row r="1541" ht="15.75" customHeight="1">
      <c r="A1541" s="3" t="s">
        <v>1564</v>
      </c>
      <c r="B1541" s="4" t="str">
        <f>VLOOKUP(A1541,Sheet2!$A$2:$R$3432,2,0)</f>
        <v>2025-03-22 20:06:45</v>
      </c>
      <c r="C1541" s="5" t="s">
        <v>25</v>
      </c>
      <c r="D1541" s="6" t="s">
        <v>25</v>
      </c>
      <c r="E1541" s="7">
        <f>VLOOKUP(A1541,Sheet2!$A$2:$R$3432,4,0)</f>
        <v>9765466233</v>
      </c>
      <c r="F1541" s="7" t="str">
        <f>VLOOKUP(A1541,Sheet2!$A$2:$R$3432,3,0)</f>
        <v>Sameer </v>
      </c>
      <c r="G1541" s="5" t="s">
        <v>25</v>
      </c>
      <c r="H1541" s="5" t="s">
        <v>25</v>
      </c>
      <c r="I1541" s="5" t="s">
        <v>25</v>
      </c>
      <c r="J1541" s="5" t="s">
        <v>25</v>
      </c>
      <c r="K1541" s="7" t="str">
        <f>VLOOKUP(A1541,Sheet2!$A$2:$R$3432,6,0)</f>
        <v>Honda Activa 3G</v>
      </c>
      <c r="L1541" s="5" t="s">
        <v>25</v>
      </c>
      <c r="M1541" s="7" t="str">
        <f>VLOOKUP(A1541,Sheet2!$A$2:$R$3432,5,0)</f>
        <v>MH14FA4314</v>
      </c>
      <c r="N1541" s="5" t="s">
        <v>25</v>
      </c>
      <c r="O1541" s="5" t="s">
        <v>25</v>
      </c>
      <c r="P1541" s="6" t="s">
        <v>25</v>
      </c>
      <c r="Q1541" s="5" t="s">
        <v>25</v>
      </c>
      <c r="R1541" s="5" t="s">
        <v>25</v>
      </c>
      <c r="S1541" s="7" t="str">
        <f>VLOOKUP(A1541,Sheet2!$A$2:$R$3432,18,0)</f>
        <v/>
      </c>
      <c r="T1541" s="7" t="str">
        <f>VLOOKUP(A1541,Sheet2!$A$2:$R$3432,17,0)</f>
        <v/>
      </c>
    </row>
    <row r="1542" ht="15.75" customHeight="1">
      <c r="A1542" s="3" t="s">
        <v>1565</v>
      </c>
      <c r="B1542" s="4" t="str">
        <f>VLOOKUP(A1542,Sheet2!$A$2:$R$3432,2,0)</f>
        <v>2025-03-22 20:09:54</v>
      </c>
      <c r="C1542" s="5" t="s">
        <v>25</v>
      </c>
      <c r="D1542" s="6" t="s">
        <v>25</v>
      </c>
      <c r="E1542" s="7">
        <f>VLOOKUP(A1542,Sheet2!$A$2:$R$3432,4,0)</f>
        <v>7875313013</v>
      </c>
      <c r="F1542" s="7" t="str">
        <f>VLOOKUP(A1542,Sheet2!$A$2:$R$3432,3,0)</f>
        <v>Atul</v>
      </c>
      <c r="G1542" s="5" t="s">
        <v>25</v>
      </c>
      <c r="H1542" s="5" t="s">
        <v>25</v>
      </c>
      <c r="I1542" s="5" t="s">
        <v>25</v>
      </c>
      <c r="J1542" s="5" t="s">
        <v>25</v>
      </c>
      <c r="K1542" s="7" t="str">
        <f>VLOOKUP(A1542,Sheet2!$A$2:$R$3432,6,0)</f>
        <v>Hero Xtreme </v>
      </c>
      <c r="L1542" s="5" t="s">
        <v>25</v>
      </c>
      <c r="M1542" s="7" t="str">
        <f>VLOOKUP(A1542,Sheet2!$A$2:$R$3432,5,0)</f>
        <v>MH20CW2975</v>
      </c>
      <c r="N1542" s="5" t="s">
        <v>25</v>
      </c>
      <c r="O1542" s="5" t="s">
        <v>25</v>
      </c>
      <c r="P1542" s="6" t="s">
        <v>25</v>
      </c>
      <c r="Q1542" s="5" t="s">
        <v>25</v>
      </c>
      <c r="R1542" s="5" t="s">
        <v>25</v>
      </c>
      <c r="S1542" s="5" t="str">
        <f>VLOOKUP(A1542,Sheet2!$A$2:$R$3432,18,0)</f>
        <v>KC12EEDGH01239</v>
      </c>
      <c r="T1542" s="7" t="str">
        <f>VLOOKUP(A1542,Sheet2!$A$2:$R$3432,17,0)</f>
        <v>MBLKC12EHDGH0841</v>
      </c>
    </row>
    <row r="1543" ht="15.75" customHeight="1">
      <c r="A1543" s="3" t="s">
        <v>1566</v>
      </c>
      <c r="B1543" s="4" t="str">
        <f>VLOOKUP(A1543,Sheet2!$A$2:$R$3432,2,0)</f>
        <v>2025-03-22 20:15:10</v>
      </c>
      <c r="C1543" s="5" t="s">
        <v>25</v>
      </c>
      <c r="D1543" s="6" t="s">
        <v>25</v>
      </c>
      <c r="E1543" s="7">
        <f>VLOOKUP(A1543,Sheet2!$A$2:$R$3432,4,0)</f>
        <v>9922443380</v>
      </c>
      <c r="F1543" s="7" t="str">
        <f>VLOOKUP(A1543,Sheet2!$A$2:$R$3432,3,0)</f>
        <v>Mahesh</v>
      </c>
      <c r="G1543" s="5" t="s">
        <v>25</v>
      </c>
      <c r="H1543" s="5" t="s">
        <v>25</v>
      </c>
      <c r="I1543" s="5" t="s">
        <v>25</v>
      </c>
      <c r="J1543" s="5" t="s">
        <v>25</v>
      </c>
      <c r="K1543" s="7" t="str">
        <f>VLOOKUP(A1543,Sheet2!$A$2:$R$3432,6,0)</f>
        <v>Suzuki Access 125</v>
      </c>
      <c r="L1543" s="5" t="s">
        <v>25</v>
      </c>
      <c r="M1543" s="7" t="str">
        <f>VLOOKUP(A1543,Sheet2!$A$2:$R$3432,5,0)</f>
        <v>MH15CP9818</v>
      </c>
      <c r="N1543" s="5" t="s">
        <v>25</v>
      </c>
      <c r="O1543" s="5" t="s">
        <v>25</v>
      </c>
      <c r="P1543" s="6" t="s">
        <v>25</v>
      </c>
      <c r="Q1543" s="5" t="s">
        <v>25</v>
      </c>
      <c r="R1543" s="5" t="s">
        <v>25</v>
      </c>
      <c r="S1543" s="5" t="str">
        <f>VLOOKUP(A1543,Sheet2!$A$2:$R$3432,18,0)</f>
        <v>F458345505</v>
      </c>
      <c r="T1543" s="7" t="str">
        <f>VLOOKUP(A1543,Sheet2!$A$2:$R$3432,17,0)</f>
        <v>MB8CF4CAC8110223</v>
      </c>
    </row>
    <row r="1544" ht="15.75" customHeight="1">
      <c r="A1544" s="3" t="s">
        <v>1567</v>
      </c>
      <c r="B1544" s="4" t="str">
        <f>VLOOKUP(A1544,Sheet2!$A$2:$R$3432,2,0)</f>
        <v>2025-03-22 20:12:40</v>
      </c>
      <c r="C1544" s="5" t="s">
        <v>25</v>
      </c>
      <c r="D1544" s="6" t="s">
        <v>25</v>
      </c>
      <c r="E1544" s="7">
        <f>VLOOKUP(A1544,Sheet2!$A$2:$R$3432,4,0)</f>
        <v>8879289434</v>
      </c>
      <c r="F1544" s="7" t="str">
        <f>VLOOKUP(A1544,Sheet2!$A$2:$R$3432,3,0)</f>
        <v>Mahesh</v>
      </c>
      <c r="G1544" s="5" t="s">
        <v>25</v>
      </c>
      <c r="H1544" s="5" t="s">
        <v>25</v>
      </c>
      <c r="I1544" s="5" t="s">
        <v>25</v>
      </c>
      <c r="J1544" s="5" t="s">
        <v>25</v>
      </c>
      <c r="K1544" s="7" t="str">
        <f>VLOOKUP(A1544,Sheet2!$A$2:$R$3432,6,0)</f>
        <v>Honda Unicorn </v>
      </c>
      <c r="L1544" s="5" t="s">
        <v>25</v>
      </c>
      <c r="M1544" s="7" t="str">
        <f>VLOOKUP(A1544,Sheet2!$A$2:$R$3432,5,0)</f>
        <v>MH12QV3097</v>
      </c>
      <c r="N1544" s="5" t="s">
        <v>25</v>
      </c>
      <c r="O1544" s="5" t="s">
        <v>25</v>
      </c>
      <c r="P1544" s="6" t="s">
        <v>25</v>
      </c>
      <c r="Q1544" s="5" t="s">
        <v>25</v>
      </c>
      <c r="R1544" s="5" t="s">
        <v>25</v>
      </c>
      <c r="S1544" s="5" t="str">
        <f>VLOOKUP(A1544,Sheet2!$A$2:$R$3432,18,0)</f>
        <v>KC31E80357222</v>
      </c>
      <c r="T1544" s="7" t="str">
        <f>VLOOKUP(A1544,Sheet2!$A$2:$R$3432,17,0)</f>
        <v>RUSTY FRAME </v>
      </c>
    </row>
    <row r="1545" ht="15.75" customHeight="1">
      <c r="A1545" s="3" t="s">
        <v>1568</v>
      </c>
      <c r="B1545" s="4" t="str">
        <f>VLOOKUP(A1545,Sheet2!$A$2:$R$3432,2,0)</f>
        <v>2025-03-22 20:11:42</v>
      </c>
      <c r="C1545" s="5" t="s">
        <v>25</v>
      </c>
      <c r="D1545" s="6" t="s">
        <v>25</v>
      </c>
      <c r="E1545" s="7">
        <f>VLOOKUP(A1545,Sheet2!$A$2:$R$3432,4,0)</f>
        <v>9885183711</v>
      </c>
      <c r="F1545" s="7" t="str">
        <f>VLOOKUP(A1545,Sheet2!$A$2:$R$3432,3,0)</f>
        <v>Vamsi</v>
      </c>
      <c r="G1545" s="5" t="s">
        <v>25</v>
      </c>
      <c r="H1545" s="5" t="s">
        <v>25</v>
      </c>
      <c r="I1545" s="5" t="s">
        <v>25</v>
      </c>
      <c r="J1545" s="5" t="s">
        <v>25</v>
      </c>
      <c r="K1545" s="7" t="str">
        <f>VLOOKUP(A1545,Sheet2!$A$2:$R$3432,6,0)</f>
        <v>Honda Unicorn </v>
      </c>
      <c r="L1545" s="5" t="s">
        <v>25</v>
      </c>
      <c r="M1545" s="7" t="str">
        <f>VLOOKUP(A1545,Sheet2!$A$2:$R$3432,5,0)</f>
        <v>KA01JE5712</v>
      </c>
      <c r="N1545" s="5" t="s">
        <v>25</v>
      </c>
      <c r="O1545" s="5" t="s">
        <v>25</v>
      </c>
      <c r="P1545" s="6" t="s">
        <v>25</v>
      </c>
      <c r="Q1545" s="5" t="s">
        <v>25</v>
      </c>
      <c r="R1545" s="5" t="s">
        <v>25</v>
      </c>
      <c r="S1545" s="7" t="str">
        <f>VLOOKUP(A1545,Sheet2!$A$2:$R$3432,18,0)</f>
        <v/>
      </c>
      <c r="T1545" s="7" t="str">
        <f>VLOOKUP(A1545,Sheet2!$A$2:$R$3432,17,0)</f>
        <v/>
      </c>
    </row>
    <row r="1546" ht="15.75" customHeight="1">
      <c r="A1546" s="3" t="s">
        <v>1569</v>
      </c>
      <c r="B1546" s="4" t="str">
        <f>VLOOKUP(A1546,Sheet2!$A$2:$R$3432,2,0)</f>
        <v>2025-03-22 20:18:23</v>
      </c>
      <c r="C1546" s="5" t="s">
        <v>25</v>
      </c>
      <c r="D1546" s="6" t="s">
        <v>25</v>
      </c>
      <c r="E1546" s="7">
        <f>VLOOKUP(A1546,Sheet2!$A$2:$R$3432,4,0)</f>
        <v>8411055881</v>
      </c>
      <c r="F1546" s="7" t="str">
        <f>VLOOKUP(A1546,Sheet2!$A$2:$R$3432,3,0)</f>
        <v>Anisha</v>
      </c>
      <c r="G1546" s="5" t="s">
        <v>25</v>
      </c>
      <c r="H1546" s="5" t="s">
        <v>25</v>
      </c>
      <c r="I1546" s="5" t="s">
        <v>25</v>
      </c>
      <c r="J1546" s="5" t="s">
        <v>25</v>
      </c>
      <c r="K1546" s="7" t="str">
        <f>VLOOKUP(A1546,Sheet2!$A$2:$R$3432,6,0)</f>
        <v>Suzuki Burgman Street </v>
      </c>
      <c r="L1546" s="5" t="s">
        <v>25</v>
      </c>
      <c r="M1546" s="7" t="str">
        <f>VLOOKUP(A1546,Sheet2!$A$2:$R$3432,5,0)</f>
        <v>MH12RG8987</v>
      </c>
      <c r="N1546" s="5" t="s">
        <v>25</v>
      </c>
      <c r="O1546" s="5" t="s">
        <v>25</v>
      </c>
      <c r="P1546" s="6" t="s">
        <v>25</v>
      </c>
      <c r="Q1546" s="5" t="s">
        <v>25</v>
      </c>
      <c r="R1546" s="5" t="s">
        <v>25</v>
      </c>
      <c r="S1546" s="7" t="str">
        <f>VLOOKUP(A1546,Sheet2!$A$2:$R$3432,18,0)</f>
        <v/>
      </c>
      <c r="T1546" s="7" t="str">
        <f>VLOOKUP(A1546,Sheet2!$A$2:$R$3432,17,0)</f>
        <v>MB8EA11AAK81526641</v>
      </c>
    </row>
    <row r="1547" ht="15.75" customHeight="1">
      <c r="A1547" s="3" t="s">
        <v>1570</v>
      </c>
      <c r="B1547" s="4" t="str">
        <f>VLOOKUP(A1547,Sheet2!$A$2:$R$3432,2,0)</f>
        <v>2025-03-22 20:14:44</v>
      </c>
      <c r="C1547" s="5" t="s">
        <v>25</v>
      </c>
      <c r="D1547" s="6" t="s">
        <v>25</v>
      </c>
      <c r="E1547" s="7">
        <f>VLOOKUP(A1547,Sheet2!$A$2:$R$3432,4,0)</f>
        <v>9561466895</v>
      </c>
      <c r="F1547" s="7" t="str">
        <f>VLOOKUP(A1547,Sheet2!$A$2:$R$3432,3,0)</f>
        <v>Sudarshan </v>
      </c>
      <c r="G1547" s="5" t="s">
        <v>25</v>
      </c>
      <c r="H1547" s="5" t="s">
        <v>25</v>
      </c>
      <c r="I1547" s="5" t="s">
        <v>25</v>
      </c>
      <c r="J1547" s="5" t="s">
        <v>25</v>
      </c>
      <c r="K1547" s="7" t="str">
        <f>VLOOKUP(A1547,Sheet2!$A$2:$R$3432,6,0)</f>
        <v>Hero Karizma </v>
      </c>
      <c r="L1547" s="5" t="s">
        <v>25</v>
      </c>
      <c r="M1547" s="7" t="str">
        <f>VLOOKUP(A1547,Sheet2!$A$2:$R$3432,5,0)</f>
        <v>MH49M6215</v>
      </c>
      <c r="N1547" s="5" t="s">
        <v>25</v>
      </c>
      <c r="O1547" s="5" t="s">
        <v>25</v>
      </c>
      <c r="P1547" s="6" t="s">
        <v>25</v>
      </c>
      <c r="Q1547" s="5" t="s">
        <v>25</v>
      </c>
      <c r="R1547" s="5" t="s">
        <v>25</v>
      </c>
      <c r="S1547" s="7" t="str">
        <f>VLOOKUP(A1547,Sheet2!$A$2:$R$3432,18,0)</f>
        <v/>
      </c>
      <c r="T1547" s="7" t="str">
        <f>VLOOKUP(A1547,Sheet2!$A$2:$R$3432,17,0)</f>
        <v/>
      </c>
    </row>
    <row r="1548" ht="15.75" customHeight="1">
      <c r="A1548" s="3" t="s">
        <v>1571</v>
      </c>
      <c r="B1548" s="4" t="str">
        <f>VLOOKUP(A1548,Sheet2!$A$2:$R$3432,2,0)</f>
        <v>2025-03-22 20:17:30</v>
      </c>
      <c r="C1548" s="5" t="s">
        <v>25</v>
      </c>
      <c r="D1548" s="6" t="s">
        <v>25</v>
      </c>
      <c r="E1548" s="7">
        <f>VLOOKUP(A1548,Sheet2!$A$2:$R$3432,4,0)</f>
        <v>8999148575</v>
      </c>
      <c r="F1548" s="7" t="str">
        <f>VLOOKUP(A1548,Sheet2!$A$2:$R$3432,3,0)</f>
        <v>Samadhan Jadhav </v>
      </c>
      <c r="G1548" s="5" t="s">
        <v>25</v>
      </c>
      <c r="H1548" s="5" t="s">
        <v>25</v>
      </c>
      <c r="I1548" s="5" t="s">
        <v>25</v>
      </c>
      <c r="J1548" s="5" t="s">
        <v>25</v>
      </c>
      <c r="K1548" s="7" t="str">
        <f>VLOOKUP(A1548,Sheet2!$A$2:$R$3432,6,0)</f>
        <v>Honda Activa 6G</v>
      </c>
      <c r="L1548" s="5" t="s">
        <v>25</v>
      </c>
      <c r="M1548" s="7" t="str">
        <f>VLOOKUP(A1548,Sheet2!$A$2:$R$3432,5,0)</f>
        <v>MH14JY1588</v>
      </c>
      <c r="N1548" s="5" t="s">
        <v>25</v>
      </c>
      <c r="O1548" s="5" t="s">
        <v>25</v>
      </c>
      <c r="P1548" s="6" t="s">
        <v>25</v>
      </c>
      <c r="Q1548" s="5" t="s">
        <v>25</v>
      </c>
      <c r="R1548" s="5" t="s">
        <v>25</v>
      </c>
      <c r="S1548" s="7" t="str">
        <f>VLOOKUP(A1548,Sheet2!$A$2:$R$3432,18,0)</f>
        <v/>
      </c>
      <c r="T1548" s="7" t="str">
        <f>VLOOKUP(A1548,Sheet2!$A$2:$R$3432,17,0)</f>
        <v/>
      </c>
    </row>
    <row r="1549" ht="15.75" customHeight="1">
      <c r="A1549" s="3" t="s">
        <v>1572</v>
      </c>
      <c r="B1549" s="4" t="str">
        <f>VLOOKUP(A1549,Sheet2!$A$2:$R$3432,2,0)</f>
        <v>2025-03-22 20:17:55</v>
      </c>
      <c r="C1549" s="5" t="s">
        <v>25</v>
      </c>
      <c r="D1549" s="6" t="s">
        <v>25</v>
      </c>
      <c r="E1549" s="7">
        <f>VLOOKUP(A1549,Sheet2!$A$2:$R$3432,4,0)</f>
        <v>9168290505</v>
      </c>
      <c r="F1549" s="7" t="str">
        <f>VLOOKUP(A1549,Sheet2!$A$2:$R$3432,3,0)</f>
        <v>Prashant Salvi</v>
      </c>
      <c r="G1549" s="5" t="s">
        <v>25</v>
      </c>
      <c r="H1549" s="5" t="s">
        <v>25</v>
      </c>
      <c r="I1549" s="5" t="s">
        <v>25</v>
      </c>
      <c r="J1549" s="5" t="s">
        <v>25</v>
      </c>
      <c r="K1549" s="7" t="str">
        <f>VLOOKUP(A1549,Sheet2!$A$2:$R$3432,6,0)</f>
        <v>Honda Activa 3G</v>
      </c>
      <c r="L1549" s="5" t="s">
        <v>25</v>
      </c>
      <c r="M1549" s="7" t="str">
        <f>VLOOKUP(A1549,Sheet2!$A$2:$R$3432,5,0)</f>
        <v>MH12MX7208</v>
      </c>
      <c r="N1549" s="5" t="s">
        <v>25</v>
      </c>
      <c r="O1549" s="5" t="s">
        <v>25</v>
      </c>
      <c r="P1549" s="6" t="s">
        <v>25</v>
      </c>
      <c r="Q1549" s="5" t="s">
        <v>25</v>
      </c>
      <c r="R1549" s="5" t="s">
        <v>25</v>
      </c>
      <c r="S1549" s="5" t="str">
        <f>VLOOKUP(A1549,Sheet2!$A$2:$R$3432,18,0)</f>
        <v>JF50ET3100031</v>
      </c>
      <c r="T1549" s="7" t="str">
        <f>VLOOKUP(A1549,Sheet2!$A$2:$R$3432,17,0)</f>
        <v>ME4JF505BGT099825</v>
      </c>
    </row>
    <row r="1550" ht="15.75" customHeight="1">
      <c r="A1550" s="3" t="s">
        <v>1573</v>
      </c>
      <c r="B1550" s="4" t="str">
        <f>VLOOKUP(A1550,Sheet2!$A$2:$R$3432,2,0)</f>
        <v>2025-03-22 20:20:57</v>
      </c>
      <c r="C1550" s="5" t="s">
        <v>25</v>
      </c>
      <c r="D1550" s="6" t="s">
        <v>25</v>
      </c>
      <c r="E1550" s="7">
        <f>VLOOKUP(A1550,Sheet2!$A$2:$R$3432,4,0)</f>
        <v>9767625161</v>
      </c>
      <c r="F1550" s="7" t="str">
        <f>VLOOKUP(A1550,Sheet2!$A$2:$R$3432,3,0)</f>
        <v>ABHISHEK </v>
      </c>
      <c r="G1550" s="5" t="s">
        <v>25</v>
      </c>
      <c r="H1550" s="5" t="s">
        <v>25</v>
      </c>
      <c r="I1550" s="5" t="s">
        <v>25</v>
      </c>
      <c r="J1550" s="5" t="s">
        <v>25</v>
      </c>
      <c r="K1550" s="7" t="str">
        <f>VLOOKUP(A1550,Sheet2!$A$2:$R$3432,6,0)</f>
        <v>Suzuki Access  125 BS6</v>
      </c>
      <c r="L1550" s="5" t="s">
        <v>25</v>
      </c>
      <c r="M1550" s="7" t="str">
        <f>VLOOKUP(A1550,Sheet2!$A$2:$R$3432,5,0)</f>
        <v>MH12VN7362</v>
      </c>
      <c r="N1550" s="5" t="s">
        <v>25</v>
      </c>
      <c r="O1550" s="5" t="s">
        <v>25</v>
      </c>
      <c r="P1550" s="6" t="s">
        <v>25</v>
      </c>
      <c r="Q1550" s="5" t="s">
        <v>25</v>
      </c>
      <c r="R1550" s="5" t="s">
        <v>25</v>
      </c>
      <c r="S1550" s="7" t="str">
        <f>VLOOKUP(A1550,Sheet2!$A$2:$R$3432,18,0)</f>
        <v/>
      </c>
      <c r="T1550" s="7" t="str">
        <f>VLOOKUP(A1550,Sheet2!$A$2:$R$3432,17,0)</f>
        <v/>
      </c>
    </row>
    <row r="1551" ht="15.75" customHeight="1">
      <c r="A1551" s="3" t="s">
        <v>1574</v>
      </c>
      <c r="B1551" s="4" t="str">
        <f>VLOOKUP(A1551,Sheet2!$A$2:$R$3432,2,0)</f>
        <v>2025-03-22 20:21:45</v>
      </c>
      <c r="C1551" s="5" t="s">
        <v>25</v>
      </c>
      <c r="D1551" s="6" t="s">
        <v>25</v>
      </c>
      <c r="E1551" s="7">
        <f>VLOOKUP(A1551,Sheet2!$A$2:$R$3432,4,0)</f>
        <v>9850022435</v>
      </c>
      <c r="F1551" s="7" t="str">
        <f>VLOOKUP(A1551,Sheet2!$A$2:$R$3432,3,0)</f>
        <v> Praveen </v>
      </c>
      <c r="G1551" s="5" t="s">
        <v>25</v>
      </c>
      <c r="H1551" s="5" t="s">
        <v>25</v>
      </c>
      <c r="I1551" s="5" t="s">
        <v>25</v>
      </c>
      <c r="J1551" s="5" t="s">
        <v>25</v>
      </c>
      <c r="K1551" s="7" t="str">
        <f>VLOOKUP(A1551,Sheet2!$A$2:$R$3432,6,0)</f>
        <v>TVS Jupiter </v>
      </c>
      <c r="L1551" s="5" t="s">
        <v>25</v>
      </c>
      <c r="M1551" s="7" t="str">
        <f>VLOOKUP(A1551,Sheet2!$A$2:$R$3432,5,0)</f>
        <v>MH14FU4585</v>
      </c>
      <c r="N1551" s="5" t="s">
        <v>25</v>
      </c>
      <c r="O1551" s="5" t="s">
        <v>25</v>
      </c>
      <c r="P1551" s="6" t="s">
        <v>25</v>
      </c>
      <c r="Q1551" s="5" t="s">
        <v>25</v>
      </c>
      <c r="R1551" s="5" t="s">
        <v>25</v>
      </c>
      <c r="S1551" s="7" t="str">
        <f>VLOOKUP(A1551,Sheet2!$A$2:$R$3432,18,0)</f>
        <v/>
      </c>
      <c r="T1551" s="7" t="str">
        <f>VLOOKUP(A1551,Sheet2!$A$2:$R$3432,17,0)</f>
        <v/>
      </c>
    </row>
    <row r="1552" ht="15.75" customHeight="1">
      <c r="A1552" s="3" t="s">
        <v>1575</v>
      </c>
      <c r="B1552" s="4" t="str">
        <f>VLOOKUP(A1552,Sheet2!$A$2:$R$3432,2,0)</f>
        <v>2025-03-22 20:37:32</v>
      </c>
      <c r="C1552" s="5" t="s">
        <v>25</v>
      </c>
      <c r="D1552" s="6" t="s">
        <v>25</v>
      </c>
      <c r="E1552" s="7">
        <f>VLOOKUP(A1552,Sheet2!$A$2:$R$3432,4,0)</f>
        <v>9552599676</v>
      </c>
      <c r="F1552" s="7" t="str">
        <f>VLOOKUP(A1552,Sheet2!$A$2:$R$3432,3,0)</f>
        <v>SHWETA</v>
      </c>
      <c r="G1552" s="5" t="s">
        <v>25</v>
      </c>
      <c r="H1552" s="5" t="s">
        <v>25</v>
      </c>
      <c r="I1552" s="5" t="s">
        <v>25</v>
      </c>
      <c r="J1552" s="5" t="s">
        <v>25</v>
      </c>
      <c r="K1552" s="7" t="str">
        <f>VLOOKUP(A1552,Sheet2!$A$2:$R$3432,6,0)</f>
        <v>Honda Activa 3G</v>
      </c>
      <c r="L1552" s="5" t="s">
        <v>25</v>
      </c>
      <c r="M1552" s="7" t="str">
        <f>VLOOKUP(A1552,Sheet2!$A$2:$R$3432,5,0)</f>
        <v>MH12MX7516</v>
      </c>
      <c r="N1552" s="5" t="s">
        <v>25</v>
      </c>
      <c r="O1552" s="5" t="s">
        <v>25</v>
      </c>
      <c r="P1552" s="6" t="s">
        <v>25</v>
      </c>
      <c r="Q1552" s="5" t="s">
        <v>25</v>
      </c>
      <c r="R1552" s="5" t="s">
        <v>25</v>
      </c>
      <c r="S1552" s="7" t="str">
        <f>VLOOKUP(A1552,Sheet2!$A$2:$R$3432,18,0)</f>
        <v/>
      </c>
      <c r="T1552" s="7" t="str">
        <f>VLOOKUP(A1552,Sheet2!$A$2:$R$3432,17,0)</f>
        <v/>
      </c>
    </row>
    <row r="1553" ht="15.75" customHeight="1">
      <c r="A1553" s="3" t="s">
        <v>1576</v>
      </c>
      <c r="B1553" s="4" t="str">
        <f>VLOOKUP(A1553,Sheet2!$A$2:$R$3432,2,0)</f>
        <v>2025-05-07 19:28:01</v>
      </c>
      <c r="C1553" s="5" t="s">
        <v>25</v>
      </c>
      <c r="D1553" s="6" t="s">
        <v>25</v>
      </c>
      <c r="E1553" s="7">
        <f>VLOOKUP(A1553,Sheet2!$A$2:$R$3432,4,0)</f>
        <v>9766313203</v>
      </c>
      <c r="F1553" s="7" t="str">
        <f>VLOOKUP(A1553,Sheet2!$A$2:$R$3432,3,0)</f>
        <v>Gladwin</v>
      </c>
      <c r="G1553" s="5" t="s">
        <v>25</v>
      </c>
      <c r="H1553" s="5" t="s">
        <v>25</v>
      </c>
      <c r="I1553" s="5" t="s">
        <v>25</v>
      </c>
      <c r="J1553" s="5" t="s">
        <v>25</v>
      </c>
      <c r="K1553" s="7" t="str">
        <f>VLOOKUP(A1553,Sheet2!$A$2:$R$3432,6,0)</f>
        <v>Bajaj Avenger 220 Cruise</v>
      </c>
      <c r="L1553" s="5" t="s">
        <v>25</v>
      </c>
      <c r="M1553" s="7" t="str">
        <f>VLOOKUP(A1553,Sheet2!$A$2:$R$3432,5,0)</f>
        <v>MH14CH8014</v>
      </c>
      <c r="N1553" s="5" t="s">
        <v>25</v>
      </c>
      <c r="O1553" s="5" t="s">
        <v>25</v>
      </c>
      <c r="P1553" s="6" t="s">
        <v>25</v>
      </c>
      <c r="Q1553" s="5" t="s">
        <v>25</v>
      </c>
      <c r="R1553" s="5" t="s">
        <v>25</v>
      </c>
      <c r="S1553" s="5" t="str">
        <f>VLOOKUP(A1553,Sheet2!$A$2:$R$3432,18,0)</f>
        <v>PDGBT07786</v>
      </c>
      <c r="T1553" s="7" t="str">
        <f>VLOOKUP(A1553,Sheet2!$A$2:$R$3432,17,0)</f>
        <v>MD2DGPDZZTCG08020</v>
      </c>
    </row>
    <row r="1554" ht="15.75" customHeight="1">
      <c r="A1554" s="3" t="s">
        <v>1577</v>
      </c>
      <c r="B1554" s="4" t="str">
        <f>VLOOKUP(A1554,Sheet2!$A$2:$R$3432,2,0)</f>
        <v>2025-05-07 19:37:41</v>
      </c>
      <c r="C1554" s="5" t="s">
        <v>25</v>
      </c>
      <c r="D1554" s="6" t="s">
        <v>25</v>
      </c>
      <c r="E1554" s="7">
        <f>VLOOKUP(A1554,Sheet2!$A$2:$R$3432,4,0)</f>
        <v>8799878568</v>
      </c>
      <c r="F1554" s="7" t="str">
        <f>VLOOKUP(A1554,Sheet2!$A$2:$R$3432,3,0)</f>
        <v>Soniya</v>
      </c>
      <c r="G1554" s="5" t="s">
        <v>25</v>
      </c>
      <c r="H1554" s="5" t="s">
        <v>25</v>
      </c>
      <c r="I1554" s="5" t="s">
        <v>25</v>
      </c>
      <c r="J1554" s="5" t="s">
        <v>25</v>
      </c>
      <c r="K1554" s="7" t="str">
        <f>VLOOKUP(A1554,Sheet2!$A$2:$R$3432,6,0)</f>
        <v>Suzuki Access 125</v>
      </c>
      <c r="L1554" s="5" t="s">
        <v>25</v>
      </c>
      <c r="M1554" s="7" t="str">
        <f>VLOOKUP(A1554,Sheet2!$A$2:$R$3432,5,0)</f>
        <v>MH12BS0560</v>
      </c>
      <c r="N1554" s="5" t="s">
        <v>25</v>
      </c>
      <c r="O1554" s="5" t="s">
        <v>25</v>
      </c>
      <c r="P1554" s="6" t="s">
        <v>25</v>
      </c>
      <c r="Q1554" s="5" t="s">
        <v>25</v>
      </c>
      <c r="R1554" s="5" t="s">
        <v>25</v>
      </c>
      <c r="S1554" s="7" t="str">
        <f>VLOOKUP(A1554,Sheet2!$A$2:$R$3432,18,0)</f>
        <v/>
      </c>
      <c r="T1554" s="7" t="str">
        <f>VLOOKUP(A1554,Sheet2!$A$2:$R$3432,17,0)</f>
        <v/>
      </c>
    </row>
    <row r="1555" ht="15.75" customHeight="1">
      <c r="A1555" s="3" t="s">
        <v>1578</v>
      </c>
      <c r="B1555" s="4" t="str">
        <f>VLOOKUP(A1555,Sheet2!$A$2:$R$3432,2,0)</f>
        <v>2025-05-07 19:34:47</v>
      </c>
      <c r="C1555" s="5" t="s">
        <v>25</v>
      </c>
      <c r="D1555" s="6" t="s">
        <v>25</v>
      </c>
      <c r="E1555" s="7">
        <f>VLOOKUP(A1555,Sheet2!$A$2:$R$3432,4,0)</f>
        <v>9881103107</v>
      </c>
      <c r="F1555" s="7" t="str">
        <f>VLOOKUP(A1555,Sheet2!$A$2:$R$3432,3,0)</f>
        <v>Pranav Babar</v>
      </c>
      <c r="G1555" s="5" t="s">
        <v>25</v>
      </c>
      <c r="H1555" s="5" t="s">
        <v>25</v>
      </c>
      <c r="I1555" s="5" t="s">
        <v>25</v>
      </c>
      <c r="J1555" s="5" t="s">
        <v>25</v>
      </c>
      <c r="K1555" s="7" t="str">
        <f>VLOOKUP(A1555,Sheet2!$A$2:$R$3432,6,0)</f>
        <v>TVS Jupiter </v>
      </c>
      <c r="L1555" s="5" t="s">
        <v>25</v>
      </c>
      <c r="M1555" s="7" t="str">
        <f>VLOOKUP(A1555,Sheet2!$A$2:$R$3432,5,0)</f>
        <v>MH14HZ3438</v>
      </c>
      <c r="N1555" s="5" t="s">
        <v>25</v>
      </c>
      <c r="O1555" s="5" t="s">
        <v>25</v>
      </c>
      <c r="P1555" s="6" t="s">
        <v>25</v>
      </c>
      <c r="Q1555" s="5" t="s">
        <v>25</v>
      </c>
      <c r="R1555" s="5" t="s">
        <v>25</v>
      </c>
      <c r="S1555" s="5" t="str">
        <f>VLOOKUP(A1555,Sheet2!$A$2:$R$3432,18,0)</f>
        <v>DG4NK01035</v>
      </c>
      <c r="T1555" s="7" t="str">
        <f>VLOOKUP(A1555,Sheet2!$A$2:$R$3432,17,0)</f>
        <v>MD626EG45K3N05863</v>
      </c>
    </row>
    <row r="1556" ht="15.75" customHeight="1">
      <c r="A1556" s="3" t="s">
        <v>1579</v>
      </c>
      <c r="B1556" s="4" t="str">
        <f>VLOOKUP(A1556,Sheet2!$A$2:$R$3432,2,0)</f>
        <v>2025-05-07 19:34:17</v>
      </c>
      <c r="C1556" s="5" t="s">
        <v>25</v>
      </c>
      <c r="D1556" s="6" t="s">
        <v>25</v>
      </c>
      <c r="E1556" s="7">
        <f>VLOOKUP(A1556,Sheet2!$A$2:$R$3432,4,0)</f>
        <v>7028757505</v>
      </c>
      <c r="F1556" s="7" t="str">
        <f>VLOOKUP(A1556,Sheet2!$A$2:$R$3432,3,0)</f>
        <v>Pooja</v>
      </c>
      <c r="G1556" s="5" t="s">
        <v>25</v>
      </c>
      <c r="H1556" s="5" t="s">
        <v>25</v>
      </c>
      <c r="I1556" s="5" t="s">
        <v>25</v>
      </c>
      <c r="J1556" s="5" t="s">
        <v>25</v>
      </c>
      <c r="K1556" s="7" t="str">
        <f>VLOOKUP(A1556,Sheet2!$A$2:$R$3432,6,0)</f>
        <v>Suzuki Avenis 125</v>
      </c>
      <c r="L1556" s="5" t="s">
        <v>25</v>
      </c>
      <c r="M1556" s="7" t="str">
        <f>VLOOKUP(A1556,Sheet2!$A$2:$R$3432,5,0)</f>
        <v>MH12VB6737</v>
      </c>
      <c r="N1556" s="5" t="s">
        <v>25</v>
      </c>
      <c r="O1556" s="5" t="s">
        <v>25</v>
      </c>
      <c r="P1556" s="6" t="s">
        <v>25</v>
      </c>
      <c r="Q1556" s="5" t="s">
        <v>25</v>
      </c>
      <c r="R1556" s="5" t="s">
        <v>25</v>
      </c>
      <c r="S1556" s="7" t="str">
        <f>VLOOKUP(A1556,Sheet2!$A$2:$R$3432,18,0)</f>
        <v/>
      </c>
      <c r="T1556" s="7" t="str">
        <f>VLOOKUP(A1556,Sheet2!$A$2:$R$3432,17,0)</f>
        <v/>
      </c>
    </row>
    <row r="1557" ht="15.75" customHeight="1">
      <c r="A1557" s="3" t="s">
        <v>1580</v>
      </c>
      <c r="B1557" s="4" t="str">
        <f>VLOOKUP(A1557,Sheet2!$A$2:$R$3432,2,0)</f>
        <v>2025-05-07 19:38:55</v>
      </c>
      <c r="C1557" s="5" t="s">
        <v>25</v>
      </c>
      <c r="D1557" s="6" t="s">
        <v>25</v>
      </c>
      <c r="E1557" s="7">
        <f>VLOOKUP(A1557,Sheet2!$A$2:$R$3432,4,0)</f>
        <v>9820155491</v>
      </c>
      <c r="F1557" s="7" t="str">
        <f>VLOOKUP(A1557,Sheet2!$A$2:$R$3432,3,0)</f>
        <v>Syrid</v>
      </c>
      <c r="G1557" s="5" t="s">
        <v>25</v>
      </c>
      <c r="H1557" s="5" t="s">
        <v>25</v>
      </c>
      <c r="I1557" s="5" t="s">
        <v>25</v>
      </c>
      <c r="J1557" s="5" t="s">
        <v>25</v>
      </c>
      <c r="K1557" s="7" t="str">
        <f>VLOOKUP(A1557,Sheet2!$A$2:$R$3432,6,0)</f>
        <v>Royal Enfield Meteor  350</v>
      </c>
      <c r="L1557" s="5" t="s">
        <v>25</v>
      </c>
      <c r="M1557" s="7" t="str">
        <f>VLOOKUP(A1557,Sheet2!$A$2:$R$3432,5,0)</f>
        <v>MH04KY3337</v>
      </c>
      <c r="N1557" s="5" t="s">
        <v>25</v>
      </c>
      <c r="O1557" s="5" t="s">
        <v>25</v>
      </c>
      <c r="P1557" s="6" t="s">
        <v>25</v>
      </c>
      <c r="Q1557" s="5" t="s">
        <v>25</v>
      </c>
      <c r="R1557" s="5" t="s">
        <v>25</v>
      </c>
      <c r="S1557" s="7" t="str">
        <f>VLOOKUP(A1557,Sheet2!$A$2:$R$3432,18,0)</f>
        <v/>
      </c>
      <c r="T1557" s="7" t="str">
        <f>VLOOKUP(A1557,Sheet2!$A$2:$R$3432,17,0)</f>
        <v/>
      </c>
    </row>
    <row r="1558" ht="15.75" customHeight="1">
      <c r="A1558" s="3" t="s">
        <v>1581</v>
      </c>
      <c r="B1558" s="4" t="str">
        <f>VLOOKUP(A1558,Sheet2!$A$2:$R$3432,2,0)</f>
        <v>2025-05-07 19:29:07</v>
      </c>
      <c r="C1558" s="5" t="s">
        <v>25</v>
      </c>
      <c r="D1558" s="6" t="s">
        <v>25</v>
      </c>
      <c r="E1558" s="7">
        <f>VLOOKUP(A1558,Sheet2!$A$2:$R$3432,4,0)</f>
        <v>9082015033</v>
      </c>
      <c r="F1558" s="7" t="str">
        <f>VLOOKUP(A1558,Sheet2!$A$2:$R$3432,3,0)</f>
        <v>Mayuri Patil </v>
      </c>
      <c r="G1558" s="5" t="s">
        <v>25</v>
      </c>
      <c r="H1558" s="5" t="s">
        <v>25</v>
      </c>
      <c r="I1558" s="5" t="s">
        <v>25</v>
      </c>
      <c r="J1558" s="5" t="s">
        <v>25</v>
      </c>
      <c r="K1558" s="7" t="str">
        <f>VLOOKUP(A1558,Sheet2!$A$2:$R$3432,6,0)</f>
        <v>Hero Pleasure </v>
      </c>
      <c r="L1558" s="5" t="s">
        <v>25</v>
      </c>
      <c r="M1558" s="7" t="str">
        <f>VLOOKUP(A1558,Sheet2!$A$2:$R$3432,5,0)</f>
        <v>MH10BU9036</v>
      </c>
      <c r="N1558" s="5" t="s">
        <v>25</v>
      </c>
      <c r="O1558" s="5" t="s">
        <v>25</v>
      </c>
      <c r="P1558" s="6" t="s">
        <v>25</v>
      </c>
      <c r="Q1558" s="5" t="s">
        <v>25</v>
      </c>
      <c r="R1558" s="5" t="s">
        <v>25</v>
      </c>
      <c r="S1558" s="7" t="str">
        <f>VLOOKUP(A1558,Sheet2!$A$2:$R$3432,18,0)</f>
        <v/>
      </c>
      <c r="T1558" s="7" t="str">
        <f>VLOOKUP(A1558,Sheet2!$A$2:$R$3432,17,0)</f>
        <v/>
      </c>
    </row>
    <row r="1559" ht="15.75" customHeight="1">
      <c r="A1559" s="3" t="s">
        <v>1582</v>
      </c>
      <c r="B1559" s="4" t="str">
        <f>VLOOKUP(A1559,Sheet2!$A$2:$R$3432,2,0)</f>
        <v>2025-05-07 19:32:48</v>
      </c>
      <c r="C1559" s="5" t="s">
        <v>25</v>
      </c>
      <c r="D1559" s="6" t="s">
        <v>25</v>
      </c>
      <c r="E1559" s="7">
        <f>VLOOKUP(A1559,Sheet2!$A$2:$R$3432,4,0)</f>
        <v>7350017559</v>
      </c>
      <c r="F1559" s="7" t="str">
        <f>VLOOKUP(A1559,Sheet2!$A$2:$R$3432,3,0)</f>
        <v>SB HIREMAT</v>
      </c>
      <c r="G1559" s="5" t="s">
        <v>25</v>
      </c>
      <c r="H1559" s="5" t="s">
        <v>25</v>
      </c>
      <c r="I1559" s="5" t="s">
        <v>25</v>
      </c>
      <c r="J1559" s="5" t="s">
        <v>25</v>
      </c>
      <c r="K1559" s="7" t="str">
        <f>VLOOKUP(A1559,Sheet2!$A$2:$R$3432,6,0)</f>
        <v>Yamaha Ray Z</v>
      </c>
      <c r="L1559" s="5" t="s">
        <v>25</v>
      </c>
      <c r="M1559" s="7" t="str">
        <f>VLOOKUP(A1559,Sheet2!$A$2:$R$3432,5,0)</f>
        <v>MH14EN5127</v>
      </c>
      <c r="N1559" s="5" t="s">
        <v>25</v>
      </c>
      <c r="O1559" s="5" t="s">
        <v>25</v>
      </c>
      <c r="P1559" s="6" t="s">
        <v>25</v>
      </c>
      <c r="Q1559" s="5" t="s">
        <v>25</v>
      </c>
      <c r="R1559" s="5" t="s">
        <v>25</v>
      </c>
      <c r="S1559" s="7" t="str">
        <f>VLOOKUP(A1559,Sheet2!$A$2:$R$3432,18,0)</f>
        <v/>
      </c>
      <c r="T1559" s="7" t="str">
        <f>VLOOKUP(A1559,Sheet2!$A$2:$R$3432,17,0)</f>
        <v/>
      </c>
    </row>
    <row r="1560" ht="15.75" customHeight="1">
      <c r="A1560" s="3" t="s">
        <v>1583</v>
      </c>
      <c r="B1560" s="4" t="str">
        <f>VLOOKUP(A1560,Sheet2!$A$2:$R$3432,2,0)</f>
        <v>2025-05-07 19:37:06</v>
      </c>
      <c r="C1560" s="5" t="s">
        <v>25</v>
      </c>
      <c r="D1560" s="6" t="s">
        <v>25</v>
      </c>
      <c r="E1560" s="7">
        <f>VLOOKUP(A1560,Sheet2!$A$2:$R$3432,4,0)</f>
        <v>9860240413</v>
      </c>
      <c r="F1560" s="7" t="str">
        <f>VLOOKUP(A1560,Sheet2!$A$2:$R$3432,3,0)</f>
        <v>Ajay Pawar</v>
      </c>
      <c r="G1560" s="5" t="s">
        <v>25</v>
      </c>
      <c r="H1560" s="5" t="s">
        <v>25</v>
      </c>
      <c r="I1560" s="5" t="s">
        <v>25</v>
      </c>
      <c r="J1560" s="5" t="s">
        <v>25</v>
      </c>
      <c r="K1560" s="7" t="str">
        <f>VLOOKUP(A1560,Sheet2!$A$2:$R$3432,6,0)</f>
        <v>TVS Jupiter </v>
      </c>
      <c r="L1560" s="5" t="s">
        <v>25</v>
      </c>
      <c r="M1560" s="7" t="str">
        <f>VLOOKUP(A1560,Sheet2!$A$2:$R$3432,5,0)</f>
        <v>MH14GP7072</v>
      </c>
      <c r="N1560" s="5" t="s">
        <v>25</v>
      </c>
      <c r="O1560" s="5" t="s">
        <v>25</v>
      </c>
      <c r="P1560" s="6" t="s">
        <v>25</v>
      </c>
      <c r="Q1560" s="5" t="s">
        <v>25</v>
      </c>
      <c r="R1560" s="5" t="s">
        <v>25</v>
      </c>
      <c r="S1560" s="5" t="str">
        <f>VLOOKUP(A1560,Sheet2!$A$2:$R$3432,18,0)</f>
        <v>EG4KH1266362</v>
      </c>
      <c r="T1560" s="7" t="str">
        <f>VLOOKUP(A1560,Sheet2!$A$2:$R$3432,17,0)</f>
        <v>MD626EG45H3L02075</v>
      </c>
    </row>
    <row r="1561" ht="15.75" customHeight="1">
      <c r="A1561" s="3" t="s">
        <v>1584</v>
      </c>
      <c r="B1561" s="4" t="str">
        <f>VLOOKUP(A1561,Sheet2!$A$2:$R$3432,2,0)</f>
        <v>2025-05-07 19:30:19</v>
      </c>
      <c r="C1561" s="5" t="s">
        <v>25</v>
      </c>
      <c r="D1561" s="6" t="s">
        <v>25</v>
      </c>
      <c r="E1561" s="7">
        <f>VLOOKUP(A1561,Sheet2!$A$2:$R$3432,4,0)</f>
        <v>9545629646</v>
      </c>
      <c r="F1561" s="7" t="str">
        <f>VLOOKUP(A1561,Sheet2!$A$2:$R$3432,3,0)</f>
        <v>Aakash KIRTANE</v>
      </c>
      <c r="G1561" s="5" t="s">
        <v>25</v>
      </c>
      <c r="H1561" s="5" t="s">
        <v>25</v>
      </c>
      <c r="I1561" s="5" t="s">
        <v>25</v>
      </c>
      <c r="J1561" s="5" t="s">
        <v>25</v>
      </c>
      <c r="K1561" s="7" t="str">
        <f>VLOOKUP(A1561,Sheet2!$A$2:$R$3432,6,0)</f>
        <v>TVS Apache RTR 160</v>
      </c>
      <c r="L1561" s="5" t="s">
        <v>25</v>
      </c>
      <c r="M1561" s="7" t="str">
        <f>VLOOKUP(A1561,Sheet2!$A$2:$R$3432,5,0)</f>
        <v>MH14FH8448</v>
      </c>
      <c r="N1561" s="5" t="s">
        <v>25</v>
      </c>
      <c r="O1561" s="5" t="s">
        <v>25</v>
      </c>
      <c r="P1561" s="6" t="s">
        <v>25</v>
      </c>
      <c r="Q1561" s="5" t="s">
        <v>25</v>
      </c>
      <c r="R1561" s="5" t="s">
        <v>25</v>
      </c>
      <c r="S1561" s="5" t="str">
        <f>VLOOKUP(A1561,Sheet2!$A$2:$R$3432,18,0)</f>
        <v>OE6GF2149521</v>
      </c>
      <c r="T1561" s="7" t="str">
        <f>VLOOKUP(A1561,Sheet2!$A$2:$R$3432,17,0)</f>
        <v>MD634KE67F2644422</v>
      </c>
    </row>
    <row r="1562" ht="15.75" customHeight="1">
      <c r="A1562" s="3" t="s">
        <v>1585</v>
      </c>
      <c r="B1562" s="4" t="str">
        <f>VLOOKUP(A1562,Sheet2!$A$2:$R$3432,2,0)</f>
        <v>2025-05-07 19:27:39</v>
      </c>
      <c r="C1562" s="5" t="s">
        <v>25</v>
      </c>
      <c r="D1562" s="6" t="s">
        <v>25</v>
      </c>
      <c r="E1562" s="7">
        <f>VLOOKUP(A1562,Sheet2!$A$2:$R$3432,4,0)</f>
        <v>8237312103</v>
      </c>
      <c r="F1562" s="7" t="str">
        <f>VLOOKUP(A1562,Sheet2!$A$2:$R$3432,3,0)</f>
        <v>Santosh</v>
      </c>
      <c r="G1562" s="5" t="s">
        <v>25</v>
      </c>
      <c r="H1562" s="5" t="s">
        <v>25</v>
      </c>
      <c r="I1562" s="5" t="s">
        <v>25</v>
      </c>
      <c r="J1562" s="5" t="s">
        <v>25</v>
      </c>
      <c r="K1562" s="7" t="str">
        <f>VLOOKUP(A1562,Sheet2!$A$2:$R$3432,6,0)</f>
        <v>Hero Pleasure </v>
      </c>
      <c r="L1562" s="5" t="s">
        <v>25</v>
      </c>
      <c r="M1562" s="7" t="str">
        <f>VLOOKUP(A1562,Sheet2!$A$2:$R$3432,5,0)</f>
        <v>MH14CH1363</v>
      </c>
      <c r="N1562" s="5" t="s">
        <v>25</v>
      </c>
      <c r="O1562" s="5" t="s">
        <v>25</v>
      </c>
      <c r="P1562" s="6" t="s">
        <v>25</v>
      </c>
      <c r="Q1562" s="5" t="s">
        <v>25</v>
      </c>
      <c r="R1562" s="5" t="s">
        <v>25</v>
      </c>
      <c r="S1562" s="7" t="str">
        <f>VLOOKUP(A1562,Sheet2!$A$2:$R$3432,18,0)</f>
        <v/>
      </c>
      <c r="T1562" s="7" t="str">
        <f>VLOOKUP(A1562,Sheet2!$A$2:$R$3432,17,0)</f>
        <v/>
      </c>
    </row>
    <row r="1563" ht="15.75" customHeight="1">
      <c r="A1563" s="3" t="s">
        <v>1586</v>
      </c>
      <c r="B1563" s="4" t="str">
        <f>VLOOKUP(A1563,Sheet2!$A$2:$R$3432,2,0)</f>
        <v>2025-05-07 19:38:36</v>
      </c>
      <c r="C1563" s="5" t="s">
        <v>25</v>
      </c>
      <c r="D1563" s="6" t="s">
        <v>25</v>
      </c>
      <c r="E1563" s="7">
        <f>VLOOKUP(A1563,Sheet2!$A$2:$R$3432,4,0)</f>
        <v>8087956114</v>
      </c>
      <c r="F1563" s="7" t="str">
        <f>VLOOKUP(A1563,Sheet2!$A$2:$R$3432,3,0)</f>
        <v>CHINMAY BEHARE</v>
      </c>
      <c r="G1563" s="5" t="s">
        <v>25</v>
      </c>
      <c r="H1563" s="5" t="s">
        <v>25</v>
      </c>
      <c r="I1563" s="5" t="s">
        <v>25</v>
      </c>
      <c r="J1563" s="5" t="s">
        <v>25</v>
      </c>
      <c r="K1563" s="7" t="str">
        <f>VLOOKUP(A1563,Sheet2!$A$2:$R$3432,6,0)</f>
        <v>Bajaj Dominar 400</v>
      </c>
      <c r="L1563" s="5" t="s">
        <v>25</v>
      </c>
      <c r="M1563" s="7" t="str">
        <f>VLOOKUP(A1563,Sheet2!$A$2:$R$3432,5,0)</f>
        <v>MH12PG1404</v>
      </c>
      <c r="N1563" s="5" t="s">
        <v>25</v>
      </c>
      <c r="O1563" s="5" t="s">
        <v>25</v>
      </c>
      <c r="P1563" s="6" t="s">
        <v>25</v>
      </c>
      <c r="Q1563" s="5" t="s">
        <v>25</v>
      </c>
      <c r="R1563" s="5" t="s">
        <v>25</v>
      </c>
      <c r="S1563" s="7" t="str">
        <f>VLOOKUP(A1563,Sheet2!$A$2:$R$3432,18,0)</f>
        <v/>
      </c>
      <c r="T1563" s="7" t="str">
        <f>VLOOKUP(A1563,Sheet2!$A$2:$R$3432,17,0)</f>
        <v/>
      </c>
    </row>
    <row r="1564" ht="15.75" customHeight="1">
      <c r="A1564" s="3" t="s">
        <v>1587</v>
      </c>
      <c r="B1564" s="4" t="str">
        <f>VLOOKUP(A1564,Sheet2!$A$2:$R$3432,2,0)</f>
        <v>2025-05-07 20:08:34</v>
      </c>
      <c r="C1564" s="5" t="s">
        <v>25</v>
      </c>
      <c r="D1564" s="6" t="s">
        <v>25</v>
      </c>
      <c r="E1564" s="7">
        <f>VLOOKUP(A1564,Sheet2!$A$2:$R$3432,4,0)</f>
        <v>9112721874</v>
      </c>
      <c r="F1564" s="7" t="str">
        <f>VLOOKUP(A1564,Sheet2!$A$2:$R$3432,3,0)</f>
        <v>Abhishek </v>
      </c>
      <c r="G1564" s="5" t="s">
        <v>25</v>
      </c>
      <c r="H1564" s="5" t="s">
        <v>25</v>
      </c>
      <c r="I1564" s="5" t="s">
        <v>25</v>
      </c>
      <c r="J1564" s="5" t="s">
        <v>25</v>
      </c>
      <c r="K1564" s="7" t="str">
        <f>VLOOKUP(A1564,Sheet2!$A$2:$R$3432,6,0)</f>
        <v>Honda Dio </v>
      </c>
      <c r="L1564" s="5" t="s">
        <v>25</v>
      </c>
      <c r="M1564" s="7" t="str">
        <f>VLOOKUP(A1564,Sheet2!$A$2:$R$3432,5,0)</f>
        <v>MH12BT5352</v>
      </c>
      <c r="N1564" s="5" t="s">
        <v>25</v>
      </c>
      <c r="O1564" s="5" t="s">
        <v>25</v>
      </c>
      <c r="P1564" s="6" t="s">
        <v>25</v>
      </c>
      <c r="Q1564" s="5" t="s">
        <v>25</v>
      </c>
      <c r="R1564" s="5" t="s">
        <v>25</v>
      </c>
      <c r="S1564" s="7" t="str">
        <f>VLOOKUP(A1564,Sheet2!$A$2:$R$3432,18,0)</f>
        <v/>
      </c>
      <c r="T1564" s="7" t="str">
        <f>VLOOKUP(A1564,Sheet2!$A$2:$R$3432,17,0)</f>
        <v/>
      </c>
    </row>
    <row r="1565" ht="15.75" customHeight="1">
      <c r="A1565" s="3" t="s">
        <v>1588</v>
      </c>
      <c r="B1565" s="4" t="str">
        <f>VLOOKUP(A1565,Sheet2!$A$2:$R$3432,2,0)</f>
        <v>2025-05-07 19:40:03</v>
      </c>
      <c r="C1565" s="5" t="s">
        <v>25</v>
      </c>
      <c r="D1565" s="6" t="s">
        <v>25</v>
      </c>
      <c r="E1565" s="7">
        <f>VLOOKUP(A1565,Sheet2!$A$2:$R$3432,4,0)</f>
        <v>8806796584</v>
      </c>
      <c r="F1565" s="7" t="str">
        <f>VLOOKUP(A1565,Sheet2!$A$2:$R$3432,3,0)</f>
        <v>KAVITA</v>
      </c>
      <c r="G1565" s="5" t="s">
        <v>25</v>
      </c>
      <c r="H1565" s="5" t="s">
        <v>25</v>
      </c>
      <c r="I1565" s="5" t="s">
        <v>25</v>
      </c>
      <c r="J1565" s="5" t="s">
        <v>25</v>
      </c>
      <c r="K1565" s="7" t="str">
        <f>VLOOKUP(A1565,Sheet2!$A$2:$R$3432,6,0)</f>
        <v>Honda Dio </v>
      </c>
      <c r="L1565" s="5" t="s">
        <v>25</v>
      </c>
      <c r="M1565" s="7" t="str">
        <f>VLOOKUP(A1565,Sheet2!$A$2:$R$3432,5,0)</f>
        <v>MH12FS3468</v>
      </c>
      <c r="N1565" s="5" t="s">
        <v>25</v>
      </c>
      <c r="O1565" s="5" t="s">
        <v>25</v>
      </c>
      <c r="P1565" s="6" t="s">
        <v>25</v>
      </c>
      <c r="Q1565" s="5" t="s">
        <v>25</v>
      </c>
      <c r="R1565" s="5" t="s">
        <v>25</v>
      </c>
      <c r="S1565" s="5" t="str">
        <f>VLOOKUP(A1565,Sheet2!$A$2:$R$3432,18,0)</f>
        <v>JF11E6159598</v>
      </c>
      <c r="T1565" s="7" t="str">
        <f>VLOOKUP(A1565,Sheet2!$A$2:$R$3432,17,0)</f>
        <v>RUSTY FRAME </v>
      </c>
    </row>
    <row r="1566" ht="15.75" customHeight="1">
      <c r="A1566" s="3" t="s">
        <v>1589</v>
      </c>
      <c r="B1566" s="4" t="str">
        <f>VLOOKUP(A1566,Sheet2!$A$2:$R$3432,2,0)</f>
        <v>2025-05-07 19:26:59</v>
      </c>
      <c r="C1566" s="5" t="s">
        <v>25</v>
      </c>
      <c r="D1566" s="6" t="s">
        <v>25</v>
      </c>
      <c r="E1566" s="7">
        <f>VLOOKUP(A1566,Sheet2!$A$2:$R$3432,4,0)</f>
        <v>9766199710</v>
      </c>
      <c r="F1566" s="7" t="str">
        <f>VLOOKUP(A1566,Sheet2!$A$2:$R$3432,3,0)</f>
        <v>Prasad Chakkarwar</v>
      </c>
      <c r="G1566" s="5" t="s">
        <v>25</v>
      </c>
      <c r="H1566" s="5" t="s">
        <v>25</v>
      </c>
      <c r="I1566" s="5" t="s">
        <v>25</v>
      </c>
      <c r="J1566" s="5" t="s">
        <v>25</v>
      </c>
      <c r="K1566" s="7" t="str">
        <f>VLOOKUP(A1566,Sheet2!$A$2:$R$3432,6,0)</f>
        <v>Honda Shine </v>
      </c>
      <c r="L1566" s="5" t="s">
        <v>25</v>
      </c>
      <c r="M1566" s="7" t="str">
        <f>VLOOKUP(A1566,Sheet2!$A$2:$R$3432,5,0)</f>
        <v>MH29AH6338</v>
      </c>
      <c r="N1566" s="5" t="s">
        <v>25</v>
      </c>
      <c r="O1566" s="5" t="s">
        <v>25</v>
      </c>
      <c r="P1566" s="6" t="s">
        <v>25</v>
      </c>
      <c r="Q1566" s="5" t="s">
        <v>25</v>
      </c>
      <c r="R1566" s="5" t="s">
        <v>25</v>
      </c>
      <c r="S1566" s="5" t="str">
        <f>VLOOKUP(A1566,Sheet2!$A$2:$R$3432,18,0)</f>
        <v>JC36E77733929</v>
      </c>
      <c r="T1566" s="7" t="str">
        <f>VLOOKUP(A1566,Sheet2!$A$2:$R$3432,17,0)</f>
        <v>ME4JC36KFD7250362</v>
      </c>
    </row>
    <row r="1567" ht="15.75" customHeight="1">
      <c r="A1567" s="3" t="s">
        <v>1590</v>
      </c>
      <c r="B1567" s="4" t="str">
        <f>VLOOKUP(A1567,Sheet2!$A$2:$R$3432,2,0)</f>
        <v>2025-05-07 19:26:13</v>
      </c>
      <c r="C1567" s="5" t="s">
        <v>25</v>
      </c>
      <c r="D1567" s="6" t="s">
        <v>25</v>
      </c>
      <c r="E1567" s="7">
        <f>VLOOKUP(A1567,Sheet2!$A$2:$R$3432,4,0)</f>
        <v>9890603382</v>
      </c>
      <c r="F1567" s="7" t="str">
        <f>VLOOKUP(A1567,Sheet2!$A$2:$R$3432,3,0)</f>
        <v>Gaurav </v>
      </c>
      <c r="G1567" s="5" t="s">
        <v>25</v>
      </c>
      <c r="H1567" s="5" t="s">
        <v>25</v>
      </c>
      <c r="I1567" s="5" t="s">
        <v>25</v>
      </c>
      <c r="J1567" s="5" t="s">
        <v>25</v>
      </c>
      <c r="K1567" s="7" t="str">
        <f>VLOOKUP(A1567,Sheet2!$A$2:$R$3432,6,0)</f>
        <v>TVS Zest 110</v>
      </c>
      <c r="L1567" s="5" t="s">
        <v>25</v>
      </c>
      <c r="M1567" s="7" t="str">
        <f>VLOOKUP(A1567,Sheet2!$A$2:$R$3432,5,0)</f>
        <v>MH14JW2528</v>
      </c>
      <c r="N1567" s="5" t="s">
        <v>25</v>
      </c>
      <c r="O1567" s="5" t="s">
        <v>25</v>
      </c>
      <c r="P1567" s="6" t="s">
        <v>25</v>
      </c>
      <c r="Q1567" s="5" t="s">
        <v>25</v>
      </c>
      <c r="R1567" s="5" t="s">
        <v>25</v>
      </c>
      <c r="S1567" s="5" t="str">
        <f>VLOOKUP(A1567,Sheet2!$A$2:$R$3432,18,0)</f>
        <v>EG4EJ2014335</v>
      </c>
      <c r="T1567" s="7" t="str">
        <f>VLOOKUP(A1567,Sheet2!$A$2:$R$3432,17,0)</f>
        <v>MD626FG48J2E14082</v>
      </c>
    </row>
    <row r="1568" ht="15.75" customHeight="1">
      <c r="A1568" s="3" t="s">
        <v>1591</v>
      </c>
      <c r="B1568" s="4" t="str">
        <f>VLOOKUP(A1568,Sheet2!$A$2:$R$3432,2,0)</f>
        <v>2025-05-07 19:32:07</v>
      </c>
      <c r="C1568" s="5" t="s">
        <v>25</v>
      </c>
      <c r="D1568" s="6" t="s">
        <v>25</v>
      </c>
      <c r="E1568" s="7">
        <f>VLOOKUP(A1568,Sheet2!$A$2:$R$3432,4,0)</f>
        <v>9307152325</v>
      </c>
      <c r="F1568" s="7" t="str">
        <f>VLOOKUP(A1568,Sheet2!$A$2:$R$3432,3,0)</f>
        <v>Atharva Yeole</v>
      </c>
      <c r="G1568" s="5" t="s">
        <v>25</v>
      </c>
      <c r="H1568" s="5" t="s">
        <v>25</v>
      </c>
      <c r="I1568" s="5" t="s">
        <v>25</v>
      </c>
      <c r="J1568" s="5" t="s">
        <v>25</v>
      </c>
      <c r="K1568" s="7" t="str">
        <f>VLOOKUP(A1568,Sheet2!$A$2:$R$3432,6,0)</f>
        <v>TVS Apache 160 4V</v>
      </c>
      <c r="L1568" s="5" t="s">
        <v>25</v>
      </c>
      <c r="M1568" s="7" t="str">
        <f>VLOOKUP(A1568,Sheet2!$A$2:$R$3432,5,0)</f>
        <v>MH49BU6849</v>
      </c>
      <c r="N1568" s="5" t="s">
        <v>25</v>
      </c>
      <c r="O1568" s="5" t="s">
        <v>25</v>
      </c>
      <c r="P1568" s="6" t="s">
        <v>25</v>
      </c>
      <c r="Q1568" s="5" t="s">
        <v>25</v>
      </c>
      <c r="R1568" s="5" t="s">
        <v>25</v>
      </c>
      <c r="S1568" s="7" t="str">
        <f>VLOOKUP(A1568,Sheet2!$A$2:$R$3432,18,0)</f>
        <v/>
      </c>
      <c r="T1568" s="7" t="str">
        <f>VLOOKUP(A1568,Sheet2!$A$2:$R$3432,17,0)</f>
        <v/>
      </c>
    </row>
    <row r="1569" ht="15.75" customHeight="1">
      <c r="A1569" s="3" t="s">
        <v>1592</v>
      </c>
      <c r="B1569" s="4" t="str">
        <f>VLOOKUP(A1569,Sheet2!$A$2:$R$3432,2,0)</f>
        <v>2025-05-07 19:39:48</v>
      </c>
      <c r="C1569" s="5" t="s">
        <v>25</v>
      </c>
      <c r="D1569" s="6" t="s">
        <v>25</v>
      </c>
      <c r="E1569" s="7">
        <f>VLOOKUP(A1569,Sheet2!$A$2:$R$3432,4,0)</f>
        <v>8806796584</v>
      </c>
      <c r="F1569" s="7" t="str">
        <f>VLOOKUP(A1569,Sheet2!$A$2:$R$3432,3,0)</f>
        <v>Cre Kavita</v>
      </c>
      <c r="G1569" s="5" t="s">
        <v>25</v>
      </c>
      <c r="H1569" s="5" t="s">
        <v>25</v>
      </c>
      <c r="I1569" s="5" t="s">
        <v>25</v>
      </c>
      <c r="J1569" s="5" t="s">
        <v>25</v>
      </c>
      <c r="K1569" s="7" t="str">
        <f>VLOOKUP(A1569,Sheet2!$A$2:$R$3432,6,0)</f>
        <v>TVS Victor </v>
      </c>
      <c r="L1569" s="5" t="s">
        <v>25</v>
      </c>
      <c r="M1569" s="7" t="str">
        <f>VLOOKUP(A1569,Sheet2!$A$2:$R$3432,5,0)</f>
        <v>MH12BR1544</v>
      </c>
      <c r="N1569" s="5" t="s">
        <v>25</v>
      </c>
      <c r="O1569" s="5" t="s">
        <v>25</v>
      </c>
      <c r="P1569" s="6" t="s">
        <v>25</v>
      </c>
      <c r="Q1569" s="5" t="s">
        <v>25</v>
      </c>
      <c r="R1569" s="5" t="s">
        <v>25</v>
      </c>
      <c r="S1569" s="7" t="str">
        <f>VLOOKUP(A1569,Sheet2!$A$2:$R$3432,18,0)</f>
        <v/>
      </c>
      <c r="T1569" s="7" t="str">
        <f>VLOOKUP(A1569,Sheet2!$A$2:$R$3432,17,0)</f>
        <v/>
      </c>
    </row>
    <row r="1570" ht="15.75" customHeight="1">
      <c r="A1570" s="3" t="s">
        <v>1593</v>
      </c>
      <c r="B1570" s="4" t="str">
        <f>VLOOKUP(A1570,Sheet2!$A$2:$R$3432,2,0)</f>
        <v>2025-05-07 19:36:03</v>
      </c>
      <c r="C1570" s="5" t="s">
        <v>25</v>
      </c>
      <c r="D1570" s="6" t="s">
        <v>25</v>
      </c>
      <c r="E1570" s="7">
        <f>VLOOKUP(A1570,Sheet2!$A$2:$R$3432,4,0)</f>
        <v>8308787615</v>
      </c>
      <c r="F1570" s="7" t="str">
        <f>VLOOKUP(A1570,Sheet2!$A$2:$R$3432,3,0)</f>
        <v>Parag Shirbhate</v>
      </c>
      <c r="G1570" s="5" t="s">
        <v>25</v>
      </c>
      <c r="H1570" s="5" t="s">
        <v>25</v>
      </c>
      <c r="I1570" s="5" t="s">
        <v>25</v>
      </c>
      <c r="J1570" s="5" t="s">
        <v>25</v>
      </c>
      <c r="K1570" s="7" t="str">
        <f>VLOOKUP(A1570,Sheet2!$A$2:$R$3432,6,0)</f>
        <v>Honda Unicorn </v>
      </c>
      <c r="L1570" s="5" t="s">
        <v>25</v>
      </c>
      <c r="M1570" s="7" t="str">
        <f>VLOOKUP(A1570,Sheet2!$A$2:$R$3432,5,0)</f>
        <v>MH12PL7948</v>
      </c>
      <c r="N1570" s="5" t="s">
        <v>25</v>
      </c>
      <c r="O1570" s="5" t="s">
        <v>25</v>
      </c>
      <c r="P1570" s="6" t="s">
        <v>25</v>
      </c>
      <c r="Q1570" s="5" t="s">
        <v>25</v>
      </c>
      <c r="R1570" s="5" t="s">
        <v>25</v>
      </c>
      <c r="S1570" s="7" t="str">
        <f>VLOOKUP(A1570,Sheet2!$A$2:$R$3432,18,0)</f>
        <v/>
      </c>
      <c r="T1570" s="7" t="str">
        <f>VLOOKUP(A1570,Sheet2!$A$2:$R$3432,17,0)</f>
        <v/>
      </c>
    </row>
    <row r="1571" ht="15.75" customHeight="1">
      <c r="A1571" s="3" t="s">
        <v>1594</v>
      </c>
      <c r="B1571" s="4" t="str">
        <f>VLOOKUP(A1571,Sheet2!$A$2:$R$3432,2,0)</f>
        <v>2025-05-07 20:07:50</v>
      </c>
      <c r="C1571" s="5" t="s">
        <v>25</v>
      </c>
      <c r="D1571" s="6" t="s">
        <v>25</v>
      </c>
      <c r="E1571" s="7">
        <f>VLOOKUP(A1571,Sheet2!$A$2:$R$3432,4,0)</f>
        <v>9848388369</v>
      </c>
      <c r="F1571" s="7" t="str">
        <f>VLOOKUP(A1571,Sheet2!$A$2:$R$3432,3,0)</f>
        <v>MANI TEJA</v>
      </c>
      <c r="G1571" s="5" t="s">
        <v>25</v>
      </c>
      <c r="H1571" s="5" t="s">
        <v>25</v>
      </c>
      <c r="I1571" s="5" t="s">
        <v>25</v>
      </c>
      <c r="J1571" s="5" t="s">
        <v>25</v>
      </c>
      <c r="K1571" s="7" t="str">
        <f>VLOOKUP(A1571,Sheet2!$A$2:$R$3432,6,0)</f>
        <v>Yamaha FZ S 2.0</v>
      </c>
      <c r="L1571" s="5" t="s">
        <v>25</v>
      </c>
      <c r="M1571" s="7" t="str">
        <f>VLOOKUP(A1571,Sheet2!$A$2:$R$3432,5,0)</f>
        <v>MH14FZ1217</v>
      </c>
      <c r="N1571" s="5" t="s">
        <v>25</v>
      </c>
      <c r="O1571" s="5" t="s">
        <v>25</v>
      </c>
      <c r="P1571" s="6" t="s">
        <v>25</v>
      </c>
      <c r="Q1571" s="5" t="s">
        <v>25</v>
      </c>
      <c r="R1571" s="5" t="s">
        <v>25</v>
      </c>
      <c r="S1571" s="7" t="str">
        <f>VLOOKUP(A1571,Sheet2!$A$2:$R$3432,18,0)</f>
        <v/>
      </c>
      <c r="T1571" s="7" t="str">
        <f>VLOOKUP(A1571,Sheet2!$A$2:$R$3432,17,0)</f>
        <v/>
      </c>
    </row>
    <row r="1572" ht="15.75" customHeight="1">
      <c r="A1572" s="3" t="s">
        <v>1595</v>
      </c>
      <c r="B1572" s="4" t="str">
        <f>VLOOKUP(A1572,Sheet2!$A$2:$R$3432,2,0)</f>
        <v>2025-04-19 18:01:26</v>
      </c>
      <c r="C1572" s="5" t="s">
        <v>25</v>
      </c>
      <c r="D1572" s="6" t="s">
        <v>25</v>
      </c>
      <c r="E1572" s="7">
        <f>VLOOKUP(A1572,Sheet2!$A$2:$R$3432,4,0)</f>
        <v>8805711978</v>
      </c>
      <c r="F1572" s="7" t="str">
        <f>VLOOKUP(A1572,Sheet2!$A$2:$R$3432,3,0)</f>
        <v>Nikhil Hatwar</v>
      </c>
      <c r="G1572" s="5" t="s">
        <v>25</v>
      </c>
      <c r="H1572" s="5" t="s">
        <v>25</v>
      </c>
      <c r="I1572" s="5" t="s">
        <v>25</v>
      </c>
      <c r="J1572" s="5" t="s">
        <v>25</v>
      </c>
      <c r="K1572" s="7" t="str">
        <f>VLOOKUP(A1572,Sheet2!$A$2:$R$3432,6,0)</f>
        <v>Honda Activa 4G</v>
      </c>
      <c r="L1572" s="5" t="s">
        <v>25</v>
      </c>
      <c r="M1572" s="7" t="str">
        <f>VLOOKUP(A1572,Sheet2!$A$2:$R$3432,5,0)</f>
        <v>MH14KR4629</v>
      </c>
      <c r="N1572" s="5" t="s">
        <v>25</v>
      </c>
      <c r="O1572" s="5" t="s">
        <v>25</v>
      </c>
      <c r="P1572" s="6" t="s">
        <v>25</v>
      </c>
      <c r="Q1572" s="5" t="s">
        <v>25</v>
      </c>
      <c r="R1572" s="5" t="s">
        <v>25</v>
      </c>
      <c r="S1572" s="5" t="str">
        <f>VLOOKUP(A1572,Sheet2!$A$2:$R$3432,18,0)</f>
        <v>JK15EGJ03532</v>
      </c>
      <c r="T1572" s="7" t="str">
        <f>VLOOKUP(A1572,Sheet2!$A$2:$R$3432,17,0)</f>
        <v>ML4JK156CPC0379700</v>
      </c>
    </row>
    <row r="1573" ht="15.75" customHeight="1">
      <c r="A1573" s="3" t="s">
        <v>1596</v>
      </c>
      <c r="B1573" s="4" t="str">
        <f>VLOOKUP(A1573,Sheet2!$A$2:$R$3432,2,0)</f>
        <v>2025-04-19 18:09:29</v>
      </c>
      <c r="C1573" s="5" t="s">
        <v>25</v>
      </c>
      <c r="D1573" s="6" t="s">
        <v>25</v>
      </c>
      <c r="E1573" s="7">
        <f>VLOOKUP(A1573,Sheet2!$A$2:$R$3432,4,0)</f>
        <v>7397977452</v>
      </c>
      <c r="F1573" s="7" t="str">
        <f>VLOOKUP(A1573,Sheet2!$A$2:$R$3432,3,0)</f>
        <v>Tanmay</v>
      </c>
      <c r="G1573" s="5" t="s">
        <v>25</v>
      </c>
      <c r="H1573" s="5" t="s">
        <v>25</v>
      </c>
      <c r="I1573" s="5" t="s">
        <v>25</v>
      </c>
      <c r="J1573" s="5" t="s">
        <v>25</v>
      </c>
      <c r="K1573" s="7" t="str">
        <f>VLOOKUP(A1573,Sheet2!$A$2:$R$3432,6,0)</f>
        <v>Hero Deluxe HF</v>
      </c>
      <c r="L1573" s="5" t="s">
        <v>25</v>
      </c>
      <c r="M1573" s="7" t="str">
        <f>VLOOKUP(A1573,Sheet2!$A$2:$R$3432,5,0)</f>
        <v>MH49BU3960</v>
      </c>
      <c r="N1573" s="5" t="s">
        <v>25</v>
      </c>
      <c r="O1573" s="5" t="s">
        <v>25</v>
      </c>
      <c r="P1573" s="6" t="s">
        <v>25</v>
      </c>
      <c r="Q1573" s="5" t="s">
        <v>25</v>
      </c>
      <c r="R1573" s="5" t="s">
        <v>25</v>
      </c>
      <c r="S1573" s="5" t="str">
        <f>VLOOKUP(A1573,Sheet2!$A$2:$R$3432,18,0)</f>
        <v>HA11EWN4B01238</v>
      </c>
      <c r="T1573" s="7" t="str">
        <f>VLOOKUP(A1573,Sheet2!$A$2:$R$3432,17,0)</f>
        <v>MBLHAW136N4B01400</v>
      </c>
    </row>
    <row r="1574" ht="15.75" customHeight="1">
      <c r="A1574" s="3" t="s">
        <v>1597</v>
      </c>
      <c r="B1574" s="4" t="str">
        <f>VLOOKUP(A1574,Sheet2!$A$2:$R$3432,2,0)</f>
        <v>2025-04-19 18:12:47</v>
      </c>
      <c r="C1574" s="5" t="s">
        <v>25</v>
      </c>
      <c r="D1574" s="6" t="s">
        <v>25</v>
      </c>
      <c r="E1574" s="7">
        <f>VLOOKUP(A1574,Sheet2!$A$2:$R$3432,4,0)</f>
        <v>9833238285</v>
      </c>
      <c r="F1574" s="7" t="str">
        <f>VLOOKUP(A1574,Sheet2!$A$2:$R$3432,3,0)</f>
        <v>Monali Bhole</v>
      </c>
      <c r="G1574" s="5" t="s">
        <v>25</v>
      </c>
      <c r="H1574" s="5" t="s">
        <v>25</v>
      </c>
      <c r="I1574" s="5" t="s">
        <v>25</v>
      </c>
      <c r="J1574" s="5" t="s">
        <v>25</v>
      </c>
      <c r="K1574" s="7" t="str">
        <f>VLOOKUP(A1574,Sheet2!$A$2:$R$3432,6,0)</f>
        <v>TVS Wego </v>
      </c>
      <c r="L1574" s="5" t="s">
        <v>25</v>
      </c>
      <c r="M1574" s="7" t="str">
        <f>VLOOKUP(A1574,Sheet2!$A$2:$R$3432,5,0)</f>
        <v>MH14GW4382</v>
      </c>
      <c r="N1574" s="5" t="s">
        <v>25</v>
      </c>
      <c r="O1574" s="5" t="s">
        <v>25</v>
      </c>
      <c r="P1574" s="6" t="s">
        <v>25</v>
      </c>
      <c r="Q1574" s="5" t="s">
        <v>25</v>
      </c>
      <c r="R1574" s="5" t="s">
        <v>25</v>
      </c>
      <c r="S1574" s="5" t="str">
        <f>VLOOKUP(A1574,Sheet2!$A$2:$R$3432,18,0)</f>
        <v>DG4CJ1401531</v>
      </c>
      <c r="T1574" s="7" t="str">
        <f>VLOOKUP(A1574,Sheet2!$A$2:$R$3432,17,0)</f>
        <v>MD626DG46J1C01609</v>
      </c>
    </row>
    <row r="1575" ht="15.75" customHeight="1">
      <c r="A1575" s="3" t="s">
        <v>1598</v>
      </c>
      <c r="B1575" s="4" t="str">
        <f>VLOOKUP(A1575,Sheet2!$A$2:$R$3432,2,0)</f>
        <v>2025-04-19 19:00:39</v>
      </c>
      <c r="C1575" s="5" t="s">
        <v>25</v>
      </c>
      <c r="D1575" s="6" t="s">
        <v>25</v>
      </c>
      <c r="E1575" s="7">
        <f>VLOOKUP(A1575,Sheet2!$A$2:$R$3432,4,0)</f>
        <v>9130833396</v>
      </c>
      <c r="F1575" s="7" t="str">
        <f>VLOOKUP(A1575,Sheet2!$A$2:$R$3432,3,0)</f>
        <v>Sharvil</v>
      </c>
      <c r="G1575" s="5" t="s">
        <v>25</v>
      </c>
      <c r="H1575" s="5" t="s">
        <v>25</v>
      </c>
      <c r="I1575" s="5" t="s">
        <v>25</v>
      </c>
      <c r="J1575" s="5" t="s">
        <v>25</v>
      </c>
      <c r="K1575" s="7" t="str">
        <f>VLOOKUP(A1575,Sheet2!$A$2:$R$3432,6,0)</f>
        <v>Hero Splendor </v>
      </c>
      <c r="L1575" s="5" t="s">
        <v>25</v>
      </c>
      <c r="M1575" s="7" t="str">
        <f>VLOOKUP(A1575,Sheet2!$A$2:$R$3432,5,0)</f>
        <v>MH09FS3396</v>
      </c>
      <c r="N1575" s="5" t="s">
        <v>25</v>
      </c>
      <c r="O1575" s="5" t="s">
        <v>25</v>
      </c>
      <c r="P1575" s="6" t="s">
        <v>25</v>
      </c>
      <c r="Q1575" s="5" t="s">
        <v>25</v>
      </c>
      <c r="R1575" s="5" t="s">
        <v>25</v>
      </c>
      <c r="S1575" s="5" t="str">
        <f>VLOOKUP(A1575,Sheet2!$A$2:$R$3432,18,0)</f>
        <v>HA11EDLHM31479</v>
      </c>
      <c r="T1575" s="7" t="str">
        <f>VLOOKUP(A1575,Sheet2!$A$2:$R$3432,17,0)</f>
        <v>MBLHAW123LHLHM03155</v>
      </c>
    </row>
    <row r="1576" ht="15.75" customHeight="1">
      <c r="A1576" s="3" t="s">
        <v>1599</v>
      </c>
      <c r="B1576" s="4" t="str">
        <f>VLOOKUP(A1576,Sheet2!$A$2:$R$3432,2,0)</f>
        <v>2025-04-19 20:11:58</v>
      </c>
      <c r="C1576" s="5" t="s">
        <v>25</v>
      </c>
      <c r="D1576" s="6" t="s">
        <v>25</v>
      </c>
      <c r="E1576" s="7">
        <f>VLOOKUP(A1576,Sheet2!$A$2:$R$3432,4,0)</f>
        <v>9767099744</v>
      </c>
      <c r="F1576" s="7" t="str">
        <f>VLOOKUP(A1576,Sheet2!$A$2:$R$3432,3,0)</f>
        <v>SHRADDHA PATIL </v>
      </c>
      <c r="G1576" s="5" t="s">
        <v>25</v>
      </c>
      <c r="H1576" s="5" t="s">
        <v>25</v>
      </c>
      <c r="I1576" s="5" t="s">
        <v>25</v>
      </c>
      <c r="J1576" s="5" t="s">
        <v>25</v>
      </c>
      <c r="K1576" s="7" t="str">
        <f>VLOOKUP(A1576,Sheet2!$A$2:$R$3432,6,0)</f>
        <v>TVS Jupiter </v>
      </c>
      <c r="L1576" s="5" t="s">
        <v>25</v>
      </c>
      <c r="M1576" s="7" t="str">
        <f>VLOOKUP(A1576,Sheet2!$A$2:$R$3432,5,0)</f>
        <v>MH14HT1829</v>
      </c>
      <c r="N1576" s="5" t="s">
        <v>25</v>
      </c>
      <c r="O1576" s="5" t="s">
        <v>25</v>
      </c>
      <c r="P1576" s="6" t="s">
        <v>25</v>
      </c>
      <c r="Q1576" s="5" t="s">
        <v>25</v>
      </c>
      <c r="R1576" s="5" t="s">
        <v>25</v>
      </c>
      <c r="S1576" s="5" t="str">
        <f>VLOOKUP(A1576,Sheet2!$A$2:$R$3432,18,0)</f>
        <v>EG4GK1914195</v>
      </c>
      <c r="T1576" s="7" t="str">
        <f>VLOOKUP(A1576,Sheet2!$A$2:$R$3432,17,0)</f>
        <v>MD626EG46K1G24018</v>
      </c>
    </row>
    <row r="1577" ht="15.75" customHeight="1">
      <c r="A1577" s="3" t="s">
        <v>1600</v>
      </c>
      <c r="B1577" s="4" t="str">
        <f>VLOOKUP(A1577,Sheet2!$A$2:$R$3432,2,0)</f>
        <v>2025-04-19 20:04:17</v>
      </c>
      <c r="C1577" s="5" t="s">
        <v>25</v>
      </c>
      <c r="D1577" s="6" t="s">
        <v>25</v>
      </c>
      <c r="E1577" s="7">
        <f>VLOOKUP(A1577,Sheet2!$A$2:$R$3432,4,0)</f>
        <v>8888845573</v>
      </c>
      <c r="F1577" s="7" t="str">
        <f>VLOOKUP(A1577,Sheet2!$A$2:$R$3432,3,0)</f>
        <v>Tushar</v>
      </c>
      <c r="G1577" s="5" t="s">
        <v>25</v>
      </c>
      <c r="H1577" s="5" t="s">
        <v>25</v>
      </c>
      <c r="I1577" s="5" t="s">
        <v>25</v>
      </c>
      <c r="J1577" s="5" t="s">
        <v>25</v>
      </c>
      <c r="K1577" s="7" t="str">
        <f>VLOOKUP(A1577,Sheet2!$A$2:$R$3432,6,0)</f>
        <v>TVS Jupiter </v>
      </c>
      <c r="L1577" s="5" t="s">
        <v>25</v>
      </c>
      <c r="M1577" s="7" t="str">
        <f>VLOOKUP(A1577,Sheet2!$A$2:$R$3432,5,0)</f>
        <v>MH14FJ4665</v>
      </c>
      <c r="N1577" s="5" t="s">
        <v>25</v>
      </c>
      <c r="O1577" s="5" t="s">
        <v>25</v>
      </c>
      <c r="P1577" s="6" t="s">
        <v>25</v>
      </c>
      <c r="Q1577" s="5" t="s">
        <v>25</v>
      </c>
      <c r="R1577" s="5" t="s">
        <v>25</v>
      </c>
      <c r="S1577" s="5" t="str">
        <f>VLOOKUP(A1577,Sheet2!$A$2:$R$3432,18,0)</f>
        <v>BG4NF1757652</v>
      </c>
      <c r="T1577" s="7" t="str">
        <f>VLOOKUP(A1577,Sheet2!$A$2:$R$3432,17,0)</f>
        <v>ME626BG46F1N5788</v>
      </c>
    </row>
    <row r="1578" ht="15.75" customHeight="1">
      <c r="A1578" s="3" t="s">
        <v>1601</v>
      </c>
      <c r="B1578" s="4" t="str">
        <f>VLOOKUP(A1578,Sheet2!$A$2:$R$3432,2,0)</f>
        <v>2025-04-19 20:07:47</v>
      </c>
      <c r="C1578" s="5" t="s">
        <v>25</v>
      </c>
      <c r="D1578" s="6" t="s">
        <v>25</v>
      </c>
      <c r="E1578" s="7">
        <f>VLOOKUP(A1578,Sheet2!$A$2:$R$3432,4,0)</f>
        <v>8839950154</v>
      </c>
      <c r="F1578" s="7" t="str">
        <f>VLOOKUP(A1578,Sheet2!$A$2:$R$3432,3,0)</f>
        <v>Rohan Patil </v>
      </c>
      <c r="G1578" s="5" t="s">
        <v>25</v>
      </c>
      <c r="H1578" s="5" t="s">
        <v>25</v>
      </c>
      <c r="I1578" s="5" t="s">
        <v>25</v>
      </c>
      <c r="J1578" s="5" t="s">
        <v>25</v>
      </c>
      <c r="K1578" s="7" t="str">
        <f>VLOOKUP(A1578,Sheet2!$A$2:$R$3432,6,0)</f>
        <v>Honda Activa </v>
      </c>
      <c r="L1578" s="5" t="s">
        <v>25</v>
      </c>
      <c r="M1578" s="7" t="str">
        <f>VLOOKUP(A1578,Sheet2!$A$2:$R$3432,5,0)</f>
        <v>MP04SM6154</v>
      </c>
      <c r="N1578" s="5" t="s">
        <v>25</v>
      </c>
      <c r="O1578" s="5" t="s">
        <v>25</v>
      </c>
      <c r="P1578" s="6" t="s">
        <v>25</v>
      </c>
      <c r="Q1578" s="5" t="s">
        <v>25</v>
      </c>
      <c r="R1578" s="5" t="s">
        <v>25</v>
      </c>
      <c r="S1578" s="5" t="str">
        <f>VLOOKUP(A1578,Sheet2!$A$2:$R$3432,18,0)</f>
        <v>X</v>
      </c>
      <c r="T1578" s="7" t="str">
        <f>VLOOKUP(A1578,Sheet2!$A$2:$R$3432,17,0)</f>
        <v>RUSTY FRAME</v>
      </c>
    </row>
    <row r="1579" ht="15.75" customHeight="1">
      <c r="A1579" s="3" t="s">
        <v>1602</v>
      </c>
      <c r="B1579" s="4" t="str">
        <f>VLOOKUP(A1579,Sheet2!$A$2:$R$3432,2,0)</f>
        <v>2025-04-19 20:08:37</v>
      </c>
      <c r="C1579" s="5" t="s">
        <v>25</v>
      </c>
      <c r="D1579" s="6" t="s">
        <v>25</v>
      </c>
      <c r="E1579" s="7">
        <f>VLOOKUP(A1579,Sheet2!$A$2:$R$3432,4,0)</f>
        <v>9822106552</v>
      </c>
      <c r="F1579" s="7" t="str">
        <f>VLOOKUP(A1579,Sheet2!$A$2:$R$3432,3,0)</f>
        <v>YOGESH AUSEKAR</v>
      </c>
      <c r="G1579" s="5" t="s">
        <v>25</v>
      </c>
      <c r="H1579" s="5" t="s">
        <v>25</v>
      </c>
      <c r="I1579" s="5" t="s">
        <v>25</v>
      </c>
      <c r="J1579" s="5" t="s">
        <v>25</v>
      </c>
      <c r="K1579" s="7" t="str">
        <f>VLOOKUP(A1579,Sheet2!$A$2:$R$3432,6,0)</f>
        <v>Honda Dio </v>
      </c>
      <c r="L1579" s="5" t="s">
        <v>25</v>
      </c>
      <c r="M1579" s="7" t="str">
        <f>VLOOKUP(A1579,Sheet2!$A$2:$R$3432,5,0)</f>
        <v>MH20CQ964</v>
      </c>
      <c r="N1579" s="5" t="s">
        <v>25</v>
      </c>
      <c r="O1579" s="5" t="s">
        <v>25</v>
      </c>
      <c r="P1579" s="6" t="s">
        <v>25</v>
      </c>
      <c r="Q1579" s="5" t="s">
        <v>25</v>
      </c>
      <c r="R1579" s="5" t="s">
        <v>25</v>
      </c>
      <c r="S1579" s="5" t="str">
        <f>VLOOKUP(A1579,Sheet2!$A$2:$R$3432,18,0)</f>
        <v>JF39E80030718</v>
      </c>
      <c r="T1579" s="7" t="str">
        <f>VLOOKUP(A1579,Sheet2!$A$2:$R$3432,17,0)</f>
        <v/>
      </c>
    </row>
    <row r="1580" ht="15.75" customHeight="1">
      <c r="A1580" s="3" t="s">
        <v>1603</v>
      </c>
      <c r="B1580" s="4" t="str">
        <f>VLOOKUP(A1580,Sheet2!$A$2:$R$3432,2,0)</f>
        <v>2025-04-19 20:09:55</v>
      </c>
      <c r="C1580" s="5" t="s">
        <v>25</v>
      </c>
      <c r="D1580" s="6" t="s">
        <v>25</v>
      </c>
      <c r="E1580" s="7">
        <f>VLOOKUP(A1580,Sheet2!$A$2:$R$3432,4,0)</f>
        <v>8149555665</v>
      </c>
      <c r="F1580" s="7" t="str">
        <f>VLOOKUP(A1580,Sheet2!$A$2:$R$3432,3,0)</f>
        <v>Kiran Chillat</v>
      </c>
      <c r="G1580" s="5" t="s">
        <v>25</v>
      </c>
      <c r="H1580" s="5" t="s">
        <v>25</v>
      </c>
      <c r="I1580" s="5" t="s">
        <v>25</v>
      </c>
      <c r="J1580" s="5" t="s">
        <v>25</v>
      </c>
      <c r="K1580" s="7" t="str">
        <f>VLOOKUP(A1580,Sheet2!$A$2:$R$3432,6,0)</f>
        <v>Honda Activa 110</v>
      </c>
      <c r="L1580" s="5" t="s">
        <v>25</v>
      </c>
      <c r="M1580" s="7" t="str">
        <f>VLOOKUP(A1580,Sheet2!$A$2:$R$3432,5,0)</f>
        <v>MH14EF9340</v>
      </c>
      <c r="N1580" s="5" t="s">
        <v>25</v>
      </c>
      <c r="O1580" s="5" t="s">
        <v>25</v>
      </c>
      <c r="P1580" s="6" t="s">
        <v>25</v>
      </c>
      <c r="Q1580" s="5" t="s">
        <v>25</v>
      </c>
      <c r="R1580" s="5" t="s">
        <v>25</v>
      </c>
      <c r="S1580" s="5" t="str">
        <f>VLOOKUP(A1580,Sheet2!$A$2:$R$3432,18,0)</f>
        <v>JF50ET0253775</v>
      </c>
      <c r="T1580" s="7" t="str">
        <f>VLOOKUP(A1580,Sheet2!$A$2:$R$3432,17,0)</f>
        <v>ME4JF50HBET253995</v>
      </c>
    </row>
    <row r="1581" ht="15.75" customHeight="1">
      <c r="A1581" s="3" t="s">
        <v>1604</v>
      </c>
      <c r="B1581" s="4" t="str">
        <f>VLOOKUP(A1581,Sheet2!$A$2:$R$3432,2,0)</f>
        <v>2025-04-19 20:27:34</v>
      </c>
      <c r="C1581" s="5" t="s">
        <v>25</v>
      </c>
      <c r="D1581" s="6" t="s">
        <v>25</v>
      </c>
      <c r="E1581" s="7">
        <f>VLOOKUP(A1581,Sheet2!$A$2:$R$3432,4,0)</f>
        <v>9209665540</v>
      </c>
      <c r="F1581" s="7" t="str">
        <f>VLOOKUP(A1581,Sheet2!$A$2:$R$3432,3,0)</f>
        <v>Nikhil</v>
      </c>
      <c r="G1581" s="5" t="s">
        <v>25</v>
      </c>
      <c r="H1581" s="5" t="s">
        <v>25</v>
      </c>
      <c r="I1581" s="5" t="s">
        <v>25</v>
      </c>
      <c r="J1581" s="5" t="s">
        <v>25</v>
      </c>
      <c r="K1581" s="7" t="str">
        <f>VLOOKUP(A1581,Sheet2!$A$2:$R$3432,6,0)</f>
        <v>Suzuki Burgman Street </v>
      </c>
      <c r="L1581" s="5" t="s">
        <v>25</v>
      </c>
      <c r="M1581" s="7" t="str">
        <f>VLOOKUP(A1581,Sheet2!$A$2:$R$3432,5,0)</f>
        <v>MH14HV1187</v>
      </c>
      <c r="N1581" s="5" t="s">
        <v>25</v>
      </c>
      <c r="O1581" s="5" t="s">
        <v>25</v>
      </c>
      <c r="P1581" s="6" t="s">
        <v>25</v>
      </c>
      <c r="Q1581" s="5" t="s">
        <v>25</v>
      </c>
      <c r="R1581" s="5" t="s">
        <v>25</v>
      </c>
      <c r="S1581" s="5" t="str">
        <f>VLOOKUP(A1581,Sheet2!$A$2:$R$3432,18,0)</f>
        <v>AF212166296</v>
      </c>
      <c r="T1581" s="7" t="str">
        <f>VLOOKUP(A1581,Sheet2!$A$2:$R$3432,17,0)</f>
        <v>MB8EA11AJK821667</v>
      </c>
    </row>
    <row r="1582" ht="15.75" customHeight="1">
      <c r="A1582" s="3" t="s">
        <v>1605</v>
      </c>
      <c r="B1582" s="4" t="str">
        <f>VLOOKUP(A1582,Sheet2!$A$2:$R$3432,2,0)</f>
        <v>2025-04-19 20:52:04</v>
      </c>
      <c r="C1582" s="5" t="s">
        <v>25</v>
      </c>
      <c r="D1582" s="6" t="s">
        <v>25</v>
      </c>
      <c r="E1582" s="7">
        <f>VLOOKUP(A1582,Sheet2!$A$2:$R$3432,4,0)</f>
        <v>9730183970</v>
      </c>
      <c r="F1582" s="7" t="str">
        <f>VLOOKUP(A1582,Sheet2!$A$2:$R$3432,3,0)</f>
        <v>VISHAL </v>
      </c>
      <c r="G1582" s="5" t="s">
        <v>25</v>
      </c>
      <c r="H1582" s="5" t="s">
        <v>25</v>
      </c>
      <c r="I1582" s="5" t="s">
        <v>25</v>
      </c>
      <c r="J1582" s="5" t="s">
        <v>25</v>
      </c>
      <c r="K1582" s="7" t="str">
        <f>VLOOKUP(A1582,Sheet2!$A$2:$R$3432,6,0)</f>
        <v>Honda Aviator No Data</v>
      </c>
      <c r="L1582" s="5" t="s">
        <v>25</v>
      </c>
      <c r="M1582" s="7" t="str">
        <f>VLOOKUP(A1582,Sheet2!$A$2:$R$3432,5,0)</f>
        <v>MH14CH5449</v>
      </c>
      <c r="N1582" s="5" t="s">
        <v>25</v>
      </c>
      <c r="O1582" s="5" t="s">
        <v>25</v>
      </c>
      <c r="P1582" s="6" t="s">
        <v>25</v>
      </c>
      <c r="Q1582" s="5" t="s">
        <v>25</v>
      </c>
      <c r="R1582" s="5" t="s">
        <v>25</v>
      </c>
      <c r="S1582" s="5" t="str">
        <f>VLOOKUP(A1582,Sheet2!$A$2:$R$3432,18,0)</f>
        <v>UF21E9123549</v>
      </c>
      <c r="T1582" s="7" t="str">
        <f>VLOOKUP(A1582,Sheet2!$A$2:$R$3432,17,0)</f>
        <v/>
      </c>
    </row>
    <row r="1583" ht="15.75" customHeight="1">
      <c r="A1583" s="3" t="s">
        <v>1606</v>
      </c>
      <c r="B1583" s="4" t="str">
        <f>VLOOKUP(A1583,Sheet2!$A$2:$R$3432,2,0)</f>
        <v>2025-04-19 20:53:00</v>
      </c>
      <c r="C1583" s="5" t="s">
        <v>25</v>
      </c>
      <c r="D1583" s="6" t="s">
        <v>25</v>
      </c>
      <c r="E1583" s="7">
        <f>VLOOKUP(A1583,Sheet2!$A$2:$R$3432,4,0)</f>
        <v>9146526026</v>
      </c>
      <c r="F1583" s="7" t="str">
        <f>VLOOKUP(A1583,Sheet2!$A$2:$R$3432,3,0)</f>
        <v>SHIVANI</v>
      </c>
      <c r="G1583" s="5" t="s">
        <v>25</v>
      </c>
      <c r="H1583" s="5" t="s">
        <v>25</v>
      </c>
      <c r="I1583" s="5" t="s">
        <v>25</v>
      </c>
      <c r="J1583" s="5" t="s">
        <v>25</v>
      </c>
      <c r="K1583" s="7" t="str">
        <f>VLOOKUP(A1583,Sheet2!$A$2:$R$3432,6,0)</f>
        <v>Honda Activa 6G</v>
      </c>
      <c r="L1583" s="5" t="s">
        <v>25</v>
      </c>
      <c r="M1583" s="7" t="str">
        <f>VLOOKUP(A1583,Sheet2!$A$2:$R$3432,5,0)</f>
        <v>MH26CA5834</v>
      </c>
      <c r="N1583" s="5" t="s">
        <v>25</v>
      </c>
      <c r="O1583" s="5" t="s">
        <v>25</v>
      </c>
      <c r="P1583" s="6" t="s">
        <v>25</v>
      </c>
      <c r="Q1583" s="5" t="s">
        <v>25</v>
      </c>
      <c r="R1583" s="5" t="s">
        <v>25</v>
      </c>
      <c r="S1583" s="5" t="str">
        <f>VLOOKUP(A1583,Sheet2!$A$2:$R$3432,18,0)</f>
        <v>JF91EW4027957</v>
      </c>
      <c r="T1583" s="7" t="str">
        <f>VLOOKUP(A1583,Sheet2!$A$2:$R$3432,17,0)</f>
        <v>ME4JF917MMW028044</v>
      </c>
    </row>
    <row r="1584" ht="15.75" customHeight="1">
      <c r="A1584" s="3" t="s">
        <v>1607</v>
      </c>
      <c r="B1584" s="4" t="str">
        <f>VLOOKUP(A1584,Sheet2!$A$2:$R$3432,2,0)</f>
        <v>2025-03-01 18:27:50</v>
      </c>
      <c r="C1584" s="5" t="s">
        <v>25</v>
      </c>
      <c r="D1584" s="6" t="s">
        <v>25</v>
      </c>
      <c r="E1584" s="7">
        <f>VLOOKUP(A1584,Sheet2!$A$2:$R$3432,4,0)</f>
        <v>9730774900</v>
      </c>
      <c r="F1584" s="7" t="str">
        <f>VLOOKUP(A1584,Sheet2!$A$2:$R$3432,3,0)</f>
        <v>Amit</v>
      </c>
      <c r="G1584" s="5" t="s">
        <v>25</v>
      </c>
      <c r="H1584" s="5" t="s">
        <v>25</v>
      </c>
      <c r="I1584" s="5" t="s">
        <v>25</v>
      </c>
      <c r="J1584" s="5" t="s">
        <v>25</v>
      </c>
      <c r="K1584" s="7" t="str">
        <f>VLOOKUP(A1584,Sheet2!$A$2:$R$3432,6,0)</f>
        <v>Honda Dio </v>
      </c>
      <c r="L1584" s="5" t="s">
        <v>25</v>
      </c>
      <c r="M1584" s="7" t="str">
        <f>VLOOKUP(A1584,Sheet2!$A$2:$R$3432,5,0)</f>
        <v>MH14BZ8666</v>
      </c>
      <c r="N1584" s="5" t="s">
        <v>25</v>
      </c>
      <c r="O1584" s="5" t="s">
        <v>25</v>
      </c>
      <c r="P1584" s="6" t="s">
        <v>25</v>
      </c>
      <c r="Q1584" s="5" t="s">
        <v>25</v>
      </c>
      <c r="R1584" s="5" t="s">
        <v>25</v>
      </c>
      <c r="S1584" s="7" t="str">
        <f>VLOOKUP(A1584,Sheet2!$A$2:$R$3432,18,0)</f>
        <v/>
      </c>
      <c r="T1584" s="7" t="str">
        <f>VLOOKUP(A1584,Sheet2!$A$2:$R$3432,17,0)</f>
        <v>ME4JFM8A08007561</v>
      </c>
    </row>
    <row r="1585" ht="15.75" customHeight="1">
      <c r="A1585" s="3" t="s">
        <v>1608</v>
      </c>
      <c r="B1585" s="4" t="str">
        <f>VLOOKUP(A1585,Sheet2!$A$2:$R$3432,2,0)</f>
        <v>2025-03-01 19:21:02</v>
      </c>
      <c r="C1585" s="5" t="s">
        <v>25</v>
      </c>
      <c r="D1585" s="6" t="s">
        <v>25</v>
      </c>
      <c r="E1585" s="7">
        <f>VLOOKUP(A1585,Sheet2!$A$2:$R$3432,4,0)</f>
        <v>8904955456</v>
      </c>
      <c r="F1585" s="7" t="str">
        <f>VLOOKUP(A1585,Sheet2!$A$2:$R$3432,3,0)</f>
        <v>Subhash</v>
      </c>
      <c r="G1585" s="5" t="s">
        <v>25</v>
      </c>
      <c r="H1585" s="5" t="s">
        <v>25</v>
      </c>
      <c r="I1585" s="5" t="s">
        <v>25</v>
      </c>
      <c r="J1585" s="5" t="s">
        <v>25</v>
      </c>
      <c r="K1585" s="7" t="str">
        <f>VLOOKUP(A1585,Sheet2!$A$2:$R$3432,6,0)</f>
        <v>Honda Activa 3G</v>
      </c>
      <c r="L1585" s="5" t="s">
        <v>25</v>
      </c>
      <c r="M1585" s="7" t="str">
        <f>VLOOKUP(A1585,Sheet2!$A$2:$R$3432,5,0)</f>
        <v>KA25EY7224</v>
      </c>
      <c r="N1585" s="5" t="s">
        <v>25</v>
      </c>
      <c r="O1585" s="5" t="s">
        <v>25</v>
      </c>
      <c r="P1585" s="6" t="s">
        <v>25</v>
      </c>
      <c r="Q1585" s="5" t="s">
        <v>25</v>
      </c>
      <c r="R1585" s="5" t="s">
        <v>25</v>
      </c>
      <c r="S1585" s="5" t="str">
        <f>VLOOKUP(A1585,Sheet2!$A$2:$R$3432,18,0)</f>
        <v>JF50ET3857613</v>
      </c>
      <c r="T1585" s="7" t="str">
        <f>VLOOKUP(A1585,Sheet2!$A$2:$R$3432,17,0)</f>
        <v>ME4JF505KGT785485</v>
      </c>
    </row>
    <row r="1586" ht="15.75" customHeight="1">
      <c r="A1586" s="3" t="s">
        <v>1609</v>
      </c>
      <c r="B1586" s="4" t="str">
        <f>VLOOKUP(A1586,Sheet2!$A$2:$R$3432,2,0)</f>
        <v>2025-03-01 17:54:54</v>
      </c>
      <c r="C1586" s="5" t="s">
        <v>25</v>
      </c>
      <c r="D1586" s="6" t="s">
        <v>25</v>
      </c>
      <c r="E1586" s="7">
        <f>VLOOKUP(A1586,Sheet2!$A$2:$R$3432,4,0)</f>
        <v>9370296416</v>
      </c>
      <c r="F1586" s="7" t="str">
        <f>VLOOKUP(A1586,Sheet2!$A$2:$R$3432,3,0)</f>
        <v>SAMYAK GAIKWAD </v>
      </c>
      <c r="G1586" s="5" t="s">
        <v>25</v>
      </c>
      <c r="H1586" s="5" t="s">
        <v>25</v>
      </c>
      <c r="I1586" s="5" t="s">
        <v>25</v>
      </c>
      <c r="J1586" s="5" t="s">
        <v>25</v>
      </c>
      <c r="K1586" s="7" t="str">
        <f>VLOOKUP(A1586,Sheet2!$A$2:$R$3432,6,0)</f>
        <v>Honda Grazia </v>
      </c>
      <c r="L1586" s="5" t="s">
        <v>25</v>
      </c>
      <c r="M1586" s="7" t="str">
        <f>VLOOKUP(A1586,Sheet2!$A$2:$R$3432,5,0)</f>
        <v>MH34BK2048</v>
      </c>
      <c r="N1586" s="5" t="s">
        <v>25</v>
      </c>
      <c r="O1586" s="5" t="s">
        <v>25</v>
      </c>
      <c r="P1586" s="6" t="s">
        <v>25</v>
      </c>
      <c r="Q1586" s="5" t="s">
        <v>25</v>
      </c>
      <c r="R1586" s="5" t="s">
        <v>25</v>
      </c>
      <c r="S1586" s="7" t="str">
        <f>VLOOKUP(A1586,Sheet2!$A$2:$R$3432,18,0)</f>
        <v/>
      </c>
      <c r="T1586" s="7" t="str">
        <f>VLOOKUP(A1586,Sheet2!$A$2:$R$3432,17,0)</f>
        <v/>
      </c>
    </row>
    <row r="1587" ht="15.75" customHeight="1">
      <c r="A1587" s="3" t="s">
        <v>1610</v>
      </c>
      <c r="B1587" s="4" t="str">
        <f>VLOOKUP(A1587,Sheet2!$A$2:$R$3432,2,0)</f>
        <v>2025-03-01 17:57:13</v>
      </c>
      <c r="C1587" s="5" t="s">
        <v>25</v>
      </c>
      <c r="D1587" s="6" t="s">
        <v>25</v>
      </c>
      <c r="E1587" s="7">
        <f>VLOOKUP(A1587,Sheet2!$A$2:$R$3432,4,0)</f>
        <v>7038788485</v>
      </c>
      <c r="F1587" s="7" t="str">
        <f>VLOOKUP(A1587,Sheet2!$A$2:$R$3432,3,0)</f>
        <v>SACHIN VYAVAHARE</v>
      </c>
      <c r="G1587" s="5" t="s">
        <v>25</v>
      </c>
      <c r="H1587" s="5" t="s">
        <v>25</v>
      </c>
      <c r="I1587" s="5" t="s">
        <v>25</v>
      </c>
      <c r="J1587" s="5" t="s">
        <v>25</v>
      </c>
      <c r="K1587" s="7" t="str">
        <f>VLOOKUP(A1587,Sheet2!$A$2:$R$3432,6,0)</f>
        <v>Honda Unicorn 150</v>
      </c>
      <c r="L1587" s="5" t="s">
        <v>25</v>
      </c>
      <c r="M1587" s="7" t="str">
        <f>VLOOKUP(A1587,Sheet2!$A$2:$R$3432,5,0)</f>
        <v>MH42BG9227</v>
      </c>
      <c r="N1587" s="5" t="s">
        <v>25</v>
      </c>
      <c r="O1587" s="5" t="s">
        <v>25</v>
      </c>
      <c r="P1587" s="6" t="s">
        <v>25</v>
      </c>
      <c r="Q1587" s="5" t="s">
        <v>25</v>
      </c>
      <c r="R1587" s="5" t="s">
        <v>25</v>
      </c>
      <c r="S1587" s="5" t="str">
        <f>VLOOKUP(A1587,Sheet2!$A$2:$R$3432,18,0)</f>
        <v>KC40EA108C411</v>
      </c>
      <c r="T1587" s="7" t="str">
        <f>VLOOKUP(A1587,Sheet2!$A$2:$R$3432,17,0)</f>
        <v>ME4KC402JNAD84365</v>
      </c>
    </row>
    <row r="1588" ht="15.75" customHeight="1">
      <c r="A1588" s="3" t="s">
        <v>1611</v>
      </c>
      <c r="B1588" s="4" t="str">
        <f>VLOOKUP(A1588,Sheet2!$A$2:$R$3432,2,0)</f>
        <v>2025-03-01 17:55:37</v>
      </c>
      <c r="C1588" s="5" t="s">
        <v>25</v>
      </c>
      <c r="D1588" s="6" t="s">
        <v>25</v>
      </c>
      <c r="E1588" s="7">
        <f>VLOOKUP(A1588,Sheet2!$A$2:$R$3432,4,0)</f>
        <v>9838427722</v>
      </c>
      <c r="F1588" s="7" t="str">
        <f>VLOOKUP(A1588,Sheet2!$A$2:$R$3432,3,0)</f>
        <v>Anit Wahi</v>
      </c>
      <c r="G1588" s="5" t="s">
        <v>25</v>
      </c>
      <c r="H1588" s="5" t="s">
        <v>25</v>
      </c>
      <c r="I1588" s="5" t="s">
        <v>25</v>
      </c>
      <c r="J1588" s="5" t="s">
        <v>25</v>
      </c>
      <c r="K1588" s="7" t="str">
        <f>VLOOKUP(A1588,Sheet2!$A$2:$R$3432,6,0)</f>
        <v>TVS Jupiter No Data</v>
      </c>
      <c r="L1588" s="5" t="s">
        <v>25</v>
      </c>
      <c r="M1588" s="7" t="str">
        <f>VLOOKUP(A1588,Sheet2!$A$2:$R$3432,5,0)</f>
        <v>MH12UB9482</v>
      </c>
      <c r="N1588" s="5" t="s">
        <v>25</v>
      </c>
      <c r="O1588" s="5" t="s">
        <v>25</v>
      </c>
      <c r="P1588" s="6" t="s">
        <v>25</v>
      </c>
      <c r="Q1588" s="5" t="s">
        <v>25</v>
      </c>
      <c r="R1588" s="5" t="s">
        <v>25</v>
      </c>
      <c r="S1588" s="7" t="str">
        <f>VLOOKUP(A1588,Sheet2!$A$2:$R$3432,18,0)</f>
        <v/>
      </c>
      <c r="T1588" s="7" t="str">
        <f>VLOOKUP(A1588,Sheet2!$A$2:$R$3432,17,0)</f>
        <v/>
      </c>
    </row>
    <row r="1589" ht="15.75" customHeight="1">
      <c r="A1589" s="3" t="s">
        <v>1612</v>
      </c>
      <c r="B1589" s="4" t="str">
        <f>VLOOKUP(A1589,Sheet2!$A$2:$R$3432,2,0)</f>
        <v>2025-03-01 17:56:35</v>
      </c>
      <c r="C1589" s="5" t="s">
        <v>25</v>
      </c>
      <c r="D1589" s="6" t="s">
        <v>25</v>
      </c>
      <c r="E1589" s="7">
        <f>VLOOKUP(A1589,Sheet2!$A$2:$R$3432,4,0)</f>
        <v>8237127129</v>
      </c>
      <c r="F1589" s="7" t="str">
        <f>VLOOKUP(A1589,Sheet2!$A$2:$R$3432,3,0)</f>
        <v>ANIKET DESHMUKH </v>
      </c>
      <c r="G1589" s="5" t="s">
        <v>25</v>
      </c>
      <c r="H1589" s="5" t="s">
        <v>25</v>
      </c>
      <c r="I1589" s="5" t="s">
        <v>25</v>
      </c>
      <c r="J1589" s="5" t="s">
        <v>25</v>
      </c>
      <c r="K1589" s="7" t="str">
        <f>VLOOKUP(A1589,Sheet2!$A$2:$R$3432,6,0)</f>
        <v>TVS Jupiter </v>
      </c>
      <c r="L1589" s="5" t="s">
        <v>25</v>
      </c>
      <c r="M1589" s="7" t="str">
        <f>VLOOKUP(A1589,Sheet2!$A$2:$R$3432,5,0)</f>
        <v>MH24AJ0020</v>
      </c>
      <c r="N1589" s="5" t="s">
        <v>25</v>
      </c>
      <c r="O1589" s="5" t="s">
        <v>25</v>
      </c>
      <c r="P1589" s="6" t="s">
        <v>25</v>
      </c>
      <c r="Q1589" s="5" t="s">
        <v>25</v>
      </c>
      <c r="R1589" s="5" t="s">
        <v>25</v>
      </c>
      <c r="S1589" s="5" t="str">
        <f>VLOOKUP(A1589,Sheet2!$A$2:$R$3432,18,0)</f>
        <v>BG4DE11762</v>
      </c>
      <c r="T1589" s="7" t="str">
        <f>VLOOKUP(A1589,Sheet2!$A$2:$R$3432,17,0)</f>
        <v>MD626BG48E4D21423</v>
      </c>
    </row>
    <row r="1590" ht="15.75" customHeight="1">
      <c r="A1590" s="3" t="s">
        <v>1613</v>
      </c>
      <c r="B1590" s="4" t="str">
        <f>VLOOKUP(A1590,Sheet2!$A$2:$R$3432,2,0)</f>
        <v>2025-03-01 17:57:28</v>
      </c>
      <c r="C1590" s="5" t="s">
        <v>25</v>
      </c>
      <c r="D1590" s="6" t="s">
        <v>25</v>
      </c>
      <c r="E1590" s="7">
        <f>VLOOKUP(A1590,Sheet2!$A$2:$R$3432,4,0)</f>
        <v>8446273147</v>
      </c>
      <c r="F1590" s="7" t="str">
        <f>VLOOKUP(A1590,Sheet2!$A$2:$R$3432,3,0)</f>
        <v>Kaustubh</v>
      </c>
      <c r="G1590" s="5" t="s">
        <v>25</v>
      </c>
      <c r="H1590" s="5" t="s">
        <v>25</v>
      </c>
      <c r="I1590" s="5" t="s">
        <v>25</v>
      </c>
      <c r="J1590" s="5" t="s">
        <v>25</v>
      </c>
      <c r="K1590" s="7" t="str">
        <f>VLOOKUP(A1590,Sheet2!$A$2:$R$3432,6,0)</f>
        <v>TVS Apache RTR 160</v>
      </c>
      <c r="L1590" s="5" t="s">
        <v>25</v>
      </c>
      <c r="M1590" s="7" t="str">
        <f>VLOOKUP(A1590,Sheet2!$A$2:$R$3432,5,0)</f>
        <v>MH14EN6324</v>
      </c>
      <c r="N1590" s="5" t="s">
        <v>25</v>
      </c>
      <c r="O1590" s="5" t="s">
        <v>25</v>
      </c>
      <c r="P1590" s="6" t="s">
        <v>25</v>
      </c>
      <c r="Q1590" s="5" t="s">
        <v>25</v>
      </c>
      <c r="R1590" s="5" t="s">
        <v>25</v>
      </c>
      <c r="S1590" s="7" t="str">
        <f>VLOOKUP(A1590,Sheet2!$A$2:$R$3432,18,0)</f>
        <v/>
      </c>
      <c r="T1590" s="7" t="str">
        <f>VLOOKUP(A1590,Sheet2!$A$2:$R$3432,17,0)</f>
        <v>MD834KE43E2644222</v>
      </c>
    </row>
    <row r="1591" ht="15.75" customHeight="1">
      <c r="A1591" s="3" t="s">
        <v>1614</v>
      </c>
      <c r="B1591" s="4" t="str">
        <f>VLOOKUP(A1591,Sheet2!$A$2:$R$3432,2,0)</f>
        <v>2025-03-01 18:00:40</v>
      </c>
      <c r="C1591" s="5" t="s">
        <v>25</v>
      </c>
      <c r="D1591" s="6" t="s">
        <v>25</v>
      </c>
      <c r="E1591" s="7">
        <f>VLOOKUP(A1591,Sheet2!$A$2:$R$3432,4,0)</f>
        <v>9527692735</v>
      </c>
      <c r="F1591" s="7" t="str">
        <f>VLOOKUP(A1591,Sheet2!$A$2:$R$3432,3,0)</f>
        <v>ANIL</v>
      </c>
      <c r="G1591" s="5" t="s">
        <v>25</v>
      </c>
      <c r="H1591" s="5" t="s">
        <v>25</v>
      </c>
      <c r="I1591" s="5" t="s">
        <v>25</v>
      </c>
      <c r="J1591" s="5" t="s">
        <v>25</v>
      </c>
      <c r="K1591" s="7" t="str">
        <f>VLOOKUP(A1591,Sheet2!$A$2:$R$3432,6,0)</f>
        <v>Honda Activa 110</v>
      </c>
      <c r="L1591" s="5" t="s">
        <v>25</v>
      </c>
      <c r="M1591" s="7" t="str">
        <f>VLOOKUP(A1591,Sheet2!$A$2:$R$3432,5,0)</f>
        <v>MH46T0691</v>
      </c>
      <c r="N1591" s="5" t="s">
        <v>25</v>
      </c>
      <c r="O1591" s="5" t="s">
        <v>25</v>
      </c>
      <c r="P1591" s="6" t="s">
        <v>25</v>
      </c>
      <c r="Q1591" s="5" t="s">
        <v>25</v>
      </c>
      <c r="R1591" s="5" t="s">
        <v>25</v>
      </c>
      <c r="S1591" s="5" t="str">
        <f>VLOOKUP(A1591,Sheet2!$A$2:$R$3432,18,0)</f>
        <v>JC44ET5107046</v>
      </c>
      <c r="T1591" s="7" t="str">
        <f>VLOOKUP(A1591,Sheet2!$A$2:$R$3432,17,0)</f>
        <v>ME4JF448LB7104309</v>
      </c>
    </row>
    <row r="1592" ht="15.75" customHeight="1">
      <c r="A1592" s="3" t="s">
        <v>1615</v>
      </c>
      <c r="B1592" s="4" t="str">
        <f>VLOOKUP(A1592,Sheet2!$A$2:$R$3432,2,0)</f>
        <v>2025-03-01 17:58:19</v>
      </c>
      <c r="C1592" s="5" t="s">
        <v>25</v>
      </c>
      <c r="D1592" s="6" t="s">
        <v>25</v>
      </c>
      <c r="E1592" s="7">
        <f>VLOOKUP(A1592,Sheet2!$A$2:$R$3432,4,0)</f>
        <v>9730728234</v>
      </c>
      <c r="F1592" s="7" t="str">
        <f>VLOOKUP(A1592,Sheet2!$A$2:$R$3432,3,0)</f>
        <v>RAHUL</v>
      </c>
      <c r="G1592" s="5" t="s">
        <v>25</v>
      </c>
      <c r="H1592" s="5" t="s">
        <v>25</v>
      </c>
      <c r="I1592" s="5" t="s">
        <v>25</v>
      </c>
      <c r="J1592" s="5" t="s">
        <v>25</v>
      </c>
      <c r="K1592" s="7" t="str">
        <f>VLOOKUP(A1592,Sheet2!$A$2:$R$3432,6,0)</f>
        <v>Bajaj Platina 100 Comfortec</v>
      </c>
      <c r="L1592" s="5" t="s">
        <v>25</v>
      </c>
      <c r="M1592" s="7" t="str">
        <f>VLOOKUP(A1592,Sheet2!$A$2:$R$3432,5,0)</f>
        <v>MH17CN6607</v>
      </c>
      <c r="N1592" s="5" t="s">
        <v>25</v>
      </c>
      <c r="O1592" s="5" t="s">
        <v>25</v>
      </c>
      <c r="P1592" s="6" t="s">
        <v>25</v>
      </c>
      <c r="Q1592" s="5" t="s">
        <v>25</v>
      </c>
      <c r="R1592" s="5" t="s">
        <v>25</v>
      </c>
      <c r="S1592" s="5" t="str">
        <f>VLOOKUP(A1592,Sheet2!$A$2:$R$3432,18,0)</f>
        <v>AEXWLH34734</v>
      </c>
      <c r="T1592" s="7" t="str">
        <f>VLOOKUP(A1592,Sheet2!$A$2:$R$3432,17,0)</f>
        <v>MD2A76AX3LWJP8946</v>
      </c>
    </row>
    <row r="1593" ht="15.75" customHeight="1">
      <c r="A1593" s="3" t="s">
        <v>1616</v>
      </c>
      <c r="B1593" s="4" t="str">
        <f>VLOOKUP(A1593,Sheet2!$A$2:$R$3432,2,0)</f>
        <v>2025-03-01 17:59:03</v>
      </c>
      <c r="C1593" s="5" t="s">
        <v>25</v>
      </c>
      <c r="D1593" s="6" t="s">
        <v>25</v>
      </c>
      <c r="E1593" s="7">
        <f>VLOOKUP(A1593,Sheet2!$A$2:$R$3432,4,0)</f>
        <v>9370116607</v>
      </c>
      <c r="F1593" s="7" t="str">
        <f>VLOOKUP(A1593,Sheet2!$A$2:$R$3432,3,0)</f>
        <v>Ajay Choudhary </v>
      </c>
      <c r="G1593" s="5" t="s">
        <v>25</v>
      </c>
      <c r="H1593" s="5" t="s">
        <v>25</v>
      </c>
      <c r="I1593" s="5" t="s">
        <v>25</v>
      </c>
      <c r="J1593" s="5" t="s">
        <v>25</v>
      </c>
      <c r="K1593" s="7" t="str">
        <f>VLOOKUP(A1593,Sheet2!$A$2:$R$3432,6,0)</f>
        <v>Hero Passion Pro</v>
      </c>
      <c r="L1593" s="5" t="s">
        <v>25</v>
      </c>
      <c r="M1593" s="7" t="str">
        <f>VLOOKUP(A1593,Sheet2!$A$2:$R$3432,5,0)</f>
        <v>MH31DQ9816</v>
      </c>
      <c r="N1593" s="5" t="s">
        <v>25</v>
      </c>
      <c r="O1593" s="5" t="s">
        <v>25</v>
      </c>
      <c r="P1593" s="6" t="s">
        <v>25</v>
      </c>
      <c r="Q1593" s="5" t="s">
        <v>25</v>
      </c>
      <c r="R1593" s="5" t="s">
        <v>25</v>
      </c>
      <c r="S1593" s="7" t="str">
        <f>VLOOKUP(A1593,Sheet2!$A$2:$R$3432,18,0)</f>
        <v/>
      </c>
      <c r="T1593" s="7" t="str">
        <f>VLOOKUP(A1593,Sheet2!$A$2:$R$3432,17,0)</f>
        <v/>
      </c>
    </row>
    <row r="1594" ht="15.75" customHeight="1">
      <c r="A1594" s="3" t="s">
        <v>1617</v>
      </c>
      <c r="B1594" s="4" t="str">
        <f>VLOOKUP(A1594,Sheet2!$A$2:$R$3432,2,0)</f>
        <v>2025-03-01 18:40:45</v>
      </c>
      <c r="C1594" s="5" t="s">
        <v>25</v>
      </c>
      <c r="D1594" s="6" t="s">
        <v>25</v>
      </c>
      <c r="E1594" s="7">
        <f>VLOOKUP(A1594,Sheet2!$A$2:$R$3432,4,0)</f>
        <v>8101388644</v>
      </c>
      <c r="F1594" s="7" t="str">
        <f>VLOOKUP(A1594,Sheet2!$A$2:$R$3432,3,0)</f>
        <v>NITIN GUPTA</v>
      </c>
      <c r="G1594" s="5" t="s">
        <v>25</v>
      </c>
      <c r="H1594" s="5" t="s">
        <v>25</v>
      </c>
      <c r="I1594" s="5" t="s">
        <v>25</v>
      </c>
      <c r="J1594" s="5" t="s">
        <v>25</v>
      </c>
      <c r="K1594" s="7" t="str">
        <f>VLOOKUP(A1594,Sheet2!$A$2:$R$3432,6,0)</f>
        <v>Honda Activa 125 BS6</v>
      </c>
      <c r="L1594" s="5" t="s">
        <v>25</v>
      </c>
      <c r="M1594" s="7" t="str">
        <f>VLOOKUP(A1594,Sheet2!$A$2:$R$3432,5,0)</f>
        <v>MH12VD3177</v>
      </c>
      <c r="N1594" s="5" t="s">
        <v>25</v>
      </c>
      <c r="O1594" s="5" t="s">
        <v>25</v>
      </c>
      <c r="P1594" s="6" t="s">
        <v>25</v>
      </c>
      <c r="Q1594" s="5" t="s">
        <v>25</v>
      </c>
      <c r="R1594" s="5" t="s">
        <v>25</v>
      </c>
      <c r="S1594" s="5" t="str">
        <f>VLOOKUP(A1594,Sheet2!$A$2:$R$3432,18,0)</f>
        <v>JK13ED1077585</v>
      </c>
      <c r="T1594" s="7" t="str">
        <f>VLOOKUP(A1594,Sheet2!$A$2:$R$3432,17,0)</f>
        <v>ME4JK132APD049214</v>
      </c>
    </row>
    <row r="1595" ht="15.75" customHeight="1">
      <c r="A1595" s="3" t="s">
        <v>1618</v>
      </c>
      <c r="B1595" s="4" t="str">
        <f>VLOOKUP(A1595,Sheet2!$A$2:$R$3432,2,0)</f>
        <v>2025-03-01 18:40:02</v>
      </c>
      <c r="C1595" s="5" t="s">
        <v>25</v>
      </c>
      <c r="D1595" s="6" t="s">
        <v>25</v>
      </c>
      <c r="E1595" s="7">
        <f>VLOOKUP(A1595,Sheet2!$A$2:$R$3432,4,0)</f>
        <v>9886513749</v>
      </c>
      <c r="F1595" s="7" t="str">
        <f>VLOOKUP(A1595,Sheet2!$A$2:$R$3432,3,0)</f>
        <v>JAANI</v>
      </c>
      <c r="G1595" s="5" t="s">
        <v>25</v>
      </c>
      <c r="H1595" s="5" t="s">
        <v>25</v>
      </c>
      <c r="I1595" s="5" t="s">
        <v>25</v>
      </c>
      <c r="J1595" s="5" t="s">
        <v>25</v>
      </c>
      <c r="K1595" s="7" t="str">
        <f>VLOOKUP(A1595,Sheet2!$A$2:$R$3432,6,0)</f>
        <v>Honda Hornet 160R</v>
      </c>
      <c r="L1595" s="5" t="s">
        <v>25</v>
      </c>
      <c r="M1595" s="7" t="str">
        <f>VLOOKUP(A1595,Sheet2!$A$2:$R$3432,5,0)</f>
        <v>MH14GG6468</v>
      </c>
      <c r="N1595" s="5" t="s">
        <v>25</v>
      </c>
      <c r="O1595" s="5" t="s">
        <v>25</v>
      </c>
      <c r="P1595" s="6" t="s">
        <v>25</v>
      </c>
      <c r="Q1595" s="5" t="s">
        <v>25</v>
      </c>
      <c r="R1595" s="5" t="s">
        <v>25</v>
      </c>
      <c r="S1595" s="5" t="str">
        <f>VLOOKUP(A1595,Sheet2!$A$2:$R$3432,18,0)</f>
        <v>KC23E84016613</v>
      </c>
      <c r="T1595" s="7" t="str">
        <f>VLOOKUP(A1595,Sheet2!$A$2:$R$3432,17,0)</f>
        <v>ME4KC23AEH8005869</v>
      </c>
    </row>
    <row r="1596" ht="15.75" customHeight="1">
      <c r="A1596" s="3" t="s">
        <v>1619</v>
      </c>
      <c r="B1596" s="4" t="str">
        <f>VLOOKUP(A1596,Sheet2!$A$2:$R$3432,2,0)</f>
        <v>2025-03-01 19:44:03</v>
      </c>
      <c r="C1596" s="5" t="s">
        <v>25</v>
      </c>
      <c r="D1596" s="6" t="s">
        <v>25</v>
      </c>
      <c r="E1596" s="7">
        <f>VLOOKUP(A1596,Sheet2!$A$2:$R$3432,4,0)</f>
        <v>9552429521</v>
      </c>
      <c r="F1596" s="7" t="str">
        <f>VLOOKUP(A1596,Sheet2!$A$2:$R$3432,3,0)</f>
        <v>PRATHAMESH</v>
      </c>
      <c r="G1596" s="5" t="s">
        <v>25</v>
      </c>
      <c r="H1596" s="5" t="s">
        <v>25</v>
      </c>
      <c r="I1596" s="5" t="s">
        <v>25</v>
      </c>
      <c r="J1596" s="5" t="s">
        <v>25</v>
      </c>
      <c r="K1596" s="7" t="str">
        <f>VLOOKUP(A1596,Sheet2!$A$2:$R$3432,6,0)</f>
        <v>Yamaha FZ V3</v>
      </c>
      <c r="L1596" s="5" t="s">
        <v>25</v>
      </c>
      <c r="M1596" s="7" t="str">
        <f>VLOOKUP(A1596,Sheet2!$A$2:$R$3432,5,0)</f>
        <v>MH12UD6128</v>
      </c>
      <c r="N1596" s="5" t="s">
        <v>25</v>
      </c>
      <c r="O1596" s="5" t="s">
        <v>25</v>
      </c>
      <c r="P1596" s="6" t="s">
        <v>25</v>
      </c>
      <c r="Q1596" s="5" t="s">
        <v>25</v>
      </c>
      <c r="R1596" s="5" t="s">
        <v>25</v>
      </c>
      <c r="S1596" s="5" t="str">
        <f>VLOOKUP(A1596,Sheet2!$A$2:$R$3432,18,0)</f>
        <v>G3N5E0197759</v>
      </c>
      <c r="T1596" s="7" t="str">
        <f>VLOOKUP(A1596,Sheet2!$A$2:$R$3432,17,0)</f>
        <v>ME1RG66G2N0009204</v>
      </c>
    </row>
    <row r="1597" ht="15.75" customHeight="1">
      <c r="A1597" s="3" t="s">
        <v>1620</v>
      </c>
      <c r="B1597" s="4" t="str">
        <f>VLOOKUP(A1597,Sheet2!$A$2:$R$3432,2,0)</f>
        <v>2025-03-01 19:44:20</v>
      </c>
      <c r="C1597" s="5" t="s">
        <v>25</v>
      </c>
      <c r="D1597" s="6" t="s">
        <v>25</v>
      </c>
      <c r="E1597" s="7">
        <f>VLOOKUP(A1597,Sheet2!$A$2:$R$3432,4,0)</f>
        <v>9028259208</v>
      </c>
      <c r="F1597" s="7" t="str">
        <f>VLOOKUP(A1597,Sheet2!$A$2:$R$3432,3,0)</f>
        <v>Nikhil Dusane</v>
      </c>
      <c r="G1597" s="5" t="s">
        <v>25</v>
      </c>
      <c r="H1597" s="5" t="s">
        <v>25</v>
      </c>
      <c r="I1597" s="5" t="s">
        <v>25</v>
      </c>
      <c r="J1597" s="5" t="s">
        <v>25</v>
      </c>
      <c r="K1597" s="7" t="str">
        <f>VLOOKUP(A1597,Sheet2!$A$2:$R$3432,6,0)</f>
        <v>Bajaj Pulsar 125</v>
      </c>
      <c r="L1597" s="5" t="s">
        <v>25</v>
      </c>
      <c r="M1597" s="7" t="str">
        <f>VLOOKUP(A1597,Sheet2!$A$2:$R$3432,5,0)</f>
        <v>MH19DQ8969</v>
      </c>
      <c r="N1597" s="5" t="s">
        <v>25</v>
      </c>
      <c r="O1597" s="5" t="s">
        <v>25</v>
      </c>
      <c r="P1597" s="6" t="s">
        <v>25</v>
      </c>
      <c r="Q1597" s="5" t="s">
        <v>25</v>
      </c>
      <c r="R1597" s="5" t="s">
        <v>25</v>
      </c>
      <c r="S1597" s="5" t="str">
        <f>VLOOKUP(A1597,Sheet2!$A$2:$R$3432,18,0)</f>
        <v>D11XWLG64810</v>
      </c>
      <c r="T1597" s="7" t="str">
        <f>VLOOKUP(A1597,Sheet2!$A$2:$R$3432,17,0)</f>
        <v>MDB64BX3LWG1660</v>
      </c>
    </row>
    <row r="1598" ht="15.75" customHeight="1">
      <c r="A1598" s="3" t="s">
        <v>1621</v>
      </c>
      <c r="B1598" s="4" t="str">
        <f>VLOOKUP(A1598,Sheet2!$A$2:$R$3432,2,0)</f>
        <v>2025-03-01 19:57:38</v>
      </c>
      <c r="C1598" s="5" t="s">
        <v>25</v>
      </c>
      <c r="D1598" s="6" t="s">
        <v>25</v>
      </c>
      <c r="E1598" s="7">
        <f>VLOOKUP(A1598,Sheet2!$A$2:$R$3432,4,0)</f>
        <v>7020482944</v>
      </c>
      <c r="F1598" s="7" t="str">
        <f>VLOOKUP(A1598,Sheet2!$A$2:$R$3432,3,0)</f>
        <v>NAYAN</v>
      </c>
      <c r="G1598" s="5" t="s">
        <v>25</v>
      </c>
      <c r="H1598" s="5" t="s">
        <v>25</v>
      </c>
      <c r="I1598" s="5" t="s">
        <v>25</v>
      </c>
      <c r="J1598" s="5" t="s">
        <v>25</v>
      </c>
      <c r="K1598" s="7" t="str">
        <f>VLOOKUP(A1598,Sheet2!$A$2:$R$3432,6,0)</f>
        <v>Honda Activa 110</v>
      </c>
      <c r="L1598" s="5" t="s">
        <v>25</v>
      </c>
      <c r="M1598" s="7" t="str">
        <f>VLOOKUP(A1598,Sheet2!$A$2:$R$3432,5,0)</f>
        <v>MH49A9169</v>
      </c>
      <c r="N1598" s="5" t="s">
        <v>25</v>
      </c>
      <c r="O1598" s="5" t="s">
        <v>25</v>
      </c>
      <c r="P1598" s="6" t="s">
        <v>25</v>
      </c>
      <c r="Q1598" s="5" t="s">
        <v>25</v>
      </c>
      <c r="R1598" s="5" t="s">
        <v>25</v>
      </c>
      <c r="S1598" s="5" t="str">
        <f>VLOOKUP(A1598,Sheet2!$A$2:$R$3432,18,0)</f>
        <v>JC44E2351887</v>
      </c>
      <c r="T1598" s="7" t="str">
        <f>VLOOKUP(A1598,Sheet2!$A$2:$R$3432,17,0)</f>
        <v>ME4JC447KCB248791</v>
      </c>
    </row>
    <row r="1599" ht="15.75" customHeight="1">
      <c r="A1599" s="3" t="s">
        <v>1622</v>
      </c>
      <c r="B1599" s="4" t="str">
        <f>VLOOKUP(A1599,Sheet2!$A$2:$R$3432,2,0)</f>
        <v>2025-03-23 20:17:16</v>
      </c>
      <c r="C1599" s="5" t="s">
        <v>25</v>
      </c>
      <c r="D1599" s="6" t="s">
        <v>25</v>
      </c>
      <c r="E1599" s="7">
        <f>VLOOKUP(A1599,Sheet2!$A$2:$R$3432,4,0)</f>
        <v>9730658517</v>
      </c>
      <c r="F1599" s="7" t="str">
        <f>VLOOKUP(A1599,Sheet2!$A$2:$R$3432,3,0)</f>
        <v>Swaroop </v>
      </c>
      <c r="G1599" s="5" t="s">
        <v>25</v>
      </c>
      <c r="H1599" s="5" t="s">
        <v>25</v>
      </c>
      <c r="I1599" s="5" t="s">
        <v>25</v>
      </c>
      <c r="J1599" s="5" t="s">
        <v>25</v>
      </c>
      <c r="K1599" s="7" t="str">
        <f>VLOOKUP(A1599,Sheet2!$A$2:$R$3432,6,0)</f>
        <v>Hero Xtreme 160R</v>
      </c>
      <c r="L1599" s="5" t="s">
        <v>25</v>
      </c>
      <c r="M1599" s="7" t="str">
        <f>VLOOKUP(A1599,Sheet2!$A$2:$R$3432,5,0)</f>
        <v>MH20GH9614</v>
      </c>
      <c r="N1599" s="5" t="s">
        <v>25</v>
      </c>
      <c r="O1599" s="5" t="s">
        <v>25</v>
      </c>
      <c r="P1599" s="6" t="s">
        <v>25</v>
      </c>
      <c r="Q1599" s="5" t="s">
        <v>25</v>
      </c>
      <c r="R1599" s="5" t="s">
        <v>25</v>
      </c>
      <c r="S1599" s="5" t="str">
        <f>VLOOKUP(A1599,Sheet2!$A$2:$R$3432,18,0)</f>
        <v>KC0140NHJ00189</v>
      </c>
      <c r="T1599" s="7" t="str">
        <f>VLOOKUP(A1599,Sheet2!$A$2:$R$3432,17,0)</f>
        <v>MBLKCL1099HHJ00693</v>
      </c>
    </row>
    <row r="1600" ht="15.75" customHeight="1">
      <c r="A1600" s="3" t="s">
        <v>1623</v>
      </c>
      <c r="B1600" s="4" t="str">
        <f>VLOOKUP(A1600,Sheet2!$A$2:$R$3432,2,0)</f>
        <v>2025-03-23 20:15:49</v>
      </c>
      <c r="C1600" s="5" t="s">
        <v>25</v>
      </c>
      <c r="D1600" s="6" t="s">
        <v>25</v>
      </c>
      <c r="E1600" s="7">
        <f>VLOOKUP(A1600,Sheet2!$A$2:$R$3432,4,0)</f>
        <v>9209960518</v>
      </c>
      <c r="F1600" s="7" t="str">
        <f>VLOOKUP(A1600,Sheet2!$A$2:$R$3432,3,0)</f>
        <v>AKSHAY </v>
      </c>
      <c r="G1600" s="5" t="s">
        <v>25</v>
      </c>
      <c r="H1600" s="5" t="s">
        <v>25</v>
      </c>
      <c r="I1600" s="5" t="s">
        <v>25</v>
      </c>
      <c r="J1600" s="5" t="s">
        <v>25</v>
      </c>
      <c r="K1600" s="7" t="str">
        <f>VLOOKUP(A1600,Sheet2!$A$2:$R$3432,6,0)</f>
        <v>KTM RC 200</v>
      </c>
      <c r="L1600" s="5" t="s">
        <v>25</v>
      </c>
      <c r="M1600" s="7" t="str">
        <f>VLOOKUP(A1600,Sheet2!$A$2:$R$3432,5,0)</f>
        <v>MH12SM0518</v>
      </c>
      <c r="N1600" s="5" t="s">
        <v>25</v>
      </c>
      <c r="O1600" s="5" t="s">
        <v>25</v>
      </c>
      <c r="P1600" s="6" t="s">
        <v>25</v>
      </c>
      <c r="Q1600" s="5" t="s">
        <v>25</v>
      </c>
      <c r="R1600" s="5" t="s">
        <v>25</v>
      </c>
      <c r="S1600" s="7" t="str">
        <f>VLOOKUP(A1600,Sheet2!$A$2:$R$3432,18,0)</f>
        <v/>
      </c>
      <c r="T1600" s="7" t="str">
        <f>VLOOKUP(A1600,Sheet2!$A$2:$R$3432,17,0)</f>
        <v/>
      </c>
    </row>
    <row r="1601" ht="15.75" customHeight="1">
      <c r="A1601" s="3" t="s">
        <v>1624</v>
      </c>
      <c r="B1601" s="4" t="str">
        <f>VLOOKUP(A1601,Sheet2!$A$2:$R$3432,2,0)</f>
        <v>2025-03-23 20:27:39</v>
      </c>
      <c r="C1601" s="5" t="s">
        <v>25</v>
      </c>
      <c r="D1601" s="6" t="s">
        <v>25</v>
      </c>
      <c r="E1601" s="7">
        <f>VLOOKUP(A1601,Sheet2!$A$2:$R$3432,4,0)</f>
        <v>8530892111</v>
      </c>
      <c r="F1601" s="7" t="str">
        <f>VLOOKUP(A1601,Sheet2!$A$2:$R$3432,3,0)</f>
        <v>Vaibhav Rane</v>
      </c>
      <c r="G1601" s="5" t="s">
        <v>25</v>
      </c>
      <c r="H1601" s="5" t="s">
        <v>25</v>
      </c>
      <c r="I1601" s="5" t="s">
        <v>25</v>
      </c>
      <c r="J1601" s="5" t="s">
        <v>25</v>
      </c>
      <c r="K1601" s="7" t="str">
        <f>VLOOKUP(A1601,Sheet2!$A$2:$R$3432,6,0)</f>
        <v>LML Vespa 125</v>
      </c>
      <c r="L1601" s="5" t="s">
        <v>25</v>
      </c>
      <c r="M1601" s="7" t="str">
        <f>VLOOKUP(A1601,Sheet2!$A$2:$R$3432,5,0)</f>
        <v>MH47BE7436</v>
      </c>
      <c r="N1601" s="5" t="s">
        <v>25</v>
      </c>
      <c r="O1601" s="5" t="s">
        <v>25</v>
      </c>
      <c r="P1601" s="6" t="s">
        <v>25</v>
      </c>
      <c r="Q1601" s="5" t="s">
        <v>25</v>
      </c>
      <c r="R1601" s="5" t="s">
        <v>25</v>
      </c>
      <c r="S1601" s="7" t="str">
        <f>VLOOKUP(A1601,Sheet2!$A$2:$R$3432,18,0)</f>
        <v/>
      </c>
      <c r="T1601" s="7" t="str">
        <f>VLOOKUP(A1601,Sheet2!$A$2:$R$3432,17,0)</f>
        <v/>
      </c>
    </row>
    <row r="1602" ht="15.75" customHeight="1">
      <c r="A1602" s="3" t="s">
        <v>1625</v>
      </c>
      <c r="B1602" s="4" t="str">
        <f>VLOOKUP(A1602,Sheet2!$A$2:$R$3432,2,0)</f>
        <v>2025-03-23 20:29:23</v>
      </c>
      <c r="C1602" s="5" t="s">
        <v>25</v>
      </c>
      <c r="D1602" s="6" t="s">
        <v>25</v>
      </c>
      <c r="E1602" s="7">
        <f>VLOOKUP(A1602,Sheet2!$A$2:$R$3432,4,0)</f>
        <v>7741006459</v>
      </c>
      <c r="F1602" s="7" t="str">
        <f>VLOOKUP(A1602,Sheet2!$A$2:$R$3432,3,0)</f>
        <v>Ram Pawar</v>
      </c>
      <c r="G1602" s="5" t="s">
        <v>25</v>
      </c>
      <c r="H1602" s="5" t="s">
        <v>25</v>
      </c>
      <c r="I1602" s="5" t="s">
        <v>25</v>
      </c>
      <c r="J1602" s="5" t="s">
        <v>25</v>
      </c>
      <c r="K1602" s="7" t="str">
        <f>VLOOKUP(A1602,Sheet2!$A$2:$R$3432,6,0)</f>
        <v>TVS Apache RTR 160</v>
      </c>
      <c r="L1602" s="5" t="s">
        <v>25</v>
      </c>
      <c r="M1602" s="7" t="str">
        <f>VLOOKUP(A1602,Sheet2!$A$2:$R$3432,5,0)</f>
        <v>MH18BT7731</v>
      </c>
      <c r="N1602" s="5" t="s">
        <v>25</v>
      </c>
      <c r="O1602" s="5" t="s">
        <v>25</v>
      </c>
      <c r="P1602" s="6" t="s">
        <v>25</v>
      </c>
      <c r="Q1602" s="5" t="s">
        <v>25</v>
      </c>
      <c r="R1602" s="5" t="s">
        <v>25</v>
      </c>
      <c r="S1602" s="5" t="str">
        <f>VLOOKUP(A1602,Sheet2!$A$2:$R$3432,18,0)</f>
        <v>HE8AL2X01348</v>
      </c>
      <c r="T1602" s="7" t="str">
        <f>VLOOKUP(A1602,Sheet2!$A$2:$R$3432,17,0)</f>
        <v>MD634AE87N2K02468</v>
      </c>
    </row>
    <row r="1603" ht="15.75" customHeight="1">
      <c r="A1603" s="3" t="s">
        <v>1626</v>
      </c>
      <c r="B1603" s="4" t="str">
        <f>VLOOKUP(A1603,Sheet2!$A$2:$R$3432,2,0)</f>
        <v>2025-03-23 20:26:54</v>
      </c>
      <c r="C1603" s="5" t="s">
        <v>25</v>
      </c>
      <c r="D1603" s="6" t="s">
        <v>25</v>
      </c>
      <c r="E1603" s="7">
        <f>VLOOKUP(A1603,Sheet2!$A$2:$R$3432,4,0)</f>
        <v>9822250363</v>
      </c>
      <c r="F1603" s="7" t="str">
        <f>VLOOKUP(A1603,Sheet2!$A$2:$R$3432,3,0)</f>
        <v>SHRINIWAS PATKI</v>
      </c>
      <c r="G1603" s="5" t="s">
        <v>25</v>
      </c>
      <c r="H1603" s="5" t="s">
        <v>25</v>
      </c>
      <c r="I1603" s="5" t="s">
        <v>25</v>
      </c>
      <c r="J1603" s="5" t="s">
        <v>25</v>
      </c>
      <c r="K1603" s="7" t="str">
        <f>VLOOKUP(A1603,Sheet2!$A$2:$R$3432,6,0)</f>
        <v>TVS Scooty PEP</v>
      </c>
      <c r="L1603" s="5" t="s">
        <v>25</v>
      </c>
      <c r="M1603" s="7" t="str">
        <f>VLOOKUP(A1603,Sheet2!$A$2:$R$3432,5,0)</f>
        <v>MH14ES4585</v>
      </c>
      <c r="N1603" s="5" t="s">
        <v>25</v>
      </c>
      <c r="O1603" s="5" t="s">
        <v>25</v>
      </c>
      <c r="P1603" s="6" t="s">
        <v>25</v>
      </c>
      <c r="Q1603" s="5" t="s">
        <v>25</v>
      </c>
      <c r="R1603" s="5" t="s">
        <v>25</v>
      </c>
      <c r="S1603" s="7" t="str">
        <f>VLOOKUP(A1603,Sheet2!$A$2:$R$3432,18,0)</f>
        <v/>
      </c>
      <c r="T1603" s="7" t="str">
        <f>VLOOKUP(A1603,Sheet2!$A$2:$R$3432,17,0)</f>
        <v/>
      </c>
    </row>
    <row r="1604" ht="15.75" customHeight="1">
      <c r="A1604" s="3" t="s">
        <v>1627</v>
      </c>
      <c r="B1604" s="4" t="str">
        <f>VLOOKUP(A1604,Sheet2!$A$2:$R$3432,2,0)</f>
        <v>2025-03-23 20:29:52</v>
      </c>
      <c r="C1604" s="5" t="s">
        <v>25</v>
      </c>
      <c r="D1604" s="6" t="s">
        <v>25</v>
      </c>
      <c r="E1604" s="7">
        <f>VLOOKUP(A1604,Sheet2!$A$2:$R$3432,4,0)</f>
        <v>9766125235</v>
      </c>
      <c r="F1604" s="7" t="str">
        <f>VLOOKUP(A1604,Sheet2!$A$2:$R$3432,3,0)</f>
        <v>NEERAJ</v>
      </c>
      <c r="G1604" s="5" t="s">
        <v>25</v>
      </c>
      <c r="H1604" s="5" t="s">
        <v>25</v>
      </c>
      <c r="I1604" s="5" t="s">
        <v>25</v>
      </c>
      <c r="J1604" s="5" t="s">
        <v>25</v>
      </c>
      <c r="K1604" s="7" t="str">
        <f>VLOOKUP(A1604,Sheet2!$A$2:$R$3432,6,0)</f>
        <v>Hero Pleasure </v>
      </c>
      <c r="L1604" s="5" t="s">
        <v>25</v>
      </c>
      <c r="M1604" s="7" t="str">
        <f>VLOOKUP(A1604,Sheet2!$A$2:$R$3432,5,0)</f>
        <v>MH14JB1585</v>
      </c>
      <c r="N1604" s="5" t="s">
        <v>25</v>
      </c>
      <c r="O1604" s="5" t="s">
        <v>25</v>
      </c>
      <c r="P1604" s="6" t="s">
        <v>25</v>
      </c>
      <c r="Q1604" s="5" t="s">
        <v>25</v>
      </c>
      <c r="R1604" s="5" t="s">
        <v>25</v>
      </c>
      <c r="S1604" s="5" t="str">
        <f>VLOOKUP(A1604,Sheet2!$A$2:$R$3432,18,0)</f>
        <v>JF33ADKGM04546</v>
      </c>
      <c r="T1604" s="7" t="str">
        <f>VLOOKUP(A1604,Sheet2!$A$2:$R$3432,17,0)</f>
        <v>MBLJFW080KGM04387</v>
      </c>
    </row>
    <row r="1605" ht="15.75" customHeight="1">
      <c r="A1605" s="3" t="s">
        <v>1628</v>
      </c>
      <c r="B1605" s="4" t="str">
        <f>VLOOKUP(A1605,Sheet2!$A$2:$R$3432,2,0)</f>
        <v>2025-03-23 20:28:49</v>
      </c>
      <c r="C1605" s="5" t="s">
        <v>25</v>
      </c>
      <c r="D1605" s="6" t="s">
        <v>25</v>
      </c>
      <c r="E1605" s="7">
        <f>VLOOKUP(A1605,Sheet2!$A$2:$R$3432,4,0)</f>
        <v>8378961917</v>
      </c>
      <c r="F1605" s="7" t="str">
        <f>VLOOKUP(A1605,Sheet2!$A$2:$R$3432,3,0)</f>
        <v>Tejaswini Mohite </v>
      </c>
      <c r="G1605" s="5" t="s">
        <v>25</v>
      </c>
      <c r="H1605" s="5" t="s">
        <v>25</v>
      </c>
      <c r="I1605" s="5" t="s">
        <v>25</v>
      </c>
      <c r="J1605" s="5" t="s">
        <v>25</v>
      </c>
      <c r="K1605" s="7" t="str">
        <f>VLOOKUP(A1605,Sheet2!$A$2:$R$3432,6,0)</f>
        <v>Suzuki Access </v>
      </c>
      <c r="L1605" s="5" t="s">
        <v>25</v>
      </c>
      <c r="M1605" s="7" t="str">
        <f>VLOOKUP(A1605,Sheet2!$A$2:$R$3432,5,0)</f>
        <v>MH10DN3689</v>
      </c>
      <c r="N1605" s="5" t="s">
        <v>25</v>
      </c>
      <c r="O1605" s="5" t="s">
        <v>25</v>
      </c>
      <c r="P1605" s="6" t="s">
        <v>25</v>
      </c>
      <c r="Q1605" s="5" t="s">
        <v>25</v>
      </c>
      <c r="R1605" s="5" t="s">
        <v>25</v>
      </c>
      <c r="S1605" s="7" t="str">
        <f>VLOOKUP(A1605,Sheet2!$A$2:$R$3432,18,0)</f>
        <v/>
      </c>
      <c r="T1605" s="7" t="str">
        <f>VLOOKUP(A1605,Sheet2!$A$2:$R$3432,17,0)</f>
        <v/>
      </c>
    </row>
    <row r="1606" ht="15.75" customHeight="1">
      <c r="A1606" s="3" t="s">
        <v>1629</v>
      </c>
      <c r="B1606" s="4" t="str">
        <f>VLOOKUP(A1606,Sheet2!$A$2:$R$3432,2,0)</f>
        <v>2025-03-23 20:32:01</v>
      </c>
      <c r="C1606" s="5" t="s">
        <v>25</v>
      </c>
      <c r="D1606" s="6" t="s">
        <v>25</v>
      </c>
      <c r="E1606" s="7">
        <f>VLOOKUP(A1606,Sheet2!$A$2:$R$3432,4,0)</f>
        <v>7972809105</v>
      </c>
      <c r="F1606" s="7" t="str">
        <f>VLOOKUP(A1606,Sheet2!$A$2:$R$3432,3,0)</f>
        <v>Pande</v>
      </c>
      <c r="G1606" s="5" t="s">
        <v>25</v>
      </c>
      <c r="H1606" s="5" t="s">
        <v>25</v>
      </c>
      <c r="I1606" s="5" t="s">
        <v>25</v>
      </c>
      <c r="J1606" s="5" t="s">
        <v>25</v>
      </c>
      <c r="K1606" s="7" t="str">
        <f>VLOOKUP(A1606,Sheet2!$A$2:$R$3432,6,0)</f>
        <v>Suzuki Gixxer </v>
      </c>
      <c r="L1606" s="5" t="s">
        <v>25</v>
      </c>
      <c r="M1606" s="7" t="str">
        <f>VLOOKUP(A1606,Sheet2!$A$2:$R$3432,5,0)</f>
        <v>MH12LU5857</v>
      </c>
      <c r="N1606" s="5" t="s">
        <v>25</v>
      </c>
      <c r="O1606" s="5" t="s">
        <v>25</v>
      </c>
      <c r="P1606" s="6" t="s">
        <v>25</v>
      </c>
      <c r="Q1606" s="5" t="s">
        <v>25</v>
      </c>
      <c r="R1606" s="5" t="s">
        <v>25</v>
      </c>
      <c r="S1606" s="7" t="str">
        <f>VLOOKUP(A1606,Sheet2!$A$2:$R$3432,18,0)</f>
        <v/>
      </c>
      <c r="T1606" s="7" t="str">
        <f>VLOOKUP(A1606,Sheet2!$A$2:$R$3432,17,0)</f>
        <v/>
      </c>
    </row>
    <row r="1607" ht="15.75" customHeight="1">
      <c r="A1607" s="3" t="s">
        <v>1630</v>
      </c>
      <c r="B1607" s="4" t="str">
        <f>VLOOKUP(A1607,Sheet2!$A$2:$R$3432,2,0)</f>
        <v>2025-03-23 20:30:27</v>
      </c>
      <c r="C1607" s="5" t="s">
        <v>25</v>
      </c>
      <c r="D1607" s="6" t="s">
        <v>25</v>
      </c>
      <c r="E1607" s="7">
        <f>VLOOKUP(A1607,Sheet2!$A$2:$R$3432,4,0)</f>
        <v>9960409602</v>
      </c>
      <c r="F1607" s="7" t="str">
        <f>VLOOKUP(A1607,Sheet2!$A$2:$R$3432,3,0)</f>
        <v>Deepak Raut</v>
      </c>
      <c r="G1607" s="5" t="s">
        <v>25</v>
      </c>
      <c r="H1607" s="5" t="s">
        <v>25</v>
      </c>
      <c r="I1607" s="5" t="s">
        <v>25</v>
      </c>
      <c r="J1607" s="5" t="s">
        <v>25</v>
      </c>
      <c r="K1607" s="7" t="str">
        <f>VLOOKUP(A1607,Sheet2!$A$2:$R$3432,6,0)</f>
        <v>Honda Shine HET</v>
      </c>
      <c r="L1607" s="5" t="s">
        <v>25</v>
      </c>
      <c r="M1607" s="7" t="str">
        <f>VLOOKUP(A1607,Sheet2!$A$2:$R$3432,5,0)</f>
        <v>MH14DU8185</v>
      </c>
      <c r="N1607" s="5" t="s">
        <v>25</v>
      </c>
      <c r="O1607" s="5" t="s">
        <v>25</v>
      </c>
      <c r="P1607" s="6" t="s">
        <v>25</v>
      </c>
      <c r="Q1607" s="5" t="s">
        <v>25</v>
      </c>
      <c r="R1607" s="5" t="s">
        <v>25</v>
      </c>
      <c r="S1607" s="7" t="str">
        <f>VLOOKUP(A1607,Sheet2!$A$2:$R$3432,18,0)</f>
        <v/>
      </c>
      <c r="T1607" s="7" t="str">
        <f>VLOOKUP(A1607,Sheet2!$A$2:$R$3432,17,0)</f>
        <v>ME4JC36KAD7154478</v>
      </c>
    </row>
    <row r="1608" ht="15.75" customHeight="1">
      <c r="A1608" s="3" t="s">
        <v>1631</v>
      </c>
      <c r="B1608" s="4" t="str">
        <f>VLOOKUP(A1608,Sheet2!$A$2:$R$3432,2,0)</f>
        <v>2025-03-23 20:30:53</v>
      </c>
      <c r="C1608" s="5" t="s">
        <v>25</v>
      </c>
      <c r="D1608" s="6" t="s">
        <v>25</v>
      </c>
      <c r="E1608" s="7">
        <f>VLOOKUP(A1608,Sheet2!$A$2:$R$3432,4,0)</f>
        <v>9033414249</v>
      </c>
      <c r="F1608" s="7" t="str">
        <f>VLOOKUP(A1608,Sheet2!$A$2:$R$3432,3,0)</f>
        <v>Keyur Barapatre </v>
      </c>
      <c r="G1608" s="5" t="s">
        <v>25</v>
      </c>
      <c r="H1608" s="5" t="s">
        <v>25</v>
      </c>
      <c r="I1608" s="5" t="s">
        <v>25</v>
      </c>
      <c r="J1608" s="5" t="s">
        <v>25</v>
      </c>
      <c r="K1608" s="7" t="str">
        <f>VLOOKUP(A1608,Sheet2!$A$2:$R$3432,6,0)</f>
        <v>Honda Activa 125</v>
      </c>
      <c r="L1608" s="5" t="s">
        <v>25</v>
      </c>
      <c r="M1608" s="7" t="str">
        <f>VLOOKUP(A1608,Sheet2!$A$2:$R$3432,5,0)</f>
        <v>MH14KY6449</v>
      </c>
      <c r="N1608" s="5" t="s">
        <v>25</v>
      </c>
      <c r="O1608" s="5" t="s">
        <v>25</v>
      </c>
      <c r="P1608" s="6" t="s">
        <v>25</v>
      </c>
      <c r="Q1608" s="5" t="s">
        <v>25</v>
      </c>
      <c r="R1608" s="5" t="s">
        <v>25</v>
      </c>
      <c r="S1608" s="7" t="str">
        <f>VLOOKUP(A1608,Sheet2!$A$2:$R$3432,18,0)</f>
        <v/>
      </c>
      <c r="T1608" s="7" t="str">
        <f>VLOOKUP(A1608,Sheet2!$A$2:$R$3432,17,0)</f>
        <v/>
      </c>
    </row>
    <row r="1609" ht="15.75" customHeight="1">
      <c r="A1609" s="3" t="s">
        <v>1632</v>
      </c>
      <c r="B1609" s="4" t="str">
        <f>VLOOKUP(A1609,Sheet2!$A$2:$R$3432,2,0)</f>
        <v>2025-03-23 20:31:09</v>
      </c>
      <c r="C1609" s="5" t="s">
        <v>25</v>
      </c>
      <c r="D1609" s="6" t="s">
        <v>25</v>
      </c>
      <c r="E1609" s="7">
        <f>VLOOKUP(A1609,Sheet2!$A$2:$R$3432,4,0)</f>
        <v>7020621567</v>
      </c>
      <c r="F1609" s="7" t="str">
        <f>VLOOKUP(A1609,Sheet2!$A$2:$R$3432,3,0)</f>
        <v>Ravindra Deshpande </v>
      </c>
      <c r="G1609" s="5" t="s">
        <v>25</v>
      </c>
      <c r="H1609" s="5" t="s">
        <v>25</v>
      </c>
      <c r="I1609" s="5" t="s">
        <v>25</v>
      </c>
      <c r="J1609" s="5" t="s">
        <v>25</v>
      </c>
      <c r="K1609" s="7" t="str">
        <f>VLOOKUP(A1609,Sheet2!$A$2:$R$3432,6,0)</f>
        <v>Honda Activa 6G</v>
      </c>
      <c r="L1609" s="5" t="s">
        <v>25</v>
      </c>
      <c r="M1609" s="7" t="str">
        <f>VLOOKUP(A1609,Sheet2!$A$2:$R$3432,5,0)</f>
        <v>MH14LC6663</v>
      </c>
      <c r="N1609" s="5" t="s">
        <v>25</v>
      </c>
      <c r="O1609" s="5" t="s">
        <v>25</v>
      </c>
      <c r="P1609" s="6" t="s">
        <v>25</v>
      </c>
      <c r="Q1609" s="5" t="s">
        <v>25</v>
      </c>
      <c r="R1609" s="5" t="s">
        <v>25</v>
      </c>
      <c r="S1609" s="7" t="str">
        <f>VLOOKUP(A1609,Sheet2!$A$2:$R$3432,18,0)</f>
        <v/>
      </c>
      <c r="T1609" s="7" t="str">
        <f>VLOOKUP(A1609,Sheet2!$A$2:$R$3432,17,0)</f>
        <v/>
      </c>
    </row>
    <row r="1610" ht="15.75" customHeight="1">
      <c r="A1610" s="3" t="s">
        <v>1633</v>
      </c>
      <c r="B1610" s="4" t="str">
        <f>VLOOKUP(A1610,Sheet2!$A$2:$R$3432,2,0)</f>
        <v>2025-03-23 20:32:17</v>
      </c>
      <c r="C1610" s="5" t="s">
        <v>25</v>
      </c>
      <c r="D1610" s="6" t="s">
        <v>25</v>
      </c>
      <c r="E1610" s="7">
        <f>VLOOKUP(A1610,Sheet2!$A$2:$R$3432,4,0)</f>
        <v>9730002180</v>
      </c>
      <c r="F1610" s="7" t="str">
        <f>VLOOKUP(A1610,Sheet2!$A$2:$R$3432,3,0)</f>
        <v>Makarand Deshpande</v>
      </c>
      <c r="G1610" s="5" t="s">
        <v>25</v>
      </c>
      <c r="H1610" s="5" t="s">
        <v>25</v>
      </c>
      <c r="I1610" s="5" t="s">
        <v>25</v>
      </c>
      <c r="J1610" s="5" t="s">
        <v>25</v>
      </c>
      <c r="K1610" s="7" t="str">
        <f>VLOOKUP(A1610,Sheet2!$A$2:$R$3432,6,0)</f>
        <v>TVS Wego </v>
      </c>
      <c r="L1610" s="5" t="s">
        <v>25</v>
      </c>
      <c r="M1610" s="7" t="str">
        <f>VLOOKUP(A1610,Sheet2!$A$2:$R$3432,5,0)</f>
        <v>MH14EJ5798</v>
      </c>
      <c r="N1610" s="5" t="s">
        <v>25</v>
      </c>
      <c r="O1610" s="5" t="s">
        <v>25</v>
      </c>
      <c r="P1610" s="6" t="s">
        <v>25</v>
      </c>
      <c r="Q1610" s="5" t="s">
        <v>25</v>
      </c>
      <c r="R1610" s="5" t="s">
        <v>25</v>
      </c>
      <c r="S1610" s="5" t="str">
        <f>VLOOKUP(A1610,Sheet2!$A$2:$R$3432,18,0)</f>
        <v>OG4CE1119445</v>
      </c>
      <c r="T1610" s="7" t="str">
        <f>VLOOKUP(A1610,Sheet2!$A$2:$R$3432,17,0)</f>
        <v>MD626AGA8E1623020</v>
      </c>
    </row>
    <row r="1611" ht="15.75" customHeight="1">
      <c r="A1611" s="3" t="s">
        <v>1634</v>
      </c>
      <c r="B1611" s="4" t="str">
        <f>VLOOKUP(A1611,Sheet2!$A$2:$R$3432,2,0)</f>
        <v>2025-05-18 16:57:56</v>
      </c>
      <c r="C1611" s="5" t="s">
        <v>25</v>
      </c>
      <c r="D1611" s="6" t="s">
        <v>25</v>
      </c>
      <c r="E1611" s="7">
        <f>VLOOKUP(A1611,Sheet2!$A$2:$R$3432,4,0)</f>
        <v>7588437919</v>
      </c>
      <c r="F1611" s="7" t="str">
        <f>VLOOKUP(A1611,Sheet2!$A$2:$R$3432,3,0)</f>
        <v>SANSKRITI</v>
      </c>
      <c r="G1611" s="5" t="s">
        <v>25</v>
      </c>
      <c r="H1611" s="5" t="s">
        <v>25</v>
      </c>
      <c r="I1611" s="5" t="s">
        <v>25</v>
      </c>
      <c r="J1611" s="5" t="s">
        <v>25</v>
      </c>
      <c r="K1611" s="7" t="str">
        <f>VLOOKUP(A1611,Sheet2!$A$2:$R$3432,6,0)</f>
        <v>Honda Activa 5G</v>
      </c>
      <c r="L1611" s="5" t="s">
        <v>25</v>
      </c>
      <c r="M1611" s="7" t="str">
        <f>VLOOKUP(A1611,Sheet2!$A$2:$R$3432,5,0)</f>
        <v>MH31FJ7726</v>
      </c>
      <c r="N1611" s="5" t="s">
        <v>25</v>
      </c>
      <c r="O1611" s="5" t="s">
        <v>25</v>
      </c>
      <c r="P1611" s="6" t="s">
        <v>25</v>
      </c>
      <c r="Q1611" s="5" t="s">
        <v>25</v>
      </c>
      <c r="R1611" s="5" t="s">
        <v>25</v>
      </c>
      <c r="S1611" s="5" t="str">
        <f>VLOOKUP(A1611,Sheet2!$A$2:$R$3432,18,0)</f>
        <v>JF50EU7328985</v>
      </c>
      <c r="T1611" s="7" t="str">
        <f>VLOOKUP(A1611,Sheet2!$A$2:$R$3432,17,0)</f>
        <v>ME4550AKJU326966</v>
      </c>
    </row>
    <row r="1612" ht="15.75" customHeight="1">
      <c r="A1612" s="3" t="s">
        <v>1635</v>
      </c>
      <c r="B1612" s="4" t="str">
        <f>VLOOKUP(A1612,Sheet2!$A$2:$R$3432,2,0)</f>
        <v>2025-05-18 19:04:03</v>
      </c>
      <c r="C1612" s="5" t="s">
        <v>25</v>
      </c>
      <c r="D1612" s="6" t="s">
        <v>25</v>
      </c>
      <c r="E1612" s="7">
        <f>VLOOKUP(A1612,Sheet2!$A$2:$R$3432,4,0)</f>
        <v>8380858393</v>
      </c>
      <c r="F1612" s="7" t="str">
        <f>VLOOKUP(A1612,Sheet2!$A$2:$R$3432,3,0)</f>
        <v>Shreenath</v>
      </c>
      <c r="G1612" s="5" t="s">
        <v>25</v>
      </c>
      <c r="H1612" s="5" t="s">
        <v>25</v>
      </c>
      <c r="I1612" s="5" t="s">
        <v>25</v>
      </c>
      <c r="J1612" s="5" t="s">
        <v>25</v>
      </c>
      <c r="K1612" s="7" t="str">
        <f>VLOOKUP(A1612,Sheet2!$A$2:$R$3432,6,0)</f>
        <v>Honda Shine </v>
      </c>
      <c r="L1612" s="5" t="s">
        <v>25</v>
      </c>
      <c r="M1612" s="7" t="str">
        <f>VLOOKUP(A1612,Sheet2!$A$2:$R$3432,5,0)</f>
        <v>MH14JJ7948</v>
      </c>
      <c r="N1612" s="5" t="s">
        <v>25</v>
      </c>
      <c r="O1612" s="5" t="s">
        <v>25</v>
      </c>
      <c r="P1612" s="6" t="s">
        <v>25</v>
      </c>
      <c r="Q1612" s="5" t="s">
        <v>25</v>
      </c>
      <c r="R1612" s="5" t="s">
        <v>25</v>
      </c>
      <c r="S1612" s="5" t="str">
        <f>VLOOKUP(A1612,Sheet2!$A$2:$R$3432,18,0)</f>
        <v>JC85E00259615</v>
      </c>
      <c r="T1612" s="7" t="str">
        <f>VLOOKUP(A1612,Sheet2!$A$2:$R$3432,17,0)</f>
        <v>ME4JC855MCD040965</v>
      </c>
    </row>
    <row r="1613" ht="15.75" customHeight="1">
      <c r="A1613" s="3" t="s">
        <v>1636</v>
      </c>
      <c r="B1613" s="4" t="str">
        <f>VLOOKUP(A1613,Sheet2!$A$2:$R$3432,2,0)</f>
        <v>2025-05-18 18:59:37</v>
      </c>
      <c r="C1613" s="5" t="s">
        <v>25</v>
      </c>
      <c r="D1613" s="6" t="s">
        <v>25</v>
      </c>
      <c r="E1613" s="7">
        <f>VLOOKUP(A1613,Sheet2!$A$2:$R$3432,4,0)</f>
        <v>7507645019</v>
      </c>
      <c r="F1613" s="7" t="str">
        <f>VLOOKUP(A1613,Sheet2!$A$2:$R$3432,3,0)</f>
        <v>Vishal </v>
      </c>
      <c r="G1613" s="5" t="s">
        <v>25</v>
      </c>
      <c r="H1613" s="5" t="s">
        <v>25</v>
      </c>
      <c r="I1613" s="5" t="s">
        <v>25</v>
      </c>
      <c r="J1613" s="5" t="s">
        <v>25</v>
      </c>
      <c r="K1613" s="7" t="str">
        <f>VLOOKUP(A1613,Sheet2!$A$2:$R$3432,6,0)</f>
        <v>Hero Passion Plus</v>
      </c>
      <c r="L1613" s="5" t="s">
        <v>25</v>
      </c>
      <c r="M1613" s="7" t="str">
        <f>VLOOKUP(A1613,Sheet2!$A$2:$R$3432,5,0)</f>
        <v>MH16AH9897</v>
      </c>
      <c r="N1613" s="5" t="s">
        <v>25</v>
      </c>
      <c r="O1613" s="5" t="s">
        <v>25</v>
      </c>
      <c r="P1613" s="6" t="s">
        <v>25</v>
      </c>
      <c r="Q1613" s="5" t="s">
        <v>25</v>
      </c>
      <c r="R1613" s="5" t="s">
        <v>25</v>
      </c>
      <c r="S1613" s="7" t="str">
        <f>VLOOKUP(A1613,Sheet2!$A$2:$R$3432,18,0)</f>
        <v/>
      </c>
      <c r="T1613" s="7" t="str">
        <f>VLOOKUP(A1613,Sheet2!$A$2:$R$3432,17,0)</f>
        <v/>
      </c>
    </row>
    <row r="1614" ht="15.75" customHeight="1">
      <c r="A1614" s="3" t="s">
        <v>1637</v>
      </c>
      <c r="B1614" s="4" t="str">
        <f>VLOOKUP(A1614,Sheet2!$A$2:$R$3432,2,0)</f>
        <v>2025-05-18 19:01:57</v>
      </c>
      <c r="C1614" s="5" t="s">
        <v>25</v>
      </c>
      <c r="D1614" s="6" t="s">
        <v>25</v>
      </c>
      <c r="E1614" s="7">
        <f>VLOOKUP(A1614,Sheet2!$A$2:$R$3432,4,0)</f>
        <v>9657145925</v>
      </c>
      <c r="F1614" s="7" t="str">
        <f>VLOOKUP(A1614,Sheet2!$A$2:$R$3432,3,0)</f>
        <v>Pramod Mane</v>
      </c>
      <c r="G1614" s="5" t="s">
        <v>25</v>
      </c>
      <c r="H1614" s="5" t="s">
        <v>25</v>
      </c>
      <c r="I1614" s="5" t="s">
        <v>25</v>
      </c>
      <c r="J1614" s="5" t="s">
        <v>25</v>
      </c>
      <c r="K1614" s="7" t="str">
        <f>VLOOKUP(A1614,Sheet2!$A$2:$R$3432,6,0)</f>
        <v>Honda Activa </v>
      </c>
      <c r="L1614" s="5" t="s">
        <v>25</v>
      </c>
      <c r="M1614" s="7" t="str">
        <f>VLOOKUP(A1614,Sheet2!$A$2:$R$3432,5,0)</f>
        <v>MH14EV3174</v>
      </c>
      <c r="N1614" s="5" t="s">
        <v>25</v>
      </c>
      <c r="O1614" s="5" t="s">
        <v>25</v>
      </c>
      <c r="P1614" s="6" t="s">
        <v>25</v>
      </c>
      <c r="Q1614" s="5" t="s">
        <v>25</v>
      </c>
      <c r="R1614" s="5" t="s">
        <v>25</v>
      </c>
      <c r="S1614" s="5" t="str">
        <f>VLOOKUP(A1614,Sheet2!$A$2:$R$3432,18,0)</f>
        <v>JF50ET1768989</v>
      </c>
      <c r="T1614" s="7" t="str">
        <f>VLOOKUP(A1614,Sheet2!$A$2:$R$3432,17,0)</f>
        <v>ME4JFSSZAF1771289</v>
      </c>
    </row>
    <row r="1615" ht="15.75" customHeight="1">
      <c r="A1615" s="3" t="s">
        <v>1638</v>
      </c>
      <c r="B1615" s="4" t="str">
        <f>VLOOKUP(A1615,Sheet2!$A$2:$R$3432,2,0)</f>
        <v>2025-05-18 19:00:59</v>
      </c>
      <c r="C1615" s="5" t="s">
        <v>25</v>
      </c>
      <c r="D1615" s="6" t="s">
        <v>25</v>
      </c>
      <c r="E1615" s="7">
        <f>VLOOKUP(A1615,Sheet2!$A$2:$R$3432,4,0)</f>
        <v>8237861605</v>
      </c>
      <c r="F1615" s="7" t="str">
        <f>VLOOKUP(A1615,Sheet2!$A$2:$R$3432,3,0)</f>
        <v>Ayush Bhangale</v>
      </c>
      <c r="G1615" s="5" t="s">
        <v>25</v>
      </c>
      <c r="H1615" s="5" t="s">
        <v>25</v>
      </c>
      <c r="I1615" s="5" t="s">
        <v>25</v>
      </c>
      <c r="J1615" s="5" t="s">
        <v>25</v>
      </c>
      <c r="K1615" s="7" t="str">
        <f>VLOOKUP(A1615,Sheet2!$A$2:$R$3432,6,0)</f>
        <v>Honda Hornet </v>
      </c>
      <c r="L1615" s="5" t="s">
        <v>25</v>
      </c>
      <c r="M1615" s="7" t="str">
        <f>VLOOKUP(A1615,Sheet2!$A$2:$R$3432,5,0)</f>
        <v>MH12PY4962</v>
      </c>
      <c r="N1615" s="5" t="s">
        <v>25</v>
      </c>
      <c r="O1615" s="5" t="s">
        <v>25</v>
      </c>
      <c r="P1615" s="6" t="s">
        <v>25</v>
      </c>
      <c r="Q1615" s="5" t="s">
        <v>25</v>
      </c>
      <c r="R1615" s="5" t="s">
        <v>25</v>
      </c>
      <c r="S1615" s="5" t="str">
        <f>VLOOKUP(A1615,Sheet2!$A$2:$R$3432,18,0)</f>
        <v>KC23284048214</v>
      </c>
      <c r="T1615" s="7" t="str">
        <f>VLOOKUP(A1615,Sheet2!$A$2:$R$3432,17,0)</f>
        <v>ME4KC239GH8028658</v>
      </c>
    </row>
    <row r="1616" ht="15.75" customHeight="1">
      <c r="A1616" s="3" t="s">
        <v>1639</v>
      </c>
      <c r="B1616" s="4" t="str">
        <f>VLOOKUP(A1616,Sheet2!$A$2:$R$3432,2,0)</f>
        <v>2025-05-18 19:02:31</v>
      </c>
      <c r="C1616" s="5" t="s">
        <v>25</v>
      </c>
      <c r="D1616" s="6" t="s">
        <v>25</v>
      </c>
      <c r="E1616" s="7">
        <f>VLOOKUP(A1616,Sheet2!$A$2:$R$3432,4,0)</f>
        <v>7387585728</v>
      </c>
      <c r="F1616" s="7" t="str">
        <f>VLOOKUP(A1616,Sheet2!$A$2:$R$3432,3,0)</f>
        <v>SAGAR MANGALE</v>
      </c>
      <c r="G1616" s="5" t="s">
        <v>25</v>
      </c>
      <c r="H1616" s="5" t="s">
        <v>25</v>
      </c>
      <c r="I1616" s="5" t="s">
        <v>25</v>
      </c>
      <c r="J1616" s="5" t="s">
        <v>25</v>
      </c>
      <c r="K1616" s="7" t="str">
        <f>VLOOKUP(A1616,Sheet2!$A$2:$R$3432,6,0)</f>
        <v>Honda Unicorn 150</v>
      </c>
      <c r="L1616" s="5" t="s">
        <v>25</v>
      </c>
      <c r="M1616" s="7" t="str">
        <f>VLOOKUP(A1616,Sheet2!$A$2:$R$3432,5,0)</f>
        <v>MH09DD0461</v>
      </c>
      <c r="N1616" s="5" t="s">
        <v>25</v>
      </c>
      <c r="O1616" s="5" t="s">
        <v>25</v>
      </c>
      <c r="P1616" s="6" t="s">
        <v>25</v>
      </c>
      <c r="Q1616" s="5" t="s">
        <v>25</v>
      </c>
      <c r="R1616" s="5" t="s">
        <v>25</v>
      </c>
      <c r="S1616" s="7" t="str">
        <f>VLOOKUP(A1616,Sheet2!$A$2:$R$3432,18,0)</f>
        <v/>
      </c>
      <c r="T1616" s="7" t="str">
        <f>VLOOKUP(A1616,Sheet2!$A$2:$R$3432,17,0)</f>
        <v/>
      </c>
    </row>
    <row r="1617" ht="15.75" customHeight="1">
      <c r="A1617" s="3" t="s">
        <v>1640</v>
      </c>
      <c r="B1617" s="4" t="str">
        <f>VLOOKUP(A1617,Sheet2!$A$2:$R$3432,2,0)</f>
        <v>2025-05-18 19:05:17</v>
      </c>
      <c r="C1617" s="5" t="s">
        <v>25</v>
      </c>
      <c r="D1617" s="6" t="s">
        <v>25</v>
      </c>
      <c r="E1617" s="7">
        <f>VLOOKUP(A1617,Sheet2!$A$2:$R$3432,4,0)</f>
        <v>9823223920</v>
      </c>
      <c r="F1617" s="7" t="str">
        <f>VLOOKUP(A1617,Sheet2!$A$2:$R$3432,3,0)</f>
        <v>Saraf</v>
      </c>
      <c r="G1617" s="5" t="s">
        <v>25</v>
      </c>
      <c r="H1617" s="5" t="s">
        <v>25</v>
      </c>
      <c r="I1617" s="5" t="s">
        <v>25</v>
      </c>
      <c r="J1617" s="5" t="s">
        <v>25</v>
      </c>
      <c r="K1617" s="7" t="str">
        <f>VLOOKUP(A1617,Sheet2!$A$2:$R$3432,6,0)</f>
        <v>Hero Splendor </v>
      </c>
      <c r="L1617" s="5" t="s">
        <v>25</v>
      </c>
      <c r="M1617" s="7" t="str">
        <f>VLOOKUP(A1617,Sheet2!$A$2:$R$3432,5,0)</f>
        <v>MH14R0401</v>
      </c>
      <c r="N1617" s="5" t="s">
        <v>25</v>
      </c>
      <c r="O1617" s="5" t="s">
        <v>25</v>
      </c>
      <c r="P1617" s="6" t="s">
        <v>25</v>
      </c>
      <c r="Q1617" s="5" t="s">
        <v>25</v>
      </c>
      <c r="R1617" s="5" t="s">
        <v>25</v>
      </c>
      <c r="S1617" s="7" t="str">
        <f>VLOOKUP(A1617,Sheet2!$A$2:$R$3432,18,0)</f>
        <v/>
      </c>
      <c r="T1617" s="7" t="str">
        <f>VLOOKUP(A1617,Sheet2!$A$2:$R$3432,17,0)</f>
        <v>99G19C07573</v>
      </c>
    </row>
    <row r="1618" ht="15.75" customHeight="1">
      <c r="A1618" s="3" t="s">
        <v>1641</v>
      </c>
      <c r="B1618" s="4" t="str">
        <f>VLOOKUP(A1618,Sheet2!$A$2:$R$3432,2,0)</f>
        <v>2025-05-18 19:14:58</v>
      </c>
      <c r="C1618" s="5" t="s">
        <v>25</v>
      </c>
      <c r="D1618" s="6" t="s">
        <v>25</v>
      </c>
      <c r="E1618" s="7">
        <f>VLOOKUP(A1618,Sheet2!$A$2:$R$3432,4,0)</f>
        <v>9730014643</v>
      </c>
      <c r="F1618" s="7" t="str">
        <f>VLOOKUP(A1618,Sheet2!$A$2:$R$3432,3,0)</f>
        <v>Siddharth</v>
      </c>
      <c r="G1618" s="5" t="s">
        <v>25</v>
      </c>
      <c r="H1618" s="5" t="s">
        <v>25</v>
      </c>
      <c r="I1618" s="5" t="s">
        <v>25</v>
      </c>
      <c r="J1618" s="5" t="s">
        <v>25</v>
      </c>
      <c r="K1618" s="7" t="str">
        <f>VLOOKUP(A1618,Sheet2!$A$2:$R$3432,6,0)</f>
        <v>Honda Activa 110</v>
      </c>
      <c r="L1618" s="5" t="s">
        <v>25</v>
      </c>
      <c r="M1618" s="7" t="str">
        <f>VLOOKUP(A1618,Sheet2!$A$2:$R$3432,5,0)</f>
        <v>MH12HT7727</v>
      </c>
      <c r="N1618" s="5" t="s">
        <v>25</v>
      </c>
      <c r="O1618" s="5" t="s">
        <v>25</v>
      </c>
      <c r="P1618" s="6" t="s">
        <v>25</v>
      </c>
      <c r="Q1618" s="5" t="s">
        <v>25</v>
      </c>
      <c r="R1618" s="5" t="s">
        <v>25</v>
      </c>
      <c r="S1618" s="5" t="str">
        <f>VLOOKUP(A1618,Sheet2!$A$2:$R$3432,18,0)</f>
        <v>JC44E1808126</v>
      </c>
      <c r="T1618" s="7" t="str">
        <f>VLOOKUP(A1618,Sheet2!$A$2:$R$3432,17,0)</f>
        <v>ME4JC44814886MB8697046</v>
      </c>
    </row>
    <row r="1619" ht="15.75" customHeight="1">
      <c r="A1619" s="3" t="s">
        <v>1642</v>
      </c>
      <c r="B1619" s="4" t="str">
        <f>VLOOKUP(A1619,Sheet2!$A$2:$R$3432,2,0)</f>
        <v>2025-05-18 19:10:33</v>
      </c>
      <c r="C1619" s="5" t="s">
        <v>25</v>
      </c>
      <c r="D1619" s="6" t="s">
        <v>25</v>
      </c>
      <c r="E1619" s="7">
        <f>VLOOKUP(A1619,Sheet2!$A$2:$R$3432,4,0)</f>
        <v>9665268216</v>
      </c>
      <c r="F1619" s="7" t="str">
        <f>VLOOKUP(A1619,Sheet2!$A$2:$R$3432,3,0)</f>
        <v>NILESH JOSHI</v>
      </c>
      <c r="G1619" s="5" t="s">
        <v>25</v>
      </c>
      <c r="H1619" s="5" t="s">
        <v>25</v>
      </c>
      <c r="I1619" s="5" t="s">
        <v>25</v>
      </c>
      <c r="J1619" s="5" t="s">
        <v>25</v>
      </c>
      <c r="K1619" s="7" t="str">
        <f>VLOOKUP(A1619,Sheet2!$A$2:$R$3432,6,0)</f>
        <v>Honda Activa 125</v>
      </c>
      <c r="L1619" s="5" t="s">
        <v>25</v>
      </c>
      <c r="M1619" s="7" t="str">
        <f>VLOOKUP(A1619,Sheet2!$A$2:$R$3432,5,0)</f>
        <v>MH14HX8801</v>
      </c>
      <c r="N1619" s="5" t="s">
        <v>25</v>
      </c>
      <c r="O1619" s="5" t="s">
        <v>25</v>
      </c>
      <c r="P1619" s="6" t="s">
        <v>25</v>
      </c>
      <c r="Q1619" s="5" t="s">
        <v>25</v>
      </c>
      <c r="R1619" s="5" t="s">
        <v>25</v>
      </c>
      <c r="S1619" s="5" t="str">
        <f>VLOOKUP(A1619,Sheet2!$A$2:$R$3432,18,0)</f>
        <v>JF492W3001674</v>
      </c>
      <c r="T1619" s="7" t="str">
        <f>VLOOKUP(A1619,Sheet2!$A$2:$R$3432,17,0)</f>
        <v>MEAJF44LJKW00143</v>
      </c>
    </row>
    <row r="1620" ht="15.75" customHeight="1">
      <c r="A1620" s="3" t="s">
        <v>1643</v>
      </c>
      <c r="B1620" s="4" t="str">
        <f>VLOOKUP(A1620,Sheet2!$A$2:$R$3432,2,0)</f>
        <v>2025-05-18 19:12:29</v>
      </c>
      <c r="C1620" s="5" t="s">
        <v>25</v>
      </c>
      <c r="D1620" s="6" t="s">
        <v>25</v>
      </c>
      <c r="E1620" s="7">
        <f>VLOOKUP(A1620,Sheet2!$A$2:$R$3432,4,0)</f>
        <v>9960286301</v>
      </c>
      <c r="F1620" s="7" t="str">
        <f>VLOOKUP(A1620,Sheet2!$A$2:$R$3432,3,0)</f>
        <v>Amit Dhumal</v>
      </c>
      <c r="G1620" s="5" t="s">
        <v>25</v>
      </c>
      <c r="H1620" s="5" t="s">
        <v>25</v>
      </c>
      <c r="I1620" s="5" t="s">
        <v>25</v>
      </c>
      <c r="J1620" s="5" t="s">
        <v>25</v>
      </c>
      <c r="K1620" s="7" t="str">
        <f>VLOOKUP(A1620,Sheet2!$A$2:$R$3432,6,0)</f>
        <v>Honda Activa 5G</v>
      </c>
      <c r="L1620" s="5" t="s">
        <v>25</v>
      </c>
      <c r="M1620" s="7" t="str">
        <f>VLOOKUP(A1620,Sheet2!$A$2:$R$3432,5,0)</f>
        <v>MH12RW1443</v>
      </c>
      <c r="N1620" s="5" t="s">
        <v>25</v>
      </c>
      <c r="O1620" s="5" t="s">
        <v>25</v>
      </c>
      <c r="P1620" s="6" t="s">
        <v>25</v>
      </c>
      <c r="Q1620" s="5" t="s">
        <v>25</v>
      </c>
      <c r="R1620" s="5" t="s">
        <v>25</v>
      </c>
      <c r="S1620" s="5" t="str">
        <f>VLOOKUP(A1620,Sheet2!$A$2:$R$3432,18,0)</f>
        <v>JF56EW0086454</v>
      </c>
      <c r="T1620" s="7" t="str">
        <f>VLOOKUP(A1620,Sheet2!$A$2:$R$3432,17,0)</f>
        <v>ME4JF50AFKW088520</v>
      </c>
    </row>
    <row r="1621" ht="15.75" customHeight="1">
      <c r="A1621" s="3" t="s">
        <v>1644</v>
      </c>
      <c r="B1621" s="4" t="str">
        <f>VLOOKUP(A1621,Sheet2!$A$2:$R$3432,2,0)</f>
        <v>2025-05-18 19:14:16</v>
      </c>
      <c r="C1621" s="5" t="s">
        <v>25</v>
      </c>
      <c r="D1621" s="6" t="s">
        <v>25</v>
      </c>
      <c r="E1621" s="7">
        <f>VLOOKUP(A1621,Sheet2!$A$2:$R$3432,4,0)</f>
        <v>8554972505</v>
      </c>
      <c r="F1621" s="7" t="str">
        <f>VLOOKUP(A1621,Sheet2!$A$2:$R$3432,3,0)</f>
        <v>Nilesh Patil </v>
      </c>
      <c r="G1621" s="5" t="s">
        <v>25</v>
      </c>
      <c r="H1621" s="5" t="s">
        <v>25</v>
      </c>
      <c r="I1621" s="5" t="s">
        <v>25</v>
      </c>
      <c r="J1621" s="5" t="s">
        <v>25</v>
      </c>
      <c r="K1621" s="7" t="str">
        <f>VLOOKUP(A1621,Sheet2!$A$2:$R$3432,6,0)</f>
        <v>Honda Aviator </v>
      </c>
      <c r="L1621" s="5" t="s">
        <v>25</v>
      </c>
      <c r="M1621" s="7" t="str">
        <f>VLOOKUP(A1621,Sheet2!$A$2:$R$3432,5,0)</f>
        <v>KA23W505</v>
      </c>
      <c r="N1621" s="5" t="s">
        <v>25</v>
      </c>
      <c r="O1621" s="5" t="s">
        <v>25</v>
      </c>
      <c r="P1621" s="6" t="s">
        <v>25</v>
      </c>
      <c r="Q1621" s="5" t="s">
        <v>25</v>
      </c>
      <c r="R1621" s="5" t="s">
        <v>25</v>
      </c>
      <c r="S1621" s="5" t="str">
        <f>VLOOKUP(A1621,Sheet2!$A$2:$R$3432,18,0)</f>
        <v>RUSTY FRAME</v>
      </c>
      <c r="T1621" s="7" t="str">
        <f>VLOOKUP(A1621,Sheet2!$A$2:$R$3432,17,0)</f>
        <v>RUSTY FRAME</v>
      </c>
    </row>
    <row r="1622" ht="15.75" customHeight="1">
      <c r="A1622" s="3" t="s">
        <v>1645</v>
      </c>
      <c r="B1622" s="4" t="str">
        <f>VLOOKUP(A1622,Sheet2!$A$2:$R$3432,2,0)</f>
        <v>2025-05-18 19:26:24</v>
      </c>
      <c r="C1622" s="5" t="s">
        <v>25</v>
      </c>
      <c r="D1622" s="6" t="s">
        <v>25</v>
      </c>
      <c r="E1622" s="7">
        <f>VLOOKUP(A1622,Sheet2!$A$2:$R$3432,4,0)</f>
        <v>9580173352</v>
      </c>
      <c r="F1622" s="7" t="str">
        <f>VLOOKUP(A1622,Sheet2!$A$2:$R$3432,3,0)</f>
        <v>Shubhangi</v>
      </c>
      <c r="G1622" s="5" t="s">
        <v>25</v>
      </c>
      <c r="H1622" s="5" t="s">
        <v>25</v>
      </c>
      <c r="I1622" s="5" t="s">
        <v>25</v>
      </c>
      <c r="J1622" s="5" t="s">
        <v>25</v>
      </c>
      <c r="K1622" s="7" t="str">
        <f>VLOOKUP(A1622,Sheet2!$A$2:$R$3432,6,0)</f>
        <v>TVS Jupiter </v>
      </c>
      <c r="L1622" s="5" t="s">
        <v>25</v>
      </c>
      <c r="M1622" s="7" t="str">
        <f>VLOOKUP(A1622,Sheet2!$A$2:$R$3432,5,0)</f>
        <v>UP70EU8617</v>
      </c>
      <c r="N1622" s="5" t="s">
        <v>25</v>
      </c>
      <c r="O1622" s="5" t="s">
        <v>25</v>
      </c>
      <c r="P1622" s="6" t="s">
        <v>25</v>
      </c>
      <c r="Q1622" s="5" t="s">
        <v>25</v>
      </c>
      <c r="R1622" s="5" t="s">
        <v>25</v>
      </c>
      <c r="S1622" s="5" t="str">
        <f>VLOOKUP(A1622,Sheet2!$A$2:$R$3432,18,0)</f>
        <v>EG4NJ1832894</v>
      </c>
      <c r="T1622" s="7" t="str">
        <f>VLOOKUP(A1622,Sheet2!$A$2:$R$3432,17,0)</f>
        <v>MD626E846J3N12383</v>
      </c>
    </row>
    <row r="1623" ht="15.75" customHeight="1">
      <c r="A1623" s="3" t="s">
        <v>1646</v>
      </c>
      <c r="B1623" s="4" t="str">
        <f>VLOOKUP(A1623,Sheet2!$A$2:$R$3432,2,0)</f>
        <v>2025-05-18 19:27:26</v>
      </c>
      <c r="C1623" s="5" t="s">
        <v>25</v>
      </c>
      <c r="D1623" s="6" t="s">
        <v>25</v>
      </c>
      <c r="E1623" s="7">
        <f>VLOOKUP(A1623,Sheet2!$A$2:$R$3432,4,0)</f>
        <v>7819916898</v>
      </c>
      <c r="F1623" s="7" t="str">
        <f>VLOOKUP(A1623,Sheet2!$A$2:$R$3432,3,0)</f>
        <v>ANIRUDHA </v>
      </c>
      <c r="G1623" s="5" t="s">
        <v>25</v>
      </c>
      <c r="H1623" s="5" t="s">
        <v>25</v>
      </c>
      <c r="I1623" s="5" t="s">
        <v>25</v>
      </c>
      <c r="J1623" s="5" t="s">
        <v>25</v>
      </c>
      <c r="K1623" s="7" t="str">
        <f>VLOOKUP(A1623,Sheet2!$A$2:$R$3432,6,0)</f>
        <v>Yamaha Fascino No Data</v>
      </c>
      <c r="L1623" s="5" t="s">
        <v>25</v>
      </c>
      <c r="M1623" s="7" t="str">
        <f>VLOOKUP(A1623,Sheet2!$A$2:$R$3432,5,0)</f>
        <v>MH42AU5328</v>
      </c>
      <c r="N1623" s="5" t="s">
        <v>25</v>
      </c>
      <c r="O1623" s="5" t="s">
        <v>25</v>
      </c>
      <c r="P1623" s="6" t="s">
        <v>25</v>
      </c>
      <c r="Q1623" s="5" t="s">
        <v>25</v>
      </c>
      <c r="R1623" s="5" t="s">
        <v>25</v>
      </c>
      <c r="S1623" s="5" t="str">
        <f>VLOOKUP(A1623,Sheet2!$A$2:$R$3432,18,0)</f>
        <v>E34YHE0111081</v>
      </c>
      <c r="T1623" s="7" t="str">
        <f>VLOOKUP(A1623,Sheet2!$A$2:$R$3432,17,0)</f>
        <v>ME15ED19AH0078653</v>
      </c>
    </row>
    <row r="1624" ht="15.75" customHeight="1">
      <c r="A1624" s="3" t="s">
        <v>1647</v>
      </c>
      <c r="B1624" s="4" t="str">
        <f>VLOOKUP(A1624,Sheet2!$A$2:$R$3432,2,0)</f>
        <v>2025-05-18 19:28:12</v>
      </c>
      <c r="C1624" s="5" t="s">
        <v>25</v>
      </c>
      <c r="D1624" s="6" t="s">
        <v>25</v>
      </c>
      <c r="E1624" s="7">
        <f>VLOOKUP(A1624,Sheet2!$A$2:$R$3432,4,0)</f>
        <v>9922022199</v>
      </c>
      <c r="F1624" s="7" t="str">
        <f>VLOOKUP(A1624,Sheet2!$A$2:$R$3432,3,0)</f>
        <v>Rohit Nigade</v>
      </c>
      <c r="G1624" s="5" t="s">
        <v>25</v>
      </c>
      <c r="H1624" s="5" t="s">
        <v>25</v>
      </c>
      <c r="I1624" s="5" t="s">
        <v>25</v>
      </c>
      <c r="J1624" s="5" t="s">
        <v>25</v>
      </c>
      <c r="K1624" s="7" t="str">
        <f>VLOOKUP(A1624,Sheet2!$A$2:$R$3432,6,0)</f>
        <v>Honda Activa 3G</v>
      </c>
      <c r="L1624" s="5" t="s">
        <v>25</v>
      </c>
      <c r="M1624" s="7" t="str">
        <f>VLOOKUP(A1624,Sheet2!$A$2:$R$3432,5,0)</f>
        <v>MH12NT0710</v>
      </c>
      <c r="N1624" s="5" t="s">
        <v>25</v>
      </c>
      <c r="O1624" s="5" t="s">
        <v>25</v>
      </c>
      <c r="P1624" s="6" t="s">
        <v>25</v>
      </c>
      <c r="Q1624" s="5" t="s">
        <v>25</v>
      </c>
      <c r="R1624" s="5" t="s">
        <v>25</v>
      </c>
      <c r="S1624" s="5" t="str">
        <f>VLOOKUP(A1624,Sheet2!$A$2:$R$3432,18,0)</f>
        <v>JF50EU6051579</v>
      </c>
      <c r="T1624" s="7" t="str">
        <f>VLOOKUP(A1624,Sheet2!$A$2:$R$3432,17,0)</f>
        <v>ME4JF509LGU051525</v>
      </c>
    </row>
    <row r="1625" ht="15.75" customHeight="1">
      <c r="A1625" s="3" t="s">
        <v>1648</v>
      </c>
      <c r="B1625" s="4" t="str">
        <f>VLOOKUP(A1625,Sheet2!$A$2:$R$3432,2,0)</f>
        <v>2024-10-02 20:46:23</v>
      </c>
      <c r="C1625" s="5" t="s">
        <v>25</v>
      </c>
      <c r="D1625" s="6" t="s">
        <v>25</v>
      </c>
      <c r="E1625" s="7">
        <f>VLOOKUP(A1625,Sheet2!$A$2:$R$3432,4,0)</f>
        <v>8446645375</v>
      </c>
      <c r="F1625" s="7" t="str">
        <f>VLOOKUP(A1625,Sheet2!$A$2:$R$3432,3,0)</f>
        <v>Yogesh Thakur</v>
      </c>
      <c r="G1625" s="5" t="s">
        <v>25</v>
      </c>
      <c r="H1625" s="5" t="s">
        <v>25</v>
      </c>
      <c r="I1625" s="5" t="s">
        <v>25</v>
      </c>
      <c r="J1625" s="5" t="s">
        <v>25</v>
      </c>
      <c r="K1625" s="7" t="str">
        <f>VLOOKUP(A1625,Sheet2!$A$2:$R$3432,6,0)</f>
        <v>Honda Shine HET</v>
      </c>
      <c r="L1625" s="5" t="s">
        <v>25</v>
      </c>
      <c r="M1625" s="7" t="str">
        <f>VLOOKUP(A1625,Sheet2!$A$2:$R$3432,5,0)</f>
        <v>MH14FB7036</v>
      </c>
      <c r="N1625" s="5" t="s">
        <v>25</v>
      </c>
      <c r="O1625" s="5" t="s">
        <v>25</v>
      </c>
      <c r="P1625" s="6" t="s">
        <v>25</v>
      </c>
      <c r="Q1625" s="5" t="s">
        <v>25</v>
      </c>
      <c r="R1625" s="5" t="s">
        <v>25</v>
      </c>
      <c r="S1625" s="5" t="str">
        <f>VLOOKUP(A1625,Sheet2!$A$2:$R$3432,18,0)</f>
        <v>JC65ET0077434</v>
      </c>
      <c r="T1625" s="7" t="str">
        <f>VLOOKUP(A1625,Sheet2!$A$2:$R$3432,17,0)</f>
        <v>ME4JC651GFT054143</v>
      </c>
    </row>
    <row r="1626" ht="15.75" customHeight="1">
      <c r="A1626" s="3" t="s">
        <v>1649</v>
      </c>
      <c r="B1626" s="4" t="str">
        <f>VLOOKUP(A1626,Sheet2!$A$2:$R$3432,2,0)</f>
        <v>2024-10-02 20:37:26</v>
      </c>
      <c r="C1626" s="5" t="s">
        <v>25</v>
      </c>
      <c r="D1626" s="6" t="s">
        <v>25</v>
      </c>
      <c r="E1626" s="7">
        <f>VLOOKUP(A1626,Sheet2!$A$2:$R$3432,4,0)</f>
        <v>8830634258</v>
      </c>
      <c r="F1626" s="7" t="str">
        <f>VLOOKUP(A1626,Sheet2!$A$2:$R$3432,3,0)</f>
        <v>Vishal Pawar </v>
      </c>
      <c r="G1626" s="5" t="s">
        <v>25</v>
      </c>
      <c r="H1626" s="5" t="s">
        <v>25</v>
      </c>
      <c r="I1626" s="5" t="s">
        <v>25</v>
      </c>
      <c r="J1626" s="5" t="s">
        <v>25</v>
      </c>
      <c r="K1626" s="7" t="str">
        <f>VLOOKUP(A1626,Sheet2!$A$2:$R$3432,6,0)</f>
        <v>Yamaha FZ V3</v>
      </c>
      <c r="L1626" s="5" t="s">
        <v>25</v>
      </c>
      <c r="M1626" s="7" t="str">
        <f>VLOOKUP(A1626,Sheet2!$A$2:$R$3432,5,0)</f>
        <v>MH14KY2388</v>
      </c>
      <c r="N1626" s="5" t="s">
        <v>25</v>
      </c>
      <c r="O1626" s="5" t="s">
        <v>25</v>
      </c>
      <c r="P1626" s="6" t="s">
        <v>25</v>
      </c>
      <c r="Q1626" s="5" t="s">
        <v>25</v>
      </c>
      <c r="R1626" s="5" t="s">
        <v>25</v>
      </c>
      <c r="S1626" s="7" t="str">
        <f>VLOOKUP(A1626,Sheet2!$A$2:$R$3432,18,0)</f>
        <v/>
      </c>
      <c r="T1626" s="7" t="str">
        <f>VLOOKUP(A1626,Sheet2!$A$2:$R$3432,17,0)</f>
        <v/>
      </c>
    </row>
    <row r="1627" ht="15.75" customHeight="1">
      <c r="A1627" s="3" t="s">
        <v>1650</v>
      </c>
      <c r="B1627" s="4" t="str">
        <f>VLOOKUP(A1627,Sheet2!$A$2:$R$3432,2,0)</f>
        <v>2024-10-02 20:38:10</v>
      </c>
      <c r="C1627" s="5" t="s">
        <v>25</v>
      </c>
      <c r="D1627" s="6" t="s">
        <v>25</v>
      </c>
      <c r="E1627" s="7">
        <f>VLOOKUP(A1627,Sheet2!$A$2:$R$3432,4,0)</f>
        <v>9029912316</v>
      </c>
      <c r="F1627" s="7" t="str">
        <f>VLOOKUP(A1627,Sheet2!$A$2:$R$3432,3,0)</f>
        <v>Joseph</v>
      </c>
      <c r="G1627" s="5" t="s">
        <v>25</v>
      </c>
      <c r="H1627" s="5" t="s">
        <v>25</v>
      </c>
      <c r="I1627" s="5" t="s">
        <v>25</v>
      </c>
      <c r="J1627" s="5" t="s">
        <v>25</v>
      </c>
      <c r="K1627" s="7" t="str">
        <f>VLOOKUP(A1627,Sheet2!$A$2:$R$3432,6,0)</f>
        <v>Honda Activa 125</v>
      </c>
      <c r="L1627" s="5" t="s">
        <v>25</v>
      </c>
      <c r="M1627" s="7" t="str">
        <f>VLOOKUP(A1627,Sheet2!$A$2:$R$3432,5,0)</f>
        <v>MH14EN7302</v>
      </c>
      <c r="N1627" s="5" t="s">
        <v>25</v>
      </c>
      <c r="O1627" s="5" t="s">
        <v>25</v>
      </c>
      <c r="P1627" s="6" t="s">
        <v>25</v>
      </c>
      <c r="Q1627" s="5" t="s">
        <v>25</v>
      </c>
      <c r="R1627" s="5" t="s">
        <v>25</v>
      </c>
      <c r="S1627" s="5" t="str">
        <f>VLOOKUP(A1627,Sheet2!$A$2:$R$3432,18,0)</f>
        <v>JF49E80034191</v>
      </c>
      <c r="T1627" s="7" t="str">
        <f>VLOOKUP(A1627,Sheet2!$A$2:$R$3432,17,0)</f>
        <v>ME4JF491GE031113</v>
      </c>
    </row>
    <row r="1628" ht="15.75" customHeight="1">
      <c r="A1628" s="3" t="s">
        <v>1651</v>
      </c>
      <c r="B1628" s="4" t="str">
        <f>VLOOKUP(A1628,Sheet2!$A$2:$R$3432,2,0)</f>
        <v>2024-10-02 20:38:56</v>
      </c>
      <c r="C1628" s="5" t="s">
        <v>25</v>
      </c>
      <c r="D1628" s="6" t="s">
        <v>25</v>
      </c>
      <c r="E1628" s="7">
        <f>VLOOKUP(A1628,Sheet2!$A$2:$R$3432,4,0)</f>
        <v>8956257499</v>
      </c>
      <c r="F1628" s="7" t="str">
        <f>VLOOKUP(A1628,Sheet2!$A$2:$R$3432,3,0)</f>
        <v>TEJAS</v>
      </c>
      <c r="G1628" s="5" t="s">
        <v>25</v>
      </c>
      <c r="H1628" s="5" t="s">
        <v>25</v>
      </c>
      <c r="I1628" s="5" t="s">
        <v>25</v>
      </c>
      <c r="J1628" s="5" t="s">
        <v>25</v>
      </c>
      <c r="K1628" s="7" t="str">
        <f>VLOOKUP(A1628,Sheet2!$A$2:$R$3432,6,0)</f>
        <v>Honda Activa 4G</v>
      </c>
      <c r="L1628" s="5" t="s">
        <v>25</v>
      </c>
      <c r="M1628" s="7" t="str">
        <f>VLOOKUP(A1628,Sheet2!$A$2:$R$3432,5,0)</f>
        <v>MH12PS6951</v>
      </c>
      <c r="N1628" s="5" t="s">
        <v>25</v>
      </c>
      <c r="O1628" s="5" t="s">
        <v>25</v>
      </c>
      <c r="P1628" s="6" t="s">
        <v>25</v>
      </c>
      <c r="Q1628" s="5" t="s">
        <v>25</v>
      </c>
      <c r="R1628" s="5" t="s">
        <v>25</v>
      </c>
      <c r="S1628" s="7" t="str">
        <f>VLOOKUP(A1628,Sheet2!$A$2:$R$3432,18,0)</f>
        <v/>
      </c>
      <c r="T1628" s="7" t="str">
        <f>VLOOKUP(A1628,Sheet2!$A$2:$R$3432,17,0)</f>
        <v/>
      </c>
    </row>
    <row r="1629" ht="15.75" customHeight="1">
      <c r="A1629" s="3" t="s">
        <v>1652</v>
      </c>
      <c r="B1629" s="4" t="str">
        <f>VLOOKUP(A1629,Sheet2!$A$2:$R$3432,2,0)</f>
        <v>2024-10-02 20:40:12</v>
      </c>
      <c r="C1629" s="5" t="s">
        <v>25</v>
      </c>
      <c r="D1629" s="6" t="s">
        <v>25</v>
      </c>
      <c r="E1629" s="7">
        <f>VLOOKUP(A1629,Sheet2!$A$2:$R$3432,4,0)</f>
        <v>8087457453</v>
      </c>
      <c r="F1629" s="7" t="str">
        <f>VLOOKUP(A1629,Sheet2!$A$2:$R$3432,3,0)</f>
        <v>ADITYA</v>
      </c>
      <c r="G1629" s="5" t="s">
        <v>25</v>
      </c>
      <c r="H1629" s="5" t="s">
        <v>25</v>
      </c>
      <c r="I1629" s="5" t="s">
        <v>25</v>
      </c>
      <c r="J1629" s="5" t="s">
        <v>25</v>
      </c>
      <c r="K1629" s="7" t="str">
        <f>VLOOKUP(A1629,Sheet2!$A$2:$R$3432,6,0)</f>
        <v>Honda Activa 4G</v>
      </c>
      <c r="L1629" s="5" t="s">
        <v>25</v>
      </c>
      <c r="M1629" s="7" t="str">
        <f>VLOOKUP(A1629,Sheet2!$A$2:$R$3432,5,0)</f>
        <v>MH14GP9856</v>
      </c>
      <c r="N1629" s="5" t="s">
        <v>25</v>
      </c>
      <c r="O1629" s="5" t="s">
        <v>25</v>
      </c>
      <c r="P1629" s="6" t="s">
        <v>25</v>
      </c>
      <c r="Q1629" s="5" t="s">
        <v>25</v>
      </c>
      <c r="R1629" s="5" t="s">
        <v>25</v>
      </c>
      <c r="S1629" s="7" t="str">
        <f>VLOOKUP(A1629,Sheet2!$A$2:$R$3432,18,0)</f>
        <v/>
      </c>
      <c r="T1629" s="7" t="str">
        <f>VLOOKUP(A1629,Sheet2!$A$2:$R$3432,17,0)</f>
        <v>ME4JF50701HT400395</v>
      </c>
    </row>
    <row r="1630" ht="15.75" customHeight="1">
      <c r="A1630" s="3" t="s">
        <v>1653</v>
      </c>
      <c r="B1630" s="4" t="str">
        <f>VLOOKUP(A1630,Sheet2!$A$2:$R$3432,2,0)</f>
        <v>2024-10-02 20:43:43</v>
      </c>
      <c r="C1630" s="5" t="s">
        <v>25</v>
      </c>
      <c r="D1630" s="6" t="s">
        <v>25</v>
      </c>
      <c r="E1630" s="7">
        <f>VLOOKUP(A1630,Sheet2!$A$2:$R$3432,4,0)</f>
        <v>8055960575</v>
      </c>
      <c r="F1630" s="7" t="str">
        <f>VLOOKUP(A1630,Sheet2!$A$2:$R$3432,3,0)</f>
        <v>RAKESH MAHAJAN</v>
      </c>
      <c r="G1630" s="5" t="s">
        <v>25</v>
      </c>
      <c r="H1630" s="5" t="s">
        <v>25</v>
      </c>
      <c r="I1630" s="5" t="s">
        <v>25</v>
      </c>
      <c r="J1630" s="5" t="s">
        <v>25</v>
      </c>
      <c r="K1630" s="7" t="str">
        <f>VLOOKUP(A1630,Sheet2!$A$2:$R$3432,6,0)</f>
        <v>TVS Jupiter 125</v>
      </c>
      <c r="L1630" s="5" t="s">
        <v>25</v>
      </c>
      <c r="M1630" s="7" t="str">
        <f>VLOOKUP(A1630,Sheet2!$A$2:$R$3432,5,0)</f>
        <v>MH19DZ0846</v>
      </c>
      <c r="N1630" s="5" t="s">
        <v>25</v>
      </c>
      <c r="O1630" s="5" t="s">
        <v>25</v>
      </c>
      <c r="P1630" s="6" t="s">
        <v>25</v>
      </c>
      <c r="Q1630" s="5" t="s">
        <v>25</v>
      </c>
      <c r="R1630" s="5" t="s">
        <v>25</v>
      </c>
      <c r="S1630" s="7" t="str">
        <f>VLOOKUP(A1630,Sheet2!$A$2:$R$3432,18,0)</f>
        <v/>
      </c>
      <c r="T1630" s="7" t="str">
        <f>VLOOKUP(A1630,Sheet2!$A$2:$R$3432,17,0)</f>
        <v/>
      </c>
    </row>
    <row r="1631" ht="15.75" customHeight="1">
      <c r="A1631" s="3" t="s">
        <v>1654</v>
      </c>
      <c r="B1631" s="4" t="str">
        <f>VLOOKUP(A1631,Sheet2!$A$2:$R$3432,2,0)</f>
        <v>2024-10-02 20:44:31</v>
      </c>
      <c r="C1631" s="5" t="s">
        <v>25</v>
      </c>
      <c r="D1631" s="6" t="s">
        <v>25</v>
      </c>
      <c r="E1631" s="7">
        <f>VLOOKUP(A1631,Sheet2!$A$2:$R$3432,4,0)</f>
        <v>9823151625</v>
      </c>
      <c r="F1631" s="7" t="str">
        <f>VLOOKUP(A1631,Sheet2!$A$2:$R$3432,3,0)</f>
        <v>RAM PATIL </v>
      </c>
      <c r="G1631" s="5" t="s">
        <v>25</v>
      </c>
      <c r="H1631" s="5" t="s">
        <v>25</v>
      </c>
      <c r="I1631" s="5" t="s">
        <v>25</v>
      </c>
      <c r="J1631" s="5" t="s">
        <v>25</v>
      </c>
      <c r="K1631" s="7" t="str">
        <f>VLOOKUP(A1631,Sheet2!$A$2:$R$3432,6,0)</f>
        <v>Honda Unicorn 150</v>
      </c>
      <c r="L1631" s="5" t="s">
        <v>25</v>
      </c>
      <c r="M1631" s="7" t="str">
        <f>VLOOKUP(A1631,Sheet2!$A$2:$R$3432,5,0)</f>
        <v>MH12UR6578</v>
      </c>
      <c r="N1631" s="5" t="s">
        <v>25</v>
      </c>
      <c r="O1631" s="5" t="s">
        <v>25</v>
      </c>
      <c r="P1631" s="6" t="s">
        <v>25</v>
      </c>
      <c r="Q1631" s="5" t="s">
        <v>25</v>
      </c>
      <c r="R1631" s="5" t="s">
        <v>25</v>
      </c>
      <c r="S1631" s="5" t="str">
        <f>VLOOKUP(A1631,Sheet2!$A$2:$R$3432,18,0)</f>
        <v>KC40EA1096085</v>
      </c>
      <c r="T1631" s="7" t="str">
        <f>VLOOKUP(A1631,Sheet2!$A$2:$R$3432,17,0)</f>
        <v>ME4KC402JNA095891</v>
      </c>
    </row>
    <row r="1632" ht="15.75" customHeight="1">
      <c r="A1632" s="3" t="s">
        <v>1655</v>
      </c>
      <c r="B1632" s="4" t="str">
        <f>VLOOKUP(A1632,Sheet2!$A$2:$R$3432,2,0)</f>
        <v>2024-10-02 20:45:56</v>
      </c>
      <c r="C1632" s="5" t="s">
        <v>25</v>
      </c>
      <c r="D1632" s="6" t="s">
        <v>25</v>
      </c>
      <c r="E1632" s="7">
        <f>VLOOKUP(A1632,Sheet2!$A$2:$R$3432,4,0)</f>
        <v>9701632540</v>
      </c>
      <c r="F1632" s="7" t="str">
        <f>VLOOKUP(A1632,Sheet2!$A$2:$R$3432,3,0)</f>
        <v>BHASKAR </v>
      </c>
      <c r="G1632" s="5" t="s">
        <v>25</v>
      </c>
      <c r="H1632" s="5" t="s">
        <v>25</v>
      </c>
      <c r="I1632" s="5" t="s">
        <v>25</v>
      </c>
      <c r="J1632" s="5" t="s">
        <v>25</v>
      </c>
      <c r="K1632" s="7" t="str">
        <f>VLOOKUP(A1632,Sheet2!$A$2:$R$3432,6,0)</f>
        <v>Honda Activa 3G</v>
      </c>
      <c r="L1632" s="5" t="s">
        <v>25</v>
      </c>
      <c r="M1632" s="7" t="str">
        <f>VLOOKUP(A1632,Sheet2!$A$2:$R$3432,5,0)</f>
        <v>TS07FM4586</v>
      </c>
      <c r="N1632" s="5" t="s">
        <v>25</v>
      </c>
      <c r="O1632" s="5" t="s">
        <v>25</v>
      </c>
      <c r="P1632" s="6" t="s">
        <v>25</v>
      </c>
      <c r="Q1632" s="5" t="s">
        <v>25</v>
      </c>
      <c r="R1632" s="5" t="s">
        <v>25</v>
      </c>
      <c r="S1632" s="7" t="str">
        <f>VLOOKUP(A1632,Sheet2!$A$2:$R$3432,18,0)</f>
        <v/>
      </c>
      <c r="T1632" s="7" t="str">
        <f>VLOOKUP(A1632,Sheet2!$A$2:$R$3432,17,0)</f>
        <v/>
      </c>
    </row>
    <row r="1633" ht="15.75" customHeight="1">
      <c r="A1633" s="3" t="s">
        <v>1656</v>
      </c>
      <c r="B1633" s="4" t="str">
        <f>VLOOKUP(A1633,Sheet2!$A$2:$R$3432,2,0)</f>
        <v>2024-10-02 20:44:58</v>
      </c>
      <c r="C1633" s="5" t="s">
        <v>25</v>
      </c>
      <c r="D1633" s="6" t="s">
        <v>25</v>
      </c>
      <c r="E1633" s="7">
        <f>VLOOKUP(A1633,Sheet2!$A$2:$R$3432,4,0)</f>
        <v>9561613040</v>
      </c>
      <c r="F1633" s="7" t="str">
        <f>VLOOKUP(A1633,Sheet2!$A$2:$R$3432,3,0)</f>
        <v>Abhijit Mahilkar</v>
      </c>
      <c r="G1633" s="5" t="s">
        <v>25</v>
      </c>
      <c r="H1633" s="5" t="s">
        <v>25</v>
      </c>
      <c r="I1633" s="5" t="s">
        <v>25</v>
      </c>
      <c r="J1633" s="5" t="s">
        <v>25</v>
      </c>
      <c r="K1633" s="7" t="str">
        <f>VLOOKUP(A1633,Sheet2!$A$2:$R$3432,6,0)</f>
        <v>Honda Unicorn </v>
      </c>
      <c r="L1633" s="5" t="s">
        <v>25</v>
      </c>
      <c r="M1633" s="7" t="str">
        <f>VLOOKUP(A1633,Sheet2!$A$2:$R$3432,5,0)</f>
        <v>MH14HN5503</v>
      </c>
      <c r="N1633" s="5" t="s">
        <v>25</v>
      </c>
      <c r="O1633" s="5" t="s">
        <v>25</v>
      </c>
      <c r="P1633" s="6" t="s">
        <v>25</v>
      </c>
      <c r="Q1633" s="5" t="s">
        <v>25</v>
      </c>
      <c r="R1633" s="5" t="s">
        <v>25</v>
      </c>
      <c r="S1633" s="7" t="str">
        <f>VLOOKUP(A1633,Sheet2!$A$2:$R$3432,18,0)</f>
        <v/>
      </c>
      <c r="T1633" s="7" t="str">
        <f>VLOOKUP(A1633,Sheet2!$A$2:$R$3432,17,0)</f>
        <v/>
      </c>
    </row>
    <row r="1634" ht="15.75" customHeight="1">
      <c r="A1634" s="3" t="s">
        <v>1657</v>
      </c>
      <c r="B1634" s="4" t="str">
        <f>VLOOKUP(A1634,Sheet2!$A$2:$R$3432,2,0)</f>
        <v>2024-10-02 20:45:31</v>
      </c>
      <c r="C1634" s="5" t="s">
        <v>25</v>
      </c>
      <c r="D1634" s="6" t="s">
        <v>25</v>
      </c>
      <c r="E1634" s="7">
        <f>VLOOKUP(A1634,Sheet2!$A$2:$R$3432,4,0)</f>
        <v>9158444154</v>
      </c>
      <c r="F1634" s="7" t="str">
        <f>VLOOKUP(A1634,Sheet2!$A$2:$R$3432,3,0)</f>
        <v>Shailendra Singh</v>
      </c>
      <c r="G1634" s="5" t="s">
        <v>25</v>
      </c>
      <c r="H1634" s="5" t="s">
        <v>25</v>
      </c>
      <c r="I1634" s="5" t="s">
        <v>25</v>
      </c>
      <c r="J1634" s="5" t="s">
        <v>25</v>
      </c>
      <c r="K1634" s="7" t="str">
        <f>VLOOKUP(A1634,Sheet2!$A$2:$R$3432,6,0)</f>
        <v>Honda Activa Old</v>
      </c>
      <c r="L1634" s="5" t="s">
        <v>25</v>
      </c>
      <c r="M1634" s="7" t="str">
        <f>VLOOKUP(A1634,Sheet2!$A$2:$R$3432,5,0)</f>
        <v>MH14AT0529</v>
      </c>
      <c r="N1634" s="5" t="s">
        <v>25</v>
      </c>
      <c r="O1634" s="5" t="s">
        <v>25</v>
      </c>
      <c r="P1634" s="6" t="s">
        <v>25</v>
      </c>
      <c r="Q1634" s="5" t="s">
        <v>25</v>
      </c>
      <c r="R1634" s="5" t="s">
        <v>25</v>
      </c>
      <c r="S1634" s="7" t="str">
        <f>VLOOKUP(A1634,Sheet2!$A$2:$R$3432,18,0)</f>
        <v/>
      </c>
      <c r="T1634" s="7" t="str">
        <f>VLOOKUP(A1634,Sheet2!$A$2:$R$3432,17,0)</f>
        <v/>
      </c>
    </row>
    <row r="1635" ht="15.75" customHeight="1">
      <c r="A1635" s="3" t="s">
        <v>1658</v>
      </c>
      <c r="B1635" s="4" t="str">
        <f>VLOOKUP(A1635,Sheet2!$A$2:$R$3432,2,0)</f>
        <v>2024-10-02 20:47:02</v>
      </c>
      <c r="C1635" s="5" t="s">
        <v>25</v>
      </c>
      <c r="D1635" s="6" t="s">
        <v>25</v>
      </c>
      <c r="E1635" s="7">
        <f>VLOOKUP(A1635,Sheet2!$A$2:$R$3432,4,0)</f>
        <v>8087862122</v>
      </c>
      <c r="F1635" s="7" t="str">
        <f>VLOOKUP(A1635,Sheet2!$A$2:$R$3432,3,0)</f>
        <v>Datta Giri</v>
      </c>
      <c r="G1635" s="5" t="s">
        <v>25</v>
      </c>
      <c r="H1635" s="5" t="s">
        <v>25</v>
      </c>
      <c r="I1635" s="5" t="s">
        <v>25</v>
      </c>
      <c r="J1635" s="5" t="s">
        <v>25</v>
      </c>
      <c r="K1635" s="7" t="str">
        <f>VLOOKUP(A1635,Sheet2!$A$2:$R$3432,6,0)</f>
        <v>Bajaj Pulsar 150</v>
      </c>
      <c r="L1635" s="5" t="s">
        <v>25</v>
      </c>
      <c r="M1635" s="7" t="str">
        <f>VLOOKUP(A1635,Sheet2!$A$2:$R$3432,5,0)</f>
        <v>MH20DQ0892</v>
      </c>
      <c r="N1635" s="5" t="s">
        <v>25</v>
      </c>
      <c r="O1635" s="5" t="s">
        <v>25</v>
      </c>
      <c r="P1635" s="6" t="s">
        <v>25</v>
      </c>
      <c r="Q1635" s="5" t="s">
        <v>25</v>
      </c>
      <c r="R1635" s="5" t="s">
        <v>25</v>
      </c>
      <c r="S1635" s="7" t="str">
        <f>VLOOKUP(A1635,Sheet2!$A$2:$R$3432,18,0)</f>
        <v/>
      </c>
      <c r="T1635" s="7" t="str">
        <f>VLOOKUP(A1635,Sheet2!$A$2:$R$3432,17,0)</f>
        <v/>
      </c>
    </row>
    <row r="1636" ht="15.75" customHeight="1">
      <c r="A1636" s="3" t="s">
        <v>1659</v>
      </c>
      <c r="B1636" s="4" t="str">
        <f>VLOOKUP(A1636,Sheet2!$A$2:$R$3432,2,0)</f>
        <v>2024-10-02 20:47:29</v>
      </c>
      <c r="C1636" s="5" t="s">
        <v>25</v>
      </c>
      <c r="D1636" s="6" t="s">
        <v>25</v>
      </c>
      <c r="E1636" s="7">
        <f>VLOOKUP(A1636,Sheet2!$A$2:$R$3432,4,0)</f>
        <v>8888823625</v>
      </c>
      <c r="F1636" s="7" t="str">
        <f>VLOOKUP(A1636,Sheet2!$A$2:$R$3432,3,0)</f>
        <v>Sanika Deolikar</v>
      </c>
      <c r="G1636" s="5" t="s">
        <v>25</v>
      </c>
      <c r="H1636" s="5" t="s">
        <v>25</v>
      </c>
      <c r="I1636" s="5" t="s">
        <v>25</v>
      </c>
      <c r="J1636" s="5" t="s">
        <v>25</v>
      </c>
      <c r="K1636" s="7" t="str">
        <f>VLOOKUP(A1636,Sheet2!$A$2:$R$3432,6,0)</f>
        <v>TVS Scooty PEP Plus</v>
      </c>
      <c r="L1636" s="5" t="s">
        <v>25</v>
      </c>
      <c r="M1636" s="7" t="str">
        <f>VLOOKUP(A1636,Sheet2!$A$2:$R$3432,5,0)</f>
        <v>MH12FH3018</v>
      </c>
      <c r="N1636" s="5" t="s">
        <v>25</v>
      </c>
      <c r="O1636" s="5" t="s">
        <v>25</v>
      </c>
      <c r="P1636" s="6" t="s">
        <v>25</v>
      </c>
      <c r="Q1636" s="5" t="s">
        <v>25</v>
      </c>
      <c r="R1636" s="5" t="s">
        <v>25</v>
      </c>
      <c r="S1636" s="7" t="str">
        <f>VLOOKUP(A1636,Sheet2!$A$2:$R$3432,18,0)</f>
        <v/>
      </c>
      <c r="T1636" s="7" t="str">
        <f>VLOOKUP(A1636,Sheet2!$A$2:$R$3432,17,0)</f>
        <v/>
      </c>
    </row>
    <row r="1637" ht="15.75" customHeight="1">
      <c r="A1637" s="3" t="s">
        <v>1660</v>
      </c>
      <c r="B1637" s="4" t="str">
        <f>VLOOKUP(A1637,Sheet2!$A$2:$R$3432,2,0)</f>
        <v>2024-10-02 20:40:46</v>
      </c>
      <c r="C1637" s="5" t="s">
        <v>25</v>
      </c>
      <c r="D1637" s="6" t="s">
        <v>25</v>
      </c>
      <c r="E1637" s="7">
        <f>VLOOKUP(A1637,Sheet2!$A$2:$R$3432,4,0)</f>
        <v>8087444804</v>
      </c>
      <c r="F1637" s="7" t="str">
        <f>VLOOKUP(A1637,Sheet2!$A$2:$R$3432,3,0)</f>
        <v>CHETAN NARKHEDE </v>
      </c>
      <c r="G1637" s="5" t="s">
        <v>25</v>
      </c>
      <c r="H1637" s="5" t="s">
        <v>25</v>
      </c>
      <c r="I1637" s="5" t="s">
        <v>25</v>
      </c>
      <c r="J1637" s="5" t="s">
        <v>25</v>
      </c>
      <c r="K1637" s="7" t="str">
        <f>VLOOKUP(A1637,Sheet2!$A$2:$R$3432,6,0)</f>
        <v>Honda Activa 110</v>
      </c>
      <c r="L1637" s="5" t="s">
        <v>25</v>
      </c>
      <c r="M1637" s="7" t="str">
        <f>VLOOKUP(A1637,Sheet2!$A$2:$R$3432,5,0)</f>
        <v>MH21AK9077</v>
      </c>
      <c r="N1637" s="5" t="s">
        <v>25</v>
      </c>
      <c r="O1637" s="5" t="s">
        <v>25</v>
      </c>
      <c r="P1637" s="6" t="s">
        <v>25</v>
      </c>
      <c r="Q1637" s="5" t="s">
        <v>25</v>
      </c>
      <c r="R1637" s="5" t="s">
        <v>25</v>
      </c>
      <c r="S1637" s="7" t="str">
        <f>VLOOKUP(A1637,Sheet2!$A$2:$R$3432,18,0)</f>
        <v/>
      </c>
      <c r="T1637" s="7" t="str">
        <f>VLOOKUP(A1637,Sheet2!$A$2:$R$3432,17,0)</f>
        <v/>
      </c>
    </row>
    <row r="1638" ht="15.75" customHeight="1">
      <c r="A1638" s="3" t="s">
        <v>1661</v>
      </c>
      <c r="B1638" s="4" t="str">
        <f>VLOOKUP(A1638,Sheet2!$A$2:$R$3432,2,0)</f>
        <v>2024-10-21 18:58:48</v>
      </c>
      <c r="C1638" s="5" t="s">
        <v>25</v>
      </c>
      <c r="D1638" s="6" t="s">
        <v>25</v>
      </c>
      <c r="E1638" s="7">
        <f>VLOOKUP(A1638,Sheet2!$A$2:$R$3432,4,0)</f>
        <v>9822525596</v>
      </c>
      <c r="F1638" s="7" t="str">
        <f>VLOOKUP(A1638,Sheet2!$A$2:$R$3432,3,0)</f>
        <v>DEEPALI JAWDEKAR</v>
      </c>
      <c r="G1638" s="5" t="s">
        <v>25</v>
      </c>
      <c r="H1638" s="5" t="s">
        <v>25</v>
      </c>
      <c r="I1638" s="5" t="s">
        <v>25</v>
      </c>
      <c r="J1638" s="5" t="s">
        <v>25</v>
      </c>
      <c r="K1638" s="7" t="str">
        <f>VLOOKUP(A1638,Sheet2!$A$2:$R$3432,6,0)</f>
        <v>Hero Pleasure </v>
      </c>
      <c r="L1638" s="5" t="s">
        <v>25</v>
      </c>
      <c r="M1638" s="7" t="str">
        <f>VLOOKUP(A1638,Sheet2!$A$2:$R$3432,5,0)</f>
        <v>MH12GJ4818</v>
      </c>
      <c r="N1638" s="5" t="s">
        <v>25</v>
      </c>
      <c r="O1638" s="5" t="s">
        <v>25</v>
      </c>
      <c r="P1638" s="6" t="s">
        <v>25</v>
      </c>
      <c r="Q1638" s="5" t="s">
        <v>25</v>
      </c>
      <c r="R1638" s="5" t="s">
        <v>25</v>
      </c>
      <c r="S1638" s="7" t="str">
        <f>VLOOKUP(A1638,Sheet2!$A$2:$R$3432,18,0)</f>
        <v/>
      </c>
      <c r="T1638" s="7" t="str">
        <f>VLOOKUP(A1638,Sheet2!$A$2:$R$3432,17,0)</f>
        <v/>
      </c>
    </row>
    <row r="1639" ht="15.75" customHeight="1">
      <c r="A1639" s="3" t="s">
        <v>1662</v>
      </c>
      <c r="B1639" s="4" t="str">
        <f>VLOOKUP(A1639,Sheet2!$A$2:$R$3432,2,0)</f>
        <v>2024-10-21 20:42:53</v>
      </c>
      <c r="C1639" s="5" t="s">
        <v>25</v>
      </c>
      <c r="D1639" s="6" t="s">
        <v>25</v>
      </c>
      <c r="E1639" s="7">
        <f>VLOOKUP(A1639,Sheet2!$A$2:$R$3432,4,0)</f>
        <v>7770080344</v>
      </c>
      <c r="F1639" s="7" t="str">
        <f>VLOOKUP(A1639,Sheet2!$A$2:$R$3432,3,0)</f>
        <v>JAYESH</v>
      </c>
      <c r="G1639" s="5" t="s">
        <v>25</v>
      </c>
      <c r="H1639" s="5" t="s">
        <v>25</v>
      </c>
      <c r="I1639" s="5" t="s">
        <v>25</v>
      </c>
      <c r="J1639" s="5" t="s">
        <v>25</v>
      </c>
      <c r="K1639" s="7" t="str">
        <f>VLOOKUP(A1639,Sheet2!$A$2:$R$3432,6,0)</f>
        <v>Honda Activa 6G</v>
      </c>
      <c r="L1639" s="5" t="s">
        <v>25</v>
      </c>
      <c r="M1639" s="7" t="str">
        <f>VLOOKUP(A1639,Sheet2!$A$2:$R$3432,5,0)</f>
        <v>MH12UG8962</v>
      </c>
      <c r="N1639" s="5" t="s">
        <v>25</v>
      </c>
      <c r="O1639" s="5" t="s">
        <v>25</v>
      </c>
      <c r="P1639" s="6" t="s">
        <v>25</v>
      </c>
      <c r="Q1639" s="5" t="s">
        <v>25</v>
      </c>
      <c r="R1639" s="5" t="s">
        <v>25</v>
      </c>
      <c r="S1639" s="7" t="str">
        <f>VLOOKUP(A1639,Sheet2!$A$2:$R$3432,18,0)</f>
        <v/>
      </c>
      <c r="T1639" s="7" t="str">
        <f>VLOOKUP(A1639,Sheet2!$A$2:$R$3432,17,0)</f>
        <v/>
      </c>
    </row>
    <row r="1640" ht="15.75" customHeight="1">
      <c r="A1640" s="3" t="s">
        <v>1663</v>
      </c>
      <c r="B1640" s="4" t="str">
        <f>VLOOKUP(A1640,Sheet2!$A$2:$R$3432,2,0)</f>
        <v>2024-10-21 18:52:58</v>
      </c>
      <c r="C1640" s="5" t="s">
        <v>25</v>
      </c>
      <c r="D1640" s="6" t="s">
        <v>25</v>
      </c>
      <c r="E1640" s="7">
        <f>VLOOKUP(A1640,Sheet2!$A$2:$R$3432,4,0)</f>
        <v>8484849999</v>
      </c>
      <c r="F1640" s="7" t="str">
        <f>VLOOKUP(A1640,Sheet2!$A$2:$R$3432,3,0)</f>
        <v>Amar Gawali</v>
      </c>
      <c r="G1640" s="5" t="s">
        <v>25</v>
      </c>
      <c r="H1640" s="5" t="s">
        <v>25</v>
      </c>
      <c r="I1640" s="5" t="s">
        <v>25</v>
      </c>
      <c r="J1640" s="5" t="s">
        <v>25</v>
      </c>
      <c r="K1640" s="7" t="str">
        <f>VLOOKUP(A1640,Sheet2!$A$2:$R$3432,6,0)</f>
        <v>Honda Activa 3G</v>
      </c>
      <c r="L1640" s="5" t="s">
        <v>25</v>
      </c>
      <c r="M1640" s="7" t="str">
        <f>VLOOKUP(A1640,Sheet2!$A$2:$R$3432,5,0)</f>
        <v>MH14FZ9383</v>
      </c>
      <c r="N1640" s="5" t="s">
        <v>25</v>
      </c>
      <c r="O1640" s="5" t="s">
        <v>25</v>
      </c>
      <c r="P1640" s="6" t="s">
        <v>25</v>
      </c>
      <c r="Q1640" s="5" t="s">
        <v>25</v>
      </c>
      <c r="R1640" s="5" t="s">
        <v>25</v>
      </c>
      <c r="S1640" s="5" t="str">
        <f>VLOOKUP(A1640,Sheet2!$A$2:$R$3432,18,0)</f>
        <v>JF50EU3409847</v>
      </c>
      <c r="T1640" s="7" t="str">
        <f>VLOOKUP(A1640,Sheet2!$A$2:$R$3432,17,0)</f>
        <v>ME4JF505JGU41</v>
      </c>
    </row>
    <row r="1641" ht="15.75" customHeight="1">
      <c r="A1641" s="3" t="s">
        <v>1664</v>
      </c>
      <c r="B1641" s="4" t="str">
        <f>VLOOKUP(A1641,Sheet2!$A$2:$R$3432,2,0)</f>
        <v>2024-10-21 18:48:53</v>
      </c>
      <c r="C1641" s="5" t="s">
        <v>25</v>
      </c>
      <c r="D1641" s="6" t="s">
        <v>25</v>
      </c>
      <c r="E1641" s="7">
        <f>VLOOKUP(A1641,Sheet2!$A$2:$R$3432,4,0)</f>
        <v>7507291543</v>
      </c>
      <c r="F1641" s="7" t="str">
        <f>VLOOKUP(A1641,Sheet2!$A$2:$R$3432,3,0)</f>
        <v>Sapna Agrawal</v>
      </c>
      <c r="G1641" s="5" t="s">
        <v>25</v>
      </c>
      <c r="H1641" s="5" t="s">
        <v>25</v>
      </c>
      <c r="I1641" s="5" t="s">
        <v>25</v>
      </c>
      <c r="J1641" s="5" t="s">
        <v>25</v>
      </c>
      <c r="K1641" s="7" t="str">
        <f>VLOOKUP(A1641,Sheet2!$A$2:$R$3432,6,0)</f>
        <v>Honda Activa 110</v>
      </c>
      <c r="L1641" s="5" t="s">
        <v>25</v>
      </c>
      <c r="M1641" s="7" t="str">
        <f>VLOOKUP(A1641,Sheet2!$A$2:$R$3432,5,0)</f>
        <v>MH12JW7523</v>
      </c>
      <c r="N1641" s="5" t="s">
        <v>25</v>
      </c>
      <c r="O1641" s="5" t="s">
        <v>25</v>
      </c>
      <c r="P1641" s="6" t="s">
        <v>25</v>
      </c>
      <c r="Q1641" s="5" t="s">
        <v>25</v>
      </c>
      <c r="R1641" s="5" t="s">
        <v>25</v>
      </c>
      <c r="S1641" s="5" t="str">
        <f>VLOOKUP(A1641,Sheet2!$A$2:$R$3432,18,0)</f>
        <v>JF50E70091418</v>
      </c>
      <c r="T1641" s="7" t="str">
        <f>VLOOKUP(A1641,Sheet2!$A$2:$R$3432,17,0)</f>
        <v>ME4JF501BD7091270</v>
      </c>
    </row>
    <row r="1642" ht="15.75" customHeight="1">
      <c r="A1642" s="3" t="s">
        <v>1665</v>
      </c>
      <c r="B1642" s="4" t="str">
        <f>VLOOKUP(A1642,Sheet2!$A$2:$R$3432,2,0)</f>
        <v>2024-10-21 18:52:40</v>
      </c>
      <c r="C1642" s="5" t="s">
        <v>25</v>
      </c>
      <c r="D1642" s="6" t="s">
        <v>25</v>
      </c>
      <c r="E1642" s="7">
        <f>VLOOKUP(A1642,Sheet2!$A$2:$R$3432,4,0)</f>
        <v>8484849999</v>
      </c>
      <c r="F1642" s="7" t="str">
        <f>VLOOKUP(A1642,Sheet2!$A$2:$R$3432,3,0)</f>
        <v>Amar Gawali</v>
      </c>
      <c r="G1642" s="5" t="s">
        <v>25</v>
      </c>
      <c r="H1642" s="5" t="s">
        <v>25</v>
      </c>
      <c r="I1642" s="5" t="s">
        <v>25</v>
      </c>
      <c r="J1642" s="5" t="s">
        <v>25</v>
      </c>
      <c r="K1642" s="7" t="str">
        <f>VLOOKUP(A1642,Sheet2!$A$2:$R$3432,6,0)</f>
        <v>Bajaj Platina 100 ES CBS</v>
      </c>
      <c r="L1642" s="5" t="s">
        <v>25</v>
      </c>
      <c r="M1642" s="7" t="str">
        <f>VLOOKUP(A1642,Sheet2!$A$2:$R$3432,5,0)</f>
        <v>MH14JN7460</v>
      </c>
      <c r="N1642" s="5" t="s">
        <v>25</v>
      </c>
      <c r="O1642" s="5" t="s">
        <v>25</v>
      </c>
      <c r="P1642" s="6" t="s">
        <v>25</v>
      </c>
      <c r="Q1642" s="5" t="s">
        <v>25</v>
      </c>
      <c r="R1642" s="5" t="s">
        <v>25</v>
      </c>
      <c r="S1642" s="5" t="str">
        <f>VLOOKUP(A1642,Sheet2!$A$2:$R$3432,18,0)</f>
        <v>PFXWML81243</v>
      </c>
      <c r="T1642" s="7" t="str">
        <f>VLOOKUP(A1642,Sheet2!$A$2:$R$3432,17,0)</f>
        <v>MD2A76AX5MWL14240</v>
      </c>
    </row>
    <row r="1643" ht="15.75" customHeight="1">
      <c r="A1643" s="3" t="s">
        <v>1666</v>
      </c>
      <c r="B1643" s="4" t="str">
        <f>VLOOKUP(A1643,Sheet2!$A$2:$R$3432,2,0)</f>
        <v>2024-10-21 18:50:49</v>
      </c>
      <c r="C1643" s="5" t="s">
        <v>25</v>
      </c>
      <c r="D1643" s="6" t="s">
        <v>25</v>
      </c>
      <c r="E1643" s="7">
        <f>VLOOKUP(A1643,Sheet2!$A$2:$R$3432,4,0)</f>
        <v>8308576125</v>
      </c>
      <c r="F1643" s="7" t="str">
        <f>VLOOKUP(A1643,Sheet2!$A$2:$R$3432,3,0)</f>
        <v>RUTUJA</v>
      </c>
      <c r="G1643" s="5" t="s">
        <v>25</v>
      </c>
      <c r="H1643" s="5" t="s">
        <v>25</v>
      </c>
      <c r="I1643" s="5" t="s">
        <v>25</v>
      </c>
      <c r="J1643" s="5" t="s">
        <v>25</v>
      </c>
      <c r="K1643" s="7" t="str">
        <f>VLOOKUP(A1643,Sheet2!$A$2:$R$3432,6,0)</f>
        <v>Honda Dio New</v>
      </c>
      <c r="L1643" s="5" t="s">
        <v>25</v>
      </c>
      <c r="M1643" s="7" t="str">
        <f>VLOOKUP(A1643,Sheet2!$A$2:$R$3432,5,0)</f>
        <v>MH16CJ4613</v>
      </c>
      <c r="N1643" s="5" t="s">
        <v>25</v>
      </c>
      <c r="O1643" s="5" t="s">
        <v>25</v>
      </c>
      <c r="P1643" s="6" t="s">
        <v>25</v>
      </c>
      <c r="Q1643" s="5" t="s">
        <v>25</v>
      </c>
      <c r="R1643" s="5" t="s">
        <v>25</v>
      </c>
      <c r="S1643" s="7" t="str">
        <f>VLOOKUP(A1643,Sheet2!$A$2:$R$3432,18,0)</f>
        <v/>
      </c>
      <c r="T1643" s="7" t="str">
        <f>VLOOKUP(A1643,Sheet2!$A$2:$R$3432,17,0)</f>
        <v/>
      </c>
    </row>
    <row r="1644" ht="15.75" customHeight="1">
      <c r="A1644" s="3" t="s">
        <v>1667</v>
      </c>
      <c r="B1644" s="4" t="str">
        <f>VLOOKUP(A1644,Sheet2!$A$2:$R$3432,2,0)</f>
        <v>2024-10-21 18:52:11</v>
      </c>
      <c r="C1644" s="5" t="s">
        <v>25</v>
      </c>
      <c r="D1644" s="6" t="s">
        <v>25</v>
      </c>
      <c r="E1644" s="7">
        <f>VLOOKUP(A1644,Sheet2!$A$2:$R$3432,4,0)</f>
        <v>8484071266</v>
      </c>
      <c r="F1644" s="7" t="str">
        <f>VLOOKUP(A1644,Sheet2!$A$2:$R$3432,3,0)</f>
        <v>R.P.SINGH</v>
      </c>
      <c r="G1644" s="5" t="s">
        <v>25</v>
      </c>
      <c r="H1644" s="5" t="s">
        <v>25</v>
      </c>
      <c r="I1644" s="5" t="s">
        <v>25</v>
      </c>
      <c r="J1644" s="5" t="s">
        <v>25</v>
      </c>
      <c r="K1644" s="7" t="str">
        <f>VLOOKUP(A1644,Sheet2!$A$2:$R$3432,6,0)</f>
        <v>Honda Activa 3G</v>
      </c>
      <c r="L1644" s="5" t="s">
        <v>25</v>
      </c>
      <c r="M1644" s="7" t="str">
        <f>VLOOKUP(A1644,Sheet2!$A$2:$R$3432,5,0)</f>
        <v>UP93AR3351</v>
      </c>
      <c r="N1644" s="5" t="s">
        <v>25</v>
      </c>
      <c r="O1644" s="5" t="s">
        <v>25</v>
      </c>
      <c r="P1644" s="6" t="s">
        <v>25</v>
      </c>
      <c r="Q1644" s="5" t="s">
        <v>25</v>
      </c>
      <c r="R1644" s="5" t="s">
        <v>25</v>
      </c>
      <c r="S1644" s="5" t="str">
        <f>VLOOKUP(A1644,Sheet2!$A$2:$R$3432,18,0)</f>
        <v>JF50E72366945</v>
      </c>
      <c r="T1644" s="7" t="str">
        <f>VLOOKUP(A1644,Sheet2!$A$2:$R$3432,17,0)</f>
        <v>ME4JF504KF7366836</v>
      </c>
    </row>
    <row r="1645" ht="15.75" customHeight="1">
      <c r="A1645" s="3" t="s">
        <v>1668</v>
      </c>
      <c r="B1645" s="4" t="str">
        <f>VLOOKUP(A1645,Sheet2!$A$2:$R$3432,2,0)</f>
        <v>2024-10-21 18:51:44</v>
      </c>
      <c r="C1645" s="5" t="s">
        <v>25</v>
      </c>
      <c r="D1645" s="6" t="s">
        <v>25</v>
      </c>
      <c r="E1645" s="7">
        <f>VLOOKUP(A1645,Sheet2!$A$2:$R$3432,4,0)</f>
        <v>9049094562</v>
      </c>
      <c r="F1645" s="7" t="str">
        <f>VLOOKUP(A1645,Sheet2!$A$2:$R$3432,3,0)</f>
        <v>YASH </v>
      </c>
      <c r="G1645" s="5" t="s">
        <v>25</v>
      </c>
      <c r="H1645" s="5" t="s">
        <v>25</v>
      </c>
      <c r="I1645" s="5" t="s">
        <v>25</v>
      </c>
      <c r="J1645" s="5" t="s">
        <v>25</v>
      </c>
      <c r="K1645" s="7" t="str">
        <f>VLOOKUP(A1645,Sheet2!$A$2:$R$3432,6,0)</f>
        <v>Bajaj Avenger 220 Street</v>
      </c>
      <c r="L1645" s="5" t="s">
        <v>25</v>
      </c>
      <c r="M1645" s="7" t="str">
        <f>VLOOKUP(A1645,Sheet2!$A$2:$R$3432,5,0)</f>
        <v>MH12LC7820</v>
      </c>
      <c r="N1645" s="5" t="s">
        <v>25</v>
      </c>
      <c r="O1645" s="5" t="s">
        <v>25</v>
      </c>
      <c r="P1645" s="6" t="s">
        <v>25</v>
      </c>
      <c r="Q1645" s="5" t="s">
        <v>25</v>
      </c>
      <c r="R1645" s="5" t="s">
        <v>25</v>
      </c>
      <c r="S1645" s="5" t="str">
        <f>VLOOKUP(A1645,Sheet2!$A$2:$R$3432,18,0)</f>
        <v>PDZCC88560</v>
      </c>
      <c r="T1645" s="7" t="str">
        <f>VLOOKUP(A1645,Sheet2!$A$2:$R$3432,17,0)</f>
        <v>MD2A22F211EZZ92195</v>
      </c>
    </row>
    <row r="1646" ht="15.75" customHeight="1">
      <c r="A1646" s="3" t="s">
        <v>1669</v>
      </c>
      <c r="B1646" s="4" t="str">
        <f>VLOOKUP(A1646,Sheet2!$A$2:$R$3432,2,0)</f>
        <v>2024-10-21 20:13:49</v>
      </c>
      <c r="C1646" s="5" t="s">
        <v>25</v>
      </c>
      <c r="D1646" s="6" t="s">
        <v>25</v>
      </c>
      <c r="E1646" s="7">
        <f>VLOOKUP(A1646,Sheet2!$A$2:$R$3432,4,0)</f>
        <v>9309733792</v>
      </c>
      <c r="F1646" s="7" t="str">
        <f>VLOOKUP(A1646,Sheet2!$A$2:$R$3432,3,0)</f>
        <v>Kedar Deshmukh</v>
      </c>
      <c r="G1646" s="5" t="s">
        <v>25</v>
      </c>
      <c r="H1646" s="5" t="s">
        <v>25</v>
      </c>
      <c r="I1646" s="5" t="s">
        <v>25</v>
      </c>
      <c r="J1646" s="5" t="s">
        <v>25</v>
      </c>
      <c r="K1646" s="7" t="str">
        <f>VLOOKUP(A1646,Sheet2!$A$2:$R$3432,6,0)</f>
        <v>TVS Apache RTR 160</v>
      </c>
      <c r="L1646" s="5" t="s">
        <v>25</v>
      </c>
      <c r="M1646" s="7" t="str">
        <f>VLOOKUP(A1646,Sheet2!$A$2:$R$3432,5,0)</f>
        <v>MH12JB7356</v>
      </c>
      <c r="N1646" s="5" t="s">
        <v>25</v>
      </c>
      <c r="O1646" s="5" t="s">
        <v>25</v>
      </c>
      <c r="P1646" s="6" t="s">
        <v>25</v>
      </c>
      <c r="Q1646" s="5" t="s">
        <v>25</v>
      </c>
      <c r="R1646" s="5" t="s">
        <v>25</v>
      </c>
      <c r="S1646" s="5" t="str">
        <f>VLOOKUP(A1646,Sheet2!$A$2:$R$3432,18,0)</f>
        <v>RUSTY FRAME</v>
      </c>
      <c r="T1646" s="7" t="str">
        <f>VLOOKUP(A1646,Sheet2!$A$2:$R$3432,17,0)</f>
        <v>MD634KE4XL2069770</v>
      </c>
    </row>
    <row r="1647" ht="15.75" customHeight="1">
      <c r="A1647" s="3" t="s">
        <v>1670</v>
      </c>
      <c r="B1647" s="4" t="str">
        <f>VLOOKUP(A1647,Sheet2!$A$2:$R$3432,2,0)</f>
        <v>2024-10-21 18:53:15</v>
      </c>
      <c r="C1647" s="5" t="s">
        <v>25</v>
      </c>
      <c r="D1647" s="6" t="s">
        <v>25</v>
      </c>
      <c r="E1647" s="7">
        <f>VLOOKUP(A1647,Sheet2!$A$2:$R$3432,4,0)</f>
        <v>7529960144</v>
      </c>
      <c r="F1647" s="7" t="str">
        <f>VLOOKUP(A1647,Sheet2!$A$2:$R$3432,3,0)</f>
        <v>VENKATESH </v>
      </c>
      <c r="G1647" s="5" t="s">
        <v>25</v>
      </c>
      <c r="H1647" s="5" t="s">
        <v>25</v>
      </c>
      <c r="I1647" s="5" t="s">
        <v>25</v>
      </c>
      <c r="J1647" s="5" t="s">
        <v>25</v>
      </c>
      <c r="K1647" s="7" t="str">
        <f>VLOOKUP(A1647,Sheet2!$A$2:$R$3432,6,0)</f>
        <v>Honda Dio New</v>
      </c>
      <c r="L1647" s="5" t="s">
        <v>25</v>
      </c>
      <c r="M1647" s="7" t="str">
        <f>VLOOKUP(A1647,Sheet2!$A$2:$R$3432,5,0)</f>
        <v>MH14DP0085</v>
      </c>
      <c r="N1647" s="5" t="s">
        <v>25</v>
      </c>
      <c r="O1647" s="5" t="s">
        <v>25</v>
      </c>
      <c r="P1647" s="6" t="s">
        <v>25</v>
      </c>
      <c r="Q1647" s="5" t="s">
        <v>25</v>
      </c>
      <c r="R1647" s="5" t="s">
        <v>25</v>
      </c>
      <c r="S1647" s="5" t="str">
        <f>VLOOKUP(A1647,Sheet2!$A$2:$R$3432,18,0)</f>
        <v>JF39E0036052</v>
      </c>
      <c r="T1647" s="7" t="str">
        <f>VLOOKUP(A1647,Sheet2!$A$2:$R$3432,17,0)</f>
        <v>ME4JF391FC8036003</v>
      </c>
    </row>
    <row r="1648" ht="15.75" customHeight="1">
      <c r="A1648" s="3" t="s">
        <v>1671</v>
      </c>
      <c r="B1648" s="4" t="str">
        <f>VLOOKUP(A1648,Sheet2!$A$2:$R$3432,2,0)</f>
        <v>2024-10-21 18:51:11</v>
      </c>
      <c r="C1648" s="5" t="s">
        <v>25</v>
      </c>
      <c r="D1648" s="6" t="s">
        <v>25</v>
      </c>
      <c r="E1648" s="7">
        <f>VLOOKUP(A1648,Sheet2!$A$2:$R$3432,4,0)</f>
        <v>9029768558</v>
      </c>
      <c r="F1648" s="7" t="str">
        <f>VLOOKUP(A1648,Sheet2!$A$2:$R$3432,3,0)</f>
        <v>ANIKET MARKANDE</v>
      </c>
      <c r="G1648" s="5" t="s">
        <v>25</v>
      </c>
      <c r="H1648" s="5" t="s">
        <v>25</v>
      </c>
      <c r="I1648" s="5" t="s">
        <v>25</v>
      </c>
      <c r="J1648" s="5" t="s">
        <v>25</v>
      </c>
      <c r="K1648" s="7" t="str">
        <f>VLOOKUP(A1648,Sheet2!$A$2:$R$3432,6,0)</f>
        <v>Bajaj Pulsar 200 NS</v>
      </c>
      <c r="L1648" s="5" t="s">
        <v>25</v>
      </c>
      <c r="M1648" s="7" t="str">
        <f>VLOOKUP(A1648,Sheet2!$A$2:$R$3432,5,0)</f>
        <v>MH05DY3364</v>
      </c>
      <c r="N1648" s="5" t="s">
        <v>25</v>
      </c>
      <c r="O1648" s="5" t="s">
        <v>25</v>
      </c>
      <c r="P1648" s="6" t="s">
        <v>25</v>
      </c>
      <c r="Q1648" s="5" t="s">
        <v>25</v>
      </c>
      <c r="R1648" s="5" t="s">
        <v>25</v>
      </c>
      <c r="S1648" s="5" t="str">
        <f>VLOOKUP(A1648,Sheet2!$A$2:$R$3432,18,0)</f>
        <v>JLYCJJ28686</v>
      </c>
      <c r="T1648" s="7" t="str">
        <f>VLOOKUP(A1648,Sheet2!$A$2:$R$3432,17,0)</f>
        <v>RUSTY FRAME </v>
      </c>
    </row>
    <row r="1649" ht="15.75" customHeight="1">
      <c r="A1649" s="3" t="s">
        <v>1672</v>
      </c>
      <c r="B1649" s="4" t="str">
        <f>VLOOKUP(A1649,Sheet2!$A$2:$R$3432,2,0)</f>
        <v>2024-10-21 20:14:23</v>
      </c>
      <c r="C1649" s="5" t="s">
        <v>25</v>
      </c>
      <c r="D1649" s="6" t="s">
        <v>25</v>
      </c>
      <c r="E1649" s="7">
        <f>VLOOKUP(A1649,Sheet2!$A$2:$R$3432,4,0)</f>
        <v>7875605481</v>
      </c>
      <c r="F1649" s="7" t="str">
        <f>VLOOKUP(A1649,Sheet2!$A$2:$R$3432,3,0)</f>
        <v>Ankit</v>
      </c>
      <c r="G1649" s="5" t="s">
        <v>25</v>
      </c>
      <c r="H1649" s="5" t="s">
        <v>25</v>
      </c>
      <c r="I1649" s="5" t="s">
        <v>25</v>
      </c>
      <c r="J1649" s="5" t="s">
        <v>25</v>
      </c>
      <c r="K1649" s="7" t="str">
        <f>VLOOKUP(A1649,Sheet2!$A$2:$R$3432,6,0)</f>
        <v>Bajaj Pulsar 150</v>
      </c>
      <c r="L1649" s="5" t="s">
        <v>25</v>
      </c>
      <c r="M1649" s="7" t="str">
        <f>VLOOKUP(A1649,Sheet2!$A$2:$R$3432,5,0)</f>
        <v>MH14DW0886</v>
      </c>
      <c r="N1649" s="5" t="s">
        <v>25</v>
      </c>
      <c r="O1649" s="5" t="s">
        <v>25</v>
      </c>
      <c r="P1649" s="6" t="s">
        <v>25</v>
      </c>
      <c r="Q1649" s="5" t="s">
        <v>25</v>
      </c>
      <c r="R1649" s="5" t="s">
        <v>25</v>
      </c>
      <c r="S1649" s="5" t="str">
        <f>VLOOKUP(A1649,Sheet2!$A$2:$R$3432,18,0)</f>
        <v>DJZCDK6178</v>
      </c>
      <c r="T1649" s="7" t="str">
        <f>VLOOKUP(A1649,Sheet2!$A$2:$R$3432,17,0)</f>
        <v>MD2A12DZ3DCK6408</v>
      </c>
    </row>
    <row r="1650" ht="15.75" customHeight="1">
      <c r="A1650" s="3" t="s">
        <v>1673</v>
      </c>
      <c r="B1650" s="4" t="str">
        <f>VLOOKUP(A1650,Sheet2!$A$2:$R$3432,2,0)</f>
        <v>2024-10-21 20:43:41</v>
      </c>
      <c r="C1650" s="5" t="s">
        <v>25</v>
      </c>
      <c r="D1650" s="6" t="s">
        <v>25</v>
      </c>
      <c r="E1650" s="7">
        <f>VLOOKUP(A1650,Sheet2!$A$2:$R$3432,4,0)</f>
        <v>7822043086</v>
      </c>
      <c r="F1650" s="7" t="str">
        <f>VLOOKUP(A1650,Sheet2!$A$2:$R$3432,3,0)</f>
        <v>PAWAN</v>
      </c>
      <c r="G1650" s="5" t="s">
        <v>25</v>
      </c>
      <c r="H1650" s="5" t="s">
        <v>25</v>
      </c>
      <c r="I1650" s="5" t="s">
        <v>25</v>
      </c>
      <c r="J1650" s="5" t="s">
        <v>25</v>
      </c>
      <c r="K1650" s="7" t="str">
        <f>VLOOKUP(A1650,Sheet2!$A$2:$R$3432,6,0)</f>
        <v>Bajaj Pulsar 220F</v>
      </c>
      <c r="L1650" s="5" t="s">
        <v>25</v>
      </c>
      <c r="M1650" s="7" t="str">
        <f>VLOOKUP(A1650,Sheet2!$A$2:$R$3432,5,0)</f>
        <v>MH21BR2106</v>
      </c>
      <c r="N1650" s="5" t="s">
        <v>25</v>
      </c>
      <c r="O1650" s="5" t="s">
        <v>25</v>
      </c>
      <c r="P1650" s="6" t="s">
        <v>25</v>
      </c>
      <c r="Q1650" s="5" t="s">
        <v>25</v>
      </c>
      <c r="R1650" s="5" t="s">
        <v>25</v>
      </c>
      <c r="S1650" s="7" t="str">
        <f>VLOOKUP(A1650,Sheet2!$A$2:$R$3432,18,0)</f>
        <v/>
      </c>
      <c r="T1650" s="7" t="str">
        <f>VLOOKUP(A1650,Sheet2!$A$2:$R$3432,17,0)</f>
        <v/>
      </c>
    </row>
    <row r="1651" ht="15.75" customHeight="1">
      <c r="A1651" s="3" t="s">
        <v>1674</v>
      </c>
      <c r="B1651" s="4" t="str">
        <f>VLOOKUP(A1651,Sheet2!$A$2:$R$3432,2,0)</f>
        <v>2024-08-02 18:34:41</v>
      </c>
      <c r="C1651" s="5" t="s">
        <v>25</v>
      </c>
      <c r="D1651" s="6" t="s">
        <v>25</v>
      </c>
      <c r="E1651" s="7">
        <f>VLOOKUP(A1651,Sheet2!$A$2:$R$3432,4,0)</f>
        <v>7020046714</v>
      </c>
      <c r="F1651" s="7" t="str">
        <f>VLOOKUP(A1651,Sheet2!$A$2:$R$3432,3,0)</f>
        <v>BHAGWAT</v>
      </c>
      <c r="G1651" s="5" t="s">
        <v>25</v>
      </c>
      <c r="H1651" s="5" t="s">
        <v>25</v>
      </c>
      <c r="I1651" s="5" t="s">
        <v>25</v>
      </c>
      <c r="J1651" s="5" t="s">
        <v>25</v>
      </c>
      <c r="K1651" s="7" t="str">
        <f>VLOOKUP(A1651,Sheet2!$A$2:$R$3432,6,0)</f>
        <v>UM Renegade </v>
      </c>
      <c r="L1651" s="5" t="s">
        <v>25</v>
      </c>
      <c r="M1651" s="7" t="str">
        <f>VLOOKUP(A1651,Sheet2!$A$2:$R$3432,5,0)</f>
        <v>MH12RS4678</v>
      </c>
      <c r="N1651" s="5" t="s">
        <v>25</v>
      </c>
      <c r="O1651" s="5" t="s">
        <v>25</v>
      </c>
      <c r="P1651" s="6" t="s">
        <v>25</v>
      </c>
      <c r="Q1651" s="5" t="s">
        <v>25</v>
      </c>
      <c r="R1651" s="5" t="s">
        <v>25</v>
      </c>
      <c r="S1651" s="7" t="str">
        <f>VLOOKUP(A1651,Sheet2!$A$2:$R$3432,18,0)</f>
        <v/>
      </c>
      <c r="T1651" s="7" t="str">
        <f>VLOOKUP(A1651,Sheet2!$A$2:$R$3432,17,0)</f>
        <v/>
      </c>
    </row>
    <row r="1652" ht="15.75" customHeight="1">
      <c r="A1652" s="3" t="s">
        <v>1675</v>
      </c>
      <c r="B1652" s="4" t="str">
        <f>VLOOKUP(A1652,Sheet2!$A$2:$R$3432,2,0)</f>
        <v>2024-08-02 18:35:48</v>
      </c>
      <c r="C1652" s="5" t="s">
        <v>25</v>
      </c>
      <c r="D1652" s="6" t="s">
        <v>25</v>
      </c>
      <c r="E1652" s="7">
        <f>VLOOKUP(A1652,Sheet2!$A$2:$R$3432,4,0)</f>
        <v>9503386462</v>
      </c>
      <c r="F1652" s="7" t="str">
        <f>VLOOKUP(A1652,Sheet2!$A$2:$R$3432,3,0)</f>
        <v>SANKET NIMSE</v>
      </c>
      <c r="G1652" s="5" t="s">
        <v>25</v>
      </c>
      <c r="H1652" s="5" t="s">
        <v>25</v>
      </c>
      <c r="I1652" s="5" t="s">
        <v>25</v>
      </c>
      <c r="J1652" s="5" t="s">
        <v>25</v>
      </c>
      <c r="K1652" s="7" t="str">
        <f>VLOOKUP(A1652,Sheet2!$A$2:$R$3432,6,0)</f>
        <v>TVS Star City +</v>
      </c>
      <c r="L1652" s="5" t="s">
        <v>25</v>
      </c>
      <c r="M1652" s="7" t="str">
        <f>VLOOKUP(A1652,Sheet2!$A$2:$R$3432,5,0)</f>
        <v>MH16BG4509</v>
      </c>
      <c r="N1652" s="5" t="s">
        <v>25</v>
      </c>
      <c r="O1652" s="5" t="s">
        <v>25</v>
      </c>
      <c r="P1652" s="6" t="s">
        <v>25</v>
      </c>
      <c r="Q1652" s="5" t="s">
        <v>25</v>
      </c>
      <c r="R1652" s="5" t="s">
        <v>25</v>
      </c>
      <c r="S1652" s="5" t="str">
        <f>VLOOKUP(A1652,Sheet2!$A$2:$R$3432,18,0)</f>
        <v>CFIFE1028281</v>
      </c>
      <c r="T1652" s="7" t="str">
        <f>VLOOKUP(A1652,Sheet2!$A$2:$R$3432,17,0)</f>
        <v>RUSTY FRAME </v>
      </c>
    </row>
    <row r="1653" ht="15.75" customHeight="1">
      <c r="A1653" s="3" t="s">
        <v>1676</v>
      </c>
      <c r="B1653" s="4" t="str">
        <f>VLOOKUP(A1653,Sheet2!$A$2:$R$3432,2,0)</f>
        <v>2024-08-02 18:36:37</v>
      </c>
      <c r="C1653" s="5" t="s">
        <v>25</v>
      </c>
      <c r="D1653" s="6" t="s">
        <v>25</v>
      </c>
      <c r="E1653" s="7">
        <f>VLOOKUP(A1653,Sheet2!$A$2:$R$3432,4,0)</f>
        <v>8308974699</v>
      </c>
      <c r="F1653" s="7" t="str">
        <f>VLOOKUP(A1653,Sheet2!$A$2:$R$3432,3,0)</f>
        <v> Matthew </v>
      </c>
      <c r="G1653" s="5" t="s">
        <v>25</v>
      </c>
      <c r="H1653" s="5" t="s">
        <v>25</v>
      </c>
      <c r="I1653" s="5" t="s">
        <v>25</v>
      </c>
      <c r="J1653" s="5" t="s">
        <v>25</v>
      </c>
      <c r="K1653" s="7" t="str">
        <f>VLOOKUP(A1653,Sheet2!$A$2:$R$3432,6,0)</f>
        <v>Yamaha Aerox 155</v>
      </c>
      <c r="L1653" s="5" t="s">
        <v>25</v>
      </c>
      <c r="M1653" s="7" t="str">
        <f>VLOOKUP(A1653,Sheet2!$A$2:$R$3432,5,0)</f>
        <v>MH14KG8312</v>
      </c>
      <c r="N1653" s="5" t="s">
        <v>25</v>
      </c>
      <c r="O1653" s="5" t="s">
        <v>25</v>
      </c>
      <c r="P1653" s="6" t="s">
        <v>25</v>
      </c>
      <c r="Q1653" s="5" t="s">
        <v>25</v>
      </c>
      <c r="R1653" s="5" t="s">
        <v>25</v>
      </c>
      <c r="S1653" s="7" t="str">
        <f>VLOOKUP(A1653,Sheet2!$A$2:$R$3432,18,0)</f>
        <v/>
      </c>
      <c r="T1653" s="7" t="str">
        <f>VLOOKUP(A1653,Sheet2!$A$2:$R$3432,17,0)</f>
        <v/>
      </c>
    </row>
    <row r="1654" ht="15.75" customHeight="1">
      <c r="A1654" s="3" t="s">
        <v>1677</v>
      </c>
      <c r="B1654" s="4" t="str">
        <f>VLOOKUP(A1654,Sheet2!$A$2:$R$3432,2,0)</f>
        <v>2024-08-02 20:46:20</v>
      </c>
      <c r="C1654" s="5" t="s">
        <v>25</v>
      </c>
      <c r="D1654" s="6" t="s">
        <v>25</v>
      </c>
      <c r="E1654" s="7">
        <f>VLOOKUP(A1654,Sheet2!$A$2:$R$3432,4,0)</f>
        <v>9881008708</v>
      </c>
      <c r="F1654" s="7" t="str">
        <f>VLOOKUP(A1654,Sheet2!$A$2:$R$3432,3,0)</f>
        <v>SHRINIVAS </v>
      </c>
      <c r="G1654" s="5" t="s">
        <v>25</v>
      </c>
      <c r="H1654" s="5" t="s">
        <v>25</v>
      </c>
      <c r="I1654" s="5" t="s">
        <v>25</v>
      </c>
      <c r="J1654" s="5" t="s">
        <v>25</v>
      </c>
      <c r="K1654" s="7" t="str">
        <f>VLOOKUP(A1654,Sheet2!$A$2:$R$3432,6,0)</f>
        <v>Suzuki Swish </v>
      </c>
      <c r="L1654" s="5" t="s">
        <v>25</v>
      </c>
      <c r="M1654" s="7" t="str">
        <f>VLOOKUP(A1654,Sheet2!$A$2:$R$3432,5,0)</f>
        <v>MH14EE9803</v>
      </c>
      <c r="N1654" s="5" t="s">
        <v>25</v>
      </c>
      <c r="O1654" s="5" t="s">
        <v>25</v>
      </c>
      <c r="P1654" s="6" t="s">
        <v>25</v>
      </c>
      <c r="Q1654" s="5" t="s">
        <v>25</v>
      </c>
      <c r="R1654" s="5" t="s">
        <v>25</v>
      </c>
      <c r="S1654" s="5" t="str">
        <f>VLOOKUP(A1654,Sheet2!$A$2:$R$3432,18,0)</f>
        <v>F4862456392</v>
      </c>
      <c r="T1654" s="7" t="str">
        <f>VLOOKUP(A1654,Sheet2!$A$2:$R$3432,17,0)</f>
        <v>MB8CFACBLD8139091</v>
      </c>
    </row>
    <row r="1655" ht="15.75" customHeight="1">
      <c r="A1655" s="3" t="s">
        <v>1678</v>
      </c>
      <c r="B1655" s="4" t="str">
        <f>VLOOKUP(A1655,Sheet2!$A$2:$R$3432,2,0)</f>
        <v>2024-08-02 20:46:54</v>
      </c>
      <c r="C1655" s="5" t="s">
        <v>25</v>
      </c>
      <c r="D1655" s="6" t="s">
        <v>25</v>
      </c>
      <c r="E1655" s="7">
        <f>VLOOKUP(A1655,Sheet2!$A$2:$R$3432,4,0)</f>
        <v>8380934175</v>
      </c>
      <c r="F1655" s="7" t="str">
        <f>VLOOKUP(A1655,Sheet2!$A$2:$R$3432,3,0)</f>
        <v>SMEETA KURVE</v>
      </c>
      <c r="G1655" s="5" t="s">
        <v>25</v>
      </c>
      <c r="H1655" s="5" t="s">
        <v>25</v>
      </c>
      <c r="I1655" s="5" t="s">
        <v>25</v>
      </c>
      <c r="J1655" s="5" t="s">
        <v>25</v>
      </c>
      <c r="K1655" s="7" t="str">
        <f>VLOOKUP(A1655,Sheet2!$A$2:$R$3432,6,0)</f>
        <v>Honda Activa 4G</v>
      </c>
      <c r="L1655" s="5" t="s">
        <v>25</v>
      </c>
      <c r="M1655" s="7" t="str">
        <f>VLOOKUP(A1655,Sheet2!$A$2:$R$3432,5,0)</f>
        <v>MH14GW1025</v>
      </c>
      <c r="N1655" s="5" t="s">
        <v>25</v>
      </c>
      <c r="O1655" s="5" t="s">
        <v>25</v>
      </c>
      <c r="P1655" s="6" t="s">
        <v>25</v>
      </c>
      <c r="Q1655" s="5" t="s">
        <v>25</v>
      </c>
      <c r="R1655" s="5" t="s">
        <v>25</v>
      </c>
      <c r="S1655" s="5" t="str">
        <f>VLOOKUP(A1655,Sheet2!$A$2:$R$3432,18,0)</f>
        <v>JF58EU9118337</v>
      </c>
      <c r="T1655" s="7" t="str">
        <f>VLOOKUP(A1655,Sheet2!$A$2:$R$3432,17,0)</f>
        <v>ME4JF50CBJU115279</v>
      </c>
    </row>
    <row r="1656" ht="15.75" customHeight="1">
      <c r="A1656" s="3" t="s">
        <v>1679</v>
      </c>
      <c r="B1656" s="4" t="str">
        <f>VLOOKUP(A1656,Sheet2!$A$2:$R$3432,2,0)</f>
        <v>2024-08-02 20:48:19</v>
      </c>
      <c r="C1656" s="5" t="s">
        <v>25</v>
      </c>
      <c r="D1656" s="6" t="s">
        <v>25</v>
      </c>
      <c r="E1656" s="7">
        <f>VLOOKUP(A1656,Sheet2!$A$2:$R$3432,4,0)</f>
        <v>7709881219</v>
      </c>
      <c r="F1656" s="7" t="str">
        <f>VLOOKUP(A1656,Sheet2!$A$2:$R$3432,3,0)</f>
        <v>KIRAN CHINCHOLI</v>
      </c>
      <c r="G1656" s="5" t="s">
        <v>25</v>
      </c>
      <c r="H1656" s="5" t="s">
        <v>25</v>
      </c>
      <c r="I1656" s="5" t="s">
        <v>25</v>
      </c>
      <c r="J1656" s="5" t="s">
        <v>25</v>
      </c>
      <c r="K1656" s="7" t="str">
        <f>VLOOKUP(A1656,Sheet2!$A$2:$R$3432,6,0)</f>
        <v>Bajaj Pulsar 150</v>
      </c>
      <c r="L1656" s="5" t="s">
        <v>25</v>
      </c>
      <c r="M1656" s="7" t="str">
        <f>VLOOKUP(A1656,Sheet2!$A$2:$R$3432,5,0)</f>
        <v>MH13BS1863</v>
      </c>
      <c r="N1656" s="5" t="s">
        <v>25</v>
      </c>
      <c r="O1656" s="5" t="s">
        <v>25</v>
      </c>
      <c r="P1656" s="6" t="s">
        <v>25</v>
      </c>
      <c r="Q1656" s="5" t="s">
        <v>25</v>
      </c>
      <c r="R1656" s="5" t="s">
        <v>25</v>
      </c>
      <c r="S1656" s="5" t="str">
        <f>VLOOKUP(A1656,Sheet2!$A$2:$R$3432,18,0)</f>
        <v>DHCJ51814</v>
      </c>
      <c r="T1656" s="7" t="str">
        <f>VLOOKUP(A1656,Sheet2!$A$2:$R$3432,17,0)</f>
        <v>MD2A11CZ9DCJ71264</v>
      </c>
    </row>
    <row r="1657" ht="15.75" customHeight="1">
      <c r="A1657" s="3" t="s">
        <v>1680</v>
      </c>
      <c r="B1657" s="4" t="str">
        <f>VLOOKUP(A1657,Sheet2!$A$2:$R$3432,2,0)</f>
        <v>2024-08-02 21:00:17</v>
      </c>
      <c r="C1657" s="5" t="s">
        <v>25</v>
      </c>
      <c r="D1657" s="6" t="s">
        <v>25</v>
      </c>
      <c r="E1657" s="7">
        <f>VLOOKUP(A1657,Sheet2!$A$2:$R$3432,4,0)</f>
        <v>8805328527</v>
      </c>
      <c r="F1657" s="7" t="str">
        <f>VLOOKUP(A1657,Sheet2!$A$2:$R$3432,3,0)</f>
        <v>Sagar Kalshetty</v>
      </c>
      <c r="G1657" s="5" t="s">
        <v>25</v>
      </c>
      <c r="H1657" s="5" t="s">
        <v>25</v>
      </c>
      <c r="I1657" s="5" t="s">
        <v>25</v>
      </c>
      <c r="J1657" s="5" t="s">
        <v>25</v>
      </c>
      <c r="K1657" s="7" t="str">
        <f>VLOOKUP(A1657,Sheet2!$A$2:$R$3432,6,0)</f>
        <v>Honda Dio </v>
      </c>
      <c r="L1657" s="5" t="s">
        <v>25</v>
      </c>
      <c r="M1657" s="7" t="str">
        <f>VLOOKUP(A1657,Sheet2!$A$2:$R$3432,5,0)</f>
        <v>MH14HX2701</v>
      </c>
      <c r="N1657" s="5" t="s">
        <v>25</v>
      </c>
      <c r="O1657" s="5" t="s">
        <v>25</v>
      </c>
      <c r="P1657" s="6" t="s">
        <v>25</v>
      </c>
      <c r="Q1657" s="5" t="s">
        <v>25</v>
      </c>
      <c r="R1657" s="5" t="s">
        <v>25</v>
      </c>
      <c r="S1657" s="5" t="str">
        <f>VLOOKUP(A1657,Sheet2!$A$2:$R$3432,18,0)</f>
        <v>JF39EN042285</v>
      </c>
      <c r="T1657" s="7" t="str">
        <f>VLOOKUP(A1657,Sheet2!$A$2:$R$3432,17,0)</f>
        <v>ME4JF39KKE0510029</v>
      </c>
    </row>
    <row r="1658" ht="15.75" customHeight="1">
      <c r="A1658" s="3" t="s">
        <v>1681</v>
      </c>
      <c r="B1658" s="4" t="str">
        <f>VLOOKUP(A1658,Sheet2!$A$2:$R$3432,2,0)</f>
        <v>2024-08-02 18:37:33</v>
      </c>
      <c r="C1658" s="5" t="s">
        <v>25</v>
      </c>
      <c r="D1658" s="6" t="s">
        <v>25</v>
      </c>
      <c r="E1658" s="7">
        <f>VLOOKUP(A1658,Sheet2!$A$2:$R$3432,4,0)</f>
        <v>9527692735</v>
      </c>
      <c r="F1658" s="7" t="str">
        <f>VLOOKUP(A1658,Sheet2!$A$2:$R$3432,3,0)</f>
        <v>ANIL</v>
      </c>
      <c r="G1658" s="5" t="s">
        <v>25</v>
      </c>
      <c r="H1658" s="5" t="s">
        <v>25</v>
      </c>
      <c r="I1658" s="5" t="s">
        <v>25</v>
      </c>
      <c r="J1658" s="5" t="s">
        <v>25</v>
      </c>
      <c r="K1658" s="7" t="str">
        <f>VLOOKUP(A1658,Sheet2!$A$2:$R$3432,6,0)</f>
        <v>Royal Enfield Classic 350</v>
      </c>
      <c r="L1658" s="5" t="s">
        <v>25</v>
      </c>
      <c r="M1658" s="7" t="str">
        <f>VLOOKUP(A1658,Sheet2!$A$2:$R$3432,5,0)</f>
        <v>MH26BJ0889</v>
      </c>
      <c r="N1658" s="5" t="s">
        <v>25</v>
      </c>
      <c r="O1658" s="5" t="s">
        <v>25</v>
      </c>
      <c r="P1658" s="6" t="s">
        <v>25</v>
      </c>
      <c r="Q1658" s="5" t="s">
        <v>25</v>
      </c>
      <c r="R1658" s="5" t="s">
        <v>25</v>
      </c>
      <c r="S1658" s="7" t="str">
        <f>VLOOKUP(A1658,Sheet2!$A$2:$R$3432,18,0)</f>
        <v/>
      </c>
      <c r="T1658" s="7" t="str">
        <f>VLOOKUP(A1658,Sheet2!$A$2:$R$3432,17,0)</f>
        <v/>
      </c>
    </row>
    <row r="1659" ht="15.75" customHeight="1">
      <c r="A1659" s="3" t="s">
        <v>1682</v>
      </c>
      <c r="B1659" s="4" t="str">
        <f>VLOOKUP(A1659,Sheet2!$A$2:$R$3432,2,0)</f>
        <v>2024-08-31 21:01:30</v>
      </c>
      <c r="C1659" s="5" t="s">
        <v>25</v>
      </c>
      <c r="D1659" s="6" t="s">
        <v>25</v>
      </c>
      <c r="E1659" s="7">
        <f>VLOOKUP(A1659,Sheet2!$A$2:$R$3432,4,0)</f>
        <v>9607595666</v>
      </c>
      <c r="F1659" s="7" t="str">
        <f>VLOOKUP(A1659,Sheet2!$A$2:$R$3432,3,0)</f>
        <v>YOGENDRA TIWARI</v>
      </c>
      <c r="G1659" s="5" t="s">
        <v>25</v>
      </c>
      <c r="H1659" s="5" t="s">
        <v>25</v>
      </c>
      <c r="I1659" s="5" t="s">
        <v>25</v>
      </c>
      <c r="J1659" s="5" t="s">
        <v>25</v>
      </c>
      <c r="K1659" s="7" t="str">
        <f>VLOOKUP(A1659,Sheet2!$A$2:$R$3432,6,0)</f>
        <v>TVS Wego </v>
      </c>
      <c r="L1659" s="5" t="s">
        <v>25</v>
      </c>
      <c r="M1659" s="7" t="str">
        <f>VLOOKUP(A1659,Sheet2!$A$2:$R$3432,5,0)</f>
        <v>MH43AG7982</v>
      </c>
      <c r="N1659" s="5" t="s">
        <v>25</v>
      </c>
      <c r="O1659" s="5" t="s">
        <v>25</v>
      </c>
      <c r="P1659" s="6" t="s">
        <v>25</v>
      </c>
      <c r="Q1659" s="5" t="s">
        <v>25</v>
      </c>
      <c r="R1659" s="5" t="s">
        <v>25</v>
      </c>
      <c r="S1659" s="7" t="str">
        <f>VLOOKUP(A1659,Sheet2!$A$2:$R$3432,18,0)</f>
        <v/>
      </c>
      <c r="T1659" s="7" t="str">
        <f>VLOOKUP(A1659,Sheet2!$A$2:$R$3432,17,0)</f>
        <v/>
      </c>
    </row>
    <row r="1660" ht="15.75" customHeight="1">
      <c r="A1660" s="3" t="s">
        <v>1683</v>
      </c>
      <c r="B1660" s="4" t="str">
        <f>VLOOKUP(A1660,Sheet2!$A$2:$R$3432,2,0)</f>
        <v>2024-08-31 21:02:24</v>
      </c>
      <c r="C1660" s="5" t="s">
        <v>25</v>
      </c>
      <c r="D1660" s="6" t="s">
        <v>25</v>
      </c>
      <c r="E1660" s="7">
        <f>VLOOKUP(A1660,Sheet2!$A$2:$R$3432,4,0)</f>
        <v>7843061236</v>
      </c>
      <c r="F1660" s="7" t="str">
        <f>VLOOKUP(A1660,Sheet2!$A$2:$R$3432,3,0)</f>
        <v>ATHARVA </v>
      </c>
      <c r="G1660" s="5" t="s">
        <v>25</v>
      </c>
      <c r="H1660" s="5" t="s">
        <v>25</v>
      </c>
      <c r="I1660" s="5" t="s">
        <v>25</v>
      </c>
      <c r="J1660" s="5" t="s">
        <v>25</v>
      </c>
      <c r="K1660" s="7" t="str">
        <f>VLOOKUP(A1660,Sheet2!$A$2:$R$3432,6,0)</f>
        <v>Hero Pleasure </v>
      </c>
      <c r="L1660" s="5" t="s">
        <v>25</v>
      </c>
      <c r="M1660" s="7" t="str">
        <f>VLOOKUP(A1660,Sheet2!$A$2:$R$3432,5,0)</f>
        <v>MH27AS9745</v>
      </c>
      <c r="N1660" s="5" t="s">
        <v>25</v>
      </c>
      <c r="O1660" s="5" t="s">
        <v>25</v>
      </c>
      <c r="P1660" s="6" t="s">
        <v>25</v>
      </c>
      <c r="Q1660" s="5" t="s">
        <v>25</v>
      </c>
      <c r="R1660" s="5" t="s">
        <v>25</v>
      </c>
      <c r="S1660" s="5" t="str">
        <f>VLOOKUP(A1660,Sheet2!$A$2:$R$3432,18,0)</f>
        <v>JF16EBCGB34608</v>
      </c>
      <c r="T1660" s="7" t="str">
        <f>VLOOKUP(A1660,Sheet2!$A$2:$R$3432,17,0)</f>
        <v>MBLJF16EDGB34853</v>
      </c>
    </row>
    <row r="1661" ht="15.75" customHeight="1">
      <c r="A1661" s="3" t="s">
        <v>1684</v>
      </c>
      <c r="B1661" s="4" t="str">
        <f>VLOOKUP(A1661,Sheet2!$A$2:$R$3432,2,0)</f>
        <v>2024-08-31 21:05:03</v>
      </c>
      <c r="C1661" s="5" t="s">
        <v>25</v>
      </c>
      <c r="D1661" s="6" t="s">
        <v>25</v>
      </c>
      <c r="E1661" s="7">
        <f>VLOOKUP(A1661,Sheet2!$A$2:$R$3432,4,0)</f>
        <v>7218658827</v>
      </c>
      <c r="F1661" s="7" t="str">
        <f>VLOOKUP(A1661,Sheet2!$A$2:$R$3432,3,0)</f>
        <v>Siddhant Kamble</v>
      </c>
      <c r="G1661" s="5" t="s">
        <v>25</v>
      </c>
      <c r="H1661" s="5" t="s">
        <v>25</v>
      </c>
      <c r="I1661" s="5" t="s">
        <v>25</v>
      </c>
      <c r="J1661" s="5" t="s">
        <v>25</v>
      </c>
      <c r="K1661" s="7" t="str">
        <f>VLOOKUP(A1661,Sheet2!$A$2:$R$3432,6,0)</f>
        <v>Yamaha MT 15</v>
      </c>
      <c r="L1661" s="5" t="s">
        <v>25</v>
      </c>
      <c r="M1661" s="7" t="str">
        <f>VLOOKUP(A1661,Sheet2!$A$2:$R$3432,5,0)</f>
        <v>MH17CL3680</v>
      </c>
      <c r="N1661" s="5" t="s">
        <v>25</v>
      </c>
      <c r="O1661" s="5" t="s">
        <v>25</v>
      </c>
      <c r="P1661" s="6" t="s">
        <v>25</v>
      </c>
      <c r="Q1661" s="5" t="s">
        <v>25</v>
      </c>
      <c r="R1661" s="5" t="s">
        <v>25</v>
      </c>
      <c r="S1661" s="5" t="str">
        <f>VLOOKUP(A1661,Sheet2!$A$2:$R$3432,18,0)</f>
        <v>C3N4E0027040</v>
      </c>
      <c r="T1661" s="7" t="str">
        <f>VLOOKUP(A1661,Sheet2!$A$2:$R$3432,17,0)</f>
        <v>ME1RG6813L000JJ36</v>
      </c>
    </row>
    <row r="1662" ht="15.75" customHeight="1">
      <c r="A1662" s="3" t="s">
        <v>1685</v>
      </c>
      <c r="B1662" s="4" t="str">
        <f>VLOOKUP(A1662,Sheet2!$A$2:$R$3432,2,0)</f>
        <v>2025-04-30 19:26:33</v>
      </c>
      <c r="C1662" s="5" t="s">
        <v>25</v>
      </c>
      <c r="D1662" s="6" t="s">
        <v>25</v>
      </c>
      <c r="E1662" s="7">
        <f>VLOOKUP(A1662,Sheet2!$A$2:$R$3432,4,0)</f>
        <v>9850508429</v>
      </c>
      <c r="F1662" s="7" t="str">
        <f>VLOOKUP(A1662,Sheet2!$A$2:$R$3432,3,0)</f>
        <v>Parimala</v>
      </c>
      <c r="G1662" s="5" t="s">
        <v>25</v>
      </c>
      <c r="H1662" s="5" t="s">
        <v>25</v>
      </c>
      <c r="I1662" s="5" t="s">
        <v>25</v>
      </c>
      <c r="J1662" s="5" t="s">
        <v>25</v>
      </c>
      <c r="K1662" s="7" t="str">
        <f>VLOOKUP(A1662,Sheet2!$A$2:$R$3432,6,0)</f>
        <v>TVS Zest </v>
      </c>
      <c r="L1662" s="5" t="s">
        <v>25</v>
      </c>
      <c r="M1662" s="7" t="str">
        <f>VLOOKUP(A1662,Sheet2!$A$2:$R$3432,5,0)</f>
        <v>MH14GG7482</v>
      </c>
      <c r="N1662" s="5" t="s">
        <v>25</v>
      </c>
      <c r="O1662" s="5" t="s">
        <v>25</v>
      </c>
      <c r="P1662" s="6" t="s">
        <v>25</v>
      </c>
      <c r="Q1662" s="5" t="s">
        <v>25</v>
      </c>
      <c r="R1662" s="5" t="s">
        <v>25</v>
      </c>
      <c r="S1662" s="7" t="str">
        <f>VLOOKUP(A1662,Sheet2!$A$2:$R$3432,18,0)</f>
        <v/>
      </c>
      <c r="T1662" s="7" t="str">
        <f>VLOOKUP(A1662,Sheet2!$A$2:$R$3432,17,0)</f>
        <v>MD626FG47H2E14116</v>
      </c>
    </row>
    <row r="1663" ht="15.75" customHeight="1">
      <c r="A1663" s="3" t="s">
        <v>1686</v>
      </c>
      <c r="B1663" s="4" t="str">
        <f>VLOOKUP(A1663,Sheet2!$A$2:$R$3432,2,0)</f>
        <v>2025-04-30 19:27:39</v>
      </c>
      <c r="C1663" s="5" t="s">
        <v>25</v>
      </c>
      <c r="D1663" s="6" t="s">
        <v>25</v>
      </c>
      <c r="E1663" s="7">
        <f>VLOOKUP(A1663,Sheet2!$A$2:$R$3432,4,0)</f>
        <v>9552592636</v>
      </c>
      <c r="F1663" s="7" t="str">
        <f>VLOOKUP(A1663,Sheet2!$A$2:$R$3432,3,0)</f>
        <v>Vinay Khemalapure</v>
      </c>
      <c r="G1663" s="5" t="s">
        <v>25</v>
      </c>
      <c r="H1663" s="5" t="s">
        <v>25</v>
      </c>
      <c r="I1663" s="5" t="s">
        <v>25</v>
      </c>
      <c r="J1663" s="5" t="s">
        <v>25</v>
      </c>
      <c r="K1663" s="7" t="str">
        <f>VLOOKUP(A1663,Sheet2!$A$2:$R$3432,6,0)</f>
        <v>TVS Jupiter </v>
      </c>
      <c r="L1663" s="5" t="s">
        <v>25</v>
      </c>
      <c r="M1663" s="7" t="str">
        <f>VLOOKUP(A1663,Sheet2!$A$2:$R$3432,5,0)</f>
        <v>MH12QZ8266</v>
      </c>
      <c r="N1663" s="5" t="s">
        <v>25</v>
      </c>
      <c r="O1663" s="5" t="s">
        <v>25</v>
      </c>
      <c r="P1663" s="6" t="s">
        <v>25</v>
      </c>
      <c r="Q1663" s="5" t="s">
        <v>25</v>
      </c>
      <c r="R1663" s="5" t="s">
        <v>25</v>
      </c>
      <c r="S1663" s="7" t="str">
        <f>VLOOKUP(A1663,Sheet2!$A$2:$R$3432,18,0)</f>
        <v/>
      </c>
      <c r="T1663" s="7" t="str">
        <f>VLOOKUP(A1663,Sheet2!$A$2:$R$3432,17,0)</f>
        <v/>
      </c>
    </row>
    <row r="1664" ht="15.75" customHeight="1">
      <c r="A1664" s="3" t="s">
        <v>1687</v>
      </c>
      <c r="B1664" s="4" t="str">
        <f>VLOOKUP(A1664,Sheet2!$A$2:$R$3432,2,0)</f>
        <v>2025-04-30 19:27:14</v>
      </c>
      <c r="C1664" s="5" t="s">
        <v>25</v>
      </c>
      <c r="D1664" s="6" t="s">
        <v>25</v>
      </c>
      <c r="E1664" s="7">
        <f>VLOOKUP(A1664,Sheet2!$A$2:$R$3432,4,0)</f>
        <v>9923631630</v>
      </c>
      <c r="F1664" s="7" t="str">
        <f>VLOOKUP(A1664,Sheet2!$A$2:$R$3432,3,0)</f>
        <v>Vikram Sarode</v>
      </c>
      <c r="G1664" s="5" t="s">
        <v>25</v>
      </c>
      <c r="H1664" s="5" t="s">
        <v>25</v>
      </c>
      <c r="I1664" s="5" t="s">
        <v>25</v>
      </c>
      <c r="J1664" s="5" t="s">
        <v>25</v>
      </c>
      <c r="K1664" s="7" t="str">
        <f>VLOOKUP(A1664,Sheet2!$A$2:$R$3432,6,0)</f>
        <v>TVS Wego </v>
      </c>
      <c r="L1664" s="5" t="s">
        <v>25</v>
      </c>
      <c r="M1664" s="7" t="str">
        <f>VLOOKUP(A1664,Sheet2!$A$2:$R$3432,5,0)</f>
        <v>MH14EJ8771</v>
      </c>
      <c r="N1664" s="5" t="s">
        <v>25</v>
      </c>
      <c r="O1664" s="5" t="s">
        <v>25</v>
      </c>
      <c r="P1664" s="6" t="s">
        <v>25</v>
      </c>
      <c r="Q1664" s="5" t="s">
        <v>25</v>
      </c>
      <c r="R1664" s="5" t="s">
        <v>25</v>
      </c>
      <c r="S1664" s="7" t="str">
        <f>VLOOKUP(A1664,Sheet2!$A$2:$R$3432,18,0)</f>
        <v/>
      </c>
      <c r="T1664" s="7" t="str">
        <f>VLOOKUP(A1664,Sheet2!$A$2:$R$3432,17,0)</f>
        <v/>
      </c>
    </row>
    <row r="1665" ht="15.75" customHeight="1">
      <c r="A1665" s="3" t="s">
        <v>1688</v>
      </c>
      <c r="B1665" s="4" t="str">
        <f>VLOOKUP(A1665,Sheet2!$A$2:$R$3432,2,0)</f>
        <v>2025-04-20 18:29:19</v>
      </c>
      <c r="C1665" s="5" t="s">
        <v>25</v>
      </c>
      <c r="D1665" s="6" t="s">
        <v>25</v>
      </c>
      <c r="E1665" s="7">
        <f>VLOOKUP(A1665,Sheet2!$A$2:$R$3432,4,0)</f>
        <v>9822992284</v>
      </c>
      <c r="F1665" s="7" t="str">
        <f>VLOOKUP(A1665,Sheet2!$A$2:$R$3432,3,0)</f>
        <v>Siddhesh</v>
      </c>
      <c r="G1665" s="5" t="s">
        <v>25</v>
      </c>
      <c r="H1665" s="5" t="s">
        <v>25</v>
      </c>
      <c r="I1665" s="5" t="s">
        <v>25</v>
      </c>
      <c r="J1665" s="5" t="s">
        <v>25</v>
      </c>
      <c r="K1665" s="7" t="str">
        <f>VLOOKUP(A1665,Sheet2!$A$2:$R$3432,6,0)</f>
        <v>Honda Activa 6G</v>
      </c>
      <c r="L1665" s="5" t="s">
        <v>25</v>
      </c>
      <c r="M1665" s="7" t="str">
        <f>VLOOKUP(A1665,Sheet2!$A$2:$R$3432,5,0)</f>
        <v>MH14KE7245</v>
      </c>
      <c r="N1665" s="5" t="s">
        <v>25</v>
      </c>
      <c r="O1665" s="5" t="s">
        <v>25</v>
      </c>
      <c r="P1665" s="6" t="s">
        <v>25</v>
      </c>
      <c r="Q1665" s="5" t="s">
        <v>25</v>
      </c>
      <c r="R1665" s="5" t="s">
        <v>25</v>
      </c>
      <c r="S1665" s="5" t="str">
        <f>VLOOKUP(A1665,Sheet2!$A$2:$R$3432,18,0)</f>
        <v>JF91EW2144983</v>
      </c>
      <c r="T1665" s="7" t="str">
        <f>VLOOKUP(A1665,Sheet2!$A$2:$R$3432,17,0)</f>
        <v>ME4JF91ADNW144924</v>
      </c>
    </row>
    <row r="1666" ht="15.75" customHeight="1">
      <c r="A1666" s="3" t="s">
        <v>1689</v>
      </c>
      <c r="B1666" s="4" t="str">
        <f>VLOOKUP(A1666,Sheet2!$A$2:$R$3432,2,0)</f>
        <v>2025-04-20 18:16:32</v>
      </c>
      <c r="C1666" s="5" t="s">
        <v>25</v>
      </c>
      <c r="D1666" s="6" t="s">
        <v>25</v>
      </c>
      <c r="E1666" s="7">
        <f>VLOOKUP(A1666,Sheet2!$A$2:$R$3432,4,0)</f>
        <v>7587488517</v>
      </c>
      <c r="F1666" s="7" t="str">
        <f>VLOOKUP(A1666,Sheet2!$A$2:$R$3432,3,0)</f>
        <v>Suresh Patel</v>
      </c>
      <c r="G1666" s="5" t="s">
        <v>25</v>
      </c>
      <c r="H1666" s="5" t="s">
        <v>25</v>
      </c>
      <c r="I1666" s="5" t="s">
        <v>25</v>
      </c>
      <c r="J1666" s="5" t="s">
        <v>25</v>
      </c>
      <c r="K1666" s="7" t="str">
        <f>VLOOKUP(A1666,Sheet2!$A$2:$R$3432,6,0)</f>
        <v>Bajaj Pulsar 135</v>
      </c>
      <c r="L1666" s="5" t="s">
        <v>25</v>
      </c>
      <c r="M1666" s="7" t="str">
        <f>VLOOKUP(A1666,Sheet2!$A$2:$R$3432,5,0)</f>
        <v>CG12AA0363</v>
      </c>
      <c r="N1666" s="5" t="s">
        <v>25</v>
      </c>
      <c r="O1666" s="5" t="s">
        <v>25</v>
      </c>
      <c r="P1666" s="6" t="s">
        <v>25</v>
      </c>
      <c r="Q1666" s="5" t="s">
        <v>25</v>
      </c>
      <c r="R1666" s="5" t="s">
        <v>25</v>
      </c>
      <c r="S1666" s="7" t="str">
        <f>VLOOKUP(A1666,Sheet2!$A$2:$R$3432,18,0)</f>
        <v/>
      </c>
      <c r="T1666" s="7" t="str">
        <f>VLOOKUP(A1666,Sheet2!$A$2:$R$3432,17,0)</f>
        <v/>
      </c>
    </row>
    <row r="1667" ht="15.75" customHeight="1">
      <c r="A1667" s="3" t="s">
        <v>1690</v>
      </c>
      <c r="B1667" s="4" t="str">
        <f>VLOOKUP(A1667,Sheet2!$A$2:$R$3432,2,0)</f>
        <v>2025-04-20 18:14:57</v>
      </c>
      <c r="C1667" s="5" t="s">
        <v>25</v>
      </c>
      <c r="D1667" s="6" t="s">
        <v>25</v>
      </c>
      <c r="E1667" s="7">
        <f>VLOOKUP(A1667,Sheet2!$A$2:$R$3432,4,0)</f>
        <v>9561516136</v>
      </c>
      <c r="F1667" s="7" t="str">
        <f>VLOOKUP(A1667,Sheet2!$A$2:$R$3432,3,0)</f>
        <v>Ajinkya Kshirsagar</v>
      </c>
      <c r="G1667" s="5" t="s">
        <v>25</v>
      </c>
      <c r="H1667" s="5" t="s">
        <v>25</v>
      </c>
      <c r="I1667" s="5" t="s">
        <v>25</v>
      </c>
      <c r="J1667" s="5" t="s">
        <v>25</v>
      </c>
      <c r="K1667" s="7" t="str">
        <f>VLOOKUP(A1667,Sheet2!$A$2:$R$3432,6,0)</f>
        <v>Yamaha FZ 25</v>
      </c>
      <c r="L1667" s="5" t="s">
        <v>25</v>
      </c>
      <c r="M1667" s="7" t="str">
        <f>VLOOKUP(A1667,Sheet2!$A$2:$R$3432,5,0)</f>
        <v>MH12RE1314</v>
      </c>
      <c r="N1667" s="5" t="s">
        <v>25</v>
      </c>
      <c r="O1667" s="5" t="s">
        <v>25</v>
      </c>
      <c r="P1667" s="6" t="s">
        <v>25</v>
      </c>
      <c r="Q1667" s="5" t="s">
        <v>25</v>
      </c>
      <c r="R1667" s="5" t="s">
        <v>25</v>
      </c>
      <c r="S1667" s="5" t="str">
        <f>VLOOKUP(A1667,Sheet2!$A$2:$R$3432,18,0)</f>
        <v>G3H7E0078424</v>
      </c>
      <c r="T1667" s="7" t="str">
        <f>VLOOKUP(A1667,Sheet2!$A$2:$R$3432,17,0)</f>
        <v>ME1RG421BJ0049160</v>
      </c>
    </row>
    <row r="1668" ht="15.75" customHeight="1">
      <c r="A1668" s="3" t="s">
        <v>1691</v>
      </c>
      <c r="B1668" s="4" t="str">
        <f>VLOOKUP(A1668,Sheet2!$A$2:$R$3432,2,0)</f>
        <v>2025-04-20 18:15:33</v>
      </c>
      <c r="C1668" s="5" t="s">
        <v>25</v>
      </c>
      <c r="D1668" s="6" t="s">
        <v>25</v>
      </c>
      <c r="E1668" s="7">
        <f>VLOOKUP(A1668,Sheet2!$A$2:$R$3432,4,0)</f>
        <v>9619300520</v>
      </c>
      <c r="F1668" s="7" t="str">
        <f>VLOOKUP(A1668,Sheet2!$A$2:$R$3432,3,0)</f>
        <v>Mudit Upamanyu</v>
      </c>
      <c r="G1668" s="5" t="s">
        <v>25</v>
      </c>
      <c r="H1668" s="5" t="s">
        <v>25</v>
      </c>
      <c r="I1668" s="5" t="s">
        <v>25</v>
      </c>
      <c r="J1668" s="5" t="s">
        <v>25</v>
      </c>
      <c r="K1668" s="7" t="str">
        <f>VLOOKUP(A1668,Sheet2!$A$2:$R$3432,6,0)</f>
        <v>LML Vespa </v>
      </c>
      <c r="L1668" s="5" t="s">
        <v>25</v>
      </c>
      <c r="M1668" s="7" t="str">
        <f>VLOOKUP(A1668,Sheet2!$A$2:$R$3432,5,0)</f>
        <v>MH43BM9748</v>
      </c>
      <c r="N1668" s="5" t="s">
        <v>25</v>
      </c>
      <c r="O1668" s="5" t="s">
        <v>25</v>
      </c>
      <c r="P1668" s="6" t="s">
        <v>25</v>
      </c>
      <c r="Q1668" s="5" t="s">
        <v>25</v>
      </c>
      <c r="R1668" s="5" t="s">
        <v>25</v>
      </c>
      <c r="S1668" s="5" t="str">
        <f>VLOOKUP(A1668,Sheet2!$A$2:$R$3432,18,0)</f>
        <v>MH49M31734119</v>
      </c>
      <c r="T1668" s="7" t="str">
        <f>VLOOKUP(A1668,Sheet2!$A$2:$R$3432,17,0)</f>
        <v>MET0000AAWE087550</v>
      </c>
    </row>
    <row r="1669" ht="15.75" customHeight="1">
      <c r="A1669" s="3" t="s">
        <v>1692</v>
      </c>
      <c r="B1669" s="4" t="str">
        <f>VLOOKUP(A1669,Sheet2!$A$2:$R$3432,2,0)</f>
        <v>2025-04-20 18:28:48</v>
      </c>
      <c r="C1669" s="5" t="s">
        <v>25</v>
      </c>
      <c r="D1669" s="6" t="s">
        <v>25</v>
      </c>
      <c r="E1669" s="7">
        <f>VLOOKUP(A1669,Sheet2!$A$2:$R$3432,4,0)</f>
        <v>8983055137</v>
      </c>
      <c r="F1669" s="7" t="str">
        <f>VLOOKUP(A1669,Sheet2!$A$2:$R$3432,3,0)</f>
        <v>SURVE</v>
      </c>
      <c r="G1669" s="5" t="s">
        <v>25</v>
      </c>
      <c r="H1669" s="5" t="s">
        <v>25</v>
      </c>
      <c r="I1669" s="5" t="s">
        <v>25</v>
      </c>
      <c r="J1669" s="5" t="s">
        <v>25</v>
      </c>
      <c r="K1669" s="7" t="str">
        <f>VLOOKUP(A1669,Sheet2!$A$2:$R$3432,6,0)</f>
        <v>Honda Activa 125</v>
      </c>
      <c r="L1669" s="5" t="s">
        <v>25</v>
      </c>
      <c r="M1669" s="7" t="str">
        <f>VLOOKUP(A1669,Sheet2!$A$2:$R$3432,5,0)</f>
        <v>MH14FJ0768</v>
      </c>
      <c r="N1669" s="5" t="s">
        <v>25</v>
      </c>
      <c r="O1669" s="5" t="s">
        <v>25</v>
      </c>
      <c r="P1669" s="6" t="s">
        <v>25</v>
      </c>
      <c r="Q1669" s="5" t="s">
        <v>25</v>
      </c>
      <c r="R1669" s="5" t="s">
        <v>25</v>
      </c>
      <c r="S1669" s="5" t="str">
        <f>VLOOKUP(A1669,Sheet2!$A$2:$R$3432,18,0)</f>
        <v>JG49E81105576</v>
      </c>
      <c r="T1669" s="7" t="str">
        <f>VLOOKUP(A1669,Sheet2!$A$2:$R$3432,17,0)</f>
        <v>MEJ6493LG8091338</v>
      </c>
    </row>
    <row r="1670" ht="15.75" customHeight="1">
      <c r="A1670" s="3" t="s">
        <v>1693</v>
      </c>
      <c r="B1670" s="4" t="str">
        <f>VLOOKUP(A1670,Sheet2!$A$2:$R$3432,2,0)</f>
        <v>2025-04-20 18:30:02</v>
      </c>
      <c r="C1670" s="5" t="s">
        <v>25</v>
      </c>
      <c r="D1670" s="6" t="s">
        <v>25</v>
      </c>
      <c r="E1670" s="7">
        <f>VLOOKUP(A1670,Sheet2!$A$2:$R$3432,4,0)</f>
        <v>8237582429</v>
      </c>
      <c r="F1670" s="7" t="str">
        <f>VLOOKUP(A1670,Sheet2!$A$2:$R$3432,3,0)</f>
        <v>Nishant </v>
      </c>
      <c r="G1670" s="5" t="s">
        <v>25</v>
      </c>
      <c r="H1670" s="5" t="s">
        <v>25</v>
      </c>
      <c r="I1670" s="5" t="s">
        <v>25</v>
      </c>
      <c r="J1670" s="5" t="s">
        <v>25</v>
      </c>
      <c r="K1670" s="7" t="str">
        <f>VLOOKUP(A1670,Sheet2!$A$2:$R$3432,6,0)</f>
        <v>TVS Apache RTR 200 4V</v>
      </c>
      <c r="L1670" s="5" t="s">
        <v>25</v>
      </c>
      <c r="M1670" s="7" t="str">
        <f>VLOOKUP(A1670,Sheet2!$A$2:$R$3432,5,0)</f>
        <v>MH12RD3931</v>
      </c>
      <c r="N1670" s="5" t="s">
        <v>25</v>
      </c>
      <c r="O1670" s="5" t="s">
        <v>25</v>
      </c>
      <c r="P1670" s="6" t="s">
        <v>25</v>
      </c>
      <c r="Q1670" s="5" t="s">
        <v>25</v>
      </c>
      <c r="R1670" s="5" t="s">
        <v>25</v>
      </c>
      <c r="S1670" s="5" t="str">
        <f>VLOOKUP(A1670,Sheet2!$A$2:$R$3432,18,0)</f>
        <v>BR1LJ22A0365</v>
      </c>
      <c r="T1670" s="7" t="str">
        <f>VLOOKUP(A1670,Sheet2!$A$2:$R$3432,17,0)</f>
        <v>MD6378R11J22A0477</v>
      </c>
    </row>
    <row r="1671" ht="15.75" customHeight="1">
      <c r="A1671" s="3" t="s">
        <v>1694</v>
      </c>
      <c r="B1671" s="4" t="str">
        <f>VLOOKUP(A1671,Sheet2!$A$2:$R$3432,2,0)</f>
        <v>2025-04-20 18:30:25</v>
      </c>
      <c r="C1671" s="5" t="s">
        <v>25</v>
      </c>
      <c r="D1671" s="6" t="s">
        <v>25</v>
      </c>
      <c r="E1671" s="7">
        <f>VLOOKUP(A1671,Sheet2!$A$2:$R$3432,4,0)</f>
        <v>9850801538</v>
      </c>
      <c r="F1671" s="7" t="str">
        <f>VLOOKUP(A1671,Sheet2!$A$2:$R$3432,3,0)</f>
        <v>VIVEK</v>
      </c>
      <c r="G1671" s="5" t="s">
        <v>25</v>
      </c>
      <c r="H1671" s="5" t="s">
        <v>25</v>
      </c>
      <c r="I1671" s="5" t="s">
        <v>25</v>
      </c>
      <c r="J1671" s="5" t="s">
        <v>25</v>
      </c>
      <c r="K1671" s="7" t="str">
        <f>VLOOKUP(A1671,Sheet2!$A$2:$R$3432,6,0)</f>
        <v>Hero Splendor Plus</v>
      </c>
      <c r="L1671" s="5" t="s">
        <v>25</v>
      </c>
      <c r="M1671" s="7" t="str">
        <f>VLOOKUP(A1671,Sheet2!$A$2:$R$3432,5,0)</f>
        <v>MH14BV0675</v>
      </c>
      <c r="N1671" s="5" t="s">
        <v>25</v>
      </c>
      <c r="O1671" s="5" t="s">
        <v>25</v>
      </c>
      <c r="P1671" s="6" t="s">
        <v>25</v>
      </c>
      <c r="Q1671" s="5" t="s">
        <v>25</v>
      </c>
      <c r="R1671" s="5" t="s">
        <v>25</v>
      </c>
      <c r="S1671" s="5" t="str">
        <f>VLOOKUP(A1671,Sheet2!$A$2:$R$3432,18,0)</f>
        <v>HA10EA4HE8973</v>
      </c>
      <c r="T1671" s="7" t="str">
        <f>VLOOKUP(A1671,Sheet2!$A$2:$R$3432,17,0)</f>
        <v>MBLHA0EJ9HE41736</v>
      </c>
    </row>
    <row r="1672" ht="15.75" customHeight="1">
      <c r="A1672" s="3" t="s">
        <v>1695</v>
      </c>
      <c r="B1672" s="4" t="str">
        <f>VLOOKUP(A1672,Sheet2!$A$2:$R$3432,2,0)</f>
        <v>2025-04-20 18:51:55</v>
      </c>
      <c r="C1672" s="5" t="s">
        <v>25</v>
      </c>
      <c r="D1672" s="6" t="s">
        <v>25</v>
      </c>
      <c r="E1672" s="7">
        <f>VLOOKUP(A1672,Sheet2!$A$2:$R$3432,4,0)</f>
        <v>9739081041</v>
      </c>
      <c r="F1672" s="7" t="str">
        <f>VLOOKUP(A1672,Sheet2!$A$2:$R$3432,3,0)</f>
        <v>ABHISHEK KALSEKAR</v>
      </c>
      <c r="G1672" s="5" t="s">
        <v>25</v>
      </c>
      <c r="H1672" s="5" t="s">
        <v>25</v>
      </c>
      <c r="I1672" s="5" t="s">
        <v>25</v>
      </c>
      <c r="J1672" s="5" t="s">
        <v>25</v>
      </c>
      <c r="K1672" s="7" t="str">
        <f>VLOOKUP(A1672,Sheet2!$A$2:$R$3432,6,0)</f>
        <v>Hero Passion Pro</v>
      </c>
      <c r="L1672" s="5" t="s">
        <v>25</v>
      </c>
      <c r="M1672" s="7" t="str">
        <f>VLOOKUP(A1672,Sheet2!$A$2:$R$3432,5,0)</f>
        <v>MH01AY3902</v>
      </c>
      <c r="N1672" s="5" t="s">
        <v>25</v>
      </c>
      <c r="O1672" s="5" t="s">
        <v>25</v>
      </c>
      <c r="P1672" s="6" t="s">
        <v>25</v>
      </c>
      <c r="Q1672" s="5" t="s">
        <v>25</v>
      </c>
      <c r="R1672" s="5" t="s">
        <v>25</v>
      </c>
      <c r="S1672" s="5" t="str">
        <f>VLOOKUP(A1672,Sheet2!$A$2:$R$3432,18,0)</f>
        <v>HA10EDBGF24113</v>
      </c>
      <c r="T1672" s="7" t="str">
        <f>VLOOKUP(A1672,Sheet2!$A$2:$R$3432,17,0)</f>
        <v>MBLHA10EWBG24113</v>
      </c>
    </row>
    <row r="1673" ht="15.75" customHeight="1">
      <c r="A1673" s="3" t="s">
        <v>1696</v>
      </c>
      <c r="B1673" s="4" t="str">
        <f>VLOOKUP(A1673,Sheet2!$A$2:$R$3432,2,0)</f>
        <v>2025-04-20 18:54:14</v>
      </c>
      <c r="C1673" s="5" t="s">
        <v>25</v>
      </c>
      <c r="D1673" s="6" t="s">
        <v>25</v>
      </c>
      <c r="E1673" s="7">
        <f>VLOOKUP(A1673,Sheet2!$A$2:$R$3432,4,0)</f>
        <v>9503243996</v>
      </c>
      <c r="F1673" s="7" t="str">
        <f>VLOOKUP(A1673,Sheet2!$A$2:$R$3432,3,0)</f>
        <v>Amol Chavan</v>
      </c>
      <c r="G1673" s="5" t="s">
        <v>25</v>
      </c>
      <c r="H1673" s="5" t="s">
        <v>25</v>
      </c>
      <c r="I1673" s="5" t="s">
        <v>25</v>
      </c>
      <c r="J1673" s="5" t="s">
        <v>25</v>
      </c>
      <c r="K1673" s="7" t="str">
        <f>VLOOKUP(A1673,Sheet2!$A$2:$R$3432,6,0)</f>
        <v>Honda Activa 4G</v>
      </c>
      <c r="L1673" s="5" t="s">
        <v>25</v>
      </c>
      <c r="M1673" s="7" t="str">
        <f>VLOOKUP(A1673,Sheet2!$A$2:$R$3432,5,0)</f>
        <v>MH14GL7258</v>
      </c>
      <c r="N1673" s="5" t="s">
        <v>25</v>
      </c>
      <c r="O1673" s="5" t="s">
        <v>25</v>
      </c>
      <c r="P1673" s="6" t="s">
        <v>25</v>
      </c>
      <c r="Q1673" s="5" t="s">
        <v>25</v>
      </c>
      <c r="R1673" s="5" t="s">
        <v>25</v>
      </c>
      <c r="S1673" s="7" t="str">
        <f>VLOOKUP(A1673,Sheet2!$A$2:$R$3432,18,0)</f>
        <v/>
      </c>
      <c r="T1673" s="7" t="str">
        <f>VLOOKUP(A1673,Sheet2!$A$2:$R$3432,17,0)</f>
        <v/>
      </c>
    </row>
    <row r="1674" ht="15.75" customHeight="1">
      <c r="A1674" s="3" t="s">
        <v>1697</v>
      </c>
      <c r="B1674" s="4" t="str">
        <f>VLOOKUP(A1674,Sheet2!$A$2:$R$3432,2,0)</f>
        <v>2025-04-20 19:12:48</v>
      </c>
      <c r="C1674" s="5" t="s">
        <v>25</v>
      </c>
      <c r="D1674" s="6" t="s">
        <v>25</v>
      </c>
      <c r="E1674" s="7">
        <f>VLOOKUP(A1674,Sheet2!$A$2:$R$3432,4,0)</f>
        <v>9175805081</v>
      </c>
      <c r="F1674" s="7" t="str">
        <f>VLOOKUP(A1674,Sheet2!$A$2:$R$3432,3,0)</f>
        <v>Rajesh Shikhare</v>
      </c>
      <c r="G1674" s="5" t="s">
        <v>25</v>
      </c>
      <c r="H1674" s="5" t="s">
        <v>25</v>
      </c>
      <c r="I1674" s="5" t="s">
        <v>25</v>
      </c>
      <c r="J1674" s="5" t="s">
        <v>25</v>
      </c>
      <c r="K1674" s="7" t="str">
        <f>VLOOKUP(A1674,Sheet2!$A$2:$R$3432,6,0)</f>
        <v>TVS Apache RTR 160</v>
      </c>
      <c r="L1674" s="5" t="s">
        <v>25</v>
      </c>
      <c r="M1674" s="7" t="str">
        <f>VLOOKUP(A1674,Sheet2!$A$2:$R$3432,5,0)</f>
        <v>MH14HY2444</v>
      </c>
      <c r="N1674" s="5" t="s">
        <v>25</v>
      </c>
      <c r="O1674" s="5" t="s">
        <v>25</v>
      </c>
      <c r="P1674" s="6" t="s">
        <v>25</v>
      </c>
      <c r="Q1674" s="5" t="s">
        <v>25</v>
      </c>
      <c r="R1674" s="5" t="s">
        <v>25</v>
      </c>
      <c r="S1674" s="5" t="str">
        <f>VLOOKUP(A1674,Sheet2!$A$2:$R$3432,18,0)</f>
        <v>CE71K2701621</v>
      </c>
      <c r="T1674" s="7" t="str">
        <f>VLOOKUP(A1674,Sheet2!$A$2:$R$3432,17,0)</f>
        <v>MD637CE79K2L6177</v>
      </c>
    </row>
    <row r="1675" ht="15.75" customHeight="1">
      <c r="A1675" s="3" t="s">
        <v>1698</v>
      </c>
      <c r="B1675" s="4" t="str">
        <f>VLOOKUP(A1675,Sheet2!$A$2:$R$3432,2,0)</f>
        <v>2025-04-20 19:42:43</v>
      </c>
      <c r="C1675" s="5" t="s">
        <v>25</v>
      </c>
      <c r="D1675" s="6" t="s">
        <v>25</v>
      </c>
      <c r="E1675" s="7">
        <f>VLOOKUP(A1675,Sheet2!$A$2:$R$3432,4,0)</f>
        <v>9890276724</v>
      </c>
      <c r="F1675" s="7" t="str">
        <f>VLOOKUP(A1675,Sheet2!$A$2:$R$3432,3,0)</f>
        <v>Manoj Nair</v>
      </c>
      <c r="G1675" s="5" t="s">
        <v>25</v>
      </c>
      <c r="H1675" s="5" t="s">
        <v>25</v>
      </c>
      <c r="I1675" s="5" t="s">
        <v>25</v>
      </c>
      <c r="J1675" s="5" t="s">
        <v>25</v>
      </c>
      <c r="K1675" s="7" t="str">
        <f>VLOOKUP(A1675,Sheet2!$A$2:$R$3432,6,0)</f>
        <v>Honda Activa HET</v>
      </c>
      <c r="L1675" s="5" t="s">
        <v>25</v>
      </c>
      <c r="M1675" s="7" t="str">
        <f>VLOOKUP(A1675,Sheet2!$A$2:$R$3432,5,0)</f>
        <v>MH14EE5895</v>
      </c>
      <c r="N1675" s="5" t="s">
        <v>25</v>
      </c>
      <c r="O1675" s="5" t="s">
        <v>25</v>
      </c>
      <c r="P1675" s="6" t="s">
        <v>25</v>
      </c>
      <c r="Q1675" s="5" t="s">
        <v>25</v>
      </c>
      <c r="R1675" s="5" t="s">
        <v>25</v>
      </c>
      <c r="S1675" s="5" t="str">
        <f>VLOOKUP(A1675,Sheet2!$A$2:$R$3432,18,0)</f>
        <v>JF50ET0161860</v>
      </c>
      <c r="T1675" s="7" t="str">
        <f>VLOOKUP(A1675,Sheet2!$A$2:$R$3432,17,0)</f>
        <v>ME4JF501MDT161851</v>
      </c>
    </row>
    <row r="1676" ht="15.75" customHeight="1">
      <c r="A1676" s="3" t="s">
        <v>1699</v>
      </c>
      <c r="B1676" s="4" t="str">
        <f>VLOOKUP(A1676,Sheet2!$A$2:$R$3432,2,0)</f>
        <v>2025-04-20 19:56:58</v>
      </c>
      <c r="C1676" s="5" t="s">
        <v>25</v>
      </c>
      <c r="D1676" s="6" t="s">
        <v>25</v>
      </c>
      <c r="E1676" s="7">
        <f>VLOOKUP(A1676,Sheet2!$A$2:$R$3432,4,0)</f>
        <v>9881634714</v>
      </c>
      <c r="F1676" s="7" t="str">
        <f>VLOOKUP(A1676,Sheet2!$A$2:$R$3432,3,0)</f>
        <v>Parshuram Sable</v>
      </c>
      <c r="G1676" s="5" t="s">
        <v>25</v>
      </c>
      <c r="H1676" s="5" t="s">
        <v>25</v>
      </c>
      <c r="I1676" s="5" t="s">
        <v>25</v>
      </c>
      <c r="J1676" s="5" t="s">
        <v>25</v>
      </c>
      <c r="K1676" s="7" t="str">
        <f>VLOOKUP(A1676,Sheet2!$A$2:$R$3432,6,0)</f>
        <v>Honda Twister </v>
      </c>
      <c r="L1676" s="5" t="s">
        <v>25</v>
      </c>
      <c r="M1676" s="7" t="str">
        <f>VLOOKUP(A1676,Sheet2!$A$2:$R$3432,5,0)</f>
        <v>MH12GW7642</v>
      </c>
      <c r="N1676" s="5" t="s">
        <v>25</v>
      </c>
      <c r="O1676" s="5" t="s">
        <v>25</v>
      </c>
      <c r="P1676" s="6" t="s">
        <v>25</v>
      </c>
      <c r="Q1676" s="5" t="s">
        <v>25</v>
      </c>
      <c r="R1676" s="5" t="s">
        <v>25</v>
      </c>
      <c r="S1676" s="5" t="str">
        <f>VLOOKUP(A1676,Sheet2!$A$2:$R$3432,18,0)</f>
        <v>JC47F0154763</v>
      </c>
      <c r="T1676" s="7" t="str">
        <f>VLOOKUP(A1676,Sheet2!$A$2:$R$3432,17,0)</f>
        <v>ME4JC472AB8099329</v>
      </c>
    </row>
    <row r="1677" ht="15.75" customHeight="1">
      <c r="A1677" s="3" t="s">
        <v>1700</v>
      </c>
      <c r="B1677" s="4" t="str">
        <f>VLOOKUP(A1677,Sheet2!$A$2:$R$3432,2,0)</f>
        <v>2025-04-20 19:59:33</v>
      </c>
      <c r="C1677" s="5" t="s">
        <v>25</v>
      </c>
      <c r="D1677" s="6" t="s">
        <v>25</v>
      </c>
      <c r="E1677" s="7">
        <f>VLOOKUP(A1677,Sheet2!$A$2:$R$3432,4,0)</f>
        <v>9762777049</v>
      </c>
      <c r="F1677" s="7" t="str">
        <f>VLOOKUP(A1677,Sheet2!$A$2:$R$3432,3,0)</f>
        <v>Swapnil Patil</v>
      </c>
      <c r="G1677" s="5" t="s">
        <v>25</v>
      </c>
      <c r="H1677" s="5" t="s">
        <v>25</v>
      </c>
      <c r="I1677" s="5" t="s">
        <v>25</v>
      </c>
      <c r="J1677" s="5" t="s">
        <v>25</v>
      </c>
      <c r="K1677" s="7" t="str">
        <f>VLOOKUP(A1677,Sheet2!$A$2:$R$3432,6,0)</f>
        <v>Yamaha FZ S</v>
      </c>
      <c r="L1677" s="5" t="s">
        <v>25</v>
      </c>
      <c r="M1677" s="7" t="str">
        <f>VLOOKUP(A1677,Sheet2!$A$2:$R$3432,5,0)</f>
        <v>MH04KC5951</v>
      </c>
      <c r="N1677" s="5" t="s">
        <v>25</v>
      </c>
      <c r="O1677" s="5" t="s">
        <v>25</v>
      </c>
      <c r="P1677" s="6" t="s">
        <v>25</v>
      </c>
      <c r="Q1677" s="5" t="s">
        <v>25</v>
      </c>
      <c r="R1677" s="5" t="s">
        <v>25</v>
      </c>
      <c r="S1677" s="7" t="str">
        <f>VLOOKUP(A1677,Sheet2!$A$2:$R$3432,18,0)</f>
        <v/>
      </c>
      <c r="T1677" s="7" t="str">
        <f>VLOOKUP(A1677,Sheet2!$A$2:$R$3432,17,0)</f>
        <v/>
      </c>
    </row>
    <row r="1678" ht="15.75" customHeight="1">
      <c r="A1678" s="3" t="s">
        <v>1701</v>
      </c>
      <c r="B1678" s="4" t="str">
        <f>VLOOKUP(A1678,Sheet2!$A$2:$R$3432,2,0)</f>
        <v>2025-04-20 20:02:11</v>
      </c>
      <c r="C1678" s="5" t="s">
        <v>25</v>
      </c>
      <c r="D1678" s="6" t="s">
        <v>25</v>
      </c>
      <c r="E1678" s="7">
        <f>VLOOKUP(A1678,Sheet2!$A$2:$R$3432,4,0)</f>
        <v>9028366926</v>
      </c>
      <c r="F1678" s="7" t="str">
        <f>VLOOKUP(A1678,Sheet2!$A$2:$R$3432,3,0)</f>
        <v>Ketan Yelnoorkar</v>
      </c>
      <c r="G1678" s="5" t="s">
        <v>25</v>
      </c>
      <c r="H1678" s="5" t="s">
        <v>25</v>
      </c>
      <c r="I1678" s="5" t="s">
        <v>25</v>
      </c>
      <c r="J1678" s="5" t="s">
        <v>25</v>
      </c>
      <c r="K1678" s="7" t="str">
        <f>VLOOKUP(A1678,Sheet2!$A$2:$R$3432,6,0)</f>
        <v>Yamaha FZ S</v>
      </c>
      <c r="L1678" s="5" t="s">
        <v>25</v>
      </c>
      <c r="M1678" s="7" t="str">
        <f>VLOOKUP(A1678,Sheet2!$A$2:$R$3432,5,0)</f>
        <v>MH20CM4633</v>
      </c>
      <c r="N1678" s="5" t="s">
        <v>25</v>
      </c>
      <c r="O1678" s="5" t="s">
        <v>25</v>
      </c>
      <c r="P1678" s="6" t="s">
        <v>25</v>
      </c>
      <c r="Q1678" s="5" t="s">
        <v>25</v>
      </c>
      <c r="R1678" s="5" t="s">
        <v>25</v>
      </c>
      <c r="S1678" s="7" t="str">
        <f>VLOOKUP(A1678,Sheet2!$A$2:$R$3432,18,0)</f>
        <v/>
      </c>
      <c r="T1678" s="7" t="str">
        <f>VLOOKUP(A1678,Sheet2!$A$2:$R$3432,17,0)</f>
        <v>ME121C0FAC2002589</v>
      </c>
    </row>
    <row r="1679" ht="15.75" customHeight="1">
      <c r="A1679" s="3" t="s">
        <v>1702</v>
      </c>
      <c r="B1679" s="4" t="str">
        <f>VLOOKUP(A1679,Sheet2!$A$2:$R$3432,2,0)</f>
        <v>2025-04-20 20:02:57</v>
      </c>
      <c r="C1679" s="5" t="s">
        <v>25</v>
      </c>
      <c r="D1679" s="6" t="s">
        <v>25</v>
      </c>
      <c r="E1679" s="7">
        <f>VLOOKUP(A1679,Sheet2!$A$2:$R$3432,4,0)</f>
        <v>9028192601</v>
      </c>
      <c r="F1679" s="7" t="str">
        <f>VLOOKUP(A1679,Sheet2!$A$2:$R$3432,3,0)</f>
        <v>Deepak</v>
      </c>
      <c r="G1679" s="5" t="s">
        <v>25</v>
      </c>
      <c r="H1679" s="5" t="s">
        <v>25</v>
      </c>
      <c r="I1679" s="5" t="s">
        <v>25</v>
      </c>
      <c r="J1679" s="5" t="s">
        <v>25</v>
      </c>
      <c r="K1679" s="7" t="str">
        <f>VLOOKUP(A1679,Sheet2!$A$2:$R$3432,6,0)</f>
        <v>Yamaha FZ V3</v>
      </c>
      <c r="L1679" s="5" t="s">
        <v>25</v>
      </c>
      <c r="M1679" s="7" t="str">
        <f>VLOOKUP(A1679,Sheet2!$A$2:$R$3432,5,0)</f>
        <v>MH27BL8718</v>
      </c>
      <c r="N1679" s="5" t="s">
        <v>25</v>
      </c>
      <c r="O1679" s="5" t="s">
        <v>25</v>
      </c>
      <c r="P1679" s="6" t="s">
        <v>25</v>
      </c>
      <c r="Q1679" s="5" t="s">
        <v>25</v>
      </c>
      <c r="R1679" s="5" t="s">
        <v>25</v>
      </c>
      <c r="S1679" s="7" t="str">
        <f>VLOOKUP(A1679,Sheet2!$A$2:$R$3432,18,0)</f>
        <v/>
      </c>
      <c r="T1679" s="7" t="str">
        <f>VLOOKUP(A1679,Sheet2!$A$2:$R$3432,17,0)</f>
        <v>ME1RG072AF0136089</v>
      </c>
    </row>
    <row r="1680" ht="15.75" customHeight="1">
      <c r="A1680" s="3" t="s">
        <v>1703</v>
      </c>
      <c r="B1680" s="4" t="str">
        <f>VLOOKUP(A1680,Sheet2!$A$2:$R$3432,2,0)</f>
        <v>2024-09-01 17:19:28</v>
      </c>
      <c r="C1680" s="5" t="s">
        <v>25</v>
      </c>
      <c r="D1680" s="6" t="s">
        <v>25</v>
      </c>
      <c r="E1680" s="7">
        <f>VLOOKUP(A1680,Sheet2!$A$2:$R$3432,4,0)</f>
        <v>7038982545</v>
      </c>
      <c r="F1680" s="7" t="str">
        <f>VLOOKUP(A1680,Sheet2!$A$2:$R$3432,3,0)</f>
        <v>Harshad Rathod</v>
      </c>
      <c r="G1680" s="5" t="s">
        <v>25</v>
      </c>
      <c r="H1680" s="5" t="s">
        <v>25</v>
      </c>
      <c r="I1680" s="5" t="s">
        <v>25</v>
      </c>
      <c r="J1680" s="5" t="s">
        <v>25</v>
      </c>
      <c r="K1680" s="7" t="str">
        <f>VLOOKUP(A1680,Sheet2!$A$2:$R$3432,6,0)</f>
        <v>Yamaha FZS V3.0</v>
      </c>
      <c r="L1680" s="5" t="s">
        <v>25</v>
      </c>
      <c r="M1680" s="7" t="str">
        <f>VLOOKUP(A1680,Sheet2!$A$2:$R$3432,5,0)</f>
        <v>MH12FL9669</v>
      </c>
      <c r="N1680" s="5" t="s">
        <v>25</v>
      </c>
      <c r="O1680" s="5" t="s">
        <v>25</v>
      </c>
      <c r="P1680" s="6" t="s">
        <v>25</v>
      </c>
      <c r="Q1680" s="5" t="s">
        <v>25</v>
      </c>
      <c r="R1680" s="5" t="s">
        <v>25</v>
      </c>
      <c r="S1680" s="5" t="str">
        <f>VLOOKUP(A1680,Sheet2!$A$2:$R$3432,18,0)</f>
        <v>21C2014164</v>
      </c>
      <c r="T1680" s="7" t="str">
        <f>VLOOKUP(A1680,Sheet2!$A$2:$R$3432,17,0)</f>
        <v>ME121C02492014253</v>
      </c>
    </row>
    <row r="1681" ht="15.75" customHeight="1">
      <c r="A1681" s="3" t="s">
        <v>1704</v>
      </c>
      <c r="B1681" s="4" t="str">
        <f>VLOOKUP(A1681,Sheet2!$A$2:$R$3432,2,0)</f>
        <v>2024-09-01 18:04:09</v>
      </c>
      <c r="C1681" s="5" t="s">
        <v>25</v>
      </c>
      <c r="D1681" s="6" t="s">
        <v>25</v>
      </c>
      <c r="E1681" s="7">
        <f>VLOOKUP(A1681,Sheet2!$A$2:$R$3432,4,0)</f>
        <v>9822031110</v>
      </c>
      <c r="F1681" s="7" t="str">
        <f>VLOOKUP(A1681,Sheet2!$A$2:$R$3432,3,0)</f>
        <v>AJAY BATHE</v>
      </c>
      <c r="G1681" s="5" t="s">
        <v>25</v>
      </c>
      <c r="H1681" s="5" t="s">
        <v>25</v>
      </c>
      <c r="I1681" s="5" t="s">
        <v>25</v>
      </c>
      <c r="J1681" s="5" t="s">
        <v>25</v>
      </c>
      <c r="K1681" s="7" t="str">
        <f>VLOOKUP(A1681,Sheet2!$A$2:$R$3432,6,0)</f>
        <v>Honda Activa 125</v>
      </c>
      <c r="L1681" s="5" t="s">
        <v>25</v>
      </c>
      <c r="M1681" s="7" t="str">
        <f>VLOOKUP(A1681,Sheet2!$A$2:$R$3432,5,0)</f>
        <v>MH14HH1103</v>
      </c>
      <c r="N1681" s="5" t="s">
        <v>25</v>
      </c>
      <c r="O1681" s="5" t="s">
        <v>25</v>
      </c>
      <c r="P1681" s="6" t="s">
        <v>25</v>
      </c>
      <c r="Q1681" s="5" t="s">
        <v>25</v>
      </c>
      <c r="R1681" s="5" t="s">
        <v>25</v>
      </c>
      <c r="S1681" s="7" t="str">
        <f>VLOOKUP(A1681,Sheet2!$A$2:$R$3432,18,0)</f>
        <v/>
      </c>
      <c r="T1681" s="7" t="str">
        <f>VLOOKUP(A1681,Sheet2!$A$2:$R$3432,17,0)</f>
        <v/>
      </c>
    </row>
    <row r="1682" ht="15.75" customHeight="1">
      <c r="A1682" s="3" t="s">
        <v>1705</v>
      </c>
      <c r="B1682" s="4" t="str">
        <f>VLOOKUP(A1682,Sheet2!$A$2:$R$3432,2,0)</f>
        <v>2024-10-03 12:21:34</v>
      </c>
      <c r="C1682" s="5" t="s">
        <v>25</v>
      </c>
      <c r="D1682" s="6" t="s">
        <v>25</v>
      </c>
      <c r="E1682" s="7">
        <f>VLOOKUP(A1682,Sheet2!$A$2:$R$3432,4,0)</f>
        <v>9404963646</v>
      </c>
      <c r="F1682" s="7" t="str">
        <f>VLOOKUP(A1682,Sheet2!$A$2:$R$3432,3,0)</f>
        <v>Amol Dhawale</v>
      </c>
      <c r="G1682" s="5" t="s">
        <v>25</v>
      </c>
      <c r="H1682" s="5" t="s">
        <v>25</v>
      </c>
      <c r="I1682" s="5" t="s">
        <v>25</v>
      </c>
      <c r="J1682" s="5" t="s">
        <v>25</v>
      </c>
      <c r="K1682" s="7" t="str">
        <f>VLOOKUP(A1682,Sheet2!$A$2:$R$3432,6,0)</f>
        <v>TVS Jupiter </v>
      </c>
      <c r="L1682" s="5" t="s">
        <v>25</v>
      </c>
      <c r="M1682" s="7" t="str">
        <f>VLOOKUP(A1682,Sheet2!$A$2:$R$3432,5,0)</f>
        <v>MH14GL2549</v>
      </c>
      <c r="N1682" s="5" t="s">
        <v>25</v>
      </c>
      <c r="O1682" s="5" t="s">
        <v>25</v>
      </c>
      <c r="P1682" s="6" t="s">
        <v>25</v>
      </c>
      <c r="Q1682" s="5" t="s">
        <v>25</v>
      </c>
      <c r="R1682" s="5" t="s">
        <v>25</v>
      </c>
      <c r="S1682" s="7" t="str">
        <f>VLOOKUP(A1682,Sheet2!$A$2:$R$3432,18,0)</f>
        <v/>
      </c>
      <c r="T1682" s="7" t="str">
        <f>VLOOKUP(A1682,Sheet2!$A$2:$R$3432,17,0)</f>
        <v/>
      </c>
    </row>
    <row r="1683" ht="15.75" customHeight="1">
      <c r="A1683" s="3" t="s">
        <v>1706</v>
      </c>
      <c r="B1683" s="4" t="str">
        <f>VLOOKUP(A1683,Sheet2!$A$2:$R$3432,2,0)</f>
        <v>2024-10-03 19:47:41</v>
      </c>
      <c r="C1683" s="5" t="s">
        <v>25</v>
      </c>
      <c r="D1683" s="6" t="s">
        <v>25</v>
      </c>
      <c r="E1683" s="7">
        <f>VLOOKUP(A1683,Sheet2!$A$2:$R$3432,4,0)</f>
        <v>7888008424</v>
      </c>
      <c r="F1683" s="7" t="str">
        <f>VLOOKUP(A1683,Sheet2!$A$2:$R$3432,3,0)</f>
        <v>PRAMOD ZUNJARRAO </v>
      </c>
      <c r="G1683" s="5" t="s">
        <v>25</v>
      </c>
      <c r="H1683" s="5" t="s">
        <v>25</v>
      </c>
      <c r="I1683" s="5" t="s">
        <v>25</v>
      </c>
      <c r="J1683" s="5" t="s">
        <v>25</v>
      </c>
      <c r="K1683" s="7" t="str">
        <f>VLOOKUP(A1683,Sheet2!$A$2:$R$3432,6,0)</f>
        <v>Piaggio Vespa </v>
      </c>
      <c r="L1683" s="5" t="s">
        <v>25</v>
      </c>
      <c r="M1683" s="7" t="str">
        <f>VLOOKUP(A1683,Sheet2!$A$2:$R$3432,5,0)</f>
        <v>MH14GL3119</v>
      </c>
      <c r="N1683" s="5" t="s">
        <v>25</v>
      </c>
      <c r="O1683" s="5" t="s">
        <v>25</v>
      </c>
      <c r="P1683" s="6" t="s">
        <v>25</v>
      </c>
      <c r="Q1683" s="5" t="s">
        <v>25</v>
      </c>
      <c r="R1683" s="5" t="s">
        <v>25</v>
      </c>
      <c r="S1683" s="7" t="str">
        <f>VLOOKUP(A1683,Sheet2!$A$2:$R$3432,18,0)</f>
        <v/>
      </c>
      <c r="T1683" s="7" t="str">
        <f>VLOOKUP(A1683,Sheet2!$A$2:$R$3432,17,0)</f>
        <v/>
      </c>
    </row>
    <row r="1684" ht="15.75" customHeight="1">
      <c r="A1684" s="3" t="s">
        <v>1707</v>
      </c>
      <c r="B1684" s="4" t="str">
        <f>VLOOKUP(A1684,Sheet2!$A$2:$R$3432,2,0)</f>
        <v>2024-10-03 19:48:04</v>
      </c>
      <c r="C1684" s="5" t="s">
        <v>25</v>
      </c>
      <c r="D1684" s="6" t="s">
        <v>25</v>
      </c>
      <c r="E1684" s="7">
        <f>VLOOKUP(A1684,Sheet2!$A$2:$R$3432,4,0)</f>
        <v>9021060052</v>
      </c>
      <c r="F1684" s="7" t="str">
        <f>VLOOKUP(A1684,Sheet2!$A$2:$R$3432,3,0)</f>
        <v>Atish Satbhai</v>
      </c>
      <c r="G1684" s="5" t="s">
        <v>25</v>
      </c>
      <c r="H1684" s="5" t="s">
        <v>25</v>
      </c>
      <c r="I1684" s="5" t="s">
        <v>25</v>
      </c>
      <c r="J1684" s="5" t="s">
        <v>25</v>
      </c>
      <c r="K1684" s="7" t="str">
        <f>VLOOKUP(A1684,Sheet2!$A$2:$R$3432,6,0)</f>
        <v>Hero Passion Plus</v>
      </c>
      <c r="L1684" s="5" t="s">
        <v>25</v>
      </c>
      <c r="M1684" s="7" t="str">
        <f>VLOOKUP(A1684,Sheet2!$A$2:$R$3432,5,0)</f>
        <v>MH15BT9897</v>
      </c>
      <c r="N1684" s="5" t="s">
        <v>25</v>
      </c>
      <c r="O1684" s="5" t="s">
        <v>25</v>
      </c>
      <c r="P1684" s="6" t="s">
        <v>25</v>
      </c>
      <c r="Q1684" s="5" t="s">
        <v>25</v>
      </c>
      <c r="R1684" s="5" t="s">
        <v>25</v>
      </c>
      <c r="S1684" s="7" t="str">
        <f>VLOOKUP(A1684,Sheet2!$A$2:$R$3432,18,0)</f>
        <v/>
      </c>
      <c r="T1684" s="7" t="str">
        <f>VLOOKUP(A1684,Sheet2!$A$2:$R$3432,17,0)</f>
        <v/>
      </c>
    </row>
    <row r="1685" ht="15.75" customHeight="1">
      <c r="A1685" s="3" t="s">
        <v>1708</v>
      </c>
      <c r="B1685" s="4" t="str">
        <f>VLOOKUP(A1685,Sheet2!$A$2:$R$3432,2,0)</f>
        <v>2024-10-03 19:52:47</v>
      </c>
      <c r="C1685" s="5" t="s">
        <v>25</v>
      </c>
      <c r="D1685" s="6" t="s">
        <v>25</v>
      </c>
      <c r="E1685" s="7">
        <f>VLOOKUP(A1685,Sheet2!$A$2:$R$3432,4,0)</f>
        <v>8626061848</v>
      </c>
      <c r="F1685" s="7" t="str">
        <f>VLOOKUP(A1685,Sheet2!$A$2:$R$3432,3,0)</f>
        <v>ARPIT TANK</v>
      </c>
      <c r="G1685" s="5" t="s">
        <v>25</v>
      </c>
      <c r="H1685" s="5" t="s">
        <v>25</v>
      </c>
      <c r="I1685" s="5" t="s">
        <v>25</v>
      </c>
      <c r="J1685" s="5" t="s">
        <v>25</v>
      </c>
      <c r="K1685" s="7" t="str">
        <f>VLOOKUP(A1685,Sheet2!$A$2:$R$3432,6,0)</f>
        <v>Hero Karizma R</v>
      </c>
      <c r="L1685" s="5" t="s">
        <v>25</v>
      </c>
      <c r="M1685" s="7" t="str">
        <f>VLOOKUP(A1685,Sheet2!$A$2:$R$3432,5,0)</f>
        <v>MH12GW4447</v>
      </c>
      <c r="N1685" s="5" t="s">
        <v>25</v>
      </c>
      <c r="O1685" s="5" t="s">
        <v>25</v>
      </c>
      <c r="P1685" s="6" t="s">
        <v>25</v>
      </c>
      <c r="Q1685" s="5" t="s">
        <v>25</v>
      </c>
      <c r="R1685" s="5" t="s">
        <v>25</v>
      </c>
      <c r="S1685" s="5" t="str">
        <f>VLOOKUP(A1685,Sheet2!$A$2:$R$3432,18,0)</f>
        <v>MC38EDGC01601</v>
      </c>
      <c r="T1685" s="7" t="str">
        <f>VLOOKUP(A1685,Sheet2!$A$2:$R$3432,17,0)</f>
        <v>MBLMC38EDBGC01650</v>
      </c>
    </row>
    <row r="1686" ht="15.75" customHeight="1">
      <c r="A1686" s="3" t="s">
        <v>1709</v>
      </c>
      <c r="B1686" s="4" t="str">
        <f>VLOOKUP(A1686,Sheet2!$A$2:$R$3432,2,0)</f>
        <v>2024-10-03 19:48:50</v>
      </c>
      <c r="C1686" s="5" t="s">
        <v>25</v>
      </c>
      <c r="D1686" s="6" t="s">
        <v>25</v>
      </c>
      <c r="E1686" s="7">
        <f>VLOOKUP(A1686,Sheet2!$A$2:$R$3432,4,0)</f>
        <v>9429488181</v>
      </c>
      <c r="F1686" s="7" t="str">
        <f>VLOOKUP(A1686,Sheet2!$A$2:$R$3432,3,0)</f>
        <v>Abhishek </v>
      </c>
      <c r="G1686" s="5" t="s">
        <v>25</v>
      </c>
      <c r="H1686" s="5" t="s">
        <v>25</v>
      </c>
      <c r="I1686" s="5" t="s">
        <v>25</v>
      </c>
      <c r="J1686" s="5" t="s">
        <v>25</v>
      </c>
      <c r="K1686" s="7" t="str">
        <f>VLOOKUP(A1686,Sheet2!$A$2:$R$3432,6,0)</f>
        <v>Yamaha R15 V4 M</v>
      </c>
      <c r="L1686" s="5" t="s">
        <v>25</v>
      </c>
      <c r="M1686" s="7" t="str">
        <f>VLOOKUP(A1686,Sheet2!$A$2:$R$3432,5,0)</f>
        <v>MH14KX2990</v>
      </c>
      <c r="N1686" s="5" t="s">
        <v>25</v>
      </c>
      <c r="O1686" s="5" t="s">
        <v>25</v>
      </c>
      <c r="P1686" s="6" t="s">
        <v>25</v>
      </c>
      <c r="Q1686" s="5" t="s">
        <v>25</v>
      </c>
      <c r="R1686" s="5" t="s">
        <v>25</v>
      </c>
      <c r="S1686" s="7" t="str">
        <f>VLOOKUP(A1686,Sheet2!$A$2:$R$3432,18,0)</f>
        <v/>
      </c>
      <c r="T1686" s="7" t="str">
        <f>VLOOKUP(A1686,Sheet2!$A$2:$R$3432,17,0)</f>
        <v/>
      </c>
    </row>
    <row r="1687" ht="15.75" customHeight="1">
      <c r="A1687" s="3" t="s">
        <v>1710</v>
      </c>
      <c r="B1687" s="4" t="str">
        <f>VLOOKUP(A1687,Sheet2!$A$2:$R$3432,2,0)</f>
        <v>2024-10-03 19:50:23</v>
      </c>
      <c r="C1687" s="5" t="s">
        <v>25</v>
      </c>
      <c r="D1687" s="6" t="s">
        <v>25</v>
      </c>
      <c r="E1687" s="7">
        <f>VLOOKUP(A1687,Sheet2!$A$2:$R$3432,4,0)</f>
        <v>7499978924</v>
      </c>
      <c r="F1687" s="7" t="str">
        <f>VLOOKUP(A1687,Sheet2!$A$2:$R$3432,3,0)</f>
        <v>MORE</v>
      </c>
      <c r="G1687" s="5" t="s">
        <v>25</v>
      </c>
      <c r="H1687" s="5" t="s">
        <v>25</v>
      </c>
      <c r="I1687" s="5" t="s">
        <v>25</v>
      </c>
      <c r="J1687" s="5" t="s">
        <v>25</v>
      </c>
      <c r="K1687" s="7" t="str">
        <f>VLOOKUP(A1687,Sheet2!$A$2:$R$3432,6,0)</f>
        <v>Honda Unicorn 150</v>
      </c>
      <c r="L1687" s="5" t="s">
        <v>25</v>
      </c>
      <c r="M1687" s="7" t="str">
        <f>VLOOKUP(A1687,Sheet2!$A$2:$R$3432,5,0)</f>
        <v>MH14LM4865</v>
      </c>
      <c r="N1687" s="5" t="s">
        <v>25</v>
      </c>
      <c r="O1687" s="5" t="s">
        <v>25</v>
      </c>
      <c r="P1687" s="6" t="s">
        <v>25</v>
      </c>
      <c r="Q1687" s="5" t="s">
        <v>25</v>
      </c>
      <c r="R1687" s="5" t="s">
        <v>25</v>
      </c>
      <c r="S1687" s="5" t="str">
        <f>VLOOKUP(A1687,Sheet2!$A$2:$R$3432,18,0)</f>
        <v>KC40EA122507</v>
      </c>
      <c r="T1687" s="7" t="str">
        <f>VLOOKUP(A1687,Sheet2!$A$2:$R$3432,17,0)</f>
        <v>M4KC404CRA122279</v>
      </c>
    </row>
    <row r="1688" ht="15.75" customHeight="1">
      <c r="A1688" s="3" t="s">
        <v>1711</v>
      </c>
      <c r="B1688" s="4" t="str">
        <f>VLOOKUP(A1688,Sheet2!$A$2:$R$3432,2,0)</f>
        <v>2024-10-03 19:50:43</v>
      </c>
      <c r="C1688" s="5" t="s">
        <v>25</v>
      </c>
      <c r="D1688" s="6" t="s">
        <v>25</v>
      </c>
      <c r="E1688" s="7">
        <f>VLOOKUP(A1688,Sheet2!$A$2:$R$3432,4,0)</f>
        <v>8275222246</v>
      </c>
      <c r="F1688" s="7" t="str">
        <f>VLOOKUP(A1688,Sheet2!$A$2:$R$3432,3,0)</f>
        <v>Kedar </v>
      </c>
      <c r="G1688" s="5" t="s">
        <v>25</v>
      </c>
      <c r="H1688" s="5" t="s">
        <v>25</v>
      </c>
      <c r="I1688" s="5" t="s">
        <v>25</v>
      </c>
      <c r="J1688" s="5" t="s">
        <v>25</v>
      </c>
      <c r="K1688" s="7" t="str">
        <f>VLOOKUP(A1688,Sheet2!$A$2:$R$3432,6,0)</f>
        <v>Royal Enfield Hunter 350 Retro</v>
      </c>
      <c r="L1688" s="5" t="s">
        <v>25</v>
      </c>
      <c r="M1688" s="7" t="str">
        <f>VLOOKUP(A1688,Sheet2!$A$2:$R$3432,5,0)</f>
        <v>MH14KK2744</v>
      </c>
      <c r="N1688" s="5" t="s">
        <v>25</v>
      </c>
      <c r="O1688" s="5" t="s">
        <v>25</v>
      </c>
      <c r="P1688" s="6" t="s">
        <v>25</v>
      </c>
      <c r="Q1688" s="5" t="s">
        <v>25</v>
      </c>
      <c r="R1688" s="5" t="s">
        <v>25</v>
      </c>
      <c r="S1688" s="7" t="str">
        <f>VLOOKUP(A1688,Sheet2!$A$2:$R$3432,18,0)</f>
        <v/>
      </c>
      <c r="T1688" s="7" t="str">
        <f>VLOOKUP(A1688,Sheet2!$A$2:$R$3432,17,0)</f>
        <v/>
      </c>
    </row>
    <row r="1689" ht="15.75" customHeight="1">
      <c r="A1689" s="3" t="s">
        <v>1712</v>
      </c>
      <c r="B1689" s="4" t="str">
        <f>VLOOKUP(A1689,Sheet2!$A$2:$R$3432,2,0)</f>
        <v>2024-10-03 19:50:57</v>
      </c>
      <c r="C1689" s="5" t="s">
        <v>25</v>
      </c>
      <c r="D1689" s="6" t="s">
        <v>25</v>
      </c>
      <c r="E1689" s="7">
        <f>VLOOKUP(A1689,Sheet2!$A$2:$R$3432,4,0)</f>
        <v>9823223921</v>
      </c>
      <c r="F1689" s="7" t="str">
        <f>VLOOKUP(A1689,Sheet2!$A$2:$R$3432,3,0)</f>
        <v>Saraf</v>
      </c>
      <c r="G1689" s="5" t="s">
        <v>25</v>
      </c>
      <c r="H1689" s="5" t="s">
        <v>25</v>
      </c>
      <c r="I1689" s="5" t="s">
        <v>25</v>
      </c>
      <c r="J1689" s="5" t="s">
        <v>25</v>
      </c>
      <c r="K1689" s="7" t="str">
        <f>VLOOKUP(A1689,Sheet2!$A$2:$R$3432,6,0)</f>
        <v>Honda Dio </v>
      </c>
      <c r="L1689" s="5" t="s">
        <v>25</v>
      </c>
      <c r="M1689" s="7" t="str">
        <f>VLOOKUP(A1689,Sheet2!$A$2:$R$3432,5,0)</f>
        <v>MH12GC5489</v>
      </c>
      <c r="N1689" s="5" t="s">
        <v>25</v>
      </c>
      <c r="O1689" s="5" t="s">
        <v>25</v>
      </c>
      <c r="P1689" s="6" t="s">
        <v>25</v>
      </c>
      <c r="Q1689" s="5" t="s">
        <v>25</v>
      </c>
      <c r="R1689" s="5" t="s">
        <v>25</v>
      </c>
      <c r="S1689" s="5" t="str">
        <f>VLOOKUP(A1689,Sheet2!$A$2:$R$3432,18,0)</f>
        <v>JF11E4032875</v>
      </c>
      <c r="T1689" s="7" t="str">
        <f>VLOOKUP(A1689,Sheet2!$A$2:$R$3432,17,0)</f>
        <v>ME4JF118EA8032794</v>
      </c>
    </row>
    <row r="1690" ht="15.75" customHeight="1">
      <c r="A1690" s="3" t="s">
        <v>1713</v>
      </c>
      <c r="B1690" s="4" t="str">
        <f>VLOOKUP(A1690,Sheet2!$A$2:$R$3432,2,0)</f>
        <v>2024-10-03 19:51:23</v>
      </c>
      <c r="C1690" s="5" t="s">
        <v>25</v>
      </c>
      <c r="D1690" s="6" t="s">
        <v>25</v>
      </c>
      <c r="E1690" s="7">
        <f>VLOOKUP(A1690,Sheet2!$A$2:$R$3432,4,0)</f>
        <v>7666969084</v>
      </c>
      <c r="F1690" s="7" t="str">
        <f>VLOOKUP(A1690,Sheet2!$A$2:$R$3432,3,0)</f>
        <v>Sanghamitra Bhonde</v>
      </c>
      <c r="G1690" s="5" t="s">
        <v>25</v>
      </c>
      <c r="H1690" s="5" t="s">
        <v>25</v>
      </c>
      <c r="I1690" s="5" t="s">
        <v>25</v>
      </c>
      <c r="J1690" s="5" t="s">
        <v>25</v>
      </c>
      <c r="K1690" s="7" t="str">
        <f>VLOOKUP(A1690,Sheet2!$A$2:$R$3432,6,0)</f>
        <v>Honda Activa 4G</v>
      </c>
      <c r="L1690" s="5" t="s">
        <v>25</v>
      </c>
      <c r="M1690" s="7" t="str">
        <f>VLOOKUP(A1690,Sheet2!$A$2:$R$3432,5,0)</f>
        <v>MH12QD1081</v>
      </c>
      <c r="N1690" s="5" t="s">
        <v>25</v>
      </c>
      <c r="O1690" s="5" t="s">
        <v>25</v>
      </c>
      <c r="P1690" s="6" t="s">
        <v>25</v>
      </c>
      <c r="Q1690" s="5" t="s">
        <v>25</v>
      </c>
      <c r="R1690" s="5" t="s">
        <v>25</v>
      </c>
      <c r="S1690" s="7" t="str">
        <f>VLOOKUP(A1690,Sheet2!$A$2:$R$3432,18,0)</f>
        <v/>
      </c>
      <c r="T1690" s="7" t="str">
        <f>VLOOKUP(A1690,Sheet2!$A$2:$R$3432,17,0)</f>
        <v/>
      </c>
    </row>
    <row r="1691" ht="15.75" customHeight="1">
      <c r="A1691" s="3" t="s">
        <v>1714</v>
      </c>
      <c r="B1691" s="4" t="str">
        <f>VLOOKUP(A1691,Sheet2!$A$2:$R$3432,2,0)</f>
        <v>2024-10-03 19:38:04</v>
      </c>
      <c r="C1691" s="5" t="s">
        <v>25</v>
      </c>
      <c r="D1691" s="6" t="s">
        <v>25</v>
      </c>
      <c r="E1691" s="7">
        <f>VLOOKUP(A1691,Sheet2!$A$2:$R$3432,4,0)</f>
        <v>8485868547</v>
      </c>
      <c r="F1691" s="7" t="str">
        <f>VLOOKUP(A1691,Sheet2!$A$2:$R$3432,3,0)</f>
        <v>PRANJAN BHURE</v>
      </c>
      <c r="G1691" s="5" t="s">
        <v>25</v>
      </c>
      <c r="H1691" s="5" t="s">
        <v>25</v>
      </c>
      <c r="I1691" s="5" t="s">
        <v>25</v>
      </c>
      <c r="J1691" s="5" t="s">
        <v>25</v>
      </c>
      <c r="K1691" s="7" t="str">
        <f>VLOOKUP(A1691,Sheet2!$A$2:$R$3432,6,0)</f>
        <v>Yamaha Fascino </v>
      </c>
      <c r="L1691" s="5" t="s">
        <v>25</v>
      </c>
      <c r="M1691" s="7" t="str">
        <f>VLOOKUP(A1691,Sheet2!$A$2:$R$3432,5,0)</f>
        <v>MH36V6594</v>
      </c>
      <c r="N1691" s="5" t="s">
        <v>25</v>
      </c>
      <c r="O1691" s="5" t="s">
        <v>25</v>
      </c>
      <c r="P1691" s="6" t="s">
        <v>25</v>
      </c>
      <c r="Q1691" s="5" t="s">
        <v>25</v>
      </c>
      <c r="R1691" s="5" t="s">
        <v>25</v>
      </c>
      <c r="S1691" s="7" t="str">
        <f>VLOOKUP(A1691,Sheet2!$A$2:$R$3432,18,0)</f>
        <v/>
      </c>
      <c r="T1691" s="7" t="str">
        <f>VLOOKUP(A1691,Sheet2!$A$2:$R$3432,17,0)</f>
        <v/>
      </c>
    </row>
    <row r="1692" ht="15.75" customHeight="1">
      <c r="A1692" s="3" t="s">
        <v>1715</v>
      </c>
      <c r="B1692" s="4" t="str">
        <f>VLOOKUP(A1692,Sheet2!$A$2:$R$3432,2,0)</f>
        <v>2024-10-03 19:39:23</v>
      </c>
      <c r="C1692" s="5" t="s">
        <v>25</v>
      </c>
      <c r="D1692" s="6" t="s">
        <v>25</v>
      </c>
      <c r="E1692" s="7">
        <f>VLOOKUP(A1692,Sheet2!$A$2:$R$3432,4,0)</f>
        <v>8600305981</v>
      </c>
      <c r="F1692" s="7" t="str">
        <f>VLOOKUP(A1692,Sheet2!$A$2:$R$3432,3,0)</f>
        <v>SHILA NANDGUDE</v>
      </c>
      <c r="G1692" s="5" t="s">
        <v>25</v>
      </c>
      <c r="H1692" s="5" t="s">
        <v>25</v>
      </c>
      <c r="I1692" s="5" t="s">
        <v>25</v>
      </c>
      <c r="J1692" s="5" t="s">
        <v>25</v>
      </c>
      <c r="K1692" s="7" t="str">
        <f>VLOOKUP(A1692,Sheet2!$A$2:$R$3432,6,0)</f>
        <v>Hero Pleasure </v>
      </c>
      <c r="L1692" s="5" t="s">
        <v>25</v>
      </c>
      <c r="M1692" s="7" t="str">
        <f>VLOOKUP(A1692,Sheet2!$A$2:$R$3432,5,0)</f>
        <v>MH14FF5899</v>
      </c>
      <c r="N1692" s="5" t="s">
        <v>25</v>
      </c>
      <c r="O1692" s="5" t="s">
        <v>25</v>
      </c>
      <c r="P1692" s="6" t="s">
        <v>25</v>
      </c>
      <c r="Q1692" s="5" t="s">
        <v>25</v>
      </c>
      <c r="R1692" s="5" t="s">
        <v>25</v>
      </c>
      <c r="S1692" s="7" t="str">
        <f>VLOOKUP(A1692,Sheet2!$A$2:$R$3432,18,0)</f>
        <v/>
      </c>
      <c r="T1692" s="7" t="str">
        <f>VLOOKUP(A1692,Sheet2!$A$2:$R$3432,17,0)</f>
        <v/>
      </c>
    </row>
    <row r="1693" ht="15.75" customHeight="1">
      <c r="A1693" s="3" t="s">
        <v>1716</v>
      </c>
      <c r="B1693" s="4" t="str">
        <f>VLOOKUP(A1693,Sheet2!$A$2:$R$3432,2,0)</f>
        <v>2024-10-03 19:40:06</v>
      </c>
      <c r="C1693" s="5" t="s">
        <v>25</v>
      </c>
      <c r="D1693" s="6" t="s">
        <v>25</v>
      </c>
      <c r="E1693" s="7">
        <f>VLOOKUP(A1693,Sheet2!$A$2:$R$3432,4,0)</f>
        <v>9376121150</v>
      </c>
      <c r="F1693" s="7" t="str">
        <f>VLOOKUP(A1693,Sheet2!$A$2:$R$3432,3,0)</f>
        <v>SANTOSH</v>
      </c>
      <c r="G1693" s="5" t="s">
        <v>25</v>
      </c>
      <c r="H1693" s="5" t="s">
        <v>25</v>
      </c>
      <c r="I1693" s="5" t="s">
        <v>25</v>
      </c>
      <c r="J1693" s="5" t="s">
        <v>25</v>
      </c>
      <c r="K1693" s="7" t="str">
        <f>VLOOKUP(A1693,Sheet2!$A$2:$R$3432,6,0)</f>
        <v>Honda Activa 6G</v>
      </c>
      <c r="L1693" s="5" t="s">
        <v>25</v>
      </c>
      <c r="M1693" s="7" t="str">
        <f>VLOOKUP(A1693,Sheet2!$A$2:$R$3432,5,0)</f>
        <v>MH14JS1113</v>
      </c>
      <c r="N1693" s="5" t="s">
        <v>25</v>
      </c>
      <c r="O1693" s="5" t="s">
        <v>25</v>
      </c>
      <c r="P1693" s="6" t="s">
        <v>25</v>
      </c>
      <c r="Q1693" s="5" t="s">
        <v>25</v>
      </c>
      <c r="R1693" s="5" t="s">
        <v>25</v>
      </c>
      <c r="S1693" s="5" t="str">
        <f>VLOOKUP(A1693,Sheet2!$A$2:$R$3432,18,0)</f>
        <v>JF91EG1519213</v>
      </c>
      <c r="T1693" s="7" t="str">
        <f>VLOOKUP(A1693,Sheet2!$A$2:$R$3432,17,0)</f>
        <v>ME4JF914GMG520165</v>
      </c>
    </row>
    <row r="1694" ht="15.75" customHeight="1">
      <c r="A1694" s="3" t="s">
        <v>1717</v>
      </c>
      <c r="B1694" s="4" t="str">
        <f>VLOOKUP(A1694,Sheet2!$A$2:$R$3432,2,0)</f>
        <v>2024-10-03 19:45:52</v>
      </c>
      <c r="C1694" s="5" t="s">
        <v>25</v>
      </c>
      <c r="D1694" s="6" t="s">
        <v>25</v>
      </c>
      <c r="E1694" s="7">
        <f>VLOOKUP(A1694,Sheet2!$A$2:$R$3432,4,0)</f>
        <v>7218522252</v>
      </c>
      <c r="F1694" s="7" t="str">
        <f>VLOOKUP(A1694,Sheet2!$A$2:$R$3432,3,0)</f>
        <v>NIKHIL</v>
      </c>
      <c r="G1694" s="5" t="s">
        <v>25</v>
      </c>
      <c r="H1694" s="5" t="s">
        <v>25</v>
      </c>
      <c r="I1694" s="5" t="s">
        <v>25</v>
      </c>
      <c r="J1694" s="5" t="s">
        <v>25</v>
      </c>
      <c r="K1694" s="7" t="str">
        <f>VLOOKUP(A1694,Sheet2!$A$2:$R$3432,6,0)</f>
        <v>Honda Dio New</v>
      </c>
      <c r="L1694" s="5" t="s">
        <v>25</v>
      </c>
      <c r="M1694" s="7" t="str">
        <f>VLOOKUP(A1694,Sheet2!$A$2:$R$3432,5,0)</f>
        <v>MH14FZ2179</v>
      </c>
      <c r="N1694" s="5" t="s">
        <v>25</v>
      </c>
      <c r="O1694" s="5" t="s">
        <v>25</v>
      </c>
      <c r="P1694" s="6" t="s">
        <v>25</v>
      </c>
      <c r="Q1694" s="5" t="s">
        <v>25</v>
      </c>
      <c r="R1694" s="5" t="s">
        <v>25</v>
      </c>
      <c r="S1694" s="7" t="str">
        <f>VLOOKUP(A1694,Sheet2!$A$2:$R$3432,18,0)</f>
        <v/>
      </c>
      <c r="T1694" s="7" t="str">
        <f>VLOOKUP(A1694,Sheet2!$A$2:$R$3432,17,0)</f>
        <v/>
      </c>
    </row>
    <row r="1695" ht="15.75" customHeight="1">
      <c r="A1695" s="3" t="s">
        <v>1718</v>
      </c>
      <c r="B1695" s="4" t="str">
        <f>VLOOKUP(A1695,Sheet2!$A$2:$R$3432,2,0)</f>
        <v>2024-10-03 20:29:25</v>
      </c>
      <c r="C1695" s="5" t="s">
        <v>25</v>
      </c>
      <c r="D1695" s="6" t="s">
        <v>25</v>
      </c>
      <c r="E1695" s="7">
        <f>VLOOKUP(A1695,Sheet2!$A$2:$R$3432,4,0)</f>
        <v>9404301311</v>
      </c>
      <c r="F1695" s="7" t="str">
        <f>VLOOKUP(A1695,Sheet2!$A$2:$R$3432,3,0)</f>
        <v>Rishikesh Yelsangi</v>
      </c>
      <c r="G1695" s="5" t="s">
        <v>25</v>
      </c>
      <c r="H1695" s="5" t="s">
        <v>25</v>
      </c>
      <c r="I1695" s="5" t="s">
        <v>25</v>
      </c>
      <c r="J1695" s="5" t="s">
        <v>25</v>
      </c>
      <c r="K1695" s="7" t="str">
        <f>VLOOKUP(A1695,Sheet2!$A$2:$R$3432,6,0)</f>
        <v>Suzuki Access 125</v>
      </c>
      <c r="L1695" s="5" t="s">
        <v>25</v>
      </c>
      <c r="M1695" s="7" t="str">
        <f>VLOOKUP(A1695,Sheet2!$A$2:$R$3432,5,0)</f>
        <v>MH13CM5408</v>
      </c>
      <c r="N1695" s="5" t="s">
        <v>25</v>
      </c>
      <c r="O1695" s="5" t="s">
        <v>25</v>
      </c>
      <c r="P1695" s="6" t="s">
        <v>25</v>
      </c>
      <c r="Q1695" s="5" t="s">
        <v>25</v>
      </c>
      <c r="R1695" s="5" t="s">
        <v>25</v>
      </c>
      <c r="S1695" s="7" t="str">
        <f>VLOOKUP(A1695,Sheet2!$A$2:$R$3432,18,0)</f>
        <v/>
      </c>
      <c r="T1695" s="7" t="str">
        <f>VLOOKUP(A1695,Sheet2!$A$2:$R$3432,17,0)</f>
        <v/>
      </c>
    </row>
    <row r="1696" ht="15.75" customHeight="1">
      <c r="A1696" s="3" t="s">
        <v>1719</v>
      </c>
      <c r="B1696" s="4" t="str">
        <f>VLOOKUP(A1696,Sheet2!$A$2:$R$3432,2,0)</f>
        <v>2024-10-03 20:47:59</v>
      </c>
      <c r="C1696" s="5" t="s">
        <v>25</v>
      </c>
      <c r="D1696" s="6" t="s">
        <v>25</v>
      </c>
      <c r="E1696" s="7">
        <f>VLOOKUP(A1696,Sheet2!$A$2:$R$3432,4,0)</f>
        <v>7069956654</v>
      </c>
      <c r="F1696" s="7" t="str">
        <f>VLOOKUP(A1696,Sheet2!$A$2:$R$3432,3,0)</f>
        <v>PUNJAB SIND FOODS PVT LTD</v>
      </c>
      <c r="G1696" s="5" t="s">
        <v>25</v>
      </c>
      <c r="H1696" s="5" t="s">
        <v>25</v>
      </c>
      <c r="I1696" s="5" t="s">
        <v>25</v>
      </c>
      <c r="J1696" s="5" t="s">
        <v>25</v>
      </c>
      <c r="K1696" s="7" t="str">
        <f>VLOOKUP(A1696,Sheet2!$A$2:$R$3432,6,0)</f>
        <v>Honda Dream Yuga </v>
      </c>
      <c r="L1696" s="5" t="s">
        <v>25</v>
      </c>
      <c r="M1696" s="7" t="str">
        <f>VLOOKUP(A1696,Sheet2!$A$2:$R$3432,5,0)</f>
        <v>GJ15BH2984</v>
      </c>
      <c r="N1696" s="5" t="s">
        <v>25</v>
      </c>
      <c r="O1696" s="5" t="s">
        <v>25</v>
      </c>
      <c r="P1696" s="6" t="s">
        <v>25</v>
      </c>
      <c r="Q1696" s="5" t="s">
        <v>25</v>
      </c>
      <c r="R1696" s="5" t="s">
        <v>25</v>
      </c>
      <c r="S1696" s="7" t="str">
        <f>VLOOKUP(A1696,Sheet2!$A$2:$R$3432,18,0)</f>
        <v/>
      </c>
      <c r="T1696" s="7" t="str">
        <f>VLOOKUP(A1696,Sheet2!$A$2:$R$3432,17,0)</f>
        <v/>
      </c>
    </row>
    <row r="1697" ht="15.75" customHeight="1">
      <c r="A1697" s="3" t="s">
        <v>1720</v>
      </c>
      <c r="B1697" s="4" t="str">
        <f>VLOOKUP(A1697,Sheet2!$A$2:$R$3432,2,0)</f>
        <v>2024-10-03 21:08:28</v>
      </c>
      <c r="C1697" s="5" t="s">
        <v>25</v>
      </c>
      <c r="D1697" s="6" t="s">
        <v>25</v>
      </c>
      <c r="E1697" s="7">
        <f>VLOOKUP(A1697,Sheet2!$A$2:$R$3432,4,0)</f>
        <v>9860588902</v>
      </c>
      <c r="F1697" s="7" t="str">
        <f>VLOOKUP(A1697,Sheet2!$A$2:$R$3432,3,0)</f>
        <v>RAMESH BHOSALE</v>
      </c>
      <c r="G1697" s="5" t="s">
        <v>25</v>
      </c>
      <c r="H1697" s="5" t="s">
        <v>25</v>
      </c>
      <c r="I1697" s="5" t="s">
        <v>25</v>
      </c>
      <c r="J1697" s="5" t="s">
        <v>25</v>
      </c>
      <c r="K1697" s="7" t="str">
        <f>VLOOKUP(A1697,Sheet2!$A$2:$R$3432,6,0)</f>
        <v>Yamaha Ray Z</v>
      </c>
      <c r="L1697" s="5" t="s">
        <v>25</v>
      </c>
      <c r="M1697" s="7" t="str">
        <f>VLOOKUP(A1697,Sheet2!$A$2:$R$3432,5,0)</f>
        <v>MH12LE0114</v>
      </c>
      <c r="N1697" s="5" t="s">
        <v>25</v>
      </c>
      <c r="O1697" s="5" t="s">
        <v>25</v>
      </c>
      <c r="P1697" s="6" t="s">
        <v>25</v>
      </c>
      <c r="Q1697" s="5" t="s">
        <v>25</v>
      </c>
      <c r="R1697" s="5" t="s">
        <v>25</v>
      </c>
      <c r="S1697" s="7" t="str">
        <f>VLOOKUP(A1697,Sheet2!$A$2:$R$3432,18,0)</f>
        <v/>
      </c>
      <c r="T1697" s="7" t="str">
        <f>VLOOKUP(A1697,Sheet2!$A$2:$R$3432,17,0)</f>
        <v/>
      </c>
    </row>
    <row r="1698" ht="15.75" customHeight="1">
      <c r="A1698" s="3" t="s">
        <v>1721</v>
      </c>
      <c r="B1698" s="4" t="str">
        <f>VLOOKUP(A1698,Sheet2!$A$2:$R$3432,2,0)</f>
        <v>2024-09-16 17:46:02</v>
      </c>
      <c r="C1698" s="5" t="s">
        <v>25</v>
      </c>
      <c r="D1698" s="6" t="s">
        <v>25</v>
      </c>
      <c r="E1698" s="7">
        <f>VLOOKUP(A1698,Sheet2!$A$2:$R$3432,4,0)</f>
        <v>9881889367</v>
      </c>
      <c r="F1698" s="7" t="str">
        <f>VLOOKUP(A1698,Sheet2!$A$2:$R$3432,3,0)</f>
        <v>Radhika Patil</v>
      </c>
      <c r="G1698" s="5" t="s">
        <v>25</v>
      </c>
      <c r="H1698" s="5" t="s">
        <v>25</v>
      </c>
      <c r="I1698" s="5" t="s">
        <v>25</v>
      </c>
      <c r="J1698" s="5" t="s">
        <v>25</v>
      </c>
      <c r="K1698" s="7" t="str">
        <f>VLOOKUP(A1698,Sheet2!$A$2:$R$3432,6,0)</f>
        <v>Honda Activa 125</v>
      </c>
      <c r="L1698" s="5" t="s">
        <v>25</v>
      </c>
      <c r="M1698" s="7" t="str">
        <f>VLOOKUP(A1698,Sheet2!$A$2:$R$3432,5,0)</f>
        <v>MH12SS8869</v>
      </c>
      <c r="N1698" s="5" t="s">
        <v>25</v>
      </c>
      <c r="O1698" s="5" t="s">
        <v>25</v>
      </c>
      <c r="P1698" s="6" t="s">
        <v>25</v>
      </c>
      <c r="Q1698" s="5" t="s">
        <v>25</v>
      </c>
      <c r="R1698" s="5" t="s">
        <v>25</v>
      </c>
      <c r="S1698" s="5" t="str">
        <f>VLOOKUP(A1698,Sheet2!$A$2:$R$3432,18,0)</f>
        <v>JF49ED4021028</v>
      </c>
      <c r="T1698" s="7" t="str">
        <f>VLOOKUP(A1698,Sheet2!$A$2:$R$3432,17,0)</f>
        <v>ME4JF40MGLDO12891</v>
      </c>
    </row>
    <row r="1699" ht="15.75" customHeight="1">
      <c r="A1699" s="3" t="s">
        <v>1722</v>
      </c>
      <c r="B1699" s="4" t="str">
        <f>VLOOKUP(A1699,Sheet2!$A$2:$R$3432,2,0)</f>
        <v>2024-09-16 11:38:57</v>
      </c>
      <c r="C1699" s="5" t="s">
        <v>25</v>
      </c>
      <c r="D1699" s="6" t="s">
        <v>25</v>
      </c>
      <c r="E1699" s="7">
        <f>VLOOKUP(A1699,Sheet2!$A$2:$R$3432,4,0)</f>
        <v>8208094414</v>
      </c>
      <c r="F1699" s="7" t="str">
        <f>VLOOKUP(A1699,Sheet2!$A$2:$R$3432,3,0)</f>
        <v>Aniruddha Kibey</v>
      </c>
      <c r="G1699" s="5" t="s">
        <v>25</v>
      </c>
      <c r="H1699" s="5" t="s">
        <v>25</v>
      </c>
      <c r="I1699" s="5" t="s">
        <v>25</v>
      </c>
      <c r="J1699" s="5" t="s">
        <v>25</v>
      </c>
      <c r="K1699" s="7" t="str">
        <f>VLOOKUP(A1699,Sheet2!$A$2:$R$3432,6,0)</f>
        <v>Yamaha SZ RR</v>
      </c>
      <c r="L1699" s="5" t="s">
        <v>25</v>
      </c>
      <c r="M1699" s="7" t="str">
        <f>VLOOKUP(A1699,Sheet2!$A$2:$R$3432,5,0)</f>
        <v>MH15FB1177</v>
      </c>
      <c r="N1699" s="5" t="s">
        <v>25</v>
      </c>
      <c r="O1699" s="5" t="s">
        <v>25</v>
      </c>
      <c r="P1699" s="6" t="s">
        <v>25</v>
      </c>
      <c r="Q1699" s="5" t="s">
        <v>25</v>
      </c>
      <c r="R1699" s="5" t="s">
        <v>25</v>
      </c>
      <c r="S1699" s="5" t="str">
        <f>VLOOKUP(A1699,Sheet2!$A$2:$R$3432,18,0)</f>
        <v>G3C9E0029174</v>
      </c>
      <c r="T1699" s="7" t="str">
        <f>VLOOKUP(A1699,Sheet2!$A$2:$R$3432,17,0)</f>
        <v>ME1RG0819F003227</v>
      </c>
    </row>
    <row r="1700" ht="15.75" customHeight="1">
      <c r="A1700" s="3" t="s">
        <v>1723</v>
      </c>
      <c r="B1700" s="4" t="str">
        <f>VLOOKUP(A1700,Sheet2!$A$2:$R$3432,2,0)</f>
        <v>2024-09-16 11:35:15</v>
      </c>
      <c r="C1700" s="5" t="s">
        <v>25</v>
      </c>
      <c r="D1700" s="6" t="s">
        <v>25</v>
      </c>
      <c r="E1700" s="7">
        <f>VLOOKUP(A1700,Sheet2!$A$2:$R$3432,4,0)</f>
        <v>9008696102</v>
      </c>
      <c r="F1700" s="7" t="str">
        <f>VLOOKUP(A1700,Sheet2!$A$2:$R$3432,3,0)</f>
        <v>Omkar</v>
      </c>
      <c r="G1700" s="5" t="s">
        <v>25</v>
      </c>
      <c r="H1700" s="5" t="s">
        <v>25</v>
      </c>
      <c r="I1700" s="5" t="s">
        <v>25</v>
      </c>
      <c r="J1700" s="5" t="s">
        <v>25</v>
      </c>
      <c r="K1700" s="7" t="str">
        <f>VLOOKUP(A1700,Sheet2!$A$2:$R$3432,6,0)</f>
        <v>TVS Apache RTR 160</v>
      </c>
      <c r="L1700" s="5" t="s">
        <v>25</v>
      </c>
      <c r="M1700" s="7" t="str">
        <f>VLOOKUP(A1700,Sheet2!$A$2:$R$3432,5,0)</f>
        <v>MH14HF9896</v>
      </c>
      <c r="N1700" s="5" t="s">
        <v>25</v>
      </c>
      <c r="O1700" s="5" t="s">
        <v>25</v>
      </c>
      <c r="P1700" s="6" t="s">
        <v>25</v>
      </c>
      <c r="Q1700" s="5" t="s">
        <v>25</v>
      </c>
      <c r="R1700" s="5" t="s">
        <v>25</v>
      </c>
      <c r="S1700" s="5" t="str">
        <f>VLOOKUP(A1700,Sheet2!$A$2:$R$3432,18,0)</f>
        <v>AE7KJ2503506</v>
      </c>
      <c r="T1700" s="7" t="str">
        <f>VLOOKUP(A1700,Sheet2!$A$2:$R$3432,17,0)</f>
        <v>MD637AE78J2K0757</v>
      </c>
    </row>
    <row r="1701" ht="15.75" customHeight="1">
      <c r="A1701" s="3" t="s">
        <v>1724</v>
      </c>
      <c r="B1701" s="4" t="str">
        <f>VLOOKUP(A1701,Sheet2!$A$2:$R$3432,2,0)</f>
        <v>2024-09-16 11:43:25</v>
      </c>
      <c r="C1701" s="5" t="s">
        <v>25</v>
      </c>
      <c r="D1701" s="6" t="s">
        <v>25</v>
      </c>
      <c r="E1701" s="7">
        <f>VLOOKUP(A1701,Sheet2!$A$2:$R$3432,4,0)</f>
        <v>7218777384</v>
      </c>
      <c r="F1701" s="7" t="str">
        <f>VLOOKUP(A1701,Sheet2!$A$2:$R$3432,3,0)</f>
        <v>NISHANT BHISALE</v>
      </c>
      <c r="G1701" s="5" t="s">
        <v>25</v>
      </c>
      <c r="H1701" s="5" t="s">
        <v>25</v>
      </c>
      <c r="I1701" s="5" t="s">
        <v>25</v>
      </c>
      <c r="J1701" s="5" t="s">
        <v>25</v>
      </c>
      <c r="K1701" s="7" t="str">
        <f>VLOOKUP(A1701,Sheet2!$A$2:$R$3432,6,0)</f>
        <v>TVS Ntorq 125</v>
      </c>
      <c r="L1701" s="5" t="s">
        <v>25</v>
      </c>
      <c r="M1701" s="7" t="str">
        <f>VLOOKUP(A1701,Sheet2!$A$2:$R$3432,5,0)</f>
        <v>MH12SS4063</v>
      </c>
      <c r="N1701" s="5" t="s">
        <v>25</v>
      </c>
      <c r="O1701" s="5" t="s">
        <v>25</v>
      </c>
      <c r="P1701" s="6" t="s">
        <v>25</v>
      </c>
      <c r="Q1701" s="5" t="s">
        <v>25</v>
      </c>
      <c r="R1701" s="5" t="s">
        <v>25</v>
      </c>
      <c r="S1701" s="5" t="str">
        <f>VLOOKUP(A1701,Sheet2!$A$2:$R$3432,18,0)</f>
        <v>AK3BL214519</v>
      </c>
      <c r="T1701" s="7" t="str">
        <f>VLOOKUP(A1701,Sheet2!$A$2:$R$3432,17,0)</f>
        <v>MD626AK3XL2B15732</v>
      </c>
    </row>
    <row r="1702" ht="15.75" customHeight="1">
      <c r="A1702" s="3" t="s">
        <v>1725</v>
      </c>
      <c r="B1702" s="4" t="str">
        <f>VLOOKUP(A1702,Sheet2!$A$2:$R$3432,2,0)</f>
        <v>2024-09-16 11:40:11</v>
      </c>
      <c r="C1702" s="5" t="s">
        <v>25</v>
      </c>
      <c r="D1702" s="6" t="s">
        <v>25</v>
      </c>
      <c r="E1702" s="7">
        <f>VLOOKUP(A1702,Sheet2!$A$2:$R$3432,4,0)</f>
        <v>7066341364</v>
      </c>
      <c r="F1702" s="7" t="str">
        <f>VLOOKUP(A1702,Sheet2!$A$2:$R$3432,3,0)</f>
        <v>SHALIK</v>
      </c>
      <c r="G1702" s="5" t="s">
        <v>25</v>
      </c>
      <c r="H1702" s="5" t="s">
        <v>25</v>
      </c>
      <c r="I1702" s="5" t="s">
        <v>25</v>
      </c>
      <c r="J1702" s="5" t="s">
        <v>25</v>
      </c>
      <c r="K1702" s="7" t="str">
        <f>VLOOKUP(A1702,Sheet2!$A$2:$R$3432,6,0)</f>
        <v>Yamaha R15 </v>
      </c>
      <c r="L1702" s="5" t="s">
        <v>25</v>
      </c>
      <c r="M1702" s="7" t="str">
        <f>VLOOKUP(A1702,Sheet2!$A$2:$R$3432,5,0)</f>
        <v>AS01BF0733</v>
      </c>
      <c r="N1702" s="5" t="s">
        <v>25</v>
      </c>
      <c r="O1702" s="5" t="s">
        <v>25</v>
      </c>
      <c r="P1702" s="6" t="s">
        <v>25</v>
      </c>
      <c r="Q1702" s="5" t="s">
        <v>25</v>
      </c>
      <c r="R1702" s="5" t="s">
        <v>25</v>
      </c>
      <c r="S1702" s="5" t="str">
        <f>VLOOKUP(A1702,Sheet2!$A$2:$R$3432,18,0)</f>
        <v>11K4006982</v>
      </c>
      <c r="T1702" s="7" t="str">
        <f>VLOOKUP(A1702,Sheet2!$A$2:$R$3432,17,0)</f>
        <v>ME11CK045D3006987</v>
      </c>
    </row>
    <row r="1703" ht="15.75" customHeight="1">
      <c r="A1703" s="3" t="s">
        <v>1726</v>
      </c>
      <c r="B1703" s="4" t="str">
        <f>VLOOKUP(A1703,Sheet2!$A$2:$R$3432,2,0)</f>
        <v>2024-09-16 11:39:22</v>
      </c>
      <c r="C1703" s="5" t="s">
        <v>25</v>
      </c>
      <c r="D1703" s="6" t="s">
        <v>25</v>
      </c>
      <c r="E1703" s="7">
        <f>VLOOKUP(A1703,Sheet2!$A$2:$R$3432,4,0)</f>
        <v>9009824546</v>
      </c>
      <c r="F1703" s="7" t="str">
        <f>VLOOKUP(A1703,Sheet2!$A$2:$R$3432,3,0)</f>
        <v>JAYESH</v>
      </c>
      <c r="G1703" s="5" t="s">
        <v>25</v>
      </c>
      <c r="H1703" s="5" t="s">
        <v>25</v>
      </c>
      <c r="I1703" s="5" t="s">
        <v>25</v>
      </c>
      <c r="J1703" s="5" t="s">
        <v>25</v>
      </c>
      <c r="K1703" s="7" t="str">
        <f>VLOOKUP(A1703,Sheet2!$A$2:$R$3432,6,0)</f>
        <v>Yamaha FZ S 2.0</v>
      </c>
      <c r="L1703" s="5" t="s">
        <v>25</v>
      </c>
      <c r="M1703" s="7" t="str">
        <f>VLOOKUP(A1703,Sheet2!$A$2:$R$3432,5,0)</f>
        <v>MP09QN1980</v>
      </c>
      <c r="N1703" s="5" t="s">
        <v>25</v>
      </c>
      <c r="O1703" s="5" t="s">
        <v>25</v>
      </c>
      <c r="P1703" s="6" t="s">
        <v>25</v>
      </c>
      <c r="Q1703" s="5" t="s">
        <v>25</v>
      </c>
      <c r="R1703" s="5" t="s">
        <v>25</v>
      </c>
      <c r="S1703" s="7" t="str">
        <f>VLOOKUP(A1703,Sheet2!$A$2:$R$3432,18,0)</f>
        <v/>
      </c>
      <c r="T1703" s="7" t="str">
        <f>VLOOKUP(A1703,Sheet2!$A$2:$R$3432,17,0)</f>
        <v/>
      </c>
    </row>
    <row r="1704" ht="15.75" customHeight="1">
      <c r="A1704" s="3" t="s">
        <v>1727</v>
      </c>
      <c r="B1704" s="4" t="str">
        <f>VLOOKUP(A1704,Sheet2!$A$2:$R$3432,2,0)</f>
        <v>2024-09-16 11:41:13</v>
      </c>
      <c r="C1704" s="5" t="s">
        <v>25</v>
      </c>
      <c r="D1704" s="6" t="s">
        <v>25</v>
      </c>
      <c r="E1704" s="7">
        <f>VLOOKUP(A1704,Sheet2!$A$2:$R$3432,4,0)</f>
        <v>9765559057</v>
      </c>
      <c r="F1704" s="7" t="str">
        <f>VLOOKUP(A1704,Sheet2!$A$2:$R$3432,3,0)</f>
        <v>PARAG </v>
      </c>
      <c r="G1704" s="5" t="s">
        <v>25</v>
      </c>
      <c r="H1704" s="5" t="s">
        <v>25</v>
      </c>
      <c r="I1704" s="5" t="s">
        <v>25</v>
      </c>
      <c r="J1704" s="5" t="s">
        <v>25</v>
      </c>
      <c r="K1704" s="7" t="str">
        <f>VLOOKUP(A1704,Sheet2!$A$2:$R$3432,6,0)</f>
        <v>Honda Activa 110</v>
      </c>
      <c r="L1704" s="5" t="s">
        <v>25</v>
      </c>
      <c r="M1704" s="7" t="str">
        <f>VLOOKUP(A1704,Sheet2!$A$2:$R$3432,5,0)</f>
        <v>MH14CA9718</v>
      </c>
      <c r="N1704" s="5" t="s">
        <v>25</v>
      </c>
      <c r="O1704" s="5" t="s">
        <v>25</v>
      </c>
      <c r="P1704" s="6" t="s">
        <v>25</v>
      </c>
      <c r="Q1704" s="5" t="s">
        <v>25</v>
      </c>
      <c r="R1704" s="5" t="s">
        <v>25</v>
      </c>
      <c r="S1704" s="7" t="str">
        <f>VLOOKUP(A1704,Sheet2!$A$2:$R$3432,18,0)</f>
        <v/>
      </c>
      <c r="T1704" s="7" t="str">
        <f>VLOOKUP(A1704,Sheet2!$A$2:$R$3432,17,0)</f>
        <v/>
      </c>
    </row>
    <row r="1705" ht="15.75" customHeight="1">
      <c r="A1705" s="3" t="s">
        <v>1728</v>
      </c>
      <c r="B1705" s="4" t="str">
        <f>VLOOKUP(A1705,Sheet2!$A$2:$R$3432,2,0)</f>
        <v>2024-09-16 11:33:05</v>
      </c>
      <c r="C1705" s="5" t="s">
        <v>25</v>
      </c>
      <c r="D1705" s="6" t="s">
        <v>25</v>
      </c>
      <c r="E1705" s="7">
        <f>VLOOKUP(A1705,Sheet2!$A$2:$R$3432,4,0)</f>
        <v>9885183711</v>
      </c>
      <c r="F1705" s="7" t="str">
        <f>VLOOKUP(A1705,Sheet2!$A$2:$R$3432,3,0)</f>
        <v>Vamsi</v>
      </c>
      <c r="G1705" s="5" t="s">
        <v>25</v>
      </c>
      <c r="H1705" s="5" t="s">
        <v>25</v>
      </c>
      <c r="I1705" s="5" t="s">
        <v>25</v>
      </c>
      <c r="J1705" s="5" t="s">
        <v>25</v>
      </c>
      <c r="K1705" s="7" t="str">
        <f>VLOOKUP(A1705,Sheet2!$A$2:$R$3432,6,0)</f>
        <v>Honda Unicorn </v>
      </c>
      <c r="L1705" s="5" t="s">
        <v>25</v>
      </c>
      <c r="M1705" s="7" t="str">
        <f>VLOOKUP(A1705,Sheet2!$A$2:$R$3432,5,0)</f>
        <v>KA01JE5712</v>
      </c>
      <c r="N1705" s="5" t="s">
        <v>25</v>
      </c>
      <c r="O1705" s="5" t="s">
        <v>25</v>
      </c>
      <c r="P1705" s="6" t="s">
        <v>25</v>
      </c>
      <c r="Q1705" s="5" t="s">
        <v>25</v>
      </c>
      <c r="R1705" s="5" t="s">
        <v>25</v>
      </c>
      <c r="S1705" s="7" t="str">
        <f>VLOOKUP(A1705,Sheet2!$A$2:$R$3432,18,0)</f>
        <v/>
      </c>
      <c r="T1705" s="7" t="str">
        <f>VLOOKUP(A1705,Sheet2!$A$2:$R$3432,17,0)</f>
        <v/>
      </c>
    </row>
    <row r="1706" ht="15.75" customHeight="1">
      <c r="A1706" s="3" t="s">
        <v>1729</v>
      </c>
      <c r="B1706" s="4" t="str">
        <f>VLOOKUP(A1706,Sheet2!$A$2:$R$3432,2,0)</f>
        <v>2024-09-16 11:33:38</v>
      </c>
      <c r="C1706" s="5" t="s">
        <v>25</v>
      </c>
      <c r="D1706" s="6" t="s">
        <v>25</v>
      </c>
      <c r="E1706" s="7">
        <f>VLOOKUP(A1706,Sheet2!$A$2:$R$3432,4,0)</f>
        <v>8805759519</v>
      </c>
      <c r="F1706" s="7" t="str">
        <f>VLOOKUP(A1706,Sheet2!$A$2:$R$3432,3,0)</f>
        <v>SAVITA THORAT</v>
      </c>
      <c r="G1706" s="5" t="s">
        <v>25</v>
      </c>
      <c r="H1706" s="5" t="s">
        <v>25</v>
      </c>
      <c r="I1706" s="5" t="s">
        <v>25</v>
      </c>
      <c r="J1706" s="5" t="s">
        <v>25</v>
      </c>
      <c r="K1706" s="7" t="str">
        <f>VLOOKUP(A1706,Sheet2!$A$2:$R$3432,6,0)</f>
        <v>Honda Activa 6G</v>
      </c>
      <c r="L1706" s="5" t="s">
        <v>25</v>
      </c>
      <c r="M1706" s="7" t="str">
        <f>VLOOKUP(A1706,Sheet2!$A$2:$R$3432,5,0)</f>
        <v>MH14JN1102</v>
      </c>
      <c r="N1706" s="5" t="s">
        <v>25</v>
      </c>
      <c r="O1706" s="5" t="s">
        <v>25</v>
      </c>
      <c r="P1706" s="6" t="s">
        <v>25</v>
      </c>
      <c r="Q1706" s="5" t="s">
        <v>25</v>
      </c>
      <c r="R1706" s="5" t="s">
        <v>25</v>
      </c>
      <c r="S1706" s="5" t="str">
        <f>VLOOKUP(A1706,Sheet2!$A$2:$R$3432,18,0)</f>
        <v>JF91ED2011338</v>
      </c>
      <c r="T1706" s="7" t="str">
        <f>VLOOKUP(A1706,Sheet2!$A$2:$R$3432,17,0)</f>
        <v>ME4JF916BMD011328</v>
      </c>
    </row>
    <row r="1707" ht="15.75" customHeight="1">
      <c r="A1707" s="3" t="s">
        <v>1730</v>
      </c>
      <c r="B1707" s="4" t="str">
        <f>VLOOKUP(A1707,Sheet2!$A$2:$R$3432,2,0)</f>
        <v>2024-09-16 11:36:15</v>
      </c>
      <c r="C1707" s="5" t="s">
        <v>25</v>
      </c>
      <c r="D1707" s="6" t="s">
        <v>25</v>
      </c>
      <c r="E1707" s="7">
        <f>VLOOKUP(A1707,Sheet2!$A$2:$R$3432,4,0)</f>
        <v>8766884095</v>
      </c>
      <c r="F1707" s="7" t="str">
        <f>VLOOKUP(A1707,Sheet2!$A$2:$R$3432,3,0)</f>
        <v>Rohit Indulkar</v>
      </c>
      <c r="G1707" s="5" t="s">
        <v>25</v>
      </c>
      <c r="H1707" s="5" t="s">
        <v>25</v>
      </c>
      <c r="I1707" s="5" t="s">
        <v>25</v>
      </c>
      <c r="J1707" s="5" t="s">
        <v>25</v>
      </c>
      <c r="K1707" s="7" t="str">
        <f>VLOOKUP(A1707,Sheet2!$A$2:$R$3432,6,0)</f>
        <v>Yamaha FZ V3</v>
      </c>
      <c r="L1707" s="5" t="s">
        <v>25</v>
      </c>
      <c r="M1707" s="7" t="str">
        <f>VLOOKUP(A1707,Sheet2!$A$2:$R$3432,5,0)</f>
        <v>CG11BG7011</v>
      </c>
      <c r="N1707" s="5" t="s">
        <v>25</v>
      </c>
      <c r="O1707" s="5" t="s">
        <v>25</v>
      </c>
      <c r="P1707" s="6" t="s">
        <v>25</v>
      </c>
      <c r="Q1707" s="5" t="s">
        <v>25</v>
      </c>
      <c r="R1707" s="5" t="s">
        <v>25</v>
      </c>
      <c r="S1707" s="7" t="str">
        <f>VLOOKUP(A1707,Sheet2!$A$2:$R$3432,18,0)</f>
        <v/>
      </c>
      <c r="T1707" s="7" t="str">
        <f>VLOOKUP(A1707,Sheet2!$A$2:$R$3432,17,0)</f>
        <v/>
      </c>
    </row>
    <row r="1708" ht="15.75" customHeight="1">
      <c r="A1708" s="3" t="s">
        <v>1731</v>
      </c>
      <c r="B1708" s="4" t="str">
        <f>VLOOKUP(A1708,Sheet2!$A$2:$R$3432,2,0)</f>
        <v>2024-09-16 11:38:22</v>
      </c>
      <c r="C1708" s="5" t="s">
        <v>25</v>
      </c>
      <c r="D1708" s="6" t="s">
        <v>25</v>
      </c>
      <c r="E1708" s="7">
        <f>VLOOKUP(A1708,Sheet2!$A$2:$R$3432,4,0)</f>
        <v>8888845632</v>
      </c>
      <c r="F1708" s="7" t="str">
        <f>VLOOKUP(A1708,Sheet2!$A$2:$R$3432,3,0)</f>
        <v>Amit</v>
      </c>
      <c r="G1708" s="5" t="s">
        <v>25</v>
      </c>
      <c r="H1708" s="5" t="s">
        <v>25</v>
      </c>
      <c r="I1708" s="5" t="s">
        <v>25</v>
      </c>
      <c r="J1708" s="5" t="s">
        <v>25</v>
      </c>
      <c r="K1708" s="7" t="str">
        <f>VLOOKUP(A1708,Sheet2!$A$2:$R$3432,6,0)</f>
        <v>Honda Aviator No Data</v>
      </c>
      <c r="L1708" s="5" t="s">
        <v>25</v>
      </c>
      <c r="M1708" s="7" t="str">
        <f>VLOOKUP(A1708,Sheet2!$A$2:$R$3432,5,0)</f>
        <v>MH14EL1432</v>
      </c>
      <c r="N1708" s="5" t="s">
        <v>25</v>
      </c>
      <c r="O1708" s="5" t="s">
        <v>25</v>
      </c>
      <c r="P1708" s="6" t="s">
        <v>25</v>
      </c>
      <c r="Q1708" s="5" t="s">
        <v>25</v>
      </c>
      <c r="R1708" s="5" t="s">
        <v>25</v>
      </c>
      <c r="S1708" s="5" t="str">
        <f>VLOOKUP(A1708,Sheet2!$A$2:$R$3432,18,0)</f>
        <v>JF21E0098635</v>
      </c>
      <c r="T1708" s="7" t="str">
        <f>VLOOKUP(A1708,Sheet2!$A$2:$R$3432,17,0)</f>
        <v>ME4JF211898676086</v>
      </c>
    </row>
    <row r="1709" ht="15.75" customHeight="1">
      <c r="A1709" s="3" t="s">
        <v>1732</v>
      </c>
      <c r="B1709" s="4" t="str">
        <f>VLOOKUP(A1709,Sheet2!$A$2:$R$3432,2,0)</f>
        <v>2024-09-16 11:42:13</v>
      </c>
      <c r="C1709" s="5" t="s">
        <v>25</v>
      </c>
      <c r="D1709" s="6" t="s">
        <v>25</v>
      </c>
      <c r="E1709" s="7">
        <f>VLOOKUP(A1709,Sheet2!$A$2:$R$3432,4,0)</f>
        <v>9763986995</v>
      </c>
      <c r="F1709" s="7" t="str">
        <f>VLOOKUP(A1709,Sheet2!$A$2:$R$3432,3,0)</f>
        <v>Sumit Pande</v>
      </c>
      <c r="G1709" s="5" t="s">
        <v>25</v>
      </c>
      <c r="H1709" s="5" t="s">
        <v>25</v>
      </c>
      <c r="I1709" s="5" t="s">
        <v>25</v>
      </c>
      <c r="J1709" s="5" t="s">
        <v>25</v>
      </c>
      <c r="K1709" s="7" t="str">
        <f>VLOOKUP(A1709,Sheet2!$A$2:$R$3432,6,0)</f>
        <v>Yamaha FZ </v>
      </c>
      <c r="L1709" s="5" t="s">
        <v>25</v>
      </c>
      <c r="M1709" s="7" t="str">
        <f>VLOOKUP(A1709,Sheet2!$A$2:$R$3432,5,0)</f>
        <v>MH20FC8116</v>
      </c>
      <c r="N1709" s="5" t="s">
        <v>25</v>
      </c>
      <c r="O1709" s="5" t="s">
        <v>25</v>
      </c>
      <c r="P1709" s="6" t="s">
        <v>25</v>
      </c>
      <c r="Q1709" s="5" t="s">
        <v>25</v>
      </c>
      <c r="R1709" s="5" t="s">
        <v>25</v>
      </c>
      <c r="S1709" s="7" t="str">
        <f>VLOOKUP(A1709,Sheet2!$A$2:$R$3432,18,0)</f>
        <v/>
      </c>
      <c r="T1709" s="7" t="str">
        <f>VLOOKUP(A1709,Sheet2!$A$2:$R$3432,17,0)</f>
        <v/>
      </c>
    </row>
    <row r="1710" ht="15.75" customHeight="1">
      <c r="A1710" s="3" t="s">
        <v>1733</v>
      </c>
      <c r="B1710" s="4" t="str">
        <f>VLOOKUP(A1710,Sheet2!$A$2:$R$3432,2,0)</f>
        <v>2025-06-28 20:26:12</v>
      </c>
      <c r="C1710" s="5" t="s">
        <v>25</v>
      </c>
      <c r="D1710" s="6" t="s">
        <v>25</v>
      </c>
      <c r="E1710" s="7">
        <f>VLOOKUP(A1710,Sheet2!$A$2:$R$3432,4,0)</f>
        <v>9146526026</v>
      </c>
      <c r="F1710" s="7" t="str">
        <f>VLOOKUP(A1710,Sheet2!$A$2:$R$3432,3,0)</f>
        <v>SHIVANI</v>
      </c>
      <c r="G1710" s="5" t="s">
        <v>25</v>
      </c>
      <c r="H1710" s="5" t="s">
        <v>25</v>
      </c>
      <c r="I1710" s="5" t="s">
        <v>25</v>
      </c>
      <c r="J1710" s="5" t="s">
        <v>25</v>
      </c>
      <c r="K1710" s="7" t="str">
        <f>VLOOKUP(A1710,Sheet2!$A$2:$R$3432,6,0)</f>
        <v>Honda Activa 6G</v>
      </c>
      <c r="L1710" s="5" t="s">
        <v>25</v>
      </c>
      <c r="M1710" s="7" t="str">
        <f>VLOOKUP(A1710,Sheet2!$A$2:$R$3432,5,0)</f>
        <v>MH26CA5834</v>
      </c>
      <c r="N1710" s="5" t="s">
        <v>25</v>
      </c>
      <c r="O1710" s="5" t="s">
        <v>25</v>
      </c>
      <c r="P1710" s="6" t="s">
        <v>25</v>
      </c>
      <c r="Q1710" s="5" t="s">
        <v>25</v>
      </c>
      <c r="R1710" s="5" t="s">
        <v>25</v>
      </c>
      <c r="S1710" s="5" t="str">
        <f>VLOOKUP(A1710,Sheet2!$A$2:$R$3432,18,0)</f>
        <v>JF91EW4027957</v>
      </c>
      <c r="T1710" s="7" t="str">
        <f>VLOOKUP(A1710,Sheet2!$A$2:$R$3432,17,0)</f>
        <v>ME4JF917MMW028044</v>
      </c>
    </row>
    <row r="1711" ht="15.75" customHeight="1">
      <c r="A1711" s="3" t="s">
        <v>1734</v>
      </c>
      <c r="B1711" s="4" t="str">
        <f>VLOOKUP(A1711,Sheet2!$A$2:$R$3432,2,0)</f>
        <v>2025-06-28 20:27:08</v>
      </c>
      <c r="C1711" s="5" t="s">
        <v>25</v>
      </c>
      <c r="D1711" s="6" t="s">
        <v>25</v>
      </c>
      <c r="E1711" s="7">
        <f>VLOOKUP(A1711,Sheet2!$A$2:$R$3432,4,0)</f>
        <v>9746902446</v>
      </c>
      <c r="F1711" s="7" t="str">
        <f>VLOOKUP(A1711,Sheet2!$A$2:$R$3432,3,0)</f>
        <v>Rino</v>
      </c>
      <c r="G1711" s="5" t="s">
        <v>25</v>
      </c>
      <c r="H1711" s="5" t="s">
        <v>25</v>
      </c>
      <c r="I1711" s="5" t="s">
        <v>25</v>
      </c>
      <c r="J1711" s="5" t="s">
        <v>25</v>
      </c>
      <c r="K1711" s="7" t="str">
        <f>VLOOKUP(A1711,Sheet2!$A$2:$R$3432,6,0)</f>
        <v>Hero Deluxe CD</v>
      </c>
      <c r="L1711" s="5" t="s">
        <v>25</v>
      </c>
      <c r="M1711" s="7" t="str">
        <f>VLOOKUP(A1711,Sheet2!$A$2:$R$3432,5,0)</f>
        <v>KL45G6310</v>
      </c>
      <c r="N1711" s="5" t="s">
        <v>25</v>
      </c>
      <c r="O1711" s="5" t="s">
        <v>25</v>
      </c>
      <c r="P1711" s="6" t="s">
        <v>25</v>
      </c>
      <c r="Q1711" s="5" t="s">
        <v>25</v>
      </c>
      <c r="R1711" s="5" t="s">
        <v>25</v>
      </c>
      <c r="S1711" s="5" t="str">
        <f>VLOOKUP(A1711,Sheet2!$A$2:$R$3432,18,0)</f>
        <v>HA11609L28040</v>
      </c>
      <c r="T1711" s="7" t="str">
        <f>VLOOKUP(A1711,Sheet2!$A$2:$R$3432,17,0)</f>
        <v/>
      </c>
    </row>
    <row r="1712" ht="15.75" customHeight="1">
      <c r="A1712" s="3" t="s">
        <v>1735</v>
      </c>
      <c r="B1712" s="4" t="str">
        <f>VLOOKUP(A1712,Sheet2!$A$2:$R$3432,2,0)</f>
        <v>2025-06-28 20:28:39</v>
      </c>
      <c r="C1712" s="5" t="s">
        <v>25</v>
      </c>
      <c r="D1712" s="6" t="s">
        <v>25</v>
      </c>
      <c r="E1712" s="7">
        <f>VLOOKUP(A1712,Sheet2!$A$2:$R$3432,4,0)</f>
        <v>8668610879</v>
      </c>
      <c r="F1712" s="7" t="str">
        <f>VLOOKUP(A1712,Sheet2!$A$2:$R$3432,3,0)</f>
        <v>LAKSH</v>
      </c>
      <c r="G1712" s="5" t="s">
        <v>25</v>
      </c>
      <c r="H1712" s="5" t="s">
        <v>25</v>
      </c>
      <c r="I1712" s="5" t="s">
        <v>25</v>
      </c>
      <c r="J1712" s="5" t="s">
        <v>25</v>
      </c>
      <c r="K1712" s="7" t="str">
        <f>VLOOKUP(A1712,Sheet2!$A$2:$R$3432,6,0)</f>
        <v>Honda Activa 3G</v>
      </c>
      <c r="L1712" s="5" t="s">
        <v>25</v>
      </c>
      <c r="M1712" s="7" t="str">
        <f>VLOOKUP(A1712,Sheet2!$A$2:$R$3432,5,0)</f>
        <v>MH16BX1559</v>
      </c>
      <c r="N1712" s="5" t="s">
        <v>25</v>
      </c>
      <c r="O1712" s="5" t="s">
        <v>25</v>
      </c>
      <c r="P1712" s="6" t="s">
        <v>25</v>
      </c>
      <c r="Q1712" s="5" t="s">
        <v>25</v>
      </c>
      <c r="R1712" s="5" t="s">
        <v>25</v>
      </c>
      <c r="S1712" s="7" t="str">
        <f>VLOOKUP(A1712,Sheet2!$A$2:$R$3432,18,0)</f>
        <v/>
      </c>
      <c r="T1712" s="7" t="str">
        <f>VLOOKUP(A1712,Sheet2!$A$2:$R$3432,17,0)</f>
        <v/>
      </c>
    </row>
    <row r="1713" ht="15.75" customHeight="1">
      <c r="A1713" s="3" t="s">
        <v>1736</v>
      </c>
      <c r="B1713" s="4" t="str">
        <f>VLOOKUP(A1713,Sheet2!$A$2:$R$3432,2,0)</f>
        <v>2025-06-28 20:37:12</v>
      </c>
      <c r="C1713" s="5" t="s">
        <v>25</v>
      </c>
      <c r="D1713" s="6" t="s">
        <v>25</v>
      </c>
      <c r="E1713" s="7">
        <f>VLOOKUP(A1713,Sheet2!$A$2:$R$3432,4,0)</f>
        <v>8261957133</v>
      </c>
      <c r="F1713" s="7" t="str">
        <f>VLOOKUP(A1713,Sheet2!$A$2:$R$3432,3,0)</f>
        <v>Vaibhav</v>
      </c>
      <c r="G1713" s="5" t="s">
        <v>25</v>
      </c>
      <c r="H1713" s="5" t="s">
        <v>25</v>
      </c>
      <c r="I1713" s="5" t="s">
        <v>25</v>
      </c>
      <c r="J1713" s="5" t="s">
        <v>25</v>
      </c>
      <c r="K1713" s="7" t="str">
        <f>VLOOKUP(A1713,Sheet2!$A$2:$R$3432,6,0)</f>
        <v>Bajaj Discover 100</v>
      </c>
      <c r="L1713" s="5" t="s">
        <v>25</v>
      </c>
      <c r="M1713" s="7" t="str">
        <f>VLOOKUP(A1713,Sheet2!$A$2:$R$3432,5,0)</f>
        <v>MH11BU5062</v>
      </c>
      <c r="N1713" s="5" t="s">
        <v>25</v>
      </c>
      <c r="O1713" s="5" t="s">
        <v>25</v>
      </c>
      <c r="P1713" s="6" t="s">
        <v>25</v>
      </c>
      <c r="Q1713" s="5" t="s">
        <v>25</v>
      </c>
      <c r="R1713" s="5" t="s">
        <v>25</v>
      </c>
      <c r="S1713" s="7" t="str">
        <f>VLOOKUP(A1713,Sheet2!$A$2:$R$3432,18,0)</f>
        <v/>
      </c>
      <c r="T1713" s="7" t="str">
        <f>VLOOKUP(A1713,Sheet2!$A$2:$R$3432,17,0)</f>
        <v/>
      </c>
    </row>
    <row r="1714" ht="15.75" customHeight="1">
      <c r="A1714" s="3" t="s">
        <v>1737</v>
      </c>
      <c r="B1714" s="4" t="str">
        <f>VLOOKUP(A1714,Sheet2!$A$2:$R$3432,2,0)</f>
        <v>2025-06-28 20:31:13</v>
      </c>
      <c r="C1714" s="5" t="s">
        <v>25</v>
      </c>
      <c r="D1714" s="6" t="s">
        <v>25</v>
      </c>
      <c r="E1714" s="7">
        <f>VLOOKUP(A1714,Sheet2!$A$2:$R$3432,4,0)</f>
        <v>7709153857</v>
      </c>
      <c r="F1714" s="7" t="str">
        <f>VLOOKUP(A1714,Sheet2!$A$2:$R$3432,3,0)</f>
        <v>Jitendra </v>
      </c>
      <c r="G1714" s="5" t="s">
        <v>25</v>
      </c>
      <c r="H1714" s="5" t="s">
        <v>25</v>
      </c>
      <c r="I1714" s="5" t="s">
        <v>25</v>
      </c>
      <c r="J1714" s="5" t="s">
        <v>25</v>
      </c>
      <c r="K1714" s="7" t="str">
        <f>VLOOKUP(A1714,Sheet2!$A$2:$R$3432,6,0)</f>
        <v>TVS Scooty Streak</v>
      </c>
      <c r="L1714" s="5" t="s">
        <v>25</v>
      </c>
      <c r="M1714" s="7" t="str">
        <f>VLOOKUP(A1714,Sheet2!$A$2:$R$3432,5,0)</f>
        <v>MH14DZ515</v>
      </c>
      <c r="N1714" s="5" t="s">
        <v>25</v>
      </c>
      <c r="O1714" s="5" t="s">
        <v>25</v>
      </c>
      <c r="P1714" s="6" t="s">
        <v>25</v>
      </c>
      <c r="Q1714" s="5" t="s">
        <v>25</v>
      </c>
      <c r="R1714" s="5" t="s">
        <v>25</v>
      </c>
      <c r="S1714" s="7" t="str">
        <f>VLOOKUP(A1714,Sheet2!$A$2:$R$3432,18,0)</f>
        <v/>
      </c>
      <c r="T1714" s="7" t="str">
        <f>VLOOKUP(A1714,Sheet2!$A$2:$R$3432,17,0)</f>
        <v/>
      </c>
    </row>
    <row r="1715" ht="15.75" customHeight="1">
      <c r="A1715" s="3" t="s">
        <v>1738</v>
      </c>
      <c r="B1715" s="4" t="str">
        <f>VLOOKUP(A1715,Sheet2!$A$2:$R$3432,2,0)</f>
        <v>2025-06-28 11:37:51</v>
      </c>
      <c r="C1715" s="5" t="s">
        <v>25</v>
      </c>
      <c r="D1715" s="6" t="s">
        <v>25</v>
      </c>
      <c r="E1715" s="7">
        <f>VLOOKUP(A1715,Sheet2!$A$2:$R$3432,4,0)</f>
        <v>9011213042</v>
      </c>
      <c r="F1715" s="7" t="str">
        <f>VLOOKUP(A1715,Sheet2!$A$2:$R$3432,3,0)</f>
        <v>Ramesh Jadhav</v>
      </c>
      <c r="G1715" s="5" t="s">
        <v>25</v>
      </c>
      <c r="H1715" s="5" t="s">
        <v>25</v>
      </c>
      <c r="I1715" s="5" t="s">
        <v>25</v>
      </c>
      <c r="J1715" s="5" t="s">
        <v>25</v>
      </c>
      <c r="K1715" s="7" t="str">
        <f>VLOOKUP(A1715,Sheet2!$A$2:$R$3432,6,0)</f>
        <v>Hero Splendor PRO</v>
      </c>
      <c r="L1715" s="5" t="s">
        <v>25</v>
      </c>
      <c r="M1715" s="7" t="str">
        <f>VLOOKUP(A1715,Sheet2!$A$2:$R$3432,5,0)</f>
        <v>MH14EW1373</v>
      </c>
      <c r="N1715" s="5" t="s">
        <v>25</v>
      </c>
      <c r="O1715" s="5" t="s">
        <v>25</v>
      </c>
      <c r="P1715" s="6" t="s">
        <v>25</v>
      </c>
      <c r="Q1715" s="5" t="s">
        <v>25</v>
      </c>
      <c r="R1715" s="5" t="s">
        <v>25</v>
      </c>
      <c r="S1715" s="7" t="str">
        <f>VLOOKUP(A1715,Sheet2!$A$2:$R$3432,18,0)</f>
        <v/>
      </c>
      <c r="T1715" s="7" t="str">
        <f>VLOOKUP(A1715,Sheet2!$A$2:$R$3432,17,0)</f>
        <v>MBLHA10BFE9M08342</v>
      </c>
    </row>
    <row r="1716" ht="15.75" customHeight="1">
      <c r="A1716" s="3" t="s">
        <v>1739</v>
      </c>
      <c r="B1716" s="4" t="str">
        <f>VLOOKUP(A1716,Sheet2!$A$2:$R$3432,2,0)</f>
        <v>2025-06-28 20:42:22</v>
      </c>
      <c r="C1716" s="5" t="s">
        <v>25</v>
      </c>
      <c r="D1716" s="6" t="s">
        <v>25</v>
      </c>
      <c r="E1716" s="7">
        <f>VLOOKUP(A1716,Sheet2!$A$2:$R$3432,4,0)</f>
        <v>9552429521</v>
      </c>
      <c r="F1716" s="7" t="str">
        <f>VLOOKUP(A1716,Sheet2!$A$2:$R$3432,3,0)</f>
        <v>PRATHAMESH</v>
      </c>
      <c r="G1716" s="5" t="s">
        <v>25</v>
      </c>
      <c r="H1716" s="5" t="s">
        <v>25</v>
      </c>
      <c r="I1716" s="5" t="s">
        <v>25</v>
      </c>
      <c r="J1716" s="5" t="s">
        <v>25</v>
      </c>
      <c r="K1716" s="7" t="str">
        <f>VLOOKUP(A1716,Sheet2!$A$2:$R$3432,6,0)</f>
        <v>Yamaha FZ V3</v>
      </c>
      <c r="L1716" s="5" t="s">
        <v>25</v>
      </c>
      <c r="M1716" s="7" t="str">
        <f>VLOOKUP(A1716,Sheet2!$A$2:$R$3432,5,0)</f>
        <v>MH12UD6128</v>
      </c>
      <c r="N1716" s="5" t="s">
        <v>25</v>
      </c>
      <c r="O1716" s="5" t="s">
        <v>25</v>
      </c>
      <c r="P1716" s="6" t="s">
        <v>25</v>
      </c>
      <c r="Q1716" s="5" t="s">
        <v>25</v>
      </c>
      <c r="R1716" s="5" t="s">
        <v>25</v>
      </c>
      <c r="S1716" s="5" t="str">
        <f>VLOOKUP(A1716,Sheet2!$A$2:$R$3432,18,0)</f>
        <v>G3N5E0197759</v>
      </c>
      <c r="T1716" s="7" t="str">
        <f>VLOOKUP(A1716,Sheet2!$A$2:$R$3432,17,0)</f>
        <v>ME1RG66G2N0009204</v>
      </c>
    </row>
    <row r="1717" ht="15.75" customHeight="1">
      <c r="A1717" s="3" t="s">
        <v>1740</v>
      </c>
      <c r="B1717" s="4" t="str">
        <f>VLOOKUP(A1717,Sheet2!$A$2:$R$3432,2,0)</f>
        <v>2025-06-28 20:32:18</v>
      </c>
      <c r="C1717" s="5" t="s">
        <v>25</v>
      </c>
      <c r="D1717" s="6" t="s">
        <v>25</v>
      </c>
      <c r="E1717" s="7">
        <f>VLOOKUP(A1717,Sheet2!$A$2:$R$3432,4,0)</f>
        <v>7038666780</v>
      </c>
      <c r="F1717" s="7" t="str">
        <f>VLOOKUP(A1717,Sheet2!$A$2:$R$3432,3,0)</f>
        <v>Govind Deshmukh </v>
      </c>
      <c r="G1717" s="5" t="s">
        <v>25</v>
      </c>
      <c r="H1717" s="5" t="s">
        <v>25</v>
      </c>
      <c r="I1717" s="5" t="s">
        <v>25</v>
      </c>
      <c r="J1717" s="5" t="s">
        <v>25</v>
      </c>
      <c r="K1717" s="7" t="str">
        <f>VLOOKUP(A1717,Sheet2!$A$2:$R$3432,6,0)</f>
        <v>Honda Activa 3G</v>
      </c>
      <c r="L1717" s="5" t="s">
        <v>25</v>
      </c>
      <c r="M1717" s="7" t="str">
        <f>VLOOKUP(A1717,Sheet2!$A$2:$R$3432,5,0)</f>
        <v>MH20DY5081</v>
      </c>
      <c r="N1717" s="5" t="s">
        <v>25</v>
      </c>
      <c r="O1717" s="5" t="s">
        <v>25</v>
      </c>
      <c r="P1717" s="6" t="s">
        <v>25</v>
      </c>
      <c r="Q1717" s="5" t="s">
        <v>25</v>
      </c>
      <c r="R1717" s="5" t="s">
        <v>25</v>
      </c>
      <c r="S1717" s="7" t="str">
        <f>VLOOKUP(A1717,Sheet2!$A$2:$R$3432,18,0)</f>
        <v/>
      </c>
      <c r="T1717" s="7" t="str">
        <f>VLOOKUP(A1717,Sheet2!$A$2:$R$3432,17,0)</f>
        <v/>
      </c>
    </row>
    <row r="1718" ht="15.75" customHeight="1">
      <c r="A1718" s="3" t="s">
        <v>1741</v>
      </c>
      <c r="B1718" s="4" t="str">
        <f>VLOOKUP(A1718,Sheet2!$A$2:$R$3432,2,0)</f>
        <v>2025-06-28 20:36:20</v>
      </c>
      <c r="C1718" s="5" t="s">
        <v>25</v>
      </c>
      <c r="D1718" s="6" t="s">
        <v>25</v>
      </c>
      <c r="E1718" s="7">
        <f>VLOOKUP(A1718,Sheet2!$A$2:$R$3432,4,0)</f>
        <v>9172992292</v>
      </c>
      <c r="F1718" s="7" t="str">
        <f>VLOOKUP(A1718,Sheet2!$A$2:$R$3432,3,0)</f>
        <v>Sairaj</v>
      </c>
      <c r="G1718" s="5" t="s">
        <v>25</v>
      </c>
      <c r="H1718" s="5" t="s">
        <v>25</v>
      </c>
      <c r="I1718" s="5" t="s">
        <v>25</v>
      </c>
      <c r="J1718" s="5" t="s">
        <v>25</v>
      </c>
      <c r="K1718" s="7" t="str">
        <f>VLOOKUP(A1718,Sheet2!$A$2:$R$3432,6,0)</f>
        <v>Yamaha FZ V3</v>
      </c>
      <c r="L1718" s="5" t="s">
        <v>25</v>
      </c>
      <c r="M1718" s="7" t="str">
        <f>VLOOKUP(A1718,Sheet2!$A$2:$R$3432,5,0)</f>
        <v>MH26CD0564</v>
      </c>
      <c r="N1718" s="5" t="s">
        <v>25</v>
      </c>
      <c r="O1718" s="5" t="s">
        <v>25</v>
      </c>
      <c r="P1718" s="6" t="s">
        <v>25</v>
      </c>
      <c r="Q1718" s="5" t="s">
        <v>25</v>
      </c>
      <c r="R1718" s="5" t="s">
        <v>25</v>
      </c>
      <c r="S1718" s="5" t="str">
        <f>VLOOKUP(A1718,Sheet2!$A$2:$R$3432,18,0)</f>
        <v>G3N3E0234542</v>
      </c>
      <c r="T1718" s="7" t="str">
        <f>VLOOKUP(A1718,Sheet2!$A$2:$R$3432,17,0)</f>
        <v>ME1RG6689N0019141</v>
      </c>
    </row>
    <row r="1719" ht="15.75" customHeight="1">
      <c r="A1719" s="3" t="s">
        <v>1742</v>
      </c>
      <c r="B1719" s="4" t="str">
        <f>VLOOKUP(A1719,Sheet2!$A$2:$R$3432,2,0)</f>
        <v>2025-06-28 20:34:47</v>
      </c>
      <c r="C1719" s="5" t="s">
        <v>25</v>
      </c>
      <c r="D1719" s="6" t="s">
        <v>25</v>
      </c>
      <c r="E1719" s="7">
        <f>VLOOKUP(A1719,Sheet2!$A$2:$R$3432,4,0)</f>
        <v>9763720656</v>
      </c>
      <c r="F1719" s="7" t="str">
        <f>VLOOKUP(A1719,Sheet2!$A$2:$R$3432,3,0)</f>
        <v>Sudeep Sachdev</v>
      </c>
      <c r="G1719" s="5" t="s">
        <v>25</v>
      </c>
      <c r="H1719" s="5" t="s">
        <v>25</v>
      </c>
      <c r="I1719" s="5" t="s">
        <v>25</v>
      </c>
      <c r="J1719" s="5" t="s">
        <v>25</v>
      </c>
      <c r="K1719" s="7" t="str">
        <f>VLOOKUP(A1719,Sheet2!$A$2:$R$3432,6,0)</f>
        <v>Honda Activa HET</v>
      </c>
      <c r="L1719" s="5" t="s">
        <v>25</v>
      </c>
      <c r="M1719" s="7" t="str">
        <f>VLOOKUP(A1719,Sheet2!$A$2:$R$3432,5,0)</f>
        <v>MH14EG6195</v>
      </c>
      <c r="N1719" s="5" t="s">
        <v>25</v>
      </c>
      <c r="O1719" s="5" t="s">
        <v>25</v>
      </c>
      <c r="P1719" s="6" t="s">
        <v>25</v>
      </c>
      <c r="Q1719" s="5" t="s">
        <v>25</v>
      </c>
      <c r="R1719" s="5" t="s">
        <v>25</v>
      </c>
      <c r="S1719" s="5" t="str">
        <f>VLOOKUP(A1719,Sheet2!$A$2:$R$3432,18,0)</f>
        <v>JF50E80789865</v>
      </c>
      <c r="T1719" s="7" t="str">
        <f>VLOOKUP(A1719,Sheet2!$A$2:$R$3432,17,0)</f>
        <v>ME4JF501CE8790968</v>
      </c>
    </row>
    <row r="1720" ht="15.75" customHeight="1">
      <c r="A1720" s="3" t="s">
        <v>1743</v>
      </c>
      <c r="B1720" s="4" t="str">
        <f>VLOOKUP(A1720,Sheet2!$A$2:$R$3432,2,0)</f>
        <v>2025-06-28 20:30:20</v>
      </c>
      <c r="C1720" s="5" t="s">
        <v>25</v>
      </c>
      <c r="D1720" s="6" t="s">
        <v>25</v>
      </c>
      <c r="E1720" s="7">
        <f>VLOOKUP(A1720,Sheet2!$A$2:$R$3432,4,0)</f>
        <v>8788199997</v>
      </c>
      <c r="F1720" s="7" t="str">
        <f>VLOOKUP(A1720,Sheet2!$A$2:$R$3432,3,0)</f>
        <v>Vishnu Rathod </v>
      </c>
      <c r="G1720" s="5" t="s">
        <v>25</v>
      </c>
      <c r="H1720" s="5" t="s">
        <v>25</v>
      </c>
      <c r="I1720" s="5" t="s">
        <v>25</v>
      </c>
      <c r="J1720" s="5" t="s">
        <v>25</v>
      </c>
      <c r="K1720" s="7" t="str">
        <f>VLOOKUP(A1720,Sheet2!$A$2:$R$3432,6,0)</f>
        <v>Honda Activa 125</v>
      </c>
      <c r="L1720" s="5" t="s">
        <v>25</v>
      </c>
      <c r="M1720" s="7" t="str">
        <f>VLOOKUP(A1720,Sheet2!$A$2:$R$3432,5,0)</f>
        <v>MH14LC3324</v>
      </c>
      <c r="N1720" s="5" t="s">
        <v>25</v>
      </c>
      <c r="O1720" s="5" t="s">
        <v>25</v>
      </c>
      <c r="P1720" s="6" t="s">
        <v>25</v>
      </c>
      <c r="Q1720" s="5" t="s">
        <v>25</v>
      </c>
      <c r="R1720" s="5" t="s">
        <v>25</v>
      </c>
      <c r="S1720" s="5" t="str">
        <f>VLOOKUP(A1720,Sheet2!$A$2:$R$3432,18,0)</f>
        <v>JK13EW7084552</v>
      </c>
      <c r="T1720" s="7" t="str">
        <f>VLOOKUP(A1720,Sheet2!$A$2:$R$3432,17,0)</f>
        <v>ME4JK13DJP0028303</v>
      </c>
    </row>
    <row r="1721" ht="15.75" customHeight="1">
      <c r="A1721" s="3" t="s">
        <v>1744</v>
      </c>
      <c r="B1721" s="4" t="str">
        <f>VLOOKUP(A1721,Sheet2!$A$2:$R$3432,2,0)</f>
        <v>2025-06-28 19:30:47</v>
      </c>
      <c r="C1721" s="5" t="s">
        <v>25</v>
      </c>
      <c r="D1721" s="6" t="s">
        <v>25</v>
      </c>
      <c r="E1721" s="7">
        <f>VLOOKUP(A1721,Sheet2!$A$2:$R$3432,4,0)</f>
        <v>8867799921</v>
      </c>
      <c r="F1721" s="7" t="str">
        <f>VLOOKUP(A1721,Sheet2!$A$2:$R$3432,3,0)</f>
        <v>ALI </v>
      </c>
      <c r="G1721" s="5" t="s">
        <v>25</v>
      </c>
      <c r="H1721" s="5" t="s">
        <v>25</v>
      </c>
      <c r="I1721" s="5" t="s">
        <v>25</v>
      </c>
      <c r="J1721" s="5" t="s">
        <v>25</v>
      </c>
      <c r="K1721" s="7" t="str">
        <f>VLOOKUP(A1721,Sheet2!$A$2:$R$3432,6,0)</f>
        <v>Honda Aviator </v>
      </c>
      <c r="L1721" s="5" t="s">
        <v>25</v>
      </c>
      <c r="M1721" s="7" t="str">
        <f>VLOOKUP(A1721,Sheet2!$A$2:$R$3432,5,0)</f>
        <v>GJ05MH0397</v>
      </c>
      <c r="N1721" s="5" t="s">
        <v>25</v>
      </c>
      <c r="O1721" s="5" t="s">
        <v>25</v>
      </c>
      <c r="P1721" s="6" t="s">
        <v>25</v>
      </c>
      <c r="Q1721" s="5" t="s">
        <v>25</v>
      </c>
      <c r="R1721" s="5" t="s">
        <v>25</v>
      </c>
      <c r="S1721" s="5" t="str">
        <f>VLOOKUP(A1721,Sheet2!$A$2:$R$3432,18,0)</f>
        <v>JF21E80304848</v>
      </c>
      <c r="T1721" s="7" t="str">
        <f>VLOOKUP(A1721,Sheet2!$A$2:$R$3432,17,0)</f>
        <v>ME4JF21FE8255788</v>
      </c>
    </row>
    <row r="1722" ht="15.75" customHeight="1">
      <c r="A1722" s="3" t="s">
        <v>1745</v>
      </c>
      <c r="B1722" s="4" t="str">
        <f>VLOOKUP(A1722,Sheet2!$A$2:$R$3432,2,0)</f>
        <v>2025-06-28 20:26:39</v>
      </c>
      <c r="C1722" s="5" t="s">
        <v>25</v>
      </c>
      <c r="D1722" s="6" t="s">
        <v>25</v>
      </c>
      <c r="E1722" s="7">
        <f>VLOOKUP(A1722,Sheet2!$A$2:$R$3432,4,0)</f>
        <v>8888845632</v>
      </c>
      <c r="F1722" s="7" t="str">
        <f>VLOOKUP(A1722,Sheet2!$A$2:$R$3432,3,0)</f>
        <v>Amit</v>
      </c>
      <c r="G1722" s="5" t="s">
        <v>25</v>
      </c>
      <c r="H1722" s="5" t="s">
        <v>25</v>
      </c>
      <c r="I1722" s="5" t="s">
        <v>25</v>
      </c>
      <c r="J1722" s="5" t="s">
        <v>25</v>
      </c>
      <c r="K1722" s="7" t="str">
        <f>VLOOKUP(A1722,Sheet2!$A$2:$R$3432,6,0)</f>
        <v>Honda Aviator </v>
      </c>
      <c r="L1722" s="5" t="s">
        <v>25</v>
      </c>
      <c r="M1722" s="7" t="str">
        <f>VLOOKUP(A1722,Sheet2!$A$2:$R$3432,5,0)</f>
        <v>MH14FL1432</v>
      </c>
      <c r="N1722" s="5" t="s">
        <v>25</v>
      </c>
      <c r="O1722" s="5" t="s">
        <v>25</v>
      </c>
      <c r="P1722" s="6" t="s">
        <v>25</v>
      </c>
      <c r="Q1722" s="5" t="s">
        <v>25</v>
      </c>
      <c r="R1722" s="5" t="s">
        <v>25</v>
      </c>
      <c r="S1722" s="7" t="str">
        <f>VLOOKUP(A1722,Sheet2!$A$2:$R$3432,18,0)</f>
        <v/>
      </c>
      <c r="T1722" s="7" t="str">
        <f>VLOOKUP(A1722,Sheet2!$A$2:$R$3432,17,0)</f>
        <v/>
      </c>
    </row>
    <row r="1723" ht="15.75" customHeight="1">
      <c r="A1723" s="3" t="s">
        <v>1746</v>
      </c>
      <c r="B1723" s="4" t="str">
        <f>VLOOKUP(A1723,Sheet2!$A$2:$R$3432,2,0)</f>
        <v>2025-06-28 20:29:56</v>
      </c>
      <c r="C1723" s="5" t="s">
        <v>25</v>
      </c>
      <c r="D1723" s="6" t="s">
        <v>25</v>
      </c>
      <c r="E1723" s="7">
        <f>VLOOKUP(A1723,Sheet2!$A$2:$R$3432,4,0)</f>
        <v>9552509211</v>
      </c>
      <c r="F1723" s="7" t="str">
        <f>VLOOKUP(A1723,Sheet2!$A$2:$R$3432,3,0)</f>
        <v>Ramesh Karsunde</v>
      </c>
      <c r="G1723" s="5" t="s">
        <v>25</v>
      </c>
      <c r="H1723" s="5" t="s">
        <v>25</v>
      </c>
      <c r="I1723" s="5" t="s">
        <v>25</v>
      </c>
      <c r="J1723" s="5" t="s">
        <v>25</v>
      </c>
      <c r="K1723" s="7" t="str">
        <f>VLOOKUP(A1723,Sheet2!$A$2:$R$3432,6,0)</f>
        <v>Bajaj Avenger 220 Cruise</v>
      </c>
      <c r="L1723" s="5" t="s">
        <v>25</v>
      </c>
      <c r="M1723" s="7" t="str">
        <f>VLOOKUP(A1723,Sheet2!$A$2:$R$3432,5,0)</f>
        <v>MH12NC8109</v>
      </c>
      <c r="N1723" s="5" t="s">
        <v>25</v>
      </c>
      <c r="O1723" s="5" t="s">
        <v>25</v>
      </c>
      <c r="P1723" s="6" t="s">
        <v>25</v>
      </c>
      <c r="Q1723" s="5" t="s">
        <v>25</v>
      </c>
      <c r="R1723" s="5" t="s">
        <v>25</v>
      </c>
      <c r="S1723" s="5" t="str">
        <f>VLOOKUP(A1723,Sheet2!$A$2:$R$3432,18,0)</f>
        <v>MDZGC399345</v>
      </c>
      <c r="T1723" s="7" t="str">
        <f>VLOOKUP(A1723,Sheet2!$A$2:$R$3432,17,0)</f>
        <v>MDZA22EZ1GCB56555</v>
      </c>
    </row>
    <row r="1724" ht="15.75" customHeight="1">
      <c r="A1724" s="3" t="s">
        <v>1747</v>
      </c>
      <c r="B1724" s="4" t="str">
        <f>VLOOKUP(A1724,Sheet2!$A$2:$R$3432,2,0)</f>
        <v>2025-06-28 20:29:03</v>
      </c>
      <c r="C1724" s="5" t="s">
        <v>25</v>
      </c>
      <c r="D1724" s="6" t="s">
        <v>25</v>
      </c>
      <c r="E1724" s="7">
        <f>VLOOKUP(A1724,Sheet2!$A$2:$R$3432,4,0)</f>
        <v>9921197519</v>
      </c>
      <c r="F1724" s="7" t="str">
        <f>VLOOKUP(A1724,Sheet2!$A$2:$R$3432,3,0)</f>
        <v>Dinesh Suryawanshi</v>
      </c>
      <c r="G1724" s="5" t="s">
        <v>25</v>
      </c>
      <c r="H1724" s="5" t="s">
        <v>25</v>
      </c>
      <c r="I1724" s="5" t="s">
        <v>25</v>
      </c>
      <c r="J1724" s="5" t="s">
        <v>25</v>
      </c>
      <c r="K1724" s="7" t="str">
        <f>VLOOKUP(A1724,Sheet2!$A$2:$R$3432,6,0)</f>
        <v>Honda Activa 3G</v>
      </c>
      <c r="L1724" s="5" t="s">
        <v>25</v>
      </c>
      <c r="M1724" s="7" t="str">
        <f>VLOOKUP(A1724,Sheet2!$A$2:$R$3432,5,0)</f>
        <v>MH14FR8780</v>
      </c>
      <c r="N1724" s="5" t="s">
        <v>25</v>
      </c>
      <c r="O1724" s="5" t="s">
        <v>25</v>
      </c>
      <c r="P1724" s="6" t="s">
        <v>25</v>
      </c>
      <c r="Q1724" s="5" t="s">
        <v>25</v>
      </c>
      <c r="R1724" s="5" t="s">
        <v>25</v>
      </c>
      <c r="S1724" s="7" t="str">
        <f>VLOOKUP(A1724,Sheet2!$A$2:$R$3432,18,0)</f>
        <v/>
      </c>
      <c r="T1724" s="7" t="str">
        <f>VLOOKUP(A1724,Sheet2!$A$2:$R$3432,17,0)</f>
        <v>ME4JF505GGT611985</v>
      </c>
    </row>
    <row r="1725" ht="15.75" customHeight="1">
      <c r="A1725" s="3" t="s">
        <v>1748</v>
      </c>
      <c r="B1725" s="4" t="str">
        <f>VLOOKUP(A1725,Sheet2!$A$2:$R$3432,2,0)</f>
        <v>2025-06-28 20:33:03</v>
      </c>
      <c r="C1725" s="5" t="s">
        <v>25</v>
      </c>
      <c r="D1725" s="6" t="s">
        <v>25</v>
      </c>
      <c r="E1725" s="7">
        <f>VLOOKUP(A1725,Sheet2!$A$2:$R$3432,4,0)</f>
        <v>9860765193</v>
      </c>
      <c r="F1725" s="7" t="str">
        <f>VLOOKUP(A1725,Sheet2!$A$2:$R$3432,3,0)</f>
        <v>Guruprasad</v>
      </c>
      <c r="G1725" s="5" t="s">
        <v>25</v>
      </c>
      <c r="H1725" s="5" t="s">
        <v>25</v>
      </c>
      <c r="I1725" s="5" t="s">
        <v>25</v>
      </c>
      <c r="J1725" s="5" t="s">
        <v>25</v>
      </c>
      <c r="K1725" s="7" t="str">
        <f>VLOOKUP(A1725,Sheet2!$A$2:$R$3432,6,0)</f>
        <v>Yamaha SZ RR</v>
      </c>
      <c r="L1725" s="5" t="s">
        <v>25</v>
      </c>
      <c r="M1725" s="7" t="str">
        <f>VLOOKUP(A1725,Sheet2!$A$2:$R$3432,5,0)</f>
        <v>MH14DG3663</v>
      </c>
      <c r="N1725" s="5" t="s">
        <v>25</v>
      </c>
      <c r="O1725" s="5" t="s">
        <v>25</v>
      </c>
      <c r="P1725" s="6" t="s">
        <v>25</v>
      </c>
      <c r="Q1725" s="5" t="s">
        <v>25</v>
      </c>
      <c r="R1725" s="5" t="s">
        <v>25</v>
      </c>
      <c r="S1725" s="5" t="str">
        <f>VLOOKUP(A1725,Sheet2!$A$2:$R$3432,18,0)</f>
        <v>1PM3007058</v>
      </c>
      <c r="T1725" s="7" t="str">
        <f>VLOOKUP(A1725,Sheet2!$A$2:$R$3432,17,0)</f>
        <v>ME11BM031C2007288</v>
      </c>
    </row>
    <row r="1726" ht="15.75" customHeight="1">
      <c r="A1726" s="3" t="s">
        <v>1749</v>
      </c>
      <c r="B1726" s="4" t="str">
        <f>VLOOKUP(A1726,Sheet2!$A$2:$R$3432,2,0)</f>
        <v>2025-06-28 20:39:03</v>
      </c>
      <c r="C1726" s="5" t="s">
        <v>25</v>
      </c>
      <c r="D1726" s="6" t="s">
        <v>25</v>
      </c>
      <c r="E1726" s="7">
        <f>VLOOKUP(A1726,Sheet2!$A$2:$R$3432,4,0)</f>
        <v>9561558844</v>
      </c>
      <c r="F1726" s="7" t="str">
        <f>VLOOKUP(A1726,Sheet2!$A$2:$R$3432,3,0)</f>
        <v>Pranesh</v>
      </c>
      <c r="G1726" s="5" t="s">
        <v>25</v>
      </c>
      <c r="H1726" s="5" t="s">
        <v>25</v>
      </c>
      <c r="I1726" s="5" t="s">
        <v>25</v>
      </c>
      <c r="J1726" s="5" t="s">
        <v>25</v>
      </c>
      <c r="K1726" s="7" t="str">
        <f>VLOOKUP(A1726,Sheet2!$A$2:$R$3432,6,0)</f>
        <v>Yamaha FZ S 2.0</v>
      </c>
      <c r="L1726" s="5" t="s">
        <v>25</v>
      </c>
      <c r="M1726" s="7" t="str">
        <f>VLOOKUP(A1726,Sheet2!$A$2:$R$3432,5,0)</f>
        <v>MH12QD9028</v>
      </c>
      <c r="N1726" s="5" t="s">
        <v>25</v>
      </c>
      <c r="O1726" s="5" t="s">
        <v>25</v>
      </c>
      <c r="P1726" s="6" t="s">
        <v>25</v>
      </c>
      <c r="Q1726" s="5" t="s">
        <v>25</v>
      </c>
      <c r="R1726" s="5" t="s">
        <v>25</v>
      </c>
      <c r="S1726" s="5" t="str">
        <f>VLOOKUP(A1726,Sheet2!$A$2:$R$3432,18,0)</f>
        <v>G3J3E0224177</v>
      </c>
      <c r="T1726" s="7" t="str">
        <f>VLOOKUP(A1726,Sheet2!$A$2:$R$3432,17,0)</f>
        <v>ME1RG4452J0006859</v>
      </c>
    </row>
    <row r="1727" ht="15.75" customHeight="1">
      <c r="A1727" s="3" t="s">
        <v>1750</v>
      </c>
      <c r="B1727" s="4" t="str">
        <f>VLOOKUP(A1727,Sheet2!$A$2:$R$3432,2,0)</f>
        <v>2025-07-12 20:20:40</v>
      </c>
      <c r="C1727" s="5" t="s">
        <v>25</v>
      </c>
      <c r="D1727" s="6" t="s">
        <v>25</v>
      </c>
      <c r="E1727" s="7">
        <f>VLOOKUP(A1727,Sheet2!$A$2:$R$3432,4,0)</f>
        <v>8788593827</v>
      </c>
      <c r="F1727" s="7" t="str">
        <f>VLOOKUP(A1727,Sheet2!$A$2:$R$3432,3,0)</f>
        <v>Harshal Kadam</v>
      </c>
      <c r="G1727" s="5" t="s">
        <v>25</v>
      </c>
      <c r="H1727" s="5" t="s">
        <v>25</v>
      </c>
      <c r="I1727" s="5" t="s">
        <v>25</v>
      </c>
      <c r="J1727" s="5" t="s">
        <v>25</v>
      </c>
      <c r="K1727" s="7" t="str">
        <f>VLOOKUP(A1727,Sheet2!$A$2:$R$3432,6,0)</f>
        <v>Honda Activa 3G</v>
      </c>
      <c r="L1727" s="5" t="s">
        <v>25</v>
      </c>
      <c r="M1727" s="7" t="str">
        <f>VLOOKUP(A1727,Sheet2!$A$2:$R$3432,5,0)</f>
        <v>MH01CB5505</v>
      </c>
      <c r="N1727" s="5" t="s">
        <v>25</v>
      </c>
      <c r="O1727" s="5" t="s">
        <v>25</v>
      </c>
      <c r="P1727" s="6" t="s">
        <v>25</v>
      </c>
      <c r="Q1727" s="5" t="s">
        <v>25</v>
      </c>
      <c r="R1727" s="5" t="s">
        <v>25</v>
      </c>
      <c r="S1727" s="7" t="str">
        <f>VLOOKUP(A1727,Sheet2!$A$2:$R$3432,18,0)</f>
        <v/>
      </c>
      <c r="T1727" s="7" t="str">
        <f>VLOOKUP(A1727,Sheet2!$A$2:$R$3432,17,0)</f>
        <v/>
      </c>
    </row>
    <row r="1728" ht="15.75" customHeight="1">
      <c r="A1728" s="3" t="s">
        <v>1751</v>
      </c>
      <c r="B1728" s="4" t="str">
        <f>VLOOKUP(A1728,Sheet2!$A$2:$R$3432,2,0)</f>
        <v>2025-07-12 17:53:23</v>
      </c>
      <c r="C1728" s="5" t="s">
        <v>25</v>
      </c>
      <c r="D1728" s="6" t="s">
        <v>25</v>
      </c>
      <c r="E1728" s="7">
        <f>VLOOKUP(A1728,Sheet2!$A$2:$R$3432,4,0)</f>
        <v>9623295801</v>
      </c>
      <c r="F1728" s="7" t="str">
        <f>VLOOKUP(A1728,Sheet2!$A$2:$R$3432,3,0)</f>
        <v>BHAKTI GHOLAP</v>
      </c>
      <c r="G1728" s="5" t="s">
        <v>25</v>
      </c>
      <c r="H1728" s="5" t="s">
        <v>25</v>
      </c>
      <c r="I1728" s="5" t="s">
        <v>25</v>
      </c>
      <c r="J1728" s="5" t="s">
        <v>25</v>
      </c>
      <c r="K1728" s="7" t="str">
        <f>VLOOKUP(A1728,Sheet2!$A$2:$R$3432,6,0)</f>
        <v>Honda Activa 110</v>
      </c>
      <c r="L1728" s="5" t="s">
        <v>25</v>
      </c>
      <c r="M1728" s="7" t="str">
        <f>VLOOKUP(A1728,Sheet2!$A$2:$R$3432,5,0)</f>
        <v>MH12MT0878</v>
      </c>
      <c r="N1728" s="5" t="s">
        <v>25</v>
      </c>
      <c r="O1728" s="5" t="s">
        <v>25</v>
      </c>
      <c r="P1728" s="6" t="s">
        <v>25</v>
      </c>
      <c r="Q1728" s="5" t="s">
        <v>25</v>
      </c>
      <c r="R1728" s="5" t="s">
        <v>25</v>
      </c>
      <c r="S1728" s="5" t="str">
        <f>VLOOKUP(A1728,Sheet2!$A$2:$R$3432,18,0)</f>
        <v>JF50ET3061953</v>
      </c>
      <c r="T1728" s="7" t="str">
        <f>VLOOKUP(A1728,Sheet2!$A$2:$R$3432,17,0)</f>
        <v>ME4JF505BGT061566</v>
      </c>
    </row>
    <row r="1729" ht="15.75" customHeight="1">
      <c r="A1729" s="3" t="s">
        <v>1752</v>
      </c>
      <c r="B1729" s="4" t="str">
        <f>VLOOKUP(A1729,Sheet2!$A$2:$R$3432,2,0)</f>
        <v>2025-07-12 20:38:21</v>
      </c>
      <c r="C1729" s="5" t="s">
        <v>25</v>
      </c>
      <c r="D1729" s="6" t="s">
        <v>25</v>
      </c>
      <c r="E1729" s="7">
        <f>VLOOKUP(A1729,Sheet2!$A$2:$R$3432,4,0)</f>
        <v>9004046463</v>
      </c>
      <c r="F1729" s="7" t="str">
        <f>VLOOKUP(A1729,Sheet2!$A$2:$R$3432,3,0)</f>
        <v>Aniruddha Deshpande</v>
      </c>
      <c r="G1729" s="5" t="s">
        <v>25</v>
      </c>
      <c r="H1729" s="5" t="s">
        <v>25</v>
      </c>
      <c r="I1729" s="5" t="s">
        <v>25</v>
      </c>
      <c r="J1729" s="5" t="s">
        <v>25</v>
      </c>
      <c r="K1729" s="7" t="str">
        <f>VLOOKUP(A1729,Sheet2!$A$2:$R$3432,6,0)</f>
        <v>KTM DUKE 200</v>
      </c>
      <c r="L1729" s="5" t="s">
        <v>25</v>
      </c>
      <c r="M1729" s="7" t="str">
        <f>VLOOKUP(A1729,Sheet2!$A$2:$R$3432,5,0)</f>
        <v>MH14GR8368</v>
      </c>
      <c r="N1729" s="5" t="s">
        <v>25</v>
      </c>
      <c r="O1729" s="5" t="s">
        <v>25</v>
      </c>
      <c r="P1729" s="6" t="s">
        <v>25</v>
      </c>
      <c r="Q1729" s="5" t="s">
        <v>25</v>
      </c>
      <c r="R1729" s="5" t="s">
        <v>25</v>
      </c>
      <c r="S1729" s="7" t="str">
        <f>VLOOKUP(A1729,Sheet2!$A$2:$R$3432,18,0)</f>
        <v/>
      </c>
      <c r="T1729" s="7" t="str">
        <f>VLOOKUP(A1729,Sheet2!$A$2:$R$3432,17,0)</f>
        <v/>
      </c>
    </row>
    <row r="1730" ht="15.75" customHeight="1">
      <c r="A1730" s="3" t="s">
        <v>1753</v>
      </c>
      <c r="B1730" s="4" t="str">
        <f>VLOOKUP(A1730,Sheet2!$A$2:$R$3432,2,0)</f>
        <v>2025-07-12 20:21:54</v>
      </c>
      <c r="C1730" s="5" t="s">
        <v>25</v>
      </c>
      <c r="D1730" s="6" t="s">
        <v>25</v>
      </c>
      <c r="E1730" s="7">
        <f>VLOOKUP(A1730,Sheet2!$A$2:$R$3432,4,0)</f>
        <v>7709881219</v>
      </c>
      <c r="F1730" s="7" t="str">
        <f>VLOOKUP(A1730,Sheet2!$A$2:$R$3432,3,0)</f>
        <v>KIRAN CHINCHOLE</v>
      </c>
      <c r="G1730" s="5" t="s">
        <v>25</v>
      </c>
      <c r="H1730" s="5" t="s">
        <v>25</v>
      </c>
      <c r="I1730" s="5" t="s">
        <v>25</v>
      </c>
      <c r="J1730" s="5" t="s">
        <v>25</v>
      </c>
      <c r="K1730" s="7" t="str">
        <f>VLOOKUP(A1730,Sheet2!$A$2:$R$3432,6,0)</f>
        <v>Bajaj Pulsar 150</v>
      </c>
      <c r="L1730" s="5" t="s">
        <v>25</v>
      </c>
      <c r="M1730" s="7" t="str">
        <f>VLOOKUP(A1730,Sheet2!$A$2:$R$3432,5,0)</f>
        <v>MH13BS1863</v>
      </c>
      <c r="N1730" s="5" t="s">
        <v>25</v>
      </c>
      <c r="O1730" s="5" t="s">
        <v>25</v>
      </c>
      <c r="P1730" s="6" t="s">
        <v>25</v>
      </c>
      <c r="Q1730" s="5" t="s">
        <v>25</v>
      </c>
      <c r="R1730" s="5" t="s">
        <v>25</v>
      </c>
      <c r="S1730" s="5" t="str">
        <f>VLOOKUP(A1730,Sheet2!$A$2:$R$3432,18,0)</f>
        <v>DHCJ51814</v>
      </c>
      <c r="T1730" s="7" t="str">
        <f>VLOOKUP(A1730,Sheet2!$A$2:$R$3432,17,0)</f>
        <v>MD2A11CZ9DCJ71264</v>
      </c>
    </row>
    <row r="1731" ht="15.75" customHeight="1">
      <c r="A1731" s="3" t="s">
        <v>1754</v>
      </c>
      <c r="B1731" s="4" t="str">
        <f>VLOOKUP(A1731,Sheet2!$A$2:$R$3432,2,0)</f>
        <v>2025-07-12 20:21:27</v>
      </c>
      <c r="C1731" s="5" t="s">
        <v>25</v>
      </c>
      <c r="D1731" s="6" t="s">
        <v>25</v>
      </c>
      <c r="E1731" s="7">
        <f>VLOOKUP(A1731,Sheet2!$A$2:$R$3432,4,0)</f>
        <v>9689955229</v>
      </c>
      <c r="F1731" s="7" t="str">
        <f>VLOOKUP(A1731,Sheet2!$A$2:$R$3432,3,0)</f>
        <v>PRASAD PANDIT</v>
      </c>
      <c r="G1731" s="5" t="s">
        <v>25</v>
      </c>
      <c r="H1731" s="5" t="s">
        <v>25</v>
      </c>
      <c r="I1731" s="5" t="s">
        <v>25</v>
      </c>
      <c r="J1731" s="5" t="s">
        <v>25</v>
      </c>
      <c r="K1731" s="7" t="str">
        <f>VLOOKUP(A1731,Sheet2!$A$2:$R$3432,6,0)</f>
        <v>Yamaha FZ 1</v>
      </c>
      <c r="L1731" s="5" t="s">
        <v>25</v>
      </c>
      <c r="M1731" s="7" t="str">
        <f>VLOOKUP(A1731,Sheet2!$A$2:$R$3432,5,0)</f>
        <v>MH17AK6400</v>
      </c>
      <c r="N1731" s="5" t="s">
        <v>25</v>
      </c>
      <c r="O1731" s="5" t="s">
        <v>25</v>
      </c>
      <c r="P1731" s="6" t="s">
        <v>25</v>
      </c>
      <c r="Q1731" s="5" t="s">
        <v>25</v>
      </c>
      <c r="R1731" s="5" t="s">
        <v>25</v>
      </c>
      <c r="S1731" s="7" t="str">
        <f>VLOOKUP(A1731,Sheet2!$A$2:$R$3432,18,0)</f>
        <v/>
      </c>
      <c r="T1731" s="7" t="str">
        <f>VLOOKUP(A1731,Sheet2!$A$2:$R$3432,17,0)</f>
        <v/>
      </c>
    </row>
    <row r="1732" ht="15.75" customHeight="1">
      <c r="A1732" s="3" t="s">
        <v>1755</v>
      </c>
      <c r="B1732" s="4" t="str">
        <f>VLOOKUP(A1732,Sheet2!$A$2:$R$3432,2,0)</f>
        <v>2025-07-12 20:22:40</v>
      </c>
      <c r="C1732" s="5" t="s">
        <v>25</v>
      </c>
      <c r="D1732" s="6" t="s">
        <v>25</v>
      </c>
      <c r="E1732" s="7">
        <f>VLOOKUP(A1732,Sheet2!$A$2:$R$3432,4,0)</f>
        <v>9421344310</v>
      </c>
      <c r="F1732" s="7" t="str">
        <f>VLOOKUP(A1732,Sheet2!$A$2:$R$3432,3,0)</f>
        <v>Girish </v>
      </c>
      <c r="G1732" s="5" t="s">
        <v>25</v>
      </c>
      <c r="H1732" s="5" t="s">
        <v>25</v>
      </c>
      <c r="I1732" s="5" t="s">
        <v>25</v>
      </c>
      <c r="J1732" s="5" t="s">
        <v>25</v>
      </c>
      <c r="K1732" s="7" t="str">
        <f>VLOOKUP(A1732,Sheet2!$A$2:$R$3432,6,0)</f>
        <v>Honda Shine 125</v>
      </c>
      <c r="L1732" s="5" t="s">
        <v>25</v>
      </c>
      <c r="M1732" s="7" t="str">
        <f>VLOOKUP(A1732,Sheet2!$A$2:$R$3432,5,0)</f>
        <v>MH14JT7721</v>
      </c>
      <c r="N1732" s="5" t="s">
        <v>25</v>
      </c>
      <c r="O1732" s="5" t="s">
        <v>25</v>
      </c>
      <c r="P1732" s="6" t="s">
        <v>25</v>
      </c>
      <c r="Q1732" s="5" t="s">
        <v>25</v>
      </c>
      <c r="R1732" s="5" t="s">
        <v>25</v>
      </c>
      <c r="S1732" s="7" t="str">
        <f>VLOOKUP(A1732,Sheet2!$A$2:$R$3432,18,0)</f>
        <v/>
      </c>
      <c r="T1732" s="7" t="str">
        <f>VLOOKUP(A1732,Sheet2!$A$2:$R$3432,17,0)</f>
        <v/>
      </c>
    </row>
    <row r="1733" ht="15.75" customHeight="1">
      <c r="A1733" s="3" t="s">
        <v>1756</v>
      </c>
      <c r="B1733" s="4" t="str">
        <f>VLOOKUP(A1733,Sheet2!$A$2:$R$3432,2,0)</f>
        <v>2025-07-12 20:23:35</v>
      </c>
      <c r="C1733" s="5" t="s">
        <v>25</v>
      </c>
      <c r="D1733" s="6" t="s">
        <v>25</v>
      </c>
      <c r="E1733" s="7">
        <f>VLOOKUP(A1733,Sheet2!$A$2:$R$3432,4,0)</f>
        <v>9595737922</v>
      </c>
      <c r="F1733" s="7" t="str">
        <f>VLOOKUP(A1733,Sheet2!$A$2:$R$3432,3,0)</f>
        <v>Sagar Mane</v>
      </c>
      <c r="G1733" s="5" t="s">
        <v>25</v>
      </c>
      <c r="H1733" s="5" t="s">
        <v>25</v>
      </c>
      <c r="I1733" s="5" t="s">
        <v>25</v>
      </c>
      <c r="J1733" s="5" t="s">
        <v>25</v>
      </c>
      <c r="K1733" s="7" t="str">
        <f>VLOOKUP(A1733,Sheet2!$A$2:$R$3432,6,0)</f>
        <v>Hero Passion Plus</v>
      </c>
      <c r="L1733" s="5" t="s">
        <v>25</v>
      </c>
      <c r="M1733" s="7" t="str">
        <f>VLOOKUP(A1733,Sheet2!$A$2:$R$3432,5,0)</f>
        <v>MH14BQ3517</v>
      </c>
      <c r="N1733" s="5" t="s">
        <v>25</v>
      </c>
      <c r="O1733" s="5" t="s">
        <v>25</v>
      </c>
      <c r="P1733" s="6" t="s">
        <v>25</v>
      </c>
      <c r="Q1733" s="5" t="s">
        <v>25</v>
      </c>
      <c r="R1733" s="5" t="s">
        <v>25</v>
      </c>
      <c r="S1733" s="7" t="str">
        <f>VLOOKUP(A1733,Sheet2!$A$2:$R$3432,18,0)</f>
        <v/>
      </c>
      <c r="T1733" s="7" t="str">
        <f>VLOOKUP(A1733,Sheet2!$A$2:$R$3432,17,0)</f>
        <v/>
      </c>
    </row>
    <row r="1734" ht="15.75" customHeight="1">
      <c r="A1734" s="3" t="s">
        <v>1757</v>
      </c>
      <c r="B1734" s="4" t="str">
        <f>VLOOKUP(A1734,Sheet2!$A$2:$R$3432,2,0)</f>
        <v>2025-07-12 20:24:56</v>
      </c>
      <c r="C1734" s="5" t="s">
        <v>25</v>
      </c>
      <c r="D1734" s="6" t="s">
        <v>25</v>
      </c>
      <c r="E1734" s="7">
        <f>VLOOKUP(A1734,Sheet2!$A$2:$R$3432,4,0)</f>
        <v>7709316518</v>
      </c>
      <c r="F1734" s="7" t="str">
        <f>VLOOKUP(A1734,Sheet2!$A$2:$R$3432,3,0)</f>
        <v>Chaudhari</v>
      </c>
      <c r="G1734" s="5" t="s">
        <v>25</v>
      </c>
      <c r="H1734" s="5" t="s">
        <v>25</v>
      </c>
      <c r="I1734" s="5" t="s">
        <v>25</v>
      </c>
      <c r="J1734" s="5" t="s">
        <v>25</v>
      </c>
      <c r="K1734" s="7" t="str">
        <f>VLOOKUP(A1734,Sheet2!$A$2:$R$3432,6,0)</f>
        <v>Yamaha FZ S 2.0</v>
      </c>
      <c r="L1734" s="5" t="s">
        <v>25</v>
      </c>
      <c r="M1734" s="7" t="str">
        <f>VLOOKUP(A1734,Sheet2!$A$2:$R$3432,5,0)</f>
        <v>MH12MQ9302</v>
      </c>
      <c r="N1734" s="5" t="s">
        <v>25</v>
      </c>
      <c r="O1734" s="5" t="s">
        <v>25</v>
      </c>
      <c r="P1734" s="6" t="s">
        <v>25</v>
      </c>
      <c r="Q1734" s="5" t="s">
        <v>25</v>
      </c>
      <c r="R1734" s="5" t="s">
        <v>25</v>
      </c>
      <c r="S1734" s="5" t="str">
        <f>VLOOKUP(A1734,Sheet2!$A$2:$R$3432,18,0)</f>
        <v>G3C8E0189510</v>
      </c>
      <c r="T1734" s="7" t="str">
        <f>VLOOKUP(A1734,Sheet2!$A$2:$R$3432,17,0)</f>
        <v>me1rg071bf0061396</v>
      </c>
    </row>
    <row r="1735" ht="15.75" customHeight="1">
      <c r="A1735" s="3" t="s">
        <v>1758</v>
      </c>
      <c r="B1735" s="4" t="str">
        <f>VLOOKUP(A1735,Sheet2!$A$2:$R$3432,2,0)</f>
        <v>2025-07-12 20:25:29</v>
      </c>
      <c r="C1735" s="5" t="s">
        <v>25</v>
      </c>
      <c r="D1735" s="6" t="s">
        <v>25</v>
      </c>
      <c r="E1735" s="7">
        <f>VLOOKUP(A1735,Sheet2!$A$2:$R$3432,4,0)</f>
        <v>8208424628</v>
      </c>
      <c r="F1735" s="7" t="str">
        <f>VLOOKUP(A1735,Sheet2!$A$2:$R$3432,3,0)</f>
        <v>Gaurav Chaudhari</v>
      </c>
      <c r="G1735" s="5" t="s">
        <v>25</v>
      </c>
      <c r="H1735" s="5" t="s">
        <v>25</v>
      </c>
      <c r="I1735" s="5" t="s">
        <v>25</v>
      </c>
      <c r="J1735" s="5" t="s">
        <v>25</v>
      </c>
      <c r="K1735" s="7" t="str">
        <f>VLOOKUP(A1735,Sheet2!$A$2:$R$3432,6,0)</f>
        <v>Hero Passion XPRO</v>
      </c>
      <c r="L1735" s="5" t="s">
        <v>25</v>
      </c>
      <c r="M1735" s="7" t="str">
        <f>VLOOKUP(A1735,Sheet2!$A$2:$R$3432,5,0)</f>
        <v>MH19DE8406</v>
      </c>
      <c r="N1735" s="5" t="s">
        <v>25</v>
      </c>
      <c r="O1735" s="5" t="s">
        <v>25</v>
      </c>
      <c r="P1735" s="6" t="s">
        <v>25</v>
      </c>
      <c r="Q1735" s="5" t="s">
        <v>25</v>
      </c>
      <c r="R1735" s="5" t="s">
        <v>25</v>
      </c>
      <c r="S1735" s="5" t="str">
        <f>VLOOKUP(A1735,Sheet2!$A$2:$R$3432,18,0)</f>
        <v>JA06ETJGE08787</v>
      </c>
      <c r="T1735" s="7" t="str">
        <f>VLOOKUP(A1735,Sheet2!$A$2:$R$3432,17,0)</f>
        <v>MBLJAR151JGE07143</v>
      </c>
    </row>
    <row r="1736" ht="15.75" customHeight="1">
      <c r="A1736" s="3" t="s">
        <v>1759</v>
      </c>
      <c r="B1736" s="4" t="str">
        <f>VLOOKUP(A1736,Sheet2!$A$2:$R$3432,2,0)</f>
        <v>2025-07-12 20:26:01</v>
      </c>
      <c r="C1736" s="5" t="s">
        <v>25</v>
      </c>
      <c r="D1736" s="6" t="s">
        <v>25</v>
      </c>
      <c r="E1736" s="7">
        <f>VLOOKUP(A1736,Sheet2!$A$2:$R$3432,4,0)</f>
        <v>8390703341</v>
      </c>
      <c r="F1736" s="7" t="str">
        <f>VLOOKUP(A1736,Sheet2!$A$2:$R$3432,3,0)</f>
        <v>Harish Kumbhar</v>
      </c>
      <c r="G1736" s="5" t="s">
        <v>25</v>
      </c>
      <c r="H1736" s="5" t="s">
        <v>25</v>
      </c>
      <c r="I1736" s="5" t="s">
        <v>25</v>
      </c>
      <c r="J1736" s="5" t="s">
        <v>25</v>
      </c>
      <c r="K1736" s="7" t="str">
        <f>VLOOKUP(A1736,Sheet2!$A$2:$R$3432,6,0)</f>
        <v>Honda SP 125 Drum</v>
      </c>
      <c r="L1736" s="5" t="s">
        <v>25</v>
      </c>
      <c r="M1736" s="7" t="str">
        <f>VLOOKUP(A1736,Sheet2!$A$2:$R$3432,5,0)</f>
        <v>MH14LH9222</v>
      </c>
      <c r="N1736" s="5" t="s">
        <v>25</v>
      </c>
      <c r="O1736" s="5" t="s">
        <v>25</v>
      </c>
      <c r="P1736" s="6" t="s">
        <v>25</v>
      </c>
      <c r="Q1736" s="5" t="s">
        <v>25</v>
      </c>
      <c r="R1736" s="5" t="s">
        <v>25</v>
      </c>
      <c r="S1736" s="7" t="str">
        <f>VLOOKUP(A1736,Sheet2!$A$2:$R$3432,18,0)</f>
        <v/>
      </c>
      <c r="T1736" s="7" t="str">
        <f>VLOOKUP(A1736,Sheet2!$A$2:$R$3432,17,0)</f>
        <v/>
      </c>
    </row>
    <row r="1737" ht="15.75" customHeight="1">
      <c r="A1737" s="3" t="s">
        <v>1760</v>
      </c>
      <c r="B1737" s="4" t="str">
        <f>VLOOKUP(A1737,Sheet2!$A$2:$R$3432,2,0)</f>
        <v>2025-07-12 20:26:23</v>
      </c>
      <c r="C1737" s="5" t="s">
        <v>25</v>
      </c>
      <c r="D1737" s="6" t="s">
        <v>25</v>
      </c>
      <c r="E1737" s="7">
        <f>VLOOKUP(A1737,Sheet2!$A$2:$R$3432,4,0)</f>
        <v>8446092999</v>
      </c>
      <c r="F1737" s="7" t="str">
        <f>VLOOKUP(A1737,Sheet2!$A$2:$R$3432,3,0)</f>
        <v>Biradar</v>
      </c>
      <c r="G1737" s="5" t="s">
        <v>25</v>
      </c>
      <c r="H1737" s="5" t="s">
        <v>25</v>
      </c>
      <c r="I1737" s="5" t="s">
        <v>25</v>
      </c>
      <c r="J1737" s="5" t="s">
        <v>25</v>
      </c>
      <c r="K1737" s="7" t="str">
        <f>VLOOKUP(A1737,Sheet2!$A$2:$R$3432,6,0)</f>
        <v>Honda Dream Yuga </v>
      </c>
      <c r="L1737" s="5" t="s">
        <v>25</v>
      </c>
      <c r="M1737" s="7" t="str">
        <f>VLOOKUP(A1737,Sheet2!$A$2:$R$3432,5,0)</f>
        <v>MH14HF6462</v>
      </c>
      <c r="N1737" s="5" t="s">
        <v>25</v>
      </c>
      <c r="O1737" s="5" t="s">
        <v>25</v>
      </c>
      <c r="P1737" s="6" t="s">
        <v>25</v>
      </c>
      <c r="Q1737" s="5" t="s">
        <v>25</v>
      </c>
      <c r="R1737" s="5" t="s">
        <v>25</v>
      </c>
      <c r="S1737" s="7" t="str">
        <f>VLOOKUP(A1737,Sheet2!$A$2:$R$3432,18,0)</f>
        <v/>
      </c>
      <c r="T1737" s="7" t="str">
        <f>VLOOKUP(A1737,Sheet2!$A$2:$R$3432,17,0)</f>
        <v>ME4JC58EEJT044230</v>
      </c>
    </row>
    <row r="1738" ht="15.75" customHeight="1">
      <c r="A1738" s="3" t="s">
        <v>1761</v>
      </c>
      <c r="B1738" s="4" t="str">
        <f>VLOOKUP(A1738,Sheet2!$A$2:$R$3432,2,0)</f>
        <v>2025-07-12 20:27:34</v>
      </c>
      <c r="C1738" s="5" t="s">
        <v>25</v>
      </c>
      <c r="D1738" s="6" t="s">
        <v>25</v>
      </c>
      <c r="E1738" s="7">
        <f>VLOOKUP(A1738,Sheet2!$A$2:$R$3432,4,0)</f>
        <v>9923734089</v>
      </c>
      <c r="F1738" s="7" t="str">
        <f>VLOOKUP(A1738,Sheet2!$A$2:$R$3432,3,0)</f>
        <v>Bhushan </v>
      </c>
      <c r="G1738" s="5" t="s">
        <v>25</v>
      </c>
      <c r="H1738" s="5" t="s">
        <v>25</v>
      </c>
      <c r="I1738" s="5" t="s">
        <v>25</v>
      </c>
      <c r="J1738" s="5" t="s">
        <v>25</v>
      </c>
      <c r="K1738" s="7" t="str">
        <f>VLOOKUP(A1738,Sheet2!$A$2:$R$3432,6,0)</f>
        <v>Honda Activa 3G</v>
      </c>
      <c r="L1738" s="5" t="s">
        <v>25</v>
      </c>
      <c r="M1738" s="7" t="str">
        <f>VLOOKUP(A1738,Sheet2!$A$2:$R$3432,5,0)</f>
        <v>MH27BU1142</v>
      </c>
      <c r="N1738" s="5" t="s">
        <v>25</v>
      </c>
      <c r="O1738" s="5" t="s">
        <v>25</v>
      </c>
      <c r="P1738" s="6" t="s">
        <v>25</v>
      </c>
      <c r="Q1738" s="5" t="s">
        <v>25</v>
      </c>
      <c r="R1738" s="5" t="s">
        <v>25</v>
      </c>
      <c r="S1738" s="5" t="str">
        <f>VLOOKUP(A1738,Sheet2!$A$2:$R$3432,18,0)</f>
        <v>JF50EU6054843</v>
      </c>
      <c r="T1738" s="7" t="str">
        <f>VLOOKUP(A1738,Sheet2!$A$2:$R$3432,17,0)</f>
        <v>ME4JF509LGU053195</v>
      </c>
    </row>
    <row r="1739" ht="15.75" customHeight="1">
      <c r="A1739" s="3" t="s">
        <v>1762</v>
      </c>
      <c r="B1739" s="4" t="str">
        <f>VLOOKUP(A1739,Sheet2!$A$2:$R$3432,2,0)</f>
        <v>2025-07-12 20:28:20</v>
      </c>
      <c r="C1739" s="5" t="s">
        <v>25</v>
      </c>
      <c r="D1739" s="6" t="s">
        <v>25</v>
      </c>
      <c r="E1739" s="7">
        <f>VLOOKUP(A1739,Sheet2!$A$2:$R$3432,4,0)</f>
        <v>9730490996</v>
      </c>
      <c r="F1739" s="7" t="str">
        <f>VLOOKUP(A1739,Sheet2!$A$2:$R$3432,3,0)</f>
        <v>ANUJA DESHPANDE</v>
      </c>
      <c r="G1739" s="5" t="s">
        <v>25</v>
      </c>
      <c r="H1739" s="5" t="s">
        <v>25</v>
      </c>
      <c r="I1739" s="5" t="s">
        <v>25</v>
      </c>
      <c r="J1739" s="5" t="s">
        <v>25</v>
      </c>
      <c r="K1739" s="7" t="str">
        <f>VLOOKUP(A1739,Sheet2!$A$2:$R$3432,6,0)</f>
        <v>Honda Activa 125</v>
      </c>
      <c r="L1739" s="5" t="s">
        <v>25</v>
      </c>
      <c r="M1739" s="7" t="str">
        <f>VLOOKUP(A1739,Sheet2!$A$2:$R$3432,5,0)</f>
        <v>MH14EZ2827</v>
      </c>
      <c r="N1739" s="5" t="s">
        <v>25</v>
      </c>
      <c r="O1739" s="5" t="s">
        <v>25</v>
      </c>
      <c r="P1739" s="6" t="s">
        <v>25</v>
      </c>
      <c r="Q1739" s="5" t="s">
        <v>25</v>
      </c>
      <c r="R1739" s="5" t="s">
        <v>25</v>
      </c>
      <c r="S1739" s="5" t="str">
        <f>VLOOKUP(A1739,Sheet2!$A$2:$R$3432,18,0)</f>
        <v>JF49E81096144</v>
      </c>
      <c r="T1739" s="7" t="str">
        <f>VLOOKUP(A1739,Sheet2!$A$2:$R$3432,17,0)</f>
        <v>ME4JF491DE819707</v>
      </c>
    </row>
    <row r="1740" ht="15.75" customHeight="1">
      <c r="A1740" s="3" t="s">
        <v>1763</v>
      </c>
      <c r="B1740" s="4" t="str">
        <f>VLOOKUP(A1740,Sheet2!$A$2:$R$3432,2,0)</f>
        <v>2025-07-12 20:28:58</v>
      </c>
      <c r="C1740" s="5" t="s">
        <v>25</v>
      </c>
      <c r="D1740" s="6" t="s">
        <v>25</v>
      </c>
      <c r="E1740" s="7">
        <f>VLOOKUP(A1740,Sheet2!$A$2:$R$3432,4,0)</f>
        <v>8956483284</v>
      </c>
      <c r="F1740" s="7" t="str">
        <f>VLOOKUP(A1740,Sheet2!$A$2:$R$3432,3,0)</f>
        <v>Tanmay </v>
      </c>
      <c r="G1740" s="5" t="s">
        <v>25</v>
      </c>
      <c r="H1740" s="5" t="s">
        <v>25</v>
      </c>
      <c r="I1740" s="5" t="s">
        <v>25</v>
      </c>
      <c r="J1740" s="5" t="s">
        <v>25</v>
      </c>
      <c r="K1740" s="7" t="str">
        <f>VLOOKUP(A1740,Sheet2!$A$2:$R$3432,6,0)</f>
        <v>Honda Activa 125</v>
      </c>
      <c r="L1740" s="5" t="s">
        <v>25</v>
      </c>
      <c r="M1740" s="7" t="str">
        <f>VLOOKUP(A1740,Sheet2!$A$2:$R$3432,5,0)</f>
        <v>MH31EX8134</v>
      </c>
      <c r="N1740" s="5" t="s">
        <v>25</v>
      </c>
      <c r="O1740" s="5" t="s">
        <v>25</v>
      </c>
      <c r="P1740" s="6" t="s">
        <v>25</v>
      </c>
      <c r="Q1740" s="5" t="s">
        <v>25</v>
      </c>
      <c r="R1740" s="5" t="s">
        <v>25</v>
      </c>
      <c r="S1740" s="5" t="str">
        <f>VLOOKUP(A1740,Sheet2!$A$2:$R$3432,18,0)</f>
        <v>JF49E81547420</v>
      </c>
      <c r="T1740" s="7" t="str">
        <f>VLOOKUP(A1740,Sheet2!$A$2:$R$3432,17,0)</f>
        <v>ME4JF49468061080</v>
      </c>
    </row>
    <row r="1741" ht="15.75" customHeight="1">
      <c r="A1741" s="3" t="s">
        <v>1764</v>
      </c>
      <c r="B1741" s="4" t="str">
        <f>VLOOKUP(A1741,Sheet2!$A$2:$R$3432,2,0)</f>
        <v>2025-07-12 20:29:28</v>
      </c>
      <c r="C1741" s="5" t="s">
        <v>25</v>
      </c>
      <c r="D1741" s="6" t="s">
        <v>25</v>
      </c>
      <c r="E1741" s="7">
        <f>VLOOKUP(A1741,Sheet2!$A$2:$R$3432,4,0)</f>
        <v>9922429779</v>
      </c>
      <c r="F1741" s="7" t="str">
        <f>VLOOKUP(A1741,Sheet2!$A$2:$R$3432,3,0)</f>
        <v>M G Pathan </v>
      </c>
      <c r="G1741" s="5" t="s">
        <v>25</v>
      </c>
      <c r="H1741" s="5" t="s">
        <v>25</v>
      </c>
      <c r="I1741" s="5" t="s">
        <v>25</v>
      </c>
      <c r="J1741" s="5" t="s">
        <v>25</v>
      </c>
      <c r="K1741" s="7" t="str">
        <f>VLOOKUP(A1741,Sheet2!$A$2:$R$3432,6,0)</f>
        <v>Honda Activa Old</v>
      </c>
      <c r="L1741" s="5" t="s">
        <v>25</v>
      </c>
      <c r="M1741" s="7" t="str">
        <f>VLOOKUP(A1741,Sheet2!$A$2:$R$3432,5,0)</f>
        <v>MH09BD5432</v>
      </c>
      <c r="N1741" s="5" t="s">
        <v>25</v>
      </c>
      <c r="O1741" s="5" t="s">
        <v>25</v>
      </c>
      <c r="P1741" s="6" t="s">
        <v>25</v>
      </c>
      <c r="Q1741" s="5" t="s">
        <v>25</v>
      </c>
      <c r="R1741" s="5" t="s">
        <v>25</v>
      </c>
      <c r="S1741" s="5" t="str">
        <f>VLOOKUP(A1741,Sheet2!$A$2:$R$3432,18,0)</f>
        <v>KPLE5147114</v>
      </c>
      <c r="T1741" s="7" t="str">
        <f>VLOOKUP(A1741,Sheet2!$A$2:$R$3432,17,0)</f>
        <v>ME4JE093H178115561</v>
      </c>
    </row>
    <row r="1742" ht="15.75" customHeight="1">
      <c r="A1742" s="3" t="s">
        <v>1765</v>
      </c>
      <c r="B1742" s="4" t="str">
        <f>VLOOKUP(A1742,Sheet2!$A$2:$R$3432,2,0)</f>
        <v>2025-07-12 20:37:43</v>
      </c>
      <c r="C1742" s="5" t="s">
        <v>25</v>
      </c>
      <c r="D1742" s="6" t="s">
        <v>25</v>
      </c>
      <c r="E1742" s="7">
        <f>VLOOKUP(A1742,Sheet2!$A$2:$R$3432,4,0)</f>
        <v>8788277144</v>
      </c>
      <c r="F1742" s="7" t="str">
        <f>VLOOKUP(A1742,Sheet2!$A$2:$R$3432,3,0)</f>
        <v>Akshay Kale</v>
      </c>
      <c r="G1742" s="5" t="s">
        <v>25</v>
      </c>
      <c r="H1742" s="5" t="s">
        <v>25</v>
      </c>
      <c r="I1742" s="5" t="s">
        <v>25</v>
      </c>
      <c r="J1742" s="5" t="s">
        <v>25</v>
      </c>
      <c r="K1742" s="7" t="str">
        <f>VLOOKUP(A1742,Sheet2!$A$2:$R$3432,6,0)</f>
        <v>Yamaha FZ S</v>
      </c>
      <c r="L1742" s="5" t="s">
        <v>25</v>
      </c>
      <c r="M1742" s="7" t="str">
        <f>VLOOKUP(A1742,Sheet2!$A$2:$R$3432,5,0)</f>
        <v>MH12QP5142</v>
      </c>
      <c r="N1742" s="5" t="s">
        <v>25</v>
      </c>
      <c r="O1742" s="5" t="s">
        <v>25</v>
      </c>
      <c r="P1742" s="6" t="s">
        <v>25</v>
      </c>
      <c r="Q1742" s="5" t="s">
        <v>25</v>
      </c>
      <c r="R1742" s="5" t="s">
        <v>25</v>
      </c>
      <c r="S1742" s="5" t="str">
        <f>VLOOKUP(A1742,Sheet2!$A$2:$R$3432,18,0)</f>
        <v>G3J3E0263762</v>
      </c>
      <c r="T1742" s="7" t="str">
        <f>VLOOKUP(A1742,Sheet2!$A$2:$R$3432,17,0)</f>
        <v>ME1RG4424J0160178</v>
      </c>
    </row>
    <row r="1743" ht="15.75" customHeight="1">
      <c r="A1743" s="3" t="s">
        <v>1766</v>
      </c>
      <c r="B1743" s="4" t="str">
        <f>VLOOKUP(A1743,Sheet2!$A$2:$R$3432,2,0)</f>
        <v>2024-08-04 20:46:56</v>
      </c>
      <c r="C1743" s="5" t="s">
        <v>25</v>
      </c>
      <c r="D1743" s="6" t="s">
        <v>25</v>
      </c>
      <c r="E1743" s="7">
        <f>VLOOKUP(A1743,Sheet2!$A$2:$R$3432,4,0)</f>
        <v>9860513646</v>
      </c>
      <c r="F1743" s="7" t="str">
        <f>VLOOKUP(A1743,Sheet2!$A$2:$R$3432,3,0)</f>
        <v>Satish Dethe</v>
      </c>
      <c r="G1743" s="5" t="s">
        <v>25</v>
      </c>
      <c r="H1743" s="5" t="s">
        <v>25</v>
      </c>
      <c r="I1743" s="5" t="s">
        <v>25</v>
      </c>
      <c r="J1743" s="5" t="s">
        <v>25</v>
      </c>
      <c r="K1743" s="7" t="str">
        <f>VLOOKUP(A1743,Sheet2!$A$2:$R$3432,6,0)</f>
        <v>Hero Pleasure </v>
      </c>
      <c r="L1743" s="5" t="s">
        <v>25</v>
      </c>
      <c r="M1743" s="7" t="str">
        <f>VLOOKUP(A1743,Sheet2!$A$2:$R$3432,5,0)</f>
        <v>MH17BE1014</v>
      </c>
      <c r="N1743" s="5" t="s">
        <v>25</v>
      </c>
      <c r="O1743" s="5" t="s">
        <v>25</v>
      </c>
      <c r="P1743" s="6" t="s">
        <v>25</v>
      </c>
      <c r="Q1743" s="5" t="s">
        <v>25</v>
      </c>
      <c r="R1743" s="5" t="s">
        <v>25</v>
      </c>
      <c r="S1743" s="5" t="str">
        <f>VLOOKUP(A1743,Sheet2!$A$2:$R$3432,18,0)</f>
        <v>JF16ECEGH27154</v>
      </c>
      <c r="T1743" s="7" t="str">
        <f>VLOOKUP(A1743,Sheet2!$A$2:$R$3432,17,0)</f>
        <v>MBLJF16EHEGH22670</v>
      </c>
    </row>
    <row r="1744" ht="15.75" customHeight="1">
      <c r="A1744" s="3" t="s">
        <v>1767</v>
      </c>
      <c r="B1744" s="4" t="str">
        <f>VLOOKUP(A1744,Sheet2!$A$2:$R$3432,2,0)</f>
        <v>2024-08-04 12:00:51</v>
      </c>
      <c r="C1744" s="5" t="s">
        <v>25</v>
      </c>
      <c r="D1744" s="6" t="s">
        <v>25</v>
      </c>
      <c r="E1744" s="7">
        <f>VLOOKUP(A1744,Sheet2!$A$2:$R$3432,4,0)</f>
        <v>8879005451</v>
      </c>
      <c r="F1744" s="7" t="str">
        <f>VLOOKUP(A1744,Sheet2!$A$2:$R$3432,3,0)</f>
        <v>NAGESH</v>
      </c>
      <c r="G1744" s="5" t="s">
        <v>25</v>
      </c>
      <c r="H1744" s="5" t="s">
        <v>25</v>
      </c>
      <c r="I1744" s="5" t="s">
        <v>25</v>
      </c>
      <c r="J1744" s="5" t="s">
        <v>25</v>
      </c>
      <c r="K1744" s="7" t="str">
        <f>VLOOKUP(A1744,Sheet2!$A$2:$R$3432,6,0)</f>
        <v>Honda Activa 125</v>
      </c>
      <c r="L1744" s="5" t="s">
        <v>25</v>
      </c>
      <c r="M1744" s="7" t="str">
        <f>VLOOKUP(A1744,Sheet2!$A$2:$R$3432,5,0)</f>
        <v>MH12QL0230</v>
      </c>
      <c r="N1744" s="5" t="s">
        <v>25</v>
      </c>
      <c r="O1744" s="5" t="s">
        <v>25</v>
      </c>
      <c r="P1744" s="6" t="s">
        <v>25</v>
      </c>
      <c r="Q1744" s="5" t="s">
        <v>25</v>
      </c>
      <c r="R1744" s="5" t="s">
        <v>25</v>
      </c>
      <c r="S1744" s="7" t="str">
        <f>VLOOKUP(A1744,Sheet2!$A$2:$R$3432,18,0)</f>
        <v/>
      </c>
      <c r="T1744" s="7" t="str">
        <f>VLOOKUP(A1744,Sheet2!$A$2:$R$3432,17,0)</f>
        <v/>
      </c>
    </row>
    <row r="1745" ht="15.75" customHeight="1">
      <c r="A1745" s="3" t="s">
        <v>1768</v>
      </c>
      <c r="B1745" s="4" t="str">
        <f>VLOOKUP(A1745,Sheet2!$A$2:$R$3432,2,0)</f>
        <v>2024-08-04 11:46:47</v>
      </c>
      <c r="C1745" s="5" t="s">
        <v>25</v>
      </c>
      <c r="D1745" s="6" t="s">
        <v>25</v>
      </c>
      <c r="E1745" s="7">
        <f>VLOOKUP(A1745,Sheet2!$A$2:$R$3432,4,0)</f>
        <v>7406056477</v>
      </c>
      <c r="F1745" s="7" t="str">
        <f>VLOOKUP(A1745,Sheet2!$A$2:$R$3432,3,0)</f>
        <v>Ashutosh </v>
      </c>
      <c r="G1745" s="5" t="s">
        <v>25</v>
      </c>
      <c r="H1745" s="5" t="s">
        <v>25</v>
      </c>
      <c r="I1745" s="5" t="s">
        <v>25</v>
      </c>
      <c r="J1745" s="5" t="s">
        <v>25</v>
      </c>
      <c r="K1745" s="7" t="str">
        <f>VLOOKUP(A1745,Sheet2!$A$2:$R$3432,6,0)</f>
        <v>TVS Apache RTR 160</v>
      </c>
      <c r="L1745" s="5" t="s">
        <v>25</v>
      </c>
      <c r="M1745" s="7" t="str">
        <f>VLOOKUP(A1745,Sheet2!$A$2:$R$3432,5,0)</f>
        <v>MH15JP8584</v>
      </c>
      <c r="N1745" s="5" t="s">
        <v>25</v>
      </c>
      <c r="O1745" s="5" t="s">
        <v>25</v>
      </c>
      <c r="P1745" s="6" t="s">
        <v>25</v>
      </c>
      <c r="Q1745" s="5" t="s">
        <v>25</v>
      </c>
      <c r="R1745" s="5" t="s">
        <v>25</v>
      </c>
      <c r="S1745" s="5" t="str">
        <f>VLOOKUP(A1745,Sheet2!$A$2:$R$3432,18,0)</f>
        <v>OE4FG2008309</v>
      </c>
      <c r="T1745" s="7" t="str">
        <f>VLOOKUP(A1745,Sheet2!$A$2:$R$3432,17,0)</f>
        <v>MD634KE4XGF60465</v>
      </c>
    </row>
    <row r="1746" ht="15.75" customHeight="1">
      <c r="A1746" s="3" t="s">
        <v>1769</v>
      </c>
      <c r="B1746" s="4" t="str">
        <f>VLOOKUP(A1746,Sheet2!$A$2:$R$3432,2,0)</f>
        <v>2024-08-04 11:48:48</v>
      </c>
      <c r="C1746" s="5" t="s">
        <v>25</v>
      </c>
      <c r="D1746" s="6" t="s">
        <v>25</v>
      </c>
      <c r="E1746" s="7">
        <f>VLOOKUP(A1746,Sheet2!$A$2:$R$3432,4,0)</f>
        <v>8208096787</v>
      </c>
      <c r="F1746" s="7" t="str">
        <f>VLOOKUP(A1746,Sheet2!$A$2:$R$3432,3,0)</f>
        <v>Vikas Thote</v>
      </c>
      <c r="G1746" s="5" t="s">
        <v>25</v>
      </c>
      <c r="H1746" s="5" t="s">
        <v>25</v>
      </c>
      <c r="I1746" s="5" t="s">
        <v>25</v>
      </c>
      <c r="J1746" s="5" t="s">
        <v>25</v>
      </c>
      <c r="K1746" s="7" t="str">
        <f>VLOOKUP(A1746,Sheet2!$A$2:$R$3432,6,0)</f>
        <v>Bajaj Discover 150</v>
      </c>
      <c r="L1746" s="5" t="s">
        <v>25</v>
      </c>
      <c r="M1746" s="7" t="str">
        <f>VLOOKUP(A1746,Sheet2!$A$2:$R$3432,5,0)</f>
        <v>MH12LH6686</v>
      </c>
      <c r="N1746" s="5" t="s">
        <v>25</v>
      </c>
      <c r="O1746" s="5" t="s">
        <v>25</v>
      </c>
      <c r="P1746" s="6" t="s">
        <v>25</v>
      </c>
      <c r="Q1746" s="5" t="s">
        <v>25</v>
      </c>
      <c r="R1746" s="5" t="s">
        <v>25</v>
      </c>
      <c r="S1746" s="5" t="str">
        <f>VLOOKUP(A1746,Sheet2!$A$2:$R$3432,18,0)</f>
        <v>JE7WED61037</v>
      </c>
      <c r="T1746" s="7" t="str">
        <f>VLOOKUP(A1746,Sheet2!$A$2:$R$3432,17,0)</f>
        <v>MD2A64CZ0EWD06797</v>
      </c>
    </row>
    <row r="1747" ht="15.75" customHeight="1">
      <c r="A1747" s="3" t="s">
        <v>1770</v>
      </c>
      <c r="B1747" s="4" t="str">
        <f>VLOOKUP(A1747,Sheet2!$A$2:$R$3432,2,0)</f>
        <v>2024-08-04 11:50:43</v>
      </c>
      <c r="C1747" s="5" t="s">
        <v>25</v>
      </c>
      <c r="D1747" s="6" t="s">
        <v>25</v>
      </c>
      <c r="E1747" s="7">
        <f>VLOOKUP(A1747,Sheet2!$A$2:$R$3432,4,0)</f>
        <v>9158485474</v>
      </c>
      <c r="F1747" s="7" t="str">
        <f>VLOOKUP(A1747,Sheet2!$A$2:$R$3432,3,0)</f>
        <v>Akshay Awashank</v>
      </c>
      <c r="G1747" s="5" t="s">
        <v>25</v>
      </c>
      <c r="H1747" s="5" t="s">
        <v>25</v>
      </c>
      <c r="I1747" s="5" t="s">
        <v>25</v>
      </c>
      <c r="J1747" s="5" t="s">
        <v>25</v>
      </c>
      <c r="K1747" s="7" t="str">
        <f>VLOOKUP(A1747,Sheet2!$A$2:$R$3432,6,0)</f>
        <v>Honda Unicorn 160</v>
      </c>
      <c r="L1747" s="5" t="s">
        <v>25</v>
      </c>
      <c r="M1747" s="7" t="str">
        <f>VLOOKUP(A1747,Sheet2!$A$2:$R$3432,5,0)</f>
        <v>MH13CR6668</v>
      </c>
      <c r="N1747" s="5" t="s">
        <v>25</v>
      </c>
      <c r="O1747" s="5" t="s">
        <v>25</v>
      </c>
      <c r="P1747" s="6" t="s">
        <v>25</v>
      </c>
      <c r="Q1747" s="5" t="s">
        <v>25</v>
      </c>
      <c r="R1747" s="5" t="s">
        <v>25</v>
      </c>
      <c r="S1747" s="5" t="str">
        <f>VLOOKUP(A1747,Sheet2!$A$2:$R$3432,18,0)</f>
        <v>KC20E81012921</v>
      </c>
      <c r="T1747" s="7" t="str">
        <f>VLOOKUP(A1747,Sheet2!$A$2:$R$3432,17,0)</f>
        <v>ME4KC209DH8005716</v>
      </c>
    </row>
    <row r="1748" ht="15.75" customHeight="1">
      <c r="A1748" s="3" t="s">
        <v>1771</v>
      </c>
      <c r="B1748" s="4" t="str">
        <f>VLOOKUP(A1748,Sheet2!$A$2:$R$3432,2,0)</f>
        <v>2024-08-04 11:53:04</v>
      </c>
      <c r="C1748" s="5" t="s">
        <v>25</v>
      </c>
      <c r="D1748" s="6" t="s">
        <v>25</v>
      </c>
      <c r="E1748" s="7">
        <f>VLOOKUP(A1748,Sheet2!$A$2:$R$3432,4,0)</f>
        <v>7568346926</v>
      </c>
      <c r="F1748" s="7" t="str">
        <f>VLOOKUP(A1748,Sheet2!$A$2:$R$3432,3,0)</f>
        <v>Mudit</v>
      </c>
      <c r="G1748" s="5" t="s">
        <v>25</v>
      </c>
      <c r="H1748" s="5" t="s">
        <v>25</v>
      </c>
      <c r="I1748" s="5" t="s">
        <v>25</v>
      </c>
      <c r="J1748" s="5" t="s">
        <v>25</v>
      </c>
      <c r="K1748" s="7" t="str">
        <f>VLOOKUP(A1748,Sheet2!$A$2:$R$3432,6,0)</f>
        <v>Suzuki Access No Data</v>
      </c>
      <c r="L1748" s="5" t="s">
        <v>25</v>
      </c>
      <c r="M1748" s="7" t="str">
        <f>VLOOKUP(A1748,Sheet2!$A$2:$R$3432,5,0)</f>
        <v>MH14EZ3638</v>
      </c>
      <c r="N1748" s="5" t="s">
        <v>25</v>
      </c>
      <c r="O1748" s="5" t="s">
        <v>25</v>
      </c>
      <c r="P1748" s="6" t="s">
        <v>25</v>
      </c>
      <c r="Q1748" s="5" t="s">
        <v>25</v>
      </c>
      <c r="R1748" s="5" t="s">
        <v>25</v>
      </c>
      <c r="S1748" s="5" t="str">
        <f>VLOOKUP(A1748,Sheet2!$A$2:$R$3432,18,0)</f>
        <v>E4862744611</v>
      </c>
      <c r="T1748" s="7" t="str">
        <f>VLOOKUP(A1748,Sheet2!$A$2:$R$3432,17,0)</f>
        <v>MB8CF4CDF8573571</v>
      </c>
    </row>
    <row r="1749" ht="15.75" customHeight="1">
      <c r="A1749" s="3" t="s">
        <v>1772</v>
      </c>
      <c r="B1749" s="4" t="str">
        <f>VLOOKUP(A1749,Sheet2!$A$2:$R$3432,2,0)</f>
        <v>2024-08-04 11:53:48</v>
      </c>
      <c r="C1749" s="5" t="s">
        <v>25</v>
      </c>
      <c r="D1749" s="6" t="s">
        <v>25</v>
      </c>
      <c r="E1749" s="7">
        <f>VLOOKUP(A1749,Sheet2!$A$2:$R$3432,4,0)</f>
        <v>9902518488</v>
      </c>
      <c r="F1749" s="7" t="str">
        <f>VLOOKUP(A1749,Sheet2!$A$2:$R$3432,3,0)</f>
        <v>Regwin</v>
      </c>
      <c r="G1749" s="5" t="s">
        <v>25</v>
      </c>
      <c r="H1749" s="5" t="s">
        <v>25</v>
      </c>
      <c r="I1749" s="5" t="s">
        <v>25</v>
      </c>
      <c r="J1749" s="5" t="s">
        <v>25</v>
      </c>
      <c r="K1749" s="7" t="str">
        <f>VLOOKUP(A1749,Sheet2!$A$2:$R$3432,6,0)</f>
        <v>Honda Activa 110</v>
      </c>
      <c r="L1749" s="5" t="s">
        <v>25</v>
      </c>
      <c r="M1749" s="7" t="str">
        <f>VLOOKUP(A1749,Sheet2!$A$2:$R$3432,5,0)</f>
        <v>MH14FJ5716</v>
      </c>
      <c r="N1749" s="5" t="s">
        <v>25</v>
      </c>
      <c r="O1749" s="5" t="s">
        <v>25</v>
      </c>
      <c r="P1749" s="6" t="s">
        <v>25</v>
      </c>
      <c r="Q1749" s="5" t="s">
        <v>25</v>
      </c>
      <c r="R1749" s="5" t="s">
        <v>25</v>
      </c>
      <c r="S1749" s="5" t="str">
        <f>VLOOKUP(A1749,Sheet2!$A$2:$R$3432,18,0)</f>
        <v>JF50ET2986163</v>
      </c>
      <c r="T1749" s="7" t="str">
        <f>VLOOKUP(A1749,Sheet2!$A$2:$R$3432,17,0)</f>
        <v>ME4JF504LFT985888</v>
      </c>
    </row>
    <row r="1750" ht="15.75" customHeight="1">
      <c r="A1750" s="3" t="s">
        <v>1773</v>
      </c>
      <c r="B1750" s="4" t="str">
        <f>VLOOKUP(A1750,Sheet2!$A$2:$R$3432,2,0)</f>
        <v>2024-08-04 11:58:18</v>
      </c>
      <c r="C1750" s="5" t="s">
        <v>25</v>
      </c>
      <c r="D1750" s="6" t="s">
        <v>25</v>
      </c>
      <c r="E1750" s="7">
        <f>VLOOKUP(A1750,Sheet2!$A$2:$R$3432,4,0)</f>
        <v>7737381901</v>
      </c>
      <c r="F1750" s="7" t="str">
        <f>VLOOKUP(A1750,Sheet2!$A$2:$R$3432,3,0)</f>
        <v>Piyush</v>
      </c>
      <c r="G1750" s="5" t="s">
        <v>25</v>
      </c>
      <c r="H1750" s="5" t="s">
        <v>25</v>
      </c>
      <c r="I1750" s="5" t="s">
        <v>25</v>
      </c>
      <c r="J1750" s="5" t="s">
        <v>25</v>
      </c>
      <c r="K1750" s="7" t="str">
        <f>VLOOKUP(A1750,Sheet2!$A$2:$R$3432,6,0)</f>
        <v>Yamaha FZ </v>
      </c>
      <c r="L1750" s="5" t="s">
        <v>25</v>
      </c>
      <c r="M1750" s="7" t="str">
        <f>VLOOKUP(A1750,Sheet2!$A$2:$R$3432,5,0)</f>
        <v>RJ14WB1195</v>
      </c>
      <c r="N1750" s="5" t="s">
        <v>25</v>
      </c>
      <c r="O1750" s="5" t="s">
        <v>25</v>
      </c>
      <c r="P1750" s="6" t="s">
        <v>25</v>
      </c>
      <c r="Q1750" s="5" t="s">
        <v>25</v>
      </c>
      <c r="R1750" s="5" t="s">
        <v>25</v>
      </c>
      <c r="S1750" s="5" t="str">
        <f>VLOOKUP(A1750,Sheet2!$A$2:$R$3432,18,0)</f>
        <v>21CH038012</v>
      </c>
      <c r="T1750" s="7" t="str">
        <f>VLOOKUP(A1750,Sheet2!$A$2:$R$3432,17,0)</f>
        <v>ME121CDH7D2032961</v>
      </c>
    </row>
    <row r="1751" ht="15.75" customHeight="1">
      <c r="A1751" s="3" t="s">
        <v>1774</v>
      </c>
      <c r="B1751" s="4" t="str">
        <f>VLOOKUP(A1751,Sheet2!$A$2:$R$3432,2,0)</f>
        <v>2024-08-04 11:56:21</v>
      </c>
      <c r="C1751" s="5" t="s">
        <v>25</v>
      </c>
      <c r="D1751" s="6" t="s">
        <v>25</v>
      </c>
      <c r="E1751" s="7">
        <f>VLOOKUP(A1751,Sheet2!$A$2:$R$3432,4,0)</f>
        <v>9404545177</v>
      </c>
      <c r="F1751" s="7" t="str">
        <f>VLOOKUP(A1751,Sheet2!$A$2:$R$3432,3,0)</f>
        <v>Bhushan Narkhede</v>
      </c>
      <c r="G1751" s="5" t="s">
        <v>25</v>
      </c>
      <c r="H1751" s="5" t="s">
        <v>25</v>
      </c>
      <c r="I1751" s="5" t="s">
        <v>25</v>
      </c>
      <c r="J1751" s="5" t="s">
        <v>25</v>
      </c>
      <c r="K1751" s="7" t="str">
        <f>VLOOKUP(A1751,Sheet2!$A$2:$R$3432,6,0)</f>
        <v>Bajaj Pulsar 150</v>
      </c>
      <c r="L1751" s="5" t="s">
        <v>25</v>
      </c>
      <c r="M1751" s="7" t="str">
        <f>VLOOKUP(A1751,Sheet2!$A$2:$R$3432,5,0)</f>
        <v>MH21AA7147</v>
      </c>
      <c r="N1751" s="5" t="s">
        <v>25</v>
      </c>
      <c r="O1751" s="5" t="s">
        <v>25</v>
      </c>
      <c r="P1751" s="6" t="s">
        <v>25</v>
      </c>
      <c r="Q1751" s="5" t="s">
        <v>25</v>
      </c>
      <c r="R1751" s="5" t="s">
        <v>25</v>
      </c>
      <c r="S1751" s="5" t="str">
        <f>VLOOKUP(A1751,Sheet2!$A$2:$R$3432,18,0)</f>
        <v>DHGBTF98682</v>
      </c>
      <c r="T1751" s="7" t="str">
        <f>VLOOKUP(A1751,Sheet2!$A$2:$R$3432,17,0)</f>
        <v>MD2DHDHZZTCF10362</v>
      </c>
    </row>
    <row r="1752" ht="15.75" customHeight="1">
      <c r="A1752" s="3" t="s">
        <v>1775</v>
      </c>
      <c r="B1752" s="4" t="str">
        <f>VLOOKUP(A1752,Sheet2!$A$2:$R$3432,2,0)</f>
        <v>2024-08-04 11:57:21</v>
      </c>
      <c r="C1752" s="5" t="s">
        <v>25</v>
      </c>
      <c r="D1752" s="6" t="s">
        <v>25</v>
      </c>
      <c r="E1752" s="7">
        <f>VLOOKUP(A1752,Sheet2!$A$2:$R$3432,4,0)</f>
        <v>9325618400</v>
      </c>
      <c r="F1752" s="7" t="str">
        <f>VLOOKUP(A1752,Sheet2!$A$2:$R$3432,3,0)</f>
        <v>Vishwa Mehta</v>
      </c>
      <c r="G1752" s="5" t="s">
        <v>25</v>
      </c>
      <c r="H1752" s="5" t="s">
        <v>25</v>
      </c>
      <c r="I1752" s="5" t="s">
        <v>25</v>
      </c>
      <c r="J1752" s="5" t="s">
        <v>25</v>
      </c>
      <c r="K1752" s="7" t="str">
        <f>VLOOKUP(A1752,Sheet2!$A$2:$R$3432,6,0)</f>
        <v>TVS Apache 160 4V</v>
      </c>
      <c r="L1752" s="5" t="s">
        <v>25</v>
      </c>
      <c r="M1752" s="7" t="str">
        <f>VLOOKUP(A1752,Sheet2!$A$2:$R$3432,5,0)</f>
        <v>MH14HN6730</v>
      </c>
      <c r="N1752" s="5" t="s">
        <v>25</v>
      </c>
      <c r="O1752" s="5" t="s">
        <v>25</v>
      </c>
      <c r="P1752" s="6" t="s">
        <v>25</v>
      </c>
      <c r="Q1752" s="5" t="s">
        <v>25</v>
      </c>
      <c r="R1752" s="5" t="s">
        <v>25</v>
      </c>
      <c r="S1752" s="5" t="str">
        <f>VLOOKUP(A1752,Sheet2!$A$2:$R$3432,18,0)</f>
        <v>CE7CK2702622</v>
      </c>
      <c r="T1752" s="7" t="str">
        <f>VLOOKUP(A1752,Sheet2!$A$2:$R$3432,17,0)</f>
        <v>MD637CE76K2C03011</v>
      </c>
    </row>
    <row r="1753" ht="15.75" customHeight="1">
      <c r="A1753" s="3" t="s">
        <v>1776</v>
      </c>
      <c r="B1753" s="4" t="str">
        <f>VLOOKUP(A1753,Sheet2!$A$2:$R$3432,2,0)</f>
        <v>2024-08-04 11:59:45</v>
      </c>
      <c r="C1753" s="5" t="s">
        <v>25</v>
      </c>
      <c r="D1753" s="6" t="s">
        <v>25</v>
      </c>
      <c r="E1753" s="7">
        <f>VLOOKUP(A1753,Sheet2!$A$2:$R$3432,4,0)</f>
        <v>8411084667</v>
      </c>
      <c r="F1753" s="7" t="str">
        <f>VLOOKUP(A1753,Sheet2!$A$2:$R$3432,3,0)</f>
        <v>ROHIT MORE</v>
      </c>
      <c r="G1753" s="5" t="s">
        <v>25</v>
      </c>
      <c r="H1753" s="5" t="s">
        <v>25</v>
      </c>
      <c r="I1753" s="5" t="s">
        <v>25</v>
      </c>
      <c r="J1753" s="5" t="s">
        <v>25</v>
      </c>
      <c r="K1753" s="7" t="str">
        <f>VLOOKUP(A1753,Sheet2!$A$2:$R$3432,6,0)</f>
        <v>Yamaha Fazer </v>
      </c>
      <c r="L1753" s="5" t="s">
        <v>25</v>
      </c>
      <c r="M1753" s="7" t="str">
        <f>VLOOKUP(A1753,Sheet2!$A$2:$R$3432,5,0)</f>
        <v>MH09DS1121</v>
      </c>
      <c r="N1753" s="5" t="s">
        <v>25</v>
      </c>
      <c r="O1753" s="5" t="s">
        <v>25</v>
      </c>
      <c r="P1753" s="6" t="s">
        <v>25</v>
      </c>
      <c r="Q1753" s="5" t="s">
        <v>25</v>
      </c>
      <c r="R1753" s="5" t="s">
        <v>25</v>
      </c>
      <c r="S1753" s="7" t="str">
        <f>VLOOKUP(A1753,Sheet2!$A$2:$R$3432,18,0)</f>
        <v/>
      </c>
      <c r="T1753" s="7" t="str">
        <f>VLOOKUP(A1753,Sheet2!$A$2:$R$3432,17,0)</f>
        <v/>
      </c>
    </row>
    <row r="1754" ht="15.75" customHeight="1">
      <c r="A1754" s="3" t="s">
        <v>1777</v>
      </c>
      <c r="B1754" s="4" t="str">
        <f>VLOOKUP(A1754,Sheet2!$A$2:$R$3432,2,0)</f>
        <v>2024-08-04 12:00:20</v>
      </c>
      <c r="C1754" s="5" t="s">
        <v>25</v>
      </c>
      <c r="D1754" s="6" t="s">
        <v>25</v>
      </c>
      <c r="E1754" s="7">
        <f>VLOOKUP(A1754,Sheet2!$A$2:$R$3432,4,0)</f>
        <v>8626061848</v>
      </c>
      <c r="F1754" s="7" t="str">
        <f>VLOOKUP(A1754,Sheet2!$A$2:$R$3432,3,0)</f>
        <v>ARPIT TANK</v>
      </c>
      <c r="G1754" s="5" t="s">
        <v>25</v>
      </c>
      <c r="H1754" s="5" t="s">
        <v>25</v>
      </c>
      <c r="I1754" s="5" t="s">
        <v>25</v>
      </c>
      <c r="J1754" s="5" t="s">
        <v>25</v>
      </c>
      <c r="K1754" s="7" t="str">
        <f>VLOOKUP(A1754,Sheet2!$A$2:$R$3432,6,0)</f>
        <v>Hero Karizma R</v>
      </c>
      <c r="L1754" s="5" t="s">
        <v>25</v>
      </c>
      <c r="M1754" s="7" t="str">
        <f>VLOOKUP(A1754,Sheet2!$A$2:$R$3432,5,0)</f>
        <v>MH12GW4447</v>
      </c>
      <c r="N1754" s="5" t="s">
        <v>25</v>
      </c>
      <c r="O1754" s="5" t="s">
        <v>25</v>
      </c>
      <c r="P1754" s="6" t="s">
        <v>25</v>
      </c>
      <c r="Q1754" s="5" t="s">
        <v>25</v>
      </c>
      <c r="R1754" s="5" t="s">
        <v>25</v>
      </c>
      <c r="S1754" s="5" t="str">
        <f>VLOOKUP(A1754,Sheet2!$A$2:$R$3432,18,0)</f>
        <v>MC38EDGC01601</v>
      </c>
      <c r="T1754" s="7" t="str">
        <f>VLOOKUP(A1754,Sheet2!$A$2:$R$3432,17,0)</f>
        <v>MBLMC38EDBGC01650</v>
      </c>
    </row>
    <row r="1755" ht="15.75" customHeight="1">
      <c r="A1755" s="3" t="s">
        <v>1778</v>
      </c>
      <c r="B1755" s="4" t="str">
        <f>VLOOKUP(A1755,Sheet2!$A$2:$R$3432,2,0)</f>
        <v>2024-08-04 21:03:12</v>
      </c>
      <c r="C1755" s="5" t="s">
        <v>25</v>
      </c>
      <c r="D1755" s="6" t="s">
        <v>25</v>
      </c>
      <c r="E1755" s="7">
        <f>VLOOKUP(A1755,Sheet2!$A$2:$R$3432,4,0)</f>
        <v>9860503773</v>
      </c>
      <c r="F1755" s="7" t="str">
        <f>VLOOKUP(A1755,Sheet2!$A$2:$R$3432,3,0)</f>
        <v>DASGUPTA</v>
      </c>
      <c r="G1755" s="5" t="s">
        <v>25</v>
      </c>
      <c r="H1755" s="5" t="s">
        <v>25</v>
      </c>
      <c r="I1755" s="5" t="s">
        <v>25</v>
      </c>
      <c r="J1755" s="5" t="s">
        <v>25</v>
      </c>
      <c r="K1755" s="7" t="str">
        <f>VLOOKUP(A1755,Sheet2!$A$2:$R$3432,6,0)</f>
        <v>Hero Splendor Super</v>
      </c>
      <c r="L1755" s="5" t="s">
        <v>25</v>
      </c>
      <c r="M1755" s="7" t="str">
        <f>VLOOKUP(A1755,Sheet2!$A$2:$R$3432,5,0)</f>
        <v>MH19AG1205</v>
      </c>
      <c r="N1755" s="5" t="s">
        <v>25</v>
      </c>
      <c r="O1755" s="5" t="s">
        <v>25</v>
      </c>
      <c r="P1755" s="6" t="s">
        <v>25</v>
      </c>
      <c r="Q1755" s="5" t="s">
        <v>25</v>
      </c>
      <c r="R1755" s="5" t="s">
        <v>25</v>
      </c>
      <c r="S1755" s="5" t="str">
        <f>VLOOKUP(A1755,Sheet2!$A$2:$R$3432,18,0)</f>
        <v>05EAAE12571</v>
      </c>
      <c r="T1755" s="7" t="str">
        <f>VLOOKUP(A1755,Sheet2!$A$2:$R$3432,17,0)</f>
        <v>05EAAF13180</v>
      </c>
    </row>
    <row r="1756" ht="15.75" customHeight="1">
      <c r="A1756" s="3" t="s">
        <v>1779</v>
      </c>
      <c r="B1756" s="4" t="str">
        <f>VLOOKUP(A1756,Sheet2!$A$2:$R$3432,2,0)</f>
        <v>2024-08-04 20:36:51</v>
      </c>
      <c r="C1756" s="5" t="s">
        <v>25</v>
      </c>
      <c r="D1756" s="6" t="s">
        <v>25</v>
      </c>
      <c r="E1756" s="7">
        <f>VLOOKUP(A1756,Sheet2!$A$2:$R$3432,4,0)</f>
        <v>9767986906</v>
      </c>
      <c r="F1756" s="7" t="str">
        <f>VLOOKUP(A1756,Sheet2!$A$2:$R$3432,3,0)</f>
        <v>Shelar</v>
      </c>
      <c r="G1756" s="5" t="s">
        <v>25</v>
      </c>
      <c r="H1756" s="5" t="s">
        <v>25</v>
      </c>
      <c r="I1756" s="5" t="s">
        <v>25</v>
      </c>
      <c r="J1756" s="5" t="s">
        <v>25</v>
      </c>
      <c r="K1756" s="7" t="str">
        <f>VLOOKUP(A1756,Sheet2!$A$2:$R$3432,6,0)</f>
        <v>Hero Duet </v>
      </c>
      <c r="L1756" s="5" t="s">
        <v>25</v>
      </c>
      <c r="M1756" s="7" t="str">
        <f>VLOOKUP(A1756,Sheet2!$A$2:$R$3432,5,0)</f>
        <v>MH41AL9977</v>
      </c>
      <c r="N1756" s="5" t="s">
        <v>25</v>
      </c>
      <c r="O1756" s="5" t="s">
        <v>25</v>
      </c>
      <c r="P1756" s="6" t="s">
        <v>25</v>
      </c>
      <c r="Q1756" s="5" t="s">
        <v>25</v>
      </c>
      <c r="R1756" s="5" t="s">
        <v>25</v>
      </c>
      <c r="S1756" s="7" t="str">
        <f>VLOOKUP(A1756,Sheet2!$A$2:$R$3432,18,0)</f>
        <v/>
      </c>
      <c r="T1756" s="7" t="str">
        <f>VLOOKUP(A1756,Sheet2!$A$2:$R$3432,17,0)</f>
        <v/>
      </c>
    </row>
    <row r="1757" ht="15.75" customHeight="1">
      <c r="A1757" s="3" t="s">
        <v>1780</v>
      </c>
      <c r="B1757" s="4" t="str">
        <f>VLOOKUP(A1757,Sheet2!$A$2:$R$3432,2,0)</f>
        <v>2024-08-04 20:37:47</v>
      </c>
      <c r="C1757" s="5" t="s">
        <v>25</v>
      </c>
      <c r="D1757" s="6" t="s">
        <v>25</v>
      </c>
      <c r="E1757" s="7">
        <f>VLOOKUP(A1757,Sheet2!$A$2:$R$3432,4,0)</f>
        <v>9326075507</v>
      </c>
      <c r="F1757" s="7" t="str">
        <f>VLOOKUP(A1757,Sheet2!$A$2:$R$3432,3,0)</f>
        <v>Saurabh Shende</v>
      </c>
      <c r="G1757" s="5" t="s">
        <v>25</v>
      </c>
      <c r="H1757" s="5" t="s">
        <v>25</v>
      </c>
      <c r="I1757" s="5" t="s">
        <v>25</v>
      </c>
      <c r="J1757" s="5" t="s">
        <v>25</v>
      </c>
      <c r="K1757" s="7" t="str">
        <f>VLOOKUP(A1757,Sheet2!$A$2:$R$3432,6,0)</f>
        <v>Bajaj Pulsar 220F</v>
      </c>
      <c r="L1757" s="5" t="s">
        <v>25</v>
      </c>
      <c r="M1757" s="7" t="str">
        <f>VLOOKUP(A1757,Sheet2!$A$2:$R$3432,5,0)</f>
        <v>MH12HM7770</v>
      </c>
      <c r="N1757" s="5" t="s">
        <v>25</v>
      </c>
      <c r="O1757" s="5" t="s">
        <v>25</v>
      </c>
      <c r="P1757" s="6" t="s">
        <v>25</v>
      </c>
      <c r="Q1757" s="5" t="s">
        <v>25</v>
      </c>
      <c r="R1757" s="5" t="s">
        <v>25</v>
      </c>
      <c r="S1757" s="7" t="str">
        <f>VLOOKUP(A1757,Sheet2!$A$2:$R$3432,18,0)</f>
        <v/>
      </c>
      <c r="T1757" s="7" t="str">
        <f>VLOOKUP(A1757,Sheet2!$A$2:$R$3432,17,0)</f>
        <v>MD2DH0KZZUCE40890</v>
      </c>
    </row>
    <row r="1758" ht="15.75" customHeight="1">
      <c r="A1758" s="3" t="s">
        <v>1781</v>
      </c>
      <c r="B1758" s="4" t="str">
        <f>VLOOKUP(A1758,Sheet2!$A$2:$R$3432,2,0)</f>
        <v>2024-08-04 20:38:54</v>
      </c>
      <c r="C1758" s="5" t="s">
        <v>25</v>
      </c>
      <c r="D1758" s="6" t="s">
        <v>25</v>
      </c>
      <c r="E1758" s="7">
        <f>VLOOKUP(A1758,Sheet2!$A$2:$R$3432,4,0)</f>
        <v>8600891133</v>
      </c>
      <c r="F1758" s="7" t="str">
        <f>VLOOKUP(A1758,Sheet2!$A$2:$R$3432,3,0)</f>
        <v>Rishikesh Dole</v>
      </c>
      <c r="G1758" s="5" t="s">
        <v>25</v>
      </c>
      <c r="H1758" s="5" t="s">
        <v>25</v>
      </c>
      <c r="I1758" s="5" t="s">
        <v>25</v>
      </c>
      <c r="J1758" s="5" t="s">
        <v>25</v>
      </c>
      <c r="K1758" s="7" t="str">
        <f>VLOOKUP(A1758,Sheet2!$A$2:$R$3432,6,0)</f>
        <v>Suzuki Gixxer </v>
      </c>
      <c r="L1758" s="5" t="s">
        <v>25</v>
      </c>
      <c r="M1758" s="7" t="str">
        <f>VLOOKUP(A1758,Sheet2!$A$2:$R$3432,5,0)</f>
        <v>MH13DR5655</v>
      </c>
      <c r="N1758" s="5" t="s">
        <v>25</v>
      </c>
      <c r="O1758" s="5" t="s">
        <v>25</v>
      </c>
      <c r="P1758" s="6" t="s">
        <v>25</v>
      </c>
      <c r="Q1758" s="5" t="s">
        <v>25</v>
      </c>
      <c r="R1758" s="5" t="s">
        <v>25</v>
      </c>
      <c r="S1758" s="5" t="str">
        <f>VLOOKUP(A1758,Sheet2!$A$2:$R$3432,18,0)</f>
        <v>BGA31021591</v>
      </c>
      <c r="T1758" s="7" t="str">
        <f>VLOOKUP(A1758,Sheet2!$A$2:$R$3432,17,0)</f>
        <v>MB8ED13WML8105890</v>
      </c>
    </row>
    <row r="1759" ht="15.75" customHeight="1">
      <c r="A1759" s="3" t="s">
        <v>1782</v>
      </c>
      <c r="B1759" s="4" t="str">
        <f>VLOOKUP(A1759,Sheet2!$A$2:$R$3432,2,0)</f>
        <v>2024-08-04 20:40:29</v>
      </c>
      <c r="C1759" s="5" t="s">
        <v>25</v>
      </c>
      <c r="D1759" s="6" t="s">
        <v>25</v>
      </c>
      <c r="E1759" s="7">
        <f>VLOOKUP(A1759,Sheet2!$A$2:$R$3432,4,0)</f>
        <v>9860533058</v>
      </c>
      <c r="F1759" s="7" t="str">
        <f>VLOOKUP(A1759,Sheet2!$A$2:$R$3432,3,0)</f>
        <v>Swati Kumbhar</v>
      </c>
      <c r="G1759" s="5" t="s">
        <v>25</v>
      </c>
      <c r="H1759" s="5" t="s">
        <v>25</v>
      </c>
      <c r="I1759" s="5" t="s">
        <v>25</v>
      </c>
      <c r="J1759" s="5" t="s">
        <v>25</v>
      </c>
      <c r="K1759" s="7" t="str">
        <f>VLOOKUP(A1759,Sheet2!$A$2:$R$3432,6,0)</f>
        <v>TVS Scooty PEP Plus</v>
      </c>
      <c r="L1759" s="5" t="s">
        <v>25</v>
      </c>
      <c r="M1759" s="7" t="str">
        <f>VLOOKUP(A1759,Sheet2!$A$2:$R$3432,5,0)</f>
        <v>MH14GW0384</v>
      </c>
      <c r="N1759" s="5" t="s">
        <v>25</v>
      </c>
      <c r="O1759" s="5" t="s">
        <v>25</v>
      </c>
      <c r="P1759" s="6" t="s">
        <v>25</v>
      </c>
      <c r="Q1759" s="5" t="s">
        <v>25</v>
      </c>
      <c r="R1759" s="5" t="s">
        <v>25</v>
      </c>
      <c r="S1759" s="5" t="str">
        <f>VLOOKUP(A1759,Sheet2!$A$2:$R$3432,18,0)</f>
        <v>AG3CJ2553684</v>
      </c>
      <c r="T1759" s="7" t="str">
        <f>VLOOKUP(A1759,Sheet2!$A$2:$R$3432,17,0)</f>
        <v>MD626AG37JZC57347</v>
      </c>
    </row>
    <row r="1760" ht="15.75" customHeight="1">
      <c r="A1760" s="3" t="s">
        <v>1783</v>
      </c>
      <c r="B1760" s="4" t="str">
        <f>VLOOKUP(A1760,Sheet2!$A$2:$R$3432,2,0)</f>
        <v>2024-08-04 20:47:55</v>
      </c>
      <c r="C1760" s="5" t="s">
        <v>25</v>
      </c>
      <c r="D1760" s="6" t="s">
        <v>25</v>
      </c>
      <c r="E1760" s="7">
        <f>VLOOKUP(A1760,Sheet2!$A$2:$R$3432,4,0)</f>
        <v>9822664924</v>
      </c>
      <c r="F1760" s="7" t="str">
        <f>VLOOKUP(A1760,Sheet2!$A$2:$R$3432,3,0)</f>
        <v>Nilesh Barne </v>
      </c>
      <c r="G1760" s="5" t="s">
        <v>25</v>
      </c>
      <c r="H1760" s="5" t="s">
        <v>25</v>
      </c>
      <c r="I1760" s="5" t="s">
        <v>25</v>
      </c>
      <c r="J1760" s="5" t="s">
        <v>25</v>
      </c>
      <c r="K1760" s="7" t="str">
        <f>VLOOKUP(A1760,Sheet2!$A$2:$R$3432,6,0)</f>
        <v>TVS Jupiter </v>
      </c>
      <c r="L1760" s="5" t="s">
        <v>25</v>
      </c>
      <c r="M1760" s="7" t="str">
        <f>VLOOKUP(A1760,Sheet2!$A$2:$R$3432,5,0)</f>
        <v>MH14HR2848</v>
      </c>
      <c r="N1760" s="5" t="s">
        <v>25</v>
      </c>
      <c r="O1760" s="5" t="s">
        <v>25</v>
      </c>
      <c r="P1760" s="6" t="s">
        <v>25</v>
      </c>
      <c r="Q1760" s="5" t="s">
        <v>25</v>
      </c>
      <c r="R1760" s="5" t="s">
        <v>25</v>
      </c>
      <c r="S1760" s="5" t="str">
        <f>VLOOKUP(A1760,Sheet2!$A$2:$R$3432,18,0)</f>
        <v>DG4DK1906763</v>
      </c>
      <c r="T1760" s="7" t="str">
        <f>VLOOKUP(A1760,Sheet2!$A$2:$R$3432,17,0)</f>
        <v>MD626EG42K1D24945</v>
      </c>
    </row>
    <row r="1761" ht="15.75" customHeight="1">
      <c r="A1761" s="3" t="s">
        <v>1784</v>
      </c>
      <c r="B1761" s="4" t="str">
        <f>VLOOKUP(A1761,Sheet2!$A$2:$R$3432,2,0)</f>
        <v>2024-08-04 20:43:00</v>
      </c>
      <c r="C1761" s="5" t="s">
        <v>25</v>
      </c>
      <c r="D1761" s="6" t="s">
        <v>25</v>
      </c>
      <c r="E1761" s="7">
        <f>VLOOKUP(A1761,Sheet2!$A$2:$R$3432,4,0)</f>
        <v>9011527870</v>
      </c>
      <c r="F1761" s="7" t="str">
        <f>VLOOKUP(A1761,Sheet2!$A$2:$R$3432,3,0)</f>
        <v>Dyushant Pawar</v>
      </c>
      <c r="G1761" s="5" t="s">
        <v>25</v>
      </c>
      <c r="H1761" s="5" t="s">
        <v>25</v>
      </c>
      <c r="I1761" s="5" t="s">
        <v>25</v>
      </c>
      <c r="J1761" s="5" t="s">
        <v>25</v>
      </c>
      <c r="K1761" s="7" t="str">
        <f>VLOOKUP(A1761,Sheet2!$A$2:$R$3432,6,0)</f>
        <v>KTM Duke 200</v>
      </c>
      <c r="L1761" s="5" t="s">
        <v>25</v>
      </c>
      <c r="M1761" s="7" t="str">
        <f>VLOOKUP(A1761,Sheet2!$A$2:$R$3432,5,0)</f>
        <v>MH14HL0220</v>
      </c>
      <c r="N1761" s="5" t="s">
        <v>25</v>
      </c>
      <c r="O1761" s="5" t="s">
        <v>25</v>
      </c>
      <c r="P1761" s="6" t="s">
        <v>25</v>
      </c>
      <c r="Q1761" s="5" t="s">
        <v>25</v>
      </c>
      <c r="R1761" s="5" t="s">
        <v>25</v>
      </c>
      <c r="S1761" s="5" t="str">
        <f>VLOOKUP(A1761,Sheet2!$A$2:$R$3432,18,0)</f>
        <v>890659051</v>
      </c>
      <c r="T1761" s="7" t="str">
        <f>VLOOKUP(A1761,Sheet2!$A$2:$R$3432,17,0)</f>
        <v>MD2JUCYK8KC036160</v>
      </c>
    </row>
    <row r="1762" ht="15.75" customHeight="1">
      <c r="A1762" s="3" t="s">
        <v>1785</v>
      </c>
      <c r="B1762" s="4" t="str">
        <f>VLOOKUP(A1762,Sheet2!$A$2:$R$3432,2,0)</f>
        <v>2024-08-04 20:44:27</v>
      </c>
      <c r="C1762" s="5" t="s">
        <v>25</v>
      </c>
      <c r="D1762" s="6" t="s">
        <v>25</v>
      </c>
      <c r="E1762" s="7">
        <f>VLOOKUP(A1762,Sheet2!$A$2:$R$3432,4,0)</f>
        <v>9921197519</v>
      </c>
      <c r="F1762" s="7" t="str">
        <f>VLOOKUP(A1762,Sheet2!$A$2:$R$3432,3,0)</f>
        <v>Dinesh Suryavanshi</v>
      </c>
      <c r="G1762" s="5" t="s">
        <v>25</v>
      </c>
      <c r="H1762" s="5" t="s">
        <v>25</v>
      </c>
      <c r="I1762" s="5" t="s">
        <v>25</v>
      </c>
      <c r="J1762" s="5" t="s">
        <v>25</v>
      </c>
      <c r="K1762" s="7" t="str">
        <f>VLOOKUP(A1762,Sheet2!$A$2:$R$3432,6,0)</f>
        <v>Hero Pleasure </v>
      </c>
      <c r="L1762" s="5" t="s">
        <v>25</v>
      </c>
      <c r="M1762" s="7" t="str">
        <f>VLOOKUP(A1762,Sheet2!$A$2:$R$3432,5,0)</f>
        <v>MH14BZ6816</v>
      </c>
      <c r="N1762" s="5" t="s">
        <v>25</v>
      </c>
      <c r="O1762" s="5" t="s">
        <v>25</v>
      </c>
      <c r="P1762" s="6" t="s">
        <v>25</v>
      </c>
      <c r="Q1762" s="5" t="s">
        <v>25</v>
      </c>
      <c r="R1762" s="5" t="s">
        <v>25</v>
      </c>
      <c r="S1762" s="7" t="str">
        <f>VLOOKUP(A1762,Sheet2!$A$2:$R$3432,18,0)</f>
        <v/>
      </c>
      <c r="T1762" s="7" t="str">
        <f>VLOOKUP(A1762,Sheet2!$A$2:$R$3432,17,0)</f>
        <v>MBLJF16ECAGA10717</v>
      </c>
    </row>
    <row r="1763" ht="15.75" customHeight="1">
      <c r="A1763" s="3" t="s">
        <v>1786</v>
      </c>
      <c r="B1763" s="4" t="str">
        <f>VLOOKUP(A1763,Sheet2!$A$2:$R$3432,2,0)</f>
        <v>2024-08-04 20:49:05</v>
      </c>
      <c r="C1763" s="5" t="s">
        <v>25</v>
      </c>
      <c r="D1763" s="6" t="s">
        <v>25</v>
      </c>
      <c r="E1763" s="7">
        <f>VLOOKUP(A1763,Sheet2!$A$2:$R$3432,4,0)</f>
        <v>8668579650</v>
      </c>
      <c r="F1763" s="7" t="str">
        <f>VLOOKUP(A1763,Sheet2!$A$2:$R$3432,3,0)</f>
        <v>YOGESH CHAVAN </v>
      </c>
      <c r="G1763" s="5" t="s">
        <v>25</v>
      </c>
      <c r="H1763" s="5" t="s">
        <v>25</v>
      </c>
      <c r="I1763" s="5" t="s">
        <v>25</v>
      </c>
      <c r="J1763" s="5" t="s">
        <v>25</v>
      </c>
      <c r="K1763" s="7" t="str">
        <f>VLOOKUP(A1763,Sheet2!$A$2:$R$3432,6,0)</f>
        <v>Hero Glamour FI</v>
      </c>
      <c r="L1763" s="5" t="s">
        <v>25</v>
      </c>
      <c r="M1763" s="7" t="str">
        <f>VLOOKUP(A1763,Sheet2!$A$2:$R$3432,5,0)</f>
        <v>MH10DW8447</v>
      </c>
      <c r="N1763" s="5" t="s">
        <v>25</v>
      </c>
      <c r="O1763" s="5" t="s">
        <v>25</v>
      </c>
      <c r="P1763" s="6" t="s">
        <v>25</v>
      </c>
      <c r="Q1763" s="5" t="s">
        <v>25</v>
      </c>
      <c r="R1763" s="5" t="s">
        <v>25</v>
      </c>
      <c r="S1763" s="5" t="str">
        <f>VLOOKUP(A1763,Sheet2!$A$2:$R$3432,18,0)</f>
        <v>JA07AENF01802</v>
      </c>
      <c r="T1763" s="7" t="str">
        <f>VLOOKUP(A1763,Sheet2!$A$2:$R$3432,17,0)</f>
        <v>MBLJAW221N9F01245</v>
      </c>
    </row>
    <row r="1764" ht="15.75" customHeight="1">
      <c r="A1764" s="3" t="s">
        <v>1787</v>
      </c>
      <c r="B1764" s="4" t="str">
        <f>VLOOKUP(A1764,Sheet2!$A$2:$R$3432,2,0)</f>
        <v>2024-08-04 20:49:57</v>
      </c>
      <c r="C1764" s="5" t="s">
        <v>25</v>
      </c>
      <c r="D1764" s="6" t="s">
        <v>25</v>
      </c>
      <c r="E1764" s="7">
        <f>VLOOKUP(A1764,Sheet2!$A$2:$R$3432,4,0)</f>
        <v>9619300520</v>
      </c>
      <c r="F1764" s="7" t="str">
        <f>VLOOKUP(A1764,Sheet2!$A$2:$R$3432,3,0)</f>
        <v>Mudit Upamanyu</v>
      </c>
      <c r="G1764" s="5" t="s">
        <v>25</v>
      </c>
      <c r="H1764" s="5" t="s">
        <v>25</v>
      </c>
      <c r="I1764" s="5" t="s">
        <v>25</v>
      </c>
      <c r="J1764" s="5" t="s">
        <v>25</v>
      </c>
      <c r="K1764" s="7" t="str">
        <f>VLOOKUP(A1764,Sheet2!$A$2:$R$3432,6,0)</f>
        <v>LML Vespa </v>
      </c>
      <c r="L1764" s="5" t="s">
        <v>25</v>
      </c>
      <c r="M1764" s="7" t="str">
        <f>VLOOKUP(A1764,Sheet2!$A$2:$R$3432,5,0)</f>
        <v>MH43BM9748</v>
      </c>
      <c r="N1764" s="5" t="s">
        <v>25</v>
      </c>
      <c r="O1764" s="5" t="s">
        <v>25</v>
      </c>
      <c r="P1764" s="6" t="s">
        <v>25</v>
      </c>
      <c r="Q1764" s="5" t="s">
        <v>25</v>
      </c>
      <c r="R1764" s="5" t="s">
        <v>25</v>
      </c>
      <c r="S1764" s="5" t="str">
        <f>VLOOKUP(A1764,Sheet2!$A$2:$R$3432,18,0)</f>
        <v>MH49M31734119</v>
      </c>
      <c r="T1764" s="7" t="str">
        <f>VLOOKUP(A1764,Sheet2!$A$2:$R$3432,17,0)</f>
        <v>MET0000AAWE087550</v>
      </c>
    </row>
    <row r="1765" ht="15.75" customHeight="1">
      <c r="A1765" s="3" t="s">
        <v>1788</v>
      </c>
      <c r="B1765" s="4" t="str">
        <f>VLOOKUP(A1765,Sheet2!$A$2:$R$3432,2,0)</f>
        <v>2024-08-04 20:54:32</v>
      </c>
      <c r="C1765" s="5" t="s">
        <v>25</v>
      </c>
      <c r="D1765" s="6" t="s">
        <v>25</v>
      </c>
      <c r="E1765" s="7">
        <f>VLOOKUP(A1765,Sheet2!$A$2:$R$3432,4,0)</f>
        <v>8888686446</v>
      </c>
      <c r="F1765" s="7" t="str">
        <f>VLOOKUP(A1765,Sheet2!$A$2:$R$3432,3,0)</f>
        <v>Siddhant Warke</v>
      </c>
      <c r="G1765" s="5" t="s">
        <v>25</v>
      </c>
      <c r="H1765" s="5" t="s">
        <v>25</v>
      </c>
      <c r="I1765" s="5" t="s">
        <v>25</v>
      </c>
      <c r="J1765" s="5" t="s">
        <v>25</v>
      </c>
      <c r="K1765" s="7" t="str">
        <f>VLOOKUP(A1765,Sheet2!$A$2:$R$3432,6,0)</f>
        <v>Honda Hornet </v>
      </c>
      <c r="L1765" s="5" t="s">
        <v>25</v>
      </c>
      <c r="M1765" s="7" t="str">
        <f>VLOOKUP(A1765,Sheet2!$A$2:$R$3432,5,0)</f>
        <v>MH09FK7840</v>
      </c>
      <c r="N1765" s="5" t="s">
        <v>25</v>
      </c>
      <c r="O1765" s="5" t="s">
        <v>25</v>
      </c>
      <c r="P1765" s="6" t="s">
        <v>25</v>
      </c>
      <c r="Q1765" s="5" t="s">
        <v>25</v>
      </c>
      <c r="R1765" s="5" t="s">
        <v>25</v>
      </c>
      <c r="S1765" s="5" t="str">
        <f>VLOOKUP(A1765,Sheet2!$A$2:$R$3432,18,0)</f>
        <v>KC23EA6010684</v>
      </c>
      <c r="T1765" s="7" t="str">
        <f>VLOOKUP(A1765,Sheet2!$A$2:$R$3432,17,0)</f>
        <v>ME4KC23PGKA004631</v>
      </c>
    </row>
    <row r="1766" ht="15.75" customHeight="1">
      <c r="A1766" s="3" t="s">
        <v>1789</v>
      </c>
      <c r="B1766" s="4" t="str">
        <f>VLOOKUP(A1766,Sheet2!$A$2:$R$3432,2,0)</f>
        <v>2024-08-04 20:52:17</v>
      </c>
      <c r="C1766" s="5" t="s">
        <v>25</v>
      </c>
      <c r="D1766" s="6" t="s">
        <v>25</v>
      </c>
      <c r="E1766" s="7">
        <f>VLOOKUP(A1766,Sheet2!$A$2:$R$3432,4,0)</f>
        <v>7028458906</v>
      </c>
      <c r="F1766" s="7" t="str">
        <f>VLOOKUP(A1766,Sheet2!$A$2:$R$3432,3,0)</f>
        <v>Raj Dhawale</v>
      </c>
      <c r="G1766" s="5" t="s">
        <v>25</v>
      </c>
      <c r="H1766" s="5" t="s">
        <v>25</v>
      </c>
      <c r="I1766" s="5" t="s">
        <v>25</v>
      </c>
      <c r="J1766" s="5" t="s">
        <v>25</v>
      </c>
      <c r="K1766" s="7" t="str">
        <f>VLOOKUP(A1766,Sheet2!$A$2:$R$3432,6,0)</f>
        <v>Suzuki Access 125</v>
      </c>
      <c r="L1766" s="5" t="s">
        <v>25</v>
      </c>
      <c r="M1766" s="7" t="str">
        <f>VLOOKUP(A1766,Sheet2!$A$2:$R$3432,5,0)</f>
        <v>MH37AA6226</v>
      </c>
      <c r="N1766" s="5" t="s">
        <v>25</v>
      </c>
      <c r="O1766" s="5" t="s">
        <v>25</v>
      </c>
      <c r="P1766" s="6" t="s">
        <v>25</v>
      </c>
      <c r="Q1766" s="5" t="s">
        <v>25</v>
      </c>
      <c r="R1766" s="5" t="s">
        <v>25</v>
      </c>
      <c r="S1766" s="5" t="str">
        <f>VLOOKUP(A1766,Sheet2!$A$2:$R$3432,18,0)</f>
        <v>AE216409599</v>
      </c>
      <c r="T1766" s="7" t="str">
        <f>VLOOKUP(A1766,Sheet2!$A$2:$R$3432,17,0)</f>
        <v>MB8DP12DJL8318274</v>
      </c>
    </row>
    <row r="1767" ht="15.75" customHeight="1">
      <c r="A1767" s="3" t="s">
        <v>1790</v>
      </c>
      <c r="B1767" s="4" t="str">
        <f>VLOOKUP(A1767,Sheet2!$A$2:$R$3432,2,0)</f>
        <v>2024-08-04 20:55:45</v>
      </c>
      <c r="C1767" s="5" t="s">
        <v>25</v>
      </c>
      <c r="D1767" s="6" t="s">
        <v>25</v>
      </c>
      <c r="E1767" s="7">
        <f>VLOOKUP(A1767,Sheet2!$A$2:$R$3432,4,0)</f>
        <v>8412850876</v>
      </c>
      <c r="F1767" s="7" t="str">
        <f>VLOOKUP(A1767,Sheet2!$A$2:$R$3432,3,0)</f>
        <v>KRUNAL WANKHEDE </v>
      </c>
      <c r="G1767" s="5" t="s">
        <v>25</v>
      </c>
      <c r="H1767" s="5" t="s">
        <v>25</v>
      </c>
      <c r="I1767" s="5" t="s">
        <v>25</v>
      </c>
      <c r="J1767" s="5" t="s">
        <v>25</v>
      </c>
      <c r="K1767" s="7" t="str">
        <f>VLOOKUP(A1767,Sheet2!$A$2:$R$3432,6,0)</f>
        <v>Bajaj Pulsar 220</v>
      </c>
      <c r="L1767" s="5" t="s">
        <v>25</v>
      </c>
      <c r="M1767" s="7" t="str">
        <f>VLOOKUP(A1767,Sheet2!$A$2:$R$3432,5,0)</f>
        <v>MH31EB8593</v>
      </c>
      <c r="N1767" s="5" t="s">
        <v>25</v>
      </c>
      <c r="O1767" s="5" t="s">
        <v>25</v>
      </c>
      <c r="P1767" s="6" t="s">
        <v>25</v>
      </c>
      <c r="Q1767" s="5" t="s">
        <v>25</v>
      </c>
      <c r="R1767" s="5" t="s">
        <v>25</v>
      </c>
      <c r="S1767" s="5" t="str">
        <f>VLOOKUP(A1767,Sheet2!$A$2:$R$3432,18,0)</f>
        <v>DKGBVA18899</v>
      </c>
      <c r="T1767" s="7" t="str">
        <f>VLOOKUP(A1767,Sheet2!$A$2:$R$3432,17,0)</f>
        <v>MDZDHDKZZYCA9537</v>
      </c>
    </row>
    <row r="1768" ht="15.75" customHeight="1">
      <c r="A1768" s="3" t="s">
        <v>1791</v>
      </c>
      <c r="B1768" s="4" t="str">
        <f>VLOOKUP(A1768,Sheet2!$A$2:$R$3432,2,0)</f>
        <v>2024-08-04 20:56:21</v>
      </c>
      <c r="C1768" s="5" t="s">
        <v>25</v>
      </c>
      <c r="D1768" s="6" t="s">
        <v>25</v>
      </c>
      <c r="E1768" s="7">
        <f>VLOOKUP(A1768,Sheet2!$A$2:$R$3432,4,0)</f>
        <v>9326075507</v>
      </c>
      <c r="F1768" s="7" t="str">
        <f>VLOOKUP(A1768,Sheet2!$A$2:$R$3432,3,0)</f>
        <v>SAURABH SHENDE</v>
      </c>
      <c r="G1768" s="5" t="s">
        <v>25</v>
      </c>
      <c r="H1768" s="5" t="s">
        <v>25</v>
      </c>
      <c r="I1768" s="5" t="s">
        <v>25</v>
      </c>
      <c r="J1768" s="5" t="s">
        <v>25</v>
      </c>
      <c r="K1768" s="7" t="str">
        <f>VLOOKUP(A1768,Sheet2!$A$2:$R$3432,6,0)</f>
        <v>Honda Activa 3G</v>
      </c>
      <c r="L1768" s="5" t="s">
        <v>25</v>
      </c>
      <c r="M1768" s="7" t="str">
        <f>VLOOKUP(A1768,Sheet2!$A$2:$R$3432,5,0)</f>
        <v>MH35AD7128</v>
      </c>
      <c r="N1768" s="5" t="s">
        <v>25</v>
      </c>
      <c r="O1768" s="5" t="s">
        <v>25</v>
      </c>
      <c r="P1768" s="6" t="s">
        <v>25</v>
      </c>
      <c r="Q1768" s="5" t="s">
        <v>25</v>
      </c>
      <c r="R1768" s="5" t="s">
        <v>25</v>
      </c>
      <c r="S1768" s="5" t="str">
        <f>VLOOKUP(A1768,Sheet2!$A$2:$R$3432,18,0)</f>
        <v>JF50ET3569595</v>
      </c>
      <c r="T1768" s="7" t="str">
        <f>VLOOKUP(A1768,Sheet2!$A$2:$R$3432,17,0)</f>
        <v>ME4JF505GGT570</v>
      </c>
    </row>
    <row r="1769" ht="15.75" customHeight="1">
      <c r="A1769" s="3" t="s">
        <v>1792</v>
      </c>
      <c r="B1769" s="4" t="str">
        <f>VLOOKUP(A1769,Sheet2!$A$2:$R$3432,2,0)</f>
        <v>2024-08-04 21:05:17</v>
      </c>
      <c r="C1769" s="5" t="s">
        <v>25</v>
      </c>
      <c r="D1769" s="6" t="s">
        <v>25</v>
      </c>
      <c r="E1769" s="7">
        <f>VLOOKUP(A1769,Sheet2!$A$2:$R$3432,4,0)</f>
        <v>7841091808</v>
      </c>
      <c r="F1769" s="7" t="str">
        <f>VLOOKUP(A1769,Sheet2!$A$2:$R$3432,3,0)</f>
        <v>VARDHAN</v>
      </c>
      <c r="G1769" s="5" t="s">
        <v>25</v>
      </c>
      <c r="H1769" s="5" t="s">
        <v>25</v>
      </c>
      <c r="I1769" s="5" t="s">
        <v>25</v>
      </c>
      <c r="J1769" s="5" t="s">
        <v>25</v>
      </c>
      <c r="K1769" s="7" t="str">
        <f>VLOOKUP(A1769,Sheet2!$A$2:$R$3432,6,0)</f>
        <v>TVS Jupiter </v>
      </c>
      <c r="L1769" s="5" t="s">
        <v>25</v>
      </c>
      <c r="M1769" s="7" t="str">
        <f>VLOOKUP(A1769,Sheet2!$A$2:$R$3432,5,0)</f>
        <v>MH25AM2859</v>
      </c>
      <c r="N1769" s="5" t="s">
        <v>25</v>
      </c>
      <c r="O1769" s="5" t="s">
        <v>25</v>
      </c>
      <c r="P1769" s="6" t="s">
        <v>25</v>
      </c>
      <c r="Q1769" s="5" t="s">
        <v>25</v>
      </c>
      <c r="R1769" s="5" t="s">
        <v>25</v>
      </c>
      <c r="S1769" s="7" t="str">
        <f>VLOOKUP(A1769,Sheet2!$A$2:$R$3432,18,0)</f>
        <v/>
      </c>
      <c r="T1769" s="7" t="str">
        <f>VLOOKUP(A1769,Sheet2!$A$2:$R$3432,17,0)</f>
        <v/>
      </c>
    </row>
    <row r="1770" ht="15.75" customHeight="1">
      <c r="A1770" s="3" t="s">
        <v>1793</v>
      </c>
      <c r="B1770" s="4" t="str">
        <f>VLOOKUP(A1770,Sheet2!$A$2:$R$3432,2,0)</f>
        <v>2024-08-04 21:06:19</v>
      </c>
      <c r="C1770" s="5" t="s">
        <v>25</v>
      </c>
      <c r="D1770" s="6" t="s">
        <v>25</v>
      </c>
      <c r="E1770" s="7">
        <f>VLOOKUP(A1770,Sheet2!$A$2:$R$3432,4,0)</f>
        <v>8888363689</v>
      </c>
      <c r="F1770" s="7" t="str">
        <f>VLOOKUP(A1770,Sheet2!$A$2:$R$3432,3,0)</f>
        <v>Sahil Barge</v>
      </c>
      <c r="G1770" s="5" t="s">
        <v>25</v>
      </c>
      <c r="H1770" s="5" t="s">
        <v>25</v>
      </c>
      <c r="I1770" s="5" t="s">
        <v>25</v>
      </c>
      <c r="J1770" s="5" t="s">
        <v>25</v>
      </c>
      <c r="K1770" s="7" t="str">
        <f>VLOOKUP(A1770,Sheet2!$A$2:$R$3432,6,0)</f>
        <v>Honda Activa 3G</v>
      </c>
      <c r="L1770" s="5" t="s">
        <v>25</v>
      </c>
      <c r="M1770" s="7" t="str">
        <f>VLOOKUP(A1770,Sheet2!$A$2:$R$3432,5,0)</f>
        <v>MH11CB7858</v>
      </c>
      <c r="N1770" s="5" t="s">
        <v>25</v>
      </c>
      <c r="O1770" s="5" t="s">
        <v>25</v>
      </c>
      <c r="P1770" s="6" t="s">
        <v>25</v>
      </c>
      <c r="Q1770" s="5" t="s">
        <v>25</v>
      </c>
      <c r="R1770" s="5" t="s">
        <v>25</v>
      </c>
      <c r="S1770" s="7" t="str">
        <f>VLOOKUP(A1770,Sheet2!$A$2:$R$3432,18,0)</f>
        <v/>
      </c>
      <c r="T1770" s="7" t="str">
        <f>VLOOKUP(A1770,Sheet2!$A$2:$R$3432,17,0)</f>
        <v/>
      </c>
    </row>
    <row r="1771" ht="15.75" customHeight="1">
      <c r="A1771" s="3" t="s">
        <v>1794</v>
      </c>
      <c r="B1771" s="4" t="str">
        <f>VLOOKUP(A1771,Sheet2!$A$2:$R$3432,2,0)</f>
        <v>2025-03-24 19:31:46</v>
      </c>
      <c r="C1771" s="5" t="s">
        <v>25</v>
      </c>
      <c r="D1771" s="6" t="s">
        <v>25</v>
      </c>
      <c r="E1771" s="7">
        <f>VLOOKUP(A1771,Sheet2!$A$2:$R$3432,4,0)</f>
        <v>9665018122</v>
      </c>
      <c r="F1771" s="7" t="str">
        <f>VLOOKUP(A1771,Sheet2!$A$2:$R$3432,3,0)</f>
        <v>Giridhar </v>
      </c>
      <c r="G1771" s="5" t="s">
        <v>25</v>
      </c>
      <c r="H1771" s="5" t="s">
        <v>25</v>
      </c>
      <c r="I1771" s="5" t="s">
        <v>25</v>
      </c>
      <c r="J1771" s="5" t="s">
        <v>25</v>
      </c>
      <c r="K1771" s="7" t="str">
        <f>VLOOKUP(A1771,Sheet2!$A$2:$R$3432,6,0)</f>
        <v>TVS Wego </v>
      </c>
      <c r="L1771" s="5" t="s">
        <v>25</v>
      </c>
      <c r="M1771" s="7" t="str">
        <f>VLOOKUP(A1771,Sheet2!$A$2:$R$3432,5,0)</f>
        <v>MH14EL1530</v>
      </c>
      <c r="N1771" s="5" t="s">
        <v>25</v>
      </c>
      <c r="O1771" s="5" t="s">
        <v>25</v>
      </c>
      <c r="P1771" s="6" t="s">
        <v>25</v>
      </c>
      <c r="Q1771" s="5" t="s">
        <v>25</v>
      </c>
      <c r="R1771" s="5" t="s">
        <v>25</v>
      </c>
      <c r="S1771" s="7" t="str">
        <f>VLOOKUP(A1771,Sheet2!$A$2:$R$3432,18,0)</f>
        <v/>
      </c>
      <c r="T1771" s="7" t="str">
        <f>VLOOKUP(A1771,Sheet2!$A$2:$R$3432,17,0)</f>
        <v/>
      </c>
    </row>
    <row r="1772" ht="15.75" customHeight="1">
      <c r="A1772" s="3" t="s">
        <v>1795</v>
      </c>
      <c r="B1772" s="4" t="str">
        <f>VLOOKUP(A1772,Sheet2!$A$2:$R$3432,2,0)</f>
        <v>2025-03-24 19:25:55</v>
      </c>
      <c r="C1772" s="5" t="s">
        <v>25</v>
      </c>
      <c r="D1772" s="6" t="s">
        <v>25</v>
      </c>
      <c r="E1772" s="7">
        <f>VLOOKUP(A1772,Sheet2!$A$2:$R$3432,4,0)</f>
        <v>9920887998</v>
      </c>
      <c r="F1772" s="7" t="str">
        <f>VLOOKUP(A1772,Sheet2!$A$2:$R$3432,3,0)</f>
        <v>PRAJOT</v>
      </c>
      <c r="G1772" s="5" t="s">
        <v>25</v>
      </c>
      <c r="H1772" s="5" t="s">
        <v>25</v>
      </c>
      <c r="I1772" s="5" t="s">
        <v>25</v>
      </c>
      <c r="J1772" s="5" t="s">
        <v>25</v>
      </c>
      <c r="K1772" s="7" t="str">
        <f>VLOOKUP(A1772,Sheet2!$A$2:$R$3432,6,0)</f>
        <v>TVS Scooty PEP Plus</v>
      </c>
      <c r="L1772" s="5" t="s">
        <v>25</v>
      </c>
      <c r="M1772" s="7" t="str">
        <f>VLOOKUP(A1772,Sheet2!$A$2:$R$3432,5,0)</f>
        <v>MH14JV8963</v>
      </c>
      <c r="N1772" s="5" t="s">
        <v>25</v>
      </c>
      <c r="O1772" s="5" t="s">
        <v>25</v>
      </c>
      <c r="P1772" s="6" t="s">
        <v>25</v>
      </c>
      <c r="Q1772" s="5" t="s">
        <v>25</v>
      </c>
      <c r="R1772" s="5" t="s">
        <v>25</v>
      </c>
      <c r="S1772" s="7" t="str">
        <f>VLOOKUP(A1772,Sheet2!$A$2:$R$3432,18,0)</f>
        <v/>
      </c>
      <c r="T1772" s="7" t="str">
        <f>VLOOKUP(A1772,Sheet2!$A$2:$R$3432,17,0)</f>
        <v/>
      </c>
    </row>
    <row r="1773" ht="15.75" customHeight="1">
      <c r="A1773" s="3" t="s">
        <v>1796</v>
      </c>
      <c r="B1773" s="4" t="str">
        <f>VLOOKUP(A1773,Sheet2!$A$2:$R$3432,2,0)</f>
        <v>2025-03-24 19:27:04</v>
      </c>
      <c r="C1773" s="5" t="s">
        <v>25</v>
      </c>
      <c r="D1773" s="6" t="s">
        <v>25</v>
      </c>
      <c r="E1773" s="7">
        <f>VLOOKUP(A1773,Sheet2!$A$2:$R$3432,4,0)</f>
        <v>9911092741</v>
      </c>
      <c r="F1773" s="7" t="str">
        <f>VLOOKUP(A1773,Sheet2!$A$2:$R$3432,3,0)</f>
        <v>Manuraj Raghuwanshi</v>
      </c>
      <c r="G1773" s="5" t="s">
        <v>25</v>
      </c>
      <c r="H1773" s="5" t="s">
        <v>25</v>
      </c>
      <c r="I1773" s="5" t="s">
        <v>25</v>
      </c>
      <c r="J1773" s="5" t="s">
        <v>25</v>
      </c>
      <c r="K1773" s="7" t="str">
        <f>VLOOKUP(A1773,Sheet2!$A$2:$R$3432,6,0)</f>
        <v>Bajaj Avenger 150 Street</v>
      </c>
      <c r="L1773" s="5" t="s">
        <v>25</v>
      </c>
      <c r="M1773" s="7" t="str">
        <f>VLOOKUP(A1773,Sheet2!$A$2:$R$3432,5,0)</f>
        <v>MH14FW4426</v>
      </c>
      <c r="N1773" s="5" t="s">
        <v>25</v>
      </c>
      <c r="O1773" s="5" t="s">
        <v>25</v>
      </c>
      <c r="P1773" s="6" t="s">
        <v>25</v>
      </c>
      <c r="Q1773" s="5" t="s">
        <v>25</v>
      </c>
      <c r="R1773" s="5" t="s">
        <v>25</v>
      </c>
      <c r="S1773" s="7" t="str">
        <f>VLOOKUP(A1773,Sheet2!$A$2:$R$3432,18,0)</f>
        <v/>
      </c>
      <c r="T1773" s="7" t="str">
        <f>VLOOKUP(A1773,Sheet2!$A$2:$R$3432,17,0)</f>
        <v>MD2A85CZ1GCD24794</v>
      </c>
    </row>
    <row r="1774" ht="15.75" customHeight="1">
      <c r="A1774" s="3" t="s">
        <v>1797</v>
      </c>
      <c r="B1774" s="4" t="str">
        <f>VLOOKUP(A1774,Sheet2!$A$2:$R$3432,2,0)</f>
        <v>2025-03-24 19:30:08</v>
      </c>
      <c r="C1774" s="5" t="s">
        <v>25</v>
      </c>
      <c r="D1774" s="6" t="s">
        <v>25</v>
      </c>
      <c r="E1774" s="7">
        <f>VLOOKUP(A1774,Sheet2!$A$2:$R$3432,4,0)</f>
        <v>8087862122</v>
      </c>
      <c r="F1774" s="7" t="str">
        <f>VLOOKUP(A1774,Sheet2!$A$2:$R$3432,3,0)</f>
        <v>DATTATRAY </v>
      </c>
      <c r="G1774" s="5" t="s">
        <v>25</v>
      </c>
      <c r="H1774" s="5" t="s">
        <v>25</v>
      </c>
      <c r="I1774" s="5" t="s">
        <v>25</v>
      </c>
      <c r="J1774" s="5" t="s">
        <v>25</v>
      </c>
      <c r="K1774" s="7" t="str">
        <f>VLOOKUP(A1774,Sheet2!$A$2:$R$3432,6,0)</f>
        <v>Hero Splendor Plus</v>
      </c>
      <c r="L1774" s="5" t="s">
        <v>25</v>
      </c>
      <c r="M1774" s="7" t="str">
        <f>VLOOKUP(A1774,Sheet2!$A$2:$R$3432,5,0)</f>
        <v>MH21BS6255</v>
      </c>
      <c r="N1774" s="5" t="s">
        <v>25</v>
      </c>
      <c r="O1774" s="5" t="s">
        <v>25</v>
      </c>
      <c r="P1774" s="6" t="s">
        <v>25</v>
      </c>
      <c r="Q1774" s="5" t="s">
        <v>25</v>
      </c>
      <c r="R1774" s="5" t="s">
        <v>25</v>
      </c>
      <c r="S1774" s="5" t="str">
        <f>VLOOKUP(A1774,Sheet2!$A$2:$R$3432,18,0)</f>
        <v>HA11EVM5C56533</v>
      </c>
      <c r="T1774" s="7" t="str">
        <f>VLOOKUP(A1774,Sheet2!$A$2:$R$3432,17,0)</f>
        <v>MBLHW11GM5C0782</v>
      </c>
    </row>
    <row r="1775" ht="15.75" customHeight="1">
      <c r="A1775" s="3" t="s">
        <v>1798</v>
      </c>
      <c r="B1775" s="4" t="str">
        <f>VLOOKUP(A1775,Sheet2!$A$2:$R$3432,2,0)</f>
        <v>2025-03-24 19:28:25</v>
      </c>
      <c r="C1775" s="5" t="s">
        <v>25</v>
      </c>
      <c r="D1775" s="6" t="s">
        <v>25</v>
      </c>
      <c r="E1775" s="7">
        <f>VLOOKUP(A1775,Sheet2!$A$2:$R$3432,4,0)</f>
        <v>9850906521</v>
      </c>
      <c r="F1775" s="7" t="str">
        <f>VLOOKUP(A1775,Sheet2!$A$2:$R$3432,3,0)</f>
        <v>ANGHA KULKARNI </v>
      </c>
      <c r="G1775" s="5" t="s">
        <v>25</v>
      </c>
      <c r="H1775" s="5" t="s">
        <v>25</v>
      </c>
      <c r="I1775" s="5" t="s">
        <v>25</v>
      </c>
      <c r="J1775" s="5" t="s">
        <v>25</v>
      </c>
      <c r="K1775" s="7" t="str">
        <f>VLOOKUP(A1775,Sheet2!$A$2:$R$3432,6,0)</f>
        <v>Honda Dio New</v>
      </c>
      <c r="L1775" s="5" t="s">
        <v>25</v>
      </c>
      <c r="M1775" s="7" t="str">
        <f>VLOOKUP(A1775,Sheet2!$A$2:$R$3432,5,0)</f>
        <v>MH14KP7303</v>
      </c>
      <c r="N1775" s="5" t="s">
        <v>25</v>
      </c>
      <c r="O1775" s="5" t="s">
        <v>25</v>
      </c>
      <c r="P1775" s="6" t="s">
        <v>25</v>
      </c>
      <c r="Q1775" s="5" t="s">
        <v>25</v>
      </c>
      <c r="R1775" s="5" t="s">
        <v>25</v>
      </c>
      <c r="S1775" s="5" t="str">
        <f>VLOOKUP(A1775,Sheet2!$A$2:$R$3432,18,0)</f>
        <v>JF39ED0003625</v>
      </c>
      <c r="T1775" s="7" t="str">
        <f>VLOOKUP(A1775,Sheet2!$A$2:$R$3432,17,0)</f>
        <v>ME4JF39KEKD000704</v>
      </c>
    </row>
    <row r="1776" ht="15.75" customHeight="1">
      <c r="A1776" s="3" t="s">
        <v>1799</v>
      </c>
      <c r="B1776" s="4" t="str">
        <f>VLOOKUP(A1776,Sheet2!$A$2:$R$3432,2,0)</f>
        <v>2025-03-24 19:28:46</v>
      </c>
      <c r="C1776" s="5" t="s">
        <v>25</v>
      </c>
      <c r="D1776" s="6" t="s">
        <v>25</v>
      </c>
      <c r="E1776" s="7">
        <f>VLOOKUP(A1776,Sheet2!$A$2:$R$3432,4,0)</f>
        <v>9960662886</v>
      </c>
      <c r="F1776" s="7" t="str">
        <f>VLOOKUP(A1776,Sheet2!$A$2:$R$3432,3,0)</f>
        <v>NITYANAND </v>
      </c>
      <c r="G1776" s="5" t="s">
        <v>25</v>
      </c>
      <c r="H1776" s="5" t="s">
        <v>25</v>
      </c>
      <c r="I1776" s="5" t="s">
        <v>25</v>
      </c>
      <c r="J1776" s="5" t="s">
        <v>25</v>
      </c>
      <c r="K1776" s="7" t="str">
        <f>VLOOKUP(A1776,Sheet2!$A$2:$R$3432,6,0)</f>
        <v>Honda Unicorn 160</v>
      </c>
      <c r="L1776" s="5" t="s">
        <v>25</v>
      </c>
      <c r="M1776" s="7" t="str">
        <f>VLOOKUP(A1776,Sheet2!$A$2:$R$3432,5,0)</f>
        <v>MH14FL9373</v>
      </c>
      <c r="N1776" s="5" t="s">
        <v>25</v>
      </c>
      <c r="O1776" s="5" t="s">
        <v>25</v>
      </c>
      <c r="P1776" s="6" t="s">
        <v>25</v>
      </c>
      <c r="Q1776" s="5" t="s">
        <v>25</v>
      </c>
      <c r="R1776" s="5" t="s">
        <v>25</v>
      </c>
      <c r="S1776" s="5" t="str">
        <f>VLOOKUP(A1776,Sheet2!$A$2:$R$3432,18,0)</f>
        <v>KC28EB8155820</v>
      </c>
      <c r="T1776" s="7" t="str">
        <f>VLOOKUP(A1776,Sheet2!$A$2:$R$3432,17,0)</f>
        <v>ME4KC202LF8012901</v>
      </c>
    </row>
    <row r="1777" ht="15.75" customHeight="1">
      <c r="A1777" s="3" t="s">
        <v>1800</v>
      </c>
      <c r="B1777" s="4" t="str">
        <f>VLOOKUP(A1777,Sheet2!$A$2:$R$3432,2,0)</f>
        <v>2025-03-24 19:29:16</v>
      </c>
      <c r="C1777" s="5" t="s">
        <v>25</v>
      </c>
      <c r="D1777" s="6" t="s">
        <v>25</v>
      </c>
      <c r="E1777" s="7">
        <f>VLOOKUP(A1777,Sheet2!$A$2:$R$3432,4,0)</f>
        <v>9076116025</v>
      </c>
      <c r="F1777" s="7" t="str">
        <f>VLOOKUP(A1777,Sheet2!$A$2:$R$3432,3,0)</f>
        <v>MANISH </v>
      </c>
      <c r="G1777" s="5" t="s">
        <v>25</v>
      </c>
      <c r="H1777" s="5" t="s">
        <v>25</v>
      </c>
      <c r="I1777" s="5" t="s">
        <v>25</v>
      </c>
      <c r="J1777" s="5" t="s">
        <v>25</v>
      </c>
      <c r="K1777" s="7" t="str">
        <f>VLOOKUP(A1777,Sheet2!$A$2:$R$3432,6,0)</f>
        <v>Bajaj Pulsar 150</v>
      </c>
      <c r="L1777" s="5" t="s">
        <v>25</v>
      </c>
      <c r="M1777" s="7" t="str">
        <f>VLOOKUP(A1777,Sheet2!$A$2:$R$3432,5,0)</f>
        <v>MH05AU6640</v>
      </c>
      <c r="N1777" s="5" t="s">
        <v>25</v>
      </c>
      <c r="O1777" s="5" t="s">
        <v>25</v>
      </c>
      <c r="P1777" s="6" t="s">
        <v>25</v>
      </c>
      <c r="Q1777" s="5" t="s">
        <v>25</v>
      </c>
      <c r="R1777" s="5" t="s">
        <v>25</v>
      </c>
      <c r="S1777" s="7" t="str">
        <f>VLOOKUP(A1777,Sheet2!$A$2:$R$3432,18,0)</f>
        <v/>
      </c>
      <c r="T1777" s="7" t="str">
        <f>VLOOKUP(A1777,Sheet2!$A$2:$R$3432,17,0)</f>
        <v/>
      </c>
    </row>
    <row r="1778" ht="15.75" customHeight="1">
      <c r="A1778" s="3" t="s">
        <v>1801</v>
      </c>
      <c r="B1778" s="4" t="str">
        <f>VLOOKUP(A1778,Sheet2!$A$2:$R$3432,2,0)</f>
        <v>2025-03-24 19:31:05</v>
      </c>
      <c r="C1778" s="5" t="s">
        <v>25</v>
      </c>
      <c r="D1778" s="6" t="s">
        <v>25</v>
      </c>
      <c r="E1778" s="7">
        <f>VLOOKUP(A1778,Sheet2!$A$2:$R$3432,4,0)</f>
        <v>8408873636</v>
      </c>
      <c r="F1778" s="7" t="str">
        <f>VLOOKUP(A1778,Sheet2!$A$2:$R$3432,3,0)</f>
        <v>Sanjay</v>
      </c>
      <c r="G1778" s="5" t="s">
        <v>25</v>
      </c>
      <c r="H1778" s="5" t="s">
        <v>25</v>
      </c>
      <c r="I1778" s="5" t="s">
        <v>25</v>
      </c>
      <c r="J1778" s="5" t="s">
        <v>25</v>
      </c>
      <c r="K1778" s="7" t="str">
        <f>VLOOKUP(A1778,Sheet2!$A$2:$R$3432,6,0)</f>
        <v>Honda Activa 3G</v>
      </c>
      <c r="L1778" s="5" t="s">
        <v>25</v>
      </c>
      <c r="M1778" s="7" t="str">
        <f>VLOOKUP(A1778,Sheet2!$A$2:$R$3432,5,0)</f>
        <v>MH12ND9749</v>
      </c>
      <c r="N1778" s="5" t="s">
        <v>25</v>
      </c>
      <c r="O1778" s="5" t="s">
        <v>25</v>
      </c>
      <c r="P1778" s="6" t="s">
        <v>25</v>
      </c>
      <c r="Q1778" s="5" t="s">
        <v>25</v>
      </c>
      <c r="R1778" s="5" t="s">
        <v>25</v>
      </c>
      <c r="S1778" s="7" t="str">
        <f>VLOOKUP(A1778,Sheet2!$A$2:$R$3432,18,0)</f>
        <v/>
      </c>
      <c r="T1778" s="7" t="str">
        <f>VLOOKUP(A1778,Sheet2!$A$2:$R$3432,17,0)</f>
        <v/>
      </c>
    </row>
    <row r="1779" ht="15.75" customHeight="1">
      <c r="A1779" s="3" t="s">
        <v>1802</v>
      </c>
      <c r="B1779" s="4" t="str">
        <f>VLOOKUP(A1779,Sheet2!$A$2:$R$3432,2,0)</f>
        <v>2025-03-24 20:02:52</v>
      </c>
      <c r="C1779" s="5" t="s">
        <v>25</v>
      </c>
      <c r="D1779" s="6" t="s">
        <v>25</v>
      </c>
      <c r="E1779" s="7">
        <f>VLOOKUP(A1779,Sheet2!$A$2:$R$3432,4,0)</f>
        <v>9284491464</v>
      </c>
      <c r="F1779" s="7" t="str">
        <f>VLOOKUP(A1779,Sheet2!$A$2:$R$3432,3,0)</f>
        <v>PANDURANG </v>
      </c>
      <c r="G1779" s="5" t="s">
        <v>25</v>
      </c>
      <c r="H1779" s="5" t="s">
        <v>25</v>
      </c>
      <c r="I1779" s="5" t="s">
        <v>25</v>
      </c>
      <c r="J1779" s="5" t="s">
        <v>25</v>
      </c>
      <c r="K1779" s="7" t="str">
        <f>VLOOKUP(A1779,Sheet2!$A$2:$R$3432,6,0)</f>
        <v>Honda Unicorn 150</v>
      </c>
      <c r="L1779" s="5" t="s">
        <v>25</v>
      </c>
      <c r="M1779" s="7" t="str">
        <f>VLOOKUP(A1779,Sheet2!$A$2:$R$3432,5,0)</f>
        <v>MH12DD8959</v>
      </c>
      <c r="N1779" s="5" t="s">
        <v>25</v>
      </c>
      <c r="O1779" s="5" t="s">
        <v>25</v>
      </c>
      <c r="P1779" s="6" t="s">
        <v>25</v>
      </c>
      <c r="Q1779" s="5" t="s">
        <v>25</v>
      </c>
      <c r="R1779" s="5" t="s">
        <v>25</v>
      </c>
      <c r="S1779" s="7" t="str">
        <f>VLOOKUP(A1779,Sheet2!$A$2:$R$3432,18,0)</f>
        <v/>
      </c>
      <c r="T1779" s="7" t="str">
        <f>VLOOKUP(A1779,Sheet2!$A$2:$R$3432,17,0)</f>
        <v/>
      </c>
    </row>
    <row r="1780" ht="15.75" customHeight="1">
      <c r="A1780" s="3" t="s">
        <v>1803</v>
      </c>
      <c r="B1780" s="4" t="str">
        <f>VLOOKUP(A1780,Sheet2!$A$2:$R$3432,2,0)</f>
        <v>2024-09-02 20:26:47</v>
      </c>
      <c r="C1780" s="5" t="s">
        <v>25</v>
      </c>
      <c r="D1780" s="6" t="s">
        <v>25</v>
      </c>
      <c r="E1780" s="7">
        <f>VLOOKUP(A1780,Sheet2!$A$2:$R$3432,4,0)</f>
        <v>9404545177</v>
      </c>
      <c r="F1780" s="7" t="str">
        <f>VLOOKUP(A1780,Sheet2!$A$2:$R$3432,3,0)</f>
        <v>Bhushan Narkhede</v>
      </c>
      <c r="G1780" s="5" t="s">
        <v>25</v>
      </c>
      <c r="H1780" s="5" t="s">
        <v>25</v>
      </c>
      <c r="I1780" s="5" t="s">
        <v>25</v>
      </c>
      <c r="J1780" s="5" t="s">
        <v>25</v>
      </c>
      <c r="K1780" s="7" t="str">
        <f>VLOOKUP(A1780,Sheet2!$A$2:$R$3432,6,0)</f>
        <v>Bajaj Pulsar 150</v>
      </c>
      <c r="L1780" s="5" t="s">
        <v>25</v>
      </c>
      <c r="M1780" s="7" t="str">
        <f>VLOOKUP(A1780,Sheet2!$A$2:$R$3432,5,0)</f>
        <v>MH21AA7147</v>
      </c>
      <c r="N1780" s="5" t="s">
        <v>25</v>
      </c>
      <c r="O1780" s="5" t="s">
        <v>25</v>
      </c>
      <c r="P1780" s="6" t="s">
        <v>25</v>
      </c>
      <c r="Q1780" s="5" t="s">
        <v>25</v>
      </c>
      <c r="R1780" s="5" t="s">
        <v>25</v>
      </c>
      <c r="S1780" s="5" t="str">
        <f>VLOOKUP(A1780,Sheet2!$A$2:$R$3432,18,0)</f>
        <v>DHGBTF98682</v>
      </c>
      <c r="T1780" s="7" t="str">
        <f>VLOOKUP(A1780,Sheet2!$A$2:$R$3432,17,0)</f>
        <v>MD2DHDHZZTCF10362</v>
      </c>
    </row>
    <row r="1781" ht="15.75" customHeight="1">
      <c r="A1781" s="3" t="s">
        <v>1804</v>
      </c>
      <c r="B1781" s="4" t="str">
        <f>VLOOKUP(A1781,Sheet2!$A$2:$R$3432,2,0)</f>
        <v>2024-09-02 20:27:09</v>
      </c>
      <c r="C1781" s="5" t="s">
        <v>25</v>
      </c>
      <c r="D1781" s="6" t="s">
        <v>25</v>
      </c>
      <c r="E1781" s="7">
        <f>VLOOKUP(A1781,Sheet2!$A$2:$R$3432,4,0)</f>
        <v>9765378162</v>
      </c>
      <c r="F1781" s="7" t="str">
        <f>VLOOKUP(A1781,Sheet2!$A$2:$R$3432,3,0)</f>
        <v>Gopal Patil </v>
      </c>
      <c r="G1781" s="5" t="s">
        <v>25</v>
      </c>
      <c r="H1781" s="5" t="s">
        <v>25</v>
      </c>
      <c r="I1781" s="5" t="s">
        <v>25</v>
      </c>
      <c r="J1781" s="5" t="s">
        <v>25</v>
      </c>
      <c r="K1781" s="7" t="str">
        <f>VLOOKUP(A1781,Sheet2!$A$2:$R$3432,6,0)</f>
        <v>Honda Activa 6G</v>
      </c>
      <c r="L1781" s="5" t="s">
        <v>25</v>
      </c>
      <c r="M1781" s="7" t="str">
        <f>VLOOKUP(A1781,Sheet2!$A$2:$R$3432,5,0)</f>
        <v>MH19DZ6689</v>
      </c>
      <c r="N1781" s="5" t="s">
        <v>25</v>
      </c>
      <c r="O1781" s="5" t="s">
        <v>25</v>
      </c>
      <c r="P1781" s="6" t="s">
        <v>25</v>
      </c>
      <c r="Q1781" s="5" t="s">
        <v>25</v>
      </c>
      <c r="R1781" s="5" t="s">
        <v>25</v>
      </c>
      <c r="S1781" s="7" t="str">
        <f>VLOOKUP(A1781,Sheet2!$A$2:$R$3432,18,0)</f>
        <v/>
      </c>
      <c r="T1781" s="7" t="str">
        <f>VLOOKUP(A1781,Sheet2!$A$2:$R$3432,17,0)</f>
        <v/>
      </c>
    </row>
    <row r="1782" ht="15.75" customHeight="1">
      <c r="A1782" s="3" t="s">
        <v>1805</v>
      </c>
      <c r="B1782" s="4" t="str">
        <f>VLOOKUP(A1782,Sheet2!$A$2:$R$3432,2,0)</f>
        <v>2024-09-18 20:40:43</v>
      </c>
      <c r="C1782" s="5" t="s">
        <v>25</v>
      </c>
      <c r="D1782" s="6" t="s">
        <v>25</v>
      </c>
      <c r="E1782" s="7">
        <f>VLOOKUP(A1782,Sheet2!$A$2:$R$3432,4,0)</f>
        <v>8805987378</v>
      </c>
      <c r="F1782" s="7" t="str">
        <f>VLOOKUP(A1782,Sheet2!$A$2:$R$3432,3,0)</f>
        <v>ADITYA</v>
      </c>
      <c r="G1782" s="5" t="s">
        <v>25</v>
      </c>
      <c r="H1782" s="5" t="s">
        <v>25</v>
      </c>
      <c r="I1782" s="5" t="s">
        <v>25</v>
      </c>
      <c r="J1782" s="5" t="s">
        <v>25</v>
      </c>
      <c r="K1782" s="7" t="str">
        <f>VLOOKUP(A1782,Sheet2!$A$2:$R$3432,6,0)</f>
        <v>Bajaj Pulsar 200 RS</v>
      </c>
      <c r="L1782" s="5" t="s">
        <v>25</v>
      </c>
      <c r="M1782" s="7" t="str">
        <f>VLOOKUP(A1782,Sheet2!$A$2:$R$3432,5,0)</f>
        <v>MH30BN4003</v>
      </c>
      <c r="N1782" s="5" t="s">
        <v>25</v>
      </c>
      <c r="O1782" s="5" t="s">
        <v>25</v>
      </c>
      <c r="P1782" s="6" t="s">
        <v>25</v>
      </c>
      <c r="Q1782" s="5" t="s">
        <v>25</v>
      </c>
      <c r="R1782" s="5" t="s">
        <v>25</v>
      </c>
      <c r="S1782" s="5" t="str">
        <f>VLOOKUP(A1782,Sheet2!$A$2:$R$3432,18,0)</f>
        <v>DTXGMM56141</v>
      </c>
      <c r="T1782" s="7" t="str">
        <f>VLOOKUP(A1782,Sheet2!$A$2:$R$3432,17,0)</f>
        <v/>
      </c>
    </row>
    <row r="1783" ht="15.75" customHeight="1">
      <c r="A1783" s="3" t="s">
        <v>1806</v>
      </c>
      <c r="B1783" s="4" t="str">
        <f>VLOOKUP(A1783,Sheet2!$A$2:$R$3432,2,0)</f>
        <v>2024-09-18 20:42:48</v>
      </c>
      <c r="C1783" s="5" t="s">
        <v>25</v>
      </c>
      <c r="D1783" s="6" t="s">
        <v>25</v>
      </c>
      <c r="E1783" s="7">
        <f>VLOOKUP(A1783,Sheet2!$A$2:$R$3432,4,0)</f>
        <v>9833366656</v>
      </c>
      <c r="F1783" s="7" t="str">
        <f>VLOOKUP(A1783,Sheet2!$A$2:$R$3432,3,0)</f>
        <v>MAYURESH</v>
      </c>
      <c r="G1783" s="5" t="s">
        <v>25</v>
      </c>
      <c r="H1783" s="5" t="s">
        <v>25</v>
      </c>
      <c r="I1783" s="5" t="s">
        <v>25</v>
      </c>
      <c r="J1783" s="5" t="s">
        <v>25</v>
      </c>
      <c r="K1783" s="7" t="str">
        <f>VLOOKUP(A1783,Sheet2!$A$2:$R$3432,6,0)</f>
        <v>Honda Activa 4G</v>
      </c>
      <c r="L1783" s="5" t="s">
        <v>25</v>
      </c>
      <c r="M1783" s="7" t="str">
        <f>VLOOKUP(A1783,Sheet2!$A$2:$R$3432,5,0)</f>
        <v>MH04JE9288</v>
      </c>
      <c r="N1783" s="5" t="s">
        <v>25</v>
      </c>
      <c r="O1783" s="5" t="s">
        <v>25</v>
      </c>
      <c r="P1783" s="6" t="s">
        <v>25</v>
      </c>
      <c r="Q1783" s="5" t="s">
        <v>25</v>
      </c>
      <c r="R1783" s="5" t="s">
        <v>25</v>
      </c>
      <c r="S1783" s="5" t="str">
        <f>VLOOKUP(A1783,Sheet2!$A$2:$R$3432,18,0)</f>
        <v>JF50E9X5494771</v>
      </c>
      <c r="T1783" s="7" t="str">
        <f>VLOOKUP(A1783,Sheet2!$A$2:$R$3432,17,0)</f>
        <v>ME4JF507HHT498750</v>
      </c>
    </row>
    <row r="1784" ht="15.75" customHeight="1">
      <c r="A1784" s="3" t="s">
        <v>1807</v>
      </c>
      <c r="B1784" s="4" t="str">
        <f>VLOOKUP(A1784,Sheet2!$A$2:$R$3432,2,0)</f>
        <v>2024-09-18 20:45:03</v>
      </c>
      <c r="C1784" s="5" t="s">
        <v>25</v>
      </c>
      <c r="D1784" s="6" t="s">
        <v>25</v>
      </c>
      <c r="E1784" s="7">
        <f>VLOOKUP(A1784,Sheet2!$A$2:$R$3432,4,0)</f>
        <v>7709968508</v>
      </c>
      <c r="F1784" s="7" t="str">
        <f>VLOOKUP(A1784,Sheet2!$A$2:$R$3432,3,0)</f>
        <v>DEBOTTOM DE</v>
      </c>
      <c r="G1784" s="5" t="s">
        <v>25</v>
      </c>
      <c r="H1784" s="5" t="s">
        <v>25</v>
      </c>
      <c r="I1784" s="5" t="s">
        <v>25</v>
      </c>
      <c r="J1784" s="5" t="s">
        <v>25</v>
      </c>
      <c r="K1784" s="7" t="str">
        <f>VLOOKUP(A1784,Sheet2!$A$2:$R$3432,6,0)</f>
        <v>Hero Pleasure XTEC</v>
      </c>
      <c r="L1784" s="5" t="s">
        <v>25</v>
      </c>
      <c r="M1784" s="7" t="str">
        <f>VLOOKUP(A1784,Sheet2!$A$2:$R$3432,5,0)</f>
        <v>MH49X2262</v>
      </c>
      <c r="N1784" s="5" t="s">
        <v>25</v>
      </c>
      <c r="O1784" s="5" t="s">
        <v>25</v>
      </c>
      <c r="P1784" s="6" t="s">
        <v>25</v>
      </c>
      <c r="Q1784" s="5" t="s">
        <v>25</v>
      </c>
      <c r="R1784" s="5" t="s">
        <v>25</v>
      </c>
      <c r="S1784" s="7" t="str">
        <f>VLOOKUP(A1784,Sheet2!$A$2:$R$3432,18,0)</f>
        <v/>
      </c>
      <c r="T1784" s="7" t="str">
        <f>VLOOKUP(A1784,Sheet2!$A$2:$R$3432,17,0)</f>
        <v/>
      </c>
    </row>
    <row r="1785" ht="15.75" customHeight="1">
      <c r="A1785" s="3" t="s">
        <v>1808</v>
      </c>
      <c r="B1785" s="4" t="str">
        <f>VLOOKUP(A1785,Sheet2!$A$2:$R$3432,2,0)</f>
        <v>2024-09-18 20:39:28</v>
      </c>
      <c r="C1785" s="5" t="s">
        <v>25</v>
      </c>
      <c r="D1785" s="6" t="s">
        <v>25</v>
      </c>
      <c r="E1785" s="7">
        <f>VLOOKUP(A1785,Sheet2!$A$2:$R$3432,4,0)</f>
        <v>9822227072</v>
      </c>
      <c r="F1785" s="7" t="str">
        <f>VLOOKUP(A1785,Sheet2!$A$2:$R$3432,3,0)</f>
        <v>SONAL NANDGUDE</v>
      </c>
      <c r="G1785" s="5" t="s">
        <v>25</v>
      </c>
      <c r="H1785" s="5" t="s">
        <v>25</v>
      </c>
      <c r="I1785" s="5" t="s">
        <v>25</v>
      </c>
      <c r="J1785" s="5" t="s">
        <v>25</v>
      </c>
      <c r="K1785" s="7" t="str">
        <f>VLOOKUP(A1785,Sheet2!$A$2:$R$3432,6,0)</f>
        <v>Honda Activa 110</v>
      </c>
      <c r="L1785" s="5" t="s">
        <v>25</v>
      </c>
      <c r="M1785" s="7" t="str">
        <f>VLOOKUP(A1785,Sheet2!$A$2:$R$3432,5,0)</f>
        <v>MH14CZ5769</v>
      </c>
      <c r="N1785" s="5" t="s">
        <v>25</v>
      </c>
      <c r="O1785" s="5" t="s">
        <v>25</v>
      </c>
      <c r="P1785" s="6" t="s">
        <v>25</v>
      </c>
      <c r="Q1785" s="5" t="s">
        <v>25</v>
      </c>
      <c r="R1785" s="5" t="s">
        <v>25</v>
      </c>
      <c r="S1785" s="5" t="str">
        <f>VLOOKUP(A1785,Sheet2!$A$2:$R$3432,18,0)</f>
        <v>JC44ES014272</v>
      </c>
      <c r="T1785" s="7" t="str">
        <f>VLOOKUP(A1785,Sheet2!$A$2:$R$3432,17,0)</f>
        <v>ME4JC448HB7814259</v>
      </c>
    </row>
    <row r="1786" ht="15.75" customHeight="1">
      <c r="A1786" s="3" t="s">
        <v>1809</v>
      </c>
      <c r="B1786" s="4" t="str">
        <f>VLOOKUP(A1786,Sheet2!$A$2:$R$3432,2,0)</f>
        <v>2024-09-18 20:41:51</v>
      </c>
      <c r="C1786" s="5" t="s">
        <v>25</v>
      </c>
      <c r="D1786" s="6" t="s">
        <v>25</v>
      </c>
      <c r="E1786" s="7">
        <f>VLOOKUP(A1786,Sheet2!$A$2:$R$3432,4,0)</f>
        <v>9922216271</v>
      </c>
      <c r="F1786" s="7" t="str">
        <f>VLOOKUP(A1786,Sheet2!$A$2:$R$3432,3,0)</f>
        <v>RAJENDRA MANE</v>
      </c>
      <c r="G1786" s="5" t="s">
        <v>25</v>
      </c>
      <c r="H1786" s="5" t="s">
        <v>25</v>
      </c>
      <c r="I1786" s="5" t="s">
        <v>25</v>
      </c>
      <c r="J1786" s="5" t="s">
        <v>25</v>
      </c>
      <c r="K1786" s="7" t="str">
        <f>VLOOKUP(A1786,Sheet2!$A$2:$R$3432,6,0)</f>
        <v>Bajaj Platina 110cc</v>
      </c>
      <c r="L1786" s="5" t="s">
        <v>25</v>
      </c>
      <c r="M1786" s="7" t="str">
        <f>VLOOKUP(A1786,Sheet2!$A$2:$R$3432,5,0)</f>
        <v>MH12VY2902</v>
      </c>
      <c r="N1786" s="5" t="s">
        <v>25</v>
      </c>
      <c r="O1786" s="5" t="s">
        <v>25</v>
      </c>
      <c r="P1786" s="6" t="s">
        <v>25</v>
      </c>
      <c r="Q1786" s="5" t="s">
        <v>25</v>
      </c>
      <c r="R1786" s="5" t="s">
        <v>25</v>
      </c>
      <c r="S1786" s="5" t="str">
        <f>VLOOKUP(A1786,Sheet2!$A$2:$R$3432,18,0)</f>
        <v>PFXWPE22020</v>
      </c>
      <c r="T1786" s="7" t="str">
        <f>VLOOKUP(A1786,Sheet2!$A$2:$R$3432,17,0)</f>
        <v>MD2B77X6PWE07267</v>
      </c>
    </row>
    <row r="1787" ht="15.75" customHeight="1">
      <c r="A1787" s="3" t="s">
        <v>1810</v>
      </c>
      <c r="B1787" s="4" t="str">
        <f>VLOOKUP(A1787,Sheet2!$A$2:$R$3432,2,0)</f>
        <v>2024-09-18 20:41:27</v>
      </c>
      <c r="C1787" s="5" t="s">
        <v>25</v>
      </c>
      <c r="D1787" s="6" t="s">
        <v>25</v>
      </c>
      <c r="E1787" s="7">
        <f>VLOOKUP(A1787,Sheet2!$A$2:$R$3432,4,0)</f>
        <v>8237212835</v>
      </c>
      <c r="F1787" s="7" t="str">
        <f>VLOOKUP(A1787,Sheet2!$A$2:$R$3432,3,0)</f>
        <v>MAHESH VARPE</v>
      </c>
      <c r="G1787" s="5" t="s">
        <v>25</v>
      </c>
      <c r="H1787" s="5" t="s">
        <v>25</v>
      </c>
      <c r="I1787" s="5" t="s">
        <v>25</v>
      </c>
      <c r="J1787" s="5" t="s">
        <v>25</v>
      </c>
      <c r="K1787" s="7" t="str">
        <f>VLOOKUP(A1787,Sheet2!$A$2:$R$3432,6,0)</f>
        <v>Honda Activa 5G</v>
      </c>
      <c r="L1787" s="5" t="s">
        <v>25</v>
      </c>
      <c r="M1787" s="7" t="str">
        <f>VLOOKUP(A1787,Sheet2!$A$2:$R$3432,5,0)</f>
        <v>MH12SC7814</v>
      </c>
      <c r="N1787" s="5" t="s">
        <v>25</v>
      </c>
      <c r="O1787" s="5" t="s">
        <v>25</v>
      </c>
      <c r="P1787" s="6" t="s">
        <v>25</v>
      </c>
      <c r="Q1787" s="5" t="s">
        <v>25</v>
      </c>
      <c r="R1787" s="5" t="s">
        <v>25</v>
      </c>
      <c r="S1787" s="7" t="str">
        <f>VLOOKUP(A1787,Sheet2!$A$2:$R$3432,18,0)</f>
        <v/>
      </c>
      <c r="T1787" s="7" t="str">
        <f>VLOOKUP(A1787,Sheet2!$A$2:$R$3432,17,0)</f>
        <v/>
      </c>
    </row>
    <row r="1788" ht="15.75" customHeight="1">
      <c r="A1788" s="3" t="s">
        <v>1811</v>
      </c>
      <c r="B1788" s="4" t="str">
        <f>VLOOKUP(A1788,Sheet2!$A$2:$R$3432,2,0)</f>
        <v>2024-09-18 20:43:10</v>
      </c>
      <c r="C1788" s="5" t="s">
        <v>25</v>
      </c>
      <c r="D1788" s="6" t="s">
        <v>25</v>
      </c>
      <c r="E1788" s="7">
        <f>VLOOKUP(A1788,Sheet2!$A$2:$R$3432,4,0)</f>
        <v>9545157573</v>
      </c>
      <c r="F1788" s="7" t="str">
        <f>VLOOKUP(A1788,Sheet2!$A$2:$R$3432,3,0)</f>
        <v>Suyash Gaikwad </v>
      </c>
      <c r="G1788" s="5" t="s">
        <v>25</v>
      </c>
      <c r="H1788" s="5" t="s">
        <v>25</v>
      </c>
      <c r="I1788" s="5" t="s">
        <v>25</v>
      </c>
      <c r="J1788" s="5" t="s">
        <v>25</v>
      </c>
      <c r="K1788" s="7" t="str">
        <f>VLOOKUP(A1788,Sheet2!$A$2:$R$3432,6,0)</f>
        <v>Honda Activa </v>
      </c>
      <c r="L1788" s="5" t="s">
        <v>25</v>
      </c>
      <c r="M1788" s="7" t="str">
        <f>VLOOKUP(A1788,Sheet2!$A$2:$R$3432,5,0)</f>
        <v>MH12LS1979</v>
      </c>
      <c r="N1788" s="5" t="s">
        <v>25</v>
      </c>
      <c r="O1788" s="5" t="s">
        <v>25</v>
      </c>
      <c r="P1788" s="6" t="s">
        <v>25</v>
      </c>
      <c r="Q1788" s="5" t="s">
        <v>25</v>
      </c>
      <c r="R1788" s="5" t="s">
        <v>25</v>
      </c>
      <c r="S1788" s="5" t="str">
        <f>VLOOKUP(A1788,Sheet2!$A$2:$R$3432,18,0)</f>
        <v>JF50ET1697601</v>
      </c>
      <c r="T1788" s="7" t="str">
        <f>VLOOKUP(A1788,Sheet2!$A$2:$R$3432,17,0)</f>
        <v>ME4JF502HET70009</v>
      </c>
    </row>
    <row r="1789" ht="15.75" customHeight="1">
      <c r="A1789" s="3" t="s">
        <v>1812</v>
      </c>
      <c r="B1789" s="4" t="str">
        <f>VLOOKUP(A1789,Sheet2!$A$2:$R$3432,2,0)</f>
        <v>2024-09-18 20:35:37</v>
      </c>
      <c r="C1789" s="5" t="s">
        <v>25</v>
      </c>
      <c r="D1789" s="6" t="s">
        <v>25</v>
      </c>
      <c r="E1789" s="7">
        <f>VLOOKUP(A1789,Sheet2!$A$2:$R$3432,4,0)</f>
        <v>7830513533</v>
      </c>
      <c r="F1789" s="7" t="str">
        <f>VLOOKUP(A1789,Sheet2!$A$2:$R$3432,3,0)</f>
        <v>Rishu</v>
      </c>
      <c r="G1789" s="5" t="s">
        <v>25</v>
      </c>
      <c r="H1789" s="5" t="s">
        <v>25</v>
      </c>
      <c r="I1789" s="5" t="s">
        <v>25</v>
      </c>
      <c r="J1789" s="5" t="s">
        <v>25</v>
      </c>
      <c r="K1789" s="7" t="str">
        <f>VLOOKUP(A1789,Sheet2!$A$2:$R$3432,6,0)</f>
        <v>Honda Activa 3G</v>
      </c>
      <c r="L1789" s="5" t="s">
        <v>25</v>
      </c>
      <c r="M1789" s="7" t="str">
        <f>VLOOKUP(A1789,Sheet2!$A$2:$R$3432,5,0)</f>
        <v>UP25BL3099</v>
      </c>
      <c r="N1789" s="5" t="s">
        <v>25</v>
      </c>
      <c r="O1789" s="5" t="s">
        <v>25</v>
      </c>
      <c r="P1789" s="6" t="s">
        <v>25</v>
      </c>
      <c r="Q1789" s="5" t="s">
        <v>25</v>
      </c>
      <c r="R1789" s="5" t="s">
        <v>25</v>
      </c>
      <c r="S1789" s="7" t="str">
        <f>VLOOKUP(A1789,Sheet2!$A$2:$R$3432,18,0)</f>
        <v/>
      </c>
      <c r="T1789" s="7" t="str">
        <f>VLOOKUP(A1789,Sheet2!$A$2:$R$3432,17,0)</f>
        <v/>
      </c>
    </row>
    <row r="1790" ht="15.75" customHeight="1">
      <c r="A1790" s="3" t="s">
        <v>1813</v>
      </c>
      <c r="B1790" s="4" t="str">
        <f>VLOOKUP(A1790,Sheet2!$A$2:$R$3432,2,0)</f>
        <v>2024-09-18 20:34:18</v>
      </c>
      <c r="C1790" s="5" t="s">
        <v>25</v>
      </c>
      <c r="D1790" s="6" t="s">
        <v>25</v>
      </c>
      <c r="E1790" s="7">
        <f>VLOOKUP(A1790,Sheet2!$A$2:$R$3432,4,0)</f>
        <v>7775971397</v>
      </c>
      <c r="F1790" s="7" t="str">
        <f>VLOOKUP(A1790,Sheet2!$A$2:$R$3432,3,0)</f>
        <v>Shivam </v>
      </c>
      <c r="G1790" s="5" t="s">
        <v>25</v>
      </c>
      <c r="H1790" s="5" t="s">
        <v>25</v>
      </c>
      <c r="I1790" s="5" t="s">
        <v>25</v>
      </c>
      <c r="J1790" s="5" t="s">
        <v>25</v>
      </c>
      <c r="K1790" s="7" t="str">
        <f>VLOOKUP(A1790,Sheet2!$A$2:$R$3432,6,0)</f>
        <v>Yamaha FZ V3</v>
      </c>
      <c r="L1790" s="5" t="s">
        <v>25</v>
      </c>
      <c r="M1790" s="7" t="str">
        <f>VLOOKUP(A1790,Sheet2!$A$2:$R$3432,5,0)</f>
        <v>MH14KL7090</v>
      </c>
      <c r="N1790" s="5" t="s">
        <v>25</v>
      </c>
      <c r="O1790" s="5" t="s">
        <v>25</v>
      </c>
      <c r="P1790" s="6" t="s">
        <v>25</v>
      </c>
      <c r="Q1790" s="5" t="s">
        <v>25</v>
      </c>
      <c r="R1790" s="5" t="s">
        <v>25</v>
      </c>
      <c r="S1790" s="7" t="str">
        <f>VLOOKUP(A1790,Sheet2!$A$2:$R$3432,18,0)</f>
        <v/>
      </c>
      <c r="T1790" s="7" t="str">
        <f>VLOOKUP(A1790,Sheet2!$A$2:$R$3432,17,0)</f>
        <v/>
      </c>
    </row>
    <row r="1791" ht="15.75" customHeight="1">
      <c r="A1791" s="3" t="s">
        <v>1814</v>
      </c>
      <c r="B1791" s="4" t="str">
        <f>VLOOKUP(A1791,Sheet2!$A$2:$R$3432,2,0)</f>
        <v>2024-09-18 20:34:02</v>
      </c>
      <c r="C1791" s="5" t="s">
        <v>25</v>
      </c>
      <c r="D1791" s="6" t="s">
        <v>25</v>
      </c>
      <c r="E1791" s="7">
        <f>VLOOKUP(A1791,Sheet2!$A$2:$R$3432,4,0)</f>
        <v>8983836822</v>
      </c>
      <c r="F1791" s="7" t="str">
        <f>VLOOKUP(A1791,Sheet2!$A$2:$R$3432,3,0)</f>
        <v>Omkar Joshi </v>
      </c>
      <c r="G1791" s="5" t="s">
        <v>25</v>
      </c>
      <c r="H1791" s="5" t="s">
        <v>25</v>
      </c>
      <c r="I1791" s="5" t="s">
        <v>25</v>
      </c>
      <c r="J1791" s="5" t="s">
        <v>25</v>
      </c>
      <c r="K1791" s="7" t="str">
        <f>VLOOKUP(A1791,Sheet2!$A$2:$R$3432,6,0)</f>
        <v>TVS Jupiter </v>
      </c>
      <c r="L1791" s="5" t="s">
        <v>25</v>
      </c>
      <c r="M1791" s="7" t="str">
        <f>VLOOKUP(A1791,Sheet2!$A$2:$R$3432,5,0)</f>
        <v>MH14KK9064</v>
      </c>
      <c r="N1791" s="5" t="s">
        <v>25</v>
      </c>
      <c r="O1791" s="5" t="s">
        <v>25</v>
      </c>
      <c r="P1791" s="6" t="s">
        <v>25</v>
      </c>
      <c r="Q1791" s="5" t="s">
        <v>25</v>
      </c>
      <c r="R1791" s="5" t="s">
        <v>25</v>
      </c>
      <c r="S1791" s="5" t="str">
        <f>VLOOKUP(A1791,Sheet2!$A$2:$R$3432,18,0)</f>
        <v>DG5LN1X03780</v>
      </c>
      <c r="T1791" s="7" t="str">
        <f>VLOOKUP(A1791,Sheet2!$A$2:$R$3432,17,0)</f>
        <v>MD626G5XNL13299</v>
      </c>
    </row>
    <row r="1792" ht="15.75" customHeight="1">
      <c r="A1792" s="3" t="s">
        <v>1815</v>
      </c>
      <c r="B1792" s="4" t="str">
        <f>VLOOKUP(A1792,Sheet2!$A$2:$R$3432,2,0)</f>
        <v>2024-09-18 20:32:04</v>
      </c>
      <c r="C1792" s="5" t="s">
        <v>25</v>
      </c>
      <c r="D1792" s="6" t="s">
        <v>25</v>
      </c>
      <c r="E1792" s="7">
        <f>VLOOKUP(A1792,Sheet2!$A$2:$R$3432,4,0)</f>
        <v>8669082369</v>
      </c>
      <c r="F1792" s="7" t="str">
        <f>VLOOKUP(A1792,Sheet2!$A$2:$R$3432,3,0)</f>
        <v>BHUSHAN MANDEKAR </v>
      </c>
      <c r="G1792" s="5" t="s">
        <v>25</v>
      </c>
      <c r="H1792" s="5" t="s">
        <v>25</v>
      </c>
      <c r="I1792" s="5" t="s">
        <v>25</v>
      </c>
      <c r="J1792" s="5" t="s">
        <v>25</v>
      </c>
      <c r="K1792" s="7" t="str">
        <f>VLOOKUP(A1792,Sheet2!$A$2:$R$3432,6,0)</f>
        <v>Honda Activa 125</v>
      </c>
      <c r="L1792" s="5" t="s">
        <v>25</v>
      </c>
      <c r="M1792" s="7" t="str">
        <f>VLOOKUP(A1792,Sheet2!$A$2:$R$3432,5,0)</f>
        <v>MH14JD3375</v>
      </c>
      <c r="N1792" s="5" t="s">
        <v>25</v>
      </c>
      <c r="O1792" s="5" t="s">
        <v>25</v>
      </c>
      <c r="P1792" s="6" t="s">
        <v>25</v>
      </c>
      <c r="Q1792" s="5" t="s">
        <v>25</v>
      </c>
      <c r="R1792" s="5" t="s">
        <v>25</v>
      </c>
      <c r="S1792" s="7" t="str">
        <f>VLOOKUP(A1792,Sheet2!$A$2:$R$3432,18,0)</f>
        <v/>
      </c>
      <c r="T1792" s="7" t="str">
        <f>VLOOKUP(A1792,Sheet2!$A$2:$R$3432,17,0)</f>
        <v/>
      </c>
    </row>
    <row r="1793" ht="15.75" customHeight="1">
      <c r="A1793" s="3" t="s">
        <v>1816</v>
      </c>
      <c r="B1793" s="4" t="str">
        <f>VLOOKUP(A1793,Sheet2!$A$2:$R$3432,2,0)</f>
        <v>2024-09-18 20:30:38</v>
      </c>
      <c r="C1793" s="5" t="s">
        <v>25</v>
      </c>
      <c r="D1793" s="6" t="s">
        <v>25</v>
      </c>
      <c r="E1793" s="7">
        <f>VLOOKUP(A1793,Sheet2!$A$2:$R$3432,4,0)</f>
        <v>8806009259</v>
      </c>
      <c r="F1793" s="7" t="str">
        <f>VLOOKUP(A1793,Sheet2!$A$2:$R$3432,3,0)</f>
        <v>Siddharth </v>
      </c>
      <c r="G1793" s="5" t="s">
        <v>25</v>
      </c>
      <c r="H1793" s="5" t="s">
        <v>25</v>
      </c>
      <c r="I1793" s="5" t="s">
        <v>25</v>
      </c>
      <c r="J1793" s="5" t="s">
        <v>25</v>
      </c>
      <c r="K1793" s="7" t="str">
        <f>VLOOKUP(A1793,Sheet2!$A$2:$R$3432,6,0)</f>
        <v>TVS Apache RTR 200 4V</v>
      </c>
      <c r="L1793" s="5" t="s">
        <v>25</v>
      </c>
      <c r="M1793" s="7" t="str">
        <f>VLOOKUP(A1793,Sheet2!$A$2:$R$3432,5,0)</f>
        <v>MH14GZ5988</v>
      </c>
      <c r="N1793" s="5" t="s">
        <v>25</v>
      </c>
      <c r="O1793" s="5" t="s">
        <v>25</v>
      </c>
      <c r="P1793" s="6" t="s">
        <v>25</v>
      </c>
      <c r="Q1793" s="5" t="s">
        <v>25</v>
      </c>
      <c r="R1793" s="5" t="s">
        <v>25</v>
      </c>
      <c r="S1793" s="7" t="str">
        <f>VLOOKUP(A1793,Sheet2!$A$2:$R$3432,18,0)</f>
        <v/>
      </c>
      <c r="T1793" s="7" t="str">
        <f>VLOOKUP(A1793,Sheet2!$A$2:$R$3432,17,0)</f>
        <v/>
      </c>
    </row>
    <row r="1794" ht="15.75" customHeight="1">
      <c r="A1794" s="3" t="s">
        <v>1817</v>
      </c>
      <c r="B1794" s="4" t="str">
        <f>VLOOKUP(A1794,Sheet2!$A$2:$R$3432,2,0)</f>
        <v>2024-09-18 20:30:05</v>
      </c>
      <c r="C1794" s="5" t="s">
        <v>25</v>
      </c>
      <c r="D1794" s="6" t="s">
        <v>25</v>
      </c>
      <c r="E1794" s="7">
        <f>VLOOKUP(A1794,Sheet2!$A$2:$R$3432,4,0)</f>
        <v>9713965060</v>
      </c>
      <c r="F1794" s="7" t="str">
        <f>VLOOKUP(A1794,Sheet2!$A$2:$R$3432,3,0)</f>
        <v>ANKUR</v>
      </c>
      <c r="G1794" s="5" t="s">
        <v>25</v>
      </c>
      <c r="H1794" s="5" t="s">
        <v>25</v>
      </c>
      <c r="I1794" s="5" t="s">
        <v>25</v>
      </c>
      <c r="J1794" s="5" t="s">
        <v>25</v>
      </c>
      <c r="K1794" s="7" t="str">
        <f>VLOOKUP(A1794,Sheet2!$A$2:$R$3432,6,0)</f>
        <v>Yamaha SZ RR</v>
      </c>
      <c r="L1794" s="5" t="s">
        <v>25</v>
      </c>
      <c r="M1794" s="7" t="str">
        <f>VLOOKUP(A1794,Sheet2!$A$2:$R$3432,5,0)</f>
        <v>MH12JX3912</v>
      </c>
      <c r="N1794" s="5" t="s">
        <v>25</v>
      </c>
      <c r="O1794" s="5" t="s">
        <v>25</v>
      </c>
      <c r="P1794" s="6" t="s">
        <v>25</v>
      </c>
      <c r="Q1794" s="5" t="s">
        <v>25</v>
      </c>
      <c r="R1794" s="5" t="s">
        <v>25</v>
      </c>
      <c r="S1794" s="7" t="str">
        <f>VLOOKUP(A1794,Sheet2!$A$2:$R$3432,18,0)</f>
        <v/>
      </c>
      <c r="T1794" s="7" t="str">
        <f>VLOOKUP(A1794,Sheet2!$A$2:$R$3432,17,0)</f>
        <v/>
      </c>
    </row>
    <row r="1795" ht="15.75" customHeight="1">
      <c r="A1795" s="3" t="s">
        <v>1818</v>
      </c>
      <c r="B1795" s="4" t="str">
        <f>VLOOKUP(A1795,Sheet2!$A$2:$R$3432,2,0)</f>
        <v>2024-09-18 20:45:44</v>
      </c>
      <c r="C1795" s="5" t="s">
        <v>25</v>
      </c>
      <c r="D1795" s="6" t="s">
        <v>25</v>
      </c>
      <c r="E1795" s="7">
        <f>VLOOKUP(A1795,Sheet2!$A$2:$R$3432,4,0)</f>
        <v>7875015709</v>
      </c>
      <c r="F1795" s="7" t="str">
        <f>VLOOKUP(A1795,Sheet2!$A$2:$R$3432,3,0)</f>
        <v>Prasad Gulhane</v>
      </c>
      <c r="G1795" s="5" t="s">
        <v>25</v>
      </c>
      <c r="H1795" s="5" t="s">
        <v>25</v>
      </c>
      <c r="I1795" s="5" t="s">
        <v>25</v>
      </c>
      <c r="J1795" s="5" t="s">
        <v>25</v>
      </c>
      <c r="K1795" s="7" t="str">
        <f>VLOOKUP(A1795,Sheet2!$A$2:$R$3432,6,0)</f>
        <v>Honda Shine HET</v>
      </c>
      <c r="L1795" s="5" t="s">
        <v>25</v>
      </c>
      <c r="M1795" s="7" t="str">
        <f>VLOOKUP(A1795,Sheet2!$A$2:$R$3432,5,0)</f>
        <v>MH14EX0506</v>
      </c>
      <c r="N1795" s="5" t="s">
        <v>25</v>
      </c>
      <c r="O1795" s="5" t="s">
        <v>25</v>
      </c>
      <c r="P1795" s="6" t="s">
        <v>25</v>
      </c>
      <c r="Q1795" s="5" t="s">
        <v>25</v>
      </c>
      <c r="R1795" s="5" t="s">
        <v>25</v>
      </c>
      <c r="S1795" s="5" t="str">
        <f>VLOOKUP(A1795,Sheet2!$A$2:$R$3432,18,0)</f>
        <v>JC65E70039648</v>
      </c>
      <c r="T1795" s="7" t="str">
        <f>VLOOKUP(A1795,Sheet2!$A$2:$R$3432,17,0)</f>
        <v>ME4JC652CF7013041</v>
      </c>
    </row>
    <row r="1796" ht="15.75" customHeight="1">
      <c r="A1796" s="3" t="s">
        <v>1819</v>
      </c>
      <c r="B1796" s="4" t="str">
        <f>VLOOKUP(A1796,Sheet2!$A$2:$R$3432,2,0)</f>
        <v>2024-09-18 20:33:31</v>
      </c>
      <c r="C1796" s="5" t="s">
        <v>25</v>
      </c>
      <c r="D1796" s="6" t="s">
        <v>25</v>
      </c>
      <c r="E1796" s="7">
        <f>VLOOKUP(A1796,Sheet2!$A$2:$R$3432,4,0)</f>
        <v>8123491626</v>
      </c>
      <c r="F1796" s="7" t="str">
        <f>VLOOKUP(A1796,Sheet2!$A$2:$R$3432,3,0)</f>
        <v>Omkar  Patil</v>
      </c>
      <c r="G1796" s="5" t="s">
        <v>25</v>
      </c>
      <c r="H1796" s="5" t="s">
        <v>25</v>
      </c>
      <c r="I1796" s="5" t="s">
        <v>25</v>
      </c>
      <c r="J1796" s="5" t="s">
        <v>25</v>
      </c>
      <c r="K1796" s="7" t="str">
        <f>VLOOKUP(A1796,Sheet2!$A$2:$R$3432,6,0)</f>
        <v>TVS Apache RTR 200 4V</v>
      </c>
      <c r="L1796" s="5" t="s">
        <v>25</v>
      </c>
      <c r="M1796" s="7" t="str">
        <f>VLOOKUP(A1796,Sheet2!$A$2:$R$3432,5,0)</f>
        <v>MH12NV4780</v>
      </c>
      <c r="N1796" s="5" t="s">
        <v>25</v>
      </c>
      <c r="O1796" s="5" t="s">
        <v>25</v>
      </c>
      <c r="P1796" s="6" t="s">
        <v>25</v>
      </c>
      <c r="Q1796" s="5" t="s">
        <v>25</v>
      </c>
      <c r="R1796" s="5" t="s">
        <v>25</v>
      </c>
      <c r="S1796" s="7" t="str">
        <f>VLOOKUP(A1796,Sheet2!$A$2:$R$3432,18,0)</f>
        <v/>
      </c>
      <c r="T1796" s="7" t="str">
        <f>VLOOKUP(A1796,Sheet2!$A$2:$R$3432,17,0)</f>
        <v/>
      </c>
    </row>
    <row r="1797" ht="15.75" customHeight="1">
      <c r="A1797" s="3" t="s">
        <v>1820</v>
      </c>
      <c r="B1797" s="4" t="str">
        <f>VLOOKUP(A1797,Sheet2!$A$2:$R$3432,2,0)</f>
        <v>2024-09-18 20:42:20</v>
      </c>
      <c r="C1797" s="5" t="s">
        <v>25</v>
      </c>
      <c r="D1797" s="6" t="s">
        <v>25</v>
      </c>
      <c r="E1797" s="7">
        <f>VLOOKUP(A1797,Sheet2!$A$2:$R$3432,4,0)</f>
        <v>8411002659</v>
      </c>
      <c r="F1797" s="7" t="str">
        <f>VLOOKUP(A1797,Sheet2!$A$2:$R$3432,3,0)</f>
        <v>AISHWARYA</v>
      </c>
      <c r="G1797" s="5" t="s">
        <v>25</v>
      </c>
      <c r="H1797" s="5" t="s">
        <v>25</v>
      </c>
      <c r="I1797" s="5" t="s">
        <v>25</v>
      </c>
      <c r="J1797" s="5" t="s">
        <v>25</v>
      </c>
      <c r="K1797" s="7" t="str">
        <f>VLOOKUP(A1797,Sheet2!$A$2:$R$3432,6,0)</f>
        <v>Honda Activa 6G</v>
      </c>
      <c r="L1797" s="5" t="s">
        <v>25</v>
      </c>
      <c r="M1797" s="7" t="str">
        <f>VLOOKUP(A1797,Sheet2!$A$2:$R$3432,5,0)</f>
        <v>MH41BC9212</v>
      </c>
      <c r="N1797" s="5" t="s">
        <v>25</v>
      </c>
      <c r="O1797" s="5" t="s">
        <v>25</v>
      </c>
      <c r="P1797" s="6" t="s">
        <v>25</v>
      </c>
      <c r="Q1797" s="5" t="s">
        <v>25</v>
      </c>
      <c r="R1797" s="5" t="s">
        <v>25</v>
      </c>
      <c r="S1797" s="5" t="str">
        <f>VLOOKUP(A1797,Sheet2!$A$2:$R$3432,18,0)</f>
        <v>JF91EG1180846</v>
      </c>
      <c r="T1797" s="7" t="str">
        <f>VLOOKUP(A1797,Sheet2!$A$2:$R$3432,17,0)</f>
        <v>ME4JF914JG182274</v>
      </c>
    </row>
    <row r="1798" ht="15.75" customHeight="1">
      <c r="A1798" s="3" t="s">
        <v>1821</v>
      </c>
      <c r="B1798" s="4" t="str">
        <f>VLOOKUP(A1798,Sheet2!$A$2:$R$3432,2,0)</f>
        <v>2024-09-18 20:36:50</v>
      </c>
      <c r="C1798" s="5" t="s">
        <v>25</v>
      </c>
      <c r="D1798" s="6" t="s">
        <v>25</v>
      </c>
      <c r="E1798" s="7">
        <f>VLOOKUP(A1798,Sheet2!$A$2:$R$3432,4,0)</f>
        <v>7276868658</v>
      </c>
      <c r="F1798" s="7" t="str">
        <f>VLOOKUP(A1798,Sheet2!$A$2:$R$3432,3,0)</f>
        <v>VEDANT KAKADE</v>
      </c>
      <c r="G1798" s="5" t="s">
        <v>25</v>
      </c>
      <c r="H1798" s="5" t="s">
        <v>25</v>
      </c>
      <c r="I1798" s="5" t="s">
        <v>25</v>
      </c>
      <c r="J1798" s="5" t="s">
        <v>25</v>
      </c>
      <c r="K1798" s="7" t="str">
        <f>VLOOKUP(A1798,Sheet2!$A$2:$R$3432,6,0)</f>
        <v>KTM Duke 200</v>
      </c>
      <c r="L1798" s="5" t="s">
        <v>25</v>
      </c>
      <c r="M1798" s="7" t="str">
        <f>VLOOKUP(A1798,Sheet2!$A$2:$R$3432,5,0)</f>
        <v>MH32AE7123</v>
      </c>
      <c r="N1798" s="5" t="s">
        <v>25</v>
      </c>
      <c r="O1798" s="5" t="s">
        <v>25</v>
      </c>
      <c r="P1798" s="6" t="s">
        <v>25</v>
      </c>
      <c r="Q1798" s="5" t="s">
        <v>25</v>
      </c>
      <c r="R1798" s="5" t="s">
        <v>25</v>
      </c>
      <c r="S1798" s="7" t="str">
        <f>VLOOKUP(A1798,Sheet2!$A$2:$R$3432,18,0)</f>
        <v/>
      </c>
      <c r="T1798" s="7" t="str">
        <f>VLOOKUP(A1798,Sheet2!$A$2:$R$3432,17,0)</f>
        <v/>
      </c>
    </row>
    <row r="1799" ht="15.75" customHeight="1">
      <c r="A1799" s="3" t="s">
        <v>1822</v>
      </c>
      <c r="B1799" s="4" t="str">
        <f>VLOOKUP(A1799,Sheet2!$A$2:$R$3432,2,0)</f>
        <v>2024-09-18 20:38:05</v>
      </c>
      <c r="C1799" s="5" t="s">
        <v>25</v>
      </c>
      <c r="D1799" s="6" t="s">
        <v>25</v>
      </c>
      <c r="E1799" s="7">
        <f>VLOOKUP(A1799,Sheet2!$A$2:$R$3432,4,0)</f>
        <v>7972755022</v>
      </c>
      <c r="F1799" s="7" t="str">
        <f>VLOOKUP(A1799,Sheet2!$A$2:$R$3432,3,0)</f>
        <v>VISHAL JAGTAP</v>
      </c>
      <c r="G1799" s="5" t="s">
        <v>25</v>
      </c>
      <c r="H1799" s="5" t="s">
        <v>25</v>
      </c>
      <c r="I1799" s="5" t="s">
        <v>25</v>
      </c>
      <c r="J1799" s="5" t="s">
        <v>25</v>
      </c>
      <c r="K1799" s="7" t="str">
        <f>VLOOKUP(A1799,Sheet2!$A$2:$R$3432,6,0)</f>
        <v>Yamaha FZ S 2.0</v>
      </c>
      <c r="L1799" s="5" t="s">
        <v>25</v>
      </c>
      <c r="M1799" s="7" t="str">
        <f>VLOOKUP(A1799,Sheet2!$A$2:$R$3432,5,0)</f>
        <v>MH12PS8274</v>
      </c>
      <c r="N1799" s="5" t="s">
        <v>25</v>
      </c>
      <c r="O1799" s="5" t="s">
        <v>25</v>
      </c>
      <c r="P1799" s="6" t="s">
        <v>25</v>
      </c>
      <c r="Q1799" s="5" t="s">
        <v>25</v>
      </c>
      <c r="R1799" s="5" t="s">
        <v>25</v>
      </c>
      <c r="S1799" s="5" t="str">
        <f>VLOOKUP(A1799,Sheet2!$A$2:$R$3432,18,0)</f>
        <v>G3J3E0126828</v>
      </c>
      <c r="T1799" s="7" t="str">
        <f>VLOOKUP(A1799,Sheet2!$A$2:$R$3432,17,0)</f>
        <v>ME1RGPH4429H081742</v>
      </c>
    </row>
    <row r="1800" ht="15.75" customHeight="1">
      <c r="A1800" s="3" t="s">
        <v>1823</v>
      </c>
      <c r="B1800" s="4" t="str">
        <f>VLOOKUP(A1800,Sheet2!$A$2:$R$3432,2,0)</f>
        <v>2025-03-02 19:34:20</v>
      </c>
      <c r="C1800" s="5" t="s">
        <v>25</v>
      </c>
      <c r="D1800" s="6" t="s">
        <v>25</v>
      </c>
      <c r="E1800" s="7">
        <f>VLOOKUP(A1800,Sheet2!$A$2:$R$3432,4,0)</f>
        <v>8390553748</v>
      </c>
      <c r="F1800" s="7" t="str">
        <f>VLOOKUP(A1800,Sheet2!$A$2:$R$3432,3,0)</f>
        <v>Raunak </v>
      </c>
      <c r="G1800" s="5" t="s">
        <v>25</v>
      </c>
      <c r="H1800" s="5" t="s">
        <v>25</v>
      </c>
      <c r="I1800" s="5" t="s">
        <v>25</v>
      </c>
      <c r="J1800" s="5" t="s">
        <v>25</v>
      </c>
      <c r="K1800" s="7" t="str">
        <f>VLOOKUP(A1800,Sheet2!$A$2:$R$3432,6,0)</f>
        <v>Bajaj Pulsar 200 RS</v>
      </c>
      <c r="L1800" s="5" t="s">
        <v>25</v>
      </c>
      <c r="M1800" s="7" t="str">
        <f>VLOOKUP(A1800,Sheet2!$A$2:$R$3432,5,0)</f>
        <v>MH14GM7077</v>
      </c>
      <c r="N1800" s="5" t="s">
        <v>25</v>
      </c>
      <c r="O1800" s="5" t="s">
        <v>25</v>
      </c>
      <c r="P1800" s="6" t="s">
        <v>25</v>
      </c>
      <c r="Q1800" s="5" t="s">
        <v>25</v>
      </c>
      <c r="R1800" s="5" t="s">
        <v>25</v>
      </c>
      <c r="S1800" s="7" t="str">
        <f>VLOOKUP(A1800,Sheet2!$A$2:$R$3432,18,0)</f>
        <v/>
      </c>
      <c r="T1800" s="7" t="str">
        <f>VLOOKUP(A1800,Sheet2!$A$2:$R$3432,17,0)</f>
        <v/>
      </c>
    </row>
    <row r="1801" ht="15.75" customHeight="1">
      <c r="A1801" s="3" t="s">
        <v>1824</v>
      </c>
      <c r="B1801" s="4" t="str">
        <f>VLOOKUP(A1801,Sheet2!$A$2:$R$3432,2,0)</f>
        <v>2025-03-02 19:36:31</v>
      </c>
      <c r="C1801" s="5" t="s">
        <v>25</v>
      </c>
      <c r="D1801" s="6" t="s">
        <v>25</v>
      </c>
      <c r="E1801" s="7">
        <f>VLOOKUP(A1801,Sheet2!$A$2:$R$3432,4,0)</f>
        <v>7264861807</v>
      </c>
      <c r="F1801" s="7" t="str">
        <f>VLOOKUP(A1801,Sheet2!$A$2:$R$3432,3,0)</f>
        <v>Manish Sonawane </v>
      </c>
      <c r="G1801" s="5" t="s">
        <v>25</v>
      </c>
      <c r="H1801" s="5" t="s">
        <v>25</v>
      </c>
      <c r="I1801" s="5" t="s">
        <v>25</v>
      </c>
      <c r="J1801" s="5" t="s">
        <v>25</v>
      </c>
      <c r="K1801" s="7" t="str">
        <f>VLOOKUP(A1801,Sheet2!$A$2:$R$3432,6,0)</f>
        <v>Honda Shine SP</v>
      </c>
      <c r="L1801" s="5" t="s">
        <v>25</v>
      </c>
      <c r="M1801" s="7" t="str">
        <f>VLOOKUP(A1801,Sheet2!$A$2:$R$3432,5,0)</f>
        <v>MH18BK9618</v>
      </c>
      <c r="N1801" s="5" t="s">
        <v>25</v>
      </c>
      <c r="O1801" s="5" t="s">
        <v>25</v>
      </c>
      <c r="P1801" s="6" t="s">
        <v>25</v>
      </c>
      <c r="Q1801" s="5" t="s">
        <v>25</v>
      </c>
      <c r="R1801" s="5" t="s">
        <v>25</v>
      </c>
      <c r="S1801" s="7" t="str">
        <f>VLOOKUP(A1801,Sheet2!$A$2:$R$3432,18,0)</f>
        <v/>
      </c>
      <c r="T1801" s="7" t="str">
        <f>VLOOKUP(A1801,Sheet2!$A$2:$R$3432,17,0)</f>
        <v/>
      </c>
    </row>
    <row r="1802" ht="15.75" customHeight="1">
      <c r="A1802" s="3" t="s">
        <v>1825</v>
      </c>
      <c r="B1802" s="4" t="str">
        <f>VLOOKUP(A1802,Sheet2!$A$2:$R$3432,2,0)</f>
        <v>2025-03-02 19:37:10</v>
      </c>
      <c r="C1802" s="5" t="s">
        <v>25</v>
      </c>
      <c r="D1802" s="6" t="s">
        <v>25</v>
      </c>
      <c r="E1802" s="7">
        <f>VLOOKUP(A1802,Sheet2!$A$2:$R$3432,4,0)</f>
        <v>9156299054</v>
      </c>
      <c r="F1802" s="7" t="str">
        <f>VLOOKUP(A1802,Sheet2!$A$2:$R$3432,3,0)</f>
        <v>TUSHAR BASAKARE</v>
      </c>
      <c r="G1802" s="5" t="s">
        <v>25</v>
      </c>
      <c r="H1802" s="5" t="s">
        <v>25</v>
      </c>
      <c r="I1802" s="5" t="s">
        <v>25</v>
      </c>
      <c r="J1802" s="5" t="s">
        <v>25</v>
      </c>
      <c r="K1802" s="7" t="str">
        <f>VLOOKUP(A1802,Sheet2!$A$2:$R$3432,6,0)</f>
        <v>TVS Apache RTR 200 4V</v>
      </c>
      <c r="L1802" s="5" t="s">
        <v>25</v>
      </c>
      <c r="M1802" s="7" t="str">
        <f>VLOOKUP(A1802,Sheet2!$A$2:$R$3432,5,0)</f>
        <v>MH13ED9451</v>
      </c>
      <c r="N1802" s="5" t="s">
        <v>25</v>
      </c>
      <c r="O1802" s="5" t="s">
        <v>25</v>
      </c>
      <c r="P1802" s="6" t="s">
        <v>25</v>
      </c>
      <c r="Q1802" s="5" t="s">
        <v>25</v>
      </c>
      <c r="R1802" s="5" t="s">
        <v>25</v>
      </c>
      <c r="S1802" s="7" t="str">
        <f>VLOOKUP(A1802,Sheet2!$A$2:$R$3432,18,0)</f>
        <v/>
      </c>
      <c r="T1802" s="7" t="str">
        <f>VLOOKUP(A1802,Sheet2!$A$2:$R$3432,17,0)</f>
        <v/>
      </c>
    </row>
    <row r="1803" ht="15.75" customHeight="1">
      <c r="A1803" s="3" t="s">
        <v>1826</v>
      </c>
      <c r="B1803" s="4" t="str">
        <f>VLOOKUP(A1803,Sheet2!$A$2:$R$3432,2,0)</f>
        <v>2025-03-02 19:37:38</v>
      </c>
      <c r="C1803" s="5" t="s">
        <v>25</v>
      </c>
      <c r="D1803" s="6" t="s">
        <v>25</v>
      </c>
      <c r="E1803" s="7">
        <f>VLOOKUP(A1803,Sheet2!$A$2:$R$3432,4,0)</f>
        <v>9146756498</v>
      </c>
      <c r="F1803" s="7" t="str">
        <f>VLOOKUP(A1803,Sheet2!$A$2:$R$3432,3,0)</f>
        <v>CHANDRANI GHOSAL</v>
      </c>
      <c r="G1803" s="5" t="s">
        <v>25</v>
      </c>
      <c r="H1803" s="5" t="s">
        <v>25</v>
      </c>
      <c r="I1803" s="5" t="s">
        <v>25</v>
      </c>
      <c r="J1803" s="5" t="s">
        <v>25</v>
      </c>
      <c r="K1803" s="7" t="str">
        <f>VLOOKUP(A1803,Sheet2!$A$2:$R$3432,6,0)</f>
        <v>TVS Jupiter </v>
      </c>
      <c r="L1803" s="5" t="s">
        <v>25</v>
      </c>
      <c r="M1803" s="7" t="str">
        <f>VLOOKUP(A1803,Sheet2!$A$2:$R$3432,5,0)</f>
        <v>MH14HS9107</v>
      </c>
      <c r="N1803" s="5" t="s">
        <v>25</v>
      </c>
      <c r="O1803" s="5" t="s">
        <v>25</v>
      </c>
      <c r="P1803" s="6" t="s">
        <v>25</v>
      </c>
      <c r="Q1803" s="5" t="s">
        <v>25</v>
      </c>
      <c r="R1803" s="5" t="s">
        <v>25</v>
      </c>
      <c r="S1803" s="7" t="str">
        <f>VLOOKUP(A1803,Sheet2!$A$2:$R$3432,18,0)</f>
        <v/>
      </c>
      <c r="T1803" s="7" t="str">
        <f>VLOOKUP(A1803,Sheet2!$A$2:$R$3432,17,0)</f>
        <v/>
      </c>
    </row>
    <row r="1804" ht="15.75" customHeight="1">
      <c r="A1804" s="3" t="s">
        <v>1827</v>
      </c>
      <c r="B1804" s="4" t="str">
        <f>VLOOKUP(A1804,Sheet2!$A$2:$R$3432,2,0)</f>
        <v>2025-03-02 19:41:12</v>
      </c>
      <c r="C1804" s="5" t="s">
        <v>25</v>
      </c>
      <c r="D1804" s="6" t="s">
        <v>25</v>
      </c>
      <c r="E1804" s="7">
        <f>VLOOKUP(A1804,Sheet2!$A$2:$R$3432,4,0)</f>
        <v>7840978199</v>
      </c>
      <c r="F1804" s="7" t="str">
        <f>VLOOKUP(A1804,Sheet2!$A$2:$R$3432,3,0)</f>
        <v>SHAILESH </v>
      </c>
      <c r="G1804" s="5" t="s">
        <v>25</v>
      </c>
      <c r="H1804" s="5" t="s">
        <v>25</v>
      </c>
      <c r="I1804" s="5" t="s">
        <v>25</v>
      </c>
      <c r="J1804" s="5" t="s">
        <v>25</v>
      </c>
      <c r="K1804" s="7" t="str">
        <f>VLOOKUP(A1804,Sheet2!$A$2:$R$3432,6,0)</f>
        <v>Bajaj Discover DTSi</v>
      </c>
      <c r="L1804" s="5" t="s">
        <v>25</v>
      </c>
      <c r="M1804" s="7" t="str">
        <f>VLOOKUP(A1804,Sheet2!$A$2:$R$3432,5,0)</f>
        <v>MH45K9039</v>
      </c>
      <c r="N1804" s="5" t="s">
        <v>25</v>
      </c>
      <c r="O1804" s="5" t="s">
        <v>25</v>
      </c>
      <c r="P1804" s="6" t="s">
        <v>25</v>
      </c>
      <c r="Q1804" s="5" t="s">
        <v>25</v>
      </c>
      <c r="R1804" s="5" t="s">
        <v>25</v>
      </c>
      <c r="S1804" s="5" t="str">
        <f>VLOOKUP(A1804,Sheet2!$A$2:$R$3432,18,0)</f>
        <v>JBMBTF22376</v>
      </c>
      <c r="T1804" s="7" t="str">
        <f>VLOOKUP(A1804,Sheet2!$A$2:$R$3432,17,0)</f>
        <v>MD2D5PAZTWF63145</v>
      </c>
    </row>
    <row r="1805" ht="15.75" customHeight="1">
      <c r="A1805" s="3" t="s">
        <v>1828</v>
      </c>
      <c r="B1805" s="4" t="str">
        <f>VLOOKUP(A1805,Sheet2!$A$2:$R$3432,2,0)</f>
        <v>2025-03-02 19:41:47</v>
      </c>
      <c r="C1805" s="5" t="s">
        <v>25</v>
      </c>
      <c r="D1805" s="6" t="s">
        <v>25</v>
      </c>
      <c r="E1805" s="7">
        <f>VLOOKUP(A1805,Sheet2!$A$2:$R$3432,4,0)</f>
        <v>9902518488</v>
      </c>
      <c r="F1805" s="7" t="str">
        <f>VLOOKUP(A1805,Sheet2!$A$2:$R$3432,3,0)</f>
        <v>Regwin</v>
      </c>
      <c r="G1805" s="5" t="s">
        <v>25</v>
      </c>
      <c r="H1805" s="5" t="s">
        <v>25</v>
      </c>
      <c r="I1805" s="5" t="s">
        <v>25</v>
      </c>
      <c r="J1805" s="5" t="s">
        <v>25</v>
      </c>
      <c r="K1805" s="7" t="str">
        <f>VLOOKUP(A1805,Sheet2!$A$2:$R$3432,6,0)</f>
        <v>Honda Activa 110</v>
      </c>
      <c r="L1805" s="5" t="s">
        <v>25</v>
      </c>
      <c r="M1805" s="7" t="str">
        <f>VLOOKUP(A1805,Sheet2!$A$2:$R$3432,5,0)</f>
        <v>MH14FJ5716</v>
      </c>
      <c r="N1805" s="5" t="s">
        <v>25</v>
      </c>
      <c r="O1805" s="5" t="s">
        <v>25</v>
      </c>
      <c r="P1805" s="6" t="s">
        <v>25</v>
      </c>
      <c r="Q1805" s="5" t="s">
        <v>25</v>
      </c>
      <c r="R1805" s="5" t="s">
        <v>25</v>
      </c>
      <c r="S1805" s="5" t="str">
        <f>VLOOKUP(A1805,Sheet2!$A$2:$R$3432,18,0)</f>
        <v>JF50ET2986163</v>
      </c>
      <c r="T1805" s="7" t="str">
        <f>VLOOKUP(A1805,Sheet2!$A$2:$R$3432,17,0)</f>
        <v>ME4JF504LFT985888</v>
      </c>
    </row>
    <row r="1806" ht="15.75" customHeight="1">
      <c r="A1806" s="3" t="s">
        <v>1829</v>
      </c>
      <c r="B1806" s="4" t="str">
        <f>VLOOKUP(A1806,Sheet2!$A$2:$R$3432,2,0)</f>
        <v>2025-03-02 19:42:26</v>
      </c>
      <c r="C1806" s="5" t="s">
        <v>25</v>
      </c>
      <c r="D1806" s="6" t="s">
        <v>25</v>
      </c>
      <c r="E1806" s="7">
        <f>VLOOKUP(A1806,Sheet2!$A$2:$R$3432,4,0)</f>
        <v>9765559057</v>
      </c>
      <c r="F1806" s="7" t="str">
        <f>VLOOKUP(A1806,Sheet2!$A$2:$R$3432,3,0)</f>
        <v>PARAG </v>
      </c>
      <c r="G1806" s="5" t="s">
        <v>25</v>
      </c>
      <c r="H1806" s="5" t="s">
        <v>25</v>
      </c>
      <c r="I1806" s="5" t="s">
        <v>25</v>
      </c>
      <c r="J1806" s="5" t="s">
        <v>25</v>
      </c>
      <c r="K1806" s="7" t="str">
        <f>VLOOKUP(A1806,Sheet2!$A$2:$R$3432,6,0)</f>
        <v>Honda Activa 110</v>
      </c>
      <c r="L1806" s="5" t="s">
        <v>25</v>
      </c>
      <c r="M1806" s="7" t="str">
        <f>VLOOKUP(A1806,Sheet2!$A$2:$R$3432,5,0)</f>
        <v>MH14CA9718</v>
      </c>
      <c r="N1806" s="5" t="s">
        <v>25</v>
      </c>
      <c r="O1806" s="5" t="s">
        <v>25</v>
      </c>
      <c r="P1806" s="6" t="s">
        <v>25</v>
      </c>
      <c r="Q1806" s="5" t="s">
        <v>25</v>
      </c>
      <c r="R1806" s="5" t="s">
        <v>25</v>
      </c>
      <c r="S1806" s="7" t="str">
        <f>VLOOKUP(A1806,Sheet2!$A$2:$R$3432,18,0)</f>
        <v/>
      </c>
      <c r="T1806" s="7" t="str">
        <f>VLOOKUP(A1806,Sheet2!$A$2:$R$3432,17,0)</f>
        <v/>
      </c>
    </row>
    <row r="1807" ht="15.75" customHeight="1">
      <c r="A1807" s="3" t="s">
        <v>1830</v>
      </c>
      <c r="B1807" s="4" t="str">
        <f>VLOOKUP(A1807,Sheet2!$A$2:$R$3432,2,0)</f>
        <v>2025-03-02 19:53:08</v>
      </c>
      <c r="C1807" s="5" t="s">
        <v>25</v>
      </c>
      <c r="D1807" s="6" t="s">
        <v>25</v>
      </c>
      <c r="E1807" s="7">
        <f>VLOOKUP(A1807,Sheet2!$A$2:$R$3432,4,0)</f>
        <v>7875600029</v>
      </c>
      <c r="F1807" s="7" t="str">
        <f>VLOOKUP(A1807,Sheet2!$A$2:$R$3432,3,0)</f>
        <v>Nitish Singh</v>
      </c>
      <c r="G1807" s="5" t="s">
        <v>25</v>
      </c>
      <c r="H1807" s="5" t="s">
        <v>25</v>
      </c>
      <c r="I1807" s="5" t="s">
        <v>25</v>
      </c>
      <c r="J1807" s="5" t="s">
        <v>25</v>
      </c>
      <c r="K1807" s="7" t="str">
        <f>VLOOKUP(A1807,Sheet2!$A$2:$R$3432,6,0)</f>
        <v>Suzuki Access </v>
      </c>
      <c r="L1807" s="5" t="s">
        <v>25</v>
      </c>
      <c r="M1807" s="7" t="str">
        <f>VLOOKUP(A1807,Sheet2!$A$2:$R$3432,5,0)</f>
        <v>MH14CA9322</v>
      </c>
      <c r="N1807" s="5" t="s">
        <v>25</v>
      </c>
      <c r="O1807" s="5" t="s">
        <v>25</v>
      </c>
      <c r="P1807" s="6" t="s">
        <v>25</v>
      </c>
      <c r="Q1807" s="5" t="s">
        <v>25</v>
      </c>
      <c r="R1807" s="5" t="s">
        <v>25</v>
      </c>
      <c r="S1807" s="5" t="str">
        <f>VLOOKUP(A1807,Sheet2!$A$2:$R$3432,18,0)</f>
        <v>E186347539</v>
      </c>
      <c r="T1807" s="7" t="str">
        <f>VLOOKUP(A1807,Sheet2!$A$2:$R$3432,17,0)</f>
        <v>MB8CF4CACA8112258</v>
      </c>
    </row>
    <row r="1808" ht="15.75" customHeight="1">
      <c r="A1808" s="3" t="s">
        <v>1831</v>
      </c>
      <c r="B1808" s="4" t="str">
        <f>VLOOKUP(A1808,Sheet2!$A$2:$R$3432,2,0)</f>
        <v>2025-03-02 20:01:40</v>
      </c>
      <c r="C1808" s="5" t="s">
        <v>25</v>
      </c>
      <c r="D1808" s="6" t="s">
        <v>25</v>
      </c>
      <c r="E1808" s="7">
        <f>VLOOKUP(A1808,Sheet2!$A$2:$R$3432,4,0)</f>
        <v>8767880915</v>
      </c>
      <c r="F1808" s="7" t="str">
        <f>VLOOKUP(A1808,Sheet2!$A$2:$R$3432,3,0)</f>
        <v>Aishwarya </v>
      </c>
      <c r="G1808" s="5" t="s">
        <v>25</v>
      </c>
      <c r="H1808" s="5" t="s">
        <v>25</v>
      </c>
      <c r="I1808" s="5" t="s">
        <v>25</v>
      </c>
      <c r="J1808" s="5" t="s">
        <v>25</v>
      </c>
      <c r="K1808" s="7" t="str">
        <f>VLOOKUP(A1808,Sheet2!$A$2:$R$3432,6,0)</f>
        <v>Honda Activa i</v>
      </c>
      <c r="L1808" s="5" t="s">
        <v>25</v>
      </c>
      <c r="M1808" s="7" t="str">
        <f>VLOOKUP(A1808,Sheet2!$A$2:$R$3432,5,0)</f>
        <v>MH50E4315</v>
      </c>
      <c r="N1808" s="5" t="s">
        <v>25</v>
      </c>
      <c r="O1808" s="5" t="s">
        <v>25</v>
      </c>
      <c r="P1808" s="6" t="s">
        <v>25</v>
      </c>
      <c r="Q1808" s="5" t="s">
        <v>25</v>
      </c>
      <c r="R1808" s="5" t="s">
        <v>25</v>
      </c>
      <c r="S1808" s="7" t="str">
        <f>VLOOKUP(A1808,Sheet2!$A$2:$R$3432,18,0)</f>
        <v/>
      </c>
      <c r="T1808" s="7" t="str">
        <f>VLOOKUP(A1808,Sheet2!$A$2:$R$3432,17,0)</f>
        <v/>
      </c>
    </row>
    <row r="1809" ht="15.75" customHeight="1">
      <c r="A1809" s="3" t="s">
        <v>1832</v>
      </c>
      <c r="B1809" s="4" t="str">
        <f>VLOOKUP(A1809,Sheet2!$A$2:$R$3432,2,0)</f>
        <v>2025-03-02 20:11:30</v>
      </c>
      <c r="C1809" s="5" t="s">
        <v>25</v>
      </c>
      <c r="D1809" s="6" t="s">
        <v>25</v>
      </c>
      <c r="E1809" s="7">
        <f>VLOOKUP(A1809,Sheet2!$A$2:$R$3432,4,0)</f>
        <v>9960896345</v>
      </c>
      <c r="F1809" s="7" t="str">
        <f>VLOOKUP(A1809,Sheet2!$A$2:$R$3432,3,0)</f>
        <v>Vaishali Deshmukh</v>
      </c>
      <c r="G1809" s="5" t="s">
        <v>25</v>
      </c>
      <c r="H1809" s="5" t="s">
        <v>25</v>
      </c>
      <c r="I1809" s="5" t="s">
        <v>25</v>
      </c>
      <c r="J1809" s="5" t="s">
        <v>25</v>
      </c>
      <c r="K1809" s="7" t="str">
        <f>VLOOKUP(A1809,Sheet2!$A$2:$R$3432,6,0)</f>
        <v>Honda Activa 3G</v>
      </c>
      <c r="L1809" s="5" t="s">
        <v>25</v>
      </c>
      <c r="M1809" s="7" t="str">
        <f>VLOOKUP(A1809,Sheet2!$A$2:$R$3432,5,0)</f>
        <v>MH24AL6078</v>
      </c>
      <c r="N1809" s="5" t="s">
        <v>25</v>
      </c>
      <c r="O1809" s="5" t="s">
        <v>25</v>
      </c>
      <c r="P1809" s="6" t="s">
        <v>25</v>
      </c>
      <c r="Q1809" s="5" t="s">
        <v>25</v>
      </c>
      <c r="R1809" s="5" t="s">
        <v>25</v>
      </c>
      <c r="S1809" s="7" t="str">
        <f>VLOOKUP(A1809,Sheet2!$A$2:$R$3432,18,0)</f>
        <v/>
      </c>
      <c r="T1809" s="7" t="str">
        <f>VLOOKUP(A1809,Sheet2!$A$2:$R$3432,17,0)</f>
        <v>ME4JF504FF7166966</v>
      </c>
    </row>
    <row r="1810" ht="15.75" customHeight="1">
      <c r="A1810" s="3" t="s">
        <v>1833</v>
      </c>
      <c r="B1810" s="4" t="str">
        <f>VLOOKUP(A1810,Sheet2!$A$2:$R$3432,2,0)</f>
        <v>2024-08-05 20:28:20</v>
      </c>
      <c r="C1810" s="5" t="s">
        <v>25</v>
      </c>
      <c r="D1810" s="6" t="s">
        <v>25</v>
      </c>
      <c r="E1810" s="7">
        <f>VLOOKUP(A1810,Sheet2!$A$2:$R$3432,4,0)</f>
        <v>8754474123</v>
      </c>
      <c r="F1810" s="7" t="str">
        <f>VLOOKUP(A1810,Sheet2!$A$2:$R$3432,3,0)</f>
        <v>Rajeev </v>
      </c>
      <c r="G1810" s="5" t="s">
        <v>25</v>
      </c>
      <c r="H1810" s="5" t="s">
        <v>25</v>
      </c>
      <c r="I1810" s="5" t="s">
        <v>25</v>
      </c>
      <c r="J1810" s="5" t="s">
        <v>25</v>
      </c>
      <c r="K1810" s="7" t="str">
        <f>VLOOKUP(A1810,Sheet2!$A$2:$R$3432,6,0)</f>
        <v>Honda Activa 6G</v>
      </c>
      <c r="L1810" s="5" t="s">
        <v>25</v>
      </c>
      <c r="M1810" s="7" t="str">
        <f>VLOOKUP(A1810,Sheet2!$A$2:$R$3432,5,0)</f>
        <v>TN02BT9682</v>
      </c>
      <c r="N1810" s="5" t="s">
        <v>25</v>
      </c>
      <c r="O1810" s="5" t="s">
        <v>25</v>
      </c>
      <c r="P1810" s="6" t="s">
        <v>25</v>
      </c>
      <c r="Q1810" s="5" t="s">
        <v>25</v>
      </c>
      <c r="R1810" s="5" t="s">
        <v>25</v>
      </c>
      <c r="S1810" s="5" t="str">
        <f>VLOOKUP(A1810,Sheet2!$A$2:$R$3432,18,0)</f>
        <v>JF91EG1384989</v>
      </c>
      <c r="T1810" s="7" t="str">
        <f>VLOOKUP(A1810,Sheet2!$A$2:$R$3432,17,0)</f>
        <v>ME4JF9148MG386019N</v>
      </c>
    </row>
    <row r="1811" ht="15.75" customHeight="1">
      <c r="A1811" s="3" t="s">
        <v>1834</v>
      </c>
      <c r="B1811" s="4" t="str">
        <f>VLOOKUP(A1811,Sheet2!$A$2:$R$3432,2,0)</f>
        <v>2024-08-05 10:30:15</v>
      </c>
      <c r="C1811" s="5" t="s">
        <v>25</v>
      </c>
      <c r="D1811" s="6" t="s">
        <v>25</v>
      </c>
      <c r="E1811" s="7">
        <f>VLOOKUP(A1811,Sheet2!$A$2:$R$3432,4,0)</f>
        <v>9881634714</v>
      </c>
      <c r="F1811" s="7" t="str">
        <f>VLOOKUP(A1811,Sheet2!$A$2:$R$3432,3,0)</f>
        <v>Parshuram Sable</v>
      </c>
      <c r="G1811" s="5" t="s">
        <v>25</v>
      </c>
      <c r="H1811" s="5" t="s">
        <v>25</v>
      </c>
      <c r="I1811" s="5" t="s">
        <v>25</v>
      </c>
      <c r="J1811" s="5" t="s">
        <v>25</v>
      </c>
      <c r="K1811" s="7" t="str">
        <f>VLOOKUP(A1811,Sheet2!$A$2:$R$3432,6,0)</f>
        <v>Honda Twister </v>
      </c>
      <c r="L1811" s="5" t="s">
        <v>25</v>
      </c>
      <c r="M1811" s="7" t="str">
        <f>VLOOKUP(A1811,Sheet2!$A$2:$R$3432,5,0)</f>
        <v>MH12GW7642</v>
      </c>
      <c r="N1811" s="5" t="s">
        <v>25</v>
      </c>
      <c r="O1811" s="5" t="s">
        <v>25</v>
      </c>
      <c r="P1811" s="6" t="s">
        <v>25</v>
      </c>
      <c r="Q1811" s="5" t="s">
        <v>25</v>
      </c>
      <c r="R1811" s="5" t="s">
        <v>25</v>
      </c>
      <c r="S1811" s="5" t="str">
        <f>VLOOKUP(A1811,Sheet2!$A$2:$R$3432,18,0)</f>
        <v>JC47F0154763</v>
      </c>
      <c r="T1811" s="7" t="str">
        <f>VLOOKUP(A1811,Sheet2!$A$2:$R$3432,17,0)</f>
        <v>ME4JC472AB8099329</v>
      </c>
    </row>
    <row r="1812" ht="15.75" customHeight="1">
      <c r="A1812" s="3" t="s">
        <v>1835</v>
      </c>
      <c r="B1812" s="4" t="str">
        <f>VLOOKUP(A1812,Sheet2!$A$2:$R$3432,2,0)</f>
        <v>2024-08-05 10:31:30</v>
      </c>
      <c r="C1812" s="5" t="s">
        <v>25</v>
      </c>
      <c r="D1812" s="6" t="s">
        <v>25</v>
      </c>
      <c r="E1812" s="7">
        <f>VLOOKUP(A1812,Sheet2!$A$2:$R$3432,4,0)</f>
        <v>8308790289</v>
      </c>
      <c r="F1812" s="7" t="str">
        <f>VLOOKUP(A1812,Sheet2!$A$2:$R$3432,3,0)</f>
        <v>Sarvesh Kulkarni </v>
      </c>
      <c r="G1812" s="5" t="s">
        <v>25</v>
      </c>
      <c r="H1812" s="5" t="s">
        <v>25</v>
      </c>
      <c r="I1812" s="5" t="s">
        <v>25</v>
      </c>
      <c r="J1812" s="5" t="s">
        <v>25</v>
      </c>
      <c r="K1812" s="7" t="str">
        <f>VLOOKUP(A1812,Sheet2!$A$2:$R$3432,6,0)</f>
        <v>Hero Xpulse 200</v>
      </c>
      <c r="L1812" s="5" t="s">
        <v>25</v>
      </c>
      <c r="M1812" s="7" t="str">
        <f>VLOOKUP(A1812,Sheet2!$A$2:$R$3432,5,0)</f>
        <v>MH15JG6089</v>
      </c>
      <c r="N1812" s="5" t="s">
        <v>25</v>
      </c>
      <c r="O1812" s="5" t="s">
        <v>25</v>
      </c>
      <c r="P1812" s="6" t="s">
        <v>25</v>
      </c>
      <c r="Q1812" s="5" t="s">
        <v>25</v>
      </c>
      <c r="R1812" s="5" t="s">
        <v>25</v>
      </c>
      <c r="S1812" s="7" t="str">
        <f>VLOOKUP(A1812,Sheet2!$A$2:$R$3432,18,0)</f>
        <v/>
      </c>
      <c r="T1812" s="7" t="str">
        <f>VLOOKUP(A1812,Sheet2!$A$2:$R$3432,17,0)</f>
        <v/>
      </c>
    </row>
    <row r="1813" ht="15.75" customHeight="1">
      <c r="A1813" s="3" t="s">
        <v>1836</v>
      </c>
      <c r="B1813" s="4" t="str">
        <f>VLOOKUP(A1813,Sheet2!$A$2:$R$3432,2,0)</f>
        <v>2024-08-05 20:21:46</v>
      </c>
      <c r="C1813" s="5" t="s">
        <v>25</v>
      </c>
      <c r="D1813" s="6" t="s">
        <v>25</v>
      </c>
      <c r="E1813" s="7">
        <f>VLOOKUP(A1813,Sheet2!$A$2:$R$3432,4,0)</f>
        <v>7972474197</v>
      </c>
      <c r="F1813" s="7" t="str">
        <f>VLOOKUP(A1813,Sheet2!$A$2:$R$3432,3,0)</f>
        <v>MORESHWAR JOSHI</v>
      </c>
      <c r="G1813" s="5" t="s">
        <v>25</v>
      </c>
      <c r="H1813" s="5" t="s">
        <v>25</v>
      </c>
      <c r="I1813" s="5" t="s">
        <v>25</v>
      </c>
      <c r="J1813" s="5" t="s">
        <v>25</v>
      </c>
      <c r="K1813" s="7" t="str">
        <f>VLOOKUP(A1813,Sheet2!$A$2:$R$3432,6,0)</f>
        <v>Honda Activa 6G</v>
      </c>
      <c r="L1813" s="5" t="s">
        <v>25</v>
      </c>
      <c r="M1813" s="7" t="str">
        <f>VLOOKUP(A1813,Sheet2!$A$2:$R$3432,5,0)</f>
        <v>MH18BW6018</v>
      </c>
      <c r="N1813" s="5" t="s">
        <v>25</v>
      </c>
      <c r="O1813" s="5" t="s">
        <v>25</v>
      </c>
      <c r="P1813" s="6" t="s">
        <v>25</v>
      </c>
      <c r="Q1813" s="5" t="s">
        <v>25</v>
      </c>
      <c r="R1813" s="5" t="s">
        <v>25</v>
      </c>
      <c r="S1813" s="5" t="str">
        <f>VLOOKUP(A1813,Sheet2!$A$2:$R$3432,18,0)</f>
        <v>JF91EW7158971</v>
      </c>
      <c r="T1813" s="7" t="str">
        <f>VLOOKUP(A1813,Sheet2!$A$2:$R$3432,17,0)</f>
        <v>ME4JF91ADNW158934</v>
      </c>
    </row>
    <row r="1814" ht="15.75" customHeight="1">
      <c r="A1814" s="3" t="s">
        <v>1837</v>
      </c>
      <c r="B1814" s="4" t="str">
        <f>VLOOKUP(A1814,Sheet2!$A$2:$R$3432,2,0)</f>
        <v>2024-08-05 20:23:53</v>
      </c>
      <c r="C1814" s="5" t="s">
        <v>25</v>
      </c>
      <c r="D1814" s="6" t="s">
        <v>25</v>
      </c>
      <c r="E1814" s="7">
        <f>VLOOKUP(A1814,Sheet2!$A$2:$R$3432,4,0)</f>
        <v>7821006066</v>
      </c>
      <c r="F1814" s="7" t="str">
        <f>VLOOKUP(A1814,Sheet2!$A$2:$R$3432,3,0)</f>
        <v>ABHISHEK CHABUKSSWAR</v>
      </c>
      <c r="G1814" s="5" t="s">
        <v>25</v>
      </c>
      <c r="H1814" s="5" t="s">
        <v>25</v>
      </c>
      <c r="I1814" s="5" t="s">
        <v>25</v>
      </c>
      <c r="J1814" s="5" t="s">
        <v>25</v>
      </c>
      <c r="K1814" s="7" t="str">
        <f>VLOOKUP(A1814,Sheet2!$A$2:$R$3432,6,0)</f>
        <v>Piaggio Vespa </v>
      </c>
      <c r="L1814" s="5" t="s">
        <v>25</v>
      </c>
      <c r="M1814" s="7" t="str">
        <f>VLOOKUP(A1814,Sheet2!$A$2:$R$3432,5,0)</f>
        <v>MH14FQ5444</v>
      </c>
      <c r="N1814" s="5" t="s">
        <v>25</v>
      </c>
      <c r="O1814" s="5" t="s">
        <v>25</v>
      </c>
      <c r="P1814" s="6" t="s">
        <v>25</v>
      </c>
      <c r="Q1814" s="5" t="s">
        <v>25</v>
      </c>
      <c r="R1814" s="5" t="s">
        <v>25</v>
      </c>
      <c r="S1814" s="5" t="str">
        <f>VLOOKUP(A1814,Sheet2!$A$2:$R$3432,18,0)</f>
        <v>M4191151242424</v>
      </c>
      <c r="T1814" s="7" t="str">
        <f>VLOOKUP(A1814,Sheet2!$A$2:$R$3432,17,0)</f>
        <v>ME10900EAU0004946</v>
      </c>
    </row>
    <row r="1815" ht="15.75" customHeight="1">
      <c r="A1815" s="3" t="s">
        <v>1838</v>
      </c>
      <c r="B1815" s="4" t="str">
        <f>VLOOKUP(A1815,Sheet2!$A$2:$R$3432,2,0)</f>
        <v>2024-08-05 20:26:44</v>
      </c>
      <c r="C1815" s="5" t="s">
        <v>25</v>
      </c>
      <c r="D1815" s="6" t="s">
        <v>25</v>
      </c>
      <c r="E1815" s="7">
        <f>VLOOKUP(A1815,Sheet2!$A$2:$R$3432,4,0)</f>
        <v>9860475700</v>
      </c>
      <c r="F1815" s="7" t="str">
        <f>VLOOKUP(A1815,Sheet2!$A$2:$R$3432,3,0)</f>
        <v>Ajay More</v>
      </c>
      <c r="G1815" s="5" t="s">
        <v>25</v>
      </c>
      <c r="H1815" s="5" t="s">
        <v>25</v>
      </c>
      <c r="I1815" s="5" t="s">
        <v>25</v>
      </c>
      <c r="J1815" s="5" t="s">
        <v>25</v>
      </c>
      <c r="K1815" s="7" t="str">
        <f>VLOOKUP(A1815,Sheet2!$A$2:$R$3432,6,0)</f>
        <v>TVS Jupiter </v>
      </c>
      <c r="L1815" s="5" t="s">
        <v>25</v>
      </c>
      <c r="M1815" s="7" t="str">
        <f>VLOOKUP(A1815,Sheet2!$A$2:$R$3432,5,0)</f>
        <v>MH14GG0514</v>
      </c>
      <c r="N1815" s="5" t="s">
        <v>25</v>
      </c>
      <c r="O1815" s="5" t="s">
        <v>25</v>
      </c>
      <c r="P1815" s="6" t="s">
        <v>25</v>
      </c>
      <c r="Q1815" s="5" t="s">
        <v>25</v>
      </c>
      <c r="R1815" s="5" t="s">
        <v>25</v>
      </c>
      <c r="S1815" s="7" t="str">
        <f>VLOOKUP(A1815,Sheet2!$A$2:$R$3432,18,0)</f>
        <v/>
      </c>
      <c r="T1815" s="7" t="str">
        <f>VLOOKUP(A1815,Sheet2!$A$2:$R$3432,17,0)</f>
        <v>MD626EG49H1B33597</v>
      </c>
    </row>
    <row r="1816" ht="15.75" customHeight="1">
      <c r="A1816" s="3" t="s">
        <v>1839</v>
      </c>
      <c r="B1816" s="4" t="str">
        <f>VLOOKUP(A1816,Sheet2!$A$2:$R$3432,2,0)</f>
        <v>2024-08-05 20:29:20</v>
      </c>
      <c r="C1816" s="5" t="s">
        <v>25</v>
      </c>
      <c r="D1816" s="6" t="s">
        <v>25</v>
      </c>
      <c r="E1816" s="7">
        <f>VLOOKUP(A1816,Sheet2!$A$2:$R$3432,4,0)</f>
        <v>8805189957</v>
      </c>
      <c r="F1816" s="7" t="str">
        <f>VLOOKUP(A1816,Sheet2!$A$2:$R$3432,3,0)</f>
        <v>RITESH PATIL</v>
      </c>
      <c r="G1816" s="5" t="s">
        <v>25</v>
      </c>
      <c r="H1816" s="5" t="s">
        <v>25</v>
      </c>
      <c r="I1816" s="5" t="s">
        <v>25</v>
      </c>
      <c r="J1816" s="5" t="s">
        <v>25</v>
      </c>
      <c r="K1816" s="7" t="str">
        <f>VLOOKUP(A1816,Sheet2!$A$2:$R$3432,6,0)</f>
        <v>Bajaj Discover 100</v>
      </c>
      <c r="L1816" s="5" t="s">
        <v>25</v>
      </c>
      <c r="M1816" s="7" t="str">
        <f>VLOOKUP(A1816,Sheet2!$A$2:$R$3432,5,0)</f>
        <v>MH39M5625</v>
      </c>
      <c r="N1816" s="5" t="s">
        <v>25</v>
      </c>
      <c r="O1816" s="5" t="s">
        <v>25</v>
      </c>
      <c r="P1816" s="6" t="s">
        <v>25</v>
      </c>
      <c r="Q1816" s="5" t="s">
        <v>25</v>
      </c>
      <c r="R1816" s="5" t="s">
        <v>25</v>
      </c>
      <c r="S1816" s="7" t="str">
        <f>VLOOKUP(A1816,Sheet2!$A$2:$R$3432,18,0)</f>
        <v/>
      </c>
      <c r="T1816" s="7" t="str">
        <f>VLOOKUP(A1816,Sheet2!$A$2:$R$3432,17,0)</f>
        <v/>
      </c>
    </row>
    <row r="1817" ht="15.75" customHeight="1">
      <c r="A1817" s="3" t="s">
        <v>1840</v>
      </c>
      <c r="B1817" s="4" t="str">
        <f>VLOOKUP(A1817,Sheet2!$A$2:$R$3432,2,0)</f>
        <v>2024-08-05 20:29:01</v>
      </c>
      <c r="C1817" s="5" t="s">
        <v>25</v>
      </c>
      <c r="D1817" s="6" t="s">
        <v>25</v>
      </c>
      <c r="E1817" s="7">
        <f>VLOOKUP(A1817,Sheet2!$A$2:$R$3432,4,0)</f>
        <v>9923067611</v>
      </c>
      <c r="F1817" s="7" t="str">
        <f>VLOOKUP(A1817,Sheet2!$A$2:$R$3432,3,0)</f>
        <v>RAHUL JADHAV</v>
      </c>
      <c r="G1817" s="5" t="s">
        <v>25</v>
      </c>
      <c r="H1817" s="5" t="s">
        <v>25</v>
      </c>
      <c r="I1817" s="5" t="s">
        <v>25</v>
      </c>
      <c r="J1817" s="5" t="s">
        <v>25</v>
      </c>
      <c r="K1817" s="7" t="str">
        <f>VLOOKUP(A1817,Sheet2!$A$2:$R$3432,6,0)</f>
        <v>Honda SP 125 Drum</v>
      </c>
      <c r="L1817" s="5" t="s">
        <v>25</v>
      </c>
      <c r="M1817" s="7" t="str">
        <f>VLOOKUP(A1817,Sheet2!$A$2:$R$3432,5,0)</f>
        <v>MH28BR5991</v>
      </c>
      <c r="N1817" s="5" t="s">
        <v>25</v>
      </c>
      <c r="O1817" s="5" t="s">
        <v>25</v>
      </c>
      <c r="P1817" s="6" t="s">
        <v>25</v>
      </c>
      <c r="Q1817" s="5" t="s">
        <v>25</v>
      </c>
      <c r="R1817" s="5" t="s">
        <v>25</v>
      </c>
      <c r="S1817" s="7" t="str">
        <f>VLOOKUP(A1817,Sheet2!$A$2:$R$3432,18,0)</f>
        <v/>
      </c>
      <c r="T1817" s="7" t="str">
        <f>VLOOKUP(A1817,Sheet2!$A$2:$R$3432,17,0)</f>
        <v/>
      </c>
    </row>
    <row r="1818" ht="15.75" customHeight="1">
      <c r="A1818" s="3" t="s">
        <v>1841</v>
      </c>
      <c r="B1818" s="4" t="str">
        <f>VLOOKUP(A1818,Sheet2!$A$2:$R$3432,2,0)</f>
        <v>2024-08-05 20:31:08</v>
      </c>
      <c r="C1818" s="5" t="s">
        <v>25</v>
      </c>
      <c r="D1818" s="6" t="s">
        <v>25</v>
      </c>
      <c r="E1818" s="7">
        <f>VLOOKUP(A1818,Sheet2!$A$2:$R$3432,4,0)</f>
        <v>8087987588</v>
      </c>
      <c r="F1818" s="7" t="str">
        <f>VLOOKUP(A1818,Sheet2!$A$2:$R$3432,3,0)</f>
        <v>VAIBHAV GAIKWAD </v>
      </c>
      <c r="G1818" s="5" t="s">
        <v>25</v>
      </c>
      <c r="H1818" s="5" t="s">
        <v>25</v>
      </c>
      <c r="I1818" s="5" t="s">
        <v>25</v>
      </c>
      <c r="J1818" s="5" t="s">
        <v>25</v>
      </c>
      <c r="K1818" s="7" t="str">
        <f>VLOOKUP(A1818,Sheet2!$A$2:$R$3432,6,0)</f>
        <v>TVS Jupiter </v>
      </c>
      <c r="L1818" s="5" t="s">
        <v>25</v>
      </c>
      <c r="M1818" s="7" t="str">
        <f>VLOOKUP(A1818,Sheet2!$A$2:$R$3432,5,0)</f>
        <v>MH28AM5004</v>
      </c>
      <c r="N1818" s="5" t="s">
        <v>25</v>
      </c>
      <c r="O1818" s="5" t="s">
        <v>25</v>
      </c>
      <c r="P1818" s="6" t="s">
        <v>25</v>
      </c>
      <c r="Q1818" s="5" t="s">
        <v>25</v>
      </c>
      <c r="R1818" s="5" t="s">
        <v>25</v>
      </c>
      <c r="S1818" s="5" t="str">
        <f>VLOOKUP(A1818,Sheet2!$A$2:$R$3432,18,0)</f>
        <v>BG4AF1417207</v>
      </c>
      <c r="T1818" s="7" t="str">
        <f>VLOOKUP(A1818,Sheet2!$A$2:$R$3432,17,0)</f>
        <v>MD626BG43FAA25923</v>
      </c>
    </row>
    <row r="1819" ht="15.75" customHeight="1">
      <c r="A1819" s="3" t="s">
        <v>1842</v>
      </c>
      <c r="B1819" s="4" t="str">
        <f>VLOOKUP(A1819,Sheet2!$A$2:$R$3432,2,0)</f>
        <v>2024-11-06 20:44:46</v>
      </c>
      <c r="C1819" s="5" t="s">
        <v>25</v>
      </c>
      <c r="D1819" s="6" t="s">
        <v>25</v>
      </c>
      <c r="E1819" s="7">
        <f>VLOOKUP(A1819,Sheet2!$A$2:$R$3432,4,0)</f>
        <v>9822414248</v>
      </c>
      <c r="F1819" s="7" t="str">
        <f>VLOOKUP(A1819,Sheet2!$A$2:$R$3432,3,0)</f>
        <v>RAKESH </v>
      </c>
      <c r="G1819" s="5" t="s">
        <v>25</v>
      </c>
      <c r="H1819" s="5" t="s">
        <v>25</v>
      </c>
      <c r="I1819" s="5" t="s">
        <v>25</v>
      </c>
      <c r="J1819" s="5" t="s">
        <v>25</v>
      </c>
      <c r="K1819" s="7" t="str">
        <f>VLOOKUP(A1819,Sheet2!$A$2:$R$3432,6,0)</f>
        <v>TVS Scooty Streak</v>
      </c>
      <c r="L1819" s="5" t="s">
        <v>25</v>
      </c>
      <c r="M1819" s="7" t="str">
        <f>VLOOKUP(A1819,Sheet2!$A$2:$R$3432,5,0)</f>
        <v>MH14CN6925</v>
      </c>
      <c r="N1819" s="5" t="s">
        <v>25</v>
      </c>
      <c r="O1819" s="5" t="s">
        <v>25</v>
      </c>
      <c r="P1819" s="6" t="s">
        <v>25</v>
      </c>
      <c r="Q1819" s="5" t="s">
        <v>25</v>
      </c>
      <c r="R1819" s="5" t="s">
        <v>25</v>
      </c>
      <c r="S1819" s="7" t="str">
        <f>VLOOKUP(A1819,Sheet2!$A$2:$R$3432,18,0)</f>
        <v/>
      </c>
      <c r="T1819" s="7" t="str">
        <f>VLOOKUP(A1819,Sheet2!$A$2:$R$3432,17,0)</f>
        <v/>
      </c>
    </row>
    <row r="1820" ht="15.75" customHeight="1">
      <c r="A1820" s="3" t="s">
        <v>1843</v>
      </c>
      <c r="B1820" s="4" t="str">
        <f>VLOOKUP(A1820,Sheet2!$A$2:$R$3432,2,0)</f>
        <v>2024-11-06 20:50:52</v>
      </c>
      <c r="C1820" s="5" t="s">
        <v>25</v>
      </c>
      <c r="D1820" s="6" t="s">
        <v>25</v>
      </c>
      <c r="E1820" s="7">
        <f>VLOOKUP(A1820,Sheet2!$A$2:$R$3432,4,0)</f>
        <v>9922941980</v>
      </c>
      <c r="F1820" s="7" t="str">
        <f>VLOOKUP(A1820,Sheet2!$A$2:$R$3432,3,0)</f>
        <v>Anil</v>
      </c>
      <c r="G1820" s="5" t="s">
        <v>25</v>
      </c>
      <c r="H1820" s="5" t="s">
        <v>25</v>
      </c>
      <c r="I1820" s="5" t="s">
        <v>25</v>
      </c>
      <c r="J1820" s="5" t="s">
        <v>25</v>
      </c>
      <c r="K1820" s="7" t="str">
        <f>VLOOKUP(A1820,Sheet2!$A$2:$R$3432,6,0)</f>
        <v>TVS Jupiter </v>
      </c>
      <c r="L1820" s="5" t="s">
        <v>25</v>
      </c>
      <c r="M1820" s="7" t="str">
        <f>VLOOKUP(A1820,Sheet2!$A$2:$R$3432,5,0)</f>
        <v>MH14ET4935</v>
      </c>
      <c r="N1820" s="5" t="s">
        <v>25</v>
      </c>
      <c r="O1820" s="5" t="s">
        <v>25</v>
      </c>
      <c r="P1820" s="6" t="s">
        <v>25</v>
      </c>
      <c r="Q1820" s="5" t="s">
        <v>25</v>
      </c>
      <c r="R1820" s="5" t="s">
        <v>25</v>
      </c>
      <c r="S1820" s="5" t="str">
        <f>VLOOKUP(A1820,Sheet2!$A$2:$R$3432,18,0)</f>
        <v>BG44AF1385870</v>
      </c>
      <c r="T1820" s="7" t="str">
        <f>VLOOKUP(A1820,Sheet2!$A$2:$R$3432,17,0)</f>
        <v>MD626BG44F1A93390</v>
      </c>
    </row>
    <row r="1821" ht="15.75" customHeight="1">
      <c r="A1821" s="3" t="s">
        <v>1844</v>
      </c>
      <c r="B1821" s="4" t="str">
        <f>VLOOKUP(A1821,Sheet2!$A$2:$R$3432,2,0)</f>
        <v>2024-11-06 20:56:56</v>
      </c>
      <c r="C1821" s="5" t="s">
        <v>25</v>
      </c>
      <c r="D1821" s="6" t="s">
        <v>25</v>
      </c>
      <c r="E1821" s="7">
        <f>VLOOKUP(A1821,Sheet2!$A$2:$R$3432,4,0)</f>
        <v>9762361646</v>
      </c>
      <c r="F1821" s="7" t="str">
        <f>VLOOKUP(A1821,Sheet2!$A$2:$R$3432,3,0)</f>
        <v>Sumit </v>
      </c>
      <c r="G1821" s="5" t="s">
        <v>25</v>
      </c>
      <c r="H1821" s="5" t="s">
        <v>25</v>
      </c>
      <c r="I1821" s="5" t="s">
        <v>25</v>
      </c>
      <c r="J1821" s="5" t="s">
        <v>25</v>
      </c>
      <c r="K1821" s="7" t="str">
        <f>VLOOKUP(A1821,Sheet2!$A$2:$R$3432,6,0)</f>
        <v>Honda Unicorn </v>
      </c>
      <c r="L1821" s="5" t="s">
        <v>25</v>
      </c>
      <c r="M1821" s="7" t="str">
        <f>VLOOKUP(A1821,Sheet2!$A$2:$R$3432,5,0)</f>
        <v>MH11CZ8334</v>
      </c>
      <c r="N1821" s="5" t="s">
        <v>25</v>
      </c>
      <c r="O1821" s="5" t="s">
        <v>25</v>
      </c>
      <c r="P1821" s="6" t="s">
        <v>25</v>
      </c>
      <c r="Q1821" s="5" t="s">
        <v>25</v>
      </c>
      <c r="R1821" s="5" t="s">
        <v>25</v>
      </c>
      <c r="S1821" s="5" t="str">
        <f>VLOOKUP(A1821,Sheet2!$A$2:$R$3432,18,0)</f>
        <v>KC40EA0214973</v>
      </c>
      <c r="T1821" s="7" t="str">
        <f>VLOOKUP(A1821,Sheet2!$A$2:$R$3432,17,0)</f>
        <v>ME4KC401BMA214963</v>
      </c>
    </row>
    <row r="1822" ht="15.75" customHeight="1">
      <c r="A1822" s="3" t="s">
        <v>1845</v>
      </c>
      <c r="B1822" s="4" t="str">
        <f>VLOOKUP(A1822,Sheet2!$A$2:$R$3432,2,0)</f>
        <v>2024-11-06 20:50:18</v>
      </c>
      <c r="C1822" s="5" t="s">
        <v>25</v>
      </c>
      <c r="D1822" s="6" t="s">
        <v>25</v>
      </c>
      <c r="E1822" s="7">
        <f>VLOOKUP(A1822,Sheet2!$A$2:$R$3432,4,0)</f>
        <v>9867620802</v>
      </c>
      <c r="F1822" s="7" t="str">
        <f>VLOOKUP(A1822,Sheet2!$A$2:$R$3432,3,0)</f>
        <v>Shailndra Bhat</v>
      </c>
      <c r="G1822" s="5" t="s">
        <v>25</v>
      </c>
      <c r="H1822" s="5" t="s">
        <v>25</v>
      </c>
      <c r="I1822" s="5" t="s">
        <v>25</v>
      </c>
      <c r="J1822" s="5" t="s">
        <v>25</v>
      </c>
      <c r="K1822" s="7" t="str">
        <f>VLOOKUP(A1822,Sheet2!$A$2:$R$3432,6,0)</f>
        <v>Hero Maestro </v>
      </c>
      <c r="L1822" s="5" t="s">
        <v>25</v>
      </c>
      <c r="M1822" s="7" t="str">
        <f>VLOOKUP(A1822,Sheet2!$A$2:$R$3432,5,0)</f>
        <v>MH46AA2787</v>
      </c>
      <c r="N1822" s="5" t="s">
        <v>25</v>
      </c>
      <c r="O1822" s="5" t="s">
        <v>25</v>
      </c>
      <c r="P1822" s="6" t="s">
        <v>25</v>
      </c>
      <c r="Q1822" s="5" t="s">
        <v>25</v>
      </c>
      <c r="R1822" s="5" t="s">
        <v>25</v>
      </c>
      <c r="S1822" s="5" t="str">
        <f>VLOOKUP(A1822,Sheet2!$A$2:$R$3432,18,0)</f>
        <v>JF32AAGA28821</v>
      </c>
      <c r="T1822" s="7" t="str">
        <f>VLOOKUP(A1822,Sheet2!$A$2:$R$3432,17,0)</f>
        <v>MBLJF32ABEGA39477</v>
      </c>
    </row>
    <row r="1823" ht="15.75" customHeight="1">
      <c r="A1823" s="3" t="s">
        <v>1846</v>
      </c>
      <c r="B1823" s="4" t="str">
        <f>VLOOKUP(A1823,Sheet2!$A$2:$R$3432,2,0)</f>
        <v>2024-11-06 20:55:53</v>
      </c>
      <c r="C1823" s="5" t="s">
        <v>25</v>
      </c>
      <c r="D1823" s="6" t="s">
        <v>25</v>
      </c>
      <c r="E1823" s="7">
        <f>VLOOKUP(A1823,Sheet2!$A$2:$R$3432,4,0)</f>
        <v>9011557655</v>
      </c>
      <c r="F1823" s="7" t="str">
        <f>VLOOKUP(A1823,Sheet2!$A$2:$R$3432,3,0)</f>
        <v>Shubham Pawar</v>
      </c>
      <c r="G1823" s="5" t="s">
        <v>25</v>
      </c>
      <c r="H1823" s="5" t="s">
        <v>25</v>
      </c>
      <c r="I1823" s="5" t="s">
        <v>25</v>
      </c>
      <c r="J1823" s="5" t="s">
        <v>25</v>
      </c>
      <c r="K1823" s="7" t="str">
        <f>VLOOKUP(A1823,Sheet2!$A$2:$R$3432,6,0)</f>
        <v>Honda Activa </v>
      </c>
      <c r="L1823" s="5" t="s">
        <v>25</v>
      </c>
      <c r="M1823" s="7" t="str">
        <f>VLOOKUP(A1823,Sheet2!$A$2:$R$3432,5,0)</f>
        <v>MH14GF1044</v>
      </c>
      <c r="N1823" s="5" t="s">
        <v>25</v>
      </c>
      <c r="O1823" s="5" t="s">
        <v>25</v>
      </c>
      <c r="P1823" s="6" t="s">
        <v>25</v>
      </c>
      <c r="Q1823" s="5" t="s">
        <v>25</v>
      </c>
      <c r="R1823" s="5" t="s">
        <v>25</v>
      </c>
      <c r="S1823" s="5" t="str">
        <f>VLOOKUP(A1823,Sheet2!$A$2:$R$3432,18,0)</f>
        <v>JF50EU6171317</v>
      </c>
      <c r="T1823" s="7" t="str">
        <f>VLOOKUP(A1823,Sheet2!$A$2:$R$3432,17,0)</f>
        <v>ME4JF5098HU171267</v>
      </c>
    </row>
    <row r="1824" ht="15.75" customHeight="1">
      <c r="A1824" s="3" t="s">
        <v>1847</v>
      </c>
      <c r="B1824" s="4" t="str">
        <f>VLOOKUP(A1824,Sheet2!$A$2:$R$3432,2,0)</f>
        <v>2024-11-06 20:57:11</v>
      </c>
      <c r="C1824" s="5" t="s">
        <v>25</v>
      </c>
      <c r="D1824" s="6" t="s">
        <v>25</v>
      </c>
      <c r="E1824" s="7">
        <f>VLOOKUP(A1824,Sheet2!$A$2:$R$3432,4,0)</f>
        <v>9923659552</v>
      </c>
      <c r="F1824" s="7" t="str">
        <f>VLOOKUP(A1824,Sheet2!$A$2:$R$3432,3,0)</f>
        <v>Khedkar</v>
      </c>
      <c r="G1824" s="5" t="s">
        <v>25</v>
      </c>
      <c r="H1824" s="5" t="s">
        <v>25</v>
      </c>
      <c r="I1824" s="5" t="s">
        <v>25</v>
      </c>
      <c r="J1824" s="5" t="s">
        <v>25</v>
      </c>
      <c r="K1824" s="7" t="str">
        <f>VLOOKUP(A1824,Sheet2!$A$2:$R$3432,6,0)</f>
        <v>Honda Activa i</v>
      </c>
      <c r="L1824" s="5" t="s">
        <v>25</v>
      </c>
      <c r="M1824" s="7" t="str">
        <f>VLOOKUP(A1824,Sheet2!$A$2:$R$3432,5,0)</f>
        <v>MH12NR9750</v>
      </c>
      <c r="N1824" s="5" t="s">
        <v>25</v>
      </c>
      <c r="O1824" s="5" t="s">
        <v>25</v>
      </c>
      <c r="P1824" s="6" t="s">
        <v>25</v>
      </c>
      <c r="Q1824" s="5" t="s">
        <v>25</v>
      </c>
      <c r="R1824" s="5" t="s">
        <v>25</v>
      </c>
      <c r="S1824" s="7" t="str">
        <f>VLOOKUP(A1824,Sheet2!$A$2:$R$3432,18,0)</f>
        <v/>
      </c>
      <c r="T1824" s="7" t="str">
        <f>VLOOKUP(A1824,Sheet2!$A$2:$R$3432,17,0)</f>
        <v>ME4JF488KG8023165</v>
      </c>
    </row>
    <row r="1825" ht="15.75" customHeight="1">
      <c r="A1825" s="3" t="s">
        <v>1848</v>
      </c>
      <c r="B1825" s="4" t="str">
        <f>VLOOKUP(A1825,Sheet2!$A$2:$R$3432,2,0)</f>
        <v>2024-11-06 21:04:01</v>
      </c>
      <c r="C1825" s="5" t="s">
        <v>25</v>
      </c>
      <c r="D1825" s="6" t="s">
        <v>25</v>
      </c>
      <c r="E1825" s="7">
        <f>VLOOKUP(A1825,Sheet2!$A$2:$R$3432,4,0)</f>
        <v>9922941980</v>
      </c>
      <c r="F1825" s="7" t="str">
        <f>VLOOKUP(A1825,Sheet2!$A$2:$R$3432,3,0)</f>
        <v>Anil</v>
      </c>
      <c r="G1825" s="5" t="s">
        <v>25</v>
      </c>
      <c r="H1825" s="5" t="s">
        <v>25</v>
      </c>
      <c r="I1825" s="5" t="s">
        <v>25</v>
      </c>
      <c r="J1825" s="5" t="s">
        <v>25</v>
      </c>
      <c r="K1825" s="7" t="str">
        <f>VLOOKUP(A1825,Sheet2!$A$2:$R$3432,6,0)</f>
        <v>TVS Wego </v>
      </c>
      <c r="L1825" s="5" t="s">
        <v>25</v>
      </c>
      <c r="M1825" s="7" t="str">
        <f>VLOOKUP(A1825,Sheet2!$A$2:$R$3432,5,0)</f>
        <v>MH14FE4220</v>
      </c>
      <c r="N1825" s="5" t="s">
        <v>25</v>
      </c>
      <c r="O1825" s="5" t="s">
        <v>25</v>
      </c>
      <c r="P1825" s="6" t="s">
        <v>25</v>
      </c>
      <c r="Q1825" s="5" t="s">
        <v>25</v>
      </c>
      <c r="R1825" s="5" t="s">
        <v>25</v>
      </c>
      <c r="S1825" s="5" t="str">
        <f>VLOOKUP(A1825,Sheet2!$A$2:$R$3432,18,0)</f>
        <v>OG4KF1283100</v>
      </c>
      <c r="T1825" s="7" t="str">
        <f>VLOOKUP(A1825,Sheet2!$A$2:$R$3432,17,0)</f>
        <v>MD626AG42F1K88122</v>
      </c>
    </row>
    <row r="1826" ht="15.75" customHeight="1">
      <c r="A1826" s="3" t="s">
        <v>1849</v>
      </c>
      <c r="B1826" s="4" t="str">
        <f>VLOOKUP(A1826,Sheet2!$A$2:$R$3432,2,0)</f>
        <v>2024-11-06 20:38:57</v>
      </c>
      <c r="C1826" s="5" t="s">
        <v>25</v>
      </c>
      <c r="D1826" s="6" t="s">
        <v>25</v>
      </c>
      <c r="E1826" s="7">
        <f>VLOOKUP(A1826,Sheet2!$A$2:$R$3432,4,0)</f>
        <v>9762861972</v>
      </c>
      <c r="F1826" s="7" t="str">
        <f>VLOOKUP(A1826,Sheet2!$A$2:$R$3432,3,0)</f>
        <v>Amey </v>
      </c>
      <c r="G1826" s="5" t="s">
        <v>25</v>
      </c>
      <c r="H1826" s="5" t="s">
        <v>25</v>
      </c>
      <c r="I1826" s="5" t="s">
        <v>25</v>
      </c>
      <c r="J1826" s="5" t="s">
        <v>25</v>
      </c>
      <c r="K1826" s="7" t="str">
        <f>VLOOKUP(A1826,Sheet2!$A$2:$R$3432,6,0)</f>
        <v>Yamaha R15 V3</v>
      </c>
      <c r="L1826" s="5" t="s">
        <v>25</v>
      </c>
      <c r="M1826" s="7" t="str">
        <f>VLOOKUP(A1826,Sheet2!$A$2:$R$3432,5,0)</f>
        <v>MH14JN0887</v>
      </c>
      <c r="N1826" s="5" t="s">
        <v>25</v>
      </c>
      <c r="O1826" s="5" t="s">
        <v>25</v>
      </c>
      <c r="P1826" s="6" t="s">
        <v>25</v>
      </c>
      <c r="Q1826" s="5" t="s">
        <v>25</v>
      </c>
      <c r="R1826" s="5" t="s">
        <v>25</v>
      </c>
      <c r="S1826" s="5" t="str">
        <f>VLOOKUP(A1826,Sheet2!$A$2:$R$3432,18,0)</f>
        <v>G3N460076805</v>
      </c>
      <c r="T1826" s="7" t="str">
        <f>VLOOKUP(A1826,Sheet2!$A$2:$R$3432,17,0)</f>
        <v>ME1RG671BL0052645</v>
      </c>
    </row>
    <row r="1827" ht="15.75" customHeight="1">
      <c r="A1827" s="3" t="s">
        <v>1850</v>
      </c>
      <c r="B1827" s="4" t="str">
        <f>VLOOKUP(A1827,Sheet2!$A$2:$R$3432,2,0)</f>
        <v>2024-11-06 20:39:12</v>
      </c>
      <c r="C1827" s="5" t="s">
        <v>25</v>
      </c>
      <c r="D1827" s="6" t="s">
        <v>25</v>
      </c>
      <c r="E1827" s="7">
        <f>VLOOKUP(A1827,Sheet2!$A$2:$R$3432,4,0)</f>
        <v>8308822519</v>
      </c>
      <c r="F1827" s="7" t="str">
        <f>VLOOKUP(A1827,Sheet2!$A$2:$R$3432,3,0)</f>
        <v>Khanke </v>
      </c>
      <c r="G1827" s="5" t="s">
        <v>25</v>
      </c>
      <c r="H1827" s="5" t="s">
        <v>25</v>
      </c>
      <c r="I1827" s="5" t="s">
        <v>25</v>
      </c>
      <c r="J1827" s="5" t="s">
        <v>25</v>
      </c>
      <c r="K1827" s="7" t="str">
        <f>VLOOKUP(A1827,Sheet2!$A$2:$R$3432,6,0)</f>
        <v>Hero Deluxe CD</v>
      </c>
      <c r="L1827" s="5" t="s">
        <v>25</v>
      </c>
      <c r="M1827" s="7" t="str">
        <f>VLOOKUP(A1827,Sheet2!$A$2:$R$3432,5,0)</f>
        <v>MH14DE7826</v>
      </c>
      <c r="N1827" s="5" t="s">
        <v>25</v>
      </c>
      <c r="O1827" s="5" t="s">
        <v>25</v>
      </c>
      <c r="P1827" s="6" t="s">
        <v>25</v>
      </c>
      <c r="Q1827" s="5" t="s">
        <v>25</v>
      </c>
      <c r="R1827" s="5" t="s">
        <v>25</v>
      </c>
      <c r="S1827" s="7" t="str">
        <f>VLOOKUP(A1827,Sheet2!$A$2:$R$3432,18,0)</f>
        <v/>
      </c>
      <c r="T1827" s="7" t="str">
        <f>VLOOKUP(A1827,Sheet2!$A$2:$R$3432,17,0)</f>
        <v/>
      </c>
    </row>
    <row r="1828" ht="15.75" customHeight="1">
      <c r="A1828" s="3" t="s">
        <v>1851</v>
      </c>
      <c r="B1828" s="4" t="str">
        <f>VLOOKUP(A1828,Sheet2!$A$2:$R$3432,2,0)</f>
        <v>2024-08-14 21:14:24</v>
      </c>
      <c r="C1828" s="5" t="s">
        <v>25</v>
      </c>
      <c r="D1828" s="6" t="s">
        <v>25</v>
      </c>
      <c r="E1828" s="7">
        <f>VLOOKUP(A1828,Sheet2!$A$2:$R$3432,4,0)</f>
        <v>8308547775</v>
      </c>
      <c r="F1828" s="7" t="str">
        <f>VLOOKUP(A1828,Sheet2!$A$2:$R$3432,3,0)</f>
        <v>Anil Nanaware</v>
      </c>
      <c r="G1828" s="5" t="s">
        <v>25</v>
      </c>
      <c r="H1828" s="5" t="s">
        <v>25</v>
      </c>
      <c r="I1828" s="5" t="s">
        <v>25</v>
      </c>
      <c r="J1828" s="5" t="s">
        <v>25</v>
      </c>
      <c r="K1828" s="7" t="str">
        <f>VLOOKUP(A1828,Sheet2!$A$2:$R$3432,6,0)</f>
        <v>Honda Shine </v>
      </c>
      <c r="L1828" s="5" t="s">
        <v>25</v>
      </c>
      <c r="M1828" s="7" t="str">
        <f>VLOOKUP(A1828,Sheet2!$A$2:$R$3432,5,0)</f>
        <v>MH12SN7370</v>
      </c>
      <c r="N1828" s="5" t="s">
        <v>25</v>
      </c>
      <c r="O1828" s="5" t="s">
        <v>25</v>
      </c>
      <c r="P1828" s="6" t="s">
        <v>25</v>
      </c>
      <c r="Q1828" s="5" t="s">
        <v>25</v>
      </c>
      <c r="R1828" s="5" t="s">
        <v>25</v>
      </c>
      <c r="S1828" s="7" t="str">
        <f>VLOOKUP(A1828,Sheet2!$A$2:$R$3432,18,0)</f>
        <v/>
      </c>
      <c r="T1828" s="7" t="str">
        <f>VLOOKUP(A1828,Sheet2!$A$2:$R$3432,17,0)</f>
        <v/>
      </c>
    </row>
    <row r="1829" ht="15.75" customHeight="1">
      <c r="A1829" s="3" t="s">
        <v>1852</v>
      </c>
      <c r="B1829" s="4" t="str">
        <f>VLOOKUP(A1829,Sheet2!$A$2:$R$3432,2,0)</f>
        <v>2024-08-14 21:25:40</v>
      </c>
      <c r="C1829" s="5" t="s">
        <v>25</v>
      </c>
      <c r="D1829" s="6" t="s">
        <v>25</v>
      </c>
      <c r="E1829" s="7">
        <f>VLOOKUP(A1829,Sheet2!$A$2:$R$3432,4,0)</f>
        <v>9309741049</v>
      </c>
      <c r="F1829" s="7" t="str">
        <f>VLOOKUP(A1829,Sheet2!$A$2:$R$3432,3,0)</f>
        <v>Sarjerao</v>
      </c>
      <c r="G1829" s="5" t="s">
        <v>25</v>
      </c>
      <c r="H1829" s="5" t="s">
        <v>25</v>
      </c>
      <c r="I1829" s="5" t="s">
        <v>25</v>
      </c>
      <c r="J1829" s="5" t="s">
        <v>25</v>
      </c>
      <c r="K1829" s="7" t="str">
        <f>VLOOKUP(A1829,Sheet2!$A$2:$R$3432,6,0)</f>
        <v>Hero Passion Pro</v>
      </c>
      <c r="L1829" s="5" t="s">
        <v>25</v>
      </c>
      <c r="M1829" s="7" t="str">
        <f>VLOOKUP(A1829,Sheet2!$A$2:$R$3432,5,0)</f>
        <v>MH13BF0133</v>
      </c>
      <c r="N1829" s="5" t="s">
        <v>25</v>
      </c>
      <c r="O1829" s="5" t="s">
        <v>25</v>
      </c>
      <c r="P1829" s="6" t="s">
        <v>25</v>
      </c>
      <c r="Q1829" s="5" t="s">
        <v>25</v>
      </c>
      <c r="R1829" s="5" t="s">
        <v>25</v>
      </c>
      <c r="S1829" s="5" t="str">
        <f>VLOOKUP(A1829,Sheet2!$A$2:$R$3432,18,0)</f>
        <v>HA10ENCHD12578</v>
      </c>
      <c r="T1829" s="7" t="str">
        <f>VLOOKUP(A1829,Sheet2!$A$2:$R$3432,17,0)</f>
        <v>MBLHA10AWCHD13283</v>
      </c>
    </row>
    <row r="1830" ht="15.75" customHeight="1">
      <c r="A1830" s="3" t="s">
        <v>1853</v>
      </c>
      <c r="B1830" s="4" t="str">
        <f>VLOOKUP(A1830,Sheet2!$A$2:$R$3432,2,0)</f>
        <v>2024-08-14 21:39:02</v>
      </c>
      <c r="C1830" s="5" t="s">
        <v>25</v>
      </c>
      <c r="D1830" s="6" t="s">
        <v>25</v>
      </c>
      <c r="E1830" s="7">
        <f>VLOOKUP(A1830,Sheet2!$A$2:$R$3432,4,0)</f>
        <v>8087172404</v>
      </c>
      <c r="F1830" s="7" t="str">
        <f>VLOOKUP(A1830,Sheet2!$A$2:$R$3432,3,0)</f>
        <v>Mudit</v>
      </c>
      <c r="G1830" s="5" t="s">
        <v>25</v>
      </c>
      <c r="H1830" s="5" t="s">
        <v>25</v>
      </c>
      <c r="I1830" s="5" t="s">
        <v>25</v>
      </c>
      <c r="J1830" s="5" t="s">
        <v>25</v>
      </c>
      <c r="K1830" s="7" t="str">
        <f>VLOOKUP(A1830,Sheet2!$A$2:$R$3432,6,0)</f>
        <v>Suzuki Access </v>
      </c>
      <c r="L1830" s="5" t="s">
        <v>25</v>
      </c>
      <c r="M1830" s="7" t="str">
        <f>VLOOKUP(A1830,Sheet2!$A$2:$R$3432,5,0)</f>
        <v>MH14EZ3638</v>
      </c>
      <c r="N1830" s="5" t="s">
        <v>25</v>
      </c>
      <c r="O1830" s="5" t="s">
        <v>25</v>
      </c>
      <c r="P1830" s="6" t="s">
        <v>25</v>
      </c>
      <c r="Q1830" s="5" t="s">
        <v>25</v>
      </c>
      <c r="R1830" s="5" t="s">
        <v>25</v>
      </c>
      <c r="S1830" s="5" t="str">
        <f>VLOOKUP(A1830,Sheet2!$A$2:$R$3432,18,0)</f>
        <v>E4862744611</v>
      </c>
      <c r="T1830" s="7" t="str">
        <f>VLOOKUP(A1830,Sheet2!$A$2:$R$3432,17,0)</f>
        <v>MB8CF4CDF8573571</v>
      </c>
    </row>
    <row r="1831" ht="15.75" customHeight="1">
      <c r="A1831" s="3" t="s">
        <v>1854</v>
      </c>
      <c r="B1831" s="4" t="str">
        <f>VLOOKUP(A1831,Sheet2!$A$2:$R$3432,2,0)</f>
        <v>2024-08-14 21:13:05</v>
      </c>
      <c r="C1831" s="5" t="s">
        <v>25</v>
      </c>
      <c r="D1831" s="6" t="s">
        <v>25</v>
      </c>
      <c r="E1831" s="7">
        <f>VLOOKUP(A1831,Sheet2!$A$2:$R$3432,4,0)</f>
        <v>8446479842</v>
      </c>
      <c r="F1831" s="7" t="str">
        <f>VLOOKUP(A1831,Sheet2!$A$2:$R$3432,3,0)</f>
        <v>Pratik</v>
      </c>
      <c r="G1831" s="5" t="s">
        <v>25</v>
      </c>
      <c r="H1831" s="5" t="s">
        <v>25</v>
      </c>
      <c r="I1831" s="5" t="s">
        <v>25</v>
      </c>
      <c r="J1831" s="5" t="s">
        <v>25</v>
      </c>
      <c r="K1831" s="7" t="str">
        <f>VLOOKUP(A1831,Sheet2!$A$2:$R$3432,6,0)</f>
        <v>Bajaj Avenger 220 Cruise</v>
      </c>
      <c r="L1831" s="5" t="s">
        <v>25</v>
      </c>
      <c r="M1831" s="7" t="str">
        <f>VLOOKUP(A1831,Sheet2!$A$2:$R$3432,5,0)</f>
        <v>MH20ER3542</v>
      </c>
      <c r="N1831" s="5" t="s">
        <v>25</v>
      </c>
      <c r="O1831" s="5" t="s">
        <v>25</v>
      </c>
      <c r="P1831" s="6" t="s">
        <v>25</v>
      </c>
      <c r="Q1831" s="5" t="s">
        <v>25</v>
      </c>
      <c r="R1831" s="5" t="s">
        <v>25</v>
      </c>
      <c r="S1831" s="5" t="str">
        <f>VLOOKUP(A1831,Sheet2!$A$2:$R$3432,18,0)</f>
        <v>PDJCHU19744</v>
      </c>
      <c r="T1831" s="7" t="str">
        <f>VLOOKUP(A1831,Sheet2!$A$2:$R$3432,17,0)</f>
        <v>MDZAZ2E79HCD04847</v>
      </c>
    </row>
    <row r="1832" ht="15.75" customHeight="1">
      <c r="A1832" s="3" t="s">
        <v>1855</v>
      </c>
      <c r="B1832" s="4" t="str">
        <f>VLOOKUP(A1832,Sheet2!$A$2:$R$3432,2,0)</f>
        <v>2024-08-14 17:31:34</v>
      </c>
      <c r="C1832" s="5" t="s">
        <v>25</v>
      </c>
      <c r="D1832" s="6" t="s">
        <v>25</v>
      </c>
      <c r="E1832" s="7">
        <f>VLOOKUP(A1832,Sheet2!$A$2:$R$3432,4,0)</f>
        <v>8839666627</v>
      </c>
      <c r="F1832" s="7" t="str">
        <f>VLOOKUP(A1832,Sheet2!$A$2:$R$3432,3,0)</f>
        <v>TAJENDRA SINGH</v>
      </c>
      <c r="G1832" s="5" t="s">
        <v>25</v>
      </c>
      <c r="H1832" s="5" t="s">
        <v>25</v>
      </c>
      <c r="I1832" s="5" t="s">
        <v>25</v>
      </c>
      <c r="J1832" s="5" t="s">
        <v>25</v>
      </c>
      <c r="K1832" s="7" t="str">
        <f>VLOOKUP(A1832,Sheet2!$A$2:$R$3432,6,0)</f>
        <v>Yamaha FZ FI</v>
      </c>
      <c r="L1832" s="5" t="s">
        <v>25</v>
      </c>
      <c r="M1832" s="7" t="str">
        <f>VLOOKUP(A1832,Sheet2!$A$2:$R$3432,5,0)</f>
        <v>MH12PM8449</v>
      </c>
      <c r="N1832" s="5" t="s">
        <v>25</v>
      </c>
      <c r="O1832" s="5" t="s">
        <v>25</v>
      </c>
      <c r="P1832" s="6" t="s">
        <v>25</v>
      </c>
      <c r="Q1832" s="5" t="s">
        <v>25</v>
      </c>
      <c r="R1832" s="5" t="s">
        <v>25</v>
      </c>
      <c r="S1832" s="7" t="str">
        <f>VLOOKUP(A1832,Sheet2!$A$2:$R$3432,18,0)</f>
        <v/>
      </c>
      <c r="T1832" s="7" t="str">
        <f>VLOOKUP(A1832,Sheet2!$A$2:$R$3432,17,0)</f>
        <v/>
      </c>
    </row>
    <row r="1833" ht="15.75" customHeight="1">
      <c r="A1833" s="3" t="s">
        <v>1856</v>
      </c>
      <c r="B1833" s="4" t="str">
        <f>VLOOKUP(A1833,Sheet2!$A$2:$R$3432,2,0)</f>
        <v>2024-08-14 21:11:44</v>
      </c>
      <c r="C1833" s="5" t="s">
        <v>25</v>
      </c>
      <c r="D1833" s="6" t="s">
        <v>25</v>
      </c>
      <c r="E1833" s="7">
        <f>VLOOKUP(A1833,Sheet2!$A$2:$R$3432,4,0)</f>
        <v>7821006066</v>
      </c>
      <c r="F1833" s="7" t="str">
        <f>VLOOKUP(A1833,Sheet2!$A$2:$R$3432,3,0)</f>
        <v>Abhishek Chabukswar</v>
      </c>
      <c r="G1833" s="5" t="s">
        <v>25</v>
      </c>
      <c r="H1833" s="5" t="s">
        <v>25</v>
      </c>
      <c r="I1833" s="5" t="s">
        <v>25</v>
      </c>
      <c r="J1833" s="5" t="s">
        <v>25</v>
      </c>
      <c r="K1833" s="7" t="str">
        <f>VLOOKUP(A1833,Sheet2!$A$2:$R$3432,6,0)</f>
        <v>TVS Jupiter </v>
      </c>
      <c r="L1833" s="5" t="s">
        <v>25</v>
      </c>
      <c r="M1833" s="7" t="str">
        <f>VLOOKUP(A1833,Sheet2!$A$2:$R$3432,5,0)</f>
        <v>MH14JZ5444</v>
      </c>
      <c r="N1833" s="5" t="s">
        <v>25</v>
      </c>
      <c r="O1833" s="5" t="s">
        <v>25</v>
      </c>
      <c r="P1833" s="6" t="s">
        <v>25</v>
      </c>
      <c r="Q1833" s="5" t="s">
        <v>25</v>
      </c>
      <c r="R1833" s="5" t="s">
        <v>25</v>
      </c>
      <c r="S1833" s="5" t="str">
        <f>VLOOKUP(A1833,Sheet2!$A$2:$R$3432,18,0)</f>
        <v>EG4EJ1650486</v>
      </c>
      <c r="T1833" s="7" t="str">
        <f>VLOOKUP(A1833,Sheet2!$A$2:$R$3432,17,0)</f>
        <v>MD626EG44J1E06366</v>
      </c>
    </row>
    <row r="1834" ht="15.75" customHeight="1">
      <c r="A1834" s="3" t="s">
        <v>1857</v>
      </c>
      <c r="B1834" s="4" t="str">
        <f>VLOOKUP(A1834,Sheet2!$A$2:$R$3432,2,0)</f>
        <v>2024-08-14 21:10:15</v>
      </c>
      <c r="C1834" s="5" t="s">
        <v>25</v>
      </c>
      <c r="D1834" s="6" t="s">
        <v>25</v>
      </c>
      <c r="E1834" s="7">
        <f>VLOOKUP(A1834,Sheet2!$A$2:$R$3432,4,0)</f>
        <v>8956303565</v>
      </c>
      <c r="F1834" s="7" t="str">
        <f>VLOOKUP(A1834,Sheet2!$A$2:$R$3432,3,0)</f>
        <v>Anshul Khadelwal</v>
      </c>
      <c r="G1834" s="5" t="s">
        <v>25</v>
      </c>
      <c r="H1834" s="5" t="s">
        <v>25</v>
      </c>
      <c r="I1834" s="5" t="s">
        <v>25</v>
      </c>
      <c r="J1834" s="5" t="s">
        <v>25</v>
      </c>
      <c r="K1834" s="7" t="str">
        <f>VLOOKUP(A1834,Sheet2!$A$2:$R$3432,6,0)</f>
        <v>Honda Activa 4G</v>
      </c>
      <c r="L1834" s="5" t="s">
        <v>25</v>
      </c>
      <c r="M1834" s="7" t="str">
        <f>VLOOKUP(A1834,Sheet2!$A$2:$R$3432,5,0)</f>
        <v>MH12QB2479</v>
      </c>
      <c r="N1834" s="5" t="s">
        <v>25</v>
      </c>
      <c r="O1834" s="5" t="s">
        <v>25</v>
      </c>
      <c r="P1834" s="6" t="s">
        <v>25</v>
      </c>
      <c r="Q1834" s="5" t="s">
        <v>25</v>
      </c>
      <c r="R1834" s="5" t="s">
        <v>25</v>
      </c>
      <c r="S1834" s="7" t="str">
        <f>VLOOKUP(A1834,Sheet2!$A$2:$R$3432,18,0)</f>
        <v/>
      </c>
      <c r="T1834" s="7" t="str">
        <f>VLOOKUP(A1834,Sheet2!$A$2:$R$3432,17,0)</f>
        <v/>
      </c>
    </row>
    <row r="1835" ht="15.75" customHeight="1">
      <c r="A1835" s="3" t="s">
        <v>1858</v>
      </c>
      <c r="B1835" s="4" t="str">
        <f>VLOOKUP(A1835,Sheet2!$A$2:$R$3432,2,0)</f>
        <v>2024-08-14 21:08:10</v>
      </c>
      <c r="C1835" s="5" t="s">
        <v>25</v>
      </c>
      <c r="D1835" s="6" t="s">
        <v>25</v>
      </c>
      <c r="E1835" s="7">
        <f>VLOOKUP(A1835,Sheet2!$A$2:$R$3432,4,0)</f>
        <v>8999016024</v>
      </c>
      <c r="F1835" s="7" t="str">
        <f>VLOOKUP(A1835,Sheet2!$A$2:$R$3432,3,0)</f>
        <v>TUSHAR RAUT</v>
      </c>
      <c r="G1835" s="5" t="s">
        <v>25</v>
      </c>
      <c r="H1835" s="5" t="s">
        <v>25</v>
      </c>
      <c r="I1835" s="5" t="s">
        <v>25</v>
      </c>
      <c r="J1835" s="5" t="s">
        <v>25</v>
      </c>
      <c r="K1835" s="7" t="str">
        <f>VLOOKUP(A1835,Sheet2!$A$2:$R$3432,6,0)</f>
        <v>Yamaha FZ 25</v>
      </c>
      <c r="L1835" s="5" t="s">
        <v>25</v>
      </c>
      <c r="M1835" s="7" t="str">
        <f>VLOOKUP(A1835,Sheet2!$A$2:$R$3432,5,0)</f>
        <v>MH16CW6540</v>
      </c>
      <c r="N1835" s="5" t="s">
        <v>25</v>
      </c>
      <c r="O1835" s="5" t="s">
        <v>25</v>
      </c>
      <c r="P1835" s="6" t="s">
        <v>25</v>
      </c>
      <c r="Q1835" s="5" t="s">
        <v>25</v>
      </c>
      <c r="R1835" s="5" t="s">
        <v>25</v>
      </c>
      <c r="S1835" s="5" t="str">
        <f>VLOOKUP(A1835,Sheet2!$A$2:$R$3432,18,0)</f>
        <v>G3P1E0009245</v>
      </c>
      <c r="T1835" s="7" t="str">
        <f>VLOOKUP(A1835,Sheet2!$A$2:$R$3432,17,0)</f>
        <v>ME1RG6916M00005498</v>
      </c>
    </row>
    <row r="1836" ht="15.75" customHeight="1">
      <c r="A1836" s="3" t="s">
        <v>1859</v>
      </c>
      <c r="B1836" s="4" t="str">
        <f>VLOOKUP(A1836,Sheet2!$A$2:$R$3432,2,0)</f>
        <v>2024-08-14 21:09:29</v>
      </c>
      <c r="C1836" s="5" t="s">
        <v>25</v>
      </c>
      <c r="D1836" s="6" t="s">
        <v>25</v>
      </c>
      <c r="E1836" s="7">
        <f>VLOOKUP(A1836,Sheet2!$A$2:$R$3432,4,0)</f>
        <v>9923065960</v>
      </c>
      <c r="F1836" s="7" t="str">
        <f>VLOOKUP(A1836,Sheet2!$A$2:$R$3432,3,0)</f>
        <v>AMIT PATIL </v>
      </c>
      <c r="G1836" s="5" t="s">
        <v>25</v>
      </c>
      <c r="H1836" s="5" t="s">
        <v>25</v>
      </c>
      <c r="I1836" s="5" t="s">
        <v>25</v>
      </c>
      <c r="J1836" s="5" t="s">
        <v>25</v>
      </c>
      <c r="K1836" s="7" t="str">
        <f>VLOOKUP(A1836,Sheet2!$A$2:$R$3432,6,0)</f>
        <v>Hero Maestro </v>
      </c>
      <c r="L1836" s="5" t="s">
        <v>25</v>
      </c>
      <c r="M1836" s="7" t="str">
        <f>VLOOKUP(A1836,Sheet2!$A$2:$R$3432,5,0)</f>
        <v>MH14ES1991</v>
      </c>
      <c r="N1836" s="5" t="s">
        <v>25</v>
      </c>
      <c r="O1836" s="5" t="s">
        <v>25</v>
      </c>
      <c r="P1836" s="6" t="s">
        <v>25</v>
      </c>
      <c r="Q1836" s="5" t="s">
        <v>25</v>
      </c>
      <c r="R1836" s="5" t="s">
        <v>25</v>
      </c>
      <c r="S1836" s="7" t="str">
        <f>VLOOKUP(A1836,Sheet2!$A$2:$R$3432,18,0)</f>
        <v/>
      </c>
      <c r="T1836" s="7" t="str">
        <f>VLOOKUP(A1836,Sheet2!$A$2:$R$3432,17,0)</f>
        <v/>
      </c>
    </row>
    <row r="1837" ht="15.75" customHeight="1">
      <c r="A1837" s="3" t="s">
        <v>1860</v>
      </c>
      <c r="B1837" s="4" t="str">
        <f>VLOOKUP(A1837,Sheet2!$A$2:$R$3432,2,0)</f>
        <v>2024-08-14 21:14:07</v>
      </c>
      <c r="C1837" s="5" t="s">
        <v>25</v>
      </c>
      <c r="D1837" s="6" t="s">
        <v>25</v>
      </c>
      <c r="E1837" s="7">
        <f>VLOOKUP(A1837,Sheet2!$A$2:$R$3432,4,0)</f>
        <v>9130009098</v>
      </c>
      <c r="F1837" s="7" t="str">
        <f>VLOOKUP(A1837,Sheet2!$A$2:$R$3432,3,0)</f>
        <v>Manorama Gadge</v>
      </c>
      <c r="G1837" s="5" t="s">
        <v>25</v>
      </c>
      <c r="H1837" s="5" t="s">
        <v>25</v>
      </c>
      <c r="I1837" s="5" t="s">
        <v>25</v>
      </c>
      <c r="J1837" s="5" t="s">
        <v>25</v>
      </c>
      <c r="K1837" s="7" t="str">
        <f>VLOOKUP(A1837,Sheet2!$A$2:$R$3432,6,0)</f>
        <v>Honda Activa 5G</v>
      </c>
      <c r="L1837" s="5" t="s">
        <v>25</v>
      </c>
      <c r="M1837" s="7" t="str">
        <f>VLOOKUP(A1837,Sheet2!$A$2:$R$3432,5,0)</f>
        <v>MH14FZ4214</v>
      </c>
      <c r="N1837" s="5" t="s">
        <v>25</v>
      </c>
      <c r="O1837" s="5" t="s">
        <v>25</v>
      </c>
      <c r="P1837" s="6" t="s">
        <v>25</v>
      </c>
      <c r="Q1837" s="5" t="s">
        <v>25</v>
      </c>
      <c r="R1837" s="5" t="s">
        <v>25</v>
      </c>
      <c r="S1837" s="5" t="str">
        <f>VLOOKUP(A1837,Sheet2!$A$2:$R$3432,18,0)</f>
        <v>JFS0ET6089714X</v>
      </c>
      <c r="T1837" s="7" t="str">
        <f>VLOOKUP(A1837,Sheet2!$A$2:$R$3432,17,0)</f>
        <v>ME4JFS09MGT089401</v>
      </c>
    </row>
    <row r="1838" ht="15.75" customHeight="1">
      <c r="A1838" s="3" t="s">
        <v>1861</v>
      </c>
      <c r="B1838" s="4" t="str">
        <f>VLOOKUP(A1838,Sheet2!$A$2:$R$3432,2,0)</f>
        <v>2024-08-14 21:17:53</v>
      </c>
      <c r="C1838" s="5" t="s">
        <v>25</v>
      </c>
      <c r="D1838" s="6" t="s">
        <v>25</v>
      </c>
      <c r="E1838" s="7">
        <f>VLOOKUP(A1838,Sheet2!$A$2:$R$3432,4,0)</f>
        <v>9637115783</v>
      </c>
      <c r="F1838" s="7" t="str">
        <f>VLOOKUP(A1838,Sheet2!$A$2:$R$3432,3,0)</f>
        <v>Sahil</v>
      </c>
      <c r="G1838" s="5" t="s">
        <v>25</v>
      </c>
      <c r="H1838" s="5" t="s">
        <v>25</v>
      </c>
      <c r="I1838" s="5" t="s">
        <v>25</v>
      </c>
      <c r="J1838" s="5" t="s">
        <v>25</v>
      </c>
      <c r="K1838" s="7" t="str">
        <f>VLOOKUP(A1838,Sheet2!$A$2:$R$3432,6,0)</f>
        <v>Honda Activa 6G</v>
      </c>
      <c r="L1838" s="5" t="s">
        <v>25</v>
      </c>
      <c r="M1838" s="7" t="str">
        <f>VLOOKUP(A1838,Sheet2!$A$2:$R$3432,5,0)</f>
        <v>MH16CT0006</v>
      </c>
      <c r="N1838" s="5" t="s">
        <v>25</v>
      </c>
      <c r="O1838" s="5" t="s">
        <v>25</v>
      </c>
      <c r="P1838" s="6" t="s">
        <v>25</v>
      </c>
      <c r="Q1838" s="5" t="s">
        <v>25</v>
      </c>
      <c r="R1838" s="5" t="s">
        <v>25</v>
      </c>
      <c r="S1838" s="5" t="str">
        <f>VLOOKUP(A1838,Sheet2!$A$2:$R$3432,18,0)</f>
        <v>JF91EG0000934</v>
      </c>
      <c r="T1838" s="7" t="str">
        <f>VLOOKUP(A1838,Sheet2!$A$2:$R$3432,17,0)</f>
        <v>ME4JE913AL60008458</v>
      </c>
    </row>
    <row r="1839" ht="15.75" customHeight="1">
      <c r="A1839" s="3" t="s">
        <v>1862</v>
      </c>
      <c r="B1839" s="4" t="str">
        <f>VLOOKUP(A1839,Sheet2!$A$2:$R$3432,2,0)</f>
        <v>2024-11-27 19:45:30</v>
      </c>
      <c r="C1839" s="5" t="s">
        <v>25</v>
      </c>
      <c r="D1839" s="6" t="s">
        <v>25</v>
      </c>
      <c r="E1839" s="7">
        <f>VLOOKUP(A1839,Sheet2!$A$2:$R$3432,4,0)</f>
        <v>7744928361</v>
      </c>
      <c r="F1839" s="7" t="str">
        <f>VLOOKUP(A1839,Sheet2!$A$2:$R$3432,3,0)</f>
        <v>Prathama Rode</v>
      </c>
      <c r="G1839" s="5" t="s">
        <v>25</v>
      </c>
      <c r="H1839" s="5" t="s">
        <v>25</v>
      </c>
      <c r="I1839" s="5" t="s">
        <v>25</v>
      </c>
      <c r="J1839" s="5" t="s">
        <v>25</v>
      </c>
      <c r="K1839" s="7" t="str">
        <f>VLOOKUP(A1839,Sheet2!$A$2:$R$3432,6,0)</f>
        <v>Honda Activa 6G</v>
      </c>
      <c r="L1839" s="5" t="s">
        <v>25</v>
      </c>
      <c r="M1839" s="7" t="str">
        <f>VLOOKUP(A1839,Sheet2!$A$2:$R$3432,5,0)</f>
        <v>MH09GC1336</v>
      </c>
      <c r="N1839" s="5" t="s">
        <v>25</v>
      </c>
      <c r="O1839" s="5" t="s">
        <v>25</v>
      </c>
      <c r="P1839" s="6" t="s">
        <v>25</v>
      </c>
      <c r="Q1839" s="5" t="s">
        <v>25</v>
      </c>
      <c r="R1839" s="5" t="s">
        <v>25</v>
      </c>
      <c r="S1839" s="7" t="str">
        <f>VLOOKUP(A1839,Sheet2!$A$2:$R$3432,18,0)</f>
        <v/>
      </c>
      <c r="T1839" s="7" t="str">
        <f>VLOOKUP(A1839,Sheet2!$A$2:$R$3432,17,0)</f>
        <v/>
      </c>
    </row>
    <row r="1840" ht="15.75" customHeight="1">
      <c r="A1840" s="3" t="s">
        <v>1863</v>
      </c>
      <c r="B1840" s="4" t="str">
        <f>VLOOKUP(A1840,Sheet2!$A$2:$R$3432,2,0)</f>
        <v>2024-11-27 19:45:44</v>
      </c>
      <c r="C1840" s="5" t="s">
        <v>25</v>
      </c>
      <c r="D1840" s="6" t="s">
        <v>25</v>
      </c>
      <c r="E1840" s="7">
        <f>VLOOKUP(A1840,Sheet2!$A$2:$R$3432,4,0)</f>
        <v>8308974699</v>
      </c>
      <c r="F1840" s="7" t="str">
        <f>VLOOKUP(A1840,Sheet2!$A$2:$R$3432,3,0)</f>
        <v> Matthew </v>
      </c>
      <c r="G1840" s="5" t="s">
        <v>25</v>
      </c>
      <c r="H1840" s="5" t="s">
        <v>25</v>
      </c>
      <c r="I1840" s="5" t="s">
        <v>25</v>
      </c>
      <c r="J1840" s="5" t="s">
        <v>25</v>
      </c>
      <c r="K1840" s="7" t="str">
        <f>VLOOKUP(A1840,Sheet2!$A$2:$R$3432,6,0)</f>
        <v>Yamaha Aerox 155</v>
      </c>
      <c r="L1840" s="5" t="s">
        <v>25</v>
      </c>
      <c r="M1840" s="7" t="str">
        <f>VLOOKUP(A1840,Sheet2!$A$2:$R$3432,5,0)</f>
        <v>MH14KG8312</v>
      </c>
      <c r="N1840" s="5" t="s">
        <v>25</v>
      </c>
      <c r="O1840" s="5" t="s">
        <v>25</v>
      </c>
      <c r="P1840" s="6" t="s">
        <v>25</v>
      </c>
      <c r="Q1840" s="5" t="s">
        <v>25</v>
      </c>
      <c r="R1840" s="5" t="s">
        <v>25</v>
      </c>
      <c r="S1840" s="7" t="str">
        <f>VLOOKUP(A1840,Sheet2!$A$2:$R$3432,18,0)</f>
        <v/>
      </c>
      <c r="T1840" s="7" t="str">
        <f>VLOOKUP(A1840,Sheet2!$A$2:$R$3432,17,0)</f>
        <v/>
      </c>
    </row>
    <row r="1841" ht="15.75" customHeight="1">
      <c r="A1841" s="3" t="s">
        <v>1864</v>
      </c>
      <c r="B1841" s="4" t="str">
        <f>VLOOKUP(A1841,Sheet2!$A$2:$R$3432,2,0)</f>
        <v>2024-11-27 19:45:15</v>
      </c>
      <c r="C1841" s="5" t="s">
        <v>25</v>
      </c>
      <c r="D1841" s="6" t="s">
        <v>25</v>
      </c>
      <c r="E1841" s="7">
        <f>VLOOKUP(A1841,Sheet2!$A$2:$R$3432,4,0)</f>
        <v>8975392900</v>
      </c>
      <c r="F1841" s="7" t="str">
        <f>VLOOKUP(A1841,Sheet2!$A$2:$R$3432,3,0)</f>
        <v>PRIYANKA KASETWAR</v>
      </c>
      <c r="G1841" s="5" t="s">
        <v>25</v>
      </c>
      <c r="H1841" s="5" t="s">
        <v>25</v>
      </c>
      <c r="I1841" s="5" t="s">
        <v>25</v>
      </c>
      <c r="J1841" s="5" t="s">
        <v>25</v>
      </c>
      <c r="K1841" s="7" t="str">
        <f>VLOOKUP(A1841,Sheet2!$A$2:$R$3432,6,0)</f>
        <v>TVS Jupiter </v>
      </c>
      <c r="L1841" s="5" t="s">
        <v>25</v>
      </c>
      <c r="M1841" s="7" t="str">
        <f>VLOOKUP(A1841,Sheet2!$A$2:$R$3432,5,0)</f>
        <v>MH14GV8908</v>
      </c>
      <c r="N1841" s="5" t="s">
        <v>25</v>
      </c>
      <c r="O1841" s="5" t="s">
        <v>25</v>
      </c>
      <c r="P1841" s="6" t="s">
        <v>25</v>
      </c>
      <c r="Q1841" s="5" t="s">
        <v>25</v>
      </c>
      <c r="R1841" s="5" t="s">
        <v>25</v>
      </c>
      <c r="S1841" s="5" t="str">
        <f>VLOOKUP(A1841,Sheet2!$A$2:$R$3432,18,0)</f>
        <v>EGBJ1362739</v>
      </c>
      <c r="T1841" s="7" t="str">
        <f>VLOOKUP(A1841,Sheet2!$A$2:$R$3432,17,0)</f>
        <v>MD626EG42J1B42919</v>
      </c>
    </row>
    <row r="1842" ht="15.75" customHeight="1">
      <c r="A1842" s="3" t="s">
        <v>1865</v>
      </c>
      <c r="B1842" s="4" t="str">
        <f>VLOOKUP(A1842,Sheet2!$A$2:$R$3432,2,0)</f>
        <v>2024-11-27 20:20:02</v>
      </c>
      <c r="C1842" s="5" t="s">
        <v>25</v>
      </c>
      <c r="D1842" s="6" t="s">
        <v>25</v>
      </c>
      <c r="E1842" s="7">
        <f>VLOOKUP(A1842,Sheet2!$A$2:$R$3432,4,0)</f>
        <v>9822781348</v>
      </c>
      <c r="F1842" s="7" t="str">
        <f>VLOOKUP(A1842,Sheet2!$A$2:$R$3432,3,0)</f>
        <v>Banvari Lal Chaudhary </v>
      </c>
      <c r="G1842" s="5" t="s">
        <v>25</v>
      </c>
      <c r="H1842" s="5" t="s">
        <v>25</v>
      </c>
      <c r="I1842" s="5" t="s">
        <v>25</v>
      </c>
      <c r="J1842" s="5" t="s">
        <v>25</v>
      </c>
      <c r="K1842" s="7" t="str">
        <f>VLOOKUP(A1842,Sheet2!$A$2:$R$3432,6,0)</f>
        <v>Hero Passion Pro</v>
      </c>
      <c r="L1842" s="5" t="s">
        <v>25</v>
      </c>
      <c r="M1842" s="7" t="str">
        <f>VLOOKUP(A1842,Sheet2!$A$2:$R$3432,5,0)</f>
        <v>MH12FJ2749</v>
      </c>
      <c r="N1842" s="5" t="s">
        <v>25</v>
      </c>
      <c r="O1842" s="5" t="s">
        <v>25</v>
      </c>
      <c r="P1842" s="6" t="s">
        <v>25</v>
      </c>
      <c r="Q1842" s="5" t="s">
        <v>25</v>
      </c>
      <c r="R1842" s="5" t="s">
        <v>25</v>
      </c>
      <c r="S1842" s="7" t="str">
        <f>VLOOKUP(A1842,Sheet2!$A$2:$R$3432,18,0)</f>
        <v/>
      </c>
      <c r="T1842" s="7" t="str">
        <f>VLOOKUP(A1842,Sheet2!$A$2:$R$3432,17,0)</f>
        <v/>
      </c>
    </row>
    <row r="1843" ht="15.75" customHeight="1">
      <c r="A1843" s="3" t="s">
        <v>1866</v>
      </c>
      <c r="B1843" s="4" t="str">
        <f>VLOOKUP(A1843,Sheet2!$A$2:$R$3432,2,0)</f>
        <v>2024-11-27 20:21:05</v>
      </c>
      <c r="C1843" s="5" t="s">
        <v>25</v>
      </c>
      <c r="D1843" s="6" t="s">
        <v>25</v>
      </c>
      <c r="E1843" s="7">
        <f>VLOOKUP(A1843,Sheet2!$A$2:$R$3432,4,0)</f>
        <v>8806771045</v>
      </c>
      <c r="F1843" s="7" t="str">
        <f>VLOOKUP(A1843,Sheet2!$A$2:$R$3432,3,0)</f>
        <v>Tushar Deshmukh </v>
      </c>
      <c r="G1843" s="5" t="s">
        <v>25</v>
      </c>
      <c r="H1843" s="5" t="s">
        <v>25</v>
      </c>
      <c r="I1843" s="5" t="s">
        <v>25</v>
      </c>
      <c r="J1843" s="5" t="s">
        <v>25</v>
      </c>
      <c r="K1843" s="7" t="str">
        <f>VLOOKUP(A1843,Sheet2!$A$2:$R$3432,6,0)</f>
        <v>Suzuki Access </v>
      </c>
      <c r="L1843" s="5" t="s">
        <v>25</v>
      </c>
      <c r="M1843" s="7" t="str">
        <f>VLOOKUP(A1843,Sheet2!$A$2:$R$3432,5,0)</f>
        <v>MH30BS2100</v>
      </c>
      <c r="N1843" s="5" t="s">
        <v>25</v>
      </c>
      <c r="O1843" s="5" t="s">
        <v>25</v>
      </c>
      <c r="P1843" s="6" t="s">
        <v>25</v>
      </c>
      <c r="Q1843" s="5" t="s">
        <v>25</v>
      </c>
      <c r="R1843" s="5" t="s">
        <v>25</v>
      </c>
      <c r="S1843" s="7" t="str">
        <f>VLOOKUP(A1843,Sheet2!$A$2:$R$3432,18,0)</f>
        <v/>
      </c>
      <c r="T1843" s="7" t="str">
        <f>VLOOKUP(A1843,Sheet2!$A$2:$R$3432,17,0)</f>
        <v/>
      </c>
    </row>
    <row r="1844" ht="15.75" customHeight="1">
      <c r="A1844" s="3" t="s">
        <v>1867</v>
      </c>
      <c r="B1844" s="4" t="str">
        <f>VLOOKUP(A1844,Sheet2!$A$2:$R$3432,2,0)</f>
        <v>2024-11-27 20:38:55</v>
      </c>
      <c r="C1844" s="5" t="s">
        <v>25</v>
      </c>
      <c r="D1844" s="6" t="s">
        <v>25</v>
      </c>
      <c r="E1844" s="7">
        <f>VLOOKUP(A1844,Sheet2!$A$2:$R$3432,4,0)</f>
        <v>9726766235</v>
      </c>
      <c r="F1844" s="7" t="str">
        <f>VLOOKUP(A1844,Sheet2!$A$2:$R$3432,3,0)</f>
        <v>RISHABH</v>
      </c>
      <c r="G1844" s="5" t="s">
        <v>25</v>
      </c>
      <c r="H1844" s="5" t="s">
        <v>25</v>
      </c>
      <c r="I1844" s="5" t="s">
        <v>25</v>
      </c>
      <c r="J1844" s="5" t="s">
        <v>25</v>
      </c>
      <c r="K1844" s="7" t="str">
        <f>VLOOKUP(A1844,Sheet2!$A$2:$R$3432,6,0)</f>
        <v>Royal Enfield Classic 350</v>
      </c>
      <c r="L1844" s="5" t="s">
        <v>25</v>
      </c>
      <c r="M1844" s="7" t="str">
        <f>VLOOKUP(A1844,Sheet2!$A$2:$R$3432,5,0)</f>
        <v>GJ01EY4099</v>
      </c>
      <c r="N1844" s="5" t="s">
        <v>25</v>
      </c>
      <c r="O1844" s="5" t="s">
        <v>25</v>
      </c>
      <c r="P1844" s="6" t="s">
        <v>25</v>
      </c>
      <c r="Q1844" s="5" t="s">
        <v>25</v>
      </c>
      <c r="R1844" s="5" t="s">
        <v>25</v>
      </c>
      <c r="S1844" s="5" t="str">
        <f>VLOOKUP(A1844,Sheet2!$A$2:$R$3432,18,0)</f>
        <v>U3S5CLF1010336</v>
      </c>
      <c r="T1844" s="7" t="str">
        <f>VLOOKUP(A1844,Sheet2!$A$2:$R$3432,17,0)</f>
        <v>ME3U355CLFH271130</v>
      </c>
    </row>
    <row r="1845" ht="15.75" customHeight="1">
      <c r="A1845" s="3" t="s">
        <v>1868</v>
      </c>
      <c r="B1845" s="4" t="str">
        <f>VLOOKUP(A1845,Sheet2!$A$2:$R$3432,2,0)</f>
        <v>2025-05-19 17:50:39</v>
      </c>
      <c r="C1845" s="5" t="s">
        <v>25</v>
      </c>
      <c r="D1845" s="6" t="s">
        <v>25</v>
      </c>
      <c r="E1845" s="7">
        <f>VLOOKUP(A1845,Sheet2!$A$2:$R$3432,4,0)</f>
        <v>9545451334</v>
      </c>
      <c r="F1845" s="7" t="str">
        <f>VLOOKUP(A1845,Sheet2!$A$2:$R$3432,3,0)</f>
        <v>AJIT NIRGUDKAR</v>
      </c>
      <c r="G1845" s="5" t="s">
        <v>25</v>
      </c>
      <c r="H1845" s="5" t="s">
        <v>25</v>
      </c>
      <c r="I1845" s="5" t="s">
        <v>25</v>
      </c>
      <c r="J1845" s="5" t="s">
        <v>25</v>
      </c>
      <c r="K1845" s="7" t="str">
        <f>VLOOKUP(A1845,Sheet2!$A$2:$R$3432,6,0)</f>
        <v>Honda Activa 3G</v>
      </c>
      <c r="L1845" s="5" t="s">
        <v>25</v>
      </c>
      <c r="M1845" s="7" t="str">
        <f>VLOOKUP(A1845,Sheet2!$A$2:$R$3432,5,0)</f>
        <v>MH12MH3550</v>
      </c>
      <c r="N1845" s="5" t="s">
        <v>25</v>
      </c>
      <c r="O1845" s="5" t="s">
        <v>25</v>
      </c>
      <c r="P1845" s="6" t="s">
        <v>25</v>
      </c>
      <c r="Q1845" s="5" t="s">
        <v>25</v>
      </c>
      <c r="R1845" s="5" t="s">
        <v>25</v>
      </c>
      <c r="S1845" s="7" t="str">
        <f>VLOOKUP(A1845,Sheet2!$A$2:$R$3432,18,0)</f>
        <v/>
      </c>
      <c r="T1845" s="7" t="str">
        <f>VLOOKUP(A1845,Sheet2!$A$2:$R$3432,17,0)</f>
        <v/>
      </c>
    </row>
    <row r="1846" ht="15.75" customHeight="1">
      <c r="A1846" s="3" t="s">
        <v>1869</v>
      </c>
      <c r="B1846" s="4" t="str">
        <f>VLOOKUP(A1846,Sheet2!$A$2:$R$3432,2,0)</f>
        <v>2025-05-19 17:49:43</v>
      </c>
      <c r="C1846" s="5" t="s">
        <v>25</v>
      </c>
      <c r="D1846" s="6" t="s">
        <v>25</v>
      </c>
      <c r="E1846" s="7">
        <f>VLOOKUP(A1846,Sheet2!$A$2:$R$3432,4,0)</f>
        <v>9637221552</v>
      </c>
      <c r="F1846" s="7" t="str">
        <f>VLOOKUP(A1846,Sheet2!$A$2:$R$3432,3,0)</f>
        <v>Sonawane </v>
      </c>
      <c r="G1846" s="5" t="s">
        <v>25</v>
      </c>
      <c r="H1846" s="5" t="s">
        <v>25</v>
      </c>
      <c r="I1846" s="5" t="s">
        <v>25</v>
      </c>
      <c r="J1846" s="5" t="s">
        <v>25</v>
      </c>
      <c r="K1846" s="7" t="str">
        <f>VLOOKUP(A1846,Sheet2!$A$2:$R$3432,6,0)</f>
        <v>Honda Activa 6G</v>
      </c>
      <c r="L1846" s="5" t="s">
        <v>25</v>
      </c>
      <c r="M1846" s="7" t="str">
        <f>VLOOKUP(A1846,Sheet2!$A$2:$R$3432,5,0)</f>
        <v>MH14JB3314</v>
      </c>
      <c r="N1846" s="5" t="s">
        <v>25</v>
      </c>
      <c r="O1846" s="5" t="s">
        <v>25</v>
      </c>
      <c r="P1846" s="6" t="s">
        <v>25</v>
      </c>
      <c r="Q1846" s="5" t="s">
        <v>25</v>
      </c>
      <c r="R1846" s="5" t="s">
        <v>25</v>
      </c>
      <c r="S1846" s="5" t="str">
        <f>VLOOKUP(A1846,Sheet2!$A$2:$R$3432,18,0)</f>
        <v>JF91E0004872</v>
      </c>
      <c r="T1846" s="7" t="str">
        <f>VLOOKUP(A1846,Sheet2!$A$2:$R$3432,17,0)</f>
        <v>ME4JF913ALD00968</v>
      </c>
    </row>
    <row r="1847" ht="15.75" customHeight="1">
      <c r="A1847" s="3" t="s">
        <v>1870</v>
      </c>
      <c r="B1847" s="4" t="str">
        <f>VLOOKUP(A1847,Sheet2!$A$2:$R$3432,2,0)</f>
        <v>2025-05-19 18:33:01</v>
      </c>
      <c r="C1847" s="5" t="s">
        <v>25</v>
      </c>
      <c r="D1847" s="6" t="s">
        <v>25</v>
      </c>
      <c r="E1847" s="7">
        <f>VLOOKUP(A1847,Sheet2!$A$2:$R$3432,4,0)</f>
        <v>9424668421</v>
      </c>
      <c r="F1847" s="7" t="str">
        <f>VLOOKUP(A1847,Sheet2!$A$2:$R$3432,3,0)</f>
        <v>Tejas Ubale</v>
      </c>
      <c r="G1847" s="5" t="s">
        <v>25</v>
      </c>
      <c r="H1847" s="5" t="s">
        <v>25</v>
      </c>
      <c r="I1847" s="5" t="s">
        <v>25</v>
      </c>
      <c r="J1847" s="5" t="s">
        <v>25</v>
      </c>
      <c r="K1847" s="7" t="str">
        <f>VLOOKUP(A1847,Sheet2!$A$2:$R$3432,6,0)</f>
        <v>Honda Activa 125</v>
      </c>
      <c r="L1847" s="5" t="s">
        <v>25</v>
      </c>
      <c r="M1847" s="7" t="str">
        <f>VLOOKUP(A1847,Sheet2!$A$2:$R$3432,5,0)</f>
        <v>MH12VS5242</v>
      </c>
      <c r="N1847" s="5" t="s">
        <v>25</v>
      </c>
      <c r="O1847" s="5" t="s">
        <v>25</v>
      </c>
      <c r="P1847" s="6" t="s">
        <v>25</v>
      </c>
      <c r="Q1847" s="5" t="s">
        <v>25</v>
      </c>
      <c r="R1847" s="5" t="s">
        <v>25</v>
      </c>
      <c r="S1847" s="5" t="str">
        <f>VLOOKUP(A1847,Sheet2!$A$2:$R$3432,18,0)</f>
        <v>JF49E82148185</v>
      </c>
      <c r="T1847" s="7" t="str">
        <f>VLOOKUP(A1847,Sheet2!$A$2:$R$3432,17,0)</f>
        <v>ME4JF95418093076</v>
      </c>
    </row>
    <row r="1848" ht="15.75" customHeight="1">
      <c r="A1848" s="3" t="s">
        <v>1871</v>
      </c>
      <c r="B1848" s="4" t="str">
        <f>VLOOKUP(A1848,Sheet2!$A$2:$R$3432,2,0)</f>
        <v>2025-05-19 18:31:52</v>
      </c>
      <c r="C1848" s="5" t="s">
        <v>25</v>
      </c>
      <c r="D1848" s="6" t="s">
        <v>25</v>
      </c>
      <c r="E1848" s="7">
        <f>VLOOKUP(A1848,Sheet2!$A$2:$R$3432,4,0)</f>
        <v>9033081369</v>
      </c>
      <c r="F1848" s="7" t="str">
        <f>VLOOKUP(A1848,Sheet2!$A$2:$R$3432,3,0)</f>
        <v>Parth</v>
      </c>
      <c r="G1848" s="5" t="s">
        <v>25</v>
      </c>
      <c r="H1848" s="5" t="s">
        <v>25</v>
      </c>
      <c r="I1848" s="5" t="s">
        <v>25</v>
      </c>
      <c r="J1848" s="5" t="s">
        <v>25</v>
      </c>
      <c r="K1848" s="7" t="str">
        <f>VLOOKUP(A1848,Sheet2!$A$2:$R$3432,6,0)</f>
        <v>Honda Activa 110</v>
      </c>
      <c r="L1848" s="5" t="s">
        <v>25</v>
      </c>
      <c r="M1848" s="7" t="str">
        <f>VLOOKUP(A1848,Sheet2!$A$2:$R$3432,5,0)</f>
        <v>MH14DG9986</v>
      </c>
      <c r="N1848" s="5" t="s">
        <v>25</v>
      </c>
      <c r="O1848" s="5" t="s">
        <v>25</v>
      </c>
      <c r="P1848" s="6" t="s">
        <v>25</v>
      </c>
      <c r="Q1848" s="5" t="s">
        <v>25</v>
      </c>
      <c r="R1848" s="5" t="s">
        <v>25</v>
      </c>
      <c r="S1848" s="7" t="str">
        <f>VLOOKUP(A1848,Sheet2!$A$2:$R$3432,18,0)</f>
        <v/>
      </c>
      <c r="T1848" s="7" t="str">
        <f>VLOOKUP(A1848,Sheet2!$A$2:$R$3432,17,0)</f>
        <v/>
      </c>
    </row>
    <row r="1849" ht="15.75" customHeight="1">
      <c r="A1849" s="3" t="s">
        <v>1872</v>
      </c>
      <c r="B1849" s="4" t="str">
        <f>VLOOKUP(A1849,Sheet2!$A$2:$R$3432,2,0)</f>
        <v>2025-05-19 18:34:29</v>
      </c>
      <c r="C1849" s="5" t="s">
        <v>25</v>
      </c>
      <c r="D1849" s="6" t="s">
        <v>25</v>
      </c>
      <c r="E1849" s="7">
        <f>VLOOKUP(A1849,Sheet2!$A$2:$R$3432,4,0)</f>
        <v>9011183470</v>
      </c>
      <c r="F1849" s="7" t="str">
        <f>VLOOKUP(A1849,Sheet2!$A$2:$R$3432,3,0)</f>
        <v>ANIL HADPSARKAR </v>
      </c>
      <c r="G1849" s="5" t="s">
        <v>25</v>
      </c>
      <c r="H1849" s="5" t="s">
        <v>25</v>
      </c>
      <c r="I1849" s="5" t="s">
        <v>25</v>
      </c>
      <c r="J1849" s="5" t="s">
        <v>25</v>
      </c>
      <c r="K1849" s="7" t="str">
        <f>VLOOKUP(A1849,Sheet2!$A$2:$R$3432,6,0)</f>
        <v>Honda Activa 110</v>
      </c>
      <c r="L1849" s="5" t="s">
        <v>25</v>
      </c>
      <c r="M1849" s="7" t="str">
        <f>VLOOKUP(A1849,Sheet2!$A$2:$R$3432,5,0)</f>
        <v>MH12FT3159</v>
      </c>
      <c r="N1849" s="5" t="s">
        <v>25</v>
      </c>
      <c r="O1849" s="5" t="s">
        <v>25</v>
      </c>
      <c r="P1849" s="6" t="s">
        <v>25</v>
      </c>
      <c r="Q1849" s="5" t="s">
        <v>25</v>
      </c>
      <c r="R1849" s="5" t="s">
        <v>25</v>
      </c>
      <c r="S1849" s="5" t="str">
        <f>VLOOKUP(A1849,Sheet2!$A$2:$R$3432,18,0)</f>
        <v>JH4E037C725</v>
      </c>
      <c r="T1849" s="7" t="str">
        <f>VLOOKUP(A1849,Sheet2!$A$2:$R$3432,17,0)</f>
        <v>ME4JC446M93053016</v>
      </c>
    </row>
    <row r="1850" ht="15.75" customHeight="1">
      <c r="A1850" s="3" t="s">
        <v>1873</v>
      </c>
      <c r="B1850" s="4" t="str">
        <f>VLOOKUP(A1850,Sheet2!$A$2:$R$3432,2,0)</f>
        <v>2025-05-19 18:35:21</v>
      </c>
      <c r="C1850" s="5" t="s">
        <v>25</v>
      </c>
      <c r="D1850" s="6" t="s">
        <v>25</v>
      </c>
      <c r="E1850" s="7">
        <f>VLOOKUP(A1850,Sheet2!$A$2:$R$3432,4,0)</f>
        <v>9130301142</v>
      </c>
      <c r="F1850" s="7" t="str">
        <f>VLOOKUP(A1850,Sheet2!$A$2:$R$3432,3,0)</f>
        <v>GOPI</v>
      </c>
      <c r="G1850" s="5" t="s">
        <v>25</v>
      </c>
      <c r="H1850" s="5" t="s">
        <v>25</v>
      </c>
      <c r="I1850" s="5" t="s">
        <v>25</v>
      </c>
      <c r="J1850" s="5" t="s">
        <v>25</v>
      </c>
      <c r="K1850" s="7" t="str">
        <f>VLOOKUP(A1850,Sheet2!$A$2:$R$3432,6,0)</f>
        <v>Hero Duet </v>
      </c>
      <c r="L1850" s="5" t="s">
        <v>25</v>
      </c>
      <c r="M1850" s="7" t="str">
        <f>VLOOKUP(A1850,Sheet2!$A$2:$R$3432,5,0)</f>
        <v>MH14HS6554</v>
      </c>
      <c r="N1850" s="5" t="s">
        <v>25</v>
      </c>
      <c r="O1850" s="5" t="s">
        <v>25</v>
      </c>
      <c r="P1850" s="6" t="s">
        <v>25</v>
      </c>
      <c r="Q1850" s="5" t="s">
        <v>25</v>
      </c>
      <c r="R1850" s="5" t="s">
        <v>25</v>
      </c>
      <c r="S1850" s="7" t="str">
        <f>VLOOKUP(A1850,Sheet2!$A$2:$R$3432,18,0)</f>
        <v/>
      </c>
      <c r="T1850" s="7" t="str">
        <f>VLOOKUP(A1850,Sheet2!$A$2:$R$3432,17,0)</f>
        <v/>
      </c>
    </row>
    <row r="1851" ht="15.75" customHeight="1">
      <c r="A1851" s="3" t="s">
        <v>1874</v>
      </c>
      <c r="B1851" s="4" t="str">
        <f>VLOOKUP(A1851,Sheet2!$A$2:$R$3432,2,0)</f>
        <v>2025-05-19 18:38:13</v>
      </c>
      <c r="C1851" s="5" t="s">
        <v>25</v>
      </c>
      <c r="D1851" s="6" t="s">
        <v>25</v>
      </c>
      <c r="E1851" s="7">
        <f>VLOOKUP(A1851,Sheet2!$A$2:$R$3432,4,0)</f>
        <v>9980976007</v>
      </c>
      <c r="F1851" s="7" t="str">
        <f>VLOOKUP(A1851,Sheet2!$A$2:$R$3432,3,0)</f>
        <v>Sagar Shivsharan</v>
      </c>
      <c r="G1851" s="5" t="s">
        <v>25</v>
      </c>
      <c r="H1851" s="5" t="s">
        <v>25</v>
      </c>
      <c r="I1851" s="5" t="s">
        <v>25</v>
      </c>
      <c r="J1851" s="5" t="s">
        <v>25</v>
      </c>
      <c r="K1851" s="7" t="str">
        <f>VLOOKUP(A1851,Sheet2!$A$2:$R$3432,6,0)</f>
        <v>Honda Dio New</v>
      </c>
      <c r="L1851" s="5" t="s">
        <v>25</v>
      </c>
      <c r="M1851" s="7" t="str">
        <f>VLOOKUP(A1851,Sheet2!$A$2:$R$3432,5,0)</f>
        <v>MH13CX6321</v>
      </c>
      <c r="N1851" s="5" t="s">
        <v>25</v>
      </c>
      <c r="O1851" s="5" t="s">
        <v>25</v>
      </c>
      <c r="P1851" s="6" t="s">
        <v>25</v>
      </c>
      <c r="Q1851" s="5" t="s">
        <v>25</v>
      </c>
      <c r="R1851" s="5" t="s">
        <v>25</v>
      </c>
      <c r="S1851" s="7" t="str">
        <f>VLOOKUP(A1851,Sheet2!$A$2:$R$3432,18,0)</f>
        <v/>
      </c>
      <c r="T1851" s="7" t="str">
        <f>VLOOKUP(A1851,Sheet2!$A$2:$R$3432,17,0)</f>
        <v/>
      </c>
    </row>
    <row r="1852" ht="15.75" customHeight="1">
      <c r="A1852" s="3" t="s">
        <v>1875</v>
      </c>
      <c r="B1852" s="4" t="str">
        <f>VLOOKUP(A1852,Sheet2!$A$2:$R$3432,2,0)</f>
        <v>2025-05-19 18:43:24</v>
      </c>
      <c r="C1852" s="5" t="s">
        <v>25</v>
      </c>
      <c r="D1852" s="6" t="s">
        <v>25</v>
      </c>
      <c r="E1852" s="7">
        <f>VLOOKUP(A1852,Sheet2!$A$2:$R$3432,4,0)</f>
        <v>9028274842</v>
      </c>
      <c r="F1852" s="7" t="str">
        <f>VLOOKUP(A1852,Sheet2!$A$2:$R$3432,3,0)</f>
        <v>Satyajeet Khumbhar</v>
      </c>
      <c r="G1852" s="5" t="s">
        <v>25</v>
      </c>
      <c r="H1852" s="5" t="s">
        <v>25</v>
      </c>
      <c r="I1852" s="5" t="s">
        <v>25</v>
      </c>
      <c r="J1852" s="5" t="s">
        <v>25</v>
      </c>
      <c r="K1852" s="7" t="str">
        <f>VLOOKUP(A1852,Sheet2!$A$2:$R$3432,6,0)</f>
        <v>Honda Shine SP</v>
      </c>
      <c r="L1852" s="5" t="s">
        <v>25</v>
      </c>
      <c r="M1852" s="7" t="str">
        <f>VLOOKUP(A1852,Sheet2!$A$2:$R$3432,5,0)</f>
        <v>MH09EY8063</v>
      </c>
      <c r="N1852" s="5" t="s">
        <v>25</v>
      </c>
      <c r="O1852" s="5" t="s">
        <v>25</v>
      </c>
      <c r="P1852" s="6" t="s">
        <v>25</v>
      </c>
      <c r="Q1852" s="5" t="s">
        <v>25</v>
      </c>
      <c r="R1852" s="5" t="s">
        <v>25</v>
      </c>
      <c r="S1852" s="7" t="str">
        <f>VLOOKUP(A1852,Sheet2!$A$2:$R$3432,18,0)</f>
        <v/>
      </c>
      <c r="T1852" s="7" t="str">
        <f>VLOOKUP(A1852,Sheet2!$A$2:$R$3432,17,0)</f>
        <v>ME4JC736G4T002611</v>
      </c>
    </row>
    <row r="1853" ht="15.75" customHeight="1">
      <c r="A1853" s="3" t="s">
        <v>1876</v>
      </c>
      <c r="B1853" s="4" t="str">
        <f>VLOOKUP(A1853,Sheet2!$A$2:$R$3432,2,0)</f>
        <v>2025-05-19 18:47:16</v>
      </c>
      <c r="C1853" s="5" t="s">
        <v>25</v>
      </c>
      <c r="D1853" s="6" t="s">
        <v>25</v>
      </c>
      <c r="E1853" s="7">
        <f>VLOOKUP(A1853,Sheet2!$A$2:$R$3432,4,0)</f>
        <v>9096433613</v>
      </c>
      <c r="F1853" s="7" t="str">
        <f>VLOOKUP(A1853,Sheet2!$A$2:$R$3432,3,0)</f>
        <v>Kedar Desai </v>
      </c>
      <c r="G1853" s="5" t="s">
        <v>25</v>
      </c>
      <c r="H1853" s="5" t="s">
        <v>25</v>
      </c>
      <c r="I1853" s="5" t="s">
        <v>25</v>
      </c>
      <c r="J1853" s="5" t="s">
        <v>25</v>
      </c>
      <c r="K1853" s="7" t="str">
        <f>VLOOKUP(A1853,Sheet2!$A$2:$R$3432,6,0)</f>
        <v>TVS Ntorq 125</v>
      </c>
      <c r="L1853" s="5" t="s">
        <v>25</v>
      </c>
      <c r="M1853" s="7" t="str">
        <f>VLOOKUP(A1853,Sheet2!$A$2:$R$3432,5,0)</f>
        <v>MH12RX0802</v>
      </c>
      <c r="N1853" s="5" t="s">
        <v>25</v>
      </c>
      <c r="O1853" s="5" t="s">
        <v>25</v>
      </c>
      <c r="P1853" s="6" t="s">
        <v>25</v>
      </c>
      <c r="Q1853" s="5" t="s">
        <v>25</v>
      </c>
      <c r="R1853" s="5" t="s">
        <v>25</v>
      </c>
      <c r="S1853" s="7" t="str">
        <f>VLOOKUP(A1853,Sheet2!$A$2:$R$3432,18,0)</f>
        <v/>
      </c>
      <c r="T1853" s="7" t="str">
        <f>VLOOKUP(A1853,Sheet2!$A$2:$R$3432,17,0)</f>
        <v/>
      </c>
    </row>
    <row r="1854" ht="15.75" customHeight="1">
      <c r="A1854" s="3" t="s">
        <v>1877</v>
      </c>
      <c r="B1854" s="4" t="str">
        <f>VLOOKUP(A1854,Sheet2!$A$2:$R$3432,2,0)</f>
        <v>2025-05-19 20:31:45</v>
      </c>
      <c r="C1854" s="5" t="s">
        <v>25</v>
      </c>
      <c r="D1854" s="6" t="s">
        <v>25</v>
      </c>
      <c r="E1854" s="7">
        <f>VLOOKUP(A1854,Sheet2!$A$2:$R$3432,4,0)</f>
        <v>8446273147</v>
      </c>
      <c r="F1854" s="7" t="str">
        <f>VLOOKUP(A1854,Sheet2!$A$2:$R$3432,3,0)</f>
        <v>Kaustubh </v>
      </c>
      <c r="G1854" s="5" t="s">
        <v>25</v>
      </c>
      <c r="H1854" s="5" t="s">
        <v>25</v>
      </c>
      <c r="I1854" s="5" t="s">
        <v>25</v>
      </c>
      <c r="J1854" s="5" t="s">
        <v>25</v>
      </c>
      <c r="K1854" s="7" t="str">
        <f>VLOOKUP(A1854,Sheet2!$A$2:$R$3432,6,0)</f>
        <v>TVS Jupiter </v>
      </c>
      <c r="L1854" s="5" t="s">
        <v>25</v>
      </c>
      <c r="M1854" s="7" t="str">
        <f>VLOOKUP(A1854,Sheet2!$A$2:$R$3432,5,0)</f>
        <v>MH14KM4881</v>
      </c>
      <c r="N1854" s="5" t="s">
        <v>25</v>
      </c>
      <c r="O1854" s="5" t="s">
        <v>25</v>
      </c>
      <c r="P1854" s="6" t="s">
        <v>25</v>
      </c>
      <c r="Q1854" s="5" t="s">
        <v>25</v>
      </c>
      <c r="R1854" s="5" t="s">
        <v>25</v>
      </c>
      <c r="S1854" s="5" t="str">
        <f>VLOOKUP(A1854,Sheet2!$A$2:$R$3432,18,0)</f>
        <v>EG5NN1609701</v>
      </c>
      <c r="T1854" s="7" t="str">
        <f>VLOOKUP(A1854,Sheet2!$A$2:$R$3432,17,0)</f>
        <v>MD626EG52N1N10284</v>
      </c>
    </row>
    <row r="1855" ht="15.75" customHeight="1">
      <c r="A1855" s="3" t="s">
        <v>1878</v>
      </c>
      <c r="B1855" s="4" t="str">
        <f>VLOOKUP(A1855,Sheet2!$A$2:$R$3432,2,0)</f>
        <v>2025-05-19 20:30:51</v>
      </c>
      <c r="C1855" s="5" t="s">
        <v>25</v>
      </c>
      <c r="D1855" s="6" t="s">
        <v>25</v>
      </c>
      <c r="E1855" s="7">
        <f>VLOOKUP(A1855,Sheet2!$A$2:$R$3432,4,0)</f>
        <v>9970099082</v>
      </c>
      <c r="F1855" s="7" t="str">
        <f>VLOOKUP(A1855,Sheet2!$A$2:$R$3432,3,0)</f>
        <v>Pankaj Patil</v>
      </c>
      <c r="G1855" s="5" t="s">
        <v>25</v>
      </c>
      <c r="H1855" s="5" t="s">
        <v>25</v>
      </c>
      <c r="I1855" s="5" t="s">
        <v>25</v>
      </c>
      <c r="J1855" s="5" t="s">
        <v>25</v>
      </c>
      <c r="K1855" s="7" t="str">
        <f>VLOOKUP(A1855,Sheet2!$A$2:$R$3432,6,0)</f>
        <v>Honda Activa 6G</v>
      </c>
      <c r="L1855" s="5" t="s">
        <v>25</v>
      </c>
      <c r="M1855" s="7" t="str">
        <f>VLOOKUP(A1855,Sheet2!$A$2:$R$3432,5,0)</f>
        <v>MH14JK9759</v>
      </c>
      <c r="N1855" s="5" t="s">
        <v>25</v>
      </c>
      <c r="O1855" s="5" t="s">
        <v>25</v>
      </c>
      <c r="P1855" s="6" t="s">
        <v>25</v>
      </c>
      <c r="Q1855" s="5" t="s">
        <v>25</v>
      </c>
      <c r="R1855" s="5" t="s">
        <v>25</v>
      </c>
      <c r="S1855" s="7" t="str">
        <f>VLOOKUP(A1855,Sheet2!$A$2:$R$3432,18,0)</f>
        <v/>
      </c>
      <c r="T1855" s="7" t="str">
        <f>VLOOKUP(A1855,Sheet2!$A$2:$R$3432,17,0)</f>
        <v/>
      </c>
    </row>
    <row r="1856" ht="15.75" customHeight="1">
      <c r="A1856" s="3" t="s">
        <v>1879</v>
      </c>
      <c r="B1856" s="4" t="str">
        <f>VLOOKUP(A1856,Sheet2!$A$2:$R$3432,2,0)</f>
        <v>2025-05-19 20:31:22</v>
      </c>
      <c r="C1856" s="5" t="s">
        <v>25</v>
      </c>
      <c r="D1856" s="6" t="s">
        <v>25</v>
      </c>
      <c r="E1856" s="7">
        <f>VLOOKUP(A1856,Sheet2!$A$2:$R$3432,4,0)</f>
        <v>9730186993</v>
      </c>
      <c r="F1856" s="7" t="str">
        <f>VLOOKUP(A1856,Sheet2!$A$2:$R$3432,3,0)</f>
        <v>Subhadra Gopalkrishnan</v>
      </c>
      <c r="G1856" s="5" t="s">
        <v>25</v>
      </c>
      <c r="H1856" s="5" t="s">
        <v>25</v>
      </c>
      <c r="I1856" s="5" t="s">
        <v>25</v>
      </c>
      <c r="J1856" s="5" t="s">
        <v>25</v>
      </c>
      <c r="K1856" s="7" t="str">
        <f>VLOOKUP(A1856,Sheet2!$A$2:$R$3432,6,0)</f>
        <v>Honda Activa 125</v>
      </c>
      <c r="L1856" s="5" t="s">
        <v>25</v>
      </c>
      <c r="M1856" s="7" t="str">
        <f>VLOOKUP(A1856,Sheet2!$A$2:$R$3432,5,0)</f>
        <v>MH12PU7694</v>
      </c>
      <c r="N1856" s="5" t="s">
        <v>25</v>
      </c>
      <c r="O1856" s="5" t="s">
        <v>25</v>
      </c>
      <c r="P1856" s="6" t="s">
        <v>25</v>
      </c>
      <c r="Q1856" s="5" t="s">
        <v>25</v>
      </c>
      <c r="R1856" s="5" t="s">
        <v>25</v>
      </c>
      <c r="S1856" s="7" t="str">
        <f>VLOOKUP(A1856,Sheet2!$A$2:$R$3432,18,0)</f>
        <v/>
      </c>
      <c r="T1856" s="7" t="str">
        <f>VLOOKUP(A1856,Sheet2!$A$2:$R$3432,17,0)</f>
        <v/>
      </c>
    </row>
    <row r="1857" ht="15.75" customHeight="1">
      <c r="A1857" s="3" t="s">
        <v>1880</v>
      </c>
      <c r="B1857" s="4" t="str">
        <f>VLOOKUP(A1857,Sheet2!$A$2:$R$3432,2,0)</f>
        <v>2025-05-19 20:32:04</v>
      </c>
      <c r="C1857" s="5" t="s">
        <v>25</v>
      </c>
      <c r="D1857" s="6" t="s">
        <v>25</v>
      </c>
      <c r="E1857" s="7">
        <f>VLOOKUP(A1857,Sheet2!$A$2:$R$3432,4,0)</f>
        <v>9545049944</v>
      </c>
      <c r="F1857" s="7" t="str">
        <f>VLOOKUP(A1857,Sheet2!$A$2:$R$3432,3,0)</f>
        <v>PRASAD MUNDHE</v>
      </c>
      <c r="G1857" s="5" t="s">
        <v>25</v>
      </c>
      <c r="H1857" s="5" t="s">
        <v>25</v>
      </c>
      <c r="I1857" s="5" t="s">
        <v>25</v>
      </c>
      <c r="J1857" s="5" t="s">
        <v>25</v>
      </c>
      <c r="K1857" s="7" t="str">
        <f>VLOOKUP(A1857,Sheet2!$A$2:$R$3432,6,0)</f>
        <v>Royal Enfield ThunderBird 350X</v>
      </c>
      <c r="L1857" s="5" t="s">
        <v>25</v>
      </c>
      <c r="M1857" s="7" t="str">
        <f>VLOOKUP(A1857,Sheet2!$A$2:$R$3432,5,0)</f>
        <v>MH12RG6148</v>
      </c>
      <c r="N1857" s="5" t="s">
        <v>25</v>
      </c>
      <c r="O1857" s="5" t="s">
        <v>25</v>
      </c>
      <c r="P1857" s="6" t="s">
        <v>25</v>
      </c>
      <c r="Q1857" s="5" t="s">
        <v>25</v>
      </c>
      <c r="R1857" s="5" t="s">
        <v>25</v>
      </c>
      <c r="S1857" s="5" t="str">
        <f>VLOOKUP(A1857,Sheet2!$A$2:$R$3432,18,0)</f>
        <v>U355D1KA1745536</v>
      </c>
      <c r="T1857" s="7" t="str">
        <f>VLOOKUP(A1857,Sheet2!$A$2:$R$3432,17,0)</f>
        <v>ME3U355C1KA407230</v>
      </c>
    </row>
    <row r="1858" ht="15.75" customHeight="1">
      <c r="A1858" s="3" t="s">
        <v>1881</v>
      </c>
      <c r="B1858" s="4" t="str">
        <f>VLOOKUP(A1858,Sheet2!$A$2:$R$3432,2,0)</f>
        <v>2025-05-19 20:32:31</v>
      </c>
      <c r="C1858" s="5" t="s">
        <v>25</v>
      </c>
      <c r="D1858" s="6" t="s">
        <v>25</v>
      </c>
      <c r="E1858" s="7">
        <f>VLOOKUP(A1858,Sheet2!$A$2:$R$3432,4,0)</f>
        <v>9545465522</v>
      </c>
      <c r="F1858" s="7" t="str">
        <f>VLOOKUP(A1858,Sheet2!$A$2:$R$3432,3,0)</f>
        <v>Aditya Rawangaonkar</v>
      </c>
      <c r="G1858" s="5" t="s">
        <v>25</v>
      </c>
      <c r="H1858" s="5" t="s">
        <v>25</v>
      </c>
      <c r="I1858" s="5" t="s">
        <v>25</v>
      </c>
      <c r="J1858" s="5" t="s">
        <v>25</v>
      </c>
      <c r="K1858" s="7" t="str">
        <f>VLOOKUP(A1858,Sheet2!$A$2:$R$3432,6,0)</f>
        <v>Honda Shine CB</v>
      </c>
      <c r="L1858" s="5" t="s">
        <v>25</v>
      </c>
      <c r="M1858" s="7" t="str">
        <f>VLOOKUP(A1858,Sheet2!$A$2:$R$3432,5,0)</f>
        <v>MH21BA2483</v>
      </c>
      <c r="N1858" s="5" t="s">
        <v>25</v>
      </c>
      <c r="O1858" s="5" t="s">
        <v>25</v>
      </c>
      <c r="P1858" s="6" t="s">
        <v>25</v>
      </c>
      <c r="Q1858" s="5" t="s">
        <v>25</v>
      </c>
      <c r="R1858" s="5" t="s">
        <v>25</v>
      </c>
      <c r="S1858" s="7" t="str">
        <f>VLOOKUP(A1858,Sheet2!$A$2:$R$3432,18,0)</f>
        <v/>
      </c>
      <c r="T1858" s="7" t="str">
        <f>VLOOKUP(A1858,Sheet2!$A$2:$R$3432,17,0)</f>
        <v/>
      </c>
    </row>
    <row r="1859" ht="15.75" customHeight="1">
      <c r="A1859" s="3" t="s">
        <v>1882</v>
      </c>
      <c r="B1859" s="4" t="str">
        <f>VLOOKUP(A1859,Sheet2!$A$2:$R$3432,2,0)</f>
        <v>2024-09-06 12:03:29</v>
      </c>
      <c r="C1859" s="5" t="s">
        <v>25</v>
      </c>
      <c r="D1859" s="6" t="s">
        <v>25</v>
      </c>
      <c r="E1859" s="7">
        <f>VLOOKUP(A1859,Sheet2!$A$2:$R$3432,4,0)</f>
        <v>9079841990</v>
      </c>
      <c r="F1859" s="7" t="str">
        <f>VLOOKUP(A1859,Sheet2!$A$2:$R$3432,3,0)</f>
        <v>Laxman</v>
      </c>
      <c r="G1859" s="5" t="s">
        <v>25</v>
      </c>
      <c r="H1859" s="5" t="s">
        <v>25</v>
      </c>
      <c r="I1859" s="5" t="s">
        <v>25</v>
      </c>
      <c r="J1859" s="5" t="s">
        <v>25</v>
      </c>
      <c r="K1859" s="7" t="str">
        <f>VLOOKUP(A1859,Sheet2!$A$2:$R$3432,6,0)</f>
        <v>Hero Splendor No Data</v>
      </c>
      <c r="L1859" s="5" t="s">
        <v>25</v>
      </c>
      <c r="M1859" s="7" t="str">
        <f>VLOOKUP(A1859,Sheet2!$A$2:$R$3432,5,0)</f>
        <v>MH14KR2258</v>
      </c>
      <c r="N1859" s="5" t="s">
        <v>25</v>
      </c>
      <c r="O1859" s="5" t="s">
        <v>25</v>
      </c>
      <c r="P1859" s="6" t="s">
        <v>25</v>
      </c>
      <c r="Q1859" s="5" t="s">
        <v>25</v>
      </c>
      <c r="R1859" s="5" t="s">
        <v>25</v>
      </c>
      <c r="S1859" s="7" t="str">
        <f>VLOOKUP(A1859,Sheet2!$A$2:$R$3432,18,0)</f>
        <v/>
      </c>
      <c r="T1859" s="7" t="str">
        <f>VLOOKUP(A1859,Sheet2!$A$2:$R$3432,17,0)</f>
        <v/>
      </c>
    </row>
    <row r="1860" ht="15.75" customHeight="1">
      <c r="A1860" s="3" t="s">
        <v>1883</v>
      </c>
      <c r="B1860" s="4" t="str">
        <f>VLOOKUP(A1860,Sheet2!$A$2:$R$3432,2,0)</f>
        <v>2024-09-06 10:20:50</v>
      </c>
      <c r="C1860" s="5" t="s">
        <v>25</v>
      </c>
      <c r="D1860" s="6" t="s">
        <v>25</v>
      </c>
      <c r="E1860" s="7">
        <f>VLOOKUP(A1860,Sheet2!$A$2:$R$3432,4,0)</f>
        <v>7709278135</v>
      </c>
      <c r="F1860" s="7" t="str">
        <f>VLOOKUP(A1860,Sheet2!$A$2:$R$3432,3,0)</f>
        <v>CHANDRA SHEKHAR </v>
      </c>
      <c r="G1860" s="5" t="s">
        <v>25</v>
      </c>
      <c r="H1860" s="5" t="s">
        <v>25</v>
      </c>
      <c r="I1860" s="5" t="s">
        <v>25</v>
      </c>
      <c r="J1860" s="5" t="s">
        <v>25</v>
      </c>
      <c r="K1860" s="7" t="str">
        <f>VLOOKUP(A1860,Sheet2!$A$2:$R$3432,6,0)</f>
        <v>Hero Pleasure </v>
      </c>
      <c r="L1860" s="5" t="s">
        <v>25</v>
      </c>
      <c r="M1860" s="7" t="str">
        <f>VLOOKUP(A1860,Sheet2!$A$2:$R$3432,5,0)</f>
        <v>MH14GF1373</v>
      </c>
      <c r="N1860" s="5" t="s">
        <v>25</v>
      </c>
      <c r="O1860" s="5" t="s">
        <v>25</v>
      </c>
      <c r="P1860" s="6" t="s">
        <v>25</v>
      </c>
      <c r="Q1860" s="5" t="s">
        <v>25</v>
      </c>
      <c r="R1860" s="5" t="s">
        <v>25</v>
      </c>
      <c r="S1860" s="7" t="str">
        <f>VLOOKUP(A1860,Sheet2!$A$2:$R$3432,18,0)</f>
        <v/>
      </c>
      <c r="T1860" s="7" t="str">
        <f>VLOOKUP(A1860,Sheet2!$A$2:$R$3432,17,0)</f>
        <v/>
      </c>
    </row>
    <row r="1861" ht="15.75" customHeight="1">
      <c r="A1861" s="3" t="s">
        <v>1884</v>
      </c>
      <c r="B1861" s="4" t="str">
        <f>VLOOKUP(A1861,Sheet2!$A$2:$R$3432,2,0)</f>
        <v>2024-09-06 10:24:53</v>
      </c>
      <c r="C1861" s="5" t="s">
        <v>25</v>
      </c>
      <c r="D1861" s="6" t="s">
        <v>25</v>
      </c>
      <c r="E1861" s="7">
        <f>VLOOKUP(A1861,Sheet2!$A$2:$R$3432,4,0)</f>
        <v>9933312911</v>
      </c>
      <c r="F1861" s="7" t="str">
        <f>VLOOKUP(A1861,Sheet2!$A$2:$R$3432,3,0)</f>
        <v>Animesh Das</v>
      </c>
      <c r="G1861" s="5" t="s">
        <v>25</v>
      </c>
      <c r="H1861" s="5" t="s">
        <v>25</v>
      </c>
      <c r="I1861" s="5" t="s">
        <v>25</v>
      </c>
      <c r="J1861" s="5" t="s">
        <v>25</v>
      </c>
      <c r="K1861" s="7" t="str">
        <f>VLOOKUP(A1861,Sheet2!$A$2:$R$3432,6,0)</f>
        <v>Honda Activa 110</v>
      </c>
      <c r="L1861" s="5" t="s">
        <v>25</v>
      </c>
      <c r="M1861" s="7" t="str">
        <f>VLOOKUP(A1861,Sheet2!$A$2:$R$3432,5,0)</f>
        <v>MH12GD0657</v>
      </c>
      <c r="N1861" s="5" t="s">
        <v>25</v>
      </c>
      <c r="O1861" s="5" t="s">
        <v>25</v>
      </c>
      <c r="P1861" s="6" t="s">
        <v>25</v>
      </c>
      <c r="Q1861" s="5" t="s">
        <v>25</v>
      </c>
      <c r="R1861" s="5" t="s">
        <v>25</v>
      </c>
      <c r="S1861" s="7" t="str">
        <f>VLOOKUP(A1861,Sheet2!$A$2:$R$3432,18,0)</f>
        <v/>
      </c>
      <c r="T1861" s="7" t="str">
        <f>VLOOKUP(A1861,Sheet2!$A$2:$R$3432,17,0)</f>
        <v>ME4JC446FA8280816</v>
      </c>
    </row>
    <row r="1862" ht="15.75" customHeight="1">
      <c r="A1862" s="3" t="s">
        <v>1885</v>
      </c>
      <c r="B1862" s="4" t="str">
        <f>VLOOKUP(A1862,Sheet2!$A$2:$R$3432,2,0)</f>
        <v>2024-09-06 10:50:09</v>
      </c>
      <c r="C1862" s="5" t="s">
        <v>25</v>
      </c>
      <c r="D1862" s="6" t="s">
        <v>25</v>
      </c>
      <c r="E1862" s="7">
        <f>VLOOKUP(A1862,Sheet2!$A$2:$R$3432,4,0)</f>
        <v>9422733881</v>
      </c>
      <c r="F1862" s="7" t="str">
        <f>VLOOKUP(A1862,Sheet2!$A$2:$R$3432,3,0)</f>
        <v>Prashant Jangam</v>
      </c>
      <c r="G1862" s="5" t="s">
        <v>25</v>
      </c>
      <c r="H1862" s="5" t="s">
        <v>25</v>
      </c>
      <c r="I1862" s="5" t="s">
        <v>25</v>
      </c>
      <c r="J1862" s="5" t="s">
        <v>25</v>
      </c>
      <c r="K1862" s="7" t="str">
        <f>VLOOKUP(A1862,Sheet2!$A$2:$R$3432,6,0)</f>
        <v>Suzuki Access 125</v>
      </c>
      <c r="L1862" s="5" t="s">
        <v>25</v>
      </c>
      <c r="M1862" s="7" t="str">
        <f>VLOOKUP(A1862,Sheet2!$A$2:$R$3432,5,0)</f>
        <v>MH11CX5882</v>
      </c>
      <c r="N1862" s="5" t="s">
        <v>25</v>
      </c>
      <c r="O1862" s="5" t="s">
        <v>25</v>
      </c>
      <c r="P1862" s="6" t="s">
        <v>25</v>
      </c>
      <c r="Q1862" s="5" t="s">
        <v>25</v>
      </c>
      <c r="R1862" s="5" t="s">
        <v>25</v>
      </c>
      <c r="S1862" s="5" t="str">
        <f>VLOOKUP(A1862,Sheet2!$A$2:$R$3432,18,0)</f>
        <v>AF21634857</v>
      </c>
      <c r="T1862" s="7" t="str">
        <f>VLOOKUP(A1862,Sheet2!$A$2:$R$3432,17,0)</f>
        <v>MB8DP12DCL8220620</v>
      </c>
    </row>
    <row r="1863" ht="15.75" customHeight="1">
      <c r="A1863" s="3" t="s">
        <v>1886</v>
      </c>
      <c r="B1863" s="4" t="str">
        <f>VLOOKUP(A1863,Sheet2!$A$2:$R$3432,2,0)</f>
        <v>2024-09-06 11:05:54</v>
      </c>
      <c r="C1863" s="5" t="s">
        <v>25</v>
      </c>
      <c r="D1863" s="6" t="s">
        <v>25</v>
      </c>
      <c r="E1863" s="7">
        <f>VLOOKUP(A1863,Sheet2!$A$2:$R$3432,4,0)</f>
        <v>7385859595</v>
      </c>
      <c r="F1863" s="7" t="str">
        <f>VLOOKUP(A1863,Sheet2!$A$2:$R$3432,3,0)</f>
        <v>Sachin Gadia</v>
      </c>
      <c r="G1863" s="5" t="s">
        <v>25</v>
      </c>
      <c r="H1863" s="5" t="s">
        <v>25</v>
      </c>
      <c r="I1863" s="5" t="s">
        <v>25</v>
      </c>
      <c r="J1863" s="5" t="s">
        <v>25</v>
      </c>
      <c r="K1863" s="7" t="str">
        <f>VLOOKUP(A1863,Sheet2!$A$2:$R$3432,6,0)</f>
        <v>Suzuki Access 125</v>
      </c>
      <c r="L1863" s="5" t="s">
        <v>25</v>
      </c>
      <c r="M1863" s="7" t="str">
        <f>VLOOKUP(A1863,Sheet2!$A$2:$R$3432,5,0)</f>
        <v>MH12QD5387</v>
      </c>
      <c r="N1863" s="5" t="s">
        <v>25</v>
      </c>
      <c r="O1863" s="5" t="s">
        <v>25</v>
      </c>
      <c r="P1863" s="6" t="s">
        <v>25</v>
      </c>
      <c r="Q1863" s="5" t="s">
        <v>25</v>
      </c>
      <c r="R1863" s="5" t="s">
        <v>25</v>
      </c>
      <c r="S1863" s="5" t="str">
        <f>VLOOKUP(A1863,Sheet2!$A$2:$R$3432,18,0)</f>
        <v>AF211495264</v>
      </c>
      <c r="T1863" s="7" t="str">
        <f>VLOOKUP(A1863,Sheet2!$A$2:$R$3432,17,0)</f>
        <v>MB8DP11ALH863839</v>
      </c>
    </row>
    <row r="1864" ht="15.75" customHeight="1">
      <c r="A1864" s="3" t="s">
        <v>1887</v>
      </c>
      <c r="B1864" s="4" t="str">
        <f>VLOOKUP(A1864,Sheet2!$A$2:$R$3432,2,0)</f>
        <v>2024-09-06 11:01:13</v>
      </c>
      <c r="C1864" s="5" t="s">
        <v>25</v>
      </c>
      <c r="D1864" s="6" t="s">
        <v>25</v>
      </c>
      <c r="E1864" s="7">
        <f>VLOOKUP(A1864,Sheet2!$A$2:$R$3432,4,0)</f>
        <v>9890276724</v>
      </c>
      <c r="F1864" s="7" t="str">
        <f>VLOOKUP(A1864,Sheet2!$A$2:$R$3432,3,0)</f>
        <v>MANOJ</v>
      </c>
      <c r="G1864" s="5" t="s">
        <v>25</v>
      </c>
      <c r="H1864" s="5" t="s">
        <v>25</v>
      </c>
      <c r="I1864" s="5" t="s">
        <v>25</v>
      </c>
      <c r="J1864" s="5" t="s">
        <v>25</v>
      </c>
      <c r="K1864" s="7" t="str">
        <f>VLOOKUP(A1864,Sheet2!$A$2:$R$3432,6,0)</f>
        <v>Bajaj Avenger 160 Street</v>
      </c>
      <c r="L1864" s="5" t="s">
        <v>25</v>
      </c>
      <c r="M1864" s="7" t="str">
        <f>VLOOKUP(A1864,Sheet2!$A$2:$R$3432,5,0)</f>
        <v>MH14HV6307</v>
      </c>
      <c r="N1864" s="5" t="s">
        <v>25</v>
      </c>
      <c r="O1864" s="5" t="s">
        <v>25</v>
      </c>
      <c r="P1864" s="6" t="s">
        <v>25</v>
      </c>
      <c r="Q1864" s="5" t="s">
        <v>25</v>
      </c>
      <c r="R1864" s="5" t="s">
        <v>25</v>
      </c>
      <c r="S1864" s="7" t="str">
        <f>VLOOKUP(A1864,Sheet2!$A$2:$R$3432,18,0)</f>
        <v/>
      </c>
      <c r="T1864" s="7" t="str">
        <f>VLOOKUP(A1864,Sheet2!$A$2:$R$3432,17,0)</f>
        <v/>
      </c>
    </row>
    <row r="1865" ht="15.75" customHeight="1">
      <c r="A1865" s="3" t="s">
        <v>1888</v>
      </c>
      <c r="B1865" s="4" t="str">
        <f>VLOOKUP(A1865,Sheet2!$A$2:$R$3432,2,0)</f>
        <v>2024-09-06 11:08:49</v>
      </c>
      <c r="C1865" s="5" t="s">
        <v>25</v>
      </c>
      <c r="D1865" s="6" t="s">
        <v>25</v>
      </c>
      <c r="E1865" s="7">
        <f>VLOOKUP(A1865,Sheet2!$A$2:$R$3432,4,0)</f>
        <v>8793489037</v>
      </c>
      <c r="F1865" s="7" t="str">
        <f>VLOOKUP(A1865,Sheet2!$A$2:$R$3432,3,0)</f>
        <v>Vivek Mishra</v>
      </c>
      <c r="G1865" s="5" t="s">
        <v>25</v>
      </c>
      <c r="H1865" s="5" t="s">
        <v>25</v>
      </c>
      <c r="I1865" s="5" t="s">
        <v>25</v>
      </c>
      <c r="J1865" s="5" t="s">
        <v>25</v>
      </c>
      <c r="K1865" s="7" t="str">
        <f>VLOOKUP(A1865,Sheet2!$A$2:$R$3432,6,0)</f>
        <v>Honda Activa 5G</v>
      </c>
      <c r="L1865" s="5" t="s">
        <v>25</v>
      </c>
      <c r="M1865" s="7" t="str">
        <f>VLOOKUP(A1865,Sheet2!$A$2:$R$3432,5,0)</f>
        <v>MH12QP6193</v>
      </c>
      <c r="N1865" s="5" t="s">
        <v>25</v>
      </c>
      <c r="O1865" s="5" t="s">
        <v>25</v>
      </c>
      <c r="P1865" s="6" t="s">
        <v>25</v>
      </c>
      <c r="Q1865" s="5" t="s">
        <v>25</v>
      </c>
      <c r="R1865" s="5" t="s">
        <v>25</v>
      </c>
      <c r="S1865" s="7" t="str">
        <f>VLOOKUP(A1865,Sheet2!$A$2:$R$3432,18,0)</f>
        <v/>
      </c>
      <c r="T1865" s="7" t="str">
        <f>VLOOKUP(A1865,Sheet2!$A$2:$R$3432,17,0)</f>
        <v>ME4JF50ACJU007277</v>
      </c>
    </row>
    <row r="1866" ht="15.75" customHeight="1">
      <c r="A1866" s="3" t="s">
        <v>1889</v>
      </c>
      <c r="B1866" s="4" t="str">
        <f>VLOOKUP(A1866,Sheet2!$A$2:$R$3432,2,0)</f>
        <v>2024-09-06 11:15:28</v>
      </c>
      <c r="C1866" s="5" t="s">
        <v>25</v>
      </c>
      <c r="D1866" s="6" t="s">
        <v>25</v>
      </c>
      <c r="E1866" s="7">
        <f>VLOOKUP(A1866,Sheet2!$A$2:$R$3432,4,0)</f>
        <v>8390072317</v>
      </c>
      <c r="F1866" s="7" t="str">
        <f>VLOOKUP(A1866,Sheet2!$A$2:$R$3432,3,0)</f>
        <v>MANOJ PATIL</v>
      </c>
      <c r="G1866" s="5" t="s">
        <v>25</v>
      </c>
      <c r="H1866" s="5" t="s">
        <v>25</v>
      </c>
      <c r="I1866" s="5" t="s">
        <v>25</v>
      </c>
      <c r="J1866" s="5" t="s">
        <v>25</v>
      </c>
      <c r="K1866" s="7" t="str">
        <f>VLOOKUP(A1866,Sheet2!$A$2:$R$3432,6,0)</f>
        <v>Suzuki Access 125</v>
      </c>
      <c r="L1866" s="5" t="s">
        <v>25</v>
      </c>
      <c r="M1866" s="7" t="str">
        <f>VLOOKUP(A1866,Sheet2!$A$2:$R$3432,5,0)</f>
        <v>MH15HB0660</v>
      </c>
      <c r="N1866" s="5" t="s">
        <v>25</v>
      </c>
      <c r="O1866" s="5" t="s">
        <v>25</v>
      </c>
      <c r="P1866" s="6" t="s">
        <v>25</v>
      </c>
      <c r="Q1866" s="5" t="s">
        <v>25</v>
      </c>
      <c r="R1866" s="5" t="s">
        <v>25</v>
      </c>
      <c r="S1866" s="5" t="str">
        <f>VLOOKUP(A1866,Sheet2!$A$2:$R$3432,18,0)</f>
        <v>AF212190704</v>
      </c>
      <c r="T1866" s="7" t="str">
        <f>VLOOKUP(A1866,Sheet2!$A$2:$R$3432,17,0)</f>
        <v>MB8DP11AKK8F81701</v>
      </c>
    </row>
    <row r="1867" ht="15.75" customHeight="1">
      <c r="A1867" s="3" t="s">
        <v>1890</v>
      </c>
      <c r="B1867" s="4" t="str">
        <f>VLOOKUP(A1867,Sheet2!$A$2:$R$3432,2,0)</f>
        <v>2024-09-06 12:02:04</v>
      </c>
      <c r="C1867" s="5" t="s">
        <v>25</v>
      </c>
      <c r="D1867" s="6" t="s">
        <v>25</v>
      </c>
      <c r="E1867" s="7">
        <f>VLOOKUP(A1867,Sheet2!$A$2:$R$3432,4,0)</f>
        <v>9930818619</v>
      </c>
      <c r="F1867" s="7" t="str">
        <f>VLOOKUP(A1867,Sheet2!$A$2:$R$3432,3,0)</f>
        <v>MANAN</v>
      </c>
      <c r="G1867" s="5" t="s">
        <v>25</v>
      </c>
      <c r="H1867" s="5" t="s">
        <v>25</v>
      </c>
      <c r="I1867" s="5" t="s">
        <v>25</v>
      </c>
      <c r="J1867" s="5" t="s">
        <v>25</v>
      </c>
      <c r="K1867" s="7" t="str">
        <f>VLOOKUP(A1867,Sheet2!$A$2:$R$3432,6,0)</f>
        <v>Suzuki Access </v>
      </c>
      <c r="L1867" s="5" t="s">
        <v>25</v>
      </c>
      <c r="M1867" s="7" t="str">
        <f>VLOOKUP(A1867,Sheet2!$A$2:$R$3432,5,0)</f>
        <v>MH14CA1309</v>
      </c>
      <c r="N1867" s="5" t="s">
        <v>25</v>
      </c>
      <c r="O1867" s="5" t="s">
        <v>25</v>
      </c>
      <c r="P1867" s="6" t="s">
        <v>25</v>
      </c>
      <c r="Q1867" s="5" t="s">
        <v>25</v>
      </c>
      <c r="R1867" s="5" t="s">
        <v>25</v>
      </c>
      <c r="S1867" s="7" t="str">
        <f>VLOOKUP(A1867,Sheet2!$A$2:$R$3432,18,0)</f>
        <v/>
      </c>
      <c r="T1867" s="7" t="str">
        <f>VLOOKUP(A1867,Sheet2!$A$2:$R$3432,17,0)</f>
        <v/>
      </c>
    </row>
    <row r="1868" ht="15.75" customHeight="1">
      <c r="A1868" s="3" t="s">
        <v>1891</v>
      </c>
      <c r="B1868" s="4" t="str">
        <f>VLOOKUP(A1868,Sheet2!$A$2:$R$3432,2,0)</f>
        <v>2024-09-06 12:05:38</v>
      </c>
      <c r="C1868" s="5" t="s">
        <v>25</v>
      </c>
      <c r="D1868" s="6" t="s">
        <v>25</v>
      </c>
      <c r="E1868" s="7">
        <f>VLOOKUP(A1868,Sheet2!$A$2:$R$3432,4,0)</f>
        <v>8975003080</v>
      </c>
      <c r="F1868" s="7" t="str">
        <f>VLOOKUP(A1868,Sheet2!$A$2:$R$3432,3,0)</f>
        <v>SHUDHANSHU</v>
      </c>
      <c r="G1868" s="5" t="s">
        <v>25</v>
      </c>
      <c r="H1868" s="5" t="s">
        <v>25</v>
      </c>
      <c r="I1868" s="5" t="s">
        <v>25</v>
      </c>
      <c r="J1868" s="5" t="s">
        <v>25</v>
      </c>
      <c r="K1868" s="7" t="str">
        <f>VLOOKUP(A1868,Sheet2!$A$2:$R$3432,6,0)</f>
        <v>Bajaj Pulsar 150</v>
      </c>
      <c r="L1868" s="5" t="s">
        <v>25</v>
      </c>
      <c r="M1868" s="7" t="str">
        <f>VLOOKUP(A1868,Sheet2!$A$2:$R$3432,5,0)</f>
        <v>MH32AQ7783</v>
      </c>
      <c r="N1868" s="5" t="s">
        <v>25</v>
      </c>
      <c r="O1868" s="5" t="s">
        <v>25</v>
      </c>
      <c r="P1868" s="6" t="s">
        <v>25</v>
      </c>
      <c r="Q1868" s="5" t="s">
        <v>25</v>
      </c>
      <c r="R1868" s="5" t="s">
        <v>25</v>
      </c>
      <c r="S1868" s="7" t="str">
        <f>VLOOKUP(A1868,Sheet2!$A$2:$R$3432,18,0)</f>
        <v/>
      </c>
      <c r="T1868" s="7" t="str">
        <f>VLOOKUP(A1868,Sheet2!$A$2:$R$3432,17,0)</f>
        <v/>
      </c>
    </row>
    <row r="1869" ht="15.75" customHeight="1">
      <c r="A1869" s="3" t="s">
        <v>1892</v>
      </c>
      <c r="B1869" s="4" t="str">
        <f>VLOOKUP(A1869,Sheet2!$A$2:$R$3432,2,0)</f>
        <v>2024-09-06 12:08:03</v>
      </c>
      <c r="C1869" s="5" t="s">
        <v>25</v>
      </c>
      <c r="D1869" s="6" t="s">
        <v>25</v>
      </c>
      <c r="E1869" s="7">
        <f>VLOOKUP(A1869,Sheet2!$A$2:$R$3432,4,0)</f>
        <v>7023966782</v>
      </c>
      <c r="F1869" s="7" t="str">
        <f>VLOOKUP(A1869,Sheet2!$A$2:$R$3432,3,0)</f>
        <v>Shreya </v>
      </c>
      <c r="G1869" s="5" t="s">
        <v>25</v>
      </c>
      <c r="H1869" s="5" t="s">
        <v>25</v>
      </c>
      <c r="I1869" s="5" t="s">
        <v>25</v>
      </c>
      <c r="J1869" s="5" t="s">
        <v>25</v>
      </c>
      <c r="K1869" s="7" t="str">
        <f>VLOOKUP(A1869,Sheet2!$A$2:$R$3432,6,0)</f>
        <v>TVS Jupiter </v>
      </c>
      <c r="L1869" s="5" t="s">
        <v>25</v>
      </c>
      <c r="M1869" s="7" t="str">
        <f>VLOOKUP(A1869,Sheet2!$A$2:$R$3432,5,0)</f>
        <v>MH14KX2278</v>
      </c>
      <c r="N1869" s="5" t="s">
        <v>25</v>
      </c>
      <c r="O1869" s="5" t="s">
        <v>25</v>
      </c>
      <c r="P1869" s="6" t="s">
        <v>25</v>
      </c>
      <c r="Q1869" s="5" t="s">
        <v>25</v>
      </c>
      <c r="R1869" s="5" t="s">
        <v>25</v>
      </c>
      <c r="S1869" s="7" t="str">
        <f>VLOOKUP(A1869,Sheet2!$A$2:$R$3432,18,0)</f>
        <v/>
      </c>
      <c r="T1869" s="7" t="str">
        <f>VLOOKUP(A1869,Sheet2!$A$2:$R$3432,17,0)</f>
        <v/>
      </c>
    </row>
    <row r="1870" ht="15.75" customHeight="1">
      <c r="A1870" s="3" t="s">
        <v>1893</v>
      </c>
      <c r="B1870" s="4" t="str">
        <f>VLOOKUP(A1870,Sheet2!$A$2:$R$3432,2,0)</f>
        <v>2024-09-06 12:03:57</v>
      </c>
      <c r="C1870" s="5" t="s">
        <v>25</v>
      </c>
      <c r="D1870" s="6" t="s">
        <v>25</v>
      </c>
      <c r="E1870" s="7">
        <f>VLOOKUP(A1870,Sheet2!$A$2:$R$3432,4,0)</f>
        <v>9175438352</v>
      </c>
      <c r="F1870" s="7" t="str">
        <f>VLOOKUP(A1870,Sheet2!$A$2:$R$3432,3,0)</f>
        <v>Bhagbat</v>
      </c>
      <c r="G1870" s="5" t="s">
        <v>25</v>
      </c>
      <c r="H1870" s="5" t="s">
        <v>25</v>
      </c>
      <c r="I1870" s="5" t="s">
        <v>25</v>
      </c>
      <c r="J1870" s="5" t="s">
        <v>25</v>
      </c>
      <c r="K1870" s="7" t="str">
        <f>VLOOKUP(A1870,Sheet2!$A$2:$R$3432,6,0)</f>
        <v>Hero Deluxe CD</v>
      </c>
      <c r="L1870" s="5" t="s">
        <v>25</v>
      </c>
      <c r="M1870" s="7" t="str">
        <f>VLOOKUP(A1870,Sheet2!$A$2:$R$3432,5,0)</f>
        <v>MH12EL4906</v>
      </c>
      <c r="N1870" s="5" t="s">
        <v>25</v>
      </c>
      <c r="O1870" s="5" t="s">
        <v>25</v>
      </c>
      <c r="P1870" s="6" t="s">
        <v>25</v>
      </c>
      <c r="Q1870" s="5" t="s">
        <v>25</v>
      </c>
      <c r="R1870" s="5" t="s">
        <v>25</v>
      </c>
      <c r="S1870" s="5" t="str">
        <f>VLOOKUP(A1870,Sheet2!$A$2:$R$3432,18,0)</f>
        <v>07L22E00L67</v>
      </c>
      <c r="T1870" s="7" t="str">
        <f>VLOOKUP(A1870,Sheet2!$A$2:$R$3432,17,0)</f>
        <v>07L02F00712</v>
      </c>
    </row>
    <row r="1871" ht="15.75" customHeight="1">
      <c r="A1871" s="3" t="s">
        <v>1894</v>
      </c>
      <c r="B1871" s="4" t="str">
        <f>VLOOKUP(A1871,Sheet2!$A$2:$R$3432,2,0)</f>
        <v>2024-09-06 12:04:21</v>
      </c>
      <c r="C1871" s="5" t="s">
        <v>25</v>
      </c>
      <c r="D1871" s="6" t="s">
        <v>25</v>
      </c>
      <c r="E1871" s="7">
        <f>VLOOKUP(A1871,Sheet2!$A$2:$R$3432,4,0)</f>
        <v>9028423227</v>
      </c>
      <c r="F1871" s="7" t="str">
        <f>VLOOKUP(A1871,Sheet2!$A$2:$R$3432,3,0)</f>
        <v>Pralhad Rathod</v>
      </c>
      <c r="G1871" s="5" t="s">
        <v>25</v>
      </c>
      <c r="H1871" s="5" t="s">
        <v>25</v>
      </c>
      <c r="I1871" s="5" t="s">
        <v>25</v>
      </c>
      <c r="J1871" s="5" t="s">
        <v>25</v>
      </c>
      <c r="K1871" s="7" t="str">
        <f>VLOOKUP(A1871,Sheet2!$A$2:$R$3432,6,0)</f>
        <v>Bajaj Avenger 220 Cruise</v>
      </c>
      <c r="L1871" s="5" t="s">
        <v>25</v>
      </c>
      <c r="M1871" s="7" t="str">
        <f>VLOOKUP(A1871,Sheet2!$A$2:$R$3432,5,0)</f>
        <v>MH14GR8519</v>
      </c>
      <c r="N1871" s="5" t="s">
        <v>25</v>
      </c>
      <c r="O1871" s="5" t="s">
        <v>25</v>
      </c>
      <c r="P1871" s="6" t="s">
        <v>25</v>
      </c>
      <c r="Q1871" s="5" t="s">
        <v>25</v>
      </c>
      <c r="R1871" s="5" t="s">
        <v>25</v>
      </c>
      <c r="S1871" s="5" t="str">
        <f>VLOOKUP(A1871,Sheet2!$A$2:$R$3432,18,0)</f>
        <v>DYCHH77287</v>
      </c>
      <c r="T1871" s="7" t="str">
        <f>VLOOKUP(A1871,Sheet2!$A$2:$R$3432,17,0)</f>
        <v>MD2A22EY5HCH66838</v>
      </c>
    </row>
    <row r="1872" ht="15.75" customHeight="1">
      <c r="A1872" s="3" t="s">
        <v>1895</v>
      </c>
      <c r="B1872" s="4" t="str">
        <f>VLOOKUP(A1872,Sheet2!$A$2:$R$3432,2,0)</f>
        <v>2024-09-06 12:04:44</v>
      </c>
      <c r="C1872" s="5" t="s">
        <v>25</v>
      </c>
      <c r="D1872" s="6" t="s">
        <v>25</v>
      </c>
      <c r="E1872" s="7">
        <f>VLOOKUP(A1872,Sheet2!$A$2:$R$3432,4,0)</f>
        <v>8975158353</v>
      </c>
      <c r="F1872" s="7" t="str">
        <f>VLOOKUP(A1872,Sheet2!$A$2:$R$3432,3,0)</f>
        <v>AVNISH</v>
      </c>
      <c r="G1872" s="5" t="s">
        <v>25</v>
      </c>
      <c r="H1872" s="5" t="s">
        <v>25</v>
      </c>
      <c r="I1872" s="5" t="s">
        <v>25</v>
      </c>
      <c r="J1872" s="5" t="s">
        <v>25</v>
      </c>
      <c r="K1872" s="7" t="str">
        <f>VLOOKUP(A1872,Sheet2!$A$2:$R$3432,6,0)</f>
        <v>Bajaj Pulsar 150 DTSi</v>
      </c>
      <c r="L1872" s="5" t="s">
        <v>25</v>
      </c>
      <c r="M1872" s="7" t="str">
        <f>VLOOKUP(A1872,Sheet2!$A$2:$R$3432,5,0)</f>
        <v>MH20BS5770</v>
      </c>
      <c r="N1872" s="5" t="s">
        <v>25</v>
      </c>
      <c r="O1872" s="5" t="s">
        <v>25</v>
      </c>
      <c r="P1872" s="6" t="s">
        <v>25</v>
      </c>
      <c r="Q1872" s="5" t="s">
        <v>25</v>
      </c>
      <c r="R1872" s="5" t="s">
        <v>25</v>
      </c>
      <c r="S1872" s="5" t="str">
        <f>VLOOKUP(A1872,Sheet2!$A$2:$R$3432,18,0)</f>
        <v>DHGBTA86462</v>
      </c>
      <c r="T1872" s="7" t="str">
        <f>VLOOKUP(A1872,Sheet2!$A$2:$R$3432,17,0)</f>
        <v>MD2DHDHZZTCA97415</v>
      </c>
    </row>
    <row r="1873" ht="15.75" customHeight="1">
      <c r="A1873" s="3" t="s">
        <v>1896</v>
      </c>
      <c r="B1873" s="4" t="str">
        <f>VLOOKUP(A1873,Sheet2!$A$2:$R$3432,2,0)</f>
        <v>2024-09-06 12:05:01</v>
      </c>
      <c r="C1873" s="5" t="s">
        <v>25</v>
      </c>
      <c r="D1873" s="6" t="s">
        <v>25</v>
      </c>
      <c r="E1873" s="7">
        <f>VLOOKUP(A1873,Sheet2!$A$2:$R$3432,4,0)</f>
        <v>8983074359</v>
      </c>
      <c r="F1873" s="7" t="str">
        <f>VLOOKUP(A1873,Sheet2!$A$2:$R$3432,3,0)</f>
        <v>Sandeep</v>
      </c>
      <c r="G1873" s="5" t="s">
        <v>25</v>
      </c>
      <c r="H1873" s="5" t="s">
        <v>25</v>
      </c>
      <c r="I1873" s="5" t="s">
        <v>25</v>
      </c>
      <c r="J1873" s="5" t="s">
        <v>25</v>
      </c>
      <c r="K1873" s="7" t="str">
        <f>VLOOKUP(A1873,Sheet2!$A$2:$R$3432,6,0)</f>
        <v>Honda Activa 110</v>
      </c>
      <c r="L1873" s="5" t="s">
        <v>25</v>
      </c>
      <c r="M1873" s="7" t="str">
        <f>VLOOKUP(A1873,Sheet2!$A$2:$R$3432,5,0)</f>
        <v>MH14DK5774</v>
      </c>
      <c r="N1873" s="5" t="s">
        <v>25</v>
      </c>
      <c r="O1873" s="5" t="s">
        <v>25</v>
      </c>
      <c r="P1873" s="6" t="s">
        <v>25</v>
      </c>
      <c r="Q1873" s="5" t="s">
        <v>25</v>
      </c>
      <c r="R1873" s="5" t="s">
        <v>25</v>
      </c>
      <c r="S1873" s="7" t="str">
        <f>VLOOKUP(A1873,Sheet2!$A$2:$R$3432,18,0)</f>
        <v/>
      </c>
      <c r="T1873" s="7" t="str">
        <f>VLOOKUP(A1873,Sheet2!$A$2:$R$3432,17,0)</f>
        <v/>
      </c>
    </row>
    <row r="1874" ht="15.75" customHeight="1">
      <c r="A1874" s="3" t="s">
        <v>1897</v>
      </c>
      <c r="B1874" s="4" t="str">
        <f>VLOOKUP(A1874,Sheet2!$A$2:$R$3432,2,0)</f>
        <v>2024-09-06 12:05:55</v>
      </c>
      <c r="C1874" s="5" t="s">
        <v>25</v>
      </c>
      <c r="D1874" s="6" t="s">
        <v>25</v>
      </c>
      <c r="E1874" s="7">
        <f>VLOOKUP(A1874,Sheet2!$A$2:$R$3432,4,0)</f>
        <v>9021486526</v>
      </c>
      <c r="F1874" s="7" t="str">
        <f>VLOOKUP(A1874,Sheet2!$A$2:$R$3432,3,0)</f>
        <v>Saurabh</v>
      </c>
      <c r="G1874" s="5" t="s">
        <v>25</v>
      </c>
      <c r="H1874" s="5" t="s">
        <v>25</v>
      </c>
      <c r="I1874" s="5" t="s">
        <v>25</v>
      </c>
      <c r="J1874" s="5" t="s">
        <v>25</v>
      </c>
      <c r="K1874" s="7" t="str">
        <f>VLOOKUP(A1874,Sheet2!$A$2:$R$3432,6,0)</f>
        <v>Honda Activa 110</v>
      </c>
      <c r="L1874" s="5" t="s">
        <v>25</v>
      </c>
      <c r="M1874" s="7" t="str">
        <f>VLOOKUP(A1874,Sheet2!$A$2:$R$3432,5,0)</f>
        <v>MH12LE9730</v>
      </c>
      <c r="N1874" s="5" t="s">
        <v>25</v>
      </c>
      <c r="O1874" s="5" t="s">
        <v>25</v>
      </c>
      <c r="P1874" s="6" t="s">
        <v>25</v>
      </c>
      <c r="Q1874" s="5" t="s">
        <v>25</v>
      </c>
      <c r="R1874" s="5" t="s">
        <v>25</v>
      </c>
      <c r="S1874" s="7" t="str">
        <f>VLOOKUP(A1874,Sheet2!$A$2:$R$3432,18,0)</f>
        <v/>
      </c>
      <c r="T1874" s="7" t="str">
        <f>VLOOKUP(A1874,Sheet2!$A$2:$R$3432,17,0)</f>
        <v/>
      </c>
    </row>
    <row r="1875" ht="15.75" customHeight="1">
      <c r="A1875" s="3" t="s">
        <v>1898</v>
      </c>
      <c r="B1875" s="4" t="str">
        <f>VLOOKUP(A1875,Sheet2!$A$2:$R$3432,2,0)</f>
        <v>2024-09-06 12:06:25</v>
      </c>
      <c r="C1875" s="5" t="s">
        <v>25</v>
      </c>
      <c r="D1875" s="6" t="s">
        <v>25</v>
      </c>
      <c r="E1875" s="7">
        <f>VLOOKUP(A1875,Sheet2!$A$2:$R$3432,4,0)</f>
        <v>9920947929</v>
      </c>
      <c r="F1875" s="7" t="str">
        <f>VLOOKUP(A1875,Sheet2!$A$2:$R$3432,3,0)</f>
        <v>Suraj Hiregoudar</v>
      </c>
      <c r="G1875" s="5" t="s">
        <v>25</v>
      </c>
      <c r="H1875" s="5" t="s">
        <v>25</v>
      </c>
      <c r="I1875" s="5" t="s">
        <v>25</v>
      </c>
      <c r="J1875" s="5" t="s">
        <v>25</v>
      </c>
      <c r="K1875" s="7" t="str">
        <f>VLOOKUP(A1875,Sheet2!$A$2:$R$3432,6,0)</f>
        <v>KTM Duke 200</v>
      </c>
      <c r="L1875" s="5" t="s">
        <v>25</v>
      </c>
      <c r="M1875" s="7" t="str">
        <f>VLOOKUP(A1875,Sheet2!$A$2:$R$3432,5,0)</f>
        <v>MH43BL4006</v>
      </c>
      <c r="N1875" s="5" t="s">
        <v>25</v>
      </c>
      <c r="O1875" s="5" t="s">
        <v>25</v>
      </c>
      <c r="P1875" s="6" t="s">
        <v>25</v>
      </c>
      <c r="Q1875" s="5" t="s">
        <v>25</v>
      </c>
      <c r="R1875" s="5" t="s">
        <v>25</v>
      </c>
      <c r="S1875" s="7" t="str">
        <f>VLOOKUP(A1875,Sheet2!$A$2:$R$3432,18,0)</f>
        <v/>
      </c>
      <c r="T1875" s="7" t="str">
        <f>VLOOKUP(A1875,Sheet2!$A$2:$R$3432,17,0)</f>
        <v/>
      </c>
    </row>
    <row r="1876" ht="15.75" customHeight="1">
      <c r="A1876" s="3" t="s">
        <v>1899</v>
      </c>
      <c r="B1876" s="4" t="str">
        <f>VLOOKUP(A1876,Sheet2!$A$2:$R$3432,2,0)</f>
        <v>2024-09-06 12:08:38</v>
      </c>
      <c r="C1876" s="5" t="s">
        <v>25</v>
      </c>
      <c r="D1876" s="6" t="s">
        <v>25</v>
      </c>
      <c r="E1876" s="7">
        <f>VLOOKUP(A1876,Sheet2!$A$2:$R$3432,4,0)</f>
        <v>9372420714</v>
      </c>
      <c r="F1876" s="7" t="str">
        <f>VLOOKUP(A1876,Sheet2!$A$2:$R$3432,3,0)</f>
        <v>Amit Sonawane </v>
      </c>
      <c r="G1876" s="5" t="s">
        <v>25</v>
      </c>
      <c r="H1876" s="5" t="s">
        <v>25</v>
      </c>
      <c r="I1876" s="5" t="s">
        <v>25</v>
      </c>
      <c r="J1876" s="5" t="s">
        <v>25</v>
      </c>
      <c r="K1876" s="7" t="str">
        <f>VLOOKUP(A1876,Sheet2!$A$2:$R$3432,6,0)</f>
        <v>Honda Shine No Data</v>
      </c>
      <c r="L1876" s="5" t="s">
        <v>25</v>
      </c>
      <c r="M1876" s="7" t="str">
        <f>VLOOKUP(A1876,Sheet2!$A$2:$R$3432,5,0)</f>
        <v>MH15DH1007</v>
      </c>
      <c r="N1876" s="5" t="s">
        <v>25</v>
      </c>
      <c r="O1876" s="5" t="s">
        <v>25</v>
      </c>
      <c r="P1876" s="6" t="s">
        <v>25</v>
      </c>
      <c r="Q1876" s="5" t="s">
        <v>25</v>
      </c>
      <c r="R1876" s="5" t="s">
        <v>25</v>
      </c>
      <c r="S1876" s="5" t="str">
        <f>VLOOKUP(A1876,Sheet2!$A$2:$R$3432,18,0)</f>
        <v>JC36E2433418</v>
      </c>
      <c r="T1876" s="7" t="str">
        <f>VLOOKUP(A1876,Sheet2!$A$2:$R$3432,17,0)</f>
        <v>ME4JC36CGB82834</v>
      </c>
    </row>
    <row r="1877" ht="15.75" customHeight="1">
      <c r="A1877" s="3" t="s">
        <v>1900</v>
      </c>
      <c r="B1877" s="4" t="str">
        <f>VLOOKUP(A1877,Sheet2!$A$2:$R$3432,2,0)</f>
        <v>2024-09-06 20:12:10</v>
      </c>
      <c r="C1877" s="5" t="s">
        <v>25</v>
      </c>
      <c r="D1877" s="6" t="s">
        <v>25</v>
      </c>
      <c r="E1877" s="7">
        <f>VLOOKUP(A1877,Sheet2!$A$2:$R$3432,4,0)</f>
        <v>9096270636</v>
      </c>
      <c r="F1877" s="7" t="str">
        <f>VLOOKUP(A1877,Sheet2!$A$2:$R$3432,3,0)</f>
        <v>YUVRAJ INGLE</v>
      </c>
      <c r="G1877" s="5" t="s">
        <v>25</v>
      </c>
      <c r="H1877" s="5" t="s">
        <v>25</v>
      </c>
      <c r="I1877" s="5" t="s">
        <v>25</v>
      </c>
      <c r="J1877" s="5" t="s">
        <v>25</v>
      </c>
      <c r="K1877" s="7" t="str">
        <f>VLOOKUP(A1877,Sheet2!$A$2:$R$3432,6,0)</f>
        <v>Yamaha FZ V3</v>
      </c>
      <c r="L1877" s="5" t="s">
        <v>25</v>
      </c>
      <c r="M1877" s="7" t="str">
        <f>VLOOKUP(A1877,Sheet2!$A$2:$R$3432,5,0)</f>
        <v>MH11DL8625</v>
      </c>
      <c r="N1877" s="5" t="s">
        <v>25</v>
      </c>
      <c r="O1877" s="5" t="s">
        <v>25</v>
      </c>
      <c r="P1877" s="6" t="s">
        <v>25</v>
      </c>
      <c r="Q1877" s="5" t="s">
        <v>25</v>
      </c>
      <c r="R1877" s="5" t="s">
        <v>25</v>
      </c>
      <c r="S1877" s="5" t="str">
        <f>VLOOKUP(A1877,Sheet2!$A$2:$R$3432,18,0)</f>
        <v>64N3E033723</v>
      </c>
      <c r="T1877" s="7" t="str">
        <f>VLOOKUP(A1877,Sheet2!$A$2:$R$3432,17,0)</f>
        <v>ME1RG66U7P0014208</v>
      </c>
    </row>
    <row r="1878" ht="15.75" customHeight="1">
      <c r="A1878" s="3" t="s">
        <v>1901</v>
      </c>
      <c r="B1878" s="4" t="str">
        <f>VLOOKUP(A1878,Sheet2!$A$2:$R$3432,2,0)</f>
        <v>2024-09-06 20:14:24</v>
      </c>
      <c r="C1878" s="5" t="s">
        <v>25</v>
      </c>
      <c r="D1878" s="6" t="s">
        <v>25</v>
      </c>
      <c r="E1878" s="7">
        <f>VLOOKUP(A1878,Sheet2!$A$2:$R$3432,4,0)</f>
        <v>9834114667</v>
      </c>
      <c r="F1878" s="7" t="str">
        <f>VLOOKUP(A1878,Sheet2!$A$2:$R$3432,3,0)</f>
        <v>Ram</v>
      </c>
      <c r="G1878" s="5" t="s">
        <v>25</v>
      </c>
      <c r="H1878" s="5" t="s">
        <v>25</v>
      </c>
      <c r="I1878" s="5" t="s">
        <v>25</v>
      </c>
      <c r="J1878" s="5" t="s">
        <v>25</v>
      </c>
      <c r="K1878" s="7" t="str">
        <f>VLOOKUP(A1878,Sheet2!$A$2:$R$3432,6,0)</f>
        <v>Suzuki Access </v>
      </c>
      <c r="L1878" s="5" t="s">
        <v>25</v>
      </c>
      <c r="M1878" s="7" t="str">
        <f>VLOOKUP(A1878,Sheet2!$A$2:$R$3432,5,0)</f>
        <v>MH27CF9281</v>
      </c>
      <c r="N1878" s="5" t="s">
        <v>25</v>
      </c>
      <c r="O1878" s="5" t="s">
        <v>25</v>
      </c>
      <c r="P1878" s="6" t="s">
        <v>25</v>
      </c>
      <c r="Q1878" s="5" t="s">
        <v>25</v>
      </c>
      <c r="R1878" s="5" t="s">
        <v>25</v>
      </c>
      <c r="S1878" s="5" t="str">
        <f>VLOOKUP(A1878,Sheet2!$A$2:$R$3432,18,0)</f>
        <v>AF211560163</v>
      </c>
      <c r="T1878" s="7" t="str">
        <f>VLOOKUP(A1878,Sheet2!$A$2:$R$3432,17,0)</f>
        <v>MB8DP11AAJ8710157</v>
      </c>
    </row>
    <row r="1879" ht="15.75" customHeight="1">
      <c r="A1879" s="3" t="s">
        <v>1902</v>
      </c>
      <c r="B1879" s="4" t="str">
        <f>VLOOKUP(A1879,Sheet2!$A$2:$R$3432,2,0)</f>
        <v>2024-09-06 20:15:07</v>
      </c>
      <c r="C1879" s="5" t="s">
        <v>25</v>
      </c>
      <c r="D1879" s="6" t="s">
        <v>25</v>
      </c>
      <c r="E1879" s="7">
        <f>VLOOKUP(A1879,Sheet2!$A$2:$R$3432,4,0)</f>
        <v>7620249624</v>
      </c>
      <c r="F1879" s="7" t="str">
        <f>VLOOKUP(A1879,Sheet2!$A$2:$R$3432,3,0)</f>
        <v>Ajay Desai </v>
      </c>
      <c r="G1879" s="5" t="s">
        <v>25</v>
      </c>
      <c r="H1879" s="5" t="s">
        <v>25</v>
      </c>
      <c r="I1879" s="5" t="s">
        <v>25</v>
      </c>
      <c r="J1879" s="5" t="s">
        <v>25</v>
      </c>
      <c r="K1879" s="7" t="str">
        <f>VLOOKUP(A1879,Sheet2!$A$2:$R$3432,6,0)</f>
        <v>Honda Activa 6G</v>
      </c>
      <c r="L1879" s="5" t="s">
        <v>25</v>
      </c>
      <c r="M1879" s="7" t="str">
        <f>VLOOKUP(A1879,Sheet2!$A$2:$R$3432,5,0)</f>
        <v>MH20FS7825</v>
      </c>
      <c r="N1879" s="5" t="s">
        <v>25</v>
      </c>
      <c r="O1879" s="5" t="s">
        <v>25</v>
      </c>
      <c r="P1879" s="6" t="s">
        <v>25</v>
      </c>
      <c r="Q1879" s="5" t="s">
        <v>25</v>
      </c>
      <c r="R1879" s="5" t="s">
        <v>25</v>
      </c>
      <c r="S1879" s="5" t="str">
        <f>VLOOKUP(A1879,Sheet2!$A$2:$R$3432,18,0)</f>
        <v>JF91EW1129252</v>
      </c>
      <c r="T1879" s="7" t="str">
        <f>VLOOKUP(A1879,Sheet2!$A$2:$R$3432,17,0)</f>
        <v>ME4JF914J4W128976</v>
      </c>
    </row>
    <row r="1880" ht="15.75" customHeight="1">
      <c r="A1880" s="3" t="s">
        <v>1903</v>
      </c>
      <c r="B1880" s="4" t="str">
        <f>VLOOKUP(A1880,Sheet2!$A$2:$R$3432,2,0)</f>
        <v>2024-09-06 20:13:14</v>
      </c>
      <c r="C1880" s="5" t="s">
        <v>25</v>
      </c>
      <c r="D1880" s="6" t="s">
        <v>25</v>
      </c>
      <c r="E1880" s="7">
        <f>VLOOKUP(A1880,Sheet2!$A$2:$R$3432,4,0)</f>
        <v>9511214747</v>
      </c>
      <c r="F1880" s="7" t="str">
        <f>VLOOKUP(A1880,Sheet2!$A$2:$R$3432,3,0)</f>
        <v>ANURAG</v>
      </c>
      <c r="G1880" s="5" t="s">
        <v>25</v>
      </c>
      <c r="H1880" s="5" t="s">
        <v>25</v>
      </c>
      <c r="I1880" s="5" t="s">
        <v>25</v>
      </c>
      <c r="J1880" s="5" t="s">
        <v>25</v>
      </c>
      <c r="K1880" s="7" t="str">
        <f>VLOOKUP(A1880,Sheet2!$A$2:$R$3432,6,0)</f>
        <v>TVS Apache RTR 160</v>
      </c>
      <c r="L1880" s="5" t="s">
        <v>25</v>
      </c>
      <c r="M1880" s="7" t="str">
        <f>VLOOKUP(A1880,Sheet2!$A$2:$R$3432,5,0)</f>
        <v>MH31ES3114</v>
      </c>
      <c r="N1880" s="5" t="s">
        <v>25</v>
      </c>
      <c r="O1880" s="5" t="s">
        <v>25</v>
      </c>
      <c r="P1880" s="6" t="s">
        <v>25</v>
      </c>
      <c r="Q1880" s="5" t="s">
        <v>25</v>
      </c>
      <c r="R1880" s="5" t="s">
        <v>25</v>
      </c>
      <c r="S1880" s="5" t="str">
        <f>VLOOKUP(A1880,Sheet2!$A$2:$R$3432,18,0)</f>
        <v>OE4LE2670187</v>
      </c>
      <c r="T1880" s="7" t="str">
        <f>VLOOKUP(A1880,Sheet2!$A$2:$R$3432,17,0)</f>
        <v>MD6341KE4XB2L75038</v>
      </c>
    </row>
    <row r="1881" ht="15.75" customHeight="1">
      <c r="A1881" s="3" t="s">
        <v>1904</v>
      </c>
      <c r="B1881" s="4" t="str">
        <f>VLOOKUP(A1881,Sheet2!$A$2:$R$3432,2,0)</f>
        <v>2024-09-06 20:13:35</v>
      </c>
      <c r="C1881" s="5" t="s">
        <v>25</v>
      </c>
      <c r="D1881" s="6" t="s">
        <v>25</v>
      </c>
      <c r="E1881" s="7">
        <f>VLOOKUP(A1881,Sheet2!$A$2:$R$3432,4,0)</f>
        <v>9405208321</v>
      </c>
      <c r="F1881" s="7" t="str">
        <f>VLOOKUP(A1881,Sheet2!$A$2:$R$3432,3,0)</f>
        <v>Suhas Deshmukh </v>
      </c>
      <c r="G1881" s="5" t="s">
        <v>25</v>
      </c>
      <c r="H1881" s="5" t="s">
        <v>25</v>
      </c>
      <c r="I1881" s="5" t="s">
        <v>25</v>
      </c>
      <c r="J1881" s="5" t="s">
        <v>25</v>
      </c>
      <c r="K1881" s="7" t="str">
        <f>VLOOKUP(A1881,Sheet2!$A$2:$R$3432,6,0)</f>
        <v>Yamaha FZ V3</v>
      </c>
      <c r="L1881" s="5" t="s">
        <v>25</v>
      </c>
      <c r="M1881" s="7" t="str">
        <f>VLOOKUP(A1881,Sheet2!$A$2:$R$3432,5,0)</f>
        <v>MH22AU1972</v>
      </c>
      <c r="N1881" s="5" t="s">
        <v>25</v>
      </c>
      <c r="O1881" s="5" t="s">
        <v>25</v>
      </c>
      <c r="P1881" s="6" t="s">
        <v>25</v>
      </c>
      <c r="Q1881" s="5" t="s">
        <v>25</v>
      </c>
      <c r="R1881" s="5" t="s">
        <v>25</v>
      </c>
      <c r="S1881" s="7" t="str">
        <f>VLOOKUP(A1881,Sheet2!$A$2:$R$3432,18,0)</f>
        <v/>
      </c>
      <c r="T1881" s="7" t="str">
        <f>VLOOKUP(A1881,Sheet2!$A$2:$R$3432,17,0)</f>
        <v/>
      </c>
    </row>
    <row r="1882" ht="15.75" customHeight="1">
      <c r="A1882" s="3" t="s">
        <v>1905</v>
      </c>
      <c r="B1882" s="4" t="str">
        <f>VLOOKUP(A1882,Sheet2!$A$2:$R$3432,2,0)</f>
        <v>2024-09-06 20:14:42</v>
      </c>
      <c r="C1882" s="5" t="s">
        <v>25</v>
      </c>
      <c r="D1882" s="6" t="s">
        <v>25</v>
      </c>
      <c r="E1882" s="7">
        <f>VLOOKUP(A1882,Sheet2!$A$2:$R$3432,4,0)</f>
        <v>9834342420</v>
      </c>
      <c r="F1882" s="7" t="str">
        <f>VLOOKUP(A1882,Sheet2!$A$2:$R$3432,3,0)</f>
        <v>GAJANAN </v>
      </c>
      <c r="G1882" s="5" t="s">
        <v>25</v>
      </c>
      <c r="H1882" s="5" t="s">
        <v>25</v>
      </c>
      <c r="I1882" s="5" t="s">
        <v>25</v>
      </c>
      <c r="J1882" s="5" t="s">
        <v>25</v>
      </c>
      <c r="K1882" s="7" t="str">
        <f>VLOOKUP(A1882,Sheet2!$A$2:$R$3432,6,0)</f>
        <v>Honda Shine BS6</v>
      </c>
      <c r="L1882" s="5" t="s">
        <v>25</v>
      </c>
      <c r="M1882" s="7" t="str">
        <f>VLOOKUP(A1882,Sheet2!$A$2:$R$3432,5,0)</f>
        <v>MH28BH9344</v>
      </c>
      <c r="N1882" s="5" t="s">
        <v>25</v>
      </c>
      <c r="O1882" s="5" t="s">
        <v>25</v>
      </c>
      <c r="P1882" s="6" t="s">
        <v>25</v>
      </c>
      <c r="Q1882" s="5" t="s">
        <v>25</v>
      </c>
      <c r="R1882" s="5" t="s">
        <v>25</v>
      </c>
      <c r="S1882" s="7" t="str">
        <f>VLOOKUP(A1882,Sheet2!$A$2:$R$3432,18,0)</f>
        <v/>
      </c>
      <c r="T1882" s="7" t="str">
        <f>VLOOKUP(A1882,Sheet2!$A$2:$R$3432,17,0)</f>
        <v/>
      </c>
    </row>
    <row r="1883" ht="15.75" customHeight="1">
      <c r="A1883" s="3" t="s">
        <v>1906</v>
      </c>
      <c r="B1883" s="4" t="str">
        <f>VLOOKUP(A1883,Sheet2!$A$2:$R$3432,2,0)</f>
        <v>2024-09-06 20:15:31</v>
      </c>
      <c r="C1883" s="5" t="s">
        <v>25</v>
      </c>
      <c r="D1883" s="6" t="s">
        <v>25</v>
      </c>
      <c r="E1883" s="7">
        <f>VLOOKUP(A1883,Sheet2!$A$2:$R$3432,4,0)</f>
        <v>8550970317</v>
      </c>
      <c r="F1883" s="7" t="str">
        <f>VLOOKUP(A1883,Sheet2!$A$2:$R$3432,3,0)</f>
        <v>SUDEEP </v>
      </c>
      <c r="G1883" s="5" t="s">
        <v>25</v>
      </c>
      <c r="H1883" s="5" t="s">
        <v>25</v>
      </c>
      <c r="I1883" s="5" t="s">
        <v>25</v>
      </c>
      <c r="J1883" s="5" t="s">
        <v>25</v>
      </c>
      <c r="K1883" s="7" t="str">
        <f>VLOOKUP(A1883,Sheet2!$A$2:$R$3432,6,0)</f>
        <v>TVS Wego </v>
      </c>
      <c r="L1883" s="5" t="s">
        <v>25</v>
      </c>
      <c r="M1883" s="7" t="str">
        <f>VLOOKUP(A1883,Sheet2!$A$2:$R$3432,5,0)</f>
        <v>MH14FA2045</v>
      </c>
      <c r="N1883" s="5" t="s">
        <v>25</v>
      </c>
      <c r="O1883" s="5" t="s">
        <v>25</v>
      </c>
      <c r="P1883" s="6" t="s">
        <v>25</v>
      </c>
      <c r="Q1883" s="5" t="s">
        <v>25</v>
      </c>
      <c r="R1883" s="5" t="s">
        <v>25</v>
      </c>
      <c r="S1883" s="7" t="str">
        <f>VLOOKUP(A1883,Sheet2!$A$2:$R$3432,18,0)</f>
        <v/>
      </c>
      <c r="T1883" s="7" t="str">
        <f>VLOOKUP(A1883,Sheet2!$A$2:$R$3432,17,0)</f>
        <v/>
      </c>
    </row>
    <row r="1884" ht="15.75" customHeight="1">
      <c r="A1884" s="3" t="s">
        <v>1907</v>
      </c>
      <c r="B1884" s="4" t="str">
        <f>VLOOKUP(A1884,Sheet2!$A$2:$R$3432,2,0)</f>
        <v>2024-09-06 20:15:54</v>
      </c>
      <c r="C1884" s="5" t="s">
        <v>25</v>
      </c>
      <c r="D1884" s="6" t="s">
        <v>25</v>
      </c>
      <c r="E1884" s="7">
        <f>VLOOKUP(A1884,Sheet2!$A$2:$R$3432,4,0)</f>
        <v>8552986201</v>
      </c>
      <c r="F1884" s="7" t="str">
        <f>VLOOKUP(A1884,Sheet2!$A$2:$R$3432,3,0)</f>
        <v>SAGAR KADAM</v>
      </c>
      <c r="G1884" s="5" t="s">
        <v>25</v>
      </c>
      <c r="H1884" s="5" t="s">
        <v>25</v>
      </c>
      <c r="I1884" s="5" t="s">
        <v>25</v>
      </c>
      <c r="J1884" s="5" t="s">
        <v>25</v>
      </c>
      <c r="K1884" s="7" t="str">
        <f>VLOOKUP(A1884,Sheet2!$A$2:$R$3432,6,0)</f>
        <v>Hero Pleasure </v>
      </c>
      <c r="L1884" s="5" t="s">
        <v>25</v>
      </c>
      <c r="M1884" s="7" t="str">
        <f>VLOOKUP(A1884,Sheet2!$A$2:$R$3432,5,0)</f>
        <v>MH13CL7512</v>
      </c>
      <c r="N1884" s="5" t="s">
        <v>25</v>
      </c>
      <c r="O1884" s="5" t="s">
        <v>25</v>
      </c>
      <c r="P1884" s="6" t="s">
        <v>25</v>
      </c>
      <c r="Q1884" s="5" t="s">
        <v>25</v>
      </c>
      <c r="R1884" s="5" t="s">
        <v>25</v>
      </c>
      <c r="S1884" s="7" t="str">
        <f>VLOOKUP(A1884,Sheet2!$A$2:$R$3432,18,0)</f>
        <v/>
      </c>
      <c r="T1884" s="7" t="str">
        <f>VLOOKUP(A1884,Sheet2!$A$2:$R$3432,17,0)</f>
        <v/>
      </c>
    </row>
    <row r="1885" ht="15.75" customHeight="1">
      <c r="A1885" s="3" t="s">
        <v>1908</v>
      </c>
      <c r="B1885" s="4" t="str">
        <f>VLOOKUP(A1885,Sheet2!$A$2:$R$3432,2,0)</f>
        <v>2024-09-06 20:50:22</v>
      </c>
      <c r="C1885" s="5" t="s">
        <v>25</v>
      </c>
      <c r="D1885" s="6" t="s">
        <v>25</v>
      </c>
      <c r="E1885" s="7">
        <f>VLOOKUP(A1885,Sheet2!$A$2:$R$3432,4,0)</f>
        <v>7000125586</v>
      </c>
      <c r="F1885" s="7" t="str">
        <f>VLOOKUP(A1885,Sheet2!$A$2:$R$3432,3,0)</f>
        <v>VAIBHAV TIWARI</v>
      </c>
      <c r="G1885" s="5" t="s">
        <v>25</v>
      </c>
      <c r="H1885" s="5" t="s">
        <v>25</v>
      </c>
      <c r="I1885" s="5" t="s">
        <v>25</v>
      </c>
      <c r="J1885" s="5" t="s">
        <v>25</v>
      </c>
      <c r="K1885" s="7" t="str">
        <f>VLOOKUP(A1885,Sheet2!$A$2:$R$3432,6,0)</f>
        <v>Bajaj Pulsar 220</v>
      </c>
      <c r="L1885" s="5" t="s">
        <v>25</v>
      </c>
      <c r="M1885" s="7" t="str">
        <f>VLOOKUP(A1885,Sheet2!$A$2:$R$3432,5,0)</f>
        <v>MH12NN2540</v>
      </c>
      <c r="N1885" s="5" t="s">
        <v>25</v>
      </c>
      <c r="O1885" s="5" t="s">
        <v>25</v>
      </c>
      <c r="P1885" s="6" t="s">
        <v>25</v>
      </c>
      <c r="Q1885" s="5" t="s">
        <v>25</v>
      </c>
      <c r="R1885" s="5" t="s">
        <v>25</v>
      </c>
      <c r="S1885" s="5" t="str">
        <f>VLOOKUP(A1885,Sheet2!$A$2:$R$3432,18,0)</f>
        <v>DKZCGM948</v>
      </c>
      <c r="T1885" s="7" t="str">
        <f>VLOOKUP(A1885,Sheet2!$A$2:$R$3432,17,0)</f>
        <v>MD2S13EZ1GCM25224</v>
      </c>
    </row>
    <row r="1886" ht="15.75" customHeight="1">
      <c r="A1886" s="3" t="s">
        <v>1909</v>
      </c>
      <c r="B1886" s="4" t="str">
        <f>VLOOKUP(A1886,Sheet2!$A$2:$R$3432,2,0)</f>
        <v>2024-09-06 20:16:07</v>
      </c>
      <c r="C1886" s="5" t="s">
        <v>25</v>
      </c>
      <c r="D1886" s="6" t="s">
        <v>25</v>
      </c>
      <c r="E1886" s="7">
        <f>VLOOKUP(A1886,Sheet2!$A$2:$R$3432,4,0)</f>
        <v>9850611003</v>
      </c>
      <c r="F1886" s="7" t="str">
        <f>VLOOKUP(A1886,Sheet2!$A$2:$R$3432,3,0)</f>
        <v>ADESH CHAVAN</v>
      </c>
      <c r="G1886" s="5" t="s">
        <v>25</v>
      </c>
      <c r="H1886" s="5" t="s">
        <v>25</v>
      </c>
      <c r="I1886" s="5" t="s">
        <v>25</v>
      </c>
      <c r="J1886" s="5" t="s">
        <v>25</v>
      </c>
      <c r="K1886" s="7" t="str">
        <f>VLOOKUP(A1886,Sheet2!$A$2:$R$3432,6,0)</f>
        <v>TVS Jupiter BS6</v>
      </c>
      <c r="L1886" s="5" t="s">
        <v>25</v>
      </c>
      <c r="M1886" s="7" t="str">
        <f>VLOOKUP(A1886,Sheet2!$A$2:$R$3432,5,0)</f>
        <v>MH14KH9818</v>
      </c>
      <c r="N1886" s="5" t="s">
        <v>25</v>
      </c>
      <c r="O1886" s="5" t="s">
        <v>25</v>
      </c>
      <c r="P1886" s="6" t="s">
        <v>25</v>
      </c>
      <c r="Q1886" s="5" t="s">
        <v>25</v>
      </c>
      <c r="R1886" s="5" t="s">
        <v>25</v>
      </c>
      <c r="S1886" s="5" t="str">
        <f>VLOOKUP(A1886,Sheet2!$A$2:$R$3432,18,0)</f>
        <v>GG5KN1507607</v>
      </c>
      <c r="T1886" s="7" t="str">
        <f>VLOOKUP(A1886,Sheet2!$A$2:$R$3432,17,0)</f>
        <v>MD626EG59N1K08040</v>
      </c>
    </row>
    <row r="1887" ht="15.75" customHeight="1">
      <c r="A1887" s="3" t="s">
        <v>1910</v>
      </c>
      <c r="B1887" s="4" t="str">
        <f>VLOOKUP(A1887,Sheet2!$A$2:$R$3432,2,0)</f>
        <v>2024-09-06 12:05:15</v>
      </c>
      <c r="C1887" s="5" t="s">
        <v>25</v>
      </c>
      <c r="D1887" s="6" t="s">
        <v>25</v>
      </c>
      <c r="E1887" s="7">
        <f>VLOOKUP(A1887,Sheet2!$A$2:$R$3432,4,0)</f>
        <v>9923976900</v>
      </c>
      <c r="F1887" s="7" t="str">
        <f>VLOOKUP(A1887,Sheet2!$A$2:$R$3432,3,0)</f>
        <v>Vishal Gupta</v>
      </c>
      <c r="G1887" s="5" t="s">
        <v>25</v>
      </c>
      <c r="H1887" s="5" t="s">
        <v>25</v>
      </c>
      <c r="I1887" s="5" t="s">
        <v>25</v>
      </c>
      <c r="J1887" s="5" t="s">
        <v>25</v>
      </c>
      <c r="K1887" s="7" t="str">
        <f>VLOOKUP(A1887,Sheet2!$A$2:$R$3432,6,0)</f>
        <v>Bajaj Avenger 220 Street</v>
      </c>
      <c r="L1887" s="5" t="s">
        <v>25</v>
      </c>
      <c r="M1887" s="7" t="str">
        <f>VLOOKUP(A1887,Sheet2!$A$2:$R$3432,5,0)</f>
        <v>MH14DB9501</v>
      </c>
      <c r="N1887" s="5" t="s">
        <v>25</v>
      </c>
      <c r="O1887" s="5" t="s">
        <v>25</v>
      </c>
      <c r="P1887" s="6" t="s">
        <v>25</v>
      </c>
      <c r="Q1887" s="5" t="s">
        <v>25</v>
      </c>
      <c r="R1887" s="5" t="s">
        <v>25</v>
      </c>
      <c r="S1887" s="7" t="str">
        <f>VLOOKUP(A1887,Sheet2!$A$2:$R$3432,18,0)</f>
        <v/>
      </c>
      <c r="T1887" s="7" t="str">
        <f>VLOOKUP(A1887,Sheet2!$A$2:$R$3432,17,0)</f>
        <v>MD2DGP0770096117</v>
      </c>
    </row>
    <row r="1888" ht="15.75" customHeight="1">
      <c r="A1888" s="3" t="s">
        <v>1911</v>
      </c>
      <c r="B1888" s="4" t="str">
        <f>VLOOKUP(A1888,Sheet2!$A$2:$R$3432,2,0)</f>
        <v>2024-11-07 19:53:29</v>
      </c>
      <c r="C1888" s="5" t="s">
        <v>25</v>
      </c>
      <c r="D1888" s="6" t="s">
        <v>25</v>
      </c>
      <c r="E1888" s="7">
        <f>VLOOKUP(A1888,Sheet2!$A$2:$R$3432,4,0)</f>
        <v>9830663490</v>
      </c>
      <c r="F1888" s="7" t="str">
        <f>VLOOKUP(A1888,Sheet2!$A$2:$R$3432,3,0)</f>
        <v>KRISHNENDU BISWAS</v>
      </c>
      <c r="G1888" s="5" t="s">
        <v>25</v>
      </c>
      <c r="H1888" s="5" t="s">
        <v>25</v>
      </c>
      <c r="I1888" s="5" t="s">
        <v>25</v>
      </c>
      <c r="J1888" s="5" t="s">
        <v>25</v>
      </c>
      <c r="K1888" s="7" t="str">
        <f>VLOOKUP(A1888,Sheet2!$A$2:$R$3432,6,0)</f>
        <v>Honda Shine SP</v>
      </c>
      <c r="L1888" s="5" t="s">
        <v>25</v>
      </c>
      <c r="M1888" s="7" t="str">
        <f>VLOOKUP(A1888,Sheet2!$A$2:$R$3432,5,0)</f>
        <v>MH14JN6680</v>
      </c>
      <c r="N1888" s="5" t="s">
        <v>25</v>
      </c>
      <c r="O1888" s="5" t="s">
        <v>25</v>
      </c>
      <c r="P1888" s="6" t="s">
        <v>25</v>
      </c>
      <c r="Q1888" s="5" t="s">
        <v>25</v>
      </c>
      <c r="R1888" s="5" t="s">
        <v>25</v>
      </c>
      <c r="S1888" s="5" t="str">
        <f>VLOOKUP(A1888,Sheet2!$A$2:$R$3432,18,0)</f>
        <v>JC83EG0360761</v>
      </c>
      <c r="T1888" s="7" t="str">
        <f>VLOOKUP(A1888,Sheet2!$A$2:$R$3432,17,0)</f>
        <v>ME4JC832CMG139472</v>
      </c>
    </row>
    <row r="1889" ht="15.75" customHeight="1">
      <c r="A1889" s="3" t="s">
        <v>1912</v>
      </c>
      <c r="B1889" s="4" t="str">
        <f>VLOOKUP(A1889,Sheet2!$A$2:$R$3432,2,0)</f>
        <v>2024-11-07 19:39:52</v>
      </c>
      <c r="C1889" s="5" t="s">
        <v>25</v>
      </c>
      <c r="D1889" s="6" t="s">
        <v>25</v>
      </c>
      <c r="E1889" s="7">
        <f>VLOOKUP(A1889,Sheet2!$A$2:$R$3432,4,0)</f>
        <v>7770012863</v>
      </c>
      <c r="F1889" s="7" t="str">
        <f>VLOOKUP(A1889,Sheet2!$A$2:$R$3432,3,0)</f>
        <v>Pritam Somade</v>
      </c>
      <c r="G1889" s="5" t="s">
        <v>25</v>
      </c>
      <c r="H1889" s="5" t="s">
        <v>25</v>
      </c>
      <c r="I1889" s="5" t="s">
        <v>25</v>
      </c>
      <c r="J1889" s="5" t="s">
        <v>25</v>
      </c>
      <c r="K1889" s="7" t="str">
        <f>VLOOKUP(A1889,Sheet2!$A$2:$R$3432,6,0)</f>
        <v>Honda Shine HET</v>
      </c>
      <c r="L1889" s="5" t="s">
        <v>25</v>
      </c>
      <c r="M1889" s="7" t="str">
        <f>VLOOKUP(A1889,Sheet2!$A$2:$R$3432,5,0)</f>
        <v>MH12MX7321</v>
      </c>
      <c r="N1889" s="5" t="s">
        <v>25</v>
      </c>
      <c r="O1889" s="5" t="s">
        <v>25</v>
      </c>
      <c r="P1889" s="6" t="s">
        <v>25</v>
      </c>
      <c r="Q1889" s="5" t="s">
        <v>25</v>
      </c>
      <c r="R1889" s="5" t="s">
        <v>25</v>
      </c>
      <c r="S1889" s="5" t="str">
        <f>VLOOKUP(A1889,Sheet2!$A$2:$R$3432,18,0)</f>
        <v>JC65E70462496</v>
      </c>
      <c r="T1889" s="7" t="str">
        <f>VLOOKUP(A1889,Sheet2!$A$2:$R$3432,17,0)</f>
        <v>ME4JC651BG7306755</v>
      </c>
    </row>
    <row r="1890" ht="15.75" customHeight="1">
      <c r="A1890" s="3" t="s">
        <v>1913</v>
      </c>
      <c r="B1890" s="4" t="str">
        <f>VLOOKUP(A1890,Sheet2!$A$2:$R$3432,2,0)</f>
        <v>2024-11-07 19:42:27</v>
      </c>
      <c r="C1890" s="5" t="s">
        <v>25</v>
      </c>
      <c r="D1890" s="6" t="s">
        <v>25</v>
      </c>
      <c r="E1890" s="7">
        <f>VLOOKUP(A1890,Sheet2!$A$2:$R$3432,4,0)</f>
        <v>9999479095</v>
      </c>
      <c r="F1890" s="7" t="str">
        <f>VLOOKUP(A1890,Sheet2!$A$2:$R$3432,3,0)</f>
        <v>Ritul</v>
      </c>
      <c r="G1890" s="5" t="s">
        <v>25</v>
      </c>
      <c r="H1890" s="5" t="s">
        <v>25</v>
      </c>
      <c r="I1890" s="5" t="s">
        <v>25</v>
      </c>
      <c r="J1890" s="5" t="s">
        <v>25</v>
      </c>
      <c r="K1890" s="7" t="str">
        <f>VLOOKUP(A1890,Sheet2!$A$2:$R$3432,6,0)</f>
        <v>Honda Activa HET</v>
      </c>
      <c r="L1890" s="5" t="s">
        <v>25</v>
      </c>
      <c r="M1890" s="7" t="str">
        <f>VLOOKUP(A1890,Sheet2!$A$2:$R$3432,5,0)</f>
        <v>MH14GJ6348</v>
      </c>
      <c r="N1890" s="5" t="s">
        <v>25</v>
      </c>
      <c r="O1890" s="5" t="s">
        <v>25</v>
      </c>
      <c r="P1890" s="6" t="s">
        <v>25</v>
      </c>
      <c r="Q1890" s="5" t="s">
        <v>25</v>
      </c>
      <c r="R1890" s="5" t="s">
        <v>25</v>
      </c>
      <c r="S1890" s="5" t="str">
        <f>VLOOKUP(A1890,Sheet2!$A$2:$R$3432,18,0)</f>
        <v>JF50E82061034</v>
      </c>
      <c r="T1890" s="7" t="str">
        <f>VLOOKUP(A1890,Sheet2!$A$2:$R$3432,17,0)</f>
        <v>ME4JF504CF8061322</v>
      </c>
    </row>
    <row r="1891" ht="15.75" customHeight="1">
      <c r="A1891" s="3" t="s">
        <v>1914</v>
      </c>
      <c r="B1891" s="4" t="str">
        <f>VLOOKUP(A1891,Sheet2!$A$2:$R$3432,2,0)</f>
        <v>2024-11-07 19:43:38</v>
      </c>
      <c r="C1891" s="5" t="s">
        <v>25</v>
      </c>
      <c r="D1891" s="6" t="s">
        <v>25</v>
      </c>
      <c r="E1891" s="7">
        <f>VLOOKUP(A1891,Sheet2!$A$2:$R$3432,4,0)</f>
        <v>9518352796</v>
      </c>
      <c r="F1891" s="7" t="str">
        <f>VLOOKUP(A1891,Sheet2!$A$2:$R$3432,3,0)</f>
        <v>Kamthe</v>
      </c>
      <c r="G1891" s="5" t="s">
        <v>25</v>
      </c>
      <c r="H1891" s="5" t="s">
        <v>25</v>
      </c>
      <c r="I1891" s="5" t="s">
        <v>25</v>
      </c>
      <c r="J1891" s="5" t="s">
        <v>25</v>
      </c>
      <c r="K1891" s="7" t="str">
        <f>VLOOKUP(A1891,Sheet2!$A$2:$R$3432,6,0)</f>
        <v>Honda Activa </v>
      </c>
      <c r="L1891" s="5" t="s">
        <v>25</v>
      </c>
      <c r="M1891" s="7" t="str">
        <f>VLOOKUP(A1891,Sheet2!$A$2:$R$3432,5,0)</f>
        <v>MH14BE7566</v>
      </c>
      <c r="N1891" s="5" t="s">
        <v>25</v>
      </c>
      <c r="O1891" s="5" t="s">
        <v>25</v>
      </c>
      <c r="P1891" s="6" t="s">
        <v>25</v>
      </c>
      <c r="Q1891" s="5" t="s">
        <v>25</v>
      </c>
      <c r="R1891" s="5" t="s">
        <v>25</v>
      </c>
      <c r="S1891" s="7" t="str">
        <f>VLOOKUP(A1891,Sheet2!$A$2:$R$3432,18,0)</f>
        <v/>
      </c>
      <c r="T1891" s="7" t="str">
        <f>VLOOKUP(A1891,Sheet2!$A$2:$R$3432,17,0)</f>
        <v/>
      </c>
    </row>
    <row r="1892" ht="15.75" customHeight="1">
      <c r="A1892" s="3" t="s">
        <v>1915</v>
      </c>
      <c r="B1892" s="4" t="str">
        <f>VLOOKUP(A1892,Sheet2!$A$2:$R$3432,2,0)</f>
        <v>2024-11-07 19:46:17</v>
      </c>
      <c r="C1892" s="5" t="s">
        <v>25</v>
      </c>
      <c r="D1892" s="6" t="s">
        <v>25</v>
      </c>
      <c r="E1892" s="7">
        <f>VLOOKUP(A1892,Sheet2!$A$2:$R$3432,4,0)</f>
        <v>9890555560</v>
      </c>
      <c r="F1892" s="7" t="str">
        <f>VLOOKUP(A1892,Sheet2!$A$2:$R$3432,3,0)</f>
        <v>Prithviraj Patil</v>
      </c>
      <c r="G1892" s="5" t="s">
        <v>25</v>
      </c>
      <c r="H1892" s="5" t="s">
        <v>25</v>
      </c>
      <c r="I1892" s="5" t="s">
        <v>25</v>
      </c>
      <c r="J1892" s="5" t="s">
        <v>25</v>
      </c>
      <c r="K1892" s="7" t="str">
        <f>VLOOKUP(A1892,Sheet2!$A$2:$R$3432,6,0)</f>
        <v>Honda Activa 4G</v>
      </c>
      <c r="L1892" s="5" t="s">
        <v>25</v>
      </c>
      <c r="M1892" s="7" t="str">
        <f>VLOOKUP(A1892,Sheet2!$A$2:$R$3432,5,0)</f>
        <v>MH12PV5498</v>
      </c>
      <c r="N1892" s="5" t="s">
        <v>25</v>
      </c>
      <c r="O1892" s="5" t="s">
        <v>25</v>
      </c>
      <c r="P1892" s="6" t="s">
        <v>25</v>
      </c>
      <c r="Q1892" s="5" t="s">
        <v>25</v>
      </c>
      <c r="R1892" s="5" t="s">
        <v>25</v>
      </c>
      <c r="S1892" s="5" t="str">
        <f>VLOOKUP(A1892,Sheet2!$A$2:$R$3432,18,0)</f>
        <v>JF50ET5789240</v>
      </c>
      <c r="T1892" s="7" t="str">
        <f>VLOOKUP(A1892,Sheet2!$A$2:$R$3432,17,0)</f>
        <v>ME4JF507KHT788859</v>
      </c>
    </row>
    <row r="1893" ht="15.75" customHeight="1">
      <c r="A1893" s="3" t="s">
        <v>1916</v>
      </c>
      <c r="B1893" s="4" t="str">
        <f>VLOOKUP(A1893,Sheet2!$A$2:$R$3432,2,0)</f>
        <v>2024-11-07 19:46:52</v>
      </c>
      <c r="C1893" s="5" t="s">
        <v>25</v>
      </c>
      <c r="D1893" s="6" t="s">
        <v>25</v>
      </c>
      <c r="E1893" s="7">
        <f>VLOOKUP(A1893,Sheet2!$A$2:$R$3432,4,0)</f>
        <v>9604879914</v>
      </c>
      <c r="F1893" s="7" t="str">
        <f>VLOOKUP(A1893,Sheet2!$A$2:$R$3432,3,0)</f>
        <v>Abhijeet Kamthe</v>
      </c>
      <c r="G1893" s="5" t="s">
        <v>25</v>
      </c>
      <c r="H1893" s="5" t="s">
        <v>25</v>
      </c>
      <c r="I1893" s="5" t="s">
        <v>25</v>
      </c>
      <c r="J1893" s="5" t="s">
        <v>25</v>
      </c>
      <c r="K1893" s="7" t="str">
        <f>VLOOKUP(A1893,Sheet2!$A$2:$R$3432,6,0)</f>
        <v>Hero Splendor </v>
      </c>
      <c r="L1893" s="5" t="s">
        <v>25</v>
      </c>
      <c r="M1893" s="7" t="str">
        <f>VLOOKUP(A1893,Sheet2!$A$2:$R$3432,5,0)</f>
        <v>MH14JK9068</v>
      </c>
      <c r="N1893" s="5" t="s">
        <v>25</v>
      </c>
      <c r="O1893" s="5" t="s">
        <v>25</v>
      </c>
      <c r="P1893" s="6" t="s">
        <v>25</v>
      </c>
      <c r="Q1893" s="5" t="s">
        <v>25</v>
      </c>
      <c r="R1893" s="5" t="s">
        <v>25</v>
      </c>
      <c r="S1893" s="5" t="str">
        <f>VLOOKUP(A1893,Sheet2!$A$2:$R$3432,18,0)</f>
        <v>HA11EMSA09492</v>
      </c>
      <c r="T1893" s="7" t="str">
        <f>VLOOKUP(A1893,Sheet2!$A$2:$R$3432,17,0)</f>
        <v>MBLHAW125M5A42968</v>
      </c>
    </row>
    <row r="1894" ht="15.75" customHeight="1">
      <c r="A1894" s="3" t="s">
        <v>1917</v>
      </c>
      <c r="B1894" s="4" t="str">
        <f>VLOOKUP(A1894,Sheet2!$A$2:$R$3432,2,0)</f>
        <v>2024-11-07 19:50:38</v>
      </c>
      <c r="C1894" s="5" t="s">
        <v>25</v>
      </c>
      <c r="D1894" s="6" t="s">
        <v>25</v>
      </c>
      <c r="E1894" s="7">
        <f>VLOOKUP(A1894,Sheet2!$A$2:$R$3432,4,0)</f>
        <v>9284226625</v>
      </c>
      <c r="F1894" s="7" t="str">
        <f>VLOOKUP(A1894,Sheet2!$A$2:$R$3432,3,0)</f>
        <v>Amit kambe</v>
      </c>
      <c r="G1894" s="5" t="s">
        <v>25</v>
      </c>
      <c r="H1894" s="5" t="s">
        <v>25</v>
      </c>
      <c r="I1894" s="5" t="s">
        <v>25</v>
      </c>
      <c r="J1894" s="5" t="s">
        <v>25</v>
      </c>
      <c r="K1894" s="7" t="str">
        <f>VLOOKUP(A1894,Sheet2!$A$2:$R$3432,6,0)</f>
        <v>Bajaj Pulsar 150</v>
      </c>
      <c r="L1894" s="5" t="s">
        <v>25</v>
      </c>
      <c r="M1894" s="7" t="str">
        <f>VLOOKUP(A1894,Sheet2!$A$2:$R$3432,5,0)</f>
        <v>MH27CK3864</v>
      </c>
      <c r="N1894" s="5" t="s">
        <v>25</v>
      </c>
      <c r="O1894" s="5" t="s">
        <v>25</v>
      </c>
      <c r="P1894" s="6" t="s">
        <v>25</v>
      </c>
      <c r="Q1894" s="5" t="s">
        <v>25</v>
      </c>
      <c r="R1894" s="5" t="s">
        <v>25</v>
      </c>
      <c r="S1894" s="7" t="str">
        <f>VLOOKUP(A1894,Sheet2!$A$2:$R$3432,18,0)</f>
        <v/>
      </c>
      <c r="T1894" s="7" t="str">
        <f>VLOOKUP(A1894,Sheet2!$A$2:$R$3432,17,0)</f>
        <v/>
      </c>
    </row>
    <row r="1895" ht="15.75" customHeight="1">
      <c r="A1895" s="3" t="s">
        <v>1918</v>
      </c>
      <c r="B1895" s="4" t="str">
        <f>VLOOKUP(A1895,Sheet2!$A$2:$R$3432,2,0)</f>
        <v>2024-11-07 19:49:14</v>
      </c>
      <c r="C1895" s="5" t="s">
        <v>25</v>
      </c>
      <c r="D1895" s="6" t="s">
        <v>25</v>
      </c>
      <c r="E1895" s="7">
        <f>VLOOKUP(A1895,Sheet2!$A$2:$R$3432,4,0)</f>
        <v>7383192935</v>
      </c>
      <c r="F1895" s="7" t="str">
        <f>VLOOKUP(A1895,Sheet2!$A$2:$R$3432,3,0)</f>
        <v>Jaideep Pathak</v>
      </c>
      <c r="G1895" s="5" t="s">
        <v>25</v>
      </c>
      <c r="H1895" s="5" t="s">
        <v>25</v>
      </c>
      <c r="I1895" s="5" t="s">
        <v>25</v>
      </c>
      <c r="J1895" s="5" t="s">
        <v>25</v>
      </c>
      <c r="K1895" s="7" t="str">
        <f>VLOOKUP(A1895,Sheet2!$A$2:$R$3432,6,0)</f>
        <v>TVS Jupiter 125</v>
      </c>
      <c r="L1895" s="5" t="s">
        <v>25</v>
      </c>
      <c r="M1895" s="7" t="str">
        <f>VLOOKUP(A1895,Sheet2!$A$2:$R$3432,5,0)</f>
        <v>MH14KH6479</v>
      </c>
      <c r="N1895" s="5" t="s">
        <v>25</v>
      </c>
      <c r="O1895" s="5" t="s">
        <v>25</v>
      </c>
      <c r="P1895" s="6" t="s">
        <v>25</v>
      </c>
      <c r="Q1895" s="5" t="s">
        <v>25</v>
      </c>
      <c r="R1895" s="5" t="s">
        <v>25</v>
      </c>
      <c r="S1895" s="5" t="str">
        <f>VLOOKUP(A1895,Sheet2!$A$2:$R$3432,18,0)</f>
        <v>BK4KN1X20876</v>
      </c>
      <c r="T1895" s="7" t="str">
        <f>VLOOKUP(A1895,Sheet2!$A$2:$R$3432,17,0)</f>
        <v>MD626AK48N1K21482</v>
      </c>
    </row>
    <row r="1896" ht="15.75" customHeight="1">
      <c r="A1896" s="3" t="s">
        <v>1919</v>
      </c>
      <c r="B1896" s="4" t="str">
        <f>VLOOKUP(A1896,Sheet2!$A$2:$R$3432,2,0)</f>
        <v>2024-11-07 20:08:07</v>
      </c>
      <c r="C1896" s="5" t="s">
        <v>25</v>
      </c>
      <c r="D1896" s="6" t="s">
        <v>25</v>
      </c>
      <c r="E1896" s="7">
        <f>VLOOKUP(A1896,Sheet2!$A$2:$R$3432,4,0)</f>
        <v>9352808907</v>
      </c>
      <c r="F1896" s="7" t="str">
        <f>VLOOKUP(A1896,Sheet2!$A$2:$R$3432,3,0)</f>
        <v>Prakash </v>
      </c>
      <c r="G1896" s="5" t="s">
        <v>25</v>
      </c>
      <c r="H1896" s="5" t="s">
        <v>25</v>
      </c>
      <c r="I1896" s="5" t="s">
        <v>25</v>
      </c>
      <c r="J1896" s="5" t="s">
        <v>25</v>
      </c>
      <c r="K1896" s="7" t="str">
        <f>VLOOKUP(A1896,Sheet2!$A$2:$R$3432,6,0)</f>
        <v>Honda Unicorn </v>
      </c>
      <c r="L1896" s="5" t="s">
        <v>25</v>
      </c>
      <c r="M1896" s="7" t="str">
        <f>VLOOKUP(A1896,Sheet2!$A$2:$R$3432,5,0)</f>
        <v>MH12PP1297</v>
      </c>
      <c r="N1896" s="5" t="s">
        <v>25</v>
      </c>
      <c r="O1896" s="5" t="s">
        <v>25</v>
      </c>
      <c r="P1896" s="6" t="s">
        <v>25</v>
      </c>
      <c r="Q1896" s="5" t="s">
        <v>25</v>
      </c>
      <c r="R1896" s="5" t="s">
        <v>25</v>
      </c>
      <c r="S1896" s="5" t="str">
        <f>VLOOKUP(A1896,Sheet2!$A$2:$R$3432,18,0)</f>
        <v>KC31E80060948</v>
      </c>
      <c r="T1896" s="7" t="str">
        <f>VLOOKUP(A1896,Sheet2!$A$2:$R$3432,17,0)</f>
        <v>ME4KC311FH8060861</v>
      </c>
    </row>
    <row r="1897" ht="15.75" customHeight="1">
      <c r="A1897" s="3" t="s">
        <v>1920</v>
      </c>
      <c r="B1897" s="4" t="str">
        <f>VLOOKUP(A1897,Sheet2!$A$2:$R$3432,2,0)</f>
        <v>2024-11-07 20:08:31</v>
      </c>
      <c r="C1897" s="5" t="s">
        <v>25</v>
      </c>
      <c r="D1897" s="6" t="s">
        <v>25</v>
      </c>
      <c r="E1897" s="7">
        <f>VLOOKUP(A1897,Sheet2!$A$2:$R$3432,4,0)</f>
        <v>9545322788</v>
      </c>
      <c r="F1897" s="7" t="str">
        <f>VLOOKUP(A1897,Sheet2!$A$2:$R$3432,3,0)</f>
        <v>BHUSHAN VARMA</v>
      </c>
      <c r="G1897" s="5" t="s">
        <v>25</v>
      </c>
      <c r="H1897" s="5" t="s">
        <v>25</v>
      </c>
      <c r="I1897" s="5" t="s">
        <v>25</v>
      </c>
      <c r="J1897" s="5" t="s">
        <v>25</v>
      </c>
      <c r="K1897" s="7" t="str">
        <f>VLOOKUP(A1897,Sheet2!$A$2:$R$3432,6,0)</f>
        <v>Honda Activa 3G</v>
      </c>
      <c r="L1897" s="5" t="s">
        <v>25</v>
      </c>
      <c r="M1897" s="7" t="str">
        <f>VLOOKUP(A1897,Sheet2!$A$2:$R$3432,5,0)</f>
        <v>MH36V2254</v>
      </c>
      <c r="N1897" s="5" t="s">
        <v>25</v>
      </c>
      <c r="O1897" s="5" t="s">
        <v>25</v>
      </c>
      <c r="P1897" s="6" t="s">
        <v>25</v>
      </c>
      <c r="Q1897" s="5" t="s">
        <v>25</v>
      </c>
      <c r="R1897" s="5" t="s">
        <v>25</v>
      </c>
      <c r="S1897" s="5" t="str">
        <f>VLOOKUP(A1897,Sheet2!$A$2:$R$3432,18,0)</f>
        <v>JF50ET3208723</v>
      </c>
      <c r="T1897" s="7" t="str">
        <f>VLOOKUP(A1897,Sheet2!$A$2:$R$3432,17,0)</f>
        <v>ME4JF50CT208342</v>
      </c>
    </row>
    <row r="1898" ht="15.75" customHeight="1">
      <c r="A1898" s="3" t="s">
        <v>1921</v>
      </c>
      <c r="B1898" s="4" t="str">
        <f>VLOOKUP(A1898,Sheet2!$A$2:$R$3432,2,0)</f>
        <v>2024-11-07 20:09:26</v>
      </c>
      <c r="C1898" s="5" t="s">
        <v>25</v>
      </c>
      <c r="D1898" s="6" t="s">
        <v>25</v>
      </c>
      <c r="E1898" s="7">
        <f>VLOOKUP(A1898,Sheet2!$A$2:$R$3432,4,0)</f>
        <v>9027778747</v>
      </c>
      <c r="F1898" s="7" t="str">
        <f>VLOOKUP(A1898,Sheet2!$A$2:$R$3432,3,0)</f>
        <v>RAUNAK</v>
      </c>
      <c r="G1898" s="5" t="s">
        <v>25</v>
      </c>
      <c r="H1898" s="5" t="s">
        <v>25</v>
      </c>
      <c r="I1898" s="5" t="s">
        <v>25</v>
      </c>
      <c r="J1898" s="5" t="s">
        <v>25</v>
      </c>
      <c r="K1898" s="7" t="str">
        <f>VLOOKUP(A1898,Sheet2!$A$2:$R$3432,6,0)</f>
        <v>TVS Jupiter </v>
      </c>
      <c r="L1898" s="5" t="s">
        <v>25</v>
      </c>
      <c r="M1898" s="7" t="str">
        <f>VLOOKUP(A1898,Sheet2!$A$2:$R$3432,5,0)</f>
        <v>MH12RE7580</v>
      </c>
      <c r="N1898" s="5" t="s">
        <v>25</v>
      </c>
      <c r="O1898" s="5" t="s">
        <v>25</v>
      </c>
      <c r="P1898" s="6" t="s">
        <v>25</v>
      </c>
      <c r="Q1898" s="5" t="s">
        <v>25</v>
      </c>
      <c r="R1898" s="5" t="s">
        <v>25</v>
      </c>
      <c r="S1898" s="5" t="str">
        <f>VLOOKUP(A1898,Sheet2!$A$2:$R$3432,18,0)</f>
        <v>EG4PJ100934</v>
      </c>
      <c r="T1898" s="7" t="str">
        <f>VLOOKUP(A1898,Sheet2!$A$2:$R$3432,17,0)</f>
        <v>MD626EG45J1P13512</v>
      </c>
    </row>
    <row r="1899" ht="15.75" customHeight="1">
      <c r="A1899" s="3" t="s">
        <v>1922</v>
      </c>
      <c r="B1899" s="4" t="str">
        <f>VLOOKUP(A1899,Sheet2!$A$2:$R$3432,2,0)</f>
        <v>2024-11-07 20:46:32</v>
      </c>
      <c r="C1899" s="5" t="s">
        <v>25</v>
      </c>
      <c r="D1899" s="6" t="s">
        <v>25</v>
      </c>
      <c r="E1899" s="7">
        <f>VLOOKUP(A1899,Sheet2!$A$2:$R$3432,4,0)</f>
        <v>8329795208</v>
      </c>
      <c r="F1899" s="7" t="str">
        <f>VLOOKUP(A1899,Sheet2!$A$2:$R$3432,3,0)</f>
        <v>AMARJA PATIL</v>
      </c>
      <c r="G1899" s="5" t="s">
        <v>25</v>
      </c>
      <c r="H1899" s="5" t="s">
        <v>25</v>
      </c>
      <c r="I1899" s="5" t="s">
        <v>25</v>
      </c>
      <c r="J1899" s="5" t="s">
        <v>25</v>
      </c>
      <c r="K1899" s="7" t="str">
        <f>VLOOKUP(A1899,Sheet2!$A$2:$R$3432,6,0)</f>
        <v>Suzuki Access </v>
      </c>
      <c r="L1899" s="5" t="s">
        <v>25</v>
      </c>
      <c r="M1899" s="7" t="str">
        <f>VLOOKUP(A1899,Sheet2!$A$2:$R$3432,5,0)</f>
        <v>MH14EF9064</v>
      </c>
      <c r="N1899" s="5" t="s">
        <v>25</v>
      </c>
      <c r="O1899" s="5" t="s">
        <v>25</v>
      </c>
      <c r="P1899" s="6" t="s">
        <v>25</v>
      </c>
      <c r="Q1899" s="5" t="s">
        <v>25</v>
      </c>
      <c r="R1899" s="5" t="s">
        <v>25</v>
      </c>
      <c r="S1899" s="5" t="str">
        <f>VLOOKUP(A1899,Sheet2!$A$2:$R$3432,18,0)</f>
        <v>F4252475350</v>
      </c>
      <c r="T1899" s="7" t="str">
        <f>VLOOKUP(A1899,Sheet2!$A$2:$R$3432,17,0)</f>
        <v>MB8CF4CAAE8293062</v>
      </c>
    </row>
    <row r="1900" ht="15.75" customHeight="1">
      <c r="A1900" s="3" t="s">
        <v>1923</v>
      </c>
      <c r="B1900" s="4" t="str">
        <f>VLOOKUP(A1900,Sheet2!$A$2:$R$3432,2,0)</f>
        <v>2024-11-07 19:48:52</v>
      </c>
      <c r="C1900" s="5" t="s">
        <v>25</v>
      </c>
      <c r="D1900" s="6" t="s">
        <v>25</v>
      </c>
      <c r="E1900" s="7">
        <f>VLOOKUP(A1900,Sheet2!$A$2:$R$3432,4,0)</f>
        <v>8446034544</v>
      </c>
      <c r="F1900" s="7" t="str">
        <f>VLOOKUP(A1900,Sheet2!$A$2:$R$3432,3,0)</f>
        <v>Ajinkya Dalvi</v>
      </c>
      <c r="G1900" s="5" t="s">
        <v>25</v>
      </c>
      <c r="H1900" s="5" t="s">
        <v>25</v>
      </c>
      <c r="I1900" s="5" t="s">
        <v>25</v>
      </c>
      <c r="J1900" s="5" t="s">
        <v>25</v>
      </c>
      <c r="K1900" s="7" t="str">
        <f>VLOOKUP(A1900,Sheet2!$A$2:$R$3432,6,0)</f>
        <v>LML Vespa </v>
      </c>
      <c r="L1900" s="5" t="s">
        <v>25</v>
      </c>
      <c r="M1900" s="7" t="str">
        <f>VLOOKUP(A1900,Sheet2!$A$2:$R$3432,5,0)</f>
        <v>MH41AF8433</v>
      </c>
      <c r="N1900" s="5" t="s">
        <v>25</v>
      </c>
      <c r="O1900" s="5" t="s">
        <v>25</v>
      </c>
      <c r="P1900" s="6" t="s">
        <v>25</v>
      </c>
      <c r="Q1900" s="5" t="s">
        <v>25</v>
      </c>
      <c r="R1900" s="5" t="s">
        <v>25</v>
      </c>
      <c r="S1900" s="5" t="str">
        <f>VLOOKUP(A1900,Sheet2!$A$2:$R$3432,18,0)</f>
        <v>MH4914XZ226091</v>
      </c>
      <c r="T1900" s="7" t="str">
        <f>VLOOKUP(A1900,Sheet2!$A$2:$R$3432,17,0)</f>
        <v>MET0000BASJ016601</v>
      </c>
    </row>
    <row r="1901" ht="15.75" customHeight="1">
      <c r="A1901" s="3" t="s">
        <v>1924</v>
      </c>
      <c r="B1901" s="4" t="str">
        <f>VLOOKUP(A1901,Sheet2!$A$2:$R$3432,2,0)</f>
        <v>2024-11-07 19:41:37</v>
      </c>
      <c r="C1901" s="5" t="s">
        <v>25</v>
      </c>
      <c r="D1901" s="6" t="s">
        <v>25</v>
      </c>
      <c r="E1901" s="7">
        <f>VLOOKUP(A1901,Sheet2!$A$2:$R$3432,4,0)</f>
        <v>9545278631</v>
      </c>
      <c r="F1901" s="7" t="str">
        <f>VLOOKUP(A1901,Sheet2!$A$2:$R$3432,3,0)</f>
        <v>Dasgupta </v>
      </c>
      <c r="G1901" s="5" t="s">
        <v>25</v>
      </c>
      <c r="H1901" s="5" t="s">
        <v>25</v>
      </c>
      <c r="I1901" s="5" t="s">
        <v>25</v>
      </c>
      <c r="J1901" s="5" t="s">
        <v>25</v>
      </c>
      <c r="K1901" s="7" t="str">
        <f>VLOOKUP(A1901,Sheet2!$A$2:$R$3432,6,0)</f>
        <v>Bajaj Pulsar 150</v>
      </c>
      <c r="L1901" s="5" t="s">
        <v>25</v>
      </c>
      <c r="M1901" s="7" t="str">
        <f>VLOOKUP(A1901,Sheet2!$A$2:$R$3432,5,0)</f>
        <v>MH12DL9896</v>
      </c>
      <c r="N1901" s="5" t="s">
        <v>25</v>
      </c>
      <c r="O1901" s="5" t="s">
        <v>25</v>
      </c>
      <c r="P1901" s="6" t="s">
        <v>25</v>
      </c>
      <c r="Q1901" s="5" t="s">
        <v>25</v>
      </c>
      <c r="R1901" s="5" t="s">
        <v>25</v>
      </c>
      <c r="S1901" s="5" t="str">
        <f>VLOOKUP(A1901,Sheet2!$A$2:$R$3432,18,0)</f>
        <v>DHGBND44774</v>
      </c>
      <c r="T1901" s="7" t="str">
        <f>VLOOKUP(A1901,Sheet2!$A$2:$R$3432,17,0)</f>
        <v>MD2DHDHZZNCD06862</v>
      </c>
    </row>
    <row r="1902" ht="15.75" customHeight="1">
      <c r="A1902" s="3" t="s">
        <v>1925</v>
      </c>
      <c r="B1902" s="4" t="str">
        <f>VLOOKUP(A1902,Sheet2!$A$2:$R$3432,2,0)</f>
        <v>2024-11-07 19:40:59</v>
      </c>
      <c r="C1902" s="5" t="s">
        <v>25</v>
      </c>
      <c r="D1902" s="6" t="s">
        <v>25</v>
      </c>
      <c r="E1902" s="7">
        <f>VLOOKUP(A1902,Sheet2!$A$2:$R$3432,4,0)</f>
        <v>9579574945</v>
      </c>
      <c r="F1902" s="7" t="str">
        <f>VLOOKUP(A1902,Sheet2!$A$2:$R$3432,3,0)</f>
        <v>Sham Patil</v>
      </c>
      <c r="G1902" s="5" t="s">
        <v>25</v>
      </c>
      <c r="H1902" s="5" t="s">
        <v>25</v>
      </c>
      <c r="I1902" s="5" t="s">
        <v>25</v>
      </c>
      <c r="J1902" s="5" t="s">
        <v>25</v>
      </c>
      <c r="K1902" s="7" t="str">
        <f>VLOOKUP(A1902,Sheet2!$A$2:$R$3432,6,0)</f>
        <v>Honda Unicorn 150</v>
      </c>
      <c r="L1902" s="5" t="s">
        <v>25</v>
      </c>
      <c r="M1902" s="7" t="str">
        <f>VLOOKUP(A1902,Sheet2!$A$2:$R$3432,5,0)</f>
        <v>MH14EB5187</v>
      </c>
      <c r="N1902" s="5" t="s">
        <v>25</v>
      </c>
      <c r="O1902" s="5" t="s">
        <v>25</v>
      </c>
      <c r="P1902" s="6" t="s">
        <v>25</v>
      </c>
      <c r="Q1902" s="5" t="s">
        <v>25</v>
      </c>
      <c r="R1902" s="5" t="s">
        <v>25</v>
      </c>
      <c r="S1902" s="5" t="str">
        <f>VLOOKUP(A1902,Sheet2!$A$2:$R$3432,18,0)</f>
        <v>K009E86554639</v>
      </c>
      <c r="T1902" s="7" t="str">
        <f>VLOOKUP(A1902,Sheet2!$A$2:$R$3432,17,0)</f>
        <v>ME4KC04CKD8574922</v>
      </c>
    </row>
    <row r="1903" ht="15.75" customHeight="1">
      <c r="A1903" s="3" t="s">
        <v>1926</v>
      </c>
      <c r="B1903" s="4" t="str">
        <f>VLOOKUP(A1903,Sheet2!$A$2:$R$3432,2,0)</f>
        <v>2025-03-03 16:19:25</v>
      </c>
      <c r="C1903" s="5" t="s">
        <v>25</v>
      </c>
      <c r="D1903" s="6" t="s">
        <v>25</v>
      </c>
      <c r="E1903" s="7">
        <f>VLOOKUP(A1903,Sheet2!$A$2:$R$3432,4,0)</f>
        <v>9146526026</v>
      </c>
      <c r="F1903" s="7" t="str">
        <f>VLOOKUP(A1903,Sheet2!$A$2:$R$3432,3,0)</f>
        <v>SHIVANI</v>
      </c>
      <c r="G1903" s="5" t="s">
        <v>25</v>
      </c>
      <c r="H1903" s="5" t="s">
        <v>25</v>
      </c>
      <c r="I1903" s="5" t="s">
        <v>25</v>
      </c>
      <c r="J1903" s="5" t="s">
        <v>25</v>
      </c>
      <c r="K1903" s="7" t="str">
        <f>VLOOKUP(A1903,Sheet2!$A$2:$R$3432,6,0)</f>
        <v>Honda Activa 6G</v>
      </c>
      <c r="L1903" s="5" t="s">
        <v>25</v>
      </c>
      <c r="M1903" s="7" t="str">
        <f>VLOOKUP(A1903,Sheet2!$A$2:$R$3432,5,0)</f>
        <v>MH26CA5834</v>
      </c>
      <c r="N1903" s="5" t="s">
        <v>25</v>
      </c>
      <c r="O1903" s="5" t="s">
        <v>25</v>
      </c>
      <c r="P1903" s="6" t="s">
        <v>25</v>
      </c>
      <c r="Q1903" s="5" t="s">
        <v>25</v>
      </c>
      <c r="R1903" s="5" t="s">
        <v>25</v>
      </c>
      <c r="S1903" s="5" t="str">
        <f>VLOOKUP(A1903,Sheet2!$A$2:$R$3432,18,0)</f>
        <v>JF91EW4027957</v>
      </c>
      <c r="T1903" s="7" t="str">
        <f>VLOOKUP(A1903,Sheet2!$A$2:$R$3432,17,0)</f>
        <v>ME4JF917MMW028044</v>
      </c>
    </row>
    <row r="1904" ht="15.75" customHeight="1">
      <c r="A1904" s="3" t="s">
        <v>1927</v>
      </c>
      <c r="B1904" s="4" t="str">
        <f>VLOOKUP(A1904,Sheet2!$A$2:$R$3432,2,0)</f>
        <v>2025-03-03 16:20:05</v>
      </c>
      <c r="C1904" s="5" t="s">
        <v>25</v>
      </c>
      <c r="D1904" s="6" t="s">
        <v>25</v>
      </c>
      <c r="E1904" s="7">
        <f>VLOOKUP(A1904,Sheet2!$A$2:$R$3432,4,0)</f>
        <v>9623544075</v>
      </c>
      <c r="F1904" s="7" t="str">
        <f>VLOOKUP(A1904,Sheet2!$A$2:$R$3432,3,0)</f>
        <v>PRITHVIRAJ </v>
      </c>
      <c r="G1904" s="5" t="s">
        <v>25</v>
      </c>
      <c r="H1904" s="5" t="s">
        <v>25</v>
      </c>
      <c r="I1904" s="5" t="s">
        <v>25</v>
      </c>
      <c r="J1904" s="5" t="s">
        <v>25</v>
      </c>
      <c r="K1904" s="7" t="str">
        <f>VLOOKUP(A1904,Sheet2!$A$2:$R$3432,6,0)</f>
        <v>Royal Enfield Himalayan </v>
      </c>
      <c r="L1904" s="5" t="s">
        <v>25</v>
      </c>
      <c r="M1904" s="7" t="str">
        <f>VLOOKUP(A1904,Sheet2!$A$2:$R$3432,5,0)</f>
        <v>MH14KE2784</v>
      </c>
      <c r="N1904" s="5" t="s">
        <v>25</v>
      </c>
      <c r="O1904" s="5" t="s">
        <v>25</v>
      </c>
      <c r="P1904" s="6" t="s">
        <v>25</v>
      </c>
      <c r="Q1904" s="5" t="s">
        <v>25</v>
      </c>
      <c r="R1904" s="5" t="s">
        <v>25</v>
      </c>
      <c r="S1904" s="5" t="str">
        <f>VLOOKUP(A1904,Sheet2!$A$2:$R$3432,18,0)</f>
        <v>ME304B5F1NA002443</v>
      </c>
      <c r="T1904" s="7" t="str">
        <f>VLOOKUP(A1904,Sheet2!$A$2:$R$3432,17,0)</f>
        <v>D4A5F1NA5100325410EF</v>
      </c>
    </row>
    <row r="1905" ht="15.75" customHeight="1">
      <c r="A1905" s="3" t="s">
        <v>1928</v>
      </c>
      <c r="B1905" s="4" t="str">
        <f>VLOOKUP(A1905,Sheet2!$A$2:$R$3432,2,0)</f>
        <v>2025-03-03 16:20:29</v>
      </c>
      <c r="C1905" s="5" t="s">
        <v>25</v>
      </c>
      <c r="D1905" s="6" t="s">
        <v>25</v>
      </c>
      <c r="E1905" s="7">
        <f>VLOOKUP(A1905,Sheet2!$A$2:$R$3432,4,0)</f>
        <v>9421303031</v>
      </c>
      <c r="F1905" s="7" t="str">
        <f>VLOOKUP(A1905,Sheet2!$A$2:$R$3432,3,0)</f>
        <v>KETAN PATHODE</v>
      </c>
      <c r="G1905" s="5" t="s">
        <v>25</v>
      </c>
      <c r="H1905" s="5" t="s">
        <v>25</v>
      </c>
      <c r="I1905" s="5" t="s">
        <v>25</v>
      </c>
      <c r="J1905" s="5" t="s">
        <v>25</v>
      </c>
      <c r="K1905" s="7" t="str">
        <f>VLOOKUP(A1905,Sheet2!$A$2:$R$3432,6,0)</f>
        <v>Yamaha FZ 1</v>
      </c>
      <c r="L1905" s="5" t="s">
        <v>25</v>
      </c>
      <c r="M1905" s="7" t="str">
        <f>VLOOKUP(A1905,Sheet2!$A$2:$R$3432,5,0)</f>
        <v>MH12NZ4019</v>
      </c>
      <c r="N1905" s="5" t="s">
        <v>25</v>
      </c>
      <c r="O1905" s="5" t="s">
        <v>25</v>
      </c>
      <c r="P1905" s="6" t="s">
        <v>25</v>
      </c>
      <c r="Q1905" s="5" t="s">
        <v>25</v>
      </c>
      <c r="R1905" s="5" t="s">
        <v>25</v>
      </c>
      <c r="S1905" s="7" t="str">
        <f>VLOOKUP(A1905,Sheet2!$A$2:$R$3432,18,0)</f>
        <v/>
      </c>
      <c r="T1905" s="7" t="str">
        <f>VLOOKUP(A1905,Sheet2!$A$2:$R$3432,17,0)</f>
        <v/>
      </c>
    </row>
    <row r="1906" ht="15.75" customHeight="1">
      <c r="A1906" s="3" t="s">
        <v>1929</v>
      </c>
      <c r="B1906" s="4" t="str">
        <f>VLOOKUP(A1906,Sheet2!$A$2:$R$3432,2,0)</f>
        <v>2025-03-03 16:21:14</v>
      </c>
      <c r="C1906" s="5" t="s">
        <v>25</v>
      </c>
      <c r="D1906" s="6" t="s">
        <v>25</v>
      </c>
      <c r="E1906" s="7">
        <f>VLOOKUP(A1906,Sheet2!$A$2:$R$3432,4,0)</f>
        <v>7387544143</v>
      </c>
      <c r="F1906" s="7" t="str">
        <f>VLOOKUP(A1906,Sheet2!$A$2:$R$3432,3,0)</f>
        <v>SUCHIT NIKAM</v>
      </c>
      <c r="G1906" s="5" t="s">
        <v>25</v>
      </c>
      <c r="H1906" s="5" t="s">
        <v>25</v>
      </c>
      <c r="I1906" s="5" t="s">
        <v>25</v>
      </c>
      <c r="J1906" s="5" t="s">
        <v>25</v>
      </c>
      <c r="K1906" s="7" t="str">
        <f>VLOOKUP(A1906,Sheet2!$A$2:$R$3432,6,0)</f>
        <v>Honda Hornet 160R</v>
      </c>
      <c r="L1906" s="5" t="s">
        <v>25</v>
      </c>
      <c r="M1906" s="7" t="str">
        <f>VLOOKUP(A1906,Sheet2!$A$2:$R$3432,5,0)</f>
        <v>MH12QN8752</v>
      </c>
      <c r="N1906" s="5" t="s">
        <v>25</v>
      </c>
      <c r="O1906" s="5" t="s">
        <v>25</v>
      </c>
      <c r="P1906" s="6" t="s">
        <v>25</v>
      </c>
      <c r="Q1906" s="5" t="s">
        <v>25</v>
      </c>
      <c r="R1906" s="5" t="s">
        <v>25</v>
      </c>
      <c r="S1906" s="7" t="str">
        <f>VLOOKUP(A1906,Sheet2!$A$2:$R$3432,18,0)</f>
        <v/>
      </c>
      <c r="T1906" s="7" t="str">
        <f>VLOOKUP(A1906,Sheet2!$A$2:$R$3432,17,0)</f>
        <v/>
      </c>
    </row>
    <row r="1907" ht="15.75" customHeight="1">
      <c r="A1907" s="3" t="s">
        <v>1930</v>
      </c>
      <c r="B1907" s="4" t="str">
        <f>VLOOKUP(A1907,Sheet2!$A$2:$R$3432,2,0)</f>
        <v>2025-03-03 20:00:38</v>
      </c>
      <c r="C1907" s="5" t="s">
        <v>25</v>
      </c>
      <c r="D1907" s="6" t="s">
        <v>25</v>
      </c>
      <c r="E1907" s="7">
        <f>VLOOKUP(A1907,Sheet2!$A$2:$R$3432,4,0)</f>
        <v>9665106727</v>
      </c>
      <c r="F1907" s="7" t="str">
        <f>VLOOKUP(A1907,Sheet2!$A$2:$R$3432,3,0)</f>
        <v>PRANAV KHEDKAR </v>
      </c>
      <c r="G1907" s="5" t="s">
        <v>25</v>
      </c>
      <c r="H1907" s="5" t="s">
        <v>25</v>
      </c>
      <c r="I1907" s="5" t="s">
        <v>25</v>
      </c>
      <c r="J1907" s="5" t="s">
        <v>25</v>
      </c>
      <c r="K1907" s="7" t="str">
        <f>VLOOKUP(A1907,Sheet2!$A$2:$R$3432,6,0)</f>
        <v>Honda Dream Yuga </v>
      </c>
      <c r="L1907" s="5" t="s">
        <v>25</v>
      </c>
      <c r="M1907" s="7" t="str">
        <f>VLOOKUP(A1907,Sheet2!$A$2:$R$3432,5,0)</f>
        <v>MH20DW2557</v>
      </c>
      <c r="N1907" s="5" t="s">
        <v>25</v>
      </c>
      <c r="O1907" s="5" t="s">
        <v>25</v>
      </c>
      <c r="P1907" s="6" t="s">
        <v>25</v>
      </c>
      <c r="Q1907" s="5" t="s">
        <v>25</v>
      </c>
      <c r="R1907" s="5" t="s">
        <v>25</v>
      </c>
      <c r="S1907" s="5" t="str">
        <f>VLOOKUP(A1907,Sheet2!$A$2:$R$3432,18,0)</f>
        <v>JC58ET3522666</v>
      </c>
      <c r="T1907" s="7" t="str">
        <f>VLOOKUP(A1907,Sheet2!$A$2:$R$3432,17,0)</f>
        <v>ME4JC58KET335870</v>
      </c>
    </row>
    <row r="1908" ht="15.75" customHeight="1">
      <c r="A1908" s="3" t="s">
        <v>1931</v>
      </c>
      <c r="B1908" s="4" t="str">
        <f>VLOOKUP(A1908,Sheet2!$A$2:$R$3432,2,0)</f>
        <v>2025-03-03 20:02:15</v>
      </c>
      <c r="C1908" s="5" t="s">
        <v>25</v>
      </c>
      <c r="D1908" s="6" t="s">
        <v>25</v>
      </c>
      <c r="E1908" s="7">
        <f>VLOOKUP(A1908,Sheet2!$A$2:$R$3432,4,0)</f>
        <v>9767009749</v>
      </c>
      <c r="F1908" s="7" t="str">
        <f>VLOOKUP(A1908,Sheet2!$A$2:$R$3432,3,0)</f>
        <v>VISHWAJEET PATIL</v>
      </c>
      <c r="G1908" s="5" t="s">
        <v>25</v>
      </c>
      <c r="H1908" s="5" t="s">
        <v>25</v>
      </c>
      <c r="I1908" s="5" t="s">
        <v>25</v>
      </c>
      <c r="J1908" s="5" t="s">
        <v>25</v>
      </c>
      <c r="K1908" s="7" t="str">
        <f>VLOOKUP(A1908,Sheet2!$A$2:$R$3432,6,0)</f>
        <v>Honda Activa 3G</v>
      </c>
      <c r="L1908" s="5" t="s">
        <v>25</v>
      </c>
      <c r="M1908" s="7" t="str">
        <f>VLOOKUP(A1908,Sheet2!$A$2:$R$3432,5,0)</f>
        <v>MH09DT4060</v>
      </c>
      <c r="N1908" s="5" t="s">
        <v>25</v>
      </c>
      <c r="O1908" s="5" t="s">
        <v>25</v>
      </c>
      <c r="P1908" s="6" t="s">
        <v>25</v>
      </c>
      <c r="Q1908" s="5" t="s">
        <v>25</v>
      </c>
      <c r="R1908" s="5" t="s">
        <v>25</v>
      </c>
      <c r="S1908" s="5" t="str">
        <f>VLOOKUP(A1908,Sheet2!$A$2:$R$3432,18,0)</f>
        <v>JF50ET2412742</v>
      </c>
      <c r="T1908" s="7" t="str">
        <f>VLOOKUP(A1908,Sheet2!$A$2:$R$3432,17,0)</f>
        <v>ME4JF50HFT41J786</v>
      </c>
    </row>
    <row r="1909" ht="15.75" customHeight="1">
      <c r="A1909" s="3" t="s">
        <v>1932</v>
      </c>
      <c r="B1909" s="4" t="str">
        <f>VLOOKUP(A1909,Sheet2!$A$2:$R$3432,2,0)</f>
        <v>2025-03-03 20:01:03</v>
      </c>
      <c r="C1909" s="5" t="s">
        <v>25</v>
      </c>
      <c r="D1909" s="6" t="s">
        <v>25</v>
      </c>
      <c r="E1909" s="7">
        <f>VLOOKUP(A1909,Sheet2!$A$2:$R$3432,4,0)</f>
        <v>7083491791</v>
      </c>
      <c r="F1909" s="7" t="str">
        <f>VLOOKUP(A1909,Sheet2!$A$2:$R$3432,3,0)</f>
        <v>Uttekar</v>
      </c>
      <c r="G1909" s="5" t="s">
        <v>25</v>
      </c>
      <c r="H1909" s="5" t="s">
        <v>25</v>
      </c>
      <c r="I1909" s="5" t="s">
        <v>25</v>
      </c>
      <c r="J1909" s="5" t="s">
        <v>25</v>
      </c>
      <c r="K1909" s="7" t="str">
        <f>VLOOKUP(A1909,Sheet2!$A$2:$R$3432,6,0)</f>
        <v>Hero Splendor Super</v>
      </c>
      <c r="L1909" s="5" t="s">
        <v>25</v>
      </c>
      <c r="M1909" s="7" t="str">
        <f>VLOOKUP(A1909,Sheet2!$A$2:$R$3432,5,0)</f>
        <v>MH14AN5819</v>
      </c>
      <c r="N1909" s="5" t="s">
        <v>25</v>
      </c>
      <c r="O1909" s="5" t="s">
        <v>25</v>
      </c>
      <c r="P1909" s="6" t="s">
        <v>25</v>
      </c>
      <c r="Q1909" s="5" t="s">
        <v>25</v>
      </c>
      <c r="R1909" s="5" t="s">
        <v>25</v>
      </c>
      <c r="S1909" s="5" t="str">
        <f>VLOOKUP(A1909,Sheet2!$A$2:$R$3432,18,0)</f>
        <v>03014</v>
      </c>
      <c r="T1909" s="7" t="str">
        <f>VLOOKUP(A1909,Sheet2!$A$2:$R$3432,17,0)</f>
        <v>05LAAC03045</v>
      </c>
    </row>
    <row r="1910" ht="15.75" customHeight="1">
      <c r="A1910" s="3" t="s">
        <v>1933</v>
      </c>
      <c r="B1910" s="4" t="str">
        <f>VLOOKUP(A1910,Sheet2!$A$2:$R$3432,2,0)</f>
        <v>2025-03-03 20:01:35</v>
      </c>
      <c r="C1910" s="5" t="s">
        <v>25</v>
      </c>
      <c r="D1910" s="6" t="s">
        <v>25</v>
      </c>
      <c r="E1910" s="7">
        <f>VLOOKUP(A1910,Sheet2!$A$2:$R$3432,4,0)</f>
        <v>9881150027</v>
      </c>
      <c r="F1910" s="7" t="str">
        <f>VLOOKUP(A1910,Sheet2!$A$2:$R$3432,3,0)</f>
        <v>Rupali</v>
      </c>
      <c r="G1910" s="5" t="s">
        <v>25</v>
      </c>
      <c r="H1910" s="5" t="s">
        <v>25</v>
      </c>
      <c r="I1910" s="5" t="s">
        <v>25</v>
      </c>
      <c r="J1910" s="5" t="s">
        <v>25</v>
      </c>
      <c r="K1910" s="7" t="str">
        <f>VLOOKUP(A1910,Sheet2!$A$2:$R$3432,6,0)</f>
        <v>Hero Pleasure New</v>
      </c>
      <c r="L1910" s="5" t="s">
        <v>25</v>
      </c>
      <c r="M1910" s="7" t="str">
        <f>VLOOKUP(A1910,Sheet2!$A$2:$R$3432,5,0)</f>
        <v>MH14ER7977</v>
      </c>
      <c r="N1910" s="5" t="s">
        <v>25</v>
      </c>
      <c r="O1910" s="5" t="s">
        <v>25</v>
      </c>
      <c r="P1910" s="6" t="s">
        <v>25</v>
      </c>
      <c r="Q1910" s="5" t="s">
        <v>25</v>
      </c>
      <c r="R1910" s="5" t="s">
        <v>25</v>
      </c>
      <c r="S1910" s="7" t="str">
        <f>VLOOKUP(A1910,Sheet2!$A$2:$R$3432,18,0)</f>
        <v/>
      </c>
      <c r="T1910" s="7" t="str">
        <f>VLOOKUP(A1910,Sheet2!$A$2:$R$3432,17,0)</f>
        <v>MBLJF16EHEGJ20353</v>
      </c>
    </row>
    <row r="1911" ht="15.75" customHeight="1">
      <c r="A1911" s="3" t="s">
        <v>1934</v>
      </c>
      <c r="B1911" s="4" t="str">
        <f>VLOOKUP(A1911,Sheet2!$A$2:$R$3432,2,0)</f>
        <v>2025-03-03 20:02:35</v>
      </c>
      <c r="C1911" s="5" t="s">
        <v>25</v>
      </c>
      <c r="D1911" s="6" t="s">
        <v>25</v>
      </c>
      <c r="E1911" s="7">
        <f>VLOOKUP(A1911,Sheet2!$A$2:$R$3432,4,0)</f>
        <v>8626061848</v>
      </c>
      <c r="F1911" s="7" t="str">
        <f>VLOOKUP(A1911,Sheet2!$A$2:$R$3432,3,0)</f>
        <v>ARPIT TANK</v>
      </c>
      <c r="G1911" s="5" t="s">
        <v>25</v>
      </c>
      <c r="H1911" s="5" t="s">
        <v>25</v>
      </c>
      <c r="I1911" s="5" t="s">
        <v>25</v>
      </c>
      <c r="J1911" s="5" t="s">
        <v>25</v>
      </c>
      <c r="K1911" s="7" t="str">
        <f>VLOOKUP(A1911,Sheet2!$A$2:$R$3432,6,0)</f>
        <v>Hero Karizma R</v>
      </c>
      <c r="L1911" s="5" t="s">
        <v>25</v>
      </c>
      <c r="M1911" s="7" t="str">
        <f>VLOOKUP(A1911,Sheet2!$A$2:$R$3432,5,0)</f>
        <v>MH12GW4447</v>
      </c>
      <c r="N1911" s="5" t="s">
        <v>25</v>
      </c>
      <c r="O1911" s="5" t="s">
        <v>25</v>
      </c>
      <c r="P1911" s="6" t="s">
        <v>25</v>
      </c>
      <c r="Q1911" s="5" t="s">
        <v>25</v>
      </c>
      <c r="R1911" s="5" t="s">
        <v>25</v>
      </c>
      <c r="S1911" s="5" t="str">
        <f>VLOOKUP(A1911,Sheet2!$A$2:$R$3432,18,0)</f>
        <v>MC38EDGC01601</v>
      </c>
      <c r="T1911" s="7" t="str">
        <f>VLOOKUP(A1911,Sheet2!$A$2:$R$3432,17,0)</f>
        <v>MBLMC38EDBGC01650</v>
      </c>
    </row>
    <row r="1912" ht="15.75" customHeight="1">
      <c r="A1912" s="3" t="s">
        <v>1935</v>
      </c>
      <c r="B1912" s="4" t="str">
        <f>VLOOKUP(A1912,Sheet2!$A$2:$R$3432,2,0)</f>
        <v>2025-03-03 20:04:03</v>
      </c>
      <c r="C1912" s="5" t="s">
        <v>25</v>
      </c>
      <c r="D1912" s="6" t="s">
        <v>25</v>
      </c>
      <c r="E1912" s="7">
        <f>VLOOKUP(A1912,Sheet2!$A$2:$R$3432,4,0)</f>
        <v>8600991151</v>
      </c>
      <c r="F1912" s="7" t="str">
        <f>VLOOKUP(A1912,Sheet2!$A$2:$R$3432,3,0)</f>
        <v>Dheeraj Patil</v>
      </c>
      <c r="G1912" s="5" t="s">
        <v>25</v>
      </c>
      <c r="H1912" s="5" t="s">
        <v>25</v>
      </c>
      <c r="I1912" s="5" t="s">
        <v>25</v>
      </c>
      <c r="J1912" s="5" t="s">
        <v>25</v>
      </c>
      <c r="K1912" s="7" t="str">
        <f>VLOOKUP(A1912,Sheet2!$A$2:$R$3432,6,0)</f>
        <v>Honda Activa 110</v>
      </c>
      <c r="L1912" s="5" t="s">
        <v>25</v>
      </c>
      <c r="M1912" s="7" t="str">
        <f>VLOOKUP(A1912,Sheet2!$A$2:$R$3432,5,0)</f>
        <v>MH12KC6349</v>
      </c>
      <c r="N1912" s="5" t="s">
        <v>25</v>
      </c>
      <c r="O1912" s="5" t="s">
        <v>25</v>
      </c>
      <c r="P1912" s="6" t="s">
        <v>25</v>
      </c>
      <c r="Q1912" s="5" t="s">
        <v>25</v>
      </c>
      <c r="R1912" s="5" t="s">
        <v>25</v>
      </c>
      <c r="S1912" s="7" t="str">
        <f>VLOOKUP(A1912,Sheet2!$A$2:$R$3432,18,0)</f>
        <v/>
      </c>
      <c r="T1912" s="7" t="str">
        <f>VLOOKUP(A1912,Sheet2!$A$2:$R$3432,17,0)</f>
        <v>ME4JF501FB8332188</v>
      </c>
    </row>
    <row r="1913" ht="15.75" customHeight="1">
      <c r="A1913" s="3" t="s">
        <v>1936</v>
      </c>
      <c r="B1913" s="4" t="str">
        <f>VLOOKUP(A1913,Sheet2!$A$2:$R$3432,2,0)</f>
        <v>2025-03-03 20:03:24</v>
      </c>
      <c r="C1913" s="5" t="s">
        <v>25</v>
      </c>
      <c r="D1913" s="6" t="s">
        <v>25</v>
      </c>
      <c r="E1913" s="7">
        <f>VLOOKUP(A1913,Sheet2!$A$2:$R$3432,4,0)</f>
        <v>9890825583</v>
      </c>
      <c r="F1913" s="7" t="str">
        <f>VLOOKUP(A1913,Sheet2!$A$2:$R$3432,3,0)</f>
        <v>SAMPATH KALOKHE</v>
      </c>
      <c r="G1913" s="5" t="s">
        <v>25</v>
      </c>
      <c r="H1913" s="5" t="s">
        <v>25</v>
      </c>
      <c r="I1913" s="5" t="s">
        <v>25</v>
      </c>
      <c r="J1913" s="5" t="s">
        <v>25</v>
      </c>
      <c r="K1913" s="7" t="str">
        <f>VLOOKUP(A1913,Sheet2!$A$2:$R$3432,6,0)</f>
        <v>Honda Unicorn 150</v>
      </c>
      <c r="L1913" s="5" t="s">
        <v>25</v>
      </c>
      <c r="M1913" s="7" t="str">
        <f>VLOOKUP(A1913,Sheet2!$A$2:$R$3432,5,0)</f>
        <v>MH14HT8660</v>
      </c>
      <c r="N1913" s="5" t="s">
        <v>25</v>
      </c>
      <c r="O1913" s="5" t="s">
        <v>25</v>
      </c>
      <c r="P1913" s="6" t="s">
        <v>25</v>
      </c>
      <c r="Q1913" s="5" t="s">
        <v>25</v>
      </c>
      <c r="R1913" s="5" t="s">
        <v>25</v>
      </c>
      <c r="S1913" s="5" t="str">
        <f>VLOOKUP(A1913,Sheet2!$A$2:$R$3432,18,0)</f>
        <v>KC31EA1103668</v>
      </c>
      <c r="T1913" s="7" t="str">
        <f>VLOOKUP(A1913,Sheet2!$A$2:$R$3432,17,0)</f>
        <v>ME4KC315GKA103740</v>
      </c>
    </row>
    <row r="1914" ht="15.75" customHeight="1">
      <c r="A1914" s="3" t="s">
        <v>1937</v>
      </c>
      <c r="B1914" s="4" t="str">
        <f>VLOOKUP(A1914,Sheet2!$A$2:$R$3432,2,0)</f>
        <v>2025-03-03 20:03:49</v>
      </c>
      <c r="C1914" s="5" t="s">
        <v>25</v>
      </c>
      <c r="D1914" s="6" t="s">
        <v>25</v>
      </c>
      <c r="E1914" s="7">
        <f>VLOOKUP(A1914,Sheet2!$A$2:$R$3432,4,0)</f>
        <v>9623186551</v>
      </c>
      <c r="F1914" s="7" t="str">
        <f>VLOOKUP(A1914,Sheet2!$A$2:$R$3432,3,0)</f>
        <v>Deepak</v>
      </c>
      <c r="G1914" s="5" t="s">
        <v>25</v>
      </c>
      <c r="H1914" s="5" t="s">
        <v>25</v>
      </c>
      <c r="I1914" s="5" t="s">
        <v>25</v>
      </c>
      <c r="J1914" s="5" t="s">
        <v>25</v>
      </c>
      <c r="K1914" s="7" t="str">
        <f>VLOOKUP(A1914,Sheet2!$A$2:$R$3432,6,0)</f>
        <v>Honda Activa 5G</v>
      </c>
      <c r="L1914" s="5" t="s">
        <v>25</v>
      </c>
      <c r="M1914" s="7" t="str">
        <f>VLOOKUP(A1914,Sheet2!$A$2:$R$3432,5,0)</f>
        <v>MH14GZ4137</v>
      </c>
      <c r="N1914" s="5" t="s">
        <v>25</v>
      </c>
      <c r="O1914" s="5" t="s">
        <v>25</v>
      </c>
      <c r="P1914" s="6" t="s">
        <v>25</v>
      </c>
      <c r="Q1914" s="5" t="s">
        <v>25</v>
      </c>
      <c r="R1914" s="5" t="s">
        <v>25</v>
      </c>
      <c r="S1914" s="7" t="str">
        <f>VLOOKUP(A1914,Sheet2!$A$2:$R$3432,18,0)</f>
        <v/>
      </c>
      <c r="T1914" s="7" t="str">
        <f>VLOOKUP(A1914,Sheet2!$A$2:$R$3432,17,0)</f>
        <v/>
      </c>
    </row>
    <row r="1915" ht="15.75" customHeight="1">
      <c r="A1915" s="3" t="s">
        <v>1938</v>
      </c>
      <c r="B1915" s="4" t="str">
        <f>VLOOKUP(A1915,Sheet2!$A$2:$R$3432,2,0)</f>
        <v>2024-08-07 21:07:38</v>
      </c>
      <c r="C1915" s="5" t="s">
        <v>25</v>
      </c>
      <c r="D1915" s="6" t="s">
        <v>25</v>
      </c>
      <c r="E1915" s="7">
        <f>VLOOKUP(A1915,Sheet2!$A$2:$R$3432,4,0)</f>
        <v>7507870867</v>
      </c>
      <c r="F1915" s="7" t="str">
        <f>VLOOKUP(A1915,Sheet2!$A$2:$R$3432,3,0)</f>
        <v>Ajay Sonar</v>
      </c>
      <c r="G1915" s="5" t="s">
        <v>25</v>
      </c>
      <c r="H1915" s="5" t="s">
        <v>25</v>
      </c>
      <c r="I1915" s="5" t="s">
        <v>25</v>
      </c>
      <c r="J1915" s="5" t="s">
        <v>25</v>
      </c>
      <c r="K1915" s="7" t="str">
        <f>VLOOKUP(A1915,Sheet2!$A$2:$R$3432,6,0)</f>
        <v>TVS Rider 125</v>
      </c>
      <c r="L1915" s="5" t="s">
        <v>25</v>
      </c>
      <c r="M1915" s="7" t="str">
        <f>VLOOKUP(A1915,Sheet2!$A$2:$R$3432,5,0)</f>
        <v>MH19DW5087</v>
      </c>
      <c r="N1915" s="5" t="s">
        <v>25</v>
      </c>
      <c r="O1915" s="5" t="s">
        <v>25</v>
      </c>
      <c r="P1915" s="6" t="s">
        <v>25</v>
      </c>
      <c r="Q1915" s="5" t="s">
        <v>25</v>
      </c>
      <c r="R1915" s="5" t="s">
        <v>25</v>
      </c>
      <c r="S1915" s="7" t="str">
        <f>VLOOKUP(A1915,Sheet2!$A$2:$R$3432,18,0)</f>
        <v/>
      </c>
      <c r="T1915" s="7" t="str">
        <f>VLOOKUP(A1915,Sheet2!$A$2:$R$3432,17,0)</f>
        <v/>
      </c>
    </row>
    <row r="1916" ht="15.75" customHeight="1">
      <c r="A1916" s="3" t="s">
        <v>1939</v>
      </c>
      <c r="B1916" s="4" t="str">
        <f>VLOOKUP(A1916,Sheet2!$A$2:$R$3432,2,0)</f>
        <v>2024-08-07 21:05:48</v>
      </c>
      <c r="C1916" s="5" t="s">
        <v>25</v>
      </c>
      <c r="D1916" s="6" t="s">
        <v>25</v>
      </c>
      <c r="E1916" s="7">
        <f>VLOOKUP(A1916,Sheet2!$A$2:$R$3432,4,0)</f>
        <v>9881304592</v>
      </c>
      <c r="F1916" s="7" t="str">
        <f>VLOOKUP(A1916,Sheet2!$A$2:$R$3432,3,0)</f>
        <v>Manisha Purohit </v>
      </c>
      <c r="G1916" s="5" t="s">
        <v>25</v>
      </c>
      <c r="H1916" s="5" t="s">
        <v>25</v>
      </c>
      <c r="I1916" s="5" t="s">
        <v>25</v>
      </c>
      <c r="J1916" s="5" t="s">
        <v>25</v>
      </c>
      <c r="K1916" s="7" t="str">
        <f>VLOOKUP(A1916,Sheet2!$A$2:$R$3432,6,0)</f>
        <v>Hero Pleasure </v>
      </c>
      <c r="L1916" s="5" t="s">
        <v>25</v>
      </c>
      <c r="M1916" s="7" t="str">
        <f>VLOOKUP(A1916,Sheet2!$A$2:$R$3432,5,0)</f>
        <v>MH12MK4502</v>
      </c>
      <c r="N1916" s="5" t="s">
        <v>25</v>
      </c>
      <c r="O1916" s="5" t="s">
        <v>25</v>
      </c>
      <c r="P1916" s="6" t="s">
        <v>25</v>
      </c>
      <c r="Q1916" s="5" t="s">
        <v>25</v>
      </c>
      <c r="R1916" s="5" t="s">
        <v>25</v>
      </c>
      <c r="S1916" s="5" t="str">
        <f>VLOOKUP(A1916,Sheet2!$A$2:$R$3432,18,0)</f>
        <v>JF16ECFGB03586</v>
      </c>
      <c r="T1916" s="7" t="str">
        <f>VLOOKUP(A1916,Sheet2!$A$2:$R$3432,17,0)</f>
        <v>MBLJF16EHFGB20342</v>
      </c>
    </row>
    <row r="1917" ht="15.75" customHeight="1">
      <c r="A1917" s="3" t="s">
        <v>1940</v>
      </c>
      <c r="B1917" s="4" t="str">
        <f>VLOOKUP(A1917,Sheet2!$A$2:$R$3432,2,0)</f>
        <v>2024-08-07 21:06:24</v>
      </c>
      <c r="C1917" s="5" t="s">
        <v>25</v>
      </c>
      <c r="D1917" s="6" t="s">
        <v>25</v>
      </c>
      <c r="E1917" s="7">
        <f>VLOOKUP(A1917,Sheet2!$A$2:$R$3432,4,0)</f>
        <v>9923067611</v>
      </c>
      <c r="F1917" s="7" t="str">
        <f>VLOOKUP(A1917,Sheet2!$A$2:$R$3432,3,0)</f>
        <v>RAHUL JADHAV</v>
      </c>
      <c r="G1917" s="5" t="s">
        <v>25</v>
      </c>
      <c r="H1917" s="5" t="s">
        <v>25</v>
      </c>
      <c r="I1917" s="5" t="s">
        <v>25</v>
      </c>
      <c r="J1917" s="5" t="s">
        <v>25</v>
      </c>
      <c r="K1917" s="7" t="str">
        <f>VLOOKUP(A1917,Sheet2!$A$2:$R$3432,6,0)</f>
        <v>Honda SP 125 Drum</v>
      </c>
      <c r="L1917" s="5" t="s">
        <v>25</v>
      </c>
      <c r="M1917" s="7" t="str">
        <f>VLOOKUP(A1917,Sheet2!$A$2:$R$3432,5,0)</f>
        <v>MH28BR5991</v>
      </c>
      <c r="N1917" s="5" t="s">
        <v>25</v>
      </c>
      <c r="O1917" s="5" t="s">
        <v>25</v>
      </c>
      <c r="P1917" s="6" t="s">
        <v>25</v>
      </c>
      <c r="Q1917" s="5" t="s">
        <v>25</v>
      </c>
      <c r="R1917" s="5" t="s">
        <v>25</v>
      </c>
      <c r="S1917" s="7" t="str">
        <f>VLOOKUP(A1917,Sheet2!$A$2:$R$3432,18,0)</f>
        <v/>
      </c>
      <c r="T1917" s="7" t="str">
        <f>VLOOKUP(A1917,Sheet2!$A$2:$R$3432,17,0)</f>
        <v/>
      </c>
    </row>
    <row r="1918" ht="15.75" customHeight="1">
      <c r="A1918" s="3" t="s">
        <v>1941</v>
      </c>
      <c r="B1918" s="4" t="str">
        <f>VLOOKUP(A1918,Sheet2!$A$2:$R$3432,2,0)</f>
        <v>2024-08-07 21:08:35</v>
      </c>
      <c r="C1918" s="5" t="s">
        <v>25</v>
      </c>
      <c r="D1918" s="6" t="s">
        <v>25</v>
      </c>
      <c r="E1918" s="7">
        <f>VLOOKUP(A1918,Sheet2!$A$2:$R$3432,4,0)</f>
        <v>7499170433</v>
      </c>
      <c r="F1918" s="7" t="str">
        <f>VLOOKUP(A1918,Sheet2!$A$2:$R$3432,3,0)</f>
        <v>VAISHNAVI </v>
      </c>
      <c r="G1918" s="5" t="s">
        <v>25</v>
      </c>
      <c r="H1918" s="5" t="s">
        <v>25</v>
      </c>
      <c r="I1918" s="5" t="s">
        <v>25</v>
      </c>
      <c r="J1918" s="5" t="s">
        <v>25</v>
      </c>
      <c r="K1918" s="7" t="str">
        <f>VLOOKUP(A1918,Sheet2!$A$2:$R$3432,6,0)</f>
        <v>Honda Activa 110</v>
      </c>
      <c r="L1918" s="5" t="s">
        <v>25</v>
      </c>
      <c r="M1918" s="7" t="str">
        <f>VLOOKUP(A1918,Sheet2!$A$2:$R$3432,5,0)</f>
        <v>MH14CZ9448</v>
      </c>
      <c r="N1918" s="5" t="s">
        <v>25</v>
      </c>
      <c r="O1918" s="5" t="s">
        <v>25</v>
      </c>
      <c r="P1918" s="6" t="s">
        <v>25</v>
      </c>
      <c r="Q1918" s="5" t="s">
        <v>25</v>
      </c>
      <c r="R1918" s="5" t="s">
        <v>25</v>
      </c>
      <c r="S1918" s="7" t="str">
        <f>VLOOKUP(A1918,Sheet2!$A$2:$R$3432,18,0)</f>
        <v/>
      </c>
      <c r="T1918" s="7" t="str">
        <f>VLOOKUP(A1918,Sheet2!$A$2:$R$3432,17,0)</f>
        <v/>
      </c>
    </row>
    <row r="1919" ht="15.75" customHeight="1">
      <c r="A1919" s="3" t="s">
        <v>1942</v>
      </c>
      <c r="B1919" s="4" t="str">
        <f>VLOOKUP(A1919,Sheet2!$A$2:$R$3432,2,0)</f>
        <v>2024-10-17 20:40:54</v>
      </c>
      <c r="C1919" s="5" t="s">
        <v>25</v>
      </c>
      <c r="D1919" s="6" t="s">
        <v>25</v>
      </c>
      <c r="E1919" s="7">
        <f>VLOOKUP(A1919,Sheet2!$A$2:$R$3432,4,0)</f>
        <v>7264861807</v>
      </c>
      <c r="F1919" s="7" t="str">
        <f>VLOOKUP(A1919,Sheet2!$A$2:$R$3432,3,0)</f>
        <v>Manish Sonawane </v>
      </c>
      <c r="G1919" s="5" t="s">
        <v>25</v>
      </c>
      <c r="H1919" s="5" t="s">
        <v>25</v>
      </c>
      <c r="I1919" s="5" t="s">
        <v>25</v>
      </c>
      <c r="J1919" s="5" t="s">
        <v>25</v>
      </c>
      <c r="K1919" s="7" t="str">
        <f>VLOOKUP(A1919,Sheet2!$A$2:$R$3432,6,0)</f>
        <v>Honda Shine SP</v>
      </c>
      <c r="L1919" s="5" t="s">
        <v>25</v>
      </c>
      <c r="M1919" s="7" t="str">
        <f>VLOOKUP(A1919,Sheet2!$A$2:$R$3432,5,0)</f>
        <v>MH18BK9618</v>
      </c>
      <c r="N1919" s="5" t="s">
        <v>25</v>
      </c>
      <c r="O1919" s="5" t="s">
        <v>25</v>
      </c>
      <c r="P1919" s="6" t="s">
        <v>25</v>
      </c>
      <c r="Q1919" s="5" t="s">
        <v>25</v>
      </c>
      <c r="R1919" s="5" t="s">
        <v>25</v>
      </c>
      <c r="S1919" s="7" t="str">
        <f>VLOOKUP(A1919,Sheet2!$A$2:$R$3432,18,0)</f>
        <v/>
      </c>
      <c r="T1919" s="7" t="str">
        <f>VLOOKUP(A1919,Sheet2!$A$2:$R$3432,17,0)</f>
        <v/>
      </c>
    </row>
    <row r="1920" ht="15.75" customHeight="1">
      <c r="A1920" s="3" t="s">
        <v>1943</v>
      </c>
      <c r="B1920" s="4" t="str">
        <f>VLOOKUP(A1920,Sheet2!$A$2:$R$3432,2,0)</f>
        <v>2024-10-17 20:42:57</v>
      </c>
      <c r="C1920" s="5" t="s">
        <v>25</v>
      </c>
      <c r="D1920" s="6" t="s">
        <v>25</v>
      </c>
      <c r="E1920" s="7">
        <f>VLOOKUP(A1920,Sheet2!$A$2:$R$3432,4,0)</f>
        <v>7382275141</v>
      </c>
      <c r="F1920" s="7" t="str">
        <f>VLOOKUP(A1920,Sheet2!$A$2:$R$3432,3,0)</f>
        <v>VINAY</v>
      </c>
      <c r="G1920" s="5" t="s">
        <v>25</v>
      </c>
      <c r="H1920" s="5" t="s">
        <v>25</v>
      </c>
      <c r="I1920" s="5" t="s">
        <v>25</v>
      </c>
      <c r="J1920" s="5" t="s">
        <v>25</v>
      </c>
      <c r="K1920" s="7" t="str">
        <f>VLOOKUP(A1920,Sheet2!$A$2:$R$3432,6,0)</f>
        <v>Suzuki Gixxer SF</v>
      </c>
      <c r="L1920" s="5" t="s">
        <v>25</v>
      </c>
      <c r="M1920" s="7" t="str">
        <f>VLOOKUP(A1920,Sheet2!$A$2:$R$3432,5,0)</f>
        <v>MH14JB6963</v>
      </c>
      <c r="N1920" s="5" t="s">
        <v>25</v>
      </c>
      <c r="O1920" s="5" t="s">
        <v>25</v>
      </c>
      <c r="P1920" s="6" t="s">
        <v>25</v>
      </c>
      <c r="Q1920" s="5" t="s">
        <v>25</v>
      </c>
      <c r="R1920" s="5" t="s">
        <v>25</v>
      </c>
      <c r="S1920" s="7" t="str">
        <f>VLOOKUP(A1920,Sheet2!$A$2:$R$3432,18,0)</f>
        <v/>
      </c>
      <c r="T1920" s="7" t="str">
        <f>VLOOKUP(A1920,Sheet2!$A$2:$R$3432,17,0)</f>
        <v/>
      </c>
    </row>
    <row r="1921" ht="15.75" customHeight="1">
      <c r="A1921" s="3" t="s">
        <v>1944</v>
      </c>
      <c r="B1921" s="4" t="str">
        <f>VLOOKUP(A1921,Sheet2!$A$2:$R$3432,2,0)</f>
        <v>2024-10-17 20:42:24</v>
      </c>
      <c r="C1921" s="5" t="s">
        <v>25</v>
      </c>
      <c r="D1921" s="6" t="s">
        <v>25</v>
      </c>
      <c r="E1921" s="7">
        <f>VLOOKUP(A1921,Sheet2!$A$2:$R$3432,4,0)</f>
        <v>8308185186</v>
      </c>
      <c r="F1921" s="7" t="str">
        <f>VLOOKUP(A1921,Sheet2!$A$2:$R$3432,3,0)</f>
        <v>ABHINAV AMBEKAR</v>
      </c>
      <c r="G1921" s="5" t="s">
        <v>25</v>
      </c>
      <c r="H1921" s="5" t="s">
        <v>25</v>
      </c>
      <c r="I1921" s="5" t="s">
        <v>25</v>
      </c>
      <c r="J1921" s="5" t="s">
        <v>25</v>
      </c>
      <c r="K1921" s="7" t="str">
        <f>VLOOKUP(A1921,Sheet2!$A$2:$R$3432,6,0)</f>
        <v>TVS Ntorq 125</v>
      </c>
      <c r="L1921" s="5" t="s">
        <v>25</v>
      </c>
      <c r="M1921" s="7" t="str">
        <f>VLOOKUP(A1921,Sheet2!$A$2:$R$3432,5,0)</f>
        <v>MH15CZ8763</v>
      </c>
      <c r="N1921" s="5" t="s">
        <v>25</v>
      </c>
      <c r="O1921" s="5" t="s">
        <v>25</v>
      </c>
      <c r="P1921" s="6" t="s">
        <v>25</v>
      </c>
      <c r="Q1921" s="5" t="s">
        <v>25</v>
      </c>
      <c r="R1921" s="5" t="s">
        <v>25</v>
      </c>
      <c r="S1921" s="7" t="str">
        <f>VLOOKUP(A1921,Sheet2!$A$2:$R$3432,18,0)</f>
        <v/>
      </c>
      <c r="T1921" s="7" t="str">
        <f>VLOOKUP(A1921,Sheet2!$A$2:$R$3432,17,0)</f>
        <v/>
      </c>
    </row>
    <row r="1922" ht="15.75" customHeight="1">
      <c r="A1922" s="3" t="s">
        <v>1945</v>
      </c>
      <c r="B1922" s="4" t="str">
        <f>VLOOKUP(A1922,Sheet2!$A$2:$R$3432,2,0)</f>
        <v>2024-10-17 20:43:31</v>
      </c>
      <c r="C1922" s="5" t="s">
        <v>25</v>
      </c>
      <c r="D1922" s="6" t="s">
        <v>25</v>
      </c>
      <c r="E1922" s="7">
        <f>VLOOKUP(A1922,Sheet2!$A$2:$R$3432,4,0)</f>
        <v>9325618400</v>
      </c>
      <c r="F1922" s="7" t="str">
        <f>VLOOKUP(A1922,Sheet2!$A$2:$R$3432,3,0)</f>
        <v>Vishwa Mehta</v>
      </c>
      <c r="G1922" s="5" t="s">
        <v>25</v>
      </c>
      <c r="H1922" s="5" t="s">
        <v>25</v>
      </c>
      <c r="I1922" s="5" t="s">
        <v>25</v>
      </c>
      <c r="J1922" s="5" t="s">
        <v>25</v>
      </c>
      <c r="K1922" s="7" t="str">
        <f>VLOOKUP(A1922,Sheet2!$A$2:$R$3432,6,0)</f>
        <v>TVS Apache 160 4V</v>
      </c>
      <c r="L1922" s="5" t="s">
        <v>25</v>
      </c>
      <c r="M1922" s="7" t="str">
        <f>VLOOKUP(A1922,Sheet2!$A$2:$R$3432,5,0)</f>
        <v>MH14HN6730</v>
      </c>
      <c r="N1922" s="5" t="s">
        <v>25</v>
      </c>
      <c r="O1922" s="5" t="s">
        <v>25</v>
      </c>
      <c r="P1922" s="6" t="s">
        <v>25</v>
      </c>
      <c r="Q1922" s="5" t="s">
        <v>25</v>
      </c>
      <c r="R1922" s="5" t="s">
        <v>25</v>
      </c>
      <c r="S1922" s="5" t="str">
        <f>VLOOKUP(A1922,Sheet2!$A$2:$R$3432,18,0)</f>
        <v>CE7CK2702622</v>
      </c>
      <c r="T1922" s="7" t="str">
        <f>VLOOKUP(A1922,Sheet2!$A$2:$R$3432,17,0)</f>
        <v>MD637CE76K2C03011</v>
      </c>
    </row>
    <row r="1923" ht="15.75" customHeight="1">
      <c r="A1923" s="3" t="s">
        <v>1946</v>
      </c>
      <c r="B1923" s="4" t="str">
        <f>VLOOKUP(A1923,Sheet2!$A$2:$R$3432,2,0)</f>
        <v>2024-10-17 20:40:16</v>
      </c>
      <c r="C1923" s="5" t="s">
        <v>25</v>
      </c>
      <c r="D1923" s="6" t="s">
        <v>25</v>
      </c>
      <c r="E1923" s="7">
        <f>VLOOKUP(A1923,Sheet2!$A$2:$R$3432,4,0)</f>
        <v>7385844472</v>
      </c>
      <c r="F1923" s="7" t="str">
        <f>VLOOKUP(A1923,Sheet2!$A$2:$R$3432,3,0)</f>
        <v>SAMEER</v>
      </c>
      <c r="G1923" s="5" t="s">
        <v>25</v>
      </c>
      <c r="H1923" s="5" t="s">
        <v>25</v>
      </c>
      <c r="I1923" s="5" t="s">
        <v>25</v>
      </c>
      <c r="J1923" s="5" t="s">
        <v>25</v>
      </c>
      <c r="K1923" s="7" t="str">
        <f>VLOOKUP(A1923,Sheet2!$A$2:$R$3432,6,0)</f>
        <v>Royal Enfield Classic 350</v>
      </c>
      <c r="L1923" s="5" t="s">
        <v>25</v>
      </c>
      <c r="M1923" s="7" t="str">
        <f>VLOOKUP(A1923,Sheet2!$A$2:$R$3432,5,0)</f>
        <v>MH12RJ6969</v>
      </c>
      <c r="N1923" s="5" t="s">
        <v>25</v>
      </c>
      <c r="O1923" s="5" t="s">
        <v>25</v>
      </c>
      <c r="P1923" s="6" t="s">
        <v>25</v>
      </c>
      <c r="Q1923" s="5" t="s">
        <v>25</v>
      </c>
      <c r="R1923" s="5" t="s">
        <v>25</v>
      </c>
      <c r="S1923" s="7" t="str">
        <f>VLOOKUP(A1923,Sheet2!$A$2:$R$3432,18,0)</f>
        <v/>
      </c>
      <c r="T1923" s="7" t="str">
        <f>VLOOKUP(A1923,Sheet2!$A$2:$R$3432,17,0)</f>
        <v/>
      </c>
    </row>
    <row r="1924" ht="15.75" customHeight="1">
      <c r="A1924" s="3" t="s">
        <v>1947</v>
      </c>
      <c r="B1924" s="4" t="str">
        <f>VLOOKUP(A1924,Sheet2!$A$2:$R$3432,2,0)</f>
        <v>2024-10-17 20:47:08</v>
      </c>
      <c r="C1924" s="5" t="s">
        <v>25</v>
      </c>
      <c r="D1924" s="6" t="s">
        <v>25</v>
      </c>
      <c r="E1924" s="7">
        <f>VLOOKUP(A1924,Sheet2!$A$2:$R$3432,4,0)</f>
        <v>9177557598</v>
      </c>
      <c r="F1924" s="7" t="str">
        <f>VLOOKUP(A1924,Sheet2!$A$2:$R$3432,3,0)</f>
        <v>SHASHANK</v>
      </c>
      <c r="G1924" s="5" t="s">
        <v>25</v>
      </c>
      <c r="H1924" s="5" t="s">
        <v>25</v>
      </c>
      <c r="I1924" s="5" t="s">
        <v>25</v>
      </c>
      <c r="J1924" s="5" t="s">
        <v>25</v>
      </c>
      <c r="K1924" s="7" t="str">
        <f>VLOOKUP(A1924,Sheet2!$A$2:$R$3432,6,0)</f>
        <v>Piaggio Vespa </v>
      </c>
      <c r="L1924" s="5" t="s">
        <v>25</v>
      </c>
      <c r="M1924" s="7" t="str">
        <f>VLOOKUP(A1924,Sheet2!$A$2:$R$3432,5,0)</f>
        <v>MH12PS4143</v>
      </c>
      <c r="N1924" s="5" t="s">
        <v>25</v>
      </c>
      <c r="O1924" s="5" t="s">
        <v>25</v>
      </c>
      <c r="P1924" s="6" t="s">
        <v>25</v>
      </c>
      <c r="Q1924" s="5" t="s">
        <v>25</v>
      </c>
      <c r="R1924" s="5" t="s">
        <v>25</v>
      </c>
      <c r="S1924" s="7" t="str">
        <f>VLOOKUP(A1924,Sheet2!$A$2:$R$3432,18,0)</f>
        <v/>
      </c>
      <c r="T1924" s="7" t="str">
        <f>VLOOKUP(A1924,Sheet2!$A$2:$R$3432,17,0)</f>
        <v/>
      </c>
    </row>
    <row r="1925" ht="15.75" customHeight="1">
      <c r="A1925" s="3" t="s">
        <v>1948</v>
      </c>
      <c r="B1925" s="4" t="str">
        <f>VLOOKUP(A1925,Sheet2!$A$2:$R$3432,2,0)</f>
        <v>2024-10-17 20:41:16</v>
      </c>
      <c r="C1925" s="5" t="s">
        <v>25</v>
      </c>
      <c r="D1925" s="6" t="s">
        <v>25</v>
      </c>
      <c r="E1925" s="7">
        <f>VLOOKUP(A1925,Sheet2!$A$2:$R$3432,4,0)</f>
        <v>9767099744</v>
      </c>
      <c r="F1925" s="7" t="str">
        <f>VLOOKUP(A1925,Sheet2!$A$2:$R$3432,3,0)</f>
        <v>SHRADDHA PATIL </v>
      </c>
      <c r="G1925" s="5" t="s">
        <v>25</v>
      </c>
      <c r="H1925" s="5" t="s">
        <v>25</v>
      </c>
      <c r="I1925" s="5" t="s">
        <v>25</v>
      </c>
      <c r="J1925" s="5" t="s">
        <v>25</v>
      </c>
      <c r="K1925" s="7" t="str">
        <f>VLOOKUP(A1925,Sheet2!$A$2:$R$3432,6,0)</f>
        <v>TVS Jupiter </v>
      </c>
      <c r="L1925" s="5" t="s">
        <v>25</v>
      </c>
      <c r="M1925" s="7" t="str">
        <f>VLOOKUP(A1925,Sheet2!$A$2:$R$3432,5,0)</f>
        <v>MH14HT1829</v>
      </c>
      <c r="N1925" s="5" t="s">
        <v>25</v>
      </c>
      <c r="O1925" s="5" t="s">
        <v>25</v>
      </c>
      <c r="P1925" s="6" t="s">
        <v>25</v>
      </c>
      <c r="Q1925" s="5" t="s">
        <v>25</v>
      </c>
      <c r="R1925" s="5" t="s">
        <v>25</v>
      </c>
      <c r="S1925" s="5" t="str">
        <f>VLOOKUP(A1925,Sheet2!$A$2:$R$3432,18,0)</f>
        <v>EG4GK1914195</v>
      </c>
      <c r="T1925" s="7" t="str">
        <f>VLOOKUP(A1925,Sheet2!$A$2:$R$3432,17,0)</f>
        <v>MD626EG46K1G24018</v>
      </c>
    </row>
    <row r="1926" ht="15.75" customHeight="1">
      <c r="A1926" s="3" t="s">
        <v>1949</v>
      </c>
      <c r="B1926" s="4" t="str">
        <f>VLOOKUP(A1926,Sheet2!$A$2:$R$3432,2,0)</f>
        <v>2024-10-17 20:42:01</v>
      </c>
      <c r="C1926" s="5" t="s">
        <v>25</v>
      </c>
      <c r="D1926" s="6" t="s">
        <v>25</v>
      </c>
      <c r="E1926" s="7">
        <f>VLOOKUP(A1926,Sheet2!$A$2:$R$3432,4,0)</f>
        <v>9632250953</v>
      </c>
      <c r="F1926" s="7" t="str">
        <f>VLOOKUP(A1926,Sheet2!$A$2:$R$3432,3,0)</f>
        <v>MIHIR</v>
      </c>
      <c r="G1926" s="5" t="s">
        <v>25</v>
      </c>
      <c r="H1926" s="5" t="s">
        <v>25</v>
      </c>
      <c r="I1926" s="5" t="s">
        <v>25</v>
      </c>
      <c r="J1926" s="5" t="s">
        <v>25</v>
      </c>
      <c r="K1926" s="7" t="str">
        <f>VLOOKUP(A1926,Sheet2!$A$2:$R$3432,6,0)</f>
        <v>TVS Jupiter </v>
      </c>
      <c r="L1926" s="5" t="s">
        <v>25</v>
      </c>
      <c r="M1926" s="7" t="str">
        <f>VLOOKUP(A1926,Sheet2!$A$2:$R$3432,5,0)</f>
        <v>MH14HL1194</v>
      </c>
      <c r="N1926" s="5" t="s">
        <v>25</v>
      </c>
      <c r="O1926" s="5" t="s">
        <v>25</v>
      </c>
      <c r="P1926" s="6" t="s">
        <v>25</v>
      </c>
      <c r="Q1926" s="5" t="s">
        <v>25</v>
      </c>
      <c r="R1926" s="5" t="s">
        <v>25</v>
      </c>
      <c r="S1926" s="7" t="str">
        <f>VLOOKUP(A1926,Sheet2!$A$2:$R$3432,18,0)</f>
        <v/>
      </c>
      <c r="T1926" s="7" t="str">
        <f>VLOOKUP(A1926,Sheet2!$A$2:$R$3432,17,0)</f>
        <v/>
      </c>
    </row>
    <row r="1927" ht="15.75" customHeight="1">
      <c r="A1927" s="3" t="s">
        <v>1950</v>
      </c>
      <c r="B1927" s="4" t="str">
        <f>VLOOKUP(A1927,Sheet2!$A$2:$R$3432,2,0)</f>
        <v>2024-08-09 20:25:13</v>
      </c>
      <c r="C1927" s="5" t="s">
        <v>25</v>
      </c>
      <c r="D1927" s="6" t="s">
        <v>25</v>
      </c>
      <c r="E1927" s="7">
        <f>VLOOKUP(A1927,Sheet2!$A$2:$R$3432,4,0)</f>
        <v>9011075819</v>
      </c>
      <c r="F1927" s="7" t="str">
        <f>VLOOKUP(A1927,Sheet2!$A$2:$R$3432,3,0)</f>
        <v>Ashok</v>
      </c>
      <c r="G1927" s="5" t="s">
        <v>25</v>
      </c>
      <c r="H1927" s="5" t="s">
        <v>25</v>
      </c>
      <c r="I1927" s="5" t="s">
        <v>25</v>
      </c>
      <c r="J1927" s="5" t="s">
        <v>25</v>
      </c>
      <c r="K1927" s="7" t="str">
        <f>VLOOKUP(A1927,Sheet2!$A$2:$R$3432,6,0)</f>
        <v>Hero Passion Plus</v>
      </c>
      <c r="L1927" s="5" t="s">
        <v>25</v>
      </c>
      <c r="M1927" s="7" t="str">
        <f>VLOOKUP(A1927,Sheet2!$A$2:$R$3432,5,0)</f>
        <v>MH12HH5653</v>
      </c>
      <c r="N1927" s="5" t="s">
        <v>25</v>
      </c>
      <c r="O1927" s="5" t="s">
        <v>25</v>
      </c>
      <c r="P1927" s="6" t="s">
        <v>25</v>
      </c>
      <c r="Q1927" s="5" t="s">
        <v>25</v>
      </c>
      <c r="R1927" s="5" t="s">
        <v>25</v>
      </c>
      <c r="S1927" s="5" t="str">
        <f>VLOOKUP(A1927,Sheet2!$A$2:$R$3432,18,0)</f>
        <v>HA10EDBG404565</v>
      </c>
      <c r="T1927" s="7" t="str">
        <f>VLOOKUP(A1927,Sheet2!$A$2:$R$3432,17,0)</f>
        <v>MBLHA10EWBGH46036</v>
      </c>
    </row>
    <row r="1928" ht="15.75" customHeight="1">
      <c r="A1928" s="3" t="s">
        <v>1951</v>
      </c>
      <c r="B1928" s="4" t="str">
        <f>VLOOKUP(A1928,Sheet2!$A$2:$R$3432,2,0)</f>
        <v>2024-08-09 20:45:43</v>
      </c>
      <c r="C1928" s="5" t="s">
        <v>25</v>
      </c>
      <c r="D1928" s="6" t="s">
        <v>25</v>
      </c>
      <c r="E1928" s="7">
        <f>VLOOKUP(A1928,Sheet2!$A$2:$R$3432,4,0)</f>
        <v>9326075507</v>
      </c>
      <c r="F1928" s="7" t="str">
        <f>VLOOKUP(A1928,Sheet2!$A$2:$R$3432,3,0)</f>
        <v>Saurabh</v>
      </c>
      <c r="G1928" s="5" t="s">
        <v>25</v>
      </c>
      <c r="H1928" s="5" t="s">
        <v>25</v>
      </c>
      <c r="I1928" s="5" t="s">
        <v>25</v>
      </c>
      <c r="J1928" s="5" t="s">
        <v>25</v>
      </c>
      <c r="K1928" s="7" t="str">
        <f>VLOOKUP(A1928,Sheet2!$A$2:$R$3432,6,0)</f>
        <v>Honda Activa </v>
      </c>
      <c r="L1928" s="5" t="s">
        <v>25</v>
      </c>
      <c r="M1928" s="7" t="str">
        <f>VLOOKUP(A1928,Sheet2!$A$2:$R$3432,5,0)</f>
        <v>MH14HB2092</v>
      </c>
      <c r="N1928" s="5" t="s">
        <v>25</v>
      </c>
      <c r="O1928" s="5" t="s">
        <v>25</v>
      </c>
      <c r="P1928" s="6" t="s">
        <v>25</v>
      </c>
      <c r="Q1928" s="5" t="s">
        <v>25</v>
      </c>
      <c r="R1928" s="5" t="s">
        <v>25</v>
      </c>
      <c r="S1928" s="7" t="str">
        <f>VLOOKUP(A1928,Sheet2!$A$2:$R$3432,18,0)</f>
        <v/>
      </c>
      <c r="T1928" s="7" t="str">
        <f>VLOOKUP(A1928,Sheet2!$A$2:$R$3432,17,0)</f>
        <v>ME4JF50AHJT393688</v>
      </c>
    </row>
    <row r="1929" ht="15.75" customHeight="1">
      <c r="A1929" s="3" t="s">
        <v>1952</v>
      </c>
      <c r="B1929" s="4" t="str">
        <f>VLOOKUP(A1929,Sheet2!$A$2:$R$3432,2,0)</f>
        <v>2024-08-09 12:55:08</v>
      </c>
      <c r="C1929" s="5" t="s">
        <v>25</v>
      </c>
      <c r="D1929" s="6" t="s">
        <v>25</v>
      </c>
      <c r="E1929" s="7">
        <f>VLOOKUP(A1929,Sheet2!$A$2:$R$3432,4,0)</f>
        <v>9545465165</v>
      </c>
      <c r="F1929" s="7" t="str">
        <f>VLOOKUP(A1929,Sheet2!$A$2:$R$3432,3,0)</f>
        <v>Nitin Yadav </v>
      </c>
      <c r="G1929" s="5" t="s">
        <v>25</v>
      </c>
      <c r="H1929" s="5" t="s">
        <v>25</v>
      </c>
      <c r="I1929" s="5" t="s">
        <v>25</v>
      </c>
      <c r="J1929" s="5" t="s">
        <v>25</v>
      </c>
      <c r="K1929" s="7" t="str">
        <f>VLOOKUP(A1929,Sheet2!$A$2:$R$3432,6,0)</f>
        <v>Honda Activa 110</v>
      </c>
      <c r="L1929" s="5" t="s">
        <v>25</v>
      </c>
      <c r="M1929" s="7" t="str">
        <f>VLOOKUP(A1929,Sheet2!$A$2:$R$3432,5,0)</f>
        <v>MH14CF5711</v>
      </c>
      <c r="N1929" s="5" t="s">
        <v>25</v>
      </c>
      <c r="O1929" s="5" t="s">
        <v>25</v>
      </c>
      <c r="P1929" s="6" t="s">
        <v>25</v>
      </c>
      <c r="Q1929" s="5" t="s">
        <v>25</v>
      </c>
      <c r="R1929" s="5" t="s">
        <v>25</v>
      </c>
      <c r="S1929" s="5" t="str">
        <f>VLOOKUP(A1929,Sheet2!$A$2:$R$3432,18,0)</f>
        <v>JC44E07066</v>
      </c>
      <c r="T1929" s="7" t="str">
        <f>VLOOKUP(A1929,Sheet2!$A$2:$R$3432,17,0)</f>
        <v/>
      </c>
    </row>
    <row r="1930" ht="15.75" customHeight="1">
      <c r="A1930" s="3" t="s">
        <v>1953</v>
      </c>
      <c r="B1930" s="4" t="str">
        <f>VLOOKUP(A1930,Sheet2!$A$2:$R$3432,2,0)</f>
        <v>2024-08-09 12:54:25</v>
      </c>
      <c r="C1930" s="5" t="s">
        <v>25</v>
      </c>
      <c r="D1930" s="6" t="s">
        <v>25</v>
      </c>
      <c r="E1930" s="7">
        <f>VLOOKUP(A1930,Sheet2!$A$2:$R$3432,4,0)</f>
        <v>9765361880</v>
      </c>
      <c r="F1930" s="7" t="str">
        <f>VLOOKUP(A1930,Sheet2!$A$2:$R$3432,3,0)</f>
        <v>HANUMANT DHANURE</v>
      </c>
      <c r="G1930" s="5" t="s">
        <v>25</v>
      </c>
      <c r="H1930" s="5" t="s">
        <v>25</v>
      </c>
      <c r="I1930" s="5" t="s">
        <v>25</v>
      </c>
      <c r="J1930" s="5" t="s">
        <v>25</v>
      </c>
      <c r="K1930" s="7" t="str">
        <f>VLOOKUP(A1930,Sheet2!$A$2:$R$3432,6,0)</f>
        <v>Yamaha FZ V3</v>
      </c>
      <c r="L1930" s="5" t="s">
        <v>25</v>
      </c>
      <c r="M1930" s="7" t="str">
        <f>VLOOKUP(A1930,Sheet2!$A$2:$R$3432,5,0)</f>
        <v>MH14JB6453</v>
      </c>
      <c r="N1930" s="5" t="s">
        <v>25</v>
      </c>
      <c r="O1930" s="5" t="s">
        <v>25</v>
      </c>
      <c r="P1930" s="6" t="s">
        <v>25</v>
      </c>
      <c r="Q1930" s="5" t="s">
        <v>25</v>
      </c>
      <c r="R1930" s="5" t="s">
        <v>25</v>
      </c>
      <c r="S1930" s="5" t="str">
        <f>VLOOKUP(A1930,Sheet2!$A$2:$R$3432,18,0)</f>
        <v>G3NSE0020884</v>
      </c>
      <c r="T1930" s="7" t="str">
        <f>VLOOKUP(A1930,Sheet2!$A$2:$R$3432,17,0)</f>
        <v>ME1RG662100020868</v>
      </c>
    </row>
    <row r="1931" ht="15.75" customHeight="1">
      <c r="A1931" s="3" t="s">
        <v>1954</v>
      </c>
      <c r="B1931" s="4" t="str">
        <f>VLOOKUP(A1931,Sheet2!$A$2:$R$3432,2,0)</f>
        <v>2024-08-09 12:53:24</v>
      </c>
      <c r="C1931" s="5" t="s">
        <v>25</v>
      </c>
      <c r="D1931" s="6" t="s">
        <v>25</v>
      </c>
      <c r="E1931" s="7">
        <f>VLOOKUP(A1931,Sheet2!$A$2:$R$3432,4,0)</f>
        <v>8626080389</v>
      </c>
      <c r="F1931" s="7" t="str">
        <f>VLOOKUP(A1931,Sheet2!$A$2:$R$3432,3,0)</f>
        <v>Dhiraj Bokade</v>
      </c>
      <c r="G1931" s="5" t="s">
        <v>25</v>
      </c>
      <c r="H1931" s="5" t="s">
        <v>25</v>
      </c>
      <c r="I1931" s="5" t="s">
        <v>25</v>
      </c>
      <c r="J1931" s="5" t="s">
        <v>25</v>
      </c>
      <c r="K1931" s="7" t="str">
        <f>VLOOKUP(A1931,Sheet2!$A$2:$R$3432,6,0)</f>
        <v>Yamaha FZ </v>
      </c>
      <c r="L1931" s="5" t="s">
        <v>25</v>
      </c>
      <c r="M1931" s="7" t="str">
        <f>VLOOKUP(A1931,Sheet2!$A$2:$R$3432,5,0)</f>
        <v>MH43AE0646</v>
      </c>
      <c r="N1931" s="5" t="s">
        <v>25</v>
      </c>
      <c r="O1931" s="5" t="s">
        <v>25</v>
      </c>
      <c r="P1931" s="6" t="s">
        <v>25</v>
      </c>
      <c r="Q1931" s="5" t="s">
        <v>25</v>
      </c>
      <c r="R1931" s="5" t="s">
        <v>25</v>
      </c>
      <c r="S1931" s="5" t="str">
        <f>VLOOKUP(A1931,Sheet2!$A$2:$R$3432,18,0)</f>
        <v>21C1083010</v>
      </c>
      <c r="T1931" s="7" t="str">
        <f>VLOOKUP(A1931,Sheet2!$A$2:$R$3432,17,0)</f>
        <v>ME121C011A2082905</v>
      </c>
    </row>
    <row r="1932" ht="15.75" customHeight="1">
      <c r="A1932" s="3" t="s">
        <v>1955</v>
      </c>
      <c r="B1932" s="4" t="str">
        <f>VLOOKUP(A1932,Sheet2!$A$2:$R$3432,2,0)</f>
        <v>2024-08-09 12:57:23</v>
      </c>
      <c r="C1932" s="5" t="s">
        <v>25</v>
      </c>
      <c r="D1932" s="6" t="s">
        <v>25</v>
      </c>
      <c r="E1932" s="7">
        <f>VLOOKUP(A1932,Sheet2!$A$2:$R$3432,4,0)</f>
        <v>8261957133</v>
      </c>
      <c r="F1932" s="7" t="str">
        <f>VLOOKUP(A1932,Sheet2!$A$2:$R$3432,3,0)</f>
        <v>Vaibhav</v>
      </c>
      <c r="G1932" s="5" t="s">
        <v>25</v>
      </c>
      <c r="H1932" s="5" t="s">
        <v>25</v>
      </c>
      <c r="I1932" s="5" t="s">
        <v>25</v>
      </c>
      <c r="J1932" s="5" t="s">
        <v>25</v>
      </c>
      <c r="K1932" s="7" t="str">
        <f>VLOOKUP(A1932,Sheet2!$A$2:$R$3432,6,0)</f>
        <v>Bajaj Discover 100</v>
      </c>
      <c r="L1932" s="5" t="s">
        <v>25</v>
      </c>
      <c r="M1932" s="7" t="str">
        <f>VLOOKUP(A1932,Sheet2!$A$2:$R$3432,5,0)</f>
        <v>MH11BU5062</v>
      </c>
      <c r="N1932" s="5" t="s">
        <v>25</v>
      </c>
      <c r="O1932" s="5" t="s">
        <v>25</v>
      </c>
      <c r="P1932" s="6" t="s">
        <v>25</v>
      </c>
      <c r="Q1932" s="5" t="s">
        <v>25</v>
      </c>
      <c r="R1932" s="5" t="s">
        <v>25</v>
      </c>
      <c r="S1932" s="7" t="str">
        <f>VLOOKUP(A1932,Sheet2!$A$2:$R$3432,18,0)</f>
        <v/>
      </c>
      <c r="T1932" s="7" t="str">
        <f>VLOOKUP(A1932,Sheet2!$A$2:$R$3432,17,0)</f>
        <v/>
      </c>
    </row>
    <row r="1933" ht="15.75" customHeight="1">
      <c r="A1933" s="3" t="s">
        <v>1956</v>
      </c>
      <c r="B1933" s="4" t="str">
        <f>VLOOKUP(A1933,Sheet2!$A$2:$R$3432,2,0)</f>
        <v>2024-08-09 12:58:09</v>
      </c>
      <c r="C1933" s="5" t="s">
        <v>25</v>
      </c>
      <c r="D1933" s="6" t="s">
        <v>25</v>
      </c>
      <c r="E1933" s="7">
        <f>VLOOKUP(A1933,Sheet2!$A$2:$R$3432,4,0)</f>
        <v>9518352796</v>
      </c>
      <c r="F1933" s="7" t="str">
        <f>VLOOKUP(A1933,Sheet2!$A$2:$R$3432,3,0)</f>
        <v>Shantanu Kamthe</v>
      </c>
      <c r="G1933" s="5" t="s">
        <v>25</v>
      </c>
      <c r="H1933" s="5" t="s">
        <v>25</v>
      </c>
      <c r="I1933" s="5" t="s">
        <v>25</v>
      </c>
      <c r="J1933" s="5" t="s">
        <v>25</v>
      </c>
      <c r="K1933" s="7" t="str">
        <f>VLOOKUP(A1933,Sheet2!$A$2:$R$3432,6,0)</f>
        <v>Honda Hornet </v>
      </c>
      <c r="L1933" s="5" t="s">
        <v>25</v>
      </c>
      <c r="M1933" s="7" t="str">
        <f>VLOOKUP(A1933,Sheet2!$A$2:$R$3432,5,0)</f>
        <v>MH12PR6035</v>
      </c>
      <c r="N1933" s="5" t="s">
        <v>25</v>
      </c>
      <c r="O1933" s="5" t="s">
        <v>25</v>
      </c>
      <c r="P1933" s="6" t="s">
        <v>25</v>
      </c>
      <c r="Q1933" s="5" t="s">
        <v>25</v>
      </c>
      <c r="R1933" s="5" t="s">
        <v>25</v>
      </c>
      <c r="S1933" s="5" t="str">
        <f>VLOOKUP(A1933,Sheet2!$A$2:$R$3432,18,0)</f>
        <v>KC23E849430</v>
      </c>
      <c r="T1933" s="7" t="str">
        <f>VLOOKUP(A1933,Sheet2!$A$2:$R$3432,17,0)</f>
        <v>ME4KC23AFH8016431</v>
      </c>
    </row>
    <row r="1934" ht="15.75" customHeight="1">
      <c r="A1934" s="3" t="s">
        <v>1957</v>
      </c>
      <c r="B1934" s="4" t="str">
        <f>VLOOKUP(A1934,Sheet2!$A$2:$R$3432,2,0)</f>
        <v>2024-08-09 20:16:54</v>
      </c>
      <c r="C1934" s="5" t="s">
        <v>25</v>
      </c>
      <c r="D1934" s="6" t="s">
        <v>25</v>
      </c>
      <c r="E1934" s="7">
        <f>VLOOKUP(A1934,Sheet2!$A$2:$R$3432,4,0)</f>
        <v>9890921262</v>
      </c>
      <c r="F1934" s="7" t="str">
        <f>VLOOKUP(A1934,Sheet2!$A$2:$R$3432,3,0)</f>
        <v>Sudarshan Patil</v>
      </c>
      <c r="G1934" s="5" t="s">
        <v>25</v>
      </c>
      <c r="H1934" s="5" t="s">
        <v>25</v>
      </c>
      <c r="I1934" s="5" t="s">
        <v>25</v>
      </c>
      <c r="J1934" s="5" t="s">
        <v>25</v>
      </c>
      <c r="K1934" s="7" t="str">
        <f>VLOOKUP(A1934,Sheet2!$A$2:$R$3432,6,0)</f>
        <v>TVS Star City </v>
      </c>
      <c r="L1934" s="5" t="s">
        <v>25</v>
      </c>
      <c r="M1934" s="7" t="str">
        <f>VLOOKUP(A1934,Sheet2!$A$2:$R$3432,5,0)</f>
        <v>MH19CA7532</v>
      </c>
      <c r="N1934" s="5" t="s">
        <v>25</v>
      </c>
      <c r="O1934" s="5" t="s">
        <v>25</v>
      </c>
      <c r="P1934" s="6" t="s">
        <v>25</v>
      </c>
      <c r="Q1934" s="5" t="s">
        <v>25</v>
      </c>
      <c r="R1934" s="5" t="s">
        <v>25</v>
      </c>
      <c r="S1934" s="5" t="str">
        <f>VLOOKUP(A1934,Sheet2!$A$2:$R$3432,18,0)</f>
        <v>CF1LE1124064</v>
      </c>
      <c r="T1934" s="7" t="str">
        <f>VLOOKUP(A1934,Sheet2!$A$2:$R$3432,17,0)</f>
        <v>MD625CF18E1L76323</v>
      </c>
    </row>
    <row r="1935" ht="15.75" customHeight="1">
      <c r="A1935" s="3" t="s">
        <v>1958</v>
      </c>
      <c r="B1935" s="4" t="str">
        <f>VLOOKUP(A1935,Sheet2!$A$2:$R$3432,2,0)</f>
        <v>2024-08-09 20:13:31</v>
      </c>
      <c r="C1935" s="5" t="s">
        <v>25</v>
      </c>
      <c r="D1935" s="6" t="s">
        <v>25</v>
      </c>
      <c r="E1935" s="7">
        <f>VLOOKUP(A1935,Sheet2!$A$2:$R$3432,4,0)</f>
        <v>9987725138</v>
      </c>
      <c r="F1935" s="7" t="str">
        <f>VLOOKUP(A1935,Sheet2!$A$2:$R$3432,3,0)</f>
        <v>Hitesh</v>
      </c>
      <c r="G1935" s="5" t="s">
        <v>25</v>
      </c>
      <c r="H1935" s="5" t="s">
        <v>25</v>
      </c>
      <c r="I1935" s="5" t="s">
        <v>25</v>
      </c>
      <c r="J1935" s="5" t="s">
        <v>25</v>
      </c>
      <c r="K1935" s="7" t="str">
        <f>VLOOKUP(A1935,Sheet2!$A$2:$R$3432,6,0)</f>
        <v>Yamaha FZ 25</v>
      </c>
      <c r="L1935" s="5" t="s">
        <v>25</v>
      </c>
      <c r="M1935" s="7" t="str">
        <f>VLOOKUP(A1935,Sheet2!$A$2:$R$3432,5,0)</f>
        <v>MH04LN6222</v>
      </c>
      <c r="N1935" s="5" t="s">
        <v>25</v>
      </c>
      <c r="O1935" s="5" t="s">
        <v>25</v>
      </c>
      <c r="P1935" s="6" t="s">
        <v>25</v>
      </c>
      <c r="Q1935" s="5" t="s">
        <v>25</v>
      </c>
      <c r="R1935" s="5" t="s">
        <v>25</v>
      </c>
      <c r="S1935" s="5" t="str">
        <f>VLOOKUP(A1935,Sheet2!$A$2:$R$3432,18,0)</f>
        <v>G3P1E0018855</v>
      </c>
      <c r="T1935" s="7" t="str">
        <f>VLOOKUP(A1935,Sheet2!$A$2:$R$3432,17,0)</f>
        <v>ME1RG695BN0003691</v>
      </c>
    </row>
    <row r="1936" ht="15.75" customHeight="1">
      <c r="A1936" s="3" t="s">
        <v>1959</v>
      </c>
      <c r="B1936" s="4" t="str">
        <f>VLOOKUP(A1936,Sheet2!$A$2:$R$3432,2,0)</f>
        <v>2024-08-09 20:16:21</v>
      </c>
      <c r="C1936" s="5" t="s">
        <v>25</v>
      </c>
      <c r="D1936" s="6" t="s">
        <v>25</v>
      </c>
      <c r="E1936" s="7">
        <f>VLOOKUP(A1936,Sheet2!$A$2:$R$3432,4,0)</f>
        <v>8839165991</v>
      </c>
      <c r="F1936" s="7" t="str">
        <f>VLOOKUP(A1936,Sheet2!$A$2:$R$3432,3,0)</f>
        <v>Shubham</v>
      </c>
      <c r="G1936" s="5" t="s">
        <v>25</v>
      </c>
      <c r="H1936" s="5" t="s">
        <v>25</v>
      </c>
      <c r="I1936" s="5" t="s">
        <v>25</v>
      </c>
      <c r="J1936" s="5" t="s">
        <v>25</v>
      </c>
      <c r="K1936" s="7" t="str">
        <f>VLOOKUP(A1936,Sheet2!$A$2:$R$3432,6,0)</f>
        <v>TVS Victor </v>
      </c>
      <c r="L1936" s="5" t="s">
        <v>25</v>
      </c>
      <c r="M1936" s="7" t="str">
        <f>VLOOKUP(A1936,Sheet2!$A$2:$R$3432,5,0)</f>
        <v>MP07NC5498</v>
      </c>
      <c r="N1936" s="5" t="s">
        <v>25</v>
      </c>
      <c r="O1936" s="5" t="s">
        <v>25</v>
      </c>
      <c r="P1936" s="6" t="s">
        <v>25</v>
      </c>
      <c r="Q1936" s="5" t="s">
        <v>25</v>
      </c>
      <c r="R1936" s="5" t="s">
        <v>25</v>
      </c>
      <c r="S1936" s="5" t="str">
        <f>VLOOKUP(A1936,Sheet2!$A$2:$R$3432,18,0)</f>
        <v>GF1HH1472021</v>
      </c>
      <c r="T1936" s="7" t="str">
        <f>VLOOKUP(A1936,Sheet2!$A$2:$R$3432,17,0)</f>
        <v>MD6256GF18HZH71553</v>
      </c>
    </row>
    <row r="1937" ht="15.75" customHeight="1">
      <c r="A1937" s="3" t="s">
        <v>1960</v>
      </c>
      <c r="B1937" s="4" t="str">
        <f>VLOOKUP(A1937,Sheet2!$A$2:$R$3432,2,0)</f>
        <v>2024-08-09 20:17:40</v>
      </c>
      <c r="C1937" s="5" t="s">
        <v>25</v>
      </c>
      <c r="D1937" s="6" t="s">
        <v>25</v>
      </c>
      <c r="E1937" s="7">
        <f>VLOOKUP(A1937,Sheet2!$A$2:$R$3432,4,0)</f>
        <v>7775958359</v>
      </c>
      <c r="F1937" s="7" t="str">
        <f>VLOOKUP(A1937,Sheet2!$A$2:$R$3432,3,0)</f>
        <v>Omkar Kale </v>
      </c>
      <c r="G1937" s="5" t="s">
        <v>25</v>
      </c>
      <c r="H1937" s="5" t="s">
        <v>25</v>
      </c>
      <c r="I1937" s="5" t="s">
        <v>25</v>
      </c>
      <c r="J1937" s="5" t="s">
        <v>25</v>
      </c>
      <c r="K1937" s="7" t="str">
        <f>VLOOKUP(A1937,Sheet2!$A$2:$R$3432,6,0)</f>
        <v>TVS Apache RTR 160</v>
      </c>
      <c r="L1937" s="5" t="s">
        <v>25</v>
      </c>
      <c r="M1937" s="7" t="str">
        <f>VLOOKUP(A1937,Sheet2!$A$2:$R$3432,5,0)</f>
        <v>MH12TW9066</v>
      </c>
      <c r="N1937" s="5" t="s">
        <v>25</v>
      </c>
      <c r="O1937" s="5" t="s">
        <v>25</v>
      </c>
      <c r="P1937" s="6" t="s">
        <v>25</v>
      </c>
      <c r="Q1937" s="5" t="s">
        <v>25</v>
      </c>
      <c r="R1937" s="5" t="s">
        <v>25</v>
      </c>
      <c r="S1937" s="5" t="str">
        <f>VLOOKUP(A1937,Sheet2!$A$2:$R$3432,18,0)</f>
        <v>GE5PM2701961</v>
      </c>
      <c r="T1937" s="7" t="str">
        <f>VLOOKUP(A1937,Sheet2!$A$2:$R$3432,17,0)</f>
        <v>MD637GF56M2P01778</v>
      </c>
    </row>
    <row r="1938" ht="15.75" customHeight="1">
      <c r="A1938" s="3" t="s">
        <v>1961</v>
      </c>
      <c r="B1938" s="4" t="str">
        <f>VLOOKUP(A1938,Sheet2!$A$2:$R$3432,2,0)</f>
        <v>2024-08-09 20:31:46</v>
      </c>
      <c r="C1938" s="5" t="s">
        <v>25</v>
      </c>
      <c r="D1938" s="6" t="s">
        <v>25</v>
      </c>
      <c r="E1938" s="7">
        <f>VLOOKUP(A1938,Sheet2!$A$2:$R$3432,4,0)</f>
        <v>9822975330</v>
      </c>
      <c r="F1938" s="7" t="str">
        <f>VLOOKUP(A1938,Sheet2!$A$2:$R$3432,3,0)</f>
        <v>Sunil Takawale</v>
      </c>
      <c r="G1938" s="5" t="s">
        <v>25</v>
      </c>
      <c r="H1938" s="5" t="s">
        <v>25</v>
      </c>
      <c r="I1938" s="5" t="s">
        <v>25</v>
      </c>
      <c r="J1938" s="5" t="s">
        <v>25</v>
      </c>
      <c r="K1938" s="7" t="str">
        <f>VLOOKUP(A1938,Sheet2!$A$2:$R$3432,6,0)</f>
        <v>Honda Activa 6G</v>
      </c>
      <c r="L1938" s="5" t="s">
        <v>25</v>
      </c>
      <c r="M1938" s="7" t="str">
        <f>VLOOKUP(A1938,Sheet2!$A$2:$R$3432,5,0)</f>
        <v>MH14KL6940</v>
      </c>
      <c r="N1938" s="5" t="s">
        <v>25</v>
      </c>
      <c r="O1938" s="5" t="s">
        <v>25</v>
      </c>
      <c r="P1938" s="6" t="s">
        <v>25</v>
      </c>
      <c r="Q1938" s="5" t="s">
        <v>25</v>
      </c>
      <c r="R1938" s="5" t="s">
        <v>25</v>
      </c>
      <c r="S1938" s="5" t="str">
        <f>VLOOKUP(A1938,Sheet2!$A$2:$R$3432,18,0)</f>
        <v>JF91EG7450527</v>
      </c>
      <c r="T1938" s="7" t="str">
        <f>VLOOKUP(A1938,Sheet2!$A$2:$R$3432,17,0)</f>
        <v>ME4JF91ALNG450360</v>
      </c>
    </row>
    <row r="1939" ht="15.75" customHeight="1">
      <c r="A1939" s="3" t="s">
        <v>1962</v>
      </c>
      <c r="B1939" s="4" t="str">
        <f>VLOOKUP(A1939,Sheet2!$A$2:$R$3432,2,0)</f>
        <v>2024-08-09 20:25:47</v>
      </c>
      <c r="C1939" s="5" t="s">
        <v>25</v>
      </c>
      <c r="D1939" s="6" t="s">
        <v>25</v>
      </c>
      <c r="E1939" s="7">
        <f>VLOOKUP(A1939,Sheet2!$A$2:$R$3432,4,0)</f>
        <v>9604788998</v>
      </c>
      <c r="F1939" s="7" t="str">
        <f>VLOOKUP(A1939,Sheet2!$A$2:$R$3432,3,0)</f>
        <v>Imran </v>
      </c>
      <c r="G1939" s="5" t="s">
        <v>25</v>
      </c>
      <c r="H1939" s="5" t="s">
        <v>25</v>
      </c>
      <c r="I1939" s="5" t="s">
        <v>25</v>
      </c>
      <c r="J1939" s="5" t="s">
        <v>25</v>
      </c>
      <c r="K1939" s="7" t="str">
        <f>VLOOKUP(A1939,Sheet2!$A$2:$R$3432,6,0)</f>
        <v>Suzuki Avenis 125</v>
      </c>
      <c r="L1939" s="5" t="s">
        <v>25</v>
      </c>
      <c r="M1939" s="7" t="str">
        <f>VLOOKUP(A1939,Sheet2!$A$2:$R$3432,5,0)</f>
        <v>MH14JZ8159</v>
      </c>
      <c r="N1939" s="5" t="s">
        <v>25</v>
      </c>
      <c r="O1939" s="5" t="s">
        <v>25</v>
      </c>
      <c r="P1939" s="6" t="s">
        <v>25</v>
      </c>
      <c r="Q1939" s="5" t="s">
        <v>25</v>
      </c>
      <c r="R1939" s="5" t="s">
        <v>25</v>
      </c>
      <c r="S1939" s="5" t="str">
        <f>VLOOKUP(A1939,Sheet2!$A$2:$R$3432,18,0)</f>
        <v>AF212784851</v>
      </c>
      <c r="T1939" s="7" t="str">
        <f>VLOOKUP(A1939,Sheet2!$A$2:$R$3432,17,0)</f>
        <v>ME8EA12ACN8121713</v>
      </c>
    </row>
    <row r="1940" ht="15.75" customHeight="1">
      <c r="A1940" s="3" t="s">
        <v>1963</v>
      </c>
      <c r="B1940" s="4" t="str">
        <f>VLOOKUP(A1940,Sheet2!$A$2:$R$3432,2,0)</f>
        <v>2024-08-09 20:29:55</v>
      </c>
      <c r="C1940" s="5" t="s">
        <v>25</v>
      </c>
      <c r="D1940" s="6" t="s">
        <v>25</v>
      </c>
      <c r="E1940" s="7">
        <f>VLOOKUP(A1940,Sheet2!$A$2:$R$3432,4,0)</f>
        <v>8007026470</v>
      </c>
      <c r="F1940" s="7" t="str">
        <f>VLOOKUP(A1940,Sheet2!$A$2:$R$3432,3,0)</f>
        <v>Amruta</v>
      </c>
      <c r="G1940" s="5" t="s">
        <v>25</v>
      </c>
      <c r="H1940" s="5" t="s">
        <v>25</v>
      </c>
      <c r="I1940" s="5" t="s">
        <v>25</v>
      </c>
      <c r="J1940" s="5" t="s">
        <v>25</v>
      </c>
      <c r="K1940" s="7" t="str">
        <f>VLOOKUP(A1940,Sheet2!$A$2:$R$3432,6,0)</f>
        <v>Suzuki Access 125</v>
      </c>
      <c r="L1940" s="5" t="s">
        <v>25</v>
      </c>
      <c r="M1940" s="7" t="str">
        <f>VLOOKUP(A1940,Sheet2!$A$2:$R$3432,5,0)</f>
        <v>MH12HT5965</v>
      </c>
      <c r="N1940" s="5" t="s">
        <v>25</v>
      </c>
      <c r="O1940" s="5" t="s">
        <v>25</v>
      </c>
      <c r="P1940" s="6" t="s">
        <v>25</v>
      </c>
      <c r="Q1940" s="5" t="s">
        <v>25</v>
      </c>
      <c r="R1940" s="5" t="s">
        <v>25</v>
      </c>
      <c r="S1940" s="7" t="str">
        <f>VLOOKUP(A1940,Sheet2!$A$2:$R$3432,18,0)</f>
        <v/>
      </c>
      <c r="T1940" s="7" t="str">
        <f>VLOOKUP(A1940,Sheet2!$A$2:$R$3432,17,0)</f>
        <v>M08CF4CAAC8448698</v>
      </c>
    </row>
    <row r="1941" ht="15.75" customHeight="1">
      <c r="A1941" s="3" t="s">
        <v>1964</v>
      </c>
      <c r="B1941" s="4" t="str">
        <f>VLOOKUP(A1941,Sheet2!$A$2:$R$3432,2,0)</f>
        <v>2024-08-09 20:30:35</v>
      </c>
      <c r="C1941" s="5" t="s">
        <v>25</v>
      </c>
      <c r="D1941" s="6" t="s">
        <v>25</v>
      </c>
      <c r="E1941" s="7">
        <f>VLOOKUP(A1941,Sheet2!$A$2:$R$3432,4,0)</f>
        <v>9028460914</v>
      </c>
      <c r="F1941" s="7" t="str">
        <f>VLOOKUP(A1941,Sheet2!$A$2:$R$3432,3,0)</f>
        <v>APURVA</v>
      </c>
      <c r="G1941" s="5" t="s">
        <v>25</v>
      </c>
      <c r="H1941" s="5" t="s">
        <v>25</v>
      </c>
      <c r="I1941" s="5" t="s">
        <v>25</v>
      </c>
      <c r="J1941" s="5" t="s">
        <v>25</v>
      </c>
      <c r="K1941" s="7" t="str">
        <f>VLOOKUP(A1941,Sheet2!$A$2:$R$3432,6,0)</f>
        <v>Suzuki Swish 125</v>
      </c>
      <c r="L1941" s="5" t="s">
        <v>25</v>
      </c>
      <c r="M1941" s="7" t="str">
        <f>VLOOKUP(A1941,Sheet2!$A$2:$R$3432,5,0)</f>
        <v>MH12MH7791</v>
      </c>
      <c r="N1941" s="5" t="s">
        <v>25</v>
      </c>
      <c r="O1941" s="5" t="s">
        <v>25</v>
      </c>
      <c r="P1941" s="6" t="s">
        <v>25</v>
      </c>
      <c r="Q1941" s="5" t="s">
        <v>25</v>
      </c>
      <c r="R1941" s="5" t="s">
        <v>25</v>
      </c>
      <c r="S1941" s="5" t="str">
        <f>VLOOKUP(A1941,Sheet2!$A$2:$R$3432,18,0)</f>
        <v>F486274403</v>
      </c>
      <c r="T1941" s="7" t="str">
        <f>VLOOKUP(A1941,Sheet2!$A$2:$R$3432,17,0)</f>
        <v>MB8CF4CBGF8186033</v>
      </c>
    </row>
    <row r="1942" ht="15.75" customHeight="1">
      <c r="A1942" s="3" t="s">
        <v>1965</v>
      </c>
      <c r="B1942" s="4" t="str">
        <f>VLOOKUP(A1942,Sheet2!$A$2:$R$3432,2,0)</f>
        <v>2024-08-09 20:44:46</v>
      </c>
      <c r="C1942" s="5" t="s">
        <v>25</v>
      </c>
      <c r="D1942" s="6" t="s">
        <v>25</v>
      </c>
      <c r="E1942" s="7">
        <f>VLOOKUP(A1942,Sheet2!$A$2:$R$3432,4,0)</f>
        <v>9922504486</v>
      </c>
      <c r="F1942" s="7" t="str">
        <f>VLOOKUP(A1942,Sheet2!$A$2:$R$3432,3,0)</f>
        <v>AMEYA</v>
      </c>
      <c r="G1942" s="5" t="s">
        <v>25</v>
      </c>
      <c r="H1942" s="5" t="s">
        <v>25</v>
      </c>
      <c r="I1942" s="5" t="s">
        <v>25</v>
      </c>
      <c r="J1942" s="5" t="s">
        <v>25</v>
      </c>
      <c r="K1942" s="7" t="str">
        <f>VLOOKUP(A1942,Sheet2!$A$2:$R$3432,6,0)</f>
        <v>Bajaj Discover 125M</v>
      </c>
      <c r="L1942" s="5" t="s">
        <v>25</v>
      </c>
      <c r="M1942" s="7" t="str">
        <f>VLOOKUP(A1942,Sheet2!$A$2:$R$3432,5,0)</f>
        <v>MH02DB5838</v>
      </c>
      <c r="N1942" s="5" t="s">
        <v>25</v>
      </c>
      <c r="O1942" s="5" t="s">
        <v>25</v>
      </c>
      <c r="P1942" s="6" t="s">
        <v>25</v>
      </c>
      <c r="Q1942" s="5" t="s">
        <v>25</v>
      </c>
      <c r="R1942" s="5" t="s">
        <v>25</v>
      </c>
      <c r="S1942" s="5" t="str">
        <f>VLOOKUP(A1942,Sheet2!$A$2:$R$3432,18,0)</f>
        <v>JFZWCJ04844</v>
      </c>
      <c r="T1942" s="7" t="str">
        <f>VLOOKUP(A1942,Sheet2!$A$2:$R$3432,17,0)</f>
        <v>MD2A37CZXWJU8572</v>
      </c>
    </row>
    <row r="1943" ht="15.75" customHeight="1">
      <c r="A1943" s="3" t="s">
        <v>1966</v>
      </c>
      <c r="B1943" s="4" t="str">
        <f>VLOOKUP(A1943,Sheet2!$A$2:$R$3432,2,0)</f>
        <v>2024-08-09 20:34:39</v>
      </c>
      <c r="C1943" s="5" t="s">
        <v>25</v>
      </c>
      <c r="D1943" s="6" t="s">
        <v>25</v>
      </c>
      <c r="E1943" s="7">
        <f>VLOOKUP(A1943,Sheet2!$A$2:$R$3432,4,0)</f>
        <v>7062155658</v>
      </c>
      <c r="F1943" s="7" t="str">
        <f>VLOOKUP(A1943,Sheet2!$A$2:$R$3432,3,0)</f>
        <v>Gautam</v>
      </c>
      <c r="G1943" s="5" t="s">
        <v>25</v>
      </c>
      <c r="H1943" s="5" t="s">
        <v>25</v>
      </c>
      <c r="I1943" s="5" t="s">
        <v>25</v>
      </c>
      <c r="J1943" s="5" t="s">
        <v>25</v>
      </c>
      <c r="K1943" s="7" t="str">
        <f>VLOOKUP(A1943,Sheet2!$A$2:$R$3432,6,0)</f>
        <v>TVS Jupiter BS6</v>
      </c>
      <c r="L1943" s="5" t="s">
        <v>25</v>
      </c>
      <c r="M1943" s="7" t="str">
        <f>VLOOKUP(A1943,Sheet2!$A$2:$R$3432,5,0)</f>
        <v>MH14JC8962</v>
      </c>
      <c r="N1943" s="5" t="s">
        <v>25</v>
      </c>
      <c r="O1943" s="5" t="s">
        <v>25</v>
      </c>
      <c r="P1943" s="6" t="s">
        <v>25</v>
      </c>
      <c r="Q1943" s="5" t="s">
        <v>25</v>
      </c>
      <c r="R1943" s="5" t="s">
        <v>25</v>
      </c>
      <c r="S1943" s="5" t="str">
        <f>VLOOKUP(A1943,Sheet2!$A$2:$R$3432,18,0)</f>
        <v>EG5HL3717015</v>
      </c>
      <c r="T1943" s="7" t="str">
        <f>VLOOKUP(A1943,Sheet2!$A$2:$R$3432,17,0)</f>
        <v>MD626CG52L3A19254</v>
      </c>
    </row>
    <row r="1944" ht="15.75" customHeight="1">
      <c r="A1944" s="3" t="s">
        <v>1967</v>
      </c>
      <c r="B1944" s="4" t="str">
        <f>VLOOKUP(A1944,Sheet2!$A$2:$R$3432,2,0)</f>
        <v>2024-08-09 20:36:29</v>
      </c>
      <c r="C1944" s="5" t="s">
        <v>25</v>
      </c>
      <c r="D1944" s="6" t="s">
        <v>25</v>
      </c>
      <c r="E1944" s="7">
        <f>VLOOKUP(A1944,Sheet2!$A$2:$R$3432,4,0)</f>
        <v>9348759848</v>
      </c>
      <c r="F1944" s="7" t="str">
        <f>VLOOKUP(A1944,Sheet2!$A$2:$R$3432,3,0)</f>
        <v>Varun</v>
      </c>
      <c r="G1944" s="5" t="s">
        <v>25</v>
      </c>
      <c r="H1944" s="5" t="s">
        <v>25</v>
      </c>
      <c r="I1944" s="5" t="s">
        <v>25</v>
      </c>
      <c r="J1944" s="5" t="s">
        <v>25</v>
      </c>
      <c r="K1944" s="7" t="str">
        <f>VLOOKUP(A1944,Sheet2!$A$2:$R$3432,6,0)</f>
        <v>TVS Apache RTR 200 4V</v>
      </c>
      <c r="L1944" s="5" t="s">
        <v>25</v>
      </c>
      <c r="M1944" s="7" t="str">
        <f>VLOOKUP(A1944,Sheet2!$A$2:$R$3432,5,0)</f>
        <v>MH12PD1623</v>
      </c>
      <c r="N1944" s="5" t="s">
        <v>25</v>
      </c>
      <c r="O1944" s="5" t="s">
        <v>25</v>
      </c>
      <c r="P1944" s="6" t="s">
        <v>25</v>
      </c>
      <c r="Q1944" s="5" t="s">
        <v>25</v>
      </c>
      <c r="R1944" s="5" t="s">
        <v>25</v>
      </c>
      <c r="S1944" s="7" t="str">
        <f>VLOOKUP(A1944,Sheet2!$A$2:$R$3432,18,0)</f>
        <v/>
      </c>
      <c r="T1944" s="7" t="str">
        <f>VLOOKUP(A1944,Sheet2!$A$2:$R$3432,17,0)</f>
        <v/>
      </c>
    </row>
    <row r="1945" ht="15.75" customHeight="1">
      <c r="A1945" s="3" t="s">
        <v>1968</v>
      </c>
      <c r="B1945" s="4" t="str">
        <f>VLOOKUP(A1945,Sheet2!$A$2:$R$3432,2,0)</f>
        <v>2024-08-09 20:35:24</v>
      </c>
      <c r="C1945" s="5" t="s">
        <v>25</v>
      </c>
      <c r="D1945" s="6" t="s">
        <v>25</v>
      </c>
      <c r="E1945" s="7">
        <f>VLOOKUP(A1945,Sheet2!$A$2:$R$3432,4,0)</f>
        <v>8484088353</v>
      </c>
      <c r="F1945" s="7" t="str">
        <f>VLOOKUP(A1945,Sheet2!$A$2:$R$3432,3,0)</f>
        <v>Akshay </v>
      </c>
      <c r="G1945" s="5" t="s">
        <v>25</v>
      </c>
      <c r="H1945" s="5" t="s">
        <v>25</v>
      </c>
      <c r="I1945" s="5" t="s">
        <v>25</v>
      </c>
      <c r="J1945" s="5" t="s">
        <v>25</v>
      </c>
      <c r="K1945" s="7" t="str">
        <f>VLOOKUP(A1945,Sheet2!$A$2:$R$3432,6,0)</f>
        <v>Honda Activa 4G</v>
      </c>
      <c r="L1945" s="5" t="s">
        <v>25</v>
      </c>
      <c r="M1945" s="7" t="str">
        <f>VLOOKUP(A1945,Sheet2!$A$2:$R$3432,5,0)</f>
        <v>MH14GK4333</v>
      </c>
      <c r="N1945" s="5" t="s">
        <v>25</v>
      </c>
      <c r="O1945" s="5" t="s">
        <v>25</v>
      </c>
      <c r="P1945" s="6" t="s">
        <v>25</v>
      </c>
      <c r="Q1945" s="5" t="s">
        <v>25</v>
      </c>
      <c r="R1945" s="5" t="s">
        <v>25</v>
      </c>
      <c r="S1945" s="5" t="str">
        <f>VLOOKUP(A1945,Sheet2!$A$2:$R$3432,18,0)</f>
        <v>JF50EU5424616</v>
      </c>
      <c r="T1945" s="7" t="str">
        <f>VLOOKUP(A1945,Sheet2!$A$2:$R$3432,17,0)</f>
        <v>ME4JF507GHU424715</v>
      </c>
    </row>
    <row r="1946" ht="15.75" customHeight="1">
      <c r="A1946" s="3" t="s">
        <v>1969</v>
      </c>
      <c r="B1946" s="4" t="str">
        <f>VLOOKUP(A1946,Sheet2!$A$2:$R$3432,2,0)</f>
        <v>2024-08-09 20:32:50</v>
      </c>
      <c r="C1946" s="5" t="s">
        <v>25</v>
      </c>
      <c r="D1946" s="6" t="s">
        <v>25</v>
      </c>
      <c r="E1946" s="7">
        <f>VLOOKUP(A1946,Sheet2!$A$2:$R$3432,4,0)</f>
        <v>9922997595</v>
      </c>
      <c r="F1946" s="7" t="str">
        <f>VLOOKUP(A1946,Sheet2!$A$2:$R$3432,3,0)</f>
        <v>Shreya Hate</v>
      </c>
      <c r="G1946" s="5" t="s">
        <v>25</v>
      </c>
      <c r="H1946" s="5" t="s">
        <v>25</v>
      </c>
      <c r="I1946" s="5" t="s">
        <v>25</v>
      </c>
      <c r="J1946" s="5" t="s">
        <v>25</v>
      </c>
      <c r="K1946" s="7" t="str">
        <f>VLOOKUP(A1946,Sheet2!$A$2:$R$3432,6,0)</f>
        <v>Honda Activa 5G</v>
      </c>
      <c r="L1946" s="5" t="s">
        <v>25</v>
      </c>
      <c r="M1946" s="7" t="str">
        <f>VLOOKUP(A1946,Sheet2!$A$2:$R$3432,5,0)</f>
        <v>MH12RL4642</v>
      </c>
      <c r="N1946" s="5" t="s">
        <v>25</v>
      </c>
      <c r="O1946" s="5" t="s">
        <v>25</v>
      </c>
      <c r="P1946" s="6" t="s">
        <v>25</v>
      </c>
      <c r="Q1946" s="5" t="s">
        <v>25</v>
      </c>
      <c r="R1946" s="5" t="s">
        <v>25</v>
      </c>
      <c r="S1946" s="5" t="str">
        <f>VLOOKUP(A1946,Sheet2!$A$2:$R$3432,18,0)</f>
        <v>JF50E78129372</v>
      </c>
      <c r="T1946" s="7" t="str">
        <f>VLOOKUP(A1946,Sheet2!$A$2:$R$3432,17,0)</f>
        <v>ME4JF50BM17R5855</v>
      </c>
    </row>
    <row r="1947" ht="15.75" customHeight="1">
      <c r="A1947" s="3" t="s">
        <v>1970</v>
      </c>
      <c r="B1947" s="4" t="str">
        <f>VLOOKUP(A1947,Sheet2!$A$2:$R$3432,2,0)</f>
        <v>2024-08-09 20:28:30</v>
      </c>
      <c r="C1947" s="5" t="s">
        <v>25</v>
      </c>
      <c r="D1947" s="6" t="s">
        <v>25</v>
      </c>
      <c r="E1947" s="7">
        <f>VLOOKUP(A1947,Sheet2!$A$2:$R$3432,4,0)</f>
        <v>9850891024</v>
      </c>
      <c r="F1947" s="7" t="str">
        <f>VLOOKUP(A1947,Sheet2!$A$2:$R$3432,3,0)</f>
        <v>Prakash Takle</v>
      </c>
      <c r="G1947" s="5" t="s">
        <v>25</v>
      </c>
      <c r="H1947" s="5" t="s">
        <v>25</v>
      </c>
      <c r="I1947" s="5" t="s">
        <v>25</v>
      </c>
      <c r="J1947" s="5" t="s">
        <v>25</v>
      </c>
      <c r="K1947" s="7" t="str">
        <f>VLOOKUP(A1947,Sheet2!$A$2:$R$3432,6,0)</f>
        <v>Honda Activa </v>
      </c>
      <c r="L1947" s="5" t="s">
        <v>25</v>
      </c>
      <c r="M1947" s="7" t="str">
        <f>VLOOKUP(A1947,Sheet2!$A$2:$R$3432,5,0)</f>
        <v>MH14GQ2750</v>
      </c>
      <c r="N1947" s="5" t="s">
        <v>25</v>
      </c>
      <c r="O1947" s="5" t="s">
        <v>25</v>
      </c>
      <c r="P1947" s="6" t="s">
        <v>25</v>
      </c>
      <c r="Q1947" s="5" t="s">
        <v>25</v>
      </c>
      <c r="R1947" s="5" t="s">
        <v>25</v>
      </c>
      <c r="S1947" s="5" t="str">
        <f>VLOOKUP(A1947,Sheet2!$A$2:$R$3432,18,0)</f>
        <v>JF50EU5507741</v>
      </c>
      <c r="T1947" s="7" t="str">
        <f>VLOOKUP(A1947,Sheet2!$A$2:$R$3432,17,0)</f>
        <v>ME4JF507HHU502718</v>
      </c>
    </row>
    <row r="1948" ht="15.75" customHeight="1">
      <c r="A1948" s="3" t="s">
        <v>1971</v>
      </c>
      <c r="B1948" s="4" t="str">
        <f>VLOOKUP(A1948,Sheet2!$A$2:$R$3432,2,0)</f>
        <v>2024-08-09 20:23:11</v>
      </c>
      <c r="C1948" s="5" t="s">
        <v>25</v>
      </c>
      <c r="D1948" s="6" t="s">
        <v>25</v>
      </c>
      <c r="E1948" s="7">
        <f>VLOOKUP(A1948,Sheet2!$A$2:$R$3432,4,0)</f>
        <v>9970562474</v>
      </c>
      <c r="F1948" s="7" t="str">
        <f>VLOOKUP(A1948,Sheet2!$A$2:$R$3432,3,0)</f>
        <v>Shriraj Belsare</v>
      </c>
      <c r="G1948" s="5" t="s">
        <v>25</v>
      </c>
      <c r="H1948" s="5" t="s">
        <v>25</v>
      </c>
      <c r="I1948" s="5" t="s">
        <v>25</v>
      </c>
      <c r="J1948" s="5" t="s">
        <v>25</v>
      </c>
      <c r="K1948" s="7" t="str">
        <f>VLOOKUP(A1948,Sheet2!$A$2:$R$3432,6,0)</f>
        <v>Hero Maestro </v>
      </c>
      <c r="L1948" s="5" t="s">
        <v>25</v>
      </c>
      <c r="M1948" s="7" t="str">
        <f>VLOOKUP(A1948,Sheet2!$A$2:$R$3432,5,0)</f>
        <v>MH27BM2655</v>
      </c>
      <c r="N1948" s="5" t="s">
        <v>25</v>
      </c>
      <c r="O1948" s="5" t="s">
        <v>25</v>
      </c>
      <c r="P1948" s="6" t="s">
        <v>25</v>
      </c>
      <c r="Q1948" s="5" t="s">
        <v>25</v>
      </c>
      <c r="R1948" s="5" t="s">
        <v>25</v>
      </c>
      <c r="S1948" s="5" t="str">
        <f>VLOOKUP(A1948,Sheet2!$A$2:$R$3432,18,0)</f>
        <v>JF33AAFAK18188</v>
      </c>
      <c r="T1948" s="7" t="str">
        <f>VLOOKUP(A1948,Sheet2!$A$2:$R$3432,17,0)</f>
        <v>MBLJF33AAF4K06510</v>
      </c>
    </row>
    <row r="1949" ht="15.75" customHeight="1">
      <c r="A1949" s="3" t="s">
        <v>1972</v>
      </c>
      <c r="B1949" s="4" t="str">
        <f>VLOOKUP(A1949,Sheet2!$A$2:$R$3432,2,0)</f>
        <v>2024-08-09 20:08:44</v>
      </c>
      <c r="C1949" s="5" t="s">
        <v>25</v>
      </c>
      <c r="D1949" s="6" t="s">
        <v>25</v>
      </c>
      <c r="E1949" s="7">
        <f>VLOOKUP(A1949,Sheet2!$A$2:$R$3432,4,0)</f>
        <v>7715971770</v>
      </c>
      <c r="F1949" s="7" t="str">
        <f>VLOOKUP(A1949,Sheet2!$A$2:$R$3432,3,0)</f>
        <v>Vinayak Patil</v>
      </c>
      <c r="G1949" s="5" t="s">
        <v>25</v>
      </c>
      <c r="H1949" s="5" t="s">
        <v>25</v>
      </c>
      <c r="I1949" s="5" t="s">
        <v>25</v>
      </c>
      <c r="J1949" s="5" t="s">
        <v>25</v>
      </c>
      <c r="K1949" s="7" t="str">
        <f>VLOOKUP(A1949,Sheet2!$A$2:$R$3432,6,0)</f>
        <v>TVS Jupiter </v>
      </c>
      <c r="L1949" s="5" t="s">
        <v>25</v>
      </c>
      <c r="M1949" s="7" t="str">
        <f>VLOOKUP(A1949,Sheet2!$A$2:$R$3432,5,0)</f>
        <v>MH12SH5779</v>
      </c>
      <c r="N1949" s="5" t="s">
        <v>25</v>
      </c>
      <c r="O1949" s="5" t="s">
        <v>25</v>
      </c>
      <c r="P1949" s="6" t="s">
        <v>25</v>
      </c>
      <c r="Q1949" s="5" t="s">
        <v>25</v>
      </c>
      <c r="R1949" s="5" t="s">
        <v>25</v>
      </c>
      <c r="S1949" s="5" t="str">
        <f>VLOOKUP(A1949,Sheet2!$A$2:$R$3432,18,0)</f>
        <v>EG4NK1506171</v>
      </c>
      <c r="T1949" s="7" t="str">
        <f>VLOOKUP(A1949,Sheet2!$A$2:$R$3432,17,0)</f>
        <v>MD626EG46K1N13336</v>
      </c>
    </row>
    <row r="1950" ht="15.75" customHeight="1">
      <c r="A1950" s="3" t="s">
        <v>1973</v>
      </c>
      <c r="B1950" s="4" t="str">
        <f>VLOOKUP(A1950,Sheet2!$A$2:$R$3432,2,0)</f>
        <v>2024-08-09 20:12:09</v>
      </c>
      <c r="C1950" s="5" t="s">
        <v>25</v>
      </c>
      <c r="D1950" s="6" t="s">
        <v>25</v>
      </c>
      <c r="E1950" s="7">
        <f>VLOOKUP(A1950,Sheet2!$A$2:$R$3432,4,0)</f>
        <v>8793125659</v>
      </c>
      <c r="F1950" s="7" t="str">
        <f>VLOOKUP(A1950,Sheet2!$A$2:$R$3432,3,0)</f>
        <v>AKBAL KHAN</v>
      </c>
      <c r="G1950" s="5" t="s">
        <v>25</v>
      </c>
      <c r="H1950" s="5" t="s">
        <v>25</v>
      </c>
      <c r="I1950" s="5" t="s">
        <v>25</v>
      </c>
      <c r="J1950" s="5" t="s">
        <v>25</v>
      </c>
      <c r="K1950" s="7" t="str">
        <f>VLOOKUP(A1950,Sheet2!$A$2:$R$3432,6,0)</f>
        <v>TVS Ntorq 125</v>
      </c>
      <c r="L1950" s="5" t="s">
        <v>25</v>
      </c>
      <c r="M1950" s="7" t="str">
        <f>VLOOKUP(A1950,Sheet2!$A$2:$R$3432,5,0)</f>
        <v>MH14HA8358</v>
      </c>
      <c r="N1950" s="5" t="s">
        <v>25</v>
      </c>
      <c r="O1950" s="5" t="s">
        <v>25</v>
      </c>
      <c r="P1950" s="6" t="s">
        <v>25</v>
      </c>
      <c r="Q1950" s="5" t="s">
        <v>25</v>
      </c>
      <c r="R1950" s="5" t="s">
        <v>25</v>
      </c>
      <c r="S1950" s="5" t="str">
        <f>VLOOKUP(A1950,Sheet2!$A$2:$R$3432,18,0)</f>
        <v>A67E1211010</v>
      </c>
      <c r="T1950" s="7" t="str">
        <f>VLOOKUP(A1950,Sheet2!$A$2:$R$3432,17,0)</f>
        <v>MD626AG7952E36766</v>
      </c>
    </row>
    <row r="1951" ht="15.75" customHeight="1">
      <c r="A1951" s="3" t="s">
        <v>1974</v>
      </c>
      <c r="B1951" s="4" t="str">
        <f>VLOOKUP(A1951,Sheet2!$A$2:$R$3432,2,0)</f>
        <v>2024-08-09 20:20:09</v>
      </c>
      <c r="C1951" s="5" t="s">
        <v>25</v>
      </c>
      <c r="D1951" s="6" t="s">
        <v>25</v>
      </c>
      <c r="E1951" s="7">
        <f>VLOOKUP(A1951,Sheet2!$A$2:$R$3432,4,0)</f>
        <v>9511151111</v>
      </c>
      <c r="F1951" s="7" t="str">
        <f>VLOOKUP(A1951,Sheet2!$A$2:$R$3432,3,0)</f>
        <v>Santosh</v>
      </c>
      <c r="G1951" s="5" t="s">
        <v>25</v>
      </c>
      <c r="H1951" s="5" t="s">
        <v>25</v>
      </c>
      <c r="I1951" s="5" t="s">
        <v>25</v>
      </c>
      <c r="J1951" s="5" t="s">
        <v>25</v>
      </c>
      <c r="K1951" s="7" t="str">
        <f>VLOOKUP(A1951,Sheet2!$A$2:$R$3432,6,0)</f>
        <v>Yamaha Fascino </v>
      </c>
      <c r="L1951" s="5" t="s">
        <v>25</v>
      </c>
      <c r="M1951" s="7" t="str">
        <f>VLOOKUP(A1951,Sheet2!$A$2:$R$3432,5,0)</f>
        <v>MH20EQ6672</v>
      </c>
      <c r="N1951" s="5" t="s">
        <v>25</v>
      </c>
      <c r="O1951" s="5" t="s">
        <v>25</v>
      </c>
      <c r="P1951" s="6" t="s">
        <v>25</v>
      </c>
      <c r="Q1951" s="5" t="s">
        <v>25</v>
      </c>
      <c r="R1951" s="5" t="s">
        <v>25</v>
      </c>
      <c r="S1951" s="5" t="str">
        <f>VLOOKUP(A1951,Sheet2!$A$2:$R$3432,18,0)</f>
        <v>E3Y3E0064786</v>
      </c>
      <c r="T1951" s="7" t="str">
        <f>VLOOKUP(A1951,Sheet2!$A$2:$R$3432,17,0)</f>
        <v>ME1SED29H003229</v>
      </c>
    </row>
    <row r="1952" ht="15.75" customHeight="1">
      <c r="A1952" s="3" t="s">
        <v>1975</v>
      </c>
      <c r="B1952" s="4" t="str">
        <f>VLOOKUP(A1952,Sheet2!$A$2:$R$3432,2,0)</f>
        <v>2024-08-09 20:10:23</v>
      </c>
      <c r="C1952" s="5" t="s">
        <v>25</v>
      </c>
      <c r="D1952" s="6" t="s">
        <v>25</v>
      </c>
      <c r="E1952" s="7">
        <f>VLOOKUP(A1952,Sheet2!$A$2:$R$3432,4,0)</f>
        <v>7020218470</v>
      </c>
      <c r="F1952" s="7" t="str">
        <f>VLOOKUP(A1952,Sheet2!$A$2:$R$3432,3,0)</f>
        <v>Umesh Dhumal </v>
      </c>
      <c r="G1952" s="5" t="s">
        <v>25</v>
      </c>
      <c r="H1952" s="5" t="s">
        <v>25</v>
      </c>
      <c r="I1952" s="5" t="s">
        <v>25</v>
      </c>
      <c r="J1952" s="5" t="s">
        <v>25</v>
      </c>
      <c r="K1952" s="7" t="str">
        <f>VLOOKUP(A1952,Sheet2!$A$2:$R$3432,6,0)</f>
        <v>Honda Shine </v>
      </c>
      <c r="L1952" s="5" t="s">
        <v>25</v>
      </c>
      <c r="M1952" s="7" t="str">
        <f>VLOOKUP(A1952,Sheet2!$A$2:$R$3432,5,0)</f>
        <v>MH12TW1197</v>
      </c>
      <c r="N1952" s="5" t="s">
        <v>25</v>
      </c>
      <c r="O1952" s="5" t="s">
        <v>25</v>
      </c>
      <c r="P1952" s="6" t="s">
        <v>25</v>
      </c>
      <c r="Q1952" s="5" t="s">
        <v>25</v>
      </c>
      <c r="R1952" s="5" t="s">
        <v>25</v>
      </c>
      <c r="S1952" s="5" t="str">
        <f>VLOOKUP(A1952,Sheet2!$A$2:$R$3432,18,0)</f>
        <v>JC85ED1093294</v>
      </c>
      <c r="T1952" s="7" t="str">
        <f>VLOOKUP(A1952,Sheet2!$A$2:$R$3432,17,0)</f>
        <v>ME4JC85AKM0060767</v>
      </c>
    </row>
    <row r="1953" ht="15.75" customHeight="1">
      <c r="A1953" s="3" t="s">
        <v>1976</v>
      </c>
      <c r="B1953" s="4" t="str">
        <f>VLOOKUP(A1953,Sheet2!$A$2:$R$3432,2,0)</f>
        <v>2024-08-09 19:38:19</v>
      </c>
      <c r="C1953" s="5" t="s">
        <v>25</v>
      </c>
      <c r="D1953" s="6" t="s">
        <v>25</v>
      </c>
      <c r="E1953" s="7">
        <f>VLOOKUP(A1953,Sheet2!$A$2:$R$3432,4,0)</f>
        <v>8485086239</v>
      </c>
      <c r="F1953" s="7" t="str">
        <f>VLOOKUP(A1953,Sheet2!$A$2:$R$3432,3,0)</f>
        <v>Shubham Chaudhary </v>
      </c>
      <c r="G1953" s="5" t="s">
        <v>25</v>
      </c>
      <c r="H1953" s="5" t="s">
        <v>25</v>
      </c>
      <c r="I1953" s="5" t="s">
        <v>25</v>
      </c>
      <c r="J1953" s="5" t="s">
        <v>25</v>
      </c>
      <c r="K1953" s="7" t="str">
        <f>VLOOKUP(A1953,Sheet2!$A$2:$R$3432,6,0)</f>
        <v>Honda Activa 5G</v>
      </c>
      <c r="L1953" s="5" t="s">
        <v>25</v>
      </c>
      <c r="M1953" s="7" t="str">
        <f>VLOOKUP(A1953,Sheet2!$A$2:$R$3432,5,0)</f>
        <v>MP28SE5342</v>
      </c>
      <c r="N1953" s="5" t="s">
        <v>25</v>
      </c>
      <c r="O1953" s="5" t="s">
        <v>25</v>
      </c>
      <c r="P1953" s="6" t="s">
        <v>25</v>
      </c>
      <c r="Q1953" s="5" t="s">
        <v>25</v>
      </c>
      <c r="R1953" s="5" t="s">
        <v>25</v>
      </c>
      <c r="S1953" s="5" t="str">
        <f>VLOOKUP(A1953,Sheet2!$A$2:$R$3432,18,0)</f>
        <v>AGEJ2112010</v>
      </c>
      <c r="T1953" s="7" t="str">
        <f>VLOOKUP(A1953,Sheet2!$A$2:$R$3432,17,0)</f>
        <v>MD62AG79J2E36766</v>
      </c>
    </row>
    <row r="1954" ht="15.75" customHeight="1">
      <c r="A1954" s="3" t="s">
        <v>1977</v>
      </c>
      <c r="B1954" s="4" t="str">
        <f>VLOOKUP(A1954,Sheet2!$A$2:$R$3432,2,0)</f>
        <v>2024-08-09 19:36:14</v>
      </c>
      <c r="C1954" s="5" t="s">
        <v>25</v>
      </c>
      <c r="D1954" s="6" t="s">
        <v>25</v>
      </c>
      <c r="E1954" s="7">
        <f>VLOOKUP(A1954,Sheet2!$A$2:$R$3432,4,0)</f>
        <v>9881065691</v>
      </c>
      <c r="F1954" s="7" t="str">
        <f>VLOOKUP(A1954,Sheet2!$A$2:$R$3432,3,0)</f>
        <v>Vishal Jadhav </v>
      </c>
      <c r="G1954" s="5" t="s">
        <v>25</v>
      </c>
      <c r="H1954" s="5" t="s">
        <v>25</v>
      </c>
      <c r="I1954" s="5" t="s">
        <v>25</v>
      </c>
      <c r="J1954" s="5" t="s">
        <v>25</v>
      </c>
      <c r="K1954" s="7" t="str">
        <f>VLOOKUP(A1954,Sheet2!$A$2:$R$3432,6,0)</f>
        <v>TVS Jupiter </v>
      </c>
      <c r="L1954" s="5" t="s">
        <v>25</v>
      </c>
      <c r="M1954" s="7" t="str">
        <f>VLOOKUP(A1954,Sheet2!$A$2:$R$3432,5,0)</f>
        <v>MH14GL3444</v>
      </c>
      <c r="N1954" s="5" t="s">
        <v>25</v>
      </c>
      <c r="O1954" s="5" t="s">
        <v>25</v>
      </c>
      <c r="P1954" s="6" t="s">
        <v>25</v>
      </c>
      <c r="Q1954" s="5" t="s">
        <v>25</v>
      </c>
      <c r="R1954" s="5" t="s">
        <v>25</v>
      </c>
      <c r="S1954" s="5" t="str">
        <f>VLOOKUP(A1954,Sheet2!$A$2:$R$3432,18,0)</f>
        <v>GG4GH1341954</v>
      </c>
      <c r="T1954" s="7" t="str">
        <f>VLOOKUP(A1954,Sheet2!$A$2:$R$3432,17,0)</f>
        <v>MD626EG45H1G22978</v>
      </c>
    </row>
    <row r="1955" ht="15.75" customHeight="1">
      <c r="A1955" s="3" t="s">
        <v>1978</v>
      </c>
      <c r="B1955" s="4" t="str">
        <f>VLOOKUP(A1955,Sheet2!$A$2:$R$3432,2,0)</f>
        <v>2024-10-13 15:19:29</v>
      </c>
      <c r="C1955" s="5" t="s">
        <v>25</v>
      </c>
      <c r="D1955" s="6" t="s">
        <v>25</v>
      </c>
      <c r="E1955" s="7">
        <f>VLOOKUP(A1955,Sheet2!$A$2:$R$3432,4,0)</f>
        <v>9518541752</v>
      </c>
      <c r="F1955" s="7" t="str">
        <f>VLOOKUP(A1955,Sheet2!$A$2:$R$3432,3,0)</f>
        <v>DURGESH</v>
      </c>
      <c r="G1955" s="5" t="s">
        <v>25</v>
      </c>
      <c r="H1955" s="5" t="s">
        <v>25</v>
      </c>
      <c r="I1955" s="5" t="s">
        <v>25</v>
      </c>
      <c r="J1955" s="5" t="s">
        <v>25</v>
      </c>
      <c r="K1955" s="7" t="str">
        <f>VLOOKUP(A1955,Sheet2!$A$2:$R$3432,6,0)</f>
        <v>Hero Xpulse 200</v>
      </c>
      <c r="L1955" s="5" t="s">
        <v>25</v>
      </c>
      <c r="M1955" s="7" t="str">
        <f>VLOOKUP(A1955,Sheet2!$A$2:$R$3432,5,0)</f>
        <v>MH14JY0548</v>
      </c>
      <c r="N1955" s="5" t="s">
        <v>25</v>
      </c>
      <c r="O1955" s="5" t="s">
        <v>25</v>
      </c>
      <c r="P1955" s="6" t="s">
        <v>25</v>
      </c>
      <c r="Q1955" s="5" t="s">
        <v>25</v>
      </c>
      <c r="R1955" s="5" t="s">
        <v>25</v>
      </c>
      <c r="S1955" s="7" t="str">
        <f>VLOOKUP(A1955,Sheet2!$A$2:$R$3432,18,0)</f>
        <v/>
      </c>
      <c r="T1955" s="7" t="str">
        <f>VLOOKUP(A1955,Sheet2!$A$2:$R$3432,17,0)</f>
        <v/>
      </c>
    </row>
    <row r="1956" ht="15.75" customHeight="1">
      <c r="A1956" s="3" t="s">
        <v>1979</v>
      </c>
      <c r="B1956" s="4" t="str">
        <f>VLOOKUP(A1956,Sheet2!$A$2:$R$3432,2,0)</f>
        <v>2024-10-13 15:24:04</v>
      </c>
      <c r="C1956" s="5" t="s">
        <v>25</v>
      </c>
      <c r="D1956" s="6" t="s">
        <v>25</v>
      </c>
      <c r="E1956" s="7">
        <f>VLOOKUP(A1956,Sheet2!$A$2:$R$3432,4,0)</f>
        <v>9960740206</v>
      </c>
      <c r="F1956" s="7" t="str">
        <f>VLOOKUP(A1956,Sheet2!$A$2:$R$3432,3,0)</f>
        <v>VAIBHAV MORE</v>
      </c>
      <c r="G1956" s="5" t="s">
        <v>25</v>
      </c>
      <c r="H1956" s="5" t="s">
        <v>25</v>
      </c>
      <c r="I1956" s="5" t="s">
        <v>25</v>
      </c>
      <c r="J1956" s="5" t="s">
        <v>25</v>
      </c>
      <c r="K1956" s="7" t="str">
        <f>VLOOKUP(A1956,Sheet2!$A$2:$R$3432,6,0)</f>
        <v>Hero Passion Pro</v>
      </c>
      <c r="L1956" s="5" t="s">
        <v>25</v>
      </c>
      <c r="M1956" s="7" t="str">
        <f>VLOOKUP(A1956,Sheet2!$A$2:$R$3432,5,0)</f>
        <v>MH05BB8893</v>
      </c>
      <c r="N1956" s="5" t="s">
        <v>25</v>
      </c>
      <c r="O1956" s="5" t="s">
        <v>25</v>
      </c>
      <c r="P1956" s="6" t="s">
        <v>25</v>
      </c>
      <c r="Q1956" s="5" t="s">
        <v>25</v>
      </c>
      <c r="R1956" s="5" t="s">
        <v>25</v>
      </c>
      <c r="S1956" s="7" t="str">
        <f>VLOOKUP(A1956,Sheet2!$A$2:$R$3432,18,0)</f>
        <v/>
      </c>
      <c r="T1956" s="7" t="str">
        <f>VLOOKUP(A1956,Sheet2!$A$2:$R$3432,17,0)</f>
        <v/>
      </c>
    </row>
    <row r="1957" ht="15.75" customHeight="1">
      <c r="A1957" s="3" t="s">
        <v>1980</v>
      </c>
      <c r="B1957" s="4" t="str">
        <f>VLOOKUP(A1957,Sheet2!$A$2:$R$3432,2,0)</f>
        <v>2024-10-13 15:19:09</v>
      </c>
      <c r="C1957" s="5" t="s">
        <v>25</v>
      </c>
      <c r="D1957" s="6" t="s">
        <v>25</v>
      </c>
      <c r="E1957" s="7">
        <f>VLOOKUP(A1957,Sheet2!$A$2:$R$3432,4,0)</f>
        <v>7796390470</v>
      </c>
      <c r="F1957" s="7" t="str">
        <f>VLOOKUP(A1957,Sheet2!$A$2:$R$3432,3,0)</f>
        <v>SHINDE</v>
      </c>
      <c r="G1957" s="5" t="s">
        <v>25</v>
      </c>
      <c r="H1957" s="5" t="s">
        <v>25</v>
      </c>
      <c r="I1957" s="5" t="s">
        <v>25</v>
      </c>
      <c r="J1957" s="5" t="s">
        <v>25</v>
      </c>
      <c r="K1957" s="7" t="str">
        <f>VLOOKUP(A1957,Sheet2!$A$2:$R$3432,6,0)</f>
        <v>Honda Activa 6G</v>
      </c>
      <c r="L1957" s="5" t="s">
        <v>25</v>
      </c>
      <c r="M1957" s="7" t="str">
        <f>VLOOKUP(A1957,Sheet2!$A$2:$R$3432,5,0)</f>
        <v>MH38AC4101</v>
      </c>
      <c r="N1957" s="5" t="s">
        <v>25</v>
      </c>
      <c r="O1957" s="5" t="s">
        <v>25</v>
      </c>
      <c r="P1957" s="6" t="s">
        <v>25</v>
      </c>
      <c r="Q1957" s="5" t="s">
        <v>25</v>
      </c>
      <c r="R1957" s="5" t="s">
        <v>25</v>
      </c>
      <c r="S1957" s="7" t="str">
        <f>VLOOKUP(A1957,Sheet2!$A$2:$R$3432,18,0)</f>
        <v/>
      </c>
      <c r="T1957" s="7" t="str">
        <f>VLOOKUP(A1957,Sheet2!$A$2:$R$3432,17,0)</f>
        <v/>
      </c>
    </row>
    <row r="1958" ht="15.75" customHeight="1">
      <c r="A1958" s="3" t="s">
        <v>1981</v>
      </c>
      <c r="B1958" s="4" t="str">
        <f>VLOOKUP(A1958,Sheet2!$A$2:$R$3432,2,0)</f>
        <v>2024-10-13 14:50:11</v>
      </c>
      <c r="C1958" s="5" t="s">
        <v>25</v>
      </c>
      <c r="D1958" s="6" t="s">
        <v>25</v>
      </c>
      <c r="E1958" s="7">
        <f>VLOOKUP(A1958,Sheet2!$A$2:$R$3432,4,0)</f>
        <v>8554855333</v>
      </c>
      <c r="F1958" s="7" t="str">
        <f>VLOOKUP(A1958,Sheet2!$A$2:$R$3432,3,0)</f>
        <v>SHILPA DEVLE</v>
      </c>
      <c r="G1958" s="5" t="s">
        <v>25</v>
      </c>
      <c r="H1958" s="5" t="s">
        <v>25</v>
      </c>
      <c r="I1958" s="5" t="s">
        <v>25</v>
      </c>
      <c r="J1958" s="5" t="s">
        <v>25</v>
      </c>
      <c r="K1958" s="7" t="str">
        <f>VLOOKUP(A1958,Sheet2!$A$2:$R$3432,6,0)</f>
        <v>TVS Jupiter </v>
      </c>
      <c r="L1958" s="5" t="s">
        <v>25</v>
      </c>
      <c r="M1958" s="7" t="str">
        <f>VLOOKUP(A1958,Sheet2!$A$2:$R$3432,5,0)</f>
        <v>MH14EE3794</v>
      </c>
      <c r="N1958" s="5" t="s">
        <v>25</v>
      </c>
      <c r="O1958" s="5" t="s">
        <v>25</v>
      </c>
      <c r="P1958" s="6" t="s">
        <v>25</v>
      </c>
      <c r="Q1958" s="5" t="s">
        <v>25</v>
      </c>
      <c r="R1958" s="5" t="s">
        <v>25</v>
      </c>
      <c r="S1958" s="7" t="str">
        <f>VLOOKUP(A1958,Sheet2!$A$2:$R$3432,18,0)</f>
        <v/>
      </c>
      <c r="T1958" s="7" t="str">
        <f>VLOOKUP(A1958,Sheet2!$A$2:$R$3432,17,0)</f>
        <v/>
      </c>
    </row>
    <row r="1959" ht="15.75" customHeight="1">
      <c r="A1959" s="3" t="s">
        <v>1982</v>
      </c>
      <c r="B1959" s="4" t="str">
        <f>VLOOKUP(A1959,Sheet2!$A$2:$R$3432,2,0)</f>
        <v>2024-10-13 14:46:10</v>
      </c>
      <c r="C1959" s="5" t="s">
        <v>25</v>
      </c>
      <c r="D1959" s="6" t="s">
        <v>25</v>
      </c>
      <c r="E1959" s="7">
        <f>VLOOKUP(A1959,Sheet2!$A$2:$R$3432,4,0)</f>
        <v>9595289545</v>
      </c>
      <c r="F1959" s="7" t="str">
        <f>VLOOKUP(A1959,Sheet2!$A$2:$R$3432,3,0)</f>
        <v>Rohit Patil </v>
      </c>
      <c r="G1959" s="5" t="s">
        <v>25</v>
      </c>
      <c r="H1959" s="5" t="s">
        <v>25</v>
      </c>
      <c r="I1959" s="5" t="s">
        <v>25</v>
      </c>
      <c r="J1959" s="5" t="s">
        <v>25</v>
      </c>
      <c r="K1959" s="7" t="str">
        <f>VLOOKUP(A1959,Sheet2!$A$2:$R$3432,6,0)</f>
        <v>Honda Activa 5G</v>
      </c>
      <c r="L1959" s="5" t="s">
        <v>25</v>
      </c>
      <c r="M1959" s="7" t="str">
        <f>VLOOKUP(A1959,Sheet2!$A$2:$R$3432,5,0)</f>
        <v>MH12RH0802</v>
      </c>
      <c r="N1959" s="5" t="s">
        <v>25</v>
      </c>
      <c r="O1959" s="5" t="s">
        <v>25</v>
      </c>
      <c r="P1959" s="6" t="s">
        <v>25</v>
      </c>
      <c r="Q1959" s="5" t="s">
        <v>25</v>
      </c>
      <c r="R1959" s="5" t="s">
        <v>25</v>
      </c>
      <c r="S1959" s="5" t="str">
        <f>VLOOKUP(A1959,Sheet2!$A$2:$R$3432,18,0)</f>
        <v>JF50EU7375653</v>
      </c>
      <c r="T1959" s="7" t="str">
        <f>VLOOKUP(A1959,Sheet2!$A$2:$R$3432,17,0)</f>
        <v>ME4JF50ALJU37660</v>
      </c>
    </row>
    <row r="1960" ht="15.75" customHeight="1">
      <c r="A1960" s="3" t="s">
        <v>1983</v>
      </c>
      <c r="B1960" s="4" t="str">
        <f>VLOOKUP(A1960,Sheet2!$A$2:$R$3432,2,0)</f>
        <v>2024-10-13 15:16:07</v>
      </c>
      <c r="C1960" s="5" t="s">
        <v>25</v>
      </c>
      <c r="D1960" s="6" t="s">
        <v>25</v>
      </c>
      <c r="E1960" s="7">
        <f>VLOOKUP(A1960,Sheet2!$A$2:$R$3432,4,0)</f>
        <v>9970311887</v>
      </c>
      <c r="F1960" s="7" t="str">
        <f>VLOOKUP(A1960,Sheet2!$A$2:$R$3432,3,0)</f>
        <v>ABHIJEET </v>
      </c>
      <c r="G1960" s="5" t="s">
        <v>25</v>
      </c>
      <c r="H1960" s="5" t="s">
        <v>25</v>
      </c>
      <c r="I1960" s="5" t="s">
        <v>25</v>
      </c>
      <c r="J1960" s="5" t="s">
        <v>25</v>
      </c>
      <c r="K1960" s="7" t="str">
        <f>VLOOKUP(A1960,Sheet2!$A$2:$R$3432,6,0)</f>
        <v>Honda Activa 110</v>
      </c>
      <c r="L1960" s="5" t="s">
        <v>25</v>
      </c>
      <c r="M1960" s="7" t="str">
        <f>VLOOKUP(A1960,Sheet2!$A$2:$R$3432,5,0)</f>
        <v>MH11BQ4152</v>
      </c>
      <c r="N1960" s="5" t="s">
        <v>25</v>
      </c>
      <c r="O1960" s="5" t="s">
        <v>25</v>
      </c>
      <c r="P1960" s="6" t="s">
        <v>25</v>
      </c>
      <c r="Q1960" s="5" t="s">
        <v>25</v>
      </c>
      <c r="R1960" s="5" t="s">
        <v>25</v>
      </c>
      <c r="S1960" s="5" t="str">
        <f>VLOOKUP(A1960,Sheet2!$A$2:$R$3432,18,0)</f>
        <v>JF30E80613957</v>
      </c>
      <c r="T1960" s="7" t="str">
        <f>VLOOKUP(A1960,Sheet2!$A$2:$R$3432,17,0)</f>
        <v>ME4J331LD8615023</v>
      </c>
    </row>
    <row r="1961" ht="15.75" customHeight="1">
      <c r="A1961" s="3" t="s">
        <v>1984</v>
      </c>
      <c r="B1961" s="4" t="str">
        <f>VLOOKUP(A1961,Sheet2!$A$2:$R$3432,2,0)</f>
        <v>2024-10-13 14:52:38</v>
      </c>
      <c r="C1961" s="5" t="s">
        <v>25</v>
      </c>
      <c r="D1961" s="6" t="s">
        <v>25</v>
      </c>
      <c r="E1961" s="7">
        <f>VLOOKUP(A1961,Sheet2!$A$2:$R$3432,4,0)</f>
        <v>8668946340</v>
      </c>
      <c r="F1961" s="7" t="str">
        <f>VLOOKUP(A1961,Sheet2!$A$2:$R$3432,3,0)</f>
        <v>Kishor Tarange</v>
      </c>
      <c r="G1961" s="5" t="s">
        <v>25</v>
      </c>
      <c r="H1961" s="5" t="s">
        <v>25</v>
      </c>
      <c r="I1961" s="5" t="s">
        <v>25</v>
      </c>
      <c r="J1961" s="5" t="s">
        <v>25</v>
      </c>
      <c r="K1961" s="7" t="str">
        <f>VLOOKUP(A1961,Sheet2!$A$2:$R$3432,6,0)</f>
        <v>Hero Destini 125</v>
      </c>
      <c r="L1961" s="5" t="s">
        <v>25</v>
      </c>
      <c r="M1961" s="7" t="str">
        <f>VLOOKUP(A1961,Sheet2!$A$2:$R$3432,5,0)</f>
        <v>MH25AU7335</v>
      </c>
      <c r="N1961" s="5" t="s">
        <v>25</v>
      </c>
      <c r="O1961" s="5" t="s">
        <v>25</v>
      </c>
      <c r="P1961" s="6" t="s">
        <v>25</v>
      </c>
      <c r="Q1961" s="5" t="s">
        <v>25</v>
      </c>
      <c r="R1961" s="5" t="s">
        <v>25</v>
      </c>
      <c r="S1961" s="7" t="str">
        <f>VLOOKUP(A1961,Sheet2!$A$2:$R$3432,18,0)</f>
        <v/>
      </c>
      <c r="T1961" s="7" t="str">
        <f>VLOOKUP(A1961,Sheet2!$A$2:$R$3432,17,0)</f>
        <v/>
      </c>
    </row>
    <row r="1962" ht="15.75" customHeight="1">
      <c r="A1962" s="3" t="s">
        <v>1985</v>
      </c>
      <c r="B1962" s="4" t="str">
        <f>VLOOKUP(A1962,Sheet2!$A$2:$R$3432,2,0)</f>
        <v>2024-10-13 15:14:54</v>
      </c>
      <c r="C1962" s="5" t="s">
        <v>25</v>
      </c>
      <c r="D1962" s="6" t="s">
        <v>25</v>
      </c>
      <c r="E1962" s="7">
        <f>VLOOKUP(A1962,Sheet2!$A$2:$R$3432,4,0)</f>
        <v>9975070769</v>
      </c>
      <c r="F1962" s="7" t="str">
        <f>VLOOKUP(A1962,Sheet2!$A$2:$R$3432,3,0)</f>
        <v>VAIBHAV BHOSALE </v>
      </c>
      <c r="G1962" s="5" t="s">
        <v>25</v>
      </c>
      <c r="H1962" s="5" t="s">
        <v>25</v>
      </c>
      <c r="I1962" s="5" t="s">
        <v>25</v>
      </c>
      <c r="J1962" s="5" t="s">
        <v>25</v>
      </c>
      <c r="K1962" s="7" t="str">
        <f>VLOOKUP(A1962,Sheet2!$A$2:$R$3432,6,0)</f>
        <v>Hero Passion Pro</v>
      </c>
      <c r="L1962" s="5" t="s">
        <v>25</v>
      </c>
      <c r="M1962" s="7" t="str">
        <f>VLOOKUP(A1962,Sheet2!$A$2:$R$3432,5,0)</f>
        <v>MH12FS2488</v>
      </c>
      <c r="N1962" s="5" t="s">
        <v>25</v>
      </c>
      <c r="O1962" s="5" t="s">
        <v>25</v>
      </c>
      <c r="P1962" s="6" t="s">
        <v>25</v>
      </c>
      <c r="Q1962" s="5" t="s">
        <v>25</v>
      </c>
      <c r="R1962" s="5" t="s">
        <v>25</v>
      </c>
      <c r="S1962" s="7" t="str">
        <f>VLOOKUP(A1962,Sheet2!$A$2:$R$3432,18,0)</f>
        <v/>
      </c>
      <c r="T1962" s="7" t="str">
        <f>VLOOKUP(A1962,Sheet2!$A$2:$R$3432,17,0)</f>
        <v/>
      </c>
    </row>
    <row r="1963" ht="15.75" customHeight="1">
      <c r="A1963" s="3" t="s">
        <v>1986</v>
      </c>
      <c r="B1963" s="4" t="str">
        <f>VLOOKUP(A1963,Sheet2!$A$2:$R$3432,2,0)</f>
        <v>2024-10-13 13:31:22</v>
      </c>
      <c r="C1963" s="5" t="s">
        <v>25</v>
      </c>
      <c r="D1963" s="6" t="s">
        <v>25</v>
      </c>
      <c r="E1963" s="7">
        <f>VLOOKUP(A1963,Sheet2!$A$2:$R$3432,4,0)</f>
        <v>7218274039</v>
      </c>
      <c r="F1963" s="7" t="str">
        <f>VLOOKUP(A1963,Sheet2!$A$2:$R$3432,3,0)</f>
        <v>YASH HIRGUDE</v>
      </c>
      <c r="G1963" s="5" t="s">
        <v>25</v>
      </c>
      <c r="H1963" s="5" t="s">
        <v>25</v>
      </c>
      <c r="I1963" s="5" t="s">
        <v>25</v>
      </c>
      <c r="J1963" s="5" t="s">
        <v>25</v>
      </c>
      <c r="K1963" s="7" t="str">
        <f>VLOOKUP(A1963,Sheet2!$A$2:$R$3432,6,0)</f>
        <v>Honda Shine </v>
      </c>
      <c r="L1963" s="5" t="s">
        <v>25</v>
      </c>
      <c r="M1963" s="7" t="str">
        <f>VLOOKUP(A1963,Sheet2!$A$2:$R$3432,5,0)</f>
        <v>MH12HG8920</v>
      </c>
      <c r="N1963" s="5" t="s">
        <v>25</v>
      </c>
      <c r="O1963" s="5" t="s">
        <v>25</v>
      </c>
      <c r="P1963" s="6" t="s">
        <v>25</v>
      </c>
      <c r="Q1963" s="5" t="s">
        <v>25</v>
      </c>
      <c r="R1963" s="5" t="s">
        <v>25</v>
      </c>
      <c r="S1963" s="7" t="str">
        <f>VLOOKUP(A1963,Sheet2!$A$2:$R$3432,18,0)</f>
        <v/>
      </c>
      <c r="T1963" s="7" t="str">
        <f>VLOOKUP(A1963,Sheet2!$A$2:$R$3432,17,0)</f>
        <v/>
      </c>
    </row>
    <row r="1964" ht="15.75" customHeight="1">
      <c r="A1964" s="3" t="s">
        <v>1987</v>
      </c>
      <c r="B1964" s="4" t="str">
        <f>VLOOKUP(A1964,Sheet2!$A$2:$R$3432,2,0)</f>
        <v>2024-10-13 14:40:35</v>
      </c>
      <c r="C1964" s="5" t="s">
        <v>25</v>
      </c>
      <c r="D1964" s="6" t="s">
        <v>25</v>
      </c>
      <c r="E1964" s="7">
        <f>VLOOKUP(A1964,Sheet2!$A$2:$R$3432,4,0)</f>
        <v>7828091223</v>
      </c>
      <c r="F1964" s="7" t="str">
        <f>VLOOKUP(A1964,Sheet2!$A$2:$R$3432,3,0)</f>
        <v>SWAPNIL </v>
      </c>
      <c r="G1964" s="5" t="s">
        <v>25</v>
      </c>
      <c r="H1964" s="5" t="s">
        <v>25</v>
      </c>
      <c r="I1964" s="5" t="s">
        <v>25</v>
      </c>
      <c r="J1964" s="5" t="s">
        <v>25</v>
      </c>
      <c r="K1964" s="7" t="str">
        <f>VLOOKUP(A1964,Sheet2!$A$2:$R$3432,6,0)</f>
        <v>Honda Dio </v>
      </c>
      <c r="L1964" s="5" t="s">
        <v>25</v>
      </c>
      <c r="M1964" s="7" t="str">
        <f>VLOOKUP(A1964,Sheet2!$A$2:$R$3432,5,0)</f>
        <v>MH40R1322</v>
      </c>
      <c r="N1964" s="5" t="s">
        <v>25</v>
      </c>
      <c r="O1964" s="5" t="s">
        <v>25</v>
      </c>
      <c r="P1964" s="6" t="s">
        <v>25</v>
      </c>
      <c r="Q1964" s="5" t="s">
        <v>25</v>
      </c>
      <c r="R1964" s="5" t="s">
        <v>25</v>
      </c>
      <c r="S1964" s="7" t="str">
        <f>VLOOKUP(A1964,Sheet2!$A$2:$R$3432,18,0)</f>
        <v/>
      </c>
      <c r="T1964" s="7" t="str">
        <f>VLOOKUP(A1964,Sheet2!$A$2:$R$3432,17,0)</f>
        <v/>
      </c>
    </row>
    <row r="1965" ht="15.75" customHeight="1">
      <c r="A1965" s="3" t="s">
        <v>1988</v>
      </c>
      <c r="B1965" s="4" t="str">
        <f>VLOOKUP(A1965,Sheet2!$A$2:$R$3432,2,0)</f>
        <v>2024-10-13 15:04:56</v>
      </c>
      <c r="C1965" s="5" t="s">
        <v>25</v>
      </c>
      <c r="D1965" s="6" t="s">
        <v>25</v>
      </c>
      <c r="E1965" s="7">
        <f>VLOOKUP(A1965,Sheet2!$A$2:$R$3432,4,0)</f>
        <v>9420148048</v>
      </c>
      <c r="F1965" s="7" t="str">
        <f>VLOOKUP(A1965,Sheet2!$A$2:$R$3432,3,0)</f>
        <v>RAVINDRA PATHAK </v>
      </c>
      <c r="G1965" s="5" t="s">
        <v>25</v>
      </c>
      <c r="H1965" s="5" t="s">
        <v>25</v>
      </c>
      <c r="I1965" s="5" t="s">
        <v>25</v>
      </c>
      <c r="J1965" s="5" t="s">
        <v>25</v>
      </c>
      <c r="K1965" s="7" t="str">
        <f>VLOOKUP(A1965,Sheet2!$A$2:$R$3432,6,0)</f>
        <v>TVS Apache RTR 160</v>
      </c>
      <c r="L1965" s="5" t="s">
        <v>25</v>
      </c>
      <c r="M1965" s="7" t="str">
        <f>VLOOKUP(A1965,Sheet2!$A$2:$R$3432,5,0)</f>
        <v>MH12JT6680</v>
      </c>
      <c r="N1965" s="5" t="s">
        <v>25</v>
      </c>
      <c r="O1965" s="5" t="s">
        <v>25</v>
      </c>
      <c r="P1965" s="6" t="s">
        <v>25</v>
      </c>
      <c r="Q1965" s="5" t="s">
        <v>25</v>
      </c>
      <c r="R1965" s="5" t="s">
        <v>25</v>
      </c>
      <c r="S1965" s="7" t="str">
        <f>VLOOKUP(A1965,Sheet2!$A$2:$R$3432,18,0)</f>
        <v/>
      </c>
      <c r="T1965" s="7" t="str">
        <f>VLOOKUP(A1965,Sheet2!$A$2:$R$3432,17,0)</f>
        <v/>
      </c>
    </row>
    <row r="1966" ht="15.75" customHeight="1">
      <c r="A1966" s="3" t="s">
        <v>1989</v>
      </c>
      <c r="B1966" s="4" t="str">
        <f>VLOOKUP(A1966,Sheet2!$A$2:$R$3432,2,0)</f>
        <v>2024-10-13 14:43:16</v>
      </c>
      <c r="C1966" s="5" t="s">
        <v>25</v>
      </c>
      <c r="D1966" s="6" t="s">
        <v>25</v>
      </c>
      <c r="E1966" s="7">
        <f>VLOOKUP(A1966,Sheet2!$A$2:$R$3432,4,0)</f>
        <v>7741931293</v>
      </c>
      <c r="F1966" s="7" t="str">
        <f>VLOOKUP(A1966,Sheet2!$A$2:$R$3432,3,0)</f>
        <v>Kiran Survase</v>
      </c>
      <c r="G1966" s="5" t="s">
        <v>25</v>
      </c>
      <c r="H1966" s="5" t="s">
        <v>25</v>
      </c>
      <c r="I1966" s="5" t="s">
        <v>25</v>
      </c>
      <c r="J1966" s="5" t="s">
        <v>25</v>
      </c>
      <c r="K1966" s="7" t="str">
        <f>VLOOKUP(A1966,Sheet2!$A$2:$R$3432,6,0)</f>
        <v>Honda Shine </v>
      </c>
      <c r="L1966" s="5" t="s">
        <v>25</v>
      </c>
      <c r="M1966" s="7" t="str">
        <f>VLOOKUP(A1966,Sheet2!$A$2:$R$3432,5,0)</f>
        <v>MH17CH6941</v>
      </c>
      <c r="N1966" s="5" t="s">
        <v>25</v>
      </c>
      <c r="O1966" s="5" t="s">
        <v>25</v>
      </c>
      <c r="P1966" s="6" t="s">
        <v>25</v>
      </c>
      <c r="Q1966" s="5" t="s">
        <v>25</v>
      </c>
      <c r="R1966" s="5" t="s">
        <v>25</v>
      </c>
      <c r="S1966" s="7" t="str">
        <f>VLOOKUP(A1966,Sheet2!$A$2:$R$3432,18,0)</f>
        <v/>
      </c>
      <c r="T1966" s="7" t="str">
        <f>VLOOKUP(A1966,Sheet2!$A$2:$R$3432,17,0)</f>
        <v/>
      </c>
    </row>
    <row r="1967" ht="15.75" customHeight="1">
      <c r="A1967" s="3" t="s">
        <v>1990</v>
      </c>
      <c r="B1967" s="4" t="str">
        <f>VLOOKUP(A1967,Sheet2!$A$2:$R$3432,2,0)</f>
        <v>2024-10-13 14:47:28</v>
      </c>
      <c r="C1967" s="5" t="s">
        <v>25</v>
      </c>
      <c r="D1967" s="6" t="s">
        <v>25</v>
      </c>
      <c r="E1967" s="7">
        <f>VLOOKUP(A1967,Sheet2!$A$2:$R$3432,4,0)</f>
        <v>8975053543</v>
      </c>
      <c r="F1967" s="7" t="str">
        <f>VLOOKUP(A1967,Sheet2!$A$2:$R$3432,3,0)</f>
        <v>ANKIT KHEDKAR </v>
      </c>
      <c r="G1967" s="5" t="s">
        <v>25</v>
      </c>
      <c r="H1967" s="5" t="s">
        <v>25</v>
      </c>
      <c r="I1967" s="5" t="s">
        <v>25</v>
      </c>
      <c r="J1967" s="5" t="s">
        <v>25</v>
      </c>
      <c r="K1967" s="7" t="str">
        <f>VLOOKUP(A1967,Sheet2!$A$2:$R$3432,6,0)</f>
        <v>Bajaj Pulsar 150</v>
      </c>
      <c r="L1967" s="5" t="s">
        <v>25</v>
      </c>
      <c r="M1967" s="7" t="str">
        <f>VLOOKUP(A1967,Sheet2!$A$2:$R$3432,5,0)</f>
        <v>GA05N7435</v>
      </c>
      <c r="N1967" s="5" t="s">
        <v>25</v>
      </c>
      <c r="O1967" s="5" t="s">
        <v>25</v>
      </c>
      <c r="P1967" s="6" t="s">
        <v>25</v>
      </c>
      <c r="Q1967" s="5" t="s">
        <v>25</v>
      </c>
      <c r="R1967" s="5" t="s">
        <v>25</v>
      </c>
      <c r="S1967" s="7" t="str">
        <f>VLOOKUP(A1967,Sheet2!$A$2:$R$3432,18,0)</f>
        <v/>
      </c>
      <c r="T1967" s="7" t="str">
        <f>VLOOKUP(A1967,Sheet2!$A$2:$R$3432,17,0)</f>
        <v/>
      </c>
    </row>
    <row r="1968" ht="15.75" customHeight="1">
      <c r="A1968" s="3" t="s">
        <v>1991</v>
      </c>
      <c r="B1968" s="4" t="str">
        <f>VLOOKUP(A1968,Sheet2!$A$2:$R$3432,2,0)</f>
        <v>2024-10-13 18:52:14</v>
      </c>
      <c r="C1968" s="5" t="s">
        <v>25</v>
      </c>
      <c r="D1968" s="6" t="s">
        <v>25</v>
      </c>
      <c r="E1968" s="7">
        <f>VLOOKUP(A1968,Sheet2!$A$2:$R$3432,4,0)</f>
        <v>9545988544</v>
      </c>
      <c r="F1968" s="7" t="str">
        <f>VLOOKUP(A1968,Sheet2!$A$2:$R$3432,3,0)</f>
        <v>Abhijit </v>
      </c>
      <c r="G1968" s="5" t="s">
        <v>25</v>
      </c>
      <c r="H1968" s="5" t="s">
        <v>25</v>
      </c>
      <c r="I1968" s="5" t="s">
        <v>25</v>
      </c>
      <c r="J1968" s="5" t="s">
        <v>25</v>
      </c>
      <c r="K1968" s="7" t="str">
        <f>VLOOKUP(A1968,Sheet2!$A$2:$R$3432,6,0)</f>
        <v>TVS Jupiter </v>
      </c>
      <c r="L1968" s="5" t="s">
        <v>25</v>
      </c>
      <c r="M1968" s="7" t="str">
        <f>VLOOKUP(A1968,Sheet2!$A$2:$R$3432,5,0)</f>
        <v>MH14GL5444</v>
      </c>
      <c r="N1968" s="5" t="s">
        <v>25</v>
      </c>
      <c r="O1968" s="5" t="s">
        <v>25</v>
      </c>
      <c r="P1968" s="6" t="s">
        <v>25</v>
      </c>
      <c r="Q1968" s="5" t="s">
        <v>25</v>
      </c>
      <c r="R1968" s="5" t="s">
        <v>25</v>
      </c>
      <c r="S1968" s="5" t="str">
        <f>VLOOKUP(A1968,Sheet2!$A$2:$R$3432,18,0)</f>
        <v>EG4FH2298966</v>
      </c>
      <c r="T1968" s="7" t="str">
        <f>VLOOKUP(A1968,Sheet2!$A$2:$R$3432,17,0)</f>
        <v>MD626EG47H3G01330</v>
      </c>
    </row>
    <row r="1969" ht="15.75" customHeight="1">
      <c r="A1969" s="3" t="s">
        <v>1992</v>
      </c>
      <c r="B1969" s="4" t="str">
        <f>VLOOKUP(A1969,Sheet2!$A$2:$R$3432,2,0)</f>
        <v>2024-10-13 13:29:05</v>
      </c>
      <c r="C1969" s="5" t="s">
        <v>25</v>
      </c>
      <c r="D1969" s="6" t="s">
        <v>25</v>
      </c>
      <c r="E1969" s="7">
        <f>VLOOKUP(A1969,Sheet2!$A$2:$R$3432,4,0)</f>
        <v>8308311599</v>
      </c>
      <c r="F1969" s="7" t="str">
        <f>VLOOKUP(A1969,Sheet2!$A$2:$R$3432,3,0)</f>
        <v>Dilip Sheti</v>
      </c>
      <c r="G1969" s="5" t="s">
        <v>25</v>
      </c>
      <c r="H1969" s="5" t="s">
        <v>25</v>
      </c>
      <c r="I1969" s="5" t="s">
        <v>25</v>
      </c>
      <c r="J1969" s="5" t="s">
        <v>25</v>
      </c>
      <c r="K1969" s="7" t="str">
        <f>VLOOKUP(A1969,Sheet2!$A$2:$R$3432,6,0)</f>
        <v>Honda Activa HET</v>
      </c>
      <c r="L1969" s="5" t="s">
        <v>25</v>
      </c>
      <c r="M1969" s="7" t="str">
        <f>VLOOKUP(A1969,Sheet2!$A$2:$R$3432,5,0)</f>
        <v>MH14EN3313</v>
      </c>
      <c r="N1969" s="5" t="s">
        <v>25</v>
      </c>
      <c r="O1969" s="5" t="s">
        <v>25</v>
      </c>
      <c r="P1969" s="6" t="s">
        <v>25</v>
      </c>
      <c r="Q1969" s="5" t="s">
        <v>25</v>
      </c>
      <c r="R1969" s="5" t="s">
        <v>25</v>
      </c>
      <c r="S1969" s="7" t="str">
        <f>VLOOKUP(A1969,Sheet2!$A$2:$R$3432,18,0)</f>
        <v/>
      </c>
      <c r="T1969" s="7" t="str">
        <f>VLOOKUP(A1969,Sheet2!$A$2:$R$3432,17,0)</f>
        <v>ME4JF502HE8181947</v>
      </c>
    </row>
    <row r="1970" ht="15.75" customHeight="1">
      <c r="A1970" s="3" t="s">
        <v>1993</v>
      </c>
      <c r="B1970" s="4" t="str">
        <f>VLOOKUP(A1970,Sheet2!$A$2:$R$3432,2,0)</f>
        <v>2024-10-13 14:44:55</v>
      </c>
      <c r="C1970" s="5" t="s">
        <v>25</v>
      </c>
      <c r="D1970" s="6" t="s">
        <v>25</v>
      </c>
      <c r="E1970" s="7">
        <f>VLOOKUP(A1970,Sheet2!$A$2:$R$3432,4,0)</f>
        <v>9881100907</v>
      </c>
      <c r="F1970" s="7" t="str">
        <f>VLOOKUP(A1970,Sheet2!$A$2:$R$3432,3,0)</f>
        <v>VINAY BHAPKAR</v>
      </c>
      <c r="G1970" s="5" t="s">
        <v>25</v>
      </c>
      <c r="H1970" s="5" t="s">
        <v>25</v>
      </c>
      <c r="I1970" s="5" t="s">
        <v>25</v>
      </c>
      <c r="J1970" s="5" t="s">
        <v>25</v>
      </c>
      <c r="K1970" s="7" t="str">
        <f>VLOOKUP(A1970,Sheet2!$A$2:$R$3432,6,0)</f>
        <v>Yamaha FZ V3</v>
      </c>
      <c r="L1970" s="5" t="s">
        <v>25</v>
      </c>
      <c r="M1970" s="7" t="str">
        <f>VLOOKUP(A1970,Sheet2!$A$2:$R$3432,5,0)</f>
        <v>MH14HP3008</v>
      </c>
      <c r="N1970" s="5" t="s">
        <v>25</v>
      </c>
      <c r="O1970" s="5" t="s">
        <v>25</v>
      </c>
      <c r="P1970" s="6" t="s">
        <v>25</v>
      </c>
      <c r="Q1970" s="5" t="s">
        <v>25</v>
      </c>
      <c r="R1970" s="5" t="s">
        <v>25</v>
      </c>
      <c r="S1970" s="7" t="str">
        <f>VLOOKUP(A1970,Sheet2!$A$2:$R$3432,18,0)</f>
        <v/>
      </c>
      <c r="T1970" s="7" t="str">
        <f>VLOOKUP(A1970,Sheet2!$A$2:$R$3432,17,0)</f>
        <v/>
      </c>
    </row>
    <row r="1971" ht="15.75" customHeight="1">
      <c r="A1971" s="3" t="s">
        <v>1994</v>
      </c>
      <c r="B1971" s="4" t="str">
        <f>VLOOKUP(A1971,Sheet2!$A$2:$R$3432,2,0)</f>
        <v>2024-10-13 14:48:25</v>
      </c>
      <c r="C1971" s="5" t="s">
        <v>25</v>
      </c>
      <c r="D1971" s="6" t="s">
        <v>25</v>
      </c>
      <c r="E1971" s="7">
        <f>VLOOKUP(A1971,Sheet2!$A$2:$R$3432,4,0)</f>
        <v>9225127800</v>
      </c>
      <c r="F1971" s="7" t="str">
        <f>VLOOKUP(A1971,Sheet2!$A$2:$R$3432,3,0)</f>
        <v>Manoj</v>
      </c>
      <c r="G1971" s="5" t="s">
        <v>25</v>
      </c>
      <c r="H1971" s="5" t="s">
        <v>25</v>
      </c>
      <c r="I1971" s="5" t="s">
        <v>25</v>
      </c>
      <c r="J1971" s="5" t="s">
        <v>25</v>
      </c>
      <c r="K1971" s="7" t="str">
        <f>VLOOKUP(A1971,Sheet2!$A$2:$R$3432,6,0)</f>
        <v>Honda Activa 4G</v>
      </c>
      <c r="L1971" s="5" t="s">
        <v>25</v>
      </c>
      <c r="M1971" s="7" t="str">
        <f>VLOOKUP(A1971,Sheet2!$A$2:$R$3432,5,0)</f>
        <v>MH12PG2365</v>
      </c>
      <c r="N1971" s="5" t="s">
        <v>25</v>
      </c>
      <c r="O1971" s="5" t="s">
        <v>25</v>
      </c>
      <c r="P1971" s="6" t="s">
        <v>25</v>
      </c>
      <c r="Q1971" s="5" t="s">
        <v>25</v>
      </c>
      <c r="R1971" s="5" t="s">
        <v>25</v>
      </c>
      <c r="S1971" s="5" t="str">
        <f>VLOOKUP(A1971,Sheet2!$A$2:$R$3432,18,0)</f>
        <v>JF50EU5206841</v>
      </c>
      <c r="T1971" s="7" t="str">
        <f>VLOOKUP(A1971,Sheet2!$A$2:$R$3432,17,0)</f>
        <v>ME4JF507EHU206607</v>
      </c>
    </row>
    <row r="1972" ht="15.75" customHeight="1">
      <c r="A1972" s="3" t="s">
        <v>1995</v>
      </c>
      <c r="B1972" s="4" t="str">
        <f>VLOOKUP(A1972,Sheet2!$A$2:$R$3432,2,0)</f>
        <v>2024-10-13 14:55:25</v>
      </c>
      <c r="C1972" s="5" t="s">
        <v>25</v>
      </c>
      <c r="D1972" s="6" t="s">
        <v>25</v>
      </c>
      <c r="E1972" s="7">
        <f>VLOOKUP(A1972,Sheet2!$A$2:$R$3432,4,0)</f>
        <v>9923659552</v>
      </c>
      <c r="F1972" s="7" t="str">
        <f>VLOOKUP(A1972,Sheet2!$A$2:$R$3432,3,0)</f>
        <v>Makarand Khedkar</v>
      </c>
      <c r="G1972" s="5" t="s">
        <v>25</v>
      </c>
      <c r="H1972" s="5" t="s">
        <v>25</v>
      </c>
      <c r="I1972" s="5" t="s">
        <v>25</v>
      </c>
      <c r="J1972" s="5" t="s">
        <v>25</v>
      </c>
      <c r="K1972" s="7" t="str">
        <f>VLOOKUP(A1972,Sheet2!$A$2:$R$3432,6,0)</f>
        <v>Honda Dio </v>
      </c>
      <c r="L1972" s="5" t="s">
        <v>25</v>
      </c>
      <c r="M1972" s="7" t="str">
        <f>VLOOKUP(A1972,Sheet2!$A$2:$R$3432,5,0)</f>
        <v>MH12JD2557</v>
      </c>
      <c r="N1972" s="5" t="s">
        <v>25</v>
      </c>
      <c r="O1972" s="5" t="s">
        <v>25</v>
      </c>
      <c r="P1972" s="6" t="s">
        <v>25</v>
      </c>
      <c r="Q1972" s="5" t="s">
        <v>25</v>
      </c>
      <c r="R1972" s="5" t="s">
        <v>25</v>
      </c>
      <c r="S1972" s="7" t="str">
        <f>VLOOKUP(A1972,Sheet2!$A$2:$R$3432,18,0)</f>
        <v/>
      </c>
      <c r="T1972" s="7" t="str">
        <f>VLOOKUP(A1972,Sheet2!$A$2:$R$3432,17,0)</f>
        <v>ME4JF391GC804291</v>
      </c>
    </row>
    <row r="1973" ht="15.75" customHeight="1">
      <c r="A1973" s="3" t="s">
        <v>1996</v>
      </c>
      <c r="B1973" s="4" t="str">
        <f>VLOOKUP(A1973,Sheet2!$A$2:$R$3432,2,0)</f>
        <v>2024-10-13 15:03:36</v>
      </c>
      <c r="C1973" s="5" t="s">
        <v>25</v>
      </c>
      <c r="D1973" s="6" t="s">
        <v>25</v>
      </c>
      <c r="E1973" s="7">
        <f>VLOOKUP(A1973,Sheet2!$A$2:$R$3432,4,0)</f>
        <v>7387025234</v>
      </c>
      <c r="F1973" s="7" t="str">
        <f>VLOOKUP(A1973,Sheet2!$A$2:$R$3432,3,0)</f>
        <v>MACHINDRA VETAL </v>
      </c>
      <c r="G1973" s="5" t="s">
        <v>25</v>
      </c>
      <c r="H1973" s="5" t="s">
        <v>25</v>
      </c>
      <c r="I1973" s="5" t="s">
        <v>25</v>
      </c>
      <c r="J1973" s="5" t="s">
        <v>25</v>
      </c>
      <c r="K1973" s="7" t="str">
        <f>VLOOKUP(A1973,Sheet2!$A$2:$R$3432,6,0)</f>
        <v>Hero Pleasure </v>
      </c>
      <c r="L1973" s="5" t="s">
        <v>25</v>
      </c>
      <c r="M1973" s="7" t="str">
        <f>VLOOKUP(A1973,Sheet2!$A$2:$R$3432,5,0)</f>
        <v>MH09DG5037</v>
      </c>
      <c r="N1973" s="5" t="s">
        <v>25</v>
      </c>
      <c r="O1973" s="5" t="s">
        <v>25</v>
      </c>
      <c r="P1973" s="6" t="s">
        <v>25</v>
      </c>
      <c r="Q1973" s="5" t="s">
        <v>25</v>
      </c>
      <c r="R1973" s="5" t="s">
        <v>25</v>
      </c>
      <c r="S1973" s="7" t="str">
        <f>VLOOKUP(A1973,Sheet2!$A$2:$R$3432,18,0)</f>
        <v/>
      </c>
      <c r="T1973" s="7" t="str">
        <f>VLOOKUP(A1973,Sheet2!$A$2:$R$3432,17,0)</f>
        <v/>
      </c>
    </row>
    <row r="1974" ht="15.75" customHeight="1">
      <c r="A1974" s="3" t="s">
        <v>1997</v>
      </c>
      <c r="B1974" s="4" t="str">
        <f>VLOOKUP(A1974,Sheet2!$A$2:$R$3432,2,0)</f>
        <v>2024-10-13 15:16:40</v>
      </c>
      <c r="C1974" s="5" t="s">
        <v>25</v>
      </c>
      <c r="D1974" s="6" t="s">
        <v>25</v>
      </c>
      <c r="E1974" s="7">
        <f>VLOOKUP(A1974,Sheet2!$A$2:$R$3432,4,0)</f>
        <v>8308974699</v>
      </c>
      <c r="F1974" s="7" t="str">
        <f>VLOOKUP(A1974,Sheet2!$A$2:$R$3432,3,0)</f>
        <v> Matthew </v>
      </c>
      <c r="G1974" s="5" t="s">
        <v>25</v>
      </c>
      <c r="H1974" s="5" t="s">
        <v>25</v>
      </c>
      <c r="I1974" s="5" t="s">
        <v>25</v>
      </c>
      <c r="J1974" s="5" t="s">
        <v>25</v>
      </c>
      <c r="K1974" s="7" t="str">
        <f>VLOOKUP(A1974,Sheet2!$A$2:$R$3432,6,0)</f>
        <v>Yamaha Aerox 155</v>
      </c>
      <c r="L1974" s="5" t="s">
        <v>25</v>
      </c>
      <c r="M1974" s="7" t="str">
        <f>VLOOKUP(A1974,Sheet2!$A$2:$R$3432,5,0)</f>
        <v>MH14KG8312</v>
      </c>
      <c r="N1974" s="5" t="s">
        <v>25</v>
      </c>
      <c r="O1974" s="5" t="s">
        <v>25</v>
      </c>
      <c r="P1974" s="6" t="s">
        <v>25</v>
      </c>
      <c r="Q1974" s="5" t="s">
        <v>25</v>
      </c>
      <c r="R1974" s="5" t="s">
        <v>25</v>
      </c>
      <c r="S1974" s="7" t="str">
        <f>VLOOKUP(A1974,Sheet2!$A$2:$R$3432,18,0)</f>
        <v/>
      </c>
      <c r="T1974" s="7" t="str">
        <f>VLOOKUP(A1974,Sheet2!$A$2:$R$3432,17,0)</f>
        <v/>
      </c>
    </row>
    <row r="1975" ht="15.75" customHeight="1">
      <c r="A1975" s="3" t="s">
        <v>1998</v>
      </c>
      <c r="B1975" s="4" t="str">
        <f>VLOOKUP(A1975,Sheet2!$A$2:$R$3432,2,0)</f>
        <v>2024-10-13 15:13:48</v>
      </c>
      <c r="C1975" s="5" t="s">
        <v>25</v>
      </c>
      <c r="D1975" s="6" t="s">
        <v>25</v>
      </c>
      <c r="E1975" s="7">
        <f>VLOOKUP(A1975,Sheet2!$A$2:$R$3432,4,0)</f>
        <v>9029912316</v>
      </c>
      <c r="F1975" s="7" t="str">
        <f>VLOOKUP(A1975,Sheet2!$A$2:$R$3432,3,0)</f>
        <v> Joseph </v>
      </c>
      <c r="G1975" s="5" t="s">
        <v>25</v>
      </c>
      <c r="H1975" s="5" t="s">
        <v>25</v>
      </c>
      <c r="I1975" s="5" t="s">
        <v>25</v>
      </c>
      <c r="J1975" s="5" t="s">
        <v>25</v>
      </c>
      <c r="K1975" s="7" t="str">
        <f>VLOOKUP(A1975,Sheet2!$A$2:$R$3432,6,0)</f>
        <v>Hero CBZ Extreme</v>
      </c>
      <c r="L1975" s="5" t="s">
        <v>25</v>
      </c>
      <c r="M1975" s="7" t="str">
        <f>VLOOKUP(A1975,Sheet2!$A$2:$R$3432,5,0)</f>
        <v>MH14JV3210</v>
      </c>
      <c r="N1975" s="5" t="s">
        <v>25</v>
      </c>
      <c r="O1975" s="5" t="s">
        <v>25</v>
      </c>
      <c r="P1975" s="6" t="s">
        <v>25</v>
      </c>
      <c r="Q1975" s="5" t="s">
        <v>25</v>
      </c>
      <c r="R1975" s="5" t="s">
        <v>25</v>
      </c>
      <c r="S1975" s="7" t="str">
        <f>VLOOKUP(A1975,Sheet2!$A$2:$R$3432,18,0)</f>
        <v/>
      </c>
      <c r="T1975" s="7" t="str">
        <f>VLOOKUP(A1975,Sheet2!$A$2:$R$3432,17,0)</f>
        <v/>
      </c>
    </row>
    <row r="1976" ht="15.75" customHeight="1">
      <c r="A1976" s="3" t="s">
        <v>1999</v>
      </c>
      <c r="B1976" s="4" t="str">
        <f>VLOOKUP(A1976,Sheet2!$A$2:$R$3432,2,0)</f>
        <v>2024-10-13 15:15:36</v>
      </c>
      <c r="C1976" s="5" t="s">
        <v>25</v>
      </c>
      <c r="D1976" s="6" t="s">
        <v>25</v>
      </c>
      <c r="E1976" s="7">
        <f>VLOOKUP(A1976,Sheet2!$A$2:$R$3432,4,0)</f>
        <v>9552513135</v>
      </c>
      <c r="F1976" s="7" t="str">
        <f>VLOOKUP(A1976,Sheet2!$A$2:$R$3432,3,0)</f>
        <v>Nagesh</v>
      </c>
      <c r="G1976" s="5" t="s">
        <v>25</v>
      </c>
      <c r="H1976" s="5" t="s">
        <v>25</v>
      </c>
      <c r="I1976" s="5" t="s">
        <v>25</v>
      </c>
      <c r="J1976" s="5" t="s">
        <v>25</v>
      </c>
      <c r="K1976" s="7" t="str">
        <f>VLOOKUP(A1976,Sheet2!$A$2:$R$3432,6,0)</f>
        <v>Hero Passion </v>
      </c>
      <c r="L1976" s="5" t="s">
        <v>25</v>
      </c>
      <c r="M1976" s="7" t="str">
        <f>VLOOKUP(A1976,Sheet2!$A$2:$R$3432,5,0)</f>
        <v>MH14BN6168</v>
      </c>
      <c r="N1976" s="5" t="s">
        <v>25</v>
      </c>
      <c r="O1976" s="5" t="s">
        <v>25</v>
      </c>
      <c r="P1976" s="6" t="s">
        <v>25</v>
      </c>
      <c r="Q1976" s="5" t="s">
        <v>25</v>
      </c>
      <c r="R1976" s="5" t="s">
        <v>25</v>
      </c>
      <c r="S1976" s="5" t="str">
        <f>VLOOKUP(A1976,Sheet2!$A$2:$R$3432,18,0)</f>
        <v>HA10E83GJ54284</v>
      </c>
      <c r="T1976" s="7" t="str">
        <f>VLOOKUP(A1976,Sheet2!$A$2:$R$3432,17,0)</f>
        <v>MBLHA10EL8GJ18062</v>
      </c>
    </row>
    <row r="1977" ht="15.75" customHeight="1">
      <c r="A1977" s="3" t="s">
        <v>2000</v>
      </c>
      <c r="B1977" s="4" t="str">
        <f>VLOOKUP(A1977,Sheet2!$A$2:$R$3432,2,0)</f>
        <v>2024-10-13 15:19:59</v>
      </c>
      <c r="C1977" s="5" t="s">
        <v>25</v>
      </c>
      <c r="D1977" s="6" t="s">
        <v>25</v>
      </c>
      <c r="E1977" s="7">
        <f>VLOOKUP(A1977,Sheet2!$A$2:$R$3432,4,0)</f>
        <v>9960193395</v>
      </c>
      <c r="F1977" s="7" t="str">
        <f>VLOOKUP(A1977,Sheet2!$A$2:$R$3432,3,0)</f>
        <v>PRATIBHA DIGIKAR</v>
      </c>
      <c r="G1977" s="5" t="s">
        <v>25</v>
      </c>
      <c r="H1977" s="5" t="s">
        <v>25</v>
      </c>
      <c r="I1977" s="5" t="s">
        <v>25</v>
      </c>
      <c r="J1977" s="5" t="s">
        <v>25</v>
      </c>
      <c r="K1977" s="7" t="str">
        <f>VLOOKUP(A1977,Sheet2!$A$2:$R$3432,6,0)</f>
        <v>TVS Scooty PEP Plus</v>
      </c>
      <c r="L1977" s="5" t="s">
        <v>25</v>
      </c>
      <c r="M1977" s="7" t="str">
        <f>VLOOKUP(A1977,Sheet2!$A$2:$R$3432,5,0)</f>
        <v>MH14JY1629</v>
      </c>
      <c r="N1977" s="5" t="s">
        <v>25</v>
      </c>
      <c r="O1977" s="5" t="s">
        <v>25</v>
      </c>
      <c r="P1977" s="6" t="s">
        <v>25</v>
      </c>
      <c r="Q1977" s="5" t="s">
        <v>25</v>
      </c>
      <c r="R1977" s="5" t="s">
        <v>25</v>
      </c>
      <c r="S1977" s="7" t="str">
        <f>VLOOKUP(A1977,Sheet2!$A$2:$R$3432,18,0)</f>
        <v/>
      </c>
      <c r="T1977" s="7" t="str">
        <f>VLOOKUP(A1977,Sheet2!$A$2:$R$3432,17,0)</f>
        <v/>
      </c>
    </row>
    <row r="1978" ht="15.75" customHeight="1">
      <c r="A1978" s="3" t="s">
        <v>2001</v>
      </c>
      <c r="B1978" s="4" t="str">
        <f>VLOOKUP(A1978,Sheet2!$A$2:$R$3432,2,0)</f>
        <v>2024-10-13 15:25:29</v>
      </c>
      <c r="C1978" s="5" t="s">
        <v>25</v>
      </c>
      <c r="D1978" s="6" t="s">
        <v>25</v>
      </c>
      <c r="E1978" s="7">
        <f>VLOOKUP(A1978,Sheet2!$A$2:$R$3432,4,0)</f>
        <v>7378905978</v>
      </c>
      <c r="F1978" s="7" t="str">
        <f>VLOOKUP(A1978,Sheet2!$A$2:$R$3432,3,0)</f>
        <v>RISHIKESH </v>
      </c>
      <c r="G1978" s="5" t="s">
        <v>25</v>
      </c>
      <c r="H1978" s="5" t="s">
        <v>25</v>
      </c>
      <c r="I1978" s="5" t="s">
        <v>25</v>
      </c>
      <c r="J1978" s="5" t="s">
        <v>25</v>
      </c>
      <c r="K1978" s="7" t="str">
        <f>VLOOKUP(A1978,Sheet2!$A$2:$R$3432,6,0)</f>
        <v>Royal Enfield Himalayan </v>
      </c>
      <c r="L1978" s="5" t="s">
        <v>25</v>
      </c>
      <c r="M1978" s="7" t="str">
        <f>VLOOKUP(A1978,Sheet2!$A$2:$R$3432,5,0)</f>
        <v>MH47BC1789</v>
      </c>
      <c r="N1978" s="5" t="s">
        <v>25</v>
      </c>
      <c r="O1978" s="5" t="s">
        <v>25</v>
      </c>
      <c r="P1978" s="6" t="s">
        <v>25</v>
      </c>
      <c r="Q1978" s="5" t="s">
        <v>25</v>
      </c>
      <c r="R1978" s="5" t="s">
        <v>25</v>
      </c>
      <c r="S1978" s="7" t="str">
        <f>VLOOKUP(A1978,Sheet2!$A$2:$R$3432,18,0)</f>
        <v/>
      </c>
      <c r="T1978" s="7" t="str">
        <f>VLOOKUP(A1978,Sheet2!$A$2:$R$3432,17,0)</f>
        <v/>
      </c>
    </row>
    <row r="1979" ht="15.75" customHeight="1">
      <c r="A1979" s="3" t="s">
        <v>2002</v>
      </c>
      <c r="B1979" s="4" t="str">
        <f>VLOOKUP(A1979,Sheet2!$A$2:$R$3432,2,0)</f>
        <v>2024-10-13 18:54:41</v>
      </c>
      <c r="C1979" s="5" t="s">
        <v>25</v>
      </c>
      <c r="D1979" s="6" t="s">
        <v>25</v>
      </c>
      <c r="E1979" s="7">
        <f>VLOOKUP(A1979,Sheet2!$A$2:$R$3432,4,0)</f>
        <v>9604000439</v>
      </c>
      <c r="F1979" s="7" t="str">
        <f>VLOOKUP(A1979,Sheet2!$A$2:$R$3432,3,0)</f>
        <v>Sandeep Bhor</v>
      </c>
      <c r="G1979" s="5" t="s">
        <v>25</v>
      </c>
      <c r="H1979" s="5" t="s">
        <v>25</v>
      </c>
      <c r="I1979" s="5" t="s">
        <v>25</v>
      </c>
      <c r="J1979" s="5" t="s">
        <v>25</v>
      </c>
      <c r="K1979" s="7" t="str">
        <f>VLOOKUP(A1979,Sheet2!$A$2:$R$3432,6,0)</f>
        <v>Hero Deluxe HF</v>
      </c>
      <c r="L1979" s="5" t="s">
        <v>25</v>
      </c>
      <c r="M1979" s="7" t="str">
        <f>VLOOKUP(A1979,Sheet2!$A$2:$R$3432,5,0)</f>
        <v>MH14GV2147</v>
      </c>
      <c r="N1979" s="5" t="s">
        <v>25</v>
      </c>
      <c r="O1979" s="5" t="s">
        <v>25</v>
      </c>
      <c r="P1979" s="6" t="s">
        <v>25</v>
      </c>
      <c r="Q1979" s="5" t="s">
        <v>25</v>
      </c>
      <c r="R1979" s="5" t="s">
        <v>25</v>
      </c>
      <c r="S1979" s="7" t="str">
        <f>VLOOKUP(A1979,Sheet2!$A$2:$R$3432,18,0)</f>
        <v/>
      </c>
      <c r="T1979" s="7" t="str">
        <f>VLOOKUP(A1979,Sheet2!$A$2:$R$3432,17,0)</f>
        <v/>
      </c>
    </row>
    <row r="1980" ht="15.75" customHeight="1">
      <c r="A1980" s="3" t="s">
        <v>2003</v>
      </c>
      <c r="B1980" s="4" t="str">
        <f>VLOOKUP(A1980,Sheet2!$A$2:$R$3432,2,0)</f>
        <v>2024-10-13 18:52:45</v>
      </c>
      <c r="C1980" s="5" t="s">
        <v>25</v>
      </c>
      <c r="D1980" s="6" t="s">
        <v>25</v>
      </c>
      <c r="E1980" s="7">
        <f>VLOOKUP(A1980,Sheet2!$A$2:$R$3432,4,0)</f>
        <v>7774077334</v>
      </c>
      <c r="F1980" s="7" t="str">
        <f>VLOOKUP(A1980,Sheet2!$A$2:$R$3432,3,0)</f>
        <v>SANDIP SHARMA</v>
      </c>
      <c r="G1980" s="5" t="s">
        <v>25</v>
      </c>
      <c r="H1980" s="5" t="s">
        <v>25</v>
      </c>
      <c r="I1980" s="5" t="s">
        <v>25</v>
      </c>
      <c r="J1980" s="5" t="s">
        <v>25</v>
      </c>
      <c r="K1980" s="7" t="str">
        <f>VLOOKUP(A1980,Sheet2!$A$2:$R$3432,6,0)</f>
        <v>TVS Wego Basic</v>
      </c>
      <c r="L1980" s="5" t="s">
        <v>25</v>
      </c>
      <c r="M1980" s="7" t="str">
        <f>VLOOKUP(A1980,Sheet2!$A$2:$R$3432,5,0)</f>
        <v>MH14ER1381</v>
      </c>
      <c r="N1980" s="5" t="s">
        <v>25</v>
      </c>
      <c r="O1980" s="5" t="s">
        <v>25</v>
      </c>
      <c r="P1980" s="6" t="s">
        <v>25</v>
      </c>
      <c r="Q1980" s="5" t="s">
        <v>25</v>
      </c>
      <c r="R1980" s="5" t="s">
        <v>25</v>
      </c>
      <c r="S1980" s="5" t="str">
        <f>VLOOKUP(A1980,Sheet2!$A$2:$R$3432,18,0)</f>
        <v>OG4HE1176221</v>
      </c>
      <c r="T1980" s="7" t="str">
        <f>VLOOKUP(A1980,Sheet2!$A$2:$R$3432,17,0)</f>
        <v>MD626AG4XE1H80432</v>
      </c>
    </row>
    <row r="1981" ht="15.75" customHeight="1">
      <c r="A1981" s="3" t="s">
        <v>2004</v>
      </c>
      <c r="B1981" s="4" t="str">
        <f>VLOOKUP(A1981,Sheet2!$A$2:$R$3432,2,0)</f>
        <v>2024-10-13 18:53:59</v>
      </c>
      <c r="C1981" s="5" t="s">
        <v>25</v>
      </c>
      <c r="D1981" s="6" t="s">
        <v>25</v>
      </c>
      <c r="E1981" s="7">
        <f>VLOOKUP(A1981,Sheet2!$A$2:$R$3432,4,0)</f>
        <v>8792414467</v>
      </c>
      <c r="F1981" s="7" t="str">
        <f>VLOOKUP(A1981,Sheet2!$A$2:$R$3432,3,0)</f>
        <v>VIPIN</v>
      </c>
      <c r="G1981" s="5" t="s">
        <v>25</v>
      </c>
      <c r="H1981" s="5" t="s">
        <v>25</v>
      </c>
      <c r="I1981" s="5" t="s">
        <v>25</v>
      </c>
      <c r="J1981" s="5" t="s">
        <v>25</v>
      </c>
      <c r="K1981" s="7" t="str">
        <f>VLOOKUP(A1981,Sheet2!$A$2:$R$3432,6,0)</f>
        <v>Hero Hunk </v>
      </c>
      <c r="L1981" s="5" t="s">
        <v>25</v>
      </c>
      <c r="M1981" s="7" t="str">
        <f>VLOOKUP(A1981,Sheet2!$A$2:$R$3432,5,0)</f>
        <v>KA04EW5718</v>
      </c>
      <c r="N1981" s="5" t="s">
        <v>25</v>
      </c>
      <c r="O1981" s="5" t="s">
        <v>25</v>
      </c>
      <c r="P1981" s="6" t="s">
        <v>25</v>
      </c>
      <c r="Q1981" s="5" t="s">
        <v>25</v>
      </c>
      <c r="R1981" s="5" t="s">
        <v>25</v>
      </c>
      <c r="S1981" s="5" t="str">
        <f>VLOOKUP(A1981,Sheet2!$A$2:$R$3432,18,0)</f>
        <v>KC13EASGA03580</v>
      </c>
      <c r="T1981" s="7" t="str">
        <f>VLOOKUP(A1981,Sheet2!$A$2:$R$3432,17,0)</f>
        <v>MBLKC3EA8GA04168</v>
      </c>
    </row>
    <row r="1982" ht="15.75" customHeight="1">
      <c r="A1982" s="3" t="s">
        <v>2005</v>
      </c>
      <c r="B1982" s="4" t="str">
        <f>VLOOKUP(A1982,Sheet2!$A$2:$R$3432,2,0)</f>
        <v>2024-10-13 20:02:12</v>
      </c>
      <c r="C1982" s="5" t="s">
        <v>25</v>
      </c>
      <c r="D1982" s="6" t="s">
        <v>25</v>
      </c>
      <c r="E1982" s="7">
        <f>VLOOKUP(A1982,Sheet2!$A$2:$R$3432,4,0)</f>
        <v>8007030595</v>
      </c>
      <c r="F1982" s="7" t="str">
        <f>VLOOKUP(A1982,Sheet2!$A$2:$R$3432,3,0)</f>
        <v>Mrudul Kolhe</v>
      </c>
      <c r="G1982" s="5" t="s">
        <v>25</v>
      </c>
      <c r="H1982" s="5" t="s">
        <v>25</v>
      </c>
      <c r="I1982" s="5" t="s">
        <v>25</v>
      </c>
      <c r="J1982" s="5" t="s">
        <v>25</v>
      </c>
      <c r="K1982" s="7" t="str">
        <f>VLOOKUP(A1982,Sheet2!$A$2:$R$3432,6,0)</f>
        <v>Bajaj Pulsar 180</v>
      </c>
      <c r="L1982" s="5" t="s">
        <v>25</v>
      </c>
      <c r="M1982" s="7" t="str">
        <f>VLOOKUP(A1982,Sheet2!$A$2:$R$3432,5,0)</f>
        <v>MH31DY0065</v>
      </c>
      <c r="N1982" s="5" t="s">
        <v>25</v>
      </c>
      <c r="O1982" s="5" t="s">
        <v>25</v>
      </c>
      <c r="P1982" s="6" t="s">
        <v>25</v>
      </c>
      <c r="Q1982" s="5" t="s">
        <v>25</v>
      </c>
      <c r="R1982" s="5" t="s">
        <v>25</v>
      </c>
      <c r="S1982" s="7" t="str">
        <f>VLOOKUP(A1982,Sheet2!$A$2:$R$3432,18,0)</f>
        <v/>
      </c>
      <c r="T1982" s="7" t="str">
        <f>VLOOKUP(A1982,Sheet2!$A$2:$R$3432,17,0)</f>
        <v/>
      </c>
    </row>
    <row r="1983" ht="15.75" customHeight="1">
      <c r="A1983" s="3" t="s">
        <v>2006</v>
      </c>
      <c r="B1983" s="4" t="str">
        <f>VLOOKUP(A1983,Sheet2!$A$2:$R$3432,2,0)</f>
        <v>2024-10-13 20:19:39</v>
      </c>
      <c r="C1983" s="5" t="s">
        <v>25</v>
      </c>
      <c r="D1983" s="6" t="s">
        <v>25</v>
      </c>
      <c r="E1983" s="7">
        <f>VLOOKUP(A1983,Sheet2!$A$2:$R$3432,4,0)</f>
        <v>7387109986</v>
      </c>
      <c r="F1983" s="7" t="str">
        <f>VLOOKUP(A1983,Sheet2!$A$2:$R$3432,3,0)</f>
        <v>RAGHURAJ</v>
      </c>
      <c r="G1983" s="5" t="s">
        <v>25</v>
      </c>
      <c r="H1983" s="5" t="s">
        <v>25</v>
      </c>
      <c r="I1983" s="5" t="s">
        <v>25</v>
      </c>
      <c r="J1983" s="5" t="s">
        <v>25</v>
      </c>
      <c r="K1983" s="7" t="str">
        <f>VLOOKUP(A1983,Sheet2!$A$2:$R$3432,6,0)</f>
        <v>Bajaj Pulsar 220</v>
      </c>
      <c r="L1983" s="5" t="s">
        <v>25</v>
      </c>
      <c r="M1983" s="7" t="str">
        <f>VLOOKUP(A1983,Sheet2!$A$2:$R$3432,5,0)</f>
        <v>MH12HK8203</v>
      </c>
      <c r="N1983" s="5" t="s">
        <v>25</v>
      </c>
      <c r="O1983" s="5" t="s">
        <v>25</v>
      </c>
      <c r="P1983" s="6" t="s">
        <v>25</v>
      </c>
      <c r="Q1983" s="5" t="s">
        <v>25</v>
      </c>
      <c r="R1983" s="5" t="s">
        <v>25</v>
      </c>
      <c r="S1983" s="5" t="str">
        <f>VLOOKUP(A1983,Sheet2!$A$2:$R$3432,18,0)</f>
        <v>DKGBU59123MD20H01</v>
      </c>
      <c r="T1983" s="7" t="str">
        <f>VLOOKUP(A1983,Sheet2!$A$2:$R$3432,17,0)</f>
        <v>MD29HDHZZU0F43933</v>
      </c>
    </row>
    <row r="1984" ht="15.75" customHeight="1">
      <c r="A1984" s="3" t="s">
        <v>2007</v>
      </c>
      <c r="B1984" s="4" t="str">
        <f>VLOOKUP(A1984,Sheet2!$A$2:$R$3432,2,0)</f>
        <v>2024-10-13 19:59:25</v>
      </c>
      <c r="C1984" s="5" t="s">
        <v>25</v>
      </c>
      <c r="D1984" s="6" t="s">
        <v>25</v>
      </c>
      <c r="E1984" s="7">
        <f>VLOOKUP(A1984,Sheet2!$A$2:$R$3432,4,0)</f>
        <v>9400116295</v>
      </c>
      <c r="F1984" s="7" t="str">
        <f>VLOOKUP(A1984,Sheet2!$A$2:$R$3432,3,0)</f>
        <v>SHANIF K</v>
      </c>
      <c r="G1984" s="5" t="s">
        <v>25</v>
      </c>
      <c r="H1984" s="5" t="s">
        <v>25</v>
      </c>
      <c r="I1984" s="5" t="s">
        <v>25</v>
      </c>
      <c r="J1984" s="5" t="s">
        <v>25</v>
      </c>
      <c r="K1984" s="7" t="str">
        <f>VLOOKUP(A1984,Sheet2!$A$2:$R$3432,6,0)</f>
        <v>Yamaha FZ S 2.0</v>
      </c>
      <c r="L1984" s="5" t="s">
        <v>25</v>
      </c>
      <c r="M1984" s="7" t="str">
        <f>VLOOKUP(A1984,Sheet2!$A$2:$R$3432,5,0)</f>
        <v>KL50F6074</v>
      </c>
      <c r="N1984" s="5" t="s">
        <v>25</v>
      </c>
      <c r="O1984" s="5" t="s">
        <v>25</v>
      </c>
      <c r="P1984" s="6" t="s">
        <v>25</v>
      </c>
      <c r="Q1984" s="5" t="s">
        <v>25</v>
      </c>
      <c r="R1984" s="5" t="s">
        <v>25</v>
      </c>
      <c r="S1984" s="5" t="str">
        <f>VLOOKUP(A1984,Sheet2!$A$2:$R$3432,18,0)</f>
        <v>G3J3E0043143</v>
      </c>
      <c r="T1984" s="7" t="str">
        <f>VLOOKUP(A1984,Sheet2!$A$2:$R$3432,17,0)</f>
        <v>ME1RG4415H0009871</v>
      </c>
    </row>
    <row r="1985" ht="15.75" customHeight="1">
      <c r="A1985" s="3" t="s">
        <v>2008</v>
      </c>
      <c r="B1985" s="4" t="str">
        <f>VLOOKUP(A1985,Sheet2!$A$2:$R$3432,2,0)</f>
        <v>2024-10-13 20:00:40</v>
      </c>
      <c r="C1985" s="5" t="s">
        <v>25</v>
      </c>
      <c r="D1985" s="6" t="s">
        <v>25</v>
      </c>
      <c r="E1985" s="7">
        <f>VLOOKUP(A1985,Sheet2!$A$2:$R$3432,4,0)</f>
        <v>9986001984</v>
      </c>
      <c r="F1985" s="7" t="str">
        <f>VLOOKUP(A1985,Sheet2!$A$2:$R$3432,3,0)</f>
        <v>Anjan Rao</v>
      </c>
      <c r="G1985" s="5" t="s">
        <v>25</v>
      </c>
      <c r="H1985" s="5" t="s">
        <v>25</v>
      </c>
      <c r="I1985" s="5" t="s">
        <v>25</v>
      </c>
      <c r="J1985" s="5" t="s">
        <v>25</v>
      </c>
      <c r="K1985" s="7" t="str">
        <f>VLOOKUP(A1985,Sheet2!$A$2:$R$3432,6,0)</f>
        <v>Honda Activa 110</v>
      </c>
      <c r="L1985" s="5" t="s">
        <v>25</v>
      </c>
      <c r="M1985" s="7" t="str">
        <f>VLOOKUP(A1985,Sheet2!$A$2:$R$3432,5,0)</f>
        <v>KA04HB5434</v>
      </c>
      <c r="N1985" s="5" t="s">
        <v>25</v>
      </c>
      <c r="O1985" s="5" t="s">
        <v>25</v>
      </c>
      <c r="P1985" s="6" t="s">
        <v>25</v>
      </c>
      <c r="Q1985" s="5" t="s">
        <v>25</v>
      </c>
      <c r="R1985" s="5" t="s">
        <v>25</v>
      </c>
      <c r="S1985" s="5" t="str">
        <f>VLOOKUP(A1985,Sheet2!$A$2:$R$3432,18,0)</f>
        <v>JC44E0356834</v>
      </c>
      <c r="T1985" s="7" t="str">
        <f>VLOOKUP(A1985,Sheet2!$A$2:$R$3432,17,0)</f>
        <v>ME4JC446L98043935</v>
      </c>
    </row>
    <row r="1986" ht="15.75" customHeight="1">
      <c r="A1986" s="3" t="s">
        <v>2009</v>
      </c>
      <c r="B1986" s="4" t="str">
        <f>VLOOKUP(A1986,Sheet2!$A$2:$R$3432,2,0)</f>
        <v>2024-08-18 21:11:06</v>
      </c>
      <c r="C1986" s="5" t="s">
        <v>25</v>
      </c>
      <c r="D1986" s="6" t="s">
        <v>25</v>
      </c>
      <c r="E1986" s="7">
        <f>VLOOKUP(A1986,Sheet2!$A$2:$R$3432,4,0)</f>
        <v>8975973107</v>
      </c>
      <c r="F1986" s="7" t="str">
        <f>VLOOKUP(A1986,Sheet2!$A$2:$R$3432,3,0)</f>
        <v>Pratik Kanse</v>
      </c>
      <c r="G1986" s="5" t="s">
        <v>25</v>
      </c>
      <c r="H1986" s="5" t="s">
        <v>25</v>
      </c>
      <c r="I1986" s="5" t="s">
        <v>25</v>
      </c>
      <c r="J1986" s="5" t="s">
        <v>25</v>
      </c>
      <c r="K1986" s="7" t="str">
        <f>VLOOKUP(A1986,Sheet2!$A$2:$R$3432,6,0)</f>
        <v>Honda Activa 3G</v>
      </c>
      <c r="L1986" s="5" t="s">
        <v>25</v>
      </c>
      <c r="M1986" s="7" t="str">
        <f>VLOOKUP(A1986,Sheet2!$A$2:$R$3432,5,0)</f>
        <v>MH14FK0912</v>
      </c>
      <c r="N1986" s="5" t="s">
        <v>25</v>
      </c>
      <c r="O1986" s="5" t="s">
        <v>25</v>
      </c>
      <c r="P1986" s="6" t="s">
        <v>25</v>
      </c>
      <c r="Q1986" s="5" t="s">
        <v>25</v>
      </c>
      <c r="R1986" s="5" t="s">
        <v>25</v>
      </c>
      <c r="S1986" s="7" t="str">
        <f>VLOOKUP(A1986,Sheet2!$A$2:$R$3432,18,0)</f>
        <v/>
      </c>
      <c r="T1986" s="7" t="str">
        <f>VLOOKUP(A1986,Sheet2!$A$2:$R$3432,17,0)</f>
        <v>ME4JF506AGT095381</v>
      </c>
    </row>
    <row r="1987" ht="15.75" customHeight="1">
      <c r="A1987" s="3" t="s">
        <v>2010</v>
      </c>
      <c r="B1987" s="4" t="str">
        <f>VLOOKUP(A1987,Sheet2!$A$2:$R$3432,2,0)</f>
        <v>2024-08-18 21:11:39</v>
      </c>
      <c r="C1987" s="5" t="s">
        <v>25</v>
      </c>
      <c r="D1987" s="6" t="s">
        <v>25</v>
      </c>
      <c r="E1987" s="7">
        <f>VLOOKUP(A1987,Sheet2!$A$2:$R$3432,4,0)</f>
        <v>7350725409</v>
      </c>
      <c r="F1987" s="7" t="str">
        <f>VLOOKUP(A1987,Sheet2!$A$2:$R$3432,3,0)</f>
        <v>Parth</v>
      </c>
      <c r="G1987" s="5" t="s">
        <v>25</v>
      </c>
      <c r="H1987" s="5" t="s">
        <v>25</v>
      </c>
      <c r="I1987" s="5" t="s">
        <v>25</v>
      </c>
      <c r="J1987" s="5" t="s">
        <v>25</v>
      </c>
      <c r="K1987" s="7" t="str">
        <f>VLOOKUP(A1987,Sheet2!$A$2:$R$3432,6,0)</f>
        <v>Honda CBR 150</v>
      </c>
      <c r="L1987" s="5" t="s">
        <v>25</v>
      </c>
      <c r="M1987" s="7" t="str">
        <f>VLOOKUP(A1987,Sheet2!$A$2:$R$3432,5,0)</f>
        <v>MH14FU2470</v>
      </c>
      <c r="N1987" s="5" t="s">
        <v>25</v>
      </c>
      <c r="O1987" s="5" t="s">
        <v>25</v>
      </c>
      <c r="P1987" s="6" t="s">
        <v>25</v>
      </c>
      <c r="Q1987" s="5" t="s">
        <v>25</v>
      </c>
      <c r="R1987" s="5" t="s">
        <v>25</v>
      </c>
      <c r="S1987" s="5" t="str">
        <f>VLOOKUP(A1987,Sheet2!$A$2:$R$3432,18,0)</f>
        <v>KC17E8046479</v>
      </c>
      <c r="T1987" s="7" t="str">
        <f>VLOOKUP(A1987,Sheet2!$A$2:$R$3432,17,0)</f>
        <v>ME4KC241HG8004487</v>
      </c>
    </row>
    <row r="1988" ht="15.75" customHeight="1">
      <c r="A1988" s="3" t="s">
        <v>2011</v>
      </c>
      <c r="B1988" s="4" t="str">
        <f>VLOOKUP(A1988,Sheet2!$A$2:$R$3432,2,0)</f>
        <v>2024-08-18 21:06:37</v>
      </c>
      <c r="C1988" s="5" t="s">
        <v>25</v>
      </c>
      <c r="D1988" s="6" t="s">
        <v>25</v>
      </c>
      <c r="E1988" s="7">
        <f>VLOOKUP(A1988,Sheet2!$A$2:$R$3432,4,0)</f>
        <v>9028366926</v>
      </c>
      <c r="F1988" s="7" t="str">
        <f>VLOOKUP(A1988,Sheet2!$A$2:$R$3432,3,0)</f>
        <v>Ketan Yelnoorkar</v>
      </c>
      <c r="G1988" s="5" t="s">
        <v>25</v>
      </c>
      <c r="H1988" s="5" t="s">
        <v>25</v>
      </c>
      <c r="I1988" s="5" t="s">
        <v>25</v>
      </c>
      <c r="J1988" s="5" t="s">
        <v>25</v>
      </c>
      <c r="K1988" s="7" t="str">
        <f>VLOOKUP(A1988,Sheet2!$A$2:$R$3432,6,0)</f>
        <v>Yamaha FZ S</v>
      </c>
      <c r="L1988" s="5" t="s">
        <v>25</v>
      </c>
      <c r="M1988" s="7" t="str">
        <f>VLOOKUP(A1988,Sheet2!$A$2:$R$3432,5,0)</f>
        <v>MH20CM4633</v>
      </c>
      <c r="N1988" s="5" t="s">
        <v>25</v>
      </c>
      <c r="O1988" s="5" t="s">
        <v>25</v>
      </c>
      <c r="P1988" s="6" t="s">
        <v>25</v>
      </c>
      <c r="Q1988" s="5" t="s">
        <v>25</v>
      </c>
      <c r="R1988" s="5" t="s">
        <v>25</v>
      </c>
      <c r="S1988" s="7" t="str">
        <f>VLOOKUP(A1988,Sheet2!$A$2:$R$3432,18,0)</f>
        <v/>
      </c>
      <c r="T1988" s="7" t="str">
        <f>VLOOKUP(A1988,Sheet2!$A$2:$R$3432,17,0)</f>
        <v>ME121C0FAC2002589</v>
      </c>
    </row>
    <row r="1989" ht="15.75" customHeight="1">
      <c r="A1989" s="3" t="s">
        <v>2012</v>
      </c>
      <c r="B1989" s="4" t="str">
        <f>VLOOKUP(A1989,Sheet2!$A$2:$R$3432,2,0)</f>
        <v>2024-08-18 21:07:29</v>
      </c>
      <c r="C1989" s="5" t="s">
        <v>25</v>
      </c>
      <c r="D1989" s="6" t="s">
        <v>25</v>
      </c>
      <c r="E1989" s="7">
        <f>VLOOKUP(A1989,Sheet2!$A$2:$R$3432,4,0)</f>
        <v>9975859952</v>
      </c>
      <c r="F1989" s="7" t="str">
        <f>VLOOKUP(A1989,Sheet2!$A$2:$R$3432,3,0)</f>
        <v>PRAVEEN MAKDUM</v>
      </c>
      <c r="G1989" s="5" t="s">
        <v>25</v>
      </c>
      <c r="H1989" s="5" t="s">
        <v>25</v>
      </c>
      <c r="I1989" s="5" t="s">
        <v>25</v>
      </c>
      <c r="J1989" s="5" t="s">
        <v>25</v>
      </c>
      <c r="K1989" s="7" t="str">
        <f>VLOOKUP(A1989,Sheet2!$A$2:$R$3432,6,0)</f>
        <v>Honda Shine SP</v>
      </c>
      <c r="L1989" s="5" t="s">
        <v>25</v>
      </c>
      <c r="M1989" s="7" t="str">
        <f>VLOOKUP(A1989,Sheet2!$A$2:$R$3432,5,0)</f>
        <v>MH09EQ3042</v>
      </c>
      <c r="N1989" s="5" t="s">
        <v>25</v>
      </c>
      <c r="O1989" s="5" t="s">
        <v>25</v>
      </c>
      <c r="P1989" s="6" t="s">
        <v>25</v>
      </c>
      <c r="Q1989" s="5" t="s">
        <v>25</v>
      </c>
      <c r="R1989" s="5" t="s">
        <v>25</v>
      </c>
      <c r="S1989" s="5" t="str">
        <f>VLOOKUP(A1989,Sheet2!$A$2:$R$3432,18,0)</f>
        <v>JC73ET1041459</v>
      </c>
      <c r="T1989" s="7" t="str">
        <f>VLOOKUP(A1989,Sheet2!$A$2:$R$3432,17,0)</f>
        <v>ME4JC734CHT024497</v>
      </c>
    </row>
    <row r="1990" ht="15.75" customHeight="1">
      <c r="A1990" s="3" t="s">
        <v>2013</v>
      </c>
      <c r="B1990" s="4" t="str">
        <f>VLOOKUP(A1990,Sheet2!$A$2:$R$3432,2,0)</f>
        <v>2024-08-18 21:09:36</v>
      </c>
      <c r="C1990" s="5" t="s">
        <v>25</v>
      </c>
      <c r="D1990" s="6" t="s">
        <v>25</v>
      </c>
      <c r="E1990" s="7">
        <f>VLOOKUP(A1990,Sheet2!$A$2:$R$3432,4,0)</f>
        <v>9619865191</v>
      </c>
      <c r="F1990" s="7" t="str">
        <f>VLOOKUP(A1990,Sheet2!$A$2:$R$3432,3,0)</f>
        <v>NARAYAN </v>
      </c>
      <c r="G1990" s="5" t="s">
        <v>25</v>
      </c>
      <c r="H1990" s="5" t="s">
        <v>25</v>
      </c>
      <c r="I1990" s="5" t="s">
        <v>25</v>
      </c>
      <c r="J1990" s="5" t="s">
        <v>25</v>
      </c>
      <c r="K1990" s="7" t="str">
        <f>VLOOKUP(A1990,Sheet2!$A$2:$R$3432,6,0)</f>
        <v>Hero Splendor Pro</v>
      </c>
      <c r="L1990" s="5" t="s">
        <v>25</v>
      </c>
      <c r="M1990" s="7" t="str">
        <f>VLOOKUP(A1990,Sheet2!$A$2:$R$3432,5,0)</f>
        <v>MH12UL2247</v>
      </c>
      <c r="N1990" s="5" t="s">
        <v>25</v>
      </c>
      <c r="O1990" s="5" t="s">
        <v>25</v>
      </c>
      <c r="P1990" s="6" t="s">
        <v>25</v>
      </c>
      <c r="Q1990" s="5" t="s">
        <v>25</v>
      </c>
      <c r="R1990" s="5" t="s">
        <v>25</v>
      </c>
      <c r="S1990" s="5" t="str">
        <f>VLOOKUP(A1990,Sheet2!$A$2:$R$3432,18,0)</f>
        <v>HA11EAN4F16749</v>
      </c>
      <c r="T1990" s="7" t="str">
        <f>VLOOKUP(A1990,Sheet2!$A$2:$R$3432,17,0)</f>
        <v>MBLHA12175N4F14279</v>
      </c>
    </row>
    <row r="1991" ht="15.75" customHeight="1">
      <c r="A1991" s="3" t="s">
        <v>2014</v>
      </c>
      <c r="B1991" s="4" t="str">
        <f>VLOOKUP(A1991,Sheet2!$A$2:$R$3432,2,0)</f>
        <v>2024-08-18 21:08:30</v>
      </c>
      <c r="C1991" s="5" t="s">
        <v>25</v>
      </c>
      <c r="D1991" s="6" t="s">
        <v>25</v>
      </c>
      <c r="E1991" s="7">
        <f>VLOOKUP(A1991,Sheet2!$A$2:$R$3432,4,0)</f>
        <v>9422178080</v>
      </c>
      <c r="F1991" s="7" t="str">
        <f>VLOOKUP(A1991,Sheet2!$A$2:$R$3432,3,0)</f>
        <v>TUSHAR KALE</v>
      </c>
      <c r="G1991" s="5" t="s">
        <v>25</v>
      </c>
      <c r="H1991" s="5" t="s">
        <v>25</v>
      </c>
      <c r="I1991" s="5" t="s">
        <v>25</v>
      </c>
      <c r="J1991" s="5" t="s">
        <v>25</v>
      </c>
      <c r="K1991" s="7" t="str">
        <f>VLOOKUP(A1991,Sheet2!$A$2:$R$3432,6,0)</f>
        <v>Honda Shine CB</v>
      </c>
      <c r="L1991" s="5" t="s">
        <v>25</v>
      </c>
      <c r="M1991" s="7" t="str">
        <f>VLOOKUP(A1991,Sheet2!$A$2:$R$3432,5,0)</f>
        <v>MH22AR8507</v>
      </c>
      <c r="N1991" s="5" t="s">
        <v>25</v>
      </c>
      <c r="O1991" s="5" t="s">
        <v>25</v>
      </c>
      <c r="P1991" s="6" t="s">
        <v>25</v>
      </c>
      <c r="Q1991" s="5" t="s">
        <v>25</v>
      </c>
      <c r="R1991" s="5" t="s">
        <v>25</v>
      </c>
      <c r="S1991" s="5" t="str">
        <f>VLOOKUP(A1991,Sheet2!$A$2:$R$3432,18,0)</f>
        <v>JC65ET215741</v>
      </c>
      <c r="T1991" s="7" t="str">
        <f>VLOOKUP(A1991,Sheet2!$A$2:$R$3432,17,0)</f>
        <v>ME4JC65AFJT101064</v>
      </c>
    </row>
    <row r="1992" ht="15.75" customHeight="1">
      <c r="A1992" s="3" t="s">
        <v>2015</v>
      </c>
      <c r="B1992" s="4" t="str">
        <f>VLOOKUP(A1992,Sheet2!$A$2:$R$3432,2,0)</f>
        <v>2024-08-18 21:05:26</v>
      </c>
      <c r="C1992" s="5" t="s">
        <v>25</v>
      </c>
      <c r="D1992" s="6" t="s">
        <v>25</v>
      </c>
      <c r="E1992" s="7">
        <f>VLOOKUP(A1992,Sheet2!$A$2:$R$3432,4,0)</f>
        <v>9403221441</v>
      </c>
      <c r="F1992" s="7" t="str">
        <f>VLOOKUP(A1992,Sheet2!$A$2:$R$3432,3,0)</f>
        <v>SAGAR </v>
      </c>
      <c r="G1992" s="5" t="s">
        <v>25</v>
      </c>
      <c r="H1992" s="5" t="s">
        <v>25</v>
      </c>
      <c r="I1992" s="5" t="s">
        <v>25</v>
      </c>
      <c r="J1992" s="5" t="s">
        <v>25</v>
      </c>
      <c r="K1992" s="7" t="str">
        <f>VLOOKUP(A1992,Sheet2!$A$2:$R$3432,6,0)</f>
        <v>Piaggio Vespa </v>
      </c>
      <c r="L1992" s="5" t="s">
        <v>25</v>
      </c>
      <c r="M1992" s="7" t="str">
        <f>VLOOKUP(A1992,Sheet2!$A$2:$R$3432,5,0)</f>
        <v>MH12JL9892</v>
      </c>
      <c r="N1992" s="5" t="s">
        <v>25</v>
      </c>
      <c r="O1992" s="5" t="s">
        <v>25</v>
      </c>
      <c r="P1992" s="6" t="s">
        <v>25</v>
      </c>
      <c r="Q1992" s="5" t="s">
        <v>25</v>
      </c>
      <c r="R1992" s="5" t="s">
        <v>25</v>
      </c>
      <c r="S1992" s="7" t="str">
        <f>VLOOKUP(A1992,Sheet2!$A$2:$R$3432,18,0)</f>
        <v/>
      </c>
      <c r="T1992" s="7" t="str">
        <f>VLOOKUP(A1992,Sheet2!$A$2:$R$3432,17,0)</f>
        <v>MET0000APK019589</v>
      </c>
    </row>
    <row r="1993" ht="15.75" customHeight="1">
      <c r="A1993" s="3" t="s">
        <v>2016</v>
      </c>
      <c r="B1993" s="4" t="str">
        <f>VLOOKUP(A1993,Sheet2!$A$2:$R$3432,2,0)</f>
        <v>2024-08-18 21:12:23</v>
      </c>
      <c r="C1993" s="5" t="s">
        <v>25</v>
      </c>
      <c r="D1993" s="6" t="s">
        <v>25</v>
      </c>
      <c r="E1993" s="7">
        <f>VLOOKUP(A1993,Sheet2!$A$2:$R$3432,4,0)</f>
        <v>8805169999</v>
      </c>
      <c r="F1993" s="7" t="str">
        <f>VLOOKUP(A1993,Sheet2!$A$2:$R$3432,3,0)</f>
        <v>Tonde</v>
      </c>
      <c r="G1993" s="5" t="s">
        <v>25</v>
      </c>
      <c r="H1993" s="5" t="s">
        <v>25</v>
      </c>
      <c r="I1993" s="5" t="s">
        <v>25</v>
      </c>
      <c r="J1993" s="5" t="s">
        <v>25</v>
      </c>
      <c r="K1993" s="7" t="str">
        <f>VLOOKUP(A1993,Sheet2!$A$2:$R$3432,6,0)</f>
        <v>TVS Jupiter </v>
      </c>
      <c r="L1993" s="5" t="s">
        <v>25</v>
      </c>
      <c r="M1993" s="7" t="str">
        <f>VLOOKUP(A1993,Sheet2!$A$2:$R$3432,5,0)</f>
        <v>MH12PR7496</v>
      </c>
      <c r="N1993" s="5" t="s">
        <v>25</v>
      </c>
      <c r="O1993" s="5" t="s">
        <v>25</v>
      </c>
      <c r="P1993" s="6" t="s">
        <v>25</v>
      </c>
      <c r="Q1993" s="5" t="s">
        <v>25</v>
      </c>
      <c r="R1993" s="5" t="s">
        <v>25</v>
      </c>
      <c r="S1993" s="7" t="str">
        <f>VLOOKUP(A1993,Sheet2!$A$2:$R$3432,18,0)</f>
        <v/>
      </c>
      <c r="T1993" s="7" t="str">
        <f>VLOOKUP(A1993,Sheet2!$A$2:$R$3432,17,0)</f>
        <v>MD62C6EG45H1K28636</v>
      </c>
    </row>
    <row r="1994" ht="15.75" customHeight="1">
      <c r="A1994" s="3" t="s">
        <v>2017</v>
      </c>
      <c r="B1994" s="4" t="str">
        <f>VLOOKUP(A1994,Sheet2!$A$2:$R$3432,2,0)</f>
        <v>2024-08-18 21:06:01</v>
      </c>
      <c r="C1994" s="5" t="s">
        <v>25</v>
      </c>
      <c r="D1994" s="6" t="s">
        <v>25</v>
      </c>
      <c r="E1994" s="7">
        <f>VLOOKUP(A1994,Sheet2!$A$2:$R$3432,4,0)</f>
        <v>9422752889</v>
      </c>
      <c r="F1994" s="7" t="str">
        <f>VLOOKUP(A1994,Sheet2!$A$2:$R$3432,3,0)</f>
        <v>Chinmay Pethe</v>
      </c>
      <c r="G1994" s="5" t="s">
        <v>25</v>
      </c>
      <c r="H1994" s="5" t="s">
        <v>25</v>
      </c>
      <c r="I1994" s="5" t="s">
        <v>25</v>
      </c>
      <c r="J1994" s="5" t="s">
        <v>25</v>
      </c>
      <c r="K1994" s="7" t="str">
        <f>VLOOKUP(A1994,Sheet2!$A$2:$R$3432,6,0)</f>
        <v>Yamaha MT 3</v>
      </c>
      <c r="L1994" s="5" t="s">
        <v>25</v>
      </c>
      <c r="M1994" s="7" t="str">
        <f>VLOOKUP(A1994,Sheet2!$A$2:$R$3432,5,0)</f>
        <v>MH08AW3587</v>
      </c>
      <c r="N1994" s="5" t="s">
        <v>25</v>
      </c>
      <c r="O1994" s="5" t="s">
        <v>25</v>
      </c>
      <c r="P1994" s="6" t="s">
        <v>25</v>
      </c>
      <c r="Q1994" s="5" t="s">
        <v>25</v>
      </c>
      <c r="R1994" s="5" t="s">
        <v>25</v>
      </c>
      <c r="S1994" s="5" t="str">
        <f>VLOOKUP(A1994,Sheet2!$A$2:$R$3432,18,0)</f>
        <v>G3NG30045691</v>
      </c>
      <c r="T1994" s="7" t="str">
        <f>VLOOKUP(A1994,Sheet2!$A$2:$R$3432,17,0)</f>
        <v>ME1RG6817L0013449</v>
      </c>
    </row>
    <row r="1995" ht="15.75" customHeight="1">
      <c r="A1995" s="3" t="s">
        <v>2018</v>
      </c>
      <c r="B1995" s="4" t="str">
        <f>VLOOKUP(A1995,Sheet2!$A$2:$R$3432,2,0)</f>
        <v>2024-08-18 21:09:03</v>
      </c>
      <c r="C1995" s="5" t="s">
        <v>25</v>
      </c>
      <c r="D1995" s="6" t="s">
        <v>25</v>
      </c>
      <c r="E1995" s="7">
        <f>VLOOKUP(A1995,Sheet2!$A$2:$R$3432,4,0)</f>
        <v>9764474044</v>
      </c>
      <c r="F1995" s="7" t="str">
        <f>VLOOKUP(A1995,Sheet2!$A$2:$R$3432,3,0)</f>
        <v>Kuldeep Sharma</v>
      </c>
      <c r="G1995" s="5" t="s">
        <v>25</v>
      </c>
      <c r="H1995" s="5" t="s">
        <v>25</v>
      </c>
      <c r="I1995" s="5" t="s">
        <v>25</v>
      </c>
      <c r="J1995" s="5" t="s">
        <v>25</v>
      </c>
      <c r="K1995" s="7" t="str">
        <f>VLOOKUP(A1995,Sheet2!$A$2:$R$3432,6,0)</f>
        <v>Bajaj Pulsar 150 DTSi</v>
      </c>
      <c r="L1995" s="5" t="s">
        <v>25</v>
      </c>
      <c r="M1995" s="7" t="str">
        <f>VLOOKUP(A1995,Sheet2!$A$2:$R$3432,5,0)</f>
        <v>MH14CA0851</v>
      </c>
      <c r="N1995" s="5" t="s">
        <v>25</v>
      </c>
      <c r="O1995" s="5" t="s">
        <v>25</v>
      </c>
      <c r="P1995" s="6" t="s">
        <v>25</v>
      </c>
      <c r="Q1995" s="5" t="s">
        <v>25</v>
      </c>
      <c r="R1995" s="5" t="s">
        <v>25</v>
      </c>
      <c r="S1995" s="7" t="str">
        <f>VLOOKUP(A1995,Sheet2!$A$2:$R$3432,18,0)</f>
        <v/>
      </c>
      <c r="T1995" s="7" t="str">
        <f>VLOOKUP(A1995,Sheet2!$A$2:$R$3432,17,0)</f>
        <v>MD2DHDHZZ5CL27030</v>
      </c>
    </row>
    <row r="1996" ht="15.75" customHeight="1">
      <c r="A1996" s="3" t="s">
        <v>2019</v>
      </c>
      <c r="B1996" s="4" t="str">
        <f>VLOOKUP(A1996,Sheet2!$A$2:$R$3432,2,0)</f>
        <v>2024-08-18 21:10:04</v>
      </c>
      <c r="C1996" s="5" t="s">
        <v>25</v>
      </c>
      <c r="D1996" s="6" t="s">
        <v>25</v>
      </c>
      <c r="E1996" s="7">
        <f>VLOOKUP(A1996,Sheet2!$A$2:$R$3432,4,0)</f>
        <v>9890907618</v>
      </c>
      <c r="F1996" s="7" t="str">
        <f>VLOOKUP(A1996,Sheet2!$A$2:$R$3432,3,0)</f>
        <v>Omkar</v>
      </c>
      <c r="G1996" s="5" t="s">
        <v>25</v>
      </c>
      <c r="H1996" s="5" t="s">
        <v>25</v>
      </c>
      <c r="I1996" s="5" t="s">
        <v>25</v>
      </c>
      <c r="J1996" s="5" t="s">
        <v>25</v>
      </c>
      <c r="K1996" s="7" t="str">
        <f>VLOOKUP(A1996,Sheet2!$A$2:$R$3432,6,0)</f>
        <v>Yamaha FZ V3</v>
      </c>
      <c r="L1996" s="5" t="s">
        <v>25</v>
      </c>
      <c r="M1996" s="7" t="str">
        <f>VLOOKUP(A1996,Sheet2!$A$2:$R$3432,5,0)</f>
        <v>MH10DJ6558</v>
      </c>
      <c r="N1996" s="5" t="s">
        <v>25</v>
      </c>
      <c r="O1996" s="5" t="s">
        <v>25</v>
      </c>
      <c r="P1996" s="6" t="s">
        <v>25</v>
      </c>
      <c r="Q1996" s="5" t="s">
        <v>25</v>
      </c>
      <c r="R1996" s="5" t="s">
        <v>25</v>
      </c>
      <c r="S1996" s="7" t="str">
        <f>VLOOKUP(A1996,Sheet2!$A$2:$R$3432,18,0)</f>
        <v/>
      </c>
      <c r="T1996" s="7" t="str">
        <f>VLOOKUP(A1996,Sheet2!$A$2:$R$3432,17,0)</f>
        <v/>
      </c>
    </row>
    <row r="1997" ht="15.75" customHeight="1">
      <c r="A1997" s="3" t="s">
        <v>2020</v>
      </c>
      <c r="B1997" s="4" t="str">
        <f>VLOOKUP(A1997,Sheet2!$A$2:$R$3432,2,0)</f>
        <v>2024-08-18 21:12:52</v>
      </c>
      <c r="C1997" s="5" t="s">
        <v>25</v>
      </c>
      <c r="D1997" s="6" t="s">
        <v>25</v>
      </c>
      <c r="E1997" s="7">
        <f>VLOOKUP(A1997,Sheet2!$A$2:$R$3432,4,0)</f>
        <v>7304070707</v>
      </c>
      <c r="F1997" s="7" t="str">
        <f>VLOOKUP(A1997,Sheet2!$A$2:$R$3432,3,0)</f>
        <v>Girish Jadhav</v>
      </c>
      <c r="G1997" s="5" t="s">
        <v>25</v>
      </c>
      <c r="H1997" s="5" t="s">
        <v>25</v>
      </c>
      <c r="I1997" s="5" t="s">
        <v>25</v>
      </c>
      <c r="J1997" s="5" t="s">
        <v>25</v>
      </c>
      <c r="K1997" s="7" t="str">
        <f>VLOOKUP(A1997,Sheet2!$A$2:$R$3432,6,0)</f>
        <v>Bajaj Avenger 160 S ABS</v>
      </c>
      <c r="L1997" s="5" t="s">
        <v>25</v>
      </c>
      <c r="M1997" s="7" t="str">
        <f>VLOOKUP(A1997,Sheet2!$A$2:$R$3432,5,0)</f>
        <v>MH14HV9323</v>
      </c>
      <c r="N1997" s="5" t="s">
        <v>25</v>
      </c>
      <c r="O1997" s="5" t="s">
        <v>25</v>
      </c>
      <c r="P1997" s="6" t="s">
        <v>25</v>
      </c>
      <c r="Q1997" s="5" t="s">
        <v>25</v>
      </c>
      <c r="R1997" s="5" t="s">
        <v>25</v>
      </c>
      <c r="S1997" s="5" t="str">
        <f>VLOOKUP(A1997,Sheet2!$A$2:$R$3432,18,0)</f>
        <v>PDYCK005304</v>
      </c>
      <c r="T1997" s="7" t="str">
        <f>VLOOKUP(A1997,Sheet2!$A$2:$R$3432,17,0)</f>
        <v>MD2B57CY9KCG26696</v>
      </c>
    </row>
    <row r="1998" ht="15.75" customHeight="1">
      <c r="A1998" s="3" t="s">
        <v>2021</v>
      </c>
      <c r="B1998" s="4" t="str">
        <f>VLOOKUP(A1998,Sheet2!$A$2:$R$3432,2,0)</f>
        <v>2024-08-18 21:18:41</v>
      </c>
      <c r="C1998" s="5" t="s">
        <v>25</v>
      </c>
      <c r="D1998" s="6" t="s">
        <v>25</v>
      </c>
      <c r="E1998" s="7">
        <f>VLOOKUP(A1998,Sheet2!$A$2:$R$3432,4,0)</f>
        <v>9765858948</v>
      </c>
      <c r="F1998" s="7" t="str">
        <f>VLOOKUP(A1998,Sheet2!$A$2:$R$3432,3,0)</f>
        <v>Nagesh</v>
      </c>
      <c r="G1998" s="5" t="s">
        <v>25</v>
      </c>
      <c r="H1998" s="5" t="s">
        <v>25</v>
      </c>
      <c r="I1998" s="5" t="s">
        <v>25</v>
      </c>
      <c r="J1998" s="5" t="s">
        <v>25</v>
      </c>
      <c r="K1998" s="7" t="str">
        <f>VLOOKUP(A1998,Sheet2!$A$2:$R$3432,6,0)</f>
        <v>Honda Activa i</v>
      </c>
      <c r="L1998" s="5" t="s">
        <v>25</v>
      </c>
      <c r="M1998" s="7" t="str">
        <f>VLOOKUP(A1998,Sheet2!$A$2:$R$3432,5,0)</f>
        <v>MH05CT5347</v>
      </c>
      <c r="N1998" s="5" t="s">
        <v>25</v>
      </c>
      <c r="O1998" s="5" t="s">
        <v>25</v>
      </c>
      <c r="P1998" s="6" t="s">
        <v>25</v>
      </c>
      <c r="Q1998" s="5" t="s">
        <v>25</v>
      </c>
      <c r="R1998" s="5" t="s">
        <v>25</v>
      </c>
      <c r="S1998" s="7" t="str">
        <f>VLOOKUP(A1998,Sheet2!$A$2:$R$3432,18,0)</f>
        <v/>
      </c>
      <c r="T1998" s="7" t="str">
        <f>VLOOKUP(A1998,Sheet2!$A$2:$R$3432,17,0)</f>
        <v>ME4JF486LF8011</v>
      </c>
    </row>
    <row r="1999" ht="15.75" customHeight="1">
      <c r="A1999" s="3" t="s">
        <v>2022</v>
      </c>
      <c r="B1999" s="4" t="str">
        <f>VLOOKUP(A1999,Sheet2!$A$2:$R$3432,2,0)</f>
        <v>2024-08-11 20:19:24</v>
      </c>
      <c r="C1999" s="5" t="s">
        <v>25</v>
      </c>
      <c r="D1999" s="6" t="s">
        <v>25</v>
      </c>
      <c r="E1999" s="7">
        <f>VLOOKUP(A1999,Sheet2!$A$2:$R$3432,4,0)</f>
        <v>8888845573</v>
      </c>
      <c r="F1999" s="7" t="str">
        <f>VLOOKUP(A1999,Sheet2!$A$2:$R$3432,3,0)</f>
        <v>Tushar</v>
      </c>
      <c r="G1999" s="5" t="s">
        <v>25</v>
      </c>
      <c r="H1999" s="5" t="s">
        <v>25</v>
      </c>
      <c r="I1999" s="5" t="s">
        <v>25</v>
      </c>
      <c r="J1999" s="5" t="s">
        <v>25</v>
      </c>
      <c r="K1999" s="7" t="str">
        <f>VLOOKUP(A1999,Sheet2!$A$2:$R$3432,6,0)</f>
        <v>TVS Jupiter </v>
      </c>
      <c r="L1999" s="5" t="s">
        <v>25</v>
      </c>
      <c r="M1999" s="7" t="str">
        <f>VLOOKUP(A1999,Sheet2!$A$2:$R$3432,5,0)</f>
        <v>MH14FJ4665</v>
      </c>
      <c r="N1999" s="5" t="s">
        <v>25</v>
      </c>
      <c r="O1999" s="5" t="s">
        <v>25</v>
      </c>
      <c r="P1999" s="6" t="s">
        <v>25</v>
      </c>
      <c r="Q1999" s="5" t="s">
        <v>25</v>
      </c>
      <c r="R1999" s="5" t="s">
        <v>25</v>
      </c>
      <c r="S1999" s="5" t="str">
        <f>VLOOKUP(A1999,Sheet2!$A$2:$R$3432,18,0)</f>
        <v>BG4NF1757652</v>
      </c>
      <c r="T1999" s="7" t="str">
        <f>VLOOKUP(A1999,Sheet2!$A$2:$R$3432,17,0)</f>
        <v>ME626BG46F1N5788</v>
      </c>
    </row>
    <row r="2000" ht="15.75" customHeight="1">
      <c r="A2000" s="3" t="s">
        <v>2023</v>
      </c>
      <c r="B2000" s="4" t="str">
        <f>VLOOKUP(A2000,Sheet2!$A$2:$R$3432,2,0)</f>
        <v>2024-08-11 20:04:44</v>
      </c>
      <c r="C2000" s="5" t="s">
        <v>25</v>
      </c>
      <c r="D2000" s="6" t="s">
        <v>25</v>
      </c>
      <c r="E2000" s="7">
        <f>VLOOKUP(A2000,Sheet2!$A$2:$R$3432,4,0)</f>
        <v>9662466141</v>
      </c>
      <c r="F2000" s="7" t="str">
        <f>VLOOKUP(A2000,Sheet2!$A$2:$R$3432,3,0)</f>
        <v>Maulik </v>
      </c>
      <c r="G2000" s="5" t="s">
        <v>25</v>
      </c>
      <c r="H2000" s="5" t="s">
        <v>25</v>
      </c>
      <c r="I2000" s="5" t="s">
        <v>25</v>
      </c>
      <c r="J2000" s="5" t="s">
        <v>25</v>
      </c>
      <c r="K2000" s="7" t="str">
        <f>VLOOKUP(A2000,Sheet2!$A$2:$R$3432,6,0)</f>
        <v>Honda Activa 125</v>
      </c>
      <c r="L2000" s="5" t="s">
        <v>25</v>
      </c>
      <c r="M2000" s="7" t="str">
        <f>VLOOKUP(A2000,Sheet2!$A$2:$R$3432,5,0)</f>
        <v>GJ07CJ0614</v>
      </c>
      <c r="N2000" s="5" t="s">
        <v>25</v>
      </c>
      <c r="O2000" s="5" t="s">
        <v>25</v>
      </c>
      <c r="P2000" s="6" t="s">
        <v>25</v>
      </c>
      <c r="Q2000" s="5" t="s">
        <v>25</v>
      </c>
      <c r="R2000" s="5" t="s">
        <v>25</v>
      </c>
      <c r="S2000" s="5" t="str">
        <f>VLOOKUP(A2000,Sheet2!$A$2:$R$3432,18,0)</f>
        <v>JF49E8137006</v>
      </c>
      <c r="T2000" s="7" t="str">
        <f>VLOOKUP(A2000,Sheet2!$A$2:$R$3432,17,0)</f>
        <v>ME4JF493LG8315707</v>
      </c>
    </row>
    <row r="2001" ht="15.75" customHeight="1">
      <c r="A2001" s="3" t="s">
        <v>2024</v>
      </c>
      <c r="B2001" s="4" t="str">
        <f>VLOOKUP(A2001,Sheet2!$A$2:$R$3432,2,0)</f>
        <v>2024-08-11 20:26:40</v>
      </c>
      <c r="C2001" s="5" t="s">
        <v>25</v>
      </c>
      <c r="D2001" s="6" t="s">
        <v>25</v>
      </c>
      <c r="E2001" s="7">
        <f>VLOOKUP(A2001,Sheet2!$A$2:$R$3432,4,0)</f>
        <v>9766930474</v>
      </c>
      <c r="F2001" s="7" t="str">
        <f>VLOOKUP(A2001,Sheet2!$A$2:$R$3432,3,0)</f>
        <v>MANOJ SUKAPURE</v>
      </c>
      <c r="G2001" s="5" t="s">
        <v>25</v>
      </c>
      <c r="H2001" s="5" t="s">
        <v>25</v>
      </c>
      <c r="I2001" s="5" t="s">
        <v>25</v>
      </c>
      <c r="J2001" s="5" t="s">
        <v>25</v>
      </c>
      <c r="K2001" s="7" t="str">
        <f>VLOOKUP(A2001,Sheet2!$A$2:$R$3432,6,0)</f>
        <v>Honda Shine 125</v>
      </c>
      <c r="L2001" s="5" t="s">
        <v>25</v>
      </c>
      <c r="M2001" s="7" t="str">
        <f>VLOOKUP(A2001,Sheet2!$A$2:$R$3432,5,0)</f>
        <v>MH12JT6447</v>
      </c>
      <c r="N2001" s="5" t="s">
        <v>25</v>
      </c>
      <c r="O2001" s="5" t="s">
        <v>25</v>
      </c>
      <c r="P2001" s="6" t="s">
        <v>25</v>
      </c>
      <c r="Q2001" s="5" t="s">
        <v>25</v>
      </c>
      <c r="R2001" s="5" t="s">
        <v>25</v>
      </c>
      <c r="S2001" s="5" t="str">
        <f>VLOOKUP(A2001,Sheet2!$A$2:$R$3432,18,0)</f>
        <v>JC36E77434611</v>
      </c>
      <c r="T2001" s="7" t="str">
        <f>VLOOKUP(A2001,Sheet2!$A$2:$R$3432,17,0)</f>
        <v>ME4JC36JAD7284432</v>
      </c>
    </row>
    <row r="2002" ht="15.75" customHeight="1">
      <c r="A2002" s="3" t="s">
        <v>2025</v>
      </c>
      <c r="B2002" s="4" t="str">
        <f>VLOOKUP(A2002,Sheet2!$A$2:$R$3432,2,0)</f>
        <v>2024-08-11 19:55:13</v>
      </c>
      <c r="C2002" s="5" t="s">
        <v>25</v>
      </c>
      <c r="D2002" s="6" t="s">
        <v>25</v>
      </c>
      <c r="E2002" s="7">
        <f>VLOOKUP(A2002,Sheet2!$A$2:$R$3432,4,0)</f>
        <v>9075010601</v>
      </c>
      <c r="F2002" s="7" t="str">
        <f>VLOOKUP(A2002,Sheet2!$A$2:$R$3432,3,0)</f>
        <v>Harshal Bhat</v>
      </c>
      <c r="G2002" s="5" t="s">
        <v>25</v>
      </c>
      <c r="H2002" s="5" t="s">
        <v>25</v>
      </c>
      <c r="I2002" s="5" t="s">
        <v>25</v>
      </c>
      <c r="J2002" s="5" t="s">
        <v>25</v>
      </c>
      <c r="K2002" s="7" t="str">
        <f>VLOOKUP(A2002,Sheet2!$A$2:$R$3432,6,0)</f>
        <v>Honda Activa 5G</v>
      </c>
      <c r="L2002" s="5" t="s">
        <v>25</v>
      </c>
      <c r="M2002" s="7" t="str">
        <f>VLOOKUP(A2002,Sheet2!$A$2:$R$3432,5,0)</f>
        <v>MH14HP9583</v>
      </c>
      <c r="N2002" s="5" t="s">
        <v>25</v>
      </c>
      <c r="O2002" s="5" t="s">
        <v>25</v>
      </c>
      <c r="P2002" s="6" t="s">
        <v>25</v>
      </c>
      <c r="Q2002" s="5" t="s">
        <v>25</v>
      </c>
      <c r="R2002" s="5" t="s">
        <v>25</v>
      </c>
      <c r="S2002" s="5" t="str">
        <f>VLOOKUP(A2002,Sheet2!$A$2:$R$3432,18,0)</f>
        <v>JF50EW0009183</v>
      </c>
      <c r="T2002" s="7" t="str">
        <f>VLOOKUP(A2002,Sheet2!$A$2:$R$3432,17,0)</f>
        <v>ME4JF50ADKW009140</v>
      </c>
    </row>
    <row r="2003" ht="15.75" customHeight="1">
      <c r="A2003" s="3" t="s">
        <v>2026</v>
      </c>
      <c r="B2003" s="4" t="str">
        <f>VLOOKUP(A2003,Sheet2!$A$2:$R$3432,2,0)</f>
        <v>2024-08-11 20:30:25</v>
      </c>
      <c r="C2003" s="5" t="s">
        <v>25</v>
      </c>
      <c r="D2003" s="6" t="s">
        <v>25</v>
      </c>
      <c r="E2003" s="7">
        <f>VLOOKUP(A2003,Sheet2!$A$2:$R$3432,4,0)</f>
        <v>9665407374</v>
      </c>
      <c r="F2003" s="7" t="str">
        <f>VLOOKUP(A2003,Sheet2!$A$2:$R$3432,3,0)</f>
        <v>Sandeep Patil </v>
      </c>
      <c r="G2003" s="5" t="s">
        <v>25</v>
      </c>
      <c r="H2003" s="5" t="s">
        <v>25</v>
      </c>
      <c r="I2003" s="5" t="s">
        <v>25</v>
      </c>
      <c r="J2003" s="5" t="s">
        <v>25</v>
      </c>
      <c r="K2003" s="7" t="str">
        <f>VLOOKUP(A2003,Sheet2!$A$2:$R$3432,6,0)</f>
        <v>Honda Shine </v>
      </c>
      <c r="L2003" s="5" t="s">
        <v>25</v>
      </c>
      <c r="M2003" s="7" t="str">
        <f>VLOOKUP(A2003,Sheet2!$A$2:$R$3432,5,0)</f>
        <v>MH10CK9753</v>
      </c>
      <c r="N2003" s="5" t="s">
        <v>25</v>
      </c>
      <c r="O2003" s="5" t="s">
        <v>25</v>
      </c>
      <c r="P2003" s="6" t="s">
        <v>25</v>
      </c>
      <c r="Q2003" s="5" t="s">
        <v>25</v>
      </c>
      <c r="R2003" s="5" t="s">
        <v>25</v>
      </c>
      <c r="S2003" s="5" t="str">
        <f>VLOOKUP(A2003,Sheet2!$A$2:$R$3432,18,0)</f>
        <v>JC73ET06CD49850</v>
      </c>
      <c r="T2003" s="7" t="str">
        <f>VLOOKUP(A2003,Sheet2!$A$2:$R$3432,17,0)</f>
        <v>ME4JC732KGT021432</v>
      </c>
    </row>
    <row r="2004" ht="15.75" customHeight="1">
      <c r="A2004" s="3" t="s">
        <v>2027</v>
      </c>
      <c r="B2004" s="4" t="str">
        <f>VLOOKUP(A2004,Sheet2!$A$2:$R$3432,2,0)</f>
        <v>2024-08-11 21:29:42</v>
      </c>
      <c r="C2004" s="5" t="s">
        <v>25</v>
      </c>
      <c r="D2004" s="6" t="s">
        <v>25</v>
      </c>
      <c r="E2004" s="7">
        <f>VLOOKUP(A2004,Sheet2!$A$2:$R$3432,4,0)</f>
        <v>9922864460</v>
      </c>
      <c r="F2004" s="7" t="str">
        <f>VLOOKUP(A2004,Sheet2!$A$2:$R$3432,3,0)</f>
        <v>Atharva Shitole</v>
      </c>
      <c r="G2004" s="5" t="s">
        <v>25</v>
      </c>
      <c r="H2004" s="5" t="s">
        <v>25</v>
      </c>
      <c r="I2004" s="5" t="s">
        <v>25</v>
      </c>
      <c r="J2004" s="5" t="s">
        <v>25</v>
      </c>
      <c r="K2004" s="7" t="str">
        <f>VLOOKUP(A2004,Sheet2!$A$2:$R$3432,6,0)</f>
        <v>Honda Activa 6G</v>
      </c>
      <c r="L2004" s="5" t="s">
        <v>25</v>
      </c>
      <c r="M2004" s="7" t="str">
        <f>VLOOKUP(A2004,Sheet2!$A$2:$R$3432,5,0)</f>
        <v>MH14JN9263</v>
      </c>
      <c r="N2004" s="5" t="s">
        <v>25</v>
      </c>
      <c r="O2004" s="5" t="s">
        <v>25</v>
      </c>
      <c r="P2004" s="6" t="s">
        <v>25</v>
      </c>
      <c r="Q2004" s="5" t="s">
        <v>25</v>
      </c>
      <c r="R2004" s="5" t="s">
        <v>25</v>
      </c>
      <c r="S2004" s="7" t="str">
        <f>VLOOKUP(A2004,Sheet2!$A$2:$R$3432,18,0)</f>
        <v/>
      </c>
      <c r="T2004" s="7" t="str">
        <f>VLOOKUP(A2004,Sheet2!$A$2:$R$3432,17,0)</f>
        <v/>
      </c>
    </row>
    <row r="2005" ht="15.75" customHeight="1">
      <c r="A2005" s="3" t="s">
        <v>2028</v>
      </c>
      <c r="B2005" s="4" t="str">
        <f>VLOOKUP(A2005,Sheet2!$A$2:$R$3432,2,0)</f>
        <v>2024-08-11 20:51:24</v>
      </c>
      <c r="C2005" s="5" t="s">
        <v>25</v>
      </c>
      <c r="D2005" s="6" t="s">
        <v>25</v>
      </c>
      <c r="E2005" s="7">
        <f>VLOOKUP(A2005,Sheet2!$A$2:$R$3432,4,0)</f>
        <v>9619664133</v>
      </c>
      <c r="F2005" s="7" t="str">
        <f>VLOOKUP(A2005,Sheet2!$A$2:$R$3432,3,0)</f>
        <v>HIMANSHU </v>
      </c>
      <c r="G2005" s="5" t="s">
        <v>25</v>
      </c>
      <c r="H2005" s="5" t="s">
        <v>25</v>
      </c>
      <c r="I2005" s="5" t="s">
        <v>25</v>
      </c>
      <c r="J2005" s="5" t="s">
        <v>25</v>
      </c>
      <c r="K2005" s="7" t="str">
        <f>VLOOKUP(A2005,Sheet2!$A$2:$R$3432,6,0)</f>
        <v>Hero Pleasure </v>
      </c>
      <c r="L2005" s="5" t="s">
        <v>25</v>
      </c>
      <c r="M2005" s="7" t="str">
        <f>VLOOKUP(A2005,Sheet2!$A$2:$R$3432,5,0)</f>
        <v>MH14CV0729</v>
      </c>
      <c r="N2005" s="5" t="s">
        <v>25</v>
      </c>
      <c r="O2005" s="5" t="s">
        <v>25</v>
      </c>
      <c r="P2005" s="6" t="s">
        <v>25</v>
      </c>
      <c r="Q2005" s="5" t="s">
        <v>25</v>
      </c>
      <c r="R2005" s="5" t="s">
        <v>25</v>
      </c>
      <c r="S2005" s="7" t="str">
        <f>VLOOKUP(A2005,Sheet2!$A$2:$R$3432,18,0)</f>
        <v/>
      </c>
      <c r="T2005" s="7" t="str">
        <f>VLOOKUP(A2005,Sheet2!$A$2:$R$3432,17,0)</f>
        <v/>
      </c>
    </row>
    <row r="2006" ht="15.75" customHeight="1">
      <c r="A2006" s="3" t="s">
        <v>2029</v>
      </c>
      <c r="B2006" s="4" t="str">
        <f>VLOOKUP(A2006,Sheet2!$A$2:$R$3432,2,0)</f>
        <v>2024-08-11 20:32:33</v>
      </c>
      <c r="C2006" s="5" t="s">
        <v>25</v>
      </c>
      <c r="D2006" s="6" t="s">
        <v>25</v>
      </c>
      <c r="E2006" s="7">
        <f>VLOOKUP(A2006,Sheet2!$A$2:$R$3432,4,0)</f>
        <v>8888845573</v>
      </c>
      <c r="F2006" s="7" t="str">
        <f>VLOOKUP(A2006,Sheet2!$A$2:$R$3432,3,0)</f>
        <v>Tushar </v>
      </c>
      <c r="G2006" s="5" t="s">
        <v>25</v>
      </c>
      <c r="H2006" s="5" t="s">
        <v>25</v>
      </c>
      <c r="I2006" s="5" t="s">
        <v>25</v>
      </c>
      <c r="J2006" s="5" t="s">
        <v>25</v>
      </c>
      <c r="K2006" s="7" t="str">
        <f>VLOOKUP(A2006,Sheet2!$A$2:$R$3432,6,0)</f>
        <v>TVS Apache RTR 180 New</v>
      </c>
      <c r="L2006" s="5" t="s">
        <v>25</v>
      </c>
      <c r="M2006" s="7" t="str">
        <f>VLOOKUP(A2006,Sheet2!$A$2:$R$3432,5,0)</f>
        <v>MH12KB6604</v>
      </c>
      <c r="N2006" s="5" t="s">
        <v>25</v>
      </c>
      <c r="O2006" s="5" t="s">
        <v>25</v>
      </c>
      <c r="P2006" s="6" t="s">
        <v>25</v>
      </c>
      <c r="Q2006" s="5" t="s">
        <v>25</v>
      </c>
      <c r="R2006" s="5" t="s">
        <v>25</v>
      </c>
      <c r="S2006" s="5" t="str">
        <f>VLOOKUP(A2006,Sheet2!$A$2:$R$3432,18,0)</f>
        <v>OE6CD2199830</v>
      </c>
      <c r="T2006" s="7" t="str">
        <f>VLOOKUP(A2006,Sheet2!$A$2:$R$3432,17,0)</f>
        <v>MB634KE6XD2C69008</v>
      </c>
    </row>
    <row r="2007" ht="15.75" customHeight="1">
      <c r="A2007" s="3" t="s">
        <v>2030</v>
      </c>
      <c r="B2007" s="4" t="str">
        <f>VLOOKUP(A2007,Sheet2!$A$2:$R$3432,2,0)</f>
        <v>2024-08-11 20:44:56</v>
      </c>
      <c r="C2007" s="5" t="s">
        <v>25</v>
      </c>
      <c r="D2007" s="6" t="s">
        <v>25</v>
      </c>
      <c r="E2007" s="7">
        <f>VLOOKUP(A2007,Sheet2!$A$2:$R$3432,4,0)</f>
        <v>9960607080</v>
      </c>
      <c r="F2007" s="7" t="str">
        <f>VLOOKUP(A2007,Sheet2!$A$2:$R$3432,3,0)</f>
        <v>Nikhil Bhambre</v>
      </c>
      <c r="G2007" s="5" t="s">
        <v>25</v>
      </c>
      <c r="H2007" s="5" t="s">
        <v>25</v>
      </c>
      <c r="I2007" s="5" t="s">
        <v>25</v>
      </c>
      <c r="J2007" s="5" t="s">
        <v>25</v>
      </c>
      <c r="K2007" s="7" t="str">
        <f>VLOOKUP(A2007,Sheet2!$A$2:$R$3432,6,0)</f>
        <v>Hero Passion Pro</v>
      </c>
      <c r="L2007" s="5" t="s">
        <v>25</v>
      </c>
      <c r="M2007" s="7" t="str">
        <f>VLOOKUP(A2007,Sheet2!$A$2:$R$3432,5,0)</f>
        <v>MH15DB4221</v>
      </c>
      <c r="N2007" s="5" t="s">
        <v>25</v>
      </c>
      <c r="O2007" s="5" t="s">
        <v>25</v>
      </c>
      <c r="P2007" s="6" t="s">
        <v>25</v>
      </c>
      <c r="Q2007" s="5" t="s">
        <v>25</v>
      </c>
      <c r="R2007" s="5" t="s">
        <v>25</v>
      </c>
      <c r="S2007" s="7" t="str">
        <f>VLOOKUP(A2007,Sheet2!$A$2:$R$3432,18,0)</f>
        <v/>
      </c>
      <c r="T2007" s="7" t="str">
        <f>VLOOKUP(A2007,Sheet2!$A$2:$R$3432,17,0)</f>
        <v>MBLHA10EWBHD28234</v>
      </c>
    </row>
    <row r="2008" ht="15.75" customHeight="1">
      <c r="A2008" s="3" t="s">
        <v>2031</v>
      </c>
      <c r="B2008" s="4" t="str">
        <f>VLOOKUP(A2008,Sheet2!$A$2:$R$3432,2,0)</f>
        <v>2024-08-11 20:47:56</v>
      </c>
      <c r="C2008" s="5" t="s">
        <v>25</v>
      </c>
      <c r="D2008" s="6" t="s">
        <v>25</v>
      </c>
      <c r="E2008" s="7">
        <f>VLOOKUP(A2008,Sheet2!$A$2:$R$3432,4,0)</f>
        <v>9930807660</v>
      </c>
      <c r="F2008" s="7" t="str">
        <f>VLOOKUP(A2008,Sheet2!$A$2:$R$3432,3,0)</f>
        <v>Nilesh Saini</v>
      </c>
      <c r="G2008" s="5" t="s">
        <v>25</v>
      </c>
      <c r="H2008" s="5" t="s">
        <v>25</v>
      </c>
      <c r="I2008" s="5" t="s">
        <v>25</v>
      </c>
      <c r="J2008" s="5" t="s">
        <v>25</v>
      </c>
      <c r="K2008" s="7" t="str">
        <f>VLOOKUP(A2008,Sheet2!$A$2:$R$3432,6,0)</f>
        <v>TVS Jupiter </v>
      </c>
      <c r="L2008" s="5" t="s">
        <v>25</v>
      </c>
      <c r="M2008" s="7" t="str">
        <f>VLOOKUP(A2008,Sheet2!$A$2:$R$3432,5,0)</f>
        <v>MH14KR8553</v>
      </c>
      <c r="N2008" s="5" t="s">
        <v>25</v>
      </c>
      <c r="O2008" s="5" t="s">
        <v>25</v>
      </c>
      <c r="P2008" s="6" t="s">
        <v>25</v>
      </c>
      <c r="Q2008" s="5" t="s">
        <v>25</v>
      </c>
      <c r="R2008" s="5" t="s">
        <v>25</v>
      </c>
      <c r="S2008" s="5" t="str">
        <f>VLOOKUP(A2008,Sheet2!$A$2:$R$3432,18,0)</f>
        <v>DG5CP1X05519</v>
      </c>
      <c r="T2008" s="7" t="str">
        <f>VLOOKUP(A2008,Sheet2!$A$2:$R$3432,17,0)</f>
        <v>MD626CG58P1C10324</v>
      </c>
    </row>
    <row r="2009" ht="15.75" customHeight="1">
      <c r="A2009" s="3" t="s">
        <v>2032</v>
      </c>
      <c r="B2009" s="4" t="str">
        <f>VLOOKUP(A2009,Sheet2!$A$2:$R$3432,2,0)</f>
        <v>2024-08-11 20:49:10</v>
      </c>
      <c r="C2009" s="5" t="s">
        <v>25</v>
      </c>
      <c r="D2009" s="6" t="s">
        <v>25</v>
      </c>
      <c r="E2009" s="7">
        <f>VLOOKUP(A2009,Sheet2!$A$2:$R$3432,4,0)</f>
        <v>8600702668</v>
      </c>
      <c r="F2009" s="7" t="str">
        <f>VLOOKUP(A2009,Sheet2!$A$2:$R$3432,3,0)</f>
        <v>Om Gotale</v>
      </c>
      <c r="G2009" s="5" t="s">
        <v>25</v>
      </c>
      <c r="H2009" s="5" t="s">
        <v>25</v>
      </c>
      <c r="I2009" s="5" t="s">
        <v>25</v>
      </c>
      <c r="J2009" s="5" t="s">
        <v>25</v>
      </c>
      <c r="K2009" s="7" t="str">
        <f>VLOOKUP(A2009,Sheet2!$A$2:$R$3432,6,0)</f>
        <v>TVS Rider 125</v>
      </c>
      <c r="L2009" s="5" t="s">
        <v>25</v>
      </c>
      <c r="M2009" s="7" t="str">
        <f>VLOOKUP(A2009,Sheet2!$A$2:$R$3432,5,0)</f>
        <v>MH24BT3976</v>
      </c>
      <c r="N2009" s="5" t="s">
        <v>25</v>
      </c>
      <c r="O2009" s="5" t="s">
        <v>25</v>
      </c>
      <c r="P2009" s="6" t="s">
        <v>25</v>
      </c>
      <c r="Q2009" s="5" t="s">
        <v>25</v>
      </c>
      <c r="R2009" s="5" t="s">
        <v>25</v>
      </c>
      <c r="S2009" s="5" t="str">
        <f>VLOOKUP(A2009,Sheet2!$A$2:$R$3432,18,0)</f>
        <v>AF9FF1718540</v>
      </c>
      <c r="T2009" s="7" t="str">
        <f>VLOOKUP(A2009,Sheet2!$A$2:$R$3432,17,0)</f>
        <v>MD625AF93P1F18724</v>
      </c>
    </row>
    <row r="2010" ht="15.75" customHeight="1">
      <c r="A2010" s="3" t="s">
        <v>2033</v>
      </c>
      <c r="B2010" s="4" t="str">
        <f>VLOOKUP(A2010,Sheet2!$A$2:$R$3432,2,0)</f>
        <v>2024-08-11 19:56:18</v>
      </c>
      <c r="C2010" s="5" t="s">
        <v>25</v>
      </c>
      <c r="D2010" s="6" t="s">
        <v>25</v>
      </c>
      <c r="E2010" s="7">
        <f>VLOOKUP(A2010,Sheet2!$A$2:$R$3432,4,0)</f>
        <v>8380071088</v>
      </c>
      <c r="F2010" s="7" t="str">
        <f>VLOOKUP(A2010,Sheet2!$A$2:$R$3432,3,0)</f>
        <v>CHINAR</v>
      </c>
      <c r="G2010" s="5" t="s">
        <v>25</v>
      </c>
      <c r="H2010" s="5" t="s">
        <v>25</v>
      </c>
      <c r="I2010" s="5" t="s">
        <v>25</v>
      </c>
      <c r="J2010" s="5" t="s">
        <v>25</v>
      </c>
      <c r="K2010" s="7" t="str">
        <f>VLOOKUP(A2010,Sheet2!$A$2:$R$3432,6,0)</f>
        <v>Suzuki Access 125</v>
      </c>
      <c r="L2010" s="5" t="s">
        <v>25</v>
      </c>
      <c r="M2010" s="7" t="str">
        <f>VLOOKUP(A2010,Sheet2!$A$2:$R$3432,5,0)</f>
        <v>MH14CV9013</v>
      </c>
      <c r="N2010" s="5" t="s">
        <v>25</v>
      </c>
      <c r="O2010" s="5" t="s">
        <v>25</v>
      </c>
      <c r="P2010" s="6" t="s">
        <v>25</v>
      </c>
      <c r="Q2010" s="5" t="s">
        <v>25</v>
      </c>
      <c r="R2010" s="5" t="s">
        <v>25</v>
      </c>
      <c r="S2010" s="7" t="str">
        <f>VLOOKUP(A2010,Sheet2!$A$2:$R$3432,18,0)</f>
        <v/>
      </c>
      <c r="T2010" s="7" t="str">
        <f>VLOOKUP(A2010,Sheet2!$A$2:$R$3432,17,0)</f>
        <v/>
      </c>
    </row>
    <row r="2011" ht="15.75" customHeight="1">
      <c r="A2011" s="3" t="s">
        <v>2034</v>
      </c>
      <c r="B2011" s="4" t="str">
        <f>VLOOKUP(A2011,Sheet2!$A$2:$R$3432,2,0)</f>
        <v>2024-08-11 20:01:43</v>
      </c>
      <c r="C2011" s="5" t="s">
        <v>25</v>
      </c>
      <c r="D2011" s="6" t="s">
        <v>25</v>
      </c>
      <c r="E2011" s="7">
        <f>VLOOKUP(A2011,Sheet2!$A$2:$R$3432,4,0)</f>
        <v>9373825616</v>
      </c>
      <c r="F2011" s="7" t="str">
        <f>VLOOKUP(A2011,Sheet2!$A$2:$R$3432,3,0)</f>
        <v>Gaurav Kaple </v>
      </c>
      <c r="G2011" s="5" t="s">
        <v>25</v>
      </c>
      <c r="H2011" s="5" t="s">
        <v>25</v>
      </c>
      <c r="I2011" s="5" t="s">
        <v>25</v>
      </c>
      <c r="J2011" s="5" t="s">
        <v>25</v>
      </c>
      <c r="K2011" s="7" t="str">
        <f>VLOOKUP(A2011,Sheet2!$A$2:$R$3432,6,0)</f>
        <v>Suzuki Access </v>
      </c>
      <c r="L2011" s="5" t="s">
        <v>25</v>
      </c>
      <c r="M2011" s="7" t="str">
        <f>VLOOKUP(A2011,Sheet2!$A$2:$R$3432,5,0)</f>
        <v>MH14KK2266</v>
      </c>
      <c r="N2011" s="5" t="s">
        <v>25</v>
      </c>
      <c r="O2011" s="5" t="s">
        <v>25</v>
      </c>
      <c r="P2011" s="6" t="s">
        <v>25</v>
      </c>
      <c r="Q2011" s="5" t="s">
        <v>25</v>
      </c>
      <c r="R2011" s="5" t="s">
        <v>25</v>
      </c>
      <c r="S2011" s="5" t="str">
        <f>VLOOKUP(A2011,Sheet2!$A$2:$R$3432,18,0)</f>
        <v>AF212937433</v>
      </c>
      <c r="T2011" s="7" t="str">
        <f>VLOOKUP(A2011,Sheet2!$A$2:$R$3432,17,0)</f>
        <v>MB8DP12DJN8D05942</v>
      </c>
    </row>
    <row r="2012" ht="15.75" customHeight="1">
      <c r="A2012" s="3" t="s">
        <v>2035</v>
      </c>
      <c r="B2012" s="4" t="str">
        <f>VLOOKUP(A2012,Sheet2!$A$2:$R$3432,2,0)</f>
        <v>2024-08-11 20:05:40</v>
      </c>
      <c r="C2012" s="5" t="s">
        <v>25</v>
      </c>
      <c r="D2012" s="6" t="s">
        <v>25</v>
      </c>
      <c r="E2012" s="7">
        <f>VLOOKUP(A2012,Sheet2!$A$2:$R$3432,4,0)</f>
        <v>9096460485</v>
      </c>
      <c r="F2012" s="7" t="str">
        <f>VLOOKUP(A2012,Sheet2!$A$2:$R$3432,3,0)</f>
        <v>Rohan </v>
      </c>
      <c r="G2012" s="5" t="s">
        <v>25</v>
      </c>
      <c r="H2012" s="5" t="s">
        <v>25</v>
      </c>
      <c r="I2012" s="5" t="s">
        <v>25</v>
      </c>
      <c r="J2012" s="5" t="s">
        <v>25</v>
      </c>
      <c r="K2012" s="7" t="str">
        <f>VLOOKUP(A2012,Sheet2!$A$2:$R$3432,6,0)</f>
        <v>Honda Activa 3G</v>
      </c>
      <c r="L2012" s="5" t="s">
        <v>25</v>
      </c>
      <c r="M2012" s="7" t="str">
        <f>VLOOKUP(A2012,Sheet2!$A$2:$R$3432,5,0)</f>
        <v>MH14FY7706</v>
      </c>
      <c r="N2012" s="5" t="s">
        <v>25</v>
      </c>
      <c r="O2012" s="5" t="s">
        <v>25</v>
      </c>
      <c r="P2012" s="6" t="s">
        <v>25</v>
      </c>
      <c r="Q2012" s="5" t="s">
        <v>25</v>
      </c>
      <c r="R2012" s="5" t="s">
        <v>25</v>
      </c>
      <c r="S2012" s="5" t="str">
        <f>VLOOKUP(A2012,Sheet2!$A$2:$R$3432,18,0)</f>
        <v>JF50EUG038778</v>
      </c>
      <c r="T2012" s="7" t="str">
        <f>VLOOKUP(A2012,Sheet2!$A$2:$R$3432,17,0)</f>
        <v>ME4JF509LGU038742</v>
      </c>
    </row>
    <row r="2013" ht="15.75" customHeight="1">
      <c r="A2013" s="3" t="s">
        <v>2036</v>
      </c>
      <c r="B2013" s="4" t="str">
        <f>VLOOKUP(A2013,Sheet2!$A$2:$R$3432,2,0)</f>
        <v>2024-08-11 20:20:26</v>
      </c>
      <c r="C2013" s="5" t="s">
        <v>25</v>
      </c>
      <c r="D2013" s="6" t="s">
        <v>25</v>
      </c>
      <c r="E2013" s="7">
        <f>VLOOKUP(A2013,Sheet2!$A$2:$R$3432,4,0)</f>
        <v>9601997402</v>
      </c>
      <c r="F2013" s="7" t="str">
        <f>VLOOKUP(A2013,Sheet2!$A$2:$R$3432,3,0)</f>
        <v>Sharvil</v>
      </c>
      <c r="G2013" s="5" t="s">
        <v>25</v>
      </c>
      <c r="H2013" s="5" t="s">
        <v>25</v>
      </c>
      <c r="I2013" s="5" t="s">
        <v>25</v>
      </c>
      <c r="J2013" s="5" t="s">
        <v>25</v>
      </c>
      <c r="K2013" s="7" t="str">
        <f>VLOOKUP(A2013,Sheet2!$A$2:$R$3432,6,0)</f>
        <v>TVS Jupiter </v>
      </c>
      <c r="L2013" s="5" t="s">
        <v>25</v>
      </c>
      <c r="M2013" s="7" t="str">
        <f>VLOOKUP(A2013,Sheet2!$A$2:$R$3432,5,0)</f>
        <v>MH12UH8027</v>
      </c>
      <c r="N2013" s="5" t="s">
        <v>25</v>
      </c>
      <c r="O2013" s="5" t="s">
        <v>25</v>
      </c>
      <c r="P2013" s="6" t="s">
        <v>25</v>
      </c>
      <c r="Q2013" s="5" t="s">
        <v>25</v>
      </c>
      <c r="R2013" s="5" t="s">
        <v>25</v>
      </c>
      <c r="S2013" s="5" t="str">
        <f>VLOOKUP(A2013,Sheet2!$A$2:$R$3432,18,0)</f>
        <v>EG5EN12005828</v>
      </c>
      <c r="T2013" s="7" t="str">
        <f>VLOOKUP(A2013,Sheet2!$A$2:$R$3432,17,0)</f>
        <v>MD62CG56NE02323</v>
      </c>
    </row>
    <row r="2014" ht="15.75" customHeight="1">
      <c r="A2014" s="3" t="s">
        <v>2037</v>
      </c>
      <c r="B2014" s="4" t="str">
        <f>VLOOKUP(A2014,Sheet2!$A$2:$R$3432,2,0)</f>
        <v>2024-08-11 20:18:31</v>
      </c>
      <c r="C2014" s="5" t="s">
        <v>25</v>
      </c>
      <c r="D2014" s="6" t="s">
        <v>25</v>
      </c>
      <c r="E2014" s="7">
        <f>VLOOKUP(A2014,Sheet2!$A$2:$R$3432,4,0)</f>
        <v>9730477907</v>
      </c>
      <c r="F2014" s="7" t="str">
        <f>VLOOKUP(A2014,Sheet2!$A$2:$R$3432,3,0)</f>
        <v>Hansita</v>
      </c>
      <c r="G2014" s="5" t="s">
        <v>25</v>
      </c>
      <c r="H2014" s="5" t="s">
        <v>25</v>
      </c>
      <c r="I2014" s="5" t="s">
        <v>25</v>
      </c>
      <c r="J2014" s="5" t="s">
        <v>25</v>
      </c>
      <c r="K2014" s="7" t="str">
        <f>VLOOKUP(A2014,Sheet2!$A$2:$R$3432,6,0)</f>
        <v>Honda Activa 3G</v>
      </c>
      <c r="L2014" s="5" t="s">
        <v>25</v>
      </c>
      <c r="M2014" s="7" t="str">
        <f>VLOOKUP(A2014,Sheet2!$A$2:$R$3432,5,0)</f>
        <v>MH12NC6110</v>
      </c>
      <c r="N2014" s="5" t="s">
        <v>25</v>
      </c>
      <c r="O2014" s="5" t="s">
        <v>25</v>
      </c>
      <c r="P2014" s="6" t="s">
        <v>25</v>
      </c>
      <c r="Q2014" s="5" t="s">
        <v>25</v>
      </c>
      <c r="R2014" s="5" t="s">
        <v>25</v>
      </c>
      <c r="S2014" s="5" t="str">
        <f>VLOOKUP(A2014,Sheet2!$A$2:$R$3432,18,0)</f>
        <v>JG50EU3112700</v>
      </c>
      <c r="T2014" s="7" t="str">
        <f>VLOOKUP(A2014,Sheet2!$A$2:$R$3432,17,0)</f>
        <v>ME4JF505EGU112837</v>
      </c>
    </row>
    <row r="2015" ht="15.75" customHeight="1">
      <c r="A2015" s="3" t="s">
        <v>2038</v>
      </c>
      <c r="B2015" s="4" t="str">
        <f>VLOOKUP(A2015,Sheet2!$A$2:$R$3432,2,0)</f>
        <v>2024-08-11 20:28:35</v>
      </c>
      <c r="C2015" s="5" t="s">
        <v>25</v>
      </c>
      <c r="D2015" s="6" t="s">
        <v>25</v>
      </c>
      <c r="E2015" s="7">
        <f>VLOOKUP(A2015,Sheet2!$A$2:$R$3432,4,0)</f>
        <v>9146800595</v>
      </c>
      <c r="F2015" s="7" t="str">
        <f>VLOOKUP(A2015,Sheet2!$A$2:$R$3432,3,0)</f>
        <v>RAHUL SANGALE</v>
      </c>
      <c r="G2015" s="5" t="s">
        <v>25</v>
      </c>
      <c r="H2015" s="5" t="s">
        <v>25</v>
      </c>
      <c r="I2015" s="5" t="s">
        <v>25</v>
      </c>
      <c r="J2015" s="5" t="s">
        <v>25</v>
      </c>
      <c r="K2015" s="7" t="str">
        <f>VLOOKUP(A2015,Sheet2!$A$2:$R$3432,6,0)</f>
        <v>Honda Shine SP</v>
      </c>
      <c r="L2015" s="5" t="s">
        <v>25</v>
      </c>
      <c r="M2015" s="7" t="str">
        <f>VLOOKUP(A2015,Sheet2!$A$2:$R$3432,5,0)</f>
        <v>MH21BC7634</v>
      </c>
      <c r="N2015" s="5" t="s">
        <v>25</v>
      </c>
      <c r="O2015" s="5" t="s">
        <v>25</v>
      </c>
      <c r="P2015" s="6" t="s">
        <v>25</v>
      </c>
      <c r="Q2015" s="5" t="s">
        <v>25</v>
      </c>
      <c r="R2015" s="5" t="s">
        <v>25</v>
      </c>
      <c r="S2015" s="5" t="str">
        <f>VLOOKUP(A2015,Sheet2!$A$2:$R$3432,18,0)</f>
        <v>JC65ET1064874</v>
      </c>
      <c r="T2015" s="7" t="str">
        <f>VLOOKUP(A2015,Sheet2!$A$2:$R$3432,17,0)</f>
        <v>ME4JC654EHT40803</v>
      </c>
    </row>
    <row r="2016" ht="15.75" customHeight="1">
      <c r="A2016" s="3" t="s">
        <v>2039</v>
      </c>
      <c r="B2016" s="4" t="str">
        <f>VLOOKUP(A2016,Sheet2!$A$2:$R$3432,2,0)</f>
        <v>2024-08-11 20:34:36</v>
      </c>
      <c r="C2016" s="5" t="s">
        <v>25</v>
      </c>
      <c r="D2016" s="6" t="s">
        <v>25</v>
      </c>
      <c r="E2016" s="7">
        <f>VLOOKUP(A2016,Sheet2!$A$2:$R$3432,4,0)</f>
        <v>7720993140</v>
      </c>
      <c r="F2016" s="7" t="str">
        <f>VLOOKUP(A2016,Sheet2!$A$2:$R$3432,3,0)</f>
        <v>Mangesh Hamborde</v>
      </c>
      <c r="G2016" s="5" t="s">
        <v>25</v>
      </c>
      <c r="H2016" s="5" t="s">
        <v>25</v>
      </c>
      <c r="I2016" s="5" t="s">
        <v>25</v>
      </c>
      <c r="J2016" s="5" t="s">
        <v>25</v>
      </c>
      <c r="K2016" s="7" t="str">
        <f>VLOOKUP(A2016,Sheet2!$A$2:$R$3432,6,0)</f>
        <v>Honda Shine No Data</v>
      </c>
      <c r="L2016" s="5" t="s">
        <v>25</v>
      </c>
      <c r="M2016" s="7" t="str">
        <f>VLOOKUP(A2016,Sheet2!$A$2:$R$3432,5,0)</f>
        <v>MH20EB8015</v>
      </c>
      <c r="N2016" s="5" t="s">
        <v>25</v>
      </c>
      <c r="O2016" s="5" t="s">
        <v>25</v>
      </c>
      <c r="P2016" s="6" t="s">
        <v>25</v>
      </c>
      <c r="Q2016" s="5" t="s">
        <v>25</v>
      </c>
      <c r="R2016" s="5" t="s">
        <v>25</v>
      </c>
      <c r="S2016" s="5" t="str">
        <f>VLOOKUP(A2016,Sheet2!$A$2:$R$3432,18,0)</f>
        <v>JC73E10015602</v>
      </c>
      <c r="T2016" s="7" t="str">
        <f>VLOOKUP(A2016,Sheet2!$A$2:$R$3432,17,0)</f>
        <v>ME4JC731JGT008439</v>
      </c>
    </row>
    <row r="2017" ht="15.75" customHeight="1">
      <c r="A2017" s="3" t="s">
        <v>2040</v>
      </c>
      <c r="B2017" s="4" t="str">
        <f>VLOOKUP(A2017,Sheet2!$A$2:$R$3432,2,0)</f>
        <v>2024-08-11 20:31:30</v>
      </c>
      <c r="C2017" s="5" t="s">
        <v>25</v>
      </c>
      <c r="D2017" s="6" t="s">
        <v>25</v>
      </c>
      <c r="E2017" s="7">
        <f>VLOOKUP(A2017,Sheet2!$A$2:$R$3432,4,0)</f>
        <v>9921725353</v>
      </c>
      <c r="F2017" s="7" t="str">
        <f>VLOOKUP(A2017,Sheet2!$A$2:$R$3432,3,0)</f>
        <v>AJAY CHAUHAN</v>
      </c>
      <c r="G2017" s="5" t="s">
        <v>25</v>
      </c>
      <c r="H2017" s="5" t="s">
        <v>25</v>
      </c>
      <c r="I2017" s="5" t="s">
        <v>25</v>
      </c>
      <c r="J2017" s="5" t="s">
        <v>25</v>
      </c>
      <c r="K2017" s="7" t="str">
        <f>VLOOKUP(A2017,Sheet2!$A$2:$R$3432,6,0)</f>
        <v>Honda Shine HET</v>
      </c>
      <c r="L2017" s="5" t="s">
        <v>25</v>
      </c>
      <c r="M2017" s="7" t="str">
        <f>VLOOKUP(A2017,Sheet2!$A$2:$R$3432,5,0)</f>
        <v>MH12MY8063</v>
      </c>
      <c r="N2017" s="5" t="s">
        <v>25</v>
      </c>
      <c r="O2017" s="5" t="s">
        <v>25</v>
      </c>
      <c r="P2017" s="6" t="s">
        <v>25</v>
      </c>
      <c r="Q2017" s="5" t="s">
        <v>25</v>
      </c>
      <c r="R2017" s="5" t="s">
        <v>25</v>
      </c>
      <c r="S2017" s="5" t="str">
        <f>VLOOKUP(A2017,Sheet2!$A$2:$R$3432,18,0)</f>
        <v>JC7380044703</v>
      </c>
      <c r="T2017" s="7" t="str">
        <f>VLOOKUP(A2017,Sheet2!$A$2:$R$3432,17,0)</f>
        <v>ME4JC731BG8019972</v>
      </c>
    </row>
    <row r="2018" ht="15.75" customHeight="1">
      <c r="A2018" s="3" t="s">
        <v>2041</v>
      </c>
      <c r="B2018" s="4" t="str">
        <f>VLOOKUP(A2018,Sheet2!$A$2:$R$3432,2,0)</f>
        <v>2024-08-11 20:33:42</v>
      </c>
      <c r="C2018" s="5" t="s">
        <v>25</v>
      </c>
      <c r="D2018" s="6" t="s">
        <v>25</v>
      </c>
      <c r="E2018" s="7">
        <f>VLOOKUP(A2018,Sheet2!$A$2:$R$3432,4,0)</f>
        <v>9922377380</v>
      </c>
      <c r="F2018" s="7" t="str">
        <f>VLOOKUP(A2018,Sheet2!$A$2:$R$3432,3,0)</f>
        <v>Vijay</v>
      </c>
      <c r="G2018" s="5" t="s">
        <v>25</v>
      </c>
      <c r="H2018" s="5" t="s">
        <v>25</v>
      </c>
      <c r="I2018" s="5" t="s">
        <v>25</v>
      </c>
      <c r="J2018" s="5" t="s">
        <v>25</v>
      </c>
      <c r="K2018" s="7" t="str">
        <f>VLOOKUP(A2018,Sheet2!$A$2:$R$3432,6,0)</f>
        <v>Honda Shine </v>
      </c>
      <c r="L2018" s="5" t="s">
        <v>25</v>
      </c>
      <c r="M2018" s="7" t="str">
        <f>VLOOKUP(A2018,Sheet2!$A$2:$R$3432,5,0)</f>
        <v>MH13DS6516</v>
      </c>
      <c r="N2018" s="5" t="s">
        <v>25</v>
      </c>
      <c r="O2018" s="5" t="s">
        <v>25</v>
      </c>
      <c r="P2018" s="6" t="s">
        <v>25</v>
      </c>
      <c r="Q2018" s="5" t="s">
        <v>25</v>
      </c>
      <c r="R2018" s="5" t="s">
        <v>25</v>
      </c>
      <c r="S2018" s="5" t="str">
        <f>VLOOKUP(A2018,Sheet2!$A$2:$R$3432,18,0)</f>
        <v>JC85EG0243137</v>
      </c>
      <c r="T2018" s="7" t="str">
        <f>VLOOKUP(A2018,Sheet2!$A$2:$R$3432,17,0)</f>
        <v>ME4JC855BMG048631</v>
      </c>
    </row>
    <row r="2019" ht="15.75" customHeight="1">
      <c r="A2019" s="3" t="s">
        <v>2042</v>
      </c>
      <c r="B2019" s="4" t="str">
        <f>VLOOKUP(A2019,Sheet2!$A$2:$R$3432,2,0)</f>
        <v>2024-08-11 20:40:47</v>
      </c>
      <c r="C2019" s="5" t="s">
        <v>25</v>
      </c>
      <c r="D2019" s="6" t="s">
        <v>25</v>
      </c>
      <c r="E2019" s="7">
        <f>VLOOKUP(A2019,Sheet2!$A$2:$R$3432,4,0)</f>
        <v>9595183679</v>
      </c>
      <c r="F2019" s="7" t="str">
        <f>VLOOKUP(A2019,Sheet2!$A$2:$R$3432,3,0)</f>
        <v>Sagar Rode</v>
      </c>
      <c r="G2019" s="5" t="s">
        <v>25</v>
      </c>
      <c r="H2019" s="5" t="s">
        <v>25</v>
      </c>
      <c r="I2019" s="5" t="s">
        <v>25</v>
      </c>
      <c r="J2019" s="5" t="s">
        <v>25</v>
      </c>
      <c r="K2019" s="7" t="str">
        <f>VLOOKUP(A2019,Sheet2!$A$2:$R$3432,6,0)</f>
        <v>Bajaj Pulsar 150</v>
      </c>
      <c r="L2019" s="5" t="s">
        <v>25</v>
      </c>
      <c r="M2019" s="7" t="str">
        <f>VLOOKUP(A2019,Sheet2!$A$2:$R$3432,5,0)</f>
        <v>MH12LR4192</v>
      </c>
      <c r="N2019" s="5" t="s">
        <v>25</v>
      </c>
      <c r="O2019" s="5" t="s">
        <v>25</v>
      </c>
      <c r="P2019" s="6" t="s">
        <v>25</v>
      </c>
      <c r="Q2019" s="5" t="s">
        <v>25</v>
      </c>
      <c r="R2019" s="5" t="s">
        <v>25</v>
      </c>
      <c r="S2019" s="5" t="str">
        <f>VLOOKUP(A2019,Sheet2!$A$2:$R$3432,18,0)</f>
        <v>DHZCEJ62430</v>
      </c>
      <c r="T2019" s="7" t="str">
        <f>VLOOKUP(A2019,Sheet2!$A$2:$R$3432,17,0)</f>
        <v>MD2A11CZ3CJ83203</v>
      </c>
    </row>
    <row r="2020" ht="15.75" customHeight="1">
      <c r="A2020" s="3" t="s">
        <v>2043</v>
      </c>
      <c r="B2020" s="4" t="str">
        <f>VLOOKUP(A2020,Sheet2!$A$2:$R$3432,2,0)</f>
        <v>2024-08-11 20:41:47</v>
      </c>
      <c r="C2020" s="5" t="s">
        <v>25</v>
      </c>
      <c r="D2020" s="6" t="s">
        <v>25</v>
      </c>
      <c r="E2020" s="7">
        <f>VLOOKUP(A2020,Sheet2!$A$2:$R$3432,4,0)</f>
        <v>9881150027</v>
      </c>
      <c r="F2020" s="7" t="str">
        <f>VLOOKUP(A2020,Sheet2!$A$2:$R$3432,3,0)</f>
        <v>Rupali</v>
      </c>
      <c r="G2020" s="5" t="s">
        <v>25</v>
      </c>
      <c r="H2020" s="5" t="s">
        <v>25</v>
      </c>
      <c r="I2020" s="5" t="s">
        <v>25</v>
      </c>
      <c r="J2020" s="5" t="s">
        <v>25</v>
      </c>
      <c r="K2020" s="7" t="str">
        <f>VLOOKUP(A2020,Sheet2!$A$2:$R$3432,6,0)</f>
        <v>Hero Pleasure New</v>
      </c>
      <c r="L2020" s="5" t="s">
        <v>25</v>
      </c>
      <c r="M2020" s="7" t="str">
        <f>VLOOKUP(A2020,Sheet2!$A$2:$R$3432,5,0)</f>
        <v>MH14ER7977</v>
      </c>
      <c r="N2020" s="5" t="s">
        <v>25</v>
      </c>
      <c r="O2020" s="5" t="s">
        <v>25</v>
      </c>
      <c r="P2020" s="6" t="s">
        <v>25</v>
      </c>
      <c r="Q2020" s="5" t="s">
        <v>25</v>
      </c>
      <c r="R2020" s="5" t="s">
        <v>25</v>
      </c>
      <c r="S2020" s="7" t="str">
        <f>VLOOKUP(A2020,Sheet2!$A$2:$R$3432,18,0)</f>
        <v/>
      </c>
      <c r="T2020" s="7" t="str">
        <f>VLOOKUP(A2020,Sheet2!$A$2:$R$3432,17,0)</f>
        <v>MBLJF16EHEGJ20353</v>
      </c>
    </row>
    <row r="2021" ht="15.75" customHeight="1">
      <c r="A2021" s="3" t="s">
        <v>2044</v>
      </c>
      <c r="B2021" s="4" t="str">
        <f>VLOOKUP(A2021,Sheet2!$A$2:$R$3432,2,0)</f>
        <v>2024-08-11 20:43:18</v>
      </c>
      <c r="C2021" s="5" t="s">
        <v>25</v>
      </c>
      <c r="D2021" s="6" t="s">
        <v>25</v>
      </c>
      <c r="E2021" s="7">
        <f>VLOOKUP(A2021,Sheet2!$A$2:$R$3432,4,0)</f>
        <v>9604700437</v>
      </c>
      <c r="F2021" s="7" t="str">
        <f>VLOOKUP(A2021,Sheet2!$A$2:$R$3432,3,0)</f>
        <v>Nilesh Gaikwad </v>
      </c>
      <c r="G2021" s="5" t="s">
        <v>25</v>
      </c>
      <c r="H2021" s="5" t="s">
        <v>25</v>
      </c>
      <c r="I2021" s="5" t="s">
        <v>25</v>
      </c>
      <c r="J2021" s="5" t="s">
        <v>25</v>
      </c>
      <c r="K2021" s="7" t="str">
        <f>VLOOKUP(A2021,Sheet2!$A$2:$R$3432,6,0)</f>
        <v>Honda Shine No Data</v>
      </c>
      <c r="L2021" s="5" t="s">
        <v>25</v>
      </c>
      <c r="M2021" s="7" t="str">
        <f>VLOOKUP(A2021,Sheet2!$A$2:$R$3432,5,0)</f>
        <v>MH14FN6108</v>
      </c>
      <c r="N2021" s="5" t="s">
        <v>25</v>
      </c>
      <c r="O2021" s="5" t="s">
        <v>25</v>
      </c>
      <c r="P2021" s="6" t="s">
        <v>25</v>
      </c>
      <c r="Q2021" s="5" t="s">
        <v>25</v>
      </c>
      <c r="R2021" s="5" t="s">
        <v>25</v>
      </c>
      <c r="S2021" s="5" t="str">
        <f>VLOOKUP(A2021,Sheet2!$A$2:$R$3432,18,0)</f>
        <v>JC65ET0324702</v>
      </c>
      <c r="T2021" s="7" t="str">
        <f>VLOOKUP(A2021,Sheet2!$A$2:$R$3432,17,0)</f>
        <v>ME4JC52CGT106037</v>
      </c>
    </row>
    <row r="2022" ht="15.75" customHeight="1">
      <c r="A2022" s="3" t="s">
        <v>2045</v>
      </c>
      <c r="B2022" s="4" t="str">
        <f>VLOOKUP(A2022,Sheet2!$A$2:$R$3432,2,0)</f>
        <v>2024-08-11 20:46:28</v>
      </c>
      <c r="C2022" s="5" t="s">
        <v>25</v>
      </c>
      <c r="D2022" s="6" t="s">
        <v>25</v>
      </c>
      <c r="E2022" s="7">
        <f>VLOOKUP(A2022,Sheet2!$A$2:$R$3432,4,0)</f>
        <v>9921637431</v>
      </c>
      <c r="F2022" s="7" t="str">
        <f>VLOOKUP(A2022,Sheet2!$A$2:$R$3432,3,0)</f>
        <v>Rishi Patil</v>
      </c>
      <c r="G2022" s="5" t="s">
        <v>25</v>
      </c>
      <c r="H2022" s="5" t="s">
        <v>25</v>
      </c>
      <c r="I2022" s="5" t="s">
        <v>25</v>
      </c>
      <c r="J2022" s="5" t="s">
        <v>25</v>
      </c>
      <c r="K2022" s="7" t="str">
        <f>VLOOKUP(A2022,Sheet2!$A$2:$R$3432,6,0)</f>
        <v>Suzuki Access 125</v>
      </c>
      <c r="L2022" s="5" t="s">
        <v>25</v>
      </c>
      <c r="M2022" s="7" t="str">
        <f>VLOOKUP(A2022,Sheet2!$A$2:$R$3432,5,0)</f>
        <v>MH14HE0954</v>
      </c>
      <c r="N2022" s="5" t="s">
        <v>25</v>
      </c>
      <c r="O2022" s="5" t="s">
        <v>25</v>
      </c>
      <c r="P2022" s="6" t="s">
        <v>25</v>
      </c>
      <c r="Q2022" s="5" t="s">
        <v>25</v>
      </c>
      <c r="R2022" s="5" t="s">
        <v>25</v>
      </c>
      <c r="S2022" s="5" t="str">
        <f>VLOOKUP(A2022,Sheet2!$A$2:$R$3432,18,0)</f>
        <v>AF211810256</v>
      </c>
      <c r="T2022" s="7" t="str">
        <f>VLOOKUP(A2022,Sheet2!$A$2:$R$3432,17,0)</f>
        <v>MB8DPMAJJ8041132</v>
      </c>
    </row>
    <row r="2023" ht="15.75" customHeight="1">
      <c r="A2023" s="3" t="s">
        <v>2046</v>
      </c>
      <c r="B2023" s="4" t="str">
        <f>VLOOKUP(A2023,Sheet2!$A$2:$R$3432,2,0)</f>
        <v>2024-08-11 20:07:47</v>
      </c>
      <c r="C2023" s="5" t="s">
        <v>25</v>
      </c>
      <c r="D2023" s="6" t="s">
        <v>25</v>
      </c>
      <c r="E2023" s="7">
        <f>VLOOKUP(A2023,Sheet2!$A$2:$R$3432,4,0)</f>
        <v>9689659756</v>
      </c>
      <c r="F2023" s="7" t="str">
        <f>VLOOKUP(A2023,Sheet2!$A$2:$R$3432,3,0)</f>
        <v>Chandbasha</v>
      </c>
      <c r="G2023" s="5" t="s">
        <v>25</v>
      </c>
      <c r="H2023" s="5" t="s">
        <v>25</v>
      </c>
      <c r="I2023" s="5" t="s">
        <v>25</v>
      </c>
      <c r="J2023" s="5" t="s">
        <v>25</v>
      </c>
      <c r="K2023" s="7" t="str">
        <f>VLOOKUP(A2023,Sheet2!$A$2:$R$3432,6,0)</f>
        <v>Yamaha FZ FI</v>
      </c>
      <c r="L2023" s="5" t="s">
        <v>25</v>
      </c>
      <c r="M2023" s="7" t="str">
        <f>VLOOKUP(A2023,Sheet2!$A$2:$R$3432,5,0)</f>
        <v>MH14GB2593</v>
      </c>
      <c r="N2023" s="5" t="s">
        <v>25</v>
      </c>
      <c r="O2023" s="5" t="s">
        <v>25</v>
      </c>
      <c r="P2023" s="6" t="s">
        <v>25</v>
      </c>
      <c r="Q2023" s="5" t="s">
        <v>25</v>
      </c>
      <c r="R2023" s="5" t="s">
        <v>25</v>
      </c>
      <c r="S2023" s="5" t="str">
        <f>VLOOKUP(A2023,Sheet2!$A$2:$R$3432,18,0)</f>
        <v>G3C8E0419340</v>
      </c>
      <c r="T2023" s="7" t="str">
        <f>VLOOKUP(A2023,Sheet2!$A$2:$R$3432,17,0)</f>
        <v>ME1RJ072H0278970</v>
      </c>
    </row>
    <row r="2024" ht="15.75" customHeight="1">
      <c r="A2024" s="3" t="s">
        <v>2047</v>
      </c>
      <c r="B2024" s="4" t="str">
        <f>VLOOKUP(A2024,Sheet2!$A$2:$R$3432,2,0)</f>
        <v>2024-08-11 20:06:33</v>
      </c>
      <c r="C2024" s="5" t="s">
        <v>25</v>
      </c>
      <c r="D2024" s="6" t="s">
        <v>25</v>
      </c>
      <c r="E2024" s="7">
        <f>VLOOKUP(A2024,Sheet2!$A$2:$R$3432,4,0)</f>
        <v>7350777670</v>
      </c>
      <c r="F2024" s="7" t="str">
        <f>VLOOKUP(A2024,Sheet2!$A$2:$R$3432,3,0)</f>
        <v>Prasad Kulkarni </v>
      </c>
      <c r="G2024" s="5" t="s">
        <v>25</v>
      </c>
      <c r="H2024" s="5" t="s">
        <v>25</v>
      </c>
      <c r="I2024" s="5" t="s">
        <v>25</v>
      </c>
      <c r="J2024" s="5" t="s">
        <v>25</v>
      </c>
      <c r="K2024" s="7" t="str">
        <f>VLOOKUP(A2024,Sheet2!$A$2:$R$3432,6,0)</f>
        <v>Honda Shine </v>
      </c>
      <c r="L2024" s="5" t="s">
        <v>25</v>
      </c>
      <c r="M2024" s="7" t="str">
        <f>VLOOKUP(A2024,Sheet2!$A$2:$R$3432,5,0)</f>
        <v>MH30AW2052</v>
      </c>
      <c r="N2024" s="5" t="s">
        <v>25</v>
      </c>
      <c r="O2024" s="5" t="s">
        <v>25</v>
      </c>
      <c r="P2024" s="6" t="s">
        <v>25</v>
      </c>
      <c r="Q2024" s="5" t="s">
        <v>25</v>
      </c>
      <c r="R2024" s="5" t="s">
        <v>25</v>
      </c>
      <c r="S2024" s="5" t="str">
        <f>VLOOKUP(A2024,Sheet2!$A$2:$R$3432,18,0)</f>
        <v>JC65ET00436313</v>
      </c>
      <c r="T2024" s="7" t="str">
        <f>VLOOKUP(A2024,Sheet2!$A$2:$R$3432,17,0)</f>
        <v>ME4JC651GGT295122</v>
      </c>
    </row>
    <row r="2025" ht="15.75" customHeight="1">
      <c r="A2025" s="3" t="s">
        <v>2048</v>
      </c>
      <c r="B2025" s="4" t="str">
        <f>VLOOKUP(A2025,Sheet2!$A$2:$R$3432,2,0)</f>
        <v>2024-08-11 20:00:12</v>
      </c>
      <c r="C2025" s="5" t="s">
        <v>25</v>
      </c>
      <c r="D2025" s="6" t="s">
        <v>25</v>
      </c>
      <c r="E2025" s="7">
        <f>VLOOKUP(A2025,Sheet2!$A$2:$R$3432,4,0)</f>
        <v>9940207034</v>
      </c>
      <c r="F2025" s="7" t="str">
        <f>VLOOKUP(A2025,Sheet2!$A$2:$R$3432,3,0)</f>
        <v>Harsh </v>
      </c>
      <c r="G2025" s="5" t="s">
        <v>25</v>
      </c>
      <c r="H2025" s="5" t="s">
        <v>25</v>
      </c>
      <c r="I2025" s="5" t="s">
        <v>25</v>
      </c>
      <c r="J2025" s="5" t="s">
        <v>25</v>
      </c>
      <c r="K2025" s="7" t="str">
        <f>VLOOKUP(A2025,Sheet2!$A$2:$R$3432,6,0)</f>
        <v>Honda Hornet </v>
      </c>
      <c r="L2025" s="5" t="s">
        <v>25</v>
      </c>
      <c r="M2025" s="7" t="str">
        <f>VLOOKUP(A2025,Sheet2!$A$2:$R$3432,5,0)</f>
        <v>TN10BA2332</v>
      </c>
      <c r="N2025" s="5" t="s">
        <v>25</v>
      </c>
      <c r="O2025" s="5" t="s">
        <v>25</v>
      </c>
      <c r="P2025" s="6" t="s">
        <v>25</v>
      </c>
      <c r="Q2025" s="5" t="s">
        <v>25</v>
      </c>
      <c r="R2025" s="5" t="s">
        <v>25</v>
      </c>
      <c r="S2025" s="5" t="str">
        <f>VLOOKUP(A2025,Sheet2!$A$2:$R$3432,18,0)</f>
        <v>KC23E84042480</v>
      </c>
      <c r="T2025" s="7" t="str">
        <f>VLOOKUP(A2025,Sheet2!$A$2:$R$3432,17,0)</f>
        <v>ME4KC239GH8024418</v>
      </c>
    </row>
    <row r="2026" ht="15.75" customHeight="1">
      <c r="A2026" s="3" t="s">
        <v>2049</v>
      </c>
      <c r="B2026" s="4" t="str">
        <f>VLOOKUP(A2026,Sheet2!$A$2:$R$3432,2,0)</f>
        <v>2024-08-11 19:59:29</v>
      </c>
      <c r="C2026" s="5" t="s">
        <v>25</v>
      </c>
      <c r="D2026" s="6" t="s">
        <v>25</v>
      </c>
      <c r="E2026" s="7">
        <f>VLOOKUP(A2026,Sheet2!$A$2:$R$3432,4,0)</f>
        <v>9767035090</v>
      </c>
      <c r="F2026" s="7" t="str">
        <f>VLOOKUP(A2026,Sheet2!$A$2:$R$3432,3,0)</f>
        <v>Mohit Dhule </v>
      </c>
      <c r="G2026" s="5" t="s">
        <v>25</v>
      </c>
      <c r="H2026" s="5" t="s">
        <v>25</v>
      </c>
      <c r="I2026" s="5" t="s">
        <v>25</v>
      </c>
      <c r="J2026" s="5" t="s">
        <v>25</v>
      </c>
      <c r="K2026" s="7" t="str">
        <f>VLOOKUP(A2026,Sheet2!$A$2:$R$3432,6,0)</f>
        <v>Bajaj Pulsar 150</v>
      </c>
      <c r="L2026" s="5" t="s">
        <v>25</v>
      </c>
      <c r="M2026" s="7" t="str">
        <f>VLOOKUP(A2026,Sheet2!$A$2:$R$3432,5,0)</f>
        <v>MH15CP5474</v>
      </c>
      <c r="N2026" s="5" t="s">
        <v>25</v>
      </c>
      <c r="O2026" s="5" t="s">
        <v>25</v>
      </c>
      <c r="P2026" s="6" t="s">
        <v>25</v>
      </c>
      <c r="Q2026" s="5" t="s">
        <v>25</v>
      </c>
      <c r="R2026" s="5" t="s">
        <v>25</v>
      </c>
      <c r="S2026" s="5" t="str">
        <f>VLOOKUP(A2026,Sheet2!$A$2:$R$3432,18,0)</f>
        <v>DHOBSG4579</v>
      </c>
      <c r="T2026" s="7" t="str">
        <f>VLOOKUP(A2026,Sheet2!$A$2:$R$3432,17,0)</f>
        <v>MD2DHDHZZ5CL17510</v>
      </c>
    </row>
    <row r="2027" ht="15.75" customHeight="1">
      <c r="A2027" s="3" t="s">
        <v>2050</v>
      </c>
      <c r="B2027" s="4" t="str">
        <f>VLOOKUP(A2027,Sheet2!$A$2:$R$3432,2,0)</f>
        <v>2024-08-11 20:10:30</v>
      </c>
      <c r="C2027" s="5" t="s">
        <v>25</v>
      </c>
      <c r="D2027" s="6" t="s">
        <v>25</v>
      </c>
      <c r="E2027" s="7">
        <f>VLOOKUP(A2027,Sheet2!$A$2:$R$3432,4,0)</f>
        <v>7718039426</v>
      </c>
      <c r="F2027" s="7" t="str">
        <f>VLOOKUP(A2027,Sheet2!$A$2:$R$3432,3,0)</f>
        <v>VIRAJ SHINDE</v>
      </c>
      <c r="G2027" s="5" t="s">
        <v>25</v>
      </c>
      <c r="H2027" s="5" t="s">
        <v>25</v>
      </c>
      <c r="I2027" s="5" t="s">
        <v>25</v>
      </c>
      <c r="J2027" s="5" t="s">
        <v>25</v>
      </c>
      <c r="K2027" s="7" t="str">
        <f>VLOOKUP(A2027,Sheet2!$A$2:$R$3432,6,0)</f>
        <v>TVS Apache 160 4V</v>
      </c>
      <c r="L2027" s="5" t="s">
        <v>25</v>
      </c>
      <c r="M2027" s="7" t="str">
        <f>VLOOKUP(A2027,Sheet2!$A$2:$R$3432,5,0)</f>
        <v>MH05ED2236</v>
      </c>
      <c r="N2027" s="5" t="s">
        <v>25</v>
      </c>
      <c r="O2027" s="5" t="s">
        <v>25</v>
      </c>
      <c r="P2027" s="6" t="s">
        <v>25</v>
      </c>
      <c r="Q2027" s="5" t="s">
        <v>25</v>
      </c>
      <c r="R2027" s="5" t="s">
        <v>25</v>
      </c>
      <c r="S2027" s="5" t="str">
        <f>VLOOKUP(A2027,Sheet2!$A$2:$R$3432,18,0)</f>
        <v> CE71K24022446</v>
      </c>
      <c r="T2027" s="7" t="str">
        <f>VLOOKUP(A2027,Sheet2!$A$2:$R$3432,17,0)</f>
        <v>MD637CE77K2F02121</v>
      </c>
    </row>
    <row r="2028" ht="15.75" customHeight="1">
      <c r="A2028" s="3" t="s">
        <v>2051</v>
      </c>
      <c r="B2028" s="4" t="str">
        <f>VLOOKUP(A2028,Sheet2!$A$2:$R$3432,2,0)</f>
        <v>2024-08-11 20:09:13</v>
      </c>
      <c r="C2028" s="5" t="s">
        <v>25</v>
      </c>
      <c r="D2028" s="6" t="s">
        <v>25</v>
      </c>
      <c r="E2028" s="7">
        <f>VLOOKUP(A2028,Sheet2!$A$2:$R$3432,4,0)</f>
        <v>8788149582</v>
      </c>
      <c r="F2028" s="7" t="str">
        <f>VLOOKUP(A2028,Sheet2!$A$2:$R$3432,3,0)</f>
        <v>Kishor Nikalaje</v>
      </c>
      <c r="G2028" s="5" t="s">
        <v>25</v>
      </c>
      <c r="H2028" s="5" t="s">
        <v>25</v>
      </c>
      <c r="I2028" s="5" t="s">
        <v>25</v>
      </c>
      <c r="J2028" s="5" t="s">
        <v>25</v>
      </c>
      <c r="K2028" s="7" t="str">
        <f>VLOOKUP(A2028,Sheet2!$A$2:$R$3432,6,0)</f>
        <v>Yamaha Fazer </v>
      </c>
      <c r="L2028" s="5" t="s">
        <v>25</v>
      </c>
      <c r="M2028" s="7" t="str">
        <f>VLOOKUP(A2028,Sheet2!$A$2:$R$3432,5,0)</f>
        <v>MH14DW0031</v>
      </c>
      <c r="N2028" s="5" t="s">
        <v>25</v>
      </c>
      <c r="O2028" s="5" t="s">
        <v>25</v>
      </c>
      <c r="P2028" s="6" t="s">
        <v>25</v>
      </c>
      <c r="Q2028" s="5" t="s">
        <v>25</v>
      </c>
      <c r="R2028" s="5" t="s">
        <v>25</v>
      </c>
      <c r="S2028" s="5" t="str">
        <f>VLOOKUP(A2028,Sheet2!$A$2:$R$3432,18,0)</f>
        <v>45S9029485</v>
      </c>
      <c r="T2028" s="7" t="str">
        <f>VLOOKUP(A2028,Sheet2!$A$2:$R$3432,17,0)</f>
        <v>MF145S09202029507</v>
      </c>
    </row>
    <row r="2029" ht="15.75" customHeight="1">
      <c r="A2029" s="3" t="s">
        <v>2052</v>
      </c>
      <c r="B2029" s="4" t="str">
        <f>VLOOKUP(A2029,Sheet2!$A$2:$R$3432,2,0)</f>
        <v>2024-08-11 21:31:36</v>
      </c>
      <c r="C2029" s="5" t="s">
        <v>25</v>
      </c>
      <c r="D2029" s="6" t="s">
        <v>25</v>
      </c>
      <c r="E2029" s="7">
        <f>VLOOKUP(A2029,Sheet2!$A$2:$R$3432,4,0)</f>
        <v>9156299054</v>
      </c>
      <c r="F2029" s="7" t="str">
        <f>VLOOKUP(A2029,Sheet2!$A$2:$R$3432,3,0)</f>
        <v>TUSHAR BASAKARE</v>
      </c>
      <c r="G2029" s="5" t="s">
        <v>25</v>
      </c>
      <c r="H2029" s="5" t="s">
        <v>25</v>
      </c>
      <c r="I2029" s="5" t="s">
        <v>25</v>
      </c>
      <c r="J2029" s="5" t="s">
        <v>25</v>
      </c>
      <c r="K2029" s="7" t="str">
        <f>VLOOKUP(A2029,Sheet2!$A$2:$R$3432,6,0)</f>
        <v>TVS Apache RTR 200 4V</v>
      </c>
      <c r="L2029" s="5" t="s">
        <v>25</v>
      </c>
      <c r="M2029" s="7" t="str">
        <f>VLOOKUP(A2029,Sheet2!$A$2:$R$3432,5,0)</f>
        <v>MH13ED9451</v>
      </c>
      <c r="N2029" s="5" t="s">
        <v>25</v>
      </c>
      <c r="O2029" s="5" t="s">
        <v>25</v>
      </c>
      <c r="P2029" s="6" t="s">
        <v>25</v>
      </c>
      <c r="Q2029" s="5" t="s">
        <v>25</v>
      </c>
      <c r="R2029" s="5" t="s">
        <v>25</v>
      </c>
      <c r="S2029" s="7" t="str">
        <f>VLOOKUP(A2029,Sheet2!$A$2:$R$3432,18,0)</f>
        <v/>
      </c>
      <c r="T2029" s="7" t="str">
        <f>VLOOKUP(A2029,Sheet2!$A$2:$R$3432,17,0)</f>
        <v/>
      </c>
    </row>
    <row r="2030" ht="15.75" customHeight="1">
      <c r="A2030" s="3" t="s">
        <v>2053</v>
      </c>
      <c r="B2030" s="4" t="str">
        <f>VLOOKUP(A2030,Sheet2!$A$2:$R$3432,2,0)</f>
        <v>2024-11-08 20:11:39</v>
      </c>
      <c r="C2030" s="5" t="s">
        <v>25</v>
      </c>
      <c r="D2030" s="6" t="s">
        <v>25</v>
      </c>
      <c r="E2030" s="7">
        <f>VLOOKUP(A2030,Sheet2!$A$2:$R$3432,4,0)</f>
        <v>9624286559</v>
      </c>
      <c r="F2030" s="7" t="str">
        <f>VLOOKUP(A2030,Sheet2!$A$2:$R$3432,3,0)</f>
        <v>Mohit Desai </v>
      </c>
      <c r="G2030" s="5" t="s">
        <v>25</v>
      </c>
      <c r="H2030" s="5" t="s">
        <v>25</v>
      </c>
      <c r="I2030" s="5" t="s">
        <v>25</v>
      </c>
      <c r="J2030" s="5" t="s">
        <v>25</v>
      </c>
      <c r="K2030" s="7" t="str">
        <f>VLOOKUP(A2030,Sheet2!$A$2:$R$3432,6,0)</f>
        <v>Hero Glamour </v>
      </c>
      <c r="L2030" s="5" t="s">
        <v>25</v>
      </c>
      <c r="M2030" s="7" t="str">
        <f>VLOOKUP(A2030,Sheet2!$A$2:$R$3432,5,0)</f>
        <v>GJ06LG5870</v>
      </c>
      <c r="N2030" s="5" t="s">
        <v>25</v>
      </c>
      <c r="O2030" s="5" t="s">
        <v>25</v>
      </c>
      <c r="P2030" s="6" t="s">
        <v>25</v>
      </c>
      <c r="Q2030" s="5" t="s">
        <v>25</v>
      </c>
      <c r="R2030" s="5" t="s">
        <v>25</v>
      </c>
      <c r="S2030" s="5" t="str">
        <f>VLOOKUP(A2030,Sheet2!$A$2:$R$3432,18,0)</f>
        <v>JA06EHH9H08052</v>
      </c>
      <c r="T2030" s="7" t="str">
        <f>VLOOKUP(A2030,Sheet2!$A$2:$R$3432,17,0)</f>
        <v>MBLJA8026H9410</v>
      </c>
    </row>
    <row r="2031" ht="15.75" customHeight="1">
      <c r="A2031" s="3" t="s">
        <v>2054</v>
      </c>
      <c r="B2031" s="4" t="str">
        <f>VLOOKUP(A2031,Sheet2!$A$2:$R$3432,2,0)</f>
        <v>2024-11-08 19:33:30</v>
      </c>
      <c r="C2031" s="5" t="s">
        <v>25</v>
      </c>
      <c r="D2031" s="6" t="s">
        <v>25</v>
      </c>
      <c r="E2031" s="7">
        <f>VLOOKUP(A2031,Sheet2!$A$2:$R$3432,4,0)</f>
        <v>7588707015</v>
      </c>
      <c r="F2031" s="7" t="str">
        <f>VLOOKUP(A2031,Sheet2!$A$2:$R$3432,3,0)</f>
        <v>ASHWIN TARLE</v>
      </c>
      <c r="G2031" s="5" t="s">
        <v>25</v>
      </c>
      <c r="H2031" s="5" t="s">
        <v>25</v>
      </c>
      <c r="I2031" s="5" t="s">
        <v>25</v>
      </c>
      <c r="J2031" s="5" t="s">
        <v>25</v>
      </c>
      <c r="K2031" s="7" t="str">
        <f>VLOOKUP(A2031,Sheet2!$A$2:$R$3432,6,0)</f>
        <v>Yamaha MT 15</v>
      </c>
      <c r="L2031" s="5" t="s">
        <v>25</v>
      </c>
      <c r="M2031" s="7" t="str">
        <f>VLOOKUP(A2031,Sheet2!$A$2:$R$3432,5,0)</f>
        <v>MH15JE4466</v>
      </c>
      <c r="N2031" s="5" t="s">
        <v>25</v>
      </c>
      <c r="O2031" s="5" t="s">
        <v>25</v>
      </c>
      <c r="P2031" s="6" t="s">
        <v>25</v>
      </c>
      <c r="Q2031" s="5" t="s">
        <v>25</v>
      </c>
      <c r="R2031" s="5" t="s">
        <v>25</v>
      </c>
      <c r="S2031" s="7" t="str">
        <f>VLOOKUP(A2031,Sheet2!$A$2:$R$3432,18,0)</f>
        <v/>
      </c>
      <c r="T2031" s="7" t="str">
        <f>VLOOKUP(A2031,Sheet2!$A$2:$R$3432,17,0)</f>
        <v/>
      </c>
    </row>
    <row r="2032" ht="15.75" customHeight="1">
      <c r="A2032" s="3" t="s">
        <v>2055</v>
      </c>
      <c r="B2032" s="4" t="str">
        <f>VLOOKUP(A2032,Sheet2!$A$2:$R$3432,2,0)</f>
        <v>2024-11-08 19:54:17</v>
      </c>
      <c r="C2032" s="5" t="s">
        <v>25</v>
      </c>
      <c r="D2032" s="6" t="s">
        <v>25</v>
      </c>
      <c r="E2032" s="7">
        <f>VLOOKUP(A2032,Sheet2!$A$2:$R$3432,4,0)</f>
        <v>9860091962</v>
      </c>
      <c r="F2032" s="7" t="str">
        <f>VLOOKUP(A2032,Sheet2!$A$2:$R$3432,3,0)</f>
        <v>Pushpak </v>
      </c>
      <c r="G2032" s="5" t="s">
        <v>25</v>
      </c>
      <c r="H2032" s="5" t="s">
        <v>25</v>
      </c>
      <c r="I2032" s="5" t="s">
        <v>25</v>
      </c>
      <c r="J2032" s="5" t="s">
        <v>25</v>
      </c>
      <c r="K2032" s="7" t="str">
        <f>VLOOKUP(A2032,Sheet2!$A$2:$R$3432,6,0)</f>
        <v>Suzuki Access 125</v>
      </c>
      <c r="L2032" s="5" t="s">
        <v>25</v>
      </c>
      <c r="M2032" s="7" t="str">
        <f>VLOOKUP(A2032,Sheet2!$A$2:$R$3432,5,0)</f>
        <v>MH14FQ8875</v>
      </c>
      <c r="N2032" s="5" t="s">
        <v>25</v>
      </c>
      <c r="O2032" s="5" t="s">
        <v>25</v>
      </c>
      <c r="P2032" s="6" t="s">
        <v>25</v>
      </c>
      <c r="Q2032" s="5" t="s">
        <v>25</v>
      </c>
      <c r="R2032" s="5" t="s">
        <v>25</v>
      </c>
      <c r="S2032" s="5" t="str">
        <f>VLOOKUP(A2032,Sheet2!$A$2:$R$3432,18,0)</f>
        <v>AF211037705</v>
      </c>
      <c r="T2032" s="7" t="str">
        <f>VLOOKUP(A2032,Sheet2!$A$2:$R$3432,17,0)</f>
        <v>MB8DP11AEG8135949</v>
      </c>
    </row>
    <row r="2033" ht="15.75" customHeight="1">
      <c r="A2033" s="3" t="s">
        <v>2056</v>
      </c>
      <c r="B2033" s="4" t="str">
        <f>VLOOKUP(A2033,Sheet2!$A$2:$R$3432,2,0)</f>
        <v>2024-11-08 19:55:31</v>
      </c>
      <c r="C2033" s="5" t="s">
        <v>25</v>
      </c>
      <c r="D2033" s="6" t="s">
        <v>25</v>
      </c>
      <c r="E2033" s="7">
        <f>VLOOKUP(A2033,Sheet2!$A$2:$R$3432,4,0)</f>
        <v>9373841171</v>
      </c>
      <c r="F2033" s="7" t="str">
        <f>VLOOKUP(A2033,Sheet2!$A$2:$R$3432,3,0)</f>
        <v>Parameshwar</v>
      </c>
      <c r="G2033" s="5" t="s">
        <v>25</v>
      </c>
      <c r="H2033" s="5" t="s">
        <v>25</v>
      </c>
      <c r="I2033" s="5" t="s">
        <v>25</v>
      </c>
      <c r="J2033" s="5" t="s">
        <v>25</v>
      </c>
      <c r="K2033" s="7" t="str">
        <f>VLOOKUP(A2033,Sheet2!$A$2:$R$3432,6,0)</f>
        <v>TVS Scooty Streak</v>
      </c>
      <c r="L2033" s="5" t="s">
        <v>25</v>
      </c>
      <c r="M2033" s="7" t="str">
        <f>VLOOKUP(A2033,Sheet2!$A$2:$R$3432,5,0)</f>
        <v>MH16AL8336</v>
      </c>
      <c r="N2033" s="5" t="s">
        <v>25</v>
      </c>
      <c r="O2033" s="5" t="s">
        <v>25</v>
      </c>
      <c r="P2033" s="6" t="s">
        <v>25</v>
      </c>
      <c r="Q2033" s="5" t="s">
        <v>25</v>
      </c>
      <c r="R2033" s="5" t="s">
        <v>25</v>
      </c>
      <c r="S2033" s="7" t="str">
        <f>VLOOKUP(A2033,Sheet2!$A$2:$R$3432,18,0)</f>
        <v/>
      </c>
      <c r="T2033" s="7" t="str">
        <f>VLOOKUP(A2033,Sheet2!$A$2:$R$3432,17,0)</f>
        <v/>
      </c>
    </row>
    <row r="2034" ht="15.75" customHeight="1">
      <c r="A2034" s="3" t="s">
        <v>2057</v>
      </c>
      <c r="B2034" s="4" t="str">
        <f>VLOOKUP(A2034,Sheet2!$A$2:$R$3432,2,0)</f>
        <v>2024-11-08 19:46:57</v>
      </c>
      <c r="C2034" s="5" t="s">
        <v>25</v>
      </c>
      <c r="D2034" s="6" t="s">
        <v>25</v>
      </c>
      <c r="E2034" s="7">
        <f>VLOOKUP(A2034,Sheet2!$A$2:$R$3432,4,0)</f>
        <v>8411813457</v>
      </c>
      <c r="F2034" s="7" t="str">
        <f>VLOOKUP(A2034,Sheet2!$A$2:$R$3432,3,0)</f>
        <v>Deepak </v>
      </c>
      <c r="G2034" s="5" t="s">
        <v>25</v>
      </c>
      <c r="H2034" s="5" t="s">
        <v>25</v>
      </c>
      <c r="I2034" s="5" t="s">
        <v>25</v>
      </c>
      <c r="J2034" s="5" t="s">
        <v>25</v>
      </c>
      <c r="K2034" s="7" t="str">
        <f>VLOOKUP(A2034,Sheet2!$A$2:$R$3432,6,0)</f>
        <v>Bajaj Avenger 220 Cruise</v>
      </c>
      <c r="L2034" s="5" t="s">
        <v>25</v>
      </c>
      <c r="M2034" s="7" t="str">
        <f>VLOOKUP(A2034,Sheet2!$A$2:$R$3432,5,0)</f>
        <v>MH12RH2987</v>
      </c>
      <c r="N2034" s="5" t="s">
        <v>25</v>
      </c>
      <c r="O2034" s="5" t="s">
        <v>25</v>
      </c>
      <c r="P2034" s="6" t="s">
        <v>25</v>
      </c>
      <c r="Q2034" s="5" t="s">
        <v>25</v>
      </c>
      <c r="R2034" s="5" t="s">
        <v>25</v>
      </c>
      <c r="S2034" s="7" t="str">
        <f>VLOOKUP(A2034,Sheet2!$A$2:$R$3432,18,0)</f>
        <v/>
      </c>
      <c r="T2034" s="7" t="str">
        <f>VLOOKUP(A2034,Sheet2!$A$2:$R$3432,17,0)</f>
        <v/>
      </c>
    </row>
    <row r="2035" ht="15.75" customHeight="1">
      <c r="A2035" s="3" t="s">
        <v>2058</v>
      </c>
      <c r="B2035" s="4" t="str">
        <f>VLOOKUP(A2035,Sheet2!$A$2:$R$3432,2,0)</f>
        <v>2024-11-08 19:47:21</v>
      </c>
      <c r="C2035" s="5" t="s">
        <v>25</v>
      </c>
      <c r="D2035" s="6" t="s">
        <v>25</v>
      </c>
      <c r="E2035" s="7">
        <f>VLOOKUP(A2035,Sheet2!$A$2:$R$3432,4,0)</f>
        <v>8379829170</v>
      </c>
      <c r="F2035" s="7" t="str">
        <f>VLOOKUP(A2035,Sheet2!$A$2:$R$3432,3,0)</f>
        <v>Sunil Ahire</v>
      </c>
      <c r="G2035" s="5" t="s">
        <v>25</v>
      </c>
      <c r="H2035" s="5" t="s">
        <v>25</v>
      </c>
      <c r="I2035" s="5" t="s">
        <v>25</v>
      </c>
      <c r="J2035" s="5" t="s">
        <v>25</v>
      </c>
      <c r="K2035" s="7" t="str">
        <f>VLOOKUP(A2035,Sheet2!$A$2:$R$3432,6,0)</f>
        <v>Honda Activa 6G</v>
      </c>
      <c r="L2035" s="5" t="s">
        <v>25</v>
      </c>
      <c r="M2035" s="7" t="str">
        <f>VLOOKUP(A2035,Sheet2!$A$2:$R$3432,5,0)</f>
        <v>MH14KG1657</v>
      </c>
      <c r="N2035" s="5" t="s">
        <v>25</v>
      </c>
      <c r="O2035" s="5" t="s">
        <v>25</v>
      </c>
      <c r="P2035" s="6" t="s">
        <v>25</v>
      </c>
      <c r="Q2035" s="5" t="s">
        <v>25</v>
      </c>
      <c r="R2035" s="5" t="s">
        <v>25</v>
      </c>
      <c r="S2035" s="5" t="str">
        <f>VLOOKUP(A2035,Sheet2!$A$2:$R$3432,18,0)</f>
        <v>JF21E60173081</v>
      </c>
      <c r="T2035" s="7" t="str">
        <f>VLOOKUP(A2035,Sheet2!$A$2:$R$3432,17,0)</f>
        <v>ME4JF215EE8145590</v>
      </c>
    </row>
    <row r="2036" ht="15.75" customHeight="1">
      <c r="A2036" s="3" t="s">
        <v>2059</v>
      </c>
      <c r="B2036" s="4" t="str">
        <f>VLOOKUP(A2036,Sheet2!$A$2:$R$3432,2,0)</f>
        <v>2024-11-08 19:50:26</v>
      </c>
      <c r="C2036" s="5" t="s">
        <v>25</v>
      </c>
      <c r="D2036" s="6" t="s">
        <v>25</v>
      </c>
      <c r="E2036" s="7">
        <f>VLOOKUP(A2036,Sheet2!$A$2:$R$3432,4,0)</f>
        <v>9860947693</v>
      </c>
      <c r="F2036" s="7" t="str">
        <f>VLOOKUP(A2036,Sheet2!$A$2:$R$3432,3,0)</f>
        <v>Sagar</v>
      </c>
      <c r="G2036" s="5" t="s">
        <v>25</v>
      </c>
      <c r="H2036" s="5" t="s">
        <v>25</v>
      </c>
      <c r="I2036" s="5" t="s">
        <v>25</v>
      </c>
      <c r="J2036" s="5" t="s">
        <v>25</v>
      </c>
      <c r="K2036" s="7" t="str">
        <f>VLOOKUP(A2036,Sheet2!$A$2:$R$3432,6,0)</f>
        <v>Honda Activa 125</v>
      </c>
      <c r="L2036" s="5" t="s">
        <v>25</v>
      </c>
      <c r="M2036" s="7" t="str">
        <f>VLOOKUP(A2036,Sheet2!$A$2:$R$3432,5,0)</f>
        <v>MH12RG0973</v>
      </c>
      <c r="N2036" s="5" t="s">
        <v>25</v>
      </c>
      <c r="O2036" s="5" t="s">
        <v>25</v>
      </c>
      <c r="P2036" s="6" t="s">
        <v>25</v>
      </c>
      <c r="Q2036" s="5" t="s">
        <v>25</v>
      </c>
      <c r="R2036" s="5" t="s">
        <v>25</v>
      </c>
      <c r="S2036" s="5" t="str">
        <f>VLOOKUP(A2036,Sheet2!$A$2:$R$3432,18,0)</f>
        <v>JF49EC4029390</v>
      </c>
      <c r="T2036" s="7" t="str">
        <f>VLOOKUP(A2036,Sheet2!$A$2:$R$3432,17,0)</f>
        <v>ME4JE49BJU015988</v>
      </c>
    </row>
    <row r="2037" ht="15.75" customHeight="1">
      <c r="A2037" s="3" t="s">
        <v>2060</v>
      </c>
      <c r="B2037" s="4" t="str">
        <f>VLOOKUP(A2037,Sheet2!$A$2:$R$3432,2,0)</f>
        <v>2024-11-08 20:10:51</v>
      </c>
      <c r="C2037" s="5" t="s">
        <v>25</v>
      </c>
      <c r="D2037" s="6" t="s">
        <v>25</v>
      </c>
      <c r="E2037" s="7">
        <f>VLOOKUP(A2037,Sheet2!$A$2:$R$3432,4,0)</f>
        <v>9421053723</v>
      </c>
      <c r="F2037" s="7" t="str">
        <f>VLOOKUP(A2037,Sheet2!$A$2:$R$3432,3,0)</f>
        <v>Umesh Chandak</v>
      </c>
      <c r="G2037" s="5" t="s">
        <v>25</v>
      </c>
      <c r="H2037" s="5" t="s">
        <v>25</v>
      </c>
      <c r="I2037" s="5" t="s">
        <v>25</v>
      </c>
      <c r="J2037" s="5" t="s">
        <v>25</v>
      </c>
      <c r="K2037" s="7" t="str">
        <f>VLOOKUP(A2037,Sheet2!$A$2:$R$3432,6,0)</f>
        <v>Honda Activa 3G</v>
      </c>
      <c r="L2037" s="5" t="s">
        <v>25</v>
      </c>
      <c r="M2037" s="7" t="str">
        <f>VLOOKUP(A2037,Sheet2!$A$2:$R$3432,5,0)</f>
        <v>MH14FK6374</v>
      </c>
      <c r="N2037" s="5" t="s">
        <v>25</v>
      </c>
      <c r="O2037" s="5" t="s">
        <v>25</v>
      </c>
      <c r="P2037" s="6" t="s">
        <v>25</v>
      </c>
      <c r="Q2037" s="5" t="s">
        <v>25</v>
      </c>
      <c r="R2037" s="5" t="s">
        <v>25</v>
      </c>
      <c r="S2037" s="5" t="str">
        <f>VLOOKUP(A2037,Sheet2!$A$2:$R$3432,18,0)</f>
        <v>JF50E73012506</v>
      </c>
      <c r="T2037" s="7" t="str">
        <f>VLOOKUP(A2037,Sheet2!$A$2:$R$3432,17,0)</f>
        <v>ME4JF505AG701247</v>
      </c>
    </row>
    <row r="2038" ht="15.75" customHeight="1">
      <c r="A2038" s="3" t="s">
        <v>2061</v>
      </c>
      <c r="B2038" s="4" t="str">
        <f>VLOOKUP(A2038,Sheet2!$A$2:$R$3432,2,0)</f>
        <v>2024-11-08 19:57:06</v>
      </c>
      <c r="C2038" s="5" t="s">
        <v>25</v>
      </c>
      <c r="D2038" s="6" t="s">
        <v>25</v>
      </c>
      <c r="E2038" s="7">
        <f>VLOOKUP(A2038,Sheet2!$A$2:$R$3432,4,0)</f>
        <v>7083009561</v>
      </c>
      <c r="F2038" s="7" t="str">
        <f>VLOOKUP(A2038,Sheet2!$A$2:$R$3432,3,0)</f>
        <v>Saurabh Gokhale</v>
      </c>
      <c r="G2038" s="5" t="s">
        <v>25</v>
      </c>
      <c r="H2038" s="5" t="s">
        <v>25</v>
      </c>
      <c r="I2038" s="5" t="s">
        <v>25</v>
      </c>
      <c r="J2038" s="5" t="s">
        <v>25</v>
      </c>
      <c r="K2038" s="7" t="str">
        <f>VLOOKUP(A2038,Sheet2!$A$2:$R$3432,6,0)</f>
        <v>TVS Jupiter </v>
      </c>
      <c r="L2038" s="5" t="s">
        <v>25</v>
      </c>
      <c r="M2038" s="7" t="str">
        <f>VLOOKUP(A2038,Sheet2!$A$2:$R$3432,5,0)</f>
        <v>MH14GP3806</v>
      </c>
      <c r="N2038" s="5" t="s">
        <v>25</v>
      </c>
      <c r="O2038" s="5" t="s">
        <v>25</v>
      </c>
      <c r="P2038" s="6" t="s">
        <v>25</v>
      </c>
      <c r="Q2038" s="5" t="s">
        <v>25</v>
      </c>
      <c r="R2038" s="5" t="s">
        <v>25</v>
      </c>
      <c r="S2038" s="5" t="str">
        <f>VLOOKUP(A2038,Sheet2!$A$2:$R$3432,18,0)</f>
        <v>EG4HH2414578</v>
      </c>
      <c r="T2038" s="7" t="str">
        <f>VLOOKUP(A2038,Sheet2!$A$2:$R$3432,17,0)</f>
        <v>MD626EG41H3460313</v>
      </c>
    </row>
    <row r="2039" ht="15.75" customHeight="1">
      <c r="A2039" s="3" t="s">
        <v>2062</v>
      </c>
      <c r="B2039" s="4" t="str">
        <f>VLOOKUP(A2039,Sheet2!$A$2:$R$3432,2,0)</f>
        <v>2024-11-08 19:49:02</v>
      </c>
      <c r="C2039" s="5" t="s">
        <v>25</v>
      </c>
      <c r="D2039" s="6" t="s">
        <v>25</v>
      </c>
      <c r="E2039" s="7">
        <f>VLOOKUP(A2039,Sheet2!$A$2:$R$3432,4,0)</f>
        <v>8623992225</v>
      </c>
      <c r="F2039" s="7" t="str">
        <f>VLOOKUP(A2039,Sheet2!$A$2:$R$3432,3,0)</f>
        <v>GANESH CHAUDHARI </v>
      </c>
      <c r="G2039" s="5" t="s">
        <v>25</v>
      </c>
      <c r="H2039" s="5" t="s">
        <v>25</v>
      </c>
      <c r="I2039" s="5" t="s">
        <v>25</v>
      </c>
      <c r="J2039" s="5" t="s">
        <v>25</v>
      </c>
      <c r="K2039" s="7" t="str">
        <f>VLOOKUP(A2039,Sheet2!$A$2:$R$3432,6,0)</f>
        <v>Yamaha FZ V3</v>
      </c>
      <c r="L2039" s="5" t="s">
        <v>25</v>
      </c>
      <c r="M2039" s="7" t="str">
        <f>VLOOKUP(A2039,Sheet2!$A$2:$R$3432,5,0)</f>
        <v>MH12SJ2056</v>
      </c>
      <c r="N2039" s="5" t="s">
        <v>25</v>
      </c>
      <c r="O2039" s="5" t="s">
        <v>25</v>
      </c>
      <c r="P2039" s="6" t="s">
        <v>25</v>
      </c>
      <c r="Q2039" s="5" t="s">
        <v>25</v>
      </c>
      <c r="R2039" s="5" t="s">
        <v>25</v>
      </c>
      <c r="S2039" s="5" t="str">
        <f>VLOOKUP(A2039,Sheet2!$A$2:$R$3432,18,0)</f>
        <v>G3N60004368</v>
      </c>
      <c r="T2039" s="7" t="str">
        <f>VLOOKUP(A2039,Sheet2!$A$2:$R$3432,17,0)</f>
        <v>ME1RG6618K0004954</v>
      </c>
    </row>
    <row r="2040" ht="15.75" customHeight="1">
      <c r="A2040" s="3" t="s">
        <v>2063</v>
      </c>
      <c r="B2040" s="4" t="str">
        <f>VLOOKUP(A2040,Sheet2!$A$2:$R$3432,2,0)</f>
        <v>2024-11-08 19:48:12</v>
      </c>
      <c r="C2040" s="5" t="s">
        <v>25</v>
      </c>
      <c r="D2040" s="6" t="s">
        <v>25</v>
      </c>
      <c r="E2040" s="7">
        <f>VLOOKUP(A2040,Sheet2!$A$2:$R$3432,4,0)</f>
        <v>8177952249</v>
      </c>
      <c r="F2040" s="7" t="str">
        <f>VLOOKUP(A2040,Sheet2!$A$2:$R$3432,3,0)</f>
        <v>Shantanu Singh</v>
      </c>
      <c r="G2040" s="5" t="s">
        <v>25</v>
      </c>
      <c r="H2040" s="5" t="s">
        <v>25</v>
      </c>
      <c r="I2040" s="5" t="s">
        <v>25</v>
      </c>
      <c r="J2040" s="5" t="s">
        <v>25</v>
      </c>
      <c r="K2040" s="7" t="str">
        <f>VLOOKUP(A2040,Sheet2!$A$2:$R$3432,6,0)</f>
        <v>LML Vespa </v>
      </c>
      <c r="L2040" s="5" t="s">
        <v>25</v>
      </c>
      <c r="M2040" s="7" t="str">
        <f>VLOOKUP(A2040,Sheet2!$A$2:$R$3432,5,0)</f>
        <v>MH14FU3220</v>
      </c>
      <c r="N2040" s="5" t="s">
        <v>25</v>
      </c>
      <c r="O2040" s="5" t="s">
        <v>25</v>
      </c>
      <c r="P2040" s="6" t="s">
        <v>25</v>
      </c>
      <c r="Q2040" s="5" t="s">
        <v>25</v>
      </c>
      <c r="R2040" s="5" t="s">
        <v>25</v>
      </c>
      <c r="S2040" s="5" t="str">
        <f>VLOOKUP(A2040,Sheet2!$A$2:$R$3432,18,0)</f>
        <v>M449MX31102937</v>
      </c>
      <c r="T2040" s="7" t="str">
        <f>VLOOKUP(A2040,Sheet2!$A$2:$R$3432,17,0)</f>
        <v>MET0000EAUH006591</v>
      </c>
    </row>
    <row r="2041" ht="15.75" customHeight="1">
      <c r="A2041" s="3" t="s">
        <v>2064</v>
      </c>
      <c r="B2041" s="4" t="str">
        <f>VLOOKUP(A2041,Sheet2!$A$2:$R$3432,2,0)</f>
        <v>2024-08-30 19:11:53</v>
      </c>
      <c r="C2041" s="5" t="s">
        <v>25</v>
      </c>
      <c r="D2041" s="6" t="s">
        <v>25</v>
      </c>
      <c r="E2041" s="7">
        <f>VLOOKUP(A2041,Sheet2!$A$2:$R$3432,4,0)</f>
        <v>9552553506</v>
      </c>
      <c r="F2041" s="7" t="str">
        <f>VLOOKUP(A2041,Sheet2!$A$2:$R$3432,3,0)</f>
        <v>ANAND </v>
      </c>
      <c r="G2041" s="5" t="s">
        <v>25</v>
      </c>
      <c r="H2041" s="5" t="s">
        <v>25</v>
      </c>
      <c r="I2041" s="5" t="s">
        <v>25</v>
      </c>
      <c r="J2041" s="5" t="s">
        <v>25</v>
      </c>
      <c r="K2041" s="7" t="str">
        <f>VLOOKUP(A2041,Sheet2!$A$2:$R$3432,6,0)</f>
        <v>Honda Activa 6G</v>
      </c>
      <c r="L2041" s="5" t="s">
        <v>25</v>
      </c>
      <c r="M2041" s="7" t="str">
        <f>VLOOKUP(A2041,Sheet2!$A$2:$R$3432,5,0)</f>
        <v>MH12UH8993</v>
      </c>
      <c r="N2041" s="5" t="s">
        <v>25</v>
      </c>
      <c r="O2041" s="5" t="s">
        <v>25</v>
      </c>
      <c r="P2041" s="6" t="s">
        <v>25</v>
      </c>
      <c r="Q2041" s="5" t="s">
        <v>25</v>
      </c>
      <c r="R2041" s="5" t="s">
        <v>25</v>
      </c>
      <c r="S2041" s="7" t="str">
        <f>VLOOKUP(A2041,Sheet2!$A$2:$R$3432,18,0)</f>
        <v/>
      </c>
      <c r="T2041" s="7" t="str">
        <f>VLOOKUP(A2041,Sheet2!$A$2:$R$3432,17,0)</f>
        <v/>
      </c>
    </row>
    <row r="2042" ht="15.75" customHeight="1">
      <c r="A2042" s="3" t="s">
        <v>2065</v>
      </c>
      <c r="B2042" s="4" t="str">
        <f>VLOOKUP(A2042,Sheet2!$A$2:$R$3432,2,0)</f>
        <v>2024-08-30 19:12:44</v>
      </c>
      <c r="C2042" s="5" t="s">
        <v>25</v>
      </c>
      <c r="D2042" s="6" t="s">
        <v>25</v>
      </c>
      <c r="E2042" s="7">
        <f>VLOOKUP(A2042,Sheet2!$A$2:$R$3432,4,0)</f>
        <v>9975141414</v>
      </c>
      <c r="F2042" s="7" t="str">
        <f>VLOOKUP(A2042,Sheet2!$A$2:$R$3432,3,0)</f>
        <v>Deepak </v>
      </c>
      <c r="G2042" s="5" t="s">
        <v>25</v>
      </c>
      <c r="H2042" s="5" t="s">
        <v>25</v>
      </c>
      <c r="I2042" s="5" t="s">
        <v>25</v>
      </c>
      <c r="J2042" s="5" t="s">
        <v>25</v>
      </c>
      <c r="K2042" s="7" t="str">
        <f>VLOOKUP(A2042,Sheet2!$A$2:$R$3432,6,0)</f>
        <v>TVS Jupiter </v>
      </c>
      <c r="L2042" s="5" t="s">
        <v>25</v>
      </c>
      <c r="M2042" s="7" t="str">
        <f>VLOOKUP(A2042,Sheet2!$A$2:$R$3432,5,0)</f>
        <v>MH14HN0924</v>
      </c>
      <c r="N2042" s="5" t="s">
        <v>25</v>
      </c>
      <c r="O2042" s="5" t="s">
        <v>25</v>
      </c>
      <c r="P2042" s="6" t="s">
        <v>25</v>
      </c>
      <c r="Q2042" s="5" t="s">
        <v>25</v>
      </c>
      <c r="R2042" s="5" t="s">
        <v>25</v>
      </c>
      <c r="S2042" s="5" t="str">
        <f>VLOOKUP(A2042,Sheet2!$A$2:$R$3432,18,0)</f>
        <v>DG4NJ2608725</v>
      </c>
      <c r="T2042" s="7" t="str">
        <f>VLOOKUP(A2042,Sheet2!$A$2:$R$3432,17,0)</f>
        <v>MD626E442JN204058</v>
      </c>
    </row>
    <row r="2043" ht="15.75" customHeight="1">
      <c r="A2043" s="3" t="s">
        <v>2066</v>
      </c>
      <c r="B2043" s="4" t="str">
        <f>VLOOKUP(A2043,Sheet2!$A$2:$R$3432,2,0)</f>
        <v>2024-08-30 12:47:28</v>
      </c>
      <c r="C2043" s="5" t="s">
        <v>25</v>
      </c>
      <c r="D2043" s="6" t="s">
        <v>25</v>
      </c>
      <c r="E2043" s="7">
        <f>VLOOKUP(A2043,Sheet2!$A$2:$R$3432,4,0)</f>
        <v>7387680231</v>
      </c>
      <c r="F2043" s="7" t="str">
        <f>VLOOKUP(A2043,Sheet2!$A$2:$R$3432,3,0)</f>
        <v>GORAKH</v>
      </c>
      <c r="G2043" s="5" t="s">
        <v>25</v>
      </c>
      <c r="H2043" s="5" t="s">
        <v>25</v>
      </c>
      <c r="I2043" s="5" t="s">
        <v>25</v>
      </c>
      <c r="J2043" s="5" t="s">
        <v>25</v>
      </c>
      <c r="K2043" s="7" t="str">
        <f>VLOOKUP(A2043,Sheet2!$A$2:$R$3432,6,0)</f>
        <v>Yamaha FZ S 2.0</v>
      </c>
      <c r="L2043" s="5" t="s">
        <v>25</v>
      </c>
      <c r="M2043" s="7" t="str">
        <f>VLOOKUP(A2043,Sheet2!$A$2:$R$3432,5,0)</f>
        <v>MH42AT6189</v>
      </c>
      <c r="N2043" s="5" t="s">
        <v>25</v>
      </c>
      <c r="O2043" s="5" t="s">
        <v>25</v>
      </c>
      <c r="P2043" s="6" t="s">
        <v>25</v>
      </c>
      <c r="Q2043" s="5" t="s">
        <v>25</v>
      </c>
      <c r="R2043" s="5" t="s">
        <v>25</v>
      </c>
      <c r="S2043" s="7" t="str">
        <f>VLOOKUP(A2043,Sheet2!$A$2:$R$3432,18,0)</f>
        <v/>
      </c>
      <c r="T2043" s="7" t="str">
        <f>VLOOKUP(A2043,Sheet2!$A$2:$R$3432,17,0)</f>
        <v/>
      </c>
    </row>
    <row r="2044" ht="15.75" customHeight="1">
      <c r="A2044" s="3" t="s">
        <v>2067</v>
      </c>
      <c r="B2044" s="4" t="str">
        <f>VLOOKUP(A2044,Sheet2!$A$2:$R$3432,2,0)</f>
        <v>2024-08-30 12:50:26</v>
      </c>
      <c r="C2044" s="5" t="s">
        <v>25</v>
      </c>
      <c r="D2044" s="6" t="s">
        <v>25</v>
      </c>
      <c r="E2044" s="7">
        <f>VLOOKUP(A2044,Sheet2!$A$2:$R$3432,4,0)</f>
        <v>9284046204</v>
      </c>
      <c r="F2044" s="7" t="str">
        <f>VLOOKUP(A2044,Sheet2!$A$2:$R$3432,3,0)</f>
        <v>MAYURI BAGADE</v>
      </c>
      <c r="G2044" s="5" t="s">
        <v>25</v>
      </c>
      <c r="H2044" s="5" t="s">
        <v>25</v>
      </c>
      <c r="I2044" s="5" t="s">
        <v>25</v>
      </c>
      <c r="J2044" s="5" t="s">
        <v>25</v>
      </c>
      <c r="K2044" s="7" t="str">
        <f>VLOOKUP(A2044,Sheet2!$A$2:$R$3432,6,0)</f>
        <v>TVS Jupiter </v>
      </c>
      <c r="L2044" s="5" t="s">
        <v>25</v>
      </c>
      <c r="M2044" s="7" t="str">
        <f>VLOOKUP(A2044,Sheet2!$A$2:$R$3432,5,0)</f>
        <v>MH11CC9685</v>
      </c>
      <c r="N2044" s="5" t="s">
        <v>25</v>
      </c>
      <c r="O2044" s="5" t="s">
        <v>25</v>
      </c>
      <c r="P2044" s="6" t="s">
        <v>25</v>
      </c>
      <c r="Q2044" s="5" t="s">
        <v>25</v>
      </c>
      <c r="R2044" s="5" t="s">
        <v>25</v>
      </c>
      <c r="S2044" s="7" t="str">
        <f>VLOOKUP(A2044,Sheet2!$A$2:$R$3432,18,0)</f>
        <v/>
      </c>
      <c r="T2044" s="7" t="str">
        <f>VLOOKUP(A2044,Sheet2!$A$2:$R$3432,17,0)</f>
        <v/>
      </c>
    </row>
    <row r="2045" ht="15.75" customHeight="1">
      <c r="A2045" s="3" t="s">
        <v>2068</v>
      </c>
      <c r="B2045" s="4" t="str">
        <f>VLOOKUP(A2045,Sheet2!$A$2:$R$3432,2,0)</f>
        <v>2024-08-30 12:49:20</v>
      </c>
      <c r="C2045" s="5" t="s">
        <v>25</v>
      </c>
      <c r="D2045" s="6" t="s">
        <v>25</v>
      </c>
      <c r="E2045" s="7">
        <f>VLOOKUP(A2045,Sheet2!$A$2:$R$3432,4,0)</f>
        <v>9890471821</v>
      </c>
      <c r="F2045" s="7" t="str">
        <f>VLOOKUP(A2045,Sheet2!$A$2:$R$3432,3,0)</f>
        <v>ANAND GUNDHECHA</v>
      </c>
      <c r="G2045" s="5" t="s">
        <v>25</v>
      </c>
      <c r="H2045" s="5" t="s">
        <v>25</v>
      </c>
      <c r="I2045" s="5" t="s">
        <v>25</v>
      </c>
      <c r="J2045" s="5" t="s">
        <v>25</v>
      </c>
      <c r="K2045" s="7" t="str">
        <f>VLOOKUP(A2045,Sheet2!$A$2:$R$3432,6,0)</f>
        <v>Honda Activa 125</v>
      </c>
      <c r="L2045" s="5" t="s">
        <v>25</v>
      </c>
      <c r="M2045" s="7" t="str">
        <f>VLOOKUP(A2045,Sheet2!$A$2:$R$3432,5,0)</f>
        <v>MH14EN9002</v>
      </c>
      <c r="N2045" s="5" t="s">
        <v>25</v>
      </c>
      <c r="O2045" s="5" t="s">
        <v>25</v>
      </c>
      <c r="P2045" s="6" t="s">
        <v>25</v>
      </c>
      <c r="Q2045" s="5" t="s">
        <v>25</v>
      </c>
      <c r="R2045" s="5" t="s">
        <v>25</v>
      </c>
      <c r="S2045" s="7" t="str">
        <f>VLOOKUP(A2045,Sheet2!$A$2:$R$3432,18,0)</f>
        <v/>
      </c>
      <c r="T2045" s="7" t="str">
        <f>VLOOKUP(A2045,Sheet2!$A$2:$R$3432,17,0)</f>
        <v/>
      </c>
    </row>
    <row r="2046" ht="15.75" customHeight="1">
      <c r="A2046" s="3" t="s">
        <v>2069</v>
      </c>
      <c r="B2046" s="4" t="str">
        <f>VLOOKUP(A2046,Sheet2!$A$2:$R$3432,2,0)</f>
        <v>2024-08-30 12:37:31</v>
      </c>
      <c r="C2046" s="5" t="s">
        <v>25</v>
      </c>
      <c r="D2046" s="6" t="s">
        <v>25</v>
      </c>
      <c r="E2046" s="7">
        <f>VLOOKUP(A2046,Sheet2!$A$2:$R$3432,4,0)</f>
        <v>9404254482</v>
      </c>
      <c r="F2046" s="7" t="str">
        <f>VLOOKUP(A2046,Sheet2!$A$2:$R$3432,3,0)</f>
        <v>TEJAS RAUT</v>
      </c>
      <c r="G2046" s="5" t="s">
        <v>25</v>
      </c>
      <c r="H2046" s="5" t="s">
        <v>25</v>
      </c>
      <c r="I2046" s="5" t="s">
        <v>25</v>
      </c>
      <c r="J2046" s="5" t="s">
        <v>25</v>
      </c>
      <c r="K2046" s="7" t="str">
        <f>VLOOKUP(A2046,Sheet2!$A$2:$R$3432,6,0)</f>
        <v>Yamaha FZ V3</v>
      </c>
      <c r="L2046" s="5" t="s">
        <v>25</v>
      </c>
      <c r="M2046" s="7" t="str">
        <f>VLOOKUP(A2046,Sheet2!$A$2:$R$3432,5,0)</f>
        <v>MH37Y9323</v>
      </c>
      <c r="N2046" s="5" t="s">
        <v>25</v>
      </c>
      <c r="O2046" s="5" t="s">
        <v>25</v>
      </c>
      <c r="P2046" s="6" t="s">
        <v>25</v>
      </c>
      <c r="Q2046" s="5" t="s">
        <v>25</v>
      </c>
      <c r="R2046" s="5" t="s">
        <v>25</v>
      </c>
      <c r="S2046" s="5" t="str">
        <f>VLOOKUP(A2046,Sheet2!$A$2:$R$3432,18,0)</f>
        <v>G3L5E0097468</v>
      </c>
      <c r="T2046" s="7" t="str">
        <f>VLOOKUP(A2046,Sheet2!$A$2:$R$3432,17,0)</f>
        <v>ME1RG44G5K0035485</v>
      </c>
    </row>
    <row r="2047" ht="15.75" customHeight="1">
      <c r="A2047" s="3" t="s">
        <v>2070</v>
      </c>
      <c r="B2047" s="4" t="str">
        <f>VLOOKUP(A2047,Sheet2!$A$2:$R$3432,2,0)</f>
        <v>2024-08-30 12:39:15</v>
      </c>
      <c r="C2047" s="5" t="s">
        <v>25</v>
      </c>
      <c r="D2047" s="6" t="s">
        <v>25</v>
      </c>
      <c r="E2047" s="7">
        <f>VLOOKUP(A2047,Sheet2!$A$2:$R$3432,4,0)</f>
        <v>9561493784</v>
      </c>
      <c r="F2047" s="7" t="str">
        <f>VLOOKUP(A2047,Sheet2!$A$2:$R$3432,3,0)</f>
        <v>Maksud Shaikh</v>
      </c>
      <c r="G2047" s="5" t="s">
        <v>25</v>
      </c>
      <c r="H2047" s="5" t="s">
        <v>25</v>
      </c>
      <c r="I2047" s="5" t="s">
        <v>25</v>
      </c>
      <c r="J2047" s="5" t="s">
        <v>25</v>
      </c>
      <c r="K2047" s="7" t="str">
        <f>VLOOKUP(A2047,Sheet2!$A$2:$R$3432,6,0)</f>
        <v>Honda Activa 110</v>
      </c>
      <c r="L2047" s="5" t="s">
        <v>25</v>
      </c>
      <c r="M2047" s="7" t="str">
        <f>VLOOKUP(A2047,Sheet2!$A$2:$R$3432,5,0)</f>
        <v>MH13BW1894</v>
      </c>
      <c r="N2047" s="5" t="s">
        <v>25</v>
      </c>
      <c r="O2047" s="5" t="s">
        <v>25</v>
      </c>
      <c r="P2047" s="6" t="s">
        <v>25</v>
      </c>
      <c r="Q2047" s="5" t="s">
        <v>25</v>
      </c>
      <c r="R2047" s="5" t="s">
        <v>25</v>
      </c>
      <c r="S2047" s="7" t="str">
        <f>VLOOKUP(A2047,Sheet2!$A$2:$R$3432,18,0)</f>
        <v/>
      </c>
      <c r="T2047" s="7" t="str">
        <f>VLOOKUP(A2047,Sheet2!$A$2:$R$3432,17,0)</f>
        <v>ME4JF502FE7106660</v>
      </c>
    </row>
    <row r="2048" ht="15.75" customHeight="1">
      <c r="A2048" s="3" t="s">
        <v>2071</v>
      </c>
      <c r="B2048" s="4" t="str">
        <f>VLOOKUP(A2048,Sheet2!$A$2:$R$3432,2,0)</f>
        <v>2024-08-30 12:38:08</v>
      </c>
      <c r="C2048" s="5" t="s">
        <v>25</v>
      </c>
      <c r="D2048" s="6" t="s">
        <v>25</v>
      </c>
      <c r="E2048" s="7">
        <f>VLOOKUP(A2048,Sheet2!$A$2:$R$3432,4,0)</f>
        <v>8087392067</v>
      </c>
      <c r="F2048" s="7" t="str">
        <f>VLOOKUP(A2048,Sheet2!$A$2:$R$3432,3,0)</f>
        <v>SATYAJEET </v>
      </c>
      <c r="G2048" s="5" t="s">
        <v>25</v>
      </c>
      <c r="H2048" s="5" t="s">
        <v>25</v>
      </c>
      <c r="I2048" s="5" t="s">
        <v>25</v>
      </c>
      <c r="J2048" s="5" t="s">
        <v>25</v>
      </c>
      <c r="K2048" s="7" t="str">
        <f>VLOOKUP(A2048,Sheet2!$A$2:$R$3432,6,0)</f>
        <v>Suzuki Access  125 BS6</v>
      </c>
      <c r="L2048" s="5" t="s">
        <v>25</v>
      </c>
      <c r="M2048" s="7" t="str">
        <f>VLOOKUP(A2048,Sheet2!$A$2:$R$3432,5,0)</f>
        <v>MH14HX5170</v>
      </c>
      <c r="N2048" s="5" t="s">
        <v>25</v>
      </c>
      <c r="O2048" s="5" t="s">
        <v>25</v>
      </c>
      <c r="P2048" s="6" t="s">
        <v>25</v>
      </c>
      <c r="Q2048" s="5" t="s">
        <v>25</v>
      </c>
      <c r="R2048" s="5" t="s">
        <v>25</v>
      </c>
      <c r="S2048" s="7" t="str">
        <f>VLOOKUP(A2048,Sheet2!$A$2:$R$3432,18,0)</f>
        <v/>
      </c>
      <c r="T2048" s="7" t="str">
        <f>VLOOKUP(A2048,Sheet2!$A$2:$R$3432,17,0)</f>
        <v/>
      </c>
    </row>
    <row r="2049" ht="15.75" customHeight="1">
      <c r="A2049" s="3" t="s">
        <v>2072</v>
      </c>
      <c r="B2049" s="4" t="str">
        <f>VLOOKUP(A2049,Sheet2!$A$2:$R$3432,2,0)</f>
        <v>2024-08-30 12:48:26</v>
      </c>
      <c r="C2049" s="5" t="s">
        <v>25</v>
      </c>
      <c r="D2049" s="6" t="s">
        <v>25</v>
      </c>
      <c r="E2049" s="7">
        <f>VLOOKUP(A2049,Sheet2!$A$2:$R$3432,4,0)</f>
        <v>7588229241</v>
      </c>
      <c r="F2049" s="7" t="str">
        <f>VLOOKUP(A2049,Sheet2!$A$2:$R$3432,3,0)</f>
        <v>Vikas Madane</v>
      </c>
      <c r="G2049" s="5" t="s">
        <v>25</v>
      </c>
      <c r="H2049" s="5" t="s">
        <v>25</v>
      </c>
      <c r="I2049" s="5" t="s">
        <v>25</v>
      </c>
      <c r="J2049" s="5" t="s">
        <v>25</v>
      </c>
      <c r="K2049" s="7" t="str">
        <f>VLOOKUP(A2049,Sheet2!$A$2:$R$3432,6,0)</f>
        <v>Honda Activa 125</v>
      </c>
      <c r="L2049" s="5" t="s">
        <v>25</v>
      </c>
      <c r="M2049" s="7" t="str">
        <f>VLOOKUP(A2049,Sheet2!$A$2:$R$3432,5,0)</f>
        <v>MH14FJ9019</v>
      </c>
      <c r="N2049" s="5" t="s">
        <v>25</v>
      </c>
      <c r="O2049" s="5" t="s">
        <v>25</v>
      </c>
      <c r="P2049" s="6" t="s">
        <v>25</v>
      </c>
      <c r="Q2049" s="5" t="s">
        <v>25</v>
      </c>
      <c r="R2049" s="5" t="s">
        <v>25</v>
      </c>
      <c r="S2049" s="5" t="str">
        <f>VLOOKUP(A2049,Sheet2!$A$2:$R$3432,18,0)</f>
        <v>JF49E81103763</v>
      </c>
      <c r="T2049" s="7" t="str">
        <f>VLOOKUP(A2049,Sheet2!$A$2:$R$3432,17,0)</f>
        <v>ME4JF493LF8090047</v>
      </c>
    </row>
    <row r="2050" ht="15.75" customHeight="1">
      <c r="A2050" s="3" t="s">
        <v>2073</v>
      </c>
      <c r="B2050" s="4" t="str">
        <f>VLOOKUP(A2050,Sheet2!$A$2:$R$3432,2,0)</f>
        <v>2024-08-30 20:09:09</v>
      </c>
      <c r="C2050" s="5" t="s">
        <v>25</v>
      </c>
      <c r="D2050" s="6" t="s">
        <v>25</v>
      </c>
      <c r="E2050" s="7">
        <f>VLOOKUP(A2050,Sheet2!$A$2:$R$3432,4,0)</f>
        <v>8888844727</v>
      </c>
      <c r="F2050" s="7" t="str">
        <f>VLOOKUP(A2050,Sheet2!$A$2:$R$3432,3,0)</f>
        <v>Sachin Walukar</v>
      </c>
      <c r="G2050" s="5" t="s">
        <v>25</v>
      </c>
      <c r="H2050" s="5" t="s">
        <v>25</v>
      </c>
      <c r="I2050" s="5" t="s">
        <v>25</v>
      </c>
      <c r="J2050" s="5" t="s">
        <v>25</v>
      </c>
      <c r="K2050" s="7" t="str">
        <f>VLOOKUP(A2050,Sheet2!$A$2:$R$3432,6,0)</f>
        <v>TVS Jupiter </v>
      </c>
      <c r="L2050" s="5" t="s">
        <v>25</v>
      </c>
      <c r="M2050" s="7" t="str">
        <f>VLOOKUP(A2050,Sheet2!$A$2:$R$3432,5,0)</f>
        <v>MH14EV1417</v>
      </c>
      <c r="N2050" s="5" t="s">
        <v>25</v>
      </c>
      <c r="O2050" s="5" t="s">
        <v>25</v>
      </c>
      <c r="P2050" s="6" t="s">
        <v>25</v>
      </c>
      <c r="Q2050" s="5" t="s">
        <v>25</v>
      </c>
      <c r="R2050" s="5" t="s">
        <v>25</v>
      </c>
      <c r="S2050" s="7" t="str">
        <f>VLOOKUP(A2050,Sheet2!$A$2:$R$3432,18,0)</f>
        <v/>
      </c>
      <c r="T2050" s="7" t="str">
        <f>VLOOKUP(A2050,Sheet2!$A$2:$R$3432,17,0)</f>
        <v>MD62BG4XFJA12439</v>
      </c>
    </row>
    <row r="2051" ht="15.75" customHeight="1">
      <c r="A2051" s="3" t="s">
        <v>2074</v>
      </c>
      <c r="B2051" s="4" t="str">
        <f>VLOOKUP(A2051,Sheet2!$A$2:$R$3432,2,0)</f>
        <v>2024-08-30 20:08:23</v>
      </c>
      <c r="C2051" s="5" t="s">
        <v>25</v>
      </c>
      <c r="D2051" s="6" t="s">
        <v>25</v>
      </c>
      <c r="E2051" s="7">
        <f>VLOOKUP(A2051,Sheet2!$A$2:$R$3432,4,0)</f>
        <v>7387680231</v>
      </c>
      <c r="F2051" s="7" t="str">
        <f>VLOOKUP(A2051,Sheet2!$A$2:$R$3432,3,0)</f>
        <v>GORAKH</v>
      </c>
      <c r="G2051" s="5" t="s">
        <v>25</v>
      </c>
      <c r="H2051" s="5" t="s">
        <v>25</v>
      </c>
      <c r="I2051" s="5" t="s">
        <v>25</v>
      </c>
      <c r="J2051" s="5" t="s">
        <v>25</v>
      </c>
      <c r="K2051" s="7" t="str">
        <f>VLOOKUP(A2051,Sheet2!$A$2:$R$3432,6,0)</f>
        <v>TVS Jupiter 125</v>
      </c>
      <c r="L2051" s="5" t="s">
        <v>25</v>
      </c>
      <c r="M2051" s="7" t="str">
        <f>VLOOKUP(A2051,Sheet2!$A$2:$R$3432,5,0)</f>
        <v>MH12VH4680</v>
      </c>
      <c r="N2051" s="5" t="s">
        <v>25</v>
      </c>
      <c r="O2051" s="5" t="s">
        <v>25</v>
      </c>
      <c r="P2051" s="6" t="s">
        <v>25</v>
      </c>
      <c r="Q2051" s="5" t="s">
        <v>25</v>
      </c>
      <c r="R2051" s="5" t="s">
        <v>25</v>
      </c>
      <c r="S2051" s="5" t="str">
        <f>VLOOKUP(A2051,Sheet2!$A$2:$R$3432,18,0)</f>
        <v>BK4BP1023223</v>
      </c>
      <c r="T2051" s="7" t="str">
        <f>VLOOKUP(A2051,Sheet2!$A$2:$R$3432,17,0)</f>
        <v>MD626BAK48P125597</v>
      </c>
    </row>
    <row r="2052" ht="15.75" customHeight="1">
      <c r="A2052" s="3" t="s">
        <v>2075</v>
      </c>
      <c r="B2052" s="4" t="str">
        <f>VLOOKUP(A2052,Sheet2!$A$2:$R$3432,2,0)</f>
        <v>2024-08-30 20:08:07</v>
      </c>
      <c r="C2052" s="5" t="s">
        <v>25</v>
      </c>
      <c r="D2052" s="6" t="s">
        <v>25</v>
      </c>
      <c r="E2052" s="7">
        <f>VLOOKUP(A2052,Sheet2!$A$2:$R$3432,4,0)</f>
        <v>9225533236</v>
      </c>
      <c r="F2052" s="7" t="str">
        <f>VLOOKUP(A2052,Sheet2!$A$2:$R$3432,3,0)</f>
        <v>Mukesh Rane</v>
      </c>
      <c r="G2052" s="5" t="s">
        <v>25</v>
      </c>
      <c r="H2052" s="5" t="s">
        <v>25</v>
      </c>
      <c r="I2052" s="5" t="s">
        <v>25</v>
      </c>
      <c r="J2052" s="5" t="s">
        <v>25</v>
      </c>
      <c r="K2052" s="7" t="str">
        <f>VLOOKUP(A2052,Sheet2!$A$2:$R$3432,6,0)</f>
        <v>Hero Maestro </v>
      </c>
      <c r="L2052" s="5" t="s">
        <v>25</v>
      </c>
      <c r="M2052" s="7" t="str">
        <f>VLOOKUP(A2052,Sheet2!$A$2:$R$3432,5,0)</f>
        <v>MH15ET5278</v>
      </c>
      <c r="N2052" s="5" t="s">
        <v>25</v>
      </c>
      <c r="O2052" s="5" t="s">
        <v>25</v>
      </c>
      <c r="P2052" s="6" t="s">
        <v>25</v>
      </c>
      <c r="Q2052" s="5" t="s">
        <v>25</v>
      </c>
      <c r="R2052" s="5" t="s">
        <v>25</v>
      </c>
      <c r="S2052" s="7" t="str">
        <f>VLOOKUP(A2052,Sheet2!$A$2:$R$3432,18,0)</f>
        <v/>
      </c>
      <c r="T2052" s="7" t="str">
        <f>VLOOKUP(A2052,Sheet2!$A$2:$R$3432,17,0)</f>
        <v>MBLJF32AEEGL00900</v>
      </c>
    </row>
    <row r="2053" ht="15.75" customHeight="1">
      <c r="A2053" s="3" t="s">
        <v>2076</v>
      </c>
      <c r="B2053" s="4" t="str">
        <f>VLOOKUP(A2053,Sheet2!$A$2:$R$3432,2,0)</f>
        <v>2024-08-30 20:06:18</v>
      </c>
      <c r="C2053" s="5" t="s">
        <v>25</v>
      </c>
      <c r="D2053" s="6" t="s">
        <v>25</v>
      </c>
      <c r="E2053" s="7">
        <f>VLOOKUP(A2053,Sheet2!$A$2:$R$3432,4,0)</f>
        <v>8446142636</v>
      </c>
      <c r="F2053" s="7" t="str">
        <f>VLOOKUP(A2053,Sheet2!$A$2:$R$3432,3,0)</f>
        <v>HARSHAL KAPSE </v>
      </c>
      <c r="G2053" s="5" t="s">
        <v>25</v>
      </c>
      <c r="H2053" s="5" t="s">
        <v>25</v>
      </c>
      <c r="I2053" s="5" t="s">
        <v>25</v>
      </c>
      <c r="J2053" s="5" t="s">
        <v>25</v>
      </c>
      <c r="K2053" s="7" t="str">
        <f>VLOOKUP(A2053,Sheet2!$A$2:$R$3432,6,0)</f>
        <v>Bajaj Pulsar 200 NS</v>
      </c>
      <c r="L2053" s="5" t="s">
        <v>25</v>
      </c>
      <c r="M2053" s="7" t="str">
        <f>VLOOKUP(A2053,Sheet2!$A$2:$R$3432,5,0)</f>
        <v>MH14HA6342</v>
      </c>
      <c r="N2053" s="5" t="s">
        <v>25</v>
      </c>
      <c r="O2053" s="5" t="s">
        <v>25</v>
      </c>
      <c r="P2053" s="6" t="s">
        <v>25</v>
      </c>
      <c r="Q2053" s="5" t="s">
        <v>25</v>
      </c>
      <c r="R2053" s="5" t="s">
        <v>25</v>
      </c>
      <c r="S2053" s="5" t="str">
        <f>VLOOKUP(A2053,Sheet2!$A$2:$R$3432,18,0)</f>
        <v>JLYCJB34714</v>
      </c>
      <c r="T2053" s="7" t="str">
        <f>VLOOKUP(A2053,Sheet2!$A$2:$R$3432,17,0)</f>
        <v>MD2A36FY7JCB36957</v>
      </c>
    </row>
    <row r="2054" ht="15.75" customHeight="1">
      <c r="A2054" s="3" t="s">
        <v>2077</v>
      </c>
      <c r="B2054" s="4" t="str">
        <f>VLOOKUP(A2054,Sheet2!$A$2:$R$3432,2,0)</f>
        <v>2024-08-30 20:06:54</v>
      </c>
      <c r="C2054" s="5" t="s">
        <v>25</v>
      </c>
      <c r="D2054" s="6" t="s">
        <v>25</v>
      </c>
      <c r="E2054" s="7">
        <f>VLOOKUP(A2054,Sheet2!$A$2:$R$3432,4,0)</f>
        <v>8380076221</v>
      </c>
      <c r="F2054" s="7" t="str">
        <f>VLOOKUP(A2054,Sheet2!$A$2:$R$3432,3,0)</f>
        <v>ANUJ BHATNAGAR </v>
      </c>
      <c r="G2054" s="5" t="s">
        <v>25</v>
      </c>
      <c r="H2054" s="5" t="s">
        <v>25</v>
      </c>
      <c r="I2054" s="5" t="s">
        <v>25</v>
      </c>
      <c r="J2054" s="5" t="s">
        <v>25</v>
      </c>
      <c r="K2054" s="7" t="str">
        <f>VLOOKUP(A2054,Sheet2!$A$2:$R$3432,6,0)</f>
        <v>Honda Activa 5G</v>
      </c>
      <c r="L2054" s="5" t="s">
        <v>25</v>
      </c>
      <c r="M2054" s="7" t="str">
        <f>VLOOKUP(A2054,Sheet2!$A$2:$R$3432,5,0)</f>
        <v>MH14HN6467</v>
      </c>
      <c r="N2054" s="5" t="s">
        <v>25</v>
      </c>
      <c r="O2054" s="5" t="s">
        <v>25</v>
      </c>
      <c r="P2054" s="6" t="s">
        <v>25</v>
      </c>
      <c r="Q2054" s="5" t="s">
        <v>25</v>
      </c>
      <c r="R2054" s="5" t="s">
        <v>25</v>
      </c>
      <c r="S2054" s="5" t="str">
        <f>VLOOKUP(A2054,Sheet2!$A$2:$R$3432,18,0)</f>
        <v>JF50EU7445062</v>
      </c>
      <c r="T2054" s="7" t="str">
        <f>VLOOKUP(A2054,Sheet2!$A$2:$R$3432,17,0)</f>
        <v>ME4JF50AAKU446120</v>
      </c>
    </row>
    <row r="2055" ht="15.75" customHeight="1">
      <c r="A2055" s="3" t="s">
        <v>2078</v>
      </c>
      <c r="B2055" s="4" t="str">
        <f>VLOOKUP(A2055,Sheet2!$A$2:$R$3432,2,0)</f>
        <v>2024-08-30 19:07:27</v>
      </c>
      <c r="C2055" s="5" t="s">
        <v>25</v>
      </c>
      <c r="D2055" s="6" t="s">
        <v>25</v>
      </c>
      <c r="E2055" s="7">
        <f>VLOOKUP(A2055,Sheet2!$A$2:$R$3432,4,0)</f>
        <v>9372420714</v>
      </c>
      <c r="F2055" s="7" t="str">
        <f>VLOOKUP(A2055,Sheet2!$A$2:$R$3432,3,0)</f>
        <v>Amit Sonawane</v>
      </c>
      <c r="G2055" s="5" t="s">
        <v>25</v>
      </c>
      <c r="H2055" s="5" t="s">
        <v>25</v>
      </c>
      <c r="I2055" s="5" t="s">
        <v>25</v>
      </c>
      <c r="J2055" s="5" t="s">
        <v>25</v>
      </c>
      <c r="K2055" s="7" t="str">
        <f>VLOOKUP(A2055,Sheet2!$A$2:$R$3432,6,0)</f>
        <v>TVS Jupiter </v>
      </c>
      <c r="L2055" s="5" t="s">
        <v>25</v>
      </c>
      <c r="M2055" s="7" t="str">
        <f>VLOOKUP(A2055,Sheet2!$A$2:$R$3432,5,0)</f>
        <v>MH14FP4404</v>
      </c>
      <c r="N2055" s="5" t="s">
        <v>25</v>
      </c>
      <c r="O2055" s="5" t="s">
        <v>25</v>
      </c>
      <c r="P2055" s="6" t="s">
        <v>25</v>
      </c>
      <c r="Q2055" s="5" t="s">
        <v>25</v>
      </c>
      <c r="R2055" s="5" t="s">
        <v>25</v>
      </c>
      <c r="S2055" s="7" t="str">
        <f>VLOOKUP(A2055,Sheet2!$A$2:$R$3432,18,0)</f>
        <v/>
      </c>
      <c r="T2055" s="7" t="str">
        <f>VLOOKUP(A2055,Sheet2!$A$2:$R$3432,17,0)</f>
        <v>MD626BG42G1C91466</v>
      </c>
    </row>
    <row r="2056" ht="15.75" customHeight="1">
      <c r="A2056" s="3" t="s">
        <v>2079</v>
      </c>
      <c r="B2056" s="4" t="str">
        <f>VLOOKUP(A2056,Sheet2!$A$2:$R$3432,2,0)</f>
        <v>2024-08-30 19:09:14</v>
      </c>
      <c r="C2056" s="5" t="s">
        <v>25</v>
      </c>
      <c r="D2056" s="6" t="s">
        <v>25</v>
      </c>
      <c r="E2056" s="7">
        <f>VLOOKUP(A2056,Sheet2!$A$2:$R$3432,4,0)</f>
        <v>9823896993</v>
      </c>
      <c r="F2056" s="7" t="str">
        <f>VLOOKUP(A2056,Sheet2!$A$2:$R$3432,3,0)</f>
        <v>M/S POSITIVE ENTERPRISE </v>
      </c>
      <c r="G2056" s="5" t="s">
        <v>25</v>
      </c>
      <c r="H2056" s="5" t="s">
        <v>25</v>
      </c>
      <c r="I2056" s="5" t="s">
        <v>25</v>
      </c>
      <c r="J2056" s="5" t="s">
        <v>25</v>
      </c>
      <c r="K2056" s="7" t="str">
        <f>VLOOKUP(A2056,Sheet2!$A$2:$R$3432,6,0)</f>
        <v>Suzuki Access 125</v>
      </c>
      <c r="L2056" s="5" t="s">
        <v>25</v>
      </c>
      <c r="M2056" s="7" t="str">
        <f>VLOOKUP(A2056,Sheet2!$A$2:$R$3432,5,0)</f>
        <v>MH14DV9097</v>
      </c>
      <c r="N2056" s="5" t="s">
        <v>25</v>
      </c>
      <c r="O2056" s="5" t="s">
        <v>25</v>
      </c>
      <c r="P2056" s="6" t="s">
        <v>25</v>
      </c>
      <c r="Q2056" s="5" t="s">
        <v>25</v>
      </c>
      <c r="R2056" s="5" t="s">
        <v>25</v>
      </c>
      <c r="S2056" s="7" t="str">
        <f>VLOOKUP(A2056,Sheet2!$A$2:$R$3432,18,0)</f>
        <v/>
      </c>
      <c r="T2056" s="7" t="str">
        <f>VLOOKUP(A2056,Sheet2!$A$2:$R$3432,17,0)</f>
        <v/>
      </c>
    </row>
    <row r="2057" ht="15.75" customHeight="1">
      <c r="A2057" s="3" t="s">
        <v>2080</v>
      </c>
      <c r="B2057" s="4" t="str">
        <f>VLOOKUP(A2057,Sheet2!$A$2:$R$3432,2,0)</f>
        <v>2024-08-30 19:11:11</v>
      </c>
      <c r="C2057" s="5" t="s">
        <v>25</v>
      </c>
      <c r="D2057" s="6" t="s">
        <v>25</v>
      </c>
      <c r="E2057" s="7">
        <f>VLOOKUP(A2057,Sheet2!$A$2:$R$3432,4,0)</f>
        <v>8805911335</v>
      </c>
      <c r="F2057" s="7" t="str">
        <f>VLOOKUP(A2057,Sheet2!$A$2:$R$3432,3,0)</f>
        <v>YAMANAPPA </v>
      </c>
      <c r="G2057" s="5" t="s">
        <v>25</v>
      </c>
      <c r="H2057" s="5" t="s">
        <v>25</v>
      </c>
      <c r="I2057" s="5" t="s">
        <v>25</v>
      </c>
      <c r="J2057" s="5" t="s">
        <v>25</v>
      </c>
      <c r="K2057" s="7" t="str">
        <f>VLOOKUP(A2057,Sheet2!$A$2:$R$3432,6,0)</f>
        <v>TVS Wego Basic</v>
      </c>
      <c r="L2057" s="5" t="s">
        <v>25</v>
      </c>
      <c r="M2057" s="7" t="str">
        <f>VLOOKUP(A2057,Sheet2!$A$2:$R$3432,5,0)</f>
        <v>MH14EW296</v>
      </c>
      <c r="N2057" s="5" t="s">
        <v>25</v>
      </c>
      <c r="O2057" s="5" t="s">
        <v>25</v>
      </c>
      <c r="P2057" s="6" t="s">
        <v>25</v>
      </c>
      <c r="Q2057" s="5" t="s">
        <v>25</v>
      </c>
      <c r="R2057" s="5" t="s">
        <v>25</v>
      </c>
      <c r="S2057" s="5" t="str">
        <f>VLOOKUP(A2057,Sheet2!$A$2:$R$3432,18,0)</f>
        <v>0G4NE1217524</v>
      </c>
      <c r="T2057" s="7" t="str">
        <f>VLOOKUP(A2057,Sheet2!$A$2:$R$3432,17,0)</f>
        <v>RUSTY FREME</v>
      </c>
    </row>
    <row r="2058" ht="15.75" customHeight="1">
      <c r="A2058" s="3" t="s">
        <v>2081</v>
      </c>
      <c r="B2058" s="4" t="str">
        <f>VLOOKUP(A2058,Sheet2!$A$2:$R$3432,2,0)</f>
        <v>2025-06-27 17:55:38</v>
      </c>
      <c r="C2058" s="5" t="s">
        <v>25</v>
      </c>
      <c r="D2058" s="6" t="s">
        <v>25</v>
      </c>
      <c r="E2058" s="7">
        <f>VLOOKUP(A2058,Sheet2!$A$2:$R$3432,4,0)</f>
        <v>8308747078</v>
      </c>
      <c r="F2058" s="7" t="str">
        <f>VLOOKUP(A2058,Sheet2!$A$2:$R$3432,3,0)</f>
        <v>Digvijay </v>
      </c>
      <c r="G2058" s="5" t="s">
        <v>25</v>
      </c>
      <c r="H2058" s="5" t="s">
        <v>25</v>
      </c>
      <c r="I2058" s="5" t="s">
        <v>25</v>
      </c>
      <c r="J2058" s="5" t="s">
        <v>25</v>
      </c>
      <c r="K2058" s="7" t="str">
        <f>VLOOKUP(A2058,Sheet2!$A$2:$R$3432,6,0)</f>
        <v>Suzuki Access 125</v>
      </c>
      <c r="L2058" s="5" t="s">
        <v>25</v>
      </c>
      <c r="M2058" s="7" t="str">
        <f>VLOOKUP(A2058,Sheet2!$A$2:$R$3432,5,0)</f>
        <v>MH14KM5690</v>
      </c>
      <c r="N2058" s="5" t="s">
        <v>25</v>
      </c>
      <c r="O2058" s="5" t="s">
        <v>25</v>
      </c>
      <c r="P2058" s="6" t="s">
        <v>25</v>
      </c>
      <c r="Q2058" s="5" t="s">
        <v>25</v>
      </c>
      <c r="R2058" s="5" t="s">
        <v>25</v>
      </c>
      <c r="S2058" s="7" t="str">
        <f>VLOOKUP(A2058,Sheet2!$A$2:$R$3432,18,0)</f>
        <v/>
      </c>
      <c r="T2058" s="7" t="str">
        <f>VLOOKUP(A2058,Sheet2!$A$2:$R$3432,17,0)</f>
        <v/>
      </c>
    </row>
    <row r="2059" ht="15.75" customHeight="1">
      <c r="A2059" s="3" t="s">
        <v>2082</v>
      </c>
      <c r="B2059" s="4" t="str">
        <f>VLOOKUP(A2059,Sheet2!$A$2:$R$3432,2,0)</f>
        <v>2025-06-27 17:59:12</v>
      </c>
      <c r="C2059" s="5" t="s">
        <v>25</v>
      </c>
      <c r="D2059" s="6" t="s">
        <v>25</v>
      </c>
      <c r="E2059" s="7">
        <f>VLOOKUP(A2059,Sheet2!$A$2:$R$3432,4,0)</f>
        <v>9028858380</v>
      </c>
      <c r="F2059" s="7" t="str">
        <f>VLOOKUP(A2059,Sheet2!$A$2:$R$3432,3,0)</f>
        <v>Vaishnav</v>
      </c>
      <c r="G2059" s="5" t="s">
        <v>25</v>
      </c>
      <c r="H2059" s="5" t="s">
        <v>25</v>
      </c>
      <c r="I2059" s="5" t="s">
        <v>25</v>
      </c>
      <c r="J2059" s="5" t="s">
        <v>25</v>
      </c>
      <c r="K2059" s="7" t="str">
        <f>VLOOKUP(A2059,Sheet2!$A$2:$R$3432,6,0)</f>
        <v>Hero Glamour </v>
      </c>
      <c r="L2059" s="5" t="s">
        <v>25</v>
      </c>
      <c r="M2059" s="7" t="str">
        <f>VLOOKUP(A2059,Sheet2!$A$2:$R$3432,5,0)</f>
        <v>MH20ER3240</v>
      </c>
      <c r="N2059" s="5" t="s">
        <v>25</v>
      </c>
      <c r="O2059" s="5" t="s">
        <v>25</v>
      </c>
      <c r="P2059" s="6" t="s">
        <v>25</v>
      </c>
      <c r="Q2059" s="5" t="s">
        <v>25</v>
      </c>
      <c r="R2059" s="5" t="s">
        <v>25</v>
      </c>
      <c r="S2059" s="7" t="str">
        <f>VLOOKUP(A2059,Sheet2!$A$2:$R$3432,18,0)</f>
        <v/>
      </c>
      <c r="T2059" s="7" t="str">
        <f>VLOOKUP(A2059,Sheet2!$A$2:$R$3432,17,0)</f>
        <v/>
      </c>
    </row>
    <row r="2060" ht="15.75" customHeight="1">
      <c r="A2060" s="3" t="s">
        <v>2083</v>
      </c>
      <c r="B2060" s="4" t="str">
        <f>VLOOKUP(A2060,Sheet2!$A$2:$R$3432,2,0)</f>
        <v>2025-06-27 20:31:07</v>
      </c>
      <c r="C2060" s="5" t="s">
        <v>25</v>
      </c>
      <c r="D2060" s="6" t="s">
        <v>25</v>
      </c>
      <c r="E2060" s="7">
        <f>VLOOKUP(A2060,Sheet2!$A$2:$R$3432,4,0)</f>
        <v>9156365605</v>
      </c>
      <c r="F2060" s="7" t="str">
        <f>VLOOKUP(A2060,Sheet2!$A$2:$R$3432,3,0)</f>
        <v>AKSHAY JADHAV</v>
      </c>
      <c r="G2060" s="5" t="s">
        <v>25</v>
      </c>
      <c r="H2060" s="5" t="s">
        <v>25</v>
      </c>
      <c r="I2060" s="5" t="s">
        <v>25</v>
      </c>
      <c r="J2060" s="5" t="s">
        <v>25</v>
      </c>
      <c r="K2060" s="7" t="str">
        <f>VLOOKUP(A2060,Sheet2!$A$2:$R$3432,6,0)</f>
        <v>Yamaha FZ S 2.0</v>
      </c>
      <c r="L2060" s="5" t="s">
        <v>25</v>
      </c>
      <c r="M2060" s="7" t="str">
        <f>VLOOKUP(A2060,Sheet2!$A$2:$R$3432,5,0)</f>
        <v>MH29AZ0216</v>
      </c>
      <c r="N2060" s="5" t="s">
        <v>25</v>
      </c>
      <c r="O2060" s="5" t="s">
        <v>25</v>
      </c>
      <c r="P2060" s="6" t="s">
        <v>25</v>
      </c>
      <c r="Q2060" s="5" t="s">
        <v>25</v>
      </c>
      <c r="R2060" s="5" t="s">
        <v>25</v>
      </c>
      <c r="S2060" s="5" t="str">
        <f>VLOOKUP(A2060,Sheet2!$A$2:$R$3432,18,0)</f>
        <v>G3C8E0402086</v>
      </c>
      <c r="T2060" s="7" t="str">
        <f>VLOOKUP(A2060,Sheet2!$A$2:$R$3432,17,0)</f>
        <v>ME1RG072BG0266529</v>
      </c>
    </row>
    <row r="2061" ht="15.75" customHeight="1">
      <c r="A2061" s="3" t="s">
        <v>2084</v>
      </c>
      <c r="B2061" s="4" t="str">
        <f>VLOOKUP(A2061,Sheet2!$A$2:$R$3432,2,0)</f>
        <v>2025-06-27 20:19:25</v>
      </c>
      <c r="C2061" s="5" t="s">
        <v>25</v>
      </c>
      <c r="D2061" s="6" t="s">
        <v>25</v>
      </c>
      <c r="E2061" s="7">
        <f>VLOOKUP(A2061,Sheet2!$A$2:$R$3432,4,0)</f>
        <v>9096122381</v>
      </c>
      <c r="F2061" s="7" t="str">
        <f>VLOOKUP(A2061,Sheet2!$A$2:$R$3432,3,0)</f>
        <v>Shardul</v>
      </c>
      <c r="G2061" s="5" t="s">
        <v>25</v>
      </c>
      <c r="H2061" s="5" t="s">
        <v>25</v>
      </c>
      <c r="I2061" s="5" t="s">
        <v>25</v>
      </c>
      <c r="J2061" s="5" t="s">
        <v>25</v>
      </c>
      <c r="K2061" s="7" t="str">
        <f>VLOOKUP(A2061,Sheet2!$A$2:$R$3432,6,0)</f>
        <v>TVS Jupiter 125</v>
      </c>
      <c r="L2061" s="5" t="s">
        <v>25</v>
      </c>
      <c r="M2061" s="7" t="str">
        <f>VLOOKUP(A2061,Sheet2!$A$2:$R$3432,5,0)</f>
        <v>MH31FW5584</v>
      </c>
      <c r="N2061" s="5" t="s">
        <v>25</v>
      </c>
      <c r="O2061" s="5" t="s">
        <v>25</v>
      </c>
      <c r="P2061" s="6" t="s">
        <v>25</v>
      </c>
      <c r="Q2061" s="5" t="s">
        <v>25</v>
      </c>
      <c r="R2061" s="5" t="s">
        <v>25</v>
      </c>
      <c r="S2061" s="5" t="str">
        <f>VLOOKUP(A2061,Sheet2!$A$2:$R$3432,18,0)</f>
        <v>BK4CP1102740</v>
      </c>
      <c r="T2061" s="7" t="str">
        <f>VLOOKUP(A2061,Sheet2!$A$2:$R$3432,17,0)</f>
        <v>MD626AK47P1C03022</v>
      </c>
    </row>
    <row r="2062" ht="15.75" customHeight="1">
      <c r="A2062" s="3" t="s">
        <v>2085</v>
      </c>
      <c r="B2062" s="4" t="str">
        <f>VLOOKUP(A2062,Sheet2!$A$2:$R$3432,2,0)</f>
        <v>2025-06-27 19:17:09</v>
      </c>
      <c r="C2062" s="5" t="s">
        <v>25</v>
      </c>
      <c r="D2062" s="6" t="s">
        <v>25</v>
      </c>
      <c r="E2062" s="7">
        <f>VLOOKUP(A2062,Sheet2!$A$2:$R$3432,4,0)</f>
        <v>7709901151</v>
      </c>
      <c r="F2062" s="7" t="str">
        <f>VLOOKUP(A2062,Sheet2!$A$2:$R$3432,3,0)</f>
        <v>ABHISHEK MURAI</v>
      </c>
      <c r="G2062" s="5" t="s">
        <v>25</v>
      </c>
      <c r="H2062" s="5" t="s">
        <v>25</v>
      </c>
      <c r="I2062" s="5" t="s">
        <v>25</v>
      </c>
      <c r="J2062" s="5" t="s">
        <v>25</v>
      </c>
      <c r="K2062" s="7" t="str">
        <f>VLOOKUP(A2062,Sheet2!$A$2:$R$3432,6,0)</f>
        <v>Honda Unicorn 150</v>
      </c>
      <c r="L2062" s="5" t="s">
        <v>25</v>
      </c>
      <c r="M2062" s="7" t="str">
        <f>VLOOKUP(A2062,Sheet2!$A$2:$R$3432,5,0)</f>
        <v>MH37AF3858</v>
      </c>
      <c r="N2062" s="5" t="s">
        <v>25</v>
      </c>
      <c r="O2062" s="5" t="s">
        <v>25</v>
      </c>
      <c r="P2062" s="6" t="s">
        <v>25</v>
      </c>
      <c r="Q2062" s="5" t="s">
        <v>25</v>
      </c>
      <c r="R2062" s="5" t="s">
        <v>25</v>
      </c>
      <c r="S2062" s="5" t="str">
        <f>VLOOKUP(A2062,Sheet2!$A$2:$R$3432,18,0)</f>
        <v>KC40EG3008185</v>
      </c>
      <c r="T2062" s="7" t="str">
        <f>VLOOKUP(A2062,Sheet2!$A$2:$R$3432,17,0)</f>
        <v>ME4KC404FPG008101</v>
      </c>
    </row>
    <row r="2063" ht="15.75" customHeight="1">
      <c r="A2063" s="3" t="s">
        <v>2086</v>
      </c>
      <c r="B2063" s="4" t="str">
        <f>VLOOKUP(A2063,Sheet2!$A$2:$R$3432,2,0)</f>
        <v>2025-06-27 12:53:19</v>
      </c>
      <c r="C2063" s="5" t="s">
        <v>25</v>
      </c>
      <c r="D2063" s="6" t="s">
        <v>25</v>
      </c>
      <c r="E2063" s="7">
        <f>VLOOKUP(A2063,Sheet2!$A$2:$R$3432,4,0)</f>
        <v>9881715242</v>
      </c>
      <c r="F2063" s="7" t="str">
        <f>VLOOKUP(A2063,Sheet2!$A$2:$R$3432,3,0)</f>
        <v>Vijay Dalvi</v>
      </c>
      <c r="G2063" s="5" t="s">
        <v>25</v>
      </c>
      <c r="H2063" s="5" t="s">
        <v>25</v>
      </c>
      <c r="I2063" s="5" t="s">
        <v>25</v>
      </c>
      <c r="J2063" s="5" t="s">
        <v>25</v>
      </c>
      <c r="K2063" s="7" t="str">
        <f>VLOOKUP(A2063,Sheet2!$A$2:$R$3432,6,0)</f>
        <v>Honda Activa 110</v>
      </c>
      <c r="L2063" s="5" t="s">
        <v>25</v>
      </c>
      <c r="M2063" s="7" t="str">
        <f>VLOOKUP(A2063,Sheet2!$A$2:$R$3432,5,0)</f>
        <v>MH12JY1545</v>
      </c>
      <c r="N2063" s="5" t="s">
        <v>25</v>
      </c>
      <c r="O2063" s="5" t="s">
        <v>25</v>
      </c>
      <c r="P2063" s="6" t="s">
        <v>25</v>
      </c>
      <c r="Q2063" s="5" t="s">
        <v>25</v>
      </c>
      <c r="R2063" s="5" t="s">
        <v>25</v>
      </c>
      <c r="S2063" s="5" t="str">
        <f>VLOOKUP(A2063,Sheet2!$A$2:$R$3432,18,0)</f>
        <v>JF50E70174404</v>
      </c>
      <c r="T2063" s="7" t="str">
        <f>VLOOKUP(A2063,Sheet2!$A$2:$R$3432,17,0)</f>
        <v>ME4JF50100174553</v>
      </c>
    </row>
    <row r="2064" ht="15.75" customHeight="1">
      <c r="A2064" s="3" t="s">
        <v>2087</v>
      </c>
      <c r="B2064" s="4" t="str">
        <f>VLOOKUP(A2064,Sheet2!$A$2:$R$3432,2,0)</f>
        <v>2025-06-27 19:18:55</v>
      </c>
      <c r="C2064" s="5" t="s">
        <v>25</v>
      </c>
      <c r="D2064" s="6" t="s">
        <v>25</v>
      </c>
      <c r="E2064" s="7">
        <f>VLOOKUP(A2064,Sheet2!$A$2:$R$3432,4,0)</f>
        <v>9665257667</v>
      </c>
      <c r="F2064" s="7" t="str">
        <f>VLOOKUP(A2064,Sheet2!$A$2:$R$3432,3,0)</f>
        <v>Akshay </v>
      </c>
      <c r="G2064" s="5" t="s">
        <v>25</v>
      </c>
      <c r="H2064" s="5" t="s">
        <v>25</v>
      </c>
      <c r="I2064" s="5" t="s">
        <v>25</v>
      </c>
      <c r="J2064" s="5" t="s">
        <v>25</v>
      </c>
      <c r="K2064" s="7" t="str">
        <f>VLOOKUP(A2064,Sheet2!$A$2:$R$3432,6,0)</f>
        <v>TVS Apache RTR 180</v>
      </c>
      <c r="L2064" s="5" t="s">
        <v>25</v>
      </c>
      <c r="M2064" s="7" t="str">
        <f>VLOOKUP(A2064,Sheet2!$A$2:$R$3432,5,0)</f>
        <v>MH16AS5662</v>
      </c>
      <c r="N2064" s="5" t="s">
        <v>25</v>
      </c>
      <c r="O2064" s="5" t="s">
        <v>25</v>
      </c>
      <c r="P2064" s="6" t="s">
        <v>25</v>
      </c>
      <c r="Q2064" s="5" t="s">
        <v>25</v>
      </c>
      <c r="R2064" s="5" t="s">
        <v>25</v>
      </c>
      <c r="S2064" s="7" t="str">
        <f>VLOOKUP(A2064,Sheet2!$A$2:$R$3432,18,0)</f>
        <v/>
      </c>
      <c r="T2064" s="7" t="str">
        <f>VLOOKUP(A2064,Sheet2!$A$2:$R$3432,17,0)</f>
        <v/>
      </c>
    </row>
    <row r="2065" ht="15.75" customHeight="1">
      <c r="A2065" s="3" t="s">
        <v>2088</v>
      </c>
      <c r="B2065" s="4" t="str">
        <f>VLOOKUP(A2065,Sheet2!$A$2:$R$3432,2,0)</f>
        <v>2025-06-27 12:52:11</v>
      </c>
      <c r="C2065" s="5" t="s">
        <v>25</v>
      </c>
      <c r="D2065" s="6" t="s">
        <v>25</v>
      </c>
      <c r="E2065" s="7">
        <f>VLOOKUP(A2065,Sheet2!$A$2:$R$3432,4,0)</f>
        <v>7001662103</v>
      </c>
      <c r="F2065" s="7" t="str">
        <f>VLOOKUP(A2065,Sheet2!$A$2:$R$3432,3,0)</f>
        <v>MANDIP MANDAL</v>
      </c>
      <c r="G2065" s="5" t="s">
        <v>25</v>
      </c>
      <c r="H2065" s="5" t="s">
        <v>25</v>
      </c>
      <c r="I2065" s="5" t="s">
        <v>25</v>
      </c>
      <c r="J2065" s="5" t="s">
        <v>25</v>
      </c>
      <c r="K2065" s="7" t="str">
        <f>VLOOKUP(A2065,Sheet2!$A$2:$R$3432,6,0)</f>
        <v>Bajaj Avenger 220 Street</v>
      </c>
      <c r="L2065" s="5" t="s">
        <v>25</v>
      </c>
      <c r="M2065" s="7" t="str">
        <f>VLOOKUP(A2065,Sheet2!$A$2:$R$3432,5,0)</f>
        <v>MH14FK8609</v>
      </c>
      <c r="N2065" s="5" t="s">
        <v>25</v>
      </c>
      <c r="O2065" s="5" t="s">
        <v>25</v>
      </c>
      <c r="P2065" s="6" t="s">
        <v>25</v>
      </c>
      <c r="Q2065" s="5" t="s">
        <v>25</v>
      </c>
      <c r="R2065" s="5" t="s">
        <v>25</v>
      </c>
      <c r="S2065" s="5" t="str">
        <f>VLOOKUP(A2065,Sheet2!$A$2:$R$3432,18,0)</f>
        <v>PDZCGLZ3557</v>
      </c>
      <c r="T2065" s="7" t="str">
        <f>VLOOKUP(A2065,Sheet2!$A$2:$R$3432,17,0)</f>
        <v>MD2A22EZ2GCL17055</v>
      </c>
    </row>
    <row r="2066" ht="15.75" customHeight="1">
      <c r="A2066" s="3" t="s">
        <v>2089</v>
      </c>
      <c r="B2066" s="4" t="str">
        <f>VLOOKUP(A2066,Sheet2!$A$2:$R$3432,2,0)</f>
        <v>2025-06-27 18:00:35</v>
      </c>
      <c r="C2066" s="5" t="s">
        <v>25</v>
      </c>
      <c r="D2066" s="6" t="s">
        <v>25</v>
      </c>
      <c r="E2066" s="7">
        <f>VLOOKUP(A2066,Sheet2!$A$2:$R$3432,4,0)</f>
        <v>9767809683</v>
      </c>
      <c r="F2066" s="7" t="str">
        <f>VLOOKUP(A2066,Sheet2!$A$2:$R$3432,3,0)</f>
        <v>Kishor</v>
      </c>
      <c r="G2066" s="5" t="s">
        <v>25</v>
      </c>
      <c r="H2066" s="5" t="s">
        <v>25</v>
      </c>
      <c r="I2066" s="5" t="s">
        <v>25</v>
      </c>
      <c r="J2066" s="5" t="s">
        <v>25</v>
      </c>
      <c r="K2066" s="7" t="str">
        <f>VLOOKUP(A2066,Sheet2!$A$2:$R$3432,6,0)</f>
        <v>Hero Splendor Plus</v>
      </c>
      <c r="L2066" s="5" t="s">
        <v>25</v>
      </c>
      <c r="M2066" s="7" t="str">
        <f>VLOOKUP(A2066,Sheet2!$A$2:$R$3432,5,0)</f>
        <v>MH34X8400</v>
      </c>
      <c r="N2066" s="5" t="s">
        <v>25</v>
      </c>
      <c r="O2066" s="5" t="s">
        <v>25</v>
      </c>
      <c r="P2066" s="6" t="s">
        <v>25</v>
      </c>
      <c r="Q2066" s="5" t="s">
        <v>25</v>
      </c>
      <c r="R2066" s="5" t="s">
        <v>25</v>
      </c>
      <c r="S2066" s="7" t="str">
        <f>VLOOKUP(A2066,Sheet2!$A$2:$R$3432,18,0)</f>
        <v/>
      </c>
      <c r="T2066" s="7" t="str">
        <f>VLOOKUP(A2066,Sheet2!$A$2:$R$3432,17,0)</f>
        <v/>
      </c>
    </row>
    <row r="2067" ht="15.75" customHeight="1">
      <c r="A2067" s="3" t="s">
        <v>2090</v>
      </c>
      <c r="B2067" s="4" t="str">
        <f>VLOOKUP(A2067,Sheet2!$A$2:$R$3432,2,0)</f>
        <v>2025-06-27 17:56:09</v>
      </c>
      <c r="C2067" s="5" t="s">
        <v>25</v>
      </c>
      <c r="D2067" s="6" t="s">
        <v>25</v>
      </c>
      <c r="E2067" s="7">
        <f>VLOOKUP(A2067,Sheet2!$A$2:$R$3432,4,0)</f>
        <v>8208188418</v>
      </c>
      <c r="F2067" s="7" t="str">
        <f>VLOOKUP(A2067,Sheet2!$A$2:$R$3432,3,0)</f>
        <v>Abhijeet </v>
      </c>
      <c r="G2067" s="5" t="s">
        <v>25</v>
      </c>
      <c r="H2067" s="5" t="s">
        <v>25</v>
      </c>
      <c r="I2067" s="5" t="s">
        <v>25</v>
      </c>
      <c r="J2067" s="5" t="s">
        <v>25</v>
      </c>
      <c r="K2067" s="7" t="str">
        <f>VLOOKUP(A2067,Sheet2!$A$2:$R$3432,6,0)</f>
        <v>Honda Activa 5G</v>
      </c>
      <c r="L2067" s="5" t="s">
        <v>25</v>
      </c>
      <c r="M2067" s="7" t="str">
        <f>VLOOKUP(A2067,Sheet2!$A$2:$R$3432,5,0)</f>
        <v>GA03AJ0997</v>
      </c>
      <c r="N2067" s="5" t="s">
        <v>25</v>
      </c>
      <c r="O2067" s="5" t="s">
        <v>25</v>
      </c>
      <c r="P2067" s="6" t="s">
        <v>25</v>
      </c>
      <c r="Q2067" s="5" t="s">
        <v>25</v>
      </c>
      <c r="R2067" s="5" t="s">
        <v>25</v>
      </c>
      <c r="S2067" s="7" t="str">
        <f>VLOOKUP(A2067,Sheet2!$A$2:$R$3432,18,0)</f>
        <v/>
      </c>
      <c r="T2067" s="7" t="str">
        <f>VLOOKUP(A2067,Sheet2!$A$2:$R$3432,17,0)</f>
        <v/>
      </c>
    </row>
    <row r="2068" ht="15.75" customHeight="1">
      <c r="A2068" s="3" t="s">
        <v>2091</v>
      </c>
      <c r="B2068" s="4" t="str">
        <f>VLOOKUP(A2068,Sheet2!$A$2:$R$3432,2,0)</f>
        <v>2025-06-27 17:56:22</v>
      </c>
      <c r="C2068" s="5" t="s">
        <v>25</v>
      </c>
      <c r="D2068" s="6" t="s">
        <v>25</v>
      </c>
      <c r="E2068" s="7">
        <f>VLOOKUP(A2068,Sheet2!$A$2:$R$3432,4,0)</f>
        <v>9960458781</v>
      </c>
      <c r="F2068" s="7" t="str">
        <f>VLOOKUP(A2068,Sheet2!$A$2:$R$3432,3,0)</f>
        <v>Omprakash Shukla</v>
      </c>
      <c r="G2068" s="5" t="s">
        <v>25</v>
      </c>
      <c r="H2068" s="5" t="s">
        <v>25</v>
      </c>
      <c r="I2068" s="5" t="s">
        <v>25</v>
      </c>
      <c r="J2068" s="5" t="s">
        <v>25</v>
      </c>
      <c r="K2068" s="7" t="str">
        <f>VLOOKUP(A2068,Sheet2!$A$2:$R$3432,6,0)</f>
        <v>Hero Pleasure </v>
      </c>
      <c r="L2068" s="5" t="s">
        <v>25</v>
      </c>
      <c r="M2068" s="7" t="str">
        <f>VLOOKUP(A2068,Sheet2!$A$2:$R$3432,5,0)</f>
        <v>MH14DE2352</v>
      </c>
      <c r="N2068" s="5" t="s">
        <v>25</v>
      </c>
      <c r="O2068" s="5" t="s">
        <v>25</v>
      </c>
      <c r="P2068" s="6" t="s">
        <v>25</v>
      </c>
      <c r="Q2068" s="5" t="s">
        <v>25</v>
      </c>
      <c r="R2068" s="5" t="s">
        <v>25</v>
      </c>
      <c r="S2068" s="5" t="str">
        <f>VLOOKUP(A2068,Sheet2!$A$2:$R$3432,18,0)</f>
        <v>JF16EBBCL33520</v>
      </c>
      <c r="T2068" s="7" t="str">
        <f>VLOOKUP(A2068,Sheet2!$A$2:$R$3432,17,0)</f>
        <v>MBLJF16EDBGL33384</v>
      </c>
    </row>
    <row r="2069" ht="15.75" customHeight="1">
      <c r="A2069" s="3" t="s">
        <v>2092</v>
      </c>
      <c r="B2069" s="4" t="str">
        <f>VLOOKUP(A2069,Sheet2!$A$2:$R$3432,2,0)</f>
        <v>2025-06-27 19:18:04</v>
      </c>
      <c r="C2069" s="5" t="s">
        <v>25</v>
      </c>
      <c r="D2069" s="6" t="s">
        <v>25</v>
      </c>
      <c r="E2069" s="7">
        <f>VLOOKUP(A2069,Sheet2!$A$2:$R$3432,4,0)</f>
        <v>8411084667</v>
      </c>
      <c r="F2069" s="7" t="str">
        <f>VLOOKUP(A2069,Sheet2!$A$2:$R$3432,3,0)</f>
        <v>ROHIT MORE</v>
      </c>
      <c r="G2069" s="5" t="s">
        <v>25</v>
      </c>
      <c r="H2069" s="5" t="s">
        <v>25</v>
      </c>
      <c r="I2069" s="5" t="s">
        <v>25</v>
      </c>
      <c r="J2069" s="5" t="s">
        <v>25</v>
      </c>
      <c r="K2069" s="7" t="str">
        <f>VLOOKUP(A2069,Sheet2!$A$2:$R$3432,6,0)</f>
        <v>Yamaha Fazer </v>
      </c>
      <c r="L2069" s="5" t="s">
        <v>25</v>
      </c>
      <c r="M2069" s="7" t="str">
        <f>VLOOKUP(A2069,Sheet2!$A$2:$R$3432,5,0)</f>
        <v>MH09DS1121</v>
      </c>
      <c r="N2069" s="5" t="s">
        <v>25</v>
      </c>
      <c r="O2069" s="5" t="s">
        <v>25</v>
      </c>
      <c r="P2069" s="6" t="s">
        <v>25</v>
      </c>
      <c r="Q2069" s="5" t="s">
        <v>25</v>
      </c>
      <c r="R2069" s="5" t="s">
        <v>25</v>
      </c>
      <c r="S2069" s="7" t="str">
        <f>VLOOKUP(A2069,Sheet2!$A$2:$R$3432,18,0)</f>
        <v/>
      </c>
      <c r="T2069" s="7" t="str">
        <f>VLOOKUP(A2069,Sheet2!$A$2:$R$3432,17,0)</f>
        <v/>
      </c>
    </row>
    <row r="2070" ht="15.75" customHeight="1">
      <c r="A2070" s="3" t="s">
        <v>2093</v>
      </c>
      <c r="B2070" s="4" t="str">
        <f>VLOOKUP(A2070,Sheet2!$A$2:$R$3432,2,0)</f>
        <v>2025-06-27 17:59:58</v>
      </c>
      <c r="C2070" s="5" t="s">
        <v>25</v>
      </c>
      <c r="D2070" s="6" t="s">
        <v>25</v>
      </c>
      <c r="E2070" s="7">
        <f>VLOOKUP(A2070,Sheet2!$A$2:$R$3432,4,0)</f>
        <v>7875605481</v>
      </c>
      <c r="F2070" s="7" t="str">
        <f>VLOOKUP(A2070,Sheet2!$A$2:$R$3432,3,0)</f>
        <v>Ankit</v>
      </c>
      <c r="G2070" s="5" t="s">
        <v>25</v>
      </c>
      <c r="H2070" s="5" t="s">
        <v>25</v>
      </c>
      <c r="I2070" s="5" t="s">
        <v>25</v>
      </c>
      <c r="J2070" s="5" t="s">
        <v>25</v>
      </c>
      <c r="K2070" s="7" t="str">
        <f>VLOOKUP(A2070,Sheet2!$A$2:$R$3432,6,0)</f>
        <v>Bajaj Pulsar 150</v>
      </c>
      <c r="L2070" s="5" t="s">
        <v>25</v>
      </c>
      <c r="M2070" s="7" t="str">
        <f>VLOOKUP(A2070,Sheet2!$A$2:$R$3432,5,0)</f>
        <v>MH14DW0886</v>
      </c>
      <c r="N2070" s="5" t="s">
        <v>25</v>
      </c>
      <c r="O2070" s="5" t="s">
        <v>25</v>
      </c>
      <c r="P2070" s="6" t="s">
        <v>25</v>
      </c>
      <c r="Q2070" s="5" t="s">
        <v>25</v>
      </c>
      <c r="R2070" s="5" t="s">
        <v>25</v>
      </c>
      <c r="S2070" s="5" t="str">
        <f>VLOOKUP(A2070,Sheet2!$A$2:$R$3432,18,0)</f>
        <v>DJZCDK6178</v>
      </c>
      <c r="T2070" s="7" t="str">
        <f>VLOOKUP(A2070,Sheet2!$A$2:$R$3432,17,0)</f>
        <v>MD2A12DZ3DCK6408</v>
      </c>
    </row>
    <row r="2071" ht="15.75" customHeight="1">
      <c r="A2071" s="3" t="s">
        <v>2094</v>
      </c>
      <c r="B2071" s="4" t="str">
        <f>VLOOKUP(A2071,Sheet2!$A$2:$R$3432,2,0)</f>
        <v>2025-06-27 20:08:04</v>
      </c>
      <c r="C2071" s="5" t="s">
        <v>25</v>
      </c>
      <c r="D2071" s="6" t="s">
        <v>25</v>
      </c>
      <c r="E2071" s="7">
        <f>VLOOKUP(A2071,Sheet2!$A$2:$R$3432,4,0)</f>
        <v>9823120418</v>
      </c>
      <c r="F2071" s="7" t="str">
        <f>VLOOKUP(A2071,Sheet2!$A$2:$R$3432,3,0)</f>
        <v>Vikram Jadhav </v>
      </c>
      <c r="G2071" s="5" t="s">
        <v>25</v>
      </c>
      <c r="H2071" s="5" t="s">
        <v>25</v>
      </c>
      <c r="I2071" s="5" t="s">
        <v>25</v>
      </c>
      <c r="J2071" s="5" t="s">
        <v>25</v>
      </c>
      <c r="K2071" s="7" t="str">
        <f>VLOOKUP(A2071,Sheet2!$A$2:$R$3432,6,0)</f>
        <v>Honda Activa 3G</v>
      </c>
      <c r="L2071" s="5" t="s">
        <v>25</v>
      </c>
      <c r="M2071" s="7" t="str">
        <f>VLOOKUP(A2071,Sheet2!$A$2:$R$3432,5,0)</f>
        <v>MH14FV0955</v>
      </c>
      <c r="N2071" s="5" t="s">
        <v>25</v>
      </c>
      <c r="O2071" s="5" t="s">
        <v>25</v>
      </c>
      <c r="P2071" s="6" t="s">
        <v>25</v>
      </c>
      <c r="Q2071" s="5" t="s">
        <v>25</v>
      </c>
      <c r="R2071" s="5" t="s">
        <v>25</v>
      </c>
      <c r="S2071" s="5" t="str">
        <f>VLOOKUP(A2071,Sheet2!$A$2:$R$3432,18,0)</f>
        <v>JF50EU3380183</v>
      </c>
      <c r="T2071" s="7" t="str">
        <f>VLOOKUP(A2071,Sheet2!$A$2:$R$3432,17,0)</f>
        <v>ME4JF505JG43D04D1</v>
      </c>
    </row>
    <row r="2072" ht="15.75" customHeight="1">
      <c r="A2072" s="3" t="s">
        <v>2095</v>
      </c>
      <c r="B2072" s="4" t="str">
        <f>VLOOKUP(A2072,Sheet2!$A$2:$R$3432,2,0)</f>
        <v>2025-06-27 19:16:57</v>
      </c>
      <c r="C2072" s="5" t="s">
        <v>25</v>
      </c>
      <c r="D2072" s="6" t="s">
        <v>25</v>
      </c>
      <c r="E2072" s="7">
        <f>VLOOKUP(A2072,Sheet2!$A$2:$R$3432,4,0)</f>
        <v>8055405552</v>
      </c>
      <c r="F2072" s="7" t="str">
        <f>VLOOKUP(A2072,Sheet2!$A$2:$R$3432,3,0)</f>
        <v>Nitesh Patel</v>
      </c>
      <c r="G2072" s="5" t="s">
        <v>25</v>
      </c>
      <c r="H2072" s="5" t="s">
        <v>25</v>
      </c>
      <c r="I2072" s="5" t="s">
        <v>25</v>
      </c>
      <c r="J2072" s="5" t="s">
        <v>25</v>
      </c>
      <c r="K2072" s="7" t="str">
        <f>VLOOKUP(A2072,Sheet2!$A$2:$R$3432,6,0)</f>
        <v>Honda Activa 3G</v>
      </c>
      <c r="L2072" s="5" t="s">
        <v>25</v>
      </c>
      <c r="M2072" s="7" t="str">
        <f>VLOOKUP(A2072,Sheet2!$A$2:$R$3432,5,0)</f>
        <v>MH09EE2043</v>
      </c>
      <c r="N2072" s="5" t="s">
        <v>25</v>
      </c>
      <c r="O2072" s="5" t="s">
        <v>25</v>
      </c>
      <c r="P2072" s="6" t="s">
        <v>25</v>
      </c>
      <c r="Q2072" s="5" t="s">
        <v>25</v>
      </c>
      <c r="R2072" s="5" t="s">
        <v>25</v>
      </c>
      <c r="S2072" s="5" t="str">
        <f>VLOOKUP(A2072,Sheet2!$A$2:$R$3432,18,0)</f>
        <v>JF50E73212070</v>
      </c>
      <c r="T2072" s="7" t="str">
        <f>VLOOKUP(A2072,Sheet2!$A$2:$R$3432,17,0)</f>
        <v>ME4JF505GG7212959</v>
      </c>
    </row>
    <row r="2073" ht="15.75" customHeight="1">
      <c r="A2073" s="3" t="s">
        <v>2096</v>
      </c>
      <c r="B2073" s="4" t="str">
        <f>VLOOKUP(A2073,Sheet2!$A$2:$R$3432,2,0)</f>
        <v>2025-06-27 19:16:03</v>
      </c>
      <c r="C2073" s="5" t="s">
        <v>25</v>
      </c>
      <c r="D2073" s="6" t="s">
        <v>25</v>
      </c>
      <c r="E2073" s="7">
        <f>VLOOKUP(A2073,Sheet2!$A$2:$R$3432,4,0)</f>
        <v>9890540874</v>
      </c>
      <c r="F2073" s="7" t="str">
        <f>VLOOKUP(A2073,Sheet2!$A$2:$R$3432,3,0)</f>
        <v>Prashant </v>
      </c>
      <c r="G2073" s="5" t="s">
        <v>25</v>
      </c>
      <c r="H2073" s="5" t="s">
        <v>25</v>
      </c>
      <c r="I2073" s="5" t="s">
        <v>25</v>
      </c>
      <c r="J2073" s="5" t="s">
        <v>25</v>
      </c>
      <c r="K2073" s="7" t="str">
        <f>VLOOKUP(A2073,Sheet2!$A$2:$R$3432,6,0)</f>
        <v>Bajaj Avenger 220 Cruise</v>
      </c>
      <c r="L2073" s="5" t="s">
        <v>25</v>
      </c>
      <c r="M2073" s="7" t="str">
        <f>VLOOKUP(A2073,Sheet2!$A$2:$R$3432,5,0)</f>
        <v>NH14HF1508</v>
      </c>
      <c r="N2073" s="5" t="s">
        <v>25</v>
      </c>
      <c r="O2073" s="5" t="s">
        <v>25</v>
      </c>
      <c r="P2073" s="6" t="s">
        <v>25</v>
      </c>
      <c r="Q2073" s="5" t="s">
        <v>25</v>
      </c>
      <c r="R2073" s="5" t="s">
        <v>25</v>
      </c>
      <c r="S2073" s="7" t="str">
        <f>VLOOKUP(A2073,Sheet2!$A$2:$R$3432,18,0)</f>
        <v/>
      </c>
      <c r="T2073" s="7" t="str">
        <f>VLOOKUP(A2073,Sheet2!$A$2:$R$3432,17,0)</f>
        <v/>
      </c>
    </row>
    <row r="2074" ht="15.75" customHeight="1">
      <c r="A2074" s="3" t="s">
        <v>2097</v>
      </c>
      <c r="B2074" s="4" t="str">
        <f>VLOOKUP(A2074,Sheet2!$A$2:$R$3432,2,0)</f>
        <v>2025-06-27 20:19:01</v>
      </c>
      <c r="C2074" s="5" t="s">
        <v>25</v>
      </c>
      <c r="D2074" s="6" t="s">
        <v>25</v>
      </c>
      <c r="E2074" s="7">
        <f>VLOOKUP(A2074,Sheet2!$A$2:$R$3432,4,0)</f>
        <v>8530252828</v>
      </c>
      <c r="F2074" s="7" t="str">
        <f>VLOOKUP(A2074,Sheet2!$A$2:$R$3432,3,0)</f>
        <v>Lalit More</v>
      </c>
      <c r="G2074" s="5" t="s">
        <v>25</v>
      </c>
      <c r="H2074" s="5" t="s">
        <v>25</v>
      </c>
      <c r="I2074" s="5" t="s">
        <v>25</v>
      </c>
      <c r="J2074" s="5" t="s">
        <v>25</v>
      </c>
      <c r="K2074" s="7" t="str">
        <f>VLOOKUP(A2074,Sheet2!$A$2:$R$3432,6,0)</f>
        <v>Honda Activa 6G</v>
      </c>
      <c r="L2074" s="5" t="s">
        <v>25</v>
      </c>
      <c r="M2074" s="7" t="str">
        <f>VLOOKUP(A2074,Sheet2!$A$2:$R$3432,5,0)</f>
        <v>MH14KT6304</v>
      </c>
      <c r="N2074" s="5" t="s">
        <v>25</v>
      </c>
      <c r="O2074" s="5" t="s">
        <v>25</v>
      </c>
      <c r="P2074" s="6" t="s">
        <v>25</v>
      </c>
      <c r="Q2074" s="5" t="s">
        <v>25</v>
      </c>
      <c r="R2074" s="5" t="s">
        <v>25</v>
      </c>
      <c r="S2074" s="5" t="str">
        <f>VLOOKUP(A2074,Sheet2!$A$2:$R$3432,18,0)</f>
        <v>JK15EG5077887</v>
      </c>
      <c r="T2074" s="7" t="str">
        <f>VLOOKUP(A2074,Sheet2!$A$2:$R$3432,17,0)</f>
        <v>ME40K156DPG0787518</v>
      </c>
    </row>
    <row r="2075" ht="15.75" customHeight="1">
      <c r="A2075" s="3" t="s">
        <v>2098</v>
      </c>
      <c r="B2075" s="4" t="str">
        <f>VLOOKUP(A2075,Sheet2!$A$2:$R$3432,2,0)</f>
        <v>2025-06-27 23:44:52</v>
      </c>
      <c r="C2075" s="5" t="s">
        <v>25</v>
      </c>
      <c r="D2075" s="6" t="s">
        <v>25</v>
      </c>
      <c r="E2075" s="7">
        <f>VLOOKUP(A2075,Sheet2!$A$2:$R$3432,4,0)</f>
        <v>9960905095</v>
      </c>
      <c r="F2075" s="7" t="str">
        <f>VLOOKUP(A2075,Sheet2!$A$2:$R$3432,3,0)</f>
        <v>Gaurav Kulkarni </v>
      </c>
      <c r="G2075" s="5" t="s">
        <v>25</v>
      </c>
      <c r="H2075" s="5" t="s">
        <v>25</v>
      </c>
      <c r="I2075" s="5" t="s">
        <v>25</v>
      </c>
      <c r="J2075" s="5" t="s">
        <v>25</v>
      </c>
      <c r="K2075" s="7" t="str">
        <f>VLOOKUP(A2075,Sheet2!$A$2:$R$3432,6,0)</f>
        <v>Honda Activa 5G</v>
      </c>
      <c r="L2075" s="5" t="s">
        <v>25</v>
      </c>
      <c r="M2075" s="7" t="str">
        <f>VLOOKUP(A2075,Sheet2!$A$2:$R$3432,5,0)</f>
        <v>MH14HZ0182</v>
      </c>
      <c r="N2075" s="5" t="s">
        <v>25</v>
      </c>
      <c r="O2075" s="5" t="s">
        <v>25</v>
      </c>
      <c r="P2075" s="6" t="s">
        <v>25</v>
      </c>
      <c r="Q2075" s="5" t="s">
        <v>25</v>
      </c>
      <c r="R2075" s="5" t="s">
        <v>25</v>
      </c>
      <c r="S2075" s="7" t="str">
        <f>VLOOKUP(A2075,Sheet2!$A$2:$R$3432,18,0)</f>
        <v/>
      </c>
      <c r="T2075" s="7" t="str">
        <f>VLOOKUP(A2075,Sheet2!$A$2:$R$3432,17,0)</f>
        <v>ME4JR50ALKW299409</v>
      </c>
    </row>
    <row r="2076" ht="15.75" customHeight="1">
      <c r="A2076" s="3" t="s">
        <v>2099</v>
      </c>
      <c r="B2076" s="4" t="str">
        <f>VLOOKUP(A2076,Sheet2!$A$2:$R$3432,2,0)</f>
        <v>2024-08-17 20:49:44</v>
      </c>
      <c r="C2076" s="5" t="s">
        <v>25</v>
      </c>
      <c r="D2076" s="6" t="s">
        <v>25</v>
      </c>
      <c r="E2076" s="7">
        <f>VLOOKUP(A2076,Sheet2!$A$2:$R$3432,4,0)</f>
        <v>9960983212</v>
      </c>
      <c r="F2076" s="7" t="str">
        <f>VLOOKUP(A2076,Sheet2!$A$2:$R$3432,3,0)</f>
        <v>NIKHIL</v>
      </c>
      <c r="G2076" s="5" t="s">
        <v>25</v>
      </c>
      <c r="H2076" s="5" t="s">
        <v>25</v>
      </c>
      <c r="I2076" s="5" t="s">
        <v>25</v>
      </c>
      <c r="J2076" s="5" t="s">
        <v>25</v>
      </c>
      <c r="K2076" s="7" t="str">
        <f>VLOOKUP(A2076,Sheet2!$A$2:$R$3432,6,0)</f>
        <v>Bajaj Pulsar 135 LS</v>
      </c>
      <c r="L2076" s="5" t="s">
        <v>25</v>
      </c>
      <c r="M2076" s="7" t="str">
        <f>VLOOKUP(A2076,Sheet2!$A$2:$R$3432,5,0)</f>
        <v>MH12JE8558</v>
      </c>
      <c r="N2076" s="5" t="s">
        <v>25</v>
      </c>
      <c r="O2076" s="5" t="s">
        <v>25</v>
      </c>
      <c r="P2076" s="6" t="s">
        <v>25</v>
      </c>
      <c r="Q2076" s="5" t="s">
        <v>25</v>
      </c>
      <c r="R2076" s="5" t="s">
        <v>25</v>
      </c>
      <c r="S2076" s="5" t="str">
        <f>VLOOKUP(A2076,Sheet2!$A$2:$R$3432,18,0)</f>
        <v>JEZCCE32686</v>
      </c>
      <c r="T2076" s="7" t="str">
        <f>VLOOKUP(A2076,Sheet2!$A$2:$R$3432,17,0)</f>
        <v>MD2A17C25CCE29445</v>
      </c>
    </row>
    <row r="2077" ht="15.75" customHeight="1">
      <c r="A2077" s="3" t="s">
        <v>2100</v>
      </c>
      <c r="B2077" s="4" t="str">
        <f>VLOOKUP(A2077,Sheet2!$A$2:$R$3432,2,0)</f>
        <v>2024-08-17 20:45:07</v>
      </c>
      <c r="C2077" s="5" t="s">
        <v>25</v>
      </c>
      <c r="D2077" s="6" t="s">
        <v>25</v>
      </c>
      <c r="E2077" s="7">
        <f>VLOOKUP(A2077,Sheet2!$A$2:$R$3432,4,0)</f>
        <v>8600991151</v>
      </c>
      <c r="F2077" s="7" t="str">
        <f>VLOOKUP(A2077,Sheet2!$A$2:$R$3432,3,0)</f>
        <v>DHEERAJ PATIL</v>
      </c>
      <c r="G2077" s="5" t="s">
        <v>25</v>
      </c>
      <c r="H2077" s="5" t="s">
        <v>25</v>
      </c>
      <c r="I2077" s="5" t="s">
        <v>25</v>
      </c>
      <c r="J2077" s="5" t="s">
        <v>25</v>
      </c>
      <c r="K2077" s="7" t="str">
        <f>VLOOKUP(A2077,Sheet2!$A$2:$R$3432,6,0)</f>
        <v>TVS Scooty PEP Plus</v>
      </c>
      <c r="L2077" s="5" t="s">
        <v>25</v>
      </c>
      <c r="M2077" s="7" t="str">
        <f>VLOOKUP(A2077,Sheet2!$A$2:$R$3432,5,0)</f>
        <v>MH14FZ0324</v>
      </c>
      <c r="N2077" s="5" t="s">
        <v>25</v>
      </c>
      <c r="O2077" s="5" t="s">
        <v>25</v>
      </c>
      <c r="P2077" s="6" t="s">
        <v>25</v>
      </c>
      <c r="Q2077" s="5" t="s">
        <v>25</v>
      </c>
      <c r="R2077" s="5" t="s">
        <v>25</v>
      </c>
      <c r="S2077" s="5" t="str">
        <f>VLOOKUP(A2077,Sheet2!$A$2:$R$3432,18,0)</f>
        <v>OG3NG2612967</v>
      </c>
      <c r="T2077" s="7" t="str">
        <f>VLOOKUP(A2077,Sheet2!$A$2:$R$3432,17,0)</f>
        <v>MD626BG33G2N10322</v>
      </c>
    </row>
    <row r="2078" ht="15.75" customHeight="1">
      <c r="A2078" s="3" t="s">
        <v>2101</v>
      </c>
      <c r="B2078" s="4" t="str">
        <f>VLOOKUP(A2078,Sheet2!$A$2:$R$3432,2,0)</f>
        <v>2024-08-17 20:33:31</v>
      </c>
      <c r="C2078" s="5" t="s">
        <v>25</v>
      </c>
      <c r="D2078" s="6" t="s">
        <v>25</v>
      </c>
      <c r="E2078" s="7">
        <f>VLOOKUP(A2078,Sheet2!$A$2:$R$3432,4,0)</f>
        <v>8956596951</v>
      </c>
      <c r="F2078" s="7" t="str">
        <f>VLOOKUP(A2078,Sheet2!$A$2:$R$3432,3,0)</f>
        <v>Akshay Jadhav</v>
      </c>
      <c r="G2078" s="5" t="s">
        <v>25</v>
      </c>
      <c r="H2078" s="5" t="s">
        <v>25</v>
      </c>
      <c r="I2078" s="5" t="s">
        <v>25</v>
      </c>
      <c r="J2078" s="5" t="s">
        <v>25</v>
      </c>
      <c r="K2078" s="7" t="str">
        <f>VLOOKUP(A2078,Sheet2!$A$2:$R$3432,6,0)</f>
        <v>TVS Ntorq 125</v>
      </c>
      <c r="L2078" s="5" t="s">
        <v>25</v>
      </c>
      <c r="M2078" s="7" t="str">
        <f>VLOOKUP(A2078,Sheet2!$A$2:$R$3432,5,0)</f>
        <v>MH14GV9004</v>
      </c>
      <c r="N2078" s="5" t="s">
        <v>25</v>
      </c>
      <c r="O2078" s="5" t="s">
        <v>25</v>
      </c>
      <c r="P2078" s="6" t="s">
        <v>25</v>
      </c>
      <c r="Q2078" s="5" t="s">
        <v>25</v>
      </c>
      <c r="R2078" s="5" t="s">
        <v>25</v>
      </c>
      <c r="S2078" s="5" t="str">
        <f>VLOOKUP(A2078,Sheet2!$A$2:$R$3432,18,0)</f>
        <v>AG7BJ2007514</v>
      </c>
      <c r="T2078" s="7" t="str">
        <f>VLOOKUP(A2078,Sheet2!$A$2:$R$3432,17,0)</f>
        <v>MD626AG7512B07630</v>
      </c>
    </row>
    <row r="2079" ht="15.75" customHeight="1">
      <c r="A2079" s="3" t="s">
        <v>2102</v>
      </c>
      <c r="B2079" s="4" t="str">
        <f>VLOOKUP(A2079,Sheet2!$A$2:$R$3432,2,0)</f>
        <v>2024-08-17 11:34:48</v>
      </c>
      <c r="C2079" s="5" t="s">
        <v>25</v>
      </c>
      <c r="D2079" s="6" t="s">
        <v>25</v>
      </c>
      <c r="E2079" s="7">
        <f>VLOOKUP(A2079,Sheet2!$A$2:$R$3432,4,0)</f>
        <v>9731681587</v>
      </c>
      <c r="F2079" s="7" t="str">
        <f>VLOOKUP(A2079,Sheet2!$A$2:$R$3432,3,0)</f>
        <v>Sujit Tiwari</v>
      </c>
      <c r="G2079" s="5" t="s">
        <v>25</v>
      </c>
      <c r="H2079" s="5" t="s">
        <v>25</v>
      </c>
      <c r="I2079" s="5" t="s">
        <v>25</v>
      </c>
      <c r="J2079" s="5" t="s">
        <v>25</v>
      </c>
      <c r="K2079" s="7" t="str">
        <f>VLOOKUP(A2079,Sheet2!$A$2:$R$3432,6,0)</f>
        <v>Suzuki Gixxer </v>
      </c>
      <c r="L2079" s="5" t="s">
        <v>25</v>
      </c>
      <c r="M2079" s="7" t="str">
        <f>VLOOKUP(A2079,Sheet2!$A$2:$R$3432,5,0)</f>
        <v>KA01HT0918</v>
      </c>
      <c r="N2079" s="5" t="s">
        <v>25</v>
      </c>
      <c r="O2079" s="5" t="s">
        <v>25</v>
      </c>
      <c r="P2079" s="6" t="s">
        <v>25</v>
      </c>
      <c r="Q2079" s="5" t="s">
        <v>25</v>
      </c>
      <c r="R2079" s="5" t="s">
        <v>25</v>
      </c>
      <c r="S2079" s="7" t="str">
        <f>VLOOKUP(A2079,Sheet2!$A$2:$R$3432,18,0)</f>
        <v/>
      </c>
      <c r="T2079" s="7" t="str">
        <f>VLOOKUP(A2079,Sheet2!$A$2:$R$3432,17,0)</f>
        <v/>
      </c>
    </row>
    <row r="2080" ht="15.75" customHeight="1">
      <c r="A2080" s="3" t="s">
        <v>2103</v>
      </c>
      <c r="B2080" s="4" t="str">
        <f>VLOOKUP(A2080,Sheet2!$A$2:$R$3432,2,0)</f>
        <v>2024-08-17 11:59:52</v>
      </c>
      <c r="C2080" s="5" t="s">
        <v>25</v>
      </c>
      <c r="D2080" s="6" t="s">
        <v>25</v>
      </c>
      <c r="E2080" s="7">
        <f>VLOOKUP(A2080,Sheet2!$A$2:$R$3432,4,0)</f>
        <v>9545049944</v>
      </c>
      <c r="F2080" s="7" t="str">
        <f>VLOOKUP(A2080,Sheet2!$A$2:$R$3432,3,0)</f>
        <v>PRASAD MUNDHE</v>
      </c>
      <c r="G2080" s="5" t="s">
        <v>25</v>
      </c>
      <c r="H2080" s="5" t="s">
        <v>25</v>
      </c>
      <c r="I2080" s="5" t="s">
        <v>25</v>
      </c>
      <c r="J2080" s="5" t="s">
        <v>25</v>
      </c>
      <c r="K2080" s="7" t="str">
        <f>VLOOKUP(A2080,Sheet2!$A$2:$R$3432,6,0)</f>
        <v>Royal Enfield ThunderBird 350X</v>
      </c>
      <c r="L2080" s="5" t="s">
        <v>25</v>
      </c>
      <c r="M2080" s="7" t="str">
        <f>VLOOKUP(A2080,Sheet2!$A$2:$R$3432,5,0)</f>
        <v>MH12RG6148</v>
      </c>
      <c r="N2080" s="5" t="s">
        <v>25</v>
      </c>
      <c r="O2080" s="5" t="s">
        <v>25</v>
      </c>
      <c r="P2080" s="6" t="s">
        <v>25</v>
      </c>
      <c r="Q2080" s="5" t="s">
        <v>25</v>
      </c>
      <c r="R2080" s="5" t="s">
        <v>25</v>
      </c>
      <c r="S2080" s="5" t="str">
        <f>VLOOKUP(A2080,Sheet2!$A$2:$R$3432,18,0)</f>
        <v>U355D1KA1745536</v>
      </c>
      <c r="T2080" s="7" t="str">
        <f>VLOOKUP(A2080,Sheet2!$A$2:$R$3432,17,0)</f>
        <v>ME3U355C1KA407230</v>
      </c>
    </row>
    <row r="2081" ht="15.75" customHeight="1">
      <c r="A2081" s="3" t="s">
        <v>2104</v>
      </c>
      <c r="B2081" s="4" t="str">
        <f>VLOOKUP(A2081,Sheet2!$A$2:$R$3432,2,0)</f>
        <v>2024-08-17 11:48:12</v>
      </c>
      <c r="C2081" s="5" t="s">
        <v>25</v>
      </c>
      <c r="D2081" s="6" t="s">
        <v>25</v>
      </c>
      <c r="E2081" s="7">
        <f>VLOOKUP(A2081,Sheet2!$A$2:$R$3432,4,0)</f>
        <v>8421854569</v>
      </c>
      <c r="F2081" s="7" t="str">
        <f>VLOOKUP(A2081,Sheet2!$A$2:$R$3432,3,0)</f>
        <v>PRATIK</v>
      </c>
      <c r="G2081" s="5" t="s">
        <v>25</v>
      </c>
      <c r="H2081" s="5" t="s">
        <v>25</v>
      </c>
      <c r="I2081" s="5" t="s">
        <v>25</v>
      </c>
      <c r="J2081" s="5" t="s">
        <v>25</v>
      </c>
      <c r="K2081" s="7" t="str">
        <f>VLOOKUP(A2081,Sheet2!$A$2:$R$3432,6,0)</f>
        <v>Honda Hornet 160R</v>
      </c>
      <c r="L2081" s="5" t="s">
        <v>25</v>
      </c>
      <c r="M2081" s="7" t="str">
        <f>VLOOKUP(A2081,Sheet2!$A$2:$R$3432,5,0)</f>
        <v>MH12NC8216</v>
      </c>
      <c r="N2081" s="5" t="s">
        <v>25</v>
      </c>
      <c r="O2081" s="5" t="s">
        <v>25</v>
      </c>
      <c r="P2081" s="6" t="s">
        <v>25</v>
      </c>
      <c r="Q2081" s="5" t="s">
        <v>25</v>
      </c>
      <c r="R2081" s="5" t="s">
        <v>25</v>
      </c>
      <c r="S2081" s="5" t="str">
        <f>VLOOKUP(A2081,Sheet2!$A$2:$R$3432,18,0)</f>
        <v>KC23E80013265</v>
      </c>
      <c r="T2081" s="7" t="str">
        <f>VLOOKUP(A2081,Sheet2!$A$2:$R$3432,17,0)</f>
        <v>ME4KC231AG8010378</v>
      </c>
    </row>
    <row r="2082" ht="15.75" customHeight="1">
      <c r="A2082" s="3" t="s">
        <v>2105</v>
      </c>
      <c r="B2082" s="4" t="str">
        <f>VLOOKUP(A2082,Sheet2!$A$2:$R$3432,2,0)</f>
        <v>2024-08-17 12:16:48</v>
      </c>
      <c r="C2082" s="5" t="s">
        <v>25</v>
      </c>
      <c r="D2082" s="6" t="s">
        <v>25</v>
      </c>
      <c r="E2082" s="7">
        <f>VLOOKUP(A2082,Sheet2!$A$2:$R$3432,4,0)</f>
        <v>9923077440</v>
      </c>
      <c r="F2082" s="7" t="str">
        <f>VLOOKUP(A2082,Sheet2!$A$2:$R$3432,3,0)</f>
        <v>Sonam Sublok</v>
      </c>
      <c r="G2082" s="5" t="s">
        <v>25</v>
      </c>
      <c r="H2082" s="5" t="s">
        <v>25</v>
      </c>
      <c r="I2082" s="5" t="s">
        <v>25</v>
      </c>
      <c r="J2082" s="5" t="s">
        <v>25</v>
      </c>
      <c r="K2082" s="7" t="str">
        <f>VLOOKUP(A2082,Sheet2!$A$2:$R$3432,6,0)</f>
        <v>Honda Activa 6G</v>
      </c>
      <c r="L2082" s="5" t="s">
        <v>25</v>
      </c>
      <c r="M2082" s="7" t="str">
        <f>VLOOKUP(A2082,Sheet2!$A$2:$R$3432,5,0)</f>
        <v>MH14JY0752</v>
      </c>
      <c r="N2082" s="5" t="s">
        <v>25</v>
      </c>
      <c r="O2082" s="5" t="s">
        <v>25</v>
      </c>
      <c r="P2082" s="6" t="s">
        <v>25</v>
      </c>
      <c r="Q2082" s="5" t="s">
        <v>25</v>
      </c>
      <c r="R2082" s="5" t="s">
        <v>25</v>
      </c>
      <c r="S2082" s="5" t="str">
        <f>VLOOKUP(A2082,Sheet2!$A$2:$R$3432,18,0)</f>
        <v>JF91EW5093879</v>
      </c>
      <c r="T2082" s="7" t="str">
        <f>VLOOKUP(A2082,Sheet2!$A$2:$R$3432,17,0)</f>
        <v>ME4JF918MMW093807</v>
      </c>
    </row>
    <row r="2083" ht="15.75" customHeight="1">
      <c r="A2083" s="3" t="s">
        <v>2106</v>
      </c>
      <c r="B2083" s="4" t="str">
        <f>VLOOKUP(A2083,Sheet2!$A$2:$R$3432,2,0)</f>
        <v>2024-08-17 12:07:05</v>
      </c>
      <c r="C2083" s="5" t="s">
        <v>25</v>
      </c>
      <c r="D2083" s="6" t="s">
        <v>25</v>
      </c>
      <c r="E2083" s="7">
        <f>VLOOKUP(A2083,Sheet2!$A$2:$R$3432,4,0)</f>
        <v>9604879914</v>
      </c>
      <c r="F2083" s="7" t="str">
        <f>VLOOKUP(A2083,Sheet2!$A$2:$R$3432,3,0)</f>
        <v>Abhijeet Kamthe</v>
      </c>
      <c r="G2083" s="5" t="s">
        <v>25</v>
      </c>
      <c r="H2083" s="5" t="s">
        <v>25</v>
      </c>
      <c r="I2083" s="5" t="s">
        <v>25</v>
      </c>
      <c r="J2083" s="5" t="s">
        <v>25</v>
      </c>
      <c r="K2083" s="7" t="str">
        <f>VLOOKUP(A2083,Sheet2!$A$2:$R$3432,6,0)</f>
        <v>Hero Splendor No Data</v>
      </c>
      <c r="L2083" s="5" t="s">
        <v>25</v>
      </c>
      <c r="M2083" s="7" t="str">
        <f>VLOOKUP(A2083,Sheet2!$A$2:$R$3432,5,0)</f>
        <v>MH14JK9068</v>
      </c>
      <c r="N2083" s="5" t="s">
        <v>25</v>
      </c>
      <c r="O2083" s="5" t="s">
        <v>25</v>
      </c>
      <c r="P2083" s="6" t="s">
        <v>25</v>
      </c>
      <c r="Q2083" s="5" t="s">
        <v>25</v>
      </c>
      <c r="R2083" s="5" t="s">
        <v>25</v>
      </c>
      <c r="S2083" s="5" t="str">
        <f>VLOOKUP(A2083,Sheet2!$A$2:$R$3432,18,0)</f>
        <v>HA11EMSA09492</v>
      </c>
      <c r="T2083" s="7" t="str">
        <f>VLOOKUP(A2083,Sheet2!$A$2:$R$3432,17,0)</f>
        <v>MBLHAW125M5A42968</v>
      </c>
    </row>
    <row r="2084" ht="15.75" customHeight="1">
      <c r="A2084" s="3" t="s">
        <v>2107</v>
      </c>
      <c r="B2084" s="4" t="str">
        <f>VLOOKUP(A2084,Sheet2!$A$2:$R$3432,2,0)</f>
        <v>2024-08-17 12:38:02</v>
      </c>
      <c r="C2084" s="5" t="s">
        <v>25</v>
      </c>
      <c r="D2084" s="6" t="s">
        <v>25</v>
      </c>
      <c r="E2084" s="7">
        <f>VLOOKUP(A2084,Sheet2!$A$2:$R$3432,4,0)</f>
        <v>9727754606</v>
      </c>
      <c r="F2084" s="7" t="str">
        <f>VLOOKUP(A2084,Sheet2!$A$2:$R$3432,3,0)</f>
        <v>AJIT VAIDYA</v>
      </c>
      <c r="G2084" s="5" t="s">
        <v>25</v>
      </c>
      <c r="H2084" s="5" t="s">
        <v>25</v>
      </c>
      <c r="I2084" s="5" t="s">
        <v>25</v>
      </c>
      <c r="J2084" s="5" t="s">
        <v>25</v>
      </c>
      <c r="K2084" s="7" t="str">
        <f>VLOOKUP(A2084,Sheet2!$A$2:$R$3432,6,0)</f>
        <v>Piaggio Vespa </v>
      </c>
      <c r="L2084" s="5" t="s">
        <v>25</v>
      </c>
      <c r="M2084" s="7" t="str">
        <f>VLOOKUP(A2084,Sheet2!$A$2:$R$3432,5,0)</f>
        <v>MH12MX6721</v>
      </c>
      <c r="N2084" s="5" t="s">
        <v>25</v>
      </c>
      <c r="O2084" s="5" t="s">
        <v>25</v>
      </c>
      <c r="P2084" s="6" t="s">
        <v>25</v>
      </c>
      <c r="Q2084" s="5" t="s">
        <v>25</v>
      </c>
      <c r="R2084" s="5" t="s">
        <v>25</v>
      </c>
      <c r="S2084" s="7" t="str">
        <f>VLOOKUP(A2084,Sheet2!$A$2:$R$3432,18,0)</f>
        <v/>
      </c>
      <c r="T2084" s="7" t="str">
        <f>VLOOKUP(A2084,Sheet2!$A$2:$R$3432,17,0)</f>
        <v>MET0000AAPC038902</v>
      </c>
    </row>
    <row r="2085" ht="15.75" customHeight="1">
      <c r="A2085" s="3" t="s">
        <v>2108</v>
      </c>
      <c r="B2085" s="4" t="str">
        <f>VLOOKUP(A2085,Sheet2!$A$2:$R$3432,2,0)</f>
        <v>2024-08-17 12:21:59</v>
      </c>
      <c r="C2085" s="5" t="s">
        <v>25</v>
      </c>
      <c r="D2085" s="6" t="s">
        <v>25</v>
      </c>
      <c r="E2085" s="7">
        <f>VLOOKUP(A2085,Sheet2!$A$2:$R$3432,4,0)</f>
        <v>9881889367</v>
      </c>
      <c r="F2085" s="7" t="str">
        <f>VLOOKUP(A2085,Sheet2!$A$2:$R$3432,3,0)</f>
        <v>Radhika Patil</v>
      </c>
      <c r="G2085" s="5" t="s">
        <v>25</v>
      </c>
      <c r="H2085" s="5" t="s">
        <v>25</v>
      </c>
      <c r="I2085" s="5" t="s">
        <v>25</v>
      </c>
      <c r="J2085" s="5" t="s">
        <v>25</v>
      </c>
      <c r="K2085" s="7" t="str">
        <f>VLOOKUP(A2085,Sheet2!$A$2:$R$3432,6,0)</f>
        <v>Honda Activa 125</v>
      </c>
      <c r="L2085" s="5" t="s">
        <v>25</v>
      </c>
      <c r="M2085" s="7" t="str">
        <f>VLOOKUP(A2085,Sheet2!$A$2:$R$3432,5,0)</f>
        <v>MH12SS8869</v>
      </c>
      <c r="N2085" s="5" t="s">
        <v>25</v>
      </c>
      <c r="O2085" s="5" t="s">
        <v>25</v>
      </c>
      <c r="P2085" s="6" t="s">
        <v>25</v>
      </c>
      <c r="Q2085" s="5" t="s">
        <v>25</v>
      </c>
      <c r="R2085" s="5" t="s">
        <v>25</v>
      </c>
      <c r="S2085" s="5" t="str">
        <f>VLOOKUP(A2085,Sheet2!$A$2:$R$3432,18,0)</f>
        <v>JF49ED4021028</v>
      </c>
      <c r="T2085" s="7" t="str">
        <f>VLOOKUP(A2085,Sheet2!$A$2:$R$3432,17,0)</f>
        <v>ME4JF40MGLDO12891</v>
      </c>
    </row>
    <row r="2086" ht="15.75" customHeight="1">
      <c r="A2086" s="3" t="s">
        <v>2109</v>
      </c>
      <c r="B2086" s="4" t="str">
        <f>VLOOKUP(A2086,Sheet2!$A$2:$R$3432,2,0)</f>
        <v>2024-08-17 12:28:06</v>
      </c>
      <c r="C2086" s="5" t="s">
        <v>25</v>
      </c>
      <c r="D2086" s="6" t="s">
        <v>25</v>
      </c>
      <c r="E2086" s="7">
        <f>VLOOKUP(A2086,Sheet2!$A$2:$R$3432,4,0)</f>
        <v>8180990186</v>
      </c>
      <c r="F2086" s="7" t="str">
        <f>VLOOKUP(A2086,Sheet2!$A$2:$R$3432,3,0)</f>
        <v>ANKIT</v>
      </c>
      <c r="G2086" s="5" t="s">
        <v>25</v>
      </c>
      <c r="H2086" s="5" t="s">
        <v>25</v>
      </c>
      <c r="I2086" s="5" t="s">
        <v>25</v>
      </c>
      <c r="J2086" s="5" t="s">
        <v>25</v>
      </c>
      <c r="K2086" s="7" t="str">
        <f>VLOOKUP(A2086,Sheet2!$A$2:$R$3432,6,0)</f>
        <v>Honda Livo </v>
      </c>
      <c r="L2086" s="5" t="s">
        <v>25</v>
      </c>
      <c r="M2086" s="7" t="str">
        <f>VLOOKUP(A2086,Sheet2!$A$2:$R$3432,5,0)</f>
        <v>MH12RS9550</v>
      </c>
      <c r="N2086" s="5" t="s">
        <v>25</v>
      </c>
      <c r="O2086" s="5" t="s">
        <v>25</v>
      </c>
      <c r="P2086" s="6" t="s">
        <v>25</v>
      </c>
      <c r="Q2086" s="5" t="s">
        <v>25</v>
      </c>
      <c r="R2086" s="5" t="s">
        <v>25</v>
      </c>
      <c r="S2086" s="5" t="str">
        <f>VLOOKUP(A2086,Sheet2!$A$2:$R$3432,18,0)</f>
        <v>JC71ET3168190</v>
      </c>
      <c r="T2086" s="7" t="str">
        <f>VLOOKUP(A2086,Sheet2!$A$2:$R$3432,17,0)</f>
        <v>ME4JC71ACKT011737</v>
      </c>
    </row>
    <row r="2087" ht="15.75" customHeight="1">
      <c r="A2087" s="3" t="s">
        <v>2110</v>
      </c>
      <c r="B2087" s="4" t="str">
        <f>VLOOKUP(A2087,Sheet2!$A$2:$R$3432,2,0)</f>
        <v>2024-08-17 12:34:58</v>
      </c>
      <c r="C2087" s="5" t="s">
        <v>25</v>
      </c>
      <c r="D2087" s="6" t="s">
        <v>25</v>
      </c>
      <c r="E2087" s="7">
        <f>VLOOKUP(A2087,Sheet2!$A$2:$R$3432,4,0)</f>
        <v>9922489808</v>
      </c>
      <c r="F2087" s="7" t="str">
        <f>VLOOKUP(A2087,Sheet2!$A$2:$R$3432,3,0)</f>
        <v>Ganesh</v>
      </c>
      <c r="G2087" s="5" t="s">
        <v>25</v>
      </c>
      <c r="H2087" s="5" t="s">
        <v>25</v>
      </c>
      <c r="I2087" s="5" t="s">
        <v>25</v>
      </c>
      <c r="J2087" s="5" t="s">
        <v>25</v>
      </c>
      <c r="K2087" s="7" t="str">
        <f>VLOOKUP(A2087,Sheet2!$A$2:$R$3432,6,0)</f>
        <v>TVS Jupiter </v>
      </c>
      <c r="L2087" s="5" t="s">
        <v>25</v>
      </c>
      <c r="M2087" s="7" t="str">
        <f>VLOOKUP(A2087,Sheet2!$A$2:$R$3432,5,0)</f>
        <v>MH14EK2344</v>
      </c>
      <c r="N2087" s="5" t="s">
        <v>25</v>
      </c>
      <c r="O2087" s="5" t="s">
        <v>25</v>
      </c>
      <c r="P2087" s="6" t="s">
        <v>25</v>
      </c>
      <c r="Q2087" s="5" t="s">
        <v>25</v>
      </c>
      <c r="R2087" s="5" t="s">
        <v>25</v>
      </c>
      <c r="S2087" s="5" t="str">
        <f>VLOOKUP(A2087,Sheet2!$A$2:$R$3432,18,0)</f>
        <v>BG4EE1143963</v>
      </c>
      <c r="T2087" s="7" t="str">
        <f>VLOOKUP(A2087,Sheet2!$A$2:$R$3432,17,0)</f>
        <v>MD626BG49E1E48052</v>
      </c>
    </row>
    <row r="2088" ht="15.75" customHeight="1">
      <c r="A2088" s="3" t="s">
        <v>2111</v>
      </c>
      <c r="B2088" s="4" t="str">
        <f>VLOOKUP(A2088,Sheet2!$A$2:$R$3432,2,0)</f>
        <v>2024-08-17 20:42:21</v>
      </c>
      <c r="C2088" s="5" t="s">
        <v>25</v>
      </c>
      <c r="D2088" s="6" t="s">
        <v>25</v>
      </c>
      <c r="E2088" s="7">
        <f>VLOOKUP(A2088,Sheet2!$A$2:$R$3432,4,0)</f>
        <v>8830337694</v>
      </c>
      <c r="F2088" s="7" t="str">
        <f>VLOOKUP(A2088,Sheet2!$A$2:$R$3432,3,0)</f>
        <v>Aniket Joshi</v>
      </c>
      <c r="G2088" s="5" t="s">
        <v>25</v>
      </c>
      <c r="H2088" s="5" t="s">
        <v>25</v>
      </c>
      <c r="I2088" s="5" t="s">
        <v>25</v>
      </c>
      <c r="J2088" s="5" t="s">
        <v>25</v>
      </c>
      <c r="K2088" s="7" t="str">
        <f>VLOOKUP(A2088,Sheet2!$A$2:$R$3432,6,0)</f>
        <v>Honda Dio New</v>
      </c>
      <c r="L2088" s="5" t="s">
        <v>25</v>
      </c>
      <c r="M2088" s="7" t="str">
        <f>VLOOKUP(A2088,Sheet2!$A$2:$R$3432,5,0)</f>
        <v>MH20FS4406</v>
      </c>
      <c r="N2088" s="5" t="s">
        <v>25</v>
      </c>
      <c r="O2088" s="5" t="s">
        <v>25</v>
      </c>
      <c r="P2088" s="6" t="s">
        <v>25</v>
      </c>
      <c r="Q2088" s="5" t="s">
        <v>25</v>
      </c>
      <c r="R2088" s="5" t="s">
        <v>25</v>
      </c>
      <c r="S2088" s="5" t="str">
        <f>VLOOKUP(A2088,Sheet2!$A$2:$R$3432,18,0)</f>
        <v>JF98FG1066712</v>
      </c>
      <c r="T2088" s="7" t="str">
        <f>VLOOKUP(A2088,Sheet2!$A$2:$R$3432,17,0)</f>
        <v>ME4JF984LLG057356</v>
      </c>
    </row>
    <row r="2089" ht="15.75" customHeight="1">
      <c r="A2089" s="3" t="s">
        <v>2112</v>
      </c>
      <c r="B2089" s="4" t="str">
        <f>VLOOKUP(A2089,Sheet2!$A$2:$R$3432,2,0)</f>
        <v>2024-08-17 21:04:07</v>
      </c>
      <c r="C2089" s="5" t="s">
        <v>25</v>
      </c>
      <c r="D2089" s="6" t="s">
        <v>25</v>
      </c>
      <c r="E2089" s="7">
        <f>VLOOKUP(A2089,Sheet2!$A$2:$R$3432,4,0)</f>
        <v>9405367927</v>
      </c>
      <c r="F2089" s="7" t="str">
        <f>VLOOKUP(A2089,Sheet2!$A$2:$R$3432,3,0)</f>
        <v>Jayant</v>
      </c>
      <c r="G2089" s="5" t="s">
        <v>25</v>
      </c>
      <c r="H2089" s="5" t="s">
        <v>25</v>
      </c>
      <c r="I2089" s="5" t="s">
        <v>25</v>
      </c>
      <c r="J2089" s="5" t="s">
        <v>25</v>
      </c>
      <c r="K2089" s="7" t="str">
        <f>VLOOKUP(A2089,Sheet2!$A$2:$R$3432,6,0)</f>
        <v>Honda Hornet </v>
      </c>
      <c r="L2089" s="5" t="s">
        <v>25</v>
      </c>
      <c r="M2089" s="7" t="str">
        <f>VLOOKUP(A2089,Sheet2!$A$2:$R$3432,5,0)</f>
        <v>KA01HN8581</v>
      </c>
      <c r="N2089" s="5" t="s">
        <v>25</v>
      </c>
      <c r="O2089" s="5" t="s">
        <v>25</v>
      </c>
      <c r="P2089" s="6" t="s">
        <v>25</v>
      </c>
      <c r="Q2089" s="5" t="s">
        <v>25</v>
      </c>
      <c r="R2089" s="5" t="s">
        <v>25</v>
      </c>
      <c r="S2089" s="7" t="str">
        <f>VLOOKUP(A2089,Sheet2!$A$2:$R$3432,18,0)</f>
        <v/>
      </c>
      <c r="T2089" s="7" t="str">
        <f>VLOOKUP(A2089,Sheet2!$A$2:$R$3432,17,0)</f>
        <v/>
      </c>
    </row>
    <row r="2090" ht="15.75" customHeight="1">
      <c r="A2090" s="3" t="s">
        <v>2113</v>
      </c>
      <c r="B2090" s="4" t="str">
        <f>VLOOKUP(A2090,Sheet2!$A$2:$R$3432,2,0)</f>
        <v>2024-08-17 20:43:08</v>
      </c>
      <c r="C2090" s="5" t="s">
        <v>25</v>
      </c>
      <c r="D2090" s="6" t="s">
        <v>25</v>
      </c>
      <c r="E2090" s="7">
        <f>VLOOKUP(A2090,Sheet2!$A$2:$R$3432,4,0)</f>
        <v>9762861972</v>
      </c>
      <c r="F2090" s="7" t="str">
        <f>VLOOKUP(A2090,Sheet2!$A$2:$R$3432,3,0)</f>
        <v>Amey </v>
      </c>
      <c r="G2090" s="5" t="s">
        <v>25</v>
      </c>
      <c r="H2090" s="5" t="s">
        <v>25</v>
      </c>
      <c r="I2090" s="5" t="s">
        <v>25</v>
      </c>
      <c r="J2090" s="5" t="s">
        <v>25</v>
      </c>
      <c r="K2090" s="7" t="str">
        <f>VLOOKUP(A2090,Sheet2!$A$2:$R$3432,6,0)</f>
        <v>Yamaha R15 V3</v>
      </c>
      <c r="L2090" s="5" t="s">
        <v>25</v>
      </c>
      <c r="M2090" s="7" t="str">
        <f>VLOOKUP(A2090,Sheet2!$A$2:$R$3432,5,0)</f>
        <v>MH14JN0887</v>
      </c>
      <c r="N2090" s="5" t="s">
        <v>25</v>
      </c>
      <c r="O2090" s="5" t="s">
        <v>25</v>
      </c>
      <c r="P2090" s="6" t="s">
        <v>25</v>
      </c>
      <c r="Q2090" s="5" t="s">
        <v>25</v>
      </c>
      <c r="R2090" s="5" t="s">
        <v>25</v>
      </c>
      <c r="S2090" s="5" t="str">
        <f>VLOOKUP(A2090,Sheet2!$A$2:$R$3432,18,0)</f>
        <v>G3N460076805</v>
      </c>
      <c r="T2090" s="7" t="str">
        <f>VLOOKUP(A2090,Sheet2!$A$2:$R$3432,17,0)</f>
        <v>ME1RG671BL0052645</v>
      </c>
    </row>
    <row r="2091" ht="15.75" customHeight="1">
      <c r="A2091" s="3" t="s">
        <v>2114</v>
      </c>
      <c r="B2091" s="4" t="str">
        <f>VLOOKUP(A2091,Sheet2!$A$2:$R$3432,2,0)</f>
        <v>2024-08-17 20:44:37</v>
      </c>
      <c r="C2091" s="5" t="s">
        <v>25</v>
      </c>
      <c r="D2091" s="6" t="s">
        <v>25</v>
      </c>
      <c r="E2091" s="7">
        <f>VLOOKUP(A2091,Sheet2!$A$2:$R$3432,4,0)</f>
        <v>8308826234</v>
      </c>
      <c r="F2091" s="7" t="str">
        <f>VLOOKUP(A2091,Sheet2!$A$2:$R$3432,3,0)</f>
        <v>RAJESH</v>
      </c>
      <c r="G2091" s="5" t="s">
        <v>25</v>
      </c>
      <c r="H2091" s="5" t="s">
        <v>25</v>
      </c>
      <c r="I2091" s="5" t="s">
        <v>25</v>
      </c>
      <c r="J2091" s="5" t="s">
        <v>25</v>
      </c>
      <c r="K2091" s="7" t="str">
        <f>VLOOKUP(A2091,Sheet2!$A$2:$R$3432,6,0)</f>
        <v>Honda Activa Old</v>
      </c>
      <c r="L2091" s="5" t="s">
        <v>25</v>
      </c>
      <c r="M2091" s="7" t="str">
        <f>VLOOKUP(A2091,Sheet2!$A$2:$R$3432,5,0)</f>
        <v>MH12DJ5926</v>
      </c>
      <c r="N2091" s="5" t="s">
        <v>25</v>
      </c>
      <c r="O2091" s="5" t="s">
        <v>25</v>
      </c>
      <c r="P2091" s="6" t="s">
        <v>25</v>
      </c>
      <c r="Q2091" s="5" t="s">
        <v>25</v>
      </c>
      <c r="R2091" s="5" t="s">
        <v>25</v>
      </c>
      <c r="S2091" s="7" t="str">
        <f>VLOOKUP(A2091,Sheet2!$A$2:$R$3432,18,0)</f>
        <v/>
      </c>
      <c r="T2091" s="7" t="str">
        <f>VLOOKUP(A2091,Sheet2!$A$2:$R$3432,17,0)</f>
        <v/>
      </c>
    </row>
    <row r="2092" ht="15.75" customHeight="1">
      <c r="A2092" s="3" t="s">
        <v>2115</v>
      </c>
      <c r="B2092" s="4" t="str">
        <f>VLOOKUP(A2092,Sheet2!$A$2:$R$3432,2,0)</f>
        <v>2024-08-17 20:40:34</v>
      </c>
      <c r="C2092" s="5" t="s">
        <v>25</v>
      </c>
      <c r="D2092" s="6" t="s">
        <v>25</v>
      </c>
      <c r="E2092" s="7">
        <f>VLOOKUP(A2092,Sheet2!$A$2:$R$3432,4,0)</f>
        <v>8956496766</v>
      </c>
      <c r="F2092" s="7" t="str">
        <f>VLOOKUP(A2092,Sheet2!$A$2:$R$3432,3,0)</f>
        <v>Sweta</v>
      </c>
      <c r="G2092" s="5" t="s">
        <v>25</v>
      </c>
      <c r="H2092" s="5" t="s">
        <v>25</v>
      </c>
      <c r="I2092" s="5" t="s">
        <v>25</v>
      </c>
      <c r="J2092" s="5" t="s">
        <v>25</v>
      </c>
      <c r="K2092" s="7" t="str">
        <f>VLOOKUP(A2092,Sheet2!$A$2:$R$3432,6,0)</f>
        <v>Hero Maestro </v>
      </c>
      <c r="L2092" s="5" t="s">
        <v>25</v>
      </c>
      <c r="M2092" s="7" t="str">
        <f>VLOOKUP(A2092,Sheet2!$A$2:$R$3432,5,0)</f>
        <v>MH14EA3296</v>
      </c>
      <c r="N2092" s="5" t="s">
        <v>25</v>
      </c>
      <c r="O2092" s="5" t="s">
        <v>25</v>
      </c>
      <c r="P2092" s="6" t="s">
        <v>25</v>
      </c>
      <c r="Q2092" s="5" t="s">
        <v>25</v>
      </c>
      <c r="R2092" s="5" t="s">
        <v>25</v>
      </c>
      <c r="S2092" s="5" t="str">
        <f>VLOOKUP(A2092,Sheet2!$A$2:$R$3432,18,0)</f>
        <v>JF32AADGG11950</v>
      </c>
      <c r="T2092" s="7" t="str">
        <f>VLOOKUP(A2092,Sheet2!$A$2:$R$3432,17,0)</f>
        <v>MBLJF32ABDGG12119</v>
      </c>
    </row>
    <row r="2093" ht="15.75" customHeight="1">
      <c r="A2093" s="3" t="s">
        <v>2116</v>
      </c>
      <c r="B2093" s="4" t="str">
        <f>VLOOKUP(A2093,Sheet2!$A$2:$R$3432,2,0)</f>
        <v>2024-08-17 20:41:18</v>
      </c>
      <c r="C2093" s="5" t="s">
        <v>25</v>
      </c>
      <c r="D2093" s="6" t="s">
        <v>25</v>
      </c>
      <c r="E2093" s="7">
        <f>VLOOKUP(A2093,Sheet2!$A$2:$R$3432,4,0)</f>
        <v>8446642710</v>
      </c>
      <c r="F2093" s="7" t="str">
        <f>VLOOKUP(A2093,Sheet2!$A$2:$R$3432,3,0)</f>
        <v>AKASH</v>
      </c>
      <c r="G2093" s="5" t="s">
        <v>25</v>
      </c>
      <c r="H2093" s="5" t="s">
        <v>25</v>
      </c>
      <c r="I2093" s="5" t="s">
        <v>25</v>
      </c>
      <c r="J2093" s="5" t="s">
        <v>25</v>
      </c>
      <c r="K2093" s="7" t="str">
        <f>VLOOKUP(A2093,Sheet2!$A$2:$R$3432,6,0)</f>
        <v>Bajaj Pulsar 200 NS</v>
      </c>
      <c r="L2093" s="5" t="s">
        <v>25</v>
      </c>
      <c r="M2093" s="7" t="str">
        <f>VLOOKUP(A2093,Sheet2!$A$2:$R$3432,5,0)</f>
        <v>MH12NY8234</v>
      </c>
      <c r="N2093" s="5" t="s">
        <v>25</v>
      </c>
      <c r="O2093" s="5" t="s">
        <v>25</v>
      </c>
      <c r="P2093" s="6" t="s">
        <v>25</v>
      </c>
      <c r="Q2093" s="5" t="s">
        <v>25</v>
      </c>
      <c r="R2093" s="5" t="s">
        <v>25</v>
      </c>
      <c r="S2093" s="5" t="str">
        <f>VLOOKUP(A2093,Sheet2!$A$2:$R$3432,18,0)</f>
        <v>JLYCHL11354</v>
      </c>
      <c r="T2093" s="7" t="str">
        <f>VLOOKUP(A2093,Sheet2!$A$2:$R$3432,17,0)</f>
        <v>JD2A36FYXHCL12729</v>
      </c>
    </row>
    <row r="2094" ht="15.75" customHeight="1">
      <c r="A2094" s="3" t="s">
        <v>2117</v>
      </c>
      <c r="B2094" s="4" t="str">
        <f>VLOOKUP(A2094,Sheet2!$A$2:$R$3432,2,0)</f>
        <v>2024-08-17 20:36:23</v>
      </c>
      <c r="C2094" s="5" t="s">
        <v>25</v>
      </c>
      <c r="D2094" s="6" t="s">
        <v>25</v>
      </c>
      <c r="E2094" s="7">
        <f>VLOOKUP(A2094,Sheet2!$A$2:$R$3432,4,0)</f>
        <v>8788007998</v>
      </c>
      <c r="F2094" s="7" t="str">
        <f>VLOOKUP(A2094,Sheet2!$A$2:$R$3432,3,0)</f>
        <v>Aditya </v>
      </c>
      <c r="G2094" s="5" t="s">
        <v>25</v>
      </c>
      <c r="H2094" s="5" t="s">
        <v>25</v>
      </c>
      <c r="I2094" s="5" t="s">
        <v>25</v>
      </c>
      <c r="J2094" s="5" t="s">
        <v>25</v>
      </c>
      <c r="K2094" s="7" t="str">
        <f>VLOOKUP(A2094,Sheet2!$A$2:$R$3432,6,0)</f>
        <v>Suzuki Access 125</v>
      </c>
      <c r="L2094" s="5" t="s">
        <v>25</v>
      </c>
      <c r="M2094" s="7" t="str">
        <f>VLOOKUP(A2094,Sheet2!$A$2:$R$3432,5,0)</f>
        <v>MH27CS8967</v>
      </c>
      <c r="N2094" s="5" t="s">
        <v>25</v>
      </c>
      <c r="O2094" s="5" t="s">
        <v>25</v>
      </c>
      <c r="P2094" s="6" t="s">
        <v>25</v>
      </c>
      <c r="Q2094" s="5" t="s">
        <v>25</v>
      </c>
      <c r="R2094" s="5" t="s">
        <v>25</v>
      </c>
      <c r="S2094" s="5" t="str">
        <f>VLOOKUP(A2094,Sheet2!$A$2:$R$3432,18,0)</f>
        <v>AF21245464</v>
      </c>
      <c r="T2094" s="7" t="str">
        <f>VLOOKUP(A2094,Sheet2!$A$2:$R$3432,17,0)</f>
        <v>MB8DP12DML8489353</v>
      </c>
    </row>
    <row r="2095" ht="15.75" customHeight="1">
      <c r="A2095" s="3" t="s">
        <v>2118</v>
      </c>
      <c r="B2095" s="4" t="str">
        <f>VLOOKUP(A2095,Sheet2!$A$2:$R$3432,2,0)</f>
        <v>2024-08-17 20:39:13</v>
      </c>
      <c r="C2095" s="5" t="s">
        <v>25</v>
      </c>
      <c r="D2095" s="6" t="s">
        <v>25</v>
      </c>
      <c r="E2095" s="7">
        <f>VLOOKUP(A2095,Sheet2!$A$2:$R$3432,4,0)</f>
        <v>7798413084</v>
      </c>
      <c r="F2095" s="7" t="str">
        <f>VLOOKUP(A2095,Sheet2!$A$2:$R$3432,3,0)</f>
        <v>Manish Shewale</v>
      </c>
      <c r="G2095" s="5" t="s">
        <v>25</v>
      </c>
      <c r="H2095" s="5" t="s">
        <v>25</v>
      </c>
      <c r="I2095" s="5" t="s">
        <v>25</v>
      </c>
      <c r="J2095" s="5" t="s">
        <v>25</v>
      </c>
      <c r="K2095" s="7" t="str">
        <f>VLOOKUP(A2095,Sheet2!$A$2:$R$3432,6,0)</f>
        <v>TVS Jupiter </v>
      </c>
      <c r="L2095" s="5" t="s">
        <v>25</v>
      </c>
      <c r="M2095" s="7" t="str">
        <f>VLOOKUP(A2095,Sheet2!$A$2:$R$3432,5,0)</f>
        <v>MH15FA0477</v>
      </c>
      <c r="N2095" s="5" t="s">
        <v>25</v>
      </c>
      <c r="O2095" s="5" t="s">
        <v>25</v>
      </c>
      <c r="P2095" s="6" t="s">
        <v>25</v>
      </c>
      <c r="Q2095" s="5" t="s">
        <v>25</v>
      </c>
      <c r="R2095" s="5" t="s">
        <v>25</v>
      </c>
      <c r="S2095" s="5" t="str">
        <f>VLOOKUP(A2095,Sheet2!$A$2:$R$3432,18,0)</f>
        <v>BGAF1606330</v>
      </c>
      <c r="T2095" s="7" t="str">
        <f>VLOOKUP(A2095,Sheet2!$A$2:$R$3432,17,0)</f>
        <v>MD626BG47F1G06003</v>
      </c>
    </row>
    <row r="2096" ht="15.75" customHeight="1">
      <c r="A2096" s="3" t="s">
        <v>2119</v>
      </c>
      <c r="B2096" s="4" t="str">
        <f>VLOOKUP(A2096,Sheet2!$A$2:$R$3432,2,0)</f>
        <v>2024-09-29 20:45:03</v>
      </c>
      <c r="C2096" s="5" t="s">
        <v>25</v>
      </c>
      <c r="D2096" s="6" t="s">
        <v>25</v>
      </c>
      <c r="E2096" s="7">
        <f>VLOOKUP(A2096,Sheet2!$A$2:$R$3432,4,0)</f>
        <v>9766678146</v>
      </c>
      <c r="F2096" s="7" t="str">
        <f>VLOOKUP(A2096,Sheet2!$A$2:$R$3432,3,0)</f>
        <v>Sumant</v>
      </c>
      <c r="G2096" s="5" t="s">
        <v>25</v>
      </c>
      <c r="H2096" s="5" t="s">
        <v>25</v>
      </c>
      <c r="I2096" s="5" t="s">
        <v>25</v>
      </c>
      <c r="J2096" s="5" t="s">
        <v>25</v>
      </c>
      <c r="K2096" s="7" t="str">
        <f>VLOOKUP(A2096,Sheet2!$A$2:$R$3432,6,0)</f>
        <v>Bajaj Pulsar 220</v>
      </c>
      <c r="L2096" s="5" t="s">
        <v>25</v>
      </c>
      <c r="M2096" s="7" t="str">
        <f>VLOOKUP(A2096,Sheet2!$A$2:$R$3432,5,0)</f>
        <v>MH02EB0893</v>
      </c>
      <c r="N2096" s="5" t="s">
        <v>25</v>
      </c>
      <c r="O2096" s="5" t="s">
        <v>25</v>
      </c>
      <c r="P2096" s="6" t="s">
        <v>25</v>
      </c>
      <c r="Q2096" s="5" t="s">
        <v>25</v>
      </c>
      <c r="R2096" s="5" t="s">
        <v>25</v>
      </c>
      <c r="S2096" s="5" t="str">
        <f>VLOOKUP(A2096,Sheet2!$A$2:$R$3432,18,0)</f>
        <v>DKZCFD25236</v>
      </c>
      <c r="T2096" s="7" t="str">
        <f>VLOOKUP(A2096,Sheet2!$A$2:$R$3432,17,0)</f>
        <v>MD2A13EZ9FCC37651</v>
      </c>
    </row>
    <row r="2097" ht="15.75" customHeight="1">
      <c r="A2097" s="3" t="s">
        <v>2120</v>
      </c>
      <c r="B2097" s="4" t="str">
        <f>VLOOKUP(A2097,Sheet2!$A$2:$R$3432,2,0)</f>
        <v>2024-09-29 20:47:57</v>
      </c>
      <c r="C2097" s="5" t="s">
        <v>25</v>
      </c>
      <c r="D2097" s="6" t="s">
        <v>25</v>
      </c>
      <c r="E2097" s="7">
        <f>VLOOKUP(A2097,Sheet2!$A$2:$R$3432,4,0)</f>
        <v>9172706338</v>
      </c>
      <c r="F2097" s="7" t="str">
        <f>VLOOKUP(A2097,Sheet2!$A$2:$R$3432,3,0)</f>
        <v>MANISH MHATRE</v>
      </c>
      <c r="G2097" s="5" t="s">
        <v>25</v>
      </c>
      <c r="H2097" s="5" t="s">
        <v>25</v>
      </c>
      <c r="I2097" s="5" t="s">
        <v>25</v>
      </c>
      <c r="J2097" s="5" t="s">
        <v>25</v>
      </c>
      <c r="K2097" s="7" t="str">
        <f>VLOOKUP(A2097,Sheet2!$A$2:$R$3432,6,0)</f>
        <v>Hero Passion Pro</v>
      </c>
      <c r="L2097" s="5" t="s">
        <v>25</v>
      </c>
      <c r="M2097" s="7" t="str">
        <f>VLOOKUP(A2097,Sheet2!$A$2:$R$3432,5,0)</f>
        <v>MH04GB2646</v>
      </c>
      <c r="N2097" s="5" t="s">
        <v>25</v>
      </c>
      <c r="O2097" s="5" t="s">
        <v>25</v>
      </c>
      <c r="P2097" s="6" t="s">
        <v>25</v>
      </c>
      <c r="Q2097" s="5" t="s">
        <v>25</v>
      </c>
      <c r="R2097" s="5" t="s">
        <v>25</v>
      </c>
      <c r="S2097" s="7" t="str">
        <f>VLOOKUP(A2097,Sheet2!$A$2:$R$3432,18,0)</f>
        <v/>
      </c>
      <c r="T2097" s="7" t="str">
        <f>VLOOKUP(A2097,Sheet2!$A$2:$R$3432,17,0)</f>
        <v/>
      </c>
    </row>
    <row r="2098" ht="15.75" customHeight="1">
      <c r="A2098" s="3" t="s">
        <v>2121</v>
      </c>
      <c r="B2098" s="4" t="str">
        <f>VLOOKUP(A2098,Sheet2!$A$2:$R$3432,2,0)</f>
        <v>2024-09-29 21:03:03</v>
      </c>
      <c r="C2098" s="5" t="s">
        <v>25</v>
      </c>
      <c r="D2098" s="6" t="s">
        <v>25</v>
      </c>
      <c r="E2098" s="7">
        <f>VLOOKUP(A2098,Sheet2!$A$2:$R$3432,4,0)</f>
        <v>9604135895</v>
      </c>
      <c r="F2098" s="7" t="str">
        <f>VLOOKUP(A2098,Sheet2!$A$2:$R$3432,3,0)</f>
        <v>VIKAS </v>
      </c>
      <c r="G2098" s="5" t="s">
        <v>25</v>
      </c>
      <c r="H2098" s="5" t="s">
        <v>25</v>
      </c>
      <c r="I2098" s="5" t="s">
        <v>25</v>
      </c>
      <c r="J2098" s="5" t="s">
        <v>25</v>
      </c>
      <c r="K2098" s="7" t="str">
        <f>VLOOKUP(A2098,Sheet2!$A$2:$R$3432,6,0)</f>
        <v>Honda Activa Old</v>
      </c>
      <c r="L2098" s="5" t="s">
        <v>25</v>
      </c>
      <c r="M2098" s="7" t="str">
        <f>VLOOKUP(A2098,Sheet2!$A$2:$R$3432,5,0)</f>
        <v>MH14BS9186</v>
      </c>
      <c r="N2098" s="5" t="s">
        <v>25</v>
      </c>
      <c r="O2098" s="5" t="s">
        <v>25</v>
      </c>
      <c r="P2098" s="6" t="s">
        <v>25</v>
      </c>
      <c r="Q2098" s="5" t="s">
        <v>25</v>
      </c>
      <c r="R2098" s="5" t="s">
        <v>25</v>
      </c>
      <c r="S2098" s="5" t="str">
        <f>VLOOKUP(A2098,Sheet2!$A$2:$R$3432,18,0)</f>
        <v>JF08E5740078</v>
      </c>
      <c r="T2098" s="7" t="str">
        <f>VLOOKUP(A2098,Sheet2!$A$2:$R$3432,17,0)</f>
        <v>RUSTY FRAM </v>
      </c>
    </row>
    <row r="2099" ht="15.75" customHeight="1">
      <c r="A2099" s="3" t="s">
        <v>2122</v>
      </c>
      <c r="B2099" s="4" t="str">
        <f>VLOOKUP(A2099,Sheet2!$A$2:$R$3432,2,0)</f>
        <v>2024-09-29 21:00:44</v>
      </c>
      <c r="C2099" s="5" t="s">
        <v>25</v>
      </c>
      <c r="D2099" s="6" t="s">
        <v>25</v>
      </c>
      <c r="E2099" s="7">
        <f>VLOOKUP(A2099,Sheet2!$A$2:$R$3432,4,0)</f>
        <v>9823256415</v>
      </c>
      <c r="F2099" s="7" t="str">
        <f>VLOOKUP(A2099,Sheet2!$A$2:$R$3432,3,0)</f>
        <v>Nainish</v>
      </c>
      <c r="G2099" s="5" t="s">
        <v>25</v>
      </c>
      <c r="H2099" s="5" t="s">
        <v>25</v>
      </c>
      <c r="I2099" s="5" t="s">
        <v>25</v>
      </c>
      <c r="J2099" s="5" t="s">
        <v>25</v>
      </c>
      <c r="K2099" s="7" t="str">
        <f>VLOOKUP(A2099,Sheet2!$A$2:$R$3432,6,0)</f>
        <v>Honda Activa </v>
      </c>
      <c r="L2099" s="5" t="s">
        <v>25</v>
      </c>
      <c r="M2099" s="7" t="str">
        <f>VLOOKUP(A2099,Sheet2!$A$2:$R$3432,5,0)</f>
        <v>MH14CH7611</v>
      </c>
      <c r="N2099" s="5" t="s">
        <v>25</v>
      </c>
      <c r="O2099" s="5" t="s">
        <v>25</v>
      </c>
      <c r="P2099" s="6" t="s">
        <v>25</v>
      </c>
      <c r="Q2099" s="5" t="s">
        <v>25</v>
      </c>
      <c r="R2099" s="5" t="s">
        <v>25</v>
      </c>
      <c r="S2099" s="7" t="str">
        <f>VLOOKUP(A2099,Sheet2!$A$2:$R$3432,18,0)</f>
        <v/>
      </c>
      <c r="T2099" s="7" t="str">
        <f>VLOOKUP(A2099,Sheet2!$A$2:$R$3432,17,0)</f>
        <v/>
      </c>
    </row>
    <row r="2100" ht="15.75" customHeight="1">
      <c r="A2100" s="3" t="s">
        <v>2123</v>
      </c>
      <c r="B2100" s="4" t="str">
        <f>VLOOKUP(A2100,Sheet2!$A$2:$R$3432,2,0)</f>
        <v>2024-09-29 20:59:32</v>
      </c>
      <c r="C2100" s="5" t="s">
        <v>25</v>
      </c>
      <c r="D2100" s="6" t="s">
        <v>25</v>
      </c>
      <c r="E2100" s="7">
        <f>VLOOKUP(A2100,Sheet2!$A$2:$R$3432,4,0)</f>
        <v>8855831445</v>
      </c>
      <c r="F2100" s="7" t="str">
        <f>VLOOKUP(A2100,Sheet2!$A$2:$R$3432,3,0)</f>
        <v>HEMANT</v>
      </c>
      <c r="G2100" s="5" t="s">
        <v>25</v>
      </c>
      <c r="H2100" s="5" t="s">
        <v>25</v>
      </c>
      <c r="I2100" s="5" t="s">
        <v>25</v>
      </c>
      <c r="J2100" s="5" t="s">
        <v>25</v>
      </c>
      <c r="K2100" s="7" t="str">
        <f>VLOOKUP(A2100,Sheet2!$A$2:$R$3432,6,0)</f>
        <v>Honda Activa 6G</v>
      </c>
      <c r="L2100" s="5" t="s">
        <v>25</v>
      </c>
      <c r="M2100" s="7" t="str">
        <f>VLOOKUP(A2100,Sheet2!$A$2:$R$3432,5,0)</f>
        <v>MH26BY4556</v>
      </c>
      <c r="N2100" s="5" t="s">
        <v>25</v>
      </c>
      <c r="O2100" s="5" t="s">
        <v>25</v>
      </c>
      <c r="P2100" s="6" t="s">
        <v>25</v>
      </c>
      <c r="Q2100" s="5" t="s">
        <v>25</v>
      </c>
      <c r="R2100" s="5" t="s">
        <v>25</v>
      </c>
      <c r="S2100" s="7" t="str">
        <f>VLOOKUP(A2100,Sheet2!$A$2:$R$3432,18,0)</f>
        <v/>
      </c>
      <c r="T2100" s="7" t="str">
        <f>VLOOKUP(A2100,Sheet2!$A$2:$R$3432,17,0)</f>
        <v/>
      </c>
    </row>
    <row r="2101" ht="15.75" customHeight="1">
      <c r="A2101" s="3" t="s">
        <v>2124</v>
      </c>
      <c r="B2101" s="4" t="str">
        <f>VLOOKUP(A2101,Sheet2!$A$2:$R$3432,2,0)</f>
        <v>2024-09-29 21:07:32</v>
      </c>
      <c r="C2101" s="5" t="s">
        <v>25</v>
      </c>
      <c r="D2101" s="6" t="s">
        <v>25</v>
      </c>
      <c r="E2101" s="7">
        <f>VLOOKUP(A2101,Sheet2!$A$2:$R$3432,4,0)</f>
        <v>7879344500</v>
      </c>
      <c r="F2101" s="7" t="str">
        <f>VLOOKUP(A2101,Sheet2!$A$2:$R$3432,3,0)</f>
        <v>Shreyas </v>
      </c>
      <c r="G2101" s="5" t="s">
        <v>25</v>
      </c>
      <c r="H2101" s="5" t="s">
        <v>25</v>
      </c>
      <c r="I2101" s="5" t="s">
        <v>25</v>
      </c>
      <c r="J2101" s="5" t="s">
        <v>25</v>
      </c>
      <c r="K2101" s="7" t="str">
        <f>VLOOKUP(A2101,Sheet2!$A$2:$R$3432,6,0)</f>
        <v>Honda Activa 125</v>
      </c>
      <c r="L2101" s="5" t="s">
        <v>25</v>
      </c>
      <c r="M2101" s="7" t="str">
        <f>VLOOKUP(A2101,Sheet2!$A$2:$R$3432,5,0)</f>
        <v>MP09UE8165</v>
      </c>
      <c r="N2101" s="5" t="s">
        <v>25</v>
      </c>
      <c r="O2101" s="5" t="s">
        <v>25</v>
      </c>
      <c r="P2101" s="6" t="s">
        <v>25</v>
      </c>
      <c r="Q2101" s="5" t="s">
        <v>25</v>
      </c>
      <c r="R2101" s="5" t="s">
        <v>25</v>
      </c>
      <c r="S2101" s="7" t="str">
        <f>VLOOKUP(A2101,Sheet2!$A$2:$R$3432,18,0)</f>
        <v/>
      </c>
      <c r="T2101" s="7" t="str">
        <f>VLOOKUP(A2101,Sheet2!$A$2:$R$3432,17,0)</f>
        <v/>
      </c>
    </row>
    <row r="2102" ht="15.75" customHeight="1">
      <c r="A2102" s="3" t="s">
        <v>2125</v>
      </c>
      <c r="B2102" s="4" t="str">
        <f>VLOOKUP(A2102,Sheet2!$A$2:$R$3432,2,0)</f>
        <v>2024-09-29 20:09:25</v>
      </c>
      <c r="C2102" s="5" t="s">
        <v>25</v>
      </c>
      <c r="D2102" s="6" t="s">
        <v>25</v>
      </c>
      <c r="E2102" s="7">
        <f>VLOOKUP(A2102,Sheet2!$A$2:$R$3432,4,0)</f>
        <v>9881253129</v>
      </c>
      <c r="F2102" s="7" t="str">
        <f>VLOOKUP(A2102,Sheet2!$A$2:$R$3432,3,0)</f>
        <v>Hemant</v>
      </c>
      <c r="G2102" s="5" t="s">
        <v>25</v>
      </c>
      <c r="H2102" s="5" t="s">
        <v>25</v>
      </c>
      <c r="I2102" s="5" t="s">
        <v>25</v>
      </c>
      <c r="J2102" s="5" t="s">
        <v>25</v>
      </c>
      <c r="K2102" s="7" t="str">
        <f>VLOOKUP(A2102,Sheet2!$A$2:$R$3432,6,0)</f>
        <v>TVS Wego </v>
      </c>
      <c r="L2102" s="5" t="s">
        <v>25</v>
      </c>
      <c r="M2102" s="7" t="str">
        <f>VLOOKUP(A2102,Sheet2!$A$2:$R$3432,5,0)</f>
        <v>MH14DY4497</v>
      </c>
      <c r="N2102" s="5" t="s">
        <v>25</v>
      </c>
      <c r="O2102" s="5" t="s">
        <v>25</v>
      </c>
      <c r="P2102" s="6" t="s">
        <v>25</v>
      </c>
      <c r="Q2102" s="5" t="s">
        <v>25</v>
      </c>
      <c r="R2102" s="5" t="s">
        <v>25</v>
      </c>
      <c r="S2102" s="5" t="str">
        <f>VLOOKUP(A2102,Sheet2!$A$2:$R$3432,18,0)</f>
        <v>OG4CD1546295</v>
      </c>
      <c r="T2102" s="7" t="str">
        <f>VLOOKUP(A2102,Sheet2!$A$2:$R$3432,17,0)</f>
        <v>MD626AG461C83604</v>
      </c>
    </row>
    <row r="2103" ht="15.75" customHeight="1">
      <c r="A2103" s="3" t="s">
        <v>2126</v>
      </c>
      <c r="B2103" s="4" t="str">
        <f>VLOOKUP(A2103,Sheet2!$A$2:$R$3432,2,0)</f>
        <v>2024-09-29 20:37:56</v>
      </c>
      <c r="C2103" s="5" t="s">
        <v>25</v>
      </c>
      <c r="D2103" s="6" t="s">
        <v>25</v>
      </c>
      <c r="E2103" s="7">
        <f>VLOOKUP(A2103,Sheet2!$A$2:$R$3432,4,0)</f>
        <v>9860213845</v>
      </c>
      <c r="F2103" s="7" t="str">
        <f>VLOOKUP(A2103,Sheet2!$A$2:$R$3432,3,0)</f>
        <v>Ajay Mahagaonkar</v>
      </c>
      <c r="G2103" s="5" t="s">
        <v>25</v>
      </c>
      <c r="H2103" s="5" t="s">
        <v>25</v>
      </c>
      <c r="I2103" s="5" t="s">
        <v>25</v>
      </c>
      <c r="J2103" s="5" t="s">
        <v>25</v>
      </c>
      <c r="K2103" s="7" t="str">
        <f>VLOOKUP(A2103,Sheet2!$A$2:$R$3432,6,0)</f>
        <v>Hero Karizma R</v>
      </c>
      <c r="L2103" s="5" t="s">
        <v>25</v>
      </c>
      <c r="M2103" s="7" t="str">
        <f>VLOOKUP(A2103,Sheet2!$A$2:$R$3432,5,0)</f>
        <v>MH14BW5467</v>
      </c>
      <c r="N2103" s="5" t="s">
        <v>25</v>
      </c>
      <c r="O2103" s="5" t="s">
        <v>25</v>
      </c>
      <c r="P2103" s="6" t="s">
        <v>25</v>
      </c>
      <c r="Q2103" s="5" t="s">
        <v>25</v>
      </c>
      <c r="R2103" s="5" t="s">
        <v>25</v>
      </c>
      <c r="S2103" s="7" t="str">
        <f>VLOOKUP(A2103,Sheet2!$A$2:$R$3432,18,0)</f>
        <v/>
      </c>
      <c r="T2103" s="7" t="str">
        <f>VLOOKUP(A2103,Sheet2!$A$2:$R$3432,17,0)</f>
        <v>MBLMC38..AC00950</v>
      </c>
    </row>
    <row r="2104" ht="15.75" customHeight="1">
      <c r="A2104" s="3" t="s">
        <v>2127</v>
      </c>
      <c r="B2104" s="4" t="str">
        <f>VLOOKUP(A2104,Sheet2!$A$2:$R$3432,2,0)</f>
        <v>2024-09-29 20:51:20</v>
      </c>
      <c r="C2104" s="5" t="s">
        <v>25</v>
      </c>
      <c r="D2104" s="6" t="s">
        <v>25</v>
      </c>
      <c r="E2104" s="7">
        <f>VLOOKUP(A2104,Sheet2!$A$2:$R$3432,4,0)</f>
        <v>8484005976</v>
      </c>
      <c r="F2104" s="7" t="str">
        <f>VLOOKUP(A2104,Sheet2!$A$2:$R$3432,3,0)</f>
        <v>Prashant Pandit </v>
      </c>
      <c r="G2104" s="5" t="s">
        <v>25</v>
      </c>
      <c r="H2104" s="5" t="s">
        <v>25</v>
      </c>
      <c r="I2104" s="5" t="s">
        <v>25</v>
      </c>
      <c r="J2104" s="5" t="s">
        <v>25</v>
      </c>
      <c r="K2104" s="7" t="str">
        <f>VLOOKUP(A2104,Sheet2!$A$2:$R$3432,6,0)</f>
        <v>Suzuki Access </v>
      </c>
      <c r="L2104" s="5" t="s">
        <v>25</v>
      </c>
      <c r="M2104" s="7" t="str">
        <f>VLOOKUP(A2104,Sheet2!$A$2:$R$3432,5,0)</f>
        <v>MH27AK2555</v>
      </c>
      <c r="N2104" s="5" t="s">
        <v>25</v>
      </c>
      <c r="O2104" s="5" t="s">
        <v>25</v>
      </c>
      <c r="P2104" s="6" t="s">
        <v>25</v>
      </c>
      <c r="Q2104" s="5" t="s">
        <v>25</v>
      </c>
      <c r="R2104" s="5" t="s">
        <v>25</v>
      </c>
      <c r="S2104" s="7" t="str">
        <f>VLOOKUP(A2104,Sheet2!$A$2:$R$3432,18,0)</f>
        <v/>
      </c>
      <c r="T2104" s="7" t="str">
        <f>VLOOKUP(A2104,Sheet2!$A$2:$R$3432,17,0)</f>
        <v/>
      </c>
    </row>
    <row r="2105" ht="15.75" customHeight="1">
      <c r="A2105" s="3" t="s">
        <v>2128</v>
      </c>
      <c r="B2105" s="4" t="str">
        <f>VLOOKUP(A2105,Sheet2!$A$2:$R$3432,2,0)</f>
        <v>2024-09-29 20:46:19</v>
      </c>
      <c r="C2105" s="5" t="s">
        <v>25</v>
      </c>
      <c r="D2105" s="6" t="s">
        <v>25</v>
      </c>
      <c r="E2105" s="7">
        <f>VLOOKUP(A2105,Sheet2!$A$2:$R$3432,4,0)</f>
        <v>9619667658</v>
      </c>
      <c r="F2105" s="7" t="str">
        <f>VLOOKUP(A2105,Sheet2!$A$2:$R$3432,3,0)</f>
        <v>Avishkar</v>
      </c>
      <c r="G2105" s="5" t="s">
        <v>25</v>
      </c>
      <c r="H2105" s="5" t="s">
        <v>25</v>
      </c>
      <c r="I2105" s="5" t="s">
        <v>25</v>
      </c>
      <c r="J2105" s="5" t="s">
        <v>25</v>
      </c>
      <c r="K2105" s="7" t="str">
        <f>VLOOKUP(A2105,Sheet2!$A$2:$R$3432,6,0)</f>
        <v>Hero Glamour </v>
      </c>
      <c r="L2105" s="5" t="s">
        <v>25</v>
      </c>
      <c r="M2105" s="7" t="str">
        <f>VLOOKUP(A2105,Sheet2!$A$2:$R$3432,5,0)</f>
        <v>MH14KT5280</v>
      </c>
      <c r="N2105" s="5" t="s">
        <v>25</v>
      </c>
      <c r="O2105" s="5" t="s">
        <v>25</v>
      </c>
      <c r="P2105" s="6" t="s">
        <v>25</v>
      </c>
      <c r="Q2105" s="5" t="s">
        <v>25</v>
      </c>
      <c r="R2105" s="5" t="s">
        <v>25</v>
      </c>
      <c r="S2105" s="7" t="str">
        <f>VLOOKUP(A2105,Sheet2!$A$2:$R$3432,18,0)</f>
        <v/>
      </c>
      <c r="T2105" s="7" t="str">
        <f>VLOOKUP(A2105,Sheet2!$A$2:$R$3432,17,0)</f>
        <v/>
      </c>
    </row>
    <row r="2106" ht="15.75" customHeight="1">
      <c r="A2106" s="3" t="s">
        <v>2129</v>
      </c>
      <c r="B2106" s="4" t="str">
        <f>VLOOKUP(A2106,Sheet2!$A$2:$R$3432,2,0)</f>
        <v>2024-09-29 20:43:36</v>
      </c>
      <c r="C2106" s="5" t="s">
        <v>25</v>
      </c>
      <c r="D2106" s="6" t="s">
        <v>25</v>
      </c>
      <c r="E2106" s="7">
        <f>VLOOKUP(A2106,Sheet2!$A$2:$R$3432,4,0)</f>
        <v>8058342381</v>
      </c>
      <c r="F2106" s="7" t="str">
        <f>VLOOKUP(A2106,Sheet2!$A$2:$R$3432,3,0)</f>
        <v>Rakhi</v>
      </c>
      <c r="G2106" s="5" t="s">
        <v>25</v>
      </c>
      <c r="H2106" s="5" t="s">
        <v>25</v>
      </c>
      <c r="I2106" s="5" t="s">
        <v>25</v>
      </c>
      <c r="J2106" s="5" t="s">
        <v>25</v>
      </c>
      <c r="K2106" s="7" t="str">
        <f>VLOOKUP(A2106,Sheet2!$A$2:$R$3432,6,0)</f>
        <v>Honda Activa 4G</v>
      </c>
      <c r="L2106" s="5" t="s">
        <v>25</v>
      </c>
      <c r="M2106" s="7" t="str">
        <f>VLOOKUP(A2106,Sheet2!$A$2:$R$3432,5,0)</f>
        <v>MH14GV4583</v>
      </c>
      <c r="N2106" s="5" t="s">
        <v>25</v>
      </c>
      <c r="O2106" s="5" t="s">
        <v>25</v>
      </c>
      <c r="P2106" s="6" t="s">
        <v>25</v>
      </c>
      <c r="Q2106" s="5" t="s">
        <v>25</v>
      </c>
      <c r="R2106" s="5" t="s">
        <v>25</v>
      </c>
      <c r="S2106" s="7" t="str">
        <f>VLOOKUP(A2106,Sheet2!$A$2:$R$3432,18,0)</f>
        <v/>
      </c>
      <c r="T2106" s="7" t="str">
        <f>VLOOKUP(A2106,Sheet2!$A$2:$R$3432,17,0)</f>
        <v/>
      </c>
    </row>
    <row r="2107" ht="15.75" customHeight="1">
      <c r="A2107" s="3" t="s">
        <v>2130</v>
      </c>
      <c r="B2107" s="4" t="str">
        <f>VLOOKUP(A2107,Sheet2!$A$2:$R$3432,2,0)</f>
        <v>2024-09-29 20:54:39</v>
      </c>
      <c r="C2107" s="5" t="s">
        <v>25</v>
      </c>
      <c r="D2107" s="6" t="s">
        <v>25</v>
      </c>
      <c r="E2107" s="7">
        <f>VLOOKUP(A2107,Sheet2!$A$2:$R$3432,4,0)</f>
        <v>7903585235</v>
      </c>
      <c r="F2107" s="7" t="str">
        <f>VLOOKUP(A2107,Sheet2!$A$2:$R$3432,3,0)</f>
        <v>Neeraj </v>
      </c>
      <c r="G2107" s="5" t="s">
        <v>25</v>
      </c>
      <c r="H2107" s="5" t="s">
        <v>25</v>
      </c>
      <c r="I2107" s="5" t="s">
        <v>25</v>
      </c>
      <c r="J2107" s="5" t="s">
        <v>25</v>
      </c>
      <c r="K2107" s="7" t="str">
        <f>VLOOKUP(A2107,Sheet2!$A$2:$R$3432,6,0)</f>
        <v>Honda Aviator </v>
      </c>
      <c r="L2107" s="5" t="s">
        <v>25</v>
      </c>
      <c r="M2107" s="7" t="str">
        <f>VLOOKUP(A2107,Sheet2!$A$2:$R$3432,5,0)</f>
        <v>MH14ES5704</v>
      </c>
      <c r="N2107" s="5" t="s">
        <v>25</v>
      </c>
      <c r="O2107" s="5" t="s">
        <v>25</v>
      </c>
      <c r="P2107" s="6" t="s">
        <v>25</v>
      </c>
      <c r="Q2107" s="5" t="s">
        <v>25</v>
      </c>
      <c r="R2107" s="5" t="s">
        <v>25</v>
      </c>
      <c r="S2107" s="5" t="str">
        <f>VLOOKUP(A2107,Sheet2!$A$2:$R$3432,18,0)</f>
        <v>JF21E80227758</v>
      </c>
      <c r="T2107" s="7" t="str">
        <f>VLOOKUP(A2107,Sheet2!$A$2:$R$3432,17,0)</f>
        <v>RUSTY FRAME </v>
      </c>
    </row>
    <row r="2108" ht="15.75" customHeight="1">
      <c r="A2108" s="3" t="s">
        <v>2131</v>
      </c>
      <c r="B2108" s="4" t="str">
        <f>VLOOKUP(A2108,Sheet2!$A$2:$R$3432,2,0)</f>
        <v>2024-09-29 20:49:05</v>
      </c>
      <c r="C2108" s="5" t="s">
        <v>25</v>
      </c>
      <c r="D2108" s="6" t="s">
        <v>25</v>
      </c>
      <c r="E2108" s="7">
        <f>VLOOKUP(A2108,Sheet2!$A$2:$R$3432,4,0)</f>
        <v>9168617642</v>
      </c>
      <c r="F2108" s="7" t="str">
        <f>VLOOKUP(A2108,Sheet2!$A$2:$R$3432,3,0)</f>
        <v>Ajay Mishra</v>
      </c>
      <c r="G2108" s="5" t="s">
        <v>25</v>
      </c>
      <c r="H2108" s="5" t="s">
        <v>25</v>
      </c>
      <c r="I2108" s="5" t="s">
        <v>25</v>
      </c>
      <c r="J2108" s="5" t="s">
        <v>25</v>
      </c>
      <c r="K2108" s="7" t="str">
        <f>VLOOKUP(A2108,Sheet2!$A$2:$R$3432,6,0)</f>
        <v>Hero Passion Pro</v>
      </c>
      <c r="L2108" s="5" t="s">
        <v>25</v>
      </c>
      <c r="M2108" s="7" t="str">
        <f>VLOOKUP(A2108,Sheet2!$A$2:$R$3432,5,0)</f>
        <v>MH14BZ8682</v>
      </c>
      <c r="N2108" s="5" t="s">
        <v>25</v>
      </c>
      <c r="O2108" s="5" t="s">
        <v>25</v>
      </c>
      <c r="P2108" s="6" t="s">
        <v>25</v>
      </c>
      <c r="Q2108" s="5" t="s">
        <v>25</v>
      </c>
      <c r="R2108" s="5" t="s">
        <v>25</v>
      </c>
      <c r="S2108" s="7" t="str">
        <f>VLOOKUP(A2108,Sheet2!$A$2:$R$3432,18,0)</f>
        <v/>
      </c>
      <c r="T2108" s="7" t="str">
        <f>VLOOKUP(A2108,Sheet2!$A$2:$R$3432,17,0)</f>
        <v/>
      </c>
    </row>
    <row r="2109" ht="15.75" customHeight="1">
      <c r="A2109" s="3" t="s">
        <v>2132</v>
      </c>
      <c r="B2109" s="4" t="str">
        <f>VLOOKUP(A2109,Sheet2!$A$2:$R$3432,2,0)</f>
        <v>2024-09-29 20:53:05</v>
      </c>
      <c r="C2109" s="5" t="s">
        <v>25</v>
      </c>
      <c r="D2109" s="6" t="s">
        <v>25</v>
      </c>
      <c r="E2109" s="7">
        <f>VLOOKUP(A2109,Sheet2!$A$2:$R$3432,4,0)</f>
        <v>8975640693</v>
      </c>
      <c r="F2109" s="7" t="str">
        <f>VLOOKUP(A2109,Sheet2!$A$2:$R$3432,3,0)</f>
        <v>Ashish</v>
      </c>
      <c r="G2109" s="5" t="s">
        <v>25</v>
      </c>
      <c r="H2109" s="5" t="s">
        <v>25</v>
      </c>
      <c r="I2109" s="5" t="s">
        <v>25</v>
      </c>
      <c r="J2109" s="5" t="s">
        <v>25</v>
      </c>
      <c r="K2109" s="7" t="str">
        <f>VLOOKUP(A2109,Sheet2!$A$2:$R$3432,6,0)</f>
        <v>Royal Enfield Classic 350</v>
      </c>
      <c r="L2109" s="5" t="s">
        <v>25</v>
      </c>
      <c r="M2109" s="7" t="str">
        <f>VLOOKUP(A2109,Sheet2!$A$2:$R$3432,5,0)</f>
        <v>MH25AQ7997</v>
      </c>
      <c r="N2109" s="5" t="s">
        <v>25</v>
      </c>
      <c r="O2109" s="5" t="s">
        <v>25</v>
      </c>
      <c r="P2109" s="6" t="s">
        <v>25</v>
      </c>
      <c r="Q2109" s="5" t="s">
        <v>25</v>
      </c>
      <c r="R2109" s="5" t="s">
        <v>25</v>
      </c>
      <c r="S2109" s="7" t="str">
        <f>VLOOKUP(A2109,Sheet2!$A$2:$R$3432,18,0)</f>
        <v/>
      </c>
      <c r="T2109" s="7" t="str">
        <f>VLOOKUP(A2109,Sheet2!$A$2:$R$3432,17,0)</f>
        <v/>
      </c>
    </row>
    <row r="2110" ht="15.75" customHeight="1">
      <c r="A2110" s="3" t="s">
        <v>2133</v>
      </c>
      <c r="B2110" s="4" t="str">
        <f>VLOOKUP(A2110,Sheet2!$A$2:$R$3432,2,0)</f>
        <v>2024-09-29 21:12:13</v>
      </c>
      <c r="C2110" s="5" t="s">
        <v>25</v>
      </c>
      <c r="D2110" s="6" t="s">
        <v>25</v>
      </c>
      <c r="E2110" s="7">
        <f>VLOOKUP(A2110,Sheet2!$A$2:$R$3432,4,0)</f>
        <v>9890187362</v>
      </c>
      <c r="F2110" s="7" t="str">
        <f>VLOOKUP(A2110,Sheet2!$A$2:$R$3432,3,0)</f>
        <v>Sanat Kumar Madke</v>
      </c>
      <c r="G2110" s="5" t="s">
        <v>25</v>
      </c>
      <c r="H2110" s="5" t="s">
        <v>25</v>
      </c>
      <c r="I2110" s="5" t="s">
        <v>25</v>
      </c>
      <c r="J2110" s="5" t="s">
        <v>25</v>
      </c>
      <c r="K2110" s="7" t="str">
        <f>VLOOKUP(A2110,Sheet2!$A$2:$R$3432,6,0)</f>
        <v>Honda Activa 3G</v>
      </c>
      <c r="L2110" s="5" t="s">
        <v>25</v>
      </c>
      <c r="M2110" s="7" t="str">
        <f>VLOOKUP(A2110,Sheet2!$A$2:$R$3432,5,0)</f>
        <v>MH14FN6701</v>
      </c>
      <c r="N2110" s="5" t="s">
        <v>25</v>
      </c>
      <c r="O2110" s="5" t="s">
        <v>25</v>
      </c>
      <c r="P2110" s="6" t="s">
        <v>25</v>
      </c>
      <c r="Q2110" s="5" t="s">
        <v>25</v>
      </c>
      <c r="R2110" s="5" t="s">
        <v>25</v>
      </c>
      <c r="S2110" s="5" t="str">
        <f>VLOOKUP(A2110,Sheet2!$A$2:$R$3432,18,0)</f>
        <v>JF50ET3232419</v>
      </c>
      <c r="T2110" s="7" t="str">
        <f>VLOOKUP(A2110,Sheet2!$A$2:$R$3432,17,0)</f>
        <v>ME4JF5056GT232164</v>
      </c>
    </row>
    <row r="2111" ht="15.75" customHeight="1">
      <c r="A2111" s="3" t="s">
        <v>2134</v>
      </c>
      <c r="B2111" s="4" t="str">
        <f>VLOOKUP(A2111,Sheet2!$A$2:$R$3432,2,0)</f>
        <v>2024-09-29 20:24:56</v>
      </c>
      <c r="C2111" s="5" t="s">
        <v>25</v>
      </c>
      <c r="D2111" s="6" t="s">
        <v>25</v>
      </c>
      <c r="E2111" s="7">
        <f>VLOOKUP(A2111,Sheet2!$A$2:$R$3432,4,0)</f>
        <v>9822992284</v>
      </c>
      <c r="F2111" s="7" t="str">
        <f>VLOOKUP(A2111,Sheet2!$A$2:$R$3432,3,0)</f>
        <v>Siddhesh</v>
      </c>
      <c r="G2111" s="5" t="s">
        <v>25</v>
      </c>
      <c r="H2111" s="5" t="s">
        <v>25</v>
      </c>
      <c r="I2111" s="5" t="s">
        <v>25</v>
      </c>
      <c r="J2111" s="5" t="s">
        <v>25</v>
      </c>
      <c r="K2111" s="7" t="str">
        <f>VLOOKUP(A2111,Sheet2!$A$2:$R$3432,6,0)</f>
        <v>Honda Activa 6G</v>
      </c>
      <c r="L2111" s="5" t="s">
        <v>25</v>
      </c>
      <c r="M2111" s="7" t="str">
        <f>VLOOKUP(A2111,Sheet2!$A$2:$R$3432,5,0)</f>
        <v>MH14KE7245</v>
      </c>
      <c r="N2111" s="5" t="s">
        <v>25</v>
      </c>
      <c r="O2111" s="5" t="s">
        <v>25</v>
      </c>
      <c r="P2111" s="6" t="s">
        <v>25</v>
      </c>
      <c r="Q2111" s="5" t="s">
        <v>25</v>
      </c>
      <c r="R2111" s="5" t="s">
        <v>25</v>
      </c>
      <c r="S2111" s="5" t="str">
        <f>VLOOKUP(A2111,Sheet2!$A$2:$R$3432,18,0)</f>
        <v>JF91EW2144983</v>
      </c>
      <c r="T2111" s="7" t="str">
        <f>VLOOKUP(A2111,Sheet2!$A$2:$R$3432,17,0)</f>
        <v>ME4JF91ADNW144924</v>
      </c>
    </row>
    <row r="2112" ht="15.75" customHeight="1">
      <c r="A2112" s="3" t="s">
        <v>2135</v>
      </c>
      <c r="B2112" s="4" t="str">
        <f>VLOOKUP(A2112,Sheet2!$A$2:$R$3432,2,0)</f>
        <v>2024-09-29 20:17:43</v>
      </c>
      <c r="C2112" s="5" t="s">
        <v>25</v>
      </c>
      <c r="D2112" s="6" t="s">
        <v>25</v>
      </c>
      <c r="E2112" s="7">
        <f>VLOOKUP(A2112,Sheet2!$A$2:$R$3432,4,0)</f>
        <v>8275439129</v>
      </c>
      <c r="F2112" s="7" t="str">
        <f>VLOOKUP(A2112,Sheet2!$A$2:$R$3432,3,0)</f>
        <v>Pratik Muley</v>
      </c>
      <c r="G2112" s="5" t="s">
        <v>25</v>
      </c>
      <c r="H2112" s="5" t="s">
        <v>25</v>
      </c>
      <c r="I2112" s="5" t="s">
        <v>25</v>
      </c>
      <c r="J2112" s="5" t="s">
        <v>25</v>
      </c>
      <c r="K2112" s="7" t="str">
        <f>VLOOKUP(A2112,Sheet2!$A$2:$R$3432,6,0)</f>
        <v>Hero Hunk </v>
      </c>
      <c r="L2112" s="5" t="s">
        <v>25</v>
      </c>
      <c r="M2112" s="7" t="str">
        <f>VLOOKUP(A2112,Sheet2!$A$2:$R$3432,5,0)</f>
        <v>MH40BA1726</v>
      </c>
      <c r="N2112" s="5" t="s">
        <v>25</v>
      </c>
      <c r="O2112" s="5" t="s">
        <v>25</v>
      </c>
      <c r="P2112" s="6" t="s">
        <v>25</v>
      </c>
      <c r="Q2112" s="5" t="s">
        <v>25</v>
      </c>
      <c r="R2112" s="5" t="s">
        <v>25</v>
      </c>
      <c r="S2112" s="7" t="str">
        <f>VLOOKUP(A2112,Sheet2!$A$2:$R$3432,18,0)</f>
        <v/>
      </c>
      <c r="T2112" s="7" t="str">
        <f>VLOOKUP(A2112,Sheet2!$A$2:$R$3432,17,0)</f>
        <v>JI</v>
      </c>
    </row>
    <row r="2113" ht="15.75" customHeight="1">
      <c r="A2113" s="3" t="s">
        <v>2136</v>
      </c>
      <c r="B2113" s="4" t="str">
        <f>VLOOKUP(A2113,Sheet2!$A$2:$R$3432,2,0)</f>
        <v>2024-09-29 20:29:00</v>
      </c>
      <c r="C2113" s="5" t="s">
        <v>25</v>
      </c>
      <c r="D2113" s="6" t="s">
        <v>25</v>
      </c>
      <c r="E2113" s="7">
        <f>VLOOKUP(A2113,Sheet2!$A$2:$R$3432,4,0)</f>
        <v>8796147967</v>
      </c>
      <c r="F2113" s="7" t="str">
        <f>VLOOKUP(A2113,Sheet2!$A$2:$R$3432,3,0)</f>
        <v>ABHAY JADHAV</v>
      </c>
      <c r="G2113" s="5" t="s">
        <v>25</v>
      </c>
      <c r="H2113" s="5" t="s">
        <v>25</v>
      </c>
      <c r="I2113" s="5" t="s">
        <v>25</v>
      </c>
      <c r="J2113" s="5" t="s">
        <v>25</v>
      </c>
      <c r="K2113" s="7" t="str">
        <f>VLOOKUP(A2113,Sheet2!$A$2:$R$3432,6,0)</f>
        <v>Honda Activa 6G</v>
      </c>
      <c r="L2113" s="5" t="s">
        <v>25</v>
      </c>
      <c r="M2113" s="7" t="str">
        <f>VLOOKUP(A2113,Sheet2!$A$2:$R$3432,5,0)</f>
        <v>MH41BG3871</v>
      </c>
      <c r="N2113" s="5" t="s">
        <v>25</v>
      </c>
      <c r="O2113" s="5" t="s">
        <v>25</v>
      </c>
      <c r="P2113" s="6" t="s">
        <v>25</v>
      </c>
      <c r="Q2113" s="5" t="s">
        <v>25</v>
      </c>
      <c r="R2113" s="5" t="s">
        <v>25</v>
      </c>
      <c r="S2113" s="5" t="str">
        <f>VLOOKUP(A2113,Sheet2!$A$2:$R$3432,18,0)</f>
        <v>JF91EW5054189</v>
      </c>
      <c r="T2113" s="7" t="str">
        <f>VLOOKUP(A2113,Sheet2!$A$2:$R$3432,17,0)</f>
        <v>ME4JF9184MW053955</v>
      </c>
    </row>
    <row r="2114" ht="15.75" customHeight="1">
      <c r="A2114" s="3" t="s">
        <v>2137</v>
      </c>
      <c r="B2114" s="4" t="str">
        <f>VLOOKUP(A2114,Sheet2!$A$2:$R$3432,2,0)</f>
        <v>2024-09-29 20:35:21</v>
      </c>
      <c r="C2114" s="5" t="s">
        <v>25</v>
      </c>
      <c r="D2114" s="6" t="s">
        <v>25</v>
      </c>
      <c r="E2114" s="7">
        <f>VLOOKUP(A2114,Sheet2!$A$2:$R$3432,4,0)</f>
        <v>9080187182</v>
      </c>
      <c r="F2114" s="7" t="str">
        <f>VLOOKUP(A2114,Sheet2!$A$2:$R$3432,3,0)</f>
        <v>Praveen </v>
      </c>
      <c r="G2114" s="5" t="s">
        <v>25</v>
      </c>
      <c r="H2114" s="5" t="s">
        <v>25</v>
      </c>
      <c r="I2114" s="5" t="s">
        <v>25</v>
      </c>
      <c r="J2114" s="5" t="s">
        <v>25</v>
      </c>
      <c r="K2114" s="7" t="str">
        <f>VLOOKUP(A2114,Sheet2!$A$2:$R$3432,6,0)</f>
        <v>Yamaha FZ </v>
      </c>
      <c r="L2114" s="5" t="s">
        <v>25</v>
      </c>
      <c r="M2114" s="7" t="str">
        <f>VLOOKUP(A2114,Sheet2!$A$2:$R$3432,5,0)</f>
        <v>TN28BC8436</v>
      </c>
      <c r="N2114" s="5" t="s">
        <v>25</v>
      </c>
      <c r="O2114" s="5" t="s">
        <v>25</v>
      </c>
      <c r="P2114" s="6" t="s">
        <v>25</v>
      </c>
      <c r="Q2114" s="5" t="s">
        <v>25</v>
      </c>
      <c r="R2114" s="5" t="s">
        <v>25</v>
      </c>
      <c r="S2114" s="7" t="str">
        <f>VLOOKUP(A2114,Sheet2!$A$2:$R$3432,18,0)</f>
        <v/>
      </c>
      <c r="T2114" s="7" t="str">
        <f>VLOOKUP(A2114,Sheet2!$A$2:$R$3432,17,0)</f>
        <v/>
      </c>
    </row>
    <row r="2115" ht="15.75" customHeight="1">
      <c r="A2115" s="3" t="s">
        <v>2138</v>
      </c>
      <c r="B2115" s="4" t="str">
        <f>VLOOKUP(A2115,Sheet2!$A$2:$R$3432,2,0)</f>
        <v>2024-09-29 20:19:29</v>
      </c>
      <c r="C2115" s="5" t="s">
        <v>25</v>
      </c>
      <c r="D2115" s="6" t="s">
        <v>25</v>
      </c>
      <c r="E2115" s="7">
        <f>VLOOKUP(A2115,Sheet2!$A$2:$R$3432,4,0)</f>
        <v>8668848834</v>
      </c>
      <c r="F2115" s="7" t="str">
        <f>VLOOKUP(A2115,Sheet2!$A$2:$R$3432,3,0)</f>
        <v>Divya Sawant</v>
      </c>
      <c r="G2115" s="5" t="s">
        <v>25</v>
      </c>
      <c r="H2115" s="5" t="s">
        <v>25</v>
      </c>
      <c r="I2115" s="5" t="s">
        <v>25</v>
      </c>
      <c r="J2115" s="5" t="s">
        <v>25</v>
      </c>
      <c r="K2115" s="7" t="str">
        <f>VLOOKUP(A2115,Sheet2!$A$2:$R$3432,6,0)</f>
        <v>Honda Activa </v>
      </c>
      <c r="L2115" s="5" t="s">
        <v>25</v>
      </c>
      <c r="M2115" s="7" t="str">
        <f>VLOOKUP(A2115,Sheet2!$A$2:$R$3432,5,0)</f>
        <v>MH09DE6872</v>
      </c>
      <c r="N2115" s="5" t="s">
        <v>25</v>
      </c>
      <c r="O2115" s="5" t="s">
        <v>25</v>
      </c>
      <c r="P2115" s="6" t="s">
        <v>25</v>
      </c>
      <c r="Q2115" s="5" t="s">
        <v>25</v>
      </c>
      <c r="R2115" s="5" t="s">
        <v>25</v>
      </c>
      <c r="S2115" s="7" t="str">
        <f>VLOOKUP(A2115,Sheet2!$A$2:$R$3432,18,0)</f>
        <v/>
      </c>
      <c r="T2115" s="7" t="str">
        <f>VLOOKUP(A2115,Sheet2!$A$2:$R$3432,17,0)</f>
        <v/>
      </c>
    </row>
    <row r="2116" ht="15.75" customHeight="1">
      <c r="A2116" s="3" t="s">
        <v>2139</v>
      </c>
      <c r="B2116" s="4" t="str">
        <f>VLOOKUP(A2116,Sheet2!$A$2:$R$3432,2,0)</f>
        <v>2024-09-29 20:32:19</v>
      </c>
      <c r="C2116" s="5" t="s">
        <v>25</v>
      </c>
      <c r="D2116" s="6" t="s">
        <v>25</v>
      </c>
      <c r="E2116" s="7">
        <f>VLOOKUP(A2116,Sheet2!$A$2:$R$3432,4,0)</f>
        <v>9923855455</v>
      </c>
      <c r="F2116" s="7" t="str">
        <f>VLOOKUP(A2116,Sheet2!$A$2:$R$3432,3,0)</f>
        <v>Swapnil </v>
      </c>
      <c r="G2116" s="5" t="s">
        <v>25</v>
      </c>
      <c r="H2116" s="5" t="s">
        <v>25</v>
      </c>
      <c r="I2116" s="5" t="s">
        <v>25</v>
      </c>
      <c r="J2116" s="5" t="s">
        <v>25</v>
      </c>
      <c r="K2116" s="7" t="str">
        <f>VLOOKUP(A2116,Sheet2!$A$2:$R$3432,6,0)</f>
        <v>Hero Passion </v>
      </c>
      <c r="L2116" s="5" t="s">
        <v>25</v>
      </c>
      <c r="M2116" s="7" t="str">
        <f>VLOOKUP(A2116,Sheet2!$A$2:$R$3432,5,0)</f>
        <v>MH03AP1983</v>
      </c>
      <c r="N2116" s="5" t="s">
        <v>25</v>
      </c>
      <c r="O2116" s="5" t="s">
        <v>25</v>
      </c>
      <c r="P2116" s="6" t="s">
        <v>25</v>
      </c>
      <c r="Q2116" s="5" t="s">
        <v>25</v>
      </c>
      <c r="R2116" s="5" t="s">
        <v>25</v>
      </c>
      <c r="S2116" s="5" t="str">
        <f>VLOOKUP(A2116,Sheet2!$A$2:$R$3432,18,0)</f>
        <v>07K0586482</v>
      </c>
      <c r="T2116" s="7" t="str">
        <f>VLOOKUP(A2116,Sheet2!$A$2:$R$3432,17,0)</f>
        <v>07K05C56584</v>
      </c>
    </row>
    <row r="2117" ht="15.75" customHeight="1">
      <c r="A2117" s="3" t="s">
        <v>2140</v>
      </c>
      <c r="B2117" s="4" t="str">
        <f>VLOOKUP(A2117,Sheet2!$A$2:$R$3432,2,0)</f>
        <v>2024-09-29 20:20:40</v>
      </c>
      <c r="C2117" s="5" t="s">
        <v>25</v>
      </c>
      <c r="D2117" s="6" t="s">
        <v>25</v>
      </c>
      <c r="E2117" s="7">
        <f>VLOOKUP(A2117,Sheet2!$A$2:$R$3432,4,0)</f>
        <v>9175805081</v>
      </c>
      <c r="F2117" s="7" t="str">
        <f>VLOOKUP(A2117,Sheet2!$A$2:$R$3432,3,0)</f>
        <v>Rajesh Shikhare</v>
      </c>
      <c r="G2117" s="5" t="s">
        <v>25</v>
      </c>
      <c r="H2117" s="5" t="s">
        <v>25</v>
      </c>
      <c r="I2117" s="5" t="s">
        <v>25</v>
      </c>
      <c r="J2117" s="5" t="s">
        <v>25</v>
      </c>
      <c r="K2117" s="7" t="str">
        <f>VLOOKUP(A2117,Sheet2!$A$2:$R$3432,6,0)</f>
        <v>TVS Apache RTR 160</v>
      </c>
      <c r="L2117" s="5" t="s">
        <v>25</v>
      </c>
      <c r="M2117" s="7" t="str">
        <f>VLOOKUP(A2117,Sheet2!$A$2:$R$3432,5,0)</f>
        <v>MH14HY2444</v>
      </c>
      <c r="N2117" s="5" t="s">
        <v>25</v>
      </c>
      <c r="O2117" s="5" t="s">
        <v>25</v>
      </c>
      <c r="P2117" s="6" t="s">
        <v>25</v>
      </c>
      <c r="Q2117" s="5" t="s">
        <v>25</v>
      </c>
      <c r="R2117" s="5" t="s">
        <v>25</v>
      </c>
      <c r="S2117" s="5" t="str">
        <f>VLOOKUP(A2117,Sheet2!$A$2:$R$3432,18,0)</f>
        <v>CE71K2701621</v>
      </c>
      <c r="T2117" s="7" t="str">
        <f>VLOOKUP(A2117,Sheet2!$A$2:$R$3432,17,0)</f>
        <v>MD637CE79K2L6177</v>
      </c>
    </row>
    <row r="2118" ht="15.75" customHeight="1">
      <c r="A2118" s="3" t="s">
        <v>2141</v>
      </c>
      <c r="B2118" s="4" t="str">
        <f>VLOOKUP(A2118,Sheet2!$A$2:$R$3432,2,0)</f>
        <v>2024-09-29 20:15:09</v>
      </c>
      <c r="C2118" s="5" t="s">
        <v>25</v>
      </c>
      <c r="D2118" s="6" t="s">
        <v>25</v>
      </c>
      <c r="E2118" s="7">
        <f>VLOOKUP(A2118,Sheet2!$A$2:$R$3432,4,0)</f>
        <v>8879289434</v>
      </c>
      <c r="F2118" s="7" t="str">
        <f>VLOOKUP(A2118,Sheet2!$A$2:$R$3432,3,0)</f>
        <v>Mahesh</v>
      </c>
      <c r="G2118" s="5" t="s">
        <v>25</v>
      </c>
      <c r="H2118" s="5" t="s">
        <v>25</v>
      </c>
      <c r="I2118" s="5" t="s">
        <v>25</v>
      </c>
      <c r="J2118" s="5" t="s">
        <v>25</v>
      </c>
      <c r="K2118" s="7" t="str">
        <f>VLOOKUP(A2118,Sheet2!$A$2:$R$3432,6,0)</f>
        <v>Honda Unicorn No Data</v>
      </c>
      <c r="L2118" s="5" t="s">
        <v>25</v>
      </c>
      <c r="M2118" s="7" t="str">
        <f>VLOOKUP(A2118,Sheet2!$A$2:$R$3432,5,0)</f>
        <v>MH12QV3097</v>
      </c>
      <c r="N2118" s="5" t="s">
        <v>25</v>
      </c>
      <c r="O2118" s="5" t="s">
        <v>25</v>
      </c>
      <c r="P2118" s="6" t="s">
        <v>25</v>
      </c>
      <c r="Q2118" s="5" t="s">
        <v>25</v>
      </c>
      <c r="R2118" s="5" t="s">
        <v>25</v>
      </c>
      <c r="S2118" s="5" t="str">
        <f>VLOOKUP(A2118,Sheet2!$A$2:$R$3432,18,0)</f>
        <v>KC31E80357222</v>
      </c>
      <c r="T2118" s="7" t="str">
        <f>VLOOKUP(A2118,Sheet2!$A$2:$R$3432,17,0)</f>
        <v>RUSTY FRAME </v>
      </c>
    </row>
    <row r="2119" ht="15.75" customHeight="1">
      <c r="A2119" s="3" t="s">
        <v>2142</v>
      </c>
      <c r="B2119" s="4" t="str">
        <f>VLOOKUP(A2119,Sheet2!$A$2:$R$3432,2,0)</f>
        <v>2024-09-29 20:36:03</v>
      </c>
      <c r="C2119" s="5" t="s">
        <v>25</v>
      </c>
      <c r="D2119" s="6" t="s">
        <v>25</v>
      </c>
      <c r="E2119" s="7">
        <f>VLOOKUP(A2119,Sheet2!$A$2:$R$3432,4,0)</f>
        <v>9823130051</v>
      </c>
      <c r="F2119" s="7" t="str">
        <f>VLOOKUP(A2119,Sheet2!$A$2:$R$3432,3,0)</f>
        <v>Desale</v>
      </c>
      <c r="G2119" s="5" t="s">
        <v>25</v>
      </c>
      <c r="H2119" s="5" t="s">
        <v>25</v>
      </c>
      <c r="I2119" s="5" t="s">
        <v>25</v>
      </c>
      <c r="J2119" s="5" t="s">
        <v>25</v>
      </c>
      <c r="K2119" s="7" t="str">
        <f>VLOOKUP(A2119,Sheet2!$A$2:$R$3432,6,0)</f>
        <v>Honda NAVI </v>
      </c>
      <c r="L2119" s="5" t="s">
        <v>25</v>
      </c>
      <c r="M2119" s="7" t="str">
        <f>VLOOKUP(A2119,Sheet2!$A$2:$R$3432,5,0)</f>
        <v>MH14GE9883</v>
      </c>
      <c r="N2119" s="5" t="s">
        <v>25</v>
      </c>
      <c r="O2119" s="5" t="s">
        <v>25</v>
      </c>
      <c r="P2119" s="6" t="s">
        <v>25</v>
      </c>
      <c r="Q2119" s="5" t="s">
        <v>25</v>
      </c>
      <c r="R2119" s="5" t="s">
        <v>25</v>
      </c>
      <c r="S2119" s="5" t="str">
        <f>VLOOKUP(A2119,Sheet2!$A$2:$R$3432,18,0)</f>
        <v>JF65E70006804</v>
      </c>
      <c r="T2119" s="7" t="str">
        <f>VLOOKUP(A2119,Sheet2!$A$2:$R$3432,17,0)</f>
        <v>ME4JF651EG7006770</v>
      </c>
    </row>
    <row r="2120" ht="15.75" customHeight="1">
      <c r="A2120" s="3" t="s">
        <v>2143</v>
      </c>
      <c r="B2120" s="4" t="str">
        <f>VLOOKUP(A2120,Sheet2!$A$2:$R$3432,2,0)</f>
        <v>2024-09-29 21:10:01</v>
      </c>
      <c r="C2120" s="5" t="s">
        <v>25</v>
      </c>
      <c r="D2120" s="6" t="s">
        <v>25</v>
      </c>
      <c r="E2120" s="7">
        <f>VLOOKUP(A2120,Sheet2!$A$2:$R$3432,4,0)</f>
        <v>9552399677</v>
      </c>
      <c r="F2120" s="7" t="str">
        <f>VLOOKUP(A2120,Sheet2!$A$2:$R$3432,3,0)</f>
        <v>Sunil Gaikwad </v>
      </c>
      <c r="G2120" s="5" t="s">
        <v>25</v>
      </c>
      <c r="H2120" s="5" t="s">
        <v>25</v>
      </c>
      <c r="I2120" s="5" t="s">
        <v>25</v>
      </c>
      <c r="J2120" s="5" t="s">
        <v>25</v>
      </c>
      <c r="K2120" s="7" t="str">
        <f>VLOOKUP(A2120,Sheet2!$A$2:$R$3432,6,0)</f>
        <v>TVS Jupiter No Data</v>
      </c>
      <c r="L2120" s="5" t="s">
        <v>25</v>
      </c>
      <c r="M2120" s="7" t="str">
        <f>VLOOKUP(A2120,Sheet2!$A$2:$R$3432,5,0)</f>
        <v>MH14FP7669</v>
      </c>
      <c r="N2120" s="5" t="s">
        <v>25</v>
      </c>
      <c r="O2120" s="5" t="s">
        <v>25</v>
      </c>
      <c r="P2120" s="6" t="s">
        <v>25</v>
      </c>
      <c r="Q2120" s="5" t="s">
        <v>25</v>
      </c>
      <c r="R2120" s="5" t="s">
        <v>25</v>
      </c>
      <c r="S2120" s="7" t="str">
        <f>VLOOKUP(A2120,Sheet2!$A$2:$R$3432,18,0)</f>
        <v/>
      </c>
      <c r="T2120" s="7" t="str">
        <f>VLOOKUP(A2120,Sheet2!$A$2:$R$3432,17,0)</f>
        <v/>
      </c>
    </row>
    <row r="2121" ht="15.75" customHeight="1">
      <c r="A2121" s="3" t="s">
        <v>2144</v>
      </c>
      <c r="B2121" s="4" t="str">
        <f>VLOOKUP(A2121,Sheet2!$A$2:$R$3432,2,0)</f>
        <v>2024-09-29 20:03:17</v>
      </c>
      <c r="C2121" s="5" t="s">
        <v>25</v>
      </c>
      <c r="D2121" s="6" t="s">
        <v>25</v>
      </c>
      <c r="E2121" s="7">
        <f>VLOOKUP(A2121,Sheet2!$A$2:$R$3432,4,0)</f>
        <v>9665885118</v>
      </c>
      <c r="F2121" s="7" t="str">
        <f>VLOOKUP(A2121,Sheet2!$A$2:$R$3432,3,0)</f>
        <v>Ankush Sonuse</v>
      </c>
      <c r="G2121" s="5" t="s">
        <v>25</v>
      </c>
      <c r="H2121" s="5" t="s">
        <v>25</v>
      </c>
      <c r="I2121" s="5" t="s">
        <v>25</v>
      </c>
      <c r="J2121" s="5" t="s">
        <v>25</v>
      </c>
      <c r="K2121" s="7" t="str">
        <f>VLOOKUP(A2121,Sheet2!$A$2:$R$3432,6,0)</f>
        <v>Honda Activa 6G</v>
      </c>
      <c r="L2121" s="5" t="s">
        <v>25</v>
      </c>
      <c r="M2121" s="7" t="str">
        <f>VLOOKUP(A2121,Sheet2!$A$2:$R$3432,5,0)</f>
        <v>MH14KT9080</v>
      </c>
      <c r="N2121" s="5" t="s">
        <v>25</v>
      </c>
      <c r="O2121" s="5" t="s">
        <v>25</v>
      </c>
      <c r="P2121" s="6" t="s">
        <v>25</v>
      </c>
      <c r="Q2121" s="5" t="s">
        <v>25</v>
      </c>
      <c r="R2121" s="5" t="s">
        <v>25</v>
      </c>
      <c r="S2121" s="7" t="str">
        <f>VLOOKUP(A2121,Sheet2!$A$2:$R$3432,18,0)</f>
        <v/>
      </c>
      <c r="T2121" s="7" t="str">
        <f>VLOOKUP(A2121,Sheet2!$A$2:$R$3432,17,0)</f>
        <v/>
      </c>
    </row>
    <row r="2122" ht="15.75" customHeight="1">
      <c r="A2122" s="3" t="s">
        <v>2145</v>
      </c>
      <c r="B2122" s="4" t="str">
        <f>VLOOKUP(A2122,Sheet2!$A$2:$R$3432,2,0)</f>
        <v>2024-09-29 20:10:30</v>
      </c>
      <c r="C2122" s="5" t="s">
        <v>25</v>
      </c>
      <c r="D2122" s="6" t="s">
        <v>25</v>
      </c>
      <c r="E2122" s="7">
        <f>VLOOKUP(A2122,Sheet2!$A$2:$R$3432,4,0)</f>
        <v>9152727597</v>
      </c>
      <c r="F2122" s="7" t="str">
        <f>VLOOKUP(A2122,Sheet2!$A$2:$R$3432,3,0)</f>
        <v>R P Singh</v>
      </c>
      <c r="G2122" s="5" t="s">
        <v>25</v>
      </c>
      <c r="H2122" s="5" t="s">
        <v>25</v>
      </c>
      <c r="I2122" s="5" t="s">
        <v>25</v>
      </c>
      <c r="J2122" s="5" t="s">
        <v>25</v>
      </c>
      <c r="K2122" s="7" t="str">
        <f>VLOOKUP(A2122,Sheet2!$A$2:$R$3432,6,0)</f>
        <v>Bajaj Avenger 220 Street</v>
      </c>
      <c r="L2122" s="5" t="s">
        <v>25</v>
      </c>
      <c r="M2122" s="7" t="str">
        <f>VLOOKUP(A2122,Sheet2!$A$2:$R$3432,5,0)</f>
        <v>MH14GR1972</v>
      </c>
      <c r="N2122" s="5" t="s">
        <v>25</v>
      </c>
      <c r="O2122" s="5" t="s">
        <v>25</v>
      </c>
      <c r="P2122" s="6" t="s">
        <v>25</v>
      </c>
      <c r="Q2122" s="5" t="s">
        <v>25</v>
      </c>
      <c r="R2122" s="5" t="s">
        <v>25</v>
      </c>
      <c r="S2122" s="7" t="str">
        <f>VLOOKUP(A2122,Sheet2!$A$2:$R$3432,18,0)</f>
        <v/>
      </c>
      <c r="T2122" s="7" t="str">
        <f>VLOOKUP(A2122,Sheet2!$A$2:$R$3432,17,0)</f>
        <v/>
      </c>
    </row>
    <row r="2123" ht="15.75" customHeight="1">
      <c r="A2123" s="3" t="s">
        <v>2146</v>
      </c>
      <c r="B2123" s="4" t="str">
        <f>VLOOKUP(A2123,Sheet2!$A$2:$R$3432,2,0)</f>
        <v>2024-09-29 20:02:04</v>
      </c>
      <c r="C2123" s="5" t="s">
        <v>25</v>
      </c>
      <c r="D2123" s="6" t="s">
        <v>25</v>
      </c>
      <c r="E2123" s="7">
        <f>VLOOKUP(A2123,Sheet2!$A$2:$R$3432,4,0)</f>
        <v>9439010305</v>
      </c>
      <c r="F2123" s="7" t="str">
        <f>VLOOKUP(A2123,Sheet2!$A$2:$R$3432,3,0)</f>
        <v>Saurav Tripathi</v>
      </c>
      <c r="G2123" s="5" t="s">
        <v>25</v>
      </c>
      <c r="H2123" s="5" t="s">
        <v>25</v>
      </c>
      <c r="I2123" s="5" t="s">
        <v>25</v>
      </c>
      <c r="J2123" s="5" t="s">
        <v>25</v>
      </c>
      <c r="K2123" s="7" t="str">
        <f>VLOOKUP(A2123,Sheet2!$A$2:$R$3432,6,0)</f>
        <v>Honda Activa 110</v>
      </c>
      <c r="L2123" s="5" t="s">
        <v>25</v>
      </c>
      <c r="M2123" s="7" t="str">
        <f>VLOOKUP(A2123,Sheet2!$A$2:$R$3432,5,0)</f>
        <v>MH12JT9903</v>
      </c>
      <c r="N2123" s="5" t="s">
        <v>25</v>
      </c>
      <c r="O2123" s="5" t="s">
        <v>25</v>
      </c>
      <c r="P2123" s="6" t="s">
        <v>25</v>
      </c>
      <c r="Q2123" s="5" t="s">
        <v>25</v>
      </c>
      <c r="R2123" s="5" t="s">
        <v>25</v>
      </c>
      <c r="S2123" s="7" t="str">
        <f>VLOOKUP(A2123,Sheet2!$A$2:$R$3432,18,0)</f>
        <v/>
      </c>
      <c r="T2123" s="7" t="str">
        <f>VLOOKUP(A2123,Sheet2!$A$2:$R$3432,17,0)</f>
        <v/>
      </c>
    </row>
    <row r="2124" ht="15.75" customHeight="1">
      <c r="A2124" s="3" t="s">
        <v>2147</v>
      </c>
      <c r="B2124" s="4" t="str">
        <f>VLOOKUP(A2124,Sheet2!$A$2:$R$3432,2,0)</f>
        <v>2024-09-29 20:00:23</v>
      </c>
      <c r="C2124" s="5" t="s">
        <v>25</v>
      </c>
      <c r="D2124" s="6" t="s">
        <v>25</v>
      </c>
      <c r="E2124" s="7">
        <f>VLOOKUP(A2124,Sheet2!$A$2:$R$3432,4,0)</f>
        <v>9746902446</v>
      </c>
      <c r="F2124" s="7" t="str">
        <f>VLOOKUP(A2124,Sheet2!$A$2:$R$3432,3,0)</f>
        <v>Raino</v>
      </c>
      <c r="G2124" s="5" t="s">
        <v>25</v>
      </c>
      <c r="H2124" s="5" t="s">
        <v>25</v>
      </c>
      <c r="I2124" s="5" t="s">
        <v>25</v>
      </c>
      <c r="J2124" s="5" t="s">
        <v>25</v>
      </c>
      <c r="K2124" s="7" t="str">
        <f>VLOOKUP(A2124,Sheet2!$A$2:$R$3432,6,0)</f>
        <v>Hero Deluxe CD</v>
      </c>
      <c r="L2124" s="5" t="s">
        <v>25</v>
      </c>
      <c r="M2124" s="7" t="str">
        <f>VLOOKUP(A2124,Sheet2!$A$2:$R$3432,5,0)</f>
        <v>KL45G6310</v>
      </c>
      <c r="N2124" s="5" t="s">
        <v>25</v>
      </c>
      <c r="O2124" s="5" t="s">
        <v>25</v>
      </c>
      <c r="P2124" s="6" t="s">
        <v>25</v>
      </c>
      <c r="Q2124" s="5" t="s">
        <v>25</v>
      </c>
      <c r="R2124" s="5" t="s">
        <v>25</v>
      </c>
      <c r="S2124" s="5" t="str">
        <f>VLOOKUP(A2124,Sheet2!$A$2:$R$3432,18,0)</f>
        <v>HA11609L28040</v>
      </c>
      <c r="T2124" s="7" t="str">
        <f>VLOOKUP(A2124,Sheet2!$A$2:$R$3432,17,0)</f>
        <v/>
      </c>
    </row>
    <row r="2125" ht="15.75" customHeight="1">
      <c r="A2125" s="3" t="s">
        <v>2148</v>
      </c>
      <c r="B2125" s="4" t="str">
        <f>VLOOKUP(A2125,Sheet2!$A$2:$R$3432,2,0)</f>
        <v>2024-09-29 20:07:25</v>
      </c>
      <c r="C2125" s="5" t="s">
        <v>25</v>
      </c>
      <c r="D2125" s="6" t="s">
        <v>25</v>
      </c>
      <c r="E2125" s="7">
        <f>VLOOKUP(A2125,Sheet2!$A$2:$R$3432,4,0)</f>
        <v>8087522879</v>
      </c>
      <c r="F2125" s="7" t="str">
        <f>VLOOKUP(A2125,Sheet2!$A$2:$R$3432,3,0)</f>
        <v>DIVESH</v>
      </c>
      <c r="G2125" s="5" t="s">
        <v>25</v>
      </c>
      <c r="H2125" s="5" t="s">
        <v>25</v>
      </c>
      <c r="I2125" s="5" t="s">
        <v>25</v>
      </c>
      <c r="J2125" s="5" t="s">
        <v>25</v>
      </c>
      <c r="K2125" s="7" t="str">
        <f>VLOOKUP(A2125,Sheet2!$A$2:$R$3432,6,0)</f>
        <v>Yamaha R15 V3</v>
      </c>
      <c r="L2125" s="5" t="s">
        <v>25</v>
      </c>
      <c r="M2125" s="7" t="str">
        <f>VLOOKUP(A2125,Sheet2!$A$2:$R$3432,5,0)</f>
        <v>MH49A0184</v>
      </c>
      <c r="N2125" s="5" t="s">
        <v>25</v>
      </c>
      <c r="O2125" s="5" t="s">
        <v>25</v>
      </c>
      <c r="P2125" s="6" t="s">
        <v>25</v>
      </c>
      <c r="Q2125" s="5" t="s">
        <v>25</v>
      </c>
      <c r="R2125" s="5" t="s">
        <v>25</v>
      </c>
      <c r="S2125" s="5" t="str">
        <f>VLOOKUP(A2125,Sheet2!$A$2:$R$3432,18,0)</f>
        <v>1CK3003227</v>
      </c>
      <c r="T2125" s="7" t="str">
        <f>VLOOKUP(A2125,Sheet2!$A$2:$R$3432,17,0)</f>
        <v>ME11CK037C200321</v>
      </c>
    </row>
    <row r="2126" ht="15.75" customHeight="1">
      <c r="A2126" s="3" t="s">
        <v>2149</v>
      </c>
      <c r="B2126" s="4" t="str">
        <f>VLOOKUP(A2126,Sheet2!$A$2:$R$3432,2,0)</f>
        <v>2024-09-29 20:26:08</v>
      </c>
      <c r="C2126" s="5" t="s">
        <v>25</v>
      </c>
      <c r="D2126" s="6" t="s">
        <v>25</v>
      </c>
      <c r="E2126" s="7">
        <f>VLOOKUP(A2126,Sheet2!$A$2:$R$3432,4,0)</f>
        <v>7030517308</v>
      </c>
      <c r="F2126" s="7" t="str">
        <f>VLOOKUP(A2126,Sheet2!$A$2:$R$3432,3,0)</f>
        <v>Saurabh</v>
      </c>
      <c r="G2126" s="5" t="s">
        <v>25</v>
      </c>
      <c r="H2126" s="5" t="s">
        <v>25</v>
      </c>
      <c r="I2126" s="5" t="s">
        <v>25</v>
      </c>
      <c r="J2126" s="5" t="s">
        <v>25</v>
      </c>
      <c r="K2126" s="7" t="str">
        <f>VLOOKUP(A2126,Sheet2!$A$2:$R$3432,6,0)</f>
        <v>TVS Jupiter </v>
      </c>
      <c r="L2126" s="5" t="s">
        <v>25</v>
      </c>
      <c r="M2126" s="7" t="str">
        <f>VLOOKUP(A2126,Sheet2!$A$2:$R$3432,5,0)</f>
        <v>MH12KZ0287</v>
      </c>
      <c r="N2126" s="5" t="s">
        <v>25</v>
      </c>
      <c r="O2126" s="5" t="s">
        <v>25</v>
      </c>
      <c r="P2126" s="6" t="s">
        <v>25</v>
      </c>
      <c r="Q2126" s="5" t="s">
        <v>25</v>
      </c>
      <c r="R2126" s="5" t="s">
        <v>25</v>
      </c>
      <c r="S2126" s="5" t="str">
        <f>VLOOKUP(A2126,Sheet2!$A$2:$R$3432,18,0)</f>
        <v>DG5FPT38341</v>
      </c>
      <c r="T2126" s="7" t="str">
        <f>VLOOKUP(A2126,Sheet2!$A$2:$R$3432,17,0)</f>
        <v>MD626CG58P1G00100</v>
      </c>
    </row>
    <row r="2127" ht="15.75" customHeight="1">
      <c r="A2127" s="3" t="s">
        <v>2150</v>
      </c>
      <c r="B2127" s="4" t="str">
        <f>VLOOKUP(A2127,Sheet2!$A$2:$R$3432,2,0)</f>
        <v>2024-09-29 20:30:27</v>
      </c>
      <c r="C2127" s="5" t="s">
        <v>25</v>
      </c>
      <c r="D2127" s="6" t="s">
        <v>25</v>
      </c>
      <c r="E2127" s="7">
        <f>VLOOKUP(A2127,Sheet2!$A$2:$R$3432,4,0)</f>
        <v>9766523567</v>
      </c>
      <c r="F2127" s="7" t="str">
        <f>VLOOKUP(A2127,Sheet2!$A$2:$R$3432,3,0)</f>
        <v>Laxmikant Bende</v>
      </c>
      <c r="G2127" s="5" t="s">
        <v>25</v>
      </c>
      <c r="H2127" s="5" t="s">
        <v>25</v>
      </c>
      <c r="I2127" s="5" t="s">
        <v>25</v>
      </c>
      <c r="J2127" s="5" t="s">
        <v>25</v>
      </c>
      <c r="K2127" s="7" t="str">
        <f>VLOOKUP(A2127,Sheet2!$A$2:$R$3432,6,0)</f>
        <v>Hero Maestro </v>
      </c>
      <c r="L2127" s="5" t="s">
        <v>25</v>
      </c>
      <c r="M2127" s="7" t="str">
        <f>VLOOKUP(A2127,Sheet2!$A$2:$R$3432,5,0)</f>
        <v>MH14FP3936</v>
      </c>
      <c r="N2127" s="5" t="s">
        <v>25</v>
      </c>
      <c r="O2127" s="5" t="s">
        <v>25</v>
      </c>
      <c r="P2127" s="6" t="s">
        <v>25</v>
      </c>
      <c r="Q2127" s="5" t="s">
        <v>25</v>
      </c>
      <c r="R2127" s="5" t="s">
        <v>25</v>
      </c>
      <c r="S2127" s="7" t="str">
        <f>VLOOKUP(A2127,Sheet2!$A$2:$R$3432,18,0)</f>
        <v/>
      </c>
      <c r="T2127" s="7" t="str">
        <f>VLOOKUP(A2127,Sheet2!$A$2:$R$3432,17,0)</f>
        <v/>
      </c>
    </row>
    <row r="2128" ht="15.75" customHeight="1">
      <c r="A2128" s="3" t="s">
        <v>2151</v>
      </c>
      <c r="B2128" s="4" t="str">
        <f>VLOOKUP(A2128,Sheet2!$A$2:$R$3432,2,0)</f>
        <v>2024-09-29 20:56:00</v>
      </c>
      <c r="C2128" s="5" t="s">
        <v>25</v>
      </c>
      <c r="D2128" s="6" t="s">
        <v>25</v>
      </c>
      <c r="E2128" s="7">
        <f>VLOOKUP(A2128,Sheet2!$A$2:$R$3432,4,0)</f>
        <v>9823256415</v>
      </c>
      <c r="F2128" s="7" t="str">
        <f>VLOOKUP(A2128,Sheet2!$A$2:$R$3432,3,0)</f>
        <v>Nainish</v>
      </c>
      <c r="G2128" s="5" t="s">
        <v>25</v>
      </c>
      <c r="H2128" s="5" t="s">
        <v>25</v>
      </c>
      <c r="I2128" s="5" t="s">
        <v>25</v>
      </c>
      <c r="J2128" s="5" t="s">
        <v>25</v>
      </c>
      <c r="K2128" s="7" t="str">
        <f>VLOOKUP(A2128,Sheet2!$A$2:$R$3432,6,0)</f>
        <v>Honda Activa 4G</v>
      </c>
      <c r="L2128" s="5" t="s">
        <v>25</v>
      </c>
      <c r="M2128" s="7" t="str">
        <f>VLOOKUP(A2128,Sheet2!$A$2:$R$3432,5,0)</f>
        <v>MH14GR0978</v>
      </c>
      <c r="N2128" s="5" t="s">
        <v>25</v>
      </c>
      <c r="O2128" s="5" t="s">
        <v>25</v>
      </c>
      <c r="P2128" s="6" t="s">
        <v>25</v>
      </c>
      <c r="Q2128" s="5" t="s">
        <v>25</v>
      </c>
      <c r="R2128" s="5" t="s">
        <v>25</v>
      </c>
      <c r="S2128" s="5" t="str">
        <f>VLOOKUP(A2128,Sheet2!$A$2:$R$3432,18,0)</f>
        <v>JF50EU9065523</v>
      </c>
      <c r="T2128" s="7" t="str">
        <f>VLOOKUP(A2128,Sheet2!$A$2:$R$3432,17,0)</f>
        <v>ME4JF50CMHUD05486</v>
      </c>
    </row>
    <row r="2129" ht="15.75" customHeight="1">
      <c r="A2129" s="3" t="s">
        <v>2152</v>
      </c>
      <c r="B2129" s="4" t="str">
        <f>VLOOKUP(A2129,Sheet2!$A$2:$R$3432,2,0)</f>
        <v>2024-09-29 20:58:21</v>
      </c>
      <c r="C2129" s="5" t="s">
        <v>25</v>
      </c>
      <c r="D2129" s="6" t="s">
        <v>25</v>
      </c>
      <c r="E2129" s="7">
        <f>VLOOKUP(A2129,Sheet2!$A$2:$R$3432,4,0)</f>
        <v>7304431888</v>
      </c>
      <c r="F2129" s="7" t="str">
        <f>VLOOKUP(A2129,Sheet2!$A$2:$R$3432,3,0)</f>
        <v>Devendra Ghadge</v>
      </c>
      <c r="G2129" s="5" t="s">
        <v>25</v>
      </c>
      <c r="H2129" s="5" t="s">
        <v>25</v>
      </c>
      <c r="I2129" s="5" t="s">
        <v>25</v>
      </c>
      <c r="J2129" s="5" t="s">
        <v>25</v>
      </c>
      <c r="K2129" s="7" t="str">
        <f>VLOOKUP(A2129,Sheet2!$A$2:$R$3432,6,0)</f>
        <v>Hero Splendor NXG</v>
      </c>
      <c r="L2129" s="5" t="s">
        <v>25</v>
      </c>
      <c r="M2129" s="7" t="str">
        <f>VLOOKUP(A2129,Sheet2!$A$2:$R$3432,5,0)</f>
        <v>MH14FA7964</v>
      </c>
      <c r="N2129" s="5" t="s">
        <v>25</v>
      </c>
      <c r="O2129" s="5" t="s">
        <v>25</v>
      </c>
      <c r="P2129" s="6" t="s">
        <v>25</v>
      </c>
      <c r="Q2129" s="5" t="s">
        <v>25</v>
      </c>
      <c r="R2129" s="5" t="s">
        <v>25</v>
      </c>
      <c r="S2129" s="7" t="str">
        <f>VLOOKUP(A2129,Sheet2!$A$2:$R$3432,18,0)</f>
        <v/>
      </c>
      <c r="T2129" s="7" t="str">
        <f>VLOOKUP(A2129,Sheet2!$A$2:$R$3432,17,0)</f>
        <v/>
      </c>
    </row>
    <row r="2130" ht="15.75" customHeight="1">
      <c r="A2130" s="3" t="s">
        <v>2153</v>
      </c>
      <c r="B2130" s="4" t="str">
        <f>VLOOKUP(A2130,Sheet2!$A$2:$R$3432,2,0)</f>
        <v>2024-09-29 21:05:16</v>
      </c>
      <c r="C2130" s="5" t="s">
        <v>25</v>
      </c>
      <c r="D2130" s="6" t="s">
        <v>25</v>
      </c>
      <c r="E2130" s="7">
        <f>VLOOKUP(A2130,Sheet2!$A$2:$R$3432,4,0)</f>
        <v>9921602020</v>
      </c>
      <c r="F2130" s="7" t="str">
        <f>VLOOKUP(A2130,Sheet2!$A$2:$R$3432,3,0)</f>
        <v>Amit Behera</v>
      </c>
      <c r="G2130" s="5" t="s">
        <v>25</v>
      </c>
      <c r="H2130" s="5" t="s">
        <v>25</v>
      </c>
      <c r="I2130" s="5" t="s">
        <v>25</v>
      </c>
      <c r="J2130" s="5" t="s">
        <v>25</v>
      </c>
      <c r="K2130" s="7" t="str">
        <f>VLOOKUP(A2130,Sheet2!$A$2:$R$3432,6,0)</f>
        <v>Hero Maestro </v>
      </c>
      <c r="L2130" s="5" t="s">
        <v>25</v>
      </c>
      <c r="M2130" s="7" t="str">
        <f>VLOOKUP(A2130,Sheet2!$A$2:$R$3432,5,0)</f>
        <v>MH14ES0472</v>
      </c>
      <c r="N2130" s="5" t="s">
        <v>25</v>
      </c>
      <c r="O2130" s="5" t="s">
        <v>25</v>
      </c>
      <c r="P2130" s="6" t="s">
        <v>25</v>
      </c>
      <c r="Q2130" s="5" t="s">
        <v>25</v>
      </c>
      <c r="R2130" s="5" t="s">
        <v>25</v>
      </c>
      <c r="S2130" s="7" t="str">
        <f>VLOOKUP(A2130,Sheet2!$A$2:$R$3432,18,0)</f>
        <v/>
      </c>
      <c r="T2130" s="7" t="str">
        <f>VLOOKUP(A2130,Sheet2!$A$2:$R$3432,17,0)</f>
        <v>MBLJF32ABEGE18214</v>
      </c>
    </row>
    <row r="2131" ht="15.75" customHeight="1">
      <c r="A2131" s="3" t="s">
        <v>2154</v>
      </c>
      <c r="B2131" s="4" t="str">
        <f>VLOOKUP(A2131,Sheet2!$A$2:$R$3432,2,0)</f>
        <v>2024-09-29 21:08:52</v>
      </c>
      <c r="C2131" s="5" t="s">
        <v>25</v>
      </c>
      <c r="D2131" s="6" t="s">
        <v>25</v>
      </c>
      <c r="E2131" s="7">
        <f>VLOOKUP(A2131,Sheet2!$A$2:$R$3432,4,0)</f>
        <v>9561303306</v>
      </c>
      <c r="F2131" s="7" t="str">
        <f>VLOOKUP(A2131,Sheet2!$A$2:$R$3432,3,0)</f>
        <v>Vishal</v>
      </c>
      <c r="G2131" s="5" t="s">
        <v>25</v>
      </c>
      <c r="H2131" s="5" t="s">
        <v>25</v>
      </c>
      <c r="I2131" s="5" t="s">
        <v>25</v>
      </c>
      <c r="J2131" s="5" t="s">
        <v>25</v>
      </c>
      <c r="K2131" s="7" t="str">
        <f>VLOOKUP(A2131,Sheet2!$A$2:$R$3432,6,0)</f>
        <v>Royal Enfield Classic 350</v>
      </c>
      <c r="L2131" s="5" t="s">
        <v>25</v>
      </c>
      <c r="M2131" s="7" t="str">
        <f>VLOOKUP(A2131,Sheet2!$A$2:$R$3432,5,0)</f>
        <v>MH12MZ798</v>
      </c>
      <c r="N2131" s="5" t="s">
        <v>25</v>
      </c>
      <c r="O2131" s="5" t="s">
        <v>25</v>
      </c>
      <c r="P2131" s="6" t="s">
        <v>25</v>
      </c>
      <c r="Q2131" s="5" t="s">
        <v>25</v>
      </c>
      <c r="R2131" s="5" t="s">
        <v>25</v>
      </c>
      <c r="S2131" s="7" t="str">
        <f>VLOOKUP(A2131,Sheet2!$A$2:$R$3432,18,0)</f>
        <v/>
      </c>
      <c r="T2131" s="7" t="str">
        <f>VLOOKUP(A2131,Sheet2!$A$2:$R$3432,17,0)</f>
        <v/>
      </c>
    </row>
    <row r="2132" ht="15.75" customHeight="1">
      <c r="A2132" s="3" t="s">
        <v>2155</v>
      </c>
      <c r="B2132" s="4" t="str">
        <f>VLOOKUP(A2132,Sheet2!$A$2:$R$3432,2,0)</f>
        <v>2024-09-29 21:25:05</v>
      </c>
      <c r="C2132" s="5" t="s">
        <v>25</v>
      </c>
      <c r="D2132" s="6" t="s">
        <v>25</v>
      </c>
      <c r="E2132" s="7">
        <f>VLOOKUP(A2132,Sheet2!$A$2:$R$3432,4,0)</f>
        <v>9326931913</v>
      </c>
      <c r="F2132" s="7" t="str">
        <f>VLOOKUP(A2132,Sheet2!$A$2:$R$3432,3,0)</f>
        <v>Ritesh Taori</v>
      </c>
      <c r="G2132" s="5" t="s">
        <v>25</v>
      </c>
      <c r="H2132" s="5" t="s">
        <v>25</v>
      </c>
      <c r="I2132" s="5" t="s">
        <v>25</v>
      </c>
      <c r="J2132" s="5" t="s">
        <v>25</v>
      </c>
      <c r="K2132" s="7" t="str">
        <f>VLOOKUP(A2132,Sheet2!$A$2:$R$3432,6,0)</f>
        <v>Honda Activa HET</v>
      </c>
      <c r="L2132" s="5" t="s">
        <v>25</v>
      </c>
      <c r="M2132" s="7" t="str">
        <f>VLOOKUP(A2132,Sheet2!$A$2:$R$3432,5,0)</f>
        <v>MH14DW7120</v>
      </c>
      <c r="N2132" s="5" t="s">
        <v>25</v>
      </c>
      <c r="O2132" s="5" t="s">
        <v>25</v>
      </c>
      <c r="P2132" s="6" t="s">
        <v>25</v>
      </c>
      <c r="Q2132" s="5" t="s">
        <v>25</v>
      </c>
      <c r="R2132" s="5" t="s">
        <v>25</v>
      </c>
      <c r="S2132" s="5" t="str">
        <f>VLOOKUP(A2132,Sheet2!$A$2:$R$3432,18,0)</f>
        <v>JF50E80175722</v>
      </c>
      <c r="T2132" s="7" t="str">
        <f>VLOOKUP(A2132,Sheet2!$A$2:$R$3432,17,0)</f>
        <v>ME4JF501D08176360</v>
      </c>
    </row>
    <row r="2133" ht="15.75" customHeight="1">
      <c r="A2133" s="3" t="s">
        <v>2156</v>
      </c>
      <c r="B2133" s="4" t="str">
        <f>VLOOKUP(A2133,Sheet2!$A$2:$R$3432,2,0)</f>
        <v>2024-09-19 21:11:02</v>
      </c>
      <c r="C2133" s="5" t="s">
        <v>25</v>
      </c>
      <c r="D2133" s="6" t="s">
        <v>25</v>
      </c>
      <c r="E2133" s="7">
        <f>VLOOKUP(A2133,Sheet2!$A$2:$R$3432,4,0)</f>
        <v>9766945541</v>
      </c>
      <c r="F2133" s="7" t="str">
        <f>VLOOKUP(A2133,Sheet2!$A$2:$R$3432,3,0)</f>
        <v>Ashok Chaudhary </v>
      </c>
      <c r="G2133" s="5" t="s">
        <v>25</v>
      </c>
      <c r="H2133" s="5" t="s">
        <v>25</v>
      </c>
      <c r="I2133" s="5" t="s">
        <v>25</v>
      </c>
      <c r="J2133" s="5" t="s">
        <v>25</v>
      </c>
      <c r="K2133" s="7" t="str">
        <f>VLOOKUP(A2133,Sheet2!$A$2:$R$3432,6,0)</f>
        <v>Honda Activa 125</v>
      </c>
      <c r="L2133" s="5" t="s">
        <v>25</v>
      </c>
      <c r="M2133" s="7" t="str">
        <f>VLOOKUP(A2133,Sheet2!$A$2:$R$3432,5,0)</f>
        <v>MH12TW0951</v>
      </c>
      <c r="N2133" s="5" t="s">
        <v>25</v>
      </c>
      <c r="O2133" s="5" t="s">
        <v>25</v>
      </c>
      <c r="P2133" s="6" t="s">
        <v>25</v>
      </c>
      <c r="Q2133" s="5" t="s">
        <v>25</v>
      </c>
      <c r="R2133" s="5" t="s">
        <v>25</v>
      </c>
      <c r="S2133" s="5" t="str">
        <f>VLOOKUP(A2133,Sheet2!$A$2:$R$3432,18,0)</f>
        <v>JK13EG1004280</v>
      </c>
      <c r="T2133" s="7" t="str">
        <f>VLOOKUP(A2133,Sheet2!$A$2:$R$3432,17,0)</f>
        <v>ME4JK133LMG001221</v>
      </c>
    </row>
    <row r="2134" ht="15.75" customHeight="1">
      <c r="A2134" s="3" t="s">
        <v>2157</v>
      </c>
      <c r="B2134" s="4" t="str">
        <f>VLOOKUP(A2134,Sheet2!$A$2:$R$3432,2,0)</f>
        <v>2024-09-19 21:09:27</v>
      </c>
      <c r="C2134" s="5" t="s">
        <v>25</v>
      </c>
      <c r="D2134" s="6" t="s">
        <v>25</v>
      </c>
      <c r="E2134" s="7">
        <f>VLOOKUP(A2134,Sheet2!$A$2:$R$3432,4,0)</f>
        <v>8380880885</v>
      </c>
      <c r="F2134" s="7" t="str">
        <f>VLOOKUP(A2134,Sheet2!$A$2:$R$3432,3,0)</f>
        <v>AKASH GIRI</v>
      </c>
      <c r="G2134" s="5" t="s">
        <v>25</v>
      </c>
      <c r="H2134" s="5" t="s">
        <v>25</v>
      </c>
      <c r="I2134" s="5" t="s">
        <v>25</v>
      </c>
      <c r="J2134" s="5" t="s">
        <v>25</v>
      </c>
      <c r="K2134" s="7" t="str">
        <f>VLOOKUP(A2134,Sheet2!$A$2:$R$3432,6,0)</f>
        <v>TVS Apache RTR 160</v>
      </c>
      <c r="L2134" s="5" t="s">
        <v>25</v>
      </c>
      <c r="M2134" s="7" t="str">
        <f>VLOOKUP(A2134,Sheet2!$A$2:$R$3432,5,0)</f>
        <v>MH14HN7327</v>
      </c>
      <c r="N2134" s="5" t="s">
        <v>25</v>
      </c>
      <c r="O2134" s="5" t="s">
        <v>25</v>
      </c>
      <c r="P2134" s="6" t="s">
        <v>25</v>
      </c>
      <c r="Q2134" s="5" t="s">
        <v>25</v>
      </c>
      <c r="R2134" s="5" t="s">
        <v>25</v>
      </c>
      <c r="S2134" s="7" t="str">
        <f>VLOOKUP(A2134,Sheet2!$A$2:$R$3432,18,0)</f>
        <v/>
      </c>
      <c r="T2134" s="7" t="str">
        <f>VLOOKUP(A2134,Sheet2!$A$2:$R$3432,17,0)</f>
        <v/>
      </c>
    </row>
    <row r="2135" ht="15.75" customHeight="1">
      <c r="A2135" s="3" t="s">
        <v>2158</v>
      </c>
      <c r="B2135" s="4" t="str">
        <f>VLOOKUP(A2135,Sheet2!$A$2:$R$3432,2,0)</f>
        <v>2024-09-19 21:07:53</v>
      </c>
      <c r="C2135" s="5" t="s">
        <v>25</v>
      </c>
      <c r="D2135" s="6" t="s">
        <v>25</v>
      </c>
      <c r="E2135" s="7">
        <f>VLOOKUP(A2135,Sheet2!$A$2:$R$3432,4,0)</f>
        <v>9326075507</v>
      </c>
      <c r="F2135" s="7" t="str">
        <f>VLOOKUP(A2135,Sheet2!$A$2:$R$3432,3,0)</f>
        <v>Saurabh Shende</v>
      </c>
      <c r="G2135" s="5" t="s">
        <v>25</v>
      </c>
      <c r="H2135" s="5" t="s">
        <v>25</v>
      </c>
      <c r="I2135" s="5" t="s">
        <v>25</v>
      </c>
      <c r="J2135" s="5" t="s">
        <v>25</v>
      </c>
      <c r="K2135" s="7" t="str">
        <f>VLOOKUP(A2135,Sheet2!$A$2:$R$3432,6,0)</f>
        <v>Honda Hornet </v>
      </c>
      <c r="L2135" s="5" t="s">
        <v>25</v>
      </c>
      <c r="M2135" s="7" t="str">
        <f>VLOOKUP(A2135,Sheet2!$A$2:$R$3432,5,0)</f>
        <v>MH03CL8189</v>
      </c>
      <c r="N2135" s="5" t="s">
        <v>25</v>
      </c>
      <c r="O2135" s="5" t="s">
        <v>25</v>
      </c>
      <c r="P2135" s="6" t="s">
        <v>25</v>
      </c>
      <c r="Q2135" s="5" t="s">
        <v>25</v>
      </c>
      <c r="R2135" s="5" t="s">
        <v>25</v>
      </c>
      <c r="S2135" s="5" t="str">
        <f>VLOOKUP(A2135,Sheet2!$A$2:$R$3432,18,0)</f>
        <v>KC23E-8-0116477</v>
      </c>
      <c r="T2135" s="7" t="str">
        <f>VLOOKUP(A2135,Sheet2!$A$2:$R$3432,17,0)</f>
        <v>ME4KC236MG8002653</v>
      </c>
    </row>
    <row r="2136" ht="15.75" customHeight="1">
      <c r="A2136" s="3" t="s">
        <v>2159</v>
      </c>
      <c r="B2136" s="4" t="str">
        <f>VLOOKUP(A2136,Sheet2!$A$2:$R$3432,2,0)</f>
        <v>2024-09-19 21:08:45</v>
      </c>
      <c r="C2136" s="5" t="s">
        <v>25</v>
      </c>
      <c r="D2136" s="6" t="s">
        <v>25</v>
      </c>
      <c r="E2136" s="7">
        <f>VLOOKUP(A2136,Sheet2!$A$2:$R$3432,4,0)</f>
        <v>9534141363</v>
      </c>
      <c r="F2136" s="7" t="str">
        <f>VLOOKUP(A2136,Sheet2!$A$2:$R$3432,3,0)</f>
        <v>KUNAL</v>
      </c>
      <c r="G2136" s="5" t="s">
        <v>25</v>
      </c>
      <c r="H2136" s="5" t="s">
        <v>25</v>
      </c>
      <c r="I2136" s="5" t="s">
        <v>25</v>
      </c>
      <c r="J2136" s="5" t="s">
        <v>25</v>
      </c>
      <c r="K2136" s="7" t="str">
        <f>VLOOKUP(A2136,Sheet2!$A$2:$R$3432,6,0)</f>
        <v>Hero Maestro </v>
      </c>
      <c r="L2136" s="5" t="s">
        <v>25</v>
      </c>
      <c r="M2136" s="7" t="str">
        <f>VLOOKUP(A2136,Sheet2!$A$2:$R$3432,5,0)</f>
        <v>MH14DV5701</v>
      </c>
      <c r="N2136" s="5" t="s">
        <v>25</v>
      </c>
      <c r="O2136" s="5" t="s">
        <v>25</v>
      </c>
      <c r="P2136" s="6" t="s">
        <v>25</v>
      </c>
      <c r="Q2136" s="5" t="s">
        <v>25</v>
      </c>
      <c r="R2136" s="5" t="s">
        <v>25</v>
      </c>
      <c r="S2136" s="7" t="str">
        <f>VLOOKUP(A2136,Sheet2!$A$2:$R$3432,18,0)</f>
        <v/>
      </c>
      <c r="T2136" s="7" t="str">
        <f>VLOOKUP(A2136,Sheet2!$A$2:$R$3432,17,0)</f>
        <v/>
      </c>
    </row>
    <row r="2137" ht="15.75" customHeight="1">
      <c r="A2137" s="3" t="s">
        <v>2160</v>
      </c>
      <c r="B2137" s="4" t="str">
        <f>VLOOKUP(A2137,Sheet2!$A$2:$R$3432,2,0)</f>
        <v>2024-09-19 16:54:59</v>
      </c>
      <c r="C2137" s="5" t="s">
        <v>25</v>
      </c>
      <c r="D2137" s="6" t="s">
        <v>25</v>
      </c>
      <c r="E2137" s="7">
        <f>VLOOKUP(A2137,Sheet2!$A$2:$R$3432,4,0)</f>
        <v>7798529737</v>
      </c>
      <c r="F2137" s="7" t="str">
        <f>VLOOKUP(A2137,Sheet2!$A$2:$R$3432,3,0)</f>
        <v>Praveen muley</v>
      </c>
      <c r="G2137" s="5" t="s">
        <v>25</v>
      </c>
      <c r="H2137" s="5" t="s">
        <v>25</v>
      </c>
      <c r="I2137" s="5" t="s">
        <v>25</v>
      </c>
      <c r="J2137" s="5" t="s">
        <v>25</v>
      </c>
      <c r="K2137" s="7" t="str">
        <f>VLOOKUP(A2137,Sheet2!$A$2:$R$3432,6,0)</f>
        <v>TVS Jupiter No Data</v>
      </c>
      <c r="L2137" s="5" t="s">
        <v>25</v>
      </c>
      <c r="M2137" s="7" t="str">
        <f>VLOOKUP(A2137,Sheet2!$A$2:$R$3432,5,0)</f>
        <v>MH14JF2497</v>
      </c>
      <c r="N2137" s="5" t="s">
        <v>25</v>
      </c>
      <c r="O2137" s="5" t="s">
        <v>25</v>
      </c>
      <c r="P2137" s="6" t="s">
        <v>25</v>
      </c>
      <c r="Q2137" s="5" t="s">
        <v>25</v>
      </c>
      <c r="R2137" s="5" t="s">
        <v>25</v>
      </c>
      <c r="S2137" s="5" t="str">
        <f>VLOOKUP(A2137,Sheet2!$A$2:$R$3432,18,0)</f>
        <v>DG5HL191067</v>
      </c>
      <c r="T2137" s="7" t="str">
        <f>VLOOKUP(A2137,Sheet2!$A$2:$R$3432,17,0)</f>
        <v>MD626CG59L1H37668</v>
      </c>
    </row>
    <row r="2138" ht="15.75" customHeight="1">
      <c r="A2138" s="3" t="s">
        <v>2161</v>
      </c>
      <c r="B2138" s="4" t="str">
        <f>VLOOKUP(A2138,Sheet2!$A$2:$R$3432,2,0)</f>
        <v>2024-09-19 21:07:21</v>
      </c>
      <c r="C2138" s="5" t="s">
        <v>25</v>
      </c>
      <c r="D2138" s="6" t="s">
        <v>25</v>
      </c>
      <c r="E2138" s="7">
        <f>VLOOKUP(A2138,Sheet2!$A$2:$R$3432,4,0)</f>
        <v>9511644285</v>
      </c>
      <c r="F2138" s="7" t="str">
        <f>VLOOKUP(A2138,Sheet2!$A$2:$R$3432,3,0)</f>
        <v>Aditya </v>
      </c>
      <c r="G2138" s="5" t="s">
        <v>25</v>
      </c>
      <c r="H2138" s="5" t="s">
        <v>25</v>
      </c>
      <c r="I2138" s="5" t="s">
        <v>25</v>
      </c>
      <c r="J2138" s="5" t="s">
        <v>25</v>
      </c>
      <c r="K2138" s="7" t="str">
        <f>VLOOKUP(A2138,Sheet2!$A$2:$R$3432,6,0)</f>
        <v>Royal Enfield Classic 350</v>
      </c>
      <c r="L2138" s="5" t="s">
        <v>25</v>
      </c>
      <c r="M2138" s="7" t="str">
        <f>VLOOKUP(A2138,Sheet2!$A$2:$R$3432,5,0)</f>
        <v>MH20FV8877</v>
      </c>
      <c r="N2138" s="5" t="s">
        <v>25</v>
      </c>
      <c r="O2138" s="5" t="s">
        <v>25</v>
      </c>
      <c r="P2138" s="6" t="s">
        <v>25</v>
      </c>
      <c r="Q2138" s="5" t="s">
        <v>25</v>
      </c>
      <c r="R2138" s="5" t="s">
        <v>25</v>
      </c>
      <c r="S2138" s="7" t="str">
        <f>VLOOKUP(A2138,Sheet2!$A$2:$R$3432,18,0)</f>
        <v/>
      </c>
      <c r="T2138" s="7" t="str">
        <f>VLOOKUP(A2138,Sheet2!$A$2:$R$3432,17,0)</f>
        <v/>
      </c>
    </row>
    <row r="2139" ht="15.75" customHeight="1">
      <c r="A2139" s="3" t="s">
        <v>2162</v>
      </c>
      <c r="B2139" s="4" t="str">
        <f>VLOOKUP(A2139,Sheet2!$A$2:$R$3432,2,0)</f>
        <v>2024-09-19 21:06:13</v>
      </c>
      <c r="C2139" s="5" t="s">
        <v>25</v>
      </c>
      <c r="D2139" s="6" t="s">
        <v>25</v>
      </c>
      <c r="E2139" s="7">
        <f>VLOOKUP(A2139,Sheet2!$A$2:$R$3432,4,0)</f>
        <v>8087564396</v>
      </c>
      <c r="F2139" s="7" t="str">
        <f>VLOOKUP(A2139,Sheet2!$A$2:$R$3432,3,0)</f>
        <v>Harsh</v>
      </c>
      <c r="G2139" s="5" t="s">
        <v>25</v>
      </c>
      <c r="H2139" s="5" t="s">
        <v>25</v>
      </c>
      <c r="I2139" s="5" t="s">
        <v>25</v>
      </c>
      <c r="J2139" s="5" t="s">
        <v>25</v>
      </c>
      <c r="K2139" s="7" t="str">
        <f>VLOOKUP(A2139,Sheet2!$A$2:$R$3432,6,0)</f>
        <v>Honda Activa 4G</v>
      </c>
      <c r="L2139" s="5" t="s">
        <v>25</v>
      </c>
      <c r="M2139" s="7" t="str">
        <f>VLOOKUP(A2139,Sheet2!$A$2:$R$3432,5,0)</f>
        <v>MH19DA5053</v>
      </c>
      <c r="N2139" s="5" t="s">
        <v>25</v>
      </c>
      <c r="O2139" s="5" t="s">
        <v>25</v>
      </c>
      <c r="P2139" s="6" t="s">
        <v>25</v>
      </c>
      <c r="Q2139" s="5" t="s">
        <v>25</v>
      </c>
      <c r="R2139" s="5" t="s">
        <v>25</v>
      </c>
      <c r="S2139" s="7" t="str">
        <f>VLOOKUP(A2139,Sheet2!$A$2:$R$3432,18,0)</f>
        <v/>
      </c>
      <c r="T2139" s="7" t="str">
        <f>VLOOKUP(A2139,Sheet2!$A$2:$R$3432,17,0)</f>
        <v/>
      </c>
    </row>
    <row r="2140" ht="15.75" customHeight="1">
      <c r="A2140" s="3" t="s">
        <v>2163</v>
      </c>
      <c r="B2140" s="4" t="str">
        <f>VLOOKUP(A2140,Sheet2!$A$2:$R$3432,2,0)</f>
        <v>2024-09-19 21:05:59</v>
      </c>
      <c r="C2140" s="5" t="s">
        <v>25</v>
      </c>
      <c r="D2140" s="6" t="s">
        <v>25</v>
      </c>
      <c r="E2140" s="7">
        <f>VLOOKUP(A2140,Sheet2!$A$2:$R$3432,4,0)</f>
        <v>7276334217</v>
      </c>
      <c r="F2140" s="7" t="str">
        <f>VLOOKUP(A2140,Sheet2!$A$2:$R$3432,3,0)</f>
        <v>Sumant Sharma</v>
      </c>
      <c r="G2140" s="5" t="s">
        <v>25</v>
      </c>
      <c r="H2140" s="5" t="s">
        <v>25</v>
      </c>
      <c r="I2140" s="5" t="s">
        <v>25</v>
      </c>
      <c r="J2140" s="5" t="s">
        <v>25</v>
      </c>
      <c r="K2140" s="7" t="str">
        <f>VLOOKUP(A2140,Sheet2!$A$2:$R$3432,6,0)</f>
        <v>Honda Unicorn </v>
      </c>
      <c r="L2140" s="5" t="s">
        <v>25</v>
      </c>
      <c r="M2140" s="7" t="str">
        <f>VLOOKUP(A2140,Sheet2!$A$2:$R$3432,5,0)</f>
        <v>MH27AH3398</v>
      </c>
      <c r="N2140" s="5" t="s">
        <v>25</v>
      </c>
      <c r="O2140" s="5" t="s">
        <v>25</v>
      </c>
      <c r="P2140" s="6" t="s">
        <v>25</v>
      </c>
      <c r="Q2140" s="5" t="s">
        <v>25</v>
      </c>
      <c r="R2140" s="5" t="s">
        <v>25</v>
      </c>
      <c r="S2140" s="5" t="str">
        <f>VLOOKUP(A2140,Sheet2!$A$2:$R$3432,18,0)</f>
        <v>KC09E1052494</v>
      </c>
      <c r="T2140" s="7" t="str">
        <f>VLOOKUP(A2140,Sheet2!$A$2:$R$3432,17,0)</f>
        <v>RUSTY FRAME</v>
      </c>
    </row>
    <row r="2141" ht="15.75" customHeight="1">
      <c r="A2141" s="3" t="s">
        <v>2164</v>
      </c>
      <c r="B2141" s="4" t="str">
        <f>VLOOKUP(A2141,Sheet2!$A$2:$R$3432,2,0)</f>
        <v>2024-09-19 21:05:40</v>
      </c>
      <c r="C2141" s="5" t="s">
        <v>25</v>
      </c>
      <c r="D2141" s="6" t="s">
        <v>25</v>
      </c>
      <c r="E2141" s="7">
        <f>VLOOKUP(A2141,Sheet2!$A$2:$R$3432,4,0)</f>
        <v>8445464646</v>
      </c>
      <c r="F2141" s="7" t="str">
        <f>VLOOKUP(A2141,Sheet2!$A$2:$R$3432,3,0)</f>
        <v>Sarthak</v>
      </c>
      <c r="G2141" s="5" t="s">
        <v>25</v>
      </c>
      <c r="H2141" s="5" t="s">
        <v>25</v>
      </c>
      <c r="I2141" s="5" t="s">
        <v>25</v>
      </c>
      <c r="J2141" s="5" t="s">
        <v>25</v>
      </c>
      <c r="K2141" s="7" t="str">
        <f>VLOOKUP(A2141,Sheet2!$A$2:$R$3432,6,0)</f>
        <v>Hero Duet </v>
      </c>
      <c r="L2141" s="5" t="s">
        <v>25</v>
      </c>
      <c r="M2141" s="7" t="str">
        <f>VLOOKUP(A2141,Sheet2!$A$2:$R$3432,5,0)</f>
        <v>UP23X4303</v>
      </c>
      <c r="N2141" s="5" t="s">
        <v>25</v>
      </c>
      <c r="O2141" s="5" t="s">
        <v>25</v>
      </c>
      <c r="P2141" s="6" t="s">
        <v>25</v>
      </c>
      <c r="Q2141" s="5" t="s">
        <v>25</v>
      </c>
      <c r="R2141" s="5" t="s">
        <v>25</v>
      </c>
      <c r="S2141" s="5" t="str">
        <f>VLOOKUP(A2141,Sheet2!$A$2:$R$3432,18,0)</f>
        <v>JF33ACJG807095</v>
      </c>
      <c r="T2141" s="7" t="str">
        <f>VLOOKUP(A2141,Sheet2!$A$2:$R$3432,17,0)</f>
        <v>MBLJFN029JG808002</v>
      </c>
    </row>
    <row r="2142" ht="15.75" customHeight="1">
      <c r="A2142" s="3" t="s">
        <v>2165</v>
      </c>
      <c r="B2142" s="4" t="str">
        <f>VLOOKUP(A2142,Sheet2!$A$2:$R$3432,2,0)</f>
        <v>2024-09-19 21:03:14</v>
      </c>
      <c r="C2142" s="5" t="s">
        <v>25</v>
      </c>
      <c r="D2142" s="6" t="s">
        <v>25</v>
      </c>
      <c r="E2142" s="7">
        <f>VLOOKUP(A2142,Sheet2!$A$2:$R$3432,4,0)</f>
        <v>7709768005</v>
      </c>
      <c r="F2142" s="7" t="str">
        <f>VLOOKUP(A2142,Sheet2!$A$2:$R$3432,3,0)</f>
        <v>Lalit Chaudhari </v>
      </c>
      <c r="G2142" s="5" t="s">
        <v>25</v>
      </c>
      <c r="H2142" s="5" t="s">
        <v>25</v>
      </c>
      <c r="I2142" s="5" t="s">
        <v>25</v>
      </c>
      <c r="J2142" s="5" t="s">
        <v>25</v>
      </c>
      <c r="K2142" s="7" t="str">
        <f>VLOOKUP(A2142,Sheet2!$A$2:$R$3432,6,0)</f>
        <v>Hero Deluxe HF</v>
      </c>
      <c r="L2142" s="5" t="s">
        <v>25</v>
      </c>
      <c r="M2142" s="7" t="str">
        <f>VLOOKUP(A2142,Sheet2!$A$2:$R$3432,5,0)</f>
        <v>MH14GQ1205</v>
      </c>
      <c r="N2142" s="5" t="s">
        <v>25</v>
      </c>
      <c r="O2142" s="5" t="s">
        <v>25</v>
      </c>
      <c r="P2142" s="6" t="s">
        <v>25</v>
      </c>
      <c r="Q2142" s="5" t="s">
        <v>25</v>
      </c>
      <c r="R2142" s="5" t="s">
        <v>25</v>
      </c>
      <c r="S2142" s="7" t="str">
        <f>VLOOKUP(A2142,Sheet2!$A$2:$R$3432,18,0)</f>
        <v/>
      </c>
      <c r="T2142" s="7" t="str">
        <f>VLOOKUP(A2142,Sheet2!$A$2:$R$3432,17,0)</f>
        <v/>
      </c>
    </row>
    <row r="2143" ht="15.75" customHeight="1">
      <c r="A2143" s="3" t="s">
        <v>2166</v>
      </c>
      <c r="B2143" s="4" t="str">
        <f>VLOOKUP(A2143,Sheet2!$A$2:$R$3432,2,0)</f>
        <v>2024-09-19 21:04:46</v>
      </c>
      <c r="C2143" s="5" t="s">
        <v>25</v>
      </c>
      <c r="D2143" s="6" t="s">
        <v>25</v>
      </c>
      <c r="E2143" s="7">
        <f>VLOOKUP(A2143,Sheet2!$A$2:$R$3432,4,0)</f>
        <v>9309741049</v>
      </c>
      <c r="F2143" s="7" t="str">
        <f>VLOOKUP(A2143,Sheet2!$A$2:$R$3432,3,0)</f>
        <v>Sarjerao</v>
      </c>
      <c r="G2143" s="5" t="s">
        <v>25</v>
      </c>
      <c r="H2143" s="5" t="s">
        <v>25</v>
      </c>
      <c r="I2143" s="5" t="s">
        <v>25</v>
      </c>
      <c r="J2143" s="5" t="s">
        <v>25</v>
      </c>
      <c r="K2143" s="7" t="str">
        <f>VLOOKUP(A2143,Sheet2!$A$2:$R$3432,6,0)</f>
        <v>Hero Passion Pro</v>
      </c>
      <c r="L2143" s="5" t="s">
        <v>25</v>
      </c>
      <c r="M2143" s="7" t="str">
        <f>VLOOKUP(A2143,Sheet2!$A$2:$R$3432,5,0)</f>
        <v>MH13BF0133</v>
      </c>
      <c r="N2143" s="5" t="s">
        <v>25</v>
      </c>
      <c r="O2143" s="5" t="s">
        <v>25</v>
      </c>
      <c r="P2143" s="6" t="s">
        <v>25</v>
      </c>
      <c r="Q2143" s="5" t="s">
        <v>25</v>
      </c>
      <c r="R2143" s="5" t="s">
        <v>25</v>
      </c>
      <c r="S2143" s="5" t="str">
        <f>VLOOKUP(A2143,Sheet2!$A$2:$R$3432,18,0)</f>
        <v>HA10ENCHD12578</v>
      </c>
      <c r="T2143" s="7" t="str">
        <f>VLOOKUP(A2143,Sheet2!$A$2:$R$3432,17,0)</f>
        <v>MBLHA10AWCHD13283</v>
      </c>
    </row>
    <row r="2144" ht="15.75" customHeight="1">
      <c r="A2144" s="3" t="s">
        <v>2167</v>
      </c>
      <c r="B2144" s="4" t="str">
        <f>VLOOKUP(A2144,Sheet2!$A$2:$R$3432,2,0)</f>
        <v>2024-09-19 21:01:01</v>
      </c>
      <c r="C2144" s="5" t="s">
        <v>25</v>
      </c>
      <c r="D2144" s="6" t="s">
        <v>25</v>
      </c>
      <c r="E2144" s="7">
        <f>VLOOKUP(A2144,Sheet2!$A$2:$R$3432,4,0)</f>
        <v>9595353296</v>
      </c>
      <c r="F2144" s="7" t="str">
        <f>VLOOKUP(A2144,Sheet2!$A$2:$R$3432,3,0)</f>
        <v>SACHIN NIKAM </v>
      </c>
      <c r="G2144" s="5" t="s">
        <v>25</v>
      </c>
      <c r="H2144" s="5" t="s">
        <v>25</v>
      </c>
      <c r="I2144" s="5" t="s">
        <v>25</v>
      </c>
      <c r="J2144" s="5" t="s">
        <v>25</v>
      </c>
      <c r="K2144" s="7" t="str">
        <f>VLOOKUP(A2144,Sheet2!$A$2:$R$3432,6,0)</f>
        <v>Hero Karizma R</v>
      </c>
      <c r="L2144" s="5" t="s">
        <v>25</v>
      </c>
      <c r="M2144" s="7" t="str">
        <f>VLOOKUP(A2144,Sheet2!$A$2:$R$3432,5,0)</f>
        <v>MH12KG3074</v>
      </c>
      <c r="N2144" s="5" t="s">
        <v>25</v>
      </c>
      <c r="O2144" s="5" t="s">
        <v>25</v>
      </c>
      <c r="P2144" s="6" t="s">
        <v>25</v>
      </c>
      <c r="Q2144" s="5" t="s">
        <v>25</v>
      </c>
      <c r="R2144" s="5" t="s">
        <v>25</v>
      </c>
      <c r="S2144" s="7" t="str">
        <f>VLOOKUP(A2144,Sheet2!$A$2:$R$3432,18,0)</f>
        <v/>
      </c>
      <c r="T2144" s="7" t="str">
        <f>VLOOKUP(A2144,Sheet2!$A$2:$R$3432,17,0)</f>
        <v/>
      </c>
    </row>
    <row r="2145" ht="15.75" customHeight="1">
      <c r="A2145" s="3" t="s">
        <v>2168</v>
      </c>
      <c r="B2145" s="4" t="str">
        <f>VLOOKUP(A2145,Sheet2!$A$2:$R$3432,2,0)</f>
        <v>2024-09-19 21:19:42</v>
      </c>
      <c r="C2145" s="5" t="s">
        <v>25</v>
      </c>
      <c r="D2145" s="6" t="s">
        <v>25</v>
      </c>
      <c r="E2145" s="7">
        <f>VLOOKUP(A2145,Sheet2!$A$2:$R$3432,4,0)</f>
        <v>9588623757</v>
      </c>
      <c r="F2145" s="7" t="str">
        <f>VLOOKUP(A2145,Sheet2!$A$2:$R$3432,3,0)</f>
        <v>Mayur Tagad</v>
      </c>
      <c r="G2145" s="5" t="s">
        <v>25</v>
      </c>
      <c r="H2145" s="5" t="s">
        <v>25</v>
      </c>
      <c r="I2145" s="5" t="s">
        <v>25</v>
      </c>
      <c r="J2145" s="5" t="s">
        <v>25</v>
      </c>
      <c r="K2145" s="7" t="str">
        <f>VLOOKUP(A2145,Sheet2!$A$2:$R$3432,6,0)</f>
        <v>Yamaha FZ V3</v>
      </c>
      <c r="L2145" s="5" t="s">
        <v>25</v>
      </c>
      <c r="M2145" s="7" t="str">
        <f>VLOOKUP(A2145,Sheet2!$A$2:$R$3432,5,0)</f>
        <v>MH16CR5669</v>
      </c>
      <c r="N2145" s="5" t="s">
        <v>25</v>
      </c>
      <c r="O2145" s="5" t="s">
        <v>25</v>
      </c>
      <c r="P2145" s="6" t="s">
        <v>25</v>
      </c>
      <c r="Q2145" s="5" t="s">
        <v>25</v>
      </c>
      <c r="R2145" s="5" t="s">
        <v>25</v>
      </c>
      <c r="S2145" s="5" t="str">
        <f>VLOOKUP(A2145,Sheet2!$A$2:$R$3432,18,0)</f>
        <v>G3NSF0010675</v>
      </c>
      <c r="T2145" s="7" t="str">
        <f>VLOOKUP(A2145,Sheet2!$A$2:$R$3432,17,0)</f>
        <v>ME1RG6620CK0010777</v>
      </c>
    </row>
    <row r="2146" ht="15.75" customHeight="1">
      <c r="A2146" s="3" t="s">
        <v>2169</v>
      </c>
      <c r="B2146" s="4" t="str">
        <f>VLOOKUP(A2146,Sheet2!$A$2:$R$3432,2,0)</f>
        <v>2024-09-19 20:59:15</v>
      </c>
      <c r="C2146" s="5" t="s">
        <v>25</v>
      </c>
      <c r="D2146" s="6" t="s">
        <v>25</v>
      </c>
      <c r="E2146" s="7">
        <f>VLOOKUP(A2146,Sheet2!$A$2:$R$3432,4,0)</f>
        <v>9421450166</v>
      </c>
      <c r="F2146" s="7" t="str">
        <f>VLOOKUP(A2146,Sheet2!$A$2:$R$3432,3,0)</f>
        <v>SHINDE</v>
      </c>
      <c r="G2146" s="5" t="s">
        <v>25</v>
      </c>
      <c r="H2146" s="5" t="s">
        <v>25</v>
      </c>
      <c r="I2146" s="5" t="s">
        <v>25</v>
      </c>
      <c r="J2146" s="5" t="s">
        <v>25</v>
      </c>
      <c r="K2146" s="7" t="str">
        <f>VLOOKUP(A2146,Sheet2!$A$2:$R$3432,6,0)</f>
        <v>Hero Pleasure </v>
      </c>
      <c r="L2146" s="5" t="s">
        <v>25</v>
      </c>
      <c r="M2146" s="7" t="str">
        <f>VLOOKUP(A2146,Sheet2!$A$2:$R$3432,5,0)</f>
        <v>MH42AD9563</v>
      </c>
      <c r="N2146" s="5" t="s">
        <v>25</v>
      </c>
      <c r="O2146" s="5" t="s">
        <v>25</v>
      </c>
      <c r="P2146" s="6" t="s">
        <v>25</v>
      </c>
      <c r="Q2146" s="5" t="s">
        <v>25</v>
      </c>
      <c r="R2146" s="5" t="s">
        <v>25</v>
      </c>
      <c r="S2146" s="7" t="str">
        <f>VLOOKUP(A2146,Sheet2!$A$2:$R$3432,18,0)</f>
        <v/>
      </c>
      <c r="T2146" s="7" t="str">
        <f>VLOOKUP(A2146,Sheet2!$A$2:$R$3432,17,0)</f>
        <v/>
      </c>
    </row>
    <row r="2147" ht="15.75" customHeight="1">
      <c r="A2147" s="3" t="s">
        <v>2170</v>
      </c>
      <c r="B2147" s="4" t="str">
        <f>VLOOKUP(A2147,Sheet2!$A$2:$R$3432,2,0)</f>
        <v>2024-09-19 20:59:47</v>
      </c>
      <c r="C2147" s="5" t="s">
        <v>25</v>
      </c>
      <c r="D2147" s="6" t="s">
        <v>25</v>
      </c>
      <c r="E2147" s="7">
        <f>VLOOKUP(A2147,Sheet2!$A$2:$R$3432,4,0)</f>
        <v>9144661472</v>
      </c>
      <c r="F2147" s="7" t="str">
        <f>VLOOKUP(A2147,Sheet2!$A$2:$R$3432,3,0)</f>
        <v>DEVESH</v>
      </c>
      <c r="G2147" s="5" t="s">
        <v>25</v>
      </c>
      <c r="H2147" s="5" t="s">
        <v>25</v>
      </c>
      <c r="I2147" s="5" t="s">
        <v>25</v>
      </c>
      <c r="J2147" s="5" t="s">
        <v>25</v>
      </c>
      <c r="K2147" s="7" t="str">
        <f>VLOOKUP(A2147,Sheet2!$A$2:$R$3432,6,0)</f>
        <v>Yamaha FZ S</v>
      </c>
      <c r="L2147" s="5" t="s">
        <v>25</v>
      </c>
      <c r="M2147" s="7" t="str">
        <f>VLOOKUP(A2147,Sheet2!$A$2:$R$3432,5,0)</f>
        <v>MH14GQ5887</v>
      </c>
      <c r="N2147" s="5" t="s">
        <v>25</v>
      </c>
      <c r="O2147" s="5" t="s">
        <v>25</v>
      </c>
      <c r="P2147" s="6" t="s">
        <v>25</v>
      </c>
      <c r="Q2147" s="5" t="s">
        <v>25</v>
      </c>
      <c r="R2147" s="5" t="s">
        <v>25</v>
      </c>
      <c r="S2147" s="7" t="str">
        <f>VLOOKUP(A2147,Sheet2!$A$2:$R$3432,18,0)</f>
        <v/>
      </c>
      <c r="T2147" s="7" t="str">
        <f>VLOOKUP(A2147,Sheet2!$A$2:$R$3432,17,0)</f>
        <v/>
      </c>
    </row>
    <row r="2148" ht="15.75" customHeight="1">
      <c r="A2148" s="3" t="s">
        <v>2171</v>
      </c>
      <c r="B2148" s="4" t="str">
        <f>VLOOKUP(A2148,Sheet2!$A$2:$R$3432,2,0)</f>
        <v>2024-09-19 21:12:00</v>
      </c>
      <c r="C2148" s="5" t="s">
        <v>25</v>
      </c>
      <c r="D2148" s="6" t="s">
        <v>25</v>
      </c>
      <c r="E2148" s="7">
        <f>VLOOKUP(A2148,Sheet2!$A$2:$R$3432,4,0)</f>
        <v>8550944566</v>
      </c>
      <c r="F2148" s="7" t="str">
        <f>VLOOKUP(A2148,Sheet2!$A$2:$R$3432,3,0)</f>
        <v>Saurav Jaiswal</v>
      </c>
      <c r="G2148" s="5" t="s">
        <v>25</v>
      </c>
      <c r="H2148" s="5" t="s">
        <v>25</v>
      </c>
      <c r="I2148" s="5" t="s">
        <v>25</v>
      </c>
      <c r="J2148" s="5" t="s">
        <v>25</v>
      </c>
      <c r="K2148" s="7" t="str">
        <f>VLOOKUP(A2148,Sheet2!$A$2:$R$3432,6,0)</f>
        <v>Royal Enfield Classic 350</v>
      </c>
      <c r="L2148" s="5" t="s">
        <v>25</v>
      </c>
      <c r="M2148" s="7" t="str">
        <f>VLOOKUP(A2148,Sheet2!$A$2:$R$3432,5,0)</f>
        <v>MH14GE3944</v>
      </c>
      <c r="N2148" s="5" t="s">
        <v>25</v>
      </c>
      <c r="O2148" s="5" t="s">
        <v>25</v>
      </c>
      <c r="P2148" s="6" t="s">
        <v>25</v>
      </c>
      <c r="Q2148" s="5" t="s">
        <v>25</v>
      </c>
      <c r="R2148" s="5" t="s">
        <v>25</v>
      </c>
      <c r="S2148" s="7" t="str">
        <f>VLOOKUP(A2148,Sheet2!$A$2:$R$3432,18,0)</f>
        <v/>
      </c>
      <c r="T2148" s="7" t="str">
        <f>VLOOKUP(A2148,Sheet2!$A$2:$R$3432,17,0)</f>
        <v/>
      </c>
    </row>
    <row r="2149" ht="15.75" customHeight="1">
      <c r="A2149" s="3" t="s">
        <v>2172</v>
      </c>
      <c r="B2149" s="4" t="str">
        <f>VLOOKUP(A2149,Sheet2!$A$2:$R$3432,2,0)</f>
        <v>2024-09-19 21:11:24</v>
      </c>
      <c r="C2149" s="5" t="s">
        <v>25</v>
      </c>
      <c r="D2149" s="6" t="s">
        <v>25</v>
      </c>
      <c r="E2149" s="7">
        <f>VLOOKUP(A2149,Sheet2!$A$2:$R$3432,4,0)</f>
        <v>8668670715</v>
      </c>
      <c r="F2149" s="7" t="str">
        <f>VLOOKUP(A2149,Sheet2!$A$2:$R$3432,3,0)</f>
        <v>PRANJWAL RAUT</v>
      </c>
      <c r="G2149" s="5" t="s">
        <v>25</v>
      </c>
      <c r="H2149" s="5" t="s">
        <v>25</v>
      </c>
      <c r="I2149" s="5" t="s">
        <v>25</v>
      </c>
      <c r="J2149" s="5" t="s">
        <v>25</v>
      </c>
      <c r="K2149" s="7" t="str">
        <f>VLOOKUP(A2149,Sheet2!$A$2:$R$3432,6,0)</f>
        <v>Hero Passion Pro XTEC</v>
      </c>
      <c r="L2149" s="5" t="s">
        <v>25</v>
      </c>
      <c r="M2149" s="7" t="str">
        <f>VLOOKUP(A2149,Sheet2!$A$2:$R$3432,5,0)</f>
        <v>MH40AW3403</v>
      </c>
      <c r="N2149" s="5" t="s">
        <v>25</v>
      </c>
      <c r="O2149" s="5" t="s">
        <v>25</v>
      </c>
      <c r="P2149" s="6" t="s">
        <v>25</v>
      </c>
      <c r="Q2149" s="5" t="s">
        <v>25</v>
      </c>
      <c r="R2149" s="5" t="s">
        <v>25</v>
      </c>
      <c r="S2149" s="7" t="str">
        <f>VLOOKUP(A2149,Sheet2!$A$2:$R$3432,18,0)</f>
        <v/>
      </c>
      <c r="T2149" s="7" t="str">
        <f>VLOOKUP(A2149,Sheet2!$A$2:$R$3432,17,0)</f>
        <v/>
      </c>
    </row>
    <row r="2150" ht="15.75" customHeight="1">
      <c r="A2150" s="3" t="s">
        <v>2173</v>
      </c>
      <c r="B2150" s="4" t="str">
        <f>VLOOKUP(A2150,Sheet2!$A$2:$R$3432,2,0)</f>
        <v>2024-07-27 20:06:16</v>
      </c>
      <c r="C2150" s="5" t="s">
        <v>25</v>
      </c>
      <c r="D2150" s="6" t="s">
        <v>25</v>
      </c>
      <c r="E2150" s="7">
        <f>VLOOKUP(A2150,Sheet2!$A$2:$R$3432,4,0)</f>
        <v>9112471953</v>
      </c>
      <c r="F2150" s="7" t="str">
        <f>VLOOKUP(A2150,Sheet2!$A$2:$R$3432,3,0)</f>
        <v>Rajshekhar</v>
      </c>
      <c r="G2150" s="5" t="s">
        <v>25</v>
      </c>
      <c r="H2150" s="5" t="s">
        <v>25</v>
      </c>
      <c r="I2150" s="5" t="s">
        <v>25</v>
      </c>
      <c r="J2150" s="5" t="s">
        <v>25</v>
      </c>
      <c r="K2150" s="7" t="str">
        <f>VLOOKUP(A2150,Sheet2!$A$2:$R$3432,6,0)</f>
        <v>Bajaj Pulsar 220F</v>
      </c>
      <c r="L2150" s="5" t="s">
        <v>25</v>
      </c>
      <c r="M2150" s="7" t="str">
        <f>VLOOKUP(A2150,Sheet2!$A$2:$R$3432,5,0)</f>
        <v>MH12FW8677</v>
      </c>
      <c r="N2150" s="5" t="s">
        <v>25</v>
      </c>
      <c r="O2150" s="5" t="s">
        <v>25</v>
      </c>
      <c r="P2150" s="6" t="s">
        <v>25</v>
      </c>
      <c r="Q2150" s="5" t="s">
        <v>25</v>
      </c>
      <c r="R2150" s="5" t="s">
        <v>25</v>
      </c>
      <c r="S2150" s="7" t="str">
        <f>VLOOKUP(A2150,Sheet2!$A$2:$R$3432,18,0)</f>
        <v/>
      </c>
      <c r="T2150" s="7" t="str">
        <f>VLOOKUP(A2150,Sheet2!$A$2:$R$3432,17,0)</f>
        <v/>
      </c>
    </row>
    <row r="2151" ht="15.75" customHeight="1">
      <c r="A2151" s="3" t="s">
        <v>2174</v>
      </c>
      <c r="B2151" s="4" t="str">
        <f>VLOOKUP(A2151,Sheet2!$A$2:$R$3432,2,0)</f>
        <v>2024-07-27 20:04:20</v>
      </c>
      <c r="C2151" s="5" t="s">
        <v>25</v>
      </c>
      <c r="D2151" s="6" t="s">
        <v>25</v>
      </c>
      <c r="E2151" s="7">
        <f>VLOOKUP(A2151,Sheet2!$A$2:$R$3432,4,0)</f>
        <v>8058342381</v>
      </c>
      <c r="F2151" s="7" t="str">
        <f>VLOOKUP(A2151,Sheet2!$A$2:$R$3432,3,0)</f>
        <v>Rakhi</v>
      </c>
      <c r="G2151" s="5" t="s">
        <v>25</v>
      </c>
      <c r="H2151" s="5" t="s">
        <v>25</v>
      </c>
      <c r="I2151" s="5" t="s">
        <v>25</v>
      </c>
      <c r="J2151" s="5" t="s">
        <v>25</v>
      </c>
      <c r="K2151" s="7" t="str">
        <f>VLOOKUP(A2151,Sheet2!$A$2:$R$3432,6,0)</f>
        <v>Honda Activa 4G</v>
      </c>
      <c r="L2151" s="5" t="s">
        <v>25</v>
      </c>
      <c r="M2151" s="7" t="str">
        <f>VLOOKUP(A2151,Sheet2!$A$2:$R$3432,5,0)</f>
        <v>MH14GV4583</v>
      </c>
      <c r="N2151" s="5" t="s">
        <v>25</v>
      </c>
      <c r="O2151" s="5" t="s">
        <v>25</v>
      </c>
      <c r="P2151" s="6" t="s">
        <v>25</v>
      </c>
      <c r="Q2151" s="5" t="s">
        <v>25</v>
      </c>
      <c r="R2151" s="5" t="s">
        <v>25</v>
      </c>
      <c r="S2151" s="7" t="str">
        <f>VLOOKUP(A2151,Sheet2!$A$2:$R$3432,18,0)</f>
        <v/>
      </c>
      <c r="T2151" s="7" t="str">
        <f>VLOOKUP(A2151,Sheet2!$A$2:$R$3432,17,0)</f>
        <v/>
      </c>
    </row>
    <row r="2152" ht="15.75" customHeight="1">
      <c r="A2152" s="3" t="s">
        <v>2175</v>
      </c>
      <c r="B2152" s="4" t="str">
        <f>VLOOKUP(A2152,Sheet2!$A$2:$R$3432,2,0)</f>
        <v>2024-07-27 20:05:25</v>
      </c>
      <c r="C2152" s="5" t="s">
        <v>25</v>
      </c>
      <c r="D2152" s="6" t="s">
        <v>25</v>
      </c>
      <c r="E2152" s="7">
        <f>VLOOKUP(A2152,Sheet2!$A$2:$R$3432,4,0)</f>
        <v>8177952249</v>
      </c>
      <c r="F2152" s="7" t="str">
        <f>VLOOKUP(A2152,Sheet2!$A$2:$R$3432,3,0)</f>
        <v>SHANTNU SINGH </v>
      </c>
      <c r="G2152" s="5" t="s">
        <v>25</v>
      </c>
      <c r="H2152" s="5" t="s">
        <v>25</v>
      </c>
      <c r="I2152" s="5" t="s">
        <v>25</v>
      </c>
      <c r="J2152" s="5" t="s">
        <v>25</v>
      </c>
      <c r="K2152" s="7" t="str">
        <f>VLOOKUP(A2152,Sheet2!$A$2:$R$3432,6,0)</f>
        <v>Honda Activa Old</v>
      </c>
      <c r="L2152" s="5" t="s">
        <v>25</v>
      </c>
      <c r="M2152" s="7" t="str">
        <f>VLOOKUP(A2152,Sheet2!$A$2:$R$3432,5,0)</f>
        <v>MH14BE4512</v>
      </c>
      <c r="N2152" s="5" t="s">
        <v>25</v>
      </c>
      <c r="O2152" s="5" t="s">
        <v>25</v>
      </c>
      <c r="P2152" s="6" t="s">
        <v>25</v>
      </c>
      <c r="Q2152" s="5" t="s">
        <v>25</v>
      </c>
      <c r="R2152" s="5" t="s">
        <v>25</v>
      </c>
      <c r="S2152" s="7" t="str">
        <f>VLOOKUP(A2152,Sheet2!$A$2:$R$3432,18,0)</f>
        <v/>
      </c>
      <c r="T2152" s="7" t="str">
        <f>VLOOKUP(A2152,Sheet2!$A$2:$R$3432,17,0)</f>
        <v/>
      </c>
    </row>
    <row r="2153" ht="15.75" customHeight="1">
      <c r="A2153" s="3" t="s">
        <v>2176</v>
      </c>
      <c r="B2153" s="4" t="str">
        <f>VLOOKUP(A2153,Sheet2!$A$2:$R$3432,2,0)</f>
        <v>2024-07-27 20:16:52</v>
      </c>
      <c r="C2153" s="5" t="s">
        <v>25</v>
      </c>
      <c r="D2153" s="6" t="s">
        <v>25</v>
      </c>
      <c r="E2153" s="7">
        <f>VLOOKUP(A2153,Sheet2!$A$2:$R$3432,4,0)</f>
        <v>7420035795</v>
      </c>
      <c r="F2153" s="7" t="str">
        <f>VLOOKUP(A2153,Sheet2!$A$2:$R$3432,3,0)</f>
        <v>BALAJI TRADERS </v>
      </c>
      <c r="G2153" s="5" t="s">
        <v>25</v>
      </c>
      <c r="H2153" s="5" t="s">
        <v>25</v>
      </c>
      <c r="I2153" s="5" t="s">
        <v>25</v>
      </c>
      <c r="J2153" s="5" t="s">
        <v>25</v>
      </c>
      <c r="K2153" s="7" t="str">
        <f>VLOOKUP(A2153,Sheet2!$A$2:$R$3432,6,0)</f>
        <v>Hero Pleasure </v>
      </c>
      <c r="L2153" s="5" t="s">
        <v>25</v>
      </c>
      <c r="M2153" s="7" t="str">
        <f>VLOOKUP(A2153,Sheet2!$A$2:$R$3432,5,0)</f>
        <v>MH14CE3147</v>
      </c>
      <c r="N2153" s="5" t="s">
        <v>25</v>
      </c>
      <c r="O2153" s="5" t="s">
        <v>25</v>
      </c>
      <c r="P2153" s="6" t="s">
        <v>25</v>
      </c>
      <c r="Q2153" s="5" t="s">
        <v>25</v>
      </c>
      <c r="R2153" s="5" t="s">
        <v>25</v>
      </c>
      <c r="S2153" s="5" t="str">
        <f>VLOOKUP(A2153,Sheet2!$A$2:$R$3432,18,0)</f>
        <v>JF16ETG15919</v>
      </c>
      <c r="T2153" s="7" t="str">
        <f>VLOOKUP(A2153,Sheet2!$A$2:$R$3432,17,0)</f>
        <v>MBLJF16EDAGF12789</v>
      </c>
    </row>
    <row r="2154" ht="15.75" customHeight="1">
      <c r="A2154" s="3" t="s">
        <v>2177</v>
      </c>
      <c r="B2154" s="4" t="str">
        <f>VLOOKUP(A2154,Sheet2!$A$2:$R$3432,2,0)</f>
        <v>2024-10-07 19:54:24</v>
      </c>
      <c r="C2154" s="5" t="s">
        <v>25</v>
      </c>
      <c r="D2154" s="6" t="s">
        <v>25</v>
      </c>
      <c r="E2154" s="7">
        <f>VLOOKUP(A2154,Sheet2!$A$2:$R$3432,4,0)</f>
        <v>9764696387</v>
      </c>
      <c r="F2154" s="7" t="str">
        <f>VLOOKUP(A2154,Sheet2!$A$2:$R$3432,3,0)</f>
        <v>Sangram Sathe</v>
      </c>
      <c r="G2154" s="5" t="s">
        <v>25</v>
      </c>
      <c r="H2154" s="5" t="s">
        <v>25</v>
      </c>
      <c r="I2154" s="5" t="s">
        <v>25</v>
      </c>
      <c r="J2154" s="5" t="s">
        <v>25</v>
      </c>
      <c r="K2154" s="7" t="str">
        <f>VLOOKUP(A2154,Sheet2!$A$2:$R$3432,6,0)</f>
        <v>TVS Jupiter </v>
      </c>
      <c r="L2154" s="5" t="s">
        <v>25</v>
      </c>
      <c r="M2154" s="7" t="str">
        <f>VLOOKUP(A2154,Sheet2!$A$2:$R$3432,5,0)</f>
        <v>MH14HT0800</v>
      </c>
      <c r="N2154" s="5" t="s">
        <v>25</v>
      </c>
      <c r="O2154" s="5" t="s">
        <v>25</v>
      </c>
      <c r="P2154" s="6" t="s">
        <v>25</v>
      </c>
      <c r="Q2154" s="5" t="s">
        <v>25</v>
      </c>
      <c r="R2154" s="5" t="s">
        <v>25</v>
      </c>
      <c r="S2154" s="7" t="str">
        <f>VLOOKUP(A2154,Sheet2!$A$2:$R$3432,18,0)</f>
        <v/>
      </c>
      <c r="T2154" s="7" t="str">
        <f>VLOOKUP(A2154,Sheet2!$A$2:$R$3432,17,0)</f>
        <v>MD626EG4XK1H37339</v>
      </c>
    </row>
    <row r="2155" ht="15.75" customHeight="1">
      <c r="A2155" s="3" t="s">
        <v>2178</v>
      </c>
      <c r="B2155" s="4" t="str">
        <f>VLOOKUP(A2155,Sheet2!$A$2:$R$3432,2,0)</f>
        <v>2024-10-07 19:54:54</v>
      </c>
      <c r="C2155" s="5" t="s">
        <v>25</v>
      </c>
      <c r="D2155" s="6" t="s">
        <v>25</v>
      </c>
      <c r="E2155" s="7">
        <f>VLOOKUP(A2155,Sheet2!$A$2:$R$3432,4,0)</f>
        <v>9764696387</v>
      </c>
      <c r="F2155" s="7" t="str">
        <f>VLOOKUP(A2155,Sheet2!$A$2:$R$3432,3,0)</f>
        <v>Sangram Sathe</v>
      </c>
      <c r="G2155" s="5" t="s">
        <v>25</v>
      </c>
      <c r="H2155" s="5" t="s">
        <v>25</v>
      </c>
      <c r="I2155" s="5" t="s">
        <v>25</v>
      </c>
      <c r="J2155" s="5" t="s">
        <v>25</v>
      </c>
      <c r="K2155" s="7" t="str">
        <f>VLOOKUP(A2155,Sheet2!$A$2:$R$3432,6,0)</f>
        <v>Honda Activa 5G</v>
      </c>
      <c r="L2155" s="5" t="s">
        <v>25</v>
      </c>
      <c r="M2155" s="7" t="str">
        <f>VLOOKUP(A2155,Sheet2!$A$2:$R$3432,5,0)</f>
        <v>MH14HP9561</v>
      </c>
      <c r="N2155" s="5" t="s">
        <v>25</v>
      </c>
      <c r="O2155" s="5" t="s">
        <v>25</v>
      </c>
      <c r="P2155" s="6" t="s">
        <v>25</v>
      </c>
      <c r="Q2155" s="5" t="s">
        <v>25</v>
      </c>
      <c r="R2155" s="5" t="s">
        <v>25</v>
      </c>
      <c r="S2155" s="7" t="str">
        <f>VLOOKUP(A2155,Sheet2!$A$2:$R$3432,18,0)</f>
        <v/>
      </c>
      <c r="T2155" s="7" t="str">
        <f>VLOOKUP(A2155,Sheet2!$A$2:$R$3432,17,0)</f>
        <v>ME4JF50BEW008206</v>
      </c>
    </row>
    <row r="2156" ht="15.75" customHeight="1">
      <c r="A2156" s="3" t="s">
        <v>2179</v>
      </c>
      <c r="B2156" s="4" t="str">
        <f>VLOOKUP(A2156,Sheet2!$A$2:$R$3432,2,0)</f>
        <v>2024-10-07 19:55:29</v>
      </c>
      <c r="C2156" s="5" t="s">
        <v>25</v>
      </c>
      <c r="D2156" s="6" t="s">
        <v>25</v>
      </c>
      <c r="E2156" s="7">
        <f>VLOOKUP(A2156,Sheet2!$A$2:$R$3432,4,0)</f>
        <v>8806520897</v>
      </c>
      <c r="F2156" s="7" t="str">
        <f>VLOOKUP(A2156,Sheet2!$A$2:$R$3432,3,0)</f>
        <v>Bhushan Mhetre</v>
      </c>
      <c r="G2156" s="5" t="s">
        <v>25</v>
      </c>
      <c r="H2156" s="5" t="s">
        <v>25</v>
      </c>
      <c r="I2156" s="5" t="s">
        <v>25</v>
      </c>
      <c r="J2156" s="5" t="s">
        <v>25</v>
      </c>
      <c r="K2156" s="7" t="str">
        <f>VLOOKUP(A2156,Sheet2!$A$2:$R$3432,6,0)</f>
        <v>Hero Passion Plus</v>
      </c>
      <c r="L2156" s="5" t="s">
        <v>25</v>
      </c>
      <c r="M2156" s="7" t="str">
        <f>VLOOKUP(A2156,Sheet2!$A$2:$R$3432,5,0)</f>
        <v>MH48L878</v>
      </c>
      <c r="N2156" s="5" t="s">
        <v>25</v>
      </c>
      <c r="O2156" s="5" t="s">
        <v>25</v>
      </c>
      <c r="P2156" s="6" t="s">
        <v>25</v>
      </c>
      <c r="Q2156" s="5" t="s">
        <v>25</v>
      </c>
      <c r="R2156" s="5" t="s">
        <v>25</v>
      </c>
      <c r="S2156" s="7" t="str">
        <f>VLOOKUP(A2156,Sheet2!$A$2:$R$3432,18,0)</f>
        <v/>
      </c>
      <c r="T2156" s="7" t="str">
        <f>VLOOKUP(A2156,Sheet2!$A$2:$R$3432,17,0)</f>
        <v/>
      </c>
    </row>
    <row r="2157" ht="15.75" customHeight="1">
      <c r="A2157" s="3" t="s">
        <v>2180</v>
      </c>
      <c r="B2157" s="4" t="str">
        <f>VLOOKUP(A2157,Sheet2!$A$2:$R$3432,2,0)</f>
        <v>2024-10-07 20:00:09</v>
      </c>
      <c r="C2157" s="5" t="s">
        <v>25</v>
      </c>
      <c r="D2157" s="6" t="s">
        <v>25</v>
      </c>
      <c r="E2157" s="7">
        <f>VLOOKUP(A2157,Sheet2!$A$2:$R$3432,4,0)</f>
        <v>7499397684</v>
      </c>
      <c r="F2157" s="7" t="str">
        <f>VLOOKUP(A2157,Sheet2!$A$2:$R$3432,3,0)</f>
        <v>YOGESH</v>
      </c>
      <c r="G2157" s="5" t="s">
        <v>25</v>
      </c>
      <c r="H2157" s="5" t="s">
        <v>25</v>
      </c>
      <c r="I2157" s="5" t="s">
        <v>25</v>
      </c>
      <c r="J2157" s="5" t="s">
        <v>25</v>
      </c>
      <c r="K2157" s="7" t="str">
        <f>VLOOKUP(A2157,Sheet2!$A$2:$R$3432,6,0)</f>
        <v>Yamaha FZ 25</v>
      </c>
      <c r="L2157" s="5" t="s">
        <v>25</v>
      </c>
      <c r="M2157" s="7" t="str">
        <f>VLOOKUP(A2157,Sheet2!$A$2:$R$3432,5,0)</f>
        <v>MH15GQ4182</v>
      </c>
      <c r="N2157" s="5" t="s">
        <v>25</v>
      </c>
      <c r="O2157" s="5" t="s">
        <v>25</v>
      </c>
      <c r="P2157" s="6" t="s">
        <v>25</v>
      </c>
      <c r="Q2157" s="5" t="s">
        <v>25</v>
      </c>
      <c r="R2157" s="5" t="s">
        <v>25</v>
      </c>
      <c r="S2157" s="5" t="str">
        <f>VLOOKUP(A2157,Sheet2!$A$2:$R$3432,18,0)</f>
        <v>G3H7E0070654</v>
      </c>
      <c r="T2157" s="7" t="str">
        <f>VLOOKUP(A2157,Sheet2!$A$2:$R$3432,17,0)</f>
        <v>ME1RG4218J0044491</v>
      </c>
    </row>
    <row r="2158" ht="15.75" customHeight="1">
      <c r="A2158" s="3" t="s">
        <v>2181</v>
      </c>
      <c r="B2158" s="4" t="str">
        <f>VLOOKUP(A2158,Sheet2!$A$2:$R$3432,2,0)</f>
        <v>2024-10-07 20:00:24</v>
      </c>
      <c r="C2158" s="5" t="s">
        <v>25</v>
      </c>
      <c r="D2158" s="6" t="s">
        <v>25</v>
      </c>
      <c r="E2158" s="7">
        <f>VLOOKUP(A2158,Sheet2!$A$2:$R$3432,4,0)</f>
        <v>9405371391</v>
      </c>
      <c r="F2158" s="7" t="str">
        <f>VLOOKUP(A2158,Sheet2!$A$2:$R$3432,3,0)</f>
        <v>PAWAN BANG</v>
      </c>
      <c r="G2158" s="5" t="s">
        <v>25</v>
      </c>
      <c r="H2158" s="5" t="s">
        <v>25</v>
      </c>
      <c r="I2158" s="5" t="s">
        <v>25</v>
      </c>
      <c r="J2158" s="5" t="s">
        <v>25</v>
      </c>
      <c r="K2158" s="7" t="str">
        <f>VLOOKUP(A2158,Sheet2!$A$2:$R$3432,6,0)</f>
        <v>Bajaj Pulsar 125</v>
      </c>
      <c r="L2158" s="5" t="s">
        <v>25</v>
      </c>
      <c r="M2158" s="7" t="str">
        <f>VLOOKUP(A2158,Sheet2!$A$2:$R$3432,5,0)</f>
        <v>MH12SN4113</v>
      </c>
      <c r="N2158" s="5" t="s">
        <v>25</v>
      </c>
      <c r="O2158" s="5" t="s">
        <v>25</v>
      </c>
      <c r="P2158" s="6" t="s">
        <v>25</v>
      </c>
      <c r="Q2158" s="5" t="s">
        <v>25</v>
      </c>
      <c r="R2158" s="5" t="s">
        <v>25</v>
      </c>
      <c r="S2158" s="5" t="str">
        <f>VLOOKUP(A2158,Sheet2!$A$2:$R$3432,18,0)</f>
        <v>DHYWLK06032</v>
      </c>
      <c r="T2158" s="7" t="str">
        <f>VLOOKUP(A2158,Sheet2!$A$2:$R$3432,17,0)</f>
        <v>MD2B64BY5LWK06895</v>
      </c>
    </row>
    <row r="2159" ht="15.75" customHeight="1">
      <c r="A2159" s="3" t="s">
        <v>2182</v>
      </c>
      <c r="B2159" s="4" t="str">
        <f>VLOOKUP(A2159,Sheet2!$A$2:$R$3432,2,0)</f>
        <v>2024-10-07 20:38:48</v>
      </c>
      <c r="C2159" s="5" t="s">
        <v>25</v>
      </c>
      <c r="D2159" s="6" t="s">
        <v>25</v>
      </c>
      <c r="E2159" s="7">
        <f>VLOOKUP(A2159,Sheet2!$A$2:$R$3432,4,0)</f>
        <v>7879693948</v>
      </c>
      <c r="F2159" s="7" t="str">
        <f>VLOOKUP(A2159,Sheet2!$A$2:$R$3432,3,0)</f>
        <v>DEVRAJ SHINDE </v>
      </c>
      <c r="G2159" s="5" t="s">
        <v>25</v>
      </c>
      <c r="H2159" s="5" t="s">
        <v>25</v>
      </c>
      <c r="I2159" s="5" t="s">
        <v>25</v>
      </c>
      <c r="J2159" s="5" t="s">
        <v>25</v>
      </c>
      <c r="K2159" s="7" t="str">
        <f>VLOOKUP(A2159,Sheet2!$A$2:$R$3432,6,0)</f>
        <v>Honda Dio New</v>
      </c>
      <c r="L2159" s="5" t="s">
        <v>25</v>
      </c>
      <c r="M2159" s="7" t="str">
        <f>VLOOKUP(A2159,Sheet2!$A$2:$R$3432,5,0)</f>
        <v>MH14GK4851</v>
      </c>
      <c r="N2159" s="5" t="s">
        <v>25</v>
      </c>
      <c r="O2159" s="5" t="s">
        <v>25</v>
      </c>
      <c r="P2159" s="6" t="s">
        <v>25</v>
      </c>
      <c r="Q2159" s="5" t="s">
        <v>25</v>
      </c>
      <c r="R2159" s="5" t="s">
        <v>25</v>
      </c>
      <c r="S2159" s="7" t="str">
        <f>VLOOKUP(A2159,Sheet2!$A$2:$R$3432,18,0)</f>
        <v/>
      </c>
      <c r="T2159" s="7" t="str">
        <f>VLOOKUP(A2159,Sheet2!$A$2:$R$3432,17,0)</f>
        <v/>
      </c>
    </row>
    <row r="2160" ht="15.75" customHeight="1">
      <c r="A2160" s="3" t="s">
        <v>2183</v>
      </c>
      <c r="B2160" s="4" t="str">
        <f>VLOOKUP(A2160,Sheet2!$A$2:$R$3432,2,0)</f>
        <v>2024-09-08 12:27:41</v>
      </c>
      <c r="C2160" s="5" t="s">
        <v>25</v>
      </c>
      <c r="D2160" s="6" t="s">
        <v>25</v>
      </c>
      <c r="E2160" s="7">
        <f>VLOOKUP(A2160,Sheet2!$A$2:$R$3432,4,0)</f>
        <v>8888951966</v>
      </c>
      <c r="F2160" s="7" t="str">
        <f>VLOOKUP(A2160,Sheet2!$A$2:$R$3432,3,0)</f>
        <v>Sanjay Dhanshetty</v>
      </c>
      <c r="G2160" s="5" t="s">
        <v>25</v>
      </c>
      <c r="H2160" s="5" t="s">
        <v>25</v>
      </c>
      <c r="I2160" s="5" t="s">
        <v>25</v>
      </c>
      <c r="J2160" s="5" t="s">
        <v>25</v>
      </c>
      <c r="K2160" s="7" t="str">
        <f>VLOOKUP(A2160,Sheet2!$A$2:$R$3432,6,0)</f>
        <v>Honda Shine 125</v>
      </c>
      <c r="L2160" s="5" t="s">
        <v>25</v>
      </c>
      <c r="M2160" s="7" t="str">
        <f>VLOOKUP(A2160,Sheet2!$A$2:$R$3432,5,0)</f>
        <v>MH12HS9933</v>
      </c>
      <c r="N2160" s="5" t="s">
        <v>25</v>
      </c>
      <c r="O2160" s="5" t="s">
        <v>25</v>
      </c>
      <c r="P2160" s="6" t="s">
        <v>25</v>
      </c>
      <c r="Q2160" s="5" t="s">
        <v>25</v>
      </c>
      <c r="R2160" s="5" t="s">
        <v>25</v>
      </c>
      <c r="S2160" s="7" t="str">
        <f>VLOOKUP(A2160,Sheet2!$A$2:$R$3432,18,0)</f>
        <v/>
      </c>
      <c r="T2160" s="7" t="str">
        <f>VLOOKUP(A2160,Sheet2!$A$2:$R$3432,17,0)</f>
        <v/>
      </c>
    </row>
    <row r="2161" ht="15.75" customHeight="1">
      <c r="A2161" s="3" t="s">
        <v>2184</v>
      </c>
      <c r="B2161" s="4" t="str">
        <f>VLOOKUP(A2161,Sheet2!$A$2:$R$3432,2,0)</f>
        <v>2024-09-08 20:48:12</v>
      </c>
      <c r="C2161" s="5" t="s">
        <v>25</v>
      </c>
      <c r="D2161" s="6" t="s">
        <v>25</v>
      </c>
      <c r="E2161" s="7">
        <f>VLOOKUP(A2161,Sheet2!$A$2:$R$3432,4,0)</f>
        <v>9179501644</v>
      </c>
      <c r="F2161" s="7" t="str">
        <f>VLOOKUP(A2161,Sheet2!$A$2:$R$3432,3,0)</f>
        <v>Rahul</v>
      </c>
      <c r="G2161" s="5" t="s">
        <v>25</v>
      </c>
      <c r="H2161" s="5" t="s">
        <v>25</v>
      </c>
      <c r="I2161" s="5" t="s">
        <v>25</v>
      </c>
      <c r="J2161" s="5" t="s">
        <v>25</v>
      </c>
      <c r="K2161" s="7" t="str">
        <f>VLOOKUP(A2161,Sheet2!$A$2:$R$3432,6,0)</f>
        <v>Honda SP 125 Drum</v>
      </c>
      <c r="L2161" s="5" t="s">
        <v>25</v>
      </c>
      <c r="M2161" s="7" t="str">
        <f>VLOOKUP(A2161,Sheet2!$A$2:$R$3432,5,0)</f>
        <v>MH14LD1411</v>
      </c>
      <c r="N2161" s="5" t="s">
        <v>25</v>
      </c>
      <c r="O2161" s="5" t="s">
        <v>25</v>
      </c>
      <c r="P2161" s="6" t="s">
        <v>25</v>
      </c>
      <c r="Q2161" s="5" t="s">
        <v>25</v>
      </c>
      <c r="R2161" s="5" t="s">
        <v>25</v>
      </c>
      <c r="S2161" s="7" t="str">
        <f>VLOOKUP(A2161,Sheet2!$A$2:$R$3432,18,0)</f>
        <v/>
      </c>
      <c r="T2161" s="7" t="str">
        <f>VLOOKUP(A2161,Sheet2!$A$2:$R$3432,17,0)</f>
        <v/>
      </c>
    </row>
    <row r="2162" ht="15.75" customHeight="1">
      <c r="A2162" s="3" t="s">
        <v>2185</v>
      </c>
      <c r="B2162" s="4" t="str">
        <f>VLOOKUP(A2162,Sheet2!$A$2:$R$3432,2,0)</f>
        <v>2024-09-08 20:49:15</v>
      </c>
      <c r="C2162" s="5" t="s">
        <v>25</v>
      </c>
      <c r="D2162" s="6" t="s">
        <v>25</v>
      </c>
      <c r="E2162" s="7">
        <f>VLOOKUP(A2162,Sheet2!$A$2:$R$3432,4,0)</f>
        <v>8888940974</v>
      </c>
      <c r="F2162" s="7" t="str">
        <f>VLOOKUP(A2162,Sheet2!$A$2:$R$3432,3,0)</f>
        <v>Satyajit Shinde </v>
      </c>
      <c r="G2162" s="5" t="s">
        <v>25</v>
      </c>
      <c r="H2162" s="5" t="s">
        <v>25</v>
      </c>
      <c r="I2162" s="5" t="s">
        <v>25</v>
      </c>
      <c r="J2162" s="5" t="s">
        <v>25</v>
      </c>
      <c r="K2162" s="7" t="str">
        <f>VLOOKUP(A2162,Sheet2!$A$2:$R$3432,6,0)</f>
        <v>Hero Splendor Plus</v>
      </c>
      <c r="L2162" s="5" t="s">
        <v>25</v>
      </c>
      <c r="M2162" s="7" t="str">
        <f>VLOOKUP(A2162,Sheet2!$A$2:$R$3432,5,0)</f>
        <v>MH09FR7672</v>
      </c>
      <c r="N2162" s="5" t="s">
        <v>25</v>
      </c>
      <c r="O2162" s="5" t="s">
        <v>25</v>
      </c>
      <c r="P2162" s="6" t="s">
        <v>25</v>
      </c>
      <c r="Q2162" s="5" t="s">
        <v>25</v>
      </c>
      <c r="R2162" s="5" t="s">
        <v>25</v>
      </c>
      <c r="S2162" s="7" t="str">
        <f>VLOOKUP(A2162,Sheet2!$A$2:$R$3432,18,0)</f>
        <v/>
      </c>
      <c r="T2162" s="7" t="str">
        <f>VLOOKUP(A2162,Sheet2!$A$2:$R$3432,17,0)</f>
        <v/>
      </c>
    </row>
    <row r="2163" ht="15.75" customHeight="1">
      <c r="A2163" s="3" t="s">
        <v>2186</v>
      </c>
      <c r="B2163" s="4" t="str">
        <f>VLOOKUP(A2163,Sheet2!$A$2:$R$3432,2,0)</f>
        <v>2024-09-08 20:47:55</v>
      </c>
      <c r="C2163" s="5" t="s">
        <v>25</v>
      </c>
      <c r="D2163" s="6" t="s">
        <v>25</v>
      </c>
      <c r="E2163" s="7">
        <f>VLOOKUP(A2163,Sheet2!$A$2:$R$3432,4,0)</f>
        <v>9765552699</v>
      </c>
      <c r="F2163" s="7" t="str">
        <f>VLOOKUP(A2163,Sheet2!$A$2:$R$3432,3,0)</f>
        <v>Ankit Gupta </v>
      </c>
      <c r="G2163" s="5" t="s">
        <v>25</v>
      </c>
      <c r="H2163" s="5" t="s">
        <v>25</v>
      </c>
      <c r="I2163" s="5" t="s">
        <v>25</v>
      </c>
      <c r="J2163" s="5" t="s">
        <v>25</v>
      </c>
      <c r="K2163" s="7" t="str">
        <f>VLOOKUP(A2163,Sheet2!$A$2:$R$3432,6,0)</f>
        <v>Yamaha FZ 1</v>
      </c>
      <c r="L2163" s="5" t="s">
        <v>25</v>
      </c>
      <c r="M2163" s="7" t="str">
        <f>VLOOKUP(A2163,Sheet2!$A$2:$R$3432,5,0)</f>
        <v>MH05BZ2152</v>
      </c>
      <c r="N2163" s="5" t="s">
        <v>25</v>
      </c>
      <c r="O2163" s="5" t="s">
        <v>25</v>
      </c>
      <c r="P2163" s="6" t="s">
        <v>25</v>
      </c>
      <c r="Q2163" s="5" t="s">
        <v>25</v>
      </c>
      <c r="R2163" s="5" t="s">
        <v>25</v>
      </c>
      <c r="S2163" s="5" t="str">
        <f>VLOOKUP(A2163,Sheet2!$A$2:$R$3432,18,0)</f>
        <v>21CH061613</v>
      </c>
      <c r="T2163" s="7" t="str">
        <f>VLOOKUP(A2163,Sheet2!$A$2:$R$3432,17,0)</f>
        <v>21COH1E2061480</v>
      </c>
    </row>
    <row r="2164" ht="15.75" customHeight="1">
      <c r="A2164" s="3" t="s">
        <v>2187</v>
      </c>
      <c r="B2164" s="4" t="str">
        <f>VLOOKUP(A2164,Sheet2!$A$2:$R$3432,2,0)</f>
        <v>2024-09-08 20:43:57</v>
      </c>
      <c r="C2164" s="5" t="s">
        <v>25</v>
      </c>
      <c r="D2164" s="6" t="s">
        <v>25</v>
      </c>
      <c r="E2164" s="7">
        <f>VLOOKUP(A2164,Sheet2!$A$2:$R$3432,4,0)</f>
        <v>9687344466</v>
      </c>
      <c r="F2164" s="7" t="str">
        <f>VLOOKUP(A2164,Sheet2!$A$2:$R$3432,3,0)</f>
        <v>Mahendra Yadav</v>
      </c>
      <c r="G2164" s="5" t="s">
        <v>25</v>
      </c>
      <c r="H2164" s="5" t="s">
        <v>25</v>
      </c>
      <c r="I2164" s="5" t="s">
        <v>25</v>
      </c>
      <c r="J2164" s="5" t="s">
        <v>25</v>
      </c>
      <c r="K2164" s="7" t="str">
        <f>VLOOKUP(A2164,Sheet2!$A$2:$R$3432,6,0)</f>
        <v>Yezdi Scrambler Single Tone</v>
      </c>
      <c r="L2164" s="5" t="s">
        <v>25</v>
      </c>
      <c r="M2164" s="7" t="str">
        <f>VLOOKUP(A2164,Sheet2!$A$2:$R$3432,5,0)</f>
        <v>MH14KV9577</v>
      </c>
      <c r="N2164" s="5" t="s">
        <v>25</v>
      </c>
      <c r="O2164" s="5" t="s">
        <v>25</v>
      </c>
      <c r="P2164" s="6" t="s">
        <v>25</v>
      </c>
      <c r="Q2164" s="5" t="s">
        <v>25</v>
      </c>
      <c r="R2164" s="5" t="s">
        <v>25</v>
      </c>
      <c r="S2164" s="7" t="str">
        <f>VLOOKUP(A2164,Sheet2!$A$2:$R$3432,18,0)</f>
        <v/>
      </c>
      <c r="T2164" s="7" t="str">
        <f>VLOOKUP(A2164,Sheet2!$A$2:$R$3432,17,0)</f>
        <v/>
      </c>
    </row>
    <row r="2165" ht="15.75" customHeight="1">
      <c r="A2165" s="3" t="s">
        <v>2188</v>
      </c>
      <c r="B2165" s="4" t="str">
        <f>VLOOKUP(A2165,Sheet2!$A$2:$R$3432,2,0)</f>
        <v>2024-09-08 20:45:24</v>
      </c>
      <c r="C2165" s="5" t="s">
        <v>25</v>
      </c>
      <c r="D2165" s="6" t="s">
        <v>25</v>
      </c>
      <c r="E2165" s="7">
        <f>VLOOKUP(A2165,Sheet2!$A$2:$R$3432,4,0)</f>
        <v>8983055137</v>
      </c>
      <c r="F2165" s="7" t="str">
        <f>VLOOKUP(A2165,Sheet2!$A$2:$R$3432,3,0)</f>
        <v>SURVE</v>
      </c>
      <c r="G2165" s="5" t="s">
        <v>25</v>
      </c>
      <c r="H2165" s="5" t="s">
        <v>25</v>
      </c>
      <c r="I2165" s="5" t="s">
        <v>25</v>
      </c>
      <c r="J2165" s="5" t="s">
        <v>25</v>
      </c>
      <c r="K2165" s="7" t="str">
        <f>VLOOKUP(A2165,Sheet2!$A$2:$R$3432,6,0)</f>
        <v>Honda Activa 125</v>
      </c>
      <c r="L2165" s="5" t="s">
        <v>25</v>
      </c>
      <c r="M2165" s="7" t="str">
        <f>VLOOKUP(A2165,Sheet2!$A$2:$R$3432,5,0)</f>
        <v>MH14FJ0768</v>
      </c>
      <c r="N2165" s="5" t="s">
        <v>25</v>
      </c>
      <c r="O2165" s="5" t="s">
        <v>25</v>
      </c>
      <c r="P2165" s="6" t="s">
        <v>25</v>
      </c>
      <c r="Q2165" s="5" t="s">
        <v>25</v>
      </c>
      <c r="R2165" s="5" t="s">
        <v>25</v>
      </c>
      <c r="S2165" s="5" t="str">
        <f>VLOOKUP(A2165,Sheet2!$A$2:$R$3432,18,0)</f>
        <v>JG49E81105576</v>
      </c>
      <c r="T2165" s="7" t="str">
        <f>VLOOKUP(A2165,Sheet2!$A$2:$R$3432,17,0)</f>
        <v>MEJ6493LG8091338</v>
      </c>
    </row>
    <row r="2166" ht="15.75" customHeight="1">
      <c r="A2166" s="3" t="s">
        <v>2189</v>
      </c>
      <c r="B2166" s="4" t="str">
        <f>VLOOKUP(A2166,Sheet2!$A$2:$R$3432,2,0)</f>
        <v>2024-09-08 20:41:22</v>
      </c>
      <c r="C2166" s="5" t="s">
        <v>25</v>
      </c>
      <c r="D2166" s="6" t="s">
        <v>25</v>
      </c>
      <c r="E2166" s="7">
        <f>VLOOKUP(A2166,Sheet2!$A$2:$R$3432,4,0)</f>
        <v>9762174485</v>
      </c>
      <c r="F2166" s="7" t="str">
        <f>VLOOKUP(A2166,Sheet2!$A$2:$R$3432,3,0)</f>
        <v>Pankaj Patil</v>
      </c>
      <c r="G2166" s="5" t="s">
        <v>25</v>
      </c>
      <c r="H2166" s="5" t="s">
        <v>25</v>
      </c>
      <c r="I2166" s="5" t="s">
        <v>25</v>
      </c>
      <c r="J2166" s="5" t="s">
        <v>25</v>
      </c>
      <c r="K2166" s="7" t="str">
        <f>VLOOKUP(A2166,Sheet2!$A$2:$R$3432,6,0)</f>
        <v>Honda Unicorn 150</v>
      </c>
      <c r="L2166" s="5" t="s">
        <v>25</v>
      </c>
      <c r="M2166" s="7" t="str">
        <f>VLOOKUP(A2166,Sheet2!$A$2:$R$3432,5,0)</f>
        <v>MH14DU2660</v>
      </c>
      <c r="N2166" s="5" t="s">
        <v>25</v>
      </c>
      <c r="O2166" s="5" t="s">
        <v>25</v>
      </c>
      <c r="P2166" s="6" t="s">
        <v>25</v>
      </c>
      <c r="Q2166" s="5" t="s">
        <v>25</v>
      </c>
      <c r="R2166" s="5" t="s">
        <v>25</v>
      </c>
      <c r="S2166" s="5" t="str">
        <f>VLOOKUP(A2166,Sheet2!$A$2:$R$3432,18,0)</f>
        <v>KC09E6400291</v>
      </c>
      <c r="T2166" s="7" t="str">
        <f>VLOOKUP(A2166,Sheet2!$A$2:$R$3432,17,0)</f>
        <v>ME4KC09CMC8392440</v>
      </c>
    </row>
    <row r="2167" ht="15.75" customHeight="1">
      <c r="A2167" s="3" t="s">
        <v>2190</v>
      </c>
      <c r="B2167" s="4" t="str">
        <f>VLOOKUP(A2167,Sheet2!$A$2:$R$3432,2,0)</f>
        <v>2024-09-08 20:42:10</v>
      </c>
      <c r="C2167" s="5" t="s">
        <v>25</v>
      </c>
      <c r="D2167" s="6" t="s">
        <v>25</v>
      </c>
      <c r="E2167" s="7">
        <f>VLOOKUP(A2167,Sheet2!$A$2:$R$3432,4,0)</f>
        <v>9689788100</v>
      </c>
      <c r="F2167" s="7" t="str">
        <f>VLOOKUP(A2167,Sheet2!$A$2:$R$3432,3,0)</f>
        <v>Anu Dharade</v>
      </c>
      <c r="G2167" s="5" t="s">
        <v>25</v>
      </c>
      <c r="H2167" s="5" t="s">
        <v>25</v>
      </c>
      <c r="I2167" s="5" t="s">
        <v>25</v>
      </c>
      <c r="J2167" s="5" t="s">
        <v>25</v>
      </c>
      <c r="K2167" s="7" t="str">
        <f>VLOOKUP(A2167,Sheet2!$A$2:$R$3432,6,0)</f>
        <v>Honda Activa 3G</v>
      </c>
      <c r="L2167" s="5" t="s">
        <v>25</v>
      </c>
      <c r="M2167" s="7" t="str">
        <f>VLOOKUP(A2167,Sheet2!$A$2:$R$3432,5,0)</f>
        <v>MH14FE1337</v>
      </c>
      <c r="N2167" s="5" t="s">
        <v>25</v>
      </c>
      <c r="O2167" s="5" t="s">
        <v>25</v>
      </c>
      <c r="P2167" s="6" t="s">
        <v>25</v>
      </c>
      <c r="Q2167" s="5" t="s">
        <v>25</v>
      </c>
      <c r="R2167" s="5" t="s">
        <v>25</v>
      </c>
      <c r="S2167" s="5" t="str">
        <f>VLOOKUP(A2167,Sheet2!$A$2:$R$3432,18,0)</f>
        <v>JF50E82234295</v>
      </c>
      <c r="T2167" s="7" t="str">
        <f>VLOOKUP(A2167,Sheet2!$A$2:$R$3432,17,0)</f>
        <v>ME4JF504HF8234619</v>
      </c>
    </row>
    <row r="2168" ht="15.75" customHeight="1">
      <c r="A2168" s="3" t="s">
        <v>2191</v>
      </c>
      <c r="B2168" s="4" t="str">
        <f>VLOOKUP(A2168,Sheet2!$A$2:$R$3432,2,0)</f>
        <v>2024-09-08 20:43:28</v>
      </c>
      <c r="C2168" s="5" t="s">
        <v>25</v>
      </c>
      <c r="D2168" s="6" t="s">
        <v>25</v>
      </c>
      <c r="E2168" s="7">
        <f>VLOOKUP(A2168,Sheet2!$A$2:$R$3432,4,0)</f>
        <v>9130009098</v>
      </c>
      <c r="F2168" s="7" t="str">
        <f>VLOOKUP(A2168,Sheet2!$A$2:$R$3432,3,0)</f>
        <v>Manorama Gadge</v>
      </c>
      <c r="G2168" s="5" t="s">
        <v>25</v>
      </c>
      <c r="H2168" s="5" t="s">
        <v>25</v>
      </c>
      <c r="I2168" s="5" t="s">
        <v>25</v>
      </c>
      <c r="J2168" s="5" t="s">
        <v>25</v>
      </c>
      <c r="K2168" s="7" t="str">
        <f>VLOOKUP(A2168,Sheet2!$A$2:$R$3432,6,0)</f>
        <v>Honda Activa 5G</v>
      </c>
      <c r="L2168" s="5" t="s">
        <v>25</v>
      </c>
      <c r="M2168" s="7" t="str">
        <f>VLOOKUP(A2168,Sheet2!$A$2:$R$3432,5,0)</f>
        <v>MH14FZ4214</v>
      </c>
      <c r="N2168" s="5" t="s">
        <v>25</v>
      </c>
      <c r="O2168" s="5" t="s">
        <v>25</v>
      </c>
      <c r="P2168" s="6" t="s">
        <v>25</v>
      </c>
      <c r="Q2168" s="5" t="s">
        <v>25</v>
      </c>
      <c r="R2168" s="5" t="s">
        <v>25</v>
      </c>
      <c r="S2168" s="5" t="str">
        <f>VLOOKUP(A2168,Sheet2!$A$2:$R$3432,18,0)</f>
        <v>JFS0ET6089714X</v>
      </c>
      <c r="T2168" s="7" t="str">
        <f>VLOOKUP(A2168,Sheet2!$A$2:$R$3432,17,0)</f>
        <v>ME4JFS09MGT089401</v>
      </c>
    </row>
    <row r="2169" ht="15.75" customHeight="1">
      <c r="A2169" s="3" t="s">
        <v>2192</v>
      </c>
      <c r="B2169" s="4" t="str">
        <f>VLOOKUP(A2169,Sheet2!$A$2:$R$3432,2,0)</f>
        <v>2024-09-08 20:44:59</v>
      </c>
      <c r="C2169" s="5" t="s">
        <v>25</v>
      </c>
      <c r="D2169" s="6" t="s">
        <v>25</v>
      </c>
      <c r="E2169" s="7">
        <f>VLOOKUP(A2169,Sheet2!$A$2:$R$3432,4,0)</f>
        <v>9890611800</v>
      </c>
      <c r="F2169" s="7" t="str">
        <f>VLOOKUP(A2169,Sheet2!$A$2:$R$3432,3,0)</f>
        <v>SHISHIR VAIDYA</v>
      </c>
      <c r="G2169" s="5" t="s">
        <v>25</v>
      </c>
      <c r="H2169" s="5" t="s">
        <v>25</v>
      </c>
      <c r="I2169" s="5" t="s">
        <v>25</v>
      </c>
      <c r="J2169" s="5" t="s">
        <v>25</v>
      </c>
      <c r="K2169" s="7" t="str">
        <f>VLOOKUP(A2169,Sheet2!$A$2:$R$3432,6,0)</f>
        <v>Honda Activa 3G</v>
      </c>
      <c r="L2169" s="5" t="s">
        <v>25</v>
      </c>
      <c r="M2169" s="7" t="str">
        <f>VLOOKUP(A2169,Sheet2!$A$2:$R$3432,5,0)</f>
        <v>MH14FE4951</v>
      </c>
      <c r="N2169" s="5" t="s">
        <v>25</v>
      </c>
      <c r="O2169" s="5" t="s">
        <v>25</v>
      </c>
      <c r="P2169" s="6" t="s">
        <v>25</v>
      </c>
      <c r="Q2169" s="5" t="s">
        <v>25</v>
      </c>
      <c r="R2169" s="5" t="s">
        <v>25</v>
      </c>
      <c r="S2169" s="7" t="str">
        <f>VLOOKUP(A2169,Sheet2!$A$2:$R$3432,18,0)</f>
        <v/>
      </c>
      <c r="T2169" s="7" t="str">
        <f>VLOOKUP(A2169,Sheet2!$A$2:$R$3432,17,0)</f>
        <v/>
      </c>
    </row>
    <row r="2170" ht="15.75" customHeight="1">
      <c r="A2170" s="3" t="s">
        <v>2193</v>
      </c>
      <c r="B2170" s="4" t="str">
        <f>VLOOKUP(A2170,Sheet2!$A$2:$R$3432,2,0)</f>
        <v>2024-09-08 20:46:53</v>
      </c>
      <c r="C2170" s="5" t="s">
        <v>25</v>
      </c>
      <c r="D2170" s="6" t="s">
        <v>25</v>
      </c>
      <c r="E2170" s="7">
        <f>VLOOKUP(A2170,Sheet2!$A$2:$R$3432,4,0)</f>
        <v>7798075034</v>
      </c>
      <c r="F2170" s="7" t="str">
        <f>VLOOKUP(A2170,Sheet2!$A$2:$R$3432,3,0)</f>
        <v>Ajinkya Jagdale</v>
      </c>
      <c r="G2170" s="5" t="s">
        <v>25</v>
      </c>
      <c r="H2170" s="5" t="s">
        <v>25</v>
      </c>
      <c r="I2170" s="5" t="s">
        <v>25</v>
      </c>
      <c r="J2170" s="5" t="s">
        <v>25</v>
      </c>
      <c r="K2170" s="7" t="str">
        <f>VLOOKUP(A2170,Sheet2!$A$2:$R$3432,6,0)</f>
        <v>Bajaj Pulsar 220F</v>
      </c>
      <c r="L2170" s="5" t="s">
        <v>25</v>
      </c>
      <c r="M2170" s="7" t="str">
        <f>VLOOKUP(A2170,Sheet2!$A$2:$R$3432,5,0)</f>
        <v>MH20DU2897</v>
      </c>
      <c r="N2170" s="5" t="s">
        <v>25</v>
      </c>
      <c r="O2170" s="5" t="s">
        <v>25</v>
      </c>
      <c r="P2170" s="6" t="s">
        <v>25</v>
      </c>
      <c r="Q2170" s="5" t="s">
        <v>25</v>
      </c>
      <c r="R2170" s="5" t="s">
        <v>25</v>
      </c>
      <c r="S2170" s="7" t="str">
        <f>VLOOKUP(A2170,Sheet2!$A$2:$R$3432,18,0)</f>
        <v/>
      </c>
      <c r="T2170" s="7" t="str">
        <f>VLOOKUP(A2170,Sheet2!$A$2:$R$3432,17,0)</f>
        <v/>
      </c>
    </row>
    <row r="2171" ht="15.75" customHeight="1">
      <c r="A2171" s="3" t="s">
        <v>2194</v>
      </c>
      <c r="B2171" s="4" t="str">
        <f>VLOOKUP(A2171,Sheet2!$A$2:$R$3432,2,0)</f>
        <v>2024-09-08 20:47:15</v>
      </c>
      <c r="C2171" s="5" t="s">
        <v>25</v>
      </c>
      <c r="D2171" s="6" t="s">
        <v>25</v>
      </c>
      <c r="E2171" s="7">
        <f>VLOOKUP(A2171,Sheet2!$A$2:$R$3432,4,0)</f>
        <v>9881103107</v>
      </c>
      <c r="F2171" s="7" t="str">
        <f>VLOOKUP(A2171,Sheet2!$A$2:$R$3432,3,0)</f>
        <v>Pranav Babar</v>
      </c>
      <c r="G2171" s="5" t="s">
        <v>25</v>
      </c>
      <c r="H2171" s="5" t="s">
        <v>25</v>
      </c>
      <c r="I2171" s="5" t="s">
        <v>25</v>
      </c>
      <c r="J2171" s="5" t="s">
        <v>25</v>
      </c>
      <c r="K2171" s="7" t="str">
        <f>VLOOKUP(A2171,Sheet2!$A$2:$R$3432,6,0)</f>
        <v>TVS Jupiter </v>
      </c>
      <c r="L2171" s="5" t="s">
        <v>25</v>
      </c>
      <c r="M2171" s="7" t="str">
        <f>VLOOKUP(A2171,Sheet2!$A$2:$R$3432,5,0)</f>
        <v>MH14HZ3438</v>
      </c>
      <c r="N2171" s="5" t="s">
        <v>25</v>
      </c>
      <c r="O2171" s="5" t="s">
        <v>25</v>
      </c>
      <c r="P2171" s="6" t="s">
        <v>25</v>
      </c>
      <c r="Q2171" s="5" t="s">
        <v>25</v>
      </c>
      <c r="R2171" s="5" t="s">
        <v>25</v>
      </c>
      <c r="S2171" s="5" t="str">
        <f>VLOOKUP(A2171,Sheet2!$A$2:$R$3432,18,0)</f>
        <v>DG4NK01035</v>
      </c>
      <c r="T2171" s="7" t="str">
        <f>VLOOKUP(A2171,Sheet2!$A$2:$R$3432,17,0)</f>
        <v>MD626EG45K3N05863</v>
      </c>
    </row>
    <row r="2172" ht="15.75" customHeight="1">
      <c r="A2172" s="3" t="s">
        <v>2195</v>
      </c>
      <c r="B2172" s="4" t="str">
        <f>VLOOKUP(A2172,Sheet2!$A$2:$R$3432,2,0)</f>
        <v>2024-09-08 20:50:20</v>
      </c>
      <c r="C2172" s="5" t="s">
        <v>25</v>
      </c>
      <c r="D2172" s="6" t="s">
        <v>25</v>
      </c>
      <c r="E2172" s="7">
        <f>VLOOKUP(A2172,Sheet2!$A$2:$R$3432,4,0)</f>
        <v>9307637570</v>
      </c>
      <c r="F2172" s="7" t="str">
        <f>VLOOKUP(A2172,Sheet2!$A$2:$R$3432,3,0)</f>
        <v>Pranav Pawar </v>
      </c>
      <c r="G2172" s="5" t="s">
        <v>25</v>
      </c>
      <c r="H2172" s="5" t="s">
        <v>25</v>
      </c>
      <c r="I2172" s="5" t="s">
        <v>25</v>
      </c>
      <c r="J2172" s="5" t="s">
        <v>25</v>
      </c>
      <c r="K2172" s="7" t="str">
        <f>VLOOKUP(A2172,Sheet2!$A$2:$R$3432,6,0)</f>
        <v>Honda Shine </v>
      </c>
      <c r="L2172" s="5" t="s">
        <v>25</v>
      </c>
      <c r="M2172" s="7" t="str">
        <f>VLOOKUP(A2172,Sheet2!$A$2:$R$3432,5,0)</f>
        <v>MH29BA3602</v>
      </c>
      <c r="N2172" s="5" t="s">
        <v>25</v>
      </c>
      <c r="O2172" s="5" t="s">
        <v>25</v>
      </c>
      <c r="P2172" s="6" t="s">
        <v>25</v>
      </c>
      <c r="Q2172" s="5" t="s">
        <v>25</v>
      </c>
      <c r="R2172" s="5" t="s">
        <v>25</v>
      </c>
      <c r="S2172" s="5" t="str">
        <f>VLOOKUP(A2172,Sheet2!$A$2:$R$3432,18,0)</f>
        <v>JC73E-T-1032168</v>
      </c>
      <c r="T2172" s="7" t="str">
        <f>VLOOKUP(A2172,Sheet2!$A$2:$R$3432,17,0)</f>
        <v>ME4JC734CHT018981</v>
      </c>
    </row>
    <row r="2173" ht="15.75" customHeight="1">
      <c r="A2173" s="3" t="s">
        <v>2196</v>
      </c>
      <c r="B2173" s="4" t="str">
        <f>VLOOKUP(A2173,Sheet2!$A$2:$R$3432,2,0)</f>
        <v>2024-09-08 20:51:19</v>
      </c>
      <c r="C2173" s="5" t="s">
        <v>25</v>
      </c>
      <c r="D2173" s="6" t="s">
        <v>25</v>
      </c>
      <c r="E2173" s="7">
        <f>VLOOKUP(A2173,Sheet2!$A$2:$R$3432,4,0)</f>
        <v>8484908611</v>
      </c>
      <c r="F2173" s="7" t="str">
        <f>VLOOKUP(A2173,Sheet2!$A$2:$R$3432,3,0)</f>
        <v>Parth</v>
      </c>
      <c r="G2173" s="5" t="s">
        <v>25</v>
      </c>
      <c r="H2173" s="5" t="s">
        <v>25</v>
      </c>
      <c r="I2173" s="5" t="s">
        <v>25</v>
      </c>
      <c r="J2173" s="5" t="s">
        <v>25</v>
      </c>
      <c r="K2173" s="7" t="str">
        <f>VLOOKUP(A2173,Sheet2!$A$2:$R$3432,6,0)</f>
        <v>TVS Jupiter </v>
      </c>
      <c r="L2173" s="5" t="s">
        <v>25</v>
      </c>
      <c r="M2173" s="7" t="str">
        <f>VLOOKUP(A2173,Sheet2!$A$2:$R$3432,5,0)</f>
        <v>MH12RE0401</v>
      </c>
      <c r="N2173" s="5" t="s">
        <v>25</v>
      </c>
      <c r="O2173" s="5" t="s">
        <v>25</v>
      </c>
      <c r="P2173" s="6" t="s">
        <v>25</v>
      </c>
      <c r="Q2173" s="5" t="s">
        <v>25</v>
      </c>
      <c r="R2173" s="5" t="s">
        <v>25</v>
      </c>
      <c r="S2173" s="7" t="str">
        <f>VLOOKUP(A2173,Sheet2!$A$2:$R$3432,18,0)</f>
        <v/>
      </c>
      <c r="T2173" s="7" t="str">
        <f>VLOOKUP(A2173,Sheet2!$A$2:$R$3432,17,0)</f>
        <v/>
      </c>
    </row>
    <row r="2174" ht="15.75" customHeight="1">
      <c r="A2174" s="3" t="s">
        <v>2197</v>
      </c>
      <c r="B2174" s="4" t="str">
        <f>VLOOKUP(A2174,Sheet2!$A$2:$R$3432,2,0)</f>
        <v>2024-09-08 20:52:35</v>
      </c>
      <c r="C2174" s="5" t="s">
        <v>25</v>
      </c>
      <c r="D2174" s="6" t="s">
        <v>25</v>
      </c>
      <c r="E2174" s="7">
        <f>VLOOKUP(A2174,Sheet2!$A$2:$R$3432,4,0)</f>
        <v>9766136533</v>
      </c>
      <c r="F2174" s="7" t="str">
        <f>VLOOKUP(A2174,Sheet2!$A$2:$R$3432,3,0)</f>
        <v>AALHAD</v>
      </c>
      <c r="G2174" s="5" t="s">
        <v>25</v>
      </c>
      <c r="H2174" s="5" t="s">
        <v>25</v>
      </c>
      <c r="I2174" s="5" t="s">
        <v>25</v>
      </c>
      <c r="J2174" s="5" t="s">
        <v>25</v>
      </c>
      <c r="K2174" s="7" t="str">
        <f>VLOOKUP(A2174,Sheet2!$A$2:$R$3432,6,0)</f>
        <v>Suzuki Access 125</v>
      </c>
      <c r="L2174" s="5" t="s">
        <v>25</v>
      </c>
      <c r="M2174" s="7" t="str">
        <f>VLOOKUP(A2174,Sheet2!$A$2:$R$3432,5,0)</f>
        <v>MH12UH5992</v>
      </c>
      <c r="N2174" s="5" t="s">
        <v>25</v>
      </c>
      <c r="O2174" s="5" t="s">
        <v>25</v>
      </c>
      <c r="P2174" s="6" t="s">
        <v>25</v>
      </c>
      <c r="Q2174" s="5" t="s">
        <v>25</v>
      </c>
      <c r="R2174" s="5" t="s">
        <v>25</v>
      </c>
      <c r="S2174" s="7" t="str">
        <f>VLOOKUP(A2174,Sheet2!$A$2:$R$3432,18,0)</f>
        <v/>
      </c>
      <c r="T2174" s="7" t="str">
        <f>VLOOKUP(A2174,Sheet2!$A$2:$R$3432,17,0)</f>
        <v/>
      </c>
    </row>
    <row r="2175" ht="15.75" customHeight="1">
      <c r="A2175" s="3" t="s">
        <v>2198</v>
      </c>
      <c r="B2175" s="4" t="str">
        <f>VLOOKUP(A2175,Sheet2!$A$2:$R$3432,2,0)</f>
        <v>2024-09-07 18:28:08</v>
      </c>
      <c r="C2175" s="5" t="s">
        <v>25</v>
      </c>
      <c r="D2175" s="6" t="s">
        <v>25</v>
      </c>
      <c r="E2175" s="7">
        <f>VLOOKUP(A2175,Sheet2!$A$2:$R$3432,4,0)</f>
        <v>9823617400</v>
      </c>
      <c r="F2175" s="7" t="str">
        <f>VLOOKUP(A2175,Sheet2!$A$2:$R$3432,3,0)</f>
        <v>Ekta Badani</v>
      </c>
      <c r="G2175" s="5" t="s">
        <v>25</v>
      </c>
      <c r="H2175" s="5" t="s">
        <v>25</v>
      </c>
      <c r="I2175" s="5" t="s">
        <v>25</v>
      </c>
      <c r="J2175" s="5" t="s">
        <v>25</v>
      </c>
      <c r="K2175" s="7" t="str">
        <f>VLOOKUP(A2175,Sheet2!$A$2:$R$3432,6,0)</f>
        <v>Honda Activa Old</v>
      </c>
      <c r="L2175" s="5" t="s">
        <v>25</v>
      </c>
      <c r="M2175" s="7" t="str">
        <f>VLOOKUP(A2175,Sheet2!$A$2:$R$3432,5,0)</f>
        <v>AP13J5410</v>
      </c>
      <c r="N2175" s="5" t="s">
        <v>25</v>
      </c>
      <c r="O2175" s="5" t="s">
        <v>25</v>
      </c>
      <c r="P2175" s="6" t="s">
        <v>25</v>
      </c>
      <c r="Q2175" s="5" t="s">
        <v>25</v>
      </c>
      <c r="R2175" s="5" t="s">
        <v>25</v>
      </c>
      <c r="S2175" s="7" t="str">
        <f>VLOOKUP(A2175,Sheet2!$A$2:$R$3432,18,0)</f>
        <v/>
      </c>
      <c r="T2175" s="7" t="str">
        <f>VLOOKUP(A2175,Sheet2!$A$2:$R$3432,17,0)</f>
        <v/>
      </c>
    </row>
    <row r="2176" ht="15.75" customHeight="1">
      <c r="A2176" s="3" t="s">
        <v>2199</v>
      </c>
      <c r="B2176" s="4" t="str">
        <f>VLOOKUP(A2176,Sheet2!$A$2:$R$3432,2,0)</f>
        <v>2024-09-07 18:19:44</v>
      </c>
      <c r="C2176" s="5" t="s">
        <v>25</v>
      </c>
      <c r="D2176" s="6" t="s">
        <v>25</v>
      </c>
      <c r="E2176" s="7">
        <f>VLOOKUP(A2176,Sheet2!$A$2:$R$3432,4,0)</f>
        <v>9404254482</v>
      </c>
      <c r="F2176" s="7" t="str">
        <f>VLOOKUP(A2176,Sheet2!$A$2:$R$3432,3,0)</f>
        <v>TEJAS RAUT</v>
      </c>
      <c r="G2176" s="5" t="s">
        <v>25</v>
      </c>
      <c r="H2176" s="5" t="s">
        <v>25</v>
      </c>
      <c r="I2176" s="5" t="s">
        <v>25</v>
      </c>
      <c r="J2176" s="5" t="s">
        <v>25</v>
      </c>
      <c r="K2176" s="7" t="str">
        <f>VLOOKUP(A2176,Sheet2!$A$2:$R$3432,6,0)</f>
        <v>Yamaha FZ V3</v>
      </c>
      <c r="L2176" s="5" t="s">
        <v>25</v>
      </c>
      <c r="M2176" s="7" t="str">
        <f>VLOOKUP(A2176,Sheet2!$A$2:$R$3432,5,0)</f>
        <v>MH37Y9323</v>
      </c>
      <c r="N2176" s="5" t="s">
        <v>25</v>
      </c>
      <c r="O2176" s="5" t="s">
        <v>25</v>
      </c>
      <c r="P2176" s="6" t="s">
        <v>25</v>
      </c>
      <c r="Q2176" s="5" t="s">
        <v>25</v>
      </c>
      <c r="R2176" s="5" t="s">
        <v>25</v>
      </c>
      <c r="S2176" s="5" t="str">
        <f>VLOOKUP(A2176,Sheet2!$A$2:$R$3432,18,0)</f>
        <v>G3L5E0097468</v>
      </c>
      <c r="T2176" s="7" t="str">
        <f>VLOOKUP(A2176,Sheet2!$A$2:$R$3432,17,0)</f>
        <v>ME1RG44G5K0035485</v>
      </c>
    </row>
    <row r="2177" ht="15.75" customHeight="1">
      <c r="A2177" s="3" t="s">
        <v>2200</v>
      </c>
      <c r="B2177" s="4" t="str">
        <f>VLOOKUP(A2177,Sheet2!$A$2:$R$3432,2,0)</f>
        <v>2024-09-07 16:53:36</v>
      </c>
      <c r="C2177" s="5" t="s">
        <v>25</v>
      </c>
      <c r="D2177" s="6" t="s">
        <v>25</v>
      </c>
      <c r="E2177" s="7">
        <f>VLOOKUP(A2177,Sheet2!$A$2:$R$3432,4,0)</f>
        <v>7058552746</v>
      </c>
      <c r="F2177" s="7" t="str">
        <f>VLOOKUP(A2177,Sheet2!$A$2:$R$3432,3,0)</f>
        <v>Mansi</v>
      </c>
      <c r="G2177" s="5" t="s">
        <v>25</v>
      </c>
      <c r="H2177" s="5" t="s">
        <v>25</v>
      </c>
      <c r="I2177" s="5" t="s">
        <v>25</v>
      </c>
      <c r="J2177" s="5" t="s">
        <v>25</v>
      </c>
      <c r="K2177" s="7" t="str">
        <f>VLOOKUP(A2177,Sheet2!$A$2:$R$3432,6,0)</f>
        <v>Honda Activa 3G</v>
      </c>
      <c r="L2177" s="5" t="s">
        <v>25</v>
      </c>
      <c r="M2177" s="7" t="str">
        <f>VLOOKUP(A2177,Sheet2!$A$2:$R$3432,5,0)</f>
        <v>MH34AW0805</v>
      </c>
      <c r="N2177" s="5" t="s">
        <v>25</v>
      </c>
      <c r="O2177" s="5" t="s">
        <v>25</v>
      </c>
      <c r="P2177" s="6" t="s">
        <v>25</v>
      </c>
      <c r="Q2177" s="5" t="s">
        <v>25</v>
      </c>
      <c r="R2177" s="5" t="s">
        <v>25</v>
      </c>
      <c r="S2177" s="5" t="str">
        <f>VLOOKUP(A2177,Sheet2!$A$2:$R$3432,18,0)</f>
        <v>JF50E-T-2453033</v>
      </c>
      <c r="T2177" s="7" t="str">
        <f>VLOOKUP(A2177,Sheet2!$A$2:$R$3432,17,0)</f>
        <v>ME4JF504FFT451976</v>
      </c>
    </row>
    <row r="2178" ht="15.75" customHeight="1">
      <c r="A2178" s="3" t="s">
        <v>2201</v>
      </c>
      <c r="B2178" s="4" t="str">
        <f>VLOOKUP(A2178,Sheet2!$A$2:$R$3432,2,0)</f>
        <v>2024-09-07 18:20:27</v>
      </c>
      <c r="C2178" s="5" t="s">
        <v>25</v>
      </c>
      <c r="D2178" s="6" t="s">
        <v>25</v>
      </c>
      <c r="E2178" s="7">
        <f>VLOOKUP(A2178,Sheet2!$A$2:$R$3432,4,0)</f>
        <v>8484908611</v>
      </c>
      <c r="F2178" s="7" t="str">
        <f>VLOOKUP(A2178,Sheet2!$A$2:$R$3432,3,0)</f>
        <v>Parth</v>
      </c>
      <c r="G2178" s="5" t="s">
        <v>25</v>
      </c>
      <c r="H2178" s="5" t="s">
        <v>25</v>
      </c>
      <c r="I2178" s="5" t="s">
        <v>25</v>
      </c>
      <c r="J2178" s="5" t="s">
        <v>25</v>
      </c>
      <c r="K2178" s="7" t="str">
        <f>VLOOKUP(A2178,Sheet2!$A$2:$R$3432,6,0)</f>
        <v>Bajaj Pulsar 200 NS</v>
      </c>
      <c r="L2178" s="5" t="s">
        <v>25</v>
      </c>
      <c r="M2178" s="7" t="str">
        <f>VLOOKUP(A2178,Sheet2!$A$2:$R$3432,5,0)</f>
        <v>MH14HT5150</v>
      </c>
      <c r="N2178" s="5" t="s">
        <v>25</v>
      </c>
      <c r="O2178" s="5" t="s">
        <v>25</v>
      </c>
      <c r="P2178" s="6" t="s">
        <v>25</v>
      </c>
      <c r="Q2178" s="5" t="s">
        <v>25</v>
      </c>
      <c r="R2178" s="5" t="s">
        <v>25</v>
      </c>
      <c r="S2178" s="7" t="str">
        <f>VLOOKUP(A2178,Sheet2!$A$2:$R$3432,18,0)</f>
        <v/>
      </c>
      <c r="T2178" s="7" t="str">
        <f>VLOOKUP(A2178,Sheet2!$A$2:$R$3432,17,0)</f>
        <v/>
      </c>
    </row>
    <row r="2179" ht="15.75" customHeight="1">
      <c r="A2179" s="3" t="s">
        <v>2202</v>
      </c>
      <c r="B2179" s="4" t="str">
        <f>VLOOKUP(A2179,Sheet2!$A$2:$R$3432,2,0)</f>
        <v>2024-09-07 18:21:13</v>
      </c>
      <c r="C2179" s="5" t="s">
        <v>25</v>
      </c>
      <c r="D2179" s="6" t="s">
        <v>25</v>
      </c>
      <c r="E2179" s="7">
        <f>VLOOKUP(A2179,Sheet2!$A$2:$R$3432,4,0)</f>
        <v>9028386726</v>
      </c>
      <c r="F2179" s="7" t="str">
        <f>VLOOKUP(A2179,Sheet2!$A$2:$R$3432,3,0)</f>
        <v>Vivek</v>
      </c>
      <c r="G2179" s="5" t="s">
        <v>25</v>
      </c>
      <c r="H2179" s="5" t="s">
        <v>25</v>
      </c>
      <c r="I2179" s="5" t="s">
        <v>25</v>
      </c>
      <c r="J2179" s="5" t="s">
        <v>25</v>
      </c>
      <c r="K2179" s="7" t="str">
        <f>VLOOKUP(A2179,Sheet2!$A$2:$R$3432,6,0)</f>
        <v>Hero Karizma ZMR</v>
      </c>
      <c r="L2179" s="5" t="s">
        <v>25</v>
      </c>
      <c r="M2179" s="7" t="str">
        <f>VLOOKUP(A2179,Sheet2!$A$2:$R$3432,5,0)</f>
        <v>MH14EG2083</v>
      </c>
      <c r="N2179" s="5" t="s">
        <v>25</v>
      </c>
      <c r="O2179" s="5" t="s">
        <v>25</v>
      </c>
      <c r="P2179" s="6" t="s">
        <v>25</v>
      </c>
      <c r="Q2179" s="5" t="s">
        <v>25</v>
      </c>
      <c r="R2179" s="5" t="s">
        <v>25</v>
      </c>
      <c r="S2179" s="7" t="str">
        <f>VLOOKUP(A2179,Sheet2!$A$2:$R$3432,18,0)</f>
        <v/>
      </c>
      <c r="T2179" s="7" t="str">
        <f>VLOOKUP(A2179,Sheet2!$A$2:$R$3432,17,0)</f>
        <v/>
      </c>
    </row>
    <row r="2180" ht="15.75" customHeight="1">
      <c r="A2180" s="3" t="s">
        <v>2203</v>
      </c>
      <c r="B2180" s="4" t="str">
        <f>VLOOKUP(A2180,Sheet2!$A$2:$R$3432,2,0)</f>
        <v>2024-09-07 18:22:36</v>
      </c>
      <c r="C2180" s="5" t="s">
        <v>25</v>
      </c>
      <c r="D2180" s="6" t="s">
        <v>25</v>
      </c>
      <c r="E2180" s="7">
        <f>VLOOKUP(A2180,Sheet2!$A$2:$R$3432,4,0)</f>
        <v>8329735047</v>
      </c>
      <c r="F2180" s="7" t="str">
        <f>VLOOKUP(A2180,Sheet2!$A$2:$R$3432,3,0)</f>
        <v>Hemant </v>
      </c>
      <c r="G2180" s="5" t="s">
        <v>25</v>
      </c>
      <c r="H2180" s="5" t="s">
        <v>25</v>
      </c>
      <c r="I2180" s="5" t="s">
        <v>25</v>
      </c>
      <c r="J2180" s="5" t="s">
        <v>25</v>
      </c>
      <c r="K2180" s="7" t="str">
        <f>VLOOKUP(A2180,Sheet2!$A$2:$R$3432,6,0)</f>
        <v>Honda Activa 125</v>
      </c>
      <c r="L2180" s="5" t="s">
        <v>25</v>
      </c>
      <c r="M2180" s="7" t="str">
        <f>VLOOKUP(A2180,Sheet2!$A$2:$R$3432,5,0)</f>
        <v>MH12SH6599</v>
      </c>
      <c r="N2180" s="5" t="s">
        <v>25</v>
      </c>
      <c r="O2180" s="5" t="s">
        <v>25</v>
      </c>
      <c r="P2180" s="6" t="s">
        <v>25</v>
      </c>
      <c r="Q2180" s="5" t="s">
        <v>25</v>
      </c>
      <c r="R2180" s="5" t="s">
        <v>25</v>
      </c>
      <c r="S2180" s="5" t="str">
        <f>VLOOKUP(A2180,Sheet2!$A$2:$R$3432,18,0)</f>
        <v>JF49EW4011289</v>
      </c>
      <c r="T2180" s="7" t="str">
        <f>VLOOKUP(A2180,Sheet2!$A$2:$R$3432,17,0)</f>
        <v>ME4JF49MLKW007956</v>
      </c>
    </row>
    <row r="2181" ht="15.75" customHeight="1">
      <c r="A2181" s="3" t="s">
        <v>2204</v>
      </c>
      <c r="B2181" s="4" t="str">
        <f>VLOOKUP(A2181,Sheet2!$A$2:$R$3432,2,0)</f>
        <v>2024-09-07 18:25:05</v>
      </c>
      <c r="C2181" s="5" t="s">
        <v>25</v>
      </c>
      <c r="D2181" s="6" t="s">
        <v>25</v>
      </c>
      <c r="E2181" s="7">
        <f>VLOOKUP(A2181,Sheet2!$A$2:$R$3432,4,0)</f>
        <v>9764466210</v>
      </c>
      <c r="F2181" s="7" t="str">
        <f>VLOOKUP(A2181,Sheet2!$A$2:$R$3432,3,0)</f>
        <v>Varun</v>
      </c>
      <c r="G2181" s="5" t="s">
        <v>25</v>
      </c>
      <c r="H2181" s="5" t="s">
        <v>25</v>
      </c>
      <c r="I2181" s="5" t="s">
        <v>25</v>
      </c>
      <c r="J2181" s="5" t="s">
        <v>25</v>
      </c>
      <c r="K2181" s="7" t="str">
        <f>VLOOKUP(A2181,Sheet2!$A$2:$R$3432,6,0)</f>
        <v>Honda Activa 125</v>
      </c>
      <c r="L2181" s="5" t="s">
        <v>25</v>
      </c>
      <c r="M2181" s="7" t="str">
        <f>VLOOKUP(A2181,Sheet2!$A$2:$R$3432,5,0)</f>
        <v>MH12QP1805</v>
      </c>
      <c r="N2181" s="5" t="s">
        <v>25</v>
      </c>
      <c r="O2181" s="5" t="s">
        <v>25</v>
      </c>
      <c r="P2181" s="6" t="s">
        <v>25</v>
      </c>
      <c r="Q2181" s="5" t="s">
        <v>25</v>
      </c>
      <c r="R2181" s="5" t="s">
        <v>25</v>
      </c>
      <c r="S2181" s="5" t="str">
        <f>VLOOKUP(A2181,Sheet2!$A$2:$R$3432,18,0)</f>
        <v>JF45EU2103717</v>
      </c>
      <c r="T2181" s="7" t="str">
        <f>VLOOKUP(A2181,Sheet2!$A$2:$R$3432,17,0)</f>
        <v>ME4JF496EJU016781</v>
      </c>
    </row>
    <row r="2182" ht="15.75" customHeight="1">
      <c r="A2182" s="3" t="s">
        <v>2205</v>
      </c>
      <c r="B2182" s="4" t="str">
        <f>VLOOKUP(A2182,Sheet2!$A$2:$R$3432,2,0)</f>
        <v>2024-09-07 18:25:55</v>
      </c>
      <c r="C2182" s="5" t="s">
        <v>25</v>
      </c>
      <c r="D2182" s="6" t="s">
        <v>25</v>
      </c>
      <c r="E2182" s="7">
        <f>VLOOKUP(A2182,Sheet2!$A$2:$R$3432,4,0)</f>
        <v>9597600514</v>
      </c>
      <c r="F2182" s="7" t="str">
        <f>VLOOKUP(A2182,Sheet2!$A$2:$R$3432,3,0)</f>
        <v>Suraj </v>
      </c>
      <c r="G2182" s="5" t="s">
        <v>25</v>
      </c>
      <c r="H2182" s="5" t="s">
        <v>25</v>
      </c>
      <c r="I2182" s="5" t="s">
        <v>25</v>
      </c>
      <c r="J2182" s="5" t="s">
        <v>25</v>
      </c>
      <c r="K2182" s="7" t="str">
        <f>VLOOKUP(A2182,Sheet2!$A$2:$R$3432,6,0)</f>
        <v>Honda Activa 125</v>
      </c>
      <c r="L2182" s="5" t="s">
        <v>25</v>
      </c>
      <c r="M2182" s="7" t="str">
        <f>VLOOKUP(A2182,Sheet2!$A$2:$R$3432,5,0)</f>
        <v>MH10DJ0358</v>
      </c>
      <c r="N2182" s="5" t="s">
        <v>25</v>
      </c>
      <c r="O2182" s="5" t="s">
        <v>25</v>
      </c>
      <c r="P2182" s="6" t="s">
        <v>25</v>
      </c>
      <c r="Q2182" s="5" t="s">
        <v>25</v>
      </c>
      <c r="R2182" s="5" t="s">
        <v>25</v>
      </c>
      <c r="S2182" s="5" t="str">
        <f>VLOOKUP(A2182,Sheet2!$A$2:$R$3432,18,0)</f>
        <v>JF49E54012032</v>
      </c>
      <c r="T2182" s="7" t="str">
        <f>VLOOKUP(A2182,Sheet2!$A$2:$R$3432,17,0)</f>
        <v>ME4JF49BLJU022825</v>
      </c>
    </row>
    <row r="2183" ht="15.75" customHeight="1">
      <c r="A2183" s="3" t="s">
        <v>2206</v>
      </c>
      <c r="B2183" s="4" t="str">
        <f>VLOOKUP(A2183,Sheet2!$A$2:$R$3432,2,0)</f>
        <v>2024-09-07 18:25:29</v>
      </c>
      <c r="C2183" s="5" t="s">
        <v>25</v>
      </c>
      <c r="D2183" s="6" t="s">
        <v>25</v>
      </c>
      <c r="E2183" s="7">
        <f>VLOOKUP(A2183,Sheet2!$A$2:$R$3432,4,0)</f>
        <v>9405695471</v>
      </c>
      <c r="F2183" s="7" t="str">
        <f>VLOOKUP(A2183,Sheet2!$A$2:$R$3432,3,0)</f>
        <v>Yuvraj Kharche</v>
      </c>
      <c r="G2183" s="5" t="s">
        <v>25</v>
      </c>
      <c r="H2183" s="5" t="s">
        <v>25</v>
      </c>
      <c r="I2183" s="5" t="s">
        <v>25</v>
      </c>
      <c r="J2183" s="5" t="s">
        <v>25</v>
      </c>
      <c r="K2183" s="7" t="str">
        <f>VLOOKUP(A2183,Sheet2!$A$2:$R$3432,6,0)</f>
        <v>Yamaha FZ </v>
      </c>
      <c r="L2183" s="5" t="s">
        <v>25</v>
      </c>
      <c r="M2183" s="7" t="str">
        <f>VLOOKUP(A2183,Sheet2!$A$2:$R$3432,5,0)</f>
        <v>MH12GS2826</v>
      </c>
      <c r="N2183" s="5" t="s">
        <v>25</v>
      </c>
      <c r="O2183" s="5" t="s">
        <v>25</v>
      </c>
      <c r="P2183" s="6" t="s">
        <v>25</v>
      </c>
      <c r="Q2183" s="5" t="s">
        <v>25</v>
      </c>
      <c r="R2183" s="5" t="s">
        <v>25</v>
      </c>
      <c r="S2183" s="5" t="str">
        <f>VLOOKUP(A2183,Sheet2!$A$2:$R$3432,18,0)</f>
        <v>215028660</v>
      </c>
      <c r="T2183" s="7" t="str">
        <f>VLOOKUP(A2183,Sheet2!$A$2:$R$3432,17,0)</f>
        <v>ME121C052B2028860</v>
      </c>
    </row>
    <row r="2184" ht="15.75" customHeight="1">
      <c r="A2184" s="3" t="s">
        <v>2207</v>
      </c>
      <c r="B2184" s="4" t="str">
        <f>VLOOKUP(A2184,Sheet2!$A$2:$R$3432,2,0)</f>
        <v>2024-09-07 18:26:39</v>
      </c>
      <c r="C2184" s="5" t="s">
        <v>25</v>
      </c>
      <c r="D2184" s="6" t="s">
        <v>25</v>
      </c>
      <c r="E2184" s="7">
        <f>VLOOKUP(A2184,Sheet2!$A$2:$R$3432,4,0)</f>
        <v>9545635872</v>
      </c>
      <c r="F2184" s="7" t="str">
        <f>VLOOKUP(A2184,Sheet2!$A$2:$R$3432,3,0)</f>
        <v>NIKHIL NIMJE</v>
      </c>
      <c r="G2184" s="5" t="s">
        <v>25</v>
      </c>
      <c r="H2184" s="5" t="s">
        <v>25</v>
      </c>
      <c r="I2184" s="5" t="s">
        <v>25</v>
      </c>
      <c r="J2184" s="5" t="s">
        <v>25</v>
      </c>
      <c r="K2184" s="7" t="str">
        <f>VLOOKUP(A2184,Sheet2!$A$2:$R$3432,6,0)</f>
        <v>TVS Apache RTR 200 4V</v>
      </c>
      <c r="L2184" s="5" t="s">
        <v>25</v>
      </c>
      <c r="M2184" s="7" t="str">
        <f>VLOOKUP(A2184,Sheet2!$A$2:$R$3432,5,0)</f>
        <v>MH32AV5115</v>
      </c>
      <c r="N2184" s="5" t="s">
        <v>25</v>
      </c>
      <c r="O2184" s="5" t="s">
        <v>25</v>
      </c>
      <c r="P2184" s="6" t="s">
        <v>25</v>
      </c>
      <c r="Q2184" s="5" t="s">
        <v>25</v>
      </c>
      <c r="R2184" s="5" t="s">
        <v>25</v>
      </c>
      <c r="S2184" s="5" t="str">
        <f>VLOOKUP(A2184,Sheet2!$A$2:$R$3432,18,0)</f>
        <v>DT11P2500077</v>
      </c>
      <c r="T2184" s="7" t="str">
        <f>VLOOKUP(A2184,Sheet2!$A$2:$R$3432,17,0)</f>
        <v>MD637ET11P2K00127</v>
      </c>
    </row>
    <row r="2185" ht="15.75" customHeight="1">
      <c r="A2185" s="3" t="s">
        <v>2208</v>
      </c>
      <c r="B2185" s="4" t="str">
        <f>VLOOKUP(A2185,Sheet2!$A$2:$R$3432,2,0)</f>
        <v>2024-09-07 18:29:14</v>
      </c>
      <c r="C2185" s="5" t="s">
        <v>25</v>
      </c>
      <c r="D2185" s="6" t="s">
        <v>25</v>
      </c>
      <c r="E2185" s="7">
        <f>VLOOKUP(A2185,Sheet2!$A$2:$R$3432,4,0)</f>
        <v>9657145925</v>
      </c>
      <c r="F2185" s="7" t="str">
        <f>VLOOKUP(A2185,Sheet2!$A$2:$R$3432,3,0)</f>
        <v>Pramod Mane</v>
      </c>
      <c r="G2185" s="5" t="s">
        <v>25</v>
      </c>
      <c r="H2185" s="5" t="s">
        <v>25</v>
      </c>
      <c r="I2185" s="5" t="s">
        <v>25</v>
      </c>
      <c r="J2185" s="5" t="s">
        <v>25</v>
      </c>
      <c r="K2185" s="7" t="str">
        <f>VLOOKUP(A2185,Sheet2!$A$2:$R$3432,6,0)</f>
        <v>Honda Activa </v>
      </c>
      <c r="L2185" s="5" t="s">
        <v>25</v>
      </c>
      <c r="M2185" s="7" t="str">
        <f>VLOOKUP(A2185,Sheet2!$A$2:$R$3432,5,0)</f>
        <v>MH14EV3174</v>
      </c>
      <c r="N2185" s="5" t="s">
        <v>25</v>
      </c>
      <c r="O2185" s="5" t="s">
        <v>25</v>
      </c>
      <c r="P2185" s="6" t="s">
        <v>25</v>
      </c>
      <c r="Q2185" s="5" t="s">
        <v>25</v>
      </c>
      <c r="R2185" s="5" t="s">
        <v>25</v>
      </c>
      <c r="S2185" s="5" t="str">
        <f>VLOOKUP(A2185,Sheet2!$A$2:$R$3432,18,0)</f>
        <v>JF50ET1768989</v>
      </c>
      <c r="T2185" s="7" t="str">
        <f>VLOOKUP(A2185,Sheet2!$A$2:$R$3432,17,0)</f>
        <v>ME4JFSSZAF1771289</v>
      </c>
    </row>
    <row r="2186" ht="15.75" customHeight="1">
      <c r="A2186" s="3" t="s">
        <v>2209</v>
      </c>
      <c r="B2186" s="4" t="str">
        <f>VLOOKUP(A2186,Sheet2!$A$2:$R$3432,2,0)</f>
        <v>2024-07-26 20:23:43</v>
      </c>
      <c r="C2186" s="5" t="s">
        <v>25</v>
      </c>
      <c r="D2186" s="6" t="s">
        <v>25</v>
      </c>
      <c r="E2186" s="7">
        <f>VLOOKUP(A2186,Sheet2!$A$2:$R$3432,4,0)</f>
        <v>7709414280</v>
      </c>
      <c r="F2186" s="7" t="str">
        <f>VLOOKUP(A2186,Sheet2!$A$2:$R$3432,3,0)</f>
        <v>SAHAR ASHRAF </v>
      </c>
      <c r="G2186" s="5" t="s">
        <v>25</v>
      </c>
      <c r="H2186" s="5" t="s">
        <v>25</v>
      </c>
      <c r="I2186" s="5" t="s">
        <v>25</v>
      </c>
      <c r="J2186" s="5" t="s">
        <v>25</v>
      </c>
      <c r="K2186" s="7" t="str">
        <f>VLOOKUP(A2186,Sheet2!$A$2:$R$3432,6,0)</f>
        <v>Hero Pleasure </v>
      </c>
      <c r="L2186" s="5" t="s">
        <v>25</v>
      </c>
      <c r="M2186" s="7" t="str">
        <f>VLOOKUP(A2186,Sheet2!$A$2:$R$3432,5,0)</f>
        <v>MH12LG7032</v>
      </c>
      <c r="N2186" s="5" t="s">
        <v>25</v>
      </c>
      <c r="O2186" s="5" t="s">
        <v>25</v>
      </c>
      <c r="P2186" s="6" t="s">
        <v>25</v>
      </c>
      <c r="Q2186" s="5" t="s">
        <v>25</v>
      </c>
      <c r="R2186" s="5" t="s">
        <v>25</v>
      </c>
      <c r="S2186" s="5" t="str">
        <f>VLOOKUP(A2186,Sheet2!$A$2:$R$3432,18,0)</f>
        <v>JF16ECEGG17908</v>
      </c>
      <c r="T2186" s="7" t="str">
        <f>VLOOKUP(A2186,Sheet2!$A$2:$R$3432,17,0)</f>
        <v>MBLJF16EHEGG23497</v>
      </c>
    </row>
    <row r="2187" ht="15.75" customHeight="1">
      <c r="A2187" s="3" t="s">
        <v>2210</v>
      </c>
      <c r="B2187" s="4" t="str">
        <f>VLOOKUP(A2187,Sheet2!$A$2:$R$3432,2,0)</f>
        <v>2024-07-26 19:53:47</v>
      </c>
      <c r="C2187" s="5" t="s">
        <v>25</v>
      </c>
      <c r="D2187" s="6" t="s">
        <v>25</v>
      </c>
      <c r="E2187" s="7">
        <f>VLOOKUP(A2187,Sheet2!$A$2:$R$3432,4,0)</f>
        <v>9028785463</v>
      </c>
      <c r="F2187" s="7" t="str">
        <f>VLOOKUP(A2187,Sheet2!$A$2:$R$3432,3,0)</f>
        <v>SANDESH</v>
      </c>
      <c r="G2187" s="5" t="s">
        <v>25</v>
      </c>
      <c r="H2187" s="5" t="s">
        <v>25</v>
      </c>
      <c r="I2187" s="5" t="s">
        <v>25</v>
      </c>
      <c r="J2187" s="5" t="s">
        <v>25</v>
      </c>
      <c r="K2187" s="7" t="str">
        <f>VLOOKUP(A2187,Sheet2!$A$2:$R$3432,6,0)</f>
        <v>Suzuki Access 125</v>
      </c>
      <c r="L2187" s="5" t="s">
        <v>25</v>
      </c>
      <c r="M2187" s="7" t="str">
        <f>VLOOKUP(A2187,Sheet2!$A$2:$R$3432,5,0)</f>
        <v>MH11BY7710</v>
      </c>
      <c r="N2187" s="5" t="s">
        <v>25</v>
      </c>
      <c r="O2187" s="5" t="s">
        <v>25</v>
      </c>
      <c r="P2187" s="6" t="s">
        <v>25</v>
      </c>
      <c r="Q2187" s="5" t="s">
        <v>25</v>
      </c>
      <c r="R2187" s="5" t="s">
        <v>25</v>
      </c>
      <c r="S2187" s="7" t="str">
        <f>VLOOKUP(A2187,Sheet2!$A$2:$R$3432,18,0)</f>
        <v/>
      </c>
      <c r="T2187" s="7" t="str">
        <f>VLOOKUP(A2187,Sheet2!$A$2:$R$3432,17,0)</f>
        <v/>
      </c>
    </row>
    <row r="2188" ht="15.75" customHeight="1">
      <c r="A2188" s="3" t="s">
        <v>2211</v>
      </c>
      <c r="B2188" s="4" t="str">
        <f>VLOOKUP(A2188,Sheet2!$A$2:$R$3432,2,0)</f>
        <v>2024-07-26 19:53:06</v>
      </c>
      <c r="C2188" s="5" t="s">
        <v>25</v>
      </c>
      <c r="D2188" s="6" t="s">
        <v>25</v>
      </c>
      <c r="E2188" s="7">
        <f>VLOOKUP(A2188,Sheet2!$A$2:$R$3432,4,0)</f>
        <v>9890603382</v>
      </c>
      <c r="F2188" s="7" t="str">
        <f>VLOOKUP(A2188,Sheet2!$A$2:$R$3432,3,0)</f>
        <v>Gaurav </v>
      </c>
      <c r="G2188" s="5" t="s">
        <v>25</v>
      </c>
      <c r="H2188" s="5" t="s">
        <v>25</v>
      </c>
      <c r="I2188" s="5" t="s">
        <v>25</v>
      </c>
      <c r="J2188" s="5" t="s">
        <v>25</v>
      </c>
      <c r="K2188" s="7" t="str">
        <f>VLOOKUP(A2188,Sheet2!$A$2:$R$3432,6,0)</f>
        <v>TVS Zest 110</v>
      </c>
      <c r="L2188" s="5" t="s">
        <v>25</v>
      </c>
      <c r="M2188" s="7" t="str">
        <f>VLOOKUP(A2188,Sheet2!$A$2:$R$3432,5,0)</f>
        <v>MH14JW2528</v>
      </c>
      <c r="N2188" s="5" t="s">
        <v>25</v>
      </c>
      <c r="O2188" s="5" t="s">
        <v>25</v>
      </c>
      <c r="P2188" s="6" t="s">
        <v>25</v>
      </c>
      <c r="Q2188" s="5" t="s">
        <v>25</v>
      </c>
      <c r="R2188" s="5" t="s">
        <v>25</v>
      </c>
      <c r="S2188" s="5" t="str">
        <f>VLOOKUP(A2188,Sheet2!$A$2:$R$3432,18,0)</f>
        <v>EG4EJ2014335</v>
      </c>
      <c r="T2188" s="7" t="str">
        <f>VLOOKUP(A2188,Sheet2!$A$2:$R$3432,17,0)</f>
        <v>MD626FG48J2E14082</v>
      </c>
    </row>
    <row r="2189" ht="15.75" customHeight="1">
      <c r="A2189" s="3" t="s">
        <v>2212</v>
      </c>
      <c r="B2189" s="4" t="str">
        <f>VLOOKUP(A2189,Sheet2!$A$2:$R$3432,2,0)</f>
        <v>2024-07-26 21:07:41</v>
      </c>
      <c r="C2189" s="5" t="s">
        <v>25</v>
      </c>
      <c r="D2189" s="6" t="s">
        <v>25</v>
      </c>
      <c r="E2189" s="7">
        <f>VLOOKUP(A2189,Sheet2!$A$2:$R$3432,4,0)</f>
        <v>9922008467</v>
      </c>
      <c r="F2189" s="7" t="str">
        <f>VLOOKUP(A2189,Sheet2!$A$2:$R$3432,3,0)</f>
        <v>AMIT</v>
      </c>
      <c r="G2189" s="5" t="s">
        <v>25</v>
      </c>
      <c r="H2189" s="5" t="s">
        <v>25</v>
      </c>
      <c r="I2189" s="5" t="s">
        <v>25</v>
      </c>
      <c r="J2189" s="5" t="s">
        <v>25</v>
      </c>
      <c r="K2189" s="7" t="str">
        <f>VLOOKUP(A2189,Sheet2!$A$2:$R$3432,6,0)</f>
        <v>Honda Activa 125</v>
      </c>
      <c r="L2189" s="5" t="s">
        <v>25</v>
      </c>
      <c r="M2189" s="7" t="str">
        <f>VLOOKUP(A2189,Sheet2!$A$2:$R$3432,5,0)</f>
        <v>MH14EN9682</v>
      </c>
      <c r="N2189" s="5" t="s">
        <v>25</v>
      </c>
      <c r="O2189" s="5" t="s">
        <v>25</v>
      </c>
      <c r="P2189" s="6" t="s">
        <v>25</v>
      </c>
      <c r="Q2189" s="5" t="s">
        <v>25</v>
      </c>
      <c r="R2189" s="5" t="s">
        <v>25</v>
      </c>
      <c r="S2189" s="5" t="str">
        <f>VLOOKUP(A2189,Sheet2!$A$2:$R$3432,18,0)</f>
        <v>JF49E8004217U74</v>
      </c>
      <c r="T2189" s="7" t="str">
        <f>VLOOKUP(A2189,Sheet2!$A$2:$R$3432,17,0)</f>
        <v>ME4JF491AE9845E2</v>
      </c>
    </row>
    <row r="2190" ht="15.75" customHeight="1">
      <c r="A2190" s="3" t="s">
        <v>2213</v>
      </c>
      <c r="B2190" s="4" t="str">
        <f>VLOOKUP(A2190,Sheet2!$A$2:$R$3432,2,0)</f>
        <v>2025-05-09 19:21:53</v>
      </c>
      <c r="C2190" s="5" t="s">
        <v>25</v>
      </c>
      <c r="D2190" s="6" t="s">
        <v>25</v>
      </c>
      <c r="E2190" s="7">
        <f>VLOOKUP(A2190,Sheet2!$A$2:$R$3432,4,0)</f>
        <v>7507874449</v>
      </c>
      <c r="F2190" s="7" t="str">
        <f>VLOOKUP(A2190,Sheet2!$A$2:$R$3432,3,0)</f>
        <v>Rajendra Gaware</v>
      </c>
      <c r="G2190" s="5" t="s">
        <v>25</v>
      </c>
      <c r="H2190" s="5" t="s">
        <v>25</v>
      </c>
      <c r="I2190" s="5" t="s">
        <v>25</v>
      </c>
      <c r="J2190" s="5" t="s">
        <v>25</v>
      </c>
      <c r="K2190" s="7" t="str">
        <f>VLOOKUP(A2190,Sheet2!$A$2:$R$3432,6,0)</f>
        <v>Bajaj Pulsar 125</v>
      </c>
      <c r="L2190" s="5" t="s">
        <v>25</v>
      </c>
      <c r="M2190" s="7" t="str">
        <f>VLOOKUP(A2190,Sheet2!$A$2:$R$3432,5,0)</f>
        <v>MH14JK3321</v>
      </c>
      <c r="N2190" s="5" t="s">
        <v>25</v>
      </c>
      <c r="O2190" s="5" t="s">
        <v>25</v>
      </c>
      <c r="P2190" s="6" t="s">
        <v>25</v>
      </c>
      <c r="Q2190" s="5" t="s">
        <v>25</v>
      </c>
      <c r="R2190" s="5" t="s">
        <v>25</v>
      </c>
      <c r="S2190" s="5" t="str">
        <f>VLOOKUP(A2190,Sheet2!$A$2:$R$3432,18,0)</f>
        <v>DHXWLH81419</v>
      </c>
      <c r="T2190" s="7" t="str">
        <f>VLOOKUP(A2190,Sheet2!$A$2:$R$3432,17,0)</f>
        <v>MD2B64BX62WH24783</v>
      </c>
    </row>
    <row r="2191" ht="15.75" customHeight="1">
      <c r="A2191" s="3" t="s">
        <v>2214</v>
      </c>
      <c r="B2191" s="4" t="str">
        <f>VLOOKUP(A2191,Sheet2!$A$2:$R$3432,2,0)</f>
        <v>2025-05-09 19:22:09</v>
      </c>
      <c r="C2191" s="5" t="s">
        <v>25</v>
      </c>
      <c r="D2191" s="6" t="s">
        <v>25</v>
      </c>
      <c r="E2191" s="7">
        <f>VLOOKUP(A2191,Sheet2!$A$2:$R$3432,4,0)</f>
        <v>8983852600</v>
      </c>
      <c r="F2191" s="7" t="str">
        <f>VLOOKUP(A2191,Sheet2!$A$2:$R$3432,3,0)</f>
        <v>Gaurav Mahakar</v>
      </c>
      <c r="G2191" s="5" t="s">
        <v>25</v>
      </c>
      <c r="H2191" s="5" t="s">
        <v>25</v>
      </c>
      <c r="I2191" s="5" t="s">
        <v>25</v>
      </c>
      <c r="J2191" s="5" t="s">
        <v>25</v>
      </c>
      <c r="K2191" s="7" t="str">
        <f>VLOOKUP(A2191,Sheet2!$A$2:$R$3432,6,0)</f>
        <v>TVS Rider 125</v>
      </c>
      <c r="L2191" s="5" t="s">
        <v>25</v>
      </c>
      <c r="M2191" s="7" t="str">
        <f>VLOOKUP(A2191,Sheet2!$A$2:$R$3432,5,0)</f>
        <v>MH15HZ2588</v>
      </c>
      <c r="N2191" s="5" t="s">
        <v>25</v>
      </c>
      <c r="O2191" s="5" t="s">
        <v>25</v>
      </c>
      <c r="P2191" s="6" t="s">
        <v>25</v>
      </c>
      <c r="Q2191" s="5" t="s">
        <v>25</v>
      </c>
      <c r="R2191" s="5" t="s">
        <v>25</v>
      </c>
      <c r="S2191" s="5" t="str">
        <f>VLOOKUP(A2191,Sheet2!$A$2:$R$3432,18,0)</f>
        <v>AF9KN1300943</v>
      </c>
      <c r="T2191" s="7" t="str">
        <f>VLOOKUP(A2191,Sheet2!$A$2:$R$3432,17,0)</f>
        <v>MD62SAF91NK01437</v>
      </c>
    </row>
    <row r="2192" ht="15.75" customHeight="1">
      <c r="A2192" s="3" t="s">
        <v>2215</v>
      </c>
      <c r="B2192" s="4" t="str">
        <f>VLOOKUP(A2192,Sheet2!$A$2:$R$3432,2,0)</f>
        <v>2025-05-09 19:39:42</v>
      </c>
      <c r="C2192" s="5" t="s">
        <v>25</v>
      </c>
      <c r="D2192" s="6" t="s">
        <v>25</v>
      </c>
      <c r="E2192" s="7">
        <f>VLOOKUP(A2192,Sheet2!$A$2:$R$3432,4,0)</f>
        <v>9527354854</v>
      </c>
      <c r="F2192" s="7" t="str">
        <f>VLOOKUP(A2192,Sheet2!$A$2:$R$3432,3,0)</f>
        <v>ARJUN</v>
      </c>
      <c r="G2192" s="5" t="s">
        <v>25</v>
      </c>
      <c r="H2192" s="5" t="s">
        <v>25</v>
      </c>
      <c r="I2192" s="5" t="s">
        <v>25</v>
      </c>
      <c r="J2192" s="5" t="s">
        <v>25</v>
      </c>
      <c r="K2192" s="7" t="str">
        <f>VLOOKUP(A2192,Sheet2!$A$2:$R$3432,6,0)</f>
        <v>TVS Wego Basic</v>
      </c>
      <c r="L2192" s="5" t="s">
        <v>25</v>
      </c>
      <c r="M2192" s="7" t="str">
        <f>VLOOKUP(A2192,Sheet2!$A$2:$R$3432,5,0)</f>
        <v>MH24AL9758</v>
      </c>
      <c r="N2192" s="5" t="s">
        <v>25</v>
      </c>
      <c r="O2192" s="5" t="s">
        <v>25</v>
      </c>
      <c r="P2192" s="6" t="s">
        <v>25</v>
      </c>
      <c r="Q2192" s="5" t="s">
        <v>25</v>
      </c>
      <c r="R2192" s="5" t="s">
        <v>25</v>
      </c>
      <c r="S2192" s="7" t="str">
        <f>VLOOKUP(A2192,Sheet2!$A$2:$R$3432,18,0)</f>
        <v/>
      </c>
      <c r="T2192" s="7" t="str">
        <f>VLOOKUP(A2192,Sheet2!$A$2:$R$3432,17,0)</f>
        <v/>
      </c>
    </row>
    <row r="2193" ht="15.75" customHeight="1">
      <c r="A2193" s="3" t="s">
        <v>2216</v>
      </c>
      <c r="B2193" s="4" t="str">
        <f>VLOOKUP(A2193,Sheet2!$A$2:$R$3432,2,0)</f>
        <v>2025-05-09 19:56:18</v>
      </c>
      <c r="C2193" s="5" t="s">
        <v>25</v>
      </c>
      <c r="D2193" s="6" t="s">
        <v>25</v>
      </c>
      <c r="E2193" s="7">
        <f>VLOOKUP(A2193,Sheet2!$A$2:$R$3432,4,0)</f>
        <v>8208507298</v>
      </c>
      <c r="F2193" s="7" t="str">
        <f>VLOOKUP(A2193,Sheet2!$A$2:$R$3432,3,0)</f>
        <v>Mohan Malvedkar</v>
      </c>
      <c r="G2193" s="5" t="s">
        <v>25</v>
      </c>
      <c r="H2193" s="5" t="s">
        <v>25</v>
      </c>
      <c r="I2193" s="5" t="s">
        <v>25</v>
      </c>
      <c r="J2193" s="5" t="s">
        <v>25</v>
      </c>
      <c r="K2193" s="7" t="str">
        <f>VLOOKUP(A2193,Sheet2!$A$2:$R$3432,6,0)</f>
        <v>TVS Star City Plus</v>
      </c>
      <c r="L2193" s="5" t="s">
        <v>25</v>
      </c>
      <c r="M2193" s="7" t="str">
        <f>VLOOKUP(A2193,Sheet2!$A$2:$R$3432,5,0)</f>
        <v>MH14BZ9978</v>
      </c>
      <c r="N2193" s="5" t="s">
        <v>25</v>
      </c>
      <c r="O2193" s="5" t="s">
        <v>25</v>
      </c>
      <c r="P2193" s="6" t="s">
        <v>25</v>
      </c>
      <c r="Q2193" s="5" t="s">
        <v>25</v>
      </c>
      <c r="R2193" s="5" t="s">
        <v>25</v>
      </c>
      <c r="S2193" s="5" t="str">
        <f>VLOOKUP(A2193,Sheet2!$A$2:$R$3432,18,0)</f>
        <v>RUSTY FRAME</v>
      </c>
      <c r="T2193" s="7" t="str">
        <f>VLOOKUP(A2193,Sheet2!$A$2:$R$3432,17,0)</f>
        <v>MD625NF10A3B89980</v>
      </c>
    </row>
    <row r="2194" ht="15.75" customHeight="1">
      <c r="A2194" s="3" t="s">
        <v>2217</v>
      </c>
      <c r="B2194" s="4" t="str">
        <f>VLOOKUP(A2194,Sheet2!$A$2:$R$3432,2,0)</f>
        <v>2025-05-09 19:24:32</v>
      </c>
      <c r="C2194" s="5" t="s">
        <v>25</v>
      </c>
      <c r="D2194" s="6" t="s">
        <v>25</v>
      </c>
      <c r="E2194" s="7">
        <f>VLOOKUP(A2194,Sheet2!$A$2:$R$3432,4,0)</f>
        <v>9689928286</v>
      </c>
      <c r="F2194" s="7" t="str">
        <f>VLOOKUP(A2194,Sheet2!$A$2:$R$3432,3,0)</f>
        <v>Anup </v>
      </c>
      <c r="G2194" s="5" t="s">
        <v>25</v>
      </c>
      <c r="H2194" s="5" t="s">
        <v>25</v>
      </c>
      <c r="I2194" s="5" t="s">
        <v>25</v>
      </c>
      <c r="J2194" s="5" t="s">
        <v>25</v>
      </c>
      <c r="K2194" s="7" t="str">
        <f>VLOOKUP(A2194,Sheet2!$A$2:$R$3432,6,0)</f>
        <v>TVS Jupiter </v>
      </c>
      <c r="L2194" s="5" t="s">
        <v>25</v>
      </c>
      <c r="M2194" s="7" t="str">
        <f>VLOOKUP(A2194,Sheet2!$A$2:$R$3432,5,0)</f>
        <v>MH14HS1651</v>
      </c>
      <c r="N2194" s="5" t="s">
        <v>25</v>
      </c>
      <c r="O2194" s="5" t="s">
        <v>25</v>
      </c>
      <c r="P2194" s="6" t="s">
        <v>25</v>
      </c>
      <c r="Q2194" s="5" t="s">
        <v>25</v>
      </c>
      <c r="R2194" s="5" t="s">
        <v>25</v>
      </c>
      <c r="S2194" s="5" t="str">
        <f>VLOOKUP(A2194,Sheet2!$A$2:$R$3432,18,0)</f>
        <v>EG4EK1120037</v>
      </c>
      <c r="T2194" s="7" t="str">
        <f>VLOOKUP(A2194,Sheet2!$A$2:$R$3432,17,0)</f>
        <v>MD626EG4XK1E29961</v>
      </c>
    </row>
    <row r="2195" ht="15.75" customHeight="1">
      <c r="A2195" s="3" t="s">
        <v>2218</v>
      </c>
      <c r="B2195" s="4" t="str">
        <f>VLOOKUP(A2195,Sheet2!$A$2:$R$3432,2,0)</f>
        <v>2025-05-09 19:19:30</v>
      </c>
      <c r="C2195" s="5" t="s">
        <v>25</v>
      </c>
      <c r="D2195" s="6" t="s">
        <v>25</v>
      </c>
      <c r="E2195" s="7">
        <f>VLOOKUP(A2195,Sheet2!$A$2:$R$3432,4,0)</f>
        <v>9763451718</v>
      </c>
      <c r="F2195" s="7" t="str">
        <f>VLOOKUP(A2195,Sheet2!$A$2:$R$3432,3,0)</f>
        <v>Balbhim Gaikwad </v>
      </c>
      <c r="G2195" s="5" t="s">
        <v>25</v>
      </c>
      <c r="H2195" s="5" t="s">
        <v>25</v>
      </c>
      <c r="I2195" s="5" t="s">
        <v>25</v>
      </c>
      <c r="J2195" s="5" t="s">
        <v>25</v>
      </c>
      <c r="K2195" s="7" t="str">
        <f>VLOOKUP(A2195,Sheet2!$A$2:$R$3432,6,0)</f>
        <v>Honda Activa </v>
      </c>
      <c r="L2195" s="5" t="s">
        <v>25</v>
      </c>
      <c r="M2195" s="7" t="str">
        <f>VLOOKUP(A2195,Sheet2!$A$2:$R$3432,5,0)</f>
        <v>MH14EZ1136</v>
      </c>
      <c r="N2195" s="5" t="s">
        <v>25</v>
      </c>
      <c r="O2195" s="5" t="s">
        <v>25</v>
      </c>
      <c r="P2195" s="6" t="s">
        <v>25</v>
      </c>
      <c r="Q2195" s="5" t="s">
        <v>25</v>
      </c>
      <c r="R2195" s="5" t="s">
        <v>25</v>
      </c>
      <c r="S2195" s="7" t="str">
        <f>VLOOKUP(A2195,Sheet2!$A$2:$R$3432,18,0)</f>
        <v/>
      </c>
      <c r="T2195" s="7" t="str">
        <f>VLOOKUP(A2195,Sheet2!$A$2:$R$3432,17,0)</f>
        <v/>
      </c>
    </row>
    <row r="2196" ht="15.75" customHeight="1">
      <c r="A2196" s="3" t="s">
        <v>2219</v>
      </c>
      <c r="B2196" s="4" t="str">
        <f>VLOOKUP(A2196,Sheet2!$A$2:$R$3432,2,0)</f>
        <v>2025-05-09 19:20:49</v>
      </c>
      <c r="C2196" s="5" t="s">
        <v>25</v>
      </c>
      <c r="D2196" s="6" t="s">
        <v>25</v>
      </c>
      <c r="E2196" s="7">
        <f>VLOOKUP(A2196,Sheet2!$A$2:$R$3432,4,0)</f>
        <v>7507305390</v>
      </c>
      <c r="F2196" s="7" t="str">
        <f>VLOOKUP(A2196,Sheet2!$A$2:$R$3432,3,0)</f>
        <v>KUNAL</v>
      </c>
      <c r="G2196" s="5" t="s">
        <v>25</v>
      </c>
      <c r="H2196" s="5" t="s">
        <v>25</v>
      </c>
      <c r="I2196" s="5" t="s">
        <v>25</v>
      </c>
      <c r="J2196" s="5" t="s">
        <v>25</v>
      </c>
      <c r="K2196" s="7" t="str">
        <f>VLOOKUP(A2196,Sheet2!$A$2:$R$3432,6,0)</f>
        <v>Yamaha Fascino </v>
      </c>
      <c r="L2196" s="5" t="s">
        <v>25</v>
      </c>
      <c r="M2196" s="7" t="str">
        <f>VLOOKUP(A2196,Sheet2!$A$2:$R$3432,5,0)</f>
        <v>MH14GF5614</v>
      </c>
      <c r="N2196" s="5" t="s">
        <v>25</v>
      </c>
      <c r="O2196" s="5" t="s">
        <v>25</v>
      </c>
      <c r="P2196" s="6" t="s">
        <v>25</v>
      </c>
      <c r="Q2196" s="5" t="s">
        <v>25</v>
      </c>
      <c r="R2196" s="5" t="s">
        <v>25</v>
      </c>
      <c r="S2196" s="7" t="str">
        <f>VLOOKUP(A2196,Sheet2!$A$2:$R$3432,18,0)</f>
        <v/>
      </c>
      <c r="T2196" s="7" t="str">
        <f>VLOOKUP(A2196,Sheet2!$A$2:$R$3432,17,0)</f>
        <v/>
      </c>
    </row>
    <row r="2197" ht="15.75" customHeight="1">
      <c r="A2197" s="3" t="s">
        <v>2220</v>
      </c>
      <c r="B2197" s="4" t="str">
        <f>VLOOKUP(A2197,Sheet2!$A$2:$R$3432,2,0)</f>
        <v>2025-05-09 19:57:10</v>
      </c>
      <c r="C2197" s="5" t="s">
        <v>25</v>
      </c>
      <c r="D2197" s="6" t="s">
        <v>25</v>
      </c>
      <c r="E2197" s="7">
        <f>VLOOKUP(A2197,Sheet2!$A$2:$R$3432,4,0)</f>
        <v>8830593778</v>
      </c>
      <c r="F2197" s="7" t="str">
        <f>VLOOKUP(A2197,Sheet2!$A$2:$R$3432,3,0)</f>
        <v>ROHAN KAREKAR</v>
      </c>
      <c r="G2197" s="5" t="s">
        <v>25</v>
      </c>
      <c r="H2197" s="5" t="s">
        <v>25</v>
      </c>
      <c r="I2197" s="5" t="s">
        <v>25</v>
      </c>
      <c r="J2197" s="5" t="s">
        <v>25</v>
      </c>
      <c r="K2197" s="7" t="str">
        <f>VLOOKUP(A2197,Sheet2!$A$2:$R$3432,6,0)</f>
        <v>Yamaha FZ V3</v>
      </c>
      <c r="L2197" s="5" t="s">
        <v>25</v>
      </c>
      <c r="M2197" s="7" t="str">
        <f>VLOOKUP(A2197,Sheet2!$A$2:$R$3432,5,0)</f>
        <v>MH08AW9721</v>
      </c>
      <c r="N2197" s="5" t="s">
        <v>25</v>
      </c>
      <c r="O2197" s="5" t="s">
        <v>25</v>
      </c>
      <c r="P2197" s="6" t="s">
        <v>25</v>
      </c>
      <c r="Q2197" s="5" t="s">
        <v>25</v>
      </c>
      <c r="R2197" s="5" t="s">
        <v>25</v>
      </c>
      <c r="S2197" s="7" t="str">
        <f>VLOOKUP(A2197,Sheet2!$A$2:$R$3432,18,0)</f>
        <v/>
      </c>
      <c r="T2197" s="7" t="str">
        <f>VLOOKUP(A2197,Sheet2!$A$2:$R$3432,17,0)</f>
        <v/>
      </c>
    </row>
    <row r="2198" ht="15.75" customHeight="1">
      <c r="A2198" s="3" t="s">
        <v>2221</v>
      </c>
      <c r="B2198" s="4" t="str">
        <f>VLOOKUP(A2198,Sheet2!$A$2:$R$3432,2,0)</f>
        <v>2024-08-12 21:16:14</v>
      </c>
      <c r="C2198" s="5" t="s">
        <v>25</v>
      </c>
      <c r="D2198" s="6" t="s">
        <v>25</v>
      </c>
      <c r="E2198" s="7">
        <f>VLOOKUP(A2198,Sheet2!$A$2:$R$3432,4,0)</f>
        <v>9657818768</v>
      </c>
      <c r="F2198" s="7" t="str">
        <f>VLOOKUP(A2198,Sheet2!$A$2:$R$3432,3,0)</f>
        <v>Amit Sonawane </v>
      </c>
      <c r="G2198" s="5" t="s">
        <v>25</v>
      </c>
      <c r="H2198" s="5" t="s">
        <v>25</v>
      </c>
      <c r="I2198" s="5" t="s">
        <v>25</v>
      </c>
      <c r="J2198" s="5" t="s">
        <v>25</v>
      </c>
      <c r="K2198" s="7" t="str">
        <f>VLOOKUP(A2198,Sheet2!$A$2:$R$3432,6,0)</f>
        <v>Bajaj Pulsar 220</v>
      </c>
      <c r="L2198" s="5" t="s">
        <v>25</v>
      </c>
      <c r="M2198" s="7" t="str">
        <f>VLOOKUP(A2198,Sheet2!$A$2:$R$3432,5,0)</f>
        <v>MH14HC9709</v>
      </c>
      <c r="N2198" s="5" t="s">
        <v>25</v>
      </c>
      <c r="O2198" s="5" t="s">
        <v>25</v>
      </c>
      <c r="P2198" s="6" t="s">
        <v>25</v>
      </c>
      <c r="Q2198" s="5" t="s">
        <v>25</v>
      </c>
      <c r="R2198" s="5" t="s">
        <v>25</v>
      </c>
      <c r="S2198" s="5" t="str">
        <f>VLOOKUP(A2198,Sheet2!$A$2:$R$3432,18,0)</f>
        <v>DKYCJF14476</v>
      </c>
      <c r="T2198" s="7" t="str">
        <f>VLOOKUP(A2198,Sheet2!$A$2:$R$3432,17,0)</f>
        <v>MD2413EY3JCF73859</v>
      </c>
    </row>
    <row r="2199" ht="15.75" customHeight="1">
      <c r="A2199" s="3" t="s">
        <v>2222</v>
      </c>
      <c r="B2199" s="4" t="str">
        <f>VLOOKUP(A2199,Sheet2!$A$2:$R$3432,2,0)</f>
        <v>2024-08-12 21:12:52</v>
      </c>
      <c r="C2199" s="5" t="s">
        <v>25</v>
      </c>
      <c r="D2199" s="6" t="s">
        <v>25</v>
      </c>
      <c r="E2199" s="7">
        <f>VLOOKUP(A2199,Sheet2!$A$2:$R$3432,4,0)</f>
        <v>9175477077</v>
      </c>
      <c r="F2199" s="7" t="str">
        <f>VLOOKUP(A2199,Sheet2!$A$2:$R$3432,3,0)</f>
        <v>Mrudul</v>
      </c>
      <c r="G2199" s="5" t="s">
        <v>25</v>
      </c>
      <c r="H2199" s="5" t="s">
        <v>25</v>
      </c>
      <c r="I2199" s="5" t="s">
        <v>25</v>
      </c>
      <c r="J2199" s="5" t="s">
        <v>25</v>
      </c>
      <c r="K2199" s="7" t="str">
        <f>VLOOKUP(A2199,Sheet2!$A$2:$R$3432,6,0)</f>
        <v>Hero Duet </v>
      </c>
      <c r="L2199" s="5" t="s">
        <v>25</v>
      </c>
      <c r="M2199" s="7" t="str">
        <f>VLOOKUP(A2199,Sheet2!$A$2:$R$3432,5,0)</f>
        <v>MH12NQ9478</v>
      </c>
      <c r="N2199" s="5" t="s">
        <v>25</v>
      </c>
      <c r="O2199" s="5" t="s">
        <v>25</v>
      </c>
      <c r="P2199" s="6" t="s">
        <v>25</v>
      </c>
      <c r="Q2199" s="5" t="s">
        <v>25</v>
      </c>
      <c r="R2199" s="5" t="s">
        <v>25</v>
      </c>
      <c r="S2199" s="5" t="str">
        <f>VLOOKUP(A2199,Sheet2!$A$2:$R$3432,18,0)</f>
        <v>JF33AG4J14052</v>
      </c>
      <c r="T2199" s="7" t="str">
        <f>VLOOKUP(A2199,Sheet2!$A$2:$R$3432,17,0)</f>
        <v>MBLJF16ESGGJ00068</v>
      </c>
    </row>
    <row r="2200" ht="15.75" customHeight="1">
      <c r="A2200" s="3" t="s">
        <v>2223</v>
      </c>
      <c r="B2200" s="4" t="str">
        <f>VLOOKUP(A2200,Sheet2!$A$2:$R$3432,2,0)</f>
        <v>2024-08-12 21:09:08</v>
      </c>
      <c r="C2200" s="5" t="s">
        <v>25</v>
      </c>
      <c r="D2200" s="6" t="s">
        <v>25</v>
      </c>
      <c r="E2200" s="7">
        <f>VLOOKUP(A2200,Sheet2!$A$2:$R$3432,4,0)</f>
        <v>9479244339</v>
      </c>
      <c r="F2200" s="7" t="str">
        <f>VLOOKUP(A2200,Sheet2!$A$2:$R$3432,3,0)</f>
        <v>SUBODH</v>
      </c>
      <c r="G2200" s="5" t="s">
        <v>25</v>
      </c>
      <c r="H2200" s="5" t="s">
        <v>25</v>
      </c>
      <c r="I2200" s="5" t="s">
        <v>25</v>
      </c>
      <c r="J2200" s="5" t="s">
        <v>25</v>
      </c>
      <c r="K2200" s="7" t="str">
        <f>VLOOKUP(A2200,Sheet2!$A$2:$R$3432,6,0)</f>
        <v>Hero Splendor Plus</v>
      </c>
      <c r="L2200" s="5" t="s">
        <v>25</v>
      </c>
      <c r="M2200" s="7" t="str">
        <f>VLOOKUP(A2200,Sheet2!$A$2:$R$3432,5,0)</f>
        <v>CG12AP6416</v>
      </c>
      <c r="N2200" s="5" t="s">
        <v>25</v>
      </c>
      <c r="O2200" s="5" t="s">
        <v>25</v>
      </c>
      <c r="P2200" s="6" t="s">
        <v>25</v>
      </c>
      <c r="Q2200" s="5" t="s">
        <v>25</v>
      </c>
      <c r="R2200" s="5" t="s">
        <v>25</v>
      </c>
      <c r="S2200" s="5" t="str">
        <f>VLOOKUP(A2200,Sheet2!$A$2:$R$3432,18,0)</f>
        <v>HA10ERG042352</v>
      </c>
      <c r="T2200" s="7" t="str">
        <f>VLOOKUP(A2200,Sheet2!$A$2:$R$3432,17,0)</f>
        <v/>
      </c>
    </row>
    <row r="2201" ht="15.75" customHeight="1">
      <c r="A2201" s="3" t="s">
        <v>2224</v>
      </c>
      <c r="B2201" s="4" t="str">
        <f>VLOOKUP(A2201,Sheet2!$A$2:$R$3432,2,0)</f>
        <v>2024-08-12 21:10:51</v>
      </c>
      <c r="C2201" s="5" t="s">
        <v>25</v>
      </c>
      <c r="D2201" s="6" t="s">
        <v>25</v>
      </c>
      <c r="E2201" s="7">
        <f>VLOOKUP(A2201,Sheet2!$A$2:$R$3432,4,0)</f>
        <v>9763489598</v>
      </c>
      <c r="F2201" s="7" t="str">
        <f>VLOOKUP(A2201,Sheet2!$A$2:$R$3432,3,0)</f>
        <v>Vaibhav Kamthe</v>
      </c>
      <c r="G2201" s="5" t="s">
        <v>25</v>
      </c>
      <c r="H2201" s="5" t="s">
        <v>25</v>
      </c>
      <c r="I2201" s="5" t="s">
        <v>25</v>
      </c>
      <c r="J2201" s="5" t="s">
        <v>25</v>
      </c>
      <c r="K2201" s="7" t="str">
        <f>VLOOKUP(A2201,Sheet2!$A$2:$R$3432,6,0)</f>
        <v>Honda Activa 3G</v>
      </c>
      <c r="L2201" s="5" t="s">
        <v>25</v>
      </c>
      <c r="M2201" s="7" t="str">
        <f>VLOOKUP(A2201,Sheet2!$A$2:$R$3432,5,0)</f>
        <v>MH14FB3856</v>
      </c>
      <c r="N2201" s="5" t="s">
        <v>25</v>
      </c>
      <c r="O2201" s="5" t="s">
        <v>25</v>
      </c>
      <c r="P2201" s="6" t="s">
        <v>25</v>
      </c>
      <c r="Q2201" s="5" t="s">
        <v>25</v>
      </c>
      <c r="R2201" s="5" t="s">
        <v>25</v>
      </c>
      <c r="S2201" s="5" t="str">
        <f>VLOOKUP(A2201,Sheet2!$A$2:$R$3432,18,0)</f>
        <v>JF50ET2644032</v>
      </c>
      <c r="T2201" s="7" t="str">
        <f>VLOOKUP(A2201,Sheet2!$A$2:$R$3432,17,0)</f>
        <v>ME4JF504HFT642985</v>
      </c>
    </row>
    <row r="2202" ht="15.75" customHeight="1">
      <c r="A2202" s="3" t="s">
        <v>2225</v>
      </c>
      <c r="B2202" s="4" t="str">
        <f>VLOOKUP(A2202,Sheet2!$A$2:$R$3432,2,0)</f>
        <v>2024-08-12 21:11:42</v>
      </c>
      <c r="C2202" s="5" t="s">
        <v>25</v>
      </c>
      <c r="D2202" s="6" t="s">
        <v>25</v>
      </c>
      <c r="E2202" s="7">
        <f>VLOOKUP(A2202,Sheet2!$A$2:$R$3432,4,0)</f>
        <v>7758078748</v>
      </c>
      <c r="F2202" s="7" t="str">
        <f>VLOOKUP(A2202,Sheet2!$A$2:$R$3432,3,0)</f>
        <v>Nilesh Patil</v>
      </c>
      <c r="G2202" s="5" t="s">
        <v>25</v>
      </c>
      <c r="H2202" s="5" t="s">
        <v>25</v>
      </c>
      <c r="I2202" s="5" t="s">
        <v>25</v>
      </c>
      <c r="J2202" s="5" t="s">
        <v>25</v>
      </c>
      <c r="K2202" s="7" t="str">
        <f>VLOOKUP(A2202,Sheet2!$A$2:$R$3432,6,0)</f>
        <v>Yamaha MT 15</v>
      </c>
      <c r="L2202" s="5" t="s">
        <v>25</v>
      </c>
      <c r="M2202" s="7" t="str">
        <f>VLOOKUP(A2202,Sheet2!$A$2:$R$3432,5,0)</f>
        <v>MH14KC4737</v>
      </c>
      <c r="N2202" s="5" t="s">
        <v>25</v>
      </c>
      <c r="O2202" s="5" t="s">
        <v>25</v>
      </c>
      <c r="P2202" s="6" t="s">
        <v>25</v>
      </c>
      <c r="Q2202" s="5" t="s">
        <v>25</v>
      </c>
      <c r="R2202" s="5" t="s">
        <v>25</v>
      </c>
      <c r="S2202" s="7" t="str">
        <f>VLOOKUP(A2202,Sheet2!$A$2:$R$3432,18,0)</f>
        <v/>
      </c>
      <c r="T2202" s="7" t="str">
        <f>VLOOKUP(A2202,Sheet2!$A$2:$R$3432,17,0)</f>
        <v/>
      </c>
    </row>
    <row r="2203" ht="15.75" customHeight="1">
      <c r="A2203" s="3" t="s">
        <v>2226</v>
      </c>
      <c r="B2203" s="4" t="str">
        <f>VLOOKUP(A2203,Sheet2!$A$2:$R$3432,2,0)</f>
        <v>2024-08-12 21:14:10</v>
      </c>
      <c r="C2203" s="5" t="s">
        <v>25</v>
      </c>
      <c r="D2203" s="6" t="s">
        <v>25</v>
      </c>
      <c r="E2203" s="7">
        <f>VLOOKUP(A2203,Sheet2!$A$2:$R$3432,4,0)</f>
        <v>9028473684</v>
      </c>
      <c r="F2203" s="7" t="str">
        <f>VLOOKUP(A2203,Sheet2!$A$2:$R$3432,3,0)</f>
        <v>AKASH</v>
      </c>
      <c r="G2203" s="5" t="s">
        <v>25</v>
      </c>
      <c r="H2203" s="5" t="s">
        <v>25</v>
      </c>
      <c r="I2203" s="5" t="s">
        <v>25</v>
      </c>
      <c r="J2203" s="5" t="s">
        <v>25</v>
      </c>
      <c r="K2203" s="7" t="str">
        <f>VLOOKUP(A2203,Sheet2!$A$2:$R$3432,6,0)</f>
        <v>Yamaha Alpha </v>
      </c>
      <c r="L2203" s="5" t="s">
        <v>25</v>
      </c>
      <c r="M2203" s="7" t="str">
        <f>VLOOKUP(A2203,Sheet2!$A$2:$R$3432,5,0)</f>
        <v>MH06BK5965</v>
      </c>
      <c r="N2203" s="5" t="s">
        <v>25</v>
      </c>
      <c r="O2203" s="5" t="s">
        <v>25</v>
      </c>
      <c r="P2203" s="6" t="s">
        <v>25</v>
      </c>
      <c r="Q2203" s="5" t="s">
        <v>25</v>
      </c>
      <c r="R2203" s="5" t="s">
        <v>25</v>
      </c>
      <c r="S2203" s="5" t="str">
        <f>VLOOKUP(A2203,Sheet2!$A$2:$R$3432,18,0)</f>
        <v>E3N7ED032578</v>
      </c>
      <c r="T2203" s="7" t="str">
        <f>VLOOKUP(A2203,Sheet2!$A$2:$R$3432,17,0)</f>
        <v>RUSTY FRAME </v>
      </c>
    </row>
    <row r="2204" ht="15.75" customHeight="1">
      <c r="A2204" s="3" t="s">
        <v>2227</v>
      </c>
      <c r="B2204" s="4" t="str">
        <f>VLOOKUP(A2204,Sheet2!$A$2:$R$3432,2,0)</f>
        <v>2024-08-12 21:15:25</v>
      </c>
      <c r="C2204" s="5" t="s">
        <v>25</v>
      </c>
      <c r="D2204" s="6" t="s">
        <v>25</v>
      </c>
      <c r="E2204" s="7">
        <f>VLOOKUP(A2204,Sheet2!$A$2:$R$3432,4,0)</f>
        <v>9322971510</v>
      </c>
      <c r="F2204" s="7" t="str">
        <f>VLOOKUP(A2204,Sheet2!$A$2:$R$3432,3,0)</f>
        <v>Vaishnavi Yadav</v>
      </c>
      <c r="G2204" s="5" t="s">
        <v>25</v>
      </c>
      <c r="H2204" s="5" t="s">
        <v>25</v>
      </c>
      <c r="I2204" s="5" t="s">
        <v>25</v>
      </c>
      <c r="J2204" s="5" t="s">
        <v>25</v>
      </c>
      <c r="K2204" s="7" t="str">
        <f>VLOOKUP(A2204,Sheet2!$A$2:$R$3432,6,0)</f>
        <v>Honda Activa 3G</v>
      </c>
      <c r="L2204" s="5" t="s">
        <v>25</v>
      </c>
      <c r="M2204" s="7" t="str">
        <f>VLOOKUP(A2204,Sheet2!$A$2:$R$3432,5,0)</f>
        <v>MH22AH4233</v>
      </c>
      <c r="N2204" s="5" t="s">
        <v>25</v>
      </c>
      <c r="O2204" s="5" t="s">
        <v>25</v>
      </c>
      <c r="P2204" s="6" t="s">
        <v>25</v>
      </c>
      <c r="Q2204" s="5" t="s">
        <v>25</v>
      </c>
      <c r="R2204" s="5" t="s">
        <v>25</v>
      </c>
      <c r="S2204" s="7" t="str">
        <f>VLOOKUP(A2204,Sheet2!$A$2:$R$3432,18,0)</f>
        <v/>
      </c>
      <c r="T2204" s="7" t="str">
        <f>VLOOKUP(A2204,Sheet2!$A$2:$R$3432,17,0)</f>
        <v/>
      </c>
    </row>
    <row r="2205" ht="15.75" customHeight="1">
      <c r="A2205" s="3" t="s">
        <v>2228</v>
      </c>
      <c r="B2205" s="4" t="str">
        <f>VLOOKUP(A2205,Sheet2!$A$2:$R$3432,2,0)</f>
        <v>2024-08-12 21:16:58</v>
      </c>
      <c r="C2205" s="5" t="s">
        <v>25</v>
      </c>
      <c r="D2205" s="6" t="s">
        <v>25</v>
      </c>
      <c r="E2205" s="7">
        <f>VLOOKUP(A2205,Sheet2!$A$2:$R$3432,4,0)</f>
        <v>9881399332</v>
      </c>
      <c r="F2205" s="7" t="str">
        <f>VLOOKUP(A2205,Sheet2!$A$2:$R$3432,3,0)</f>
        <v>Jitendra Rajput</v>
      </c>
      <c r="G2205" s="5" t="s">
        <v>25</v>
      </c>
      <c r="H2205" s="5" t="s">
        <v>25</v>
      </c>
      <c r="I2205" s="5" t="s">
        <v>25</v>
      </c>
      <c r="J2205" s="5" t="s">
        <v>25</v>
      </c>
      <c r="K2205" s="7" t="str">
        <f>VLOOKUP(A2205,Sheet2!$A$2:$R$3432,6,0)</f>
        <v>TVS Jupiter </v>
      </c>
      <c r="L2205" s="5" t="s">
        <v>25</v>
      </c>
      <c r="M2205" s="7" t="str">
        <f>VLOOKUP(A2205,Sheet2!$A$2:$R$3432,5,0)</f>
        <v>MH14GP3945</v>
      </c>
      <c r="N2205" s="5" t="s">
        <v>25</v>
      </c>
      <c r="O2205" s="5" t="s">
        <v>25</v>
      </c>
      <c r="P2205" s="6" t="s">
        <v>25</v>
      </c>
      <c r="Q2205" s="5" t="s">
        <v>25</v>
      </c>
      <c r="R2205" s="5" t="s">
        <v>25</v>
      </c>
      <c r="S2205" s="5" t="str">
        <f>VLOOKUP(A2205,Sheet2!$A$2:$R$3432,18,0)</f>
        <v>EG4HH1509418</v>
      </c>
      <c r="T2205" s="7" t="str">
        <f>VLOOKUP(A2205,Sheet2!$A$2:$R$3432,17,0)</f>
        <v>MD626EG41H1H68505</v>
      </c>
    </row>
    <row r="2206" ht="15.75" customHeight="1">
      <c r="A2206" s="3" t="s">
        <v>2229</v>
      </c>
      <c r="B2206" s="4" t="str">
        <f>VLOOKUP(A2206,Sheet2!$A$2:$R$3432,2,0)</f>
        <v>2024-08-12 21:17:53</v>
      </c>
      <c r="C2206" s="5" t="s">
        <v>25</v>
      </c>
      <c r="D2206" s="6" t="s">
        <v>25</v>
      </c>
      <c r="E2206" s="7">
        <f>VLOOKUP(A2206,Sheet2!$A$2:$R$3432,4,0)</f>
        <v>9975785984</v>
      </c>
      <c r="F2206" s="7" t="str">
        <f>VLOOKUP(A2206,Sheet2!$A$2:$R$3432,3,0)</f>
        <v>Inder Mehata</v>
      </c>
      <c r="G2206" s="5" t="s">
        <v>25</v>
      </c>
      <c r="H2206" s="5" t="s">
        <v>25</v>
      </c>
      <c r="I2206" s="5" t="s">
        <v>25</v>
      </c>
      <c r="J2206" s="5" t="s">
        <v>25</v>
      </c>
      <c r="K2206" s="7" t="str">
        <f>VLOOKUP(A2206,Sheet2!$A$2:$R$3432,6,0)</f>
        <v>Honda Activa 110</v>
      </c>
      <c r="L2206" s="5" t="s">
        <v>25</v>
      </c>
      <c r="M2206" s="7" t="str">
        <f>VLOOKUP(A2206,Sheet2!$A$2:$R$3432,5,0)</f>
        <v>KA01EZ4955</v>
      </c>
      <c r="N2206" s="5" t="s">
        <v>25</v>
      </c>
      <c r="O2206" s="5" t="s">
        <v>25</v>
      </c>
      <c r="P2206" s="6" t="s">
        <v>25</v>
      </c>
      <c r="Q2206" s="5" t="s">
        <v>25</v>
      </c>
      <c r="R2206" s="5" t="s">
        <v>25</v>
      </c>
      <c r="S2206" s="5" t="str">
        <f>VLOOKUP(A2206,Sheet2!$A$2:$R$3432,18,0)</f>
        <v>JC44E5606516</v>
      </c>
      <c r="T2206" s="7" t="str">
        <f>VLOOKUP(A2206,Sheet2!$A$2:$R$3432,17,0)</f>
        <v>ME4JC448KC76606381</v>
      </c>
    </row>
    <row r="2207" ht="15.75" customHeight="1">
      <c r="A2207" s="3" t="s">
        <v>2230</v>
      </c>
      <c r="B2207" s="4" t="str">
        <f>VLOOKUP(A2207,Sheet2!$A$2:$R$3432,2,0)</f>
        <v>2024-08-12 21:19:09</v>
      </c>
      <c r="C2207" s="5" t="s">
        <v>25</v>
      </c>
      <c r="D2207" s="6" t="s">
        <v>25</v>
      </c>
      <c r="E2207" s="7">
        <f>VLOOKUP(A2207,Sheet2!$A$2:$R$3432,4,0)</f>
        <v>7972511995</v>
      </c>
      <c r="F2207" s="7" t="str">
        <f>VLOOKUP(A2207,Sheet2!$A$2:$R$3432,3,0)</f>
        <v>TEJ DESHMUKH </v>
      </c>
      <c r="G2207" s="5" t="s">
        <v>25</v>
      </c>
      <c r="H2207" s="5" t="s">
        <v>25</v>
      </c>
      <c r="I2207" s="5" t="s">
        <v>25</v>
      </c>
      <c r="J2207" s="5" t="s">
        <v>25</v>
      </c>
      <c r="K2207" s="7" t="str">
        <f>VLOOKUP(A2207,Sheet2!$A$2:$R$3432,6,0)</f>
        <v>Bajaj Avenger 160 Street</v>
      </c>
      <c r="L2207" s="5" t="s">
        <v>25</v>
      </c>
      <c r="M2207" s="7" t="str">
        <f>VLOOKUP(A2207,Sheet2!$A$2:$R$3432,5,0)</f>
        <v>MH49BS1180</v>
      </c>
      <c r="N2207" s="5" t="s">
        <v>25</v>
      </c>
      <c r="O2207" s="5" t="s">
        <v>25</v>
      </c>
      <c r="P2207" s="6" t="s">
        <v>25</v>
      </c>
      <c r="Q2207" s="5" t="s">
        <v>25</v>
      </c>
      <c r="R2207" s="5" t="s">
        <v>25</v>
      </c>
      <c r="S2207" s="5" t="str">
        <f>VLOOKUP(A2207,Sheet2!$A$2:$R$3432,18,0)</f>
        <v>PDXCMG005879</v>
      </c>
      <c r="T2207" s="7" t="str">
        <f>VLOOKUP(A2207,Sheet2!$A$2:$R$3432,17,0)</f>
        <v>MD2B57CX4MCC12168</v>
      </c>
    </row>
    <row r="2208" ht="15.75" customHeight="1">
      <c r="A2208" s="3" t="s">
        <v>2231</v>
      </c>
      <c r="B2208" s="4" t="str">
        <f>VLOOKUP(A2208,Sheet2!$A$2:$R$3432,2,0)</f>
        <v>2025-04-21 18:18:45</v>
      </c>
      <c r="C2208" s="5" t="s">
        <v>25</v>
      </c>
      <c r="D2208" s="6" t="s">
        <v>25</v>
      </c>
      <c r="E2208" s="7">
        <f>VLOOKUP(A2208,Sheet2!$A$2:$R$3432,4,0)</f>
        <v>7387623172</v>
      </c>
      <c r="F2208" s="7" t="str">
        <f>VLOOKUP(A2208,Sheet2!$A$2:$R$3432,3,0)</f>
        <v>RAM KISHOR</v>
      </c>
      <c r="G2208" s="5" t="s">
        <v>25</v>
      </c>
      <c r="H2208" s="5" t="s">
        <v>25</v>
      </c>
      <c r="I2208" s="5" t="s">
        <v>25</v>
      </c>
      <c r="J2208" s="5" t="s">
        <v>25</v>
      </c>
      <c r="K2208" s="7" t="str">
        <f>VLOOKUP(A2208,Sheet2!$A$2:$R$3432,6,0)</f>
        <v>Honda Activa 5G</v>
      </c>
      <c r="L2208" s="5" t="s">
        <v>25</v>
      </c>
      <c r="M2208" s="7" t="str">
        <f>VLOOKUP(A2208,Sheet2!$A$2:$R$3432,5,0)</f>
        <v>MH48BQ7225</v>
      </c>
      <c r="N2208" s="5" t="s">
        <v>25</v>
      </c>
      <c r="O2208" s="5" t="s">
        <v>25</v>
      </c>
      <c r="P2208" s="6" t="s">
        <v>25</v>
      </c>
      <c r="Q2208" s="5" t="s">
        <v>25</v>
      </c>
      <c r="R2208" s="5" t="s">
        <v>25</v>
      </c>
      <c r="S2208" s="5" t="str">
        <f>VLOOKUP(A2208,Sheet2!$A$2:$R$3432,18,0)</f>
        <v>JF50EW00560656</v>
      </c>
      <c r="T2208" s="7" t="str">
        <f>VLOOKUP(A2208,Sheet2!$A$2:$R$3432,17,0)</f>
        <v>ME4JF50AEKW050646</v>
      </c>
    </row>
    <row r="2209" ht="15.75" customHeight="1">
      <c r="A2209" s="3" t="s">
        <v>2232</v>
      </c>
      <c r="B2209" s="4" t="str">
        <f>VLOOKUP(A2209,Sheet2!$A$2:$R$3432,2,0)</f>
        <v>2025-04-21 18:21:02</v>
      </c>
      <c r="C2209" s="5" t="s">
        <v>25</v>
      </c>
      <c r="D2209" s="6" t="s">
        <v>25</v>
      </c>
      <c r="E2209" s="7">
        <f>VLOOKUP(A2209,Sheet2!$A$2:$R$3432,4,0)</f>
        <v>8225891851</v>
      </c>
      <c r="F2209" s="7" t="str">
        <f>VLOOKUP(A2209,Sheet2!$A$2:$R$3432,3,0)</f>
        <v>KAMLESH PAWAR</v>
      </c>
      <c r="G2209" s="5" t="s">
        <v>25</v>
      </c>
      <c r="H2209" s="5" t="s">
        <v>25</v>
      </c>
      <c r="I2209" s="5" t="s">
        <v>25</v>
      </c>
      <c r="J2209" s="5" t="s">
        <v>25</v>
      </c>
      <c r="K2209" s="7" t="str">
        <f>VLOOKUP(A2209,Sheet2!$A$2:$R$3432,6,0)</f>
        <v>Bajaj Discover 125T</v>
      </c>
      <c r="L2209" s="5" t="s">
        <v>25</v>
      </c>
      <c r="M2209" s="7" t="str">
        <f>VLOOKUP(A2209,Sheet2!$A$2:$R$3432,5,0)</f>
        <v>MH12KD199</v>
      </c>
      <c r="N2209" s="5" t="s">
        <v>25</v>
      </c>
      <c r="O2209" s="5" t="s">
        <v>25</v>
      </c>
      <c r="P2209" s="6" t="s">
        <v>25</v>
      </c>
      <c r="Q2209" s="5" t="s">
        <v>25</v>
      </c>
      <c r="R2209" s="5" t="s">
        <v>25</v>
      </c>
      <c r="S2209" s="5" t="str">
        <f>VLOOKUP(A2209,Sheet2!$A$2:$R$3432,18,0)</f>
        <v>KZMB4L41031</v>
      </c>
      <c r="T2209" s="7" t="str">
        <f>VLOOKUP(A2209,Sheet2!$A$2:$R$3432,17,0)</f>
        <v>MD2DSJZZZ4WL29023</v>
      </c>
    </row>
    <row r="2210" ht="15.75" customHeight="1">
      <c r="A2210" s="3" t="s">
        <v>2233</v>
      </c>
      <c r="B2210" s="4" t="str">
        <f>VLOOKUP(A2210,Sheet2!$A$2:$R$3432,2,0)</f>
        <v>2025-04-21 18:28:40</v>
      </c>
      <c r="C2210" s="5" t="s">
        <v>25</v>
      </c>
      <c r="D2210" s="6" t="s">
        <v>25</v>
      </c>
      <c r="E2210" s="7">
        <f>VLOOKUP(A2210,Sheet2!$A$2:$R$3432,4,0)</f>
        <v>8698552311</v>
      </c>
      <c r="F2210" s="7" t="str">
        <f>VLOOKUP(A2210,Sheet2!$A$2:$R$3432,3,0)</f>
        <v>CHETANA PATIL</v>
      </c>
      <c r="G2210" s="5" t="s">
        <v>25</v>
      </c>
      <c r="H2210" s="5" t="s">
        <v>25</v>
      </c>
      <c r="I2210" s="5" t="s">
        <v>25</v>
      </c>
      <c r="J2210" s="5" t="s">
        <v>25</v>
      </c>
      <c r="K2210" s="7" t="str">
        <f>VLOOKUP(A2210,Sheet2!$A$2:$R$3432,6,0)</f>
        <v>TVS Jupiter </v>
      </c>
      <c r="L2210" s="5" t="s">
        <v>25</v>
      </c>
      <c r="M2210" s="7" t="str">
        <f>VLOOKUP(A2210,Sheet2!$A$2:$R$3432,5,0)</f>
        <v>MH14JC0577</v>
      </c>
      <c r="N2210" s="5" t="s">
        <v>25</v>
      </c>
      <c r="O2210" s="5" t="s">
        <v>25</v>
      </c>
      <c r="P2210" s="6" t="s">
        <v>25</v>
      </c>
      <c r="Q2210" s="5" t="s">
        <v>25</v>
      </c>
      <c r="R2210" s="5" t="s">
        <v>25</v>
      </c>
      <c r="S2210" s="7" t="str">
        <f>VLOOKUP(A2210,Sheet2!$A$2:$R$3432,18,0)</f>
        <v/>
      </c>
      <c r="T2210" s="7" t="str">
        <f>VLOOKUP(A2210,Sheet2!$A$2:$R$3432,17,0)</f>
        <v/>
      </c>
    </row>
    <row r="2211" ht="15.75" customHeight="1">
      <c r="A2211" s="3" t="s">
        <v>2234</v>
      </c>
      <c r="B2211" s="4" t="str">
        <f>VLOOKUP(A2211,Sheet2!$A$2:$R$3432,2,0)</f>
        <v>2025-04-21 19:21:37</v>
      </c>
      <c r="C2211" s="5" t="s">
        <v>25</v>
      </c>
      <c r="D2211" s="6" t="s">
        <v>25</v>
      </c>
      <c r="E2211" s="7">
        <f>VLOOKUP(A2211,Sheet2!$A$2:$R$3432,4,0)</f>
        <v>8838258454</v>
      </c>
      <c r="F2211" s="7" t="str">
        <f>VLOOKUP(A2211,Sheet2!$A$2:$R$3432,3,0)</f>
        <v>Geethan</v>
      </c>
      <c r="G2211" s="5" t="s">
        <v>25</v>
      </c>
      <c r="H2211" s="5" t="s">
        <v>25</v>
      </c>
      <c r="I2211" s="5" t="s">
        <v>25</v>
      </c>
      <c r="J2211" s="5" t="s">
        <v>25</v>
      </c>
      <c r="K2211" s="7" t="str">
        <f>VLOOKUP(A2211,Sheet2!$A$2:$R$3432,6,0)</f>
        <v>Suzuki Access No Data</v>
      </c>
      <c r="L2211" s="5" t="s">
        <v>25</v>
      </c>
      <c r="M2211" s="7" t="str">
        <f>VLOOKUP(A2211,Sheet2!$A$2:$R$3432,5,0)</f>
        <v>TN38CV8110</v>
      </c>
      <c r="N2211" s="5" t="s">
        <v>25</v>
      </c>
      <c r="O2211" s="5" t="s">
        <v>25</v>
      </c>
      <c r="P2211" s="6" t="s">
        <v>25</v>
      </c>
      <c r="Q2211" s="5" t="s">
        <v>25</v>
      </c>
      <c r="R2211" s="5" t="s">
        <v>25</v>
      </c>
      <c r="S2211" s="7" t="str">
        <f>VLOOKUP(A2211,Sheet2!$A$2:$R$3432,18,0)</f>
        <v/>
      </c>
      <c r="T2211" s="7" t="str">
        <f>VLOOKUP(A2211,Sheet2!$A$2:$R$3432,17,0)</f>
        <v/>
      </c>
    </row>
    <row r="2212" ht="15.75" customHeight="1">
      <c r="A2212" s="3" t="s">
        <v>2235</v>
      </c>
      <c r="B2212" s="4" t="str">
        <f>VLOOKUP(A2212,Sheet2!$A$2:$R$3432,2,0)</f>
        <v>2025-04-21 19:22:20</v>
      </c>
      <c r="C2212" s="5" t="s">
        <v>25</v>
      </c>
      <c r="D2212" s="6" t="s">
        <v>25</v>
      </c>
      <c r="E2212" s="7">
        <f>VLOOKUP(A2212,Sheet2!$A$2:$R$3432,4,0)</f>
        <v>7798677899</v>
      </c>
      <c r="F2212" s="7" t="str">
        <f>VLOOKUP(A2212,Sheet2!$A$2:$R$3432,3,0)</f>
        <v>Siddharth</v>
      </c>
      <c r="G2212" s="5" t="s">
        <v>25</v>
      </c>
      <c r="H2212" s="5" t="s">
        <v>25</v>
      </c>
      <c r="I2212" s="5" t="s">
        <v>25</v>
      </c>
      <c r="J2212" s="5" t="s">
        <v>25</v>
      </c>
      <c r="K2212" s="7" t="str">
        <f>VLOOKUP(A2212,Sheet2!$A$2:$R$3432,6,0)</f>
        <v>Hero Duet </v>
      </c>
      <c r="L2212" s="5" t="s">
        <v>25</v>
      </c>
      <c r="M2212" s="7" t="str">
        <f>VLOOKUP(A2212,Sheet2!$A$2:$R$3432,5,0)</f>
        <v>MH12MZ4982</v>
      </c>
      <c r="N2212" s="5" t="s">
        <v>25</v>
      </c>
      <c r="O2212" s="5" t="s">
        <v>25</v>
      </c>
      <c r="P2212" s="6" t="s">
        <v>25</v>
      </c>
      <c r="Q2212" s="5" t="s">
        <v>25</v>
      </c>
      <c r="R2212" s="5" t="s">
        <v>25</v>
      </c>
      <c r="S2212" s="5" t="str">
        <f>VLOOKUP(A2212,Sheet2!$A$2:$R$3432,18,0)</f>
        <v>JF33AAGGD04603</v>
      </c>
      <c r="T2212" s="7" t="str">
        <f>VLOOKUP(A2212,Sheet2!$A$2:$R$3432,17,0)</f>
        <v>MBLJF16ESGGD03494</v>
      </c>
    </row>
    <row r="2213" ht="15.75" customHeight="1">
      <c r="A2213" s="3" t="s">
        <v>2236</v>
      </c>
      <c r="B2213" s="4" t="str">
        <f>VLOOKUP(A2213,Sheet2!$A$2:$R$3432,2,0)</f>
        <v>2025-04-21 19:22:42</v>
      </c>
      <c r="C2213" s="5" t="s">
        <v>25</v>
      </c>
      <c r="D2213" s="6" t="s">
        <v>25</v>
      </c>
      <c r="E2213" s="7">
        <f>VLOOKUP(A2213,Sheet2!$A$2:$R$3432,4,0)</f>
        <v>9146526026</v>
      </c>
      <c r="F2213" s="7" t="str">
        <f>VLOOKUP(A2213,Sheet2!$A$2:$R$3432,3,0)</f>
        <v>SHIVANI</v>
      </c>
      <c r="G2213" s="5" t="s">
        <v>25</v>
      </c>
      <c r="H2213" s="5" t="s">
        <v>25</v>
      </c>
      <c r="I2213" s="5" t="s">
        <v>25</v>
      </c>
      <c r="J2213" s="5" t="s">
        <v>25</v>
      </c>
      <c r="K2213" s="7" t="str">
        <f>VLOOKUP(A2213,Sheet2!$A$2:$R$3432,6,0)</f>
        <v>Honda Activa 6G</v>
      </c>
      <c r="L2213" s="5" t="s">
        <v>25</v>
      </c>
      <c r="M2213" s="7" t="str">
        <f>VLOOKUP(A2213,Sheet2!$A$2:$R$3432,5,0)</f>
        <v>MH26CA5834</v>
      </c>
      <c r="N2213" s="5" t="s">
        <v>25</v>
      </c>
      <c r="O2213" s="5" t="s">
        <v>25</v>
      </c>
      <c r="P2213" s="6" t="s">
        <v>25</v>
      </c>
      <c r="Q2213" s="5" t="s">
        <v>25</v>
      </c>
      <c r="R2213" s="5" t="s">
        <v>25</v>
      </c>
      <c r="S2213" s="5" t="str">
        <f>VLOOKUP(A2213,Sheet2!$A$2:$R$3432,18,0)</f>
        <v>JF91EW4027957</v>
      </c>
      <c r="T2213" s="7" t="str">
        <f>VLOOKUP(A2213,Sheet2!$A$2:$R$3432,17,0)</f>
        <v>ME4JF917MMW028044</v>
      </c>
    </row>
    <row r="2214" ht="15.75" customHeight="1">
      <c r="A2214" s="3" t="s">
        <v>2237</v>
      </c>
      <c r="B2214" s="4" t="str">
        <f>VLOOKUP(A2214,Sheet2!$A$2:$R$3432,2,0)</f>
        <v>2025-04-21 19:40:12</v>
      </c>
      <c r="C2214" s="5" t="s">
        <v>25</v>
      </c>
      <c r="D2214" s="6" t="s">
        <v>25</v>
      </c>
      <c r="E2214" s="7">
        <f>VLOOKUP(A2214,Sheet2!$A$2:$R$3432,4,0)</f>
        <v>7507198849</v>
      </c>
      <c r="F2214" s="7" t="str">
        <f>VLOOKUP(A2214,Sheet2!$A$2:$R$3432,3,0)</f>
        <v>GURAV</v>
      </c>
      <c r="G2214" s="5" t="s">
        <v>25</v>
      </c>
      <c r="H2214" s="5" t="s">
        <v>25</v>
      </c>
      <c r="I2214" s="5" t="s">
        <v>25</v>
      </c>
      <c r="J2214" s="5" t="s">
        <v>25</v>
      </c>
      <c r="K2214" s="7" t="str">
        <f>VLOOKUP(A2214,Sheet2!$A$2:$R$3432,6,0)</f>
        <v>Hero Karizma R</v>
      </c>
      <c r="L2214" s="5" t="s">
        <v>25</v>
      </c>
      <c r="M2214" s="7" t="str">
        <f>VLOOKUP(A2214,Sheet2!$A$2:$R$3432,5,0)</f>
        <v>MH15DG2354</v>
      </c>
      <c r="N2214" s="5" t="s">
        <v>25</v>
      </c>
      <c r="O2214" s="5" t="s">
        <v>25</v>
      </c>
      <c r="P2214" s="6" t="s">
        <v>25</v>
      </c>
      <c r="Q2214" s="5" t="s">
        <v>25</v>
      </c>
      <c r="R2214" s="5" t="s">
        <v>25</v>
      </c>
      <c r="S2214" s="7" t="str">
        <f>VLOOKUP(A2214,Sheet2!$A$2:$R$3432,18,0)</f>
        <v/>
      </c>
      <c r="T2214" s="7" t="str">
        <f>VLOOKUP(A2214,Sheet2!$A$2:$R$3432,17,0)</f>
        <v/>
      </c>
    </row>
    <row r="2215" ht="15.75" customHeight="1">
      <c r="A2215" s="3" t="s">
        <v>2238</v>
      </c>
      <c r="B2215" s="4" t="str">
        <f>VLOOKUP(A2215,Sheet2!$A$2:$R$3432,2,0)</f>
        <v>2025-04-21 20:06:04</v>
      </c>
      <c r="C2215" s="5" t="s">
        <v>25</v>
      </c>
      <c r="D2215" s="6" t="s">
        <v>25</v>
      </c>
      <c r="E2215" s="7">
        <f>VLOOKUP(A2215,Sheet2!$A$2:$R$3432,4,0)</f>
        <v>9907870877</v>
      </c>
      <c r="F2215" s="7" t="str">
        <f>VLOOKUP(A2215,Sheet2!$A$2:$R$3432,3,0)</f>
        <v>Raunak</v>
      </c>
      <c r="G2215" s="5" t="s">
        <v>25</v>
      </c>
      <c r="H2215" s="5" t="s">
        <v>25</v>
      </c>
      <c r="I2215" s="5" t="s">
        <v>25</v>
      </c>
      <c r="J2215" s="5" t="s">
        <v>25</v>
      </c>
      <c r="K2215" s="7" t="str">
        <f>VLOOKUP(A2215,Sheet2!$A$2:$R$3432,6,0)</f>
        <v>Bajaj Discover 100M</v>
      </c>
      <c r="L2215" s="5" t="s">
        <v>25</v>
      </c>
      <c r="M2215" s="7" t="str">
        <f>VLOOKUP(A2215,Sheet2!$A$2:$R$3432,5,0)</f>
        <v>MP40ML9858</v>
      </c>
      <c r="N2215" s="5" t="s">
        <v>25</v>
      </c>
      <c r="O2215" s="5" t="s">
        <v>25</v>
      </c>
      <c r="P2215" s="6" t="s">
        <v>25</v>
      </c>
      <c r="Q2215" s="5" t="s">
        <v>25</v>
      </c>
      <c r="R2215" s="5" t="s">
        <v>25</v>
      </c>
      <c r="S2215" s="5" t="str">
        <f>VLOOKUP(A2215,Sheet2!$A$2:$R$3432,18,0)</f>
        <v>PAZRFD54297</v>
      </c>
      <c r="T2215" s="7" t="str">
        <f>VLOOKUP(A2215,Sheet2!$A$2:$R$3432,17,0)</f>
        <v>MD2A57AZ9FRD50630</v>
      </c>
    </row>
    <row r="2216" ht="15.75" customHeight="1">
      <c r="A2216" s="3" t="s">
        <v>2239</v>
      </c>
      <c r="B2216" s="4" t="str">
        <f>VLOOKUP(A2216,Sheet2!$A$2:$R$3432,2,0)</f>
        <v>2025-04-21 20:06:47</v>
      </c>
      <c r="C2216" s="5" t="s">
        <v>25</v>
      </c>
      <c r="D2216" s="6" t="s">
        <v>25</v>
      </c>
      <c r="E2216" s="7">
        <f>VLOOKUP(A2216,Sheet2!$A$2:$R$3432,4,0)</f>
        <v>9923195606</v>
      </c>
      <c r="F2216" s="7" t="str">
        <f>VLOOKUP(A2216,Sheet2!$A$2:$R$3432,3,0)</f>
        <v>SHAILESH </v>
      </c>
      <c r="G2216" s="5" t="s">
        <v>25</v>
      </c>
      <c r="H2216" s="5" t="s">
        <v>25</v>
      </c>
      <c r="I2216" s="5" t="s">
        <v>25</v>
      </c>
      <c r="J2216" s="5" t="s">
        <v>25</v>
      </c>
      <c r="K2216" s="7" t="str">
        <f>VLOOKUP(A2216,Sheet2!$A$2:$R$3432,6,0)</f>
        <v>Honda Activa 110</v>
      </c>
      <c r="L2216" s="5" t="s">
        <v>25</v>
      </c>
      <c r="M2216" s="7" t="str">
        <f>VLOOKUP(A2216,Sheet2!$A$2:$R$3432,5,0)</f>
        <v>MH12JL8143</v>
      </c>
      <c r="N2216" s="5" t="s">
        <v>25</v>
      </c>
      <c r="O2216" s="5" t="s">
        <v>25</v>
      </c>
      <c r="P2216" s="6" t="s">
        <v>25</v>
      </c>
      <c r="Q2216" s="5" t="s">
        <v>25</v>
      </c>
      <c r="R2216" s="5" t="s">
        <v>25</v>
      </c>
      <c r="S2216" s="5" t="str">
        <f>VLOOKUP(A2216,Sheet2!$A$2:$R$3432,18,0)</f>
        <v>JC44E2366646</v>
      </c>
      <c r="T2216" s="7" t="str">
        <f>VLOOKUP(A2216,Sheet2!$A$2:$R$3432,17,0)</f>
        <v>ME4JC447K08255601</v>
      </c>
    </row>
    <row r="2217" ht="15.75" customHeight="1">
      <c r="A2217" s="3" t="s">
        <v>2240</v>
      </c>
      <c r="B2217" s="4" t="str">
        <f>VLOOKUP(A2217,Sheet2!$A$2:$R$3432,2,0)</f>
        <v>2024-08-01 20:22:33</v>
      </c>
      <c r="C2217" s="5" t="s">
        <v>25</v>
      </c>
      <c r="D2217" s="6" t="s">
        <v>25</v>
      </c>
      <c r="E2217" s="7">
        <f>VLOOKUP(A2217,Sheet2!$A$2:$R$3432,4,0)</f>
        <v>8329558211</v>
      </c>
      <c r="F2217" s="7" t="str">
        <f>VLOOKUP(A2217,Sheet2!$A$2:$R$3432,3,0)</f>
        <v>RAVINDRA BATE</v>
      </c>
      <c r="G2217" s="5" t="s">
        <v>25</v>
      </c>
      <c r="H2217" s="5" t="s">
        <v>25</v>
      </c>
      <c r="I2217" s="5" t="s">
        <v>25</v>
      </c>
      <c r="J2217" s="5" t="s">
        <v>25</v>
      </c>
      <c r="K2217" s="7" t="str">
        <f>VLOOKUP(A2217,Sheet2!$A$2:$R$3432,6,0)</f>
        <v>Bajaj Platina 100 ES CBS</v>
      </c>
      <c r="L2217" s="5" t="s">
        <v>25</v>
      </c>
      <c r="M2217" s="7" t="str">
        <f>VLOOKUP(A2217,Sheet2!$A$2:$R$3432,5,0)</f>
        <v>MH15FX7230</v>
      </c>
      <c r="N2217" s="5" t="s">
        <v>25</v>
      </c>
      <c r="O2217" s="5" t="s">
        <v>25</v>
      </c>
      <c r="P2217" s="6" t="s">
        <v>25</v>
      </c>
      <c r="Q2217" s="5" t="s">
        <v>25</v>
      </c>
      <c r="R2217" s="5" t="s">
        <v>25</v>
      </c>
      <c r="S2217" s="7" t="str">
        <f>VLOOKUP(A2217,Sheet2!$A$2:$R$3432,18,0)</f>
        <v/>
      </c>
      <c r="T2217" s="7" t="str">
        <f>VLOOKUP(A2217,Sheet2!$A$2:$R$3432,17,0)</f>
        <v/>
      </c>
    </row>
    <row r="2218" ht="15.75" customHeight="1">
      <c r="A2218" s="3" t="s">
        <v>2241</v>
      </c>
      <c r="B2218" s="4" t="str">
        <f>VLOOKUP(A2218,Sheet2!$A$2:$R$3432,2,0)</f>
        <v>2024-08-01 20:20:11</v>
      </c>
      <c r="C2218" s="5" t="s">
        <v>25</v>
      </c>
      <c r="D2218" s="6" t="s">
        <v>25</v>
      </c>
      <c r="E2218" s="7">
        <f>VLOOKUP(A2218,Sheet2!$A$2:$R$3432,4,0)</f>
        <v>8830593778</v>
      </c>
      <c r="F2218" s="7" t="str">
        <f>VLOOKUP(A2218,Sheet2!$A$2:$R$3432,3,0)</f>
        <v>ROHAN KAREKAR</v>
      </c>
      <c r="G2218" s="5" t="s">
        <v>25</v>
      </c>
      <c r="H2218" s="5" t="s">
        <v>25</v>
      </c>
      <c r="I2218" s="5" t="s">
        <v>25</v>
      </c>
      <c r="J2218" s="5" t="s">
        <v>25</v>
      </c>
      <c r="K2218" s="7" t="str">
        <f>VLOOKUP(A2218,Sheet2!$A$2:$R$3432,6,0)</f>
        <v>Yamaha FZ V3</v>
      </c>
      <c r="L2218" s="5" t="s">
        <v>25</v>
      </c>
      <c r="M2218" s="7" t="str">
        <f>VLOOKUP(A2218,Sheet2!$A$2:$R$3432,5,0)</f>
        <v>MH08AW9721</v>
      </c>
      <c r="N2218" s="5" t="s">
        <v>25</v>
      </c>
      <c r="O2218" s="5" t="s">
        <v>25</v>
      </c>
      <c r="P2218" s="6" t="s">
        <v>25</v>
      </c>
      <c r="Q2218" s="5" t="s">
        <v>25</v>
      </c>
      <c r="R2218" s="5" t="s">
        <v>25</v>
      </c>
      <c r="S2218" s="7" t="str">
        <f>VLOOKUP(A2218,Sheet2!$A$2:$R$3432,18,0)</f>
        <v/>
      </c>
      <c r="T2218" s="7" t="str">
        <f>VLOOKUP(A2218,Sheet2!$A$2:$R$3432,17,0)</f>
        <v/>
      </c>
    </row>
    <row r="2219" ht="15.75" customHeight="1">
      <c r="A2219" s="3" t="s">
        <v>2242</v>
      </c>
      <c r="B2219" s="4" t="str">
        <f>VLOOKUP(A2219,Sheet2!$A$2:$R$3432,2,0)</f>
        <v>2024-08-01 20:20:56</v>
      </c>
      <c r="C2219" s="5" t="s">
        <v>25</v>
      </c>
      <c r="D2219" s="6" t="s">
        <v>25</v>
      </c>
      <c r="E2219" s="7">
        <f>VLOOKUP(A2219,Sheet2!$A$2:$R$3432,4,0)</f>
        <v>7028637166</v>
      </c>
      <c r="F2219" s="7" t="str">
        <f>VLOOKUP(A2219,Sheet2!$A$2:$R$3432,3,0)</f>
        <v>Abhijeet Nayak</v>
      </c>
      <c r="G2219" s="5" t="s">
        <v>25</v>
      </c>
      <c r="H2219" s="5" t="s">
        <v>25</v>
      </c>
      <c r="I2219" s="5" t="s">
        <v>25</v>
      </c>
      <c r="J2219" s="5" t="s">
        <v>25</v>
      </c>
      <c r="K2219" s="7" t="str">
        <f>VLOOKUP(A2219,Sheet2!$A$2:$R$3432,6,0)</f>
        <v>Suzuki Gixxer </v>
      </c>
      <c r="L2219" s="5" t="s">
        <v>25</v>
      </c>
      <c r="M2219" s="7" t="str">
        <f>VLOOKUP(A2219,Sheet2!$A$2:$R$3432,5,0)</f>
        <v>MH14EZ9066</v>
      </c>
      <c r="N2219" s="5" t="s">
        <v>25</v>
      </c>
      <c r="O2219" s="5" t="s">
        <v>25</v>
      </c>
      <c r="P2219" s="6" t="s">
        <v>25</v>
      </c>
      <c r="Q2219" s="5" t="s">
        <v>25</v>
      </c>
      <c r="R2219" s="5" t="s">
        <v>25</v>
      </c>
      <c r="S2219" s="5" t="str">
        <f>VLOOKUP(A2219,Sheet2!$A$2:$R$3432,18,0)</f>
        <v>BGA1150188</v>
      </c>
      <c r="T2219" s="7" t="str">
        <f>VLOOKUP(A2219,Sheet2!$A$2:$R$3432,17,0)</f>
        <v>MB8NG4BADF8150872</v>
      </c>
    </row>
    <row r="2220" ht="15.75" customHeight="1">
      <c r="A2220" s="3" t="s">
        <v>2243</v>
      </c>
      <c r="B2220" s="4" t="str">
        <f>VLOOKUP(A2220,Sheet2!$A$2:$R$3432,2,0)</f>
        <v>2024-08-01 20:24:42</v>
      </c>
      <c r="C2220" s="5" t="s">
        <v>25</v>
      </c>
      <c r="D2220" s="6" t="s">
        <v>25</v>
      </c>
      <c r="E2220" s="7">
        <f>VLOOKUP(A2220,Sheet2!$A$2:$R$3432,4,0)</f>
        <v>8805328527</v>
      </c>
      <c r="F2220" s="7" t="str">
        <f>VLOOKUP(A2220,Sheet2!$A$2:$R$3432,3,0)</f>
        <v>Sagar Kalshetty</v>
      </c>
      <c r="G2220" s="5" t="s">
        <v>25</v>
      </c>
      <c r="H2220" s="5" t="s">
        <v>25</v>
      </c>
      <c r="I2220" s="5" t="s">
        <v>25</v>
      </c>
      <c r="J2220" s="5" t="s">
        <v>25</v>
      </c>
      <c r="K2220" s="7" t="str">
        <f>VLOOKUP(A2220,Sheet2!$A$2:$R$3432,6,0)</f>
        <v>Honda Dio </v>
      </c>
      <c r="L2220" s="5" t="s">
        <v>25</v>
      </c>
      <c r="M2220" s="7" t="str">
        <f>VLOOKUP(A2220,Sheet2!$A$2:$R$3432,5,0)</f>
        <v>MH14HX2701</v>
      </c>
      <c r="N2220" s="5" t="s">
        <v>25</v>
      </c>
      <c r="O2220" s="5" t="s">
        <v>25</v>
      </c>
      <c r="P2220" s="6" t="s">
        <v>25</v>
      </c>
      <c r="Q2220" s="5" t="s">
        <v>25</v>
      </c>
      <c r="R2220" s="5" t="s">
        <v>25</v>
      </c>
      <c r="S2220" s="5" t="str">
        <f>VLOOKUP(A2220,Sheet2!$A$2:$R$3432,18,0)</f>
        <v>JF39EN042285</v>
      </c>
      <c r="T2220" s="7" t="str">
        <f>VLOOKUP(A2220,Sheet2!$A$2:$R$3432,17,0)</f>
        <v>ME4JF39KKE0510029</v>
      </c>
    </row>
    <row r="2221" ht="15.75" customHeight="1">
      <c r="A2221" s="3" t="s">
        <v>2244</v>
      </c>
      <c r="B2221" s="4" t="str">
        <f>VLOOKUP(A2221,Sheet2!$A$2:$R$3432,2,0)</f>
        <v>2024-08-01 20:16:44</v>
      </c>
      <c r="C2221" s="5" t="s">
        <v>25</v>
      </c>
      <c r="D2221" s="6" t="s">
        <v>25</v>
      </c>
      <c r="E2221" s="7">
        <f>VLOOKUP(A2221,Sheet2!$A$2:$R$3432,4,0)</f>
        <v>8840379182</v>
      </c>
      <c r="F2221" s="7" t="str">
        <f>VLOOKUP(A2221,Sheet2!$A$2:$R$3432,3,0)</f>
        <v>Aman Shrivastav </v>
      </c>
      <c r="G2221" s="5" t="s">
        <v>25</v>
      </c>
      <c r="H2221" s="5" t="s">
        <v>25</v>
      </c>
      <c r="I2221" s="5" t="s">
        <v>25</v>
      </c>
      <c r="J2221" s="5" t="s">
        <v>25</v>
      </c>
      <c r="K2221" s="7" t="str">
        <f>VLOOKUP(A2221,Sheet2!$A$2:$R$3432,6,0)</f>
        <v>Hero Passion Pro</v>
      </c>
      <c r="L2221" s="5" t="s">
        <v>25</v>
      </c>
      <c r="M2221" s="7" t="str">
        <f>VLOOKUP(A2221,Sheet2!$A$2:$R$3432,5,0)</f>
        <v>MH14HH4247</v>
      </c>
      <c r="N2221" s="5" t="s">
        <v>25</v>
      </c>
      <c r="O2221" s="5" t="s">
        <v>25</v>
      </c>
      <c r="P2221" s="6" t="s">
        <v>25</v>
      </c>
      <c r="Q2221" s="5" t="s">
        <v>25</v>
      </c>
      <c r="R2221" s="5" t="s">
        <v>25</v>
      </c>
      <c r="S2221" s="5" t="str">
        <f>VLOOKUP(A2221,Sheet2!$A$2:$R$3432,18,0)</f>
        <v>HA10ACJ5U3289</v>
      </c>
      <c r="T2221" s="7" t="str">
        <f>VLOOKUP(A2221,Sheet2!$A$2:$R$3432,17,0)</f>
        <v>MBLHAR183J5H03284</v>
      </c>
    </row>
    <row r="2222" ht="15.75" customHeight="1">
      <c r="A2222" s="3" t="s">
        <v>2245</v>
      </c>
      <c r="B2222" s="4" t="str">
        <f>VLOOKUP(A2222,Sheet2!$A$2:$R$3432,2,0)</f>
        <v>2024-08-01 20:17:46</v>
      </c>
      <c r="C2222" s="5" t="s">
        <v>25</v>
      </c>
      <c r="D2222" s="6" t="s">
        <v>25</v>
      </c>
      <c r="E2222" s="7">
        <f>VLOOKUP(A2222,Sheet2!$A$2:$R$3432,4,0)</f>
        <v>9021561435</v>
      </c>
      <c r="F2222" s="7" t="str">
        <f>VLOOKUP(A2222,Sheet2!$A$2:$R$3432,3,0)</f>
        <v>ASHUTOSH RODE</v>
      </c>
      <c r="G2222" s="5" t="s">
        <v>25</v>
      </c>
      <c r="H2222" s="5" t="s">
        <v>25</v>
      </c>
      <c r="I2222" s="5" t="s">
        <v>25</v>
      </c>
      <c r="J2222" s="5" t="s">
        <v>25</v>
      </c>
      <c r="K2222" s="7" t="str">
        <f>VLOOKUP(A2222,Sheet2!$A$2:$R$3432,6,0)</f>
        <v>Bajaj Pulsar 180</v>
      </c>
      <c r="L2222" s="5" t="s">
        <v>25</v>
      </c>
      <c r="M2222" s="7" t="str">
        <f>VLOOKUP(A2222,Sheet2!$A$2:$R$3432,5,0)</f>
        <v>MH12ES2692</v>
      </c>
      <c r="N2222" s="5" t="s">
        <v>25</v>
      </c>
      <c r="O2222" s="5" t="s">
        <v>25</v>
      </c>
      <c r="P2222" s="6" t="s">
        <v>25</v>
      </c>
      <c r="Q2222" s="5" t="s">
        <v>25</v>
      </c>
      <c r="R2222" s="5" t="s">
        <v>25</v>
      </c>
      <c r="S2222" s="7" t="str">
        <f>VLOOKUP(A2222,Sheet2!$A$2:$R$3432,18,0)</f>
        <v/>
      </c>
      <c r="T2222" s="7" t="str">
        <f>VLOOKUP(A2222,Sheet2!$A$2:$R$3432,17,0)</f>
        <v/>
      </c>
    </row>
    <row r="2223" ht="15.75" customHeight="1">
      <c r="A2223" s="3" t="s">
        <v>2246</v>
      </c>
      <c r="B2223" s="4" t="str">
        <f>VLOOKUP(A2223,Sheet2!$A$2:$R$3432,2,0)</f>
        <v>2024-08-01 20:25:21</v>
      </c>
      <c r="C2223" s="5" t="s">
        <v>25</v>
      </c>
      <c r="D2223" s="6" t="s">
        <v>25</v>
      </c>
      <c r="E2223" s="7">
        <f>VLOOKUP(A2223,Sheet2!$A$2:$R$3432,4,0)</f>
        <v>9766611011</v>
      </c>
      <c r="F2223" s="7" t="str">
        <f>VLOOKUP(A2223,Sheet2!$A$2:$R$3432,3,0)</f>
        <v>ATUL NANDGUDE</v>
      </c>
      <c r="G2223" s="5" t="s">
        <v>25</v>
      </c>
      <c r="H2223" s="5" t="s">
        <v>25</v>
      </c>
      <c r="I2223" s="5" t="s">
        <v>25</v>
      </c>
      <c r="J2223" s="5" t="s">
        <v>25</v>
      </c>
      <c r="K2223" s="7" t="str">
        <f>VLOOKUP(A2223,Sheet2!$A$2:$R$3432,6,0)</f>
        <v>Honda Activa 110</v>
      </c>
      <c r="L2223" s="5" t="s">
        <v>25</v>
      </c>
      <c r="M2223" s="7" t="str">
        <f>VLOOKUP(A2223,Sheet2!$A$2:$R$3432,5,0)</f>
        <v>MH14EB5971</v>
      </c>
      <c r="N2223" s="5" t="s">
        <v>25</v>
      </c>
      <c r="O2223" s="5" t="s">
        <v>25</v>
      </c>
      <c r="P2223" s="6" t="s">
        <v>25</v>
      </c>
      <c r="Q2223" s="5" t="s">
        <v>25</v>
      </c>
      <c r="R2223" s="5" t="s">
        <v>25</v>
      </c>
      <c r="S2223" s="7" t="str">
        <f>VLOOKUP(A2223,Sheet2!$A$2:$R$3432,18,0)</f>
        <v/>
      </c>
      <c r="T2223" s="7" t="str">
        <f>VLOOKUP(A2223,Sheet2!$A$2:$R$3432,17,0)</f>
        <v/>
      </c>
    </row>
    <row r="2224" ht="15.75" customHeight="1">
      <c r="A2224" s="3" t="s">
        <v>2247</v>
      </c>
      <c r="B2224" s="4" t="str">
        <f>VLOOKUP(A2224,Sheet2!$A$2:$R$3432,2,0)</f>
        <v>2024-10-16 19:32:53</v>
      </c>
      <c r="C2224" s="5" t="s">
        <v>25</v>
      </c>
      <c r="D2224" s="6" t="s">
        <v>25</v>
      </c>
      <c r="E2224" s="7">
        <f>VLOOKUP(A2224,Sheet2!$A$2:$R$3432,4,0)</f>
        <v>9561040040</v>
      </c>
      <c r="F2224" s="7" t="str">
        <f>VLOOKUP(A2224,Sheet2!$A$2:$R$3432,3,0)</f>
        <v>AMOL JADHAV</v>
      </c>
      <c r="G2224" s="5" t="s">
        <v>25</v>
      </c>
      <c r="H2224" s="5" t="s">
        <v>25</v>
      </c>
      <c r="I2224" s="5" t="s">
        <v>25</v>
      </c>
      <c r="J2224" s="5" t="s">
        <v>25</v>
      </c>
      <c r="K2224" s="7" t="str">
        <f>VLOOKUP(A2224,Sheet2!$A$2:$R$3432,6,0)</f>
        <v>Hero Passion Plus</v>
      </c>
      <c r="L2224" s="5" t="s">
        <v>25</v>
      </c>
      <c r="M2224" s="7" t="str">
        <f>VLOOKUP(A2224,Sheet2!$A$2:$R$3432,5,0)</f>
        <v>KA03HE9774</v>
      </c>
      <c r="N2224" s="5" t="s">
        <v>25</v>
      </c>
      <c r="O2224" s="5" t="s">
        <v>25</v>
      </c>
      <c r="P2224" s="6" t="s">
        <v>25</v>
      </c>
      <c r="Q2224" s="5" t="s">
        <v>25</v>
      </c>
      <c r="R2224" s="5" t="s">
        <v>25</v>
      </c>
      <c r="S2224" s="7" t="str">
        <f>VLOOKUP(A2224,Sheet2!$A$2:$R$3432,18,0)</f>
        <v/>
      </c>
      <c r="T2224" s="7" t="str">
        <f>VLOOKUP(A2224,Sheet2!$A$2:$R$3432,17,0)</f>
        <v/>
      </c>
    </row>
    <row r="2225" ht="15.75" customHeight="1">
      <c r="A2225" s="3" t="s">
        <v>2248</v>
      </c>
      <c r="B2225" s="4" t="str">
        <f>VLOOKUP(A2225,Sheet2!$A$2:$R$3432,2,0)</f>
        <v>2024-10-16 19:32:06</v>
      </c>
      <c r="C2225" s="5" t="s">
        <v>25</v>
      </c>
      <c r="D2225" s="6" t="s">
        <v>25</v>
      </c>
      <c r="E2225" s="7">
        <f>VLOOKUP(A2225,Sheet2!$A$2:$R$3432,4,0)</f>
        <v>9657075218</v>
      </c>
      <c r="F2225" s="7" t="str">
        <f>VLOOKUP(A2225,Sheet2!$A$2:$R$3432,3,0)</f>
        <v>B G Bhosle</v>
      </c>
      <c r="G2225" s="5" t="s">
        <v>25</v>
      </c>
      <c r="H2225" s="5" t="s">
        <v>25</v>
      </c>
      <c r="I2225" s="5" t="s">
        <v>25</v>
      </c>
      <c r="J2225" s="5" t="s">
        <v>25</v>
      </c>
      <c r="K2225" s="7" t="str">
        <f>VLOOKUP(A2225,Sheet2!$A$2:$R$3432,6,0)</f>
        <v>Hero Pleasure No Data</v>
      </c>
      <c r="L2225" s="5" t="s">
        <v>25</v>
      </c>
      <c r="M2225" s="7" t="str">
        <f>VLOOKUP(A2225,Sheet2!$A$2:$R$3432,5,0)</f>
        <v>MH14CE3570</v>
      </c>
      <c r="N2225" s="5" t="s">
        <v>25</v>
      </c>
      <c r="O2225" s="5" t="s">
        <v>25</v>
      </c>
      <c r="P2225" s="6" t="s">
        <v>25</v>
      </c>
      <c r="Q2225" s="5" t="s">
        <v>25</v>
      </c>
      <c r="R2225" s="5" t="s">
        <v>25</v>
      </c>
      <c r="S2225" s="7" t="str">
        <f>VLOOKUP(A2225,Sheet2!$A$2:$R$3432,18,0)</f>
        <v/>
      </c>
      <c r="T2225" s="7" t="str">
        <f>VLOOKUP(A2225,Sheet2!$A$2:$R$3432,17,0)</f>
        <v/>
      </c>
    </row>
    <row r="2226" ht="15.75" customHeight="1">
      <c r="A2226" s="3" t="s">
        <v>2249</v>
      </c>
      <c r="B2226" s="4" t="str">
        <f>VLOOKUP(A2226,Sheet2!$A$2:$R$3432,2,0)</f>
        <v>2024-10-16 19:31:14</v>
      </c>
      <c r="C2226" s="5" t="s">
        <v>25</v>
      </c>
      <c r="D2226" s="6" t="s">
        <v>25</v>
      </c>
      <c r="E2226" s="7">
        <f>VLOOKUP(A2226,Sheet2!$A$2:$R$3432,4,0)</f>
        <v>9702993525</v>
      </c>
      <c r="F2226" s="7" t="str">
        <f>VLOOKUP(A2226,Sheet2!$A$2:$R$3432,3,0)</f>
        <v>SUNIL GORE</v>
      </c>
      <c r="G2226" s="5" t="s">
        <v>25</v>
      </c>
      <c r="H2226" s="5" t="s">
        <v>25</v>
      </c>
      <c r="I2226" s="5" t="s">
        <v>25</v>
      </c>
      <c r="J2226" s="5" t="s">
        <v>25</v>
      </c>
      <c r="K2226" s="7" t="str">
        <f>VLOOKUP(A2226,Sheet2!$A$2:$R$3432,6,0)</f>
        <v>Yamaha FZ S</v>
      </c>
      <c r="L2226" s="5" t="s">
        <v>25</v>
      </c>
      <c r="M2226" s="7" t="str">
        <f>VLOOKUP(A2226,Sheet2!$A$2:$R$3432,5,0)</f>
        <v>MH03BB2741</v>
      </c>
      <c r="N2226" s="5" t="s">
        <v>25</v>
      </c>
      <c r="O2226" s="5" t="s">
        <v>25</v>
      </c>
      <c r="P2226" s="6" t="s">
        <v>25</v>
      </c>
      <c r="Q2226" s="5" t="s">
        <v>25</v>
      </c>
      <c r="R2226" s="5" t="s">
        <v>25</v>
      </c>
      <c r="S2226" s="7" t="str">
        <f>VLOOKUP(A2226,Sheet2!$A$2:$R$3432,18,0)</f>
        <v/>
      </c>
      <c r="T2226" s="7" t="str">
        <f>VLOOKUP(A2226,Sheet2!$A$2:$R$3432,17,0)</f>
        <v/>
      </c>
    </row>
    <row r="2227" ht="15.75" customHeight="1">
      <c r="A2227" s="3" t="s">
        <v>2250</v>
      </c>
      <c r="B2227" s="4" t="str">
        <f>VLOOKUP(A2227,Sheet2!$A$2:$R$3432,2,0)</f>
        <v>2024-10-16 19:24:09</v>
      </c>
      <c r="C2227" s="5" t="s">
        <v>25</v>
      </c>
      <c r="D2227" s="6" t="s">
        <v>25</v>
      </c>
      <c r="E2227" s="7">
        <f>VLOOKUP(A2227,Sheet2!$A$2:$R$3432,4,0)</f>
        <v>9766945541</v>
      </c>
      <c r="F2227" s="7" t="str">
        <f>VLOOKUP(A2227,Sheet2!$A$2:$R$3432,3,0)</f>
        <v>Ashok Choudhary</v>
      </c>
      <c r="G2227" s="5" t="s">
        <v>25</v>
      </c>
      <c r="H2227" s="5" t="s">
        <v>25</v>
      </c>
      <c r="I2227" s="5" t="s">
        <v>25</v>
      </c>
      <c r="J2227" s="5" t="s">
        <v>25</v>
      </c>
      <c r="K2227" s="7" t="str">
        <f>VLOOKUP(A2227,Sheet2!$A$2:$R$3432,6,0)</f>
        <v>Honda Activa 5G</v>
      </c>
      <c r="L2227" s="5" t="s">
        <v>25</v>
      </c>
      <c r="M2227" s="7" t="str">
        <f>VLOOKUP(A2227,Sheet2!$A$2:$R$3432,5,0)</f>
        <v>MH14HZ7180</v>
      </c>
      <c r="N2227" s="5" t="s">
        <v>25</v>
      </c>
      <c r="O2227" s="5" t="s">
        <v>25</v>
      </c>
      <c r="P2227" s="6" t="s">
        <v>25</v>
      </c>
      <c r="Q2227" s="5" t="s">
        <v>25</v>
      </c>
      <c r="R2227" s="5" t="s">
        <v>25</v>
      </c>
      <c r="S2227" s="5" t="str">
        <f>VLOOKUP(A2227,Sheet2!$A$2:$R$3432,18,0)</f>
        <v>JF50EG1165366</v>
      </c>
      <c r="T2227" s="7" t="str">
        <f>VLOOKUP(A2227,Sheet2!$A$2:$R$3432,17,0)</f>
        <v>ME4JF50BMKG167305</v>
      </c>
    </row>
    <row r="2228" ht="15.75" customHeight="1">
      <c r="A2228" s="3" t="s">
        <v>2251</v>
      </c>
      <c r="B2228" s="4" t="str">
        <f>VLOOKUP(A2228,Sheet2!$A$2:$R$3432,2,0)</f>
        <v>2024-10-16 19:29:58</v>
      </c>
      <c r="C2228" s="5" t="s">
        <v>25</v>
      </c>
      <c r="D2228" s="6" t="s">
        <v>25</v>
      </c>
      <c r="E2228" s="7">
        <f>VLOOKUP(A2228,Sheet2!$A$2:$R$3432,4,0)</f>
        <v>9421651208</v>
      </c>
      <c r="F2228" s="7" t="str">
        <f>VLOOKUP(A2228,Sheet2!$A$2:$R$3432,3,0)</f>
        <v>PAVAN</v>
      </c>
      <c r="G2228" s="5" t="s">
        <v>25</v>
      </c>
      <c r="H2228" s="5" t="s">
        <v>25</v>
      </c>
      <c r="I2228" s="5" t="s">
        <v>25</v>
      </c>
      <c r="J2228" s="5" t="s">
        <v>25</v>
      </c>
      <c r="K2228" s="7" t="str">
        <f>VLOOKUP(A2228,Sheet2!$A$2:$R$3432,6,0)</f>
        <v>Honda SP 125 Disc</v>
      </c>
      <c r="L2228" s="5" t="s">
        <v>25</v>
      </c>
      <c r="M2228" s="7" t="str">
        <f>VLOOKUP(A2228,Sheet2!$A$2:$R$3432,5,0)</f>
        <v>MH14KX2468</v>
      </c>
      <c r="N2228" s="5" t="s">
        <v>25</v>
      </c>
      <c r="O2228" s="5" t="s">
        <v>25</v>
      </c>
      <c r="P2228" s="6" t="s">
        <v>25</v>
      </c>
      <c r="Q2228" s="5" t="s">
        <v>25</v>
      </c>
      <c r="R2228" s="5" t="s">
        <v>25</v>
      </c>
      <c r="S2228" s="7" t="str">
        <f>VLOOKUP(A2228,Sheet2!$A$2:$R$3432,18,0)</f>
        <v/>
      </c>
      <c r="T2228" s="7" t="str">
        <f>VLOOKUP(A2228,Sheet2!$A$2:$R$3432,17,0)</f>
        <v/>
      </c>
    </row>
    <row r="2229" ht="15.75" customHeight="1">
      <c r="A2229" s="3" t="s">
        <v>2252</v>
      </c>
      <c r="B2229" s="4" t="str">
        <f>VLOOKUP(A2229,Sheet2!$A$2:$R$3432,2,0)</f>
        <v>2024-10-16 19:29:03</v>
      </c>
      <c r="C2229" s="5" t="s">
        <v>25</v>
      </c>
      <c r="D2229" s="6" t="s">
        <v>25</v>
      </c>
      <c r="E2229" s="7">
        <f>VLOOKUP(A2229,Sheet2!$A$2:$R$3432,4,0)</f>
        <v>7389938419</v>
      </c>
      <c r="F2229" s="7" t="str">
        <f>VLOOKUP(A2229,Sheet2!$A$2:$R$3432,3,0)</f>
        <v>ANIL KALE</v>
      </c>
      <c r="G2229" s="5" t="s">
        <v>25</v>
      </c>
      <c r="H2229" s="5" t="s">
        <v>25</v>
      </c>
      <c r="I2229" s="5" t="s">
        <v>25</v>
      </c>
      <c r="J2229" s="5" t="s">
        <v>25</v>
      </c>
      <c r="K2229" s="7" t="str">
        <f>VLOOKUP(A2229,Sheet2!$A$2:$R$3432,6,0)</f>
        <v>Honda Activa 125 BS6</v>
      </c>
      <c r="L2229" s="5" t="s">
        <v>25</v>
      </c>
      <c r="M2229" s="7" t="str">
        <f>VLOOKUP(A2229,Sheet2!$A$2:$R$3432,5,0)</f>
        <v>MH14JN7852</v>
      </c>
      <c r="N2229" s="5" t="s">
        <v>25</v>
      </c>
      <c r="O2229" s="5" t="s">
        <v>25</v>
      </c>
      <c r="P2229" s="6" t="s">
        <v>25</v>
      </c>
      <c r="Q2229" s="5" t="s">
        <v>25</v>
      </c>
      <c r="R2229" s="5" t="s">
        <v>25</v>
      </c>
      <c r="S2229" s="7" t="str">
        <f>VLOOKUP(A2229,Sheet2!$A$2:$R$3432,18,0)</f>
        <v/>
      </c>
      <c r="T2229" s="7" t="str">
        <f>VLOOKUP(A2229,Sheet2!$A$2:$R$3432,17,0)</f>
        <v/>
      </c>
    </row>
    <row r="2230" ht="15.75" customHeight="1">
      <c r="A2230" s="3" t="s">
        <v>2253</v>
      </c>
      <c r="B2230" s="4" t="str">
        <f>VLOOKUP(A2230,Sheet2!$A$2:$R$3432,2,0)</f>
        <v>2024-10-16 19:26:45</v>
      </c>
      <c r="C2230" s="5" t="s">
        <v>25</v>
      </c>
      <c r="D2230" s="6" t="s">
        <v>25</v>
      </c>
      <c r="E2230" s="7">
        <f>VLOOKUP(A2230,Sheet2!$A$2:$R$3432,4,0)</f>
        <v>8237012346</v>
      </c>
      <c r="F2230" s="7" t="str">
        <f>VLOOKUP(A2230,Sheet2!$A$2:$R$3432,3,0)</f>
        <v>SUSHANT PATIL</v>
      </c>
      <c r="G2230" s="5" t="s">
        <v>25</v>
      </c>
      <c r="H2230" s="5" t="s">
        <v>25</v>
      </c>
      <c r="I2230" s="5" t="s">
        <v>25</v>
      </c>
      <c r="J2230" s="5" t="s">
        <v>25</v>
      </c>
      <c r="K2230" s="7" t="str">
        <f>VLOOKUP(A2230,Sheet2!$A$2:$R$3432,6,0)</f>
        <v>TVS Jupiter </v>
      </c>
      <c r="L2230" s="5" t="s">
        <v>25</v>
      </c>
      <c r="M2230" s="7" t="str">
        <f>VLOOKUP(A2230,Sheet2!$A$2:$R$3432,5,0)</f>
        <v>MH14HA9432</v>
      </c>
      <c r="N2230" s="5" t="s">
        <v>25</v>
      </c>
      <c r="O2230" s="5" t="s">
        <v>25</v>
      </c>
      <c r="P2230" s="6" t="s">
        <v>25</v>
      </c>
      <c r="Q2230" s="5" t="s">
        <v>25</v>
      </c>
      <c r="R2230" s="5" t="s">
        <v>25</v>
      </c>
      <c r="S2230" s="5" t="str">
        <f>VLOOKUP(A2230,Sheet2!$A$2:$R$3432,18,0)</f>
        <v>EG4FJ1795828</v>
      </c>
      <c r="T2230" s="7" t="str">
        <f>VLOOKUP(A2230,Sheet2!$A$2:$R$3432,17,0)</f>
        <v>MD626ER49J1F34733</v>
      </c>
    </row>
    <row r="2231" ht="15.75" customHeight="1">
      <c r="A2231" s="3" t="s">
        <v>2254</v>
      </c>
      <c r="B2231" s="4" t="str">
        <f>VLOOKUP(A2231,Sheet2!$A$2:$R$3432,2,0)</f>
        <v>2024-10-16 19:34:19</v>
      </c>
      <c r="C2231" s="5" t="s">
        <v>25</v>
      </c>
      <c r="D2231" s="6" t="s">
        <v>25</v>
      </c>
      <c r="E2231" s="7">
        <f>VLOOKUP(A2231,Sheet2!$A$2:$R$3432,4,0)</f>
        <v>8087368511</v>
      </c>
      <c r="F2231" s="7" t="str">
        <f>VLOOKUP(A2231,Sheet2!$A$2:$R$3432,3,0)</f>
        <v>Pritam Sutkar</v>
      </c>
      <c r="G2231" s="5" t="s">
        <v>25</v>
      </c>
      <c r="H2231" s="5" t="s">
        <v>25</v>
      </c>
      <c r="I2231" s="5" t="s">
        <v>25</v>
      </c>
      <c r="J2231" s="5" t="s">
        <v>25</v>
      </c>
      <c r="K2231" s="7" t="str">
        <f>VLOOKUP(A2231,Sheet2!$A$2:$R$3432,6,0)</f>
        <v>Bajaj Pulsar 200 NS</v>
      </c>
      <c r="L2231" s="5" t="s">
        <v>25</v>
      </c>
      <c r="M2231" s="7" t="str">
        <f>VLOOKUP(A2231,Sheet2!$A$2:$R$3432,5,0)</f>
        <v>MH12NC0724</v>
      </c>
      <c r="N2231" s="5" t="s">
        <v>25</v>
      </c>
      <c r="O2231" s="5" t="s">
        <v>25</v>
      </c>
      <c r="P2231" s="6" t="s">
        <v>25</v>
      </c>
      <c r="Q2231" s="5" t="s">
        <v>25</v>
      </c>
      <c r="R2231" s="5" t="s">
        <v>25</v>
      </c>
      <c r="S2231" s="5" t="str">
        <f>VLOOKUP(A2231,Sheet2!$A$2:$R$3432,18,0)</f>
        <v>JLZCGM21068</v>
      </c>
      <c r="T2231" s="7" t="str">
        <f>VLOOKUP(A2231,Sheet2!$A$2:$R$3432,17,0)</f>
        <v>MDZA36FZ9GCM2329</v>
      </c>
    </row>
    <row r="2232" ht="15.75" customHeight="1">
      <c r="A2232" s="3" t="s">
        <v>2255</v>
      </c>
      <c r="B2232" s="4" t="str">
        <f>VLOOKUP(A2232,Sheet2!$A$2:$R$3432,2,0)</f>
        <v>2024-10-16 19:27:17</v>
      </c>
      <c r="C2232" s="5" t="s">
        <v>25</v>
      </c>
      <c r="D2232" s="6" t="s">
        <v>25</v>
      </c>
      <c r="E2232" s="7">
        <f>VLOOKUP(A2232,Sheet2!$A$2:$R$3432,4,0)</f>
        <v>9420151526</v>
      </c>
      <c r="F2232" s="7" t="str">
        <f>VLOOKUP(A2232,Sheet2!$A$2:$R$3432,3,0)</f>
        <v>M.P. SHINDE</v>
      </c>
      <c r="G2232" s="5" t="s">
        <v>25</v>
      </c>
      <c r="H2232" s="5" t="s">
        <v>25</v>
      </c>
      <c r="I2232" s="5" t="s">
        <v>25</v>
      </c>
      <c r="J2232" s="5" t="s">
        <v>25</v>
      </c>
      <c r="K2232" s="7" t="str">
        <f>VLOOKUP(A2232,Sheet2!$A$2:$R$3432,6,0)</f>
        <v>TVS Jupiter </v>
      </c>
      <c r="L2232" s="5" t="s">
        <v>25</v>
      </c>
      <c r="M2232" s="7" t="str">
        <f>VLOOKUP(A2232,Sheet2!$A$2:$R$3432,5,0)</f>
        <v>MH12SM2758</v>
      </c>
      <c r="N2232" s="5" t="s">
        <v>25</v>
      </c>
      <c r="O2232" s="5" t="s">
        <v>25</v>
      </c>
      <c r="P2232" s="6" t="s">
        <v>25</v>
      </c>
      <c r="Q2232" s="5" t="s">
        <v>25</v>
      </c>
      <c r="R2232" s="5" t="s">
        <v>25</v>
      </c>
      <c r="S2232" s="5" t="str">
        <f>VLOOKUP(A2232,Sheet2!$A$2:$R$3432,18,0)</f>
        <v>DG4PK3902720</v>
      </c>
      <c r="T2232" s="7" t="str">
        <f>VLOOKUP(A2232,Sheet2!$A$2:$R$3432,17,0)</f>
        <v>MD6264L3AR4491</v>
      </c>
    </row>
    <row r="2233" ht="15.75" customHeight="1">
      <c r="A2233" s="3" t="s">
        <v>2256</v>
      </c>
      <c r="B2233" s="4" t="str">
        <f>VLOOKUP(A2233,Sheet2!$A$2:$R$3432,2,0)</f>
        <v>2024-10-16 19:26:27</v>
      </c>
      <c r="C2233" s="5" t="s">
        <v>25</v>
      </c>
      <c r="D2233" s="6" t="s">
        <v>25</v>
      </c>
      <c r="E2233" s="7">
        <f>VLOOKUP(A2233,Sheet2!$A$2:$R$3432,4,0)</f>
        <v>9595960066</v>
      </c>
      <c r="F2233" s="7" t="str">
        <f>VLOOKUP(A2233,Sheet2!$A$2:$R$3432,3,0)</f>
        <v>Kalpesh</v>
      </c>
      <c r="G2233" s="5" t="s">
        <v>25</v>
      </c>
      <c r="H2233" s="5" t="s">
        <v>25</v>
      </c>
      <c r="I2233" s="5" t="s">
        <v>25</v>
      </c>
      <c r="J2233" s="5" t="s">
        <v>25</v>
      </c>
      <c r="K2233" s="7" t="str">
        <f>VLOOKUP(A2233,Sheet2!$A$2:$R$3432,6,0)</f>
        <v>Honda Activa 3G</v>
      </c>
      <c r="L2233" s="5" t="s">
        <v>25</v>
      </c>
      <c r="M2233" s="7" t="str">
        <f>VLOOKUP(A2233,Sheet2!$A$2:$R$3432,5,0)</f>
        <v>MH12KM2773</v>
      </c>
      <c r="N2233" s="5" t="s">
        <v>25</v>
      </c>
      <c r="O2233" s="5" t="s">
        <v>25</v>
      </c>
      <c r="P2233" s="6" t="s">
        <v>25</v>
      </c>
      <c r="Q2233" s="5" t="s">
        <v>25</v>
      </c>
      <c r="R2233" s="5" t="s">
        <v>25</v>
      </c>
      <c r="S2233" s="5" t="str">
        <f>VLOOKUP(A2233,Sheet2!$A$2:$R$3432,18,0)</f>
        <v>JF50E70482011</v>
      </c>
      <c r="T2233" s="7" t="str">
        <f>VLOOKUP(A2233,Sheet2!$A$2:$R$3432,17,0)</f>
        <v>ME4JF50ALD7481943</v>
      </c>
    </row>
    <row r="2234" ht="15.75" customHeight="1">
      <c r="A2234" s="3" t="s">
        <v>2257</v>
      </c>
      <c r="B2234" s="4" t="str">
        <f>VLOOKUP(A2234,Sheet2!$A$2:$R$3432,2,0)</f>
        <v>2024-10-16 19:35:05</v>
      </c>
      <c r="C2234" s="5" t="s">
        <v>25</v>
      </c>
      <c r="D2234" s="6" t="s">
        <v>25</v>
      </c>
      <c r="E2234" s="7">
        <f>VLOOKUP(A2234,Sheet2!$A$2:$R$3432,4,0)</f>
        <v>7620352876</v>
      </c>
      <c r="F2234" s="7" t="str">
        <f>VLOOKUP(A2234,Sheet2!$A$2:$R$3432,3,0)</f>
        <v>SHIVANIKA RAJPUT</v>
      </c>
      <c r="G2234" s="5" t="s">
        <v>25</v>
      </c>
      <c r="H2234" s="5" t="s">
        <v>25</v>
      </c>
      <c r="I2234" s="5" t="s">
        <v>25</v>
      </c>
      <c r="J2234" s="5" t="s">
        <v>25</v>
      </c>
      <c r="K2234" s="7" t="str">
        <f>VLOOKUP(A2234,Sheet2!$A$2:$R$3432,6,0)</f>
        <v>TVS Jupiter </v>
      </c>
      <c r="L2234" s="5" t="s">
        <v>25</v>
      </c>
      <c r="M2234" s="7" t="str">
        <f>VLOOKUP(A2234,Sheet2!$A$2:$R$3432,5,0)</f>
        <v>MH14HJ7068</v>
      </c>
      <c r="N2234" s="5" t="s">
        <v>25</v>
      </c>
      <c r="O2234" s="5" t="s">
        <v>25</v>
      </c>
      <c r="P2234" s="6" t="s">
        <v>25</v>
      </c>
      <c r="Q2234" s="5" t="s">
        <v>25</v>
      </c>
      <c r="R2234" s="5" t="s">
        <v>25</v>
      </c>
      <c r="S2234" s="5" t="str">
        <f>VLOOKUP(A2234,Sheet2!$A$2:$R$3432,18,0)</f>
        <v>EG4AK1X0042</v>
      </c>
      <c r="T2234" s="7" t="str">
        <f>VLOOKUP(A2234,Sheet2!$A$2:$R$3432,17,0)</f>
        <v>MD626EG44K1X0042</v>
      </c>
    </row>
    <row r="2235" ht="15.75" customHeight="1">
      <c r="A2235" s="3" t="s">
        <v>2258</v>
      </c>
      <c r="B2235" s="4" t="str">
        <f>VLOOKUP(A2235,Sheet2!$A$2:$R$3432,2,0)</f>
        <v>2024-10-16 19:34:01</v>
      </c>
      <c r="C2235" s="5" t="s">
        <v>25</v>
      </c>
      <c r="D2235" s="6" t="s">
        <v>25</v>
      </c>
      <c r="E2235" s="7">
        <f>VLOOKUP(A2235,Sheet2!$A$2:$R$3432,4,0)</f>
        <v>7498650542</v>
      </c>
      <c r="F2235" s="7" t="str">
        <f>VLOOKUP(A2235,Sheet2!$A$2:$R$3432,3,0)</f>
        <v>GAJANAN DURGAWAD</v>
      </c>
      <c r="G2235" s="5" t="s">
        <v>25</v>
      </c>
      <c r="H2235" s="5" t="s">
        <v>25</v>
      </c>
      <c r="I2235" s="5" t="s">
        <v>25</v>
      </c>
      <c r="J2235" s="5" t="s">
        <v>25</v>
      </c>
      <c r="K2235" s="7" t="str">
        <f>VLOOKUP(A2235,Sheet2!$A$2:$R$3432,6,0)</f>
        <v>Hero Splendor Pro</v>
      </c>
      <c r="L2235" s="5" t="s">
        <v>25</v>
      </c>
      <c r="M2235" s="7" t="str">
        <f>VLOOKUP(A2235,Sheet2!$A$2:$R$3432,5,0)</f>
        <v>MH24BQ2288</v>
      </c>
      <c r="N2235" s="5" t="s">
        <v>25</v>
      </c>
      <c r="O2235" s="5" t="s">
        <v>25</v>
      </c>
      <c r="P2235" s="6" t="s">
        <v>25</v>
      </c>
      <c r="Q2235" s="5" t="s">
        <v>25</v>
      </c>
      <c r="R2235" s="5" t="s">
        <v>25</v>
      </c>
      <c r="S2235" s="7" t="str">
        <f>VLOOKUP(A2235,Sheet2!$A$2:$R$3432,18,0)</f>
        <v/>
      </c>
      <c r="T2235" s="7" t="str">
        <f>VLOOKUP(A2235,Sheet2!$A$2:$R$3432,17,0)</f>
        <v/>
      </c>
    </row>
    <row r="2236" ht="15.75" customHeight="1">
      <c r="A2236" s="3" t="s">
        <v>2259</v>
      </c>
      <c r="B2236" s="4" t="str">
        <f>VLOOKUP(A2236,Sheet2!$A$2:$R$3432,2,0)</f>
        <v>2024-10-16 19:35:34</v>
      </c>
      <c r="C2236" s="5" t="s">
        <v>25</v>
      </c>
      <c r="D2236" s="6" t="s">
        <v>25</v>
      </c>
      <c r="E2236" s="7">
        <f>VLOOKUP(A2236,Sheet2!$A$2:$R$3432,4,0)</f>
        <v>8329990611</v>
      </c>
      <c r="F2236" s="7" t="str">
        <f>VLOOKUP(A2236,Sheet2!$A$2:$R$3432,3,0)</f>
        <v> Shardul Vibhute </v>
      </c>
      <c r="G2236" s="5" t="s">
        <v>25</v>
      </c>
      <c r="H2236" s="5" t="s">
        <v>25</v>
      </c>
      <c r="I2236" s="5" t="s">
        <v>25</v>
      </c>
      <c r="J2236" s="5" t="s">
        <v>25</v>
      </c>
      <c r="K2236" s="7" t="str">
        <f>VLOOKUP(A2236,Sheet2!$A$2:$R$3432,6,0)</f>
        <v>Hero Passion Plus</v>
      </c>
      <c r="L2236" s="5" t="s">
        <v>25</v>
      </c>
      <c r="M2236" s="7" t="str">
        <f>VLOOKUP(A2236,Sheet2!$A$2:$R$3432,5,0)</f>
        <v>MH16AB6982</v>
      </c>
      <c r="N2236" s="5" t="s">
        <v>25</v>
      </c>
      <c r="O2236" s="5" t="s">
        <v>25</v>
      </c>
      <c r="P2236" s="6" t="s">
        <v>25</v>
      </c>
      <c r="Q2236" s="5" t="s">
        <v>25</v>
      </c>
      <c r="R2236" s="5" t="s">
        <v>25</v>
      </c>
      <c r="S2236" s="5" t="str">
        <f>VLOOKUP(A2236,Sheet2!$A$2:$R$3432,18,0)</f>
        <v>07K05M08078</v>
      </c>
      <c r="T2236" s="7" t="str">
        <f>VLOOKUP(A2236,Sheet2!$A$2:$R$3432,17,0)</f>
        <v>07K05C24498</v>
      </c>
    </row>
    <row r="2237" ht="15.75" customHeight="1">
      <c r="A2237" s="3" t="s">
        <v>2260</v>
      </c>
      <c r="B2237" s="4" t="str">
        <f>VLOOKUP(A2237,Sheet2!$A$2:$R$3432,2,0)</f>
        <v>2024-10-16 19:48:03</v>
      </c>
      <c r="C2237" s="5" t="s">
        <v>25</v>
      </c>
      <c r="D2237" s="6" t="s">
        <v>25</v>
      </c>
      <c r="E2237" s="7">
        <f>VLOOKUP(A2237,Sheet2!$A$2:$R$3432,4,0)</f>
        <v>9665678699</v>
      </c>
      <c r="F2237" s="7" t="str">
        <f>VLOOKUP(A2237,Sheet2!$A$2:$R$3432,3,0)</f>
        <v>VIKRAM</v>
      </c>
      <c r="G2237" s="5" t="s">
        <v>25</v>
      </c>
      <c r="H2237" s="5" t="s">
        <v>25</v>
      </c>
      <c r="I2237" s="5" t="s">
        <v>25</v>
      </c>
      <c r="J2237" s="5" t="s">
        <v>25</v>
      </c>
      <c r="K2237" s="7" t="str">
        <f>VLOOKUP(A2237,Sheet2!$A$2:$R$3432,6,0)</f>
        <v>Honda Hornet 160R</v>
      </c>
      <c r="L2237" s="5" t="s">
        <v>25</v>
      </c>
      <c r="M2237" s="7" t="str">
        <f>VLOOKUP(A2237,Sheet2!$A$2:$R$3432,5,0)</f>
        <v>MH12PW0649</v>
      </c>
      <c r="N2237" s="5" t="s">
        <v>25</v>
      </c>
      <c r="O2237" s="5" t="s">
        <v>25</v>
      </c>
      <c r="P2237" s="6" t="s">
        <v>25</v>
      </c>
      <c r="Q2237" s="5" t="s">
        <v>25</v>
      </c>
      <c r="R2237" s="5" t="s">
        <v>25</v>
      </c>
      <c r="S2237" s="7" t="str">
        <f>VLOOKUP(A2237,Sheet2!$A$2:$R$3432,18,0)</f>
        <v/>
      </c>
      <c r="T2237" s="7" t="str">
        <f>VLOOKUP(A2237,Sheet2!$A$2:$R$3432,17,0)</f>
        <v/>
      </c>
    </row>
    <row r="2238" ht="15.75" customHeight="1">
      <c r="A2238" s="3" t="s">
        <v>2261</v>
      </c>
      <c r="B2238" s="4" t="str">
        <f>VLOOKUP(A2238,Sheet2!$A$2:$R$3432,2,0)</f>
        <v>2024-09-11 20:39:10</v>
      </c>
      <c r="C2238" s="5" t="s">
        <v>25</v>
      </c>
      <c r="D2238" s="6" t="s">
        <v>25</v>
      </c>
      <c r="E2238" s="7">
        <f>VLOOKUP(A2238,Sheet2!$A$2:$R$3432,4,0)</f>
        <v>7875605481</v>
      </c>
      <c r="F2238" s="7" t="str">
        <f>VLOOKUP(A2238,Sheet2!$A$2:$R$3432,3,0)</f>
        <v>Ankit</v>
      </c>
      <c r="G2238" s="5" t="s">
        <v>25</v>
      </c>
      <c r="H2238" s="5" t="s">
        <v>25</v>
      </c>
      <c r="I2238" s="5" t="s">
        <v>25</v>
      </c>
      <c r="J2238" s="5" t="s">
        <v>25</v>
      </c>
      <c r="K2238" s="7" t="str">
        <f>VLOOKUP(A2238,Sheet2!$A$2:$R$3432,6,0)</f>
        <v>Bajaj Pulsar 150</v>
      </c>
      <c r="L2238" s="5" t="s">
        <v>25</v>
      </c>
      <c r="M2238" s="7" t="str">
        <f>VLOOKUP(A2238,Sheet2!$A$2:$R$3432,5,0)</f>
        <v>MH14DW0886</v>
      </c>
      <c r="N2238" s="5" t="s">
        <v>25</v>
      </c>
      <c r="O2238" s="5" t="s">
        <v>25</v>
      </c>
      <c r="P2238" s="6" t="s">
        <v>25</v>
      </c>
      <c r="Q2238" s="5" t="s">
        <v>25</v>
      </c>
      <c r="R2238" s="5" t="s">
        <v>25</v>
      </c>
      <c r="S2238" s="5" t="str">
        <f>VLOOKUP(A2238,Sheet2!$A$2:$R$3432,18,0)</f>
        <v>DJZCDK6178</v>
      </c>
      <c r="T2238" s="7" t="str">
        <f>VLOOKUP(A2238,Sheet2!$A$2:$R$3432,17,0)</f>
        <v>MD2A12DZ3DCK6408</v>
      </c>
    </row>
    <row r="2239" ht="15.75" customHeight="1">
      <c r="A2239" s="3" t="s">
        <v>2262</v>
      </c>
      <c r="B2239" s="4" t="str">
        <f>VLOOKUP(A2239,Sheet2!$A$2:$R$3432,2,0)</f>
        <v>2024-09-11 20:20:20</v>
      </c>
      <c r="C2239" s="5" t="s">
        <v>25</v>
      </c>
      <c r="D2239" s="6" t="s">
        <v>25</v>
      </c>
      <c r="E2239" s="7">
        <f>VLOOKUP(A2239,Sheet2!$A$2:$R$3432,4,0)</f>
        <v>7841981343</v>
      </c>
      <c r="F2239" s="7" t="str">
        <f>VLOOKUP(A2239,Sheet2!$A$2:$R$3432,3,0)</f>
        <v>Omkar </v>
      </c>
      <c r="G2239" s="5" t="s">
        <v>25</v>
      </c>
      <c r="H2239" s="5" t="s">
        <v>25</v>
      </c>
      <c r="I2239" s="5" t="s">
        <v>25</v>
      </c>
      <c r="J2239" s="5" t="s">
        <v>25</v>
      </c>
      <c r="K2239" s="7" t="str">
        <f>VLOOKUP(A2239,Sheet2!$A$2:$R$3432,6,0)</f>
        <v>TVS Apache RTR 200 4V</v>
      </c>
      <c r="L2239" s="5" t="s">
        <v>25</v>
      </c>
      <c r="M2239" s="7" t="str">
        <f>VLOOKUP(A2239,Sheet2!$A$2:$R$3432,5,0)</f>
        <v>MH14KX6224</v>
      </c>
      <c r="N2239" s="5" t="s">
        <v>25</v>
      </c>
      <c r="O2239" s="5" t="s">
        <v>25</v>
      </c>
      <c r="P2239" s="6" t="s">
        <v>25</v>
      </c>
      <c r="Q2239" s="5" t="s">
        <v>25</v>
      </c>
      <c r="R2239" s="5" t="s">
        <v>25</v>
      </c>
      <c r="S2239" s="7" t="str">
        <f>VLOOKUP(A2239,Sheet2!$A$2:$R$3432,18,0)</f>
        <v/>
      </c>
      <c r="T2239" s="7" t="str">
        <f>VLOOKUP(A2239,Sheet2!$A$2:$R$3432,17,0)</f>
        <v/>
      </c>
    </row>
    <row r="2240" ht="15.75" customHeight="1">
      <c r="A2240" s="3" t="s">
        <v>2263</v>
      </c>
      <c r="B2240" s="4" t="str">
        <f>VLOOKUP(A2240,Sheet2!$A$2:$R$3432,2,0)</f>
        <v>2024-09-11 20:10:59</v>
      </c>
      <c r="C2240" s="5" t="s">
        <v>25</v>
      </c>
      <c r="D2240" s="6" t="s">
        <v>25</v>
      </c>
      <c r="E2240" s="7">
        <f>VLOOKUP(A2240,Sheet2!$A$2:$R$3432,4,0)</f>
        <v>9923500042</v>
      </c>
      <c r="F2240" s="7" t="str">
        <f>VLOOKUP(A2240,Sheet2!$A$2:$R$3432,3,0)</f>
        <v>HRishikesh </v>
      </c>
      <c r="G2240" s="5" t="s">
        <v>25</v>
      </c>
      <c r="H2240" s="5" t="s">
        <v>25</v>
      </c>
      <c r="I2240" s="5" t="s">
        <v>25</v>
      </c>
      <c r="J2240" s="5" t="s">
        <v>25</v>
      </c>
      <c r="K2240" s="7" t="str">
        <f>VLOOKUP(A2240,Sheet2!$A$2:$R$3432,6,0)</f>
        <v>Honda Activa 125</v>
      </c>
      <c r="L2240" s="5" t="s">
        <v>25</v>
      </c>
      <c r="M2240" s="7" t="str">
        <f>VLOOKUP(A2240,Sheet2!$A$2:$R$3432,5,0)</f>
        <v>MH12PV1288</v>
      </c>
      <c r="N2240" s="5" t="s">
        <v>25</v>
      </c>
      <c r="O2240" s="5" t="s">
        <v>25</v>
      </c>
      <c r="P2240" s="6" t="s">
        <v>25</v>
      </c>
      <c r="Q2240" s="5" t="s">
        <v>25</v>
      </c>
      <c r="R2240" s="5" t="s">
        <v>25</v>
      </c>
      <c r="S2240" s="7" t="str">
        <f>VLOOKUP(A2240,Sheet2!$A$2:$R$3432,18,0)</f>
        <v/>
      </c>
      <c r="T2240" s="7" t="str">
        <f>VLOOKUP(A2240,Sheet2!$A$2:$R$3432,17,0)</f>
        <v/>
      </c>
    </row>
    <row r="2241" ht="15.75" customHeight="1">
      <c r="A2241" s="3" t="s">
        <v>2264</v>
      </c>
      <c r="B2241" s="4" t="str">
        <f>VLOOKUP(A2241,Sheet2!$A$2:$R$3432,2,0)</f>
        <v>2024-09-11 20:38:52</v>
      </c>
      <c r="C2241" s="5" t="s">
        <v>25</v>
      </c>
      <c r="D2241" s="6" t="s">
        <v>25</v>
      </c>
      <c r="E2241" s="7">
        <f>VLOOKUP(A2241,Sheet2!$A$2:$R$3432,4,0)</f>
        <v>9765254054</v>
      </c>
      <c r="F2241" s="7" t="str">
        <f>VLOOKUP(A2241,Sheet2!$A$2:$R$3432,3,0)</f>
        <v>Rahul</v>
      </c>
      <c r="G2241" s="5" t="s">
        <v>25</v>
      </c>
      <c r="H2241" s="5" t="s">
        <v>25</v>
      </c>
      <c r="I2241" s="5" t="s">
        <v>25</v>
      </c>
      <c r="J2241" s="5" t="s">
        <v>25</v>
      </c>
      <c r="K2241" s="7" t="str">
        <f>VLOOKUP(A2241,Sheet2!$A$2:$R$3432,6,0)</f>
        <v>Bajaj Avenger 220 Cruise</v>
      </c>
      <c r="L2241" s="5" t="s">
        <v>25</v>
      </c>
      <c r="M2241" s="7" t="str">
        <f>VLOOKUP(A2241,Sheet2!$A$2:$R$3432,5,0)</f>
        <v>MH14FF4408</v>
      </c>
      <c r="N2241" s="5" t="s">
        <v>25</v>
      </c>
      <c r="O2241" s="5" t="s">
        <v>25</v>
      </c>
      <c r="P2241" s="6" t="s">
        <v>25</v>
      </c>
      <c r="Q2241" s="5" t="s">
        <v>25</v>
      </c>
      <c r="R2241" s="5" t="s">
        <v>25</v>
      </c>
      <c r="S2241" s="5" t="str">
        <f>VLOOKUP(A2241,Sheet2!$A$2:$R$3432,18,0)</f>
        <v>BD2CFF48976</v>
      </c>
      <c r="T2241" s="7" t="str">
        <f>VLOOKUP(A2241,Sheet2!$A$2:$R$3432,17,0)</f>
        <v>MD2A22E27FCF59504</v>
      </c>
    </row>
    <row r="2242" ht="15.75" customHeight="1">
      <c r="A2242" s="3" t="s">
        <v>2265</v>
      </c>
      <c r="B2242" s="4" t="str">
        <f>VLOOKUP(A2242,Sheet2!$A$2:$R$3432,2,0)</f>
        <v>2024-09-11 20:17:12</v>
      </c>
      <c r="C2242" s="5" t="s">
        <v>25</v>
      </c>
      <c r="D2242" s="6" t="s">
        <v>25</v>
      </c>
      <c r="E2242" s="7">
        <f>VLOOKUP(A2242,Sheet2!$A$2:$R$3432,4,0)</f>
        <v>9763714117</v>
      </c>
      <c r="F2242" s="7" t="str">
        <f>VLOOKUP(A2242,Sheet2!$A$2:$R$3432,3,0)</f>
        <v>Poonam Kadam</v>
      </c>
      <c r="G2242" s="5" t="s">
        <v>25</v>
      </c>
      <c r="H2242" s="5" t="s">
        <v>25</v>
      </c>
      <c r="I2242" s="5" t="s">
        <v>25</v>
      </c>
      <c r="J2242" s="5" t="s">
        <v>25</v>
      </c>
      <c r="K2242" s="7" t="str">
        <f>VLOOKUP(A2242,Sheet2!$A$2:$R$3432,6,0)</f>
        <v>TVS Jupiter </v>
      </c>
      <c r="L2242" s="5" t="s">
        <v>25</v>
      </c>
      <c r="M2242" s="7" t="str">
        <f>VLOOKUP(A2242,Sheet2!$A$2:$R$3432,5,0)</f>
        <v>MH30AU5450</v>
      </c>
      <c r="N2242" s="5" t="s">
        <v>25</v>
      </c>
      <c r="O2242" s="5" t="s">
        <v>25</v>
      </c>
      <c r="P2242" s="6" t="s">
        <v>25</v>
      </c>
      <c r="Q2242" s="5" t="s">
        <v>25</v>
      </c>
      <c r="R2242" s="5" t="s">
        <v>25</v>
      </c>
      <c r="S2242" s="5" t="str">
        <f>VLOOKUP(A2242,Sheet2!$A$2:$R$3432,18,0)</f>
        <v>BG4GG1011428</v>
      </c>
      <c r="T2242" s="7" t="str">
        <f>VLOOKUP(A2242,Sheet2!$A$2:$R$3432,17,0)</f>
        <v>MD626B47G1G16208</v>
      </c>
    </row>
    <row r="2243" ht="15.75" customHeight="1">
      <c r="A2243" s="3" t="s">
        <v>2266</v>
      </c>
      <c r="B2243" s="4" t="str">
        <f>VLOOKUP(A2243,Sheet2!$A$2:$R$3432,2,0)</f>
        <v>2024-09-11 20:31:37</v>
      </c>
      <c r="C2243" s="5" t="s">
        <v>25</v>
      </c>
      <c r="D2243" s="6" t="s">
        <v>25</v>
      </c>
      <c r="E2243" s="7">
        <f>VLOOKUP(A2243,Sheet2!$A$2:$R$3432,4,0)</f>
        <v>8983852600</v>
      </c>
      <c r="F2243" s="7" t="str">
        <f>VLOOKUP(A2243,Sheet2!$A$2:$R$3432,3,0)</f>
        <v>Gaurav Mahakar</v>
      </c>
      <c r="G2243" s="5" t="s">
        <v>25</v>
      </c>
      <c r="H2243" s="5" t="s">
        <v>25</v>
      </c>
      <c r="I2243" s="5" t="s">
        <v>25</v>
      </c>
      <c r="J2243" s="5" t="s">
        <v>25</v>
      </c>
      <c r="K2243" s="7" t="str">
        <f>VLOOKUP(A2243,Sheet2!$A$2:$R$3432,6,0)</f>
        <v>TVS Rider 125</v>
      </c>
      <c r="L2243" s="5" t="s">
        <v>25</v>
      </c>
      <c r="M2243" s="7" t="str">
        <f>VLOOKUP(A2243,Sheet2!$A$2:$R$3432,5,0)</f>
        <v>MH15HZ2588</v>
      </c>
      <c r="N2243" s="5" t="s">
        <v>25</v>
      </c>
      <c r="O2243" s="5" t="s">
        <v>25</v>
      </c>
      <c r="P2243" s="6" t="s">
        <v>25</v>
      </c>
      <c r="Q2243" s="5" t="s">
        <v>25</v>
      </c>
      <c r="R2243" s="5" t="s">
        <v>25</v>
      </c>
      <c r="S2243" s="5" t="str">
        <f>VLOOKUP(A2243,Sheet2!$A$2:$R$3432,18,0)</f>
        <v>AF9KN1300943</v>
      </c>
      <c r="T2243" s="7" t="str">
        <f>VLOOKUP(A2243,Sheet2!$A$2:$R$3432,17,0)</f>
        <v>MD62SAF91NK01437</v>
      </c>
    </row>
    <row r="2244" ht="15.75" customHeight="1">
      <c r="A2244" s="3" t="s">
        <v>2267</v>
      </c>
      <c r="B2244" s="4" t="str">
        <f>VLOOKUP(A2244,Sheet2!$A$2:$R$3432,2,0)</f>
        <v>2024-09-11 20:31:09</v>
      </c>
      <c r="C2244" s="5" t="s">
        <v>25</v>
      </c>
      <c r="D2244" s="6" t="s">
        <v>25</v>
      </c>
      <c r="E2244" s="7">
        <f>VLOOKUP(A2244,Sheet2!$A$2:$R$3432,4,0)</f>
        <v>9637427634</v>
      </c>
      <c r="F2244" s="7" t="str">
        <f>VLOOKUP(A2244,Sheet2!$A$2:$R$3432,3,0)</f>
        <v>Nikhil Khode</v>
      </c>
      <c r="G2244" s="5" t="s">
        <v>25</v>
      </c>
      <c r="H2244" s="5" t="s">
        <v>25</v>
      </c>
      <c r="I2244" s="5" t="s">
        <v>25</v>
      </c>
      <c r="J2244" s="5" t="s">
        <v>25</v>
      </c>
      <c r="K2244" s="7" t="str">
        <f>VLOOKUP(A2244,Sheet2!$A$2:$R$3432,6,0)</f>
        <v>TVS Apache RTR 160</v>
      </c>
      <c r="L2244" s="5" t="s">
        <v>25</v>
      </c>
      <c r="M2244" s="7" t="str">
        <f>VLOOKUP(A2244,Sheet2!$A$2:$R$3432,5,0)</f>
        <v>MH15JK6559</v>
      </c>
      <c r="N2244" s="5" t="s">
        <v>25</v>
      </c>
      <c r="O2244" s="5" t="s">
        <v>25</v>
      </c>
      <c r="P2244" s="6" t="s">
        <v>25</v>
      </c>
      <c r="Q2244" s="5" t="s">
        <v>25</v>
      </c>
      <c r="R2244" s="5" t="s">
        <v>25</v>
      </c>
      <c r="S2244" s="5" t="str">
        <f>VLOOKUP(A2244,Sheet2!$A$2:$R$3432,18,0)</f>
        <v>GE5FP2003186</v>
      </c>
      <c r="T2244" s="7" t="str">
        <f>VLOOKUP(A2244,Sheet2!$A$2:$R$3432,17,0)</f>
        <v>MD637GE51PZF03228</v>
      </c>
    </row>
    <row r="2245" ht="15.75" customHeight="1">
      <c r="A2245" s="3" t="s">
        <v>2268</v>
      </c>
      <c r="B2245" s="4" t="str">
        <f>VLOOKUP(A2245,Sheet2!$A$2:$R$3432,2,0)</f>
        <v>2024-09-11 20:37:14</v>
      </c>
      <c r="C2245" s="5" t="s">
        <v>25</v>
      </c>
      <c r="D2245" s="6" t="s">
        <v>25</v>
      </c>
      <c r="E2245" s="7">
        <f>VLOOKUP(A2245,Sheet2!$A$2:$R$3432,4,0)</f>
        <v>9399403930</v>
      </c>
      <c r="F2245" s="7" t="str">
        <f>VLOOKUP(A2245,Sheet2!$A$2:$R$3432,3,0)</f>
        <v>AKASH SHELKE</v>
      </c>
      <c r="G2245" s="5" t="s">
        <v>25</v>
      </c>
      <c r="H2245" s="5" t="s">
        <v>25</v>
      </c>
      <c r="I2245" s="5" t="s">
        <v>25</v>
      </c>
      <c r="J2245" s="5" t="s">
        <v>25</v>
      </c>
      <c r="K2245" s="7" t="str">
        <f>VLOOKUP(A2245,Sheet2!$A$2:$R$3432,6,0)</f>
        <v>KTM Duke 390</v>
      </c>
      <c r="L2245" s="5" t="s">
        <v>25</v>
      </c>
      <c r="M2245" s="7" t="str">
        <f>VLOOKUP(A2245,Sheet2!$A$2:$R$3432,5,0)</f>
        <v>CG07BK8584</v>
      </c>
      <c r="N2245" s="5" t="s">
        <v>25</v>
      </c>
      <c r="O2245" s="5" t="s">
        <v>25</v>
      </c>
      <c r="P2245" s="6" t="s">
        <v>25</v>
      </c>
      <c r="Q2245" s="5" t="s">
        <v>25</v>
      </c>
      <c r="R2245" s="5" t="s">
        <v>25</v>
      </c>
      <c r="S2245" s="7" t="str">
        <f>VLOOKUP(A2245,Sheet2!$A$2:$R$3432,18,0)</f>
        <v/>
      </c>
      <c r="T2245" s="7" t="str">
        <f>VLOOKUP(A2245,Sheet2!$A$2:$R$3432,17,0)</f>
        <v/>
      </c>
    </row>
    <row r="2246" ht="15.75" customHeight="1">
      <c r="A2246" s="3" t="s">
        <v>2269</v>
      </c>
      <c r="B2246" s="4" t="str">
        <f>VLOOKUP(A2246,Sheet2!$A$2:$R$3432,2,0)</f>
        <v>2024-09-11 20:39:52</v>
      </c>
      <c r="C2246" s="5" t="s">
        <v>25</v>
      </c>
      <c r="D2246" s="6" t="s">
        <v>25</v>
      </c>
      <c r="E2246" s="7">
        <f>VLOOKUP(A2246,Sheet2!$A$2:$R$3432,4,0)</f>
        <v>7391904009</v>
      </c>
      <c r="F2246" s="7" t="str">
        <f>VLOOKUP(A2246,Sheet2!$A$2:$R$3432,3,0)</f>
        <v>Vivek Raka</v>
      </c>
      <c r="G2246" s="5" t="s">
        <v>25</v>
      </c>
      <c r="H2246" s="5" t="s">
        <v>25</v>
      </c>
      <c r="I2246" s="5" t="s">
        <v>25</v>
      </c>
      <c r="J2246" s="5" t="s">
        <v>25</v>
      </c>
      <c r="K2246" s="7" t="str">
        <f>VLOOKUP(A2246,Sheet2!$A$2:$R$3432,6,0)</f>
        <v>Honda Grazia </v>
      </c>
      <c r="L2246" s="5" t="s">
        <v>25</v>
      </c>
      <c r="M2246" s="7" t="str">
        <f>VLOOKUP(A2246,Sheet2!$A$2:$R$3432,5,0)</f>
        <v>MH24BC8070</v>
      </c>
      <c r="N2246" s="5" t="s">
        <v>25</v>
      </c>
      <c r="O2246" s="5" t="s">
        <v>25</v>
      </c>
      <c r="P2246" s="6" t="s">
        <v>25</v>
      </c>
      <c r="Q2246" s="5" t="s">
        <v>25</v>
      </c>
      <c r="R2246" s="5" t="s">
        <v>25</v>
      </c>
      <c r="S2246" s="5" t="str">
        <f>VLOOKUP(A2246,Sheet2!$A$2:$R$3432,18,0)</f>
        <v>JF49EU3172560</v>
      </c>
      <c r="T2246" s="7" t="str">
        <f>VLOOKUP(A2246,Sheet2!$A$2:$R$3432,17,0)</f>
        <v>ME4JF498GJUD74238</v>
      </c>
    </row>
    <row r="2247" ht="15.75" customHeight="1">
      <c r="A2247" s="3" t="s">
        <v>2270</v>
      </c>
      <c r="B2247" s="4" t="str">
        <f>VLOOKUP(A2247,Sheet2!$A$2:$R$3432,2,0)</f>
        <v>2024-09-11 20:06:56</v>
      </c>
      <c r="C2247" s="5" t="s">
        <v>25</v>
      </c>
      <c r="D2247" s="6" t="s">
        <v>25</v>
      </c>
      <c r="E2247" s="7">
        <f>VLOOKUP(A2247,Sheet2!$A$2:$R$3432,4,0)</f>
        <v>7709278135</v>
      </c>
      <c r="F2247" s="7" t="str">
        <f>VLOOKUP(A2247,Sheet2!$A$2:$R$3432,3,0)</f>
        <v>CHANDRA SHEKHAR </v>
      </c>
      <c r="G2247" s="5" t="s">
        <v>25</v>
      </c>
      <c r="H2247" s="5" t="s">
        <v>25</v>
      </c>
      <c r="I2247" s="5" t="s">
        <v>25</v>
      </c>
      <c r="J2247" s="5" t="s">
        <v>25</v>
      </c>
      <c r="K2247" s="7" t="str">
        <f>VLOOKUP(A2247,Sheet2!$A$2:$R$3432,6,0)</f>
        <v>Hero Pleasure </v>
      </c>
      <c r="L2247" s="5" t="s">
        <v>25</v>
      </c>
      <c r="M2247" s="7" t="str">
        <f>VLOOKUP(A2247,Sheet2!$A$2:$R$3432,5,0)</f>
        <v>MH14GF1373</v>
      </c>
      <c r="N2247" s="5" t="s">
        <v>25</v>
      </c>
      <c r="O2247" s="5" t="s">
        <v>25</v>
      </c>
      <c r="P2247" s="6" t="s">
        <v>25</v>
      </c>
      <c r="Q2247" s="5" t="s">
        <v>25</v>
      </c>
      <c r="R2247" s="5" t="s">
        <v>25</v>
      </c>
      <c r="S2247" s="7" t="str">
        <f>VLOOKUP(A2247,Sheet2!$A$2:$R$3432,18,0)</f>
        <v/>
      </c>
      <c r="T2247" s="7" t="str">
        <f>VLOOKUP(A2247,Sheet2!$A$2:$R$3432,17,0)</f>
        <v/>
      </c>
    </row>
    <row r="2248" ht="15.75" customHeight="1">
      <c r="A2248" s="3" t="s">
        <v>2271</v>
      </c>
      <c r="B2248" s="4" t="str">
        <f>VLOOKUP(A2248,Sheet2!$A$2:$R$3432,2,0)</f>
        <v>2024-09-11 20:41:38</v>
      </c>
      <c r="C2248" s="5" t="s">
        <v>25</v>
      </c>
      <c r="D2248" s="6" t="s">
        <v>25</v>
      </c>
      <c r="E2248" s="7">
        <f>VLOOKUP(A2248,Sheet2!$A$2:$R$3432,4,0)</f>
        <v>9960105568</v>
      </c>
      <c r="F2248" s="7" t="str">
        <f>VLOOKUP(A2248,Sheet2!$A$2:$R$3432,3,0)</f>
        <v>Dhiraj</v>
      </c>
      <c r="G2248" s="5" t="s">
        <v>25</v>
      </c>
      <c r="H2248" s="5" t="s">
        <v>25</v>
      </c>
      <c r="I2248" s="5" t="s">
        <v>25</v>
      </c>
      <c r="J2248" s="5" t="s">
        <v>25</v>
      </c>
      <c r="K2248" s="7" t="str">
        <f>VLOOKUP(A2248,Sheet2!$A$2:$R$3432,6,0)</f>
        <v>Bajaj Pulsar 125</v>
      </c>
      <c r="L2248" s="5" t="s">
        <v>25</v>
      </c>
      <c r="M2248" s="7" t="str">
        <f>VLOOKUP(A2248,Sheet2!$A$2:$R$3432,5,0)</f>
        <v>MH12TE6164</v>
      </c>
      <c r="N2248" s="5" t="s">
        <v>25</v>
      </c>
      <c r="O2248" s="5" t="s">
        <v>25</v>
      </c>
      <c r="P2248" s="6" t="s">
        <v>25</v>
      </c>
      <c r="Q2248" s="5" t="s">
        <v>25</v>
      </c>
      <c r="R2248" s="5" t="s">
        <v>25</v>
      </c>
      <c r="S2248" s="7" t="str">
        <f>VLOOKUP(A2248,Sheet2!$A$2:$R$3432,18,0)</f>
        <v/>
      </c>
      <c r="T2248" s="7" t="str">
        <f>VLOOKUP(A2248,Sheet2!$A$2:$R$3432,17,0)</f>
        <v/>
      </c>
    </row>
    <row r="2249" ht="15.75" customHeight="1">
      <c r="A2249" s="3" t="s">
        <v>2272</v>
      </c>
      <c r="B2249" s="4" t="str">
        <f>VLOOKUP(A2249,Sheet2!$A$2:$R$3432,2,0)</f>
        <v>2024-09-11 20:40:41</v>
      </c>
      <c r="C2249" s="5" t="s">
        <v>25</v>
      </c>
      <c r="D2249" s="6" t="s">
        <v>25</v>
      </c>
      <c r="E2249" s="7">
        <f>VLOOKUP(A2249,Sheet2!$A$2:$R$3432,4,0)</f>
        <v>7972691526</v>
      </c>
      <c r="F2249" s="7" t="str">
        <f>VLOOKUP(A2249,Sheet2!$A$2:$R$3432,3,0)</f>
        <v>Vinay Juneja</v>
      </c>
      <c r="G2249" s="5" t="s">
        <v>25</v>
      </c>
      <c r="H2249" s="5" t="s">
        <v>25</v>
      </c>
      <c r="I2249" s="5" t="s">
        <v>25</v>
      </c>
      <c r="J2249" s="5" t="s">
        <v>25</v>
      </c>
      <c r="K2249" s="7" t="str">
        <f>VLOOKUP(A2249,Sheet2!$A$2:$R$3432,6,0)</f>
        <v>Honda Activa 4G</v>
      </c>
      <c r="L2249" s="5" t="s">
        <v>25</v>
      </c>
      <c r="M2249" s="7" t="str">
        <f>VLOOKUP(A2249,Sheet2!$A$2:$R$3432,5,0)</f>
        <v>MH12PF8386</v>
      </c>
      <c r="N2249" s="5" t="s">
        <v>25</v>
      </c>
      <c r="O2249" s="5" t="s">
        <v>25</v>
      </c>
      <c r="P2249" s="6" t="s">
        <v>25</v>
      </c>
      <c r="Q2249" s="5" t="s">
        <v>25</v>
      </c>
      <c r="R2249" s="5" t="s">
        <v>25</v>
      </c>
      <c r="S2249" s="7" t="str">
        <f>VLOOKUP(A2249,Sheet2!$A$2:$R$3432,18,0)</f>
        <v/>
      </c>
      <c r="T2249" s="7" t="str">
        <f>VLOOKUP(A2249,Sheet2!$A$2:$R$3432,17,0)</f>
        <v/>
      </c>
    </row>
    <row r="2250" ht="15.75" customHeight="1">
      <c r="A2250" s="3" t="s">
        <v>2273</v>
      </c>
      <c r="B2250" s="4" t="str">
        <f>VLOOKUP(A2250,Sheet2!$A$2:$R$3432,2,0)</f>
        <v>2024-09-11 20:39:36</v>
      </c>
      <c r="C2250" s="5" t="s">
        <v>25</v>
      </c>
      <c r="D2250" s="6" t="s">
        <v>25</v>
      </c>
      <c r="E2250" s="7">
        <f>VLOOKUP(A2250,Sheet2!$A$2:$R$3432,4,0)</f>
        <v>7798199237</v>
      </c>
      <c r="F2250" s="7" t="str">
        <f>VLOOKUP(A2250,Sheet2!$A$2:$R$3432,3,0)</f>
        <v>Saga Patel</v>
      </c>
      <c r="G2250" s="5" t="s">
        <v>25</v>
      </c>
      <c r="H2250" s="5" t="s">
        <v>25</v>
      </c>
      <c r="I2250" s="5" t="s">
        <v>25</v>
      </c>
      <c r="J2250" s="5" t="s">
        <v>25</v>
      </c>
      <c r="K2250" s="7" t="str">
        <f>VLOOKUP(A2250,Sheet2!$A$2:$R$3432,6,0)</f>
        <v>Bajaj Pulsar 150</v>
      </c>
      <c r="L2250" s="5" t="s">
        <v>25</v>
      </c>
      <c r="M2250" s="7" t="str">
        <f>VLOOKUP(A2250,Sheet2!$A$2:$R$3432,5,0)</f>
        <v>MH14HE1509</v>
      </c>
      <c r="N2250" s="5" t="s">
        <v>25</v>
      </c>
      <c r="O2250" s="5" t="s">
        <v>25</v>
      </c>
      <c r="P2250" s="6" t="s">
        <v>25</v>
      </c>
      <c r="Q2250" s="5" t="s">
        <v>25</v>
      </c>
      <c r="R2250" s="5" t="s">
        <v>25</v>
      </c>
      <c r="S2250" s="7" t="str">
        <f>VLOOKUP(A2250,Sheet2!$A$2:$R$3432,18,0)</f>
        <v/>
      </c>
      <c r="T2250" s="7" t="str">
        <f>VLOOKUP(A2250,Sheet2!$A$2:$R$3432,17,0)</f>
        <v/>
      </c>
    </row>
    <row r="2251" ht="15.75" customHeight="1">
      <c r="A2251" s="3" t="s">
        <v>2274</v>
      </c>
      <c r="B2251" s="4" t="str">
        <f>VLOOKUP(A2251,Sheet2!$A$2:$R$3432,2,0)</f>
        <v>2024-09-11 20:07:25</v>
      </c>
      <c r="C2251" s="5" t="s">
        <v>25</v>
      </c>
      <c r="D2251" s="6" t="s">
        <v>25</v>
      </c>
      <c r="E2251" s="7">
        <f>VLOOKUP(A2251,Sheet2!$A$2:$R$3432,4,0)</f>
        <v>9004432771</v>
      </c>
      <c r="F2251" s="7" t="str">
        <f>VLOOKUP(A2251,Sheet2!$A$2:$R$3432,3,0)</f>
        <v>Dharmesh</v>
      </c>
      <c r="G2251" s="5" t="s">
        <v>25</v>
      </c>
      <c r="H2251" s="5" t="s">
        <v>25</v>
      </c>
      <c r="I2251" s="5" t="s">
        <v>25</v>
      </c>
      <c r="J2251" s="5" t="s">
        <v>25</v>
      </c>
      <c r="K2251" s="7" t="str">
        <f>VLOOKUP(A2251,Sheet2!$A$2:$R$3432,6,0)</f>
        <v>Hero Passion PRO</v>
      </c>
      <c r="L2251" s="5" t="s">
        <v>25</v>
      </c>
      <c r="M2251" s="7" t="str">
        <f>VLOOKUP(A2251,Sheet2!$A$2:$R$3432,5,0)</f>
        <v>MH12GE1062</v>
      </c>
      <c r="N2251" s="5" t="s">
        <v>25</v>
      </c>
      <c r="O2251" s="5" t="s">
        <v>25</v>
      </c>
      <c r="P2251" s="6" t="s">
        <v>25</v>
      </c>
      <c r="Q2251" s="5" t="s">
        <v>25</v>
      </c>
      <c r="R2251" s="5" t="s">
        <v>25</v>
      </c>
      <c r="S2251" s="7" t="str">
        <f>VLOOKUP(A2251,Sheet2!$A$2:$R$3432,18,0)</f>
        <v/>
      </c>
      <c r="T2251" s="7" t="str">
        <f>VLOOKUP(A2251,Sheet2!$A$2:$R$3432,17,0)</f>
        <v>MBLHA10AHAGG18122</v>
      </c>
    </row>
    <row r="2252" ht="15.75" customHeight="1">
      <c r="A2252" s="3" t="s">
        <v>2275</v>
      </c>
      <c r="B2252" s="4" t="str">
        <f>VLOOKUP(A2252,Sheet2!$A$2:$R$3432,2,0)</f>
        <v>2024-09-11 20:05:55</v>
      </c>
      <c r="C2252" s="5" t="s">
        <v>25</v>
      </c>
      <c r="D2252" s="6" t="s">
        <v>25</v>
      </c>
      <c r="E2252" s="7">
        <f>VLOOKUP(A2252,Sheet2!$A$2:$R$3432,4,0)</f>
        <v>9545157573</v>
      </c>
      <c r="F2252" s="7" t="str">
        <f>VLOOKUP(A2252,Sheet2!$A$2:$R$3432,3,0)</f>
        <v>Suyash Gaikwad </v>
      </c>
      <c r="G2252" s="5" t="s">
        <v>25</v>
      </c>
      <c r="H2252" s="5" t="s">
        <v>25</v>
      </c>
      <c r="I2252" s="5" t="s">
        <v>25</v>
      </c>
      <c r="J2252" s="5" t="s">
        <v>25</v>
      </c>
      <c r="K2252" s="7" t="str">
        <f>VLOOKUP(A2252,Sheet2!$A$2:$R$3432,6,0)</f>
        <v>Royal Enfield Bullet 350</v>
      </c>
      <c r="L2252" s="5" t="s">
        <v>25</v>
      </c>
      <c r="M2252" s="7" t="str">
        <f>VLOOKUP(A2252,Sheet2!$A$2:$R$3432,5,0)</f>
        <v>MH14FE6498</v>
      </c>
      <c r="N2252" s="5" t="s">
        <v>25</v>
      </c>
      <c r="O2252" s="5" t="s">
        <v>25</v>
      </c>
      <c r="P2252" s="6" t="s">
        <v>25</v>
      </c>
      <c r="Q2252" s="5" t="s">
        <v>25</v>
      </c>
      <c r="R2252" s="5" t="s">
        <v>25</v>
      </c>
      <c r="S2252" s="7" t="str">
        <f>VLOOKUP(A2252,Sheet2!$A$2:$R$3432,18,0)</f>
        <v/>
      </c>
      <c r="T2252" s="7" t="str">
        <f>VLOOKUP(A2252,Sheet2!$A$2:$R$3432,17,0)</f>
        <v/>
      </c>
    </row>
    <row r="2253" ht="15.75" customHeight="1">
      <c r="A2253" s="3" t="s">
        <v>2276</v>
      </c>
      <c r="B2253" s="4" t="str">
        <f>VLOOKUP(A2253,Sheet2!$A$2:$R$3432,2,0)</f>
        <v>2024-09-11 20:10:31</v>
      </c>
      <c r="C2253" s="5" t="s">
        <v>25</v>
      </c>
      <c r="D2253" s="6" t="s">
        <v>25</v>
      </c>
      <c r="E2253" s="7">
        <f>VLOOKUP(A2253,Sheet2!$A$2:$R$3432,4,0)</f>
        <v>9405601126</v>
      </c>
      <c r="F2253" s="7" t="str">
        <f>VLOOKUP(A2253,Sheet2!$A$2:$R$3432,3,0)</f>
        <v>Shreyas Muke</v>
      </c>
      <c r="G2253" s="5" t="s">
        <v>25</v>
      </c>
      <c r="H2253" s="5" t="s">
        <v>25</v>
      </c>
      <c r="I2253" s="5" t="s">
        <v>25</v>
      </c>
      <c r="J2253" s="5" t="s">
        <v>25</v>
      </c>
      <c r="K2253" s="7" t="str">
        <f>VLOOKUP(A2253,Sheet2!$A$2:$R$3432,6,0)</f>
        <v>Piaggio Vespa </v>
      </c>
      <c r="L2253" s="5" t="s">
        <v>25</v>
      </c>
      <c r="M2253" s="7" t="str">
        <f>VLOOKUP(A2253,Sheet2!$A$2:$R$3432,5,0)</f>
        <v>MH14JT4400</v>
      </c>
      <c r="N2253" s="5" t="s">
        <v>25</v>
      </c>
      <c r="O2253" s="5" t="s">
        <v>25</v>
      </c>
      <c r="P2253" s="6" t="s">
        <v>25</v>
      </c>
      <c r="Q2253" s="5" t="s">
        <v>25</v>
      </c>
      <c r="R2253" s="5" t="s">
        <v>25</v>
      </c>
      <c r="S2253" s="5" t="str">
        <f>VLOOKUP(A2253,Sheet2!$A$2:$R$3432,18,0)</f>
        <v>RUSTY FRAME </v>
      </c>
      <c r="T2253" s="7" t="str">
        <f>VLOOKUP(A2253,Sheet2!$A$2:$R$3432,17,0)</f>
        <v>MET00003A1J003707</v>
      </c>
    </row>
    <row r="2254" ht="15.75" customHeight="1">
      <c r="A2254" s="3" t="s">
        <v>2277</v>
      </c>
      <c r="B2254" s="4" t="str">
        <f>VLOOKUP(A2254,Sheet2!$A$2:$R$3432,2,0)</f>
        <v>2024-09-11 20:12:12</v>
      </c>
      <c r="C2254" s="5" t="s">
        <v>25</v>
      </c>
      <c r="D2254" s="6" t="s">
        <v>25</v>
      </c>
      <c r="E2254" s="7">
        <f>VLOOKUP(A2254,Sheet2!$A$2:$R$3432,4,0)</f>
        <v>9527273852</v>
      </c>
      <c r="F2254" s="7" t="str">
        <f>VLOOKUP(A2254,Sheet2!$A$2:$R$3432,3,0)</f>
        <v>Pradeep</v>
      </c>
      <c r="G2254" s="5" t="s">
        <v>25</v>
      </c>
      <c r="H2254" s="5" t="s">
        <v>25</v>
      </c>
      <c r="I2254" s="5" t="s">
        <v>25</v>
      </c>
      <c r="J2254" s="5" t="s">
        <v>25</v>
      </c>
      <c r="K2254" s="7" t="str">
        <f>VLOOKUP(A2254,Sheet2!$A$2:$R$3432,6,0)</f>
        <v>Bajaj Pulsar 135</v>
      </c>
      <c r="L2254" s="5" t="s">
        <v>25</v>
      </c>
      <c r="M2254" s="7" t="str">
        <f>VLOOKUP(A2254,Sheet2!$A$2:$R$3432,5,0)</f>
        <v>MH31DD8192</v>
      </c>
      <c r="N2254" s="5" t="s">
        <v>25</v>
      </c>
      <c r="O2254" s="5" t="s">
        <v>25</v>
      </c>
      <c r="P2254" s="6" t="s">
        <v>25</v>
      </c>
      <c r="Q2254" s="5" t="s">
        <v>25</v>
      </c>
      <c r="R2254" s="5" t="s">
        <v>25</v>
      </c>
      <c r="S2254" s="5" t="str">
        <f>VLOOKUP(A2254,Sheet2!$A$2:$R$3432,18,0)</f>
        <v>JEGB5K11941</v>
      </c>
      <c r="T2254" s="7" t="str">
        <f>VLOOKUP(A2254,Sheet2!$A$2:$R$3432,17,0)</f>
        <v>MD2JDJBZZ50A11855</v>
      </c>
    </row>
    <row r="2255" ht="15.75" customHeight="1">
      <c r="A2255" s="3" t="s">
        <v>2278</v>
      </c>
      <c r="B2255" s="4" t="str">
        <f>VLOOKUP(A2255,Sheet2!$A$2:$R$3432,2,0)</f>
        <v>2024-09-11 20:15:16</v>
      </c>
      <c r="C2255" s="5" t="s">
        <v>25</v>
      </c>
      <c r="D2255" s="6" t="s">
        <v>25</v>
      </c>
      <c r="E2255" s="7">
        <f>VLOOKUP(A2255,Sheet2!$A$2:$R$3432,4,0)</f>
        <v>8605863553</v>
      </c>
      <c r="F2255" s="7" t="str">
        <f>VLOOKUP(A2255,Sheet2!$A$2:$R$3432,3,0)</f>
        <v>Ashwini Laishram</v>
      </c>
      <c r="G2255" s="5" t="s">
        <v>25</v>
      </c>
      <c r="H2255" s="5" t="s">
        <v>25</v>
      </c>
      <c r="I2255" s="5" t="s">
        <v>25</v>
      </c>
      <c r="J2255" s="5" t="s">
        <v>25</v>
      </c>
      <c r="K2255" s="7" t="str">
        <f>VLOOKUP(A2255,Sheet2!$A$2:$R$3432,6,0)</f>
        <v>Honda Activa 110</v>
      </c>
      <c r="L2255" s="5" t="s">
        <v>25</v>
      </c>
      <c r="M2255" s="7" t="str">
        <f>VLOOKUP(A2255,Sheet2!$A$2:$R$3432,5,0)</f>
        <v>MH12HW6307</v>
      </c>
      <c r="N2255" s="5" t="s">
        <v>25</v>
      </c>
      <c r="O2255" s="5" t="s">
        <v>25</v>
      </c>
      <c r="P2255" s="6" t="s">
        <v>25</v>
      </c>
      <c r="Q2255" s="5" t="s">
        <v>25</v>
      </c>
      <c r="R2255" s="5" t="s">
        <v>25</v>
      </c>
      <c r="S2255" s="7" t="str">
        <f>VLOOKUP(A2255,Sheet2!$A$2:$R$3432,18,0)</f>
        <v/>
      </c>
      <c r="T2255" s="7" t="str">
        <f>VLOOKUP(A2255,Sheet2!$A$2:$R$3432,17,0)</f>
        <v>ME4JC448CC8857490</v>
      </c>
    </row>
    <row r="2256" ht="15.75" customHeight="1">
      <c r="A2256" s="3" t="s">
        <v>2279</v>
      </c>
      <c r="B2256" s="4" t="str">
        <f>VLOOKUP(A2256,Sheet2!$A$2:$R$3432,2,0)</f>
        <v>2024-09-11 20:16:14</v>
      </c>
      <c r="C2256" s="5" t="s">
        <v>25</v>
      </c>
      <c r="D2256" s="6" t="s">
        <v>25</v>
      </c>
      <c r="E2256" s="7">
        <f>VLOOKUP(A2256,Sheet2!$A$2:$R$3432,4,0)</f>
        <v>9049505156</v>
      </c>
      <c r="F2256" s="7" t="str">
        <f>VLOOKUP(A2256,Sheet2!$A$2:$R$3432,3,0)</f>
        <v>MITESH</v>
      </c>
      <c r="G2256" s="5" t="s">
        <v>25</v>
      </c>
      <c r="H2256" s="5" t="s">
        <v>25</v>
      </c>
      <c r="I2256" s="5" t="s">
        <v>25</v>
      </c>
      <c r="J2256" s="5" t="s">
        <v>25</v>
      </c>
      <c r="K2256" s="7" t="str">
        <f>VLOOKUP(A2256,Sheet2!$A$2:$R$3432,6,0)</f>
        <v>Honda Activa 125</v>
      </c>
      <c r="L2256" s="5" t="s">
        <v>25</v>
      </c>
      <c r="M2256" s="7" t="str">
        <f>VLOOKUP(A2256,Sheet2!$A$2:$R$3432,5,0)</f>
        <v>MH14FU7646</v>
      </c>
      <c r="N2256" s="5" t="s">
        <v>25</v>
      </c>
      <c r="O2256" s="5" t="s">
        <v>25</v>
      </c>
      <c r="P2256" s="6" t="s">
        <v>25</v>
      </c>
      <c r="Q2256" s="5" t="s">
        <v>25</v>
      </c>
      <c r="R2256" s="5" t="s">
        <v>25</v>
      </c>
      <c r="S2256" s="5" t="str">
        <f>VLOOKUP(A2256,Sheet2!$A$2:$R$3432,18,0)</f>
        <v>JF49E8129157</v>
      </c>
      <c r="T2256" s="7" t="str">
        <f>VLOOKUP(A2256,Sheet2!$A$2:$R$3432,17,0)</f>
        <v>ME4JF493HG8363168</v>
      </c>
    </row>
    <row r="2257" ht="15.75" customHeight="1">
      <c r="A2257" s="3" t="s">
        <v>2280</v>
      </c>
      <c r="B2257" s="4" t="str">
        <f>VLOOKUP(A2257,Sheet2!$A$2:$R$3432,2,0)</f>
        <v>2024-09-11 20:16:38</v>
      </c>
      <c r="C2257" s="5" t="s">
        <v>25</v>
      </c>
      <c r="D2257" s="6" t="s">
        <v>25</v>
      </c>
      <c r="E2257" s="7">
        <f>VLOOKUP(A2257,Sheet2!$A$2:$R$3432,4,0)</f>
        <v>7045309011</v>
      </c>
      <c r="F2257" s="7" t="str">
        <f>VLOOKUP(A2257,Sheet2!$A$2:$R$3432,3,0)</f>
        <v>Deepanjan</v>
      </c>
      <c r="G2257" s="5" t="s">
        <v>25</v>
      </c>
      <c r="H2257" s="5" t="s">
        <v>25</v>
      </c>
      <c r="I2257" s="5" t="s">
        <v>25</v>
      </c>
      <c r="J2257" s="5" t="s">
        <v>25</v>
      </c>
      <c r="K2257" s="7" t="str">
        <f>VLOOKUP(A2257,Sheet2!$A$2:$R$3432,6,0)</f>
        <v>Bajaj Avenger 150 Street</v>
      </c>
      <c r="L2257" s="5" t="s">
        <v>25</v>
      </c>
      <c r="M2257" s="7" t="str">
        <f>VLOOKUP(A2257,Sheet2!$A$2:$R$3432,5,0)</f>
        <v>MH12NT3423</v>
      </c>
      <c r="N2257" s="5" t="s">
        <v>25</v>
      </c>
      <c r="O2257" s="5" t="s">
        <v>25</v>
      </c>
      <c r="P2257" s="6" t="s">
        <v>25</v>
      </c>
      <c r="Q2257" s="5" t="s">
        <v>25</v>
      </c>
      <c r="R2257" s="5" t="s">
        <v>25</v>
      </c>
      <c r="S2257" s="5" t="str">
        <f>VLOOKUP(A2257,Sheet2!$A$2:$R$3432,18,0)</f>
        <v>PDYCGJ58802</v>
      </c>
      <c r="T2257" s="7" t="str">
        <f>VLOOKUP(A2257,Sheet2!$A$2:$R$3432,17,0)</f>
        <v>MD2A85CY4GCJ02450</v>
      </c>
    </row>
    <row r="2258" ht="15.75" customHeight="1">
      <c r="A2258" s="3" t="s">
        <v>2281</v>
      </c>
      <c r="B2258" s="4" t="str">
        <f>VLOOKUP(A2258,Sheet2!$A$2:$R$3432,2,0)</f>
        <v>2024-09-11 20:17:35</v>
      </c>
      <c r="C2258" s="5" t="s">
        <v>25</v>
      </c>
      <c r="D2258" s="6" t="s">
        <v>25</v>
      </c>
      <c r="E2258" s="7">
        <f>VLOOKUP(A2258,Sheet2!$A$2:$R$3432,4,0)</f>
        <v>8149576084</v>
      </c>
      <c r="F2258" s="7" t="str">
        <f>VLOOKUP(A2258,Sheet2!$A$2:$R$3432,3,0)</f>
        <v>Ruchika Gotmare</v>
      </c>
      <c r="G2258" s="5" t="s">
        <v>25</v>
      </c>
      <c r="H2258" s="5" t="s">
        <v>25</v>
      </c>
      <c r="I2258" s="5" t="s">
        <v>25</v>
      </c>
      <c r="J2258" s="5" t="s">
        <v>25</v>
      </c>
      <c r="K2258" s="7" t="str">
        <f>VLOOKUP(A2258,Sheet2!$A$2:$R$3432,6,0)</f>
        <v>Honda Activa 110</v>
      </c>
      <c r="L2258" s="5" t="s">
        <v>25</v>
      </c>
      <c r="M2258" s="7" t="str">
        <f>VLOOKUP(A2258,Sheet2!$A$2:$R$3432,5,0)</f>
        <v>MH49N8933</v>
      </c>
      <c r="N2258" s="5" t="s">
        <v>25</v>
      </c>
      <c r="O2258" s="5" t="s">
        <v>25</v>
      </c>
      <c r="P2258" s="6" t="s">
        <v>25</v>
      </c>
      <c r="Q2258" s="5" t="s">
        <v>25</v>
      </c>
      <c r="R2258" s="5" t="s">
        <v>25</v>
      </c>
      <c r="S2258" s="5" t="str">
        <f>VLOOKUP(A2258,Sheet2!$A$2:$R$3432,18,0)</f>
        <v>JF50E80419268</v>
      </c>
      <c r="T2258" s="7" t="str">
        <f>VLOOKUP(A2258,Sheet2!$A$2:$R$3432,17,0)</f>
        <v>ME4JF501HD6420586</v>
      </c>
    </row>
    <row r="2259" ht="15.75" customHeight="1">
      <c r="A2259" s="3" t="s">
        <v>2282</v>
      </c>
      <c r="B2259" s="4" t="str">
        <f>VLOOKUP(A2259,Sheet2!$A$2:$R$3432,2,0)</f>
        <v>2024-09-11 20:19:35</v>
      </c>
      <c r="C2259" s="5" t="s">
        <v>25</v>
      </c>
      <c r="D2259" s="6" t="s">
        <v>25</v>
      </c>
      <c r="E2259" s="7">
        <f>VLOOKUP(A2259,Sheet2!$A$2:$R$3432,4,0)</f>
        <v>9284226625</v>
      </c>
      <c r="F2259" s="7" t="str">
        <f>VLOOKUP(A2259,Sheet2!$A$2:$R$3432,3,0)</f>
        <v>Amit kambe</v>
      </c>
      <c r="G2259" s="5" t="s">
        <v>25</v>
      </c>
      <c r="H2259" s="5" t="s">
        <v>25</v>
      </c>
      <c r="I2259" s="5" t="s">
        <v>25</v>
      </c>
      <c r="J2259" s="5" t="s">
        <v>25</v>
      </c>
      <c r="K2259" s="7" t="str">
        <f>VLOOKUP(A2259,Sheet2!$A$2:$R$3432,6,0)</f>
        <v>Bajaj Pulsar 150</v>
      </c>
      <c r="L2259" s="5" t="s">
        <v>25</v>
      </c>
      <c r="M2259" s="7" t="str">
        <f>VLOOKUP(A2259,Sheet2!$A$2:$R$3432,5,0)</f>
        <v>MH27CK3864</v>
      </c>
      <c r="N2259" s="5" t="s">
        <v>25</v>
      </c>
      <c r="O2259" s="5" t="s">
        <v>25</v>
      </c>
      <c r="P2259" s="6" t="s">
        <v>25</v>
      </c>
      <c r="Q2259" s="5" t="s">
        <v>25</v>
      </c>
      <c r="R2259" s="5" t="s">
        <v>25</v>
      </c>
      <c r="S2259" s="7" t="str">
        <f>VLOOKUP(A2259,Sheet2!$A$2:$R$3432,18,0)</f>
        <v/>
      </c>
      <c r="T2259" s="7" t="str">
        <f>VLOOKUP(A2259,Sheet2!$A$2:$R$3432,17,0)</f>
        <v/>
      </c>
    </row>
    <row r="2260" ht="15.75" customHeight="1">
      <c r="A2260" s="3" t="s">
        <v>2283</v>
      </c>
      <c r="B2260" s="4" t="str">
        <f>VLOOKUP(A2260,Sheet2!$A$2:$R$3432,2,0)</f>
        <v>2024-09-11 20:30:22</v>
      </c>
      <c r="C2260" s="5" t="s">
        <v>25</v>
      </c>
      <c r="D2260" s="6" t="s">
        <v>25</v>
      </c>
      <c r="E2260" s="7">
        <f>VLOOKUP(A2260,Sheet2!$A$2:$R$3432,4,0)</f>
        <v>9766611011</v>
      </c>
      <c r="F2260" s="7" t="str">
        <f>VLOOKUP(A2260,Sheet2!$A$2:$R$3432,3,0)</f>
        <v>ATUL NANDGUDE</v>
      </c>
      <c r="G2260" s="5" t="s">
        <v>25</v>
      </c>
      <c r="H2260" s="5" t="s">
        <v>25</v>
      </c>
      <c r="I2260" s="5" t="s">
        <v>25</v>
      </c>
      <c r="J2260" s="5" t="s">
        <v>25</v>
      </c>
      <c r="K2260" s="7" t="str">
        <f>VLOOKUP(A2260,Sheet2!$A$2:$R$3432,6,0)</f>
        <v>Honda Activa 110</v>
      </c>
      <c r="L2260" s="5" t="s">
        <v>25</v>
      </c>
      <c r="M2260" s="7" t="str">
        <f>VLOOKUP(A2260,Sheet2!$A$2:$R$3432,5,0)</f>
        <v>MH14EB5971</v>
      </c>
      <c r="N2260" s="5" t="s">
        <v>25</v>
      </c>
      <c r="O2260" s="5" t="s">
        <v>25</v>
      </c>
      <c r="P2260" s="6" t="s">
        <v>25</v>
      </c>
      <c r="Q2260" s="5" t="s">
        <v>25</v>
      </c>
      <c r="R2260" s="5" t="s">
        <v>25</v>
      </c>
      <c r="S2260" s="7" t="str">
        <f>VLOOKUP(A2260,Sheet2!$A$2:$R$3432,18,0)</f>
        <v/>
      </c>
      <c r="T2260" s="7" t="str">
        <f>VLOOKUP(A2260,Sheet2!$A$2:$R$3432,17,0)</f>
        <v/>
      </c>
    </row>
    <row r="2261" ht="15.75" customHeight="1">
      <c r="A2261" s="3" t="s">
        <v>2284</v>
      </c>
      <c r="B2261" s="4" t="str">
        <f>VLOOKUP(A2261,Sheet2!$A$2:$R$3432,2,0)</f>
        <v>2024-09-11 20:30:37</v>
      </c>
      <c r="C2261" s="5" t="s">
        <v>25</v>
      </c>
      <c r="D2261" s="6" t="s">
        <v>25</v>
      </c>
      <c r="E2261" s="7">
        <f>VLOOKUP(A2261,Sheet2!$A$2:$R$3432,4,0)</f>
        <v>9766611011</v>
      </c>
      <c r="F2261" s="7" t="str">
        <f>VLOOKUP(A2261,Sheet2!$A$2:$R$3432,3,0)</f>
        <v>Atul Nandgude</v>
      </c>
      <c r="G2261" s="5" t="s">
        <v>25</v>
      </c>
      <c r="H2261" s="5" t="s">
        <v>25</v>
      </c>
      <c r="I2261" s="5" t="s">
        <v>25</v>
      </c>
      <c r="J2261" s="5" t="s">
        <v>25</v>
      </c>
      <c r="K2261" s="7" t="str">
        <f>VLOOKUP(A2261,Sheet2!$A$2:$R$3432,6,0)</f>
        <v>Suzuki Access 125</v>
      </c>
      <c r="L2261" s="5" t="s">
        <v>25</v>
      </c>
      <c r="M2261" s="7" t="str">
        <f>VLOOKUP(A2261,Sheet2!$A$2:$R$3432,5,0)</f>
        <v>MH12QP1161</v>
      </c>
      <c r="N2261" s="5" t="s">
        <v>25</v>
      </c>
      <c r="O2261" s="5" t="s">
        <v>25</v>
      </c>
      <c r="P2261" s="6" t="s">
        <v>25</v>
      </c>
      <c r="Q2261" s="5" t="s">
        <v>25</v>
      </c>
      <c r="R2261" s="5" t="s">
        <v>25</v>
      </c>
      <c r="S2261" s="7" t="str">
        <f>VLOOKUP(A2261,Sheet2!$A$2:$R$3432,18,0)</f>
        <v/>
      </c>
      <c r="T2261" s="7" t="str">
        <f>VLOOKUP(A2261,Sheet2!$A$2:$R$3432,17,0)</f>
        <v>MB8DP11ACJ87959</v>
      </c>
    </row>
    <row r="2262" ht="15.75" customHeight="1">
      <c r="A2262" s="3" t="s">
        <v>2285</v>
      </c>
      <c r="B2262" s="4" t="str">
        <f>VLOOKUP(A2262,Sheet2!$A$2:$R$3432,2,0)</f>
        <v>2024-09-11 20:41:08</v>
      </c>
      <c r="C2262" s="5" t="s">
        <v>25</v>
      </c>
      <c r="D2262" s="6" t="s">
        <v>25</v>
      </c>
      <c r="E2262" s="7">
        <f>VLOOKUP(A2262,Sheet2!$A$2:$R$3432,4,0)</f>
        <v>9975001056</v>
      </c>
      <c r="F2262" s="7" t="str">
        <f>VLOOKUP(A2262,Sheet2!$A$2:$R$3432,3,0)</f>
        <v>SWAPNIL </v>
      </c>
      <c r="G2262" s="5" t="s">
        <v>25</v>
      </c>
      <c r="H2262" s="5" t="s">
        <v>25</v>
      </c>
      <c r="I2262" s="5" t="s">
        <v>25</v>
      </c>
      <c r="J2262" s="5" t="s">
        <v>25</v>
      </c>
      <c r="K2262" s="7" t="str">
        <f>VLOOKUP(A2262,Sheet2!$A$2:$R$3432,6,0)</f>
        <v>Hero Xpulse 200</v>
      </c>
      <c r="L2262" s="5" t="s">
        <v>25</v>
      </c>
      <c r="M2262" s="7" t="str">
        <f>VLOOKUP(A2262,Sheet2!$A$2:$R$3432,5,0)</f>
        <v>MH27DF7190</v>
      </c>
      <c r="N2262" s="5" t="s">
        <v>25</v>
      </c>
      <c r="O2262" s="5" t="s">
        <v>25</v>
      </c>
      <c r="P2262" s="6" t="s">
        <v>25</v>
      </c>
      <c r="Q2262" s="5" t="s">
        <v>25</v>
      </c>
      <c r="R2262" s="5" t="s">
        <v>25</v>
      </c>
      <c r="S2262" s="5" t="str">
        <f>VLOOKUP(A2262,Sheet2!$A$2:$R$3432,18,0)</f>
        <v>NC20HHGE02F14</v>
      </c>
      <c r="T2262" s="7" t="str">
        <f>VLOOKUP(A2262,Sheet2!$A$2:$R$3432,17,0)</f>
        <v>MBLLDL067NCE02154</v>
      </c>
    </row>
    <row r="2263" ht="15.75" customHeight="1">
      <c r="A2263" s="3" t="s">
        <v>2286</v>
      </c>
      <c r="B2263" s="4" t="str">
        <f>VLOOKUP(A2263,Sheet2!$A$2:$R$3432,2,0)</f>
        <v>2024-09-09 16:00:22</v>
      </c>
      <c r="C2263" s="5" t="s">
        <v>25</v>
      </c>
      <c r="D2263" s="6" t="s">
        <v>25</v>
      </c>
      <c r="E2263" s="7">
        <f>VLOOKUP(A2263,Sheet2!$A$2:$R$3432,4,0)</f>
        <v>9122335528</v>
      </c>
      <c r="F2263" s="7" t="str">
        <f>VLOOKUP(A2263,Sheet2!$A$2:$R$3432,3,0)</f>
        <v>Sanjay</v>
      </c>
      <c r="G2263" s="5" t="s">
        <v>25</v>
      </c>
      <c r="H2263" s="5" t="s">
        <v>25</v>
      </c>
      <c r="I2263" s="5" t="s">
        <v>25</v>
      </c>
      <c r="J2263" s="5" t="s">
        <v>25</v>
      </c>
      <c r="K2263" s="7" t="str">
        <f>VLOOKUP(A2263,Sheet2!$A$2:$R$3432,6,0)</f>
        <v>Honda Activa 4G</v>
      </c>
      <c r="L2263" s="5" t="s">
        <v>25</v>
      </c>
      <c r="M2263" s="7" t="str">
        <f>VLOOKUP(A2263,Sheet2!$A$2:$R$3432,5,0)</f>
        <v>MH12QJ9937</v>
      </c>
      <c r="N2263" s="5" t="s">
        <v>25</v>
      </c>
      <c r="O2263" s="5" t="s">
        <v>25</v>
      </c>
      <c r="P2263" s="6" t="s">
        <v>25</v>
      </c>
      <c r="Q2263" s="5" t="s">
        <v>25</v>
      </c>
      <c r="R2263" s="5" t="s">
        <v>25</v>
      </c>
      <c r="S2263" s="7" t="str">
        <f>VLOOKUP(A2263,Sheet2!$A$2:$R$3432,18,0)</f>
        <v/>
      </c>
      <c r="T2263" s="7" t="str">
        <f>VLOOKUP(A2263,Sheet2!$A$2:$R$3432,17,0)</f>
        <v>ME4JF5CBJU132924</v>
      </c>
    </row>
    <row r="2264" ht="15.75" customHeight="1">
      <c r="A2264" s="3" t="s">
        <v>2287</v>
      </c>
      <c r="B2264" s="4" t="str">
        <f>VLOOKUP(A2264,Sheet2!$A$2:$R$3432,2,0)</f>
        <v>2024-11-09 20:43:38</v>
      </c>
      <c r="C2264" s="5" t="s">
        <v>25</v>
      </c>
      <c r="D2264" s="6" t="s">
        <v>25</v>
      </c>
      <c r="E2264" s="7">
        <f>VLOOKUP(A2264,Sheet2!$A$2:$R$3432,4,0)</f>
        <v>9922022199</v>
      </c>
      <c r="F2264" s="7" t="str">
        <f>VLOOKUP(A2264,Sheet2!$A$2:$R$3432,3,0)</f>
        <v>Rohit Nigade </v>
      </c>
      <c r="G2264" s="5" t="s">
        <v>25</v>
      </c>
      <c r="H2264" s="5" t="s">
        <v>25</v>
      </c>
      <c r="I2264" s="5" t="s">
        <v>25</v>
      </c>
      <c r="J2264" s="5" t="s">
        <v>25</v>
      </c>
      <c r="K2264" s="7" t="str">
        <f>VLOOKUP(A2264,Sheet2!$A$2:$R$3432,6,0)</f>
        <v>TVS Jupiter </v>
      </c>
      <c r="L2264" s="5" t="s">
        <v>25</v>
      </c>
      <c r="M2264" s="7" t="str">
        <f>VLOOKUP(A2264,Sheet2!$A$2:$R$3432,5,0)</f>
        <v>MH12MH5756</v>
      </c>
      <c r="N2264" s="5" t="s">
        <v>25</v>
      </c>
      <c r="O2264" s="5" t="s">
        <v>25</v>
      </c>
      <c r="P2264" s="6" t="s">
        <v>25</v>
      </c>
      <c r="Q2264" s="5" t="s">
        <v>25</v>
      </c>
      <c r="R2264" s="5" t="s">
        <v>25</v>
      </c>
      <c r="S2264" s="7" t="str">
        <f>VLOOKUP(A2264,Sheet2!$A$2:$R$3432,18,0)</f>
        <v/>
      </c>
      <c r="T2264" s="7" t="str">
        <f>VLOOKUP(A2264,Sheet2!$A$2:$R$3432,17,0)</f>
        <v/>
      </c>
    </row>
    <row r="2265" ht="15.75" customHeight="1">
      <c r="A2265" s="3" t="s">
        <v>2288</v>
      </c>
      <c r="B2265" s="4" t="str">
        <f>VLOOKUP(A2265,Sheet2!$A$2:$R$3432,2,0)</f>
        <v>2024-11-09 15:52:55</v>
      </c>
      <c r="C2265" s="5" t="s">
        <v>25</v>
      </c>
      <c r="D2265" s="6" t="s">
        <v>25</v>
      </c>
      <c r="E2265" s="7">
        <f>VLOOKUP(A2265,Sheet2!$A$2:$R$3432,4,0)</f>
        <v>9123434958</v>
      </c>
      <c r="F2265" s="7" t="str">
        <f>VLOOKUP(A2265,Sheet2!$A$2:$R$3432,3,0)</f>
        <v>Deepshikha</v>
      </c>
      <c r="G2265" s="5" t="s">
        <v>25</v>
      </c>
      <c r="H2265" s="5" t="s">
        <v>25</v>
      </c>
      <c r="I2265" s="5" t="s">
        <v>25</v>
      </c>
      <c r="J2265" s="5" t="s">
        <v>25</v>
      </c>
      <c r="K2265" s="7" t="str">
        <f>VLOOKUP(A2265,Sheet2!$A$2:$R$3432,6,0)</f>
        <v>Honda Activa 125</v>
      </c>
      <c r="L2265" s="5" t="s">
        <v>25</v>
      </c>
      <c r="M2265" s="7" t="str">
        <f>VLOOKUP(A2265,Sheet2!$A$2:$R$3432,5,0)</f>
        <v>MH12RZ4495</v>
      </c>
      <c r="N2265" s="5" t="s">
        <v>25</v>
      </c>
      <c r="O2265" s="5" t="s">
        <v>25</v>
      </c>
      <c r="P2265" s="6" t="s">
        <v>25</v>
      </c>
      <c r="Q2265" s="5" t="s">
        <v>25</v>
      </c>
      <c r="R2265" s="5" t="s">
        <v>25</v>
      </c>
      <c r="S2265" s="7" t="str">
        <f>VLOOKUP(A2265,Sheet2!$A$2:$R$3432,18,0)</f>
        <v/>
      </c>
      <c r="T2265" s="7" t="str">
        <f>VLOOKUP(A2265,Sheet2!$A$2:$R$3432,17,0)</f>
        <v/>
      </c>
    </row>
    <row r="2266" ht="15.75" customHeight="1">
      <c r="A2266" s="3" t="s">
        <v>2289</v>
      </c>
      <c r="B2266" s="4" t="str">
        <f>VLOOKUP(A2266,Sheet2!$A$2:$R$3432,2,0)</f>
        <v>2024-11-09 15:52:35</v>
      </c>
      <c r="C2266" s="5" t="s">
        <v>25</v>
      </c>
      <c r="D2266" s="6" t="s">
        <v>25</v>
      </c>
      <c r="E2266" s="7">
        <f>VLOOKUP(A2266,Sheet2!$A$2:$R$3432,4,0)</f>
        <v>9970924569</v>
      </c>
      <c r="F2266" s="7" t="str">
        <f>VLOOKUP(A2266,Sheet2!$A$2:$R$3432,3,0)</f>
        <v>VICKY PANCHAL</v>
      </c>
      <c r="G2266" s="5" t="s">
        <v>25</v>
      </c>
      <c r="H2266" s="5" t="s">
        <v>25</v>
      </c>
      <c r="I2266" s="5" t="s">
        <v>25</v>
      </c>
      <c r="J2266" s="5" t="s">
        <v>25</v>
      </c>
      <c r="K2266" s="7" t="str">
        <f>VLOOKUP(A2266,Sheet2!$A$2:$R$3432,6,0)</f>
        <v>Honda Dio </v>
      </c>
      <c r="L2266" s="5" t="s">
        <v>25</v>
      </c>
      <c r="M2266" s="7" t="str">
        <f>VLOOKUP(A2266,Sheet2!$A$2:$R$3432,5,0)</f>
        <v>GJ6CP9046</v>
      </c>
      <c r="N2266" s="5" t="s">
        <v>25</v>
      </c>
      <c r="O2266" s="5" t="s">
        <v>25</v>
      </c>
      <c r="P2266" s="6" t="s">
        <v>25</v>
      </c>
      <c r="Q2266" s="5" t="s">
        <v>25</v>
      </c>
      <c r="R2266" s="5" t="s">
        <v>25</v>
      </c>
      <c r="S2266" s="5" t="str">
        <f>VLOOKUP(A2266,Sheet2!$A$2:$R$3432,18,0)</f>
        <v>JF11E6085257</v>
      </c>
      <c r="T2266" s="7" t="str">
        <f>VLOOKUP(A2266,Sheet2!$A$2:$R$3432,17,0)</f>
        <v>ME4JF114D88013115</v>
      </c>
    </row>
    <row r="2267" ht="15.75" customHeight="1">
      <c r="A2267" s="3" t="s">
        <v>2290</v>
      </c>
      <c r="B2267" s="4" t="str">
        <f>VLOOKUP(A2267,Sheet2!$A$2:$R$3432,2,0)</f>
        <v>2024-11-09 20:43:00</v>
      </c>
      <c r="C2267" s="5" t="s">
        <v>25</v>
      </c>
      <c r="D2267" s="6" t="s">
        <v>25</v>
      </c>
      <c r="E2267" s="7">
        <f>VLOOKUP(A2267,Sheet2!$A$2:$R$3432,4,0)</f>
        <v>8093193733</v>
      </c>
      <c r="F2267" s="7" t="str">
        <f>VLOOKUP(A2267,Sheet2!$A$2:$R$3432,3,0)</f>
        <v>RAJAT</v>
      </c>
      <c r="G2267" s="5" t="s">
        <v>25</v>
      </c>
      <c r="H2267" s="5" t="s">
        <v>25</v>
      </c>
      <c r="I2267" s="5" t="s">
        <v>25</v>
      </c>
      <c r="J2267" s="5" t="s">
        <v>25</v>
      </c>
      <c r="K2267" s="7" t="str">
        <f>VLOOKUP(A2267,Sheet2!$A$2:$R$3432,6,0)</f>
        <v>Honda Activa 3G</v>
      </c>
      <c r="L2267" s="5" t="s">
        <v>25</v>
      </c>
      <c r="M2267" s="7" t="str">
        <f>VLOOKUP(A2267,Sheet2!$A$2:$R$3432,5,0)</f>
        <v>MH12PE3370</v>
      </c>
      <c r="N2267" s="5" t="s">
        <v>25</v>
      </c>
      <c r="O2267" s="5" t="s">
        <v>25</v>
      </c>
      <c r="P2267" s="6" t="s">
        <v>25</v>
      </c>
      <c r="Q2267" s="5" t="s">
        <v>25</v>
      </c>
      <c r="R2267" s="5" t="s">
        <v>25</v>
      </c>
      <c r="S2267" s="7" t="str">
        <f>VLOOKUP(A2267,Sheet2!$A$2:$R$3432,18,0)</f>
        <v/>
      </c>
      <c r="T2267" s="7" t="str">
        <f>VLOOKUP(A2267,Sheet2!$A$2:$R$3432,17,0)</f>
        <v/>
      </c>
    </row>
    <row r="2268" ht="15.75" customHeight="1">
      <c r="A2268" s="3" t="s">
        <v>2291</v>
      </c>
      <c r="B2268" s="4" t="str">
        <f>VLOOKUP(A2268,Sheet2!$A$2:$R$3432,2,0)</f>
        <v>2024-11-09 20:41:46</v>
      </c>
      <c r="C2268" s="5" t="s">
        <v>25</v>
      </c>
      <c r="D2268" s="6" t="s">
        <v>25</v>
      </c>
      <c r="E2268" s="7">
        <f>VLOOKUP(A2268,Sheet2!$A$2:$R$3432,4,0)</f>
        <v>7744895583</v>
      </c>
      <c r="F2268" s="7" t="str">
        <f>VLOOKUP(A2268,Sheet2!$A$2:$R$3432,3,0)</f>
        <v>Rohan </v>
      </c>
      <c r="G2268" s="5" t="s">
        <v>25</v>
      </c>
      <c r="H2268" s="5" t="s">
        <v>25</v>
      </c>
      <c r="I2268" s="5" t="s">
        <v>25</v>
      </c>
      <c r="J2268" s="5" t="s">
        <v>25</v>
      </c>
      <c r="K2268" s="7" t="str">
        <f>VLOOKUP(A2268,Sheet2!$A$2:$R$3432,6,0)</f>
        <v>Yamaha R15 V3</v>
      </c>
      <c r="L2268" s="5" t="s">
        <v>25</v>
      </c>
      <c r="M2268" s="7" t="str">
        <f>VLOOKUP(A2268,Sheet2!$A$2:$R$3432,5,0)</f>
        <v>MH14JT9553</v>
      </c>
      <c r="N2268" s="5" t="s">
        <v>25</v>
      </c>
      <c r="O2268" s="5" t="s">
        <v>25</v>
      </c>
      <c r="P2268" s="6" t="s">
        <v>25</v>
      </c>
      <c r="Q2268" s="5" t="s">
        <v>25</v>
      </c>
      <c r="R2268" s="5" t="s">
        <v>25</v>
      </c>
      <c r="S2268" s="7" t="str">
        <f>VLOOKUP(A2268,Sheet2!$A$2:$R$3432,18,0)</f>
        <v/>
      </c>
      <c r="T2268" s="7" t="str">
        <f>VLOOKUP(A2268,Sheet2!$A$2:$R$3432,17,0)</f>
        <v/>
      </c>
    </row>
    <row r="2269" ht="15.75" customHeight="1">
      <c r="A2269" s="3" t="s">
        <v>2292</v>
      </c>
      <c r="B2269" s="4" t="str">
        <f>VLOOKUP(A2269,Sheet2!$A$2:$R$3432,2,0)</f>
        <v>2024-11-09 20:23:34</v>
      </c>
      <c r="C2269" s="5" t="s">
        <v>25</v>
      </c>
      <c r="D2269" s="6" t="s">
        <v>25</v>
      </c>
      <c r="E2269" s="7">
        <f>VLOOKUP(A2269,Sheet2!$A$2:$R$3432,4,0)</f>
        <v>8888015148</v>
      </c>
      <c r="F2269" s="7" t="str">
        <f>VLOOKUP(A2269,Sheet2!$A$2:$R$3432,3,0)</f>
        <v>Ashish Dhawale</v>
      </c>
      <c r="G2269" s="5" t="s">
        <v>25</v>
      </c>
      <c r="H2269" s="5" t="s">
        <v>25</v>
      </c>
      <c r="I2269" s="5" t="s">
        <v>25</v>
      </c>
      <c r="J2269" s="5" t="s">
        <v>25</v>
      </c>
      <c r="K2269" s="7" t="str">
        <f>VLOOKUP(A2269,Sheet2!$A$2:$R$3432,6,0)</f>
        <v>Yamaha R15 </v>
      </c>
      <c r="L2269" s="5" t="s">
        <v>25</v>
      </c>
      <c r="M2269" s="7" t="str">
        <f>VLOOKUP(A2269,Sheet2!$A$2:$R$3432,5,0)</f>
        <v>MH14BZ3365</v>
      </c>
      <c r="N2269" s="5" t="s">
        <v>25</v>
      </c>
      <c r="O2269" s="5" t="s">
        <v>25</v>
      </c>
      <c r="P2269" s="6" t="s">
        <v>25</v>
      </c>
      <c r="Q2269" s="5" t="s">
        <v>25</v>
      </c>
      <c r="R2269" s="5" t="s">
        <v>25</v>
      </c>
      <c r="S2269" s="5" t="str">
        <f>VLOOKUP(A2269,Sheet2!$A$2:$R$3432,18,0)</f>
        <v>38B4002431</v>
      </c>
      <c r="T2269" s="7" t="str">
        <f>VLOOKUP(A2269,Sheet2!$A$2:$R$3432,17,0)</f>
        <v>Me138b011a2002629</v>
      </c>
    </row>
    <row r="2270" ht="15.75" customHeight="1">
      <c r="A2270" s="3" t="s">
        <v>2293</v>
      </c>
      <c r="B2270" s="4" t="str">
        <f>VLOOKUP(A2270,Sheet2!$A$2:$R$3432,2,0)</f>
        <v>2024-11-09 20:20:36</v>
      </c>
      <c r="C2270" s="5" t="s">
        <v>25</v>
      </c>
      <c r="D2270" s="6" t="s">
        <v>25</v>
      </c>
      <c r="E2270" s="7">
        <f>VLOOKUP(A2270,Sheet2!$A$2:$R$3432,4,0)</f>
        <v>9764525855</v>
      </c>
      <c r="F2270" s="7" t="str">
        <f>VLOOKUP(A2270,Sheet2!$A$2:$R$3432,3,0)</f>
        <v>Vishal Madamwar</v>
      </c>
      <c r="G2270" s="5" t="s">
        <v>25</v>
      </c>
      <c r="H2270" s="5" t="s">
        <v>25</v>
      </c>
      <c r="I2270" s="5" t="s">
        <v>25</v>
      </c>
      <c r="J2270" s="5" t="s">
        <v>25</v>
      </c>
      <c r="K2270" s="7" t="str">
        <f>VLOOKUP(A2270,Sheet2!$A$2:$R$3432,6,0)</f>
        <v>TVS Jupiter </v>
      </c>
      <c r="L2270" s="5" t="s">
        <v>25</v>
      </c>
      <c r="M2270" s="7" t="str">
        <f>VLOOKUP(A2270,Sheet2!$A$2:$R$3432,5,0)</f>
        <v>MH14FK2890</v>
      </c>
      <c r="N2270" s="5" t="s">
        <v>25</v>
      </c>
      <c r="O2270" s="5" t="s">
        <v>25</v>
      </c>
      <c r="P2270" s="6" t="s">
        <v>25</v>
      </c>
      <c r="Q2270" s="5" t="s">
        <v>25</v>
      </c>
      <c r="R2270" s="5" t="s">
        <v>25</v>
      </c>
      <c r="S2270" s="5" t="str">
        <f>VLOOKUP(A2270,Sheet2!$A$2:$R$3432,18,0)</f>
        <v>BG4AG1800771</v>
      </c>
      <c r="T2270" s="7" t="str">
        <f>VLOOKUP(A2270,Sheet2!$A$2:$R$3432,17,0)</f>
        <v>MD626BG4SG1A01783</v>
      </c>
    </row>
    <row r="2271" ht="15.75" customHeight="1">
      <c r="A2271" s="3" t="s">
        <v>2294</v>
      </c>
      <c r="B2271" s="4" t="str">
        <f>VLOOKUP(A2271,Sheet2!$A$2:$R$3432,2,0)</f>
        <v>2024-11-09 20:26:12</v>
      </c>
      <c r="C2271" s="5" t="s">
        <v>25</v>
      </c>
      <c r="D2271" s="6" t="s">
        <v>25</v>
      </c>
      <c r="E2271" s="7">
        <f>VLOOKUP(A2271,Sheet2!$A$2:$R$3432,4,0)</f>
        <v>8390784579</v>
      </c>
      <c r="F2271" s="7" t="str">
        <f>VLOOKUP(A2271,Sheet2!$A$2:$R$3432,3,0)</f>
        <v>Thakare </v>
      </c>
      <c r="G2271" s="5" t="s">
        <v>25</v>
      </c>
      <c r="H2271" s="5" t="s">
        <v>25</v>
      </c>
      <c r="I2271" s="5" t="s">
        <v>25</v>
      </c>
      <c r="J2271" s="5" t="s">
        <v>25</v>
      </c>
      <c r="K2271" s="7" t="str">
        <f>VLOOKUP(A2271,Sheet2!$A$2:$R$3432,6,0)</f>
        <v>Honda Activa 110</v>
      </c>
      <c r="L2271" s="5" t="s">
        <v>25</v>
      </c>
      <c r="M2271" s="7" t="str">
        <f>VLOOKUP(A2271,Sheet2!$A$2:$R$3432,5,0)</f>
        <v>MH19BN849</v>
      </c>
      <c r="N2271" s="5" t="s">
        <v>25</v>
      </c>
      <c r="O2271" s="5" t="s">
        <v>25</v>
      </c>
      <c r="P2271" s="6" t="s">
        <v>25</v>
      </c>
      <c r="Q2271" s="5" t="s">
        <v>25</v>
      </c>
      <c r="R2271" s="5" t="s">
        <v>25</v>
      </c>
      <c r="S2271" s="7" t="str">
        <f>VLOOKUP(A2271,Sheet2!$A$2:$R$3432,18,0)</f>
        <v/>
      </c>
      <c r="T2271" s="7" t="str">
        <f>VLOOKUP(A2271,Sheet2!$A$2:$R$3432,17,0)</f>
        <v/>
      </c>
    </row>
    <row r="2272" ht="15.75" customHeight="1">
      <c r="A2272" s="3" t="s">
        <v>2295</v>
      </c>
      <c r="B2272" s="4" t="str">
        <f>VLOOKUP(A2272,Sheet2!$A$2:$R$3432,2,0)</f>
        <v>2024-11-09 20:26:48</v>
      </c>
      <c r="C2272" s="5" t="s">
        <v>25</v>
      </c>
      <c r="D2272" s="6" t="s">
        <v>25</v>
      </c>
      <c r="E2272" s="7">
        <f>VLOOKUP(A2272,Sheet2!$A$2:$R$3432,4,0)</f>
        <v>9890540874</v>
      </c>
      <c r="F2272" s="7" t="str">
        <f>VLOOKUP(A2272,Sheet2!$A$2:$R$3432,3,0)</f>
        <v>Prashant</v>
      </c>
      <c r="G2272" s="5" t="s">
        <v>25</v>
      </c>
      <c r="H2272" s="5" t="s">
        <v>25</v>
      </c>
      <c r="I2272" s="5" t="s">
        <v>25</v>
      </c>
      <c r="J2272" s="5" t="s">
        <v>25</v>
      </c>
      <c r="K2272" s="7" t="str">
        <f>VLOOKUP(A2272,Sheet2!$A$2:$R$3432,6,0)</f>
        <v>Bajaj Avenger 220 Cruise</v>
      </c>
      <c r="L2272" s="5" t="s">
        <v>25</v>
      </c>
      <c r="M2272" s="7" t="str">
        <f>VLOOKUP(A2272,Sheet2!$A$2:$R$3432,5,0)</f>
        <v>MH14HF1508</v>
      </c>
      <c r="N2272" s="5" t="s">
        <v>25</v>
      </c>
      <c r="O2272" s="5" t="s">
        <v>25</v>
      </c>
      <c r="P2272" s="6" t="s">
        <v>25</v>
      </c>
      <c r="Q2272" s="5" t="s">
        <v>25</v>
      </c>
      <c r="R2272" s="5" t="s">
        <v>25</v>
      </c>
      <c r="S2272" s="5" t="str">
        <f>VLOOKUP(A2272,Sheet2!$A$2:$R$3432,18,0)</f>
        <v>PDYCJE65541</v>
      </c>
      <c r="T2272" s="7" t="str">
        <f>VLOOKUP(A2272,Sheet2!$A$2:$R$3432,17,0)</f>
        <v>MD2AZZEY9JCE50316</v>
      </c>
    </row>
    <row r="2273" ht="15.75" customHeight="1">
      <c r="A2273" s="3" t="s">
        <v>2296</v>
      </c>
      <c r="B2273" s="4" t="str">
        <f>VLOOKUP(A2273,Sheet2!$A$2:$R$3432,2,0)</f>
        <v>2024-11-09 20:28:24</v>
      </c>
      <c r="C2273" s="5" t="s">
        <v>25</v>
      </c>
      <c r="D2273" s="6" t="s">
        <v>25</v>
      </c>
      <c r="E2273" s="7">
        <f>VLOOKUP(A2273,Sheet2!$A$2:$R$3432,4,0)</f>
        <v>9537097700</v>
      </c>
      <c r="F2273" s="7" t="str">
        <f>VLOOKUP(A2273,Sheet2!$A$2:$R$3432,3,0)</f>
        <v>Vaivhav</v>
      </c>
      <c r="G2273" s="5" t="s">
        <v>25</v>
      </c>
      <c r="H2273" s="5" t="s">
        <v>25</v>
      </c>
      <c r="I2273" s="5" t="s">
        <v>25</v>
      </c>
      <c r="J2273" s="5" t="s">
        <v>25</v>
      </c>
      <c r="K2273" s="7" t="str">
        <f>VLOOKUP(A2273,Sheet2!$A$2:$R$3432,6,0)</f>
        <v>Yamaha Fascino </v>
      </c>
      <c r="L2273" s="5" t="s">
        <v>25</v>
      </c>
      <c r="M2273" s="7" t="str">
        <f>VLOOKUP(A2273,Sheet2!$A$2:$R$3432,5,0)</f>
        <v>GJ21BF8200</v>
      </c>
      <c r="N2273" s="5" t="s">
        <v>25</v>
      </c>
      <c r="O2273" s="5" t="s">
        <v>25</v>
      </c>
      <c r="P2273" s="6" t="s">
        <v>25</v>
      </c>
      <c r="Q2273" s="5" t="s">
        <v>25</v>
      </c>
      <c r="R2273" s="5" t="s">
        <v>25</v>
      </c>
      <c r="S2273" s="5" t="str">
        <f>VLOOKUP(A2273,Sheet2!$A$2:$R$3432,18,0)</f>
        <v>E3Y4E0010520</v>
      </c>
      <c r="T2273" s="7" t="str">
        <f>VLOOKUP(A2273,Sheet2!$A$2:$R$3432,17,0)</f>
        <v>ME1SED192H000622</v>
      </c>
    </row>
    <row r="2274" ht="15.75" customHeight="1">
      <c r="A2274" s="3" t="s">
        <v>2297</v>
      </c>
      <c r="B2274" s="4" t="str">
        <f>VLOOKUP(A2274,Sheet2!$A$2:$R$3432,2,0)</f>
        <v>2024-11-09 20:36:01</v>
      </c>
      <c r="C2274" s="5" t="s">
        <v>25</v>
      </c>
      <c r="D2274" s="6" t="s">
        <v>25</v>
      </c>
      <c r="E2274" s="7">
        <f>VLOOKUP(A2274,Sheet2!$A$2:$R$3432,4,0)</f>
        <v>9096117608</v>
      </c>
      <c r="F2274" s="7" t="str">
        <f>VLOOKUP(A2274,Sheet2!$A$2:$R$3432,3,0)</f>
        <v>Harshal Pauiikar</v>
      </c>
      <c r="G2274" s="5" t="s">
        <v>25</v>
      </c>
      <c r="H2274" s="5" t="s">
        <v>25</v>
      </c>
      <c r="I2274" s="5" t="s">
        <v>25</v>
      </c>
      <c r="J2274" s="5" t="s">
        <v>25</v>
      </c>
      <c r="K2274" s="7" t="str">
        <f>VLOOKUP(A2274,Sheet2!$A$2:$R$3432,6,0)</f>
        <v>Honda Activa 125</v>
      </c>
      <c r="L2274" s="5" t="s">
        <v>25</v>
      </c>
      <c r="M2274" s="7" t="str">
        <f>VLOOKUP(A2274,Sheet2!$A$2:$R$3432,5,0)</f>
        <v>MH49CA7910</v>
      </c>
      <c r="N2274" s="5" t="s">
        <v>25</v>
      </c>
      <c r="O2274" s="5" t="s">
        <v>25</v>
      </c>
      <c r="P2274" s="6" t="s">
        <v>25</v>
      </c>
      <c r="Q2274" s="5" t="s">
        <v>25</v>
      </c>
      <c r="R2274" s="5" t="s">
        <v>25</v>
      </c>
      <c r="S2274" s="5" t="str">
        <f>VLOOKUP(A2274,Sheet2!$A$2:$R$3432,18,0)</f>
        <v>OE5K82001825</v>
      </c>
      <c r="T2274" s="7" t="str">
        <f>VLOOKUP(A2274,Sheet2!$A$2:$R$3432,17,0)</f>
        <v>MD6342E5X82K01789</v>
      </c>
    </row>
    <row r="2275" ht="15.75" customHeight="1">
      <c r="A2275" s="3" t="s">
        <v>2298</v>
      </c>
      <c r="B2275" s="4" t="str">
        <f>VLOOKUP(A2275,Sheet2!$A$2:$R$3432,2,0)</f>
        <v>2024-11-09 20:36:41</v>
      </c>
      <c r="C2275" s="5" t="s">
        <v>25</v>
      </c>
      <c r="D2275" s="6" t="s">
        <v>25</v>
      </c>
      <c r="E2275" s="7">
        <f>VLOOKUP(A2275,Sheet2!$A$2:$R$3432,4,0)</f>
        <v>9096270636</v>
      </c>
      <c r="F2275" s="7" t="str">
        <f>VLOOKUP(A2275,Sheet2!$A$2:$R$3432,3,0)</f>
        <v>YUVRAJ INGLE</v>
      </c>
      <c r="G2275" s="5" t="s">
        <v>25</v>
      </c>
      <c r="H2275" s="5" t="s">
        <v>25</v>
      </c>
      <c r="I2275" s="5" t="s">
        <v>25</v>
      </c>
      <c r="J2275" s="5" t="s">
        <v>25</v>
      </c>
      <c r="K2275" s="7" t="str">
        <f>VLOOKUP(A2275,Sheet2!$A$2:$R$3432,6,0)</f>
        <v>Yamaha FZ V3</v>
      </c>
      <c r="L2275" s="5" t="s">
        <v>25</v>
      </c>
      <c r="M2275" s="7" t="str">
        <f>VLOOKUP(A2275,Sheet2!$A$2:$R$3432,5,0)</f>
        <v>MH11DL8625</v>
      </c>
      <c r="N2275" s="5" t="s">
        <v>25</v>
      </c>
      <c r="O2275" s="5" t="s">
        <v>25</v>
      </c>
      <c r="P2275" s="6" t="s">
        <v>25</v>
      </c>
      <c r="Q2275" s="5" t="s">
        <v>25</v>
      </c>
      <c r="R2275" s="5" t="s">
        <v>25</v>
      </c>
      <c r="S2275" s="5" t="str">
        <f>VLOOKUP(A2275,Sheet2!$A$2:$R$3432,18,0)</f>
        <v>64N3E033723</v>
      </c>
      <c r="T2275" s="7" t="str">
        <f>VLOOKUP(A2275,Sheet2!$A$2:$R$3432,17,0)</f>
        <v>ME1RG66U7P0014208</v>
      </c>
    </row>
    <row r="2276" ht="15.75" customHeight="1">
      <c r="A2276" s="3" t="s">
        <v>2299</v>
      </c>
      <c r="B2276" s="4" t="str">
        <f>VLOOKUP(A2276,Sheet2!$A$2:$R$3432,2,0)</f>
        <v>2024-11-09 20:42:17</v>
      </c>
      <c r="C2276" s="5" t="s">
        <v>25</v>
      </c>
      <c r="D2276" s="6" t="s">
        <v>25</v>
      </c>
      <c r="E2276" s="7">
        <f>VLOOKUP(A2276,Sheet2!$A$2:$R$3432,4,0)</f>
        <v>9867082659</v>
      </c>
      <c r="F2276" s="7" t="str">
        <f>VLOOKUP(A2276,Sheet2!$A$2:$R$3432,3,0)</f>
        <v>SHISHIR MALVIYA </v>
      </c>
      <c r="G2276" s="5" t="s">
        <v>25</v>
      </c>
      <c r="H2276" s="5" t="s">
        <v>25</v>
      </c>
      <c r="I2276" s="5" t="s">
        <v>25</v>
      </c>
      <c r="J2276" s="5" t="s">
        <v>25</v>
      </c>
      <c r="K2276" s="7" t="str">
        <f>VLOOKUP(A2276,Sheet2!$A$2:$R$3432,6,0)</f>
        <v>Yamaha FZ </v>
      </c>
      <c r="L2276" s="5" t="s">
        <v>25</v>
      </c>
      <c r="M2276" s="7" t="str">
        <f>VLOOKUP(A2276,Sheet2!$A$2:$R$3432,5,0)</f>
        <v>MH02CM0809</v>
      </c>
      <c r="N2276" s="5" t="s">
        <v>25</v>
      </c>
      <c r="O2276" s="5" t="s">
        <v>25</v>
      </c>
      <c r="P2276" s="6" t="s">
        <v>25</v>
      </c>
      <c r="Q2276" s="5" t="s">
        <v>25</v>
      </c>
      <c r="R2276" s="5" t="s">
        <v>25</v>
      </c>
      <c r="S2276" s="7" t="str">
        <f>VLOOKUP(A2276,Sheet2!$A$2:$R$3432,18,0)</f>
        <v/>
      </c>
      <c r="T2276" s="7" t="str">
        <f>VLOOKUP(A2276,Sheet2!$A$2:$R$3432,17,0)</f>
        <v/>
      </c>
    </row>
    <row r="2277" ht="15.75" customHeight="1">
      <c r="A2277" s="3" t="s">
        <v>2300</v>
      </c>
      <c r="B2277" s="4" t="str">
        <f>VLOOKUP(A2277,Sheet2!$A$2:$R$3432,2,0)</f>
        <v>2024-11-09 20:44:23</v>
      </c>
      <c r="C2277" s="5" t="s">
        <v>25</v>
      </c>
      <c r="D2277" s="6" t="s">
        <v>25</v>
      </c>
      <c r="E2277" s="7">
        <f>VLOOKUP(A2277,Sheet2!$A$2:$R$3432,4,0)</f>
        <v>9657431142</v>
      </c>
      <c r="F2277" s="7" t="str">
        <f>VLOOKUP(A2277,Sheet2!$A$2:$R$3432,3,0)</f>
        <v>Mukesh Prajapati </v>
      </c>
      <c r="G2277" s="5" t="s">
        <v>25</v>
      </c>
      <c r="H2277" s="5" t="s">
        <v>25</v>
      </c>
      <c r="I2277" s="5" t="s">
        <v>25</v>
      </c>
      <c r="J2277" s="5" t="s">
        <v>25</v>
      </c>
      <c r="K2277" s="7" t="str">
        <f>VLOOKUP(A2277,Sheet2!$A$2:$R$3432,6,0)</f>
        <v>Honda Activa 4G</v>
      </c>
      <c r="L2277" s="5" t="s">
        <v>25</v>
      </c>
      <c r="M2277" s="7" t="str">
        <f>VLOOKUP(A2277,Sheet2!$A$2:$R$3432,5,0)</f>
        <v>MH12PX9894</v>
      </c>
      <c r="N2277" s="5" t="s">
        <v>25</v>
      </c>
      <c r="O2277" s="5" t="s">
        <v>25</v>
      </c>
      <c r="P2277" s="6" t="s">
        <v>25</v>
      </c>
      <c r="Q2277" s="5" t="s">
        <v>25</v>
      </c>
      <c r="R2277" s="5" t="s">
        <v>25</v>
      </c>
      <c r="S2277" s="7" t="str">
        <f>VLOOKUP(A2277,Sheet2!$A$2:$R$3432,18,0)</f>
        <v/>
      </c>
      <c r="T2277" s="7" t="str">
        <f>VLOOKUP(A2277,Sheet2!$A$2:$R$3432,17,0)</f>
        <v/>
      </c>
    </row>
    <row r="2278" ht="15.75" customHeight="1">
      <c r="A2278" s="3" t="s">
        <v>2301</v>
      </c>
      <c r="B2278" s="4" t="str">
        <f>VLOOKUP(A2278,Sheet2!$A$2:$R$3432,2,0)</f>
        <v>2024-11-09 20:24:04</v>
      </c>
      <c r="C2278" s="5" t="s">
        <v>25</v>
      </c>
      <c r="D2278" s="6" t="s">
        <v>25</v>
      </c>
      <c r="E2278" s="7">
        <f>VLOOKUP(A2278,Sheet2!$A$2:$R$3432,4,0)</f>
        <v>9322467622</v>
      </c>
      <c r="F2278" s="7" t="str">
        <f>VLOOKUP(A2278,Sheet2!$A$2:$R$3432,3,0)</f>
        <v>Om Tripathi </v>
      </c>
      <c r="G2278" s="5" t="s">
        <v>25</v>
      </c>
      <c r="H2278" s="5" t="s">
        <v>25</v>
      </c>
      <c r="I2278" s="5" t="s">
        <v>25</v>
      </c>
      <c r="J2278" s="5" t="s">
        <v>25</v>
      </c>
      <c r="K2278" s="7" t="str">
        <f>VLOOKUP(A2278,Sheet2!$A$2:$R$3432,6,0)</f>
        <v>Honda CB 350</v>
      </c>
      <c r="L2278" s="5" t="s">
        <v>25</v>
      </c>
      <c r="M2278" s="7" t="str">
        <f>VLOOKUP(A2278,Sheet2!$A$2:$R$3432,5,0)</f>
        <v>MH14KC5630</v>
      </c>
      <c r="N2278" s="5" t="s">
        <v>25</v>
      </c>
      <c r="O2278" s="5" t="s">
        <v>25</v>
      </c>
      <c r="P2278" s="6" t="s">
        <v>25</v>
      </c>
      <c r="Q2278" s="5" t="s">
        <v>25</v>
      </c>
      <c r="R2278" s="5" t="s">
        <v>25</v>
      </c>
      <c r="S2278" s="5" t="str">
        <f>VLOOKUP(A2278,Sheet2!$A$2:$R$3432,18,0)</f>
        <v>NC58EA2011965</v>
      </c>
      <c r="T2278" s="7" t="str">
        <f>VLOOKUP(A2278,Sheet2!$A$2:$R$3432,17,0)</f>
        <v>ME4NC58BDNAD005772</v>
      </c>
    </row>
    <row r="2279" ht="15.75" customHeight="1">
      <c r="A2279" s="3" t="s">
        <v>2302</v>
      </c>
      <c r="B2279" s="4" t="str">
        <f>VLOOKUP(A2279,Sheet2!$A$2:$R$3432,2,0)</f>
        <v>2024-11-09 20:24:56</v>
      </c>
      <c r="C2279" s="5" t="s">
        <v>25</v>
      </c>
      <c r="D2279" s="6" t="s">
        <v>25</v>
      </c>
      <c r="E2279" s="7">
        <f>VLOOKUP(A2279,Sheet2!$A$2:$R$3432,4,0)</f>
        <v>8484843664</v>
      </c>
      <c r="F2279" s="7" t="str">
        <f>VLOOKUP(A2279,Sheet2!$A$2:$R$3432,3,0)</f>
        <v>Shubham Bodke</v>
      </c>
      <c r="G2279" s="5" t="s">
        <v>25</v>
      </c>
      <c r="H2279" s="5" t="s">
        <v>25</v>
      </c>
      <c r="I2279" s="5" t="s">
        <v>25</v>
      </c>
      <c r="J2279" s="5" t="s">
        <v>25</v>
      </c>
      <c r="K2279" s="7" t="str">
        <f>VLOOKUP(A2279,Sheet2!$A$2:$R$3432,6,0)</f>
        <v>Honda Shine </v>
      </c>
      <c r="L2279" s="5" t="s">
        <v>25</v>
      </c>
      <c r="M2279" s="7" t="str">
        <f>VLOOKUP(A2279,Sheet2!$A$2:$R$3432,5,0)</f>
        <v>MH15HR9841</v>
      </c>
      <c r="N2279" s="5" t="s">
        <v>25</v>
      </c>
      <c r="O2279" s="5" t="s">
        <v>25</v>
      </c>
      <c r="P2279" s="6" t="s">
        <v>25</v>
      </c>
      <c r="Q2279" s="5" t="s">
        <v>25</v>
      </c>
      <c r="R2279" s="5" t="s">
        <v>25</v>
      </c>
      <c r="S2279" s="5" t="str">
        <f>VLOOKUP(A2279,Sheet2!$A$2:$R$3432,18,0)</f>
        <v>JC85EG105530</v>
      </c>
      <c r="T2279" s="7" t="str">
        <f>VLOOKUP(A2279,Sheet2!$A$2:$R$3432,17,0)</f>
        <v>ME4JC85AKMG036773</v>
      </c>
    </row>
    <row r="2280" ht="15.75" customHeight="1">
      <c r="A2280" s="3" t="s">
        <v>2303</v>
      </c>
      <c r="B2280" s="4" t="str">
        <f>VLOOKUP(A2280,Sheet2!$A$2:$R$3432,2,0)</f>
        <v>2024-11-09 20:35:32</v>
      </c>
      <c r="C2280" s="5" t="s">
        <v>25</v>
      </c>
      <c r="D2280" s="6" t="s">
        <v>25</v>
      </c>
      <c r="E2280" s="7">
        <f>VLOOKUP(A2280,Sheet2!$A$2:$R$3432,4,0)</f>
        <v>8600891133</v>
      </c>
      <c r="F2280" s="7" t="str">
        <f>VLOOKUP(A2280,Sheet2!$A$2:$R$3432,3,0)</f>
        <v>Rishikesh Dole</v>
      </c>
      <c r="G2280" s="5" t="s">
        <v>25</v>
      </c>
      <c r="H2280" s="5" t="s">
        <v>25</v>
      </c>
      <c r="I2280" s="5" t="s">
        <v>25</v>
      </c>
      <c r="J2280" s="5" t="s">
        <v>25</v>
      </c>
      <c r="K2280" s="7" t="str">
        <f>VLOOKUP(A2280,Sheet2!$A$2:$R$3432,6,0)</f>
        <v>Suzuki Zeus </v>
      </c>
      <c r="L2280" s="5" t="s">
        <v>25</v>
      </c>
      <c r="M2280" s="7" t="str">
        <f>VLOOKUP(A2280,Sheet2!$A$2:$R$3432,5,0)</f>
        <v>MH13AS5148</v>
      </c>
      <c r="N2280" s="5" t="s">
        <v>25</v>
      </c>
      <c r="O2280" s="5" t="s">
        <v>25</v>
      </c>
      <c r="P2280" s="6" t="s">
        <v>25</v>
      </c>
      <c r="Q2280" s="5" t="s">
        <v>25</v>
      </c>
      <c r="R2280" s="5" t="s">
        <v>25</v>
      </c>
      <c r="S2280" s="5" t="str">
        <f>VLOOKUP(A2280,Sheet2!$A$2:$R$3432,18,0)</f>
        <v>479288365</v>
      </c>
      <c r="T2280" s="7" t="str">
        <f>VLOOKUP(A2280,Sheet2!$A$2:$R$3432,17,0)</f>
        <v>MB8NF4BCA818581</v>
      </c>
    </row>
    <row r="2281" ht="15.75" customHeight="1">
      <c r="A2281" s="3" t="s">
        <v>2304</v>
      </c>
      <c r="B2281" s="4" t="str">
        <f>VLOOKUP(A2281,Sheet2!$A$2:$R$3432,2,0)</f>
        <v>2024-11-09 20:27:39</v>
      </c>
      <c r="C2281" s="5" t="s">
        <v>25</v>
      </c>
      <c r="D2281" s="6" t="s">
        <v>25</v>
      </c>
      <c r="E2281" s="7">
        <f>VLOOKUP(A2281,Sheet2!$A$2:$R$3432,4,0)</f>
        <v>9421380900</v>
      </c>
      <c r="F2281" s="7" t="str">
        <f>VLOOKUP(A2281,Sheet2!$A$2:$R$3432,3,0)</f>
        <v>Sameer</v>
      </c>
      <c r="G2281" s="5" t="s">
        <v>25</v>
      </c>
      <c r="H2281" s="5" t="s">
        <v>25</v>
      </c>
      <c r="I2281" s="5" t="s">
        <v>25</v>
      </c>
      <c r="J2281" s="5" t="s">
        <v>25</v>
      </c>
      <c r="K2281" s="7" t="str">
        <f>VLOOKUP(A2281,Sheet2!$A$2:$R$3432,6,0)</f>
        <v>Honda Activa 110</v>
      </c>
      <c r="L2281" s="5" t="s">
        <v>25</v>
      </c>
      <c r="M2281" s="7" t="str">
        <f>VLOOKUP(A2281,Sheet2!$A$2:$R$3432,5,0)</f>
        <v>MH24X5560</v>
      </c>
      <c r="N2281" s="5" t="s">
        <v>25</v>
      </c>
      <c r="O2281" s="5" t="s">
        <v>25</v>
      </c>
      <c r="P2281" s="6" t="s">
        <v>25</v>
      </c>
      <c r="Q2281" s="5" t="s">
        <v>25</v>
      </c>
      <c r="R2281" s="5" t="s">
        <v>25</v>
      </c>
      <c r="S2281" s="5" t="str">
        <f>VLOOKUP(A2281,Sheet2!$A$2:$R$3432,18,0)</f>
        <v>JC44E1420256</v>
      </c>
      <c r="T2281" s="7" t="str">
        <f>VLOOKUP(A2281,Sheet2!$A$2:$R$3432,17,0)</f>
        <v>ME4JC448EB83B9258</v>
      </c>
    </row>
    <row r="2282" ht="15.75" customHeight="1">
      <c r="A2282" s="3" t="s">
        <v>2305</v>
      </c>
      <c r="B2282" s="4" t="str">
        <f>VLOOKUP(A2282,Sheet2!$A$2:$R$3432,2,0)</f>
        <v>2024-08-19 20:54:39</v>
      </c>
      <c r="C2282" s="5" t="s">
        <v>25</v>
      </c>
      <c r="D2282" s="6" t="s">
        <v>25</v>
      </c>
      <c r="E2282" s="7">
        <f>VLOOKUP(A2282,Sheet2!$A$2:$R$3432,4,0)</f>
        <v>9028976273</v>
      </c>
      <c r="F2282" s="7" t="str">
        <f>VLOOKUP(A2282,Sheet2!$A$2:$R$3432,3,0)</f>
        <v>Sitaram </v>
      </c>
      <c r="G2282" s="5" t="s">
        <v>25</v>
      </c>
      <c r="H2282" s="5" t="s">
        <v>25</v>
      </c>
      <c r="I2282" s="5" t="s">
        <v>25</v>
      </c>
      <c r="J2282" s="5" t="s">
        <v>25</v>
      </c>
      <c r="K2282" s="7" t="str">
        <f>VLOOKUP(A2282,Sheet2!$A$2:$R$3432,6,0)</f>
        <v>Honda Activa 6G</v>
      </c>
      <c r="L2282" s="5" t="s">
        <v>25</v>
      </c>
      <c r="M2282" s="7" t="str">
        <f>VLOOKUP(A2282,Sheet2!$A$2:$R$3432,5,0)</f>
        <v>MH26BU9934</v>
      </c>
      <c r="N2282" s="5" t="s">
        <v>25</v>
      </c>
      <c r="O2282" s="5" t="s">
        <v>25</v>
      </c>
      <c r="P2282" s="6" t="s">
        <v>25</v>
      </c>
      <c r="Q2282" s="5" t="s">
        <v>25</v>
      </c>
      <c r="R2282" s="5" t="s">
        <v>25</v>
      </c>
      <c r="S2282" s="5" t="str">
        <f>VLOOKUP(A2282,Sheet2!$A$2:$R$3432,18,0)</f>
        <v>JF91EG0210766</v>
      </c>
      <c r="T2282" s="7" t="str">
        <f>VLOOKUP(A2282,Sheet2!$A$2:$R$3432,17,0)</f>
        <v>ME4JF913J21053</v>
      </c>
    </row>
    <row r="2283" ht="15.75" customHeight="1">
      <c r="A2283" s="3" t="s">
        <v>2306</v>
      </c>
      <c r="B2283" s="4" t="str">
        <f>VLOOKUP(A2283,Sheet2!$A$2:$R$3432,2,0)</f>
        <v>2024-08-22 20:55:12</v>
      </c>
      <c r="C2283" s="5" t="s">
        <v>25</v>
      </c>
      <c r="D2283" s="6" t="s">
        <v>25</v>
      </c>
      <c r="E2283" s="7">
        <f>VLOOKUP(A2283,Sheet2!$A$2:$R$3432,4,0)</f>
        <v>9588986487</v>
      </c>
      <c r="F2283" s="7" t="str">
        <f>VLOOKUP(A2283,Sheet2!$A$2:$R$3432,3,0)</f>
        <v>LAXMAN BHATI</v>
      </c>
      <c r="G2283" s="5" t="s">
        <v>25</v>
      </c>
      <c r="H2283" s="5" t="s">
        <v>25</v>
      </c>
      <c r="I2283" s="5" t="s">
        <v>25</v>
      </c>
      <c r="J2283" s="5" t="s">
        <v>25</v>
      </c>
      <c r="K2283" s="7" t="str">
        <f>VLOOKUP(A2283,Sheet2!$A$2:$R$3432,6,0)</f>
        <v>Hero Splendor Pro</v>
      </c>
      <c r="L2283" s="5" t="s">
        <v>25</v>
      </c>
      <c r="M2283" s="7" t="str">
        <f>VLOOKUP(A2283,Sheet2!$A$2:$R$3432,5,0)</f>
        <v>MH14KX9208</v>
      </c>
      <c r="N2283" s="5" t="s">
        <v>25</v>
      </c>
      <c r="O2283" s="5" t="s">
        <v>25</v>
      </c>
      <c r="P2283" s="6" t="s">
        <v>25</v>
      </c>
      <c r="Q2283" s="5" t="s">
        <v>25</v>
      </c>
      <c r="R2283" s="5" t="s">
        <v>25</v>
      </c>
      <c r="S2283" s="5" t="str">
        <f>VLOOKUP(A2283,Sheet2!$A$2:$R$3432,18,0)</f>
        <v>HA11E8P4F09832</v>
      </c>
      <c r="T2283" s="7" t="str">
        <f>VLOOKUP(A2283,Sheet2!$A$2:$R$3432,17,0)</f>
        <v>MBLHAW228P4F12368</v>
      </c>
    </row>
    <row r="2284" ht="15.75" customHeight="1">
      <c r="A2284" s="3" t="s">
        <v>2307</v>
      </c>
      <c r="B2284" s="4" t="str">
        <f>VLOOKUP(A2284,Sheet2!$A$2:$R$3432,2,0)</f>
        <v>2024-08-22 20:57:18</v>
      </c>
      <c r="C2284" s="5" t="s">
        <v>25</v>
      </c>
      <c r="D2284" s="6" t="s">
        <v>25</v>
      </c>
      <c r="E2284" s="7">
        <f>VLOOKUP(A2284,Sheet2!$A$2:$R$3432,4,0)</f>
        <v>7972069150</v>
      </c>
      <c r="F2284" s="7" t="str">
        <f>VLOOKUP(A2284,Sheet2!$A$2:$R$3432,3,0)</f>
        <v>Abhilash Kable</v>
      </c>
      <c r="G2284" s="5" t="s">
        <v>25</v>
      </c>
      <c r="H2284" s="5" t="s">
        <v>25</v>
      </c>
      <c r="I2284" s="5" t="s">
        <v>25</v>
      </c>
      <c r="J2284" s="5" t="s">
        <v>25</v>
      </c>
      <c r="K2284" s="7" t="str">
        <f>VLOOKUP(A2284,Sheet2!$A$2:$R$3432,6,0)</f>
        <v>Yamaha FZ S</v>
      </c>
      <c r="L2284" s="5" t="s">
        <v>25</v>
      </c>
      <c r="M2284" s="7" t="str">
        <f>VLOOKUP(A2284,Sheet2!$A$2:$R$3432,5,0)</f>
        <v>MH40AN8075</v>
      </c>
      <c r="N2284" s="5" t="s">
        <v>25</v>
      </c>
      <c r="O2284" s="5" t="s">
        <v>25</v>
      </c>
      <c r="P2284" s="6" t="s">
        <v>25</v>
      </c>
      <c r="Q2284" s="5" t="s">
        <v>25</v>
      </c>
      <c r="R2284" s="5" t="s">
        <v>25</v>
      </c>
      <c r="S2284" s="7" t="str">
        <f>VLOOKUP(A2284,Sheet2!$A$2:$R$3432,18,0)</f>
        <v/>
      </c>
      <c r="T2284" s="7" t="str">
        <f>VLOOKUP(A2284,Sheet2!$A$2:$R$3432,17,0)</f>
        <v/>
      </c>
    </row>
    <row r="2285" ht="15.75" customHeight="1">
      <c r="A2285" s="3" t="s">
        <v>2308</v>
      </c>
      <c r="B2285" s="4" t="str">
        <f>VLOOKUP(A2285,Sheet2!$A$2:$R$3432,2,0)</f>
        <v>2024-08-22 20:54:10</v>
      </c>
      <c r="C2285" s="5" t="s">
        <v>25</v>
      </c>
      <c r="D2285" s="6" t="s">
        <v>25</v>
      </c>
      <c r="E2285" s="7">
        <f>VLOOKUP(A2285,Sheet2!$A$2:$R$3432,4,0)</f>
        <v>9699050052</v>
      </c>
      <c r="F2285" s="7" t="str">
        <f>VLOOKUP(A2285,Sheet2!$A$2:$R$3432,3,0)</f>
        <v>VANSH YEOLE</v>
      </c>
      <c r="G2285" s="5" t="s">
        <v>25</v>
      </c>
      <c r="H2285" s="5" t="s">
        <v>25</v>
      </c>
      <c r="I2285" s="5" t="s">
        <v>25</v>
      </c>
      <c r="J2285" s="5" t="s">
        <v>25</v>
      </c>
      <c r="K2285" s="7" t="str">
        <f>VLOOKUP(A2285,Sheet2!$A$2:$R$3432,6,0)</f>
        <v>Honda Activa 5G</v>
      </c>
      <c r="L2285" s="5" t="s">
        <v>25</v>
      </c>
      <c r="M2285" s="7" t="str">
        <f>VLOOKUP(A2285,Sheet2!$A$2:$R$3432,5,0)</f>
        <v>MH14HL0491</v>
      </c>
      <c r="N2285" s="5" t="s">
        <v>25</v>
      </c>
      <c r="O2285" s="5" t="s">
        <v>25</v>
      </c>
      <c r="P2285" s="6" t="s">
        <v>25</v>
      </c>
      <c r="Q2285" s="5" t="s">
        <v>25</v>
      </c>
      <c r="R2285" s="5" t="s">
        <v>25</v>
      </c>
      <c r="S2285" s="7" t="str">
        <f>VLOOKUP(A2285,Sheet2!$A$2:$R$3432,18,0)</f>
        <v/>
      </c>
      <c r="T2285" s="7" t="str">
        <f>VLOOKUP(A2285,Sheet2!$A$2:$R$3432,17,0)</f>
        <v/>
      </c>
    </row>
    <row r="2286" ht="15.75" customHeight="1">
      <c r="A2286" s="3" t="s">
        <v>2309</v>
      </c>
      <c r="B2286" s="4" t="str">
        <f>VLOOKUP(A2286,Sheet2!$A$2:$R$3432,2,0)</f>
        <v>2024-08-22 20:54:52</v>
      </c>
      <c r="C2286" s="5" t="s">
        <v>25</v>
      </c>
      <c r="D2286" s="6" t="s">
        <v>25</v>
      </c>
      <c r="E2286" s="7">
        <f>VLOOKUP(A2286,Sheet2!$A$2:$R$3432,4,0)</f>
        <v>9145398978</v>
      </c>
      <c r="F2286" s="7" t="str">
        <f>VLOOKUP(A2286,Sheet2!$A$2:$R$3432,3,0)</f>
        <v>Chetan Sakore</v>
      </c>
      <c r="G2286" s="5" t="s">
        <v>25</v>
      </c>
      <c r="H2286" s="5" t="s">
        <v>25</v>
      </c>
      <c r="I2286" s="5" t="s">
        <v>25</v>
      </c>
      <c r="J2286" s="5" t="s">
        <v>25</v>
      </c>
      <c r="K2286" s="7" t="str">
        <f>VLOOKUP(A2286,Sheet2!$A$2:$R$3432,6,0)</f>
        <v>TVS Ntorq 125</v>
      </c>
      <c r="L2286" s="5" t="s">
        <v>25</v>
      </c>
      <c r="M2286" s="7" t="str">
        <f>VLOOKUP(A2286,Sheet2!$A$2:$R$3432,5,0)</f>
        <v>MH12TT3353</v>
      </c>
      <c r="N2286" s="5" t="s">
        <v>25</v>
      </c>
      <c r="O2286" s="5" t="s">
        <v>25</v>
      </c>
      <c r="P2286" s="6" t="s">
        <v>25</v>
      </c>
      <c r="Q2286" s="5" t="s">
        <v>25</v>
      </c>
      <c r="R2286" s="5" t="s">
        <v>25</v>
      </c>
      <c r="S2286" s="7" t="str">
        <f>VLOOKUP(A2286,Sheet2!$A$2:$R$3432,18,0)</f>
        <v/>
      </c>
      <c r="T2286" s="7" t="str">
        <f>VLOOKUP(A2286,Sheet2!$A$2:$R$3432,17,0)</f>
        <v/>
      </c>
    </row>
    <row r="2287" ht="15.75" customHeight="1">
      <c r="A2287" s="3" t="s">
        <v>2310</v>
      </c>
      <c r="B2287" s="4" t="str">
        <f>VLOOKUP(A2287,Sheet2!$A$2:$R$3432,2,0)</f>
        <v>2024-08-22 20:55:59</v>
      </c>
      <c r="C2287" s="5" t="s">
        <v>25</v>
      </c>
      <c r="D2287" s="6" t="s">
        <v>25</v>
      </c>
      <c r="E2287" s="7">
        <f>VLOOKUP(A2287,Sheet2!$A$2:$R$3432,4,0)</f>
        <v>9975668837</v>
      </c>
      <c r="F2287" s="7" t="str">
        <f>VLOOKUP(A2287,Sheet2!$A$2:$R$3432,3,0)</f>
        <v> Ravi </v>
      </c>
      <c r="G2287" s="5" t="s">
        <v>25</v>
      </c>
      <c r="H2287" s="5" t="s">
        <v>25</v>
      </c>
      <c r="I2287" s="5" t="s">
        <v>25</v>
      </c>
      <c r="J2287" s="5" t="s">
        <v>25</v>
      </c>
      <c r="K2287" s="7" t="str">
        <f>VLOOKUP(A2287,Sheet2!$A$2:$R$3432,6,0)</f>
        <v>Honda Activa Old</v>
      </c>
      <c r="L2287" s="5" t="s">
        <v>25</v>
      </c>
      <c r="M2287" s="7" t="str">
        <f>VLOOKUP(A2287,Sheet2!$A$2:$R$3432,5,0)</f>
        <v>MH14BN8184</v>
      </c>
      <c r="N2287" s="5" t="s">
        <v>25</v>
      </c>
      <c r="O2287" s="5" t="s">
        <v>25</v>
      </c>
      <c r="P2287" s="6" t="s">
        <v>25</v>
      </c>
      <c r="Q2287" s="5" t="s">
        <v>25</v>
      </c>
      <c r="R2287" s="5" t="s">
        <v>25</v>
      </c>
      <c r="S2287" s="7" t="str">
        <f>VLOOKUP(A2287,Sheet2!$A$2:$R$3432,18,0)</f>
        <v/>
      </c>
      <c r="T2287" s="7" t="str">
        <f>VLOOKUP(A2287,Sheet2!$A$2:$R$3432,17,0)</f>
        <v/>
      </c>
    </row>
    <row r="2288" ht="15.75" customHeight="1">
      <c r="A2288" s="3" t="s">
        <v>2311</v>
      </c>
      <c r="B2288" s="4" t="str">
        <f>VLOOKUP(A2288,Sheet2!$A$2:$R$3432,2,0)</f>
        <v>2024-08-22 20:56:18</v>
      </c>
      <c r="C2288" s="5" t="s">
        <v>25</v>
      </c>
      <c r="D2288" s="6" t="s">
        <v>25</v>
      </c>
      <c r="E2288" s="7">
        <f>VLOOKUP(A2288,Sheet2!$A$2:$R$3432,4,0)</f>
        <v>9011095149</v>
      </c>
      <c r="F2288" s="7" t="str">
        <f>VLOOKUP(A2288,Sheet2!$A$2:$R$3432,3,0)</f>
        <v>GITANJALI KURHEKAR</v>
      </c>
      <c r="G2288" s="5" t="s">
        <v>25</v>
      </c>
      <c r="H2288" s="5" t="s">
        <v>25</v>
      </c>
      <c r="I2288" s="5" t="s">
        <v>25</v>
      </c>
      <c r="J2288" s="5" t="s">
        <v>25</v>
      </c>
      <c r="K2288" s="7" t="str">
        <f>VLOOKUP(A2288,Sheet2!$A$2:$R$3432,6,0)</f>
        <v>Suzuki Access 125</v>
      </c>
      <c r="L2288" s="5" t="s">
        <v>25</v>
      </c>
      <c r="M2288" s="7" t="str">
        <f>VLOOKUP(A2288,Sheet2!$A$2:$R$3432,5,0)</f>
        <v>MH12RG7136</v>
      </c>
      <c r="N2288" s="5" t="s">
        <v>25</v>
      </c>
      <c r="O2288" s="5" t="s">
        <v>25</v>
      </c>
      <c r="P2288" s="6" t="s">
        <v>25</v>
      </c>
      <c r="Q2288" s="5" t="s">
        <v>25</v>
      </c>
      <c r="R2288" s="5" t="s">
        <v>25</v>
      </c>
      <c r="S2288" s="5" t="str">
        <f>VLOOKUP(A2288,Sheet2!$A$2:$R$3432,18,0)</f>
        <v>AF211920104</v>
      </c>
      <c r="T2288" s="7" t="str">
        <f>VLOOKUP(A2288,Sheet2!$A$2:$R$3432,17,0)</f>
        <v>MB8DP11AK8B25959</v>
      </c>
    </row>
    <row r="2289" ht="15.75" customHeight="1">
      <c r="A2289" s="3" t="s">
        <v>2312</v>
      </c>
      <c r="B2289" s="4" t="str">
        <f>VLOOKUP(A2289,Sheet2!$A$2:$R$3432,2,0)</f>
        <v>2024-08-22 20:52:43</v>
      </c>
      <c r="C2289" s="5" t="s">
        <v>25</v>
      </c>
      <c r="D2289" s="6" t="s">
        <v>25</v>
      </c>
      <c r="E2289" s="7">
        <f>VLOOKUP(A2289,Sheet2!$A$2:$R$3432,4,0)</f>
        <v>8698552311</v>
      </c>
      <c r="F2289" s="7" t="str">
        <f>VLOOKUP(A2289,Sheet2!$A$2:$R$3432,3,0)</f>
        <v>CHETANA PATIL</v>
      </c>
      <c r="G2289" s="5" t="s">
        <v>25</v>
      </c>
      <c r="H2289" s="5" t="s">
        <v>25</v>
      </c>
      <c r="I2289" s="5" t="s">
        <v>25</v>
      </c>
      <c r="J2289" s="5" t="s">
        <v>25</v>
      </c>
      <c r="K2289" s="7" t="str">
        <f>VLOOKUP(A2289,Sheet2!$A$2:$R$3432,6,0)</f>
        <v>TVS Jupiter </v>
      </c>
      <c r="L2289" s="5" t="s">
        <v>25</v>
      </c>
      <c r="M2289" s="7" t="str">
        <f>VLOOKUP(A2289,Sheet2!$A$2:$R$3432,5,0)</f>
        <v>MH14JC0577</v>
      </c>
      <c r="N2289" s="5" t="s">
        <v>25</v>
      </c>
      <c r="O2289" s="5" t="s">
        <v>25</v>
      </c>
      <c r="P2289" s="6" t="s">
        <v>25</v>
      </c>
      <c r="Q2289" s="5" t="s">
        <v>25</v>
      </c>
      <c r="R2289" s="5" t="s">
        <v>25</v>
      </c>
      <c r="S2289" s="7" t="str">
        <f>VLOOKUP(A2289,Sheet2!$A$2:$R$3432,18,0)</f>
        <v/>
      </c>
      <c r="T2289" s="7" t="str">
        <f>VLOOKUP(A2289,Sheet2!$A$2:$R$3432,17,0)</f>
        <v/>
      </c>
    </row>
    <row r="2290" ht="15.75" customHeight="1">
      <c r="A2290" s="3" t="s">
        <v>2313</v>
      </c>
      <c r="B2290" s="4" t="str">
        <f>VLOOKUP(A2290,Sheet2!$A$2:$R$3432,2,0)</f>
        <v>2024-08-22 19:27:38</v>
      </c>
      <c r="C2290" s="5" t="s">
        <v>25</v>
      </c>
      <c r="D2290" s="6" t="s">
        <v>25</v>
      </c>
      <c r="E2290" s="7">
        <f>VLOOKUP(A2290,Sheet2!$A$2:$R$3432,4,0)</f>
        <v>8421403541</v>
      </c>
      <c r="F2290" s="7" t="str">
        <f>VLOOKUP(A2290,Sheet2!$A$2:$R$3432,3,0)</f>
        <v>RAHUL BACCHE</v>
      </c>
      <c r="G2290" s="5" t="s">
        <v>25</v>
      </c>
      <c r="H2290" s="5" t="s">
        <v>25</v>
      </c>
      <c r="I2290" s="5" t="s">
        <v>25</v>
      </c>
      <c r="J2290" s="5" t="s">
        <v>25</v>
      </c>
      <c r="K2290" s="7" t="str">
        <f>VLOOKUP(A2290,Sheet2!$A$2:$R$3432,6,0)</f>
        <v>Honda Activa 6G</v>
      </c>
      <c r="L2290" s="5" t="s">
        <v>25</v>
      </c>
      <c r="M2290" s="7" t="str">
        <f>VLOOKUP(A2290,Sheet2!$A$2:$R$3432,5,0)</f>
        <v>MH14KG7940</v>
      </c>
      <c r="N2290" s="5" t="s">
        <v>25</v>
      </c>
      <c r="O2290" s="5" t="s">
        <v>25</v>
      </c>
      <c r="P2290" s="6" t="s">
        <v>25</v>
      </c>
      <c r="Q2290" s="5" t="s">
        <v>25</v>
      </c>
      <c r="R2290" s="5" t="s">
        <v>25</v>
      </c>
      <c r="S2290" s="7" t="str">
        <f>VLOOKUP(A2290,Sheet2!$A$2:$R$3432,18,0)</f>
        <v/>
      </c>
      <c r="T2290" s="7" t="str">
        <f>VLOOKUP(A2290,Sheet2!$A$2:$R$3432,17,0)</f>
        <v/>
      </c>
    </row>
    <row r="2291" ht="15.75" customHeight="1">
      <c r="A2291" s="3" t="s">
        <v>2314</v>
      </c>
      <c r="B2291" s="4" t="str">
        <f>VLOOKUP(A2291,Sheet2!$A$2:$R$3432,2,0)</f>
        <v>2024-08-22 20:44:53</v>
      </c>
      <c r="C2291" s="5" t="s">
        <v>25</v>
      </c>
      <c r="D2291" s="6" t="s">
        <v>25</v>
      </c>
      <c r="E2291" s="7">
        <f>VLOOKUP(A2291,Sheet2!$A$2:$R$3432,4,0)</f>
        <v>9370296626</v>
      </c>
      <c r="F2291" s="7" t="str">
        <f>VLOOKUP(A2291,Sheet2!$A$2:$R$3432,3,0)</f>
        <v>Sachin Pawar</v>
      </c>
      <c r="G2291" s="5" t="s">
        <v>25</v>
      </c>
      <c r="H2291" s="5" t="s">
        <v>25</v>
      </c>
      <c r="I2291" s="5" t="s">
        <v>25</v>
      </c>
      <c r="J2291" s="5" t="s">
        <v>25</v>
      </c>
      <c r="K2291" s="7" t="str">
        <f>VLOOKUP(A2291,Sheet2!$A$2:$R$3432,6,0)</f>
        <v>TVS Jupiter </v>
      </c>
      <c r="L2291" s="5" t="s">
        <v>25</v>
      </c>
      <c r="M2291" s="7" t="str">
        <f>VLOOKUP(A2291,Sheet2!$A$2:$R$3432,5,0)</f>
        <v>MH12SG8171</v>
      </c>
      <c r="N2291" s="5" t="s">
        <v>25</v>
      </c>
      <c r="O2291" s="5" t="s">
        <v>25</v>
      </c>
      <c r="P2291" s="6" t="s">
        <v>25</v>
      </c>
      <c r="Q2291" s="5" t="s">
        <v>25</v>
      </c>
      <c r="R2291" s="5" t="s">
        <v>25</v>
      </c>
      <c r="S2291" s="7" t="str">
        <f>VLOOKUP(A2291,Sheet2!$A$2:$R$3432,18,0)</f>
        <v/>
      </c>
      <c r="T2291" s="7" t="str">
        <f>VLOOKUP(A2291,Sheet2!$A$2:$R$3432,17,0)</f>
        <v/>
      </c>
    </row>
    <row r="2292" ht="15.75" customHeight="1">
      <c r="A2292" s="3" t="s">
        <v>2315</v>
      </c>
      <c r="B2292" s="4" t="str">
        <f>VLOOKUP(A2292,Sheet2!$A$2:$R$3432,2,0)</f>
        <v>2024-08-22 20:43:16</v>
      </c>
      <c r="C2292" s="5" t="s">
        <v>25</v>
      </c>
      <c r="D2292" s="6" t="s">
        <v>25</v>
      </c>
      <c r="E2292" s="7">
        <f>VLOOKUP(A2292,Sheet2!$A$2:$R$3432,4,0)</f>
        <v>9096922810</v>
      </c>
      <c r="F2292" s="7" t="str">
        <f>VLOOKUP(A2292,Sheet2!$A$2:$R$3432,3,0)</f>
        <v>Divya Kesharwani</v>
      </c>
      <c r="G2292" s="5" t="s">
        <v>25</v>
      </c>
      <c r="H2292" s="5" t="s">
        <v>25</v>
      </c>
      <c r="I2292" s="5" t="s">
        <v>25</v>
      </c>
      <c r="J2292" s="5" t="s">
        <v>25</v>
      </c>
      <c r="K2292" s="7" t="str">
        <f>VLOOKUP(A2292,Sheet2!$A$2:$R$3432,6,0)</f>
        <v>TVS Jupiter 125</v>
      </c>
      <c r="L2292" s="5" t="s">
        <v>25</v>
      </c>
      <c r="M2292" s="7" t="str">
        <f>VLOOKUP(A2292,Sheet2!$A$2:$R$3432,5,0)</f>
        <v>MH27DQ6415</v>
      </c>
      <c r="N2292" s="5" t="s">
        <v>25</v>
      </c>
      <c r="O2292" s="5" t="s">
        <v>25</v>
      </c>
      <c r="P2292" s="6" t="s">
        <v>25</v>
      </c>
      <c r="Q2292" s="5" t="s">
        <v>25</v>
      </c>
      <c r="R2292" s="5" t="s">
        <v>25</v>
      </c>
      <c r="S2292" s="7" t="str">
        <f>VLOOKUP(A2292,Sheet2!$A$2:$R$3432,18,0)</f>
        <v/>
      </c>
      <c r="T2292" s="7" t="str">
        <f>VLOOKUP(A2292,Sheet2!$A$2:$R$3432,17,0)</f>
        <v/>
      </c>
    </row>
    <row r="2293" ht="15.75" customHeight="1">
      <c r="A2293" s="3" t="s">
        <v>2316</v>
      </c>
      <c r="B2293" s="4" t="str">
        <f>VLOOKUP(A2293,Sheet2!$A$2:$R$3432,2,0)</f>
        <v>2024-08-22 20:55:28</v>
      </c>
      <c r="C2293" s="5" t="s">
        <v>25</v>
      </c>
      <c r="D2293" s="6" t="s">
        <v>25</v>
      </c>
      <c r="E2293" s="7">
        <f>VLOOKUP(A2293,Sheet2!$A$2:$R$3432,4,0)</f>
        <v>9665390129</v>
      </c>
      <c r="F2293" s="7" t="str">
        <f>VLOOKUP(A2293,Sheet2!$A$2:$R$3432,3,0)</f>
        <v>Narayan Chavan</v>
      </c>
      <c r="G2293" s="5" t="s">
        <v>25</v>
      </c>
      <c r="H2293" s="5" t="s">
        <v>25</v>
      </c>
      <c r="I2293" s="5" t="s">
        <v>25</v>
      </c>
      <c r="J2293" s="5" t="s">
        <v>25</v>
      </c>
      <c r="K2293" s="7" t="str">
        <f>VLOOKUP(A2293,Sheet2!$A$2:$R$3432,6,0)</f>
        <v>Hero Deluxe CD</v>
      </c>
      <c r="L2293" s="5" t="s">
        <v>25</v>
      </c>
      <c r="M2293" s="7" t="str">
        <f>VLOOKUP(A2293,Sheet2!$A$2:$R$3432,5,0)</f>
        <v>MH14FJ5958</v>
      </c>
      <c r="N2293" s="5" t="s">
        <v>25</v>
      </c>
      <c r="O2293" s="5" t="s">
        <v>25</v>
      </c>
      <c r="P2293" s="6" t="s">
        <v>25</v>
      </c>
      <c r="Q2293" s="5" t="s">
        <v>25</v>
      </c>
      <c r="R2293" s="5" t="s">
        <v>25</v>
      </c>
      <c r="S2293" s="5" t="str">
        <f>VLOOKUP(A2293,Sheet2!$A$2:$R$3432,18,0)</f>
        <v>HA11EKF9K08191</v>
      </c>
      <c r="T2293" s="7" t="str">
        <f>VLOOKUP(A2293,Sheet2!$A$2:$R$3432,17,0)</f>
        <v>MBLHA11AZF9K08412</v>
      </c>
    </row>
    <row r="2294" ht="15.75" customHeight="1">
      <c r="A2294" s="3" t="s">
        <v>2317</v>
      </c>
      <c r="B2294" s="4" t="str">
        <f>VLOOKUP(A2294,Sheet2!$A$2:$R$3432,2,0)</f>
        <v>2024-08-22 20:57:47</v>
      </c>
      <c r="C2294" s="5" t="s">
        <v>25</v>
      </c>
      <c r="D2294" s="6" t="s">
        <v>25</v>
      </c>
      <c r="E2294" s="7">
        <f>VLOOKUP(A2294,Sheet2!$A$2:$R$3432,4,0)</f>
        <v>8554972505</v>
      </c>
      <c r="F2294" s="7" t="str">
        <f>VLOOKUP(A2294,Sheet2!$A$2:$R$3432,3,0)</f>
        <v>Nilesh Patil </v>
      </c>
      <c r="G2294" s="5" t="s">
        <v>25</v>
      </c>
      <c r="H2294" s="5" t="s">
        <v>25</v>
      </c>
      <c r="I2294" s="5" t="s">
        <v>25</v>
      </c>
      <c r="J2294" s="5" t="s">
        <v>25</v>
      </c>
      <c r="K2294" s="7" t="str">
        <f>VLOOKUP(A2294,Sheet2!$A$2:$R$3432,6,0)</f>
        <v>Honda Aviator </v>
      </c>
      <c r="L2294" s="5" t="s">
        <v>25</v>
      </c>
      <c r="M2294" s="7" t="str">
        <f>VLOOKUP(A2294,Sheet2!$A$2:$R$3432,5,0)</f>
        <v>KA23W505</v>
      </c>
      <c r="N2294" s="5" t="s">
        <v>25</v>
      </c>
      <c r="O2294" s="5" t="s">
        <v>25</v>
      </c>
      <c r="P2294" s="6" t="s">
        <v>25</v>
      </c>
      <c r="Q2294" s="5" t="s">
        <v>25</v>
      </c>
      <c r="R2294" s="5" t="s">
        <v>25</v>
      </c>
      <c r="S2294" s="5" t="str">
        <f>VLOOKUP(A2294,Sheet2!$A$2:$R$3432,18,0)</f>
        <v>RUSTY FRAME</v>
      </c>
      <c r="T2294" s="7" t="str">
        <f>VLOOKUP(A2294,Sheet2!$A$2:$R$3432,17,0)</f>
        <v>RUSTY FRAME</v>
      </c>
    </row>
    <row r="2295" ht="15.75" customHeight="1">
      <c r="A2295" s="3" t="s">
        <v>2318</v>
      </c>
      <c r="B2295" s="4" t="str">
        <f>VLOOKUP(A2295,Sheet2!$A$2:$R$3432,2,0)</f>
        <v>2024-08-21 12:31:03</v>
      </c>
      <c r="C2295" s="5" t="s">
        <v>25</v>
      </c>
      <c r="D2295" s="6" t="s">
        <v>25</v>
      </c>
      <c r="E2295" s="7">
        <f>VLOOKUP(A2295,Sheet2!$A$2:$R$3432,4,0)</f>
        <v>6002592770</v>
      </c>
      <c r="F2295" s="7" t="str">
        <f>VLOOKUP(A2295,Sheet2!$A$2:$R$3432,3,0)</f>
        <v>SANSKAR</v>
      </c>
      <c r="G2295" s="5" t="s">
        <v>25</v>
      </c>
      <c r="H2295" s="5" t="s">
        <v>25</v>
      </c>
      <c r="I2295" s="5" t="s">
        <v>25</v>
      </c>
      <c r="J2295" s="5" t="s">
        <v>25</v>
      </c>
      <c r="K2295" s="7" t="str">
        <f>VLOOKUP(A2295,Sheet2!$A$2:$R$3432,6,0)</f>
        <v>Honda Activa 110</v>
      </c>
      <c r="L2295" s="5" t="s">
        <v>25</v>
      </c>
      <c r="M2295" s="7" t="str">
        <f>VLOOKUP(A2295,Sheet2!$A$2:$R$3432,5,0)</f>
        <v>MH01AQ3219</v>
      </c>
      <c r="N2295" s="5" t="s">
        <v>25</v>
      </c>
      <c r="O2295" s="5" t="s">
        <v>25</v>
      </c>
      <c r="P2295" s="6" t="s">
        <v>25</v>
      </c>
      <c r="Q2295" s="5" t="s">
        <v>25</v>
      </c>
      <c r="R2295" s="5" t="s">
        <v>25</v>
      </c>
      <c r="S2295" s="5" t="str">
        <f>VLOOKUP(A2295,Sheet2!$A$2:$R$3432,18,0)</f>
        <v>JC44E0364934</v>
      </c>
      <c r="T2295" s="7" t="str">
        <f>VLOOKUP(A2295,Sheet2!$A$2:$R$3432,17,0)</f>
        <v>ME4JC445L98310114</v>
      </c>
    </row>
    <row r="2296" ht="15.75" customHeight="1">
      <c r="A2296" s="3" t="s">
        <v>2319</v>
      </c>
      <c r="B2296" s="4" t="str">
        <f>VLOOKUP(A2296,Sheet2!$A$2:$R$3432,2,0)</f>
        <v>2024-08-21 12:25:43</v>
      </c>
      <c r="C2296" s="5" t="s">
        <v>25</v>
      </c>
      <c r="D2296" s="6" t="s">
        <v>25</v>
      </c>
      <c r="E2296" s="7">
        <f>VLOOKUP(A2296,Sheet2!$A$2:$R$3432,4,0)</f>
        <v>9730002180</v>
      </c>
      <c r="F2296" s="7" t="str">
        <f>VLOOKUP(A2296,Sheet2!$A$2:$R$3432,3,0)</f>
        <v>Makarand Deshpande</v>
      </c>
      <c r="G2296" s="5" t="s">
        <v>25</v>
      </c>
      <c r="H2296" s="5" t="s">
        <v>25</v>
      </c>
      <c r="I2296" s="5" t="s">
        <v>25</v>
      </c>
      <c r="J2296" s="5" t="s">
        <v>25</v>
      </c>
      <c r="K2296" s="7" t="str">
        <f>VLOOKUP(A2296,Sheet2!$A$2:$R$3432,6,0)</f>
        <v>TVS Wego </v>
      </c>
      <c r="L2296" s="5" t="s">
        <v>25</v>
      </c>
      <c r="M2296" s="7" t="str">
        <f>VLOOKUP(A2296,Sheet2!$A$2:$R$3432,5,0)</f>
        <v>MH14EJ5798</v>
      </c>
      <c r="N2296" s="5" t="s">
        <v>25</v>
      </c>
      <c r="O2296" s="5" t="s">
        <v>25</v>
      </c>
      <c r="P2296" s="6" t="s">
        <v>25</v>
      </c>
      <c r="Q2296" s="5" t="s">
        <v>25</v>
      </c>
      <c r="R2296" s="5" t="s">
        <v>25</v>
      </c>
      <c r="S2296" s="5" t="str">
        <f>VLOOKUP(A2296,Sheet2!$A$2:$R$3432,18,0)</f>
        <v>OG4CE1119445</v>
      </c>
      <c r="T2296" s="7" t="str">
        <f>VLOOKUP(A2296,Sheet2!$A$2:$R$3432,17,0)</f>
        <v>MD626AGA8E1623020</v>
      </c>
    </row>
    <row r="2297" ht="15.75" customHeight="1">
      <c r="A2297" s="3" t="s">
        <v>2320</v>
      </c>
      <c r="B2297" s="4" t="str">
        <f>VLOOKUP(A2297,Sheet2!$A$2:$R$3432,2,0)</f>
        <v>2024-08-21 12:24:52</v>
      </c>
      <c r="C2297" s="5" t="s">
        <v>25</v>
      </c>
      <c r="D2297" s="6" t="s">
        <v>25</v>
      </c>
      <c r="E2297" s="7">
        <f>VLOOKUP(A2297,Sheet2!$A$2:$R$3432,4,0)</f>
        <v>7774077334</v>
      </c>
      <c r="F2297" s="7" t="str">
        <f>VLOOKUP(A2297,Sheet2!$A$2:$R$3432,3,0)</f>
        <v>SANDIP SHARMA</v>
      </c>
      <c r="G2297" s="5" t="s">
        <v>25</v>
      </c>
      <c r="H2297" s="5" t="s">
        <v>25</v>
      </c>
      <c r="I2297" s="5" t="s">
        <v>25</v>
      </c>
      <c r="J2297" s="5" t="s">
        <v>25</v>
      </c>
      <c r="K2297" s="7" t="str">
        <f>VLOOKUP(A2297,Sheet2!$A$2:$R$3432,6,0)</f>
        <v>TVS Wego Basic</v>
      </c>
      <c r="L2297" s="5" t="s">
        <v>25</v>
      </c>
      <c r="M2297" s="7" t="str">
        <f>VLOOKUP(A2297,Sheet2!$A$2:$R$3432,5,0)</f>
        <v>MH14ER1381</v>
      </c>
      <c r="N2297" s="5" t="s">
        <v>25</v>
      </c>
      <c r="O2297" s="5" t="s">
        <v>25</v>
      </c>
      <c r="P2297" s="6" t="s">
        <v>25</v>
      </c>
      <c r="Q2297" s="5" t="s">
        <v>25</v>
      </c>
      <c r="R2297" s="5" t="s">
        <v>25</v>
      </c>
      <c r="S2297" s="5" t="str">
        <f>VLOOKUP(A2297,Sheet2!$A$2:$R$3432,18,0)</f>
        <v>OG4HE1176221</v>
      </c>
      <c r="T2297" s="7" t="str">
        <f>VLOOKUP(A2297,Sheet2!$A$2:$R$3432,17,0)</f>
        <v>MD626AG4XE1H80432</v>
      </c>
    </row>
    <row r="2298" ht="15.75" customHeight="1">
      <c r="A2298" s="3" t="s">
        <v>2321</v>
      </c>
      <c r="B2298" s="4" t="str">
        <f>VLOOKUP(A2298,Sheet2!$A$2:$R$3432,2,0)</f>
        <v>2024-08-21 21:04:17</v>
      </c>
      <c r="C2298" s="5" t="s">
        <v>25</v>
      </c>
      <c r="D2298" s="6" t="s">
        <v>25</v>
      </c>
      <c r="E2298" s="7">
        <f>VLOOKUP(A2298,Sheet2!$A$2:$R$3432,4,0)</f>
        <v>9175887983</v>
      </c>
      <c r="F2298" s="7" t="str">
        <f>VLOOKUP(A2298,Sheet2!$A$2:$R$3432,3,0)</f>
        <v>Mukul Pansare</v>
      </c>
      <c r="G2298" s="5" t="s">
        <v>25</v>
      </c>
      <c r="H2298" s="5" t="s">
        <v>25</v>
      </c>
      <c r="I2298" s="5" t="s">
        <v>25</v>
      </c>
      <c r="J2298" s="5" t="s">
        <v>25</v>
      </c>
      <c r="K2298" s="7" t="str">
        <f>VLOOKUP(A2298,Sheet2!$A$2:$R$3432,6,0)</f>
        <v>Honda Activa Old</v>
      </c>
      <c r="L2298" s="5" t="s">
        <v>25</v>
      </c>
      <c r="M2298" s="7" t="str">
        <f>VLOOKUP(A2298,Sheet2!$A$2:$R$3432,5,0)</f>
        <v>MH12DP1282</v>
      </c>
      <c r="N2298" s="5" t="s">
        <v>25</v>
      </c>
      <c r="O2298" s="5" t="s">
        <v>25</v>
      </c>
      <c r="P2298" s="6" t="s">
        <v>25</v>
      </c>
      <c r="Q2298" s="5" t="s">
        <v>25</v>
      </c>
      <c r="R2298" s="5" t="s">
        <v>25</v>
      </c>
      <c r="S2298" s="7" t="str">
        <f>VLOOKUP(A2298,Sheet2!$A$2:$R$3432,18,0)</f>
        <v/>
      </c>
      <c r="T2298" s="7" t="str">
        <f>VLOOKUP(A2298,Sheet2!$A$2:$R$3432,17,0)</f>
        <v/>
      </c>
    </row>
    <row r="2299" ht="15.75" customHeight="1">
      <c r="A2299" s="3" t="s">
        <v>2322</v>
      </c>
      <c r="B2299" s="4" t="str">
        <f>VLOOKUP(A2299,Sheet2!$A$2:$R$3432,2,0)</f>
        <v>2024-08-21 12:21:33</v>
      </c>
      <c r="C2299" s="5" t="s">
        <v>25</v>
      </c>
      <c r="D2299" s="6" t="s">
        <v>25</v>
      </c>
      <c r="E2299" s="7">
        <f>VLOOKUP(A2299,Sheet2!$A$2:$R$3432,4,0)</f>
        <v>8087987588</v>
      </c>
      <c r="F2299" s="7" t="str">
        <f>VLOOKUP(A2299,Sheet2!$A$2:$R$3432,3,0)</f>
        <v>VAIBHAV GAIKWAD </v>
      </c>
      <c r="G2299" s="5" t="s">
        <v>25</v>
      </c>
      <c r="H2299" s="5" t="s">
        <v>25</v>
      </c>
      <c r="I2299" s="5" t="s">
        <v>25</v>
      </c>
      <c r="J2299" s="5" t="s">
        <v>25</v>
      </c>
      <c r="K2299" s="7" t="str">
        <f>VLOOKUP(A2299,Sheet2!$A$2:$R$3432,6,0)</f>
        <v>Honda Unicorn 150</v>
      </c>
      <c r="L2299" s="5" t="s">
        <v>25</v>
      </c>
      <c r="M2299" s="7" t="str">
        <f>VLOOKUP(A2299,Sheet2!$A$2:$R$3432,5,0)</f>
        <v>MH14KM7516</v>
      </c>
      <c r="N2299" s="5" t="s">
        <v>25</v>
      </c>
      <c r="O2299" s="5" t="s">
        <v>25</v>
      </c>
      <c r="P2299" s="6" t="s">
        <v>25</v>
      </c>
      <c r="Q2299" s="5" t="s">
        <v>25</v>
      </c>
      <c r="R2299" s="5" t="s">
        <v>25</v>
      </c>
      <c r="S2299" s="5" t="str">
        <f>VLOOKUP(A2299,Sheet2!$A$2:$R$3432,18,0)</f>
        <v>KC40EA1133037</v>
      </c>
      <c r="T2299" s="7" t="str">
        <f>VLOOKUP(A2299,Sheet2!$A$2:$R$3432,17,0)</f>
        <v>ME4KC402LNA132901</v>
      </c>
    </row>
    <row r="2300" ht="15.75" customHeight="1">
      <c r="A2300" s="3" t="s">
        <v>2323</v>
      </c>
      <c r="B2300" s="4" t="str">
        <f>VLOOKUP(A2300,Sheet2!$A$2:$R$3432,2,0)</f>
        <v>2024-08-21 12:29:19</v>
      </c>
      <c r="C2300" s="5" t="s">
        <v>25</v>
      </c>
      <c r="D2300" s="6" t="s">
        <v>25</v>
      </c>
      <c r="E2300" s="7">
        <f>VLOOKUP(A2300,Sheet2!$A$2:$R$3432,4,0)</f>
        <v>7843061236</v>
      </c>
      <c r="F2300" s="7" t="str">
        <f>VLOOKUP(A2300,Sheet2!$A$2:$R$3432,3,0)</f>
        <v>ATHARVA </v>
      </c>
      <c r="G2300" s="5" t="s">
        <v>25</v>
      </c>
      <c r="H2300" s="5" t="s">
        <v>25</v>
      </c>
      <c r="I2300" s="5" t="s">
        <v>25</v>
      </c>
      <c r="J2300" s="5" t="s">
        <v>25</v>
      </c>
      <c r="K2300" s="7" t="str">
        <f>VLOOKUP(A2300,Sheet2!$A$2:$R$3432,6,0)</f>
        <v>Hero Pleasure </v>
      </c>
      <c r="L2300" s="5" t="s">
        <v>25</v>
      </c>
      <c r="M2300" s="7" t="str">
        <f>VLOOKUP(A2300,Sheet2!$A$2:$R$3432,5,0)</f>
        <v>MH27AS9745</v>
      </c>
      <c r="N2300" s="5" t="s">
        <v>25</v>
      </c>
      <c r="O2300" s="5" t="s">
        <v>25</v>
      </c>
      <c r="P2300" s="6" t="s">
        <v>25</v>
      </c>
      <c r="Q2300" s="5" t="s">
        <v>25</v>
      </c>
      <c r="R2300" s="5" t="s">
        <v>25</v>
      </c>
      <c r="S2300" s="5" t="str">
        <f>VLOOKUP(A2300,Sheet2!$A$2:$R$3432,18,0)</f>
        <v>JF16EBCGB34608</v>
      </c>
      <c r="T2300" s="7" t="str">
        <f>VLOOKUP(A2300,Sheet2!$A$2:$R$3432,17,0)</f>
        <v>MBLJF16EDGB34853</v>
      </c>
    </row>
    <row r="2301" ht="15.75" customHeight="1">
      <c r="A2301" s="3" t="s">
        <v>2324</v>
      </c>
      <c r="B2301" s="4" t="str">
        <f>VLOOKUP(A2301,Sheet2!$A$2:$R$3432,2,0)</f>
        <v>2024-08-21 12:26:54</v>
      </c>
      <c r="C2301" s="5" t="s">
        <v>25</v>
      </c>
      <c r="D2301" s="6" t="s">
        <v>25</v>
      </c>
      <c r="E2301" s="7">
        <f>VLOOKUP(A2301,Sheet2!$A$2:$R$3432,4,0)</f>
        <v>8939180987</v>
      </c>
      <c r="F2301" s="7" t="str">
        <f>VLOOKUP(A2301,Sheet2!$A$2:$R$3432,3,0)</f>
        <v>VISHAL</v>
      </c>
      <c r="G2301" s="5" t="s">
        <v>25</v>
      </c>
      <c r="H2301" s="5" t="s">
        <v>25</v>
      </c>
      <c r="I2301" s="5" t="s">
        <v>25</v>
      </c>
      <c r="J2301" s="5" t="s">
        <v>25</v>
      </c>
      <c r="K2301" s="7" t="str">
        <f>VLOOKUP(A2301,Sheet2!$A$2:$R$3432,6,0)</f>
        <v>Royal Enfield ThunderBird 500</v>
      </c>
      <c r="L2301" s="5" t="s">
        <v>25</v>
      </c>
      <c r="M2301" s="7" t="str">
        <f>VLOOKUP(A2301,Sheet2!$A$2:$R$3432,5,0)</f>
        <v>TN07CH7463</v>
      </c>
      <c r="N2301" s="5" t="s">
        <v>25</v>
      </c>
      <c r="O2301" s="5" t="s">
        <v>25</v>
      </c>
      <c r="P2301" s="6" t="s">
        <v>25</v>
      </c>
      <c r="Q2301" s="5" t="s">
        <v>25</v>
      </c>
      <c r="R2301" s="5" t="s">
        <v>25</v>
      </c>
      <c r="S2301" s="5" t="str">
        <f>VLOOKUP(A2301,Sheet2!$A$2:$R$3432,18,0)</f>
        <v>US55I0GM180245</v>
      </c>
      <c r="T2301" s="7" t="str">
        <f>VLOOKUP(A2301,Sheet2!$A$2:$R$3432,17,0)</f>
        <v>ME3U5595F1511098716</v>
      </c>
    </row>
    <row r="2302" ht="15.75" customHeight="1">
      <c r="A2302" s="3" t="s">
        <v>2325</v>
      </c>
      <c r="B2302" s="4" t="str">
        <f>VLOOKUP(A2302,Sheet2!$A$2:$R$3432,2,0)</f>
        <v>2024-08-21 12:32:36</v>
      </c>
      <c r="C2302" s="5" t="s">
        <v>25</v>
      </c>
      <c r="D2302" s="6" t="s">
        <v>25</v>
      </c>
      <c r="E2302" s="7">
        <f>VLOOKUP(A2302,Sheet2!$A$2:$R$3432,4,0)</f>
        <v>8623871502</v>
      </c>
      <c r="F2302" s="7" t="str">
        <f>VLOOKUP(A2302,Sheet2!$A$2:$R$3432,3,0)</f>
        <v>Gangaram Nath</v>
      </c>
      <c r="G2302" s="5" t="s">
        <v>25</v>
      </c>
      <c r="H2302" s="5" t="s">
        <v>25</v>
      </c>
      <c r="I2302" s="5" t="s">
        <v>25</v>
      </c>
      <c r="J2302" s="5" t="s">
        <v>25</v>
      </c>
      <c r="K2302" s="7" t="str">
        <f>VLOOKUP(A2302,Sheet2!$A$2:$R$3432,6,0)</f>
        <v>Yamaha FZ 1</v>
      </c>
      <c r="L2302" s="5" t="s">
        <v>25</v>
      </c>
      <c r="M2302" s="7" t="str">
        <f>VLOOKUP(A2302,Sheet2!$A$2:$R$3432,5,0)</f>
        <v>MH14BY1720</v>
      </c>
      <c r="N2302" s="5" t="s">
        <v>25</v>
      </c>
      <c r="O2302" s="5" t="s">
        <v>25</v>
      </c>
      <c r="P2302" s="6" t="s">
        <v>25</v>
      </c>
      <c r="Q2302" s="5" t="s">
        <v>25</v>
      </c>
      <c r="R2302" s="5" t="s">
        <v>25</v>
      </c>
      <c r="S2302" s="5" t="str">
        <f>VLOOKUP(A2302,Sheet2!$A$2:$R$3432,18,0)</f>
        <v>21C1074063</v>
      </c>
      <c r="T2302" s="7" t="str">
        <f>VLOOKUP(A2302,Sheet2!$A$2:$R$3432,17,0)</f>
        <v>ME121C01X92074171</v>
      </c>
    </row>
    <row r="2303" ht="15.75" customHeight="1">
      <c r="A2303" s="3" t="s">
        <v>2326</v>
      </c>
      <c r="B2303" s="4" t="str">
        <f>VLOOKUP(A2303,Sheet2!$A$2:$R$3432,2,0)</f>
        <v>2024-08-21 13:14:55</v>
      </c>
      <c r="C2303" s="5" t="s">
        <v>25</v>
      </c>
      <c r="D2303" s="6" t="s">
        <v>25</v>
      </c>
      <c r="E2303" s="7">
        <f>VLOOKUP(A2303,Sheet2!$A$2:$R$3432,4,0)</f>
        <v>9822041549</v>
      </c>
      <c r="F2303" s="7" t="str">
        <f>VLOOKUP(A2303,Sheet2!$A$2:$R$3432,3,0)</f>
        <v>Jadhav</v>
      </c>
      <c r="G2303" s="5" t="s">
        <v>25</v>
      </c>
      <c r="H2303" s="5" t="s">
        <v>25</v>
      </c>
      <c r="I2303" s="5" t="s">
        <v>25</v>
      </c>
      <c r="J2303" s="5" t="s">
        <v>25</v>
      </c>
      <c r="K2303" s="7" t="str">
        <f>VLOOKUP(A2303,Sheet2!$A$2:$R$3432,6,0)</f>
        <v>Honda Activa 5G</v>
      </c>
      <c r="L2303" s="5" t="s">
        <v>25</v>
      </c>
      <c r="M2303" s="7" t="str">
        <f>VLOOKUP(A2303,Sheet2!$A$2:$R$3432,5,0)</f>
        <v>MH12RX6010</v>
      </c>
      <c r="N2303" s="5" t="s">
        <v>25</v>
      </c>
      <c r="O2303" s="5" t="s">
        <v>25</v>
      </c>
      <c r="P2303" s="6" t="s">
        <v>25</v>
      </c>
      <c r="Q2303" s="5" t="s">
        <v>25</v>
      </c>
      <c r="R2303" s="5" t="s">
        <v>25</v>
      </c>
      <c r="S2303" s="7" t="str">
        <f>VLOOKUP(A2303,Sheet2!$A$2:$R$3432,18,0)</f>
        <v/>
      </c>
      <c r="T2303" s="7" t="str">
        <f>VLOOKUP(A2303,Sheet2!$A$2:$R$3432,17,0)</f>
        <v>ME4JF50AFKW105505</v>
      </c>
    </row>
    <row r="2304" ht="15.75" customHeight="1">
      <c r="A2304" s="3" t="s">
        <v>2327</v>
      </c>
      <c r="B2304" s="4" t="str">
        <f>VLOOKUP(A2304,Sheet2!$A$2:$R$3432,2,0)</f>
        <v>2024-09-30 19:01:40</v>
      </c>
      <c r="C2304" s="5" t="s">
        <v>25</v>
      </c>
      <c r="D2304" s="6" t="s">
        <v>25</v>
      </c>
      <c r="E2304" s="7">
        <f>VLOOKUP(A2304,Sheet2!$A$2:$R$3432,4,0)</f>
        <v>8308760085</v>
      </c>
      <c r="F2304" s="7" t="str">
        <f>VLOOKUP(A2304,Sheet2!$A$2:$R$3432,3,0)</f>
        <v>Tejas </v>
      </c>
      <c r="G2304" s="5" t="s">
        <v>25</v>
      </c>
      <c r="H2304" s="5" t="s">
        <v>25</v>
      </c>
      <c r="I2304" s="5" t="s">
        <v>25</v>
      </c>
      <c r="J2304" s="5" t="s">
        <v>25</v>
      </c>
      <c r="K2304" s="7" t="str">
        <f>VLOOKUP(A2304,Sheet2!$A$2:$R$3432,6,0)</f>
        <v>Honda Activa 6G</v>
      </c>
      <c r="L2304" s="5" t="s">
        <v>25</v>
      </c>
      <c r="M2304" s="7" t="str">
        <f>VLOOKUP(A2304,Sheet2!$A$2:$R$3432,5,0)</f>
        <v>MH09FW6516</v>
      </c>
      <c r="N2304" s="5" t="s">
        <v>25</v>
      </c>
      <c r="O2304" s="5" t="s">
        <v>25</v>
      </c>
      <c r="P2304" s="6" t="s">
        <v>25</v>
      </c>
      <c r="Q2304" s="5" t="s">
        <v>25</v>
      </c>
      <c r="R2304" s="5" t="s">
        <v>25</v>
      </c>
      <c r="S2304" s="7" t="str">
        <f>VLOOKUP(A2304,Sheet2!$A$2:$R$3432,18,0)</f>
        <v/>
      </c>
      <c r="T2304" s="7" t="str">
        <f>VLOOKUP(A2304,Sheet2!$A$2:$R$3432,17,0)</f>
        <v/>
      </c>
    </row>
    <row r="2305" ht="15.75" customHeight="1">
      <c r="A2305" s="3" t="s">
        <v>2328</v>
      </c>
      <c r="B2305" s="4" t="str">
        <f>VLOOKUP(A2305,Sheet2!$A$2:$R$3432,2,0)</f>
        <v>2024-09-30 18:45:08</v>
      </c>
      <c r="C2305" s="5" t="s">
        <v>25</v>
      </c>
      <c r="D2305" s="6" t="s">
        <v>25</v>
      </c>
      <c r="E2305" s="7">
        <f>VLOOKUP(A2305,Sheet2!$A$2:$R$3432,4,0)</f>
        <v>8087522879</v>
      </c>
      <c r="F2305" s="7" t="str">
        <f>VLOOKUP(A2305,Sheet2!$A$2:$R$3432,3,0)</f>
        <v>Divesh Tupat</v>
      </c>
      <c r="G2305" s="5" t="s">
        <v>25</v>
      </c>
      <c r="H2305" s="5" t="s">
        <v>25</v>
      </c>
      <c r="I2305" s="5" t="s">
        <v>25</v>
      </c>
      <c r="J2305" s="5" t="s">
        <v>25</v>
      </c>
      <c r="K2305" s="7" t="str">
        <f>VLOOKUP(A2305,Sheet2!$A$2:$R$3432,6,0)</f>
        <v>Yamaha Fascino </v>
      </c>
      <c r="L2305" s="5" t="s">
        <v>25</v>
      </c>
      <c r="M2305" s="7" t="str">
        <f>VLOOKUP(A2305,Sheet2!$A$2:$R$3432,5,0)</f>
        <v>MH12QB5087</v>
      </c>
      <c r="N2305" s="5" t="s">
        <v>25</v>
      </c>
      <c r="O2305" s="5" t="s">
        <v>25</v>
      </c>
      <c r="P2305" s="6" t="s">
        <v>25</v>
      </c>
      <c r="Q2305" s="5" t="s">
        <v>25</v>
      </c>
      <c r="R2305" s="5" t="s">
        <v>25</v>
      </c>
      <c r="S2305" s="5" t="str">
        <f>VLOOKUP(A2305,Sheet2!$A$2:$R$3432,18,0)</f>
        <v>1CK3003227</v>
      </c>
      <c r="T2305" s="7" t="str">
        <f>VLOOKUP(A2305,Sheet2!$A$2:$R$3432,17,0)</f>
        <v>ME11CK037C200321</v>
      </c>
    </row>
    <row r="2306" ht="15.75" customHeight="1">
      <c r="A2306" s="3" t="s">
        <v>2329</v>
      </c>
      <c r="B2306" s="4" t="str">
        <f>VLOOKUP(A2306,Sheet2!$A$2:$R$3432,2,0)</f>
        <v>2024-09-30 19:10:07</v>
      </c>
      <c r="C2306" s="5" t="s">
        <v>25</v>
      </c>
      <c r="D2306" s="6" t="s">
        <v>25</v>
      </c>
      <c r="E2306" s="7">
        <f>VLOOKUP(A2306,Sheet2!$A$2:$R$3432,4,0)</f>
        <v>9175438352</v>
      </c>
      <c r="F2306" s="7" t="str">
        <f>VLOOKUP(A2306,Sheet2!$A$2:$R$3432,3,0)</f>
        <v>Bhagbat</v>
      </c>
      <c r="G2306" s="5" t="s">
        <v>25</v>
      </c>
      <c r="H2306" s="5" t="s">
        <v>25</v>
      </c>
      <c r="I2306" s="5" t="s">
        <v>25</v>
      </c>
      <c r="J2306" s="5" t="s">
        <v>25</v>
      </c>
      <c r="K2306" s="7" t="str">
        <f>VLOOKUP(A2306,Sheet2!$A$2:$R$3432,6,0)</f>
        <v>Hero Deluxe CD</v>
      </c>
      <c r="L2306" s="5" t="s">
        <v>25</v>
      </c>
      <c r="M2306" s="7" t="str">
        <f>VLOOKUP(A2306,Sheet2!$A$2:$R$3432,5,0)</f>
        <v>MH12EL4906</v>
      </c>
      <c r="N2306" s="5" t="s">
        <v>25</v>
      </c>
      <c r="O2306" s="5" t="s">
        <v>25</v>
      </c>
      <c r="P2306" s="6" t="s">
        <v>25</v>
      </c>
      <c r="Q2306" s="5" t="s">
        <v>25</v>
      </c>
      <c r="R2306" s="5" t="s">
        <v>25</v>
      </c>
      <c r="S2306" s="5" t="str">
        <f>VLOOKUP(A2306,Sheet2!$A$2:$R$3432,18,0)</f>
        <v>07L22E00L67</v>
      </c>
      <c r="T2306" s="7" t="str">
        <f>VLOOKUP(A2306,Sheet2!$A$2:$R$3432,17,0)</f>
        <v>07L02F00712</v>
      </c>
    </row>
    <row r="2307" ht="15.75" customHeight="1">
      <c r="A2307" s="3" t="s">
        <v>2330</v>
      </c>
      <c r="B2307" s="4" t="str">
        <f>VLOOKUP(A2307,Sheet2!$A$2:$R$3432,2,0)</f>
        <v>2024-09-30 19:09:42</v>
      </c>
      <c r="C2307" s="5" t="s">
        <v>25</v>
      </c>
      <c r="D2307" s="6" t="s">
        <v>25</v>
      </c>
      <c r="E2307" s="7">
        <f>VLOOKUP(A2307,Sheet2!$A$2:$R$3432,4,0)</f>
        <v>9359932979</v>
      </c>
      <c r="F2307" s="7" t="str">
        <f>VLOOKUP(A2307,Sheet2!$A$2:$R$3432,3,0)</f>
        <v>BHUSARE</v>
      </c>
      <c r="G2307" s="5" t="s">
        <v>25</v>
      </c>
      <c r="H2307" s="5" t="s">
        <v>25</v>
      </c>
      <c r="I2307" s="5" t="s">
        <v>25</v>
      </c>
      <c r="J2307" s="5" t="s">
        <v>25</v>
      </c>
      <c r="K2307" s="7" t="str">
        <f>VLOOKUP(A2307,Sheet2!$A$2:$R$3432,6,0)</f>
        <v>Hero Passion Pro</v>
      </c>
      <c r="L2307" s="5" t="s">
        <v>25</v>
      </c>
      <c r="M2307" s="7" t="str">
        <f>VLOOKUP(A2307,Sheet2!$A$2:$R$3432,5,0)</f>
        <v>MH20CA8886</v>
      </c>
      <c r="N2307" s="5" t="s">
        <v>25</v>
      </c>
      <c r="O2307" s="5" t="s">
        <v>25</v>
      </c>
      <c r="P2307" s="6" t="s">
        <v>25</v>
      </c>
      <c r="Q2307" s="5" t="s">
        <v>25</v>
      </c>
      <c r="R2307" s="5" t="s">
        <v>25</v>
      </c>
      <c r="S2307" s="7" t="str">
        <f>VLOOKUP(A2307,Sheet2!$A$2:$R$3432,18,0)</f>
        <v/>
      </c>
      <c r="T2307" s="7" t="str">
        <f>VLOOKUP(A2307,Sheet2!$A$2:$R$3432,17,0)</f>
        <v/>
      </c>
    </row>
    <row r="2308" ht="15.75" customHeight="1">
      <c r="A2308" s="3" t="s">
        <v>2331</v>
      </c>
      <c r="B2308" s="4" t="str">
        <f>VLOOKUP(A2308,Sheet2!$A$2:$R$3432,2,0)</f>
        <v>2024-09-30 19:09:26</v>
      </c>
      <c r="C2308" s="5" t="s">
        <v>25</v>
      </c>
      <c r="D2308" s="6" t="s">
        <v>25</v>
      </c>
      <c r="E2308" s="7">
        <f>VLOOKUP(A2308,Sheet2!$A$2:$R$3432,4,0)</f>
        <v>9822707836</v>
      </c>
      <c r="F2308" s="7" t="str">
        <f>VLOOKUP(A2308,Sheet2!$A$2:$R$3432,3,0)</f>
        <v>Anil</v>
      </c>
      <c r="G2308" s="5" t="s">
        <v>25</v>
      </c>
      <c r="H2308" s="5" t="s">
        <v>25</v>
      </c>
      <c r="I2308" s="5" t="s">
        <v>25</v>
      </c>
      <c r="J2308" s="5" t="s">
        <v>25</v>
      </c>
      <c r="K2308" s="7" t="str">
        <f>VLOOKUP(A2308,Sheet2!$A$2:$R$3432,6,0)</f>
        <v>Honda Activa 110</v>
      </c>
      <c r="L2308" s="5" t="s">
        <v>25</v>
      </c>
      <c r="M2308" s="7" t="str">
        <f>VLOOKUP(A2308,Sheet2!$A$2:$R$3432,5,0)</f>
        <v>MH12JG1485</v>
      </c>
      <c r="N2308" s="5" t="s">
        <v>25</v>
      </c>
      <c r="O2308" s="5" t="s">
        <v>25</v>
      </c>
      <c r="P2308" s="6" t="s">
        <v>25</v>
      </c>
      <c r="Q2308" s="5" t="s">
        <v>25</v>
      </c>
      <c r="R2308" s="5" t="s">
        <v>25</v>
      </c>
      <c r="S2308" s="5" t="str">
        <f>VLOOKUP(A2308,Sheet2!$A$2:$R$3432,18,0)</f>
        <v>JC44E2241313</v>
      </c>
      <c r="T2308" s="7" t="str">
        <f>VLOOKUP(A2308,Sheet2!$A$2:$R$3432,17,0)</f>
        <v>ME4JC447HCG130243</v>
      </c>
    </row>
    <row r="2309" ht="15.75" customHeight="1">
      <c r="A2309" s="3" t="s">
        <v>2332</v>
      </c>
      <c r="B2309" s="4" t="str">
        <f>VLOOKUP(A2309,Sheet2!$A$2:$R$3432,2,0)</f>
        <v>2024-09-30 19:08:07</v>
      </c>
      <c r="C2309" s="5" t="s">
        <v>25</v>
      </c>
      <c r="D2309" s="6" t="s">
        <v>25</v>
      </c>
      <c r="E2309" s="7">
        <f>VLOOKUP(A2309,Sheet2!$A$2:$R$3432,4,0)</f>
        <v>7020008535</v>
      </c>
      <c r="F2309" s="7" t="str">
        <f>VLOOKUP(A2309,Sheet2!$A$2:$R$3432,3,0)</f>
        <v>BHUSHAN </v>
      </c>
      <c r="G2309" s="5" t="s">
        <v>25</v>
      </c>
      <c r="H2309" s="5" t="s">
        <v>25</v>
      </c>
      <c r="I2309" s="5" t="s">
        <v>25</v>
      </c>
      <c r="J2309" s="5" t="s">
        <v>25</v>
      </c>
      <c r="K2309" s="7" t="str">
        <f>VLOOKUP(A2309,Sheet2!$A$2:$R$3432,6,0)</f>
        <v>Bajaj Dominar 400</v>
      </c>
      <c r="L2309" s="5" t="s">
        <v>25</v>
      </c>
      <c r="M2309" s="7" t="str">
        <f>VLOOKUP(A2309,Sheet2!$A$2:$R$3432,5,0)</f>
        <v>MH20FM1212</v>
      </c>
      <c r="N2309" s="5" t="s">
        <v>25</v>
      </c>
      <c r="O2309" s="5" t="s">
        <v>25</v>
      </c>
      <c r="P2309" s="6" t="s">
        <v>25</v>
      </c>
      <c r="Q2309" s="5" t="s">
        <v>25</v>
      </c>
      <c r="R2309" s="5" t="s">
        <v>25</v>
      </c>
      <c r="S2309" s="5" t="str">
        <f>VLOOKUP(A2309,Sheet2!$A$2:$R$3432,18,0)</f>
        <v>JFYCKGZ3538</v>
      </c>
      <c r="T2309" s="7" t="str">
        <f>VLOOKUP(A2309,Sheet2!$A$2:$R$3432,17,0)</f>
        <v>MD2A67MY2KCG10105</v>
      </c>
    </row>
    <row r="2310" ht="15.75" customHeight="1">
      <c r="A2310" s="3" t="s">
        <v>2333</v>
      </c>
      <c r="B2310" s="4" t="str">
        <f>VLOOKUP(A2310,Sheet2!$A$2:$R$3432,2,0)</f>
        <v>2024-09-30 19:07:18</v>
      </c>
      <c r="C2310" s="5" t="s">
        <v>25</v>
      </c>
      <c r="D2310" s="6" t="s">
        <v>25</v>
      </c>
      <c r="E2310" s="7">
        <f>VLOOKUP(A2310,Sheet2!$A$2:$R$3432,4,0)</f>
        <v>9156365605</v>
      </c>
      <c r="F2310" s="7" t="str">
        <f>VLOOKUP(A2310,Sheet2!$A$2:$R$3432,3,0)</f>
        <v>AKSHAY JADHAO</v>
      </c>
      <c r="G2310" s="5" t="s">
        <v>25</v>
      </c>
      <c r="H2310" s="5" t="s">
        <v>25</v>
      </c>
      <c r="I2310" s="5" t="s">
        <v>25</v>
      </c>
      <c r="J2310" s="5" t="s">
        <v>25</v>
      </c>
      <c r="K2310" s="7" t="str">
        <f>VLOOKUP(A2310,Sheet2!$A$2:$R$3432,6,0)</f>
        <v>Yamaha FZ S 2.0</v>
      </c>
      <c r="L2310" s="5" t="s">
        <v>25</v>
      </c>
      <c r="M2310" s="7" t="str">
        <f>VLOOKUP(A2310,Sheet2!$A$2:$R$3432,5,0)</f>
        <v>MH29AZ0216</v>
      </c>
      <c r="N2310" s="5" t="s">
        <v>25</v>
      </c>
      <c r="O2310" s="5" t="s">
        <v>25</v>
      </c>
      <c r="P2310" s="6" t="s">
        <v>25</v>
      </c>
      <c r="Q2310" s="5" t="s">
        <v>25</v>
      </c>
      <c r="R2310" s="5" t="s">
        <v>25</v>
      </c>
      <c r="S2310" s="5" t="str">
        <f>VLOOKUP(A2310,Sheet2!$A$2:$R$3432,18,0)</f>
        <v>G3C8E0402086</v>
      </c>
      <c r="T2310" s="7" t="str">
        <f>VLOOKUP(A2310,Sheet2!$A$2:$R$3432,17,0)</f>
        <v>ME1RG072BG0266529</v>
      </c>
    </row>
    <row r="2311" ht="15.75" customHeight="1">
      <c r="A2311" s="3" t="s">
        <v>2334</v>
      </c>
      <c r="B2311" s="4" t="str">
        <f>VLOOKUP(A2311,Sheet2!$A$2:$R$3432,2,0)</f>
        <v>2024-09-30 19:05:35</v>
      </c>
      <c r="C2311" s="5" t="s">
        <v>25</v>
      </c>
      <c r="D2311" s="6" t="s">
        <v>25</v>
      </c>
      <c r="E2311" s="7">
        <f>VLOOKUP(A2311,Sheet2!$A$2:$R$3432,4,0)</f>
        <v>9890081047</v>
      </c>
      <c r="F2311" s="7" t="str">
        <f>VLOOKUP(A2311,Sheet2!$A$2:$R$3432,3,0)</f>
        <v>SHAILESH NEMA</v>
      </c>
      <c r="G2311" s="5" t="s">
        <v>25</v>
      </c>
      <c r="H2311" s="5" t="s">
        <v>25</v>
      </c>
      <c r="I2311" s="5" t="s">
        <v>25</v>
      </c>
      <c r="J2311" s="5" t="s">
        <v>25</v>
      </c>
      <c r="K2311" s="7" t="str">
        <f>VLOOKUP(A2311,Sheet2!$A$2:$R$3432,6,0)</f>
        <v>Bajaj Avenger 160 Street</v>
      </c>
      <c r="L2311" s="5" t="s">
        <v>25</v>
      </c>
      <c r="M2311" s="7" t="str">
        <f>VLOOKUP(A2311,Sheet2!$A$2:$R$3432,5,0)</f>
        <v>MH12VH8032</v>
      </c>
      <c r="N2311" s="5" t="s">
        <v>25</v>
      </c>
      <c r="O2311" s="5" t="s">
        <v>25</v>
      </c>
      <c r="P2311" s="6" t="s">
        <v>25</v>
      </c>
      <c r="Q2311" s="5" t="s">
        <v>25</v>
      </c>
      <c r="R2311" s="5" t="s">
        <v>25</v>
      </c>
      <c r="S2311" s="7" t="str">
        <f>VLOOKUP(A2311,Sheet2!$A$2:$R$3432,18,0)</f>
        <v/>
      </c>
      <c r="T2311" s="7" t="str">
        <f>VLOOKUP(A2311,Sheet2!$A$2:$R$3432,17,0)</f>
        <v/>
      </c>
    </row>
    <row r="2312" ht="15.75" customHeight="1">
      <c r="A2312" s="3" t="s">
        <v>2335</v>
      </c>
      <c r="B2312" s="4" t="str">
        <f>VLOOKUP(A2312,Sheet2!$A$2:$R$3432,2,0)</f>
        <v>2024-09-30 19:02:08</v>
      </c>
      <c r="C2312" s="5" t="s">
        <v>25</v>
      </c>
      <c r="D2312" s="6" t="s">
        <v>25</v>
      </c>
      <c r="E2312" s="7">
        <f>VLOOKUP(A2312,Sheet2!$A$2:$R$3432,4,0)</f>
        <v>7568471577</v>
      </c>
      <c r="F2312" s="7" t="str">
        <f>VLOOKUP(A2312,Sheet2!$A$2:$R$3432,3,0)</f>
        <v>RACHIT DEO</v>
      </c>
      <c r="G2312" s="5" t="s">
        <v>25</v>
      </c>
      <c r="H2312" s="5" t="s">
        <v>25</v>
      </c>
      <c r="I2312" s="5" t="s">
        <v>25</v>
      </c>
      <c r="J2312" s="5" t="s">
        <v>25</v>
      </c>
      <c r="K2312" s="7" t="str">
        <f>VLOOKUP(A2312,Sheet2!$A$2:$R$3432,6,0)</f>
        <v>Honda Activa 125</v>
      </c>
      <c r="L2312" s="5" t="s">
        <v>25</v>
      </c>
      <c r="M2312" s="7" t="str">
        <f>VLOOKUP(A2312,Sheet2!$A$2:$R$3432,5,0)</f>
        <v>MH14HS3623</v>
      </c>
      <c r="N2312" s="5" t="s">
        <v>25</v>
      </c>
      <c r="O2312" s="5" t="s">
        <v>25</v>
      </c>
      <c r="P2312" s="6" t="s">
        <v>25</v>
      </c>
      <c r="Q2312" s="5" t="s">
        <v>25</v>
      </c>
      <c r="R2312" s="5" t="s">
        <v>25</v>
      </c>
      <c r="S2312" s="7" t="str">
        <f>VLOOKUP(A2312,Sheet2!$A$2:$R$3432,18,0)</f>
        <v/>
      </c>
      <c r="T2312" s="7" t="str">
        <f>VLOOKUP(A2312,Sheet2!$A$2:$R$3432,17,0)</f>
        <v/>
      </c>
    </row>
    <row r="2313" ht="15.75" customHeight="1">
      <c r="A2313" s="3" t="s">
        <v>2336</v>
      </c>
      <c r="B2313" s="4" t="str">
        <f>VLOOKUP(A2313,Sheet2!$A$2:$R$3432,2,0)</f>
        <v>2024-09-30 18:53:45</v>
      </c>
      <c r="C2313" s="5" t="s">
        <v>25</v>
      </c>
      <c r="D2313" s="6" t="s">
        <v>25</v>
      </c>
      <c r="E2313" s="7">
        <f>VLOOKUP(A2313,Sheet2!$A$2:$R$3432,4,0)</f>
        <v>8668442535</v>
      </c>
      <c r="F2313" s="7" t="str">
        <f>VLOOKUP(A2313,Sheet2!$A$2:$R$3432,3,0)</f>
        <v>PARMAR</v>
      </c>
      <c r="G2313" s="5" t="s">
        <v>25</v>
      </c>
      <c r="H2313" s="5" t="s">
        <v>25</v>
      </c>
      <c r="I2313" s="5" t="s">
        <v>25</v>
      </c>
      <c r="J2313" s="5" t="s">
        <v>25</v>
      </c>
      <c r="K2313" s="7" t="str">
        <f>VLOOKUP(A2313,Sheet2!$A$2:$R$3432,6,0)</f>
        <v>Royal Enfield Classic 500</v>
      </c>
      <c r="L2313" s="5" t="s">
        <v>25</v>
      </c>
      <c r="M2313" s="7" t="str">
        <f>VLOOKUP(A2313,Sheet2!$A$2:$R$3432,5,0)</f>
        <v>MH12NT9150</v>
      </c>
      <c r="N2313" s="5" t="s">
        <v>25</v>
      </c>
      <c r="O2313" s="5" t="s">
        <v>25</v>
      </c>
      <c r="P2313" s="6" t="s">
        <v>25</v>
      </c>
      <c r="Q2313" s="5" t="s">
        <v>25</v>
      </c>
      <c r="R2313" s="5" t="s">
        <v>25</v>
      </c>
      <c r="S2313" s="7" t="str">
        <f>VLOOKUP(A2313,Sheet2!$A$2:$R$3432,18,0)</f>
        <v/>
      </c>
      <c r="T2313" s="7" t="str">
        <f>VLOOKUP(A2313,Sheet2!$A$2:$R$3432,17,0)</f>
        <v/>
      </c>
    </row>
    <row r="2314" ht="15.75" customHeight="1">
      <c r="A2314" s="3" t="s">
        <v>2337</v>
      </c>
      <c r="B2314" s="4" t="str">
        <f>VLOOKUP(A2314,Sheet2!$A$2:$R$3432,2,0)</f>
        <v>2024-09-30 19:00:49</v>
      </c>
      <c r="C2314" s="5" t="s">
        <v>25</v>
      </c>
      <c r="D2314" s="6" t="s">
        <v>25</v>
      </c>
      <c r="E2314" s="7">
        <f>VLOOKUP(A2314,Sheet2!$A$2:$R$3432,4,0)</f>
        <v>8867799921</v>
      </c>
      <c r="F2314" s="7" t="str">
        <f>VLOOKUP(A2314,Sheet2!$A$2:$R$3432,3,0)</f>
        <v>ALI </v>
      </c>
      <c r="G2314" s="5" t="s">
        <v>25</v>
      </c>
      <c r="H2314" s="5" t="s">
        <v>25</v>
      </c>
      <c r="I2314" s="5" t="s">
        <v>25</v>
      </c>
      <c r="J2314" s="5" t="s">
        <v>25</v>
      </c>
      <c r="K2314" s="7" t="str">
        <f>VLOOKUP(A2314,Sheet2!$A$2:$R$3432,6,0)</f>
        <v>Honda Aviator </v>
      </c>
      <c r="L2314" s="5" t="s">
        <v>25</v>
      </c>
      <c r="M2314" s="7" t="str">
        <f>VLOOKUP(A2314,Sheet2!$A$2:$R$3432,5,0)</f>
        <v>GJ05MH0397</v>
      </c>
      <c r="N2314" s="5" t="s">
        <v>25</v>
      </c>
      <c r="O2314" s="5" t="s">
        <v>25</v>
      </c>
      <c r="P2314" s="6" t="s">
        <v>25</v>
      </c>
      <c r="Q2314" s="5" t="s">
        <v>25</v>
      </c>
      <c r="R2314" s="5" t="s">
        <v>25</v>
      </c>
      <c r="S2314" s="5" t="str">
        <f>VLOOKUP(A2314,Sheet2!$A$2:$R$3432,18,0)</f>
        <v>JF21E80304848</v>
      </c>
      <c r="T2314" s="7" t="str">
        <f>VLOOKUP(A2314,Sheet2!$A$2:$R$3432,17,0)</f>
        <v>ME4JF21FE8255788</v>
      </c>
    </row>
    <row r="2315" ht="15.75" customHeight="1">
      <c r="A2315" s="3" t="s">
        <v>2338</v>
      </c>
      <c r="B2315" s="4" t="str">
        <f>VLOOKUP(A2315,Sheet2!$A$2:$R$3432,2,0)</f>
        <v>2024-09-30 16:03:03</v>
      </c>
      <c r="C2315" s="5" t="s">
        <v>25</v>
      </c>
      <c r="D2315" s="6" t="s">
        <v>25</v>
      </c>
      <c r="E2315" s="7">
        <f>VLOOKUP(A2315,Sheet2!$A$2:$R$3432,4,0)</f>
        <v>9049536462</v>
      </c>
      <c r="F2315" s="7" t="str">
        <f>VLOOKUP(A2315,Sheet2!$A$2:$R$3432,3,0)</f>
        <v>Manoj</v>
      </c>
      <c r="G2315" s="5" t="s">
        <v>25</v>
      </c>
      <c r="H2315" s="5" t="s">
        <v>25</v>
      </c>
      <c r="I2315" s="5" t="s">
        <v>25</v>
      </c>
      <c r="J2315" s="5" t="s">
        <v>25</v>
      </c>
      <c r="K2315" s="7" t="str">
        <f>VLOOKUP(A2315,Sheet2!$A$2:$R$3432,6,0)</f>
        <v>Honda Activa </v>
      </c>
      <c r="L2315" s="5" t="s">
        <v>25</v>
      </c>
      <c r="M2315" s="7" t="str">
        <f>VLOOKUP(A2315,Sheet2!$A$2:$R$3432,5,0)</f>
        <v>MH14ES3499</v>
      </c>
      <c r="N2315" s="5" t="s">
        <v>25</v>
      </c>
      <c r="O2315" s="5" t="s">
        <v>25</v>
      </c>
      <c r="P2315" s="6" t="s">
        <v>25</v>
      </c>
      <c r="Q2315" s="5" t="s">
        <v>25</v>
      </c>
      <c r="R2315" s="5" t="s">
        <v>25</v>
      </c>
      <c r="S2315" s="7" t="str">
        <f>VLOOKUP(A2315,Sheet2!$A$2:$R$3432,18,0)</f>
        <v/>
      </c>
      <c r="T2315" s="7" t="str">
        <f>VLOOKUP(A2315,Sheet2!$A$2:$R$3432,17,0)</f>
        <v>ME4JF502LE8313692</v>
      </c>
    </row>
    <row r="2316" ht="15.75" customHeight="1">
      <c r="A2316" s="3" t="s">
        <v>2339</v>
      </c>
      <c r="B2316" s="4" t="str">
        <f>VLOOKUP(A2316,Sheet2!$A$2:$R$3432,2,0)</f>
        <v>2024-09-30 12:11:16</v>
      </c>
      <c r="C2316" s="5" t="s">
        <v>25</v>
      </c>
      <c r="D2316" s="6" t="s">
        <v>25</v>
      </c>
      <c r="E2316" s="7">
        <f>VLOOKUP(A2316,Sheet2!$A$2:$R$3432,4,0)</f>
        <v>9595936068</v>
      </c>
      <c r="F2316" s="7" t="str">
        <f>VLOOKUP(A2316,Sheet2!$A$2:$R$3432,3,0)</f>
        <v>Yogesh Patil</v>
      </c>
      <c r="G2316" s="5" t="s">
        <v>25</v>
      </c>
      <c r="H2316" s="5" t="s">
        <v>25</v>
      </c>
      <c r="I2316" s="5" t="s">
        <v>25</v>
      </c>
      <c r="J2316" s="5" t="s">
        <v>25</v>
      </c>
      <c r="K2316" s="7" t="str">
        <f>VLOOKUP(A2316,Sheet2!$A$2:$R$3432,6,0)</f>
        <v>Honda Activa 110</v>
      </c>
      <c r="L2316" s="5" t="s">
        <v>25</v>
      </c>
      <c r="M2316" s="7" t="str">
        <f>VLOOKUP(A2316,Sheet2!$A$2:$R$3432,5,0)</f>
        <v>MH14CR7660</v>
      </c>
      <c r="N2316" s="5" t="s">
        <v>25</v>
      </c>
      <c r="O2316" s="5" t="s">
        <v>25</v>
      </c>
      <c r="P2316" s="6" t="s">
        <v>25</v>
      </c>
      <c r="Q2316" s="5" t="s">
        <v>25</v>
      </c>
      <c r="R2316" s="5" t="s">
        <v>25</v>
      </c>
      <c r="S2316" s="7" t="str">
        <f>VLOOKUP(A2316,Sheet2!$A$2:$R$3432,18,0)</f>
        <v/>
      </c>
      <c r="T2316" s="7" t="str">
        <f>VLOOKUP(A2316,Sheet2!$A$2:$R$3432,17,0)</f>
        <v>ME4JC44EEB609566</v>
      </c>
    </row>
    <row r="2317" ht="15.75" customHeight="1">
      <c r="A2317" s="3" t="s">
        <v>2340</v>
      </c>
      <c r="B2317" s="4" t="str">
        <f>VLOOKUP(A2317,Sheet2!$A$2:$R$3432,2,0)</f>
        <v>2024-09-30 19:00:14</v>
      </c>
      <c r="C2317" s="5" t="s">
        <v>25</v>
      </c>
      <c r="D2317" s="6" t="s">
        <v>25</v>
      </c>
      <c r="E2317" s="7">
        <f>VLOOKUP(A2317,Sheet2!$A$2:$R$3432,4,0)</f>
        <v>8939180987</v>
      </c>
      <c r="F2317" s="7" t="str">
        <f>VLOOKUP(A2317,Sheet2!$A$2:$R$3432,3,0)</f>
        <v>VISHAL</v>
      </c>
      <c r="G2317" s="5" t="s">
        <v>25</v>
      </c>
      <c r="H2317" s="5" t="s">
        <v>25</v>
      </c>
      <c r="I2317" s="5" t="s">
        <v>25</v>
      </c>
      <c r="J2317" s="5" t="s">
        <v>25</v>
      </c>
      <c r="K2317" s="7" t="str">
        <f>VLOOKUP(A2317,Sheet2!$A$2:$R$3432,6,0)</f>
        <v>Royal Enfield ThunderBird 500</v>
      </c>
      <c r="L2317" s="5" t="s">
        <v>25</v>
      </c>
      <c r="M2317" s="7" t="str">
        <f>VLOOKUP(A2317,Sheet2!$A$2:$R$3432,5,0)</f>
        <v>TN07CH7463</v>
      </c>
      <c r="N2317" s="5" t="s">
        <v>25</v>
      </c>
      <c r="O2317" s="5" t="s">
        <v>25</v>
      </c>
      <c r="P2317" s="6" t="s">
        <v>25</v>
      </c>
      <c r="Q2317" s="5" t="s">
        <v>25</v>
      </c>
      <c r="R2317" s="5" t="s">
        <v>25</v>
      </c>
      <c r="S2317" s="5" t="str">
        <f>VLOOKUP(A2317,Sheet2!$A$2:$R$3432,18,0)</f>
        <v>US55I0GM180245</v>
      </c>
      <c r="T2317" s="7" t="str">
        <f>VLOOKUP(A2317,Sheet2!$A$2:$R$3432,17,0)</f>
        <v>ME3U5595F1511098716</v>
      </c>
    </row>
    <row r="2318" ht="15.75" customHeight="1">
      <c r="A2318" s="3" t="s">
        <v>2341</v>
      </c>
      <c r="B2318" s="4" t="str">
        <f>VLOOKUP(A2318,Sheet2!$A$2:$R$3432,2,0)</f>
        <v>2024-09-30 18:45:53</v>
      </c>
      <c r="C2318" s="5" t="s">
        <v>25</v>
      </c>
      <c r="D2318" s="6" t="s">
        <v>25</v>
      </c>
      <c r="E2318" s="7">
        <f>VLOOKUP(A2318,Sheet2!$A$2:$R$3432,4,0)</f>
        <v>9651639411</v>
      </c>
      <c r="F2318" s="7" t="str">
        <f>VLOOKUP(A2318,Sheet2!$A$2:$R$3432,3,0)</f>
        <v>PHOOLCHANDRA</v>
      </c>
      <c r="G2318" s="5" t="s">
        <v>25</v>
      </c>
      <c r="H2318" s="5" t="s">
        <v>25</v>
      </c>
      <c r="I2318" s="5" t="s">
        <v>25</v>
      </c>
      <c r="J2318" s="5" t="s">
        <v>25</v>
      </c>
      <c r="K2318" s="7" t="str">
        <f>VLOOKUP(A2318,Sheet2!$A$2:$R$3432,6,0)</f>
        <v>Hero Pleasure No Data</v>
      </c>
      <c r="L2318" s="5" t="s">
        <v>25</v>
      </c>
      <c r="M2318" s="7" t="str">
        <f>VLOOKUP(A2318,Sheet2!$A$2:$R$3432,5,0)</f>
        <v>MH14CB5690</v>
      </c>
      <c r="N2318" s="5" t="s">
        <v>25</v>
      </c>
      <c r="O2318" s="5" t="s">
        <v>25</v>
      </c>
      <c r="P2318" s="6" t="s">
        <v>25</v>
      </c>
      <c r="Q2318" s="5" t="s">
        <v>25</v>
      </c>
      <c r="R2318" s="5" t="s">
        <v>25</v>
      </c>
      <c r="S2318" s="7" t="str">
        <f>VLOOKUP(A2318,Sheet2!$A$2:$R$3432,18,0)</f>
        <v/>
      </c>
      <c r="T2318" s="7" t="str">
        <f>VLOOKUP(A2318,Sheet2!$A$2:$R$3432,17,0)</f>
        <v/>
      </c>
    </row>
    <row r="2319" ht="15.75" customHeight="1">
      <c r="A2319" s="3" t="s">
        <v>2342</v>
      </c>
      <c r="B2319" s="4" t="str">
        <f>VLOOKUP(A2319,Sheet2!$A$2:$R$3432,2,0)</f>
        <v>2024-09-30 18:43:09</v>
      </c>
      <c r="C2319" s="5" t="s">
        <v>25</v>
      </c>
      <c r="D2319" s="6" t="s">
        <v>25</v>
      </c>
      <c r="E2319" s="7">
        <f>VLOOKUP(A2319,Sheet2!$A$2:$R$3432,4,0)</f>
        <v>7350902618</v>
      </c>
      <c r="F2319" s="7" t="str">
        <f>VLOOKUP(A2319,Sheet2!$A$2:$R$3432,3,0)</f>
        <v>PRATIK SALUNKHE</v>
      </c>
      <c r="G2319" s="5" t="s">
        <v>25</v>
      </c>
      <c r="H2319" s="5" t="s">
        <v>25</v>
      </c>
      <c r="I2319" s="5" t="s">
        <v>25</v>
      </c>
      <c r="J2319" s="5" t="s">
        <v>25</v>
      </c>
      <c r="K2319" s="7" t="str">
        <f>VLOOKUP(A2319,Sheet2!$A$2:$R$3432,6,0)</f>
        <v>Hero Passion Pro</v>
      </c>
      <c r="L2319" s="5" t="s">
        <v>25</v>
      </c>
      <c r="M2319" s="7" t="str">
        <f>VLOOKUP(A2319,Sheet2!$A$2:$R$3432,5,0)</f>
        <v>MH14DD6574</v>
      </c>
      <c r="N2319" s="5" t="s">
        <v>25</v>
      </c>
      <c r="O2319" s="5" t="s">
        <v>25</v>
      </c>
      <c r="P2319" s="6" t="s">
        <v>25</v>
      </c>
      <c r="Q2319" s="5" t="s">
        <v>25</v>
      </c>
      <c r="R2319" s="5" t="s">
        <v>25</v>
      </c>
      <c r="S2319" s="5" t="str">
        <f>VLOOKUP(A2319,Sheet2!$A$2:$R$3432,18,0)</f>
        <v>HA10EDBGM54004</v>
      </c>
      <c r="T2319" s="7" t="str">
        <f>VLOOKUP(A2319,Sheet2!$A$2:$R$3432,17,0)</f>
        <v>MBLHA10EWBGM22283</v>
      </c>
    </row>
    <row r="2320" ht="15.75" customHeight="1">
      <c r="A2320" s="3" t="s">
        <v>2343</v>
      </c>
      <c r="B2320" s="4" t="str">
        <f>VLOOKUP(A2320,Sheet2!$A$2:$R$3432,2,0)</f>
        <v>2024-09-30 16:38:08</v>
      </c>
      <c r="C2320" s="5" t="s">
        <v>25</v>
      </c>
      <c r="D2320" s="6" t="s">
        <v>25</v>
      </c>
      <c r="E2320" s="7">
        <f>VLOOKUP(A2320,Sheet2!$A$2:$R$3432,4,0)</f>
        <v>9028274842</v>
      </c>
      <c r="F2320" s="7" t="str">
        <f>VLOOKUP(A2320,Sheet2!$A$2:$R$3432,3,0)</f>
        <v>Satyajeet Kumbhar</v>
      </c>
      <c r="G2320" s="5" t="s">
        <v>25</v>
      </c>
      <c r="H2320" s="5" t="s">
        <v>25</v>
      </c>
      <c r="I2320" s="5" t="s">
        <v>25</v>
      </c>
      <c r="J2320" s="5" t="s">
        <v>25</v>
      </c>
      <c r="K2320" s="7" t="str">
        <f>VLOOKUP(A2320,Sheet2!$A$2:$R$3432,6,0)</f>
        <v>Hero Pleasure </v>
      </c>
      <c r="L2320" s="5" t="s">
        <v>25</v>
      </c>
      <c r="M2320" s="7" t="str">
        <f>VLOOKUP(A2320,Sheet2!$A$2:$R$3432,5,0)</f>
        <v>MH10AR3328</v>
      </c>
      <c r="N2320" s="5" t="s">
        <v>25</v>
      </c>
      <c r="O2320" s="5" t="s">
        <v>25</v>
      </c>
      <c r="P2320" s="6" t="s">
        <v>25</v>
      </c>
      <c r="Q2320" s="5" t="s">
        <v>25</v>
      </c>
      <c r="R2320" s="5" t="s">
        <v>25</v>
      </c>
      <c r="S2320" s="7" t="str">
        <f>VLOOKUP(A2320,Sheet2!$A$2:$R$3432,18,0)</f>
        <v/>
      </c>
      <c r="T2320" s="7" t="str">
        <f>VLOOKUP(A2320,Sheet2!$A$2:$R$3432,17,0)</f>
        <v/>
      </c>
    </row>
    <row r="2321" ht="15.75" customHeight="1">
      <c r="A2321" s="3" t="s">
        <v>2344</v>
      </c>
      <c r="B2321" s="4" t="str">
        <f>VLOOKUP(A2321,Sheet2!$A$2:$R$3432,2,0)</f>
        <v>2024-09-30 18:43:56</v>
      </c>
      <c r="C2321" s="5" t="s">
        <v>25</v>
      </c>
      <c r="D2321" s="6" t="s">
        <v>25</v>
      </c>
      <c r="E2321" s="7">
        <f>VLOOKUP(A2321,Sheet2!$A$2:$R$3432,4,0)</f>
        <v>8208443217</v>
      </c>
      <c r="F2321" s="7" t="str">
        <f>VLOOKUP(A2321,Sheet2!$A$2:$R$3432,3,0)</f>
        <v>DHIRESH</v>
      </c>
      <c r="G2321" s="5" t="s">
        <v>25</v>
      </c>
      <c r="H2321" s="5" t="s">
        <v>25</v>
      </c>
      <c r="I2321" s="5" t="s">
        <v>25</v>
      </c>
      <c r="J2321" s="5" t="s">
        <v>25</v>
      </c>
      <c r="K2321" s="7" t="str">
        <f>VLOOKUP(A2321,Sheet2!$A$2:$R$3432,6,0)</f>
        <v>TVS Jupiter </v>
      </c>
      <c r="L2321" s="5" t="s">
        <v>25</v>
      </c>
      <c r="M2321" s="7" t="str">
        <f>VLOOKUP(A2321,Sheet2!$A$2:$R$3432,5,0)</f>
        <v>MH14HT8296</v>
      </c>
      <c r="N2321" s="5" t="s">
        <v>25</v>
      </c>
      <c r="O2321" s="5" t="s">
        <v>25</v>
      </c>
      <c r="P2321" s="6" t="s">
        <v>25</v>
      </c>
      <c r="Q2321" s="5" t="s">
        <v>25</v>
      </c>
      <c r="R2321" s="5" t="s">
        <v>25</v>
      </c>
      <c r="S2321" s="7" t="str">
        <f>VLOOKUP(A2321,Sheet2!$A$2:$R$3432,18,0)</f>
        <v/>
      </c>
      <c r="T2321" s="7" t="str">
        <f>VLOOKUP(A2321,Sheet2!$A$2:$R$3432,17,0)</f>
        <v/>
      </c>
    </row>
    <row r="2322" ht="15.75" customHeight="1">
      <c r="A2322" s="3" t="s">
        <v>2345</v>
      </c>
      <c r="B2322" s="4" t="str">
        <f>VLOOKUP(A2322,Sheet2!$A$2:$R$3432,2,0)</f>
        <v>2024-09-30 18:52:55</v>
      </c>
      <c r="C2322" s="5" t="s">
        <v>25</v>
      </c>
      <c r="D2322" s="6" t="s">
        <v>25</v>
      </c>
      <c r="E2322" s="7">
        <f>VLOOKUP(A2322,Sheet2!$A$2:$R$3432,4,0)</f>
        <v>9975649543</v>
      </c>
      <c r="F2322" s="7" t="str">
        <f>VLOOKUP(A2322,Sheet2!$A$2:$R$3432,3,0)</f>
        <v>Mayank Bhati</v>
      </c>
      <c r="G2322" s="5" t="s">
        <v>25</v>
      </c>
      <c r="H2322" s="5" t="s">
        <v>25</v>
      </c>
      <c r="I2322" s="5" t="s">
        <v>25</v>
      </c>
      <c r="J2322" s="5" t="s">
        <v>25</v>
      </c>
      <c r="K2322" s="7" t="str">
        <f>VLOOKUP(A2322,Sheet2!$A$2:$R$3432,6,0)</f>
        <v>Honda Activa 125</v>
      </c>
      <c r="L2322" s="5" t="s">
        <v>25</v>
      </c>
      <c r="M2322" s="7" t="str">
        <f>VLOOKUP(A2322,Sheet2!$A$2:$R$3432,5,0)</f>
        <v>MH14FU7679</v>
      </c>
      <c r="N2322" s="5" t="s">
        <v>25</v>
      </c>
      <c r="O2322" s="5" t="s">
        <v>25</v>
      </c>
      <c r="P2322" s="6" t="s">
        <v>25</v>
      </c>
      <c r="Q2322" s="5" t="s">
        <v>25</v>
      </c>
      <c r="R2322" s="5" t="s">
        <v>25</v>
      </c>
      <c r="S2322" s="5" t="str">
        <f>VLOOKUP(A2322,Sheet2!$A$2:$R$3432,18,0)</f>
        <v>JF45E81293059</v>
      </c>
      <c r="T2322" s="7" t="str">
        <f>VLOOKUP(A2322,Sheet2!$A$2:$R$3432,17,0)</f>
        <v>ME4JF493HG8251009</v>
      </c>
    </row>
    <row r="2323" ht="15.75" customHeight="1">
      <c r="A2323" s="3" t="s">
        <v>2346</v>
      </c>
      <c r="B2323" s="4" t="str">
        <f>VLOOKUP(A2323,Sheet2!$A$2:$R$3432,2,0)</f>
        <v>2024-09-30 19:06:18</v>
      </c>
      <c r="C2323" s="5" t="s">
        <v>25</v>
      </c>
      <c r="D2323" s="6" t="s">
        <v>25</v>
      </c>
      <c r="E2323" s="7">
        <f>VLOOKUP(A2323,Sheet2!$A$2:$R$3432,4,0)</f>
        <v>9028728906</v>
      </c>
      <c r="F2323" s="7" t="str">
        <f>VLOOKUP(A2323,Sheet2!$A$2:$R$3432,3,0)</f>
        <v>Ninad Thakur </v>
      </c>
      <c r="G2323" s="5" t="s">
        <v>25</v>
      </c>
      <c r="H2323" s="5" t="s">
        <v>25</v>
      </c>
      <c r="I2323" s="5" t="s">
        <v>25</v>
      </c>
      <c r="J2323" s="5" t="s">
        <v>25</v>
      </c>
      <c r="K2323" s="7" t="str">
        <f>VLOOKUP(A2323,Sheet2!$A$2:$R$3432,6,0)</f>
        <v>Bajaj Discover 125</v>
      </c>
      <c r="L2323" s="5" t="s">
        <v>25</v>
      </c>
      <c r="M2323" s="7" t="str">
        <f>VLOOKUP(A2323,Sheet2!$A$2:$R$3432,5,0)</f>
        <v>MH14EW7511</v>
      </c>
      <c r="N2323" s="5" t="s">
        <v>25</v>
      </c>
      <c r="O2323" s="5" t="s">
        <v>25</v>
      </c>
      <c r="P2323" s="6" t="s">
        <v>25</v>
      </c>
      <c r="Q2323" s="5" t="s">
        <v>25</v>
      </c>
      <c r="R2323" s="5" t="s">
        <v>25</v>
      </c>
      <c r="S2323" s="5" t="str">
        <f>VLOOKUP(A2323,Sheet2!$A$2:$R$3432,18,0)</f>
        <v>PAZWFM59144</v>
      </c>
      <c r="T2323" s="7" t="str">
        <f>VLOOKUP(A2323,Sheet2!$A$2:$R$3432,17,0)</f>
        <v>MD2A57BZ0FWM02398</v>
      </c>
    </row>
    <row r="2324" ht="15.75" customHeight="1">
      <c r="A2324" s="3" t="s">
        <v>2347</v>
      </c>
      <c r="B2324" s="4" t="str">
        <f>VLOOKUP(A2324,Sheet2!$A$2:$R$3432,2,0)</f>
        <v>2024-09-30 19:09:09</v>
      </c>
      <c r="C2324" s="5" t="s">
        <v>25</v>
      </c>
      <c r="D2324" s="6" t="s">
        <v>25</v>
      </c>
      <c r="E2324" s="7">
        <f>VLOOKUP(A2324,Sheet2!$A$2:$R$3432,4,0)</f>
        <v>8668363746</v>
      </c>
      <c r="F2324" s="7" t="str">
        <f>VLOOKUP(A2324,Sheet2!$A$2:$R$3432,3,0)</f>
        <v>NILESH</v>
      </c>
      <c r="G2324" s="5" t="s">
        <v>25</v>
      </c>
      <c r="H2324" s="5" t="s">
        <v>25</v>
      </c>
      <c r="I2324" s="5" t="s">
        <v>25</v>
      </c>
      <c r="J2324" s="5" t="s">
        <v>25</v>
      </c>
      <c r="K2324" s="7" t="str">
        <f>VLOOKUP(A2324,Sheet2!$A$2:$R$3432,6,0)</f>
        <v>Honda Dio </v>
      </c>
      <c r="L2324" s="5" t="s">
        <v>25</v>
      </c>
      <c r="M2324" s="7" t="str">
        <f>VLOOKUP(A2324,Sheet2!$A$2:$R$3432,5,0)</f>
        <v>MH12FL2860</v>
      </c>
      <c r="N2324" s="5" t="s">
        <v>25</v>
      </c>
      <c r="O2324" s="5" t="s">
        <v>25</v>
      </c>
      <c r="P2324" s="6" t="s">
        <v>25</v>
      </c>
      <c r="Q2324" s="5" t="s">
        <v>25</v>
      </c>
      <c r="R2324" s="5" t="s">
        <v>25</v>
      </c>
      <c r="S2324" s="7" t="str">
        <f>VLOOKUP(A2324,Sheet2!$A$2:$R$3432,18,0)</f>
        <v/>
      </c>
      <c r="T2324" s="7" t="str">
        <f>VLOOKUP(A2324,Sheet2!$A$2:$R$3432,17,0)</f>
        <v>RUSTY FRAME </v>
      </c>
    </row>
    <row r="2325" ht="15.75" customHeight="1">
      <c r="A2325" s="3" t="s">
        <v>2348</v>
      </c>
      <c r="B2325" s="4" t="str">
        <f>VLOOKUP(A2325,Sheet2!$A$2:$R$3432,2,0)</f>
        <v>2024-09-30 19:32:33</v>
      </c>
      <c r="C2325" s="5" t="s">
        <v>25</v>
      </c>
      <c r="D2325" s="6" t="s">
        <v>25</v>
      </c>
      <c r="E2325" s="7">
        <f>VLOOKUP(A2325,Sheet2!$A$2:$R$3432,4,0)</f>
        <v>7378905978</v>
      </c>
      <c r="F2325" s="7" t="str">
        <f>VLOOKUP(A2325,Sheet2!$A$2:$R$3432,3,0)</f>
        <v>RISHIKESH </v>
      </c>
      <c r="G2325" s="5" t="s">
        <v>25</v>
      </c>
      <c r="H2325" s="5" t="s">
        <v>25</v>
      </c>
      <c r="I2325" s="5" t="s">
        <v>25</v>
      </c>
      <c r="J2325" s="5" t="s">
        <v>25</v>
      </c>
      <c r="K2325" s="7" t="str">
        <f>VLOOKUP(A2325,Sheet2!$A$2:$R$3432,6,0)</f>
        <v>Royal Enfield Himalayan </v>
      </c>
      <c r="L2325" s="5" t="s">
        <v>25</v>
      </c>
      <c r="M2325" s="7" t="str">
        <f>VLOOKUP(A2325,Sheet2!$A$2:$R$3432,5,0)</f>
        <v>MH47BC1789</v>
      </c>
      <c r="N2325" s="5" t="s">
        <v>25</v>
      </c>
      <c r="O2325" s="5" t="s">
        <v>25</v>
      </c>
      <c r="P2325" s="6" t="s">
        <v>25</v>
      </c>
      <c r="Q2325" s="5" t="s">
        <v>25</v>
      </c>
      <c r="R2325" s="5" t="s">
        <v>25</v>
      </c>
      <c r="S2325" s="7" t="str">
        <f>VLOOKUP(A2325,Sheet2!$A$2:$R$3432,18,0)</f>
        <v/>
      </c>
      <c r="T2325" s="7" t="str">
        <f>VLOOKUP(A2325,Sheet2!$A$2:$R$3432,17,0)</f>
        <v/>
      </c>
    </row>
    <row r="2326" ht="15.75" customHeight="1">
      <c r="A2326" s="3" t="s">
        <v>2349</v>
      </c>
      <c r="B2326" s="4" t="str">
        <f>VLOOKUP(A2326,Sheet2!$A$2:$R$3432,2,0)</f>
        <v>2024-09-30 19:31:50</v>
      </c>
      <c r="C2326" s="5" t="s">
        <v>25</v>
      </c>
      <c r="D2326" s="6" t="s">
        <v>25</v>
      </c>
      <c r="E2326" s="7">
        <f>VLOOKUP(A2326,Sheet2!$A$2:$R$3432,4,0)</f>
        <v>9822525596</v>
      </c>
      <c r="F2326" s="7" t="str">
        <f>VLOOKUP(A2326,Sheet2!$A$2:$R$3432,3,0)</f>
        <v>DEEPALI JAWDEKAR</v>
      </c>
      <c r="G2326" s="5" t="s">
        <v>25</v>
      </c>
      <c r="H2326" s="5" t="s">
        <v>25</v>
      </c>
      <c r="I2326" s="5" t="s">
        <v>25</v>
      </c>
      <c r="J2326" s="5" t="s">
        <v>25</v>
      </c>
      <c r="K2326" s="7" t="str">
        <f>VLOOKUP(A2326,Sheet2!$A$2:$R$3432,6,0)</f>
        <v>Hero Pleasure </v>
      </c>
      <c r="L2326" s="5" t="s">
        <v>25</v>
      </c>
      <c r="M2326" s="7" t="str">
        <f>VLOOKUP(A2326,Sheet2!$A$2:$R$3432,5,0)</f>
        <v>MH12GJ4818</v>
      </c>
      <c r="N2326" s="5" t="s">
        <v>25</v>
      </c>
      <c r="O2326" s="5" t="s">
        <v>25</v>
      </c>
      <c r="P2326" s="6" t="s">
        <v>25</v>
      </c>
      <c r="Q2326" s="5" t="s">
        <v>25</v>
      </c>
      <c r="R2326" s="5" t="s">
        <v>25</v>
      </c>
      <c r="S2326" s="7" t="str">
        <f>VLOOKUP(A2326,Sheet2!$A$2:$R$3432,18,0)</f>
        <v/>
      </c>
      <c r="T2326" s="7" t="str">
        <f>VLOOKUP(A2326,Sheet2!$A$2:$R$3432,17,0)</f>
        <v/>
      </c>
    </row>
    <row r="2327" ht="15.75" customHeight="1">
      <c r="A2327" s="3" t="s">
        <v>2350</v>
      </c>
      <c r="B2327" s="4" t="str">
        <f>VLOOKUP(A2327,Sheet2!$A$2:$R$3432,2,0)</f>
        <v>2024-08-23 18:04:48</v>
      </c>
      <c r="C2327" s="5" t="s">
        <v>25</v>
      </c>
      <c r="D2327" s="6" t="s">
        <v>25</v>
      </c>
      <c r="E2327" s="7">
        <f>VLOOKUP(A2327,Sheet2!$A$2:$R$3432,4,0)</f>
        <v>9766828603</v>
      </c>
      <c r="F2327" s="7" t="str">
        <f>VLOOKUP(A2327,Sheet2!$A$2:$R$3432,3,0)</f>
        <v>SAURABH SHARMA</v>
      </c>
      <c r="G2327" s="5" t="s">
        <v>25</v>
      </c>
      <c r="H2327" s="5" t="s">
        <v>25</v>
      </c>
      <c r="I2327" s="5" t="s">
        <v>25</v>
      </c>
      <c r="J2327" s="5" t="s">
        <v>25</v>
      </c>
      <c r="K2327" s="7" t="str">
        <f>VLOOKUP(A2327,Sheet2!$A$2:$R$3432,6,0)</f>
        <v>TVS Jupiter 125</v>
      </c>
      <c r="L2327" s="5" t="s">
        <v>25</v>
      </c>
      <c r="M2327" s="7" t="str">
        <f>VLOOKUP(A2327,Sheet2!$A$2:$R$3432,5,0)</f>
        <v>MH27DD3339</v>
      </c>
      <c r="N2327" s="5" t="s">
        <v>25</v>
      </c>
      <c r="O2327" s="5" t="s">
        <v>25</v>
      </c>
      <c r="P2327" s="6" t="s">
        <v>25</v>
      </c>
      <c r="Q2327" s="5" t="s">
        <v>25</v>
      </c>
      <c r="R2327" s="5" t="s">
        <v>25</v>
      </c>
      <c r="S2327" s="5" t="str">
        <f>VLOOKUP(A2327,Sheet2!$A$2:$R$3432,18,0)</f>
        <v>MK4PM1112871</v>
      </c>
      <c r="T2327" s="7" t="str">
        <f>VLOOKUP(A2327,Sheet2!$A$2:$R$3432,17,0)</f>
        <v>MD626AK4XN1A65416</v>
      </c>
    </row>
    <row r="2328" ht="15.75" customHeight="1">
      <c r="A2328" s="3" t="s">
        <v>2351</v>
      </c>
      <c r="B2328" s="4" t="str">
        <f>VLOOKUP(A2328,Sheet2!$A$2:$R$3432,2,0)</f>
        <v>2024-08-23 18:03:48</v>
      </c>
      <c r="C2328" s="5" t="s">
        <v>25</v>
      </c>
      <c r="D2328" s="6" t="s">
        <v>25</v>
      </c>
      <c r="E2328" s="7">
        <f>VLOOKUP(A2328,Sheet2!$A$2:$R$3432,4,0)</f>
        <v>9665327912</v>
      </c>
      <c r="F2328" s="7" t="str">
        <f>VLOOKUP(A2328,Sheet2!$A$2:$R$3432,3,0)</f>
        <v>ADITYA</v>
      </c>
      <c r="G2328" s="5" t="s">
        <v>25</v>
      </c>
      <c r="H2328" s="5" t="s">
        <v>25</v>
      </c>
      <c r="I2328" s="5" t="s">
        <v>25</v>
      </c>
      <c r="J2328" s="5" t="s">
        <v>25</v>
      </c>
      <c r="K2328" s="7" t="str">
        <f>VLOOKUP(A2328,Sheet2!$A$2:$R$3432,6,0)</f>
        <v>Bajaj Avenger 150 Street</v>
      </c>
      <c r="L2328" s="5" t="s">
        <v>25</v>
      </c>
      <c r="M2328" s="7" t="str">
        <f>VLOOKUP(A2328,Sheet2!$A$2:$R$3432,5,0)</f>
        <v>MH13CH1080</v>
      </c>
      <c r="N2328" s="5" t="s">
        <v>25</v>
      </c>
      <c r="O2328" s="5" t="s">
        <v>25</v>
      </c>
      <c r="P2328" s="6" t="s">
        <v>25</v>
      </c>
      <c r="Q2328" s="5" t="s">
        <v>25</v>
      </c>
      <c r="R2328" s="5" t="s">
        <v>25</v>
      </c>
      <c r="S2328" s="5" t="str">
        <f>VLOOKUP(A2328,Sheet2!$A$2:$R$3432,18,0)</f>
        <v>PD7CW RUSTY </v>
      </c>
      <c r="T2328" s="7" t="str">
        <f>VLOOKUP(A2328,Sheet2!$A$2:$R$3432,17,0)</f>
        <v>MD2A85CZ3GCA88746</v>
      </c>
    </row>
    <row r="2329" ht="15.75" customHeight="1">
      <c r="A2329" s="3" t="s">
        <v>2352</v>
      </c>
      <c r="B2329" s="4" t="str">
        <f>VLOOKUP(A2329,Sheet2!$A$2:$R$3432,2,0)</f>
        <v>2024-08-23 18:01:13</v>
      </c>
      <c r="C2329" s="5" t="s">
        <v>25</v>
      </c>
      <c r="D2329" s="6" t="s">
        <v>25</v>
      </c>
      <c r="E2329" s="7">
        <f>VLOOKUP(A2329,Sheet2!$A$2:$R$3432,4,0)</f>
        <v>7350902618</v>
      </c>
      <c r="F2329" s="7" t="str">
        <f>VLOOKUP(A2329,Sheet2!$A$2:$R$3432,3,0)</f>
        <v>PRATIK SALUNKHE</v>
      </c>
      <c r="G2329" s="5" t="s">
        <v>25</v>
      </c>
      <c r="H2329" s="5" t="s">
        <v>25</v>
      </c>
      <c r="I2329" s="5" t="s">
        <v>25</v>
      </c>
      <c r="J2329" s="5" t="s">
        <v>25</v>
      </c>
      <c r="K2329" s="7" t="str">
        <f>VLOOKUP(A2329,Sheet2!$A$2:$R$3432,6,0)</f>
        <v>Hero Passion Pro</v>
      </c>
      <c r="L2329" s="5" t="s">
        <v>25</v>
      </c>
      <c r="M2329" s="7" t="str">
        <f>VLOOKUP(A2329,Sheet2!$A$2:$R$3432,5,0)</f>
        <v>MH14DD6574</v>
      </c>
      <c r="N2329" s="5" t="s">
        <v>25</v>
      </c>
      <c r="O2329" s="5" t="s">
        <v>25</v>
      </c>
      <c r="P2329" s="6" t="s">
        <v>25</v>
      </c>
      <c r="Q2329" s="5" t="s">
        <v>25</v>
      </c>
      <c r="R2329" s="5" t="s">
        <v>25</v>
      </c>
      <c r="S2329" s="5" t="str">
        <f>VLOOKUP(A2329,Sheet2!$A$2:$R$3432,18,0)</f>
        <v>HA10EDBGM54004</v>
      </c>
      <c r="T2329" s="7" t="str">
        <f>VLOOKUP(A2329,Sheet2!$A$2:$R$3432,17,0)</f>
        <v>MBLHA10EWBGM22283</v>
      </c>
    </row>
    <row r="2330" ht="15.75" customHeight="1">
      <c r="A2330" s="3" t="s">
        <v>2353</v>
      </c>
      <c r="B2330" s="4" t="str">
        <f>VLOOKUP(A2330,Sheet2!$A$2:$R$3432,2,0)</f>
        <v>2024-08-23 18:48:07</v>
      </c>
      <c r="C2330" s="5" t="s">
        <v>25</v>
      </c>
      <c r="D2330" s="6" t="s">
        <v>25</v>
      </c>
      <c r="E2330" s="7">
        <f>VLOOKUP(A2330,Sheet2!$A$2:$R$3432,4,0)</f>
        <v>9890055658</v>
      </c>
      <c r="F2330" s="7" t="str">
        <f>VLOOKUP(A2330,Sheet2!$A$2:$R$3432,3,0)</f>
        <v>RAMESH SWAMI</v>
      </c>
      <c r="G2330" s="5" t="s">
        <v>25</v>
      </c>
      <c r="H2330" s="5" t="s">
        <v>25</v>
      </c>
      <c r="I2330" s="5" t="s">
        <v>25</v>
      </c>
      <c r="J2330" s="5" t="s">
        <v>25</v>
      </c>
      <c r="K2330" s="7" t="str">
        <f>VLOOKUP(A2330,Sheet2!$A$2:$R$3432,6,0)</f>
        <v>Suzuki Gixxer SF</v>
      </c>
      <c r="L2330" s="5" t="s">
        <v>25</v>
      </c>
      <c r="M2330" s="7" t="str">
        <f>VLOOKUP(A2330,Sheet2!$A$2:$R$3432,5,0)</f>
        <v>MH14GT7418</v>
      </c>
      <c r="N2330" s="5" t="s">
        <v>25</v>
      </c>
      <c r="O2330" s="5" t="s">
        <v>25</v>
      </c>
      <c r="P2330" s="6" t="s">
        <v>25</v>
      </c>
      <c r="Q2330" s="5" t="s">
        <v>25</v>
      </c>
      <c r="R2330" s="5" t="s">
        <v>25</v>
      </c>
      <c r="S2330" s="5" t="str">
        <f>VLOOKUP(A2330,Sheet2!$A$2:$R$3432,18,0)</f>
        <v>BGA1450317</v>
      </c>
      <c r="T2330" s="7" t="str">
        <f>VLOOKUP(A2330,Sheet2!$A$2:$R$3432,17,0)</f>
        <v>MB8NG4BJKH832</v>
      </c>
    </row>
    <row r="2331" ht="15.75" customHeight="1">
      <c r="A2331" s="3" t="s">
        <v>2354</v>
      </c>
      <c r="B2331" s="4" t="str">
        <f>VLOOKUP(A2331,Sheet2!$A$2:$R$3432,2,0)</f>
        <v>2024-08-23 18:07:44</v>
      </c>
      <c r="C2331" s="5" t="s">
        <v>25</v>
      </c>
      <c r="D2331" s="6" t="s">
        <v>25</v>
      </c>
      <c r="E2331" s="7">
        <f>VLOOKUP(A2331,Sheet2!$A$2:$R$3432,4,0)</f>
        <v>8788386194</v>
      </c>
      <c r="F2331" s="7" t="str">
        <f>VLOOKUP(A2331,Sheet2!$A$2:$R$3432,3,0)</f>
        <v>Archana Shingare</v>
      </c>
      <c r="G2331" s="5" t="s">
        <v>25</v>
      </c>
      <c r="H2331" s="5" t="s">
        <v>25</v>
      </c>
      <c r="I2331" s="5" t="s">
        <v>25</v>
      </c>
      <c r="J2331" s="5" t="s">
        <v>25</v>
      </c>
      <c r="K2331" s="7" t="str">
        <f>VLOOKUP(A2331,Sheet2!$A$2:$R$3432,6,0)</f>
        <v>TVS Scooty PEP Plus</v>
      </c>
      <c r="L2331" s="5" t="s">
        <v>25</v>
      </c>
      <c r="M2331" s="7" t="str">
        <f>VLOOKUP(A2331,Sheet2!$A$2:$R$3432,5,0)</f>
        <v>MH14GV7627</v>
      </c>
      <c r="N2331" s="5" t="s">
        <v>25</v>
      </c>
      <c r="O2331" s="5" t="s">
        <v>25</v>
      </c>
      <c r="P2331" s="6" t="s">
        <v>25</v>
      </c>
      <c r="Q2331" s="5" t="s">
        <v>25</v>
      </c>
      <c r="R2331" s="5" t="s">
        <v>25</v>
      </c>
      <c r="S2331" s="5" t="str">
        <f>VLOOKUP(A2331,Sheet2!$A$2:$R$3432,18,0)</f>
        <v>AG3AJ2937060</v>
      </c>
      <c r="T2331" s="7" t="str">
        <f>VLOOKUP(A2331,Sheet2!$A$2:$R$3432,17,0)</f>
        <v>MD626FG38J2AG0938</v>
      </c>
    </row>
    <row r="2332" ht="15.75" customHeight="1">
      <c r="A2332" s="3" t="s">
        <v>2355</v>
      </c>
      <c r="B2332" s="4" t="str">
        <f>VLOOKUP(A2332,Sheet2!$A$2:$R$3432,2,0)</f>
        <v>2024-08-23 18:46:31</v>
      </c>
      <c r="C2332" s="5" t="s">
        <v>25</v>
      </c>
      <c r="D2332" s="6" t="s">
        <v>25</v>
      </c>
      <c r="E2332" s="7">
        <f>VLOOKUP(A2332,Sheet2!$A$2:$R$3432,4,0)</f>
        <v>9039823932</v>
      </c>
      <c r="F2332" s="7" t="str">
        <f>VLOOKUP(A2332,Sheet2!$A$2:$R$3432,3,0)</f>
        <v>Amitesh</v>
      </c>
      <c r="G2332" s="5" t="s">
        <v>25</v>
      </c>
      <c r="H2332" s="5" t="s">
        <v>25</v>
      </c>
      <c r="I2332" s="5" t="s">
        <v>25</v>
      </c>
      <c r="J2332" s="5" t="s">
        <v>25</v>
      </c>
      <c r="K2332" s="7" t="str">
        <f>VLOOKUP(A2332,Sheet2!$A$2:$R$3432,6,0)</f>
        <v>Suzuki Swish 125</v>
      </c>
      <c r="L2332" s="5" t="s">
        <v>25</v>
      </c>
      <c r="M2332" s="7" t="str">
        <f>VLOOKUP(A2332,Sheet2!$A$2:$R$3432,5,0)</f>
        <v>MP40MG7042</v>
      </c>
      <c r="N2332" s="5" t="s">
        <v>25</v>
      </c>
      <c r="O2332" s="5" t="s">
        <v>25</v>
      </c>
      <c r="P2332" s="6" t="s">
        <v>25</v>
      </c>
      <c r="Q2332" s="5" t="s">
        <v>25</v>
      </c>
      <c r="R2332" s="5" t="s">
        <v>25</v>
      </c>
      <c r="S2332" s="5" t="str">
        <f>VLOOKUP(A2332,Sheet2!$A$2:$R$3432,18,0)</f>
        <v>F4862113253</v>
      </c>
      <c r="T2332" s="7" t="str">
        <f>VLOOKUP(A2332,Sheet2!$A$2:$R$3432,17,0)</f>
        <v>MB8CF4CBJC814703</v>
      </c>
    </row>
    <row r="2333" ht="15.75" customHeight="1">
      <c r="A2333" s="3" t="s">
        <v>2356</v>
      </c>
      <c r="B2333" s="4" t="str">
        <f>VLOOKUP(A2333,Sheet2!$A$2:$R$3432,2,0)</f>
        <v>2024-08-23 18:49:23</v>
      </c>
      <c r="C2333" s="5" t="s">
        <v>25</v>
      </c>
      <c r="D2333" s="6" t="s">
        <v>25</v>
      </c>
      <c r="E2333" s="7">
        <f>VLOOKUP(A2333,Sheet2!$A$2:$R$3432,4,0)</f>
        <v>9325975717</v>
      </c>
      <c r="F2333" s="7" t="str">
        <f>VLOOKUP(A2333,Sheet2!$A$2:$R$3432,3,0)</f>
        <v>Swapnil Mahajan</v>
      </c>
      <c r="G2333" s="5" t="s">
        <v>25</v>
      </c>
      <c r="H2333" s="5" t="s">
        <v>25</v>
      </c>
      <c r="I2333" s="5" t="s">
        <v>25</v>
      </c>
      <c r="J2333" s="5" t="s">
        <v>25</v>
      </c>
      <c r="K2333" s="7" t="str">
        <f>VLOOKUP(A2333,Sheet2!$A$2:$R$3432,6,0)</f>
        <v>Honda Activa 5G</v>
      </c>
      <c r="L2333" s="5" t="s">
        <v>25</v>
      </c>
      <c r="M2333" s="7" t="str">
        <f>VLOOKUP(A2333,Sheet2!$A$2:$R$3432,5,0)</f>
        <v>MH12SR5417</v>
      </c>
      <c r="N2333" s="5" t="s">
        <v>25</v>
      </c>
      <c r="O2333" s="5" t="s">
        <v>25</v>
      </c>
      <c r="P2333" s="6" t="s">
        <v>25</v>
      </c>
      <c r="Q2333" s="5" t="s">
        <v>25</v>
      </c>
      <c r="R2333" s="5" t="s">
        <v>25</v>
      </c>
      <c r="S2333" s="5" t="str">
        <f>VLOOKUP(A2333,Sheet2!$A$2:$R$3432,18,0)</f>
        <v>JF50EW1095276</v>
      </c>
      <c r="T2333" s="7" t="str">
        <f>VLOOKUP(A2333,Sheet2!$A$2:$R$3432,17,0)</f>
        <v>ME4JF50KKW095258</v>
      </c>
    </row>
    <row r="2334" ht="15.75" customHeight="1">
      <c r="A2334" s="3" t="s">
        <v>2357</v>
      </c>
      <c r="B2334" s="4" t="str">
        <f>VLOOKUP(A2334,Sheet2!$A$2:$R$3432,2,0)</f>
        <v>2024-08-23 19:14:28</v>
      </c>
      <c r="C2334" s="5" t="s">
        <v>25</v>
      </c>
      <c r="D2334" s="6" t="s">
        <v>25</v>
      </c>
      <c r="E2334" s="7">
        <f>VLOOKUP(A2334,Sheet2!$A$2:$R$3432,4,0)</f>
        <v>8087089347</v>
      </c>
      <c r="F2334" s="7" t="str">
        <f>VLOOKUP(A2334,Sheet2!$A$2:$R$3432,3,0)</f>
        <v>Vijay Katke</v>
      </c>
      <c r="G2334" s="5" t="s">
        <v>25</v>
      </c>
      <c r="H2334" s="5" t="s">
        <v>25</v>
      </c>
      <c r="I2334" s="5" t="s">
        <v>25</v>
      </c>
      <c r="J2334" s="5" t="s">
        <v>25</v>
      </c>
      <c r="K2334" s="7" t="str">
        <f>VLOOKUP(A2334,Sheet2!$A$2:$R$3432,6,0)</f>
        <v>TVS Jupiter </v>
      </c>
      <c r="L2334" s="5" t="s">
        <v>25</v>
      </c>
      <c r="M2334" s="7" t="str">
        <f>VLOOKUP(A2334,Sheet2!$A$2:$R$3432,5,0)</f>
        <v>MH12QP7033</v>
      </c>
      <c r="N2334" s="5" t="s">
        <v>25</v>
      </c>
      <c r="O2334" s="5" t="s">
        <v>25</v>
      </c>
      <c r="P2334" s="6" t="s">
        <v>25</v>
      </c>
      <c r="Q2334" s="5" t="s">
        <v>25</v>
      </c>
      <c r="R2334" s="5" t="s">
        <v>25</v>
      </c>
      <c r="S2334" s="5" t="str">
        <f>VLOOKUP(A2334,Sheet2!$A$2:$R$3432,18,0)</f>
        <v>EG4EJ11683247</v>
      </c>
      <c r="T2334" s="7" t="str">
        <f>VLOOKUP(A2334,Sheet2!$A$2:$R$3432,17,0)</f>
        <v>MD626EG401E16800</v>
      </c>
    </row>
    <row r="2335" ht="15.75" customHeight="1">
      <c r="A2335" s="3" t="s">
        <v>2358</v>
      </c>
      <c r="B2335" s="4" t="str">
        <f>VLOOKUP(A2335,Sheet2!$A$2:$R$3432,2,0)</f>
        <v>2024-08-23 18:50:48</v>
      </c>
      <c r="C2335" s="5" t="s">
        <v>25</v>
      </c>
      <c r="D2335" s="6" t="s">
        <v>25</v>
      </c>
      <c r="E2335" s="7">
        <f>VLOOKUP(A2335,Sheet2!$A$2:$R$3432,4,0)</f>
        <v>9028884749</v>
      </c>
      <c r="F2335" s="7" t="str">
        <f>VLOOKUP(A2335,Sheet2!$A$2:$R$3432,3,0)</f>
        <v>Bhawarlal</v>
      </c>
      <c r="G2335" s="5" t="s">
        <v>25</v>
      </c>
      <c r="H2335" s="5" t="s">
        <v>25</v>
      </c>
      <c r="I2335" s="5" t="s">
        <v>25</v>
      </c>
      <c r="J2335" s="5" t="s">
        <v>25</v>
      </c>
      <c r="K2335" s="7" t="str">
        <f>VLOOKUP(A2335,Sheet2!$A$2:$R$3432,6,0)</f>
        <v>Hero Splendor Plus</v>
      </c>
      <c r="L2335" s="5" t="s">
        <v>25</v>
      </c>
      <c r="M2335" s="7" t="str">
        <f>VLOOKUP(A2335,Sheet2!$A$2:$R$3432,5,0)</f>
        <v>MH12GL4188</v>
      </c>
      <c r="N2335" s="5" t="s">
        <v>25</v>
      </c>
      <c r="O2335" s="5" t="s">
        <v>25</v>
      </c>
      <c r="P2335" s="6" t="s">
        <v>25</v>
      </c>
      <c r="Q2335" s="5" t="s">
        <v>25</v>
      </c>
      <c r="R2335" s="5" t="s">
        <v>25</v>
      </c>
      <c r="S2335" s="5" t="str">
        <f>VLOOKUP(A2335,Sheet2!$A$2:$R$3432,18,0)</f>
        <v>HA10EFAHK57930</v>
      </c>
      <c r="T2335" s="7" t="str">
        <f>VLOOKUP(A2335,Sheet2!$A$2:$R$3432,17,0)</f>
        <v>MBLHA10EYAHK12493</v>
      </c>
    </row>
    <row r="2336" ht="15.75" customHeight="1">
      <c r="A2336" s="3" t="s">
        <v>2359</v>
      </c>
      <c r="B2336" s="4" t="str">
        <f>VLOOKUP(A2336,Sheet2!$A$2:$R$3432,2,0)</f>
        <v>2024-08-23 19:13:08</v>
      </c>
      <c r="C2336" s="5" t="s">
        <v>25</v>
      </c>
      <c r="D2336" s="6" t="s">
        <v>25</v>
      </c>
      <c r="E2336" s="7">
        <f>VLOOKUP(A2336,Sheet2!$A$2:$R$3432,4,0)</f>
        <v>9545629646</v>
      </c>
      <c r="F2336" s="7" t="str">
        <f>VLOOKUP(A2336,Sheet2!$A$2:$R$3432,3,0)</f>
        <v>Aakash KIRTANE</v>
      </c>
      <c r="G2336" s="5" t="s">
        <v>25</v>
      </c>
      <c r="H2336" s="5" t="s">
        <v>25</v>
      </c>
      <c r="I2336" s="5" t="s">
        <v>25</v>
      </c>
      <c r="J2336" s="5" t="s">
        <v>25</v>
      </c>
      <c r="K2336" s="7" t="str">
        <f>VLOOKUP(A2336,Sheet2!$A$2:$R$3432,6,0)</f>
        <v>TVS Apache RTR 160</v>
      </c>
      <c r="L2336" s="5" t="s">
        <v>25</v>
      </c>
      <c r="M2336" s="7" t="str">
        <f>VLOOKUP(A2336,Sheet2!$A$2:$R$3432,5,0)</f>
        <v>MH14FH8448</v>
      </c>
      <c r="N2336" s="5" t="s">
        <v>25</v>
      </c>
      <c r="O2336" s="5" t="s">
        <v>25</v>
      </c>
      <c r="P2336" s="6" t="s">
        <v>25</v>
      </c>
      <c r="Q2336" s="5" t="s">
        <v>25</v>
      </c>
      <c r="R2336" s="5" t="s">
        <v>25</v>
      </c>
      <c r="S2336" s="5" t="str">
        <f>VLOOKUP(A2336,Sheet2!$A$2:$R$3432,18,0)</f>
        <v>OE6GF2149521</v>
      </c>
      <c r="T2336" s="7" t="str">
        <f>VLOOKUP(A2336,Sheet2!$A$2:$R$3432,17,0)</f>
        <v>MD634KE67F2644422</v>
      </c>
    </row>
    <row r="2337" ht="15.75" customHeight="1">
      <c r="A2337" s="3" t="s">
        <v>2360</v>
      </c>
      <c r="B2337" s="4" t="str">
        <f>VLOOKUP(A2337,Sheet2!$A$2:$R$3432,2,0)</f>
        <v>2024-08-23 18:02:07</v>
      </c>
      <c r="C2337" s="5" t="s">
        <v>25</v>
      </c>
      <c r="D2337" s="6" t="s">
        <v>25</v>
      </c>
      <c r="E2337" s="7">
        <f>VLOOKUP(A2337,Sheet2!$A$2:$R$3432,4,0)</f>
        <v>9503330709</v>
      </c>
      <c r="F2337" s="7" t="str">
        <f>VLOOKUP(A2337,Sheet2!$A$2:$R$3432,3,0)</f>
        <v>GAURAV PATEL</v>
      </c>
      <c r="G2337" s="5" t="s">
        <v>25</v>
      </c>
      <c r="H2337" s="5" t="s">
        <v>25</v>
      </c>
      <c r="I2337" s="5" t="s">
        <v>25</v>
      </c>
      <c r="J2337" s="5" t="s">
        <v>25</v>
      </c>
      <c r="K2337" s="7" t="str">
        <f>VLOOKUP(A2337,Sheet2!$A$2:$R$3432,6,0)</f>
        <v>Honda Activa 110</v>
      </c>
      <c r="L2337" s="5" t="s">
        <v>25</v>
      </c>
      <c r="M2337" s="7" t="str">
        <f>VLOOKUP(A2337,Sheet2!$A$2:$R$3432,5,0)</f>
        <v>MH12HE5648</v>
      </c>
      <c r="N2337" s="5" t="s">
        <v>25</v>
      </c>
      <c r="O2337" s="5" t="s">
        <v>25</v>
      </c>
      <c r="P2337" s="6" t="s">
        <v>25</v>
      </c>
      <c r="Q2337" s="5" t="s">
        <v>25</v>
      </c>
      <c r="R2337" s="5" t="s">
        <v>25</v>
      </c>
      <c r="S2337" s="5" t="str">
        <f>VLOOKUP(A2337,Sheet2!$A$2:$R$3432,18,0)</f>
        <v>JC44ET445351</v>
      </c>
      <c r="T2337" s="7" t="str">
        <f>VLOOKUP(A2337,Sheet2!$A$2:$R$3432,17,0)</f>
        <v>RUSTY FRAME </v>
      </c>
    </row>
    <row r="2338" ht="15.75" customHeight="1">
      <c r="A2338" s="3" t="s">
        <v>2361</v>
      </c>
      <c r="B2338" s="4" t="str">
        <f>VLOOKUP(A2338,Sheet2!$A$2:$R$3432,2,0)</f>
        <v>2024-08-23 18:06:27</v>
      </c>
      <c r="C2338" s="5" t="s">
        <v>25</v>
      </c>
      <c r="D2338" s="6" t="s">
        <v>25</v>
      </c>
      <c r="E2338" s="7">
        <f>VLOOKUP(A2338,Sheet2!$A$2:$R$3432,4,0)</f>
        <v>9890064441</v>
      </c>
      <c r="F2338" s="7" t="str">
        <f>VLOOKUP(A2338,Sheet2!$A$2:$R$3432,3,0)</f>
        <v>PRAKASH</v>
      </c>
      <c r="G2338" s="5" t="s">
        <v>25</v>
      </c>
      <c r="H2338" s="5" t="s">
        <v>25</v>
      </c>
      <c r="I2338" s="5" t="s">
        <v>25</v>
      </c>
      <c r="J2338" s="5" t="s">
        <v>25</v>
      </c>
      <c r="K2338" s="7" t="str">
        <f>VLOOKUP(A2338,Sheet2!$A$2:$R$3432,6,0)</f>
        <v>Honda Unicorn 150</v>
      </c>
      <c r="L2338" s="5" t="s">
        <v>25</v>
      </c>
      <c r="M2338" s="7" t="str">
        <f>VLOOKUP(A2338,Sheet2!$A$2:$R$3432,5,0)</f>
        <v>MH12FX5223</v>
      </c>
      <c r="N2338" s="5" t="s">
        <v>25</v>
      </c>
      <c r="O2338" s="5" t="s">
        <v>25</v>
      </c>
      <c r="P2338" s="6" t="s">
        <v>25</v>
      </c>
      <c r="Q2338" s="5" t="s">
        <v>25</v>
      </c>
      <c r="R2338" s="5" t="s">
        <v>25</v>
      </c>
      <c r="S2338" s="5" t="str">
        <f>VLOOKUP(A2338,Sheet2!$A$2:$R$3432,18,0)</f>
        <v>KC09EH1138883</v>
      </c>
      <c r="T2338" s="7" t="str">
        <f>VLOOKUP(A2338,Sheet2!$A$2:$R$3432,17,0)</f>
        <v>MB4KC093CA8137648</v>
      </c>
    </row>
    <row r="2339" ht="15.75" customHeight="1">
      <c r="A2339" s="3" t="s">
        <v>2362</v>
      </c>
      <c r="B2339" s="4" t="str">
        <f>VLOOKUP(A2339,Sheet2!$A$2:$R$3432,2,0)</f>
        <v>2024-08-23 19:11:27</v>
      </c>
      <c r="C2339" s="5" t="s">
        <v>25</v>
      </c>
      <c r="D2339" s="6" t="s">
        <v>25</v>
      </c>
      <c r="E2339" s="7">
        <f>VLOOKUP(A2339,Sheet2!$A$2:$R$3432,4,0)</f>
        <v>9881443120</v>
      </c>
      <c r="F2339" s="7" t="str">
        <f>VLOOKUP(A2339,Sheet2!$A$2:$R$3432,3,0)</f>
        <v>Aditya Patki</v>
      </c>
      <c r="G2339" s="5" t="s">
        <v>25</v>
      </c>
      <c r="H2339" s="5" t="s">
        <v>25</v>
      </c>
      <c r="I2339" s="5" t="s">
        <v>25</v>
      </c>
      <c r="J2339" s="5" t="s">
        <v>25</v>
      </c>
      <c r="K2339" s="7" t="str">
        <f>VLOOKUP(A2339,Sheet2!$A$2:$R$3432,6,0)</f>
        <v>Honda Shine </v>
      </c>
      <c r="L2339" s="5" t="s">
        <v>25</v>
      </c>
      <c r="M2339" s="7" t="str">
        <f>VLOOKUP(A2339,Sheet2!$A$2:$R$3432,5,0)</f>
        <v>MH14DQ5504</v>
      </c>
      <c r="N2339" s="5" t="s">
        <v>25</v>
      </c>
      <c r="O2339" s="5" t="s">
        <v>25</v>
      </c>
      <c r="P2339" s="6" t="s">
        <v>25</v>
      </c>
      <c r="Q2339" s="5" t="s">
        <v>25</v>
      </c>
      <c r="R2339" s="5" t="s">
        <v>25</v>
      </c>
      <c r="S2339" s="5" t="str">
        <f>VLOOKUP(A2339,Sheet2!$A$2:$R$3432,18,0)</f>
        <v>JC36E7240941</v>
      </c>
      <c r="T2339" s="7" t="str">
        <f>VLOOKUP(A2339,Sheet2!$A$2:$R$3432,17,0)</f>
        <v>ME4JC36KJC7081710</v>
      </c>
    </row>
    <row r="2340" ht="15.75" customHeight="1">
      <c r="A2340" s="3" t="s">
        <v>2363</v>
      </c>
      <c r="B2340" s="4" t="str">
        <f>VLOOKUP(A2340,Sheet2!$A$2:$R$3432,2,0)</f>
        <v>2024-08-23 19:08:42</v>
      </c>
      <c r="C2340" s="5" t="s">
        <v>25</v>
      </c>
      <c r="D2340" s="6" t="s">
        <v>25</v>
      </c>
      <c r="E2340" s="7">
        <f>VLOOKUP(A2340,Sheet2!$A$2:$R$3432,4,0)</f>
        <v>8275075777</v>
      </c>
      <c r="F2340" s="7" t="str">
        <f>VLOOKUP(A2340,Sheet2!$A$2:$R$3432,3,0)</f>
        <v>Suvarna Chavan</v>
      </c>
      <c r="G2340" s="5" t="s">
        <v>25</v>
      </c>
      <c r="H2340" s="5" t="s">
        <v>25</v>
      </c>
      <c r="I2340" s="5" t="s">
        <v>25</v>
      </c>
      <c r="J2340" s="5" t="s">
        <v>25</v>
      </c>
      <c r="K2340" s="7" t="str">
        <f>VLOOKUP(A2340,Sheet2!$A$2:$R$3432,6,0)</f>
        <v>TVS Wego Basic</v>
      </c>
      <c r="L2340" s="5" t="s">
        <v>25</v>
      </c>
      <c r="M2340" s="7" t="str">
        <f>VLOOKUP(A2340,Sheet2!$A$2:$R$3432,5,0)</f>
        <v>MH14DD366</v>
      </c>
      <c r="N2340" s="5" t="s">
        <v>25</v>
      </c>
      <c r="O2340" s="5" t="s">
        <v>25</v>
      </c>
      <c r="P2340" s="6" t="s">
        <v>25</v>
      </c>
      <c r="Q2340" s="5" t="s">
        <v>25</v>
      </c>
      <c r="R2340" s="5" t="s">
        <v>25</v>
      </c>
      <c r="S2340" s="5" t="str">
        <f>VLOOKUP(A2340,Sheet2!$A$2:$R$3432,18,0)</f>
        <v>OG4NB1267732</v>
      </c>
      <c r="T2340" s="7" t="str">
        <f>VLOOKUP(A2340,Sheet2!$A$2:$R$3432,17,0)</f>
        <v>MD626AG49B1N74012</v>
      </c>
    </row>
    <row r="2341" ht="15.75" customHeight="1">
      <c r="A2341" s="3" t="s">
        <v>2364</v>
      </c>
      <c r="B2341" s="4" t="str">
        <f>VLOOKUP(A2341,Sheet2!$A$2:$R$3432,2,0)</f>
        <v>2024-08-24 19:31:56</v>
      </c>
      <c r="C2341" s="5" t="s">
        <v>25</v>
      </c>
      <c r="D2341" s="6" t="s">
        <v>25</v>
      </c>
      <c r="E2341" s="7">
        <f>VLOOKUP(A2341,Sheet2!$A$2:$R$3432,4,0)</f>
        <v>8269655484</v>
      </c>
      <c r="F2341" s="7" t="str">
        <f>VLOOKUP(A2341,Sheet2!$A$2:$R$3432,3,0)</f>
        <v>RAJIV JAIN </v>
      </c>
      <c r="G2341" s="5" t="s">
        <v>25</v>
      </c>
      <c r="H2341" s="5" t="s">
        <v>25</v>
      </c>
      <c r="I2341" s="5" t="s">
        <v>25</v>
      </c>
      <c r="J2341" s="5" t="s">
        <v>25</v>
      </c>
      <c r="K2341" s="7" t="str">
        <f>VLOOKUP(A2341,Sheet2!$A$2:$R$3432,6,0)</f>
        <v>TVS Jupiter </v>
      </c>
      <c r="L2341" s="5" t="s">
        <v>25</v>
      </c>
      <c r="M2341" s="7" t="str">
        <f>VLOOKUP(A2341,Sheet2!$A$2:$R$3432,5,0)</f>
        <v>MH14GP1659</v>
      </c>
      <c r="N2341" s="5" t="s">
        <v>25</v>
      </c>
      <c r="O2341" s="5" t="s">
        <v>25</v>
      </c>
      <c r="P2341" s="6" t="s">
        <v>25</v>
      </c>
      <c r="Q2341" s="5" t="s">
        <v>25</v>
      </c>
      <c r="R2341" s="5" t="s">
        <v>25</v>
      </c>
      <c r="S2341" s="5" t="str">
        <f>VLOOKUP(A2341,Sheet2!$A$2:$R$3432,18,0)</f>
        <v>EG411H2418921</v>
      </c>
      <c r="T2341" s="7" t="str">
        <f>VLOOKUP(A2341,Sheet2!$A$2:$R$3432,17,0)</f>
        <v>MD626EG4XH3H60343</v>
      </c>
    </row>
    <row r="2342" ht="15.75" customHeight="1">
      <c r="A2342" s="3" t="s">
        <v>2365</v>
      </c>
      <c r="B2342" s="4" t="str">
        <f>VLOOKUP(A2342,Sheet2!$A$2:$R$3432,2,0)</f>
        <v>2024-08-24 19:31:05</v>
      </c>
      <c r="C2342" s="5" t="s">
        <v>25</v>
      </c>
      <c r="D2342" s="6" t="s">
        <v>25</v>
      </c>
      <c r="E2342" s="7">
        <f>VLOOKUP(A2342,Sheet2!$A$2:$R$3432,4,0)</f>
        <v>8412892212</v>
      </c>
      <c r="F2342" s="7" t="str">
        <f>VLOOKUP(A2342,Sheet2!$A$2:$R$3432,3,0)</f>
        <v>Rohan</v>
      </c>
      <c r="G2342" s="5" t="s">
        <v>25</v>
      </c>
      <c r="H2342" s="5" t="s">
        <v>25</v>
      </c>
      <c r="I2342" s="5" t="s">
        <v>25</v>
      </c>
      <c r="J2342" s="5" t="s">
        <v>25</v>
      </c>
      <c r="K2342" s="7" t="str">
        <f>VLOOKUP(A2342,Sheet2!$A$2:$R$3432,6,0)</f>
        <v>Honda Activa 6G</v>
      </c>
      <c r="L2342" s="5" t="s">
        <v>25</v>
      </c>
      <c r="M2342" s="7" t="str">
        <f>VLOOKUP(A2342,Sheet2!$A$2:$R$3432,5,0)</f>
        <v>MH09FX5933</v>
      </c>
      <c r="N2342" s="5" t="s">
        <v>25</v>
      </c>
      <c r="O2342" s="5" t="s">
        <v>25</v>
      </c>
      <c r="P2342" s="6" t="s">
        <v>25</v>
      </c>
      <c r="Q2342" s="5" t="s">
        <v>25</v>
      </c>
      <c r="R2342" s="5" t="s">
        <v>25</v>
      </c>
      <c r="S2342" s="5" t="str">
        <f>VLOOKUP(A2342,Sheet2!$A$2:$R$3432,18,0)</f>
        <v>JF91ED0182325</v>
      </c>
      <c r="T2342" s="7" t="str">
        <f>VLOOKUP(A2342,Sheet2!$A$2:$R$3432,17,0)</f>
        <v>ME4JF3JM0183319</v>
      </c>
    </row>
    <row r="2343" ht="15.75" customHeight="1">
      <c r="A2343" s="3" t="s">
        <v>2366</v>
      </c>
      <c r="B2343" s="4" t="str">
        <f>VLOOKUP(A2343,Sheet2!$A$2:$R$3432,2,0)</f>
        <v>2024-08-24 19:00:27</v>
      </c>
      <c r="C2343" s="5" t="s">
        <v>25</v>
      </c>
      <c r="D2343" s="6" t="s">
        <v>25</v>
      </c>
      <c r="E2343" s="7">
        <f>VLOOKUP(A2343,Sheet2!$A$2:$R$3432,4,0)</f>
        <v>8793533111</v>
      </c>
      <c r="F2343" s="7" t="str">
        <f>VLOOKUP(A2343,Sheet2!$A$2:$R$3432,3,0)</f>
        <v>SHARDUL VIBHUTE </v>
      </c>
      <c r="G2343" s="5" t="s">
        <v>25</v>
      </c>
      <c r="H2343" s="5" t="s">
        <v>25</v>
      </c>
      <c r="I2343" s="5" t="s">
        <v>25</v>
      </c>
      <c r="J2343" s="5" t="s">
        <v>25</v>
      </c>
      <c r="K2343" s="7" t="str">
        <f>VLOOKUP(A2343,Sheet2!$A$2:$R$3432,6,0)</f>
        <v>Suzuki Access 125</v>
      </c>
      <c r="L2343" s="5" t="s">
        <v>25</v>
      </c>
      <c r="M2343" s="7" t="str">
        <f>VLOOKUP(A2343,Sheet2!$A$2:$R$3432,5,0)</f>
        <v>MH09EW1481</v>
      </c>
      <c r="N2343" s="5" t="s">
        <v>25</v>
      </c>
      <c r="O2343" s="5" t="s">
        <v>25</v>
      </c>
      <c r="P2343" s="6" t="s">
        <v>25</v>
      </c>
      <c r="Q2343" s="5" t="s">
        <v>25</v>
      </c>
      <c r="R2343" s="5" t="s">
        <v>25</v>
      </c>
      <c r="S2343" s="7" t="str">
        <f>VLOOKUP(A2343,Sheet2!$A$2:$R$3432,18,0)</f>
        <v/>
      </c>
      <c r="T2343" s="7" t="str">
        <f>VLOOKUP(A2343,Sheet2!$A$2:$R$3432,17,0)</f>
        <v/>
      </c>
    </row>
    <row r="2344" ht="15.75" customHeight="1">
      <c r="A2344" s="3" t="s">
        <v>2367</v>
      </c>
      <c r="B2344" s="4" t="str">
        <f>VLOOKUP(A2344,Sheet2!$A$2:$R$3432,2,0)</f>
        <v>2024-08-24 19:28:01</v>
      </c>
      <c r="C2344" s="5" t="s">
        <v>25</v>
      </c>
      <c r="D2344" s="6" t="s">
        <v>25</v>
      </c>
      <c r="E2344" s="7">
        <f>VLOOKUP(A2344,Sheet2!$A$2:$R$3432,4,0)</f>
        <v>8554893975</v>
      </c>
      <c r="F2344" s="7" t="str">
        <f>VLOOKUP(A2344,Sheet2!$A$2:$R$3432,3,0)</f>
        <v>Bhavesh</v>
      </c>
      <c r="G2344" s="5" t="s">
        <v>25</v>
      </c>
      <c r="H2344" s="5" t="s">
        <v>25</v>
      </c>
      <c r="I2344" s="5" t="s">
        <v>25</v>
      </c>
      <c r="J2344" s="5" t="s">
        <v>25</v>
      </c>
      <c r="K2344" s="7" t="str">
        <f>VLOOKUP(A2344,Sheet2!$A$2:$R$3432,6,0)</f>
        <v>Royal Enfield ThunderBird 350</v>
      </c>
      <c r="L2344" s="5" t="s">
        <v>25</v>
      </c>
      <c r="M2344" s="7" t="str">
        <f>VLOOKUP(A2344,Sheet2!$A$2:$R$3432,5,0)</f>
        <v>MH05CR7914</v>
      </c>
      <c r="N2344" s="5" t="s">
        <v>25</v>
      </c>
      <c r="O2344" s="5" t="s">
        <v>25</v>
      </c>
      <c r="P2344" s="6" t="s">
        <v>25</v>
      </c>
      <c r="Q2344" s="5" t="s">
        <v>25</v>
      </c>
      <c r="R2344" s="5" t="s">
        <v>25</v>
      </c>
      <c r="S2344" s="7" t="str">
        <f>VLOOKUP(A2344,Sheet2!$A$2:$R$3432,18,0)</f>
        <v/>
      </c>
      <c r="T2344" s="7" t="str">
        <f>VLOOKUP(A2344,Sheet2!$A$2:$R$3432,17,0)</f>
        <v/>
      </c>
    </row>
    <row r="2345" ht="15.75" customHeight="1">
      <c r="A2345" s="3" t="s">
        <v>2368</v>
      </c>
      <c r="B2345" s="4" t="str">
        <f>VLOOKUP(A2345,Sheet2!$A$2:$R$3432,2,0)</f>
        <v>2024-08-24 18:53:54</v>
      </c>
      <c r="C2345" s="5" t="s">
        <v>25</v>
      </c>
      <c r="D2345" s="6" t="s">
        <v>25</v>
      </c>
      <c r="E2345" s="7">
        <f>VLOOKUP(A2345,Sheet2!$A$2:$R$3432,4,0)</f>
        <v>9096138063</v>
      </c>
      <c r="F2345" s="7" t="str">
        <f>VLOOKUP(A2345,Sheet2!$A$2:$R$3432,3,0)</f>
        <v>G.D. KUMBHARKAR</v>
      </c>
      <c r="G2345" s="5" t="s">
        <v>25</v>
      </c>
      <c r="H2345" s="5" t="s">
        <v>25</v>
      </c>
      <c r="I2345" s="5" t="s">
        <v>25</v>
      </c>
      <c r="J2345" s="5" t="s">
        <v>25</v>
      </c>
      <c r="K2345" s="7" t="str">
        <f>VLOOKUP(A2345,Sheet2!$A$2:$R$3432,6,0)</f>
        <v>Bajaj Boxer </v>
      </c>
      <c r="L2345" s="5" t="s">
        <v>25</v>
      </c>
      <c r="M2345" s="7" t="str">
        <f>VLOOKUP(A2345,Sheet2!$A$2:$R$3432,5,0)</f>
        <v>MH14Z3167</v>
      </c>
      <c r="N2345" s="5" t="s">
        <v>25</v>
      </c>
      <c r="O2345" s="5" t="s">
        <v>25</v>
      </c>
      <c r="P2345" s="6" t="s">
        <v>25</v>
      </c>
      <c r="Q2345" s="5" t="s">
        <v>25</v>
      </c>
      <c r="R2345" s="5" t="s">
        <v>25</v>
      </c>
      <c r="S2345" s="7" t="str">
        <f>VLOOKUP(A2345,Sheet2!$A$2:$R$3432,18,0)</f>
        <v/>
      </c>
      <c r="T2345" s="7" t="str">
        <f>VLOOKUP(A2345,Sheet2!$A$2:$R$3432,17,0)</f>
        <v/>
      </c>
    </row>
    <row r="2346" ht="15.75" customHeight="1">
      <c r="A2346" s="3" t="s">
        <v>2369</v>
      </c>
      <c r="B2346" s="4" t="str">
        <f>VLOOKUP(A2346,Sheet2!$A$2:$R$3432,2,0)</f>
        <v>2024-08-24 19:23:36</v>
      </c>
      <c r="C2346" s="5" t="s">
        <v>25</v>
      </c>
      <c r="D2346" s="6" t="s">
        <v>25</v>
      </c>
      <c r="E2346" s="7">
        <f>VLOOKUP(A2346,Sheet2!$A$2:$R$3432,4,0)</f>
        <v>9730490996</v>
      </c>
      <c r="F2346" s="7" t="str">
        <f>VLOOKUP(A2346,Sheet2!$A$2:$R$3432,3,0)</f>
        <v>ANUJA DESHPANDE</v>
      </c>
      <c r="G2346" s="5" t="s">
        <v>25</v>
      </c>
      <c r="H2346" s="5" t="s">
        <v>25</v>
      </c>
      <c r="I2346" s="5" t="s">
        <v>25</v>
      </c>
      <c r="J2346" s="5" t="s">
        <v>25</v>
      </c>
      <c r="K2346" s="7" t="str">
        <f>VLOOKUP(A2346,Sheet2!$A$2:$R$3432,6,0)</f>
        <v>Honda Activa 125</v>
      </c>
      <c r="L2346" s="5" t="s">
        <v>25</v>
      </c>
      <c r="M2346" s="7" t="str">
        <f>VLOOKUP(A2346,Sheet2!$A$2:$R$3432,5,0)</f>
        <v>MH14EZ2827</v>
      </c>
      <c r="N2346" s="5" t="s">
        <v>25</v>
      </c>
      <c r="O2346" s="5" t="s">
        <v>25</v>
      </c>
      <c r="P2346" s="6" t="s">
        <v>25</v>
      </c>
      <c r="Q2346" s="5" t="s">
        <v>25</v>
      </c>
      <c r="R2346" s="5" t="s">
        <v>25</v>
      </c>
      <c r="S2346" s="5" t="str">
        <f>VLOOKUP(A2346,Sheet2!$A$2:$R$3432,18,0)</f>
        <v>JF49E81096144</v>
      </c>
      <c r="T2346" s="7" t="str">
        <f>VLOOKUP(A2346,Sheet2!$A$2:$R$3432,17,0)</f>
        <v>ME4JF491DE819707</v>
      </c>
    </row>
    <row r="2347" ht="15.75" customHeight="1">
      <c r="A2347" s="3" t="s">
        <v>2370</v>
      </c>
      <c r="B2347" s="4" t="str">
        <f>VLOOKUP(A2347,Sheet2!$A$2:$R$3432,2,0)</f>
        <v>2024-08-24 19:02:26</v>
      </c>
      <c r="C2347" s="5" t="s">
        <v>25</v>
      </c>
      <c r="D2347" s="6" t="s">
        <v>25</v>
      </c>
      <c r="E2347" s="7">
        <f>VLOOKUP(A2347,Sheet2!$A$2:$R$3432,4,0)</f>
        <v>8123584316</v>
      </c>
      <c r="F2347" s="7" t="str">
        <f>VLOOKUP(A2347,Sheet2!$A$2:$R$3432,3,0)</f>
        <v>Someshwar </v>
      </c>
      <c r="G2347" s="5" t="s">
        <v>25</v>
      </c>
      <c r="H2347" s="5" t="s">
        <v>25</v>
      </c>
      <c r="I2347" s="5" t="s">
        <v>25</v>
      </c>
      <c r="J2347" s="5" t="s">
        <v>25</v>
      </c>
      <c r="K2347" s="7" t="str">
        <f>VLOOKUP(A2347,Sheet2!$A$2:$R$3432,6,0)</f>
        <v>Hero Xtreme </v>
      </c>
      <c r="L2347" s="5" t="s">
        <v>25</v>
      </c>
      <c r="M2347" s="7" t="str">
        <f>VLOOKUP(A2347,Sheet2!$A$2:$R$3432,5,0)</f>
        <v>MH14DZ2656</v>
      </c>
      <c r="N2347" s="5" t="s">
        <v>25</v>
      </c>
      <c r="O2347" s="5" t="s">
        <v>25</v>
      </c>
      <c r="P2347" s="6" t="s">
        <v>25</v>
      </c>
      <c r="Q2347" s="5" t="s">
        <v>25</v>
      </c>
      <c r="R2347" s="5" t="s">
        <v>25</v>
      </c>
      <c r="S2347" s="5" t="str">
        <f>VLOOKUP(A2347,Sheet2!$A$2:$R$3432,18,0)</f>
        <v>KC12EEDGF02394</v>
      </c>
      <c r="T2347" s="7" t="str">
        <f>VLOOKUP(A2347,Sheet2!$A$2:$R$3432,17,0)</f>
        <v>MBLKC12EHDGF0191</v>
      </c>
    </row>
    <row r="2348" ht="15.75" customHeight="1">
      <c r="A2348" s="3" t="s">
        <v>2371</v>
      </c>
      <c r="B2348" s="4" t="str">
        <f>VLOOKUP(A2348,Sheet2!$A$2:$R$3432,2,0)</f>
        <v>2024-08-24 19:24:54</v>
      </c>
      <c r="C2348" s="5" t="s">
        <v>25</v>
      </c>
      <c r="D2348" s="6" t="s">
        <v>25</v>
      </c>
      <c r="E2348" s="7">
        <f>VLOOKUP(A2348,Sheet2!$A$2:$R$3432,4,0)</f>
        <v>9403900847</v>
      </c>
      <c r="F2348" s="7" t="str">
        <f>VLOOKUP(A2348,Sheet2!$A$2:$R$3432,3,0)</f>
        <v>Shubham</v>
      </c>
      <c r="G2348" s="5" t="s">
        <v>25</v>
      </c>
      <c r="H2348" s="5" t="s">
        <v>25</v>
      </c>
      <c r="I2348" s="5" t="s">
        <v>25</v>
      </c>
      <c r="J2348" s="5" t="s">
        <v>25</v>
      </c>
      <c r="K2348" s="7" t="str">
        <f>VLOOKUP(A2348,Sheet2!$A$2:$R$3432,6,0)</f>
        <v>Suzuki Access </v>
      </c>
      <c r="L2348" s="5" t="s">
        <v>25</v>
      </c>
      <c r="M2348" s="7" t="str">
        <f>VLOOKUP(A2348,Sheet2!$A$2:$R$3432,5,0)</f>
        <v>MH23BA0558</v>
      </c>
      <c r="N2348" s="5" t="s">
        <v>25</v>
      </c>
      <c r="O2348" s="5" t="s">
        <v>25</v>
      </c>
      <c r="P2348" s="6" t="s">
        <v>25</v>
      </c>
      <c r="Q2348" s="5" t="s">
        <v>25</v>
      </c>
      <c r="R2348" s="5" t="s">
        <v>25</v>
      </c>
      <c r="S2348" s="5" t="str">
        <f>VLOOKUP(A2348,Sheet2!$A$2:$R$3432,18,0)</f>
        <v>AF216037526</v>
      </c>
      <c r="T2348" s="7" t="str">
        <f>VLOOKUP(A2348,Sheet2!$A$2:$R$3432,17,0)</f>
        <v>MB8DP11ABK8G06622</v>
      </c>
    </row>
    <row r="2349" ht="15.75" customHeight="1">
      <c r="A2349" s="3" t="s">
        <v>2372</v>
      </c>
      <c r="B2349" s="4" t="str">
        <f>VLOOKUP(A2349,Sheet2!$A$2:$R$3432,2,0)</f>
        <v>2024-08-24 18:58:59</v>
      </c>
      <c r="C2349" s="5" t="s">
        <v>25</v>
      </c>
      <c r="D2349" s="6" t="s">
        <v>25</v>
      </c>
      <c r="E2349" s="7">
        <f>VLOOKUP(A2349,Sheet2!$A$2:$R$3432,4,0)</f>
        <v>8177997507</v>
      </c>
      <c r="F2349" s="7" t="str">
        <f>VLOOKUP(A2349,Sheet2!$A$2:$R$3432,3,0)</f>
        <v>SUDEEP</v>
      </c>
      <c r="G2349" s="5" t="s">
        <v>25</v>
      </c>
      <c r="H2349" s="5" t="s">
        <v>25</v>
      </c>
      <c r="I2349" s="5" t="s">
        <v>25</v>
      </c>
      <c r="J2349" s="5" t="s">
        <v>25</v>
      </c>
      <c r="K2349" s="7" t="str">
        <f>VLOOKUP(A2349,Sheet2!$A$2:$R$3432,6,0)</f>
        <v>Honda CD 110 </v>
      </c>
      <c r="L2349" s="5" t="s">
        <v>25</v>
      </c>
      <c r="M2349" s="7" t="str">
        <f>VLOOKUP(A2349,Sheet2!$A$2:$R$3432,5,0)</f>
        <v>MH14HV7234</v>
      </c>
      <c r="N2349" s="5" t="s">
        <v>25</v>
      </c>
      <c r="O2349" s="5" t="s">
        <v>25</v>
      </c>
      <c r="P2349" s="6" t="s">
        <v>25</v>
      </c>
      <c r="Q2349" s="5" t="s">
        <v>25</v>
      </c>
      <c r="R2349" s="5" t="s">
        <v>25</v>
      </c>
      <c r="S2349" s="5" t="str">
        <f>VLOOKUP(A2349,Sheet2!$A$2:$R$3432,18,0)</f>
        <v>JC67EA106135</v>
      </c>
      <c r="T2349" s="7" t="str">
        <f>VLOOKUP(A2349,Sheet2!$A$2:$R$3432,17,0)</f>
        <v>ME4JC67HGKA033277</v>
      </c>
    </row>
    <row r="2350" ht="15.75" customHeight="1">
      <c r="A2350" s="3" t="s">
        <v>2373</v>
      </c>
      <c r="B2350" s="4" t="str">
        <f>VLOOKUP(A2350,Sheet2!$A$2:$R$3432,2,0)</f>
        <v>2024-08-24 19:26:22</v>
      </c>
      <c r="C2350" s="5" t="s">
        <v>25</v>
      </c>
      <c r="D2350" s="6" t="s">
        <v>25</v>
      </c>
      <c r="E2350" s="7">
        <f>VLOOKUP(A2350,Sheet2!$A$2:$R$3432,4,0)</f>
        <v>9403900847</v>
      </c>
      <c r="F2350" s="7" t="str">
        <f>VLOOKUP(A2350,Sheet2!$A$2:$R$3432,3,0)</f>
        <v>Shubham </v>
      </c>
      <c r="G2350" s="5" t="s">
        <v>25</v>
      </c>
      <c r="H2350" s="5" t="s">
        <v>25</v>
      </c>
      <c r="I2350" s="5" t="s">
        <v>25</v>
      </c>
      <c r="J2350" s="5" t="s">
        <v>25</v>
      </c>
      <c r="K2350" s="7" t="str">
        <f>VLOOKUP(A2350,Sheet2!$A$2:$R$3432,6,0)</f>
        <v>Suzuki Lets </v>
      </c>
      <c r="L2350" s="5" t="s">
        <v>25</v>
      </c>
      <c r="M2350" s="7" t="str">
        <f>VLOOKUP(A2350,Sheet2!$A$2:$R$3432,5,0)</f>
        <v>MH28AT2411</v>
      </c>
      <c r="N2350" s="5" t="s">
        <v>25</v>
      </c>
      <c r="O2350" s="5" t="s">
        <v>25</v>
      </c>
      <c r="P2350" s="6" t="s">
        <v>25</v>
      </c>
      <c r="Q2350" s="5" t="s">
        <v>25</v>
      </c>
      <c r="R2350" s="5" t="s">
        <v>25</v>
      </c>
      <c r="S2350" s="5" t="str">
        <f>VLOOKUP(A2350,Sheet2!$A$2:$R$3432,18,0)</f>
        <v>AE211080436</v>
      </c>
      <c r="T2350" s="7" t="str">
        <f>VLOOKUP(A2350,Sheet2!$A$2:$R$3432,17,0)</f>
        <v>MB8CE46AAG8104827</v>
      </c>
    </row>
    <row r="2351" ht="15.75" customHeight="1">
      <c r="A2351" s="3" t="s">
        <v>2374</v>
      </c>
      <c r="B2351" s="4" t="str">
        <f>VLOOKUP(A2351,Sheet2!$A$2:$R$3432,2,0)</f>
        <v>2024-08-24 18:55:13</v>
      </c>
      <c r="C2351" s="5" t="s">
        <v>25</v>
      </c>
      <c r="D2351" s="6" t="s">
        <v>25</v>
      </c>
      <c r="E2351" s="7">
        <f>VLOOKUP(A2351,Sheet2!$A$2:$R$3432,4,0)</f>
        <v>9405524675</v>
      </c>
      <c r="F2351" s="7" t="str">
        <f>VLOOKUP(A2351,Sheet2!$A$2:$R$3432,3,0)</f>
        <v>Ashish Patil</v>
      </c>
      <c r="G2351" s="5" t="s">
        <v>25</v>
      </c>
      <c r="H2351" s="5" t="s">
        <v>25</v>
      </c>
      <c r="I2351" s="5" t="s">
        <v>25</v>
      </c>
      <c r="J2351" s="5" t="s">
        <v>25</v>
      </c>
      <c r="K2351" s="7" t="str">
        <f>VLOOKUP(A2351,Sheet2!$A$2:$R$3432,6,0)</f>
        <v>Yamaha Fascino </v>
      </c>
      <c r="L2351" s="5" t="s">
        <v>25</v>
      </c>
      <c r="M2351" s="7" t="str">
        <f>VLOOKUP(A2351,Sheet2!$A$2:$R$3432,5,0)</f>
        <v>MH14FJ4539</v>
      </c>
      <c r="N2351" s="5" t="s">
        <v>25</v>
      </c>
      <c r="O2351" s="5" t="s">
        <v>25</v>
      </c>
      <c r="P2351" s="6" t="s">
        <v>25</v>
      </c>
      <c r="Q2351" s="5" t="s">
        <v>25</v>
      </c>
      <c r="R2351" s="5" t="s">
        <v>25</v>
      </c>
      <c r="S2351" s="5" t="str">
        <f>VLOOKUP(A2351,Sheet2!$A$2:$R$3432,18,0)</f>
        <v>JF50EW0038154</v>
      </c>
      <c r="T2351" s="7" t="str">
        <f>VLOOKUP(A2351,Sheet2!$A$2:$R$3432,17,0)</f>
        <v>ME1SE77F9F0043875</v>
      </c>
    </row>
    <row r="2352" ht="15.75" customHeight="1">
      <c r="A2352" s="3" t="s">
        <v>2375</v>
      </c>
      <c r="B2352" s="4" t="str">
        <f>VLOOKUP(A2352,Sheet2!$A$2:$R$3432,2,0)</f>
        <v>2024-08-24 18:56:13</v>
      </c>
      <c r="C2352" s="5" t="s">
        <v>25</v>
      </c>
      <c r="D2352" s="6" t="s">
        <v>25</v>
      </c>
      <c r="E2352" s="7">
        <f>VLOOKUP(A2352,Sheet2!$A$2:$R$3432,4,0)</f>
        <v>8484815480</v>
      </c>
      <c r="F2352" s="7" t="str">
        <f>VLOOKUP(A2352,Sheet2!$A$2:$R$3432,3,0)</f>
        <v>Ganesh Papat</v>
      </c>
      <c r="G2352" s="5" t="s">
        <v>25</v>
      </c>
      <c r="H2352" s="5" t="s">
        <v>25</v>
      </c>
      <c r="I2352" s="5" t="s">
        <v>25</v>
      </c>
      <c r="J2352" s="5" t="s">
        <v>25</v>
      </c>
      <c r="K2352" s="7" t="str">
        <f>VLOOKUP(A2352,Sheet2!$A$2:$R$3432,6,0)</f>
        <v>TVS Jupiter </v>
      </c>
      <c r="L2352" s="5" t="s">
        <v>25</v>
      </c>
      <c r="M2352" s="7" t="str">
        <f>VLOOKUP(A2352,Sheet2!$A$2:$R$3432,5,0)</f>
        <v>MH14JZ2362</v>
      </c>
      <c r="N2352" s="5" t="s">
        <v>25</v>
      </c>
      <c r="O2352" s="5" t="s">
        <v>25</v>
      </c>
      <c r="P2352" s="6" t="s">
        <v>25</v>
      </c>
      <c r="Q2352" s="5" t="s">
        <v>25</v>
      </c>
      <c r="R2352" s="5" t="s">
        <v>25</v>
      </c>
      <c r="S2352" s="5" t="str">
        <f>VLOOKUP(A2352,Sheet2!$A$2:$R$3432,18,0)</f>
        <v>EG5CN1000348</v>
      </c>
      <c r="T2352" s="7" t="str">
        <f>VLOOKUP(A2352,Sheet2!$A$2:$R$3432,17,0)</f>
        <v>MD626C650NC69266</v>
      </c>
    </row>
    <row r="2353" ht="15.75" customHeight="1">
      <c r="A2353" s="3" t="s">
        <v>2376</v>
      </c>
      <c r="B2353" s="4" t="str">
        <f>VLOOKUP(A2353,Sheet2!$A$2:$R$3432,2,0)</f>
        <v>2024-08-24 18:58:02</v>
      </c>
      <c r="C2353" s="5" t="s">
        <v>25</v>
      </c>
      <c r="D2353" s="6" t="s">
        <v>25</v>
      </c>
      <c r="E2353" s="7">
        <f>VLOOKUP(A2353,Sheet2!$A$2:$R$3432,4,0)</f>
        <v>9665626256</v>
      </c>
      <c r="F2353" s="7" t="str">
        <f>VLOOKUP(A2353,Sheet2!$A$2:$R$3432,3,0)</f>
        <v>Mayur Hajare</v>
      </c>
      <c r="G2353" s="5" t="s">
        <v>25</v>
      </c>
      <c r="H2353" s="5" t="s">
        <v>25</v>
      </c>
      <c r="I2353" s="5" t="s">
        <v>25</v>
      </c>
      <c r="J2353" s="5" t="s">
        <v>25</v>
      </c>
      <c r="K2353" s="7" t="str">
        <f>VLOOKUP(A2353,Sheet2!$A$2:$R$3432,6,0)</f>
        <v>Hero Passion Pro</v>
      </c>
      <c r="L2353" s="5" t="s">
        <v>25</v>
      </c>
      <c r="M2353" s="7" t="str">
        <f>VLOOKUP(A2353,Sheet2!$A$2:$R$3432,5,0)</f>
        <v>MH12MY6215</v>
      </c>
      <c r="N2353" s="5" t="s">
        <v>25</v>
      </c>
      <c r="O2353" s="5" t="s">
        <v>25</v>
      </c>
      <c r="P2353" s="6" t="s">
        <v>25</v>
      </c>
      <c r="Q2353" s="5" t="s">
        <v>25</v>
      </c>
      <c r="R2353" s="5" t="s">
        <v>25</v>
      </c>
      <c r="S2353" s="5" t="str">
        <f>VLOOKUP(A2353,Sheet2!$A$2:$R$3432,18,0)</f>
        <v>HA10ACX</v>
      </c>
      <c r="T2353" s="7" t="str">
        <f>VLOOKUP(A2353,Sheet2!$A$2:$R$3432,17,0)</f>
        <v>MBLHAR182HHB6515</v>
      </c>
    </row>
    <row r="2354" ht="15.75" customHeight="1">
      <c r="A2354" s="3" t="s">
        <v>2377</v>
      </c>
      <c r="B2354" s="4" t="str">
        <f>VLOOKUP(A2354,Sheet2!$A$2:$R$3432,2,0)</f>
        <v>2024-08-24 19:22:13</v>
      </c>
      <c r="C2354" s="5" t="s">
        <v>25</v>
      </c>
      <c r="D2354" s="6" t="s">
        <v>25</v>
      </c>
      <c r="E2354" s="7">
        <f>VLOOKUP(A2354,Sheet2!$A$2:$R$3432,4,0)</f>
        <v>9766199710</v>
      </c>
      <c r="F2354" s="7" t="str">
        <f>VLOOKUP(A2354,Sheet2!$A$2:$R$3432,3,0)</f>
        <v>Prasad Chakkarwar</v>
      </c>
      <c r="G2354" s="5" t="s">
        <v>25</v>
      </c>
      <c r="H2354" s="5" t="s">
        <v>25</v>
      </c>
      <c r="I2354" s="5" t="s">
        <v>25</v>
      </c>
      <c r="J2354" s="5" t="s">
        <v>25</v>
      </c>
      <c r="K2354" s="7" t="str">
        <f>VLOOKUP(A2354,Sheet2!$A$2:$R$3432,6,0)</f>
        <v>Honda Shine </v>
      </c>
      <c r="L2354" s="5" t="s">
        <v>25</v>
      </c>
      <c r="M2354" s="7" t="str">
        <f>VLOOKUP(A2354,Sheet2!$A$2:$R$3432,5,0)</f>
        <v>MH29AH6338</v>
      </c>
      <c r="N2354" s="5" t="s">
        <v>25</v>
      </c>
      <c r="O2354" s="5" t="s">
        <v>25</v>
      </c>
      <c r="P2354" s="6" t="s">
        <v>25</v>
      </c>
      <c r="Q2354" s="5" t="s">
        <v>25</v>
      </c>
      <c r="R2354" s="5" t="s">
        <v>25</v>
      </c>
      <c r="S2354" s="5" t="str">
        <f>VLOOKUP(A2354,Sheet2!$A$2:$R$3432,18,0)</f>
        <v>JC36E77733929</v>
      </c>
      <c r="T2354" s="7" t="str">
        <f>VLOOKUP(A2354,Sheet2!$A$2:$R$3432,17,0)</f>
        <v>ME4JC36KFD7250362</v>
      </c>
    </row>
    <row r="2355" ht="15.75" customHeight="1">
      <c r="A2355" s="3" t="s">
        <v>2378</v>
      </c>
      <c r="B2355" s="4" t="str">
        <f>VLOOKUP(A2355,Sheet2!$A$2:$R$3432,2,0)</f>
        <v>2024-08-24 19:29:36</v>
      </c>
      <c r="C2355" s="5" t="s">
        <v>25</v>
      </c>
      <c r="D2355" s="6" t="s">
        <v>25</v>
      </c>
      <c r="E2355" s="7">
        <f>VLOOKUP(A2355,Sheet2!$A$2:$R$3432,4,0)</f>
        <v>9623878444</v>
      </c>
      <c r="F2355" s="7" t="str">
        <f>VLOOKUP(A2355,Sheet2!$A$2:$R$3432,3,0)</f>
        <v>Vishal Patil</v>
      </c>
      <c r="G2355" s="5" t="s">
        <v>25</v>
      </c>
      <c r="H2355" s="5" t="s">
        <v>25</v>
      </c>
      <c r="I2355" s="5" t="s">
        <v>25</v>
      </c>
      <c r="J2355" s="5" t="s">
        <v>25</v>
      </c>
      <c r="K2355" s="7" t="str">
        <f>VLOOKUP(A2355,Sheet2!$A$2:$R$3432,6,0)</f>
        <v>Honda Activa 5G</v>
      </c>
      <c r="L2355" s="5" t="s">
        <v>25</v>
      </c>
      <c r="M2355" s="7" t="str">
        <f>VLOOKUP(A2355,Sheet2!$A$2:$R$3432,5,0)</f>
        <v>MH12QJ6651</v>
      </c>
      <c r="N2355" s="5" t="s">
        <v>25</v>
      </c>
      <c r="O2355" s="5" t="s">
        <v>25</v>
      </c>
      <c r="P2355" s="6" t="s">
        <v>25</v>
      </c>
      <c r="Q2355" s="5" t="s">
        <v>25</v>
      </c>
      <c r="R2355" s="5" t="s">
        <v>25</v>
      </c>
      <c r="S2355" s="5" t="str">
        <f>VLOOKUP(A2355,Sheet2!$A$2:$R$3432,18,0)</f>
        <v>JF50E47007640</v>
      </c>
      <c r="T2355" s="7" t="str">
        <f>VLOOKUP(A2355,Sheet2!$A$2:$R$3432,17,0)</f>
        <v>ME4JG50JA008135</v>
      </c>
    </row>
    <row r="2356" ht="15.75" customHeight="1">
      <c r="A2356" s="3" t="s">
        <v>2379</v>
      </c>
      <c r="B2356" s="4" t="str">
        <f>VLOOKUP(A2356,Sheet2!$A$2:$R$3432,2,0)</f>
        <v>2024-08-24 20:06:33</v>
      </c>
      <c r="C2356" s="5" t="s">
        <v>25</v>
      </c>
      <c r="D2356" s="6" t="s">
        <v>25</v>
      </c>
      <c r="E2356" s="7">
        <f>VLOOKUP(A2356,Sheet2!$A$2:$R$3432,4,0)</f>
        <v>7588177320</v>
      </c>
      <c r="F2356" s="7" t="str">
        <f>VLOOKUP(A2356,Sheet2!$A$2:$R$3432,3,0)</f>
        <v>SHUBHAM VAIDYA </v>
      </c>
      <c r="G2356" s="5" t="s">
        <v>25</v>
      </c>
      <c r="H2356" s="5" t="s">
        <v>25</v>
      </c>
      <c r="I2356" s="5" t="s">
        <v>25</v>
      </c>
      <c r="J2356" s="5" t="s">
        <v>25</v>
      </c>
      <c r="K2356" s="7" t="str">
        <f>VLOOKUP(A2356,Sheet2!$A$2:$R$3432,6,0)</f>
        <v>Honda Activa 4G</v>
      </c>
      <c r="L2356" s="5" t="s">
        <v>25</v>
      </c>
      <c r="M2356" s="7" t="str">
        <f>VLOOKUP(A2356,Sheet2!$A$2:$R$3432,5,0)</f>
        <v>MH44R5658</v>
      </c>
      <c r="N2356" s="5" t="s">
        <v>25</v>
      </c>
      <c r="O2356" s="5" t="s">
        <v>25</v>
      </c>
      <c r="P2356" s="6" t="s">
        <v>25</v>
      </c>
      <c r="Q2356" s="5" t="s">
        <v>25</v>
      </c>
      <c r="R2356" s="5" t="s">
        <v>25</v>
      </c>
      <c r="S2356" s="5" t="str">
        <f>VLOOKUP(A2356,Sheet2!$A$2:$R$3432,18,0)</f>
        <v>JF50E75291131</v>
      </c>
      <c r="T2356" s="7" t="str">
        <f>VLOOKUP(A2356,Sheet2!$A$2:$R$3432,17,0)</f>
        <v>ME4JF507HH7291501</v>
      </c>
    </row>
    <row r="2357" ht="15.75" customHeight="1">
      <c r="A2357" s="3" t="s">
        <v>2380</v>
      </c>
      <c r="B2357" s="4" t="str">
        <f>VLOOKUP(A2357,Sheet2!$A$2:$R$3432,2,0)</f>
        <v>2024-08-24 19:49:15</v>
      </c>
      <c r="C2357" s="5" t="s">
        <v>25</v>
      </c>
      <c r="D2357" s="6" t="s">
        <v>25</v>
      </c>
      <c r="E2357" s="7">
        <f>VLOOKUP(A2357,Sheet2!$A$2:$R$3432,4,0)</f>
        <v>7264811546</v>
      </c>
      <c r="F2357" s="7" t="str">
        <f>VLOOKUP(A2357,Sheet2!$A$2:$R$3432,3,0)</f>
        <v>ABDUL </v>
      </c>
      <c r="G2357" s="5" t="s">
        <v>25</v>
      </c>
      <c r="H2357" s="5" t="s">
        <v>25</v>
      </c>
      <c r="I2357" s="5" t="s">
        <v>25</v>
      </c>
      <c r="J2357" s="5" t="s">
        <v>25</v>
      </c>
      <c r="K2357" s="7" t="str">
        <f>VLOOKUP(A2357,Sheet2!$A$2:$R$3432,6,0)</f>
        <v>Honda Activa 125</v>
      </c>
      <c r="L2357" s="5" t="s">
        <v>25</v>
      </c>
      <c r="M2357" s="7" t="str">
        <f>VLOOKUP(A2357,Sheet2!$A$2:$R$3432,5,0)</f>
        <v>MH10CD6900</v>
      </c>
      <c r="N2357" s="5" t="s">
        <v>25</v>
      </c>
      <c r="O2357" s="5" t="s">
        <v>25</v>
      </c>
      <c r="P2357" s="6" t="s">
        <v>25</v>
      </c>
      <c r="Q2357" s="5" t="s">
        <v>25</v>
      </c>
      <c r="R2357" s="5" t="s">
        <v>25</v>
      </c>
      <c r="S2357" s="5" t="str">
        <f>VLOOKUP(A2357,Sheet2!$A$2:$R$3432,18,0)</f>
        <v>JF49E81091207</v>
      </c>
      <c r="T2357" s="7" t="str">
        <f>VLOOKUP(A2357,Sheet2!$A$2:$R$3432,17,0)</f>
        <v>ME4JF493KF8079417</v>
      </c>
    </row>
    <row r="2358" ht="15.75" customHeight="1">
      <c r="A2358" s="3" t="s">
        <v>2381</v>
      </c>
      <c r="B2358" s="4" t="str">
        <f>VLOOKUP(A2358,Sheet2!$A$2:$R$3432,2,0)</f>
        <v>2024-08-24 20:06:50</v>
      </c>
      <c r="C2358" s="5" t="s">
        <v>25</v>
      </c>
      <c r="D2358" s="6" t="s">
        <v>25</v>
      </c>
      <c r="E2358" s="7">
        <f>VLOOKUP(A2358,Sheet2!$A$2:$R$3432,4,0)</f>
        <v>7219500156</v>
      </c>
      <c r="F2358" s="7" t="str">
        <f>VLOOKUP(A2358,Sheet2!$A$2:$R$3432,3,0)</f>
        <v>Hrishikesh Saykhedkar</v>
      </c>
      <c r="G2358" s="5" t="s">
        <v>25</v>
      </c>
      <c r="H2358" s="5" t="s">
        <v>25</v>
      </c>
      <c r="I2358" s="5" t="s">
        <v>25</v>
      </c>
      <c r="J2358" s="5" t="s">
        <v>25</v>
      </c>
      <c r="K2358" s="7" t="str">
        <f>VLOOKUP(A2358,Sheet2!$A$2:$R$3432,6,0)</f>
        <v>Yamaha Saluto </v>
      </c>
      <c r="L2358" s="5" t="s">
        <v>25</v>
      </c>
      <c r="M2358" s="7" t="str">
        <f>VLOOKUP(A2358,Sheet2!$A$2:$R$3432,5,0)</f>
        <v>MH15FZ7854</v>
      </c>
      <c r="N2358" s="5" t="s">
        <v>25</v>
      </c>
      <c r="O2358" s="5" t="s">
        <v>25</v>
      </c>
      <c r="P2358" s="6" t="s">
        <v>25</v>
      </c>
      <c r="Q2358" s="5" t="s">
        <v>25</v>
      </c>
      <c r="R2358" s="5" t="s">
        <v>25</v>
      </c>
      <c r="S2358" s="5" t="str">
        <f>VLOOKUP(A2358,Sheet2!$A$2:$R$3432,18,0)</f>
        <v>E31EE6603659</v>
      </c>
      <c r="T2358" s="7" t="str">
        <f>VLOOKUP(A2358,Sheet2!$A$2:$R$3432,17,0)</f>
        <v>ME1RG3525H0014504</v>
      </c>
    </row>
    <row r="2359" ht="15.75" customHeight="1">
      <c r="A2359" s="3" t="s">
        <v>2382</v>
      </c>
      <c r="B2359" s="4" t="str">
        <f>VLOOKUP(A2359,Sheet2!$A$2:$R$3432,2,0)</f>
        <v>2025-04-28 19:32:31</v>
      </c>
      <c r="C2359" s="5" t="s">
        <v>25</v>
      </c>
      <c r="D2359" s="6" t="s">
        <v>25</v>
      </c>
      <c r="E2359" s="7">
        <f>VLOOKUP(A2359,Sheet2!$A$2:$R$3432,4,0)</f>
        <v>9545322788</v>
      </c>
      <c r="F2359" s="7" t="str">
        <f>VLOOKUP(A2359,Sheet2!$A$2:$R$3432,3,0)</f>
        <v>BHUSHAN VARMA</v>
      </c>
      <c r="G2359" s="5" t="s">
        <v>25</v>
      </c>
      <c r="H2359" s="5" t="s">
        <v>25</v>
      </c>
      <c r="I2359" s="5" t="s">
        <v>25</v>
      </c>
      <c r="J2359" s="5" t="s">
        <v>25</v>
      </c>
      <c r="K2359" s="7" t="str">
        <f>VLOOKUP(A2359,Sheet2!$A$2:$R$3432,6,0)</f>
        <v>Honda Activa 3G</v>
      </c>
      <c r="L2359" s="5" t="s">
        <v>25</v>
      </c>
      <c r="M2359" s="7" t="str">
        <f>VLOOKUP(A2359,Sheet2!$A$2:$R$3432,5,0)</f>
        <v>MH36V2254</v>
      </c>
      <c r="N2359" s="5" t="s">
        <v>25</v>
      </c>
      <c r="O2359" s="5" t="s">
        <v>25</v>
      </c>
      <c r="P2359" s="6" t="s">
        <v>25</v>
      </c>
      <c r="Q2359" s="5" t="s">
        <v>25</v>
      </c>
      <c r="R2359" s="5" t="s">
        <v>25</v>
      </c>
      <c r="S2359" s="5" t="str">
        <f>VLOOKUP(A2359,Sheet2!$A$2:$R$3432,18,0)</f>
        <v>JF50ET3208723</v>
      </c>
      <c r="T2359" s="7" t="str">
        <f>VLOOKUP(A2359,Sheet2!$A$2:$R$3432,17,0)</f>
        <v>ME4JF50CT208342</v>
      </c>
    </row>
    <row r="2360" ht="15.75" customHeight="1">
      <c r="A2360" s="3" t="s">
        <v>2383</v>
      </c>
      <c r="B2360" s="4" t="str">
        <f>VLOOKUP(A2360,Sheet2!$A$2:$R$3432,2,0)</f>
        <v>2025-04-28 20:18:43</v>
      </c>
      <c r="C2360" s="5" t="s">
        <v>25</v>
      </c>
      <c r="D2360" s="6" t="s">
        <v>25</v>
      </c>
      <c r="E2360" s="7">
        <f>VLOOKUP(A2360,Sheet2!$A$2:$R$3432,4,0)</f>
        <v>9665831100</v>
      </c>
      <c r="F2360" s="7" t="str">
        <f>VLOOKUP(A2360,Sheet2!$A$2:$R$3432,3,0)</f>
        <v>Rohit</v>
      </c>
      <c r="G2360" s="5" t="s">
        <v>25</v>
      </c>
      <c r="H2360" s="5" t="s">
        <v>25</v>
      </c>
      <c r="I2360" s="5" t="s">
        <v>25</v>
      </c>
      <c r="J2360" s="5" t="s">
        <v>25</v>
      </c>
      <c r="K2360" s="7" t="str">
        <f>VLOOKUP(A2360,Sheet2!$A$2:$R$3432,6,0)</f>
        <v>Honda Shine HET</v>
      </c>
      <c r="L2360" s="5" t="s">
        <v>25</v>
      </c>
      <c r="M2360" s="7" t="str">
        <f>VLOOKUP(A2360,Sheet2!$A$2:$R$3432,5,0)</f>
        <v>MH10CG2128</v>
      </c>
      <c r="N2360" s="5" t="s">
        <v>25</v>
      </c>
      <c r="O2360" s="5" t="s">
        <v>25</v>
      </c>
      <c r="P2360" s="6" t="s">
        <v>25</v>
      </c>
      <c r="Q2360" s="5" t="s">
        <v>25</v>
      </c>
      <c r="R2360" s="5" t="s">
        <v>25</v>
      </c>
      <c r="S2360" s="7" t="str">
        <f>VLOOKUP(A2360,Sheet2!$A$2:$R$3432,18,0)</f>
        <v/>
      </c>
      <c r="T2360" s="7" t="str">
        <f>VLOOKUP(A2360,Sheet2!$A$2:$R$3432,17,0)</f>
        <v/>
      </c>
    </row>
    <row r="2361" ht="15.75" customHeight="1">
      <c r="A2361" s="3" t="s">
        <v>2384</v>
      </c>
      <c r="B2361" s="4" t="str">
        <f>VLOOKUP(A2361,Sheet2!$A$2:$R$3432,2,0)</f>
        <v>2025-04-28 19:32:10</v>
      </c>
      <c r="C2361" s="5" t="s">
        <v>25</v>
      </c>
      <c r="D2361" s="6" t="s">
        <v>25</v>
      </c>
      <c r="E2361" s="7">
        <f>VLOOKUP(A2361,Sheet2!$A$2:$R$3432,4,0)</f>
        <v>9711939672</v>
      </c>
      <c r="F2361" s="7" t="str">
        <f>VLOOKUP(A2361,Sheet2!$A$2:$R$3432,3,0)</f>
        <v>KRUNAL </v>
      </c>
      <c r="G2361" s="5" t="s">
        <v>25</v>
      </c>
      <c r="H2361" s="5" t="s">
        <v>25</v>
      </c>
      <c r="I2361" s="5" t="s">
        <v>25</v>
      </c>
      <c r="J2361" s="5" t="s">
        <v>25</v>
      </c>
      <c r="K2361" s="7" t="str">
        <f>VLOOKUP(A2361,Sheet2!$A$2:$R$3432,6,0)</f>
        <v>Honda Activa 3G</v>
      </c>
      <c r="L2361" s="5" t="s">
        <v>25</v>
      </c>
      <c r="M2361" s="7" t="str">
        <f>VLOOKUP(A2361,Sheet2!$A$2:$R$3432,5,0)</f>
        <v>KA05JX2660</v>
      </c>
      <c r="N2361" s="5" t="s">
        <v>25</v>
      </c>
      <c r="O2361" s="5" t="s">
        <v>25</v>
      </c>
      <c r="P2361" s="6" t="s">
        <v>25</v>
      </c>
      <c r="Q2361" s="5" t="s">
        <v>25</v>
      </c>
      <c r="R2361" s="5" t="s">
        <v>25</v>
      </c>
      <c r="S2361" s="5" t="str">
        <f>VLOOKUP(A2361,Sheet2!$A$2:$R$3432,18,0)</f>
        <v>JF50ET3832583</v>
      </c>
      <c r="T2361" s="7" t="str">
        <f>VLOOKUP(A2361,Sheet2!$A$2:$R$3432,17,0)</f>
        <v>ME4JF505JG1832</v>
      </c>
    </row>
    <row r="2362" ht="15.75" customHeight="1">
      <c r="A2362" s="3" t="s">
        <v>2385</v>
      </c>
      <c r="B2362" s="4" t="str">
        <f>VLOOKUP(A2362,Sheet2!$A$2:$R$3432,2,0)</f>
        <v>2025-04-28 20:19:12</v>
      </c>
      <c r="C2362" s="5" t="s">
        <v>25</v>
      </c>
      <c r="D2362" s="6" t="s">
        <v>25</v>
      </c>
      <c r="E2362" s="7">
        <f>VLOOKUP(A2362,Sheet2!$A$2:$R$3432,4,0)</f>
        <v>7822043086</v>
      </c>
      <c r="F2362" s="7" t="str">
        <f>VLOOKUP(A2362,Sheet2!$A$2:$R$3432,3,0)</f>
        <v>PAWAN</v>
      </c>
      <c r="G2362" s="5" t="s">
        <v>25</v>
      </c>
      <c r="H2362" s="5" t="s">
        <v>25</v>
      </c>
      <c r="I2362" s="5" t="s">
        <v>25</v>
      </c>
      <c r="J2362" s="5" t="s">
        <v>25</v>
      </c>
      <c r="K2362" s="7" t="str">
        <f>VLOOKUP(A2362,Sheet2!$A$2:$R$3432,6,0)</f>
        <v>Bajaj Pulsar 220F</v>
      </c>
      <c r="L2362" s="5" t="s">
        <v>25</v>
      </c>
      <c r="M2362" s="7" t="str">
        <f>VLOOKUP(A2362,Sheet2!$A$2:$R$3432,5,0)</f>
        <v>MH21BR2106</v>
      </c>
      <c r="N2362" s="5" t="s">
        <v>25</v>
      </c>
      <c r="O2362" s="5" t="s">
        <v>25</v>
      </c>
      <c r="P2362" s="6" t="s">
        <v>25</v>
      </c>
      <c r="Q2362" s="5" t="s">
        <v>25</v>
      </c>
      <c r="R2362" s="5" t="s">
        <v>25</v>
      </c>
      <c r="S2362" s="7" t="str">
        <f>VLOOKUP(A2362,Sheet2!$A$2:$R$3432,18,0)</f>
        <v/>
      </c>
      <c r="T2362" s="7" t="str">
        <f>VLOOKUP(A2362,Sheet2!$A$2:$R$3432,17,0)</f>
        <v/>
      </c>
    </row>
    <row r="2363" ht="15.75" customHeight="1">
      <c r="A2363" s="3" t="s">
        <v>2386</v>
      </c>
      <c r="B2363" s="4" t="str">
        <f>VLOOKUP(A2363,Sheet2!$A$2:$R$3432,2,0)</f>
        <v>2025-04-28 18:28:08</v>
      </c>
      <c r="C2363" s="5" t="s">
        <v>25</v>
      </c>
      <c r="D2363" s="6" t="s">
        <v>25</v>
      </c>
      <c r="E2363" s="7">
        <f>VLOOKUP(A2363,Sheet2!$A$2:$R$3432,4,0)</f>
        <v>8605995231</v>
      </c>
      <c r="F2363" s="7" t="str">
        <f>VLOOKUP(A2363,Sheet2!$A$2:$R$3432,3,0)</f>
        <v>Nisad</v>
      </c>
      <c r="G2363" s="5" t="s">
        <v>25</v>
      </c>
      <c r="H2363" s="5" t="s">
        <v>25</v>
      </c>
      <c r="I2363" s="5" t="s">
        <v>25</v>
      </c>
      <c r="J2363" s="5" t="s">
        <v>25</v>
      </c>
      <c r="K2363" s="7" t="str">
        <f>VLOOKUP(A2363,Sheet2!$A$2:$R$3432,6,0)</f>
        <v>Honda Livo </v>
      </c>
      <c r="L2363" s="5" t="s">
        <v>25</v>
      </c>
      <c r="M2363" s="7" t="str">
        <f>VLOOKUP(A2363,Sheet2!$A$2:$R$3432,5,0)</f>
        <v>MH14FF5517</v>
      </c>
      <c r="N2363" s="5" t="s">
        <v>25</v>
      </c>
      <c r="O2363" s="5" t="s">
        <v>25</v>
      </c>
      <c r="P2363" s="6" t="s">
        <v>25</v>
      </c>
      <c r="Q2363" s="5" t="s">
        <v>25</v>
      </c>
      <c r="R2363" s="5" t="s">
        <v>25</v>
      </c>
      <c r="S2363" s="5" t="str">
        <f>VLOOKUP(A2363,Sheet2!$A$2:$R$3432,18,0)</f>
        <v>JC71ET0046267</v>
      </c>
      <c r="T2363" s="7" t="str">
        <f>VLOOKUP(A2363,Sheet2!$A$2:$R$3432,17,0)</f>
        <v>MH4JC712KFT016746</v>
      </c>
    </row>
    <row r="2364" ht="15.75" customHeight="1">
      <c r="A2364" s="3" t="s">
        <v>2387</v>
      </c>
      <c r="B2364" s="4" t="str">
        <f>VLOOKUP(A2364,Sheet2!$A$2:$R$3432,2,0)</f>
        <v>2025-04-28 18:21:32</v>
      </c>
      <c r="C2364" s="5" t="s">
        <v>25</v>
      </c>
      <c r="D2364" s="6" t="s">
        <v>25</v>
      </c>
      <c r="E2364" s="7">
        <f>VLOOKUP(A2364,Sheet2!$A$2:$R$3432,4,0)</f>
        <v>9822041549</v>
      </c>
      <c r="F2364" s="7" t="str">
        <f>VLOOKUP(A2364,Sheet2!$A$2:$R$3432,3,0)</f>
        <v>Jadhav</v>
      </c>
      <c r="G2364" s="5" t="s">
        <v>25</v>
      </c>
      <c r="H2364" s="5" t="s">
        <v>25</v>
      </c>
      <c r="I2364" s="5" t="s">
        <v>25</v>
      </c>
      <c r="J2364" s="5" t="s">
        <v>25</v>
      </c>
      <c r="K2364" s="7" t="str">
        <f>VLOOKUP(A2364,Sheet2!$A$2:$R$3432,6,0)</f>
        <v>Honda Activa 5G</v>
      </c>
      <c r="L2364" s="5" t="s">
        <v>25</v>
      </c>
      <c r="M2364" s="7" t="str">
        <f>VLOOKUP(A2364,Sheet2!$A$2:$R$3432,5,0)</f>
        <v>MH12RX6010</v>
      </c>
      <c r="N2364" s="5" t="s">
        <v>25</v>
      </c>
      <c r="O2364" s="5" t="s">
        <v>25</v>
      </c>
      <c r="P2364" s="6" t="s">
        <v>25</v>
      </c>
      <c r="Q2364" s="5" t="s">
        <v>25</v>
      </c>
      <c r="R2364" s="5" t="s">
        <v>25</v>
      </c>
      <c r="S2364" s="7" t="str">
        <f>VLOOKUP(A2364,Sheet2!$A$2:$R$3432,18,0)</f>
        <v/>
      </c>
      <c r="T2364" s="7" t="str">
        <f>VLOOKUP(A2364,Sheet2!$A$2:$R$3432,17,0)</f>
        <v>ME4JF50AFKW105505</v>
      </c>
    </row>
    <row r="2365" ht="15.75" customHeight="1">
      <c r="A2365" s="3" t="s">
        <v>2388</v>
      </c>
      <c r="B2365" s="4" t="str">
        <f>VLOOKUP(A2365,Sheet2!$A$2:$R$3432,2,0)</f>
        <v>2025-04-28 20:18:21</v>
      </c>
      <c r="C2365" s="5" t="s">
        <v>25</v>
      </c>
      <c r="D2365" s="6" t="s">
        <v>25</v>
      </c>
      <c r="E2365" s="7">
        <f>VLOOKUP(A2365,Sheet2!$A$2:$R$3432,4,0)</f>
        <v>7069956654</v>
      </c>
      <c r="F2365" s="7" t="str">
        <f>VLOOKUP(A2365,Sheet2!$A$2:$R$3432,3,0)</f>
        <v>PUNJAB SIND FOODS PVT LTD</v>
      </c>
      <c r="G2365" s="5" t="s">
        <v>25</v>
      </c>
      <c r="H2365" s="5" t="s">
        <v>25</v>
      </c>
      <c r="I2365" s="5" t="s">
        <v>25</v>
      </c>
      <c r="J2365" s="5" t="s">
        <v>25</v>
      </c>
      <c r="K2365" s="7" t="str">
        <f>VLOOKUP(A2365,Sheet2!$A$2:$R$3432,6,0)</f>
        <v>Honda Dream Yuga </v>
      </c>
      <c r="L2365" s="5" t="s">
        <v>25</v>
      </c>
      <c r="M2365" s="7" t="str">
        <f>VLOOKUP(A2365,Sheet2!$A$2:$R$3432,5,0)</f>
        <v>GJ15BH2984</v>
      </c>
      <c r="N2365" s="5" t="s">
        <v>25</v>
      </c>
      <c r="O2365" s="5" t="s">
        <v>25</v>
      </c>
      <c r="P2365" s="6" t="s">
        <v>25</v>
      </c>
      <c r="Q2365" s="5" t="s">
        <v>25</v>
      </c>
      <c r="R2365" s="5" t="s">
        <v>25</v>
      </c>
      <c r="S2365" s="7" t="str">
        <f>VLOOKUP(A2365,Sheet2!$A$2:$R$3432,18,0)</f>
        <v/>
      </c>
      <c r="T2365" s="7" t="str">
        <f>VLOOKUP(A2365,Sheet2!$A$2:$R$3432,17,0)</f>
        <v/>
      </c>
    </row>
    <row r="2366" ht="15.75" customHeight="1">
      <c r="A2366" s="3" t="s">
        <v>2389</v>
      </c>
      <c r="B2366" s="4" t="str">
        <f>VLOOKUP(A2366,Sheet2!$A$2:$R$3432,2,0)</f>
        <v>2024-09-12 20:35:04</v>
      </c>
      <c r="C2366" s="5" t="s">
        <v>25</v>
      </c>
      <c r="D2366" s="6" t="s">
        <v>25</v>
      </c>
      <c r="E2366" s="7">
        <f>VLOOKUP(A2366,Sheet2!$A$2:$R$3432,4,0)</f>
        <v>9730014643</v>
      </c>
      <c r="F2366" s="7" t="str">
        <f>VLOOKUP(A2366,Sheet2!$A$2:$R$3432,3,0)</f>
        <v>Siddharth</v>
      </c>
      <c r="G2366" s="5" t="s">
        <v>25</v>
      </c>
      <c r="H2366" s="5" t="s">
        <v>25</v>
      </c>
      <c r="I2366" s="5" t="s">
        <v>25</v>
      </c>
      <c r="J2366" s="5" t="s">
        <v>25</v>
      </c>
      <c r="K2366" s="7" t="str">
        <f>VLOOKUP(A2366,Sheet2!$A$2:$R$3432,6,0)</f>
        <v>Honda Activa 110</v>
      </c>
      <c r="L2366" s="5" t="s">
        <v>25</v>
      </c>
      <c r="M2366" s="7" t="str">
        <f>VLOOKUP(A2366,Sheet2!$A$2:$R$3432,5,0)</f>
        <v>MH12HT7727</v>
      </c>
      <c r="N2366" s="5" t="s">
        <v>25</v>
      </c>
      <c r="O2366" s="5" t="s">
        <v>25</v>
      </c>
      <c r="P2366" s="6" t="s">
        <v>25</v>
      </c>
      <c r="Q2366" s="5" t="s">
        <v>25</v>
      </c>
      <c r="R2366" s="5" t="s">
        <v>25</v>
      </c>
      <c r="S2366" s="5" t="str">
        <f>VLOOKUP(A2366,Sheet2!$A$2:$R$3432,18,0)</f>
        <v>JC44E1808126</v>
      </c>
      <c r="T2366" s="7" t="str">
        <f>VLOOKUP(A2366,Sheet2!$A$2:$R$3432,17,0)</f>
        <v>ME4JC44814886MB8697046</v>
      </c>
    </row>
    <row r="2367" ht="15.75" customHeight="1">
      <c r="A2367" s="3" t="s">
        <v>2390</v>
      </c>
      <c r="B2367" s="4" t="str">
        <f>VLOOKUP(A2367,Sheet2!$A$2:$R$3432,2,0)</f>
        <v>2024-09-12 20:36:28</v>
      </c>
      <c r="C2367" s="5" t="s">
        <v>25</v>
      </c>
      <c r="D2367" s="6" t="s">
        <v>25</v>
      </c>
      <c r="E2367" s="7">
        <f>VLOOKUP(A2367,Sheet2!$A$2:$R$3432,4,0)</f>
        <v>9960409602</v>
      </c>
      <c r="F2367" s="7" t="str">
        <f>VLOOKUP(A2367,Sheet2!$A$2:$R$3432,3,0)</f>
        <v>Deepak Raut</v>
      </c>
      <c r="G2367" s="5" t="s">
        <v>25</v>
      </c>
      <c r="H2367" s="5" t="s">
        <v>25</v>
      </c>
      <c r="I2367" s="5" t="s">
        <v>25</v>
      </c>
      <c r="J2367" s="5" t="s">
        <v>25</v>
      </c>
      <c r="K2367" s="7" t="str">
        <f>VLOOKUP(A2367,Sheet2!$A$2:$R$3432,6,0)</f>
        <v>Honda Shine HET</v>
      </c>
      <c r="L2367" s="5" t="s">
        <v>25</v>
      </c>
      <c r="M2367" s="7" t="str">
        <f>VLOOKUP(A2367,Sheet2!$A$2:$R$3432,5,0)</f>
        <v>MH14DU8185</v>
      </c>
      <c r="N2367" s="5" t="s">
        <v>25</v>
      </c>
      <c r="O2367" s="5" t="s">
        <v>25</v>
      </c>
      <c r="P2367" s="6" t="s">
        <v>25</v>
      </c>
      <c r="Q2367" s="5" t="s">
        <v>25</v>
      </c>
      <c r="R2367" s="5" t="s">
        <v>25</v>
      </c>
      <c r="S2367" s="7" t="str">
        <f>VLOOKUP(A2367,Sheet2!$A$2:$R$3432,18,0)</f>
        <v/>
      </c>
      <c r="T2367" s="7" t="str">
        <f>VLOOKUP(A2367,Sheet2!$A$2:$R$3432,17,0)</f>
        <v>ME4JC36KAD7154478</v>
      </c>
    </row>
    <row r="2368" ht="15.75" customHeight="1">
      <c r="A2368" s="3" t="s">
        <v>2391</v>
      </c>
      <c r="B2368" s="4" t="str">
        <f>VLOOKUP(A2368,Sheet2!$A$2:$R$3432,2,0)</f>
        <v>2024-09-12 20:39:01</v>
      </c>
      <c r="C2368" s="5" t="s">
        <v>25</v>
      </c>
      <c r="D2368" s="6" t="s">
        <v>25</v>
      </c>
      <c r="E2368" s="7">
        <f>VLOOKUP(A2368,Sheet2!$A$2:$R$3432,4,0)</f>
        <v>9923596963</v>
      </c>
      <c r="F2368" s="7" t="str">
        <f>VLOOKUP(A2368,Sheet2!$A$2:$R$3432,3,0)</f>
        <v>Nitin Mandavkar</v>
      </c>
      <c r="G2368" s="5" t="s">
        <v>25</v>
      </c>
      <c r="H2368" s="5" t="s">
        <v>25</v>
      </c>
      <c r="I2368" s="5" t="s">
        <v>25</v>
      </c>
      <c r="J2368" s="5" t="s">
        <v>25</v>
      </c>
      <c r="K2368" s="7" t="str">
        <f>VLOOKUP(A2368,Sheet2!$A$2:$R$3432,6,0)</f>
        <v>TVS Jupiter </v>
      </c>
      <c r="L2368" s="5" t="s">
        <v>25</v>
      </c>
      <c r="M2368" s="7" t="str">
        <f>VLOOKUP(A2368,Sheet2!$A$2:$R$3432,5,0)</f>
        <v>MH14GJ4408</v>
      </c>
      <c r="N2368" s="5" t="s">
        <v>25</v>
      </c>
      <c r="O2368" s="5" t="s">
        <v>25</v>
      </c>
      <c r="P2368" s="6" t="s">
        <v>25</v>
      </c>
      <c r="Q2368" s="5" t="s">
        <v>25</v>
      </c>
      <c r="R2368" s="5" t="s">
        <v>25</v>
      </c>
      <c r="S2368" s="7" t="str">
        <f>VLOOKUP(A2368,Sheet2!$A$2:$R$3432,18,0)</f>
        <v/>
      </c>
      <c r="T2368" s="7" t="str">
        <f>VLOOKUP(A2368,Sheet2!$A$2:$R$3432,17,0)</f>
        <v>MD626EG41H361114</v>
      </c>
    </row>
    <row r="2369" ht="15.75" customHeight="1">
      <c r="A2369" s="3" t="s">
        <v>2392</v>
      </c>
      <c r="B2369" s="4" t="str">
        <f>VLOOKUP(A2369,Sheet2!$A$2:$R$3432,2,0)</f>
        <v>2024-09-12 20:35:27</v>
      </c>
      <c r="C2369" s="5" t="s">
        <v>25</v>
      </c>
      <c r="D2369" s="6" t="s">
        <v>25</v>
      </c>
      <c r="E2369" s="7">
        <f>VLOOKUP(A2369,Sheet2!$A$2:$R$3432,4,0)</f>
        <v>9168175467</v>
      </c>
      <c r="F2369" s="7" t="str">
        <f>VLOOKUP(A2369,Sheet2!$A$2:$R$3432,3,0)</f>
        <v>ANKIT</v>
      </c>
      <c r="G2369" s="5" t="s">
        <v>25</v>
      </c>
      <c r="H2369" s="5" t="s">
        <v>25</v>
      </c>
      <c r="I2369" s="5" t="s">
        <v>25</v>
      </c>
      <c r="J2369" s="5" t="s">
        <v>25</v>
      </c>
      <c r="K2369" s="7" t="str">
        <f>VLOOKUP(A2369,Sheet2!$A$2:$R$3432,6,0)</f>
        <v>Honda Activa 5G</v>
      </c>
      <c r="L2369" s="5" t="s">
        <v>25</v>
      </c>
      <c r="M2369" s="7" t="str">
        <f>VLOOKUP(A2369,Sheet2!$A$2:$R$3432,5,0)</f>
        <v>MH14HC8214</v>
      </c>
      <c r="N2369" s="5" t="s">
        <v>25</v>
      </c>
      <c r="O2369" s="5" t="s">
        <v>25</v>
      </c>
      <c r="P2369" s="6" t="s">
        <v>25</v>
      </c>
      <c r="Q2369" s="5" t="s">
        <v>25</v>
      </c>
      <c r="R2369" s="5" t="s">
        <v>25</v>
      </c>
      <c r="S2369" s="7" t="str">
        <f>VLOOKUP(A2369,Sheet2!$A$2:$R$3432,18,0)</f>
        <v/>
      </c>
      <c r="T2369" s="7" t="str">
        <f>VLOOKUP(A2369,Sheet2!$A$2:$R$3432,17,0)</f>
        <v/>
      </c>
    </row>
    <row r="2370" ht="15.75" customHeight="1">
      <c r="A2370" s="3" t="s">
        <v>2393</v>
      </c>
      <c r="B2370" s="4" t="str">
        <f>VLOOKUP(A2370,Sheet2!$A$2:$R$3432,2,0)</f>
        <v>2024-09-12 20:31:44</v>
      </c>
      <c r="C2370" s="5" t="s">
        <v>25</v>
      </c>
      <c r="D2370" s="6" t="s">
        <v>25</v>
      </c>
      <c r="E2370" s="7">
        <f>VLOOKUP(A2370,Sheet2!$A$2:$R$3432,4,0)</f>
        <v>9270075007</v>
      </c>
      <c r="F2370" s="7" t="str">
        <f>VLOOKUP(A2370,Sheet2!$A$2:$R$3432,3,0)</f>
        <v>RUTURAJ JAGTAP</v>
      </c>
      <c r="G2370" s="5" t="s">
        <v>25</v>
      </c>
      <c r="H2370" s="5" t="s">
        <v>25</v>
      </c>
      <c r="I2370" s="5" t="s">
        <v>25</v>
      </c>
      <c r="J2370" s="5" t="s">
        <v>25</v>
      </c>
      <c r="K2370" s="7" t="str">
        <f>VLOOKUP(A2370,Sheet2!$A$2:$R$3432,6,0)</f>
        <v>Honda CBR 150R</v>
      </c>
      <c r="L2370" s="5" t="s">
        <v>25</v>
      </c>
      <c r="M2370" s="7" t="str">
        <f>VLOOKUP(A2370,Sheet2!$A$2:$R$3432,5,0)</f>
        <v>MH12KD3514</v>
      </c>
      <c r="N2370" s="5" t="s">
        <v>25</v>
      </c>
      <c r="O2370" s="5" t="s">
        <v>25</v>
      </c>
      <c r="P2370" s="6" t="s">
        <v>25</v>
      </c>
      <c r="Q2370" s="5" t="s">
        <v>25</v>
      </c>
      <c r="R2370" s="5" t="s">
        <v>25</v>
      </c>
      <c r="S2370" s="7" t="str">
        <f>VLOOKUP(A2370,Sheet2!$A$2:$R$3432,18,0)</f>
        <v/>
      </c>
      <c r="T2370" s="7" t="str">
        <f>VLOOKUP(A2370,Sheet2!$A$2:$R$3432,17,0)</f>
        <v/>
      </c>
    </row>
    <row r="2371" ht="15.75" customHeight="1">
      <c r="A2371" s="3" t="s">
        <v>2394</v>
      </c>
      <c r="B2371" s="4" t="str">
        <f>VLOOKUP(A2371,Sheet2!$A$2:$R$3432,2,0)</f>
        <v>2024-09-12 20:33:24</v>
      </c>
      <c r="C2371" s="5" t="s">
        <v>25</v>
      </c>
      <c r="D2371" s="6" t="s">
        <v>25</v>
      </c>
      <c r="E2371" s="7">
        <f>VLOOKUP(A2371,Sheet2!$A$2:$R$3432,4,0)</f>
        <v>9175645184</v>
      </c>
      <c r="F2371" s="7" t="str">
        <f>VLOOKUP(A2371,Sheet2!$A$2:$R$3432,3,0)</f>
        <v>RAM NARESH</v>
      </c>
      <c r="G2371" s="5" t="s">
        <v>25</v>
      </c>
      <c r="H2371" s="5" t="s">
        <v>25</v>
      </c>
      <c r="I2371" s="5" t="s">
        <v>25</v>
      </c>
      <c r="J2371" s="5" t="s">
        <v>25</v>
      </c>
      <c r="K2371" s="7" t="str">
        <f>VLOOKUP(A2371,Sheet2!$A$2:$R$3432,6,0)</f>
        <v>TVS Victor </v>
      </c>
      <c r="L2371" s="5" t="s">
        <v>25</v>
      </c>
      <c r="M2371" s="7" t="str">
        <f>VLOOKUP(A2371,Sheet2!$A$2:$R$3432,5,0)</f>
        <v>MH12QP5582</v>
      </c>
      <c r="N2371" s="5" t="s">
        <v>25</v>
      </c>
      <c r="O2371" s="5" t="s">
        <v>25</v>
      </c>
      <c r="P2371" s="6" t="s">
        <v>25</v>
      </c>
      <c r="Q2371" s="5" t="s">
        <v>25</v>
      </c>
      <c r="R2371" s="5" t="s">
        <v>25</v>
      </c>
      <c r="S2371" s="5" t="str">
        <f>VLOOKUP(A2371,Sheet2!$A$2:$R$3432,18,0)</f>
        <v>LE1EJ1714914</v>
      </c>
      <c r="T2371" s="7" t="str">
        <f>VLOOKUP(A2371,Sheet2!$A$2:$R$3432,17,0)</f>
        <v>MD625GF11J1E23809</v>
      </c>
    </row>
    <row r="2372" ht="15.75" customHeight="1">
      <c r="A2372" s="3" t="s">
        <v>2395</v>
      </c>
      <c r="B2372" s="4" t="str">
        <f>VLOOKUP(A2372,Sheet2!$A$2:$R$3432,2,0)</f>
        <v>2024-09-12 20:34:05</v>
      </c>
      <c r="C2372" s="5" t="s">
        <v>25</v>
      </c>
      <c r="D2372" s="6" t="s">
        <v>25</v>
      </c>
      <c r="E2372" s="7">
        <f>VLOOKUP(A2372,Sheet2!$A$2:$R$3432,4,0)</f>
        <v>9011124911</v>
      </c>
      <c r="F2372" s="7" t="str">
        <f>VLOOKUP(A2372,Sheet2!$A$2:$R$3432,3,0)</f>
        <v>Trishul Rai</v>
      </c>
      <c r="G2372" s="5" t="s">
        <v>25</v>
      </c>
      <c r="H2372" s="5" t="s">
        <v>25</v>
      </c>
      <c r="I2372" s="5" t="s">
        <v>25</v>
      </c>
      <c r="J2372" s="5" t="s">
        <v>25</v>
      </c>
      <c r="K2372" s="7" t="str">
        <f>VLOOKUP(A2372,Sheet2!$A$2:$R$3432,6,0)</f>
        <v>Suzuki Access 125</v>
      </c>
      <c r="L2372" s="5" t="s">
        <v>25</v>
      </c>
      <c r="M2372" s="7" t="str">
        <f>VLOOKUP(A2372,Sheet2!$A$2:$R$3432,5,0)</f>
        <v>MH14EE1246</v>
      </c>
      <c r="N2372" s="5" t="s">
        <v>25</v>
      </c>
      <c r="O2372" s="5" t="s">
        <v>25</v>
      </c>
      <c r="P2372" s="6" t="s">
        <v>25</v>
      </c>
      <c r="Q2372" s="5" t="s">
        <v>25</v>
      </c>
      <c r="R2372" s="5" t="s">
        <v>25</v>
      </c>
      <c r="S2372" s="7" t="str">
        <f>VLOOKUP(A2372,Sheet2!$A$2:$R$3432,18,0)</f>
        <v/>
      </c>
      <c r="T2372" s="7" t="str">
        <f>VLOOKUP(A2372,Sheet2!$A$2:$R$3432,17,0)</f>
        <v/>
      </c>
    </row>
    <row r="2373" ht="15.75" customHeight="1">
      <c r="A2373" s="3" t="s">
        <v>2396</v>
      </c>
      <c r="B2373" s="4" t="str">
        <f>VLOOKUP(A2373,Sheet2!$A$2:$R$3432,2,0)</f>
        <v>2024-09-12 20:34:28</v>
      </c>
      <c r="C2373" s="5" t="s">
        <v>25</v>
      </c>
      <c r="D2373" s="6" t="s">
        <v>25</v>
      </c>
      <c r="E2373" s="7">
        <f>VLOOKUP(A2373,Sheet2!$A$2:$R$3432,4,0)</f>
        <v>8208424628</v>
      </c>
      <c r="F2373" s="7" t="str">
        <f>VLOOKUP(A2373,Sheet2!$A$2:$R$3432,3,0)</f>
        <v>Gaurav Chaudhari</v>
      </c>
      <c r="G2373" s="5" t="s">
        <v>25</v>
      </c>
      <c r="H2373" s="5" t="s">
        <v>25</v>
      </c>
      <c r="I2373" s="5" t="s">
        <v>25</v>
      </c>
      <c r="J2373" s="5" t="s">
        <v>25</v>
      </c>
      <c r="K2373" s="7" t="str">
        <f>VLOOKUP(A2373,Sheet2!$A$2:$R$3432,6,0)</f>
        <v>Hero Passion XPRO</v>
      </c>
      <c r="L2373" s="5" t="s">
        <v>25</v>
      </c>
      <c r="M2373" s="7" t="str">
        <f>VLOOKUP(A2373,Sheet2!$A$2:$R$3432,5,0)</f>
        <v>MH19DE8406</v>
      </c>
      <c r="N2373" s="5" t="s">
        <v>25</v>
      </c>
      <c r="O2373" s="5" t="s">
        <v>25</v>
      </c>
      <c r="P2373" s="6" t="s">
        <v>25</v>
      </c>
      <c r="Q2373" s="5" t="s">
        <v>25</v>
      </c>
      <c r="R2373" s="5" t="s">
        <v>25</v>
      </c>
      <c r="S2373" s="5" t="str">
        <f>VLOOKUP(A2373,Sheet2!$A$2:$R$3432,18,0)</f>
        <v>JA06ETJGE08787</v>
      </c>
      <c r="T2373" s="7" t="str">
        <f>VLOOKUP(A2373,Sheet2!$A$2:$R$3432,17,0)</f>
        <v>MBLJAR151JGE07143</v>
      </c>
    </row>
    <row r="2374" ht="15.75" customHeight="1">
      <c r="A2374" s="3" t="s">
        <v>2397</v>
      </c>
      <c r="B2374" s="4" t="str">
        <f>VLOOKUP(A2374,Sheet2!$A$2:$R$3432,2,0)</f>
        <v>2024-09-12 20:38:41</v>
      </c>
      <c r="C2374" s="5" t="s">
        <v>25</v>
      </c>
      <c r="D2374" s="6" t="s">
        <v>25</v>
      </c>
      <c r="E2374" s="7">
        <f>VLOOKUP(A2374,Sheet2!$A$2:$R$3432,4,0)</f>
        <v>9766136533</v>
      </c>
      <c r="F2374" s="7" t="str">
        <f>VLOOKUP(A2374,Sheet2!$A$2:$R$3432,3,0)</f>
        <v>AALHAD </v>
      </c>
      <c r="G2374" s="5" t="s">
        <v>25</v>
      </c>
      <c r="H2374" s="5" t="s">
        <v>25</v>
      </c>
      <c r="I2374" s="5" t="s">
        <v>25</v>
      </c>
      <c r="J2374" s="5" t="s">
        <v>25</v>
      </c>
      <c r="K2374" s="7" t="str">
        <f>VLOOKUP(A2374,Sheet2!$A$2:$R$3432,6,0)</f>
        <v>Bajaj Pulsar 150</v>
      </c>
      <c r="L2374" s="5" t="s">
        <v>25</v>
      </c>
      <c r="M2374" s="7" t="str">
        <f>VLOOKUP(A2374,Sheet2!$A$2:$R$3432,5,0)</f>
        <v>MH29Q2749</v>
      </c>
      <c r="N2374" s="5" t="s">
        <v>25</v>
      </c>
      <c r="O2374" s="5" t="s">
        <v>25</v>
      </c>
      <c r="P2374" s="6" t="s">
        <v>25</v>
      </c>
      <c r="Q2374" s="5" t="s">
        <v>25</v>
      </c>
      <c r="R2374" s="5" t="s">
        <v>25</v>
      </c>
      <c r="S2374" s="5" t="str">
        <f>VLOOKUP(A2374,Sheet2!$A$2:$R$3432,18,0)</f>
        <v>DHGBNL6029</v>
      </c>
      <c r="T2374" s="7" t="str">
        <f>VLOOKUP(A2374,Sheet2!$A$2:$R$3432,17,0)</f>
        <v>MD2DHZZNCL22631</v>
      </c>
    </row>
    <row r="2375" ht="15.75" customHeight="1">
      <c r="A2375" s="3" t="s">
        <v>2398</v>
      </c>
      <c r="B2375" s="4" t="str">
        <f>VLOOKUP(A2375,Sheet2!$A$2:$R$3432,2,0)</f>
        <v>2024-11-10 20:05:49</v>
      </c>
      <c r="C2375" s="5" t="s">
        <v>25</v>
      </c>
      <c r="D2375" s="6" t="s">
        <v>25</v>
      </c>
      <c r="E2375" s="7">
        <f>VLOOKUP(A2375,Sheet2!$A$2:$R$3432,4,0)</f>
        <v>9623441461</v>
      </c>
      <c r="F2375" s="7" t="str">
        <f>VLOOKUP(A2375,Sheet2!$A$2:$R$3432,3,0)</f>
        <v>Ravindra Mungale</v>
      </c>
      <c r="G2375" s="5" t="s">
        <v>25</v>
      </c>
      <c r="H2375" s="5" t="s">
        <v>25</v>
      </c>
      <c r="I2375" s="5" t="s">
        <v>25</v>
      </c>
      <c r="J2375" s="5" t="s">
        <v>25</v>
      </c>
      <c r="K2375" s="7" t="str">
        <f>VLOOKUP(A2375,Sheet2!$A$2:$R$3432,6,0)</f>
        <v>Suzuki Access 125</v>
      </c>
      <c r="L2375" s="5" t="s">
        <v>25</v>
      </c>
      <c r="M2375" s="7" t="str">
        <f>VLOOKUP(A2375,Sheet2!$A$2:$R$3432,5,0)</f>
        <v>MH14GR8441</v>
      </c>
      <c r="N2375" s="5" t="s">
        <v>25</v>
      </c>
      <c r="O2375" s="5" t="s">
        <v>25</v>
      </c>
      <c r="P2375" s="6" t="s">
        <v>25</v>
      </c>
      <c r="Q2375" s="5" t="s">
        <v>25</v>
      </c>
      <c r="R2375" s="5" t="s">
        <v>25</v>
      </c>
      <c r="S2375" s="5" t="str">
        <f>VLOOKUP(A2375,Sheet2!$A$2:$R$3432,18,0)</f>
        <v>AF211442629</v>
      </c>
      <c r="T2375" s="7" t="str">
        <f>VLOOKUP(A2375,Sheet2!$A$2:$R$3432,17,0)</f>
        <v>MB8DP11AJH8570591</v>
      </c>
    </row>
    <row r="2376" ht="15.75" customHeight="1">
      <c r="A2376" s="3" t="s">
        <v>2399</v>
      </c>
      <c r="B2376" s="4" t="str">
        <f>VLOOKUP(A2376,Sheet2!$A$2:$R$3432,2,0)</f>
        <v>2024-11-10 20:03:34</v>
      </c>
      <c r="C2376" s="5" t="s">
        <v>25</v>
      </c>
      <c r="D2376" s="6" t="s">
        <v>25</v>
      </c>
      <c r="E2376" s="7">
        <f>VLOOKUP(A2376,Sheet2!$A$2:$R$3432,4,0)</f>
        <v>9426566757</v>
      </c>
      <c r="F2376" s="7" t="str">
        <f>VLOOKUP(A2376,Sheet2!$A$2:$R$3432,3,0)</f>
        <v>Ilesh Mankad</v>
      </c>
      <c r="G2376" s="5" t="s">
        <v>25</v>
      </c>
      <c r="H2376" s="5" t="s">
        <v>25</v>
      </c>
      <c r="I2376" s="5" t="s">
        <v>25</v>
      </c>
      <c r="J2376" s="5" t="s">
        <v>25</v>
      </c>
      <c r="K2376" s="7" t="str">
        <f>VLOOKUP(A2376,Sheet2!$A$2:$R$3432,6,0)</f>
        <v>Suzuki Access </v>
      </c>
      <c r="L2376" s="5" t="s">
        <v>25</v>
      </c>
      <c r="M2376" s="7" t="str">
        <f>VLOOKUP(A2376,Sheet2!$A$2:$R$3432,5,0)</f>
        <v>MH14BY8319</v>
      </c>
      <c r="N2376" s="5" t="s">
        <v>25</v>
      </c>
      <c r="O2376" s="5" t="s">
        <v>25</v>
      </c>
      <c r="P2376" s="6" t="s">
        <v>25</v>
      </c>
      <c r="Q2376" s="5" t="s">
        <v>25</v>
      </c>
      <c r="R2376" s="5" t="s">
        <v>25</v>
      </c>
      <c r="S2376" s="5" t="str">
        <f>VLOOKUP(A2376,Sheet2!$A$2:$R$3432,18,0)</f>
        <v>F484289046</v>
      </c>
      <c r="T2376" s="7" t="str">
        <f>VLOOKUP(A2376,Sheet2!$A$2:$R$3432,17,0)</f>
        <v>MB8CF4CAM98288946</v>
      </c>
    </row>
    <row r="2377" ht="15.75" customHeight="1">
      <c r="A2377" s="3" t="s">
        <v>2400</v>
      </c>
      <c r="B2377" s="4" t="str">
        <f>VLOOKUP(A2377,Sheet2!$A$2:$R$3432,2,0)</f>
        <v>2024-11-10 20:24:04</v>
      </c>
      <c r="C2377" s="5" t="s">
        <v>25</v>
      </c>
      <c r="D2377" s="6" t="s">
        <v>25</v>
      </c>
      <c r="E2377" s="7">
        <f>VLOOKUP(A2377,Sheet2!$A$2:$R$3432,4,0)</f>
        <v>9970725771</v>
      </c>
      <c r="F2377" s="7" t="str">
        <f>VLOOKUP(A2377,Sheet2!$A$2:$R$3432,3,0)</f>
        <v>Ashish </v>
      </c>
      <c r="G2377" s="5" t="s">
        <v>25</v>
      </c>
      <c r="H2377" s="5" t="s">
        <v>25</v>
      </c>
      <c r="I2377" s="5" t="s">
        <v>25</v>
      </c>
      <c r="J2377" s="5" t="s">
        <v>25</v>
      </c>
      <c r="K2377" s="7" t="str">
        <f>VLOOKUP(A2377,Sheet2!$A$2:$R$3432,6,0)</f>
        <v>Honda Activa 6G</v>
      </c>
      <c r="L2377" s="5" t="s">
        <v>25</v>
      </c>
      <c r="M2377" s="7" t="str">
        <f>VLOOKUP(A2377,Sheet2!$A$2:$R$3432,5,0)</f>
        <v>MH12WN9504</v>
      </c>
      <c r="N2377" s="5" t="s">
        <v>25</v>
      </c>
      <c r="O2377" s="5" t="s">
        <v>25</v>
      </c>
      <c r="P2377" s="6" t="s">
        <v>25</v>
      </c>
      <c r="Q2377" s="5" t="s">
        <v>25</v>
      </c>
      <c r="R2377" s="5" t="s">
        <v>25</v>
      </c>
      <c r="S2377" s="5" t="str">
        <f>VLOOKUP(A2377,Sheet2!$A$2:$R$3432,18,0)</f>
        <v>JK15EW4471644</v>
      </c>
      <c r="T2377" s="7" t="str">
        <f>VLOOKUP(A2377,Sheet2!$A$2:$R$3432,17,0)</f>
        <v>ME4JK156LRW571876</v>
      </c>
    </row>
    <row r="2378" ht="15.75" customHeight="1">
      <c r="A2378" s="3" t="s">
        <v>2401</v>
      </c>
      <c r="B2378" s="4" t="str">
        <f>VLOOKUP(A2378,Sheet2!$A$2:$R$3432,2,0)</f>
        <v>2024-11-10 20:24:40</v>
      </c>
      <c r="C2378" s="5" t="s">
        <v>25</v>
      </c>
      <c r="D2378" s="6" t="s">
        <v>25</v>
      </c>
      <c r="E2378" s="7">
        <f>VLOOKUP(A2378,Sheet2!$A$2:$R$3432,4,0)</f>
        <v>9604429500</v>
      </c>
      <c r="F2378" s="7" t="str">
        <f>VLOOKUP(A2378,Sheet2!$A$2:$R$3432,3,0)</f>
        <v>Kishor Shelke</v>
      </c>
      <c r="G2378" s="5" t="s">
        <v>25</v>
      </c>
      <c r="H2378" s="5" t="s">
        <v>25</v>
      </c>
      <c r="I2378" s="5" t="s">
        <v>25</v>
      </c>
      <c r="J2378" s="5" t="s">
        <v>25</v>
      </c>
      <c r="K2378" s="7" t="str">
        <f>VLOOKUP(A2378,Sheet2!$A$2:$R$3432,6,0)</f>
        <v>TVS Jupiter </v>
      </c>
      <c r="L2378" s="5" t="s">
        <v>25</v>
      </c>
      <c r="M2378" s="7" t="str">
        <f>VLOOKUP(A2378,Sheet2!$A$2:$R$3432,5,0)</f>
        <v>MH14HG8298</v>
      </c>
      <c r="N2378" s="5" t="s">
        <v>25</v>
      </c>
      <c r="O2378" s="5" t="s">
        <v>25</v>
      </c>
      <c r="P2378" s="6" t="s">
        <v>25</v>
      </c>
      <c r="Q2378" s="5" t="s">
        <v>25</v>
      </c>
      <c r="R2378" s="5" t="s">
        <v>25</v>
      </c>
      <c r="S2378" s="7" t="str">
        <f>VLOOKUP(A2378,Sheet2!$A$2:$R$3432,18,0)</f>
        <v/>
      </c>
      <c r="T2378" s="7" t="str">
        <f>VLOOKUP(A2378,Sheet2!$A$2:$R$3432,17,0)</f>
        <v/>
      </c>
    </row>
    <row r="2379" ht="15.75" customHeight="1">
      <c r="A2379" s="3" t="s">
        <v>2402</v>
      </c>
      <c r="B2379" s="4" t="str">
        <f>VLOOKUP(A2379,Sheet2!$A$2:$R$3432,2,0)</f>
        <v>2024-11-10 20:01:53</v>
      </c>
      <c r="C2379" s="5" t="s">
        <v>25</v>
      </c>
      <c r="D2379" s="6" t="s">
        <v>25</v>
      </c>
      <c r="E2379" s="7">
        <f>VLOOKUP(A2379,Sheet2!$A$2:$R$3432,4,0)</f>
        <v>9960690243</v>
      </c>
      <c r="F2379" s="7" t="str">
        <f>VLOOKUP(A2379,Sheet2!$A$2:$R$3432,3,0)</f>
        <v>Savita Mustapure</v>
      </c>
      <c r="G2379" s="5" t="s">
        <v>25</v>
      </c>
      <c r="H2379" s="5" t="s">
        <v>25</v>
      </c>
      <c r="I2379" s="5" t="s">
        <v>25</v>
      </c>
      <c r="J2379" s="5" t="s">
        <v>25</v>
      </c>
      <c r="K2379" s="7" t="str">
        <f>VLOOKUP(A2379,Sheet2!$A$2:$R$3432,6,0)</f>
        <v>Honda Activa 5G</v>
      </c>
      <c r="L2379" s="5" t="s">
        <v>25</v>
      </c>
      <c r="M2379" s="7" t="str">
        <f>VLOOKUP(A2379,Sheet2!$A$2:$R$3432,5,0)</f>
        <v>MH12RZ9336</v>
      </c>
      <c r="N2379" s="5" t="s">
        <v>25</v>
      </c>
      <c r="O2379" s="5" t="s">
        <v>25</v>
      </c>
      <c r="P2379" s="6" t="s">
        <v>25</v>
      </c>
      <c r="Q2379" s="5" t="s">
        <v>25</v>
      </c>
      <c r="R2379" s="5" t="s">
        <v>25</v>
      </c>
      <c r="S2379" s="5" t="str">
        <f>VLOOKUP(A2379,Sheet2!$A$2:$R$3432,18,0)</f>
        <v>JF92E11020186</v>
      </c>
      <c r="T2379" s="7" t="str">
        <f>VLOOKUP(A2379,Sheet2!$A$2:$R$3432,17,0)</f>
        <v>ME4JF022JKW00210</v>
      </c>
    </row>
    <row r="2380" ht="15.75" customHeight="1">
      <c r="A2380" s="3" t="s">
        <v>2403</v>
      </c>
      <c r="B2380" s="4" t="str">
        <f>VLOOKUP(A2380,Sheet2!$A$2:$R$3432,2,0)</f>
        <v>2024-11-10 20:00:33</v>
      </c>
      <c r="C2380" s="5" t="s">
        <v>25</v>
      </c>
      <c r="D2380" s="6" t="s">
        <v>25</v>
      </c>
      <c r="E2380" s="7">
        <f>VLOOKUP(A2380,Sheet2!$A$2:$R$3432,4,0)</f>
        <v>9545428497</v>
      </c>
      <c r="F2380" s="7" t="str">
        <f>VLOOKUP(A2380,Sheet2!$A$2:$R$3432,3,0)</f>
        <v>Ajay Javkar</v>
      </c>
      <c r="G2380" s="5" t="s">
        <v>25</v>
      </c>
      <c r="H2380" s="5" t="s">
        <v>25</v>
      </c>
      <c r="I2380" s="5" t="s">
        <v>25</v>
      </c>
      <c r="J2380" s="5" t="s">
        <v>25</v>
      </c>
      <c r="K2380" s="7" t="str">
        <f>VLOOKUP(A2380,Sheet2!$A$2:$R$3432,6,0)</f>
        <v>Honda Unicorn </v>
      </c>
      <c r="L2380" s="5" t="s">
        <v>25</v>
      </c>
      <c r="M2380" s="7" t="str">
        <f>VLOOKUP(A2380,Sheet2!$A$2:$R$3432,5,0)</f>
        <v>MH28BP3546</v>
      </c>
      <c r="N2380" s="5" t="s">
        <v>25</v>
      </c>
      <c r="O2380" s="5" t="s">
        <v>25</v>
      </c>
      <c r="P2380" s="6" t="s">
        <v>25</v>
      </c>
      <c r="Q2380" s="5" t="s">
        <v>25</v>
      </c>
      <c r="R2380" s="5" t="s">
        <v>25</v>
      </c>
      <c r="S2380" s="5" t="str">
        <f>VLOOKUP(A2380,Sheet2!$A$2:$R$3432,18,0)</f>
        <v>KC40EA0335533</v>
      </c>
      <c r="T2380" s="7" t="str">
        <f>VLOOKUP(A2380,Sheet2!$A$2:$R$3432,17,0)</f>
        <v>ME4KC401MMA335539</v>
      </c>
    </row>
    <row r="2381" ht="15.75" customHeight="1">
      <c r="A2381" s="3" t="s">
        <v>2404</v>
      </c>
      <c r="B2381" s="4" t="str">
        <f>VLOOKUP(A2381,Sheet2!$A$2:$R$3432,2,0)</f>
        <v>2024-11-10 20:02:16</v>
      </c>
      <c r="C2381" s="5" t="s">
        <v>25</v>
      </c>
      <c r="D2381" s="6" t="s">
        <v>25</v>
      </c>
      <c r="E2381" s="7">
        <f>VLOOKUP(A2381,Sheet2!$A$2:$R$3432,4,0)</f>
        <v>9423306423</v>
      </c>
      <c r="F2381" s="7" t="str">
        <f>VLOOKUP(A2381,Sheet2!$A$2:$R$3432,3,0)</f>
        <v>ANIKET</v>
      </c>
      <c r="G2381" s="5" t="s">
        <v>25</v>
      </c>
      <c r="H2381" s="5" t="s">
        <v>25</v>
      </c>
      <c r="I2381" s="5" t="s">
        <v>25</v>
      </c>
      <c r="J2381" s="5" t="s">
        <v>25</v>
      </c>
      <c r="K2381" s="7" t="str">
        <f>VLOOKUP(A2381,Sheet2!$A$2:$R$3432,6,0)</f>
        <v>Honda Activa 110</v>
      </c>
      <c r="L2381" s="5" t="s">
        <v>25</v>
      </c>
      <c r="M2381" s="7" t="str">
        <f>VLOOKUP(A2381,Sheet2!$A$2:$R$3432,5,0)</f>
        <v>MH12KB1463</v>
      </c>
      <c r="N2381" s="5" t="s">
        <v>25</v>
      </c>
      <c r="O2381" s="5" t="s">
        <v>25</v>
      </c>
      <c r="P2381" s="6" t="s">
        <v>25</v>
      </c>
      <c r="Q2381" s="5" t="s">
        <v>25</v>
      </c>
      <c r="R2381" s="5" t="s">
        <v>25</v>
      </c>
      <c r="S2381" s="5" t="str">
        <f>VLOOKUP(A2381,Sheet2!$A$2:$R$3432,18,0)</f>
        <v>JF50E80244105</v>
      </c>
      <c r="T2381" s="7" t="str">
        <f>VLOOKUP(A2381,Sheet2!$A$2:$R$3432,17,0)</f>
        <v>ME4JF301ED8344780</v>
      </c>
    </row>
    <row r="2382" ht="15.75" customHeight="1">
      <c r="A2382" s="3" t="s">
        <v>2405</v>
      </c>
      <c r="B2382" s="4" t="str">
        <f>VLOOKUP(A2382,Sheet2!$A$2:$R$3432,2,0)</f>
        <v>2024-11-10 20:02:52</v>
      </c>
      <c r="C2382" s="5" t="s">
        <v>25</v>
      </c>
      <c r="D2382" s="6" t="s">
        <v>25</v>
      </c>
      <c r="E2382" s="7">
        <f>VLOOKUP(A2382,Sheet2!$A$2:$R$3432,4,0)</f>
        <v>7588768111</v>
      </c>
      <c r="F2382" s="7" t="str">
        <f>VLOOKUP(A2382,Sheet2!$A$2:$R$3432,3,0)</f>
        <v>Nikhil</v>
      </c>
      <c r="G2382" s="5" t="s">
        <v>25</v>
      </c>
      <c r="H2382" s="5" t="s">
        <v>25</v>
      </c>
      <c r="I2382" s="5" t="s">
        <v>25</v>
      </c>
      <c r="J2382" s="5" t="s">
        <v>25</v>
      </c>
      <c r="K2382" s="7" t="str">
        <f>VLOOKUP(A2382,Sheet2!$A$2:$R$3432,6,0)</f>
        <v>Yamaha FZ V3</v>
      </c>
      <c r="L2382" s="5" t="s">
        <v>25</v>
      </c>
      <c r="M2382" s="7" t="str">
        <f>VLOOKUP(A2382,Sheet2!$A$2:$R$3432,5,0)</f>
        <v>MH12TG9184</v>
      </c>
      <c r="N2382" s="5" t="s">
        <v>25</v>
      </c>
      <c r="O2382" s="5" t="s">
        <v>25</v>
      </c>
      <c r="P2382" s="6" t="s">
        <v>25</v>
      </c>
      <c r="Q2382" s="5" t="s">
        <v>25</v>
      </c>
      <c r="R2382" s="5" t="s">
        <v>25</v>
      </c>
      <c r="S2382" s="7" t="str">
        <f>VLOOKUP(A2382,Sheet2!$A$2:$R$3432,18,0)</f>
        <v/>
      </c>
      <c r="T2382" s="7" t="str">
        <f>VLOOKUP(A2382,Sheet2!$A$2:$R$3432,17,0)</f>
        <v/>
      </c>
    </row>
    <row r="2383" ht="15.75" customHeight="1">
      <c r="A2383" s="3" t="s">
        <v>2406</v>
      </c>
      <c r="B2383" s="4" t="str">
        <f>VLOOKUP(A2383,Sheet2!$A$2:$R$3432,2,0)</f>
        <v>2024-11-10 20:26:48</v>
      </c>
      <c r="C2383" s="5" t="s">
        <v>25</v>
      </c>
      <c r="D2383" s="6" t="s">
        <v>25</v>
      </c>
      <c r="E2383" s="7">
        <f>VLOOKUP(A2383,Sheet2!$A$2:$R$3432,4,0)</f>
        <v>9881504520</v>
      </c>
      <c r="F2383" s="7" t="str">
        <f>VLOOKUP(A2383,Sheet2!$A$2:$R$3432,3,0)</f>
        <v>Pawar</v>
      </c>
      <c r="G2383" s="5" t="s">
        <v>25</v>
      </c>
      <c r="H2383" s="5" t="s">
        <v>25</v>
      </c>
      <c r="I2383" s="5" t="s">
        <v>25</v>
      </c>
      <c r="J2383" s="5" t="s">
        <v>25</v>
      </c>
      <c r="K2383" s="7" t="str">
        <f>VLOOKUP(A2383,Sheet2!$A$2:$R$3432,6,0)</f>
        <v>Bajaj Pulsar 150</v>
      </c>
      <c r="L2383" s="5" t="s">
        <v>25</v>
      </c>
      <c r="M2383" s="7" t="str">
        <f>VLOOKUP(A2383,Sheet2!$A$2:$R$3432,5,0)</f>
        <v>MH14BY2550</v>
      </c>
      <c r="N2383" s="5" t="s">
        <v>25</v>
      </c>
      <c r="O2383" s="5" t="s">
        <v>25</v>
      </c>
      <c r="P2383" s="6" t="s">
        <v>25</v>
      </c>
      <c r="Q2383" s="5" t="s">
        <v>25</v>
      </c>
      <c r="R2383" s="5" t="s">
        <v>25</v>
      </c>
      <c r="S2383" s="7" t="str">
        <f>VLOOKUP(A2383,Sheet2!$A$2:$R$3432,18,0)</f>
        <v/>
      </c>
      <c r="T2383" s="7" t="str">
        <f>VLOOKUP(A2383,Sheet2!$A$2:$R$3432,17,0)</f>
        <v/>
      </c>
    </row>
    <row r="2384" ht="15.75" customHeight="1">
      <c r="A2384" s="3" t="s">
        <v>2407</v>
      </c>
      <c r="B2384" s="4" t="str">
        <f>VLOOKUP(A2384,Sheet2!$A$2:$R$3432,2,0)</f>
        <v>2024-11-10 20:27:51</v>
      </c>
      <c r="C2384" s="5" t="s">
        <v>25</v>
      </c>
      <c r="D2384" s="6" t="s">
        <v>25</v>
      </c>
      <c r="E2384" s="7">
        <f>VLOOKUP(A2384,Sheet2!$A$2:$R$3432,4,0)</f>
        <v>8319097240</v>
      </c>
      <c r="F2384" s="7" t="str">
        <f>VLOOKUP(A2384,Sheet2!$A$2:$R$3432,3,0)</f>
        <v>Shikha Sharma</v>
      </c>
      <c r="G2384" s="5" t="s">
        <v>25</v>
      </c>
      <c r="H2384" s="5" t="s">
        <v>25</v>
      </c>
      <c r="I2384" s="5" t="s">
        <v>25</v>
      </c>
      <c r="J2384" s="5" t="s">
        <v>25</v>
      </c>
      <c r="K2384" s="7" t="str">
        <f>VLOOKUP(A2384,Sheet2!$A$2:$R$3432,6,0)</f>
        <v>Honda Activa 4G</v>
      </c>
      <c r="L2384" s="5" t="s">
        <v>25</v>
      </c>
      <c r="M2384" s="7" t="str">
        <f>VLOOKUP(A2384,Sheet2!$A$2:$R$3432,5,0)</f>
        <v>MP04SZ8398</v>
      </c>
      <c r="N2384" s="5" t="s">
        <v>25</v>
      </c>
      <c r="O2384" s="5" t="s">
        <v>25</v>
      </c>
      <c r="P2384" s="6" t="s">
        <v>25</v>
      </c>
      <c r="Q2384" s="5" t="s">
        <v>25</v>
      </c>
      <c r="R2384" s="5" t="s">
        <v>25</v>
      </c>
      <c r="S2384" s="5" t="str">
        <f>VLOOKUP(A2384,Sheet2!$A$2:$R$3432,18,0)</f>
        <v>JF50ET5557243</v>
      </c>
      <c r="T2384" s="7" t="str">
        <f>VLOOKUP(A2384,Sheet2!$A$2:$R$3432,17,0)</f>
        <v>ME4JF507JHT557059</v>
      </c>
    </row>
    <row r="2385" ht="15.75" customHeight="1">
      <c r="A2385" s="3" t="s">
        <v>2408</v>
      </c>
      <c r="B2385" s="4" t="str">
        <f>VLOOKUP(A2385,Sheet2!$A$2:$R$3432,2,0)</f>
        <v>2024-11-10 20:34:09</v>
      </c>
      <c r="C2385" s="5" t="s">
        <v>25</v>
      </c>
      <c r="D2385" s="6" t="s">
        <v>25</v>
      </c>
      <c r="E2385" s="7">
        <f>VLOOKUP(A2385,Sheet2!$A$2:$R$3432,4,0)</f>
        <v>9011084225</v>
      </c>
      <c r="F2385" s="7" t="str">
        <f>VLOOKUP(A2385,Sheet2!$A$2:$R$3432,3,0)</f>
        <v>Pathan</v>
      </c>
      <c r="G2385" s="5" t="s">
        <v>25</v>
      </c>
      <c r="H2385" s="5" t="s">
        <v>25</v>
      </c>
      <c r="I2385" s="5" t="s">
        <v>25</v>
      </c>
      <c r="J2385" s="5" t="s">
        <v>25</v>
      </c>
      <c r="K2385" s="7" t="str">
        <f>VLOOKUP(A2385,Sheet2!$A$2:$R$3432,6,0)</f>
        <v>Honda Unicorn </v>
      </c>
      <c r="L2385" s="5" t="s">
        <v>25</v>
      </c>
      <c r="M2385" s="7" t="str">
        <f>VLOOKUP(A2385,Sheet2!$A$2:$R$3432,5,0)</f>
        <v>MH10AV8799</v>
      </c>
      <c r="N2385" s="5" t="s">
        <v>25</v>
      </c>
      <c r="O2385" s="5" t="s">
        <v>25</v>
      </c>
      <c r="P2385" s="6" t="s">
        <v>25</v>
      </c>
      <c r="Q2385" s="5" t="s">
        <v>25</v>
      </c>
      <c r="R2385" s="5" t="s">
        <v>25</v>
      </c>
      <c r="S2385" s="5" t="str">
        <f>VLOOKUP(A2385,Sheet2!$A$2:$R$3432,18,0)</f>
        <v>KC09E6070980</v>
      </c>
      <c r="T2385" s="7" t="str">
        <f>VLOOKUP(A2385,Sheet2!$A$2:$R$3432,17,0)</f>
        <v>ME4C09CMA8068082</v>
      </c>
    </row>
    <row r="2386" ht="15.75" customHeight="1">
      <c r="A2386" s="3" t="s">
        <v>2409</v>
      </c>
      <c r="B2386" s="4" t="str">
        <f>VLOOKUP(A2386,Sheet2!$A$2:$R$3432,2,0)</f>
        <v>2024-11-10 21:01:21</v>
      </c>
      <c r="C2386" s="5" t="s">
        <v>25</v>
      </c>
      <c r="D2386" s="6" t="s">
        <v>25</v>
      </c>
      <c r="E2386" s="7">
        <f>VLOOKUP(A2386,Sheet2!$A$2:$R$3432,4,0)</f>
        <v>9850992070</v>
      </c>
      <c r="F2386" s="7" t="str">
        <f>VLOOKUP(A2386,Sheet2!$A$2:$R$3432,3,0)</f>
        <v>Sheshadri M</v>
      </c>
      <c r="G2386" s="5" t="s">
        <v>25</v>
      </c>
      <c r="H2386" s="5" t="s">
        <v>25</v>
      </c>
      <c r="I2386" s="5" t="s">
        <v>25</v>
      </c>
      <c r="J2386" s="5" t="s">
        <v>25</v>
      </c>
      <c r="K2386" s="7" t="str">
        <f>VLOOKUP(A2386,Sheet2!$A$2:$R$3432,6,0)</f>
        <v>Yamaha FZ </v>
      </c>
      <c r="L2386" s="5" t="s">
        <v>25</v>
      </c>
      <c r="M2386" s="7" t="str">
        <f>VLOOKUP(A2386,Sheet2!$A$2:$R$3432,5,0)</f>
        <v>MH14EW9662</v>
      </c>
      <c r="N2386" s="5" t="s">
        <v>25</v>
      </c>
      <c r="O2386" s="5" t="s">
        <v>25</v>
      </c>
      <c r="P2386" s="6" t="s">
        <v>25</v>
      </c>
      <c r="Q2386" s="5" t="s">
        <v>25</v>
      </c>
      <c r="R2386" s="5" t="s">
        <v>25</v>
      </c>
      <c r="S2386" s="5" t="str">
        <f>VLOOKUP(A2386,Sheet2!$A$2:$R$3432,18,0)</f>
        <v>21CJ064079</v>
      </c>
      <c r="T2386" s="7" t="str">
        <f>VLOOKUP(A2386,Sheet2!$A$2:$R$3432,17,0)</f>
        <v>ME121C0J2F2064093</v>
      </c>
    </row>
    <row r="2387" ht="15.75" customHeight="1">
      <c r="A2387" s="3" t="s">
        <v>2410</v>
      </c>
      <c r="B2387" s="4" t="str">
        <f>VLOOKUP(A2387,Sheet2!$A$2:$R$3432,2,0)</f>
        <v>2024-11-10 20:34:30</v>
      </c>
      <c r="C2387" s="5" t="s">
        <v>25</v>
      </c>
      <c r="D2387" s="6" t="s">
        <v>25</v>
      </c>
      <c r="E2387" s="7">
        <f>VLOOKUP(A2387,Sheet2!$A$2:$R$3432,4,0)</f>
        <v>8380934375</v>
      </c>
      <c r="F2387" s="7" t="str">
        <f>VLOOKUP(A2387,Sheet2!$A$2:$R$3432,3,0)</f>
        <v>Abhishek Jain</v>
      </c>
      <c r="G2387" s="5" t="s">
        <v>25</v>
      </c>
      <c r="H2387" s="5" t="s">
        <v>25</v>
      </c>
      <c r="I2387" s="5" t="s">
        <v>25</v>
      </c>
      <c r="J2387" s="5" t="s">
        <v>25</v>
      </c>
      <c r="K2387" s="7" t="str">
        <f>VLOOKUP(A2387,Sheet2!$A$2:$R$3432,6,0)</f>
        <v>Honda Activa 3G</v>
      </c>
      <c r="L2387" s="5" t="s">
        <v>25</v>
      </c>
      <c r="M2387" s="7" t="str">
        <f>VLOOKUP(A2387,Sheet2!$A$2:$R$3432,5,0)</f>
        <v>MH12ND4639</v>
      </c>
      <c r="N2387" s="5" t="s">
        <v>25</v>
      </c>
      <c r="O2387" s="5" t="s">
        <v>25</v>
      </c>
      <c r="P2387" s="6" t="s">
        <v>25</v>
      </c>
      <c r="Q2387" s="5" t="s">
        <v>25</v>
      </c>
      <c r="R2387" s="5" t="s">
        <v>25</v>
      </c>
      <c r="S2387" s="5" t="str">
        <f>VLOOKUP(A2387,Sheet2!$A$2:$R$3432,18,0)</f>
        <v>JF50E83138174</v>
      </c>
      <c r="T2387" s="7" t="str">
        <f>VLOOKUP(A2387,Sheet2!$A$2:$R$3432,17,0)</f>
        <v>ME4JF505EG8138057</v>
      </c>
    </row>
    <row r="2388" ht="15.75" customHeight="1">
      <c r="A2388" s="3" t="s">
        <v>2411</v>
      </c>
      <c r="B2388" s="4" t="str">
        <f>VLOOKUP(A2388,Sheet2!$A$2:$R$3432,2,0)</f>
        <v>2024-10-28 15:09:45</v>
      </c>
      <c r="C2388" s="5" t="s">
        <v>25</v>
      </c>
      <c r="D2388" s="6" t="s">
        <v>25</v>
      </c>
      <c r="E2388" s="7">
        <f>VLOOKUP(A2388,Sheet2!$A$2:$R$3432,4,0)</f>
        <v>7666526552</v>
      </c>
      <c r="F2388" s="7" t="str">
        <f>VLOOKUP(A2388,Sheet2!$A$2:$R$3432,3,0)</f>
        <v>KARAN LONDHE</v>
      </c>
      <c r="G2388" s="5" t="s">
        <v>25</v>
      </c>
      <c r="H2388" s="5" t="s">
        <v>25</v>
      </c>
      <c r="I2388" s="5" t="s">
        <v>25</v>
      </c>
      <c r="J2388" s="5" t="s">
        <v>25</v>
      </c>
      <c r="K2388" s="7" t="str">
        <f>VLOOKUP(A2388,Sheet2!$A$2:$R$3432,6,0)</f>
        <v>Honda Activa 110</v>
      </c>
      <c r="L2388" s="5" t="s">
        <v>25</v>
      </c>
      <c r="M2388" s="7" t="str">
        <f>VLOOKUP(A2388,Sheet2!$A$2:$R$3432,5,0)</f>
        <v>MH09CP6139</v>
      </c>
      <c r="N2388" s="5" t="s">
        <v>25</v>
      </c>
      <c r="O2388" s="5" t="s">
        <v>25</v>
      </c>
      <c r="P2388" s="6" t="s">
        <v>25</v>
      </c>
      <c r="Q2388" s="5" t="s">
        <v>25</v>
      </c>
      <c r="R2388" s="5" t="s">
        <v>25</v>
      </c>
      <c r="S2388" s="7" t="str">
        <f>VLOOKUP(A2388,Sheet2!$A$2:$R$3432,18,0)</f>
        <v/>
      </c>
      <c r="T2388" s="7" t="str">
        <f>VLOOKUP(A2388,Sheet2!$A$2:$R$3432,17,0)</f>
        <v/>
      </c>
    </row>
    <row r="2389" ht="15.75" customHeight="1">
      <c r="A2389" s="3" t="s">
        <v>2412</v>
      </c>
      <c r="B2389" s="4" t="str">
        <f>VLOOKUP(A2389,Sheet2!$A$2:$R$3432,2,0)</f>
        <v>2024-10-28 10:21:22</v>
      </c>
      <c r="C2389" s="5" t="s">
        <v>25</v>
      </c>
      <c r="D2389" s="6" t="s">
        <v>25</v>
      </c>
      <c r="E2389" s="7">
        <f>VLOOKUP(A2389,Sheet2!$A$2:$R$3432,4,0)</f>
        <v>9822374050</v>
      </c>
      <c r="F2389" s="7" t="str">
        <f>VLOOKUP(A2389,Sheet2!$A$2:$R$3432,3,0)</f>
        <v>SNEHDEEP</v>
      </c>
      <c r="G2389" s="5" t="s">
        <v>25</v>
      </c>
      <c r="H2389" s="5" t="s">
        <v>25</v>
      </c>
      <c r="I2389" s="5" t="s">
        <v>25</v>
      </c>
      <c r="J2389" s="5" t="s">
        <v>25</v>
      </c>
      <c r="K2389" s="7" t="str">
        <f>VLOOKUP(A2389,Sheet2!$A$2:$R$3432,6,0)</f>
        <v>Royal Enfield ThunderBird 350</v>
      </c>
      <c r="L2389" s="5" t="s">
        <v>25</v>
      </c>
      <c r="M2389" s="7" t="str">
        <f>VLOOKUP(A2389,Sheet2!$A$2:$R$3432,5,0)</f>
        <v>MH14FV8321</v>
      </c>
      <c r="N2389" s="5" t="s">
        <v>25</v>
      </c>
      <c r="O2389" s="5" t="s">
        <v>25</v>
      </c>
      <c r="P2389" s="6" t="s">
        <v>25</v>
      </c>
      <c r="Q2389" s="5" t="s">
        <v>25</v>
      </c>
      <c r="R2389" s="5" t="s">
        <v>25</v>
      </c>
      <c r="S2389" s="7" t="str">
        <f>VLOOKUP(A2389,Sheet2!$A$2:$R$3432,18,0)</f>
        <v/>
      </c>
      <c r="T2389" s="7" t="str">
        <f>VLOOKUP(A2389,Sheet2!$A$2:$R$3432,17,0)</f>
        <v/>
      </c>
    </row>
    <row r="2390" ht="15.75" customHeight="1">
      <c r="A2390" s="3" t="s">
        <v>2413</v>
      </c>
      <c r="B2390" s="4" t="str">
        <f>VLOOKUP(A2390,Sheet2!$A$2:$R$3432,2,0)</f>
        <v>2024-10-28 18:57:20</v>
      </c>
      <c r="C2390" s="5" t="s">
        <v>25</v>
      </c>
      <c r="D2390" s="6" t="s">
        <v>25</v>
      </c>
      <c r="E2390" s="7">
        <f>VLOOKUP(A2390,Sheet2!$A$2:$R$3432,4,0)</f>
        <v>9096948907</v>
      </c>
      <c r="F2390" s="7" t="str">
        <f>VLOOKUP(A2390,Sheet2!$A$2:$R$3432,3,0)</f>
        <v>Aniruddha Gaikwad</v>
      </c>
      <c r="G2390" s="5" t="s">
        <v>25</v>
      </c>
      <c r="H2390" s="5" t="s">
        <v>25</v>
      </c>
      <c r="I2390" s="5" t="s">
        <v>25</v>
      </c>
      <c r="J2390" s="5" t="s">
        <v>25</v>
      </c>
      <c r="K2390" s="7" t="str">
        <f>VLOOKUP(A2390,Sheet2!$A$2:$R$3432,6,0)</f>
        <v>Honda Activa 125</v>
      </c>
      <c r="L2390" s="5" t="s">
        <v>25</v>
      </c>
      <c r="M2390" s="7" t="str">
        <f>VLOOKUP(A2390,Sheet2!$A$2:$R$3432,5,0)</f>
        <v>MH12NS5035</v>
      </c>
      <c r="N2390" s="5" t="s">
        <v>25</v>
      </c>
      <c r="O2390" s="5" t="s">
        <v>25</v>
      </c>
      <c r="P2390" s="6" t="s">
        <v>25</v>
      </c>
      <c r="Q2390" s="5" t="s">
        <v>25</v>
      </c>
      <c r="R2390" s="5" t="s">
        <v>25</v>
      </c>
      <c r="S2390" s="7" t="str">
        <f>VLOOKUP(A2390,Sheet2!$A$2:$R$3432,18,0)</f>
        <v/>
      </c>
      <c r="T2390" s="7" t="str">
        <f>VLOOKUP(A2390,Sheet2!$A$2:$R$3432,17,0)</f>
        <v/>
      </c>
    </row>
    <row r="2391" ht="15.75" customHeight="1">
      <c r="A2391" s="3" t="s">
        <v>2414</v>
      </c>
      <c r="B2391" s="4" t="str">
        <f>VLOOKUP(A2391,Sheet2!$A$2:$R$3432,2,0)</f>
        <v>2024-10-28 18:56:12</v>
      </c>
      <c r="C2391" s="5" t="s">
        <v>25</v>
      </c>
      <c r="D2391" s="6" t="s">
        <v>25</v>
      </c>
      <c r="E2391" s="7">
        <f>VLOOKUP(A2391,Sheet2!$A$2:$R$3432,4,0)</f>
        <v>9340421119</v>
      </c>
      <c r="F2391" s="7" t="str">
        <f>VLOOKUP(A2391,Sheet2!$A$2:$R$3432,3,0)</f>
        <v>Ishan</v>
      </c>
      <c r="G2391" s="5" t="s">
        <v>25</v>
      </c>
      <c r="H2391" s="5" t="s">
        <v>25</v>
      </c>
      <c r="I2391" s="5" t="s">
        <v>25</v>
      </c>
      <c r="J2391" s="5" t="s">
        <v>25</v>
      </c>
      <c r="K2391" s="7" t="str">
        <f>VLOOKUP(A2391,Sheet2!$A$2:$R$3432,6,0)</f>
        <v>Honda Hornet </v>
      </c>
      <c r="L2391" s="5" t="s">
        <v>25</v>
      </c>
      <c r="M2391" s="7" t="str">
        <f>VLOOKUP(A2391,Sheet2!$A$2:$R$3432,5,0)</f>
        <v>MH09QW3180</v>
      </c>
      <c r="N2391" s="5" t="s">
        <v>25</v>
      </c>
      <c r="O2391" s="5" t="s">
        <v>25</v>
      </c>
      <c r="P2391" s="6" t="s">
        <v>25</v>
      </c>
      <c r="Q2391" s="5" t="s">
        <v>25</v>
      </c>
      <c r="R2391" s="5" t="s">
        <v>25</v>
      </c>
      <c r="S2391" s="5" t="str">
        <f>VLOOKUP(A2391,Sheet2!$A$2:$R$3432,18,0)</f>
        <v>KC23E80093561</v>
      </c>
      <c r="T2391" s="7" t="str">
        <f>VLOOKUP(A2391,Sheet2!$A$2:$R$3432,17,0)</f>
        <v>ME4KE238JG8003278</v>
      </c>
    </row>
    <row r="2392" ht="15.75" customHeight="1">
      <c r="A2392" s="3" t="s">
        <v>2415</v>
      </c>
      <c r="B2392" s="4" t="str">
        <f>VLOOKUP(A2392,Sheet2!$A$2:$R$3432,2,0)</f>
        <v>2024-10-28 18:54:09</v>
      </c>
      <c r="C2392" s="5" t="s">
        <v>25</v>
      </c>
      <c r="D2392" s="6" t="s">
        <v>25</v>
      </c>
      <c r="E2392" s="7">
        <f>VLOOKUP(A2392,Sheet2!$A$2:$R$3432,4,0)</f>
        <v>9527711142</v>
      </c>
      <c r="F2392" s="7" t="str">
        <f>VLOOKUP(A2392,Sheet2!$A$2:$R$3432,3,0)</f>
        <v>Arvind Kalbhor</v>
      </c>
      <c r="G2392" s="5" t="s">
        <v>25</v>
      </c>
      <c r="H2392" s="5" t="s">
        <v>25</v>
      </c>
      <c r="I2392" s="5" t="s">
        <v>25</v>
      </c>
      <c r="J2392" s="5" t="s">
        <v>25</v>
      </c>
      <c r="K2392" s="7" t="str">
        <f>VLOOKUP(A2392,Sheet2!$A$2:$R$3432,6,0)</f>
        <v>TVS Jupiter 125</v>
      </c>
      <c r="L2392" s="5" t="s">
        <v>25</v>
      </c>
      <c r="M2392" s="7" t="str">
        <f>VLOOKUP(A2392,Sheet2!$A$2:$R$3432,5,0)</f>
        <v>MH11DF3581</v>
      </c>
      <c r="N2392" s="5" t="s">
        <v>25</v>
      </c>
      <c r="O2392" s="5" t="s">
        <v>25</v>
      </c>
      <c r="P2392" s="6" t="s">
        <v>25</v>
      </c>
      <c r="Q2392" s="5" t="s">
        <v>25</v>
      </c>
      <c r="R2392" s="5" t="s">
        <v>25</v>
      </c>
      <c r="S2392" s="5" t="str">
        <f>VLOOKUP(A2392,Sheet2!$A$2:$R$3432,18,0)</f>
        <v>BK4DN1700961</v>
      </c>
      <c r="T2392" s="7" t="str">
        <f>VLOOKUP(A2392,Sheet2!$A$2:$R$3432,17,0)</f>
        <v>MD626AK40N1D00891</v>
      </c>
    </row>
    <row r="2393" ht="15.75" customHeight="1">
      <c r="A2393" s="3" t="s">
        <v>2416</v>
      </c>
      <c r="B2393" s="4" t="str">
        <f>VLOOKUP(A2393,Sheet2!$A$2:$R$3432,2,0)</f>
        <v>2024-10-28 18:55:00</v>
      </c>
      <c r="C2393" s="5" t="s">
        <v>25</v>
      </c>
      <c r="D2393" s="6" t="s">
        <v>25</v>
      </c>
      <c r="E2393" s="7">
        <f>VLOOKUP(A2393,Sheet2!$A$2:$R$3432,4,0)</f>
        <v>7350018212</v>
      </c>
      <c r="F2393" s="7" t="str">
        <f>VLOOKUP(A2393,Sheet2!$A$2:$R$3432,3,0)</f>
        <v>Prashant </v>
      </c>
      <c r="G2393" s="5" t="s">
        <v>25</v>
      </c>
      <c r="H2393" s="5" t="s">
        <v>25</v>
      </c>
      <c r="I2393" s="5" t="s">
        <v>25</v>
      </c>
      <c r="J2393" s="5" t="s">
        <v>25</v>
      </c>
      <c r="K2393" s="7" t="str">
        <f>VLOOKUP(A2393,Sheet2!$A$2:$R$3432,6,0)</f>
        <v>Honda Activa 6G</v>
      </c>
      <c r="L2393" s="5" t="s">
        <v>25</v>
      </c>
      <c r="M2393" s="7" t="str">
        <f>VLOOKUP(A2393,Sheet2!$A$2:$R$3432,5,0)</f>
        <v>MH14KT3518</v>
      </c>
      <c r="N2393" s="5" t="s">
        <v>25</v>
      </c>
      <c r="O2393" s="5" t="s">
        <v>25</v>
      </c>
      <c r="P2393" s="6" t="s">
        <v>25</v>
      </c>
      <c r="Q2393" s="5" t="s">
        <v>25</v>
      </c>
      <c r="R2393" s="5" t="s">
        <v>25</v>
      </c>
      <c r="S2393" s="7" t="str">
        <f>VLOOKUP(A2393,Sheet2!$A$2:$R$3432,18,0)</f>
        <v/>
      </c>
      <c r="T2393" s="7" t="str">
        <f>VLOOKUP(A2393,Sheet2!$A$2:$R$3432,17,0)</f>
        <v>JK15EG4021H9</v>
      </c>
    </row>
    <row r="2394" ht="15.75" customHeight="1">
      <c r="A2394" s="3" t="s">
        <v>2417</v>
      </c>
      <c r="B2394" s="4" t="str">
        <f>VLOOKUP(A2394,Sheet2!$A$2:$R$3432,2,0)</f>
        <v>2024-10-28 18:53:02</v>
      </c>
      <c r="C2394" s="5" t="s">
        <v>25</v>
      </c>
      <c r="D2394" s="6" t="s">
        <v>25</v>
      </c>
      <c r="E2394" s="7">
        <f>VLOOKUP(A2394,Sheet2!$A$2:$R$3432,4,0)</f>
        <v>8380858393</v>
      </c>
      <c r="F2394" s="7" t="str">
        <f>VLOOKUP(A2394,Sheet2!$A$2:$R$3432,3,0)</f>
        <v>Shreenath</v>
      </c>
      <c r="G2394" s="5" t="s">
        <v>25</v>
      </c>
      <c r="H2394" s="5" t="s">
        <v>25</v>
      </c>
      <c r="I2394" s="5" t="s">
        <v>25</v>
      </c>
      <c r="J2394" s="5" t="s">
        <v>25</v>
      </c>
      <c r="K2394" s="7" t="str">
        <f>VLOOKUP(A2394,Sheet2!$A$2:$R$3432,6,0)</f>
        <v>Honda Shine No Data</v>
      </c>
      <c r="L2394" s="5" t="s">
        <v>25</v>
      </c>
      <c r="M2394" s="7" t="str">
        <f>VLOOKUP(A2394,Sheet2!$A$2:$R$3432,5,0)</f>
        <v>MH14JJ7948</v>
      </c>
      <c r="N2394" s="5" t="s">
        <v>25</v>
      </c>
      <c r="O2394" s="5" t="s">
        <v>25</v>
      </c>
      <c r="P2394" s="6" t="s">
        <v>25</v>
      </c>
      <c r="Q2394" s="5" t="s">
        <v>25</v>
      </c>
      <c r="R2394" s="5" t="s">
        <v>25</v>
      </c>
      <c r="S2394" s="5" t="str">
        <f>VLOOKUP(A2394,Sheet2!$A$2:$R$3432,18,0)</f>
        <v>JC85E00259615</v>
      </c>
      <c r="T2394" s="7" t="str">
        <f>VLOOKUP(A2394,Sheet2!$A$2:$R$3432,17,0)</f>
        <v>ME4JC855MCD040965</v>
      </c>
    </row>
    <row r="2395" ht="15.75" customHeight="1">
      <c r="A2395" s="3" t="s">
        <v>2418</v>
      </c>
      <c r="B2395" s="4" t="str">
        <f>VLOOKUP(A2395,Sheet2!$A$2:$R$3432,2,0)</f>
        <v>2024-10-28 18:54:39</v>
      </c>
      <c r="C2395" s="5" t="s">
        <v>25</v>
      </c>
      <c r="D2395" s="6" t="s">
        <v>25</v>
      </c>
      <c r="E2395" s="7">
        <f>VLOOKUP(A2395,Sheet2!$A$2:$R$3432,4,0)</f>
        <v>9850801538</v>
      </c>
      <c r="F2395" s="7" t="str">
        <f>VLOOKUP(A2395,Sheet2!$A$2:$R$3432,3,0)</f>
        <v>VIVEK</v>
      </c>
      <c r="G2395" s="5" t="s">
        <v>25</v>
      </c>
      <c r="H2395" s="5" t="s">
        <v>25</v>
      </c>
      <c r="I2395" s="5" t="s">
        <v>25</v>
      </c>
      <c r="J2395" s="5" t="s">
        <v>25</v>
      </c>
      <c r="K2395" s="7" t="str">
        <f>VLOOKUP(A2395,Sheet2!$A$2:$R$3432,6,0)</f>
        <v>Hero Splendor Plus</v>
      </c>
      <c r="L2395" s="5" t="s">
        <v>25</v>
      </c>
      <c r="M2395" s="7" t="str">
        <f>VLOOKUP(A2395,Sheet2!$A$2:$R$3432,5,0)</f>
        <v>MH14BV0675</v>
      </c>
      <c r="N2395" s="5" t="s">
        <v>25</v>
      </c>
      <c r="O2395" s="5" t="s">
        <v>25</v>
      </c>
      <c r="P2395" s="6" t="s">
        <v>25</v>
      </c>
      <c r="Q2395" s="5" t="s">
        <v>25</v>
      </c>
      <c r="R2395" s="5" t="s">
        <v>25</v>
      </c>
      <c r="S2395" s="5" t="str">
        <f>VLOOKUP(A2395,Sheet2!$A$2:$R$3432,18,0)</f>
        <v>HA10EA4HE8973</v>
      </c>
      <c r="T2395" s="7" t="str">
        <f>VLOOKUP(A2395,Sheet2!$A$2:$R$3432,17,0)</f>
        <v>MBLHA0EJ9HE41736</v>
      </c>
    </row>
    <row r="2396" ht="15.75" customHeight="1">
      <c r="A2396" s="3" t="s">
        <v>2419</v>
      </c>
      <c r="B2396" s="4" t="str">
        <f>VLOOKUP(A2396,Sheet2!$A$2:$R$3432,2,0)</f>
        <v>2024-10-28 18:51:26</v>
      </c>
      <c r="C2396" s="5" t="s">
        <v>25</v>
      </c>
      <c r="D2396" s="6" t="s">
        <v>25</v>
      </c>
      <c r="E2396" s="7">
        <f>VLOOKUP(A2396,Sheet2!$A$2:$R$3432,4,0)</f>
        <v>9370712624</v>
      </c>
      <c r="F2396" s="7" t="str">
        <f>VLOOKUP(A2396,Sheet2!$A$2:$R$3432,3,0)</f>
        <v>Sagar Kal Shetty </v>
      </c>
      <c r="G2396" s="5" t="s">
        <v>25</v>
      </c>
      <c r="H2396" s="5" t="s">
        <v>25</v>
      </c>
      <c r="I2396" s="5" t="s">
        <v>25</v>
      </c>
      <c r="J2396" s="5" t="s">
        <v>25</v>
      </c>
      <c r="K2396" s="7" t="str">
        <f>VLOOKUP(A2396,Sheet2!$A$2:$R$3432,6,0)</f>
        <v>Hero Splendor Plus</v>
      </c>
      <c r="L2396" s="5" t="s">
        <v>25</v>
      </c>
      <c r="M2396" s="7" t="str">
        <f>VLOOKUP(A2396,Sheet2!$A$2:$R$3432,5,0)</f>
        <v>MH14GJ8381</v>
      </c>
      <c r="N2396" s="5" t="s">
        <v>25</v>
      </c>
      <c r="O2396" s="5" t="s">
        <v>25</v>
      </c>
      <c r="P2396" s="6" t="s">
        <v>25</v>
      </c>
      <c r="Q2396" s="5" t="s">
        <v>25</v>
      </c>
      <c r="R2396" s="5" t="s">
        <v>25</v>
      </c>
      <c r="S2396" s="7" t="str">
        <f>VLOOKUP(A2396,Sheet2!$A$2:$R$3432,18,0)</f>
        <v/>
      </c>
      <c r="T2396" s="7" t="str">
        <f>VLOOKUP(A2396,Sheet2!$A$2:$R$3432,17,0)</f>
        <v/>
      </c>
    </row>
    <row r="2397" ht="15.75" customHeight="1">
      <c r="A2397" s="3" t="s">
        <v>2420</v>
      </c>
      <c r="B2397" s="4" t="str">
        <f>VLOOKUP(A2397,Sheet2!$A$2:$R$3432,2,0)</f>
        <v>2024-10-28 19:14:43</v>
      </c>
      <c r="C2397" s="5" t="s">
        <v>25</v>
      </c>
      <c r="D2397" s="6" t="s">
        <v>25</v>
      </c>
      <c r="E2397" s="7">
        <f>VLOOKUP(A2397,Sheet2!$A$2:$R$3432,4,0)</f>
        <v>9673955993</v>
      </c>
      <c r="F2397" s="7" t="str">
        <f>VLOOKUP(A2397,Sheet2!$A$2:$R$3432,3,0)</f>
        <v>Pratik</v>
      </c>
      <c r="G2397" s="5" t="s">
        <v>25</v>
      </c>
      <c r="H2397" s="5" t="s">
        <v>25</v>
      </c>
      <c r="I2397" s="5" t="s">
        <v>25</v>
      </c>
      <c r="J2397" s="5" t="s">
        <v>25</v>
      </c>
      <c r="K2397" s="7" t="str">
        <f>VLOOKUP(A2397,Sheet2!$A$2:$R$3432,6,0)</f>
        <v>Bajaj Dominar 400</v>
      </c>
      <c r="L2397" s="5" t="s">
        <v>25</v>
      </c>
      <c r="M2397" s="7" t="str">
        <f>VLOOKUP(A2397,Sheet2!$A$2:$R$3432,5,0)</f>
        <v>MH04JT0548</v>
      </c>
      <c r="N2397" s="5" t="s">
        <v>25</v>
      </c>
      <c r="O2397" s="5" t="s">
        <v>25</v>
      </c>
      <c r="P2397" s="6" t="s">
        <v>25</v>
      </c>
      <c r="Q2397" s="5" t="s">
        <v>25</v>
      </c>
      <c r="R2397" s="5" t="s">
        <v>25</v>
      </c>
      <c r="S2397" s="7" t="str">
        <f>VLOOKUP(A2397,Sheet2!$A$2:$R$3432,18,0)</f>
        <v/>
      </c>
      <c r="T2397" s="7" t="str">
        <f>VLOOKUP(A2397,Sheet2!$A$2:$R$3432,17,0)</f>
        <v/>
      </c>
    </row>
    <row r="2398" ht="15.75" customHeight="1">
      <c r="A2398" s="3" t="s">
        <v>2421</v>
      </c>
      <c r="B2398" s="4" t="str">
        <f>VLOOKUP(A2398,Sheet2!$A$2:$R$3432,2,0)</f>
        <v>2024-10-28 18:53:28</v>
      </c>
      <c r="C2398" s="5" t="s">
        <v>25</v>
      </c>
      <c r="D2398" s="6" t="s">
        <v>25</v>
      </c>
      <c r="E2398" s="7">
        <f>VLOOKUP(A2398,Sheet2!$A$2:$R$3432,4,0)</f>
        <v>8806496670</v>
      </c>
      <c r="F2398" s="7" t="str">
        <f>VLOOKUP(A2398,Sheet2!$A$2:$R$3432,3,0)</f>
        <v>NIKHIL </v>
      </c>
      <c r="G2398" s="5" t="s">
        <v>25</v>
      </c>
      <c r="H2398" s="5" t="s">
        <v>25</v>
      </c>
      <c r="I2398" s="5" t="s">
        <v>25</v>
      </c>
      <c r="J2398" s="5" t="s">
        <v>25</v>
      </c>
      <c r="K2398" s="7" t="str">
        <f>VLOOKUP(A2398,Sheet2!$A$2:$R$3432,6,0)</f>
        <v>Honda Unicorn 150</v>
      </c>
      <c r="L2398" s="5" t="s">
        <v>25</v>
      </c>
      <c r="M2398" s="7" t="str">
        <f>VLOOKUP(A2398,Sheet2!$A$2:$R$3432,5,0)</f>
        <v>MH12TE1062</v>
      </c>
      <c r="N2398" s="5" t="s">
        <v>25</v>
      </c>
      <c r="O2398" s="5" t="s">
        <v>25</v>
      </c>
      <c r="P2398" s="6" t="s">
        <v>25</v>
      </c>
      <c r="Q2398" s="5" t="s">
        <v>25</v>
      </c>
      <c r="R2398" s="5" t="s">
        <v>25</v>
      </c>
      <c r="S2398" s="5" t="str">
        <f>VLOOKUP(A2398,Sheet2!$A$2:$R$3432,18,0)</f>
        <v>KC40EA011129</v>
      </c>
      <c r="T2398" s="7" t="str">
        <f>VLOOKUP(A2398,Sheet2!$A$2:$R$3432,17,0)</f>
        <v>ME4KC401JLA111349</v>
      </c>
    </row>
    <row r="2399" ht="15.75" customHeight="1">
      <c r="A2399" s="3" t="s">
        <v>2422</v>
      </c>
      <c r="B2399" s="4" t="str">
        <f>VLOOKUP(A2399,Sheet2!$A$2:$R$3432,2,0)</f>
        <v>2024-10-20 20:17:00</v>
      </c>
      <c r="C2399" s="5" t="s">
        <v>25</v>
      </c>
      <c r="D2399" s="6" t="s">
        <v>25</v>
      </c>
      <c r="E2399" s="7">
        <f>VLOOKUP(A2399,Sheet2!$A$2:$R$3432,4,0)</f>
        <v>9503019839</v>
      </c>
      <c r="F2399" s="7" t="str">
        <f>VLOOKUP(A2399,Sheet2!$A$2:$R$3432,3,0)</f>
        <v>Jagdish </v>
      </c>
      <c r="G2399" s="5" t="s">
        <v>25</v>
      </c>
      <c r="H2399" s="5" t="s">
        <v>25</v>
      </c>
      <c r="I2399" s="5" t="s">
        <v>25</v>
      </c>
      <c r="J2399" s="5" t="s">
        <v>25</v>
      </c>
      <c r="K2399" s="7" t="str">
        <f>VLOOKUP(A2399,Sheet2!$A$2:$R$3432,6,0)</f>
        <v>TVS Jupiter No Data</v>
      </c>
      <c r="L2399" s="5" t="s">
        <v>25</v>
      </c>
      <c r="M2399" s="7" t="str">
        <f>VLOOKUP(A2399,Sheet2!$A$2:$R$3432,5,0)</f>
        <v>MH14JZ8302</v>
      </c>
      <c r="N2399" s="5" t="s">
        <v>25</v>
      </c>
      <c r="O2399" s="5" t="s">
        <v>25</v>
      </c>
      <c r="P2399" s="6" t="s">
        <v>25</v>
      </c>
      <c r="Q2399" s="5" t="s">
        <v>25</v>
      </c>
      <c r="R2399" s="5" t="s">
        <v>25</v>
      </c>
      <c r="S2399" s="7" t="str">
        <f>VLOOKUP(A2399,Sheet2!$A$2:$R$3432,18,0)</f>
        <v/>
      </c>
      <c r="T2399" s="7" t="str">
        <f>VLOOKUP(A2399,Sheet2!$A$2:$R$3432,17,0)</f>
        <v/>
      </c>
    </row>
    <row r="2400" ht="15.75" customHeight="1">
      <c r="A2400" s="3" t="s">
        <v>2423</v>
      </c>
      <c r="B2400" s="4" t="str">
        <f>VLOOKUP(A2400,Sheet2!$A$2:$R$3432,2,0)</f>
        <v>2024-10-20 20:23:09</v>
      </c>
      <c r="C2400" s="5" t="s">
        <v>25</v>
      </c>
      <c r="D2400" s="6" t="s">
        <v>25</v>
      </c>
      <c r="E2400" s="7">
        <f>VLOOKUP(A2400,Sheet2!$A$2:$R$3432,4,0)</f>
        <v>9561644782</v>
      </c>
      <c r="F2400" s="7" t="str">
        <f>VLOOKUP(A2400,Sheet2!$A$2:$R$3432,3,0)</f>
        <v>RANJEET RAJALE</v>
      </c>
      <c r="G2400" s="5" t="s">
        <v>25</v>
      </c>
      <c r="H2400" s="5" t="s">
        <v>25</v>
      </c>
      <c r="I2400" s="5" t="s">
        <v>25</v>
      </c>
      <c r="J2400" s="5" t="s">
        <v>25</v>
      </c>
      <c r="K2400" s="7" t="str">
        <f>VLOOKUP(A2400,Sheet2!$A$2:$R$3432,6,0)</f>
        <v>Bajaj Pulsar 150</v>
      </c>
      <c r="L2400" s="5" t="s">
        <v>25</v>
      </c>
      <c r="M2400" s="7" t="str">
        <f>VLOOKUP(A2400,Sheet2!$A$2:$R$3432,5,0)</f>
        <v>MH12GW7280</v>
      </c>
      <c r="N2400" s="5" t="s">
        <v>25</v>
      </c>
      <c r="O2400" s="5" t="s">
        <v>25</v>
      </c>
      <c r="P2400" s="6" t="s">
        <v>25</v>
      </c>
      <c r="Q2400" s="5" t="s">
        <v>25</v>
      </c>
      <c r="R2400" s="5" t="s">
        <v>25</v>
      </c>
      <c r="S2400" s="7" t="str">
        <f>VLOOKUP(A2400,Sheet2!$A$2:$R$3432,18,0)</f>
        <v/>
      </c>
      <c r="T2400" s="7" t="str">
        <f>VLOOKUP(A2400,Sheet2!$A$2:$R$3432,17,0)</f>
        <v/>
      </c>
    </row>
    <row r="2401" ht="15.75" customHeight="1">
      <c r="A2401" s="3" t="s">
        <v>2424</v>
      </c>
      <c r="B2401" s="4" t="str">
        <f>VLOOKUP(A2401,Sheet2!$A$2:$R$3432,2,0)</f>
        <v>2024-10-20 20:17:56</v>
      </c>
      <c r="C2401" s="5" t="s">
        <v>25</v>
      </c>
      <c r="D2401" s="6" t="s">
        <v>25</v>
      </c>
      <c r="E2401" s="7">
        <f>VLOOKUP(A2401,Sheet2!$A$2:$R$3432,4,0)</f>
        <v>9545999069</v>
      </c>
      <c r="F2401" s="7" t="str">
        <f>VLOOKUP(A2401,Sheet2!$A$2:$R$3432,3,0)</f>
        <v>Aakash Kharat</v>
      </c>
      <c r="G2401" s="5" t="s">
        <v>25</v>
      </c>
      <c r="H2401" s="5" t="s">
        <v>25</v>
      </c>
      <c r="I2401" s="5" t="s">
        <v>25</v>
      </c>
      <c r="J2401" s="5" t="s">
        <v>25</v>
      </c>
      <c r="K2401" s="7" t="str">
        <f>VLOOKUP(A2401,Sheet2!$A$2:$R$3432,6,0)</f>
        <v>Yamaha R15 V3</v>
      </c>
      <c r="L2401" s="5" t="s">
        <v>25</v>
      </c>
      <c r="M2401" s="7" t="str">
        <f>VLOOKUP(A2401,Sheet2!$A$2:$R$3432,5,0)</f>
        <v>MH21BR9996</v>
      </c>
      <c r="N2401" s="5" t="s">
        <v>25</v>
      </c>
      <c r="O2401" s="5" t="s">
        <v>25</v>
      </c>
      <c r="P2401" s="6" t="s">
        <v>25</v>
      </c>
      <c r="Q2401" s="5" t="s">
        <v>25</v>
      </c>
      <c r="R2401" s="5" t="s">
        <v>25</v>
      </c>
      <c r="S2401" s="7" t="str">
        <f>VLOOKUP(A2401,Sheet2!$A$2:$R$3432,18,0)</f>
        <v/>
      </c>
      <c r="T2401" s="7" t="str">
        <f>VLOOKUP(A2401,Sheet2!$A$2:$R$3432,17,0)</f>
        <v/>
      </c>
    </row>
    <row r="2402" ht="15.75" customHeight="1">
      <c r="A2402" s="3" t="s">
        <v>2425</v>
      </c>
      <c r="B2402" s="4" t="str">
        <f>VLOOKUP(A2402,Sheet2!$A$2:$R$3432,2,0)</f>
        <v>2024-10-20 20:15:53</v>
      </c>
      <c r="C2402" s="5" t="s">
        <v>25</v>
      </c>
      <c r="D2402" s="6" t="s">
        <v>25</v>
      </c>
      <c r="E2402" s="7">
        <f>VLOOKUP(A2402,Sheet2!$A$2:$R$3432,4,0)</f>
        <v>9823400846</v>
      </c>
      <c r="F2402" s="7" t="str">
        <f>VLOOKUP(A2402,Sheet2!$A$2:$R$3432,3,0)</f>
        <v>VIVEK NAIK</v>
      </c>
      <c r="G2402" s="5" t="s">
        <v>25</v>
      </c>
      <c r="H2402" s="5" t="s">
        <v>25</v>
      </c>
      <c r="I2402" s="5" t="s">
        <v>25</v>
      </c>
      <c r="J2402" s="5" t="s">
        <v>25</v>
      </c>
      <c r="K2402" s="7" t="str">
        <f>VLOOKUP(A2402,Sheet2!$A$2:$R$3432,6,0)</f>
        <v>Bajaj Pulsar 180</v>
      </c>
      <c r="L2402" s="5" t="s">
        <v>25</v>
      </c>
      <c r="M2402" s="7" t="str">
        <f>VLOOKUP(A2402,Sheet2!$A$2:$R$3432,5,0)</f>
        <v>MH14CR4541</v>
      </c>
      <c r="N2402" s="5" t="s">
        <v>25</v>
      </c>
      <c r="O2402" s="5" t="s">
        <v>25</v>
      </c>
      <c r="P2402" s="6" t="s">
        <v>25</v>
      </c>
      <c r="Q2402" s="5" t="s">
        <v>25</v>
      </c>
      <c r="R2402" s="5" t="s">
        <v>25</v>
      </c>
      <c r="S2402" s="7" t="str">
        <f>VLOOKUP(A2402,Sheet2!$A$2:$R$3432,18,0)</f>
        <v/>
      </c>
      <c r="T2402" s="7" t="str">
        <f>VLOOKUP(A2402,Sheet2!$A$2:$R$3432,17,0)</f>
        <v/>
      </c>
    </row>
    <row r="2403" ht="15.75" customHeight="1">
      <c r="A2403" s="3" t="s">
        <v>2426</v>
      </c>
      <c r="B2403" s="4" t="str">
        <f>VLOOKUP(A2403,Sheet2!$A$2:$R$3432,2,0)</f>
        <v>2024-10-20 20:16:16</v>
      </c>
      <c r="C2403" s="5" t="s">
        <v>25</v>
      </c>
      <c r="D2403" s="6" t="s">
        <v>25</v>
      </c>
      <c r="E2403" s="7">
        <f>VLOOKUP(A2403,Sheet2!$A$2:$R$3432,4,0)</f>
        <v>9762777049</v>
      </c>
      <c r="F2403" s="7" t="str">
        <f>VLOOKUP(A2403,Sheet2!$A$2:$R$3432,3,0)</f>
        <v>Swapnil Patil</v>
      </c>
      <c r="G2403" s="5" t="s">
        <v>25</v>
      </c>
      <c r="H2403" s="5" t="s">
        <v>25</v>
      </c>
      <c r="I2403" s="5" t="s">
        <v>25</v>
      </c>
      <c r="J2403" s="5" t="s">
        <v>25</v>
      </c>
      <c r="K2403" s="7" t="str">
        <f>VLOOKUP(A2403,Sheet2!$A$2:$R$3432,6,0)</f>
        <v>Yamaha FZ S</v>
      </c>
      <c r="L2403" s="5" t="s">
        <v>25</v>
      </c>
      <c r="M2403" s="7" t="str">
        <f>VLOOKUP(A2403,Sheet2!$A$2:$R$3432,5,0)</f>
        <v>MH04KC5951</v>
      </c>
      <c r="N2403" s="5" t="s">
        <v>25</v>
      </c>
      <c r="O2403" s="5" t="s">
        <v>25</v>
      </c>
      <c r="P2403" s="6" t="s">
        <v>25</v>
      </c>
      <c r="Q2403" s="5" t="s">
        <v>25</v>
      </c>
      <c r="R2403" s="5" t="s">
        <v>25</v>
      </c>
      <c r="S2403" s="7" t="str">
        <f>VLOOKUP(A2403,Sheet2!$A$2:$R$3432,18,0)</f>
        <v/>
      </c>
      <c r="T2403" s="7" t="str">
        <f>VLOOKUP(A2403,Sheet2!$A$2:$R$3432,17,0)</f>
        <v/>
      </c>
    </row>
    <row r="2404" ht="15.75" customHeight="1">
      <c r="A2404" s="3" t="s">
        <v>2427</v>
      </c>
      <c r="B2404" s="4" t="str">
        <f>VLOOKUP(A2404,Sheet2!$A$2:$R$3432,2,0)</f>
        <v>2024-10-20 20:14:29</v>
      </c>
      <c r="C2404" s="5" t="s">
        <v>25</v>
      </c>
      <c r="D2404" s="6" t="s">
        <v>25</v>
      </c>
      <c r="E2404" s="7">
        <f>VLOOKUP(A2404,Sheet2!$A$2:$R$3432,4,0)</f>
        <v>8888321554</v>
      </c>
      <c r="F2404" s="7" t="str">
        <f>VLOOKUP(A2404,Sheet2!$A$2:$R$3432,3,0)</f>
        <v>Satish</v>
      </c>
      <c r="G2404" s="5" t="s">
        <v>25</v>
      </c>
      <c r="H2404" s="5" t="s">
        <v>25</v>
      </c>
      <c r="I2404" s="5" t="s">
        <v>25</v>
      </c>
      <c r="J2404" s="5" t="s">
        <v>25</v>
      </c>
      <c r="K2404" s="7" t="str">
        <f>VLOOKUP(A2404,Sheet2!$A$2:$R$3432,6,0)</f>
        <v>Hero Splendor </v>
      </c>
      <c r="L2404" s="5" t="s">
        <v>25</v>
      </c>
      <c r="M2404" s="7" t="str">
        <f>VLOOKUP(A2404,Sheet2!$A$2:$R$3432,5,0)</f>
        <v>MH12ER8132</v>
      </c>
      <c r="N2404" s="5" t="s">
        <v>25</v>
      </c>
      <c r="O2404" s="5" t="s">
        <v>25</v>
      </c>
      <c r="P2404" s="6" t="s">
        <v>25</v>
      </c>
      <c r="Q2404" s="5" t="s">
        <v>25</v>
      </c>
      <c r="R2404" s="5" t="s">
        <v>25</v>
      </c>
      <c r="S2404" s="7" t="str">
        <f>VLOOKUP(A2404,Sheet2!$A$2:$R$3432,18,0)</f>
        <v/>
      </c>
      <c r="T2404" s="7" t="str">
        <f>VLOOKUP(A2404,Sheet2!$A$2:$R$3432,17,0)</f>
        <v/>
      </c>
    </row>
    <row r="2405" ht="15.75" customHeight="1">
      <c r="A2405" s="3" t="s">
        <v>2428</v>
      </c>
      <c r="B2405" s="4" t="str">
        <f>VLOOKUP(A2405,Sheet2!$A$2:$R$3432,2,0)</f>
        <v>2024-10-20 20:20:58</v>
      </c>
      <c r="C2405" s="5" t="s">
        <v>25</v>
      </c>
      <c r="D2405" s="6" t="s">
        <v>25</v>
      </c>
      <c r="E2405" s="7">
        <f>VLOOKUP(A2405,Sheet2!$A$2:$R$3432,4,0)</f>
        <v>7083321829</v>
      </c>
      <c r="F2405" s="7" t="str">
        <f>VLOOKUP(A2405,Sheet2!$A$2:$R$3432,3,0)</f>
        <v>Shirke </v>
      </c>
      <c r="G2405" s="5" t="s">
        <v>25</v>
      </c>
      <c r="H2405" s="5" t="s">
        <v>25</v>
      </c>
      <c r="I2405" s="5" t="s">
        <v>25</v>
      </c>
      <c r="J2405" s="5" t="s">
        <v>25</v>
      </c>
      <c r="K2405" s="7" t="str">
        <f>VLOOKUP(A2405,Sheet2!$A$2:$R$3432,6,0)</f>
        <v>Honda Activa 6G</v>
      </c>
      <c r="L2405" s="5" t="s">
        <v>25</v>
      </c>
      <c r="M2405" s="7" t="str">
        <f>VLOOKUP(A2405,Sheet2!$A$2:$R$3432,5,0)</f>
        <v>MH14JK5342</v>
      </c>
      <c r="N2405" s="5" t="s">
        <v>25</v>
      </c>
      <c r="O2405" s="5" t="s">
        <v>25</v>
      </c>
      <c r="P2405" s="6" t="s">
        <v>25</v>
      </c>
      <c r="Q2405" s="5" t="s">
        <v>25</v>
      </c>
      <c r="R2405" s="5" t="s">
        <v>25</v>
      </c>
      <c r="S2405" s="5" t="str">
        <f>VLOOKUP(A2405,Sheet2!$A$2:$R$3432,18,0)</f>
        <v>JF91EW0241233</v>
      </c>
      <c r="T2405" s="7" t="str">
        <f>VLOOKUP(A2405,Sheet2!$A$2:$R$3432,17,0)</f>
        <v>ME4JF913AMW241740</v>
      </c>
    </row>
    <row r="2406" ht="15.75" customHeight="1">
      <c r="A2406" s="3" t="s">
        <v>2429</v>
      </c>
      <c r="B2406" s="4" t="str">
        <f>VLOOKUP(A2406,Sheet2!$A$2:$R$3432,2,0)</f>
        <v>2024-10-20 20:22:30</v>
      </c>
      <c r="C2406" s="5" t="s">
        <v>25</v>
      </c>
      <c r="D2406" s="6" t="s">
        <v>25</v>
      </c>
      <c r="E2406" s="7">
        <f>VLOOKUP(A2406,Sheet2!$A$2:$R$3432,4,0)</f>
        <v>9904474868</v>
      </c>
      <c r="F2406" s="7" t="str">
        <f>VLOOKUP(A2406,Sheet2!$A$2:$R$3432,3,0)</f>
        <v>HARISH</v>
      </c>
      <c r="G2406" s="5" t="s">
        <v>25</v>
      </c>
      <c r="H2406" s="5" t="s">
        <v>25</v>
      </c>
      <c r="I2406" s="5" t="s">
        <v>25</v>
      </c>
      <c r="J2406" s="5" t="s">
        <v>25</v>
      </c>
      <c r="K2406" s="7" t="str">
        <f>VLOOKUP(A2406,Sheet2!$A$2:$R$3432,6,0)</f>
        <v>Honda Aviator </v>
      </c>
      <c r="L2406" s="5" t="s">
        <v>25</v>
      </c>
      <c r="M2406" s="7" t="str">
        <f>VLOOKUP(A2406,Sheet2!$A$2:$R$3432,5,0)</f>
        <v>GJ1JH485</v>
      </c>
      <c r="N2406" s="5" t="s">
        <v>25</v>
      </c>
      <c r="O2406" s="5" t="s">
        <v>25</v>
      </c>
      <c r="P2406" s="6" t="s">
        <v>25</v>
      </c>
      <c r="Q2406" s="5" t="s">
        <v>25</v>
      </c>
      <c r="R2406" s="5" t="s">
        <v>25</v>
      </c>
      <c r="S2406" s="7" t="str">
        <f>VLOOKUP(A2406,Sheet2!$A$2:$R$3432,18,0)</f>
        <v/>
      </c>
      <c r="T2406" s="7" t="str">
        <f>VLOOKUP(A2406,Sheet2!$A$2:$R$3432,17,0)</f>
        <v/>
      </c>
    </row>
    <row r="2407" ht="15.75" customHeight="1">
      <c r="A2407" s="3" t="s">
        <v>2430</v>
      </c>
      <c r="B2407" s="4" t="str">
        <f>VLOOKUP(A2407,Sheet2!$A$2:$R$3432,2,0)</f>
        <v>2024-10-20 20:18:32</v>
      </c>
      <c r="C2407" s="5" t="s">
        <v>25</v>
      </c>
      <c r="D2407" s="6" t="s">
        <v>25</v>
      </c>
      <c r="E2407" s="7">
        <f>VLOOKUP(A2407,Sheet2!$A$2:$R$3432,4,0)</f>
        <v>8208507298</v>
      </c>
      <c r="F2407" s="7" t="str">
        <f>VLOOKUP(A2407,Sheet2!$A$2:$R$3432,3,0)</f>
        <v>Mohan Malvedkar</v>
      </c>
      <c r="G2407" s="5" t="s">
        <v>25</v>
      </c>
      <c r="H2407" s="5" t="s">
        <v>25</v>
      </c>
      <c r="I2407" s="5" t="s">
        <v>25</v>
      </c>
      <c r="J2407" s="5" t="s">
        <v>25</v>
      </c>
      <c r="K2407" s="7" t="str">
        <f>VLOOKUP(A2407,Sheet2!$A$2:$R$3432,6,0)</f>
        <v>TVS Star City Plus</v>
      </c>
      <c r="L2407" s="5" t="s">
        <v>25</v>
      </c>
      <c r="M2407" s="7" t="str">
        <f>VLOOKUP(A2407,Sheet2!$A$2:$R$3432,5,0)</f>
        <v>MH14BZ9978</v>
      </c>
      <c r="N2407" s="5" t="s">
        <v>25</v>
      </c>
      <c r="O2407" s="5" t="s">
        <v>25</v>
      </c>
      <c r="P2407" s="6" t="s">
        <v>25</v>
      </c>
      <c r="Q2407" s="5" t="s">
        <v>25</v>
      </c>
      <c r="R2407" s="5" t="s">
        <v>25</v>
      </c>
      <c r="S2407" s="5" t="str">
        <f>VLOOKUP(A2407,Sheet2!$A$2:$R$3432,18,0)</f>
        <v>RUSTY FRAME</v>
      </c>
      <c r="T2407" s="7" t="str">
        <f>VLOOKUP(A2407,Sheet2!$A$2:$R$3432,17,0)</f>
        <v>MD625NF10A3B89980</v>
      </c>
    </row>
    <row r="2408" ht="15.75" customHeight="1">
      <c r="A2408" s="3" t="s">
        <v>2431</v>
      </c>
      <c r="B2408" s="4" t="str">
        <f>VLOOKUP(A2408,Sheet2!$A$2:$R$3432,2,0)</f>
        <v>2024-10-20 20:10:57</v>
      </c>
      <c r="C2408" s="5" t="s">
        <v>25</v>
      </c>
      <c r="D2408" s="6" t="s">
        <v>25</v>
      </c>
      <c r="E2408" s="7">
        <f>VLOOKUP(A2408,Sheet2!$A$2:$R$3432,4,0)</f>
        <v>9920887998</v>
      </c>
      <c r="F2408" s="7" t="str">
        <f>VLOOKUP(A2408,Sheet2!$A$2:$R$3432,3,0)</f>
        <v>Prajot Kulkarni</v>
      </c>
      <c r="G2408" s="5" t="s">
        <v>25</v>
      </c>
      <c r="H2408" s="5" t="s">
        <v>25</v>
      </c>
      <c r="I2408" s="5" t="s">
        <v>25</v>
      </c>
      <c r="J2408" s="5" t="s">
        <v>25</v>
      </c>
      <c r="K2408" s="7" t="str">
        <f>VLOOKUP(A2408,Sheet2!$A$2:$R$3432,6,0)</f>
        <v>Bajaj Avenger 220 Street</v>
      </c>
      <c r="L2408" s="5" t="s">
        <v>25</v>
      </c>
      <c r="M2408" s="7" t="str">
        <f>VLOOKUP(A2408,Sheet2!$A$2:$R$3432,5,0)</f>
        <v>MH14GR5818</v>
      </c>
      <c r="N2408" s="5" t="s">
        <v>25</v>
      </c>
      <c r="O2408" s="5" t="s">
        <v>25</v>
      </c>
      <c r="P2408" s="6" t="s">
        <v>25</v>
      </c>
      <c r="Q2408" s="5" t="s">
        <v>25</v>
      </c>
      <c r="R2408" s="5" t="s">
        <v>25</v>
      </c>
      <c r="S2408" s="5" t="str">
        <f>VLOOKUP(A2408,Sheet2!$A$2:$R$3432,18,0)</f>
        <v>PDYCHH82232</v>
      </c>
      <c r="T2408" s="7" t="str">
        <f>VLOOKUP(A2408,Sheet2!$A$2:$R$3432,17,0)</f>
        <v>MD2A22EY8HCH68504</v>
      </c>
    </row>
    <row r="2409" ht="15.75" customHeight="1">
      <c r="A2409" s="3" t="s">
        <v>2432</v>
      </c>
      <c r="B2409" s="4" t="str">
        <f>VLOOKUP(A2409,Sheet2!$A$2:$R$3432,2,0)</f>
        <v>2024-10-20 20:23:52</v>
      </c>
      <c r="C2409" s="5" t="s">
        <v>25</v>
      </c>
      <c r="D2409" s="6" t="s">
        <v>25</v>
      </c>
      <c r="E2409" s="7">
        <f>VLOOKUP(A2409,Sheet2!$A$2:$R$3432,4,0)</f>
        <v>9011111199</v>
      </c>
      <c r="F2409" s="7" t="str">
        <f>VLOOKUP(A2409,Sheet2!$A$2:$R$3432,3,0)</f>
        <v>Sachin Tambe</v>
      </c>
      <c r="G2409" s="5" t="s">
        <v>25</v>
      </c>
      <c r="H2409" s="5" t="s">
        <v>25</v>
      </c>
      <c r="I2409" s="5" t="s">
        <v>25</v>
      </c>
      <c r="J2409" s="5" t="s">
        <v>25</v>
      </c>
      <c r="K2409" s="7" t="str">
        <f>VLOOKUP(A2409,Sheet2!$A$2:$R$3432,6,0)</f>
        <v>Honda Activa 5G</v>
      </c>
      <c r="L2409" s="5" t="s">
        <v>25</v>
      </c>
      <c r="M2409" s="7" t="str">
        <f>VLOOKUP(A2409,Sheet2!$A$2:$R$3432,5,0)</f>
        <v>MH14HF5667</v>
      </c>
      <c r="N2409" s="5" t="s">
        <v>25</v>
      </c>
      <c r="O2409" s="5" t="s">
        <v>25</v>
      </c>
      <c r="P2409" s="6" t="s">
        <v>25</v>
      </c>
      <c r="Q2409" s="5" t="s">
        <v>25</v>
      </c>
      <c r="R2409" s="5" t="s">
        <v>25</v>
      </c>
      <c r="S2409" s="5" t="str">
        <f>VLOOKUP(A2409,Sheet2!$A$2:$R$3432,18,0)</f>
        <v>JF50EU8161225</v>
      </c>
      <c r="T2409" s="7" t="str">
        <f>VLOOKUP(A2409,Sheet2!$A$2:$R$3432,17,0)</f>
        <v>ME4JF50BLJU16771</v>
      </c>
    </row>
    <row r="2410" ht="15.75" customHeight="1">
      <c r="A2410" s="3" t="s">
        <v>2433</v>
      </c>
      <c r="B2410" s="4" t="str">
        <f>VLOOKUP(A2410,Sheet2!$A$2:$R$3432,2,0)</f>
        <v>2024-10-20 20:17:20</v>
      </c>
      <c r="C2410" s="5" t="s">
        <v>25</v>
      </c>
      <c r="D2410" s="6" t="s">
        <v>25</v>
      </c>
      <c r="E2410" s="7">
        <f>VLOOKUP(A2410,Sheet2!$A$2:$R$3432,4,0)</f>
        <v>9890675383</v>
      </c>
      <c r="F2410" s="7" t="str">
        <f>VLOOKUP(A2410,Sheet2!$A$2:$R$3432,3,0)</f>
        <v>Sujay Joshi</v>
      </c>
      <c r="G2410" s="5" t="s">
        <v>25</v>
      </c>
      <c r="H2410" s="5" t="s">
        <v>25</v>
      </c>
      <c r="I2410" s="5" t="s">
        <v>25</v>
      </c>
      <c r="J2410" s="5" t="s">
        <v>25</v>
      </c>
      <c r="K2410" s="7" t="str">
        <f>VLOOKUP(A2410,Sheet2!$A$2:$R$3432,6,0)</f>
        <v>Suzuki Access 125</v>
      </c>
      <c r="L2410" s="5" t="s">
        <v>25</v>
      </c>
      <c r="M2410" s="7" t="str">
        <f>VLOOKUP(A2410,Sheet2!$A$2:$R$3432,5,0)</f>
        <v>MH12QQ8618</v>
      </c>
      <c r="N2410" s="5" t="s">
        <v>25</v>
      </c>
      <c r="O2410" s="5" t="s">
        <v>25</v>
      </c>
      <c r="P2410" s="6" t="s">
        <v>25</v>
      </c>
      <c r="Q2410" s="5" t="s">
        <v>25</v>
      </c>
      <c r="R2410" s="5" t="s">
        <v>25</v>
      </c>
      <c r="S2410" s="5" t="str">
        <f>VLOOKUP(A2410,Sheet2!$A$2:$R$3432,18,0)</f>
        <v>AF211722746</v>
      </c>
      <c r="T2410" s="7" t="str">
        <f>VLOOKUP(A2410,Sheet2!$A$2:$R$3432,17,0)</f>
        <v>MB8DP11AFJ8925232</v>
      </c>
    </row>
    <row r="2411" ht="15.75" customHeight="1">
      <c r="A2411" s="3" t="s">
        <v>2434</v>
      </c>
      <c r="B2411" s="4" t="str">
        <f>VLOOKUP(A2411,Sheet2!$A$2:$R$3432,2,0)</f>
        <v>2024-10-20 20:14:44</v>
      </c>
      <c r="C2411" s="5" t="s">
        <v>25</v>
      </c>
      <c r="D2411" s="6" t="s">
        <v>25</v>
      </c>
      <c r="E2411" s="7">
        <f>VLOOKUP(A2411,Sheet2!$A$2:$R$3432,4,0)</f>
        <v>9004141092</v>
      </c>
      <c r="F2411" s="7" t="str">
        <f>VLOOKUP(A2411,Sheet2!$A$2:$R$3432,3,0)</f>
        <v>Amod</v>
      </c>
      <c r="G2411" s="5" t="s">
        <v>25</v>
      </c>
      <c r="H2411" s="5" t="s">
        <v>25</v>
      </c>
      <c r="I2411" s="5" t="s">
        <v>25</v>
      </c>
      <c r="J2411" s="5" t="s">
        <v>25</v>
      </c>
      <c r="K2411" s="7" t="str">
        <f>VLOOKUP(A2411,Sheet2!$A$2:$R$3432,6,0)</f>
        <v>TVS Jupiter No Data</v>
      </c>
      <c r="L2411" s="5" t="s">
        <v>25</v>
      </c>
      <c r="M2411" s="7" t="str">
        <f>VLOOKUP(A2411,Sheet2!$A$2:$R$3432,5,0)</f>
        <v>MH43BT9368</v>
      </c>
      <c r="N2411" s="5" t="s">
        <v>25</v>
      </c>
      <c r="O2411" s="5" t="s">
        <v>25</v>
      </c>
      <c r="P2411" s="6" t="s">
        <v>25</v>
      </c>
      <c r="Q2411" s="5" t="s">
        <v>25</v>
      </c>
      <c r="R2411" s="5" t="s">
        <v>25</v>
      </c>
      <c r="S2411" s="7" t="str">
        <f>VLOOKUP(A2411,Sheet2!$A$2:$R$3432,18,0)</f>
        <v/>
      </c>
      <c r="T2411" s="7" t="str">
        <f>VLOOKUP(A2411,Sheet2!$A$2:$R$3432,17,0)</f>
        <v/>
      </c>
    </row>
    <row r="2412" ht="15.75" customHeight="1">
      <c r="A2412" s="3" t="s">
        <v>2435</v>
      </c>
      <c r="B2412" s="4" t="str">
        <f>VLOOKUP(A2412,Sheet2!$A$2:$R$3432,2,0)</f>
        <v>2024-10-20 20:21:35</v>
      </c>
      <c r="C2412" s="5" t="s">
        <v>25</v>
      </c>
      <c r="D2412" s="6" t="s">
        <v>25</v>
      </c>
      <c r="E2412" s="7">
        <f>VLOOKUP(A2412,Sheet2!$A$2:$R$3432,4,0)</f>
        <v>9881907105</v>
      </c>
      <c r="F2412" s="7" t="str">
        <f>VLOOKUP(A2412,Sheet2!$A$2:$R$3432,3,0)</f>
        <v>SUVARNA BHAPKAR</v>
      </c>
      <c r="G2412" s="5" t="s">
        <v>25</v>
      </c>
      <c r="H2412" s="5" t="s">
        <v>25</v>
      </c>
      <c r="I2412" s="5" t="s">
        <v>25</v>
      </c>
      <c r="J2412" s="5" t="s">
        <v>25</v>
      </c>
      <c r="K2412" s="7" t="str">
        <f>VLOOKUP(A2412,Sheet2!$A$2:$R$3432,6,0)</f>
        <v>TVS Wego </v>
      </c>
      <c r="L2412" s="5" t="s">
        <v>25</v>
      </c>
      <c r="M2412" s="7" t="str">
        <f>VLOOKUP(A2412,Sheet2!$A$2:$R$3432,5,0)</f>
        <v>MH14DY7180</v>
      </c>
      <c r="N2412" s="5" t="s">
        <v>25</v>
      </c>
      <c r="O2412" s="5" t="s">
        <v>25</v>
      </c>
      <c r="P2412" s="6" t="s">
        <v>25</v>
      </c>
      <c r="Q2412" s="5" t="s">
        <v>25</v>
      </c>
      <c r="R2412" s="5" t="s">
        <v>25</v>
      </c>
      <c r="S2412" s="7" t="str">
        <f>VLOOKUP(A2412,Sheet2!$A$2:$R$3432,18,0)</f>
        <v/>
      </c>
      <c r="T2412" s="7" t="str">
        <f>VLOOKUP(A2412,Sheet2!$A$2:$R$3432,17,0)</f>
        <v/>
      </c>
    </row>
    <row r="2413" ht="15.75" customHeight="1">
      <c r="A2413" s="3" t="s">
        <v>2436</v>
      </c>
      <c r="B2413" s="4" t="str">
        <f>VLOOKUP(A2413,Sheet2!$A$2:$R$3432,2,0)</f>
        <v>2024-10-20 20:12:56</v>
      </c>
      <c r="C2413" s="5" t="s">
        <v>25</v>
      </c>
      <c r="D2413" s="6" t="s">
        <v>25</v>
      </c>
      <c r="E2413" s="7">
        <f>VLOOKUP(A2413,Sheet2!$A$2:$R$3432,4,0)</f>
        <v>9033414249</v>
      </c>
      <c r="F2413" s="7" t="str">
        <f>VLOOKUP(A2413,Sheet2!$A$2:$R$3432,3,0)</f>
        <v>Keyur Barapatre</v>
      </c>
      <c r="G2413" s="5" t="s">
        <v>25</v>
      </c>
      <c r="H2413" s="5" t="s">
        <v>25</v>
      </c>
      <c r="I2413" s="5" t="s">
        <v>25</v>
      </c>
      <c r="J2413" s="5" t="s">
        <v>25</v>
      </c>
      <c r="K2413" s="7" t="str">
        <f>VLOOKUP(A2413,Sheet2!$A$2:$R$3432,6,0)</f>
        <v>Bajaj Pulsar 150</v>
      </c>
      <c r="L2413" s="5" t="s">
        <v>25</v>
      </c>
      <c r="M2413" s="7" t="str">
        <f>VLOOKUP(A2413,Sheet2!$A$2:$R$3432,5,0)</f>
        <v>MH12MD0128</v>
      </c>
      <c r="N2413" s="5" t="s">
        <v>25</v>
      </c>
      <c r="O2413" s="5" t="s">
        <v>25</v>
      </c>
      <c r="P2413" s="6" t="s">
        <v>25</v>
      </c>
      <c r="Q2413" s="5" t="s">
        <v>25</v>
      </c>
      <c r="R2413" s="5" t="s">
        <v>25</v>
      </c>
      <c r="S2413" s="7" t="str">
        <f>VLOOKUP(A2413,Sheet2!$A$2:$R$3432,18,0)</f>
        <v/>
      </c>
      <c r="T2413" s="7" t="str">
        <f>VLOOKUP(A2413,Sheet2!$A$2:$R$3432,17,0)</f>
        <v/>
      </c>
    </row>
    <row r="2414" ht="15.75" customHeight="1">
      <c r="A2414" s="3" t="s">
        <v>2437</v>
      </c>
      <c r="B2414" s="4" t="str">
        <f>VLOOKUP(A2414,Sheet2!$A$2:$R$3432,2,0)</f>
        <v>2024-10-20 20:12:03</v>
      </c>
      <c r="C2414" s="5" t="s">
        <v>25</v>
      </c>
      <c r="D2414" s="6" t="s">
        <v>25</v>
      </c>
      <c r="E2414" s="7">
        <f>VLOOKUP(A2414,Sheet2!$A$2:$R$3432,4,0)</f>
        <v>7020766499</v>
      </c>
      <c r="F2414" s="7" t="str">
        <f>VLOOKUP(A2414,Sheet2!$A$2:$R$3432,3,0)</f>
        <v>Sumit</v>
      </c>
      <c r="G2414" s="5" t="s">
        <v>25</v>
      </c>
      <c r="H2414" s="5" t="s">
        <v>25</v>
      </c>
      <c r="I2414" s="5" t="s">
        <v>25</v>
      </c>
      <c r="J2414" s="5" t="s">
        <v>25</v>
      </c>
      <c r="K2414" s="7" t="str">
        <f>VLOOKUP(A2414,Sheet2!$A$2:$R$3432,6,0)</f>
        <v>Honda Shine </v>
      </c>
      <c r="L2414" s="5" t="s">
        <v>25</v>
      </c>
      <c r="M2414" s="7" t="str">
        <f>VLOOKUP(A2414,Sheet2!$A$2:$R$3432,5,0)</f>
        <v>MH12MZ3695</v>
      </c>
      <c r="N2414" s="5" t="s">
        <v>25</v>
      </c>
      <c r="O2414" s="5" t="s">
        <v>25</v>
      </c>
      <c r="P2414" s="6" t="s">
        <v>25</v>
      </c>
      <c r="Q2414" s="5" t="s">
        <v>25</v>
      </c>
      <c r="R2414" s="5" t="s">
        <v>25</v>
      </c>
      <c r="S2414" s="7" t="str">
        <f>VLOOKUP(A2414,Sheet2!$A$2:$R$3432,18,0)</f>
        <v/>
      </c>
      <c r="T2414" s="7" t="str">
        <f>VLOOKUP(A2414,Sheet2!$A$2:$R$3432,17,0)</f>
        <v/>
      </c>
    </row>
    <row r="2415" ht="15.75" customHeight="1">
      <c r="A2415" s="3" t="s">
        <v>2438</v>
      </c>
      <c r="B2415" s="4" t="str">
        <f>VLOOKUP(A2415,Sheet2!$A$2:$R$3432,2,0)</f>
        <v>2024-10-20 20:10:37</v>
      </c>
      <c r="C2415" s="5" t="s">
        <v>25</v>
      </c>
      <c r="D2415" s="6" t="s">
        <v>25</v>
      </c>
      <c r="E2415" s="7">
        <f>VLOOKUP(A2415,Sheet2!$A$2:$R$3432,4,0)</f>
        <v>9746114267</v>
      </c>
      <c r="F2415" s="7" t="str">
        <f>VLOOKUP(A2415,Sheet2!$A$2:$R$3432,3,0)</f>
        <v>CHARUDATTA </v>
      </c>
      <c r="G2415" s="5" t="s">
        <v>25</v>
      </c>
      <c r="H2415" s="5" t="s">
        <v>25</v>
      </c>
      <c r="I2415" s="5" t="s">
        <v>25</v>
      </c>
      <c r="J2415" s="5" t="s">
        <v>25</v>
      </c>
      <c r="K2415" s="7" t="str">
        <f>VLOOKUP(A2415,Sheet2!$A$2:$R$3432,6,0)</f>
        <v>Hero Splendor Plus</v>
      </c>
      <c r="L2415" s="5" t="s">
        <v>25</v>
      </c>
      <c r="M2415" s="7" t="str">
        <f>VLOOKUP(A2415,Sheet2!$A$2:$R$3432,5,0)</f>
        <v>MH31DR0534</v>
      </c>
      <c r="N2415" s="5" t="s">
        <v>25</v>
      </c>
      <c r="O2415" s="5" t="s">
        <v>25</v>
      </c>
      <c r="P2415" s="6" t="s">
        <v>25</v>
      </c>
      <c r="Q2415" s="5" t="s">
        <v>25</v>
      </c>
      <c r="R2415" s="5" t="s">
        <v>25</v>
      </c>
      <c r="S2415" s="7" t="str">
        <f>VLOOKUP(A2415,Sheet2!$A$2:$R$3432,18,0)</f>
        <v/>
      </c>
      <c r="T2415" s="7" t="str">
        <f>VLOOKUP(A2415,Sheet2!$A$2:$R$3432,17,0)</f>
        <v/>
      </c>
    </row>
    <row r="2416" ht="15.75" customHeight="1">
      <c r="A2416" s="3" t="s">
        <v>2439</v>
      </c>
      <c r="B2416" s="4" t="str">
        <f>VLOOKUP(A2416,Sheet2!$A$2:$R$3432,2,0)</f>
        <v>2024-10-20 20:24:56</v>
      </c>
      <c r="C2416" s="5" t="s">
        <v>25</v>
      </c>
      <c r="D2416" s="6" t="s">
        <v>25</v>
      </c>
      <c r="E2416" s="7">
        <f>VLOOKUP(A2416,Sheet2!$A$2:$R$3432,4,0)</f>
        <v>7350459842</v>
      </c>
      <c r="F2416" s="7" t="str">
        <f>VLOOKUP(A2416,Sheet2!$A$2:$R$3432,3,0)</f>
        <v>Manoj Jadhav</v>
      </c>
      <c r="G2416" s="5" t="s">
        <v>25</v>
      </c>
      <c r="H2416" s="5" t="s">
        <v>25</v>
      </c>
      <c r="I2416" s="5" t="s">
        <v>25</v>
      </c>
      <c r="J2416" s="5" t="s">
        <v>25</v>
      </c>
      <c r="K2416" s="7" t="str">
        <f>VLOOKUP(A2416,Sheet2!$A$2:$R$3432,6,0)</f>
        <v>Honda Unicorn </v>
      </c>
      <c r="L2416" s="5" t="s">
        <v>25</v>
      </c>
      <c r="M2416" s="7" t="str">
        <f>VLOOKUP(A2416,Sheet2!$A$2:$R$3432,5,0)</f>
        <v>MH26CD3706</v>
      </c>
      <c r="N2416" s="5" t="s">
        <v>25</v>
      </c>
      <c r="O2416" s="5" t="s">
        <v>25</v>
      </c>
      <c r="P2416" s="6" t="s">
        <v>25</v>
      </c>
      <c r="Q2416" s="5" t="s">
        <v>25</v>
      </c>
      <c r="R2416" s="5" t="s">
        <v>25</v>
      </c>
      <c r="S2416" s="5" t="str">
        <f>VLOOKUP(A2416,Sheet2!$A$2:$R$3432,18,0)</f>
        <v>JF50E710919414</v>
      </c>
      <c r="T2416" s="7" t="str">
        <f>VLOOKUP(A2416,Sheet2!$A$2:$R$3432,17,0)</f>
        <v>ME4JF502FE7091937</v>
      </c>
    </row>
    <row r="2417" ht="15.75" customHeight="1">
      <c r="A2417" s="3" t="s">
        <v>2440</v>
      </c>
      <c r="B2417" s="4" t="str">
        <f>VLOOKUP(A2417,Sheet2!$A$2:$R$3432,2,0)</f>
        <v>2024-10-20 20:16:42</v>
      </c>
      <c r="C2417" s="5" t="s">
        <v>25</v>
      </c>
      <c r="D2417" s="6" t="s">
        <v>25</v>
      </c>
      <c r="E2417" s="7">
        <f>VLOOKUP(A2417,Sheet2!$A$2:$R$3432,4,0)</f>
        <v>7709719178</v>
      </c>
      <c r="F2417" s="7" t="str">
        <f>VLOOKUP(A2417,Sheet2!$A$2:$R$3432,3,0)</f>
        <v>Shreyas</v>
      </c>
      <c r="G2417" s="5" t="s">
        <v>25</v>
      </c>
      <c r="H2417" s="5" t="s">
        <v>25</v>
      </c>
      <c r="I2417" s="5" t="s">
        <v>25</v>
      </c>
      <c r="J2417" s="5" t="s">
        <v>25</v>
      </c>
      <c r="K2417" s="7" t="str">
        <f>VLOOKUP(A2417,Sheet2!$A$2:$R$3432,6,0)</f>
        <v>TVS Jupiter </v>
      </c>
      <c r="L2417" s="5" t="s">
        <v>25</v>
      </c>
      <c r="M2417" s="7" t="str">
        <f>VLOOKUP(A2417,Sheet2!$A$2:$R$3432,5,0)</f>
        <v>MH14HH7944</v>
      </c>
      <c r="N2417" s="5" t="s">
        <v>25</v>
      </c>
      <c r="O2417" s="5" t="s">
        <v>25</v>
      </c>
      <c r="P2417" s="6" t="s">
        <v>25</v>
      </c>
      <c r="Q2417" s="5" t="s">
        <v>25</v>
      </c>
      <c r="R2417" s="5" t="s">
        <v>25</v>
      </c>
      <c r="S2417" s="5" t="str">
        <f>VLOOKUP(A2417,Sheet2!$A$2:$R$3432,18,0)</f>
        <v>BG4CJ1722742</v>
      </c>
      <c r="T2417" s="7" t="str">
        <f>VLOOKUP(A2417,Sheet2!$A$2:$R$3432,17,0)</f>
        <v>MD626EG42J3LG1364</v>
      </c>
    </row>
    <row r="2418" ht="15.75" customHeight="1">
      <c r="A2418" s="3" t="s">
        <v>2441</v>
      </c>
      <c r="B2418" s="4" t="str">
        <f>VLOOKUP(A2418,Sheet2!$A$2:$R$3432,2,0)</f>
        <v>2024-10-20 20:20:44</v>
      </c>
      <c r="C2418" s="5" t="s">
        <v>25</v>
      </c>
      <c r="D2418" s="6" t="s">
        <v>25</v>
      </c>
      <c r="E2418" s="7">
        <f>VLOOKUP(A2418,Sheet2!$A$2:$R$3432,4,0)</f>
        <v>9322165483</v>
      </c>
      <c r="F2418" s="7" t="str">
        <f>VLOOKUP(A2418,Sheet2!$A$2:$R$3432,3,0)</f>
        <v>Abhijeet </v>
      </c>
      <c r="G2418" s="5" t="s">
        <v>25</v>
      </c>
      <c r="H2418" s="5" t="s">
        <v>25</v>
      </c>
      <c r="I2418" s="5" t="s">
        <v>25</v>
      </c>
      <c r="J2418" s="5" t="s">
        <v>25</v>
      </c>
      <c r="K2418" s="7" t="str">
        <f>VLOOKUP(A2418,Sheet2!$A$2:$R$3432,6,0)</f>
        <v>Royal Enfield Classic 500</v>
      </c>
      <c r="L2418" s="5" t="s">
        <v>25</v>
      </c>
      <c r="M2418" s="7" t="str">
        <f>VLOOKUP(A2418,Sheet2!$A$2:$R$3432,5,0)</f>
        <v>MH14EX8021</v>
      </c>
      <c r="N2418" s="5" t="s">
        <v>25</v>
      </c>
      <c r="O2418" s="5" t="s">
        <v>25</v>
      </c>
      <c r="P2418" s="6" t="s">
        <v>25</v>
      </c>
      <c r="Q2418" s="5" t="s">
        <v>25</v>
      </c>
      <c r="R2418" s="5" t="s">
        <v>25</v>
      </c>
      <c r="S2418" s="7" t="str">
        <f>VLOOKUP(A2418,Sheet2!$A$2:$R$3432,18,0)</f>
        <v/>
      </c>
      <c r="T2418" s="7" t="str">
        <f>VLOOKUP(A2418,Sheet2!$A$2:$R$3432,17,0)</f>
        <v/>
      </c>
    </row>
    <row r="2419" ht="15.75" customHeight="1">
      <c r="A2419" s="3" t="s">
        <v>2442</v>
      </c>
      <c r="B2419" s="4" t="str">
        <f>VLOOKUP(A2419,Sheet2!$A$2:$R$3432,2,0)</f>
        <v>2024-08-26 13:05:31</v>
      </c>
      <c r="C2419" s="5" t="s">
        <v>25</v>
      </c>
      <c r="D2419" s="6" t="s">
        <v>25</v>
      </c>
      <c r="E2419" s="7">
        <f>VLOOKUP(A2419,Sheet2!$A$2:$R$3432,4,0)</f>
        <v>9739081041</v>
      </c>
      <c r="F2419" s="7" t="str">
        <f>VLOOKUP(A2419,Sheet2!$A$2:$R$3432,3,0)</f>
        <v>ABHISHEK KALSEKAR</v>
      </c>
      <c r="G2419" s="5" t="s">
        <v>25</v>
      </c>
      <c r="H2419" s="5" t="s">
        <v>25</v>
      </c>
      <c r="I2419" s="5" t="s">
        <v>25</v>
      </c>
      <c r="J2419" s="5" t="s">
        <v>25</v>
      </c>
      <c r="K2419" s="7" t="str">
        <f>VLOOKUP(A2419,Sheet2!$A$2:$R$3432,6,0)</f>
        <v>Hero Passion Pro</v>
      </c>
      <c r="L2419" s="5" t="s">
        <v>25</v>
      </c>
      <c r="M2419" s="7" t="str">
        <f>VLOOKUP(A2419,Sheet2!$A$2:$R$3432,5,0)</f>
        <v>MH01AY3902</v>
      </c>
      <c r="N2419" s="5" t="s">
        <v>25</v>
      </c>
      <c r="O2419" s="5" t="s">
        <v>25</v>
      </c>
      <c r="P2419" s="6" t="s">
        <v>25</v>
      </c>
      <c r="Q2419" s="5" t="s">
        <v>25</v>
      </c>
      <c r="R2419" s="5" t="s">
        <v>25</v>
      </c>
      <c r="S2419" s="5" t="str">
        <f>VLOOKUP(A2419,Sheet2!$A$2:$R$3432,18,0)</f>
        <v>HA10EDBGF24113</v>
      </c>
      <c r="T2419" s="7" t="str">
        <f>VLOOKUP(A2419,Sheet2!$A$2:$R$3432,17,0)</f>
        <v>MBLHA10EWBG24113</v>
      </c>
    </row>
    <row r="2420" ht="15.75" customHeight="1">
      <c r="A2420" s="3" t="s">
        <v>2443</v>
      </c>
      <c r="B2420" s="4" t="str">
        <f>VLOOKUP(A2420,Sheet2!$A$2:$R$3432,2,0)</f>
        <v>2024-08-26 13:10:26</v>
      </c>
      <c r="C2420" s="5" t="s">
        <v>25</v>
      </c>
      <c r="D2420" s="6" t="s">
        <v>25</v>
      </c>
      <c r="E2420" s="7">
        <f>VLOOKUP(A2420,Sheet2!$A$2:$R$3432,4,0)</f>
        <v>7069956654</v>
      </c>
      <c r="F2420" s="7" t="str">
        <f>VLOOKUP(A2420,Sheet2!$A$2:$R$3432,3,0)</f>
        <v>Panjab Sindh Dairy</v>
      </c>
      <c r="G2420" s="5" t="s">
        <v>25</v>
      </c>
      <c r="H2420" s="5" t="s">
        <v>25</v>
      </c>
      <c r="I2420" s="5" t="s">
        <v>25</v>
      </c>
      <c r="J2420" s="5" t="s">
        <v>25</v>
      </c>
      <c r="K2420" s="7" t="str">
        <f>VLOOKUP(A2420,Sheet2!$A$2:$R$3432,6,0)</f>
        <v>TVS Jupiter No Data</v>
      </c>
      <c r="L2420" s="5" t="s">
        <v>25</v>
      </c>
      <c r="M2420" s="7" t="str">
        <f>VLOOKUP(A2420,Sheet2!$A$2:$R$3432,5,0)</f>
        <v>GJ15DG5796</v>
      </c>
      <c r="N2420" s="5" t="s">
        <v>25</v>
      </c>
      <c r="O2420" s="5" t="s">
        <v>25</v>
      </c>
      <c r="P2420" s="6" t="s">
        <v>25</v>
      </c>
      <c r="Q2420" s="5" t="s">
        <v>25</v>
      </c>
      <c r="R2420" s="5" t="s">
        <v>25</v>
      </c>
      <c r="S2420" s="5" t="str">
        <f>VLOOKUP(A2420,Sheet2!$A$2:$R$3432,18,0)</f>
        <v>EG4EK1X27873</v>
      </c>
      <c r="T2420" s="7" t="str">
        <f>VLOOKUP(A2420,Sheet2!$A$2:$R$3432,17,0)</f>
        <v>MD626EG47K1E41713</v>
      </c>
    </row>
    <row r="2421" ht="15.75" customHeight="1">
      <c r="A2421" s="3" t="s">
        <v>2444</v>
      </c>
      <c r="B2421" s="4" t="str">
        <f>VLOOKUP(A2421,Sheet2!$A$2:$R$3432,2,0)</f>
        <v>2024-08-26 12:55:49</v>
      </c>
      <c r="C2421" s="5" t="s">
        <v>25</v>
      </c>
      <c r="D2421" s="6" t="s">
        <v>25</v>
      </c>
      <c r="E2421" s="7">
        <f>VLOOKUP(A2421,Sheet2!$A$2:$R$3432,4,0)</f>
        <v>8421171467</v>
      </c>
      <c r="F2421" s="7" t="str">
        <f>VLOOKUP(A2421,Sheet2!$A$2:$R$3432,3,0)</f>
        <v>SHOHAM</v>
      </c>
      <c r="G2421" s="5" t="s">
        <v>25</v>
      </c>
      <c r="H2421" s="5" t="s">
        <v>25</v>
      </c>
      <c r="I2421" s="5" t="s">
        <v>25</v>
      </c>
      <c r="J2421" s="5" t="s">
        <v>25</v>
      </c>
      <c r="K2421" s="7" t="str">
        <f>VLOOKUP(A2421,Sheet2!$A$2:$R$3432,6,0)</f>
        <v>TVS Ntorq 125</v>
      </c>
      <c r="L2421" s="5" t="s">
        <v>25</v>
      </c>
      <c r="M2421" s="7" t="str">
        <f>VLOOKUP(A2421,Sheet2!$A$2:$R$3432,5,0)</f>
        <v>MH14JK1999</v>
      </c>
      <c r="N2421" s="5" t="s">
        <v>25</v>
      </c>
      <c r="O2421" s="5" t="s">
        <v>25</v>
      </c>
      <c r="P2421" s="6" t="s">
        <v>25</v>
      </c>
      <c r="Q2421" s="5" t="s">
        <v>25</v>
      </c>
      <c r="R2421" s="5" t="s">
        <v>25</v>
      </c>
      <c r="S2421" s="5" t="str">
        <f>VLOOKUP(A2421,Sheet2!$A$2:$R$3432,18,0)</f>
        <v>AK3PL2X08691</v>
      </c>
      <c r="T2421" s="7" t="str">
        <f>VLOOKUP(A2421,Sheet2!$A$2:$R$3432,17,0)</f>
        <v>MD626AK32LDO8854</v>
      </c>
    </row>
    <row r="2422" ht="15.75" customHeight="1">
      <c r="A2422" s="3" t="s">
        <v>2445</v>
      </c>
      <c r="B2422" s="4" t="str">
        <f>VLOOKUP(A2422,Sheet2!$A$2:$R$3432,2,0)</f>
        <v>2024-08-26 13:01:57</v>
      </c>
      <c r="C2422" s="5" t="s">
        <v>25</v>
      </c>
      <c r="D2422" s="6" t="s">
        <v>25</v>
      </c>
      <c r="E2422" s="7">
        <f>VLOOKUP(A2422,Sheet2!$A$2:$R$3432,4,0)</f>
        <v>7769082842</v>
      </c>
      <c r="F2422" s="7" t="str">
        <f>VLOOKUP(A2422,Sheet2!$A$2:$R$3432,3,0)</f>
        <v>Piyush Khupse</v>
      </c>
      <c r="G2422" s="5" t="s">
        <v>25</v>
      </c>
      <c r="H2422" s="5" t="s">
        <v>25</v>
      </c>
      <c r="I2422" s="5" t="s">
        <v>25</v>
      </c>
      <c r="J2422" s="5" t="s">
        <v>25</v>
      </c>
      <c r="K2422" s="7" t="str">
        <f>VLOOKUP(A2422,Sheet2!$A$2:$R$3432,6,0)</f>
        <v>Bajaj Pulsar 200 NS</v>
      </c>
      <c r="L2422" s="5" t="s">
        <v>25</v>
      </c>
      <c r="M2422" s="7" t="str">
        <f>VLOOKUP(A2422,Sheet2!$A$2:$R$3432,5,0)</f>
        <v>MH30AY9918</v>
      </c>
      <c r="N2422" s="5" t="s">
        <v>25</v>
      </c>
      <c r="O2422" s="5" t="s">
        <v>25</v>
      </c>
      <c r="P2422" s="6" t="s">
        <v>25</v>
      </c>
      <c r="Q2422" s="5" t="s">
        <v>25</v>
      </c>
      <c r="R2422" s="5" t="s">
        <v>25</v>
      </c>
      <c r="S2422" s="5" t="str">
        <f>VLOOKUP(A2422,Sheet2!$A$2:$R$3432,18,0)</f>
        <v>JLYCHC54733</v>
      </c>
      <c r="T2422" s="7" t="str">
        <f>VLOOKUP(A2422,Sheet2!$A$2:$R$3432,17,0)</f>
        <v>MD2A36F9HCC58696</v>
      </c>
    </row>
    <row r="2423" ht="15.75" customHeight="1">
      <c r="A2423" s="3" t="s">
        <v>2446</v>
      </c>
      <c r="B2423" s="4" t="str">
        <f>VLOOKUP(A2423,Sheet2!$A$2:$R$3432,2,0)</f>
        <v>2024-08-26 13:03:09</v>
      </c>
      <c r="C2423" s="5" t="s">
        <v>25</v>
      </c>
      <c r="D2423" s="6" t="s">
        <v>25</v>
      </c>
      <c r="E2423" s="7">
        <f>VLOOKUP(A2423,Sheet2!$A$2:$R$3432,4,0)</f>
        <v>9766580833</v>
      </c>
      <c r="F2423" s="7" t="str">
        <f>VLOOKUP(A2423,Sheet2!$A$2:$R$3432,3,0)</f>
        <v>Bhushan Humane</v>
      </c>
      <c r="G2423" s="5" t="s">
        <v>25</v>
      </c>
      <c r="H2423" s="5" t="s">
        <v>25</v>
      </c>
      <c r="I2423" s="5" t="s">
        <v>25</v>
      </c>
      <c r="J2423" s="5" t="s">
        <v>25</v>
      </c>
      <c r="K2423" s="7" t="str">
        <f>VLOOKUP(A2423,Sheet2!$A$2:$R$3432,6,0)</f>
        <v>Honda Grazia </v>
      </c>
      <c r="L2423" s="5" t="s">
        <v>25</v>
      </c>
      <c r="M2423" s="7" t="str">
        <f>VLOOKUP(A2423,Sheet2!$A$2:$R$3432,5,0)</f>
        <v>MH14KE0795</v>
      </c>
      <c r="N2423" s="5" t="s">
        <v>25</v>
      </c>
      <c r="O2423" s="5" t="s">
        <v>25</v>
      </c>
      <c r="P2423" s="6" t="s">
        <v>25</v>
      </c>
      <c r="Q2423" s="5" t="s">
        <v>25</v>
      </c>
      <c r="R2423" s="5" t="s">
        <v>25</v>
      </c>
      <c r="S2423" s="5" t="str">
        <f>VLOOKUP(A2423,Sheet2!$A$2:$R$3432,18,0)</f>
        <v>JF99EW0141700</v>
      </c>
      <c r="T2423" s="7" t="str">
        <f>VLOOKUP(A2423,Sheet2!$A$2:$R$3432,17,0)</f>
        <v>ME4JF996CMW012211</v>
      </c>
    </row>
    <row r="2424" ht="15.75" customHeight="1">
      <c r="A2424" s="3" t="s">
        <v>2447</v>
      </c>
      <c r="B2424" s="4" t="str">
        <f>VLOOKUP(A2424,Sheet2!$A$2:$R$3432,2,0)</f>
        <v>2024-08-26 12:50:14</v>
      </c>
      <c r="C2424" s="5" t="s">
        <v>25</v>
      </c>
      <c r="D2424" s="6" t="s">
        <v>25</v>
      </c>
      <c r="E2424" s="7">
        <f>VLOOKUP(A2424,Sheet2!$A$2:$R$3432,4,0)</f>
        <v>8050433038</v>
      </c>
      <c r="F2424" s="7" t="str">
        <f>VLOOKUP(A2424,Sheet2!$A$2:$R$3432,3,0)</f>
        <v>Akhilesh Rao</v>
      </c>
      <c r="G2424" s="5" t="s">
        <v>25</v>
      </c>
      <c r="H2424" s="5" t="s">
        <v>25</v>
      </c>
      <c r="I2424" s="5" t="s">
        <v>25</v>
      </c>
      <c r="J2424" s="5" t="s">
        <v>25</v>
      </c>
      <c r="K2424" s="7" t="str">
        <f>VLOOKUP(A2424,Sheet2!$A$2:$R$3432,6,0)</f>
        <v>Suzuki Gixxer </v>
      </c>
      <c r="L2424" s="5" t="s">
        <v>25</v>
      </c>
      <c r="M2424" s="7" t="str">
        <f>VLOOKUP(A2424,Sheet2!$A$2:$R$3432,5,0)</f>
        <v>KA02KD0835</v>
      </c>
      <c r="N2424" s="5" t="s">
        <v>25</v>
      </c>
      <c r="O2424" s="5" t="s">
        <v>25</v>
      </c>
      <c r="P2424" s="6" t="s">
        <v>25</v>
      </c>
      <c r="Q2424" s="5" t="s">
        <v>25</v>
      </c>
      <c r="R2424" s="5" t="s">
        <v>25</v>
      </c>
      <c r="S2424" s="5" t="str">
        <f>VLOOKUP(A2424,Sheet2!$A$2:$R$3432,18,0)</f>
        <v>EJA1104828</v>
      </c>
      <c r="T2424" s="7" t="str">
        <f>VLOOKUP(A2424,Sheet2!$A$2:$R$3432,17,0)</f>
        <v>MB8ED24AGK8100255</v>
      </c>
    </row>
    <row r="2425" ht="15.75" customHeight="1">
      <c r="A2425" s="3" t="s">
        <v>2448</v>
      </c>
      <c r="B2425" s="4" t="str">
        <f>VLOOKUP(A2425,Sheet2!$A$2:$R$3432,2,0)</f>
        <v>2024-08-26 12:54:17</v>
      </c>
      <c r="C2425" s="5" t="s">
        <v>25</v>
      </c>
      <c r="D2425" s="6" t="s">
        <v>25</v>
      </c>
      <c r="E2425" s="7">
        <f>VLOOKUP(A2425,Sheet2!$A$2:$R$3432,4,0)</f>
        <v>7875015709</v>
      </c>
      <c r="F2425" s="7" t="str">
        <f>VLOOKUP(A2425,Sheet2!$A$2:$R$3432,3,0)</f>
        <v>Prasad Gulhane</v>
      </c>
      <c r="G2425" s="5" t="s">
        <v>25</v>
      </c>
      <c r="H2425" s="5" t="s">
        <v>25</v>
      </c>
      <c r="I2425" s="5" t="s">
        <v>25</v>
      </c>
      <c r="J2425" s="5" t="s">
        <v>25</v>
      </c>
      <c r="K2425" s="7" t="str">
        <f>VLOOKUP(A2425,Sheet2!$A$2:$R$3432,6,0)</f>
        <v>Honda Shine HET</v>
      </c>
      <c r="L2425" s="5" t="s">
        <v>25</v>
      </c>
      <c r="M2425" s="7" t="str">
        <f>VLOOKUP(A2425,Sheet2!$A$2:$R$3432,5,0)</f>
        <v>MH14EX0506</v>
      </c>
      <c r="N2425" s="5" t="s">
        <v>25</v>
      </c>
      <c r="O2425" s="5" t="s">
        <v>25</v>
      </c>
      <c r="P2425" s="6" t="s">
        <v>25</v>
      </c>
      <c r="Q2425" s="5" t="s">
        <v>25</v>
      </c>
      <c r="R2425" s="5" t="s">
        <v>25</v>
      </c>
      <c r="S2425" s="5" t="str">
        <f>VLOOKUP(A2425,Sheet2!$A$2:$R$3432,18,0)</f>
        <v>JC65E70039648</v>
      </c>
      <c r="T2425" s="7" t="str">
        <f>VLOOKUP(A2425,Sheet2!$A$2:$R$3432,17,0)</f>
        <v>ME4JC652CF7013041</v>
      </c>
    </row>
    <row r="2426" ht="15.75" customHeight="1">
      <c r="A2426" s="3" t="s">
        <v>2449</v>
      </c>
      <c r="B2426" s="4" t="str">
        <f>VLOOKUP(A2426,Sheet2!$A$2:$R$3432,2,0)</f>
        <v>2024-08-26 12:56:34</v>
      </c>
      <c r="C2426" s="5" t="s">
        <v>25</v>
      </c>
      <c r="D2426" s="6" t="s">
        <v>25</v>
      </c>
      <c r="E2426" s="7">
        <f>VLOOKUP(A2426,Sheet2!$A$2:$R$3432,4,0)</f>
        <v>9598070337</v>
      </c>
      <c r="F2426" s="7" t="str">
        <f>VLOOKUP(A2426,Sheet2!$A$2:$R$3432,3,0)</f>
        <v>Varun</v>
      </c>
      <c r="G2426" s="5" t="s">
        <v>25</v>
      </c>
      <c r="H2426" s="5" t="s">
        <v>25</v>
      </c>
      <c r="I2426" s="5" t="s">
        <v>25</v>
      </c>
      <c r="J2426" s="5" t="s">
        <v>25</v>
      </c>
      <c r="K2426" s="7" t="str">
        <f>VLOOKUP(A2426,Sheet2!$A$2:$R$3432,6,0)</f>
        <v>Yamaha Fascino </v>
      </c>
      <c r="L2426" s="5" t="s">
        <v>25</v>
      </c>
      <c r="M2426" s="7" t="str">
        <f>VLOOKUP(A2426,Sheet2!$A$2:$R$3432,5,0)</f>
        <v>MH14JD0881</v>
      </c>
      <c r="N2426" s="5" t="s">
        <v>25</v>
      </c>
      <c r="O2426" s="5" t="s">
        <v>25</v>
      </c>
      <c r="P2426" s="6" t="s">
        <v>25</v>
      </c>
      <c r="Q2426" s="5" t="s">
        <v>25</v>
      </c>
      <c r="R2426" s="5" t="s">
        <v>25</v>
      </c>
      <c r="S2426" s="5" t="str">
        <f>VLOOKUP(A2426,Sheet2!$A$2:$R$3432,18,0)</f>
        <v>E325E0066393</v>
      </c>
      <c r="T2426" s="7" t="str">
        <f>VLOOKUP(A2426,Sheet2!$A$2:$R$3432,17,0)</f>
        <v>ME15EG423L0099947</v>
      </c>
    </row>
    <row r="2427" ht="15.75" customHeight="1">
      <c r="A2427" s="3" t="s">
        <v>2450</v>
      </c>
      <c r="B2427" s="4" t="str">
        <f>VLOOKUP(A2427,Sheet2!$A$2:$R$3432,2,0)</f>
        <v>2024-08-26 12:53:18</v>
      </c>
      <c r="C2427" s="5" t="s">
        <v>25</v>
      </c>
      <c r="D2427" s="6" t="s">
        <v>25</v>
      </c>
      <c r="E2427" s="7">
        <f>VLOOKUP(A2427,Sheet2!$A$2:$R$3432,4,0)</f>
        <v>9765844529</v>
      </c>
      <c r="F2427" s="7" t="str">
        <f>VLOOKUP(A2427,Sheet2!$A$2:$R$3432,3,0)</f>
        <v>Nikhil </v>
      </c>
      <c r="G2427" s="5" t="s">
        <v>25</v>
      </c>
      <c r="H2427" s="5" t="s">
        <v>25</v>
      </c>
      <c r="I2427" s="5" t="s">
        <v>25</v>
      </c>
      <c r="J2427" s="5" t="s">
        <v>25</v>
      </c>
      <c r="K2427" s="7" t="str">
        <f>VLOOKUP(A2427,Sheet2!$A$2:$R$3432,6,0)</f>
        <v>Yamaha FZ V3</v>
      </c>
      <c r="L2427" s="5" t="s">
        <v>25</v>
      </c>
      <c r="M2427" s="7" t="str">
        <f>VLOOKUP(A2427,Sheet2!$A$2:$R$3432,5,0)</f>
        <v>MH12QP7323</v>
      </c>
      <c r="N2427" s="5" t="s">
        <v>25</v>
      </c>
      <c r="O2427" s="5" t="s">
        <v>25</v>
      </c>
      <c r="P2427" s="6" t="s">
        <v>25</v>
      </c>
      <c r="Q2427" s="5" t="s">
        <v>25</v>
      </c>
      <c r="R2427" s="5" t="s">
        <v>25</v>
      </c>
      <c r="S2427" s="5" t="str">
        <f>VLOOKUP(A2427,Sheet2!$A$2:$R$3432,18,0)</f>
        <v>G3J3E0159424</v>
      </c>
      <c r="T2427" s="7" t="str">
        <f>VLOOKUP(A2427,Sheet2!$A$2:$R$3432,17,0)</f>
        <v>ME1RG442AHD104382</v>
      </c>
    </row>
    <row r="2428" ht="15.75" customHeight="1">
      <c r="A2428" s="3" t="s">
        <v>2451</v>
      </c>
      <c r="B2428" s="4" t="str">
        <f>VLOOKUP(A2428,Sheet2!$A$2:$R$3432,2,0)</f>
        <v>2024-08-26 12:59:53</v>
      </c>
      <c r="C2428" s="5" t="s">
        <v>25</v>
      </c>
      <c r="D2428" s="6" t="s">
        <v>25</v>
      </c>
      <c r="E2428" s="7">
        <f>VLOOKUP(A2428,Sheet2!$A$2:$R$3432,4,0)</f>
        <v>7887425646</v>
      </c>
      <c r="F2428" s="7" t="str">
        <f>VLOOKUP(A2428,Sheet2!$A$2:$R$3432,3,0)</f>
        <v>Avinash Jadhav</v>
      </c>
      <c r="G2428" s="5" t="s">
        <v>25</v>
      </c>
      <c r="H2428" s="5" t="s">
        <v>25</v>
      </c>
      <c r="I2428" s="5" t="s">
        <v>25</v>
      </c>
      <c r="J2428" s="5" t="s">
        <v>25</v>
      </c>
      <c r="K2428" s="7" t="str">
        <f>VLOOKUP(A2428,Sheet2!$A$2:$R$3432,6,0)</f>
        <v>Yamaha Gladiator G5</v>
      </c>
      <c r="L2428" s="5" t="s">
        <v>25</v>
      </c>
      <c r="M2428" s="7" t="str">
        <f>VLOOKUP(A2428,Sheet2!$A$2:$R$3432,5,0)</f>
        <v>MH28AD2026</v>
      </c>
      <c r="N2428" s="5" t="s">
        <v>25</v>
      </c>
      <c r="O2428" s="5" t="s">
        <v>25</v>
      </c>
      <c r="P2428" s="6" t="s">
        <v>25</v>
      </c>
      <c r="Q2428" s="5" t="s">
        <v>25</v>
      </c>
      <c r="R2428" s="5" t="s">
        <v>25</v>
      </c>
      <c r="S2428" s="5" t="str">
        <f>VLOOKUP(A2428,Sheet2!$A$2:$R$3432,18,0)</f>
        <v>35B404594</v>
      </c>
      <c r="T2428" s="7" t="str">
        <f>VLOOKUP(A2428,Sheet2!$A$2:$R$3432,17,0)</f>
        <v>ME1358044C2046624</v>
      </c>
    </row>
    <row r="2429" ht="15.75" customHeight="1">
      <c r="A2429" s="3" t="s">
        <v>2452</v>
      </c>
      <c r="B2429" s="4" t="str">
        <f>VLOOKUP(A2429,Sheet2!$A$2:$R$3432,2,0)</f>
        <v>2024-08-26 12:57:21</v>
      </c>
      <c r="C2429" s="5" t="s">
        <v>25</v>
      </c>
      <c r="D2429" s="6" t="s">
        <v>25</v>
      </c>
      <c r="E2429" s="7">
        <f>VLOOKUP(A2429,Sheet2!$A$2:$R$3432,4,0)</f>
        <v>7387094988</v>
      </c>
      <c r="F2429" s="7" t="str">
        <f>VLOOKUP(A2429,Sheet2!$A$2:$R$3432,3,0)</f>
        <v>Abhijit Kale</v>
      </c>
      <c r="G2429" s="5" t="s">
        <v>25</v>
      </c>
      <c r="H2429" s="5" t="s">
        <v>25</v>
      </c>
      <c r="I2429" s="5" t="s">
        <v>25</v>
      </c>
      <c r="J2429" s="5" t="s">
        <v>25</v>
      </c>
      <c r="K2429" s="7" t="str">
        <f>VLOOKUP(A2429,Sheet2!$A$2:$R$3432,6,0)</f>
        <v>TVS Jupiter </v>
      </c>
      <c r="L2429" s="5" t="s">
        <v>25</v>
      </c>
      <c r="M2429" s="7" t="str">
        <f>VLOOKUP(A2429,Sheet2!$A$2:$R$3432,5,0)</f>
        <v>MH14HN8125</v>
      </c>
      <c r="N2429" s="5" t="s">
        <v>25</v>
      </c>
      <c r="O2429" s="5" t="s">
        <v>25</v>
      </c>
      <c r="P2429" s="6" t="s">
        <v>25</v>
      </c>
      <c r="Q2429" s="5" t="s">
        <v>25</v>
      </c>
      <c r="R2429" s="5" t="s">
        <v>25</v>
      </c>
      <c r="S2429" s="5" t="str">
        <f>VLOOKUP(A2429,Sheet2!$A$2:$R$3432,18,0)</f>
        <v>CG4BK1106879</v>
      </c>
      <c r="T2429" s="7" t="str">
        <f>VLOOKUP(A2429,Sheet2!$A$2:$R$3432,17,0)</f>
        <v>MD62E42K1B11378</v>
      </c>
    </row>
    <row r="2430" ht="15.75" customHeight="1">
      <c r="A2430" s="3" t="s">
        <v>2453</v>
      </c>
      <c r="B2430" s="4" t="str">
        <f>VLOOKUP(A2430,Sheet2!$A$2:$R$3432,2,0)</f>
        <v>2024-08-26 13:06:47</v>
      </c>
      <c r="C2430" s="5" t="s">
        <v>25</v>
      </c>
      <c r="D2430" s="6" t="s">
        <v>25</v>
      </c>
      <c r="E2430" s="7">
        <f>VLOOKUP(A2430,Sheet2!$A$2:$R$3432,4,0)</f>
        <v>7387043468</v>
      </c>
      <c r="F2430" s="7" t="str">
        <f>VLOOKUP(A2430,Sheet2!$A$2:$R$3432,3,0)</f>
        <v>Shivaji</v>
      </c>
      <c r="G2430" s="5" t="s">
        <v>25</v>
      </c>
      <c r="H2430" s="5" t="s">
        <v>25</v>
      </c>
      <c r="I2430" s="5" t="s">
        <v>25</v>
      </c>
      <c r="J2430" s="5" t="s">
        <v>25</v>
      </c>
      <c r="K2430" s="7" t="str">
        <f>VLOOKUP(A2430,Sheet2!$A$2:$R$3432,6,0)</f>
        <v>Honda Activa 3G</v>
      </c>
      <c r="L2430" s="5" t="s">
        <v>25</v>
      </c>
      <c r="M2430" s="7" t="str">
        <f>VLOOKUP(A2430,Sheet2!$A$2:$R$3432,5,0)</f>
        <v>MH12MD5080</v>
      </c>
      <c r="N2430" s="5" t="s">
        <v>25</v>
      </c>
      <c r="O2430" s="5" t="s">
        <v>25</v>
      </c>
      <c r="P2430" s="6" t="s">
        <v>25</v>
      </c>
      <c r="Q2430" s="5" t="s">
        <v>25</v>
      </c>
      <c r="R2430" s="5" t="s">
        <v>25</v>
      </c>
      <c r="S2430" s="5" t="str">
        <f>VLOOKUP(A2430,Sheet2!$A$2:$R$3432,18,0)</f>
        <v>JE50ET2446061</v>
      </c>
      <c r="T2430" s="7" t="str">
        <f>VLOOKUP(A2430,Sheet2!$A$2:$R$3432,17,0)</f>
        <v>ME4JF504FFT445006</v>
      </c>
    </row>
    <row r="2431" ht="15.75" customHeight="1">
      <c r="A2431" s="3" t="s">
        <v>2454</v>
      </c>
      <c r="B2431" s="4" t="str">
        <f>VLOOKUP(A2431,Sheet2!$A$2:$R$3432,2,0)</f>
        <v>2024-08-26 13:08:22</v>
      </c>
      <c r="C2431" s="5" t="s">
        <v>25</v>
      </c>
      <c r="D2431" s="6" t="s">
        <v>25</v>
      </c>
      <c r="E2431" s="7">
        <f>VLOOKUP(A2431,Sheet2!$A$2:$R$3432,4,0)</f>
        <v>8149792916</v>
      </c>
      <c r="F2431" s="7" t="str">
        <f>VLOOKUP(A2431,Sheet2!$A$2:$R$3432,3,0)</f>
        <v>Abhilash Umekar</v>
      </c>
      <c r="G2431" s="5" t="s">
        <v>25</v>
      </c>
      <c r="H2431" s="5" t="s">
        <v>25</v>
      </c>
      <c r="I2431" s="5" t="s">
        <v>25</v>
      </c>
      <c r="J2431" s="5" t="s">
        <v>25</v>
      </c>
      <c r="K2431" s="7" t="str">
        <f>VLOOKUP(A2431,Sheet2!$A$2:$R$3432,6,0)</f>
        <v>Hero Xtreme </v>
      </c>
      <c r="L2431" s="5" t="s">
        <v>25</v>
      </c>
      <c r="M2431" s="7" t="str">
        <f>VLOOKUP(A2431,Sheet2!$A$2:$R$3432,5,0)</f>
        <v>MH27AZ0860</v>
      </c>
      <c r="N2431" s="5" t="s">
        <v>25</v>
      </c>
      <c r="O2431" s="5" t="s">
        <v>25</v>
      </c>
      <c r="P2431" s="6" t="s">
        <v>25</v>
      </c>
      <c r="Q2431" s="5" t="s">
        <v>25</v>
      </c>
      <c r="R2431" s="5" t="s">
        <v>25</v>
      </c>
      <c r="S2431" s="5" t="str">
        <f>VLOOKUP(A2431,Sheet2!$A$2:$R$3432,18,0)</f>
        <v>KC121350CG018</v>
      </c>
      <c r="T2431" s="7" t="str">
        <f>VLOOKUP(A2431,Sheet2!$A$2:$R$3432,17,0)</f>
        <v>MELK12EHDGG0522</v>
      </c>
    </row>
    <row r="2432" ht="15.75" customHeight="1">
      <c r="A2432" s="3" t="s">
        <v>2455</v>
      </c>
      <c r="B2432" s="4" t="str">
        <f>VLOOKUP(A2432,Sheet2!$A$2:$R$3432,2,0)</f>
        <v>2024-09-14 20:03:36</v>
      </c>
      <c r="C2432" s="5" t="s">
        <v>25</v>
      </c>
      <c r="D2432" s="6" t="s">
        <v>25</v>
      </c>
      <c r="E2432" s="7">
        <f>VLOOKUP(A2432,Sheet2!$A$2:$R$3432,4,0)</f>
        <v>9922990686</v>
      </c>
      <c r="F2432" s="7" t="str">
        <f>VLOOKUP(A2432,Sheet2!$A$2:$R$3432,3,0)</f>
        <v>Nitin Bhosle</v>
      </c>
      <c r="G2432" s="5" t="s">
        <v>25</v>
      </c>
      <c r="H2432" s="5" t="s">
        <v>25</v>
      </c>
      <c r="I2432" s="5" t="s">
        <v>25</v>
      </c>
      <c r="J2432" s="5" t="s">
        <v>25</v>
      </c>
      <c r="K2432" s="7" t="str">
        <f>VLOOKUP(A2432,Sheet2!$A$2:$R$3432,6,0)</f>
        <v>Hero Splendor Plus</v>
      </c>
      <c r="L2432" s="5" t="s">
        <v>25</v>
      </c>
      <c r="M2432" s="7" t="str">
        <f>VLOOKUP(A2432,Sheet2!$A$2:$R$3432,5,0)</f>
        <v>MH14BZ4979</v>
      </c>
      <c r="N2432" s="5" t="s">
        <v>25</v>
      </c>
      <c r="O2432" s="5" t="s">
        <v>25</v>
      </c>
      <c r="P2432" s="6" t="s">
        <v>25</v>
      </c>
      <c r="Q2432" s="5" t="s">
        <v>25</v>
      </c>
      <c r="R2432" s="5" t="s">
        <v>25</v>
      </c>
      <c r="S2432" s="7" t="str">
        <f>VLOOKUP(A2432,Sheet2!$A$2:$R$3432,18,0)</f>
        <v/>
      </c>
      <c r="T2432" s="7" t="str">
        <f>VLOOKUP(A2432,Sheet2!$A$2:$R$3432,17,0)</f>
        <v>MBLHA10EKA9A02450</v>
      </c>
    </row>
    <row r="2433" ht="15.75" customHeight="1">
      <c r="A2433" s="3" t="s">
        <v>2456</v>
      </c>
      <c r="B2433" s="4" t="str">
        <f>VLOOKUP(A2433,Sheet2!$A$2:$R$3432,2,0)</f>
        <v>2024-09-14 20:01:56</v>
      </c>
      <c r="C2433" s="5" t="s">
        <v>25</v>
      </c>
      <c r="D2433" s="6" t="s">
        <v>25</v>
      </c>
      <c r="E2433" s="7">
        <f>VLOOKUP(A2433,Sheet2!$A$2:$R$3432,4,0)</f>
        <v>8308854729</v>
      </c>
      <c r="F2433" s="7" t="str">
        <f>VLOOKUP(A2433,Sheet2!$A$2:$R$3432,3,0)</f>
        <v>Nikhil Nair</v>
      </c>
      <c r="G2433" s="5" t="s">
        <v>25</v>
      </c>
      <c r="H2433" s="5" t="s">
        <v>25</v>
      </c>
      <c r="I2433" s="5" t="s">
        <v>25</v>
      </c>
      <c r="J2433" s="5" t="s">
        <v>25</v>
      </c>
      <c r="K2433" s="7" t="str">
        <f>VLOOKUP(A2433,Sheet2!$A$2:$R$3432,6,0)</f>
        <v>TVS Jupiter </v>
      </c>
      <c r="L2433" s="5" t="s">
        <v>25</v>
      </c>
      <c r="M2433" s="7" t="str">
        <f>VLOOKUP(A2433,Sheet2!$A$2:$R$3432,5,0)</f>
        <v>MH12LX9983</v>
      </c>
      <c r="N2433" s="5" t="s">
        <v>25</v>
      </c>
      <c r="O2433" s="5" t="s">
        <v>25</v>
      </c>
      <c r="P2433" s="6" t="s">
        <v>25</v>
      </c>
      <c r="Q2433" s="5" t="s">
        <v>25</v>
      </c>
      <c r="R2433" s="5" t="s">
        <v>25</v>
      </c>
      <c r="S2433" s="7" t="str">
        <f>VLOOKUP(A2433,Sheet2!$A$2:$R$3432,18,0)</f>
        <v/>
      </c>
      <c r="T2433" s="7" t="str">
        <f>VLOOKUP(A2433,Sheet2!$A$2:$R$3432,17,0)</f>
        <v/>
      </c>
    </row>
    <row r="2434" ht="15.75" customHeight="1">
      <c r="A2434" s="3" t="s">
        <v>2457</v>
      </c>
      <c r="B2434" s="4" t="str">
        <f>VLOOKUP(A2434,Sheet2!$A$2:$R$3432,2,0)</f>
        <v>2024-09-14 20:04:49</v>
      </c>
      <c r="C2434" s="5" t="s">
        <v>25</v>
      </c>
      <c r="D2434" s="6" t="s">
        <v>25</v>
      </c>
      <c r="E2434" s="7">
        <f>VLOOKUP(A2434,Sheet2!$A$2:$R$3432,4,0)</f>
        <v>9867640677</v>
      </c>
      <c r="F2434" s="7" t="str">
        <f>VLOOKUP(A2434,Sheet2!$A$2:$R$3432,3,0)</f>
        <v>YOGESH</v>
      </c>
      <c r="G2434" s="5" t="s">
        <v>25</v>
      </c>
      <c r="H2434" s="5" t="s">
        <v>25</v>
      </c>
      <c r="I2434" s="5" t="s">
        <v>25</v>
      </c>
      <c r="J2434" s="5" t="s">
        <v>25</v>
      </c>
      <c r="K2434" s="7" t="str">
        <f>VLOOKUP(A2434,Sheet2!$A$2:$R$3432,6,0)</f>
        <v>Bajaj Avenger 220 Cruise</v>
      </c>
      <c r="L2434" s="5" t="s">
        <v>25</v>
      </c>
      <c r="M2434" s="7" t="str">
        <f>VLOOKUP(A2434,Sheet2!$A$2:$R$3432,5,0)</f>
        <v>MH12TT1295</v>
      </c>
      <c r="N2434" s="5" t="s">
        <v>25</v>
      </c>
      <c r="O2434" s="5" t="s">
        <v>25</v>
      </c>
      <c r="P2434" s="6" t="s">
        <v>25</v>
      </c>
      <c r="Q2434" s="5" t="s">
        <v>25</v>
      </c>
      <c r="R2434" s="5" t="s">
        <v>25</v>
      </c>
      <c r="S2434" s="7" t="str">
        <f>VLOOKUP(A2434,Sheet2!$A$2:$R$3432,18,0)</f>
        <v/>
      </c>
      <c r="T2434" s="7" t="str">
        <f>VLOOKUP(A2434,Sheet2!$A$2:$R$3432,17,0)</f>
        <v/>
      </c>
    </row>
    <row r="2435" ht="15.75" customHeight="1">
      <c r="A2435" s="3" t="s">
        <v>2458</v>
      </c>
      <c r="B2435" s="4" t="str">
        <f>VLOOKUP(A2435,Sheet2!$A$2:$R$3432,2,0)</f>
        <v>2024-09-14 20:02:46</v>
      </c>
      <c r="C2435" s="5" t="s">
        <v>25</v>
      </c>
      <c r="D2435" s="6" t="s">
        <v>25</v>
      </c>
      <c r="E2435" s="7">
        <f>VLOOKUP(A2435,Sheet2!$A$2:$R$3432,4,0)</f>
        <v>7083185944</v>
      </c>
      <c r="F2435" s="7" t="str">
        <f>VLOOKUP(A2435,Sheet2!$A$2:$R$3432,3,0)</f>
        <v>Prasad </v>
      </c>
      <c r="G2435" s="5" t="s">
        <v>25</v>
      </c>
      <c r="H2435" s="5" t="s">
        <v>25</v>
      </c>
      <c r="I2435" s="5" t="s">
        <v>25</v>
      </c>
      <c r="J2435" s="5" t="s">
        <v>25</v>
      </c>
      <c r="K2435" s="7" t="str">
        <f>VLOOKUP(A2435,Sheet2!$A$2:$R$3432,6,0)</f>
        <v>Hero Splendor Plus i3s</v>
      </c>
      <c r="L2435" s="5" t="s">
        <v>25</v>
      </c>
      <c r="M2435" s="7" t="str">
        <f>VLOOKUP(A2435,Sheet2!$A$2:$R$3432,5,0)</f>
        <v>MH14EZ8438</v>
      </c>
      <c r="N2435" s="5" t="s">
        <v>25</v>
      </c>
      <c r="O2435" s="5" t="s">
        <v>25</v>
      </c>
      <c r="P2435" s="6" t="s">
        <v>25</v>
      </c>
      <c r="Q2435" s="5" t="s">
        <v>25</v>
      </c>
      <c r="R2435" s="5" t="s">
        <v>25</v>
      </c>
      <c r="S2435" s="5" t="str">
        <f>VLOOKUP(A2435,Sheet2!$A$2:$R$3432,18,0)</f>
        <v>HA12EM9F08241</v>
      </c>
      <c r="T2435" s="7" t="str">
        <f>VLOOKUP(A2435,Sheet2!$A$2:$R$3432,17,0)</f>
        <v>MBLHA12ACF08928</v>
      </c>
    </row>
    <row r="2436" ht="15.75" customHeight="1">
      <c r="A2436" s="3" t="s">
        <v>2459</v>
      </c>
      <c r="B2436" s="4" t="str">
        <f>VLOOKUP(A2436,Sheet2!$A$2:$R$3432,2,0)</f>
        <v>2024-09-14 20:47:45</v>
      </c>
      <c r="C2436" s="5" t="s">
        <v>25</v>
      </c>
      <c r="D2436" s="6" t="s">
        <v>25</v>
      </c>
      <c r="E2436" s="7">
        <f>VLOOKUP(A2436,Sheet2!$A$2:$R$3432,4,0)</f>
        <v>9284541754</v>
      </c>
      <c r="F2436" s="7" t="str">
        <f>VLOOKUP(A2436,Sheet2!$A$2:$R$3432,3,0)</f>
        <v>Dheeraj Rajput</v>
      </c>
      <c r="G2436" s="5" t="s">
        <v>25</v>
      </c>
      <c r="H2436" s="5" t="s">
        <v>25</v>
      </c>
      <c r="I2436" s="5" t="s">
        <v>25</v>
      </c>
      <c r="J2436" s="5" t="s">
        <v>25</v>
      </c>
      <c r="K2436" s="7" t="str">
        <f>VLOOKUP(A2436,Sheet2!$A$2:$R$3432,6,0)</f>
        <v>Suzuki Access </v>
      </c>
      <c r="L2436" s="5" t="s">
        <v>25</v>
      </c>
      <c r="M2436" s="7" t="str">
        <f>VLOOKUP(A2436,Sheet2!$A$2:$R$3432,5,0)</f>
        <v>MH15DD1642</v>
      </c>
      <c r="N2436" s="5" t="s">
        <v>25</v>
      </c>
      <c r="O2436" s="5" t="s">
        <v>25</v>
      </c>
      <c r="P2436" s="6" t="s">
        <v>25</v>
      </c>
      <c r="Q2436" s="5" t="s">
        <v>25</v>
      </c>
      <c r="R2436" s="5" t="s">
        <v>25</v>
      </c>
      <c r="S2436" s="7" t="str">
        <f>VLOOKUP(A2436,Sheet2!$A$2:$R$3432,18,0)</f>
        <v/>
      </c>
      <c r="T2436" s="7" t="str">
        <f>VLOOKUP(A2436,Sheet2!$A$2:$R$3432,17,0)</f>
        <v>MB8CF4CAGB8312482</v>
      </c>
    </row>
    <row r="2437" ht="15.75" customHeight="1">
      <c r="A2437" s="3" t="s">
        <v>2460</v>
      </c>
      <c r="B2437" s="4" t="str">
        <f>VLOOKUP(A2437,Sheet2!$A$2:$R$3432,2,0)</f>
        <v>2024-09-14 20:06:12</v>
      </c>
      <c r="C2437" s="5" t="s">
        <v>25</v>
      </c>
      <c r="D2437" s="6" t="s">
        <v>25</v>
      </c>
      <c r="E2437" s="7">
        <f>VLOOKUP(A2437,Sheet2!$A$2:$R$3432,4,0)</f>
        <v>8275160439</v>
      </c>
      <c r="F2437" s="7" t="str">
        <f>VLOOKUP(A2437,Sheet2!$A$2:$R$3432,3,0)</f>
        <v>SAURABH RAKHADE</v>
      </c>
      <c r="G2437" s="5" t="s">
        <v>25</v>
      </c>
      <c r="H2437" s="5" t="s">
        <v>25</v>
      </c>
      <c r="I2437" s="5" t="s">
        <v>25</v>
      </c>
      <c r="J2437" s="5" t="s">
        <v>25</v>
      </c>
      <c r="K2437" s="7" t="str">
        <f>VLOOKUP(A2437,Sheet2!$A$2:$R$3432,6,0)</f>
        <v>Yamaha FZ S 2.0</v>
      </c>
      <c r="L2437" s="5" t="s">
        <v>25</v>
      </c>
      <c r="M2437" s="7" t="str">
        <f>VLOOKUP(A2437,Sheet2!$A$2:$R$3432,5,0)</f>
        <v>MH14HJ1148</v>
      </c>
      <c r="N2437" s="5" t="s">
        <v>25</v>
      </c>
      <c r="O2437" s="5" t="s">
        <v>25</v>
      </c>
      <c r="P2437" s="6" t="s">
        <v>25</v>
      </c>
      <c r="Q2437" s="5" t="s">
        <v>25</v>
      </c>
      <c r="R2437" s="5" t="s">
        <v>25</v>
      </c>
      <c r="S2437" s="5" t="str">
        <f>VLOOKUP(A2437,Sheet2!$A$2:$R$3432,18,0)</f>
        <v>G3J3E0336293</v>
      </c>
      <c r="T2437" s="7" t="str">
        <f>VLOOKUP(A2437,Sheet2!$A$2:$R$3432,17,0)</f>
        <v>ME1RG4426J0172035</v>
      </c>
    </row>
    <row r="2438" ht="15.75" customHeight="1">
      <c r="A2438" s="3" t="s">
        <v>2461</v>
      </c>
      <c r="B2438" s="4" t="str">
        <f>VLOOKUP(A2438,Sheet2!$A$2:$R$3432,2,0)</f>
        <v>2024-09-14 20:02:16</v>
      </c>
      <c r="C2438" s="5" t="s">
        <v>25</v>
      </c>
      <c r="D2438" s="6" t="s">
        <v>25</v>
      </c>
      <c r="E2438" s="7">
        <f>VLOOKUP(A2438,Sheet2!$A$2:$R$3432,4,0)</f>
        <v>7972335286</v>
      </c>
      <c r="F2438" s="7" t="str">
        <f>VLOOKUP(A2438,Sheet2!$A$2:$R$3432,3,0)</f>
        <v>ANUSHREE KALE</v>
      </c>
      <c r="G2438" s="5" t="s">
        <v>25</v>
      </c>
      <c r="H2438" s="5" t="s">
        <v>25</v>
      </c>
      <c r="I2438" s="5" t="s">
        <v>25</v>
      </c>
      <c r="J2438" s="5" t="s">
        <v>25</v>
      </c>
      <c r="K2438" s="7" t="str">
        <f>VLOOKUP(A2438,Sheet2!$A$2:$R$3432,6,0)</f>
        <v>TVS Jupiter BS6</v>
      </c>
      <c r="L2438" s="5" t="s">
        <v>25</v>
      </c>
      <c r="M2438" s="7" t="str">
        <f>VLOOKUP(A2438,Sheet2!$A$2:$R$3432,5,0)</f>
        <v>MH27DK6546</v>
      </c>
      <c r="N2438" s="5" t="s">
        <v>25</v>
      </c>
      <c r="O2438" s="5" t="s">
        <v>25</v>
      </c>
      <c r="P2438" s="6" t="s">
        <v>25</v>
      </c>
      <c r="Q2438" s="5" t="s">
        <v>25</v>
      </c>
      <c r="R2438" s="5" t="s">
        <v>25</v>
      </c>
      <c r="S2438" s="5" t="str">
        <f>VLOOKUP(A2438,Sheet2!$A$2:$R$3432,18,0)</f>
        <v>EG5BP1903585</v>
      </c>
      <c r="T2438" s="7" t="str">
        <f>VLOOKUP(A2438,Sheet2!$A$2:$R$3432,17,0)</f>
        <v>MF626CG57PB34157</v>
      </c>
    </row>
    <row r="2439" ht="15.75" customHeight="1">
      <c r="A2439" s="3" t="s">
        <v>2462</v>
      </c>
      <c r="B2439" s="4" t="str">
        <f>VLOOKUP(A2439,Sheet2!$A$2:$R$3432,2,0)</f>
        <v>2024-09-14 20:07:50</v>
      </c>
      <c r="C2439" s="5" t="s">
        <v>25</v>
      </c>
      <c r="D2439" s="6" t="s">
        <v>25</v>
      </c>
      <c r="E2439" s="7">
        <f>VLOOKUP(A2439,Sheet2!$A$2:$R$3432,4,0)</f>
        <v>9422431563</v>
      </c>
      <c r="F2439" s="7" t="str">
        <f>VLOOKUP(A2439,Sheet2!$A$2:$R$3432,3,0)</f>
        <v>Aditya Umale</v>
      </c>
      <c r="G2439" s="5" t="s">
        <v>25</v>
      </c>
      <c r="H2439" s="5" t="s">
        <v>25</v>
      </c>
      <c r="I2439" s="5" t="s">
        <v>25</v>
      </c>
      <c r="J2439" s="5" t="s">
        <v>25</v>
      </c>
      <c r="K2439" s="7" t="str">
        <f>VLOOKUP(A2439,Sheet2!$A$2:$R$3432,6,0)</f>
        <v>Honda Shine HET</v>
      </c>
      <c r="L2439" s="5" t="s">
        <v>25</v>
      </c>
      <c r="M2439" s="7" t="str">
        <f>VLOOKUP(A2439,Sheet2!$A$2:$R$3432,5,0)</f>
        <v>MH08T6674</v>
      </c>
      <c r="N2439" s="5" t="s">
        <v>25</v>
      </c>
      <c r="O2439" s="5" t="s">
        <v>25</v>
      </c>
      <c r="P2439" s="6" t="s">
        <v>25</v>
      </c>
      <c r="Q2439" s="5" t="s">
        <v>25</v>
      </c>
      <c r="R2439" s="5" t="s">
        <v>25</v>
      </c>
      <c r="S2439" s="7" t="str">
        <f>VLOOKUP(A2439,Sheet2!$A$2:$R$3432,18,0)</f>
        <v/>
      </c>
      <c r="T2439" s="7" t="str">
        <f>VLOOKUP(A2439,Sheet2!$A$2:$R$3432,17,0)</f>
        <v>ME4JC366E98265470</v>
      </c>
    </row>
    <row r="2440" ht="15.75" customHeight="1">
      <c r="A2440" s="3" t="s">
        <v>2463</v>
      </c>
      <c r="B2440" s="4" t="str">
        <f>VLOOKUP(A2440,Sheet2!$A$2:$R$3432,2,0)</f>
        <v>2024-09-14 20:06:53</v>
      </c>
      <c r="C2440" s="5" t="s">
        <v>25</v>
      </c>
      <c r="D2440" s="6" t="s">
        <v>25</v>
      </c>
      <c r="E2440" s="7">
        <f>VLOOKUP(A2440,Sheet2!$A$2:$R$3432,4,0)</f>
        <v>6260229070</v>
      </c>
      <c r="F2440" s="7" t="str">
        <f>VLOOKUP(A2440,Sheet2!$A$2:$R$3432,3,0)</f>
        <v>UTKARSH </v>
      </c>
      <c r="G2440" s="5" t="s">
        <v>25</v>
      </c>
      <c r="H2440" s="5" t="s">
        <v>25</v>
      </c>
      <c r="I2440" s="5" t="s">
        <v>25</v>
      </c>
      <c r="J2440" s="5" t="s">
        <v>25</v>
      </c>
      <c r="K2440" s="7" t="str">
        <f>VLOOKUP(A2440,Sheet2!$A$2:$R$3432,6,0)</f>
        <v>Bajaj Pulsar 200 RS</v>
      </c>
      <c r="L2440" s="5" t="s">
        <v>25</v>
      </c>
      <c r="M2440" s="7" t="str">
        <f>VLOOKUP(A2440,Sheet2!$A$2:$R$3432,5,0)</f>
        <v>MH12PL6821</v>
      </c>
      <c r="N2440" s="5" t="s">
        <v>25</v>
      </c>
      <c r="O2440" s="5" t="s">
        <v>25</v>
      </c>
      <c r="P2440" s="6" t="s">
        <v>25</v>
      </c>
      <c r="Q2440" s="5" t="s">
        <v>25</v>
      </c>
      <c r="R2440" s="5" t="s">
        <v>25</v>
      </c>
      <c r="S2440" s="5" t="str">
        <f>VLOOKUP(A2440,Sheet2!$A$2:$R$3432,18,0)</f>
        <v>J1CH064896</v>
      </c>
      <c r="T2440" s="7" t="str">
        <f>VLOOKUP(A2440,Sheet2!$A$2:$R$3432,17,0)</f>
        <v>MD2A55F12HCD03093</v>
      </c>
    </row>
    <row r="2441" ht="15.75" customHeight="1">
      <c r="A2441" s="3" t="s">
        <v>2464</v>
      </c>
      <c r="B2441" s="4" t="str">
        <f>VLOOKUP(A2441,Sheet2!$A$2:$R$3432,2,0)</f>
        <v>2024-09-13 19:59:25</v>
      </c>
      <c r="C2441" s="5" t="s">
        <v>25</v>
      </c>
      <c r="D2441" s="6" t="s">
        <v>25</v>
      </c>
      <c r="E2441" s="7">
        <f>VLOOKUP(A2441,Sheet2!$A$2:$R$3432,4,0)</f>
        <v>7083185944</v>
      </c>
      <c r="F2441" s="7" t="str">
        <f>VLOOKUP(A2441,Sheet2!$A$2:$R$3432,3,0)</f>
        <v>Prasad </v>
      </c>
      <c r="G2441" s="5" t="s">
        <v>25</v>
      </c>
      <c r="H2441" s="5" t="s">
        <v>25</v>
      </c>
      <c r="I2441" s="5" t="s">
        <v>25</v>
      </c>
      <c r="J2441" s="5" t="s">
        <v>25</v>
      </c>
      <c r="K2441" s="7" t="str">
        <f>VLOOKUP(A2441,Sheet2!$A$2:$R$3432,6,0)</f>
        <v>Hero Splendor Plus i3s</v>
      </c>
      <c r="L2441" s="5" t="s">
        <v>25</v>
      </c>
      <c r="M2441" s="7" t="str">
        <f>VLOOKUP(A2441,Sheet2!$A$2:$R$3432,5,0)</f>
        <v>MH14EZ8438</v>
      </c>
      <c r="N2441" s="5" t="s">
        <v>25</v>
      </c>
      <c r="O2441" s="5" t="s">
        <v>25</v>
      </c>
      <c r="P2441" s="6" t="s">
        <v>25</v>
      </c>
      <c r="Q2441" s="5" t="s">
        <v>25</v>
      </c>
      <c r="R2441" s="5" t="s">
        <v>25</v>
      </c>
      <c r="S2441" s="5" t="str">
        <f>VLOOKUP(A2441,Sheet2!$A$2:$R$3432,18,0)</f>
        <v>HA12EM9F08241</v>
      </c>
      <c r="T2441" s="7" t="str">
        <f>VLOOKUP(A2441,Sheet2!$A$2:$R$3432,17,0)</f>
        <v>MBLHA12ACF08928</v>
      </c>
    </row>
    <row r="2442" ht="15.75" customHeight="1">
      <c r="A2442" s="3" t="s">
        <v>2465</v>
      </c>
      <c r="B2442" s="4" t="str">
        <f>VLOOKUP(A2442,Sheet2!$A$2:$R$3432,2,0)</f>
        <v>2024-09-13 19:58:19</v>
      </c>
      <c r="C2442" s="5" t="s">
        <v>25</v>
      </c>
      <c r="D2442" s="6" t="s">
        <v>25</v>
      </c>
      <c r="E2442" s="7">
        <f>VLOOKUP(A2442,Sheet2!$A$2:$R$3432,4,0)</f>
        <v>9503446412</v>
      </c>
      <c r="F2442" s="7" t="str">
        <f>VLOOKUP(A2442,Sheet2!$A$2:$R$3432,3,0)</f>
        <v>DATTA WAYAL</v>
      </c>
      <c r="G2442" s="5" t="s">
        <v>25</v>
      </c>
      <c r="H2442" s="5" t="s">
        <v>25</v>
      </c>
      <c r="I2442" s="5" t="s">
        <v>25</v>
      </c>
      <c r="J2442" s="5" t="s">
        <v>25</v>
      </c>
      <c r="K2442" s="7" t="str">
        <f>VLOOKUP(A2442,Sheet2!$A$2:$R$3432,6,0)</f>
        <v>Honda Shine SP</v>
      </c>
      <c r="L2442" s="5" t="s">
        <v>25</v>
      </c>
      <c r="M2442" s="7" t="str">
        <f>VLOOKUP(A2442,Sheet2!$A$2:$R$3432,5,0)</f>
        <v>MH21BB7364</v>
      </c>
      <c r="N2442" s="5" t="s">
        <v>25</v>
      </c>
      <c r="O2442" s="5" t="s">
        <v>25</v>
      </c>
      <c r="P2442" s="6" t="s">
        <v>25</v>
      </c>
      <c r="Q2442" s="5" t="s">
        <v>25</v>
      </c>
      <c r="R2442" s="5" t="s">
        <v>25</v>
      </c>
      <c r="S2442" s="5" t="str">
        <f>VLOOKUP(A2442,Sheet2!$A$2:$R$3432,18,0)</f>
        <v>JE65ET1002575</v>
      </c>
      <c r="T2442" s="7" t="str">
        <f>VLOOKUP(A2442,Sheet2!$A$2:$R$3432,17,0)</f>
        <v>ME4JF4JC654AHT001795</v>
      </c>
    </row>
    <row r="2443" ht="15.75" customHeight="1">
      <c r="A2443" s="3" t="s">
        <v>2466</v>
      </c>
      <c r="B2443" s="4" t="str">
        <f>VLOOKUP(A2443,Sheet2!$A$2:$R$3432,2,0)</f>
        <v>2024-09-13 20:00:34</v>
      </c>
      <c r="C2443" s="5" t="s">
        <v>25</v>
      </c>
      <c r="D2443" s="6" t="s">
        <v>25</v>
      </c>
      <c r="E2443" s="7">
        <f>VLOOKUP(A2443,Sheet2!$A$2:$R$3432,4,0)</f>
        <v>9158998051</v>
      </c>
      <c r="F2443" s="7" t="str">
        <f>VLOOKUP(A2443,Sheet2!$A$2:$R$3432,3,0)</f>
        <v>Rahul Patil </v>
      </c>
      <c r="G2443" s="5" t="s">
        <v>25</v>
      </c>
      <c r="H2443" s="5" t="s">
        <v>25</v>
      </c>
      <c r="I2443" s="5" t="s">
        <v>25</v>
      </c>
      <c r="J2443" s="5" t="s">
        <v>25</v>
      </c>
      <c r="K2443" s="7" t="str">
        <f>VLOOKUP(A2443,Sheet2!$A$2:$R$3432,6,0)</f>
        <v>TVS Scooty PEP</v>
      </c>
      <c r="L2443" s="5" t="s">
        <v>25</v>
      </c>
      <c r="M2443" s="7" t="str">
        <f>VLOOKUP(A2443,Sheet2!$A$2:$R$3432,5,0)</f>
        <v>MH12EY5785</v>
      </c>
      <c r="N2443" s="5" t="s">
        <v>25</v>
      </c>
      <c r="O2443" s="5" t="s">
        <v>25</v>
      </c>
      <c r="P2443" s="6" t="s">
        <v>25</v>
      </c>
      <c r="Q2443" s="5" t="s">
        <v>25</v>
      </c>
      <c r="R2443" s="5" t="s">
        <v>25</v>
      </c>
      <c r="S2443" s="5" t="str">
        <f>VLOOKUP(A2443,Sheet2!$A$2:$R$3432,18,0)</f>
        <v>OGEH8274893</v>
      </c>
      <c r="T2443" s="7" t="str">
        <f>VLOOKUP(A2443,Sheet2!$A$2:$R$3432,17,0)</f>
        <v>MD626BG3182H74630</v>
      </c>
    </row>
    <row r="2444" ht="15.75" customHeight="1">
      <c r="A2444" s="3" t="s">
        <v>2467</v>
      </c>
      <c r="B2444" s="4" t="str">
        <f>VLOOKUP(A2444,Sheet2!$A$2:$R$3432,2,0)</f>
        <v>2024-09-13 19:57:47</v>
      </c>
      <c r="C2444" s="5" t="s">
        <v>25</v>
      </c>
      <c r="D2444" s="6" t="s">
        <v>25</v>
      </c>
      <c r="E2444" s="7">
        <f>VLOOKUP(A2444,Sheet2!$A$2:$R$3432,4,0)</f>
        <v>7066010023</v>
      </c>
      <c r="F2444" s="7" t="str">
        <f>VLOOKUP(A2444,Sheet2!$A$2:$R$3432,3,0)</f>
        <v>MAHESH </v>
      </c>
      <c r="G2444" s="5" t="s">
        <v>25</v>
      </c>
      <c r="H2444" s="5" t="s">
        <v>25</v>
      </c>
      <c r="I2444" s="5" t="s">
        <v>25</v>
      </c>
      <c r="J2444" s="5" t="s">
        <v>25</v>
      </c>
      <c r="K2444" s="7" t="str">
        <f>VLOOKUP(A2444,Sheet2!$A$2:$R$3432,6,0)</f>
        <v>TVS Apache 160 4V</v>
      </c>
      <c r="L2444" s="5" t="s">
        <v>25</v>
      </c>
      <c r="M2444" s="7" t="str">
        <f>VLOOKUP(A2444,Sheet2!$A$2:$R$3432,5,0)</f>
        <v>MH16DB1409</v>
      </c>
      <c r="N2444" s="5" t="s">
        <v>25</v>
      </c>
      <c r="O2444" s="5" t="s">
        <v>25</v>
      </c>
      <c r="P2444" s="6" t="s">
        <v>25</v>
      </c>
      <c r="Q2444" s="5" t="s">
        <v>25</v>
      </c>
      <c r="R2444" s="5" t="s">
        <v>25</v>
      </c>
      <c r="S2444" s="7" t="str">
        <f>VLOOKUP(A2444,Sheet2!$A$2:$R$3432,18,0)</f>
        <v/>
      </c>
      <c r="T2444" s="7" t="str">
        <f>VLOOKUP(A2444,Sheet2!$A$2:$R$3432,17,0)</f>
        <v/>
      </c>
    </row>
    <row r="2445" ht="15.75" customHeight="1">
      <c r="A2445" s="3" t="s">
        <v>2468</v>
      </c>
      <c r="B2445" s="4" t="str">
        <f>VLOOKUP(A2445,Sheet2!$A$2:$R$3432,2,0)</f>
        <v>2024-09-13 19:59:59</v>
      </c>
      <c r="C2445" s="5" t="s">
        <v>25</v>
      </c>
      <c r="D2445" s="6" t="s">
        <v>25</v>
      </c>
      <c r="E2445" s="7">
        <f>VLOOKUP(A2445,Sheet2!$A$2:$R$3432,4,0)</f>
        <v>9423306423</v>
      </c>
      <c r="F2445" s="7" t="str">
        <f>VLOOKUP(A2445,Sheet2!$A$2:$R$3432,3,0)</f>
        <v>ANIKET </v>
      </c>
      <c r="G2445" s="5" t="s">
        <v>25</v>
      </c>
      <c r="H2445" s="5" t="s">
        <v>25</v>
      </c>
      <c r="I2445" s="5" t="s">
        <v>25</v>
      </c>
      <c r="J2445" s="5" t="s">
        <v>25</v>
      </c>
      <c r="K2445" s="7" t="str">
        <f>VLOOKUP(A2445,Sheet2!$A$2:$R$3432,6,0)</f>
        <v>TVS Ntorq 125</v>
      </c>
      <c r="L2445" s="5" t="s">
        <v>25</v>
      </c>
      <c r="M2445" s="7" t="str">
        <f>VLOOKUP(A2445,Sheet2!$A$2:$R$3432,5,0)</f>
        <v>MH14HC2603</v>
      </c>
      <c r="N2445" s="5" t="s">
        <v>25</v>
      </c>
      <c r="O2445" s="5" t="s">
        <v>25</v>
      </c>
      <c r="P2445" s="6" t="s">
        <v>25</v>
      </c>
      <c r="Q2445" s="5" t="s">
        <v>25</v>
      </c>
      <c r="R2445" s="5" t="s">
        <v>25</v>
      </c>
      <c r="S2445" s="5" t="str">
        <f>VLOOKUP(A2445,Sheet2!$A$2:$R$3432,18,0)</f>
        <v>AG7H1250359</v>
      </c>
      <c r="T2445" s="7" t="str">
        <f>VLOOKUP(A2445,Sheet2!$A$2:$R$3432,17,0)</f>
        <v>MD626AG7JA843</v>
      </c>
    </row>
    <row r="2446" ht="15.75" customHeight="1">
      <c r="A2446" s="3" t="s">
        <v>2469</v>
      </c>
      <c r="B2446" s="4" t="str">
        <f>VLOOKUP(A2446,Sheet2!$A$2:$R$3432,2,0)</f>
        <v>2024-09-13 20:01:13</v>
      </c>
      <c r="C2446" s="5" t="s">
        <v>25</v>
      </c>
      <c r="D2446" s="6" t="s">
        <v>25</v>
      </c>
      <c r="E2446" s="7">
        <f>VLOOKUP(A2446,Sheet2!$A$2:$R$3432,4,0)</f>
        <v>9049505156</v>
      </c>
      <c r="F2446" s="7" t="str">
        <f>VLOOKUP(A2446,Sheet2!$A$2:$R$3432,3,0)</f>
        <v>MITESH</v>
      </c>
      <c r="G2446" s="5" t="s">
        <v>25</v>
      </c>
      <c r="H2446" s="5" t="s">
        <v>25</v>
      </c>
      <c r="I2446" s="5" t="s">
        <v>25</v>
      </c>
      <c r="J2446" s="5" t="s">
        <v>25</v>
      </c>
      <c r="K2446" s="7" t="str">
        <f>VLOOKUP(A2446,Sheet2!$A$2:$R$3432,6,0)</f>
        <v>Honda Unicorn 150</v>
      </c>
      <c r="L2446" s="5" t="s">
        <v>25</v>
      </c>
      <c r="M2446" s="7" t="str">
        <f>VLOOKUP(A2446,Sheet2!$A$2:$R$3432,5,0)</f>
        <v>MH12JE2944</v>
      </c>
      <c r="N2446" s="5" t="s">
        <v>25</v>
      </c>
      <c r="O2446" s="5" t="s">
        <v>25</v>
      </c>
      <c r="P2446" s="6" t="s">
        <v>25</v>
      </c>
      <c r="Q2446" s="5" t="s">
        <v>25</v>
      </c>
      <c r="R2446" s="5" t="s">
        <v>25</v>
      </c>
      <c r="S2446" s="5" t="str">
        <f>VLOOKUP(A2446,Sheet2!$A$2:$R$3432,18,0)</f>
        <v>KOO9E5309521</v>
      </c>
      <c r="T2446" s="7" t="str">
        <f>VLOOKUP(A2446,Sheet2!$A$2:$R$3432,17,0)</f>
        <v>ME4KC09CG93024</v>
      </c>
    </row>
    <row r="2447" ht="15.75" customHeight="1">
      <c r="A2447" s="3" t="s">
        <v>2470</v>
      </c>
      <c r="B2447" s="4" t="str">
        <f>VLOOKUP(A2447,Sheet2!$A$2:$R$3432,2,0)</f>
        <v>2024-10-11 13:02:26</v>
      </c>
      <c r="C2447" s="5" t="s">
        <v>25</v>
      </c>
      <c r="D2447" s="6" t="s">
        <v>25</v>
      </c>
      <c r="E2447" s="7">
        <f>VLOOKUP(A2447,Sheet2!$A$2:$R$3432,4,0)</f>
        <v>8871771299</v>
      </c>
      <c r="F2447" s="7" t="str">
        <f>VLOOKUP(A2447,Sheet2!$A$2:$R$3432,3,0)</f>
        <v>HARSHIT</v>
      </c>
      <c r="G2447" s="5" t="s">
        <v>25</v>
      </c>
      <c r="H2447" s="5" t="s">
        <v>25</v>
      </c>
      <c r="I2447" s="5" t="s">
        <v>25</v>
      </c>
      <c r="J2447" s="5" t="s">
        <v>25</v>
      </c>
      <c r="K2447" s="7" t="str">
        <f>VLOOKUP(A2447,Sheet2!$A$2:$R$3432,6,0)</f>
        <v>Yamaha FZ S 2.0</v>
      </c>
      <c r="L2447" s="5" t="s">
        <v>25</v>
      </c>
      <c r="M2447" s="7" t="str">
        <f>VLOOKUP(A2447,Sheet2!$A$2:$R$3432,5,0)</f>
        <v>MH46AY2521</v>
      </c>
      <c r="N2447" s="5" t="s">
        <v>25</v>
      </c>
      <c r="O2447" s="5" t="s">
        <v>25</v>
      </c>
      <c r="P2447" s="6" t="s">
        <v>25</v>
      </c>
      <c r="Q2447" s="5" t="s">
        <v>25</v>
      </c>
      <c r="R2447" s="5" t="s">
        <v>25</v>
      </c>
      <c r="S2447" s="5" t="str">
        <f>VLOOKUP(A2447,Sheet2!$A$2:$R$3432,18,0)</f>
        <v>G3CBE0410764</v>
      </c>
      <c r="T2447" s="7" t="str">
        <f>VLOOKUP(A2447,Sheet2!$A$2:$R$3432,17,0)</f>
        <v>RUSTY FRAME </v>
      </c>
    </row>
    <row r="2448" ht="15.75" customHeight="1">
      <c r="A2448" s="3" t="s">
        <v>2471</v>
      </c>
      <c r="B2448" s="4" t="str">
        <f>VLOOKUP(A2448,Sheet2!$A$2:$R$3432,2,0)</f>
        <v>2024-10-11 13:00:00</v>
      </c>
      <c r="C2448" s="5" t="s">
        <v>25</v>
      </c>
      <c r="D2448" s="6" t="s">
        <v>25</v>
      </c>
      <c r="E2448" s="7">
        <f>VLOOKUP(A2448,Sheet2!$A$2:$R$3432,4,0)</f>
        <v>9175573138</v>
      </c>
      <c r="F2448" s="7" t="str">
        <f>VLOOKUP(A2448,Sheet2!$A$2:$R$3432,3,0)</f>
        <v>SAHIL SARAF</v>
      </c>
      <c r="G2448" s="5" t="s">
        <v>25</v>
      </c>
      <c r="H2448" s="5" t="s">
        <v>25</v>
      </c>
      <c r="I2448" s="5" t="s">
        <v>25</v>
      </c>
      <c r="J2448" s="5" t="s">
        <v>25</v>
      </c>
      <c r="K2448" s="7" t="str">
        <f>VLOOKUP(A2448,Sheet2!$A$2:$R$3432,6,0)</f>
        <v>Honda Activa i</v>
      </c>
      <c r="L2448" s="5" t="s">
        <v>25</v>
      </c>
      <c r="M2448" s="7" t="str">
        <f>VLOOKUP(A2448,Sheet2!$A$2:$R$3432,5,0)</f>
        <v>MH19BZ1898</v>
      </c>
      <c r="N2448" s="5" t="s">
        <v>25</v>
      </c>
      <c r="O2448" s="5" t="s">
        <v>25</v>
      </c>
      <c r="P2448" s="6" t="s">
        <v>25</v>
      </c>
      <c r="Q2448" s="5" t="s">
        <v>25</v>
      </c>
      <c r="R2448" s="5" t="s">
        <v>25</v>
      </c>
      <c r="S2448" s="7" t="str">
        <f>VLOOKUP(A2448,Sheet2!$A$2:$R$3432,18,0)</f>
        <v/>
      </c>
      <c r="T2448" s="7" t="str">
        <f>VLOOKUP(A2448,Sheet2!$A$2:$R$3432,17,0)</f>
        <v/>
      </c>
    </row>
    <row r="2449" ht="15.75" customHeight="1">
      <c r="A2449" s="3" t="s">
        <v>2472</v>
      </c>
      <c r="B2449" s="4" t="str">
        <f>VLOOKUP(A2449,Sheet2!$A$2:$R$3432,2,0)</f>
        <v>2024-10-11 11:57:30</v>
      </c>
      <c r="C2449" s="5" t="s">
        <v>25</v>
      </c>
      <c r="D2449" s="6" t="s">
        <v>25</v>
      </c>
      <c r="E2449" s="7">
        <f>VLOOKUP(A2449,Sheet2!$A$2:$R$3432,4,0)</f>
        <v>9665742133</v>
      </c>
      <c r="F2449" s="7" t="str">
        <f>VLOOKUP(A2449,Sheet2!$A$2:$R$3432,3,0)</f>
        <v>PRATIK MARATHE</v>
      </c>
      <c r="G2449" s="5" t="s">
        <v>25</v>
      </c>
      <c r="H2449" s="5" t="s">
        <v>25</v>
      </c>
      <c r="I2449" s="5" t="s">
        <v>25</v>
      </c>
      <c r="J2449" s="5" t="s">
        <v>25</v>
      </c>
      <c r="K2449" s="7" t="str">
        <f>VLOOKUP(A2449,Sheet2!$A$2:$R$3432,6,0)</f>
        <v>Honda Activa 6G</v>
      </c>
      <c r="L2449" s="5" t="s">
        <v>25</v>
      </c>
      <c r="M2449" s="7" t="str">
        <f>VLOOKUP(A2449,Sheet2!$A$2:$R$3432,5,0)</f>
        <v>MH31FV0925</v>
      </c>
      <c r="N2449" s="5" t="s">
        <v>25</v>
      </c>
      <c r="O2449" s="5" t="s">
        <v>25</v>
      </c>
      <c r="P2449" s="6" t="s">
        <v>25</v>
      </c>
      <c r="Q2449" s="5" t="s">
        <v>25</v>
      </c>
      <c r="R2449" s="5" t="s">
        <v>25</v>
      </c>
      <c r="S2449" s="5" t="str">
        <f>VLOOKUP(A2449,Sheet2!$A$2:$R$3432,18,0)</f>
        <v>JF01EW60377906</v>
      </c>
      <c r="T2449" s="7" t="str">
        <f>VLOOKUP(A2449,Sheet2!$A$2:$R$3432,17,0)</f>
        <v>ME4JF9CNW037712</v>
      </c>
    </row>
    <row r="2450" ht="15.75" customHeight="1">
      <c r="A2450" s="3" t="s">
        <v>2473</v>
      </c>
      <c r="B2450" s="4" t="str">
        <f>VLOOKUP(A2450,Sheet2!$A$2:$R$3432,2,0)</f>
        <v>2024-10-11 11:57:51</v>
      </c>
      <c r="C2450" s="5" t="s">
        <v>25</v>
      </c>
      <c r="D2450" s="6" t="s">
        <v>25</v>
      </c>
      <c r="E2450" s="7">
        <f>VLOOKUP(A2450,Sheet2!$A$2:$R$3432,4,0)</f>
        <v>8600865286</v>
      </c>
      <c r="F2450" s="7" t="str">
        <f>VLOOKUP(A2450,Sheet2!$A$2:$R$3432,3,0)</f>
        <v>SANGRAM </v>
      </c>
      <c r="G2450" s="5" t="s">
        <v>25</v>
      </c>
      <c r="H2450" s="5" t="s">
        <v>25</v>
      </c>
      <c r="I2450" s="5" t="s">
        <v>25</v>
      </c>
      <c r="J2450" s="5" t="s">
        <v>25</v>
      </c>
      <c r="K2450" s="7" t="str">
        <f>VLOOKUP(A2450,Sheet2!$A$2:$R$3432,6,0)</f>
        <v>TVS Jupiter </v>
      </c>
      <c r="L2450" s="5" t="s">
        <v>25</v>
      </c>
      <c r="M2450" s="7" t="str">
        <f>VLOOKUP(A2450,Sheet2!$A$2:$R$3432,5,0)</f>
        <v>MH12TL3224</v>
      </c>
      <c r="N2450" s="5" t="s">
        <v>25</v>
      </c>
      <c r="O2450" s="5" t="s">
        <v>25</v>
      </c>
      <c r="P2450" s="6" t="s">
        <v>25</v>
      </c>
      <c r="Q2450" s="5" t="s">
        <v>25</v>
      </c>
      <c r="R2450" s="5" t="s">
        <v>25</v>
      </c>
      <c r="S2450" s="5" t="str">
        <f>VLOOKUP(A2450,Sheet2!$A$2:$R$3432,18,0)</f>
        <v>DGDM1108646</v>
      </c>
      <c r="T2450" s="7" t="str">
        <f>VLOOKUP(A2450,Sheet2!$A$2:$R$3432,17,0)</f>
        <v>MD626CG53M1D29006</v>
      </c>
    </row>
    <row r="2451" ht="15.75" customHeight="1">
      <c r="A2451" s="3" t="s">
        <v>2474</v>
      </c>
      <c r="B2451" s="4" t="str">
        <f>VLOOKUP(A2451,Sheet2!$A$2:$R$3432,2,0)</f>
        <v>2024-10-11 12:23:13</v>
      </c>
      <c r="C2451" s="5" t="s">
        <v>25</v>
      </c>
      <c r="D2451" s="6" t="s">
        <v>25</v>
      </c>
      <c r="E2451" s="7">
        <f>VLOOKUP(A2451,Sheet2!$A$2:$R$3432,4,0)</f>
        <v>9158420110</v>
      </c>
      <c r="F2451" s="7" t="str">
        <f>VLOOKUP(A2451,Sheet2!$A$2:$R$3432,3,0)</f>
        <v>NIRAJ</v>
      </c>
      <c r="G2451" s="5" t="s">
        <v>25</v>
      </c>
      <c r="H2451" s="5" t="s">
        <v>25</v>
      </c>
      <c r="I2451" s="5" t="s">
        <v>25</v>
      </c>
      <c r="J2451" s="5" t="s">
        <v>25</v>
      </c>
      <c r="K2451" s="7" t="str">
        <f>VLOOKUP(A2451,Sheet2!$A$2:$R$3432,6,0)</f>
        <v>Hero Passion Plus</v>
      </c>
      <c r="L2451" s="5" t="s">
        <v>25</v>
      </c>
      <c r="M2451" s="7" t="str">
        <f>VLOOKUP(A2451,Sheet2!$A$2:$R$3432,5,0)</f>
        <v>MH14AT1371</v>
      </c>
      <c r="N2451" s="5" t="s">
        <v>25</v>
      </c>
      <c r="O2451" s="5" t="s">
        <v>25</v>
      </c>
      <c r="P2451" s="6" t="s">
        <v>25</v>
      </c>
      <c r="Q2451" s="5" t="s">
        <v>25</v>
      </c>
      <c r="R2451" s="5" t="s">
        <v>25</v>
      </c>
      <c r="S2451" s="5" t="str">
        <f>VLOOKUP(A2451,Sheet2!$A$2:$R$3432,18,0)</f>
        <v>06B09C38845</v>
      </c>
      <c r="T2451" s="7" t="str">
        <f>VLOOKUP(A2451,Sheet2!$A$2:$R$3432,17,0)</f>
        <v>06B08M27542</v>
      </c>
    </row>
    <row r="2452" ht="15.75" customHeight="1">
      <c r="A2452" s="3" t="s">
        <v>2475</v>
      </c>
      <c r="B2452" s="4" t="str">
        <f>VLOOKUP(A2452,Sheet2!$A$2:$R$3432,2,0)</f>
        <v>2024-10-11 11:11:16</v>
      </c>
      <c r="C2452" s="5" t="s">
        <v>25</v>
      </c>
      <c r="D2452" s="6" t="s">
        <v>25</v>
      </c>
      <c r="E2452" s="7">
        <f>VLOOKUP(A2452,Sheet2!$A$2:$R$3432,4,0)</f>
        <v>9987725138</v>
      </c>
      <c r="F2452" s="7" t="str">
        <f>VLOOKUP(A2452,Sheet2!$A$2:$R$3432,3,0)</f>
        <v>Hitesh</v>
      </c>
      <c r="G2452" s="5" t="s">
        <v>25</v>
      </c>
      <c r="H2452" s="5" t="s">
        <v>25</v>
      </c>
      <c r="I2452" s="5" t="s">
        <v>25</v>
      </c>
      <c r="J2452" s="5" t="s">
        <v>25</v>
      </c>
      <c r="K2452" s="7" t="str">
        <f>VLOOKUP(A2452,Sheet2!$A$2:$R$3432,6,0)</f>
        <v>Yamaha FZ 25</v>
      </c>
      <c r="L2452" s="5" t="s">
        <v>25</v>
      </c>
      <c r="M2452" s="7" t="str">
        <f>VLOOKUP(A2452,Sheet2!$A$2:$R$3432,5,0)</f>
        <v>MH04LN6222</v>
      </c>
      <c r="N2452" s="5" t="s">
        <v>25</v>
      </c>
      <c r="O2452" s="5" t="s">
        <v>25</v>
      </c>
      <c r="P2452" s="6" t="s">
        <v>25</v>
      </c>
      <c r="Q2452" s="5" t="s">
        <v>25</v>
      </c>
      <c r="R2452" s="5" t="s">
        <v>25</v>
      </c>
      <c r="S2452" s="5" t="str">
        <f>VLOOKUP(A2452,Sheet2!$A$2:$R$3432,18,0)</f>
        <v>G3P1E0018855</v>
      </c>
      <c r="T2452" s="7" t="str">
        <f>VLOOKUP(A2452,Sheet2!$A$2:$R$3432,17,0)</f>
        <v>ME1RG695BN0003691</v>
      </c>
    </row>
    <row r="2453" ht="15.75" customHeight="1">
      <c r="A2453" s="3" t="s">
        <v>2476</v>
      </c>
      <c r="B2453" s="4" t="str">
        <f>VLOOKUP(A2453,Sheet2!$A$2:$R$3432,2,0)</f>
        <v>2024-10-11 11:16:39</v>
      </c>
      <c r="C2453" s="5" t="s">
        <v>25</v>
      </c>
      <c r="D2453" s="6" t="s">
        <v>25</v>
      </c>
      <c r="E2453" s="7">
        <f>VLOOKUP(A2453,Sheet2!$A$2:$R$3432,4,0)</f>
        <v>9823223920</v>
      </c>
      <c r="F2453" s="7" t="str">
        <f>VLOOKUP(A2453,Sheet2!$A$2:$R$3432,3,0)</f>
        <v>Saraf</v>
      </c>
      <c r="G2453" s="5" t="s">
        <v>25</v>
      </c>
      <c r="H2453" s="5" t="s">
        <v>25</v>
      </c>
      <c r="I2453" s="5" t="s">
        <v>25</v>
      </c>
      <c r="J2453" s="5" t="s">
        <v>25</v>
      </c>
      <c r="K2453" s="7" t="str">
        <f>VLOOKUP(A2453,Sheet2!$A$2:$R$3432,6,0)</f>
        <v>Hero Splendor </v>
      </c>
      <c r="L2453" s="5" t="s">
        <v>25</v>
      </c>
      <c r="M2453" s="7" t="str">
        <f>VLOOKUP(A2453,Sheet2!$A$2:$R$3432,5,0)</f>
        <v>MH14R0401</v>
      </c>
      <c r="N2453" s="5" t="s">
        <v>25</v>
      </c>
      <c r="O2453" s="5" t="s">
        <v>25</v>
      </c>
      <c r="P2453" s="6" t="s">
        <v>25</v>
      </c>
      <c r="Q2453" s="5" t="s">
        <v>25</v>
      </c>
      <c r="R2453" s="5" t="s">
        <v>25</v>
      </c>
      <c r="S2453" s="7" t="str">
        <f>VLOOKUP(A2453,Sheet2!$A$2:$R$3432,18,0)</f>
        <v/>
      </c>
      <c r="T2453" s="7" t="str">
        <f>VLOOKUP(A2453,Sheet2!$A$2:$R$3432,17,0)</f>
        <v>99G19C07573</v>
      </c>
    </row>
    <row r="2454" ht="15.75" customHeight="1">
      <c r="A2454" s="3" t="s">
        <v>2477</v>
      </c>
      <c r="B2454" s="4" t="str">
        <f>VLOOKUP(A2454,Sheet2!$A$2:$R$3432,2,0)</f>
        <v>2024-10-11 11:54:11</v>
      </c>
      <c r="C2454" s="5" t="s">
        <v>25</v>
      </c>
      <c r="D2454" s="6" t="s">
        <v>25</v>
      </c>
      <c r="E2454" s="7">
        <f>VLOOKUP(A2454,Sheet2!$A$2:$R$3432,4,0)</f>
        <v>9673334817</v>
      </c>
      <c r="F2454" s="7" t="str">
        <f>VLOOKUP(A2454,Sheet2!$A$2:$R$3432,3,0)</f>
        <v>Bewin</v>
      </c>
      <c r="G2454" s="5" t="s">
        <v>25</v>
      </c>
      <c r="H2454" s="5" t="s">
        <v>25</v>
      </c>
      <c r="I2454" s="5" t="s">
        <v>25</v>
      </c>
      <c r="J2454" s="5" t="s">
        <v>25</v>
      </c>
      <c r="K2454" s="7" t="str">
        <f>VLOOKUP(A2454,Sheet2!$A$2:$R$3432,6,0)</f>
        <v>TVS Apache RTR 160</v>
      </c>
      <c r="L2454" s="5" t="s">
        <v>25</v>
      </c>
      <c r="M2454" s="7" t="str">
        <f>VLOOKUP(A2454,Sheet2!$A$2:$R$3432,5,0)</f>
        <v>MH14KG5649</v>
      </c>
      <c r="N2454" s="5" t="s">
        <v>25</v>
      </c>
      <c r="O2454" s="5" t="s">
        <v>25</v>
      </c>
      <c r="P2454" s="6" t="s">
        <v>25</v>
      </c>
      <c r="Q2454" s="5" t="s">
        <v>25</v>
      </c>
      <c r="R2454" s="5" t="s">
        <v>25</v>
      </c>
      <c r="S2454" s="5" t="str">
        <f>VLOOKUP(A2454,Sheet2!$A$2:$R$3432,18,0)</f>
        <v>GEHN2502546</v>
      </c>
      <c r="T2454" s="7" t="str">
        <f>VLOOKUP(A2454,Sheet2!$A$2:$R$3432,17,0)</f>
        <v>MD637GESZN2H06500</v>
      </c>
    </row>
    <row r="2455" ht="15.75" customHeight="1">
      <c r="A2455" s="3" t="s">
        <v>2478</v>
      </c>
      <c r="B2455" s="4" t="str">
        <f>VLOOKUP(A2455,Sheet2!$A$2:$R$3432,2,0)</f>
        <v>2024-10-11 11:55:36</v>
      </c>
      <c r="C2455" s="5" t="s">
        <v>25</v>
      </c>
      <c r="D2455" s="6" t="s">
        <v>25</v>
      </c>
      <c r="E2455" s="7">
        <f>VLOOKUP(A2455,Sheet2!$A$2:$R$3432,4,0)</f>
        <v>7003813112</v>
      </c>
      <c r="F2455" s="7" t="str">
        <f>VLOOKUP(A2455,Sheet2!$A$2:$R$3432,3,0)</f>
        <v>Satya Neogi</v>
      </c>
      <c r="G2455" s="5" t="s">
        <v>25</v>
      </c>
      <c r="H2455" s="5" t="s">
        <v>25</v>
      </c>
      <c r="I2455" s="5" t="s">
        <v>25</v>
      </c>
      <c r="J2455" s="5" t="s">
        <v>25</v>
      </c>
      <c r="K2455" s="7" t="str">
        <f>VLOOKUP(A2455,Sheet2!$A$2:$R$3432,6,0)</f>
        <v>Suzuki Access  125 BS6</v>
      </c>
      <c r="L2455" s="5" t="s">
        <v>25</v>
      </c>
      <c r="M2455" s="7" t="str">
        <f>VLOOKUP(A2455,Sheet2!$A$2:$R$3432,5,0)</f>
        <v>MH12RJ9582</v>
      </c>
      <c r="N2455" s="5" t="s">
        <v>25</v>
      </c>
      <c r="O2455" s="5" t="s">
        <v>25</v>
      </c>
      <c r="P2455" s="6" t="s">
        <v>25</v>
      </c>
      <c r="Q2455" s="5" t="s">
        <v>25</v>
      </c>
      <c r="R2455" s="5" t="s">
        <v>25</v>
      </c>
      <c r="S2455" s="7" t="str">
        <f>VLOOKUP(A2455,Sheet2!$A$2:$R$3432,18,0)</f>
        <v/>
      </c>
      <c r="T2455" s="7" t="str">
        <f>VLOOKUP(A2455,Sheet2!$A$2:$R$3432,17,0)</f>
        <v/>
      </c>
    </row>
    <row r="2456" ht="15.75" customHeight="1">
      <c r="A2456" s="3" t="s">
        <v>2479</v>
      </c>
      <c r="B2456" s="4" t="str">
        <f>VLOOKUP(A2456,Sheet2!$A$2:$R$3432,2,0)</f>
        <v>2024-10-11 11:58:18</v>
      </c>
      <c r="C2456" s="5" t="s">
        <v>25</v>
      </c>
      <c r="D2456" s="6" t="s">
        <v>25</v>
      </c>
      <c r="E2456" s="7">
        <f>VLOOKUP(A2456,Sheet2!$A$2:$R$3432,4,0)</f>
        <v>8600865286</v>
      </c>
      <c r="F2456" s="7" t="str">
        <f>VLOOKUP(A2456,Sheet2!$A$2:$R$3432,3,0)</f>
        <v>SANGRAM </v>
      </c>
      <c r="G2456" s="5" t="s">
        <v>25</v>
      </c>
      <c r="H2456" s="5" t="s">
        <v>25</v>
      </c>
      <c r="I2456" s="5" t="s">
        <v>25</v>
      </c>
      <c r="J2456" s="5" t="s">
        <v>25</v>
      </c>
      <c r="K2456" s="7" t="str">
        <f>VLOOKUP(A2456,Sheet2!$A$2:$R$3432,6,0)</f>
        <v>Yamaha FZ S 2.0</v>
      </c>
      <c r="L2456" s="5" t="s">
        <v>25</v>
      </c>
      <c r="M2456" s="7" t="str">
        <f>VLOOKUP(A2456,Sheet2!$A$2:$R$3432,5,0)</f>
        <v>MH12PV9671</v>
      </c>
      <c r="N2456" s="5" t="s">
        <v>25</v>
      </c>
      <c r="O2456" s="5" t="s">
        <v>25</v>
      </c>
      <c r="P2456" s="6" t="s">
        <v>25</v>
      </c>
      <c r="Q2456" s="5" t="s">
        <v>25</v>
      </c>
      <c r="R2456" s="5" t="s">
        <v>25</v>
      </c>
      <c r="S2456" s="7" t="str">
        <f>VLOOKUP(A2456,Sheet2!$A$2:$R$3432,18,0)</f>
        <v/>
      </c>
      <c r="T2456" s="7" t="str">
        <f>VLOOKUP(A2456,Sheet2!$A$2:$R$3432,17,0)</f>
        <v/>
      </c>
    </row>
    <row r="2457" ht="15.75" customHeight="1">
      <c r="A2457" s="3" t="s">
        <v>2480</v>
      </c>
      <c r="B2457" s="4" t="str">
        <f>VLOOKUP(A2457,Sheet2!$A$2:$R$3432,2,0)</f>
        <v>2024-10-11 11:59:13</v>
      </c>
      <c r="C2457" s="5" t="s">
        <v>25</v>
      </c>
      <c r="D2457" s="6" t="s">
        <v>25</v>
      </c>
      <c r="E2457" s="7">
        <f>VLOOKUP(A2457,Sheet2!$A$2:$R$3432,4,0)</f>
        <v>8605544154</v>
      </c>
      <c r="F2457" s="7" t="str">
        <f>VLOOKUP(A2457,Sheet2!$A$2:$R$3432,3,0)</f>
        <v>AMOL VARPE</v>
      </c>
      <c r="G2457" s="5" t="s">
        <v>25</v>
      </c>
      <c r="H2457" s="5" t="s">
        <v>25</v>
      </c>
      <c r="I2457" s="5" t="s">
        <v>25</v>
      </c>
      <c r="J2457" s="5" t="s">
        <v>25</v>
      </c>
      <c r="K2457" s="7" t="str">
        <f>VLOOKUP(A2457,Sheet2!$A$2:$R$3432,6,0)</f>
        <v>Hero CBZ Extreme</v>
      </c>
      <c r="L2457" s="5" t="s">
        <v>25</v>
      </c>
      <c r="M2457" s="7" t="str">
        <f>VLOOKUP(A2457,Sheet2!$A$2:$R$3432,5,0)</f>
        <v>MH14CV6784</v>
      </c>
      <c r="N2457" s="5" t="s">
        <v>25</v>
      </c>
      <c r="O2457" s="5" t="s">
        <v>25</v>
      </c>
      <c r="P2457" s="6" t="s">
        <v>25</v>
      </c>
      <c r="Q2457" s="5" t="s">
        <v>25</v>
      </c>
      <c r="R2457" s="5" t="s">
        <v>25</v>
      </c>
      <c r="S2457" s="7" t="str">
        <f>VLOOKUP(A2457,Sheet2!$A$2:$R$3432,18,0)</f>
        <v/>
      </c>
      <c r="T2457" s="7" t="str">
        <f>VLOOKUP(A2457,Sheet2!$A$2:$R$3432,17,0)</f>
        <v/>
      </c>
    </row>
    <row r="2458" ht="15.75" customHeight="1">
      <c r="A2458" s="3" t="s">
        <v>2481</v>
      </c>
      <c r="B2458" s="4" t="str">
        <f>VLOOKUP(A2458,Sheet2!$A$2:$R$3432,2,0)</f>
        <v>2024-10-11 11:59:44</v>
      </c>
      <c r="C2458" s="5" t="s">
        <v>25</v>
      </c>
      <c r="D2458" s="6" t="s">
        <v>25</v>
      </c>
      <c r="E2458" s="7">
        <f>VLOOKUP(A2458,Sheet2!$A$2:$R$3432,4,0)</f>
        <v>7387149498</v>
      </c>
      <c r="F2458" s="7" t="str">
        <f>VLOOKUP(A2458,Sheet2!$A$2:$R$3432,3,0)</f>
        <v>SASHIKANT </v>
      </c>
      <c r="G2458" s="5" t="s">
        <v>25</v>
      </c>
      <c r="H2458" s="5" t="s">
        <v>25</v>
      </c>
      <c r="I2458" s="5" t="s">
        <v>25</v>
      </c>
      <c r="J2458" s="5" t="s">
        <v>25</v>
      </c>
      <c r="K2458" s="7" t="str">
        <f>VLOOKUP(A2458,Sheet2!$A$2:$R$3432,6,0)</f>
        <v>TVS Scooty Zest</v>
      </c>
      <c r="L2458" s="5" t="s">
        <v>25</v>
      </c>
      <c r="M2458" s="7" t="str">
        <f>VLOOKUP(A2458,Sheet2!$A$2:$R$3432,5,0)</f>
        <v>MH14ES4266</v>
      </c>
      <c r="N2458" s="5" t="s">
        <v>25</v>
      </c>
      <c r="O2458" s="5" t="s">
        <v>25</v>
      </c>
      <c r="P2458" s="6" t="s">
        <v>25</v>
      </c>
      <c r="Q2458" s="5" t="s">
        <v>25</v>
      </c>
      <c r="R2458" s="5" t="s">
        <v>25</v>
      </c>
      <c r="S2458" s="7" t="str">
        <f>VLOOKUP(A2458,Sheet2!$A$2:$R$3432,18,0)</f>
        <v/>
      </c>
      <c r="T2458" s="7" t="str">
        <f>VLOOKUP(A2458,Sheet2!$A$2:$R$3432,17,0)</f>
        <v/>
      </c>
    </row>
    <row r="2459" ht="15.75" customHeight="1">
      <c r="A2459" s="3" t="s">
        <v>2482</v>
      </c>
      <c r="B2459" s="4" t="str">
        <f>VLOOKUP(A2459,Sheet2!$A$2:$R$3432,2,0)</f>
        <v>2024-10-11 12:23:42</v>
      </c>
      <c r="C2459" s="5" t="s">
        <v>25</v>
      </c>
      <c r="D2459" s="6" t="s">
        <v>25</v>
      </c>
      <c r="E2459" s="7">
        <f>VLOOKUP(A2459,Sheet2!$A$2:$R$3432,4,0)</f>
        <v>8055994590</v>
      </c>
      <c r="F2459" s="7" t="str">
        <f>VLOOKUP(A2459,Sheet2!$A$2:$R$3432,3,0)</f>
        <v>ANIKET ANAND </v>
      </c>
      <c r="G2459" s="5" t="s">
        <v>25</v>
      </c>
      <c r="H2459" s="5" t="s">
        <v>25</v>
      </c>
      <c r="I2459" s="5" t="s">
        <v>25</v>
      </c>
      <c r="J2459" s="5" t="s">
        <v>25</v>
      </c>
      <c r="K2459" s="7" t="str">
        <f>VLOOKUP(A2459,Sheet2!$A$2:$R$3432,6,0)</f>
        <v>Suzuki Gixxer SF</v>
      </c>
      <c r="L2459" s="5" t="s">
        <v>25</v>
      </c>
      <c r="M2459" s="7" t="str">
        <f>VLOOKUP(A2459,Sheet2!$A$2:$R$3432,5,0)</f>
        <v>MH14GG1133</v>
      </c>
      <c r="N2459" s="5" t="s">
        <v>25</v>
      </c>
      <c r="O2459" s="5" t="s">
        <v>25</v>
      </c>
      <c r="P2459" s="6" t="s">
        <v>25</v>
      </c>
      <c r="Q2459" s="5" t="s">
        <v>25</v>
      </c>
      <c r="R2459" s="5" t="s">
        <v>25</v>
      </c>
      <c r="S2459" s="7" t="str">
        <f>VLOOKUP(A2459,Sheet2!$A$2:$R$3432,18,0)</f>
        <v/>
      </c>
      <c r="T2459" s="7" t="str">
        <f>VLOOKUP(A2459,Sheet2!$A$2:$R$3432,17,0)</f>
        <v/>
      </c>
    </row>
    <row r="2460" ht="15.75" customHeight="1">
      <c r="A2460" s="3" t="s">
        <v>2483</v>
      </c>
      <c r="B2460" s="4" t="str">
        <f>VLOOKUP(A2460,Sheet2!$A$2:$R$3432,2,0)</f>
        <v>2024-10-11 12:24:11</v>
      </c>
      <c r="C2460" s="5" t="s">
        <v>25</v>
      </c>
      <c r="D2460" s="6" t="s">
        <v>25</v>
      </c>
      <c r="E2460" s="7">
        <f>VLOOKUP(A2460,Sheet2!$A$2:$R$3432,4,0)</f>
        <v>8769987688</v>
      </c>
      <c r="F2460" s="7" t="str">
        <f>VLOOKUP(A2460,Sheet2!$A$2:$R$3432,3,0)</f>
        <v>ATHARV</v>
      </c>
      <c r="G2460" s="5" t="s">
        <v>25</v>
      </c>
      <c r="H2460" s="5" t="s">
        <v>25</v>
      </c>
      <c r="I2460" s="5" t="s">
        <v>25</v>
      </c>
      <c r="J2460" s="5" t="s">
        <v>25</v>
      </c>
      <c r="K2460" s="7" t="str">
        <f>VLOOKUP(A2460,Sheet2!$A$2:$R$3432,6,0)</f>
        <v>Yamaha FZ </v>
      </c>
      <c r="L2460" s="5" t="s">
        <v>25</v>
      </c>
      <c r="M2460" s="7" t="str">
        <f>VLOOKUP(A2460,Sheet2!$A$2:$R$3432,5,0)</f>
        <v>MH10BT958</v>
      </c>
      <c r="N2460" s="5" t="s">
        <v>25</v>
      </c>
      <c r="O2460" s="5" t="s">
        <v>25</v>
      </c>
      <c r="P2460" s="6" t="s">
        <v>25</v>
      </c>
      <c r="Q2460" s="5" t="s">
        <v>25</v>
      </c>
      <c r="R2460" s="5" t="s">
        <v>25</v>
      </c>
      <c r="S2460" s="7" t="str">
        <f>VLOOKUP(A2460,Sheet2!$A$2:$R$3432,18,0)</f>
        <v/>
      </c>
      <c r="T2460" s="7" t="str">
        <f>VLOOKUP(A2460,Sheet2!$A$2:$R$3432,17,0)</f>
        <v/>
      </c>
    </row>
    <row r="2461" ht="15.75" customHeight="1">
      <c r="A2461" s="3" t="s">
        <v>2484</v>
      </c>
      <c r="B2461" s="4" t="str">
        <f>VLOOKUP(A2461,Sheet2!$A$2:$R$3432,2,0)</f>
        <v>2024-10-11 13:04:51</v>
      </c>
      <c r="C2461" s="5" t="s">
        <v>25</v>
      </c>
      <c r="D2461" s="6" t="s">
        <v>25</v>
      </c>
      <c r="E2461" s="7">
        <f>VLOOKUP(A2461,Sheet2!$A$2:$R$3432,4,0)</f>
        <v>9923699615</v>
      </c>
      <c r="F2461" s="7" t="str">
        <f>VLOOKUP(A2461,Sheet2!$A$2:$R$3432,3,0)</f>
        <v>REJOY</v>
      </c>
      <c r="G2461" s="5" t="s">
        <v>25</v>
      </c>
      <c r="H2461" s="5" t="s">
        <v>25</v>
      </c>
      <c r="I2461" s="5" t="s">
        <v>25</v>
      </c>
      <c r="J2461" s="5" t="s">
        <v>25</v>
      </c>
      <c r="K2461" s="7" t="str">
        <f>VLOOKUP(A2461,Sheet2!$A$2:$R$3432,6,0)</f>
        <v>TVS Jupiter </v>
      </c>
      <c r="L2461" s="5" t="s">
        <v>25</v>
      </c>
      <c r="M2461" s="7" t="str">
        <f>VLOOKUP(A2461,Sheet2!$A$2:$R$3432,5,0)</f>
        <v>MH14EV7317</v>
      </c>
      <c r="N2461" s="5" t="s">
        <v>25</v>
      </c>
      <c r="O2461" s="5" t="s">
        <v>25</v>
      </c>
      <c r="P2461" s="6" t="s">
        <v>25</v>
      </c>
      <c r="Q2461" s="5" t="s">
        <v>25</v>
      </c>
      <c r="R2461" s="5" t="s">
        <v>25</v>
      </c>
      <c r="S2461" s="5" t="str">
        <f>VLOOKUP(A2461,Sheet2!$A$2:$R$3432,18,0)</f>
        <v>BGAAF1428153</v>
      </c>
      <c r="T2461" s="7" t="str">
        <f>VLOOKUP(A2461,Sheet2!$A$2:$R$3432,17,0)</f>
        <v>MD626BG41F1A37004</v>
      </c>
    </row>
    <row r="2462" ht="15.75" customHeight="1">
      <c r="A2462" s="3" t="s">
        <v>2485</v>
      </c>
      <c r="B2462" s="4" t="str">
        <f>VLOOKUP(A2462,Sheet2!$A$2:$R$3432,2,0)</f>
        <v>2024-10-11 13:03:56</v>
      </c>
      <c r="C2462" s="5" t="s">
        <v>25</v>
      </c>
      <c r="D2462" s="6" t="s">
        <v>25</v>
      </c>
      <c r="E2462" s="7">
        <f>VLOOKUP(A2462,Sheet2!$A$2:$R$3432,4,0)</f>
        <v>9922445056</v>
      </c>
      <c r="F2462" s="7" t="str">
        <f>VLOOKUP(A2462,Sheet2!$A$2:$R$3432,3,0)</f>
        <v>Hemant Patel</v>
      </c>
      <c r="G2462" s="5" t="s">
        <v>25</v>
      </c>
      <c r="H2462" s="5" t="s">
        <v>25</v>
      </c>
      <c r="I2462" s="5" t="s">
        <v>25</v>
      </c>
      <c r="J2462" s="5" t="s">
        <v>25</v>
      </c>
      <c r="K2462" s="7" t="str">
        <f>VLOOKUP(A2462,Sheet2!$A$2:$R$3432,6,0)</f>
        <v>Suzuki Access 125</v>
      </c>
      <c r="L2462" s="5" t="s">
        <v>25</v>
      </c>
      <c r="M2462" s="7" t="str">
        <f>VLOOKUP(A2462,Sheet2!$A$2:$R$3432,5,0)</f>
        <v>MH14GL8564</v>
      </c>
      <c r="N2462" s="5" t="s">
        <v>25</v>
      </c>
      <c r="O2462" s="5" t="s">
        <v>25</v>
      </c>
      <c r="P2462" s="6" t="s">
        <v>25</v>
      </c>
      <c r="Q2462" s="5" t="s">
        <v>25</v>
      </c>
      <c r="R2462" s="5" t="s">
        <v>25</v>
      </c>
      <c r="S2462" s="7" t="str">
        <f>VLOOKUP(A2462,Sheet2!$A$2:$R$3432,18,0)</f>
        <v/>
      </c>
      <c r="T2462" s="7" t="str">
        <f>VLOOKUP(A2462,Sheet2!$A$2:$R$3432,17,0)</f>
        <v>MB8DP11AHH8501218</v>
      </c>
    </row>
    <row r="2463" ht="15.75" customHeight="1">
      <c r="A2463" s="3" t="s">
        <v>2486</v>
      </c>
      <c r="B2463" s="4" t="str">
        <f>VLOOKUP(A2463,Sheet2!$A$2:$R$3432,2,0)</f>
        <v>2024-10-11 13:03:12</v>
      </c>
      <c r="C2463" s="5" t="s">
        <v>25</v>
      </c>
      <c r="D2463" s="6" t="s">
        <v>25</v>
      </c>
      <c r="E2463" s="7">
        <f>VLOOKUP(A2463,Sheet2!$A$2:$R$3432,4,0)</f>
        <v>9665268216</v>
      </c>
      <c r="F2463" s="7" t="str">
        <f>VLOOKUP(A2463,Sheet2!$A$2:$R$3432,3,0)</f>
        <v>NILESH JOSHI</v>
      </c>
      <c r="G2463" s="5" t="s">
        <v>25</v>
      </c>
      <c r="H2463" s="5" t="s">
        <v>25</v>
      </c>
      <c r="I2463" s="5" t="s">
        <v>25</v>
      </c>
      <c r="J2463" s="5" t="s">
        <v>25</v>
      </c>
      <c r="K2463" s="7" t="str">
        <f>VLOOKUP(A2463,Sheet2!$A$2:$R$3432,6,0)</f>
        <v>Honda Activa 125</v>
      </c>
      <c r="L2463" s="5" t="s">
        <v>25</v>
      </c>
      <c r="M2463" s="7" t="str">
        <f>VLOOKUP(A2463,Sheet2!$A$2:$R$3432,5,0)</f>
        <v>MH14HX8801</v>
      </c>
      <c r="N2463" s="5" t="s">
        <v>25</v>
      </c>
      <c r="O2463" s="5" t="s">
        <v>25</v>
      </c>
      <c r="P2463" s="6" t="s">
        <v>25</v>
      </c>
      <c r="Q2463" s="5" t="s">
        <v>25</v>
      </c>
      <c r="R2463" s="5" t="s">
        <v>25</v>
      </c>
      <c r="S2463" s="5" t="str">
        <f>VLOOKUP(A2463,Sheet2!$A$2:$R$3432,18,0)</f>
        <v>JF492W3001674</v>
      </c>
      <c r="T2463" s="7" t="str">
        <f>VLOOKUP(A2463,Sheet2!$A$2:$R$3432,17,0)</f>
        <v>MEAJF44LJKW00143</v>
      </c>
    </row>
    <row r="2464" ht="15.75" customHeight="1">
      <c r="A2464" s="3" t="s">
        <v>2487</v>
      </c>
      <c r="B2464" s="4" t="str">
        <f>VLOOKUP(A2464,Sheet2!$A$2:$R$3432,2,0)</f>
        <v>2024-10-11 13:03:33</v>
      </c>
      <c r="C2464" s="5" t="s">
        <v>25</v>
      </c>
      <c r="D2464" s="6" t="s">
        <v>25</v>
      </c>
      <c r="E2464" s="7">
        <f>VLOOKUP(A2464,Sheet2!$A$2:$R$3432,4,0)</f>
        <v>9665831100</v>
      </c>
      <c r="F2464" s="7" t="str">
        <f>VLOOKUP(A2464,Sheet2!$A$2:$R$3432,3,0)</f>
        <v>Rohit</v>
      </c>
      <c r="G2464" s="5" t="s">
        <v>25</v>
      </c>
      <c r="H2464" s="5" t="s">
        <v>25</v>
      </c>
      <c r="I2464" s="5" t="s">
        <v>25</v>
      </c>
      <c r="J2464" s="5" t="s">
        <v>25</v>
      </c>
      <c r="K2464" s="7" t="str">
        <f>VLOOKUP(A2464,Sheet2!$A$2:$R$3432,6,0)</f>
        <v>Honda Shine HET</v>
      </c>
      <c r="L2464" s="5" t="s">
        <v>25</v>
      </c>
      <c r="M2464" s="7" t="str">
        <f>VLOOKUP(A2464,Sheet2!$A$2:$R$3432,5,0)</f>
        <v>MH10CG2128</v>
      </c>
      <c r="N2464" s="5" t="s">
        <v>25</v>
      </c>
      <c r="O2464" s="5" t="s">
        <v>25</v>
      </c>
      <c r="P2464" s="6" t="s">
        <v>25</v>
      </c>
      <c r="Q2464" s="5" t="s">
        <v>25</v>
      </c>
      <c r="R2464" s="5" t="s">
        <v>25</v>
      </c>
      <c r="S2464" s="7" t="str">
        <f>VLOOKUP(A2464,Sheet2!$A$2:$R$3432,18,0)</f>
        <v/>
      </c>
      <c r="T2464" s="7" t="str">
        <f>VLOOKUP(A2464,Sheet2!$A$2:$R$3432,17,0)</f>
        <v/>
      </c>
    </row>
    <row r="2465" ht="15.75" customHeight="1">
      <c r="A2465" s="3" t="s">
        <v>2488</v>
      </c>
      <c r="B2465" s="4" t="str">
        <f>VLOOKUP(A2465,Sheet2!$A$2:$R$3432,2,0)</f>
        <v>2024-10-11 13:05:09</v>
      </c>
      <c r="C2465" s="5" t="s">
        <v>25</v>
      </c>
      <c r="D2465" s="6" t="s">
        <v>25</v>
      </c>
      <c r="E2465" s="7">
        <f>VLOOKUP(A2465,Sheet2!$A$2:$R$3432,4,0)</f>
        <v>9175742784</v>
      </c>
      <c r="F2465" s="7" t="str">
        <f>VLOOKUP(A2465,Sheet2!$A$2:$R$3432,3,0)</f>
        <v>PALASH SALVE</v>
      </c>
      <c r="G2465" s="5" t="s">
        <v>25</v>
      </c>
      <c r="H2465" s="5" t="s">
        <v>25</v>
      </c>
      <c r="I2465" s="5" t="s">
        <v>25</v>
      </c>
      <c r="J2465" s="5" t="s">
        <v>25</v>
      </c>
      <c r="K2465" s="7" t="str">
        <f>VLOOKUP(A2465,Sheet2!$A$2:$R$3432,6,0)</f>
        <v>Bajaj Pulsar 150</v>
      </c>
      <c r="L2465" s="5" t="s">
        <v>25</v>
      </c>
      <c r="M2465" s="7" t="str">
        <f>VLOOKUP(A2465,Sheet2!$A$2:$R$3432,5,0)</f>
        <v>MH14FQ6477</v>
      </c>
      <c r="N2465" s="5" t="s">
        <v>25</v>
      </c>
      <c r="O2465" s="5" t="s">
        <v>25</v>
      </c>
      <c r="P2465" s="6" t="s">
        <v>25</v>
      </c>
      <c r="Q2465" s="5" t="s">
        <v>25</v>
      </c>
      <c r="R2465" s="5" t="s">
        <v>25</v>
      </c>
      <c r="S2465" s="7" t="str">
        <f>VLOOKUP(A2465,Sheet2!$A$2:$R$3432,18,0)</f>
        <v/>
      </c>
      <c r="T2465" s="7" t="str">
        <f>VLOOKUP(A2465,Sheet2!$A$2:$R$3432,17,0)</f>
        <v/>
      </c>
    </row>
    <row r="2466" ht="15.75" customHeight="1">
      <c r="A2466" s="3" t="s">
        <v>2489</v>
      </c>
      <c r="B2466" s="4" t="str">
        <f>VLOOKUP(A2466,Sheet2!$A$2:$R$3432,2,0)</f>
        <v>2024-10-11 13:04:14</v>
      </c>
      <c r="C2466" s="5" t="s">
        <v>25</v>
      </c>
      <c r="D2466" s="6" t="s">
        <v>25</v>
      </c>
      <c r="E2466" s="7">
        <f>VLOOKUP(A2466,Sheet2!$A$2:$R$3432,4,0)</f>
        <v>9881125872</v>
      </c>
      <c r="F2466" s="7" t="str">
        <f>VLOOKUP(A2466,Sheet2!$A$2:$R$3432,3,0)</f>
        <v>JAYASHREE INGOLE</v>
      </c>
      <c r="G2466" s="5" t="s">
        <v>25</v>
      </c>
      <c r="H2466" s="5" t="s">
        <v>25</v>
      </c>
      <c r="I2466" s="5" t="s">
        <v>25</v>
      </c>
      <c r="J2466" s="5" t="s">
        <v>25</v>
      </c>
      <c r="K2466" s="7" t="str">
        <f>VLOOKUP(A2466,Sheet2!$A$2:$R$3432,6,0)</f>
        <v>Honda Activa Old</v>
      </c>
      <c r="L2466" s="5" t="s">
        <v>25</v>
      </c>
      <c r="M2466" s="7" t="str">
        <f>VLOOKUP(A2466,Sheet2!$A$2:$R$3432,5,0)</f>
        <v>MH14AR1621</v>
      </c>
      <c r="N2466" s="5" t="s">
        <v>25</v>
      </c>
      <c r="O2466" s="5" t="s">
        <v>25</v>
      </c>
      <c r="P2466" s="6" t="s">
        <v>25</v>
      </c>
      <c r="Q2466" s="5" t="s">
        <v>25</v>
      </c>
      <c r="R2466" s="5" t="s">
        <v>25</v>
      </c>
      <c r="S2466" s="7" t="str">
        <f>VLOOKUP(A2466,Sheet2!$A$2:$R$3432,18,0)</f>
        <v/>
      </c>
      <c r="T2466" s="7" t="str">
        <f>VLOOKUP(A2466,Sheet2!$A$2:$R$3432,17,0)</f>
        <v/>
      </c>
    </row>
    <row r="2467" ht="15.75" customHeight="1">
      <c r="A2467" s="3" t="s">
        <v>2490</v>
      </c>
      <c r="B2467" s="4" t="str">
        <f>VLOOKUP(A2467,Sheet2!$A$2:$R$3432,2,0)</f>
        <v>2024-10-11 13:10:21</v>
      </c>
      <c r="C2467" s="5" t="s">
        <v>25</v>
      </c>
      <c r="D2467" s="6" t="s">
        <v>25</v>
      </c>
      <c r="E2467" s="7">
        <f>VLOOKUP(A2467,Sheet2!$A$2:$R$3432,4,0)</f>
        <v>9619667658</v>
      </c>
      <c r="F2467" s="7" t="str">
        <f>VLOOKUP(A2467,Sheet2!$A$2:$R$3432,3,0)</f>
        <v>Avishkar Chendge</v>
      </c>
      <c r="G2467" s="5" t="s">
        <v>25</v>
      </c>
      <c r="H2467" s="5" t="s">
        <v>25</v>
      </c>
      <c r="I2467" s="5" t="s">
        <v>25</v>
      </c>
      <c r="J2467" s="5" t="s">
        <v>25</v>
      </c>
      <c r="K2467" s="7" t="str">
        <f>VLOOKUP(A2467,Sheet2!$A$2:$R$3432,6,0)</f>
        <v>Honda Activa 4G</v>
      </c>
      <c r="L2467" s="5" t="s">
        <v>25</v>
      </c>
      <c r="M2467" s="7" t="str">
        <f>VLOOKUP(A2467,Sheet2!$A$2:$R$3432,5,0)</f>
        <v>MH43BJ8696</v>
      </c>
      <c r="N2467" s="5" t="s">
        <v>25</v>
      </c>
      <c r="O2467" s="5" t="s">
        <v>25</v>
      </c>
      <c r="P2467" s="6" t="s">
        <v>25</v>
      </c>
      <c r="Q2467" s="5" t="s">
        <v>25</v>
      </c>
      <c r="R2467" s="5" t="s">
        <v>25</v>
      </c>
      <c r="S2467" s="7" t="str">
        <f>VLOOKUP(A2467,Sheet2!$A$2:$R$3432,18,0)</f>
        <v/>
      </c>
      <c r="T2467" s="7" t="str">
        <f>VLOOKUP(A2467,Sheet2!$A$2:$R$3432,17,0)</f>
        <v/>
      </c>
    </row>
    <row r="2468" ht="15.75" customHeight="1">
      <c r="A2468" s="3" t="s">
        <v>2491</v>
      </c>
      <c r="B2468" s="4" t="str">
        <f>VLOOKUP(A2468,Sheet2!$A$2:$R$3432,2,0)</f>
        <v>2024-10-11 13:04:33</v>
      </c>
      <c r="C2468" s="5" t="s">
        <v>25</v>
      </c>
      <c r="D2468" s="6" t="s">
        <v>25</v>
      </c>
      <c r="E2468" s="7">
        <f>VLOOKUP(A2468,Sheet2!$A$2:$R$3432,4,0)</f>
        <v>8770708200</v>
      </c>
      <c r="F2468" s="7" t="str">
        <f>VLOOKUP(A2468,Sheet2!$A$2:$R$3432,3,0)</f>
        <v>ADITYA</v>
      </c>
      <c r="G2468" s="5" t="s">
        <v>25</v>
      </c>
      <c r="H2468" s="5" t="s">
        <v>25</v>
      </c>
      <c r="I2468" s="5" t="s">
        <v>25</v>
      </c>
      <c r="J2468" s="5" t="s">
        <v>25</v>
      </c>
      <c r="K2468" s="7" t="str">
        <f>VLOOKUP(A2468,Sheet2!$A$2:$R$3432,6,0)</f>
        <v>Hero Hunk </v>
      </c>
      <c r="L2468" s="5" t="s">
        <v>25</v>
      </c>
      <c r="M2468" s="7" t="str">
        <f>VLOOKUP(A2468,Sheet2!$A$2:$R$3432,5,0)</f>
        <v>CG04KX6004</v>
      </c>
      <c r="N2468" s="5" t="s">
        <v>25</v>
      </c>
      <c r="O2468" s="5" t="s">
        <v>25</v>
      </c>
      <c r="P2468" s="6" t="s">
        <v>25</v>
      </c>
      <c r="Q2468" s="5" t="s">
        <v>25</v>
      </c>
      <c r="R2468" s="5" t="s">
        <v>25</v>
      </c>
      <c r="S2468" s="7" t="str">
        <f>VLOOKUP(A2468,Sheet2!$A$2:$R$3432,18,0)</f>
        <v/>
      </c>
      <c r="T2468" s="7" t="str">
        <f>VLOOKUP(A2468,Sheet2!$A$2:$R$3432,17,0)</f>
        <v/>
      </c>
    </row>
    <row r="2469" ht="15.75" customHeight="1">
      <c r="A2469" s="3" t="s">
        <v>2492</v>
      </c>
      <c r="B2469" s="4" t="str">
        <f>VLOOKUP(A2469,Sheet2!$A$2:$R$3432,2,0)</f>
        <v>2024-10-11 13:05:52</v>
      </c>
      <c r="C2469" s="5" t="s">
        <v>25</v>
      </c>
      <c r="D2469" s="6" t="s">
        <v>25</v>
      </c>
      <c r="E2469" s="7">
        <f>VLOOKUP(A2469,Sheet2!$A$2:$R$3432,4,0)</f>
        <v>8517900078</v>
      </c>
      <c r="F2469" s="7" t="str">
        <f>VLOOKUP(A2469,Sheet2!$A$2:$R$3432,3,0)</f>
        <v>ROHIT GUPTA</v>
      </c>
      <c r="G2469" s="5" t="s">
        <v>25</v>
      </c>
      <c r="H2469" s="5" t="s">
        <v>25</v>
      </c>
      <c r="I2469" s="5" t="s">
        <v>25</v>
      </c>
      <c r="J2469" s="5" t="s">
        <v>25</v>
      </c>
      <c r="K2469" s="7" t="str">
        <f>VLOOKUP(A2469,Sheet2!$A$2:$R$3432,6,0)</f>
        <v>Bajaj Pulsar 125</v>
      </c>
      <c r="L2469" s="5" t="s">
        <v>25</v>
      </c>
      <c r="M2469" s="7" t="str">
        <f>VLOOKUP(A2469,Sheet2!$A$2:$R$3432,5,0)</f>
        <v>MP04VE9926</v>
      </c>
      <c r="N2469" s="5" t="s">
        <v>25</v>
      </c>
      <c r="O2469" s="5" t="s">
        <v>25</v>
      </c>
      <c r="P2469" s="6" t="s">
        <v>25</v>
      </c>
      <c r="Q2469" s="5" t="s">
        <v>25</v>
      </c>
      <c r="R2469" s="5" t="s">
        <v>25</v>
      </c>
      <c r="S2469" s="5" t="str">
        <f>VLOOKUP(A2469,Sheet2!$A$2:$R$3432,18,0)</f>
        <v>DHXRNK62530</v>
      </c>
      <c r="T2469" s="7" t="str">
        <f>VLOOKUP(A2469,Sheet2!$A$2:$R$3432,17,0)</f>
        <v>MD2BX0NRK14363</v>
      </c>
    </row>
    <row r="2470" ht="15.75" customHeight="1">
      <c r="A2470" s="3" t="s">
        <v>2493</v>
      </c>
      <c r="B2470" s="4" t="str">
        <f>VLOOKUP(A2470,Sheet2!$A$2:$R$3432,2,0)</f>
        <v>2024-10-11 13:10:36</v>
      </c>
      <c r="C2470" s="5" t="s">
        <v>25</v>
      </c>
      <c r="D2470" s="6" t="s">
        <v>25</v>
      </c>
      <c r="E2470" s="7">
        <f>VLOOKUP(A2470,Sheet2!$A$2:$R$3432,4,0)</f>
        <v>9594259275</v>
      </c>
      <c r="F2470" s="7" t="str">
        <f>VLOOKUP(A2470,Sheet2!$A$2:$R$3432,3,0)</f>
        <v>SHAILESH </v>
      </c>
      <c r="G2470" s="5" t="s">
        <v>25</v>
      </c>
      <c r="H2470" s="5" t="s">
        <v>25</v>
      </c>
      <c r="I2470" s="5" t="s">
        <v>25</v>
      </c>
      <c r="J2470" s="5" t="s">
        <v>25</v>
      </c>
      <c r="K2470" s="7" t="str">
        <f>VLOOKUP(A2470,Sheet2!$A$2:$R$3432,6,0)</f>
        <v>TVS Jupiter </v>
      </c>
      <c r="L2470" s="5" t="s">
        <v>25</v>
      </c>
      <c r="M2470" s="7" t="str">
        <f>VLOOKUP(A2470,Sheet2!$A$2:$R$3432,5,0)</f>
        <v>MH12TP2518</v>
      </c>
      <c r="N2470" s="5" t="s">
        <v>25</v>
      </c>
      <c r="O2470" s="5" t="s">
        <v>25</v>
      </c>
      <c r="P2470" s="6" t="s">
        <v>25</v>
      </c>
      <c r="Q2470" s="5" t="s">
        <v>25</v>
      </c>
      <c r="R2470" s="5" t="s">
        <v>25</v>
      </c>
      <c r="S2470" s="5" t="str">
        <f>VLOOKUP(A2470,Sheet2!$A$2:$R$3432,18,0)</f>
        <v>GG55BM1601802</v>
      </c>
      <c r="T2470" s="7" t="str">
        <f>VLOOKUP(A2470,Sheet2!$A$2:$R$3432,17,0)</f>
        <v>MD626EG50M1BO685</v>
      </c>
    </row>
    <row r="2471" ht="15.75" customHeight="1">
      <c r="A2471" s="3" t="s">
        <v>2494</v>
      </c>
      <c r="B2471" s="4" t="str">
        <f>VLOOKUP(A2471,Sheet2!$A$2:$R$3432,2,0)</f>
        <v>2024-10-11 13:11:14</v>
      </c>
      <c r="C2471" s="5" t="s">
        <v>25</v>
      </c>
      <c r="D2471" s="6" t="s">
        <v>25</v>
      </c>
      <c r="E2471" s="7">
        <f>VLOOKUP(A2471,Sheet2!$A$2:$R$3432,4,0)</f>
        <v>8788070392</v>
      </c>
      <c r="F2471" s="7" t="str">
        <f>VLOOKUP(A2471,Sheet2!$A$2:$R$3432,3,0)</f>
        <v>Trupti Navale</v>
      </c>
      <c r="G2471" s="5" t="s">
        <v>25</v>
      </c>
      <c r="H2471" s="5" t="s">
        <v>25</v>
      </c>
      <c r="I2471" s="5" t="s">
        <v>25</v>
      </c>
      <c r="J2471" s="5" t="s">
        <v>25</v>
      </c>
      <c r="K2471" s="7" t="str">
        <f>VLOOKUP(A2471,Sheet2!$A$2:$R$3432,6,0)</f>
        <v>TVS Jupiter </v>
      </c>
      <c r="L2471" s="5" t="s">
        <v>25</v>
      </c>
      <c r="M2471" s="7" t="str">
        <f>VLOOKUP(A2471,Sheet2!$A$2:$R$3432,5,0)</f>
        <v>MH12VS0682</v>
      </c>
      <c r="N2471" s="5" t="s">
        <v>25</v>
      </c>
      <c r="O2471" s="5" t="s">
        <v>25</v>
      </c>
      <c r="P2471" s="6" t="s">
        <v>25</v>
      </c>
      <c r="Q2471" s="5" t="s">
        <v>25</v>
      </c>
      <c r="R2471" s="5" t="s">
        <v>25</v>
      </c>
      <c r="S2471" s="5" t="str">
        <f>VLOOKUP(A2471,Sheet2!$A$2:$R$3432,18,0)</f>
        <v>DG5FP1109561</v>
      </c>
      <c r="T2471" s="7" t="str">
        <f>VLOOKUP(A2471,Sheet2!$A$2:$R$3432,17,0)</f>
        <v>MD626CG5XP1F17042</v>
      </c>
    </row>
    <row r="2472" ht="15.75" customHeight="1">
      <c r="A2472" s="3" t="s">
        <v>2495</v>
      </c>
      <c r="B2472" s="4" t="str">
        <f>VLOOKUP(A2472,Sheet2!$A$2:$R$3432,2,0)</f>
        <v>2024-10-11 13:12:11</v>
      </c>
      <c r="C2472" s="5" t="s">
        <v>25</v>
      </c>
      <c r="D2472" s="6" t="s">
        <v>25</v>
      </c>
      <c r="E2472" s="7">
        <f>VLOOKUP(A2472,Sheet2!$A$2:$R$3432,4,0)</f>
        <v>9422494840</v>
      </c>
      <c r="F2472" s="7" t="str">
        <f>VLOOKUP(A2472,Sheet2!$A$2:$R$3432,3,0)</f>
        <v>Shekhar </v>
      </c>
      <c r="G2472" s="5" t="s">
        <v>25</v>
      </c>
      <c r="H2472" s="5" t="s">
        <v>25</v>
      </c>
      <c r="I2472" s="5" t="s">
        <v>25</v>
      </c>
      <c r="J2472" s="5" t="s">
        <v>25</v>
      </c>
      <c r="K2472" s="7" t="str">
        <f>VLOOKUP(A2472,Sheet2!$A$2:$R$3432,6,0)</f>
        <v>Bajaj Avenger 220 Cruise</v>
      </c>
      <c r="L2472" s="5" t="s">
        <v>25</v>
      </c>
      <c r="M2472" s="7" t="str">
        <f>VLOOKUP(A2472,Sheet2!$A$2:$R$3432,5,0)</f>
        <v>MH14HX2495</v>
      </c>
      <c r="N2472" s="5" t="s">
        <v>25</v>
      </c>
      <c r="O2472" s="5" t="s">
        <v>25</v>
      </c>
      <c r="P2472" s="6" t="s">
        <v>25</v>
      </c>
      <c r="Q2472" s="5" t="s">
        <v>25</v>
      </c>
      <c r="R2472" s="5" t="s">
        <v>25</v>
      </c>
      <c r="S2472" s="7" t="str">
        <f>VLOOKUP(A2472,Sheet2!$A$2:$R$3432,18,0)</f>
        <v/>
      </c>
      <c r="T2472" s="7" t="str">
        <f>VLOOKUP(A2472,Sheet2!$A$2:$R$3432,17,0)</f>
        <v/>
      </c>
    </row>
    <row r="2473" ht="15.75" customHeight="1">
      <c r="A2473" s="3" t="s">
        <v>2496</v>
      </c>
      <c r="B2473" s="4" t="str">
        <f>VLOOKUP(A2473,Sheet2!$A$2:$R$3432,2,0)</f>
        <v>2024-10-11 13:11:50</v>
      </c>
      <c r="C2473" s="5" t="s">
        <v>25</v>
      </c>
      <c r="D2473" s="6" t="s">
        <v>25</v>
      </c>
      <c r="E2473" s="7">
        <f>VLOOKUP(A2473,Sheet2!$A$2:$R$3432,4,0)</f>
        <v>7709373017</v>
      </c>
      <c r="F2473" s="7" t="str">
        <f>VLOOKUP(A2473,Sheet2!$A$2:$R$3432,3,0)</f>
        <v>Mithilesh</v>
      </c>
      <c r="G2473" s="5" t="s">
        <v>25</v>
      </c>
      <c r="H2473" s="5" t="s">
        <v>25</v>
      </c>
      <c r="I2473" s="5" t="s">
        <v>25</v>
      </c>
      <c r="J2473" s="5" t="s">
        <v>25</v>
      </c>
      <c r="K2473" s="7" t="str">
        <f>VLOOKUP(A2473,Sheet2!$A$2:$R$3432,6,0)</f>
        <v>Bajaj Pulsar 150</v>
      </c>
      <c r="L2473" s="5" t="s">
        <v>25</v>
      </c>
      <c r="M2473" s="7" t="str">
        <f>VLOOKUP(A2473,Sheet2!$A$2:$R$3432,5,0)</f>
        <v>MH14FJ8827</v>
      </c>
      <c r="N2473" s="5" t="s">
        <v>25</v>
      </c>
      <c r="O2473" s="5" t="s">
        <v>25</v>
      </c>
      <c r="P2473" s="6" t="s">
        <v>25</v>
      </c>
      <c r="Q2473" s="5" t="s">
        <v>25</v>
      </c>
      <c r="R2473" s="5" t="s">
        <v>25</v>
      </c>
      <c r="S2473" s="5" t="str">
        <f>VLOOKUP(A2473,Sheet2!$A$2:$R$3432,18,0)</f>
        <v>DHZCFH69244</v>
      </c>
      <c r="T2473" s="7" t="str">
        <f>VLOOKUP(A2473,Sheet2!$A$2:$R$3432,17,0)</f>
        <v>MD2A11CZ5FCH96203</v>
      </c>
    </row>
    <row r="2474" ht="15.75" customHeight="1">
      <c r="A2474" s="3" t="s">
        <v>2497</v>
      </c>
      <c r="B2474" s="4" t="str">
        <f>VLOOKUP(A2474,Sheet2!$A$2:$R$3432,2,0)</f>
        <v>2024-10-18 20:08:13</v>
      </c>
      <c r="C2474" s="5" t="s">
        <v>25</v>
      </c>
      <c r="D2474" s="6" t="s">
        <v>25</v>
      </c>
      <c r="E2474" s="7">
        <f>VLOOKUP(A2474,Sheet2!$A$2:$R$3432,4,0)</f>
        <v>7028001439</v>
      </c>
      <c r="F2474" s="7" t="str">
        <f>VLOOKUP(A2474,Sheet2!$A$2:$R$3432,3,0)</f>
        <v>Ajinkya Warhade</v>
      </c>
      <c r="G2474" s="5" t="s">
        <v>25</v>
      </c>
      <c r="H2474" s="5" t="s">
        <v>25</v>
      </c>
      <c r="I2474" s="5" t="s">
        <v>25</v>
      </c>
      <c r="J2474" s="5" t="s">
        <v>25</v>
      </c>
      <c r="K2474" s="7" t="str">
        <f>VLOOKUP(A2474,Sheet2!$A$2:$R$3432,6,0)</f>
        <v>TVS Jupiter </v>
      </c>
      <c r="L2474" s="5" t="s">
        <v>25</v>
      </c>
      <c r="M2474" s="7" t="str">
        <f>VLOOKUP(A2474,Sheet2!$A$2:$R$3432,5,0)</f>
        <v>MH12RX4773</v>
      </c>
      <c r="N2474" s="5" t="s">
        <v>25</v>
      </c>
      <c r="O2474" s="5" t="s">
        <v>25</v>
      </c>
      <c r="P2474" s="6" t="s">
        <v>25</v>
      </c>
      <c r="Q2474" s="5" t="s">
        <v>25</v>
      </c>
      <c r="R2474" s="5" t="s">
        <v>25</v>
      </c>
      <c r="S2474" s="5" t="str">
        <f>VLOOKUP(A2474,Sheet2!$A$2:$R$3432,18,0)</f>
        <v>EG4GK1416107</v>
      </c>
      <c r="T2474" s="7" t="str">
        <f>VLOOKUP(A2474,Sheet2!$A$2:$R$3432,17,0)</f>
        <v>MD626EG45K1G28173</v>
      </c>
    </row>
    <row r="2475" ht="15.75" customHeight="1">
      <c r="A2475" s="3" t="s">
        <v>2498</v>
      </c>
      <c r="B2475" s="4" t="str">
        <f>VLOOKUP(A2475,Sheet2!$A$2:$R$3432,2,0)</f>
        <v>2024-10-18 20:04:29</v>
      </c>
      <c r="C2475" s="5" t="s">
        <v>25</v>
      </c>
      <c r="D2475" s="6" t="s">
        <v>25</v>
      </c>
      <c r="E2475" s="7">
        <f>VLOOKUP(A2475,Sheet2!$A$2:$R$3432,4,0)</f>
        <v>9527724970</v>
      </c>
      <c r="F2475" s="7" t="str">
        <f>VLOOKUP(A2475,Sheet2!$A$2:$R$3432,3,0)</f>
        <v>Nirmal Joshi</v>
      </c>
      <c r="G2475" s="5" t="s">
        <v>25</v>
      </c>
      <c r="H2475" s="5" t="s">
        <v>25</v>
      </c>
      <c r="I2475" s="5" t="s">
        <v>25</v>
      </c>
      <c r="J2475" s="5" t="s">
        <v>25</v>
      </c>
      <c r="K2475" s="7" t="str">
        <f>VLOOKUP(A2475,Sheet2!$A$2:$R$3432,6,0)</f>
        <v>Honda Activa 125</v>
      </c>
      <c r="L2475" s="5" t="s">
        <v>25</v>
      </c>
      <c r="M2475" s="7" t="str">
        <f>VLOOKUP(A2475,Sheet2!$A$2:$R$3432,5,0)</f>
        <v>MH14FN5239</v>
      </c>
      <c r="N2475" s="5" t="s">
        <v>25</v>
      </c>
      <c r="O2475" s="5" t="s">
        <v>25</v>
      </c>
      <c r="P2475" s="6" t="s">
        <v>25</v>
      </c>
      <c r="Q2475" s="5" t="s">
        <v>25</v>
      </c>
      <c r="R2475" s="5" t="s">
        <v>25</v>
      </c>
      <c r="S2475" s="5" t="str">
        <f>VLOOKUP(A2475,Sheet2!$A$2:$R$3432,18,0)</f>
        <v>JF49E81175207</v>
      </c>
      <c r="T2475" s="7" t="str">
        <f>VLOOKUP(A2475,Sheet2!$A$2:$R$3432,17,0)</f>
        <v>ME4JF493608151818</v>
      </c>
    </row>
    <row r="2476" ht="15.75" customHeight="1">
      <c r="A2476" s="3" t="s">
        <v>2499</v>
      </c>
      <c r="B2476" s="4" t="str">
        <f>VLOOKUP(A2476,Sheet2!$A$2:$R$3432,2,0)</f>
        <v>2024-10-18 20:05:59</v>
      </c>
      <c r="C2476" s="5" t="s">
        <v>25</v>
      </c>
      <c r="D2476" s="6" t="s">
        <v>25</v>
      </c>
      <c r="E2476" s="7">
        <f>VLOOKUP(A2476,Sheet2!$A$2:$R$3432,4,0)</f>
        <v>9958818925</v>
      </c>
      <c r="F2476" s="7" t="str">
        <f>VLOOKUP(A2476,Sheet2!$A$2:$R$3432,3,0)</f>
        <v>Sujit Tyagi</v>
      </c>
      <c r="G2476" s="5" t="s">
        <v>25</v>
      </c>
      <c r="H2476" s="5" t="s">
        <v>25</v>
      </c>
      <c r="I2476" s="5" t="s">
        <v>25</v>
      </c>
      <c r="J2476" s="5" t="s">
        <v>25</v>
      </c>
      <c r="K2476" s="7" t="str">
        <f>VLOOKUP(A2476,Sheet2!$A$2:$R$3432,6,0)</f>
        <v>Royal Enfield ThunderBird 350</v>
      </c>
      <c r="L2476" s="5" t="s">
        <v>25</v>
      </c>
      <c r="M2476" s="7" t="str">
        <f>VLOOKUP(A2476,Sheet2!$A$2:$R$3432,5,0)</f>
        <v>MH14FZ6905</v>
      </c>
      <c r="N2476" s="5" t="s">
        <v>25</v>
      </c>
      <c r="O2476" s="5" t="s">
        <v>25</v>
      </c>
      <c r="P2476" s="6" t="s">
        <v>25</v>
      </c>
      <c r="Q2476" s="5" t="s">
        <v>25</v>
      </c>
      <c r="R2476" s="5" t="s">
        <v>25</v>
      </c>
      <c r="S2476" s="5" t="str">
        <f>VLOOKUP(A2476,Sheet2!$A$2:$R$3432,18,0)</f>
        <v>U3S5C0GM207590</v>
      </c>
      <c r="T2476" s="7" t="str">
        <f>VLOOKUP(A2476,Sheet2!$A$2:$R$3432,17,0)</f>
        <v>ME3U395C1GM035567</v>
      </c>
    </row>
    <row r="2477" ht="15.75" customHeight="1">
      <c r="A2477" s="3" t="s">
        <v>2500</v>
      </c>
      <c r="B2477" s="4" t="str">
        <f>VLOOKUP(A2477,Sheet2!$A$2:$R$3432,2,0)</f>
        <v>2024-10-18 20:07:02</v>
      </c>
      <c r="C2477" s="5" t="s">
        <v>25</v>
      </c>
      <c r="D2477" s="6" t="s">
        <v>25</v>
      </c>
      <c r="E2477" s="7">
        <f>VLOOKUP(A2477,Sheet2!$A$2:$R$3432,4,0)</f>
        <v>7620920249</v>
      </c>
      <c r="F2477" s="7" t="str">
        <f>VLOOKUP(A2477,Sheet2!$A$2:$R$3432,3,0)</f>
        <v>Pratik Masalkar</v>
      </c>
      <c r="G2477" s="5" t="s">
        <v>25</v>
      </c>
      <c r="H2477" s="5" t="s">
        <v>25</v>
      </c>
      <c r="I2477" s="5" t="s">
        <v>25</v>
      </c>
      <c r="J2477" s="5" t="s">
        <v>25</v>
      </c>
      <c r="K2477" s="7" t="str">
        <f>VLOOKUP(A2477,Sheet2!$A$2:$R$3432,6,0)</f>
        <v>Honda Unicorn </v>
      </c>
      <c r="L2477" s="5" t="s">
        <v>25</v>
      </c>
      <c r="M2477" s="7" t="str">
        <f>VLOOKUP(A2477,Sheet2!$A$2:$R$3432,5,0)</f>
        <v>MH14GK7336</v>
      </c>
      <c r="N2477" s="5" t="s">
        <v>25</v>
      </c>
      <c r="O2477" s="5" t="s">
        <v>25</v>
      </c>
      <c r="P2477" s="6" t="s">
        <v>25</v>
      </c>
      <c r="Q2477" s="5" t="s">
        <v>25</v>
      </c>
      <c r="R2477" s="5" t="s">
        <v>25</v>
      </c>
      <c r="S2477" s="5" t="str">
        <f>VLOOKUP(A2477,Sheet2!$A$2:$R$3432,18,0)</f>
        <v>KC31E80085442</v>
      </c>
      <c r="T2477" s="7" t="str">
        <f>VLOOKUP(A2477,Sheet2!$A$2:$R$3432,17,0)</f>
        <v>ME4KC311HH8085376</v>
      </c>
    </row>
    <row r="2478" ht="15.75" customHeight="1">
      <c r="A2478" s="3" t="s">
        <v>2501</v>
      </c>
      <c r="B2478" s="4" t="str">
        <f>VLOOKUP(A2478,Sheet2!$A$2:$R$3432,2,0)</f>
        <v>2024-10-18 20:55:11</v>
      </c>
      <c r="C2478" s="5" t="s">
        <v>25</v>
      </c>
      <c r="D2478" s="6" t="s">
        <v>25</v>
      </c>
      <c r="E2478" s="7">
        <f>VLOOKUP(A2478,Sheet2!$A$2:$R$3432,4,0)</f>
        <v>8007444915</v>
      </c>
      <c r="F2478" s="7" t="str">
        <f>VLOOKUP(A2478,Sheet2!$A$2:$R$3432,3,0)</f>
        <v>Sanket Patil </v>
      </c>
      <c r="G2478" s="5" t="s">
        <v>25</v>
      </c>
      <c r="H2478" s="5" t="s">
        <v>25</v>
      </c>
      <c r="I2478" s="5" t="s">
        <v>25</v>
      </c>
      <c r="J2478" s="5" t="s">
        <v>25</v>
      </c>
      <c r="K2478" s="7" t="str">
        <f>VLOOKUP(A2478,Sheet2!$A$2:$R$3432,6,0)</f>
        <v>Hero Xpulse 200</v>
      </c>
      <c r="L2478" s="5" t="s">
        <v>25</v>
      </c>
      <c r="M2478" s="7" t="str">
        <f>VLOOKUP(A2478,Sheet2!$A$2:$R$3432,5,0)</f>
        <v>MH12SW2871</v>
      </c>
      <c r="N2478" s="5" t="s">
        <v>25</v>
      </c>
      <c r="O2478" s="5" t="s">
        <v>25</v>
      </c>
      <c r="P2478" s="6" t="s">
        <v>25</v>
      </c>
      <c r="Q2478" s="5" t="s">
        <v>25</v>
      </c>
      <c r="R2478" s="5" t="s">
        <v>25</v>
      </c>
      <c r="S2478" s="5" t="str">
        <f>VLOOKUP(A2478,Sheet2!$A$2:$R$3432,18,0)</f>
        <v>MC20AGLGJ00586</v>
      </c>
      <c r="T2478" s="7" t="str">
        <f>VLOOKUP(A2478,Sheet2!$A$2:$R$3432,17,0)</f>
        <v>MBLLD0LGJ01811</v>
      </c>
    </row>
    <row r="2479" ht="15.75" customHeight="1">
      <c r="A2479" s="3" t="s">
        <v>2502</v>
      </c>
      <c r="B2479" s="4" t="str">
        <f>VLOOKUP(A2479,Sheet2!$A$2:$R$3432,2,0)</f>
        <v>2024-10-18 20:05:29</v>
      </c>
      <c r="C2479" s="5" t="s">
        <v>25</v>
      </c>
      <c r="D2479" s="6" t="s">
        <v>25</v>
      </c>
      <c r="E2479" s="7">
        <f>VLOOKUP(A2479,Sheet2!$A$2:$R$3432,4,0)</f>
        <v>9596513585</v>
      </c>
      <c r="F2479" s="7" t="str">
        <f>VLOOKUP(A2479,Sheet2!$A$2:$R$3432,3,0)</f>
        <v>VIBHOR MAHAJAN</v>
      </c>
      <c r="G2479" s="5" t="s">
        <v>25</v>
      </c>
      <c r="H2479" s="5" t="s">
        <v>25</v>
      </c>
      <c r="I2479" s="5" t="s">
        <v>25</v>
      </c>
      <c r="J2479" s="5" t="s">
        <v>25</v>
      </c>
      <c r="K2479" s="7" t="str">
        <f>VLOOKUP(A2479,Sheet2!$A$2:$R$3432,6,0)</f>
        <v>Bajaj Avenger 220 Cruise</v>
      </c>
      <c r="L2479" s="5" t="s">
        <v>25</v>
      </c>
      <c r="M2479" s="7" t="str">
        <f>VLOOKUP(A2479,Sheet2!$A$2:$R$3432,5,0)</f>
        <v>MH12NH5196</v>
      </c>
      <c r="N2479" s="5" t="s">
        <v>25</v>
      </c>
      <c r="O2479" s="5" t="s">
        <v>25</v>
      </c>
      <c r="P2479" s="6" t="s">
        <v>25</v>
      </c>
      <c r="Q2479" s="5" t="s">
        <v>25</v>
      </c>
      <c r="R2479" s="5" t="s">
        <v>25</v>
      </c>
      <c r="S2479" s="7" t="str">
        <f>VLOOKUP(A2479,Sheet2!$A$2:$R$3432,18,0)</f>
        <v/>
      </c>
      <c r="T2479" s="7" t="str">
        <f>VLOOKUP(A2479,Sheet2!$A$2:$R$3432,17,0)</f>
        <v/>
      </c>
    </row>
    <row r="2480" ht="15.75" customHeight="1">
      <c r="A2480" s="3" t="s">
        <v>2503</v>
      </c>
      <c r="B2480" s="4" t="str">
        <f>VLOOKUP(A2480,Sheet2!$A$2:$R$3432,2,0)</f>
        <v>2024-10-18 20:09:01</v>
      </c>
      <c r="C2480" s="5" t="s">
        <v>25</v>
      </c>
      <c r="D2480" s="6" t="s">
        <v>25</v>
      </c>
      <c r="E2480" s="7">
        <f>VLOOKUP(A2480,Sheet2!$A$2:$R$3432,4,0)</f>
        <v>9427428086</v>
      </c>
      <c r="F2480" s="7" t="str">
        <f>VLOOKUP(A2480,Sheet2!$A$2:$R$3432,3,0)</f>
        <v>JIGNESH</v>
      </c>
      <c r="G2480" s="5" t="s">
        <v>25</v>
      </c>
      <c r="H2480" s="5" t="s">
        <v>25</v>
      </c>
      <c r="I2480" s="5" t="s">
        <v>25</v>
      </c>
      <c r="J2480" s="5" t="s">
        <v>25</v>
      </c>
      <c r="K2480" s="7" t="str">
        <f>VLOOKUP(A2480,Sheet2!$A$2:$R$3432,6,0)</f>
        <v>Yamaha FZ S</v>
      </c>
      <c r="L2480" s="5" t="s">
        <v>25</v>
      </c>
      <c r="M2480" s="7" t="str">
        <f>VLOOKUP(A2480,Sheet2!$A$2:$R$3432,5,0)</f>
        <v>MH14HN1958</v>
      </c>
      <c r="N2480" s="5" t="s">
        <v>25</v>
      </c>
      <c r="O2480" s="5" t="s">
        <v>25</v>
      </c>
      <c r="P2480" s="6" t="s">
        <v>25</v>
      </c>
      <c r="Q2480" s="5" t="s">
        <v>25</v>
      </c>
      <c r="R2480" s="5" t="s">
        <v>25</v>
      </c>
      <c r="S2480" s="5" t="str">
        <f>VLOOKUP(A2480,Sheet2!$A$2:$R$3432,18,0)</f>
        <v>G3LSE0025302</v>
      </c>
      <c r="T2480" s="7" t="str">
        <f>VLOOKUP(A2480,Sheet2!$A$2:$R$3432,17,0)</f>
        <v>ME1RG448AJ0021940</v>
      </c>
    </row>
    <row r="2481" ht="15.75" customHeight="1">
      <c r="A2481" s="3" t="s">
        <v>2504</v>
      </c>
      <c r="B2481" s="4" t="str">
        <f>VLOOKUP(A2481,Sheet2!$A$2:$R$3432,2,0)</f>
        <v>2024-10-18 20:42:56</v>
      </c>
      <c r="C2481" s="5" t="s">
        <v>25</v>
      </c>
      <c r="D2481" s="6" t="s">
        <v>25</v>
      </c>
      <c r="E2481" s="7">
        <f>VLOOKUP(A2481,Sheet2!$A$2:$R$3432,4,0)</f>
        <v>7798529737</v>
      </c>
      <c r="F2481" s="7" t="str">
        <f>VLOOKUP(A2481,Sheet2!$A$2:$R$3432,3,0)</f>
        <v>PRAVEEN MULEY </v>
      </c>
      <c r="G2481" s="5" t="s">
        <v>25</v>
      </c>
      <c r="H2481" s="5" t="s">
        <v>25</v>
      </c>
      <c r="I2481" s="5" t="s">
        <v>25</v>
      </c>
      <c r="J2481" s="5" t="s">
        <v>25</v>
      </c>
      <c r="K2481" s="7" t="str">
        <f>VLOOKUP(A2481,Sheet2!$A$2:$R$3432,6,0)</f>
        <v>Hero Passion Pro</v>
      </c>
      <c r="L2481" s="5" t="s">
        <v>25</v>
      </c>
      <c r="M2481" s="7" t="str">
        <f>VLOOKUP(A2481,Sheet2!$A$2:$R$3432,5,0)</f>
        <v>MH16BP0203</v>
      </c>
      <c r="N2481" s="5" t="s">
        <v>25</v>
      </c>
      <c r="O2481" s="5" t="s">
        <v>25</v>
      </c>
      <c r="P2481" s="6" t="s">
        <v>25</v>
      </c>
      <c r="Q2481" s="5" t="s">
        <v>25</v>
      </c>
      <c r="R2481" s="5" t="s">
        <v>25</v>
      </c>
      <c r="S2481" s="7" t="str">
        <f>VLOOKUP(A2481,Sheet2!$A$2:$R$3432,18,0)</f>
        <v/>
      </c>
      <c r="T2481" s="7" t="str">
        <f>VLOOKUP(A2481,Sheet2!$A$2:$R$3432,17,0)</f>
        <v/>
      </c>
    </row>
    <row r="2482" ht="15.75" customHeight="1">
      <c r="A2482" s="3" t="s">
        <v>2505</v>
      </c>
      <c r="B2482" s="4" t="str">
        <f>VLOOKUP(A2482,Sheet2!$A$2:$R$3432,2,0)</f>
        <v>2024-09-20 20:33:08</v>
      </c>
      <c r="C2482" s="5" t="s">
        <v>25</v>
      </c>
      <c r="D2482" s="6" t="s">
        <v>25</v>
      </c>
      <c r="E2482" s="7">
        <f>VLOOKUP(A2482,Sheet2!$A$2:$R$3432,4,0)</f>
        <v>7030590621</v>
      </c>
      <c r="F2482" s="7" t="str">
        <f>VLOOKUP(A2482,Sheet2!$A$2:$R$3432,3,0)</f>
        <v>VRAJESH PITHADIYA</v>
      </c>
      <c r="G2482" s="5" t="s">
        <v>25</v>
      </c>
      <c r="H2482" s="5" t="s">
        <v>25</v>
      </c>
      <c r="I2482" s="5" t="s">
        <v>25</v>
      </c>
      <c r="J2482" s="5" t="s">
        <v>25</v>
      </c>
      <c r="K2482" s="7" t="str">
        <f>VLOOKUP(A2482,Sheet2!$A$2:$R$3432,6,0)</f>
        <v>Honda Dio New</v>
      </c>
      <c r="L2482" s="5" t="s">
        <v>25</v>
      </c>
      <c r="M2482" s="7" t="str">
        <f>VLOOKUP(A2482,Sheet2!$A$2:$R$3432,5,0)</f>
        <v>MH12RQ9467</v>
      </c>
      <c r="N2482" s="5" t="s">
        <v>25</v>
      </c>
      <c r="O2482" s="5" t="s">
        <v>25</v>
      </c>
      <c r="P2482" s="6" t="s">
        <v>25</v>
      </c>
      <c r="Q2482" s="5" t="s">
        <v>25</v>
      </c>
      <c r="R2482" s="5" t="s">
        <v>25</v>
      </c>
      <c r="S2482" s="7" t="str">
        <f>VLOOKUP(A2482,Sheet2!$A$2:$R$3432,18,0)</f>
        <v/>
      </c>
      <c r="T2482" s="7" t="str">
        <f>VLOOKUP(A2482,Sheet2!$A$2:$R$3432,17,0)</f>
        <v/>
      </c>
    </row>
    <row r="2483" ht="15.75" customHeight="1">
      <c r="A2483" s="3" t="s">
        <v>2506</v>
      </c>
      <c r="B2483" s="4" t="str">
        <f>VLOOKUP(A2483,Sheet2!$A$2:$R$3432,2,0)</f>
        <v>2024-09-20 20:30:58</v>
      </c>
      <c r="C2483" s="5" t="s">
        <v>25</v>
      </c>
      <c r="D2483" s="6" t="s">
        <v>25</v>
      </c>
      <c r="E2483" s="7">
        <f>VLOOKUP(A2483,Sheet2!$A$2:$R$3432,4,0)</f>
        <v>7517583870</v>
      </c>
      <c r="F2483" s="7" t="str">
        <f>VLOOKUP(A2483,Sheet2!$A$2:$R$3432,3,0)</f>
        <v>PRITHVIRAJ DESHMUKH </v>
      </c>
      <c r="G2483" s="5" t="s">
        <v>25</v>
      </c>
      <c r="H2483" s="5" t="s">
        <v>25</v>
      </c>
      <c r="I2483" s="5" t="s">
        <v>25</v>
      </c>
      <c r="J2483" s="5" t="s">
        <v>25</v>
      </c>
      <c r="K2483" s="7" t="str">
        <f>VLOOKUP(A2483,Sheet2!$A$2:$R$3432,6,0)</f>
        <v>Honda Activa 110</v>
      </c>
      <c r="L2483" s="5" t="s">
        <v>25</v>
      </c>
      <c r="M2483" s="7" t="str">
        <f>VLOOKUP(A2483,Sheet2!$A$2:$R$3432,5,0)</f>
        <v>MH21AJ0177</v>
      </c>
      <c r="N2483" s="5" t="s">
        <v>25</v>
      </c>
      <c r="O2483" s="5" t="s">
        <v>25</v>
      </c>
      <c r="P2483" s="6" t="s">
        <v>25</v>
      </c>
      <c r="Q2483" s="5" t="s">
        <v>25</v>
      </c>
      <c r="R2483" s="5" t="s">
        <v>25</v>
      </c>
      <c r="S2483" s="5" t="str">
        <f>VLOOKUP(A2483,Sheet2!$A$2:$R$3432,18,0)</f>
        <v>JF50E80095172</v>
      </c>
      <c r="T2483" s="7" t="str">
        <f>VLOOKUP(A2483,Sheet2!$A$2:$R$3432,17,0)</f>
        <v>RUSTY FRAME </v>
      </c>
    </row>
    <row r="2484" ht="15.75" customHeight="1">
      <c r="A2484" s="3" t="s">
        <v>2507</v>
      </c>
      <c r="B2484" s="4" t="str">
        <f>VLOOKUP(A2484,Sheet2!$A$2:$R$3432,2,0)</f>
        <v>2024-09-20 20:22:01</v>
      </c>
      <c r="C2484" s="5" t="s">
        <v>25</v>
      </c>
      <c r="D2484" s="6" t="s">
        <v>25</v>
      </c>
      <c r="E2484" s="7">
        <f>VLOOKUP(A2484,Sheet2!$A$2:$R$3432,4,0)</f>
        <v>7387074808</v>
      </c>
      <c r="F2484" s="7" t="str">
        <f>VLOOKUP(A2484,Sheet2!$A$2:$R$3432,3,0)</f>
        <v>Hrishikesh Kulkarni</v>
      </c>
      <c r="G2484" s="5" t="s">
        <v>25</v>
      </c>
      <c r="H2484" s="5" t="s">
        <v>25</v>
      </c>
      <c r="I2484" s="5" t="s">
        <v>25</v>
      </c>
      <c r="J2484" s="5" t="s">
        <v>25</v>
      </c>
      <c r="K2484" s="7" t="str">
        <f>VLOOKUP(A2484,Sheet2!$A$2:$R$3432,6,0)</f>
        <v>Honda Activa 3G</v>
      </c>
      <c r="L2484" s="5" t="s">
        <v>25</v>
      </c>
      <c r="M2484" s="7" t="str">
        <f>VLOOKUP(A2484,Sheet2!$A$2:$R$3432,5,0)</f>
        <v>MH14FN2630</v>
      </c>
      <c r="N2484" s="5" t="s">
        <v>25</v>
      </c>
      <c r="O2484" s="5" t="s">
        <v>25</v>
      </c>
      <c r="P2484" s="6" t="s">
        <v>25</v>
      </c>
      <c r="Q2484" s="5" t="s">
        <v>25</v>
      </c>
      <c r="R2484" s="5" t="s">
        <v>25</v>
      </c>
      <c r="S2484" s="7" t="str">
        <f>VLOOKUP(A2484,Sheet2!$A$2:$R$3432,18,0)</f>
        <v/>
      </c>
      <c r="T2484" s="7" t="str">
        <f>VLOOKUP(A2484,Sheet2!$A$2:$R$3432,17,0)</f>
        <v>ME4JF505CGT209054</v>
      </c>
    </row>
    <row r="2485" ht="15.75" customHeight="1">
      <c r="A2485" s="3" t="s">
        <v>2508</v>
      </c>
      <c r="B2485" s="4" t="str">
        <f>VLOOKUP(A2485,Sheet2!$A$2:$R$3432,2,0)</f>
        <v>2024-09-20 20:25:04</v>
      </c>
      <c r="C2485" s="5" t="s">
        <v>25</v>
      </c>
      <c r="D2485" s="6" t="s">
        <v>25</v>
      </c>
      <c r="E2485" s="7">
        <f>VLOOKUP(A2485,Sheet2!$A$2:$R$3432,4,0)</f>
        <v>9890605307</v>
      </c>
      <c r="F2485" s="7" t="str">
        <f>VLOOKUP(A2485,Sheet2!$A$2:$R$3432,3,0)</f>
        <v>Upendra Kolte</v>
      </c>
      <c r="G2485" s="5" t="s">
        <v>25</v>
      </c>
      <c r="H2485" s="5" t="s">
        <v>25</v>
      </c>
      <c r="I2485" s="5" t="s">
        <v>25</v>
      </c>
      <c r="J2485" s="5" t="s">
        <v>25</v>
      </c>
      <c r="K2485" s="7" t="str">
        <f>VLOOKUP(A2485,Sheet2!$A$2:$R$3432,6,0)</f>
        <v>TVS Wego </v>
      </c>
      <c r="L2485" s="5" t="s">
        <v>25</v>
      </c>
      <c r="M2485" s="7" t="str">
        <f>VLOOKUP(A2485,Sheet2!$A$2:$R$3432,5,0)</f>
        <v>MH14CT2224</v>
      </c>
      <c r="N2485" s="5" t="s">
        <v>25</v>
      </c>
      <c r="O2485" s="5" t="s">
        <v>25</v>
      </c>
      <c r="P2485" s="6" t="s">
        <v>25</v>
      </c>
      <c r="Q2485" s="5" t="s">
        <v>25</v>
      </c>
      <c r="R2485" s="5" t="s">
        <v>25</v>
      </c>
      <c r="S2485" s="5" t="str">
        <f>VLOOKUP(A2485,Sheet2!$A$2:$R$3432,18,0)</f>
        <v>OG4BB1112796</v>
      </c>
      <c r="T2485" s="7" t="str">
        <f>VLOOKUP(A2485,Sheet2!$A$2:$R$3432,17,0)</f>
        <v>MD626AG48B1B09269</v>
      </c>
    </row>
    <row r="2486" ht="15.75" customHeight="1">
      <c r="A2486" s="3" t="s">
        <v>2509</v>
      </c>
      <c r="B2486" s="4" t="str">
        <f>VLOOKUP(A2486,Sheet2!$A$2:$R$3432,2,0)</f>
        <v>2024-09-20 20:17:58</v>
      </c>
      <c r="C2486" s="5" t="s">
        <v>25</v>
      </c>
      <c r="D2486" s="6" t="s">
        <v>25</v>
      </c>
      <c r="E2486" s="7">
        <f>VLOOKUP(A2486,Sheet2!$A$2:$R$3432,4,0)</f>
        <v>9145417509</v>
      </c>
      <c r="F2486" s="7" t="str">
        <f>VLOOKUP(A2486,Sheet2!$A$2:$R$3432,3,0)</f>
        <v>SNEHA JOSHI</v>
      </c>
      <c r="G2486" s="5" t="s">
        <v>25</v>
      </c>
      <c r="H2486" s="5" t="s">
        <v>25</v>
      </c>
      <c r="I2486" s="5" t="s">
        <v>25</v>
      </c>
      <c r="J2486" s="5" t="s">
        <v>25</v>
      </c>
      <c r="K2486" s="7" t="str">
        <f>VLOOKUP(A2486,Sheet2!$A$2:$R$3432,6,0)</f>
        <v>Honda Activa 3G</v>
      </c>
      <c r="L2486" s="5" t="s">
        <v>25</v>
      </c>
      <c r="M2486" s="7" t="str">
        <f>VLOOKUP(A2486,Sheet2!$A$2:$R$3432,5,0)</f>
        <v>MH12NM0176</v>
      </c>
      <c r="N2486" s="5" t="s">
        <v>25</v>
      </c>
      <c r="O2486" s="5" t="s">
        <v>25</v>
      </c>
      <c r="P2486" s="6" t="s">
        <v>25</v>
      </c>
      <c r="Q2486" s="5" t="s">
        <v>25</v>
      </c>
      <c r="R2486" s="5" t="s">
        <v>25</v>
      </c>
      <c r="S2486" s="7" t="str">
        <f>VLOOKUP(A2486,Sheet2!$A$2:$R$3432,18,0)</f>
        <v/>
      </c>
      <c r="T2486" s="7" t="str">
        <f>VLOOKUP(A2486,Sheet2!$A$2:$R$3432,17,0)</f>
        <v/>
      </c>
    </row>
    <row r="2487" ht="15.75" customHeight="1">
      <c r="A2487" s="3" t="s">
        <v>2510</v>
      </c>
      <c r="B2487" s="4" t="str">
        <f>VLOOKUP(A2487,Sheet2!$A$2:$R$3432,2,0)</f>
        <v>2024-09-20 20:25:18</v>
      </c>
      <c r="C2487" s="5" t="s">
        <v>25</v>
      </c>
      <c r="D2487" s="6" t="s">
        <v>25</v>
      </c>
      <c r="E2487" s="7">
        <f>VLOOKUP(A2487,Sheet2!$A$2:$R$3432,4,0)</f>
        <v>8484869000</v>
      </c>
      <c r="F2487" s="7" t="str">
        <f>VLOOKUP(A2487,Sheet2!$A$2:$R$3432,3,0)</f>
        <v>Prashant</v>
      </c>
      <c r="G2487" s="5" t="s">
        <v>25</v>
      </c>
      <c r="H2487" s="5" t="s">
        <v>25</v>
      </c>
      <c r="I2487" s="5" t="s">
        <v>25</v>
      </c>
      <c r="J2487" s="5" t="s">
        <v>25</v>
      </c>
      <c r="K2487" s="7" t="str">
        <f>VLOOKUP(A2487,Sheet2!$A$2:$R$3432,6,0)</f>
        <v>Honda Activa 4G</v>
      </c>
      <c r="L2487" s="5" t="s">
        <v>25</v>
      </c>
      <c r="M2487" s="7" t="str">
        <f>VLOOKUP(A2487,Sheet2!$A$2:$R$3432,5,0)</f>
        <v>MH12GH0464</v>
      </c>
      <c r="N2487" s="5" t="s">
        <v>25</v>
      </c>
      <c r="O2487" s="5" t="s">
        <v>25</v>
      </c>
      <c r="P2487" s="6" t="s">
        <v>25</v>
      </c>
      <c r="Q2487" s="5" t="s">
        <v>25</v>
      </c>
      <c r="R2487" s="5" t="s">
        <v>25</v>
      </c>
      <c r="S2487" s="7" t="str">
        <f>VLOOKUP(A2487,Sheet2!$A$2:$R$3432,18,0)</f>
        <v/>
      </c>
      <c r="T2487" s="7" t="str">
        <f>VLOOKUP(A2487,Sheet2!$A$2:$R$3432,17,0)</f>
        <v/>
      </c>
    </row>
    <row r="2488" ht="15.75" customHeight="1">
      <c r="A2488" s="3" t="s">
        <v>2511</v>
      </c>
      <c r="B2488" s="4" t="str">
        <f>VLOOKUP(A2488,Sheet2!$A$2:$R$3432,2,0)</f>
        <v>2024-08-29 21:02:02</v>
      </c>
      <c r="C2488" s="5" t="s">
        <v>25</v>
      </c>
      <c r="D2488" s="6" t="s">
        <v>25</v>
      </c>
      <c r="E2488" s="7">
        <f>VLOOKUP(A2488,Sheet2!$A$2:$R$3432,4,0)</f>
        <v>7843067860</v>
      </c>
      <c r="F2488" s="7" t="str">
        <f>VLOOKUP(A2488,Sheet2!$A$2:$R$3432,3,0)</f>
        <v>BHAVISKAR </v>
      </c>
      <c r="G2488" s="5" t="s">
        <v>25</v>
      </c>
      <c r="H2488" s="5" t="s">
        <v>25</v>
      </c>
      <c r="I2488" s="5" t="s">
        <v>25</v>
      </c>
      <c r="J2488" s="5" t="s">
        <v>25</v>
      </c>
      <c r="K2488" s="7" t="str">
        <f>VLOOKUP(A2488,Sheet2!$A$2:$R$3432,6,0)</f>
        <v>Hero Deluxe HF</v>
      </c>
      <c r="L2488" s="5" t="s">
        <v>25</v>
      </c>
      <c r="M2488" s="7" t="str">
        <f>VLOOKUP(A2488,Sheet2!$A$2:$R$3432,5,0)</f>
        <v>MH14FV6511</v>
      </c>
      <c r="N2488" s="5" t="s">
        <v>25</v>
      </c>
      <c r="O2488" s="5" t="s">
        <v>25</v>
      </c>
      <c r="P2488" s="6" t="s">
        <v>25</v>
      </c>
      <c r="Q2488" s="5" t="s">
        <v>25</v>
      </c>
      <c r="R2488" s="5" t="s">
        <v>25</v>
      </c>
      <c r="S2488" s="5" t="str">
        <f>VLOOKUP(A2488,Sheet2!$A$2:$R$3432,18,0)</f>
        <v>HA11EJGGH07248</v>
      </c>
      <c r="T2488" s="7" t="str">
        <f>VLOOKUP(A2488,Sheet2!$A$2:$R$3432,17,0)</f>
        <v>MBLHA11ATGGJ04169</v>
      </c>
    </row>
    <row r="2489" ht="15.75" customHeight="1">
      <c r="A2489" s="3" t="s">
        <v>2512</v>
      </c>
      <c r="B2489" s="4" t="str">
        <f>VLOOKUP(A2489,Sheet2!$A$2:$R$3432,2,0)</f>
        <v>2024-08-29 20:59:21</v>
      </c>
      <c r="C2489" s="5" t="s">
        <v>25</v>
      </c>
      <c r="D2489" s="6" t="s">
        <v>25</v>
      </c>
      <c r="E2489" s="7">
        <f>VLOOKUP(A2489,Sheet2!$A$2:$R$3432,4,0)</f>
        <v>9359006522</v>
      </c>
      <c r="F2489" s="7" t="str">
        <f>VLOOKUP(A2489,Sheet2!$A$2:$R$3432,3,0)</f>
        <v> Pranav Jagtap </v>
      </c>
      <c r="G2489" s="5" t="s">
        <v>25</v>
      </c>
      <c r="H2489" s="5" t="s">
        <v>25</v>
      </c>
      <c r="I2489" s="5" t="s">
        <v>25</v>
      </c>
      <c r="J2489" s="5" t="s">
        <v>25</v>
      </c>
      <c r="K2489" s="7" t="str">
        <f>VLOOKUP(A2489,Sheet2!$A$2:$R$3432,6,0)</f>
        <v>Hero Splendor Plus</v>
      </c>
      <c r="L2489" s="5" t="s">
        <v>25</v>
      </c>
      <c r="M2489" s="7" t="str">
        <f>VLOOKUP(A2489,Sheet2!$A$2:$R$3432,5,0)</f>
        <v>MH12AM6026</v>
      </c>
      <c r="N2489" s="5" t="s">
        <v>25</v>
      </c>
      <c r="O2489" s="5" t="s">
        <v>25</v>
      </c>
      <c r="P2489" s="6" t="s">
        <v>25</v>
      </c>
      <c r="Q2489" s="5" t="s">
        <v>25</v>
      </c>
      <c r="R2489" s="5" t="s">
        <v>25</v>
      </c>
      <c r="S2489" s="5" t="str">
        <f>VLOOKUP(A2489,Sheet2!$A$2:$R$3432,18,0)</f>
        <v>OOF18E06758</v>
      </c>
      <c r="T2489" s="7" t="str">
        <f>VLOOKUP(A2489,Sheet2!$A$2:$R$3432,17,0)</f>
        <v>00F20F04268</v>
      </c>
    </row>
    <row r="2490" ht="15.75" customHeight="1">
      <c r="A2490" s="3" t="s">
        <v>2513</v>
      </c>
      <c r="B2490" s="4" t="str">
        <f>VLOOKUP(A2490,Sheet2!$A$2:$R$3432,2,0)</f>
        <v>2024-08-29 21:01:25</v>
      </c>
      <c r="C2490" s="5" t="s">
        <v>25</v>
      </c>
      <c r="D2490" s="6" t="s">
        <v>25</v>
      </c>
      <c r="E2490" s="7">
        <f>VLOOKUP(A2490,Sheet2!$A$2:$R$3432,4,0)</f>
        <v>8668460218</v>
      </c>
      <c r="F2490" s="7" t="str">
        <f>VLOOKUP(A2490,Sheet2!$A$2:$R$3432,3,0)</f>
        <v>SACHIN </v>
      </c>
      <c r="G2490" s="5" t="s">
        <v>25</v>
      </c>
      <c r="H2490" s="5" t="s">
        <v>25</v>
      </c>
      <c r="I2490" s="5" t="s">
        <v>25</v>
      </c>
      <c r="J2490" s="5" t="s">
        <v>25</v>
      </c>
      <c r="K2490" s="7" t="str">
        <f>VLOOKUP(A2490,Sheet2!$A$2:$R$3432,6,0)</f>
        <v>Honda Activa 3G</v>
      </c>
      <c r="L2490" s="5" t="s">
        <v>25</v>
      </c>
      <c r="M2490" s="7" t="str">
        <f>VLOOKUP(A2490,Sheet2!$A$2:$R$3432,5,0)</f>
        <v>MH14ES2332</v>
      </c>
      <c r="N2490" s="5" t="s">
        <v>25</v>
      </c>
      <c r="O2490" s="5" t="s">
        <v>25</v>
      </c>
      <c r="P2490" s="6" t="s">
        <v>25</v>
      </c>
      <c r="Q2490" s="5" t="s">
        <v>25</v>
      </c>
      <c r="R2490" s="5" t="s">
        <v>25</v>
      </c>
      <c r="S2490" s="7" t="str">
        <f>VLOOKUP(A2490,Sheet2!$A$2:$R$3432,18,0)</f>
        <v/>
      </c>
      <c r="T2490" s="7" t="str">
        <f>VLOOKUP(A2490,Sheet2!$A$2:$R$3432,17,0)</f>
        <v/>
      </c>
    </row>
    <row r="2491" ht="15.75" customHeight="1">
      <c r="A2491" s="3" t="s">
        <v>2514</v>
      </c>
      <c r="B2491" s="4" t="str">
        <f>VLOOKUP(A2491,Sheet2!$A$2:$R$3432,2,0)</f>
        <v>2024-08-29 21:00:33</v>
      </c>
      <c r="C2491" s="5" t="s">
        <v>25</v>
      </c>
      <c r="D2491" s="6" t="s">
        <v>25</v>
      </c>
      <c r="E2491" s="7">
        <f>VLOOKUP(A2491,Sheet2!$A$2:$R$3432,4,0)</f>
        <v>8888406992</v>
      </c>
      <c r="F2491" s="7" t="str">
        <f>VLOOKUP(A2491,Sheet2!$A$2:$R$3432,3,0)</f>
        <v>KAMBLE</v>
      </c>
      <c r="G2491" s="5" t="s">
        <v>25</v>
      </c>
      <c r="H2491" s="5" t="s">
        <v>25</v>
      </c>
      <c r="I2491" s="5" t="s">
        <v>25</v>
      </c>
      <c r="J2491" s="5" t="s">
        <v>25</v>
      </c>
      <c r="K2491" s="7" t="str">
        <f>VLOOKUP(A2491,Sheet2!$A$2:$R$3432,6,0)</f>
        <v>Bajaj Discover 125M</v>
      </c>
      <c r="L2491" s="5" t="s">
        <v>25</v>
      </c>
      <c r="M2491" s="7" t="str">
        <f>VLOOKUP(A2491,Sheet2!$A$2:$R$3432,5,0)</f>
        <v>MH13LF1844</v>
      </c>
      <c r="N2491" s="5" t="s">
        <v>25</v>
      </c>
      <c r="O2491" s="5" t="s">
        <v>25</v>
      </c>
      <c r="P2491" s="6" t="s">
        <v>25</v>
      </c>
      <c r="Q2491" s="5" t="s">
        <v>25</v>
      </c>
      <c r="R2491" s="5" t="s">
        <v>25</v>
      </c>
      <c r="S2491" s="7" t="str">
        <f>VLOOKUP(A2491,Sheet2!$A$2:$R$3432,18,0)</f>
        <v/>
      </c>
      <c r="T2491" s="7" t="str">
        <f>VLOOKUP(A2491,Sheet2!$A$2:$R$3432,17,0)</f>
        <v/>
      </c>
    </row>
    <row r="2492" ht="15.75" customHeight="1">
      <c r="A2492" s="3" t="s">
        <v>2515</v>
      </c>
      <c r="B2492" s="4" t="str">
        <f>VLOOKUP(A2492,Sheet2!$A$2:$R$3432,2,0)</f>
        <v>2025-03-05 17:48:05</v>
      </c>
      <c r="C2492" s="5" t="s">
        <v>25</v>
      </c>
      <c r="D2492" s="6" t="s">
        <v>25</v>
      </c>
      <c r="E2492" s="7">
        <f>VLOOKUP(A2492,Sheet2!$A$2:$R$3432,4,0)</f>
        <v>9352808907</v>
      </c>
      <c r="F2492" s="7" t="str">
        <f>VLOOKUP(A2492,Sheet2!$A$2:$R$3432,3,0)</f>
        <v>Prakash </v>
      </c>
      <c r="G2492" s="5" t="s">
        <v>25</v>
      </c>
      <c r="H2492" s="5" t="s">
        <v>25</v>
      </c>
      <c r="I2492" s="5" t="s">
        <v>25</v>
      </c>
      <c r="J2492" s="5" t="s">
        <v>25</v>
      </c>
      <c r="K2492" s="7" t="str">
        <f>VLOOKUP(A2492,Sheet2!$A$2:$R$3432,6,0)</f>
        <v>Honda Unicorn </v>
      </c>
      <c r="L2492" s="5" t="s">
        <v>25</v>
      </c>
      <c r="M2492" s="7" t="str">
        <f>VLOOKUP(A2492,Sheet2!$A$2:$R$3432,5,0)</f>
        <v>MH12PP1297</v>
      </c>
      <c r="N2492" s="5" t="s">
        <v>25</v>
      </c>
      <c r="O2492" s="5" t="s">
        <v>25</v>
      </c>
      <c r="P2492" s="6" t="s">
        <v>25</v>
      </c>
      <c r="Q2492" s="5" t="s">
        <v>25</v>
      </c>
      <c r="R2492" s="5" t="s">
        <v>25</v>
      </c>
      <c r="S2492" s="5" t="str">
        <f>VLOOKUP(A2492,Sheet2!$A$2:$R$3432,18,0)</f>
        <v>KC31E80060948</v>
      </c>
      <c r="T2492" s="7" t="str">
        <f>VLOOKUP(A2492,Sheet2!$A$2:$R$3432,17,0)</f>
        <v>ME4KC311FH8060861</v>
      </c>
    </row>
    <row r="2493" ht="15.75" customHeight="1">
      <c r="A2493" s="3" t="s">
        <v>2516</v>
      </c>
      <c r="B2493" s="4" t="str">
        <f>VLOOKUP(A2493,Sheet2!$A$2:$R$3432,2,0)</f>
        <v>2025-03-05 17:48:52</v>
      </c>
      <c r="C2493" s="5" t="s">
        <v>25</v>
      </c>
      <c r="D2493" s="6" t="s">
        <v>25</v>
      </c>
      <c r="E2493" s="7">
        <f>VLOOKUP(A2493,Sheet2!$A$2:$R$3432,4,0)</f>
        <v>9309512781</v>
      </c>
      <c r="F2493" s="7" t="str">
        <f>VLOOKUP(A2493,Sheet2!$A$2:$R$3432,3,0)</f>
        <v>AMOL INGLE</v>
      </c>
      <c r="G2493" s="5" t="s">
        <v>25</v>
      </c>
      <c r="H2493" s="5" t="s">
        <v>25</v>
      </c>
      <c r="I2493" s="5" t="s">
        <v>25</v>
      </c>
      <c r="J2493" s="5" t="s">
        <v>25</v>
      </c>
      <c r="K2493" s="7" t="str">
        <f>VLOOKUP(A2493,Sheet2!$A$2:$R$3432,6,0)</f>
        <v>Honda Shine CB</v>
      </c>
      <c r="L2493" s="5" t="s">
        <v>25</v>
      </c>
      <c r="M2493" s="7" t="str">
        <f>VLOOKUP(A2493,Sheet2!$A$2:$R$3432,5,0)</f>
        <v>MH12PK8895</v>
      </c>
      <c r="N2493" s="5" t="s">
        <v>25</v>
      </c>
      <c r="O2493" s="5" t="s">
        <v>25</v>
      </c>
      <c r="P2493" s="6" t="s">
        <v>25</v>
      </c>
      <c r="Q2493" s="5" t="s">
        <v>25</v>
      </c>
      <c r="R2493" s="5" t="s">
        <v>25</v>
      </c>
      <c r="S2493" s="5" t="str">
        <f>VLOOKUP(A2493,Sheet2!$A$2:$R$3432,18,0)</f>
        <v>JC65ET1078566</v>
      </c>
      <c r="T2493" s="7" t="str">
        <f>VLOOKUP(A2493,Sheet2!$A$2:$R$3432,17,0)</f>
        <v>ME4JC654FHT04286</v>
      </c>
    </row>
    <row r="2494" ht="15.75" customHeight="1">
      <c r="A2494" s="3" t="s">
        <v>2517</v>
      </c>
      <c r="B2494" s="4" t="str">
        <f>VLOOKUP(A2494,Sheet2!$A$2:$R$3432,2,0)</f>
        <v>2025-03-05 20:07:15</v>
      </c>
      <c r="C2494" s="5" t="s">
        <v>25</v>
      </c>
      <c r="D2494" s="6" t="s">
        <v>25</v>
      </c>
      <c r="E2494" s="7">
        <f>VLOOKUP(A2494,Sheet2!$A$2:$R$3432,4,0)</f>
        <v>9864696387</v>
      </c>
      <c r="F2494" s="7" t="str">
        <f>VLOOKUP(A2494,Sheet2!$A$2:$R$3432,3,0)</f>
        <v>Sangram Sathe</v>
      </c>
      <c r="G2494" s="5" t="s">
        <v>25</v>
      </c>
      <c r="H2494" s="5" t="s">
        <v>25</v>
      </c>
      <c r="I2494" s="5" t="s">
        <v>25</v>
      </c>
      <c r="J2494" s="5" t="s">
        <v>25</v>
      </c>
      <c r="K2494" s="7" t="str">
        <f>VLOOKUP(A2494,Sheet2!$A$2:$R$3432,6,0)</f>
        <v>TVS Jupiter </v>
      </c>
      <c r="L2494" s="5" t="s">
        <v>25</v>
      </c>
      <c r="M2494" s="7" t="str">
        <f>VLOOKUP(A2494,Sheet2!$A$2:$R$3432,5,0)</f>
        <v>MH14HT0800</v>
      </c>
      <c r="N2494" s="5" t="s">
        <v>25</v>
      </c>
      <c r="O2494" s="5" t="s">
        <v>25</v>
      </c>
      <c r="P2494" s="6" t="s">
        <v>25</v>
      </c>
      <c r="Q2494" s="5" t="s">
        <v>25</v>
      </c>
      <c r="R2494" s="5" t="s">
        <v>25</v>
      </c>
      <c r="S2494" s="7" t="str">
        <f>VLOOKUP(A2494,Sheet2!$A$2:$R$3432,18,0)</f>
        <v/>
      </c>
      <c r="T2494" s="7" t="str">
        <f>VLOOKUP(A2494,Sheet2!$A$2:$R$3432,17,0)</f>
        <v>MD626EG4XK1H37339</v>
      </c>
    </row>
    <row r="2495" ht="15.75" customHeight="1">
      <c r="A2495" s="3" t="s">
        <v>2518</v>
      </c>
      <c r="B2495" s="4" t="str">
        <f>VLOOKUP(A2495,Sheet2!$A$2:$R$3432,2,0)</f>
        <v>2025-03-05 20:14:20</v>
      </c>
      <c r="C2495" s="5" t="s">
        <v>25</v>
      </c>
      <c r="D2495" s="6" t="s">
        <v>25</v>
      </c>
      <c r="E2495" s="7">
        <f>VLOOKUP(A2495,Sheet2!$A$2:$R$3432,4,0)</f>
        <v>9923165661</v>
      </c>
      <c r="F2495" s="7" t="str">
        <f>VLOOKUP(A2495,Sheet2!$A$2:$R$3432,3,0)</f>
        <v>Kapil Lahar</v>
      </c>
      <c r="G2495" s="5" t="s">
        <v>25</v>
      </c>
      <c r="H2495" s="5" t="s">
        <v>25</v>
      </c>
      <c r="I2495" s="5" t="s">
        <v>25</v>
      </c>
      <c r="J2495" s="5" t="s">
        <v>25</v>
      </c>
      <c r="K2495" s="7" t="str">
        <f>VLOOKUP(A2495,Sheet2!$A$2:$R$3432,6,0)</f>
        <v>Yamaha FZ </v>
      </c>
      <c r="L2495" s="5" t="s">
        <v>25</v>
      </c>
      <c r="M2495" s="7" t="str">
        <f>VLOOKUP(A2495,Sheet2!$A$2:$R$3432,5,0)</f>
        <v>MH48Y1209</v>
      </c>
      <c r="N2495" s="5" t="s">
        <v>25</v>
      </c>
      <c r="O2495" s="5" t="s">
        <v>25</v>
      </c>
      <c r="P2495" s="6" t="s">
        <v>25</v>
      </c>
      <c r="Q2495" s="5" t="s">
        <v>25</v>
      </c>
      <c r="R2495" s="5" t="s">
        <v>25</v>
      </c>
      <c r="S2495" s="5" t="str">
        <f>VLOOKUP(A2495,Sheet2!$A$2:$R$3432,18,0)</f>
        <v>21GF021251</v>
      </c>
      <c r="T2495" s="7" t="str">
        <f>VLOOKUP(A2495,Sheet2!$A$2:$R$3432,17,0)</f>
        <v/>
      </c>
    </row>
    <row r="2496" ht="15.75" customHeight="1">
      <c r="A2496" s="3" t="s">
        <v>2519</v>
      </c>
      <c r="B2496" s="4" t="str">
        <f>VLOOKUP(A2496,Sheet2!$A$2:$R$3432,2,0)</f>
        <v>2025-03-05 20:10:16</v>
      </c>
      <c r="C2496" s="5" t="s">
        <v>25</v>
      </c>
      <c r="D2496" s="6" t="s">
        <v>25</v>
      </c>
      <c r="E2496" s="7">
        <f>VLOOKUP(A2496,Sheet2!$A$2:$R$3432,4,0)</f>
        <v>8411813457</v>
      </c>
      <c r="F2496" s="7" t="str">
        <f>VLOOKUP(A2496,Sheet2!$A$2:$R$3432,3,0)</f>
        <v>Deepak </v>
      </c>
      <c r="G2496" s="5" t="s">
        <v>25</v>
      </c>
      <c r="H2496" s="5" t="s">
        <v>25</v>
      </c>
      <c r="I2496" s="5" t="s">
        <v>25</v>
      </c>
      <c r="J2496" s="5" t="s">
        <v>25</v>
      </c>
      <c r="K2496" s="7" t="str">
        <f>VLOOKUP(A2496,Sheet2!$A$2:$R$3432,6,0)</f>
        <v>Bajaj Avenger 220 Cruise</v>
      </c>
      <c r="L2496" s="5" t="s">
        <v>25</v>
      </c>
      <c r="M2496" s="7" t="str">
        <f>VLOOKUP(A2496,Sheet2!$A$2:$R$3432,5,0)</f>
        <v>MH12RH2987</v>
      </c>
      <c r="N2496" s="5" t="s">
        <v>25</v>
      </c>
      <c r="O2496" s="5" t="s">
        <v>25</v>
      </c>
      <c r="P2496" s="6" t="s">
        <v>25</v>
      </c>
      <c r="Q2496" s="5" t="s">
        <v>25</v>
      </c>
      <c r="R2496" s="5" t="s">
        <v>25</v>
      </c>
      <c r="S2496" s="7" t="str">
        <f>VLOOKUP(A2496,Sheet2!$A$2:$R$3432,18,0)</f>
        <v/>
      </c>
      <c r="T2496" s="7" t="str">
        <f>VLOOKUP(A2496,Sheet2!$A$2:$R$3432,17,0)</f>
        <v/>
      </c>
    </row>
    <row r="2497" ht="15.75" customHeight="1">
      <c r="A2497" s="3" t="s">
        <v>2520</v>
      </c>
      <c r="B2497" s="4" t="str">
        <f>VLOOKUP(A2497,Sheet2!$A$2:$R$3432,2,0)</f>
        <v>2025-03-05 20:15:02</v>
      </c>
      <c r="C2497" s="5" t="s">
        <v>25</v>
      </c>
      <c r="D2497" s="6" t="s">
        <v>25</v>
      </c>
      <c r="E2497" s="7">
        <f>VLOOKUP(A2497,Sheet2!$A$2:$R$3432,4,0)</f>
        <v>7058552746</v>
      </c>
      <c r="F2497" s="7" t="str">
        <f>VLOOKUP(A2497,Sheet2!$A$2:$R$3432,3,0)</f>
        <v>Mansi</v>
      </c>
      <c r="G2497" s="5" t="s">
        <v>25</v>
      </c>
      <c r="H2497" s="5" t="s">
        <v>25</v>
      </c>
      <c r="I2497" s="5" t="s">
        <v>25</v>
      </c>
      <c r="J2497" s="5" t="s">
        <v>25</v>
      </c>
      <c r="K2497" s="7" t="str">
        <f>VLOOKUP(A2497,Sheet2!$A$2:$R$3432,6,0)</f>
        <v>Honda Activa 3G</v>
      </c>
      <c r="L2497" s="5" t="s">
        <v>25</v>
      </c>
      <c r="M2497" s="7" t="str">
        <f>VLOOKUP(A2497,Sheet2!$A$2:$R$3432,5,0)</f>
        <v>MH34AW0805</v>
      </c>
      <c r="N2497" s="5" t="s">
        <v>25</v>
      </c>
      <c r="O2497" s="5" t="s">
        <v>25</v>
      </c>
      <c r="P2497" s="6" t="s">
        <v>25</v>
      </c>
      <c r="Q2497" s="5" t="s">
        <v>25</v>
      </c>
      <c r="R2497" s="5" t="s">
        <v>25</v>
      </c>
      <c r="S2497" s="5" t="str">
        <f>VLOOKUP(A2497,Sheet2!$A$2:$R$3432,18,0)</f>
        <v>JF50E-T-2453033</v>
      </c>
      <c r="T2497" s="7" t="str">
        <f>VLOOKUP(A2497,Sheet2!$A$2:$R$3432,17,0)</f>
        <v>ME4JF504FFT451976</v>
      </c>
    </row>
    <row r="2498" ht="15.75" customHeight="1">
      <c r="A2498" s="3" t="s">
        <v>2521</v>
      </c>
      <c r="B2498" s="4" t="str">
        <f>VLOOKUP(A2498,Sheet2!$A$2:$R$3432,2,0)</f>
        <v>2025-03-05 20:15:18</v>
      </c>
      <c r="C2498" s="5" t="s">
        <v>25</v>
      </c>
      <c r="D2498" s="6" t="s">
        <v>25</v>
      </c>
      <c r="E2498" s="7">
        <f>VLOOKUP(A2498,Sheet2!$A$2:$R$3432,4,0)</f>
        <v>9049836820</v>
      </c>
      <c r="F2498" s="7" t="str">
        <f>VLOOKUP(A2498,Sheet2!$A$2:$R$3432,3,0)</f>
        <v>Rishi</v>
      </c>
      <c r="G2498" s="5" t="s">
        <v>25</v>
      </c>
      <c r="H2498" s="5" t="s">
        <v>25</v>
      </c>
      <c r="I2498" s="5" t="s">
        <v>25</v>
      </c>
      <c r="J2498" s="5" t="s">
        <v>25</v>
      </c>
      <c r="K2498" s="7" t="str">
        <f>VLOOKUP(A2498,Sheet2!$A$2:$R$3432,6,0)</f>
        <v>Suzuki Access 125</v>
      </c>
      <c r="L2498" s="5" t="s">
        <v>25</v>
      </c>
      <c r="M2498" s="7" t="str">
        <f>VLOOKUP(A2498,Sheet2!$A$2:$R$3432,5,0)</f>
        <v>MH14JT6624</v>
      </c>
      <c r="N2498" s="5" t="s">
        <v>25</v>
      </c>
      <c r="O2498" s="5" t="s">
        <v>25</v>
      </c>
      <c r="P2498" s="6" t="s">
        <v>25</v>
      </c>
      <c r="Q2498" s="5" t="s">
        <v>25</v>
      </c>
      <c r="R2498" s="5" t="s">
        <v>25</v>
      </c>
      <c r="S2498" s="5" t="str">
        <f>VLOOKUP(A2498,Sheet2!$A$2:$R$3432,18,0)</f>
        <v>AE21684743</v>
      </c>
      <c r="T2498" s="7" t="str">
        <f>VLOOKUP(A2498,Sheet2!$A$2:$R$3432,17,0)</f>
        <v>MB8DP1ZDKM8892889</v>
      </c>
    </row>
    <row r="2499" ht="15.75" customHeight="1">
      <c r="A2499" s="3" t="s">
        <v>2522</v>
      </c>
      <c r="B2499" s="4" t="str">
        <f>VLOOKUP(A2499,Sheet2!$A$2:$R$3432,2,0)</f>
        <v>2025-03-05 20:22:21</v>
      </c>
      <c r="C2499" s="5" t="s">
        <v>25</v>
      </c>
      <c r="D2499" s="6" t="s">
        <v>25</v>
      </c>
      <c r="E2499" s="7">
        <f>VLOOKUP(A2499,Sheet2!$A$2:$R$3432,4,0)</f>
        <v>9730447602</v>
      </c>
      <c r="F2499" s="7" t="str">
        <f>VLOOKUP(A2499,Sheet2!$A$2:$R$3432,3,0)</f>
        <v>Sanjeev</v>
      </c>
      <c r="G2499" s="5" t="s">
        <v>25</v>
      </c>
      <c r="H2499" s="5" t="s">
        <v>25</v>
      </c>
      <c r="I2499" s="5" t="s">
        <v>25</v>
      </c>
      <c r="J2499" s="5" t="s">
        <v>25</v>
      </c>
      <c r="K2499" s="7" t="str">
        <f>VLOOKUP(A2499,Sheet2!$A$2:$R$3432,6,0)</f>
        <v>Hero Maestro Dash/Edge</v>
      </c>
      <c r="L2499" s="5" t="s">
        <v>25</v>
      </c>
      <c r="M2499" s="7" t="str">
        <f>VLOOKUP(A2499,Sheet2!$A$2:$R$3432,5,0)</f>
        <v>MH14GT4083</v>
      </c>
      <c r="N2499" s="5" t="s">
        <v>25</v>
      </c>
      <c r="O2499" s="5" t="s">
        <v>25</v>
      </c>
      <c r="P2499" s="6" t="s">
        <v>25</v>
      </c>
      <c r="Q2499" s="5" t="s">
        <v>25</v>
      </c>
      <c r="R2499" s="5" t="s">
        <v>25</v>
      </c>
      <c r="S2499" s="7" t="str">
        <f>VLOOKUP(A2499,Sheet2!$A$2:$R$3432,18,0)</f>
        <v/>
      </c>
      <c r="T2499" s="7" t="str">
        <f>VLOOKUP(A2499,Sheet2!$A$2:$R$3432,17,0)</f>
        <v>MBLJFW011H4M13421</v>
      </c>
    </row>
    <row r="2500" ht="15.75" customHeight="1">
      <c r="A2500" s="3" t="s">
        <v>2523</v>
      </c>
      <c r="B2500" s="4" t="str">
        <f>VLOOKUP(A2500,Sheet2!$A$2:$R$3432,2,0)</f>
        <v>2025-03-05 20:24:02</v>
      </c>
      <c r="C2500" s="5" t="s">
        <v>25</v>
      </c>
      <c r="D2500" s="6" t="s">
        <v>25</v>
      </c>
      <c r="E2500" s="7">
        <f>VLOOKUP(A2500,Sheet2!$A$2:$R$3432,4,0)</f>
        <v>9096368881</v>
      </c>
      <c r="F2500" s="7" t="str">
        <f>VLOOKUP(A2500,Sheet2!$A$2:$R$3432,3,0)</f>
        <v>Anup</v>
      </c>
      <c r="G2500" s="5" t="s">
        <v>25</v>
      </c>
      <c r="H2500" s="5" t="s">
        <v>25</v>
      </c>
      <c r="I2500" s="5" t="s">
        <v>25</v>
      </c>
      <c r="J2500" s="5" t="s">
        <v>25</v>
      </c>
      <c r="K2500" s="7" t="str">
        <f>VLOOKUP(A2500,Sheet2!$A$2:$R$3432,6,0)</f>
        <v>Honda Activa 3G</v>
      </c>
      <c r="L2500" s="5" t="s">
        <v>25</v>
      </c>
      <c r="M2500" s="7" t="str">
        <f>VLOOKUP(A2500,Sheet2!$A$2:$R$3432,5,0)</f>
        <v>MH12MZ7971</v>
      </c>
      <c r="N2500" s="5" t="s">
        <v>25</v>
      </c>
      <c r="O2500" s="5" t="s">
        <v>25</v>
      </c>
      <c r="P2500" s="6" t="s">
        <v>25</v>
      </c>
      <c r="Q2500" s="5" t="s">
        <v>25</v>
      </c>
      <c r="R2500" s="5" t="s">
        <v>25</v>
      </c>
      <c r="S2500" s="5" t="str">
        <f>VLOOKUP(A2500,Sheet2!$A$2:$R$3432,18,0)</f>
        <v>JF50E43070849</v>
      </c>
      <c r="T2500" s="7" t="str">
        <f>VLOOKUP(A2500,Sheet2!$A$2:$R$3432,17,0)</f>
        <v>ME4JF505DG4077838</v>
      </c>
    </row>
    <row r="2501" ht="15.75" customHeight="1">
      <c r="A2501" s="3" t="s">
        <v>2524</v>
      </c>
      <c r="B2501" s="4" t="str">
        <f>VLOOKUP(A2501,Sheet2!$A$2:$R$3432,2,0)</f>
        <v>2025-03-05 20:25:02</v>
      </c>
      <c r="C2501" s="5" t="s">
        <v>25</v>
      </c>
      <c r="D2501" s="6" t="s">
        <v>25</v>
      </c>
      <c r="E2501" s="7">
        <f>VLOOKUP(A2501,Sheet2!$A$2:$R$3432,4,0)</f>
        <v>9028893978</v>
      </c>
      <c r="F2501" s="7" t="str">
        <f>VLOOKUP(A2501,Sheet2!$A$2:$R$3432,3,0)</f>
        <v>Akshay Badgujar </v>
      </c>
      <c r="G2501" s="5" t="s">
        <v>25</v>
      </c>
      <c r="H2501" s="5" t="s">
        <v>25</v>
      </c>
      <c r="I2501" s="5" t="s">
        <v>25</v>
      </c>
      <c r="J2501" s="5" t="s">
        <v>25</v>
      </c>
      <c r="K2501" s="7" t="str">
        <f>VLOOKUP(A2501,Sheet2!$A$2:$R$3432,6,0)</f>
        <v>Honda Shine </v>
      </c>
      <c r="L2501" s="5" t="s">
        <v>25</v>
      </c>
      <c r="M2501" s="7" t="str">
        <f>VLOOKUP(A2501,Sheet2!$A$2:$R$3432,5,0)</f>
        <v>MH15EQ1351</v>
      </c>
      <c r="N2501" s="5" t="s">
        <v>25</v>
      </c>
      <c r="O2501" s="5" t="s">
        <v>25</v>
      </c>
      <c r="P2501" s="6" t="s">
        <v>25</v>
      </c>
      <c r="Q2501" s="5" t="s">
        <v>25</v>
      </c>
      <c r="R2501" s="5" t="s">
        <v>25</v>
      </c>
      <c r="S2501" s="7" t="str">
        <f>VLOOKUP(A2501,Sheet2!$A$2:$R$3432,18,0)</f>
        <v/>
      </c>
      <c r="T2501" s="7" t="str">
        <f>VLOOKUP(A2501,Sheet2!$A$2:$R$3432,17,0)</f>
        <v/>
      </c>
    </row>
    <row r="2502" ht="15.75" customHeight="1">
      <c r="A2502" s="3" t="s">
        <v>2525</v>
      </c>
      <c r="B2502" s="4" t="str">
        <f>VLOOKUP(A2502,Sheet2!$A$2:$R$3432,2,0)</f>
        <v>2025-03-05 20:29:45</v>
      </c>
      <c r="C2502" s="5" t="s">
        <v>25</v>
      </c>
      <c r="D2502" s="6" t="s">
        <v>25</v>
      </c>
      <c r="E2502" s="7">
        <f>VLOOKUP(A2502,Sheet2!$A$2:$R$3432,4,0)</f>
        <v>9823808991</v>
      </c>
      <c r="F2502" s="7" t="str">
        <f>VLOOKUP(A2502,Sheet2!$A$2:$R$3432,3,0)</f>
        <v>Arun</v>
      </c>
      <c r="G2502" s="5" t="s">
        <v>25</v>
      </c>
      <c r="H2502" s="5" t="s">
        <v>25</v>
      </c>
      <c r="I2502" s="5" t="s">
        <v>25</v>
      </c>
      <c r="J2502" s="5" t="s">
        <v>25</v>
      </c>
      <c r="K2502" s="7" t="str">
        <f>VLOOKUP(A2502,Sheet2!$A$2:$R$3432,6,0)</f>
        <v>Honda Activa 3G</v>
      </c>
      <c r="L2502" s="5" t="s">
        <v>25</v>
      </c>
      <c r="M2502" s="7" t="str">
        <f>VLOOKUP(A2502,Sheet2!$A$2:$R$3432,5,0)</f>
        <v>KL08BH9440</v>
      </c>
      <c r="N2502" s="5" t="s">
        <v>25</v>
      </c>
      <c r="O2502" s="5" t="s">
        <v>25</v>
      </c>
      <c r="P2502" s="6" t="s">
        <v>25</v>
      </c>
      <c r="Q2502" s="5" t="s">
        <v>25</v>
      </c>
      <c r="R2502" s="5" t="s">
        <v>25</v>
      </c>
      <c r="S2502" s="7" t="str">
        <f>VLOOKUP(A2502,Sheet2!$A$2:$R$3432,18,0)</f>
        <v/>
      </c>
      <c r="T2502" s="7" t="str">
        <f>VLOOKUP(A2502,Sheet2!$A$2:$R$3432,17,0)</f>
        <v/>
      </c>
    </row>
    <row r="2503" ht="15.75" customHeight="1">
      <c r="A2503" s="3" t="s">
        <v>2526</v>
      </c>
      <c r="B2503" s="4" t="str">
        <f>VLOOKUP(A2503,Sheet2!$A$2:$R$3432,2,0)</f>
        <v>2025-03-05 20:30:18</v>
      </c>
      <c r="C2503" s="5" t="s">
        <v>25</v>
      </c>
      <c r="D2503" s="6" t="s">
        <v>25</v>
      </c>
      <c r="E2503" s="7">
        <f>VLOOKUP(A2503,Sheet2!$A$2:$R$3432,4,0)</f>
        <v>9970963831</v>
      </c>
      <c r="F2503" s="7" t="str">
        <f>VLOOKUP(A2503,Sheet2!$A$2:$R$3432,3,0)</f>
        <v>TRUPTI GANVIR</v>
      </c>
      <c r="G2503" s="5" t="s">
        <v>25</v>
      </c>
      <c r="H2503" s="5" t="s">
        <v>25</v>
      </c>
      <c r="I2503" s="5" t="s">
        <v>25</v>
      </c>
      <c r="J2503" s="5" t="s">
        <v>25</v>
      </c>
      <c r="K2503" s="7" t="str">
        <f>VLOOKUP(A2503,Sheet2!$A$2:$R$3432,6,0)</f>
        <v>Honda Activa HET</v>
      </c>
      <c r="L2503" s="5" t="s">
        <v>25</v>
      </c>
      <c r="M2503" s="7" t="str">
        <f>VLOOKUP(A2503,Sheet2!$A$2:$R$3432,5,0)</f>
        <v>MH49V0321</v>
      </c>
      <c r="N2503" s="5" t="s">
        <v>25</v>
      </c>
      <c r="O2503" s="5" t="s">
        <v>25</v>
      </c>
      <c r="P2503" s="6" t="s">
        <v>25</v>
      </c>
      <c r="Q2503" s="5" t="s">
        <v>25</v>
      </c>
      <c r="R2503" s="5" t="s">
        <v>25</v>
      </c>
      <c r="S2503" s="5" t="str">
        <f>VLOOKUP(A2503,Sheet2!$A$2:$R$3432,18,0)</f>
        <v>JF50ET1352450</v>
      </c>
      <c r="T2503" s="7" t="str">
        <f>VLOOKUP(A2503,Sheet2!$A$2:$R$3432,17,0)</f>
        <v>ME4JF502JE5352182</v>
      </c>
    </row>
    <row r="2504" ht="15.75" customHeight="1">
      <c r="A2504" s="3" t="s">
        <v>2527</v>
      </c>
      <c r="B2504" s="4" t="str">
        <f>VLOOKUP(A2504,Sheet2!$A$2:$R$3432,2,0)</f>
        <v>2025-03-05 20:30:51</v>
      </c>
      <c r="C2504" s="5" t="s">
        <v>25</v>
      </c>
      <c r="D2504" s="6" t="s">
        <v>25</v>
      </c>
      <c r="E2504" s="7">
        <f>VLOOKUP(A2504,Sheet2!$A$2:$R$3432,4,0)</f>
        <v>8459328613</v>
      </c>
      <c r="F2504" s="7" t="str">
        <f>VLOOKUP(A2504,Sheet2!$A$2:$R$3432,3,0)</f>
        <v>RAHUL GADGE</v>
      </c>
      <c r="G2504" s="5" t="s">
        <v>25</v>
      </c>
      <c r="H2504" s="5" t="s">
        <v>25</v>
      </c>
      <c r="I2504" s="5" t="s">
        <v>25</v>
      </c>
      <c r="J2504" s="5" t="s">
        <v>25</v>
      </c>
      <c r="K2504" s="7" t="str">
        <f>VLOOKUP(A2504,Sheet2!$A$2:$R$3432,6,0)</f>
        <v>Honda Shine BS6</v>
      </c>
      <c r="L2504" s="5" t="s">
        <v>25</v>
      </c>
      <c r="M2504" s="7" t="str">
        <f>VLOOKUP(A2504,Sheet2!$A$2:$R$3432,5,0)</f>
        <v>MH14KK3321</v>
      </c>
      <c r="N2504" s="5" t="s">
        <v>25</v>
      </c>
      <c r="O2504" s="5" t="s">
        <v>25</v>
      </c>
      <c r="P2504" s="6" t="s">
        <v>25</v>
      </c>
      <c r="Q2504" s="5" t="s">
        <v>25</v>
      </c>
      <c r="R2504" s="5" t="s">
        <v>25</v>
      </c>
      <c r="S2504" s="7" t="str">
        <f>VLOOKUP(A2504,Sheet2!$A$2:$R$3432,18,0)</f>
        <v/>
      </c>
      <c r="T2504" s="7" t="str">
        <f>VLOOKUP(A2504,Sheet2!$A$2:$R$3432,17,0)</f>
        <v/>
      </c>
    </row>
    <row r="2505" ht="15.75" customHeight="1">
      <c r="A2505" s="3" t="s">
        <v>2528</v>
      </c>
      <c r="B2505" s="4" t="str">
        <f>VLOOKUP(A2505,Sheet2!$A$2:$R$3432,2,0)</f>
        <v>2025-03-26 19:36:35</v>
      </c>
      <c r="C2505" s="5" t="s">
        <v>25</v>
      </c>
      <c r="D2505" s="6" t="s">
        <v>25</v>
      </c>
      <c r="E2505" s="7">
        <f>VLOOKUP(A2505,Sheet2!$A$2:$R$3432,4,0)</f>
        <v>7276084703</v>
      </c>
      <c r="F2505" s="7" t="str">
        <f>VLOOKUP(A2505,Sheet2!$A$2:$R$3432,3,0)</f>
        <v>SANJEEV TIWARI</v>
      </c>
      <c r="G2505" s="5" t="s">
        <v>25</v>
      </c>
      <c r="H2505" s="5" t="s">
        <v>25</v>
      </c>
      <c r="I2505" s="5" t="s">
        <v>25</v>
      </c>
      <c r="J2505" s="5" t="s">
        <v>25</v>
      </c>
      <c r="K2505" s="7" t="str">
        <f>VLOOKUP(A2505,Sheet2!$A$2:$R$3432,6,0)</f>
        <v>Hero Splendor Plus</v>
      </c>
      <c r="L2505" s="5" t="s">
        <v>25</v>
      </c>
      <c r="M2505" s="7" t="str">
        <f>VLOOKUP(A2505,Sheet2!$A$2:$R$3432,5,0)</f>
        <v>MH14AX8152</v>
      </c>
      <c r="N2505" s="5" t="s">
        <v>25</v>
      </c>
      <c r="O2505" s="5" t="s">
        <v>25</v>
      </c>
      <c r="P2505" s="6" t="s">
        <v>25</v>
      </c>
      <c r="Q2505" s="5" t="s">
        <v>25</v>
      </c>
      <c r="R2505" s="5" t="s">
        <v>25</v>
      </c>
      <c r="S2505" s="5" t="str">
        <f>VLOOKUP(A2505,Sheet2!$A$2:$R$3432,18,0)</f>
        <v>06E11L09790</v>
      </c>
      <c r="T2505" s="7" t="str">
        <f>VLOOKUP(A2505,Sheet2!$A$2:$R$3432,17,0)</f>
        <v>06L16C10379</v>
      </c>
    </row>
    <row r="2506" ht="15.75" customHeight="1">
      <c r="A2506" s="3" t="s">
        <v>2529</v>
      </c>
      <c r="B2506" s="4" t="str">
        <f>VLOOKUP(A2506,Sheet2!$A$2:$R$3432,2,0)</f>
        <v>2025-03-26 19:40:31</v>
      </c>
      <c r="C2506" s="5" t="s">
        <v>25</v>
      </c>
      <c r="D2506" s="6" t="s">
        <v>25</v>
      </c>
      <c r="E2506" s="7">
        <f>VLOOKUP(A2506,Sheet2!$A$2:$R$3432,4,0)</f>
        <v>9822086647</v>
      </c>
      <c r="F2506" s="7" t="str">
        <f>VLOOKUP(A2506,Sheet2!$A$2:$R$3432,3,0)</f>
        <v>SMIT YENKAR</v>
      </c>
      <c r="G2506" s="5" t="s">
        <v>25</v>
      </c>
      <c r="H2506" s="5" t="s">
        <v>25</v>
      </c>
      <c r="I2506" s="5" t="s">
        <v>25</v>
      </c>
      <c r="J2506" s="5" t="s">
        <v>25</v>
      </c>
      <c r="K2506" s="7" t="str">
        <f>VLOOKUP(A2506,Sheet2!$A$2:$R$3432,6,0)</f>
        <v>TVS Ntorq 125</v>
      </c>
      <c r="L2506" s="5" t="s">
        <v>25</v>
      </c>
      <c r="M2506" s="7" t="str">
        <f>VLOOKUP(A2506,Sheet2!$A$2:$R$3432,5,0)</f>
        <v>MH14KG7545</v>
      </c>
      <c r="N2506" s="5" t="s">
        <v>25</v>
      </c>
      <c r="O2506" s="5" t="s">
        <v>25</v>
      </c>
      <c r="P2506" s="6" t="s">
        <v>25</v>
      </c>
      <c r="Q2506" s="5" t="s">
        <v>25</v>
      </c>
      <c r="R2506" s="5" t="s">
        <v>25</v>
      </c>
      <c r="S2506" s="7" t="str">
        <f>VLOOKUP(A2506,Sheet2!$A$2:$R$3432,18,0)</f>
        <v/>
      </c>
      <c r="T2506" s="7" t="str">
        <f>VLOOKUP(A2506,Sheet2!$A$2:$R$3432,17,0)</f>
        <v/>
      </c>
    </row>
    <row r="2507" ht="15.75" customHeight="1">
      <c r="A2507" s="3" t="s">
        <v>2530</v>
      </c>
      <c r="B2507" s="4" t="str">
        <f>VLOOKUP(A2507,Sheet2!$A$2:$R$3432,2,0)</f>
        <v>2025-03-26 19:37:27</v>
      </c>
      <c r="C2507" s="5" t="s">
        <v>25</v>
      </c>
      <c r="D2507" s="6" t="s">
        <v>25</v>
      </c>
      <c r="E2507" s="7">
        <f>VLOOKUP(A2507,Sheet2!$A$2:$R$3432,4,0)</f>
        <v>9096161717</v>
      </c>
      <c r="F2507" s="7" t="str">
        <f>VLOOKUP(A2507,Sheet2!$A$2:$R$3432,3,0)</f>
        <v>KALPESH </v>
      </c>
      <c r="G2507" s="5" t="s">
        <v>25</v>
      </c>
      <c r="H2507" s="5" t="s">
        <v>25</v>
      </c>
      <c r="I2507" s="5" t="s">
        <v>25</v>
      </c>
      <c r="J2507" s="5" t="s">
        <v>25</v>
      </c>
      <c r="K2507" s="7" t="str">
        <f>VLOOKUP(A2507,Sheet2!$A$2:$R$3432,6,0)</f>
        <v>Hero Splendor Plus</v>
      </c>
      <c r="L2507" s="5" t="s">
        <v>25</v>
      </c>
      <c r="M2507" s="7" t="str">
        <f>VLOOKUP(A2507,Sheet2!$A$2:$R$3432,5,0)</f>
        <v>MH14FL4075</v>
      </c>
      <c r="N2507" s="5" t="s">
        <v>25</v>
      </c>
      <c r="O2507" s="5" t="s">
        <v>25</v>
      </c>
      <c r="P2507" s="6" t="s">
        <v>25</v>
      </c>
      <c r="Q2507" s="5" t="s">
        <v>25</v>
      </c>
      <c r="R2507" s="5" t="s">
        <v>25</v>
      </c>
      <c r="S2507" s="7" t="str">
        <f>VLOOKUP(A2507,Sheet2!$A$2:$R$3432,18,0)</f>
        <v/>
      </c>
      <c r="T2507" s="7" t="str">
        <f>VLOOKUP(A2507,Sheet2!$A$2:$R$3432,17,0)</f>
        <v/>
      </c>
    </row>
    <row r="2508" ht="15.75" customHeight="1">
      <c r="A2508" s="3" t="s">
        <v>2531</v>
      </c>
      <c r="B2508" s="4" t="str">
        <f>VLOOKUP(A2508,Sheet2!$A$2:$R$3432,2,0)</f>
        <v>2025-03-26 19:38:33</v>
      </c>
      <c r="C2508" s="5" t="s">
        <v>25</v>
      </c>
      <c r="D2508" s="6" t="s">
        <v>25</v>
      </c>
      <c r="E2508" s="7">
        <f>VLOOKUP(A2508,Sheet2!$A$2:$R$3432,4,0)</f>
        <v>9823794514</v>
      </c>
      <c r="F2508" s="7" t="str">
        <f>VLOOKUP(A2508,Sheet2!$A$2:$R$3432,3,0)</f>
        <v>RUPALI</v>
      </c>
      <c r="G2508" s="5" t="s">
        <v>25</v>
      </c>
      <c r="H2508" s="5" t="s">
        <v>25</v>
      </c>
      <c r="I2508" s="5" t="s">
        <v>25</v>
      </c>
      <c r="J2508" s="5" t="s">
        <v>25</v>
      </c>
      <c r="K2508" s="7" t="str">
        <f>VLOOKUP(A2508,Sheet2!$A$2:$R$3432,6,0)</f>
        <v>Hero Pleasure </v>
      </c>
      <c r="L2508" s="5" t="s">
        <v>25</v>
      </c>
      <c r="M2508" s="7" t="str">
        <f>VLOOKUP(A2508,Sheet2!$A$2:$R$3432,5,0)</f>
        <v>MH14CB6506</v>
      </c>
      <c r="N2508" s="5" t="s">
        <v>25</v>
      </c>
      <c r="O2508" s="5" t="s">
        <v>25</v>
      </c>
      <c r="P2508" s="6" t="s">
        <v>25</v>
      </c>
      <c r="Q2508" s="5" t="s">
        <v>25</v>
      </c>
      <c r="R2508" s="5" t="s">
        <v>25</v>
      </c>
      <c r="S2508" s="5" t="str">
        <f>VLOOKUP(A2508,Sheet2!$A$2:$R$3432,18,0)</f>
        <v>JF16BAGE08848</v>
      </c>
      <c r="T2508" s="7" t="str">
        <f>VLOOKUP(A2508,Sheet2!$A$2:$R$3432,17,0)</f>
        <v/>
      </c>
    </row>
    <row r="2509" ht="15.75" customHeight="1">
      <c r="A2509" s="3" t="s">
        <v>2532</v>
      </c>
      <c r="B2509" s="4" t="str">
        <f>VLOOKUP(A2509,Sheet2!$A$2:$R$3432,2,0)</f>
        <v>2025-03-26 19:39:53</v>
      </c>
      <c r="C2509" s="5" t="s">
        <v>25</v>
      </c>
      <c r="D2509" s="6" t="s">
        <v>25</v>
      </c>
      <c r="E2509" s="7">
        <f>VLOOKUP(A2509,Sheet2!$A$2:$R$3432,4,0)</f>
        <v>7798199237</v>
      </c>
      <c r="F2509" s="7" t="str">
        <f>VLOOKUP(A2509,Sheet2!$A$2:$R$3432,3,0)</f>
        <v>Saga Patel</v>
      </c>
      <c r="G2509" s="5" t="s">
        <v>25</v>
      </c>
      <c r="H2509" s="5" t="s">
        <v>25</v>
      </c>
      <c r="I2509" s="5" t="s">
        <v>25</v>
      </c>
      <c r="J2509" s="5" t="s">
        <v>25</v>
      </c>
      <c r="K2509" s="7" t="str">
        <f>VLOOKUP(A2509,Sheet2!$A$2:$R$3432,6,0)</f>
        <v>Bajaj Pulsar 150</v>
      </c>
      <c r="L2509" s="5" t="s">
        <v>25</v>
      </c>
      <c r="M2509" s="7" t="str">
        <f>VLOOKUP(A2509,Sheet2!$A$2:$R$3432,5,0)</f>
        <v>MH14HE1509</v>
      </c>
      <c r="N2509" s="5" t="s">
        <v>25</v>
      </c>
      <c r="O2509" s="5" t="s">
        <v>25</v>
      </c>
      <c r="P2509" s="6" t="s">
        <v>25</v>
      </c>
      <c r="Q2509" s="5" t="s">
        <v>25</v>
      </c>
      <c r="R2509" s="5" t="s">
        <v>25</v>
      </c>
      <c r="S2509" s="7" t="str">
        <f>VLOOKUP(A2509,Sheet2!$A$2:$R$3432,18,0)</f>
        <v/>
      </c>
      <c r="T2509" s="7" t="str">
        <f>VLOOKUP(A2509,Sheet2!$A$2:$R$3432,17,0)</f>
        <v/>
      </c>
    </row>
    <row r="2510" ht="15.75" customHeight="1">
      <c r="A2510" s="3" t="s">
        <v>2533</v>
      </c>
      <c r="B2510" s="4" t="str">
        <f>VLOOKUP(A2510,Sheet2!$A$2:$R$3432,2,0)</f>
        <v>2024-11-13 19:35:39</v>
      </c>
      <c r="C2510" s="5" t="s">
        <v>25</v>
      </c>
      <c r="D2510" s="6" t="s">
        <v>25</v>
      </c>
      <c r="E2510" s="7">
        <f>VLOOKUP(A2510,Sheet2!$A$2:$R$3432,4,0)</f>
        <v>9881414294</v>
      </c>
      <c r="F2510" s="7" t="str">
        <f>VLOOKUP(A2510,Sheet2!$A$2:$R$3432,3,0)</f>
        <v>Nitin Thopte</v>
      </c>
      <c r="G2510" s="5" t="s">
        <v>25</v>
      </c>
      <c r="H2510" s="5" t="s">
        <v>25</v>
      </c>
      <c r="I2510" s="5" t="s">
        <v>25</v>
      </c>
      <c r="J2510" s="5" t="s">
        <v>25</v>
      </c>
      <c r="K2510" s="7" t="str">
        <f>VLOOKUP(A2510,Sheet2!$A$2:$R$3432,6,0)</f>
        <v>Hero Passion Pro</v>
      </c>
      <c r="L2510" s="5" t="s">
        <v>25</v>
      </c>
      <c r="M2510" s="7" t="str">
        <f>VLOOKUP(A2510,Sheet2!$A$2:$R$3432,5,0)</f>
        <v>MH14EJ9337</v>
      </c>
      <c r="N2510" s="5" t="s">
        <v>25</v>
      </c>
      <c r="O2510" s="5" t="s">
        <v>25</v>
      </c>
      <c r="P2510" s="6" t="s">
        <v>25</v>
      </c>
      <c r="Q2510" s="5" t="s">
        <v>25</v>
      </c>
      <c r="R2510" s="5" t="s">
        <v>25</v>
      </c>
      <c r="S2510" s="7" t="str">
        <f>VLOOKUP(A2510,Sheet2!$A$2:$R$3432,18,0)</f>
        <v/>
      </c>
      <c r="T2510" s="7" t="str">
        <f>VLOOKUP(A2510,Sheet2!$A$2:$R$3432,17,0)</f>
        <v/>
      </c>
    </row>
    <row r="2511" ht="15.75" customHeight="1">
      <c r="A2511" s="3" t="s">
        <v>2534</v>
      </c>
      <c r="B2511" s="4" t="str">
        <f>VLOOKUP(A2511,Sheet2!$A$2:$R$3432,2,0)</f>
        <v>2024-11-13 19:17:24</v>
      </c>
      <c r="C2511" s="5" t="s">
        <v>25</v>
      </c>
      <c r="D2511" s="6" t="s">
        <v>25</v>
      </c>
      <c r="E2511" s="7">
        <f>VLOOKUP(A2511,Sheet2!$A$2:$R$3432,4,0)</f>
        <v>8237477999</v>
      </c>
      <c r="F2511" s="7" t="str">
        <f>VLOOKUP(A2511,Sheet2!$A$2:$R$3432,3,0)</f>
        <v>VARAD</v>
      </c>
      <c r="G2511" s="5" t="s">
        <v>25</v>
      </c>
      <c r="H2511" s="5" t="s">
        <v>25</v>
      </c>
      <c r="I2511" s="5" t="s">
        <v>25</v>
      </c>
      <c r="J2511" s="5" t="s">
        <v>25</v>
      </c>
      <c r="K2511" s="7" t="str">
        <f>VLOOKUP(A2511,Sheet2!$A$2:$R$3432,6,0)</f>
        <v>Suzuki Access  125 BS6</v>
      </c>
      <c r="L2511" s="5" t="s">
        <v>25</v>
      </c>
      <c r="M2511" s="7" t="str">
        <f>VLOOKUP(A2511,Sheet2!$A$2:$R$3432,5,0)</f>
        <v>MH14KG4459</v>
      </c>
      <c r="N2511" s="5" t="s">
        <v>25</v>
      </c>
      <c r="O2511" s="5" t="s">
        <v>25</v>
      </c>
      <c r="P2511" s="6" t="s">
        <v>25</v>
      </c>
      <c r="Q2511" s="5" t="s">
        <v>25</v>
      </c>
      <c r="R2511" s="5" t="s">
        <v>25</v>
      </c>
      <c r="S2511" s="5" t="str">
        <f>VLOOKUP(A2511,Sheet2!$A$2:$R$3432,18,0)</f>
        <v>AF212404332</v>
      </c>
      <c r="T2511" s="7" t="str">
        <f>VLOOKUP(A2511,Sheet2!$A$2:$R$3432,17,0)</f>
        <v>MB8DP12DHN8C61600</v>
      </c>
    </row>
    <row r="2512" ht="15.75" customHeight="1">
      <c r="A2512" s="3" t="s">
        <v>2535</v>
      </c>
      <c r="B2512" s="4" t="str">
        <f>VLOOKUP(A2512,Sheet2!$A$2:$R$3432,2,0)</f>
        <v>2024-11-13 19:18:34</v>
      </c>
      <c r="C2512" s="5" t="s">
        <v>25</v>
      </c>
      <c r="D2512" s="6" t="s">
        <v>25</v>
      </c>
      <c r="E2512" s="7">
        <f>VLOOKUP(A2512,Sheet2!$A$2:$R$3432,4,0)</f>
        <v>9359006522</v>
      </c>
      <c r="F2512" s="7" t="str">
        <f>VLOOKUP(A2512,Sheet2!$A$2:$R$3432,3,0)</f>
        <v>Pranav Jagtap</v>
      </c>
      <c r="G2512" s="5" t="s">
        <v>25</v>
      </c>
      <c r="H2512" s="5" t="s">
        <v>25</v>
      </c>
      <c r="I2512" s="5" t="s">
        <v>25</v>
      </c>
      <c r="J2512" s="5" t="s">
        <v>25</v>
      </c>
      <c r="K2512" s="7" t="str">
        <f>VLOOKUP(A2512,Sheet2!$A$2:$R$3432,6,0)</f>
        <v>Honda Activa 3G</v>
      </c>
      <c r="L2512" s="5" t="s">
        <v>25</v>
      </c>
      <c r="M2512" s="7" t="str">
        <f>VLOOKUP(A2512,Sheet2!$A$2:$R$3432,5,0)</f>
        <v>MH14FP9133</v>
      </c>
      <c r="N2512" s="5" t="s">
        <v>25</v>
      </c>
      <c r="O2512" s="5" t="s">
        <v>25</v>
      </c>
      <c r="P2512" s="6" t="s">
        <v>25</v>
      </c>
      <c r="Q2512" s="5" t="s">
        <v>25</v>
      </c>
      <c r="R2512" s="5" t="s">
        <v>25</v>
      </c>
      <c r="S2512" s="5" t="str">
        <f>VLOOKUP(A2512,Sheet2!$A$2:$R$3432,18,0)</f>
        <v>JF50E83070498</v>
      </c>
      <c r="T2512" s="7" t="str">
        <f>VLOOKUP(A2512,Sheet2!$A$2:$R$3432,17,0)</f>
        <v>ME4JF505CE8070403</v>
      </c>
    </row>
    <row r="2513" ht="15.75" customHeight="1">
      <c r="A2513" s="3" t="s">
        <v>2536</v>
      </c>
      <c r="B2513" s="4" t="str">
        <f>VLOOKUP(A2513,Sheet2!$A$2:$R$3432,2,0)</f>
        <v>2024-11-13 19:17:40</v>
      </c>
      <c r="C2513" s="5" t="s">
        <v>25</v>
      </c>
      <c r="D2513" s="6" t="s">
        <v>25</v>
      </c>
      <c r="E2513" s="7">
        <f>VLOOKUP(A2513,Sheet2!$A$2:$R$3432,4,0)</f>
        <v>7774991134</v>
      </c>
      <c r="F2513" s="7" t="str">
        <f>VLOOKUP(A2513,Sheet2!$A$2:$R$3432,3,0)</f>
        <v>Vivek Shete</v>
      </c>
      <c r="G2513" s="5" t="s">
        <v>25</v>
      </c>
      <c r="H2513" s="5" t="s">
        <v>25</v>
      </c>
      <c r="I2513" s="5" t="s">
        <v>25</v>
      </c>
      <c r="J2513" s="5" t="s">
        <v>25</v>
      </c>
      <c r="K2513" s="7" t="str">
        <f>VLOOKUP(A2513,Sheet2!$A$2:$R$3432,6,0)</f>
        <v>KTM DUKE 200</v>
      </c>
      <c r="L2513" s="5" t="s">
        <v>25</v>
      </c>
      <c r="M2513" s="7" t="str">
        <f>VLOOKUP(A2513,Sheet2!$A$2:$R$3432,5,0)</f>
        <v>MH12RQ3265</v>
      </c>
      <c r="N2513" s="5" t="s">
        <v>25</v>
      </c>
      <c r="O2513" s="5" t="s">
        <v>25</v>
      </c>
      <c r="P2513" s="6" t="s">
        <v>25</v>
      </c>
      <c r="Q2513" s="5" t="s">
        <v>25</v>
      </c>
      <c r="R2513" s="5" t="s">
        <v>25</v>
      </c>
      <c r="S2513" s="5" t="str">
        <f>VLOOKUP(A2513,Sheet2!$A$2:$R$3432,18,0)</f>
        <v>996007620</v>
      </c>
      <c r="T2513" s="7" t="str">
        <f>VLOOKUP(A2513,Sheet2!$A$2:$R$3432,17,0)</f>
        <v>MD2JUCYM4KC040949</v>
      </c>
    </row>
    <row r="2514" ht="15.75" customHeight="1">
      <c r="A2514" s="3" t="s">
        <v>2537</v>
      </c>
      <c r="B2514" s="4" t="str">
        <f>VLOOKUP(A2514,Sheet2!$A$2:$R$3432,2,0)</f>
        <v>2024-11-13 19:51:31</v>
      </c>
      <c r="C2514" s="5" t="s">
        <v>25</v>
      </c>
      <c r="D2514" s="6" t="s">
        <v>25</v>
      </c>
      <c r="E2514" s="7">
        <f>VLOOKUP(A2514,Sheet2!$A$2:$R$3432,4,0)</f>
        <v>9713468899</v>
      </c>
      <c r="F2514" s="7" t="str">
        <f>VLOOKUP(A2514,Sheet2!$A$2:$R$3432,3,0)</f>
        <v>Vaibhav Solanki</v>
      </c>
      <c r="G2514" s="5" t="s">
        <v>25</v>
      </c>
      <c r="H2514" s="5" t="s">
        <v>25</v>
      </c>
      <c r="I2514" s="5" t="s">
        <v>25</v>
      </c>
      <c r="J2514" s="5" t="s">
        <v>25</v>
      </c>
      <c r="K2514" s="7" t="str">
        <f>VLOOKUP(A2514,Sheet2!$A$2:$R$3432,6,0)</f>
        <v>Suzuki Gixxer </v>
      </c>
      <c r="L2514" s="5" t="s">
        <v>25</v>
      </c>
      <c r="M2514" s="7" t="str">
        <f>VLOOKUP(A2514,Sheet2!$A$2:$R$3432,5,0)</f>
        <v>MH14GF3625</v>
      </c>
      <c r="N2514" s="5" t="s">
        <v>25</v>
      </c>
      <c r="O2514" s="5" t="s">
        <v>25</v>
      </c>
      <c r="P2514" s="6" t="s">
        <v>25</v>
      </c>
      <c r="Q2514" s="5" t="s">
        <v>25</v>
      </c>
      <c r="R2514" s="5" t="s">
        <v>25</v>
      </c>
      <c r="S2514" s="5" t="str">
        <f>VLOOKUP(A2514,Sheet2!$A$2:$R$3432,18,0)</f>
        <v>BGA1367533</v>
      </c>
      <c r="T2514" s="7" t="str">
        <f>VLOOKUP(A2514,Sheet2!$A$2:$R$3432,17,0)</f>
        <v>MB8NG4BABH8300562</v>
      </c>
    </row>
    <row r="2515" ht="15.75" customHeight="1">
      <c r="A2515" s="3" t="s">
        <v>2538</v>
      </c>
      <c r="B2515" s="4" t="str">
        <f>VLOOKUP(A2515,Sheet2!$A$2:$R$3432,2,0)</f>
        <v>2024-11-13 19:51:07</v>
      </c>
      <c r="C2515" s="5" t="s">
        <v>25</v>
      </c>
      <c r="D2515" s="6" t="s">
        <v>25</v>
      </c>
      <c r="E2515" s="7">
        <f>VLOOKUP(A2515,Sheet2!$A$2:$R$3432,4,0)</f>
        <v>9673844333</v>
      </c>
      <c r="F2515" s="7" t="str">
        <f>VLOOKUP(A2515,Sheet2!$A$2:$R$3432,3,0)</f>
        <v>CHIRAG</v>
      </c>
      <c r="G2515" s="5" t="s">
        <v>25</v>
      </c>
      <c r="H2515" s="5" t="s">
        <v>25</v>
      </c>
      <c r="I2515" s="5" t="s">
        <v>25</v>
      </c>
      <c r="J2515" s="5" t="s">
        <v>25</v>
      </c>
      <c r="K2515" s="7" t="str">
        <f>VLOOKUP(A2515,Sheet2!$A$2:$R$3432,6,0)</f>
        <v>Honda Unicorn 160</v>
      </c>
      <c r="L2515" s="5" t="s">
        <v>25</v>
      </c>
      <c r="M2515" s="7" t="str">
        <f>VLOOKUP(A2515,Sheet2!$A$2:$R$3432,5,0)</f>
        <v>MH14GE0553</v>
      </c>
      <c r="N2515" s="5" t="s">
        <v>25</v>
      </c>
      <c r="O2515" s="5" t="s">
        <v>25</v>
      </c>
      <c r="P2515" s="6" t="s">
        <v>25</v>
      </c>
      <c r="Q2515" s="5" t="s">
        <v>25</v>
      </c>
      <c r="R2515" s="5" t="s">
        <v>25</v>
      </c>
      <c r="S2515" s="5" t="str">
        <f>VLOOKUP(A2515,Sheet2!$A$2:$R$3432,18,0)</f>
        <v>KC20E81008226</v>
      </c>
      <c r="T2515" s="7" t="str">
        <f>VLOOKUP(A2515,Sheet2!$A$2:$R$3432,17,0)</f>
        <v>ME4KC209CH8003236</v>
      </c>
    </row>
    <row r="2516" ht="15.75" customHeight="1">
      <c r="A2516" s="3" t="s">
        <v>2539</v>
      </c>
      <c r="B2516" s="4" t="str">
        <f>VLOOKUP(A2516,Sheet2!$A$2:$R$3432,2,0)</f>
        <v>2024-11-13 20:34:37</v>
      </c>
      <c r="C2516" s="5" t="s">
        <v>25</v>
      </c>
      <c r="D2516" s="6" t="s">
        <v>25</v>
      </c>
      <c r="E2516" s="7">
        <f>VLOOKUP(A2516,Sheet2!$A$2:$R$3432,4,0)</f>
        <v>7057058680</v>
      </c>
      <c r="F2516" s="7" t="str">
        <f>VLOOKUP(A2516,Sheet2!$A$2:$R$3432,3,0)</f>
        <v>ANIMESH</v>
      </c>
      <c r="G2516" s="5" t="s">
        <v>25</v>
      </c>
      <c r="H2516" s="5" t="s">
        <v>25</v>
      </c>
      <c r="I2516" s="5" t="s">
        <v>25</v>
      </c>
      <c r="J2516" s="5" t="s">
        <v>25</v>
      </c>
      <c r="K2516" s="7" t="str">
        <f>VLOOKUP(A2516,Sheet2!$A$2:$R$3432,6,0)</f>
        <v>Hero Ignitor </v>
      </c>
      <c r="L2516" s="5" t="s">
        <v>25</v>
      </c>
      <c r="M2516" s="7" t="str">
        <f>VLOOKUP(A2516,Sheet2!$A$2:$R$3432,5,0)</f>
        <v>MH40AV2207</v>
      </c>
      <c r="N2516" s="5" t="s">
        <v>25</v>
      </c>
      <c r="O2516" s="5" t="s">
        <v>25</v>
      </c>
      <c r="P2516" s="6" t="s">
        <v>25</v>
      </c>
      <c r="Q2516" s="5" t="s">
        <v>25</v>
      </c>
      <c r="R2516" s="5" t="s">
        <v>25</v>
      </c>
      <c r="S2516" s="7" t="str">
        <f>VLOOKUP(A2516,Sheet2!$A$2:$R$3432,18,0)</f>
        <v/>
      </c>
      <c r="T2516" s="7" t="str">
        <f>VLOOKUP(A2516,Sheet2!$A$2:$R$3432,17,0)</f>
        <v/>
      </c>
    </row>
    <row r="2517" ht="15.75" customHeight="1">
      <c r="A2517" s="3" t="s">
        <v>2540</v>
      </c>
      <c r="B2517" s="4" t="str">
        <f>VLOOKUP(A2517,Sheet2!$A$2:$R$3432,2,0)</f>
        <v>2024-11-13 20:34:22</v>
      </c>
      <c r="C2517" s="5" t="s">
        <v>25</v>
      </c>
      <c r="D2517" s="6" t="s">
        <v>25</v>
      </c>
      <c r="E2517" s="7">
        <f>VLOOKUP(A2517,Sheet2!$A$2:$R$3432,4,0)</f>
        <v>9890504616</v>
      </c>
      <c r="F2517" s="7" t="str">
        <f>VLOOKUP(A2517,Sheet2!$A$2:$R$3432,3,0)</f>
        <v>YASH CHAUDHARI </v>
      </c>
      <c r="G2517" s="5" t="s">
        <v>25</v>
      </c>
      <c r="H2517" s="5" t="s">
        <v>25</v>
      </c>
      <c r="I2517" s="5" t="s">
        <v>25</v>
      </c>
      <c r="J2517" s="5" t="s">
        <v>25</v>
      </c>
      <c r="K2517" s="7" t="str">
        <f>VLOOKUP(A2517,Sheet2!$A$2:$R$3432,6,0)</f>
        <v>KTM RC 200</v>
      </c>
      <c r="L2517" s="5" t="s">
        <v>25</v>
      </c>
      <c r="M2517" s="7" t="str">
        <f>VLOOKUP(A2517,Sheet2!$A$2:$R$3432,5,0)</f>
        <v>MH14KY4125</v>
      </c>
      <c r="N2517" s="5" t="s">
        <v>25</v>
      </c>
      <c r="O2517" s="5" t="s">
        <v>25</v>
      </c>
      <c r="P2517" s="6" t="s">
        <v>25</v>
      </c>
      <c r="Q2517" s="5" t="s">
        <v>25</v>
      </c>
      <c r="R2517" s="5" t="s">
        <v>25</v>
      </c>
      <c r="S2517" s="5" t="str">
        <f>VLOOKUP(A2517,Sheet2!$A$2:$R$3432,18,0)</f>
        <v>P93646359</v>
      </c>
      <c r="T2517" s="7" t="str">
        <f>VLOOKUP(A2517,Sheet2!$A$2:$R$3432,17,0)</f>
        <v>MD2JYCXD5PN002650</v>
      </c>
    </row>
    <row r="2518" ht="15.75" customHeight="1">
      <c r="A2518" s="3" t="s">
        <v>2541</v>
      </c>
      <c r="B2518" s="4" t="str">
        <f>VLOOKUP(A2518,Sheet2!$A$2:$R$3432,2,0)</f>
        <v>2024-11-13 21:00:53</v>
      </c>
      <c r="C2518" s="5" t="s">
        <v>25</v>
      </c>
      <c r="D2518" s="6" t="s">
        <v>25</v>
      </c>
      <c r="E2518" s="7">
        <f>VLOOKUP(A2518,Sheet2!$A$2:$R$3432,4,0)</f>
        <v>9511213205</v>
      </c>
      <c r="F2518" s="7" t="str">
        <f>VLOOKUP(A2518,Sheet2!$A$2:$R$3432,3,0)</f>
        <v>RADHIKA</v>
      </c>
      <c r="G2518" s="5" t="s">
        <v>25</v>
      </c>
      <c r="H2518" s="5" t="s">
        <v>25</v>
      </c>
      <c r="I2518" s="5" t="s">
        <v>25</v>
      </c>
      <c r="J2518" s="5" t="s">
        <v>25</v>
      </c>
      <c r="K2518" s="7" t="str">
        <f>VLOOKUP(A2518,Sheet2!$A$2:$R$3432,6,0)</f>
        <v>TVS Scooty Streak</v>
      </c>
      <c r="L2518" s="5" t="s">
        <v>25</v>
      </c>
      <c r="M2518" s="7" t="str">
        <f>VLOOKUP(A2518,Sheet2!$A$2:$R$3432,5,0)</f>
        <v>MH27AL9892</v>
      </c>
      <c r="N2518" s="5" t="s">
        <v>25</v>
      </c>
      <c r="O2518" s="5" t="s">
        <v>25</v>
      </c>
      <c r="P2518" s="6" t="s">
        <v>25</v>
      </c>
      <c r="Q2518" s="5" t="s">
        <v>25</v>
      </c>
      <c r="R2518" s="5" t="s">
        <v>25</v>
      </c>
      <c r="S2518" s="7" t="str">
        <f>VLOOKUP(A2518,Sheet2!$A$2:$R$3432,18,0)</f>
        <v/>
      </c>
      <c r="T2518" s="7" t="str">
        <f>VLOOKUP(A2518,Sheet2!$A$2:$R$3432,17,0)</f>
        <v/>
      </c>
    </row>
    <row r="2519" ht="15.75" customHeight="1">
      <c r="A2519" s="3" t="s">
        <v>2542</v>
      </c>
      <c r="B2519" s="4" t="str">
        <f>VLOOKUP(A2519,Sheet2!$A$2:$R$3432,2,0)</f>
        <v>2024-11-11 19:24:34</v>
      </c>
      <c r="C2519" s="5" t="s">
        <v>25</v>
      </c>
      <c r="D2519" s="6" t="s">
        <v>25</v>
      </c>
      <c r="E2519" s="7">
        <f>VLOOKUP(A2519,Sheet2!$A$2:$R$3432,4,0)</f>
        <v>7498995844</v>
      </c>
      <c r="F2519" s="7" t="str">
        <f>VLOOKUP(A2519,Sheet2!$A$2:$R$3432,3,0)</f>
        <v>G.R.KHATRI</v>
      </c>
      <c r="G2519" s="5" t="s">
        <v>25</v>
      </c>
      <c r="H2519" s="5" t="s">
        <v>25</v>
      </c>
      <c r="I2519" s="5" t="s">
        <v>25</v>
      </c>
      <c r="J2519" s="5" t="s">
        <v>25</v>
      </c>
      <c r="K2519" s="7" t="str">
        <f>VLOOKUP(A2519,Sheet2!$A$2:$R$3432,6,0)</f>
        <v>Hero Pleasure No Data</v>
      </c>
      <c r="L2519" s="5" t="s">
        <v>25</v>
      </c>
      <c r="M2519" s="7" t="str">
        <f>VLOOKUP(A2519,Sheet2!$A$2:$R$3432,5,0)</f>
        <v>MH14CN6634</v>
      </c>
      <c r="N2519" s="5" t="s">
        <v>25</v>
      </c>
      <c r="O2519" s="5" t="s">
        <v>25</v>
      </c>
      <c r="P2519" s="6" t="s">
        <v>25</v>
      </c>
      <c r="Q2519" s="5" t="s">
        <v>25</v>
      </c>
      <c r="R2519" s="5" t="s">
        <v>25</v>
      </c>
      <c r="S2519" s="7" t="str">
        <f>VLOOKUP(A2519,Sheet2!$A$2:$R$3432,18,0)</f>
        <v/>
      </c>
      <c r="T2519" s="7" t="str">
        <f>VLOOKUP(A2519,Sheet2!$A$2:$R$3432,17,0)</f>
        <v/>
      </c>
    </row>
    <row r="2520" ht="15.75" customHeight="1">
      <c r="A2520" s="3" t="s">
        <v>2543</v>
      </c>
      <c r="B2520" s="4" t="str">
        <f>VLOOKUP(A2520,Sheet2!$A$2:$R$3432,2,0)</f>
        <v>2024-11-11 19:19:09</v>
      </c>
      <c r="C2520" s="5" t="s">
        <v>25</v>
      </c>
      <c r="D2520" s="6" t="s">
        <v>25</v>
      </c>
      <c r="E2520" s="7">
        <f>VLOOKUP(A2520,Sheet2!$A$2:$R$3432,4,0)</f>
        <v>8177851788</v>
      </c>
      <c r="F2520" s="7" t="str">
        <f>VLOOKUP(A2520,Sheet2!$A$2:$R$3432,3,0)</f>
        <v>INAMDAR </v>
      </c>
      <c r="G2520" s="5" t="s">
        <v>25</v>
      </c>
      <c r="H2520" s="5" t="s">
        <v>25</v>
      </c>
      <c r="I2520" s="5" t="s">
        <v>25</v>
      </c>
      <c r="J2520" s="5" t="s">
        <v>25</v>
      </c>
      <c r="K2520" s="7" t="str">
        <f>VLOOKUP(A2520,Sheet2!$A$2:$R$3432,6,0)</f>
        <v>Honda Activa 6G</v>
      </c>
      <c r="L2520" s="5" t="s">
        <v>25</v>
      </c>
      <c r="M2520" s="7" t="str">
        <f>VLOOKUP(A2520,Sheet2!$A$2:$R$3432,5,0)</f>
        <v>MH14JZ8617</v>
      </c>
      <c r="N2520" s="5" t="s">
        <v>25</v>
      </c>
      <c r="O2520" s="5" t="s">
        <v>25</v>
      </c>
      <c r="P2520" s="6" t="s">
        <v>25</v>
      </c>
      <c r="Q2520" s="5" t="s">
        <v>25</v>
      </c>
      <c r="R2520" s="5" t="s">
        <v>25</v>
      </c>
      <c r="S2520" s="5" t="str">
        <f>VLOOKUP(A2520,Sheet2!$A$2:$R$3432,18,0)</f>
        <v>JF91EW7107108</v>
      </c>
      <c r="T2520" s="7" t="str">
        <f>VLOOKUP(A2520,Sheet2!$A$2:$R$3432,17,0)</f>
        <v>ME4JF41ACNW10774</v>
      </c>
    </row>
    <row r="2521" ht="15.75" customHeight="1">
      <c r="A2521" s="3" t="s">
        <v>2544</v>
      </c>
      <c r="B2521" s="4" t="str">
        <f>VLOOKUP(A2521,Sheet2!$A$2:$R$3432,2,0)</f>
        <v>2024-11-11 19:19:42</v>
      </c>
      <c r="C2521" s="5" t="s">
        <v>25</v>
      </c>
      <c r="D2521" s="6" t="s">
        <v>25</v>
      </c>
      <c r="E2521" s="7">
        <f>VLOOKUP(A2521,Sheet2!$A$2:$R$3432,4,0)</f>
        <v>9503042395</v>
      </c>
      <c r="F2521" s="7" t="str">
        <f>VLOOKUP(A2521,Sheet2!$A$2:$R$3432,3,0)</f>
        <v>Vinit</v>
      </c>
      <c r="G2521" s="5" t="s">
        <v>25</v>
      </c>
      <c r="H2521" s="5" t="s">
        <v>25</v>
      </c>
      <c r="I2521" s="5" t="s">
        <v>25</v>
      </c>
      <c r="J2521" s="5" t="s">
        <v>25</v>
      </c>
      <c r="K2521" s="7" t="str">
        <f>VLOOKUP(A2521,Sheet2!$A$2:$R$3432,6,0)</f>
        <v>Honda Activa 5G</v>
      </c>
      <c r="L2521" s="5" t="s">
        <v>25</v>
      </c>
      <c r="M2521" s="7" t="str">
        <f>VLOOKUP(A2521,Sheet2!$A$2:$R$3432,5,0)</f>
        <v>MH14HC0768</v>
      </c>
      <c r="N2521" s="5" t="s">
        <v>25</v>
      </c>
      <c r="O2521" s="5" t="s">
        <v>25</v>
      </c>
      <c r="P2521" s="6" t="s">
        <v>25</v>
      </c>
      <c r="Q2521" s="5" t="s">
        <v>25</v>
      </c>
      <c r="R2521" s="5" t="s">
        <v>25</v>
      </c>
      <c r="S2521" s="5" t="str">
        <f>VLOOKUP(A2521,Sheet2!$A$2:$R$3432,18,0)</f>
        <v>JF50EU7225927</v>
      </c>
      <c r="T2521" s="7" t="str">
        <f>VLOOKUP(A2521,Sheet2!$A$2:$R$3432,17,0)</f>
        <v>ME4JF50EAH4225U68</v>
      </c>
    </row>
    <row r="2522" ht="15.75" customHeight="1">
      <c r="A2522" s="3" t="s">
        <v>2545</v>
      </c>
      <c r="B2522" s="4" t="str">
        <f>VLOOKUP(A2522,Sheet2!$A$2:$R$3432,2,0)</f>
        <v>2024-11-11 19:23:08</v>
      </c>
      <c r="C2522" s="5" t="s">
        <v>25</v>
      </c>
      <c r="D2522" s="6" t="s">
        <v>25</v>
      </c>
      <c r="E2522" s="7">
        <f>VLOOKUP(A2522,Sheet2!$A$2:$R$3432,4,0)</f>
        <v>8625046694</v>
      </c>
      <c r="F2522" s="7" t="str">
        <f>VLOOKUP(A2522,Sheet2!$A$2:$R$3432,3,0)</f>
        <v>SHANTANU </v>
      </c>
      <c r="G2522" s="5" t="s">
        <v>25</v>
      </c>
      <c r="H2522" s="5" t="s">
        <v>25</v>
      </c>
      <c r="I2522" s="5" t="s">
        <v>25</v>
      </c>
      <c r="J2522" s="5" t="s">
        <v>25</v>
      </c>
      <c r="K2522" s="7" t="str">
        <f>VLOOKUP(A2522,Sheet2!$A$2:$R$3432,6,0)</f>
        <v>Honda Dio </v>
      </c>
      <c r="L2522" s="5" t="s">
        <v>25</v>
      </c>
      <c r="M2522" s="7" t="str">
        <f>VLOOKUP(A2522,Sheet2!$A$2:$R$3432,5,0)</f>
        <v>MH31DT1959</v>
      </c>
      <c r="N2522" s="5" t="s">
        <v>25</v>
      </c>
      <c r="O2522" s="5" t="s">
        <v>25</v>
      </c>
      <c r="P2522" s="6" t="s">
        <v>25</v>
      </c>
      <c r="Q2522" s="5" t="s">
        <v>25</v>
      </c>
      <c r="R2522" s="5" t="s">
        <v>25</v>
      </c>
      <c r="S2522" s="7" t="str">
        <f>VLOOKUP(A2522,Sheet2!$A$2:$R$3432,18,0)</f>
        <v/>
      </c>
      <c r="T2522" s="7" t="str">
        <f>VLOOKUP(A2522,Sheet2!$A$2:$R$3432,17,0)</f>
        <v/>
      </c>
    </row>
    <row r="2523" ht="15.75" customHeight="1">
      <c r="A2523" s="3" t="s">
        <v>2546</v>
      </c>
      <c r="B2523" s="4" t="str">
        <f>VLOOKUP(A2523,Sheet2!$A$2:$R$3432,2,0)</f>
        <v>2024-11-11 19:22:07</v>
      </c>
      <c r="C2523" s="5" t="s">
        <v>25</v>
      </c>
      <c r="D2523" s="6" t="s">
        <v>25</v>
      </c>
      <c r="E2523" s="7">
        <f>VLOOKUP(A2523,Sheet2!$A$2:$R$3432,4,0)</f>
        <v>7709629436</v>
      </c>
      <c r="F2523" s="7" t="str">
        <f>VLOOKUP(A2523,Sheet2!$A$2:$R$3432,3,0)</f>
        <v>ANIKET PUNDE</v>
      </c>
      <c r="G2523" s="5" t="s">
        <v>25</v>
      </c>
      <c r="H2523" s="5" t="s">
        <v>25</v>
      </c>
      <c r="I2523" s="5" t="s">
        <v>25</v>
      </c>
      <c r="J2523" s="5" t="s">
        <v>25</v>
      </c>
      <c r="K2523" s="7" t="str">
        <f>VLOOKUP(A2523,Sheet2!$A$2:$R$3432,6,0)</f>
        <v>Yamaha MT 15</v>
      </c>
      <c r="L2523" s="5" t="s">
        <v>25</v>
      </c>
      <c r="M2523" s="7" t="str">
        <f>VLOOKUP(A2523,Sheet2!$A$2:$R$3432,5,0)</f>
        <v>MH14KG3522</v>
      </c>
      <c r="N2523" s="5" t="s">
        <v>25</v>
      </c>
      <c r="O2523" s="5" t="s">
        <v>25</v>
      </c>
      <c r="P2523" s="6" t="s">
        <v>25</v>
      </c>
      <c r="Q2523" s="5" t="s">
        <v>25</v>
      </c>
      <c r="R2523" s="5" t="s">
        <v>25</v>
      </c>
      <c r="S2523" s="5" t="str">
        <f>VLOOKUP(A2523,Sheet2!$A$2:$R$3432,18,0)</f>
        <v>G3N4E02B6976</v>
      </c>
      <c r="T2523" s="7" t="str">
        <f>VLOOKUP(A2523,Sheet2!$A$2:$R$3432,17,0)</f>
        <v>ME1RG6825N0015675</v>
      </c>
    </row>
    <row r="2524" ht="15.75" customHeight="1">
      <c r="A2524" s="3" t="s">
        <v>2547</v>
      </c>
      <c r="B2524" s="4" t="str">
        <f>VLOOKUP(A2524,Sheet2!$A$2:$R$3432,2,0)</f>
        <v>2024-11-11 19:23:56</v>
      </c>
      <c r="C2524" s="5" t="s">
        <v>25</v>
      </c>
      <c r="D2524" s="6" t="s">
        <v>25</v>
      </c>
      <c r="E2524" s="7">
        <f>VLOOKUP(A2524,Sheet2!$A$2:$R$3432,4,0)</f>
        <v>9850992070</v>
      </c>
      <c r="F2524" s="7" t="str">
        <f>VLOOKUP(A2524,Sheet2!$A$2:$R$3432,3,0)</f>
        <v>Shree </v>
      </c>
      <c r="G2524" s="5" t="s">
        <v>25</v>
      </c>
      <c r="H2524" s="5" t="s">
        <v>25</v>
      </c>
      <c r="I2524" s="5" t="s">
        <v>25</v>
      </c>
      <c r="J2524" s="5" t="s">
        <v>25</v>
      </c>
      <c r="K2524" s="7" t="str">
        <f>VLOOKUP(A2524,Sheet2!$A$2:$R$3432,6,0)</f>
        <v>TVS Wego Basic</v>
      </c>
      <c r="L2524" s="5" t="s">
        <v>25</v>
      </c>
      <c r="M2524" s="7" t="str">
        <f>VLOOKUP(A2524,Sheet2!$A$2:$R$3432,5,0)</f>
        <v>MH14EW8529</v>
      </c>
      <c r="N2524" s="5" t="s">
        <v>25</v>
      </c>
      <c r="O2524" s="5" t="s">
        <v>25</v>
      </c>
      <c r="P2524" s="6" t="s">
        <v>25</v>
      </c>
      <c r="Q2524" s="5" t="s">
        <v>25</v>
      </c>
      <c r="R2524" s="5" t="s">
        <v>25</v>
      </c>
      <c r="S2524" s="7" t="str">
        <f>VLOOKUP(A2524,Sheet2!$A$2:$R$3432,18,0)</f>
        <v/>
      </c>
      <c r="T2524" s="7" t="str">
        <f>VLOOKUP(A2524,Sheet2!$A$2:$R$3432,17,0)</f>
        <v/>
      </c>
    </row>
    <row r="2525" ht="15.75" customHeight="1">
      <c r="A2525" s="3" t="s">
        <v>2548</v>
      </c>
      <c r="B2525" s="4" t="str">
        <f>VLOOKUP(A2525,Sheet2!$A$2:$R$3432,2,0)</f>
        <v>2024-11-11 19:26:10</v>
      </c>
      <c r="C2525" s="5" t="s">
        <v>25</v>
      </c>
      <c r="D2525" s="6" t="s">
        <v>25</v>
      </c>
      <c r="E2525" s="7">
        <f>VLOOKUP(A2525,Sheet2!$A$2:$R$3432,4,0)</f>
        <v>9763489598</v>
      </c>
      <c r="F2525" s="7" t="str">
        <f>VLOOKUP(A2525,Sheet2!$A$2:$R$3432,3,0)</f>
        <v>Vaibhav Kamthe</v>
      </c>
      <c r="G2525" s="5" t="s">
        <v>25</v>
      </c>
      <c r="H2525" s="5" t="s">
        <v>25</v>
      </c>
      <c r="I2525" s="5" t="s">
        <v>25</v>
      </c>
      <c r="J2525" s="5" t="s">
        <v>25</v>
      </c>
      <c r="K2525" s="7" t="str">
        <f>VLOOKUP(A2525,Sheet2!$A$2:$R$3432,6,0)</f>
        <v>Honda Activa 3G</v>
      </c>
      <c r="L2525" s="5" t="s">
        <v>25</v>
      </c>
      <c r="M2525" s="7" t="str">
        <f>VLOOKUP(A2525,Sheet2!$A$2:$R$3432,5,0)</f>
        <v>MH14FB3856</v>
      </c>
      <c r="N2525" s="5" t="s">
        <v>25</v>
      </c>
      <c r="O2525" s="5" t="s">
        <v>25</v>
      </c>
      <c r="P2525" s="6" t="s">
        <v>25</v>
      </c>
      <c r="Q2525" s="5" t="s">
        <v>25</v>
      </c>
      <c r="R2525" s="5" t="s">
        <v>25</v>
      </c>
      <c r="S2525" s="5" t="str">
        <f>VLOOKUP(A2525,Sheet2!$A$2:$R$3432,18,0)</f>
        <v>JF50ET2644032</v>
      </c>
      <c r="T2525" s="7" t="str">
        <f>VLOOKUP(A2525,Sheet2!$A$2:$R$3432,17,0)</f>
        <v>ME4JF504HFT642985</v>
      </c>
    </row>
    <row r="2526" ht="15.75" customHeight="1">
      <c r="A2526" s="3" t="s">
        <v>2549</v>
      </c>
      <c r="B2526" s="4" t="str">
        <f>VLOOKUP(A2526,Sheet2!$A$2:$R$3432,2,0)</f>
        <v>2024-11-11 19:28:37</v>
      </c>
      <c r="C2526" s="5" t="s">
        <v>25</v>
      </c>
      <c r="D2526" s="6" t="s">
        <v>25</v>
      </c>
      <c r="E2526" s="7">
        <f>VLOOKUP(A2526,Sheet2!$A$2:$R$3432,4,0)</f>
        <v>9588658734</v>
      </c>
      <c r="F2526" s="7" t="str">
        <f>VLOOKUP(A2526,Sheet2!$A$2:$R$3432,3,0)</f>
        <v>Chaudhary </v>
      </c>
      <c r="G2526" s="5" t="s">
        <v>25</v>
      </c>
      <c r="H2526" s="5" t="s">
        <v>25</v>
      </c>
      <c r="I2526" s="5" t="s">
        <v>25</v>
      </c>
      <c r="J2526" s="5" t="s">
        <v>25</v>
      </c>
      <c r="K2526" s="7" t="str">
        <f>VLOOKUP(A2526,Sheet2!$A$2:$R$3432,6,0)</f>
        <v>Bajaj Pulsar 200 NS</v>
      </c>
      <c r="L2526" s="5" t="s">
        <v>25</v>
      </c>
      <c r="M2526" s="7" t="str">
        <f>VLOOKUP(A2526,Sheet2!$A$2:$R$3432,5,0)</f>
        <v>MH12PX6281</v>
      </c>
      <c r="N2526" s="5" t="s">
        <v>25</v>
      </c>
      <c r="O2526" s="5" t="s">
        <v>25</v>
      </c>
      <c r="P2526" s="6" t="s">
        <v>25</v>
      </c>
      <c r="Q2526" s="5" t="s">
        <v>25</v>
      </c>
      <c r="R2526" s="5" t="s">
        <v>25</v>
      </c>
      <c r="S2526" s="7" t="str">
        <f>VLOOKUP(A2526,Sheet2!$A$2:$R$3432,18,0)</f>
        <v/>
      </c>
      <c r="T2526" s="7" t="str">
        <f>VLOOKUP(A2526,Sheet2!$A$2:$R$3432,17,0)</f>
        <v/>
      </c>
    </row>
    <row r="2527" ht="15.75" customHeight="1">
      <c r="A2527" s="3" t="s">
        <v>2550</v>
      </c>
      <c r="B2527" s="4" t="str">
        <f>VLOOKUP(A2527,Sheet2!$A$2:$R$3432,2,0)</f>
        <v>2024-11-11 19:21:28</v>
      </c>
      <c r="C2527" s="5" t="s">
        <v>25</v>
      </c>
      <c r="D2527" s="6" t="s">
        <v>25</v>
      </c>
      <c r="E2527" s="7">
        <f>VLOOKUP(A2527,Sheet2!$A$2:$R$3432,4,0)</f>
        <v>9823044007</v>
      </c>
      <c r="F2527" s="7" t="str">
        <f>VLOOKUP(A2527,Sheet2!$A$2:$R$3432,3,0)</f>
        <v>MAHADEV</v>
      </c>
      <c r="G2527" s="5" t="s">
        <v>25</v>
      </c>
      <c r="H2527" s="5" t="s">
        <v>25</v>
      </c>
      <c r="I2527" s="5" t="s">
        <v>25</v>
      </c>
      <c r="J2527" s="5" t="s">
        <v>25</v>
      </c>
      <c r="K2527" s="7" t="str">
        <f>VLOOKUP(A2527,Sheet2!$A$2:$R$3432,6,0)</f>
        <v>Bajaj Pulsar 150</v>
      </c>
      <c r="L2527" s="5" t="s">
        <v>25</v>
      </c>
      <c r="M2527" s="7" t="str">
        <f>VLOOKUP(A2527,Sheet2!$A$2:$R$3432,5,0)</f>
        <v>MH14DX2339</v>
      </c>
      <c r="N2527" s="5" t="s">
        <v>25</v>
      </c>
      <c r="O2527" s="5" t="s">
        <v>25</v>
      </c>
      <c r="P2527" s="6" t="s">
        <v>25</v>
      </c>
      <c r="Q2527" s="5" t="s">
        <v>25</v>
      </c>
      <c r="R2527" s="5" t="s">
        <v>25</v>
      </c>
      <c r="S2527" s="7" t="str">
        <f>VLOOKUP(A2527,Sheet2!$A$2:$R$3432,18,0)</f>
        <v/>
      </c>
      <c r="T2527" s="7" t="str">
        <f>VLOOKUP(A2527,Sheet2!$A$2:$R$3432,17,0)</f>
        <v/>
      </c>
    </row>
    <row r="2528" ht="15.75" customHeight="1">
      <c r="A2528" s="3" t="s">
        <v>2551</v>
      </c>
      <c r="B2528" s="4" t="str">
        <f>VLOOKUP(A2528,Sheet2!$A$2:$R$3432,2,0)</f>
        <v>2024-11-11 19:22:46</v>
      </c>
      <c r="C2528" s="5" t="s">
        <v>25</v>
      </c>
      <c r="D2528" s="6" t="s">
        <v>25</v>
      </c>
      <c r="E2528" s="7">
        <f>VLOOKUP(A2528,Sheet2!$A$2:$R$3432,4,0)</f>
        <v>9881124230</v>
      </c>
      <c r="F2528" s="7" t="str">
        <f>VLOOKUP(A2528,Sheet2!$A$2:$R$3432,3,0)</f>
        <v>SACHIN NAGARKAR </v>
      </c>
      <c r="G2528" s="5" t="s">
        <v>25</v>
      </c>
      <c r="H2528" s="5" t="s">
        <v>25</v>
      </c>
      <c r="I2528" s="5" t="s">
        <v>25</v>
      </c>
      <c r="J2528" s="5" t="s">
        <v>25</v>
      </c>
      <c r="K2528" s="7" t="str">
        <f>VLOOKUP(A2528,Sheet2!$A$2:$R$3432,6,0)</f>
        <v>TVS Jupiter No Data</v>
      </c>
      <c r="L2528" s="5" t="s">
        <v>25</v>
      </c>
      <c r="M2528" s="7" t="str">
        <f>VLOOKUP(A2528,Sheet2!$A$2:$R$3432,5,0)</f>
        <v>MH14JF0221</v>
      </c>
      <c r="N2528" s="5" t="s">
        <v>25</v>
      </c>
      <c r="O2528" s="5" t="s">
        <v>25</v>
      </c>
      <c r="P2528" s="6" t="s">
        <v>25</v>
      </c>
      <c r="Q2528" s="5" t="s">
        <v>25</v>
      </c>
      <c r="R2528" s="5" t="s">
        <v>25</v>
      </c>
      <c r="S2528" s="5" t="str">
        <f>VLOOKUP(A2528,Sheet2!$A$2:$R$3432,18,0)</f>
        <v>GG5HU800818</v>
      </c>
      <c r="T2528" s="7" t="str">
        <f>VLOOKUP(A2528,Sheet2!$A$2:$R$3432,17,0)</f>
        <v>MD626EG56L1400797</v>
      </c>
    </row>
    <row r="2529" ht="15.75" customHeight="1">
      <c r="A2529" s="3" t="s">
        <v>2552</v>
      </c>
      <c r="B2529" s="4" t="str">
        <f>VLOOKUP(A2529,Sheet2!$A$2:$R$3432,2,0)</f>
        <v>2024-11-11 20:25:46</v>
      </c>
      <c r="C2529" s="5" t="s">
        <v>25</v>
      </c>
      <c r="D2529" s="6" t="s">
        <v>25</v>
      </c>
      <c r="E2529" s="7">
        <f>VLOOKUP(A2529,Sheet2!$A$2:$R$3432,4,0)</f>
        <v>9404254482</v>
      </c>
      <c r="F2529" s="7" t="str">
        <f>VLOOKUP(A2529,Sheet2!$A$2:$R$3432,3,0)</f>
        <v>TEJAS RAUT</v>
      </c>
      <c r="G2529" s="5" t="s">
        <v>25</v>
      </c>
      <c r="H2529" s="5" t="s">
        <v>25</v>
      </c>
      <c r="I2529" s="5" t="s">
        <v>25</v>
      </c>
      <c r="J2529" s="5" t="s">
        <v>25</v>
      </c>
      <c r="K2529" s="7" t="str">
        <f>VLOOKUP(A2529,Sheet2!$A$2:$R$3432,6,0)</f>
        <v>Yamaha FZ V3</v>
      </c>
      <c r="L2529" s="5" t="s">
        <v>25</v>
      </c>
      <c r="M2529" s="7" t="str">
        <f>VLOOKUP(A2529,Sheet2!$A$2:$R$3432,5,0)</f>
        <v>MH37Y9323</v>
      </c>
      <c r="N2529" s="5" t="s">
        <v>25</v>
      </c>
      <c r="O2529" s="5" t="s">
        <v>25</v>
      </c>
      <c r="P2529" s="6" t="s">
        <v>25</v>
      </c>
      <c r="Q2529" s="5" t="s">
        <v>25</v>
      </c>
      <c r="R2529" s="5" t="s">
        <v>25</v>
      </c>
      <c r="S2529" s="5" t="str">
        <f>VLOOKUP(A2529,Sheet2!$A$2:$R$3432,18,0)</f>
        <v>G3L5E0097468</v>
      </c>
      <c r="T2529" s="7" t="str">
        <f>VLOOKUP(A2529,Sheet2!$A$2:$R$3432,17,0)</f>
        <v>ME1RG44G5K0035485</v>
      </c>
    </row>
    <row r="2530" ht="15.75" customHeight="1">
      <c r="A2530" s="3" t="s">
        <v>2553</v>
      </c>
      <c r="B2530" s="4" t="str">
        <f>VLOOKUP(A2530,Sheet2!$A$2:$R$3432,2,0)</f>
        <v>2024-11-11 20:46:47</v>
      </c>
      <c r="C2530" s="5" t="s">
        <v>25</v>
      </c>
      <c r="D2530" s="6" t="s">
        <v>25</v>
      </c>
      <c r="E2530" s="7">
        <f>VLOOKUP(A2530,Sheet2!$A$2:$R$3432,4,0)</f>
        <v>7972256029</v>
      </c>
      <c r="F2530" s="7" t="str">
        <f>VLOOKUP(A2530,Sheet2!$A$2:$R$3432,3,0)</f>
        <v>Aditya Ayyer</v>
      </c>
      <c r="G2530" s="5" t="s">
        <v>25</v>
      </c>
      <c r="H2530" s="5" t="s">
        <v>25</v>
      </c>
      <c r="I2530" s="5" t="s">
        <v>25</v>
      </c>
      <c r="J2530" s="5" t="s">
        <v>25</v>
      </c>
      <c r="K2530" s="7" t="str">
        <f>VLOOKUP(A2530,Sheet2!$A$2:$R$3432,6,0)</f>
        <v>Suzuki Gixxer SF</v>
      </c>
      <c r="L2530" s="5" t="s">
        <v>25</v>
      </c>
      <c r="M2530" s="7" t="str">
        <f>VLOOKUP(A2530,Sheet2!$A$2:$R$3432,5,0)</f>
        <v>MH12SC9514</v>
      </c>
      <c r="N2530" s="5" t="s">
        <v>25</v>
      </c>
      <c r="O2530" s="5" t="s">
        <v>25</v>
      </c>
      <c r="P2530" s="6" t="s">
        <v>25</v>
      </c>
      <c r="Q2530" s="5" t="s">
        <v>25</v>
      </c>
      <c r="R2530" s="5" t="s">
        <v>25</v>
      </c>
      <c r="S2530" s="7" t="str">
        <f>VLOOKUP(A2530,Sheet2!$A$2:$R$3432,18,0)</f>
        <v/>
      </c>
      <c r="T2530" s="7" t="str">
        <f>VLOOKUP(A2530,Sheet2!$A$2:$R$3432,17,0)</f>
        <v/>
      </c>
    </row>
    <row r="2531" ht="15.75" customHeight="1">
      <c r="A2531" s="3" t="s">
        <v>2554</v>
      </c>
      <c r="B2531" s="4" t="str">
        <f>VLOOKUP(A2531,Sheet2!$A$2:$R$3432,2,0)</f>
        <v>2024-11-11 19:19:27</v>
      </c>
      <c r="C2531" s="5" t="s">
        <v>25</v>
      </c>
      <c r="D2531" s="6" t="s">
        <v>25</v>
      </c>
      <c r="E2531" s="7">
        <f>VLOOKUP(A2531,Sheet2!$A$2:$R$3432,4,0)</f>
        <v>9915697333</v>
      </c>
      <c r="F2531" s="7" t="str">
        <f>VLOOKUP(A2531,Sheet2!$A$2:$R$3432,3,0)</f>
        <v>Siddhant Rai</v>
      </c>
      <c r="G2531" s="5" t="s">
        <v>25</v>
      </c>
      <c r="H2531" s="5" t="s">
        <v>25</v>
      </c>
      <c r="I2531" s="5" t="s">
        <v>25</v>
      </c>
      <c r="J2531" s="5" t="s">
        <v>25</v>
      </c>
      <c r="K2531" s="7" t="str">
        <f>VLOOKUP(A2531,Sheet2!$A$2:$R$3432,6,0)</f>
        <v>Bajaj Pulsar 160 NS</v>
      </c>
      <c r="L2531" s="5" t="s">
        <v>25</v>
      </c>
      <c r="M2531" s="7" t="str">
        <f>VLOOKUP(A2531,Sheet2!$A$2:$R$3432,5,0)</f>
        <v>MH14JZ6755</v>
      </c>
      <c r="N2531" s="5" t="s">
        <v>25</v>
      </c>
      <c r="O2531" s="5" t="s">
        <v>25</v>
      </c>
      <c r="P2531" s="6" t="s">
        <v>25</v>
      </c>
      <c r="Q2531" s="5" t="s">
        <v>25</v>
      </c>
      <c r="R2531" s="5" t="s">
        <v>25</v>
      </c>
      <c r="S2531" s="5" t="str">
        <f>VLOOKUP(A2531,Sheet2!$A$2:$R$3432,18,0)</f>
        <v>JFXCNM28587</v>
      </c>
      <c r="T2531" s="7" t="str">
        <f>VLOOKUP(A2531,Sheet2!$A$2:$R$3432,17,0)</f>
        <v>MD292DX0NCM07183</v>
      </c>
    </row>
    <row r="2532" ht="15.75" customHeight="1">
      <c r="A2532" s="3" t="s">
        <v>2555</v>
      </c>
      <c r="B2532" s="4" t="str">
        <f>VLOOKUP(A2532,Sheet2!$A$2:$R$3432,2,0)</f>
        <v>2024-09-25 16:40:29</v>
      </c>
      <c r="C2532" s="5" t="s">
        <v>25</v>
      </c>
      <c r="D2532" s="6" t="s">
        <v>25</v>
      </c>
      <c r="E2532" s="7">
        <f>VLOOKUP(A2532,Sheet2!$A$2:$R$3432,4,0)</f>
        <v>7016813823</v>
      </c>
      <c r="F2532" s="7" t="str">
        <f>VLOOKUP(A2532,Sheet2!$A$2:$R$3432,3,0)</f>
        <v>Neha Shah</v>
      </c>
      <c r="G2532" s="5" t="s">
        <v>25</v>
      </c>
      <c r="H2532" s="5" t="s">
        <v>25</v>
      </c>
      <c r="I2532" s="5" t="s">
        <v>25</v>
      </c>
      <c r="J2532" s="5" t="s">
        <v>25</v>
      </c>
      <c r="K2532" s="7" t="str">
        <f>VLOOKUP(A2532,Sheet2!$A$2:$R$3432,6,0)</f>
        <v>Suzuki Access 125</v>
      </c>
      <c r="L2532" s="5" t="s">
        <v>25</v>
      </c>
      <c r="M2532" s="7" t="str">
        <f>VLOOKUP(A2532,Sheet2!$A$2:$R$3432,5,0)</f>
        <v>MH14HL5742</v>
      </c>
      <c r="N2532" s="5" t="s">
        <v>25</v>
      </c>
      <c r="O2532" s="5" t="s">
        <v>25</v>
      </c>
      <c r="P2532" s="6" t="s">
        <v>25</v>
      </c>
      <c r="Q2532" s="5" t="s">
        <v>25</v>
      </c>
      <c r="R2532" s="5" t="s">
        <v>25</v>
      </c>
      <c r="S2532" s="7" t="str">
        <f>VLOOKUP(A2532,Sheet2!$A$2:$R$3432,18,0)</f>
        <v/>
      </c>
      <c r="T2532" s="7" t="str">
        <f>VLOOKUP(A2532,Sheet2!$A$2:$R$3432,17,0)</f>
        <v/>
      </c>
    </row>
    <row r="2533" ht="15.75" customHeight="1">
      <c r="A2533" s="3" t="s">
        <v>2556</v>
      </c>
      <c r="B2533" s="4" t="str">
        <f>VLOOKUP(A2533,Sheet2!$A$2:$R$3432,2,0)</f>
        <v>2024-09-25 20:41:40</v>
      </c>
      <c r="C2533" s="5" t="s">
        <v>25</v>
      </c>
      <c r="D2533" s="6" t="s">
        <v>25</v>
      </c>
      <c r="E2533" s="7">
        <f>VLOOKUP(A2533,Sheet2!$A$2:$R$3432,4,0)</f>
        <v>9145375748</v>
      </c>
      <c r="F2533" s="7" t="str">
        <f>VLOOKUP(A2533,Sheet2!$A$2:$R$3432,3,0)</f>
        <v>Kunal Patil</v>
      </c>
      <c r="G2533" s="5" t="s">
        <v>25</v>
      </c>
      <c r="H2533" s="5" t="s">
        <v>25</v>
      </c>
      <c r="I2533" s="5" t="s">
        <v>25</v>
      </c>
      <c r="J2533" s="5" t="s">
        <v>25</v>
      </c>
      <c r="K2533" s="7" t="str">
        <f>VLOOKUP(A2533,Sheet2!$A$2:$R$3432,6,0)</f>
        <v>Hero Maestro Dash/Edge</v>
      </c>
      <c r="L2533" s="5" t="s">
        <v>25</v>
      </c>
      <c r="M2533" s="7" t="str">
        <f>VLOOKUP(A2533,Sheet2!$A$2:$R$3432,5,0)</f>
        <v>MH28AW7987</v>
      </c>
      <c r="N2533" s="5" t="s">
        <v>25</v>
      </c>
      <c r="O2533" s="5" t="s">
        <v>25</v>
      </c>
      <c r="P2533" s="6" t="s">
        <v>25</v>
      </c>
      <c r="Q2533" s="5" t="s">
        <v>25</v>
      </c>
      <c r="R2533" s="5" t="s">
        <v>25</v>
      </c>
      <c r="S2533" s="5" t="str">
        <f>VLOOKUP(A2533,Sheet2!$A$2:$R$3432,18,0)</f>
        <v>JF33HBH4C19824</v>
      </c>
      <c r="T2533" s="7" t="str">
        <f>VLOOKUP(A2533,Sheet2!$A$2:$R$3432,17,0)</f>
        <v>RUSTY FRAME</v>
      </c>
    </row>
    <row r="2534" ht="15.75" customHeight="1">
      <c r="A2534" s="3" t="s">
        <v>2557</v>
      </c>
      <c r="B2534" s="4" t="str">
        <f>VLOOKUP(A2534,Sheet2!$A$2:$R$3432,2,0)</f>
        <v>2024-09-25 16:45:24</v>
      </c>
      <c r="C2534" s="5" t="s">
        <v>25</v>
      </c>
      <c r="D2534" s="6" t="s">
        <v>25</v>
      </c>
      <c r="E2534" s="7">
        <f>VLOOKUP(A2534,Sheet2!$A$2:$R$3432,4,0)</f>
        <v>9762364061</v>
      </c>
      <c r="F2534" s="7" t="str">
        <f>VLOOKUP(A2534,Sheet2!$A$2:$R$3432,3,0)</f>
        <v>Shantanu </v>
      </c>
      <c r="G2534" s="5" t="s">
        <v>25</v>
      </c>
      <c r="H2534" s="5" t="s">
        <v>25</v>
      </c>
      <c r="I2534" s="5" t="s">
        <v>25</v>
      </c>
      <c r="J2534" s="5" t="s">
        <v>25</v>
      </c>
      <c r="K2534" s="7" t="str">
        <f>VLOOKUP(A2534,Sheet2!$A$2:$R$3432,6,0)</f>
        <v>Honda Activa 125</v>
      </c>
      <c r="L2534" s="5" t="s">
        <v>25</v>
      </c>
      <c r="M2534" s="7" t="str">
        <f>VLOOKUP(A2534,Sheet2!$A$2:$R$3432,5,0)</f>
        <v>MH14JW9491</v>
      </c>
      <c r="N2534" s="5" t="s">
        <v>25</v>
      </c>
      <c r="O2534" s="5" t="s">
        <v>25</v>
      </c>
      <c r="P2534" s="6" t="s">
        <v>25</v>
      </c>
      <c r="Q2534" s="5" t="s">
        <v>25</v>
      </c>
      <c r="R2534" s="5" t="s">
        <v>25</v>
      </c>
      <c r="S2534" s="5" t="str">
        <f>VLOOKUP(A2534,Sheet2!$A$2:$R$3432,18,0)</f>
        <v>JFYCHK01687</v>
      </c>
      <c r="T2534" s="7" t="str">
        <f>VLOOKUP(A2534,Sheet2!$A$2:$R$3432,17,0)</f>
        <v>MD2A67KYXHCK01603</v>
      </c>
    </row>
    <row r="2535" ht="15.75" customHeight="1">
      <c r="A2535" s="3" t="s">
        <v>2558</v>
      </c>
      <c r="B2535" s="4" t="str">
        <f>VLOOKUP(A2535,Sheet2!$A$2:$R$3432,2,0)</f>
        <v>2024-09-25 16:41:04</v>
      </c>
      <c r="C2535" s="5" t="s">
        <v>25</v>
      </c>
      <c r="D2535" s="6" t="s">
        <v>25</v>
      </c>
      <c r="E2535" s="7">
        <f>VLOOKUP(A2535,Sheet2!$A$2:$R$3432,4,0)</f>
        <v>8237896089</v>
      </c>
      <c r="F2535" s="7" t="str">
        <f>VLOOKUP(A2535,Sheet2!$A$2:$R$3432,3,0)</f>
        <v>Sumit Naik</v>
      </c>
      <c r="G2535" s="5" t="s">
        <v>25</v>
      </c>
      <c r="H2535" s="5" t="s">
        <v>25</v>
      </c>
      <c r="I2535" s="5" t="s">
        <v>25</v>
      </c>
      <c r="J2535" s="5" t="s">
        <v>25</v>
      </c>
      <c r="K2535" s="7" t="str">
        <f>VLOOKUP(A2535,Sheet2!$A$2:$R$3432,6,0)</f>
        <v>Hero Pleasure New</v>
      </c>
      <c r="L2535" s="5" t="s">
        <v>25</v>
      </c>
      <c r="M2535" s="7" t="str">
        <f>VLOOKUP(A2535,Sheet2!$A$2:$R$3432,5,0)</f>
        <v>MH14HS3219</v>
      </c>
      <c r="N2535" s="5" t="s">
        <v>25</v>
      </c>
      <c r="O2535" s="5" t="s">
        <v>25</v>
      </c>
      <c r="P2535" s="6" t="s">
        <v>25</v>
      </c>
      <c r="Q2535" s="5" t="s">
        <v>25</v>
      </c>
      <c r="R2535" s="5" t="s">
        <v>25</v>
      </c>
      <c r="S2535" s="7" t="str">
        <f>VLOOKUP(A2535,Sheet2!$A$2:$R$3432,18,0)</f>
        <v/>
      </c>
      <c r="T2535" s="7" t="str">
        <f>VLOOKUP(A2535,Sheet2!$A$2:$R$3432,17,0)</f>
        <v>MBLJFN033KGG01121</v>
      </c>
    </row>
    <row r="2536" ht="15.75" customHeight="1">
      <c r="A2536" s="3" t="s">
        <v>2559</v>
      </c>
      <c r="B2536" s="4" t="str">
        <f>VLOOKUP(A2536,Sheet2!$A$2:$R$3432,2,0)</f>
        <v>2024-09-25 16:43:24</v>
      </c>
      <c r="C2536" s="5" t="s">
        <v>25</v>
      </c>
      <c r="D2536" s="6" t="s">
        <v>25</v>
      </c>
      <c r="E2536" s="7">
        <f>VLOOKUP(A2536,Sheet2!$A$2:$R$3432,4,0)</f>
        <v>8982816414</v>
      </c>
      <c r="F2536" s="7" t="str">
        <f>VLOOKUP(A2536,Sheet2!$A$2:$R$3432,3,0)</f>
        <v>SUBHANSH</v>
      </c>
      <c r="G2536" s="5" t="s">
        <v>25</v>
      </c>
      <c r="H2536" s="5" t="s">
        <v>25</v>
      </c>
      <c r="I2536" s="5" t="s">
        <v>25</v>
      </c>
      <c r="J2536" s="5" t="s">
        <v>25</v>
      </c>
      <c r="K2536" s="7" t="str">
        <f>VLOOKUP(A2536,Sheet2!$A$2:$R$3432,6,0)</f>
        <v>Bajaj Discover 150 F</v>
      </c>
      <c r="L2536" s="5" t="s">
        <v>25</v>
      </c>
      <c r="M2536" s="7" t="str">
        <f>VLOOKUP(A2536,Sheet2!$A$2:$R$3432,5,0)</f>
        <v>CG07AU9041</v>
      </c>
      <c r="N2536" s="5" t="s">
        <v>25</v>
      </c>
      <c r="O2536" s="5" t="s">
        <v>25</v>
      </c>
      <c r="P2536" s="6" t="s">
        <v>25</v>
      </c>
      <c r="Q2536" s="5" t="s">
        <v>25</v>
      </c>
      <c r="R2536" s="5" t="s">
        <v>25</v>
      </c>
      <c r="S2536" s="7" t="str">
        <f>VLOOKUP(A2536,Sheet2!$A$2:$R$3432,18,0)</f>
        <v/>
      </c>
      <c r="T2536" s="7" t="str">
        <f>VLOOKUP(A2536,Sheet2!$A$2:$R$3432,17,0)</f>
        <v/>
      </c>
    </row>
    <row r="2537" ht="15.75" customHeight="1">
      <c r="A2537" s="3" t="s">
        <v>2560</v>
      </c>
      <c r="B2537" s="4" t="str">
        <f>VLOOKUP(A2537,Sheet2!$A$2:$R$3432,2,0)</f>
        <v>2024-09-25 16:44:59</v>
      </c>
      <c r="C2537" s="5" t="s">
        <v>25</v>
      </c>
      <c r="D2537" s="6" t="s">
        <v>25</v>
      </c>
      <c r="E2537" s="7">
        <f>VLOOKUP(A2537,Sheet2!$A$2:$R$3432,4,0)</f>
        <v>8830413471</v>
      </c>
      <c r="F2537" s="7" t="str">
        <f>VLOOKUP(A2537,Sheet2!$A$2:$R$3432,3,0)</f>
        <v>RAJU</v>
      </c>
      <c r="G2537" s="5" t="s">
        <v>25</v>
      </c>
      <c r="H2537" s="5" t="s">
        <v>25</v>
      </c>
      <c r="I2537" s="5" t="s">
        <v>25</v>
      </c>
      <c r="J2537" s="5" t="s">
        <v>25</v>
      </c>
      <c r="K2537" s="7" t="str">
        <f>VLOOKUP(A2537,Sheet2!$A$2:$R$3432,6,0)</f>
        <v>Honda SP 125 Disc</v>
      </c>
      <c r="L2537" s="5" t="s">
        <v>25</v>
      </c>
      <c r="M2537" s="7" t="str">
        <f>VLOOKUP(A2537,Sheet2!$A$2:$R$3432,5,0)</f>
        <v>MH38AE1912</v>
      </c>
      <c r="N2537" s="5" t="s">
        <v>25</v>
      </c>
      <c r="O2537" s="5" t="s">
        <v>25</v>
      </c>
      <c r="P2537" s="6" t="s">
        <v>25</v>
      </c>
      <c r="Q2537" s="5" t="s">
        <v>25</v>
      </c>
      <c r="R2537" s="5" t="s">
        <v>25</v>
      </c>
      <c r="S2537" s="5" t="str">
        <f>VLOOKUP(A2537,Sheet2!$A$2:$R$3432,18,0)</f>
        <v>JC83EG3223197</v>
      </c>
      <c r="T2537" s="7" t="str">
        <f>VLOOKUP(A2537,Sheet2!$A$2:$R$3432,17,0)</f>
        <v>ME4JC83DGNG111447</v>
      </c>
    </row>
    <row r="2538" ht="15.75" customHeight="1">
      <c r="A2538" s="3" t="s">
        <v>2561</v>
      </c>
      <c r="B2538" s="4" t="str">
        <f>VLOOKUP(A2538,Sheet2!$A$2:$R$3432,2,0)</f>
        <v>2024-09-25 16:44:23</v>
      </c>
      <c r="C2538" s="5" t="s">
        <v>25</v>
      </c>
      <c r="D2538" s="6" t="s">
        <v>25</v>
      </c>
      <c r="E2538" s="7">
        <f>VLOOKUP(A2538,Sheet2!$A$2:$R$3432,4,0)</f>
        <v>7276567166</v>
      </c>
      <c r="F2538" s="7" t="str">
        <f>VLOOKUP(A2538,Sheet2!$A$2:$R$3432,3,0)</f>
        <v>PARAG AGNIHOTRI </v>
      </c>
      <c r="G2538" s="5" t="s">
        <v>25</v>
      </c>
      <c r="H2538" s="5" t="s">
        <v>25</v>
      </c>
      <c r="I2538" s="5" t="s">
        <v>25</v>
      </c>
      <c r="J2538" s="5" t="s">
        <v>25</v>
      </c>
      <c r="K2538" s="7" t="str">
        <f>VLOOKUP(A2538,Sheet2!$A$2:$R$3432,6,0)</f>
        <v>TVS Jupiter BS6</v>
      </c>
      <c r="L2538" s="5" t="s">
        <v>25</v>
      </c>
      <c r="M2538" s="7" t="str">
        <f>VLOOKUP(A2538,Sheet2!$A$2:$R$3432,5,0)</f>
        <v>MH12UG2776</v>
      </c>
      <c r="N2538" s="5" t="s">
        <v>25</v>
      </c>
      <c r="O2538" s="5" t="s">
        <v>25</v>
      </c>
      <c r="P2538" s="6" t="s">
        <v>25</v>
      </c>
      <c r="Q2538" s="5" t="s">
        <v>25</v>
      </c>
      <c r="R2538" s="5" t="s">
        <v>25</v>
      </c>
      <c r="S2538" s="5" t="str">
        <f>VLOOKUP(A2538,Sheet2!$A$2:$R$3432,18,0)</f>
        <v>GL5DN1101452</v>
      </c>
      <c r="T2538" s="7" t="str">
        <f>VLOOKUP(A2538,Sheet2!$A$2:$R$3432,17,0)</f>
        <v>MD626EG5TN1D01699</v>
      </c>
    </row>
    <row r="2539" ht="15.75" customHeight="1">
      <c r="A2539" s="3" t="s">
        <v>2562</v>
      </c>
      <c r="B2539" s="4" t="str">
        <f>VLOOKUP(A2539,Sheet2!$A$2:$R$3432,2,0)</f>
        <v>2024-09-25 16:30:06</v>
      </c>
      <c r="C2539" s="5" t="s">
        <v>25</v>
      </c>
      <c r="D2539" s="6" t="s">
        <v>25</v>
      </c>
      <c r="E2539" s="7">
        <f>VLOOKUP(A2539,Sheet2!$A$2:$R$3432,4,0)</f>
        <v>9833114601</v>
      </c>
      <c r="F2539" s="7" t="str">
        <f>VLOOKUP(A2539,Sheet2!$A$2:$R$3432,3,0)</f>
        <v>RAMESH CHAUDHARI </v>
      </c>
      <c r="G2539" s="5" t="s">
        <v>25</v>
      </c>
      <c r="H2539" s="5" t="s">
        <v>25</v>
      </c>
      <c r="I2539" s="5" t="s">
        <v>25</v>
      </c>
      <c r="J2539" s="5" t="s">
        <v>25</v>
      </c>
      <c r="K2539" s="7" t="str">
        <f>VLOOKUP(A2539,Sheet2!$A$2:$R$3432,6,0)</f>
        <v>Hero Splendor iSmart</v>
      </c>
      <c r="L2539" s="5" t="s">
        <v>25</v>
      </c>
      <c r="M2539" s="7" t="str">
        <f>VLOOKUP(A2539,Sheet2!$A$2:$R$3432,5,0)</f>
        <v>MH12MS4558</v>
      </c>
      <c r="N2539" s="5" t="s">
        <v>25</v>
      </c>
      <c r="O2539" s="5" t="s">
        <v>25</v>
      </c>
      <c r="P2539" s="6" t="s">
        <v>25</v>
      </c>
      <c r="Q2539" s="5" t="s">
        <v>25</v>
      </c>
      <c r="R2539" s="5" t="s">
        <v>25</v>
      </c>
      <c r="S2539" s="5" t="str">
        <f>VLOOKUP(A2539,Sheet2!$A$2:$R$3432,18,0)</f>
        <v>HA10EYFHL61084</v>
      </c>
      <c r="T2539" s="7" t="str">
        <f>VLOOKUP(A2539,Sheet2!$A$2:$R$3432,17,0)</f>
        <v>MBLHA10CAFHL31765</v>
      </c>
    </row>
    <row r="2540" ht="15.75" customHeight="1">
      <c r="A2540" s="3" t="s">
        <v>2563</v>
      </c>
      <c r="B2540" s="4" t="str">
        <f>VLOOKUP(A2540,Sheet2!$A$2:$R$3432,2,0)</f>
        <v>2024-09-25 16:39:43</v>
      </c>
      <c r="C2540" s="5" t="s">
        <v>25</v>
      </c>
      <c r="D2540" s="6" t="s">
        <v>25</v>
      </c>
      <c r="E2540" s="7">
        <f>VLOOKUP(A2540,Sheet2!$A$2:$R$3432,4,0)</f>
        <v>9823120418</v>
      </c>
      <c r="F2540" s="7" t="str">
        <f>VLOOKUP(A2540,Sheet2!$A$2:$R$3432,3,0)</f>
        <v>Vikram Jadhav </v>
      </c>
      <c r="G2540" s="5" t="s">
        <v>25</v>
      </c>
      <c r="H2540" s="5" t="s">
        <v>25</v>
      </c>
      <c r="I2540" s="5" t="s">
        <v>25</v>
      </c>
      <c r="J2540" s="5" t="s">
        <v>25</v>
      </c>
      <c r="K2540" s="7" t="str">
        <f>VLOOKUP(A2540,Sheet2!$A$2:$R$3432,6,0)</f>
        <v>Bajaj Pulsar 135</v>
      </c>
      <c r="L2540" s="5" t="s">
        <v>25</v>
      </c>
      <c r="M2540" s="7" t="str">
        <f>VLOOKUP(A2540,Sheet2!$A$2:$R$3432,5,0)</f>
        <v>MH14CB1303</v>
      </c>
      <c r="N2540" s="5" t="s">
        <v>25</v>
      </c>
      <c r="O2540" s="5" t="s">
        <v>25</v>
      </c>
      <c r="P2540" s="6" t="s">
        <v>25</v>
      </c>
      <c r="Q2540" s="5" t="s">
        <v>25</v>
      </c>
      <c r="R2540" s="5" t="s">
        <v>25</v>
      </c>
      <c r="S2540" s="5" t="str">
        <f>VLOOKUP(A2540,Sheet2!$A$2:$R$3432,18,0)</f>
        <v>JEGBSL63290</v>
      </c>
      <c r="T2540" s="7" t="str">
        <f>VLOOKUP(A2540,Sheet2!$A$2:$R$3432,17,0)</f>
        <v>MD2JDZZ5CL63081</v>
      </c>
    </row>
    <row r="2541" ht="15.75" customHeight="1">
      <c r="A2541" s="3" t="s">
        <v>2564</v>
      </c>
      <c r="B2541" s="4" t="str">
        <f>VLOOKUP(A2541,Sheet2!$A$2:$R$3432,2,0)</f>
        <v>2024-09-25 20:43:37</v>
      </c>
      <c r="C2541" s="5" t="s">
        <v>25</v>
      </c>
      <c r="D2541" s="6" t="s">
        <v>25</v>
      </c>
      <c r="E2541" s="7">
        <f>VLOOKUP(A2541,Sheet2!$A$2:$R$3432,4,0)</f>
        <v>9352808907</v>
      </c>
      <c r="F2541" s="7" t="str">
        <f>VLOOKUP(A2541,Sheet2!$A$2:$R$3432,3,0)</f>
        <v>Prakash </v>
      </c>
      <c r="G2541" s="5" t="s">
        <v>25</v>
      </c>
      <c r="H2541" s="5" t="s">
        <v>25</v>
      </c>
      <c r="I2541" s="5" t="s">
        <v>25</v>
      </c>
      <c r="J2541" s="5" t="s">
        <v>25</v>
      </c>
      <c r="K2541" s="7" t="str">
        <f>VLOOKUP(A2541,Sheet2!$A$2:$R$3432,6,0)</f>
        <v>Honda Unicorn </v>
      </c>
      <c r="L2541" s="5" t="s">
        <v>25</v>
      </c>
      <c r="M2541" s="7" t="str">
        <f>VLOOKUP(A2541,Sheet2!$A$2:$R$3432,5,0)</f>
        <v>MH12PP1297</v>
      </c>
      <c r="N2541" s="5" t="s">
        <v>25</v>
      </c>
      <c r="O2541" s="5" t="s">
        <v>25</v>
      </c>
      <c r="P2541" s="6" t="s">
        <v>25</v>
      </c>
      <c r="Q2541" s="5" t="s">
        <v>25</v>
      </c>
      <c r="R2541" s="5" t="s">
        <v>25</v>
      </c>
      <c r="S2541" s="5" t="str">
        <f>VLOOKUP(A2541,Sheet2!$A$2:$R$3432,18,0)</f>
        <v>KC31E80060948</v>
      </c>
      <c r="T2541" s="7" t="str">
        <f>VLOOKUP(A2541,Sheet2!$A$2:$R$3432,17,0)</f>
        <v>ME4KC311FH8060861</v>
      </c>
    </row>
    <row r="2542" ht="15.75" customHeight="1">
      <c r="A2542" s="3" t="s">
        <v>2565</v>
      </c>
      <c r="B2542" s="4" t="str">
        <f>VLOOKUP(A2542,Sheet2!$A$2:$R$3432,2,0)</f>
        <v>2024-09-25 16:38:18</v>
      </c>
      <c r="C2542" s="5" t="s">
        <v>25</v>
      </c>
      <c r="D2542" s="6" t="s">
        <v>25</v>
      </c>
      <c r="E2542" s="7">
        <f>VLOOKUP(A2542,Sheet2!$A$2:$R$3432,4,0)</f>
        <v>8087274976</v>
      </c>
      <c r="F2542" s="7" t="str">
        <f>VLOOKUP(A2542,Sheet2!$A$2:$R$3432,3,0)</f>
        <v>Vikas Chauhan </v>
      </c>
      <c r="G2542" s="5" t="s">
        <v>25</v>
      </c>
      <c r="H2542" s="5" t="s">
        <v>25</v>
      </c>
      <c r="I2542" s="5" t="s">
        <v>25</v>
      </c>
      <c r="J2542" s="5" t="s">
        <v>25</v>
      </c>
      <c r="K2542" s="7" t="str">
        <f>VLOOKUP(A2542,Sheet2!$A$2:$R$3432,6,0)</f>
        <v>Yamaha FZ V3</v>
      </c>
      <c r="L2542" s="5" t="s">
        <v>25</v>
      </c>
      <c r="M2542" s="7" t="str">
        <f>VLOOKUP(A2542,Sheet2!$A$2:$R$3432,5,0)</f>
        <v>MH14KE9146</v>
      </c>
      <c r="N2542" s="5" t="s">
        <v>25</v>
      </c>
      <c r="O2542" s="5" t="s">
        <v>25</v>
      </c>
      <c r="P2542" s="6" t="s">
        <v>25</v>
      </c>
      <c r="Q2542" s="5" t="s">
        <v>25</v>
      </c>
      <c r="R2542" s="5" t="s">
        <v>25</v>
      </c>
      <c r="S2542" s="5" t="str">
        <f>VLOOKUP(A2542,Sheet2!$A$2:$R$3432,18,0)</f>
        <v>63N3ED026599</v>
      </c>
      <c r="T2542" s="7" t="str">
        <f>VLOOKUP(A2542,Sheet2!$A$2:$R$3432,17,0)</f>
        <v>ME1RG60B6N0D48Z3</v>
      </c>
    </row>
    <row r="2543" ht="15.75" customHeight="1">
      <c r="A2543" s="3" t="s">
        <v>2566</v>
      </c>
      <c r="B2543" s="4" t="str">
        <f>VLOOKUP(A2543,Sheet2!$A$2:$R$3432,2,0)</f>
        <v>2024-09-25 20:42:51</v>
      </c>
      <c r="C2543" s="5" t="s">
        <v>25</v>
      </c>
      <c r="D2543" s="6" t="s">
        <v>25</v>
      </c>
      <c r="E2543" s="7">
        <f>VLOOKUP(A2543,Sheet2!$A$2:$R$3432,4,0)</f>
        <v>9168722409</v>
      </c>
      <c r="F2543" s="7" t="str">
        <f>VLOOKUP(A2543,Sheet2!$A$2:$R$3432,3,0)</f>
        <v>ROHIT</v>
      </c>
      <c r="G2543" s="5" t="s">
        <v>25</v>
      </c>
      <c r="H2543" s="5" t="s">
        <v>25</v>
      </c>
      <c r="I2543" s="5" t="s">
        <v>25</v>
      </c>
      <c r="J2543" s="5" t="s">
        <v>25</v>
      </c>
      <c r="K2543" s="7" t="str">
        <f>VLOOKUP(A2543,Sheet2!$A$2:$R$3432,6,0)</f>
        <v>Bajaj Pulsar 200 RS</v>
      </c>
      <c r="L2543" s="5" t="s">
        <v>25</v>
      </c>
      <c r="M2543" s="7" t="str">
        <f>VLOOKUP(A2543,Sheet2!$A$2:$R$3432,5,0)</f>
        <v>MH12PG7717</v>
      </c>
      <c r="N2543" s="5" t="s">
        <v>25</v>
      </c>
      <c r="O2543" s="5" t="s">
        <v>25</v>
      </c>
      <c r="P2543" s="6" t="s">
        <v>25</v>
      </c>
      <c r="Q2543" s="5" t="s">
        <v>25</v>
      </c>
      <c r="R2543" s="5" t="s">
        <v>25</v>
      </c>
      <c r="S2543" s="7" t="str">
        <f>VLOOKUP(A2543,Sheet2!$A$2:$R$3432,18,0)</f>
        <v/>
      </c>
      <c r="T2543" s="7" t="str">
        <f>VLOOKUP(A2543,Sheet2!$A$2:$R$3432,17,0)</f>
        <v/>
      </c>
    </row>
    <row r="2544" ht="15.75" customHeight="1">
      <c r="A2544" s="3" t="s">
        <v>2567</v>
      </c>
      <c r="B2544" s="4" t="str">
        <f>VLOOKUP(A2544,Sheet2!$A$2:$R$3432,2,0)</f>
        <v>2025-03-27 09:49:41</v>
      </c>
      <c r="C2544" s="5" t="s">
        <v>25</v>
      </c>
      <c r="D2544" s="6" t="s">
        <v>25</v>
      </c>
      <c r="E2544" s="7">
        <f>VLOOKUP(A2544,Sheet2!$A$2:$R$3432,4,0)</f>
        <v>9823142250</v>
      </c>
      <c r="F2544" s="7" t="str">
        <f>VLOOKUP(A2544,Sheet2!$A$2:$R$3432,3,0)</f>
        <v>Vaidya</v>
      </c>
      <c r="G2544" s="5" t="s">
        <v>25</v>
      </c>
      <c r="H2544" s="5" t="s">
        <v>25</v>
      </c>
      <c r="I2544" s="5" t="s">
        <v>25</v>
      </c>
      <c r="J2544" s="5" t="s">
        <v>25</v>
      </c>
      <c r="K2544" s="7" t="str">
        <f>VLOOKUP(A2544,Sheet2!$A$2:$R$3432,6,0)</f>
        <v>Honda Activa </v>
      </c>
      <c r="L2544" s="5" t="s">
        <v>25</v>
      </c>
      <c r="M2544" s="7" t="str">
        <f>VLOOKUP(A2544,Sheet2!$A$2:$R$3432,5,0)</f>
        <v>MH12KS9233</v>
      </c>
      <c r="N2544" s="5" t="s">
        <v>25</v>
      </c>
      <c r="O2544" s="5" t="s">
        <v>25</v>
      </c>
      <c r="P2544" s="6" t="s">
        <v>25</v>
      </c>
      <c r="Q2544" s="5" t="s">
        <v>25</v>
      </c>
      <c r="R2544" s="5" t="s">
        <v>25</v>
      </c>
      <c r="S2544" s="5" t="str">
        <f>VLOOKUP(A2544,Sheet2!$A$2:$R$3432,18,0)</f>
        <v>JF50E7053833</v>
      </c>
      <c r="T2544" s="7" t="str">
        <f>VLOOKUP(A2544,Sheet2!$A$2:$R$3432,17,0)</f>
        <v>ME4JF501AE7536861861</v>
      </c>
    </row>
    <row r="2545" ht="15.75" customHeight="1">
      <c r="A2545" s="3" t="s">
        <v>2568</v>
      </c>
      <c r="B2545" s="4" t="str">
        <f>VLOOKUP(A2545,Sheet2!$A$2:$R$3432,2,0)</f>
        <v>2025-03-27 19:32:09</v>
      </c>
      <c r="C2545" s="5" t="s">
        <v>25</v>
      </c>
      <c r="D2545" s="6" t="s">
        <v>25</v>
      </c>
      <c r="E2545" s="7">
        <f>VLOOKUP(A2545,Sheet2!$A$2:$R$3432,4,0)</f>
        <v>9822478157</v>
      </c>
      <c r="F2545" s="7" t="str">
        <f>VLOOKUP(A2545,Sheet2!$A$2:$R$3432,3,0)</f>
        <v>UMESH DAHIA</v>
      </c>
      <c r="G2545" s="5" t="s">
        <v>25</v>
      </c>
      <c r="H2545" s="5" t="s">
        <v>25</v>
      </c>
      <c r="I2545" s="5" t="s">
        <v>25</v>
      </c>
      <c r="J2545" s="5" t="s">
        <v>25</v>
      </c>
      <c r="K2545" s="7" t="str">
        <f>VLOOKUP(A2545,Sheet2!$A$2:$R$3432,6,0)</f>
        <v>TVS Jupiter Grande</v>
      </c>
      <c r="L2545" s="5" t="s">
        <v>25</v>
      </c>
      <c r="M2545" s="7" t="str">
        <f>VLOOKUP(A2545,Sheet2!$A$2:$R$3432,5,0)</f>
        <v>MH14HL5108</v>
      </c>
      <c r="N2545" s="5" t="s">
        <v>25</v>
      </c>
      <c r="O2545" s="5" t="s">
        <v>25</v>
      </c>
      <c r="P2545" s="6" t="s">
        <v>25</v>
      </c>
      <c r="Q2545" s="5" t="s">
        <v>25</v>
      </c>
      <c r="R2545" s="5" t="s">
        <v>25</v>
      </c>
      <c r="S2545" s="7" t="str">
        <f>VLOOKUP(A2545,Sheet2!$A$2:$R$3432,18,0)</f>
        <v/>
      </c>
      <c r="T2545" s="7" t="str">
        <f>VLOOKUP(A2545,Sheet2!$A$2:$R$3432,17,0)</f>
        <v/>
      </c>
    </row>
    <row r="2546" ht="15.75" customHeight="1">
      <c r="A2546" s="3" t="s">
        <v>2569</v>
      </c>
      <c r="B2546" s="4" t="str">
        <f>VLOOKUP(A2546,Sheet2!$A$2:$R$3432,2,0)</f>
        <v>2025-03-27 19:32:46</v>
      </c>
      <c r="C2546" s="5" t="s">
        <v>25</v>
      </c>
      <c r="D2546" s="6" t="s">
        <v>25</v>
      </c>
      <c r="E2546" s="7">
        <f>VLOOKUP(A2546,Sheet2!$A$2:$R$3432,4,0)</f>
        <v>9890419482</v>
      </c>
      <c r="F2546" s="7" t="str">
        <f>VLOOKUP(A2546,Sheet2!$A$2:$R$3432,3,0)</f>
        <v>AMEY PAWAR</v>
      </c>
      <c r="G2546" s="5" t="s">
        <v>25</v>
      </c>
      <c r="H2546" s="5" t="s">
        <v>25</v>
      </c>
      <c r="I2546" s="5" t="s">
        <v>25</v>
      </c>
      <c r="J2546" s="5" t="s">
        <v>25</v>
      </c>
      <c r="K2546" s="7" t="str">
        <f>VLOOKUP(A2546,Sheet2!$A$2:$R$3432,6,0)</f>
        <v>TVS Jupiter </v>
      </c>
      <c r="L2546" s="5" t="s">
        <v>25</v>
      </c>
      <c r="M2546" s="7" t="str">
        <f>VLOOKUP(A2546,Sheet2!$A$2:$R$3432,5,0)</f>
        <v>MH14HS2860</v>
      </c>
      <c r="N2546" s="5" t="s">
        <v>25</v>
      </c>
      <c r="O2546" s="5" t="s">
        <v>25</v>
      </c>
      <c r="P2546" s="6" t="s">
        <v>25</v>
      </c>
      <c r="Q2546" s="5" t="s">
        <v>25</v>
      </c>
      <c r="R2546" s="5" t="s">
        <v>25</v>
      </c>
      <c r="S2546" s="5" t="str">
        <f>VLOOKUP(A2546,Sheet2!$A$2:$R$3432,18,0)</f>
        <v>DG9FK2708838</v>
      </c>
      <c r="T2546" s="7" t="str">
        <f>VLOOKUP(A2546,Sheet2!$A$2:$R$3432,17,0)</f>
        <v>MD626EG41F19325</v>
      </c>
    </row>
    <row r="2547" ht="15.75" customHeight="1">
      <c r="A2547" s="3" t="s">
        <v>2570</v>
      </c>
      <c r="B2547" s="4" t="str">
        <f>VLOOKUP(A2547,Sheet2!$A$2:$R$3432,2,0)</f>
        <v>2025-03-27 19:33:24</v>
      </c>
      <c r="C2547" s="5" t="s">
        <v>25</v>
      </c>
      <c r="D2547" s="6" t="s">
        <v>25</v>
      </c>
      <c r="E2547" s="7">
        <f>VLOOKUP(A2547,Sheet2!$A$2:$R$3432,4,0)</f>
        <v>9890653278</v>
      </c>
      <c r="F2547" s="7" t="str">
        <f>VLOOKUP(A2547,Sheet2!$A$2:$R$3432,3,0)</f>
        <v>Vikas Ranjane</v>
      </c>
      <c r="G2547" s="5" t="s">
        <v>25</v>
      </c>
      <c r="H2547" s="5" t="s">
        <v>25</v>
      </c>
      <c r="I2547" s="5" t="s">
        <v>25</v>
      </c>
      <c r="J2547" s="5" t="s">
        <v>25</v>
      </c>
      <c r="K2547" s="7" t="str">
        <f>VLOOKUP(A2547,Sheet2!$A$2:$R$3432,6,0)</f>
        <v>Honda Activa 125</v>
      </c>
      <c r="L2547" s="5" t="s">
        <v>25</v>
      </c>
      <c r="M2547" s="7" t="str">
        <f>VLOOKUP(A2547,Sheet2!$A$2:$R$3432,5,0)</f>
        <v>MH14EV3302</v>
      </c>
      <c r="N2547" s="5" t="s">
        <v>25</v>
      </c>
      <c r="O2547" s="5" t="s">
        <v>25</v>
      </c>
      <c r="P2547" s="6" t="s">
        <v>25</v>
      </c>
      <c r="Q2547" s="5" t="s">
        <v>25</v>
      </c>
      <c r="R2547" s="5" t="s">
        <v>25</v>
      </c>
      <c r="S2547" s="7" t="str">
        <f>VLOOKUP(A2547,Sheet2!$A$2:$R$3432,18,0)</f>
        <v/>
      </c>
      <c r="T2547" s="7" t="str">
        <f>VLOOKUP(A2547,Sheet2!$A$2:$R$3432,17,0)</f>
        <v/>
      </c>
    </row>
    <row r="2548" ht="15.75" customHeight="1">
      <c r="A2548" s="3" t="s">
        <v>2571</v>
      </c>
      <c r="B2548" s="4" t="str">
        <f>VLOOKUP(A2548,Sheet2!$A$2:$R$3432,2,0)</f>
        <v>2025-03-27 19:34:08</v>
      </c>
      <c r="C2548" s="5" t="s">
        <v>25</v>
      </c>
      <c r="D2548" s="6" t="s">
        <v>25</v>
      </c>
      <c r="E2548" s="7">
        <f>VLOOKUP(A2548,Sheet2!$A$2:$R$3432,4,0)</f>
        <v>8805025519</v>
      </c>
      <c r="F2548" s="7" t="str">
        <f>VLOOKUP(A2548,Sheet2!$A$2:$R$3432,3,0)</f>
        <v>UDAY</v>
      </c>
      <c r="G2548" s="5" t="s">
        <v>25</v>
      </c>
      <c r="H2548" s="5" t="s">
        <v>25</v>
      </c>
      <c r="I2548" s="5" t="s">
        <v>25</v>
      </c>
      <c r="J2548" s="5" t="s">
        <v>25</v>
      </c>
      <c r="K2548" s="7" t="str">
        <f>VLOOKUP(A2548,Sheet2!$A$2:$R$3432,6,0)</f>
        <v>KTM Duke 390</v>
      </c>
      <c r="L2548" s="5" t="s">
        <v>25</v>
      </c>
      <c r="M2548" s="7" t="str">
        <f>VLOOKUP(A2548,Sheet2!$A$2:$R$3432,5,0)</f>
        <v>MH12NK2893</v>
      </c>
      <c r="N2548" s="5" t="s">
        <v>25</v>
      </c>
      <c r="O2548" s="5" t="s">
        <v>25</v>
      </c>
      <c r="P2548" s="6" t="s">
        <v>25</v>
      </c>
      <c r="Q2548" s="5" t="s">
        <v>25</v>
      </c>
      <c r="R2548" s="5" t="s">
        <v>25</v>
      </c>
      <c r="S2548" s="7" t="str">
        <f>VLOOKUP(A2548,Sheet2!$A$2:$R$3432,18,0)</f>
        <v/>
      </c>
      <c r="T2548" s="7" t="str">
        <f>VLOOKUP(A2548,Sheet2!$A$2:$R$3432,17,0)</f>
        <v/>
      </c>
    </row>
    <row r="2549" ht="15.75" customHeight="1">
      <c r="A2549" s="3" t="s">
        <v>2572</v>
      </c>
      <c r="B2549" s="4" t="str">
        <f>VLOOKUP(A2549,Sheet2!$A$2:$R$3432,2,0)</f>
        <v>2025-03-27 19:35:22</v>
      </c>
      <c r="C2549" s="5" t="s">
        <v>25</v>
      </c>
      <c r="D2549" s="6" t="s">
        <v>25</v>
      </c>
      <c r="E2549" s="7">
        <f>VLOOKUP(A2549,Sheet2!$A$2:$R$3432,4,0)</f>
        <v>8796143994</v>
      </c>
      <c r="F2549" s="7" t="str">
        <f>VLOOKUP(A2549,Sheet2!$A$2:$R$3432,3,0)</f>
        <v>ASHWIN </v>
      </c>
      <c r="G2549" s="5" t="s">
        <v>25</v>
      </c>
      <c r="H2549" s="5" t="s">
        <v>25</v>
      </c>
      <c r="I2549" s="5" t="s">
        <v>25</v>
      </c>
      <c r="J2549" s="5" t="s">
        <v>25</v>
      </c>
      <c r="K2549" s="7" t="str">
        <f>VLOOKUP(A2549,Sheet2!$A$2:$R$3432,6,0)</f>
        <v>TVS Jupiter </v>
      </c>
      <c r="L2549" s="5" t="s">
        <v>25</v>
      </c>
      <c r="M2549" s="7" t="str">
        <f>VLOOKUP(A2549,Sheet2!$A$2:$R$3432,5,0)</f>
        <v>MH14EG3217</v>
      </c>
      <c r="N2549" s="5" t="s">
        <v>25</v>
      </c>
      <c r="O2549" s="5" t="s">
        <v>25</v>
      </c>
      <c r="P2549" s="6" t="s">
        <v>25</v>
      </c>
      <c r="Q2549" s="5" t="s">
        <v>25</v>
      </c>
      <c r="R2549" s="5" t="s">
        <v>25</v>
      </c>
      <c r="S2549" s="7" t="str">
        <f>VLOOKUP(A2549,Sheet2!$A$2:$R$3432,18,0)</f>
        <v/>
      </c>
      <c r="T2549" s="7" t="str">
        <f>VLOOKUP(A2549,Sheet2!$A$2:$R$3432,17,0)</f>
        <v/>
      </c>
    </row>
    <row r="2550" ht="15.75" customHeight="1">
      <c r="A2550" s="3" t="s">
        <v>2573</v>
      </c>
      <c r="B2550" s="4" t="str">
        <f>VLOOKUP(A2550,Sheet2!$A$2:$R$3432,2,0)</f>
        <v>2025-03-27 19:35:42</v>
      </c>
      <c r="C2550" s="5" t="s">
        <v>25</v>
      </c>
      <c r="D2550" s="6" t="s">
        <v>25</v>
      </c>
      <c r="E2550" s="7">
        <f>VLOOKUP(A2550,Sheet2!$A$2:$R$3432,4,0)</f>
        <v>8087857834</v>
      </c>
      <c r="F2550" s="7" t="str">
        <f>VLOOKUP(A2550,Sheet2!$A$2:$R$3432,3,0)</f>
        <v>SAMEER</v>
      </c>
      <c r="G2550" s="5" t="s">
        <v>25</v>
      </c>
      <c r="H2550" s="5" t="s">
        <v>25</v>
      </c>
      <c r="I2550" s="5" t="s">
        <v>25</v>
      </c>
      <c r="J2550" s="5" t="s">
        <v>25</v>
      </c>
      <c r="K2550" s="7" t="str">
        <f>VLOOKUP(A2550,Sheet2!$A$2:$R$3432,6,0)</f>
        <v>KTM Duke 390</v>
      </c>
      <c r="L2550" s="5" t="s">
        <v>25</v>
      </c>
      <c r="M2550" s="7" t="str">
        <f>VLOOKUP(A2550,Sheet2!$A$2:$R$3432,5,0)</f>
        <v>MH12LZ2391</v>
      </c>
      <c r="N2550" s="5" t="s">
        <v>25</v>
      </c>
      <c r="O2550" s="5" t="s">
        <v>25</v>
      </c>
      <c r="P2550" s="6" t="s">
        <v>25</v>
      </c>
      <c r="Q2550" s="5" t="s">
        <v>25</v>
      </c>
      <c r="R2550" s="5" t="s">
        <v>25</v>
      </c>
      <c r="S2550" s="7" t="str">
        <f>VLOOKUP(A2550,Sheet2!$A$2:$R$3432,18,0)</f>
        <v/>
      </c>
      <c r="T2550" s="7" t="str">
        <f>VLOOKUP(A2550,Sheet2!$A$2:$R$3432,17,0)</f>
        <v/>
      </c>
    </row>
    <row r="2551" ht="15.75" customHeight="1">
      <c r="A2551" s="3" t="s">
        <v>2574</v>
      </c>
      <c r="B2551" s="4" t="str">
        <f>VLOOKUP(A2551,Sheet2!$A$2:$R$3432,2,0)</f>
        <v>2025-03-27 19:36:04</v>
      </c>
      <c r="C2551" s="5" t="s">
        <v>25</v>
      </c>
      <c r="D2551" s="6" t="s">
        <v>25</v>
      </c>
      <c r="E2551" s="7">
        <f>VLOOKUP(A2551,Sheet2!$A$2:$R$3432,4,0)</f>
        <v>8308790289</v>
      </c>
      <c r="F2551" s="7" t="str">
        <f>VLOOKUP(A2551,Sheet2!$A$2:$R$3432,3,0)</f>
        <v>Sarvesh Kulkarni </v>
      </c>
      <c r="G2551" s="5" t="s">
        <v>25</v>
      </c>
      <c r="H2551" s="5" t="s">
        <v>25</v>
      </c>
      <c r="I2551" s="5" t="s">
        <v>25</v>
      </c>
      <c r="J2551" s="5" t="s">
        <v>25</v>
      </c>
      <c r="K2551" s="7" t="str">
        <f>VLOOKUP(A2551,Sheet2!$A$2:$R$3432,6,0)</f>
        <v>Hero Xpulse 200</v>
      </c>
      <c r="L2551" s="5" t="s">
        <v>25</v>
      </c>
      <c r="M2551" s="7" t="str">
        <f>VLOOKUP(A2551,Sheet2!$A$2:$R$3432,5,0)</f>
        <v>MH15JG6089</v>
      </c>
      <c r="N2551" s="5" t="s">
        <v>25</v>
      </c>
      <c r="O2551" s="5" t="s">
        <v>25</v>
      </c>
      <c r="P2551" s="6" t="s">
        <v>25</v>
      </c>
      <c r="Q2551" s="5" t="s">
        <v>25</v>
      </c>
      <c r="R2551" s="5" t="s">
        <v>25</v>
      </c>
      <c r="S2551" s="7" t="str">
        <f>VLOOKUP(A2551,Sheet2!$A$2:$R$3432,18,0)</f>
        <v/>
      </c>
      <c r="T2551" s="7" t="str">
        <f>VLOOKUP(A2551,Sheet2!$A$2:$R$3432,17,0)</f>
        <v/>
      </c>
    </row>
    <row r="2552" ht="15.75" customHeight="1">
      <c r="A2552" s="3" t="s">
        <v>2575</v>
      </c>
      <c r="B2552" s="4" t="str">
        <f>VLOOKUP(A2552,Sheet2!$A$2:$R$3432,2,0)</f>
        <v>2024-11-17 20:10:12</v>
      </c>
      <c r="C2552" s="5" t="s">
        <v>25</v>
      </c>
      <c r="D2552" s="6" t="s">
        <v>25</v>
      </c>
      <c r="E2552" s="7">
        <f>VLOOKUP(A2552,Sheet2!$A$2:$R$3432,4,0)</f>
        <v>7776960003</v>
      </c>
      <c r="F2552" s="7" t="str">
        <f>VLOOKUP(A2552,Sheet2!$A$2:$R$3432,3,0)</f>
        <v>Vinayak </v>
      </c>
      <c r="G2552" s="5" t="s">
        <v>25</v>
      </c>
      <c r="H2552" s="5" t="s">
        <v>25</v>
      </c>
      <c r="I2552" s="5" t="s">
        <v>25</v>
      </c>
      <c r="J2552" s="5" t="s">
        <v>25</v>
      </c>
      <c r="K2552" s="7" t="str">
        <f>VLOOKUP(A2552,Sheet2!$A$2:$R$3432,6,0)</f>
        <v>TVS Jupiter </v>
      </c>
      <c r="L2552" s="5" t="s">
        <v>25</v>
      </c>
      <c r="M2552" s="7" t="str">
        <f>VLOOKUP(A2552,Sheet2!$A$2:$R$3432,5,0)</f>
        <v>MH14GF2724</v>
      </c>
      <c r="N2552" s="5" t="s">
        <v>25</v>
      </c>
      <c r="O2552" s="5" t="s">
        <v>25</v>
      </c>
      <c r="P2552" s="6" t="s">
        <v>25</v>
      </c>
      <c r="Q2552" s="5" t="s">
        <v>25</v>
      </c>
      <c r="R2552" s="5" t="s">
        <v>25</v>
      </c>
      <c r="S2552" s="7" t="str">
        <f>VLOOKUP(A2552,Sheet2!$A$2:$R$3432,18,0)</f>
        <v/>
      </c>
      <c r="T2552" s="7" t="str">
        <f>VLOOKUP(A2552,Sheet2!$A$2:$R$3432,17,0)</f>
        <v/>
      </c>
    </row>
    <row r="2553" ht="15.75" customHeight="1">
      <c r="A2553" s="3" t="s">
        <v>2576</v>
      </c>
      <c r="B2553" s="4" t="str">
        <f>VLOOKUP(A2553,Sheet2!$A$2:$R$3432,2,0)</f>
        <v>2024-11-17 19:46:59</v>
      </c>
      <c r="C2553" s="5" t="s">
        <v>25</v>
      </c>
      <c r="D2553" s="6" t="s">
        <v>25</v>
      </c>
      <c r="E2553" s="7">
        <f>VLOOKUP(A2553,Sheet2!$A$2:$R$3432,4,0)</f>
        <v>9922434842</v>
      </c>
      <c r="F2553" s="7" t="str">
        <f>VLOOKUP(A2553,Sheet2!$A$2:$R$3432,3,0)</f>
        <v>Satyajeet Khumbhar</v>
      </c>
      <c r="G2553" s="5" t="s">
        <v>25</v>
      </c>
      <c r="H2553" s="5" t="s">
        <v>25</v>
      </c>
      <c r="I2553" s="5" t="s">
        <v>25</v>
      </c>
      <c r="J2553" s="5" t="s">
        <v>25</v>
      </c>
      <c r="K2553" s="7" t="str">
        <f>VLOOKUP(A2553,Sheet2!$A$2:$R$3432,6,0)</f>
        <v>Honda Shine SP</v>
      </c>
      <c r="L2553" s="5" t="s">
        <v>25</v>
      </c>
      <c r="M2553" s="7" t="str">
        <f>VLOOKUP(A2553,Sheet2!$A$2:$R$3432,5,0)</f>
        <v>MH09EY8063</v>
      </c>
      <c r="N2553" s="5" t="s">
        <v>25</v>
      </c>
      <c r="O2553" s="5" t="s">
        <v>25</v>
      </c>
      <c r="P2553" s="6" t="s">
        <v>25</v>
      </c>
      <c r="Q2553" s="5" t="s">
        <v>25</v>
      </c>
      <c r="R2553" s="5" t="s">
        <v>25</v>
      </c>
      <c r="S2553" s="7" t="str">
        <f>VLOOKUP(A2553,Sheet2!$A$2:$R$3432,18,0)</f>
        <v/>
      </c>
      <c r="T2553" s="7" t="str">
        <f>VLOOKUP(A2553,Sheet2!$A$2:$R$3432,17,0)</f>
        <v>ME4JC736G4T002611</v>
      </c>
    </row>
    <row r="2554" ht="15.75" customHeight="1">
      <c r="A2554" s="3" t="s">
        <v>2577</v>
      </c>
      <c r="B2554" s="4" t="str">
        <f>VLOOKUP(A2554,Sheet2!$A$2:$R$3432,2,0)</f>
        <v>2024-11-17 20:09:56</v>
      </c>
      <c r="C2554" s="5" t="s">
        <v>25</v>
      </c>
      <c r="D2554" s="6" t="s">
        <v>25</v>
      </c>
      <c r="E2554" s="7">
        <f>VLOOKUP(A2554,Sheet2!$A$2:$R$3432,4,0)</f>
        <v>9604687980</v>
      </c>
      <c r="F2554" s="7" t="str">
        <f>VLOOKUP(A2554,Sheet2!$A$2:$R$3432,3,0)</f>
        <v>PRAMOD KHOT</v>
      </c>
      <c r="G2554" s="5" t="s">
        <v>25</v>
      </c>
      <c r="H2554" s="5" t="s">
        <v>25</v>
      </c>
      <c r="I2554" s="5" t="s">
        <v>25</v>
      </c>
      <c r="J2554" s="5" t="s">
        <v>25</v>
      </c>
      <c r="K2554" s="7" t="str">
        <f>VLOOKUP(A2554,Sheet2!$A$2:$R$3432,6,0)</f>
        <v>Hero Pleasure </v>
      </c>
      <c r="L2554" s="5" t="s">
        <v>25</v>
      </c>
      <c r="M2554" s="7" t="str">
        <f>VLOOKUP(A2554,Sheet2!$A$2:$R$3432,5,0)</f>
        <v>MH14DY2388</v>
      </c>
      <c r="N2554" s="5" t="s">
        <v>25</v>
      </c>
      <c r="O2554" s="5" t="s">
        <v>25</v>
      </c>
      <c r="P2554" s="6" t="s">
        <v>25</v>
      </c>
      <c r="Q2554" s="5" t="s">
        <v>25</v>
      </c>
      <c r="R2554" s="5" t="s">
        <v>25</v>
      </c>
      <c r="S2554" s="5" t="str">
        <f>VLOOKUP(A2554,Sheet2!$A$2:$R$3432,18,0)</f>
        <v>JF16ECDGD29092</v>
      </c>
      <c r="T2554" s="7" t="str">
        <f>VLOOKUP(A2554,Sheet2!$A$2:$R$3432,17,0)</f>
        <v>MBLJF16EFDGD09447</v>
      </c>
    </row>
    <row r="2555" ht="15.75" customHeight="1">
      <c r="A2555" s="3" t="s">
        <v>2578</v>
      </c>
      <c r="B2555" s="4" t="str">
        <f>VLOOKUP(A2555,Sheet2!$A$2:$R$3432,2,0)</f>
        <v>2024-11-17 19:56:44</v>
      </c>
      <c r="C2555" s="5" t="s">
        <v>25</v>
      </c>
      <c r="D2555" s="6" t="s">
        <v>25</v>
      </c>
      <c r="E2555" s="7">
        <f>VLOOKUP(A2555,Sheet2!$A$2:$R$3432,4,0)</f>
        <v>9850056693</v>
      </c>
      <c r="F2555" s="7" t="str">
        <f>VLOOKUP(A2555,Sheet2!$A$2:$R$3432,3,0)</f>
        <v>RAKESH</v>
      </c>
      <c r="G2555" s="5" t="s">
        <v>25</v>
      </c>
      <c r="H2555" s="5" t="s">
        <v>25</v>
      </c>
      <c r="I2555" s="5" t="s">
        <v>25</v>
      </c>
      <c r="J2555" s="5" t="s">
        <v>25</v>
      </c>
      <c r="K2555" s="7" t="str">
        <f>VLOOKUP(A2555,Sheet2!$A$2:$R$3432,6,0)</f>
        <v>Bajaj Pulsar 180</v>
      </c>
      <c r="L2555" s="5" t="s">
        <v>25</v>
      </c>
      <c r="M2555" s="7" t="str">
        <f>VLOOKUP(A2555,Sheet2!$A$2:$R$3432,5,0)</f>
        <v>MH14DG4749</v>
      </c>
      <c r="N2555" s="5" t="s">
        <v>25</v>
      </c>
      <c r="O2555" s="5" t="s">
        <v>25</v>
      </c>
      <c r="P2555" s="6" t="s">
        <v>25</v>
      </c>
      <c r="Q2555" s="5" t="s">
        <v>25</v>
      </c>
      <c r="R2555" s="5" t="s">
        <v>25</v>
      </c>
      <c r="S2555" s="5" t="str">
        <f>VLOOKUP(A2555,Sheet2!$A$2:$R$3432,18,0)</f>
        <v>DJGB4JE8T2A</v>
      </c>
      <c r="T2555" s="7" t="str">
        <f>VLOOKUP(A2555,Sheet2!$A$2:$R$3432,17,0)</f>
        <v>MD2DHDJZZ4CJ0147</v>
      </c>
    </row>
    <row r="2556" ht="15.75" customHeight="1">
      <c r="A2556" s="3" t="s">
        <v>2579</v>
      </c>
      <c r="B2556" s="4" t="str">
        <f>VLOOKUP(A2556,Sheet2!$A$2:$R$3432,2,0)</f>
        <v>2024-11-17 20:09:41</v>
      </c>
      <c r="C2556" s="5" t="s">
        <v>25</v>
      </c>
      <c r="D2556" s="6" t="s">
        <v>25</v>
      </c>
      <c r="E2556" s="7">
        <f>VLOOKUP(A2556,Sheet2!$A$2:$R$3432,4,0)</f>
        <v>8275439129</v>
      </c>
      <c r="F2556" s="7" t="str">
        <f>VLOOKUP(A2556,Sheet2!$A$2:$R$3432,3,0)</f>
        <v>Pratik Muley</v>
      </c>
      <c r="G2556" s="5" t="s">
        <v>25</v>
      </c>
      <c r="H2556" s="5" t="s">
        <v>25</v>
      </c>
      <c r="I2556" s="5" t="s">
        <v>25</v>
      </c>
      <c r="J2556" s="5" t="s">
        <v>25</v>
      </c>
      <c r="K2556" s="7" t="str">
        <f>VLOOKUP(A2556,Sheet2!$A$2:$R$3432,6,0)</f>
        <v>Hero Hunk </v>
      </c>
      <c r="L2556" s="5" t="s">
        <v>25</v>
      </c>
      <c r="M2556" s="7" t="str">
        <f>VLOOKUP(A2556,Sheet2!$A$2:$R$3432,5,0)</f>
        <v>MH40BA1726</v>
      </c>
      <c r="N2556" s="5" t="s">
        <v>25</v>
      </c>
      <c r="O2556" s="5" t="s">
        <v>25</v>
      </c>
      <c r="P2556" s="6" t="s">
        <v>25</v>
      </c>
      <c r="Q2556" s="5" t="s">
        <v>25</v>
      </c>
      <c r="R2556" s="5" t="s">
        <v>25</v>
      </c>
      <c r="S2556" s="7" t="str">
        <f>VLOOKUP(A2556,Sheet2!$A$2:$R$3432,18,0)</f>
        <v/>
      </c>
      <c r="T2556" s="7" t="str">
        <f>VLOOKUP(A2556,Sheet2!$A$2:$R$3432,17,0)</f>
        <v>JI</v>
      </c>
    </row>
    <row r="2557" ht="15.75" customHeight="1">
      <c r="A2557" s="3" t="s">
        <v>2580</v>
      </c>
      <c r="B2557" s="4" t="str">
        <f>VLOOKUP(A2557,Sheet2!$A$2:$R$3432,2,0)</f>
        <v>2024-11-17 20:08:03</v>
      </c>
      <c r="C2557" s="5" t="s">
        <v>25</v>
      </c>
      <c r="D2557" s="6" t="s">
        <v>25</v>
      </c>
      <c r="E2557" s="7">
        <f>VLOOKUP(A2557,Sheet2!$A$2:$R$3432,4,0)</f>
        <v>9503140318</v>
      </c>
      <c r="F2557" s="7" t="str">
        <f>VLOOKUP(A2557,Sheet2!$A$2:$R$3432,3,0)</f>
        <v>Abhinandan</v>
      </c>
      <c r="G2557" s="5" t="s">
        <v>25</v>
      </c>
      <c r="H2557" s="5" t="s">
        <v>25</v>
      </c>
      <c r="I2557" s="5" t="s">
        <v>25</v>
      </c>
      <c r="J2557" s="5" t="s">
        <v>25</v>
      </c>
      <c r="K2557" s="7" t="str">
        <f>VLOOKUP(A2557,Sheet2!$A$2:$R$3432,6,0)</f>
        <v>Honda Hornet </v>
      </c>
      <c r="L2557" s="5" t="s">
        <v>25</v>
      </c>
      <c r="M2557" s="7" t="str">
        <f>VLOOKUP(A2557,Sheet2!$A$2:$R$3432,5,0)</f>
        <v>MH09FH1641</v>
      </c>
      <c r="N2557" s="5" t="s">
        <v>25</v>
      </c>
      <c r="O2557" s="5" t="s">
        <v>25</v>
      </c>
      <c r="P2557" s="6" t="s">
        <v>25</v>
      </c>
      <c r="Q2557" s="5" t="s">
        <v>25</v>
      </c>
      <c r="R2557" s="5" t="s">
        <v>25</v>
      </c>
      <c r="S2557" s="7" t="str">
        <f>VLOOKUP(A2557,Sheet2!$A$2:$R$3432,18,0)</f>
        <v/>
      </c>
      <c r="T2557" s="7" t="str">
        <f>VLOOKUP(A2557,Sheet2!$A$2:$R$3432,17,0)</f>
        <v/>
      </c>
    </row>
    <row r="2558" ht="15.75" customHeight="1">
      <c r="A2558" s="3" t="s">
        <v>2581</v>
      </c>
      <c r="B2558" s="4" t="str">
        <f>VLOOKUP(A2558,Sheet2!$A$2:$R$3432,2,0)</f>
        <v>2024-11-17 19:50:21</v>
      </c>
      <c r="C2558" s="5" t="s">
        <v>25</v>
      </c>
      <c r="D2558" s="6" t="s">
        <v>25</v>
      </c>
      <c r="E2558" s="7">
        <f>VLOOKUP(A2558,Sheet2!$A$2:$R$3432,4,0)</f>
        <v>9834919277</v>
      </c>
      <c r="F2558" s="7" t="str">
        <f>VLOOKUP(A2558,Sheet2!$A$2:$R$3432,3,0)</f>
        <v>Bhushan Nikure</v>
      </c>
      <c r="G2558" s="5" t="s">
        <v>25</v>
      </c>
      <c r="H2558" s="5" t="s">
        <v>25</v>
      </c>
      <c r="I2558" s="5" t="s">
        <v>25</v>
      </c>
      <c r="J2558" s="5" t="s">
        <v>25</v>
      </c>
      <c r="K2558" s="7" t="str">
        <f>VLOOKUP(A2558,Sheet2!$A$2:$R$3432,6,0)</f>
        <v>Hero Duet </v>
      </c>
      <c r="L2558" s="5" t="s">
        <v>25</v>
      </c>
      <c r="M2558" s="7" t="str">
        <f>VLOOKUP(A2558,Sheet2!$A$2:$R$3432,5,0)</f>
        <v>MH40BH1494</v>
      </c>
      <c r="N2558" s="5" t="s">
        <v>25</v>
      </c>
      <c r="O2558" s="5" t="s">
        <v>25</v>
      </c>
      <c r="P2558" s="6" t="s">
        <v>25</v>
      </c>
      <c r="Q2558" s="5" t="s">
        <v>25</v>
      </c>
      <c r="R2558" s="5" t="s">
        <v>25</v>
      </c>
      <c r="S2558" s="5" t="str">
        <f>VLOOKUP(A2558,Sheet2!$A$2:$R$3432,18,0)</f>
        <v>JF33AAGGM00230 HI</v>
      </c>
      <c r="T2558" s="7" t="str">
        <f>VLOOKUP(A2558,Sheet2!$A$2:$R$3432,17,0)</f>
        <v>MBLJF16E64GM01461</v>
      </c>
    </row>
    <row r="2559" ht="15.75" customHeight="1">
      <c r="A2559" s="3" t="s">
        <v>2582</v>
      </c>
      <c r="B2559" s="4" t="str">
        <f>VLOOKUP(A2559,Sheet2!$A$2:$R$3432,2,0)</f>
        <v>2024-11-17 19:52:36</v>
      </c>
      <c r="C2559" s="5" t="s">
        <v>25</v>
      </c>
      <c r="D2559" s="6" t="s">
        <v>25</v>
      </c>
      <c r="E2559" s="7">
        <f>VLOOKUP(A2559,Sheet2!$A$2:$R$3432,4,0)</f>
        <v>7798677899</v>
      </c>
      <c r="F2559" s="7" t="str">
        <f>VLOOKUP(A2559,Sheet2!$A$2:$R$3432,3,0)</f>
        <v>Siddharth</v>
      </c>
      <c r="G2559" s="5" t="s">
        <v>25</v>
      </c>
      <c r="H2559" s="5" t="s">
        <v>25</v>
      </c>
      <c r="I2559" s="5" t="s">
        <v>25</v>
      </c>
      <c r="J2559" s="5" t="s">
        <v>25</v>
      </c>
      <c r="K2559" s="7" t="str">
        <f>VLOOKUP(A2559,Sheet2!$A$2:$R$3432,6,0)</f>
        <v>Hero Duet </v>
      </c>
      <c r="L2559" s="5" t="s">
        <v>25</v>
      </c>
      <c r="M2559" s="7" t="str">
        <f>VLOOKUP(A2559,Sheet2!$A$2:$R$3432,5,0)</f>
        <v>MH12MZ4982</v>
      </c>
      <c r="N2559" s="5" t="s">
        <v>25</v>
      </c>
      <c r="O2559" s="5" t="s">
        <v>25</v>
      </c>
      <c r="P2559" s="6" t="s">
        <v>25</v>
      </c>
      <c r="Q2559" s="5" t="s">
        <v>25</v>
      </c>
      <c r="R2559" s="5" t="s">
        <v>25</v>
      </c>
      <c r="S2559" s="5" t="str">
        <f>VLOOKUP(A2559,Sheet2!$A$2:$R$3432,18,0)</f>
        <v>JF33AAGGD04603</v>
      </c>
      <c r="T2559" s="7" t="str">
        <f>VLOOKUP(A2559,Sheet2!$A$2:$R$3432,17,0)</f>
        <v>MBLJF16ESGGD03494</v>
      </c>
    </row>
    <row r="2560" ht="15.75" customHeight="1">
      <c r="A2560" s="3" t="s">
        <v>2583</v>
      </c>
      <c r="B2560" s="4" t="str">
        <f>VLOOKUP(A2560,Sheet2!$A$2:$R$3432,2,0)</f>
        <v>2024-11-17 19:50:58</v>
      </c>
      <c r="C2560" s="5" t="s">
        <v>25</v>
      </c>
      <c r="D2560" s="6" t="s">
        <v>25</v>
      </c>
      <c r="E2560" s="7">
        <f>VLOOKUP(A2560,Sheet2!$A$2:$R$3432,4,0)</f>
        <v>9970724746</v>
      </c>
      <c r="F2560" s="7" t="str">
        <f>VLOOKUP(A2560,Sheet2!$A$2:$R$3432,3,0)</f>
        <v>JAYESH</v>
      </c>
      <c r="G2560" s="5" t="s">
        <v>25</v>
      </c>
      <c r="H2560" s="5" t="s">
        <v>25</v>
      </c>
      <c r="I2560" s="5" t="s">
        <v>25</v>
      </c>
      <c r="J2560" s="5" t="s">
        <v>25</v>
      </c>
      <c r="K2560" s="7" t="str">
        <f>VLOOKUP(A2560,Sheet2!$A$2:$R$3432,6,0)</f>
        <v>Honda Activa Old</v>
      </c>
      <c r="L2560" s="5" t="s">
        <v>25</v>
      </c>
      <c r="M2560" s="7" t="str">
        <f>VLOOKUP(A2560,Sheet2!$A$2:$R$3432,5,0)</f>
        <v>MH12DV3709</v>
      </c>
      <c r="N2560" s="5" t="s">
        <v>25</v>
      </c>
      <c r="O2560" s="5" t="s">
        <v>25</v>
      </c>
      <c r="P2560" s="6" t="s">
        <v>25</v>
      </c>
      <c r="Q2560" s="5" t="s">
        <v>25</v>
      </c>
      <c r="R2560" s="5" t="s">
        <v>25</v>
      </c>
      <c r="S2560" s="7" t="str">
        <f>VLOOKUP(A2560,Sheet2!$A$2:$R$3432,18,0)</f>
        <v/>
      </c>
      <c r="T2560" s="7" t="str">
        <f>VLOOKUP(A2560,Sheet2!$A$2:$R$3432,17,0)</f>
        <v/>
      </c>
    </row>
    <row r="2561" ht="15.75" customHeight="1">
      <c r="A2561" s="3" t="s">
        <v>2584</v>
      </c>
      <c r="B2561" s="4" t="str">
        <f>VLOOKUP(A2561,Sheet2!$A$2:$R$3432,2,0)</f>
        <v>2024-11-17 20:09:22</v>
      </c>
      <c r="C2561" s="5" t="s">
        <v>25</v>
      </c>
      <c r="D2561" s="6" t="s">
        <v>25</v>
      </c>
      <c r="E2561" s="7">
        <f>VLOOKUP(A2561,Sheet2!$A$2:$R$3432,4,0)</f>
        <v>9970724746</v>
      </c>
      <c r="F2561" s="7" t="str">
        <f>VLOOKUP(A2561,Sheet2!$A$2:$R$3432,3,0)</f>
        <v>Jayesh Chopade</v>
      </c>
      <c r="G2561" s="5" t="s">
        <v>25</v>
      </c>
      <c r="H2561" s="5" t="s">
        <v>25</v>
      </c>
      <c r="I2561" s="5" t="s">
        <v>25</v>
      </c>
      <c r="J2561" s="5" t="s">
        <v>25</v>
      </c>
      <c r="K2561" s="7" t="str">
        <f>VLOOKUP(A2561,Sheet2!$A$2:$R$3432,6,0)</f>
        <v>Royal Enfield ThunderBird 350</v>
      </c>
      <c r="L2561" s="5" t="s">
        <v>25</v>
      </c>
      <c r="M2561" s="7" t="str">
        <f>VLOOKUP(A2561,Sheet2!$A$2:$R$3432,5,0)</f>
        <v>MH12LS1300</v>
      </c>
      <c r="N2561" s="5" t="s">
        <v>25</v>
      </c>
      <c r="O2561" s="5" t="s">
        <v>25</v>
      </c>
      <c r="P2561" s="6" t="s">
        <v>25</v>
      </c>
      <c r="Q2561" s="5" t="s">
        <v>25</v>
      </c>
      <c r="R2561" s="5" t="s">
        <v>25</v>
      </c>
      <c r="S2561" s="7" t="str">
        <f>VLOOKUP(A2561,Sheet2!$A$2:$R$3432,18,0)</f>
        <v/>
      </c>
      <c r="T2561" s="7" t="str">
        <f>VLOOKUP(A2561,Sheet2!$A$2:$R$3432,17,0)</f>
        <v>ME3U395C1FA159071</v>
      </c>
    </row>
    <row r="2562" ht="15.75" customHeight="1">
      <c r="A2562" s="3" t="s">
        <v>2585</v>
      </c>
      <c r="B2562" s="4" t="str">
        <f>VLOOKUP(A2562,Sheet2!$A$2:$R$3432,2,0)</f>
        <v>2024-11-17 19:37:38</v>
      </c>
      <c r="C2562" s="5" t="s">
        <v>25</v>
      </c>
      <c r="D2562" s="6" t="s">
        <v>25</v>
      </c>
      <c r="E2562" s="7">
        <f>VLOOKUP(A2562,Sheet2!$A$2:$R$3432,4,0)</f>
        <v>9881436835</v>
      </c>
      <c r="F2562" s="7" t="str">
        <f>VLOOKUP(A2562,Sheet2!$A$2:$R$3432,3,0)</f>
        <v>Rahul Garg</v>
      </c>
      <c r="G2562" s="5" t="s">
        <v>25</v>
      </c>
      <c r="H2562" s="5" t="s">
        <v>25</v>
      </c>
      <c r="I2562" s="5" t="s">
        <v>25</v>
      </c>
      <c r="J2562" s="5" t="s">
        <v>25</v>
      </c>
      <c r="K2562" s="7" t="str">
        <f>VLOOKUP(A2562,Sheet2!$A$2:$R$3432,6,0)</f>
        <v>Honda Activa Old</v>
      </c>
      <c r="L2562" s="5" t="s">
        <v>25</v>
      </c>
      <c r="M2562" s="7" t="str">
        <f>VLOOKUP(A2562,Sheet2!$A$2:$R$3432,5,0)</f>
        <v>MH12FG2904</v>
      </c>
      <c r="N2562" s="5" t="s">
        <v>25</v>
      </c>
      <c r="O2562" s="5" t="s">
        <v>25</v>
      </c>
      <c r="P2562" s="6" t="s">
        <v>25</v>
      </c>
      <c r="Q2562" s="5" t="s">
        <v>25</v>
      </c>
      <c r="R2562" s="5" t="s">
        <v>25</v>
      </c>
      <c r="S2562" s="5" t="str">
        <f>VLOOKUP(A2562,Sheet2!$A$2:$R$3432,18,0)</f>
        <v>JF08EG664989</v>
      </c>
      <c r="T2562" s="7" t="str">
        <f>VLOOKUP(A2562,Sheet2!$A$2:$R$3432,17,0)</f>
        <v>ME4JF083A98634616</v>
      </c>
    </row>
    <row r="2563" ht="15.75" customHeight="1">
      <c r="A2563" s="3" t="s">
        <v>2586</v>
      </c>
      <c r="B2563" s="4" t="str">
        <f>VLOOKUP(A2563,Sheet2!$A$2:$R$3432,2,0)</f>
        <v>2024-11-17 19:38:55</v>
      </c>
      <c r="C2563" s="5" t="s">
        <v>25</v>
      </c>
      <c r="D2563" s="6" t="s">
        <v>25</v>
      </c>
      <c r="E2563" s="7">
        <f>VLOOKUP(A2563,Sheet2!$A$2:$R$3432,4,0)</f>
        <v>8177828714</v>
      </c>
      <c r="F2563" s="7" t="str">
        <f>VLOOKUP(A2563,Sheet2!$A$2:$R$3432,3,0)</f>
        <v>Rohan Patil</v>
      </c>
      <c r="G2563" s="5" t="s">
        <v>25</v>
      </c>
      <c r="H2563" s="5" t="s">
        <v>25</v>
      </c>
      <c r="I2563" s="5" t="s">
        <v>25</v>
      </c>
      <c r="J2563" s="5" t="s">
        <v>25</v>
      </c>
      <c r="K2563" s="7" t="str">
        <f>VLOOKUP(A2563,Sheet2!$A$2:$R$3432,6,0)</f>
        <v>Suzuki Gixxer SF</v>
      </c>
      <c r="L2563" s="5" t="s">
        <v>25</v>
      </c>
      <c r="M2563" s="7" t="str">
        <f>VLOOKUP(A2563,Sheet2!$A$2:$R$3432,5,0)</f>
        <v>MH15FE6685</v>
      </c>
      <c r="N2563" s="5" t="s">
        <v>25</v>
      </c>
      <c r="O2563" s="5" t="s">
        <v>25</v>
      </c>
      <c r="P2563" s="6" t="s">
        <v>25</v>
      </c>
      <c r="Q2563" s="5" t="s">
        <v>25</v>
      </c>
      <c r="R2563" s="5" t="s">
        <v>25</v>
      </c>
      <c r="S2563" s="5" t="str">
        <f>VLOOKUP(A2563,Sheet2!$A$2:$R$3432,18,0)</f>
        <v>BGA1248521</v>
      </c>
      <c r="T2563" s="7" t="str">
        <f>VLOOKUP(A2563,Sheet2!$A$2:$R$3432,17,0)</f>
        <v>MB8NG4BBBG8140189</v>
      </c>
    </row>
    <row r="2564" ht="15.75" customHeight="1">
      <c r="A2564" s="3" t="s">
        <v>2587</v>
      </c>
      <c r="B2564" s="4" t="str">
        <f>VLOOKUP(A2564,Sheet2!$A$2:$R$3432,2,0)</f>
        <v>2024-11-17 19:47:57</v>
      </c>
      <c r="C2564" s="5" t="s">
        <v>25</v>
      </c>
      <c r="D2564" s="6" t="s">
        <v>25</v>
      </c>
      <c r="E2564" s="7">
        <f>VLOOKUP(A2564,Sheet2!$A$2:$R$3432,4,0)</f>
        <v>8766884095</v>
      </c>
      <c r="F2564" s="7" t="str">
        <f>VLOOKUP(A2564,Sheet2!$A$2:$R$3432,3,0)</f>
        <v>ROHIT</v>
      </c>
      <c r="G2564" s="5" t="s">
        <v>25</v>
      </c>
      <c r="H2564" s="5" t="s">
        <v>25</v>
      </c>
      <c r="I2564" s="5" t="s">
        <v>25</v>
      </c>
      <c r="J2564" s="5" t="s">
        <v>25</v>
      </c>
      <c r="K2564" s="7" t="str">
        <f>VLOOKUP(A2564,Sheet2!$A$2:$R$3432,6,0)</f>
        <v>Honda Activa 125</v>
      </c>
      <c r="L2564" s="5" t="s">
        <v>25</v>
      </c>
      <c r="M2564" s="7" t="str">
        <f>VLOOKUP(A2564,Sheet2!$A$2:$R$3432,5,0)</f>
        <v>MH30AR9416</v>
      </c>
      <c r="N2564" s="5" t="s">
        <v>25</v>
      </c>
      <c r="O2564" s="5" t="s">
        <v>25</v>
      </c>
      <c r="P2564" s="6" t="s">
        <v>25</v>
      </c>
      <c r="Q2564" s="5" t="s">
        <v>25</v>
      </c>
      <c r="R2564" s="5" t="s">
        <v>25</v>
      </c>
      <c r="S2564" s="5" t="str">
        <f>VLOOKUP(A2564,Sheet2!$A$2:$R$3432,18,0)</f>
        <v>JF49E81109894</v>
      </c>
      <c r="T2564" s="7" t="str">
        <f>VLOOKUP(A2564,Sheet2!$A$2:$R$3432,17,0)</f>
        <v>ME4JF493MF8095213</v>
      </c>
    </row>
    <row r="2565" ht="15.75" customHeight="1">
      <c r="A2565" s="3" t="s">
        <v>2588</v>
      </c>
      <c r="B2565" s="4" t="str">
        <f>VLOOKUP(A2565,Sheet2!$A$2:$R$3432,2,0)</f>
        <v>2024-11-17 19:49:01</v>
      </c>
      <c r="C2565" s="5" t="s">
        <v>25</v>
      </c>
      <c r="D2565" s="6" t="s">
        <v>25</v>
      </c>
      <c r="E2565" s="7">
        <f>VLOOKUP(A2565,Sheet2!$A$2:$R$3432,4,0)</f>
        <v>8600190953</v>
      </c>
      <c r="F2565" s="7" t="str">
        <f>VLOOKUP(A2565,Sheet2!$A$2:$R$3432,3,0)</f>
        <v>Krunal </v>
      </c>
      <c r="G2565" s="5" t="s">
        <v>25</v>
      </c>
      <c r="H2565" s="5" t="s">
        <v>25</v>
      </c>
      <c r="I2565" s="5" t="s">
        <v>25</v>
      </c>
      <c r="J2565" s="5" t="s">
        <v>25</v>
      </c>
      <c r="K2565" s="7" t="str">
        <f>VLOOKUP(A2565,Sheet2!$A$2:$R$3432,6,0)</f>
        <v>Honda Activa </v>
      </c>
      <c r="L2565" s="5" t="s">
        <v>25</v>
      </c>
      <c r="M2565" s="7" t="str">
        <f>VLOOKUP(A2565,Sheet2!$A$2:$R$3432,5,0)</f>
        <v>MH12LB6913</v>
      </c>
      <c r="N2565" s="5" t="s">
        <v>25</v>
      </c>
      <c r="O2565" s="5" t="s">
        <v>25</v>
      </c>
      <c r="P2565" s="6" t="s">
        <v>25</v>
      </c>
      <c r="Q2565" s="5" t="s">
        <v>25</v>
      </c>
      <c r="R2565" s="5" t="s">
        <v>25</v>
      </c>
      <c r="S2565" s="5" t="str">
        <f>VLOOKUP(A2565,Sheet2!$A$2:$R$3432,18,0)</f>
        <v>JF50E71059038</v>
      </c>
      <c r="T2565" s="7" t="str">
        <f>VLOOKUP(A2565,Sheet2!$A$2:$R$3432,17,0)</f>
        <v>ME4JF502EE7059022</v>
      </c>
    </row>
    <row r="2566" ht="15.75" customHeight="1">
      <c r="A2566" s="3" t="s">
        <v>2589</v>
      </c>
      <c r="B2566" s="4" t="str">
        <f>VLOOKUP(A2566,Sheet2!$A$2:$R$3432,2,0)</f>
        <v>2024-11-17 19:54:56</v>
      </c>
      <c r="C2566" s="5" t="s">
        <v>25</v>
      </c>
      <c r="D2566" s="6" t="s">
        <v>25</v>
      </c>
      <c r="E2566" s="7">
        <f>VLOOKUP(A2566,Sheet2!$A$2:$R$3432,4,0)</f>
        <v>9325253872</v>
      </c>
      <c r="F2566" s="7" t="str">
        <f>VLOOKUP(A2566,Sheet2!$A$2:$R$3432,3,0)</f>
        <v>Kshitija</v>
      </c>
      <c r="G2566" s="5" t="s">
        <v>25</v>
      </c>
      <c r="H2566" s="5" t="s">
        <v>25</v>
      </c>
      <c r="I2566" s="5" t="s">
        <v>25</v>
      </c>
      <c r="J2566" s="5" t="s">
        <v>25</v>
      </c>
      <c r="K2566" s="7" t="str">
        <f>VLOOKUP(A2566,Sheet2!$A$2:$R$3432,6,0)</f>
        <v>Suzuki Access 125</v>
      </c>
      <c r="L2566" s="5" t="s">
        <v>25</v>
      </c>
      <c r="M2566" s="7" t="str">
        <f>VLOOKUP(A2566,Sheet2!$A$2:$R$3432,5,0)</f>
        <v>MH14EJ3036</v>
      </c>
      <c r="N2566" s="5" t="s">
        <v>25</v>
      </c>
      <c r="O2566" s="5" t="s">
        <v>25</v>
      </c>
      <c r="P2566" s="6" t="s">
        <v>25</v>
      </c>
      <c r="Q2566" s="5" t="s">
        <v>25</v>
      </c>
      <c r="R2566" s="5" t="s">
        <v>25</v>
      </c>
      <c r="S2566" s="7" t="str">
        <f>VLOOKUP(A2566,Sheet2!$A$2:$R$3432,18,0)</f>
        <v/>
      </c>
      <c r="T2566" s="7" t="str">
        <f>VLOOKUP(A2566,Sheet2!$A$2:$R$3432,17,0)</f>
        <v/>
      </c>
    </row>
    <row r="2567" ht="15.75" customHeight="1">
      <c r="A2567" s="3" t="s">
        <v>2590</v>
      </c>
      <c r="B2567" s="4" t="str">
        <f>VLOOKUP(A2567,Sheet2!$A$2:$R$3432,2,0)</f>
        <v>2024-11-17 20:00:20</v>
      </c>
      <c r="C2567" s="5" t="s">
        <v>25</v>
      </c>
      <c r="D2567" s="6" t="s">
        <v>25</v>
      </c>
      <c r="E2567" s="7">
        <f>VLOOKUP(A2567,Sheet2!$A$2:$R$3432,4,0)</f>
        <v>9685364477</v>
      </c>
      <c r="F2567" s="7" t="str">
        <f>VLOOKUP(A2567,Sheet2!$A$2:$R$3432,3,0)</f>
        <v>Aditya</v>
      </c>
      <c r="G2567" s="5" t="s">
        <v>25</v>
      </c>
      <c r="H2567" s="5" t="s">
        <v>25</v>
      </c>
      <c r="I2567" s="5" t="s">
        <v>25</v>
      </c>
      <c r="J2567" s="5" t="s">
        <v>25</v>
      </c>
      <c r="K2567" s="7" t="str">
        <f>VLOOKUP(A2567,Sheet2!$A$2:$R$3432,6,0)</f>
        <v>Yamaha FZ </v>
      </c>
      <c r="L2567" s="5" t="s">
        <v>25</v>
      </c>
      <c r="M2567" s="7" t="str">
        <f>VLOOKUP(A2567,Sheet2!$A$2:$R$3432,5,0)</f>
        <v>MH12JP4237</v>
      </c>
      <c r="N2567" s="5" t="s">
        <v>25</v>
      </c>
      <c r="O2567" s="5" t="s">
        <v>25</v>
      </c>
      <c r="P2567" s="6" t="s">
        <v>25</v>
      </c>
      <c r="Q2567" s="5" t="s">
        <v>25</v>
      </c>
      <c r="R2567" s="5" t="s">
        <v>25</v>
      </c>
      <c r="S2567" s="5" t="str">
        <f>VLOOKUP(A2567,Sheet2!$A$2:$R$3432,18,0)</f>
        <v>Z1CE037348</v>
      </c>
      <c r="T2567" s="7" t="str">
        <f>VLOOKUP(A2567,Sheet2!$A$2:$R$3432,17,0)</f>
        <v>ME121CCE8CE037140</v>
      </c>
    </row>
    <row r="2568" ht="15.75" customHeight="1">
      <c r="A2568" s="3" t="s">
        <v>2591</v>
      </c>
      <c r="B2568" s="4" t="str">
        <f>VLOOKUP(A2568,Sheet2!$A$2:$R$3432,2,0)</f>
        <v>2024-11-17 19:56:17</v>
      </c>
      <c r="C2568" s="5" t="s">
        <v>25</v>
      </c>
      <c r="D2568" s="6" t="s">
        <v>25</v>
      </c>
      <c r="E2568" s="7">
        <f>VLOOKUP(A2568,Sheet2!$A$2:$R$3432,4,0)</f>
        <v>8770196499</v>
      </c>
      <c r="F2568" s="7" t="str">
        <f>VLOOKUP(A2568,Sheet2!$A$2:$R$3432,3,0)</f>
        <v>MAYANK AGRAWAL </v>
      </c>
      <c r="G2568" s="5" t="s">
        <v>25</v>
      </c>
      <c r="H2568" s="5" t="s">
        <v>25</v>
      </c>
      <c r="I2568" s="5" t="s">
        <v>25</v>
      </c>
      <c r="J2568" s="5" t="s">
        <v>25</v>
      </c>
      <c r="K2568" s="7" t="str">
        <f>VLOOKUP(A2568,Sheet2!$A$2:$R$3432,6,0)</f>
        <v>TVS Jupiter </v>
      </c>
      <c r="L2568" s="5" t="s">
        <v>25</v>
      </c>
      <c r="M2568" s="7" t="str">
        <f>VLOOKUP(A2568,Sheet2!$A$2:$R$3432,5,0)</f>
        <v>DL8SCH5874</v>
      </c>
      <c r="N2568" s="5" t="s">
        <v>25</v>
      </c>
      <c r="O2568" s="5" t="s">
        <v>25</v>
      </c>
      <c r="P2568" s="6" t="s">
        <v>25</v>
      </c>
      <c r="Q2568" s="5" t="s">
        <v>25</v>
      </c>
      <c r="R2568" s="5" t="s">
        <v>25</v>
      </c>
      <c r="S2568" s="5" t="str">
        <f>VLOOKUP(A2568,Sheet2!$A$2:$R$3432,18,0)</f>
        <v>EG4DJ1603767</v>
      </c>
      <c r="T2568" s="7" t="str">
        <f>VLOOKUP(A2568,Sheet2!$A$2:$R$3432,17,0)</f>
        <v>MD626EG43J1D73618</v>
      </c>
    </row>
    <row r="2569" ht="15.75" customHeight="1">
      <c r="A2569" s="3" t="s">
        <v>2592</v>
      </c>
      <c r="B2569" s="4" t="str">
        <f>VLOOKUP(A2569,Sheet2!$A$2:$R$3432,2,0)</f>
        <v>2024-11-17 20:07:36</v>
      </c>
      <c r="C2569" s="5" t="s">
        <v>25</v>
      </c>
      <c r="D2569" s="6" t="s">
        <v>25</v>
      </c>
      <c r="E2569" s="7">
        <f>VLOOKUP(A2569,Sheet2!$A$2:$R$3432,4,0)</f>
        <v>9265961513</v>
      </c>
      <c r="F2569" s="7" t="str">
        <f>VLOOKUP(A2569,Sheet2!$A$2:$R$3432,3,0)</f>
        <v>Meghraj</v>
      </c>
      <c r="G2569" s="5" t="s">
        <v>25</v>
      </c>
      <c r="H2569" s="5" t="s">
        <v>25</v>
      </c>
      <c r="I2569" s="5" t="s">
        <v>25</v>
      </c>
      <c r="J2569" s="5" t="s">
        <v>25</v>
      </c>
      <c r="K2569" s="7" t="str">
        <f>VLOOKUP(A2569,Sheet2!$A$2:$R$3432,6,0)</f>
        <v>Honda Activa 5G</v>
      </c>
      <c r="L2569" s="5" t="s">
        <v>25</v>
      </c>
      <c r="M2569" s="7" t="str">
        <f>VLOOKUP(A2569,Sheet2!$A$2:$R$3432,5,0)</f>
        <v>MH14HY7094</v>
      </c>
      <c r="N2569" s="5" t="s">
        <v>25</v>
      </c>
      <c r="O2569" s="5" t="s">
        <v>25</v>
      </c>
      <c r="P2569" s="6" t="s">
        <v>25</v>
      </c>
      <c r="Q2569" s="5" t="s">
        <v>25</v>
      </c>
      <c r="R2569" s="5" t="s">
        <v>25</v>
      </c>
      <c r="S2569" s="5" t="str">
        <f>VLOOKUP(A2569,Sheet2!$A$2:$R$3432,18,0)</f>
        <v>JF50EW1108207</v>
      </c>
      <c r="T2569" s="7" t="str">
        <f>VLOOKUP(A2569,Sheet2!$A$2:$R$3432,17,0)</f>
        <v>ME4JF50BLKW108158</v>
      </c>
    </row>
    <row r="2570" ht="15.75" customHeight="1">
      <c r="A2570" s="3" t="s">
        <v>2593</v>
      </c>
      <c r="B2570" s="4" t="str">
        <f>VLOOKUP(A2570,Sheet2!$A$2:$R$3432,2,0)</f>
        <v>2024-11-17 19:39:47</v>
      </c>
      <c r="C2570" s="5" t="s">
        <v>25</v>
      </c>
      <c r="D2570" s="6" t="s">
        <v>25</v>
      </c>
      <c r="E2570" s="7">
        <f>VLOOKUP(A2570,Sheet2!$A$2:$R$3432,4,0)</f>
        <v>9930818619</v>
      </c>
      <c r="F2570" s="7" t="str">
        <f>VLOOKUP(A2570,Sheet2!$A$2:$R$3432,3,0)</f>
        <v>MANAN DHOLKIA</v>
      </c>
      <c r="G2570" s="5" t="s">
        <v>25</v>
      </c>
      <c r="H2570" s="5" t="s">
        <v>25</v>
      </c>
      <c r="I2570" s="5" t="s">
        <v>25</v>
      </c>
      <c r="J2570" s="5" t="s">
        <v>25</v>
      </c>
      <c r="K2570" s="7" t="str">
        <f>VLOOKUP(A2570,Sheet2!$A$2:$R$3432,6,0)</f>
        <v>Bajaj Pulsar 180</v>
      </c>
      <c r="L2570" s="5" t="s">
        <v>25</v>
      </c>
      <c r="M2570" s="7" t="str">
        <f>VLOOKUP(A2570,Sheet2!$A$2:$R$3432,5,0)</f>
        <v>MH14DS5834</v>
      </c>
      <c r="N2570" s="5" t="s">
        <v>25</v>
      </c>
      <c r="O2570" s="5" t="s">
        <v>25</v>
      </c>
      <c r="P2570" s="6" t="s">
        <v>25</v>
      </c>
      <c r="Q2570" s="5" t="s">
        <v>25</v>
      </c>
      <c r="R2570" s="5" t="s">
        <v>25</v>
      </c>
      <c r="S2570" s="5" t="str">
        <f>VLOOKUP(A2570,Sheet2!$A$2:$R$3432,18,0)</f>
        <v>DJZCCH45210</v>
      </c>
      <c r="T2570" s="7" t="str">
        <f>VLOOKUP(A2570,Sheet2!$A$2:$R$3432,17,0)</f>
        <v>MD2A12DZ7CCH43180</v>
      </c>
    </row>
    <row r="2571" ht="15.75" customHeight="1">
      <c r="A2571" s="3" t="s">
        <v>2594</v>
      </c>
      <c r="B2571" s="4" t="str">
        <f>VLOOKUP(A2571,Sheet2!$A$2:$R$3432,2,0)</f>
        <v>2024-11-17 19:58:12</v>
      </c>
      <c r="C2571" s="5" t="s">
        <v>25</v>
      </c>
      <c r="D2571" s="6" t="s">
        <v>25</v>
      </c>
      <c r="E2571" s="7">
        <f>VLOOKUP(A2571,Sheet2!$A$2:$R$3432,4,0)</f>
        <v>9850278965</v>
      </c>
      <c r="F2571" s="7" t="str">
        <f>VLOOKUP(A2571,Sheet2!$A$2:$R$3432,3,0)</f>
        <v>Prashant Godane</v>
      </c>
      <c r="G2571" s="5" t="s">
        <v>25</v>
      </c>
      <c r="H2571" s="5" t="s">
        <v>25</v>
      </c>
      <c r="I2571" s="5" t="s">
        <v>25</v>
      </c>
      <c r="J2571" s="5" t="s">
        <v>25</v>
      </c>
      <c r="K2571" s="7" t="str">
        <f>VLOOKUP(A2571,Sheet2!$A$2:$R$3432,6,0)</f>
        <v>Hero Splendor Plus</v>
      </c>
      <c r="L2571" s="5" t="s">
        <v>25</v>
      </c>
      <c r="M2571" s="7" t="str">
        <f>VLOOKUP(A2571,Sheet2!$A$2:$R$3432,5,0)</f>
        <v>MH14AU4388</v>
      </c>
      <c r="N2571" s="5" t="s">
        <v>25</v>
      </c>
      <c r="O2571" s="5" t="s">
        <v>25</v>
      </c>
      <c r="P2571" s="6" t="s">
        <v>25</v>
      </c>
      <c r="Q2571" s="5" t="s">
        <v>25</v>
      </c>
      <c r="R2571" s="5" t="s">
        <v>25</v>
      </c>
      <c r="S2571" s="7" t="str">
        <f>VLOOKUP(A2571,Sheet2!$A$2:$R$3432,18,0)</f>
        <v/>
      </c>
      <c r="T2571" s="7" t="str">
        <f>VLOOKUP(A2571,Sheet2!$A$2:$R$3432,17,0)</f>
        <v/>
      </c>
    </row>
    <row r="2572" ht="15.75" customHeight="1">
      <c r="A2572" s="3" t="s">
        <v>2595</v>
      </c>
      <c r="B2572" s="4" t="str">
        <f>VLOOKUP(A2572,Sheet2!$A$2:$R$3432,2,0)</f>
        <v>2024-11-17 19:36:23</v>
      </c>
      <c r="C2572" s="5" t="s">
        <v>25</v>
      </c>
      <c r="D2572" s="6" t="s">
        <v>25</v>
      </c>
      <c r="E2572" s="7">
        <f>VLOOKUP(A2572,Sheet2!$A$2:$R$3432,4,0)</f>
        <v>9422786477</v>
      </c>
      <c r="F2572" s="7" t="str">
        <f>VLOOKUP(A2572,Sheet2!$A$2:$R$3432,3,0)</f>
        <v>Nitin Patel</v>
      </c>
      <c r="G2572" s="5" t="s">
        <v>25</v>
      </c>
      <c r="H2572" s="5" t="s">
        <v>25</v>
      </c>
      <c r="I2572" s="5" t="s">
        <v>25</v>
      </c>
      <c r="J2572" s="5" t="s">
        <v>25</v>
      </c>
      <c r="K2572" s="7" t="str">
        <f>VLOOKUP(A2572,Sheet2!$A$2:$R$3432,6,0)</f>
        <v>Hero Pleasure </v>
      </c>
      <c r="L2572" s="5" t="s">
        <v>25</v>
      </c>
      <c r="M2572" s="7" t="str">
        <f>VLOOKUP(A2572,Sheet2!$A$2:$R$3432,5,0)</f>
        <v>MH39E2114</v>
      </c>
      <c r="N2572" s="5" t="s">
        <v>25</v>
      </c>
      <c r="O2572" s="5" t="s">
        <v>25</v>
      </c>
      <c r="P2572" s="6" t="s">
        <v>25</v>
      </c>
      <c r="Q2572" s="5" t="s">
        <v>25</v>
      </c>
      <c r="R2572" s="5" t="s">
        <v>25</v>
      </c>
      <c r="S2572" s="7" t="str">
        <f>VLOOKUP(A2572,Sheet2!$A$2:$R$3432,18,0)</f>
        <v/>
      </c>
      <c r="T2572" s="7" t="str">
        <f>VLOOKUP(A2572,Sheet2!$A$2:$R$3432,17,0)</f>
        <v/>
      </c>
    </row>
    <row r="2573" ht="15.75" customHeight="1">
      <c r="A2573" s="3" t="s">
        <v>2596</v>
      </c>
      <c r="B2573" s="4" t="str">
        <f>VLOOKUP(A2573,Sheet2!$A$2:$R$3432,2,0)</f>
        <v>2024-11-17 19:33:20</v>
      </c>
      <c r="C2573" s="5" t="s">
        <v>25</v>
      </c>
      <c r="D2573" s="6" t="s">
        <v>25</v>
      </c>
      <c r="E2573" s="7">
        <f>VLOOKUP(A2573,Sheet2!$A$2:$R$3432,4,0)</f>
        <v>9588986487</v>
      </c>
      <c r="F2573" s="7" t="str">
        <f>VLOOKUP(A2573,Sheet2!$A$2:$R$3432,3,0)</f>
        <v>LAXMAN BHATI</v>
      </c>
      <c r="G2573" s="5" t="s">
        <v>25</v>
      </c>
      <c r="H2573" s="5" t="s">
        <v>25</v>
      </c>
      <c r="I2573" s="5" t="s">
        <v>25</v>
      </c>
      <c r="J2573" s="5" t="s">
        <v>25</v>
      </c>
      <c r="K2573" s="7" t="str">
        <f>VLOOKUP(A2573,Sheet2!$A$2:$R$3432,6,0)</f>
        <v>Hero Splendor Pro</v>
      </c>
      <c r="L2573" s="5" t="s">
        <v>25</v>
      </c>
      <c r="M2573" s="7" t="str">
        <f>VLOOKUP(A2573,Sheet2!$A$2:$R$3432,5,0)</f>
        <v>MH14KX9208</v>
      </c>
      <c r="N2573" s="5" t="s">
        <v>25</v>
      </c>
      <c r="O2573" s="5" t="s">
        <v>25</v>
      </c>
      <c r="P2573" s="6" t="s">
        <v>25</v>
      </c>
      <c r="Q2573" s="5" t="s">
        <v>25</v>
      </c>
      <c r="R2573" s="5" t="s">
        <v>25</v>
      </c>
      <c r="S2573" s="5" t="str">
        <f>VLOOKUP(A2573,Sheet2!$A$2:$R$3432,18,0)</f>
        <v>HA11E8P4F09832</v>
      </c>
      <c r="T2573" s="7" t="str">
        <f>VLOOKUP(A2573,Sheet2!$A$2:$R$3432,17,0)</f>
        <v>MBLHAW228P4F12368</v>
      </c>
    </row>
    <row r="2574" ht="15.75" customHeight="1">
      <c r="A2574" s="3" t="s">
        <v>2597</v>
      </c>
      <c r="B2574" s="4" t="str">
        <f>VLOOKUP(A2574,Sheet2!$A$2:$R$3432,2,0)</f>
        <v>2024-11-17 20:07:17</v>
      </c>
      <c r="C2574" s="5" t="s">
        <v>25</v>
      </c>
      <c r="D2574" s="6" t="s">
        <v>25</v>
      </c>
      <c r="E2574" s="7">
        <f>VLOOKUP(A2574,Sheet2!$A$2:$R$3432,4,0)</f>
        <v>9766536994</v>
      </c>
      <c r="F2574" s="7" t="str">
        <f>VLOOKUP(A2574,Sheet2!$A$2:$R$3432,3,0)</f>
        <v>MAUSAM MALVIYA</v>
      </c>
      <c r="G2574" s="5" t="s">
        <v>25</v>
      </c>
      <c r="H2574" s="5" t="s">
        <v>25</v>
      </c>
      <c r="I2574" s="5" t="s">
        <v>25</v>
      </c>
      <c r="J2574" s="5" t="s">
        <v>25</v>
      </c>
      <c r="K2574" s="7" t="str">
        <f>VLOOKUP(A2574,Sheet2!$A$2:$R$3432,6,0)</f>
        <v>Yamaha FZ S 2.0</v>
      </c>
      <c r="L2574" s="5" t="s">
        <v>25</v>
      </c>
      <c r="M2574" s="7" t="str">
        <f>VLOOKUP(A2574,Sheet2!$A$2:$R$3432,5,0)</f>
        <v>MH12MG3872</v>
      </c>
      <c r="N2574" s="5" t="s">
        <v>25</v>
      </c>
      <c r="O2574" s="5" t="s">
        <v>25</v>
      </c>
      <c r="P2574" s="6" t="s">
        <v>25</v>
      </c>
      <c r="Q2574" s="5" t="s">
        <v>25</v>
      </c>
      <c r="R2574" s="5" t="s">
        <v>25</v>
      </c>
      <c r="S2574" s="7" t="str">
        <f>VLOOKUP(A2574,Sheet2!$A$2:$R$3432,18,0)</f>
        <v/>
      </c>
      <c r="T2574" s="7" t="str">
        <f>VLOOKUP(A2574,Sheet2!$A$2:$R$3432,17,0)</f>
        <v/>
      </c>
    </row>
    <row r="2575" ht="15.75" customHeight="1">
      <c r="A2575" s="3" t="s">
        <v>2598</v>
      </c>
      <c r="B2575" s="4" t="str">
        <f>VLOOKUP(A2575,Sheet2!$A$2:$R$3432,2,0)</f>
        <v>2024-11-17 20:04:24</v>
      </c>
      <c r="C2575" s="5" t="s">
        <v>25</v>
      </c>
      <c r="D2575" s="6" t="s">
        <v>25</v>
      </c>
      <c r="E2575" s="7">
        <f>VLOOKUP(A2575,Sheet2!$A$2:$R$3432,4,0)</f>
        <v>7350725409</v>
      </c>
      <c r="F2575" s="7" t="str">
        <f>VLOOKUP(A2575,Sheet2!$A$2:$R$3432,3,0)</f>
        <v>Parth</v>
      </c>
      <c r="G2575" s="5" t="s">
        <v>25</v>
      </c>
      <c r="H2575" s="5" t="s">
        <v>25</v>
      </c>
      <c r="I2575" s="5" t="s">
        <v>25</v>
      </c>
      <c r="J2575" s="5" t="s">
        <v>25</v>
      </c>
      <c r="K2575" s="7" t="str">
        <f>VLOOKUP(A2575,Sheet2!$A$2:$R$3432,6,0)</f>
        <v>Honda CBR 150</v>
      </c>
      <c r="L2575" s="5" t="s">
        <v>25</v>
      </c>
      <c r="M2575" s="7" t="str">
        <f>VLOOKUP(A2575,Sheet2!$A$2:$R$3432,5,0)</f>
        <v>MH14FU2470</v>
      </c>
      <c r="N2575" s="5" t="s">
        <v>25</v>
      </c>
      <c r="O2575" s="5" t="s">
        <v>25</v>
      </c>
      <c r="P2575" s="6" t="s">
        <v>25</v>
      </c>
      <c r="Q2575" s="5" t="s">
        <v>25</v>
      </c>
      <c r="R2575" s="5" t="s">
        <v>25</v>
      </c>
      <c r="S2575" s="5" t="str">
        <f>VLOOKUP(A2575,Sheet2!$A$2:$R$3432,18,0)</f>
        <v>KC17E8046479</v>
      </c>
      <c r="T2575" s="7" t="str">
        <f>VLOOKUP(A2575,Sheet2!$A$2:$R$3432,17,0)</f>
        <v>ME4KC241HG8004487</v>
      </c>
    </row>
    <row r="2576" ht="15.75" customHeight="1">
      <c r="A2576" s="3" t="s">
        <v>2599</v>
      </c>
      <c r="B2576" s="4" t="str">
        <f>VLOOKUP(A2576,Sheet2!$A$2:$R$3432,2,0)</f>
        <v>2024-11-17 19:41:52</v>
      </c>
      <c r="C2576" s="5" t="s">
        <v>25</v>
      </c>
      <c r="D2576" s="6" t="s">
        <v>25</v>
      </c>
      <c r="E2576" s="7">
        <f>VLOOKUP(A2576,Sheet2!$A$2:$R$3432,4,0)</f>
        <v>8308374547</v>
      </c>
      <c r="F2576" s="7" t="str">
        <f>VLOOKUP(A2576,Sheet2!$A$2:$R$3432,3,0)</f>
        <v>Tushar Gavhane</v>
      </c>
      <c r="G2576" s="5" t="s">
        <v>25</v>
      </c>
      <c r="H2576" s="5" t="s">
        <v>25</v>
      </c>
      <c r="I2576" s="5" t="s">
        <v>25</v>
      </c>
      <c r="J2576" s="5" t="s">
        <v>25</v>
      </c>
      <c r="K2576" s="7" t="str">
        <f>VLOOKUP(A2576,Sheet2!$A$2:$R$3432,6,0)</f>
        <v>Honda Dream Yuga </v>
      </c>
      <c r="L2576" s="5" t="s">
        <v>25</v>
      </c>
      <c r="M2576" s="7" t="str">
        <f>VLOOKUP(A2576,Sheet2!$A$2:$R$3432,5,0)</f>
        <v>MH17AY4097</v>
      </c>
      <c r="N2576" s="5" t="s">
        <v>25</v>
      </c>
      <c r="O2576" s="5" t="s">
        <v>25</v>
      </c>
      <c r="P2576" s="6" t="s">
        <v>25</v>
      </c>
      <c r="Q2576" s="5" t="s">
        <v>25</v>
      </c>
      <c r="R2576" s="5" t="s">
        <v>25</v>
      </c>
      <c r="S2576" s="5" t="str">
        <f>VLOOKUP(A2576,Sheet2!$A$2:$R$3432,18,0)</f>
        <v>JC58ET3048034</v>
      </c>
      <c r="T2576" s="7" t="str">
        <f>VLOOKUP(A2576,Sheet2!$A$2:$R$3432,17,0)</f>
        <v>ME4JC586HDT045829</v>
      </c>
    </row>
    <row r="2577" ht="15.75" customHeight="1">
      <c r="A2577" s="3" t="s">
        <v>2600</v>
      </c>
      <c r="B2577" s="4" t="str">
        <f>VLOOKUP(A2577,Sheet2!$A$2:$R$3432,2,0)</f>
        <v>2024-11-17 20:06:41</v>
      </c>
      <c r="C2577" s="5" t="s">
        <v>25</v>
      </c>
      <c r="D2577" s="6" t="s">
        <v>25</v>
      </c>
      <c r="E2577" s="7">
        <f>VLOOKUP(A2577,Sheet2!$A$2:$R$3432,4,0)</f>
        <v>9673823359</v>
      </c>
      <c r="F2577" s="7" t="str">
        <f>VLOOKUP(A2577,Sheet2!$A$2:$R$3432,3,0)</f>
        <v>Manu</v>
      </c>
      <c r="G2577" s="5" t="s">
        <v>25</v>
      </c>
      <c r="H2577" s="5" t="s">
        <v>25</v>
      </c>
      <c r="I2577" s="5" t="s">
        <v>25</v>
      </c>
      <c r="J2577" s="5" t="s">
        <v>25</v>
      </c>
      <c r="K2577" s="7" t="str">
        <f>VLOOKUP(A2577,Sheet2!$A$2:$R$3432,6,0)</f>
        <v>Aprilla SR SR 150</v>
      </c>
      <c r="L2577" s="5" t="s">
        <v>25</v>
      </c>
      <c r="M2577" s="7" t="str">
        <f>VLOOKUP(A2577,Sheet2!$A$2:$R$3432,5,0)</f>
        <v>MH14GJ9489</v>
      </c>
      <c r="N2577" s="5" t="s">
        <v>25</v>
      </c>
      <c r="O2577" s="5" t="s">
        <v>25</v>
      </c>
      <c r="P2577" s="6" t="s">
        <v>25</v>
      </c>
      <c r="Q2577" s="5" t="s">
        <v>25</v>
      </c>
      <c r="R2577" s="5" t="s">
        <v>25</v>
      </c>
      <c r="S2577" s="7" t="str">
        <f>VLOOKUP(A2577,Sheet2!$A$2:$R$3432,18,0)</f>
        <v/>
      </c>
      <c r="T2577" s="7" t="str">
        <f>VLOOKUP(A2577,Sheet2!$A$2:$R$3432,17,0)</f>
        <v/>
      </c>
    </row>
    <row r="2578" ht="15.75" customHeight="1">
      <c r="A2578" s="3" t="s">
        <v>2601</v>
      </c>
      <c r="B2578" s="4" t="str">
        <f>VLOOKUP(A2578,Sheet2!$A$2:$R$3432,2,0)</f>
        <v>2024-11-17 20:06:25</v>
      </c>
      <c r="C2578" s="5" t="s">
        <v>25</v>
      </c>
      <c r="D2578" s="6" t="s">
        <v>25</v>
      </c>
      <c r="E2578" s="7">
        <f>VLOOKUP(A2578,Sheet2!$A$2:$R$3432,4,0)</f>
        <v>8103597224</v>
      </c>
      <c r="F2578" s="7" t="str">
        <f>VLOOKUP(A2578,Sheet2!$A$2:$R$3432,3,0)</f>
        <v>Aayush</v>
      </c>
      <c r="G2578" s="5" t="s">
        <v>25</v>
      </c>
      <c r="H2578" s="5" t="s">
        <v>25</v>
      </c>
      <c r="I2578" s="5" t="s">
        <v>25</v>
      </c>
      <c r="J2578" s="5" t="s">
        <v>25</v>
      </c>
      <c r="K2578" s="7" t="str">
        <f>VLOOKUP(A2578,Sheet2!$A$2:$R$3432,6,0)</f>
        <v>TVS Jupiter </v>
      </c>
      <c r="L2578" s="5" t="s">
        <v>25</v>
      </c>
      <c r="M2578" s="7" t="str">
        <f>VLOOKUP(A2578,Sheet2!$A$2:$R$3432,5,0)</f>
        <v>MH14JS4240</v>
      </c>
      <c r="N2578" s="5" t="s">
        <v>25</v>
      </c>
      <c r="O2578" s="5" t="s">
        <v>25</v>
      </c>
      <c r="P2578" s="6" t="s">
        <v>25</v>
      </c>
      <c r="Q2578" s="5" t="s">
        <v>25</v>
      </c>
      <c r="R2578" s="5" t="s">
        <v>25</v>
      </c>
      <c r="S2578" s="7" t="str">
        <f>VLOOKUP(A2578,Sheet2!$A$2:$R$3432,18,0)</f>
        <v/>
      </c>
      <c r="T2578" s="7" t="str">
        <f>VLOOKUP(A2578,Sheet2!$A$2:$R$3432,17,0)</f>
        <v/>
      </c>
    </row>
    <row r="2579" ht="15.75" customHeight="1">
      <c r="A2579" s="3" t="s">
        <v>2602</v>
      </c>
      <c r="B2579" s="4" t="str">
        <f>VLOOKUP(A2579,Sheet2!$A$2:$R$3432,2,0)</f>
        <v>2024-11-17 19:57:44</v>
      </c>
      <c r="C2579" s="5" t="s">
        <v>25</v>
      </c>
      <c r="D2579" s="6" t="s">
        <v>25</v>
      </c>
      <c r="E2579" s="7">
        <f>VLOOKUP(A2579,Sheet2!$A$2:$R$3432,4,0)</f>
        <v>8975828434</v>
      </c>
      <c r="F2579" s="7" t="str">
        <f>VLOOKUP(A2579,Sheet2!$A$2:$R$3432,3,0)</f>
        <v>Karan</v>
      </c>
      <c r="G2579" s="5" t="s">
        <v>25</v>
      </c>
      <c r="H2579" s="5" t="s">
        <v>25</v>
      </c>
      <c r="I2579" s="5" t="s">
        <v>25</v>
      </c>
      <c r="J2579" s="5" t="s">
        <v>25</v>
      </c>
      <c r="K2579" s="7" t="str">
        <f>VLOOKUP(A2579,Sheet2!$A$2:$R$3432,6,0)</f>
        <v>Yamaha FZ 1</v>
      </c>
      <c r="L2579" s="5" t="s">
        <v>25</v>
      </c>
      <c r="M2579" s="7" t="str">
        <f>VLOOKUP(A2579,Sheet2!$A$2:$R$3432,5,0)</f>
        <v>MH14CT5977</v>
      </c>
      <c r="N2579" s="5" t="s">
        <v>25</v>
      </c>
      <c r="O2579" s="5" t="s">
        <v>25</v>
      </c>
      <c r="P2579" s="6" t="s">
        <v>25</v>
      </c>
      <c r="Q2579" s="5" t="s">
        <v>25</v>
      </c>
      <c r="R2579" s="5" t="s">
        <v>25</v>
      </c>
      <c r="S2579" s="5" t="str">
        <f>VLOOKUP(A2579,Sheet2!$A$2:$R$3432,18,0)</f>
        <v>21C5034137</v>
      </c>
      <c r="T2579" s="7" t="str">
        <f>VLOOKUP(A2579,Sheet2!$A$2:$R$3432,17,0)</f>
        <v>ME121CD54B2033959</v>
      </c>
    </row>
    <row r="2580" ht="15.75" customHeight="1">
      <c r="A2580" s="3" t="s">
        <v>2603</v>
      </c>
      <c r="B2580" s="4" t="str">
        <f>VLOOKUP(A2580,Sheet2!$A$2:$R$3432,2,0)</f>
        <v>2024-11-17 19:45:12</v>
      </c>
      <c r="C2580" s="5" t="s">
        <v>25</v>
      </c>
      <c r="D2580" s="6" t="s">
        <v>25</v>
      </c>
      <c r="E2580" s="7">
        <f>VLOOKUP(A2580,Sheet2!$A$2:$R$3432,4,0)</f>
        <v>9960565824</v>
      </c>
      <c r="F2580" s="7" t="str">
        <f>VLOOKUP(A2580,Sheet2!$A$2:$R$3432,3,0)</f>
        <v>Abhishek Mohod</v>
      </c>
      <c r="G2580" s="5" t="s">
        <v>25</v>
      </c>
      <c r="H2580" s="5" t="s">
        <v>25</v>
      </c>
      <c r="I2580" s="5" t="s">
        <v>25</v>
      </c>
      <c r="J2580" s="5" t="s">
        <v>25</v>
      </c>
      <c r="K2580" s="7" t="str">
        <f>VLOOKUP(A2580,Sheet2!$A$2:$R$3432,6,0)</f>
        <v>Honda Activa 125</v>
      </c>
      <c r="L2580" s="5" t="s">
        <v>25</v>
      </c>
      <c r="M2580" s="7" t="str">
        <f>VLOOKUP(A2580,Sheet2!$A$2:$R$3432,5,0)</f>
        <v>MH27BS0585</v>
      </c>
      <c r="N2580" s="5" t="s">
        <v>25</v>
      </c>
      <c r="O2580" s="5" t="s">
        <v>25</v>
      </c>
      <c r="P2580" s="6" t="s">
        <v>25</v>
      </c>
      <c r="Q2580" s="5" t="s">
        <v>25</v>
      </c>
      <c r="R2580" s="5" t="s">
        <v>25</v>
      </c>
      <c r="S2580" s="7" t="str">
        <f>VLOOKUP(A2580,Sheet2!$A$2:$R$3432,18,0)</f>
        <v/>
      </c>
      <c r="T2580" s="7" t="str">
        <f>VLOOKUP(A2580,Sheet2!$A$2:$R$3432,17,0)</f>
        <v/>
      </c>
    </row>
    <row r="2581" ht="15.75" customHeight="1">
      <c r="A2581" s="3" t="s">
        <v>2604</v>
      </c>
      <c r="B2581" s="4" t="str">
        <f>VLOOKUP(A2581,Sheet2!$A$2:$R$3432,2,0)</f>
        <v>2024-11-17 20:03:16</v>
      </c>
      <c r="C2581" s="5" t="s">
        <v>25</v>
      </c>
      <c r="D2581" s="6" t="s">
        <v>25</v>
      </c>
      <c r="E2581" s="7">
        <f>VLOOKUP(A2581,Sheet2!$A$2:$R$3432,4,0)</f>
        <v>9167426875</v>
      </c>
      <c r="F2581" s="7" t="str">
        <f>VLOOKUP(A2581,Sheet2!$A$2:$R$3432,3,0)</f>
        <v>Shubham Limbole</v>
      </c>
      <c r="G2581" s="5" t="s">
        <v>25</v>
      </c>
      <c r="H2581" s="5" t="s">
        <v>25</v>
      </c>
      <c r="I2581" s="5" t="s">
        <v>25</v>
      </c>
      <c r="J2581" s="5" t="s">
        <v>25</v>
      </c>
      <c r="K2581" s="7" t="str">
        <f>VLOOKUP(A2581,Sheet2!$A$2:$R$3432,6,0)</f>
        <v>Hero Maestro </v>
      </c>
      <c r="L2581" s="5" t="s">
        <v>25</v>
      </c>
      <c r="M2581" s="7" t="str">
        <f>VLOOKUP(A2581,Sheet2!$A$2:$R$3432,5,0)</f>
        <v>MH46BH7225</v>
      </c>
      <c r="N2581" s="5" t="s">
        <v>25</v>
      </c>
      <c r="O2581" s="5" t="s">
        <v>25</v>
      </c>
      <c r="P2581" s="6" t="s">
        <v>25</v>
      </c>
      <c r="Q2581" s="5" t="s">
        <v>25</v>
      </c>
      <c r="R2581" s="5" t="s">
        <v>25</v>
      </c>
      <c r="S2581" s="5" t="str">
        <f>VLOOKUP(A2581,Sheet2!$A$2:$R$3432,18,0)</f>
        <v>JF33ABHGK00656</v>
      </c>
      <c r="T2581" s="7" t="str">
        <f>VLOOKUP(A2581,Sheet2!$A$2:$R$3432,17,0)</f>
        <v>RUSTY FRAME</v>
      </c>
    </row>
    <row r="2582" ht="15.75" customHeight="1">
      <c r="A2582" s="3" t="s">
        <v>2605</v>
      </c>
      <c r="B2582" s="4" t="str">
        <f>VLOOKUP(A2582,Sheet2!$A$2:$R$3432,2,0)</f>
        <v>2024-11-17 20:05:41</v>
      </c>
      <c r="C2582" s="5" t="s">
        <v>25</v>
      </c>
      <c r="D2582" s="6" t="s">
        <v>25</v>
      </c>
      <c r="E2582" s="7">
        <f>VLOOKUP(A2582,Sheet2!$A$2:$R$3432,4,0)</f>
        <v>9850623336</v>
      </c>
      <c r="F2582" s="7" t="str">
        <f>VLOOKUP(A2582,Sheet2!$A$2:$R$3432,3,0)</f>
        <v>Vinayak Katkar</v>
      </c>
      <c r="G2582" s="5" t="s">
        <v>25</v>
      </c>
      <c r="H2582" s="5" t="s">
        <v>25</v>
      </c>
      <c r="I2582" s="5" t="s">
        <v>25</v>
      </c>
      <c r="J2582" s="5" t="s">
        <v>25</v>
      </c>
      <c r="K2582" s="7" t="str">
        <f>VLOOKUP(A2582,Sheet2!$A$2:$R$3432,6,0)</f>
        <v>Honda Activa 5G</v>
      </c>
      <c r="L2582" s="5" t="s">
        <v>25</v>
      </c>
      <c r="M2582" s="7" t="str">
        <f>VLOOKUP(A2582,Sheet2!$A$2:$R$3432,5,0)</f>
        <v>MH14GX6537</v>
      </c>
      <c r="N2582" s="5" t="s">
        <v>25</v>
      </c>
      <c r="O2582" s="5" t="s">
        <v>25</v>
      </c>
      <c r="P2582" s="6" t="s">
        <v>25</v>
      </c>
      <c r="Q2582" s="5" t="s">
        <v>25</v>
      </c>
      <c r="R2582" s="5" t="s">
        <v>25</v>
      </c>
      <c r="S2582" s="5" t="str">
        <f>VLOOKUP(A2582,Sheet2!$A$2:$R$3432,18,0)</f>
        <v>JE50E77074864</v>
      </c>
      <c r="T2582" s="7" t="str">
        <f>VLOOKUP(A2582,Sheet2!$A$2:$R$3432,17,0)</f>
        <v>ME4JF50AEJ7074827</v>
      </c>
    </row>
    <row r="2583" ht="15.75" customHeight="1">
      <c r="A2583" s="3" t="s">
        <v>2606</v>
      </c>
      <c r="B2583" s="4" t="str">
        <f>VLOOKUP(A2583,Sheet2!$A$2:$R$3432,2,0)</f>
        <v>2024-11-17 19:44:27</v>
      </c>
      <c r="C2583" s="5" t="s">
        <v>25</v>
      </c>
      <c r="D2583" s="6" t="s">
        <v>25</v>
      </c>
      <c r="E2583" s="7">
        <f>VLOOKUP(A2583,Sheet2!$A$2:$R$3432,4,0)</f>
        <v>9422541447</v>
      </c>
      <c r="F2583" s="7" t="str">
        <f>VLOOKUP(A2583,Sheet2!$A$2:$R$3432,3,0)</f>
        <v>Kevendra Pundhir</v>
      </c>
      <c r="G2583" s="5" t="s">
        <v>25</v>
      </c>
      <c r="H2583" s="5" t="s">
        <v>25</v>
      </c>
      <c r="I2583" s="5" t="s">
        <v>25</v>
      </c>
      <c r="J2583" s="5" t="s">
        <v>25</v>
      </c>
      <c r="K2583" s="7" t="str">
        <f>VLOOKUP(A2583,Sheet2!$A$2:$R$3432,6,0)</f>
        <v>Honda Activa 4G</v>
      </c>
      <c r="L2583" s="5" t="s">
        <v>25</v>
      </c>
      <c r="M2583" s="7" t="str">
        <f>VLOOKUP(A2583,Sheet2!$A$2:$R$3432,5,0)</f>
        <v>MH14GF6204</v>
      </c>
      <c r="N2583" s="5" t="s">
        <v>25</v>
      </c>
      <c r="O2583" s="5" t="s">
        <v>25</v>
      </c>
      <c r="P2583" s="6" t="s">
        <v>25</v>
      </c>
      <c r="Q2583" s="5" t="s">
        <v>25</v>
      </c>
      <c r="R2583" s="5" t="s">
        <v>25</v>
      </c>
      <c r="S2583" s="5" t="str">
        <f>VLOOKUP(A2583,Sheet2!$A$2:$R$3432,18,0)</f>
        <v>JF50EU5120331</v>
      </c>
      <c r="T2583" s="7" t="str">
        <f>VLOOKUP(A2583,Sheet2!$A$2:$R$3432,17,0)</f>
        <v>ME4JF507D4U120272</v>
      </c>
    </row>
    <row r="2584" ht="15.75" customHeight="1">
      <c r="A2584" s="3" t="s">
        <v>2607</v>
      </c>
      <c r="B2584" s="4" t="str">
        <f>VLOOKUP(A2584,Sheet2!$A$2:$R$3432,2,0)</f>
        <v>2024-11-17 19:46:20</v>
      </c>
      <c r="C2584" s="5" t="s">
        <v>25</v>
      </c>
      <c r="D2584" s="6" t="s">
        <v>25</v>
      </c>
      <c r="E2584" s="7">
        <f>VLOOKUP(A2584,Sheet2!$A$2:$R$3432,4,0)</f>
        <v>9422623408</v>
      </c>
      <c r="F2584" s="7" t="str">
        <f>VLOOKUP(A2584,Sheet2!$A$2:$R$3432,3,0)</f>
        <v>Avishkar Barse</v>
      </c>
      <c r="G2584" s="5" t="s">
        <v>25</v>
      </c>
      <c r="H2584" s="5" t="s">
        <v>25</v>
      </c>
      <c r="I2584" s="5" t="s">
        <v>25</v>
      </c>
      <c r="J2584" s="5" t="s">
        <v>25</v>
      </c>
      <c r="K2584" s="7" t="str">
        <f>VLOOKUP(A2584,Sheet2!$A$2:$R$3432,6,0)</f>
        <v>Suzuki Access 125</v>
      </c>
      <c r="L2584" s="5" t="s">
        <v>25</v>
      </c>
      <c r="M2584" s="7" t="str">
        <f>VLOOKUP(A2584,Sheet2!$A$2:$R$3432,5,0)</f>
        <v>MH14ES3430</v>
      </c>
      <c r="N2584" s="5" t="s">
        <v>25</v>
      </c>
      <c r="O2584" s="5" t="s">
        <v>25</v>
      </c>
      <c r="P2584" s="6" t="s">
        <v>25</v>
      </c>
      <c r="Q2584" s="5" t="s">
        <v>25</v>
      </c>
      <c r="R2584" s="5" t="s">
        <v>25</v>
      </c>
      <c r="S2584" s="7" t="str">
        <f>VLOOKUP(A2584,Sheet2!$A$2:$R$3432,18,0)</f>
        <v/>
      </c>
      <c r="T2584" s="7" t="str">
        <f>VLOOKUP(A2584,Sheet2!$A$2:$R$3432,17,0)</f>
        <v/>
      </c>
    </row>
    <row r="2585" ht="15.75" customHeight="1">
      <c r="A2585" s="3" t="s">
        <v>2608</v>
      </c>
      <c r="B2585" s="4" t="str">
        <f>VLOOKUP(A2585,Sheet2!$A$2:$R$3432,2,0)</f>
        <v>2024-11-17 20:01:03</v>
      </c>
      <c r="C2585" s="5" t="s">
        <v>25</v>
      </c>
      <c r="D2585" s="6" t="s">
        <v>25</v>
      </c>
      <c r="E2585" s="7">
        <f>VLOOKUP(A2585,Sheet2!$A$2:$R$3432,4,0)</f>
        <v>7709561377</v>
      </c>
      <c r="F2585" s="7" t="str">
        <f>VLOOKUP(A2585,Sheet2!$A$2:$R$3432,3,0)</f>
        <v>Kalyani Chavan </v>
      </c>
      <c r="G2585" s="5" t="s">
        <v>25</v>
      </c>
      <c r="H2585" s="5" t="s">
        <v>25</v>
      </c>
      <c r="I2585" s="5" t="s">
        <v>25</v>
      </c>
      <c r="J2585" s="5" t="s">
        <v>25</v>
      </c>
      <c r="K2585" s="7" t="str">
        <f>VLOOKUP(A2585,Sheet2!$A$2:$R$3432,6,0)</f>
        <v>Suzuki Access 125</v>
      </c>
      <c r="L2585" s="5" t="s">
        <v>25</v>
      </c>
      <c r="M2585" s="7" t="str">
        <f>VLOOKUP(A2585,Sheet2!$A$2:$R$3432,5,0)</f>
        <v>MH14KM2375</v>
      </c>
      <c r="N2585" s="5" t="s">
        <v>25</v>
      </c>
      <c r="O2585" s="5" t="s">
        <v>25</v>
      </c>
      <c r="P2585" s="6" t="s">
        <v>25</v>
      </c>
      <c r="Q2585" s="5" t="s">
        <v>25</v>
      </c>
      <c r="R2585" s="5" t="s">
        <v>25</v>
      </c>
      <c r="S2585" s="5" t="str">
        <f>VLOOKUP(A2585,Sheet2!$A$2:$R$3432,18,0)</f>
        <v>AF21277856</v>
      </c>
      <c r="T2585" s="7" t="str">
        <f>VLOOKUP(A2585,Sheet2!$A$2:$R$3432,17,0)</f>
        <v>MB8DPLN8E15476</v>
      </c>
    </row>
    <row r="2586" ht="15.75" customHeight="1">
      <c r="A2586" s="3" t="s">
        <v>2609</v>
      </c>
      <c r="B2586" s="4" t="str">
        <f>VLOOKUP(A2586,Sheet2!$A$2:$R$3432,2,0)</f>
        <v>2024-11-17 19:34:17</v>
      </c>
      <c r="C2586" s="5" t="s">
        <v>25</v>
      </c>
      <c r="D2586" s="6" t="s">
        <v>25</v>
      </c>
      <c r="E2586" s="7">
        <f>VLOOKUP(A2586,Sheet2!$A$2:$R$3432,4,0)</f>
        <v>7387186785</v>
      </c>
      <c r="F2586" s="7" t="str">
        <f>VLOOKUP(A2586,Sheet2!$A$2:$R$3432,3,0)</f>
        <v>Amit Suryavanshi</v>
      </c>
      <c r="G2586" s="5" t="s">
        <v>25</v>
      </c>
      <c r="H2586" s="5" t="s">
        <v>25</v>
      </c>
      <c r="I2586" s="5" t="s">
        <v>25</v>
      </c>
      <c r="J2586" s="5" t="s">
        <v>25</v>
      </c>
      <c r="K2586" s="7" t="str">
        <f>VLOOKUP(A2586,Sheet2!$A$2:$R$3432,6,0)</f>
        <v>Honda Shine </v>
      </c>
      <c r="L2586" s="5" t="s">
        <v>25</v>
      </c>
      <c r="M2586" s="7" t="str">
        <f>VLOOKUP(A2586,Sheet2!$A$2:$R$3432,5,0)</f>
        <v>MH10DC9865</v>
      </c>
      <c r="N2586" s="5" t="s">
        <v>25</v>
      </c>
      <c r="O2586" s="5" t="s">
        <v>25</v>
      </c>
      <c r="P2586" s="6" t="s">
        <v>25</v>
      </c>
      <c r="Q2586" s="5" t="s">
        <v>25</v>
      </c>
      <c r="R2586" s="5" t="s">
        <v>25</v>
      </c>
      <c r="S2586" s="5" t="str">
        <f>VLOOKUP(A2586,Sheet2!$A$2:$R$3432,18,0)</f>
        <v>JC65ET2243831</v>
      </c>
      <c r="T2586" s="7" t="str">
        <f>VLOOKUP(A2586,Sheet2!$A$2:$R$3432,17,0)</f>
        <v>ME4JC65AKT154753</v>
      </c>
    </row>
    <row r="2587" ht="15.75" customHeight="1">
      <c r="A2587" s="3" t="s">
        <v>2610</v>
      </c>
      <c r="B2587" s="4" t="str">
        <f>VLOOKUP(A2587,Sheet2!$A$2:$R$3432,2,0)</f>
        <v>2024-11-17 19:53:53</v>
      </c>
      <c r="C2587" s="5" t="s">
        <v>25</v>
      </c>
      <c r="D2587" s="6" t="s">
        <v>25</v>
      </c>
      <c r="E2587" s="7">
        <f>VLOOKUP(A2587,Sheet2!$A$2:$R$3432,4,0)</f>
        <v>9922936592</v>
      </c>
      <c r="F2587" s="7" t="str">
        <f>VLOOKUP(A2587,Sheet2!$A$2:$R$3432,3,0)</f>
        <v>PATIL </v>
      </c>
      <c r="G2587" s="5" t="s">
        <v>25</v>
      </c>
      <c r="H2587" s="5" t="s">
        <v>25</v>
      </c>
      <c r="I2587" s="5" t="s">
        <v>25</v>
      </c>
      <c r="J2587" s="5" t="s">
        <v>25</v>
      </c>
      <c r="K2587" s="7" t="str">
        <f>VLOOKUP(A2587,Sheet2!$A$2:$R$3432,6,0)</f>
        <v>Honda Activa 3G</v>
      </c>
      <c r="L2587" s="5" t="s">
        <v>25</v>
      </c>
      <c r="M2587" s="7" t="str">
        <f>VLOOKUP(A2587,Sheet2!$A$2:$R$3432,5,0)</f>
        <v>MH14FN9387</v>
      </c>
      <c r="N2587" s="5" t="s">
        <v>25</v>
      </c>
      <c r="O2587" s="5" t="s">
        <v>25</v>
      </c>
      <c r="P2587" s="6" t="s">
        <v>25</v>
      </c>
      <c r="Q2587" s="5" t="s">
        <v>25</v>
      </c>
      <c r="R2587" s="5" t="s">
        <v>25</v>
      </c>
      <c r="S2587" s="7" t="str">
        <f>VLOOKUP(A2587,Sheet2!$A$2:$R$3432,18,0)</f>
        <v/>
      </c>
      <c r="T2587" s="7" t="str">
        <f>VLOOKUP(A2587,Sheet2!$A$2:$R$3432,17,0)</f>
        <v/>
      </c>
    </row>
    <row r="2588" ht="15.75" customHeight="1">
      <c r="A2588" s="3" t="s">
        <v>2611</v>
      </c>
      <c r="B2588" s="4" t="str">
        <f>VLOOKUP(A2588,Sheet2!$A$2:$R$3432,2,0)</f>
        <v>2024-11-17 20:01:53</v>
      </c>
      <c r="C2588" s="5" t="s">
        <v>25</v>
      </c>
      <c r="D2588" s="6" t="s">
        <v>25</v>
      </c>
      <c r="E2588" s="7">
        <f>VLOOKUP(A2588,Sheet2!$A$2:$R$3432,4,0)</f>
        <v>8605651344</v>
      </c>
      <c r="F2588" s="7" t="str">
        <f>VLOOKUP(A2588,Sheet2!$A$2:$R$3432,3,0)</f>
        <v>Prashik</v>
      </c>
      <c r="G2588" s="5" t="s">
        <v>25</v>
      </c>
      <c r="H2588" s="5" t="s">
        <v>25</v>
      </c>
      <c r="I2588" s="5" t="s">
        <v>25</v>
      </c>
      <c r="J2588" s="5" t="s">
        <v>25</v>
      </c>
      <c r="K2588" s="7" t="str">
        <f>VLOOKUP(A2588,Sheet2!$A$2:$R$3432,6,0)</f>
        <v>Bajaj Pulsar 200 NS</v>
      </c>
      <c r="L2588" s="5" t="s">
        <v>25</v>
      </c>
      <c r="M2588" s="7" t="str">
        <f>VLOOKUP(A2588,Sheet2!$A$2:$R$3432,5,0)</f>
        <v>MH31FJ7569</v>
      </c>
      <c r="N2588" s="5" t="s">
        <v>25</v>
      </c>
      <c r="O2588" s="5" t="s">
        <v>25</v>
      </c>
      <c r="P2588" s="6" t="s">
        <v>25</v>
      </c>
      <c r="Q2588" s="5" t="s">
        <v>25</v>
      </c>
      <c r="R2588" s="5" t="s">
        <v>25</v>
      </c>
      <c r="S2588" s="5" t="str">
        <f>VLOOKUP(A2588,Sheet2!$A$2:$R$3432,18,0)</f>
        <v>JL5CE55886</v>
      </c>
      <c r="T2588" s="7" t="str">
        <f>VLOOKUP(A2588,Sheet2!$A$2:$R$3432,17,0)</f>
        <v>MD2A36F47JCE58918</v>
      </c>
    </row>
    <row r="2589" ht="15.75" customHeight="1">
      <c r="A2589" s="3" t="s">
        <v>2612</v>
      </c>
      <c r="B2589" s="4" t="str">
        <f>VLOOKUP(A2589,Sheet2!$A$2:$R$3432,2,0)</f>
        <v>2024-11-17 20:04:55</v>
      </c>
      <c r="C2589" s="5" t="s">
        <v>25</v>
      </c>
      <c r="D2589" s="6" t="s">
        <v>25</v>
      </c>
      <c r="E2589" s="7">
        <f>VLOOKUP(A2589,Sheet2!$A$2:$R$3432,4,0)</f>
        <v>8806472274</v>
      </c>
      <c r="F2589" s="7" t="str">
        <f>VLOOKUP(A2589,Sheet2!$A$2:$R$3432,3,0)</f>
        <v>SACHIN BHALERAO</v>
      </c>
      <c r="G2589" s="5" t="s">
        <v>25</v>
      </c>
      <c r="H2589" s="5" t="s">
        <v>25</v>
      </c>
      <c r="I2589" s="5" t="s">
        <v>25</v>
      </c>
      <c r="J2589" s="5" t="s">
        <v>25</v>
      </c>
      <c r="K2589" s="7" t="str">
        <f>VLOOKUP(A2589,Sheet2!$A$2:$R$3432,6,0)</f>
        <v>Honda Activa 5G</v>
      </c>
      <c r="L2589" s="5" t="s">
        <v>25</v>
      </c>
      <c r="M2589" s="7" t="str">
        <f>VLOOKUP(A2589,Sheet2!$A$2:$R$3432,5,0)</f>
        <v>MH14HJ7482</v>
      </c>
      <c r="N2589" s="5" t="s">
        <v>25</v>
      </c>
      <c r="O2589" s="5" t="s">
        <v>25</v>
      </c>
      <c r="P2589" s="6" t="s">
        <v>25</v>
      </c>
      <c r="Q2589" s="5" t="s">
        <v>25</v>
      </c>
      <c r="R2589" s="5" t="s">
        <v>25</v>
      </c>
      <c r="S2589" s="5" t="str">
        <f>VLOOKUP(A2589,Sheet2!$A$2:$R$3432,18,0)</f>
        <v>JF50EE8176230</v>
      </c>
      <c r="T2589" s="7" t="str">
        <f>VLOOKUP(A2589,Sheet2!$A$2:$R$3432,17,0)</f>
        <v>ME4JF50BMJ4176176</v>
      </c>
    </row>
    <row r="2590" ht="15.75" customHeight="1">
      <c r="A2590" s="3" t="s">
        <v>2613</v>
      </c>
      <c r="B2590" s="4" t="str">
        <f>VLOOKUP(A2590,Sheet2!$A$2:$R$3432,2,0)</f>
        <v>2024-11-17 20:06:09</v>
      </c>
      <c r="C2590" s="5" t="s">
        <v>25</v>
      </c>
      <c r="D2590" s="6" t="s">
        <v>25</v>
      </c>
      <c r="E2590" s="7">
        <f>VLOOKUP(A2590,Sheet2!$A$2:$R$3432,4,0)</f>
        <v>8888134011</v>
      </c>
      <c r="F2590" s="7" t="str">
        <f>VLOOKUP(A2590,Sheet2!$A$2:$R$3432,3,0)</f>
        <v>Akshay</v>
      </c>
      <c r="G2590" s="5" t="s">
        <v>25</v>
      </c>
      <c r="H2590" s="5" t="s">
        <v>25</v>
      </c>
      <c r="I2590" s="5" t="s">
        <v>25</v>
      </c>
      <c r="J2590" s="5" t="s">
        <v>25</v>
      </c>
      <c r="K2590" s="7" t="str">
        <f>VLOOKUP(A2590,Sheet2!$A$2:$R$3432,6,0)</f>
        <v>TVS NTorq 125</v>
      </c>
      <c r="L2590" s="5" t="s">
        <v>25</v>
      </c>
      <c r="M2590" s="7" t="str">
        <f>VLOOKUP(A2590,Sheet2!$A$2:$R$3432,5,0)</f>
        <v>MH14HS9748</v>
      </c>
      <c r="N2590" s="5" t="s">
        <v>25</v>
      </c>
      <c r="O2590" s="5" t="s">
        <v>25</v>
      </c>
      <c r="P2590" s="6" t="s">
        <v>25</v>
      </c>
      <c r="Q2590" s="5" t="s">
        <v>25</v>
      </c>
      <c r="R2590" s="5" t="s">
        <v>25</v>
      </c>
      <c r="S2590" s="7" t="str">
        <f>VLOOKUP(A2590,Sheet2!$A$2:$R$3432,18,0)</f>
        <v/>
      </c>
      <c r="T2590" s="7" t="str">
        <f>VLOOKUP(A2590,Sheet2!$A$2:$R$3432,17,0)</f>
        <v/>
      </c>
    </row>
    <row r="2591" ht="15.75" customHeight="1">
      <c r="A2591" s="3" t="s">
        <v>2614</v>
      </c>
      <c r="B2591" s="4" t="str">
        <f>VLOOKUP(A2591,Sheet2!$A$2:$R$3432,2,0)</f>
        <v>2024-11-17 20:06:54</v>
      </c>
      <c r="C2591" s="5" t="s">
        <v>25</v>
      </c>
      <c r="D2591" s="6" t="s">
        <v>25</v>
      </c>
      <c r="E2591" s="7">
        <f>VLOOKUP(A2591,Sheet2!$A$2:$R$3432,4,0)</f>
        <v>9656720772</v>
      </c>
      <c r="F2591" s="7" t="str">
        <f>VLOOKUP(A2591,Sheet2!$A$2:$R$3432,3,0)</f>
        <v>Shal</v>
      </c>
      <c r="G2591" s="5" t="s">
        <v>25</v>
      </c>
      <c r="H2591" s="5" t="s">
        <v>25</v>
      </c>
      <c r="I2591" s="5" t="s">
        <v>25</v>
      </c>
      <c r="J2591" s="5" t="s">
        <v>25</v>
      </c>
      <c r="K2591" s="7" t="str">
        <f>VLOOKUP(A2591,Sheet2!$A$2:$R$3432,6,0)</f>
        <v>Yamaha FZ S 2.0</v>
      </c>
      <c r="L2591" s="5" t="s">
        <v>25</v>
      </c>
      <c r="M2591" s="7" t="str">
        <f>VLOOKUP(A2591,Sheet2!$A$2:$R$3432,5,0)</f>
        <v>KL46Q2413</v>
      </c>
      <c r="N2591" s="5" t="s">
        <v>25</v>
      </c>
      <c r="O2591" s="5" t="s">
        <v>25</v>
      </c>
      <c r="P2591" s="6" t="s">
        <v>25</v>
      </c>
      <c r="Q2591" s="5" t="s">
        <v>25</v>
      </c>
      <c r="R2591" s="5" t="s">
        <v>25</v>
      </c>
      <c r="S2591" s="7" t="str">
        <f>VLOOKUP(A2591,Sheet2!$A$2:$R$3432,18,0)</f>
        <v/>
      </c>
      <c r="T2591" s="7" t="str">
        <f>VLOOKUP(A2591,Sheet2!$A$2:$R$3432,17,0)</f>
        <v/>
      </c>
    </row>
    <row r="2592" ht="15.75" customHeight="1">
      <c r="A2592" s="3" t="s">
        <v>2615</v>
      </c>
      <c r="B2592" s="4" t="str">
        <f>VLOOKUP(A2592,Sheet2!$A$2:$R$3432,2,0)</f>
        <v>2024-11-17 20:31:59</v>
      </c>
      <c r="C2592" s="5" t="s">
        <v>25</v>
      </c>
      <c r="D2592" s="6" t="s">
        <v>25</v>
      </c>
      <c r="E2592" s="7">
        <f>VLOOKUP(A2592,Sheet2!$A$2:$R$3432,4,0)</f>
        <v>9923442446</v>
      </c>
      <c r="F2592" s="7" t="str">
        <f>VLOOKUP(A2592,Sheet2!$A$2:$R$3432,3,0)</f>
        <v>Ravindra Kavitkar</v>
      </c>
      <c r="G2592" s="5" t="s">
        <v>25</v>
      </c>
      <c r="H2592" s="5" t="s">
        <v>25</v>
      </c>
      <c r="I2592" s="5" t="s">
        <v>25</v>
      </c>
      <c r="J2592" s="5" t="s">
        <v>25</v>
      </c>
      <c r="K2592" s="7" t="str">
        <f>VLOOKUP(A2592,Sheet2!$A$2:$R$3432,6,0)</f>
        <v>Yamaha FZ 1</v>
      </c>
      <c r="L2592" s="5" t="s">
        <v>25</v>
      </c>
      <c r="M2592" s="7" t="str">
        <f>VLOOKUP(A2592,Sheet2!$A$2:$R$3432,5,0)</f>
        <v>MH14CB7678</v>
      </c>
      <c r="N2592" s="5" t="s">
        <v>25</v>
      </c>
      <c r="O2592" s="5" t="s">
        <v>25</v>
      </c>
      <c r="P2592" s="6" t="s">
        <v>25</v>
      </c>
      <c r="Q2592" s="5" t="s">
        <v>25</v>
      </c>
      <c r="R2592" s="5" t="s">
        <v>25</v>
      </c>
      <c r="S2592" s="5" t="str">
        <f>VLOOKUP(A2592,Sheet2!$A$2:$R$3432,18,0)</f>
        <v>21G60001626</v>
      </c>
      <c r="T2592" s="7" t="str">
        <f>VLOOKUP(A2592,Sheet2!$A$2:$R$3432,17,0)</f>
        <v>ME121C064A2001636</v>
      </c>
    </row>
    <row r="2593" ht="15.75" customHeight="1">
      <c r="A2593" s="3" t="s">
        <v>2616</v>
      </c>
      <c r="B2593" s="4" t="str">
        <f>VLOOKUP(A2593,Sheet2!$A$2:$R$3432,2,0)</f>
        <v>2024-10-12 11:03:33</v>
      </c>
      <c r="C2593" s="5" t="s">
        <v>25</v>
      </c>
      <c r="D2593" s="6" t="s">
        <v>25</v>
      </c>
      <c r="E2593" s="7">
        <f>VLOOKUP(A2593,Sheet2!$A$2:$R$3432,4,0)</f>
        <v>9595777496</v>
      </c>
      <c r="F2593" s="7" t="str">
        <f>VLOOKUP(A2593,Sheet2!$A$2:$R$3432,3,0)</f>
        <v>Saurabh Shinde </v>
      </c>
      <c r="G2593" s="5" t="s">
        <v>25</v>
      </c>
      <c r="H2593" s="5" t="s">
        <v>25</v>
      </c>
      <c r="I2593" s="5" t="s">
        <v>25</v>
      </c>
      <c r="J2593" s="5" t="s">
        <v>25</v>
      </c>
      <c r="K2593" s="7" t="str">
        <f>VLOOKUP(A2593,Sheet2!$A$2:$R$3432,6,0)</f>
        <v>Royal Enfield Bullet 350</v>
      </c>
      <c r="L2593" s="5" t="s">
        <v>25</v>
      </c>
      <c r="M2593" s="7" t="str">
        <f>VLOOKUP(A2593,Sheet2!$A$2:$R$3432,5,0)</f>
        <v>MH34CC3562</v>
      </c>
      <c r="N2593" s="5" t="s">
        <v>25</v>
      </c>
      <c r="O2593" s="5" t="s">
        <v>25</v>
      </c>
      <c r="P2593" s="6" t="s">
        <v>25</v>
      </c>
      <c r="Q2593" s="5" t="s">
        <v>25</v>
      </c>
      <c r="R2593" s="5" t="s">
        <v>25</v>
      </c>
      <c r="S2593" s="7" t="str">
        <f>VLOOKUP(A2593,Sheet2!$A$2:$R$3432,18,0)</f>
        <v/>
      </c>
      <c r="T2593" s="7" t="str">
        <f>VLOOKUP(A2593,Sheet2!$A$2:$R$3432,17,0)</f>
        <v>ME3J3D5FKNT100345</v>
      </c>
    </row>
    <row r="2594" ht="15.75" customHeight="1">
      <c r="A2594" s="3" t="s">
        <v>2617</v>
      </c>
      <c r="B2594" s="4" t="str">
        <f>VLOOKUP(A2594,Sheet2!$A$2:$R$3432,2,0)</f>
        <v>2024-09-21 20:50:21</v>
      </c>
      <c r="C2594" s="5" t="s">
        <v>25</v>
      </c>
      <c r="D2594" s="6" t="s">
        <v>25</v>
      </c>
      <c r="E2594" s="7">
        <f>VLOOKUP(A2594,Sheet2!$A$2:$R$3432,4,0)</f>
        <v>7796390470</v>
      </c>
      <c r="F2594" s="7" t="str">
        <f>VLOOKUP(A2594,Sheet2!$A$2:$R$3432,3,0)</f>
        <v>SHINDE</v>
      </c>
      <c r="G2594" s="5" t="s">
        <v>25</v>
      </c>
      <c r="H2594" s="5" t="s">
        <v>25</v>
      </c>
      <c r="I2594" s="5" t="s">
        <v>25</v>
      </c>
      <c r="J2594" s="5" t="s">
        <v>25</v>
      </c>
      <c r="K2594" s="7" t="str">
        <f>VLOOKUP(A2594,Sheet2!$A$2:$R$3432,6,0)</f>
        <v>Honda Activa 6G</v>
      </c>
      <c r="L2594" s="5" t="s">
        <v>25</v>
      </c>
      <c r="M2594" s="7" t="str">
        <f>VLOOKUP(A2594,Sheet2!$A$2:$R$3432,5,0)</f>
        <v>MH38AC4101</v>
      </c>
      <c r="N2594" s="5" t="s">
        <v>25</v>
      </c>
      <c r="O2594" s="5" t="s">
        <v>25</v>
      </c>
      <c r="P2594" s="6" t="s">
        <v>25</v>
      </c>
      <c r="Q2594" s="5" t="s">
        <v>25</v>
      </c>
      <c r="R2594" s="5" t="s">
        <v>25</v>
      </c>
      <c r="S2594" s="7" t="str">
        <f>VLOOKUP(A2594,Sheet2!$A$2:$R$3432,18,0)</f>
        <v/>
      </c>
      <c r="T2594" s="7" t="str">
        <f>VLOOKUP(A2594,Sheet2!$A$2:$R$3432,17,0)</f>
        <v/>
      </c>
    </row>
    <row r="2595" ht="15.75" customHeight="1">
      <c r="A2595" s="3" t="s">
        <v>2618</v>
      </c>
      <c r="B2595" s="4" t="str">
        <f>VLOOKUP(A2595,Sheet2!$A$2:$R$3432,2,0)</f>
        <v>2024-09-21 20:55:47</v>
      </c>
      <c r="C2595" s="5" t="s">
        <v>25</v>
      </c>
      <c r="D2595" s="6" t="s">
        <v>25</v>
      </c>
      <c r="E2595" s="7">
        <f>VLOOKUP(A2595,Sheet2!$A$2:$R$3432,4,0)</f>
        <v>9773790675</v>
      </c>
      <c r="F2595" s="7" t="str">
        <f>VLOOKUP(A2595,Sheet2!$A$2:$R$3432,3,0)</f>
        <v>Ujwala </v>
      </c>
      <c r="G2595" s="5" t="s">
        <v>25</v>
      </c>
      <c r="H2595" s="5" t="s">
        <v>25</v>
      </c>
      <c r="I2595" s="5" t="s">
        <v>25</v>
      </c>
      <c r="J2595" s="5" t="s">
        <v>25</v>
      </c>
      <c r="K2595" s="7" t="str">
        <f>VLOOKUP(A2595,Sheet2!$A$2:$R$3432,6,0)</f>
        <v>TVS Jupiter </v>
      </c>
      <c r="L2595" s="5" t="s">
        <v>25</v>
      </c>
      <c r="M2595" s="7" t="str">
        <f>VLOOKUP(A2595,Sheet2!$A$2:$R$3432,5,0)</f>
        <v>MH14GB3965</v>
      </c>
      <c r="N2595" s="5" t="s">
        <v>25</v>
      </c>
      <c r="O2595" s="5" t="s">
        <v>25</v>
      </c>
      <c r="P2595" s="6" t="s">
        <v>25</v>
      </c>
      <c r="Q2595" s="5" t="s">
        <v>25</v>
      </c>
      <c r="R2595" s="5" t="s">
        <v>25</v>
      </c>
      <c r="S2595" s="7" t="str">
        <f>VLOOKUP(A2595,Sheet2!$A$2:$R$3432,18,0)</f>
        <v/>
      </c>
      <c r="T2595" s="7" t="str">
        <f>VLOOKUP(A2595,Sheet2!$A$2:$R$3432,17,0)</f>
        <v/>
      </c>
    </row>
    <row r="2596" ht="15.75" customHeight="1">
      <c r="A2596" s="3" t="s">
        <v>2619</v>
      </c>
      <c r="B2596" s="4" t="str">
        <f>VLOOKUP(A2596,Sheet2!$A$2:$R$3432,2,0)</f>
        <v>2024-09-21 21:04:39</v>
      </c>
      <c r="C2596" s="5" t="s">
        <v>25</v>
      </c>
      <c r="D2596" s="6" t="s">
        <v>25</v>
      </c>
      <c r="E2596" s="7">
        <f>VLOOKUP(A2596,Sheet2!$A$2:$R$3432,4,0)</f>
        <v>9860034553</v>
      </c>
      <c r="F2596" s="7" t="str">
        <f>VLOOKUP(A2596,Sheet2!$A$2:$R$3432,3,0)</f>
        <v>Rohit Jadhav</v>
      </c>
      <c r="G2596" s="5" t="s">
        <v>25</v>
      </c>
      <c r="H2596" s="5" t="s">
        <v>25</v>
      </c>
      <c r="I2596" s="5" t="s">
        <v>25</v>
      </c>
      <c r="J2596" s="5" t="s">
        <v>25</v>
      </c>
      <c r="K2596" s="7" t="str">
        <f>VLOOKUP(A2596,Sheet2!$A$2:$R$3432,6,0)</f>
        <v>Honda Activa 110</v>
      </c>
      <c r="L2596" s="5" t="s">
        <v>25</v>
      </c>
      <c r="M2596" s="7" t="str">
        <f>VLOOKUP(A2596,Sheet2!$A$2:$R$3432,5,0)</f>
        <v>MH14DG6601</v>
      </c>
      <c r="N2596" s="5" t="s">
        <v>25</v>
      </c>
      <c r="O2596" s="5" t="s">
        <v>25</v>
      </c>
      <c r="P2596" s="6" t="s">
        <v>25</v>
      </c>
      <c r="Q2596" s="5" t="s">
        <v>25</v>
      </c>
      <c r="R2596" s="5" t="s">
        <v>25</v>
      </c>
      <c r="S2596" s="5" t="str">
        <f>VLOOKUP(A2596,Sheet2!$A$2:$R$3432,18,0)</f>
        <v>JC44E5263930</v>
      </c>
      <c r="T2596" s="7" t="str">
        <f>VLOOKUP(A2596,Sheet2!$A$2:$R$3432,17,0)</f>
        <v>ME4JC448CC7263971</v>
      </c>
    </row>
    <row r="2597" ht="15.75" customHeight="1">
      <c r="A2597" s="3" t="s">
        <v>2620</v>
      </c>
      <c r="B2597" s="4" t="str">
        <f>VLOOKUP(A2597,Sheet2!$A$2:$R$3432,2,0)</f>
        <v>2024-09-21 21:00:24</v>
      </c>
      <c r="C2597" s="5" t="s">
        <v>25</v>
      </c>
      <c r="D2597" s="6" t="s">
        <v>25</v>
      </c>
      <c r="E2597" s="7">
        <f>VLOOKUP(A2597,Sheet2!$A$2:$R$3432,4,0)</f>
        <v>8237668546</v>
      </c>
      <c r="F2597" s="7" t="str">
        <f>VLOOKUP(A2597,Sheet2!$A$2:$R$3432,3,0)</f>
        <v>CHINMAY</v>
      </c>
      <c r="G2597" s="5" t="s">
        <v>25</v>
      </c>
      <c r="H2597" s="5" t="s">
        <v>25</v>
      </c>
      <c r="I2597" s="5" t="s">
        <v>25</v>
      </c>
      <c r="J2597" s="5" t="s">
        <v>25</v>
      </c>
      <c r="K2597" s="7" t="str">
        <f>VLOOKUP(A2597,Sheet2!$A$2:$R$3432,6,0)</f>
        <v>Bajaj Pulsar 200 RS</v>
      </c>
      <c r="L2597" s="5" t="s">
        <v>25</v>
      </c>
      <c r="M2597" s="7" t="str">
        <f>VLOOKUP(A2597,Sheet2!$A$2:$R$3432,5,0)</f>
        <v>MH20FF0016</v>
      </c>
      <c r="N2597" s="5" t="s">
        <v>25</v>
      </c>
      <c r="O2597" s="5" t="s">
        <v>25</v>
      </c>
      <c r="P2597" s="6" t="s">
        <v>25</v>
      </c>
      <c r="Q2597" s="5" t="s">
        <v>25</v>
      </c>
      <c r="R2597" s="5" t="s">
        <v>25</v>
      </c>
      <c r="S2597" s="5" t="str">
        <f>VLOOKUP(A2597,Sheet2!$A$2:$R$3432,18,0)</f>
        <v>JLYCK246904</v>
      </c>
      <c r="T2597" s="7" t="str">
        <f>VLOOKUP(A2597,Sheet2!$A$2:$R$3432,17,0)</f>
        <v/>
      </c>
    </row>
    <row r="2598" ht="15.75" customHeight="1">
      <c r="A2598" s="3" t="s">
        <v>2621</v>
      </c>
      <c r="B2598" s="4" t="str">
        <f>VLOOKUP(A2598,Sheet2!$A$2:$R$3432,2,0)</f>
        <v>2024-09-21 20:59:55</v>
      </c>
      <c r="C2598" s="5" t="s">
        <v>25</v>
      </c>
      <c r="D2598" s="6" t="s">
        <v>25</v>
      </c>
      <c r="E2598" s="7">
        <f>VLOOKUP(A2598,Sheet2!$A$2:$R$3432,4,0)</f>
        <v>9922661023</v>
      </c>
      <c r="F2598" s="7" t="str">
        <f>VLOOKUP(A2598,Sheet2!$A$2:$R$3432,3,0)</f>
        <v>Ravindra Awate</v>
      </c>
      <c r="G2598" s="5" t="s">
        <v>25</v>
      </c>
      <c r="H2598" s="5" t="s">
        <v>25</v>
      </c>
      <c r="I2598" s="5" t="s">
        <v>25</v>
      </c>
      <c r="J2598" s="5" t="s">
        <v>25</v>
      </c>
      <c r="K2598" s="7" t="str">
        <f>VLOOKUP(A2598,Sheet2!$A$2:$R$3432,6,0)</f>
        <v>Hero Splendor iSmart</v>
      </c>
      <c r="L2598" s="5" t="s">
        <v>25</v>
      </c>
      <c r="M2598" s="7" t="str">
        <f>VLOOKUP(A2598,Sheet2!$A$2:$R$3432,5,0)</f>
        <v>MH14EZ0671</v>
      </c>
      <c r="N2598" s="5" t="s">
        <v>25</v>
      </c>
      <c r="O2598" s="5" t="s">
        <v>25</v>
      </c>
      <c r="P2598" s="6" t="s">
        <v>25</v>
      </c>
      <c r="Q2598" s="5" t="s">
        <v>25</v>
      </c>
      <c r="R2598" s="5" t="s">
        <v>25</v>
      </c>
      <c r="S2598" s="7" t="str">
        <f>VLOOKUP(A2598,Sheet2!$A$2:$R$3432,18,0)</f>
        <v/>
      </c>
      <c r="T2598" s="7" t="str">
        <f>VLOOKUP(A2598,Sheet2!$A$2:$R$3432,17,0)</f>
        <v/>
      </c>
    </row>
    <row r="2599" ht="15.75" customHeight="1">
      <c r="A2599" s="3" t="s">
        <v>2622</v>
      </c>
      <c r="B2599" s="4" t="str">
        <f>VLOOKUP(A2599,Sheet2!$A$2:$R$3432,2,0)</f>
        <v>2024-09-21 21:06:23</v>
      </c>
      <c r="C2599" s="5" t="s">
        <v>25</v>
      </c>
      <c r="D2599" s="6" t="s">
        <v>25</v>
      </c>
      <c r="E2599" s="7">
        <f>VLOOKUP(A2599,Sheet2!$A$2:$R$3432,4,0)</f>
        <v>9975043837</v>
      </c>
      <c r="F2599" s="7" t="str">
        <f>VLOOKUP(A2599,Sheet2!$A$2:$R$3432,3,0)</f>
        <v>Sanjeev</v>
      </c>
      <c r="G2599" s="5" t="s">
        <v>25</v>
      </c>
      <c r="H2599" s="5" t="s">
        <v>25</v>
      </c>
      <c r="I2599" s="5" t="s">
        <v>25</v>
      </c>
      <c r="J2599" s="5" t="s">
        <v>25</v>
      </c>
      <c r="K2599" s="7" t="str">
        <f>VLOOKUP(A2599,Sheet2!$A$2:$R$3432,6,0)</f>
        <v>Bajaj Platina </v>
      </c>
      <c r="L2599" s="5" t="s">
        <v>25</v>
      </c>
      <c r="M2599" s="7" t="str">
        <f>VLOOKUP(A2599,Sheet2!$A$2:$R$3432,5,0)</f>
        <v>MH40SR6436</v>
      </c>
      <c r="N2599" s="5" t="s">
        <v>25</v>
      </c>
      <c r="O2599" s="5" t="s">
        <v>25</v>
      </c>
      <c r="P2599" s="6" t="s">
        <v>25</v>
      </c>
      <c r="Q2599" s="5" t="s">
        <v>25</v>
      </c>
      <c r="R2599" s="5" t="s">
        <v>25</v>
      </c>
      <c r="S2599" s="5" t="str">
        <f>VLOOKUP(A2599,Sheet2!$A$2:$R$3432,18,0)</f>
        <v>JAMBRM27485</v>
      </c>
      <c r="T2599" s="7" t="str">
        <f>VLOOKUP(A2599,Sheet2!$A$2:$R$3432,17,0)</f>
        <v>MD2DDJKZZRWM79081</v>
      </c>
    </row>
    <row r="2600" ht="15.75" customHeight="1">
      <c r="A2600" s="3" t="s">
        <v>2623</v>
      </c>
      <c r="B2600" s="4" t="str">
        <f>VLOOKUP(A2600,Sheet2!$A$2:$R$3432,2,0)</f>
        <v>2024-09-21 20:49:19</v>
      </c>
      <c r="C2600" s="5" t="s">
        <v>25</v>
      </c>
      <c r="D2600" s="6" t="s">
        <v>25</v>
      </c>
      <c r="E2600" s="7">
        <f>VLOOKUP(A2600,Sheet2!$A$2:$R$3432,4,0)</f>
        <v>8237212835</v>
      </c>
      <c r="F2600" s="7" t="str">
        <f>VLOOKUP(A2600,Sheet2!$A$2:$R$3432,3,0)</f>
        <v>MAHESH VARPE</v>
      </c>
      <c r="G2600" s="5" t="s">
        <v>25</v>
      </c>
      <c r="H2600" s="5" t="s">
        <v>25</v>
      </c>
      <c r="I2600" s="5" t="s">
        <v>25</v>
      </c>
      <c r="J2600" s="5" t="s">
        <v>25</v>
      </c>
      <c r="K2600" s="7" t="str">
        <f>VLOOKUP(A2600,Sheet2!$A$2:$R$3432,6,0)</f>
        <v>Honda Activa 5G</v>
      </c>
      <c r="L2600" s="5" t="s">
        <v>25</v>
      </c>
      <c r="M2600" s="7" t="str">
        <f>VLOOKUP(A2600,Sheet2!$A$2:$R$3432,5,0)</f>
        <v>MH12SC7814</v>
      </c>
      <c r="N2600" s="5" t="s">
        <v>25</v>
      </c>
      <c r="O2600" s="5" t="s">
        <v>25</v>
      </c>
      <c r="P2600" s="6" t="s">
        <v>25</v>
      </c>
      <c r="Q2600" s="5" t="s">
        <v>25</v>
      </c>
      <c r="R2600" s="5" t="s">
        <v>25</v>
      </c>
      <c r="S2600" s="7" t="str">
        <f>VLOOKUP(A2600,Sheet2!$A$2:$R$3432,18,0)</f>
        <v/>
      </c>
      <c r="T2600" s="7" t="str">
        <f>VLOOKUP(A2600,Sheet2!$A$2:$R$3432,17,0)</f>
        <v/>
      </c>
    </row>
    <row r="2601" ht="15.75" customHeight="1">
      <c r="A2601" s="3" t="s">
        <v>2624</v>
      </c>
      <c r="B2601" s="4" t="str">
        <f>VLOOKUP(A2601,Sheet2!$A$2:$R$3432,2,0)</f>
        <v>2024-09-21 20:54:16</v>
      </c>
      <c r="C2601" s="5" t="s">
        <v>25</v>
      </c>
      <c r="D2601" s="6" t="s">
        <v>25</v>
      </c>
      <c r="E2601" s="7">
        <f>VLOOKUP(A2601,Sheet2!$A$2:$R$3432,4,0)</f>
        <v>7038982545</v>
      </c>
      <c r="F2601" s="7" t="str">
        <f>VLOOKUP(A2601,Sheet2!$A$2:$R$3432,3,0)</f>
        <v>Harshad Rathod</v>
      </c>
      <c r="G2601" s="5" t="s">
        <v>25</v>
      </c>
      <c r="H2601" s="5" t="s">
        <v>25</v>
      </c>
      <c r="I2601" s="5" t="s">
        <v>25</v>
      </c>
      <c r="J2601" s="5" t="s">
        <v>25</v>
      </c>
      <c r="K2601" s="7" t="str">
        <f>VLOOKUP(A2601,Sheet2!$A$2:$R$3432,6,0)</f>
        <v>Yamaha FZS V3.0</v>
      </c>
      <c r="L2601" s="5" t="s">
        <v>25</v>
      </c>
      <c r="M2601" s="7" t="str">
        <f>VLOOKUP(A2601,Sheet2!$A$2:$R$3432,5,0)</f>
        <v>MH12FL9669</v>
      </c>
      <c r="N2601" s="5" t="s">
        <v>25</v>
      </c>
      <c r="O2601" s="5" t="s">
        <v>25</v>
      </c>
      <c r="P2601" s="6" t="s">
        <v>25</v>
      </c>
      <c r="Q2601" s="5" t="s">
        <v>25</v>
      </c>
      <c r="R2601" s="5" t="s">
        <v>25</v>
      </c>
      <c r="S2601" s="5" t="str">
        <f>VLOOKUP(A2601,Sheet2!$A$2:$R$3432,18,0)</f>
        <v>21C2014164</v>
      </c>
      <c r="T2601" s="7" t="str">
        <f>VLOOKUP(A2601,Sheet2!$A$2:$R$3432,17,0)</f>
        <v>ME121C02492014253</v>
      </c>
    </row>
    <row r="2602" ht="15.75" customHeight="1">
      <c r="A2602" s="3" t="s">
        <v>2625</v>
      </c>
      <c r="B2602" s="4" t="str">
        <f>VLOOKUP(A2602,Sheet2!$A$2:$R$3432,2,0)</f>
        <v>2024-09-21 20:57:12</v>
      </c>
      <c r="C2602" s="5" t="s">
        <v>25</v>
      </c>
      <c r="D2602" s="6" t="s">
        <v>25</v>
      </c>
      <c r="E2602" s="7">
        <f>VLOOKUP(A2602,Sheet2!$A$2:$R$3432,4,0)</f>
        <v>9421048864</v>
      </c>
      <c r="F2602" s="7" t="str">
        <f>VLOOKUP(A2602,Sheet2!$A$2:$R$3432,3,0)</f>
        <v>SANJEEVANI GHODKE</v>
      </c>
      <c r="G2602" s="5" t="s">
        <v>25</v>
      </c>
      <c r="H2602" s="5" t="s">
        <v>25</v>
      </c>
      <c r="I2602" s="5" t="s">
        <v>25</v>
      </c>
      <c r="J2602" s="5" t="s">
        <v>25</v>
      </c>
      <c r="K2602" s="7" t="str">
        <f>VLOOKUP(A2602,Sheet2!$A$2:$R$3432,6,0)</f>
        <v>Honda Dio New</v>
      </c>
      <c r="L2602" s="5" t="s">
        <v>25</v>
      </c>
      <c r="M2602" s="7" t="str">
        <f>VLOOKUP(A2602,Sheet2!$A$2:$R$3432,5,0)</f>
        <v>MH09DK6541</v>
      </c>
      <c r="N2602" s="5" t="s">
        <v>25</v>
      </c>
      <c r="O2602" s="5" t="s">
        <v>25</v>
      </c>
      <c r="P2602" s="6" t="s">
        <v>25</v>
      </c>
      <c r="Q2602" s="5" t="s">
        <v>25</v>
      </c>
      <c r="R2602" s="5" t="s">
        <v>25</v>
      </c>
      <c r="S2602" s="5" t="str">
        <f>VLOOKUP(A2602,Sheet2!$A$2:$R$3432,18,0)</f>
        <v>JF39E70048085</v>
      </c>
      <c r="T2602" s="7" t="str">
        <f>VLOOKUP(A2602,Sheet2!$A$2:$R$3432,17,0)</f>
        <v>ME4JF392KD7048195</v>
      </c>
    </row>
    <row r="2603" ht="15.75" customHeight="1">
      <c r="A2603" s="3" t="s">
        <v>2626</v>
      </c>
      <c r="B2603" s="4" t="str">
        <f>VLOOKUP(A2603,Sheet2!$A$2:$R$3432,2,0)</f>
        <v>2024-09-21 21:01:31</v>
      </c>
      <c r="C2603" s="5" t="s">
        <v>25</v>
      </c>
      <c r="D2603" s="6" t="s">
        <v>25</v>
      </c>
      <c r="E2603" s="7">
        <f>VLOOKUP(A2603,Sheet2!$A$2:$R$3432,4,0)</f>
        <v>8857041694</v>
      </c>
      <c r="F2603" s="7" t="str">
        <f>VLOOKUP(A2603,Sheet2!$A$2:$R$3432,3,0)</f>
        <v>Ankush Kulkarni </v>
      </c>
      <c r="G2603" s="5" t="s">
        <v>25</v>
      </c>
      <c r="H2603" s="5" t="s">
        <v>25</v>
      </c>
      <c r="I2603" s="5" t="s">
        <v>25</v>
      </c>
      <c r="J2603" s="5" t="s">
        <v>25</v>
      </c>
      <c r="K2603" s="7" t="str">
        <f>VLOOKUP(A2603,Sheet2!$A$2:$R$3432,6,0)</f>
        <v>Yamaha FZ V3</v>
      </c>
      <c r="L2603" s="5" t="s">
        <v>25</v>
      </c>
      <c r="M2603" s="7" t="str">
        <f>VLOOKUP(A2603,Sheet2!$A$2:$R$3432,5,0)</f>
        <v>MH12CQ8438</v>
      </c>
      <c r="N2603" s="5" t="s">
        <v>25</v>
      </c>
      <c r="O2603" s="5" t="s">
        <v>25</v>
      </c>
      <c r="P2603" s="6" t="s">
        <v>25</v>
      </c>
      <c r="Q2603" s="5" t="s">
        <v>25</v>
      </c>
      <c r="R2603" s="5" t="s">
        <v>25</v>
      </c>
      <c r="S2603" s="7" t="str">
        <f>VLOOKUP(A2603,Sheet2!$A$2:$R$3432,18,0)</f>
        <v/>
      </c>
      <c r="T2603" s="7" t="str">
        <f>VLOOKUP(A2603,Sheet2!$A$2:$R$3432,17,0)</f>
        <v/>
      </c>
    </row>
    <row r="2604" ht="15.75" customHeight="1">
      <c r="A2604" s="3" t="s">
        <v>2627</v>
      </c>
      <c r="B2604" s="4" t="str">
        <f>VLOOKUP(A2604,Sheet2!$A$2:$R$3432,2,0)</f>
        <v>2024-09-21 21:06:48</v>
      </c>
      <c r="C2604" s="5" t="s">
        <v>25</v>
      </c>
      <c r="D2604" s="6" t="s">
        <v>25</v>
      </c>
      <c r="E2604" s="7">
        <f>VLOOKUP(A2604,Sheet2!$A$2:$R$3432,4,0)</f>
        <v>8892548097</v>
      </c>
      <c r="F2604" s="7" t="str">
        <f>VLOOKUP(A2604,Sheet2!$A$2:$R$3432,3,0)</f>
        <v>VIVEKANAND BIDRI</v>
      </c>
      <c r="G2604" s="5" t="s">
        <v>25</v>
      </c>
      <c r="H2604" s="5" t="s">
        <v>25</v>
      </c>
      <c r="I2604" s="5" t="s">
        <v>25</v>
      </c>
      <c r="J2604" s="5" t="s">
        <v>25</v>
      </c>
      <c r="K2604" s="7" t="str">
        <f>VLOOKUP(A2604,Sheet2!$A$2:$R$3432,6,0)</f>
        <v>Aprilla SR SR 150</v>
      </c>
      <c r="L2604" s="5" t="s">
        <v>25</v>
      </c>
      <c r="M2604" s="7" t="str">
        <f>VLOOKUP(A2604,Sheet2!$A$2:$R$3432,5,0)</f>
        <v>MH15GM2075</v>
      </c>
      <c r="N2604" s="5" t="s">
        <v>25</v>
      </c>
      <c r="O2604" s="5" t="s">
        <v>25</v>
      </c>
      <c r="P2604" s="6" t="s">
        <v>25</v>
      </c>
      <c r="Q2604" s="5" t="s">
        <v>25</v>
      </c>
      <c r="R2604" s="5" t="s">
        <v>25</v>
      </c>
      <c r="S2604" s="7" t="str">
        <f>VLOOKUP(A2604,Sheet2!$A$2:$R$3432,18,0)</f>
        <v/>
      </c>
      <c r="T2604" s="7" t="str">
        <f>VLOOKUP(A2604,Sheet2!$A$2:$R$3432,17,0)</f>
        <v/>
      </c>
    </row>
    <row r="2605" ht="15.75" customHeight="1">
      <c r="A2605" s="3" t="s">
        <v>2628</v>
      </c>
      <c r="B2605" s="4" t="str">
        <f>VLOOKUP(A2605,Sheet2!$A$2:$R$3432,2,0)</f>
        <v>2024-09-21 21:05:44</v>
      </c>
      <c r="C2605" s="5" t="s">
        <v>25</v>
      </c>
      <c r="D2605" s="6" t="s">
        <v>25</v>
      </c>
      <c r="E2605" s="7">
        <f>VLOOKUP(A2605,Sheet2!$A$2:$R$3432,4,0)</f>
        <v>9404630994</v>
      </c>
      <c r="F2605" s="7" t="str">
        <f>VLOOKUP(A2605,Sheet2!$A$2:$R$3432,3,0)</f>
        <v>Chaitanya Kulkarni </v>
      </c>
      <c r="G2605" s="5" t="s">
        <v>25</v>
      </c>
      <c r="H2605" s="5" t="s">
        <v>25</v>
      </c>
      <c r="I2605" s="5" t="s">
        <v>25</v>
      </c>
      <c r="J2605" s="5" t="s">
        <v>25</v>
      </c>
      <c r="K2605" s="7" t="str">
        <f>VLOOKUP(A2605,Sheet2!$A$2:$R$3432,6,0)</f>
        <v>Honda Activa No Data</v>
      </c>
      <c r="L2605" s="5" t="s">
        <v>25</v>
      </c>
      <c r="M2605" s="7" t="str">
        <f>VLOOKUP(A2605,Sheet2!$A$2:$R$3432,5,0)</f>
        <v>MH14CE6864</v>
      </c>
      <c r="N2605" s="5" t="s">
        <v>25</v>
      </c>
      <c r="O2605" s="5" t="s">
        <v>25</v>
      </c>
      <c r="P2605" s="6" t="s">
        <v>25</v>
      </c>
      <c r="Q2605" s="5" t="s">
        <v>25</v>
      </c>
      <c r="R2605" s="5" t="s">
        <v>25</v>
      </c>
      <c r="S2605" s="5" t="str">
        <f>VLOOKUP(A2605,Sheet2!$A$2:$R$3432,18,0)</f>
        <v>JC44E0795076</v>
      </c>
      <c r="T2605" s="7" t="str">
        <f>VLOOKUP(A2605,Sheet2!$A$2:$R$3432,17,0)</f>
        <v>ME4JC446A8350695</v>
      </c>
    </row>
    <row r="2606" ht="15.75" customHeight="1">
      <c r="A2606" s="3" t="s">
        <v>2629</v>
      </c>
      <c r="B2606" s="4" t="str">
        <f>VLOOKUP(A2606,Sheet2!$A$2:$R$3432,2,0)</f>
        <v>2024-09-21 21:01:56</v>
      </c>
      <c r="C2606" s="5" t="s">
        <v>25</v>
      </c>
      <c r="D2606" s="6" t="s">
        <v>25</v>
      </c>
      <c r="E2606" s="7">
        <f>VLOOKUP(A2606,Sheet2!$A$2:$R$3432,4,0)</f>
        <v>9850910049</v>
      </c>
      <c r="F2606" s="7" t="str">
        <f>VLOOKUP(A2606,Sheet2!$A$2:$R$3432,3,0)</f>
        <v>Sanjay Jadhav</v>
      </c>
      <c r="G2606" s="5" t="s">
        <v>25</v>
      </c>
      <c r="H2606" s="5" t="s">
        <v>25</v>
      </c>
      <c r="I2606" s="5" t="s">
        <v>25</v>
      </c>
      <c r="J2606" s="5" t="s">
        <v>25</v>
      </c>
      <c r="K2606" s="7" t="str">
        <f>VLOOKUP(A2606,Sheet2!$A$2:$R$3432,6,0)</f>
        <v>Honda CBR 150</v>
      </c>
      <c r="L2606" s="5" t="s">
        <v>25</v>
      </c>
      <c r="M2606" s="7" t="str">
        <f>VLOOKUP(A2606,Sheet2!$A$2:$R$3432,5,0)</f>
        <v>MH14DK8027</v>
      </c>
      <c r="N2606" s="5" t="s">
        <v>25</v>
      </c>
      <c r="O2606" s="5" t="s">
        <v>25</v>
      </c>
      <c r="P2606" s="6" t="s">
        <v>25</v>
      </c>
      <c r="Q2606" s="5" t="s">
        <v>25</v>
      </c>
      <c r="R2606" s="5" t="s">
        <v>25</v>
      </c>
      <c r="S2606" s="7" t="str">
        <f>VLOOKUP(A2606,Sheet2!$A$2:$R$3432,18,0)</f>
        <v/>
      </c>
      <c r="T2606" s="7" t="str">
        <f>VLOOKUP(A2606,Sheet2!$A$2:$R$3432,17,0)</f>
        <v>ME4KC182DC8000</v>
      </c>
    </row>
    <row r="2607" ht="15.75" customHeight="1">
      <c r="A2607" s="3" t="s">
        <v>2630</v>
      </c>
      <c r="B2607" s="4" t="str">
        <f>VLOOKUP(A2607,Sheet2!$A$2:$R$3432,2,0)</f>
        <v>2024-09-21 21:02:31</v>
      </c>
      <c r="C2607" s="5" t="s">
        <v>25</v>
      </c>
      <c r="D2607" s="6" t="s">
        <v>25</v>
      </c>
      <c r="E2607" s="7">
        <f>VLOOKUP(A2607,Sheet2!$A$2:$R$3432,4,0)</f>
        <v>8698550353</v>
      </c>
      <c r="F2607" s="7" t="str">
        <f>VLOOKUP(A2607,Sheet2!$A$2:$R$3432,3,0)</f>
        <v>Akshay </v>
      </c>
      <c r="G2607" s="5" t="s">
        <v>25</v>
      </c>
      <c r="H2607" s="5" t="s">
        <v>25</v>
      </c>
      <c r="I2607" s="5" t="s">
        <v>25</v>
      </c>
      <c r="J2607" s="5" t="s">
        <v>25</v>
      </c>
      <c r="K2607" s="7" t="str">
        <f>VLOOKUP(A2607,Sheet2!$A$2:$R$3432,6,0)</f>
        <v>Bajaj Discover </v>
      </c>
      <c r="L2607" s="5" t="s">
        <v>25</v>
      </c>
      <c r="M2607" s="7" t="str">
        <f>VLOOKUP(A2607,Sheet2!$A$2:$R$3432,5,0)</f>
        <v>MH17BE8499</v>
      </c>
      <c r="N2607" s="5" t="s">
        <v>25</v>
      </c>
      <c r="O2607" s="5" t="s">
        <v>25</v>
      </c>
      <c r="P2607" s="6" t="s">
        <v>25</v>
      </c>
      <c r="Q2607" s="5" t="s">
        <v>25</v>
      </c>
      <c r="R2607" s="5" t="s">
        <v>25</v>
      </c>
      <c r="S2607" s="7" t="str">
        <f>VLOOKUP(A2607,Sheet2!$A$2:$R$3432,18,0)</f>
        <v/>
      </c>
      <c r="T2607" s="7" t="str">
        <f>VLOOKUP(A2607,Sheet2!$A$2:$R$3432,17,0)</f>
        <v/>
      </c>
    </row>
    <row r="2608" ht="15.75" customHeight="1">
      <c r="A2608" s="3" t="s">
        <v>2631</v>
      </c>
      <c r="B2608" s="4" t="str">
        <f>VLOOKUP(A2608,Sheet2!$A$2:$R$3432,2,0)</f>
        <v>2024-09-21 21:05:26</v>
      </c>
      <c r="C2608" s="5" t="s">
        <v>25</v>
      </c>
      <c r="D2608" s="6" t="s">
        <v>25</v>
      </c>
      <c r="E2608" s="7">
        <f>VLOOKUP(A2608,Sheet2!$A$2:$R$3432,4,0)</f>
        <v>9096667006</v>
      </c>
      <c r="F2608" s="7" t="str">
        <f>VLOOKUP(A2608,Sheet2!$A$2:$R$3432,3,0)</f>
        <v>Josef</v>
      </c>
      <c r="G2608" s="5" t="s">
        <v>25</v>
      </c>
      <c r="H2608" s="5" t="s">
        <v>25</v>
      </c>
      <c r="I2608" s="5" t="s">
        <v>25</v>
      </c>
      <c r="J2608" s="5" t="s">
        <v>25</v>
      </c>
      <c r="K2608" s="7" t="str">
        <f>VLOOKUP(A2608,Sheet2!$A$2:$R$3432,6,0)</f>
        <v>Honda Activa 5G</v>
      </c>
      <c r="L2608" s="5" t="s">
        <v>25</v>
      </c>
      <c r="M2608" s="7" t="str">
        <f>VLOOKUP(A2608,Sheet2!$A$2:$R$3432,5,0)</f>
        <v>MH42AY8504</v>
      </c>
      <c r="N2608" s="5" t="s">
        <v>25</v>
      </c>
      <c r="O2608" s="5" t="s">
        <v>25</v>
      </c>
      <c r="P2608" s="6" t="s">
        <v>25</v>
      </c>
      <c r="Q2608" s="5" t="s">
        <v>25</v>
      </c>
      <c r="R2608" s="5" t="s">
        <v>25</v>
      </c>
      <c r="S2608" s="7" t="str">
        <f>VLOOKUP(A2608,Sheet2!$A$2:$R$3432,18,0)</f>
        <v/>
      </c>
      <c r="T2608" s="7" t="str">
        <f>VLOOKUP(A2608,Sheet2!$A$2:$R$3432,17,0)</f>
        <v/>
      </c>
    </row>
    <row r="2609" ht="15.75" customHeight="1">
      <c r="A2609" s="3" t="s">
        <v>2632</v>
      </c>
      <c r="B2609" s="4" t="str">
        <f>VLOOKUP(A2609,Sheet2!$A$2:$R$3432,2,0)</f>
        <v>2024-09-21 21:04:59</v>
      </c>
      <c r="C2609" s="5" t="s">
        <v>25</v>
      </c>
      <c r="D2609" s="6" t="s">
        <v>25</v>
      </c>
      <c r="E2609" s="7">
        <f>VLOOKUP(A2609,Sheet2!$A$2:$R$3432,4,0)</f>
        <v>9890321776</v>
      </c>
      <c r="F2609" s="7" t="str">
        <f>VLOOKUP(A2609,Sheet2!$A$2:$R$3432,3,0)</f>
        <v>Amar Sonawane</v>
      </c>
      <c r="G2609" s="5" t="s">
        <v>25</v>
      </c>
      <c r="H2609" s="5" t="s">
        <v>25</v>
      </c>
      <c r="I2609" s="5" t="s">
        <v>25</v>
      </c>
      <c r="J2609" s="5" t="s">
        <v>25</v>
      </c>
      <c r="K2609" s="7" t="str">
        <f>VLOOKUP(A2609,Sheet2!$A$2:$R$3432,6,0)</f>
        <v>Yamaha Fazer </v>
      </c>
      <c r="L2609" s="5" t="s">
        <v>25</v>
      </c>
      <c r="M2609" s="7" t="str">
        <f>VLOOKUP(A2609,Sheet2!$A$2:$R$3432,5,0)</f>
        <v>MH15DG9120</v>
      </c>
      <c r="N2609" s="5" t="s">
        <v>25</v>
      </c>
      <c r="O2609" s="5" t="s">
        <v>25</v>
      </c>
      <c r="P2609" s="6" t="s">
        <v>25</v>
      </c>
      <c r="Q2609" s="5" t="s">
        <v>25</v>
      </c>
      <c r="R2609" s="5" t="s">
        <v>25</v>
      </c>
      <c r="S2609" s="5" t="str">
        <f>VLOOKUP(A2609,Sheet2!$A$2:$R$3432,18,0)</f>
        <v>4557026562</v>
      </c>
      <c r="T2609" s="7" t="str">
        <f>VLOOKUP(A2609,Sheet2!$A$2:$R$3432,17,0)</f>
        <v>ME45S07BB2028255</v>
      </c>
    </row>
    <row r="2610" ht="15.75" customHeight="1">
      <c r="A2610" s="3" t="s">
        <v>2633</v>
      </c>
      <c r="B2610" s="4" t="str">
        <f>VLOOKUP(A2610,Sheet2!$A$2:$R$3432,2,0)</f>
        <v>2024-09-21 21:07:29</v>
      </c>
      <c r="C2610" s="5" t="s">
        <v>25</v>
      </c>
      <c r="D2610" s="6" t="s">
        <v>25</v>
      </c>
      <c r="E2610" s="7">
        <f>VLOOKUP(A2610,Sheet2!$A$2:$R$3432,4,0)</f>
        <v>9591764000</v>
      </c>
      <c r="F2610" s="7" t="str">
        <f>VLOOKUP(A2610,Sheet2!$A$2:$R$3432,3,0)</f>
        <v>Indranil </v>
      </c>
      <c r="G2610" s="5" t="s">
        <v>25</v>
      </c>
      <c r="H2610" s="5" t="s">
        <v>25</v>
      </c>
      <c r="I2610" s="5" t="s">
        <v>25</v>
      </c>
      <c r="J2610" s="5" t="s">
        <v>25</v>
      </c>
      <c r="K2610" s="7" t="str">
        <f>VLOOKUP(A2610,Sheet2!$A$2:$R$3432,6,0)</f>
        <v>Honda Activa 4G</v>
      </c>
      <c r="L2610" s="5" t="s">
        <v>25</v>
      </c>
      <c r="M2610" s="7" t="str">
        <f>VLOOKUP(A2610,Sheet2!$A$2:$R$3432,5,0)</f>
        <v>MH14GV9885</v>
      </c>
      <c r="N2610" s="5" t="s">
        <v>25</v>
      </c>
      <c r="O2610" s="5" t="s">
        <v>25</v>
      </c>
      <c r="P2610" s="6" t="s">
        <v>25</v>
      </c>
      <c r="Q2610" s="5" t="s">
        <v>25</v>
      </c>
      <c r="R2610" s="5" t="s">
        <v>25</v>
      </c>
      <c r="S2610" s="7" t="str">
        <f>VLOOKUP(A2610,Sheet2!$A$2:$R$3432,18,0)</f>
        <v/>
      </c>
      <c r="T2610" s="7" t="str">
        <f>VLOOKUP(A2610,Sheet2!$A$2:$R$3432,17,0)</f>
        <v/>
      </c>
    </row>
    <row r="2611" ht="15.75" customHeight="1">
      <c r="A2611" s="3" t="s">
        <v>2634</v>
      </c>
      <c r="B2611" s="4" t="str">
        <f>VLOOKUP(A2611,Sheet2!$A$2:$R$3432,2,0)</f>
        <v>2024-10-26 19:29:34</v>
      </c>
      <c r="C2611" s="5" t="s">
        <v>25</v>
      </c>
      <c r="D2611" s="6" t="s">
        <v>25</v>
      </c>
      <c r="E2611" s="7">
        <f>VLOOKUP(A2611,Sheet2!$A$2:$R$3432,4,0)</f>
        <v>8888886858</v>
      </c>
      <c r="F2611" s="7" t="str">
        <f>VLOOKUP(A2611,Sheet2!$A$2:$R$3432,3,0)</f>
        <v>Hem Thapa</v>
      </c>
      <c r="G2611" s="5" t="s">
        <v>25</v>
      </c>
      <c r="H2611" s="5" t="s">
        <v>25</v>
      </c>
      <c r="I2611" s="5" t="s">
        <v>25</v>
      </c>
      <c r="J2611" s="5" t="s">
        <v>25</v>
      </c>
      <c r="K2611" s="7" t="str">
        <f>VLOOKUP(A2611,Sheet2!$A$2:$R$3432,6,0)</f>
        <v>Bajaj Avenger 220 Cruise</v>
      </c>
      <c r="L2611" s="5" t="s">
        <v>25</v>
      </c>
      <c r="M2611" s="7" t="str">
        <f>VLOOKUP(A2611,Sheet2!$A$2:$R$3432,5,0)</f>
        <v>MH14FL2731</v>
      </c>
      <c r="N2611" s="5" t="s">
        <v>25</v>
      </c>
      <c r="O2611" s="5" t="s">
        <v>25</v>
      </c>
      <c r="P2611" s="6" t="s">
        <v>25</v>
      </c>
      <c r="Q2611" s="5" t="s">
        <v>25</v>
      </c>
      <c r="R2611" s="5" t="s">
        <v>25</v>
      </c>
      <c r="S2611" s="5" t="str">
        <f>VLOOKUP(A2611,Sheet2!$A$2:$R$3432,18,0)</f>
        <v>PDZCE34494</v>
      </c>
      <c r="T2611" s="7" t="str">
        <f>VLOOKUP(A2611,Sheet2!$A$2:$R$3432,17,0)</f>
        <v>MD2AZZEZ6GCL21870</v>
      </c>
    </row>
    <row r="2612" ht="15.75" customHeight="1">
      <c r="A2612" s="3" t="s">
        <v>2635</v>
      </c>
      <c r="B2612" s="4" t="str">
        <f>VLOOKUP(A2612,Sheet2!$A$2:$R$3432,2,0)</f>
        <v>2024-10-26 19:30:04</v>
      </c>
      <c r="C2612" s="5" t="s">
        <v>25</v>
      </c>
      <c r="D2612" s="6" t="s">
        <v>25</v>
      </c>
      <c r="E2612" s="7">
        <f>VLOOKUP(A2612,Sheet2!$A$2:$R$3432,4,0)</f>
        <v>9922965318</v>
      </c>
      <c r="F2612" s="7" t="str">
        <f>VLOOKUP(A2612,Sheet2!$A$2:$R$3432,3,0)</f>
        <v>Sonal Deshmukh</v>
      </c>
      <c r="G2612" s="5" t="s">
        <v>25</v>
      </c>
      <c r="H2612" s="5" t="s">
        <v>25</v>
      </c>
      <c r="I2612" s="5" t="s">
        <v>25</v>
      </c>
      <c r="J2612" s="5" t="s">
        <v>25</v>
      </c>
      <c r="K2612" s="7" t="str">
        <f>VLOOKUP(A2612,Sheet2!$A$2:$R$3432,6,0)</f>
        <v>TVS Jupiter </v>
      </c>
      <c r="L2612" s="5" t="s">
        <v>25</v>
      </c>
      <c r="M2612" s="7" t="str">
        <f>VLOOKUP(A2612,Sheet2!$A$2:$R$3432,5,0)</f>
        <v>MH14EN8655</v>
      </c>
      <c r="N2612" s="5" t="s">
        <v>25</v>
      </c>
      <c r="O2612" s="5" t="s">
        <v>25</v>
      </c>
      <c r="P2612" s="6" t="s">
        <v>25</v>
      </c>
      <c r="Q2612" s="5" t="s">
        <v>25</v>
      </c>
      <c r="R2612" s="5" t="s">
        <v>25</v>
      </c>
      <c r="S2612" s="5" t="str">
        <f>VLOOKUP(A2612,Sheet2!$A$2:$R$3432,18,0)</f>
        <v>BG4HE153006</v>
      </c>
      <c r="T2612" s="7" t="str">
        <f>VLOOKUP(A2612,Sheet2!$A$2:$R$3432,17,0)</f>
        <v>MD626BG41E1H56543</v>
      </c>
    </row>
    <row r="2613" ht="15.75" customHeight="1">
      <c r="A2613" s="3" t="s">
        <v>2636</v>
      </c>
      <c r="B2613" s="4" t="str">
        <f>VLOOKUP(A2613,Sheet2!$A$2:$R$3432,2,0)</f>
        <v>2024-10-26 19:47:49</v>
      </c>
      <c r="C2613" s="5" t="s">
        <v>25</v>
      </c>
      <c r="D2613" s="6" t="s">
        <v>25</v>
      </c>
      <c r="E2613" s="7">
        <f>VLOOKUP(A2613,Sheet2!$A$2:$R$3432,4,0)</f>
        <v>6388335225</v>
      </c>
      <c r="F2613" s="7" t="str">
        <f>VLOOKUP(A2613,Sheet2!$A$2:$R$3432,3,0)</f>
        <v>SANDIP KUMAR </v>
      </c>
      <c r="G2613" s="5" t="s">
        <v>25</v>
      </c>
      <c r="H2613" s="5" t="s">
        <v>25</v>
      </c>
      <c r="I2613" s="5" t="s">
        <v>25</v>
      </c>
      <c r="J2613" s="5" t="s">
        <v>25</v>
      </c>
      <c r="K2613" s="7" t="str">
        <f>VLOOKUP(A2613,Sheet2!$A$2:$R$3432,6,0)</f>
        <v>Bajaj Pulsar 150</v>
      </c>
      <c r="L2613" s="5" t="s">
        <v>25</v>
      </c>
      <c r="M2613" s="7" t="str">
        <f>VLOOKUP(A2613,Sheet2!$A$2:$R$3432,5,0)</f>
        <v>UP70CJ2302</v>
      </c>
      <c r="N2613" s="5" t="s">
        <v>25</v>
      </c>
      <c r="O2613" s="5" t="s">
        <v>25</v>
      </c>
      <c r="P2613" s="6" t="s">
        <v>25</v>
      </c>
      <c r="Q2613" s="5" t="s">
        <v>25</v>
      </c>
      <c r="R2613" s="5" t="s">
        <v>25</v>
      </c>
      <c r="S2613" s="5" t="str">
        <f>VLOOKUP(A2613,Sheet2!$A$2:$R$3432,18,0)</f>
        <v>DHZCDG04173</v>
      </c>
      <c r="T2613" s="7" t="str">
        <f>VLOOKUP(A2613,Sheet2!$A$2:$R$3432,17,0)</f>
        <v>MD2A11CGZ0DCG23637</v>
      </c>
    </row>
    <row r="2614" ht="15.75" customHeight="1">
      <c r="A2614" s="3" t="s">
        <v>2637</v>
      </c>
      <c r="B2614" s="4" t="str">
        <f>VLOOKUP(A2614,Sheet2!$A$2:$R$3432,2,0)</f>
        <v>2024-10-26 19:27:47</v>
      </c>
      <c r="C2614" s="5" t="s">
        <v>25</v>
      </c>
      <c r="D2614" s="6" t="s">
        <v>25</v>
      </c>
      <c r="E2614" s="7">
        <f>VLOOKUP(A2614,Sheet2!$A$2:$R$3432,4,0)</f>
        <v>7741962400</v>
      </c>
      <c r="F2614" s="7" t="str">
        <f>VLOOKUP(A2614,Sheet2!$A$2:$R$3432,3,0)</f>
        <v>AKSHAY </v>
      </c>
      <c r="G2614" s="5" t="s">
        <v>25</v>
      </c>
      <c r="H2614" s="5" t="s">
        <v>25</v>
      </c>
      <c r="I2614" s="5" t="s">
        <v>25</v>
      </c>
      <c r="J2614" s="5" t="s">
        <v>25</v>
      </c>
      <c r="K2614" s="7" t="str">
        <f>VLOOKUP(A2614,Sheet2!$A$2:$R$3432,6,0)</f>
        <v>TVS Apache 160 4V</v>
      </c>
      <c r="L2614" s="5" t="s">
        <v>25</v>
      </c>
      <c r="M2614" s="7" t="str">
        <f>VLOOKUP(A2614,Sheet2!$A$2:$R$3432,5,0)</f>
        <v>MH14HY1419</v>
      </c>
      <c r="N2614" s="5" t="s">
        <v>25</v>
      </c>
      <c r="O2614" s="5" t="s">
        <v>25</v>
      </c>
      <c r="P2614" s="6" t="s">
        <v>25</v>
      </c>
      <c r="Q2614" s="5" t="s">
        <v>25</v>
      </c>
      <c r="R2614" s="5" t="s">
        <v>25</v>
      </c>
      <c r="S2614" s="7" t="str">
        <f>VLOOKUP(A2614,Sheet2!$A$2:$R$3432,18,0)</f>
        <v/>
      </c>
      <c r="T2614" s="7" t="str">
        <f>VLOOKUP(A2614,Sheet2!$A$2:$R$3432,17,0)</f>
        <v/>
      </c>
    </row>
    <row r="2615" ht="15.75" customHeight="1">
      <c r="A2615" s="3" t="s">
        <v>2638</v>
      </c>
      <c r="B2615" s="4" t="str">
        <f>VLOOKUP(A2615,Sheet2!$A$2:$R$3432,2,0)</f>
        <v>2024-10-26 19:27:15</v>
      </c>
      <c r="C2615" s="5" t="s">
        <v>25</v>
      </c>
      <c r="D2615" s="6" t="s">
        <v>25</v>
      </c>
      <c r="E2615" s="7">
        <f>VLOOKUP(A2615,Sheet2!$A$2:$R$3432,4,0)</f>
        <v>8149459544</v>
      </c>
      <c r="F2615" s="7" t="str">
        <f>VLOOKUP(A2615,Sheet2!$A$2:$R$3432,3,0)</f>
        <v>KULDEEP </v>
      </c>
      <c r="G2615" s="5" t="s">
        <v>25</v>
      </c>
      <c r="H2615" s="5" t="s">
        <v>25</v>
      </c>
      <c r="I2615" s="5" t="s">
        <v>25</v>
      </c>
      <c r="J2615" s="5" t="s">
        <v>25</v>
      </c>
      <c r="K2615" s="7" t="str">
        <f>VLOOKUP(A2615,Sheet2!$A$2:$R$3432,6,0)</f>
        <v>Yamaha FZ V3</v>
      </c>
      <c r="L2615" s="5" t="s">
        <v>25</v>
      </c>
      <c r="M2615" s="7" t="str">
        <f>VLOOKUP(A2615,Sheet2!$A$2:$R$3432,5,0)</f>
        <v>MH12TX6967</v>
      </c>
      <c r="N2615" s="5" t="s">
        <v>25</v>
      </c>
      <c r="O2615" s="5" t="s">
        <v>25</v>
      </c>
      <c r="P2615" s="6" t="s">
        <v>25</v>
      </c>
      <c r="Q2615" s="5" t="s">
        <v>25</v>
      </c>
      <c r="R2615" s="5" t="s">
        <v>25</v>
      </c>
      <c r="S2615" s="5" t="str">
        <f>VLOOKUP(A2615,Sheet2!$A$2:$R$3432,18,0)</f>
        <v>G3N3E0152371</v>
      </c>
      <c r="T2615" s="7" t="str">
        <f>VLOOKUP(A2615,Sheet2!$A$2:$R$3432,17,0)</f>
        <v>ME1RG667CM00G1096</v>
      </c>
    </row>
    <row r="2616" ht="15.75" customHeight="1">
      <c r="A2616" s="3" t="s">
        <v>2639</v>
      </c>
      <c r="B2616" s="4" t="str">
        <f>VLOOKUP(A2616,Sheet2!$A$2:$R$3432,2,0)</f>
        <v>2024-10-26 19:26:03</v>
      </c>
      <c r="C2616" s="5" t="s">
        <v>25</v>
      </c>
      <c r="D2616" s="6" t="s">
        <v>25</v>
      </c>
      <c r="E2616" s="7">
        <f>VLOOKUP(A2616,Sheet2!$A$2:$R$3432,4,0)</f>
        <v>9665011724</v>
      </c>
      <c r="F2616" s="7" t="str">
        <f>VLOOKUP(A2616,Sheet2!$A$2:$R$3432,3,0)</f>
        <v>Vivek Sane</v>
      </c>
      <c r="G2616" s="5" t="s">
        <v>25</v>
      </c>
      <c r="H2616" s="5" t="s">
        <v>25</v>
      </c>
      <c r="I2616" s="5" t="s">
        <v>25</v>
      </c>
      <c r="J2616" s="5" t="s">
        <v>25</v>
      </c>
      <c r="K2616" s="7" t="str">
        <f>VLOOKUP(A2616,Sheet2!$A$2:$R$3432,6,0)</f>
        <v>Honda Activa 125</v>
      </c>
      <c r="L2616" s="5" t="s">
        <v>25</v>
      </c>
      <c r="M2616" s="7" t="str">
        <f>VLOOKUP(A2616,Sheet2!$A$2:$R$3432,5,0)</f>
        <v>MH12PM6994</v>
      </c>
      <c r="N2616" s="5" t="s">
        <v>25</v>
      </c>
      <c r="O2616" s="5" t="s">
        <v>25</v>
      </c>
      <c r="P2616" s="6" t="s">
        <v>25</v>
      </c>
      <c r="Q2616" s="5" t="s">
        <v>25</v>
      </c>
      <c r="R2616" s="5" t="s">
        <v>25</v>
      </c>
      <c r="S2616" s="7" t="str">
        <f>VLOOKUP(A2616,Sheet2!$A$2:$R$3432,18,0)</f>
        <v/>
      </c>
      <c r="T2616" s="7" t="str">
        <f>VLOOKUP(A2616,Sheet2!$A$2:$R$3432,17,0)</f>
        <v>ME4JF496HHU001173</v>
      </c>
    </row>
    <row r="2617" ht="15.75" customHeight="1">
      <c r="A2617" s="3" t="s">
        <v>2640</v>
      </c>
      <c r="B2617" s="4" t="str">
        <f>VLOOKUP(A2617,Sheet2!$A$2:$R$3432,2,0)</f>
        <v>2024-10-26 19:25:18</v>
      </c>
      <c r="C2617" s="5" t="s">
        <v>25</v>
      </c>
      <c r="D2617" s="6" t="s">
        <v>25</v>
      </c>
      <c r="E2617" s="7">
        <f>VLOOKUP(A2617,Sheet2!$A$2:$R$3432,4,0)</f>
        <v>9850660541</v>
      </c>
      <c r="F2617" s="7" t="str">
        <f>VLOOKUP(A2617,Sheet2!$A$2:$R$3432,3,0)</f>
        <v>Deepak Kulkarni</v>
      </c>
      <c r="G2617" s="5" t="s">
        <v>25</v>
      </c>
      <c r="H2617" s="5" t="s">
        <v>25</v>
      </c>
      <c r="I2617" s="5" t="s">
        <v>25</v>
      </c>
      <c r="J2617" s="5" t="s">
        <v>25</v>
      </c>
      <c r="K2617" s="7" t="str">
        <f>VLOOKUP(A2617,Sheet2!$A$2:$R$3432,6,0)</f>
        <v>TVS Jupiter </v>
      </c>
      <c r="L2617" s="5" t="s">
        <v>25</v>
      </c>
      <c r="M2617" s="7" t="str">
        <f>VLOOKUP(A2617,Sheet2!$A$2:$R$3432,5,0)</f>
        <v>MH14GK5021</v>
      </c>
      <c r="N2617" s="5" t="s">
        <v>25</v>
      </c>
      <c r="O2617" s="5" t="s">
        <v>25</v>
      </c>
      <c r="P2617" s="6" t="s">
        <v>25</v>
      </c>
      <c r="Q2617" s="5" t="s">
        <v>25</v>
      </c>
      <c r="R2617" s="5" t="s">
        <v>25</v>
      </c>
      <c r="S2617" s="5" t="str">
        <f>VLOOKUP(A2617,Sheet2!$A$2:$R$3432,18,0)</f>
        <v>EG4GH230468</v>
      </c>
      <c r="T2617" s="7" t="str">
        <f>VLOOKUP(A2617,Sheet2!$A$2:$R$3432,17,0)</f>
        <v>MD626EG46H3G1543</v>
      </c>
    </row>
    <row r="2618" ht="15.75" customHeight="1">
      <c r="A2618" s="3" t="s">
        <v>2641</v>
      </c>
      <c r="B2618" s="4" t="str">
        <f>VLOOKUP(A2618,Sheet2!$A$2:$R$3432,2,0)</f>
        <v>2024-10-26 19:25:01</v>
      </c>
      <c r="C2618" s="5" t="s">
        <v>25</v>
      </c>
      <c r="D2618" s="6" t="s">
        <v>25</v>
      </c>
      <c r="E2618" s="7">
        <f>VLOOKUP(A2618,Sheet2!$A$2:$R$3432,4,0)</f>
        <v>9821890538</v>
      </c>
      <c r="F2618" s="7" t="str">
        <f>VLOOKUP(A2618,Sheet2!$A$2:$R$3432,3,0)</f>
        <v>Vinayak</v>
      </c>
      <c r="G2618" s="5" t="s">
        <v>25</v>
      </c>
      <c r="H2618" s="5" t="s">
        <v>25</v>
      </c>
      <c r="I2618" s="5" t="s">
        <v>25</v>
      </c>
      <c r="J2618" s="5" t="s">
        <v>25</v>
      </c>
      <c r="K2618" s="7" t="str">
        <f>VLOOKUP(A2618,Sheet2!$A$2:$R$3432,6,0)</f>
        <v>Honda Activa 125</v>
      </c>
      <c r="L2618" s="5" t="s">
        <v>25</v>
      </c>
      <c r="M2618" s="7" t="str">
        <f>VLOOKUP(A2618,Sheet2!$A$2:$R$3432,5,0)</f>
        <v>MH05CE1342</v>
      </c>
      <c r="N2618" s="5" t="s">
        <v>25</v>
      </c>
      <c r="O2618" s="5" t="s">
        <v>25</v>
      </c>
      <c r="P2618" s="6" t="s">
        <v>25</v>
      </c>
      <c r="Q2618" s="5" t="s">
        <v>25</v>
      </c>
      <c r="R2618" s="5" t="s">
        <v>25</v>
      </c>
      <c r="S2618" s="5" t="str">
        <f>VLOOKUP(A2618,Sheet2!$A$2:$R$3432,18,0)</f>
        <v>JF45E80016573</v>
      </c>
      <c r="T2618" s="7" t="str">
        <f>VLOOKUP(A2618,Sheet2!$A$2:$R$3432,17,0)</f>
        <v>ME4JF491F8014642</v>
      </c>
    </row>
    <row r="2619" ht="15.75" customHeight="1">
      <c r="A2619" s="3" t="s">
        <v>2642</v>
      </c>
      <c r="B2619" s="4" t="str">
        <f>VLOOKUP(A2619,Sheet2!$A$2:$R$3432,2,0)</f>
        <v>2024-10-26 20:19:17</v>
      </c>
      <c r="C2619" s="5" t="s">
        <v>25</v>
      </c>
      <c r="D2619" s="6" t="s">
        <v>25</v>
      </c>
      <c r="E2619" s="7">
        <f>VLOOKUP(A2619,Sheet2!$A$2:$R$3432,4,0)</f>
        <v>9067325322</v>
      </c>
      <c r="F2619" s="7" t="str">
        <f>VLOOKUP(A2619,Sheet2!$A$2:$R$3432,3,0)</f>
        <v>MANAS KAREKAR</v>
      </c>
      <c r="G2619" s="5" t="s">
        <v>25</v>
      </c>
      <c r="H2619" s="5" t="s">
        <v>25</v>
      </c>
      <c r="I2619" s="5" t="s">
        <v>25</v>
      </c>
      <c r="J2619" s="5" t="s">
        <v>25</v>
      </c>
      <c r="K2619" s="7" t="str">
        <f>VLOOKUP(A2619,Sheet2!$A$2:$R$3432,6,0)</f>
        <v>Bajaj Pulsar 200 NS</v>
      </c>
      <c r="L2619" s="5" t="s">
        <v>25</v>
      </c>
      <c r="M2619" s="7" t="str">
        <f>VLOOKUP(A2619,Sheet2!$A$2:$R$3432,5,0)</f>
        <v>MH07AR4601</v>
      </c>
      <c r="N2619" s="5" t="s">
        <v>25</v>
      </c>
      <c r="O2619" s="5" t="s">
        <v>25</v>
      </c>
      <c r="P2619" s="6" t="s">
        <v>25</v>
      </c>
      <c r="Q2619" s="5" t="s">
        <v>25</v>
      </c>
      <c r="R2619" s="5" t="s">
        <v>25</v>
      </c>
      <c r="S2619" s="7" t="str">
        <f>VLOOKUP(A2619,Sheet2!$A$2:$R$3432,18,0)</f>
        <v/>
      </c>
      <c r="T2619" s="7" t="str">
        <f>VLOOKUP(A2619,Sheet2!$A$2:$R$3432,17,0)</f>
        <v/>
      </c>
    </row>
    <row r="2620" ht="15.75" customHeight="1">
      <c r="A2620" s="3" t="s">
        <v>2643</v>
      </c>
      <c r="B2620" s="4" t="str">
        <f>VLOOKUP(A2620,Sheet2!$A$2:$R$3432,2,0)</f>
        <v>2024-10-26 19:24:43</v>
      </c>
      <c r="C2620" s="5" t="s">
        <v>25</v>
      </c>
      <c r="D2620" s="6" t="s">
        <v>25</v>
      </c>
      <c r="E2620" s="7">
        <f>VLOOKUP(A2620,Sheet2!$A$2:$R$3432,4,0)</f>
        <v>9860097083</v>
      </c>
      <c r="F2620" s="7" t="str">
        <f>VLOOKUP(A2620,Sheet2!$A$2:$R$3432,3,0)</f>
        <v>ASHISH</v>
      </c>
      <c r="G2620" s="5" t="s">
        <v>25</v>
      </c>
      <c r="H2620" s="5" t="s">
        <v>25</v>
      </c>
      <c r="I2620" s="5" t="s">
        <v>25</v>
      </c>
      <c r="J2620" s="5" t="s">
        <v>25</v>
      </c>
      <c r="K2620" s="7" t="str">
        <f>VLOOKUP(A2620,Sheet2!$A$2:$R$3432,6,0)</f>
        <v>Honda Shine 125</v>
      </c>
      <c r="L2620" s="5" t="s">
        <v>25</v>
      </c>
      <c r="M2620" s="7" t="str">
        <f>VLOOKUP(A2620,Sheet2!$A$2:$R$3432,5,0)</f>
        <v>MH12JJ8830</v>
      </c>
      <c r="N2620" s="5" t="s">
        <v>25</v>
      </c>
      <c r="O2620" s="5" t="s">
        <v>25</v>
      </c>
      <c r="P2620" s="6" t="s">
        <v>25</v>
      </c>
      <c r="Q2620" s="5" t="s">
        <v>25</v>
      </c>
      <c r="R2620" s="5" t="s">
        <v>25</v>
      </c>
      <c r="S2620" s="7" t="str">
        <f>VLOOKUP(A2620,Sheet2!$A$2:$R$3432,18,0)</f>
        <v/>
      </c>
      <c r="T2620" s="7" t="str">
        <f>VLOOKUP(A2620,Sheet2!$A$2:$R$3432,17,0)</f>
        <v/>
      </c>
    </row>
    <row r="2621" ht="15.75" customHeight="1">
      <c r="A2621" s="3" t="s">
        <v>2644</v>
      </c>
      <c r="B2621" s="4" t="str">
        <f>VLOOKUP(A2621,Sheet2!$A$2:$R$3432,2,0)</f>
        <v>2024-10-26 20:18:34</v>
      </c>
      <c r="C2621" s="5" t="s">
        <v>25</v>
      </c>
      <c r="D2621" s="6" t="s">
        <v>25</v>
      </c>
      <c r="E2621" s="7">
        <f>VLOOKUP(A2621,Sheet2!$A$2:$R$3432,4,0)</f>
        <v>7517777877</v>
      </c>
      <c r="F2621" s="7" t="str">
        <f>VLOOKUP(A2621,Sheet2!$A$2:$R$3432,3,0)</f>
        <v>RAVI MALI</v>
      </c>
      <c r="G2621" s="5" t="s">
        <v>25</v>
      </c>
      <c r="H2621" s="5" t="s">
        <v>25</v>
      </c>
      <c r="I2621" s="5" t="s">
        <v>25</v>
      </c>
      <c r="J2621" s="5" t="s">
        <v>25</v>
      </c>
      <c r="K2621" s="7" t="str">
        <f>VLOOKUP(A2621,Sheet2!$A$2:$R$3432,6,0)</f>
        <v>Honda Activa 6G</v>
      </c>
      <c r="L2621" s="5" t="s">
        <v>25</v>
      </c>
      <c r="M2621" s="7" t="str">
        <f>VLOOKUP(A2621,Sheet2!$A$2:$R$3432,5,0)</f>
        <v>MH14JB4779</v>
      </c>
      <c r="N2621" s="5" t="s">
        <v>25</v>
      </c>
      <c r="O2621" s="5" t="s">
        <v>25</v>
      </c>
      <c r="P2621" s="6" t="s">
        <v>25</v>
      </c>
      <c r="Q2621" s="5" t="s">
        <v>25</v>
      </c>
      <c r="R2621" s="5" t="s">
        <v>25</v>
      </c>
      <c r="S2621" s="7" t="str">
        <f>VLOOKUP(A2621,Sheet2!$A$2:$R$3432,18,0)</f>
        <v/>
      </c>
      <c r="T2621" s="7" t="str">
        <f>VLOOKUP(A2621,Sheet2!$A$2:$R$3432,17,0)</f>
        <v/>
      </c>
    </row>
    <row r="2622" ht="15.75" customHeight="1">
      <c r="A2622" s="3" t="s">
        <v>2645</v>
      </c>
      <c r="B2622" s="4" t="str">
        <f>VLOOKUP(A2622,Sheet2!$A$2:$R$3432,2,0)</f>
        <v>2024-10-26 19:35:06</v>
      </c>
      <c r="C2622" s="5" t="s">
        <v>25</v>
      </c>
      <c r="D2622" s="6" t="s">
        <v>25</v>
      </c>
      <c r="E2622" s="7">
        <f>VLOOKUP(A2622,Sheet2!$A$2:$R$3432,4,0)</f>
        <v>7774035580</v>
      </c>
      <c r="F2622" s="7" t="str">
        <f>VLOOKUP(A2622,Sheet2!$A$2:$R$3432,3,0)</f>
        <v>RAMESH</v>
      </c>
      <c r="G2622" s="5" t="s">
        <v>25</v>
      </c>
      <c r="H2622" s="5" t="s">
        <v>25</v>
      </c>
      <c r="I2622" s="5" t="s">
        <v>25</v>
      </c>
      <c r="J2622" s="5" t="s">
        <v>25</v>
      </c>
      <c r="K2622" s="7" t="str">
        <f>VLOOKUP(A2622,Sheet2!$A$2:$R$3432,6,0)</f>
        <v>Hero Passion Plus</v>
      </c>
      <c r="L2622" s="5" t="s">
        <v>25</v>
      </c>
      <c r="M2622" s="7" t="str">
        <f>VLOOKUP(A2622,Sheet2!$A$2:$R$3432,5,0)</f>
        <v>HR26V7103</v>
      </c>
      <c r="N2622" s="5" t="s">
        <v>25</v>
      </c>
      <c r="O2622" s="5" t="s">
        <v>25</v>
      </c>
      <c r="P2622" s="6" t="s">
        <v>25</v>
      </c>
      <c r="Q2622" s="5" t="s">
        <v>25</v>
      </c>
      <c r="R2622" s="5" t="s">
        <v>25</v>
      </c>
      <c r="S2622" s="5" t="str">
        <f>VLOOKUP(A2622,Sheet2!$A$2:$R$3432,18,0)</f>
        <v>04F08M19033</v>
      </c>
      <c r="T2622" s="7" t="str">
        <f>VLOOKUP(A2622,Sheet2!$A$2:$R$3432,17,0)</f>
        <v>04F09C18852</v>
      </c>
    </row>
    <row r="2623" ht="15.75" customHeight="1">
      <c r="A2623" s="3" t="s">
        <v>2646</v>
      </c>
      <c r="B2623" s="4" t="str">
        <f>VLOOKUP(A2623,Sheet2!$A$2:$R$3432,2,0)</f>
        <v>2024-10-26 19:28:23</v>
      </c>
      <c r="C2623" s="5" t="s">
        <v>25</v>
      </c>
      <c r="D2623" s="6" t="s">
        <v>25</v>
      </c>
      <c r="E2623" s="7">
        <f>VLOOKUP(A2623,Sheet2!$A$2:$R$3432,4,0)</f>
        <v>9664976023</v>
      </c>
      <c r="F2623" s="7" t="str">
        <f>VLOOKUP(A2623,Sheet2!$A$2:$R$3432,3,0)</f>
        <v>MANESH GHODEKAR</v>
      </c>
      <c r="G2623" s="5" t="s">
        <v>25</v>
      </c>
      <c r="H2623" s="5" t="s">
        <v>25</v>
      </c>
      <c r="I2623" s="5" t="s">
        <v>25</v>
      </c>
      <c r="J2623" s="5" t="s">
        <v>25</v>
      </c>
      <c r="K2623" s="7" t="str">
        <f>VLOOKUP(A2623,Sheet2!$A$2:$R$3432,6,0)</f>
        <v>TVS Ntorq 125</v>
      </c>
      <c r="L2623" s="5" t="s">
        <v>25</v>
      </c>
      <c r="M2623" s="7" t="str">
        <f>VLOOKUP(A2623,Sheet2!$A$2:$R$3432,5,0)</f>
        <v>MH14HV9388</v>
      </c>
      <c r="N2623" s="5" t="s">
        <v>25</v>
      </c>
      <c r="O2623" s="5" t="s">
        <v>25</v>
      </c>
      <c r="P2623" s="6" t="s">
        <v>25</v>
      </c>
      <c r="Q2623" s="5" t="s">
        <v>25</v>
      </c>
      <c r="R2623" s="5" t="s">
        <v>25</v>
      </c>
      <c r="S2623" s="5" t="str">
        <f>VLOOKUP(A2623,Sheet2!$A$2:$R$3432,18,0)</f>
        <v>BG7LK29079</v>
      </c>
      <c r="T2623" s="7" t="str">
        <f>VLOOKUP(A2623,Sheet2!$A$2:$R$3432,17,0)</f>
        <v>MD626A672K207620</v>
      </c>
    </row>
    <row r="2624" ht="15.75" customHeight="1">
      <c r="A2624" s="3" t="s">
        <v>2647</v>
      </c>
      <c r="B2624" s="4" t="str">
        <f>VLOOKUP(A2624,Sheet2!$A$2:$R$3432,2,0)</f>
        <v>2024-10-26 19:40:06</v>
      </c>
      <c r="C2624" s="5" t="s">
        <v>25</v>
      </c>
      <c r="D2624" s="6" t="s">
        <v>25</v>
      </c>
      <c r="E2624" s="7">
        <f>VLOOKUP(A2624,Sheet2!$A$2:$R$3432,4,0)</f>
        <v>7447845485</v>
      </c>
      <c r="F2624" s="7" t="str">
        <f>VLOOKUP(A2624,Sheet2!$A$2:$R$3432,3,0)</f>
        <v>Sanjay Shinde</v>
      </c>
      <c r="G2624" s="5" t="s">
        <v>25</v>
      </c>
      <c r="H2624" s="5" t="s">
        <v>25</v>
      </c>
      <c r="I2624" s="5" t="s">
        <v>25</v>
      </c>
      <c r="J2624" s="5" t="s">
        <v>25</v>
      </c>
      <c r="K2624" s="7" t="str">
        <f>VLOOKUP(A2624,Sheet2!$A$2:$R$3432,6,0)</f>
        <v>Honda Activa 3G</v>
      </c>
      <c r="L2624" s="5" t="s">
        <v>25</v>
      </c>
      <c r="M2624" s="7" t="str">
        <f>VLOOKUP(A2624,Sheet2!$A$2:$R$3432,5,0)</f>
        <v>MH14FE3798</v>
      </c>
      <c r="N2624" s="5" t="s">
        <v>25</v>
      </c>
      <c r="O2624" s="5" t="s">
        <v>25</v>
      </c>
      <c r="P2624" s="6" t="s">
        <v>25</v>
      </c>
      <c r="Q2624" s="5" t="s">
        <v>25</v>
      </c>
      <c r="R2624" s="5" t="s">
        <v>25</v>
      </c>
      <c r="S2624" s="5" t="str">
        <f>VLOOKUP(A2624,Sheet2!$A$2:$R$3432,18,0)</f>
        <v>JF50ET2673305</v>
      </c>
      <c r="T2624" s="7" t="str">
        <f>VLOOKUP(A2624,Sheet2!$A$2:$R$3432,17,0)</f>
        <v>ME4JF504HFT672414</v>
      </c>
    </row>
    <row r="2625" ht="15.75" customHeight="1">
      <c r="A2625" s="3" t="s">
        <v>2648</v>
      </c>
      <c r="B2625" s="4" t="str">
        <f>VLOOKUP(A2625,Sheet2!$A$2:$R$3432,2,0)</f>
        <v>2024-10-26 19:54:23</v>
      </c>
      <c r="C2625" s="5" t="s">
        <v>25</v>
      </c>
      <c r="D2625" s="6" t="s">
        <v>25</v>
      </c>
      <c r="E2625" s="7">
        <f>VLOOKUP(A2625,Sheet2!$A$2:$R$3432,4,0)</f>
        <v>7798186982</v>
      </c>
      <c r="F2625" s="7" t="str">
        <f>VLOOKUP(A2625,Sheet2!$A$2:$R$3432,3,0)</f>
        <v>Chaudhari</v>
      </c>
      <c r="G2625" s="5" t="s">
        <v>25</v>
      </c>
      <c r="H2625" s="5" t="s">
        <v>25</v>
      </c>
      <c r="I2625" s="5" t="s">
        <v>25</v>
      </c>
      <c r="J2625" s="5" t="s">
        <v>25</v>
      </c>
      <c r="K2625" s="7" t="str">
        <f>VLOOKUP(A2625,Sheet2!$A$2:$R$3432,6,0)</f>
        <v>Suzuki Access </v>
      </c>
      <c r="L2625" s="5" t="s">
        <v>25</v>
      </c>
      <c r="M2625" s="7" t="str">
        <f>VLOOKUP(A2625,Sheet2!$A$2:$R$3432,5,0)</f>
        <v>MH14FK1194</v>
      </c>
      <c r="N2625" s="5" t="s">
        <v>25</v>
      </c>
      <c r="O2625" s="5" t="s">
        <v>25</v>
      </c>
      <c r="P2625" s="6" t="s">
        <v>25</v>
      </c>
      <c r="Q2625" s="5" t="s">
        <v>25</v>
      </c>
      <c r="R2625" s="5" t="s">
        <v>25</v>
      </c>
      <c r="S2625" s="7" t="str">
        <f>VLOOKUP(A2625,Sheet2!$A$2:$R$3432,18,0)</f>
        <v/>
      </c>
      <c r="T2625" s="7" t="str">
        <f>VLOOKUP(A2625,Sheet2!$A$2:$R$3432,17,0)</f>
        <v>MB86F4CAMF872024</v>
      </c>
    </row>
    <row r="2626" ht="15.75" customHeight="1">
      <c r="A2626" s="3" t="s">
        <v>2649</v>
      </c>
      <c r="B2626" s="4" t="str">
        <f>VLOOKUP(A2626,Sheet2!$A$2:$R$3432,2,0)</f>
        <v>2024-10-26 20:38:59</v>
      </c>
      <c r="C2626" s="5" t="s">
        <v>25</v>
      </c>
      <c r="D2626" s="6" t="s">
        <v>25</v>
      </c>
      <c r="E2626" s="7">
        <f>VLOOKUP(A2626,Sheet2!$A$2:$R$3432,4,0)</f>
        <v>9860291168</v>
      </c>
      <c r="F2626" s="7" t="str">
        <f>VLOOKUP(A2626,Sheet2!$A$2:$R$3432,3,0)</f>
        <v>SUNIL KAPURE</v>
      </c>
      <c r="G2626" s="5" t="s">
        <v>25</v>
      </c>
      <c r="H2626" s="5" t="s">
        <v>25</v>
      </c>
      <c r="I2626" s="5" t="s">
        <v>25</v>
      </c>
      <c r="J2626" s="5" t="s">
        <v>25</v>
      </c>
      <c r="K2626" s="7" t="str">
        <f>VLOOKUP(A2626,Sheet2!$A$2:$R$3432,6,0)</f>
        <v>TVS Jupiter </v>
      </c>
      <c r="L2626" s="5" t="s">
        <v>25</v>
      </c>
      <c r="M2626" s="7" t="str">
        <f>VLOOKUP(A2626,Sheet2!$A$2:$R$3432,5,0)</f>
        <v>MH14HP0674</v>
      </c>
      <c r="N2626" s="5" t="s">
        <v>25</v>
      </c>
      <c r="O2626" s="5" t="s">
        <v>25</v>
      </c>
      <c r="P2626" s="6" t="s">
        <v>25</v>
      </c>
      <c r="Q2626" s="5" t="s">
        <v>25</v>
      </c>
      <c r="R2626" s="5" t="s">
        <v>25</v>
      </c>
      <c r="S2626" s="7" t="str">
        <f>VLOOKUP(A2626,Sheet2!$A$2:$R$3432,18,0)</f>
        <v/>
      </c>
      <c r="T2626" s="7" t="str">
        <f>VLOOKUP(A2626,Sheet2!$A$2:$R$3432,17,0)</f>
        <v/>
      </c>
    </row>
    <row r="2627" ht="15.75" customHeight="1">
      <c r="A2627" s="3" t="s">
        <v>2650</v>
      </c>
      <c r="B2627" s="4" t="str">
        <f>VLOOKUP(A2627,Sheet2!$A$2:$R$3432,2,0)</f>
        <v>2024-10-26 20:49:13</v>
      </c>
      <c r="C2627" s="5" t="s">
        <v>25</v>
      </c>
      <c r="D2627" s="6" t="s">
        <v>25</v>
      </c>
      <c r="E2627" s="7">
        <f>VLOOKUP(A2627,Sheet2!$A$2:$R$3432,4,0)</f>
        <v>8208649476</v>
      </c>
      <c r="F2627" s="7" t="str">
        <f>VLOOKUP(A2627,Sheet2!$A$2:$R$3432,3,0)</f>
        <v>MRUNAL</v>
      </c>
      <c r="G2627" s="5" t="s">
        <v>25</v>
      </c>
      <c r="H2627" s="5" t="s">
        <v>25</v>
      </c>
      <c r="I2627" s="5" t="s">
        <v>25</v>
      </c>
      <c r="J2627" s="5" t="s">
        <v>25</v>
      </c>
      <c r="K2627" s="7" t="str">
        <f>VLOOKUP(A2627,Sheet2!$A$2:$R$3432,6,0)</f>
        <v>Hero Pleasure </v>
      </c>
      <c r="L2627" s="5" t="s">
        <v>25</v>
      </c>
      <c r="M2627" s="7" t="str">
        <f>VLOOKUP(A2627,Sheet2!$A$2:$R$3432,5,0)</f>
        <v>MH49N0351</v>
      </c>
      <c r="N2627" s="5" t="s">
        <v>25</v>
      </c>
      <c r="O2627" s="5" t="s">
        <v>25</v>
      </c>
      <c r="P2627" s="6" t="s">
        <v>25</v>
      </c>
      <c r="Q2627" s="5" t="s">
        <v>25</v>
      </c>
      <c r="R2627" s="5" t="s">
        <v>25</v>
      </c>
      <c r="S2627" s="7" t="str">
        <f>VLOOKUP(A2627,Sheet2!$A$2:$R$3432,18,0)</f>
        <v/>
      </c>
      <c r="T2627" s="7" t="str">
        <f>VLOOKUP(A2627,Sheet2!$A$2:$R$3432,17,0)</f>
        <v/>
      </c>
    </row>
    <row r="2628" ht="15.75" customHeight="1">
      <c r="A2628" s="3" t="s">
        <v>2651</v>
      </c>
      <c r="B2628" s="4" t="str">
        <f>VLOOKUP(A2628,Sheet2!$A$2:$R$3432,2,0)</f>
        <v>2024-09-23 12:35:50</v>
      </c>
      <c r="C2628" s="5" t="s">
        <v>25</v>
      </c>
      <c r="D2628" s="6" t="s">
        <v>25</v>
      </c>
      <c r="E2628" s="7">
        <f>VLOOKUP(A2628,Sheet2!$A$2:$R$3432,4,0)</f>
        <v>9604207619</v>
      </c>
      <c r="F2628" s="7" t="str">
        <f>VLOOKUP(A2628,Sheet2!$A$2:$R$3432,3,0)</f>
        <v>Prasad Patil</v>
      </c>
      <c r="G2628" s="5" t="s">
        <v>25</v>
      </c>
      <c r="H2628" s="5" t="s">
        <v>25</v>
      </c>
      <c r="I2628" s="5" t="s">
        <v>25</v>
      </c>
      <c r="J2628" s="5" t="s">
        <v>25</v>
      </c>
      <c r="K2628" s="7" t="str">
        <f>VLOOKUP(A2628,Sheet2!$A$2:$R$3432,6,0)</f>
        <v>Bajaj Pulsar 125</v>
      </c>
      <c r="L2628" s="5" t="s">
        <v>25</v>
      </c>
      <c r="M2628" s="7" t="str">
        <f>VLOOKUP(A2628,Sheet2!$A$2:$R$3432,5,0)</f>
        <v>MH25AV8843</v>
      </c>
      <c r="N2628" s="5" t="s">
        <v>25</v>
      </c>
      <c r="O2628" s="5" t="s">
        <v>25</v>
      </c>
      <c r="P2628" s="6" t="s">
        <v>25</v>
      </c>
      <c r="Q2628" s="5" t="s">
        <v>25</v>
      </c>
      <c r="R2628" s="5" t="s">
        <v>25</v>
      </c>
      <c r="S2628" s="5" t="str">
        <f>VLOOKUP(A2628,Sheet2!$A$2:$R$3432,18,0)</f>
        <v>DHXWME71828</v>
      </c>
      <c r="T2628" s="7" t="str">
        <f>VLOOKUP(A2628,Sheet2!$A$2:$R$3432,17,0)</f>
        <v>MD2B64BX3MWE06766</v>
      </c>
    </row>
    <row r="2629" ht="15.75" customHeight="1">
      <c r="A2629" s="3" t="s">
        <v>2652</v>
      </c>
      <c r="B2629" s="4" t="str">
        <f>VLOOKUP(A2629,Sheet2!$A$2:$R$3432,2,0)</f>
        <v>2024-09-23 12:42:46</v>
      </c>
      <c r="C2629" s="5" t="s">
        <v>25</v>
      </c>
      <c r="D2629" s="6" t="s">
        <v>25</v>
      </c>
      <c r="E2629" s="7">
        <f>VLOOKUP(A2629,Sheet2!$A$2:$R$3432,4,0)</f>
        <v>9591764000</v>
      </c>
      <c r="F2629" s="7" t="str">
        <f>VLOOKUP(A2629,Sheet2!$A$2:$R$3432,3,0)</f>
        <v>Indranil </v>
      </c>
      <c r="G2629" s="5" t="s">
        <v>25</v>
      </c>
      <c r="H2629" s="5" t="s">
        <v>25</v>
      </c>
      <c r="I2629" s="5" t="s">
        <v>25</v>
      </c>
      <c r="J2629" s="5" t="s">
        <v>25</v>
      </c>
      <c r="K2629" s="7" t="str">
        <f>VLOOKUP(A2629,Sheet2!$A$2:$R$3432,6,0)</f>
        <v>Honda Activa </v>
      </c>
      <c r="L2629" s="5" t="s">
        <v>25</v>
      </c>
      <c r="M2629" s="7" t="str">
        <f>VLOOKUP(A2629,Sheet2!$A$2:$R$3432,5,0)</f>
        <v>MH14EW3140</v>
      </c>
      <c r="N2629" s="5" t="s">
        <v>25</v>
      </c>
      <c r="O2629" s="5" t="s">
        <v>25</v>
      </c>
      <c r="P2629" s="6" t="s">
        <v>25</v>
      </c>
      <c r="Q2629" s="5" t="s">
        <v>25</v>
      </c>
      <c r="R2629" s="5" t="s">
        <v>25</v>
      </c>
      <c r="S2629" s="7" t="str">
        <f>VLOOKUP(A2629,Sheet2!$A$2:$R$3432,18,0)</f>
        <v/>
      </c>
      <c r="T2629" s="7" t="str">
        <f>VLOOKUP(A2629,Sheet2!$A$2:$R$3432,17,0)</f>
        <v/>
      </c>
    </row>
    <row r="2630" ht="15.75" customHeight="1">
      <c r="A2630" s="3" t="s">
        <v>2653</v>
      </c>
      <c r="B2630" s="4" t="str">
        <f>VLOOKUP(A2630,Sheet2!$A$2:$R$3432,2,0)</f>
        <v>2024-09-23 12:32:05</v>
      </c>
      <c r="C2630" s="5" t="s">
        <v>25</v>
      </c>
      <c r="D2630" s="6" t="s">
        <v>25</v>
      </c>
      <c r="E2630" s="7">
        <f>VLOOKUP(A2630,Sheet2!$A$2:$R$3432,4,0)</f>
        <v>9762706650</v>
      </c>
      <c r="F2630" s="7" t="str">
        <f>VLOOKUP(A2630,Sheet2!$A$2:$R$3432,3,0)</f>
        <v>Roshan</v>
      </c>
      <c r="G2630" s="5" t="s">
        <v>25</v>
      </c>
      <c r="H2630" s="5" t="s">
        <v>25</v>
      </c>
      <c r="I2630" s="5" t="s">
        <v>25</v>
      </c>
      <c r="J2630" s="5" t="s">
        <v>25</v>
      </c>
      <c r="K2630" s="7" t="str">
        <f>VLOOKUP(A2630,Sheet2!$A$2:$R$3432,6,0)</f>
        <v>Honda Hornet </v>
      </c>
      <c r="L2630" s="5" t="s">
        <v>25</v>
      </c>
      <c r="M2630" s="7" t="str">
        <f>VLOOKUP(A2630,Sheet2!$A$2:$R$3432,5,0)</f>
        <v>MH14FV8438</v>
      </c>
      <c r="N2630" s="5" t="s">
        <v>25</v>
      </c>
      <c r="O2630" s="5" t="s">
        <v>25</v>
      </c>
      <c r="P2630" s="6" t="s">
        <v>25</v>
      </c>
      <c r="Q2630" s="5" t="s">
        <v>25</v>
      </c>
      <c r="R2630" s="5" t="s">
        <v>25</v>
      </c>
      <c r="S2630" s="5" t="str">
        <f>VLOOKUP(A2630,Sheet2!$A$2:$R$3432,18,0)</f>
        <v>KC23E80095387</v>
      </c>
      <c r="T2630" s="7" t="str">
        <f>VLOOKUP(A2630,Sheet2!$A$2:$R$3432,17,0)</f>
        <v>ME4KC238JG8003668</v>
      </c>
    </row>
    <row r="2631" ht="15.75" customHeight="1">
      <c r="A2631" s="3" t="s">
        <v>2654</v>
      </c>
      <c r="B2631" s="4" t="str">
        <f>VLOOKUP(A2631,Sheet2!$A$2:$R$3432,2,0)</f>
        <v>2024-09-23 12:44:30</v>
      </c>
      <c r="C2631" s="5" t="s">
        <v>25</v>
      </c>
      <c r="D2631" s="6" t="s">
        <v>25</v>
      </c>
      <c r="E2631" s="7">
        <f>VLOOKUP(A2631,Sheet2!$A$2:$R$3432,4,0)</f>
        <v>9145375748</v>
      </c>
      <c r="F2631" s="7" t="str">
        <f>VLOOKUP(A2631,Sheet2!$A$2:$R$3432,3,0)</f>
        <v>Kunal Patil</v>
      </c>
      <c r="G2631" s="5" t="s">
        <v>25</v>
      </c>
      <c r="H2631" s="5" t="s">
        <v>25</v>
      </c>
      <c r="I2631" s="5" t="s">
        <v>25</v>
      </c>
      <c r="J2631" s="5" t="s">
        <v>25</v>
      </c>
      <c r="K2631" s="7" t="str">
        <f>VLOOKUP(A2631,Sheet2!$A$2:$R$3432,6,0)</f>
        <v>Hero Maestro Dash/Edge</v>
      </c>
      <c r="L2631" s="5" t="s">
        <v>25</v>
      </c>
      <c r="M2631" s="7" t="str">
        <f>VLOOKUP(A2631,Sheet2!$A$2:$R$3432,5,0)</f>
        <v>MH28AW7987</v>
      </c>
      <c r="N2631" s="5" t="s">
        <v>25</v>
      </c>
      <c r="O2631" s="5" t="s">
        <v>25</v>
      </c>
      <c r="P2631" s="6" t="s">
        <v>25</v>
      </c>
      <c r="Q2631" s="5" t="s">
        <v>25</v>
      </c>
      <c r="R2631" s="5" t="s">
        <v>25</v>
      </c>
      <c r="S2631" s="5" t="str">
        <f>VLOOKUP(A2631,Sheet2!$A$2:$R$3432,18,0)</f>
        <v>JF33HBH4C19824</v>
      </c>
      <c r="T2631" s="7" t="str">
        <f>VLOOKUP(A2631,Sheet2!$A$2:$R$3432,17,0)</f>
        <v>RUSTY FRAME</v>
      </c>
    </row>
    <row r="2632" ht="15.75" customHeight="1">
      <c r="A2632" s="3" t="s">
        <v>2655</v>
      </c>
      <c r="B2632" s="4" t="str">
        <f>VLOOKUP(A2632,Sheet2!$A$2:$R$3432,2,0)</f>
        <v>2024-09-23 12:23:55</v>
      </c>
      <c r="C2632" s="5" t="s">
        <v>25</v>
      </c>
      <c r="D2632" s="6" t="s">
        <v>25</v>
      </c>
      <c r="E2632" s="7">
        <f>VLOOKUP(A2632,Sheet2!$A$2:$R$3432,4,0)</f>
        <v>8668579650</v>
      </c>
      <c r="F2632" s="7" t="str">
        <f>VLOOKUP(A2632,Sheet2!$A$2:$R$3432,3,0)</f>
        <v>YOGESH CHAVAN </v>
      </c>
      <c r="G2632" s="5" t="s">
        <v>25</v>
      </c>
      <c r="H2632" s="5" t="s">
        <v>25</v>
      </c>
      <c r="I2632" s="5" t="s">
        <v>25</v>
      </c>
      <c r="J2632" s="5" t="s">
        <v>25</v>
      </c>
      <c r="K2632" s="7" t="str">
        <f>VLOOKUP(A2632,Sheet2!$A$2:$R$3432,6,0)</f>
        <v>Hero Glamour FI</v>
      </c>
      <c r="L2632" s="5" t="s">
        <v>25</v>
      </c>
      <c r="M2632" s="7" t="str">
        <f>VLOOKUP(A2632,Sheet2!$A$2:$R$3432,5,0)</f>
        <v>MH10DW8447</v>
      </c>
      <c r="N2632" s="5" t="s">
        <v>25</v>
      </c>
      <c r="O2632" s="5" t="s">
        <v>25</v>
      </c>
      <c r="P2632" s="6" t="s">
        <v>25</v>
      </c>
      <c r="Q2632" s="5" t="s">
        <v>25</v>
      </c>
      <c r="R2632" s="5" t="s">
        <v>25</v>
      </c>
      <c r="S2632" s="5" t="str">
        <f>VLOOKUP(A2632,Sheet2!$A$2:$R$3432,18,0)</f>
        <v>JA07AENF01802</v>
      </c>
      <c r="T2632" s="7" t="str">
        <f>VLOOKUP(A2632,Sheet2!$A$2:$R$3432,17,0)</f>
        <v>MBLJAW221N9F01245</v>
      </c>
    </row>
    <row r="2633" ht="15.75" customHeight="1">
      <c r="A2633" s="3" t="s">
        <v>2656</v>
      </c>
      <c r="B2633" s="4" t="str">
        <f>VLOOKUP(A2633,Sheet2!$A$2:$R$3432,2,0)</f>
        <v>2024-09-23 12:17:01</v>
      </c>
      <c r="C2633" s="5" t="s">
        <v>25</v>
      </c>
      <c r="D2633" s="6" t="s">
        <v>25</v>
      </c>
      <c r="E2633" s="7">
        <f>VLOOKUP(A2633,Sheet2!$A$2:$R$3432,4,0)</f>
        <v>8237668546</v>
      </c>
      <c r="F2633" s="7" t="str">
        <f>VLOOKUP(A2633,Sheet2!$A$2:$R$3432,3,0)</f>
        <v>Chinmay </v>
      </c>
      <c r="G2633" s="5" t="s">
        <v>25</v>
      </c>
      <c r="H2633" s="5" t="s">
        <v>25</v>
      </c>
      <c r="I2633" s="5" t="s">
        <v>25</v>
      </c>
      <c r="J2633" s="5" t="s">
        <v>25</v>
      </c>
      <c r="K2633" s="7" t="str">
        <f>VLOOKUP(A2633,Sheet2!$A$2:$R$3432,6,0)</f>
        <v>Suzuki Access </v>
      </c>
      <c r="L2633" s="5" t="s">
        <v>25</v>
      </c>
      <c r="M2633" s="7" t="str">
        <f>VLOOKUP(A2633,Sheet2!$A$2:$R$3432,5,0)</f>
        <v>MH20FR3649</v>
      </c>
      <c r="N2633" s="5" t="s">
        <v>25</v>
      </c>
      <c r="O2633" s="5" t="s">
        <v>25</v>
      </c>
      <c r="P2633" s="6" t="s">
        <v>25</v>
      </c>
      <c r="Q2633" s="5" t="s">
        <v>25</v>
      </c>
      <c r="R2633" s="5" t="s">
        <v>25</v>
      </c>
      <c r="S2633" s="7" t="str">
        <f>VLOOKUP(A2633,Sheet2!$A$2:$R$3432,18,0)</f>
        <v/>
      </c>
      <c r="T2633" s="7" t="str">
        <f>VLOOKUP(A2633,Sheet2!$A$2:$R$3432,17,0)</f>
        <v/>
      </c>
    </row>
    <row r="2634" ht="15.75" customHeight="1">
      <c r="A2634" s="3" t="s">
        <v>2657</v>
      </c>
      <c r="B2634" s="4" t="str">
        <f>VLOOKUP(A2634,Sheet2!$A$2:$R$3432,2,0)</f>
        <v>2024-09-23 12:45:40</v>
      </c>
      <c r="C2634" s="5" t="s">
        <v>25</v>
      </c>
      <c r="D2634" s="6" t="s">
        <v>25</v>
      </c>
      <c r="E2634" s="7">
        <f>VLOOKUP(A2634,Sheet2!$A$2:$R$3432,4,0)</f>
        <v>9422302523</v>
      </c>
      <c r="F2634" s="7" t="str">
        <f>VLOOKUP(A2634,Sheet2!$A$2:$R$3432,3,0)</f>
        <v>Desai</v>
      </c>
      <c r="G2634" s="5" t="s">
        <v>25</v>
      </c>
      <c r="H2634" s="5" t="s">
        <v>25</v>
      </c>
      <c r="I2634" s="5" t="s">
        <v>25</v>
      </c>
      <c r="J2634" s="5" t="s">
        <v>25</v>
      </c>
      <c r="K2634" s="7" t="str">
        <f>VLOOKUP(A2634,Sheet2!$A$2:$R$3432,6,0)</f>
        <v>Suzuki Access 125</v>
      </c>
      <c r="L2634" s="5" t="s">
        <v>25</v>
      </c>
      <c r="M2634" s="7" t="str">
        <f>VLOOKUP(A2634,Sheet2!$A$2:$R$3432,5,0)</f>
        <v>MH14GJ2139</v>
      </c>
      <c r="N2634" s="5" t="s">
        <v>25</v>
      </c>
      <c r="O2634" s="5" t="s">
        <v>25</v>
      </c>
      <c r="P2634" s="6" t="s">
        <v>25</v>
      </c>
      <c r="Q2634" s="5" t="s">
        <v>25</v>
      </c>
      <c r="R2634" s="5" t="s">
        <v>25</v>
      </c>
      <c r="S2634" s="5" t="str">
        <f>VLOOKUP(A2634,Sheet2!$A$2:$R$3432,18,0)</f>
        <v>AF211315605</v>
      </c>
      <c r="T2634" s="7" t="str">
        <f>VLOOKUP(A2634,Sheet2!$A$2:$R$3432,17,0)</f>
        <v>MB8DP11AEH8421891</v>
      </c>
    </row>
    <row r="2635" ht="15.75" customHeight="1">
      <c r="A2635" s="3" t="s">
        <v>2658</v>
      </c>
      <c r="B2635" s="4" t="str">
        <f>VLOOKUP(A2635,Sheet2!$A$2:$R$3432,2,0)</f>
        <v>2024-09-23 12:14:09</v>
      </c>
      <c r="C2635" s="5" t="s">
        <v>25</v>
      </c>
      <c r="D2635" s="6" t="s">
        <v>25</v>
      </c>
      <c r="E2635" s="7">
        <f>VLOOKUP(A2635,Sheet2!$A$2:$R$3432,4,0)</f>
        <v>9890022157</v>
      </c>
      <c r="F2635" s="7" t="str">
        <f>VLOOKUP(A2635,Sheet2!$A$2:$R$3432,3,0)</f>
        <v>ARVIND PANDEY </v>
      </c>
      <c r="G2635" s="5" t="s">
        <v>25</v>
      </c>
      <c r="H2635" s="5" t="s">
        <v>25</v>
      </c>
      <c r="I2635" s="5" t="s">
        <v>25</v>
      </c>
      <c r="J2635" s="5" t="s">
        <v>25</v>
      </c>
      <c r="K2635" s="7" t="str">
        <f>VLOOKUP(A2635,Sheet2!$A$2:$R$3432,6,0)</f>
        <v>Hero Splendor Super New</v>
      </c>
      <c r="L2635" s="5" t="s">
        <v>25</v>
      </c>
      <c r="M2635" s="7" t="str">
        <f>VLOOKUP(A2635,Sheet2!$A$2:$R$3432,5,0)</f>
        <v>MH14JV3260</v>
      </c>
      <c r="N2635" s="5" t="s">
        <v>25</v>
      </c>
      <c r="O2635" s="5" t="s">
        <v>25</v>
      </c>
      <c r="P2635" s="6" t="s">
        <v>25</v>
      </c>
      <c r="Q2635" s="5" t="s">
        <v>25</v>
      </c>
      <c r="R2635" s="5" t="s">
        <v>25</v>
      </c>
      <c r="S2635" s="5" t="str">
        <f>VLOOKUP(A2635,Sheet2!$A$2:$R$3432,18,0)</f>
        <v>JA07ABM9B05359</v>
      </c>
      <c r="T2635" s="7" t="str">
        <f>VLOOKUP(A2635,Sheet2!$A$2:$R$3432,17,0)</f>
        <v>MBLJAW171MB00869</v>
      </c>
    </row>
    <row r="2636" ht="15.75" customHeight="1">
      <c r="A2636" s="3" t="s">
        <v>2659</v>
      </c>
      <c r="B2636" s="4" t="str">
        <f>VLOOKUP(A2636,Sheet2!$A$2:$R$3432,2,0)</f>
        <v>2024-09-23 12:49:19</v>
      </c>
      <c r="C2636" s="5" t="s">
        <v>25</v>
      </c>
      <c r="D2636" s="6" t="s">
        <v>25</v>
      </c>
      <c r="E2636" s="7">
        <f>VLOOKUP(A2636,Sheet2!$A$2:$R$3432,4,0)</f>
        <v>8329735047</v>
      </c>
      <c r="F2636" s="7" t="str">
        <f>VLOOKUP(A2636,Sheet2!$A$2:$R$3432,3,0)</f>
        <v>Hemant</v>
      </c>
      <c r="G2636" s="5" t="s">
        <v>25</v>
      </c>
      <c r="H2636" s="5" t="s">
        <v>25</v>
      </c>
      <c r="I2636" s="5" t="s">
        <v>25</v>
      </c>
      <c r="J2636" s="5" t="s">
        <v>25</v>
      </c>
      <c r="K2636" s="7" t="str">
        <f>VLOOKUP(A2636,Sheet2!$A$2:$R$3432,6,0)</f>
        <v>Yamaha FZ </v>
      </c>
      <c r="L2636" s="5" t="s">
        <v>25</v>
      </c>
      <c r="M2636" s="7" t="str">
        <f>VLOOKUP(A2636,Sheet2!$A$2:$R$3432,5,0)</f>
        <v>MH12PM6472</v>
      </c>
      <c r="N2636" s="5" t="s">
        <v>25</v>
      </c>
      <c r="O2636" s="5" t="s">
        <v>25</v>
      </c>
      <c r="P2636" s="6" t="s">
        <v>25</v>
      </c>
      <c r="Q2636" s="5" t="s">
        <v>25</v>
      </c>
      <c r="R2636" s="5" t="s">
        <v>25</v>
      </c>
      <c r="S2636" s="5" t="str">
        <f>VLOOKUP(A2636,Sheet2!$A$2:$R$3432,18,0)</f>
        <v>3J3E0098075</v>
      </c>
      <c r="T2636" s="7" t="str">
        <f>VLOOKUP(A2636,Sheet2!$A$2:$R$3432,17,0)</f>
        <v>MEAR64428H0062366</v>
      </c>
    </row>
    <row r="2637" ht="15.75" customHeight="1">
      <c r="A2637" s="3" t="s">
        <v>2660</v>
      </c>
      <c r="B2637" s="4" t="str">
        <f>VLOOKUP(A2637,Sheet2!$A$2:$R$3432,2,0)</f>
        <v>2024-09-23 12:29:59</v>
      </c>
      <c r="C2637" s="5" t="s">
        <v>25</v>
      </c>
      <c r="D2637" s="6" t="s">
        <v>25</v>
      </c>
      <c r="E2637" s="7">
        <f>VLOOKUP(A2637,Sheet2!$A$2:$R$3432,4,0)</f>
        <v>9588659886</v>
      </c>
      <c r="F2637" s="7" t="str">
        <f>VLOOKUP(A2637,Sheet2!$A$2:$R$3432,3,0)</f>
        <v>Sandeep Ingle</v>
      </c>
      <c r="G2637" s="5" t="s">
        <v>25</v>
      </c>
      <c r="H2637" s="5" t="s">
        <v>25</v>
      </c>
      <c r="I2637" s="5" t="s">
        <v>25</v>
      </c>
      <c r="J2637" s="5" t="s">
        <v>25</v>
      </c>
      <c r="K2637" s="7" t="str">
        <f>VLOOKUP(A2637,Sheet2!$A$2:$R$3432,6,0)</f>
        <v>Honda Activa 5G</v>
      </c>
      <c r="L2637" s="5" t="s">
        <v>25</v>
      </c>
      <c r="M2637" s="7" t="str">
        <f>VLOOKUP(A2637,Sheet2!$A$2:$R$3432,5,0)</f>
        <v>MH12RH2698</v>
      </c>
      <c r="N2637" s="5" t="s">
        <v>25</v>
      </c>
      <c r="O2637" s="5" t="s">
        <v>25</v>
      </c>
      <c r="P2637" s="6" t="s">
        <v>25</v>
      </c>
      <c r="Q2637" s="5" t="s">
        <v>25</v>
      </c>
      <c r="R2637" s="5" t="s">
        <v>25</v>
      </c>
      <c r="S2637" s="5" t="str">
        <f>VLOOKUP(A2637,Sheet2!$A$2:$R$3432,18,0)</f>
        <v>JF50EW1036651</v>
      </c>
      <c r="T2637" s="7" t="str">
        <f>VLOOKUP(A2637,Sheet2!$A$2:$R$3432,17,0)</f>
        <v>ME4JF50BFKW0365896</v>
      </c>
    </row>
    <row r="2638" ht="15.75" customHeight="1">
      <c r="A2638" s="3" t="s">
        <v>2661</v>
      </c>
      <c r="B2638" s="4" t="str">
        <f>VLOOKUP(A2638,Sheet2!$A$2:$R$3432,2,0)</f>
        <v>2024-09-23 12:37:00</v>
      </c>
      <c r="C2638" s="5" t="s">
        <v>25</v>
      </c>
      <c r="D2638" s="6" t="s">
        <v>25</v>
      </c>
      <c r="E2638" s="7">
        <f>VLOOKUP(A2638,Sheet2!$A$2:$R$3432,4,0)</f>
        <v>9921390651</v>
      </c>
      <c r="F2638" s="7" t="str">
        <f>VLOOKUP(A2638,Sheet2!$A$2:$R$3432,3,0)</f>
        <v>Ravindra Shelke</v>
      </c>
      <c r="G2638" s="5" t="s">
        <v>25</v>
      </c>
      <c r="H2638" s="5" t="s">
        <v>25</v>
      </c>
      <c r="I2638" s="5" t="s">
        <v>25</v>
      </c>
      <c r="J2638" s="5" t="s">
        <v>25</v>
      </c>
      <c r="K2638" s="7" t="str">
        <f>VLOOKUP(A2638,Sheet2!$A$2:$R$3432,6,0)</f>
        <v>TVS Jupiter </v>
      </c>
      <c r="L2638" s="5" t="s">
        <v>25</v>
      </c>
      <c r="M2638" s="7" t="str">
        <f>VLOOKUP(A2638,Sheet2!$A$2:$R$3432,5,0)</f>
        <v>MH12SM1984</v>
      </c>
      <c r="N2638" s="5" t="s">
        <v>25</v>
      </c>
      <c r="O2638" s="5" t="s">
        <v>25</v>
      </c>
      <c r="P2638" s="6" t="s">
        <v>25</v>
      </c>
      <c r="Q2638" s="5" t="s">
        <v>25</v>
      </c>
      <c r="R2638" s="5" t="s">
        <v>25</v>
      </c>
      <c r="S2638" s="7" t="str">
        <f>VLOOKUP(A2638,Sheet2!$A$2:$R$3432,18,0)</f>
        <v/>
      </c>
      <c r="T2638" s="7" t="str">
        <f>VLOOKUP(A2638,Sheet2!$A$2:$R$3432,17,0)</f>
        <v/>
      </c>
    </row>
    <row r="2639" ht="15.75" customHeight="1">
      <c r="A2639" s="3" t="s">
        <v>2662</v>
      </c>
      <c r="B2639" s="4" t="str">
        <f>VLOOKUP(A2639,Sheet2!$A$2:$R$3432,2,0)</f>
        <v>2024-09-23 12:34:24</v>
      </c>
      <c r="C2639" s="5" t="s">
        <v>25</v>
      </c>
      <c r="D2639" s="6" t="s">
        <v>25</v>
      </c>
      <c r="E2639" s="7">
        <f>VLOOKUP(A2639,Sheet2!$A$2:$R$3432,4,0)</f>
        <v>9167426875</v>
      </c>
      <c r="F2639" s="7" t="str">
        <f>VLOOKUP(A2639,Sheet2!$A$2:$R$3432,3,0)</f>
        <v>Shubham Limbole</v>
      </c>
      <c r="G2639" s="5" t="s">
        <v>25</v>
      </c>
      <c r="H2639" s="5" t="s">
        <v>25</v>
      </c>
      <c r="I2639" s="5" t="s">
        <v>25</v>
      </c>
      <c r="J2639" s="5" t="s">
        <v>25</v>
      </c>
      <c r="K2639" s="7" t="str">
        <f>VLOOKUP(A2639,Sheet2!$A$2:$R$3432,6,0)</f>
        <v>Hero Maestro </v>
      </c>
      <c r="L2639" s="5" t="s">
        <v>25</v>
      </c>
      <c r="M2639" s="7" t="str">
        <f>VLOOKUP(A2639,Sheet2!$A$2:$R$3432,5,0)</f>
        <v>MH46BH7225</v>
      </c>
      <c r="N2639" s="5" t="s">
        <v>25</v>
      </c>
      <c r="O2639" s="5" t="s">
        <v>25</v>
      </c>
      <c r="P2639" s="6" t="s">
        <v>25</v>
      </c>
      <c r="Q2639" s="5" t="s">
        <v>25</v>
      </c>
      <c r="R2639" s="5" t="s">
        <v>25</v>
      </c>
      <c r="S2639" s="5" t="str">
        <f>VLOOKUP(A2639,Sheet2!$A$2:$R$3432,18,0)</f>
        <v>JF33ABHGK00656</v>
      </c>
      <c r="T2639" s="7" t="str">
        <f>VLOOKUP(A2639,Sheet2!$A$2:$R$3432,17,0)</f>
        <v>RUSTY FRAME</v>
      </c>
    </row>
    <row r="2640" ht="15.75" customHeight="1">
      <c r="A2640" s="3" t="s">
        <v>2663</v>
      </c>
      <c r="B2640" s="4" t="str">
        <f>VLOOKUP(A2640,Sheet2!$A$2:$R$3432,2,0)</f>
        <v>2024-09-23 12:38:40</v>
      </c>
      <c r="C2640" s="5" t="s">
        <v>25</v>
      </c>
      <c r="D2640" s="6" t="s">
        <v>25</v>
      </c>
      <c r="E2640" s="7">
        <f>VLOOKUP(A2640,Sheet2!$A$2:$R$3432,4,0)</f>
        <v>8484842631</v>
      </c>
      <c r="F2640" s="7" t="str">
        <f>VLOOKUP(A2640,Sheet2!$A$2:$R$3432,3,0)</f>
        <v>Aayush</v>
      </c>
      <c r="G2640" s="5" t="s">
        <v>25</v>
      </c>
      <c r="H2640" s="5" t="s">
        <v>25</v>
      </c>
      <c r="I2640" s="5" t="s">
        <v>25</v>
      </c>
      <c r="J2640" s="5" t="s">
        <v>25</v>
      </c>
      <c r="K2640" s="7" t="str">
        <f>VLOOKUP(A2640,Sheet2!$A$2:$R$3432,6,0)</f>
        <v>Honda Dream Yuga </v>
      </c>
      <c r="L2640" s="5" t="s">
        <v>25</v>
      </c>
      <c r="M2640" s="7" t="str">
        <f>VLOOKUP(A2640,Sheet2!$A$2:$R$3432,5,0)</f>
        <v>MH19DK3617</v>
      </c>
      <c r="N2640" s="5" t="s">
        <v>25</v>
      </c>
      <c r="O2640" s="5" t="s">
        <v>25</v>
      </c>
      <c r="P2640" s="6" t="s">
        <v>25</v>
      </c>
      <c r="Q2640" s="5" t="s">
        <v>25</v>
      </c>
      <c r="R2640" s="5" t="s">
        <v>25</v>
      </c>
      <c r="S2640" s="5" t="str">
        <f>VLOOKUP(A2640,Sheet2!$A$2:$R$3432,18,0)</f>
        <v>JC58ET7114866</v>
      </c>
      <c r="T2640" s="7" t="str">
        <f>VLOOKUP(A2640,Sheet2!$A$2:$R$3432,17,0)</f>
        <v>ME4JC58FCKY06561</v>
      </c>
    </row>
    <row r="2641" ht="15.75" customHeight="1">
      <c r="A2641" s="3" t="s">
        <v>2664</v>
      </c>
      <c r="B2641" s="4" t="str">
        <f>VLOOKUP(A2641,Sheet2!$A$2:$R$3432,2,0)</f>
        <v>2024-09-23 12:41:26</v>
      </c>
      <c r="C2641" s="5" t="s">
        <v>25</v>
      </c>
      <c r="D2641" s="6" t="s">
        <v>25</v>
      </c>
      <c r="E2641" s="7">
        <f>VLOOKUP(A2641,Sheet2!$A$2:$R$3432,4,0)</f>
        <v>9370192988</v>
      </c>
      <c r="F2641" s="7" t="str">
        <f>VLOOKUP(A2641,Sheet2!$A$2:$R$3432,3,0)</f>
        <v>Vivek </v>
      </c>
      <c r="G2641" s="5" t="s">
        <v>25</v>
      </c>
      <c r="H2641" s="5" t="s">
        <v>25</v>
      </c>
      <c r="I2641" s="5" t="s">
        <v>25</v>
      </c>
      <c r="J2641" s="5" t="s">
        <v>25</v>
      </c>
      <c r="K2641" s="7" t="str">
        <f>VLOOKUP(A2641,Sheet2!$A$2:$R$3432,6,0)</f>
        <v>Honda Activa 3G</v>
      </c>
      <c r="L2641" s="5" t="s">
        <v>25</v>
      </c>
      <c r="M2641" s="7" t="str">
        <f>VLOOKUP(A2641,Sheet2!$A$2:$R$3432,5,0)</f>
        <v>MH14FP6536</v>
      </c>
      <c r="N2641" s="5" t="s">
        <v>25</v>
      </c>
      <c r="O2641" s="5" t="s">
        <v>25</v>
      </c>
      <c r="P2641" s="6" t="s">
        <v>25</v>
      </c>
      <c r="Q2641" s="5" t="s">
        <v>25</v>
      </c>
      <c r="R2641" s="5" t="s">
        <v>25</v>
      </c>
      <c r="S2641" s="5" t="str">
        <f>VLOOKUP(A2641,Sheet2!$A$2:$R$3432,18,0)</f>
        <v>JF503315357</v>
      </c>
      <c r="T2641" s="7" t="str">
        <f>VLOOKUP(A2641,Sheet2!$A$2:$R$3432,17,0)</f>
        <v>ME45F50GT314980</v>
      </c>
    </row>
    <row r="2642" ht="15.75" customHeight="1">
      <c r="A2642" s="3" t="s">
        <v>2665</v>
      </c>
      <c r="B2642" s="4" t="str">
        <f>VLOOKUP(A2642,Sheet2!$A$2:$R$3432,2,0)</f>
        <v>2024-09-23 12:44:59</v>
      </c>
      <c r="C2642" s="5" t="s">
        <v>25</v>
      </c>
      <c r="D2642" s="6" t="s">
        <v>25</v>
      </c>
      <c r="E2642" s="7">
        <f>VLOOKUP(A2642,Sheet2!$A$2:$R$3432,4,0)</f>
        <v>8828327071</v>
      </c>
      <c r="F2642" s="7" t="str">
        <f>VLOOKUP(A2642,Sheet2!$A$2:$R$3432,3,0)</f>
        <v>Praveen Nagarkar</v>
      </c>
      <c r="G2642" s="5" t="s">
        <v>25</v>
      </c>
      <c r="H2642" s="5" t="s">
        <v>25</v>
      </c>
      <c r="I2642" s="5" t="s">
        <v>25</v>
      </c>
      <c r="J2642" s="5" t="s">
        <v>25</v>
      </c>
      <c r="K2642" s="7" t="str">
        <f>VLOOKUP(A2642,Sheet2!$A$2:$R$3432,6,0)</f>
        <v>TVS Ntorq 125</v>
      </c>
      <c r="L2642" s="5" t="s">
        <v>25</v>
      </c>
      <c r="M2642" s="7" t="str">
        <f>VLOOKUP(A2642,Sheet2!$A$2:$R$3432,5,0)</f>
        <v>MH14JB0462</v>
      </c>
      <c r="N2642" s="5" t="s">
        <v>25</v>
      </c>
      <c r="O2642" s="5" t="s">
        <v>25</v>
      </c>
      <c r="P2642" s="6" t="s">
        <v>25</v>
      </c>
      <c r="Q2642" s="5" t="s">
        <v>25</v>
      </c>
      <c r="R2642" s="5" t="s">
        <v>25</v>
      </c>
      <c r="S2642" s="7" t="str">
        <f>VLOOKUP(A2642,Sheet2!$A$2:$R$3432,18,0)</f>
        <v/>
      </c>
      <c r="T2642" s="7" t="str">
        <f>VLOOKUP(A2642,Sheet2!$A$2:$R$3432,17,0)</f>
        <v/>
      </c>
    </row>
    <row r="2643" ht="15.75" customHeight="1">
      <c r="A2643" s="3" t="s">
        <v>2666</v>
      </c>
      <c r="B2643" s="4" t="str">
        <f>VLOOKUP(A2643,Sheet2!$A$2:$R$3432,2,0)</f>
        <v>2024-09-23 12:48:29</v>
      </c>
      <c r="C2643" s="5" t="s">
        <v>25</v>
      </c>
      <c r="D2643" s="6" t="s">
        <v>25</v>
      </c>
      <c r="E2643" s="7">
        <f>VLOOKUP(A2643,Sheet2!$A$2:$R$3432,4,0)</f>
        <v>9822246694</v>
      </c>
      <c r="F2643" s="7" t="str">
        <f>VLOOKUP(A2643,Sheet2!$A$2:$R$3432,3,0)</f>
        <v>Satish Tote</v>
      </c>
      <c r="G2643" s="5" t="s">
        <v>25</v>
      </c>
      <c r="H2643" s="5" t="s">
        <v>25</v>
      </c>
      <c r="I2643" s="5" t="s">
        <v>25</v>
      </c>
      <c r="J2643" s="5" t="s">
        <v>25</v>
      </c>
      <c r="K2643" s="7" t="str">
        <f>VLOOKUP(A2643,Sheet2!$A$2:$R$3432,6,0)</f>
        <v>Honda Activa 4G</v>
      </c>
      <c r="L2643" s="5" t="s">
        <v>25</v>
      </c>
      <c r="M2643" s="7" t="str">
        <f>VLOOKUP(A2643,Sheet2!$A$2:$R$3432,5,0)</f>
        <v>MH14GQ1708</v>
      </c>
      <c r="N2643" s="5" t="s">
        <v>25</v>
      </c>
      <c r="O2643" s="5" t="s">
        <v>25</v>
      </c>
      <c r="P2643" s="6" t="s">
        <v>25</v>
      </c>
      <c r="Q2643" s="5" t="s">
        <v>25</v>
      </c>
      <c r="R2643" s="5" t="s">
        <v>25</v>
      </c>
      <c r="S2643" s="7" t="str">
        <f>VLOOKUP(A2643,Sheet2!$A$2:$R$3432,18,0)</f>
        <v/>
      </c>
      <c r="T2643" s="7" t="str">
        <f>VLOOKUP(A2643,Sheet2!$A$2:$R$3432,17,0)</f>
        <v>ME4JF507LHU685182</v>
      </c>
    </row>
    <row r="2644" ht="15.75" customHeight="1">
      <c r="A2644" s="3" t="s">
        <v>2667</v>
      </c>
      <c r="B2644" s="4" t="str">
        <f>VLOOKUP(A2644,Sheet2!$A$2:$R$3432,2,0)</f>
        <v>2024-09-23 12:47:43</v>
      </c>
      <c r="C2644" s="5" t="s">
        <v>25</v>
      </c>
      <c r="D2644" s="6" t="s">
        <v>25</v>
      </c>
      <c r="E2644" s="7">
        <f>VLOOKUP(A2644,Sheet2!$A$2:$R$3432,4,0)</f>
        <v>9552541939</v>
      </c>
      <c r="F2644" s="7" t="str">
        <f>VLOOKUP(A2644,Sheet2!$A$2:$R$3432,3,0)</f>
        <v>Anjali Chavan</v>
      </c>
      <c r="G2644" s="5" t="s">
        <v>25</v>
      </c>
      <c r="H2644" s="5" t="s">
        <v>25</v>
      </c>
      <c r="I2644" s="5" t="s">
        <v>25</v>
      </c>
      <c r="J2644" s="5" t="s">
        <v>25</v>
      </c>
      <c r="K2644" s="7" t="str">
        <f>VLOOKUP(A2644,Sheet2!$A$2:$R$3432,6,0)</f>
        <v>Honda Shine CB</v>
      </c>
      <c r="L2644" s="5" t="s">
        <v>25</v>
      </c>
      <c r="M2644" s="7" t="str">
        <f>VLOOKUP(A2644,Sheet2!$A$2:$R$3432,5,0)</f>
        <v>MH14HL1939</v>
      </c>
      <c r="N2644" s="5" t="s">
        <v>25</v>
      </c>
      <c r="O2644" s="5" t="s">
        <v>25</v>
      </c>
      <c r="P2644" s="6" t="s">
        <v>25</v>
      </c>
      <c r="Q2644" s="5" t="s">
        <v>25</v>
      </c>
      <c r="R2644" s="5" t="s">
        <v>25</v>
      </c>
      <c r="S2644" s="7" t="str">
        <f>VLOOKUP(A2644,Sheet2!$A$2:$R$3432,18,0)</f>
        <v/>
      </c>
      <c r="T2644" s="7" t="str">
        <f>VLOOKUP(A2644,Sheet2!$A$2:$R$3432,17,0)</f>
        <v/>
      </c>
    </row>
    <row r="2645" ht="15.75" customHeight="1">
      <c r="A2645" s="3" t="s">
        <v>2668</v>
      </c>
      <c r="B2645" s="4" t="str">
        <f>VLOOKUP(A2645,Sheet2!$A$2:$R$3432,2,0)</f>
        <v>2024-10-14 20:06:53</v>
      </c>
      <c r="C2645" s="5" t="s">
        <v>25</v>
      </c>
      <c r="D2645" s="6" t="s">
        <v>25</v>
      </c>
      <c r="E2645" s="7">
        <f>VLOOKUP(A2645,Sheet2!$A$2:$R$3432,4,0)</f>
        <v>7709458701</v>
      </c>
      <c r="F2645" s="7" t="str">
        <f>VLOOKUP(A2645,Sheet2!$A$2:$R$3432,3,0)</f>
        <v>NIRANJAN DIGHE</v>
      </c>
      <c r="G2645" s="5" t="s">
        <v>25</v>
      </c>
      <c r="H2645" s="5" t="s">
        <v>25</v>
      </c>
      <c r="I2645" s="5" t="s">
        <v>25</v>
      </c>
      <c r="J2645" s="5" t="s">
        <v>25</v>
      </c>
      <c r="K2645" s="7" t="str">
        <f>VLOOKUP(A2645,Sheet2!$A$2:$R$3432,6,0)</f>
        <v>Honda Activa 110</v>
      </c>
      <c r="L2645" s="5" t="s">
        <v>25</v>
      </c>
      <c r="M2645" s="7" t="str">
        <f>VLOOKUP(A2645,Sheet2!$A$2:$R$3432,5,0)</f>
        <v>MH19BF3223</v>
      </c>
      <c r="N2645" s="5" t="s">
        <v>25</v>
      </c>
      <c r="O2645" s="5" t="s">
        <v>25</v>
      </c>
      <c r="P2645" s="6" t="s">
        <v>25</v>
      </c>
      <c r="Q2645" s="5" t="s">
        <v>25</v>
      </c>
      <c r="R2645" s="5" t="s">
        <v>25</v>
      </c>
      <c r="S2645" s="7" t="str">
        <f>VLOOKUP(A2645,Sheet2!$A$2:$R$3432,18,0)</f>
        <v/>
      </c>
      <c r="T2645" s="7" t="str">
        <f>VLOOKUP(A2645,Sheet2!$A$2:$R$3432,17,0)</f>
        <v/>
      </c>
    </row>
    <row r="2646" ht="15.75" customHeight="1">
      <c r="A2646" s="3" t="s">
        <v>2669</v>
      </c>
      <c r="B2646" s="4" t="str">
        <f>VLOOKUP(A2646,Sheet2!$A$2:$R$3432,2,0)</f>
        <v>2024-10-14 20:06:39</v>
      </c>
      <c r="C2646" s="5" t="s">
        <v>25</v>
      </c>
      <c r="D2646" s="6" t="s">
        <v>25</v>
      </c>
      <c r="E2646" s="7">
        <f>VLOOKUP(A2646,Sheet2!$A$2:$R$3432,4,0)</f>
        <v>7507508206</v>
      </c>
      <c r="F2646" s="7" t="str">
        <f>VLOOKUP(A2646,Sheet2!$A$2:$R$3432,3,0)</f>
        <v>VISHAL MALI</v>
      </c>
      <c r="G2646" s="5" t="s">
        <v>25</v>
      </c>
      <c r="H2646" s="5" t="s">
        <v>25</v>
      </c>
      <c r="I2646" s="5" t="s">
        <v>25</v>
      </c>
      <c r="J2646" s="5" t="s">
        <v>25</v>
      </c>
      <c r="K2646" s="7" t="str">
        <f>VLOOKUP(A2646,Sheet2!$A$2:$R$3432,6,0)</f>
        <v>Honda Activa 110</v>
      </c>
      <c r="L2646" s="5" t="s">
        <v>25</v>
      </c>
      <c r="M2646" s="7" t="str">
        <f>VLOOKUP(A2646,Sheet2!$A$2:$R$3432,5,0)</f>
        <v>MH12KV5953</v>
      </c>
      <c r="N2646" s="5" t="s">
        <v>25</v>
      </c>
      <c r="O2646" s="5" t="s">
        <v>25</v>
      </c>
      <c r="P2646" s="6" t="s">
        <v>25</v>
      </c>
      <c r="Q2646" s="5" t="s">
        <v>25</v>
      </c>
      <c r="R2646" s="5" t="s">
        <v>25</v>
      </c>
      <c r="S2646" s="7" t="str">
        <f>VLOOKUP(A2646,Sheet2!$A$2:$R$3432,18,0)</f>
        <v/>
      </c>
      <c r="T2646" s="7" t="str">
        <f>VLOOKUP(A2646,Sheet2!$A$2:$R$3432,17,0)</f>
        <v/>
      </c>
    </row>
    <row r="2647" ht="15.75" customHeight="1">
      <c r="A2647" s="3" t="s">
        <v>2670</v>
      </c>
      <c r="B2647" s="4" t="str">
        <f>VLOOKUP(A2647,Sheet2!$A$2:$R$3432,2,0)</f>
        <v>2024-10-14 20:06:25</v>
      </c>
      <c r="C2647" s="5" t="s">
        <v>25</v>
      </c>
      <c r="D2647" s="6" t="s">
        <v>25</v>
      </c>
      <c r="E2647" s="7">
        <f>VLOOKUP(A2647,Sheet2!$A$2:$R$3432,4,0)</f>
        <v>9076116025</v>
      </c>
      <c r="F2647" s="7" t="str">
        <f>VLOOKUP(A2647,Sheet2!$A$2:$R$3432,3,0)</f>
        <v>MANISH </v>
      </c>
      <c r="G2647" s="5" t="s">
        <v>25</v>
      </c>
      <c r="H2647" s="5" t="s">
        <v>25</v>
      </c>
      <c r="I2647" s="5" t="s">
        <v>25</v>
      </c>
      <c r="J2647" s="5" t="s">
        <v>25</v>
      </c>
      <c r="K2647" s="7" t="str">
        <f>VLOOKUP(A2647,Sheet2!$A$2:$R$3432,6,0)</f>
        <v>Bajaj Pulsar 150</v>
      </c>
      <c r="L2647" s="5" t="s">
        <v>25</v>
      </c>
      <c r="M2647" s="7" t="str">
        <f>VLOOKUP(A2647,Sheet2!$A$2:$R$3432,5,0)</f>
        <v>MH05AU6640</v>
      </c>
      <c r="N2647" s="5" t="s">
        <v>25</v>
      </c>
      <c r="O2647" s="5" t="s">
        <v>25</v>
      </c>
      <c r="P2647" s="6" t="s">
        <v>25</v>
      </c>
      <c r="Q2647" s="5" t="s">
        <v>25</v>
      </c>
      <c r="R2647" s="5" t="s">
        <v>25</v>
      </c>
      <c r="S2647" s="7" t="str">
        <f>VLOOKUP(A2647,Sheet2!$A$2:$R$3432,18,0)</f>
        <v/>
      </c>
      <c r="T2647" s="7" t="str">
        <f>VLOOKUP(A2647,Sheet2!$A$2:$R$3432,17,0)</f>
        <v/>
      </c>
    </row>
    <row r="2648" ht="15.75" customHeight="1">
      <c r="A2648" s="3" t="s">
        <v>2671</v>
      </c>
      <c r="B2648" s="4" t="str">
        <f>VLOOKUP(A2648,Sheet2!$A$2:$R$3432,2,0)</f>
        <v>2024-10-14 20:04:55</v>
      </c>
      <c r="C2648" s="5" t="s">
        <v>25</v>
      </c>
      <c r="D2648" s="6" t="s">
        <v>25</v>
      </c>
      <c r="E2648" s="7">
        <f>VLOOKUP(A2648,Sheet2!$A$2:$R$3432,4,0)</f>
        <v>8600184734</v>
      </c>
      <c r="F2648" s="7" t="str">
        <f>VLOOKUP(A2648,Sheet2!$A$2:$R$3432,3,0)</f>
        <v>Vibhanshu Shekhar</v>
      </c>
      <c r="G2648" s="5" t="s">
        <v>25</v>
      </c>
      <c r="H2648" s="5" t="s">
        <v>25</v>
      </c>
      <c r="I2648" s="5" t="s">
        <v>25</v>
      </c>
      <c r="J2648" s="5" t="s">
        <v>25</v>
      </c>
      <c r="K2648" s="7" t="str">
        <f>VLOOKUP(A2648,Sheet2!$A$2:$R$3432,6,0)</f>
        <v>Yamaha FZ No Data</v>
      </c>
      <c r="L2648" s="5" t="s">
        <v>25</v>
      </c>
      <c r="M2648" s="7" t="str">
        <f>VLOOKUP(A2648,Sheet2!$A$2:$R$3432,5,0)</f>
        <v>MH14GJ1885</v>
      </c>
      <c r="N2648" s="5" t="s">
        <v>25</v>
      </c>
      <c r="O2648" s="5" t="s">
        <v>25</v>
      </c>
      <c r="P2648" s="6" t="s">
        <v>25</v>
      </c>
      <c r="Q2648" s="5" t="s">
        <v>25</v>
      </c>
      <c r="R2648" s="5" t="s">
        <v>25</v>
      </c>
      <c r="S2648" s="7" t="str">
        <f>VLOOKUP(A2648,Sheet2!$A$2:$R$3432,18,0)</f>
        <v/>
      </c>
      <c r="T2648" s="7" t="str">
        <f>VLOOKUP(A2648,Sheet2!$A$2:$R$3432,17,0)</f>
        <v>ME1RJ4819F0006997</v>
      </c>
    </row>
    <row r="2649" ht="15.75" customHeight="1">
      <c r="A2649" s="3" t="s">
        <v>2672</v>
      </c>
      <c r="B2649" s="4" t="str">
        <f>VLOOKUP(A2649,Sheet2!$A$2:$R$3432,2,0)</f>
        <v>2024-10-14 20:02:45</v>
      </c>
      <c r="C2649" s="5" t="s">
        <v>25</v>
      </c>
      <c r="D2649" s="6" t="s">
        <v>25</v>
      </c>
      <c r="E2649" s="7">
        <f>VLOOKUP(A2649,Sheet2!$A$2:$R$3432,4,0)</f>
        <v>7083491791</v>
      </c>
      <c r="F2649" s="7" t="str">
        <f>VLOOKUP(A2649,Sheet2!$A$2:$R$3432,3,0)</f>
        <v>Uttekar</v>
      </c>
      <c r="G2649" s="5" t="s">
        <v>25</v>
      </c>
      <c r="H2649" s="5" t="s">
        <v>25</v>
      </c>
      <c r="I2649" s="5" t="s">
        <v>25</v>
      </c>
      <c r="J2649" s="5" t="s">
        <v>25</v>
      </c>
      <c r="K2649" s="7" t="str">
        <f>VLOOKUP(A2649,Sheet2!$A$2:$R$3432,6,0)</f>
        <v>Hero Splendor Super</v>
      </c>
      <c r="L2649" s="5" t="s">
        <v>25</v>
      </c>
      <c r="M2649" s="7" t="str">
        <f>VLOOKUP(A2649,Sheet2!$A$2:$R$3432,5,0)</f>
        <v>MH14AN5819</v>
      </c>
      <c r="N2649" s="5" t="s">
        <v>25</v>
      </c>
      <c r="O2649" s="5" t="s">
        <v>25</v>
      </c>
      <c r="P2649" s="6" t="s">
        <v>25</v>
      </c>
      <c r="Q2649" s="5" t="s">
        <v>25</v>
      </c>
      <c r="R2649" s="5" t="s">
        <v>25</v>
      </c>
      <c r="S2649" s="5" t="str">
        <f>VLOOKUP(A2649,Sheet2!$A$2:$R$3432,18,0)</f>
        <v>03014</v>
      </c>
      <c r="T2649" s="7" t="str">
        <f>VLOOKUP(A2649,Sheet2!$A$2:$R$3432,17,0)</f>
        <v>05LAAC03045</v>
      </c>
    </row>
    <row r="2650" ht="15.75" customHeight="1">
      <c r="A2650" s="3" t="s">
        <v>2673</v>
      </c>
      <c r="B2650" s="4" t="str">
        <f>VLOOKUP(A2650,Sheet2!$A$2:$R$3432,2,0)</f>
        <v>2024-10-14 20:00:33</v>
      </c>
      <c r="C2650" s="5" t="s">
        <v>25</v>
      </c>
      <c r="D2650" s="6" t="s">
        <v>25</v>
      </c>
      <c r="E2650" s="7">
        <f>VLOOKUP(A2650,Sheet2!$A$2:$R$3432,4,0)</f>
        <v>7057611495</v>
      </c>
      <c r="F2650" s="7" t="str">
        <f>VLOOKUP(A2650,Sheet2!$A$2:$R$3432,3,0)</f>
        <v>BALIRAM </v>
      </c>
      <c r="G2650" s="5" t="s">
        <v>25</v>
      </c>
      <c r="H2650" s="5" t="s">
        <v>25</v>
      </c>
      <c r="I2650" s="5" t="s">
        <v>25</v>
      </c>
      <c r="J2650" s="5" t="s">
        <v>25</v>
      </c>
      <c r="K2650" s="7" t="str">
        <f>VLOOKUP(A2650,Sheet2!$A$2:$R$3432,6,0)</f>
        <v>Hero Passion Pro</v>
      </c>
      <c r="L2650" s="5" t="s">
        <v>25</v>
      </c>
      <c r="M2650" s="7" t="str">
        <f>VLOOKUP(A2650,Sheet2!$A$2:$R$3432,5,0)</f>
        <v>MH14CB439</v>
      </c>
      <c r="N2650" s="5" t="s">
        <v>25</v>
      </c>
      <c r="O2650" s="5" t="s">
        <v>25</v>
      </c>
      <c r="P2650" s="6" t="s">
        <v>25</v>
      </c>
      <c r="Q2650" s="5" t="s">
        <v>25</v>
      </c>
      <c r="R2650" s="5" t="s">
        <v>25</v>
      </c>
      <c r="S2650" s="5" t="str">
        <f>VLOOKUP(A2650,Sheet2!$A$2:$R$3432,18,0)</f>
        <v>HA10EDAGD09146</v>
      </c>
      <c r="T2650" s="7" t="str">
        <f>VLOOKUP(A2650,Sheet2!$A$2:$R$3432,17,0)</f>
        <v>MBLHA10EWAGD11800</v>
      </c>
    </row>
    <row r="2651" ht="15.75" customHeight="1">
      <c r="A2651" s="3" t="s">
        <v>2674</v>
      </c>
      <c r="B2651" s="4" t="str">
        <f>VLOOKUP(A2651,Sheet2!$A$2:$R$3432,2,0)</f>
        <v>2024-10-14 19:56:13</v>
      </c>
      <c r="C2651" s="5" t="s">
        <v>25</v>
      </c>
      <c r="D2651" s="6" t="s">
        <v>25</v>
      </c>
      <c r="E2651" s="7">
        <f>VLOOKUP(A2651,Sheet2!$A$2:$R$3432,4,0)</f>
        <v>8149555665</v>
      </c>
      <c r="F2651" s="7" t="str">
        <f>VLOOKUP(A2651,Sheet2!$A$2:$R$3432,3,0)</f>
        <v>Kiran Chillat</v>
      </c>
      <c r="G2651" s="5" t="s">
        <v>25</v>
      </c>
      <c r="H2651" s="5" t="s">
        <v>25</v>
      </c>
      <c r="I2651" s="5" t="s">
        <v>25</v>
      </c>
      <c r="J2651" s="5" t="s">
        <v>25</v>
      </c>
      <c r="K2651" s="7" t="str">
        <f>VLOOKUP(A2651,Sheet2!$A$2:$R$3432,6,0)</f>
        <v>Honda Activa 110</v>
      </c>
      <c r="L2651" s="5" t="s">
        <v>25</v>
      </c>
      <c r="M2651" s="7" t="str">
        <f>VLOOKUP(A2651,Sheet2!$A$2:$R$3432,5,0)</f>
        <v>MH14EF9340</v>
      </c>
      <c r="N2651" s="5" t="s">
        <v>25</v>
      </c>
      <c r="O2651" s="5" t="s">
        <v>25</v>
      </c>
      <c r="P2651" s="6" t="s">
        <v>25</v>
      </c>
      <c r="Q2651" s="5" t="s">
        <v>25</v>
      </c>
      <c r="R2651" s="5" t="s">
        <v>25</v>
      </c>
      <c r="S2651" s="5" t="str">
        <f>VLOOKUP(A2651,Sheet2!$A$2:$R$3432,18,0)</f>
        <v>JF50ET0253775</v>
      </c>
      <c r="T2651" s="7" t="str">
        <f>VLOOKUP(A2651,Sheet2!$A$2:$R$3432,17,0)</f>
        <v>ME4JF50HBET253995</v>
      </c>
    </row>
    <row r="2652" ht="15.75" customHeight="1">
      <c r="A2652" s="3" t="s">
        <v>2675</v>
      </c>
      <c r="B2652" s="4" t="str">
        <f>VLOOKUP(A2652,Sheet2!$A$2:$R$3432,2,0)</f>
        <v>2024-10-14 20:07:36</v>
      </c>
      <c r="C2652" s="5" t="s">
        <v>25</v>
      </c>
      <c r="D2652" s="6" t="s">
        <v>25</v>
      </c>
      <c r="E2652" s="7">
        <f>VLOOKUP(A2652,Sheet2!$A$2:$R$3432,4,0)</f>
        <v>9881124230</v>
      </c>
      <c r="F2652" s="7" t="str">
        <f>VLOOKUP(A2652,Sheet2!$A$2:$R$3432,3,0)</f>
        <v>Sachin Nagarkar</v>
      </c>
      <c r="G2652" s="5" t="s">
        <v>25</v>
      </c>
      <c r="H2652" s="5" t="s">
        <v>25</v>
      </c>
      <c r="I2652" s="5" t="s">
        <v>25</v>
      </c>
      <c r="J2652" s="5" t="s">
        <v>25</v>
      </c>
      <c r="K2652" s="7" t="str">
        <f>VLOOKUP(A2652,Sheet2!$A$2:$R$3432,6,0)</f>
        <v>TVS Scooty PEP</v>
      </c>
      <c r="L2652" s="5" t="s">
        <v>25</v>
      </c>
      <c r="M2652" s="7" t="str">
        <f>VLOOKUP(A2652,Sheet2!$A$2:$R$3432,5,0)</f>
        <v>MH06Y0821</v>
      </c>
      <c r="N2652" s="5" t="s">
        <v>25</v>
      </c>
      <c r="O2652" s="5" t="s">
        <v>25</v>
      </c>
      <c r="P2652" s="6" t="s">
        <v>25</v>
      </c>
      <c r="Q2652" s="5" t="s">
        <v>25</v>
      </c>
      <c r="R2652" s="5" t="s">
        <v>25</v>
      </c>
      <c r="S2652" s="7" t="str">
        <f>VLOOKUP(A2652,Sheet2!$A$2:$R$3432,18,0)</f>
        <v/>
      </c>
      <c r="T2652" s="7" t="str">
        <f>VLOOKUP(A2652,Sheet2!$A$2:$R$3432,17,0)</f>
        <v/>
      </c>
    </row>
    <row r="2653" ht="15.75" customHeight="1">
      <c r="A2653" s="3" t="s">
        <v>2676</v>
      </c>
      <c r="B2653" s="4" t="str">
        <f>VLOOKUP(A2653,Sheet2!$A$2:$R$3432,2,0)</f>
        <v>2024-10-14 19:58:15</v>
      </c>
      <c r="C2653" s="5" t="s">
        <v>25</v>
      </c>
      <c r="D2653" s="6" t="s">
        <v>25</v>
      </c>
      <c r="E2653" s="7">
        <f>VLOOKUP(A2653,Sheet2!$A$2:$R$3432,4,0)</f>
        <v>8380914103</v>
      </c>
      <c r="F2653" s="7" t="str">
        <f>VLOOKUP(A2653,Sheet2!$A$2:$R$3432,3,0)</f>
        <v>OMKAR MUDSHI</v>
      </c>
      <c r="G2653" s="5" t="s">
        <v>25</v>
      </c>
      <c r="H2653" s="5" t="s">
        <v>25</v>
      </c>
      <c r="I2653" s="5" t="s">
        <v>25</v>
      </c>
      <c r="J2653" s="5" t="s">
        <v>25</v>
      </c>
      <c r="K2653" s="7" t="str">
        <f>VLOOKUP(A2653,Sheet2!$A$2:$R$3432,6,0)</f>
        <v>Yamaha FZ 25</v>
      </c>
      <c r="L2653" s="5" t="s">
        <v>25</v>
      </c>
      <c r="M2653" s="7" t="str">
        <f>VLOOKUP(A2653,Sheet2!$A$2:$R$3432,5,0)</f>
        <v>MH12PY6602</v>
      </c>
      <c r="N2653" s="5" t="s">
        <v>25</v>
      </c>
      <c r="O2653" s="5" t="s">
        <v>25</v>
      </c>
      <c r="P2653" s="6" t="s">
        <v>25</v>
      </c>
      <c r="Q2653" s="5" t="s">
        <v>25</v>
      </c>
      <c r="R2653" s="5" t="s">
        <v>25</v>
      </c>
      <c r="S2653" s="7" t="str">
        <f>VLOOKUP(A2653,Sheet2!$A$2:$R$3432,18,0)</f>
        <v/>
      </c>
      <c r="T2653" s="7" t="str">
        <f>VLOOKUP(A2653,Sheet2!$A$2:$R$3432,17,0)</f>
        <v/>
      </c>
    </row>
    <row r="2654" ht="15.75" customHeight="1">
      <c r="A2654" s="3" t="s">
        <v>2677</v>
      </c>
      <c r="B2654" s="4" t="str">
        <f>VLOOKUP(A2654,Sheet2!$A$2:$R$3432,2,0)</f>
        <v>2024-10-14 19:56:51</v>
      </c>
      <c r="C2654" s="5" t="s">
        <v>25</v>
      </c>
      <c r="D2654" s="6" t="s">
        <v>25</v>
      </c>
      <c r="E2654" s="7">
        <f>VLOOKUP(A2654,Sheet2!$A$2:$R$3432,4,0)</f>
        <v>9021824645</v>
      </c>
      <c r="F2654" s="7" t="str">
        <f>VLOOKUP(A2654,Sheet2!$A$2:$R$3432,3,0)</f>
        <v>Mrinalini</v>
      </c>
      <c r="G2654" s="5" t="s">
        <v>25</v>
      </c>
      <c r="H2654" s="5" t="s">
        <v>25</v>
      </c>
      <c r="I2654" s="5" t="s">
        <v>25</v>
      </c>
      <c r="J2654" s="5" t="s">
        <v>25</v>
      </c>
      <c r="K2654" s="7" t="str">
        <f>VLOOKUP(A2654,Sheet2!$A$2:$R$3432,6,0)</f>
        <v>Honda Dio </v>
      </c>
      <c r="L2654" s="5" t="s">
        <v>25</v>
      </c>
      <c r="M2654" s="7" t="str">
        <f>VLOOKUP(A2654,Sheet2!$A$2:$R$3432,5,0)</f>
        <v>MH14GZ0569</v>
      </c>
      <c r="N2654" s="5" t="s">
        <v>25</v>
      </c>
      <c r="O2654" s="5" t="s">
        <v>25</v>
      </c>
      <c r="P2654" s="6" t="s">
        <v>25</v>
      </c>
      <c r="Q2654" s="5" t="s">
        <v>25</v>
      </c>
      <c r="R2654" s="5" t="s">
        <v>25</v>
      </c>
      <c r="S2654" s="5" t="str">
        <f>VLOOKUP(A2654,Sheet2!$A$2:$R$3432,18,0)</f>
        <v>JF39E42273317</v>
      </c>
      <c r="T2654" s="7" t="str">
        <f>VLOOKUP(A2654,Sheet2!$A$2:$R$3432,17,0)</f>
        <v>ME4JF39DDJ4136779</v>
      </c>
    </row>
    <row r="2655" ht="15.75" customHeight="1">
      <c r="A2655" s="3" t="s">
        <v>2678</v>
      </c>
      <c r="B2655" s="4" t="str">
        <f>VLOOKUP(A2655,Sheet2!$A$2:$R$3432,2,0)</f>
        <v>2024-10-14 19:57:37</v>
      </c>
      <c r="C2655" s="5" t="s">
        <v>25</v>
      </c>
      <c r="D2655" s="6" t="s">
        <v>25</v>
      </c>
      <c r="E2655" s="7">
        <f>VLOOKUP(A2655,Sheet2!$A$2:$R$3432,4,0)</f>
        <v>9833238285</v>
      </c>
      <c r="F2655" s="7" t="str">
        <f>VLOOKUP(A2655,Sheet2!$A$2:$R$3432,3,0)</f>
        <v>Monali Bhole</v>
      </c>
      <c r="G2655" s="5" t="s">
        <v>25</v>
      </c>
      <c r="H2655" s="5" t="s">
        <v>25</v>
      </c>
      <c r="I2655" s="5" t="s">
        <v>25</v>
      </c>
      <c r="J2655" s="5" t="s">
        <v>25</v>
      </c>
      <c r="K2655" s="7" t="str">
        <f>VLOOKUP(A2655,Sheet2!$A$2:$R$3432,6,0)</f>
        <v>TVS Wego </v>
      </c>
      <c r="L2655" s="5" t="s">
        <v>25</v>
      </c>
      <c r="M2655" s="7" t="str">
        <f>VLOOKUP(A2655,Sheet2!$A$2:$R$3432,5,0)</f>
        <v>MH14GW4382</v>
      </c>
      <c r="N2655" s="5" t="s">
        <v>25</v>
      </c>
      <c r="O2655" s="5" t="s">
        <v>25</v>
      </c>
      <c r="P2655" s="6" t="s">
        <v>25</v>
      </c>
      <c r="Q2655" s="5" t="s">
        <v>25</v>
      </c>
      <c r="R2655" s="5" t="s">
        <v>25</v>
      </c>
      <c r="S2655" s="5" t="str">
        <f>VLOOKUP(A2655,Sheet2!$A$2:$R$3432,18,0)</f>
        <v>DG4CJ1401531</v>
      </c>
      <c r="T2655" s="7" t="str">
        <f>VLOOKUP(A2655,Sheet2!$A$2:$R$3432,17,0)</f>
        <v>MD626DG46J1C01609</v>
      </c>
    </row>
    <row r="2656" ht="15.75" customHeight="1">
      <c r="A2656" s="3" t="s">
        <v>2679</v>
      </c>
      <c r="B2656" s="4" t="str">
        <f>VLOOKUP(A2656,Sheet2!$A$2:$R$3432,2,0)</f>
        <v>2024-10-14 19:59:48</v>
      </c>
      <c r="C2656" s="5" t="s">
        <v>25</v>
      </c>
      <c r="D2656" s="6" t="s">
        <v>25</v>
      </c>
      <c r="E2656" s="7">
        <f>VLOOKUP(A2656,Sheet2!$A$2:$R$3432,4,0)</f>
        <v>9834802810</v>
      </c>
      <c r="F2656" s="7" t="str">
        <f>VLOOKUP(A2656,Sheet2!$A$2:$R$3432,3,0)</f>
        <v>RUPESH WANKHEDE </v>
      </c>
      <c r="G2656" s="5" t="s">
        <v>25</v>
      </c>
      <c r="H2656" s="5" t="s">
        <v>25</v>
      </c>
      <c r="I2656" s="5" t="s">
        <v>25</v>
      </c>
      <c r="J2656" s="5" t="s">
        <v>25</v>
      </c>
      <c r="K2656" s="7" t="str">
        <f>VLOOKUP(A2656,Sheet2!$A$2:$R$3432,6,0)</f>
        <v>Hero Passion Pro</v>
      </c>
      <c r="L2656" s="5" t="s">
        <v>25</v>
      </c>
      <c r="M2656" s="7" t="str">
        <f>VLOOKUP(A2656,Sheet2!$A$2:$R$3432,5,0)</f>
        <v>MH39L2431</v>
      </c>
      <c r="N2656" s="5" t="s">
        <v>25</v>
      </c>
      <c r="O2656" s="5" t="s">
        <v>25</v>
      </c>
      <c r="P2656" s="6" t="s">
        <v>25</v>
      </c>
      <c r="Q2656" s="5" t="s">
        <v>25</v>
      </c>
      <c r="R2656" s="5" t="s">
        <v>25</v>
      </c>
      <c r="S2656" s="5" t="str">
        <f>VLOOKUP(A2656,Sheet2!$A$2:$R$3432,18,0)</f>
        <v>HA10EDBH012655</v>
      </c>
      <c r="T2656" s="7" t="str">
        <f>VLOOKUP(A2656,Sheet2!$A$2:$R$3432,17,0)</f>
        <v>MLHA10EWBHJ13321</v>
      </c>
    </row>
    <row r="2657" ht="15.75" customHeight="1">
      <c r="A2657" s="3" t="s">
        <v>2680</v>
      </c>
      <c r="B2657" s="4" t="str">
        <f>VLOOKUP(A2657,Sheet2!$A$2:$R$3432,2,0)</f>
        <v>2024-10-14 20:04:01</v>
      </c>
      <c r="C2657" s="5" t="s">
        <v>25</v>
      </c>
      <c r="D2657" s="6" t="s">
        <v>25</v>
      </c>
      <c r="E2657" s="7">
        <f>VLOOKUP(A2657,Sheet2!$A$2:$R$3432,4,0)</f>
        <v>9960632050</v>
      </c>
      <c r="F2657" s="7" t="str">
        <f>VLOOKUP(A2657,Sheet2!$A$2:$R$3432,3,0)</f>
        <v>PRANAV MANKAR </v>
      </c>
      <c r="G2657" s="5" t="s">
        <v>25</v>
      </c>
      <c r="H2657" s="5" t="s">
        <v>25</v>
      </c>
      <c r="I2657" s="5" t="s">
        <v>25</v>
      </c>
      <c r="J2657" s="5" t="s">
        <v>25</v>
      </c>
      <c r="K2657" s="7" t="str">
        <f>VLOOKUP(A2657,Sheet2!$A$2:$R$3432,6,0)</f>
        <v>Hero Karizma R</v>
      </c>
      <c r="L2657" s="5" t="s">
        <v>25</v>
      </c>
      <c r="M2657" s="7" t="str">
        <f>VLOOKUP(A2657,Sheet2!$A$2:$R$3432,5,0)</f>
        <v>MH31DE4170</v>
      </c>
      <c r="N2657" s="5" t="s">
        <v>25</v>
      </c>
      <c r="O2657" s="5" t="s">
        <v>25</v>
      </c>
      <c r="P2657" s="6" t="s">
        <v>25</v>
      </c>
      <c r="Q2657" s="5" t="s">
        <v>25</v>
      </c>
      <c r="R2657" s="5" t="s">
        <v>25</v>
      </c>
      <c r="S2657" s="5" t="str">
        <f>VLOOKUP(A2657,Sheet2!$A$2:$R$3432,18,0)</f>
        <v>MC38EAGB00834</v>
      </c>
      <c r="T2657" s="7" t="str">
        <f>VLOOKUP(A2657,Sheet2!$A$2:$R$3432,17,0)</f>
        <v>MBLMC38EBAGBBD865</v>
      </c>
    </row>
    <row r="2658" ht="15.75" customHeight="1">
      <c r="A2658" s="3" t="s">
        <v>2681</v>
      </c>
      <c r="B2658" s="4" t="str">
        <f>VLOOKUP(A2658,Sheet2!$A$2:$R$3432,2,0)</f>
        <v>2024-11-24 19:59:46</v>
      </c>
      <c r="C2658" s="5" t="s">
        <v>25</v>
      </c>
      <c r="D2658" s="6" t="s">
        <v>25</v>
      </c>
      <c r="E2658" s="7">
        <f>VLOOKUP(A2658,Sheet2!$A$2:$R$3432,4,0)</f>
        <v>9008696102</v>
      </c>
      <c r="F2658" s="7" t="str">
        <f>VLOOKUP(A2658,Sheet2!$A$2:$R$3432,3,0)</f>
        <v>Omkar</v>
      </c>
      <c r="G2658" s="5" t="s">
        <v>25</v>
      </c>
      <c r="H2658" s="5" t="s">
        <v>25</v>
      </c>
      <c r="I2658" s="5" t="s">
        <v>25</v>
      </c>
      <c r="J2658" s="5" t="s">
        <v>25</v>
      </c>
      <c r="K2658" s="7" t="str">
        <f>VLOOKUP(A2658,Sheet2!$A$2:$R$3432,6,0)</f>
        <v>TVS Apache RTR 160</v>
      </c>
      <c r="L2658" s="5" t="s">
        <v>25</v>
      </c>
      <c r="M2658" s="7" t="str">
        <f>VLOOKUP(A2658,Sheet2!$A$2:$R$3432,5,0)</f>
        <v>MH14HF9896</v>
      </c>
      <c r="N2658" s="5" t="s">
        <v>25</v>
      </c>
      <c r="O2658" s="5" t="s">
        <v>25</v>
      </c>
      <c r="P2658" s="6" t="s">
        <v>25</v>
      </c>
      <c r="Q2658" s="5" t="s">
        <v>25</v>
      </c>
      <c r="R2658" s="5" t="s">
        <v>25</v>
      </c>
      <c r="S2658" s="5" t="str">
        <f>VLOOKUP(A2658,Sheet2!$A$2:$R$3432,18,0)</f>
        <v>AE7KJ2503506</v>
      </c>
      <c r="T2658" s="7" t="str">
        <f>VLOOKUP(A2658,Sheet2!$A$2:$R$3432,17,0)</f>
        <v>MD637AE78J2K0757</v>
      </c>
    </row>
    <row r="2659" ht="15.75" customHeight="1">
      <c r="A2659" s="3" t="s">
        <v>2682</v>
      </c>
      <c r="B2659" s="4" t="str">
        <f>VLOOKUP(A2659,Sheet2!$A$2:$R$3432,2,0)</f>
        <v>2024-11-24 20:00:57</v>
      </c>
      <c r="C2659" s="5" t="s">
        <v>25</v>
      </c>
      <c r="D2659" s="6" t="s">
        <v>25</v>
      </c>
      <c r="E2659" s="7">
        <f>VLOOKUP(A2659,Sheet2!$A$2:$R$3432,4,0)</f>
        <v>9373841171</v>
      </c>
      <c r="F2659" s="7" t="str">
        <f>VLOOKUP(A2659,Sheet2!$A$2:$R$3432,3,0)</f>
        <v>Parameshwar</v>
      </c>
      <c r="G2659" s="5" t="s">
        <v>25</v>
      </c>
      <c r="H2659" s="5" t="s">
        <v>25</v>
      </c>
      <c r="I2659" s="5" t="s">
        <v>25</v>
      </c>
      <c r="J2659" s="5" t="s">
        <v>25</v>
      </c>
      <c r="K2659" s="7" t="str">
        <f>VLOOKUP(A2659,Sheet2!$A$2:$R$3432,6,0)</f>
        <v>TVS Scooty Streak</v>
      </c>
      <c r="L2659" s="5" t="s">
        <v>25</v>
      </c>
      <c r="M2659" s="7" t="str">
        <f>VLOOKUP(A2659,Sheet2!$A$2:$R$3432,5,0)</f>
        <v>MH16AL8336</v>
      </c>
      <c r="N2659" s="5" t="s">
        <v>25</v>
      </c>
      <c r="O2659" s="5" t="s">
        <v>25</v>
      </c>
      <c r="P2659" s="6" t="s">
        <v>25</v>
      </c>
      <c r="Q2659" s="5" t="s">
        <v>25</v>
      </c>
      <c r="R2659" s="5" t="s">
        <v>25</v>
      </c>
      <c r="S2659" s="7" t="str">
        <f>VLOOKUP(A2659,Sheet2!$A$2:$R$3432,18,0)</f>
        <v/>
      </c>
      <c r="T2659" s="7" t="str">
        <f>VLOOKUP(A2659,Sheet2!$A$2:$R$3432,17,0)</f>
        <v/>
      </c>
    </row>
    <row r="2660" ht="15.75" customHeight="1">
      <c r="A2660" s="3" t="s">
        <v>2683</v>
      </c>
      <c r="B2660" s="4" t="str">
        <f>VLOOKUP(A2660,Sheet2!$A$2:$R$3432,2,0)</f>
        <v>2024-11-24 20:02:04</v>
      </c>
      <c r="C2660" s="5" t="s">
        <v>25</v>
      </c>
      <c r="D2660" s="6" t="s">
        <v>25</v>
      </c>
      <c r="E2660" s="7">
        <f>VLOOKUP(A2660,Sheet2!$A$2:$R$3432,4,0)</f>
        <v>7709010034</v>
      </c>
      <c r="F2660" s="7" t="str">
        <f>VLOOKUP(A2660,Sheet2!$A$2:$R$3432,3,0)</f>
        <v>SAHIL</v>
      </c>
      <c r="G2660" s="5" t="s">
        <v>25</v>
      </c>
      <c r="H2660" s="5" t="s">
        <v>25</v>
      </c>
      <c r="I2660" s="5" t="s">
        <v>25</v>
      </c>
      <c r="J2660" s="5" t="s">
        <v>25</v>
      </c>
      <c r="K2660" s="7" t="str">
        <f>VLOOKUP(A2660,Sheet2!$A$2:$R$3432,6,0)</f>
        <v>Royal Enfield INTERCEPTOR 650</v>
      </c>
      <c r="L2660" s="5" t="s">
        <v>25</v>
      </c>
      <c r="M2660" s="7" t="str">
        <f>VLOOKUP(A2660,Sheet2!$A$2:$R$3432,5,0)</f>
        <v>MH14JC9599</v>
      </c>
      <c r="N2660" s="5" t="s">
        <v>25</v>
      </c>
      <c r="O2660" s="5" t="s">
        <v>25</v>
      </c>
      <c r="P2660" s="6" t="s">
        <v>25</v>
      </c>
      <c r="Q2660" s="5" t="s">
        <v>25</v>
      </c>
      <c r="R2660" s="5" t="s">
        <v>25</v>
      </c>
      <c r="S2660" s="7" t="str">
        <f>VLOOKUP(A2660,Sheet2!$A$2:$R$3432,18,0)</f>
        <v/>
      </c>
      <c r="T2660" s="7" t="str">
        <f>VLOOKUP(A2660,Sheet2!$A$2:$R$3432,17,0)</f>
        <v/>
      </c>
    </row>
    <row r="2661" ht="15.75" customHeight="1">
      <c r="A2661" s="3" t="s">
        <v>2684</v>
      </c>
      <c r="B2661" s="4" t="str">
        <f>VLOOKUP(A2661,Sheet2!$A$2:$R$3432,2,0)</f>
        <v>2024-11-24 20:01:47</v>
      </c>
      <c r="C2661" s="5" t="s">
        <v>25</v>
      </c>
      <c r="D2661" s="6" t="s">
        <v>25</v>
      </c>
      <c r="E2661" s="7">
        <f>VLOOKUP(A2661,Sheet2!$A$2:$R$3432,4,0)</f>
        <v>9325951526</v>
      </c>
      <c r="F2661" s="7" t="str">
        <f>VLOOKUP(A2661,Sheet2!$A$2:$R$3432,3,0)</f>
        <v>Hemant</v>
      </c>
      <c r="G2661" s="5" t="s">
        <v>25</v>
      </c>
      <c r="H2661" s="5" t="s">
        <v>25</v>
      </c>
      <c r="I2661" s="5" t="s">
        <v>25</v>
      </c>
      <c r="J2661" s="5" t="s">
        <v>25</v>
      </c>
      <c r="K2661" s="7" t="str">
        <f>VLOOKUP(A2661,Sheet2!$A$2:$R$3432,6,0)</f>
        <v>Yamaha Fazer </v>
      </c>
      <c r="L2661" s="5" t="s">
        <v>25</v>
      </c>
      <c r="M2661" s="7" t="str">
        <f>VLOOKUP(A2661,Sheet2!$A$2:$R$3432,5,0)</f>
        <v>MH16BL4632</v>
      </c>
      <c r="N2661" s="5" t="s">
        <v>25</v>
      </c>
      <c r="O2661" s="5" t="s">
        <v>25</v>
      </c>
      <c r="P2661" s="6" t="s">
        <v>25</v>
      </c>
      <c r="Q2661" s="5" t="s">
        <v>25</v>
      </c>
      <c r="R2661" s="5" t="s">
        <v>25</v>
      </c>
      <c r="S2661" s="5" t="str">
        <f>VLOOKUP(A2661,Sheet2!$A$2:$R$3432,18,0)</f>
        <v>G3C8E0146542</v>
      </c>
      <c r="T2661" s="7" t="str">
        <f>VLOOKUP(A2661,Sheet2!$A$2:$R$3432,17,0)</f>
        <v>ME1RG074F0918390</v>
      </c>
    </row>
    <row r="2662" ht="15.75" customHeight="1">
      <c r="A2662" s="3" t="s">
        <v>2685</v>
      </c>
      <c r="B2662" s="4" t="str">
        <f>VLOOKUP(A2662,Sheet2!$A$2:$R$3432,2,0)</f>
        <v>2024-11-24 20:00:38</v>
      </c>
      <c r="C2662" s="5" t="s">
        <v>25</v>
      </c>
      <c r="D2662" s="6" t="s">
        <v>25</v>
      </c>
      <c r="E2662" s="7">
        <f>VLOOKUP(A2662,Sheet2!$A$2:$R$3432,4,0)</f>
        <v>9552424111</v>
      </c>
      <c r="F2662" s="7" t="str">
        <f>VLOOKUP(A2662,Sheet2!$A$2:$R$3432,3,0)</f>
        <v>Aniket Kamat</v>
      </c>
      <c r="G2662" s="5" t="s">
        <v>25</v>
      </c>
      <c r="H2662" s="5" t="s">
        <v>25</v>
      </c>
      <c r="I2662" s="5" t="s">
        <v>25</v>
      </c>
      <c r="J2662" s="5" t="s">
        <v>25</v>
      </c>
      <c r="K2662" s="7" t="str">
        <f>VLOOKUP(A2662,Sheet2!$A$2:$R$3432,6,0)</f>
        <v>Honda Shine HET</v>
      </c>
      <c r="L2662" s="5" t="s">
        <v>25</v>
      </c>
      <c r="M2662" s="7" t="str">
        <f>VLOOKUP(A2662,Sheet2!$A$2:$R$3432,5,0)</f>
        <v>MH09EP1623</v>
      </c>
      <c r="N2662" s="5" t="s">
        <v>25</v>
      </c>
      <c r="O2662" s="5" t="s">
        <v>25</v>
      </c>
      <c r="P2662" s="6" t="s">
        <v>25</v>
      </c>
      <c r="Q2662" s="5" t="s">
        <v>25</v>
      </c>
      <c r="R2662" s="5" t="s">
        <v>25</v>
      </c>
      <c r="S2662" s="7" t="str">
        <f>VLOOKUP(A2662,Sheet2!$A$2:$R$3432,18,0)</f>
        <v/>
      </c>
      <c r="T2662" s="7" t="str">
        <f>VLOOKUP(A2662,Sheet2!$A$2:$R$3432,17,0)</f>
        <v>ME4JC654DHT026069</v>
      </c>
    </row>
    <row r="2663" ht="15.75" customHeight="1">
      <c r="A2663" s="3" t="s">
        <v>2686</v>
      </c>
      <c r="B2663" s="4" t="str">
        <f>VLOOKUP(A2663,Sheet2!$A$2:$R$3432,2,0)</f>
        <v>2024-11-24 19:58:36</v>
      </c>
      <c r="C2663" s="5" t="s">
        <v>25</v>
      </c>
      <c r="D2663" s="6" t="s">
        <v>25</v>
      </c>
      <c r="E2663" s="7">
        <f>VLOOKUP(A2663,Sheet2!$A$2:$R$3432,4,0)</f>
        <v>9131793358</v>
      </c>
      <c r="F2663" s="7" t="str">
        <f>VLOOKUP(A2663,Sheet2!$A$2:$R$3432,3,0)</f>
        <v>Mitesh</v>
      </c>
      <c r="G2663" s="5" t="s">
        <v>25</v>
      </c>
      <c r="H2663" s="5" t="s">
        <v>25</v>
      </c>
      <c r="I2663" s="5" t="s">
        <v>25</v>
      </c>
      <c r="J2663" s="5" t="s">
        <v>25</v>
      </c>
      <c r="K2663" s="7" t="str">
        <f>VLOOKUP(A2663,Sheet2!$A$2:$R$3432,6,0)</f>
        <v>Hero Passion Pro</v>
      </c>
      <c r="L2663" s="5" t="s">
        <v>25</v>
      </c>
      <c r="M2663" s="7" t="str">
        <f>VLOOKUP(A2663,Sheet2!$A$2:$R$3432,5,0)</f>
        <v>MH14CY3580</v>
      </c>
      <c r="N2663" s="5" t="s">
        <v>25</v>
      </c>
      <c r="O2663" s="5" t="s">
        <v>25</v>
      </c>
      <c r="P2663" s="6" t="s">
        <v>25</v>
      </c>
      <c r="Q2663" s="5" t="s">
        <v>25</v>
      </c>
      <c r="R2663" s="5" t="s">
        <v>25</v>
      </c>
      <c r="S2663" s="7" t="str">
        <f>VLOOKUP(A2663,Sheet2!$A$2:$R$3432,18,0)</f>
        <v/>
      </c>
      <c r="T2663" s="7" t="str">
        <f>VLOOKUP(A2663,Sheet2!$A$2:$R$3432,17,0)</f>
        <v/>
      </c>
    </row>
    <row r="2664" ht="15.75" customHeight="1">
      <c r="A2664" s="3" t="s">
        <v>2687</v>
      </c>
      <c r="B2664" s="4" t="str">
        <f>VLOOKUP(A2664,Sheet2!$A$2:$R$3432,2,0)</f>
        <v>2024-11-24 19:56:05</v>
      </c>
      <c r="C2664" s="5" t="s">
        <v>25</v>
      </c>
      <c r="D2664" s="6" t="s">
        <v>25</v>
      </c>
      <c r="E2664" s="7">
        <f>VLOOKUP(A2664,Sheet2!$A$2:$R$3432,4,0)</f>
        <v>9579021218</v>
      </c>
      <c r="F2664" s="7" t="str">
        <f>VLOOKUP(A2664,Sheet2!$A$2:$R$3432,3,0)</f>
        <v>Gaurav Dhokriya</v>
      </c>
      <c r="G2664" s="5" t="s">
        <v>25</v>
      </c>
      <c r="H2664" s="5" t="s">
        <v>25</v>
      </c>
      <c r="I2664" s="5" t="s">
        <v>25</v>
      </c>
      <c r="J2664" s="5" t="s">
        <v>25</v>
      </c>
      <c r="K2664" s="7" t="str">
        <f>VLOOKUP(A2664,Sheet2!$A$2:$R$3432,6,0)</f>
        <v>TVS Jupiter </v>
      </c>
      <c r="L2664" s="5" t="s">
        <v>25</v>
      </c>
      <c r="M2664" s="7" t="str">
        <f>VLOOKUP(A2664,Sheet2!$A$2:$R$3432,5,0)</f>
        <v>MH16CX5966</v>
      </c>
      <c r="N2664" s="5" t="s">
        <v>25</v>
      </c>
      <c r="O2664" s="5" t="s">
        <v>25</v>
      </c>
      <c r="P2664" s="6" t="s">
        <v>25</v>
      </c>
      <c r="Q2664" s="5" t="s">
        <v>25</v>
      </c>
      <c r="R2664" s="5" t="s">
        <v>25</v>
      </c>
      <c r="S2664" s="7" t="str">
        <f>VLOOKUP(A2664,Sheet2!$A$2:$R$3432,18,0)</f>
        <v/>
      </c>
      <c r="T2664" s="7" t="str">
        <f>VLOOKUP(A2664,Sheet2!$A$2:$R$3432,17,0)</f>
        <v/>
      </c>
    </row>
    <row r="2665" ht="15.75" customHeight="1">
      <c r="A2665" s="3" t="s">
        <v>2688</v>
      </c>
      <c r="B2665" s="4" t="str">
        <f>VLOOKUP(A2665,Sheet2!$A$2:$R$3432,2,0)</f>
        <v>2024-11-24 19:59:14</v>
      </c>
      <c r="C2665" s="5" t="s">
        <v>25</v>
      </c>
      <c r="D2665" s="6" t="s">
        <v>25</v>
      </c>
      <c r="E2665" s="7">
        <f>VLOOKUP(A2665,Sheet2!$A$2:$R$3432,4,0)</f>
        <v>7014012930</v>
      </c>
      <c r="F2665" s="7" t="str">
        <f>VLOOKUP(A2665,Sheet2!$A$2:$R$3432,3,0)</f>
        <v>PRAVIN GAWAI</v>
      </c>
      <c r="G2665" s="5" t="s">
        <v>25</v>
      </c>
      <c r="H2665" s="5" t="s">
        <v>25</v>
      </c>
      <c r="I2665" s="5" t="s">
        <v>25</v>
      </c>
      <c r="J2665" s="5" t="s">
        <v>25</v>
      </c>
      <c r="K2665" s="7" t="str">
        <f>VLOOKUP(A2665,Sheet2!$A$2:$R$3432,6,0)</f>
        <v>TVS Apache RTR 160</v>
      </c>
      <c r="L2665" s="5" t="s">
        <v>25</v>
      </c>
      <c r="M2665" s="7" t="str">
        <f>VLOOKUP(A2665,Sheet2!$A$2:$R$3432,5,0)</f>
        <v>MH30AR9789</v>
      </c>
      <c r="N2665" s="5" t="s">
        <v>25</v>
      </c>
      <c r="O2665" s="5" t="s">
        <v>25</v>
      </c>
      <c r="P2665" s="6" t="s">
        <v>25</v>
      </c>
      <c r="Q2665" s="5" t="s">
        <v>25</v>
      </c>
      <c r="R2665" s="5" t="s">
        <v>25</v>
      </c>
      <c r="S2665" s="5" t="str">
        <f>VLOOKUP(A2665,Sheet2!$A$2:$R$3432,18,0)</f>
        <v>OE4DF2765692</v>
      </c>
      <c r="T2665" s="7" t="str">
        <f>VLOOKUP(A2665,Sheet2!$A$2:$R$3432,17,0)</f>
        <v>MD634KE47F3D39974</v>
      </c>
    </row>
    <row r="2666" ht="15.75" customHeight="1">
      <c r="A2666" s="3" t="s">
        <v>2689</v>
      </c>
      <c r="B2666" s="4" t="str">
        <f>VLOOKUP(A2666,Sheet2!$A$2:$R$3432,2,0)</f>
        <v>2024-11-24 19:53:22</v>
      </c>
      <c r="C2666" s="5" t="s">
        <v>25</v>
      </c>
      <c r="D2666" s="6" t="s">
        <v>25</v>
      </c>
      <c r="E2666" s="7">
        <f>VLOOKUP(A2666,Sheet2!$A$2:$R$3432,4,0)</f>
        <v>9922323770</v>
      </c>
      <c r="F2666" s="7" t="str">
        <f>VLOOKUP(A2666,Sheet2!$A$2:$R$3432,3,0)</f>
        <v>Anjali</v>
      </c>
      <c r="G2666" s="5" t="s">
        <v>25</v>
      </c>
      <c r="H2666" s="5" t="s">
        <v>25</v>
      </c>
      <c r="I2666" s="5" t="s">
        <v>25</v>
      </c>
      <c r="J2666" s="5" t="s">
        <v>25</v>
      </c>
      <c r="K2666" s="7" t="str">
        <f>VLOOKUP(A2666,Sheet2!$A$2:$R$3432,6,0)</f>
        <v>Honda Activa 4G</v>
      </c>
      <c r="L2666" s="5" t="s">
        <v>25</v>
      </c>
      <c r="M2666" s="7" t="str">
        <f>VLOOKUP(A2666,Sheet2!$A$2:$R$3432,5,0)</f>
        <v>MG14GJ7075</v>
      </c>
      <c r="N2666" s="5" t="s">
        <v>25</v>
      </c>
      <c r="O2666" s="5" t="s">
        <v>25</v>
      </c>
      <c r="P2666" s="6" t="s">
        <v>25</v>
      </c>
      <c r="Q2666" s="5" t="s">
        <v>25</v>
      </c>
      <c r="R2666" s="5" t="s">
        <v>25</v>
      </c>
      <c r="S2666" s="7" t="str">
        <f>VLOOKUP(A2666,Sheet2!$A$2:$R$3432,18,0)</f>
        <v/>
      </c>
      <c r="T2666" s="7" t="str">
        <f>VLOOKUP(A2666,Sheet2!$A$2:$R$3432,17,0)</f>
        <v/>
      </c>
    </row>
    <row r="2667" ht="15.75" customHeight="1">
      <c r="A2667" s="3" t="s">
        <v>2690</v>
      </c>
      <c r="B2667" s="4" t="str">
        <f>VLOOKUP(A2667,Sheet2!$A$2:$R$3432,2,0)</f>
        <v>2024-11-24 20:00:14</v>
      </c>
      <c r="C2667" s="5" t="s">
        <v>25</v>
      </c>
      <c r="D2667" s="6" t="s">
        <v>25</v>
      </c>
      <c r="E2667" s="7">
        <f>VLOOKUP(A2667,Sheet2!$A$2:$R$3432,4,0)</f>
        <v>9158811122</v>
      </c>
      <c r="F2667" s="7" t="str">
        <f>VLOOKUP(A2667,Sheet2!$A$2:$R$3432,3,0)</f>
        <v>Varun Rajwade</v>
      </c>
      <c r="G2667" s="5" t="s">
        <v>25</v>
      </c>
      <c r="H2667" s="5" t="s">
        <v>25</v>
      </c>
      <c r="I2667" s="5" t="s">
        <v>25</v>
      </c>
      <c r="J2667" s="5" t="s">
        <v>25</v>
      </c>
      <c r="K2667" s="7" t="str">
        <f>VLOOKUP(A2667,Sheet2!$A$2:$R$3432,6,0)</f>
        <v>Hero CBZ Extreme</v>
      </c>
      <c r="L2667" s="5" t="s">
        <v>25</v>
      </c>
      <c r="M2667" s="7" t="str">
        <f>VLOOKUP(A2667,Sheet2!$A$2:$R$3432,5,0)</f>
        <v>MH12FQ9578</v>
      </c>
      <c r="N2667" s="5" t="s">
        <v>25</v>
      </c>
      <c r="O2667" s="5" t="s">
        <v>25</v>
      </c>
      <c r="P2667" s="6" t="s">
        <v>25</v>
      </c>
      <c r="Q2667" s="5" t="s">
        <v>25</v>
      </c>
      <c r="R2667" s="5" t="s">
        <v>25</v>
      </c>
      <c r="S2667" s="5" t="str">
        <f>VLOOKUP(A2667,Sheet2!$A$2:$R$3432,18,0)</f>
        <v>KC12EB9GH09502</v>
      </c>
      <c r="T2667" s="7" t="str">
        <f>VLOOKUP(A2667,Sheet2!$A$2:$R$3432,17,0)</f>
        <v>MBLKC12EC9GH09615</v>
      </c>
    </row>
    <row r="2668" ht="15.75" customHeight="1">
      <c r="A2668" s="3" t="s">
        <v>2691</v>
      </c>
      <c r="B2668" s="4" t="str">
        <f>VLOOKUP(A2668,Sheet2!$A$2:$R$3432,2,0)</f>
        <v>2024-11-24 19:54:14</v>
      </c>
      <c r="C2668" s="5" t="s">
        <v>25</v>
      </c>
      <c r="D2668" s="6" t="s">
        <v>25</v>
      </c>
      <c r="E2668" s="7">
        <f>VLOOKUP(A2668,Sheet2!$A$2:$R$3432,4,0)</f>
        <v>7020539843</v>
      </c>
      <c r="F2668" s="7" t="str">
        <f>VLOOKUP(A2668,Sheet2!$A$2:$R$3432,3,0)</f>
        <v>Pravin </v>
      </c>
      <c r="G2668" s="5" t="s">
        <v>25</v>
      </c>
      <c r="H2668" s="5" t="s">
        <v>25</v>
      </c>
      <c r="I2668" s="5" t="s">
        <v>25</v>
      </c>
      <c r="J2668" s="5" t="s">
        <v>25</v>
      </c>
      <c r="K2668" s="7" t="str">
        <f>VLOOKUP(A2668,Sheet2!$A$2:$R$3432,6,0)</f>
        <v>TVS Apache RTR 160 FI</v>
      </c>
      <c r="L2668" s="5" t="s">
        <v>25</v>
      </c>
      <c r="M2668" s="7" t="str">
        <f>VLOOKUP(A2668,Sheet2!$A$2:$R$3432,5,0)</f>
        <v>MH13DJ7843</v>
      </c>
      <c r="N2668" s="5" t="s">
        <v>25</v>
      </c>
      <c r="O2668" s="5" t="s">
        <v>25</v>
      </c>
      <c r="P2668" s="6" t="s">
        <v>25</v>
      </c>
      <c r="Q2668" s="5" t="s">
        <v>25</v>
      </c>
      <c r="R2668" s="5" t="s">
        <v>25</v>
      </c>
      <c r="S2668" s="7" t="str">
        <f>VLOOKUP(A2668,Sheet2!$A$2:$R$3432,18,0)</f>
        <v/>
      </c>
      <c r="T2668" s="7" t="str">
        <f>VLOOKUP(A2668,Sheet2!$A$2:$R$3432,17,0)</f>
        <v/>
      </c>
    </row>
    <row r="2669" ht="15.75" customHeight="1">
      <c r="A2669" s="3" t="s">
        <v>2692</v>
      </c>
      <c r="B2669" s="4" t="str">
        <f>VLOOKUP(A2669,Sheet2!$A$2:$R$3432,2,0)</f>
        <v>2024-11-24 19:55:12</v>
      </c>
      <c r="C2669" s="5" t="s">
        <v>25</v>
      </c>
      <c r="D2669" s="6" t="s">
        <v>25</v>
      </c>
      <c r="E2669" s="7">
        <f>VLOOKUP(A2669,Sheet2!$A$2:$R$3432,4,0)</f>
        <v>9922178826</v>
      </c>
      <c r="F2669" s="7" t="str">
        <f>VLOOKUP(A2669,Sheet2!$A$2:$R$3432,3,0)</f>
        <v>Jayesh Patel</v>
      </c>
      <c r="G2669" s="5" t="s">
        <v>25</v>
      </c>
      <c r="H2669" s="5" t="s">
        <v>25</v>
      </c>
      <c r="I2669" s="5" t="s">
        <v>25</v>
      </c>
      <c r="J2669" s="5" t="s">
        <v>25</v>
      </c>
      <c r="K2669" s="7" t="str">
        <f>VLOOKUP(A2669,Sheet2!$A$2:$R$3432,6,0)</f>
        <v>Bajaj Discover 100</v>
      </c>
      <c r="L2669" s="5" t="s">
        <v>25</v>
      </c>
      <c r="M2669" s="7" t="str">
        <f>VLOOKUP(A2669,Sheet2!$A$2:$R$3432,5,0)</f>
        <v>MH20DA2532</v>
      </c>
      <c r="N2669" s="5" t="s">
        <v>25</v>
      </c>
      <c r="O2669" s="5" t="s">
        <v>25</v>
      </c>
      <c r="P2669" s="6" t="s">
        <v>25</v>
      </c>
      <c r="Q2669" s="5" t="s">
        <v>25</v>
      </c>
      <c r="R2669" s="5" t="s">
        <v>25</v>
      </c>
      <c r="S2669" s="5" t="str">
        <f>VLOOKUP(A2669,Sheet2!$A$2:$R$3432,18,0)</f>
        <v>PAZWEK93888</v>
      </c>
      <c r="T2669" s="7" t="str">
        <f>VLOOKUP(A2669,Sheet2!$A$2:$R$3432,17,0)</f>
        <v>MDZA57AZZEWK18273</v>
      </c>
    </row>
    <row r="2670" ht="15.75" customHeight="1">
      <c r="A2670" s="3" t="s">
        <v>2693</v>
      </c>
      <c r="B2670" s="4" t="str">
        <f>VLOOKUP(A2670,Sheet2!$A$2:$R$3432,2,0)</f>
        <v>2024-11-24 19:57:04</v>
      </c>
      <c r="C2670" s="5" t="s">
        <v>25</v>
      </c>
      <c r="D2670" s="6" t="s">
        <v>25</v>
      </c>
      <c r="E2670" s="7">
        <f>VLOOKUP(A2670,Sheet2!$A$2:$R$3432,4,0)</f>
        <v>9823415525</v>
      </c>
      <c r="F2670" s="7" t="str">
        <f>VLOOKUP(A2670,Sheet2!$A$2:$R$3432,3,0)</f>
        <v>Sushil Jagtap</v>
      </c>
      <c r="G2670" s="5" t="s">
        <v>25</v>
      </c>
      <c r="H2670" s="5" t="s">
        <v>25</v>
      </c>
      <c r="I2670" s="5" t="s">
        <v>25</v>
      </c>
      <c r="J2670" s="5" t="s">
        <v>25</v>
      </c>
      <c r="K2670" s="7" t="str">
        <f>VLOOKUP(A2670,Sheet2!$A$2:$R$3432,6,0)</f>
        <v>Honda Activa 4G</v>
      </c>
      <c r="L2670" s="5" t="s">
        <v>25</v>
      </c>
      <c r="M2670" s="7" t="str">
        <f>VLOOKUP(A2670,Sheet2!$A$2:$R$3432,5,0)</f>
        <v>MH12PX7413</v>
      </c>
      <c r="N2670" s="5" t="s">
        <v>25</v>
      </c>
      <c r="O2670" s="5" t="s">
        <v>25</v>
      </c>
      <c r="P2670" s="6" t="s">
        <v>25</v>
      </c>
      <c r="Q2670" s="5" t="s">
        <v>25</v>
      </c>
      <c r="R2670" s="5" t="s">
        <v>25</v>
      </c>
      <c r="S2670" s="7" t="str">
        <f>VLOOKUP(A2670,Sheet2!$A$2:$R$3432,18,0)</f>
        <v/>
      </c>
      <c r="T2670" s="7" t="str">
        <f>VLOOKUP(A2670,Sheet2!$A$2:$R$3432,17,0)</f>
        <v>ME4JF50CMHU004684</v>
      </c>
    </row>
    <row r="2671" ht="15.75" customHeight="1">
      <c r="A2671" s="3" t="s">
        <v>2694</v>
      </c>
      <c r="B2671" s="4" t="str">
        <f>VLOOKUP(A2671,Sheet2!$A$2:$R$3432,2,0)</f>
        <v>2024-11-24 20:12:58</v>
      </c>
      <c r="C2671" s="5" t="s">
        <v>25</v>
      </c>
      <c r="D2671" s="6" t="s">
        <v>25</v>
      </c>
      <c r="E2671" s="7">
        <f>VLOOKUP(A2671,Sheet2!$A$2:$R$3432,4,0)</f>
        <v>9675005384</v>
      </c>
      <c r="F2671" s="7" t="str">
        <f>VLOOKUP(A2671,Sheet2!$A$2:$R$3432,3,0)</f>
        <v>Bhupendra </v>
      </c>
      <c r="G2671" s="5" t="s">
        <v>25</v>
      </c>
      <c r="H2671" s="5" t="s">
        <v>25</v>
      </c>
      <c r="I2671" s="5" t="s">
        <v>25</v>
      </c>
      <c r="J2671" s="5" t="s">
        <v>25</v>
      </c>
      <c r="K2671" s="7" t="str">
        <f>VLOOKUP(A2671,Sheet2!$A$2:$R$3432,6,0)</f>
        <v>Royal Enfield Bullet 350</v>
      </c>
      <c r="L2671" s="5" t="s">
        <v>25</v>
      </c>
      <c r="M2671" s="7" t="str">
        <f>VLOOKUP(A2671,Sheet2!$A$2:$R$3432,5,0)</f>
        <v>MH14HT6563</v>
      </c>
      <c r="N2671" s="5" t="s">
        <v>25</v>
      </c>
      <c r="O2671" s="5" t="s">
        <v>25</v>
      </c>
      <c r="P2671" s="6" t="s">
        <v>25</v>
      </c>
      <c r="Q2671" s="5" t="s">
        <v>25</v>
      </c>
      <c r="R2671" s="5" t="s">
        <v>25</v>
      </c>
      <c r="S2671" s="7" t="str">
        <f>VLOOKUP(A2671,Sheet2!$A$2:$R$3432,18,0)</f>
        <v/>
      </c>
      <c r="T2671" s="7" t="str">
        <f>VLOOKUP(A2671,Sheet2!$A$2:$R$3432,17,0)</f>
        <v/>
      </c>
    </row>
    <row r="2672" ht="15.75" customHeight="1">
      <c r="A2672" s="3" t="s">
        <v>2695</v>
      </c>
      <c r="B2672" s="4" t="str">
        <f>VLOOKUP(A2672,Sheet2!$A$2:$R$3432,2,0)</f>
        <v>2024-11-24 20:56:38</v>
      </c>
      <c r="C2672" s="5" t="s">
        <v>25</v>
      </c>
      <c r="D2672" s="6" t="s">
        <v>25</v>
      </c>
      <c r="E2672" s="7">
        <f>VLOOKUP(A2672,Sheet2!$A$2:$R$3432,4,0)</f>
        <v>9552352990</v>
      </c>
      <c r="F2672" s="7" t="str">
        <f>VLOOKUP(A2672,Sheet2!$A$2:$R$3432,3,0)</f>
        <v>DEEPESH</v>
      </c>
      <c r="G2672" s="5" t="s">
        <v>25</v>
      </c>
      <c r="H2672" s="5" t="s">
        <v>25</v>
      </c>
      <c r="I2672" s="5" t="s">
        <v>25</v>
      </c>
      <c r="J2672" s="5" t="s">
        <v>25</v>
      </c>
      <c r="K2672" s="7" t="str">
        <f>VLOOKUP(A2672,Sheet2!$A$2:$R$3432,6,0)</f>
        <v>TVS Jupiter </v>
      </c>
      <c r="L2672" s="5" t="s">
        <v>25</v>
      </c>
      <c r="M2672" s="7" t="str">
        <f>VLOOKUP(A2672,Sheet2!$A$2:$R$3432,5,0)</f>
        <v>MH11CA0090</v>
      </c>
      <c r="N2672" s="5" t="s">
        <v>25</v>
      </c>
      <c r="O2672" s="5" t="s">
        <v>25</v>
      </c>
      <c r="P2672" s="6" t="s">
        <v>25</v>
      </c>
      <c r="Q2672" s="5" t="s">
        <v>25</v>
      </c>
      <c r="R2672" s="5" t="s">
        <v>25</v>
      </c>
      <c r="S2672" s="5" t="str">
        <f>VLOOKUP(A2672,Sheet2!$A$2:$R$3432,18,0)</f>
        <v>BG4AG1804232</v>
      </c>
      <c r="T2672" s="7" t="str">
        <f>VLOOKUP(A2672,Sheet2!$A$2:$R$3432,17,0)</f>
        <v>MD626BG45G1A05108</v>
      </c>
    </row>
    <row r="2673" ht="15.75" customHeight="1">
      <c r="A2673" s="3" t="s">
        <v>2696</v>
      </c>
      <c r="B2673" s="4" t="str">
        <f>VLOOKUP(A2673,Sheet2!$A$2:$R$3432,2,0)</f>
        <v>2024-11-24 21:01:01</v>
      </c>
      <c r="C2673" s="5" t="s">
        <v>25</v>
      </c>
      <c r="D2673" s="6" t="s">
        <v>25</v>
      </c>
      <c r="E2673" s="7">
        <f>VLOOKUP(A2673,Sheet2!$A$2:$R$3432,4,0)</f>
        <v>8719994113</v>
      </c>
      <c r="F2673" s="7" t="str">
        <f>VLOOKUP(A2673,Sheet2!$A$2:$R$3432,3,0)</f>
        <v>Asyush</v>
      </c>
      <c r="G2673" s="5" t="s">
        <v>25</v>
      </c>
      <c r="H2673" s="5" t="s">
        <v>25</v>
      </c>
      <c r="I2673" s="5" t="s">
        <v>25</v>
      </c>
      <c r="J2673" s="5" t="s">
        <v>25</v>
      </c>
      <c r="K2673" s="7" t="str">
        <f>VLOOKUP(A2673,Sheet2!$A$2:$R$3432,6,0)</f>
        <v>Yamaha Fazer V3</v>
      </c>
      <c r="L2673" s="5" t="s">
        <v>25</v>
      </c>
      <c r="M2673" s="7" t="str">
        <f>VLOOKUP(A2673,Sheet2!$A$2:$R$3432,5,0)</f>
        <v>CG07BM6374</v>
      </c>
      <c r="N2673" s="5" t="s">
        <v>25</v>
      </c>
      <c r="O2673" s="5" t="s">
        <v>25</v>
      </c>
      <c r="P2673" s="6" t="s">
        <v>25</v>
      </c>
      <c r="Q2673" s="5" t="s">
        <v>25</v>
      </c>
      <c r="R2673" s="5" t="s">
        <v>25</v>
      </c>
      <c r="S2673" s="7" t="str">
        <f>VLOOKUP(A2673,Sheet2!$A$2:$R$3432,18,0)</f>
        <v/>
      </c>
      <c r="T2673" s="7" t="str">
        <f>VLOOKUP(A2673,Sheet2!$A$2:$R$3432,17,0)</f>
        <v/>
      </c>
    </row>
    <row r="2674" ht="15.75" customHeight="1">
      <c r="A2674" s="3" t="s">
        <v>2697</v>
      </c>
      <c r="B2674" s="4" t="str">
        <f>VLOOKUP(A2674,Sheet2!$A$2:$R$3432,2,0)</f>
        <v>2024-11-24 21:01:24</v>
      </c>
      <c r="C2674" s="5" t="s">
        <v>25</v>
      </c>
      <c r="D2674" s="6" t="s">
        <v>25</v>
      </c>
      <c r="E2674" s="7">
        <f>VLOOKUP(A2674,Sheet2!$A$2:$R$3432,4,0)</f>
        <v>9421019191</v>
      </c>
      <c r="F2674" s="7" t="str">
        <f>VLOOKUP(A2674,Sheet2!$A$2:$R$3432,3,0)</f>
        <v>Pranit</v>
      </c>
      <c r="G2674" s="5" t="s">
        <v>25</v>
      </c>
      <c r="H2674" s="5" t="s">
        <v>25</v>
      </c>
      <c r="I2674" s="5" t="s">
        <v>25</v>
      </c>
      <c r="J2674" s="5" t="s">
        <v>25</v>
      </c>
      <c r="K2674" s="7" t="str">
        <f>VLOOKUP(A2674,Sheet2!$A$2:$R$3432,6,0)</f>
        <v>Honda Hornet </v>
      </c>
      <c r="L2674" s="5" t="s">
        <v>25</v>
      </c>
      <c r="M2674" s="7" t="str">
        <f>VLOOKUP(A2674,Sheet2!$A$2:$R$3432,5,0)</f>
        <v>MH14FP7555</v>
      </c>
      <c r="N2674" s="5" t="s">
        <v>25</v>
      </c>
      <c r="O2674" s="5" t="s">
        <v>25</v>
      </c>
      <c r="P2674" s="6" t="s">
        <v>25</v>
      </c>
      <c r="Q2674" s="5" t="s">
        <v>25</v>
      </c>
      <c r="R2674" s="5" t="s">
        <v>25</v>
      </c>
      <c r="S2674" s="7" t="str">
        <f>VLOOKUP(A2674,Sheet2!$A$2:$R$3432,18,0)</f>
        <v/>
      </c>
      <c r="T2674" s="7" t="str">
        <f>VLOOKUP(A2674,Sheet2!$A$2:$R$3432,17,0)</f>
        <v/>
      </c>
    </row>
    <row r="2675" ht="15.75" customHeight="1">
      <c r="A2675" s="3" t="s">
        <v>2698</v>
      </c>
      <c r="B2675" s="4" t="str">
        <f>VLOOKUP(A2675,Sheet2!$A$2:$R$3432,2,0)</f>
        <v>2025-03-07 10:22:06</v>
      </c>
      <c r="C2675" s="5" t="s">
        <v>25</v>
      </c>
      <c r="D2675" s="6" t="s">
        <v>25</v>
      </c>
      <c r="E2675" s="7">
        <f>VLOOKUP(A2675,Sheet2!$A$2:$R$3432,4,0)</f>
        <v>9922300037</v>
      </c>
      <c r="F2675" s="7" t="str">
        <f>VLOOKUP(A2675,Sheet2!$A$2:$R$3432,3,0)</f>
        <v>Abhijeet </v>
      </c>
      <c r="G2675" s="5" t="s">
        <v>25</v>
      </c>
      <c r="H2675" s="5" t="s">
        <v>25</v>
      </c>
      <c r="I2675" s="5" t="s">
        <v>25</v>
      </c>
      <c r="J2675" s="5" t="s">
        <v>25</v>
      </c>
      <c r="K2675" s="7" t="str">
        <f>VLOOKUP(A2675,Sheet2!$A$2:$R$3432,6,0)</f>
        <v>Honda Activa Old</v>
      </c>
      <c r="L2675" s="5" t="s">
        <v>25</v>
      </c>
      <c r="M2675" s="7" t="str">
        <f>VLOOKUP(A2675,Sheet2!$A$2:$R$3432,5,0)</f>
        <v>MH30W3121</v>
      </c>
      <c r="N2675" s="5" t="s">
        <v>25</v>
      </c>
      <c r="O2675" s="5" t="s">
        <v>25</v>
      </c>
      <c r="P2675" s="6" t="s">
        <v>25</v>
      </c>
      <c r="Q2675" s="5" t="s">
        <v>25</v>
      </c>
      <c r="R2675" s="5" t="s">
        <v>25</v>
      </c>
      <c r="S2675" s="7" t="str">
        <f>VLOOKUP(A2675,Sheet2!$A$2:$R$3432,18,0)</f>
        <v/>
      </c>
      <c r="T2675" s="7" t="str">
        <f>VLOOKUP(A2675,Sheet2!$A$2:$R$3432,17,0)</f>
        <v/>
      </c>
    </row>
    <row r="2676" ht="15.75" customHeight="1">
      <c r="A2676" s="3" t="s">
        <v>2699</v>
      </c>
      <c r="B2676" s="4" t="str">
        <f>VLOOKUP(A2676,Sheet2!$A$2:$R$3432,2,0)</f>
        <v>2025-03-07 19:23:18</v>
      </c>
      <c r="C2676" s="5" t="s">
        <v>25</v>
      </c>
      <c r="D2676" s="6" t="s">
        <v>25</v>
      </c>
      <c r="E2676" s="7">
        <f>VLOOKUP(A2676,Sheet2!$A$2:$R$3432,4,0)</f>
        <v>8080317344</v>
      </c>
      <c r="F2676" s="7" t="str">
        <f>VLOOKUP(A2676,Sheet2!$A$2:$R$3432,3,0)</f>
        <v>ROHAN JANGLE</v>
      </c>
      <c r="G2676" s="5" t="s">
        <v>25</v>
      </c>
      <c r="H2676" s="5" t="s">
        <v>25</v>
      </c>
      <c r="I2676" s="5" t="s">
        <v>25</v>
      </c>
      <c r="J2676" s="5" t="s">
        <v>25</v>
      </c>
      <c r="K2676" s="7" t="str">
        <f>VLOOKUP(A2676,Sheet2!$A$2:$R$3432,6,0)</f>
        <v>Hero Deluxe HF</v>
      </c>
      <c r="L2676" s="5" t="s">
        <v>25</v>
      </c>
      <c r="M2676" s="7" t="str">
        <f>VLOOKUP(A2676,Sheet2!$A$2:$R$3432,5,0)</f>
        <v>MH15GT7782</v>
      </c>
      <c r="N2676" s="5" t="s">
        <v>25</v>
      </c>
      <c r="O2676" s="5" t="s">
        <v>25</v>
      </c>
      <c r="P2676" s="6" t="s">
        <v>25</v>
      </c>
      <c r="Q2676" s="5" t="s">
        <v>25</v>
      </c>
      <c r="R2676" s="5" t="s">
        <v>25</v>
      </c>
      <c r="S2676" s="5" t="str">
        <f>VLOOKUP(A2676,Sheet2!$A$2:$R$3432,18,0)</f>
        <v>HA11EPK5B04663</v>
      </c>
      <c r="T2676" s="7" t="str">
        <f>VLOOKUP(A2676,Sheet2!$A$2:$R$3432,17,0)</f>
        <v>MBLHAW068KSB03001</v>
      </c>
    </row>
    <row r="2677" ht="15.75" customHeight="1">
      <c r="A2677" s="3" t="s">
        <v>2700</v>
      </c>
      <c r="B2677" s="4" t="str">
        <f>VLOOKUP(A2677,Sheet2!$A$2:$R$3432,2,0)</f>
        <v>2025-03-07 18:20:24</v>
      </c>
      <c r="C2677" s="5" t="s">
        <v>25</v>
      </c>
      <c r="D2677" s="6" t="s">
        <v>25</v>
      </c>
      <c r="E2677" s="7">
        <f>VLOOKUP(A2677,Sheet2!$A$2:$R$3432,4,0)</f>
        <v>9607079877</v>
      </c>
      <c r="F2677" s="7" t="str">
        <f>VLOOKUP(A2677,Sheet2!$A$2:$R$3432,3,0)</f>
        <v>Alay</v>
      </c>
      <c r="G2677" s="5" t="s">
        <v>25</v>
      </c>
      <c r="H2677" s="5" t="s">
        <v>25</v>
      </c>
      <c r="I2677" s="5" t="s">
        <v>25</v>
      </c>
      <c r="J2677" s="5" t="s">
        <v>25</v>
      </c>
      <c r="K2677" s="7" t="str">
        <f>VLOOKUP(A2677,Sheet2!$A$2:$R$3432,6,0)</f>
        <v>TVS Jupiter </v>
      </c>
      <c r="L2677" s="5" t="s">
        <v>25</v>
      </c>
      <c r="M2677" s="7" t="str">
        <f>VLOOKUP(A2677,Sheet2!$A$2:$R$3432,5,0)</f>
        <v>MH14FH4303</v>
      </c>
      <c r="N2677" s="5" t="s">
        <v>25</v>
      </c>
      <c r="O2677" s="5" t="s">
        <v>25</v>
      </c>
      <c r="P2677" s="6" t="s">
        <v>25</v>
      </c>
      <c r="Q2677" s="5" t="s">
        <v>25</v>
      </c>
      <c r="R2677" s="5" t="s">
        <v>25</v>
      </c>
      <c r="S2677" s="7" t="str">
        <f>VLOOKUP(A2677,Sheet2!$A$2:$R$3432,18,0)</f>
        <v/>
      </c>
      <c r="T2677" s="7" t="str">
        <f>VLOOKUP(A2677,Sheet2!$A$2:$R$3432,17,0)</f>
        <v/>
      </c>
    </row>
    <row r="2678" ht="15.75" customHeight="1">
      <c r="A2678" s="3" t="s">
        <v>2701</v>
      </c>
      <c r="B2678" s="4" t="str">
        <f>VLOOKUP(A2678,Sheet2!$A$2:$R$3432,2,0)</f>
        <v>2025-03-07 17:56:04</v>
      </c>
      <c r="C2678" s="5" t="s">
        <v>25</v>
      </c>
      <c r="D2678" s="6" t="s">
        <v>25</v>
      </c>
      <c r="E2678" s="7">
        <f>VLOOKUP(A2678,Sheet2!$A$2:$R$3432,4,0)</f>
        <v>7069956654</v>
      </c>
      <c r="F2678" s="7" t="str">
        <f>VLOOKUP(A2678,Sheet2!$A$2:$R$3432,3,0)</f>
        <v>Panjab Sindh Dairy</v>
      </c>
      <c r="G2678" s="5" t="s">
        <v>25</v>
      </c>
      <c r="H2678" s="5" t="s">
        <v>25</v>
      </c>
      <c r="I2678" s="5" t="s">
        <v>25</v>
      </c>
      <c r="J2678" s="5" t="s">
        <v>25</v>
      </c>
      <c r="K2678" s="7" t="str">
        <f>VLOOKUP(A2678,Sheet2!$A$2:$R$3432,6,0)</f>
        <v>TVS Jupiter </v>
      </c>
      <c r="L2678" s="5" t="s">
        <v>25</v>
      </c>
      <c r="M2678" s="7" t="str">
        <f>VLOOKUP(A2678,Sheet2!$A$2:$R$3432,5,0)</f>
        <v>GJ15DG5796</v>
      </c>
      <c r="N2678" s="5" t="s">
        <v>25</v>
      </c>
      <c r="O2678" s="5" t="s">
        <v>25</v>
      </c>
      <c r="P2678" s="6" t="s">
        <v>25</v>
      </c>
      <c r="Q2678" s="5" t="s">
        <v>25</v>
      </c>
      <c r="R2678" s="5" t="s">
        <v>25</v>
      </c>
      <c r="S2678" s="5" t="str">
        <f>VLOOKUP(A2678,Sheet2!$A$2:$R$3432,18,0)</f>
        <v>EG4EK1X27873</v>
      </c>
      <c r="T2678" s="7" t="str">
        <f>VLOOKUP(A2678,Sheet2!$A$2:$R$3432,17,0)</f>
        <v>MD626EG47K1E41713</v>
      </c>
    </row>
    <row r="2679" ht="15.75" customHeight="1">
      <c r="A2679" s="3" t="s">
        <v>2702</v>
      </c>
      <c r="B2679" s="4" t="str">
        <f>VLOOKUP(A2679,Sheet2!$A$2:$R$3432,2,0)</f>
        <v>2025-03-07 17:56:26</v>
      </c>
      <c r="C2679" s="5" t="s">
        <v>25</v>
      </c>
      <c r="D2679" s="6" t="s">
        <v>25</v>
      </c>
      <c r="E2679" s="7">
        <f>VLOOKUP(A2679,Sheet2!$A$2:$R$3432,4,0)</f>
        <v>9112115161</v>
      </c>
      <c r="F2679" s="7" t="str">
        <f>VLOOKUP(A2679,Sheet2!$A$2:$R$3432,3,0)</f>
        <v>RAVI PAWAR</v>
      </c>
      <c r="G2679" s="5" t="s">
        <v>25</v>
      </c>
      <c r="H2679" s="5" t="s">
        <v>25</v>
      </c>
      <c r="I2679" s="5" t="s">
        <v>25</v>
      </c>
      <c r="J2679" s="5" t="s">
        <v>25</v>
      </c>
      <c r="K2679" s="7" t="str">
        <f>VLOOKUP(A2679,Sheet2!$A$2:$R$3432,6,0)</f>
        <v>Honda Activa 5G</v>
      </c>
      <c r="L2679" s="5" t="s">
        <v>25</v>
      </c>
      <c r="M2679" s="7" t="str">
        <f>VLOOKUP(A2679,Sheet2!$A$2:$R$3432,5,0)</f>
        <v>MH14HJ8152</v>
      </c>
      <c r="N2679" s="5" t="s">
        <v>25</v>
      </c>
      <c r="O2679" s="5" t="s">
        <v>25</v>
      </c>
      <c r="P2679" s="6" t="s">
        <v>25</v>
      </c>
      <c r="Q2679" s="5" t="s">
        <v>25</v>
      </c>
      <c r="R2679" s="5" t="s">
        <v>25</v>
      </c>
      <c r="S2679" s="5" t="str">
        <f>VLOOKUP(A2679,Sheet2!$A$2:$R$3432,18,0)</f>
        <v>JF50E07905010</v>
      </c>
      <c r="T2679" s="7" t="str">
        <f>VLOOKUP(A2679,Sheet2!$A$2:$R$3432,17,0)</f>
        <v>ME4JE50ALJU404989</v>
      </c>
    </row>
    <row r="2680" ht="15.75" customHeight="1">
      <c r="A2680" s="3" t="s">
        <v>2703</v>
      </c>
      <c r="B2680" s="4" t="str">
        <f>VLOOKUP(A2680,Sheet2!$A$2:$R$3432,2,0)</f>
        <v>2025-03-07 17:57:13</v>
      </c>
      <c r="C2680" s="5" t="s">
        <v>25</v>
      </c>
      <c r="D2680" s="6" t="s">
        <v>25</v>
      </c>
      <c r="E2680" s="7">
        <f>VLOOKUP(A2680,Sheet2!$A$2:$R$3432,4,0)</f>
        <v>9730197115</v>
      </c>
      <c r="F2680" s="7" t="str">
        <f>VLOOKUP(A2680,Sheet2!$A$2:$R$3432,3,0)</f>
        <v>VISHAL DANGARE</v>
      </c>
      <c r="G2680" s="5" t="s">
        <v>25</v>
      </c>
      <c r="H2680" s="5" t="s">
        <v>25</v>
      </c>
      <c r="I2680" s="5" t="s">
        <v>25</v>
      </c>
      <c r="J2680" s="5" t="s">
        <v>25</v>
      </c>
      <c r="K2680" s="7" t="str">
        <f>VLOOKUP(A2680,Sheet2!$A$2:$R$3432,6,0)</f>
        <v>TVS Jupiter BS6</v>
      </c>
      <c r="L2680" s="5" t="s">
        <v>25</v>
      </c>
      <c r="M2680" s="7" t="str">
        <f>VLOOKUP(A2680,Sheet2!$A$2:$R$3432,5,0)</f>
        <v>MH14JN7864</v>
      </c>
      <c r="N2680" s="5" t="s">
        <v>25</v>
      </c>
      <c r="O2680" s="5" t="s">
        <v>25</v>
      </c>
      <c r="P2680" s="6" t="s">
        <v>25</v>
      </c>
      <c r="Q2680" s="5" t="s">
        <v>25</v>
      </c>
      <c r="R2680" s="5" t="s">
        <v>25</v>
      </c>
      <c r="S2680" s="5" t="str">
        <f>VLOOKUP(A2680,Sheet2!$A$2:$R$3432,18,0)</f>
        <v>DG5BM14312</v>
      </c>
      <c r="T2680" s="7" t="str">
        <f>VLOOKUP(A2680,Sheet2!$A$2:$R$3432,17,0)</f>
        <v>MD626CG52M1B34269</v>
      </c>
    </row>
    <row r="2681" ht="15.75" customHeight="1">
      <c r="A2681" s="3" t="s">
        <v>2704</v>
      </c>
      <c r="B2681" s="4" t="str">
        <f>VLOOKUP(A2681,Sheet2!$A$2:$R$3432,2,0)</f>
        <v>2025-03-07 18:21:21</v>
      </c>
      <c r="C2681" s="5" t="s">
        <v>25</v>
      </c>
      <c r="D2681" s="6" t="s">
        <v>25</v>
      </c>
      <c r="E2681" s="7">
        <f>VLOOKUP(A2681,Sheet2!$A$2:$R$3432,4,0)</f>
        <v>9920819820</v>
      </c>
      <c r="F2681" s="7" t="str">
        <f>VLOOKUP(A2681,Sheet2!$A$2:$R$3432,3,0)</f>
        <v>RAJU</v>
      </c>
      <c r="G2681" s="5" t="s">
        <v>25</v>
      </c>
      <c r="H2681" s="5" t="s">
        <v>25</v>
      </c>
      <c r="I2681" s="5" t="s">
        <v>25</v>
      </c>
      <c r="J2681" s="5" t="s">
        <v>25</v>
      </c>
      <c r="K2681" s="7" t="str">
        <f>VLOOKUP(A2681,Sheet2!$A$2:$R$3432,6,0)</f>
        <v>Honda Activa 5G</v>
      </c>
      <c r="L2681" s="5" t="s">
        <v>25</v>
      </c>
      <c r="M2681" s="7" t="str">
        <f>VLOOKUP(A2681,Sheet2!$A$2:$R$3432,5,0)</f>
        <v>MH14GX2934</v>
      </c>
      <c r="N2681" s="5" t="s">
        <v>25</v>
      </c>
      <c r="O2681" s="5" t="s">
        <v>25</v>
      </c>
      <c r="P2681" s="6" t="s">
        <v>25</v>
      </c>
      <c r="Q2681" s="5" t="s">
        <v>25</v>
      </c>
      <c r="R2681" s="5" t="s">
        <v>25</v>
      </c>
      <c r="S2681" s="5" t="str">
        <f>VLOOKUP(A2681,Sheet2!$A$2:$R$3432,18,0)</f>
        <v>JF50EU7045621</v>
      </c>
      <c r="T2681" s="7" t="str">
        <f>VLOOKUP(A2681,Sheet2!$A$2:$R$3432,17,0)</f>
        <v>XXXXX</v>
      </c>
    </row>
    <row r="2682" ht="15.75" customHeight="1">
      <c r="A2682" s="3" t="s">
        <v>2705</v>
      </c>
      <c r="B2682" s="4" t="str">
        <f>VLOOKUP(A2682,Sheet2!$A$2:$R$3432,2,0)</f>
        <v>2025-03-07 19:22:38</v>
      </c>
      <c r="C2682" s="5" t="s">
        <v>25</v>
      </c>
      <c r="D2682" s="6" t="s">
        <v>25</v>
      </c>
      <c r="E2682" s="7">
        <f>VLOOKUP(A2682,Sheet2!$A$2:$R$3432,4,0)</f>
        <v>9372298993</v>
      </c>
      <c r="F2682" s="7" t="str">
        <f>VLOOKUP(A2682,Sheet2!$A$2:$R$3432,3,0)</f>
        <v>SURAJ TAWARE</v>
      </c>
      <c r="G2682" s="5" t="s">
        <v>25</v>
      </c>
      <c r="H2682" s="5" t="s">
        <v>25</v>
      </c>
      <c r="I2682" s="5" t="s">
        <v>25</v>
      </c>
      <c r="J2682" s="5" t="s">
        <v>25</v>
      </c>
      <c r="K2682" s="7" t="str">
        <f>VLOOKUP(A2682,Sheet2!$A$2:$R$3432,6,0)</f>
        <v>Honda Unicorn 150</v>
      </c>
      <c r="L2682" s="5" t="s">
        <v>25</v>
      </c>
      <c r="M2682" s="7" t="str">
        <f>VLOOKUP(A2682,Sheet2!$A$2:$R$3432,5,0)</f>
        <v>MH14LF8123</v>
      </c>
      <c r="N2682" s="5" t="s">
        <v>25</v>
      </c>
      <c r="O2682" s="5" t="s">
        <v>25</v>
      </c>
      <c r="P2682" s="6" t="s">
        <v>25</v>
      </c>
      <c r="Q2682" s="5" t="s">
        <v>25</v>
      </c>
      <c r="R2682" s="5" t="s">
        <v>25</v>
      </c>
      <c r="S2682" s="5" t="str">
        <f>VLOOKUP(A2682,Sheet2!$A$2:$R$3432,18,0)</f>
        <v>KC40EA3044021</v>
      </c>
      <c r="T2682" s="7" t="str">
        <f>VLOOKUP(A2682,Sheet2!$A$2:$R$3432,17,0)</f>
        <v>ME4KC404HPA044432</v>
      </c>
    </row>
    <row r="2683" ht="15.75" customHeight="1">
      <c r="A2683" s="3" t="s">
        <v>2706</v>
      </c>
      <c r="B2683" s="4" t="str">
        <f>VLOOKUP(A2683,Sheet2!$A$2:$R$3432,2,0)</f>
        <v>2025-03-06 20:30:31</v>
      </c>
      <c r="C2683" s="5" t="s">
        <v>25</v>
      </c>
      <c r="D2683" s="6" t="s">
        <v>25</v>
      </c>
      <c r="E2683" s="7">
        <f>VLOOKUP(A2683,Sheet2!$A$2:$R$3432,4,0)</f>
        <v>8605664036</v>
      </c>
      <c r="F2683" s="7" t="str">
        <f>VLOOKUP(A2683,Sheet2!$A$2:$R$3432,3,0)</f>
        <v>VINITA</v>
      </c>
      <c r="G2683" s="5" t="s">
        <v>25</v>
      </c>
      <c r="H2683" s="5" t="s">
        <v>25</v>
      </c>
      <c r="I2683" s="5" t="s">
        <v>25</v>
      </c>
      <c r="J2683" s="5" t="s">
        <v>25</v>
      </c>
      <c r="K2683" s="7" t="str">
        <f>VLOOKUP(A2683,Sheet2!$A$2:$R$3432,6,0)</f>
        <v>Honda Activa 110</v>
      </c>
      <c r="L2683" s="5" t="s">
        <v>25</v>
      </c>
      <c r="M2683" s="7" t="str">
        <f>VLOOKUP(A2683,Sheet2!$A$2:$R$3432,5,0)</f>
        <v>MH14CZ8327</v>
      </c>
      <c r="N2683" s="5" t="s">
        <v>25</v>
      </c>
      <c r="O2683" s="5" t="s">
        <v>25</v>
      </c>
      <c r="P2683" s="6" t="s">
        <v>25</v>
      </c>
      <c r="Q2683" s="5" t="s">
        <v>25</v>
      </c>
      <c r="R2683" s="5" t="s">
        <v>25</v>
      </c>
      <c r="S2683" s="5" t="str">
        <f>VLOOKUP(A2683,Sheet2!$A$2:$R$3432,18,0)</f>
        <v>JC44E5023446</v>
      </c>
      <c r="T2683" s="7" t="str">
        <f>VLOOKUP(A2683,Sheet2!$A$2:$R$3432,17,0)</f>
        <v>ME4JCM5HB7023207</v>
      </c>
    </row>
    <row r="2684" ht="15.75" customHeight="1">
      <c r="A2684" s="3" t="s">
        <v>2707</v>
      </c>
      <c r="B2684" s="4" t="str">
        <f>VLOOKUP(A2684,Sheet2!$A$2:$R$3432,2,0)</f>
        <v>2025-03-06 19:53:31</v>
      </c>
      <c r="C2684" s="5" t="s">
        <v>25</v>
      </c>
      <c r="D2684" s="6" t="s">
        <v>25</v>
      </c>
      <c r="E2684" s="7">
        <f>VLOOKUP(A2684,Sheet2!$A$2:$R$3432,4,0)</f>
        <v>9766188212</v>
      </c>
      <c r="F2684" s="7" t="str">
        <f>VLOOKUP(A2684,Sheet2!$A$2:$R$3432,3,0)</f>
        <v>Rohit</v>
      </c>
      <c r="G2684" s="5" t="s">
        <v>25</v>
      </c>
      <c r="H2684" s="5" t="s">
        <v>25</v>
      </c>
      <c r="I2684" s="5" t="s">
        <v>25</v>
      </c>
      <c r="J2684" s="5" t="s">
        <v>25</v>
      </c>
      <c r="K2684" s="7" t="str">
        <f>VLOOKUP(A2684,Sheet2!$A$2:$R$3432,6,0)</f>
        <v>Honda Activa 3G</v>
      </c>
      <c r="L2684" s="5" t="s">
        <v>25</v>
      </c>
      <c r="M2684" s="7" t="str">
        <f>VLOOKUP(A2684,Sheet2!$A$2:$R$3432,5,0)</f>
        <v>MH14FF0508</v>
      </c>
      <c r="N2684" s="5" t="s">
        <v>25</v>
      </c>
      <c r="O2684" s="5" t="s">
        <v>25</v>
      </c>
      <c r="P2684" s="6" t="s">
        <v>25</v>
      </c>
      <c r="Q2684" s="5" t="s">
        <v>25</v>
      </c>
      <c r="R2684" s="5" t="s">
        <v>25</v>
      </c>
      <c r="S2684" s="5" t="str">
        <f>VLOOKUP(A2684,Sheet2!$A$2:$R$3432,18,0)</f>
        <v>JF50E7234436</v>
      </c>
      <c r="T2684" s="7" t="str">
        <f>VLOOKUP(A2684,Sheet2!$A$2:$R$3432,17,0)</f>
        <v>ME4JF504JF7344</v>
      </c>
    </row>
    <row r="2685" ht="15.75" customHeight="1">
      <c r="A2685" s="3" t="s">
        <v>2708</v>
      </c>
      <c r="B2685" s="4" t="str">
        <f>VLOOKUP(A2685,Sheet2!$A$2:$R$3432,2,0)</f>
        <v>2025-03-06 19:54:45</v>
      </c>
      <c r="C2685" s="5" t="s">
        <v>25</v>
      </c>
      <c r="D2685" s="6" t="s">
        <v>25</v>
      </c>
      <c r="E2685" s="7">
        <f>VLOOKUP(A2685,Sheet2!$A$2:$R$3432,4,0)</f>
        <v>9545465165</v>
      </c>
      <c r="F2685" s="7" t="str">
        <f>VLOOKUP(A2685,Sheet2!$A$2:$R$3432,3,0)</f>
        <v>Yadav</v>
      </c>
      <c r="G2685" s="5" t="s">
        <v>25</v>
      </c>
      <c r="H2685" s="5" t="s">
        <v>25</v>
      </c>
      <c r="I2685" s="5" t="s">
        <v>25</v>
      </c>
      <c r="J2685" s="5" t="s">
        <v>25</v>
      </c>
      <c r="K2685" s="7" t="str">
        <f>VLOOKUP(A2685,Sheet2!$A$2:$R$3432,6,0)</f>
        <v>Honda Activa 110</v>
      </c>
      <c r="L2685" s="5" t="s">
        <v>25</v>
      </c>
      <c r="M2685" s="7" t="str">
        <f>VLOOKUP(A2685,Sheet2!$A$2:$R$3432,5,0)</f>
        <v>MH14CE5711</v>
      </c>
      <c r="N2685" s="5" t="s">
        <v>25</v>
      </c>
      <c r="O2685" s="5" t="s">
        <v>25</v>
      </c>
      <c r="P2685" s="6" t="s">
        <v>25</v>
      </c>
      <c r="Q2685" s="5" t="s">
        <v>25</v>
      </c>
      <c r="R2685" s="5" t="s">
        <v>25</v>
      </c>
      <c r="S2685" s="7" t="str">
        <f>VLOOKUP(A2685,Sheet2!$A$2:$R$3432,18,0)</f>
        <v/>
      </c>
      <c r="T2685" s="7" t="str">
        <f>VLOOKUP(A2685,Sheet2!$A$2:$R$3432,17,0)</f>
        <v>RUSTY FRAME</v>
      </c>
    </row>
    <row r="2686" ht="15.75" customHeight="1">
      <c r="A2686" s="3" t="s">
        <v>2709</v>
      </c>
      <c r="B2686" s="4" t="str">
        <f>VLOOKUP(A2686,Sheet2!$A$2:$R$3432,2,0)</f>
        <v>2025-03-06 19:55:46</v>
      </c>
      <c r="C2686" s="5" t="s">
        <v>25</v>
      </c>
      <c r="D2686" s="6" t="s">
        <v>25</v>
      </c>
      <c r="E2686" s="7">
        <f>VLOOKUP(A2686,Sheet2!$A$2:$R$3432,4,0)</f>
        <v>9766188212</v>
      </c>
      <c r="F2686" s="7" t="str">
        <f>VLOOKUP(A2686,Sheet2!$A$2:$R$3432,3,0)</f>
        <v>ROHIT</v>
      </c>
      <c r="G2686" s="5" t="s">
        <v>25</v>
      </c>
      <c r="H2686" s="5" t="s">
        <v>25</v>
      </c>
      <c r="I2686" s="5" t="s">
        <v>25</v>
      </c>
      <c r="J2686" s="5" t="s">
        <v>25</v>
      </c>
      <c r="K2686" s="7" t="str">
        <f>VLOOKUP(A2686,Sheet2!$A$2:$R$3432,6,0)</f>
        <v>Honda Activa 3G</v>
      </c>
      <c r="L2686" s="5" t="s">
        <v>25</v>
      </c>
      <c r="M2686" s="7" t="str">
        <f>VLOOKUP(A2686,Sheet2!$A$2:$R$3432,5,0)</f>
        <v>MH14FF0508</v>
      </c>
      <c r="N2686" s="5" t="s">
        <v>25</v>
      </c>
      <c r="O2686" s="5" t="s">
        <v>25</v>
      </c>
      <c r="P2686" s="6" t="s">
        <v>25</v>
      </c>
      <c r="Q2686" s="5" t="s">
        <v>25</v>
      </c>
      <c r="R2686" s="5" t="s">
        <v>25</v>
      </c>
      <c r="S2686" s="5" t="str">
        <f>VLOOKUP(A2686,Sheet2!$A$2:$R$3432,18,0)</f>
        <v>JF50E7234436</v>
      </c>
      <c r="T2686" s="7" t="str">
        <f>VLOOKUP(A2686,Sheet2!$A$2:$R$3432,17,0)</f>
        <v>ME4JF504JF7344</v>
      </c>
    </row>
    <row r="2687" ht="15.75" customHeight="1">
      <c r="A2687" s="3" t="s">
        <v>2710</v>
      </c>
      <c r="B2687" s="4" t="str">
        <f>VLOOKUP(A2687,Sheet2!$A$2:$R$3432,2,0)</f>
        <v>2025-03-06 19:56:26</v>
      </c>
      <c r="C2687" s="5" t="s">
        <v>25</v>
      </c>
      <c r="D2687" s="6" t="s">
        <v>25</v>
      </c>
      <c r="E2687" s="7">
        <f>VLOOKUP(A2687,Sheet2!$A$2:$R$3432,4,0)</f>
        <v>7774079947</v>
      </c>
      <c r="F2687" s="7" t="str">
        <f>VLOOKUP(A2687,Sheet2!$A$2:$R$3432,3,0)</f>
        <v>Nadeem</v>
      </c>
      <c r="G2687" s="5" t="s">
        <v>25</v>
      </c>
      <c r="H2687" s="5" t="s">
        <v>25</v>
      </c>
      <c r="I2687" s="5" t="s">
        <v>25</v>
      </c>
      <c r="J2687" s="5" t="s">
        <v>25</v>
      </c>
      <c r="K2687" s="7" t="str">
        <f>VLOOKUP(A2687,Sheet2!$A$2:$R$3432,6,0)</f>
        <v>Hero Deluxe CD</v>
      </c>
      <c r="L2687" s="5" t="s">
        <v>25</v>
      </c>
      <c r="M2687" s="7" t="str">
        <f>VLOOKUP(A2687,Sheet2!$A$2:$R$3432,5,0)</f>
        <v>MH12EP8078</v>
      </c>
      <c r="N2687" s="5" t="s">
        <v>25</v>
      </c>
      <c r="O2687" s="5" t="s">
        <v>25</v>
      </c>
      <c r="P2687" s="6" t="s">
        <v>25</v>
      </c>
      <c r="Q2687" s="5" t="s">
        <v>25</v>
      </c>
      <c r="R2687" s="5" t="s">
        <v>25</v>
      </c>
      <c r="S2687" s="7" t="str">
        <f>VLOOKUP(A2687,Sheet2!$A$2:$R$3432,18,0)</f>
        <v/>
      </c>
      <c r="T2687" s="7" t="str">
        <f>VLOOKUP(A2687,Sheet2!$A$2:$R$3432,17,0)</f>
        <v/>
      </c>
    </row>
    <row r="2688" ht="15.75" customHeight="1">
      <c r="A2688" s="3" t="s">
        <v>2711</v>
      </c>
      <c r="B2688" s="4" t="str">
        <f>VLOOKUP(A2688,Sheet2!$A$2:$R$3432,2,0)</f>
        <v>2025-03-06 19:57:06</v>
      </c>
      <c r="C2688" s="5" t="s">
        <v>25</v>
      </c>
      <c r="D2688" s="6" t="s">
        <v>25</v>
      </c>
      <c r="E2688" s="7">
        <f>VLOOKUP(A2688,Sheet2!$A$2:$R$3432,4,0)</f>
        <v>9421081300</v>
      </c>
      <c r="F2688" s="7" t="str">
        <f>VLOOKUP(A2688,Sheet2!$A$2:$R$3432,3,0)</f>
        <v>DARSHAN BHANSALI</v>
      </c>
      <c r="G2688" s="5" t="s">
        <v>25</v>
      </c>
      <c r="H2688" s="5" t="s">
        <v>25</v>
      </c>
      <c r="I2688" s="5" t="s">
        <v>25</v>
      </c>
      <c r="J2688" s="5" t="s">
        <v>25</v>
      </c>
      <c r="K2688" s="7" t="str">
        <f>VLOOKUP(A2688,Sheet2!$A$2:$R$3432,6,0)</f>
        <v>Honda Activa 110</v>
      </c>
      <c r="L2688" s="5" t="s">
        <v>25</v>
      </c>
      <c r="M2688" s="7" t="str">
        <f>VLOOKUP(A2688,Sheet2!$A$2:$R$3432,5,0)</f>
        <v>MH14DL5900</v>
      </c>
      <c r="N2688" s="5" t="s">
        <v>25</v>
      </c>
      <c r="O2688" s="5" t="s">
        <v>25</v>
      </c>
      <c r="P2688" s="6" t="s">
        <v>25</v>
      </c>
      <c r="Q2688" s="5" t="s">
        <v>25</v>
      </c>
      <c r="R2688" s="5" t="s">
        <v>25</v>
      </c>
      <c r="S2688" s="5" t="str">
        <f>VLOOKUP(A2688,Sheet2!$A$2:$R$3432,18,0)</f>
        <v>JC44E2069010</v>
      </c>
      <c r="T2688" s="7" t="str">
        <f>VLOOKUP(A2688,Sheet2!$A$2:$R$3432,17,0)</f>
        <v>XXX</v>
      </c>
    </row>
    <row r="2689" ht="15.75" customHeight="1">
      <c r="A2689" s="3" t="s">
        <v>2712</v>
      </c>
      <c r="B2689" s="4" t="str">
        <f>VLOOKUP(A2689,Sheet2!$A$2:$R$3432,2,0)</f>
        <v>2025-03-06 19:57:38</v>
      </c>
      <c r="C2689" s="5" t="s">
        <v>25</v>
      </c>
      <c r="D2689" s="6" t="s">
        <v>25</v>
      </c>
      <c r="E2689" s="7">
        <f>VLOOKUP(A2689,Sheet2!$A$2:$R$3432,4,0)</f>
        <v>9545157573</v>
      </c>
      <c r="F2689" s="7" t="str">
        <f>VLOOKUP(A2689,Sheet2!$A$2:$R$3432,3,0)</f>
        <v>Suyash Gaikwad </v>
      </c>
      <c r="G2689" s="5" t="s">
        <v>25</v>
      </c>
      <c r="H2689" s="5" t="s">
        <v>25</v>
      </c>
      <c r="I2689" s="5" t="s">
        <v>25</v>
      </c>
      <c r="J2689" s="5" t="s">
        <v>25</v>
      </c>
      <c r="K2689" s="7" t="str">
        <f>VLOOKUP(A2689,Sheet2!$A$2:$R$3432,6,0)</f>
        <v>Royal Enfield Bullet 350</v>
      </c>
      <c r="L2689" s="5" t="s">
        <v>25</v>
      </c>
      <c r="M2689" s="7" t="str">
        <f>VLOOKUP(A2689,Sheet2!$A$2:$R$3432,5,0)</f>
        <v>MH14FE6498</v>
      </c>
      <c r="N2689" s="5" t="s">
        <v>25</v>
      </c>
      <c r="O2689" s="5" t="s">
        <v>25</v>
      </c>
      <c r="P2689" s="6" t="s">
        <v>25</v>
      </c>
      <c r="Q2689" s="5" t="s">
        <v>25</v>
      </c>
      <c r="R2689" s="5" t="s">
        <v>25</v>
      </c>
      <c r="S2689" s="7" t="str">
        <f>VLOOKUP(A2689,Sheet2!$A$2:$R$3432,18,0)</f>
        <v/>
      </c>
      <c r="T2689" s="7" t="str">
        <f>VLOOKUP(A2689,Sheet2!$A$2:$R$3432,17,0)</f>
        <v/>
      </c>
    </row>
    <row r="2690" ht="15.75" customHeight="1">
      <c r="A2690" s="3" t="s">
        <v>2713</v>
      </c>
      <c r="B2690" s="4" t="str">
        <f>VLOOKUP(A2690,Sheet2!$A$2:$R$3432,2,0)</f>
        <v>2025-03-06 19:58:01</v>
      </c>
      <c r="C2690" s="5" t="s">
        <v>25</v>
      </c>
      <c r="D2690" s="6" t="s">
        <v>25</v>
      </c>
      <c r="E2690" s="7">
        <f>VLOOKUP(A2690,Sheet2!$A$2:$R$3432,4,0)</f>
        <v>9356487078</v>
      </c>
      <c r="F2690" s="7" t="str">
        <f>VLOOKUP(A2690,Sheet2!$A$2:$R$3432,3,0)</f>
        <v>Anuj Shinde</v>
      </c>
      <c r="G2690" s="5" t="s">
        <v>25</v>
      </c>
      <c r="H2690" s="5" t="s">
        <v>25</v>
      </c>
      <c r="I2690" s="5" t="s">
        <v>25</v>
      </c>
      <c r="J2690" s="5" t="s">
        <v>25</v>
      </c>
      <c r="K2690" s="7" t="str">
        <f>VLOOKUP(A2690,Sheet2!$A$2:$R$3432,6,0)</f>
        <v>TVS Wego </v>
      </c>
      <c r="L2690" s="5" t="s">
        <v>25</v>
      </c>
      <c r="M2690" s="7" t="str">
        <f>VLOOKUP(A2690,Sheet2!$A$2:$R$3432,5,0)</f>
        <v>MH12KU0676</v>
      </c>
      <c r="N2690" s="5" t="s">
        <v>25</v>
      </c>
      <c r="O2690" s="5" t="s">
        <v>25</v>
      </c>
      <c r="P2690" s="6" t="s">
        <v>25</v>
      </c>
      <c r="Q2690" s="5" t="s">
        <v>25</v>
      </c>
      <c r="R2690" s="5" t="s">
        <v>25</v>
      </c>
      <c r="S2690" s="7" t="str">
        <f>VLOOKUP(A2690,Sheet2!$A$2:$R$3432,18,0)</f>
        <v/>
      </c>
      <c r="T2690" s="7" t="str">
        <f>VLOOKUP(A2690,Sheet2!$A$2:$R$3432,17,0)</f>
        <v>MD626AG43D1P78193</v>
      </c>
    </row>
    <row r="2691" ht="15.75" customHeight="1">
      <c r="A2691" s="3" t="s">
        <v>2714</v>
      </c>
      <c r="B2691" s="4" t="str">
        <f>VLOOKUP(A2691,Sheet2!$A$2:$R$3432,2,0)</f>
        <v>2025-03-06 20:05:03</v>
      </c>
      <c r="C2691" s="5" t="s">
        <v>25</v>
      </c>
      <c r="D2691" s="6" t="s">
        <v>25</v>
      </c>
      <c r="E2691" s="7">
        <f>VLOOKUP(A2691,Sheet2!$A$2:$R$3432,4,0)</f>
        <v>9881878776</v>
      </c>
      <c r="F2691" s="7" t="str">
        <f>VLOOKUP(A2691,Sheet2!$A$2:$R$3432,3,0)</f>
        <v>ARUN GANGURDE</v>
      </c>
      <c r="G2691" s="5" t="s">
        <v>25</v>
      </c>
      <c r="H2691" s="5" t="s">
        <v>25</v>
      </c>
      <c r="I2691" s="5" t="s">
        <v>25</v>
      </c>
      <c r="J2691" s="5" t="s">
        <v>25</v>
      </c>
      <c r="K2691" s="7" t="str">
        <f>VLOOKUP(A2691,Sheet2!$A$2:$R$3432,6,0)</f>
        <v>Honda Unicorn 150</v>
      </c>
      <c r="L2691" s="5" t="s">
        <v>25</v>
      </c>
      <c r="M2691" s="7" t="str">
        <f>VLOOKUP(A2691,Sheet2!$A$2:$R$3432,5,0)</f>
        <v>MH15DQ2128</v>
      </c>
      <c r="N2691" s="5" t="s">
        <v>25</v>
      </c>
      <c r="O2691" s="5" t="s">
        <v>25</v>
      </c>
      <c r="P2691" s="6" t="s">
        <v>25</v>
      </c>
      <c r="Q2691" s="5" t="s">
        <v>25</v>
      </c>
      <c r="R2691" s="5" t="s">
        <v>25</v>
      </c>
      <c r="S2691" s="7" t="str">
        <f>VLOOKUP(A2691,Sheet2!$A$2:$R$3432,18,0)</f>
        <v/>
      </c>
      <c r="T2691" s="7" t="str">
        <f>VLOOKUP(A2691,Sheet2!$A$2:$R$3432,17,0)</f>
        <v/>
      </c>
    </row>
    <row r="2692" ht="15.75" customHeight="1">
      <c r="A2692" s="3" t="s">
        <v>2715</v>
      </c>
      <c r="B2692" s="4" t="str">
        <f>VLOOKUP(A2692,Sheet2!$A$2:$R$3432,2,0)</f>
        <v>2025-03-06 20:05:47</v>
      </c>
      <c r="C2692" s="5" t="s">
        <v>25</v>
      </c>
      <c r="D2692" s="6" t="s">
        <v>25</v>
      </c>
      <c r="E2692" s="7">
        <f>VLOOKUP(A2692,Sheet2!$A$2:$R$3432,4,0)</f>
        <v>9881878776</v>
      </c>
      <c r="F2692" s="7" t="str">
        <f>VLOOKUP(A2692,Sheet2!$A$2:$R$3432,3,0)</f>
        <v>ARUN</v>
      </c>
      <c r="G2692" s="5" t="s">
        <v>25</v>
      </c>
      <c r="H2692" s="5" t="s">
        <v>25</v>
      </c>
      <c r="I2692" s="5" t="s">
        <v>25</v>
      </c>
      <c r="J2692" s="5" t="s">
        <v>25</v>
      </c>
      <c r="K2692" s="7" t="str">
        <f>VLOOKUP(A2692,Sheet2!$A$2:$R$3432,6,0)</f>
        <v>Honda Activa 110</v>
      </c>
      <c r="L2692" s="5" t="s">
        <v>25</v>
      </c>
      <c r="M2692" s="7" t="str">
        <f>VLOOKUP(A2692,Sheet2!$A$2:$R$3432,5,0)</f>
        <v>MH15EQ1465</v>
      </c>
      <c r="N2692" s="5" t="s">
        <v>25</v>
      </c>
      <c r="O2692" s="5" t="s">
        <v>25</v>
      </c>
      <c r="P2692" s="6" t="s">
        <v>25</v>
      </c>
      <c r="Q2692" s="5" t="s">
        <v>25</v>
      </c>
      <c r="R2692" s="5" t="s">
        <v>25</v>
      </c>
      <c r="S2692" s="7" t="str">
        <f>VLOOKUP(A2692,Sheet2!$A$2:$R$3432,18,0)</f>
        <v/>
      </c>
      <c r="T2692" s="7" t="str">
        <f>VLOOKUP(A2692,Sheet2!$A$2:$R$3432,17,0)</f>
        <v/>
      </c>
    </row>
    <row r="2693" ht="15.75" customHeight="1">
      <c r="A2693" s="3" t="s">
        <v>2716</v>
      </c>
      <c r="B2693" s="4" t="str">
        <f>VLOOKUP(A2693,Sheet2!$A$2:$R$3432,2,0)</f>
        <v>2024-09-26 20:22:56</v>
      </c>
      <c r="C2693" s="5" t="s">
        <v>25</v>
      </c>
      <c r="D2693" s="6" t="s">
        <v>25</v>
      </c>
      <c r="E2693" s="7">
        <f>VLOOKUP(A2693,Sheet2!$A$2:$R$3432,4,0)</f>
        <v>9874253273</v>
      </c>
      <c r="F2693" s="7" t="str">
        <f>VLOOKUP(A2693,Sheet2!$A$2:$R$3432,3,0)</f>
        <v>Devnoon</v>
      </c>
      <c r="G2693" s="5" t="s">
        <v>25</v>
      </c>
      <c r="H2693" s="5" t="s">
        <v>25</v>
      </c>
      <c r="I2693" s="5" t="s">
        <v>25</v>
      </c>
      <c r="J2693" s="5" t="s">
        <v>25</v>
      </c>
      <c r="K2693" s="7" t="str">
        <f>VLOOKUP(A2693,Sheet2!$A$2:$R$3432,6,0)</f>
        <v>Hero Xoom LX</v>
      </c>
      <c r="L2693" s="5" t="s">
        <v>25</v>
      </c>
      <c r="M2693" s="7" t="str">
        <f>VLOOKUP(A2693,Sheet2!$A$2:$R$3432,5,0)</f>
        <v>23BH2114D</v>
      </c>
      <c r="N2693" s="5" t="s">
        <v>25</v>
      </c>
      <c r="O2693" s="5" t="s">
        <v>25</v>
      </c>
      <c r="P2693" s="6" t="s">
        <v>25</v>
      </c>
      <c r="Q2693" s="5" t="s">
        <v>25</v>
      </c>
      <c r="R2693" s="5" t="s">
        <v>25</v>
      </c>
      <c r="S2693" s="5" t="str">
        <f>VLOOKUP(A2693,Sheet2!$A$2:$R$3432,18,0)</f>
        <v>JF16EPP9004759</v>
      </c>
      <c r="T2693" s="7" t="str">
        <f>VLOOKUP(A2693,Sheet2!$A$2:$R$3432,17,0)</f>
        <v>MBLJFW606PGD04743</v>
      </c>
    </row>
    <row r="2694" ht="15.75" customHeight="1">
      <c r="A2694" s="3" t="s">
        <v>2717</v>
      </c>
      <c r="B2694" s="4" t="str">
        <f>VLOOKUP(A2694,Sheet2!$A$2:$R$3432,2,0)</f>
        <v>2024-09-26 20:23:25</v>
      </c>
      <c r="C2694" s="5" t="s">
        <v>25</v>
      </c>
      <c r="D2694" s="6" t="s">
        <v>25</v>
      </c>
      <c r="E2694" s="7">
        <f>VLOOKUP(A2694,Sheet2!$A$2:$R$3432,4,0)</f>
        <v>7741931293</v>
      </c>
      <c r="F2694" s="7" t="str">
        <f>VLOOKUP(A2694,Sheet2!$A$2:$R$3432,3,0)</f>
        <v>Kiran Survase</v>
      </c>
      <c r="G2694" s="5" t="s">
        <v>25</v>
      </c>
      <c r="H2694" s="5" t="s">
        <v>25</v>
      </c>
      <c r="I2694" s="5" t="s">
        <v>25</v>
      </c>
      <c r="J2694" s="5" t="s">
        <v>25</v>
      </c>
      <c r="K2694" s="7" t="str">
        <f>VLOOKUP(A2694,Sheet2!$A$2:$R$3432,6,0)</f>
        <v>Honda Shine </v>
      </c>
      <c r="L2694" s="5" t="s">
        <v>25</v>
      </c>
      <c r="M2694" s="7" t="str">
        <f>VLOOKUP(A2694,Sheet2!$A$2:$R$3432,5,0)</f>
        <v>MH17CH6941</v>
      </c>
      <c r="N2694" s="5" t="s">
        <v>25</v>
      </c>
      <c r="O2694" s="5" t="s">
        <v>25</v>
      </c>
      <c r="P2694" s="6" t="s">
        <v>25</v>
      </c>
      <c r="Q2694" s="5" t="s">
        <v>25</v>
      </c>
      <c r="R2694" s="5" t="s">
        <v>25</v>
      </c>
      <c r="S2694" s="7" t="str">
        <f>VLOOKUP(A2694,Sheet2!$A$2:$R$3432,18,0)</f>
        <v/>
      </c>
      <c r="T2694" s="7" t="str">
        <f>VLOOKUP(A2694,Sheet2!$A$2:$R$3432,17,0)</f>
        <v/>
      </c>
    </row>
    <row r="2695" ht="15.75" customHeight="1">
      <c r="A2695" s="3" t="s">
        <v>2718</v>
      </c>
      <c r="B2695" s="4" t="str">
        <f>VLOOKUP(A2695,Sheet2!$A$2:$R$3432,2,0)</f>
        <v>2024-09-26 20:23:56</v>
      </c>
      <c r="C2695" s="5" t="s">
        <v>25</v>
      </c>
      <c r="D2695" s="6" t="s">
        <v>25</v>
      </c>
      <c r="E2695" s="7">
        <f>VLOOKUP(A2695,Sheet2!$A$2:$R$3432,4,0)</f>
        <v>9850086795</v>
      </c>
      <c r="F2695" s="7" t="str">
        <f>VLOOKUP(A2695,Sheet2!$A$2:$R$3432,3,0)</f>
        <v>Yogesh Thakur</v>
      </c>
      <c r="G2695" s="5" t="s">
        <v>25</v>
      </c>
      <c r="H2695" s="5" t="s">
        <v>25</v>
      </c>
      <c r="I2695" s="5" t="s">
        <v>25</v>
      </c>
      <c r="J2695" s="5" t="s">
        <v>25</v>
      </c>
      <c r="K2695" s="7" t="str">
        <f>VLOOKUP(A2695,Sheet2!$A$2:$R$3432,6,0)</f>
        <v>Honda Activa 110</v>
      </c>
      <c r="L2695" s="5" t="s">
        <v>25</v>
      </c>
      <c r="M2695" s="7" t="str">
        <f>VLOOKUP(A2695,Sheet2!$A$2:$R$3432,5,0)</f>
        <v>MH14DP2718</v>
      </c>
      <c r="N2695" s="5" t="s">
        <v>25</v>
      </c>
      <c r="O2695" s="5" t="s">
        <v>25</v>
      </c>
      <c r="P2695" s="6" t="s">
        <v>25</v>
      </c>
      <c r="Q2695" s="5" t="s">
        <v>25</v>
      </c>
      <c r="R2695" s="5" t="s">
        <v>25</v>
      </c>
      <c r="S2695" s="7" t="str">
        <f>VLOOKUP(A2695,Sheet2!$A$2:$R$3432,18,0)</f>
        <v/>
      </c>
      <c r="T2695" s="7" t="str">
        <f>VLOOKUP(A2695,Sheet2!$A$2:$R$3432,17,0)</f>
        <v>ME4JC4480GC7459221</v>
      </c>
    </row>
    <row r="2696" ht="15.75" customHeight="1">
      <c r="A2696" s="3" t="s">
        <v>2719</v>
      </c>
      <c r="B2696" s="4" t="str">
        <f>VLOOKUP(A2696,Sheet2!$A$2:$R$3432,2,0)</f>
        <v>2024-11-14 19:00:14</v>
      </c>
      <c r="C2696" s="5" t="s">
        <v>25</v>
      </c>
      <c r="D2696" s="6" t="s">
        <v>25</v>
      </c>
      <c r="E2696" s="7">
        <f>VLOOKUP(A2696,Sheet2!$A$2:$R$3432,4,0)</f>
        <v>7709123176</v>
      </c>
      <c r="F2696" s="7" t="str">
        <f>VLOOKUP(A2696,Sheet2!$A$2:$R$3432,3,0)</f>
        <v>NIRMAL SINGH</v>
      </c>
      <c r="G2696" s="5" t="s">
        <v>25</v>
      </c>
      <c r="H2696" s="5" t="s">
        <v>25</v>
      </c>
      <c r="I2696" s="5" t="s">
        <v>25</v>
      </c>
      <c r="J2696" s="5" t="s">
        <v>25</v>
      </c>
      <c r="K2696" s="7" t="str">
        <f>VLOOKUP(A2696,Sheet2!$A$2:$R$3432,6,0)</f>
        <v>Hero Splendor Super</v>
      </c>
      <c r="L2696" s="5" t="s">
        <v>25</v>
      </c>
      <c r="M2696" s="7" t="str">
        <f>VLOOKUP(A2696,Sheet2!$A$2:$R$3432,5,0)</f>
        <v>WB38Q3688</v>
      </c>
      <c r="N2696" s="5" t="s">
        <v>25</v>
      </c>
      <c r="O2696" s="5" t="s">
        <v>25</v>
      </c>
      <c r="P2696" s="6" t="s">
        <v>25</v>
      </c>
      <c r="Q2696" s="5" t="s">
        <v>25</v>
      </c>
      <c r="R2696" s="5" t="s">
        <v>25</v>
      </c>
      <c r="S2696" s="7" t="str">
        <f>VLOOKUP(A2696,Sheet2!$A$2:$R$3432,18,0)</f>
        <v/>
      </c>
      <c r="T2696" s="7" t="str">
        <f>VLOOKUP(A2696,Sheet2!$A$2:$R$3432,17,0)</f>
        <v/>
      </c>
    </row>
    <row r="2697" ht="15.75" customHeight="1">
      <c r="A2697" s="3" t="s">
        <v>2720</v>
      </c>
      <c r="B2697" s="4" t="str">
        <f>VLOOKUP(A2697,Sheet2!$A$2:$R$3432,2,0)</f>
        <v>2024-11-14 19:01:34</v>
      </c>
      <c r="C2697" s="5" t="s">
        <v>25</v>
      </c>
      <c r="D2697" s="6" t="s">
        <v>25</v>
      </c>
      <c r="E2697" s="7">
        <f>VLOOKUP(A2697,Sheet2!$A$2:$R$3432,4,0)</f>
        <v>8999016024</v>
      </c>
      <c r="F2697" s="7" t="str">
        <f>VLOOKUP(A2697,Sheet2!$A$2:$R$3432,3,0)</f>
        <v>TUSHAR RAUT</v>
      </c>
      <c r="G2697" s="5" t="s">
        <v>25</v>
      </c>
      <c r="H2697" s="5" t="s">
        <v>25</v>
      </c>
      <c r="I2697" s="5" t="s">
        <v>25</v>
      </c>
      <c r="J2697" s="5" t="s">
        <v>25</v>
      </c>
      <c r="K2697" s="7" t="str">
        <f>VLOOKUP(A2697,Sheet2!$A$2:$R$3432,6,0)</f>
        <v>Yamaha FZ 25</v>
      </c>
      <c r="L2697" s="5" t="s">
        <v>25</v>
      </c>
      <c r="M2697" s="7" t="str">
        <f>VLOOKUP(A2697,Sheet2!$A$2:$R$3432,5,0)</f>
        <v>MH16CW6540</v>
      </c>
      <c r="N2697" s="5" t="s">
        <v>25</v>
      </c>
      <c r="O2697" s="5" t="s">
        <v>25</v>
      </c>
      <c r="P2697" s="6" t="s">
        <v>25</v>
      </c>
      <c r="Q2697" s="5" t="s">
        <v>25</v>
      </c>
      <c r="R2697" s="5" t="s">
        <v>25</v>
      </c>
      <c r="S2697" s="5" t="str">
        <f>VLOOKUP(A2697,Sheet2!$A$2:$R$3432,18,0)</f>
        <v>G3P1E0009245</v>
      </c>
      <c r="T2697" s="7" t="str">
        <f>VLOOKUP(A2697,Sheet2!$A$2:$R$3432,17,0)</f>
        <v>ME1RG6916M00005498</v>
      </c>
    </row>
    <row r="2698" ht="15.75" customHeight="1">
      <c r="A2698" s="3" t="s">
        <v>2721</v>
      </c>
      <c r="B2698" s="4" t="str">
        <f>VLOOKUP(A2698,Sheet2!$A$2:$R$3432,2,0)</f>
        <v>2024-11-14 18:55:35</v>
      </c>
      <c r="C2698" s="5" t="s">
        <v>25</v>
      </c>
      <c r="D2698" s="6" t="s">
        <v>25</v>
      </c>
      <c r="E2698" s="7">
        <f>VLOOKUP(A2698,Sheet2!$A$2:$R$3432,4,0)</f>
        <v>9404018891</v>
      </c>
      <c r="F2698" s="7" t="str">
        <f>VLOOKUP(A2698,Sheet2!$A$2:$R$3432,3,0)</f>
        <v>SHRINIWAS </v>
      </c>
      <c r="G2698" s="5" t="s">
        <v>25</v>
      </c>
      <c r="H2698" s="5" t="s">
        <v>25</v>
      </c>
      <c r="I2698" s="5" t="s">
        <v>25</v>
      </c>
      <c r="J2698" s="5" t="s">
        <v>25</v>
      </c>
      <c r="K2698" s="7" t="str">
        <f>VLOOKUP(A2698,Sheet2!$A$2:$R$3432,6,0)</f>
        <v>TVS Jupiter </v>
      </c>
      <c r="L2698" s="5" t="s">
        <v>25</v>
      </c>
      <c r="M2698" s="7" t="str">
        <f>VLOOKUP(A2698,Sheet2!$A$2:$R$3432,5,0)</f>
        <v>MH12QL3377</v>
      </c>
      <c r="N2698" s="5" t="s">
        <v>25</v>
      </c>
      <c r="O2698" s="5" t="s">
        <v>25</v>
      </c>
      <c r="P2698" s="6" t="s">
        <v>25</v>
      </c>
      <c r="Q2698" s="5" t="s">
        <v>25</v>
      </c>
      <c r="R2698" s="5" t="s">
        <v>25</v>
      </c>
      <c r="S2698" s="5" t="str">
        <f>VLOOKUP(A2698,Sheet2!$A$2:$R$3432,18,0)</f>
        <v>EG4CJ2126241</v>
      </c>
      <c r="T2698" s="7" t="str">
        <f>VLOOKUP(A2698,Sheet2!$A$2:$R$3432,17,0)</f>
        <v>MD626EG15J3C15284</v>
      </c>
    </row>
    <row r="2699" ht="15.75" customHeight="1">
      <c r="A2699" s="3" t="s">
        <v>2722</v>
      </c>
      <c r="B2699" s="4" t="str">
        <f>VLOOKUP(A2699,Sheet2!$A$2:$R$3432,2,0)</f>
        <v>2024-11-14 19:01:02</v>
      </c>
      <c r="C2699" s="5" t="s">
        <v>25</v>
      </c>
      <c r="D2699" s="6" t="s">
        <v>25</v>
      </c>
      <c r="E2699" s="7">
        <f>VLOOKUP(A2699,Sheet2!$A$2:$R$3432,4,0)</f>
        <v>7020218470</v>
      </c>
      <c r="F2699" s="7" t="str">
        <f>VLOOKUP(A2699,Sheet2!$A$2:$R$3432,3,0)</f>
        <v>Umesh Dhumal </v>
      </c>
      <c r="G2699" s="5" t="s">
        <v>25</v>
      </c>
      <c r="H2699" s="5" t="s">
        <v>25</v>
      </c>
      <c r="I2699" s="5" t="s">
        <v>25</v>
      </c>
      <c r="J2699" s="5" t="s">
        <v>25</v>
      </c>
      <c r="K2699" s="7" t="str">
        <f>VLOOKUP(A2699,Sheet2!$A$2:$R$3432,6,0)</f>
        <v>Honda Shine </v>
      </c>
      <c r="L2699" s="5" t="s">
        <v>25</v>
      </c>
      <c r="M2699" s="7" t="str">
        <f>VLOOKUP(A2699,Sheet2!$A$2:$R$3432,5,0)</f>
        <v>MH12TW1197</v>
      </c>
      <c r="N2699" s="5" t="s">
        <v>25</v>
      </c>
      <c r="O2699" s="5" t="s">
        <v>25</v>
      </c>
      <c r="P2699" s="6" t="s">
        <v>25</v>
      </c>
      <c r="Q2699" s="5" t="s">
        <v>25</v>
      </c>
      <c r="R2699" s="5" t="s">
        <v>25</v>
      </c>
      <c r="S2699" s="5" t="str">
        <f>VLOOKUP(A2699,Sheet2!$A$2:$R$3432,18,0)</f>
        <v>JC85ED1093294</v>
      </c>
      <c r="T2699" s="7" t="str">
        <f>VLOOKUP(A2699,Sheet2!$A$2:$R$3432,17,0)</f>
        <v>ME4JC85AKM0060767</v>
      </c>
    </row>
    <row r="2700" ht="15.75" customHeight="1">
      <c r="A2700" s="3" t="s">
        <v>2723</v>
      </c>
      <c r="B2700" s="4" t="str">
        <f>VLOOKUP(A2700,Sheet2!$A$2:$R$3432,2,0)</f>
        <v>2024-11-14 19:07:32</v>
      </c>
      <c r="C2700" s="5" t="s">
        <v>25</v>
      </c>
      <c r="D2700" s="6" t="s">
        <v>25</v>
      </c>
      <c r="E2700" s="7">
        <f>VLOOKUP(A2700,Sheet2!$A$2:$R$3432,4,0)</f>
        <v>8055356664</v>
      </c>
      <c r="F2700" s="7" t="str">
        <f>VLOOKUP(A2700,Sheet2!$A$2:$R$3432,3,0)</f>
        <v>NISHANT</v>
      </c>
      <c r="G2700" s="5" t="s">
        <v>25</v>
      </c>
      <c r="H2700" s="5" t="s">
        <v>25</v>
      </c>
      <c r="I2700" s="5" t="s">
        <v>25</v>
      </c>
      <c r="J2700" s="5" t="s">
        <v>25</v>
      </c>
      <c r="K2700" s="7" t="str">
        <f>VLOOKUP(A2700,Sheet2!$A$2:$R$3432,6,0)</f>
        <v>KTM Duke 200</v>
      </c>
      <c r="L2700" s="5" t="s">
        <v>25</v>
      </c>
      <c r="M2700" s="7" t="str">
        <f>VLOOKUP(A2700,Sheet2!$A$2:$R$3432,5,0)</f>
        <v>MH27BS5372</v>
      </c>
      <c r="N2700" s="5" t="s">
        <v>25</v>
      </c>
      <c r="O2700" s="5" t="s">
        <v>25</v>
      </c>
      <c r="P2700" s="6" t="s">
        <v>25</v>
      </c>
      <c r="Q2700" s="5" t="s">
        <v>25</v>
      </c>
      <c r="R2700" s="5" t="s">
        <v>25</v>
      </c>
      <c r="S2700" s="5" t="str">
        <f>VLOOKUP(A2700,Sheet2!$A$2:$R$3432,18,0)</f>
        <v>690664639</v>
      </c>
      <c r="T2700" s="7" t="str">
        <f>VLOOKUP(A2700,Sheet2!$A$2:$R$3432,17,0)</f>
        <v>MD2JUC4E3HC073706</v>
      </c>
    </row>
    <row r="2701" ht="15.75" customHeight="1">
      <c r="A2701" s="3" t="s">
        <v>2724</v>
      </c>
      <c r="B2701" s="4" t="str">
        <f>VLOOKUP(A2701,Sheet2!$A$2:$R$3432,2,0)</f>
        <v>2024-10-19 20:36:54</v>
      </c>
      <c r="C2701" s="5" t="s">
        <v>25</v>
      </c>
      <c r="D2701" s="6" t="s">
        <v>25</v>
      </c>
      <c r="E2701" s="7">
        <f>VLOOKUP(A2701,Sheet2!$A$2:$R$3432,4,0)</f>
        <v>9657888276</v>
      </c>
      <c r="F2701" s="7" t="str">
        <f>VLOOKUP(A2701,Sheet2!$A$2:$R$3432,3,0)</f>
        <v>Rohan </v>
      </c>
      <c r="G2701" s="5" t="s">
        <v>25</v>
      </c>
      <c r="H2701" s="5" t="s">
        <v>25</v>
      </c>
      <c r="I2701" s="5" t="s">
        <v>25</v>
      </c>
      <c r="J2701" s="5" t="s">
        <v>25</v>
      </c>
      <c r="K2701" s="7" t="str">
        <f>VLOOKUP(A2701,Sheet2!$A$2:$R$3432,6,0)</f>
        <v>Honda Shine </v>
      </c>
      <c r="L2701" s="5" t="s">
        <v>25</v>
      </c>
      <c r="M2701" s="7" t="str">
        <f>VLOOKUP(A2701,Sheet2!$A$2:$R$3432,5,0)</f>
        <v>MH09FN2240</v>
      </c>
      <c r="N2701" s="5" t="s">
        <v>25</v>
      </c>
      <c r="O2701" s="5" t="s">
        <v>25</v>
      </c>
      <c r="P2701" s="6" t="s">
        <v>25</v>
      </c>
      <c r="Q2701" s="5" t="s">
        <v>25</v>
      </c>
      <c r="R2701" s="5" t="s">
        <v>25</v>
      </c>
      <c r="S2701" s="7" t="str">
        <f>VLOOKUP(A2701,Sheet2!$A$2:$R$3432,18,0)</f>
        <v/>
      </c>
      <c r="T2701" s="7" t="str">
        <f>VLOOKUP(A2701,Sheet2!$A$2:$R$3432,17,0)</f>
        <v/>
      </c>
    </row>
    <row r="2702" ht="15.75" customHeight="1">
      <c r="A2702" s="3" t="s">
        <v>2725</v>
      </c>
      <c r="B2702" s="4" t="str">
        <f>VLOOKUP(A2702,Sheet2!$A$2:$R$3432,2,0)</f>
        <v>2024-10-19 20:37:29</v>
      </c>
      <c r="C2702" s="5" t="s">
        <v>25</v>
      </c>
      <c r="D2702" s="6" t="s">
        <v>25</v>
      </c>
      <c r="E2702" s="7">
        <f>VLOOKUP(A2702,Sheet2!$A$2:$R$3432,4,0)</f>
        <v>8087492804</v>
      </c>
      <c r="F2702" s="7" t="str">
        <f>VLOOKUP(A2702,Sheet2!$A$2:$R$3432,3,0)</f>
        <v>NIKHIL SIRSAT </v>
      </c>
      <c r="G2702" s="5" t="s">
        <v>25</v>
      </c>
      <c r="H2702" s="5" t="s">
        <v>25</v>
      </c>
      <c r="I2702" s="5" t="s">
        <v>25</v>
      </c>
      <c r="J2702" s="5" t="s">
        <v>25</v>
      </c>
      <c r="K2702" s="7" t="str">
        <f>VLOOKUP(A2702,Sheet2!$A$2:$R$3432,6,0)</f>
        <v>Hero CBZ Extreme</v>
      </c>
      <c r="L2702" s="5" t="s">
        <v>25</v>
      </c>
      <c r="M2702" s="7" t="str">
        <f>VLOOKUP(A2702,Sheet2!$A$2:$R$3432,5,0)</f>
        <v>MH21AE1487</v>
      </c>
      <c r="N2702" s="5" t="s">
        <v>25</v>
      </c>
      <c r="O2702" s="5" t="s">
        <v>25</v>
      </c>
      <c r="P2702" s="6" t="s">
        <v>25</v>
      </c>
      <c r="Q2702" s="5" t="s">
        <v>25</v>
      </c>
      <c r="R2702" s="5" t="s">
        <v>25</v>
      </c>
      <c r="S2702" s="7" t="str">
        <f>VLOOKUP(A2702,Sheet2!$A$2:$R$3432,18,0)</f>
        <v/>
      </c>
      <c r="T2702" s="7" t="str">
        <f>VLOOKUP(A2702,Sheet2!$A$2:$R$3432,17,0)</f>
        <v/>
      </c>
    </row>
    <row r="2703" ht="15.75" customHeight="1">
      <c r="A2703" s="3" t="s">
        <v>2726</v>
      </c>
      <c r="B2703" s="4" t="str">
        <f>VLOOKUP(A2703,Sheet2!$A$2:$R$3432,2,0)</f>
        <v>2024-10-19 20:34:33</v>
      </c>
      <c r="C2703" s="5" t="s">
        <v>25</v>
      </c>
      <c r="D2703" s="6" t="s">
        <v>25</v>
      </c>
      <c r="E2703" s="7">
        <f>VLOOKUP(A2703,Sheet2!$A$2:$R$3432,4,0)</f>
        <v>9130833396</v>
      </c>
      <c r="F2703" s="7" t="str">
        <f>VLOOKUP(A2703,Sheet2!$A$2:$R$3432,3,0)</f>
        <v>Sharvil</v>
      </c>
      <c r="G2703" s="5" t="s">
        <v>25</v>
      </c>
      <c r="H2703" s="5" t="s">
        <v>25</v>
      </c>
      <c r="I2703" s="5" t="s">
        <v>25</v>
      </c>
      <c r="J2703" s="5" t="s">
        <v>25</v>
      </c>
      <c r="K2703" s="7" t="str">
        <f>VLOOKUP(A2703,Sheet2!$A$2:$R$3432,6,0)</f>
        <v>Hero Splendor </v>
      </c>
      <c r="L2703" s="5" t="s">
        <v>25</v>
      </c>
      <c r="M2703" s="7" t="str">
        <f>VLOOKUP(A2703,Sheet2!$A$2:$R$3432,5,0)</f>
        <v>MH09FS3396</v>
      </c>
      <c r="N2703" s="5" t="s">
        <v>25</v>
      </c>
      <c r="O2703" s="5" t="s">
        <v>25</v>
      </c>
      <c r="P2703" s="6" t="s">
        <v>25</v>
      </c>
      <c r="Q2703" s="5" t="s">
        <v>25</v>
      </c>
      <c r="R2703" s="5" t="s">
        <v>25</v>
      </c>
      <c r="S2703" s="5" t="str">
        <f>VLOOKUP(A2703,Sheet2!$A$2:$R$3432,18,0)</f>
        <v>HA11EDLHM31479</v>
      </c>
      <c r="T2703" s="7" t="str">
        <f>VLOOKUP(A2703,Sheet2!$A$2:$R$3432,17,0)</f>
        <v>MBLHAW123LHLHM03155</v>
      </c>
    </row>
    <row r="2704" ht="15.75" customHeight="1">
      <c r="A2704" s="3" t="s">
        <v>2727</v>
      </c>
      <c r="B2704" s="4" t="str">
        <f>VLOOKUP(A2704,Sheet2!$A$2:$R$3432,2,0)</f>
        <v>2024-10-19 20:35:18</v>
      </c>
      <c r="C2704" s="5" t="s">
        <v>25</v>
      </c>
      <c r="D2704" s="6" t="s">
        <v>25</v>
      </c>
      <c r="E2704" s="7">
        <f>VLOOKUP(A2704,Sheet2!$A$2:$R$3432,4,0)</f>
        <v>8928136051</v>
      </c>
      <c r="F2704" s="7" t="str">
        <f>VLOOKUP(A2704,Sheet2!$A$2:$R$3432,3,0)</f>
        <v>Prabhat</v>
      </c>
      <c r="G2704" s="5" t="s">
        <v>25</v>
      </c>
      <c r="H2704" s="5" t="s">
        <v>25</v>
      </c>
      <c r="I2704" s="5" t="s">
        <v>25</v>
      </c>
      <c r="J2704" s="5" t="s">
        <v>25</v>
      </c>
      <c r="K2704" s="7" t="str">
        <f>VLOOKUP(A2704,Sheet2!$A$2:$R$3432,6,0)</f>
        <v>Hero Pleasure </v>
      </c>
      <c r="L2704" s="5" t="s">
        <v>25</v>
      </c>
      <c r="M2704" s="7" t="str">
        <f>VLOOKUP(A2704,Sheet2!$A$2:$R$3432,5,0)</f>
        <v>MH31DR1646</v>
      </c>
      <c r="N2704" s="5" t="s">
        <v>25</v>
      </c>
      <c r="O2704" s="5" t="s">
        <v>25</v>
      </c>
      <c r="P2704" s="6" t="s">
        <v>25</v>
      </c>
      <c r="Q2704" s="5" t="s">
        <v>25</v>
      </c>
      <c r="R2704" s="5" t="s">
        <v>25</v>
      </c>
      <c r="S2704" s="5" t="str">
        <f>VLOOKUP(A2704,Sheet2!$A$2:$R$3432,18,0)</f>
        <v>JIHW07469</v>
      </c>
      <c r="T2704" s="7" t="str">
        <f>VLOOKUP(A2704,Sheet2!$A$2:$R$3432,17,0)</f>
        <v>07J1HA07469</v>
      </c>
    </row>
    <row r="2705" ht="15.75" customHeight="1">
      <c r="A2705" s="3" t="s">
        <v>2728</v>
      </c>
      <c r="B2705" s="4" t="str">
        <f>VLOOKUP(A2705,Sheet2!$A$2:$R$3432,2,0)</f>
        <v>2024-10-19 20:36:13</v>
      </c>
      <c r="C2705" s="5" t="s">
        <v>25</v>
      </c>
      <c r="D2705" s="6" t="s">
        <v>25</v>
      </c>
      <c r="E2705" s="7">
        <f>VLOOKUP(A2705,Sheet2!$A$2:$R$3432,4,0)</f>
        <v>9819736283</v>
      </c>
      <c r="F2705" s="7" t="str">
        <f>VLOOKUP(A2705,Sheet2!$A$2:$R$3432,3,0)</f>
        <v>Prabhakar Shilamkar</v>
      </c>
      <c r="G2705" s="5" t="s">
        <v>25</v>
      </c>
      <c r="H2705" s="5" t="s">
        <v>25</v>
      </c>
      <c r="I2705" s="5" t="s">
        <v>25</v>
      </c>
      <c r="J2705" s="5" t="s">
        <v>25</v>
      </c>
      <c r="K2705" s="7" t="str">
        <f>VLOOKUP(A2705,Sheet2!$A$2:$R$3432,6,0)</f>
        <v>TVS Scooty Zest</v>
      </c>
      <c r="L2705" s="5" t="s">
        <v>25</v>
      </c>
      <c r="M2705" s="7" t="str">
        <f>VLOOKUP(A2705,Sheet2!$A$2:$R$3432,5,0)</f>
        <v>MH14EX3033</v>
      </c>
      <c r="N2705" s="5" t="s">
        <v>25</v>
      </c>
      <c r="O2705" s="5" t="s">
        <v>25</v>
      </c>
      <c r="P2705" s="6" t="s">
        <v>25</v>
      </c>
      <c r="Q2705" s="5" t="s">
        <v>25</v>
      </c>
      <c r="R2705" s="5" t="s">
        <v>25</v>
      </c>
      <c r="S2705" s="7" t="str">
        <f>VLOOKUP(A2705,Sheet2!$A$2:$R$3432,18,0)</f>
        <v/>
      </c>
      <c r="T2705" s="7" t="str">
        <f>VLOOKUP(A2705,Sheet2!$A$2:$R$3432,17,0)</f>
        <v>MD262CG44F2B58495</v>
      </c>
    </row>
    <row r="2706" ht="15.75" customHeight="1">
      <c r="A2706" s="3" t="s">
        <v>2729</v>
      </c>
      <c r="B2706" s="4" t="str">
        <f>VLOOKUP(A2706,Sheet2!$A$2:$R$3432,2,0)</f>
        <v>2024-10-19 20:37:15</v>
      </c>
      <c r="C2706" s="5" t="s">
        <v>25</v>
      </c>
      <c r="D2706" s="6" t="s">
        <v>25</v>
      </c>
      <c r="E2706" s="7">
        <f>VLOOKUP(A2706,Sheet2!$A$2:$R$3432,4,0)</f>
        <v>9422208842</v>
      </c>
      <c r="F2706" s="7" t="str">
        <f>VLOOKUP(A2706,Sheet2!$A$2:$R$3432,3,0)</f>
        <v>Gaurav Jawle</v>
      </c>
      <c r="G2706" s="5" t="s">
        <v>25</v>
      </c>
      <c r="H2706" s="5" t="s">
        <v>25</v>
      </c>
      <c r="I2706" s="5" t="s">
        <v>25</v>
      </c>
      <c r="J2706" s="5" t="s">
        <v>25</v>
      </c>
      <c r="K2706" s="7" t="str">
        <f>VLOOKUP(A2706,Sheet2!$A$2:$R$3432,6,0)</f>
        <v>Honda Activa 6G</v>
      </c>
      <c r="L2706" s="5" t="s">
        <v>25</v>
      </c>
      <c r="M2706" s="7" t="str">
        <f>VLOOKUP(A2706,Sheet2!$A$2:$R$3432,5,0)</f>
        <v>MH14KP5844</v>
      </c>
      <c r="N2706" s="5" t="s">
        <v>25</v>
      </c>
      <c r="O2706" s="5" t="s">
        <v>25</v>
      </c>
      <c r="P2706" s="6" t="s">
        <v>25</v>
      </c>
      <c r="Q2706" s="5" t="s">
        <v>25</v>
      </c>
      <c r="R2706" s="5" t="s">
        <v>25</v>
      </c>
      <c r="S2706" s="7" t="str">
        <f>VLOOKUP(A2706,Sheet2!$A$2:$R$3432,18,0)</f>
        <v/>
      </c>
      <c r="T2706" s="7" t="str">
        <f>VLOOKUP(A2706,Sheet2!$A$2:$R$3432,17,0)</f>
        <v/>
      </c>
    </row>
    <row r="2707" ht="15.75" customHeight="1">
      <c r="A2707" s="3" t="s">
        <v>2730</v>
      </c>
      <c r="B2707" s="4" t="str">
        <f>VLOOKUP(A2707,Sheet2!$A$2:$R$3432,2,0)</f>
        <v>2024-10-19 20:33:51</v>
      </c>
      <c r="C2707" s="5" t="s">
        <v>25</v>
      </c>
      <c r="D2707" s="6" t="s">
        <v>25</v>
      </c>
      <c r="E2707" s="7">
        <f>VLOOKUP(A2707,Sheet2!$A$2:$R$3432,4,0)</f>
        <v>9860091102</v>
      </c>
      <c r="F2707" s="7" t="str">
        <f>VLOOKUP(A2707,Sheet2!$A$2:$R$3432,3,0)</f>
        <v>Ninad</v>
      </c>
      <c r="G2707" s="5" t="s">
        <v>25</v>
      </c>
      <c r="H2707" s="5" t="s">
        <v>25</v>
      </c>
      <c r="I2707" s="5" t="s">
        <v>25</v>
      </c>
      <c r="J2707" s="5" t="s">
        <v>25</v>
      </c>
      <c r="K2707" s="7" t="str">
        <f>VLOOKUP(A2707,Sheet2!$A$2:$R$3432,6,0)</f>
        <v>Royal Enfield Meteor  350</v>
      </c>
      <c r="L2707" s="5" t="s">
        <v>25</v>
      </c>
      <c r="M2707" s="7" t="str">
        <f>VLOOKUP(A2707,Sheet2!$A$2:$R$3432,5,0)</f>
        <v>MH14JW5790</v>
      </c>
      <c r="N2707" s="5" t="s">
        <v>25</v>
      </c>
      <c r="O2707" s="5" t="s">
        <v>25</v>
      </c>
      <c r="P2707" s="6" t="s">
        <v>25</v>
      </c>
      <c r="Q2707" s="5" t="s">
        <v>25</v>
      </c>
      <c r="R2707" s="5" t="s">
        <v>25</v>
      </c>
      <c r="S2707" s="7" t="str">
        <f>VLOOKUP(A2707,Sheet2!$A$2:$R$3432,18,0)</f>
        <v/>
      </c>
      <c r="T2707" s="7" t="str">
        <f>VLOOKUP(A2707,Sheet2!$A$2:$R$3432,17,0)</f>
        <v/>
      </c>
    </row>
    <row r="2708" ht="15.75" customHeight="1">
      <c r="A2708" s="3" t="s">
        <v>2731</v>
      </c>
      <c r="B2708" s="4" t="str">
        <f>VLOOKUP(A2708,Sheet2!$A$2:$R$3432,2,0)</f>
        <v>2024-10-19 20:32:45</v>
      </c>
      <c r="C2708" s="5" t="s">
        <v>25</v>
      </c>
      <c r="D2708" s="6" t="s">
        <v>25</v>
      </c>
      <c r="E2708" s="7">
        <f>VLOOKUP(A2708,Sheet2!$A$2:$R$3432,4,0)</f>
        <v>9730198890</v>
      </c>
      <c r="F2708" s="7" t="str">
        <f>VLOOKUP(A2708,Sheet2!$A$2:$R$3432,3,0)</f>
        <v>Pranay Umate</v>
      </c>
      <c r="G2708" s="5" t="s">
        <v>25</v>
      </c>
      <c r="H2708" s="5" t="s">
        <v>25</v>
      </c>
      <c r="I2708" s="5" t="s">
        <v>25</v>
      </c>
      <c r="J2708" s="5" t="s">
        <v>25</v>
      </c>
      <c r="K2708" s="7" t="str">
        <f>VLOOKUP(A2708,Sheet2!$A$2:$R$3432,6,0)</f>
        <v>Bajaj Discover 125 Drum</v>
      </c>
      <c r="L2708" s="5" t="s">
        <v>25</v>
      </c>
      <c r="M2708" s="7" t="str">
        <f>VLOOKUP(A2708,Sheet2!$A$2:$R$3432,5,0)</f>
        <v>MH12NG0898</v>
      </c>
      <c r="N2708" s="5" t="s">
        <v>25</v>
      </c>
      <c r="O2708" s="5" t="s">
        <v>25</v>
      </c>
      <c r="P2708" s="6" t="s">
        <v>25</v>
      </c>
      <c r="Q2708" s="5" t="s">
        <v>25</v>
      </c>
      <c r="R2708" s="5" t="s">
        <v>25</v>
      </c>
      <c r="S2708" s="7" t="str">
        <f>VLOOKUP(A2708,Sheet2!$A$2:$R$3432,18,0)</f>
        <v/>
      </c>
      <c r="T2708" s="7" t="str">
        <f>VLOOKUP(A2708,Sheet2!$A$2:$R$3432,17,0)</f>
        <v>MD2A15DZ3GWL07495</v>
      </c>
    </row>
    <row r="2709" ht="15.75" customHeight="1">
      <c r="A2709" s="3" t="s">
        <v>2732</v>
      </c>
      <c r="B2709" s="4" t="str">
        <f>VLOOKUP(A2709,Sheet2!$A$2:$R$3432,2,0)</f>
        <v>2024-10-19 20:38:44</v>
      </c>
      <c r="C2709" s="5" t="s">
        <v>25</v>
      </c>
      <c r="D2709" s="6" t="s">
        <v>25</v>
      </c>
      <c r="E2709" s="7">
        <f>VLOOKUP(A2709,Sheet2!$A$2:$R$3432,4,0)</f>
        <v>7036838846</v>
      </c>
      <c r="F2709" s="7" t="str">
        <f>VLOOKUP(A2709,Sheet2!$A$2:$R$3432,3,0)</f>
        <v>SAIRAM</v>
      </c>
      <c r="G2709" s="5" t="s">
        <v>25</v>
      </c>
      <c r="H2709" s="5" t="s">
        <v>25</v>
      </c>
      <c r="I2709" s="5" t="s">
        <v>25</v>
      </c>
      <c r="J2709" s="5" t="s">
        <v>25</v>
      </c>
      <c r="K2709" s="7" t="str">
        <f>VLOOKUP(A2709,Sheet2!$A$2:$R$3432,6,0)</f>
        <v>Bajaj Pulsar 125</v>
      </c>
      <c r="L2709" s="5" t="s">
        <v>25</v>
      </c>
      <c r="M2709" s="7" t="str">
        <f>VLOOKUP(A2709,Sheet2!$A$2:$R$3432,5,0)</f>
        <v>AP39QF9356</v>
      </c>
      <c r="N2709" s="5" t="s">
        <v>25</v>
      </c>
      <c r="O2709" s="5" t="s">
        <v>25</v>
      </c>
      <c r="P2709" s="6" t="s">
        <v>25</v>
      </c>
      <c r="Q2709" s="5" t="s">
        <v>25</v>
      </c>
      <c r="R2709" s="5" t="s">
        <v>25</v>
      </c>
      <c r="S2709" s="7" t="str">
        <f>VLOOKUP(A2709,Sheet2!$A$2:$R$3432,18,0)</f>
        <v/>
      </c>
      <c r="T2709" s="7" t="str">
        <f>VLOOKUP(A2709,Sheet2!$A$2:$R$3432,17,0)</f>
        <v/>
      </c>
    </row>
    <row r="2710" ht="15.75" customHeight="1">
      <c r="A2710" s="3" t="s">
        <v>2733</v>
      </c>
      <c r="B2710" s="4" t="str">
        <f>VLOOKUP(A2710,Sheet2!$A$2:$R$3432,2,0)</f>
        <v>2024-10-19 20:33:27</v>
      </c>
      <c r="C2710" s="5" t="s">
        <v>25</v>
      </c>
      <c r="D2710" s="6" t="s">
        <v>25</v>
      </c>
      <c r="E2710" s="7">
        <f>VLOOKUP(A2710,Sheet2!$A$2:$R$3432,4,0)</f>
        <v>8888886858</v>
      </c>
      <c r="F2710" s="7" t="str">
        <f>VLOOKUP(A2710,Sheet2!$A$2:$R$3432,3,0)</f>
        <v>Hem Thapa</v>
      </c>
      <c r="G2710" s="5" t="s">
        <v>25</v>
      </c>
      <c r="H2710" s="5" t="s">
        <v>25</v>
      </c>
      <c r="I2710" s="5" t="s">
        <v>25</v>
      </c>
      <c r="J2710" s="5" t="s">
        <v>25</v>
      </c>
      <c r="K2710" s="7" t="str">
        <f>VLOOKUP(A2710,Sheet2!$A$2:$R$3432,6,0)</f>
        <v>Bajaj Avenger 220 Cruise</v>
      </c>
      <c r="L2710" s="5" t="s">
        <v>25</v>
      </c>
      <c r="M2710" s="7" t="str">
        <f>VLOOKUP(A2710,Sheet2!$A$2:$R$3432,5,0)</f>
        <v>MH14FL2731</v>
      </c>
      <c r="N2710" s="5" t="s">
        <v>25</v>
      </c>
      <c r="O2710" s="5" t="s">
        <v>25</v>
      </c>
      <c r="P2710" s="6" t="s">
        <v>25</v>
      </c>
      <c r="Q2710" s="5" t="s">
        <v>25</v>
      </c>
      <c r="R2710" s="5" t="s">
        <v>25</v>
      </c>
      <c r="S2710" s="5" t="str">
        <f>VLOOKUP(A2710,Sheet2!$A$2:$R$3432,18,0)</f>
        <v>PDZCE34494</v>
      </c>
      <c r="T2710" s="7" t="str">
        <f>VLOOKUP(A2710,Sheet2!$A$2:$R$3432,17,0)</f>
        <v>MD2AZZEZ6GCL21870</v>
      </c>
    </row>
    <row r="2711" ht="15.75" customHeight="1">
      <c r="A2711" s="3" t="s">
        <v>2734</v>
      </c>
      <c r="B2711" s="4" t="str">
        <f>VLOOKUP(A2711,Sheet2!$A$2:$R$3432,2,0)</f>
        <v>2024-10-19 20:34:13</v>
      </c>
      <c r="C2711" s="5" t="s">
        <v>25</v>
      </c>
      <c r="D2711" s="6" t="s">
        <v>25</v>
      </c>
      <c r="E2711" s="7">
        <f>VLOOKUP(A2711,Sheet2!$A$2:$R$3432,4,0)</f>
        <v>9527092900</v>
      </c>
      <c r="F2711" s="7" t="str">
        <f>VLOOKUP(A2711,Sheet2!$A$2:$R$3432,3,0)</f>
        <v>Sumit </v>
      </c>
      <c r="G2711" s="5" t="s">
        <v>25</v>
      </c>
      <c r="H2711" s="5" t="s">
        <v>25</v>
      </c>
      <c r="I2711" s="5" t="s">
        <v>25</v>
      </c>
      <c r="J2711" s="5" t="s">
        <v>25</v>
      </c>
      <c r="K2711" s="7" t="str">
        <f>VLOOKUP(A2711,Sheet2!$A$2:$R$3432,6,0)</f>
        <v>TVS Jupiter </v>
      </c>
      <c r="L2711" s="5" t="s">
        <v>25</v>
      </c>
      <c r="M2711" s="7" t="str">
        <f>VLOOKUP(A2711,Sheet2!$A$2:$R$3432,5,0)</f>
        <v>MH14HS514</v>
      </c>
      <c r="N2711" s="5" t="s">
        <v>25</v>
      </c>
      <c r="O2711" s="5" t="s">
        <v>25</v>
      </c>
      <c r="P2711" s="6" t="s">
        <v>25</v>
      </c>
      <c r="Q2711" s="5" t="s">
        <v>25</v>
      </c>
      <c r="R2711" s="5" t="s">
        <v>25</v>
      </c>
      <c r="S2711" s="5" t="str">
        <f>VLOOKUP(A2711,Sheet2!$A$2:$R$3432,18,0)</f>
        <v>DG4FK1012901</v>
      </c>
      <c r="T2711" s="7" t="str">
        <f>VLOOKUP(A2711,Sheet2!$A$2:$R$3432,17,0)</f>
        <v>MD626EG40K1F24710</v>
      </c>
    </row>
    <row r="2712" ht="15.75" customHeight="1">
      <c r="A2712" s="3" t="s">
        <v>2735</v>
      </c>
      <c r="B2712" s="4" t="str">
        <f>VLOOKUP(A2712,Sheet2!$A$2:$R$3432,2,0)</f>
        <v>2024-10-19 20:39:19</v>
      </c>
      <c r="C2712" s="5" t="s">
        <v>25</v>
      </c>
      <c r="D2712" s="6" t="s">
        <v>25</v>
      </c>
      <c r="E2712" s="7">
        <f>VLOOKUP(A2712,Sheet2!$A$2:$R$3432,4,0)</f>
        <v>9284541754</v>
      </c>
      <c r="F2712" s="7" t="str">
        <f>VLOOKUP(A2712,Sheet2!$A$2:$R$3432,3,0)</f>
        <v>Dheeraj Rajput</v>
      </c>
      <c r="G2712" s="5" t="s">
        <v>25</v>
      </c>
      <c r="H2712" s="5" t="s">
        <v>25</v>
      </c>
      <c r="I2712" s="5" t="s">
        <v>25</v>
      </c>
      <c r="J2712" s="5" t="s">
        <v>25</v>
      </c>
      <c r="K2712" s="7" t="str">
        <f>VLOOKUP(A2712,Sheet2!$A$2:$R$3432,6,0)</f>
        <v>Suzuki Access </v>
      </c>
      <c r="L2712" s="5" t="s">
        <v>25</v>
      </c>
      <c r="M2712" s="7" t="str">
        <f>VLOOKUP(A2712,Sheet2!$A$2:$R$3432,5,0)</f>
        <v>MH15DD1642</v>
      </c>
      <c r="N2712" s="5" t="s">
        <v>25</v>
      </c>
      <c r="O2712" s="5" t="s">
        <v>25</v>
      </c>
      <c r="P2712" s="6" t="s">
        <v>25</v>
      </c>
      <c r="Q2712" s="5" t="s">
        <v>25</v>
      </c>
      <c r="R2712" s="5" t="s">
        <v>25</v>
      </c>
      <c r="S2712" s="7" t="str">
        <f>VLOOKUP(A2712,Sheet2!$A$2:$R$3432,18,0)</f>
        <v/>
      </c>
      <c r="T2712" s="7" t="str">
        <f>VLOOKUP(A2712,Sheet2!$A$2:$R$3432,17,0)</f>
        <v>MB8CF4CAGB8312482</v>
      </c>
    </row>
    <row r="2713" ht="15.75" customHeight="1">
      <c r="A2713" s="3" t="s">
        <v>2736</v>
      </c>
      <c r="B2713" s="4" t="str">
        <f>VLOOKUP(A2713,Sheet2!$A$2:$R$3432,2,0)</f>
        <v>2025-07-13 16:52:33</v>
      </c>
      <c r="C2713" s="5" t="s">
        <v>25</v>
      </c>
      <c r="D2713" s="6" t="s">
        <v>25</v>
      </c>
      <c r="E2713" s="7">
        <f>VLOOKUP(A2713,Sheet2!$A$2:$R$3432,4,0)</f>
        <v>9822623447</v>
      </c>
      <c r="F2713" s="7" t="str">
        <f>VLOOKUP(A2713,Sheet2!$A$2:$R$3432,3,0)</f>
        <v>ARUN PAWASEKAR</v>
      </c>
      <c r="G2713" s="5" t="s">
        <v>25</v>
      </c>
      <c r="H2713" s="5" t="s">
        <v>25</v>
      </c>
      <c r="I2713" s="5" t="s">
        <v>25</v>
      </c>
      <c r="J2713" s="5" t="s">
        <v>25</v>
      </c>
      <c r="K2713" s="7" t="str">
        <f>VLOOKUP(A2713,Sheet2!$A$2:$R$3432,6,0)</f>
        <v>Honda Activa 4G</v>
      </c>
      <c r="L2713" s="5" t="s">
        <v>25</v>
      </c>
      <c r="M2713" s="7" t="str">
        <f>VLOOKUP(A2713,Sheet2!$A$2:$R$3432,5,0)</f>
        <v>MH14FR6407</v>
      </c>
      <c r="N2713" s="5" t="s">
        <v>25</v>
      </c>
      <c r="O2713" s="5" t="s">
        <v>25</v>
      </c>
      <c r="P2713" s="6" t="s">
        <v>25</v>
      </c>
      <c r="Q2713" s="5" t="s">
        <v>25</v>
      </c>
      <c r="R2713" s="5" t="s">
        <v>25</v>
      </c>
      <c r="S2713" s="5" t="str">
        <f>VLOOKUP(A2713,Sheet2!$A$2:$R$3432,18,0)</f>
        <v>JF50ET552166</v>
      </c>
      <c r="T2713" s="7" t="str">
        <f>VLOOKUP(A2713,Sheet2!$A$2:$R$3432,17,0)</f>
        <v>ME4JF505GGT580906</v>
      </c>
    </row>
    <row r="2714" ht="15.75" customHeight="1">
      <c r="A2714" s="3" t="s">
        <v>2737</v>
      </c>
      <c r="B2714" s="4" t="str">
        <f>VLOOKUP(A2714,Sheet2!$A$2:$R$3432,2,0)</f>
        <v>2025-07-13 17:02:11</v>
      </c>
      <c r="C2714" s="5" t="s">
        <v>25</v>
      </c>
      <c r="D2714" s="6" t="s">
        <v>25</v>
      </c>
      <c r="E2714" s="7">
        <f>VLOOKUP(A2714,Sheet2!$A$2:$R$3432,4,0)</f>
        <v>9075509481</v>
      </c>
      <c r="F2714" s="7" t="str">
        <f>VLOOKUP(A2714,Sheet2!$A$2:$R$3432,3,0)</f>
        <v>VINIT SATOSE</v>
      </c>
      <c r="G2714" s="5" t="s">
        <v>25</v>
      </c>
      <c r="H2714" s="5" t="s">
        <v>25</v>
      </c>
      <c r="I2714" s="5" t="s">
        <v>25</v>
      </c>
      <c r="J2714" s="5" t="s">
        <v>25</v>
      </c>
      <c r="K2714" s="7" t="str">
        <f>VLOOKUP(A2714,Sheet2!$A$2:$R$3432,6,0)</f>
        <v>Honda Shine 125</v>
      </c>
      <c r="L2714" s="5" t="s">
        <v>25</v>
      </c>
      <c r="M2714" s="7" t="str">
        <f>VLOOKUP(A2714,Sheet2!$A$2:$R$3432,5,0)</f>
        <v>MH14ET9379</v>
      </c>
      <c r="N2714" s="5" t="s">
        <v>25</v>
      </c>
      <c r="O2714" s="5" t="s">
        <v>25</v>
      </c>
      <c r="P2714" s="6" t="s">
        <v>25</v>
      </c>
      <c r="Q2714" s="5" t="s">
        <v>25</v>
      </c>
      <c r="R2714" s="5" t="s">
        <v>25</v>
      </c>
      <c r="S2714" s="7" t="str">
        <f>VLOOKUP(A2714,Sheet2!$A$2:$R$3432,18,0)</f>
        <v/>
      </c>
      <c r="T2714" s="7" t="str">
        <f>VLOOKUP(A2714,Sheet2!$A$2:$R$3432,17,0)</f>
        <v/>
      </c>
    </row>
    <row r="2715" ht="15.75" customHeight="1">
      <c r="A2715" s="3" t="s">
        <v>2738</v>
      </c>
      <c r="B2715" s="4" t="str">
        <f>VLOOKUP(A2715,Sheet2!$A$2:$R$3432,2,0)</f>
        <v>2025-07-13 17:01:37</v>
      </c>
      <c r="C2715" s="5" t="s">
        <v>25</v>
      </c>
      <c r="D2715" s="6" t="s">
        <v>25</v>
      </c>
      <c r="E2715" s="7">
        <f>VLOOKUP(A2715,Sheet2!$A$2:$R$3432,4,0)</f>
        <v>8983739321</v>
      </c>
      <c r="F2715" s="7" t="str">
        <f>VLOOKUP(A2715,Sheet2!$A$2:$R$3432,3,0)</f>
        <v>Shreyansh Gupta </v>
      </c>
      <c r="G2715" s="5" t="s">
        <v>25</v>
      </c>
      <c r="H2715" s="5" t="s">
        <v>25</v>
      </c>
      <c r="I2715" s="5" t="s">
        <v>25</v>
      </c>
      <c r="J2715" s="5" t="s">
        <v>25</v>
      </c>
      <c r="K2715" s="7" t="str">
        <f>VLOOKUP(A2715,Sheet2!$A$2:$R$3432,6,0)</f>
        <v>Suzuki Swish 125</v>
      </c>
      <c r="L2715" s="5" t="s">
        <v>25</v>
      </c>
      <c r="M2715" s="7" t="str">
        <f>VLOOKUP(A2715,Sheet2!$A$2:$R$3432,5,0)</f>
        <v>MH12KG8962</v>
      </c>
      <c r="N2715" s="5" t="s">
        <v>25</v>
      </c>
      <c r="O2715" s="5" t="s">
        <v>25</v>
      </c>
      <c r="P2715" s="6" t="s">
        <v>25</v>
      </c>
      <c r="Q2715" s="5" t="s">
        <v>25</v>
      </c>
      <c r="R2715" s="5" t="s">
        <v>25</v>
      </c>
      <c r="S2715" s="7" t="str">
        <f>VLOOKUP(A2715,Sheet2!$A$2:$R$3432,18,0)</f>
        <v/>
      </c>
      <c r="T2715" s="7" t="str">
        <f>VLOOKUP(A2715,Sheet2!$A$2:$R$3432,17,0)</f>
        <v/>
      </c>
    </row>
    <row r="2716" ht="15.75" customHeight="1">
      <c r="A2716" s="3" t="s">
        <v>2739</v>
      </c>
      <c r="B2716" s="4" t="str">
        <f>VLOOKUP(A2716,Sheet2!$A$2:$R$3432,2,0)</f>
        <v>2025-07-13 17:03:29</v>
      </c>
      <c r="C2716" s="5" t="s">
        <v>25</v>
      </c>
      <c r="D2716" s="6" t="s">
        <v>25</v>
      </c>
      <c r="E2716" s="7">
        <f>VLOOKUP(A2716,Sheet2!$A$2:$R$3432,4,0)</f>
        <v>8669787479</v>
      </c>
      <c r="F2716" s="7" t="str">
        <f>VLOOKUP(A2716,Sheet2!$A$2:$R$3432,3,0)</f>
        <v>AKASH</v>
      </c>
      <c r="G2716" s="5" t="s">
        <v>25</v>
      </c>
      <c r="H2716" s="5" t="s">
        <v>25</v>
      </c>
      <c r="I2716" s="5" t="s">
        <v>25</v>
      </c>
      <c r="J2716" s="5" t="s">
        <v>25</v>
      </c>
      <c r="K2716" s="7" t="str">
        <f>VLOOKUP(A2716,Sheet2!$A$2:$R$3432,6,0)</f>
        <v>Bajaj Pulsar 200 RS</v>
      </c>
      <c r="L2716" s="5" t="s">
        <v>25</v>
      </c>
      <c r="M2716" s="7" t="str">
        <f>VLOOKUP(A2716,Sheet2!$A$2:$R$3432,5,0)</f>
        <v>MH12MT5605</v>
      </c>
      <c r="N2716" s="5" t="s">
        <v>25</v>
      </c>
      <c r="O2716" s="5" t="s">
        <v>25</v>
      </c>
      <c r="P2716" s="6" t="s">
        <v>25</v>
      </c>
      <c r="Q2716" s="5" t="s">
        <v>25</v>
      </c>
      <c r="R2716" s="5" t="s">
        <v>25</v>
      </c>
      <c r="S2716" s="7" t="str">
        <f>VLOOKUP(A2716,Sheet2!$A$2:$R$3432,18,0)</f>
        <v/>
      </c>
      <c r="T2716" s="7" t="str">
        <f>VLOOKUP(A2716,Sheet2!$A$2:$R$3432,17,0)</f>
        <v>MD2A55FZ2GCK04049</v>
      </c>
    </row>
    <row r="2717" ht="15.75" customHeight="1">
      <c r="A2717" s="3" t="s">
        <v>2740</v>
      </c>
      <c r="B2717" s="4" t="str">
        <f>VLOOKUP(A2717,Sheet2!$A$2:$R$3432,2,0)</f>
        <v>2025-07-13 17:04:48</v>
      </c>
      <c r="C2717" s="5" t="s">
        <v>25</v>
      </c>
      <c r="D2717" s="6" t="s">
        <v>25</v>
      </c>
      <c r="E2717" s="7">
        <f>VLOOKUP(A2717,Sheet2!$A$2:$R$3432,4,0)</f>
        <v>7499331879</v>
      </c>
      <c r="F2717" s="7" t="str">
        <f>VLOOKUP(A2717,Sheet2!$A$2:$R$3432,3,0)</f>
        <v>Akshay Kale</v>
      </c>
      <c r="G2717" s="5" t="s">
        <v>25</v>
      </c>
      <c r="H2717" s="5" t="s">
        <v>25</v>
      </c>
      <c r="I2717" s="5" t="s">
        <v>25</v>
      </c>
      <c r="J2717" s="5" t="s">
        <v>25</v>
      </c>
      <c r="K2717" s="7" t="str">
        <f>VLOOKUP(A2717,Sheet2!$A$2:$R$3432,6,0)</f>
        <v>Hero Pleasure </v>
      </c>
      <c r="L2717" s="5" t="s">
        <v>25</v>
      </c>
      <c r="M2717" s="7" t="str">
        <f>VLOOKUP(A2717,Sheet2!$A$2:$R$3432,5,0)</f>
        <v>MH49N5840</v>
      </c>
      <c r="N2717" s="5" t="s">
        <v>25</v>
      </c>
      <c r="O2717" s="5" t="s">
        <v>25</v>
      </c>
      <c r="P2717" s="6" t="s">
        <v>25</v>
      </c>
      <c r="Q2717" s="5" t="s">
        <v>25</v>
      </c>
      <c r="R2717" s="5" t="s">
        <v>25</v>
      </c>
      <c r="S2717" s="5" t="str">
        <f>VLOOKUP(A2717,Sheet2!$A$2:$R$3432,18,0)</f>
        <v>JF16ECDGG28121</v>
      </c>
      <c r="T2717" s="7" t="str">
        <f>VLOOKUP(A2717,Sheet2!$A$2:$R$3432,17,0)</f>
        <v>MBLJF16EFDGG27279</v>
      </c>
    </row>
    <row r="2718" ht="15.75" customHeight="1">
      <c r="A2718" s="3" t="s">
        <v>2741</v>
      </c>
      <c r="B2718" s="4" t="str">
        <f>VLOOKUP(A2718,Sheet2!$A$2:$R$3432,2,0)</f>
        <v>2025-07-13 17:04:05</v>
      </c>
      <c r="C2718" s="5" t="s">
        <v>25</v>
      </c>
      <c r="D2718" s="6" t="s">
        <v>25</v>
      </c>
      <c r="E2718" s="7">
        <f>VLOOKUP(A2718,Sheet2!$A$2:$R$3432,4,0)</f>
        <v>9619664133</v>
      </c>
      <c r="F2718" s="7" t="str">
        <f>VLOOKUP(A2718,Sheet2!$A$2:$R$3432,3,0)</f>
        <v>HIMANSHU</v>
      </c>
      <c r="G2718" s="5" t="s">
        <v>25</v>
      </c>
      <c r="H2718" s="5" t="s">
        <v>25</v>
      </c>
      <c r="I2718" s="5" t="s">
        <v>25</v>
      </c>
      <c r="J2718" s="5" t="s">
        <v>25</v>
      </c>
      <c r="K2718" s="7" t="str">
        <f>VLOOKUP(A2718,Sheet2!$A$2:$R$3432,6,0)</f>
        <v>Hero Pleasure </v>
      </c>
      <c r="L2718" s="5" t="s">
        <v>25</v>
      </c>
      <c r="M2718" s="7" t="str">
        <f>VLOOKUP(A2718,Sheet2!$A$2:$R$3432,5,0)</f>
        <v>MH14CV729</v>
      </c>
      <c r="N2718" s="5" t="s">
        <v>25</v>
      </c>
      <c r="O2718" s="5" t="s">
        <v>25</v>
      </c>
      <c r="P2718" s="6" t="s">
        <v>25</v>
      </c>
      <c r="Q2718" s="5" t="s">
        <v>25</v>
      </c>
      <c r="R2718" s="5" t="s">
        <v>25</v>
      </c>
      <c r="S2718" s="7" t="str">
        <f>VLOOKUP(A2718,Sheet2!$A$2:$R$3432,18,0)</f>
        <v/>
      </c>
      <c r="T2718" s="7" t="str">
        <f>VLOOKUP(A2718,Sheet2!$A$2:$R$3432,17,0)</f>
        <v/>
      </c>
    </row>
    <row r="2719" ht="15.75" customHeight="1">
      <c r="A2719" s="3" t="s">
        <v>2742</v>
      </c>
      <c r="B2719" s="4" t="str">
        <f>VLOOKUP(A2719,Sheet2!$A$2:$R$3432,2,0)</f>
        <v>2025-07-13 17:13:31</v>
      </c>
      <c r="C2719" s="5" t="s">
        <v>25</v>
      </c>
      <c r="D2719" s="6" t="s">
        <v>25</v>
      </c>
      <c r="E2719" s="7">
        <f>VLOOKUP(A2719,Sheet2!$A$2:$R$3432,4,0)</f>
        <v>8668682340</v>
      </c>
      <c r="F2719" s="7" t="str">
        <f>VLOOKUP(A2719,Sheet2!$A$2:$R$3432,3,0)</f>
        <v>Ramesh</v>
      </c>
      <c r="G2719" s="5" t="s">
        <v>25</v>
      </c>
      <c r="H2719" s="5" t="s">
        <v>25</v>
      </c>
      <c r="I2719" s="5" t="s">
        <v>25</v>
      </c>
      <c r="J2719" s="5" t="s">
        <v>25</v>
      </c>
      <c r="K2719" s="7" t="str">
        <f>VLOOKUP(A2719,Sheet2!$A$2:$R$3432,6,0)</f>
        <v>Honda Hornet </v>
      </c>
      <c r="L2719" s="5" t="s">
        <v>25</v>
      </c>
      <c r="M2719" s="7" t="str">
        <f>VLOOKUP(A2719,Sheet2!$A$2:$R$3432,5,0)</f>
        <v>MH14GG3538</v>
      </c>
      <c r="N2719" s="5" t="s">
        <v>25</v>
      </c>
      <c r="O2719" s="5" t="s">
        <v>25</v>
      </c>
      <c r="P2719" s="6" t="s">
        <v>25</v>
      </c>
      <c r="Q2719" s="5" t="s">
        <v>25</v>
      </c>
      <c r="R2719" s="5" t="s">
        <v>25</v>
      </c>
      <c r="S2719" s="5" t="str">
        <f>VLOOKUP(A2719,Sheet2!$A$2:$R$3432,18,0)</f>
        <v>KC23E84002579</v>
      </c>
      <c r="T2719" s="7" t="str">
        <f>VLOOKUP(A2719,Sheet2!$A$2:$R$3432,17,0)</f>
        <v>ME4KC239DH8002086</v>
      </c>
    </row>
    <row r="2720" ht="15.75" customHeight="1">
      <c r="A2720" s="3" t="s">
        <v>2743</v>
      </c>
      <c r="B2720" s="4" t="str">
        <f>VLOOKUP(A2720,Sheet2!$A$2:$R$3432,2,0)</f>
        <v>2025-07-13 19:58:06</v>
      </c>
      <c r="C2720" s="5" t="s">
        <v>25</v>
      </c>
      <c r="D2720" s="6" t="s">
        <v>25</v>
      </c>
      <c r="E2720" s="7">
        <f>VLOOKUP(A2720,Sheet2!$A$2:$R$3432,4,0)</f>
        <v>9960967799</v>
      </c>
      <c r="F2720" s="7" t="str">
        <f>VLOOKUP(A2720,Sheet2!$A$2:$R$3432,3,0)</f>
        <v>KIRAN DASHRATH</v>
      </c>
      <c r="G2720" s="5" t="s">
        <v>25</v>
      </c>
      <c r="H2720" s="5" t="s">
        <v>25</v>
      </c>
      <c r="I2720" s="5" t="s">
        <v>25</v>
      </c>
      <c r="J2720" s="5" t="s">
        <v>25</v>
      </c>
      <c r="K2720" s="7" t="str">
        <f>VLOOKUP(A2720,Sheet2!$A$2:$R$3432,6,0)</f>
        <v>Yamaha FZ 1</v>
      </c>
      <c r="L2720" s="5" t="s">
        <v>25</v>
      </c>
      <c r="M2720" s="7" t="str">
        <f>VLOOKUP(A2720,Sheet2!$A$2:$R$3432,5,0)</f>
        <v>MH14CR4383</v>
      </c>
      <c r="N2720" s="5" t="s">
        <v>25</v>
      </c>
      <c r="O2720" s="5" t="s">
        <v>25</v>
      </c>
      <c r="P2720" s="6" t="s">
        <v>25</v>
      </c>
      <c r="Q2720" s="5" t="s">
        <v>25</v>
      </c>
      <c r="R2720" s="5" t="s">
        <v>25</v>
      </c>
      <c r="S2720" s="7" t="str">
        <f>VLOOKUP(A2720,Sheet2!$A$2:$R$3432,18,0)</f>
        <v/>
      </c>
      <c r="T2720" s="7" t="str">
        <f>VLOOKUP(A2720,Sheet2!$A$2:$R$3432,17,0)</f>
        <v/>
      </c>
    </row>
    <row r="2721" ht="15.75" customHeight="1">
      <c r="A2721" s="3" t="s">
        <v>2744</v>
      </c>
      <c r="B2721" s="4" t="str">
        <f>VLOOKUP(A2721,Sheet2!$A$2:$R$3432,2,0)</f>
        <v>2025-07-13 19:54:30</v>
      </c>
      <c r="C2721" s="5" t="s">
        <v>25</v>
      </c>
      <c r="D2721" s="6" t="s">
        <v>25</v>
      </c>
      <c r="E2721" s="7">
        <f>VLOOKUP(A2721,Sheet2!$A$2:$R$3432,4,0)</f>
        <v>7020766499</v>
      </c>
      <c r="F2721" s="7" t="str">
        <f>VLOOKUP(A2721,Sheet2!$A$2:$R$3432,3,0)</f>
        <v>SUMIT </v>
      </c>
      <c r="G2721" s="5" t="s">
        <v>25</v>
      </c>
      <c r="H2721" s="5" t="s">
        <v>25</v>
      </c>
      <c r="I2721" s="5" t="s">
        <v>25</v>
      </c>
      <c r="J2721" s="5" t="s">
        <v>25</v>
      </c>
      <c r="K2721" s="7" t="str">
        <f>VLOOKUP(A2721,Sheet2!$A$2:$R$3432,6,0)</f>
        <v>Honda Grazia </v>
      </c>
      <c r="L2721" s="5" t="s">
        <v>25</v>
      </c>
      <c r="M2721" s="7" t="str">
        <f>VLOOKUP(A2721,Sheet2!$A$2:$R$3432,5,0)</f>
        <v>MH12RQ6076</v>
      </c>
      <c r="N2721" s="5" t="s">
        <v>25</v>
      </c>
      <c r="O2721" s="5" t="s">
        <v>25</v>
      </c>
      <c r="P2721" s="6" t="s">
        <v>25</v>
      </c>
      <c r="Q2721" s="5" t="s">
        <v>25</v>
      </c>
      <c r="R2721" s="5" t="s">
        <v>25</v>
      </c>
      <c r="S2721" s="5" t="str">
        <f>VLOOKUP(A2721,Sheet2!$A$2:$R$3432,18,0)</f>
        <v>JF49EU3165670</v>
      </c>
      <c r="T2721" s="7" t="str">
        <f>VLOOKUP(A2721,Sheet2!$A$2:$R$3432,17,0)</f>
        <v>ME4JF498FJU71337</v>
      </c>
    </row>
    <row r="2722" ht="15.75" customHeight="1">
      <c r="A2722" s="3" t="s">
        <v>2745</v>
      </c>
      <c r="B2722" s="4" t="str">
        <f>VLOOKUP(A2722,Sheet2!$A$2:$R$3432,2,0)</f>
        <v>2025-07-13 19:52:21</v>
      </c>
      <c r="C2722" s="5" t="s">
        <v>25</v>
      </c>
      <c r="D2722" s="6" t="s">
        <v>25</v>
      </c>
      <c r="E2722" s="7">
        <f>VLOOKUP(A2722,Sheet2!$A$2:$R$3432,4,0)</f>
        <v>8805759519</v>
      </c>
      <c r="F2722" s="7" t="str">
        <f>VLOOKUP(A2722,Sheet2!$A$2:$R$3432,3,0)</f>
        <v>SAVITA THORAT</v>
      </c>
      <c r="G2722" s="5" t="s">
        <v>25</v>
      </c>
      <c r="H2722" s="5" t="s">
        <v>25</v>
      </c>
      <c r="I2722" s="5" t="s">
        <v>25</v>
      </c>
      <c r="J2722" s="5" t="s">
        <v>25</v>
      </c>
      <c r="K2722" s="7" t="str">
        <f>VLOOKUP(A2722,Sheet2!$A$2:$R$3432,6,0)</f>
        <v>Honda Activa 6G</v>
      </c>
      <c r="L2722" s="5" t="s">
        <v>25</v>
      </c>
      <c r="M2722" s="7" t="str">
        <f>VLOOKUP(A2722,Sheet2!$A$2:$R$3432,5,0)</f>
        <v>MH14JN1102</v>
      </c>
      <c r="N2722" s="5" t="s">
        <v>25</v>
      </c>
      <c r="O2722" s="5" t="s">
        <v>25</v>
      </c>
      <c r="P2722" s="6" t="s">
        <v>25</v>
      </c>
      <c r="Q2722" s="5" t="s">
        <v>25</v>
      </c>
      <c r="R2722" s="5" t="s">
        <v>25</v>
      </c>
      <c r="S2722" s="5" t="str">
        <f>VLOOKUP(A2722,Sheet2!$A$2:$R$3432,18,0)</f>
        <v>JF91ED2011338</v>
      </c>
      <c r="T2722" s="7" t="str">
        <f>VLOOKUP(A2722,Sheet2!$A$2:$R$3432,17,0)</f>
        <v>ME4JF916BMD011328</v>
      </c>
    </row>
    <row r="2723" ht="15.75" customHeight="1">
      <c r="A2723" s="3" t="s">
        <v>2746</v>
      </c>
      <c r="B2723" s="4" t="str">
        <f>VLOOKUP(A2723,Sheet2!$A$2:$R$3432,2,0)</f>
        <v>2025-07-13 19:53:12</v>
      </c>
      <c r="C2723" s="5" t="s">
        <v>25</v>
      </c>
      <c r="D2723" s="6" t="s">
        <v>25</v>
      </c>
      <c r="E2723" s="7">
        <f>VLOOKUP(A2723,Sheet2!$A$2:$R$3432,4,0)</f>
        <v>9673758691</v>
      </c>
      <c r="F2723" s="7" t="str">
        <f>VLOOKUP(A2723,Sheet2!$A$2:$R$3432,3,0)</f>
        <v>RUSHIKESH SHELKE</v>
      </c>
      <c r="G2723" s="5" t="s">
        <v>25</v>
      </c>
      <c r="H2723" s="5" t="s">
        <v>25</v>
      </c>
      <c r="I2723" s="5" t="s">
        <v>25</v>
      </c>
      <c r="J2723" s="5" t="s">
        <v>25</v>
      </c>
      <c r="K2723" s="7" t="str">
        <f>VLOOKUP(A2723,Sheet2!$A$2:$R$3432,6,0)</f>
        <v>Yamaha FZ </v>
      </c>
      <c r="L2723" s="5" t="s">
        <v>25</v>
      </c>
      <c r="M2723" s="7" t="str">
        <f>VLOOKUP(A2723,Sheet2!$A$2:$R$3432,5,0)</f>
        <v>MH12RB1925</v>
      </c>
      <c r="N2723" s="5" t="s">
        <v>25</v>
      </c>
      <c r="O2723" s="5" t="s">
        <v>25</v>
      </c>
      <c r="P2723" s="6" t="s">
        <v>25</v>
      </c>
      <c r="Q2723" s="5" t="s">
        <v>25</v>
      </c>
      <c r="R2723" s="5" t="s">
        <v>25</v>
      </c>
      <c r="S2723" s="5" t="str">
        <f>VLOOKUP(A2723,Sheet2!$A$2:$R$3432,18,0)</f>
        <v>G3H7E0071904</v>
      </c>
      <c r="T2723" s="7" t="str">
        <f>VLOOKUP(A2723,Sheet2!$A$2:$R$3432,17,0)</f>
        <v>ME1G4219J0046776</v>
      </c>
    </row>
    <row r="2724" ht="15.75" customHeight="1">
      <c r="A2724" s="3" t="s">
        <v>2747</v>
      </c>
      <c r="B2724" s="4" t="str">
        <f>VLOOKUP(A2724,Sheet2!$A$2:$R$3432,2,0)</f>
        <v>2025-07-13 19:53:54</v>
      </c>
      <c r="C2724" s="5" t="s">
        <v>25</v>
      </c>
      <c r="D2724" s="6" t="s">
        <v>25</v>
      </c>
      <c r="E2724" s="7">
        <f>VLOOKUP(A2724,Sheet2!$A$2:$R$3432,4,0)</f>
        <v>9975800740</v>
      </c>
      <c r="F2724" s="7" t="str">
        <f>VLOOKUP(A2724,Sheet2!$A$2:$R$3432,3,0)</f>
        <v>Regwin</v>
      </c>
      <c r="G2724" s="5" t="s">
        <v>25</v>
      </c>
      <c r="H2724" s="5" t="s">
        <v>25</v>
      </c>
      <c r="I2724" s="5" t="s">
        <v>25</v>
      </c>
      <c r="J2724" s="5" t="s">
        <v>25</v>
      </c>
      <c r="K2724" s="7" t="str">
        <f>VLOOKUP(A2724,Sheet2!$A$2:$R$3432,6,0)</f>
        <v>Honda Activa 110</v>
      </c>
      <c r="L2724" s="5" t="s">
        <v>25</v>
      </c>
      <c r="M2724" s="7" t="str">
        <f>VLOOKUP(A2724,Sheet2!$A$2:$R$3432,5,0)</f>
        <v>MH14FJ5716</v>
      </c>
      <c r="N2724" s="5" t="s">
        <v>25</v>
      </c>
      <c r="O2724" s="5" t="s">
        <v>25</v>
      </c>
      <c r="P2724" s="6" t="s">
        <v>25</v>
      </c>
      <c r="Q2724" s="5" t="s">
        <v>25</v>
      </c>
      <c r="R2724" s="5" t="s">
        <v>25</v>
      </c>
      <c r="S2724" s="5" t="str">
        <f>VLOOKUP(A2724,Sheet2!$A$2:$R$3432,18,0)</f>
        <v>JF50ET2986163</v>
      </c>
      <c r="T2724" s="7" t="str">
        <f>VLOOKUP(A2724,Sheet2!$A$2:$R$3432,17,0)</f>
        <v>ME4JF504LFT985888</v>
      </c>
    </row>
    <row r="2725" ht="15.75" customHeight="1">
      <c r="A2725" s="3" t="s">
        <v>2748</v>
      </c>
      <c r="B2725" s="4" t="str">
        <f>VLOOKUP(A2725,Sheet2!$A$2:$R$3432,2,0)</f>
        <v>2025-07-13 19:55:24</v>
      </c>
      <c r="C2725" s="5" t="s">
        <v>25</v>
      </c>
      <c r="D2725" s="6" t="s">
        <v>25</v>
      </c>
      <c r="E2725" s="7">
        <f>VLOOKUP(A2725,Sheet2!$A$2:$R$3432,4,0)</f>
        <v>9867644017</v>
      </c>
      <c r="F2725" s="7" t="str">
        <f>VLOOKUP(A2725,Sheet2!$A$2:$R$3432,3,0)</f>
        <v>RANJANKUMAR GIRI</v>
      </c>
      <c r="G2725" s="5" t="s">
        <v>25</v>
      </c>
      <c r="H2725" s="5" t="s">
        <v>25</v>
      </c>
      <c r="I2725" s="5" t="s">
        <v>25</v>
      </c>
      <c r="J2725" s="5" t="s">
        <v>25</v>
      </c>
      <c r="K2725" s="7" t="str">
        <f>VLOOKUP(A2725,Sheet2!$A$2:$R$3432,6,0)</f>
        <v>Royal Enfield Classic 350</v>
      </c>
      <c r="L2725" s="5" t="s">
        <v>25</v>
      </c>
      <c r="M2725" s="7" t="str">
        <f>VLOOKUP(A2725,Sheet2!$A$2:$R$3432,5,0)</f>
        <v>MH12RS0637</v>
      </c>
      <c r="N2725" s="5" t="s">
        <v>25</v>
      </c>
      <c r="O2725" s="5" t="s">
        <v>25</v>
      </c>
      <c r="P2725" s="6" t="s">
        <v>25</v>
      </c>
      <c r="Q2725" s="5" t="s">
        <v>25</v>
      </c>
      <c r="R2725" s="5" t="s">
        <v>25</v>
      </c>
      <c r="S2725" s="7" t="str">
        <f>VLOOKUP(A2725,Sheet2!$A$2:$R$3432,18,0)</f>
        <v/>
      </c>
      <c r="T2725" s="7" t="str">
        <f>VLOOKUP(A2725,Sheet2!$A$2:$R$3432,17,0)</f>
        <v/>
      </c>
    </row>
    <row r="2726" ht="15.75" customHeight="1">
      <c r="A2726" s="3" t="s">
        <v>2749</v>
      </c>
      <c r="B2726" s="4" t="str">
        <f>VLOOKUP(A2726,Sheet2!$A$2:$R$3432,2,0)</f>
        <v>2025-07-13 19:56:59</v>
      </c>
      <c r="C2726" s="5" t="s">
        <v>25</v>
      </c>
      <c r="D2726" s="6" t="s">
        <v>25</v>
      </c>
      <c r="E2726" s="7">
        <f>VLOOKUP(A2726,Sheet2!$A$2:$R$3432,4,0)</f>
        <v>7038169181</v>
      </c>
      <c r="F2726" s="7" t="str">
        <f>VLOOKUP(A2726,Sheet2!$A$2:$R$3432,3,0)</f>
        <v>Abhijit Thakur </v>
      </c>
      <c r="G2726" s="5" t="s">
        <v>25</v>
      </c>
      <c r="H2726" s="5" t="s">
        <v>25</v>
      </c>
      <c r="I2726" s="5" t="s">
        <v>25</v>
      </c>
      <c r="J2726" s="5" t="s">
        <v>25</v>
      </c>
      <c r="K2726" s="7" t="str">
        <f>VLOOKUP(A2726,Sheet2!$A$2:$R$3432,6,0)</f>
        <v>TVS Jupiter </v>
      </c>
      <c r="L2726" s="5" t="s">
        <v>25</v>
      </c>
      <c r="M2726" s="7" t="str">
        <f>VLOOKUP(A2726,Sheet2!$A$2:$R$3432,5,0)</f>
        <v>MH14KX8366</v>
      </c>
      <c r="N2726" s="5" t="s">
        <v>25</v>
      </c>
      <c r="O2726" s="5" t="s">
        <v>25</v>
      </c>
      <c r="P2726" s="6" t="s">
        <v>25</v>
      </c>
      <c r="Q2726" s="5" t="s">
        <v>25</v>
      </c>
      <c r="R2726" s="5" t="s">
        <v>25</v>
      </c>
      <c r="S2726" s="5" t="str">
        <f>VLOOKUP(A2726,Sheet2!$A$2:$R$3432,18,0)</f>
        <v>EG5FP1403786 JI</v>
      </c>
      <c r="T2726" s="7" t="str">
        <f>VLOOKUP(A2726,Sheet2!$A$2:$R$3432,17,0)</f>
        <v>MD626CG57P1F33425</v>
      </c>
    </row>
    <row r="2727" ht="15.75" customHeight="1">
      <c r="A2727" s="3" t="s">
        <v>2750</v>
      </c>
      <c r="B2727" s="4" t="str">
        <f>VLOOKUP(A2727,Sheet2!$A$2:$R$3432,2,0)</f>
        <v>2025-07-13 19:58:25</v>
      </c>
      <c r="C2727" s="5" t="s">
        <v>25</v>
      </c>
      <c r="D2727" s="6" t="s">
        <v>25</v>
      </c>
      <c r="E2727" s="7">
        <f>VLOOKUP(A2727,Sheet2!$A$2:$R$3432,4,0)</f>
        <v>9673334817</v>
      </c>
      <c r="F2727" s="7" t="str">
        <f>VLOOKUP(A2727,Sheet2!$A$2:$R$3432,3,0)</f>
        <v>Bewin</v>
      </c>
      <c r="G2727" s="5" t="s">
        <v>25</v>
      </c>
      <c r="H2727" s="5" t="s">
        <v>25</v>
      </c>
      <c r="I2727" s="5" t="s">
        <v>25</v>
      </c>
      <c r="J2727" s="5" t="s">
        <v>25</v>
      </c>
      <c r="K2727" s="7" t="str">
        <f>VLOOKUP(A2727,Sheet2!$A$2:$R$3432,6,0)</f>
        <v>TVS Apache RTR 160</v>
      </c>
      <c r="L2727" s="5" t="s">
        <v>25</v>
      </c>
      <c r="M2727" s="7" t="str">
        <f>VLOOKUP(A2727,Sheet2!$A$2:$R$3432,5,0)</f>
        <v>MH14KG5649</v>
      </c>
      <c r="N2727" s="5" t="s">
        <v>25</v>
      </c>
      <c r="O2727" s="5" t="s">
        <v>25</v>
      </c>
      <c r="P2727" s="6" t="s">
        <v>25</v>
      </c>
      <c r="Q2727" s="5" t="s">
        <v>25</v>
      </c>
      <c r="R2727" s="5" t="s">
        <v>25</v>
      </c>
      <c r="S2727" s="5" t="str">
        <f>VLOOKUP(A2727,Sheet2!$A$2:$R$3432,18,0)</f>
        <v>GEHN2502546</v>
      </c>
      <c r="T2727" s="7" t="str">
        <f>VLOOKUP(A2727,Sheet2!$A$2:$R$3432,17,0)</f>
        <v>MD637GESZN2H06500</v>
      </c>
    </row>
    <row r="2728" ht="15.75" customHeight="1">
      <c r="A2728" s="3" t="s">
        <v>2751</v>
      </c>
      <c r="B2728" s="4" t="str">
        <f>VLOOKUP(A2728,Sheet2!$A$2:$R$3432,2,0)</f>
        <v>2025-07-13 19:57:16</v>
      </c>
      <c r="C2728" s="5" t="s">
        <v>25</v>
      </c>
      <c r="D2728" s="6" t="s">
        <v>25</v>
      </c>
      <c r="E2728" s="7">
        <f>VLOOKUP(A2728,Sheet2!$A$2:$R$3432,4,0)</f>
        <v>8763838777</v>
      </c>
      <c r="F2728" s="7" t="str">
        <f>VLOOKUP(A2728,Sheet2!$A$2:$R$3432,3,0)</f>
        <v>Agastya</v>
      </c>
      <c r="G2728" s="5" t="s">
        <v>25</v>
      </c>
      <c r="H2728" s="5" t="s">
        <v>25</v>
      </c>
      <c r="I2728" s="5" t="s">
        <v>25</v>
      </c>
      <c r="J2728" s="5" t="s">
        <v>25</v>
      </c>
      <c r="K2728" s="7" t="str">
        <f>VLOOKUP(A2728,Sheet2!$A$2:$R$3432,6,0)</f>
        <v>Bajaj Pulsar 150 DTSi</v>
      </c>
      <c r="L2728" s="5" t="s">
        <v>25</v>
      </c>
      <c r="M2728" s="7" t="str">
        <f>VLOOKUP(A2728,Sheet2!$A$2:$R$3432,5,0)</f>
        <v>MH12SH0117</v>
      </c>
      <c r="N2728" s="5" t="s">
        <v>25</v>
      </c>
      <c r="O2728" s="5" t="s">
        <v>25</v>
      </c>
      <c r="P2728" s="6" t="s">
        <v>25</v>
      </c>
      <c r="Q2728" s="5" t="s">
        <v>25</v>
      </c>
      <c r="R2728" s="5" t="s">
        <v>25</v>
      </c>
      <c r="S2728" s="7" t="str">
        <f>VLOOKUP(A2728,Sheet2!$A$2:$R$3432,18,0)</f>
        <v/>
      </c>
      <c r="T2728" s="7" t="str">
        <f>VLOOKUP(A2728,Sheet2!$A$2:$R$3432,17,0)</f>
        <v>MD2AAACY1KCG45134</v>
      </c>
    </row>
    <row r="2729" ht="15.75" customHeight="1">
      <c r="A2729" s="3" t="s">
        <v>2752</v>
      </c>
      <c r="B2729" s="4" t="str">
        <f>VLOOKUP(A2729,Sheet2!$A$2:$R$3432,2,0)</f>
        <v>2025-07-13 19:57:35</v>
      </c>
      <c r="C2729" s="5" t="s">
        <v>25</v>
      </c>
      <c r="D2729" s="6" t="s">
        <v>25</v>
      </c>
      <c r="E2729" s="7">
        <f>VLOOKUP(A2729,Sheet2!$A$2:$R$3432,4,0)</f>
        <v>9423349261</v>
      </c>
      <c r="F2729" s="7" t="str">
        <f>VLOOKUP(A2729,Sheet2!$A$2:$R$3432,3,0)</f>
        <v>Yash Karawat</v>
      </c>
      <c r="G2729" s="5" t="s">
        <v>25</v>
      </c>
      <c r="H2729" s="5" t="s">
        <v>25</v>
      </c>
      <c r="I2729" s="5" t="s">
        <v>25</v>
      </c>
      <c r="J2729" s="5" t="s">
        <v>25</v>
      </c>
      <c r="K2729" s="7" t="str">
        <f>VLOOKUP(A2729,Sheet2!$A$2:$R$3432,6,0)</f>
        <v>Honda Dazzler </v>
      </c>
      <c r="L2729" s="5" t="s">
        <v>25</v>
      </c>
      <c r="M2729" s="7" t="str">
        <f>VLOOKUP(A2729,Sheet2!$A$2:$R$3432,5,0)</f>
        <v>KA19EC3479</v>
      </c>
      <c r="N2729" s="5" t="s">
        <v>25</v>
      </c>
      <c r="O2729" s="5" t="s">
        <v>25</v>
      </c>
      <c r="P2729" s="6" t="s">
        <v>25</v>
      </c>
      <c r="Q2729" s="5" t="s">
        <v>25</v>
      </c>
      <c r="R2729" s="5" t="s">
        <v>25</v>
      </c>
      <c r="S2729" s="5" t="str">
        <f>VLOOKUP(A2729,Sheet2!$A$2:$R$3432,18,0)</f>
        <v>KC09E2032010</v>
      </c>
      <c r="T2729" s="7" t="str">
        <f>VLOOKUP(A2729,Sheet2!$A$2:$R$3432,17,0)</f>
        <v>ME4KC09AMA8032034</v>
      </c>
    </row>
    <row r="2730" ht="15.75" customHeight="1">
      <c r="A2730" s="3" t="s">
        <v>2753</v>
      </c>
      <c r="B2730" s="4" t="str">
        <f>VLOOKUP(A2730,Sheet2!$A$2:$R$3432,2,0)</f>
        <v>2025-07-13 19:57:51</v>
      </c>
      <c r="C2730" s="5" t="s">
        <v>25</v>
      </c>
      <c r="D2730" s="6" t="s">
        <v>25</v>
      </c>
      <c r="E2730" s="7">
        <f>VLOOKUP(A2730,Sheet2!$A$2:$R$3432,4,0)</f>
        <v>9822681910</v>
      </c>
      <c r="F2730" s="7" t="str">
        <f>VLOOKUP(A2730,Sheet2!$A$2:$R$3432,3,0)</f>
        <v>Mahesh Patil</v>
      </c>
      <c r="G2730" s="5" t="s">
        <v>25</v>
      </c>
      <c r="H2730" s="5" t="s">
        <v>25</v>
      </c>
      <c r="I2730" s="5" t="s">
        <v>25</v>
      </c>
      <c r="J2730" s="5" t="s">
        <v>25</v>
      </c>
      <c r="K2730" s="7" t="str">
        <f>VLOOKUP(A2730,Sheet2!$A$2:$R$3432,6,0)</f>
        <v>TVS Jupiter </v>
      </c>
      <c r="L2730" s="5" t="s">
        <v>25</v>
      </c>
      <c r="M2730" s="7" t="str">
        <f>VLOOKUP(A2730,Sheet2!$A$2:$R$3432,5,0)</f>
        <v>MH14EX7143</v>
      </c>
      <c r="N2730" s="5" t="s">
        <v>25</v>
      </c>
      <c r="O2730" s="5" t="s">
        <v>25</v>
      </c>
      <c r="P2730" s="6" t="s">
        <v>25</v>
      </c>
      <c r="Q2730" s="5" t="s">
        <v>25</v>
      </c>
      <c r="R2730" s="5" t="s">
        <v>25</v>
      </c>
      <c r="S2730" s="7" t="str">
        <f>VLOOKUP(A2730,Sheet2!$A$2:$R$3432,18,0)</f>
        <v/>
      </c>
      <c r="T2730" s="7" t="str">
        <f>VLOOKUP(A2730,Sheet2!$A$2:$R$3432,17,0)</f>
        <v/>
      </c>
    </row>
    <row r="2731" ht="15.75" customHeight="1">
      <c r="A2731" s="3" t="s">
        <v>2754</v>
      </c>
      <c r="B2731" s="4" t="str">
        <f>VLOOKUP(A2731,Sheet2!$A$2:$R$3432,2,0)</f>
        <v>2025-07-13 19:58:45</v>
      </c>
      <c r="C2731" s="5" t="s">
        <v>25</v>
      </c>
      <c r="D2731" s="6" t="s">
        <v>25</v>
      </c>
      <c r="E2731" s="7">
        <f>VLOOKUP(A2731,Sheet2!$A$2:$R$3432,4,0)</f>
        <v>8275555995</v>
      </c>
      <c r="F2731" s="7" t="str">
        <f>VLOOKUP(A2731,Sheet2!$A$2:$R$3432,3,0)</f>
        <v>Yash</v>
      </c>
      <c r="G2731" s="5" t="s">
        <v>25</v>
      </c>
      <c r="H2731" s="5" t="s">
        <v>25</v>
      </c>
      <c r="I2731" s="5" t="s">
        <v>25</v>
      </c>
      <c r="J2731" s="5" t="s">
        <v>25</v>
      </c>
      <c r="K2731" s="7" t="str">
        <f>VLOOKUP(A2731,Sheet2!$A$2:$R$3432,6,0)</f>
        <v>Honda Shine </v>
      </c>
      <c r="L2731" s="5" t="s">
        <v>25</v>
      </c>
      <c r="M2731" s="7" t="str">
        <f>VLOOKUP(A2731,Sheet2!$A$2:$R$3432,5,0)</f>
        <v>MH29BM0079</v>
      </c>
      <c r="N2731" s="5" t="s">
        <v>25</v>
      </c>
      <c r="O2731" s="5" t="s">
        <v>25</v>
      </c>
      <c r="P2731" s="6" t="s">
        <v>25</v>
      </c>
      <c r="Q2731" s="5" t="s">
        <v>25</v>
      </c>
      <c r="R2731" s="5" t="s">
        <v>25</v>
      </c>
      <c r="S2731" s="7" t="str">
        <f>VLOOKUP(A2731,Sheet2!$A$2:$R$3432,18,0)</f>
        <v/>
      </c>
      <c r="T2731" s="7" t="str">
        <f>VLOOKUP(A2731,Sheet2!$A$2:$R$3432,17,0)</f>
        <v/>
      </c>
    </row>
    <row r="2732" ht="15.75" customHeight="1">
      <c r="A2732" s="3" t="s">
        <v>2755</v>
      </c>
      <c r="B2732" s="4" t="str">
        <f>VLOOKUP(A2732,Sheet2!$A$2:$R$3432,2,0)</f>
        <v>2025-07-13 19:59:27</v>
      </c>
      <c r="C2732" s="5" t="s">
        <v>25</v>
      </c>
      <c r="D2732" s="6" t="s">
        <v>25</v>
      </c>
      <c r="E2732" s="7">
        <f>VLOOKUP(A2732,Sheet2!$A$2:$R$3432,4,0)</f>
        <v>8888747144</v>
      </c>
      <c r="F2732" s="7" t="str">
        <f>VLOOKUP(A2732,Sheet2!$A$2:$R$3432,3,0)</f>
        <v>Mahesh </v>
      </c>
      <c r="G2732" s="5" t="s">
        <v>25</v>
      </c>
      <c r="H2732" s="5" t="s">
        <v>25</v>
      </c>
      <c r="I2732" s="5" t="s">
        <v>25</v>
      </c>
      <c r="J2732" s="5" t="s">
        <v>25</v>
      </c>
      <c r="K2732" s="7" t="str">
        <f>VLOOKUP(A2732,Sheet2!$A$2:$R$3432,6,0)</f>
        <v>Bajaj Pulsar 150</v>
      </c>
      <c r="L2732" s="5" t="s">
        <v>25</v>
      </c>
      <c r="M2732" s="7" t="str">
        <f>VLOOKUP(A2732,Sheet2!$A$2:$R$3432,5,0)</f>
        <v>MH26AY6606</v>
      </c>
      <c r="N2732" s="5" t="s">
        <v>25</v>
      </c>
      <c r="O2732" s="5" t="s">
        <v>25</v>
      </c>
      <c r="P2732" s="6" t="s">
        <v>25</v>
      </c>
      <c r="Q2732" s="5" t="s">
        <v>25</v>
      </c>
      <c r="R2732" s="5" t="s">
        <v>25</v>
      </c>
      <c r="S2732" s="7" t="str">
        <f>VLOOKUP(A2732,Sheet2!$A$2:$R$3432,18,0)</f>
        <v/>
      </c>
      <c r="T2732" s="7" t="str">
        <f>VLOOKUP(A2732,Sheet2!$A$2:$R$3432,17,0)</f>
        <v/>
      </c>
    </row>
    <row r="2733" ht="15.75" customHeight="1">
      <c r="A2733" s="3" t="s">
        <v>2756</v>
      </c>
      <c r="B2733" s="4" t="str">
        <f>VLOOKUP(A2733,Sheet2!$A$2:$R$3432,2,0)</f>
        <v>2025-07-13 19:59:44</v>
      </c>
      <c r="C2733" s="5" t="s">
        <v>25</v>
      </c>
      <c r="D2733" s="6" t="s">
        <v>25</v>
      </c>
      <c r="E2733" s="7">
        <f>VLOOKUP(A2733,Sheet2!$A$2:$R$3432,4,0)</f>
        <v>7066637151</v>
      </c>
      <c r="F2733" s="7" t="str">
        <f>VLOOKUP(A2733,Sheet2!$A$2:$R$3432,3,0)</f>
        <v>SAUMITRA</v>
      </c>
      <c r="G2733" s="5" t="s">
        <v>25</v>
      </c>
      <c r="H2733" s="5" t="s">
        <v>25</v>
      </c>
      <c r="I2733" s="5" t="s">
        <v>25</v>
      </c>
      <c r="J2733" s="5" t="s">
        <v>25</v>
      </c>
      <c r="K2733" s="7" t="str">
        <f>VLOOKUP(A2733,Sheet2!$A$2:$R$3432,6,0)</f>
        <v>Honda Dream Yuga </v>
      </c>
      <c r="L2733" s="5" t="s">
        <v>25</v>
      </c>
      <c r="M2733" s="7" t="str">
        <f>VLOOKUP(A2733,Sheet2!$A$2:$R$3432,5,0)</f>
        <v>MH19BY6062</v>
      </c>
      <c r="N2733" s="5" t="s">
        <v>25</v>
      </c>
      <c r="O2733" s="5" t="s">
        <v>25</v>
      </c>
      <c r="P2733" s="6" t="s">
        <v>25</v>
      </c>
      <c r="Q2733" s="5" t="s">
        <v>25</v>
      </c>
      <c r="R2733" s="5" t="s">
        <v>25</v>
      </c>
      <c r="S2733" s="7" t="str">
        <f>VLOOKUP(A2733,Sheet2!$A$2:$R$3432,18,0)</f>
        <v/>
      </c>
      <c r="T2733" s="7" t="str">
        <f>VLOOKUP(A2733,Sheet2!$A$2:$R$3432,17,0)</f>
        <v/>
      </c>
    </row>
    <row r="2734" ht="15.75" customHeight="1">
      <c r="A2734" s="3" t="s">
        <v>2757</v>
      </c>
      <c r="B2734" s="4" t="str">
        <f>VLOOKUP(A2734,Sheet2!$A$2:$R$3432,2,0)</f>
        <v>2025-07-13 20:00:08</v>
      </c>
      <c r="C2734" s="5" t="s">
        <v>25</v>
      </c>
      <c r="D2734" s="6" t="s">
        <v>25</v>
      </c>
      <c r="E2734" s="7">
        <f>VLOOKUP(A2734,Sheet2!$A$2:$R$3432,4,0)</f>
        <v>7741006459</v>
      </c>
      <c r="F2734" s="7" t="str">
        <f>VLOOKUP(A2734,Sheet2!$A$2:$R$3432,3,0)</f>
        <v>Ram Pawar</v>
      </c>
      <c r="G2734" s="5" t="s">
        <v>25</v>
      </c>
      <c r="H2734" s="5" t="s">
        <v>25</v>
      </c>
      <c r="I2734" s="5" t="s">
        <v>25</v>
      </c>
      <c r="J2734" s="5" t="s">
        <v>25</v>
      </c>
      <c r="K2734" s="7" t="str">
        <f>VLOOKUP(A2734,Sheet2!$A$2:$R$3432,6,0)</f>
        <v>TVS Apache RTR 160</v>
      </c>
      <c r="L2734" s="5" t="s">
        <v>25</v>
      </c>
      <c r="M2734" s="7" t="str">
        <f>VLOOKUP(A2734,Sheet2!$A$2:$R$3432,5,0)</f>
        <v>MH18BT7731</v>
      </c>
      <c r="N2734" s="5" t="s">
        <v>25</v>
      </c>
      <c r="O2734" s="5" t="s">
        <v>25</v>
      </c>
      <c r="P2734" s="6" t="s">
        <v>25</v>
      </c>
      <c r="Q2734" s="5" t="s">
        <v>25</v>
      </c>
      <c r="R2734" s="5" t="s">
        <v>25</v>
      </c>
      <c r="S2734" s="5" t="str">
        <f>VLOOKUP(A2734,Sheet2!$A$2:$R$3432,18,0)</f>
        <v>HE8AL2X01348</v>
      </c>
      <c r="T2734" s="7" t="str">
        <f>VLOOKUP(A2734,Sheet2!$A$2:$R$3432,17,0)</f>
        <v>MD634AE87N2K02468</v>
      </c>
    </row>
    <row r="2735" ht="15.75" customHeight="1">
      <c r="A2735" s="3" t="s">
        <v>2758</v>
      </c>
      <c r="B2735" s="4" t="str">
        <f>VLOOKUP(A2735,Sheet2!$A$2:$R$3432,2,0)</f>
        <v>2025-07-13 20:34:41</v>
      </c>
      <c r="C2735" s="5" t="s">
        <v>25</v>
      </c>
      <c r="D2735" s="6" t="s">
        <v>25</v>
      </c>
      <c r="E2735" s="7">
        <f>VLOOKUP(A2735,Sheet2!$A$2:$R$3432,4,0)</f>
        <v>9011614949</v>
      </c>
      <c r="F2735" s="7" t="str">
        <f>VLOOKUP(A2735,Sheet2!$A$2:$R$3432,3,0)</f>
        <v>Charu Datta </v>
      </c>
      <c r="G2735" s="5" t="s">
        <v>25</v>
      </c>
      <c r="H2735" s="5" t="s">
        <v>25</v>
      </c>
      <c r="I2735" s="5" t="s">
        <v>25</v>
      </c>
      <c r="J2735" s="5" t="s">
        <v>25</v>
      </c>
      <c r="K2735" s="7" t="str">
        <f>VLOOKUP(A2735,Sheet2!$A$2:$R$3432,6,0)</f>
        <v>Honda Dio </v>
      </c>
      <c r="L2735" s="5" t="s">
        <v>25</v>
      </c>
      <c r="M2735" s="7" t="str">
        <f>VLOOKUP(A2735,Sheet2!$A$2:$R$3432,5,0)</f>
        <v>MH12KS0251</v>
      </c>
      <c r="N2735" s="5" t="s">
        <v>25</v>
      </c>
      <c r="O2735" s="5" t="s">
        <v>25</v>
      </c>
      <c r="P2735" s="6" t="s">
        <v>25</v>
      </c>
      <c r="Q2735" s="5" t="s">
        <v>25</v>
      </c>
      <c r="R2735" s="5" t="s">
        <v>25</v>
      </c>
      <c r="S2735" s="5" t="str">
        <f>VLOOKUP(A2735,Sheet2!$A$2:$R$3432,18,0)</f>
        <v>JF39EJ70066530</v>
      </c>
      <c r="T2735" s="7" t="str">
        <f>VLOOKUP(A2735,Sheet2!$A$2:$R$3432,17,0)</f>
        <v>ME4JF392MD7066494</v>
      </c>
    </row>
    <row r="2736" ht="15.75" customHeight="1">
      <c r="A2736" s="3" t="s">
        <v>2759</v>
      </c>
      <c r="B2736" s="4" t="str">
        <f>VLOOKUP(A2736,Sheet2!$A$2:$R$3432,2,0)</f>
        <v>2025-05-21 12:07:16</v>
      </c>
      <c r="C2736" s="5" t="s">
        <v>25</v>
      </c>
      <c r="D2736" s="6" t="s">
        <v>25</v>
      </c>
      <c r="E2736" s="7">
        <f>VLOOKUP(A2736,Sheet2!$A$2:$R$3432,4,0)</f>
        <v>9657003580</v>
      </c>
      <c r="F2736" s="7" t="str">
        <f>VLOOKUP(A2736,Sheet2!$A$2:$R$3432,3,0)</f>
        <v>NISARG</v>
      </c>
      <c r="G2736" s="5" t="s">
        <v>25</v>
      </c>
      <c r="H2736" s="5" t="s">
        <v>25</v>
      </c>
      <c r="I2736" s="5" t="s">
        <v>25</v>
      </c>
      <c r="J2736" s="5" t="s">
        <v>25</v>
      </c>
      <c r="K2736" s="7" t="str">
        <f>VLOOKUP(A2736,Sheet2!$A$2:$R$3432,6,0)</f>
        <v>TVS Jupiter </v>
      </c>
      <c r="L2736" s="5" t="s">
        <v>25</v>
      </c>
      <c r="M2736" s="7" t="str">
        <f>VLOOKUP(A2736,Sheet2!$A$2:$R$3432,5,0)</f>
        <v>MH14HA1917</v>
      </c>
      <c r="N2736" s="5" t="s">
        <v>25</v>
      </c>
      <c r="O2736" s="5" t="s">
        <v>25</v>
      </c>
      <c r="P2736" s="6" t="s">
        <v>25</v>
      </c>
      <c r="Q2736" s="5" t="s">
        <v>25</v>
      </c>
      <c r="R2736" s="5" t="s">
        <v>25</v>
      </c>
      <c r="S2736" s="5" t="str">
        <f>VLOOKUP(A2736,Sheet2!$A$2:$R$3432,18,0)</f>
        <v>GG5DN1101452</v>
      </c>
      <c r="T2736" s="7" t="str">
        <f>VLOOKUP(A2736,Sheet2!$A$2:$R$3432,17,0)</f>
        <v>MD626EG51N1D01699</v>
      </c>
    </row>
    <row r="2737" ht="15.75" customHeight="1">
      <c r="A2737" s="3" t="s">
        <v>2760</v>
      </c>
      <c r="B2737" s="4" t="str">
        <f>VLOOKUP(A2737,Sheet2!$A$2:$R$3432,2,0)</f>
        <v>2025-05-21 20:27:06</v>
      </c>
      <c r="C2737" s="5" t="s">
        <v>25</v>
      </c>
      <c r="D2737" s="6" t="s">
        <v>25</v>
      </c>
      <c r="E2737" s="7">
        <f>VLOOKUP(A2737,Sheet2!$A$2:$R$3432,4,0)</f>
        <v>9665390129</v>
      </c>
      <c r="F2737" s="7" t="str">
        <f>VLOOKUP(A2737,Sheet2!$A$2:$R$3432,3,0)</f>
        <v>Narayan Chavan</v>
      </c>
      <c r="G2737" s="5" t="s">
        <v>25</v>
      </c>
      <c r="H2737" s="5" t="s">
        <v>25</v>
      </c>
      <c r="I2737" s="5" t="s">
        <v>25</v>
      </c>
      <c r="J2737" s="5" t="s">
        <v>25</v>
      </c>
      <c r="K2737" s="7" t="str">
        <f>VLOOKUP(A2737,Sheet2!$A$2:$R$3432,6,0)</f>
        <v>Hero Deluxe CD</v>
      </c>
      <c r="L2737" s="5" t="s">
        <v>25</v>
      </c>
      <c r="M2737" s="7" t="str">
        <f>VLOOKUP(A2737,Sheet2!$A$2:$R$3432,5,0)</f>
        <v>MH14FJ5958</v>
      </c>
      <c r="N2737" s="5" t="s">
        <v>25</v>
      </c>
      <c r="O2737" s="5" t="s">
        <v>25</v>
      </c>
      <c r="P2737" s="6" t="s">
        <v>25</v>
      </c>
      <c r="Q2737" s="5" t="s">
        <v>25</v>
      </c>
      <c r="R2737" s="5" t="s">
        <v>25</v>
      </c>
      <c r="S2737" s="5" t="str">
        <f>VLOOKUP(A2737,Sheet2!$A$2:$R$3432,18,0)</f>
        <v>HA11EKF9K08191</v>
      </c>
      <c r="T2737" s="7" t="str">
        <f>VLOOKUP(A2737,Sheet2!$A$2:$R$3432,17,0)</f>
        <v>MBLHA11AZF9K08412</v>
      </c>
    </row>
    <row r="2738" ht="15.75" customHeight="1">
      <c r="A2738" s="3" t="s">
        <v>2761</v>
      </c>
      <c r="B2738" s="4" t="str">
        <f>VLOOKUP(A2738,Sheet2!$A$2:$R$3432,2,0)</f>
        <v>2025-05-21 20:43:39</v>
      </c>
      <c r="C2738" s="5" t="s">
        <v>25</v>
      </c>
      <c r="D2738" s="6" t="s">
        <v>25</v>
      </c>
      <c r="E2738" s="7">
        <f>VLOOKUP(A2738,Sheet2!$A$2:$R$3432,4,0)</f>
        <v>8149992744</v>
      </c>
      <c r="F2738" s="7" t="str">
        <f>VLOOKUP(A2738,Sheet2!$A$2:$R$3432,3,0)</f>
        <v>Nikhil Jadhav</v>
      </c>
      <c r="G2738" s="5" t="s">
        <v>25</v>
      </c>
      <c r="H2738" s="5" t="s">
        <v>25</v>
      </c>
      <c r="I2738" s="5" t="s">
        <v>25</v>
      </c>
      <c r="J2738" s="5" t="s">
        <v>25</v>
      </c>
      <c r="K2738" s="7" t="str">
        <f>VLOOKUP(A2738,Sheet2!$A$2:$R$3432,6,0)</f>
        <v>Honda Dio New</v>
      </c>
      <c r="L2738" s="5" t="s">
        <v>25</v>
      </c>
      <c r="M2738" s="7" t="str">
        <f>VLOOKUP(A2738,Sheet2!$A$2:$R$3432,5,0)</f>
        <v>MH25AE3574</v>
      </c>
      <c r="N2738" s="5" t="s">
        <v>25</v>
      </c>
      <c r="O2738" s="5" t="s">
        <v>25</v>
      </c>
      <c r="P2738" s="6" t="s">
        <v>25</v>
      </c>
      <c r="Q2738" s="5" t="s">
        <v>25</v>
      </c>
      <c r="R2738" s="5" t="s">
        <v>25</v>
      </c>
      <c r="S2738" s="7" t="str">
        <f>VLOOKUP(A2738,Sheet2!$A$2:$R$3432,18,0)</f>
        <v/>
      </c>
      <c r="T2738" s="7" t="str">
        <f>VLOOKUP(A2738,Sheet2!$A$2:$R$3432,17,0)</f>
        <v/>
      </c>
    </row>
    <row r="2739" ht="15.75" customHeight="1">
      <c r="A2739" s="3" t="s">
        <v>2762</v>
      </c>
      <c r="B2739" s="4" t="str">
        <f>VLOOKUP(A2739,Sheet2!$A$2:$R$3432,2,0)</f>
        <v>2025-05-21 20:41:51</v>
      </c>
      <c r="C2739" s="5" t="s">
        <v>25</v>
      </c>
      <c r="D2739" s="6" t="s">
        <v>25</v>
      </c>
      <c r="E2739" s="7">
        <f>VLOOKUP(A2739,Sheet2!$A$2:$R$3432,4,0)</f>
        <v>8698552311</v>
      </c>
      <c r="F2739" s="7" t="str">
        <f>VLOOKUP(A2739,Sheet2!$A$2:$R$3432,3,0)</f>
        <v>CHETANA PATIL</v>
      </c>
      <c r="G2739" s="5" t="s">
        <v>25</v>
      </c>
      <c r="H2739" s="5" t="s">
        <v>25</v>
      </c>
      <c r="I2739" s="5" t="s">
        <v>25</v>
      </c>
      <c r="J2739" s="5" t="s">
        <v>25</v>
      </c>
      <c r="K2739" s="7" t="str">
        <f>VLOOKUP(A2739,Sheet2!$A$2:$R$3432,6,0)</f>
        <v>TVS Jupiter </v>
      </c>
      <c r="L2739" s="5" t="s">
        <v>25</v>
      </c>
      <c r="M2739" s="7" t="str">
        <f>VLOOKUP(A2739,Sheet2!$A$2:$R$3432,5,0)</f>
        <v>MH14JC0577</v>
      </c>
      <c r="N2739" s="5" t="s">
        <v>25</v>
      </c>
      <c r="O2739" s="5" t="s">
        <v>25</v>
      </c>
      <c r="P2739" s="6" t="s">
        <v>25</v>
      </c>
      <c r="Q2739" s="5" t="s">
        <v>25</v>
      </c>
      <c r="R2739" s="5" t="s">
        <v>25</v>
      </c>
      <c r="S2739" s="7" t="str">
        <f>VLOOKUP(A2739,Sheet2!$A$2:$R$3432,18,0)</f>
        <v/>
      </c>
      <c r="T2739" s="7" t="str">
        <f>VLOOKUP(A2739,Sheet2!$A$2:$R$3432,17,0)</f>
        <v/>
      </c>
    </row>
    <row r="2740" ht="15.75" customHeight="1">
      <c r="A2740" s="3" t="s">
        <v>2763</v>
      </c>
      <c r="B2740" s="4" t="str">
        <f>VLOOKUP(A2740,Sheet2!$A$2:$R$3432,2,0)</f>
        <v>2025-05-21 20:42:45</v>
      </c>
      <c r="C2740" s="5" t="s">
        <v>25</v>
      </c>
      <c r="D2740" s="6" t="s">
        <v>25</v>
      </c>
      <c r="E2740" s="7">
        <f>VLOOKUP(A2740,Sheet2!$A$2:$R$3432,4,0)</f>
        <v>9699565587</v>
      </c>
      <c r="F2740" s="7" t="str">
        <f>VLOOKUP(A2740,Sheet2!$A$2:$R$3432,3,0)</f>
        <v>Bharat </v>
      </c>
      <c r="G2740" s="5" t="s">
        <v>25</v>
      </c>
      <c r="H2740" s="5" t="s">
        <v>25</v>
      </c>
      <c r="I2740" s="5" t="s">
        <v>25</v>
      </c>
      <c r="J2740" s="5" t="s">
        <v>25</v>
      </c>
      <c r="K2740" s="7" t="str">
        <f>VLOOKUP(A2740,Sheet2!$A$2:$R$3432,6,0)</f>
        <v>Yamaha SZ RR</v>
      </c>
      <c r="L2740" s="5" t="s">
        <v>25</v>
      </c>
      <c r="M2740" s="7" t="str">
        <f>VLOOKUP(A2740,Sheet2!$A$2:$R$3432,5,0)</f>
        <v>MH11CL3368</v>
      </c>
      <c r="N2740" s="5" t="s">
        <v>25</v>
      </c>
      <c r="O2740" s="5" t="s">
        <v>25</v>
      </c>
      <c r="P2740" s="6" t="s">
        <v>25</v>
      </c>
      <c r="Q2740" s="5" t="s">
        <v>25</v>
      </c>
      <c r="R2740" s="5" t="s">
        <v>25</v>
      </c>
      <c r="S2740" s="5" t="str">
        <f>VLOOKUP(A2740,Sheet2!$A$2:$R$3432,18,0)</f>
        <v>G3JC0015232</v>
      </c>
      <c r="T2740" s="7" t="str">
        <f>VLOOKUP(A2740,Sheet2!$A$2:$R$3432,17,0)</f>
        <v>ME1RG4516H0015250</v>
      </c>
    </row>
    <row r="2741" ht="15.75" customHeight="1">
      <c r="A2741" s="3" t="s">
        <v>2764</v>
      </c>
      <c r="B2741" s="4" t="str">
        <f>VLOOKUP(A2741,Sheet2!$A$2:$R$3432,2,0)</f>
        <v>2025-05-21 20:46:43</v>
      </c>
      <c r="C2741" s="5" t="s">
        <v>25</v>
      </c>
      <c r="D2741" s="6" t="s">
        <v>25</v>
      </c>
      <c r="E2741" s="7">
        <f>VLOOKUP(A2741,Sheet2!$A$2:$R$3432,4,0)</f>
        <v>9822374050</v>
      </c>
      <c r="F2741" s="7" t="str">
        <f>VLOOKUP(A2741,Sheet2!$A$2:$R$3432,3,0)</f>
        <v>SNEHDEEP</v>
      </c>
      <c r="G2741" s="5" t="s">
        <v>25</v>
      </c>
      <c r="H2741" s="5" t="s">
        <v>25</v>
      </c>
      <c r="I2741" s="5" t="s">
        <v>25</v>
      </c>
      <c r="J2741" s="5" t="s">
        <v>25</v>
      </c>
      <c r="K2741" s="7" t="str">
        <f>VLOOKUP(A2741,Sheet2!$A$2:$R$3432,6,0)</f>
        <v>Royal Enfield ThunderBird 350</v>
      </c>
      <c r="L2741" s="5" t="s">
        <v>25</v>
      </c>
      <c r="M2741" s="7" t="str">
        <f>VLOOKUP(A2741,Sheet2!$A$2:$R$3432,5,0)</f>
        <v>MH14FV8321</v>
      </c>
      <c r="N2741" s="5" t="s">
        <v>25</v>
      </c>
      <c r="O2741" s="5" t="s">
        <v>25</v>
      </c>
      <c r="P2741" s="6" t="s">
        <v>25</v>
      </c>
      <c r="Q2741" s="5" t="s">
        <v>25</v>
      </c>
      <c r="R2741" s="5" t="s">
        <v>25</v>
      </c>
      <c r="S2741" s="7" t="str">
        <f>VLOOKUP(A2741,Sheet2!$A$2:$R$3432,18,0)</f>
        <v/>
      </c>
      <c r="T2741" s="7" t="str">
        <f>VLOOKUP(A2741,Sheet2!$A$2:$R$3432,17,0)</f>
        <v/>
      </c>
    </row>
    <row r="2742" ht="15.75" customHeight="1">
      <c r="A2742" s="3" t="s">
        <v>2765</v>
      </c>
      <c r="B2742" s="4" t="str">
        <f>VLOOKUP(A2742,Sheet2!$A$2:$R$3432,2,0)</f>
        <v>2025-05-21 20:46:10</v>
      </c>
      <c r="C2742" s="5" t="s">
        <v>25</v>
      </c>
      <c r="D2742" s="6" t="s">
        <v>25</v>
      </c>
      <c r="E2742" s="7">
        <f>VLOOKUP(A2742,Sheet2!$A$2:$R$3432,4,0)</f>
        <v>9766356090</v>
      </c>
      <c r="F2742" s="7" t="str">
        <f>VLOOKUP(A2742,Sheet2!$A$2:$R$3432,3,0)</f>
        <v>MANISH</v>
      </c>
      <c r="G2742" s="5" t="s">
        <v>25</v>
      </c>
      <c r="H2742" s="5" t="s">
        <v>25</v>
      </c>
      <c r="I2742" s="5" t="s">
        <v>25</v>
      </c>
      <c r="J2742" s="5" t="s">
        <v>25</v>
      </c>
      <c r="K2742" s="7" t="str">
        <f>VLOOKUP(A2742,Sheet2!$A$2:$R$3432,6,0)</f>
        <v>TVS Jupiter Grande</v>
      </c>
      <c r="L2742" s="5" t="s">
        <v>25</v>
      </c>
      <c r="M2742" s="7" t="str">
        <f>VLOOKUP(A2742,Sheet2!$A$2:$R$3432,5,0)</f>
        <v>MH14HS3057</v>
      </c>
      <c r="N2742" s="5" t="s">
        <v>25</v>
      </c>
      <c r="O2742" s="5" t="s">
        <v>25</v>
      </c>
      <c r="P2742" s="6" t="s">
        <v>25</v>
      </c>
      <c r="Q2742" s="5" t="s">
        <v>25</v>
      </c>
      <c r="R2742" s="5" t="s">
        <v>25</v>
      </c>
      <c r="S2742" s="7" t="str">
        <f>VLOOKUP(A2742,Sheet2!$A$2:$R$3432,18,0)</f>
        <v/>
      </c>
      <c r="T2742" s="7" t="str">
        <f>VLOOKUP(A2742,Sheet2!$A$2:$R$3432,17,0)</f>
        <v/>
      </c>
    </row>
    <row r="2743" ht="15.75" customHeight="1">
      <c r="A2743" s="3" t="s">
        <v>2766</v>
      </c>
      <c r="B2743" s="4" t="str">
        <f>VLOOKUP(A2743,Sheet2!$A$2:$R$3432,2,0)</f>
        <v>2025-05-21 20:44:17</v>
      </c>
      <c r="C2743" s="5" t="s">
        <v>25</v>
      </c>
      <c r="D2743" s="6" t="s">
        <v>25</v>
      </c>
      <c r="E2743" s="7">
        <f>VLOOKUP(A2743,Sheet2!$A$2:$R$3432,4,0)</f>
        <v>9752717711</v>
      </c>
      <c r="F2743" s="7" t="str">
        <f>VLOOKUP(A2743,Sheet2!$A$2:$R$3432,3,0)</f>
        <v>Veena</v>
      </c>
      <c r="G2743" s="5" t="s">
        <v>25</v>
      </c>
      <c r="H2743" s="5" t="s">
        <v>25</v>
      </c>
      <c r="I2743" s="5" t="s">
        <v>25</v>
      </c>
      <c r="J2743" s="5" t="s">
        <v>25</v>
      </c>
      <c r="K2743" s="7" t="str">
        <f>VLOOKUP(A2743,Sheet2!$A$2:$R$3432,6,0)</f>
        <v>Hero Maestro </v>
      </c>
      <c r="L2743" s="5" t="s">
        <v>25</v>
      </c>
      <c r="M2743" s="7" t="str">
        <f>VLOOKUP(A2743,Sheet2!$A$2:$R$3432,5,0)</f>
        <v>MP28SC0551</v>
      </c>
      <c r="N2743" s="5" t="s">
        <v>25</v>
      </c>
      <c r="O2743" s="5" t="s">
        <v>25</v>
      </c>
      <c r="P2743" s="6" t="s">
        <v>25</v>
      </c>
      <c r="Q2743" s="5" t="s">
        <v>25</v>
      </c>
      <c r="R2743" s="5" t="s">
        <v>25</v>
      </c>
      <c r="S2743" s="7" t="str">
        <f>VLOOKUP(A2743,Sheet2!$A$2:$R$3432,18,0)</f>
        <v/>
      </c>
      <c r="T2743" s="7" t="str">
        <f>VLOOKUP(A2743,Sheet2!$A$2:$R$3432,17,0)</f>
        <v/>
      </c>
    </row>
    <row r="2744" ht="15.75" customHeight="1">
      <c r="A2744" s="3" t="s">
        <v>2767</v>
      </c>
      <c r="B2744" s="4" t="str">
        <f>VLOOKUP(A2744,Sheet2!$A$2:$R$3432,2,0)</f>
        <v>2025-05-21 20:45:19</v>
      </c>
      <c r="C2744" s="5" t="s">
        <v>25</v>
      </c>
      <c r="D2744" s="6" t="s">
        <v>25</v>
      </c>
      <c r="E2744" s="7">
        <f>VLOOKUP(A2744,Sheet2!$A$2:$R$3432,4,0)</f>
        <v>9130301142</v>
      </c>
      <c r="F2744" s="7" t="str">
        <f>VLOOKUP(A2744,Sheet2!$A$2:$R$3432,3,0)</f>
        <v>Gopi</v>
      </c>
      <c r="G2744" s="5" t="s">
        <v>25</v>
      </c>
      <c r="H2744" s="5" t="s">
        <v>25</v>
      </c>
      <c r="I2744" s="5" t="s">
        <v>25</v>
      </c>
      <c r="J2744" s="5" t="s">
        <v>25</v>
      </c>
      <c r="K2744" s="7" t="str">
        <f>VLOOKUP(A2744,Sheet2!$A$2:$R$3432,6,0)</f>
        <v>Hero Passion Pro</v>
      </c>
      <c r="L2744" s="5" t="s">
        <v>25</v>
      </c>
      <c r="M2744" s="7" t="str">
        <f>VLOOKUP(A2744,Sheet2!$A$2:$R$3432,5,0)</f>
        <v>MH14FV6554</v>
      </c>
      <c r="N2744" s="5" t="s">
        <v>25</v>
      </c>
      <c r="O2744" s="5" t="s">
        <v>25</v>
      </c>
      <c r="P2744" s="6" t="s">
        <v>25</v>
      </c>
      <c r="Q2744" s="5" t="s">
        <v>25</v>
      </c>
      <c r="R2744" s="5" t="s">
        <v>25</v>
      </c>
      <c r="S2744" s="7" t="str">
        <f>VLOOKUP(A2744,Sheet2!$A$2:$R$3432,18,0)</f>
        <v/>
      </c>
      <c r="T2744" s="7" t="str">
        <f>VLOOKUP(A2744,Sheet2!$A$2:$R$3432,17,0)</f>
        <v/>
      </c>
    </row>
    <row r="2745" ht="15.75" customHeight="1">
      <c r="A2745" s="3" t="s">
        <v>2768</v>
      </c>
      <c r="B2745" s="4" t="str">
        <f>VLOOKUP(A2745,Sheet2!$A$2:$R$3432,2,0)</f>
        <v>2025-05-21 20:45:33</v>
      </c>
      <c r="C2745" s="5" t="s">
        <v>25</v>
      </c>
      <c r="D2745" s="6" t="s">
        <v>25</v>
      </c>
      <c r="E2745" s="7">
        <f>VLOOKUP(A2745,Sheet2!$A$2:$R$3432,4,0)</f>
        <v>7385411433</v>
      </c>
      <c r="F2745" s="7" t="str">
        <f>VLOOKUP(A2745,Sheet2!$A$2:$R$3432,3,0)</f>
        <v>Vajra Kende</v>
      </c>
      <c r="G2745" s="5" t="s">
        <v>25</v>
      </c>
      <c r="H2745" s="5" t="s">
        <v>25</v>
      </c>
      <c r="I2745" s="5" t="s">
        <v>25</v>
      </c>
      <c r="J2745" s="5" t="s">
        <v>25</v>
      </c>
      <c r="K2745" s="7" t="str">
        <f>VLOOKUP(A2745,Sheet2!$A$2:$R$3432,6,0)</f>
        <v>Honda Unicorn No Data</v>
      </c>
      <c r="L2745" s="5" t="s">
        <v>25</v>
      </c>
      <c r="M2745" s="7" t="str">
        <f>VLOOKUP(A2745,Sheet2!$A$2:$R$3432,5,0)</f>
        <v>MH14DW4493</v>
      </c>
      <c r="N2745" s="5" t="s">
        <v>25</v>
      </c>
      <c r="O2745" s="5" t="s">
        <v>25</v>
      </c>
      <c r="P2745" s="6" t="s">
        <v>25</v>
      </c>
      <c r="Q2745" s="5" t="s">
        <v>25</v>
      </c>
      <c r="R2745" s="5" t="s">
        <v>25</v>
      </c>
      <c r="S2745" s="5" t="str">
        <f>VLOOKUP(A2745,Sheet2!$A$2:$R$3432,18,0)</f>
        <v>KC09E86466803</v>
      </c>
      <c r="T2745" s="7" t="str">
        <f>VLOOKUP(A2745,Sheet2!$A$2:$R$3432,17,0)</f>
        <v>ME41KC09CCD8458484</v>
      </c>
    </row>
    <row r="2746" ht="15.75" customHeight="1">
      <c r="A2746" s="3" t="s">
        <v>2769</v>
      </c>
      <c r="B2746" s="4" t="str">
        <f>VLOOKUP(A2746,Sheet2!$A$2:$R$3432,2,0)</f>
        <v>2025-05-21 20:59:44</v>
      </c>
      <c r="C2746" s="5" t="s">
        <v>25</v>
      </c>
      <c r="D2746" s="6" t="s">
        <v>25</v>
      </c>
      <c r="E2746" s="7">
        <f>VLOOKUP(A2746,Sheet2!$A$2:$R$3432,4,0)</f>
        <v>9864696387</v>
      </c>
      <c r="F2746" s="7" t="str">
        <f>VLOOKUP(A2746,Sheet2!$A$2:$R$3432,3,0)</f>
        <v>Sangram Sathe</v>
      </c>
      <c r="G2746" s="5" t="s">
        <v>25</v>
      </c>
      <c r="H2746" s="5" t="s">
        <v>25</v>
      </c>
      <c r="I2746" s="5" t="s">
        <v>25</v>
      </c>
      <c r="J2746" s="5" t="s">
        <v>25</v>
      </c>
      <c r="K2746" s="7" t="str">
        <f>VLOOKUP(A2746,Sheet2!$A$2:$R$3432,6,0)</f>
        <v>TVS Jupiter </v>
      </c>
      <c r="L2746" s="5" t="s">
        <v>25</v>
      </c>
      <c r="M2746" s="7" t="str">
        <f>VLOOKUP(A2746,Sheet2!$A$2:$R$3432,5,0)</f>
        <v>MH14HT0800</v>
      </c>
      <c r="N2746" s="5" t="s">
        <v>25</v>
      </c>
      <c r="O2746" s="5" t="s">
        <v>25</v>
      </c>
      <c r="P2746" s="6" t="s">
        <v>25</v>
      </c>
      <c r="Q2746" s="5" t="s">
        <v>25</v>
      </c>
      <c r="R2746" s="5" t="s">
        <v>25</v>
      </c>
      <c r="S2746" s="7" t="str">
        <f>VLOOKUP(A2746,Sheet2!$A$2:$R$3432,18,0)</f>
        <v/>
      </c>
      <c r="T2746" s="7" t="str">
        <f>VLOOKUP(A2746,Sheet2!$A$2:$R$3432,17,0)</f>
        <v>MD626EG4XK1H37339</v>
      </c>
    </row>
    <row r="2747" ht="15.75" customHeight="1">
      <c r="A2747" s="3" t="s">
        <v>2770</v>
      </c>
      <c r="B2747" s="4" t="str">
        <f>VLOOKUP(A2747,Sheet2!$A$2:$R$3432,2,0)</f>
        <v>2025-03-28 12:02:23</v>
      </c>
      <c r="C2747" s="5" t="s">
        <v>25</v>
      </c>
      <c r="D2747" s="6" t="s">
        <v>25</v>
      </c>
      <c r="E2747" s="7">
        <f>VLOOKUP(A2747,Sheet2!$A$2:$R$3432,4,0)</f>
        <v>9766097700</v>
      </c>
      <c r="F2747" s="7" t="str">
        <f>VLOOKUP(A2747,Sheet2!$A$2:$R$3432,3,0)</f>
        <v>AAKASH KALBHOR</v>
      </c>
      <c r="G2747" s="5" t="s">
        <v>25</v>
      </c>
      <c r="H2747" s="5" t="s">
        <v>25</v>
      </c>
      <c r="I2747" s="5" t="s">
        <v>25</v>
      </c>
      <c r="J2747" s="5" t="s">
        <v>25</v>
      </c>
      <c r="K2747" s="7" t="str">
        <f>VLOOKUP(A2747,Sheet2!$A$2:$R$3432,6,0)</f>
        <v>Honda Dio New</v>
      </c>
      <c r="L2747" s="5" t="s">
        <v>25</v>
      </c>
      <c r="M2747" s="7" t="str">
        <f>VLOOKUP(A2747,Sheet2!$A$2:$R$3432,5,0)</f>
        <v>MH14EG7511</v>
      </c>
      <c r="N2747" s="5" t="s">
        <v>25</v>
      </c>
      <c r="O2747" s="5" t="s">
        <v>25</v>
      </c>
      <c r="P2747" s="6" t="s">
        <v>25</v>
      </c>
      <c r="Q2747" s="5" t="s">
        <v>25</v>
      </c>
      <c r="R2747" s="5" t="s">
        <v>25</v>
      </c>
      <c r="S2747" s="7" t="str">
        <f>VLOOKUP(A2747,Sheet2!$A$2:$R$3432,18,0)</f>
        <v/>
      </c>
      <c r="T2747" s="7" t="str">
        <f>VLOOKUP(A2747,Sheet2!$A$2:$R$3432,17,0)</f>
        <v/>
      </c>
    </row>
    <row r="2748" ht="15.75" customHeight="1">
      <c r="A2748" s="3" t="s">
        <v>2771</v>
      </c>
      <c r="B2748" s="4" t="str">
        <f>VLOOKUP(A2748,Sheet2!$A$2:$R$3432,2,0)</f>
        <v>2025-03-28 12:03:03</v>
      </c>
      <c r="C2748" s="5" t="s">
        <v>25</v>
      </c>
      <c r="D2748" s="6" t="s">
        <v>25</v>
      </c>
      <c r="E2748" s="7">
        <f>VLOOKUP(A2748,Sheet2!$A$2:$R$3432,4,0)</f>
        <v>9172523743</v>
      </c>
      <c r="F2748" s="7" t="str">
        <f>VLOOKUP(A2748,Sheet2!$A$2:$R$3432,3,0)</f>
        <v>ADITYA SINGH </v>
      </c>
      <c r="G2748" s="5" t="s">
        <v>25</v>
      </c>
      <c r="H2748" s="5" t="s">
        <v>25</v>
      </c>
      <c r="I2748" s="5" t="s">
        <v>25</v>
      </c>
      <c r="J2748" s="5" t="s">
        <v>25</v>
      </c>
      <c r="K2748" s="7" t="str">
        <f>VLOOKUP(A2748,Sheet2!$A$2:$R$3432,6,0)</f>
        <v>Yamaha R15 2</v>
      </c>
      <c r="L2748" s="5" t="s">
        <v>25</v>
      </c>
      <c r="M2748" s="7" t="str">
        <f>VLOOKUP(A2748,Sheet2!$A$2:$R$3432,5,0)</f>
        <v>MH14EL9475</v>
      </c>
      <c r="N2748" s="5" t="s">
        <v>25</v>
      </c>
      <c r="O2748" s="5" t="s">
        <v>25</v>
      </c>
      <c r="P2748" s="6" t="s">
        <v>25</v>
      </c>
      <c r="Q2748" s="5" t="s">
        <v>25</v>
      </c>
      <c r="R2748" s="5" t="s">
        <v>25</v>
      </c>
      <c r="S2748" s="5" t="str">
        <f>VLOOKUP(A2748,Sheet2!$A$2:$R$3432,18,0)</f>
        <v>G3C7ED011554</v>
      </c>
      <c r="T2748" s="7" t="str">
        <f>VLOOKUP(A2748,Sheet2!$A$2:$R$3432,17,0)</f>
        <v>ME1RG0617ED0011549</v>
      </c>
    </row>
    <row r="2749" ht="15.75" customHeight="1">
      <c r="A2749" s="3" t="s">
        <v>2772</v>
      </c>
      <c r="B2749" s="4" t="str">
        <f>VLOOKUP(A2749,Sheet2!$A$2:$R$3432,2,0)</f>
        <v>2025-03-28 19:43:53</v>
      </c>
      <c r="C2749" s="5" t="s">
        <v>25</v>
      </c>
      <c r="D2749" s="6" t="s">
        <v>25</v>
      </c>
      <c r="E2749" s="7">
        <f>VLOOKUP(A2749,Sheet2!$A$2:$R$3432,4,0)</f>
        <v>9890196118</v>
      </c>
      <c r="F2749" s="7" t="str">
        <f>VLOOKUP(A2749,Sheet2!$A$2:$R$3432,3,0)</f>
        <v>YADAV </v>
      </c>
      <c r="G2749" s="5" t="s">
        <v>25</v>
      </c>
      <c r="H2749" s="5" t="s">
        <v>25</v>
      </c>
      <c r="I2749" s="5" t="s">
        <v>25</v>
      </c>
      <c r="J2749" s="5" t="s">
        <v>25</v>
      </c>
      <c r="K2749" s="7" t="str">
        <f>VLOOKUP(A2749,Sheet2!$A$2:$R$3432,6,0)</f>
        <v>TVS Jupiter </v>
      </c>
      <c r="L2749" s="5" t="s">
        <v>25</v>
      </c>
      <c r="M2749" s="7" t="str">
        <f>VLOOKUP(A2749,Sheet2!$A$2:$R$3432,5,0)</f>
        <v>MH14EQ1792</v>
      </c>
      <c r="N2749" s="5" t="s">
        <v>25</v>
      </c>
      <c r="O2749" s="5" t="s">
        <v>25</v>
      </c>
      <c r="P2749" s="6" t="s">
        <v>25</v>
      </c>
      <c r="Q2749" s="5" t="s">
        <v>25</v>
      </c>
      <c r="R2749" s="5" t="s">
        <v>25</v>
      </c>
      <c r="S2749" s="5" t="str">
        <f>VLOOKUP(A2749,Sheet2!$A$2:$R$3432,18,0)</f>
        <v>BG4GE1209541</v>
      </c>
      <c r="T2749" s="7" t="str">
        <f>VLOOKUP(A2749,Sheet2!$A$2:$R$3432,17,0)</f>
        <v>MD626BG40E1G22689</v>
      </c>
    </row>
    <row r="2750" ht="15.75" customHeight="1">
      <c r="A2750" s="3" t="s">
        <v>2773</v>
      </c>
      <c r="B2750" s="4" t="str">
        <f>VLOOKUP(A2750,Sheet2!$A$2:$R$3432,2,0)</f>
        <v>2025-03-28 19:44:18</v>
      </c>
      <c r="C2750" s="5" t="s">
        <v>25</v>
      </c>
      <c r="D2750" s="6" t="s">
        <v>25</v>
      </c>
      <c r="E2750" s="7">
        <f>VLOOKUP(A2750,Sheet2!$A$2:$R$3432,4,0)</f>
        <v>8554972505</v>
      </c>
      <c r="F2750" s="7" t="str">
        <f>VLOOKUP(A2750,Sheet2!$A$2:$R$3432,3,0)</f>
        <v>NILESH PATIL </v>
      </c>
      <c r="G2750" s="5" t="s">
        <v>25</v>
      </c>
      <c r="H2750" s="5" t="s">
        <v>25</v>
      </c>
      <c r="I2750" s="5" t="s">
        <v>25</v>
      </c>
      <c r="J2750" s="5" t="s">
        <v>25</v>
      </c>
      <c r="K2750" s="7" t="str">
        <f>VLOOKUP(A2750,Sheet2!$A$2:$R$3432,6,0)</f>
        <v>TVS Jupiter 125</v>
      </c>
      <c r="L2750" s="5" t="s">
        <v>25</v>
      </c>
      <c r="M2750" s="7" t="str">
        <f>VLOOKUP(A2750,Sheet2!$A$2:$R$3432,5,0)</f>
        <v>MH14KH3610</v>
      </c>
      <c r="N2750" s="5" t="s">
        <v>25</v>
      </c>
      <c r="O2750" s="5" t="s">
        <v>25</v>
      </c>
      <c r="P2750" s="6" t="s">
        <v>25</v>
      </c>
      <c r="Q2750" s="5" t="s">
        <v>25</v>
      </c>
      <c r="R2750" s="5" t="s">
        <v>25</v>
      </c>
      <c r="S2750" s="5" t="str">
        <f>VLOOKUP(A2750,Sheet2!$A$2:$R$3432,18,0)</f>
        <v>BK4H1026807</v>
      </c>
      <c r="T2750" s="7" t="str">
        <f>VLOOKUP(A2750,Sheet2!$A$2:$R$3432,17,0)</f>
        <v>MD626AK47N1H27842</v>
      </c>
    </row>
    <row r="2751" ht="15.75" customHeight="1">
      <c r="A2751" s="3" t="s">
        <v>2774</v>
      </c>
      <c r="B2751" s="4" t="str">
        <f>VLOOKUP(A2751,Sheet2!$A$2:$R$3432,2,0)</f>
        <v>2025-03-28 19:40:47</v>
      </c>
      <c r="C2751" s="5" t="s">
        <v>25</v>
      </c>
      <c r="D2751" s="6" t="s">
        <v>25</v>
      </c>
      <c r="E2751" s="7">
        <f>VLOOKUP(A2751,Sheet2!$A$2:$R$3432,4,0)</f>
        <v>9145255852</v>
      </c>
      <c r="F2751" s="7" t="str">
        <f>VLOOKUP(A2751,Sheet2!$A$2:$R$3432,3,0)</f>
        <v>Nikhil Gandhi</v>
      </c>
      <c r="G2751" s="5" t="s">
        <v>25</v>
      </c>
      <c r="H2751" s="5" t="s">
        <v>25</v>
      </c>
      <c r="I2751" s="5" t="s">
        <v>25</v>
      </c>
      <c r="J2751" s="5" t="s">
        <v>25</v>
      </c>
      <c r="K2751" s="7" t="str">
        <f>VLOOKUP(A2751,Sheet2!$A$2:$R$3432,6,0)</f>
        <v>Yamaha R15 V3</v>
      </c>
      <c r="L2751" s="5" t="s">
        <v>25</v>
      </c>
      <c r="M2751" s="7" t="str">
        <f>VLOOKUP(A2751,Sheet2!$A$2:$R$3432,5,0)</f>
        <v>MH14HB0419</v>
      </c>
      <c r="N2751" s="5" t="s">
        <v>25</v>
      </c>
      <c r="O2751" s="5" t="s">
        <v>25</v>
      </c>
      <c r="P2751" s="6" t="s">
        <v>25</v>
      </c>
      <c r="Q2751" s="5" t="s">
        <v>25</v>
      </c>
      <c r="R2751" s="5" t="s">
        <v>25</v>
      </c>
      <c r="S2751" s="5" t="str">
        <f>VLOOKUP(A2751,Sheet2!$A$2:$R$3432,18,0)</f>
        <v>3K5ED002472</v>
      </c>
      <c r="T2751" s="7" t="str">
        <f>VLOOKUP(A2751,Sheet2!$A$2:$R$3432,17,0)</f>
        <v>ME1RG5217J0024401</v>
      </c>
    </row>
    <row r="2752" ht="15.75" customHeight="1">
      <c r="A2752" s="3" t="s">
        <v>2775</v>
      </c>
      <c r="B2752" s="4" t="str">
        <f>VLOOKUP(A2752,Sheet2!$A$2:$R$3432,2,0)</f>
        <v>2025-03-28 19:38:39</v>
      </c>
      <c r="C2752" s="5" t="s">
        <v>25</v>
      </c>
      <c r="D2752" s="6" t="s">
        <v>25</v>
      </c>
      <c r="E2752" s="7">
        <f>VLOOKUP(A2752,Sheet2!$A$2:$R$3432,4,0)</f>
        <v>7559133630</v>
      </c>
      <c r="F2752" s="7" t="str">
        <f>VLOOKUP(A2752,Sheet2!$A$2:$R$3432,3,0)</f>
        <v>Divyajyoti Samal</v>
      </c>
      <c r="G2752" s="5" t="s">
        <v>25</v>
      </c>
      <c r="H2752" s="5" t="s">
        <v>25</v>
      </c>
      <c r="I2752" s="5" t="s">
        <v>25</v>
      </c>
      <c r="J2752" s="5" t="s">
        <v>25</v>
      </c>
      <c r="K2752" s="7" t="str">
        <f>VLOOKUP(A2752,Sheet2!$A$2:$R$3432,6,0)</f>
        <v>Bajaj Discover 150</v>
      </c>
      <c r="L2752" s="5" t="s">
        <v>25</v>
      </c>
      <c r="M2752" s="7" t="str">
        <f>VLOOKUP(A2752,Sheet2!$A$2:$R$3432,5,0)</f>
        <v>MH14CV3426</v>
      </c>
      <c r="N2752" s="5" t="s">
        <v>25</v>
      </c>
      <c r="O2752" s="5" t="s">
        <v>25</v>
      </c>
      <c r="P2752" s="6" t="s">
        <v>25</v>
      </c>
      <c r="Q2752" s="5" t="s">
        <v>25</v>
      </c>
      <c r="R2752" s="5" t="s">
        <v>25</v>
      </c>
      <c r="S2752" s="7" t="str">
        <f>VLOOKUP(A2752,Sheet2!$A$2:$R$3432,18,0)</f>
        <v/>
      </c>
      <c r="T2752" s="7" t="str">
        <f>VLOOKUP(A2752,Sheet2!$A$2:$R$3432,17,0)</f>
        <v/>
      </c>
    </row>
    <row r="2753" ht="15.75" customHeight="1">
      <c r="A2753" s="3" t="s">
        <v>2776</v>
      </c>
      <c r="B2753" s="4" t="str">
        <f>VLOOKUP(A2753,Sheet2!$A$2:$R$3432,2,0)</f>
        <v>2025-03-28 19:39:23</v>
      </c>
      <c r="C2753" s="5" t="s">
        <v>25</v>
      </c>
      <c r="D2753" s="6" t="s">
        <v>25</v>
      </c>
      <c r="E2753" s="7">
        <f>VLOOKUP(A2753,Sheet2!$A$2:$R$3432,4,0)</f>
        <v>9322165483</v>
      </c>
      <c r="F2753" s="7" t="str">
        <f>VLOOKUP(A2753,Sheet2!$A$2:$R$3432,3,0)</f>
        <v>Abhijeet </v>
      </c>
      <c r="G2753" s="5" t="s">
        <v>25</v>
      </c>
      <c r="H2753" s="5" t="s">
        <v>25</v>
      </c>
      <c r="I2753" s="5" t="s">
        <v>25</v>
      </c>
      <c r="J2753" s="5" t="s">
        <v>25</v>
      </c>
      <c r="K2753" s="7" t="str">
        <f>VLOOKUP(A2753,Sheet2!$A$2:$R$3432,6,0)</f>
        <v>Royal Enfield Classic 500</v>
      </c>
      <c r="L2753" s="5" t="s">
        <v>25</v>
      </c>
      <c r="M2753" s="7" t="str">
        <f>VLOOKUP(A2753,Sheet2!$A$2:$R$3432,5,0)</f>
        <v>MH14EX8021</v>
      </c>
      <c r="N2753" s="5" t="s">
        <v>25</v>
      </c>
      <c r="O2753" s="5" t="s">
        <v>25</v>
      </c>
      <c r="P2753" s="6" t="s">
        <v>25</v>
      </c>
      <c r="Q2753" s="5" t="s">
        <v>25</v>
      </c>
      <c r="R2753" s="5" t="s">
        <v>25</v>
      </c>
      <c r="S2753" s="7" t="str">
        <f>VLOOKUP(A2753,Sheet2!$A$2:$R$3432,18,0)</f>
        <v/>
      </c>
      <c r="T2753" s="7" t="str">
        <f>VLOOKUP(A2753,Sheet2!$A$2:$R$3432,17,0)</f>
        <v/>
      </c>
    </row>
    <row r="2754" ht="15.75" customHeight="1">
      <c r="A2754" s="3" t="s">
        <v>2777</v>
      </c>
      <c r="B2754" s="4" t="str">
        <f>VLOOKUP(A2754,Sheet2!$A$2:$R$3432,2,0)</f>
        <v>2025-03-28 19:41:34</v>
      </c>
      <c r="C2754" s="5" t="s">
        <v>25</v>
      </c>
      <c r="D2754" s="6" t="s">
        <v>25</v>
      </c>
      <c r="E2754" s="7">
        <f>VLOOKUP(A2754,Sheet2!$A$2:$R$3432,4,0)</f>
        <v>8805878887</v>
      </c>
      <c r="F2754" s="7" t="str">
        <f>VLOOKUP(A2754,Sheet2!$A$2:$R$3432,3,0)</f>
        <v>NIKHIL SAPKAL </v>
      </c>
      <c r="G2754" s="5" t="s">
        <v>25</v>
      </c>
      <c r="H2754" s="5" t="s">
        <v>25</v>
      </c>
      <c r="I2754" s="5" t="s">
        <v>25</v>
      </c>
      <c r="J2754" s="5" t="s">
        <v>25</v>
      </c>
      <c r="K2754" s="7" t="str">
        <f>VLOOKUP(A2754,Sheet2!$A$2:$R$3432,6,0)</f>
        <v>Bajaj Avenger 160 Street</v>
      </c>
      <c r="L2754" s="5" t="s">
        <v>25</v>
      </c>
      <c r="M2754" s="7" t="str">
        <f>VLOOKUP(A2754,Sheet2!$A$2:$R$3432,5,0)</f>
        <v>MH11CV5522</v>
      </c>
      <c r="N2754" s="5" t="s">
        <v>25</v>
      </c>
      <c r="O2754" s="5" t="s">
        <v>25</v>
      </c>
      <c r="P2754" s="6" t="s">
        <v>25</v>
      </c>
      <c r="Q2754" s="5" t="s">
        <v>25</v>
      </c>
      <c r="R2754" s="5" t="s">
        <v>25</v>
      </c>
      <c r="S2754" s="5" t="str">
        <f>VLOOKUP(A2754,Sheet2!$A$2:$R$3432,18,0)</f>
        <v>PDYCKH19037</v>
      </c>
      <c r="T2754" s="7" t="str">
        <f>VLOOKUP(A2754,Sheet2!$A$2:$R$3432,17,0)</f>
        <v>XX</v>
      </c>
    </row>
    <row r="2755" ht="15.75" customHeight="1">
      <c r="A2755" s="3" t="s">
        <v>2778</v>
      </c>
      <c r="B2755" s="4" t="str">
        <f>VLOOKUP(A2755,Sheet2!$A$2:$R$3432,2,0)</f>
        <v>2025-03-28 19:40:11</v>
      </c>
      <c r="C2755" s="5" t="s">
        <v>25</v>
      </c>
      <c r="D2755" s="6" t="s">
        <v>25</v>
      </c>
      <c r="E2755" s="7">
        <f>VLOOKUP(A2755,Sheet2!$A$2:$R$3432,4,0)</f>
        <v>8329004583</v>
      </c>
      <c r="F2755" s="7" t="str">
        <f>VLOOKUP(A2755,Sheet2!$A$2:$R$3432,3,0)</f>
        <v>Subodh</v>
      </c>
      <c r="G2755" s="5" t="s">
        <v>25</v>
      </c>
      <c r="H2755" s="5" t="s">
        <v>25</v>
      </c>
      <c r="I2755" s="5" t="s">
        <v>25</v>
      </c>
      <c r="J2755" s="5" t="s">
        <v>25</v>
      </c>
      <c r="K2755" s="7" t="str">
        <f>VLOOKUP(A2755,Sheet2!$A$2:$R$3432,6,0)</f>
        <v>Honda Shine SP</v>
      </c>
      <c r="L2755" s="5" t="s">
        <v>25</v>
      </c>
      <c r="M2755" s="7" t="str">
        <f>VLOOKUP(A2755,Sheet2!$A$2:$R$3432,5,0)</f>
        <v>MH29BY8102</v>
      </c>
      <c r="N2755" s="5" t="s">
        <v>25</v>
      </c>
      <c r="O2755" s="5" t="s">
        <v>25</v>
      </c>
      <c r="P2755" s="6" t="s">
        <v>25</v>
      </c>
      <c r="Q2755" s="5" t="s">
        <v>25</v>
      </c>
      <c r="R2755" s="5" t="s">
        <v>25</v>
      </c>
      <c r="S2755" s="5" t="str">
        <f>VLOOKUP(A2755,Sheet2!$A$2:$R$3432,18,0)</f>
        <v>JC83EG3373054</v>
      </c>
      <c r="T2755" s="7" t="str">
        <f>VLOOKUP(A2755,Sheet2!$A$2:$R$3432,17,0)</f>
        <v>ME4JC83DKNG192500</v>
      </c>
    </row>
    <row r="2756" ht="15.75" customHeight="1">
      <c r="A2756" s="3" t="s">
        <v>2779</v>
      </c>
      <c r="B2756" s="4" t="str">
        <f>VLOOKUP(A2756,Sheet2!$A$2:$R$3432,2,0)</f>
        <v>2025-03-28 19:42:30</v>
      </c>
      <c r="C2756" s="5" t="s">
        <v>25</v>
      </c>
      <c r="D2756" s="6" t="s">
        <v>25</v>
      </c>
      <c r="E2756" s="7">
        <f>VLOOKUP(A2756,Sheet2!$A$2:$R$3432,4,0)</f>
        <v>9860925511</v>
      </c>
      <c r="F2756" s="7" t="str">
        <f>VLOOKUP(A2756,Sheet2!$A$2:$R$3432,3,0)</f>
        <v>ANURAG PARMAR </v>
      </c>
      <c r="G2756" s="5" t="s">
        <v>25</v>
      </c>
      <c r="H2756" s="5" t="s">
        <v>25</v>
      </c>
      <c r="I2756" s="5" t="s">
        <v>25</v>
      </c>
      <c r="J2756" s="5" t="s">
        <v>25</v>
      </c>
      <c r="K2756" s="7" t="str">
        <f>VLOOKUP(A2756,Sheet2!$A$2:$R$3432,6,0)</f>
        <v>Honda Stunner </v>
      </c>
      <c r="L2756" s="5" t="s">
        <v>25</v>
      </c>
      <c r="M2756" s="7" t="str">
        <f>VLOOKUP(A2756,Sheet2!$A$2:$R$3432,5,0)</f>
        <v>MH14DR1021</v>
      </c>
      <c r="N2756" s="5" t="s">
        <v>25</v>
      </c>
      <c r="O2756" s="5" t="s">
        <v>25</v>
      </c>
      <c r="P2756" s="6" t="s">
        <v>25</v>
      </c>
      <c r="Q2756" s="5" t="s">
        <v>25</v>
      </c>
      <c r="R2756" s="5" t="s">
        <v>25</v>
      </c>
      <c r="S2756" s="7" t="str">
        <f>VLOOKUP(A2756,Sheet2!$A$2:$R$3432,18,0)</f>
        <v/>
      </c>
      <c r="T2756" s="7" t="str">
        <f>VLOOKUP(A2756,Sheet2!$A$2:$R$3432,17,0)</f>
        <v/>
      </c>
    </row>
    <row r="2757" ht="15.75" customHeight="1">
      <c r="A2757" s="3" t="s">
        <v>2780</v>
      </c>
      <c r="B2757" s="4" t="str">
        <f>VLOOKUP(A2757,Sheet2!$A$2:$R$3432,2,0)</f>
        <v>2025-03-28 19:43:14</v>
      </c>
      <c r="C2757" s="5" t="s">
        <v>25</v>
      </c>
      <c r="D2757" s="6" t="s">
        <v>25</v>
      </c>
      <c r="E2757" s="7">
        <f>VLOOKUP(A2757,Sheet2!$A$2:$R$3432,4,0)</f>
        <v>9860925511</v>
      </c>
      <c r="F2757" s="7" t="str">
        <f>VLOOKUP(A2757,Sheet2!$A$2:$R$3432,3,0)</f>
        <v>Parmar</v>
      </c>
      <c r="G2757" s="5" t="s">
        <v>25</v>
      </c>
      <c r="H2757" s="5" t="s">
        <v>25</v>
      </c>
      <c r="I2757" s="5" t="s">
        <v>25</v>
      </c>
      <c r="J2757" s="5" t="s">
        <v>25</v>
      </c>
      <c r="K2757" s="7" t="str">
        <f>VLOOKUP(A2757,Sheet2!$A$2:$R$3432,6,0)</f>
        <v>Honda Activa </v>
      </c>
      <c r="L2757" s="5" t="s">
        <v>25</v>
      </c>
      <c r="M2757" s="7" t="str">
        <f>VLOOKUP(A2757,Sheet2!$A$2:$R$3432,5,0)</f>
        <v>MH14FA1021</v>
      </c>
      <c r="N2757" s="5" t="s">
        <v>25</v>
      </c>
      <c r="O2757" s="5" t="s">
        <v>25</v>
      </c>
      <c r="P2757" s="6" t="s">
        <v>25</v>
      </c>
      <c r="Q2757" s="5" t="s">
        <v>25</v>
      </c>
      <c r="R2757" s="5" t="s">
        <v>25</v>
      </c>
      <c r="S2757" s="7" t="str">
        <f>VLOOKUP(A2757,Sheet2!$A$2:$R$3432,18,0)</f>
        <v/>
      </c>
      <c r="T2757" s="7" t="str">
        <f>VLOOKUP(A2757,Sheet2!$A$2:$R$3432,17,0)</f>
        <v/>
      </c>
    </row>
    <row r="2758" ht="15.75" customHeight="1">
      <c r="A2758" s="3" t="s">
        <v>2781</v>
      </c>
      <c r="B2758" s="4" t="str">
        <f>VLOOKUP(A2758,Sheet2!$A$2:$R$3432,2,0)</f>
        <v>2025-03-28 19:44:44</v>
      </c>
      <c r="C2758" s="5" t="s">
        <v>25</v>
      </c>
      <c r="D2758" s="6" t="s">
        <v>25</v>
      </c>
      <c r="E2758" s="7">
        <f>VLOOKUP(A2758,Sheet2!$A$2:$R$3432,4,0)</f>
        <v>7083476991</v>
      </c>
      <c r="F2758" s="7" t="str">
        <f>VLOOKUP(A2758,Sheet2!$A$2:$R$3432,3,0)</f>
        <v>MAHESH KUMBHAR </v>
      </c>
      <c r="G2758" s="5" t="s">
        <v>25</v>
      </c>
      <c r="H2758" s="5" t="s">
        <v>25</v>
      </c>
      <c r="I2758" s="5" t="s">
        <v>25</v>
      </c>
      <c r="J2758" s="5" t="s">
        <v>25</v>
      </c>
      <c r="K2758" s="7" t="str">
        <f>VLOOKUP(A2758,Sheet2!$A$2:$R$3432,6,0)</f>
        <v>Honda Shine BS6</v>
      </c>
      <c r="L2758" s="5" t="s">
        <v>25</v>
      </c>
      <c r="M2758" s="7" t="str">
        <f>VLOOKUP(A2758,Sheet2!$A$2:$R$3432,5,0)</f>
        <v>MH12UG3114</v>
      </c>
      <c r="N2758" s="5" t="s">
        <v>25</v>
      </c>
      <c r="O2758" s="5" t="s">
        <v>25</v>
      </c>
      <c r="P2758" s="6" t="s">
        <v>25</v>
      </c>
      <c r="Q2758" s="5" t="s">
        <v>25</v>
      </c>
      <c r="R2758" s="5" t="s">
        <v>25</v>
      </c>
      <c r="S2758" s="5" t="str">
        <f>VLOOKUP(A2758,Sheet2!$A$2:$R$3432,18,0)</f>
        <v>JC85EG2076058</v>
      </c>
      <c r="T2758" s="7" t="str">
        <f>VLOOKUP(A2758,Sheet2!$A$2:$R$3432,17,0)</f>
        <v>ME4JC85EDNG048526</v>
      </c>
    </row>
    <row r="2759" ht="15.75" customHeight="1">
      <c r="A2759" s="3" t="s">
        <v>2782</v>
      </c>
      <c r="B2759" s="4" t="str">
        <f>VLOOKUP(A2759,Sheet2!$A$2:$R$3432,2,0)</f>
        <v>2025-03-28 19:57:08</v>
      </c>
      <c r="C2759" s="5" t="s">
        <v>25</v>
      </c>
      <c r="D2759" s="6" t="s">
        <v>25</v>
      </c>
      <c r="E2759" s="7">
        <f>VLOOKUP(A2759,Sheet2!$A$2:$R$3432,4,0)</f>
        <v>8600108711</v>
      </c>
      <c r="F2759" s="7" t="str">
        <f>VLOOKUP(A2759,Sheet2!$A$2:$R$3432,3,0)</f>
        <v>TANMAY LONKAR</v>
      </c>
      <c r="G2759" s="5" t="s">
        <v>25</v>
      </c>
      <c r="H2759" s="5" t="s">
        <v>25</v>
      </c>
      <c r="I2759" s="5" t="s">
        <v>25</v>
      </c>
      <c r="J2759" s="5" t="s">
        <v>25</v>
      </c>
      <c r="K2759" s="7" t="str">
        <f>VLOOKUP(A2759,Sheet2!$A$2:$R$3432,6,0)</f>
        <v>Honda Hornet 160R</v>
      </c>
      <c r="L2759" s="5" t="s">
        <v>25</v>
      </c>
      <c r="M2759" s="7" t="str">
        <f>VLOOKUP(A2759,Sheet2!$A$2:$R$3432,5,0)</f>
        <v>MH12NC5276</v>
      </c>
      <c r="N2759" s="5" t="s">
        <v>25</v>
      </c>
      <c r="O2759" s="5" t="s">
        <v>25</v>
      </c>
      <c r="P2759" s="6" t="s">
        <v>25</v>
      </c>
      <c r="Q2759" s="5" t="s">
        <v>25</v>
      </c>
      <c r="R2759" s="5" t="s">
        <v>25</v>
      </c>
      <c r="S2759" s="5" t="str">
        <f>VLOOKUP(A2759,Sheet2!$A$2:$R$3432,18,0)</f>
        <v>KC23E8003576</v>
      </c>
      <c r="T2759" s="7" t="str">
        <f>VLOOKUP(A2759,Sheet2!$A$2:$R$3432,17,0)</f>
        <v>ME4KC231AG8004425</v>
      </c>
    </row>
    <row r="2760" ht="15.75" customHeight="1">
      <c r="A2760" s="3" t="s">
        <v>2783</v>
      </c>
      <c r="B2760" s="4" t="str">
        <f>VLOOKUP(A2760,Sheet2!$A$2:$R$3432,2,0)</f>
        <v>2024-10-23 18:45:15</v>
      </c>
      <c r="C2760" s="5" t="s">
        <v>25</v>
      </c>
      <c r="D2760" s="6" t="s">
        <v>25</v>
      </c>
      <c r="E2760" s="7">
        <f>VLOOKUP(A2760,Sheet2!$A$2:$R$3432,4,0)</f>
        <v>8010475262</v>
      </c>
      <c r="F2760" s="7" t="str">
        <f>VLOOKUP(A2760,Sheet2!$A$2:$R$3432,3,0)</f>
        <v>Aman</v>
      </c>
      <c r="G2760" s="5" t="s">
        <v>25</v>
      </c>
      <c r="H2760" s="5" t="s">
        <v>25</v>
      </c>
      <c r="I2760" s="5" t="s">
        <v>25</v>
      </c>
      <c r="J2760" s="5" t="s">
        <v>25</v>
      </c>
      <c r="K2760" s="7" t="str">
        <f>VLOOKUP(A2760,Sheet2!$A$2:$R$3432,6,0)</f>
        <v>TVS Jupiter </v>
      </c>
      <c r="L2760" s="5" t="s">
        <v>25</v>
      </c>
      <c r="M2760" s="7" t="str">
        <f>VLOOKUP(A2760,Sheet2!$A$2:$R$3432,5,0)</f>
        <v>MH14GZ5444</v>
      </c>
      <c r="N2760" s="5" t="s">
        <v>25</v>
      </c>
      <c r="O2760" s="5" t="s">
        <v>25</v>
      </c>
      <c r="P2760" s="6" t="s">
        <v>25</v>
      </c>
      <c r="Q2760" s="5" t="s">
        <v>25</v>
      </c>
      <c r="R2760" s="5" t="s">
        <v>25</v>
      </c>
      <c r="S2760" s="5" t="str">
        <f>VLOOKUP(A2760,Sheet2!$A$2:$R$3432,18,0)</f>
        <v>EG4EJ1650486</v>
      </c>
      <c r="T2760" s="7" t="str">
        <f>VLOOKUP(A2760,Sheet2!$A$2:$R$3432,17,0)</f>
        <v>MD626EG44J1E06366</v>
      </c>
    </row>
    <row r="2761" ht="15.75" customHeight="1">
      <c r="A2761" s="3" t="s">
        <v>2784</v>
      </c>
      <c r="B2761" s="4" t="str">
        <f>VLOOKUP(A2761,Sheet2!$A$2:$R$3432,2,0)</f>
        <v>2024-10-23 18:44:34</v>
      </c>
      <c r="C2761" s="5" t="s">
        <v>25</v>
      </c>
      <c r="D2761" s="6" t="s">
        <v>25</v>
      </c>
      <c r="E2761" s="7">
        <f>VLOOKUP(A2761,Sheet2!$A$2:$R$3432,4,0)</f>
        <v>9822465380</v>
      </c>
      <c r="F2761" s="7" t="str">
        <f>VLOOKUP(A2761,Sheet2!$A$2:$R$3432,3,0)</f>
        <v>MUNDHE DENTAL </v>
      </c>
      <c r="G2761" s="5" t="s">
        <v>25</v>
      </c>
      <c r="H2761" s="5" t="s">
        <v>25</v>
      </c>
      <c r="I2761" s="5" t="s">
        <v>25</v>
      </c>
      <c r="J2761" s="5" t="s">
        <v>25</v>
      </c>
      <c r="K2761" s="7" t="str">
        <f>VLOOKUP(A2761,Sheet2!$A$2:$R$3432,6,0)</f>
        <v>TVS Jupiter BS6</v>
      </c>
      <c r="L2761" s="5" t="s">
        <v>25</v>
      </c>
      <c r="M2761" s="7" t="str">
        <f>VLOOKUP(A2761,Sheet2!$A$2:$R$3432,5,0)</f>
        <v>MH26BY5095</v>
      </c>
      <c r="N2761" s="5" t="s">
        <v>25</v>
      </c>
      <c r="O2761" s="5" t="s">
        <v>25</v>
      </c>
      <c r="P2761" s="6" t="s">
        <v>25</v>
      </c>
      <c r="Q2761" s="5" t="s">
        <v>25</v>
      </c>
      <c r="R2761" s="5" t="s">
        <v>25</v>
      </c>
      <c r="S2761" s="7" t="str">
        <f>VLOOKUP(A2761,Sheet2!$A$2:$R$3432,18,0)</f>
        <v/>
      </c>
      <c r="T2761" s="7" t="str">
        <f>VLOOKUP(A2761,Sheet2!$A$2:$R$3432,17,0)</f>
        <v/>
      </c>
    </row>
    <row r="2762" ht="15.75" customHeight="1">
      <c r="A2762" s="3" t="s">
        <v>2785</v>
      </c>
      <c r="B2762" s="4" t="str">
        <f>VLOOKUP(A2762,Sheet2!$A$2:$R$3432,2,0)</f>
        <v>2024-10-23 18:43:39</v>
      </c>
      <c r="C2762" s="5" t="s">
        <v>25</v>
      </c>
      <c r="D2762" s="6" t="s">
        <v>25</v>
      </c>
      <c r="E2762" s="7">
        <f>VLOOKUP(A2762,Sheet2!$A$2:$R$3432,4,0)</f>
        <v>7875503847</v>
      </c>
      <c r="F2762" s="7" t="str">
        <f>VLOOKUP(A2762,Sheet2!$A$2:$R$3432,3,0)</f>
        <v>PARIKSHIT </v>
      </c>
      <c r="G2762" s="5" t="s">
        <v>25</v>
      </c>
      <c r="H2762" s="5" t="s">
        <v>25</v>
      </c>
      <c r="I2762" s="5" t="s">
        <v>25</v>
      </c>
      <c r="J2762" s="5" t="s">
        <v>25</v>
      </c>
      <c r="K2762" s="7" t="str">
        <f>VLOOKUP(A2762,Sheet2!$A$2:$R$3432,6,0)</f>
        <v>Yamaha MT 15</v>
      </c>
      <c r="L2762" s="5" t="s">
        <v>25</v>
      </c>
      <c r="M2762" s="7" t="str">
        <f>VLOOKUP(A2762,Sheet2!$A$2:$R$3432,5,0)</f>
        <v>MH14KX0808</v>
      </c>
      <c r="N2762" s="5" t="s">
        <v>25</v>
      </c>
      <c r="O2762" s="5" t="s">
        <v>25</v>
      </c>
      <c r="P2762" s="6" t="s">
        <v>25</v>
      </c>
      <c r="Q2762" s="5" t="s">
        <v>25</v>
      </c>
      <c r="R2762" s="5" t="s">
        <v>25</v>
      </c>
      <c r="S2762" s="7" t="str">
        <f>VLOOKUP(A2762,Sheet2!$A$2:$R$3432,18,0)</f>
        <v/>
      </c>
      <c r="T2762" s="7" t="str">
        <f>VLOOKUP(A2762,Sheet2!$A$2:$R$3432,17,0)</f>
        <v/>
      </c>
    </row>
    <row r="2763" ht="15.75" customHeight="1">
      <c r="A2763" s="3" t="s">
        <v>2786</v>
      </c>
      <c r="B2763" s="4" t="str">
        <f>VLOOKUP(A2763,Sheet2!$A$2:$R$3432,2,0)</f>
        <v>2024-10-23 19:28:44</v>
      </c>
      <c r="C2763" s="5" t="s">
        <v>25</v>
      </c>
      <c r="D2763" s="6" t="s">
        <v>25</v>
      </c>
      <c r="E2763" s="7">
        <f>VLOOKUP(A2763,Sheet2!$A$2:$R$3432,4,0)</f>
        <v>9422312026</v>
      </c>
      <c r="F2763" s="7" t="str">
        <f>VLOOKUP(A2763,Sheet2!$A$2:$R$3432,3,0)</f>
        <v>Sachin</v>
      </c>
      <c r="G2763" s="5" t="s">
        <v>25</v>
      </c>
      <c r="H2763" s="5" t="s">
        <v>25</v>
      </c>
      <c r="I2763" s="5" t="s">
        <v>25</v>
      </c>
      <c r="J2763" s="5" t="s">
        <v>25</v>
      </c>
      <c r="K2763" s="7" t="str">
        <f>VLOOKUP(A2763,Sheet2!$A$2:$R$3432,6,0)</f>
        <v>Honda Activa 110</v>
      </c>
      <c r="L2763" s="5" t="s">
        <v>25</v>
      </c>
      <c r="M2763" s="7" t="str">
        <f>VLOOKUP(A2763,Sheet2!$A$2:$R$3432,5,0)</f>
        <v>MH14FN6719</v>
      </c>
      <c r="N2763" s="5" t="s">
        <v>25</v>
      </c>
      <c r="O2763" s="5" t="s">
        <v>25</v>
      </c>
      <c r="P2763" s="6" t="s">
        <v>25</v>
      </c>
      <c r="Q2763" s="5" t="s">
        <v>25</v>
      </c>
      <c r="R2763" s="5" t="s">
        <v>25</v>
      </c>
      <c r="S2763" s="5" t="str">
        <f>VLOOKUP(A2763,Sheet2!$A$2:$R$3432,18,0)</f>
        <v>JG50EU3037233</v>
      </c>
      <c r="T2763" s="7" t="str">
        <f>VLOOKUP(A2763,Sheet2!$A$2:$R$3432,17,0)</f>
        <v>ME4JG505CG4037056</v>
      </c>
    </row>
    <row r="2764" ht="15.75" customHeight="1">
      <c r="A2764" s="3" t="s">
        <v>2787</v>
      </c>
      <c r="B2764" s="4" t="str">
        <f>VLOOKUP(A2764,Sheet2!$A$2:$R$3432,2,0)</f>
        <v>2024-10-23 18:42:53</v>
      </c>
      <c r="C2764" s="5" t="s">
        <v>25</v>
      </c>
      <c r="D2764" s="6" t="s">
        <v>25</v>
      </c>
      <c r="E2764" s="7">
        <f>VLOOKUP(A2764,Sheet2!$A$2:$R$3432,4,0)</f>
        <v>9922930157</v>
      </c>
      <c r="F2764" s="7" t="str">
        <f>VLOOKUP(A2764,Sheet2!$A$2:$R$3432,3,0)</f>
        <v>Ramesh Manjarekar</v>
      </c>
      <c r="G2764" s="5" t="s">
        <v>25</v>
      </c>
      <c r="H2764" s="5" t="s">
        <v>25</v>
      </c>
      <c r="I2764" s="5" t="s">
        <v>25</v>
      </c>
      <c r="J2764" s="5" t="s">
        <v>25</v>
      </c>
      <c r="K2764" s="7" t="str">
        <f>VLOOKUP(A2764,Sheet2!$A$2:$R$3432,6,0)</f>
        <v>Honda Dio </v>
      </c>
      <c r="L2764" s="5" t="s">
        <v>25</v>
      </c>
      <c r="M2764" s="7" t="str">
        <f>VLOOKUP(A2764,Sheet2!$A$2:$R$3432,5,0)</f>
        <v>MH14CH4129</v>
      </c>
      <c r="N2764" s="5" t="s">
        <v>25</v>
      </c>
      <c r="O2764" s="5" t="s">
        <v>25</v>
      </c>
      <c r="P2764" s="6" t="s">
        <v>25</v>
      </c>
      <c r="Q2764" s="5" t="s">
        <v>25</v>
      </c>
      <c r="R2764" s="5" t="s">
        <v>25</v>
      </c>
      <c r="S2764" s="5" t="str">
        <f>VLOOKUP(A2764,Sheet2!$A$2:$R$3432,18,0)</f>
        <v>JF11E4065852</v>
      </c>
      <c r="T2764" s="7" t="str">
        <f>VLOOKUP(A2764,Sheet2!$A$2:$R$3432,17,0)</f>
        <v>ME4JF11BKA065955</v>
      </c>
    </row>
    <row r="2765" ht="15.75" customHeight="1">
      <c r="A2765" s="3" t="s">
        <v>2788</v>
      </c>
      <c r="B2765" s="4" t="str">
        <f>VLOOKUP(A2765,Sheet2!$A$2:$R$3432,2,0)</f>
        <v>2025-03-08 20:40:32</v>
      </c>
      <c r="C2765" s="5" t="s">
        <v>25</v>
      </c>
      <c r="D2765" s="6" t="s">
        <v>25</v>
      </c>
      <c r="E2765" s="7">
        <f>VLOOKUP(A2765,Sheet2!$A$2:$R$3432,4,0)</f>
        <v>9028756691</v>
      </c>
      <c r="F2765" s="7" t="str">
        <f>VLOOKUP(A2765,Sheet2!$A$2:$R$3432,3,0)</f>
        <v>Shreyas Dixit</v>
      </c>
      <c r="G2765" s="5" t="s">
        <v>25</v>
      </c>
      <c r="H2765" s="5" t="s">
        <v>25</v>
      </c>
      <c r="I2765" s="5" t="s">
        <v>25</v>
      </c>
      <c r="J2765" s="5" t="s">
        <v>25</v>
      </c>
      <c r="K2765" s="7" t="str">
        <f>VLOOKUP(A2765,Sheet2!$A$2:$R$3432,6,0)</f>
        <v>TVS Apache RTR 160</v>
      </c>
      <c r="L2765" s="5" t="s">
        <v>25</v>
      </c>
      <c r="M2765" s="7" t="str">
        <f>VLOOKUP(A2765,Sheet2!$A$2:$R$3432,5,0)</f>
        <v>MH09ES8041</v>
      </c>
      <c r="N2765" s="5" t="s">
        <v>25</v>
      </c>
      <c r="O2765" s="5" t="s">
        <v>25</v>
      </c>
      <c r="P2765" s="6" t="s">
        <v>25</v>
      </c>
      <c r="Q2765" s="5" t="s">
        <v>25</v>
      </c>
      <c r="R2765" s="5" t="s">
        <v>25</v>
      </c>
      <c r="S2765" s="7" t="str">
        <f>VLOOKUP(A2765,Sheet2!$A$2:$R$3432,18,0)</f>
        <v/>
      </c>
      <c r="T2765" s="7" t="str">
        <f>VLOOKUP(A2765,Sheet2!$A$2:$R$3432,17,0)</f>
        <v/>
      </c>
    </row>
    <row r="2766" ht="15.75" customHeight="1">
      <c r="A2766" s="3" t="s">
        <v>2789</v>
      </c>
      <c r="B2766" s="4" t="str">
        <f>VLOOKUP(A2766,Sheet2!$A$2:$R$3432,2,0)</f>
        <v>2025-03-08 20:38:57</v>
      </c>
      <c r="C2766" s="5" t="s">
        <v>25</v>
      </c>
      <c r="D2766" s="6" t="s">
        <v>25</v>
      </c>
      <c r="E2766" s="7">
        <f>VLOOKUP(A2766,Sheet2!$A$2:$R$3432,4,0)</f>
        <v>9407107092</v>
      </c>
      <c r="F2766" s="7" t="str">
        <f>VLOOKUP(A2766,Sheet2!$A$2:$R$3432,3,0)</f>
        <v>Nirmal Joshi</v>
      </c>
      <c r="G2766" s="5" t="s">
        <v>25</v>
      </c>
      <c r="H2766" s="5" t="s">
        <v>25</v>
      </c>
      <c r="I2766" s="5" t="s">
        <v>25</v>
      </c>
      <c r="J2766" s="5" t="s">
        <v>25</v>
      </c>
      <c r="K2766" s="7" t="str">
        <f>VLOOKUP(A2766,Sheet2!$A$2:$R$3432,6,0)</f>
        <v>Honda Activa 125</v>
      </c>
      <c r="L2766" s="5" t="s">
        <v>25</v>
      </c>
      <c r="M2766" s="7" t="str">
        <f>VLOOKUP(A2766,Sheet2!$A$2:$R$3432,5,0)</f>
        <v>MH14FN5239</v>
      </c>
      <c r="N2766" s="5" t="s">
        <v>25</v>
      </c>
      <c r="O2766" s="5" t="s">
        <v>25</v>
      </c>
      <c r="P2766" s="6" t="s">
        <v>25</v>
      </c>
      <c r="Q2766" s="5" t="s">
        <v>25</v>
      </c>
      <c r="R2766" s="5" t="s">
        <v>25</v>
      </c>
      <c r="S2766" s="5" t="str">
        <f>VLOOKUP(A2766,Sheet2!$A$2:$R$3432,18,0)</f>
        <v>JF49E81175207</v>
      </c>
      <c r="T2766" s="7" t="str">
        <f>VLOOKUP(A2766,Sheet2!$A$2:$R$3432,17,0)</f>
        <v>ME4JF493608151818</v>
      </c>
    </row>
    <row r="2767" ht="15.75" customHeight="1">
      <c r="A2767" s="3" t="s">
        <v>2790</v>
      </c>
      <c r="B2767" s="4" t="str">
        <f>VLOOKUP(A2767,Sheet2!$A$2:$R$3432,2,0)</f>
        <v>2025-03-08 20:37:06</v>
      </c>
      <c r="C2767" s="5" t="s">
        <v>25</v>
      </c>
      <c r="D2767" s="6" t="s">
        <v>25</v>
      </c>
      <c r="E2767" s="7">
        <f>VLOOKUP(A2767,Sheet2!$A$2:$R$3432,4,0)</f>
        <v>8655852067</v>
      </c>
      <c r="F2767" s="7" t="str">
        <f>VLOOKUP(A2767,Sheet2!$A$2:$R$3432,3,0)</f>
        <v>Saurabh Patil</v>
      </c>
      <c r="G2767" s="5" t="s">
        <v>25</v>
      </c>
      <c r="H2767" s="5" t="s">
        <v>25</v>
      </c>
      <c r="I2767" s="5" t="s">
        <v>25</v>
      </c>
      <c r="J2767" s="5" t="s">
        <v>25</v>
      </c>
      <c r="K2767" s="7" t="str">
        <f>VLOOKUP(A2767,Sheet2!$A$2:$R$3432,6,0)</f>
        <v>TVS Jupiter </v>
      </c>
      <c r="L2767" s="5" t="s">
        <v>25</v>
      </c>
      <c r="M2767" s="7" t="str">
        <f>VLOOKUP(A2767,Sheet2!$A$2:$R$3432,5,0)</f>
        <v>MH46CN0647</v>
      </c>
      <c r="N2767" s="5" t="s">
        <v>25</v>
      </c>
      <c r="O2767" s="5" t="s">
        <v>25</v>
      </c>
      <c r="P2767" s="6" t="s">
        <v>25</v>
      </c>
      <c r="Q2767" s="5" t="s">
        <v>25</v>
      </c>
      <c r="R2767" s="5" t="s">
        <v>25</v>
      </c>
      <c r="S2767" s="7" t="str">
        <f>VLOOKUP(A2767,Sheet2!$A$2:$R$3432,18,0)</f>
        <v/>
      </c>
      <c r="T2767" s="7" t="str">
        <f>VLOOKUP(A2767,Sheet2!$A$2:$R$3432,17,0)</f>
        <v/>
      </c>
    </row>
    <row r="2768" ht="15.75" customHeight="1">
      <c r="A2768" s="3" t="s">
        <v>2791</v>
      </c>
      <c r="B2768" s="4" t="str">
        <f>VLOOKUP(A2768,Sheet2!$A$2:$R$3432,2,0)</f>
        <v>2025-03-08 20:38:29</v>
      </c>
      <c r="C2768" s="5" t="s">
        <v>25</v>
      </c>
      <c r="D2768" s="6" t="s">
        <v>25</v>
      </c>
      <c r="E2768" s="7">
        <f>VLOOKUP(A2768,Sheet2!$A$2:$R$3432,4,0)</f>
        <v>8766884095</v>
      </c>
      <c r="F2768" s="7" t="str">
        <f>VLOOKUP(A2768,Sheet2!$A$2:$R$3432,3,0)</f>
        <v>Rohit Indulkar</v>
      </c>
      <c r="G2768" s="5" t="s">
        <v>25</v>
      </c>
      <c r="H2768" s="5" t="s">
        <v>25</v>
      </c>
      <c r="I2768" s="5" t="s">
        <v>25</v>
      </c>
      <c r="J2768" s="5" t="s">
        <v>25</v>
      </c>
      <c r="K2768" s="7" t="str">
        <f>VLOOKUP(A2768,Sheet2!$A$2:$R$3432,6,0)</f>
        <v>Yamaha FZ V3</v>
      </c>
      <c r="L2768" s="5" t="s">
        <v>25</v>
      </c>
      <c r="M2768" s="7" t="str">
        <f>VLOOKUP(A2768,Sheet2!$A$2:$R$3432,5,0)</f>
        <v>CG11BG7011</v>
      </c>
      <c r="N2768" s="5" t="s">
        <v>25</v>
      </c>
      <c r="O2768" s="5" t="s">
        <v>25</v>
      </c>
      <c r="P2768" s="6" t="s">
        <v>25</v>
      </c>
      <c r="Q2768" s="5" t="s">
        <v>25</v>
      </c>
      <c r="R2768" s="5" t="s">
        <v>25</v>
      </c>
      <c r="S2768" s="7" t="str">
        <f>VLOOKUP(A2768,Sheet2!$A$2:$R$3432,18,0)</f>
        <v/>
      </c>
      <c r="T2768" s="7" t="str">
        <f>VLOOKUP(A2768,Sheet2!$A$2:$R$3432,17,0)</f>
        <v/>
      </c>
    </row>
    <row r="2769" ht="15.75" customHeight="1">
      <c r="A2769" s="3" t="s">
        <v>2792</v>
      </c>
      <c r="B2769" s="4" t="str">
        <f>VLOOKUP(A2769,Sheet2!$A$2:$R$3432,2,0)</f>
        <v>2025-03-08 20:41:02</v>
      </c>
      <c r="C2769" s="5" t="s">
        <v>25</v>
      </c>
      <c r="D2769" s="6" t="s">
        <v>25</v>
      </c>
      <c r="E2769" s="7">
        <f>VLOOKUP(A2769,Sheet2!$A$2:$R$3432,4,0)</f>
        <v>9657108764</v>
      </c>
      <c r="F2769" s="7" t="str">
        <f>VLOOKUP(A2769,Sheet2!$A$2:$R$3432,3,0)</f>
        <v>Radheshyam Pandit</v>
      </c>
      <c r="G2769" s="5" t="s">
        <v>25</v>
      </c>
      <c r="H2769" s="5" t="s">
        <v>25</v>
      </c>
      <c r="I2769" s="5" t="s">
        <v>25</v>
      </c>
      <c r="J2769" s="5" t="s">
        <v>25</v>
      </c>
      <c r="K2769" s="7" t="str">
        <f>VLOOKUP(A2769,Sheet2!$A$2:$R$3432,6,0)</f>
        <v>Hero Splendor Super</v>
      </c>
      <c r="L2769" s="5" t="s">
        <v>25</v>
      </c>
      <c r="M2769" s="7" t="str">
        <f>VLOOKUP(A2769,Sheet2!$A$2:$R$3432,5,0)</f>
        <v>MH14HP9827</v>
      </c>
      <c r="N2769" s="5" t="s">
        <v>25</v>
      </c>
      <c r="O2769" s="5" t="s">
        <v>25</v>
      </c>
      <c r="P2769" s="6" t="s">
        <v>25</v>
      </c>
      <c r="Q2769" s="5" t="s">
        <v>25</v>
      </c>
      <c r="R2769" s="5" t="s">
        <v>25</v>
      </c>
      <c r="S2769" s="5" t="str">
        <f>VLOOKUP(A2769,Sheet2!$A$2:$R$3432,18,0)</f>
        <v>JA06EHJ9H13534</v>
      </c>
      <c r="T2769" s="7" t="str">
        <f>VLOOKUP(A2769,Sheet2!$A$2:$R$3432,17,0)</f>
        <v>MBLJAR16559H14635</v>
      </c>
    </row>
    <row r="2770" ht="15.75" customHeight="1">
      <c r="A2770" s="3" t="s">
        <v>2793</v>
      </c>
      <c r="B2770" s="4" t="str">
        <f>VLOOKUP(A2770,Sheet2!$A$2:$R$3432,2,0)</f>
        <v>2025-03-08 20:43:17</v>
      </c>
      <c r="C2770" s="5" t="s">
        <v>25</v>
      </c>
      <c r="D2770" s="6" t="s">
        <v>25</v>
      </c>
      <c r="E2770" s="7">
        <f>VLOOKUP(A2770,Sheet2!$A$2:$R$3432,4,0)</f>
        <v>9819490501</v>
      </c>
      <c r="F2770" s="7" t="str">
        <f>VLOOKUP(A2770,Sheet2!$A$2:$R$3432,3,0)</f>
        <v>SONALI</v>
      </c>
      <c r="G2770" s="5" t="s">
        <v>25</v>
      </c>
      <c r="H2770" s="5" t="s">
        <v>25</v>
      </c>
      <c r="I2770" s="5" t="s">
        <v>25</v>
      </c>
      <c r="J2770" s="5" t="s">
        <v>25</v>
      </c>
      <c r="K2770" s="7" t="str">
        <f>VLOOKUP(A2770,Sheet2!$A$2:$R$3432,6,0)</f>
        <v>Suzuki Access </v>
      </c>
      <c r="L2770" s="5" t="s">
        <v>25</v>
      </c>
      <c r="M2770" s="7" t="str">
        <f>VLOOKUP(A2770,Sheet2!$A$2:$R$3432,5,0)</f>
        <v>MH01BJ0171</v>
      </c>
      <c r="N2770" s="5" t="s">
        <v>25</v>
      </c>
      <c r="O2770" s="5" t="s">
        <v>25</v>
      </c>
      <c r="P2770" s="6" t="s">
        <v>25</v>
      </c>
      <c r="Q2770" s="5" t="s">
        <v>25</v>
      </c>
      <c r="R2770" s="5" t="s">
        <v>25</v>
      </c>
      <c r="S2770" s="5" t="str">
        <f>VLOOKUP(A2770,Sheet2!$A$2:$R$3432,18,0)</f>
        <v>CF4862166708</v>
      </c>
      <c r="T2770" s="7" t="str">
        <f>VLOOKUP(A2770,Sheet2!$A$2:$R$3432,17,0)</f>
        <v>MB8CA4CALC826483</v>
      </c>
    </row>
    <row r="2771" ht="15.75" customHeight="1">
      <c r="A2771" s="3" t="s">
        <v>2794</v>
      </c>
      <c r="B2771" s="4" t="str">
        <f>VLOOKUP(A2771,Sheet2!$A$2:$R$3432,2,0)</f>
        <v>2025-03-08 20:36:13</v>
      </c>
      <c r="C2771" s="5" t="s">
        <v>25</v>
      </c>
      <c r="D2771" s="6" t="s">
        <v>25</v>
      </c>
      <c r="E2771" s="7">
        <f>VLOOKUP(A2771,Sheet2!$A$2:$R$3432,4,0)</f>
        <v>7350111377</v>
      </c>
      <c r="F2771" s="7" t="str">
        <f>VLOOKUP(A2771,Sheet2!$A$2:$R$3432,3,0)</f>
        <v>AMIT GAIKWAD </v>
      </c>
      <c r="G2771" s="5" t="s">
        <v>25</v>
      </c>
      <c r="H2771" s="5" t="s">
        <v>25</v>
      </c>
      <c r="I2771" s="5" t="s">
        <v>25</v>
      </c>
      <c r="J2771" s="5" t="s">
        <v>25</v>
      </c>
      <c r="K2771" s="7" t="str">
        <f>VLOOKUP(A2771,Sheet2!$A$2:$R$3432,6,0)</f>
        <v>Honda Activa 5G</v>
      </c>
      <c r="L2771" s="5" t="s">
        <v>25</v>
      </c>
      <c r="M2771" s="7" t="str">
        <f>VLOOKUP(A2771,Sheet2!$A$2:$R$3432,5,0)</f>
        <v>MH12RD7502</v>
      </c>
      <c r="N2771" s="5" t="s">
        <v>25</v>
      </c>
      <c r="O2771" s="5" t="s">
        <v>25</v>
      </c>
      <c r="P2771" s="6" t="s">
        <v>25</v>
      </c>
      <c r="Q2771" s="5" t="s">
        <v>25</v>
      </c>
      <c r="R2771" s="5" t="s">
        <v>25</v>
      </c>
      <c r="S2771" s="5" t="str">
        <f>VLOOKUP(A2771,Sheet2!$A$2:$R$3432,18,0)</f>
        <v>JF50EU73588</v>
      </c>
      <c r="T2771" s="7" t="str">
        <f>VLOOKUP(A2771,Sheet2!$A$2:$R$3432,17,0)</f>
        <v>ME4JF50AJJU305795</v>
      </c>
    </row>
    <row r="2772" ht="15.75" customHeight="1">
      <c r="A2772" s="3" t="s">
        <v>2795</v>
      </c>
      <c r="B2772" s="4" t="str">
        <f>VLOOKUP(A2772,Sheet2!$A$2:$R$3432,2,0)</f>
        <v>2025-03-08 20:37:31</v>
      </c>
      <c r="C2772" s="5" t="s">
        <v>25</v>
      </c>
      <c r="D2772" s="6" t="s">
        <v>25</v>
      </c>
      <c r="E2772" s="7">
        <f>VLOOKUP(A2772,Sheet2!$A$2:$R$3432,4,0)</f>
        <v>9881138466</v>
      </c>
      <c r="F2772" s="7" t="str">
        <f>VLOOKUP(A2772,Sheet2!$A$2:$R$3432,3,0)</f>
        <v>Vijay Laxman</v>
      </c>
      <c r="G2772" s="5" t="s">
        <v>25</v>
      </c>
      <c r="H2772" s="5" t="s">
        <v>25</v>
      </c>
      <c r="I2772" s="5" t="s">
        <v>25</v>
      </c>
      <c r="J2772" s="5" t="s">
        <v>25</v>
      </c>
      <c r="K2772" s="7" t="str">
        <f>VLOOKUP(A2772,Sheet2!$A$2:$R$3432,6,0)</f>
        <v>Honda Dio New</v>
      </c>
      <c r="L2772" s="5" t="s">
        <v>25</v>
      </c>
      <c r="M2772" s="7" t="str">
        <f>VLOOKUP(A2772,Sheet2!$A$2:$R$3432,5,0)</f>
        <v>MH14GB4162</v>
      </c>
      <c r="N2772" s="5" t="s">
        <v>25</v>
      </c>
      <c r="O2772" s="5" t="s">
        <v>25</v>
      </c>
      <c r="P2772" s="6" t="s">
        <v>25</v>
      </c>
      <c r="Q2772" s="5" t="s">
        <v>25</v>
      </c>
      <c r="R2772" s="5" t="s">
        <v>25</v>
      </c>
      <c r="S2772" s="5" t="str">
        <f>VLOOKUP(A2772,Sheet2!$A$2:$R$3432,18,0)</f>
        <v>JF39EU1046266</v>
      </c>
      <c r="T2772" s="7" t="str">
        <f>VLOOKUP(A2772,Sheet2!$A$2:$R$3432,17,0)</f>
        <v>ME4JF399HGU037771</v>
      </c>
    </row>
    <row r="2773" ht="15.75" customHeight="1">
      <c r="A2773" s="3" t="s">
        <v>2796</v>
      </c>
      <c r="B2773" s="4" t="str">
        <f>VLOOKUP(A2773,Sheet2!$A$2:$R$3432,2,0)</f>
        <v>2025-03-08 20:36:47</v>
      </c>
      <c r="C2773" s="5" t="s">
        <v>25</v>
      </c>
      <c r="D2773" s="6" t="s">
        <v>25</v>
      </c>
      <c r="E2773" s="7">
        <f>VLOOKUP(A2773,Sheet2!$A$2:$R$3432,4,0)</f>
        <v>9922441073</v>
      </c>
      <c r="F2773" s="7" t="str">
        <f>VLOOKUP(A2773,Sheet2!$A$2:$R$3432,3,0)</f>
        <v>Pankaj Sonar</v>
      </c>
      <c r="G2773" s="5" t="s">
        <v>25</v>
      </c>
      <c r="H2773" s="5" t="s">
        <v>25</v>
      </c>
      <c r="I2773" s="5" t="s">
        <v>25</v>
      </c>
      <c r="J2773" s="5" t="s">
        <v>25</v>
      </c>
      <c r="K2773" s="7" t="str">
        <f>VLOOKUP(A2773,Sheet2!$A$2:$R$3432,6,0)</f>
        <v>Honda Activa 110</v>
      </c>
      <c r="L2773" s="5" t="s">
        <v>25</v>
      </c>
      <c r="M2773" s="7" t="str">
        <f>VLOOKUP(A2773,Sheet2!$A$2:$R$3432,5,0)</f>
        <v>MH14DS7892</v>
      </c>
      <c r="N2773" s="5" t="s">
        <v>25</v>
      </c>
      <c r="O2773" s="5" t="s">
        <v>25</v>
      </c>
      <c r="P2773" s="6" t="s">
        <v>25</v>
      </c>
      <c r="Q2773" s="5" t="s">
        <v>25</v>
      </c>
      <c r="R2773" s="5" t="s">
        <v>25</v>
      </c>
      <c r="S2773" s="5" t="str">
        <f>VLOOKUP(A2773,Sheet2!$A$2:$R$3432,18,0)</f>
        <v>JC44E5678140</v>
      </c>
      <c r="T2773" s="7" t="str">
        <f>VLOOKUP(A2773,Sheet2!$A$2:$R$3432,17,0)</f>
        <v>ME4JC448LC7677858</v>
      </c>
    </row>
    <row r="2774" ht="15.75" customHeight="1">
      <c r="A2774" s="3" t="s">
        <v>2797</v>
      </c>
      <c r="B2774" s="4" t="str">
        <f>VLOOKUP(A2774,Sheet2!$A$2:$R$3432,2,0)</f>
        <v>2025-03-08 20:38:01</v>
      </c>
      <c r="C2774" s="5" t="s">
        <v>25</v>
      </c>
      <c r="D2774" s="6" t="s">
        <v>25</v>
      </c>
      <c r="E2774" s="7">
        <f>VLOOKUP(A2774,Sheet2!$A$2:$R$3432,4,0)</f>
        <v>9503387494</v>
      </c>
      <c r="F2774" s="7" t="str">
        <f>VLOOKUP(A2774,Sheet2!$A$2:$R$3432,3,0)</f>
        <v>Aashish Varma</v>
      </c>
      <c r="G2774" s="5" t="s">
        <v>25</v>
      </c>
      <c r="H2774" s="5" t="s">
        <v>25</v>
      </c>
      <c r="I2774" s="5" t="s">
        <v>25</v>
      </c>
      <c r="J2774" s="5" t="s">
        <v>25</v>
      </c>
      <c r="K2774" s="7" t="str">
        <f>VLOOKUP(A2774,Sheet2!$A$2:$R$3432,6,0)</f>
        <v>Honda Activa </v>
      </c>
      <c r="L2774" s="5" t="s">
        <v>25</v>
      </c>
      <c r="M2774" s="7" t="str">
        <f>VLOOKUP(A2774,Sheet2!$A$2:$R$3432,5,0)</f>
        <v>MH12FW7052</v>
      </c>
      <c r="N2774" s="5" t="s">
        <v>25</v>
      </c>
      <c r="O2774" s="5" t="s">
        <v>25</v>
      </c>
      <c r="P2774" s="6" t="s">
        <v>25</v>
      </c>
      <c r="Q2774" s="5" t="s">
        <v>25</v>
      </c>
      <c r="R2774" s="5" t="s">
        <v>25</v>
      </c>
      <c r="S2774" s="5" t="str">
        <f>VLOOKUP(A2774,Sheet2!$A$2:$R$3432,18,0)</f>
        <v>JC44E0529820</v>
      </c>
      <c r="T2774" s="7" t="str">
        <f>VLOOKUP(A2774,Sheet2!$A$2:$R$3432,17,0)</f>
        <v>ME4JC446BA8120266</v>
      </c>
    </row>
    <row r="2775" ht="15.75" customHeight="1">
      <c r="A2775" s="3" t="s">
        <v>2798</v>
      </c>
      <c r="B2775" s="4" t="str">
        <f>VLOOKUP(A2775,Sheet2!$A$2:$R$3432,2,0)</f>
        <v>2025-03-08 20:39:21</v>
      </c>
      <c r="C2775" s="5" t="s">
        <v>25</v>
      </c>
      <c r="D2775" s="6" t="s">
        <v>25</v>
      </c>
      <c r="E2775" s="7">
        <f>VLOOKUP(A2775,Sheet2!$A$2:$R$3432,4,0)</f>
        <v>9850891024</v>
      </c>
      <c r="F2775" s="7" t="str">
        <f>VLOOKUP(A2775,Sheet2!$A$2:$R$3432,3,0)</f>
        <v>Prakash Takle</v>
      </c>
      <c r="G2775" s="5" t="s">
        <v>25</v>
      </c>
      <c r="H2775" s="5" t="s">
        <v>25</v>
      </c>
      <c r="I2775" s="5" t="s">
        <v>25</v>
      </c>
      <c r="J2775" s="5" t="s">
        <v>25</v>
      </c>
      <c r="K2775" s="7" t="str">
        <f>VLOOKUP(A2775,Sheet2!$A$2:$R$3432,6,0)</f>
        <v>Honda Activa </v>
      </c>
      <c r="L2775" s="5" t="s">
        <v>25</v>
      </c>
      <c r="M2775" s="7" t="str">
        <f>VLOOKUP(A2775,Sheet2!$A$2:$R$3432,5,0)</f>
        <v>MH14GQ2750</v>
      </c>
      <c r="N2775" s="5" t="s">
        <v>25</v>
      </c>
      <c r="O2775" s="5" t="s">
        <v>25</v>
      </c>
      <c r="P2775" s="6" t="s">
        <v>25</v>
      </c>
      <c r="Q2775" s="5" t="s">
        <v>25</v>
      </c>
      <c r="R2775" s="5" t="s">
        <v>25</v>
      </c>
      <c r="S2775" s="5" t="str">
        <f>VLOOKUP(A2775,Sheet2!$A$2:$R$3432,18,0)</f>
        <v>JF50EU5507741</v>
      </c>
      <c r="T2775" s="7" t="str">
        <f>VLOOKUP(A2775,Sheet2!$A$2:$R$3432,17,0)</f>
        <v>ME4JF507HHU502718</v>
      </c>
    </row>
    <row r="2776" ht="15.75" customHeight="1">
      <c r="A2776" s="3" t="s">
        <v>2799</v>
      </c>
      <c r="B2776" s="4" t="str">
        <f>VLOOKUP(A2776,Sheet2!$A$2:$R$3432,2,0)</f>
        <v>2025-03-08 20:39:42</v>
      </c>
      <c r="C2776" s="5" t="s">
        <v>25</v>
      </c>
      <c r="D2776" s="6" t="s">
        <v>25</v>
      </c>
      <c r="E2776" s="7">
        <f>VLOOKUP(A2776,Sheet2!$A$2:$R$3432,4,0)</f>
        <v>9601997402</v>
      </c>
      <c r="F2776" s="7" t="str">
        <f>VLOOKUP(A2776,Sheet2!$A$2:$R$3432,3,0)</f>
        <v>Sharvil</v>
      </c>
      <c r="G2776" s="5" t="s">
        <v>25</v>
      </c>
      <c r="H2776" s="5" t="s">
        <v>25</v>
      </c>
      <c r="I2776" s="5" t="s">
        <v>25</v>
      </c>
      <c r="J2776" s="5" t="s">
        <v>25</v>
      </c>
      <c r="K2776" s="7" t="str">
        <f>VLOOKUP(A2776,Sheet2!$A$2:$R$3432,6,0)</f>
        <v>TVS Jupiter </v>
      </c>
      <c r="L2776" s="5" t="s">
        <v>25</v>
      </c>
      <c r="M2776" s="7" t="str">
        <f>VLOOKUP(A2776,Sheet2!$A$2:$R$3432,5,0)</f>
        <v>MH12UH8027</v>
      </c>
      <c r="N2776" s="5" t="s">
        <v>25</v>
      </c>
      <c r="O2776" s="5" t="s">
        <v>25</v>
      </c>
      <c r="P2776" s="6" t="s">
        <v>25</v>
      </c>
      <c r="Q2776" s="5" t="s">
        <v>25</v>
      </c>
      <c r="R2776" s="5" t="s">
        <v>25</v>
      </c>
      <c r="S2776" s="5" t="str">
        <f>VLOOKUP(A2776,Sheet2!$A$2:$R$3432,18,0)</f>
        <v>EG5EN12005828</v>
      </c>
      <c r="T2776" s="7" t="str">
        <f>VLOOKUP(A2776,Sheet2!$A$2:$R$3432,17,0)</f>
        <v>MD62CG56NE02323</v>
      </c>
    </row>
    <row r="2777" ht="15.75" customHeight="1">
      <c r="A2777" s="3" t="s">
        <v>2800</v>
      </c>
      <c r="B2777" s="4" t="str">
        <f>VLOOKUP(A2777,Sheet2!$A$2:$R$3432,2,0)</f>
        <v>2025-03-08 20:40:08</v>
      </c>
      <c r="C2777" s="5" t="s">
        <v>25</v>
      </c>
      <c r="D2777" s="6" t="s">
        <v>25</v>
      </c>
      <c r="E2777" s="7">
        <f>VLOOKUP(A2777,Sheet2!$A$2:$R$3432,4,0)</f>
        <v>7020785899</v>
      </c>
      <c r="F2777" s="7" t="str">
        <f>VLOOKUP(A2777,Sheet2!$A$2:$R$3432,3,0)</f>
        <v>SHRIKANT GAWALI</v>
      </c>
      <c r="G2777" s="5" t="s">
        <v>25</v>
      </c>
      <c r="H2777" s="5" t="s">
        <v>25</v>
      </c>
      <c r="I2777" s="5" t="s">
        <v>25</v>
      </c>
      <c r="J2777" s="5" t="s">
        <v>25</v>
      </c>
      <c r="K2777" s="7" t="str">
        <f>VLOOKUP(A2777,Sheet2!$A$2:$R$3432,6,0)</f>
        <v>Yamaha FZ V3</v>
      </c>
      <c r="L2777" s="5" t="s">
        <v>25</v>
      </c>
      <c r="M2777" s="7" t="str">
        <f>VLOOKUP(A2777,Sheet2!$A$2:$R$3432,5,0)</f>
        <v>MH28BL0797</v>
      </c>
      <c r="N2777" s="5" t="s">
        <v>25</v>
      </c>
      <c r="O2777" s="5" t="s">
        <v>25</v>
      </c>
      <c r="P2777" s="6" t="s">
        <v>25</v>
      </c>
      <c r="Q2777" s="5" t="s">
        <v>25</v>
      </c>
      <c r="R2777" s="5" t="s">
        <v>25</v>
      </c>
      <c r="S2777" s="5" t="str">
        <f>VLOOKUP(A2777,Sheet2!$A$2:$R$3432,18,0)</f>
        <v>G3N5E0086670</v>
      </c>
      <c r="T2777" s="7" t="str">
        <f>VLOOKUP(A2777,Sheet2!$A$2:$R$3432,17,0)</f>
        <v>ME1RG662PL005868</v>
      </c>
    </row>
    <row r="2778" ht="15.75" customHeight="1">
      <c r="A2778" s="3" t="s">
        <v>2801</v>
      </c>
      <c r="B2778" s="4" t="str">
        <f>VLOOKUP(A2778,Sheet2!$A$2:$R$3432,2,0)</f>
        <v>2024-11-19 20:15:26</v>
      </c>
      <c r="C2778" s="5" t="s">
        <v>25</v>
      </c>
      <c r="D2778" s="6" t="s">
        <v>25</v>
      </c>
      <c r="E2778" s="7">
        <f>VLOOKUP(A2778,Sheet2!$A$2:$R$3432,4,0)</f>
        <v>9284336648</v>
      </c>
      <c r="F2778" s="7" t="str">
        <f>VLOOKUP(A2778,Sheet2!$A$2:$R$3432,3,0)</f>
        <v>INDRAJEET </v>
      </c>
      <c r="G2778" s="5" t="s">
        <v>25</v>
      </c>
      <c r="H2778" s="5" t="s">
        <v>25</v>
      </c>
      <c r="I2778" s="5" t="s">
        <v>25</v>
      </c>
      <c r="J2778" s="5" t="s">
        <v>25</v>
      </c>
      <c r="K2778" s="7" t="str">
        <f>VLOOKUP(A2778,Sheet2!$A$2:$R$3432,6,0)</f>
        <v>Honda Dream Yuga </v>
      </c>
      <c r="L2778" s="5" t="s">
        <v>25</v>
      </c>
      <c r="M2778" s="7" t="str">
        <f>VLOOKUP(A2778,Sheet2!$A$2:$R$3432,5,0)</f>
        <v>MH14HP3658</v>
      </c>
      <c r="N2778" s="5" t="s">
        <v>25</v>
      </c>
      <c r="O2778" s="5" t="s">
        <v>25</v>
      </c>
      <c r="P2778" s="6" t="s">
        <v>25</v>
      </c>
      <c r="Q2778" s="5" t="s">
        <v>25</v>
      </c>
      <c r="R2778" s="5" t="s">
        <v>25</v>
      </c>
      <c r="S2778" s="7" t="str">
        <f>VLOOKUP(A2778,Sheet2!$A$2:$R$3432,18,0)</f>
        <v/>
      </c>
      <c r="T2778" s="7" t="str">
        <f>VLOOKUP(A2778,Sheet2!$A$2:$R$3432,17,0)</f>
        <v/>
      </c>
    </row>
    <row r="2779" ht="15.75" customHeight="1">
      <c r="A2779" s="3" t="s">
        <v>2802</v>
      </c>
      <c r="B2779" s="4" t="str">
        <f>VLOOKUP(A2779,Sheet2!$A$2:$R$3432,2,0)</f>
        <v>2024-11-19 14:54:44</v>
      </c>
      <c r="C2779" s="5" t="s">
        <v>25</v>
      </c>
      <c r="D2779" s="6" t="s">
        <v>25</v>
      </c>
      <c r="E2779" s="7">
        <f>VLOOKUP(A2779,Sheet2!$A$2:$R$3432,4,0)</f>
        <v>7387153454</v>
      </c>
      <c r="F2779" s="7" t="str">
        <f>VLOOKUP(A2779,Sheet2!$A$2:$R$3432,3,0)</f>
        <v>Anuj Shukla </v>
      </c>
      <c r="G2779" s="5" t="s">
        <v>25</v>
      </c>
      <c r="H2779" s="5" t="s">
        <v>25</v>
      </c>
      <c r="I2779" s="5" t="s">
        <v>25</v>
      </c>
      <c r="J2779" s="5" t="s">
        <v>25</v>
      </c>
      <c r="K2779" s="7" t="str">
        <f>VLOOKUP(A2779,Sheet2!$A$2:$R$3432,6,0)</f>
        <v>Yamaha FZ V3</v>
      </c>
      <c r="L2779" s="5" t="s">
        <v>25</v>
      </c>
      <c r="M2779" s="7" t="str">
        <f>VLOOKUP(A2779,Sheet2!$A$2:$R$3432,5,0)</f>
        <v>MH49AM4017</v>
      </c>
      <c r="N2779" s="5" t="s">
        <v>25</v>
      </c>
      <c r="O2779" s="5" t="s">
        <v>25</v>
      </c>
      <c r="P2779" s="6" t="s">
        <v>25</v>
      </c>
      <c r="Q2779" s="5" t="s">
        <v>25</v>
      </c>
      <c r="R2779" s="5" t="s">
        <v>25</v>
      </c>
      <c r="S2779" s="7" t="str">
        <f>VLOOKUP(A2779,Sheet2!$A$2:$R$3432,18,0)</f>
        <v/>
      </c>
      <c r="T2779" s="7" t="str">
        <f>VLOOKUP(A2779,Sheet2!$A$2:$R$3432,17,0)</f>
        <v/>
      </c>
    </row>
    <row r="2780" ht="15.75" customHeight="1">
      <c r="A2780" s="3" t="s">
        <v>2803</v>
      </c>
      <c r="B2780" s="4" t="str">
        <f>VLOOKUP(A2780,Sheet2!$A$2:$R$3432,2,0)</f>
        <v>2024-11-19 14:53:20</v>
      </c>
      <c r="C2780" s="5" t="s">
        <v>25</v>
      </c>
      <c r="D2780" s="6" t="s">
        <v>25</v>
      </c>
      <c r="E2780" s="7">
        <f>VLOOKUP(A2780,Sheet2!$A$2:$R$3432,4,0)</f>
        <v>8149338812</v>
      </c>
      <c r="F2780" s="7" t="str">
        <f>VLOOKUP(A2780,Sheet2!$A$2:$R$3432,3,0)</f>
        <v>Surabhi </v>
      </c>
      <c r="G2780" s="5" t="s">
        <v>25</v>
      </c>
      <c r="H2780" s="5" t="s">
        <v>25</v>
      </c>
      <c r="I2780" s="5" t="s">
        <v>25</v>
      </c>
      <c r="J2780" s="5" t="s">
        <v>25</v>
      </c>
      <c r="K2780" s="7" t="str">
        <f>VLOOKUP(A2780,Sheet2!$A$2:$R$3432,6,0)</f>
        <v>Honda Grazia No Data</v>
      </c>
      <c r="L2780" s="5" t="s">
        <v>25</v>
      </c>
      <c r="M2780" s="7" t="str">
        <f>VLOOKUP(A2780,Sheet2!$A$2:$R$3432,5,0)</f>
        <v>MH12QQ9535</v>
      </c>
      <c r="N2780" s="5" t="s">
        <v>25</v>
      </c>
      <c r="O2780" s="5" t="s">
        <v>25</v>
      </c>
      <c r="P2780" s="6" t="s">
        <v>25</v>
      </c>
      <c r="Q2780" s="5" t="s">
        <v>25</v>
      </c>
      <c r="R2780" s="5" t="s">
        <v>25</v>
      </c>
      <c r="S2780" s="5" t="str">
        <f>VLOOKUP(A2780,Sheet2!$A$2:$R$3432,18,0)</f>
        <v>3118817</v>
      </c>
      <c r="T2780" s="7" t="str">
        <f>VLOOKUP(A2780,Sheet2!$A$2:$R$3432,17,0)</f>
        <v>028050</v>
      </c>
    </row>
    <row r="2781" ht="15.75" customHeight="1">
      <c r="A2781" s="3" t="s">
        <v>2804</v>
      </c>
      <c r="B2781" s="4" t="str">
        <f>VLOOKUP(A2781,Sheet2!$A$2:$R$3432,2,0)</f>
        <v>2024-11-19 14:52:01</v>
      </c>
      <c r="C2781" s="5" t="s">
        <v>25</v>
      </c>
      <c r="D2781" s="6" t="s">
        <v>25</v>
      </c>
      <c r="E2781" s="7">
        <f>VLOOKUP(A2781,Sheet2!$A$2:$R$3432,4,0)</f>
        <v>7774991134</v>
      </c>
      <c r="F2781" s="7" t="str">
        <f>VLOOKUP(A2781,Sheet2!$A$2:$R$3432,3,0)</f>
        <v>Vivek</v>
      </c>
      <c r="G2781" s="5" t="s">
        <v>25</v>
      </c>
      <c r="H2781" s="5" t="s">
        <v>25</v>
      </c>
      <c r="I2781" s="5" t="s">
        <v>25</v>
      </c>
      <c r="J2781" s="5" t="s">
        <v>25</v>
      </c>
      <c r="K2781" s="7" t="str">
        <f>VLOOKUP(A2781,Sheet2!$A$2:$R$3432,6,0)</f>
        <v>Hero Duet </v>
      </c>
      <c r="L2781" s="5" t="s">
        <v>25</v>
      </c>
      <c r="M2781" s="7" t="str">
        <f>VLOOKUP(A2781,Sheet2!$A$2:$R$3432,5,0)</f>
        <v>MH22AJ191</v>
      </c>
      <c r="N2781" s="5" t="s">
        <v>25</v>
      </c>
      <c r="O2781" s="5" t="s">
        <v>25</v>
      </c>
      <c r="P2781" s="6" t="s">
        <v>25</v>
      </c>
      <c r="Q2781" s="5" t="s">
        <v>25</v>
      </c>
      <c r="R2781" s="5" t="s">
        <v>25</v>
      </c>
      <c r="S2781" s="5" t="str">
        <f>VLOOKUP(A2781,Sheet2!$A$2:$R$3432,18,0)</f>
        <v>JF33AATG001096</v>
      </c>
      <c r="T2781" s="7" t="str">
        <f>VLOOKUP(A2781,Sheet2!$A$2:$R$3432,17,0)</f>
        <v>MBLJF1BE9GGD00447</v>
      </c>
    </row>
    <row r="2782" ht="15.75" customHeight="1">
      <c r="A2782" s="3" t="s">
        <v>2805</v>
      </c>
      <c r="B2782" s="4" t="str">
        <f>VLOOKUP(A2782,Sheet2!$A$2:$R$3432,2,0)</f>
        <v>2024-11-19 19:27:22</v>
      </c>
      <c r="C2782" s="5" t="s">
        <v>25</v>
      </c>
      <c r="D2782" s="6" t="s">
        <v>25</v>
      </c>
      <c r="E2782" s="7">
        <f>VLOOKUP(A2782,Sheet2!$A$2:$R$3432,4,0)</f>
        <v>9075791172</v>
      </c>
      <c r="F2782" s="7" t="str">
        <f>VLOOKUP(A2782,Sheet2!$A$2:$R$3432,3,0)</f>
        <v>ADITYA </v>
      </c>
      <c r="G2782" s="5" t="s">
        <v>25</v>
      </c>
      <c r="H2782" s="5" t="s">
        <v>25</v>
      </c>
      <c r="I2782" s="5" t="s">
        <v>25</v>
      </c>
      <c r="J2782" s="5" t="s">
        <v>25</v>
      </c>
      <c r="K2782" s="7" t="str">
        <f>VLOOKUP(A2782,Sheet2!$A$2:$R$3432,6,0)</f>
        <v>Honda Activa 3G</v>
      </c>
      <c r="L2782" s="5" t="s">
        <v>25</v>
      </c>
      <c r="M2782" s="7" t="str">
        <f>VLOOKUP(A2782,Sheet2!$A$2:$R$3432,5,0)</f>
        <v>MH14FK6546</v>
      </c>
      <c r="N2782" s="5" t="s">
        <v>25</v>
      </c>
      <c r="O2782" s="5" t="s">
        <v>25</v>
      </c>
      <c r="P2782" s="6" t="s">
        <v>25</v>
      </c>
      <c r="Q2782" s="5" t="s">
        <v>25</v>
      </c>
      <c r="R2782" s="5" t="s">
        <v>25</v>
      </c>
      <c r="S2782" s="7" t="str">
        <f>VLOOKUP(A2782,Sheet2!$A$2:$R$3432,18,0)</f>
        <v/>
      </c>
      <c r="T2782" s="7" t="str">
        <f>VLOOKUP(A2782,Sheet2!$A$2:$R$3432,17,0)</f>
        <v/>
      </c>
    </row>
    <row r="2783" ht="15.75" customHeight="1">
      <c r="A2783" s="3" t="s">
        <v>2806</v>
      </c>
      <c r="B2783" s="4" t="str">
        <f>VLOOKUP(A2783,Sheet2!$A$2:$R$3432,2,0)</f>
        <v>2024-11-19 15:36:45</v>
      </c>
      <c r="C2783" s="5" t="s">
        <v>25</v>
      </c>
      <c r="D2783" s="6" t="s">
        <v>25</v>
      </c>
      <c r="E2783" s="7">
        <f>VLOOKUP(A2783,Sheet2!$A$2:$R$3432,4,0)</f>
        <v>8888134011</v>
      </c>
      <c r="F2783" s="7" t="str">
        <f>VLOOKUP(A2783,Sheet2!$A$2:$R$3432,3,0)</f>
        <v>Akshay</v>
      </c>
      <c r="G2783" s="5" t="s">
        <v>25</v>
      </c>
      <c r="H2783" s="5" t="s">
        <v>25</v>
      </c>
      <c r="I2783" s="5" t="s">
        <v>25</v>
      </c>
      <c r="J2783" s="5" t="s">
        <v>25</v>
      </c>
      <c r="K2783" s="7" t="str">
        <f>VLOOKUP(A2783,Sheet2!$A$2:$R$3432,6,0)</f>
        <v>Honda Dio New</v>
      </c>
      <c r="L2783" s="5" t="s">
        <v>25</v>
      </c>
      <c r="M2783" s="7" t="str">
        <f>VLOOKUP(A2783,Sheet2!$A$2:$R$3432,5,0)</f>
        <v>MH14EZ2196</v>
      </c>
      <c r="N2783" s="5" t="s">
        <v>25</v>
      </c>
      <c r="O2783" s="5" t="s">
        <v>25</v>
      </c>
      <c r="P2783" s="6" t="s">
        <v>25</v>
      </c>
      <c r="Q2783" s="5" t="s">
        <v>25</v>
      </c>
      <c r="R2783" s="5" t="s">
        <v>25</v>
      </c>
      <c r="S2783" s="5" t="str">
        <f>VLOOKUP(A2783,Sheet2!$A$2:$R$3432,18,0)</f>
        <v>JF39E70321625</v>
      </c>
      <c r="T2783" s="7" t="str">
        <f>VLOOKUP(A2783,Sheet2!$A$2:$R$3432,17,0)</f>
        <v>ME4JF394DF7008395</v>
      </c>
    </row>
    <row r="2784" ht="15.75" customHeight="1">
      <c r="A2784" s="3" t="s">
        <v>2807</v>
      </c>
      <c r="B2784" s="4" t="str">
        <f>VLOOKUP(A2784,Sheet2!$A$2:$R$3432,2,0)</f>
        <v>2024-11-19 14:44:51</v>
      </c>
      <c r="C2784" s="5" t="s">
        <v>25</v>
      </c>
      <c r="D2784" s="6" t="s">
        <v>25</v>
      </c>
      <c r="E2784" s="7">
        <f>VLOOKUP(A2784,Sheet2!$A$2:$R$3432,4,0)</f>
        <v>9850663051</v>
      </c>
      <c r="F2784" s="7" t="str">
        <f>VLOOKUP(A2784,Sheet2!$A$2:$R$3432,3,0)</f>
        <v>Tambe</v>
      </c>
      <c r="G2784" s="5" t="s">
        <v>25</v>
      </c>
      <c r="H2784" s="5" t="s">
        <v>25</v>
      </c>
      <c r="I2784" s="5" t="s">
        <v>25</v>
      </c>
      <c r="J2784" s="5" t="s">
        <v>25</v>
      </c>
      <c r="K2784" s="7" t="str">
        <f>VLOOKUP(A2784,Sheet2!$A$2:$R$3432,6,0)</f>
        <v>Honda Activa 110</v>
      </c>
      <c r="L2784" s="5" t="s">
        <v>25</v>
      </c>
      <c r="M2784" s="7" t="str">
        <f>VLOOKUP(A2784,Sheet2!$A$2:$R$3432,5,0)</f>
        <v>MH14EF5848</v>
      </c>
      <c r="N2784" s="5" t="s">
        <v>25</v>
      </c>
      <c r="O2784" s="5" t="s">
        <v>25</v>
      </c>
      <c r="P2784" s="6" t="s">
        <v>25</v>
      </c>
      <c r="Q2784" s="5" t="s">
        <v>25</v>
      </c>
      <c r="R2784" s="5" t="s">
        <v>25</v>
      </c>
      <c r="S2784" s="7" t="str">
        <f>VLOOKUP(A2784,Sheet2!$A$2:$R$3432,18,0)</f>
        <v/>
      </c>
      <c r="T2784" s="7" t="str">
        <f>VLOOKUP(A2784,Sheet2!$A$2:$R$3432,17,0)</f>
        <v/>
      </c>
    </row>
    <row r="2785" ht="15.75" customHeight="1">
      <c r="A2785" s="3" t="s">
        <v>2808</v>
      </c>
      <c r="B2785" s="4" t="str">
        <f>VLOOKUP(A2785,Sheet2!$A$2:$R$3432,2,0)</f>
        <v>2024-11-19 14:55:23</v>
      </c>
      <c r="C2785" s="5" t="s">
        <v>25</v>
      </c>
      <c r="D2785" s="6" t="s">
        <v>25</v>
      </c>
      <c r="E2785" s="7">
        <f>VLOOKUP(A2785,Sheet2!$A$2:$R$3432,4,0)</f>
        <v>9850347635</v>
      </c>
      <c r="F2785" s="7" t="str">
        <f>VLOOKUP(A2785,Sheet2!$A$2:$R$3432,3,0)</f>
        <v>RAMDAS JADHAV </v>
      </c>
      <c r="G2785" s="5" t="s">
        <v>25</v>
      </c>
      <c r="H2785" s="5" t="s">
        <v>25</v>
      </c>
      <c r="I2785" s="5" t="s">
        <v>25</v>
      </c>
      <c r="J2785" s="5" t="s">
        <v>25</v>
      </c>
      <c r="K2785" s="7" t="str">
        <f>VLOOKUP(A2785,Sheet2!$A$2:$R$3432,6,0)</f>
        <v>TVS Jupiter </v>
      </c>
      <c r="L2785" s="5" t="s">
        <v>25</v>
      </c>
      <c r="M2785" s="7" t="str">
        <f>VLOOKUP(A2785,Sheet2!$A$2:$R$3432,5,0)</f>
        <v>MH14ES7067</v>
      </c>
      <c r="N2785" s="5" t="s">
        <v>25</v>
      </c>
      <c r="O2785" s="5" t="s">
        <v>25</v>
      </c>
      <c r="P2785" s="6" t="s">
        <v>25</v>
      </c>
      <c r="Q2785" s="5" t="s">
        <v>25</v>
      </c>
      <c r="R2785" s="5" t="s">
        <v>25</v>
      </c>
      <c r="S2785" s="7" t="str">
        <f>VLOOKUP(A2785,Sheet2!$A$2:$R$3432,18,0)</f>
        <v/>
      </c>
      <c r="T2785" s="7" t="str">
        <f>VLOOKUP(A2785,Sheet2!$A$2:$R$3432,17,0)</f>
        <v/>
      </c>
    </row>
    <row r="2786" ht="15.75" customHeight="1">
      <c r="A2786" s="3" t="s">
        <v>2809</v>
      </c>
      <c r="B2786" s="4" t="str">
        <f>VLOOKUP(A2786,Sheet2!$A$2:$R$3432,2,0)</f>
        <v>2024-11-19 19:56:04</v>
      </c>
      <c r="C2786" s="5" t="s">
        <v>25</v>
      </c>
      <c r="D2786" s="6" t="s">
        <v>25</v>
      </c>
      <c r="E2786" s="7">
        <f>VLOOKUP(A2786,Sheet2!$A$2:$R$3432,4,0)</f>
        <v>8669134935</v>
      </c>
      <c r="F2786" s="7" t="str">
        <f>VLOOKUP(A2786,Sheet2!$A$2:$R$3432,3,0)</f>
        <v>SHIV SAGAR</v>
      </c>
      <c r="G2786" s="5" t="s">
        <v>25</v>
      </c>
      <c r="H2786" s="5" t="s">
        <v>25</v>
      </c>
      <c r="I2786" s="5" t="s">
        <v>25</v>
      </c>
      <c r="J2786" s="5" t="s">
        <v>25</v>
      </c>
      <c r="K2786" s="7" t="str">
        <f>VLOOKUP(A2786,Sheet2!$A$2:$R$3432,6,0)</f>
        <v>Hero Xtreme Sports</v>
      </c>
      <c r="L2786" s="5" t="s">
        <v>25</v>
      </c>
      <c r="M2786" s="7" t="str">
        <f>VLOOKUP(A2786,Sheet2!$A$2:$R$3432,5,0)</f>
        <v>MH14BW4737</v>
      </c>
      <c r="N2786" s="5" t="s">
        <v>25</v>
      </c>
      <c r="O2786" s="5" t="s">
        <v>25</v>
      </c>
      <c r="P2786" s="6" t="s">
        <v>25</v>
      </c>
      <c r="Q2786" s="5" t="s">
        <v>25</v>
      </c>
      <c r="R2786" s="5" t="s">
        <v>25</v>
      </c>
      <c r="S2786" s="5" t="str">
        <f>VLOOKUP(A2786,Sheet2!$A$2:$R$3432,18,0)</f>
        <v>KC12EB9GJ07683</v>
      </c>
      <c r="T2786" s="7" t="str">
        <f>VLOOKUP(A2786,Sheet2!$A$2:$R$3432,17,0)</f>
        <v>MBLK12EC9GJ8412</v>
      </c>
    </row>
    <row r="2787" ht="15.75" customHeight="1">
      <c r="A2787" s="3" t="s">
        <v>2810</v>
      </c>
      <c r="B2787" s="4" t="str">
        <f>VLOOKUP(A2787,Sheet2!$A$2:$R$3432,2,0)</f>
        <v>2024-11-19 19:57:10</v>
      </c>
      <c r="C2787" s="5" t="s">
        <v>25</v>
      </c>
      <c r="D2787" s="6" t="s">
        <v>25</v>
      </c>
      <c r="E2787" s="7">
        <f>VLOOKUP(A2787,Sheet2!$A$2:$R$3432,4,0)</f>
        <v>8446092999</v>
      </c>
      <c r="F2787" s="7" t="str">
        <f>VLOOKUP(A2787,Sheet2!$A$2:$R$3432,3,0)</f>
        <v>Biradar</v>
      </c>
      <c r="G2787" s="5" t="s">
        <v>25</v>
      </c>
      <c r="H2787" s="5" t="s">
        <v>25</v>
      </c>
      <c r="I2787" s="5" t="s">
        <v>25</v>
      </c>
      <c r="J2787" s="5" t="s">
        <v>25</v>
      </c>
      <c r="K2787" s="7" t="str">
        <f>VLOOKUP(A2787,Sheet2!$A$2:$R$3432,6,0)</f>
        <v>Honda Dream Yuga </v>
      </c>
      <c r="L2787" s="5" t="s">
        <v>25</v>
      </c>
      <c r="M2787" s="7" t="str">
        <f>VLOOKUP(A2787,Sheet2!$A$2:$R$3432,5,0)</f>
        <v>MH14HF6462</v>
      </c>
      <c r="N2787" s="5" t="s">
        <v>25</v>
      </c>
      <c r="O2787" s="5" t="s">
        <v>25</v>
      </c>
      <c r="P2787" s="6" t="s">
        <v>25</v>
      </c>
      <c r="Q2787" s="5" t="s">
        <v>25</v>
      </c>
      <c r="R2787" s="5" t="s">
        <v>25</v>
      </c>
      <c r="S2787" s="7" t="str">
        <f>VLOOKUP(A2787,Sheet2!$A$2:$R$3432,18,0)</f>
        <v/>
      </c>
      <c r="T2787" s="7" t="str">
        <f>VLOOKUP(A2787,Sheet2!$A$2:$R$3432,17,0)</f>
        <v>ME4JC58EEJT044230</v>
      </c>
    </row>
    <row r="2788" ht="15.75" customHeight="1">
      <c r="A2788" s="3" t="s">
        <v>2811</v>
      </c>
      <c r="B2788" s="4" t="str">
        <f>VLOOKUP(A2788,Sheet2!$A$2:$R$3432,2,0)</f>
        <v>2024-11-19 19:56:54</v>
      </c>
      <c r="C2788" s="5" t="s">
        <v>25</v>
      </c>
      <c r="D2788" s="6" t="s">
        <v>25</v>
      </c>
      <c r="E2788" s="7">
        <f>VLOOKUP(A2788,Sheet2!$A$2:$R$3432,4,0)</f>
        <v>9545999297</v>
      </c>
      <c r="F2788" s="7" t="str">
        <f>VLOOKUP(A2788,Sheet2!$A$2:$R$3432,3,0)</f>
        <v>MACHINDRA VETAL</v>
      </c>
      <c r="G2788" s="5" t="s">
        <v>25</v>
      </c>
      <c r="H2788" s="5" t="s">
        <v>25</v>
      </c>
      <c r="I2788" s="5" t="s">
        <v>25</v>
      </c>
      <c r="J2788" s="5" t="s">
        <v>25</v>
      </c>
      <c r="K2788" s="7" t="str">
        <f>VLOOKUP(A2788,Sheet2!$A$2:$R$3432,6,0)</f>
        <v>Yamaha FZ V3</v>
      </c>
      <c r="L2788" s="5" t="s">
        <v>25</v>
      </c>
      <c r="M2788" s="7" t="str">
        <f>VLOOKUP(A2788,Sheet2!$A$2:$R$3432,5,0)</f>
        <v>MH17CL3683</v>
      </c>
      <c r="N2788" s="5" t="s">
        <v>25</v>
      </c>
      <c r="O2788" s="5" t="s">
        <v>25</v>
      </c>
      <c r="P2788" s="6" t="s">
        <v>25</v>
      </c>
      <c r="Q2788" s="5" t="s">
        <v>25</v>
      </c>
      <c r="R2788" s="5" t="s">
        <v>25</v>
      </c>
      <c r="S2788" s="7" t="str">
        <f>VLOOKUP(A2788,Sheet2!$A$2:$R$3432,18,0)</f>
        <v/>
      </c>
      <c r="T2788" s="7" t="str">
        <f>VLOOKUP(A2788,Sheet2!$A$2:$R$3432,17,0)</f>
        <v/>
      </c>
    </row>
    <row r="2789" ht="15.75" customHeight="1">
      <c r="A2789" s="3" t="s">
        <v>2812</v>
      </c>
      <c r="B2789" s="4" t="str">
        <f>VLOOKUP(A2789,Sheet2!$A$2:$R$3432,2,0)</f>
        <v>2024-11-19 20:14:52</v>
      </c>
      <c r="C2789" s="5" t="s">
        <v>25</v>
      </c>
      <c r="D2789" s="6" t="s">
        <v>25</v>
      </c>
      <c r="E2789" s="7">
        <f>VLOOKUP(A2789,Sheet2!$A$2:$R$3432,4,0)</f>
        <v>7499292705</v>
      </c>
      <c r="F2789" s="7" t="str">
        <f>VLOOKUP(A2789,Sheet2!$A$2:$R$3432,3,0)</f>
        <v>ATUL PATEL</v>
      </c>
      <c r="G2789" s="5" t="s">
        <v>25</v>
      </c>
      <c r="H2789" s="5" t="s">
        <v>25</v>
      </c>
      <c r="I2789" s="5" t="s">
        <v>25</v>
      </c>
      <c r="J2789" s="5" t="s">
        <v>25</v>
      </c>
      <c r="K2789" s="7" t="str">
        <f>VLOOKUP(A2789,Sheet2!$A$2:$R$3432,6,0)</f>
        <v>Honda Activa 4G</v>
      </c>
      <c r="L2789" s="5" t="s">
        <v>25</v>
      </c>
      <c r="M2789" s="7" t="str">
        <f>VLOOKUP(A2789,Sheet2!$A$2:$R$3432,5,0)</f>
        <v>MH12PP8426</v>
      </c>
      <c r="N2789" s="5" t="s">
        <v>25</v>
      </c>
      <c r="O2789" s="5" t="s">
        <v>25</v>
      </c>
      <c r="P2789" s="6" t="s">
        <v>25</v>
      </c>
      <c r="Q2789" s="5" t="s">
        <v>25</v>
      </c>
      <c r="R2789" s="5" t="s">
        <v>25</v>
      </c>
      <c r="S2789" s="5" t="str">
        <f>VLOOKUP(A2789,Sheet2!$A$2:$R$3432,18,0)</f>
        <v>JF50EU548866</v>
      </c>
      <c r="T2789" s="7" t="str">
        <f>VLOOKUP(A2789,Sheet2!$A$2:$R$3432,17,0)</f>
        <v>ME4JF507HHV488650</v>
      </c>
    </row>
    <row r="2790" ht="15.75" customHeight="1">
      <c r="A2790" s="3" t="s">
        <v>2813</v>
      </c>
      <c r="B2790" s="4" t="str">
        <f>VLOOKUP(A2790,Sheet2!$A$2:$R$3432,2,0)</f>
        <v>2024-11-19 14:46:17</v>
      </c>
      <c r="C2790" s="5" t="s">
        <v>25</v>
      </c>
      <c r="D2790" s="6" t="s">
        <v>25</v>
      </c>
      <c r="E2790" s="7">
        <f>VLOOKUP(A2790,Sheet2!$A$2:$R$3432,4,0)</f>
        <v>9096948907</v>
      </c>
      <c r="F2790" s="7" t="str">
        <f>VLOOKUP(A2790,Sheet2!$A$2:$R$3432,3,0)</f>
        <v>Aniruddha Gaikwad</v>
      </c>
      <c r="G2790" s="5" t="s">
        <v>25</v>
      </c>
      <c r="H2790" s="5" t="s">
        <v>25</v>
      </c>
      <c r="I2790" s="5" t="s">
        <v>25</v>
      </c>
      <c r="J2790" s="5" t="s">
        <v>25</v>
      </c>
      <c r="K2790" s="7" t="str">
        <f>VLOOKUP(A2790,Sheet2!$A$2:$R$3432,6,0)</f>
        <v>Honda Activa 125</v>
      </c>
      <c r="L2790" s="5" t="s">
        <v>25</v>
      </c>
      <c r="M2790" s="7" t="str">
        <f>VLOOKUP(A2790,Sheet2!$A$2:$R$3432,5,0)</f>
        <v>MH12NS5035</v>
      </c>
      <c r="N2790" s="5" t="s">
        <v>25</v>
      </c>
      <c r="O2790" s="5" t="s">
        <v>25</v>
      </c>
      <c r="P2790" s="6" t="s">
        <v>25</v>
      </c>
      <c r="Q2790" s="5" t="s">
        <v>25</v>
      </c>
      <c r="R2790" s="5" t="s">
        <v>25</v>
      </c>
      <c r="S2790" s="5" t="str">
        <f>VLOOKUP(A2790,Sheet2!$A$2:$R$3432,18,0)</f>
        <v>JF49E81361314</v>
      </c>
      <c r="T2790" s="7" t="str">
        <f>VLOOKUP(A2790,Sheet2!$A$2:$R$3432,17,0)</f>
        <v>ME4JF493LBB3080</v>
      </c>
    </row>
    <row r="2791" ht="15.75" customHeight="1">
      <c r="A2791" s="3" t="s">
        <v>2814</v>
      </c>
      <c r="B2791" s="4" t="str">
        <f>VLOOKUP(A2791,Sheet2!$A$2:$R$3432,2,0)</f>
        <v>2024-11-19 14:49:02</v>
      </c>
      <c r="C2791" s="5" t="s">
        <v>25</v>
      </c>
      <c r="D2791" s="6" t="s">
        <v>25</v>
      </c>
      <c r="E2791" s="7">
        <f>VLOOKUP(A2791,Sheet2!$A$2:$R$3432,4,0)</f>
        <v>8806521522</v>
      </c>
      <c r="F2791" s="7" t="str">
        <f>VLOOKUP(A2791,Sheet2!$A$2:$R$3432,3,0)</f>
        <v>Mayur Wagh</v>
      </c>
      <c r="G2791" s="5" t="s">
        <v>25</v>
      </c>
      <c r="H2791" s="5" t="s">
        <v>25</v>
      </c>
      <c r="I2791" s="5" t="s">
        <v>25</v>
      </c>
      <c r="J2791" s="5" t="s">
        <v>25</v>
      </c>
      <c r="K2791" s="7" t="str">
        <f>VLOOKUP(A2791,Sheet2!$A$2:$R$3432,6,0)</f>
        <v>Honda Shine No Data</v>
      </c>
      <c r="L2791" s="5" t="s">
        <v>25</v>
      </c>
      <c r="M2791" s="7" t="str">
        <f>VLOOKUP(A2791,Sheet2!$A$2:$R$3432,5,0)</f>
        <v>MH15FC2575</v>
      </c>
      <c r="N2791" s="5" t="s">
        <v>25</v>
      </c>
      <c r="O2791" s="5" t="s">
        <v>25</v>
      </c>
      <c r="P2791" s="6" t="s">
        <v>25</v>
      </c>
      <c r="Q2791" s="5" t="s">
        <v>25</v>
      </c>
      <c r="R2791" s="5" t="s">
        <v>25</v>
      </c>
      <c r="S2791" s="7" t="str">
        <f>VLOOKUP(A2791,Sheet2!$A$2:$R$3432,18,0)</f>
        <v/>
      </c>
      <c r="T2791" s="7" t="str">
        <f>VLOOKUP(A2791,Sheet2!$A$2:$R$3432,17,0)</f>
        <v/>
      </c>
    </row>
    <row r="2792" ht="15.75" customHeight="1">
      <c r="A2792" s="3" t="s">
        <v>2815</v>
      </c>
      <c r="B2792" s="4" t="str">
        <f>VLOOKUP(A2792,Sheet2!$A$2:$R$3432,2,0)</f>
        <v>2024-11-19 14:47:44</v>
      </c>
      <c r="C2792" s="5" t="s">
        <v>25</v>
      </c>
      <c r="D2792" s="6" t="s">
        <v>25</v>
      </c>
      <c r="E2792" s="7">
        <f>VLOOKUP(A2792,Sheet2!$A$2:$R$3432,4,0)</f>
        <v>8830179394</v>
      </c>
      <c r="F2792" s="7" t="str">
        <f>VLOOKUP(A2792,Sheet2!$A$2:$R$3432,3,0)</f>
        <v>Shubham Narkhede</v>
      </c>
      <c r="G2792" s="5" t="s">
        <v>25</v>
      </c>
      <c r="H2792" s="5" t="s">
        <v>25</v>
      </c>
      <c r="I2792" s="5" t="s">
        <v>25</v>
      </c>
      <c r="J2792" s="5" t="s">
        <v>25</v>
      </c>
      <c r="K2792" s="7" t="str">
        <f>VLOOKUP(A2792,Sheet2!$A$2:$R$3432,6,0)</f>
        <v>Bajaj Pulsar 125 NS</v>
      </c>
      <c r="L2792" s="5" t="s">
        <v>25</v>
      </c>
      <c r="M2792" s="7" t="str">
        <f>VLOOKUP(A2792,Sheet2!$A$2:$R$3432,5,0)</f>
        <v>MH19EC5019</v>
      </c>
      <c r="N2792" s="5" t="s">
        <v>25</v>
      </c>
      <c r="O2792" s="5" t="s">
        <v>25</v>
      </c>
      <c r="P2792" s="6" t="s">
        <v>25</v>
      </c>
      <c r="Q2792" s="5" t="s">
        <v>25</v>
      </c>
      <c r="R2792" s="5" t="s">
        <v>25</v>
      </c>
      <c r="S2792" s="5" t="str">
        <f>VLOOKUP(A2792,Sheet2!$A$2:$R$3432,18,0)</f>
        <v>JEXCN34456</v>
      </c>
      <c r="T2792" s="7" t="str">
        <f>VLOOKUP(A2792,Sheet2!$A$2:$R$3432,17,0)</f>
        <v>MD2B72BK6NCH31612</v>
      </c>
    </row>
    <row r="2793" ht="15.75" customHeight="1">
      <c r="A2793" s="3" t="s">
        <v>2816</v>
      </c>
      <c r="B2793" s="4" t="str">
        <f>VLOOKUP(A2793,Sheet2!$A$2:$R$3432,2,0)</f>
        <v>2024-11-19 14:50:11</v>
      </c>
      <c r="C2793" s="5" t="s">
        <v>25</v>
      </c>
      <c r="D2793" s="6" t="s">
        <v>25</v>
      </c>
      <c r="E2793" s="7">
        <f>VLOOKUP(A2793,Sheet2!$A$2:$R$3432,4,0)</f>
        <v>9420460003</v>
      </c>
      <c r="F2793" s="7" t="str">
        <f>VLOOKUP(A2793,Sheet2!$A$2:$R$3432,3,0)</f>
        <v>Ruturaj</v>
      </c>
      <c r="G2793" s="5" t="s">
        <v>25</v>
      </c>
      <c r="H2793" s="5" t="s">
        <v>25</v>
      </c>
      <c r="I2793" s="5" t="s">
        <v>25</v>
      </c>
      <c r="J2793" s="5" t="s">
        <v>25</v>
      </c>
      <c r="K2793" s="7" t="str">
        <f>VLOOKUP(A2793,Sheet2!$A$2:$R$3432,6,0)</f>
        <v>Honda Shine </v>
      </c>
      <c r="L2793" s="5" t="s">
        <v>25</v>
      </c>
      <c r="M2793" s="7" t="str">
        <f>VLOOKUP(A2793,Sheet2!$A$2:$R$3432,5,0)</f>
        <v>MH09DC6361</v>
      </c>
      <c r="N2793" s="5" t="s">
        <v>25</v>
      </c>
      <c r="O2793" s="5" t="s">
        <v>25</v>
      </c>
      <c r="P2793" s="6" t="s">
        <v>25</v>
      </c>
      <c r="Q2793" s="5" t="s">
        <v>25</v>
      </c>
      <c r="R2793" s="5" t="s">
        <v>25</v>
      </c>
      <c r="S2793" s="7" t="str">
        <f>VLOOKUP(A2793,Sheet2!$A$2:$R$3432,18,0)</f>
        <v/>
      </c>
      <c r="T2793" s="7" t="str">
        <f>VLOOKUP(A2793,Sheet2!$A$2:$R$3432,17,0)</f>
        <v/>
      </c>
    </row>
    <row r="2794" ht="15.75" customHeight="1">
      <c r="A2794" s="3" t="s">
        <v>2817</v>
      </c>
      <c r="B2794" s="4" t="str">
        <f>VLOOKUP(A2794,Sheet2!$A$2:$R$3432,2,0)</f>
        <v>2024-11-19 15:36:28</v>
      </c>
      <c r="C2794" s="5" t="s">
        <v>25</v>
      </c>
      <c r="D2794" s="6" t="s">
        <v>25</v>
      </c>
      <c r="E2794" s="7">
        <f>VLOOKUP(A2794,Sheet2!$A$2:$R$3432,4,0)</f>
        <v>9325110511</v>
      </c>
      <c r="F2794" s="7" t="str">
        <f>VLOOKUP(A2794,Sheet2!$A$2:$R$3432,3,0)</f>
        <v>DARSHIKA</v>
      </c>
      <c r="G2794" s="5" t="s">
        <v>25</v>
      </c>
      <c r="H2794" s="5" t="s">
        <v>25</v>
      </c>
      <c r="I2794" s="5" t="s">
        <v>25</v>
      </c>
      <c r="J2794" s="5" t="s">
        <v>25</v>
      </c>
      <c r="K2794" s="7" t="str">
        <f>VLOOKUP(A2794,Sheet2!$A$2:$R$3432,6,0)</f>
        <v>TVS Scooty PEP Plus</v>
      </c>
      <c r="L2794" s="5" t="s">
        <v>25</v>
      </c>
      <c r="M2794" s="7" t="str">
        <f>VLOOKUP(A2794,Sheet2!$A$2:$R$3432,5,0)</f>
        <v>MH27CD9576</v>
      </c>
      <c r="N2794" s="5" t="s">
        <v>25</v>
      </c>
      <c r="O2794" s="5" t="s">
        <v>25</v>
      </c>
      <c r="P2794" s="6" t="s">
        <v>25</v>
      </c>
      <c r="Q2794" s="5" t="s">
        <v>25</v>
      </c>
      <c r="R2794" s="5" t="s">
        <v>25</v>
      </c>
      <c r="S2794" s="5" t="str">
        <f>VLOOKUP(A2794,Sheet2!$A$2:$R$3432,18,0)</f>
        <v>AG3GH2068559</v>
      </c>
      <c r="T2794" s="7" t="str">
        <f>VLOOKUP(A2794,Sheet2!$A$2:$R$3432,17,0)</f>
        <v>MD626AG3SH2H75676</v>
      </c>
    </row>
    <row r="2795" ht="15.75" customHeight="1">
      <c r="A2795" s="3" t="s">
        <v>2818</v>
      </c>
      <c r="B2795" s="4" t="str">
        <f>VLOOKUP(A2795,Sheet2!$A$2:$R$3432,2,0)</f>
        <v>2024-11-19 19:57:47</v>
      </c>
      <c r="C2795" s="5" t="s">
        <v>25</v>
      </c>
      <c r="D2795" s="6" t="s">
        <v>25</v>
      </c>
      <c r="E2795" s="7">
        <f>VLOOKUP(A2795,Sheet2!$A$2:$R$3432,4,0)</f>
        <v>7385844472</v>
      </c>
      <c r="F2795" s="7" t="str">
        <f>VLOOKUP(A2795,Sheet2!$A$2:$R$3432,3,0)</f>
        <v>SAMEER</v>
      </c>
      <c r="G2795" s="5" t="s">
        <v>25</v>
      </c>
      <c r="H2795" s="5" t="s">
        <v>25</v>
      </c>
      <c r="I2795" s="5" t="s">
        <v>25</v>
      </c>
      <c r="J2795" s="5" t="s">
        <v>25</v>
      </c>
      <c r="K2795" s="7" t="str">
        <f>VLOOKUP(A2795,Sheet2!$A$2:$R$3432,6,0)</f>
        <v>Royal Enfield Classic 350</v>
      </c>
      <c r="L2795" s="5" t="s">
        <v>25</v>
      </c>
      <c r="M2795" s="7" t="str">
        <f>VLOOKUP(A2795,Sheet2!$A$2:$R$3432,5,0)</f>
        <v>MH12RJ6969</v>
      </c>
      <c r="N2795" s="5" t="s">
        <v>25</v>
      </c>
      <c r="O2795" s="5" t="s">
        <v>25</v>
      </c>
      <c r="P2795" s="6" t="s">
        <v>25</v>
      </c>
      <c r="Q2795" s="5" t="s">
        <v>25</v>
      </c>
      <c r="R2795" s="5" t="s">
        <v>25</v>
      </c>
      <c r="S2795" s="7" t="str">
        <f>VLOOKUP(A2795,Sheet2!$A$2:$R$3432,18,0)</f>
        <v/>
      </c>
      <c r="T2795" s="7" t="str">
        <f>VLOOKUP(A2795,Sheet2!$A$2:$R$3432,17,0)</f>
        <v/>
      </c>
    </row>
    <row r="2796" ht="15.75" customHeight="1">
      <c r="A2796" s="3" t="s">
        <v>2819</v>
      </c>
      <c r="B2796" s="4" t="str">
        <f>VLOOKUP(A2796,Sheet2!$A$2:$R$3432,2,0)</f>
        <v>2024-11-19 20:15:43</v>
      </c>
      <c r="C2796" s="5" t="s">
        <v>25</v>
      </c>
      <c r="D2796" s="6" t="s">
        <v>25</v>
      </c>
      <c r="E2796" s="7">
        <f>VLOOKUP(A2796,Sheet2!$A$2:$R$3432,4,0)</f>
        <v>9960686005</v>
      </c>
      <c r="F2796" s="7" t="str">
        <f>VLOOKUP(A2796,Sheet2!$A$2:$R$3432,3,0)</f>
        <v>SUJIT DESHPANDE </v>
      </c>
      <c r="G2796" s="5" t="s">
        <v>25</v>
      </c>
      <c r="H2796" s="5" t="s">
        <v>25</v>
      </c>
      <c r="I2796" s="5" t="s">
        <v>25</v>
      </c>
      <c r="J2796" s="5" t="s">
        <v>25</v>
      </c>
      <c r="K2796" s="7" t="str">
        <f>VLOOKUP(A2796,Sheet2!$A$2:$R$3432,6,0)</f>
        <v>Suzuki Access  125 BS6</v>
      </c>
      <c r="L2796" s="5" t="s">
        <v>25</v>
      </c>
      <c r="M2796" s="7" t="str">
        <f>VLOOKUP(A2796,Sheet2!$A$2:$R$3432,5,0)</f>
        <v>MH12SR8338</v>
      </c>
      <c r="N2796" s="5" t="s">
        <v>25</v>
      </c>
      <c r="O2796" s="5" t="s">
        <v>25</v>
      </c>
      <c r="P2796" s="6" t="s">
        <v>25</v>
      </c>
      <c r="Q2796" s="5" t="s">
        <v>25</v>
      </c>
      <c r="R2796" s="5" t="s">
        <v>25</v>
      </c>
      <c r="S2796" s="5" t="str">
        <f>VLOOKUP(A2796,Sheet2!$A$2:$R$3432,18,0)</f>
        <v>AF212303253</v>
      </c>
      <c r="T2796" s="7" t="str">
        <f>VLOOKUP(A2796,Sheet2!$A$2:$R$3432,17,0)</f>
        <v>MB8DP12DCL8213201</v>
      </c>
    </row>
    <row r="2797" ht="15.75" customHeight="1">
      <c r="A2797" s="3" t="s">
        <v>2820</v>
      </c>
      <c r="B2797" s="4" t="str">
        <f>VLOOKUP(A2797,Sheet2!$A$2:$R$3432,2,0)</f>
        <v>2024-11-19 19:56:33</v>
      </c>
      <c r="C2797" s="5" t="s">
        <v>25</v>
      </c>
      <c r="D2797" s="6" t="s">
        <v>25</v>
      </c>
      <c r="E2797" s="7">
        <f>VLOOKUP(A2797,Sheet2!$A$2:$R$3432,4,0)</f>
        <v>9370708502</v>
      </c>
      <c r="F2797" s="7" t="str">
        <f>VLOOKUP(A2797,Sheet2!$A$2:$R$3432,3,0)</f>
        <v>BHUSHAN GAIKWAD</v>
      </c>
      <c r="G2797" s="5" t="s">
        <v>25</v>
      </c>
      <c r="H2797" s="5" t="s">
        <v>25</v>
      </c>
      <c r="I2797" s="5" t="s">
        <v>25</v>
      </c>
      <c r="J2797" s="5" t="s">
        <v>25</v>
      </c>
      <c r="K2797" s="7" t="str">
        <f>VLOOKUP(A2797,Sheet2!$A$2:$R$3432,6,0)</f>
        <v>Bajaj Pulsar 150</v>
      </c>
      <c r="L2797" s="5" t="s">
        <v>25</v>
      </c>
      <c r="M2797" s="7" t="str">
        <f>VLOOKUP(A2797,Sheet2!$A$2:$R$3432,5,0)</f>
        <v>MH41BC8934</v>
      </c>
      <c r="N2797" s="5" t="s">
        <v>25</v>
      </c>
      <c r="O2797" s="5" t="s">
        <v>25</v>
      </c>
      <c r="P2797" s="6" t="s">
        <v>25</v>
      </c>
      <c r="Q2797" s="5" t="s">
        <v>25</v>
      </c>
      <c r="R2797" s="5" t="s">
        <v>25</v>
      </c>
      <c r="S2797" s="5" t="str">
        <f>VLOOKUP(A2797,Sheet2!$A$2:$R$3432,18,0)</f>
        <v>DHXC031843</v>
      </c>
      <c r="T2797" s="7" t="str">
        <f>VLOOKUP(A2797,Sheet2!$A$2:$R$3432,17,0)</f>
        <v>MDA11CXKCG38046</v>
      </c>
    </row>
    <row r="2798" ht="15.75" customHeight="1">
      <c r="A2798" s="3" t="s">
        <v>2821</v>
      </c>
      <c r="B2798" s="4" t="str">
        <f>VLOOKUP(A2798,Sheet2!$A$2:$R$3432,2,0)</f>
        <v>2025-04-23 17:13:54</v>
      </c>
      <c r="C2798" s="5" t="s">
        <v>25</v>
      </c>
      <c r="D2798" s="6" t="s">
        <v>25</v>
      </c>
      <c r="E2798" s="7">
        <f>VLOOKUP(A2798,Sheet2!$A$2:$R$3432,4,0)</f>
        <v>7020314454</v>
      </c>
      <c r="F2798" s="7" t="str">
        <f>VLOOKUP(A2798,Sheet2!$A$2:$R$3432,3,0)</f>
        <v>NIKHIL</v>
      </c>
      <c r="G2798" s="5" t="s">
        <v>25</v>
      </c>
      <c r="H2798" s="5" t="s">
        <v>25</v>
      </c>
      <c r="I2798" s="5" t="s">
        <v>25</v>
      </c>
      <c r="J2798" s="5" t="s">
        <v>25</v>
      </c>
      <c r="K2798" s="7" t="str">
        <f>VLOOKUP(A2798,Sheet2!$A$2:$R$3432,6,0)</f>
        <v>TVS Jupiter 125</v>
      </c>
      <c r="L2798" s="5" t="s">
        <v>25</v>
      </c>
      <c r="M2798" s="7" t="str">
        <f>VLOOKUP(A2798,Sheet2!$A$2:$R$3432,5,0)</f>
        <v>MH14JV1321</v>
      </c>
      <c r="N2798" s="5" t="s">
        <v>25</v>
      </c>
      <c r="O2798" s="5" t="s">
        <v>25</v>
      </c>
      <c r="P2798" s="6" t="s">
        <v>25</v>
      </c>
      <c r="Q2798" s="5" t="s">
        <v>25</v>
      </c>
      <c r="R2798" s="5" t="s">
        <v>25</v>
      </c>
      <c r="S2798" s="5" t="str">
        <f>VLOOKUP(A2798,Sheet2!$A$2:$R$3432,18,0)</f>
        <v>BK4LM1605619</v>
      </c>
      <c r="T2798" s="7" t="str">
        <f>VLOOKUP(A2798,Sheet2!$A$2:$R$3432,17,0)</f>
        <v>MD626AK45M1L06309</v>
      </c>
    </row>
    <row r="2799" ht="15.75" customHeight="1">
      <c r="A2799" s="3" t="s">
        <v>2822</v>
      </c>
      <c r="B2799" s="4" t="str">
        <f>VLOOKUP(A2799,Sheet2!$A$2:$R$3432,2,0)</f>
        <v>2025-04-23 19:29:46</v>
      </c>
      <c r="C2799" s="5" t="s">
        <v>25</v>
      </c>
      <c r="D2799" s="6" t="s">
        <v>25</v>
      </c>
      <c r="E2799" s="7">
        <f>VLOOKUP(A2799,Sheet2!$A$2:$R$3432,4,0)</f>
        <v>8983836822</v>
      </c>
      <c r="F2799" s="7" t="str">
        <f>VLOOKUP(A2799,Sheet2!$A$2:$R$3432,3,0)</f>
        <v>Omkar Joshi </v>
      </c>
      <c r="G2799" s="5" t="s">
        <v>25</v>
      </c>
      <c r="H2799" s="5" t="s">
        <v>25</v>
      </c>
      <c r="I2799" s="5" t="s">
        <v>25</v>
      </c>
      <c r="J2799" s="5" t="s">
        <v>25</v>
      </c>
      <c r="K2799" s="7" t="str">
        <f>VLOOKUP(A2799,Sheet2!$A$2:$R$3432,6,0)</f>
        <v>TVS Jupiter </v>
      </c>
      <c r="L2799" s="5" t="s">
        <v>25</v>
      </c>
      <c r="M2799" s="7" t="str">
        <f>VLOOKUP(A2799,Sheet2!$A$2:$R$3432,5,0)</f>
        <v>MH14KK9064</v>
      </c>
      <c r="N2799" s="5" t="s">
        <v>25</v>
      </c>
      <c r="O2799" s="5" t="s">
        <v>25</v>
      </c>
      <c r="P2799" s="6" t="s">
        <v>25</v>
      </c>
      <c r="Q2799" s="5" t="s">
        <v>25</v>
      </c>
      <c r="R2799" s="5" t="s">
        <v>25</v>
      </c>
      <c r="S2799" s="5" t="str">
        <f>VLOOKUP(A2799,Sheet2!$A$2:$R$3432,18,0)</f>
        <v>DG5LN1X03780</v>
      </c>
      <c r="T2799" s="7" t="str">
        <f>VLOOKUP(A2799,Sheet2!$A$2:$R$3432,17,0)</f>
        <v>MD626G5XNL13299</v>
      </c>
    </row>
    <row r="2800" ht="15.75" customHeight="1">
      <c r="A2800" s="3" t="s">
        <v>2823</v>
      </c>
      <c r="B2800" s="4" t="str">
        <f>VLOOKUP(A2800,Sheet2!$A$2:$R$3432,2,0)</f>
        <v>2025-04-23 20:10:56</v>
      </c>
      <c r="C2800" s="5" t="s">
        <v>25</v>
      </c>
      <c r="D2800" s="6" t="s">
        <v>25</v>
      </c>
      <c r="E2800" s="7">
        <f>VLOOKUP(A2800,Sheet2!$A$2:$R$3432,4,0)</f>
        <v>7820938456</v>
      </c>
      <c r="F2800" s="7" t="str">
        <f>VLOOKUP(A2800,Sheet2!$A$2:$R$3432,3,0)</f>
        <v>SWAPNIL GIRAMKAR</v>
      </c>
      <c r="G2800" s="5" t="s">
        <v>25</v>
      </c>
      <c r="H2800" s="5" t="s">
        <v>25</v>
      </c>
      <c r="I2800" s="5" t="s">
        <v>25</v>
      </c>
      <c r="J2800" s="5" t="s">
        <v>25</v>
      </c>
      <c r="K2800" s="7" t="str">
        <f>VLOOKUP(A2800,Sheet2!$A$2:$R$3432,6,0)</f>
        <v>Hero Pleasure </v>
      </c>
      <c r="L2800" s="5" t="s">
        <v>25</v>
      </c>
      <c r="M2800" s="7" t="str">
        <f>VLOOKUP(A2800,Sheet2!$A$2:$R$3432,5,0)</f>
        <v>MH16AU9506</v>
      </c>
      <c r="N2800" s="5" t="s">
        <v>25</v>
      </c>
      <c r="O2800" s="5" t="s">
        <v>25</v>
      </c>
      <c r="P2800" s="6" t="s">
        <v>25</v>
      </c>
      <c r="Q2800" s="5" t="s">
        <v>25</v>
      </c>
      <c r="R2800" s="5" t="s">
        <v>25</v>
      </c>
      <c r="S2800" s="5" t="str">
        <f>VLOOKUP(A2800,Sheet2!$A$2:$R$3432,18,0)</f>
        <v>JF16EBBG126893</v>
      </c>
      <c r="T2800" s="7" t="str">
        <f>VLOOKUP(A2800,Sheet2!$A$2:$R$3432,17,0)</f>
        <v>MBLTF16EDBGM27106</v>
      </c>
    </row>
    <row r="2801" ht="15.75" customHeight="1">
      <c r="A2801" s="3" t="s">
        <v>2824</v>
      </c>
      <c r="B2801" s="4" t="str">
        <f>VLOOKUP(A2801,Sheet2!$A$2:$R$3432,2,0)</f>
        <v>2025-04-23 19:07:45</v>
      </c>
      <c r="C2801" s="5" t="s">
        <v>25</v>
      </c>
      <c r="D2801" s="6" t="s">
        <v>25</v>
      </c>
      <c r="E2801" s="7">
        <f>VLOOKUP(A2801,Sheet2!$A$2:$R$3432,4,0)</f>
        <v>9518352796</v>
      </c>
      <c r="F2801" s="7" t="str">
        <f>VLOOKUP(A2801,Sheet2!$A$2:$R$3432,3,0)</f>
        <v>Shantanu Kamthe</v>
      </c>
      <c r="G2801" s="5" t="s">
        <v>25</v>
      </c>
      <c r="H2801" s="5" t="s">
        <v>25</v>
      </c>
      <c r="I2801" s="5" t="s">
        <v>25</v>
      </c>
      <c r="J2801" s="5" t="s">
        <v>25</v>
      </c>
      <c r="K2801" s="7" t="str">
        <f>VLOOKUP(A2801,Sheet2!$A$2:$R$3432,6,0)</f>
        <v>Honda Hornet </v>
      </c>
      <c r="L2801" s="5" t="s">
        <v>25</v>
      </c>
      <c r="M2801" s="7" t="str">
        <f>VLOOKUP(A2801,Sheet2!$A$2:$R$3432,5,0)</f>
        <v>MH12PR6035</v>
      </c>
      <c r="N2801" s="5" t="s">
        <v>25</v>
      </c>
      <c r="O2801" s="5" t="s">
        <v>25</v>
      </c>
      <c r="P2801" s="6" t="s">
        <v>25</v>
      </c>
      <c r="Q2801" s="5" t="s">
        <v>25</v>
      </c>
      <c r="R2801" s="5" t="s">
        <v>25</v>
      </c>
      <c r="S2801" s="5" t="str">
        <f>VLOOKUP(A2801,Sheet2!$A$2:$R$3432,18,0)</f>
        <v>KC23E849430</v>
      </c>
      <c r="T2801" s="7" t="str">
        <f>VLOOKUP(A2801,Sheet2!$A$2:$R$3432,17,0)</f>
        <v>ME4KC23AFH8016431</v>
      </c>
    </row>
    <row r="2802" ht="15.75" customHeight="1">
      <c r="A2802" s="3" t="s">
        <v>2825</v>
      </c>
      <c r="B2802" s="4" t="str">
        <f>VLOOKUP(A2802,Sheet2!$A$2:$R$3432,2,0)</f>
        <v>2025-04-23 19:09:07</v>
      </c>
      <c r="C2802" s="5" t="s">
        <v>25</v>
      </c>
      <c r="D2802" s="6" t="s">
        <v>25</v>
      </c>
      <c r="E2802" s="7">
        <f>VLOOKUP(A2802,Sheet2!$A$2:$R$3432,4,0)</f>
        <v>8390900585</v>
      </c>
      <c r="F2802" s="7" t="str">
        <f>VLOOKUP(A2802,Sheet2!$A$2:$R$3432,3,0)</f>
        <v>Ankit Rajput</v>
      </c>
      <c r="G2802" s="5" t="s">
        <v>25</v>
      </c>
      <c r="H2802" s="5" t="s">
        <v>25</v>
      </c>
      <c r="I2802" s="5" t="s">
        <v>25</v>
      </c>
      <c r="J2802" s="5" t="s">
        <v>25</v>
      </c>
      <c r="K2802" s="7" t="str">
        <f>VLOOKUP(A2802,Sheet2!$A$2:$R$3432,6,0)</f>
        <v>Honda Activa Old</v>
      </c>
      <c r="L2802" s="5" t="s">
        <v>25</v>
      </c>
      <c r="M2802" s="7" t="str">
        <f>VLOOKUP(A2802,Sheet2!$A$2:$R$3432,5,0)</f>
        <v>MH12EC4797</v>
      </c>
      <c r="N2802" s="5" t="s">
        <v>25</v>
      </c>
      <c r="O2802" s="5" t="s">
        <v>25</v>
      </c>
      <c r="P2802" s="6" t="s">
        <v>25</v>
      </c>
      <c r="Q2802" s="5" t="s">
        <v>25</v>
      </c>
      <c r="R2802" s="5" t="s">
        <v>25</v>
      </c>
      <c r="S2802" s="7" t="str">
        <f>VLOOKUP(A2802,Sheet2!$A$2:$R$3432,18,0)</f>
        <v/>
      </c>
      <c r="T2802" s="7" t="str">
        <f>VLOOKUP(A2802,Sheet2!$A$2:$R$3432,17,0)</f>
        <v/>
      </c>
    </row>
    <row r="2803" ht="15.75" customHeight="1">
      <c r="A2803" s="3" t="s">
        <v>2826</v>
      </c>
      <c r="B2803" s="4" t="str">
        <f>VLOOKUP(A2803,Sheet2!$A$2:$R$3432,2,0)</f>
        <v>2025-04-23 19:09:45</v>
      </c>
      <c r="C2803" s="5" t="s">
        <v>25</v>
      </c>
      <c r="D2803" s="6" t="s">
        <v>25</v>
      </c>
      <c r="E2803" s="7">
        <f>VLOOKUP(A2803,Sheet2!$A$2:$R$3432,4,0)</f>
        <v>9112721874</v>
      </c>
      <c r="F2803" s="7" t="str">
        <f>VLOOKUP(A2803,Sheet2!$A$2:$R$3432,3,0)</f>
        <v>Abhishek Waghchaure</v>
      </c>
      <c r="G2803" s="5" t="s">
        <v>25</v>
      </c>
      <c r="H2803" s="5" t="s">
        <v>25</v>
      </c>
      <c r="I2803" s="5" t="s">
        <v>25</v>
      </c>
      <c r="J2803" s="5" t="s">
        <v>25</v>
      </c>
      <c r="K2803" s="7" t="str">
        <f>VLOOKUP(A2803,Sheet2!$A$2:$R$3432,6,0)</f>
        <v>Suzuki Access 125</v>
      </c>
      <c r="L2803" s="5" t="s">
        <v>25</v>
      </c>
      <c r="M2803" s="7" t="str">
        <f>VLOOKUP(A2803,Sheet2!$A$2:$R$3432,5,0)</f>
        <v>MH17AH5907</v>
      </c>
      <c r="N2803" s="5" t="s">
        <v>25</v>
      </c>
      <c r="O2803" s="5" t="s">
        <v>25</v>
      </c>
      <c r="P2803" s="6" t="s">
        <v>25</v>
      </c>
      <c r="Q2803" s="5" t="s">
        <v>25</v>
      </c>
      <c r="R2803" s="5" t="s">
        <v>25</v>
      </c>
      <c r="S2803" s="7" t="str">
        <f>VLOOKUP(A2803,Sheet2!$A$2:$R$3432,18,0)</f>
        <v/>
      </c>
      <c r="T2803" s="7" t="str">
        <f>VLOOKUP(A2803,Sheet2!$A$2:$R$3432,17,0)</f>
        <v/>
      </c>
    </row>
    <row r="2804" ht="15.75" customHeight="1">
      <c r="A2804" s="3" t="s">
        <v>2827</v>
      </c>
      <c r="B2804" s="4" t="str">
        <f>VLOOKUP(A2804,Sheet2!$A$2:$R$3432,2,0)</f>
        <v>2025-04-23 21:04:53</v>
      </c>
      <c r="C2804" s="5" t="s">
        <v>25</v>
      </c>
      <c r="D2804" s="6" t="s">
        <v>25</v>
      </c>
      <c r="E2804" s="7">
        <f>VLOOKUP(A2804,Sheet2!$A$2:$R$3432,4,0)</f>
        <v>9686753313</v>
      </c>
      <c r="F2804" s="7" t="str">
        <f>VLOOKUP(A2804,Sheet2!$A$2:$R$3432,3,0)</f>
        <v>ABHISHEK </v>
      </c>
      <c r="G2804" s="5" t="s">
        <v>25</v>
      </c>
      <c r="H2804" s="5" t="s">
        <v>25</v>
      </c>
      <c r="I2804" s="5" t="s">
        <v>25</v>
      </c>
      <c r="J2804" s="5" t="s">
        <v>25</v>
      </c>
      <c r="K2804" s="7" t="str">
        <f>VLOOKUP(A2804,Sheet2!$A$2:$R$3432,6,0)</f>
        <v>Yamaha FZ V3</v>
      </c>
      <c r="L2804" s="5" t="s">
        <v>25</v>
      </c>
      <c r="M2804" s="7" t="str">
        <f>VLOOKUP(A2804,Sheet2!$A$2:$R$3432,5,0)</f>
        <v>KA14ES8444</v>
      </c>
      <c r="N2804" s="5" t="s">
        <v>25</v>
      </c>
      <c r="O2804" s="5" t="s">
        <v>25</v>
      </c>
      <c r="P2804" s="6" t="s">
        <v>25</v>
      </c>
      <c r="Q2804" s="5" t="s">
        <v>25</v>
      </c>
      <c r="R2804" s="5" t="s">
        <v>25</v>
      </c>
      <c r="S2804" s="5" t="str">
        <f>VLOOKUP(A2804,Sheet2!$A$2:$R$3432,18,0)</f>
        <v>G3L5E0064942</v>
      </c>
      <c r="T2804" s="7" t="str">
        <f>VLOOKUP(A2804,Sheet2!$A$2:$R$3432,17,0)</f>
        <v>ME1RG44E5K0011735</v>
      </c>
    </row>
    <row r="2805" ht="15.75" customHeight="1">
      <c r="A2805" s="3" t="s">
        <v>2828</v>
      </c>
      <c r="B2805" s="4" t="str">
        <f>VLOOKUP(A2805,Sheet2!$A$2:$R$3432,2,0)</f>
        <v>2025-03-09 20:46:56</v>
      </c>
      <c r="C2805" s="5" t="s">
        <v>25</v>
      </c>
      <c r="D2805" s="6" t="s">
        <v>25</v>
      </c>
      <c r="E2805" s="7">
        <f>VLOOKUP(A2805,Sheet2!$A$2:$R$3432,4,0)</f>
        <v>7709551262</v>
      </c>
      <c r="F2805" s="7" t="str">
        <f>VLOOKUP(A2805,Sheet2!$A$2:$R$3432,3,0)</f>
        <v>Tejas </v>
      </c>
      <c r="G2805" s="5" t="s">
        <v>25</v>
      </c>
      <c r="H2805" s="5" t="s">
        <v>25</v>
      </c>
      <c r="I2805" s="5" t="s">
        <v>25</v>
      </c>
      <c r="J2805" s="5" t="s">
        <v>25</v>
      </c>
      <c r="K2805" s="7" t="str">
        <f>VLOOKUP(A2805,Sheet2!$A$2:$R$3432,6,0)</f>
        <v>TVS Jupiter 125</v>
      </c>
      <c r="L2805" s="5" t="s">
        <v>25</v>
      </c>
      <c r="M2805" s="7" t="str">
        <f>VLOOKUP(A2805,Sheet2!$A$2:$R$3432,5,0)</f>
        <v>MH14KY1137</v>
      </c>
      <c r="N2805" s="5" t="s">
        <v>25</v>
      </c>
      <c r="O2805" s="5" t="s">
        <v>25</v>
      </c>
      <c r="P2805" s="6" t="s">
        <v>25</v>
      </c>
      <c r="Q2805" s="5" t="s">
        <v>25</v>
      </c>
      <c r="R2805" s="5" t="s">
        <v>25</v>
      </c>
      <c r="S2805" s="7" t="str">
        <f>VLOOKUP(A2805,Sheet2!$A$2:$R$3432,18,0)</f>
        <v/>
      </c>
      <c r="T2805" s="7" t="str">
        <f>VLOOKUP(A2805,Sheet2!$A$2:$R$3432,17,0)</f>
        <v/>
      </c>
    </row>
    <row r="2806" ht="15.75" customHeight="1">
      <c r="A2806" s="3" t="s">
        <v>2829</v>
      </c>
      <c r="B2806" s="4" t="str">
        <f>VLOOKUP(A2806,Sheet2!$A$2:$R$3432,2,0)</f>
        <v>2025-03-09 20:45:40</v>
      </c>
      <c r="C2806" s="5" t="s">
        <v>25</v>
      </c>
      <c r="D2806" s="6" t="s">
        <v>25</v>
      </c>
      <c r="E2806" s="7">
        <f>VLOOKUP(A2806,Sheet2!$A$2:$R$3432,4,0)</f>
        <v>8379862337</v>
      </c>
      <c r="F2806" s="7" t="str">
        <f>VLOOKUP(A2806,Sheet2!$A$2:$R$3432,3,0)</f>
        <v>AKASH SOMESHWAR THAKARE</v>
      </c>
      <c r="G2806" s="5" t="s">
        <v>25</v>
      </c>
      <c r="H2806" s="5" t="s">
        <v>25</v>
      </c>
      <c r="I2806" s="5" t="s">
        <v>25</v>
      </c>
      <c r="J2806" s="5" t="s">
        <v>25</v>
      </c>
      <c r="K2806" s="7" t="str">
        <f>VLOOKUP(A2806,Sheet2!$A$2:$R$3432,6,0)</f>
        <v>Honda Shine 125</v>
      </c>
      <c r="L2806" s="5" t="s">
        <v>25</v>
      </c>
      <c r="M2806" s="7" t="str">
        <f>VLOOKUP(A2806,Sheet2!$A$2:$R$3432,5,0)</f>
        <v>MH20EC1254</v>
      </c>
      <c r="N2806" s="5" t="s">
        <v>25</v>
      </c>
      <c r="O2806" s="5" t="s">
        <v>25</v>
      </c>
      <c r="P2806" s="6" t="s">
        <v>25</v>
      </c>
      <c r="Q2806" s="5" t="s">
        <v>25</v>
      </c>
      <c r="R2806" s="5" t="s">
        <v>25</v>
      </c>
      <c r="S2806" s="7" t="str">
        <f>VLOOKUP(A2806,Sheet2!$A$2:$R$3432,18,0)</f>
        <v/>
      </c>
      <c r="T2806" s="7" t="str">
        <f>VLOOKUP(A2806,Sheet2!$A$2:$R$3432,17,0)</f>
        <v/>
      </c>
    </row>
    <row r="2807" ht="15.75" customHeight="1">
      <c r="A2807" s="3" t="s">
        <v>2830</v>
      </c>
      <c r="B2807" s="4" t="str">
        <f>VLOOKUP(A2807,Sheet2!$A$2:$R$3432,2,0)</f>
        <v>2025-03-09 13:07:05</v>
      </c>
      <c r="C2807" s="5" t="s">
        <v>25</v>
      </c>
      <c r="D2807" s="6" t="s">
        <v>25</v>
      </c>
      <c r="E2807" s="7">
        <f>VLOOKUP(A2807,Sheet2!$A$2:$R$3432,4,0)</f>
        <v>7219308794</v>
      </c>
      <c r="F2807" s="7" t="str">
        <f>VLOOKUP(A2807,Sheet2!$A$2:$R$3432,3,0)</f>
        <v>AMIT WAGHMARE </v>
      </c>
      <c r="G2807" s="5" t="s">
        <v>25</v>
      </c>
      <c r="H2807" s="5" t="s">
        <v>25</v>
      </c>
      <c r="I2807" s="5" t="s">
        <v>25</v>
      </c>
      <c r="J2807" s="5" t="s">
        <v>25</v>
      </c>
      <c r="K2807" s="7" t="str">
        <f>VLOOKUP(A2807,Sheet2!$A$2:$R$3432,6,0)</f>
        <v>Bajaj Avenger 220 Cruise</v>
      </c>
      <c r="L2807" s="5" t="s">
        <v>25</v>
      </c>
      <c r="M2807" s="7" t="str">
        <f>VLOOKUP(A2807,Sheet2!$A$2:$R$3432,5,0)</f>
        <v>MH20EA1806</v>
      </c>
      <c r="N2807" s="5" t="s">
        <v>25</v>
      </c>
      <c r="O2807" s="5" t="s">
        <v>25</v>
      </c>
      <c r="P2807" s="6" t="s">
        <v>25</v>
      </c>
      <c r="Q2807" s="5" t="s">
        <v>25</v>
      </c>
      <c r="R2807" s="5" t="s">
        <v>25</v>
      </c>
      <c r="S2807" s="7" t="str">
        <f>VLOOKUP(A2807,Sheet2!$A$2:$R$3432,18,0)</f>
        <v/>
      </c>
      <c r="T2807" s="7" t="str">
        <f>VLOOKUP(A2807,Sheet2!$A$2:$R$3432,17,0)</f>
        <v/>
      </c>
    </row>
    <row r="2808" ht="15.75" customHeight="1">
      <c r="A2808" s="3" t="s">
        <v>2831</v>
      </c>
      <c r="B2808" s="4" t="str">
        <f>VLOOKUP(A2808,Sheet2!$A$2:$R$3432,2,0)</f>
        <v>2025-03-09 20:37:56</v>
      </c>
      <c r="C2808" s="5" t="s">
        <v>25</v>
      </c>
      <c r="D2808" s="6" t="s">
        <v>25</v>
      </c>
      <c r="E2808" s="7">
        <f>VLOOKUP(A2808,Sheet2!$A$2:$R$3432,4,0)</f>
        <v>9545428497</v>
      </c>
      <c r="F2808" s="7" t="str">
        <f>VLOOKUP(A2808,Sheet2!$A$2:$R$3432,3,0)</f>
        <v>Ajay Javkar</v>
      </c>
      <c r="G2808" s="5" t="s">
        <v>25</v>
      </c>
      <c r="H2808" s="5" t="s">
        <v>25</v>
      </c>
      <c r="I2808" s="5" t="s">
        <v>25</v>
      </c>
      <c r="J2808" s="5" t="s">
        <v>25</v>
      </c>
      <c r="K2808" s="7" t="str">
        <f>VLOOKUP(A2808,Sheet2!$A$2:$R$3432,6,0)</f>
        <v>Honda Unicorn </v>
      </c>
      <c r="L2808" s="5" t="s">
        <v>25</v>
      </c>
      <c r="M2808" s="7" t="str">
        <f>VLOOKUP(A2808,Sheet2!$A$2:$R$3432,5,0)</f>
        <v>MH28BP3546</v>
      </c>
      <c r="N2808" s="5" t="s">
        <v>25</v>
      </c>
      <c r="O2808" s="5" t="s">
        <v>25</v>
      </c>
      <c r="P2808" s="6" t="s">
        <v>25</v>
      </c>
      <c r="Q2808" s="5" t="s">
        <v>25</v>
      </c>
      <c r="R2808" s="5" t="s">
        <v>25</v>
      </c>
      <c r="S2808" s="5" t="str">
        <f>VLOOKUP(A2808,Sheet2!$A$2:$R$3432,18,0)</f>
        <v>KC40EA0335533</v>
      </c>
      <c r="T2808" s="7" t="str">
        <f>VLOOKUP(A2808,Sheet2!$A$2:$R$3432,17,0)</f>
        <v>ME4KC401MMA335539</v>
      </c>
    </row>
    <row r="2809" ht="15.75" customHeight="1">
      <c r="A2809" s="3" t="s">
        <v>2832</v>
      </c>
      <c r="B2809" s="4" t="str">
        <f>VLOOKUP(A2809,Sheet2!$A$2:$R$3432,2,0)</f>
        <v>2025-03-09 20:44:42</v>
      </c>
      <c r="C2809" s="5" t="s">
        <v>25</v>
      </c>
      <c r="D2809" s="6" t="s">
        <v>25</v>
      </c>
      <c r="E2809" s="7">
        <f>VLOOKUP(A2809,Sheet2!$A$2:$R$3432,4,0)</f>
        <v>7888198121</v>
      </c>
      <c r="F2809" s="7" t="str">
        <f>VLOOKUP(A2809,Sheet2!$A$2:$R$3432,3,0)</f>
        <v>JOSHI</v>
      </c>
      <c r="G2809" s="5" t="s">
        <v>25</v>
      </c>
      <c r="H2809" s="5" t="s">
        <v>25</v>
      </c>
      <c r="I2809" s="5" t="s">
        <v>25</v>
      </c>
      <c r="J2809" s="5" t="s">
        <v>25</v>
      </c>
      <c r="K2809" s="7" t="str">
        <f>VLOOKUP(A2809,Sheet2!$A$2:$R$3432,6,0)</f>
        <v>TVS Apache RTR 160</v>
      </c>
      <c r="L2809" s="5" t="s">
        <v>25</v>
      </c>
      <c r="M2809" s="7" t="str">
        <f>VLOOKUP(A2809,Sheet2!$A$2:$R$3432,5,0)</f>
        <v>MH21AG2613</v>
      </c>
      <c r="N2809" s="5" t="s">
        <v>25</v>
      </c>
      <c r="O2809" s="5" t="s">
        <v>25</v>
      </c>
      <c r="P2809" s="6" t="s">
        <v>25</v>
      </c>
      <c r="Q2809" s="5" t="s">
        <v>25</v>
      </c>
      <c r="R2809" s="5" t="s">
        <v>25</v>
      </c>
      <c r="S2809" s="7" t="str">
        <f>VLOOKUP(A2809,Sheet2!$A$2:$R$3432,18,0)</f>
        <v/>
      </c>
      <c r="T2809" s="7" t="str">
        <f>VLOOKUP(A2809,Sheet2!$A$2:$R$3432,17,0)</f>
        <v/>
      </c>
    </row>
    <row r="2810" ht="15.75" customHeight="1">
      <c r="A2810" s="3" t="s">
        <v>2833</v>
      </c>
      <c r="B2810" s="4" t="str">
        <f>VLOOKUP(A2810,Sheet2!$A$2:$R$3432,2,0)</f>
        <v>2025-03-09 20:30:18</v>
      </c>
      <c r="C2810" s="5" t="s">
        <v>25</v>
      </c>
      <c r="D2810" s="6" t="s">
        <v>25</v>
      </c>
      <c r="E2810" s="7">
        <f>VLOOKUP(A2810,Sheet2!$A$2:$R$3432,4,0)</f>
        <v>8983714572</v>
      </c>
      <c r="F2810" s="7" t="str">
        <f>VLOOKUP(A2810,Sheet2!$A$2:$R$3432,3,0)</f>
        <v>Nikhil </v>
      </c>
      <c r="G2810" s="5" t="s">
        <v>25</v>
      </c>
      <c r="H2810" s="5" t="s">
        <v>25</v>
      </c>
      <c r="I2810" s="5" t="s">
        <v>25</v>
      </c>
      <c r="J2810" s="5" t="s">
        <v>25</v>
      </c>
      <c r="K2810" s="7" t="str">
        <f>VLOOKUP(A2810,Sheet2!$A$2:$R$3432,6,0)</f>
        <v>Honda Dream Yuga </v>
      </c>
      <c r="L2810" s="5" t="s">
        <v>25</v>
      </c>
      <c r="M2810" s="7" t="str">
        <f>VLOOKUP(A2810,Sheet2!$A$2:$R$3432,5,0)</f>
        <v>MH12KU1835</v>
      </c>
      <c r="N2810" s="5" t="s">
        <v>25</v>
      </c>
      <c r="O2810" s="5" t="s">
        <v>25</v>
      </c>
      <c r="P2810" s="6" t="s">
        <v>25</v>
      </c>
      <c r="Q2810" s="5" t="s">
        <v>25</v>
      </c>
      <c r="R2810" s="5" t="s">
        <v>25</v>
      </c>
      <c r="S2810" s="5" t="str">
        <f>VLOOKUP(A2810,Sheet2!$A$2:$R$3432,18,0)</f>
        <v>JC58ETJ033973</v>
      </c>
      <c r="T2810" s="7" t="str">
        <f>VLOOKUP(A2810,Sheet2!$A$2:$R$3432,17,0)</f>
        <v>ME4JC586HD7032447</v>
      </c>
    </row>
    <row r="2811" ht="15.75" customHeight="1">
      <c r="A2811" s="3" t="s">
        <v>2834</v>
      </c>
      <c r="B2811" s="4" t="str">
        <f>VLOOKUP(A2811,Sheet2!$A$2:$R$3432,2,0)</f>
        <v>2025-03-09 20:46:29</v>
      </c>
      <c r="C2811" s="5" t="s">
        <v>25</v>
      </c>
      <c r="D2811" s="6" t="s">
        <v>25</v>
      </c>
      <c r="E2811" s="7">
        <f>VLOOKUP(A2811,Sheet2!$A$2:$R$3432,4,0)</f>
        <v>9767802123</v>
      </c>
      <c r="F2811" s="7" t="str">
        <f>VLOOKUP(A2811,Sheet2!$A$2:$R$3432,3,0)</f>
        <v>Omkar </v>
      </c>
      <c r="G2811" s="5" t="s">
        <v>25</v>
      </c>
      <c r="H2811" s="5" t="s">
        <v>25</v>
      </c>
      <c r="I2811" s="5" t="s">
        <v>25</v>
      </c>
      <c r="J2811" s="5" t="s">
        <v>25</v>
      </c>
      <c r="K2811" s="7" t="str">
        <f>VLOOKUP(A2811,Sheet2!$A$2:$R$3432,6,0)</f>
        <v>Honda Hornet </v>
      </c>
      <c r="L2811" s="5" t="s">
        <v>25</v>
      </c>
      <c r="M2811" s="7" t="str">
        <f>VLOOKUP(A2811,Sheet2!$A$2:$R$3432,5,0)</f>
        <v>MH12PW2927</v>
      </c>
      <c r="N2811" s="5" t="s">
        <v>25</v>
      </c>
      <c r="O2811" s="5" t="s">
        <v>25</v>
      </c>
      <c r="P2811" s="6" t="s">
        <v>25</v>
      </c>
      <c r="Q2811" s="5" t="s">
        <v>25</v>
      </c>
      <c r="R2811" s="5" t="s">
        <v>25</v>
      </c>
      <c r="S2811" s="7" t="str">
        <f>VLOOKUP(A2811,Sheet2!$A$2:$R$3432,18,0)</f>
        <v/>
      </c>
      <c r="T2811" s="7" t="str">
        <f>VLOOKUP(A2811,Sheet2!$A$2:$R$3432,17,0)</f>
        <v/>
      </c>
    </row>
    <row r="2812" ht="15.75" customHeight="1">
      <c r="A2812" s="3" t="s">
        <v>2835</v>
      </c>
      <c r="B2812" s="4" t="str">
        <f>VLOOKUP(A2812,Sheet2!$A$2:$R$3432,2,0)</f>
        <v>2025-03-09 20:34:31</v>
      </c>
      <c r="C2812" s="5" t="s">
        <v>25</v>
      </c>
      <c r="D2812" s="6" t="s">
        <v>25</v>
      </c>
      <c r="E2812" s="7">
        <f>VLOOKUP(A2812,Sheet2!$A$2:$R$3432,4,0)</f>
        <v>9307637570</v>
      </c>
      <c r="F2812" s="7" t="str">
        <f>VLOOKUP(A2812,Sheet2!$A$2:$R$3432,3,0)</f>
        <v>Pranav Pawar </v>
      </c>
      <c r="G2812" s="5" t="s">
        <v>25</v>
      </c>
      <c r="H2812" s="5" t="s">
        <v>25</v>
      </c>
      <c r="I2812" s="5" t="s">
        <v>25</v>
      </c>
      <c r="J2812" s="5" t="s">
        <v>25</v>
      </c>
      <c r="K2812" s="7" t="str">
        <f>VLOOKUP(A2812,Sheet2!$A$2:$R$3432,6,0)</f>
        <v>Honda Shine </v>
      </c>
      <c r="L2812" s="5" t="s">
        <v>25</v>
      </c>
      <c r="M2812" s="7" t="str">
        <f>VLOOKUP(A2812,Sheet2!$A$2:$R$3432,5,0)</f>
        <v>MH29BA3602</v>
      </c>
      <c r="N2812" s="5" t="s">
        <v>25</v>
      </c>
      <c r="O2812" s="5" t="s">
        <v>25</v>
      </c>
      <c r="P2812" s="6" t="s">
        <v>25</v>
      </c>
      <c r="Q2812" s="5" t="s">
        <v>25</v>
      </c>
      <c r="R2812" s="5" t="s">
        <v>25</v>
      </c>
      <c r="S2812" s="5" t="str">
        <f>VLOOKUP(A2812,Sheet2!$A$2:$R$3432,18,0)</f>
        <v>JC73E-T-1032168</v>
      </c>
      <c r="T2812" s="7" t="str">
        <f>VLOOKUP(A2812,Sheet2!$A$2:$R$3432,17,0)</f>
        <v>ME4JC734CHT018981</v>
      </c>
    </row>
    <row r="2813" ht="15.75" customHeight="1">
      <c r="A2813" s="3" t="s">
        <v>2836</v>
      </c>
      <c r="B2813" s="4" t="str">
        <f>VLOOKUP(A2813,Sheet2!$A$2:$R$3432,2,0)</f>
        <v>2025-03-09 20:36:04</v>
      </c>
      <c r="C2813" s="5" t="s">
        <v>25</v>
      </c>
      <c r="D2813" s="6" t="s">
        <v>25</v>
      </c>
      <c r="E2813" s="7">
        <f>VLOOKUP(A2813,Sheet2!$A$2:$R$3432,4,0)</f>
        <v>8668610879</v>
      </c>
      <c r="F2813" s="7" t="str">
        <f>VLOOKUP(A2813,Sheet2!$A$2:$R$3432,3,0)</f>
        <v>LAKSH KHANDALE</v>
      </c>
      <c r="G2813" s="5" t="s">
        <v>25</v>
      </c>
      <c r="H2813" s="5" t="s">
        <v>25</v>
      </c>
      <c r="I2813" s="5" t="s">
        <v>25</v>
      </c>
      <c r="J2813" s="5" t="s">
        <v>25</v>
      </c>
      <c r="K2813" s="7" t="str">
        <f>VLOOKUP(A2813,Sheet2!$A$2:$R$3432,6,0)</f>
        <v>Hero Splendor Plus</v>
      </c>
      <c r="L2813" s="5" t="s">
        <v>25</v>
      </c>
      <c r="M2813" s="7" t="str">
        <f>VLOOKUP(A2813,Sheet2!$A$2:$R$3432,5,0)</f>
        <v>MH16BK5557</v>
      </c>
      <c r="N2813" s="5" t="s">
        <v>25</v>
      </c>
      <c r="O2813" s="5" t="s">
        <v>25</v>
      </c>
      <c r="P2813" s="6" t="s">
        <v>25</v>
      </c>
      <c r="Q2813" s="5" t="s">
        <v>25</v>
      </c>
      <c r="R2813" s="5" t="s">
        <v>25</v>
      </c>
      <c r="S2813" s="7" t="str">
        <f>VLOOKUP(A2813,Sheet2!$A$2:$R$3432,18,0)</f>
        <v/>
      </c>
      <c r="T2813" s="7" t="str">
        <f>VLOOKUP(A2813,Sheet2!$A$2:$R$3432,17,0)</f>
        <v/>
      </c>
    </row>
    <row r="2814" ht="15.75" customHeight="1">
      <c r="A2814" s="3" t="s">
        <v>2837</v>
      </c>
      <c r="B2814" s="4" t="str">
        <f>VLOOKUP(A2814,Sheet2!$A$2:$R$3432,2,0)</f>
        <v>2025-03-09 20:36:19</v>
      </c>
      <c r="C2814" s="5" t="s">
        <v>25</v>
      </c>
      <c r="D2814" s="6" t="s">
        <v>25</v>
      </c>
      <c r="E2814" s="7">
        <f>VLOOKUP(A2814,Sheet2!$A$2:$R$3432,4,0)</f>
        <v>9730206967</v>
      </c>
      <c r="F2814" s="7" t="str">
        <f>VLOOKUP(A2814,Sheet2!$A$2:$R$3432,3,0)</f>
        <v>Vrushab</v>
      </c>
      <c r="G2814" s="5" t="s">
        <v>25</v>
      </c>
      <c r="H2814" s="5" t="s">
        <v>25</v>
      </c>
      <c r="I2814" s="5" t="s">
        <v>25</v>
      </c>
      <c r="J2814" s="5" t="s">
        <v>25</v>
      </c>
      <c r="K2814" s="7" t="str">
        <f>VLOOKUP(A2814,Sheet2!$A$2:$R$3432,6,0)</f>
        <v>Hero Xpulse 200T</v>
      </c>
      <c r="L2814" s="5" t="s">
        <v>25</v>
      </c>
      <c r="M2814" s="7" t="str">
        <f>VLOOKUP(A2814,Sheet2!$A$2:$R$3432,5,0)</f>
        <v>MH27DQ4765</v>
      </c>
      <c r="N2814" s="5" t="s">
        <v>25</v>
      </c>
      <c r="O2814" s="5" t="s">
        <v>25</v>
      </c>
      <c r="P2814" s="6" t="s">
        <v>25</v>
      </c>
      <c r="Q2814" s="5" t="s">
        <v>25</v>
      </c>
      <c r="R2814" s="5" t="s">
        <v>25</v>
      </c>
      <c r="S2814" s="7" t="str">
        <f>VLOOKUP(A2814,Sheet2!$A$2:$R$3432,18,0)</f>
        <v/>
      </c>
      <c r="T2814" s="7" t="str">
        <f>VLOOKUP(A2814,Sheet2!$A$2:$R$3432,17,0)</f>
        <v/>
      </c>
    </row>
    <row r="2815" ht="15.75" customHeight="1">
      <c r="A2815" s="3" t="s">
        <v>2838</v>
      </c>
      <c r="B2815" s="4" t="str">
        <f>VLOOKUP(A2815,Sheet2!$A$2:$R$3432,2,0)</f>
        <v>2025-03-09 20:40:03</v>
      </c>
      <c r="C2815" s="5" t="s">
        <v>25</v>
      </c>
      <c r="D2815" s="6" t="s">
        <v>25</v>
      </c>
      <c r="E2815" s="7">
        <f>VLOOKUP(A2815,Sheet2!$A$2:$R$3432,4,0)</f>
        <v>9623244865</v>
      </c>
      <c r="F2815" s="7" t="str">
        <f>VLOOKUP(A2815,Sheet2!$A$2:$R$3432,3,0)</f>
        <v>DEVENDRA </v>
      </c>
      <c r="G2815" s="5" t="s">
        <v>25</v>
      </c>
      <c r="H2815" s="5" t="s">
        <v>25</v>
      </c>
      <c r="I2815" s="5" t="s">
        <v>25</v>
      </c>
      <c r="J2815" s="5" t="s">
        <v>25</v>
      </c>
      <c r="K2815" s="7" t="str">
        <f>VLOOKUP(A2815,Sheet2!$A$2:$R$3432,6,0)</f>
        <v>Bajaj Avenger 220 Cruise</v>
      </c>
      <c r="L2815" s="5" t="s">
        <v>25</v>
      </c>
      <c r="M2815" s="7" t="str">
        <f>VLOOKUP(A2815,Sheet2!$A$2:$R$3432,5,0)</f>
        <v>MH12SZ6090</v>
      </c>
      <c r="N2815" s="5" t="s">
        <v>25</v>
      </c>
      <c r="O2815" s="5" t="s">
        <v>25</v>
      </c>
      <c r="P2815" s="6" t="s">
        <v>25</v>
      </c>
      <c r="Q2815" s="5" t="s">
        <v>25</v>
      </c>
      <c r="R2815" s="5" t="s">
        <v>25</v>
      </c>
      <c r="S2815" s="5" t="str">
        <f>VLOOKUP(A2815,Sheet2!$A$2:$R$3432,18,0)</f>
        <v>PDXCL028688</v>
      </c>
      <c r="T2815" s="7" t="str">
        <f>VLOOKUP(A2815,Sheet2!$A$2:$R$3432,17,0)</f>
        <v>MD2A22EX9LCG11015</v>
      </c>
    </row>
    <row r="2816" ht="15.75" customHeight="1">
      <c r="A2816" s="3" t="s">
        <v>2839</v>
      </c>
      <c r="B2816" s="4" t="str">
        <f>VLOOKUP(A2816,Sheet2!$A$2:$R$3432,2,0)</f>
        <v>2025-03-09 20:42:14</v>
      </c>
      <c r="C2816" s="5" t="s">
        <v>25</v>
      </c>
      <c r="D2816" s="6" t="s">
        <v>25</v>
      </c>
      <c r="E2816" s="7">
        <f>VLOOKUP(A2816,Sheet2!$A$2:$R$3432,4,0)</f>
        <v>9518543130</v>
      </c>
      <c r="F2816" s="7" t="str">
        <f>VLOOKUP(A2816,Sheet2!$A$2:$R$3432,3,0)</f>
        <v>IMRAN INAMDAR</v>
      </c>
      <c r="G2816" s="5" t="s">
        <v>25</v>
      </c>
      <c r="H2816" s="5" t="s">
        <v>25</v>
      </c>
      <c r="I2816" s="5" t="s">
        <v>25</v>
      </c>
      <c r="J2816" s="5" t="s">
        <v>25</v>
      </c>
      <c r="K2816" s="7" t="str">
        <f>VLOOKUP(A2816,Sheet2!$A$2:$R$3432,6,0)</f>
        <v>Suzuki Gixxer </v>
      </c>
      <c r="L2816" s="5" t="s">
        <v>25</v>
      </c>
      <c r="M2816" s="7" t="str">
        <f>VLOOKUP(A2816,Sheet2!$A$2:$R$3432,5,0)</f>
        <v>MH14FE8998</v>
      </c>
      <c r="N2816" s="5" t="s">
        <v>25</v>
      </c>
      <c r="O2816" s="5" t="s">
        <v>25</v>
      </c>
      <c r="P2816" s="6" t="s">
        <v>25</v>
      </c>
      <c r="Q2816" s="5" t="s">
        <v>25</v>
      </c>
      <c r="R2816" s="5" t="s">
        <v>25</v>
      </c>
      <c r="S2816" s="5" t="str">
        <f>VLOOKUP(A2816,Sheet2!$A$2:$R$3432,18,0)</f>
        <v>BGA1200107</v>
      </c>
      <c r="T2816" s="7" t="str">
        <f>VLOOKUP(A2816,Sheet2!$A$2:$R$3432,17,0)</f>
        <v>MB8NG4BBJF812125</v>
      </c>
    </row>
    <row r="2817" ht="15.75" customHeight="1">
      <c r="A2817" s="3" t="s">
        <v>2840</v>
      </c>
      <c r="B2817" s="4" t="str">
        <f>VLOOKUP(A2817,Sheet2!$A$2:$R$3432,2,0)</f>
        <v>2025-03-09 20:38:48</v>
      </c>
      <c r="C2817" s="5" t="s">
        <v>25</v>
      </c>
      <c r="D2817" s="6" t="s">
        <v>25</v>
      </c>
      <c r="E2817" s="7">
        <f>VLOOKUP(A2817,Sheet2!$A$2:$R$3432,4,0)</f>
        <v>9021888757</v>
      </c>
      <c r="F2817" s="7" t="str">
        <f>VLOOKUP(A2817,Sheet2!$A$2:$R$3432,3,0)</f>
        <v>Shailesh </v>
      </c>
      <c r="G2817" s="5" t="s">
        <v>25</v>
      </c>
      <c r="H2817" s="5" t="s">
        <v>25</v>
      </c>
      <c r="I2817" s="5" t="s">
        <v>25</v>
      </c>
      <c r="J2817" s="5" t="s">
        <v>25</v>
      </c>
      <c r="K2817" s="7" t="str">
        <f>VLOOKUP(A2817,Sheet2!$A$2:$R$3432,6,0)</f>
        <v>TVS Jupiter </v>
      </c>
      <c r="L2817" s="5" t="s">
        <v>25</v>
      </c>
      <c r="M2817" s="7" t="str">
        <f>VLOOKUP(A2817,Sheet2!$A$2:$R$3432,5,0)</f>
        <v>MH12PK3558</v>
      </c>
      <c r="N2817" s="5" t="s">
        <v>25</v>
      </c>
      <c r="O2817" s="5" t="s">
        <v>25</v>
      </c>
      <c r="P2817" s="6" t="s">
        <v>25</v>
      </c>
      <c r="Q2817" s="5" t="s">
        <v>25</v>
      </c>
      <c r="R2817" s="5" t="s">
        <v>25</v>
      </c>
      <c r="S2817" s="5" t="str">
        <f>VLOOKUP(A2817,Sheet2!$A$2:$R$3432,18,0)</f>
        <v>EG4BH1228444</v>
      </c>
      <c r="T2817" s="7" t="str">
        <f>VLOOKUP(A2817,Sheet2!$A$2:$R$3432,17,0)</f>
        <v>M626EG42H1B19991</v>
      </c>
    </row>
    <row r="2818" ht="15.75" customHeight="1">
      <c r="A2818" s="3" t="s">
        <v>2841</v>
      </c>
      <c r="B2818" s="4" t="str">
        <f>VLOOKUP(A2818,Sheet2!$A$2:$R$3432,2,0)</f>
        <v>2025-03-09 20:40:41</v>
      </c>
      <c r="C2818" s="5" t="s">
        <v>25</v>
      </c>
      <c r="D2818" s="6" t="s">
        <v>25</v>
      </c>
      <c r="E2818" s="7">
        <f>VLOOKUP(A2818,Sheet2!$A$2:$R$3432,4,0)</f>
        <v>7350111377</v>
      </c>
      <c r="F2818" s="7" t="str">
        <f>VLOOKUP(A2818,Sheet2!$A$2:$R$3432,3,0)</f>
        <v>AMIT GAIKWAD </v>
      </c>
      <c r="G2818" s="5" t="s">
        <v>25</v>
      </c>
      <c r="H2818" s="5" t="s">
        <v>25</v>
      </c>
      <c r="I2818" s="5" t="s">
        <v>25</v>
      </c>
      <c r="J2818" s="5" t="s">
        <v>25</v>
      </c>
      <c r="K2818" s="7" t="str">
        <f>VLOOKUP(A2818,Sheet2!$A$2:$R$3432,6,0)</f>
        <v>KTM Duke 125</v>
      </c>
      <c r="L2818" s="5" t="s">
        <v>25</v>
      </c>
      <c r="M2818" s="7" t="str">
        <f>VLOOKUP(A2818,Sheet2!$A$2:$R$3432,5,0)</f>
        <v>MH12UE2808</v>
      </c>
      <c r="N2818" s="5" t="s">
        <v>25</v>
      </c>
      <c r="O2818" s="5" t="s">
        <v>25</v>
      </c>
      <c r="P2818" s="6" t="s">
        <v>25</v>
      </c>
      <c r="Q2818" s="5" t="s">
        <v>25</v>
      </c>
      <c r="R2818" s="5" t="s">
        <v>25</v>
      </c>
      <c r="S2818" s="7" t="str">
        <f>VLOOKUP(A2818,Sheet2!$A$2:$R$3432,18,0)</f>
        <v/>
      </c>
      <c r="T2818" s="7" t="str">
        <f>VLOOKUP(A2818,Sheet2!$A$2:$R$3432,17,0)</f>
        <v/>
      </c>
    </row>
    <row r="2819" ht="15.75" customHeight="1">
      <c r="A2819" s="3" t="s">
        <v>2842</v>
      </c>
      <c r="B2819" s="4" t="str">
        <f>VLOOKUP(A2819,Sheet2!$A$2:$R$3432,2,0)</f>
        <v>2025-03-09 20:42:42</v>
      </c>
      <c r="C2819" s="5" t="s">
        <v>25</v>
      </c>
      <c r="D2819" s="6" t="s">
        <v>25</v>
      </c>
      <c r="E2819" s="7">
        <f>VLOOKUP(A2819,Sheet2!$A$2:$R$3432,4,0)</f>
        <v>7262966716</v>
      </c>
      <c r="F2819" s="7" t="str">
        <f>VLOOKUP(A2819,Sheet2!$A$2:$R$3432,3,0)</f>
        <v>PIYUSH KANKRIYA</v>
      </c>
      <c r="G2819" s="5" t="s">
        <v>25</v>
      </c>
      <c r="H2819" s="5" t="s">
        <v>25</v>
      </c>
      <c r="I2819" s="5" t="s">
        <v>25</v>
      </c>
      <c r="J2819" s="5" t="s">
        <v>25</v>
      </c>
      <c r="K2819" s="7" t="str">
        <f>VLOOKUP(A2819,Sheet2!$A$2:$R$3432,6,0)</f>
        <v>Honda Activa 6G</v>
      </c>
      <c r="L2819" s="5" t="s">
        <v>25</v>
      </c>
      <c r="M2819" s="7" t="str">
        <f>VLOOKUP(A2819,Sheet2!$A$2:$R$3432,5,0)</f>
        <v>MH14KC9780</v>
      </c>
      <c r="N2819" s="5" t="s">
        <v>25</v>
      </c>
      <c r="O2819" s="5" t="s">
        <v>25</v>
      </c>
      <c r="P2819" s="6" t="s">
        <v>25</v>
      </c>
      <c r="Q2819" s="5" t="s">
        <v>25</v>
      </c>
      <c r="R2819" s="5" t="s">
        <v>25</v>
      </c>
      <c r="S2819" s="5" t="str">
        <f>VLOOKUP(A2819,Sheet2!$A$2:$R$3432,18,0)</f>
        <v>JF90E9718736</v>
      </c>
      <c r="T2819" s="7" t="str">
        <f>VLOOKUP(A2819,Sheet2!$A$2:$R$3432,17,0)</f>
        <v>ME4JF91AFN9317673</v>
      </c>
    </row>
    <row r="2820" ht="15.75" customHeight="1">
      <c r="A2820" s="3" t="s">
        <v>2843</v>
      </c>
      <c r="B2820" s="4" t="str">
        <f>VLOOKUP(A2820,Sheet2!$A$2:$R$3432,2,0)</f>
        <v>2025-03-09 20:41:16</v>
      </c>
      <c r="C2820" s="5" t="s">
        <v>25</v>
      </c>
      <c r="D2820" s="6" t="s">
        <v>25</v>
      </c>
      <c r="E2820" s="7">
        <f>VLOOKUP(A2820,Sheet2!$A$2:$R$3432,4,0)</f>
        <v>8805413757</v>
      </c>
      <c r="F2820" s="7" t="str">
        <f>VLOOKUP(A2820,Sheet2!$A$2:$R$3432,3,0)</f>
        <v>AKSHAY</v>
      </c>
      <c r="G2820" s="5" t="s">
        <v>25</v>
      </c>
      <c r="H2820" s="5" t="s">
        <v>25</v>
      </c>
      <c r="I2820" s="5" t="s">
        <v>25</v>
      </c>
      <c r="J2820" s="5" t="s">
        <v>25</v>
      </c>
      <c r="K2820" s="7" t="str">
        <f>VLOOKUP(A2820,Sheet2!$A$2:$R$3432,6,0)</f>
        <v>Royal Enfield ELECTRA 350</v>
      </c>
      <c r="L2820" s="5" t="s">
        <v>25</v>
      </c>
      <c r="M2820" s="7" t="str">
        <f>VLOOKUP(A2820,Sheet2!$A$2:$R$3432,5,0)</f>
        <v>MH16BA6336</v>
      </c>
      <c r="N2820" s="5" t="s">
        <v>25</v>
      </c>
      <c r="O2820" s="5" t="s">
        <v>25</v>
      </c>
      <c r="P2820" s="6" t="s">
        <v>25</v>
      </c>
      <c r="Q2820" s="5" t="s">
        <v>25</v>
      </c>
      <c r="R2820" s="5" t="s">
        <v>25</v>
      </c>
      <c r="S2820" s="5" t="str">
        <f>VLOOKUP(A2820,Sheet2!$A$2:$R$3432,18,0)</f>
        <v>U35C0DB230382</v>
      </c>
      <c r="T2820" s="7" t="str">
        <f>VLOOKUP(A2820,Sheet2!$A$2:$R$3432,17,0)</f>
        <v>ME3U355C00328</v>
      </c>
    </row>
    <row r="2821" ht="15.75" customHeight="1">
      <c r="A2821" s="3" t="s">
        <v>2844</v>
      </c>
      <c r="B2821" s="4" t="str">
        <f>VLOOKUP(A2821,Sheet2!$A$2:$R$3432,2,0)</f>
        <v>2025-03-09 20:43:11</v>
      </c>
      <c r="C2821" s="5" t="s">
        <v>25</v>
      </c>
      <c r="D2821" s="6" t="s">
        <v>25</v>
      </c>
      <c r="E2821" s="7">
        <f>VLOOKUP(A2821,Sheet2!$A$2:$R$3432,4,0)</f>
        <v>8625046694</v>
      </c>
      <c r="F2821" s="7" t="str">
        <f>VLOOKUP(A2821,Sheet2!$A$2:$R$3432,3,0)</f>
        <v>SHANTANU </v>
      </c>
      <c r="G2821" s="5" t="s">
        <v>25</v>
      </c>
      <c r="H2821" s="5" t="s">
        <v>25</v>
      </c>
      <c r="I2821" s="5" t="s">
        <v>25</v>
      </c>
      <c r="J2821" s="5" t="s">
        <v>25</v>
      </c>
      <c r="K2821" s="7" t="str">
        <f>VLOOKUP(A2821,Sheet2!$A$2:$R$3432,6,0)</f>
        <v>Honda Dio </v>
      </c>
      <c r="L2821" s="5" t="s">
        <v>25</v>
      </c>
      <c r="M2821" s="7" t="str">
        <f>VLOOKUP(A2821,Sheet2!$A$2:$R$3432,5,0)</f>
        <v>MH31DT1959</v>
      </c>
      <c r="N2821" s="5" t="s">
        <v>25</v>
      </c>
      <c r="O2821" s="5" t="s">
        <v>25</v>
      </c>
      <c r="P2821" s="6" t="s">
        <v>25</v>
      </c>
      <c r="Q2821" s="5" t="s">
        <v>25</v>
      </c>
      <c r="R2821" s="5" t="s">
        <v>25</v>
      </c>
      <c r="S2821" s="7" t="str">
        <f>VLOOKUP(A2821,Sheet2!$A$2:$R$3432,18,0)</f>
        <v/>
      </c>
      <c r="T2821" s="7" t="str">
        <f>VLOOKUP(A2821,Sheet2!$A$2:$R$3432,17,0)</f>
        <v/>
      </c>
    </row>
    <row r="2822" ht="15.75" customHeight="1">
      <c r="A2822" s="3" t="s">
        <v>2845</v>
      </c>
      <c r="B2822" s="4" t="str">
        <f>VLOOKUP(A2822,Sheet2!$A$2:$R$3432,2,0)</f>
        <v>2025-03-09 20:48:00</v>
      </c>
      <c r="C2822" s="5" t="s">
        <v>25</v>
      </c>
      <c r="D2822" s="6" t="s">
        <v>25</v>
      </c>
      <c r="E2822" s="7">
        <f>VLOOKUP(A2822,Sheet2!$A$2:$R$3432,4,0)</f>
        <v>7709719178</v>
      </c>
      <c r="F2822" s="7" t="str">
        <f>VLOOKUP(A2822,Sheet2!$A$2:$R$3432,3,0)</f>
        <v>Shreyas Irape</v>
      </c>
      <c r="G2822" s="5" t="s">
        <v>25</v>
      </c>
      <c r="H2822" s="5" t="s">
        <v>25</v>
      </c>
      <c r="I2822" s="5" t="s">
        <v>25</v>
      </c>
      <c r="J2822" s="5" t="s">
        <v>25</v>
      </c>
      <c r="K2822" s="7" t="str">
        <f>VLOOKUP(A2822,Sheet2!$A$2:$R$3432,6,0)</f>
        <v>KTM DUKE 200</v>
      </c>
      <c r="L2822" s="5" t="s">
        <v>25</v>
      </c>
      <c r="M2822" s="7" t="str">
        <f>VLOOKUP(A2822,Sheet2!$A$2:$R$3432,5,0)</f>
        <v>MH14HF8289</v>
      </c>
      <c r="N2822" s="5" t="s">
        <v>25</v>
      </c>
      <c r="O2822" s="5" t="s">
        <v>25</v>
      </c>
      <c r="P2822" s="6" t="s">
        <v>25</v>
      </c>
      <c r="Q2822" s="5" t="s">
        <v>25</v>
      </c>
      <c r="R2822" s="5" t="s">
        <v>25</v>
      </c>
      <c r="S2822" s="5" t="str">
        <f>VLOOKUP(A2822,Sheet2!$A$2:$R$3432,18,0)</f>
        <v>8490656444</v>
      </c>
      <c r="T2822" s="7" t="str">
        <f>VLOOKUP(A2822,Sheet2!$A$2:$R$3432,17,0)</f>
        <v>MD2JUCYHXJC032503</v>
      </c>
    </row>
    <row r="2823" ht="15.75" customHeight="1">
      <c r="A2823" s="3" t="s">
        <v>2846</v>
      </c>
      <c r="B2823" s="4" t="str">
        <f>VLOOKUP(A2823,Sheet2!$A$2:$R$3432,2,0)</f>
        <v>2024-10-24 19:34:54</v>
      </c>
      <c r="C2823" s="5" t="s">
        <v>25</v>
      </c>
      <c r="D2823" s="6" t="s">
        <v>25</v>
      </c>
      <c r="E2823" s="7">
        <f>VLOOKUP(A2823,Sheet2!$A$2:$R$3432,4,0)</f>
        <v>9762875232</v>
      </c>
      <c r="F2823" s="7" t="str">
        <f>VLOOKUP(A2823,Sheet2!$A$2:$R$3432,3,0)</f>
        <v>PARIKSHIT PATIL </v>
      </c>
      <c r="G2823" s="5" t="s">
        <v>25</v>
      </c>
      <c r="H2823" s="5" t="s">
        <v>25</v>
      </c>
      <c r="I2823" s="5" t="s">
        <v>25</v>
      </c>
      <c r="J2823" s="5" t="s">
        <v>25</v>
      </c>
      <c r="K2823" s="7" t="str">
        <f>VLOOKUP(A2823,Sheet2!$A$2:$R$3432,6,0)</f>
        <v>Suzuki Access  125 BS6</v>
      </c>
      <c r="L2823" s="5" t="s">
        <v>25</v>
      </c>
      <c r="M2823" s="7" t="str">
        <f>VLOOKUP(A2823,Sheet2!$A$2:$R$3432,5,0)</f>
        <v>MH14HV3227</v>
      </c>
      <c r="N2823" s="5" t="s">
        <v>25</v>
      </c>
      <c r="O2823" s="5" t="s">
        <v>25</v>
      </c>
      <c r="P2823" s="6" t="s">
        <v>25</v>
      </c>
      <c r="Q2823" s="5" t="s">
        <v>25</v>
      </c>
      <c r="R2823" s="5" t="s">
        <v>25</v>
      </c>
      <c r="S2823" s="5" t="str">
        <f>VLOOKUP(A2823,Sheet2!$A$2:$R$3432,18,0)</f>
        <v>AF212246842</v>
      </c>
      <c r="T2823" s="7" t="str">
        <f>VLOOKUP(A2823,Sheet2!$A$2:$R$3432,17,0)</f>
        <v>MB8DP11AEK6D38015</v>
      </c>
    </row>
    <row r="2824" ht="15.75" customHeight="1">
      <c r="A2824" s="3" t="s">
        <v>2847</v>
      </c>
      <c r="B2824" s="4" t="str">
        <f>VLOOKUP(A2824,Sheet2!$A$2:$R$3432,2,0)</f>
        <v>2024-10-24 19:33:37</v>
      </c>
      <c r="C2824" s="5" t="s">
        <v>25</v>
      </c>
      <c r="D2824" s="6" t="s">
        <v>25</v>
      </c>
      <c r="E2824" s="7">
        <f>VLOOKUP(A2824,Sheet2!$A$2:$R$3432,4,0)</f>
        <v>9326075507</v>
      </c>
      <c r="F2824" s="7" t="str">
        <f>VLOOKUP(A2824,Sheet2!$A$2:$R$3432,3,0)</f>
        <v>SAURABH SHENDE</v>
      </c>
      <c r="G2824" s="5" t="s">
        <v>25</v>
      </c>
      <c r="H2824" s="5" t="s">
        <v>25</v>
      </c>
      <c r="I2824" s="5" t="s">
        <v>25</v>
      </c>
      <c r="J2824" s="5" t="s">
        <v>25</v>
      </c>
      <c r="K2824" s="7" t="str">
        <f>VLOOKUP(A2824,Sheet2!$A$2:$R$3432,6,0)</f>
        <v>Honda Activa 3G</v>
      </c>
      <c r="L2824" s="5" t="s">
        <v>25</v>
      </c>
      <c r="M2824" s="7" t="str">
        <f>VLOOKUP(A2824,Sheet2!$A$2:$R$3432,5,0)</f>
        <v>MH35AD7128</v>
      </c>
      <c r="N2824" s="5" t="s">
        <v>25</v>
      </c>
      <c r="O2824" s="5" t="s">
        <v>25</v>
      </c>
      <c r="P2824" s="6" t="s">
        <v>25</v>
      </c>
      <c r="Q2824" s="5" t="s">
        <v>25</v>
      </c>
      <c r="R2824" s="5" t="s">
        <v>25</v>
      </c>
      <c r="S2824" s="5" t="str">
        <f>VLOOKUP(A2824,Sheet2!$A$2:$R$3432,18,0)</f>
        <v>JF50ET3569595</v>
      </c>
      <c r="T2824" s="7" t="str">
        <f>VLOOKUP(A2824,Sheet2!$A$2:$R$3432,17,0)</f>
        <v>ME4JF505GGT570</v>
      </c>
    </row>
    <row r="2825" ht="15.75" customHeight="1">
      <c r="A2825" s="3" t="s">
        <v>2848</v>
      </c>
      <c r="B2825" s="4" t="str">
        <f>VLOOKUP(A2825,Sheet2!$A$2:$R$3432,2,0)</f>
        <v>2024-10-24 19:35:38</v>
      </c>
      <c r="C2825" s="5" t="s">
        <v>25</v>
      </c>
      <c r="D2825" s="6" t="s">
        <v>25</v>
      </c>
      <c r="E2825" s="7">
        <f>VLOOKUP(A2825,Sheet2!$A$2:$R$3432,4,0)</f>
        <v>9958818925</v>
      </c>
      <c r="F2825" s="7" t="str">
        <f>VLOOKUP(A2825,Sheet2!$A$2:$R$3432,3,0)</f>
        <v>SUJIT TYAGI </v>
      </c>
      <c r="G2825" s="5" t="s">
        <v>25</v>
      </c>
      <c r="H2825" s="5" t="s">
        <v>25</v>
      </c>
      <c r="I2825" s="5" t="s">
        <v>25</v>
      </c>
      <c r="J2825" s="5" t="s">
        <v>25</v>
      </c>
      <c r="K2825" s="7" t="str">
        <f>VLOOKUP(A2825,Sheet2!$A$2:$R$3432,6,0)</f>
        <v>Honda Activa 125</v>
      </c>
      <c r="L2825" s="5" t="s">
        <v>25</v>
      </c>
      <c r="M2825" s="7" t="str">
        <f>VLOOKUP(A2825,Sheet2!$A$2:$R$3432,5,0)</f>
        <v>UP14CM7732</v>
      </c>
      <c r="N2825" s="5" t="s">
        <v>25</v>
      </c>
      <c r="O2825" s="5" t="s">
        <v>25</v>
      </c>
      <c r="P2825" s="6" t="s">
        <v>25</v>
      </c>
      <c r="Q2825" s="5" t="s">
        <v>25</v>
      </c>
      <c r="R2825" s="5" t="s">
        <v>25</v>
      </c>
      <c r="S2825" s="7" t="str">
        <f>VLOOKUP(A2825,Sheet2!$A$2:$R$3432,18,0)</f>
        <v/>
      </c>
      <c r="T2825" s="7" t="str">
        <f>VLOOKUP(A2825,Sheet2!$A$2:$R$3432,17,0)</f>
        <v/>
      </c>
    </row>
    <row r="2826" ht="15.75" customHeight="1">
      <c r="A2826" s="3" t="s">
        <v>2849</v>
      </c>
      <c r="B2826" s="4" t="str">
        <f>VLOOKUP(A2826,Sheet2!$A$2:$R$3432,2,0)</f>
        <v>2024-10-24 19:36:13</v>
      </c>
      <c r="C2826" s="5" t="s">
        <v>25</v>
      </c>
      <c r="D2826" s="6" t="s">
        <v>25</v>
      </c>
      <c r="E2826" s="7">
        <f>VLOOKUP(A2826,Sheet2!$A$2:$R$3432,4,0)</f>
        <v>8999946584</v>
      </c>
      <c r="F2826" s="7" t="str">
        <f>VLOOKUP(A2826,Sheet2!$A$2:$R$3432,3,0)</f>
        <v>KSHAMA GALAPURE</v>
      </c>
      <c r="G2826" s="5" t="s">
        <v>25</v>
      </c>
      <c r="H2826" s="5" t="s">
        <v>25</v>
      </c>
      <c r="I2826" s="5" t="s">
        <v>25</v>
      </c>
      <c r="J2826" s="5" t="s">
        <v>25</v>
      </c>
      <c r="K2826" s="7" t="str">
        <f>VLOOKUP(A2826,Sheet2!$A$2:$R$3432,6,0)</f>
        <v>Suzuki Access 125</v>
      </c>
      <c r="L2826" s="5" t="s">
        <v>25</v>
      </c>
      <c r="M2826" s="7" t="str">
        <f>VLOOKUP(A2826,Sheet2!$A$2:$R$3432,5,0)</f>
        <v>MH14DQ6615</v>
      </c>
      <c r="N2826" s="5" t="s">
        <v>25</v>
      </c>
      <c r="O2826" s="5" t="s">
        <v>25</v>
      </c>
      <c r="P2826" s="6" t="s">
        <v>25</v>
      </c>
      <c r="Q2826" s="5" t="s">
        <v>25</v>
      </c>
      <c r="R2826" s="5" t="s">
        <v>25</v>
      </c>
      <c r="S2826" s="7" t="str">
        <f>VLOOKUP(A2826,Sheet2!$A$2:$R$3432,18,0)</f>
        <v/>
      </c>
      <c r="T2826" s="7" t="str">
        <f>VLOOKUP(A2826,Sheet2!$A$2:$R$3432,17,0)</f>
        <v/>
      </c>
    </row>
    <row r="2827" ht="15.75" customHeight="1">
      <c r="A2827" s="3" t="s">
        <v>2850</v>
      </c>
      <c r="B2827" s="4" t="str">
        <f>VLOOKUP(A2827,Sheet2!$A$2:$R$3432,2,0)</f>
        <v>2024-10-24 19:34:30</v>
      </c>
      <c r="C2827" s="5" t="s">
        <v>25</v>
      </c>
      <c r="D2827" s="6" t="s">
        <v>25</v>
      </c>
      <c r="E2827" s="7">
        <f>VLOOKUP(A2827,Sheet2!$A$2:$R$3432,4,0)</f>
        <v>9172523743</v>
      </c>
      <c r="F2827" s="7" t="str">
        <f>VLOOKUP(A2827,Sheet2!$A$2:$R$3432,3,0)</f>
        <v>ADITYA SINGH </v>
      </c>
      <c r="G2827" s="5" t="s">
        <v>25</v>
      </c>
      <c r="H2827" s="5" t="s">
        <v>25</v>
      </c>
      <c r="I2827" s="5" t="s">
        <v>25</v>
      </c>
      <c r="J2827" s="5" t="s">
        <v>25</v>
      </c>
      <c r="K2827" s="7" t="str">
        <f>VLOOKUP(A2827,Sheet2!$A$2:$R$3432,6,0)</f>
        <v>Yamaha R15 2</v>
      </c>
      <c r="L2827" s="5" t="s">
        <v>25</v>
      </c>
      <c r="M2827" s="7" t="str">
        <f>VLOOKUP(A2827,Sheet2!$A$2:$R$3432,5,0)</f>
        <v>MH14EL9475</v>
      </c>
      <c r="N2827" s="5" t="s">
        <v>25</v>
      </c>
      <c r="O2827" s="5" t="s">
        <v>25</v>
      </c>
      <c r="P2827" s="6" t="s">
        <v>25</v>
      </c>
      <c r="Q2827" s="5" t="s">
        <v>25</v>
      </c>
      <c r="R2827" s="5" t="s">
        <v>25</v>
      </c>
      <c r="S2827" s="5" t="str">
        <f>VLOOKUP(A2827,Sheet2!$A$2:$R$3432,18,0)</f>
        <v>G3C7ED011554</v>
      </c>
      <c r="T2827" s="7" t="str">
        <f>VLOOKUP(A2827,Sheet2!$A$2:$R$3432,17,0)</f>
        <v>ME1RG0617ED0011549</v>
      </c>
    </row>
    <row r="2828" ht="15.75" customHeight="1">
      <c r="A2828" s="3" t="s">
        <v>2851</v>
      </c>
      <c r="B2828" s="4" t="str">
        <f>VLOOKUP(A2828,Sheet2!$A$2:$R$3432,2,0)</f>
        <v>2024-11-22 18:49:30</v>
      </c>
      <c r="C2828" s="5" t="s">
        <v>25</v>
      </c>
      <c r="D2828" s="6" t="s">
        <v>25</v>
      </c>
      <c r="E2828" s="7">
        <f>VLOOKUP(A2828,Sheet2!$A$2:$R$3432,4,0)</f>
        <v>9970900021</v>
      </c>
      <c r="F2828" s="7" t="str">
        <f>VLOOKUP(A2828,Sheet2!$A$2:$R$3432,3,0)</f>
        <v>SUSHANT DESAI</v>
      </c>
      <c r="G2828" s="5" t="s">
        <v>25</v>
      </c>
      <c r="H2828" s="5" t="s">
        <v>25</v>
      </c>
      <c r="I2828" s="5" t="s">
        <v>25</v>
      </c>
      <c r="J2828" s="5" t="s">
        <v>25</v>
      </c>
      <c r="K2828" s="7" t="str">
        <f>VLOOKUP(A2828,Sheet2!$A$2:$R$3432,6,0)</f>
        <v>Suzuki Access  125 BS6</v>
      </c>
      <c r="L2828" s="5" t="s">
        <v>25</v>
      </c>
      <c r="M2828" s="7" t="str">
        <f>VLOOKUP(A2828,Sheet2!$A$2:$R$3432,5,0)</f>
        <v>MH14JC6599</v>
      </c>
      <c r="N2828" s="5" t="s">
        <v>25</v>
      </c>
      <c r="O2828" s="5" t="s">
        <v>25</v>
      </c>
      <c r="P2828" s="6" t="s">
        <v>25</v>
      </c>
      <c r="Q2828" s="5" t="s">
        <v>25</v>
      </c>
      <c r="R2828" s="5" t="s">
        <v>25</v>
      </c>
      <c r="S2828" s="5" t="str">
        <f>VLOOKUP(A2828,Sheet2!$A$2:$R$3432,18,0)</f>
        <v>AF2122686772</v>
      </c>
      <c r="T2828" s="7" t="str">
        <f>VLOOKUP(A2828,Sheet2!$A$2:$R$3432,17,0)</f>
        <v>MB8DP12DAL8120548</v>
      </c>
    </row>
    <row r="2829" ht="15.75" customHeight="1">
      <c r="A2829" s="3" t="s">
        <v>2852</v>
      </c>
      <c r="B2829" s="4" t="str">
        <f>VLOOKUP(A2829,Sheet2!$A$2:$R$3432,2,0)</f>
        <v>2024-11-22 18:50:10</v>
      </c>
      <c r="C2829" s="5" t="s">
        <v>25</v>
      </c>
      <c r="D2829" s="6" t="s">
        <v>25</v>
      </c>
      <c r="E2829" s="7">
        <f>VLOOKUP(A2829,Sheet2!$A$2:$R$3432,4,0)</f>
        <v>9049816258</v>
      </c>
      <c r="F2829" s="7" t="str">
        <f>VLOOKUP(A2829,Sheet2!$A$2:$R$3432,3,0)</f>
        <v>Arun Bagul</v>
      </c>
      <c r="G2829" s="5" t="s">
        <v>25</v>
      </c>
      <c r="H2829" s="5" t="s">
        <v>25</v>
      </c>
      <c r="I2829" s="5" t="s">
        <v>25</v>
      </c>
      <c r="J2829" s="5" t="s">
        <v>25</v>
      </c>
      <c r="K2829" s="7" t="str">
        <f>VLOOKUP(A2829,Sheet2!$A$2:$R$3432,6,0)</f>
        <v>TVS Scooty PEP Plus</v>
      </c>
      <c r="L2829" s="5" t="s">
        <v>25</v>
      </c>
      <c r="M2829" s="7" t="str">
        <f>VLOOKUP(A2829,Sheet2!$A$2:$R$3432,5,0)</f>
        <v>MH14HR8131</v>
      </c>
      <c r="N2829" s="5" t="s">
        <v>25</v>
      </c>
      <c r="O2829" s="5" t="s">
        <v>25</v>
      </c>
      <c r="P2829" s="6" t="s">
        <v>25</v>
      </c>
      <c r="Q2829" s="5" t="s">
        <v>25</v>
      </c>
      <c r="R2829" s="5" t="s">
        <v>25</v>
      </c>
      <c r="S2829" s="7" t="str">
        <f>VLOOKUP(A2829,Sheet2!$A$2:$R$3432,18,0)</f>
        <v/>
      </c>
      <c r="T2829" s="7" t="str">
        <f>VLOOKUP(A2829,Sheet2!$A$2:$R$3432,17,0)</f>
        <v>MD626AG36K2E10110</v>
      </c>
    </row>
    <row r="2830" ht="15.75" customHeight="1">
      <c r="A2830" s="3" t="s">
        <v>2853</v>
      </c>
      <c r="B2830" s="4" t="str">
        <f>VLOOKUP(A2830,Sheet2!$A$2:$R$3432,2,0)</f>
        <v>2024-11-22 18:50:31</v>
      </c>
      <c r="C2830" s="5" t="s">
        <v>25</v>
      </c>
      <c r="D2830" s="6" t="s">
        <v>25</v>
      </c>
      <c r="E2830" s="7">
        <f>VLOOKUP(A2830,Sheet2!$A$2:$R$3432,4,0)</f>
        <v>9561491402</v>
      </c>
      <c r="F2830" s="7" t="str">
        <f>VLOOKUP(A2830,Sheet2!$A$2:$R$3432,3,0)</f>
        <v>Tanveer Patil </v>
      </c>
      <c r="G2830" s="5" t="s">
        <v>25</v>
      </c>
      <c r="H2830" s="5" t="s">
        <v>25</v>
      </c>
      <c r="I2830" s="5" t="s">
        <v>25</v>
      </c>
      <c r="J2830" s="5" t="s">
        <v>25</v>
      </c>
      <c r="K2830" s="7" t="str">
        <f>VLOOKUP(A2830,Sheet2!$A$2:$R$3432,6,0)</f>
        <v>Suzuki Access </v>
      </c>
      <c r="L2830" s="5" t="s">
        <v>25</v>
      </c>
      <c r="M2830" s="7" t="str">
        <f>VLOOKUP(A2830,Sheet2!$A$2:$R$3432,5,0)</f>
        <v>MH12JL8604</v>
      </c>
      <c r="N2830" s="5" t="s">
        <v>25</v>
      </c>
      <c r="O2830" s="5" t="s">
        <v>25</v>
      </c>
      <c r="P2830" s="6" t="s">
        <v>25</v>
      </c>
      <c r="Q2830" s="5" t="s">
        <v>25</v>
      </c>
      <c r="R2830" s="5" t="s">
        <v>25</v>
      </c>
      <c r="S2830" s="7" t="str">
        <f>VLOOKUP(A2830,Sheet2!$A$2:$R$3432,18,0)</f>
        <v/>
      </c>
      <c r="T2830" s="7" t="str">
        <f>VLOOKUP(A2830,Sheet2!$A$2:$R$3432,17,0)</f>
        <v/>
      </c>
    </row>
    <row r="2831" ht="15.75" customHeight="1">
      <c r="A2831" s="3" t="s">
        <v>2854</v>
      </c>
      <c r="B2831" s="4" t="str">
        <f>VLOOKUP(A2831,Sheet2!$A$2:$R$3432,2,0)</f>
        <v>2024-11-22 17:14:07</v>
      </c>
      <c r="C2831" s="5" t="s">
        <v>25</v>
      </c>
      <c r="D2831" s="6" t="s">
        <v>25</v>
      </c>
      <c r="E2831" s="7">
        <f>VLOOKUP(A2831,Sheet2!$A$2:$R$3432,4,0)</f>
        <v>9586343577</v>
      </c>
      <c r="F2831" s="7" t="str">
        <f>VLOOKUP(A2831,Sheet2!$A$2:$R$3432,3,0)</f>
        <v>PRANAV </v>
      </c>
      <c r="G2831" s="5" t="s">
        <v>25</v>
      </c>
      <c r="H2831" s="5" t="s">
        <v>25</v>
      </c>
      <c r="I2831" s="5" t="s">
        <v>25</v>
      </c>
      <c r="J2831" s="5" t="s">
        <v>25</v>
      </c>
      <c r="K2831" s="7" t="str">
        <f>VLOOKUP(A2831,Sheet2!$A$2:$R$3432,6,0)</f>
        <v>Hero Pleasure </v>
      </c>
      <c r="L2831" s="5" t="s">
        <v>25</v>
      </c>
      <c r="M2831" s="7" t="str">
        <f>VLOOKUP(A2831,Sheet2!$A$2:$R$3432,5,0)</f>
        <v>GJ1LR6643</v>
      </c>
      <c r="N2831" s="5" t="s">
        <v>25</v>
      </c>
      <c r="O2831" s="5" t="s">
        <v>25</v>
      </c>
      <c r="P2831" s="6" t="s">
        <v>25</v>
      </c>
      <c r="Q2831" s="5" t="s">
        <v>25</v>
      </c>
      <c r="R2831" s="5" t="s">
        <v>25</v>
      </c>
      <c r="S2831" s="7" t="str">
        <f>VLOOKUP(A2831,Sheet2!$A$2:$R$3432,18,0)</f>
        <v/>
      </c>
      <c r="T2831" s="7" t="str">
        <f>VLOOKUP(A2831,Sheet2!$A$2:$R$3432,17,0)</f>
        <v/>
      </c>
    </row>
    <row r="2832" ht="15.75" customHeight="1">
      <c r="A2832" s="3" t="s">
        <v>2855</v>
      </c>
      <c r="B2832" s="4" t="str">
        <f>VLOOKUP(A2832,Sheet2!$A$2:$R$3432,2,0)</f>
        <v>2024-11-22 19:22:48</v>
      </c>
      <c r="C2832" s="5" t="s">
        <v>25</v>
      </c>
      <c r="D2832" s="6" t="s">
        <v>25</v>
      </c>
      <c r="E2832" s="7">
        <f>VLOOKUP(A2832,Sheet2!$A$2:$R$3432,4,0)</f>
        <v>8446070838</v>
      </c>
      <c r="F2832" s="7" t="str">
        <f>VLOOKUP(A2832,Sheet2!$A$2:$R$3432,3,0)</f>
        <v>Prashant Patil </v>
      </c>
      <c r="G2832" s="5" t="s">
        <v>25</v>
      </c>
      <c r="H2832" s="5" t="s">
        <v>25</v>
      </c>
      <c r="I2832" s="5" t="s">
        <v>25</v>
      </c>
      <c r="J2832" s="5" t="s">
        <v>25</v>
      </c>
      <c r="K2832" s="7" t="str">
        <f>VLOOKUP(A2832,Sheet2!$A$2:$R$3432,6,0)</f>
        <v>Bajaj Pulsar 150</v>
      </c>
      <c r="L2832" s="5" t="s">
        <v>25</v>
      </c>
      <c r="M2832" s="7" t="str">
        <f>VLOOKUP(A2832,Sheet2!$A$2:$R$3432,5,0)</f>
        <v>MH14HJ8192</v>
      </c>
      <c r="N2832" s="5" t="s">
        <v>25</v>
      </c>
      <c r="O2832" s="5" t="s">
        <v>25</v>
      </c>
      <c r="P2832" s="6" t="s">
        <v>25</v>
      </c>
      <c r="Q2832" s="5" t="s">
        <v>25</v>
      </c>
      <c r="R2832" s="5" t="s">
        <v>25</v>
      </c>
      <c r="S2832" s="7" t="str">
        <f>VLOOKUP(A2832,Sheet2!$A$2:$R$3432,18,0)</f>
        <v/>
      </c>
      <c r="T2832" s="7" t="str">
        <f>VLOOKUP(A2832,Sheet2!$A$2:$R$3432,17,0)</f>
        <v/>
      </c>
    </row>
    <row r="2833" ht="15.75" customHeight="1">
      <c r="A2833" s="3" t="s">
        <v>2856</v>
      </c>
      <c r="B2833" s="4" t="str">
        <f>VLOOKUP(A2833,Sheet2!$A$2:$R$3432,2,0)</f>
        <v>2024-11-22 18:49:48</v>
      </c>
      <c r="C2833" s="5" t="s">
        <v>25</v>
      </c>
      <c r="D2833" s="6" t="s">
        <v>25</v>
      </c>
      <c r="E2833" s="7">
        <f>VLOOKUP(A2833,Sheet2!$A$2:$R$3432,4,0)</f>
        <v>7020314454</v>
      </c>
      <c r="F2833" s="7" t="str">
        <f>VLOOKUP(A2833,Sheet2!$A$2:$R$3432,3,0)</f>
        <v>NIKHIL</v>
      </c>
      <c r="G2833" s="5" t="s">
        <v>25</v>
      </c>
      <c r="H2833" s="5" t="s">
        <v>25</v>
      </c>
      <c r="I2833" s="5" t="s">
        <v>25</v>
      </c>
      <c r="J2833" s="5" t="s">
        <v>25</v>
      </c>
      <c r="K2833" s="7" t="str">
        <f>VLOOKUP(A2833,Sheet2!$A$2:$R$3432,6,0)</f>
        <v>TVS Jupiter 125</v>
      </c>
      <c r="L2833" s="5" t="s">
        <v>25</v>
      </c>
      <c r="M2833" s="7" t="str">
        <f>VLOOKUP(A2833,Sheet2!$A$2:$R$3432,5,0)</f>
        <v>MH14JV1321</v>
      </c>
      <c r="N2833" s="5" t="s">
        <v>25</v>
      </c>
      <c r="O2833" s="5" t="s">
        <v>25</v>
      </c>
      <c r="P2833" s="6" t="s">
        <v>25</v>
      </c>
      <c r="Q2833" s="5" t="s">
        <v>25</v>
      </c>
      <c r="R2833" s="5" t="s">
        <v>25</v>
      </c>
      <c r="S2833" s="5" t="str">
        <f>VLOOKUP(A2833,Sheet2!$A$2:$R$3432,18,0)</f>
        <v>BK4LM1605619</v>
      </c>
      <c r="T2833" s="7" t="str">
        <f>VLOOKUP(A2833,Sheet2!$A$2:$R$3432,17,0)</f>
        <v>MD626AK45M1L06309</v>
      </c>
    </row>
    <row r="2834" ht="15.75" customHeight="1">
      <c r="A2834" s="3" t="s">
        <v>2857</v>
      </c>
      <c r="B2834" s="4" t="str">
        <f>VLOOKUP(A2834,Sheet2!$A$2:$R$3432,2,0)</f>
        <v>2025-05-11 20:35:53</v>
      </c>
      <c r="C2834" s="5" t="s">
        <v>25</v>
      </c>
      <c r="D2834" s="6" t="s">
        <v>25</v>
      </c>
      <c r="E2834" s="7">
        <f>VLOOKUP(A2834,Sheet2!$A$2:$R$3432,4,0)</f>
        <v>7798488880</v>
      </c>
      <c r="F2834" s="7" t="str">
        <f>VLOOKUP(A2834,Sheet2!$A$2:$R$3432,3,0)</f>
        <v>Bharti</v>
      </c>
      <c r="G2834" s="5" t="s">
        <v>25</v>
      </c>
      <c r="H2834" s="5" t="s">
        <v>25</v>
      </c>
      <c r="I2834" s="5" t="s">
        <v>25</v>
      </c>
      <c r="J2834" s="5" t="s">
        <v>25</v>
      </c>
      <c r="K2834" s="7" t="str">
        <f>VLOOKUP(A2834,Sheet2!$A$2:$R$3432,6,0)</f>
        <v>Honda Activa 3G</v>
      </c>
      <c r="L2834" s="5" t="s">
        <v>25</v>
      </c>
      <c r="M2834" s="7" t="str">
        <f>VLOOKUP(A2834,Sheet2!$A$2:$R$3432,5,0)</f>
        <v>MH40AU0862</v>
      </c>
      <c r="N2834" s="5" t="s">
        <v>25</v>
      </c>
      <c r="O2834" s="5" t="s">
        <v>25</v>
      </c>
      <c r="P2834" s="6" t="s">
        <v>25</v>
      </c>
      <c r="Q2834" s="5" t="s">
        <v>25</v>
      </c>
      <c r="R2834" s="5" t="s">
        <v>25</v>
      </c>
      <c r="S2834" s="7" t="str">
        <f>VLOOKUP(A2834,Sheet2!$A$2:$R$3432,18,0)</f>
        <v/>
      </c>
      <c r="T2834" s="7" t="str">
        <f>VLOOKUP(A2834,Sheet2!$A$2:$R$3432,17,0)</f>
        <v/>
      </c>
    </row>
    <row r="2835" ht="15.75" customHeight="1">
      <c r="A2835" s="3" t="s">
        <v>2858</v>
      </c>
      <c r="B2835" s="4" t="str">
        <f>VLOOKUP(A2835,Sheet2!$A$2:$R$3432,2,0)</f>
        <v>2025-05-11 20:33:35</v>
      </c>
      <c r="C2835" s="5" t="s">
        <v>25</v>
      </c>
      <c r="D2835" s="6" t="s">
        <v>25</v>
      </c>
      <c r="E2835" s="7">
        <f>VLOOKUP(A2835,Sheet2!$A$2:$R$3432,4,0)</f>
        <v>8867799921</v>
      </c>
      <c r="F2835" s="7" t="str">
        <f>VLOOKUP(A2835,Sheet2!$A$2:$R$3432,3,0)</f>
        <v>ALI </v>
      </c>
      <c r="G2835" s="5" t="s">
        <v>25</v>
      </c>
      <c r="H2835" s="5" t="s">
        <v>25</v>
      </c>
      <c r="I2835" s="5" t="s">
        <v>25</v>
      </c>
      <c r="J2835" s="5" t="s">
        <v>25</v>
      </c>
      <c r="K2835" s="7" t="str">
        <f>VLOOKUP(A2835,Sheet2!$A$2:$R$3432,6,0)</f>
        <v>Honda Aviator </v>
      </c>
      <c r="L2835" s="5" t="s">
        <v>25</v>
      </c>
      <c r="M2835" s="7" t="str">
        <f>VLOOKUP(A2835,Sheet2!$A$2:$R$3432,5,0)</f>
        <v>GJ05MH0397</v>
      </c>
      <c r="N2835" s="5" t="s">
        <v>25</v>
      </c>
      <c r="O2835" s="5" t="s">
        <v>25</v>
      </c>
      <c r="P2835" s="6" t="s">
        <v>25</v>
      </c>
      <c r="Q2835" s="5" t="s">
        <v>25</v>
      </c>
      <c r="R2835" s="5" t="s">
        <v>25</v>
      </c>
      <c r="S2835" s="5" t="str">
        <f>VLOOKUP(A2835,Sheet2!$A$2:$R$3432,18,0)</f>
        <v>JF21E80304848</v>
      </c>
      <c r="T2835" s="7" t="str">
        <f>VLOOKUP(A2835,Sheet2!$A$2:$R$3432,17,0)</f>
        <v>ME4JF21FE8255788</v>
      </c>
    </row>
    <row r="2836" ht="15.75" customHeight="1">
      <c r="A2836" s="3" t="s">
        <v>2859</v>
      </c>
      <c r="B2836" s="4" t="str">
        <f>VLOOKUP(A2836,Sheet2!$A$2:$R$3432,2,0)</f>
        <v>2025-05-11 20:33:54</v>
      </c>
      <c r="C2836" s="5" t="s">
        <v>25</v>
      </c>
      <c r="D2836" s="6" t="s">
        <v>25</v>
      </c>
      <c r="E2836" s="7">
        <f>VLOOKUP(A2836,Sheet2!$A$2:$R$3432,4,0)</f>
        <v>9766722800</v>
      </c>
      <c r="F2836" s="7" t="str">
        <f>VLOOKUP(A2836,Sheet2!$A$2:$R$3432,3,0)</f>
        <v>Rajesh</v>
      </c>
      <c r="G2836" s="5" t="s">
        <v>25</v>
      </c>
      <c r="H2836" s="5" t="s">
        <v>25</v>
      </c>
      <c r="I2836" s="5" t="s">
        <v>25</v>
      </c>
      <c r="J2836" s="5" t="s">
        <v>25</v>
      </c>
      <c r="K2836" s="7" t="str">
        <f>VLOOKUP(A2836,Sheet2!$A$2:$R$3432,6,0)</f>
        <v>Honda Aviator </v>
      </c>
      <c r="L2836" s="5" t="s">
        <v>25</v>
      </c>
      <c r="M2836" s="7" t="str">
        <f>VLOOKUP(A2836,Sheet2!$A$2:$R$3432,5,0)</f>
        <v>MH12GB8576</v>
      </c>
      <c r="N2836" s="5" t="s">
        <v>25</v>
      </c>
      <c r="O2836" s="5" t="s">
        <v>25</v>
      </c>
      <c r="P2836" s="6" t="s">
        <v>25</v>
      </c>
      <c r="Q2836" s="5" t="s">
        <v>25</v>
      </c>
      <c r="R2836" s="5" t="s">
        <v>25</v>
      </c>
      <c r="S2836" s="5" t="str">
        <f>VLOOKUP(A2836,Sheet2!$A$2:$R$3432,18,0)</f>
        <v>JF2129060862</v>
      </c>
      <c r="T2836" s="7" t="str">
        <f>VLOOKUP(A2836,Sheet2!$A$2:$R$3432,17,0)</f>
        <v/>
      </c>
    </row>
    <row r="2837" ht="15.75" customHeight="1">
      <c r="A2837" s="3" t="s">
        <v>2860</v>
      </c>
      <c r="B2837" s="4" t="str">
        <f>VLOOKUP(A2837,Sheet2!$A$2:$R$3432,2,0)</f>
        <v>2025-05-11 20:29:12</v>
      </c>
      <c r="C2837" s="5" t="s">
        <v>25</v>
      </c>
      <c r="D2837" s="6" t="s">
        <v>25</v>
      </c>
      <c r="E2837" s="7">
        <f>VLOOKUP(A2837,Sheet2!$A$2:$R$3432,4,0)</f>
        <v>9762038710</v>
      </c>
      <c r="F2837" s="7" t="str">
        <f>VLOOKUP(A2837,Sheet2!$A$2:$R$3432,3,0)</f>
        <v>Fazal Subhedar</v>
      </c>
      <c r="G2837" s="5" t="s">
        <v>25</v>
      </c>
      <c r="H2837" s="5" t="s">
        <v>25</v>
      </c>
      <c r="I2837" s="5" t="s">
        <v>25</v>
      </c>
      <c r="J2837" s="5" t="s">
        <v>25</v>
      </c>
      <c r="K2837" s="7" t="str">
        <f>VLOOKUP(A2837,Sheet2!$A$2:$R$3432,6,0)</f>
        <v>Honda Activa HET</v>
      </c>
      <c r="L2837" s="5" t="s">
        <v>25</v>
      </c>
      <c r="M2837" s="7" t="str">
        <f>VLOOKUP(A2837,Sheet2!$A$2:$R$3432,5,0)</f>
        <v>MH12JT2822</v>
      </c>
      <c r="N2837" s="5" t="s">
        <v>25</v>
      </c>
      <c r="O2837" s="5" t="s">
        <v>25</v>
      </c>
      <c r="P2837" s="6" t="s">
        <v>25</v>
      </c>
      <c r="Q2837" s="5" t="s">
        <v>25</v>
      </c>
      <c r="R2837" s="5" t="s">
        <v>25</v>
      </c>
      <c r="S2837" s="5" t="str">
        <f>VLOOKUP(A2837,Sheet2!$A$2:$R$3432,18,0)</f>
        <v>JF50E80006744</v>
      </c>
      <c r="T2837" s="7" t="str">
        <f>VLOOKUP(A2837,Sheet2!$A$2:$R$3432,17,0)</f>
        <v>ME4JF501A00838</v>
      </c>
    </row>
    <row r="2838" ht="15.75" customHeight="1">
      <c r="A2838" s="3" t="s">
        <v>2861</v>
      </c>
      <c r="B2838" s="4" t="str">
        <f>VLOOKUP(A2838,Sheet2!$A$2:$R$3432,2,0)</f>
        <v>2025-05-11 20:35:01</v>
      </c>
      <c r="C2838" s="5" t="s">
        <v>25</v>
      </c>
      <c r="D2838" s="6" t="s">
        <v>25</v>
      </c>
      <c r="E2838" s="7">
        <f>VLOOKUP(A2838,Sheet2!$A$2:$R$3432,4,0)</f>
        <v>9404630994</v>
      </c>
      <c r="F2838" s="7" t="str">
        <f>VLOOKUP(A2838,Sheet2!$A$2:$R$3432,3,0)</f>
        <v>Chaitanya Kulkarni </v>
      </c>
      <c r="G2838" s="5" t="s">
        <v>25</v>
      </c>
      <c r="H2838" s="5" t="s">
        <v>25</v>
      </c>
      <c r="I2838" s="5" t="s">
        <v>25</v>
      </c>
      <c r="J2838" s="5" t="s">
        <v>25</v>
      </c>
      <c r="K2838" s="7" t="str">
        <f>VLOOKUP(A2838,Sheet2!$A$2:$R$3432,6,0)</f>
        <v>Honda Activa </v>
      </c>
      <c r="L2838" s="5" t="s">
        <v>25</v>
      </c>
      <c r="M2838" s="7" t="str">
        <f>VLOOKUP(A2838,Sheet2!$A$2:$R$3432,5,0)</f>
        <v>MH14GE6864</v>
      </c>
      <c r="N2838" s="5" t="s">
        <v>25</v>
      </c>
      <c r="O2838" s="5" t="s">
        <v>25</v>
      </c>
      <c r="P2838" s="6" t="s">
        <v>25</v>
      </c>
      <c r="Q2838" s="5" t="s">
        <v>25</v>
      </c>
      <c r="R2838" s="5" t="s">
        <v>25</v>
      </c>
      <c r="S2838" s="7" t="str">
        <f>VLOOKUP(A2838,Sheet2!$A$2:$R$3432,18,0)</f>
        <v/>
      </c>
      <c r="T2838" s="7" t="str">
        <f>VLOOKUP(A2838,Sheet2!$A$2:$R$3432,17,0)</f>
        <v/>
      </c>
    </row>
    <row r="2839" ht="15.75" customHeight="1">
      <c r="A2839" s="3" t="s">
        <v>2862</v>
      </c>
      <c r="B2839" s="4" t="str">
        <f>VLOOKUP(A2839,Sheet2!$A$2:$R$3432,2,0)</f>
        <v>2025-05-11 20:27:39</v>
      </c>
      <c r="C2839" s="5" t="s">
        <v>25</v>
      </c>
      <c r="D2839" s="6" t="s">
        <v>25</v>
      </c>
      <c r="E2839" s="7">
        <f>VLOOKUP(A2839,Sheet2!$A$2:$R$3432,4,0)</f>
        <v>8484842631</v>
      </c>
      <c r="F2839" s="7" t="str">
        <f>VLOOKUP(A2839,Sheet2!$A$2:$R$3432,3,0)</f>
        <v>Aayush</v>
      </c>
      <c r="G2839" s="5" t="s">
        <v>25</v>
      </c>
      <c r="H2839" s="5" t="s">
        <v>25</v>
      </c>
      <c r="I2839" s="5" t="s">
        <v>25</v>
      </c>
      <c r="J2839" s="5" t="s">
        <v>25</v>
      </c>
      <c r="K2839" s="7" t="str">
        <f>VLOOKUP(A2839,Sheet2!$A$2:$R$3432,6,0)</f>
        <v>Honda Dream Yuga </v>
      </c>
      <c r="L2839" s="5" t="s">
        <v>25</v>
      </c>
      <c r="M2839" s="7" t="str">
        <f>VLOOKUP(A2839,Sheet2!$A$2:$R$3432,5,0)</f>
        <v>MH19DK3617</v>
      </c>
      <c r="N2839" s="5" t="s">
        <v>25</v>
      </c>
      <c r="O2839" s="5" t="s">
        <v>25</v>
      </c>
      <c r="P2839" s="6" t="s">
        <v>25</v>
      </c>
      <c r="Q2839" s="5" t="s">
        <v>25</v>
      </c>
      <c r="R2839" s="5" t="s">
        <v>25</v>
      </c>
      <c r="S2839" s="5" t="str">
        <f>VLOOKUP(A2839,Sheet2!$A$2:$R$3432,18,0)</f>
        <v>JC58ET7114866</v>
      </c>
      <c r="T2839" s="7" t="str">
        <f>VLOOKUP(A2839,Sheet2!$A$2:$R$3432,17,0)</f>
        <v>ME4JC58FCKY06561</v>
      </c>
    </row>
    <row r="2840" ht="15.75" customHeight="1">
      <c r="A2840" s="3" t="s">
        <v>2863</v>
      </c>
      <c r="B2840" s="4" t="str">
        <f>VLOOKUP(A2840,Sheet2!$A$2:$R$3432,2,0)</f>
        <v>2025-05-11 20:31:32</v>
      </c>
      <c r="C2840" s="5" t="s">
        <v>25</v>
      </c>
      <c r="D2840" s="6" t="s">
        <v>25</v>
      </c>
      <c r="E2840" s="7">
        <f>VLOOKUP(A2840,Sheet2!$A$2:$R$3432,4,0)</f>
        <v>8123801626</v>
      </c>
      <c r="F2840" s="7" t="str">
        <f>VLOOKUP(A2840,Sheet2!$A$2:$R$3432,3,0)</f>
        <v>Mukund Mane</v>
      </c>
      <c r="G2840" s="5" t="s">
        <v>25</v>
      </c>
      <c r="H2840" s="5" t="s">
        <v>25</v>
      </c>
      <c r="I2840" s="5" t="s">
        <v>25</v>
      </c>
      <c r="J2840" s="5" t="s">
        <v>25</v>
      </c>
      <c r="K2840" s="7" t="str">
        <f>VLOOKUP(A2840,Sheet2!$A$2:$R$3432,6,0)</f>
        <v>Suzuki Access 125</v>
      </c>
      <c r="L2840" s="5" t="s">
        <v>25</v>
      </c>
      <c r="M2840" s="7" t="str">
        <f>VLOOKUP(A2840,Sheet2!$A$2:$R$3432,5,0)</f>
        <v>MH14GX4673</v>
      </c>
      <c r="N2840" s="5" t="s">
        <v>25</v>
      </c>
      <c r="O2840" s="5" t="s">
        <v>25</v>
      </c>
      <c r="P2840" s="6" t="s">
        <v>25</v>
      </c>
      <c r="Q2840" s="5" t="s">
        <v>25</v>
      </c>
      <c r="R2840" s="5" t="s">
        <v>25</v>
      </c>
      <c r="S2840" s="7" t="str">
        <f>VLOOKUP(A2840,Sheet2!$A$2:$R$3432,18,0)</f>
        <v/>
      </c>
      <c r="T2840" s="7" t="str">
        <f>VLOOKUP(A2840,Sheet2!$A$2:$R$3432,17,0)</f>
        <v/>
      </c>
    </row>
    <row r="2841" ht="15.75" customHeight="1">
      <c r="A2841" s="3" t="s">
        <v>2864</v>
      </c>
      <c r="B2841" s="4" t="str">
        <f>VLOOKUP(A2841,Sheet2!$A$2:$R$3432,2,0)</f>
        <v>2025-05-11 20:33:16</v>
      </c>
      <c r="C2841" s="5" t="s">
        <v>25</v>
      </c>
      <c r="D2841" s="6" t="s">
        <v>25</v>
      </c>
      <c r="E2841" s="7">
        <f>VLOOKUP(A2841,Sheet2!$A$2:$R$3432,4,0)</f>
        <v>9579161011</v>
      </c>
      <c r="F2841" s="7" t="str">
        <f>VLOOKUP(A2841,Sheet2!$A$2:$R$3432,3,0)</f>
        <v>Pratik Theurkar</v>
      </c>
      <c r="G2841" s="5" t="s">
        <v>25</v>
      </c>
      <c r="H2841" s="5" t="s">
        <v>25</v>
      </c>
      <c r="I2841" s="5" t="s">
        <v>25</v>
      </c>
      <c r="J2841" s="5" t="s">
        <v>25</v>
      </c>
      <c r="K2841" s="7" t="str">
        <f>VLOOKUP(A2841,Sheet2!$A$2:$R$3432,6,0)</f>
        <v>Bajaj Pulsar 150</v>
      </c>
      <c r="L2841" s="5" t="s">
        <v>25</v>
      </c>
      <c r="M2841" s="7" t="str">
        <f>VLOOKUP(A2841,Sheet2!$A$2:$R$3432,5,0)</f>
        <v>MH14CN9552</v>
      </c>
      <c r="N2841" s="5" t="s">
        <v>25</v>
      </c>
      <c r="O2841" s="5" t="s">
        <v>25</v>
      </c>
      <c r="P2841" s="6" t="s">
        <v>25</v>
      </c>
      <c r="Q2841" s="5" t="s">
        <v>25</v>
      </c>
      <c r="R2841" s="5" t="s">
        <v>25</v>
      </c>
      <c r="S2841" s="5" t="str">
        <f>VLOOKUP(A2841,Sheet2!$A$2:$R$3432,18,0)</f>
        <v>DHGBTJ13118</v>
      </c>
      <c r="T2841" s="7" t="str">
        <f>VLOOKUP(A2841,Sheet2!$A$2:$R$3432,17,0)</f>
        <v>MD2DHDHZZTCJ28584</v>
      </c>
    </row>
    <row r="2842" ht="15.75" customHeight="1">
      <c r="A2842" s="3" t="s">
        <v>2865</v>
      </c>
      <c r="B2842" s="4" t="str">
        <f>VLOOKUP(A2842,Sheet2!$A$2:$R$3432,2,0)</f>
        <v>2025-05-11 20:34:43</v>
      </c>
      <c r="C2842" s="5" t="s">
        <v>25</v>
      </c>
      <c r="D2842" s="6" t="s">
        <v>25</v>
      </c>
      <c r="E2842" s="7">
        <f>VLOOKUP(A2842,Sheet2!$A$2:$R$3432,4,0)</f>
        <v>8308374547</v>
      </c>
      <c r="F2842" s="7" t="str">
        <f>VLOOKUP(A2842,Sheet2!$A$2:$R$3432,3,0)</f>
        <v>Tushar Gavhane</v>
      </c>
      <c r="G2842" s="5" t="s">
        <v>25</v>
      </c>
      <c r="H2842" s="5" t="s">
        <v>25</v>
      </c>
      <c r="I2842" s="5" t="s">
        <v>25</v>
      </c>
      <c r="J2842" s="5" t="s">
        <v>25</v>
      </c>
      <c r="K2842" s="7" t="str">
        <f>VLOOKUP(A2842,Sheet2!$A$2:$R$3432,6,0)</f>
        <v>Honda Dream Yuga </v>
      </c>
      <c r="L2842" s="5" t="s">
        <v>25</v>
      </c>
      <c r="M2842" s="7" t="str">
        <f>VLOOKUP(A2842,Sheet2!$A$2:$R$3432,5,0)</f>
        <v>MH17AY4097</v>
      </c>
      <c r="N2842" s="5" t="s">
        <v>25</v>
      </c>
      <c r="O2842" s="5" t="s">
        <v>25</v>
      </c>
      <c r="P2842" s="6" t="s">
        <v>25</v>
      </c>
      <c r="Q2842" s="5" t="s">
        <v>25</v>
      </c>
      <c r="R2842" s="5" t="s">
        <v>25</v>
      </c>
      <c r="S2842" s="5" t="str">
        <f>VLOOKUP(A2842,Sheet2!$A$2:$R$3432,18,0)</f>
        <v>JC58ET3048034</v>
      </c>
      <c r="T2842" s="7" t="str">
        <f>VLOOKUP(A2842,Sheet2!$A$2:$R$3432,17,0)</f>
        <v>ME4JC586HDT045829</v>
      </c>
    </row>
    <row r="2843" ht="15.75" customHeight="1">
      <c r="A2843" s="3" t="s">
        <v>2866</v>
      </c>
      <c r="B2843" s="4" t="str">
        <f>VLOOKUP(A2843,Sheet2!$A$2:$R$3432,2,0)</f>
        <v>2025-05-11 20:25:03</v>
      </c>
      <c r="C2843" s="5" t="s">
        <v>25</v>
      </c>
      <c r="D2843" s="6" t="s">
        <v>25</v>
      </c>
      <c r="E2843" s="7">
        <f>VLOOKUP(A2843,Sheet2!$A$2:$R$3432,4,0)</f>
        <v>9822327439</v>
      </c>
      <c r="F2843" s="7" t="str">
        <f>VLOOKUP(A2843,Sheet2!$A$2:$R$3432,3,0)</f>
        <v>Madhukar Bharti</v>
      </c>
      <c r="G2843" s="5" t="s">
        <v>25</v>
      </c>
      <c r="H2843" s="5" t="s">
        <v>25</v>
      </c>
      <c r="I2843" s="5" t="s">
        <v>25</v>
      </c>
      <c r="J2843" s="5" t="s">
        <v>25</v>
      </c>
      <c r="K2843" s="7" t="str">
        <f>VLOOKUP(A2843,Sheet2!$A$2:$R$3432,6,0)</f>
        <v>Honda Shine </v>
      </c>
      <c r="L2843" s="5" t="s">
        <v>25</v>
      </c>
      <c r="M2843" s="7" t="str">
        <f>VLOOKUP(A2843,Sheet2!$A$2:$R$3432,5,0)</f>
        <v>MH14HH1059</v>
      </c>
      <c r="N2843" s="5" t="s">
        <v>25</v>
      </c>
      <c r="O2843" s="5" t="s">
        <v>25</v>
      </c>
      <c r="P2843" s="6" t="s">
        <v>25</v>
      </c>
      <c r="Q2843" s="5" t="s">
        <v>25</v>
      </c>
      <c r="R2843" s="5" t="s">
        <v>25</v>
      </c>
      <c r="S2843" s="5" t="str">
        <f>VLOOKUP(A2843,Sheet2!$A$2:$R$3432,18,0)</f>
        <v>JC65E72383041</v>
      </c>
      <c r="T2843" s="7" t="str">
        <f>VLOOKUP(A2843,Sheet2!$A$2:$R$3432,17,0)</f>
        <v>ME4JC65ALJ7244462</v>
      </c>
    </row>
    <row r="2844" ht="15.75" customHeight="1">
      <c r="A2844" s="3" t="s">
        <v>2867</v>
      </c>
      <c r="B2844" s="4" t="str">
        <f>VLOOKUP(A2844,Sheet2!$A$2:$R$3432,2,0)</f>
        <v>2025-05-11 20:19:39</v>
      </c>
      <c r="C2844" s="5" t="s">
        <v>25</v>
      </c>
      <c r="D2844" s="6" t="s">
        <v>25</v>
      </c>
      <c r="E2844" s="7">
        <f>VLOOKUP(A2844,Sheet2!$A$2:$R$3432,4,0)</f>
        <v>9960700177</v>
      </c>
      <c r="F2844" s="7" t="str">
        <f>VLOOKUP(A2844,Sheet2!$A$2:$R$3432,3,0)</f>
        <v>Vijay Prasad </v>
      </c>
      <c r="G2844" s="5" t="s">
        <v>25</v>
      </c>
      <c r="H2844" s="5" t="s">
        <v>25</v>
      </c>
      <c r="I2844" s="5" t="s">
        <v>25</v>
      </c>
      <c r="J2844" s="5" t="s">
        <v>25</v>
      </c>
      <c r="K2844" s="7" t="str">
        <f>VLOOKUP(A2844,Sheet2!$A$2:$R$3432,6,0)</f>
        <v>Hero Passion Pro</v>
      </c>
      <c r="L2844" s="5" t="s">
        <v>25</v>
      </c>
      <c r="M2844" s="7" t="str">
        <f>VLOOKUP(A2844,Sheet2!$A$2:$R$3432,5,0)</f>
        <v>MH12FQ5793</v>
      </c>
      <c r="N2844" s="5" t="s">
        <v>25</v>
      </c>
      <c r="O2844" s="5" t="s">
        <v>25</v>
      </c>
      <c r="P2844" s="6" t="s">
        <v>25</v>
      </c>
      <c r="Q2844" s="5" t="s">
        <v>25</v>
      </c>
      <c r="R2844" s="5" t="s">
        <v>25</v>
      </c>
      <c r="S2844" s="7" t="str">
        <f>VLOOKUP(A2844,Sheet2!$A$2:$R$3432,18,0)</f>
        <v/>
      </c>
      <c r="T2844" s="7" t="str">
        <f>VLOOKUP(A2844,Sheet2!$A$2:$R$3432,17,0)</f>
        <v/>
      </c>
    </row>
    <row r="2845" ht="15.75" customHeight="1">
      <c r="A2845" s="3" t="s">
        <v>2868</v>
      </c>
      <c r="B2845" s="4" t="str">
        <f>VLOOKUP(A2845,Sheet2!$A$2:$R$3432,2,0)</f>
        <v>2025-05-11 20:18:30</v>
      </c>
      <c r="C2845" s="5" t="s">
        <v>25</v>
      </c>
      <c r="D2845" s="6" t="s">
        <v>25</v>
      </c>
      <c r="E2845" s="7">
        <f>VLOOKUP(A2845,Sheet2!$A$2:$R$3432,4,0)</f>
        <v>8446609069</v>
      </c>
      <c r="F2845" s="7" t="str">
        <f>VLOOKUP(A2845,Sheet2!$A$2:$R$3432,3,0)</f>
        <v>Shrinivas Sharma</v>
      </c>
      <c r="G2845" s="5" t="s">
        <v>25</v>
      </c>
      <c r="H2845" s="5" t="s">
        <v>25</v>
      </c>
      <c r="I2845" s="5" t="s">
        <v>25</v>
      </c>
      <c r="J2845" s="5" t="s">
        <v>25</v>
      </c>
      <c r="K2845" s="7" t="str">
        <f>VLOOKUP(A2845,Sheet2!$A$2:$R$3432,6,0)</f>
        <v>Hero CBZ Extreme</v>
      </c>
      <c r="L2845" s="5" t="s">
        <v>25</v>
      </c>
      <c r="M2845" s="7" t="str">
        <f>VLOOKUP(A2845,Sheet2!$A$2:$R$3432,5,0)</f>
        <v>MH27AM9342</v>
      </c>
      <c r="N2845" s="5" t="s">
        <v>25</v>
      </c>
      <c r="O2845" s="5" t="s">
        <v>25</v>
      </c>
      <c r="P2845" s="6" t="s">
        <v>25</v>
      </c>
      <c r="Q2845" s="5" t="s">
        <v>25</v>
      </c>
      <c r="R2845" s="5" t="s">
        <v>25</v>
      </c>
      <c r="S2845" s="7" t="str">
        <f>VLOOKUP(A2845,Sheet2!$A$2:$R$3432,18,0)</f>
        <v/>
      </c>
      <c r="T2845" s="7" t="str">
        <f>VLOOKUP(A2845,Sheet2!$A$2:$R$3432,17,0)</f>
        <v/>
      </c>
    </row>
    <row r="2846" ht="15.75" customHeight="1">
      <c r="A2846" s="3" t="s">
        <v>2869</v>
      </c>
      <c r="B2846" s="4" t="str">
        <f>VLOOKUP(A2846,Sheet2!$A$2:$R$3432,2,0)</f>
        <v>2025-05-11 14:55:22</v>
      </c>
      <c r="C2846" s="5" t="s">
        <v>25</v>
      </c>
      <c r="D2846" s="6" t="s">
        <v>25</v>
      </c>
      <c r="E2846" s="7">
        <f>VLOOKUP(A2846,Sheet2!$A$2:$R$3432,4,0)</f>
        <v>9763714117</v>
      </c>
      <c r="F2846" s="7" t="str">
        <f>VLOOKUP(A2846,Sheet2!$A$2:$R$3432,3,0)</f>
        <v>Poonam Kadam</v>
      </c>
      <c r="G2846" s="5" t="s">
        <v>25</v>
      </c>
      <c r="H2846" s="5" t="s">
        <v>25</v>
      </c>
      <c r="I2846" s="5" t="s">
        <v>25</v>
      </c>
      <c r="J2846" s="5" t="s">
        <v>25</v>
      </c>
      <c r="K2846" s="7" t="str">
        <f>VLOOKUP(A2846,Sheet2!$A$2:$R$3432,6,0)</f>
        <v>TVS Jupiter </v>
      </c>
      <c r="L2846" s="5" t="s">
        <v>25</v>
      </c>
      <c r="M2846" s="7" t="str">
        <f>VLOOKUP(A2846,Sheet2!$A$2:$R$3432,5,0)</f>
        <v>MH30AU5450</v>
      </c>
      <c r="N2846" s="5" t="s">
        <v>25</v>
      </c>
      <c r="O2846" s="5" t="s">
        <v>25</v>
      </c>
      <c r="P2846" s="6" t="s">
        <v>25</v>
      </c>
      <c r="Q2846" s="5" t="s">
        <v>25</v>
      </c>
      <c r="R2846" s="5" t="s">
        <v>25</v>
      </c>
      <c r="S2846" s="5" t="str">
        <f>VLOOKUP(A2846,Sheet2!$A$2:$R$3432,18,0)</f>
        <v>BG4GG1011428</v>
      </c>
      <c r="T2846" s="7" t="str">
        <f>VLOOKUP(A2846,Sheet2!$A$2:$R$3432,17,0)</f>
        <v>MD626B47G1G16208</v>
      </c>
    </row>
    <row r="2847" ht="15.75" customHeight="1">
      <c r="A2847" s="3" t="s">
        <v>2870</v>
      </c>
      <c r="B2847" s="4" t="str">
        <f>VLOOKUP(A2847,Sheet2!$A$2:$R$3432,2,0)</f>
        <v>2025-05-11 20:30:41</v>
      </c>
      <c r="C2847" s="5" t="s">
        <v>25</v>
      </c>
      <c r="D2847" s="6" t="s">
        <v>25</v>
      </c>
      <c r="E2847" s="7">
        <f>VLOOKUP(A2847,Sheet2!$A$2:$R$3432,4,0)</f>
        <v>7038897122</v>
      </c>
      <c r="F2847" s="7" t="str">
        <f>VLOOKUP(A2847,Sheet2!$A$2:$R$3432,3,0)</f>
        <v>Gauri</v>
      </c>
      <c r="G2847" s="5" t="s">
        <v>25</v>
      </c>
      <c r="H2847" s="5" t="s">
        <v>25</v>
      </c>
      <c r="I2847" s="5" t="s">
        <v>25</v>
      </c>
      <c r="J2847" s="5" t="s">
        <v>25</v>
      </c>
      <c r="K2847" s="7" t="str">
        <f>VLOOKUP(A2847,Sheet2!$A$2:$R$3432,6,0)</f>
        <v>Hero Duet No Data</v>
      </c>
      <c r="L2847" s="5" t="s">
        <v>25</v>
      </c>
      <c r="M2847" s="7" t="str">
        <f>VLOOKUP(A2847,Sheet2!$A$2:$R$3432,5,0)</f>
        <v>MH27BY9568</v>
      </c>
      <c r="N2847" s="5" t="s">
        <v>25</v>
      </c>
      <c r="O2847" s="5" t="s">
        <v>25</v>
      </c>
      <c r="P2847" s="6" t="s">
        <v>25</v>
      </c>
      <c r="Q2847" s="5" t="s">
        <v>25</v>
      </c>
      <c r="R2847" s="5" t="s">
        <v>25</v>
      </c>
      <c r="S2847" s="5" t="str">
        <f>VLOOKUP(A2847,Sheet2!$A$2:$R$3432,18,0)</f>
        <v>JF53ACYGE13989</v>
      </c>
      <c r="T2847" s="7" t="str">
        <f>VLOOKUP(A2847,Sheet2!$A$2:$R$3432,17,0)</f>
        <v>MBLJFN020HGE15083</v>
      </c>
    </row>
    <row r="2848" ht="15.75" customHeight="1">
      <c r="A2848" s="3" t="s">
        <v>2871</v>
      </c>
      <c r="B2848" s="4" t="str">
        <f>VLOOKUP(A2848,Sheet2!$A$2:$R$3432,2,0)</f>
        <v>2025-05-11 20:28:07</v>
      </c>
      <c r="C2848" s="5" t="s">
        <v>25</v>
      </c>
      <c r="D2848" s="6" t="s">
        <v>25</v>
      </c>
      <c r="E2848" s="7">
        <f>VLOOKUP(A2848,Sheet2!$A$2:$R$3432,4,0)</f>
        <v>9609689494</v>
      </c>
      <c r="F2848" s="7" t="str">
        <f>VLOOKUP(A2848,Sheet2!$A$2:$R$3432,3,0)</f>
        <v>Pratyush</v>
      </c>
      <c r="G2848" s="5" t="s">
        <v>25</v>
      </c>
      <c r="H2848" s="5" t="s">
        <v>25</v>
      </c>
      <c r="I2848" s="5" t="s">
        <v>25</v>
      </c>
      <c r="J2848" s="5" t="s">
        <v>25</v>
      </c>
      <c r="K2848" s="7" t="str">
        <f>VLOOKUP(A2848,Sheet2!$A$2:$R$3432,6,0)</f>
        <v>TVS Ntorq 125</v>
      </c>
      <c r="L2848" s="5" t="s">
        <v>25</v>
      </c>
      <c r="M2848" s="7" t="str">
        <f>VLOOKUP(A2848,Sheet2!$A$2:$R$3432,5,0)</f>
        <v>MH14KV6716</v>
      </c>
      <c r="N2848" s="5" t="s">
        <v>25</v>
      </c>
      <c r="O2848" s="5" t="s">
        <v>25</v>
      </c>
      <c r="P2848" s="6" t="s">
        <v>25</v>
      </c>
      <c r="Q2848" s="5" t="s">
        <v>25</v>
      </c>
      <c r="R2848" s="5" t="s">
        <v>25</v>
      </c>
      <c r="S2848" s="7" t="str">
        <f>VLOOKUP(A2848,Sheet2!$A$2:$R$3432,18,0)</f>
        <v/>
      </c>
      <c r="T2848" s="7" t="str">
        <f>VLOOKUP(A2848,Sheet2!$A$2:$R$3432,17,0)</f>
        <v/>
      </c>
    </row>
    <row r="2849" ht="15.75" customHeight="1">
      <c r="A2849" s="3" t="s">
        <v>2872</v>
      </c>
      <c r="B2849" s="4" t="str">
        <f>VLOOKUP(A2849,Sheet2!$A$2:$R$3432,2,0)</f>
        <v>2025-05-11 20:20:01</v>
      </c>
      <c r="C2849" s="5" t="s">
        <v>25</v>
      </c>
      <c r="D2849" s="6" t="s">
        <v>25</v>
      </c>
      <c r="E2849" s="7">
        <f>VLOOKUP(A2849,Sheet2!$A$2:$R$3432,4,0)</f>
        <v>8552000758</v>
      </c>
      <c r="F2849" s="7" t="str">
        <f>VLOOKUP(A2849,Sheet2!$A$2:$R$3432,3,0)</f>
        <v>Vishal</v>
      </c>
      <c r="G2849" s="5" t="s">
        <v>25</v>
      </c>
      <c r="H2849" s="5" t="s">
        <v>25</v>
      </c>
      <c r="I2849" s="5" t="s">
        <v>25</v>
      </c>
      <c r="J2849" s="5" t="s">
        <v>25</v>
      </c>
      <c r="K2849" s="7" t="str">
        <f>VLOOKUP(A2849,Sheet2!$A$2:$R$3432,6,0)</f>
        <v>Honda Activa 110</v>
      </c>
      <c r="L2849" s="5" t="s">
        <v>25</v>
      </c>
      <c r="M2849" s="7" t="str">
        <f>VLOOKUP(A2849,Sheet2!$A$2:$R$3432,5,0)</f>
        <v>MH14EE6756</v>
      </c>
      <c r="N2849" s="5" t="s">
        <v>25</v>
      </c>
      <c r="O2849" s="5" t="s">
        <v>25</v>
      </c>
      <c r="P2849" s="6" t="s">
        <v>25</v>
      </c>
      <c r="Q2849" s="5" t="s">
        <v>25</v>
      </c>
      <c r="R2849" s="5" t="s">
        <v>25</v>
      </c>
      <c r="S2849" s="7" t="str">
        <f>VLOOKUP(A2849,Sheet2!$A$2:$R$3432,18,0)</f>
        <v/>
      </c>
      <c r="T2849" s="7" t="str">
        <f>VLOOKUP(A2849,Sheet2!$A$2:$R$3432,17,0)</f>
        <v>ME4jf501kd8547593</v>
      </c>
    </row>
    <row r="2850" ht="15.75" customHeight="1">
      <c r="A2850" s="3" t="s">
        <v>2873</v>
      </c>
      <c r="B2850" s="4" t="str">
        <f>VLOOKUP(A2850,Sheet2!$A$2:$R$3432,2,0)</f>
        <v>2025-05-11 20:22:26</v>
      </c>
      <c r="C2850" s="5" t="s">
        <v>25</v>
      </c>
      <c r="D2850" s="6" t="s">
        <v>25</v>
      </c>
      <c r="E2850" s="7">
        <f>VLOOKUP(A2850,Sheet2!$A$2:$R$3432,4,0)</f>
        <v>9860935033</v>
      </c>
      <c r="F2850" s="7" t="str">
        <f>VLOOKUP(A2850,Sheet2!$A$2:$R$3432,3,0)</f>
        <v>Ranjit </v>
      </c>
      <c r="G2850" s="5" t="s">
        <v>25</v>
      </c>
      <c r="H2850" s="5" t="s">
        <v>25</v>
      </c>
      <c r="I2850" s="5" t="s">
        <v>25</v>
      </c>
      <c r="J2850" s="5" t="s">
        <v>25</v>
      </c>
      <c r="K2850" s="7" t="str">
        <f>VLOOKUP(A2850,Sheet2!$A$2:$R$3432,6,0)</f>
        <v>TVS Apache RTR 150</v>
      </c>
      <c r="L2850" s="5" t="s">
        <v>25</v>
      </c>
      <c r="M2850" s="7" t="str">
        <f>VLOOKUP(A2850,Sheet2!$A$2:$R$3432,5,0)</f>
        <v>MH14KY0349</v>
      </c>
      <c r="N2850" s="5" t="s">
        <v>25</v>
      </c>
      <c r="O2850" s="5" t="s">
        <v>25</v>
      </c>
      <c r="P2850" s="6" t="s">
        <v>25</v>
      </c>
      <c r="Q2850" s="5" t="s">
        <v>25</v>
      </c>
      <c r="R2850" s="5" t="s">
        <v>25</v>
      </c>
      <c r="S2850" s="7" t="str">
        <f>VLOOKUP(A2850,Sheet2!$A$2:$R$3432,18,0)</f>
        <v/>
      </c>
      <c r="T2850" s="7" t="str">
        <f>VLOOKUP(A2850,Sheet2!$A$2:$R$3432,17,0)</f>
        <v/>
      </c>
    </row>
    <row r="2851" ht="15.75" customHeight="1">
      <c r="A2851" s="3" t="s">
        <v>2874</v>
      </c>
      <c r="B2851" s="4" t="str">
        <f>VLOOKUP(A2851,Sheet2!$A$2:$R$3432,2,0)</f>
        <v>2025-05-11 20:14:57</v>
      </c>
      <c r="C2851" s="5" t="s">
        <v>25</v>
      </c>
      <c r="D2851" s="6" t="s">
        <v>25</v>
      </c>
      <c r="E2851" s="7">
        <f>VLOOKUP(A2851,Sheet2!$A$2:$R$3432,4,0)</f>
        <v>7415479875</v>
      </c>
      <c r="F2851" s="7" t="str">
        <f>VLOOKUP(A2851,Sheet2!$A$2:$R$3432,3,0)</f>
        <v>Aayushi</v>
      </c>
      <c r="G2851" s="5" t="s">
        <v>25</v>
      </c>
      <c r="H2851" s="5" t="s">
        <v>25</v>
      </c>
      <c r="I2851" s="5" t="s">
        <v>25</v>
      </c>
      <c r="J2851" s="5" t="s">
        <v>25</v>
      </c>
      <c r="K2851" s="7" t="str">
        <f>VLOOKUP(A2851,Sheet2!$A$2:$R$3432,6,0)</f>
        <v>Honda Activa 5G</v>
      </c>
      <c r="L2851" s="5" t="s">
        <v>25</v>
      </c>
      <c r="M2851" s="7" t="str">
        <f>VLOOKUP(A2851,Sheet2!$A$2:$R$3432,5,0)</f>
        <v>MH02FC4787</v>
      </c>
      <c r="N2851" s="5" t="s">
        <v>25</v>
      </c>
      <c r="O2851" s="5" t="s">
        <v>25</v>
      </c>
      <c r="P2851" s="6" t="s">
        <v>25</v>
      </c>
      <c r="Q2851" s="5" t="s">
        <v>25</v>
      </c>
      <c r="R2851" s="5" t="s">
        <v>25</v>
      </c>
      <c r="S2851" s="7" t="str">
        <f>VLOOKUP(A2851,Sheet2!$A$2:$R$3432,18,0)</f>
        <v/>
      </c>
      <c r="T2851" s="7" t="str">
        <f>VLOOKUP(A2851,Sheet2!$A$2:$R$3432,17,0)</f>
        <v/>
      </c>
    </row>
    <row r="2852" ht="15.75" customHeight="1">
      <c r="A2852" s="3" t="s">
        <v>2875</v>
      </c>
      <c r="B2852" s="4" t="str">
        <f>VLOOKUP(A2852,Sheet2!$A$2:$R$3432,2,0)</f>
        <v>2025-05-11 20:28:32</v>
      </c>
      <c r="C2852" s="5" t="s">
        <v>25</v>
      </c>
      <c r="D2852" s="6" t="s">
        <v>25</v>
      </c>
      <c r="E2852" s="7">
        <f>VLOOKUP(A2852,Sheet2!$A$2:$R$3432,4,0)</f>
        <v>8806741535</v>
      </c>
      <c r="F2852" s="7" t="str">
        <f>VLOOKUP(A2852,Sheet2!$A$2:$R$3432,3,0)</f>
        <v>Shubhankar Kulkarni </v>
      </c>
      <c r="G2852" s="5" t="s">
        <v>25</v>
      </c>
      <c r="H2852" s="5" t="s">
        <v>25</v>
      </c>
      <c r="I2852" s="5" t="s">
        <v>25</v>
      </c>
      <c r="J2852" s="5" t="s">
        <v>25</v>
      </c>
      <c r="K2852" s="7" t="str">
        <f>VLOOKUP(A2852,Sheet2!$A$2:$R$3432,6,0)</f>
        <v>TVS Jupiter </v>
      </c>
      <c r="L2852" s="5" t="s">
        <v>25</v>
      </c>
      <c r="M2852" s="7" t="str">
        <f>VLOOKUP(A2852,Sheet2!$A$2:$R$3432,5,0)</f>
        <v>MH14KZ0980</v>
      </c>
      <c r="N2852" s="5" t="s">
        <v>25</v>
      </c>
      <c r="O2852" s="5" t="s">
        <v>25</v>
      </c>
      <c r="P2852" s="6" t="s">
        <v>25</v>
      </c>
      <c r="Q2852" s="5" t="s">
        <v>25</v>
      </c>
      <c r="R2852" s="5" t="s">
        <v>25</v>
      </c>
      <c r="S2852" s="7" t="str">
        <f>VLOOKUP(A2852,Sheet2!$A$2:$R$3432,18,0)</f>
        <v/>
      </c>
      <c r="T2852" s="7" t="str">
        <f>VLOOKUP(A2852,Sheet2!$A$2:$R$3432,17,0)</f>
        <v/>
      </c>
    </row>
    <row r="2853" ht="15.75" customHeight="1">
      <c r="A2853" s="3" t="s">
        <v>2876</v>
      </c>
      <c r="B2853" s="4" t="str">
        <f>VLOOKUP(A2853,Sheet2!$A$2:$R$3432,2,0)</f>
        <v>2025-05-11 20:21:59</v>
      </c>
      <c r="C2853" s="5" t="s">
        <v>25</v>
      </c>
      <c r="D2853" s="6" t="s">
        <v>25</v>
      </c>
      <c r="E2853" s="7">
        <f>VLOOKUP(A2853,Sheet2!$A$2:$R$3432,4,0)</f>
        <v>9765202116</v>
      </c>
      <c r="F2853" s="7" t="str">
        <f>VLOOKUP(A2853,Sheet2!$A$2:$R$3432,3,0)</f>
        <v>SUBHAM</v>
      </c>
      <c r="G2853" s="5" t="s">
        <v>25</v>
      </c>
      <c r="H2853" s="5" t="s">
        <v>25</v>
      </c>
      <c r="I2853" s="5" t="s">
        <v>25</v>
      </c>
      <c r="J2853" s="5" t="s">
        <v>25</v>
      </c>
      <c r="K2853" s="7" t="str">
        <f>VLOOKUP(A2853,Sheet2!$A$2:$R$3432,6,0)</f>
        <v>Hero CBZ Extreme</v>
      </c>
      <c r="L2853" s="5" t="s">
        <v>25</v>
      </c>
      <c r="M2853" s="7" t="str">
        <f>VLOOKUP(A2853,Sheet2!$A$2:$R$3432,5,0)</f>
        <v>MH12PD3503</v>
      </c>
      <c r="N2853" s="5" t="s">
        <v>25</v>
      </c>
      <c r="O2853" s="5" t="s">
        <v>25</v>
      </c>
      <c r="P2853" s="6" t="s">
        <v>25</v>
      </c>
      <c r="Q2853" s="5" t="s">
        <v>25</v>
      </c>
      <c r="R2853" s="5" t="s">
        <v>25</v>
      </c>
      <c r="S2853" s="5" t="str">
        <f>VLOOKUP(A2853,Sheet2!$A$2:$R$3432,18,0)</f>
        <v>KC12EGGM00901</v>
      </c>
      <c r="T2853" s="7" t="str">
        <f>VLOOKUP(A2853,Sheet2!$A$2:$R$3432,17,0)</f>
        <v>MBLKC2EMGGM0068</v>
      </c>
    </row>
    <row r="2854" ht="15.75" customHeight="1">
      <c r="A2854" s="3" t="s">
        <v>2877</v>
      </c>
      <c r="B2854" s="4" t="str">
        <f>VLOOKUP(A2854,Sheet2!$A$2:$R$3432,2,0)</f>
        <v>2025-05-11 20:23:35</v>
      </c>
      <c r="C2854" s="5" t="s">
        <v>25</v>
      </c>
      <c r="D2854" s="6" t="s">
        <v>25</v>
      </c>
      <c r="E2854" s="7">
        <f>VLOOKUP(A2854,Sheet2!$A$2:$R$3432,4,0)</f>
        <v>9763113619</v>
      </c>
      <c r="F2854" s="7" t="str">
        <f>VLOOKUP(A2854,Sheet2!$A$2:$R$3432,3,0)</f>
        <v>Santosh </v>
      </c>
      <c r="G2854" s="5" t="s">
        <v>25</v>
      </c>
      <c r="H2854" s="5" t="s">
        <v>25</v>
      </c>
      <c r="I2854" s="5" t="s">
        <v>25</v>
      </c>
      <c r="J2854" s="5" t="s">
        <v>25</v>
      </c>
      <c r="K2854" s="7" t="str">
        <f>VLOOKUP(A2854,Sheet2!$A$2:$R$3432,6,0)</f>
        <v>Honda Activa 5G</v>
      </c>
      <c r="L2854" s="5" t="s">
        <v>25</v>
      </c>
      <c r="M2854" s="7" t="str">
        <f>VLOOKUP(A2854,Sheet2!$A$2:$R$3432,5,0)</f>
        <v>MH12RW3623</v>
      </c>
      <c r="N2854" s="5" t="s">
        <v>25</v>
      </c>
      <c r="O2854" s="5" t="s">
        <v>25</v>
      </c>
      <c r="P2854" s="6" t="s">
        <v>25</v>
      </c>
      <c r="Q2854" s="5" t="s">
        <v>25</v>
      </c>
      <c r="R2854" s="5" t="s">
        <v>25</v>
      </c>
      <c r="S2854" s="5" t="str">
        <f>VLOOKUP(A2854,Sheet2!$A$2:$R$3432,18,0)</f>
        <v>JF50EW0107530</v>
      </c>
      <c r="T2854" s="7" t="str">
        <f>VLOOKUP(A2854,Sheet2!$A$2:$R$3432,17,0)</f>
        <v/>
      </c>
    </row>
    <row r="2855" ht="15.75" customHeight="1">
      <c r="A2855" s="3" t="s">
        <v>2878</v>
      </c>
      <c r="B2855" s="4" t="str">
        <f>VLOOKUP(A2855,Sheet2!$A$2:$R$3432,2,0)</f>
        <v>2025-05-11 20:24:39</v>
      </c>
      <c r="C2855" s="5" t="s">
        <v>25</v>
      </c>
      <c r="D2855" s="6" t="s">
        <v>25</v>
      </c>
      <c r="E2855" s="7">
        <f>VLOOKUP(A2855,Sheet2!$A$2:$R$3432,4,0)</f>
        <v>9027778747</v>
      </c>
      <c r="F2855" s="7" t="str">
        <f>VLOOKUP(A2855,Sheet2!$A$2:$R$3432,3,0)</f>
        <v>RAUNAK</v>
      </c>
      <c r="G2855" s="5" t="s">
        <v>25</v>
      </c>
      <c r="H2855" s="5" t="s">
        <v>25</v>
      </c>
      <c r="I2855" s="5" t="s">
        <v>25</v>
      </c>
      <c r="J2855" s="5" t="s">
        <v>25</v>
      </c>
      <c r="K2855" s="7" t="str">
        <f>VLOOKUP(A2855,Sheet2!$A$2:$R$3432,6,0)</f>
        <v>TVS Jupiter </v>
      </c>
      <c r="L2855" s="5" t="s">
        <v>25</v>
      </c>
      <c r="M2855" s="7" t="str">
        <f>VLOOKUP(A2855,Sheet2!$A$2:$R$3432,5,0)</f>
        <v>MH12RE7580</v>
      </c>
      <c r="N2855" s="5" t="s">
        <v>25</v>
      </c>
      <c r="O2855" s="5" t="s">
        <v>25</v>
      </c>
      <c r="P2855" s="6" t="s">
        <v>25</v>
      </c>
      <c r="Q2855" s="5" t="s">
        <v>25</v>
      </c>
      <c r="R2855" s="5" t="s">
        <v>25</v>
      </c>
      <c r="S2855" s="5" t="str">
        <f>VLOOKUP(A2855,Sheet2!$A$2:$R$3432,18,0)</f>
        <v>EG4PJ100934</v>
      </c>
      <c r="T2855" s="7" t="str">
        <f>VLOOKUP(A2855,Sheet2!$A$2:$R$3432,17,0)</f>
        <v>MD626EG45J1P13512</v>
      </c>
    </row>
    <row r="2856" ht="15.75" customHeight="1">
      <c r="A2856" s="3" t="s">
        <v>2879</v>
      </c>
      <c r="B2856" s="4" t="str">
        <f>VLOOKUP(A2856,Sheet2!$A$2:$R$3432,2,0)</f>
        <v>2025-05-11 20:16:52</v>
      </c>
      <c r="C2856" s="5" t="s">
        <v>25</v>
      </c>
      <c r="D2856" s="6" t="s">
        <v>25</v>
      </c>
      <c r="E2856" s="7">
        <f>VLOOKUP(A2856,Sheet2!$A$2:$R$3432,4,0)</f>
        <v>8208129989</v>
      </c>
      <c r="F2856" s="7" t="str">
        <f>VLOOKUP(A2856,Sheet2!$A$2:$R$3432,3,0)</f>
        <v>Mukund</v>
      </c>
      <c r="G2856" s="5" t="s">
        <v>25</v>
      </c>
      <c r="H2856" s="5" t="s">
        <v>25</v>
      </c>
      <c r="I2856" s="5" t="s">
        <v>25</v>
      </c>
      <c r="J2856" s="5" t="s">
        <v>25</v>
      </c>
      <c r="K2856" s="7" t="str">
        <f>VLOOKUP(A2856,Sheet2!$A$2:$R$3432,6,0)</f>
        <v>Bajaj Avenger 150 Street</v>
      </c>
      <c r="L2856" s="5" t="s">
        <v>25</v>
      </c>
      <c r="M2856" s="7" t="str">
        <f>VLOOKUP(A2856,Sheet2!$A$2:$R$3432,5,0)</f>
        <v>MH49AF2685</v>
      </c>
      <c r="N2856" s="5" t="s">
        <v>25</v>
      </c>
      <c r="O2856" s="5" t="s">
        <v>25</v>
      </c>
      <c r="P2856" s="6" t="s">
        <v>25</v>
      </c>
      <c r="Q2856" s="5" t="s">
        <v>25</v>
      </c>
      <c r="R2856" s="5" t="s">
        <v>25</v>
      </c>
      <c r="S2856" s="5" t="str">
        <f>VLOOKUP(A2856,Sheet2!$A$2:$R$3432,18,0)</f>
        <v>PDZCGC24335</v>
      </c>
      <c r="T2856" s="7" t="str">
        <f>VLOOKUP(A2856,Sheet2!$A$2:$R$3432,17,0)</f>
        <v>MD2A85CZXGCC07344</v>
      </c>
    </row>
    <row r="2857" ht="15.75" customHeight="1">
      <c r="A2857" s="3" t="s">
        <v>2880</v>
      </c>
      <c r="B2857" s="4" t="str">
        <f>VLOOKUP(A2857,Sheet2!$A$2:$R$3432,2,0)</f>
        <v>2025-05-11 20:26:27</v>
      </c>
      <c r="C2857" s="5" t="s">
        <v>25</v>
      </c>
      <c r="D2857" s="6" t="s">
        <v>25</v>
      </c>
      <c r="E2857" s="7">
        <f>VLOOKUP(A2857,Sheet2!$A$2:$R$3432,4,0)</f>
        <v>9420794808</v>
      </c>
      <c r="F2857" s="7" t="str">
        <f>VLOOKUP(A2857,Sheet2!$A$2:$R$3432,3,0)</f>
        <v>Deepali</v>
      </c>
      <c r="G2857" s="5" t="s">
        <v>25</v>
      </c>
      <c r="H2857" s="5" t="s">
        <v>25</v>
      </c>
      <c r="I2857" s="5" t="s">
        <v>25</v>
      </c>
      <c r="J2857" s="5" t="s">
        <v>25</v>
      </c>
      <c r="K2857" s="7" t="str">
        <f>VLOOKUP(A2857,Sheet2!$A$2:$R$3432,6,0)</f>
        <v>TVS Scooty PEP Plus</v>
      </c>
      <c r="L2857" s="5" t="s">
        <v>25</v>
      </c>
      <c r="M2857" s="7" t="str">
        <f>VLOOKUP(A2857,Sheet2!$A$2:$R$3432,5,0)</f>
        <v>MH14GF8133</v>
      </c>
      <c r="N2857" s="5" t="s">
        <v>25</v>
      </c>
      <c r="O2857" s="5" t="s">
        <v>25</v>
      </c>
      <c r="P2857" s="6" t="s">
        <v>25</v>
      </c>
      <c r="Q2857" s="5" t="s">
        <v>25</v>
      </c>
      <c r="R2857" s="5" t="s">
        <v>25</v>
      </c>
      <c r="S2857" s="5" t="str">
        <f>VLOOKUP(A2857,Sheet2!$A$2:$R$3432,18,0)</f>
        <v>AG3CH2016524</v>
      </c>
      <c r="T2857" s="7" t="str">
        <f>VLOOKUP(A2857,Sheet2!$A$2:$R$3432,17,0)</f>
        <v>MD626AG3042C17833</v>
      </c>
    </row>
    <row r="2858" ht="15.75" customHeight="1">
      <c r="A2858" s="3" t="s">
        <v>2881</v>
      </c>
      <c r="B2858" s="4" t="str">
        <f>VLOOKUP(A2858,Sheet2!$A$2:$R$3432,2,0)</f>
        <v>2025-05-11 20:30:57</v>
      </c>
      <c r="C2858" s="5" t="s">
        <v>25</v>
      </c>
      <c r="D2858" s="6" t="s">
        <v>25</v>
      </c>
      <c r="E2858" s="7">
        <f>VLOOKUP(A2858,Sheet2!$A$2:$R$3432,4,0)</f>
        <v>9404242490</v>
      </c>
      <c r="F2858" s="7" t="str">
        <f>VLOOKUP(A2858,Sheet2!$A$2:$R$3432,3,0)</f>
        <v>Prajwal Mali</v>
      </c>
      <c r="G2858" s="5" t="s">
        <v>25</v>
      </c>
      <c r="H2858" s="5" t="s">
        <v>25</v>
      </c>
      <c r="I2858" s="5" t="s">
        <v>25</v>
      </c>
      <c r="J2858" s="5" t="s">
        <v>25</v>
      </c>
      <c r="K2858" s="7" t="str">
        <f>VLOOKUP(A2858,Sheet2!$A$2:$R$3432,6,0)</f>
        <v>TVS Ronin Single Tone</v>
      </c>
      <c r="L2858" s="5" t="s">
        <v>25</v>
      </c>
      <c r="M2858" s="7" t="str">
        <f>VLOOKUP(A2858,Sheet2!$A$2:$R$3432,5,0)</f>
        <v>MH20GN3362</v>
      </c>
      <c r="N2858" s="5" t="s">
        <v>25</v>
      </c>
      <c r="O2858" s="5" t="s">
        <v>25</v>
      </c>
      <c r="P2858" s="6" t="s">
        <v>25</v>
      </c>
      <c r="Q2858" s="5" t="s">
        <v>25</v>
      </c>
      <c r="R2858" s="5" t="s">
        <v>25</v>
      </c>
      <c r="S2858" s="7" t="str">
        <f>VLOOKUP(A2858,Sheet2!$A$2:$R$3432,18,0)</f>
        <v/>
      </c>
      <c r="T2858" s="7" t="str">
        <f>VLOOKUP(A2858,Sheet2!$A$2:$R$3432,17,0)</f>
        <v/>
      </c>
    </row>
    <row r="2859" ht="15.75" customHeight="1">
      <c r="A2859" s="3" t="s">
        <v>2882</v>
      </c>
      <c r="B2859" s="4" t="str">
        <f>VLOOKUP(A2859,Sheet2!$A$2:$R$3432,2,0)</f>
        <v>2025-05-11 20:26:53</v>
      </c>
      <c r="C2859" s="5" t="s">
        <v>25</v>
      </c>
      <c r="D2859" s="6" t="s">
        <v>25</v>
      </c>
      <c r="E2859" s="7">
        <f>VLOOKUP(A2859,Sheet2!$A$2:$R$3432,4,0)</f>
        <v>8983300506</v>
      </c>
      <c r="F2859" s="7" t="str">
        <f>VLOOKUP(A2859,Sheet2!$A$2:$R$3432,3,0)</f>
        <v>ROHIT</v>
      </c>
      <c r="G2859" s="5" t="s">
        <v>25</v>
      </c>
      <c r="H2859" s="5" t="s">
        <v>25</v>
      </c>
      <c r="I2859" s="5" t="s">
        <v>25</v>
      </c>
      <c r="J2859" s="5" t="s">
        <v>25</v>
      </c>
      <c r="K2859" s="7" t="str">
        <f>VLOOKUP(A2859,Sheet2!$A$2:$R$3432,6,0)</f>
        <v>TVS Apache RTR 160 FI</v>
      </c>
      <c r="L2859" s="5" t="s">
        <v>25</v>
      </c>
      <c r="M2859" s="7" t="str">
        <f>VLOOKUP(A2859,Sheet2!$A$2:$R$3432,5,0)</f>
        <v>MH22AU4134</v>
      </c>
      <c r="N2859" s="5" t="s">
        <v>25</v>
      </c>
      <c r="O2859" s="5" t="s">
        <v>25</v>
      </c>
      <c r="P2859" s="6" t="s">
        <v>25</v>
      </c>
      <c r="Q2859" s="5" t="s">
        <v>25</v>
      </c>
      <c r="R2859" s="5" t="s">
        <v>25</v>
      </c>
      <c r="S2859" s="7" t="str">
        <f>VLOOKUP(A2859,Sheet2!$A$2:$R$3432,18,0)</f>
        <v/>
      </c>
      <c r="T2859" s="7" t="str">
        <f>VLOOKUP(A2859,Sheet2!$A$2:$R$3432,17,0)</f>
        <v/>
      </c>
    </row>
    <row r="2860" ht="15.75" customHeight="1">
      <c r="A2860" s="3" t="s">
        <v>2883</v>
      </c>
      <c r="B2860" s="4" t="str">
        <f>VLOOKUP(A2860,Sheet2!$A$2:$R$3432,2,0)</f>
        <v>2025-05-11 20:35:23</v>
      </c>
      <c r="C2860" s="5" t="s">
        <v>25</v>
      </c>
      <c r="D2860" s="6" t="s">
        <v>25</v>
      </c>
      <c r="E2860" s="7">
        <f>VLOOKUP(A2860,Sheet2!$A$2:$R$3432,4,0)</f>
        <v>9373825616</v>
      </c>
      <c r="F2860" s="7" t="str">
        <f>VLOOKUP(A2860,Sheet2!$A$2:$R$3432,3,0)</f>
        <v>Gaurav Kaple </v>
      </c>
      <c r="G2860" s="5" t="s">
        <v>25</v>
      </c>
      <c r="H2860" s="5" t="s">
        <v>25</v>
      </c>
      <c r="I2860" s="5" t="s">
        <v>25</v>
      </c>
      <c r="J2860" s="5" t="s">
        <v>25</v>
      </c>
      <c r="K2860" s="7" t="str">
        <f>VLOOKUP(A2860,Sheet2!$A$2:$R$3432,6,0)</f>
        <v>Suzuki Access </v>
      </c>
      <c r="L2860" s="5" t="s">
        <v>25</v>
      </c>
      <c r="M2860" s="7" t="str">
        <f>VLOOKUP(A2860,Sheet2!$A$2:$R$3432,5,0)</f>
        <v>MH14KK2266</v>
      </c>
      <c r="N2860" s="5" t="s">
        <v>25</v>
      </c>
      <c r="O2860" s="5" t="s">
        <v>25</v>
      </c>
      <c r="P2860" s="6" t="s">
        <v>25</v>
      </c>
      <c r="Q2860" s="5" t="s">
        <v>25</v>
      </c>
      <c r="R2860" s="5" t="s">
        <v>25</v>
      </c>
      <c r="S2860" s="5" t="str">
        <f>VLOOKUP(A2860,Sheet2!$A$2:$R$3432,18,0)</f>
        <v>AF212937433</v>
      </c>
      <c r="T2860" s="7" t="str">
        <f>VLOOKUP(A2860,Sheet2!$A$2:$R$3432,17,0)</f>
        <v>MB8DP12DJN8D05942</v>
      </c>
    </row>
    <row r="2861" ht="15.75" customHeight="1">
      <c r="A2861" s="3" t="s">
        <v>2884</v>
      </c>
      <c r="B2861" s="4" t="str">
        <f>VLOOKUP(A2861,Sheet2!$A$2:$R$3432,2,0)</f>
        <v>2024-10-25 19:41:50</v>
      </c>
      <c r="C2861" s="5" t="s">
        <v>25</v>
      </c>
      <c r="D2861" s="6" t="s">
        <v>25</v>
      </c>
      <c r="E2861" s="7">
        <f>VLOOKUP(A2861,Sheet2!$A$2:$R$3432,4,0)</f>
        <v>7387760266</v>
      </c>
      <c r="F2861" s="7" t="str">
        <f>VLOOKUP(A2861,Sheet2!$A$2:$R$3432,3,0)</f>
        <v>SAURABH </v>
      </c>
      <c r="G2861" s="5" t="s">
        <v>25</v>
      </c>
      <c r="H2861" s="5" t="s">
        <v>25</v>
      </c>
      <c r="I2861" s="5" t="s">
        <v>25</v>
      </c>
      <c r="J2861" s="5" t="s">
        <v>25</v>
      </c>
      <c r="K2861" s="7" t="str">
        <f>VLOOKUP(A2861,Sheet2!$A$2:$R$3432,6,0)</f>
        <v>Honda Activa 3G</v>
      </c>
      <c r="L2861" s="5" t="s">
        <v>25</v>
      </c>
      <c r="M2861" s="7" t="str">
        <f>VLOOKUP(A2861,Sheet2!$A$2:$R$3432,5,0)</f>
        <v>MH14FP1348</v>
      </c>
      <c r="N2861" s="5" t="s">
        <v>25</v>
      </c>
      <c r="O2861" s="5" t="s">
        <v>25</v>
      </c>
      <c r="P2861" s="6" t="s">
        <v>25</v>
      </c>
      <c r="Q2861" s="5" t="s">
        <v>25</v>
      </c>
      <c r="R2861" s="5" t="s">
        <v>25</v>
      </c>
      <c r="S2861" s="5" t="str">
        <f>VLOOKUP(A2861,Sheet2!$A$2:$R$3432,18,0)</f>
        <v>JF50ET3301679</v>
      </c>
      <c r="T2861" s="7" t="str">
        <f>VLOOKUP(A2861,Sheet2!$A$2:$R$3432,17,0)</f>
        <v>ME4JF305DGT30T3012870</v>
      </c>
    </row>
    <row r="2862" ht="15.75" customHeight="1">
      <c r="A2862" s="3" t="s">
        <v>2885</v>
      </c>
      <c r="B2862" s="4" t="str">
        <f>VLOOKUP(A2862,Sheet2!$A$2:$R$3432,2,0)</f>
        <v>2024-10-25 19:41:01</v>
      </c>
      <c r="C2862" s="5" t="s">
        <v>25</v>
      </c>
      <c r="D2862" s="6" t="s">
        <v>25</v>
      </c>
      <c r="E2862" s="7">
        <f>VLOOKUP(A2862,Sheet2!$A$2:$R$3432,4,0)</f>
        <v>7385844472</v>
      </c>
      <c r="F2862" s="7" t="str">
        <f>VLOOKUP(A2862,Sheet2!$A$2:$R$3432,3,0)</f>
        <v>SAMEER</v>
      </c>
      <c r="G2862" s="5" t="s">
        <v>25</v>
      </c>
      <c r="H2862" s="5" t="s">
        <v>25</v>
      </c>
      <c r="I2862" s="5" t="s">
        <v>25</v>
      </c>
      <c r="J2862" s="5" t="s">
        <v>25</v>
      </c>
      <c r="K2862" s="7" t="str">
        <f>VLOOKUP(A2862,Sheet2!$A$2:$R$3432,6,0)</f>
        <v>TVS Jupiter BS6</v>
      </c>
      <c r="L2862" s="5" t="s">
        <v>25</v>
      </c>
      <c r="M2862" s="7" t="str">
        <f>VLOOKUP(A2862,Sheet2!$A$2:$R$3432,5,0)</f>
        <v>MH12SV6911</v>
      </c>
      <c r="N2862" s="5" t="s">
        <v>25</v>
      </c>
      <c r="O2862" s="5" t="s">
        <v>25</v>
      </c>
      <c r="P2862" s="6" t="s">
        <v>25</v>
      </c>
      <c r="Q2862" s="5" t="s">
        <v>25</v>
      </c>
      <c r="R2862" s="5" t="s">
        <v>25</v>
      </c>
      <c r="S2862" s="7" t="str">
        <f>VLOOKUP(A2862,Sheet2!$A$2:$R$3432,18,0)</f>
        <v/>
      </c>
      <c r="T2862" s="7" t="str">
        <f>VLOOKUP(A2862,Sheet2!$A$2:$R$3432,17,0)</f>
        <v/>
      </c>
    </row>
    <row r="2863" ht="15.75" customHeight="1">
      <c r="A2863" s="3" t="s">
        <v>2886</v>
      </c>
      <c r="B2863" s="4" t="str">
        <f>VLOOKUP(A2863,Sheet2!$A$2:$R$3432,2,0)</f>
        <v>2024-10-25 19:42:23</v>
      </c>
      <c r="C2863" s="5" t="s">
        <v>25</v>
      </c>
      <c r="D2863" s="6" t="s">
        <v>25</v>
      </c>
      <c r="E2863" s="7">
        <f>VLOOKUP(A2863,Sheet2!$A$2:$R$3432,4,0)</f>
        <v>9890022157</v>
      </c>
      <c r="F2863" s="7" t="str">
        <f>VLOOKUP(A2863,Sheet2!$A$2:$R$3432,3,0)</f>
        <v>ARVIND PANDEY </v>
      </c>
      <c r="G2863" s="5" t="s">
        <v>25</v>
      </c>
      <c r="H2863" s="5" t="s">
        <v>25</v>
      </c>
      <c r="I2863" s="5" t="s">
        <v>25</v>
      </c>
      <c r="J2863" s="5" t="s">
        <v>25</v>
      </c>
      <c r="K2863" s="7" t="str">
        <f>VLOOKUP(A2863,Sheet2!$A$2:$R$3432,6,0)</f>
        <v>Hero Splendor Super New</v>
      </c>
      <c r="L2863" s="5" t="s">
        <v>25</v>
      </c>
      <c r="M2863" s="7" t="str">
        <f>VLOOKUP(A2863,Sheet2!$A$2:$R$3432,5,0)</f>
        <v>MH14JV3260</v>
      </c>
      <c r="N2863" s="5" t="s">
        <v>25</v>
      </c>
      <c r="O2863" s="5" t="s">
        <v>25</v>
      </c>
      <c r="P2863" s="6" t="s">
        <v>25</v>
      </c>
      <c r="Q2863" s="5" t="s">
        <v>25</v>
      </c>
      <c r="R2863" s="5" t="s">
        <v>25</v>
      </c>
      <c r="S2863" s="5" t="str">
        <f>VLOOKUP(A2863,Sheet2!$A$2:$R$3432,18,0)</f>
        <v>JA07ABM9B05359</v>
      </c>
      <c r="T2863" s="7" t="str">
        <f>VLOOKUP(A2863,Sheet2!$A$2:$R$3432,17,0)</f>
        <v>MBLJAW171MB00869</v>
      </c>
    </row>
    <row r="2864" ht="15.75" customHeight="1">
      <c r="A2864" s="3" t="s">
        <v>2887</v>
      </c>
      <c r="B2864" s="4" t="str">
        <f>VLOOKUP(A2864,Sheet2!$A$2:$R$3432,2,0)</f>
        <v>2024-10-25 19:40:44</v>
      </c>
      <c r="C2864" s="5" t="s">
        <v>25</v>
      </c>
      <c r="D2864" s="6" t="s">
        <v>25</v>
      </c>
      <c r="E2864" s="7">
        <f>VLOOKUP(A2864,Sheet2!$A$2:$R$3432,4,0)</f>
        <v>9325513775</v>
      </c>
      <c r="F2864" s="7" t="str">
        <f>VLOOKUP(A2864,Sheet2!$A$2:$R$3432,3,0)</f>
        <v>MANJU</v>
      </c>
      <c r="G2864" s="5" t="s">
        <v>25</v>
      </c>
      <c r="H2864" s="5" t="s">
        <v>25</v>
      </c>
      <c r="I2864" s="5" t="s">
        <v>25</v>
      </c>
      <c r="J2864" s="5" t="s">
        <v>25</v>
      </c>
      <c r="K2864" s="7" t="str">
        <f>VLOOKUP(A2864,Sheet2!$A$2:$R$3432,6,0)</f>
        <v>Honda Activa 110</v>
      </c>
      <c r="L2864" s="5" t="s">
        <v>25</v>
      </c>
      <c r="M2864" s="7" t="str">
        <f>VLOOKUP(A2864,Sheet2!$A$2:$R$3432,5,0)</f>
        <v>MH14ES7810</v>
      </c>
      <c r="N2864" s="5" t="s">
        <v>25</v>
      </c>
      <c r="O2864" s="5" t="s">
        <v>25</v>
      </c>
      <c r="P2864" s="6" t="s">
        <v>25</v>
      </c>
      <c r="Q2864" s="5" t="s">
        <v>25</v>
      </c>
      <c r="R2864" s="5" t="s">
        <v>25</v>
      </c>
      <c r="S2864" s="5" t="str">
        <f>VLOOKUP(A2864,Sheet2!$A$2:$R$3432,18,0)</f>
        <v>JF50ET1613551</v>
      </c>
      <c r="T2864" s="7" t="str">
        <f>VLOOKUP(A2864,Sheet2!$A$2:$R$3432,17,0)</f>
        <v>ME4JG02LET611792</v>
      </c>
    </row>
    <row r="2865" ht="15.75" customHeight="1">
      <c r="A2865" s="3" t="s">
        <v>2888</v>
      </c>
      <c r="B2865" s="4" t="str">
        <f>VLOOKUP(A2865,Sheet2!$A$2:$R$3432,2,0)</f>
        <v>2024-10-25 19:43:06</v>
      </c>
      <c r="C2865" s="5" t="s">
        <v>25</v>
      </c>
      <c r="D2865" s="6" t="s">
        <v>25</v>
      </c>
      <c r="E2865" s="7">
        <f>VLOOKUP(A2865,Sheet2!$A$2:$R$3432,4,0)</f>
        <v>9975191959</v>
      </c>
      <c r="F2865" s="7" t="str">
        <f>VLOOKUP(A2865,Sheet2!$A$2:$R$3432,3,0)</f>
        <v>SATYAM DANGE</v>
      </c>
      <c r="G2865" s="5" t="s">
        <v>25</v>
      </c>
      <c r="H2865" s="5" t="s">
        <v>25</v>
      </c>
      <c r="I2865" s="5" t="s">
        <v>25</v>
      </c>
      <c r="J2865" s="5" t="s">
        <v>25</v>
      </c>
      <c r="K2865" s="7" t="str">
        <f>VLOOKUP(A2865,Sheet2!$A$2:$R$3432,6,0)</f>
        <v>Royal Enfield Continental GT 500</v>
      </c>
      <c r="L2865" s="5" t="s">
        <v>25</v>
      </c>
      <c r="M2865" s="7" t="str">
        <f>VLOOKUP(A2865,Sheet2!$A$2:$R$3432,5,0)</f>
        <v>MH12LB3334</v>
      </c>
      <c r="N2865" s="5" t="s">
        <v>25</v>
      </c>
      <c r="O2865" s="5" t="s">
        <v>25</v>
      </c>
      <c r="P2865" s="6" t="s">
        <v>25</v>
      </c>
      <c r="Q2865" s="5" t="s">
        <v>25</v>
      </c>
      <c r="R2865" s="5" t="s">
        <v>25</v>
      </c>
      <c r="S2865" s="7" t="str">
        <f>VLOOKUP(A2865,Sheet2!$A$2:$R$3432,18,0)</f>
        <v/>
      </c>
      <c r="T2865" s="7" t="str">
        <f>VLOOKUP(A2865,Sheet2!$A$2:$R$3432,17,0)</f>
        <v/>
      </c>
    </row>
    <row r="2866" ht="15.75" customHeight="1">
      <c r="A2866" s="3" t="s">
        <v>2889</v>
      </c>
      <c r="B2866" s="4" t="str">
        <f>VLOOKUP(A2866,Sheet2!$A$2:$R$3432,2,0)</f>
        <v>2024-10-25 20:02:18</v>
      </c>
      <c r="C2866" s="5" t="s">
        <v>25</v>
      </c>
      <c r="D2866" s="6" t="s">
        <v>25</v>
      </c>
      <c r="E2866" s="7">
        <f>VLOOKUP(A2866,Sheet2!$A$2:$R$3432,4,0)</f>
        <v>8793084321</v>
      </c>
      <c r="F2866" s="7" t="str">
        <f>VLOOKUP(A2866,Sheet2!$A$2:$R$3432,3,0)</f>
        <v>Sumit Chaudhari</v>
      </c>
      <c r="G2866" s="5" t="s">
        <v>25</v>
      </c>
      <c r="H2866" s="5" t="s">
        <v>25</v>
      </c>
      <c r="I2866" s="5" t="s">
        <v>25</v>
      </c>
      <c r="J2866" s="5" t="s">
        <v>25</v>
      </c>
      <c r="K2866" s="7" t="str">
        <f>VLOOKUP(A2866,Sheet2!$A$2:$R$3432,6,0)</f>
        <v>Honda Cliq </v>
      </c>
      <c r="L2866" s="5" t="s">
        <v>25</v>
      </c>
      <c r="M2866" s="7" t="str">
        <f>VLOOKUP(A2866,Sheet2!$A$2:$R$3432,5,0)</f>
        <v>MH12QB1031</v>
      </c>
      <c r="N2866" s="5" t="s">
        <v>25</v>
      </c>
      <c r="O2866" s="5" t="s">
        <v>25</v>
      </c>
      <c r="P2866" s="6" t="s">
        <v>25</v>
      </c>
      <c r="Q2866" s="5" t="s">
        <v>25</v>
      </c>
      <c r="R2866" s="5" t="s">
        <v>25</v>
      </c>
      <c r="S2866" s="7" t="str">
        <f>VLOOKUP(A2866,Sheet2!$A$2:$R$3432,18,0)</f>
        <v/>
      </c>
      <c r="T2866" s="7" t="str">
        <f>VLOOKUP(A2866,Sheet2!$A$2:$R$3432,17,0)</f>
        <v>ME4JF762JH7010514</v>
      </c>
    </row>
    <row r="2867" ht="15.75" customHeight="1">
      <c r="A2867" s="3" t="s">
        <v>2890</v>
      </c>
      <c r="B2867" s="4" t="str">
        <f>VLOOKUP(A2867,Sheet2!$A$2:$R$3432,2,0)</f>
        <v>2024-10-27 18:58:11</v>
      </c>
      <c r="C2867" s="5" t="s">
        <v>25</v>
      </c>
      <c r="D2867" s="6" t="s">
        <v>25</v>
      </c>
      <c r="E2867" s="7">
        <f>VLOOKUP(A2867,Sheet2!$A$2:$R$3432,4,0)</f>
        <v>9423472539</v>
      </c>
      <c r="F2867" s="7" t="str">
        <f>VLOOKUP(A2867,Sheet2!$A$2:$R$3432,3,0)</f>
        <v>SACHIN DESHMUKH </v>
      </c>
      <c r="G2867" s="5" t="s">
        <v>25</v>
      </c>
      <c r="H2867" s="5" t="s">
        <v>25</v>
      </c>
      <c r="I2867" s="5" t="s">
        <v>25</v>
      </c>
      <c r="J2867" s="5" t="s">
        <v>25</v>
      </c>
      <c r="K2867" s="7" t="str">
        <f>VLOOKUP(A2867,Sheet2!$A$2:$R$3432,6,0)</f>
        <v>Hero Pleasure </v>
      </c>
      <c r="L2867" s="5" t="s">
        <v>25</v>
      </c>
      <c r="M2867" s="7" t="str">
        <f>VLOOKUP(A2867,Sheet2!$A$2:$R$3432,5,0)</f>
        <v>MH14ES4875</v>
      </c>
      <c r="N2867" s="5" t="s">
        <v>25</v>
      </c>
      <c r="O2867" s="5" t="s">
        <v>25</v>
      </c>
      <c r="P2867" s="6" t="s">
        <v>25</v>
      </c>
      <c r="Q2867" s="5" t="s">
        <v>25</v>
      </c>
      <c r="R2867" s="5" t="s">
        <v>25</v>
      </c>
      <c r="S2867" s="7" t="str">
        <f>VLOOKUP(A2867,Sheet2!$A$2:$R$3432,18,0)</f>
        <v/>
      </c>
      <c r="T2867" s="7" t="str">
        <f>VLOOKUP(A2867,Sheet2!$A$2:$R$3432,17,0)</f>
        <v/>
      </c>
    </row>
    <row r="2868" ht="15.75" customHeight="1">
      <c r="A2868" s="3" t="s">
        <v>2891</v>
      </c>
      <c r="B2868" s="4" t="str">
        <f>VLOOKUP(A2868,Sheet2!$A$2:$R$3432,2,0)</f>
        <v>2024-10-27 18:59:27</v>
      </c>
      <c r="C2868" s="5" t="s">
        <v>25</v>
      </c>
      <c r="D2868" s="6" t="s">
        <v>25</v>
      </c>
      <c r="E2868" s="7">
        <f>VLOOKUP(A2868,Sheet2!$A$2:$R$3432,4,0)</f>
        <v>9833693526</v>
      </c>
      <c r="F2868" s="7" t="str">
        <f>VLOOKUP(A2868,Sheet2!$A$2:$R$3432,3,0)</f>
        <v>Sneha Sathe</v>
      </c>
      <c r="G2868" s="5" t="s">
        <v>25</v>
      </c>
      <c r="H2868" s="5" t="s">
        <v>25</v>
      </c>
      <c r="I2868" s="5" t="s">
        <v>25</v>
      </c>
      <c r="J2868" s="5" t="s">
        <v>25</v>
      </c>
      <c r="K2868" s="7" t="str">
        <f>VLOOKUP(A2868,Sheet2!$A$2:$R$3432,6,0)</f>
        <v>TVS Jupiter </v>
      </c>
      <c r="L2868" s="5" t="s">
        <v>25</v>
      </c>
      <c r="M2868" s="7" t="str">
        <f>VLOOKUP(A2868,Sheet2!$A$2:$R$3432,5,0)</f>
        <v>MH14HJ3006</v>
      </c>
      <c r="N2868" s="5" t="s">
        <v>25</v>
      </c>
      <c r="O2868" s="5" t="s">
        <v>25</v>
      </c>
      <c r="P2868" s="6" t="s">
        <v>25</v>
      </c>
      <c r="Q2868" s="5" t="s">
        <v>25</v>
      </c>
      <c r="R2868" s="5" t="s">
        <v>25</v>
      </c>
      <c r="S2868" s="5" t="str">
        <f>VLOOKUP(A2868,Sheet2!$A$2:$R$3432,18,0)</f>
        <v>EG4PJ131035</v>
      </c>
      <c r="T2868" s="7" t="str">
        <f>VLOOKUP(A2868,Sheet2!$A$2:$R$3432,17,0)</f>
        <v>MD626EG4TJIP1602</v>
      </c>
    </row>
    <row r="2869" ht="15.75" customHeight="1">
      <c r="A2869" s="3" t="s">
        <v>2892</v>
      </c>
      <c r="B2869" s="4" t="str">
        <f>VLOOKUP(A2869,Sheet2!$A$2:$R$3432,2,0)</f>
        <v>2024-10-27 20:39:06</v>
      </c>
      <c r="C2869" s="5" t="s">
        <v>25</v>
      </c>
      <c r="D2869" s="6" t="s">
        <v>25</v>
      </c>
      <c r="E2869" s="7">
        <f>VLOOKUP(A2869,Sheet2!$A$2:$R$3432,4,0)</f>
        <v>9867644017</v>
      </c>
      <c r="F2869" s="7" t="str">
        <f>VLOOKUP(A2869,Sheet2!$A$2:$R$3432,3,0)</f>
        <v>RANJANKUMAR GIRI</v>
      </c>
      <c r="G2869" s="5" t="s">
        <v>25</v>
      </c>
      <c r="H2869" s="5" t="s">
        <v>25</v>
      </c>
      <c r="I2869" s="5" t="s">
        <v>25</v>
      </c>
      <c r="J2869" s="5" t="s">
        <v>25</v>
      </c>
      <c r="K2869" s="7" t="str">
        <f>VLOOKUP(A2869,Sheet2!$A$2:$R$3432,6,0)</f>
        <v>Royal Enfield Classic 350</v>
      </c>
      <c r="L2869" s="5" t="s">
        <v>25</v>
      </c>
      <c r="M2869" s="7" t="str">
        <f>VLOOKUP(A2869,Sheet2!$A$2:$R$3432,5,0)</f>
        <v>MH12RS0637</v>
      </c>
      <c r="N2869" s="5" t="s">
        <v>25</v>
      </c>
      <c r="O2869" s="5" t="s">
        <v>25</v>
      </c>
      <c r="P2869" s="6" t="s">
        <v>25</v>
      </c>
      <c r="Q2869" s="5" t="s">
        <v>25</v>
      </c>
      <c r="R2869" s="5" t="s">
        <v>25</v>
      </c>
      <c r="S2869" s="7" t="str">
        <f>VLOOKUP(A2869,Sheet2!$A$2:$R$3432,18,0)</f>
        <v/>
      </c>
      <c r="T2869" s="7" t="str">
        <f>VLOOKUP(A2869,Sheet2!$A$2:$R$3432,17,0)</f>
        <v/>
      </c>
    </row>
    <row r="2870" ht="15.75" customHeight="1">
      <c r="A2870" s="3" t="s">
        <v>2893</v>
      </c>
      <c r="B2870" s="4" t="str">
        <f>VLOOKUP(A2870,Sheet2!$A$2:$R$3432,2,0)</f>
        <v>2024-10-27 18:58:58</v>
      </c>
      <c r="C2870" s="5" t="s">
        <v>25</v>
      </c>
      <c r="D2870" s="6" t="s">
        <v>25</v>
      </c>
      <c r="E2870" s="7">
        <f>VLOOKUP(A2870,Sheet2!$A$2:$R$3432,4,0)</f>
        <v>8421040002</v>
      </c>
      <c r="F2870" s="7" t="str">
        <f>VLOOKUP(A2870,Sheet2!$A$2:$R$3432,3,0)</f>
        <v>VIJAY MANJRE</v>
      </c>
      <c r="G2870" s="5" t="s">
        <v>25</v>
      </c>
      <c r="H2870" s="5" t="s">
        <v>25</v>
      </c>
      <c r="I2870" s="5" t="s">
        <v>25</v>
      </c>
      <c r="J2870" s="5" t="s">
        <v>25</v>
      </c>
      <c r="K2870" s="7" t="str">
        <f>VLOOKUP(A2870,Sheet2!$A$2:$R$3432,6,0)</f>
        <v>Hero Passion Pro</v>
      </c>
      <c r="L2870" s="5" t="s">
        <v>25</v>
      </c>
      <c r="M2870" s="7" t="str">
        <f>VLOOKUP(A2870,Sheet2!$A$2:$R$3432,5,0)</f>
        <v>MH14CT3358</v>
      </c>
      <c r="N2870" s="5" t="s">
        <v>25</v>
      </c>
      <c r="O2870" s="5" t="s">
        <v>25</v>
      </c>
      <c r="P2870" s="6" t="s">
        <v>25</v>
      </c>
      <c r="Q2870" s="5" t="s">
        <v>25</v>
      </c>
      <c r="R2870" s="5" t="s">
        <v>25</v>
      </c>
      <c r="S2870" s="7" t="str">
        <f>VLOOKUP(A2870,Sheet2!$A$2:$R$3432,18,0)</f>
        <v/>
      </c>
      <c r="T2870" s="7" t="str">
        <f>VLOOKUP(A2870,Sheet2!$A$2:$R$3432,17,0)</f>
        <v>MBLHA10EWBGC23560</v>
      </c>
    </row>
    <row r="2871" ht="15.75" customHeight="1">
      <c r="A2871" s="3" t="s">
        <v>2894</v>
      </c>
      <c r="B2871" s="4" t="str">
        <f>VLOOKUP(A2871,Sheet2!$A$2:$R$3432,2,0)</f>
        <v>2024-10-27 20:38:53</v>
      </c>
      <c r="C2871" s="5" t="s">
        <v>25</v>
      </c>
      <c r="D2871" s="6" t="s">
        <v>25</v>
      </c>
      <c r="E2871" s="7">
        <f>VLOOKUP(A2871,Sheet2!$A$2:$R$3432,4,0)</f>
        <v>9404469192</v>
      </c>
      <c r="F2871" s="7" t="str">
        <f>VLOOKUP(A2871,Sheet2!$A$2:$R$3432,3,0)</f>
        <v>PRASHANT PATIL</v>
      </c>
      <c r="G2871" s="5" t="s">
        <v>25</v>
      </c>
      <c r="H2871" s="5" t="s">
        <v>25</v>
      </c>
      <c r="I2871" s="5" t="s">
        <v>25</v>
      </c>
      <c r="J2871" s="5" t="s">
        <v>25</v>
      </c>
      <c r="K2871" s="7" t="str">
        <f>VLOOKUP(A2871,Sheet2!$A$2:$R$3432,6,0)</f>
        <v>TVS Jupiter </v>
      </c>
      <c r="L2871" s="5" t="s">
        <v>25</v>
      </c>
      <c r="M2871" s="7" t="str">
        <f>VLOOKUP(A2871,Sheet2!$A$2:$R$3432,5,0)</f>
        <v>MH14EG4258</v>
      </c>
      <c r="N2871" s="5" t="s">
        <v>25</v>
      </c>
      <c r="O2871" s="5" t="s">
        <v>25</v>
      </c>
      <c r="P2871" s="6" t="s">
        <v>25</v>
      </c>
      <c r="Q2871" s="5" t="s">
        <v>25</v>
      </c>
      <c r="R2871" s="5" t="s">
        <v>25</v>
      </c>
      <c r="S2871" s="5" t="str">
        <f>VLOOKUP(A2871,Sheet2!$A$2:$R$3432,18,0)</f>
        <v>BG4BE1087584</v>
      </c>
      <c r="T2871" s="7" t="str">
        <f>VLOOKUP(A2871,Sheet2!$A$2:$R$3432,17,0)</f>
        <v>MD62BG4X1BG088</v>
      </c>
    </row>
    <row r="2872" ht="15.75" customHeight="1">
      <c r="A2872" s="3" t="s">
        <v>2895</v>
      </c>
      <c r="B2872" s="4" t="str">
        <f>VLOOKUP(A2872,Sheet2!$A$2:$R$3432,2,0)</f>
        <v>2024-10-27 18:56:17</v>
      </c>
      <c r="C2872" s="5" t="s">
        <v>25</v>
      </c>
      <c r="D2872" s="6" t="s">
        <v>25</v>
      </c>
      <c r="E2872" s="7">
        <f>VLOOKUP(A2872,Sheet2!$A$2:$R$3432,4,0)</f>
        <v>7676174076</v>
      </c>
      <c r="F2872" s="7" t="str">
        <f>VLOOKUP(A2872,Sheet2!$A$2:$R$3432,3,0)</f>
        <v>AKASH CHAVAN</v>
      </c>
      <c r="G2872" s="5" t="s">
        <v>25</v>
      </c>
      <c r="H2872" s="5" t="s">
        <v>25</v>
      </c>
      <c r="I2872" s="5" t="s">
        <v>25</v>
      </c>
      <c r="J2872" s="5" t="s">
        <v>25</v>
      </c>
      <c r="K2872" s="7" t="str">
        <f>VLOOKUP(A2872,Sheet2!$A$2:$R$3432,6,0)</f>
        <v>TVS Rider 125</v>
      </c>
      <c r="L2872" s="5" t="s">
        <v>25</v>
      </c>
      <c r="M2872" s="7" t="str">
        <f>VLOOKUP(A2872,Sheet2!$A$2:$R$3432,5,0)</f>
        <v>MH14KL0310</v>
      </c>
      <c r="N2872" s="5" t="s">
        <v>25</v>
      </c>
      <c r="O2872" s="5" t="s">
        <v>25</v>
      </c>
      <c r="P2872" s="6" t="s">
        <v>25</v>
      </c>
      <c r="Q2872" s="5" t="s">
        <v>25</v>
      </c>
      <c r="R2872" s="5" t="s">
        <v>25</v>
      </c>
      <c r="S2872" s="5" t="str">
        <f>VLOOKUP(A2872,Sheet2!$A$2:$R$3432,18,0)</f>
        <v>BF9LN1103439</v>
      </c>
      <c r="T2872" s="7" t="str">
        <f>VLOOKUP(A2872,Sheet2!$A$2:$R$3432,17,0)</f>
        <v>MD623AF99NIL13785</v>
      </c>
    </row>
    <row r="2873" ht="15.75" customHeight="1">
      <c r="A2873" s="3" t="s">
        <v>2896</v>
      </c>
      <c r="B2873" s="4" t="str">
        <f>VLOOKUP(A2873,Sheet2!$A$2:$R$3432,2,0)</f>
        <v>2024-10-27 19:00:33</v>
      </c>
      <c r="C2873" s="5" t="s">
        <v>25</v>
      </c>
      <c r="D2873" s="6" t="s">
        <v>25</v>
      </c>
      <c r="E2873" s="7">
        <f>VLOOKUP(A2873,Sheet2!$A$2:$R$3432,4,0)</f>
        <v>9923349595</v>
      </c>
      <c r="F2873" s="7" t="str">
        <f>VLOOKUP(A2873,Sheet2!$A$2:$R$3432,3,0)</f>
        <v>Nikhil Uttekar</v>
      </c>
      <c r="G2873" s="5" t="s">
        <v>25</v>
      </c>
      <c r="H2873" s="5" t="s">
        <v>25</v>
      </c>
      <c r="I2873" s="5" t="s">
        <v>25</v>
      </c>
      <c r="J2873" s="5" t="s">
        <v>25</v>
      </c>
      <c r="K2873" s="7" t="str">
        <f>VLOOKUP(A2873,Sheet2!$A$2:$R$3432,6,0)</f>
        <v>Honda Activa 5G</v>
      </c>
      <c r="L2873" s="5" t="s">
        <v>25</v>
      </c>
      <c r="M2873" s="7" t="str">
        <f>VLOOKUP(A2873,Sheet2!$A$2:$R$3432,5,0)</f>
        <v>MH14HV3851</v>
      </c>
      <c r="N2873" s="5" t="s">
        <v>25</v>
      </c>
      <c r="O2873" s="5" t="s">
        <v>25</v>
      </c>
      <c r="P2873" s="6" t="s">
        <v>25</v>
      </c>
      <c r="Q2873" s="5" t="s">
        <v>25</v>
      </c>
      <c r="R2873" s="5" t="s">
        <v>25</v>
      </c>
      <c r="S2873" s="7" t="str">
        <f>VLOOKUP(A2873,Sheet2!$A$2:$R$3432,18,0)</f>
        <v/>
      </c>
      <c r="T2873" s="7" t="str">
        <f>VLOOKUP(A2873,Sheet2!$A$2:$R$3432,17,0)</f>
        <v/>
      </c>
    </row>
    <row r="2874" ht="15.75" customHeight="1">
      <c r="A2874" s="3" t="s">
        <v>2897</v>
      </c>
      <c r="B2874" s="4" t="str">
        <f>VLOOKUP(A2874,Sheet2!$A$2:$R$3432,2,0)</f>
        <v>2024-10-27 20:37:51</v>
      </c>
      <c r="C2874" s="5" t="s">
        <v>25</v>
      </c>
      <c r="D2874" s="6" t="s">
        <v>25</v>
      </c>
      <c r="E2874" s="7">
        <f>VLOOKUP(A2874,Sheet2!$A$2:$R$3432,4,0)</f>
        <v>9607135727</v>
      </c>
      <c r="F2874" s="7" t="str">
        <f>VLOOKUP(A2874,Sheet2!$A$2:$R$3432,3,0)</f>
        <v>ABHIJIT DESHMUKH </v>
      </c>
      <c r="G2874" s="5" t="s">
        <v>25</v>
      </c>
      <c r="H2874" s="5" t="s">
        <v>25</v>
      </c>
      <c r="I2874" s="5" t="s">
        <v>25</v>
      </c>
      <c r="J2874" s="5" t="s">
        <v>25</v>
      </c>
      <c r="K2874" s="7" t="str">
        <f>VLOOKUP(A2874,Sheet2!$A$2:$R$3432,6,0)</f>
        <v>Yamaha R15 V3</v>
      </c>
      <c r="L2874" s="5" t="s">
        <v>25</v>
      </c>
      <c r="M2874" s="7" t="str">
        <f>VLOOKUP(A2874,Sheet2!$A$2:$R$3432,5,0)</f>
        <v>MH38AC3356</v>
      </c>
      <c r="N2874" s="5" t="s">
        <v>25</v>
      </c>
      <c r="O2874" s="5" t="s">
        <v>25</v>
      </c>
      <c r="P2874" s="6" t="s">
        <v>25</v>
      </c>
      <c r="Q2874" s="5" t="s">
        <v>25</v>
      </c>
      <c r="R2874" s="5" t="s">
        <v>25</v>
      </c>
      <c r="S2874" s="7" t="str">
        <f>VLOOKUP(A2874,Sheet2!$A$2:$R$3432,18,0)</f>
        <v/>
      </c>
      <c r="T2874" s="7" t="str">
        <f>VLOOKUP(A2874,Sheet2!$A$2:$R$3432,17,0)</f>
        <v/>
      </c>
    </row>
    <row r="2875" ht="15.75" customHeight="1">
      <c r="A2875" s="3" t="s">
        <v>2898</v>
      </c>
      <c r="B2875" s="4" t="str">
        <f>VLOOKUP(A2875,Sheet2!$A$2:$R$3432,2,0)</f>
        <v>2024-10-27 20:39:20</v>
      </c>
      <c r="C2875" s="5" t="s">
        <v>25</v>
      </c>
      <c r="D2875" s="6" t="s">
        <v>25</v>
      </c>
      <c r="E2875" s="7">
        <f>VLOOKUP(A2875,Sheet2!$A$2:$R$3432,4,0)</f>
        <v>9881634714</v>
      </c>
      <c r="F2875" s="7" t="str">
        <f>VLOOKUP(A2875,Sheet2!$A$2:$R$3432,3,0)</f>
        <v>Parshuram Sable </v>
      </c>
      <c r="G2875" s="5" t="s">
        <v>25</v>
      </c>
      <c r="H2875" s="5" t="s">
        <v>25</v>
      </c>
      <c r="I2875" s="5" t="s">
        <v>25</v>
      </c>
      <c r="J2875" s="5" t="s">
        <v>25</v>
      </c>
      <c r="K2875" s="7" t="str">
        <f>VLOOKUP(A2875,Sheet2!$A$2:$R$3432,6,0)</f>
        <v>Honda Activa </v>
      </c>
      <c r="L2875" s="5" t="s">
        <v>25</v>
      </c>
      <c r="M2875" s="7" t="str">
        <f>VLOOKUP(A2875,Sheet2!$A$2:$R$3432,5,0)</f>
        <v>MH14BP7315</v>
      </c>
      <c r="N2875" s="5" t="s">
        <v>25</v>
      </c>
      <c r="O2875" s="5" t="s">
        <v>25</v>
      </c>
      <c r="P2875" s="6" t="s">
        <v>25</v>
      </c>
      <c r="Q2875" s="5" t="s">
        <v>25</v>
      </c>
      <c r="R2875" s="5" t="s">
        <v>25</v>
      </c>
      <c r="S2875" s="7" t="str">
        <f>VLOOKUP(A2875,Sheet2!$A$2:$R$3432,18,0)</f>
        <v/>
      </c>
      <c r="T2875" s="7" t="str">
        <f>VLOOKUP(A2875,Sheet2!$A$2:$R$3432,17,0)</f>
        <v/>
      </c>
    </row>
    <row r="2876" ht="15.75" customHeight="1">
      <c r="A2876" s="3" t="s">
        <v>2899</v>
      </c>
      <c r="B2876" s="4" t="str">
        <f>VLOOKUP(A2876,Sheet2!$A$2:$R$3432,2,0)</f>
        <v>2024-10-27 18:57:30</v>
      </c>
      <c r="C2876" s="5" t="s">
        <v>25</v>
      </c>
      <c r="D2876" s="6" t="s">
        <v>25</v>
      </c>
      <c r="E2876" s="7">
        <f>VLOOKUP(A2876,Sheet2!$A$2:$R$3432,4,0)</f>
        <v>7276876123</v>
      </c>
      <c r="F2876" s="7" t="str">
        <f>VLOOKUP(A2876,Sheet2!$A$2:$R$3432,3,0)</f>
        <v>Debabrata Mohanty</v>
      </c>
      <c r="G2876" s="5" t="s">
        <v>25</v>
      </c>
      <c r="H2876" s="5" t="s">
        <v>25</v>
      </c>
      <c r="I2876" s="5" t="s">
        <v>25</v>
      </c>
      <c r="J2876" s="5" t="s">
        <v>25</v>
      </c>
      <c r="K2876" s="7" t="str">
        <f>VLOOKUP(A2876,Sheet2!$A$2:$R$3432,6,0)</f>
        <v>Suzuki Gixxer </v>
      </c>
      <c r="L2876" s="5" t="s">
        <v>25</v>
      </c>
      <c r="M2876" s="7" t="str">
        <f>VLOOKUP(A2876,Sheet2!$A$2:$R$3432,5,0)</f>
        <v>MH14EW1653</v>
      </c>
      <c r="N2876" s="5" t="s">
        <v>25</v>
      </c>
      <c r="O2876" s="5" t="s">
        <v>25</v>
      </c>
      <c r="P2876" s="6" t="s">
        <v>25</v>
      </c>
      <c r="Q2876" s="5" t="s">
        <v>25</v>
      </c>
      <c r="R2876" s="5" t="s">
        <v>25</v>
      </c>
      <c r="S2876" s="5" t="str">
        <f>VLOOKUP(A2876,Sheet2!$A$2:$R$3432,18,0)</f>
        <v>BGA1137385</v>
      </c>
      <c r="T2876" s="7" t="str">
        <f>VLOOKUP(A2876,Sheet2!$A$2:$R$3432,17,0)</f>
        <v>MB8NG4BAAF8133800</v>
      </c>
    </row>
    <row r="2877" ht="15.75" customHeight="1">
      <c r="A2877" s="3" t="s">
        <v>2900</v>
      </c>
      <c r="B2877" s="4" t="str">
        <f>VLOOKUP(A2877,Sheet2!$A$2:$R$3432,2,0)</f>
        <v>2024-10-30 18:58:58</v>
      </c>
      <c r="C2877" s="5" t="s">
        <v>25</v>
      </c>
      <c r="D2877" s="6" t="s">
        <v>25</v>
      </c>
      <c r="E2877" s="7">
        <f>VLOOKUP(A2877,Sheet2!$A$2:$R$3432,4,0)</f>
        <v>7249040206</v>
      </c>
      <c r="F2877" s="7" t="str">
        <f>VLOOKUP(A2877,Sheet2!$A$2:$R$3432,3,0)</f>
        <v>AKSHIT</v>
      </c>
      <c r="G2877" s="5" t="s">
        <v>25</v>
      </c>
      <c r="H2877" s="5" t="s">
        <v>25</v>
      </c>
      <c r="I2877" s="5" t="s">
        <v>25</v>
      </c>
      <c r="J2877" s="5" t="s">
        <v>25</v>
      </c>
      <c r="K2877" s="7" t="str">
        <f>VLOOKUP(A2877,Sheet2!$A$2:$R$3432,6,0)</f>
        <v>Bajaj Pulsar 160 NS</v>
      </c>
      <c r="L2877" s="5" t="s">
        <v>25</v>
      </c>
      <c r="M2877" s="7" t="str">
        <f>VLOOKUP(A2877,Sheet2!$A$2:$R$3432,5,0)</f>
        <v>MH14GK5110</v>
      </c>
      <c r="N2877" s="5" t="s">
        <v>25</v>
      </c>
      <c r="O2877" s="5" t="s">
        <v>25</v>
      </c>
      <c r="P2877" s="6" t="s">
        <v>25</v>
      </c>
      <c r="Q2877" s="5" t="s">
        <v>25</v>
      </c>
      <c r="R2877" s="5" t="s">
        <v>25</v>
      </c>
      <c r="S2877" s="5" t="str">
        <f>VLOOKUP(A2877,Sheet2!$A$2:$R$3432,18,0)</f>
        <v>JEYCD16289</v>
      </c>
      <c r="T2877" s="7" t="str">
        <f>VLOOKUP(A2877,Sheet2!$A$2:$R$3432,17,0)</f>
        <v>MDZA92CY9HCD03907</v>
      </c>
    </row>
    <row r="2878" ht="15.75" customHeight="1">
      <c r="A2878" s="3" t="s">
        <v>2901</v>
      </c>
      <c r="B2878" s="4" t="str">
        <f>VLOOKUP(A2878,Sheet2!$A$2:$R$3432,2,0)</f>
        <v>2024-10-30 11:57:38</v>
      </c>
      <c r="C2878" s="5" t="s">
        <v>25</v>
      </c>
      <c r="D2878" s="6" t="s">
        <v>25</v>
      </c>
      <c r="E2878" s="7">
        <f>VLOOKUP(A2878,Sheet2!$A$2:$R$3432,4,0)</f>
        <v>8888800666</v>
      </c>
      <c r="F2878" s="7" t="str">
        <f>VLOOKUP(A2878,Sheet2!$A$2:$R$3432,3,0)</f>
        <v>Laxmi Chavan</v>
      </c>
      <c r="G2878" s="5" t="s">
        <v>25</v>
      </c>
      <c r="H2878" s="5" t="s">
        <v>25</v>
      </c>
      <c r="I2878" s="5" t="s">
        <v>25</v>
      </c>
      <c r="J2878" s="5" t="s">
        <v>25</v>
      </c>
      <c r="K2878" s="7" t="str">
        <f>VLOOKUP(A2878,Sheet2!$A$2:$R$3432,6,0)</f>
        <v>Piaggio Vespa </v>
      </c>
      <c r="L2878" s="5" t="s">
        <v>25</v>
      </c>
      <c r="M2878" s="7" t="str">
        <f>VLOOKUP(A2878,Sheet2!$A$2:$R$3432,5,0)</f>
        <v>MH14DR3639</v>
      </c>
      <c r="N2878" s="5" t="s">
        <v>25</v>
      </c>
      <c r="O2878" s="5" t="s">
        <v>25</v>
      </c>
      <c r="P2878" s="6" t="s">
        <v>25</v>
      </c>
      <c r="Q2878" s="5" t="s">
        <v>25</v>
      </c>
      <c r="R2878" s="5" t="s">
        <v>25</v>
      </c>
      <c r="S2878" s="7" t="str">
        <f>VLOOKUP(A2878,Sheet2!$A$2:$R$3432,18,0)</f>
        <v/>
      </c>
      <c r="T2878" s="7" t="str">
        <f>VLOOKUP(A2878,Sheet2!$A$2:$R$3432,17,0)</f>
        <v/>
      </c>
    </row>
    <row r="2879" ht="15.75" customHeight="1">
      <c r="A2879" s="3" t="s">
        <v>2902</v>
      </c>
      <c r="B2879" s="4" t="str">
        <f>VLOOKUP(A2879,Sheet2!$A$2:$R$3432,2,0)</f>
        <v>2024-10-30 22:52:27</v>
      </c>
      <c r="C2879" s="5" t="s">
        <v>25</v>
      </c>
      <c r="D2879" s="6" t="s">
        <v>25</v>
      </c>
      <c r="E2879" s="7">
        <f>VLOOKUP(A2879,Sheet2!$A$2:$R$3432,4,0)</f>
        <v>9404469192</v>
      </c>
      <c r="F2879" s="7" t="str">
        <f>VLOOKUP(A2879,Sheet2!$A$2:$R$3432,3,0)</f>
        <v>PRASHANT PATIL</v>
      </c>
      <c r="G2879" s="5" t="s">
        <v>25</v>
      </c>
      <c r="H2879" s="5" t="s">
        <v>25</v>
      </c>
      <c r="I2879" s="5" t="s">
        <v>25</v>
      </c>
      <c r="J2879" s="5" t="s">
        <v>25</v>
      </c>
      <c r="K2879" s="7" t="str">
        <f>VLOOKUP(A2879,Sheet2!$A$2:$R$3432,6,0)</f>
        <v>TVS Jupiter </v>
      </c>
      <c r="L2879" s="5" t="s">
        <v>25</v>
      </c>
      <c r="M2879" s="7" t="str">
        <f>VLOOKUP(A2879,Sheet2!$A$2:$R$3432,5,0)</f>
        <v>MH14EG4258</v>
      </c>
      <c r="N2879" s="5" t="s">
        <v>25</v>
      </c>
      <c r="O2879" s="5" t="s">
        <v>25</v>
      </c>
      <c r="P2879" s="6" t="s">
        <v>25</v>
      </c>
      <c r="Q2879" s="5" t="s">
        <v>25</v>
      </c>
      <c r="R2879" s="5" t="s">
        <v>25</v>
      </c>
      <c r="S2879" s="5" t="str">
        <f>VLOOKUP(A2879,Sheet2!$A$2:$R$3432,18,0)</f>
        <v>BG4BE1087584</v>
      </c>
      <c r="T2879" s="7" t="str">
        <f>VLOOKUP(A2879,Sheet2!$A$2:$R$3432,17,0)</f>
        <v>MD62BG4X1BG088</v>
      </c>
    </row>
    <row r="2880" ht="15.75" customHeight="1">
      <c r="A2880" s="3" t="s">
        <v>2903</v>
      </c>
      <c r="B2880" s="4" t="str">
        <f>VLOOKUP(A2880,Sheet2!$A$2:$R$3432,2,0)</f>
        <v>2024-10-30 18:58:35</v>
      </c>
      <c r="C2880" s="5" t="s">
        <v>25</v>
      </c>
      <c r="D2880" s="6" t="s">
        <v>25</v>
      </c>
      <c r="E2880" s="7">
        <f>VLOOKUP(A2880,Sheet2!$A$2:$R$3432,4,0)</f>
        <v>9172523743</v>
      </c>
      <c r="F2880" s="7" t="str">
        <f>VLOOKUP(A2880,Sheet2!$A$2:$R$3432,3,0)</f>
        <v>ADITYA SINHG </v>
      </c>
      <c r="G2880" s="5" t="s">
        <v>25</v>
      </c>
      <c r="H2880" s="5" t="s">
        <v>25</v>
      </c>
      <c r="I2880" s="5" t="s">
        <v>25</v>
      </c>
      <c r="J2880" s="5" t="s">
        <v>25</v>
      </c>
      <c r="K2880" s="7" t="str">
        <f>VLOOKUP(A2880,Sheet2!$A$2:$R$3432,6,0)</f>
        <v>Bajaj Pulsar 150</v>
      </c>
      <c r="L2880" s="5" t="s">
        <v>25</v>
      </c>
      <c r="M2880" s="7" t="str">
        <f>VLOOKUP(A2880,Sheet2!$A$2:$R$3432,5,0)</f>
        <v>MH11AA9796</v>
      </c>
      <c r="N2880" s="5" t="s">
        <v>25</v>
      </c>
      <c r="O2880" s="5" t="s">
        <v>25</v>
      </c>
      <c r="P2880" s="6" t="s">
        <v>25</v>
      </c>
      <c r="Q2880" s="5" t="s">
        <v>25</v>
      </c>
      <c r="R2880" s="5" t="s">
        <v>25</v>
      </c>
      <c r="S2880" s="7" t="str">
        <f>VLOOKUP(A2880,Sheet2!$A$2:$R$3432,18,0)</f>
        <v/>
      </c>
      <c r="T2880" s="7" t="str">
        <f>VLOOKUP(A2880,Sheet2!$A$2:$R$3432,17,0)</f>
        <v/>
      </c>
    </row>
    <row r="2881" ht="15.75" customHeight="1">
      <c r="A2881" s="3" t="s">
        <v>2904</v>
      </c>
      <c r="B2881" s="4" t="str">
        <f>VLOOKUP(A2881,Sheet2!$A$2:$R$3432,2,0)</f>
        <v>2024-10-30 19:00:01</v>
      </c>
      <c r="C2881" s="5" t="s">
        <v>25</v>
      </c>
      <c r="D2881" s="6" t="s">
        <v>25</v>
      </c>
      <c r="E2881" s="7">
        <f>VLOOKUP(A2881,Sheet2!$A$2:$R$3432,4,0)</f>
        <v>9822398525</v>
      </c>
      <c r="F2881" s="7" t="str">
        <f>VLOOKUP(A2881,Sheet2!$A$2:$R$3432,3,0)</f>
        <v>RAOSAHEB LAHANE</v>
      </c>
      <c r="G2881" s="5" t="s">
        <v>25</v>
      </c>
      <c r="H2881" s="5" t="s">
        <v>25</v>
      </c>
      <c r="I2881" s="5" t="s">
        <v>25</v>
      </c>
      <c r="J2881" s="5" t="s">
        <v>25</v>
      </c>
      <c r="K2881" s="7" t="str">
        <f>VLOOKUP(A2881,Sheet2!$A$2:$R$3432,6,0)</f>
        <v>Hero Passion Pro</v>
      </c>
      <c r="L2881" s="5" t="s">
        <v>25</v>
      </c>
      <c r="M2881" s="7" t="str">
        <f>VLOOKUP(A2881,Sheet2!$A$2:$R$3432,5,0)</f>
        <v>MH14DK0266</v>
      </c>
      <c r="N2881" s="5" t="s">
        <v>25</v>
      </c>
      <c r="O2881" s="5" t="s">
        <v>25</v>
      </c>
      <c r="P2881" s="6" t="s">
        <v>25</v>
      </c>
      <c r="Q2881" s="5" t="s">
        <v>25</v>
      </c>
      <c r="R2881" s="5" t="s">
        <v>25</v>
      </c>
      <c r="S2881" s="5" t="str">
        <f>VLOOKUP(A2881,Sheet2!$A$2:$R$3432,18,0)</f>
        <v>HA10EDCHC35682</v>
      </c>
      <c r="T2881" s="7" t="str">
        <f>VLOOKUP(A2881,Sheet2!$A$2:$R$3432,17,0)</f>
        <v>MBLHA10EWHC23575</v>
      </c>
    </row>
    <row r="2882" ht="15.75" customHeight="1">
      <c r="A2882" s="3" t="s">
        <v>2905</v>
      </c>
      <c r="B2882" s="4" t="str">
        <f>VLOOKUP(A2882,Sheet2!$A$2:$R$3432,2,0)</f>
        <v>2025-03-10 19:45:29</v>
      </c>
      <c r="C2882" s="5" t="s">
        <v>25</v>
      </c>
      <c r="D2882" s="6" t="s">
        <v>25</v>
      </c>
      <c r="E2882" s="7">
        <f>VLOOKUP(A2882,Sheet2!$A$2:$R$3432,4,0)</f>
        <v>7248956226</v>
      </c>
      <c r="F2882" s="7" t="str">
        <f>VLOOKUP(A2882,Sheet2!$A$2:$R$3432,3,0)</f>
        <v>Yogesh Jadhav</v>
      </c>
      <c r="G2882" s="5" t="s">
        <v>25</v>
      </c>
      <c r="H2882" s="5" t="s">
        <v>25</v>
      </c>
      <c r="I2882" s="5" t="s">
        <v>25</v>
      </c>
      <c r="J2882" s="5" t="s">
        <v>25</v>
      </c>
      <c r="K2882" s="7" t="str">
        <f>VLOOKUP(A2882,Sheet2!$A$2:$R$3432,6,0)</f>
        <v>Bajaj Avenger 150 Street</v>
      </c>
      <c r="L2882" s="5" t="s">
        <v>25</v>
      </c>
      <c r="M2882" s="7" t="str">
        <f>VLOOKUP(A2882,Sheet2!$A$2:$R$3432,5,0)</f>
        <v>MH20DZ1000</v>
      </c>
      <c r="N2882" s="5" t="s">
        <v>25</v>
      </c>
      <c r="O2882" s="5" t="s">
        <v>25</v>
      </c>
      <c r="P2882" s="6" t="s">
        <v>25</v>
      </c>
      <c r="Q2882" s="5" t="s">
        <v>25</v>
      </c>
      <c r="R2882" s="5" t="s">
        <v>25</v>
      </c>
      <c r="S2882" s="7" t="str">
        <f>VLOOKUP(A2882,Sheet2!$A$2:$R$3432,18,0)</f>
        <v/>
      </c>
      <c r="T2882" s="7" t="str">
        <f>VLOOKUP(A2882,Sheet2!$A$2:$R$3432,17,0)</f>
        <v/>
      </c>
    </row>
    <row r="2883" ht="15.75" customHeight="1">
      <c r="A2883" s="3" t="s">
        <v>2906</v>
      </c>
      <c r="B2883" s="4" t="str">
        <f>VLOOKUP(A2883,Sheet2!$A$2:$R$3432,2,0)</f>
        <v>2025-03-10 19:44:12</v>
      </c>
      <c r="C2883" s="5" t="s">
        <v>25</v>
      </c>
      <c r="D2883" s="6" t="s">
        <v>25</v>
      </c>
      <c r="E2883" s="7">
        <f>VLOOKUP(A2883,Sheet2!$A$2:$R$3432,4,0)</f>
        <v>9404925331</v>
      </c>
      <c r="F2883" s="7" t="str">
        <f>VLOOKUP(A2883,Sheet2!$A$2:$R$3432,3,0)</f>
        <v>VAISHNAVI </v>
      </c>
      <c r="G2883" s="5" t="s">
        <v>25</v>
      </c>
      <c r="H2883" s="5" t="s">
        <v>25</v>
      </c>
      <c r="I2883" s="5" t="s">
        <v>25</v>
      </c>
      <c r="J2883" s="5" t="s">
        <v>25</v>
      </c>
      <c r="K2883" s="7" t="str">
        <f>VLOOKUP(A2883,Sheet2!$A$2:$R$3432,6,0)</f>
        <v>Aprilla SR SR 150</v>
      </c>
      <c r="L2883" s="5" t="s">
        <v>25</v>
      </c>
      <c r="M2883" s="7" t="str">
        <f>VLOOKUP(A2883,Sheet2!$A$2:$R$3432,5,0)</f>
        <v>MH12NL6145</v>
      </c>
      <c r="N2883" s="5" t="s">
        <v>25</v>
      </c>
      <c r="O2883" s="5" t="s">
        <v>25</v>
      </c>
      <c r="P2883" s="6" t="s">
        <v>25</v>
      </c>
      <c r="Q2883" s="5" t="s">
        <v>25</v>
      </c>
      <c r="R2883" s="5" t="s">
        <v>25</v>
      </c>
      <c r="S2883" s="7" t="str">
        <f>VLOOKUP(A2883,Sheet2!$A$2:$R$3432,18,0)</f>
        <v/>
      </c>
      <c r="T2883" s="7" t="str">
        <f>VLOOKUP(A2883,Sheet2!$A$2:$R$3432,17,0)</f>
        <v>MET0001AA4J002193</v>
      </c>
    </row>
    <row r="2884" ht="15.75" customHeight="1">
      <c r="A2884" s="3" t="s">
        <v>2907</v>
      </c>
      <c r="B2884" s="4" t="str">
        <f>VLOOKUP(A2884,Sheet2!$A$2:$R$3432,2,0)</f>
        <v>2025-03-10 19:43:24</v>
      </c>
      <c r="C2884" s="5" t="s">
        <v>25</v>
      </c>
      <c r="D2884" s="6" t="s">
        <v>25</v>
      </c>
      <c r="E2884" s="7">
        <f>VLOOKUP(A2884,Sheet2!$A$2:$R$3432,4,0)</f>
        <v>7507903254</v>
      </c>
      <c r="F2884" s="7" t="str">
        <f>VLOOKUP(A2884,Sheet2!$A$2:$R$3432,3,0)</f>
        <v>SHASHWAT</v>
      </c>
      <c r="G2884" s="5" t="s">
        <v>25</v>
      </c>
      <c r="H2884" s="5" t="s">
        <v>25</v>
      </c>
      <c r="I2884" s="5" t="s">
        <v>25</v>
      </c>
      <c r="J2884" s="5" t="s">
        <v>25</v>
      </c>
      <c r="K2884" s="7" t="str">
        <f>VLOOKUP(A2884,Sheet2!$A$2:$R$3432,6,0)</f>
        <v>TVS Jupiter BS6</v>
      </c>
      <c r="L2884" s="5" t="s">
        <v>25</v>
      </c>
      <c r="M2884" s="7" t="str">
        <f>VLOOKUP(A2884,Sheet2!$A$2:$R$3432,5,0)</f>
        <v>MH19DT6957</v>
      </c>
      <c r="N2884" s="5" t="s">
        <v>25</v>
      </c>
      <c r="O2884" s="5" t="s">
        <v>25</v>
      </c>
      <c r="P2884" s="6" t="s">
        <v>25</v>
      </c>
      <c r="Q2884" s="5" t="s">
        <v>25</v>
      </c>
      <c r="R2884" s="5" t="s">
        <v>25</v>
      </c>
      <c r="S2884" s="5" t="str">
        <f>VLOOKUP(A2884,Sheet2!$A$2:$R$3432,18,0)</f>
        <v>GG5CM1901003</v>
      </c>
      <c r="T2884" s="7" t="str">
        <f>VLOOKUP(A2884,Sheet2!$A$2:$R$3432,17,0)</f>
        <v>MD626EG58M1C01081</v>
      </c>
    </row>
    <row r="2885" ht="15.75" customHeight="1">
      <c r="A2885" s="3" t="s">
        <v>2908</v>
      </c>
      <c r="B2885" s="4" t="str">
        <f>VLOOKUP(A2885,Sheet2!$A$2:$R$3432,2,0)</f>
        <v>2025-03-10 19:43:04</v>
      </c>
      <c r="C2885" s="5" t="s">
        <v>25</v>
      </c>
      <c r="D2885" s="6" t="s">
        <v>25</v>
      </c>
      <c r="E2885" s="7">
        <f>VLOOKUP(A2885,Sheet2!$A$2:$R$3432,4,0)</f>
        <v>7620375835</v>
      </c>
      <c r="F2885" s="7" t="str">
        <f>VLOOKUP(A2885,Sheet2!$A$2:$R$3432,3,0)</f>
        <v>NILESH</v>
      </c>
      <c r="G2885" s="5" t="s">
        <v>25</v>
      </c>
      <c r="H2885" s="5" t="s">
        <v>25</v>
      </c>
      <c r="I2885" s="5" t="s">
        <v>25</v>
      </c>
      <c r="J2885" s="5" t="s">
        <v>25</v>
      </c>
      <c r="K2885" s="7" t="str">
        <f>VLOOKUP(A2885,Sheet2!$A$2:$R$3432,6,0)</f>
        <v>Honda Aviator </v>
      </c>
      <c r="L2885" s="5" t="s">
        <v>25</v>
      </c>
      <c r="M2885" s="7" t="str">
        <f>VLOOKUP(A2885,Sheet2!$A$2:$R$3432,5,0)</f>
        <v>MH14EK1221</v>
      </c>
      <c r="N2885" s="5" t="s">
        <v>25</v>
      </c>
      <c r="O2885" s="5" t="s">
        <v>25</v>
      </c>
      <c r="P2885" s="6" t="s">
        <v>25</v>
      </c>
      <c r="Q2885" s="5" t="s">
        <v>25</v>
      </c>
      <c r="R2885" s="5" t="s">
        <v>25</v>
      </c>
      <c r="S2885" s="7" t="str">
        <f>VLOOKUP(A2885,Sheet2!$A$2:$R$3432,18,0)</f>
        <v/>
      </c>
      <c r="T2885" s="7" t="str">
        <f>VLOOKUP(A2885,Sheet2!$A$2:$R$3432,17,0)</f>
        <v/>
      </c>
    </row>
    <row r="2886" ht="15.75" customHeight="1">
      <c r="A2886" s="3" t="s">
        <v>2909</v>
      </c>
      <c r="B2886" s="4" t="str">
        <f>VLOOKUP(A2886,Sheet2!$A$2:$R$3432,2,0)</f>
        <v>2025-03-10 19:43:43</v>
      </c>
      <c r="C2886" s="5" t="s">
        <v>25</v>
      </c>
      <c r="D2886" s="6" t="s">
        <v>25</v>
      </c>
      <c r="E2886" s="7">
        <f>VLOOKUP(A2886,Sheet2!$A$2:$R$3432,4,0)</f>
        <v>9579717727</v>
      </c>
      <c r="F2886" s="7" t="str">
        <f>VLOOKUP(A2886,Sheet2!$A$2:$R$3432,3,0)</f>
        <v>Gaurav</v>
      </c>
      <c r="G2886" s="5" t="s">
        <v>25</v>
      </c>
      <c r="H2886" s="5" t="s">
        <v>25</v>
      </c>
      <c r="I2886" s="5" t="s">
        <v>25</v>
      </c>
      <c r="J2886" s="5" t="s">
        <v>25</v>
      </c>
      <c r="K2886" s="7" t="str">
        <f>VLOOKUP(A2886,Sheet2!$A$2:$R$3432,6,0)</f>
        <v>Hero Passion PRO</v>
      </c>
      <c r="L2886" s="5" t="s">
        <v>25</v>
      </c>
      <c r="M2886" s="7" t="str">
        <f>VLOOKUP(A2886,Sheet2!$A$2:$R$3432,5,0)</f>
        <v>MH14EX1006</v>
      </c>
      <c r="N2886" s="5" t="s">
        <v>25</v>
      </c>
      <c r="O2886" s="5" t="s">
        <v>25</v>
      </c>
      <c r="P2886" s="6" t="s">
        <v>25</v>
      </c>
      <c r="Q2886" s="5" t="s">
        <v>25</v>
      </c>
      <c r="R2886" s="5" t="s">
        <v>25</v>
      </c>
      <c r="S2886" s="7" t="str">
        <f>VLOOKUP(A2886,Sheet2!$A$2:$R$3432,18,0)</f>
        <v/>
      </c>
      <c r="T2886" s="7" t="str">
        <f>VLOOKUP(A2886,Sheet2!$A$2:$R$3432,17,0)</f>
        <v>MBLHA10BJFHC89251</v>
      </c>
    </row>
    <row r="2887" ht="15.75" customHeight="1">
      <c r="A2887" s="3" t="s">
        <v>2910</v>
      </c>
      <c r="B2887" s="4" t="str">
        <f>VLOOKUP(A2887,Sheet2!$A$2:$R$3432,2,0)</f>
        <v>2025-03-10 19:44:34</v>
      </c>
      <c r="C2887" s="5" t="s">
        <v>25</v>
      </c>
      <c r="D2887" s="6" t="s">
        <v>25</v>
      </c>
      <c r="E2887" s="7">
        <f>VLOOKUP(A2887,Sheet2!$A$2:$R$3432,4,0)</f>
        <v>9028134385</v>
      </c>
      <c r="F2887" s="7" t="str">
        <f>VLOOKUP(A2887,Sheet2!$A$2:$R$3432,3,0)</f>
        <v>Viren Datrani</v>
      </c>
      <c r="G2887" s="5" t="s">
        <v>25</v>
      </c>
      <c r="H2887" s="5" t="s">
        <v>25</v>
      </c>
      <c r="I2887" s="5" t="s">
        <v>25</v>
      </c>
      <c r="J2887" s="5" t="s">
        <v>25</v>
      </c>
      <c r="K2887" s="7" t="str">
        <f>VLOOKUP(A2887,Sheet2!$A$2:$R$3432,6,0)</f>
        <v>Yamaha FZ V3</v>
      </c>
      <c r="L2887" s="5" t="s">
        <v>25</v>
      </c>
      <c r="M2887" s="7" t="str">
        <f>VLOOKUP(A2887,Sheet2!$A$2:$R$3432,5,0)</f>
        <v>MH41AF2917</v>
      </c>
      <c r="N2887" s="5" t="s">
        <v>25</v>
      </c>
      <c r="O2887" s="5" t="s">
        <v>25</v>
      </c>
      <c r="P2887" s="6" t="s">
        <v>25</v>
      </c>
      <c r="Q2887" s="5" t="s">
        <v>25</v>
      </c>
      <c r="R2887" s="5" t="s">
        <v>25</v>
      </c>
      <c r="S2887" s="5" t="str">
        <f>VLOOKUP(A2887,Sheet2!$A$2:$R$3432,18,0)</f>
        <v>G3C8E0030671</v>
      </c>
      <c r="T2887" s="7" t="str">
        <f>VLOOKUP(A2887,Sheet2!$A$2:$R$3432,17,0)</f>
        <v>ME1RG75EGC72G73</v>
      </c>
    </row>
    <row r="2888" ht="15.75" customHeight="1">
      <c r="A2888" s="3" t="s">
        <v>2911</v>
      </c>
      <c r="B2888" s="4" t="str">
        <f>VLOOKUP(A2888,Sheet2!$A$2:$R$3432,2,0)</f>
        <v>2025-03-10 19:46:54</v>
      </c>
      <c r="C2888" s="5" t="s">
        <v>25</v>
      </c>
      <c r="D2888" s="6" t="s">
        <v>25</v>
      </c>
      <c r="E2888" s="7">
        <f>VLOOKUP(A2888,Sheet2!$A$2:$R$3432,4,0)</f>
        <v>9624286559</v>
      </c>
      <c r="F2888" s="7" t="str">
        <f>VLOOKUP(A2888,Sheet2!$A$2:$R$3432,3,0)</f>
        <v>Mohit Desai </v>
      </c>
      <c r="G2888" s="5" t="s">
        <v>25</v>
      </c>
      <c r="H2888" s="5" t="s">
        <v>25</v>
      </c>
      <c r="I2888" s="5" t="s">
        <v>25</v>
      </c>
      <c r="J2888" s="5" t="s">
        <v>25</v>
      </c>
      <c r="K2888" s="7" t="str">
        <f>VLOOKUP(A2888,Sheet2!$A$2:$R$3432,6,0)</f>
        <v>Hero Glamour </v>
      </c>
      <c r="L2888" s="5" t="s">
        <v>25</v>
      </c>
      <c r="M2888" s="7" t="str">
        <f>VLOOKUP(A2888,Sheet2!$A$2:$R$3432,5,0)</f>
        <v>GJ06LG5870</v>
      </c>
      <c r="N2888" s="5" t="s">
        <v>25</v>
      </c>
      <c r="O2888" s="5" t="s">
        <v>25</v>
      </c>
      <c r="P2888" s="6" t="s">
        <v>25</v>
      </c>
      <c r="Q2888" s="5" t="s">
        <v>25</v>
      </c>
      <c r="R2888" s="5" t="s">
        <v>25</v>
      </c>
      <c r="S2888" s="5" t="str">
        <f>VLOOKUP(A2888,Sheet2!$A$2:$R$3432,18,0)</f>
        <v>JA06EHH9H08052</v>
      </c>
      <c r="T2888" s="7" t="str">
        <f>VLOOKUP(A2888,Sheet2!$A$2:$R$3432,17,0)</f>
        <v>MBLJA8026H9410</v>
      </c>
    </row>
    <row r="2889" ht="15.75" customHeight="1">
      <c r="A2889" s="3" t="s">
        <v>2912</v>
      </c>
      <c r="B2889" s="4" t="str">
        <f>VLOOKUP(A2889,Sheet2!$A$2:$R$3432,2,0)</f>
        <v>2025-03-10 19:44:56</v>
      </c>
      <c r="C2889" s="5" t="s">
        <v>25</v>
      </c>
      <c r="D2889" s="6" t="s">
        <v>25</v>
      </c>
      <c r="E2889" s="7">
        <f>VLOOKUP(A2889,Sheet2!$A$2:$R$3432,4,0)</f>
        <v>8446009614</v>
      </c>
      <c r="F2889" s="7" t="str">
        <f>VLOOKUP(A2889,Sheet2!$A$2:$R$3432,3,0)</f>
        <v>ATHARVA KULKARNI </v>
      </c>
      <c r="G2889" s="5" t="s">
        <v>25</v>
      </c>
      <c r="H2889" s="5" t="s">
        <v>25</v>
      </c>
      <c r="I2889" s="5" t="s">
        <v>25</v>
      </c>
      <c r="J2889" s="5" t="s">
        <v>25</v>
      </c>
      <c r="K2889" s="7" t="str">
        <f>VLOOKUP(A2889,Sheet2!$A$2:$R$3432,6,0)</f>
        <v>Honda Activa 125 BS6</v>
      </c>
      <c r="L2889" s="5" t="s">
        <v>25</v>
      </c>
      <c r="M2889" s="7" t="str">
        <f>VLOOKUP(A2889,Sheet2!$A$2:$R$3432,5,0)</f>
        <v>MH12TJ2843</v>
      </c>
      <c r="N2889" s="5" t="s">
        <v>25</v>
      </c>
      <c r="O2889" s="5" t="s">
        <v>25</v>
      </c>
      <c r="P2889" s="6" t="s">
        <v>25</v>
      </c>
      <c r="Q2889" s="5" t="s">
        <v>25</v>
      </c>
      <c r="R2889" s="5" t="s">
        <v>25</v>
      </c>
      <c r="S2889" s="5" t="str">
        <f>VLOOKUP(A2889,Sheet2!$A$2:$R$3432,18,0)</f>
        <v>JF49EW4125592</v>
      </c>
      <c r="T2889" s="7" t="str">
        <f>VLOOKUP(A2889,Sheet2!$A$2:$R$3432,17,0)</f>
        <v>ME4JF49MCMW018147</v>
      </c>
    </row>
    <row r="2890" ht="15.75" customHeight="1">
      <c r="A2890" s="3" t="s">
        <v>2913</v>
      </c>
      <c r="B2890" s="4" t="str">
        <f>VLOOKUP(A2890,Sheet2!$A$2:$R$3432,2,0)</f>
        <v>2025-03-10 19:46:39</v>
      </c>
      <c r="C2890" s="5" t="s">
        <v>25</v>
      </c>
      <c r="D2890" s="6" t="s">
        <v>25</v>
      </c>
      <c r="E2890" s="7">
        <f>VLOOKUP(A2890,Sheet2!$A$2:$R$3432,4,0)</f>
        <v>8888898565</v>
      </c>
      <c r="F2890" s="7" t="str">
        <f>VLOOKUP(A2890,Sheet2!$A$2:$R$3432,3,0)</f>
        <v>ABHIJEET MISAL</v>
      </c>
      <c r="G2890" s="5" t="s">
        <v>25</v>
      </c>
      <c r="H2890" s="5" t="s">
        <v>25</v>
      </c>
      <c r="I2890" s="5" t="s">
        <v>25</v>
      </c>
      <c r="J2890" s="5" t="s">
        <v>25</v>
      </c>
      <c r="K2890" s="7" t="str">
        <f>VLOOKUP(A2890,Sheet2!$A$2:$R$3432,6,0)</f>
        <v>Honda Activa HET</v>
      </c>
      <c r="L2890" s="5" t="s">
        <v>25</v>
      </c>
      <c r="M2890" s="7" t="str">
        <f>VLOOKUP(A2890,Sheet2!$A$2:$R$3432,5,0)</f>
        <v>MH12JW487</v>
      </c>
      <c r="N2890" s="5" t="s">
        <v>25</v>
      </c>
      <c r="O2890" s="5" t="s">
        <v>25</v>
      </c>
      <c r="P2890" s="6" t="s">
        <v>25</v>
      </c>
      <c r="Q2890" s="5" t="s">
        <v>25</v>
      </c>
      <c r="R2890" s="5" t="s">
        <v>25</v>
      </c>
      <c r="S2890" s="7" t="str">
        <f>VLOOKUP(A2890,Sheet2!$A$2:$R$3432,18,0)</f>
        <v/>
      </c>
      <c r="T2890" s="7" t="str">
        <f>VLOOKUP(A2890,Sheet2!$A$2:$R$3432,17,0)</f>
        <v/>
      </c>
    </row>
    <row r="2891" ht="15.75" customHeight="1">
      <c r="A2891" s="3" t="s">
        <v>2914</v>
      </c>
      <c r="B2891" s="4" t="str">
        <f>VLOOKUP(A2891,Sheet2!$A$2:$R$3432,2,0)</f>
        <v>2025-03-10 19:46:06</v>
      </c>
      <c r="C2891" s="5" t="s">
        <v>25</v>
      </c>
      <c r="D2891" s="6" t="s">
        <v>25</v>
      </c>
      <c r="E2891" s="7">
        <f>VLOOKUP(A2891,Sheet2!$A$2:$R$3432,4,0)</f>
        <v>9462632977</v>
      </c>
      <c r="F2891" s="7" t="str">
        <f>VLOOKUP(A2891,Sheet2!$A$2:$R$3432,3,0)</f>
        <v>DIVYANSHU</v>
      </c>
      <c r="G2891" s="5" t="s">
        <v>25</v>
      </c>
      <c r="H2891" s="5" t="s">
        <v>25</v>
      </c>
      <c r="I2891" s="5" t="s">
        <v>25</v>
      </c>
      <c r="J2891" s="5" t="s">
        <v>25</v>
      </c>
      <c r="K2891" s="7" t="str">
        <f>VLOOKUP(A2891,Sheet2!$A$2:$R$3432,6,0)</f>
        <v>TVS Jupiter </v>
      </c>
      <c r="L2891" s="5" t="s">
        <v>25</v>
      </c>
      <c r="M2891" s="7" t="str">
        <f>VLOOKUP(A2891,Sheet2!$A$2:$R$3432,5,0)</f>
        <v>MH12PP3426</v>
      </c>
      <c r="N2891" s="5" t="s">
        <v>25</v>
      </c>
      <c r="O2891" s="5" t="s">
        <v>25</v>
      </c>
      <c r="P2891" s="6" t="s">
        <v>25</v>
      </c>
      <c r="Q2891" s="5" t="s">
        <v>25</v>
      </c>
      <c r="R2891" s="5" t="s">
        <v>25</v>
      </c>
      <c r="S2891" s="7" t="str">
        <f>VLOOKUP(A2891,Sheet2!$A$2:$R$3432,18,0)</f>
        <v/>
      </c>
      <c r="T2891" s="7" t="str">
        <f>VLOOKUP(A2891,Sheet2!$A$2:$R$3432,17,0)</f>
        <v/>
      </c>
    </row>
    <row r="2892" ht="15.75" customHeight="1">
      <c r="A2892" s="3" t="s">
        <v>2915</v>
      </c>
      <c r="B2892" s="4" t="str">
        <f>VLOOKUP(A2892,Sheet2!$A$2:$R$3432,2,0)</f>
        <v>2025-03-10 19:53:42</v>
      </c>
      <c r="C2892" s="5" t="s">
        <v>25</v>
      </c>
      <c r="D2892" s="6" t="s">
        <v>25</v>
      </c>
      <c r="E2892" s="7">
        <f>VLOOKUP(A2892,Sheet2!$A$2:$R$3432,4,0)</f>
        <v>9860559871</v>
      </c>
      <c r="F2892" s="7" t="str">
        <f>VLOOKUP(A2892,Sheet2!$A$2:$R$3432,3,0)</f>
        <v>PRAJWAL </v>
      </c>
      <c r="G2892" s="5" t="s">
        <v>25</v>
      </c>
      <c r="H2892" s="5" t="s">
        <v>25</v>
      </c>
      <c r="I2892" s="5" t="s">
        <v>25</v>
      </c>
      <c r="J2892" s="5" t="s">
        <v>25</v>
      </c>
      <c r="K2892" s="7" t="str">
        <f>VLOOKUP(A2892,Sheet2!$A$2:$R$3432,6,0)</f>
        <v>TVS Apache 160 4V</v>
      </c>
      <c r="L2892" s="5" t="s">
        <v>25</v>
      </c>
      <c r="M2892" s="7" t="str">
        <f>VLOOKUP(A2892,Sheet2!$A$2:$R$3432,5,0)</f>
        <v>MH12TJ2236</v>
      </c>
      <c r="N2892" s="5" t="s">
        <v>25</v>
      </c>
      <c r="O2892" s="5" t="s">
        <v>25</v>
      </c>
      <c r="P2892" s="6" t="s">
        <v>25</v>
      </c>
      <c r="Q2892" s="5" t="s">
        <v>25</v>
      </c>
      <c r="R2892" s="5" t="s">
        <v>25</v>
      </c>
      <c r="S2892" s="5" t="str">
        <f>VLOOKUP(A2892,Sheet2!$A$2:$R$3432,18,0)</f>
        <v>GE5BM2505241</v>
      </c>
      <c r="T2892" s="7" t="str">
        <f>VLOOKUP(A2892,Sheet2!$A$2:$R$3432,17,0)</f>
        <v>MD637DE59M2B05288</v>
      </c>
    </row>
    <row r="2893" ht="15.75" customHeight="1">
      <c r="A2893" s="3" t="s">
        <v>2916</v>
      </c>
      <c r="B2893" s="4" t="str">
        <f>VLOOKUP(A2893,Sheet2!$A$2:$R$3432,2,0)</f>
        <v>2024-11-18 18:18:49</v>
      </c>
      <c r="C2893" s="5" t="s">
        <v>25</v>
      </c>
      <c r="D2893" s="6" t="s">
        <v>25</v>
      </c>
      <c r="E2893" s="7">
        <f>VLOOKUP(A2893,Sheet2!$A$2:$R$3432,4,0)</f>
        <v>9923000694</v>
      </c>
      <c r="F2893" s="7" t="str">
        <f>VLOOKUP(A2893,Sheet2!$A$2:$R$3432,3,0)</f>
        <v>JAYAANT KASAR </v>
      </c>
      <c r="G2893" s="5" t="s">
        <v>25</v>
      </c>
      <c r="H2893" s="5" t="s">
        <v>25</v>
      </c>
      <c r="I2893" s="5" t="s">
        <v>25</v>
      </c>
      <c r="J2893" s="5" t="s">
        <v>25</v>
      </c>
      <c r="K2893" s="7" t="str">
        <f>VLOOKUP(A2893,Sheet2!$A$2:$R$3432,6,0)</f>
        <v>TVS Wego </v>
      </c>
      <c r="L2893" s="5" t="s">
        <v>25</v>
      </c>
      <c r="M2893" s="7" t="str">
        <f>VLOOKUP(A2893,Sheet2!$A$2:$R$3432,5,0)</f>
        <v>MH12JH8828</v>
      </c>
      <c r="N2893" s="5" t="s">
        <v>25</v>
      </c>
      <c r="O2893" s="5" t="s">
        <v>25</v>
      </c>
      <c r="P2893" s="6" t="s">
        <v>25</v>
      </c>
      <c r="Q2893" s="5" t="s">
        <v>25</v>
      </c>
      <c r="R2893" s="5" t="s">
        <v>25</v>
      </c>
      <c r="S2893" s="7" t="str">
        <f>VLOOKUP(A2893,Sheet2!$A$2:$R$3432,18,0)</f>
        <v/>
      </c>
      <c r="T2893" s="7" t="str">
        <f>VLOOKUP(A2893,Sheet2!$A$2:$R$3432,17,0)</f>
        <v/>
      </c>
    </row>
    <row r="2894" ht="15.75" customHeight="1">
      <c r="A2894" s="3" t="s">
        <v>2917</v>
      </c>
      <c r="B2894" s="4" t="str">
        <f>VLOOKUP(A2894,Sheet2!$A$2:$R$3432,2,0)</f>
        <v>2024-11-18 18:19:08</v>
      </c>
      <c r="C2894" s="5" t="s">
        <v>25</v>
      </c>
      <c r="D2894" s="6" t="s">
        <v>25</v>
      </c>
      <c r="E2894" s="7">
        <f>VLOOKUP(A2894,Sheet2!$A$2:$R$3432,4,0)</f>
        <v>7387357272</v>
      </c>
      <c r="F2894" s="7" t="str">
        <f>VLOOKUP(A2894,Sheet2!$A$2:$R$3432,3,0)</f>
        <v>Pratik Patil</v>
      </c>
      <c r="G2894" s="5" t="s">
        <v>25</v>
      </c>
      <c r="H2894" s="5" t="s">
        <v>25</v>
      </c>
      <c r="I2894" s="5" t="s">
        <v>25</v>
      </c>
      <c r="J2894" s="5" t="s">
        <v>25</v>
      </c>
      <c r="K2894" s="7" t="str">
        <f>VLOOKUP(A2894,Sheet2!$A$2:$R$3432,6,0)</f>
        <v>Suzuki Access  125 BS6</v>
      </c>
      <c r="L2894" s="5" t="s">
        <v>25</v>
      </c>
      <c r="M2894" s="7" t="str">
        <f>VLOOKUP(A2894,Sheet2!$A$2:$R$3432,5,0)</f>
        <v>MH14KE0768</v>
      </c>
      <c r="N2894" s="5" t="s">
        <v>25</v>
      </c>
      <c r="O2894" s="5" t="s">
        <v>25</v>
      </c>
      <c r="P2894" s="6" t="s">
        <v>25</v>
      </c>
      <c r="Q2894" s="5" t="s">
        <v>25</v>
      </c>
      <c r="R2894" s="5" t="s">
        <v>25</v>
      </c>
      <c r="S2894" s="5" t="str">
        <f>VLOOKUP(A2894,Sheet2!$A$2:$R$3432,18,0)</f>
        <v>AF217078080</v>
      </c>
      <c r="T2894" s="7" t="str">
        <f>VLOOKUP(A2894,Sheet2!$A$2:$R$3432,17,0)</f>
        <v>MB8DP12DFDFN8B87647</v>
      </c>
    </row>
    <row r="2895" ht="15.75" customHeight="1">
      <c r="A2895" s="3" t="s">
        <v>2918</v>
      </c>
      <c r="B2895" s="4" t="str">
        <f>VLOOKUP(A2895,Sheet2!$A$2:$R$3432,2,0)</f>
        <v>2024-10-31 14:53:18</v>
      </c>
      <c r="C2895" s="5" t="s">
        <v>25</v>
      </c>
      <c r="D2895" s="6" t="s">
        <v>25</v>
      </c>
      <c r="E2895" s="7">
        <f>VLOOKUP(A2895,Sheet2!$A$2:$R$3432,4,0)</f>
        <v>8928219052</v>
      </c>
      <c r="F2895" s="7" t="str">
        <f>VLOOKUP(A2895,Sheet2!$A$2:$R$3432,3,0)</f>
        <v>KRISHNA </v>
      </c>
      <c r="G2895" s="5" t="s">
        <v>25</v>
      </c>
      <c r="H2895" s="5" t="s">
        <v>25</v>
      </c>
      <c r="I2895" s="5" t="s">
        <v>25</v>
      </c>
      <c r="J2895" s="5" t="s">
        <v>25</v>
      </c>
      <c r="K2895" s="7" t="str">
        <f>VLOOKUP(A2895,Sheet2!$A$2:$R$3432,6,0)</f>
        <v>Royal Enfield Classic 350</v>
      </c>
      <c r="L2895" s="5" t="s">
        <v>25</v>
      </c>
      <c r="M2895" s="7" t="str">
        <f>VLOOKUP(A2895,Sheet2!$A$2:$R$3432,5,0)</f>
        <v>MH12PB2533</v>
      </c>
      <c r="N2895" s="5" t="s">
        <v>25</v>
      </c>
      <c r="O2895" s="5" t="s">
        <v>25</v>
      </c>
      <c r="P2895" s="6" t="s">
        <v>25</v>
      </c>
      <c r="Q2895" s="5" t="s">
        <v>25</v>
      </c>
      <c r="R2895" s="5" t="s">
        <v>25</v>
      </c>
      <c r="S2895" s="5" t="str">
        <f>VLOOKUP(A2895,Sheet2!$A$2:$R$3432,18,0)</f>
        <v>U3S5C0HA232932</v>
      </c>
      <c r="T2895" s="7" t="str">
        <f>VLOOKUP(A2895,Sheet2!$A$2:$R$3432,17,0)</f>
        <v>ME3U385C1HA053088</v>
      </c>
    </row>
    <row r="2896" ht="15.75" customHeight="1">
      <c r="A2896" s="3" t="s">
        <v>2919</v>
      </c>
      <c r="B2896" s="4" t="str">
        <f>VLOOKUP(A2896,Sheet2!$A$2:$R$3432,2,0)</f>
        <v>2025-03-29 19:48:39</v>
      </c>
      <c r="C2896" s="5" t="s">
        <v>25</v>
      </c>
      <c r="D2896" s="6" t="s">
        <v>25</v>
      </c>
      <c r="E2896" s="7">
        <f>VLOOKUP(A2896,Sheet2!$A$2:$R$3432,4,0)</f>
        <v>7875049110</v>
      </c>
      <c r="F2896" s="7" t="str">
        <f>VLOOKUP(A2896,Sheet2!$A$2:$R$3432,3,0)</f>
        <v>Rishikesh </v>
      </c>
      <c r="G2896" s="5" t="s">
        <v>25</v>
      </c>
      <c r="H2896" s="5" t="s">
        <v>25</v>
      </c>
      <c r="I2896" s="5" t="s">
        <v>25</v>
      </c>
      <c r="J2896" s="5" t="s">
        <v>25</v>
      </c>
      <c r="K2896" s="7" t="str">
        <f>VLOOKUP(A2896,Sheet2!$A$2:$R$3432,6,0)</f>
        <v>Honda Shine </v>
      </c>
      <c r="L2896" s="5" t="s">
        <v>25</v>
      </c>
      <c r="M2896" s="7" t="str">
        <f>VLOOKUP(A2896,Sheet2!$A$2:$R$3432,5,0)</f>
        <v>MH41M6062</v>
      </c>
      <c r="N2896" s="5" t="s">
        <v>25</v>
      </c>
      <c r="O2896" s="5" t="s">
        <v>25</v>
      </c>
      <c r="P2896" s="6" t="s">
        <v>25</v>
      </c>
      <c r="Q2896" s="5" t="s">
        <v>25</v>
      </c>
      <c r="R2896" s="5" t="s">
        <v>25</v>
      </c>
      <c r="S2896" s="7" t="str">
        <f>VLOOKUP(A2896,Sheet2!$A$2:$R$3432,18,0)</f>
        <v/>
      </c>
      <c r="T2896" s="7" t="str">
        <f>VLOOKUP(A2896,Sheet2!$A$2:$R$3432,17,0)</f>
        <v/>
      </c>
    </row>
    <row r="2897" ht="15.75" customHeight="1">
      <c r="A2897" s="3" t="s">
        <v>2920</v>
      </c>
      <c r="B2897" s="4" t="str">
        <f>VLOOKUP(A2897,Sheet2!$A$2:$R$3432,2,0)</f>
        <v>2025-03-29 19:44:21</v>
      </c>
      <c r="C2897" s="5" t="s">
        <v>25</v>
      </c>
      <c r="D2897" s="6" t="s">
        <v>25</v>
      </c>
      <c r="E2897" s="7">
        <f>VLOOKUP(A2897,Sheet2!$A$2:$R$3432,4,0)</f>
        <v>9405524675</v>
      </c>
      <c r="F2897" s="7" t="str">
        <f>VLOOKUP(A2897,Sheet2!$A$2:$R$3432,3,0)</f>
        <v>Ashish Patil</v>
      </c>
      <c r="G2897" s="5" t="s">
        <v>25</v>
      </c>
      <c r="H2897" s="5" t="s">
        <v>25</v>
      </c>
      <c r="I2897" s="5" t="s">
        <v>25</v>
      </c>
      <c r="J2897" s="5" t="s">
        <v>25</v>
      </c>
      <c r="K2897" s="7" t="str">
        <f>VLOOKUP(A2897,Sheet2!$A$2:$R$3432,6,0)</f>
        <v>Yamaha Fascino </v>
      </c>
      <c r="L2897" s="5" t="s">
        <v>25</v>
      </c>
      <c r="M2897" s="7" t="str">
        <f>VLOOKUP(A2897,Sheet2!$A$2:$R$3432,5,0)</f>
        <v>MH14FJ4539</v>
      </c>
      <c r="N2897" s="5" t="s">
        <v>25</v>
      </c>
      <c r="O2897" s="5" t="s">
        <v>25</v>
      </c>
      <c r="P2897" s="6" t="s">
        <v>25</v>
      </c>
      <c r="Q2897" s="5" t="s">
        <v>25</v>
      </c>
      <c r="R2897" s="5" t="s">
        <v>25</v>
      </c>
      <c r="S2897" s="5" t="str">
        <f>VLOOKUP(A2897,Sheet2!$A$2:$R$3432,18,0)</f>
        <v>JF50EW0038154</v>
      </c>
      <c r="T2897" s="7" t="str">
        <f>VLOOKUP(A2897,Sheet2!$A$2:$R$3432,17,0)</f>
        <v>ME1SE77F9F0043875</v>
      </c>
    </row>
    <row r="2898" ht="15.75" customHeight="1">
      <c r="A2898" s="3" t="s">
        <v>2921</v>
      </c>
      <c r="B2898" s="4" t="str">
        <f>VLOOKUP(A2898,Sheet2!$A$2:$R$3432,2,0)</f>
        <v>2025-03-29 19:46:12</v>
      </c>
      <c r="C2898" s="5" t="s">
        <v>25</v>
      </c>
      <c r="D2898" s="6" t="s">
        <v>25</v>
      </c>
      <c r="E2898" s="7">
        <f>VLOOKUP(A2898,Sheet2!$A$2:$R$3432,4,0)</f>
        <v>9158811122</v>
      </c>
      <c r="F2898" s="7" t="str">
        <f>VLOOKUP(A2898,Sheet2!$A$2:$R$3432,3,0)</f>
        <v>Varun Rajwade</v>
      </c>
      <c r="G2898" s="5" t="s">
        <v>25</v>
      </c>
      <c r="H2898" s="5" t="s">
        <v>25</v>
      </c>
      <c r="I2898" s="5" t="s">
        <v>25</v>
      </c>
      <c r="J2898" s="5" t="s">
        <v>25</v>
      </c>
      <c r="K2898" s="7" t="str">
        <f>VLOOKUP(A2898,Sheet2!$A$2:$R$3432,6,0)</f>
        <v>Hero CBZ Extreme</v>
      </c>
      <c r="L2898" s="5" t="s">
        <v>25</v>
      </c>
      <c r="M2898" s="7" t="str">
        <f>VLOOKUP(A2898,Sheet2!$A$2:$R$3432,5,0)</f>
        <v>MH12FQ9578</v>
      </c>
      <c r="N2898" s="5" t="s">
        <v>25</v>
      </c>
      <c r="O2898" s="5" t="s">
        <v>25</v>
      </c>
      <c r="P2898" s="6" t="s">
        <v>25</v>
      </c>
      <c r="Q2898" s="5" t="s">
        <v>25</v>
      </c>
      <c r="R2898" s="5" t="s">
        <v>25</v>
      </c>
      <c r="S2898" s="5" t="str">
        <f>VLOOKUP(A2898,Sheet2!$A$2:$R$3432,18,0)</f>
        <v>KC12EB9GH09502</v>
      </c>
      <c r="T2898" s="7" t="str">
        <f>VLOOKUP(A2898,Sheet2!$A$2:$R$3432,17,0)</f>
        <v>MBLKC12EC9GH09615</v>
      </c>
    </row>
    <row r="2899" ht="15.75" customHeight="1">
      <c r="A2899" s="3" t="s">
        <v>2922</v>
      </c>
      <c r="B2899" s="4" t="str">
        <f>VLOOKUP(A2899,Sheet2!$A$2:$R$3432,2,0)</f>
        <v>2025-03-29 19:42:26</v>
      </c>
      <c r="C2899" s="5" t="s">
        <v>25</v>
      </c>
      <c r="D2899" s="6" t="s">
        <v>25</v>
      </c>
      <c r="E2899" s="7">
        <f>VLOOKUP(A2899,Sheet2!$A$2:$R$3432,4,0)</f>
        <v>9713468899</v>
      </c>
      <c r="F2899" s="7" t="str">
        <f>VLOOKUP(A2899,Sheet2!$A$2:$R$3432,3,0)</f>
        <v>Vaibhav Solanki</v>
      </c>
      <c r="G2899" s="5" t="s">
        <v>25</v>
      </c>
      <c r="H2899" s="5" t="s">
        <v>25</v>
      </c>
      <c r="I2899" s="5" t="s">
        <v>25</v>
      </c>
      <c r="J2899" s="5" t="s">
        <v>25</v>
      </c>
      <c r="K2899" s="7" t="str">
        <f>VLOOKUP(A2899,Sheet2!$A$2:$R$3432,6,0)</f>
        <v>Suzuki Gixxer </v>
      </c>
      <c r="L2899" s="5" t="s">
        <v>25</v>
      </c>
      <c r="M2899" s="7" t="str">
        <f>VLOOKUP(A2899,Sheet2!$A$2:$R$3432,5,0)</f>
        <v>MH14GF3625</v>
      </c>
      <c r="N2899" s="5" t="s">
        <v>25</v>
      </c>
      <c r="O2899" s="5" t="s">
        <v>25</v>
      </c>
      <c r="P2899" s="6" t="s">
        <v>25</v>
      </c>
      <c r="Q2899" s="5" t="s">
        <v>25</v>
      </c>
      <c r="R2899" s="5" t="s">
        <v>25</v>
      </c>
      <c r="S2899" s="5" t="str">
        <f>VLOOKUP(A2899,Sheet2!$A$2:$R$3432,18,0)</f>
        <v>BGA1367533</v>
      </c>
      <c r="T2899" s="7" t="str">
        <f>VLOOKUP(A2899,Sheet2!$A$2:$R$3432,17,0)</f>
        <v>MB8NG4BABH8300562</v>
      </c>
    </row>
    <row r="2900" ht="15.75" customHeight="1">
      <c r="A2900" s="3" t="s">
        <v>2923</v>
      </c>
      <c r="B2900" s="4" t="str">
        <f>VLOOKUP(A2900,Sheet2!$A$2:$R$3432,2,0)</f>
        <v>2025-03-29 19:25:55</v>
      </c>
      <c r="C2900" s="5" t="s">
        <v>25</v>
      </c>
      <c r="D2900" s="6" t="s">
        <v>25</v>
      </c>
      <c r="E2900" s="7">
        <f>VLOOKUP(A2900,Sheet2!$A$2:$R$3432,4,0)</f>
        <v>9665718986</v>
      </c>
      <c r="F2900" s="7" t="str">
        <f>VLOOKUP(A2900,Sheet2!$A$2:$R$3432,3,0)</f>
        <v>SAGAR</v>
      </c>
      <c r="G2900" s="5" t="s">
        <v>25</v>
      </c>
      <c r="H2900" s="5" t="s">
        <v>25</v>
      </c>
      <c r="I2900" s="5" t="s">
        <v>25</v>
      </c>
      <c r="J2900" s="5" t="s">
        <v>25</v>
      </c>
      <c r="K2900" s="7" t="str">
        <f>VLOOKUP(A2900,Sheet2!$A$2:$R$3432,6,0)</f>
        <v>Suzuki Access  125 BS6</v>
      </c>
      <c r="L2900" s="5" t="s">
        <v>25</v>
      </c>
      <c r="M2900" s="7" t="str">
        <f>VLOOKUP(A2900,Sheet2!$A$2:$R$3432,5,0)</f>
        <v>MH12TQ3622</v>
      </c>
      <c r="N2900" s="5" t="s">
        <v>25</v>
      </c>
      <c r="O2900" s="5" t="s">
        <v>25</v>
      </c>
      <c r="P2900" s="6" t="s">
        <v>25</v>
      </c>
      <c r="Q2900" s="5" t="s">
        <v>25</v>
      </c>
      <c r="R2900" s="5" t="s">
        <v>25</v>
      </c>
      <c r="S2900" s="7" t="str">
        <f>VLOOKUP(A2900,Sheet2!$A$2:$R$3432,18,0)</f>
        <v/>
      </c>
      <c r="T2900" s="7" t="str">
        <f>VLOOKUP(A2900,Sheet2!$A$2:$R$3432,17,0)</f>
        <v/>
      </c>
    </row>
    <row r="2901" ht="15.75" customHeight="1">
      <c r="A2901" s="3" t="s">
        <v>2924</v>
      </c>
      <c r="B2901" s="4" t="str">
        <f>VLOOKUP(A2901,Sheet2!$A$2:$R$3432,2,0)</f>
        <v>2025-03-29 19:42:01</v>
      </c>
      <c r="C2901" s="5" t="s">
        <v>25</v>
      </c>
      <c r="D2901" s="6" t="s">
        <v>25</v>
      </c>
      <c r="E2901" s="7">
        <f>VLOOKUP(A2901,Sheet2!$A$2:$R$3432,4,0)</f>
        <v>9921999931</v>
      </c>
      <c r="F2901" s="7" t="str">
        <f>VLOOKUP(A2901,Sheet2!$A$2:$R$3432,3,0)</f>
        <v>PRATIK GANDHI</v>
      </c>
      <c r="G2901" s="5" t="s">
        <v>25</v>
      </c>
      <c r="H2901" s="5" t="s">
        <v>25</v>
      </c>
      <c r="I2901" s="5" t="s">
        <v>25</v>
      </c>
      <c r="J2901" s="5" t="s">
        <v>25</v>
      </c>
      <c r="K2901" s="7" t="str">
        <f>VLOOKUP(A2901,Sheet2!$A$2:$R$3432,6,0)</f>
        <v>Piaggio Vespa </v>
      </c>
      <c r="L2901" s="5" t="s">
        <v>25</v>
      </c>
      <c r="M2901" s="7" t="str">
        <f>VLOOKUP(A2901,Sheet2!$A$2:$R$3432,5,0)</f>
        <v>MH14EE4261</v>
      </c>
      <c r="N2901" s="5" t="s">
        <v>25</v>
      </c>
      <c r="O2901" s="5" t="s">
        <v>25</v>
      </c>
      <c r="P2901" s="6" t="s">
        <v>25</v>
      </c>
      <c r="Q2901" s="5" t="s">
        <v>25</v>
      </c>
      <c r="R2901" s="5" t="s">
        <v>25</v>
      </c>
      <c r="S2901" s="7" t="str">
        <f>VLOOKUP(A2901,Sheet2!$A$2:$R$3432,18,0)</f>
        <v/>
      </c>
      <c r="T2901" s="7" t="str">
        <f>VLOOKUP(A2901,Sheet2!$A$2:$R$3432,17,0)</f>
        <v/>
      </c>
    </row>
    <row r="2902" ht="15.75" customHeight="1">
      <c r="A2902" s="3" t="s">
        <v>2925</v>
      </c>
      <c r="B2902" s="4" t="str">
        <f>VLOOKUP(A2902,Sheet2!$A$2:$R$3432,2,0)</f>
        <v>2025-03-29 19:37:58</v>
      </c>
      <c r="C2902" s="5" t="s">
        <v>25</v>
      </c>
      <c r="D2902" s="6" t="s">
        <v>25</v>
      </c>
      <c r="E2902" s="7">
        <f>VLOOKUP(A2902,Sheet2!$A$2:$R$3432,4,0)</f>
        <v>8888940974</v>
      </c>
      <c r="F2902" s="7" t="str">
        <f>VLOOKUP(A2902,Sheet2!$A$2:$R$3432,3,0)</f>
        <v>Satyajit Shinde </v>
      </c>
      <c r="G2902" s="5" t="s">
        <v>25</v>
      </c>
      <c r="H2902" s="5" t="s">
        <v>25</v>
      </c>
      <c r="I2902" s="5" t="s">
        <v>25</v>
      </c>
      <c r="J2902" s="5" t="s">
        <v>25</v>
      </c>
      <c r="K2902" s="7" t="str">
        <f>VLOOKUP(A2902,Sheet2!$A$2:$R$3432,6,0)</f>
        <v>Hero Splendor Plus</v>
      </c>
      <c r="L2902" s="5" t="s">
        <v>25</v>
      </c>
      <c r="M2902" s="7" t="str">
        <f>VLOOKUP(A2902,Sheet2!$A$2:$R$3432,5,0)</f>
        <v>MH09FR7672</v>
      </c>
      <c r="N2902" s="5" t="s">
        <v>25</v>
      </c>
      <c r="O2902" s="5" t="s">
        <v>25</v>
      </c>
      <c r="P2902" s="6" t="s">
        <v>25</v>
      </c>
      <c r="Q2902" s="5" t="s">
        <v>25</v>
      </c>
      <c r="R2902" s="5" t="s">
        <v>25</v>
      </c>
      <c r="S2902" s="7" t="str">
        <f>VLOOKUP(A2902,Sheet2!$A$2:$R$3432,18,0)</f>
        <v/>
      </c>
      <c r="T2902" s="7" t="str">
        <f>VLOOKUP(A2902,Sheet2!$A$2:$R$3432,17,0)</f>
        <v/>
      </c>
    </row>
    <row r="2903" ht="15.75" customHeight="1">
      <c r="A2903" s="3" t="s">
        <v>2926</v>
      </c>
      <c r="B2903" s="4" t="str">
        <f>VLOOKUP(A2903,Sheet2!$A$2:$R$3432,2,0)</f>
        <v>2025-03-29 19:44:48</v>
      </c>
      <c r="C2903" s="5" t="s">
        <v>25</v>
      </c>
      <c r="D2903" s="6" t="s">
        <v>25</v>
      </c>
      <c r="E2903" s="7">
        <f>VLOOKUP(A2903,Sheet2!$A$2:$R$3432,4,0)</f>
        <v>9730035656</v>
      </c>
      <c r="F2903" s="7" t="str">
        <f>VLOOKUP(A2903,Sheet2!$A$2:$R$3432,3,0)</f>
        <v>Supekar</v>
      </c>
      <c r="G2903" s="5" t="s">
        <v>25</v>
      </c>
      <c r="H2903" s="5" t="s">
        <v>25</v>
      </c>
      <c r="I2903" s="5" t="s">
        <v>25</v>
      </c>
      <c r="J2903" s="5" t="s">
        <v>25</v>
      </c>
      <c r="K2903" s="7" t="str">
        <f>VLOOKUP(A2903,Sheet2!$A$2:$R$3432,6,0)</f>
        <v>Honda Activa </v>
      </c>
      <c r="L2903" s="5" t="s">
        <v>25</v>
      </c>
      <c r="M2903" s="7" t="str">
        <f>VLOOKUP(A2903,Sheet2!$A$2:$R$3432,5,0)</f>
        <v>MH12FX1198</v>
      </c>
      <c r="N2903" s="5" t="s">
        <v>25</v>
      </c>
      <c r="O2903" s="5" t="s">
        <v>25</v>
      </c>
      <c r="P2903" s="6" t="s">
        <v>25</v>
      </c>
      <c r="Q2903" s="5" t="s">
        <v>25</v>
      </c>
      <c r="R2903" s="5" t="s">
        <v>25</v>
      </c>
      <c r="S2903" s="5" t="str">
        <f>VLOOKUP(A2903,Sheet2!$A$2:$R$3432,18,0)</f>
        <v>JC44E056744</v>
      </c>
      <c r="T2903" s="7" t="str">
        <f>VLOOKUP(A2903,Sheet2!$A$2:$R$3432,17,0)</f>
        <v>ME4JC445CA8422875</v>
      </c>
    </row>
    <row r="2904" ht="15.75" customHeight="1">
      <c r="A2904" s="3" t="s">
        <v>2927</v>
      </c>
      <c r="B2904" s="4" t="str">
        <f>VLOOKUP(A2904,Sheet2!$A$2:$R$3432,2,0)</f>
        <v>2025-03-29 19:40:31</v>
      </c>
      <c r="C2904" s="5" t="s">
        <v>25</v>
      </c>
      <c r="D2904" s="6" t="s">
        <v>25</v>
      </c>
      <c r="E2904" s="7">
        <f>VLOOKUP(A2904,Sheet2!$A$2:$R$3432,4,0)</f>
        <v>9599630308</v>
      </c>
      <c r="F2904" s="7" t="str">
        <f>VLOOKUP(A2904,Sheet2!$A$2:$R$3432,3,0)</f>
        <v>Akshat</v>
      </c>
      <c r="G2904" s="5" t="s">
        <v>25</v>
      </c>
      <c r="H2904" s="5" t="s">
        <v>25</v>
      </c>
      <c r="I2904" s="5" t="s">
        <v>25</v>
      </c>
      <c r="J2904" s="5" t="s">
        <v>25</v>
      </c>
      <c r="K2904" s="7" t="str">
        <f>VLOOKUP(A2904,Sheet2!$A$2:$R$3432,6,0)</f>
        <v>Honda Activa 6G</v>
      </c>
      <c r="L2904" s="5" t="s">
        <v>25</v>
      </c>
      <c r="M2904" s="7" t="str">
        <f>VLOOKUP(A2904,Sheet2!$A$2:$R$3432,5,0)</f>
        <v>MH12VE8009</v>
      </c>
      <c r="N2904" s="5" t="s">
        <v>25</v>
      </c>
      <c r="O2904" s="5" t="s">
        <v>25</v>
      </c>
      <c r="P2904" s="6" t="s">
        <v>25</v>
      </c>
      <c r="Q2904" s="5" t="s">
        <v>25</v>
      </c>
      <c r="R2904" s="5" t="s">
        <v>25</v>
      </c>
      <c r="S2904" s="7" t="str">
        <f>VLOOKUP(A2904,Sheet2!$A$2:$R$3432,18,0)</f>
        <v/>
      </c>
      <c r="T2904" s="7" t="str">
        <f>VLOOKUP(A2904,Sheet2!$A$2:$R$3432,17,0)</f>
        <v/>
      </c>
    </row>
    <row r="2905" ht="15.75" customHeight="1">
      <c r="A2905" s="3" t="s">
        <v>2928</v>
      </c>
      <c r="B2905" s="4" t="str">
        <f>VLOOKUP(A2905,Sheet2!$A$2:$R$3432,2,0)</f>
        <v>2025-03-29 19:49:13</v>
      </c>
      <c r="C2905" s="5" t="s">
        <v>25</v>
      </c>
      <c r="D2905" s="6" t="s">
        <v>25</v>
      </c>
      <c r="E2905" s="7">
        <f>VLOOKUP(A2905,Sheet2!$A$2:$R$3432,4,0)</f>
        <v>9975141414</v>
      </c>
      <c r="F2905" s="7" t="str">
        <f>VLOOKUP(A2905,Sheet2!$A$2:$R$3432,3,0)</f>
        <v>DEEPAK MEHETRE</v>
      </c>
      <c r="G2905" s="5" t="s">
        <v>25</v>
      </c>
      <c r="H2905" s="5" t="s">
        <v>25</v>
      </c>
      <c r="I2905" s="5" t="s">
        <v>25</v>
      </c>
      <c r="J2905" s="5" t="s">
        <v>25</v>
      </c>
      <c r="K2905" s="7" t="str">
        <f>VLOOKUP(A2905,Sheet2!$A$2:$R$3432,6,0)</f>
        <v>Honda Activa 5G</v>
      </c>
      <c r="L2905" s="5" t="s">
        <v>25</v>
      </c>
      <c r="M2905" s="7" t="str">
        <f>VLOOKUP(A2905,Sheet2!$A$2:$R$3432,5,0)</f>
        <v>MH14HJ6645</v>
      </c>
      <c r="N2905" s="5" t="s">
        <v>25</v>
      </c>
      <c r="O2905" s="5" t="s">
        <v>25</v>
      </c>
      <c r="P2905" s="6" t="s">
        <v>25</v>
      </c>
      <c r="Q2905" s="5" t="s">
        <v>25</v>
      </c>
      <c r="R2905" s="5" t="s">
        <v>25</v>
      </c>
      <c r="S2905" s="5" t="str">
        <f>VLOOKUP(A2905,Sheet2!$A$2:$R$3432,18,0)</f>
        <v>JF50E77290752</v>
      </c>
      <c r="T2905" s="7" t="str">
        <f>VLOOKUP(A2905,Sheet2!$A$2:$R$3432,17,0)</f>
        <v>ME4JF50AM7290721</v>
      </c>
    </row>
    <row r="2906" ht="15.75" customHeight="1">
      <c r="A2906" s="3" t="s">
        <v>2929</v>
      </c>
      <c r="B2906" s="4" t="str">
        <f>VLOOKUP(A2906,Sheet2!$A$2:$R$3432,2,0)</f>
        <v>2025-03-29 20:02:40</v>
      </c>
      <c r="C2906" s="5" t="s">
        <v>25</v>
      </c>
      <c r="D2906" s="6" t="s">
        <v>25</v>
      </c>
      <c r="E2906" s="7">
        <f>VLOOKUP(A2906,Sheet2!$A$2:$R$3432,4,0)</f>
        <v>7798488880</v>
      </c>
      <c r="F2906" s="7" t="str">
        <f>VLOOKUP(A2906,Sheet2!$A$2:$R$3432,3,0)</f>
        <v>Shivam Thakre</v>
      </c>
      <c r="G2906" s="5" t="s">
        <v>25</v>
      </c>
      <c r="H2906" s="5" t="s">
        <v>25</v>
      </c>
      <c r="I2906" s="5" t="s">
        <v>25</v>
      </c>
      <c r="J2906" s="5" t="s">
        <v>25</v>
      </c>
      <c r="K2906" s="7" t="str">
        <f>VLOOKUP(A2906,Sheet2!$A$2:$R$3432,6,0)</f>
        <v>Bajaj Pulsar 200 RS</v>
      </c>
      <c r="L2906" s="5" t="s">
        <v>25</v>
      </c>
      <c r="M2906" s="7" t="str">
        <f>VLOOKUP(A2906,Sheet2!$A$2:$R$3432,5,0)</f>
        <v>MH31EX3781</v>
      </c>
      <c r="N2906" s="5" t="s">
        <v>25</v>
      </c>
      <c r="O2906" s="5" t="s">
        <v>25</v>
      </c>
      <c r="P2906" s="6" t="s">
        <v>25</v>
      </c>
      <c r="Q2906" s="5" t="s">
        <v>25</v>
      </c>
      <c r="R2906" s="5" t="s">
        <v>25</v>
      </c>
      <c r="S2906" s="7" t="str">
        <f>VLOOKUP(A2906,Sheet2!$A$2:$R$3432,18,0)</f>
        <v/>
      </c>
      <c r="T2906" s="7" t="str">
        <f>VLOOKUP(A2906,Sheet2!$A$2:$R$3432,17,0)</f>
        <v/>
      </c>
    </row>
    <row r="2907" ht="15.75" customHeight="1">
      <c r="A2907" s="3" t="s">
        <v>2930</v>
      </c>
      <c r="B2907" s="4" t="str">
        <f>VLOOKUP(A2907,Sheet2!$A$2:$R$3432,2,0)</f>
        <v>2025-03-29 20:01:22</v>
      </c>
      <c r="C2907" s="5" t="s">
        <v>25</v>
      </c>
      <c r="D2907" s="6" t="s">
        <v>25</v>
      </c>
      <c r="E2907" s="7">
        <f>VLOOKUP(A2907,Sheet2!$A$2:$R$3432,4,0)</f>
        <v>7058489192</v>
      </c>
      <c r="F2907" s="7" t="str">
        <f>VLOOKUP(A2907,Sheet2!$A$2:$R$3432,3,0)</f>
        <v>S KUMAR </v>
      </c>
      <c r="G2907" s="5" t="s">
        <v>25</v>
      </c>
      <c r="H2907" s="5" t="s">
        <v>25</v>
      </c>
      <c r="I2907" s="5" t="s">
        <v>25</v>
      </c>
      <c r="J2907" s="5" t="s">
        <v>25</v>
      </c>
      <c r="K2907" s="7" t="str">
        <f>VLOOKUP(A2907,Sheet2!$A$2:$R$3432,6,0)</f>
        <v>Honda Activa 4G</v>
      </c>
      <c r="L2907" s="5" t="s">
        <v>25</v>
      </c>
      <c r="M2907" s="7" t="str">
        <f>VLOOKUP(A2907,Sheet2!$A$2:$R$3432,5,0)</f>
        <v>MH14GR0989</v>
      </c>
      <c r="N2907" s="5" t="s">
        <v>25</v>
      </c>
      <c r="O2907" s="5" t="s">
        <v>25</v>
      </c>
      <c r="P2907" s="6" t="s">
        <v>25</v>
      </c>
      <c r="Q2907" s="5" t="s">
        <v>25</v>
      </c>
      <c r="R2907" s="5" t="s">
        <v>25</v>
      </c>
      <c r="S2907" s="5" t="str">
        <f>VLOOKUP(A2907,Sheet2!$A$2:$R$3432,18,0)</f>
        <v>JF50EU5668706</v>
      </c>
      <c r="T2907" s="7" t="str">
        <f>VLOOKUP(A2907,Sheet2!$A$2:$R$3432,17,0)</f>
        <v>ME4JF507LHU66866</v>
      </c>
    </row>
    <row r="2908" ht="15.75" customHeight="1">
      <c r="A2908" s="3" t="s">
        <v>2931</v>
      </c>
      <c r="B2908" s="4" t="str">
        <f>VLOOKUP(A2908,Sheet2!$A$2:$R$3432,2,0)</f>
        <v>2025-03-29 20:28:22</v>
      </c>
      <c r="C2908" s="5" t="s">
        <v>25</v>
      </c>
      <c r="D2908" s="6" t="s">
        <v>25</v>
      </c>
      <c r="E2908" s="7">
        <f>VLOOKUP(A2908,Sheet2!$A$2:$R$3432,4,0)</f>
        <v>8805034994</v>
      </c>
      <c r="F2908" s="7" t="str">
        <f>VLOOKUP(A2908,Sheet2!$A$2:$R$3432,3,0)</f>
        <v>GAYATRI SONI</v>
      </c>
      <c r="G2908" s="5" t="s">
        <v>25</v>
      </c>
      <c r="H2908" s="5" t="s">
        <v>25</v>
      </c>
      <c r="I2908" s="5" t="s">
        <v>25</v>
      </c>
      <c r="J2908" s="5" t="s">
        <v>25</v>
      </c>
      <c r="K2908" s="7" t="str">
        <f>VLOOKUP(A2908,Sheet2!$A$2:$R$3432,6,0)</f>
        <v>Honda Activa 6G</v>
      </c>
      <c r="L2908" s="5" t="s">
        <v>25</v>
      </c>
      <c r="M2908" s="7" t="str">
        <f>VLOOKUP(A2908,Sheet2!$A$2:$R$3432,5,0)</f>
        <v>MH14KG1653</v>
      </c>
      <c r="N2908" s="5" t="s">
        <v>25</v>
      </c>
      <c r="O2908" s="5" t="s">
        <v>25</v>
      </c>
      <c r="P2908" s="6" t="s">
        <v>25</v>
      </c>
      <c r="Q2908" s="5" t="s">
        <v>25</v>
      </c>
      <c r="R2908" s="5" t="s">
        <v>25</v>
      </c>
      <c r="S2908" s="5" t="str">
        <f>VLOOKUP(A2908,Sheet2!$A$2:$R$3432,18,0)</f>
        <v>JF91EW7308698</v>
      </c>
      <c r="T2908" s="7" t="str">
        <f>VLOOKUP(A2908,Sheet2!$A$2:$R$3432,17,0)</f>
        <v>ME4JF91461W308655</v>
      </c>
    </row>
    <row r="2909" ht="15.75" customHeight="1">
      <c r="A2909" s="3" t="s">
        <v>2932</v>
      </c>
      <c r="B2909" s="4" t="str">
        <f>VLOOKUP(A2909,Sheet2!$A$2:$R$3432,2,0)</f>
        <v>2025-03-29 20:30:16</v>
      </c>
      <c r="C2909" s="5" t="s">
        <v>25</v>
      </c>
      <c r="D2909" s="6" t="s">
        <v>25</v>
      </c>
      <c r="E2909" s="7">
        <f>VLOOKUP(A2909,Sheet2!$A$2:$R$3432,4,0)</f>
        <v>9168712211</v>
      </c>
      <c r="F2909" s="7" t="str">
        <f>VLOOKUP(A2909,Sheet2!$A$2:$R$3432,3,0)</f>
        <v>Kulkarni </v>
      </c>
      <c r="G2909" s="5" t="s">
        <v>25</v>
      </c>
      <c r="H2909" s="5" t="s">
        <v>25</v>
      </c>
      <c r="I2909" s="5" t="s">
        <v>25</v>
      </c>
      <c r="J2909" s="5" t="s">
        <v>25</v>
      </c>
      <c r="K2909" s="7" t="str">
        <f>VLOOKUP(A2909,Sheet2!$A$2:$R$3432,6,0)</f>
        <v>TVS Wego </v>
      </c>
      <c r="L2909" s="5" t="s">
        <v>25</v>
      </c>
      <c r="M2909" s="7" t="str">
        <f>VLOOKUP(A2909,Sheet2!$A$2:$R$3432,5,0)</f>
        <v>MH14ER5831</v>
      </c>
      <c r="N2909" s="5" t="s">
        <v>25</v>
      </c>
      <c r="O2909" s="5" t="s">
        <v>25</v>
      </c>
      <c r="P2909" s="6" t="s">
        <v>25</v>
      </c>
      <c r="Q2909" s="5" t="s">
        <v>25</v>
      </c>
      <c r="R2909" s="5" t="s">
        <v>25</v>
      </c>
      <c r="S2909" s="7" t="str">
        <f>VLOOKUP(A2909,Sheet2!$A$2:$R$3432,18,0)</f>
        <v/>
      </c>
      <c r="T2909" s="7" t="str">
        <f>VLOOKUP(A2909,Sheet2!$A$2:$R$3432,17,0)</f>
        <v/>
      </c>
    </row>
    <row r="2910" ht="15.75" customHeight="1">
      <c r="A2910" s="3" t="s">
        <v>2933</v>
      </c>
      <c r="B2910" s="4" t="str">
        <f>VLOOKUP(A2910,Sheet2!$A$2:$R$3432,2,0)</f>
        <v>2025-03-29 21:00:59</v>
      </c>
      <c r="C2910" s="5" t="s">
        <v>25</v>
      </c>
      <c r="D2910" s="6" t="s">
        <v>25</v>
      </c>
      <c r="E2910" s="7">
        <f>VLOOKUP(A2910,Sheet2!$A$2:$R$3432,4,0)</f>
        <v>9850381118</v>
      </c>
      <c r="F2910" s="7" t="str">
        <f>VLOOKUP(A2910,Sheet2!$A$2:$R$3432,3,0)</f>
        <v>DEEPAK LONE</v>
      </c>
      <c r="G2910" s="5" t="s">
        <v>25</v>
      </c>
      <c r="H2910" s="5" t="s">
        <v>25</v>
      </c>
      <c r="I2910" s="5" t="s">
        <v>25</v>
      </c>
      <c r="J2910" s="5" t="s">
        <v>25</v>
      </c>
      <c r="K2910" s="7" t="str">
        <f>VLOOKUP(A2910,Sheet2!$A$2:$R$3432,6,0)</f>
        <v>Bajaj Avenger 220 Cruise</v>
      </c>
      <c r="L2910" s="5" t="s">
        <v>25</v>
      </c>
      <c r="M2910" s="7" t="str">
        <f>VLOOKUP(A2910,Sheet2!$A$2:$R$3432,5,0)</f>
        <v>MH09EA0611</v>
      </c>
      <c r="N2910" s="5" t="s">
        <v>25</v>
      </c>
      <c r="O2910" s="5" t="s">
        <v>25</v>
      </c>
      <c r="P2910" s="6" t="s">
        <v>25</v>
      </c>
      <c r="Q2910" s="5" t="s">
        <v>25</v>
      </c>
      <c r="R2910" s="5" t="s">
        <v>25</v>
      </c>
      <c r="S2910" s="5" t="str">
        <f>VLOOKUP(A2910,Sheet2!$A$2:$R$3432,18,0)</f>
        <v>PDLCGM65917</v>
      </c>
      <c r="T2910" s="7" t="str">
        <f>VLOOKUP(A2910,Sheet2!$A$2:$R$3432,17,0)</f>
        <v>MD2A22EZ2GCM34010</v>
      </c>
    </row>
    <row r="2911" ht="15.75" customHeight="1">
      <c r="A2911" s="3" t="s">
        <v>2934</v>
      </c>
      <c r="B2911" s="4" t="str">
        <f>VLOOKUP(A2911,Sheet2!$A$2:$R$3432,2,0)</f>
        <v>2024-11-21 19:39:19</v>
      </c>
      <c r="C2911" s="5" t="s">
        <v>25</v>
      </c>
      <c r="D2911" s="6" t="s">
        <v>25</v>
      </c>
      <c r="E2911" s="7">
        <f>VLOOKUP(A2911,Sheet2!$A$2:$R$3432,4,0)</f>
        <v>9422082835</v>
      </c>
      <c r="F2911" s="7" t="str">
        <f>VLOOKUP(A2911,Sheet2!$A$2:$R$3432,3,0)</f>
        <v>S K Kamthe</v>
      </c>
      <c r="G2911" s="5" t="s">
        <v>25</v>
      </c>
      <c r="H2911" s="5" t="s">
        <v>25</v>
      </c>
      <c r="I2911" s="5" t="s">
        <v>25</v>
      </c>
      <c r="J2911" s="5" t="s">
        <v>25</v>
      </c>
      <c r="K2911" s="7" t="str">
        <f>VLOOKUP(A2911,Sheet2!$A$2:$R$3432,6,0)</f>
        <v>Hero Pleasure </v>
      </c>
      <c r="L2911" s="5" t="s">
        <v>25</v>
      </c>
      <c r="M2911" s="7" t="str">
        <f>VLOOKUP(A2911,Sheet2!$A$2:$R$3432,5,0)</f>
        <v>MH14BS7916</v>
      </c>
      <c r="N2911" s="5" t="s">
        <v>25</v>
      </c>
      <c r="O2911" s="5" t="s">
        <v>25</v>
      </c>
      <c r="P2911" s="6" t="s">
        <v>25</v>
      </c>
      <c r="Q2911" s="5" t="s">
        <v>25</v>
      </c>
      <c r="R2911" s="5" t="s">
        <v>25</v>
      </c>
      <c r="S2911" s="7" t="str">
        <f>VLOOKUP(A2911,Sheet2!$A$2:$R$3432,18,0)</f>
        <v/>
      </c>
      <c r="T2911" s="7" t="str">
        <f>VLOOKUP(A2911,Sheet2!$A$2:$R$3432,17,0)</f>
        <v>MBLJF10EC9GB09340</v>
      </c>
    </row>
    <row r="2912" ht="15.75" customHeight="1">
      <c r="A2912" s="3" t="s">
        <v>2935</v>
      </c>
      <c r="B2912" s="4" t="str">
        <f>VLOOKUP(A2912,Sheet2!$A$2:$R$3432,2,0)</f>
        <v>2024-11-21 19:36:46</v>
      </c>
      <c r="C2912" s="5" t="s">
        <v>25</v>
      </c>
      <c r="D2912" s="6" t="s">
        <v>25</v>
      </c>
      <c r="E2912" s="7">
        <f>VLOOKUP(A2912,Sheet2!$A$2:$R$3432,4,0)</f>
        <v>9371055277</v>
      </c>
      <c r="F2912" s="7" t="str">
        <f>VLOOKUP(A2912,Sheet2!$A$2:$R$3432,3,0)</f>
        <v>SACHIN </v>
      </c>
      <c r="G2912" s="5" t="s">
        <v>25</v>
      </c>
      <c r="H2912" s="5" t="s">
        <v>25</v>
      </c>
      <c r="I2912" s="5" t="s">
        <v>25</v>
      </c>
      <c r="J2912" s="5" t="s">
        <v>25</v>
      </c>
      <c r="K2912" s="7" t="str">
        <f>VLOOKUP(A2912,Sheet2!$A$2:$R$3432,6,0)</f>
        <v>TVS Jupiter </v>
      </c>
      <c r="L2912" s="5" t="s">
        <v>25</v>
      </c>
      <c r="M2912" s="7" t="str">
        <f>VLOOKUP(A2912,Sheet2!$A$2:$R$3432,5,0)</f>
        <v>MH14FU4351</v>
      </c>
      <c r="N2912" s="5" t="s">
        <v>25</v>
      </c>
      <c r="O2912" s="5" t="s">
        <v>25</v>
      </c>
      <c r="P2912" s="6" t="s">
        <v>25</v>
      </c>
      <c r="Q2912" s="5" t="s">
        <v>25</v>
      </c>
      <c r="R2912" s="5" t="s">
        <v>25</v>
      </c>
      <c r="S2912" s="5" t="str">
        <f>VLOOKUP(A2912,Sheet2!$A$2:$R$3432,18,0)</f>
        <v>BG4GG1033213</v>
      </c>
      <c r="T2912" s="7" t="str">
        <f>VLOOKUP(A2912,Sheet2!$A$2:$R$3432,17,0)</f>
        <v>MD626BG42G1G37712</v>
      </c>
    </row>
    <row r="2913" ht="15.75" customHeight="1">
      <c r="A2913" s="3" t="s">
        <v>2936</v>
      </c>
      <c r="B2913" s="4" t="str">
        <f>VLOOKUP(A2913,Sheet2!$A$2:$R$3432,2,0)</f>
        <v>2024-11-21 19:35:47</v>
      </c>
      <c r="C2913" s="5" t="s">
        <v>25</v>
      </c>
      <c r="D2913" s="6" t="s">
        <v>25</v>
      </c>
      <c r="E2913" s="7">
        <f>VLOOKUP(A2913,Sheet2!$A$2:$R$3432,4,0)</f>
        <v>8553949342</v>
      </c>
      <c r="F2913" s="7" t="str">
        <f>VLOOKUP(A2913,Sheet2!$A$2:$R$3432,3,0)</f>
        <v>Chaitanya Rahangdale</v>
      </c>
      <c r="G2913" s="5" t="s">
        <v>25</v>
      </c>
      <c r="H2913" s="5" t="s">
        <v>25</v>
      </c>
      <c r="I2913" s="5" t="s">
        <v>25</v>
      </c>
      <c r="J2913" s="5" t="s">
        <v>25</v>
      </c>
      <c r="K2913" s="7" t="str">
        <f>VLOOKUP(A2913,Sheet2!$A$2:$R$3432,6,0)</f>
        <v>Suzuki Gixxer SF</v>
      </c>
      <c r="L2913" s="5" t="s">
        <v>25</v>
      </c>
      <c r="M2913" s="7" t="str">
        <f>VLOOKUP(A2913,Sheet2!$A$2:$R$3432,5,0)</f>
        <v>MH12NF2899</v>
      </c>
      <c r="N2913" s="5" t="s">
        <v>25</v>
      </c>
      <c r="O2913" s="5" t="s">
        <v>25</v>
      </c>
      <c r="P2913" s="6" t="s">
        <v>25</v>
      </c>
      <c r="Q2913" s="5" t="s">
        <v>25</v>
      </c>
      <c r="R2913" s="5" t="s">
        <v>25</v>
      </c>
      <c r="S2913" s="7" t="str">
        <f>VLOOKUP(A2913,Sheet2!$A$2:$R$3432,18,0)</f>
        <v/>
      </c>
      <c r="T2913" s="7" t="str">
        <f>VLOOKUP(A2913,Sheet2!$A$2:$R$3432,17,0)</f>
        <v/>
      </c>
    </row>
    <row r="2914" ht="15.75" customHeight="1">
      <c r="A2914" s="3" t="s">
        <v>2937</v>
      </c>
      <c r="B2914" s="4" t="str">
        <f>VLOOKUP(A2914,Sheet2!$A$2:$R$3432,2,0)</f>
        <v>2024-11-21 19:32:09</v>
      </c>
      <c r="C2914" s="5" t="s">
        <v>25</v>
      </c>
      <c r="D2914" s="6" t="s">
        <v>25</v>
      </c>
      <c r="E2914" s="7">
        <f>VLOOKUP(A2914,Sheet2!$A$2:$R$3432,4,0)</f>
        <v>8308318329</v>
      </c>
      <c r="F2914" s="7" t="str">
        <f>VLOOKUP(A2914,Sheet2!$A$2:$R$3432,3,0)</f>
        <v>AMOL</v>
      </c>
      <c r="G2914" s="5" t="s">
        <v>25</v>
      </c>
      <c r="H2914" s="5" t="s">
        <v>25</v>
      </c>
      <c r="I2914" s="5" t="s">
        <v>25</v>
      </c>
      <c r="J2914" s="5" t="s">
        <v>25</v>
      </c>
      <c r="K2914" s="7" t="str">
        <f>VLOOKUP(A2914,Sheet2!$A$2:$R$3432,6,0)</f>
        <v>TVS Jupiter </v>
      </c>
      <c r="L2914" s="5" t="s">
        <v>25</v>
      </c>
      <c r="M2914" s="7" t="str">
        <f>VLOOKUP(A2914,Sheet2!$A$2:$R$3432,5,0)</f>
        <v>MH12QP5368</v>
      </c>
      <c r="N2914" s="5" t="s">
        <v>25</v>
      </c>
      <c r="O2914" s="5" t="s">
        <v>25</v>
      </c>
      <c r="P2914" s="6" t="s">
        <v>25</v>
      </c>
      <c r="Q2914" s="5" t="s">
        <v>25</v>
      </c>
      <c r="R2914" s="5" t="s">
        <v>25</v>
      </c>
      <c r="S2914" s="7" t="str">
        <f>VLOOKUP(A2914,Sheet2!$A$2:$R$3432,18,0)</f>
        <v/>
      </c>
      <c r="T2914" s="7" t="str">
        <f>VLOOKUP(A2914,Sheet2!$A$2:$R$3432,17,0)</f>
        <v/>
      </c>
    </row>
    <row r="2915" ht="15.75" customHeight="1">
      <c r="A2915" s="3" t="s">
        <v>2938</v>
      </c>
      <c r="B2915" s="4" t="str">
        <f>VLOOKUP(A2915,Sheet2!$A$2:$R$3432,2,0)</f>
        <v>2024-11-21 19:33:38</v>
      </c>
      <c r="C2915" s="5" t="s">
        <v>25</v>
      </c>
      <c r="D2915" s="6" t="s">
        <v>25</v>
      </c>
      <c r="E2915" s="7">
        <f>VLOOKUP(A2915,Sheet2!$A$2:$R$3432,4,0)</f>
        <v>8275526899</v>
      </c>
      <c r="F2915" s="7" t="str">
        <f>VLOOKUP(A2915,Sheet2!$A$2:$R$3432,3,0)</f>
        <v>ANVAY</v>
      </c>
      <c r="G2915" s="5" t="s">
        <v>25</v>
      </c>
      <c r="H2915" s="5" t="s">
        <v>25</v>
      </c>
      <c r="I2915" s="5" t="s">
        <v>25</v>
      </c>
      <c r="J2915" s="5" t="s">
        <v>25</v>
      </c>
      <c r="K2915" s="7" t="str">
        <f>VLOOKUP(A2915,Sheet2!$A$2:$R$3432,6,0)</f>
        <v>Honda Livo </v>
      </c>
      <c r="L2915" s="5" t="s">
        <v>25</v>
      </c>
      <c r="M2915" s="7" t="str">
        <f>VLOOKUP(A2915,Sheet2!$A$2:$R$3432,5,0)</f>
        <v>MH14FY7853</v>
      </c>
      <c r="N2915" s="5" t="s">
        <v>25</v>
      </c>
      <c r="O2915" s="5" t="s">
        <v>25</v>
      </c>
      <c r="P2915" s="6" t="s">
        <v>25</v>
      </c>
      <c r="Q2915" s="5" t="s">
        <v>25</v>
      </c>
      <c r="R2915" s="5" t="s">
        <v>25</v>
      </c>
      <c r="S2915" s="5" t="str">
        <f>VLOOKUP(A2915,Sheet2!$A$2:$R$3432,18,0)</f>
        <v>JC71ET0375198</v>
      </c>
      <c r="T2915" s="7" t="str">
        <f>VLOOKUP(A2915,Sheet2!$A$2:$R$3432,17,0)</f>
        <v>ME4JC714GGT034488</v>
      </c>
    </row>
    <row r="2916" ht="15.75" customHeight="1">
      <c r="A2916" s="3" t="s">
        <v>2939</v>
      </c>
      <c r="B2916" s="4" t="str">
        <f>VLOOKUP(A2916,Sheet2!$A$2:$R$3432,2,0)</f>
        <v>2024-11-21 19:37:50</v>
      </c>
      <c r="C2916" s="5" t="s">
        <v>25</v>
      </c>
      <c r="D2916" s="6" t="s">
        <v>25</v>
      </c>
      <c r="E2916" s="7">
        <f>VLOOKUP(A2916,Sheet2!$A$2:$R$3432,4,0)</f>
        <v>9665626256</v>
      </c>
      <c r="F2916" s="7" t="str">
        <f>VLOOKUP(A2916,Sheet2!$A$2:$R$3432,3,0)</f>
        <v>MAYUR</v>
      </c>
      <c r="G2916" s="5" t="s">
        <v>25</v>
      </c>
      <c r="H2916" s="5" t="s">
        <v>25</v>
      </c>
      <c r="I2916" s="5" t="s">
        <v>25</v>
      </c>
      <c r="J2916" s="5" t="s">
        <v>25</v>
      </c>
      <c r="K2916" s="7" t="str">
        <f>VLOOKUP(A2916,Sheet2!$A$2:$R$3432,6,0)</f>
        <v>Hero Passion Pro</v>
      </c>
      <c r="L2916" s="5" t="s">
        <v>25</v>
      </c>
      <c r="M2916" s="7" t="str">
        <f>VLOOKUP(A2916,Sheet2!$A$2:$R$3432,5,0)</f>
        <v>MH12NY6215</v>
      </c>
      <c r="N2916" s="5" t="s">
        <v>25</v>
      </c>
      <c r="O2916" s="5" t="s">
        <v>25</v>
      </c>
      <c r="P2916" s="6" t="s">
        <v>25</v>
      </c>
      <c r="Q2916" s="5" t="s">
        <v>25</v>
      </c>
      <c r="R2916" s="5" t="s">
        <v>25</v>
      </c>
      <c r="S2916" s="5" t="str">
        <f>VLOOKUP(A2916,Sheet2!$A$2:$R$3432,18,0)</f>
        <v>HA10AGNHB710</v>
      </c>
      <c r="T2916" s="7" t="str">
        <f>VLOOKUP(A2916,Sheet2!$A$2:$R$3432,17,0)</f>
        <v>MBLHAR182HHB6515</v>
      </c>
    </row>
    <row r="2917" ht="15.75" customHeight="1">
      <c r="A2917" s="3" t="s">
        <v>2940</v>
      </c>
      <c r="B2917" s="4" t="str">
        <f>VLOOKUP(A2917,Sheet2!$A$2:$R$3432,2,0)</f>
        <v>2024-11-21 19:50:49</v>
      </c>
      <c r="C2917" s="5" t="s">
        <v>25</v>
      </c>
      <c r="D2917" s="6" t="s">
        <v>25</v>
      </c>
      <c r="E2917" s="7">
        <f>VLOOKUP(A2917,Sheet2!$A$2:$R$3432,4,0)</f>
        <v>9445115610</v>
      </c>
      <c r="F2917" s="7" t="str">
        <f>VLOOKUP(A2917,Sheet2!$A$2:$R$3432,3,0)</f>
        <v>NAVEEN KUMAR</v>
      </c>
      <c r="G2917" s="5" t="s">
        <v>25</v>
      </c>
      <c r="H2917" s="5" t="s">
        <v>25</v>
      </c>
      <c r="I2917" s="5" t="s">
        <v>25</v>
      </c>
      <c r="J2917" s="5" t="s">
        <v>25</v>
      </c>
      <c r="K2917" s="7" t="str">
        <f>VLOOKUP(A2917,Sheet2!$A$2:$R$3432,6,0)</f>
        <v>Honda Hornet 160R</v>
      </c>
      <c r="L2917" s="5" t="s">
        <v>25</v>
      </c>
      <c r="M2917" s="7" t="str">
        <f>VLOOKUP(A2917,Sheet2!$A$2:$R$3432,5,0)</f>
        <v>TN31BJ3855</v>
      </c>
      <c r="N2917" s="5" t="s">
        <v>25</v>
      </c>
      <c r="O2917" s="5" t="s">
        <v>25</v>
      </c>
      <c r="P2917" s="6" t="s">
        <v>25</v>
      </c>
      <c r="Q2917" s="5" t="s">
        <v>25</v>
      </c>
      <c r="R2917" s="5" t="s">
        <v>25</v>
      </c>
      <c r="S2917" s="7" t="str">
        <f>VLOOKUP(A2917,Sheet2!$A$2:$R$3432,18,0)</f>
        <v/>
      </c>
      <c r="T2917" s="7" t="str">
        <f>VLOOKUP(A2917,Sheet2!$A$2:$R$3432,17,0)</f>
        <v/>
      </c>
    </row>
    <row r="2918" ht="15.75" customHeight="1">
      <c r="A2918" s="3" t="s">
        <v>2941</v>
      </c>
      <c r="B2918" s="4" t="str">
        <f>VLOOKUP(A2918,Sheet2!$A$2:$R$3432,2,0)</f>
        <v>2025-04-26 17:48:46</v>
      </c>
      <c r="C2918" s="5" t="s">
        <v>25</v>
      </c>
      <c r="D2918" s="6" t="s">
        <v>25</v>
      </c>
      <c r="E2918" s="7">
        <f>VLOOKUP(A2918,Sheet2!$A$2:$R$3432,4,0)</f>
        <v>9975142631</v>
      </c>
      <c r="F2918" s="7" t="str">
        <f>VLOOKUP(A2918,Sheet2!$A$2:$R$3432,3,0)</f>
        <v>Rohit</v>
      </c>
      <c r="G2918" s="5" t="s">
        <v>25</v>
      </c>
      <c r="H2918" s="5" t="s">
        <v>25</v>
      </c>
      <c r="I2918" s="5" t="s">
        <v>25</v>
      </c>
      <c r="J2918" s="5" t="s">
        <v>25</v>
      </c>
      <c r="K2918" s="7" t="str">
        <f>VLOOKUP(A2918,Sheet2!$A$2:$R$3432,6,0)</f>
        <v>Yamaha Fazer </v>
      </c>
      <c r="L2918" s="5" t="s">
        <v>25</v>
      </c>
      <c r="M2918" s="7" t="str">
        <f>VLOOKUP(A2918,Sheet2!$A$2:$R$3432,5,0)</f>
        <v>MH31DL3908</v>
      </c>
      <c r="N2918" s="5" t="s">
        <v>25</v>
      </c>
      <c r="O2918" s="5" t="s">
        <v>25</v>
      </c>
      <c r="P2918" s="6" t="s">
        <v>25</v>
      </c>
      <c r="Q2918" s="5" t="s">
        <v>25</v>
      </c>
      <c r="R2918" s="5" t="s">
        <v>25</v>
      </c>
      <c r="S2918" s="7" t="str">
        <f>VLOOKUP(A2918,Sheet2!$A$2:$R$3432,18,0)</f>
        <v/>
      </c>
      <c r="T2918" s="7" t="str">
        <f>VLOOKUP(A2918,Sheet2!$A$2:$R$3432,17,0)</f>
        <v/>
      </c>
    </row>
    <row r="2919" ht="15.75" customHeight="1">
      <c r="A2919" s="3" t="s">
        <v>2942</v>
      </c>
      <c r="B2919" s="4" t="str">
        <f>VLOOKUP(A2919,Sheet2!$A$2:$R$3432,2,0)</f>
        <v>2025-04-26 17:47:02</v>
      </c>
      <c r="C2919" s="5" t="s">
        <v>25</v>
      </c>
      <c r="D2919" s="6" t="s">
        <v>25</v>
      </c>
      <c r="E2919" s="7">
        <f>VLOOKUP(A2919,Sheet2!$A$2:$R$3432,4,0)</f>
        <v>9975626301</v>
      </c>
      <c r="F2919" s="7" t="str">
        <f>VLOOKUP(A2919,Sheet2!$A$2:$R$3432,3,0)</f>
        <v>CHIMNEY PALANDE</v>
      </c>
      <c r="G2919" s="5" t="s">
        <v>25</v>
      </c>
      <c r="H2919" s="5" t="s">
        <v>25</v>
      </c>
      <c r="I2919" s="5" t="s">
        <v>25</v>
      </c>
      <c r="J2919" s="5" t="s">
        <v>25</v>
      </c>
      <c r="K2919" s="7" t="str">
        <f>VLOOKUP(A2919,Sheet2!$A$2:$R$3432,6,0)</f>
        <v>Yamaha FZ V3</v>
      </c>
      <c r="L2919" s="5" t="s">
        <v>25</v>
      </c>
      <c r="M2919" s="7" t="str">
        <f>VLOOKUP(A2919,Sheet2!$A$2:$R$3432,5,0)</f>
        <v>MH12RS9858</v>
      </c>
      <c r="N2919" s="5" t="s">
        <v>25</v>
      </c>
      <c r="O2919" s="5" t="s">
        <v>25</v>
      </c>
      <c r="P2919" s="6" t="s">
        <v>25</v>
      </c>
      <c r="Q2919" s="5" t="s">
        <v>25</v>
      </c>
      <c r="R2919" s="5" t="s">
        <v>25</v>
      </c>
      <c r="S2919" s="5" t="str">
        <f>VLOOKUP(A2919,Sheet2!$A$2:$R$3432,18,0)</f>
        <v>G325E0079718</v>
      </c>
      <c r="T2919" s="7" t="str">
        <f>VLOOKUP(A2919,Sheet2!$A$2:$R$3432,17,0)</f>
        <v>ME1RG44F4K0022O59</v>
      </c>
    </row>
    <row r="2920" ht="15.75" customHeight="1">
      <c r="A2920" s="3" t="s">
        <v>2943</v>
      </c>
      <c r="B2920" s="4" t="str">
        <f>VLOOKUP(A2920,Sheet2!$A$2:$R$3432,2,0)</f>
        <v>2025-04-26 17:47:27</v>
      </c>
      <c r="C2920" s="5" t="s">
        <v>25</v>
      </c>
      <c r="D2920" s="6" t="s">
        <v>25</v>
      </c>
      <c r="E2920" s="7">
        <f>VLOOKUP(A2920,Sheet2!$A$2:$R$3432,4,0)</f>
        <v>9923976900</v>
      </c>
      <c r="F2920" s="7" t="str">
        <f>VLOOKUP(A2920,Sheet2!$A$2:$R$3432,3,0)</f>
        <v>Vishal Gupta</v>
      </c>
      <c r="G2920" s="5" t="s">
        <v>25</v>
      </c>
      <c r="H2920" s="5" t="s">
        <v>25</v>
      </c>
      <c r="I2920" s="5" t="s">
        <v>25</v>
      </c>
      <c r="J2920" s="5" t="s">
        <v>25</v>
      </c>
      <c r="K2920" s="7" t="str">
        <f>VLOOKUP(A2920,Sheet2!$A$2:$R$3432,6,0)</f>
        <v>Bajaj Avenger 220 Street</v>
      </c>
      <c r="L2920" s="5" t="s">
        <v>25</v>
      </c>
      <c r="M2920" s="7" t="str">
        <f>VLOOKUP(A2920,Sheet2!$A$2:$R$3432,5,0)</f>
        <v>MH14DB9501</v>
      </c>
      <c r="N2920" s="5" t="s">
        <v>25</v>
      </c>
      <c r="O2920" s="5" t="s">
        <v>25</v>
      </c>
      <c r="P2920" s="6" t="s">
        <v>25</v>
      </c>
      <c r="Q2920" s="5" t="s">
        <v>25</v>
      </c>
      <c r="R2920" s="5" t="s">
        <v>25</v>
      </c>
      <c r="S2920" s="7" t="str">
        <f>VLOOKUP(A2920,Sheet2!$A$2:$R$3432,18,0)</f>
        <v/>
      </c>
      <c r="T2920" s="7" t="str">
        <f>VLOOKUP(A2920,Sheet2!$A$2:$R$3432,17,0)</f>
        <v>MD2DGP0770096117</v>
      </c>
    </row>
    <row r="2921" ht="15.75" customHeight="1">
      <c r="A2921" s="3" t="s">
        <v>2944</v>
      </c>
      <c r="B2921" s="4" t="str">
        <f>VLOOKUP(A2921,Sheet2!$A$2:$R$3432,2,0)</f>
        <v>2025-04-26 17:47:43</v>
      </c>
      <c r="C2921" s="5" t="s">
        <v>25</v>
      </c>
      <c r="D2921" s="6" t="s">
        <v>25</v>
      </c>
      <c r="E2921" s="7">
        <f>VLOOKUP(A2921,Sheet2!$A$2:$R$3432,4,0)</f>
        <v>6388335225</v>
      </c>
      <c r="F2921" s="7" t="str">
        <f>VLOOKUP(A2921,Sheet2!$A$2:$R$3432,3,0)</f>
        <v>SANDIP KUMAR </v>
      </c>
      <c r="G2921" s="5" t="s">
        <v>25</v>
      </c>
      <c r="H2921" s="5" t="s">
        <v>25</v>
      </c>
      <c r="I2921" s="5" t="s">
        <v>25</v>
      </c>
      <c r="J2921" s="5" t="s">
        <v>25</v>
      </c>
      <c r="K2921" s="7" t="str">
        <f>VLOOKUP(A2921,Sheet2!$A$2:$R$3432,6,0)</f>
        <v>Bajaj Pulsar 150</v>
      </c>
      <c r="L2921" s="5" t="s">
        <v>25</v>
      </c>
      <c r="M2921" s="7" t="str">
        <f>VLOOKUP(A2921,Sheet2!$A$2:$R$3432,5,0)</f>
        <v>UP70CJ2302</v>
      </c>
      <c r="N2921" s="5" t="s">
        <v>25</v>
      </c>
      <c r="O2921" s="5" t="s">
        <v>25</v>
      </c>
      <c r="P2921" s="6" t="s">
        <v>25</v>
      </c>
      <c r="Q2921" s="5" t="s">
        <v>25</v>
      </c>
      <c r="R2921" s="5" t="s">
        <v>25</v>
      </c>
      <c r="S2921" s="5" t="str">
        <f>VLOOKUP(A2921,Sheet2!$A$2:$R$3432,18,0)</f>
        <v>DHZCDG04173</v>
      </c>
      <c r="T2921" s="7" t="str">
        <f>VLOOKUP(A2921,Sheet2!$A$2:$R$3432,17,0)</f>
        <v>MD2A11CGZ0DCG23637</v>
      </c>
    </row>
    <row r="2922" ht="15.75" customHeight="1">
      <c r="A2922" s="3" t="s">
        <v>2945</v>
      </c>
      <c r="B2922" s="4" t="str">
        <f>VLOOKUP(A2922,Sheet2!$A$2:$R$3432,2,0)</f>
        <v>2025-04-26 20:58:59</v>
      </c>
      <c r="C2922" s="5" t="s">
        <v>25</v>
      </c>
      <c r="D2922" s="6" t="s">
        <v>25</v>
      </c>
      <c r="E2922" s="7">
        <f>VLOOKUP(A2922,Sheet2!$A$2:$R$3432,4,0)</f>
        <v>9664976023</v>
      </c>
      <c r="F2922" s="7" t="str">
        <f>VLOOKUP(A2922,Sheet2!$A$2:$R$3432,3,0)</f>
        <v>MANESH GHODEKAR</v>
      </c>
      <c r="G2922" s="5" t="s">
        <v>25</v>
      </c>
      <c r="H2922" s="5" t="s">
        <v>25</v>
      </c>
      <c r="I2922" s="5" t="s">
        <v>25</v>
      </c>
      <c r="J2922" s="5" t="s">
        <v>25</v>
      </c>
      <c r="K2922" s="7" t="str">
        <f>VLOOKUP(A2922,Sheet2!$A$2:$R$3432,6,0)</f>
        <v>TVS Ntorq 125</v>
      </c>
      <c r="L2922" s="5" t="s">
        <v>25</v>
      </c>
      <c r="M2922" s="7" t="str">
        <f>VLOOKUP(A2922,Sheet2!$A$2:$R$3432,5,0)</f>
        <v>MH14HV9388</v>
      </c>
      <c r="N2922" s="5" t="s">
        <v>25</v>
      </c>
      <c r="O2922" s="5" t="s">
        <v>25</v>
      </c>
      <c r="P2922" s="6" t="s">
        <v>25</v>
      </c>
      <c r="Q2922" s="5" t="s">
        <v>25</v>
      </c>
      <c r="R2922" s="5" t="s">
        <v>25</v>
      </c>
      <c r="S2922" s="5" t="str">
        <f>VLOOKUP(A2922,Sheet2!$A$2:$R$3432,18,0)</f>
        <v>BG7LK29079</v>
      </c>
      <c r="T2922" s="7" t="str">
        <f>VLOOKUP(A2922,Sheet2!$A$2:$R$3432,17,0)</f>
        <v>MD626A672K207620</v>
      </c>
    </row>
    <row r="2923" ht="15.75" customHeight="1">
      <c r="A2923" s="3" t="s">
        <v>2946</v>
      </c>
      <c r="B2923" s="4" t="str">
        <f>VLOOKUP(A2923,Sheet2!$A$2:$R$3432,2,0)</f>
        <v>2025-04-26 17:48:23</v>
      </c>
      <c r="C2923" s="5" t="s">
        <v>25</v>
      </c>
      <c r="D2923" s="6" t="s">
        <v>25</v>
      </c>
      <c r="E2923" s="7">
        <f>VLOOKUP(A2923,Sheet2!$A$2:$R$3432,4,0)</f>
        <v>7410008484</v>
      </c>
      <c r="F2923" s="7" t="str">
        <f>VLOOKUP(A2923,Sheet2!$A$2:$R$3432,3,0)</f>
        <v>Satyajeet Jadhav</v>
      </c>
      <c r="G2923" s="5" t="s">
        <v>25</v>
      </c>
      <c r="H2923" s="5" t="s">
        <v>25</v>
      </c>
      <c r="I2923" s="5" t="s">
        <v>25</v>
      </c>
      <c r="J2923" s="5" t="s">
        <v>25</v>
      </c>
      <c r="K2923" s="7" t="str">
        <f>VLOOKUP(A2923,Sheet2!$A$2:$R$3432,6,0)</f>
        <v>TVS Apache RTR 160</v>
      </c>
      <c r="L2923" s="5" t="s">
        <v>25</v>
      </c>
      <c r="M2923" s="7" t="str">
        <f>VLOOKUP(A2923,Sheet2!$A$2:$R$3432,5,0)</f>
        <v>MH50VZ2383</v>
      </c>
      <c r="N2923" s="5" t="s">
        <v>25</v>
      </c>
      <c r="O2923" s="5" t="s">
        <v>25</v>
      </c>
      <c r="P2923" s="6" t="s">
        <v>25</v>
      </c>
      <c r="Q2923" s="5" t="s">
        <v>25</v>
      </c>
      <c r="R2923" s="5" t="s">
        <v>25</v>
      </c>
      <c r="S2923" s="7" t="str">
        <f>VLOOKUP(A2923,Sheet2!$A$2:$R$3432,18,0)</f>
        <v/>
      </c>
      <c r="T2923" s="7" t="str">
        <f>VLOOKUP(A2923,Sheet2!$A$2:$R$3432,17,0)</f>
        <v/>
      </c>
    </row>
    <row r="2924" ht="15.75" customHeight="1">
      <c r="A2924" s="3" t="s">
        <v>2947</v>
      </c>
      <c r="B2924" s="4" t="str">
        <f>VLOOKUP(A2924,Sheet2!$A$2:$R$3432,2,0)</f>
        <v>2025-04-26 20:58:37</v>
      </c>
      <c r="C2924" s="5" t="s">
        <v>25</v>
      </c>
      <c r="D2924" s="6" t="s">
        <v>25</v>
      </c>
      <c r="E2924" s="7">
        <f>VLOOKUP(A2924,Sheet2!$A$2:$R$3432,4,0)</f>
        <v>9769358515</v>
      </c>
      <c r="F2924" s="7" t="str">
        <f>VLOOKUP(A2924,Sheet2!$A$2:$R$3432,3,0)</f>
        <v>Pratik Gaikwad </v>
      </c>
      <c r="G2924" s="5" t="s">
        <v>25</v>
      </c>
      <c r="H2924" s="5" t="s">
        <v>25</v>
      </c>
      <c r="I2924" s="5" t="s">
        <v>25</v>
      </c>
      <c r="J2924" s="5" t="s">
        <v>25</v>
      </c>
      <c r="K2924" s="7" t="str">
        <f>VLOOKUP(A2924,Sheet2!$A$2:$R$3432,6,0)</f>
        <v>Bajaj Avenger 220 Cruise</v>
      </c>
      <c r="L2924" s="5" t="s">
        <v>25</v>
      </c>
      <c r="M2924" s="7" t="str">
        <f>VLOOKUP(A2924,Sheet2!$A$2:$R$3432,5,0)</f>
        <v>MH14JK3708</v>
      </c>
      <c r="N2924" s="5" t="s">
        <v>25</v>
      </c>
      <c r="O2924" s="5" t="s">
        <v>25</v>
      </c>
      <c r="P2924" s="6" t="s">
        <v>25</v>
      </c>
      <c r="Q2924" s="5" t="s">
        <v>25</v>
      </c>
      <c r="R2924" s="5" t="s">
        <v>25</v>
      </c>
      <c r="S2924" s="7" t="str">
        <f>VLOOKUP(A2924,Sheet2!$A$2:$R$3432,18,0)</f>
        <v/>
      </c>
      <c r="T2924" s="7" t="str">
        <f>VLOOKUP(A2924,Sheet2!$A$2:$R$3432,17,0)</f>
        <v/>
      </c>
    </row>
    <row r="2925" ht="15.75" customHeight="1">
      <c r="A2925" s="3" t="s">
        <v>2948</v>
      </c>
      <c r="B2925" s="4" t="str">
        <f>VLOOKUP(A2925,Sheet2!$A$2:$R$3432,2,0)</f>
        <v>2025-04-26 21:02:28</v>
      </c>
      <c r="C2925" s="5" t="s">
        <v>25</v>
      </c>
      <c r="D2925" s="6" t="s">
        <v>25</v>
      </c>
      <c r="E2925" s="7">
        <f>VLOOKUP(A2925,Sheet2!$A$2:$R$3432,4,0)</f>
        <v>9166418080</v>
      </c>
      <c r="F2925" s="7" t="str">
        <f>VLOOKUP(A2925,Sheet2!$A$2:$R$3432,3,0)</f>
        <v>Aayush </v>
      </c>
      <c r="G2925" s="5" t="s">
        <v>25</v>
      </c>
      <c r="H2925" s="5" t="s">
        <v>25</v>
      </c>
      <c r="I2925" s="5" t="s">
        <v>25</v>
      </c>
      <c r="J2925" s="5" t="s">
        <v>25</v>
      </c>
      <c r="K2925" s="7" t="str">
        <f>VLOOKUP(A2925,Sheet2!$A$2:$R$3432,6,0)</f>
        <v>TVS Apache RTR 160</v>
      </c>
      <c r="L2925" s="5" t="s">
        <v>25</v>
      </c>
      <c r="M2925" s="7" t="str">
        <f>VLOOKUP(A2925,Sheet2!$A$2:$R$3432,5,0)</f>
        <v>AJ09KS1273</v>
      </c>
      <c r="N2925" s="5" t="s">
        <v>25</v>
      </c>
      <c r="O2925" s="5" t="s">
        <v>25</v>
      </c>
      <c r="P2925" s="6" t="s">
        <v>25</v>
      </c>
      <c r="Q2925" s="5" t="s">
        <v>25</v>
      </c>
      <c r="R2925" s="5" t="s">
        <v>25</v>
      </c>
      <c r="S2925" s="7" t="str">
        <f>VLOOKUP(A2925,Sheet2!$A$2:$R$3432,18,0)</f>
        <v/>
      </c>
      <c r="T2925" s="7" t="str">
        <f>VLOOKUP(A2925,Sheet2!$A$2:$R$3432,17,0)</f>
        <v/>
      </c>
    </row>
    <row r="2926" ht="15.75" customHeight="1">
      <c r="A2926" s="3" t="s">
        <v>2949</v>
      </c>
      <c r="B2926" s="4" t="str">
        <f>VLOOKUP(A2926,Sheet2!$A$2:$R$3432,2,0)</f>
        <v>2025-04-26 20:59:35</v>
      </c>
      <c r="C2926" s="5" t="s">
        <v>25</v>
      </c>
      <c r="D2926" s="6" t="s">
        <v>25</v>
      </c>
      <c r="E2926" s="7">
        <f>VLOOKUP(A2926,Sheet2!$A$2:$R$3432,4,0)</f>
        <v>6354281658</v>
      </c>
      <c r="F2926" s="7" t="str">
        <f>VLOOKUP(A2926,Sheet2!$A$2:$R$3432,3,0)</f>
        <v>Sandip Kulkarni </v>
      </c>
      <c r="G2926" s="5" t="s">
        <v>25</v>
      </c>
      <c r="H2926" s="5" t="s">
        <v>25</v>
      </c>
      <c r="I2926" s="5" t="s">
        <v>25</v>
      </c>
      <c r="J2926" s="5" t="s">
        <v>25</v>
      </c>
      <c r="K2926" s="7" t="str">
        <f>VLOOKUP(A2926,Sheet2!$A$2:$R$3432,6,0)</f>
        <v>Suzuki Access </v>
      </c>
      <c r="L2926" s="5" t="s">
        <v>25</v>
      </c>
      <c r="M2926" s="7" t="str">
        <f>VLOOKUP(A2926,Sheet2!$A$2:$R$3432,5,0)</f>
        <v>MH14JZ8101</v>
      </c>
      <c r="N2926" s="5" t="s">
        <v>25</v>
      </c>
      <c r="O2926" s="5" t="s">
        <v>25</v>
      </c>
      <c r="P2926" s="6" t="s">
        <v>25</v>
      </c>
      <c r="Q2926" s="5" t="s">
        <v>25</v>
      </c>
      <c r="R2926" s="5" t="s">
        <v>25</v>
      </c>
      <c r="S2926" s="7" t="str">
        <f>VLOOKUP(A2926,Sheet2!$A$2:$R$3432,18,0)</f>
        <v/>
      </c>
      <c r="T2926" s="7" t="str">
        <f>VLOOKUP(A2926,Sheet2!$A$2:$R$3432,17,0)</f>
        <v/>
      </c>
    </row>
    <row r="2927" ht="15.75" customHeight="1">
      <c r="A2927" s="3" t="s">
        <v>2950</v>
      </c>
      <c r="B2927" s="4" t="str">
        <f>VLOOKUP(A2927,Sheet2!$A$2:$R$3432,2,0)</f>
        <v>2025-04-26 21:01:31</v>
      </c>
      <c r="C2927" s="5" t="s">
        <v>25</v>
      </c>
      <c r="D2927" s="6" t="s">
        <v>25</v>
      </c>
      <c r="E2927" s="7">
        <f>VLOOKUP(A2927,Sheet2!$A$2:$R$3432,4,0)</f>
        <v>7406466611</v>
      </c>
      <c r="F2927" s="7" t="str">
        <f>VLOOKUP(A2927,Sheet2!$A$2:$R$3432,3,0)</f>
        <v>SAURABH BHATI</v>
      </c>
      <c r="G2927" s="5" t="s">
        <v>25</v>
      </c>
      <c r="H2927" s="5" t="s">
        <v>25</v>
      </c>
      <c r="I2927" s="5" t="s">
        <v>25</v>
      </c>
      <c r="J2927" s="5" t="s">
        <v>25</v>
      </c>
      <c r="K2927" s="7" t="str">
        <f>VLOOKUP(A2927,Sheet2!$A$2:$R$3432,6,0)</f>
        <v>Honda Activa 3G</v>
      </c>
      <c r="L2927" s="5" t="s">
        <v>25</v>
      </c>
      <c r="M2927" s="7" t="str">
        <f>VLOOKUP(A2927,Sheet2!$A$2:$R$3432,5,0)</f>
        <v>MH47M7954</v>
      </c>
      <c r="N2927" s="5" t="s">
        <v>25</v>
      </c>
      <c r="O2927" s="5" t="s">
        <v>25</v>
      </c>
      <c r="P2927" s="6" t="s">
        <v>25</v>
      </c>
      <c r="Q2927" s="5" t="s">
        <v>25</v>
      </c>
      <c r="R2927" s="5" t="s">
        <v>25</v>
      </c>
      <c r="S2927" s="5" t="str">
        <f>VLOOKUP(A2927,Sheet2!$A$2:$R$3432,18,0)</f>
        <v>JF50EU3129040</v>
      </c>
      <c r="T2927" s="7" t="str">
        <f>VLOOKUP(A2927,Sheet2!$A$2:$R$3432,17,0)</f>
        <v>RUSTY FRAME</v>
      </c>
    </row>
    <row r="2928" ht="15.75" customHeight="1">
      <c r="A2928" s="3" t="s">
        <v>2951</v>
      </c>
      <c r="B2928" s="4" t="str">
        <f>VLOOKUP(A2928,Sheet2!$A$2:$R$3432,2,0)</f>
        <v>2025-04-26 21:05:09</v>
      </c>
      <c r="C2928" s="5" t="s">
        <v>25</v>
      </c>
      <c r="D2928" s="6" t="s">
        <v>25</v>
      </c>
      <c r="E2928" s="7">
        <f>VLOOKUP(A2928,Sheet2!$A$2:$R$3432,4,0)</f>
        <v>9545988544</v>
      </c>
      <c r="F2928" s="7" t="str">
        <f>VLOOKUP(A2928,Sheet2!$A$2:$R$3432,3,0)</f>
        <v>Abhijit </v>
      </c>
      <c r="G2928" s="5" t="s">
        <v>25</v>
      </c>
      <c r="H2928" s="5" t="s">
        <v>25</v>
      </c>
      <c r="I2928" s="5" t="s">
        <v>25</v>
      </c>
      <c r="J2928" s="5" t="s">
        <v>25</v>
      </c>
      <c r="K2928" s="7" t="str">
        <f>VLOOKUP(A2928,Sheet2!$A$2:$R$3432,6,0)</f>
        <v>TVS Jupiter </v>
      </c>
      <c r="L2928" s="5" t="s">
        <v>25</v>
      </c>
      <c r="M2928" s="7" t="str">
        <f>VLOOKUP(A2928,Sheet2!$A$2:$R$3432,5,0)</f>
        <v>MH14GL5444</v>
      </c>
      <c r="N2928" s="5" t="s">
        <v>25</v>
      </c>
      <c r="O2928" s="5" t="s">
        <v>25</v>
      </c>
      <c r="P2928" s="6" t="s">
        <v>25</v>
      </c>
      <c r="Q2928" s="5" t="s">
        <v>25</v>
      </c>
      <c r="R2928" s="5" t="s">
        <v>25</v>
      </c>
      <c r="S2928" s="5" t="str">
        <f>VLOOKUP(A2928,Sheet2!$A$2:$R$3432,18,0)</f>
        <v>EG4FH2298966</v>
      </c>
      <c r="T2928" s="7" t="str">
        <f>VLOOKUP(A2928,Sheet2!$A$2:$R$3432,17,0)</f>
        <v>MD626EG47H3G01330</v>
      </c>
    </row>
    <row r="2929" ht="15.75" customHeight="1">
      <c r="A2929" s="3" t="s">
        <v>2952</v>
      </c>
      <c r="B2929" s="4" t="str">
        <f>VLOOKUP(A2929,Sheet2!$A$2:$R$3432,2,0)</f>
        <v>2025-03-30 19:34:17</v>
      </c>
      <c r="C2929" s="5" t="s">
        <v>25</v>
      </c>
      <c r="D2929" s="6" t="s">
        <v>25</v>
      </c>
      <c r="E2929" s="7">
        <f>VLOOKUP(A2929,Sheet2!$A$2:$R$3432,4,0)</f>
        <v>9168538333</v>
      </c>
      <c r="F2929" s="7" t="str">
        <f>VLOOKUP(A2929,Sheet2!$A$2:$R$3432,3,0)</f>
        <v>PRANAV PANDYA</v>
      </c>
      <c r="G2929" s="5" t="s">
        <v>25</v>
      </c>
      <c r="H2929" s="5" t="s">
        <v>25</v>
      </c>
      <c r="I2929" s="5" t="s">
        <v>25</v>
      </c>
      <c r="J2929" s="5" t="s">
        <v>25</v>
      </c>
      <c r="K2929" s="7" t="str">
        <f>VLOOKUP(A2929,Sheet2!$A$2:$R$3432,6,0)</f>
        <v>Royal Enfield Himalayan </v>
      </c>
      <c r="L2929" s="5" t="s">
        <v>25</v>
      </c>
      <c r="M2929" s="7" t="str">
        <f>VLOOKUP(A2929,Sheet2!$A$2:$R$3432,5,0)</f>
        <v>MH12UK1835</v>
      </c>
      <c r="N2929" s="5" t="s">
        <v>25</v>
      </c>
      <c r="O2929" s="5" t="s">
        <v>25</v>
      </c>
      <c r="P2929" s="6" t="s">
        <v>25</v>
      </c>
      <c r="Q2929" s="5" t="s">
        <v>25</v>
      </c>
      <c r="R2929" s="5" t="s">
        <v>25</v>
      </c>
      <c r="S2929" s="5" t="str">
        <f>VLOOKUP(A2929,Sheet2!$A$2:$R$3432,18,0)</f>
        <v>D4ASF1MM136727</v>
      </c>
      <c r="T2929" s="7" t="str">
        <f>VLOOKUP(A2929,Sheet2!$A$2:$R$3432,17,0)</f>
        <v>ME3C4ASF1MM203458</v>
      </c>
    </row>
    <row r="2930" ht="15.75" customHeight="1">
      <c r="A2930" s="3" t="s">
        <v>2953</v>
      </c>
      <c r="B2930" s="4" t="str">
        <f>VLOOKUP(A2930,Sheet2!$A$2:$R$3432,2,0)</f>
        <v>2025-03-30 19:26:36</v>
      </c>
      <c r="C2930" s="5" t="s">
        <v>25</v>
      </c>
      <c r="D2930" s="6" t="s">
        <v>25</v>
      </c>
      <c r="E2930" s="7">
        <f>VLOOKUP(A2930,Sheet2!$A$2:$R$3432,4,0)</f>
        <v>8983714572</v>
      </c>
      <c r="F2930" s="7" t="str">
        <f>VLOOKUP(A2930,Sheet2!$A$2:$R$3432,3,0)</f>
        <v>NIKHIL </v>
      </c>
      <c r="G2930" s="5" t="s">
        <v>25</v>
      </c>
      <c r="H2930" s="5" t="s">
        <v>25</v>
      </c>
      <c r="I2930" s="5" t="s">
        <v>25</v>
      </c>
      <c r="J2930" s="5" t="s">
        <v>25</v>
      </c>
      <c r="K2930" s="7" t="str">
        <f>VLOOKUP(A2930,Sheet2!$A$2:$R$3432,6,0)</f>
        <v>TVS Jupiter BS6</v>
      </c>
      <c r="L2930" s="5" t="s">
        <v>25</v>
      </c>
      <c r="M2930" s="7" t="str">
        <f>VLOOKUP(A2930,Sheet2!$A$2:$R$3432,5,0)</f>
        <v>MH14JF0532</v>
      </c>
      <c r="N2930" s="5" t="s">
        <v>25</v>
      </c>
      <c r="O2930" s="5" t="s">
        <v>25</v>
      </c>
      <c r="P2930" s="6" t="s">
        <v>25</v>
      </c>
      <c r="Q2930" s="5" t="s">
        <v>25</v>
      </c>
      <c r="R2930" s="5" t="s">
        <v>25</v>
      </c>
      <c r="S2930" s="5" t="str">
        <f>VLOOKUP(A2930,Sheet2!$A$2:$R$3432,18,0)</f>
        <v>CG</v>
      </c>
      <c r="T2930" s="7" t="str">
        <f>VLOOKUP(A2930,Sheet2!$A$2:$R$3432,17,0)</f>
        <v>MD62CG58L1H27424</v>
      </c>
    </row>
    <row r="2931" ht="15.75" customHeight="1">
      <c r="A2931" s="3" t="s">
        <v>2954</v>
      </c>
      <c r="B2931" s="4" t="str">
        <f>VLOOKUP(A2931,Sheet2!$A$2:$R$3432,2,0)</f>
        <v>2025-03-30 19:32:33</v>
      </c>
      <c r="C2931" s="5" t="s">
        <v>25</v>
      </c>
      <c r="D2931" s="6" t="s">
        <v>25</v>
      </c>
      <c r="E2931" s="7">
        <f>VLOOKUP(A2931,Sheet2!$A$2:$R$3432,4,0)</f>
        <v>7391011131</v>
      </c>
      <c r="F2931" s="7" t="str">
        <f>VLOOKUP(A2931,Sheet2!$A$2:$R$3432,3,0)</f>
        <v>RAHUL KHANDE</v>
      </c>
      <c r="G2931" s="5" t="s">
        <v>25</v>
      </c>
      <c r="H2931" s="5" t="s">
        <v>25</v>
      </c>
      <c r="I2931" s="5" t="s">
        <v>25</v>
      </c>
      <c r="J2931" s="5" t="s">
        <v>25</v>
      </c>
      <c r="K2931" s="7" t="str">
        <f>VLOOKUP(A2931,Sheet2!$A$2:$R$3432,6,0)</f>
        <v>Honda Unicorn 150</v>
      </c>
      <c r="L2931" s="5" t="s">
        <v>25</v>
      </c>
      <c r="M2931" s="7" t="str">
        <f>VLOOKUP(A2931,Sheet2!$A$2:$R$3432,5,0)</f>
        <v>MH17CC3794</v>
      </c>
      <c r="N2931" s="5" t="s">
        <v>25</v>
      </c>
      <c r="O2931" s="5" t="s">
        <v>25</v>
      </c>
      <c r="P2931" s="6" t="s">
        <v>25</v>
      </c>
      <c r="Q2931" s="5" t="s">
        <v>25</v>
      </c>
      <c r="R2931" s="5" t="s">
        <v>25</v>
      </c>
      <c r="S2931" s="5" t="str">
        <f>VLOOKUP(A2931,Sheet2!$A$2:$R$3432,18,0)</f>
        <v>KC31E802061</v>
      </c>
      <c r="T2931" s="7" t="str">
        <f>VLOOKUP(A2931,Sheet2!$A$2:$R$3432,17,0)</f>
        <v>ME4KC311BJ8206232</v>
      </c>
    </row>
    <row r="2932" ht="15.75" customHeight="1">
      <c r="A2932" s="3" t="s">
        <v>2955</v>
      </c>
      <c r="B2932" s="4" t="str">
        <f>VLOOKUP(A2932,Sheet2!$A$2:$R$3432,2,0)</f>
        <v>2025-03-30 19:31:34</v>
      </c>
      <c r="C2932" s="5" t="s">
        <v>25</v>
      </c>
      <c r="D2932" s="6" t="s">
        <v>25</v>
      </c>
      <c r="E2932" s="7">
        <f>VLOOKUP(A2932,Sheet2!$A$2:$R$3432,4,0)</f>
        <v>9373907645</v>
      </c>
      <c r="F2932" s="7" t="str">
        <f>VLOOKUP(A2932,Sheet2!$A$2:$R$3432,3,0)</f>
        <v>PRATHAMESH SURYAVANSHI </v>
      </c>
      <c r="G2932" s="5" t="s">
        <v>25</v>
      </c>
      <c r="H2932" s="5" t="s">
        <v>25</v>
      </c>
      <c r="I2932" s="5" t="s">
        <v>25</v>
      </c>
      <c r="J2932" s="5" t="s">
        <v>25</v>
      </c>
      <c r="K2932" s="7" t="str">
        <f>VLOOKUP(A2932,Sheet2!$A$2:$R$3432,6,0)</f>
        <v>Hero Xpulse 200</v>
      </c>
      <c r="L2932" s="5" t="s">
        <v>25</v>
      </c>
      <c r="M2932" s="7" t="str">
        <f>VLOOKUP(A2932,Sheet2!$A$2:$R$3432,5,0)</f>
        <v>MH15HJ4128</v>
      </c>
      <c r="N2932" s="5" t="s">
        <v>25</v>
      </c>
      <c r="O2932" s="5" t="s">
        <v>25</v>
      </c>
      <c r="P2932" s="6" t="s">
        <v>25</v>
      </c>
      <c r="Q2932" s="5" t="s">
        <v>25</v>
      </c>
      <c r="R2932" s="5" t="s">
        <v>25</v>
      </c>
      <c r="S2932" s="7" t="str">
        <f>VLOOKUP(A2932,Sheet2!$A$2:$R$3432,18,0)</f>
        <v/>
      </c>
      <c r="T2932" s="7" t="str">
        <f>VLOOKUP(A2932,Sheet2!$A$2:$R$3432,17,0)</f>
        <v/>
      </c>
    </row>
    <row r="2933" ht="15.75" customHeight="1">
      <c r="A2933" s="3" t="s">
        <v>2956</v>
      </c>
      <c r="B2933" s="4" t="str">
        <f>VLOOKUP(A2933,Sheet2!$A$2:$R$3432,2,0)</f>
        <v>2025-03-30 21:17:29</v>
      </c>
      <c r="C2933" s="5" t="s">
        <v>25</v>
      </c>
      <c r="D2933" s="6" t="s">
        <v>25</v>
      </c>
      <c r="E2933" s="7">
        <f>VLOOKUP(A2933,Sheet2!$A$2:$R$3432,4,0)</f>
        <v>8484849999</v>
      </c>
      <c r="F2933" s="7" t="str">
        <f>VLOOKUP(A2933,Sheet2!$A$2:$R$3432,3,0)</f>
        <v>Amar Gawali</v>
      </c>
      <c r="G2933" s="5" t="s">
        <v>25</v>
      </c>
      <c r="H2933" s="5" t="s">
        <v>25</v>
      </c>
      <c r="I2933" s="5" t="s">
        <v>25</v>
      </c>
      <c r="J2933" s="5" t="s">
        <v>25</v>
      </c>
      <c r="K2933" s="7" t="str">
        <f>VLOOKUP(A2933,Sheet2!$A$2:$R$3432,6,0)</f>
        <v>Bajaj Platina 100 ES CBS</v>
      </c>
      <c r="L2933" s="5" t="s">
        <v>25</v>
      </c>
      <c r="M2933" s="7" t="str">
        <f>VLOOKUP(A2933,Sheet2!$A$2:$R$3432,5,0)</f>
        <v>MH14JN7460</v>
      </c>
      <c r="N2933" s="5" t="s">
        <v>25</v>
      </c>
      <c r="O2933" s="5" t="s">
        <v>25</v>
      </c>
      <c r="P2933" s="6" t="s">
        <v>25</v>
      </c>
      <c r="Q2933" s="5" t="s">
        <v>25</v>
      </c>
      <c r="R2933" s="5" t="s">
        <v>25</v>
      </c>
      <c r="S2933" s="5" t="str">
        <f>VLOOKUP(A2933,Sheet2!$A$2:$R$3432,18,0)</f>
        <v>PFXWML81243</v>
      </c>
      <c r="T2933" s="7" t="str">
        <f>VLOOKUP(A2933,Sheet2!$A$2:$R$3432,17,0)</f>
        <v>MD2A76AX5MWL14240</v>
      </c>
    </row>
    <row r="2934" ht="15.75" customHeight="1">
      <c r="A2934" s="3" t="s">
        <v>2957</v>
      </c>
      <c r="B2934" s="4" t="str">
        <f>VLOOKUP(A2934,Sheet2!$A$2:$R$3432,2,0)</f>
        <v>2025-03-30 21:18:09</v>
      </c>
      <c r="C2934" s="5" t="s">
        <v>25</v>
      </c>
      <c r="D2934" s="6" t="s">
        <v>25</v>
      </c>
      <c r="E2934" s="7">
        <f>VLOOKUP(A2934,Sheet2!$A$2:$R$3432,4,0)</f>
        <v>9881563207</v>
      </c>
      <c r="F2934" s="7" t="str">
        <f>VLOOKUP(A2934,Sheet2!$A$2:$R$3432,3,0)</f>
        <v>TUSHAR </v>
      </c>
      <c r="G2934" s="5" t="s">
        <v>25</v>
      </c>
      <c r="H2934" s="5" t="s">
        <v>25</v>
      </c>
      <c r="I2934" s="5" t="s">
        <v>25</v>
      </c>
      <c r="J2934" s="5" t="s">
        <v>25</v>
      </c>
      <c r="K2934" s="7" t="str">
        <f>VLOOKUP(A2934,Sheet2!$A$2:$R$3432,6,0)</f>
        <v>Honda Activa 5G</v>
      </c>
      <c r="L2934" s="5" t="s">
        <v>25</v>
      </c>
      <c r="M2934" s="7" t="str">
        <f>VLOOKUP(A2934,Sheet2!$A$2:$R$3432,5,0)</f>
        <v>MH14HX1414</v>
      </c>
      <c r="N2934" s="5" t="s">
        <v>25</v>
      </c>
      <c r="O2934" s="5" t="s">
        <v>25</v>
      </c>
      <c r="P2934" s="6" t="s">
        <v>25</v>
      </c>
      <c r="Q2934" s="5" t="s">
        <v>25</v>
      </c>
      <c r="R2934" s="5" t="s">
        <v>25</v>
      </c>
      <c r="S2934" s="5" t="str">
        <f>VLOOKUP(A2934,Sheet2!$A$2:$R$3432,18,0)</f>
        <v>JF50EW1074255</v>
      </c>
      <c r="T2934" s="7" t="str">
        <f>VLOOKUP(A2934,Sheet2!$A$2:$R$3432,17,0)</f>
        <v>ME4JF50BHKH674170</v>
      </c>
    </row>
    <row r="2935" ht="15.75" customHeight="1">
      <c r="A2935" s="3" t="s">
        <v>2958</v>
      </c>
      <c r="B2935" s="4" t="str">
        <f>VLOOKUP(A2935,Sheet2!$A$2:$R$3432,2,0)</f>
        <v>2025-03-30 21:18:52</v>
      </c>
      <c r="C2935" s="5" t="s">
        <v>25</v>
      </c>
      <c r="D2935" s="6" t="s">
        <v>25</v>
      </c>
      <c r="E2935" s="7">
        <f>VLOOKUP(A2935,Sheet2!$A$2:$R$3432,4,0)</f>
        <v>9921999931</v>
      </c>
      <c r="F2935" s="7" t="str">
        <f>VLOOKUP(A2935,Sheet2!$A$2:$R$3432,3,0)</f>
        <v>PRATIK GANDHI</v>
      </c>
      <c r="G2935" s="5" t="s">
        <v>25</v>
      </c>
      <c r="H2935" s="5" t="s">
        <v>25</v>
      </c>
      <c r="I2935" s="5" t="s">
        <v>25</v>
      </c>
      <c r="J2935" s="5" t="s">
        <v>25</v>
      </c>
      <c r="K2935" s="7" t="str">
        <f>VLOOKUP(A2935,Sheet2!$A$2:$R$3432,6,0)</f>
        <v>Hero Duet </v>
      </c>
      <c r="L2935" s="5" t="s">
        <v>25</v>
      </c>
      <c r="M2935" s="7" t="str">
        <f>VLOOKUP(A2935,Sheet2!$A$2:$R$3432,5,0)</f>
        <v>MH13CN8811</v>
      </c>
      <c r="N2935" s="5" t="s">
        <v>25</v>
      </c>
      <c r="O2935" s="5" t="s">
        <v>25</v>
      </c>
      <c r="P2935" s="6" t="s">
        <v>25</v>
      </c>
      <c r="Q2935" s="5" t="s">
        <v>25</v>
      </c>
      <c r="R2935" s="5" t="s">
        <v>25</v>
      </c>
      <c r="S2935" s="7" t="str">
        <f>VLOOKUP(A2935,Sheet2!$A$2:$R$3432,18,0)</f>
        <v/>
      </c>
      <c r="T2935" s="7" t="str">
        <f>VLOOKUP(A2935,Sheet2!$A$2:$R$3432,17,0)</f>
        <v/>
      </c>
    </row>
    <row r="2936" ht="15.75" customHeight="1">
      <c r="A2936" s="3" t="s">
        <v>2959</v>
      </c>
      <c r="B2936" s="4" t="str">
        <f>VLOOKUP(A2936,Sheet2!$A$2:$R$3432,2,0)</f>
        <v>2025-03-30 21:19:15</v>
      </c>
      <c r="C2936" s="5" t="s">
        <v>25</v>
      </c>
      <c r="D2936" s="6" t="s">
        <v>25</v>
      </c>
      <c r="E2936" s="7">
        <f>VLOOKUP(A2936,Sheet2!$A$2:$R$3432,4,0)</f>
        <v>9545878780</v>
      </c>
      <c r="F2936" s="7" t="str">
        <f>VLOOKUP(A2936,Sheet2!$A$2:$R$3432,3,0)</f>
        <v>Aman</v>
      </c>
      <c r="G2936" s="5" t="s">
        <v>25</v>
      </c>
      <c r="H2936" s="5" t="s">
        <v>25</v>
      </c>
      <c r="I2936" s="5" t="s">
        <v>25</v>
      </c>
      <c r="J2936" s="5" t="s">
        <v>25</v>
      </c>
      <c r="K2936" s="7" t="str">
        <f>VLOOKUP(A2936,Sheet2!$A$2:$R$3432,6,0)</f>
        <v>Honda Activa 5G</v>
      </c>
      <c r="L2936" s="5" t="s">
        <v>25</v>
      </c>
      <c r="M2936" s="7" t="str">
        <f>VLOOKUP(A2936,Sheet2!$A$2:$R$3432,5,0)</f>
        <v>MH12QP2377</v>
      </c>
      <c r="N2936" s="5" t="s">
        <v>25</v>
      </c>
      <c r="O2936" s="5" t="s">
        <v>25</v>
      </c>
      <c r="P2936" s="6" t="s">
        <v>25</v>
      </c>
      <c r="Q2936" s="5" t="s">
        <v>25</v>
      </c>
      <c r="R2936" s="5" t="s">
        <v>25</v>
      </c>
      <c r="S2936" s="5" t="str">
        <f>VLOOKUP(A2936,Sheet2!$A$2:$R$3432,18,0)</f>
        <v>JF50EU8052805</v>
      </c>
      <c r="T2936" s="7" t="str">
        <f>VLOOKUP(A2936,Sheet2!$A$2:$R$3432,17,0)</f>
        <v>ME4J50BFJU52758</v>
      </c>
    </row>
    <row r="2937" ht="15.75" customHeight="1">
      <c r="A2937" s="3" t="s">
        <v>2960</v>
      </c>
      <c r="B2937" s="4" t="str">
        <f>VLOOKUP(A2937,Sheet2!$A$2:$R$3432,2,0)</f>
        <v>2025-03-30 19:35:58</v>
      </c>
      <c r="C2937" s="5" t="s">
        <v>25</v>
      </c>
      <c r="D2937" s="6" t="s">
        <v>25</v>
      </c>
      <c r="E2937" s="7">
        <f>VLOOKUP(A2937,Sheet2!$A$2:$R$3432,4,0)</f>
        <v>8445464646</v>
      </c>
      <c r="F2937" s="7" t="str">
        <f>VLOOKUP(A2937,Sheet2!$A$2:$R$3432,3,0)</f>
        <v>Sarthak</v>
      </c>
      <c r="G2937" s="5" t="s">
        <v>25</v>
      </c>
      <c r="H2937" s="5" t="s">
        <v>25</v>
      </c>
      <c r="I2937" s="5" t="s">
        <v>25</v>
      </c>
      <c r="J2937" s="5" t="s">
        <v>25</v>
      </c>
      <c r="K2937" s="7" t="str">
        <f>VLOOKUP(A2937,Sheet2!$A$2:$R$3432,6,0)</f>
        <v>Hero Duet </v>
      </c>
      <c r="L2937" s="5" t="s">
        <v>25</v>
      </c>
      <c r="M2937" s="7" t="str">
        <f>VLOOKUP(A2937,Sheet2!$A$2:$R$3432,5,0)</f>
        <v>UP23X4303</v>
      </c>
      <c r="N2937" s="5" t="s">
        <v>25</v>
      </c>
      <c r="O2937" s="5" t="s">
        <v>25</v>
      </c>
      <c r="P2937" s="6" t="s">
        <v>25</v>
      </c>
      <c r="Q2937" s="5" t="s">
        <v>25</v>
      </c>
      <c r="R2937" s="5" t="s">
        <v>25</v>
      </c>
      <c r="S2937" s="5" t="str">
        <f>VLOOKUP(A2937,Sheet2!$A$2:$R$3432,18,0)</f>
        <v>JF33ACJG807095</v>
      </c>
      <c r="T2937" s="7" t="str">
        <f>VLOOKUP(A2937,Sheet2!$A$2:$R$3432,17,0)</f>
        <v>MBLJFN029JG808002</v>
      </c>
    </row>
    <row r="2938" ht="15.75" customHeight="1">
      <c r="A2938" s="3" t="s">
        <v>2961</v>
      </c>
      <c r="B2938" s="4" t="str">
        <f>VLOOKUP(A2938,Sheet2!$A$2:$R$3432,2,0)</f>
        <v>2025-03-30 19:36:53</v>
      </c>
      <c r="C2938" s="5" t="s">
        <v>25</v>
      </c>
      <c r="D2938" s="6" t="s">
        <v>25</v>
      </c>
      <c r="E2938" s="7">
        <f>VLOOKUP(A2938,Sheet2!$A$2:$R$3432,4,0)</f>
        <v>9158811122</v>
      </c>
      <c r="F2938" s="7" t="str">
        <f>VLOOKUP(A2938,Sheet2!$A$2:$R$3432,3,0)</f>
        <v>VARUN RAJWADE</v>
      </c>
      <c r="G2938" s="5" t="s">
        <v>25</v>
      </c>
      <c r="H2938" s="5" t="s">
        <v>25</v>
      </c>
      <c r="I2938" s="5" t="s">
        <v>25</v>
      </c>
      <c r="J2938" s="5" t="s">
        <v>25</v>
      </c>
      <c r="K2938" s="7" t="str">
        <f>VLOOKUP(A2938,Sheet2!$A$2:$R$3432,6,0)</f>
        <v>Honda Activa 110</v>
      </c>
      <c r="L2938" s="5" t="s">
        <v>25</v>
      </c>
      <c r="M2938" s="7" t="str">
        <f>VLOOKUP(A2938,Sheet2!$A$2:$R$3432,5,0)</f>
        <v>MH14EL9978</v>
      </c>
      <c r="N2938" s="5" t="s">
        <v>25</v>
      </c>
      <c r="O2938" s="5" t="s">
        <v>25</v>
      </c>
      <c r="P2938" s="6" t="s">
        <v>25</v>
      </c>
      <c r="Q2938" s="5" t="s">
        <v>25</v>
      </c>
      <c r="R2938" s="5" t="s">
        <v>25</v>
      </c>
      <c r="S2938" s="5" t="str">
        <f>VLOOKUP(A2938,Sheet2!$A$2:$R$3432,18,0)</f>
        <v>JF50ET1120892</v>
      </c>
      <c r="T2938" s="7" t="str">
        <f>VLOOKUP(A2938,Sheet2!$A$2:$R$3432,17,0)</f>
        <v>ME4JF5026E7120873</v>
      </c>
    </row>
    <row r="2939" ht="15.75" customHeight="1">
      <c r="A2939" s="3" t="s">
        <v>2962</v>
      </c>
      <c r="B2939" s="4" t="str">
        <f>VLOOKUP(A2939,Sheet2!$A$2:$R$3432,2,0)</f>
        <v>2025-03-30 19:37:27</v>
      </c>
      <c r="C2939" s="5" t="s">
        <v>25</v>
      </c>
      <c r="D2939" s="6" t="s">
        <v>25</v>
      </c>
      <c r="E2939" s="7">
        <f>VLOOKUP(A2939,Sheet2!$A$2:$R$3432,4,0)</f>
        <v>7387015523</v>
      </c>
      <c r="F2939" s="7" t="str">
        <f>VLOOKUP(A2939,Sheet2!$A$2:$R$3432,3,0)</f>
        <v>PRAJWAL</v>
      </c>
      <c r="G2939" s="5" t="s">
        <v>25</v>
      </c>
      <c r="H2939" s="5" t="s">
        <v>25</v>
      </c>
      <c r="I2939" s="5" t="s">
        <v>25</v>
      </c>
      <c r="J2939" s="5" t="s">
        <v>25</v>
      </c>
      <c r="K2939" s="7" t="str">
        <f>VLOOKUP(A2939,Sheet2!$A$2:$R$3432,6,0)</f>
        <v>Honda Activa 4G</v>
      </c>
      <c r="L2939" s="5" t="s">
        <v>25</v>
      </c>
      <c r="M2939" s="7" t="str">
        <f>VLOOKUP(A2939,Sheet2!$A$2:$R$3432,5,0)</f>
        <v>MH20ES5646</v>
      </c>
      <c r="N2939" s="5" t="s">
        <v>25</v>
      </c>
      <c r="O2939" s="5" t="s">
        <v>25</v>
      </c>
      <c r="P2939" s="6" t="s">
        <v>25</v>
      </c>
      <c r="Q2939" s="5" t="s">
        <v>25</v>
      </c>
      <c r="R2939" s="5" t="s">
        <v>25</v>
      </c>
      <c r="S2939" s="7" t="str">
        <f>VLOOKUP(A2939,Sheet2!$A$2:$R$3432,18,0)</f>
        <v/>
      </c>
      <c r="T2939" s="7" t="str">
        <f>VLOOKUP(A2939,Sheet2!$A$2:$R$3432,17,0)</f>
        <v/>
      </c>
    </row>
    <row r="2940" ht="15.75" customHeight="1">
      <c r="A2940" s="3" t="s">
        <v>2963</v>
      </c>
      <c r="B2940" s="4" t="str">
        <f>VLOOKUP(A2940,Sheet2!$A$2:$R$3432,2,0)</f>
        <v>2025-03-30 19:30:28</v>
      </c>
      <c r="C2940" s="5" t="s">
        <v>25</v>
      </c>
      <c r="D2940" s="6" t="s">
        <v>25</v>
      </c>
      <c r="E2940" s="7">
        <f>VLOOKUP(A2940,Sheet2!$A$2:$R$3432,4,0)</f>
        <v>8147749833</v>
      </c>
      <c r="F2940" s="7" t="str">
        <f>VLOOKUP(A2940,Sheet2!$A$2:$R$3432,3,0)</f>
        <v>AKSHAY</v>
      </c>
      <c r="G2940" s="5" t="s">
        <v>25</v>
      </c>
      <c r="H2940" s="5" t="s">
        <v>25</v>
      </c>
      <c r="I2940" s="5" t="s">
        <v>25</v>
      </c>
      <c r="J2940" s="5" t="s">
        <v>25</v>
      </c>
      <c r="K2940" s="7" t="str">
        <f>VLOOKUP(A2940,Sheet2!$A$2:$R$3432,6,0)</f>
        <v>Bajaj Pulsar 135 LS</v>
      </c>
      <c r="L2940" s="5" t="s">
        <v>25</v>
      </c>
      <c r="M2940" s="7" t="str">
        <f>VLOOKUP(A2940,Sheet2!$A$2:$R$3432,5,0)</f>
        <v>KA20EN6878</v>
      </c>
      <c r="N2940" s="5" t="s">
        <v>25</v>
      </c>
      <c r="O2940" s="5" t="s">
        <v>25</v>
      </c>
      <c r="P2940" s="6" t="s">
        <v>25</v>
      </c>
      <c r="Q2940" s="5" t="s">
        <v>25</v>
      </c>
      <c r="R2940" s="5" t="s">
        <v>25</v>
      </c>
      <c r="S2940" s="5" t="str">
        <f>VLOOKUP(A2940,Sheet2!$A$2:$R$3432,18,0)</f>
        <v>JEYWHK08607</v>
      </c>
      <c r="T2940" s="7" t="str">
        <f>VLOOKUP(A2940,Sheet2!$A$2:$R$3432,17,0)</f>
        <v>MD2A17CY9HWK03242</v>
      </c>
    </row>
    <row r="2941" ht="15.75" customHeight="1">
      <c r="A2941" s="3" t="s">
        <v>2964</v>
      </c>
      <c r="B2941" s="4" t="str">
        <f>VLOOKUP(A2941,Sheet2!$A$2:$R$3432,2,0)</f>
        <v>2025-04-04 19:38:18</v>
      </c>
      <c r="C2941" s="5" t="s">
        <v>25</v>
      </c>
      <c r="D2941" s="6" t="s">
        <v>25</v>
      </c>
      <c r="E2941" s="7">
        <f>VLOOKUP(A2941,Sheet2!$A$2:$R$3432,4,0)</f>
        <v>9763489598</v>
      </c>
      <c r="F2941" s="7" t="str">
        <f>VLOOKUP(A2941,Sheet2!$A$2:$R$3432,3,0)</f>
        <v>Vaibhav Kamthe</v>
      </c>
      <c r="G2941" s="5" t="s">
        <v>25</v>
      </c>
      <c r="H2941" s="5" t="s">
        <v>25</v>
      </c>
      <c r="I2941" s="5" t="s">
        <v>25</v>
      </c>
      <c r="J2941" s="5" t="s">
        <v>25</v>
      </c>
      <c r="K2941" s="7" t="str">
        <f>VLOOKUP(A2941,Sheet2!$A$2:$R$3432,6,0)</f>
        <v>Honda Activa 3G</v>
      </c>
      <c r="L2941" s="5" t="s">
        <v>25</v>
      </c>
      <c r="M2941" s="7" t="str">
        <f>VLOOKUP(A2941,Sheet2!$A$2:$R$3432,5,0)</f>
        <v>MH14FB3856</v>
      </c>
      <c r="N2941" s="5" t="s">
        <v>25</v>
      </c>
      <c r="O2941" s="5" t="s">
        <v>25</v>
      </c>
      <c r="P2941" s="6" t="s">
        <v>25</v>
      </c>
      <c r="Q2941" s="5" t="s">
        <v>25</v>
      </c>
      <c r="R2941" s="5" t="s">
        <v>25</v>
      </c>
      <c r="S2941" s="5" t="str">
        <f>VLOOKUP(A2941,Sheet2!$A$2:$R$3432,18,0)</f>
        <v>JF50ET2644032</v>
      </c>
      <c r="T2941" s="7" t="str">
        <f>VLOOKUP(A2941,Sheet2!$A$2:$R$3432,17,0)</f>
        <v>ME4JF504HFT642985</v>
      </c>
    </row>
    <row r="2942" ht="15.75" customHeight="1">
      <c r="A2942" s="3" t="s">
        <v>2965</v>
      </c>
      <c r="B2942" s="4" t="str">
        <f>VLOOKUP(A2942,Sheet2!$A$2:$R$3432,2,0)</f>
        <v>2025-04-04 19:37:56</v>
      </c>
      <c r="C2942" s="5" t="s">
        <v>25</v>
      </c>
      <c r="D2942" s="6" t="s">
        <v>25</v>
      </c>
      <c r="E2942" s="7">
        <f>VLOOKUP(A2942,Sheet2!$A$2:$R$3432,4,0)</f>
        <v>9494956398</v>
      </c>
      <c r="F2942" s="7" t="str">
        <f>VLOOKUP(A2942,Sheet2!$A$2:$R$3432,3,0)</f>
        <v>PRADEEP</v>
      </c>
      <c r="G2942" s="5" t="s">
        <v>25</v>
      </c>
      <c r="H2942" s="5" t="s">
        <v>25</v>
      </c>
      <c r="I2942" s="5" t="s">
        <v>25</v>
      </c>
      <c r="J2942" s="5" t="s">
        <v>25</v>
      </c>
      <c r="K2942" s="7" t="str">
        <f>VLOOKUP(A2942,Sheet2!$A$2:$R$3432,6,0)</f>
        <v>Honda Shine 125</v>
      </c>
      <c r="L2942" s="5" t="s">
        <v>25</v>
      </c>
      <c r="M2942" s="7" t="str">
        <f>VLOOKUP(A2942,Sheet2!$A$2:$R$3432,5,0)</f>
        <v>MH12NN1484</v>
      </c>
      <c r="N2942" s="5" t="s">
        <v>25</v>
      </c>
      <c r="O2942" s="5" t="s">
        <v>25</v>
      </c>
      <c r="P2942" s="6" t="s">
        <v>25</v>
      </c>
      <c r="Q2942" s="5" t="s">
        <v>25</v>
      </c>
      <c r="R2942" s="5" t="s">
        <v>25</v>
      </c>
      <c r="S2942" s="5" t="str">
        <f>VLOOKUP(A2942,Sheet2!$A$2:$R$3432,18,0)</f>
        <v>JC65ET0463373</v>
      </c>
      <c r="T2942" s="7" t="str">
        <f>VLOOKUP(A2942,Sheet2!$A$2:$R$3432,17,0)</f>
        <v>ME4JC651JGT312621</v>
      </c>
    </row>
    <row r="2943" ht="15.75" customHeight="1">
      <c r="A2943" s="3" t="s">
        <v>2966</v>
      </c>
      <c r="B2943" s="4" t="str">
        <f>VLOOKUP(A2943,Sheet2!$A$2:$R$3432,2,0)</f>
        <v>2025-04-04 19:36:12</v>
      </c>
      <c r="C2943" s="5" t="s">
        <v>25</v>
      </c>
      <c r="D2943" s="6" t="s">
        <v>25</v>
      </c>
      <c r="E2943" s="7">
        <f>VLOOKUP(A2943,Sheet2!$A$2:$R$3432,4,0)</f>
        <v>9284775223</v>
      </c>
      <c r="F2943" s="7" t="str">
        <f>VLOOKUP(A2943,Sheet2!$A$2:$R$3432,3,0)</f>
        <v>DURGESH JADHAV </v>
      </c>
      <c r="G2943" s="5" t="s">
        <v>25</v>
      </c>
      <c r="H2943" s="5" t="s">
        <v>25</v>
      </c>
      <c r="I2943" s="5" t="s">
        <v>25</v>
      </c>
      <c r="J2943" s="5" t="s">
        <v>25</v>
      </c>
      <c r="K2943" s="7" t="str">
        <f>VLOOKUP(A2943,Sheet2!$A$2:$R$3432,6,0)</f>
        <v>Bajaj Pulsar 200 NS</v>
      </c>
      <c r="L2943" s="5" t="s">
        <v>25</v>
      </c>
      <c r="M2943" s="7" t="str">
        <f>VLOOKUP(A2943,Sheet2!$A$2:$R$3432,5,0)</f>
        <v>MH14KT1027</v>
      </c>
      <c r="N2943" s="5" t="s">
        <v>25</v>
      </c>
      <c r="O2943" s="5" t="s">
        <v>25</v>
      </c>
      <c r="P2943" s="6" t="s">
        <v>25</v>
      </c>
      <c r="Q2943" s="5" t="s">
        <v>25</v>
      </c>
      <c r="R2943" s="5" t="s">
        <v>25</v>
      </c>
      <c r="S2943" s="5" t="str">
        <f>VLOOKUP(A2943,Sheet2!$A$2:$R$3432,18,0)</f>
        <v>JLX0PK97741</v>
      </c>
      <c r="T2943" s="7" t="str">
        <f>VLOOKUP(A2943,Sheet2!$A$2:$R$3432,17,0)</f>
        <v>MD3A36FX2PCK49583</v>
      </c>
    </row>
    <row r="2944" ht="15.75" customHeight="1">
      <c r="A2944" s="3" t="s">
        <v>2967</v>
      </c>
      <c r="B2944" s="4" t="str">
        <f>VLOOKUP(A2944,Sheet2!$A$2:$R$3432,2,0)</f>
        <v>2025-04-04 19:35:32</v>
      </c>
      <c r="C2944" s="5" t="s">
        <v>25</v>
      </c>
      <c r="D2944" s="6" t="s">
        <v>25</v>
      </c>
      <c r="E2944" s="7">
        <f>VLOOKUP(A2944,Sheet2!$A$2:$R$3432,4,0)</f>
        <v>8605544154</v>
      </c>
      <c r="F2944" s="7" t="str">
        <f>VLOOKUP(A2944,Sheet2!$A$2:$R$3432,3,0)</f>
        <v>AMOL VARPE</v>
      </c>
      <c r="G2944" s="5" t="s">
        <v>25</v>
      </c>
      <c r="H2944" s="5" t="s">
        <v>25</v>
      </c>
      <c r="I2944" s="5" t="s">
        <v>25</v>
      </c>
      <c r="J2944" s="5" t="s">
        <v>25</v>
      </c>
      <c r="K2944" s="7" t="str">
        <f>VLOOKUP(A2944,Sheet2!$A$2:$R$3432,6,0)</f>
        <v>Hero CBZ Extreme</v>
      </c>
      <c r="L2944" s="5" t="s">
        <v>25</v>
      </c>
      <c r="M2944" s="7" t="str">
        <f>VLOOKUP(A2944,Sheet2!$A$2:$R$3432,5,0)</f>
        <v>MH14CV6784</v>
      </c>
      <c r="N2944" s="5" t="s">
        <v>25</v>
      </c>
      <c r="O2944" s="5" t="s">
        <v>25</v>
      </c>
      <c r="P2944" s="6" t="s">
        <v>25</v>
      </c>
      <c r="Q2944" s="5" t="s">
        <v>25</v>
      </c>
      <c r="R2944" s="5" t="s">
        <v>25</v>
      </c>
      <c r="S2944" s="7" t="str">
        <f>VLOOKUP(A2944,Sheet2!$A$2:$R$3432,18,0)</f>
        <v/>
      </c>
      <c r="T2944" s="7" t="str">
        <f>VLOOKUP(A2944,Sheet2!$A$2:$R$3432,17,0)</f>
        <v/>
      </c>
    </row>
    <row r="2945" ht="15.75" customHeight="1">
      <c r="A2945" s="3" t="s">
        <v>2968</v>
      </c>
      <c r="B2945" s="4" t="str">
        <f>VLOOKUP(A2945,Sheet2!$A$2:$R$3432,2,0)</f>
        <v>2025-04-04 19:33:47</v>
      </c>
      <c r="C2945" s="5" t="s">
        <v>25</v>
      </c>
      <c r="D2945" s="6" t="s">
        <v>25</v>
      </c>
      <c r="E2945" s="7">
        <f>VLOOKUP(A2945,Sheet2!$A$2:$R$3432,4,0)</f>
        <v>9727754606</v>
      </c>
      <c r="F2945" s="7" t="str">
        <f>VLOOKUP(A2945,Sheet2!$A$2:$R$3432,3,0)</f>
        <v>AJIT VAIDYA</v>
      </c>
      <c r="G2945" s="5" t="s">
        <v>25</v>
      </c>
      <c r="H2945" s="5" t="s">
        <v>25</v>
      </c>
      <c r="I2945" s="5" t="s">
        <v>25</v>
      </c>
      <c r="J2945" s="5" t="s">
        <v>25</v>
      </c>
      <c r="K2945" s="7" t="str">
        <f>VLOOKUP(A2945,Sheet2!$A$2:$R$3432,6,0)</f>
        <v>Piaggio Vespa </v>
      </c>
      <c r="L2945" s="5" t="s">
        <v>25</v>
      </c>
      <c r="M2945" s="7" t="str">
        <f>VLOOKUP(A2945,Sheet2!$A$2:$R$3432,5,0)</f>
        <v>MH12MX6721</v>
      </c>
      <c r="N2945" s="5" t="s">
        <v>25</v>
      </c>
      <c r="O2945" s="5" t="s">
        <v>25</v>
      </c>
      <c r="P2945" s="6" t="s">
        <v>25</v>
      </c>
      <c r="Q2945" s="5" t="s">
        <v>25</v>
      </c>
      <c r="R2945" s="5" t="s">
        <v>25</v>
      </c>
      <c r="S2945" s="7" t="str">
        <f>VLOOKUP(A2945,Sheet2!$A$2:$R$3432,18,0)</f>
        <v/>
      </c>
      <c r="T2945" s="7" t="str">
        <f>VLOOKUP(A2945,Sheet2!$A$2:$R$3432,17,0)</f>
        <v>MET0000AAPC038902</v>
      </c>
    </row>
    <row r="2946" ht="15.75" customHeight="1">
      <c r="A2946" s="3" t="s">
        <v>2969</v>
      </c>
      <c r="B2946" s="4" t="str">
        <f>VLOOKUP(A2946,Sheet2!$A$2:$R$3432,2,0)</f>
        <v>2025-04-04 19:44:08</v>
      </c>
      <c r="C2946" s="5" t="s">
        <v>25</v>
      </c>
      <c r="D2946" s="6" t="s">
        <v>25</v>
      </c>
      <c r="E2946" s="7">
        <f>VLOOKUP(A2946,Sheet2!$A$2:$R$3432,4,0)</f>
        <v>8390643571</v>
      </c>
      <c r="F2946" s="7" t="str">
        <f>VLOOKUP(A2946,Sheet2!$A$2:$R$3432,3,0)</f>
        <v>SHIVKUMAR</v>
      </c>
      <c r="G2946" s="5" t="s">
        <v>25</v>
      </c>
      <c r="H2946" s="5" t="s">
        <v>25</v>
      </c>
      <c r="I2946" s="5" t="s">
        <v>25</v>
      </c>
      <c r="J2946" s="5" t="s">
        <v>25</v>
      </c>
      <c r="K2946" s="7" t="str">
        <f>VLOOKUP(A2946,Sheet2!$A$2:$R$3432,6,0)</f>
        <v>Honda Activa 125</v>
      </c>
      <c r="L2946" s="5" t="s">
        <v>25</v>
      </c>
      <c r="M2946" s="7" t="str">
        <f>VLOOKUP(A2946,Sheet2!$A$2:$R$3432,5,0)</f>
        <v>MH26BG2463</v>
      </c>
      <c r="N2946" s="5" t="s">
        <v>25</v>
      </c>
      <c r="O2946" s="5" t="s">
        <v>25</v>
      </c>
      <c r="P2946" s="6" t="s">
        <v>25</v>
      </c>
      <c r="Q2946" s="5" t="s">
        <v>25</v>
      </c>
      <c r="R2946" s="5" t="s">
        <v>25</v>
      </c>
      <c r="S2946" s="5" t="str">
        <f>VLOOKUP(A2946,Sheet2!$A$2:$R$3432,18,0)</f>
        <v>JF49E82137347</v>
      </c>
      <c r="T2946" s="7" t="str">
        <f>VLOOKUP(A2946,Sheet2!$A$2:$R$3432,17,0)</f>
        <v>ME4JF495GH8085744</v>
      </c>
    </row>
    <row r="2947" ht="15.75" customHeight="1">
      <c r="A2947" s="3" t="s">
        <v>2970</v>
      </c>
      <c r="B2947" s="4" t="str">
        <f>VLOOKUP(A2947,Sheet2!$A$2:$R$3432,2,0)</f>
        <v>2025-04-04 19:53:32</v>
      </c>
      <c r="C2947" s="5" t="s">
        <v>25</v>
      </c>
      <c r="D2947" s="6" t="s">
        <v>25</v>
      </c>
      <c r="E2947" s="7">
        <f>VLOOKUP(A2947,Sheet2!$A$2:$R$3432,4,0)</f>
        <v>9096161717</v>
      </c>
      <c r="F2947" s="7" t="str">
        <f>VLOOKUP(A2947,Sheet2!$A$2:$R$3432,3,0)</f>
        <v>KALPESH DEVASHI</v>
      </c>
      <c r="G2947" s="5" t="s">
        <v>25</v>
      </c>
      <c r="H2947" s="5" t="s">
        <v>25</v>
      </c>
      <c r="I2947" s="5" t="s">
        <v>25</v>
      </c>
      <c r="J2947" s="5" t="s">
        <v>25</v>
      </c>
      <c r="K2947" s="7" t="str">
        <f>VLOOKUP(A2947,Sheet2!$A$2:$R$3432,6,0)</f>
        <v>Honda Activa 110</v>
      </c>
      <c r="L2947" s="5" t="s">
        <v>25</v>
      </c>
      <c r="M2947" s="7" t="str">
        <f>VLOOKUP(A2947,Sheet2!$A$2:$R$3432,5,0)</f>
        <v>MH12LB5390</v>
      </c>
      <c r="N2947" s="5" t="s">
        <v>25</v>
      </c>
      <c r="O2947" s="5" t="s">
        <v>25</v>
      </c>
      <c r="P2947" s="6" t="s">
        <v>25</v>
      </c>
      <c r="Q2947" s="5" t="s">
        <v>25</v>
      </c>
      <c r="R2947" s="5" t="s">
        <v>25</v>
      </c>
      <c r="S2947" s="7" t="str">
        <f>VLOOKUP(A2947,Sheet2!$A$2:$R$3432,18,0)</f>
        <v/>
      </c>
      <c r="T2947" s="7" t="str">
        <f>VLOOKUP(A2947,Sheet2!$A$2:$R$3432,17,0)</f>
        <v/>
      </c>
    </row>
    <row r="2948" ht="15.75" customHeight="1">
      <c r="A2948" s="3" t="s">
        <v>2971</v>
      </c>
      <c r="B2948" s="4" t="str">
        <f>VLOOKUP(A2948,Sheet2!$A$2:$R$3432,2,0)</f>
        <v>2025-04-04 19:39:40</v>
      </c>
      <c r="C2948" s="5" t="s">
        <v>25</v>
      </c>
      <c r="D2948" s="6" t="s">
        <v>25</v>
      </c>
      <c r="E2948" s="7">
        <f>VLOOKUP(A2948,Sheet2!$A$2:$R$3432,4,0)</f>
        <v>9482941207</v>
      </c>
      <c r="F2948" s="7" t="str">
        <f>VLOOKUP(A2948,Sheet2!$A$2:$R$3432,3,0)</f>
        <v>ARUN THAKUR</v>
      </c>
      <c r="G2948" s="5" t="s">
        <v>25</v>
      </c>
      <c r="H2948" s="5" t="s">
        <v>25</v>
      </c>
      <c r="I2948" s="5" t="s">
        <v>25</v>
      </c>
      <c r="J2948" s="5" t="s">
        <v>25</v>
      </c>
      <c r="K2948" s="7" t="str">
        <f>VLOOKUP(A2948,Sheet2!$A$2:$R$3432,6,0)</f>
        <v>Hero Pleasure </v>
      </c>
      <c r="L2948" s="5" t="s">
        <v>25</v>
      </c>
      <c r="M2948" s="7" t="str">
        <f>VLOOKUP(A2948,Sheet2!$A$2:$R$3432,5,0)</f>
        <v>MP20SD8301</v>
      </c>
      <c r="N2948" s="5" t="s">
        <v>25</v>
      </c>
      <c r="O2948" s="5" t="s">
        <v>25</v>
      </c>
      <c r="P2948" s="6" t="s">
        <v>25</v>
      </c>
      <c r="Q2948" s="5" t="s">
        <v>25</v>
      </c>
      <c r="R2948" s="5" t="s">
        <v>25</v>
      </c>
      <c r="S2948" s="7" t="str">
        <f>VLOOKUP(A2948,Sheet2!$A$2:$R$3432,18,0)</f>
        <v/>
      </c>
      <c r="T2948" s="7" t="str">
        <f>VLOOKUP(A2948,Sheet2!$A$2:$R$3432,17,0)</f>
        <v/>
      </c>
    </row>
    <row r="2949" ht="15.75" customHeight="1">
      <c r="A2949" s="3" t="s">
        <v>2972</v>
      </c>
      <c r="B2949" s="4" t="str">
        <f>VLOOKUP(A2949,Sheet2!$A$2:$R$3432,2,0)</f>
        <v>2024-11-23 19:55:26</v>
      </c>
      <c r="C2949" s="5" t="s">
        <v>25</v>
      </c>
      <c r="D2949" s="6" t="s">
        <v>25</v>
      </c>
      <c r="E2949" s="7">
        <f>VLOOKUP(A2949,Sheet2!$A$2:$R$3432,4,0)</f>
        <v>8087444804</v>
      </c>
      <c r="F2949" s="7" t="str">
        <f>VLOOKUP(A2949,Sheet2!$A$2:$R$3432,3,0)</f>
        <v>CHETAN NARKHEDE </v>
      </c>
      <c r="G2949" s="5" t="s">
        <v>25</v>
      </c>
      <c r="H2949" s="5" t="s">
        <v>25</v>
      </c>
      <c r="I2949" s="5" t="s">
        <v>25</v>
      </c>
      <c r="J2949" s="5" t="s">
        <v>25</v>
      </c>
      <c r="K2949" s="7" t="str">
        <f>VLOOKUP(A2949,Sheet2!$A$2:$R$3432,6,0)</f>
        <v>Honda Activa 110</v>
      </c>
      <c r="L2949" s="5" t="s">
        <v>25</v>
      </c>
      <c r="M2949" s="7" t="str">
        <f>VLOOKUP(A2949,Sheet2!$A$2:$R$3432,5,0)</f>
        <v>MH21AK9077</v>
      </c>
      <c r="N2949" s="5" t="s">
        <v>25</v>
      </c>
      <c r="O2949" s="5" t="s">
        <v>25</v>
      </c>
      <c r="P2949" s="6" t="s">
        <v>25</v>
      </c>
      <c r="Q2949" s="5" t="s">
        <v>25</v>
      </c>
      <c r="R2949" s="5" t="s">
        <v>25</v>
      </c>
      <c r="S2949" s="7" t="str">
        <f>VLOOKUP(A2949,Sheet2!$A$2:$R$3432,18,0)</f>
        <v/>
      </c>
      <c r="T2949" s="7" t="str">
        <f>VLOOKUP(A2949,Sheet2!$A$2:$R$3432,17,0)</f>
        <v/>
      </c>
    </row>
    <row r="2950" ht="15.75" customHeight="1">
      <c r="A2950" s="3" t="s">
        <v>2973</v>
      </c>
      <c r="B2950" s="4" t="str">
        <f>VLOOKUP(A2950,Sheet2!$A$2:$R$3432,2,0)</f>
        <v>2024-11-23 19:49:14</v>
      </c>
      <c r="C2950" s="5" t="s">
        <v>25</v>
      </c>
      <c r="D2950" s="6" t="s">
        <v>25</v>
      </c>
      <c r="E2950" s="7">
        <f>VLOOKUP(A2950,Sheet2!$A$2:$R$3432,4,0)</f>
        <v>9028858380</v>
      </c>
      <c r="F2950" s="7" t="str">
        <f>VLOOKUP(A2950,Sheet2!$A$2:$R$3432,3,0)</f>
        <v>Vaishnav</v>
      </c>
      <c r="G2950" s="5" t="s">
        <v>25</v>
      </c>
      <c r="H2950" s="5" t="s">
        <v>25</v>
      </c>
      <c r="I2950" s="5" t="s">
        <v>25</v>
      </c>
      <c r="J2950" s="5" t="s">
        <v>25</v>
      </c>
      <c r="K2950" s="7" t="str">
        <f>VLOOKUP(A2950,Sheet2!$A$2:$R$3432,6,0)</f>
        <v>Hero Glamour </v>
      </c>
      <c r="L2950" s="5" t="s">
        <v>25</v>
      </c>
      <c r="M2950" s="7" t="str">
        <f>VLOOKUP(A2950,Sheet2!$A$2:$R$3432,5,0)</f>
        <v>MH20ER3240</v>
      </c>
      <c r="N2950" s="5" t="s">
        <v>25</v>
      </c>
      <c r="O2950" s="5" t="s">
        <v>25</v>
      </c>
      <c r="P2950" s="6" t="s">
        <v>25</v>
      </c>
      <c r="Q2950" s="5" t="s">
        <v>25</v>
      </c>
      <c r="R2950" s="5" t="s">
        <v>25</v>
      </c>
      <c r="S2950" s="7" t="str">
        <f>VLOOKUP(A2950,Sheet2!$A$2:$R$3432,18,0)</f>
        <v/>
      </c>
      <c r="T2950" s="7" t="str">
        <f>VLOOKUP(A2950,Sheet2!$A$2:$R$3432,17,0)</f>
        <v/>
      </c>
    </row>
    <row r="2951" ht="15.75" customHeight="1">
      <c r="A2951" s="3" t="s">
        <v>2974</v>
      </c>
      <c r="B2951" s="4" t="str">
        <f>VLOOKUP(A2951,Sheet2!$A$2:$R$3432,2,0)</f>
        <v>2024-11-23 19:52:14</v>
      </c>
      <c r="C2951" s="5" t="s">
        <v>25</v>
      </c>
      <c r="D2951" s="6" t="s">
        <v>25</v>
      </c>
      <c r="E2951" s="7">
        <f>VLOOKUP(A2951,Sheet2!$A$2:$R$3432,4,0)</f>
        <v>8087444804</v>
      </c>
      <c r="F2951" s="7" t="str">
        <f>VLOOKUP(A2951,Sheet2!$A$2:$R$3432,3,0)</f>
        <v>Chetan</v>
      </c>
      <c r="G2951" s="5" t="s">
        <v>25</v>
      </c>
      <c r="H2951" s="5" t="s">
        <v>25</v>
      </c>
      <c r="I2951" s="5" t="s">
        <v>25</v>
      </c>
      <c r="J2951" s="5" t="s">
        <v>25</v>
      </c>
      <c r="K2951" s="7" t="str">
        <f>VLOOKUP(A2951,Sheet2!$A$2:$R$3432,6,0)</f>
        <v>Honda Activa 110</v>
      </c>
      <c r="L2951" s="5" t="s">
        <v>25</v>
      </c>
      <c r="M2951" s="7" t="str">
        <f>VLOOKUP(A2951,Sheet2!$A$2:$R$3432,5,0)</f>
        <v>MH12EL7321</v>
      </c>
      <c r="N2951" s="5" t="s">
        <v>25</v>
      </c>
      <c r="O2951" s="5" t="s">
        <v>25</v>
      </c>
      <c r="P2951" s="6" t="s">
        <v>25</v>
      </c>
      <c r="Q2951" s="5" t="s">
        <v>25</v>
      </c>
      <c r="R2951" s="5" t="s">
        <v>25</v>
      </c>
      <c r="S2951" s="7" t="str">
        <f>VLOOKUP(A2951,Sheet2!$A$2:$R$3432,18,0)</f>
        <v/>
      </c>
      <c r="T2951" s="7" t="str">
        <f>VLOOKUP(A2951,Sheet2!$A$2:$R$3432,17,0)</f>
        <v/>
      </c>
    </row>
    <row r="2952" ht="15.75" customHeight="1">
      <c r="A2952" s="3" t="s">
        <v>2975</v>
      </c>
      <c r="B2952" s="4" t="str">
        <f>VLOOKUP(A2952,Sheet2!$A$2:$R$3432,2,0)</f>
        <v>2024-11-23 19:52:41</v>
      </c>
      <c r="C2952" s="5" t="s">
        <v>25</v>
      </c>
      <c r="D2952" s="6" t="s">
        <v>25</v>
      </c>
      <c r="E2952" s="7">
        <f>VLOOKUP(A2952,Sheet2!$A$2:$R$3432,4,0)</f>
        <v>8904955456</v>
      </c>
      <c r="F2952" s="7" t="str">
        <f>VLOOKUP(A2952,Sheet2!$A$2:$R$3432,3,0)</f>
        <v>Subhash</v>
      </c>
      <c r="G2952" s="5" t="s">
        <v>25</v>
      </c>
      <c r="H2952" s="5" t="s">
        <v>25</v>
      </c>
      <c r="I2952" s="5" t="s">
        <v>25</v>
      </c>
      <c r="J2952" s="5" t="s">
        <v>25</v>
      </c>
      <c r="K2952" s="7" t="str">
        <f>VLOOKUP(A2952,Sheet2!$A$2:$R$3432,6,0)</f>
        <v>Honda Activa 3G</v>
      </c>
      <c r="L2952" s="5" t="s">
        <v>25</v>
      </c>
      <c r="M2952" s="7" t="str">
        <f>VLOOKUP(A2952,Sheet2!$A$2:$R$3432,5,0)</f>
        <v>KA25EY7224</v>
      </c>
      <c r="N2952" s="5" t="s">
        <v>25</v>
      </c>
      <c r="O2952" s="5" t="s">
        <v>25</v>
      </c>
      <c r="P2952" s="6" t="s">
        <v>25</v>
      </c>
      <c r="Q2952" s="5" t="s">
        <v>25</v>
      </c>
      <c r="R2952" s="5" t="s">
        <v>25</v>
      </c>
      <c r="S2952" s="5" t="str">
        <f>VLOOKUP(A2952,Sheet2!$A$2:$R$3432,18,0)</f>
        <v>JF50ET3857613</v>
      </c>
      <c r="T2952" s="7" t="str">
        <f>VLOOKUP(A2952,Sheet2!$A$2:$R$3432,17,0)</f>
        <v>ME4JF505KGT785485</v>
      </c>
    </row>
    <row r="2953" ht="15.75" customHeight="1">
      <c r="A2953" s="3" t="s">
        <v>2976</v>
      </c>
      <c r="B2953" s="4" t="str">
        <f>VLOOKUP(A2953,Sheet2!$A$2:$R$3432,2,0)</f>
        <v>2024-11-23 19:49:56</v>
      </c>
      <c r="C2953" s="5" t="s">
        <v>25</v>
      </c>
      <c r="D2953" s="6" t="s">
        <v>25</v>
      </c>
      <c r="E2953" s="7">
        <f>VLOOKUP(A2953,Sheet2!$A$2:$R$3432,4,0)</f>
        <v>7391050757</v>
      </c>
      <c r="F2953" s="7" t="str">
        <f>VLOOKUP(A2953,Sheet2!$A$2:$R$3432,3,0)</f>
        <v>Giridhar </v>
      </c>
      <c r="G2953" s="5" t="s">
        <v>25</v>
      </c>
      <c r="H2953" s="5" t="s">
        <v>25</v>
      </c>
      <c r="I2953" s="5" t="s">
        <v>25</v>
      </c>
      <c r="J2953" s="5" t="s">
        <v>25</v>
      </c>
      <c r="K2953" s="7" t="str">
        <f>VLOOKUP(A2953,Sheet2!$A$2:$R$3432,6,0)</f>
        <v>TVS Jupiter 125</v>
      </c>
      <c r="L2953" s="5" t="s">
        <v>25</v>
      </c>
      <c r="M2953" s="7" t="str">
        <f>VLOOKUP(A2953,Sheet2!$A$2:$R$3432,5,0)</f>
        <v>MH14KH9806</v>
      </c>
      <c r="N2953" s="5" t="s">
        <v>25</v>
      </c>
      <c r="O2953" s="5" t="s">
        <v>25</v>
      </c>
      <c r="P2953" s="6" t="s">
        <v>25</v>
      </c>
      <c r="Q2953" s="5" t="s">
        <v>25</v>
      </c>
      <c r="R2953" s="5" t="s">
        <v>25</v>
      </c>
      <c r="S2953" s="5" t="str">
        <f>VLOOKUP(A2953,Sheet2!$A$2:$R$3432,18,0)</f>
        <v>BK4GN1616622</v>
      </c>
      <c r="T2953" s="7" t="str">
        <f>VLOOKUP(A2953,Sheet2!$A$2:$R$3432,17,0)</f>
        <v>MD62AK4XN1G17268</v>
      </c>
    </row>
    <row r="2954" ht="15.75" customHeight="1">
      <c r="A2954" s="3" t="s">
        <v>2977</v>
      </c>
      <c r="B2954" s="4" t="str">
        <f>VLOOKUP(A2954,Sheet2!$A$2:$R$3432,2,0)</f>
        <v>2024-11-23 20:44:40</v>
      </c>
      <c r="C2954" s="5" t="s">
        <v>25</v>
      </c>
      <c r="D2954" s="6" t="s">
        <v>25</v>
      </c>
      <c r="E2954" s="7">
        <f>VLOOKUP(A2954,Sheet2!$A$2:$R$3432,4,0)</f>
        <v>8928284484</v>
      </c>
      <c r="F2954" s="7" t="str">
        <f>VLOOKUP(A2954,Sheet2!$A$2:$R$3432,3,0)</f>
        <v>VIKAS</v>
      </c>
      <c r="G2954" s="5" t="s">
        <v>25</v>
      </c>
      <c r="H2954" s="5" t="s">
        <v>25</v>
      </c>
      <c r="I2954" s="5" t="s">
        <v>25</v>
      </c>
      <c r="J2954" s="5" t="s">
        <v>25</v>
      </c>
      <c r="K2954" s="7" t="str">
        <f>VLOOKUP(A2954,Sheet2!$A$2:$R$3432,6,0)</f>
        <v>Suzuki Access 125</v>
      </c>
      <c r="L2954" s="5" t="s">
        <v>25</v>
      </c>
      <c r="M2954" s="7" t="str">
        <f>VLOOKUP(A2954,Sheet2!$A$2:$R$3432,5,0)</f>
        <v>MH29AF3133</v>
      </c>
      <c r="N2954" s="5" t="s">
        <v>25</v>
      </c>
      <c r="O2954" s="5" t="s">
        <v>25</v>
      </c>
      <c r="P2954" s="6" t="s">
        <v>25</v>
      </c>
      <c r="Q2954" s="5" t="s">
        <v>25</v>
      </c>
      <c r="R2954" s="5" t="s">
        <v>25</v>
      </c>
      <c r="S2954" s="5" t="str">
        <f>VLOOKUP(A2954,Sheet2!$A$2:$R$3432,18,0)</f>
        <v>CF4862235936</v>
      </c>
      <c r="T2954" s="7" t="str">
        <f>VLOOKUP(A2954,Sheet2!$A$2:$R$3432,17,0)</f>
        <v>MB8CF4KCB240273</v>
      </c>
    </row>
    <row r="2955" ht="15.75" customHeight="1">
      <c r="A2955" s="3" t="s">
        <v>2978</v>
      </c>
      <c r="B2955" s="4" t="str">
        <f>VLOOKUP(A2955,Sheet2!$A$2:$R$3432,2,0)</f>
        <v>2024-11-23 19:55:02</v>
      </c>
      <c r="C2955" s="5" t="s">
        <v>25</v>
      </c>
      <c r="D2955" s="6" t="s">
        <v>25</v>
      </c>
      <c r="E2955" s="7">
        <f>VLOOKUP(A2955,Sheet2!$A$2:$R$3432,4,0)</f>
        <v>9766390063</v>
      </c>
      <c r="F2955" s="7" t="str">
        <f>VLOOKUP(A2955,Sheet2!$A$2:$R$3432,3,0)</f>
        <v>PRATHAMESH</v>
      </c>
      <c r="G2955" s="5" t="s">
        <v>25</v>
      </c>
      <c r="H2955" s="5" t="s">
        <v>25</v>
      </c>
      <c r="I2955" s="5" t="s">
        <v>25</v>
      </c>
      <c r="J2955" s="5" t="s">
        <v>25</v>
      </c>
      <c r="K2955" s="7" t="str">
        <f>VLOOKUP(A2955,Sheet2!$A$2:$R$3432,6,0)</f>
        <v>Honda Shine 125</v>
      </c>
      <c r="L2955" s="5" t="s">
        <v>25</v>
      </c>
      <c r="M2955" s="7" t="str">
        <f>VLOOKUP(A2955,Sheet2!$A$2:$R$3432,5,0)</f>
        <v>MH45U8523</v>
      </c>
      <c r="N2955" s="5" t="s">
        <v>25</v>
      </c>
      <c r="O2955" s="5" t="s">
        <v>25</v>
      </c>
      <c r="P2955" s="6" t="s">
        <v>25</v>
      </c>
      <c r="Q2955" s="5" t="s">
        <v>25</v>
      </c>
      <c r="R2955" s="5" t="s">
        <v>25</v>
      </c>
      <c r="S2955" s="5" t="str">
        <f>VLOOKUP(A2955,Sheet2!$A$2:$R$3432,18,0)</f>
        <v>JC36E77965768</v>
      </c>
      <c r="T2955" s="7" t="str">
        <f>VLOOKUP(A2955,Sheet2!$A$2:$R$3432,17,0)</f>
        <v>ME4JC3JKD764833</v>
      </c>
    </row>
    <row r="2956" ht="15.75" customHeight="1">
      <c r="A2956" s="3" t="s">
        <v>2979</v>
      </c>
      <c r="B2956" s="4" t="str">
        <f>VLOOKUP(A2956,Sheet2!$A$2:$R$3432,2,0)</f>
        <v>2025-04-25 10:16:14</v>
      </c>
      <c r="C2956" s="5" t="s">
        <v>25</v>
      </c>
      <c r="D2956" s="6" t="s">
        <v>25</v>
      </c>
      <c r="E2956" s="7">
        <f>VLOOKUP(A2956,Sheet2!$A$2:$R$3432,4,0)</f>
        <v>8767610834</v>
      </c>
      <c r="F2956" s="7" t="str">
        <f>VLOOKUP(A2956,Sheet2!$A$2:$R$3432,3,0)</f>
        <v>SANDIP </v>
      </c>
      <c r="G2956" s="5" t="s">
        <v>25</v>
      </c>
      <c r="H2956" s="5" t="s">
        <v>25</v>
      </c>
      <c r="I2956" s="5" t="s">
        <v>25</v>
      </c>
      <c r="J2956" s="5" t="s">
        <v>25</v>
      </c>
      <c r="K2956" s="7" t="str">
        <f>VLOOKUP(A2956,Sheet2!$A$2:$R$3432,6,0)</f>
        <v>Aprilla SR SR 150</v>
      </c>
      <c r="L2956" s="5" t="s">
        <v>25</v>
      </c>
      <c r="M2956" s="7" t="str">
        <f>VLOOKUP(A2956,Sheet2!$A$2:$R$3432,5,0)</f>
        <v>MH12NN4550</v>
      </c>
      <c r="N2956" s="5" t="s">
        <v>25</v>
      </c>
      <c r="O2956" s="5" t="s">
        <v>25</v>
      </c>
      <c r="P2956" s="6" t="s">
        <v>25</v>
      </c>
      <c r="Q2956" s="5" t="s">
        <v>25</v>
      </c>
      <c r="R2956" s="5" t="s">
        <v>25</v>
      </c>
      <c r="S2956" s="7" t="str">
        <f>VLOOKUP(A2956,Sheet2!$A$2:$R$3432,18,0)</f>
        <v/>
      </c>
      <c r="T2956" s="7" t="str">
        <f>VLOOKUP(A2956,Sheet2!$A$2:$R$3432,17,0)</f>
        <v/>
      </c>
    </row>
    <row r="2957" ht="15.75" customHeight="1">
      <c r="A2957" s="3" t="s">
        <v>2980</v>
      </c>
      <c r="B2957" s="4" t="str">
        <f>VLOOKUP(A2957,Sheet2!$A$2:$R$3432,2,0)</f>
        <v>2025-04-25 20:34:11</v>
      </c>
      <c r="C2957" s="5" t="s">
        <v>25</v>
      </c>
      <c r="D2957" s="6" t="s">
        <v>25</v>
      </c>
      <c r="E2957" s="7">
        <f>VLOOKUP(A2957,Sheet2!$A$2:$R$3432,4,0)</f>
        <v>8446642710</v>
      </c>
      <c r="F2957" s="7" t="str">
        <f>VLOOKUP(A2957,Sheet2!$A$2:$R$3432,3,0)</f>
        <v>AKASH</v>
      </c>
      <c r="G2957" s="5" t="s">
        <v>25</v>
      </c>
      <c r="H2957" s="5" t="s">
        <v>25</v>
      </c>
      <c r="I2957" s="5" t="s">
        <v>25</v>
      </c>
      <c r="J2957" s="5" t="s">
        <v>25</v>
      </c>
      <c r="K2957" s="7" t="str">
        <f>VLOOKUP(A2957,Sheet2!$A$2:$R$3432,6,0)</f>
        <v>Bajaj Pulsar 200 NS</v>
      </c>
      <c r="L2957" s="5" t="s">
        <v>25</v>
      </c>
      <c r="M2957" s="7" t="str">
        <f>VLOOKUP(A2957,Sheet2!$A$2:$R$3432,5,0)</f>
        <v>MH12NY8234</v>
      </c>
      <c r="N2957" s="5" t="s">
        <v>25</v>
      </c>
      <c r="O2957" s="5" t="s">
        <v>25</v>
      </c>
      <c r="P2957" s="6" t="s">
        <v>25</v>
      </c>
      <c r="Q2957" s="5" t="s">
        <v>25</v>
      </c>
      <c r="R2957" s="5" t="s">
        <v>25</v>
      </c>
      <c r="S2957" s="5" t="str">
        <f>VLOOKUP(A2957,Sheet2!$A$2:$R$3432,18,0)</f>
        <v>JLYCHL11354</v>
      </c>
      <c r="T2957" s="7" t="str">
        <f>VLOOKUP(A2957,Sheet2!$A$2:$R$3432,17,0)</f>
        <v>JD2A36FYXHCL12729</v>
      </c>
    </row>
    <row r="2958" ht="15.75" customHeight="1">
      <c r="A2958" s="3" t="s">
        <v>2981</v>
      </c>
      <c r="B2958" s="4" t="str">
        <f>VLOOKUP(A2958,Sheet2!$A$2:$R$3432,2,0)</f>
        <v>2025-04-25 20:33:39</v>
      </c>
      <c r="C2958" s="5" t="s">
        <v>25</v>
      </c>
      <c r="D2958" s="6" t="s">
        <v>25</v>
      </c>
      <c r="E2958" s="7">
        <f>VLOOKUP(A2958,Sheet2!$A$2:$R$3432,4,0)</f>
        <v>7737381901</v>
      </c>
      <c r="F2958" s="7" t="str">
        <f>VLOOKUP(A2958,Sheet2!$A$2:$R$3432,3,0)</f>
        <v>Piyush </v>
      </c>
      <c r="G2958" s="5" t="s">
        <v>25</v>
      </c>
      <c r="H2958" s="5" t="s">
        <v>25</v>
      </c>
      <c r="I2958" s="5" t="s">
        <v>25</v>
      </c>
      <c r="J2958" s="5" t="s">
        <v>25</v>
      </c>
      <c r="K2958" s="7" t="str">
        <f>VLOOKUP(A2958,Sheet2!$A$2:$R$3432,6,0)</f>
        <v>Yamaha FZ S</v>
      </c>
      <c r="L2958" s="5" t="s">
        <v>25</v>
      </c>
      <c r="M2958" s="7" t="str">
        <f>VLOOKUP(A2958,Sheet2!$A$2:$R$3432,5,0)</f>
        <v>MH14LQ1949</v>
      </c>
      <c r="N2958" s="5" t="s">
        <v>25</v>
      </c>
      <c r="O2958" s="5" t="s">
        <v>25</v>
      </c>
      <c r="P2958" s="6" t="s">
        <v>25</v>
      </c>
      <c r="Q2958" s="5" t="s">
        <v>25</v>
      </c>
      <c r="R2958" s="5" t="s">
        <v>25</v>
      </c>
      <c r="S2958" s="5" t="str">
        <f>VLOOKUP(A2958,Sheet2!$A$2:$R$3432,18,0)</f>
        <v>21CHD33012</v>
      </c>
      <c r="T2958" s="7" t="str">
        <f>VLOOKUP(A2958,Sheet2!$A$2:$R$3432,17,0)</f>
        <v>ME1Z1COH7D203296</v>
      </c>
    </row>
    <row r="2959" ht="15.75" customHeight="1">
      <c r="A2959" s="3" t="s">
        <v>2982</v>
      </c>
      <c r="B2959" s="4" t="str">
        <f>VLOOKUP(A2959,Sheet2!$A$2:$R$3432,2,0)</f>
        <v>2025-04-25 20:35:16</v>
      </c>
      <c r="C2959" s="5" t="s">
        <v>25</v>
      </c>
      <c r="D2959" s="6" t="s">
        <v>25</v>
      </c>
      <c r="E2959" s="7">
        <f>VLOOKUP(A2959,Sheet2!$A$2:$R$3432,4,0)</f>
        <v>9657981318</v>
      </c>
      <c r="F2959" s="7" t="str">
        <f>VLOOKUP(A2959,Sheet2!$A$2:$R$3432,3,0)</f>
        <v>VAIBHAV UGLE</v>
      </c>
      <c r="G2959" s="5" t="s">
        <v>25</v>
      </c>
      <c r="H2959" s="5" t="s">
        <v>25</v>
      </c>
      <c r="I2959" s="5" t="s">
        <v>25</v>
      </c>
      <c r="J2959" s="5" t="s">
        <v>25</v>
      </c>
      <c r="K2959" s="7" t="str">
        <f>VLOOKUP(A2959,Sheet2!$A$2:$R$3432,6,0)</f>
        <v>Hero Splendor Plus</v>
      </c>
      <c r="L2959" s="5" t="s">
        <v>25</v>
      </c>
      <c r="M2959" s="7" t="str">
        <f>VLOOKUP(A2959,Sheet2!$A$2:$R$3432,5,0)</f>
        <v>MH21BY1318</v>
      </c>
      <c r="N2959" s="5" t="s">
        <v>25</v>
      </c>
      <c r="O2959" s="5" t="s">
        <v>25</v>
      </c>
      <c r="P2959" s="6" t="s">
        <v>25</v>
      </c>
      <c r="Q2959" s="5" t="s">
        <v>25</v>
      </c>
      <c r="R2959" s="5" t="s">
        <v>25</v>
      </c>
      <c r="S2959" s="5" t="str">
        <f>VLOOKUP(A2959,Sheet2!$A$2:$R$3432,18,0)</f>
        <v>HA11EYP4A0M614</v>
      </c>
      <c r="T2959" s="7" t="str">
        <f>VLOOKUP(A2959,Sheet2!$A$2:$R$3432,17,0)</f>
        <v>MBLHAW124P4A09308</v>
      </c>
    </row>
    <row r="2960" ht="15.75" customHeight="1">
      <c r="A2960" s="3" t="s">
        <v>2983</v>
      </c>
      <c r="B2960" s="4" t="str">
        <f>VLOOKUP(A2960,Sheet2!$A$2:$R$3432,2,0)</f>
        <v>2025-04-24 18:59:19</v>
      </c>
      <c r="C2960" s="5" t="s">
        <v>25</v>
      </c>
      <c r="D2960" s="6" t="s">
        <v>25</v>
      </c>
      <c r="E2960" s="7">
        <f>VLOOKUP(A2960,Sheet2!$A$2:$R$3432,4,0)</f>
        <v>9881193257</v>
      </c>
      <c r="F2960" s="7" t="str">
        <f>VLOOKUP(A2960,Sheet2!$A$2:$R$3432,3,0)</f>
        <v>BHAVIK NADHE</v>
      </c>
      <c r="G2960" s="5" t="s">
        <v>25</v>
      </c>
      <c r="H2960" s="5" t="s">
        <v>25</v>
      </c>
      <c r="I2960" s="5" t="s">
        <v>25</v>
      </c>
      <c r="J2960" s="5" t="s">
        <v>25</v>
      </c>
      <c r="K2960" s="7" t="str">
        <f>VLOOKUP(A2960,Sheet2!$A$2:$R$3432,6,0)</f>
        <v>TVS Jupiter </v>
      </c>
      <c r="L2960" s="5" t="s">
        <v>25</v>
      </c>
      <c r="M2960" s="7" t="str">
        <f>VLOOKUP(A2960,Sheet2!$A$2:$R$3432,5,0)</f>
        <v>MH12LN0688</v>
      </c>
      <c r="N2960" s="5" t="s">
        <v>25</v>
      </c>
      <c r="O2960" s="5" t="s">
        <v>25</v>
      </c>
      <c r="P2960" s="6" t="s">
        <v>25</v>
      </c>
      <c r="Q2960" s="5" t="s">
        <v>25</v>
      </c>
      <c r="R2960" s="5" t="s">
        <v>25</v>
      </c>
      <c r="S2960" s="5" t="str">
        <f>VLOOKUP(A2960,Sheet2!$A$2:$R$3432,18,0)</f>
        <v>GB4NE1339406</v>
      </c>
      <c r="T2960" s="7" t="str">
        <f>VLOOKUP(A2960,Sheet2!$A$2:$R$3432,17,0)</f>
        <v>MD626G48E1N44641</v>
      </c>
    </row>
    <row r="2961" ht="15.75" customHeight="1">
      <c r="A2961" s="3" t="s">
        <v>2984</v>
      </c>
      <c r="B2961" s="4" t="str">
        <f>VLOOKUP(A2961,Sheet2!$A$2:$R$3432,2,0)</f>
        <v>2025-04-24 18:58:37</v>
      </c>
      <c r="C2961" s="5" t="s">
        <v>25</v>
      </c>
      <c r="D2961" s="6" t="s">
        <v>25</v>
      </c>
      <c r="E2961" s="7">
        <f>VLOOKUP(A2961,Sheet2!$A$2:$R$3432,4,0)</f>
        <v>9552553646</v>
      </c>
      <c r="F2961" s="7" t="str">
        <f>VLOOKUP(A2961,Sheet2!$A$2:$R$3432,3,0)</f>
        <v>Vinay Singh </v>
      </c>
      <c r="G2961" s="5" t="s">
        <v>25</v>
      </c>
      <c r="H2961" s="5" t="s">
        <v>25</v>
      </c>
      <c r="I2961" s="5" t="s">
        <v>25</v>
      </c>
      <c r="J2961" s="5" t="s">
        <v>25</v>
      </c>
      <c r="K2961" s="7" t="str">
        <f>VLOOKUP(A2961,Sheet2!$A$2:$R$3432,6,0)</f>
        <v>Yamaha FZ S</v>
      </c>
      <c r="L2961" s="5" t="s">
        <v>25</v>
      </c>
      <c r="M2961" s="7" t="str">
        <f>VLOOKUP(A2961,Sheet2!$A$2:$R$3432,5,0)</f>
        <v>MH14DW6620</v>
      </c>
      <c r="N2961" s="5" t="s">
        <v>25</v>
      </c>
      <c r="O2961" s="5" t="s">
        <v>25</v>
      </c>
      <c r="P2961" s="6" t="s">
        <v>25</v>
      </c>
      <c r="Q2961" s="5" t="s">
        <v>25</v>
      </c>
      <c r="R2961" s="5" t="s">
        <v>25</v>
      </c>
      <c r="S2961" s="7" t="str">
        <f>VLOOKUP(A2961,Sheet2!$A$2:$R$3432,18,0)</f>
        <v/>
      </c>
      <c r="T2961" s="7" t="str">
        <f>VLOOKUP(A2961,Sheet2!$A$2:$R$3432,17,0)</f>
        <v/>
      </c>
    </row>
    <row r="2962" ht="15.75" customHeight="1">
      <c r="A2962" s="3" t="s">
        <v>2985</v>
      </c>
      <c r="B2962" s="4" t="str">
        <f>VLOOKUP(A2962,Sheet2!$A$2:$R$3432,2,0)</f>
        <v>2025-04-24 20:33:47</v>
      </c>
      <c r="C2962" s="5" t="s">
        <v>25</v>
      </c>
      <c r="D2962" s="6" t="s">
        <v>25</v>
      </c>
      <c r="E2962" s="7">
        <f>VLOOKUP(A2962,Sheet2!$A$2:$R$3432,4,0)</f>
        <v>9860588902</v>
      </c>
      <c r="F2962" s="7" t="str">
        <f>VLOOKUP(A2962,Sheet2!$A$2:$R$3432,3,0)</f>
        <v>RAMESH BHOSALE</v>
      </c>
      <c r="G2962" s="5" t="s">
        <v>25</v>
      </c>
      <c r="H2962" s="5" t="s">
        <v>25</v>
      </c>
      <c r="I2962" s="5" t="s">
        <v>25</v>
      </c>
      <c r="J2962" s="5" t="s">
        <v>25</v>
      </c>
      <c r="K2962" s="7" t="str">
        <f>VLOOKUP(A2962,Sheet2!$A$2:$R$3432,6,0)</f>
        <v>Yamaha Ray Z</v>
      </c>
      <c r="L2962" s="5" t="s">
        <v>25</v>
      </c>
      <c r="M2962" s="7" t="str">
        <f>VLOOKUP(A2962,Sheet2!$A$2:$R$3432,5,0)</f>
        <v>MH12LE0114</v>
      </c>
      <c r="N2962" s="5" t="s">
        <v>25</v>
      </c>
      <c r="O2962" s="5" t="s">
        <v>25</v>
      </c>
      <c r="P2962" s="6" t="s">
        <v>25</v>
      </c>
      <c r="Q2962" s="5" t="s">
        <v>25</v>
      </c>
      <c r="R2962" s="5" t="s">
        <v>25</v>
      </c>
      <c r="S2962" s="7" t="str">
        <f>VLOOKUP(A2962,Sheet2!$A$2:$R$3432,18,0)</f>
        <v/>
      </c>
      <c r="T2962" s="7" t="str">
        <f>VLOOKUP(A2962,Sheet2!$A$2:$R$3432,17,0)</f>
        <v/>
      </c>
    </row>
    <row r="2963" ht="15.75" customHeight="1">
      <c r="A2963" s="3" t="s">
        <v>2986</v>
      </c>
      <c r="B2963" s="4" t="str">
        <f>VLOOKUP(A2963,Sheet2!$A$2:$R$3432,2,0)</f>
        <v>2025-05-22 13:11:24</v>
      </c>
      <c r="C2963" s="5" t="s">
        <v>25</v>
      </c>
      <c r="D2963" s="6" t="s">
        <v>25</v>
      </c>
      <c r="E2963" s="7">
        <f>VLOOKUP(A2963,Sheet2!$A$2:$R$3432,4,0)</f>
        <v>9766945541</v>
      </c>
      <c r="F2963" s="7" t="str">
        <f>VLOOKUP(A2963,Sheet2!$A$2:$R$3432,3,0)</f>
        <v>Ashok Choudhary</v>
      </c>
      <c r="G2963" s="5" t="s">
        <v>25</v>
      </c>
      <c r="H2963" s="5" t="s">
        <v>25</v>
      </c>
      <c r="I2963" s="5" t="s">
        <v>25</v>
      </c>
      <c r="J2963" s="5" t="s">
        <v>25</v>
      </c>
      <c r="K2963" s="7" t="str">
        <f>VLOOKUP(A2963,Sheet2!$A$2:$R$3432,6,0)</f>
        <v>Honda Activa 5G</v>
      </c>
      <c r="L2963" s="5" t="s">
        <v>25</v>
      </c>
      <c r="M2963" s="7" t="str">
        <f>VLOOKUP(A2963,Sheet2!$A$2:$R$3432,5,0)</f>
        <v>MH14HZ7180</v>
      </c>
      <c r="N2963" s="5" t="s">
        <v>25</v>
      </c>
      <c r="O2963" s="5" t="s">
        <v>25</v>
      </c>
      <c r="P2963" s="6" t="s">
        <v>25</v>
      </c>
      <c r="Q2963" s="5" t="s">
        <v>25</v>
      </c>
      <c r="R2963" s="5" t="s">
        <v>25</v>
      </c>
      <c r="S2963" s="5" t="str">
        <f>VLOOKUP(A2963,Sheet2!$A$2:$R$3432,18,0)</f>
        <v>JF50EG1165366</v>
      </c>
      <c r="T2963" s="7" t="str">
        <f>VLOOKUP(A2963,Sheet2!$A$2:$R$3432,17,0)</f>
        <v>ME4JF50BMKG167305</v>
      </c>
    </row>
    <row r="2964" ht="15.75" customHeight="1">
      <c r="A2964" s="3" t="s">
        <v>2987</v>
      </c>
      <c r="B2964" s="4" t="str">
        <f>VLOOKUP(A2964,Sheet2!$A$2:$R$3432,2,0)</f>
        <v>2025-05-22 22:17:44</v>
      </c>
      <c r="C2964" s="5" t="s">
        <v>25</v>
      </c>
      <c r="D2964" s="6" t="s">
        <v>25</v>
      </c>
      <c r="E2964" s="7">
        <f>VLOOKUP(A2964,Sheet2!$A$2:$R$3432,4,0)</f>
        <v>9595357213</v>
      </c>
      <c r="F2964" s="7" t="str">
        <f>VLOOKUP(A2964,Sheet2!$A$2:$R$3432,3,0)</f>
        <v>Makrand Lanjewar</v>
      </c>
      <c r="G2964" s="5" t="s">
        <v>25</v>
      </c>
      <c r="H2964" s="5" t="s">
        <v>25</v>
      </c>
      <c r="I2964" s="5" t="s">
        <v>25</v>
      </c>
      <c r="J2964" s="5" t="s">
        <v>25</v>
      </c>
      <c r="K2964" s="7" t="str">
        <f>VLOOKUP(A2964,Sheet2!$A$2:$R$3432,6,0)</f>
        <v>TVS Ntorq BS6</v>
      </c>
      <c r="L2964" s="5" t="s">
        <v>25</v>
      </c>
      <c r="M2964" s="7" t="str">
        <f>VLOOKUP(A2964,Sheet2!$A$2:$R$3432,5,0)</f>
        <v>MH31FM7010</v>
      </c>
      <c r="N2964" s="5" t="s">
        <v>25</v>
      </c>
      <c r="O2964" s="5" t="s">
        <v>25</v>
      </c>
      <c r="P2964" s="6" t="s">
        <v>25</v>
      </c>
      <c r="Q2964" s="5" t="s">
        <v>25</v>
      </c>
      <c r="R2964" s="5" t="s">
        <v>25</v>
      </c>
      <c r="S2964" s="5" t="str">
        <f>VLOOKUP(A2964,Sheet2!$A$2:$R$3432,18,0)</f>
        <v>AK3GL2009558</v>
      </c>
      <c r="T2964" s="7" t="str">
        <f>VLOOKUP(A2964,Sheet2!$A$2:$R$3432,17,0)</f>
        <v>MD626AK3XL2G104B1</v>
      </c>
    </row>
    <row r="2965" ht="15.75" customHeight="1">
      <c r="A2965" s="3" t="s">
        <v>2988</v>
      </c>
      <c r="B2965" s="4" t="str">
        <f>VLOOKUP(A2965,Sheet2!$A$2:$R$3432,2,0)</f>
        <v>2025-05-22 22:18:40</v>
      </c>
      <c r="C2965" s="5" t="s">
        <v>25</v>
      </c>
      <c r="D2965" s="6" t="s">
        <v>25</v>
      </c>
      <c r="E2965" s="7">
        <f>VLOOKUP(A2965,Sheet2!$A$2:$R$3432,4,0)</f>
        <v>9766930474</v>
      </c>
      <c r="F2965" s="7" t="str">
        <f>VLOOKUP(A2965,Sheet2!$A$2:$R$3432,3,0)</f>
        <v>MANOJ SUKAPURE</v>
      </c>
      <c r="G2965" s="5" t="s">
        <v>25</v>
      </c>
      <c r="H2965" s="5" t="s">
        <v>25</v>
      </c>
      <c r="I2965" s="5" t="s">
        <v>25</v>
      </c>
      <c r="J2965" s="5" t="s">
        <v>25</v>
      </c>
      <c r="K2965" s="7" t="str">
        <f>VLOOKUP(A2965,Sheet2!$A$2:$R$3432,6,0)</f>
        <v>Honda Shine 125</v>
      </c>
      <c r="L2965" s="5" t="s">
        <v>25</v>
      </c>
      <c r="M2965" s="7" t="str">
        <f>VLOOKUP(A2965,Sheet2!$A$2:$R$3432,5,0)</f>
        <v>MH12JT6447</v>
      </c>
      <c r="N2965" s="5" t="s">
        <v>25</v>
      </c>
      <c r="O2965" s="5" t="s">
        <v>25</v>
      </c>
      <c r="P2965" s="6" t="s">
        <v>25</v>
      </c>
      <c r="Q2965" s="5" t="s">
        <v>25</v>
      </c>
      <c r="R2965" s="5" t="s">
        <v>25</v>
      </c>
      <c r="S2965" s="5" t="str">
        <f>VLOOKUP(A2965,Sheet2!$A$2:$R$3432,18,0)</f>
        <v>JC36E77434611</v>
      </c>
      <c r="T2965" s="7" t="str">
        <f>VLOOKUP(A2965,Sheet2!$A$2:$R$3432,17,0)</f>
        <v>ME4JC36JAD7284432</v>
      </c>
    </row>
    <row r="2966" ht="15.75" customHeight="1">
      <c r="A2966" s="3" t="s">
        <v>2989</v>
      </c>
      <c r="B2966" s="4" t="str">
        <f>VLOOKUP(A2966,Sheet2!$A$2:$R$3432,2,0)</f>
        <v>2025-05-22 22:19:44</v>
      </c>
      <c r="C2966" s="5" t="s">
        <v>25</v>
      </c>
      <c r="D2966" s="6" t="s">
        <v>25</v>
      </c>
      <c r="E2966" s="7">
        <f>VLOOKUP(A2966,Sheet2!$A$2:$R$3432,4,0)</f>
        <v>7020787335</v>
      </c>
      <c r="F2966" s="7" t="str">
        <f>VLOOKUP(A2966,Sheet2!$A$2:$R$3432,3,0)</f>
        <v>Lokesh</v>
      </c>
      <c r="G2966" s="5" t="s">
        <v>25</v>
      </c>
      <c r="H2966" s="5" t="s">
        <v>25</v>
      </c>
      <c r="I2966" s="5" t="s">
        <v>25</v>
      </c>
      <c r="J2966" s="5" t="s">
        <v>25</v>
      </c>
      <c r="K2966" s="7" t="str">
        <f>VLOOKUP(A2966,Sheet2!$A$2:$R$3432,6,0)</f>
        <v>Honda Unicorn No Data</v>
      </c>
      <c r="L2966" s="5" t="s">
        <v>25</v>
      </c>
      <c r="M2966" s="7" t="str">
        <f>VLOOKUP(A2966,Sheet2!$A$2:$R$3432,5,0)</f>
        <v>MH19DJ1830</v>
      </c>
      <c r="N2966" s="5" t="s">
        <v>25</v>
      </c>
      <c r="O2966" s="5" t="s">
        <v>25</v>
      </c>
      <c r="P2966" s="6" t="s">
        <v>25</v>
      </c>
      <c r="Q2966" s="5" t="s">
        <v>25</v>
      </c>
      <c r="R2966" s="5" t="s">
        <v>25</v>
      </c>
      <c r="S2966" s="5" t="str">
        <f>VLOOKUP(A2966,Sheet2!$A$2:$R$3432,18,0)</f>
        <v>KC31E80488654</v>
      </c>
      <c r="T2966" s="7" t="str">
        <f>VLOOKUP(A2966,Sheet2!$A$2:$R$3432,17,0)</f>
        <v>ME4KC311AK8488794</v>
      </c>
    </row>
    <row r="2967" ht="15.75" customHeight="1">
      <c r="A2967" s="3" t="s">
        <v>2990</v>
      </c>
      <c r="B2967" s="4" t="str">
        <f>VLOOKUP(A2967,Sheet2!$A$2:$R$3432,2,0)</f>
        <v>2025-05-22 22:19:23</v>
      </c>
      <c r="C2967" s="5" t="s">
        <v>25</v>
      </c>
      <c r="D2967" s="6" t="s">
        <v>25</v>
      </c>
      <c r="E2967" s="7">
        <f>VLOOKUP(A2967,Sheet2!$A$2:$R$3432,4,0)</f>
        <v>8087575708</v>
      </c>
      <c r="F2967" s="7" t="str">
        <f>VLOOKUP(A2967,Sheet2!$A$2:$R$3432,3,0)</f>
        <v>Suhas</v>
      </c>
      <c r="G2967" s="5" t="s">
        <v>25</v>
      </c>
      <c r="H2967" s="5" t="s">
        <v>25</v>
      </c>
      <c r="I2967" s="5" t="s">
        <v>25</v>
      </c>
      <c r="J2967" s="5" t="s">
        <v>25</v>
      </c>
      <c r="K2967" s="7" t="str">
        <f>VLOOKUP(A2967,Sheet2!$A$2:$R$3432,6,0)</f>
        <v>TVS Apache RTR 160</v>
      </c>
      <c r="L2967" s="5" t="s">
        <v>25</v>
      </c>
      <c r="M2967" s="7" t="str">
        <f>VLOOKUP(A2967,Sheet2!$A$2:$R$3432,5,0)</f>
        <v>MH09EZ0082</v>
      </c>
      <c r="N2967" s="5" t="s">
        <v>25</v>
      </c>
      <c r="O2967" s="5" t="s">
        <v>25</v>
      </c>
      <c r="P2967" s="6" t="s">
        <v>25</v>
      </c>
      <c r="Q2967" s="5" t="s">
        <v>25</v>
      </c>
      <c r="R2967" s="5" t="s">
        <v>25</v>
      </c>
      <c r="S2967" s="7" t="str">
        <f>VLOOKUP(A2967,Sheet2!$A$2:$R$3432,18,0)</f>
        <v/>
      </c>
      <c r="T2967" s="7" t="str">
        <f>VLOOKUP(A2967,Sheet2!$A$2:$R$3432,17,0)</f>
        <v/>
      </c>
    </row>
    <row r="2968" ht="15.75" customHeight="1">
      <c r="A2968" s="3" t="s">
        <v>2991</v>
      </c>
      <c r="B2968" s="4" t="str">
        <f>VLOOKUP(A2968,Sheet2!$A$2:$R$3432,2,0)</f>
        <v>2025-05-22 22:20:40</v>
      </c>
      <c r="C2968" s="5" t="s">
        <v>25</v>
      </c>
      <c r="D2968" s="6" t="s">
        <v>25</v>
      </c>
      <c r="E2968" s="7">
        <f>VLOOKUP(A2968,Sheet2!$A$2:$R$3432,4,0)</f>
        <v>8669787479</v>
      </c>
      <c r="F2968" s="7" t="str">
        <f>VLOOKUP(A2968,Sheet2!$A$2:$R$3432,3,0)</f>
        <v>AKASH</v>
      </c>
      <c r="G2968" s="5" t="s">
        <v>25</v>
      </c>
      <c r="H2968" s="5" t="s">
        <v>25</v>
      </c>
      <c r="I2968" s="5" t="s">
        <v>25</v>
      </c>
      <c r="J2968" s="5" t="s">
        <v>25</v>
      </c>
      <c r="K2968" s="7" t="str">
        <f>VLOOKUP(A2968,Sheet2!$A$2:$R$3432,6,0)</f>
        <v>Bajaj Pulsar 200 RS</v>
      </c>
      <c r="L2968" s="5" t="s">
        <v>25</v>
      </c>
      <c r="M2968" s="7" t="str">
        <f>VLOOKUP(A2968,Sheet2!$A$2:$R$3432,5,0)</f>
        <v>MH12MT5605</v>
      </c>
      <c r="N2968" s="5" t="s">
        <v>25</v>
      </c>
      <c r="O2968" s="5" t="s">
        <v>25</v>
      </c>
      <c r="P2968" s="6" t="s">
        <v>25</v>
      </c>
      <c r="Q2968" s="5" t="s">
        <v>25</v>
      </c>
      <c r="R2968" s="5" t="s">
        <v>25</v>
      </c>
      <c r="S2968" s="7" t="str">
        <f>VLOOKUP(A2968,Sheet2!$A$2:$R$3432,18,0)</f>
        <v/>
      </c>
      <c r="T2968" s="7" t="str">
        <f>VLOOKUP(A2968,Sheet2!$A$2:$R$3432,17,0)</f>
        <v>MD2A55FZ2GCK04049</v>
      </c>
    </row>
    <row r="2969" ht="15.75" customHeight="1">
      <c r="A2969" s="3" t="s">
        <v>2992</v>
      </c>
      <c r="B2969" s="4" t="str">
        <f>VLOOKUP(A2969,Sheet2!$A$2:$R$3432,2,0)</f>
        <v>2025-05-22 19:54:45</v>
      </c>
      <c r="C2969" s="5" t="s">
        <v>25</v>
      </c>
      <c r="D2969" s="6" t="s">
        <v>25</v>
      </c>
      <c r="E2969" s="7">
        <f>VLOOKUP(A2969,Sheet2!$A$2:$R$3432,4,0)</f>
        <v>7798186982</v>
      </c>
      <c r="F2969" s="7" t="str">
        <f>VLOOKUP(A2969,Sheet2!$A$2:$R$3432,3,0)</f>
        <v>Chaudhari</v>
      </c>
      <c r="G2969" s="5" t="s">
        <v>25</v>
      </c>
      <c r="H2969" s="5" t="s">
        <v>25</v>
      </c>
      <c r="I2969" s="5" t="s">
        <v>25</v>
      </c>
      <c r="J2969" s="5" t="s">
        <v>25</v>
      </c>
      <c r="K2969" s="7" t="str">
        <f>VLOOKUP(A2969,Sheet2!$A$2:$R$3432,6,0)</f>
        <v>Suzuki Access </v>
      </c>
      <c r="L2969" s="5" t="s">
        <v>25</v>
      </c>
      <c r="M2969" s="7" t="str">
        <f>VLOOKUP(A2969,Sheet2!$A$2:$R$3432,5,0)</f>
        <v>MH14FK1194</v>
      </c>
      <c r="N2969" s="5" t="s">
        <v>25</v>
      </c>
      <c r="O2969" s="5" t="s">
        <v>25</v>
      </c>
      <c r="P2969" s="6" t="s">
        <v>25</v>
      </c>
      <c r="Q2969" s="5" t="s">
        <v>25</v>
      </c>
      <c r="R2969" s="5" t="s">
        <v>25</v>
      </c>
      <c r="S2969" s="7" t="str">
        <f>VLOOKUP(A2969,Sheet2!$A$2:$R$3432,18,0)</f>
        <v/>
      </c>
      <c r="T2969" s="7" t="str">
        <f>VLOOKUP(A2969,Sheet2!$A$2:$R$3432,17,0)</f>
        <v>MB86F4CAMF872024</v>
      </c>
    </row>
    <row r="2970" ht="15.75" customHeight="1">
      <c r="A2970" s="3" t="s">
        <v>2993</v>
      </c>
      <c r="B2970" s="4" t="str">
        <f>VLOOKUP(A2970,Sheet2!$A$2:$R$3432,2,0)</f>
        <v>2025-06-18 13:29:18</v>
      </c>
      <c r="C2970" s="5" t="s">
        <v>25</v>
      </c>
      <c r="D2970" s="6" t="s">
        <v>25</v>
      </c>
      <c r="E2970" s="7">
        <f>VLOOKUP(A2970,Sheet2!$A$2:$R$3432,4,0)</f>
        <v>9049794201</v>
      </c>
      <c r="F2970" s="7" t="str">
        <f>VLOOKUP(A2970,Sheet2!$A$2:$R$3432,3,0)</f>
        <v>Onkar Dapke</v>
      </c>
      <c r="G2970" s="5" t="s">
        <v>25</v>
      </c>
      <c r="H2970" s="5" t="s">
        <v>25</v>
      </c>
      <c r="I2970" s="5" t="s">
        <v>25</v>
      </c>
      <c r="J2970" s="5" t="s">
        <v>25</v>
      </c>
      <c r="K2970" s="7" t="str">
        <f>VLOOKUP(A2970,Sheet2!$A$2:$R$3432,6,0)</f>
        <v>Hero Xpulse 200T</v>
      </c>
      <c r="L2970" s="5" t="s">
        <v>25</v>
      </c>
      <c r="M2970" s="7" t="str">
        <f>VLOOKUP(A2970,Sheet2!$A$2:$R$3432,5,0)</f>
        <v>MH12VR5234</v>
      </c>
      <c r="N2970" s="5" t="s">
        <v>25</v>
      </c>
      <c r="O2970" s="5" t="s">
        <v>25</v>
      </c>
      <c r="P2970" s="6" t="s">
        <v>25</v>
      </c>
      <c r="Q2970" s="5" t="s">
        <v>25</v>
      </c>
      <c r="R2970" s="5" t="s">
        <v>25</v>
      </c>
      <c r="S2970" s="7" t="str">
        <f>VLOOKUP(A2970,Sheet2!$A$2:$R$3432,18,0)</f>
        <v/>
      </c>
      <c r="T2970" s="7" t="str">
        <f>VLOOKUP(A2970,Sheet2!$A$2:$R$3432,17,0)</f>
        <v/>
      </c>
    </row>
    <row r="2971" ht="15.75" customHeight="1">
      <c r="A2971" s="3" t="s">
        <v>2994</v>
      </c>
      <c r="B2971" s="4" t="str">
        <f>VLOOKUP(A2971,Sheet2!$A$2:$R$3432,2,0)</f>
        <v>2025-04-03 20:20:21</v>
      </c>
      <c r="C2971" s="5" t="s">
        <v>25</v>
      </c>
      <c r="D2971" s="6" t="s">
        <v>25</v>
      </c>
      <c r="E2971" s="7">
        <f>VLOOKUP(A2971,Sheet2!$A$2:$R$3432,4,0)</f>
        <v>9561466895</v>
      </c>
      <c r="F2971" s="7" t="str">
        <f>VLOOKUP(A2971,Sheet2!$A$2:$R$3432,3,0)</f>
        <v>Sudarshan </v>
      </c>
      <c r="G2971" s="5" t="s">
        <v>25</v>
      </c>
      <c r="H2971" s="5" t="s">
        <v>25</v>
      </c>
      <c r="I2971" s="5" t="s">
        <v>25</v>
      </c>
      <c r="J2971" s="5" t="s">
        <v>25</v>
      </c>
      <c r="K2971" s="7" t="str">
        <f>VLOOKUP(A2971,Sheet2!$A$2:$R$3432,6,0)</f>
        <v>Hero Karizma </v>
      </c>
      <c r="L2971" s="5" t="s">
        <v>25</v>
      </c>
      <c r="M2971" s="7" t="str">
        <f>VLOOKUP(A2971,Sheet2!$A$2:$R$3432,5,0)</f>
        <v>MH49M6215</v>
      </c>
      <c r="N2971" s="5" t="s">
        <v>25</v>
      </c>
      <c r="O2971" s="5" t="s">
        <v>25</v>
      </c>
      <c r="P2971" s="6" t="s">
        <v>25</v>
      </c>
      <c r="Q2971" s="5" t="s">
        <v>25</v>
      </c>
      <c r="R2971" s="5" t="s">
        <v>25</v>
      </c>
      <c r="S2971" s="7" t="str">
        <f>VLOOKUP(A2971,Sheet2!$A$2:$R$3432,18,0)</f>
        <v/>
      </c>
      <c r="T2971" s="7" t="str">
        <f>VLOOKUP(A2971,Sheet2!$A$2:$R$3432,17,0)</f>
        <v/>
      </c>
    </row>
    <row r="2972" ht="15.75" customHeight="1">
      <c r="A2972" s="3" t="s">
        <v>2995</v>
      </c>
      <c r="B2972" s="4" t="str">
        <f>VLOOKUP(A2972,Sheet2!$A$2:$R$3432,2,0)</f>
        <v>2025-04-03 20:19:05</v>
      </c>
      <c r="C2972" s="5" t="s">
        <v>25</v>
      </c>
      <c r="D2972" s="6" t="s">
        <v>25</v>
      </c>
      <c r="E2972" s="7">
        <f>VLOOKUP(A2972,Sheet2!$A$2:$R$3432,4,0)</f>
        <v>9579465253</v>
      </c>
      <c r="F2972" s="7" t="str">
        <f>VLOOKUP(A2972,Sheet2!$A$2:$R$3432,3,0)</f>
        <v>VINAYAK BOBADE</v>
      </c>
      <c r="G2972" s="5" t="s">
        <v>25</v>
      </c>
      <c r="H2972" s="5" t="s">
        <v>25</v>
      </c>
      <c r="I2972" s="5" t="s">
        <v>25</v>
      </c>
      <c r="J2972" s="5" t="s">
        <v>25</v>
      </c>
      <c r="K2972" s="7" t="str">
        <f>VLOOKUP(A2972,Sheet2!$A$2:$R$3432,6,0)</f>
        <v>Hero Splendor Pro</v>
      </c>
      <c r="L2972" s="5" t="s">
        <v>25</v>
      </c>
      <c r="M2972" s="7" t="str">
        <f>VLOOKUP(A2972,Sheet2!$A$2:$R$3432,5,0)</f>
        <v>MH34AK7823</v>
      </c>
      <c r="N2972" s="5" t="s">
        <v>25</v>
      </c>
      <c r="O2972" s="5" t="s">
        <v>25</v>
      </c>
      <c r="P2972" s="6" t="s">
        <v>25</v>
      </c>
      <c r="Q2972" s="5" t="s">
        <v>25</v>
      </c>
      <c r="R2972" s="5" t="s">
        <v>25</v>
      </c>
      <c r="S2972" s="7" t="str">
        <f>VLOOKUP(A2972,Sheet2!$A$2:$R$3432,18,0)</f>
        <v/>
      </c>
      <c r="T2972" s="7" t="str">
        <f>VLOOKUP(A2972,Sheet2!$A$2:$R$3432,17,0)</f>
        <v/>
      </c>
    </row>
    <row r="2973" ht="15.75" customHeight="1">
      <c r="A2973" s="3" t="s">
        <v>2996</v>
      </c>
      <c r="B2973" s="4" t="str">
        <f>VLOOKUP(A2973,Sheet2!$A$2:$R$3432,2,0)</f>
        <v>2025-04-03 20:18:44</v>
      </c>
      <c r="C2973" s="5" t="s">
        <v>25</v>
      </c>
      <c r="D2973" s="6" t="s">
        <v>25</v>
      </c>
      <c r="E2973" s="7">
        <f>VLOOKUP(A2973,Sheet2!$A$2:$R$3432,4,0)</f>
        <v>7620570902</v>
      </c>
      <c r="F2973" s="7" t="str">
        <f>VLOOKUP(A2973,Sheet2!$A$2:$R$3432,3,0)</f>
        <v> Shravan Kulkarni </v>
      </c>
      <c r="G2973" s="5" t="s">
        <v>25</v>
      </c>
      <c r="H2973" s="5" t="s">
        <v>25</v>
      </c>
      <c r="I2973" s="5" t="s">
        <v>25</v>
      </c>
      <c r="J2973" s="5" t="s">
        <v>25</v>
      </c>
      <c r="K2973" s="7" t="str">
        <f>VLOOKUP(A2973,Sheet2!$A$2:$R$3432,6,0)</f>
        <v>Honda Dio New</v>
      </c>
      <c r="L2973" s="5" t="s">
        <v>25</v>
      </c>
      <c r="M2973" s="7" t="str">
        <f>VLOOKUP(A2973,Sheet2!$A$2:$R$3432,5,0)</f>
        <v>MH20FD0651</v>
      </c>
      <c r="N2973" s="5" t="s">
        <v>25</v>
      </c>
      <c r="O2973" s="5" t="s">
        <v>25</v>
      </c>
      <c r="P2973" s="6" t="s">
        <v>25</v>
      </c>
      <c r="Q2973" s="5" t="s">
        <v>25</v>
      </c>
      <c r="R2973" s="5" t="s">
        <v>25</v>
      </c>
      <c r="S2973" s="5" t="str">
        <f>VLOOKUP(A2973,Sheet2!$A$2:$R$3432,18,0)</f>
        <v>JF3944059410</v>
      </c>
      <c r="T2973" s="7" t="str">
        <f>VLOOKUP(A2973,Sheet2!$A$2:$R$3432,17,0)</f>
        <v>ME4JF30HEJG15780</v>
      </c>
    </row>
    <row r="2974" ht="15.75" customHeight="1">
      <c r="A2974" s="3" t="s">
        <v>2997</v>
      </c>
      <c r="B2974" s="4" t="str">
        <f>VLOOKUP(A2974,Sheet2!$A$2:$R$3432,2,0)</f>
        <v>2025-04-03 20:19:18</v>
      </c>
      <c r="C2974" s="5" t="s">
        <v>25</v>
      </c>
      <c r="D2974" s="6" t="s">
        <v>25</v>
      </c>
      <c r="E2974" s="7">
        <f>VLOOKUP(A2974,Sheet2!$A$2:$R$3432,4,0)</f>
        <v>9096460485</v>
      </c>
      <c r="F2974" s="7" t="str">
        <f>VLOOKUP(A2974,Sheet2!$A$2:$R$3432,3,0)</f>
        <v>Rohan </v>
      </c>
      <c r="G2974" s="5" t="s">
        <v>25</v>
      </c>
      <c r="H2974" s="5" t="s">
        <v>25</v>
      </c>
      <c r="I2974" s="5" t="s">
        <v>25</v>
      </c>
      <c r="J2974" s="5" t="s">
        <v>25</v>
      </c>
      <c r="K2974" s="7" t="str">
        <f>VLOOKUP(A2974,Sheet2!$A$2:$R$3432,6,0)</f>
        <v>Honda Activa 3G</v>
      </c>
      <c r="L2974" s="5" t="s">
        <v>25</v>
      </c>
      <c r="M2974" s="7" t="str">
        <f>VLOOKUP(A2974,Sheet2!$A$2:$R$3432,5,0)</f>
        <v>MH14FY7706</v>
      </c>
      <c r="N2974" s="5" t="s">
        <v>25</v>
      </c>
      <c r="O2974" s="5" t="s">
        <v>25</v>
      </c>
      <c r="P2974" s="6" t="s">
        <v>25</v>
      </c>
      <c r="Q2974" s="5" t="s">
        <v>25</v>
      </c>
      <c r="R2974" s="5" t="s">
        <v>25</v>
      </c>
      <c r="S2974" s="5" t="str">
        <f>VLOOKUP(A2974,Sheet2!$A$2:$R$3432,18,0)</f>
        <v>JF50EUG038778</v>
      </c>
      <c r="T2974" s="7" t="str">
        <f>VLOOKUP(A2974,Sheet2!$A$2:$R$3432,17,0)</f>
        <v>ME4JF509LGU038742</v>
      </c>
    </row>
    <row r="2975" ht="15.75" customHeight="1">
      <c r="A2975" s="3" t="s">
        <v>2998</v>
      </c>
      <c r="B2975" s="4" t="str">
        <f>VLOOKUP(A2975,Sheet2!$A$2:$R$3432,2,0)</f>
        <v>2025-04-03 20:19:54</v>
      </c>
      <c r="C2975" s="5" t="s">
        <v>25</v>
      </c>
      <c r="D2975" s="6" t="s">
        <v>25</v>
      </c>
      <c r="E2975" s="7">
        <f>VLOOKUP(A2975,Sheet2!$A$2:$R$3432,4,0)</f>
        <v>7006212934</v>
      </c>
      <c r="F2975" s="7" t="str">
        <f>VLOOKUP(A2975,Sheet2!$A$2:$R$3432,3,0)</f>
        <v>Tarun Sharma</v>
      </c>
      <c r="G2975" s="5" t="s">
        <v>25</v>
      </c>
      <c r="H2975" s="5" t="s">
        <v>25</v>
      </c>
      <c r="I2975" s="5" t="s">
        <v>25</v>
      </c>
      <c r="J2975" s="5" t="s">
        <v>25</v>
      </c>
      <c r="K2975" s="7" t="str">
        <f>VLOOKUP(A2975,Sheet2!$A$2:$R$3432,6,0)</f>
        <v>Jawa Jawa No Data</v>
      </c>
      <c r="L2975" s="5" t="s">
        <v>25</v>
      </c>
      <c r="M2975" s="7" t="str">
        <f>VLOOKUP(A2975,Sheet2!$A$2:$R$3432,5,0)</f>
        <v>JK02CN1014</v>
      </c>
      <c r="N2975" s="5" t="s">
        <v>25</v>
      </c>
      <c r="O2975" s="5" t="s">
        <v>25</v>
      </c>
      <c r="P2975" s="6" t="s">
        <v>25</v>
      </c>
      <c r="Q2975" s="5" t="s">
        <v>25</v>
      </c>
      <c r="R2975" s="5" t="s">
        <v>25</v>
      </c>
      <c r="S2975" s="5" t="str">
        <f>VLOOKUP(A2975,Sheet2!$A$2:$R$3432,18,0)</f>
        <v>NAEKL019707</v>
      </c>
      <c r="T2975" s="7" t="str">
        <f>VLOOKUP(A2975,Sheet2!$A$2:$R$3432,17,0)</f>
        <v>MZGAW1C16K1L19808</v>
      </c>
    </row>
    <row r="2976" ht="15.75" customHeight="1">
      <c r="A2976" s="3" t="s">
        <v>2999</v>
      </c>
      <c r="B2976" s="4" t="str">
        <f>VLOOKUP(A2976,Sheet2!$A$2:$R$3432,2,0)</f>
        <v>2025-04-03 20:19:36</v>
      </c>
      <c r="C2976" s="5" t="s">
        <v>25</v>
      </c>
      <c r="D2976" s="6" t="s">
        <v>25</v>
      </c>
      <c r="E2976" s="7">
        <f>VLOOKUP(A2976,Sheet2!$A$2:$R$3432,4,0)</f>
        <v>9766580833</v>
      </c>
      <c r="F2976" s="7" t="str">
        <f>VLOOKUP(A2976,Sheet2!$A$2:$R$3432,3,0)</f>
        <v>Bhushan Humane</v>
      </c>
      <c r="G2976" s="5" t="s">
        <v>25</v>
      </c>
      <c r="H2976" s="5" t="s">
        <v>25</v>
      </c>
      <c r="I2976" s="5" t="s">
        <v>25</v>
      </c>
      <c r="J2976" s="5" t="s">
        <v>25</v>
      </c>
      <c r="K2976" s="7" t="str">
        <f>VLOOKUP(A2976,Sheet2!$A$2:$R$3432,6,0)</f>
        <v>Honda Grazia </v>
      </c>
      <c r="L2976" s="5" t="s">
        <v>25</v>
      </c>
      <c r="M2976" s="7" t="str">
        <f>VLOOKUP(A2976,Sheet2!$A$2:$R$3432,5,0)</f>
        <v>MH14KE0795</v>
      </c>
      <c r="N2976" s="5" t="s">
        <v>25</v>
      </c>
      <c r="O2976" s="5" t="s">
        <v>25</v>
      </c>
      <c r="P2976" s="6" t="s">
        <v>25</v>
      </c>
      <c r="Q2976" s="5" t="s">
        <v>25</v>
      </c>
      <c r="R2976" s="5" t="s">
        <v>25</v>
      </c>
      <c r="S2976" s="5" t="str">
        <f>VLOOKUP(A2976,Sheet2!$A$2:$R$3432,18,0)</f>
        <v>JF99EW0141700</v>
      </c>
      <c r="T2976" s="7" t="str">
        <f>VLOOKUP(A2976,Sheet2!$A$2:$R$3432,17,0)</f>
        <v>ME4JF996CMW012211</v>
      </c>
    </row>
    <row r="2977" ht="15.75" customHeight="1">
      <c r="A2977" s="3" t="s">
        <v>3000</v>
      </c>
      <c r="B2977" s="4" t="str">
        <f>VLOOKUP(A2977,Sheet2!$A$2:$R$3432,2,0)</f>
        <v>2025-04-03 20:20:39</v>
      </c>
      <c r="C2977" s="5" t="s">
        <v>25</v>
      </c>
      <c r="D2977" s="6" t="s">
        <v>25</v>
      </c>
      <c r="E2977" s="7">
        <f>VLOOKUP(A2977,Sheet2!$A$2:$R$3432,4,0)</f>
        <v>8080514184</v>
      </c>
      <c r="F2977" s="7" t="str">
        <f>VLOOKUP(A2977,Sheet2!$A$2:$R$3432,3,0)</f>
        <v>AMOL SUTAR</v>
      </c>
      <c r="G2977" s="5" t="s">
        <v>25</v>
      </c>
      <c r="H2977" s="5" t="s">
        <v>25</v>
      </c>
      <c r="I2977" s="5" t="s">
        <v>25</v>
      </c>
      <c r="J2977" s="5" t="s">
        <v>25</v>
      </c>
      <c r="K2977" s="7" t="str">
        <f>VLOOKUP(A2977,Sheet2!$A$2:$R$3432,6,0)</f>
        <v>TVS Apache 160 4V</v>
      </c>
      <c r="L2977" s="5" t="s">
        <v>25</v>
      </c>
      <c r="M2977" s="7" t="str">
        <f>VLOOKUP(A2977,Sheet2!$A$2:$R$3432,5,0)</f>
        <v>MH07AK6720</v>
      </c>
      <c r="N2977" s="5" t="s">
        <v>25</v>
      </c>
      <c r="O2977" s="5" t="s">
        <v>25</v>
      </c>
      <c r="P2977" s="6" t="s">
        <v>25</v>
      </c>
      <c r="Q2977" s="5" t="s">
        <v>25</v>
      </c>
      <c r="R2977" s="5" t="s">
        <v>25</v>
      </c>
      <c r="S2977" s="5" t="str">
        <f>VLOOKUP(A2977,Sheet2!$A$2:$R$3432,18,0)</f>
        <v>AE7CJ2X01445</v>
      </c>
      <c r="T2977" s="7" t="str">
        <f>VLOOKUP(A2977,Sheet2!$A$2:$R$3432,17,0)</f>
        <v>MD6327AE77J2C04447</v>
      </c>
    </row>
    <row r="2978" ht="15.75" customHeight="1">
      <c r="A2978" s="3" t="s">
        <v>3001</v>
      </c>
      <c r="B2978" s="4" t="str">
        <f>VLOOKUP(A2978,Sheet2!$A$2:$R$3432,2,0)</f>
        <v>2025-05-01 19:47:19</v>
      </c>
      <c r="C2978" s="5" t="s">
        <v>25</v>
      </c>
      <c r="D2978" s="6" t="s">
        <v>25</v>
      </c>
      <c r="E2978" s="7">
        <f>VLOOKUP(A2978,Sheet2!$A$2:$R$3432,4,0)</f>
        <v>9403419364</v>
      </c>
      <c r="F2978" s="7" t="str">
        <f>VLOOKUP(A2978,Sheet2!$A$2:$R$3432,3,0)</f>
        <v>Nikhil pusodkar</v>
      </c>
      <c r="G2978" s="5" t="s">
        <v>25</v>
      </c>
      <c r="H2978" s="5" t="s">
        <v>25</v>
      </c>
      <c r="I2978" s="5" t="s">
        <v>25</v>
      </c>
      <c r="J2978" s="5" t="s">
        <v>25</v>
      </c>
      <c r="K2978" s="7" t="str">
        <f>VLOOKUP(A2978,Sheet2!$A$2:$R$3432,6,0)</f>
        <v>TVS Jupiter No Data</v>
      </c>
      <c r="L2978" s="5" t="s">
        <v>25</v>
      </c>
      <c r="M2978" s="7" t="str">
        <f>VLOOKUP(A2978,Sheet2!$A$2:$R$3432,5,0)</f>
        <v>MH30BF0704</v>
      </c>
      <c r="N2978" s="5" t="s">
        <v>25</v>
      </c>
      <c r="O2978" s="5" t="s">
        <v>25</v>
      </c>
      <c r="P2978" s="6" t="s">
        <v>25</v>
      </c>
      <c r="Q2978" s="5" t="s">
        <v>25</v>
      </c>
      <c r="R2978" s="5" t="s">
        <v>25</v>
      </c>
      <c r="S2978" s="7" t="str">
        <f>VLOOKUP(A2978,Sheet2!$A$2:$R$3432,18,0)</f>
        <v/>
      </c>
      <c r="T2978" s="7" t="str">
        <f>VLOOKUP(A2978,Sheet2!$A$2:$R$3432,17,0)</f>
        <v/>
      </c>
    </row>
    <row r="2979" ht="15.75" customHeight="1">
      <c r="A2979" s="3" t="s">
        <v>3002</v>
      </c>
      <c r="B2979" s="4" t="str">
        <f>VLOOKUP(A2979,Sheet2!$A$2:$R$3432,2,0)</f>
        <v>2025-05-01 19:47:53</v>
      </c>
      <c r="C2979" s="5" t="s">
        <v>25</v>
      </c>
      <c r="D2979" s="6" t="s">
        <v>25</v>
      </c>
      <c r="E2979" s="7">
        <f>VLOOKUP(A2979,Sheet2!$A$2:$R$3432,4,0)</f>
        <v>9076154622</v>
      </c>
      <c r="F2979" s="7" t="str">
        <f>VLOOKUP(A2979,Sheet2!$A$2:$R$3432,3,0)</f>
        <v>Ankur Singh</v>
      </c>
      <c r="G2979" s="5" t="s">
        <v>25</v>
      </c>
      <c r="H2979" s="5" t="s">
        <v>25</v>
      </c>
      <c r="I2979" s="5" t="s">
        <v>25</v>
      </c>
      <c r="J2979" s="5" t="s">
        <v>25</v>
      </c>
      <c r="K2979" s="7" t="str">
        <f>VLOOKUP(A2979,Sheet2!$A$2:$R$3432,6,0)</f>
        <v>Yamaha FZ V3</v>
      </c>
      <c r="L2979" s="5" t="s">
        <v>25</v>
      </c>
      <c r="M2979" s="7" t="str">
        <f>VLOOKUP(A2979,Sheet2!$A$2:$R$3432,5,0)</f>
        <v>MH02EG2808</v>
      </c>
      <c r="N2979" s="5" t="s">
        <v>25</v>
      </c>
      <c r="O2979" s="5" t="s">
        <v>25</v>
      </c>
      <c r="P2979" s="6" t="s">
        <v>25</v>
      </c>
      <c r="Q2979" s="5" t="s">
        <v>25</v>
      </c>
      <c r="R2979" s="5" t="s">
        <v>25</v>
      </c>
      <c r="S2979" s="7" t="str">
        <f>VLOOKUP(A2979,Sheet2!$A$2:$R$3432,18,0)</f>
        <v/>
      </c>
      <c r="T2979" s="7" t="str">
        <f>VLOOKUP(A2979,Sheet2!$A$2:$R$3432,17,0)</f>
        <v/>
      </c>
    </row>
    <row r="2980" ht="15.75" customHeight="1">
      <c r="A2980" s="3" t="s">
        <v>3003</v>
      </c>
      <c r="B2980" s="4" t="str">
        <f>VLOOKUP(A2980,Sheet2!$A$2:$R$3432,2,0)</f>
        <v>2025-05-01 19:45:11</v>
      </c>
      <c r="C2980" s="5" t="s">
        <v>25</v>
      </c>
      <c r="D2980" s="6" t="s">
        <v>25</v>
      </c>
      <c r="E2980" s="7">
        <f>VLOOKUP(A2980,Sheet2!$A$2:$R$3432,4,0)</f>
        <v>8796538539</v>
      </c>
      <c r="F2980" s="7" t="str">
        <f>VLOOKUP(A2980,Sheet2!$A$2:$R$3432,3,0)</f>
        <v>Akshay Bhujbal</v>
      </c>
      <c r="G2980" s="5" t="s">
        <v>25</v>
      </c>
      <c r="H2980" s="5" t="s">
        <v>25</v>
      </c>
      <c r="I2980" s="5" t="s">
        <v>25</v>
      </c>
      <c r="J2980" s="5" t="s">
        <v>25</v>
      </c>
      <c r="K2980" s="7" t="str">
        <f>VLOOKUP(A2980,Sheet2!$A$2:$R$3432,6,0)</f>
        <v>Honda Activa 5G</v>
      </c>
      <c r="L2980" s="5" t="s">
        <v>25</v>
      </c>
      <c r="M2980" s="7" t="str">
        <f>VLOOKUP(A2980,Sheet2!$A$2:$R$3432,5,0)</f>
        <v>MH14HA1577</v>
      </c>
      <c r="N2980" s="5" t="s">
        <v>25</v>
      </c>
      <c r="O2980" s="5" t="s">
        <v>25</v>
      </c>
      <c r="P2980" s="6" t="s">
        <v>25</v>
      </c>
      <c r="Q2980" s="5" t="s">
        <v>25</v>
      </c>
      <c r="R2980" s="5" t="s">
        <v>25</v>
      </c>
      <c r="S2980" s="7" t="str">
        <f>VLOOKUP(A2980,Sheet2!$A$2:$R$3432,18,0)</f>
        <v/>
      </c>
      <c r="T2980" s="7" t="str">
        <f>VLOOKUP(A2980,Sheet2!$A$2:$R$3432,17,0)</f>
        <v/>
      </c>
    </row>
    <row r="2981" ht="15.75" customHeight="1">
      <c r="A2981" s="3" t="s">
        <v>3004</v>
      </c>
      <c r="B2981" s="4" t="str">
        <f>VLOOKUP(A2981,Sheet2!$A$2:$R$3432,2,0)</f>
        <v>2025-05-01 19:43:39</v>
      </c>
      <c r="C2981" s="5" t="s">
        <v>25</v>
      </c>
      <c r="D2981" s="6" t="s">
        <v>25</v>
      </c>
      <c r="E2981" s="7">
        <f>VLOOKUP(A2981,Sheet2!$A$2:$R$3432,4,0)</f>
        <v>9403900847</v>
      </c>
      <c r="F2981" s="7" t="str">
        <f>VLOOKUP(A2981,Sheet2!$A$2:$R$3432,3,0)</f>
        <v>Shubham </v>
      </c>
      <c r="G2981" s="5" t="s">
        <v>25</v>
      </c>
      <c r="H2981" s="5" t="s">
        <v>25</v>
      </c>
      <c r="I2981" s="5" t="s">
        <v>25</v>
      </c>
      <c r="J2981" s="5" t="s">
        <v>25</v>
      </c>
      <c r="K2981" s="7" t="str">
        <f>VLOOKUP(A2981,Sheet2!$A$2:$R$3432,6,0)</f>
        <v>Suzuki Lets </v>
      </c>
      <c r="L2981" s="5" t="s">
        <v>25</v>
      </c>
      <c r="M2981" s="7" t="str">
        <f>VLOOKUP(A2981,Sheet2!$A$2:$R$3432,5,0)</f>
        <v>MH28AT2411</v>
      </c>
      <c r="N2981" s="5" t="s">
        <v>25</v>
      </c>
      <c r="O2981" s="5" t="s">
        <v>25</v>
      </c>
      <c r="P2981" s="6" t="s">
        <v>25</v>
      </c>
      <c r="Q2981" s="5" t="s">
        <v>25</v>
      </c>
      <c r="R2981" s="5" t="s">
        <v>25</v>
      </c>
      <c r="S2981" s="5" t="str">
        <f>VLOOKUP(A2981,Sheet2!$A$2:$R$3432,18,0)</f>
        <v>AE211080436</v>
      </c>
      <c r="T2981" s="7" t="str">
        <f>VLOOKUP(A2981,Sheet2!$A$2:$R$3432,17,0)</f>
        <v>MB8CE46AAG8104827</v>
      </c>
    </row>
    <row r="2982" ht="15.75" customHeight="1">
      <c r="A2982" s="3" t="s">
        <v>3005</v>
      </c>
      <c r="B2982" s="4" t="str">
        <f>VLOOKUP(A2982,Sheet2!$A$2:$R$3432,2,0)</f>
        <v>2025-05-01 19:46:24</v>
      </c>
      <c r="C2982" s="5" t="s">
        <v>25</v>
      </c>
      <c r="D2982" s="6" t="s">
        <v>25</v>
      </c>
      <c r="E2982" s="7">
        <f>VLOOKUP(A2982,Sheet2!$A$2:$R$3432,4,0)</f>
        <v>8889536468</v>
      </c>
      <c r="F2982" s="7" t="str">
        <f>VLOOKUP(A2982,Sheet2!$A$2:$R$3432,3,0)</f>
        <v>Aayushi</v>
      </c>
      <c r="G2982" s="5" t="s">
        <v>25</v>
      </c>
      <c r="H2982" s="5" t="s">
        <v>25</v>
      </c>
      <c r="I2982" s="5" t="s">
        <v>25</v>
      </c>
      <c r="J2982" s="5" t="s">
        <v>25</v>
      </c>
      <c r="K2982" s="7" t="str">
        <f>VLOOKUP(A2982,Sheet2!$A$2:$R$3432,6,0)</f>
        <v>Honda Activa 5G</v>
      </c>
      <c r="L2982" s="5" t="s">
        <v>25</v>
      </c>
      <c r="M2982" s="7" t="str">
        <f>VLOOKUP(A2982,Sheet2!$A$2:$R$3432,5,0)</f>
        <v>MH12RZ5266</v>
      </c>
      <c r="N2982" s="5" t="s">
        <v>25</v>
      </c>
      <c r="O2982" s="5" t="s">
        <v>25</v>
      </c>
      <c r="P2982" s="6" t="s">
        <v>25</v>
      </c>
      <c r="Q2982" s="5" t="s">
        <v>25</v>
      </c>
      <c r="R2982" s="5" t="s">
        <v>25</v>
      </c>
      <c r="S2982" s="5" t="str">
        <f>VLOOKUP(A2982,Sheet2!$A$2:$R$3432,18,0)</f>
        <v>DJ50E60201987</v>
      </c>
      <c r="T2982" s="7" t="str">
        <f>VLOOKUP(A2982,Sheet2!$A$2:$R$3432,17,0)</f>
        <v>ME4JF5OAHKG201904</v>
      </c>
    </row>
    <row r="2983" ht="15.75" customHeight="1">
      <c r="A2983" s="3" t="s">
        <v>3006</v>
      </c>
      <c r="B2983" s="4" t="str">
        <f>VLOOKUP(A2983,Sheet2!$A$2:$R$3432,2,0)</f>
        <v>2025-04-27 20:27:01</v>
      </c>
      <c r="C2983" s="5" t="s">
        <v>25</v>
      </c>
      <c r="D2983" s="6" t="s">
        <v>25</v>
      </c>
      <c r="E2983" s="7">
        <f>VLOOKUP(A2983,Sheet2!$A$2:$R$3432,4,0)</f>
        <v>8788070392</v>
      </c>
      <c r="F2983" s="7" t="str">
        <f>VLOOKUP(A2983,Sheet2!$A$2:$R$3432,3,0)</f>
        <v>Trupti Navale</v>
      </c>
      <c r="G2983" s="5" t="s">
        <v>25</v>
      </c>
      <c r="H2983" s="5" t="s">
        <v>25</v>
      </c>
      <c r="I2983" s="5" t="s">
        <v>25</v>
      </c>
      <c r="J2983" s="5" t="s">
        <v>25</v>
      </c>
      <c r="K2983" s="7" t="str">
        <f>VLOOKUP(A2983,Sheet2!$A$2:$R$3432,6,0)</f>
        <v>TVS Jupiter </v>
      </c>
      <c r="L2983" s="5" t="s">
        <v>25</v>
      </c>
      <c r="M2983" s="7" t="str">
        <f>VLOOKUP(A2983,Sheet2!$A$2:$R$3432,5,0)</f>
        <v>MH12VS0682</v>
      </c>
      <c r="N2983" s="5" t="s">
        <v>25</v>
      </c>
      <c r="O2983" s="5" t="s">
        <v>25</v>
      </c>
      <c r="P2983" s="6" t="s">
        <v>25</v>
      </c>
      <c r="Q2983" s="5" t="s">
        <v>25</v>
      </c>
      <c r="R2983" s="5" t="s">
        <v>25</v>
      </c>
      <c r="S2983" s="5" t="str">
        <f>VLOOKUP(A2983,Sheet2!$A$2:$R$3432,18,0)</f>
        <v>DG5FP1109561</v>
      </c>
      <c r="T2983" s="7" t="str">
        <f>VLOOKUP(A2983,Sheet2!$A$2:$R$3432,17,0)</f>
        <v>MD626CG5XP1F17042</v>
      </c>
    </row>
    <row r="2984" ht="15.75" customHeight="1">
      <c r="A2984" s="3" t="s">
        <v>3007</v>
      </c>
      <c r="B2984" s="4" t="str">
        <f>VLOOKUP(A2984,Sheet2!$A$2:$R$3432,2,0)</f>
        <v>2025-04-27 20:32:38</v>
      </c>
      <c r="C2984" s="5" t="s">
        <v>25</v>
      </c>
      <c r="D2984" s="6" t="s">
        <v>25</v>
      </c>
      <c r="E2984" s="7">
        <f>VLOOKUP(A2984,Sheet2!$A$2:$R$3432,4,0)</f>
        <v>9604176677</v>
      </c>
      <c r="F2984" s="7" t="str">
        <f>VLOOKUP(A2984,Sheet2!$A$2:$R$3432,3,0)</f>
        <v>Vedant Patil</v>
      </c>
      <c r="G2984" s="5" t="s">
        <v>25</v>
      </c>
      <c r="H2984" s="5" t="s">
        <v>25</v>
      </c>
      <c r="I2984" s="5" t="s">
        <v>25</v>
      </c>
      <c r="J2984" s="5" t="s">
        <v>25</v>
      </c>
      <c r="K2984" s="7" t="str">
        <f>VLOOKUP(A2984,Sheet2!$A$2:$R$3432,6,0)</f>
        <v>Honda Unicorn </v>
      </c>
      <c r="L2984" s="5" t="s">
        <v>25</v>
      </c>
      <c r="M2984" s="7" t="str">
        <f>VLOOKUP(A2984,Sheet2!$A$2:$R$3432,5,0)</f>
        <v>MH19DA2551</v>
      </c>
      <c r="N2984" s="5" t="s">
        <v>25</v>
      </c>
      <c r="O2984" s="5" t="s">
        <v>25</v>
      </c>
      <c r="P2984" s="6" t="s">
        <v>25</v>
      </c>
      <c r="Q2984" s="5" t="s">
        <v>25</v>
      </c>
      <c r="R2984" s="5" t="s">
        <v>25</v>
      </c>
      <c r="S2984" s="7" t="str">
        <f>VLOOKUP(A2984,Sheet2!$A$2:$R$3432,18,0)</f>
        <v/>
      </c>
      <c r="T2984" s="7" t="str">
        <f>VLOOKUP(A2984,Sheet2!$A$2:$R$3432,17,0)</f>
        <v/>
      </c>
    </row>
    <row r="2985" ht="15.75" customHeight="1">
      <c r="A2985" s="3" t="s">
        <v>3008</v>
      </c>
      <c r="B2985" s="4" t="str">
        <f>VLOOKUP(A2985,Sheet2!$A$2:$R$3432,2,0)</f>
        <v>2025-04-27 20:23:53</v>
      </c>
      <c r="C2985" s="5" t="s">
        <v>25</v>
      </c>
      <c r="D2985" s="6" t="s">
        <v>25</v>
      </c>
      <c r="E2985" s="7">
        <f>VLOOKUP(A2985,Sheet2!$A$2:$R$3432,4,0)</f>
        <v>9850079713</v>
      </c>
      <c r="F2985" s="7" t="str">
        <f>VLOOKUP(A2985,Sheet2!$A$2:$R$3432,3,0)</f>
        <v>Shrikant</v>
      </c>
      <c r="G2985" s="5" t="s">
        <v>25</v>
      </c>
      <c r="H2985" s="5" t="s">
        <v>25</v>
      </c>
      <c r="I2985" s="5" t="s">
        <v>25</v>
      </c>
      <c r="J2985" s="5" t="s">
        <v>25</v>
      </c>
      <c r="K2985" s="7" t="str">
        <f>VLOOKUP(A2985,Sheet2!$A$2:$R$3432,6,0)</f>
        <v>Honda Activa 125</v>
      </c>
      <c r="L2985" s="5" t="s">
        <v>25</v>
      </c>
      <c r="M2985" s="7" t="str">
        <f>VLOOKUP(A2985,Sheet2!$A$2:$R$3432,5,0)</f>
        <v>MH48AE7186</v>
      </c>
      <c r="N2985" s="5" t="s">
        <v>25</v>
      </c>
      <c r="O2985" s="5" t="s">
        <v>25</v>
      </c>
      <c r="P2985" s="6" t="s">
        <v>25</v>
      </c>
      <c r="Q2985" s="5" t="s">
        <v>25</v>
      </c>
      <c r="R2985" s="5" t="s">
        <v>25</v>
      </c>
      <c r="S2985" s="7" t="str">
        <f>VLOOKUP(A2985,Sheet2!$A$2:$R$3432,18,0)</f>
        <v/>
      </c>
      <c r="T2985" s="7" t="str">
        <f>VLOOKUP(A2985,Sheet2!$A$2:$R$3432,17,0)</f>
        <v/>
      </c>
    </row>
    <row r="2986" ht="15.75" customHeight="1">
      <c r="A2986" s="3" t="s">
        <v>3009</v>
      </c>
      <c r="B2986" s="4" t="str">
        <f>VLOOKUP(A2986,Sheet2!$A$2:$R$3432,2,0)</f>
        <v>2025-04-27 20:29:42</v>
      </c>
      <c r="C2986" s="5" t="s">
        <v>25</v>
      </c>
      <c r="D2986" s="6" t="s">
        <v>25</v>
      </c>
      <c r="E2986" s="7">
        <f>VLOOKUP(A2986,Sheet2!$A$2:$R$3432,4,0)</f>
        <v>9960632050</v>
      </c>
      <c r="F2986" s="7" t="str">
        <f>VLOOKUP(A2986,Sheet2!$A$2:$R$3432,3,0)</f>
        <v>PRANAV MANKAR </v>
      </c>
      <c r="G2986" s="5" t="s">
        <v>25</v>
      </c>
      <c r="H2986" s="5" t="s">
        <v>25</v>
      </c>
      <c r="I2986" s="5" t="s">
        <v>25</v>
      </c>
      <c r="J2986" s="5" t="s">
        <v>25</v>
      </c>
      <c r="K2986" s="7" t="str">
        <f>VLOOKUP(A2986,Sheet2!$A$2:$R$3432,6,0)</f>
        <v>Hero Karizma R</v>
      </c>
      <c r="L2986" s="5" t="s">
        <v>25</v>
      </c>
      <c r="M2986" s="7" t="str">
        <f>VLOOKUP(A2986,Sheet2!$A$2:$R$3432,5,0)</f>
        <v>MH31DE4170</v>
      </c>
      <c r="N2986" s="5" t="s">
        <v>25</v>
      </c>
      <c r="O2986" s="5" t="s">
        <v>25</v>
      </c>
      <c r="P2986" s="6" t="s">
        <v>25</v>
      </c>
      <c r="Q2986" s="5" t="s">
        <v>25</v>
      </c>
      <c r="R2986" s="5" t="s">
        <v>25</v>
      </c>
      <c r="S2986" s="5" t="str">
        <f>VLOOKUP(A2986,Sheet2!$A$2:$R$3432,18,0)</f>
        <v>MC38EAGB00834</v>
      </c>
      <c r="T2986" s="7" t="str">
        <f>VLOOKUP(A2986,Sheet2!$A$2:$R$3432,17,0)</f>
        <v>MBLMC38EBAGBBD865</v>
      </c>
    </row>
    <row r="2987" ht="15.75" customHeight="1">
      <c r="A2987" s="3" t="s">
        <v>3010</v>
      </c>
      <c r="B2987" s="4" t="str">
        <f>VLOOKUP(A2987,Sheet2!$A$2:$R$3432,2,0)</f>
        <v>2025-04-27 20:32:05</v>
      </c>
      <c r="C2987" s="5" t="s">
        <v>25</v>
      </c>
      <c r="D2987" s="6" t="s">
        <v>25</v>
      </c>
      <c r="E2987" s="7">
        <f>VLOOKUP(A2987,Sheet2!$A$2:$R$3432,4,0)</f>
        <v>8421891504</v>
      </c>
      <c r="F2987" s="7" t="str">
        <f>VLOOKUP(A2987,Sheet2!$A$2:$R$3432,3,0)</f>
        <v>Aniket Shirode</v>
      </c>
      <c r="G2987" s="5" t="s">
        <v>25</v>
      </c>
      <c r="H2987" s="5" t="s">
        <v>25</v>
      </c>
      <c r="I2987" s="5" t="s">
        <v>25</v>
      </c>
      <c r="J2987" s="5" t="s">
        <v>25</v>
      </c>
      <c r="K2987" s="7" t="str">
        <f>VLOOKUP(A2987,Sheet2!$A$2:$R$3432,6,0)</f>
        <v>TVS Rider 125</v>
      </c>
      <c r="L2987" s="5" t="s">
        <v>25</v>
      </c>
      <c r="M2987" s="7" t="str">
        <f>VLOOKUP(A2987,Sheet2!$A$2:$R$3432,5,0)</f>
        <v>MH12UV6678</v>
      </c>
      <c r="N2987" s="5" t="s">
        <v>25</v>
      </c>
      <c r="O2987" s="5" t="s">
        <v>25</v>
      </c>
      <c r="P2987" s="6" t="s">
        <v>25</v>
      </c>
      <c r="Q2987" s="5" t="s">
        <v>25</v>
      </c>
      <c r="R2987" s="5" t="s">
        <v>25</v>
      </c>
      <c r="S2987" s="7" t="str">
        <f>VLOOKUP(A2987,Sheet2!$A$2:$R$3432,18,0)</f>
        <v/>
      </c>
      <c r="T2987" s="7" t="str">
        <f>VLOOKUP(A2987,Sheet2!$A$2:$R$3432,17,0)</f>
        <v>MD685AF97N05842</v>
      </c>
    </row>
    <row r="2988" ht="15.75" customHeight="1">
      <c r="A2988" s="3" t="s">
        <v>3011</v>
      </c>
      <c r="B2988" s="4" t="str">
        <f>VLOOKUP(A2988,Sheet2!$A$2:$R$3432,2,0)</f>
        <v>2025-04-27 20:31:06</v>
      </c>
      <c r="C2988" s="5" t="s">
        <v>25</v>
      </c>
      <c r="D2988" s="6" t="s">
        <v>25</v>
      </c>
      <c r="E2988" s="7">
        <f>VLOOKUP(A2988,Sheet2!$A$2:$R$3432,4,0)</f>
        <v>9881156071</v>
      </c>
      <c r="F2988" s="7" t="str">
        <f>VLOOKUP(A2988,Sheet2!$A$2:$R$3432,3,0)</f>
        <v>Avinash Jadhav </v>
      </c>
      <c r="G2988" s="5" t="s">
        <v>25</v>
      </c>
      <c r="H2988" s="5" t="s">
        <v>25</v>
      </c>
      <c r="I2988" s="5" t="s">
        <v>25</v>
      </c>
      <c r="J2988" s="5" t="s">
        <v>25</v>
      </c>
      <c r="K2988" s="7" t="str">
        <f>VLOOKUP(A2988,Sheet2!$A$2:$R$3432,6,0)</f>
        <v>Honda Activa 125</v>
      </c>
      <c r="L2988" s="5" t="s">
        <v>25</v>
      </c>
      <c r="M2988" s="7" t="str">
        <f>VLOOKUP(A2988,Sheet2!$A$2:$R$3432,5,0)</f>
        <v>MH20DG9655</v>
      </c>
      <c r="N2988" s="5" t="s">
        <v>25</v>
      </c>
      <c r="O2988" s="5" t="s">
        <v>25</v>
      </c>
      <c r="P2988" s="6" t="s">
        <v>25</v>
      </c>
      <c r="Q2988" s="5" t="s">
        <v>25</v>
      </c>
      <c r="R2988" s="5" t="s">
        <v>25</v>
      </c>
      <c r="S2988" s="7" t="str">
        <f>VLOOKUP(A2988,Sheet2!$A$2:$R$3432,18,0)</f>
        <v/>
      </c>
      <c r="T2988" s="7" t="str">
        <f>VLOOKUP(A2988,Sheet2!$A$2:$R$3432,17,0)</f>
        <v/>
      </c>
    </row>
    <row r="2989" ht="15.75" customHeight="1">
      <c r="A2989" s="3" t="s">
        <v>3012</v>
      </c>
      <c r="B2989" s="4" t="str">
        <f>VLOOKUP(A2989,Sheet2!$A$2:$R$3432,2,0)</f>
        <v>2025-04-27 20:27:38</v>
      </c>
      <c r="C2989" s="5" t="s">
        <v>25</v>
      </c>
      <c r="D2989" s="6" t="s">
        <v>25</v>
      </c>
      <c r="E2989" s="7">
        <f>VLOOKUP(A2989,Sheet2!$A$2:$R$3432,4,0)</f>
        <v>9958818925</v>
      </c>
      <c r="F2989" s="7" t="str">
        <f>VLOOKUP(A2989,Sheet2!$A$2:$R$3432,3,0)</f>
        <v>SUJIT TYAGI </v>
      </c>
      <c r="G2989" s="5" t="s">
        <v>25</v>
      </c>
      <c r="H2989" s="5" t="s">
        <v>25</v>
      </c>
      <c r="I2989" s="5" t="s">
        <v>25</v>
      </c>
      <c r="J2989" s="5" t="s">
        <v>25</v>
      </c>
      <c r="K2989" s="7" t="str">
        <f>VLOOKUP(A2989,Sheet2!$A$2:$R$3432,6,0)</f>
        <v>Honda Activa 125</v>
      </c>
      <c r="L2989" s="5" t="s">
        <v>25</v>
      </c>
      <c r="M2989" s="7" t="str">
        <f>VLOOKUP(A2989,Sheet2!$A$2:$R$3432,5,0)</f>
        <v>UP14CM7732</v>
      </c>
      <c r="N2989" s="5" t="s">
        <v>25</v>
      </c>
      <c r="O2989" s="5" t="s">
        <v>25</v>
      </c>
      <c r="P2989" s="6" t="s">
        <v>25</v>
      </c>
      <c r="Q2989" s="5" t="s">
        <v>25</v>
      </c>
      <c r="R2989" s="5" t="s">
        <v>25</v>
      </c>
      <c r="S2989" s="7" t="str">
        <f>VLOOKUP(A2989,Sheet2!$A$2:$R$3432,18,0)</f>
        <v/>
      </c>
      <c r="T2989" s="7" t="str">
        <f>VLOOKUP(A2989,Sheet2!$A$2:$R$3432,17,0)</f>
        <v/>
      </c>
    </row>
    <row r="2990" ht="15.75" customHeight="1">
      <c r="A2990" s="3" t="s">
        <v>3013</v>
      </c>
      <c r="B2990" s="4" t="str">
        <f>VLOOKUP(A2990,Sheet2!$A$2:$R$3432,2,0)</f>
        <v>2025-04-27 20:26:19</v>
      </c>
      <c r="C2990" s="5" t="s">
        <v>25</v>
      </c>
      <c r="D2990" s="6" t="s">
        <v>25</v>
      </c>
      <c r="E2990" s="7">
        <f>VLOOKUP(A2990,Sheet2!$A$2:$R$3432,4,0)</f>
        <v>9890335919</v>
      </c>
      <c r="F2990" s="7" t="str">
        <f>VLOOKUP(A2990,Sheet2!$A$2:$R$3432,3,0)</f>
        <v>NILESH KULKARNI </v>
      </c>
      <c r="G2990" s="5" t="s">
        <v>25</v>
      </c>
      <c r="H2990" s="5" t="s">
        <v>25</v>
      </c>
      <c r="I2990" s="5" t="s">
        <v>25</v>
      </c>
      <c r="J2990" s="5" t="s">
        <v>25</v>
      </c>
      <c r="K2990" s="7" t="str">
        <f>VLOOKUP(A2990,Sheet2!$A$2:$R$3432,6,0)</f>
        <v>Hero Passion Xpro</v>
      </c>
      <c r="L2990" s="5" t="s">
        <v>25</v>
      </c>
      <c r="M2990" s="7" t="str">
        <f>VLOOKUP(A2990,Sheet2!$A$2:$R$3432,5,0)</f>
        <v>MH14JF5048</v>
      </c>
      <c r="N2990" s="5" t="s">
        <v>25</v>
      </c>
      <c r="O2990" s="5" t="s">
        <v>25</v>
      </c>
      <c r="P2990" s="6" t="s">
        <v>25</v>
      </c>
      <c r="Q2990" s="5" t="s">
        <v>25</v>
      </c>
      <c r="R2990" s="5" t="s">
        <v>25</v>
      </c>
      <c r="S2990" s="5" t="str">
        <f>VLOOKUP(A2990,Sheet2!$A$2:$R$3432,18,0)</f>
        <v>JA06EWLHJ546609</v>
      </c>
      <c r="T2990" s="7" t="str">
        <f>VLOOKUP(A2990,Sheet2!$A$2:$R$3432,17,0)</f>
        <v>MBLJAW141LHJ39775</v>
      </c>
    </row>
    <row r="2991" ht="15.75" customHeight="1">
      <c r="A2991" s="3" t="s">
        <v>3014</v>
      </c>
      <c r="B2991" s="4" t="str">
        <f>VLOOKUP(A2991,Sheet2!$A$2:$R$3432,2,0)</f>
        <v>2025-04-27 20:25:27</v>
      </c>
      <c r="C2991" s="5" t="s">
        <v>25</v>
      </c>
      <c r="D2991" s="6" t="s">
        <v>25</v>
      </c>
      <c r="E2991" s="7">
        <f>VLOOKUP(A2991,Sheet2!$A$2:$R$3432,4,0)</f>
        <v>9158343610</v>
      </c>
      <c r="F2991" s="7" t="str">
        <f>VLOOKUP(A2991,Sheet2!$A$2:$R$3432,3,0)</f>
        <v>Manik</v>
      </c>
      <c r="G2991" s="5" t="s">
        <v>25</v>
      </c>
      <c r="H2991" s="5" t="s">
        <v>25</v>
      </c>
      <c r="I2991" s="5" t="s">
        <v>25</v>
      </c>
      <c r="J2991" s="5" t="s">
        <v>25</v>
      </c>
      <c r="K2991" s="7" t="str">
        <f>VLOOKUP(A2991,Sheet2!$A$2:$R$3432,6,0)</f>
        <v>Hero Xpulse 200</v>
      </c>
      <c r="L2991" s="5" t="s">
        <v>25</v>
      </c>
      <c r="M2991" s="7" t="str">
        <f>VLOOKUP(A2991,Sheet2!$A$2:$R$3432,5,0)</f>
        <v>MH14LH9415</v>
      </c>
      <c r="N2991" s="5" t="s">
        <v>25</v>
      </c>
      <c r="O2991" s="5" t="s">
        <v>25</v>
      </c>
      <c r="P2991" s="6" t="s">
        <v>25</v>
      </c>
      <c r="Q2991" s="5" t="s">
        <v>25</v>
      </c>
      <c r="R2991" s="5" t="s">
        <v>25</v>
      </c>
      <c r="S2991" s="7" t="str">
        <f>VLOOKUP(A2991,Sheet2!$A$2:$R$3432,18,0)</f>
        <v/>
      </c>
      <c r="T2991" s="7" t="str">
        <f>VLOOKUP(A2991,Sheet2!$A$2:$R$3432,17,0)</f>
        <v/>
      </c>
    </row>
    <row r="2992" ht="15.75" customHeight="1">
      <c r="A2992" s="3" t="s">
        <v>3015</v>
      </c>
      <c r="B2992" s="4" t="str">
        <f>VLOOKUP(A2992,Sheet2!$A$2:$R$3432,2,0)</f>
        <v>2025-04-27 20:23:24</v>
      </c>
      <c r="C2992" s="5" t="s">
        <v>25</v>
      </c>
      <c r="D2992" s="6" t="s">
        <v>25</v>
      </c>
      <c r="E2992" s="7">
        <f>VLOOKUP(A2992,Sheet2!$A$2:$R$3432,4,0)</f>
        <v>9503042395</v>
      </c>
      <c r="F2992" s="7" t="str">
        <f>VLOOKUP(A2992,Sheet2!$A$2:$R$3432,3,0)</f>
        <v>Vinit</v>
      </c>
      <c r="G2992" s="5" t="s">
        <v>25</v>
      </c>
      <c r="H2992" s="5" t="s">
        <v>25</v>
      </c>
      <c r="I2992" s="5" t="s">
        <v>25</v>
      </c>
      <c r="J2992" s="5" t="s">
        <v>25</v>
      </c>
      <c r="K2992" s="7" t="str">
        <f>VLOOKUP(A2992,Sheet2!$A$2:$R$3432,6,0)</f>
        <v>Honda Activa 5G</v>
      </c>
      <c r="L2992" s="5" t="s">
        <v>25</v>
      </c>
      <c r="M2992" s="7" t="str">
        <f>VLOOKUP(A2992,Sheet2!$A$2:$R$3432,5,0)</f>
        <v>MH14HC0768</v>
      </c>
      <c r="N2992" s="5" t="s">
        <v>25</v>
      </c>
      <c r="O2992" s="5" t="s">
        <v>25</v>
      </c>
      <c r="P2992" s="6" t="s">
        <v>25</v>
      </c>
      <c r="Q2992" s="5" t="s">
        <v>25</v>
      </c>
      <c r="R2992" s="5" t="s">
        <v>25</v>
      </c>
      <c r="S2992" s="5" t="str">
        <f>VLOOKUP(A2992,Sheet2!$A$2:$R$3432,18,0)</f>
        <v>JF50EU7225927</v>
      </c>
      <c r="T2992" s="7" t="str">
        <f>VLOOKUP(A2992,Sheet2!$A$2:$R$3432,17,0)</f>
        <v>ME4JF50EAH4225U68</v>
      </c>
    </row>
    <row r="2993" ht="15.75" customHeight="1">
      <c r="A2993" s="3" t="s">
        <v>3016</v>
      </c>
      <c r="B2993" s="4" t="str">
        <f>VLOOKUP(A2993,Sheet2!$A$2:$R$3432,2,0)</f>
        <v>2025-04-27 20:26:34</v>
      </c>
      <c r="C2993" s="5" t="s">
        <v>25</v>
      </c>
      <c r="D2993" s="6" t="s">
        <v>25</v>
      </c>
      <c r="E2993" s="7">
        <f>VLOOKUP(A2993,Sheet2!$A$2:$R$3432,4,0)</f>
        <v>9552513135</v>
      </c>
      <c r="F2993" s="7" t="str">
        <f>VLOOKUP(A2993,Sheet2!$A$2:$R$3432,3,0)</f>
        <v>Nagesh</v>
      </c>
      <c r="G2993" s="5" t="s">
        <v>25</v>
      </c>
      <c r="H2993" s="5" t="s">
        <v>25</v>
      </c>
      <c r="I2993" s="5" t="s">
        <v>25</v>
      </c>
      <c r="J2993" s="5" t="s">
        <v>25</v>
      </c>
      <c r="K2993" s="7" t="str">
        <f>VLOOKUP(A2993,Sheet2!$A$2:$R$3432,6,0)</f>
        <v>Hero Passion </v>
      </c>
      <c r="L2993" s="5" t="s">
        <v>25</v>
      </c>
      <c r="M2993" s="7" t="str">
        <f>VLOOKUP(A2993,Sheet2!$A$2:$R$3432,5,0)</f>
        <v>MH14BN6168</v>
      </c>
      <c r="N2993" s="5" t="s">
        <v>25</v>
      </c>
      <c r="O2993" s="5" t="s">
        <v>25</v>
      </c>
      <c r="P2993" s="6" t="s">
        <v>25</v>
      </c>
      <c r="Q2993" s="5" t="s">
        <v>25</v>
      </c>
      <c r="R2993" s="5" t="s">
        <v>25</v>
      </c>
      <c r="S2993" s="5" t="str">
        <f>VLOOKUP(A2993,Sheet2!$A$2:$R$3432,18,0)</f>
        <v>HA10E83GJ54284</v>
      </c>
      <c r="T2993" s="7" t="str">
        <f>VLOOKUP(A2993,Sheet2!$A$2:$R$3432,17,0)</f>
        <v>MBLHA10EL8GJ18062</v>
      </c>
    </row>
    <row r="2994" ht="15.75" customHeight="1">
      <c r="A2994" s="3" t="s">
        <v>3017</v>
      </c>
      <c r="B2994" s="4" t="str">
        <f>VLOOKUP(A2994,Sheet2!$A$2:$R$3432,2,0)</f>
        <v>2025-04-27 19:23:17</v>
      </c>
      <c r="C2994" s="5" t="s">
        <v>25</v>
      </c>
      <c r="D2994" s="6" t="s">
        <v>25</v>
      </c>
      <c r="E2994" s="7">
        <f>VLOOKUP(A2994,Sheet2!$A$2:$R$3432,4,0)</f>
        <v>7276986009</v>
      </c>
      <c r="F2994" s="7" t="str">
        <f>VLOOKUP(A2994,Sheet2!$A$2:$R$3432,3,0)</f>
        <v>Krutika </v>
      </c>
      <c r="G2994" s="5" t="s">
        <v>25</v>
      </c>
      <c r="H2994" s="5" t="s">
        <v>25</v>
      </c>
      <c r="I2994" s="5" t="s">
        <v>25</v>
      </c>
      <c r="J2994" s="5" t="s">
        <v>25</v>
      </c>
      <c r="K2994" s="7" t="str">
        <f>VLOOKUP(A2994,Sheet2!$A$2:$R$3432,6,0)</f>
        <v>Honda Activa 6G</v>
      </c>
      <c r="L2994" s="5" t="s">
        <v>25</v>
      </c>
      <c r="M2994" s="7" t="str">
        <f>VLOOKUP(A2994,Sheet2!$A$2:$R$3432,5,0)</f>
        <v>MH25AY8456</v>
      </c>
      <c r="N2994" s="5" t="s">
        <v>25</v>
      </c>
      <c r="O2994" s="5" t="s">
        <v>25</v>
      </c>
      <c r="P2994" s="6" t="s">
        <v>25</v>
      </c>
      <c r="Q2994" s="5" t="s">
        <v>25</v>
      </c>
      <c r="R2994" s="5" t="s">
        <v>25</v>
      </c>
      <c r="S2994" s="5" t="str">
        <f>VLOOKUP(A2994,Sheet2!$A$2:$R$3432,18,0)</f>
        <v>JK15EW5074652</v>
      </c>
      <c r="T2994" s="7" t="str">
        <f>VLOOKUP(A2994,Sheet2!$A$2:$R$3432,17,0)</f>
        <v>ME4JK156CPW074565</v>
      </c>
    </row>
    <row r="2995" ht="15.75" customHeight="1">
      <c r="A2995" s="3" t="s">
        <v>3018</v>
      </c>
      <c r="B2995" s="4" t="str">
        <f>VLOOKUP(A2995,Sheet2!$A$2:$R$3432,2,0)</f>
        <v>2025-04-27 20:31:30</v>
      </c>
      <c r="C2995" s="5" t="s">
        <v>25</v>
      </c>
      <c r="D2995" s="6" t="s">
        <v>25</v>
      </c>
      <c r="E2995" s="7">
        <f>VLOOKUP(A2995,Sheet2!$A$2:$R$3432,4,0)</f>
        <v>9423826423</v>
      </c>
      <c r="F2995" s="7" t="str">
        <f>VLOOKUP(A2995,Sheet2!$A$2:$R$3432,3,0)</f>
        <v>Sushant Chaugule</v>
      </c>
      <c r="G2995" s="5" t="s">
        <v>25</v>
      </c>
      <c r="H2995" s="5" t="s">
        <v>25</v>
      </c>
      <c r="I2995" s="5" t="s">
        <v>25</v>
      </c>
      <c r="J2995" s="5" t="s">
        <v>25</v>
      </c>
      <c r="K2995" s="7" t="str">
        <f>VLOOKUP(A2995,Sheet2!$A$2:$R$3432,6,0)</f>
        <v>Honda Activa 110</v>
      </c>
      <c r="L2995" s="5" t="s">
        <v>25</v>
      </c>
      <c r="M2995" s="7" t="str">
        <f>VLOOKUP(A2995,Sheet2!$A$2:$R$3432,5,0)</f>
        <v>MH14DK3929</v>
      </c>
      <c r="N2995" s="5" t="s">
        <v>25</v>
      </c>
      <c r="O2995" s="5" t="s">
        <v>25</v>
      </c>
      <c r="P2995" s="6" t="s">
        <v>25</v>
      </c>
      <c r="Q2995" s="5" t="s">
        <v>25</v>
      </c>
      <c r="R2995" s="5" t="s">
        <v>25</v>
      </c>
      <c r="S2995" s="7" t="str">
        <f>VLOOKUP(A2995,Sheet2!$A$2:$R$3432,18,0)</f>
        <v/>
      </c>
      <c r="T2995" s="7" t="str">
        <f>VLOOKUP(A2995,Sheet2!$A$2:$R$3432,17,0)</f>
        <v>ME4JC448DC7307044</v>
      </c>
    </row>
    <row r="2996" ht="15.75" customHeight="1">
      <c r="A2996" s="3" t="s">
        <v>3019</v>
      </c>
      <c r="B2996" s="4" t="str">
        <f>VLOOKUP(A2996,Sheet2!$A$2:$R$3432,2,0)</f>
        <v>2025-04-27 20:22:49</v>
      </c>
      <c r="C2996" s="5" t="s">
        <v>25</v>
      </c>
      <c r="D2996" s="6" t="s">
        <v>25</v>
      </c>
      <c r="E2996" s="7">
        <f>VLOOKUP(A2996,Sheet2!$A$2:$R$3432,4,0)</f>
        <v>9850778933</v>
      </c>
      <c r="F2996" s="7" t="str">
        <f>VLOOKUP(A2996,Sheet2!$A$2:$R$3432,3,0)</f>
        <v>Chinmay </v>
      </c>
      <c r="G2996" s="5" t="s">
        <v>25</v>
      </c>
      <c r="H2996" s="5" t="s">
        <v>25</v>
      </c>
      <c r="I2996" s="5" t="s">
        <v>25</v>
      </c>
      <c r="J2996" s="5" t="s">
        <v>25</v>
      </c>
      <c r="K2996" s="7" t="str">
        <f>VLOOKUP(A2996,Sheet2!$A$2:$R$3432,6,0)</f>
        <v>Honda Activa 4G</v>
      </c>
      <c r="L2996" s="5" t="s">
        <v>25</v>
      </c>
      <c r="M2996" s="7" t="str">
        <f>VLOOKUP(A2996,Sheet2!$A$2:$R$3432,5,0)</f>
        <v>MH31FD2467</v>
      </c>
      <c r="N2996" s="5" t="s">
        <v>25</v>
      </c>
      <c r="O2996" s="5" t="s">
        <v>25</v>
      </c>
      <c r="P2996" s="6" t="s">
        <v>25</v>
      </c>
      <c r="Q2996" s="5" t="s">
        <v>25</v>
      </c>
      <c r="R2996" s="5" t="s">
        <v>25</v>
      </c>
      <c r="S2996" s="7" t="str">
        <f>VLOOKUP(A2996,Sheet2!$A$2:$R$3432,18,0)</f>
        <v/>
      </c>
      <c r="T2996" s="7" t="str">
        <f>VLOOKUP(A2996,Sheet2!$A$2:$R$3432,17,0)</f>
        <v/>
      </c>
    </row>
    <row r="2997" ht="15.75" customHeight="1">
      <c r="A2997" s="3" t="s">
        <v>3020</v>
      </c>
      <c r="B2997" s="4" t="str">
        <f>VLOOKUP(A2997,Sheet2!$A$2:$R$3432,2,0)</f>
        <v>2025-04-27 20:25:49</v>
      </c>
      <c r="C2997" s="5" t="s">
        <v>25</v>
      </c>
      <c r="D2997" s="6" t="s">
        <v>25</v>
      </c>
      <c r="E2997" s="7">
        <f>VLOOKUP(A2997,Sheet2!$A$2:$R$3432,4,0)</f>
        <v>9623450440</v>
      </c>
      <c r="F2997" s="7" t="str">
        <f>VLOOKUP(A2997,Sheet2!$A$2:$R$3432,3,0)</f>
        <v>Vishal Patil</v>
      </c>
      <c r="G2997" s="5" t="s">
        <v>25</v>
      </c>
      <c r="H2997" s="5" t="s">
        <v>25</v>
      </c>
      <c r="I2997" s="5" t="s">
        <v>25</v>
      </c>
      <c r="J2997" s="5" t="s">
        <v>25</v>
      </c>
      <c r="K2997" s="7" t="str">
        <f>VLOOKUP(A2997,Sheet2!$A$2:$R$3432,6,0)</f>
        <v>Yamaha Fascino </v>
      </c>
      <c r="L2997" s="5" t="s">
        <v>25</v>
      </c>
      <c r="M2997" s="7" t="str">
        <f>VLOOKUP(A2997,Sheet2!$A$2:$R$3432,5,0)</f>
        <v>MH14GB3390</v>
      </c>
      <c r="N2997" s="5" t="s">
        <v>25</v>
      </c>
      <c r="O2997" s="5" t="s">
        <v>25</v>
      </c>
      <c r="P2997" s="6" t="s">
        <v>25</v>
      </c>
      <c r="Q2997" s="5" t="s">
        <v>25</v>
      </c>
      <c r="R2997" s="5" t="s">
        <v>25</v>
      </c>
      <c r="S2997" s="5" t="str">
        <f>VLOOKUP(A2997,Sheet2!$A$2:$R$3432,18,0)</f>
        <v>E3N6E092124</v>
      </c>
      <c r="T2997" s="7" t="str">
        <f>VLOOKUP(A2997,Sheet2!$A$2:$R$3432,17,0)</f>
        <v>ME15E77MAG0032501</v>
      </c>
    </row>
    <row r="2998" ht="15.75" customHeight="1">
      <c r="A2998" s="3" t="s">
        <v>3021</v>
      </c>
      <c r="B2998" s="4" t="str">
        <f>VLOOKUP(A2998,Sheet2!$A$2:$R$3432,2,0)</f>
        <v>2025-04-27 20:21:17</v>
      </c>
      <c r="C2998" s="5" t="s">
        <v>25</v>
      </c>
      <c r="D2998" s="6" t="s">
        <v>25</v>
      </c>
      <c r="E2998" s="7">
        <f>VLOOKUP(A2998,Sheet2!$A$2:$R$3432,4,0)</f>
        <v>9552399677</v>
      </c>
      <c r="F2998" s="7" t="str">
        <f>VLOOKUP(A2998,Sheet2!$A$2:$R$3432,3,0)</f>
        <v>Sunil Gaikwad </v>
      </c>
      <c r="G2998" s="5" t="s">
        <v>25</v>
      </c>
      <c r="H2998" s="5" t="s">
        <v>25</v>
      </c>
      <c r="I2998" s="5" t="s">
        <v>25</v>
      </c>
      <c r="J2998" s="5" t="s">
        <v>25</v>
      </c>
      <c r="K2998" s="7" t="str">
        <f>VLOOKUP(A2998,Sheet2!$A$2:$R$3432,6,0)</f>
        <v>TVS Jupiter </v>
      </c>
      <c r="L2998" s="5" t="s">
        <v>25</v>
      </c>
      <c r="M2998" s="7" t="str">
        <f>VLOOKUP(A2998,Sheet2!$A$2:$R$3432,5,0)</f>
        <v>MH14FP7669</v>
      </c>
      <c r="N2998" s="5" t="s">
        <v>25</v>
      </c>
      <c r="O2998" s="5" t="s">
        <v>25</v>
      </c>
      <c r="P2998" s="6" t="s">
        <v>25</v>
      </c>
      <c r="Q2998" s="5" t="s">
        <v>25</v>
      </c>
      <c r="R2998" s="5" t="s">
        <v>25</v>
      </c>
      <c r="S2998" s="7" t="str">
        <f>VLOOKUP(A2998,Sheet2!$A$2:$R$3432,18,0)</f>
        <v/>
      </c>
      <c r="T2998" s="7" t="str">
        <f>VLOOKUP(A2998,Sheet2!$A$2:$R$3432,17,0)</f>
        <v/>
      </c>
    </row>
    <row r="2999" ht="15.75" customHeight="1">
      <c r="A2999" s="3" t="s">
        <v>3022</v>
      </c>
      <c r="B2999" s="4" t="str">
        <f>VLOOKUP(A2999,Sheet2!$A$2:$R$3432,2,0)</f>
        <v>2025-04-27 20:33:27</v>
      </c>
      <c r="C2999" s="5" t="s">
        <v>25</v>
      </c>
      <c r="D2999" s="6" t="s">
        <v>25</v>
      </c>
      <c r="E2999" s="7">
        <f>VLOOKUP(A2999,Sheet2!$A$2:$R$3432,4,0)</f>
        <v>9860091962</v>
      </c>
      <c r="F2999" s="7" t="str">
        <f>VLOOKUP(A2999,Sheet2!$A$2:$R$3432,3,0)</f>
        <v>Pushpak </v>
      </c>
      <c r="G2999" s="5" t="s">
        <v>25</v>
      </c>
      <c r="H2999" s="5" t="s">
        <v>25</v>
      </c>
      <c r="I2999" s="5" t="s">
        <v>25</v>
      </c>
      <c r="J2999" s="5" t="s">
        <v>25</v>
      </c>
      <c r="K2999" s="7" t="str">
        <f>VLOOKUP(A2999,Sheet2!$A$2:$R$3432,6,0)</f>
        <v>Suzuki Access 125</v>
      </c>
      <c r="L2999" s="5" t="s">
        <v>25</v>
      </c>
      <c r="M2999" s="7" t="str">
        <f>VLOOKUP(A2999,Sheet2!$A$2:$R$3432,5,0)</f>
        <v>MH14FQ8875</v>
      </c>
      <c r="N2999" s="5" t="s">
        <v>25</v>
      </c>
      <c r="O2999" s="5" t="s">
        <v>25</v>
      </c>
      <c r="P2999" s="6" t="s">
        <v>25</v>
      </c>
      <c r="Q2999" s="5" t="s">
        <v>25</v>
      </c>
      <c r="R2999" s="5" t="s">
        <v>25</v>
      </c>
      <c r="S2999" s="5" t="str">
        <f>VLOOKUP(A2999,Sheet2!$A$2:$R$3432,18,0)</f>
        <v>AF211037705</v>
      </c>
      <c r="T2999" s="7" t="str">
        <f>VLOOKUP(A2999,Sheet2!$A$2:$R$3432,17,0)</f>
        <v>MB8DP11AEG8135949</v>
      </c>
    </row>
    <row r="3000" ht="15.75" customHeight="1">
      <c r="A3000" s="3" t="s">
        <v>3023</v>
      </c>
      <c r="B3000" s="4" t="str">
        <f>VLOOKUP(A3000,Sheet2!$A$2:$R$3432,2,0)</f>
        <v>2025-04-06 18:57:46</v>
      </c>
      <c r="C3000" s="5" t="s">
        <v>25</v>
      </c>
      <c r="D3000" s="6" t="s">
        <v>25</v>
      </c>
      <c r="E3000" s="7">
        <f>VLOOKUP(A3000,Sheet2!$A$2:$R$3432,4,0)</f>
        <v>8530809905</v>
      </c>
      <c r="F3000" s="7" t="str">
        <f>VLOOKUP(A3000,Sheet2!$A$2:$R$3432,3,0)</f>
        <v>Pratik Bhujbal</v>
      </c>
      <c r="G3000" s="5" t="s">
        <v>25</v>
      </c>
      <c r="H3000" s="5" t="s">
        <v>25</v>
      </c>
      <c r="I3000" s="5" t="s">
        <v>25</v>
      </c>
      <c r="J3000" s="5" t="s">
        <v>25</v>
      </c>
      <c r="K3000" s="7" t="str">
        <f>VLOOKUP(A3000,Sheet2!$A$2:$R$3432,6,0)</f>
        <v>Honda Unicorn 150</v>
      </c>
      <c r="L3000" s="5" t="s">
        <v>25</v>
      </c>
      <c r="M3000" s="7" t="str">
        <f>VLOOKUP(A3000,Sheet2!$A$2:$R$3432,5,0)</f>
        <v>MH12RH8569</v>
      </c>
      <c r="N3000" s="5" t="s">
        <v>25</v>
      </c>
      <c r="O3000" s="5" t="s">
        <v>25</v>
      </c>
      <c r="P3000" s="6" t="s">
        <v>25</v>
      </c>
      <c r="Q3000" s="5" t="s">
        <v>25</v>
      </c>
      <c r="R3000" s="5" t="s">
        <v>25</v>
      </c>
      <c r="S3000" s="5" t="str">
        <f>VLOOKUP(A3000,Sheet2!$A$2:$R$3432,18,0)</f>
        <v>KC31E80487656</v>
      </c>
      <c r="T3000" s="7" t="str">
        <f>VLOOKUP(A3000,Sheet2!$A$2:$R$3432,17,0)</f>
        <v>ME4KCC311AK8487790</v>
      </c>
    </row>
    <row r="3001" ht="15.75" customHeight="1">
      <c r="A3001" s="3" t="s">
        <v>3024</v>
      </c>
      <c r="B3001" s="4" t="str">
        <f>VLOOKUP(A3001,Sheet2!$A$2:$R$3432,2,0)</f>
        <v>2025-04-06 18:56:37</v>
      </c>
      <c r="C3001" s="5" t="s">
        <v>25</v>
      </c>
      <c r="D3001" s="6" t="s">
        <v>25</v>
      </c>
      <c r="E3001" s="7">
        <f>VLOOKUP(A3001,Sheet2!$A$2:$R$3432,4,0)</f>
        <v>9028134385</v>
      </c>
      <c r="F3001" s="7" t="str">
        <f>VLOOKUP(A3001,Sheet2!$A$2:$R$3432,3,0)</f>
        <v>Viren Datrani</v>
      </c>
      <c r="G3001" s="5" t="s">
        <v>25</v>
      </c>
      <c r="H3001" s="5" t="s">
        <v>25</v>
      </c>
      <c r="I3001" s="5" t="s">
        <v>25</v>
      </c>
      <c r="J3001" s="5" t="s">
        <v>25</v>
      </c>
      <c r="K3001" s="7" t="str">
        <f>VLOOKUP(A3001,Sheet2!$A$2:$R$3432,6,0)</f>
        <v>Yamaha FZ V3</v>
      </c>
      <c r="L3001" s="5" t="s">
        <v>25</v>
      </c>
      <c r="M3001" s="7" t="str">
        <f>VLOOKUP(A3001,Sheet2!$A$2:$R$3432,5,0)</f>
        <v>MH41AF2917</v>
      </c>
      <c r="N3001" s="5" t="s">
        <v>25</v>
      </c>
      <c r="O3001" s="5" t="s">
        <v>25</v>
      </c>
      <c r="P3001" s="6" t="s">
        <v>25</v>
      </c>
      <c r="Q3001" s="5" t="s">
        <v>25</v>
      </c>
      <c r="R3001" s="5" t="s">
        <v>25</v>
      </c>
      <c r="S3001" s="5" t="str">
        <f>VLOOKUP(A3001,Sheet2!$A$2:$R$3432,18,0)</f>
        <v>G3C8E0030671</v>
      </c>
      <c r="T3001" s="7" t="str">
        <f>VLOOKUP(A3001,Sheet2!$A$2:$R$3432,17,0)</f>
        <v>ME1RG75EGC72G73</v>
      </c>
    </row>
    <row r="3002" ht="15.75" customHeight="1">
      <c r="A3002" s="3" t="s">
        <v>3025</v>
      </c>
      <c r="B3002" s="4" t="str">
        <f>VLOOKUP(A3002,Sheet2!$A$2:$R$3432,2,0)</f>
        <v>2025-04-06 19:01:38</v>
      </c>
      <c r="C3002" s="5" t="s">
        <v>25</v>
      </c>
      <c r="D3002" s="6" t="s">
        <v>25</v>
      </c>
      <c r="E3002" s="7">
        <f>VLOOKUP(A3002,Sheet2!$A$2:$R$3432,4,0)</f>
        <v>8857041694</v>
      </c>
      <c r="F3002" s="7" t="str">
        <f>VLOOKUP(A3002,Sheet2!$A$2:$R$3432,3,0)</f>
        <v>Ankush Kulkarni </v>
      </c>
      <c r="G3002" s="5" t="s">
        <v>25</v>
      </c>
      <c r="H3002" s="5" t="s">
        <v>25</v>
      </c>
      <c r="I3002" s="5" t="s">
        <v>25</v>
      </c>
      <c r="J3002" s="5" t="s">
        <v>25</v>
      </c>
      <c r="K3002" s="7" t="str">
        <f>VLOOKUP(A3002,Sheet2!$A$2:$R$3432,6,0)</f>
        <v>Yamaha FZ V3</v>
      </c>
      <c r="L3002" s="5" t="s">
        <v>25</v>
      </c>
      <c r="M3002" s="7" t="str">
        <f>VLOOKUP(A3002,Sheet2!$A$2:$R$3432,5,0)</f>
        <v>MH12UQ8438</v>
      </c>
      <c r="N3002" s="5" t="s">
        <v>25</v>
      </c>
      <c r="O3002" s="5" t="s">
        <v>25</v>
      </c>
      <c r="P3002" s="6" t="s">
        <v>25</v>
      </c>
      <c r="Q3002" s="5" t="s">
        <v>25</v>
      </c>
      <c r="R3002" s="5" t="s">
        <v>25</v>
      </c>
      <c r="S3002" s="5" t="str">
        <f>VLOOKUP(A3002,Sheet2!$A$2:$R$3432,18,0)</f>
        <v>G3N3E0229875</v>
      </c>
      <c r="T3002" s="7" t="str">
        <f>VLOOKUP(A3002,Sheet2!$A$2:$R$3432,17,0)</f>
        <v>ME1RG66DQN0049834</v>
      </c>
    </row>
    <row r="3003" ht="15.75" customHeight="1">
      <c r="A3003" s="3" t="s">
        <v>3026</v>
      </c>
      <c r="B3003" s="4" t="str">
        <f>VLOOKUP(A3003,Sheet2!$A$2:$R$3432,2,0)</f>
        <v>2025-04-06 20:51:23</v>
      </c>
      <c r="C3003" s="5" t="s">
        <v>25</v>
      </c>
      <c r="D3003" s="6" t="s">
        <v>25</v>
      </c>
      <c r="E3003" s="7">
        <f>VLOOKUP(A3003,Sheet2!$A$2:$R$3432,4,0)</f>
        <v>9970689986</v>
      </c>
      <c r="F3003" s="7" t="str">
        <f>VLOOKUP(A3003,Sheet2!$A$2:$R$3432,3,0)</f>
        <v>Pankaj Jain</v>
      </c>
      <c r="G3003" s="5" t="s">
        <v>25</v>
      </c>
      <c r="H3003" s="5" t="s">
        <v>25</v>
      </c>
      <c r="I3003" s="5" t="s">
        <v>25</v>
      </c>
      <c r="J3003" s="5" t="s">
        <v>25</v>
      </c>
      <c r="K3003" s="7" t="str">
        <f>VLOOKUP(A3003,Sheet2!$A$2:$R$3432,6,0)</f>
        <v>Bajaj Pulsar 150</v>
      </c>
      <c r="L3003" s="5" t="s">
        <v>25</v>
      </c>
      <c r="M3003" s="7" t="str">
        <f>VLOOKUP(A3003,Sheet2!$A$2:$R$3432,5,0)</f>
        <v>MH12NL6570</v>
      </c>
      <c r="N3003" s="5" t="s">
        <v>25</v>
      </c>
      <c r="O3003" s="5" t="s">
        <v>25</v>
      </c>
      <c r="P3003" s="6" t="s">
        <v>25</v>
      </c>
      <c r="Q3003" s="5" t="s">
        <v>25</v>
      </c>
      <c r="R3003" s="5" t="s">
        <v>25</v>
      </c>
      <c r="S3003" s="5" t="str">
        <f>VLOOKUP(A3003,Sheet2!$A$2:$R$3432,18,0)</f>
        <v>DHZWGEF14845</v>
      </c>
      <c r="T3003" s="7" t="str">
        <f>VLOOKUP(A3003,Sheet2!$A$2:$R$3432,17,0)</f>
        <v>MD2A11CZ24WF05088</v>
      </c>
    </row>
    <row r="3004" ht="15.75" customHeight="1">
      <c r="A3004" s="3" t="s">
        <v>3027</v>
      </c>
      <c r="B3004" s="4" t="str">
        <f>VLOOKUP(A3004,Sheet2!$A$2:$R$3432,2,0)</f>
        <v>2025-04-06 18:58:48</v>
      </c>
      <c r="C3004" s="5" t="s">
        <v>25</v>
      </c>
      <c r="D3004" s="6" t="s">
        <v>25</v>
      </c>
      <c r="E3004" s="7">
        <f>VLOOKUP(A3004,Sheet2!$A$2:$R$3432,4,0)</f>
        <v>9923343669</v>
      </c>
      <c r="F3004" s="7" t="str">
        <f>VLOOKUP(A3004,Sheet2!$A$2:$R$3432,3,0)</f>
        <v>Devashish Nanda</v>
      </c>
      <c r="G3004" s="5" t="s">
        <v>25</v>
      </c>
      <c r="H3004" s="5" t="s">
        <v>25</v>
      </c>
      <c r="I3004" s="5" t="s">
        <v>25</v>
      </c>
      <c r="J3004" s="5" t="s">
        <v>25</v>
      </c>
      <c r="K3004" s="7" t="str">
        <f>VLOOKUP(A3004,Sheet2!$A$2:$R$3432,6,0)</f>
        <v>Suzuki Burgman Street </v>
      </c>
      <c r="L3004" s="5" t="s">
        <v>25</v>
      </c>
      <c r="M3004" s="7" t="str">
        <f>VLOOKUP(A3004,Sheet2!$A$2:$R$3432,5,0)</f>
        <v>MH14KC5735</v>
      </c>
      <c r="N3004" s="5" t="s">
        <v>25</v>
      </c>
      <c r="O3004" s="5" t="s">
        <v>25</v>
      </c>
      <c r="P3004" s="6" t="s">
        <v>25</v>
      </c>
      <c r="Q3004" s="5" t="s">
        <v>25</v>
      </c>
      <c r="R3004" s="5" t="s">
        <v>25</v>
      </c>
      <c r="S3004" s="5" t="str">
        <f>VLOOKUP(A3004,Sheet2!$A$2:$R$3432,18,0)</f>
        <v>AF21705239</v>
      </c>
      <c r="T3004" s="7" t="str">
        <f>VLOOKUP(A3004,Sheet2!$A$2:$R$3432,17,0)</f>
        <v>MB8EA11DEN8301675</v>
      </c>
    </row>
    <row r="3005" ht="15.75" customHeight="1">
      <c r="A3005" s="3" t="s">
        <v>3028</v>
      </c>
      <c r="B3005" s="4" t="str">
        <f>VLOOKUP(A3005,Sheet2!$A$2:$R$3432,2,0)</f>
        <v>2025-04-06 20:50:49</v>
      </c>
      <c r="C3005" s="5" t="s">
        <v>25</v>
      </c>
      <c r="D3005" s="6" t="s">
        <v>25</v>
      </c>
      <c r="E3005" s="7">
        <f>VLOOKUP(A3005,Sheet2!$A$2:$R$3432,4,0)</f>
        <v>8999728219</v>
      </c>
      <c r="F3005" s="7" t="str">
        <f>VLOOKUP(A3005,Sheet2!$A$2:$R$3432,3,0)</f>
        <v>Shravan</v>
      </c>
      <c r="G3005" s="5" t="s">
        <v>25</v>
      </c>
      <c r="H3005" s="5" t="s">
        <v>25</v>
      </c>
      <c r="I3005" s="5" t="s">
        <v>25</v>
      </c>
      <c r="J3005" s="5" t="s">
        <v>25</v>
      </c>
      <c r="K3005" s="7" t="str">
        <f>VLOOKUP(A3005,Sheet2!$A$2:$R$3432,6,0)</f>
        <v>Yamaha FZ S</v>
      </c>
      <c r="L3005" s="5" t="s">
        <v>25</v>
      </c>
      <c r="M3005" s="7" t="str">
        <f>VLOOKUP(A3005,Sheet2!$A$2:$R$3432,5,0)</f>
        <v>MH12MU3705</v>
      </c>
      <c r="N3005" s="5" t="s">
        <v>25</v>
      </c>
      <c r="O3005" s="5" t="s">
        <v>25</v>
      </c>
      <c r="P3005" s="6" t="s">
        <v>25</v>
      </c>
      <c r="Q3005" s="5" t="s">
        <v>25</v>
      </c>
      <c r="R3005" s="5" t="s">
        <v>25</v>
      </c>
      <c r="S3005" s="7" t="str">
        <f>VLOOKUP(A3005,Sheet2!$A$2:$R$3432,18,0)</f>
        <v/>
      </c>
      <c r="T3005" s="7" t="str">
        <f>VLOOKUP(A3005,Sheet2!$A$2:$R$3432,17,0)</f>
        <v/>
      </c>
    </row>
    <row r="3006" ht="15.75" customHeight="1">
      <c r="A3006" s="3" t="s">
        <v>3029</v>
      </c>
      <c r="B3006" s="4" t="str">
        <f>VLOOKUP(A3006,Sheet2!$A$2:$R$3432,2,0)</f>
        <v>2025-04-06 19:00:48</v>
      </c>
      <c r="C3006" s="5" t="s">
        <v>25</v>
      </c>
      <c r="D3006" s="6" t="s">
        <v>25</v>
      </c>
      <c r="E3006" s="7">
        <f>VLOOKUP(A3006,Sheet2!$A$2:$R$3432,4,0)</f>
        <v>9890187362</v>
      </c>
      <c r="F3006" s="7" t="str">
        <f>VLOOKUP(A3006,Sheet2!$A$2:$R$3432,3,0)</f>
        <v>Sanat Kumar Madke</v>
      </c>
      <c r="G3006" s="5" t="s">
        <v>25</v>
      </c>
      <c r="H3006" s="5" t="s">
        <v>25</v>
      </c>
      <c r="I3006" s="5" t="s">
        <v>25</v>
      </c>
      <c r="J3006" s="5" t="s">
        <v>25</v>
      </c>
      <c r="K3006" s="7" t="str">
        <f>VLOOKUP(A3006,Sheet2!$A$2:$R$3432,6,0)</f>
        <v>Honda Activa 3G</v>
      </c>
      <c r="L3006" s="5" t="s">
        <v>25</v>
      </c>
      <c r="M3006" s="7" t="str">
        <f>VLOOKUP(A3006,Sheet2!$A$2:$R$3432,5,0)</f>
        <v>MH14FN6701</v>
      </c>
      <c r="N3006" s="5" t="s">
        <v>25</v>
      </c>
      <c r="O3006" s="5" t="s">
        <v>25</v>
      </c>
      <c r="P3006" s="6" t="s">
        <v>25</v>
      </c>
      <c r="Q3006" s="5" t="s">
        <v>25</v>
      </c>
      <c r="R3006" s="5" t="s">
        <v>25</v>
      </c>
      <c r="S3006" s="5" t="str">
        <f>VLOOKUP(A3006,Sheet2!$A$2:$R$3432,18,0)</f>
        <v>JF50ET3232419</v>
      </c>
      <c r="T3006" s="7" t="str">
        <f>VLOOKUP(A3006,Sheet2!$A$2:$R$3432,17,0)</f>
        <v>ME4JF5056GT232164</v>
      </c>
    </row>
    <row r="3007" ht="15.75" customHeight="1">
      <c r="A3007" s="3" t="s">
        <v>3030</v>
      </c>
      <c r="B3007" s="4" t="str">
        <f>VLOOKUP(A3007,Sheet2!$A$2:$R$3432,2,0)</f>
        <v>2025-04-06 19:18:44</v>
      </c>
      <c r="C3007" s="5" t="s">
        <v>25</v>
      </c>
      <c r="D3007" s="6" t="s">
        <v>25</v>
      </c>
      <c r="E3007" s="7">
        <f>VLOOKUP(A3007,Sheet2!$A$2:$R$3432,4,0)</f>
        <v>9604788998</v>
      </c>
      <c r="F3007" s="7" t="str">
        <f>VLOOKUP(A3007,Sheet2!$A$2:$R$3432,3,0)</f>
        <v>IMRAN INAMDAR</v>
      </c>
      <c r="G3007" s="5" t="s">
        <v>25</v>
      </c>
      <c r="H3007" s="5" t="s">
        <v>25</v>
      </c>
      <c r="I3007" s="5" t="s">
        <v>25</v>
      </c>
      <c r="J3007" s="5" t="s">
        <v>25</v>
      </c>
      <c r="K3007" s="7" t="str">
        <f>VLOOKUP(A3007,Sheet2!$A$2:$R$3432,6,0)</f>
        <v>Suzuki Gixxer </v>
      </c>
      <c r="L3007" s="5" t="s">
        <v>25</v>
      </c>
      <c r="M3007" s="7" t="str">
        <f>VLOOKUP(A3007,Sheet2!$A$2:$R$3432,5,0)</f>
        <v>MH14FE8998</v>
      </c>
      <c r="N3007" s="5" t="s">
        <v>25</v>
      </c>
      <c r="O3007" s="5" t="s">
        <v>25</v>
      </c>
      <c r="P3007" s="6" t="s">
        <v>25</v>
      </c>
      <c r="Q3007" s="5" t="s">
        <v>25</v>
      </c>
      <c r="R3007" s="5" t="s">
        <v>25</v>
      </c>
      <c r="S3007" s="5" t="str">
        <f>VLOOKUP(A3007,Sheet2!$A$2:$R$3432,18,0)</f>
        <v>BGA1200107</v>
      </c>
      <c r="T3007" s="7" t="str">
        <f>VLOOKUP(A3007,Sheet2!$A$2:$R$3432,17,0)</f>
        <v>MB8NG4BBJF812125</v>
      </c>
    </row>
    <row r="3008" ht="15.75" customHeight="1">
      <c r="A3008" s="3" t="s">
        <v>3031</v>
      </c>
      <c r="B3008" s="4" t="str">
        <f>VLOOKUP(A3008,Sheet2!$A$2:$R$3432,2,0)</f>
        <v>2025-04-06 20:46:41</v>
      </c>
      <c r="C3008" s="5" t="s">
        <v>25</v>
      </c>
      <c r="D3008" s="6" t="s">
        <v>25</v>
      </c>
      <c r="E3008" s="7">
        <f>VLOOKUP(A3008,Sheet2!$A$2:$R$3432,4,0)</f>
        <v>9686325001</v>
      </c>
      <c r="F3008" s="7" t="str">
        <f>VLOOKUP(A3008,Sheet2!$A$2:$R$3432,3,0)</f>
        <v>RAJENDRA</v>
      </c>
      <c r="G3008" s="5" t="s">
        <v>25</v>
      </c>
      <c r="H3008" s="5" t="s">
        <v>25</v>
      </c>
      <c r="I3008" s="5" t="s">
        <v>25</v>
      </c>
      <c r="J3008" s="5" t="s">
        <v>25</v>
      </c>
      <c r="K3008" s="7" t="str">
        <f>VLOOKUP(A3008,Sheet2!$A$2:$R$3432,6,0)</f>
        <v>Yamaha FZ S</v>
      </c>
      <c r="L3008" s="5" t="s">
        <v>25</v>
      </c>
      <c r="M3008" s="7" t="str">
        <f>VLOOKUP(A3008,Sheet2!$A$2:$R$3432,5,0)</f>
        <v>KA01EV7427</v>
      </c>
      <c r="N3008" s="5" t="s">
        <v>25</v>
      </c>
      <c r="O3008" s="5" t="s">
        <v>25</v>
      </c>
      <c r="P3008" s="6" t="s">
        <v>25</v>
      </c>
      <c r="Q3008" s="5" t="s">
        <v>25</v>
      </c>
      <c r="R3008" s="5" t="s">
        <v>25</v>
      </c>
      <c r="S3008" s="5" t="str">
        <f>VLOOKUP(A3008,Sheet2!$A$2:$R$3432,18,0)</f>
        <v>21XZD16393</v>
      </c>
      <c r="T3008" s="7" t="str">
        <f>VLOOKUP(A3008,Sheet2!$A$2:$R$3432,17,0)</f>
        <v>ME121CD7BB2016435</v>
      </c>
    </row>
    <row r="3009" ht="15.75" customHeight="1">
      <c r="A3009" s="3" t="s">
        <v>3032</v>
      </c>
      <c r="B3009" s="4" t="str">
        <f>VLOOKUP(A3009,Sheet2!$A$2:$R$3432,2,0)</f>
        <v>2025-04-06 18:59:27</v>
      </c>
      <c r="C3009" s="5" t="s">
        <v>25</v>
      </c>
      <c r="D3009" s="6" t="s">
        <v>25</v>
      </c>
      <c r="E3009" s="7">
        <f>VLOOKUP(A3009,Sheet2!$A$2:$R$3432,4,0)</f>
        <v>9890078877</v>
      </c>
      <c r="F3009" s="7" t="str">
        <f>VLOOKUP(A3009,Sheet2!$A$2:$R$3432,3,0)</f>
        <v>Nirmal Raisoni</v>
      </c>
      <c r="G3009" s="5" t="s">
        <v>25</v>
      </c>
      <c r="H3009" s="5" t="s">
        <v>25</v>
      </c>
      <c r="I3009" s="5" t="s">
        <v>25</v>
      </c>
      <c r="J3009" s="5" t="s">
        <v>25</v>
      </c>
      <c r="K3009" s="7" t="str">
        <f>VLOOKUP(A3009,Sheet2!$A$2:$R$3432,6,0)</f>
        <v>Yamaha Ray Z</v>
      </c>
      <c r="L3009" s="5" t="s">
        <v>25</v>
      </c>
      <c r="M3009" s="7" t="str">
        <f>VLOOKUP(A3009,Sheet2!$A$2:$R$3432,5,0)</f>
        <v>MH14EL5871</v>
      </c>
      <c r="N3009" s="5" t="s">
        <v>25</v>
      </c>
      <c r="O3009" s="5" t="s">
        <v>25</v>
      </c>
      <c r="P3009" s="6" t="s">
        <v>25</v>
      </c>
      <c r="Q3009" s="5" t="s">
        <v>25</v>
      </c>
      <c r="R3009" s="5" t="s">
        <v>25</v>
      </c>
      <c r="S3009" s="5" t="str">
        <f>VLOOKUP(A3009,Sheet2!$A$2:$R$3432,18,0)</f>
        <v>2NE1120947</v>
      </c>
      <c r="T3009" s="7" t="str">
        <f>VLOOKUP(A3009,Sheet2!$A$2:$R$3432,17,0)</f>
        <v>ME12NCD16E2120914</v>
      </c>
    </row>
    <row r="3010" ht="15.75" customHeight="1">
      <c r="A3010" s="3" t="s">
        <v>3033</v>
      </c>
      <c r="B3010" s="4" t="str">
        <f>VLOOKUP(A3010,Sheet2!$A$2:$R$3432,2,0)</f>
        <v>2025-04-06 20:48:08</v>
      </c>
      <c r="C3010" s="5" t="s">
        <v>25</v>
      </c>
      <c r="D3010" s="6" t="s">
        <v>25</v>
      </c>
      <c r="E3010" s="7">
        <f>VLOOKUP(A3010,Sheet2!$A$2:$R$3432,4,0)</f>
        <v>7350725409</v>
      </c>
      <c r="F3010" s="7" t="str">
        <f>VLOOKUP(A3010,Sheet2!$A$2:$R$3432,3,0)</f>
        <v>Parth</v>
      </c>
      <c r="G3010" s="5" t="s">
        <v>25</v>
      </c>
      <c r="H3010" s="5" t="s">
        <v>25</v>
      </c>
      <c r="I3010" s="5" t="s">
        <v>25</v>
      </c>
      <c r="J3010" s="5" t="s">
        <v>25</v>
      </c>
      <c r="K3010" s="7" t="str">
        <f>VLOOKUP(A3010,Sheet2!$A$2:$R$3432,6,0)</f>
        <v>Honda CBR 150</v>
      </c>
      <c r="L3010" s="5" t="s">
        <v>25</v>
      </c>
      <c r="M3010" s="7" t="str">
        <f>VLOOKUP(A3010,Sheet2!$A$2:$R$3432,5,0)</f>
        <v>MH14FU2470</v>
      </c>
      <c r="N3010" s="5" t="s">
        <v>25</v>
      </c>
      <c r="O3010" s="5" t="s">
        <v>25</v>
      </c>
      <c r="P3010" s="6" t="s">
        <v>25</v>
      </c>
      <c r="Q3010" s="5" t="s">
        <v>25</v>
      </c>
      <c r="R3010" s="5" t="s">
        <v>25</v>
      </c>
      <c r="S3010" s="5" t="str">
        <f>VLOOKUP(A3010,Sheet2!$A$2:$R$3432,18,0)</f>
        <v>KC17E8046479</v>
      </c>
      <c r="T3010" s="7" t="str">
        <f>VLOOKUP(A3010,Sheet2!$A$2:$R$3432,17,0)</f>
        <v>ME4KC241HG8004487</v>
      </c>
    </row>
    <row r="3011" ht="15.75" customHeight="1">
      <c r="A3011" s="3" t="s">
        <v>3034</v>
      </c>
      <c r="B3011" s="4" t="str">
        <f>VLOOKUP(A3011,Sheet2!$A$2:$R$3432,2,0)</f>
        <v>2025-04-06 20:42:51</v>
      </c>
      <c r="C3011" s="5" t="s">
        <v>25</v>
      </c>
      <c r="D3011" s="6" t="s">
        <v>25</v>
      </c>
      <c r="E3011" s="7">
        <f>VLOOKUP(A3011,Sheet2!$A$2:$R$3432,4,0)</f>
        <v>9822246694</v>
      </c>
      <c r="F3011" s="7" t="str">
        <f>VLOOKUP(A3011,Sheet2!$A$2:$R$3432,3,0)</f>
        <v>Satish Tote</v>
      </c>
      <c r="G3011" s="5" t="s">
        <v>25</v>
      </c>
      <c r="H3011" s="5" t="s">
        <v>25</v>
      </c>
      <c r="I3011" s="5" t="s">
        <v>25</v>
      </c>
      <c r="J3011" s="5" t="s">
        <v>25</v>
      </c>
      <c r="K3011" s="7" t="str">
        <f>VLOOKUP(A3011,Sheet2!$A$2:$R$3432,6,0)</f>
        <v>Honda Activa 4G</v>
      </c>
      <c r="L3011" s="5" t="s">
        <v>25</v>
      </c>
      <c r="M3011" s="7" t="str">
        <f>VLOOKUP(A3011,Sheet2!$A$2:$R$3432,5,0)</f>
        <v>MH14GQ1708</v>
      </c>
      <c r="N3011" s="5" t="s">
        <v>25</v>
      </c>
      <c r="O3011" s="5" t="s">
        <v>25</v>
      </c>
      <c r="P3011" s="6" t="s">
        <v>25</v>
      </c>
      <c r="Q3011" s="5" t="s">
        <v>25</v>
      </c>
      <c r="R3011" s="5" t="s">
        <v>25</v>
      </c>
      <c r="S3011" s="7" t="str">
        <f>VLOOKUP(A3011,Sheet2!$A$2:$R$3432,18,0)</f>
        <v/>
      </c>
      <c r="T3011" s="7" t="str">
        <f>VLOOKUP(A3011,Sheet2!$A$2:$R$3432,17,0)</f>
        <v>ME4JF507LHU685182</v>
      </c>
    </row>
    <row r="3012" ht="15.75" customHeight="1">
      <c r="A3012" s="3" t="s">
        <v>3035</v>
      </c>
      <c r="B3012" s="4" t="str">
        <f>VLOOKUP(A3012,Sheet2!$A$2:$R$3432,2,0)</f>
        <v>2025-04-06 20:45:43</v>
      </c>
      <c r="C3012" s="5" t="s">
        <v>25</v>
      </c>
      <c r="D3012" s="6" t="s">
        <v>25</v>
      </c>
      <c r="E3012" s="7">
        <f>VLOOKUP(A3012,Sheet2!$A$2:$R$3432,4,0)</f>
        <v>9975562308</v>
      </c>
      <c r="F3012" s="7" t="str">
        <f>VLOOKUP(A3012,Sheet2!$A$2:$R$3432,3,0)</f>
        <v>MOHAMMAD ZAID</v>
      </c>
      <c r="G3012" s="5" t="s">
        <v>25</v>
      </c>
      <c r="H3012" s="5" t="s">
        <v>25</v>
      </c>
      <c r="I3012" s="5" t="s">
        <v>25</v>
      </c>
      <c r="J3012" s="5" t="s">
        <v>25</v>
      </c>
      <c r="K3012" s="7" t="str">
        <f>VLOOKUP(A3012,Sheet2!$A$2:$R$3432,6,0)</f>
        <v>Honda Activa 6G</v>
      </c>
      <c r="L3012" s="5" t="s">
        <v>25</v>
      </c>
      <c r="M3012" s="7" t="str">
        <f>VLOOKUP(A3012,Sheet2!$A$2:$R$3432,5,0)</f>
        <v>MH40BY8505</v>
      </c>
      <c r="N3012" s="5" t="s">
        <v>25</v>
      </c>
      <c r="O3012" s="5" t="s">
        <v>25</v>
      </c>
      <c r="P3012" s="6" t="s">
        <v>25</v>
      </c>
      <c r="Q3012" s="5" t="s">
        <v>25</v>
      </c>
      <c r="R3012" s="5" t="s">
        <v>25</v>
      </c>
      <c r="S3012" s="7" t="str">
        <f>VLOOKUP(A3012,Sheet2!$A$2:$R$3432,18,0)</f>
        <v/>
      </c>
      <c r="T3012" s="7" t="str">
        <f>VLOOKUP(A3012,Sheet2!$A$2:$R$3432,17,0)</f>
        <v/>
      </c>
    </row>
    <row r="3013" ht="15.75" customHeight="1">
      <c r="A3013" s="3" t="s">
        <v>3036</v>
      </c>
      <c r="B3013" s="4" t="str">
        <f>VLOOKUP(A3013,Sheet2!$A$2:$R$3432,2,0)</f>
        <v>2025-04-06 20:43:34</v>
      </c>
      <c r="C3013" s="5" t="s">
        <v>25</v>
      </c>
      <c r="D3013" s="6" t="s">
        <v>25</v>
      </c>
      <c r="E3013" s="7">
        <f>VLOOKUP(A3013,Sheet2!$A$2:$R$3432,4,0)</f>
        <v>9765714705</v>
      </c>
      <c r="F3013" s="7" t="str">
        <f>VLOOKUP(A3013,Sheet2!$A$2:$R$3432,3,0)</f>
        <v>Varsha Jambavalikar</v>
      </c>
      <c r="G3013" s="5" t="s">
        <v>25</v>
      </c>
      <c r="H3013" s="5" t="s">
        <v>25</v>
      </c>
      <c r="I3013" s="5" t="s">
        <v>25</v>
      </c>
      <c r="J3013" s="5" t="s">
        <v>25</v>
      </c>
      <c r="K3013" s="7" t="str">
        <f>VLOOKUP(A3013,Sheet2!$A$2:$R$3432,6,0)</f>
        <v>TVS Jupiter 125</v>
      </c>
      <c r="L3013" s="5" t="s">
        <v>25</v>
      </c>
      <c r="M3013" s="7" t="str">
        <f>VLOOKUP(A3013,Sheet2!$A$2:$R$3432,5,0)</f>
        <v>MH14KP5341</v>
      </c>
      <c r="N3013" s="5" t="s">
        <v>25</v>
      </c>
      <c r="O3013" s="5" t="s">
        <v>25</v>
      </c>
      <c r="P3013" s="6" t="s">
        <v>25</v>
      </c>
      <c r="Q3013" s="5" t="s">
        <v>25</v>
      </c>
      <c r="R3013" s="5" t="s">
        <v>25</v>
      </c>
      <c r="S3013" s="5" t="str">
        <f>VLOOKUP(A3013,Sheet2!$A$2:$R$3432,18,0)</f>
        <v>BK4NN1624840</v>
      </c>
      <c r="T3013" s="7" t="str">
        <f>VLOOKUP(A3013,Sheet2!$A$2:$R$3432,17,0)</f>
        <v>MD626AK4XN1N26479</v>
      </c>
    </row>
    <row r="3014" ht="15.75" customHeight="1">
      <c r="A3014" s="3" t="s">
        <v>3037</v>
      </c>
      <c r="B3014" s="4" t="str">
        <f>VLOOKUP(A3014,Sheet2!$A$2:$R$3432,2,0)</f>
        <v>2025-04-06 20:50:25</v>
      </c>
      <c r="C3014" s="5" t="s">
        <v>25</v>
      </c>
      <c r="D3014" s="6" t="s">
        <v>25</v>
      </c>
      <c r="E3014" s="7">
        <f>VLOOKUP(A3014,Sheet2!$A$2:$R$3432,4,0)</f>
        <v>7262951230</v>
      </c>
      <c r="F3014" s="7" t="str">
        <f>VLOOKUP(A3014,Sheet2!$A$2:$R$3432,3,0)</f>
        <v>SAMEER RANA</v>
      </c>
      <c r="G3014" s="5" t="s">
        <v>25</v>
      </c>
      <c r="H3014" s="5" t="s">
        <v>25</v>
      </c>
      <c r="I3014" s="5" t="s">
        <v>25</v>
      </c>
      <c r="J3014" s="5" t="s">
        <v>25</v>
      </c>
      <c r="K3014" s="7" t="str">
        <f>VLOOKUP(A3014,Sheet2!$A$2:$R$3432,6,0)</f>
        <v>Honda Hornet 160R</v>
      </c>
      <c r="L3014" s="5" t="s">
        <v>25</v>
      </c>
      <c r="M3014" s="7" t="str">
        <f>VLOOKUP(A3014,Sheet2!$A$2:$R$3432,5,0)</f>
        <v>MH19CQ1312</v>
      </c>
      <c r="N3014" s="5" t="s">
        <v>25</v>
      </c>
      <c r="O3014" s="5" t="s">
        <v>25</v>
      </c>
      <c r="P3014" s="6" t="s">
        <v>25</v>
      </c>
      <c r="Q3014" s="5" t="s">
        <v>25</v>
      </c>
      <c r="R3014" s="5" t="s">
        <v>25</v>
      </c>
      <c r="S3014" s="5" t="str">
        <f>VLOOKUP(A3014,Sheet2!$A$2:$R$3432,18,0)</f>
        <v>KC23E80116662</v>
      </c>
      <c r="T3014" s="7" t="str">
        <f>VLOOKUP(A3014,Sheet2!$A$2:$R$3432,17,0)</f>
        <v>ME4KC238MG801D061</v>
      </c>
    </row>
    <row r="3015" ht="15.75" customHeight="1">
      <c r="A3015" s="3" t="s">
        <v>3038</v>
      </c>
      <c r="B3015" s="4" t="str">
        <f>VLOOKUP(A3015,Sheet2!$A$2:$R$3432,2,0)</f>
        <v>2025-04-07 20:24:10</v>
      </c>
      <c r="C3015" s="5" t="s">
        <v>25</v>
      </c>
      <c r="D3015" s="6" t="s">
        <v>25</v>
      </c>
      <c r="E3015" s="7">
        <f>VLOOKUP(A3015,Sheet2!$A$2:$R$3432,4,0)</f>
        <v>9890504616</v>
      </c>
      <c r="F3015" s="7" t="str">
        <f>VLOOKUP(A3015,Sheet2!$A$2:$R$3432,3,0)</f>
        <v>YASH CHAUDHARI </v>
      </c>
      <c r="G3015" s="5" t="s">
        <v>25</v>
      </c>
      <c r="H3015" s="5" t="s">
        <v>25</v>
      </c>
      <c r="I3015" s="5" t="s">
        <v>25</v>
      </c>
      <c r="J3015" s="5" t="s">
        <v>25</v>
      </c>
      <c r="K3015" s="7" t="str">
        <f>VLOOKUP(A3015,Sheet2!$A$2:$R$3432,6,0)</f>
        <v>KTM RC 200</v>
      </c>
      <c r="L3015" s="5" t="s">
        <v>25</v>
      </c>
      <c r="M3015" s="7" t="str">
        <f>VLOOKUP(A3015,Sheet2!$A$2:$R$3432,5,0)</f>
        <v>MH14KY4125</v>
      </c>
      <c r="N3015" s="5" t="s">
        <v>25</v>
      </c>
      <c r="O3015" s="5" t="s">
        <v>25</v>
      </c>
      <c r="P3015" s="6" t="s">
        <v>25</v>
      </c>
      <c r="Q3015" s="5" t="s">
        <v>25</v>
      </c>
      <c r="R3015" s="5" t="s">
        <v>25</v>
      </c>
      <c r="S3015" s="5" t="str">
        <f>VLOOKUP(A3015,Sheet2!$A$2:$R$3432,18,0)</f>
        <v>P93646359</v>
      </c>
      <c r="T3015" s="7" t="str">
        <f>VLOOKUP(A3015,Sheet2!$A$2:$R$3432,17,0)</f>
        <v>MD2JYCXD5PN002650</v>
      </c>
    </row>
    <row r="3016" ht="15.75" customHeight="1">
      <c r="A3016" s="3" t="s">
        <v>3039</v>
      </c>
      <c r="B3016" s="4" t="str">
        <f>VLOOKUP(A3016,Sheet2!$A$2:$R$3432,2,0)</f>
        <v>2025-04-07 20:20:28</v>
      </c>
      <c r="C3016" s="5" t="s">
        <v>25</v>
      </c>
      <c r="D3016" s="6" t="s">
        <v>25</v>
      </c>
      <c r="E3016" s="7">
        <f>VLOOKUP(A3016,Sheet2!$A$2:$R$3432,4,0)</f>
        <v>9036478414</v>
      </c>
      <c r="F3016" s="7" t="str">
        <f>VLOOKUP(A3016,Sheet2!$A$2:$R$3432,3,0)</f>
        <v>VIGNESH BHAT</v>
      </c>
      <c r="G3016" s="5" t="s">
        <v>25</v>
      </c>
      <c r="H3016" s="5" t="s">
        <v>25</v>
      </c>
      <c r="I3016" s="5" t="s">
        <v>25</v>
      </c>
      <c r="J3016" s="5" t="s">
        <v>25</v>
      </c>
      <c r="K3016" s="7" t="str">
        <f>VLOOKUP(A3016,Sheet2!$A$2:$R$3432,6,0)</f>
        <v>Suzuki Access </v>
      </c>
      <c r="L3016" s="5" t="s">
        <v>25</v>
      </c>
      <c r="M3016" s="7" t="str">
        <f>VLOOKUP(A3016,Sheet2!$A$2:$R$3432,5,0)</f>
        <v>KA09EX0540</v>
      </c>
      <c r="N3016" s="5" t="s">
        <v>25</v>
      </c>
      <c r="O3016" s="5" t="s">
        <v>25</v>
      </c>
      <c r="P3016" s="6" t="s">
        <v>25</v>
      </c>
      <c r="Q3016" s="5" t="s">
        <v>25</v>
      </c>
      <c r="R3016" s="5" t="s">
        <v>25</v>
      </c>
      <c r="S3016" s="7" t="str">
        <f>VLOOKUP(A3016,Sheet2!$A$2:$R$3432,18,0)</f>
        <v/>
      </c>
      <c r="T3016" s="7" t="str">
        <f>VLOOKUP(A3016,Sheet2!$A$2:$R$3432,17,0)</f>
        <v/>
      </c>
    </row>
    <row r="3017" ht="15.75" customHeight="1">
      <c r="A3017" s="3" t="s">
        <v>3040</v>
      </c>
      <c r="B3017" s="4" t="str">
        <f>VLOOKUP(A3017,Sheet2!$A$2:$R$3432,2,0)</f>
        <v>2025-04-07 20:19:22</v>
      </c>
      <c r="C3017" s="5" t="s">
        <v>25</v>
      </c>
      <c r="D3017" s="6" t="s">
        <v>25</v>
      </c>
      <c r="E3017" s="7">
        <f>VLOOKUP(A3017,Sheet2!$A$2:$R$3432,4,0)</f>
        <v>8051214663</v>
      </c>
      <c r="F3017" s="7" t="str">
        <f>VLOOKUP(A3017,Sheet2!$A$2:$R$3432,3,0)</f>
        <v>SIDDHARTH </v>
      </c>
      <c r="G3017" s="5" t="s">
        <v>25</v>
      </c>
      <c r="H3017" s="5" t="s">
        <v>25</v>
      </c>
      <c r="I3017" s="5" t="s">
        <v>25</v>
      </c>
      <c r="J3017" s="5" t="s">
        <v>25</v>
      </c>
      <c r="K3017" s="7" t="str">
        <f>VLOOKUP(A3017,Sheet2!$A$2:$R$3432,6,0)</f>
        <v>Honda Activa 6G</v>
      </c>
      <c r="L3017" s="5" t="s">
        <v>25</v>
      </c>
      <c r="M3017" s="7" t="str">
        <f>VLOOKUP(A3017,Sheet2!$A$2:$R$3432,5,0)</f>
        <v>JH01ES4917</v>
      </c>
      <c r="N3017" s="5" t="s">
        <v>25</v>
      </c>
      <c r="O3017" s="5" t="s">
        <v>25</v>
      </c>
      <c r="P3017" s="6" t="s">
        <v>25</v>
      </c>
      <c r="Q3017" s="5" t="s">
        <v>25</v>
      </c>
      <c r="R3017" s="5" t="s">
        <v>25</v>
      </c>
      <c r="S3017" s="5" t="str">
        <f>VLOOKUP(A3017,Sheet2!$A$2:$R$3432,18,0)</f>
        <v>JF91EG6043661</v>
      </c>
      <c r="T3017" s="7" t="str">
        <f>VLOOKUP(A3017,Sheet2!$A$2:$R$3432,17,0)</f>
        <v>ME4JF919CNG042397</v>
      </c>
    </row>
    <row r="3018" ht="15.75" customHeight="1">
      <c r="A3018" s="3" t="s">
        <v>3041</v>
      </c>
      <c r="B3018" s="4" t="str">
        <f>VLOOKUP(A3018,Sheet2!$A$2:$R$3432,2,0)</f>
        <v>2025-04-07 20:23:56</v>
      </c>
      <c r="C3018" s="5" t="s">
        <v>25</v>
      </c>
      <c r="D3018" s="6" t="s">
        <v>25</v>
      </c>
      <c r="E3018" s="7">
        <f>VLOOKUP(A3018,Sheet2!$A$2:$R$3432,4,0)</f>
        <v>9168467484</v>
      </c>
      <c r="F3018" s="7" t="str">
        <f>VLOOKUP(A3018,Sheet2!$A$2:$R$3432,3,0)</f>
        <v>BUDHARAM CHAUDHARI </v>
      </c>
      <c r="G3018" s="5" t="s">
        <v>25</v>
      </c>
      <c r="H3018" s="5" t="s">
        <v>25</v>
      </c>
      <c r="I3018" s="5" t="s">
        <v>25</v>
      </c>
      <c r="J3018" s="5" t="s">
        <v>25</v>
      </c>
      <c r="K3018" s="7" t="str">
        <f>VLOOKUP(A3018,Sheet2!$A$2:$R$3432,6,0)</f>
        <v>Honda Activa 5G</v>
      </c>
      <c r="L3018" s="5" t="s">
        <v>25</v>
      </c>
      <c r="M3018" s="7" t="str">
        <f>VLOOKUP(A3018,Sheet2!$A$2:$R$3432,5,0)</f>
        <v>MH12SR2711</v>
      </c>
      <c r="N3018" s="5" t="s">
        <v>25</v>
      </c>
      <c r="O3018" s="5" t="s">
        <v>25</v>
      </c>
      <c r="P3018" s="6" t="s">
        <v>25</v>
      </c>
      <c r="Q3018" s="5" t="s">
        <v>25</v>
      </c>
      <c r="R3018" s="5" t="s">
        <v>25</v>
      </c>
      <c r="S3018" s="5" t="str">
        <f>VLOOKUP(A3018,Sheet2!$A$2:$R$3432,18,0)</f>
        <v>JF50E1064739</v>
      </c>
      <c r="T3018" s="7" t="str">
        <f>VLOOKUP(A3018,Sheet2!$A$2:$R$3432,17,0)</f>
        <v>ME4JF50BHKW0896</v>
      </c>
    </row>
    <row r="3019" ht="15.75" customHeight="1">
      <c r="A3019" s="3" t="s">
        <v>3042</v>
      </c>
      <c r="B3019" s="4" t="str">
        <f>VLOOKUP(A3019,Sheet2!$A$2:$R$3432,2,0)</f>
        <v>2025-04-07 20:23:20</v>
      </c>
      <c r="C3019" s="5" t="s">
        <v>25</v>
      </c>
      <c r="D3019" s="6" t="s">
        <v>25</v>
      </c>
      <c r="E3019" s="7">
        <f>VLOOKUP(A3019,Sheet2!$A$2:$R$3432,4,0)</f>
        <v>8446479842</v>
      </c>
      <c r="F3019" s="7" t="str">
        <f>VLOOKUP(A3019,Sheet2!$A$2:$R$3432,3,0)</f>
        <v>PRATEEK</v>
      </c>
      <c r="G3019" s="5" t="s">
        <v>25</v>
      </c>
      <c r="H3019" s="5" t="s">
        <v>25</v>
      </c>
      <c r="I3019" s="5" t="s">
        <v>25</v>
      </c>
      <c r="J3019" s="5" t="s">
        <v>25</v>
      </c>
      <c r="K3019" s="7" t="str">
        <f>VLOOKUP(A3019,Sheet2!$A$2:$R$3432,6,0)</f>
        <v>Honda Activa 6G</v>
      </c>
      <c r="L3019" s="5" t="s">
        <v>25</v>
      </c>
      <c r="M3019" s="7" t="str">
        <f>VLOOKUP(A3019,Sheet2!$A$2:$R$3432,5,0)</f>
        <v>MH08AY3515</v>
      </c>
      <c r="N3019" s="5" t="s">
        <v>25</v>
      </c>
      <c r="O3019" s="5" t="s">
        <v>25</v>
      </c>
      <c r="P3019" s="6" t="s">
        <v>25</v>
      </c>
      <c r="Q3019" s="5" t="s">
        <v>25</v>
      </c>
      <c r="R3019" s="5" t="s">
        <v>25</v>
      </c>
      <c r="S3019" s="5" t="str">
        <f>VLOOKUP(A3019,Sheet2!$A$2:$R$3432,18,0)</f>
        <v>JF91EG0373859</v>
      </c>
      <c r="T3019" s="7" t="str">
        <f>VLOOKUP(A3019,Sheet2!$A$2:$R$3432,17,0)</f>
        <v>ME4JF913BMG374228</v>
      </c>
    </row>
    <row r="3020" ht="15.75" customHeight="1">
      <c r="A3020" s="3" t="s">
        <v>3043</v>
      </c>
      <c r="B3020" s="4" t="str">
        <f>VLOOKUP(A3020,Sheet2!$A$2:$R$3432,2,0)</f>
        <v>2025-04-07 20:48:39</v>
      </c>
      <c r="C3020" s="5" t="s">
        <v>25</v>
      </c>
      <c r="D3020" s="6" t="s">
        <v>25</v>
      </c>
      <c r="E3020" s="7">
        <f>VLOOKUP(A3020,Sheet2!$A$2:$R$3432,4,0)</f>
        <v>8080498411</v>
      </c>
      <c r="F3020" s="7" t="str">
        <f>VLOOKUP(A3020,Sheet2!$A$2:$R$3432,3,0)</f>
        <v>Subodh Kulkarni</v>
      </c>
      <c r="G3020" s="5" t="s">
        <v>25</v>
      </c>
      <c r="H3020" s="5" t="s">
        <v>25</v>
      </c>
      <c r="I3020" s="5" t="s">
        <v>25</v>
      </c>
      <c r="J3020" s="5" t="s">
        <v>25</v>
      </c>
      <c r="K3020" s="7" t="str">
        <f>VLOOKUP(A3020,Sheet2!$A$2:$R$3432,6,0)</f>
        <v>Hero Xtreme </v>
      </c>
      <c r="L3020" s="5" t="s">
        <v>25</v>
      </c>
      <c r="M3020" s="7" t="str">
        <f>VLOOKUP(A3020,Sheet2!$A$2:$R$3432,5,0)</f>
        <v>MH20BU6857</v>
      </c>
      <c r="N3020" s="5" t="s">
        <v>25</v>
      </c>
      <c r="O3020" s="5" t="s">
        <v>25</v>
      </c>
      <c r="P3020" s="6" t="s">
        <v>25</v>
      </c>
      <c r="Q3020" s="5" t="s">
        <v>25</v>
      </c>
      <c r="R3020" s="5" t="s">
        <v>25</v>
      </c>
      <c r="S3020" s="7" t="str">
        <f>VLOOKUP(A3020,Sheet2!$A$2:$R$3432,18,0)</f>
        <v/>
      </c>
      <c r="T3020" s="7" t="str">
        <f>VLOOKUP(A3020,Sheet2!$A$2:$R$3432,17,0)</f>
        <v>MBLKC12ECAGJ08815</v>
      </c>
    </row>
    <row r="3021" ht="15.75" customHeight="1">
      <c r="A3021" s="3" t="s">
        <v>3044</v>
      </c>
      <c r="B3021" s="4" t="str">
        <f>VLOOKUP(A3021,Sheet2!$A$2:$R$3432,2,0)</f>
        <v>2025-04-07 19:08:14</v>
      </c>
      <c r="C3021" s="5" t="s">
        <v>25</v>
      </c>
      <c r="D3021" s="6" t="s">
        <v>25</v>
      </c>
      <c r="E3021" s="7">
        <f>VLOOKUP(A3021,Sheet2!$A$2:$R$3432,4,0)</f>
        <v>7999037534</v>
      </c>
      <c r="F3021" s="7" t="str">
        <f>VLOOKUP(A3021,Sheet2!$A$2:$R$3432,3,0)</f>
        <v>RISHBH </v>
      </c>
      <c r="G3021" s="5" t="s">
        <v>25</v>
      </c>
      <c r="H3021" s="5" t="s">
        <v>25</v>
      </c>
      <c r="I3021" s="5" t="s">
        <v>25</v>
      </c>
      <c r="J3021" s="5" t="s">
        <v>25</v>
      </c>
      <c r="K3021" s="7" t="str">
        <f>VLOOKUP(A3021,Sheet2!$A$2:$R$3432,6,0)</f>
        <v>Honda Activa 4G</v>
      </c>
      <c r="L3021" s="5" t="s">
        <v>25</v>
      </c>
      <c r="M3021" s="7" t="str">
        <f>VLOOKUP(A3021,Sheet2!$A$2:$R$3432,5,0)</f>
        <v>CG07BK6110</v>
      </c>
      <c r="N3021" s="5" t="s">
        <v>25</v>
      </c>
      <c r="O3021" s="5" t="s">
        <v>25</v>
      </c>
      <c r="P3021" s="6" t="s">
        <v>25</v>
      </c>
      <c r="Q3021" s="5" t="s">
        <v>25</v>
      </c>
      <c r="R3021" s="5" t="s">
        <v>25</v>
      </c>
      <c r="S3021" s="5" t="str">
        <f>VLOOKUP(A3021,Sheet2!$A$2:$R$3432,18,0)</f>
        <v>JF50E7981042</v>
      </c>
      <c r="T3021" s="7" t="str">
        <f>VLOOKUP(A3021,Sheet2!$A$2:$R$3432,17,0)</f>
        <v>ME4JF50CBJJ81034</v>
      </c>
    </row>
    <row r="3022" ht="15.75" customHeight="1">
      <c r="A3022" s="3" t="s">
        <v>3045</v>
      </c>
      <c r="B3022" s="4" t="str">
        <f>VLOOKUP(A3022,Sheet2!$A$2:$R$3432,2,0)</f>
        <v>2025-04-07 20:13:51</v>
      </c>
      <c r="C3022" s="5" t="s">
        <v>25</v>
      </c>
      <c r="D3022" s="6" t="s">
        <v>25</v>
      </c>
      <c r="E3022" s="7">
        <f>VLOOKUP(A3022,Sheet2!$A$2:$R$3432,4,0)</f>
        <v>8793441853</v>
      </c>
      <c r="F3022" s="7" t="str">
        <f>VLOOKUP(A3022,Sheet2!$A$2:$R$3432,3,0)</f>
        <v>MANGESH RASKAR</v>
      </c>
      <c r="G3022" s="5" t="s">
        <v>25</v>
      </c>
      <c r="H3022" s="5" t="s">
        <v>25</v>
      </c>
      <c r="I3022" s="5" t="s">
        <v>25</v>
      </c>
      <c r="J3022" s="5" t="s">
        <v>25</v>
      </c>
      <c r="K3022" s="7" t="str">
        <f>VLOOKUP(A3022,Sheet2!$A$2:$R$3432,6,0)</f>
        <v>Hero Splendor Plus</v>
      </c>
      <c r="L3022" s="5" t="s">
        <v>25</v>
      </c>
      <c r="M3022" s="7" t="str">
        <f>VLOOKUP(A3022,Sheet2!$A$2:$R$3432,5,0)</f>
        <v>MH16AK6919</v>
      </c>
      <c r="N3022" s="5" t="s">
        <v>25</v>
      </c>
      <c r="O3022" s="5" t="s">
        <v>25</v>
      </c>
      <c r="P3022" s="6" t="s">
        <v>25</v>
      </c>
      <c r="Q3022" s="5" t="s">
        <v>25</v>
      </c>
      <c r="R3022" s="5" t="s">
        <v>25</v>
      </c>
      <c r="S3022" s="5" t="str">
        <f>VLOOKUP(A3022,Sheet2!$A$2:$R$3432,18,0)</f>
        <v>HA10AAHA71528</v>
      </c>
      <c r="T3022" s="7" t="str">
        <f>VLOOKUP(A3022,Sheet2!$A$2:$R$3432,17,0)</f>
        <v>MBLHA10AJAHA14076</v>
      </c>
    </row>
    <row r="3023" ht="15.75" customHeight="1">
      <c r="A3023" s="3" t="s">
        <v>3046</v>
      </c>
      <c r="B3023" s="4" t="str">
        <f>VLOOKUP(A3023,Sheet2!$A$2:$R$3432,2,0)</f>
        <v>2025-04-07 20:18:19</v>
      </c>
      <c r="C3023" s="5" t="s">
        <v>25</v>
      </c>
      <c r="D3023" s="6" t="s">
        <v>25</v>
      </c>
      <c r="E3023" s="7">
        <f>VLOOKUP(A3023,Sheet2!$A$2:$R$3432,4,0)</f>
        <v>8378095777</v>
      </c>
      <c r="F3023" s="7" t="str">
        <f>VLOOKUP(A3023,Sheet2!$A$2:$R$3432,3,0)</f>
        <v>PRAVIN KADAM</v>
      </c>
      <c r="G3023" s="5" t="s">
        <v>25</v>
      </c>
      <c r="H3023" s="5" t="s">
        <v>25</v>
      </c>
      <c r="I3023" s="5" t="s">
        <v>25</v>
      </c>
      <c r="J3023" s="5" t="s">
        <v>25</v>
      </c>
      <c r="K3023" s="7" t="str">
        <f>VLOOKUP(A3023,Sheet2!$A$2:$R$3432,6,0)</f>
        <v>TVS Jupiter </v>
      </c>
      <c r="L3023" s="5" t="s">
        <v>25</v>
      </c>
      <c r="M3023" s="7" t="str">
        <f>VLOOKUP(A3023,Sheet2!$A$2:$R$3432,5,0)</f>
        <v>MH14EV7316</v>
      </c>
      <c r="N3023" s="5" t="s">
        <v>25</v>
      </c>
      <c r="O3023" s="5" t="s">
        <v>25</v>
      </c>
      <c r="P3023" s="6" t="s">
        <v>25</v>
      </c>
      <c r="Q3023" s="5" t="s">
        <v>25</v>
      </c>
      <c r="R3023" s="5" t="s">
        <v>25</v>
      </c>
      <c r="S3023" s="5" t="str">
        <f>VLOOKUP(A3023,Sheet2!$A$2:$R$3432,18,0)</f>
        <v>BGA4AF1428157</v>
      </c>
      <c r="T3023" s="7" t="str">
        <f>VLOOKUP(A3023,Sheet2!$A$2:$R$3432,17,0)</f>
        <v>MD626BG4XF1A36997</v>
      </c>
    </row>
    <row r="3024" ht="15.75" customHeight="1">
      <c r="A3024" s="3" t="s">
        <v>3047</v>
      </c>
      <c r="B3024" s="4" t="str">
        <f>VLOOKUP(A3024,Sheet2!$A$2:$R$3432,2,0)</f>
        <v>2025-04-07 20:21:51</v>
      </c>
      <c r="C3024" s="5" t="s">
        <v>25</v>
      </c>
      <c r="D3024" s="6" t="s">
        <v>25</v>
      </c>
      <c r="E3024" s="7">
        <f>VLOOKUP(A3024,Sheet2!$A$2:$R$3432,4,0)</f>
        <v>7020945145</v>
      </c>
      <c r="F3024" s="7" t="str">
        <f>VLOOKUP(A3024,Sheet2!$A$2:$R$3432,3,0)</f>
        <v>AMOL</v>
      </c>
      <c r="G3024" s="5" t="s">
        <v>25</v>
      </c>
      <c r="H3024" s="5" t="s">
        <v>25</v>
      </c>
      <c r="I3024" s="5" t="s">
        <v>25</v>
      </c>
      <c r="J3024" s="5" t="s">
        <v>25</v>
      </c>
      <c r="K3024" s="7" t="str">
        <f>VLOOKUP(A3024,Sheet2!$A$2:$R$3432,6,0)</f>
        <v>Royal Enfield Classic 350</v>
      </c>
      <c r="L3024" s="5" t="s">
        <v>25</v>
      </c>
      <c r="M3024" s="7" t="str">
        <f>VLOOKUP(A3024,Sheet2!$A$2:$R$3432,5,0)</f>
        <v>MH16BW8543</v>
      </c>
      <c r="N3024" s="5" t="s">
        <v>25</v>
      </c>
      <c r="O3024" s="5" t="s">
        <v>25</v>
      </c>
      <c r="P3024" s="6" t="s">
        <v>25</v>
      </c>
      <c r="Q3024" s="5" t="s">
        <v>25</v>
      </c>
      <c r="R3024" s="5" t="s">
        <v>25</v>
      </c>
      <c r="S3024" s="5" t="str">
        <f>VLOOKUP(A3024,Sheet2!$A$2:$R$3432,18,0)</f>
        <v>435501HFHE519788</v>
      </c>
      <c r="T3024" s="7" t="str">
        <f>VLOOKUP(A3024,Sheet2!$A$2:$R$3432,17,0)</f>
        <v>ME343S5C1HE87921</v>
      </c>
    </row>
    <row r="3025" ht="15.75" customHeight="1">
      <c r="A3025" s="3" t="s">
        <v>3048</v>
      </c>
      <c r="B3025" s="4" t="str">
        <f>VLOOKUP(A3025,Sheet2!$A$2:$R$3432,2,0)</f>
        <v>2025-04-07 20:29:05</v>
      </c>
      <c r="C3025" s="5" t="s">
        <v>25</v>
      </c>
      <c r="D3025" s="6" t="s">
        <v>25</v>
      </c>
      <c r="E3025" s="7">
        <f>VLOOKUP(A3025,Sheet2!$A$2:$R$3432,4,0)</f>
        <v>9730447602</v>
      </c>
      <c r="F3025" s="7" t="str">
        <f>VLOOKUP(A3025,Sheet2!$A$2:$R$3432,3,0)</f>
        <v>Sanjeev</v>
      </c>
      <c r="G3025" s="5" t="s">
        <v>25</v>
      </c>
      <c r="H3025" s="5" t="s">
        <v>25</v>
      </c>
      <c r="I3025" s="5" t="s">
        <v>25</v>
      </c>
      <c r="J3025" s="5" t="s">
        <v>25</v>
      </c>
      <c r="K3025" s="7" t="str">
        <f>VLOOKUP(A3025,Sheet2!$A$2:$R$3432,6,0)</f>
        <v>Hero Maestro Dash/Edge</v>
      </c>
      <c r="L3025" s="5" t="s">
        <v>25</v>
      </c>
      <c r="M3025" s="7" t="str">
        <f>VLOOKUP(A3025,Sheet2!$A$2:$R$3432,5,0)</f>
        <v>MH14GT4083</v>
      </c>
      <c r="N3025" s="5" t="s">
        <v>25</v>
      </c>
      <c r="O3025" s="5" t="s">
        <v>25</v>
      </c>
      <c r="P3025" s="6" t="s">
        <v>25</v>
      </c>
      <c r="Q3025" s="5" t="s">
        <v>25</v>
      </c>
      <c r="R3025" s="5" t="s">
        <v>25</v>
      </c>
      <c r="S3025" s="7" t="str">
        <f>VLOOKUP(A3025,Sheet2!$A$2:$R$3432,18,0)</f>
        <v/>
      </c>
      <c r="T3025" s="7" t="str">
        <f>VLOOKUP(A3025,Sheet2!$A$2:$R$3432,17,0)</f>
        <v>MBLJFW011H4M13421</v>
      </c>
    </row>
    <row r="3026" ht="15.75" customHeight="1">
      <c r="A3026" s="3" t="s">
        <v>3049</v>
      </c>
      <c r="B3026" s="4" t="str">
        <f>VLOOKUP(A3026,Sheet2!$A$2:$R$3432,2,0)</f>
        <v>2025-04-07 20:50:31</v>
      </c>
      <c r="C3026" s="5" t="s">
        <v>25</v>
      </c>
      <c r="D3026" s="6" t="s">
        <v>25</v>
      </c>
      <c r="E3026" s="7">
        <f>VLOOKUP(A3026,Sheet2!$A$2:$R$3432,4,0)</f>
        <v>7588710115</v>
      </c>
      <c r="F3026" s="7" t="str">
        <f>VLOOKUP(A3026,Sheet2!$A$2:$R$3432,3,0)</f>
        <v>Somesh More</v>
      </c>
      <c r="G3026" s="5" t="s">
        <v>25</v>
      </c>
      <c r="H3026" s="5" t="s">
        <v>25</v>
      </c>
      <c r="I3026" s="5" t="s">
        <v>25</v>
      </c>
      <c r="J3026" s="5" t="s">
        <v>25</v>
      </c>
      <c r="K3026" s="7" t="str">
        <f>VLOOKUP(A3026,Sheet2!$A$2:$R$3432,6,0)</f>
        <v>TVS Jupiter </v>
      </c>
      <c r="L3026" s="5" t="s">
        <v>25</v>
      </c>
      <c r="M3026" s="7" t="str">
        <f>VLOOKUP(A3026,Sheet2!$A$2:$R$3432,5,0)</f>
        <v>MH17BF7914</v>
      </c>
      <c r="N3026" s="5" t="s">
        <v>25</v>
      </c>
      <c r="O3026" s="5" t="s">
        <v>25</v>
      </c>
      <c r="P3026" s="6" t="s">
        <v>25</v>
      </c>
      <c r="Q3026" s="5" t="s">
        <v>25</v>
      </c>
      <c r="R3026" s="5" t="s">
        <v>25</v>
      </c>
      <c r="S3026" s="5" t="str">
        <f>VLOOKUP(A3026,Sheet2!$A$2:$R$3432,18,0)</f>
        <v>BG4NE1359276</v>
      </c>
      <c r="T3026" s="7" t="str">
        <f>VLOOKUP(A3026,Sheet2!$A$2:$R$3432,17,0)</f>
        <v>MD626BG41E1N65539</v>
      </c>
    </row>
    <row r="3027" ht="15.75" customHeight="1">
      <c r="A3027" s="3" t="s">
        <v>3050</v>
      </c>
      <c r="B3027" s="4" t="str">
        <f>VLOOKUP(A3027,Sheet2!$A$2:$R$3432,2,0)</f>
        <v>2025-04-07 20:50:05</v>
      </c>
      <c r="C3027" s="5" t="s">
        <v>25</v>
      </c>
      <c r="D3027" s="6" t="s">
        <v>25</v>
      </c>
      <c r="E3027" s="7">
        <f>VLOOKUP(A3027,Sheet2!$A$2:$R$3432,4,0)</f>
        <v>9665678699</v>
      </c>
      <c r="F3027" s="7" t="str">
        <f>VLOOKUP(A3027,Sheet2!$A$2:$R$3432,3,0)</f>
        <v>VIKRAM</v>
      </c>
      <c r="G3027" s="5" t="s">
        <v>25</v>
      </c>
      <c r="H3027" s="5" t="s">
        <v>25</v>
      </c>
      <c r="I3027" s="5" t="s">
        <v>25</v>
      </c>
      <c r="J3027" s="5" t="s">
        <v>25</v>
      </c>
      <c r="K3027" s="7" t="str">
        <f>VLOOKUP(A3027,Sheet2!$A$2:$R$3432,6,0)</f>
        <v>Honda Hornet 160R</v>
      </c>
      <c r="L3027" s="5" t="s">
        <v>25</v>
      </c>
      <c r="M3027" s="7" t="str">
        <f>VLOOKUP(A3027,Sheet2!$A$2:$R$3432,5,0)</f>
        <v>MH12PW0649</v>
      </c>
      <c r="N3027" s="5" t="s">
        <v>25</v>
      </c>
      <c r="O3027" s="5" t="s">
        <v>25</v>
      </c>
      <c r="P3027" s="6" t="s">
        <v>25</v>
      </c>
      <c r="Q3027" s="5" t="s">
        <v>25</v>
      </c>
      <c r="R3027" s="5" t="s">
        <v>25</v>
      </c>
      <c r="S3027" s="7" t="str">
        <f>VLOOKUP(A3027,Sheet2!$A$2:$R$3432,18,0)</f>
        <v/>
      </c>
      <c r="T3027" s="7" t="str">
        <f>VLOOKUP(A3027,Sheet2!$A$2:$R$3432,17,0)</f>
        <v/>
      </c>
    </row>
    <row r="3028" ht="15.75" customHeight="1">
      <c r="A3028" s="3" t="s">
        <v>3051</v>
      </c>
      <c r="B3028" s="4" t="str">
        <f>VLOOKUP(A3028,Sheet2!$A$2:$R$3432,2,0)</f>
        <v>2025-05-23 16:28:26</v>
      </c>
      <c r="C3028" s="5" t="s">
        <v>25</v>
      </c>
      <c r="D3028" s="6" t="s">
        <v>25</v>
      </c>
      <c r="E3028" s="7">
        <f>VLOOKUP(A3028,Sheet2!$A$2:$R$3432,4,0)</f>
        <v>8698882339</v>
      </c>
      <c r="F3028" s="7" t="str">
        <f>VLOOKUP(A3028,Sheet2!$A$2:$R$3432,3,0)</f>
        <v>ASHWINI SHINDE</v>
      </c>
      <c r="G3028" s="5" t="s">
        <v>25</v>
      </c>
      <c r="H3028" s="5" t="s">
        <v>25</v>
      </c>
      <c r="I3028" s="5" t="s">
        <v>25</v>
      </c>
      <c r="J3028" s="5" t="s">
        <v>25</v>
      </c>
      <c r="K3028" s="7" t="str">
        <f>VLOOKUP(A3028,Sheet2!$A$2:$R$3432,6,0)</f>
        <v>Honda Activa 5G</v>
      </c>
      <c r="L3028" s="5" t="s">
        <v>25</v>
      </c>
      <c r="M3028" s="7" t="str">
        <f>VLOOKUP(A3028,Sheet2!$A$2:$R$3432,5,0)</f>
        <v>MH14HH1058</v>
      </c>
      <c r="N3028" s="5" t="s">
        <v>25</v>
      </c>
      <c r="O3028" s="5" t="s">
        <v>25</v>
      </c>
      <c r="P3028" s="6" t="s">
        <v>25</v>
      </c>
      <c r="Q3028" s="5" t="s">
        <v>25</v>
      </c>
      <c r="R3028" s="5" t="s">
        <v>25</v>
      </c>
      <c r="S3028" s="5" t="str">
        <f>VLOOKUP(A3028,Sheet2!$A$2:$R$3432,18,0)</f>
        <v>JF50E47380915</v>
      </c>
      <c r="T3028" s="7" t="str">
        <f>VLOOKUP(A3028,Sheet2!$A$2:$R$3432,17,0)</f>
        <v>ME4JF50ALJU380878</v>
      </c>
    </row>
    <row r="3029" ht="15.75" customHeight="1">
      <c r="A3029" s="3" t="s">
        <v>3052</v>
      </c>
      <c r="B3029" s="4" t="str">
        <f>VLOOKUP(A3029,Sheet2!$A$2:$R$3432,2,0)</f>
        <v>2025-05-23 19:03:57</v>
      </c>
      <c r="C3029" s="5" t="s">
        <v>25</v>
      </c>
      <c r="D3029" s="6" t="s">
        <v>25</v>
      </c>
      <c r="E3029" s="7">
        <f>VLOOKUP(A3029,Sheet2!$A$2:$R$3432,4,0)</f>
        <v>8892548097</v>
      </c>
      <c r="F3029" s="7" t="str">
        <f>VLOOKUP(A3029,Sheet2!$A$2:$R$3432,3,0)</f>
        <v>VIVEKANAND BIDRI</v>
      </c>
      <c r="G3029" s="5" t="s">
        <v>25</v>
      </c>
      <c r="H3029" s="5" t="s">
        <v>25</v>
      </c>
      <c r="I3029" s="5" t="s">
        <v>25</v>
      </c>
      <c r="J3029" s="5" t="s">
        <v>25</v>
      </c>
      <c r="K3029" s="7" t="str">
        <f>VLOOKUP(A3029,Sheet2!$A$2:$R$3432,6,0)</f>
        <v>Aprilla SR SR 150</v>
      </c>
      <c r="L3029" s="5" t="s">
        <v>25</v>
      </c>
      <c r="M3029" s="7" t="str">
        <f>VLOOKUP(A3029,Sheet2!$A$2:$R$3432,5,0)</f>
        <v>MH15GM2075</v>
      </c>
      <c r="N3029" s="5" t="s">
        <v>25</v>
      </c>
      <c r="O3029" s="5" t="s">
        <v>25</v>
      </c>
      <c r="P3029" s="6" t="s">
        <v>25</v>
      </c>
      <c r="Q3029" s="5" t="s">
        <v>25</v>
      </c>
      <c r="R3029" s="5" t="s">
        <v>25</v>
      </c>
      <c r="S3029" s="7" t="str">
        <f>VLOOKUP(A3029,Sheet2!$A$2:$R$3432,18,0)</f>
        <v/>
      </c>
      <c r="T3029" s="7" t="str">
        <f>VLOOKUP(A3029,Sheet2!$A$2:$R$3432,17,0)</f>
        <v/>
      </c>
    </row>
    <row r="3030" ht="15.75" customHeight="1">
      <c r="A3030" s="3" t="s">
        <v>3053</v>
      </c>
      <c r="B3030" s="4" t="str">
        <f>VLOOKUP(A3030,Sheet2!$A$2:$R$3432,2,0)</f>
        <v>2025-05-23 18:59:14</v>
      </c>
      <c r="C3030" s="5" t="s">
        <v>25</v>
      </c>
      <c r="D3030" s="6" t="s">
        <v>25</v>
      </c>
      <c r="E3030" s="7">
        <f>VLOOKUP(A3030,Sheet2!$A$2:$R$3432,4,0)</f>
        <v>9595737922</v>
      </c>
      <c r="F3030" s="7" t="str">
        <f>VLOOKUP(A3030,Sheet2!$A$2:$R$3432,3,0)</f>
        <v>Sagar Mane</v>
      </c>
      <c r="G3030" s="5" t="s">
        <v>25</v>
      </c>
      <c r="H3030" s="5" t="s">
        <v>25</v>
      </c>
      <c r="I3030" s="5" t="s">
        <v>25</v>
      </c>
      <c r="J3030" s="5" t="s">
        <v>25</v>
      </c>
      <c r="K3030" s="7" t="str">
        <f>VLOOKUP(A3030,Sheet2!$A$2:$R$3432,6,0)</f>
        <v>Hero Passion Plus</v>
      </c>
      <c r="L3030" s="5" t="s">
        <v>25</v>
      </c>
      <c r="M3030" s="7" t="str">
        <f>VLOOKUP(A3030,Sheet2!$A$2:$R$3432,5,0)</f>
        <v>MH14BQ3517</v>
      </c>
      <c r="N3030" s="5" t="s">
        <v>25</v>
      </c>
      <c r="O3030" s="5" t="s">
        <v>25</v>
      </c>
      <c r="P3030" s="6" t="s">
        <v>25</v>
      </c>
      <c r="Q3030" s="5" t="s">
        <v>25</v>
      </c>
      <c r="R3030" s="5" t="s">
        <v>25</v>
      </c>
      <c r="S3030" s="7" t="str">
        <f>VLOOKUP(A3030,Sheet2!$A$2:$R$3432,18,0)</f>
        <v/>
      </c>
      <c r="T3030" s="7" t="str">
        <f>VLOOKUP(A3030,Sheet2!$A$2:$R$3432,17,0)</f>
        <v/>
      </c>
    </row>
    <row r="3031" ht="15.75" customHeight="1">
      <c r="A3031" s="3" t="s">
        <v>3054</v>
      </c>
      <c r="B3031" s="4" t="str">
        <f>VLOOKUP(A3031,Sheet2!$A$2:$R$3432,2,0)</f>
        <v>2025-05-23 19:00:24</v>
      </c>
      <c r="C3031" s="5" t="s">
        <v>25</v>
      </c>
      <c r="D3031" s="6" t="s">
        <v>25</v>
      </c>
      <c r="E3031" s="7">
        <f>VLOOKUP(A3031,Sheet2!$A$2:$R$3432,4,0)</f>
        <v>9423807085</v>
      </c>
      <c r="F3031" s="7" t="str">
        <f>VLOOKUP(A3031,Sheet2!$A$2:$R$3432,3,0)</f>
        <v>Haridas</v>
      </c>
      <c r="G3031" s="5" t="s">
        <v>25</v>
      </c>
      <c r="H3031" s="5" t="s">
        <v>25</v>
      </c>
      <c r="I3031" s="5" t="s">
        <v>25</v>
      </c>
      <c r="J3031" s="5" t="s">
        <v>25</v>
      </c>
      <c r="K3031" s="7" t="str">
        <f>VLOOKUP(A3031,Sheet2!$A$2:$R$3432,6,0)</f>
        <v>TVS Jupiter </v>
      </c>
      <c r="L3031" s="5" t="s">
        <v>25</v>
      </c>
      <c r="M3031" s="7" t="str">
        <f>VLOOKUP(A3031,Sheet2!$A$2:$R$3432,5,0)</f>
        <v>MH14GZ0962</v>
      </c>
      <c r="N3031" s="5" t="s">
        <v>25</v>
      </c>
      <c r="O3031" s="5" t="s">
        <v>25</v>
      </c>
      <c r="P3031" s="6" t="s">
        <v>25</v>
      </c>
      <c r="Q3031" s="5" t="s">
        <v>25</v>
      </c>
      <c r="R3031" s="5" t="s">
        <v>25</v>
      </c>
      <c r="S3031" s="5" t="str">
        <f>VLOOKUP(A3031,Sheet2!$A$2:$R$3432,18,0)</f>
        <v>EG4CJ1946028</v>
      </c>
      <c r="T3031" s="7" t="str">
        <f>VLOOKUP(A3031,Sheet2!$A$2:$R$3432,17,0)</f>
        <v>MD626EG4J1C29559</v>
      </c>
    </row>
    <row r="3032" ht="15.75" customHeight="1">
      <c r="A3032" s="3" t="s">
        <v>3055</v>
      </c>
      <c r="B3032" s="4" t="str">
        <f>VLOOKUP(A3032,Sheet2!$A$2:$R$3432,2,0)</f>
        <v>2025-05-23 19:02:02</v>
      </c>
      <c r="C3032" s="5" t="s">
        <v>25</v>
      </c>
      <c r="D3032" s="6" t="s">
        <v>25</v>
      </c>
      <c r="E3032" s="7">
        <f>VLOOKUP(A3032,Sheet2!$A$2:$R$3432,4,0)</f>
        <v>7350270280</v>
      </c>
      <c r="F3032" s="7" t="str">
        <f>VLOOKUP(A3032,Sheet2!$A$2:$R$3432,3,0)</f>
        <v>SHREYASH SATPUTE</v>
      </c>
      <c r="G3032" s="5" t="s">
        <v>25</v>
      </c>
      <c r="H3032" s="5" t="s">
        <v>25</v>
      </c>
      <c r="I3032" s="5" t="s">
        <v>25</v>
      </c>
      <c r="J3032" s="5" t="s">
        <v>25</v>
      </c>
      <c r="K3032" s="7" t="str">
        <f>VLOOKUP(A3032,Sheet2!$A$2:$R$3432,6,0)</f>
        <v>Yamaha FZ V3</v>
      </c>
      <c r="L3032" s="5" t="s">
        <v>25</v>
      </c>
      <c r="M3032" s="7" t="str">
        <f>VLOOKUP(A3032,Sheet2!$A$2:$R$3432,5,0)</f>
        <v>MH17CZ0945</v>
      </c>
      <c r="N3032" s="5" t="s">
        <v>25</v>
      </c>
      <c r="O3032" s="5" t="s">
        <v>25</v>
      </c>
      <c r="P3032" s="6" t="s">
        <v>25</v>
      </c>
      <c r="Q3032" s="5" t="s">
        <v>25</v>
      </c>
      <c r="R3032" s="5" t="s">
        <v>25</v>
      </c>
      <c r="S3032" s="5" t="str">
        <f>VLOOKUP(A3032,Sheet2!$A$2:$R$3432,18,0)</f>
        <v>G3N5E0328042</v>
      </c>
      <c r="T3032" s="7" t="str">
        <f>VLOOKUP(A3032,Sheet2!$A$2:$R$3432,17,0)</f>
        <v>ME1RG66V4P0001058</v>
      </c>
    </row>
    <row r="3033" ht="15.75" customHeight="1">
      <c r="A3033" s="3" t="s">
        <v>3056</v>
      </c>
      <c r="B3033" s="4" t="str">
        <f>VLOOKUP(A3033,Sheet2!$A$2:$R$3432,2,0)</f>
        <v>2025-05-23 19:00:56</v>
      </c>
      <c r="C3033" s="5" t="s">
        <v>25</v>
      </c>
      <c r="D3033" s="6" t="s">
        <v>25</v>
      </c>
      <c r="E3033" s="7">
        <f>VLOOKUP(A3033,Sheet2!$A$2:$R$3432,4,0)</f>
        <v>8421222311</v>
      </c>
      <c r="F3033" s="7" t="str">
        <f>VLOOKUP(A3033,Sheet2!$A$2:$R$3432,3,0)</f>
        <v>Vikas Pardesi</v>
      </c>
      <c r="G3033" s="5" t="s">
        <v>25</v>
      </c>
      <c r="H3033" s="5" t="s">
        <v>25</v>
      </c>
      <c r="I3033" s="5" t="s">
        <v>25</v>
      </c>
      <c r="J3033" s="5" t="s">
        <v>25</v>
      </c>
      <c r="K3033" s="7" t="str">
        <f>VLOOKUP(A3033,Sheet2!$A$2:$R$3432,6,0)</f>
        <v>TVS Jupiter </v>
      </c>
      <c r="L3033" s="5" t="s">
        <v>25</v>
      </c>
      <c r="M3033" s="7" t="str">
        <f>VLOOKUP(A3033,Sheet2!$A$2:$R$3432,5,0)</f>
        <v>MH12RV7323</v>
      </c>
      <c r="N3033" s="5" t="s">
        <v>25</v>
      </c>
      <c r="O3033" s="5" t="s">
        <v>25</v>
      </c>
      <c r="P3033" s="6" t="s">
        <v>25</v>
      </c>
      <c r="Q3033" s="5" t="s">
        <v>25</v>
      </c>
      <c r="R3033" s="5" t="s">
        <v>25</v>
      </c>
      <c r="S3033" s="5" t="str">
        <f>VLOOKUP(A3033,Sheet2!$A$2:$R$3432,18,0)</f>
        <v>EG4DK1001339</v>
      </c>
      <c r="T3033" s="7" t="str">
        <f>VLOOKUP(A3033,Sheet2!$A$2:$R$3432,17,0)</f>
        <v>MD26EG4951D02103</v>
      </c>
    </row>
    <row r="3034" ht="15.75" customHeight="1">
      <c r="A3034" s="3" t="s">
        <v>3057</v>
      </c>
      <c r="B3034" s="4" t="str">
        <f>VLOOKUP(A3034,Sheet2!$A$2:$R$3432,2,0)</f>
        <v>2025-05-23 19:02:43</v>
      </c>
      <c r="C3034" s="5" t="s">
        <v>25</v>
      </c>
      <c r="D3034" s="6" t="s">
        <v>25</v>
      </c>
      <c r="E3034" s="7">
        <f>VLOOKUP(A3034,Sheet2!$A$2:$R$3432,4,0)</f>
        <v>9146199014</v>
      </c>
      <c r="F3034" s="7" t="str">
        <f>VLOOKUP(A3034,Sheet2!$A$2:$R$3432,3,0)</f>
        <v>Akshay Gide</v>
      </c>
      <c r="G3034" s="5" t="s">
        <v>25</v>
      </c>
      <c r="H3034" s="5" t="s">
        <v>25</v>
      </c>
      <c r="I3034" s="5" t="s">
        <v>25</v>
      </c>
      <c r="J3034" s="5" t="s">
        <v>25</v>
      </c>
      <c r="K3034" s="7" t="str">
        <f>VLOOKUP(A3034,Sheet2!$A$2:$R$3432,6,0)</f>
        <v>Yamaha FZ </v>
      </c>
      <c r="L3034" s="5" t="s">
        <v>25</v>
      </c>
      <c r="M3034" s="7" t="str">
        <f>VLOOKUP(A3034,Sheet2!$A$2:$R$3432,5,0)</f>
        <v>MH17CZ0944</v>
      </c>
      <c r="N3034" s="5" t="s">
        <v>25</v>
      </c>
      <c r="O3034" s="5" t="s">
        <v>25</v>
      </c>
      <c r="P3034" s="6" t="s">
        <v>25</v>
      </c>
      <c r="Q3034" s="5" t="s">
        <v>25</v>
      </c>
      <c r="R3034" s="5" t="s">
        <v>25</v>
      </c>
      <c r="S3034" s="5" t="str">
        <f>VLOOKUP(A3034,Sheet2!$A$2:$R$3432,18,0)</f>
        <v>G3NSE0328056</v>
      </c>
      <c r="T3034" s="7" t="str">
        <f>VLOOKUP(A3034,Sheet2!$A$2:$R$3432,17,0)</f>
        <v>ME1RG66V4P000</v>
      </c>
    </row>
    <row r="3035" ht="15.75" customHeight="1">
      <c r="A3035" s="3" t="s">
        <v>3058</v>
      </c>
      <c r="B3035" s="4" t="str">
        <f>VLOOKUP(A3035,Sheet2!$A$2:$R$3432,2,0)</f>
        <v>2025-05-23 20:04:45</v>
      </c>
      <c r="C3035" s="5" t="s">
        <v>25</v>
      </c>
      <c r="D3035" s="6" t="s">
        <v>25</v>
      </c>
      <c r="E3035" s="7">
        <f>VLOOKUP(A3035,Sheet2!$A$2:$R$3432,4,0)</f>
        <v>8097849578</v>
      </c>
      <c r="F3035" s="7" t="str">
        <f>VLOOKUP(A3035,Sheet2!$A$2:$R$3432,3,0)</f>
        <v>Akshay </v>
      </c>
      <c r="G3035" s="5" t="s">
        <v>25</v>
      </c>
      <c r="H3035" s="5" t="s">
        <v>25</v>
      </c>
      <c r="I3035" s="5" t="s">
        <v>25</v>
      </c>
      <c r="J3035" s="5" t="s">
        <v>25</v>
      </c>
      <c r="K3035" s="7" t="str">
        <f>VLOOKUP(A3035,Sheet2!$A$2:$R$3432,6,0)</f>
        <v>Honda Activa </v>
      </c>
      <c r="L3035" s="5" t="s">
        <v>25</v>
      </c>
      <c r="M3035" s="7" t="str">
        <f>VLOOKUP(A3035,Sheet2!$A$2:$R$3432,5,0)</f>
        <v>MH12HM2208</v>
      </c>
      <c r="N3035" s="5" t="s">
        <v>25</v>
      </c>
      <c r="O3035" s="5" t="s">
        <v>25</v>
      </c>
      <c r="P3035" s="6" t="s">
        <v>25</v>
      </c>
      <c r="Q3035" s="5" t="s">
        <v>25</v>
      </c>
      <c r="R3035" s="5" t="s">
        <v>25</v>
      </c>
      <c r="S3035" s="5" t="str">
        <f>VLOOKUP(A3035,Sheet2!$A$2:$R$3432,18,0)</f>
        <v>JC44E164747422</v>
      </c>
      <c r="T3035" s="7" t="str">
        <f>VLOOKUP(A3035,Sheet2!$A$2:$R$3432,17,0)</f>
        <v>ME4JC448KB85336520</v>
      </c>
    </row>
    <row r="3036" ht="15.75" customHeight="1">
      <c r="A3036" s="3" t="s">
        <v>3059</v>
      </c>
      <c r="B3036" s="4" t="str">
        <f>VLOOKUP(A3036,Sheet2!$A$2:$R$3432,2,0)</f>
        <v>2025-05-23 20:19:37</v>
      </c>
      <c r="C3036" s="5" t="s">
        <v>25</v>
      </c>
      <c r="D3036" s="6" t="s">
        <v>25</v>
      </c>
      <c r="E3036" s="7">
        <f>VLOOKUP(A3036,Sheet2!$A$2:$R$3432,4,0)</f>
        <v>9960690243</v>
      </c>
      <c r="F3036" s="7" t="str">
        <f>VLOOKUP(A3036,Sheet2!$A$2:$R$3432,3,0)</f>
        <v>Savita Mustapure</v>
      </c>
      <c r="G3036" s="5" t="s">
        <v>25</v>
      </c>
      <c r="H3036" s="5" t="s">
        <v>25</v>
      </c>
      <c r="I3036" s="5" t="s">
        <v>25</v>
      </c>
      <c r="J3036" s="5" t="s">
        <v>25</v>
      </c>
      <c r="K3036" s="7" t="str">
        <f>VLOOKUP(A3036,Sheet2!$A$2:$R$3432,6,0)</f>
        <v>Honda Activa 5G</v>
      </c>
      <c r="L3036" s="5" t="s">
        <v>25</v>
      </c>
      <c r="M3036" s="7" t="str">
        <f>VLOOKUP(A3036,Sheet2!$A$2:$R$3432,5,0)</f>
        <v>MH12RZ9336</v>
      </c>
      <c r="N3036" s="5" t="s">
        <v>25</v>
      </c>
      <c r="O3036" s="5" t="s">
        <v>25</v>
      </c>
      <c r="P3036" s="6" t="s">
        <v>25</v>
      </c>
      <c r="Q3036" s="5" t="s">
        <v>25</v>
      </c>
      <c r="R3036" s="5" t="s">
        <v>25</v>
      </c>
      <c r="S3036" s="5" t="str">
        <f>VLOOKUP(A3036,Sheet2!$A$2:$R$3432,18,0)</f>
        <v>JF92E11020186</v>
      </c>
      <c r="T3036" s="7" t="str">
        <f>VLOOKUP(A3036,Sheet2!$A$2:$R$3432,17,0)</f>
        <v>ME4JF022JKW00210</v>
      </c>
    </row>
    <row r="3037" ht="15.75" customHeight="1">
      <c r="A3037" s="3" t="s">
        <v>3060</v>
      </c>
      <c r="B3037" s="4" t="str">
        <f>VLOOKUP(A3037,Sheet2!$A$2:$R$3432,2,0)</f>
        <v>2025-04-10 20:47:33</v>
      </c>
      <c r="C3037" s="5" t="s">
        <v>25</v>
      </c>
      <c r="D3037" s="6" t="s">
        <v>25</v>
      </c>
      <c r="E3037" s="7">
        <f>VLOOKUP(A3037,Sheet2!$A$2:$R$3432,4,0)</f>
        <v>9923882360</v>
      </c>
      <c r="F3037" s="7" t="str">
        <f>VLOOKUP(A3037,Sheet2!$A$2:$R$3432,3,0)</f>
        <v>NITA</v>
      </c>
      <c r="G3037" s="5" t="s">
        <v>25</v>
      </c>
      <c r="H3037" s="5" t="s">
        <v>25</v>
      </c>
      <c r="I3037" s="5" t="s">
        <v>25</v>
      </c>
      <c r="J3037" s="5" t="s">
        <v>25</v>
      </c>
      <c r="K3037" s="7" t="str">
        <f>VLOOKUP(A3037,Sheet2!$A$2:$R$3432,6,0)</f>
        <v>TVS Jupiter Grande</v>
      </c>
      <c r="L3037" s="5" t="s">
        <v>25</v>
      </c>
      <c r="M3037" s="7" t="str">
        <f>VLOOKUP(A3037,Sheet2!$A$2:$R$3432,5,0)</f>
        <v>MH12RB8125</v>
      </c>
      <c r="N3037" s="5" t="s">
        <v>25</v>
      </c>
      <c r="O3037" s="5" t="s">
        <v>25</v>
      </c>
      <c r="P3037" s="6" t="s">
        <v>25</v>
      </c>
      <c r="Q3037" s="5" t="s">
        <v>25</v>
      </c>
      <c r="R3037" s="5" t="s">
        <v>25</v>
      </c>
      <c r="S3037" s="7" t="str">
        <f>VLOOKUP(A3037,Sheet2!$A$2:$R$3432,18,0)</f>
        <v/>
      </c>
      <c r="T3037" s="7" t="str">
        <f>VLOOKUP(A3037,Sheet2!$A$2:$R$3432,17,0)</f>
        <v/>
      </c>
    </row>
    <row r="3038" ht="15.75" customHeight="1">
      <c r="A3038" s="3" t="s">
        <v>3061</v>
      </c>
      <c r="B3038" s="4" t="str">
        <f>VLOOKUP(A3038,Sheet2!$A$2:$R$3432,2,0)</f>
        <v>2025-04-10 20:37:44</v>
      </c>
      <c r="C3038" s="5" t="s">
        <v>25</v>
      </c>
      <c r="D3038" s="6" t="s">
        <v>25</v>
      </c>
      <c r="E3038" s="7">
        <f>VLOOKUP(A3038,Sheet2!$A$2:$R$3432,4,0)</f>
        <v>9890611800</v>
      </c>
      <c r="F3038" s="7" t="str">
        <f>VLOOKUP(A3038,Sheet2!$A$2:$R$3432,3,0)</f>
        <v>Vaidya</v>
      </c>
      <c r="G3038" s="5" t="s">
        <v>25</v>
      </c>
      <c r="H3038" s="5" t="s">
        <v>25</v>
      </c>
      <c r="I3038" s="5" t="s">
        <v>25</v>
      </c>
      <c r="J3038" s="5" t="s">
        <v>25</v>
      </c>
      <c r="K3038" s="7" t="str">
        <f>VLOOKUP(A3038,Sheet2!$A$2:$R$3432,6,0)</f>
        <v>Honda Activa Old</v>
      </c>
      <c r="L3038" s="5" t="s">
        <v>25</v>
      </c>
      <c r="M3038" s="7" t="str">
        <f>VLOOKUP(A3038,Sheet2!$A$2:$R$3432,5,0)</f>
        <v>MH12CZ0832</v>
      </c>
      <c r="N3038" s="5" t="s">
        <v>25</v>
      </c>
      <c r="O3038" s="5" t="s">
        <v>25</v>
      </c>
      <c r="P3038" s="6" t="s">
        <v>25</v>
      </c>
      <c r="Q3038" s="5" t="s">
        <v>25</v>
      </c>
      <c r="R3038" s="5" t="s">
        <v>25</v>
      </c>
      <c r="S3038" s="5" t="str">
        <f>VLOOKUP(A3038,Sheet2!$A$2:$R$3432,18,0)</f>
        <v>JF50ET2718724</v>
      </c>
      <c r="T3038" s="7" t="str">
        <f>VLOOKUP(A3038,Sheet2!$A$2:$R$3432,17,0)</f>
        <v>ME4JF504JFT717832</v>
      </c>
    </row>
    <row r="3039" ht="15.75" customHeight="1">
      <c r="A3039" s="3" t="s">
        <v>3062</v>
      </c>
      <c r="B3039" s="4" t="str">
        <f>VLOOKUP(A3039,Sheet2!$A$2:$R$3432,2,0)</f>
        <v>2025-04-10 20:43:51</v>
      </c>
      <c r="C3039" s="5" t="s">
        <v>25</v>
      </c>
      <c r="D3039" s="6" t="s">
        <v>25</v>
      </c>
      <c r="E3039" s="7">
        <f>VLOOKUP(A3039,Sheet2!$A$2:$R$3432,4,0)</f>
        <v>7058416063</v>
      </c>
      <c r="F3039" s="7" t="str">
        <f>VLOOKUP(A3039,Sheet2!$A$2:$R$3432,3,0)</f>
        <v>Rishikesh Dhotre</v>
      </c>
      <c r="G3039" s="5" t="s">
        <v>25</v>
      </c>
      <c r="H3039" s="5" t="s">
        <v>25</v>
      </c>
      <c r="I3039" s="5" t="s">
        <v>25</v>
      </c>
      <c r="J3039" s="5" t="s">
        <v>25</v>
      </c>
      <c r="K3039" s="7" t="str">
        <f>VLOOKUP(A3039,Sheet2!$A$2:$R$3432,6,0)</f>
        <v>TVS Jupiter </v>
      </c>
      <c r="L3039" s="5" t="s">
        <v>25</v>
      </c>
      <c r="M3039" s="7" t="str">
        <f>VLOOKUP(A3039,Sheet2!$A$2:$R$3432,5,0)</f>
        <v>MH09EV3092</v>
      </c>
      <c r="N3039" s="5" t="s">
        <v>25</v>
      </c>
      <c r="O3039" s="5" t="s">
        <v>25</v>
      </c>
      <c r="P3039" s="6" t="s">
        <v>25</v>
      </c>
      <c r="Q3039" s="5" t="s">
        <v>25</v>
      </c>
      <c r="R3039" s="5" t="s">
        <v>25</v>
      </c>
      <c r="S3039" s="7" t="str">
        <f>VLOOKUP(A3039,Sheet2!$A$2:$R$3432,18,0)</f>
        <v/>
      </c>
      <c r="T3039" s="7" t="str">
        <f>VLOOKUP(A3039,Sheet2!$A$2:$R$3432,17,0)</f>
        <v/>
      </c>
    </row>
    <row r="3040" ht="15.75" customHeight="1">
      <c r="A3040" s="3" t="s">
        <v>3063</v>
      </c>
      <c r="B3040" s="4" t="str">
        <f>VLOOKUP(A3040,Sheet2!$A$2:$R$3432,2,0)</f>
        <v>2025-04-10 20:38:20</v>
      </c>
      <c r="C3040" s="5" t="s">
        <v>25</v>
      </c>
      <c r="D3040" s="6" t="s">
        <v>25</v>
      </c>
      <c r="E3040" s="7">
        <f>VLOOKUP(A3040,Sheet2!$A$2:$R$3432,4,0)</f>
        <v>9987725138</v>
      </c>
      <c r="F3040" s="7" t="str">
        <f>VLOOKUP(A3040,Sheet2!$A$2:$R$3432,3,0)</f>
        <v>Hitesh</v>
      </c>
      <c r="G3040" s="5" t="s">
        <v>25</v>
      </c>
      <c r="H3040" s="5" t="s">
        <v>25</v>
      </c>
      <c r="I3040" s="5" t="s">
        <v>25</v>
      </c>
      <c r="J3040" s="5" t="s">
        <v>25</v>
      </c>
      <c r="K3040" s="7" t="str">
        <f>VLOOKUP(A3040,Sheet2!$A$2:$R$3432,6,0)</f>
        <v>Yamaha FZ 25</v>
      </c>
      <c r="L3040" s="5" t="s">
        <v>25</v>
      </c>
      <c r="M3040" s="7" t="str">
        <f>VLOOKUP(A3040,Sheet2!$A$2:$R$3432,5,0)</f>
        <v>MH04LN6222</v>
      </c>
      <c r="N3040" s="5" t="s">
        <v>25</v>
      </c>
      <c r="O3040" s="5" t="s">
        <v>25</v>
      </c>
      <c r="P3040" s="6" t="s">
        <v>25</v>
      </c>
      <c r="Q3040" s="5" t="s">
        <v>25</v>
      </c>
      <c r="R3040" s="5" t="s">
        <v>25</v>
      </c>
      <c r="S3040" s="5" t="str">
        <f>VLOOKUP(A3040,Sheet2!$A$2:$R$3432,18,0)</f>
        <v>G3P1E0018855</v>
      </c>
      <c r="T3040" s="7" t="str">
        <f>VLOOKUP(A3040,Sheet2!$A$2:$R$3432,17,0)</f>
        <v>ME1RG695BN0003691</v>
      </c>
    </row>
    <row r="3041" ht="15.75" customHeight="1">
      <c r="A3041" s="3" t="s">
        <v>3064</v>
      </c>
      <c r="B3041" s="4" t="str">
        <f>VLOOKUP(A3041,Sheet2!$A$2:$R$3432,2,0)</f>
        <v>2025-04-10 20:41:10</v>
      </c>
      <c r="C3041" s="5" t="s">
        <v>25</v>
      </c>
      <c r="D3041" s="6" t="s">
        <v>25</v>
      </c>
      <c r="E3041" s="7">
        <f>VLOOKUP(A3041,Sheet2!$A$2:$R$3432,4,0)</f>
        <v>9890921262</v>
      </c>
      <c r="F3041" s="7" t="str">
        <f>VLOOKUP(A3041,Sheet2!$A$2:$R$3432,3,0)</f>
        <v>Sudarshan Patil</v>
      </c>
      <c r="G3041" s="5" t="s">
        <v>25</v>
      </c>
      <c r="H3041" s="5" t="s">
        <v>25</v>
      </c>
      <c r="I3041" s="5" t="s">
        <v>25</v>
      </c>
      <c r="J3041" s="5" t="s">
        <v>25</v>
      </c>
      <c r="K3041" s="7" t="str">
        <f>VLOOKUP(A3041,Sheet2!$A$2:$R$3432,6,0)</f>
        <v>TVS Star City </v>
      </c>
      <c r="L3041" s="5" t="s">
        <v>25</v>
      </c>
      <c r="M3041" s="7" t="str">
        <f>VLOOKUP(A3041,Sheet2!$A$2:$R$3432,5,0)</f>
        <v>MH19CA7532</v>
      </c>
      <c r="N3041" s="5" t="s">
        <v>25</v>
      </c>
      <c r="O3041" s="5" t="s">
        <v>25</v>
      </c>
      <c r="P3041" s="6" t="s">
        <v>25</v>
      </c>
      <c r="Q3041" s="5" t="s">
        <v>25</v>
      </c>
      <c r="R3041" s="5" t="s">
        <v>25</v>
      </c>
      <c r="S3041" s="5" t="str">
        <f>VLOOKUP(A3041,Sheet2!$A$2:$R$3432,18,0)</f>
        <v>CF1LE1124064</v>
      </c>
      <c r="T3041" s="7" t="str">
        <f>VLOOKUP(A3041,Sheet2!$A$2:$R$3432,17,0)</f>
        <v>MD625CF18E1L76323</v>
      </c>
    </row>
    <row r="3042" ht="15.75" customHeight="1">
      <c r="A3042" s="3" t="s">
        <v>3065</v>
      </c>
      <c r="B3042" s="4" t="str">
        <f>VLOOKUP(A3042,Sheet2!$A$2:$R$3432,2,0)</f>
        <v>2025-04-10 20:27:36</v>
      </c>
      <c r="C3042" s="5" t="s">
        <v>25</v>
      </c>
      <c r="D3042" s="6" t="s">
        <v>25</v>
      </c>
      <c r="E3042" s="7">
        <f>VLOOKUP(A3042,Sheet2!$A$2:$R$3432,4,0)</f>
        <v>7038096433</v>
      </c>
      <c r="F3042" s="7" t="str">
        <f>VLOOKUP(A3042,Sheet2!$A$2:$R$3432,3,0)</f>
        <v>Gaurav Varma </v>
      </c>
      <c r="G3042" s="5" t="s">
        <v>25</v>
      </c>
      <c r="H3042" s="5" t="s">
        <v>25</v>
      </c>
      <c r="I3042" s="5" t="s">
        <v>25</v>
      </c>
      <c r="J3042" s="5" t="s">
        <v>25</v>
      </c>
      <c r="K3042" s="7" t="str">
        <f>VLOOKUP(A3042,Sheet2!$A$2:$R$3432,6,0)</f>
        <v>Suzuki Gixxer </v>
      </c>
      <c r="L3042" s="5" t="s">
        <v>25</v>
      </c>
      <c r="M3042" s="7" t="str">
        <f>VLOOKUP(A3042,Sheet2!$A$2:$R$3432,5,0)</f>
        <v>MH14HP3199</v>
      </c>
      <c r="N3042" s="5" t="s">
        <v>25</v>
      </c>
      <c r="O3042" s="5" t="s">
        <v>25</v>
      </c>
      <c r="P3042" s="6" t="s">
        <v>25</v>
      </c>
      <c r="Q3042" s="5" t="s">
        <v>25</v>
      </c>
      <c r="R3042" s="5" t="s">
        <v>25</v>
      </c>
      <c r="S3042" s="7" t="str">
        <f>VLOOKUP(A3042,Sheet2!$A$2:$R$3432,18,0)</f>
        <v/>
      </c>
      <c r="T3042" s="7" t="str">
        <f>VLOOKUP(A3042,Sheet2!$A$2:$R$3432,17,0)</f>
        <v/>
      </c>
    </row>
    <row r="3043" ht="15.75" customHeight="1">
      <c r="A3043" s="3" t="s">
        <v>3066</v>
      </c>
      <c r="B3043" s="4" t="str">
        <f>VLOOKUP(A3043,Sheet2!$A$2:$R$3432,2,0)</f>
        <v>2025-04-10 20:39:28</v>
      </c>
      <c r="C3043" s="5" t="s">
        <v>25</v>
      </c>
      <c r="D3043" s="6" t="s">
        <v>25</v>
      </c>
      <c r="E3043" s="7">
        <f>VLOOKUP(A3043,Sheet2!$A$2:$R$3432,4,0)</f>
        <v>9850554482</v>
      </c>
      <c r="F3043" s="7" t="str">
        <f>VLOOKUP(A3043,Sheet2!$A$2:$R$3432,3,0)</f>
        <v>Bharat Narkhede</v>
      </c>
      <c r="G3043" s="5" t="s">
        <v>25</v>
      </c>
      <c r="H3043" s="5" t="s">
        <v>25</v>
      </c>
      <c r="I3043" s="5" t="s">
        <v>25</v>
      </c>
      <c r="J3043" s="5" t="s">
        <v>25</v>
      </c>
      <c r="K3043" s="7" t="str">
        <f>VLOOKUP(A3043,Sheet2!$A$2:$R$3432,6,0)</f>
        <v>Hero Maestro Dash/Edge</v>
      </c>
      <c r="L3043" s="5" t="s">
        <v>25</v>
      </c>
      <c r="M3043" s="7" t="str">
        <f>VLOOKUP(A3043,Sheet2!$A$2:$R$3432,5,0)</f>
        <v>MH14GJ3126</v>
      </c>
      <c r="N3043" s="5" t="s">
        <v>25</v>
      </c>
      <c r="O3043" s="5" t="s">
        <v>25</v>
      </c>
      <c r="P3043" s="6" t="s">
        <v>25</v>
      </c>
      <c r="Q3043" s="5" t="s">
        <v>25</v>
      </c>
      <c r="R3043" s="5" t="s">
        <v>25</v>
      </c>
      <c r="S3043" s="5" t="str">
        <f>VLOOKUP(A3043,Sheet2!$A$2:$R$3432,18,0)</f>
        <v>JF33ABH4303958</v>
      </c>
      <c r="T3043" s="7" t="str">
        <f>VLOOKUP(A3043,Sheet2!$A$2:$R$3432,17,0)</f>
        <v/>
      </c>
    </row>
    <row r="3044" ht="15.75" customHeight="1">
      <c r="A3044" s="3" t="s">
        <v>3067</v>
      </c>
      <c r="B3044" s="4" t="str">
        <f>VLOOKUP(A3044,Sheet2!$A$2:$R$3432,2,0)</f>
        <v>2025-04-10 20:46:38</v>
      </c>
      <c r="C3044" s="5" t="s">
        <v>25</v>
      </c>
      <c r="D3044" s="6" t="s">
        <v>25</v>
      </c>
      <c r="E3044" s="7">
        <f>VLOOKUP(A3044,Sheet2!$A$2:$R$3432,4,0)</f>
        <v>7744874182</v>
      </c>
      <c r="F3044" s="7" t="str">
        <f>VLOOKUP(A3044,Sheet2!$A$2:$R$3432,3,0)</f>
        <v>Vaibhav</v>
      </c>
      <c r="G3044" s="5" t="s">
        <v>25</v>
      </c>
      <c r="H3044" s="5" t="s">
        <v>25</v>
      </c>
      <c r="I3044" s="5" t="s">
        <v>25</v>
      </c>
      <c r="J3044" s="5" t="s">
        <v>25</v>
      </c>
      <c r="K3044" s="7" t="str">
        <f>VLOOKUP(A3044,Sheet2!$A$2:$R$3432,6,0)</f>
        <v>Honda Unicorn 160</v>
      </c>
      <c r="L3044" s="5" t="s">
        <v>25</v>
      </c>
      <c r="M3044" s="7" t="str">
        <f>VLOOKUP(A3044,Sheet2!$A$2:$R$3432,5,0)</f>
        <v>MH12PE3351</v>
      </c>
      <c r="N3044" s="5" t="s">
        <v>25</v>
      </c>
      <c r="O3044" s="5" t="s">
        <v>25</v>
      </c>
      <c r="P3044" s="6" t="s">
        <v>25</v>
      </c>
      <c r="Q3044" s="5" t="s">
        <v>25</v>
      </c>
      <c r="R3044" s="5" t="s">
        <v>25</v>
      </c>
      <c r="S3044" s="5" t="str">
        <f>VLOOKUP(A3044,Sheet2!$A$2:$R$3432,18,0)</f>
        <v>KC20E80190385</v>
      </c>
      <c r="T3044" s="7" t="str">
        <f>VLOOKUP(A3044,Sheet2!$A$2:$R$3432,17,0)</f>
        <v/>
      </c>
    </row>
    <row r="3045" ht="15.75" customHeight="1">
      <c r="A3045" s="3" t="s">
        <v>3068</v>
      </c>
      <c r="B3045" s="4" t="str">
        <f>VLOOKUP(A3045,Sheet2!$A$2:$R$3432,2,0)</f>
        <v>2025-04-10 20:51:59</v>
      </c>
      <c r="C3045" s="5" t="s">
        <v>25</v>
      </c>
      <c r="D3045" s="6" t="s">
        <v>25</v>
      </c>
      <c r="E3045" s="7">
        <f>VLOOKUP(A3045,Sheet2!$A$2:$R$3432,4,0)</f>
        <v>8275680116</v>
      </c>
      <c r="F3045" s="7" t="str">
        <f>VLOOKUP(A3045,Sheet2!$A$2:$R$3432,3,0)</f>
        <v>Kalash Saitwal</v>
      </c>
      <c r="G3045" s="5" t="s">
        <v>25</v>
      </c>
      <c r="H3045" s="5" t="s">
        <v>25</v>
      </c>
      <c r="I3045" s="5" t="s">
        <v>25</v>
      </c>
      <c r="J3045" s="5" t="s">
        <v>25</v>
      </c>
      <c r="K3045" s="7" t="str">
        <f>VLOOKUP(A3045,Sheet2!$A$2:$R$3432,6,0)</f>
        <v>TVS Rider 125</v>
      </c>
      <c r="L3045" s="5" t="s">
        <v>25</v>
      </c>
      <c r="M3045" s="7" t="str">
        <f>VLOOKUP(A3045,Sheet2!$A$2:$R$3432,5,0)</f>
        <v>MH14LN0885</v>
      </c>
      <c r="N3045" s="5" t="s">
        <v>25</v>
      </c>
      <c r="O3045" s="5" t="s">
        <v>25</v>
      </c>
      <c r="P3045" s="6" t="s">
        <v>25</v>
      </c>
      <c r="Q3045" s="5" t="s">
        <v>25</v>
      </c>
      <c r="R3045" s="5" t="s">
        <v>25</v>
      </c>
      <c r="S3045" s="7" t="str">
        <f>VLOOKUP(A3045,Sheet2!$A$2:$R$3432,18,0)</f>
        <v/>
      </c>
      <c r="T3045" s="7" t="str">
        <f>VLOOKUP(A3045,Sheet2!$A$2:$R$3432,17,0)</f>
        <v/>
      </c>
    </row>
    <row r="3046" ht="15.75" customHeight="1">
      <c r="A3046" s="3" t="s">
        <v>3069</v>
      </c>
      <c r="B3046" s="4" t="str">
        <f>VLOOKUP(A3046,Sheet2!$A$2:$R$3432,2,0)</f>
        <v>2025-04-10 20:47:00</v>
      </c>
      <c r="C3046" s="5" t="s">
        <v>25</v>
      </c>
      <c r="D3046" s="6" t="s">
        <v>25</v>
      </c>
      <c r="E3046" s="7">
        <f>VLOOKUP(A3046,Sheet2!$A$2:$R$3432,4,0)</f>
        <v>8600081747</v>
      </c>
      <c r="F3046" s="7" t="str">
        <f>VLOOKUP(A3046,Sheet2!$A$2:$R$3432,3,0)</f>
        <v>Sony dsouza</v>
      </c>
      <c r="G3046" s="5" t="s">
        <v>25</v>
      </c>
      <c r="H3046" s="5" t="s">
        <v>25</v>
      </c>
      <c r="I3046" s="5" t="s">
        <v>25</v>
      </c>
      <c r="J3046" s="5" t="s">
        <v>25</v>
      </c>
      <c r="K3046" s="7" t="str">
        <f>VLOOKUP(A3046,Sheet2!$A$2:$R$3432,6,0)</f>
        <v>TVS Jupiter 125</v>
      </c>
      <c r="L3046" s="5" t="s">
        <v>25</v>
      </c>
      <c r="M3046" s="7" t="str">
        <f>VLOOKUP(A3046,Sheet2!$A$2:$R$3432,5,0)</f>
        <v>MH14JW1507</v>
      </c>
      <c r="N3046" s="5" t="s">
        <v>25</v>
      </c>
      <c r="O3046" s="5" t="s">
        <v>25</v>
      </c>
      <c r="P3046" s="6" t="s">
        <v>25</v>
      </c>
      <c r="Q3046" s="5" t="s">
        <v>25</v>
      </c>
      <c r="R3046" s="5" t="s">
        <v>25</v>
      </c>
      <c r="S3046" s="5" t="str">
        <f>VLOOKUP(A3046,Sheet2!$A$2:$R$3432,18,0)</f>
        <v>BK4PM1605085</v>
      </c>
      <c r="T3046" s="7" t="str">
        <f>VLOOKUP(A3046,Sheet2!$A$2:$R$3432,17,0)</f>
        <v>MD626AK48M05606</v>
      </c>
    </row>
    <row r="3047" ht="15.75" customHeight="1">
      <c r="A3047" s="3" t="s">
        <v>3070</v>
      </c>
      <c r="B3047" s="4" t="str">
        <f>VLOOKUP(A3047,Sheet2!$A$2:$R$3432,2,0)</f>
        <v>2025-04-10 20:41:53</v>
      </c>
      <c r="C3047" s="5" t="s">
        <v>25</v>
      </c>
      <c r="D3047" s="6" t="s">
        <v>25</v>
      </c>
      <c r="E3047" s="7">
        <f>VLOOKUP(A3047,Sheet2!$A$2:$R$3432,4,0)</f>
        <v>9425400788</v>
      </c>
      <c r="F3047" s="7" t="str">
        <f>VLOOKUP(A3047,Sheet2!$A$2:$R$3432,3,0)</f>
        <v>Rajesh Paramanand</v>
      </c>
      <c r="G3047" s="5" t="s">
        <v>25</v>
      </c>
      <c r="H3047" s="5" t="s">
        <v>25</v>
      </c>
      <c r="I3047" s="5" t="s">
        <v>25</v>
      </c>
      <c r="J3047" s="5" t="s">
        <v>25</v>
      </c>
      <c r="K3047" s="7" t="str">
        <f>VLOOKUP(A3047,Sheet2!$A$2:$R$3432,6,0)</f>
        <v>Honda Activa 6G</v>
      </c>
      <c r="L3047" s="5" t="s">
        <v>25</v>
      </c>
      <c r="M3047" s="7" t="str">
        <f>VLOOKUP(A3047,Sheet2!$A$2:$R$3432,5,0)</f>
        <v>MP09ZC1990</v>
      </c>
      <c r="N3047" s="5" t="s">
        <v>25</v>
      </c>
      <c r="O3047" s="5" t="s">
        <v>25</v>
      </c>
      <c r="P3047" s="6" t="s">
        <v>25</v>
      </c>
      <c r="Q3047" s="5" t="s">
        <v>25</v>
      </c>
      <c r="R3047" s="5" t="s">
        <v>25</v>
      </c>
      <c r="S3047" s="7" t="str">
        <f>VLOOKUP(A3047,Sheet2!$A$2:$R$3432,18,0)</f>
        <v/>
      </c>
      <c r="T3047" s="7" t="str">
        <f>VLOOKUP(A3047,Sheet2!$A$2:$R$3432,17,0)</f>
        <v/>
      </c>
    </row>
    <row r="3048" ht="15.75" customHeight="1">
      <c r="A3048" s="3" t="s">
        <v>3071</v>
      </c>
      <c r="B3048" s="4" t="str">
        <f>VLOOKUP(A3048,Sheet2!$A$2:$R$3432,2,0)</f>
        <v>2025-04-10 20:40:13</v>
      </c>
      <c r="C3048" s="5" t="s">
        <v>25</v>
      </c>
      <c r="D3048" s="6" t="s">
        <v>25</v>
      </c>
      <c r="E3048" s="7">
        <f>VLOOKUP(A3048,Sheet2!$A$2:$R$3432,4,0)</f>
        <v>7387043468</v>
      </c>
      <c r="F3048" s="7" t="str">
        <f>VLOOKUP(A3048,Sheet2!$A$2:$R$3432,3,0)</f>
        <v>Shivaji</v>
      </c>
      <c r="G3048" s="5" t="s">
        <v>25</v>
      </c>
      <c r="H3048" s="5" t="s">
        <v>25</v>
      </c>
      <c r="I3048" s="5" t="s">
        <v>25</v>
      </c>
      <c r="J3048" s="5" t="s">
        <v>25</v>
      </c>
      <c r="K3048" s="7" t="str">
        <f>VLOOKUP(A3048,Sheet2!$A$2:$R$3432,6,0)</f>
        <v>Honda Activa 3G</v>
      </c>
      <c r="L3048" s="5" t="s">
        <v>25</v>
      </c>
      <c r="M3048" s="7" t="str">
        <f>VLOOKUP(A3048,Sheet2!$A$2:$R$3432,5,0)</f>
        <v>MH12MD5080</v>
      </c>
      <c r="N3048" s="5" t="s">
        <v>25</v>
      </c>
      <c r="O3048" s="5" t="s">
        <v>25</v>
      </c>
      <c r="P3048" s="6" t="s">
        <v>25</v>
      </c>
      <c r="Q3048" s="5" t="s">
        <v>25</v>
      </c>
      <c r="R3048" s="5" t="s">
        <v>25</v>
      </c>
      <c r="S3048" s="5" t="str">
        <f>VLOOKUP(A3048,Sheet2!$A$2:$R$3432,18,0)</f>
        <v>JE50ET2446061</v>
      </c>
      <c r="T3048" s="7" t="str">
        <f>VLOOKUP(A3048,Sheet2!$A$2:$R$3432,17,0)</f>
        <v>ME4JF504FFT445006</v>
      </c>
    </row>
    <row r="3049" ht="15.75" customHeight="1">
      <c r="A3049" s="3" t="s">
        <v>3072</v>
      </c>
      <c r="B3049" s="4" t="str">
        <f>VLOOKUP(A3049,Sheet2!$A$2:$R$3432,2,0)</f>
        <v>2025-04-10 20:45:15</v>
      </c>
      <c r="C3049" s="5" t="s">
        <v>25</v>
      </c>
      <c r="D3049" s="6" t="s">
        <v>25</v>
      </c>
      <c r="E3049" s="7">
        <f>VLOOKUP(A3049,Sheet2!$A$2:$R$3432,4,0)</f>
        <v>9146965950</v>
      </c>
      <c r="F3049" s="7" t="str">
        <f>VLOOKUP(A3049,Sheet2!$A$2:$R$3432,3,0)</f>
        <v>Rohini</v>
      </c>
      <c r="G3049" s="5" t="s">
        <v>25</v>
      </c>
      <c r="H3049" s="5" t="s">
        <v>25</v>
      </c>
      <c r="I3049" s="5" t="s">
        <v>25</v>
      </c>
      <c r="J3049" s="5" t="s">
        <v>25</v>
      </c>
      <c r="K3049" s="7" t="str">
        <f>VLOOKUP(A3049,Sheet2!$A$2:$R$3432,6,0)</f>
        <v>TVS Jupiter </v>
      </c>
      <c r="L3049" s="5" t="s">
        <v>25</v>
      </c>
      <c r="M3049" s="7" t="str">
        <f>VLOOKUP(A3049,Sheet2!$A$2:$R$3432,5,0)</f>
        <v>MH29BB8954</v>
      </c>
      <c r="N3049" s="5" t="s">
        <v>25</v>
      </c>
      <c r="O3049" s="5" t="s">
        <v>25</v>
      </c>
      <c r="P3049" s="6" t="s">
        <v>25</v>
      </c>
      <c r="Q3049" s="5" t="s">
        <v>25</v>
      </c>
      <c r="R3049" s="5" t="s">
        <v>25</v>
      </c>
      <c r="S3049" s="7" t="str">
        <f>VLOOKUP(A3049,Sheet2!$A$2:$R$3432,18,0)</f>
        <v/>
      </c>
      <c r="T3049" s="7" t="str">
        <f>VLOOKUP(A3049,Sheet2!$A$2:$R$3432,17,0)</f>
        <v/>
      </c>
    </row>
    <row r="3050" ht="15.75" customHeight="1">
      <c r="A3050" s="3" t="s">
        <v>3073</v>
      </c>
      <c r="B3050" s="4" t="str">
        <f>VLOOKUP(A3050,Sheet2!$A$2:$R$3432,2,0)</f>
        <v>2025-04-10 20:44:22</v>
      </c>
      <c r="C3050" s="5" t="s">
        <v>25</v>
      </c>
      <c r="D3050" s="6" t="s">
        <v>25</v>
      </c>
      <c r="E3050" s="7">
        <f>VLOOKUP(A3050,Sheet2!$A$2:$R$3432,4,0)</f>
        <v>8888015148</v>
      </c>
      <c r="F3050" s="7" t="str">
        <f>VLOOKUP(A3050,Sheet2!$A$2:$R$3432,3,0)</f>
        <v>Ashish Dhawale</v>
      </c>
      <c r="G3050" s="5" t="s">
        <v>25</v>
      </c>
      <c r="H3050" s="5" t="s">
        <v>25</v>
      </c>
      <c r="I3050" s="5" t="s">
        <v>25</v>
      </c>
      <c r="J3050" s="5" t="s">
        <v>25</v>
      </c>
      <c r="K3050" s="7" t="str">
        <f>VLOOKUP(A3050,Sheet2!$A$2:$R$3432,6,0)</f>
        <v>Yamaha R15 </v>
      </c>
      <c r="L3050" s="5" t="s">
        <v>25</v>
      </c>
      <c r="M3050" s="7" t="str">
        <f>VLOOKUP(A3050,Sheet2!$A$2:$R$3432,5,0)</f>
        <v>MH14BZ3365</v>
      </c>
      <c r="N3050" s="5" t="s">
        <v>25</v>
      </c>
      <c r="O3050" s="5" t="s">
        <v>25</v>
      </c>
      <c r="P3050" s="6" t="s">
        <v>25</v>
      </c>
      <c r="Q3050" s="5" t="s">
        <v>25</v>
      </c>
      <c r="R3050" s="5" t="s">
        <v>25</v>
      </c>
      <c r="S3050" s="5" t="str">
        <f>VLOOKUP(A3050,Sheet2!$A$2:$R$3432,18,0)</f>
        <v>38B4002431</v>
      </c>
      <c r="T3050" s="7" t="str">
        <f>VLOOKUP(A3050,Sheet2!$A$2:$R$3432,17,0)</f>
        <v>Me138b011a2002629</v>
      </c>
    </row>
    <row r="3051" ht="15.75" customHeight="1">
      <c r="A3051" s="3" t="s">
        <v>3074</v>
      </c>
      <c r="B3051" s="4" t="str">
        <f>VLOOKUP(A3051,Sheet2!$A$2:$R$3432,2,0)</f>
        <v>2025-07-14 20:30:01</v>
      </c>
      <c r="C3051" s="5" t="s">
        <v>25</v>
      </c>
      <c r="D3051" s="6" t="s">
        <v>25</v>
      </c>
      <c r="E3051" s="7">
        <f>VLOOKUP(A3051,Sheet2!$A$2:$R$3432,4,0)</f>
        <v>8888520035</v>
      </c>
      <c r="F3051" s="7" t="str">
        <f>VLOOKUP(A3051,Sheet2!$A$2:$R$3432,3,0)</f>
        <v>Renuka Patel</v>
      </c>
      <c r="G3051" s="5" t="s">
        <v>25</v>
      </c>
      <c r="H3051" s="5" t="s">
        <v>25</v>
      </c>
      <c r="I3051" s="5" t="s">
        <v>25</v>
      </c>
      <c r="J3051" s="5" t="s">
        <v>25</v>
      </c>
      <c r="K3051" s="7" t="str">
        <f>VLOOKUP(A3051,Sheet2!$A$2:$R$3432,6,0)</f>
        <v>Honda Activa 6G</v>
      </c>
      <c r="L3051" s="5" t="s">
        <v>25</v>
      </c>
      <c r="M3051" s="7" t="str">
        <f>VLOOKUP(A3051,Sheet2!$A$2:$R$3432,5,0)</f>
        <v>MH27DC6939</v>
      </c>
      <c r="N3051" s="5" t="s">
        <v>25</v>
      </c>
      <c r="O3051" s="5" t="s">
        <v>25</v>
      </c>
      <c r="P3051" s="6" t="s">
        <v>25</v>
      </c>
      <c r="Q3051" s="5" t="s">
        <v>25</v>
      </c>
      <c r="R3051" s="5" t="s">
        <v>25</v>
      </c>
      <c r="S3051" s="5" t="str">
        <f>VLOOKUP(A3051,Sheet2!$A$2:$R$3432,18,0)</f>
        <v>JF91EW5053371</v>
      </c>
      <c r="T3051" s="7" t="str">
        <f>VLOOKUP(A3051,Sheet2!$A$2:$R$3432,17,0)</f>
        <v>ME4JF918KMW053320</v>
      </c>
    </row>
    <row r="3052" ht="15.75" customHeight="1">
      <c r="A3052" s="3" t="s">
        <v>3075</v>
      </c>
      <c r="B3052" s="4" t="str">
        <f>VLOOKUP(A3052,Sheet2!$A$2:$R$3432,2,0)</f>
        <v>2025-07-14 20:28:41</v>
      </c>
      <c r="C3052" s="5" t="s">
        <v>25</v>
      </c>
      <c r="D3052" s="6" t="s">
        <v>25</v>
      </c>
      <c r="E3052" s="7">
        <f>VLOOKUP(A3052,Sheet2!$A$2:$R$3432,4,0)</f>
        <v>9356859795</v>
      </c>
      <c r="F3052" s="7" t="str">
        <f>VLOOKUP(A3052,Sheet2!$A$2:$R$3432,3,0)</f>
        <v>Jenifer </v>
      </c>
      <c r="G3052" s="5" t="s">
        <v>25</v>
      </c>
      <c r="H3052" s="5" t="s">
        <v>25</v>
      </c>
      <c r="I3052" s="5" t="s">
        <v>25</v>
      </c>
      <c r="J3052" s="5" t="s">
        <v>25</v>
      </c>
      <c r="K3052" s="7" t="str">
        <f>VLOOKUP(A3052,Sheet2!$A$2:$R$3432,6,0)</f>
        <v>Honda Activa 125</v>
      </c>
      <c r="L3052" s="5" t="s">
        <v>25</v>
      </c>
      <c r="M3052" s="7" t="str">
        <f>VLOOKUP(A3052,Sheet2!$A$2:$R$3432,5,0)</f>
        <v>MH12SP3226</v>
      </c>
      <c r="N3052" s="5" t="s">
        <v>25</v>
      </c>
      <c r="O3052" s="5" t="s">
        <v>25</v>
      </c>
      <c r="P3052" s="6" t="s">
        <v>25</v>
      </c>
      <c r="Q3052" s="5" t="s">
        <v>25</v>
      </c>
      <c r="R3052" s="5" t="s">
        <v>25</v>
      </c>
      <c r="S3052" s="7" t="str">
        <f>VLOOKUP(A3052,Sheet2!$A$2:$R$3432,18,0)</f>
        <v/>
      </c>
      <c r="T3052" s="7" t="str">
        <f>VLOOKUP(A3052,Sheet2!$A$2:$R$3432,17,0)</f>
        <v/>
      </c>
    </row>
    <row r="3053" ht="15.75" customHeight="1">
      <c r="A3053" s="3" t="s">
        <v>3076</v>
      </c>
      <c r="B3053" s="4" t="str">
        <f>VLOOKUP(A3053,Sheet2!$A$2:$R$3432,2,0)</f>
        <v>2025-07-14 20:26:41</v>
      </c>
      <c r="C3053" s="5" t="s">
        <v>25</v>
      </c>
      <c r="D3053" s="6" t="s">
        <v>25</v>
      </c>
      <c r="E3053" s="7">
        <f>VLOOKUP(A3053,Sheet2!$A$2:$R$3432,4,0)</f>
        <v>8445464646</v>
      </c>
      <c r="F3053" s="7" t="str">
        <f>VLOOKUP(A3053,Sheet2!$A$2:$R$3432,3,0)</f>
        <v>Sarthak </v>
      </c>
      <c r="G3053" s="5" t="s">
        <v>25</v>
      </c>
      <c r="H3053" s="5" t="s">
        <v>25</v>
      </c>
      <c r="I3053" s="5" t="s">
        <v>25</v>
      </c>
      <c r="J3053" s="5" t="s">
        <v>25</v>
      </c>
      <c r="K3053" s="7" t="str">
        <f>VLOOKUP(A3053,Sheet2!$A$2:$R$3432,6,0)</f>
        <v>Honda Activa 6G</v>
      </c>
      <c r="L3053" s="5" t="s">
        <v>25</v>
      </c>
      <c r="M3053" s="7" t="str">
        <f>VLOOKUP(A3053,Sheet2!$A$2:$R$3432,5,0)</f>
        <v>MH24BS8849</v>
      </c>
      <c r="N3053" s="5" t="s">
        <v>25</v>
      </c>
      <c r="O3053" s="5" t="s">
        <v>25</v>
      </c>
      <c r="P3053" s="6" t="s">
        <v>25</v>
      </c>
      <c r="Q3053" s="5" t="s">
        <v>25</v>
      </c>
      <c r="R3053" s="5" t="s">
        <v>25</v>
      </c>
      <c r="S3053" s="7" t="str">
        <f>VLOOKUP(A3053,Sheet2!$A$2:$R$3432,18,0)</f>
        <v/>
      </c>
      <c r="T3053" s="7" t="str">
        <f>VLOOKUP(A3053,Sheet2!$A$2:$R$3432,17,0)</f>
        <v/>
      </c>
    </row>
    <row r="3054" ht="15.75" customHeight="1">
      <c r="A3054" s="3" t="s">
        <v>3077</v>
      </c>
      <c r="B3054" s="4" t="str">
        <f>VLOOKUP(A3054,Sheet2!$A$2:$R$3432,2,0)</f>
        <v>2025-07-14 20:26:09</v>
      </c>
      <c r="C3054" s="5" t="s">
        <v>25</v>
      </c>
      <c r="D3054" s="6" t="s">
        <v>25</v>
      </c>
      <c r="E3054" s="7">
        <f>VLOOKUP(A3054,Sheet2!$A$2:$R$3432,4,0)</f>
        <v>9096391986</v>
      </c>
      <c r="F3054" s="7" t="str">
        <f>VLOOKUP(A3054,Sheet2!$A$2:$R$3432,3,0)</f>
        <v>Omkar Jathar</v>
      </c>
      <c r="G3054" s="5" t="s">
        <v>25</v>
      </c>
      <c r="H3054" s="5" t="s">
        <v>25</v>
      </c>
      <c r="I3054" s="5" t="s">
        <v>25</v>
      </c>
      <c r="J3054" s="5" t="s">
        <v>25</v>
      </c>
      <c r="K3054" s="7" t="str">
        <f>VLOOKUP(A3054,Sheet2!$A$2:$R$3432,6,0)</f>
        <v>Yamaha FZ X</v>
      </c>
      <c r="L3054" s="5" t="s">
        <v>25</v>
      </c>
      <c r="M3054" s="7" t="str">
        <f>VLOOKUP(A3054,Sheet2!$A$2:$R$3432,5,0)</f>
        <v>MH45AV9482</v>
      </c>
      <c r="N3054" s="5" t="s">
        <v>25</v>
      </c>
      <c r="O3054" s="5" t="s">
        <v>25</v>
      </c>
      <c r="P3054" s="6" t="s">
        <v>25</v>
      </c>
      <c r="Q3054" s="5" t="s">
        <v>25</v>
      </c>
      <c r="R3054" s="5" t="s">
        <v>25</v>
      </c>
      <c r="S3054" s="7" t="str">
        <f>VLOOKUP(A3054,Sheet2!$A$2:$R$3432,18,0)</f>
        <v/>
      </c>
      <c r="T3054" s="7" t="str">
        <f>VLOOKUP(A3054,Sheet2!$A$2:$R$3432,17,0)</f>
        <v/>
      </c>
    </row>
    <row r="3055" ht="15.75" customHeight="1">
      <c r="A3055" s="3" t="s">
        <v>3078</v>
      </c>
      <c r="B3055" s="4" t="str">
        <f>VLOOKUP(A3055,Sheet2!$A$2:$R$3432,2,0)</f>
        <v>2025-07-14 20:25:31</v>
      </c>
      <c r="C3055" s="5" t="s">
        <v>25</v>
      </c>
      <c r="D3055" s="6" t="s">
        <v>25</v>
      </c>
      <c r="E3055" s="7">
        <f>VLOOKUP(A3055,Sheet2!$A$2:$R$3432,4,0)</f>
        <v>9860406379</v>
      </c>
      <c r="F3055" s="7" t="str">
        <f>VLOOKUP(A3055,Sheet2!$A$2:$R$3432,3,0)</f>
        <v>SAMEER TAMBOLI</v>
      </c>
      <c r="G3055" s="5" t="s">
        <v>25</v>
      </c>
      <c r="H3055" s="5" t="s">
        <v>25</v>
      </c>
      <c r="I3055" s="5" t="s">
        <v>25</v>
      </c>
      <c r="J3055" s="5" t="s">
        <v>25</v>
      </c>
      <c r="K3055" s="7" t="str">
        <f>VLOOKUP(A3055,Sheet2!$A$2:$R$3432,6,0)</f>
        <v>Honda Activa 5G</v>
      </c>
      <c r="L3055" s="5" t="s">
        <v>25</v>
      </c>
      <c r="M3055" s="7" t="str">
        <f>VLOOKUP(A3055,Sheet2!$A$2:$R$3432,5,0)</f>
        <v>MH14HT9769</v>
      </c>
      <c r="N3055" s="5" t="s">
        <v>25</v>
      </c>
      <c r="O3055" s="5" t="s">
        <v>25</v>
      </c>
      <c r="P3055" s="6" t="s">
        <v>25</v>
      </c>
      <c r="Q3055" s="5" t="s">
        <v>25</v>
      </c>
      <c r="R3055" s="5" t="s">
        <v>25</v>
      </c>
      <c r="S3055" s="5" t="str">
        <f>VLOOKUP(A3055,Sheet2!$A$2:$R$3432,18,0)</f>
        <v>JF42EG0068027</v>
      </c>
      <c r="T3055" s="7" t="str">
        <f>VLOOKUP(A3055,Sheet2!$A$2:$R$3432,17,0)</f>
        <v>ME4JF921JKG0668588</v>
      </c>
    </row>
    <row r="3056" ht="15.75" customHeight="1">
      <c r="A3056" s="3" t="s">
        <v>3079</v>
      </c>
      <c r="B3056" s="4" t="str">
        <f>VLOOKUP(A3056,Sheet2!$A$2:$R$3432,2,0)</f>
        <v>2025-07-14 20:25:49</v>
      </c>
      <c r="C3056" s="5" t="s">
        <v>25</v>
      </c>
      <c r="D3056" s="6" t="s">
        <v>25</v>
      </c>
      <c r="E3056" s="7">
        <f>VLOOKUP(A3056,Sheet2!$A$2:$R$3432,4,0)</f>
        <v>9881494647</v>
      </c>
      <c r="F3056" s="7" t="str">
        <f>VLOOKUP(A3056,Sheet2!$A$2:$R$3432,3,0)</f>
        <v>Parag Siddham</v>
      </c>
      <c r="G3056" s="5" t="s">
        <v>25</v>
      </c>
      <c r="H3056" s="5" t="s">
        <v>25</v>
      </c>
      <c r="I3056" s="5" t="s">
        <v>25</v>
      </c>
      <c r="J3056" s="5" t="s">
        <v>25</v>
      </c>
      <c r="K3056" s="7" t="str">
        <f>VLOOKUP(A3056,Sheet2!$A$2:$R$3432,6,0)</f>
        <v>Honda Activa 4G</v>
      </c>
      <c r="L3056" s="5" t="s">
        <v>25</v>
      </c>
      <c r="M3056" s="7" t="str">
        <f>VLOOKUP(A3056,Sheet2!$A$2:$R$3432,5,0)</f>
        <v>MH14GK3378</v>
      </c>
      <c r="N3056" s="5" t="s">
        <v>25</v>
      </c>
      <c r="O3056" s="5" t="s">
        <v>25</v>
      </c>
      <c r="P3056" s="6" t="s">
        <v>25</v>
      </c>
      <c r="Q3056" s="5" t="s">
        <v>25</v>
      </c>
      <c r="R3056" s="5" t="s">
        <v>25</v>
      </c>
      <c r="S3056" s="5" t="str">
        <f>VLOOKUP(A3056,Sheet2!$A$2:$R$3432,18,0)</f>
        <v>JF50E45384397</v>
      </c>
      <c r="T3056" s="7" t="str">
        <f>VLOOKUP(A3056,Sheet2!$A$2:$R$3432,17,0)</f>
        <v>ME4JF50GH008</v>
      </c>
    </row>
    <row r="3057" ht="15.75" customHeight="1">
      <c r="A3057" s="3" t="s">
        <v>3080</v>
      </c>
      <c r="B3057" s="4" t="str">
        <f>VLOOKUP(A3057,Sheet2!$A$2:$R$3432,2,0)</f>
        <v>2025-07-14 20:26:23</v>
      </c>
      <c r="C3057" s="5" t="s">
        <v>25</v>
      </c>
      <c r="D3057" s="6" t="s">
        <v>25</v>
      </c>
      <c r="E3057" s="7">
        <f>VLOOKUP(A3057,Sheet2!$A$2:$R$3432,4,0)</f>
        <v>8788277144</v>
      </c>
      <c r="F3057" s="7" t="str">
        <f>VLOOKUP(A3057,Sheet2!$A$2:$R$3432,3,0)</f>
        <v>AKSHAY KALE</v>
      </c>
      <c r="G3057" s="5" t="s">
        <v>25</v>
      </c>
      <c r="H3057" s="5" t="s">
        <v>25</v>
      </c>
      <c r="I3057" s="5" t="s">
        <v>25</v>
      </c>
      <c r="J3057" s="5" t="s">
        <v>25</v>
      </c>
      <c r="K3057" s="7" t="str">
        <f>VLOOKUP(A3057,Sheet2!$A$2:$R$3432,6,0)</f>
        <v>Honda Grazia </v>
      </c>
      <c r="L3057" s="5" t="s">
        <v>25</v>
      </c>
      <c r="M3057" s="7" t="str">
        <f>VLOOKUP(A3057,Sheet2!$A$2:$R$3432,5,0)</f>
        <v>MH14HC5999</v>
      </c>
      <c r="N3057" s="5" t="s">
        <v>25</v>
      </c>
      <c r="O3057" s="5" t="s">
        <v>25</v>
      </c>
      <c r="P3057" s="6" t="s">
        <v>25</v>
      </c>
      <c r="Q3057" s="5" t="s">
        <v>25</v>
      </c>
      <c r="R3057" s="5" t="s">
        <v>25</v>
      </c>
      <c r="S3057" s="5" t="str">
        <f>VLOOKUP(A3057,Sheet2!$A$2:$R$3432,18,0)</f>
        <v>JF49E43162599</v>
      </c>
      <c r="T3057" s="7" t="str">
        <f>VLOOKUP(A3057,Sheet2!$A$2:$R$3432,17,0)</f>
        <v>ME4JF499FJ4042F57</v>
      </c>
    </row>
    <row r="3058" ht="15.75" customHeight="1">
      <c r="A3058" s="3" t="s">
        <v>3081</v>
      </c>
      <c r="B3058" s="4" t="str">
        <f>VLOOKUP(A3058,Sheet2!$A$2:$R$3432,2,0)</f>
        <v>2025-07-14 20:28:21</v>
      </c>
      <c r="C3058" s="5" t="s">
        <v>25</v>
      </c>
      <c r="D3058" s="6" t="s">
        <v>25</v>
      </c>
      <c r="E3058" s="7">
        <f>VLOOKUP(A3058,Sheet2!$A$2:$R$3432,4,0)</f>
        <v>7798862299</v>
      </c>
      <c r="F3058" s="7" t="str">
        <f>VLOOKUP(A3058,Sheet2!$A$2:$R$3432,3,0)</f>
        <v>Ashwini </v>
      </c>
      <c r="G3058" s="5" t="s">
        <v>25</v>
      </c>
      <c r="H3058" s="5" t="s">
        <v>25</v>
      </c>
      <c r="I3058" s="5" t="s">
        <v>25</v>
      </c>
      <c r="J3058" s="5" t="s">
        <v>25</v>
      </c>
      <c r="K3058" s="7" t="str">
        <f>VLOOKUP(A3058,Sheet2!$A$2:$R$3432,6,0)</f>
        <v>TVS Jupiter </v>
      </c>
      <c r="L3058" s="5" t="s">
        <v>25</v>
      </c>
      <c r="M3058" s="7" t="str">
        <f>VLOOKUP(A3058,Sheet2!$A$2:$R$3432,5,0)</f>
        <v>MH14HV9174</v>
      </c>
      <c r="N3058" s="5" t="s">
        <v>25</v>
      </c>
      <c r="O3058" s="5" t="s">
        <v>25</v>
      </c>
      <c r="P3058" s="6" t="s">
        <v>25</v>
      </c>
      <c r="Q3058" s="5" t="s">
        <v>25</v>
      </c>
      <c r="R3058" s="5" t="s">
        <v>25</v>
      </c>
      <c r="S3058" s="5" t="str">
        <f>VLOOKUP(A3058,Sheet2!$A$2:$R$3432,18,0)</f>
        <v>EG4HK1118217</v>
      </c>
      <c r="T3058" s="7" t="str">
        <f>VLOOKUP(A3058,Sheet2!$A$2:$R$3432,17,0)</f>
        <v>MD626EG47K1H24354</v>
      </c>
    </row>
    <row r="3059" ht="15.75" customHeight="1">
      <c r="A3059" s="3" t="s">
        <v>3082</v>
      </c>
      <c r="B3059" s="4" t="str">
        <f>VLOOKUP(A3059,Sheet2!$A$2:$R$3432,2,0)</f>
        <v>2025-07-14 20:29:22</v>
      </c>
      <c r="C3059" s="5" t="s">
        <v>25</v>
      </c>
      <c r="D3059" s="6" t="s">
        <v>25</v>
      </c>
      <c r="E3059" s="7">
        <f>VLOOKUP(A3059,Sheet2!$A$2:$R$3432,4,0)</f>
        <v>8600081747</v>
      </c>
      <c r="F3059" s="7" t="str">
        <f>VLOOKUP(A3059,Sheet2!$A$2:$R$3432,3,0)</f>
        <v>Sony dsouza</v>
      </c>
      <c r="G3059" s="5" t="s">
        <v>25</v>
      </c>
      <c r="H3059" s="5" t="s">
        <v>25</v>
      </c>
      <c r="I3059" s="5" t="s">
        <v>25</v>
      </c>
      <c r="J3059" s="5" t="s">
        <v>25</v>
      </c>
      <c r="K3059" s="7" t="str">
        <f>VLOOKUP(A3059,Sheet2!$A$2:$R$3432,6,0)</f>
        <v>TVS Jupiter 125</v>
      </c>
      <c r="L3059" s="5" t="s">
        <v>25</v>
      </c>
      <c r="M3059" s="7" t="str">
        <f>VLOOKUP(A3059,Sheet2!$A$2:$R$3432,5,0)</f>
        <v>MH14JW1507</v>
      </c>
      <c r="N3059" s="5" t="s">
        <v>25</v>
      </c>
      <c r="O3059" s="5" t="s">
        <v>25</v>
      </c>
      <c r="P3059" s="6" t="s">
        <v>25</v>
      </c>
      <c r="Q3059" s="5" t="s">
        <v>25</v>
      </c>
      <c r="R3059" s="5" t="s">
        <v>25</v>
      </c>
      <c r="S3059" s="5" t="str">
        <f>VLOOKUP(A3059,Sheet2!$A$2:$R$3432,18,0)</f>
        <v>BK4PM1605085</v>
      </c>
      <c r="T3059" s="7" t="str">
        <f>VLOOKUP(A3059,Sheet2!$A$2:$R$3432,17,0)</f>
        <v>MD626AK48M05606</v>
      </c>
    </row>
    <row r="3060" ht="15.75" customHeight="1">
      <c r="A3060" s="3" t="s">
        <v>3083</v>
      </c>
      <c r="B3060" s="4" t="str">
        <f>VLOOKUP(A3060,Sheet2!$A$2:$R$3432,2,0)</f>
        <v>2025-07-14 20:29:39</v>
      </c>
      <c r="C3060" s="5" t="s">
        <v>25</v>
      </c>
      <c r="D3060" s="6" t="s">
        <v>25</v>
      </c>
      <c r="E3060" s="7">
        <f>VLOOKUP(A3060,Sheet2!$A$2:$R$3432,4,0)</f>
        <v>8446336673</v>
      </c>
      <c r="F3060" s="7" t="str">
        <f>VLOOKUP(A3060,Sheet2!$A$2:$R$3432,3,0)</f>
        <v>Aashish </v>
      </c>
      <c r="G3060" s="5" t="s">
        <v>25</v>
      </c>
      <c r="H3060" s="5" t="s">
        <v>25</v>
      </c>
      <c r="I3060" s="5" t="s">
        <v>25</v>
      </c>
      <c r="J3060" s="5" t="s">
        <v>25</v>
      </c>
      <c r="K3060" s="7" t="str">
        <f>VLOOKUP(A3060,Sheet2!$A$2:$R$3432,6,0)</f>
        <v>Royal Enfield Hunter 350 Retro</v>
      </c>
      <c r="L3060" s="5" t="s">
        <v>25</v>
      </c>
      <c r="M3060" s="7" t="str">
        <f>VLOOKUP(A3060,Sheet2!$A$2:$R$3432,5,0)</f>
        <v>MH14KY2411</v>
      </c>
      <c r="N3060" s="5" t="s">
        <v>25</v>
      </c>
      <c r="O3060" s="5" t="s">
        <v>25</v>
      </c>
      <c r="P3060" s="6" t="s">
        <v>25</v>
      </c>
      <c r="Q3060" s="5" t="s">
        <v>25</v>
      </c>
      <c r="R3060" s="5" t="s">
        <v>25</v>
      </c>
      <c r="S3060" s="5" t="str">
        <f>VLOOKUP(A3060,Sheet2!$A$2:$R$3432,18,0)</f>
        <v>J3A5FF1114076</v>
      </c>
      <c r="T3060" s="7" t="str">
        <f>VLOOKUP(A3060,Sheet2!$A$2:$R$3432,17,0)</f>
        <v>ME3J3D5FFP109445</v>
      </c>
    </row>
    <row r="3061" ht="15.75" customHeight="1">
      <c r="A3061" s="3" t="s">
        <v>3084</v>
      </c>
      <c r="B3061" s="4" t="str">
        <f>VLOOKUP(A3061,Sheet2!$A$2:$R$3432,2,0)</f>
        <v>2025-07-14 20:30:24</v>
      </c>
      <c r="C3061" s="5" t="s">
        <v>25</v>
      </c>
      <c r="D3061" s="6" t="s">
        <v>25</v>
      </c>
      <c r="E3061" s="7">
        <f>VLOOKUP(A3061,Sheet2!$A$2:$R$3432,4,0)</f>
        <v>9011527870</v>
      </c>
      <c r="F3061" s="7" t="str">
        <f>VLOOKUP(A3061,Sheet2!$A$2:$R$3432,3,0)</f>
        <v>Dyushant Pawar</v>
      </c>
      <c r="G3061" s="5" t="s">
        <v>25</v>
      </c>
      <c r="H3061" s="5" t="s">
        <v>25</v>
      </c>
      <c r="I3061" s="5" t="s">
        <v>25</v>
      </c>
      <c r="J3061" s="5" t="s">
        <v>25</v>
      </c>
      <c r="K3061" s="7" t="str">
        <f>VLOOKUP(A3061,Sheet2!$A$2:$R$3432,6,0)</f>
        <v>KTM Duke 200</v>
      </c>
      <c r="L3061" s="5" t="s">
        <v>25</v>
      </c>
      <c r="M3061" s="7" t="str">
        <f>VLOOKUP(A3061,Sheet2!$A$2:$R$3432,5,0)</f>
        <v>MH14HL0220</v>
      </c>
      <c r="N3061" s="5" t="s">
        <v>25</v>
      </c>
      <c r="O3061" s="5" t="s">
        <v>25</v>
      </c>
      <c r="P3061" s="6" t="s">
        <v>25</v>
      </c>
      <c r="Q3061" s="5" t="s">
        <v>25</v>
      </c>
      <c r="R3061" s="5" t="s">
        <v>25</v>
      </c>
      <c r="S3061" s="5" t="str">
        <f>VLOOKUP(A3061,Sheet2!$A$2:$R$3432,18,0)</f>
        <v>890659051</v>
      </c>
      <c r="T3061" s="7" t="str">
        <f>VLOOKUP(A3061,Sheet2!$A$2:$R$3432,17,0)</f>
        <v>MD2JUCYK8KC036160</v>
      </c>
    </row>
    <row r="3062" ht="15.75" customHeight="1">
      <c r="A3062" s="3" t="s">
        <v>3085</v>
      </c>
      <c r="B3062" s="4" t="str">
        <f>VLOOKUP(A3062,Sheet2!$A$2:$R$3432,2,0)</f>
        <v>2025-07-14 20:30:49</v>
      </c>
      <c r="C3062" s="5" t="s">
        <v>25</v>
      </c>
      <c r="D3062" s="6" t="s">
        <v>25</v>
      </c>
      <c r="E3062" s="7">
        <f>VLOOKUP(A3062,Sheet2!$A$2:$R$3432,4,0)</f>
        <v>7387544143</v>
      </c>
      <c r="F3062" s="7" t="str">
        <f>VLOOKUP(A3062,Sheet2!$A$2:$R$3432,3,0)</f>
        <v>SUCHIT NIKAM</v>
      </c>
      <c r="G3062" s="5" t="s">
        <v>25</v>
      </c>
      <c r="H3062" s="5" t="s">
        <v>25</v>
      </c>
      <c r="I3062" s="5" t="s">
        <v>25</v>
      </c>
      <c r="J3062" s="5" t="s">
        <v>25</v>
      </c>
      <c r="K3062" s="7" t="str">
        <f>VLOOKUP(A3062,Sheet2!$A$2:$R$3432,6,0)</f>
        <v>Honda Hornet 160R</v>
      </c>
      <c r="L3062" s="5" t="s">
        <v>25</v>
      </c>
      <c r="M3062" s="7" t="str">
        <f>VLOOKUP(A3062,Sheet2!$A$2:$R$3432,5,0)</f>
        <v>MH12QN8752</v>
      </c>
      <c r="N3062" s="5" t="s">
        <v>25</v>
      </c>
      <c r="O3062" s="5" t="s">
        <v>25</v>
      </c>
      <c r="P3062" s="6" t="s">
        <v>25</v>
      </c>
      <c r="Q3062" s="5" t="s">
        <v>25</v>
      </c>
      <c r="R3062" s="5" t="s">
        <v>25</v>
      </c>
      <c r="S3062" s="7" t="str">
        <f>VLOOKUP(A3062,Sheet2!$A$2:$R$3432,18,0)</f>
        <v/>
      </c>
      <c r="T3062" s="7" t="str">
        <f>VLOOKUP(A3062,Sheet2!$A$2:$R$3432,17,0)</f>
        <v/>
      </c>
    </row>
    <row r="3063" ht="15.75" customHeight="1">
      <c r="A3063" s="3" t="s">
        <v>3086</v>
      </c>
      <c r="B3063" s="4" t="str">
        <f>VLOOKUP(A3063,Sheet2!$A$2:$R$3432,2,0)</f>
        <v>2025-07-14 20:31:31</v>
      </c>
      <c r="C3063" s="5" t="s">
        <v>25</v>
      </c>
      <c r="D3063" s="6" t="s">
        <v>25</v>
      </c>
      <c r="E3063" s="7">
        <f>VLOOKUP(A3063,Sheet2!$A$2:$R$3432,4,0)</f>
        <v>7387544143</v>
      </c>
      <c r="F3063" s="7" t="str">
        <f>VLOOKUP(A3063,Sheet2!$A$2:$R$3432,3,0)</f>
        <v>Nikam</v>
      </c>
      <c r="G3063" s="5" t="s">
        <v>25</v>
      </c>
      <c r="H3063" s="5" t="s">
        <v>25</v>
      </c>
      <c r="I3063" s="5" t="s">
        <v>25</v>
      </c>
      <c r="J3063" s="5" t="s">
        <v>25</v>
      </c>
      <c r="K3063" s="7" t="str">
        <f>VLOOKUP(A3063,Sheet2!$A$2:$R$3432,6,0)</f>
        <v>Honda Activa 5G</v>
      </c>
      <c r="L3063" s="5" t="s">
        <v>25</v>
      </c>
      <c r="M3063" s="7" t="str">
        <f>VLOOKUP(A3063,Sheet2!$A$2:$R$3432,5,0)</f>
        <v>MH14HR9149</v>
      </c>
      <c r="N3063" s="5" t="s">
        <v>25</v>
      </c>
      <c r="O3063" s="5" t="s">
        <v>25</v>
      </c>
      <c r="P3063" s="6" t="s">
        <v>25</v>
      </c>
      <c r="Q3063" s="5" t="s">
        <v>25</v>
      </c>
      <c r="R3063" s="5" t="s">
        <v>25</v>
      </c>
      <c r="S3063" s="5" t="str">
        <f>VLOOKUP(A3063,Sheet2!$A$2:$R$3432,18,0)</f>
        <v>JF92EG0009312</v>
      </c>
      <c r="T3063" s="7" t="str">
        <f>VLOOKUP(A3063,Sheet2!$A$2:$R$3432,17,0)</f>
        <v>ME4JF921FK01009293</v>
      </c>
    </row>
    <row r="3064" ht="15.75" customHeight="1">
      <c r="A3064" s="3" t="s">
        <v>3087</v>
      </c>
      <c r="B3064" s="4" t="str">
        <f>VLOOKUP(A3064,Sheet2!$A$2:$R$3432,2,0)</f>
        <v>2025-07-14 20:31:06</v>
      </c>
      <c r="C3064" s="5" t="s">
        <v>25</v>
      </c>
      <c r="D3064" s="6" t="s">
        <v>25</v>
      </c>
      <c r="E3064" s="7">
        <f>VLOOKUP(A3064,Sheet2!$A$2:$R$3432,4,0)</f>
        <v>9730922941</v>
      </c>
      <c r="F3064" s="7" t="str">
        <f>VLOOKUP(A3064,Sheet2!$A$2:$R$3432,3,0)</f>
        <v>Apurva</v>
      </c>
      <c r="G3064" s="5" t="s">
        <v>25</v>
      </c>
      <c r="H3064" s="5" t="s">
        <v>25</v>
      </c>
      <c r="I3064" s="5" t="s">
        <v>25</v>
      </c>
      <c r="J3064" s="5" t="s">
        <v>25</v>
      </c>
      <c r="K3064" s="7" t="str">
        <f>VLOOKUP(A3064,Sheet2!$A$2:$R$3432,6,0)</f>
        <v>Honda Dio </v>
      </c>
      <c r="L3064" s="5" t="s">
        <v>25</v>
      </c>
      <c r="M3064" s="7" t="str">
        <f>VLOOKUP(A3064,Sheet2!$A$2:$R$3432,5,0)</f>
        <v>MH34AD6358</v>
      </c>
      <c r="N3064" s="5" t="s">
        <v>25</v>
      </c>
      <c r="O3064" s="5" t="s">
        <v>25</v>
      </c>
      <c r="P3064" s="6" t="s">
        <v>25</v>
      </c>
      <c r="Q3064" s="5" t="s">
        <v>25</v>
      </c>
      <c r="R3064" s="5" t="s">
        <v>25</v>
      </c>
      <c r="S3064" s="5" t="str">
        <f>VLOOKUP(A3064,Sheet2!$A$2:$R$3432,18,0)</f>
        <v>JF40571602</v>
      </c>
      <c r="T3064" s="7" t="str">
        <f>VLOOKUP(A3064,Sheet2!$A$2:$R$3432,17,0)</f>
        <v>ME4JF118418057621</v>
      </c>
    </row>
    <row r="3065" ht="15.75" customHeight="1">
      <c r="A3065" s="3" t="s">
        <v>3088</v>
      </c>
      <c r="B3065" s="4" t="str">
        <f>VLOOKUP(A3065,Sheet2!$A$2:$R$3432,2,0)</f>
        <v>2025-05-24 20:25:16</v>
      </c>
      <c r="C3065" s="5" t="s">
        <v>25</v>
      </c>
      <c r="D3065" s="6" t="s">
        <v>25</v>
      </c>
      <c r="E3065" s="7">
        <f>VLOOKUP(A3065,Sheet2!$A$2:$R$3432,4,0)</f>
        <v>9028274842</v>
      </c>
      <c r="F3065" s="7" t="str">
        <f>VLOOKUP(A3065,Sheet2!$A$2:$R$3432,3,0)</f>
        <v>Satyajeet Khumbhar</v>
      </c>
      <c r="G3065" s="5" t="s">
        <v>25</v>
      </c>
      <c r="H3065" s="5" t="s">
        <v>25</v>
      </c>
      <c r="I3065" s="5" t="s">
        <v>25</v>
      </c>
      <c r="J3065" s="5" t="s">
        <v>25</v>
      </c>
      <c r="K3065" s="7" t="str">
        <f>VLOOKUP(A3065,Sheet2!$A$2:$R$3432,6,0)</f>
        <v>Honda Shine SP</v>
      </c>
      <c r="L3065" s="5" t="s">
        <v>25</v>
      </c>
      <c r="M3065" s="7" t="str">
        <f>VLOOKUP(A3065,Sheet2!$A$2:$R$3432,5,0)</f>
        <v>MH09EY8063</v>
      </c>
      <c r="N3065" s="5" t="s">
        <v>25</v>
      </c>
      <c r="O3065" s="5" t="s">
        <v>25</v>
      </c>
      <c r="P3065" s="6" t="s">
        <v>25</v>
      </c>
      <c r="Q3065" s="5" t="s">
        <v>25</v>
      </c>
      <c r="R3065" s="5" t="s">
        <v>25</v>
      </c>
      <c r="S3065" s="7" t="str">
        <f>VLOOKUP(A3065,Sheet2!$A$2:$R$3432,18,0)</f>
        <v/>
      </c>
      <c r="T3065" s="7" t="str">
        <f>VLOOKUP(A3065,Sheet2!$A$2:$R$3432,17,0)</f>
        <v>ME4JC736G4T002611</v>
      </c>
    </row>
    <row r="3066" ht="15.75" customHeight="1">
      <c r="A3066" s="3" t="s">
        <v>3089</v>
      </c>
      <c r="B3066" s="4" t="str">
        <f>VLOOKUP(A3066,Sheet2!$A$2:$R$3432,2,0)</f>
        <v>2025-05-24 11:32:32</v>
      </c>
      <c r="C3066" s="5" t="s">
        <v>25</v>
      </c>
      <c r="D3066" s="6" t="s">
        <v>25</v>
      </c>
      <c r="E3066" s="7">
        <f>VLOOKUP(A3066,Sheet2!$A$2:$R$3432,4,0)</f>
        <v>8788110248</v>
      </c>
      <c r="F3066" s="7" t="str">
        <f>VLOOKUP(A3066,Sheet2!$A$2:$R$3432,3,0)</f>
        <v>Allan Pathare</v>
      </c>
      <c r="G3066" s="5" t="s">
        <v>25</v>
      </c>
      <c r="H3066" s="5" t="s">
        <v>25</v>
      </c>
      <c r="I3066" s="5" t="s">
        <v>25</v>
      </c>
      <c r="J3066" s="5" t="s">
        <v>25</v>
      </c>
      <c r="K3066" s="7" t="str">
        <f>VLOOKUP(A3066,Sheet2!$A$2:$R$3432,6,0)</f>
        <v>Yamaha FZ FI</v>
      </c>
      <c r="L3066" s="5" t="s">
        <v>25</v>
      </c>
      <c r="M3066" s="7" t="str">
        <f>VLOOKUP(A3066,Sheet2!$A$2:$R$3432,5,0)</f>
        <v>MH15JK6315</v>
      </c>
      <c r="N3066" s="5" t="s">
        <v>25</v>
      </c>
      <c r="O3066" s="5" t="s">
        <v>25</v>
      </c>
      <c r="P3066" s="6" t="s">
        <v>25</v>
      </c>
      <c r="Q3066" s="5" t="s">
        <v>25</v>
      </c>
      <c r="R3066" s="5" t="s">
        <v>25</v>
      </c>
      <c r="S3066" s="7" t="str">
        <f>VLOOKUP(A3066,Sheet2!$A$2:$R$3432,18,0)</f>
        <v/>
      </c>
      <c r="T3066" s="7" t="str">
        <f>VLOOKUP(A3066,Sheet2!$A$2:$R$3432,17,0)</f>
        <v/>
      </c>
    </row>
    <row r="3067" ht="15.75" customHeight="1">
      <c r="A3067" s="3" t="s">
        <v>3090</v>
      </c>
      <c r="B3067" s="4" t="str">
        <f>VLOOKUP(A3067,Sheet2!$A$2:$R$3432,2,0)</f>
        <v>2025-05-24 20:24:33</v>
      </c>
      <c r="C3067" s="5" t="s">
        <v>25</v>
      </c>
      <c r="D3067" s="6" t="s">
        <v>25</v>
      </c>
      <c r="E3067" s="7">
        <f>VLOOKUP(A3067,Sheet2!$A$2:$R$3432,4,0)</f>
        <v>9766199710</v>
      </c>
      <c r="F3067" s="7" t="str">
        <f>VLOOKUP(A3067,Sheet2!$A$2:$R$3432,3,0)</f>
        <v>PRASAD</v>
      </c>
      <c r="G3067" s="5" t="s">
        <v>25</v>
      </c>
      <c r="H3067" s="5" t="s">
        <v>25</v>
      </c>
      <c r="I3067" s="5" t="s">
        <v>25</v>
      </c>
      <c r="J3067" s="5" t="s">
        <v>25</v>
      </c>
      <c r="K3067" s="7" t="str">
        <f>VLOOKUP(A3067,Sheet2!$A$2:$R$3432,6,0)</f>
        <v>TVS Jupiter 125</v>
      </c>
      <c r="L3067" s="5" t="s">
        <v>25</v>
      </c>
      <c r="M3067" s="7" t="str">
        <f>VLOOKUP(A3067,Sheet2!$A$2:$R$3432,5,0)</f>
        <v>MH14KE2387</v>
      </c>
      <c r="N3067" s="5" t="s">
        <v>25</v>
      </c>
      <c r="O3067" s="5" t="s">
        <v>25</v>
      </c>
      <c r="P3067" s="6" t="s">
        <v>25</v>
      </c>
      <c r="Q3067" s="5" t="s">
        <v>25</v>
      </c>
      <c r="R3067" s="5" t="s">
        <v>25</v>
      </c>
      <c r="S3067" s="5" t="str">
        <f>VLOOKUP(A3067,Sheet2!$A$2:$R$3432,18,0)</f>
        <v>BK4FN1428009</v>
      </c>
      <c r="T3067" s="7" t="str">
        <f>VLOOKUP(A3067,Sheet2!$A$2:$R$3432,17,0)</f>
        <v>MD626AK46N1F29964</v>
      </c>
    </row>
    <row r="3068" ht="15.75" customHeight="1">
      <c r="A3068" s="3" t="s">
        <v>3091</v>
      </c>
      <c r="B3068" s="4" t="str">
        <f>VLOOKUP(A3068,Sheet2!$A$2:$R$3432,2,0)</f>
        <v>2025-05-24 20:22:21</v>
      </c>
      <c r="C3068" s="5" t="s">
        <v>25</v>
      </c>
      <c r="D3068" s="6" t="s">
        <v>25</v>
      </c>
      <c r="E3068" s="7">
        <f>VLOOKUP(A3068,Sheet2!$A$2:$R$3432,4,0)</f>
        <v>8379037476</v>
      </c>
      <c r="F3068" s="7" t="str">
        <f>VLOOKUP(A3068,Sheet2!$A$2:$R$3432,3,0)</f>
        <v>Dinesh Chavan</v>
      </c>
      <c r="G3068" s="5" t="s">
        <v>25</v>
      </c>
      <c r="H3068" s="5" t="s">
        <v>25</v>
      </c>
      <c r="I3068" s="5" t="s">
        <v>25</v>
      </c>
      <c r="J3068" s="5" t="s">
        <v>25</v>
      </c>
      <c r="K3068" s="7" t="str">
        <f>VLOOKUP(A3068,Sheet2!$A$2:$R$3432,6,0)</f>
        <v>Yamaha Fascino </v>
      </c>
      <c r="L3068" s="5" t="s">
        <v>25</v>
      </c>
      <c r="M3068" s="7" t="str">
        <f>VLOOKUP(A3068,Sheet2!$A$2:$R$3432,5,0)</f>
        <v>MH14JF6783</v>
      </c>
      <c r="N3068" s="5" t="s">
        <v>25</v>
      </c>
      <c r="O3068" s="5" t="s">
        <v>25</v>
      </c>
      <c r="P3068" s="6" t="s">
        <v>25</v>
      </c>
      <c r="Q3068" s="5" t="s">
        <v>25</v>
      </c>
      <c r="R3068" s="5" t="s">
        <v>25</v>
      </c>
      <c r="S3068" s="5" t="str">
        <f>VLOOKUP(A3068,Sheet2!$A$2:$R$3432,18,0)</f>
        <v>9325E052640</v>
      </c>
      <c r="T3068" s="7" t="str">
        <f>VLOOKUP(A3068,Sheet2!$A$2:$R$3432,17,0)</f>
        <v>ME1SEG418L0027758</v>
      </c>
    </row>
    <row r="3069" ht="15.75" customHeight="1">
      <c r="A3069" s="3" t="s">
        <v>3092</v>
      </c>
      <c r="B3069" s="4" t="str">
        <f>VLOOKUP(A3069,Sheet2!$A$2:$R$3432,2,0)</f>
        <v>2025-05-24 20:23:08</v>
      </c>
      <c r="C3069" s="5" t="s">
        <v>25</v>
      </c>
      <c r="D3069" s="6" t="s">
        <v>25</v>
      </c>
      <c r="E3069" s="7">
        <f>VLOOKUP(A3069,Sheet2!$A$2:$R$3432,4,0)</f>
        <v>7588448863</v>
      </c>
      <c r="F3069" s="7" t="str">
        <f>VLOOKUP(A3069,Sheet2!$A$2:$R$3432,3,0)</f>
        <v>Asawari Khot</v>
      </c>
      <c r="G3069" s="5" t="s">
        <v>25</v>
      </c>
      <c r="H3069" s="5" t="s">
        <v>25</v>
      </c>
      <c r="I3069" s="5" t="s">
        <v>25</v>
      </c>
      <c r="J3069" s="5" t="s">
        <v>25</v>
      </c>
      <c r="K3069" s="7" t="str">
        <f>VLOOKUP(A3069,Sheet2!$A$2:$R$3432,6,0)</f>
        <v>Honda Activa 3G</v>
      </c>
      <c r="L3069" s="5" t="s">
        <v>25</v>
      </c>
      <c r="M3069" s="7" t="str">
        <f>VLOOKUP(A3069,Sheet2!$A$2:$R$3432,5,0)</f>
        <v>MH27BN0451</v>
      </c>
      <c r="N3069" s="5" t="s">
        <v>25</v>
      </c>
      <c r="O3069" s="5" t="s">
        <v>25</v>
      </c>
      <c r="P3069" s="6" t="s">
        <v>25</v>
      </c>
      <c r="Q3069" s="5" t="s">
        <v>25</v>
      </c>
      <c r="R3069" s="5" t="s">
        <v>25</v>
      </c>
      <c r="S3069" s="5" t="str">
        <f>VLOOKUP(A3069,Sheet2!$A$2:$R$3432,18,0)</f>
        <v>JF50E84005705</v>
      </c>
      <c r="T3069" s="7" t="str">
        <f>VLOOKUP(A3069,Sheet2!$A$2:$R$3432,17,0)</f>
        <v>ME4JF506MF8005611</v>
      </c>
    </row>
    <row r="3070" ht="15.75" customHeight="1">
      <c r="A3070" s="3" t="s">
        <v>3093</v>
      </c>
      <c r="B3070" s="4" t="str">
        <f>VLOOKUP(A3070,Sheet2!$A$2:$R$3432,2,0)</f>
        <v>2025-05-24 20:25:00</v>
      </c>
      <c r="C3070" s="5" t="s">
        <v>25</v>
      </c>
      <c r="D3070" s="6" t="s">
        <v>25</v>
      </c>
      <c r="E3070" s="7">
        <f>VLOOKUP(A3070,Sheet2!$A$2:$R$3432,4,0)</f>
        <v>9049536462</v>
      </c>
      <c r="F3070" s="7" t="str">
        <f>VLOOKUP(A3070,Sheet2!$A$2:$R$3432,3,0)</f>
        <v>MANOJ CHAUDHARI </v>
      </c>
      <c r="G3070" s="5" t="s">
        <v>25</v>
      </c>
      <c r="H3070" s="5" t="s">
        <v>25</v>
      </c>
      <c r="I3070" s="5" t="s">
        <v>25</v>
      </c>
      <c r="J3070" s="5" t="s">
        <v>25</v>
      </c>
      <c r="K3070" s="7" t="str">
        <f>VLOOKUP(A3070,Sheet2!$A$2:$R$3432,6,0)</f>
        <v>Honda Activa 125</v>
      </c>
      <c r="L3070" s="5" t="s">
        <v>25</v>
      </c>
      <c r="M3070" s="7" t="str">
        <f>VLOOKUP(A3070,Sheet2!$A$2:$R$3432,5,0)</f>
        <v>MH12TW0951</v>
      </c>
      <c r="N3070" s="5" t="s">
        <v>25</v>
      </c>
      <c r="O3070" s="5" t="s">
        <v>25</v>
      </c>
      <c r="P3070" s="6" t="s">
        <v>25</v>
      </c>
      <c r="Q3070" s="5" t="s">
        <v>25</v>
      </c>
      <c r="R3070" s="5" t="s">
        <v>25</v>
      </c>
      <c r="S3070" s="5" t="str">
        <f>VLOOKUP(A3070,Sheet2!$A$2:$R$3432,18,0)</f>
        <v>JK13EG1004280</v>
      </c>
      <c r="T3070" s="7" t="str">
        <f>VLOOKUP(A3070,Sheet2!$A$2:$R$3432,17,0)</f>
        <v>ME4JK133LMG001221</v>
      </c>
    </row>
    <row r="3071" ht="15.75" customHeight="1">
      <c r="A3071" s="3" t="s">
        <v>3094</v>
      </c>
      <c r="B3071" s="4" t="str">
        <f>VLOOKUP(A3071,Sheet2!$A$2:$R$3432,2,0)</f>
        <v>2025-05-24 20:42:28</v>
      </c>
      <c r="C3071" s="5" t="s">
        <v>25</v>
      </c>
      <c r="D3071" s="6" t="s">
        <v>25</v>
      </c>
      <c r="E3071" s="7">
        <f>VLOOKUP(A3071,Sheet2!$A$2:$R$3432,4,0)</f>
        <v>8975636988</v>
      </c>
      <c r="F3071" s="7" t="str">
        <f>VLOOKUP(A3071,Sheet2!$A$2:$R$3432,3,0)</f>
        <v>Pratik Survase</v>
      </c>
      <c r="G3071" s="5" t="s">
        <v>25</v>
      </c>
      <c r="H3071" s="5" t="s">
        <v>25</v>
      </c>
      <c r="I3071" s="5" t="s">
        <v>25</v>
      </c>
      <c r="J3071" s="5" t="s">
        <v>25</v>
      </c>
      <c r="K3071" s="7" t="str">
        <f>VLOOKUP(A3071,Sheet2!$A$2:$R$3432,6,0)</f>
        <v>Hero Passion Xpro</v>
      </c>
      <c r="L3071" s="5" t="s">
        <v>25</v>
      </c>
      <c r="M3071" s="7" t="str">
        <f>VLOOKUP(A3071,Sheet2!$A$2:$R$3432,5,0)</f>
        <v>MH12QL5267</v>
      </c>
      <c r="N3071" s="5" t="s">
        <v>25</v>
      </c>
      <c r="O3071" s="5" t="s">
        <v>25</v>
      </c>
      <c r="P3071" s="6" t="s">
        <v>25</v>
      </c>
      <c r="Q3071" s="5" t="s">
        <v>25</v>
      </c>
      <c r="R3071" s="5" t="s">
        <v>25</v>
      </c>
      <c r="S3071" s="7" t="str">
        <f>VLOOKUP(A3071,Sheet2!$A$2:$R$3432,18,0)</f>
        <v/>
      </c>
      <c r="T3071" s="7" t="str">
        <f>VLOOKUP(A3071,Sheet2!$A$2:$R$3432,17,0)</f>
        <v/>
      </c>
    </row>
    <row r="3072" ht="15.75" customHeight="1">
      <c r="A3072" s="3" t="s">
        <v>3095</v>
      </c>
      <c r="B3072" s="4" t="str">
        <f>VLOOKUP(A3072,Sheet2!$A$2:$R$3432,2,0)</f>
        <v>2025-06-16 20:21:46</v>
      </c>
      <c r="C3072" s="5" t="s">
        <v>25</v>
      </c>
      <c r="D3072" s="6" t="s">
        <v>25</v>
      </c>
      <c r="E3072" s="7">
        <f>VLOOKUP(A3072,Sheet2!$A$2:$R$3432,4,0)</f>
        <v>9279005403</v>
      </c>
      <c r="F3072" s="7" t="str">
        <f>VLOOKUP(A3072,Sheet2!$A$2:$R$3432,3,0)</f>
        <v>Chandrakant Godbole</v>
      </c>
      <c r="G3072" s="5" t="s">
        <v>25</v>
      </c>
      <c r="H3072" s="5" t="s">
        <v>25</v>
      </c>
      <c r="I3072" s="5" t="s">
        <v>25</v>
      </c>
      <c r="J3072" s="5" t="s">
        <v>25</v>
      </c>
      <c r="K3072" s="7" t="str">
        <f>VLOOKUP(A3072,Sheet2!$A$2:$R$3432,6,0)</f>
        <v>Bajaj Discover 125 Drum</v>
      </c>
      <c r="L3072" s="5" t="s">
        <v>25</v>
      </c>
      <c r="M3072" s="7" t="str">
        <f>VLOOKUP(A3072,Sheet2!$A$2:$R$3432,5,0)</f>
        <v>MH05BA7716</v>
      </c>
      <c r="N3072" s="5" t="s">
        <v>25</v>
      </c>
      <c r="O3072" s="5" t="s">
        <v>25</v>
      </c>
      <c r="P3072" s="6" t="s">
        <v>25</v>
      </c>
      <c r="Q3072" s="5" t="s">
        <v>25</v>
      </c>
      <c r="R3072" s="5" t="s">
        <v>25</v>
      </c>
      <c r="S3072" s="5" t="str">
        <f>VLOOKUP(A3072,Sheet2!$A$2:$R$3432,18,0)</f>
        <v>JBMBUD79036</v>
      </c>
      <c r="T3072" s="7" t="str">
        <f>VLOOKUP(A3072,Sheet2!$A$2:$R$3432,17,0)</f>
        <v>MD2DSPAZZUWD18738</v>
      </c>
    </row>
    <row r="3073" ht="15.75" customHeight="1">
      <c r="A3073" s="3" t="s">
        <v>3096</v>
      </c>
      <c r="B3073" s="4" t="str">
        <f>VLOOKUP(A3073,Sheet2!$A$2:$R$3432,2,0)</f>
        <v>2025-05-25 21:16:09</v>
      </c>
      <c r="C3073" s="5" t="s">
        <v>25</v>
      </c>
      <c r="D3073" s="6" t="s">
        <v>25</v>
      </c>
      <c r="E3073" s="7">
        <f>VLOOKUP(A3073,Sheet2!$A$2:$R$3432,4,0)</f>
        <v>7620396690</v>
      </c>
      <c r="F3073" s="7" t="str">
        <f>VLOOKUP(A3073,Sheet2!$A$2:$R$3432,3,0)</f>
        <v>Ashutosh Sevak</v>
      </c>
      <c r="G3073" s="5" t="s">
        <v>25</v>
      </c>
      <c r="H3073" s="5" t="s">
        <v>25</v>
      </c>
      <c r="I3073" s="5" t="s">
        <v>25</v>
      </c>
      <c r="J3073" s="5" t="s">
        <v>25</v>
      </c>
      <c r="K3073" s="7" t="str">
        <f>VLOOKUP(A3073,Sheet2!$A$2:$R$3432,6,0)</f>
        <v>Bajaj Pulsar 150</v>
      </c>
      <c r="L3073" s="5" t="s">
        <v>25</v>
      </c>
      <c r="M3073" s="7" t="str">
        <f>VLOOKUP(A3073,Sheet2!$A$2:$R$3432,5,0)</f>
        <v>MH14BD8972</v>
      </c>
      <c r="N3073" s="5" t="s">
        <v>25</v>
      </c>
      <c r="O3073" s="5" t="s">
        <v>25</v>
      </c>
      <c r="P3073" s="6" t="s">
        <v>25</v>
      </c>
      <c r="Q3073" s="5" t="s">
        <v>25</v>
      </c>
      <c r="R3073" s="5" t="s">
        <v>25</v>
      </c>
      <c r="S3073" s="7" t="str">
        <f>VLOOKUP(A3073,Sheet2!$A$2:$R$3432,18,0)</f>
        <v/>
      </c>
      <c r="T3073" s="7" t="str">
        <f>VLOOKUP(A3073,Sheet2!$A$2:$R$3432,17,0)</f>
        <v/>
      </c>
    </row>
    <row r="3074" ht="15.75" customHeight="1">
      <c r="A3074" s="3" t="s">
        <v>3097</v>
      </c>
      <c r="B3074" s="4" t="str">
        <f>VLOOKUP(A3074,Sheet2!$A$2:$R$3432,2,0)</f>
        <v>2025-05-25 19:44:42</v>
      </c>
      <c r="C3074" s="5" t="s">
        <v>25</v>
      </c>
      <c r="D3074" s="6" t="s">
        <v>25</v>
      </c>
      <c r="E3074" s="7">
        <f>VLOOKUP(A3074,Sheet2!$A$2:$R$3432,4,0)</f>
        <v>9890966102</v>
      </c>
      <c r="F3074" s="7" t="str">
        <f>VLOOKUP(A3074,Sheet2!$A$2:$R$3432,3,0)</f>
        <v>Dr.Swanand</v>
      </c>
      <c r="G3074" s="5" t="s">
        <v>25</v>
      </c>
      <c r="H3074" s="5" t="s">
        <v>25</v>
      </c>
      <c r="I3074" s="5" t="s">
        <v>25</v>
      </c>
      <c r="J3074" s="5" t="s">
        <v>25</v>
      </c>
      <c r="K3074" s="7" t="str">
        <f>VLOOKUP(A3074,Sheet2!$A$2:$R$3432,6,0)</f>
        <v>Honda SP 125 Drum</v>
      </c>
      <c r="L3074" s="5" t="s">
        <v>25</v>
      </c>
      <c r="M3074" s="7" t="str">
        <f>VLOOKUP(A3074,Sheet2!$A$2:$R$3432,5,0)</f>
        <v>MH14LD4012</v>
      </c>
      <c r="N3074" s="5" t="s">
        <v>25</v>
      </c>
      <c r="O3074" s="5" t="s">
        <v>25</v>
      </c>
      <c r="P3074" s="6" t="s">
        <v>25</v>
      </c>
      <c r="Q3074" s="5" t="s">
        <v>25</v>
      </c>
      <c r="R3074" s="5" t="s">
        <v>25</v>
      </c>
      <c r="S3074" s="7" t="str">
        <f>VLOOKUP(A3074,Sheet2!$A$2:$R$3432,18,0)</f>
        <v/>
      </c>
      <c r="T3074" s="7" t="str">
        <f>VLOOKUP(A3074,Sheet2!$A$2:$R$3432,17,0)</f>
        <v/>
      </c>
    </row>
    <row r="3075" ht="15.75" customHeight="1">
      <c r="A3075" s="3" t="s">
        <v>3098</v>
      </c>
      <c r="B3075" s="4" t="str">
        <f>VLOOKUP(A3075,Sheet2!$A$2:$R$3432,2,0)</f>
        <v>2025-05-25 19:42:41</v>
      </c>
      <c r="C3075" s="5" t="s">
        <v>25</v>
      </c>
      <c r="D3075" s="6" t="s">
        <v>25</v>
      </c>
      <c r="E3075" s="7">
        <f>VLOOKUP(A3075,Sheet2!$A$2:$R$3432,4,0)</f>
        <v>8007777874</v>
      </c>
      <c r="F3075" s="7" t="str">
        <f>VLOOKUP(A3075,Sheet2!$A$2:$R$3432,3,0)</f>
        <v>Gaurav Patil </v>
      </c>
      <c r="G3075" s="5" t="s">
        <v>25</v>
      </c>
      <c r="H3075" s="5" t="s">
        <v>25</v>
      </c>
      <c r="I3075" s="5" t="s">
        <v>25</v>
      </c>
      <c r="J3075" s="5" t="s">
        <v>25</v>
      </c>
      <c r="K3075" s="7" t="str">
        <f>VLOOKUP(A3075,Sheet2!$A$2:$R$3432,6,0)</f>
        <v>TVS Apache 160 4V</v>
      </c>
      <c r="L3075" s="5" t="s">
        <v>25</v>
      </c>
      <c r="M3075" s="7" t="str">
        <f>VLOOKUP(A3075,Sheet2!$A$2:$R$3432,5,0)</f>
        <v>MH34BM1518</v>
      </c>
      <c r="N3075" s="5" t="s">
        <v>25</v>
      </c>
      <c r="O3075" s="5" t="s">
        <v>25</v>
      </c>
      <c r="P3075" s="6" t="s">
        <v>25</v>
      </c>
      <c r="Q3075" s="5" t="s">
        <v>25</v>
      </c>
      <c r="R3075" s="5" t="s">
        <v>25</v>
      </c>
      <c r="S3075" s="7" t="str">
        <f>VLOOKUP(A3075,Sheet2!$A$2:$R$3432,18,0)</f>
        <v/>
      </c>
      <c r="T3075" s="7" t="str">
        <f>VLOOKUP(A3075,Sheet2!$A$2:$R$3432,17,0)</f>
        <v/>
      </c>
    </row>
    <row r="3076" ht="15.75" customHeight="1">
      <c r="A3076" s="3" t="s">
        <v>3099</v>
      </c>
      <c r="B3076" s="4" t="str">
        <f>VLOOKUP(A3076,Sheet2!$A$2:$R$3432,2,0)</f>
        <v>2025-05-25 19:45:11</v>
      </c>
      <c r="C3076" s="5" t="s">
        <v>25</v>
      </c>
      <c r="D3076" s="6" t="s">
        <v>25</v>
      </c>
      <c r="E3076" s="7">
        <f>VLOOKUP(A3076,Sheet2!$A$2:$R$3432,4,0)</f>
        <v>9420066550</v>
      </c>
      <c r="F3076" s="7" t="str">
        <f>VLOOKUP(A3076,Sheet2!$A$2:$R$3432,3,0)</f>
        <v>VISHAKHA DESHMUKH </v>
      </c>
      <c r="G3076" s="5" t="s">
        <v>25</v>
      </c>
      <c r="H3076" s="5" t="s">
        <v>25</v>
      </c>
      <c r="I3076" s="5" t="s">
        <v>25</v>
      </c>
      <c r="J3076" s="5" t="s">
        <v>25</v>
      </c>
      <c r="K3076" s="7" t="str">
        <f>VLOOKUP(A3076,Sheet2!$A$2:$R$3432,6,0)</f>
        <v>Honda Activa 6G</v>
      </c>
      <c r="L3076" s="5" t="s">
        <v>25</v>
      </c>
      <c r="M3076" s="7" t="str">
        <f>VLOOKUP(A3076,Sheet2!$A$2:$R$3432,5,0)</f>
        <v>MH19DR6729</v>
      </c>
      <c r="N3076" s="5" t="s">
        <v>25</v>
      </c>
      <c r="O3076" s="5" t="s">
        <v>25</v>
      </c>
      <c r="P3076" s="6" t="s">
        <v>25</v>
      </c>
      <c r="Q3076" s="5" t="s">
        <v>25</v>
      </c>
      <c r="R3076" s="5" t="s">
        <v>25</v>
      </c>
      <c r="S3076" s="7" t="str">
        <f>VLOOKUP(A3076,Sheet2!$A$2:$R$3432,18,0)</f>
        <v/>
      </c>
      <c r="T3076" s="7" t="str">
        <f>VLOOKUP(A3076,Sheet2!$A$2:$R$3432,17,0)</f>
        <v/>
      </c>
    </row>
    <row r="3077" ht="15.75" customHeight="1">
      <c r="A3077" s="3" t="s">
        <v>3100</v>
      </c>
      <c r="B3077" s="4" t="str">
        <f>VLOOKUP(A3077,Sheet2!$A$2:$R$3432,2,0)</f>
        <v>2025-05-25 19:46:50</v>
      </c>
      <c r="C3077" s="5" t="s">
        <v>25</v>
      </c>
      <c r="D3077" s="6" t="s">
        <v>25</v>
      </c>
      <c r="E3077" s="7">
        <f>VLOOKUP(A3077,Sheet2!$A$2:$R$3432,4,0)</f>
        <v>9960700177</v>
      </c>
      <c r="F3077" s="7" t="str">
        <f>VLOOKUP(A3077,Sheet2!$A$2:$R$3432,3,0)</f>
        <v>Vijay prasad</v>
      </c>
      <c r="G3077" s="5" t="s">
        <v>25</v>
      </c>
      <c r="H3077" s="5" t="s">
        <v>25</v>
      </c>
      <c r="I3077" s="5" t="s">
        <v>25</v>
      </c>
      <c r="J3077" s="5" t="s">
        <v>25</v>
      </c>
      <c r="K3077" s="7" t="str">
        <f>VLOOKUP(A3077,Sheet2!$A$2:$R$3432,6,0)</f>
        <v>Yamaha Fascino </v>
      </c>
      <c r="L3077" s="5" t="s">
        <v>25</v>
      </c>
      <c r="M3077" s="7" t="str">
        <f>VLOOKUP(A3077,Sheet2!$A$2:$R$3432,5,0)</f>
        <v>MH14FP0065</v>
      </c>
      <c r="N3077" s="5" t="s">
        <v>25</v>
      </c>
      <c r="O3077" s="5" t="s">
        <v>25</v>
      </c>
      <c r="P3077" s="6" t="s">
        <v>25</v>
      </c>
      <c r="Q3077" s="5" t="s">
        <v>25</v>
      </c>
      <c r="R3077" s="5" t="s">
        <v>25</v>
      </c>
      <c r="S3077" s="7" t="str">
        <f>VLOOKUP(A3077,Sheet2!$A$2:$R$3432,18,0)</f>
        <v/>
      </c>
      <c r="T3077" s="7" t="str">
        <f>VLOOKUP(A3077,Sheet2!$A$2:$R$3432,17,0)</f>
        <v/>
      </c>
    </row>
    <row r="3078" ht="15.75" customHeight="1">
      <c r="A3078" s="3" t="s">
        <v>3101</v>
      </c>
      <c r="B3078" s="4" t="str">
        <f>VLOOKUP(A3078,Sheet2!$A$2:$R$3432,2,0)</f>
        <v>2025-05-25 19:39:17</v>
      </c>
      <c r="C3078" s="5" t="s">
        <v>25</v>
      </c>
      <c r="D3078" s="6" t="s">
        <v>25</v>
      </c>
      <c r="E3078" s="7">
        <f>VLOOKUP(A3078,Sheet2!$A$2:$R$3432,4,0)</f>
        <v>8149090709</v>
      </c>
      <c r="F3078" s="7" t="str">
        <f>VLOOKUP(A3078,Sheet2!$A$2:$R$3432,3,0)</f>
        <v>Vipul Kumbharr</v>
      </c>
      <c r="G3078" s="5" t="s">
        <v>25</v>
      </c>
      <c r="H3078" s="5" t="s">
        <v>25</v>
      </c>
      <c r="I3078" s="5" t="s">
        <v>25</v>
      </c>
      <c r="J3078" s="5" t="s">
        <v>25</v>
      </c>
      <c r="K3078" s="7" t="str">
        <f>VLOOKUP(A3078,Sheet2!$A$2:$R$3432,6,0)</f>
        <v>Hero Xtreme No Data</v>
      </c>
      <c r="L3078" s="5" t="s">
        <v>25</v>
      </c>
      <c r="M3078" s="7" t="str">
        <f>VLOOKUP(A3078,Sheet2!$A$2:$R$3432,5,0)</f>
        <v>MH31DL1966</v>
      </c>
      <c r="N3078" s="5" t="s">
        <v>25</v>
      </c>
      <c r="O3078" s="5" t="s">
        <v>25</v>
      </c>
      <c r="P3078" s="6" t="s">
        <v>25</v>
      </c>
      <c r="Q3078" s="5" t="s">
        <v>25</v>
      </c>
      <c r="R3078" s="5" t="s">
        <v>25</v>
      </c>
      <c r="S3078" s="7" t="str">
        <f>VLOOKUP(A3078,Sheet2!$A$2:$R$3432,18,0)</f>
        <v/>
      </c>
      <c r="T3078" s="7" t="str">
        <f>VLOOKUP(A3078,Sheet2!$A$2:$R$3432,17,0)</f>
        <v/>
      </c>
    </row>
    <row r="3079" ht="15.75" customHeight="1">
      <c r="A3079" s="3" t="s">
        <v>3102</v>
      </c>
      <c r="B3079" s="4" t="str">
        <f>VLOOKUP(A3079,Sheet2!$A$2:$R$3432,2,0)</f>
        <v>2025-05-25 19:49:47</v>
      </c>
      <c r="C3079" s="5" t="s">
        <v>25</v>
      </c>
      <c r="D3079" s="6" t="s">
        <v>25</v>
      </c>
      <c r="E3079" s="7">
        <f>VLOOKUP(A3079,Sheet2!$A$2:$R$3432,4,0)</f>
        <v>9028426870</v>
      </c>
      <c r="F3079" s="7" t="str">
        <f>VLOOKUP(A3079,Sheet2!$A$2:$R$3432,3,0)</f>
        <v>Ashutosh </v>
      </c>
      <c r="G3079" s="5" t="s">
        <v>25</v>
      </c>
      <c r="H3079" s="5" t="s">
        <v>25</v>
      </c>
      <c r="I3079" s="5" t="s">
        <v>25</v>
      </c>
      <c r="J3079" s="5" t="s">
        <v>25</v>
      </c>
      <c r="K3079" s="7" t="str">
        <f>VLOOKUP(A3079,Sheet2!$A$2:$R$3432,6,0)</f>
        <v>Honda Activa 6G</v>
      </c>
      <c r="L3079" s="5" t="s">
        <v>25</v>
      </c>
      <c r="M3079" s="7" t="str">
        <f>VLOOKUP(A3079,Sheet2!$A$2:$R$3432,5,0)</f>
        <v>MH14JD7564</v>
      </c>
      <c r="N3079" s="5" t="s">
        <v>25</v>
      </c>
      <c r="O3079" s="5" t="s">
        <v>25</v>
      </c>
      <c r="P3079" s="6" t="s">
        <v>25</v>
      </c>
      <c r="Q3079" s="5" t="s">
        <v>25</v>
      </c>
      <c r="R3079" s="5" t="s">
        <v>25</v>
      </c>
      <c r="S3079" s="5" t="str">
        <f>VLOOKUP(A3079,Sheet2!$A$2:$R$3432,18,0)</f>
        <v>JF91EW1064872</v>
      </c>
      <c r="T3079" s="7" t="str">
        <f>VLOOKUP(A3079,Sheet2!$A$2:$R$3432,17,0)</f>
        <v>ME4JF91GLWO64358</v>
      </c>
    </row>
    <row r="3080" ht="15.75" customHeight="1">
      <c r="A3080" s="3" t="s">
        <v>3103</v>
      </c>
      <c r="B3080" s="4" t="str">
        <f>VLOOKUP(A3080,Sheet2!$A$2:$R$3432,2,0)</f>
        <v>2025-05-25 19:41:26</v>
      </c>
      <c r="C3080" s="5" t="s">
        <v>25</v>
      </c>
      <c r="D3080" s="6" t="s">
        <v>25</v>
      </c>
      <c r="E3080" s="7">
        <f>VLOOKUP(A3080,Sheet2!$A$2:$R$3432,4,0)</f>
        <v>7875798713</v>
      </c>
      <c r="F3080" s="7" t="str">
        <f>VLOOKUP(A3080,Sheet2!$A$2:$R$3432,3,0)</f>
        <v>Shivam Kalwale</v>
      </c>
      <c r="G3080" s="5" t="s">
        <v>25</v>
      </c>
      <c r="H3080" s="5" t="s">
        <v>25</v>
      </c>
      <c r="I3080" s="5" t="s">
        <v>25</v>
      </c>
      <c r="J3080" s="5" t="s">
        <v>25</v>
      </c>
      <c r="K3080" s="7" t="str">
        <f>VLOOKUP(A3080,Sheet2!$A$2:$R$3432,6,0)</f>
        <v>Honda Activa 5G</v>
      </c>
      <c r="L3080" s="5" t="s">
        <v>25</v>
      </c>
      <c r="M3080" s="7" t="str">
        <f>VLOOKUP(A3080,Sheet2!$A$2:$R$3432,5,0)</f>
        <v>MH13DC0645</v>
      </c>
      <c r="N3080" s="5" t="s">
        <v>25</v>
      </c>
      <c r="O3080" s="5" t="s">
        <v>25</v>
      </c>
      <c r="P3080" s="6" t="s">
        <v>25</v>
      </c>
      <c r="Q3080" s="5" t="s">
        <v>25</v>
      </c>
      <c r="R3080" s="5" t="s">
        <v>25</v>
      </c>
      <c r="S3080" s="7" t="str">
        <f>VLOOKUP(A3080,Sheet2!$A$2:$R$3432,18,0)</f>
        <v/>
      </c>
      <c r="T3080" s="7" t="str">
        <f>VLOOKUP(A3080,Sheet2!$A$2:$R$3432,17,0)</f>
        <v/>
      </c>
    </row>
    <row r="3081" ht="15.75" customHeight="1">
      <c r="A3081" s="3" t="s">
        <v>3104</v>
      </c>
      <c r="B3081" s="4" t="str">
        <f>VLOOKUP(A3081,Sheet2!$A$2:$R$3432,2,0)</f>
        <v>2025-05-25 19:43:16</v>
      </c>
      <c r="C3081" s="5" t="s">
        <v>25</v>
      </c>
      <c r="D3081" s="6" t="s">
        <v>25</v>
      </c>
      <c r="E3081" s="7">
        <f>VLOOKUP(A3081,Sheet2!$A$2:$R$3432,4,0)</f>
        <v>7306094341</v>
      </c>
      <c r="F3081" s="7" t="str">
        <f>VLOOKUP(A3081,Sheet2!$A$2:$R$3432,3,0)</f>
        <v>Fadik K</v>
      </c>
      <c r="G3081" s="5" t="s">
        <v>25</v>
      </c>
      <c r="H3081" s="5" t="s">
        <v>25</v>
      </c>
      <c r="I3081" s="5" t="s">
        <v>25</v>
      </c>
      <c r="J3081" s="5" t="s">
        <v>25</v>
      </c>
      <c r="K3081" s="7" t="str">
        <f>VLOOKUP(A3081,Sheet2!$A$2:$R$3432,6,0)</f>
        <v>Royal Enfield Classic 350</v>
      </c>
      <c r="L3081" s="5" t="s">
        <v>25</v>
      </c>
      <c r="M3081" s="7" t="str">
        <f>VLOOKUP(A3081,Sheet2!$A$2:$R$3432,5,0)</f>
        <v>KL72B0479</v>
      </c>
      <c r="N3081" s="5" t="s">
        <v>25</v>
      </c>
      <c r="O3081" s="5" t="s">
        <v>25</v>
      </c>
      <c r="P3081" s="6" t="s">
        <v>25</v>
      </c>
      <c r="Q3081" s="5" t="s">
        <v>25</v>
      </c>
      <c r="R3081" s="5" t="s">
        <v>25</v>
      </c>
      <c r="S3081" s="7" t="str">
        <f>VLOOKUP(A3081,Sheet2!$A$2:$R$3432,18,0)</f>
        <v/>
      </c>
      <c r="T3081" s="7" t="str">
        <f>VLOOKUP(A3081,Sheet2!$A$2:$R$3432,17,0)</f>
        <v/>
      </c>
    </row>
    <row r="3082" ht="15.75" customHeight="1">
      <c r="A3082" s="3" t="s">
        <v>3105</v>
      </c>
      <c r="B3082" s="4" t="str">
        <f>VLOOKUP(A3082,Sheet2!$A$2:$R$3432,2,0)</f>
        <v>2025-05-25 19:42:06</v>
      </c>
      <c r="C3082" s="5" t="s">
        <v>25</v>
      </c>
      <c r="D3082" s="6" t="s">
        <v>25</v>
      </c>
      <c r="E3082" s="7">
        <f>VLOOKUP(A3082,Sheet2!$A$2:$R$3432,4,0)</f>
        <v>9422733881</v>
      </c>
      <c r="F3082" s="7" t="str">
        <f>VLOOKUP(A3082,Sheet2!$A$2:$R$3432,3,0)</f>
        <v>Prashant Jangam</v>
      </c>
      <c r="G3082" s="5" t="s">
        <v>25</v>
      </c>
      <c r="H3082" s="5" t="s">
        <v>25</v>
      </c>
      <c r="I3082" s="5" t="s">
        <v>25</v>
      </c>
      <c r="J3082" s="5" t="s">
        <v>25</v>
      </c>
      <c r="K3082" s="7" t="str">
        <f>VLOOKUP(A3082,Sheet2!$A$2:$R$3432,6,0)</f>
        <v>Suzuki Access 125</v>
      </c>
      <c r="L3082" s="5" t="s">
        <v>25</v>
      </c>
      <c r="M3082" s="7" t="str">
        <f>VLOOKUP(A3082,Sheet2!$A$2:$R$3432,5,0)</f>
        <v>MH11CX5882</v>
      </c>
      <c r="N3082" s="5" t="s">
        <v>25</v>
      </c>
      <c r="O3082" s="5" t="s">
        <v>25</v>
      </c>
      <c r="P3082" s="6" t="s">
        <v>25</v>
      </c>
      <c r="Q3082" s="5" t="s">
        <v>25</v>
      </c>
      <c r="R3082" s="5" t="s">
        <v>25</v>
      </c>
      <c r="S3082" s="5" t="str">
        <f>VLOOKUP(A3082,Sheet2!$A$2:$R$3432,18,0)</f>
        <v>AF21634857</v>
      </c>
      <c r="T3082" s="7" t="str">
        <f>VLOOKUP(A3082,Sheet2!$A$2:$R$3432,17,0)</f>
        <v>MB8DP12DCL8220620</v>
      </c>
    </row>
    <row r="3083" ht="15.75" customHeight="1">
      <c r="A3083" s="3" t="s">
        <v>3106</v>
      </c>
      <c r="B3083" s="4" t="str">
        <f>VLOOKUP(A3083,Sheet2!$A$2:$R$3432,2,0)</f>
        <v>2025-05-25 19:44:04</v>
      </c>
      <c r="C3083" s="5" t="s">
        <v>25</v>
      </c>
      <c r="D3083" s="6" t="s">
        <v>25</v>
      </c>
      <c r="E3083" s="7">
        <f>VLOOKUP(A3083,Sheet2!$A$2:$R$3432,4,0)</f>
        <v>7387074808</v>
      </c>
      <c r="F3083" s="7" t="str">
        <f>VLOOKUP(A3083,Sheet2!$A$2:$R$3432,3,0)</f>
        <v>Hrishikesh Kulkarni</v>
      </c>
      <c r="G3083" s="5" t="s">
        <v>25</v>
      </c>
      <c r="H3083" s="5" t="s">
        <v>25</v>
      </c>
      <c r="I3083" s="5" t="s">
        <v>25</v>
      </c>
      <c r="J3083" s="5" t="s">
        <v>25</v>
      </c>
      <c r="K3083" s="7" t="str">
        <f>VLOOKUP(A3083,Sheet2!$A$2:$R$3432,6,0)</f>
        <v>Honda Activa 3G</v>
      </c>
      <c r="L3083" s="5" t="s">
        <v>25</v>
      </c>
      <c r="M3083" s="7" t="str">
        <f>VLOOKUP(A3083,Sheet2!$A$2:$R$3432,5,0)</f>
        <v>MH14FN2630</v>
      </c>
      <c r="N3083" s="5" t="s">
        <v>25</v>
      </c>
      <c r="O3083" s="5" t="s">
        <v>25</v>
      </c>
      <c r="P3083" s="6" t="s">
        <v>25</v>
      </c>
      <c r="Q3083" s="5" t="s">
        <v>25</v>
      </c>
      <c r="R3083" s="5" t="s">
        <v>25</v>
      </c>
      <c r="S3083" s="7" t="str">
        <f>VLOOKUP(A3083,Sheet2!$A$2:$R$3432,18,0)</f>
        <v/>
      </c>
      <c r="T3083" s="7" t="str">
        <f>VLOOKUP(A3083,Sheet2!$A$2:$R$3432,17,0)</f>
        <v>ME4JF505CGT209054</v>
      </c>
    </row>
    <row r="3084" ht="15.75" customHeight="1">
      <c r="A3084" s="3" t="s">
        <v>3107</v>
      </c>
      <c r="B3084" s="4" t="str">
        <f>VLOOKUP(A3084,Sheet2!$A$2:$R$3432,2,0)</f>
        <v>2025-05-25 19:47:54</v>
      </c>
      <c r="C3084" s="5" t="s">
        <v>25</v>
      </c>
      <c r="D3084" s="6" t="s">
        <v>25</v>
      </c>
      <c r="E3084" s="7">
        <f>VLOOKUP(A3084,Sheet2!$A$2:$R$3432,4,0)</f>
        <v>9422623408</v>
      </c>
      <c r="F3084" s="7" t="str">
        <f>VLOOKUP(A3084,Sheet2!$A$2:$R$3432,3,0)</f>
        <v>Avishkar</v>
      </c>
      <c r="G3084" s="5" t="s">
        <v>25</v>
      </c>
      <c r="H3084" s="5" t="s">
        <v>25</v>
      </c>
      <c r="I3084" s="5" t="s">
        <v>25</v>
      </c>
      <c r="J3084" s="5" t="s">
        <v>25</v>
      </c>
      <c r="K3084" s="7" t="str">
        <f>VLOOKUP(A3084,Sheet2!$A$2:$R$3432,6,0)</f>
        <v>Honda Activa No Data</v>
      </c>
      <c r="L3084" s="5" t="s">
        <v>25</v>
      </c>
      <c r="M3084" s="7" t="str">
        <f>VLOOKUP(A3084,Sheet2!$A$2:$R$3432,5,0)</f>
        <v>MH44F5428</v>
      </c>
      <c r="N3084" s="5" t="s">
        <v>25</v>
      </c>
      <c r="O3084" s="5" t="s">
        <v>25</v>
      </c>
      <c r="P3084" s="6" t="s">
        <v>25</v>
      </c>
      <c r="Q3084" s="5" t="s">
        <v>25</v>
      </c>
      <c r="R3084" s="5" t="s">
        <v>25</v>
      </c>
      <c r="S3084" s="7" t="str">
        <f>VLOOKUP(A3084,Sheet2!$A$2:$R$3432,18,0)</f>
        <v/>
      </c>
      <c r="T3084" s="7" t="str">
        <f>VLOOKUP(A3084,Sheet2!$A$2:$R$3432,17,0)</f>
        <v/>
      </c>
    </row>
    <row r="3085" ht="15.75" customHeight="1">
      <c r="A3085" s="3" t="s">
        <v>3108</v>
      </c>
      <c r="B3085" s="4" t="str">
        <f>VLOOKUP(A3085,Sheet2!$A$2:$R$3432,2,0)</f>
        <v>2025-05-25 19:48:22</v>
      </c>
      <c r="C3085" s="5" t="s">
        <v>25</v>
      </c>
      <c r="D3085" s="6" t="s">
        <v>25</v>
      </c>
      <c r="E3085" s="7">
        <f>VLOOKUP(A3085,Sheet2!$A$2:$R$3432,4,0)</f>
        <v>8793125659</v>
      </c>
      <c r="F3085" s="7" t="str">
        <f>VLOOKUP(A3085,Sheet2!$A$2:$R$3432,3,0)</f>
        <v>AKBAL KHAN</v>
      </c>
      <c r="G3085" s="5" t="s">
        <v>25</v>
      </c>
      <c r="H3085" s="5" t="s">
        <v>25</v>
      </c>
      <c r="I3085" s="5" t="s">
        <v>25</v>
      </c>
      <c r="J3085" s="5" t="s">
        <v>25</v>
      </c>
      <c r="K3085" s="7" t="str">
        <f>VLOOKUP(A3085,Sheet2!$A$2:$R$3432,6,0)</f>
        <v>TVS Ntorq 125</v>
      </c>
      <c r="L3085" s="5" t="s">
        <v>25</v>
      </c>
      <c r="M3085" s="7" t="str">
        <f>VLOOKUP(A3085,Sheet2!$A$2:$R$3432,5,0)</f>
        <v>MH14HA8358</v>
      </c>
      <c r="N3085" s="5" t="s">
        <v>25</v>
      </c>
      <c r="O3085" s="5" t="s">
        <v>25</v>
      </c>
      <c r="P3085" s="6" t="s">
        <v>25</v>
      </c>
      <c r="Q3085" s="5" t="s">
        <v>25</v>
      </c>
      <c r="R3085" s="5" t="s">
        <v>25</v>
      </c>
      <c r="S3085" s="5" t="str">
        <f>VLOOKUP(A3085,Sheet2!$A$2:$R$3432,18,0)</f>
        <v>A67E1211010</v>
      </c>
      <c r="T3085" s="7" t="str">
        <f>VLOOKUP(A3085,Sheet2!$A$2:$R$3432,17,0)</f>
        <v>MD626AG7952E36766</v>
      </c>
    </row>
    <row r="3086" ht="15.75" customHeight="1">
      <c r="A3086" s="3" t="s">
        <v>3109</v>
      </c>
      <c r="B3086" s="4" t="str">
        <f>VLOOKUP(A3086,Sheet2!$A$2:$R$3432,2,0)</f>
        <v>2025-05-25 19:49:25</v>
      </c>
      <c r="C3086" s="5" t="s">
        <v>25</v>
      </c>
      <c r="D3086" s="6" t="s">
        <v>25</v>
      </c>
      <c r="E3086" s="7">
        <f>VLOOKUP(A3086,Sheet2!$A$2:$R$3432,4,0)</f>
        <v>9860921499</v>
      </c>
      <c r="F3086" s="7" t="str">
        <f>VLOOKUP(A3086,Sheet2!$A$2:$R$3432,3,0)</f>
        <v>Kunal Parate</v>
      </c>
      <c r="G3086" s="5" t="s">
        <v>25</v>
      </c>
      <c r="H3086" s="5" t="s">
        <v>25</v>
      </c>
      <c r="I3086" s="5" t="s">
        <v>25</v>
      </c>
      <c r="J3086" s="5" t="s">
        <v>25</v>
      </c>
      <c r="K3086" s="7" t="str">
        <f>VLOOKUP(A3086,Sheet2!$A$2:$R$3432,6,0)</f>
        <v>Honda Activa 110</v>
      </c>
      <c r="L3086" s="5" t="s">
        <v>25</v>
      </c>
      <c r="M3086" s="7" t="str">
        <f>VLOOKUP(A3086,Sheet2!$A$2:$R$3432,5,0)</f>
        <v>MH12HT3430</v>
      </c>
      <c r="N3086" s="5" t="s">
        <v>25</v>
      </c>
      <c r="O3086" s="5" t="s">
        <v>25</v>
      </c>
      <c r="P3086" s="6" t="s">
        <v>25</v>
      </c>
      <c r="Q3086" s="5" t="s">
        <v>25</v>
      </c>
      <c r="R3086" s="5" t="s">
        <v>25</v>
      </c>
      <c r="S3086" s="5" t="str">
        <f>VLOOKUP(A3086,Sheet2!$A$2:$R$3432,18,0)</f>
        <v>JC44E1865436</v>
      </c>
      <c r="T3086" s="7" t="str">
        <f>VLOOKUP(A3086,Sheet2!$A$2:$R$3432,17,0)</f>
        <v>ME4JC448AC875443</v>
      </c>
    </row>
    <row r="3087" ht="15.75" customHeight="1">
      <c r="A3087" s="3" t="s">
        <v>3110</v>
      </c>
      <c r="B3087" s="4" t="str">
        <f>VLOOKUP(A3087,Sheet2!$A$2:$R$3432,2,0)</f>
        <v>2025-05-02 19:01:50</v>
      </c>
      <c r="C3087" s="5" t="s">
        <v>25</v>
      </c>
      <c r="D3087" s="6" t="s">
        <v>25</v>
      </c>
      <c r="E3087" s="7">
        <f>VLOOKUP(A3087,Sheet2!$A$2:$R$3432,4,0)</f>
        <v>9890022157</v>
      </c>
      <c r="F3087" s="7" t="str">
        <f>VLOOKUP(A3087,Sheet2!$A$2:$R$3432,3,0)</f>
        <v>Arvind Pandey </v>
      </c>
      <c r="G3087" s="5" t="s">
        <v>25</v>
      </c>
      <c r="H3087" s="5" t="s">
        <v>25</v>
      </c>
      <c r="I3087" s="5" t="s">
        <v>25</v>
      </c>
      <c r="J3087" s="5" t="s">
        <v>25</v>
      </c>
      <c r="K3087" s="7" t="str">
        <f>VLOOKUP(A3087,Sheet2!$A$2:$R$3432,6,0)</f>
        <v>Hero Deluxe HF</v>
      </c>
      <c r="L3087" s="5" t="s">
        <v>25</v>
      </c>
      <c r="M3087" s="7" t="str">
        <f>VLOOKUP(A3087,Sheet2!$A$2:$R$3432,5,0)</f>
        <v>MH14HA2136</v>
      </c>
      <c r="N3087" s="5" t="s">
        <v>25</v>
      </c>
      <c r="O3087" s="5" t="s">
        <v>25</v>
      </c>
      <c r="P3087" s="6" t="s">
        <v>25</v>
      </c>
      <c r="Q3087" s="5" t="s">
        <v>25</v>
      </c>
      <c r="R3087" s="5" t="s">
        <v>25</v>
      </c>
      <c r="S3087" s="7" t="str">
        <f>VLOOKUP(A3087,Sheet2!$A$2:$R$3432,18,0)</f>
        <v/>
      </c>
      <c r="T3087" s="7" t="str">
        <f>VLOOKUP(A3087,Sheet2!$A$2:$R$3432,17,0)</f>
        <v/>
      </c>
    </row>
    <row r="3088" ht="15.75" customHeight="1">
      <c r="A3088" s="3" t="s">
        <v>3111</v>
      </c>
      <c r="B3088" s="4" t="str">
        <f>VLOOKUP(A3088,Sheet2!$A$2:$R$3432,2,0)</f>
        <v>2025-05-02 18:59:21</v>
      </c>
      <c r="C3088" s="5" t="s">
        <v>25</v>
      </c>
      <c r="D3088" s="6" t="s">
        <v>25</v>
      </c>
      <c r="E3088" s="7">
        <f>VLOOKUP(A3088,Sheet2!$A$2:$R$3432,4,0)</f>
        <v>9921390651</v>
      </c>
      <c r="F3088" s="7" t="str">
        <f>VLOOKUP(A3088,Sheet2!$A$2:$R$3432,3,0)</f>
        <v>Ravindra Shelke</v>
      </c>
      <c r="G3088" s="5" t="s">
        <v>25</v>
      </c>
      <c r="H3088" s="5" t="s">
        <v>25</v>
      </c>
      <c r="I3088" s="5" t="s">
        <v>25</v>
      </c>
      <c r="J3088" s="5" t="s">
        <v>25</v>
      </c>
      <c r="K3088" s="7" t="str">
        <f>VLOOKUP(A3088,Sheet2!$A$2:$R$3432,6,0)</f>
        <v>TVS Jupiter </v>
      </c>
      <c r="L3088" s="5" t="s">
        <v>25</v>
      </c>
      <c r="M3088" s="7" t="str">
        <f>VLOOKUP(A3088,Sheet2!$A$2:$R$3432,5,0)</f>
        <v>MH12SM1984</v>
      </c>
      <c r="N3088" s="5" t="s">
        <v>25</v>
      </c>
      <c r="O3088" s="5" t="s">
        <v>25</v>
      </c>
      <c r="P3088" s="6" t="s">
        <v>25</v>
      </c>
      <c r="Q3088" s="5" t="s">
        <v>25</v>
      </c>
      <c r="R3088" s="5" t="s">
        <v>25</v>
      </c>
      <c r="S3088" s="7" t="str">
        <f>VLOOKUP(A3088,Sheet2!$A$2:$R$3432,18,0)</f>
        <v/>
      </c>
      <c r="T3088" s="7" t="str">
        <f>VLOOKUP(A3088,Sheet2!$A$2:$R$3432,17,0)</f>
        <v/>
      </c>
    </row>
    <row r="3089" ht="15.75" customHeight="1">
      <c r="A3089" s="3" t="s">
        <v>3112</v>
      </c>
      <c r="B3089" s="4" t="str">
        <f>VLOOKUP(A3089,Sheet2!$A$2:$R$3432,2,0)</f>
        <v>2025-05-02 19:00:53</v>
      </c>
      <c r="C3089" s="5" t="s">
        <v>25</v>
      </c>
      <c r="D3089" s="6" t="s">
        <v>25</v>
      </c>
      <c r="E3089" s="7">
        <f>VLOOKUP(A3089,Sheet2!$A$2:$R$3432,4,0)</f>
        <v>8871710584</v>
      </c>
      <c r="F3089" s="7" t="str">
        <f>VLOOKUP(A3089,Sheet2!$A$2:$R$3432,3,0)</f>
        <v>Parth Vyas</v>
      </c>
      <c r="G3089" s="5" t="s">
        <v>25</v>
      </c>
      <c r="H3089" s="5" t="s">
        <v>25</v>
      </c>
      <c r="I3089" s="5" t="s">
        <v>25</v>
      </c>
      <c r="J3089" s="5" t="s">
        <v>25</v>
      </c>
      <c r="K3089" s="7" t="str">
        <f>VLOOKUP(A3089,Sheet2!$A$2:$R$3432,6,0)</f>
        <v>Bajaj Avenger 150 Street</v>
      </c>
      <c r="L3089" s="5" t="s">
        <v>25</v>
      </c>
      <c r="M3089" s="7" t="str">
        <f>VLOOKUP(A3089,Sheet2!$A$2:$R$3432,5,0)</f>
        <v>MH14GG0962</v>
      </c>
      <c r="N3089" s="5" t="s">
        <v>25</v>
      </c>
      <c r="O3089" s="5" t="s">
        <v>25</v>
      </c>
      <c r="P3089" s="6" t="s">
        <v>25</v>
      </c>
      <c r="Q3089" s="5" t="s">
        <v>25</v>
      </c>
      <c r="R3089" s="5" t="s">
        <v>25</v>
      </c>
      <c r="S3089" s="5" t="str">
        <f>VLOOKUP(A3089,Sheet2!$A$2:$R$3432,18,0)</f>
        <v>PDYCHE36705</v>
      </c>
      <c r="T3089" s="7" t="str">
        <f>VLOOKUP(A3089,Sheet2!$A$2:$R$3432,17,0)</f>
        <v>MDZA85CYXCL15095</v>
      </c>
    </row>
    <row r="3090" ht="15.75" customHeight="1">
      <c r="A3090" s="3" t="s">
        <v>3113</v>
      </c>
      <c r="B3090" s="4" t="str">
        <f>VLOOKUP(A3090,Sheet2!$A$2:$R$3432,2,0)</f>
        <v>2025-05-02 19:00:30</v>
      </c>
      <c r="C3090" s="5" t="s">
        <v>25</v>
      </c>
      <c r="D3090" s="6" t="s">
        <v>25</v>
      </c>
      <c r="E3090" s="7">
        <f>VLOOKUP(A3090,Sheet2!$A$2:$R$3432,4,0)</f>
        <v>8862041481</v>
      </c>
      <c r="F3090" s="7" t="str">
        <f>VLOOKUP(A3090,Sheet2!$A$2:$R$3432,3,0)</f>
        <v>Jitendra Bhatnagar</v>
      </c>
      <c r="G3090" s="5" t="s">
        <v>25</v>
      </c>
      <c r="H3090" s="5" t="s">
        <v>25</v>
      </c>
      <c r="I3090" s="5" t="s">
        <v>25</v>
      </c>
      <c r="J3090" s="5" t="s">
        <v>25</v>
      </c>
      <c r="K3090" s="7" t="str">
        <f>VLOOKUP(A3090,Sheet2!$A$2:$R$3432,6,0)</f>
        <v>Hero Passion </v>
      </c>
      <c r="L3090" s="5" t="s">
        <v>25</v>
      </c>
      <c r="M3090" s="7" t="str">
        <f>VLOOKUP(A3090,Sheet2!$A$2:$R$3432,5,0)</f>
        <v>MH12EE8452</v>
      </c>
      <c r="N3090" s="5" t="s">
        <v>25</v>
      </c>
      <c r="O3090" s="5" t="s">
        <v>25</v>
      </c>
      <c r="P3090" s="6" t="s">
        <v>25</v>
      </c>
      <c r="Q3090" s="5" t="s">
        <v>25</v>
      </c>
      <c r="R3090" s="5" t="s">
        <v>25</v>
      </c>
      <c r="S3090" s="5" t="str">
        <f>VLOOKUP(A3090,Sheet2!$A$2:$R$3432,18,0)</f>
        <v>01J21C10575</v>
      </c>
      <c r="T3090" s="7" t="str">
        <f>VLOOKUP(A3090,Sheet2!$A$2:$R$3432,17,0)</f>
        <v>01J21M34838</v>
      </c>
    </row>
    <row r="3091" ht="15.75" customHeight="1">
      <c r="A3091" s="3" t="s">
        <v>3114</v>
      </c>
      <c r="B3091" s="4" t="str">
        <f>VLOOKUP(A3091,Sheet2!$A$2:$R$3432,2,0)</f>
        <v>2025-05-02 18:56:38</v>
      </c>
      <c r="C3091" s="5" t="s">
        <v>25</v>
      </c>
      <c r="D3091" s="6" t="s">
        <v>25</v>
      </c>
      <c r="E3091" s="7">
        <f>VLOOKUP(A3091,Sheet2!$A$2:$R$3432,4,0)</f>
        <v>9099971197</v>
      </c>
      <c r="F3091" s="7" t="str">
        <f>VLOOKUP(A3091,Sheet2!$A$2:$R$3432,3,0)</f>
        <v>NIKHIL MAYUR</v>
      </c>
      <c r="G3091" s="5" t="s">
        <v>25</v>
      </c>
      <c r="H3091" s="5" t="s">
        <v>25</v>
      </c>
      <c r="I3091" s="5" t="s">
        <v>25</v>
      </c>
      <c r="J3091" s="5" t="s">
        <v>25</v>
      </c>
      <c r="K3091" s="7" t="str">
        <f>VLOOKUP(A3091,Sheet2!$A$2:$R$3432,6,0)</f>
        <v>Suzuki Access 125</v>
      </c>
      <c r="L3091" s="5" t="s">
        <v>25</v>
      </c>
      <c r="M3091" s="7" t="str">
        <f>VLOOKUP(A3091,Sheet2!$A$2:$R$3432,5,0)</f>
        <v>MH12NG4794</v>
      </c>
      <c r="N3091" s="5" t="s">
        <v>25</v>
      </c>
      <c r="O3091" s="5" t="s">
        <v>25</v>
      </c>
      <c r="P3091" s="6" t="s">
        <v>25</v>
      </c>
      <c r="Q3091" s="5" t="s">
        <v>25</v>
      </c>
      <c r="R3091" s="5" t="s">
        <v>25</v>
      </c>
      <c r="S3091" s="5" t="str">
        <f>VLOOKUP(A3091,Sheet2!$A$2:$R$3432,18,0)</f>
        <v>AF211052608</v>
      </c>
      <c r="T3091" s="7" t="str">
        <f>VLOOKUP(A3091,Sheet2!$A$2:$R$3432,17,0)</f>
        <v>MB8DP11AFG8152393</v>
      </c>
    </row>
    <row r="3092" ht="15.75" customHeight="1">
      <c r="A3092" s="3" t="s">
        <v>3115</v>
      </c>
      <c r="B3092" s="4" t="str">
        <f>VLOOKUP(A3092,Sheet2!$A$2:$R$3432,2,0)</f>
        <v>2025-05-02 18:58:57</v>
      </c>
      <c r="C3092" s="5" t="s">
        <v>25</v>
      </c>
      <c r="D3092" s="6" t="s">
        <v>25</v>
      </c>
      <c r="E3092" s="7">
        <f>VLOOKUP(A3092,Sheet2!$A$2:$R$3432,4,0)</f>
        <v>9657224630</v>
      </c>
      <c r="F3092" s="7" t="str">
        <f>VLOOKUP(A3092,Sheet2!$A$2:$R$3432,3,0)</f>
        <v>TEJAS</v>
      </c>
      <c r="G3092" s="5" t="s">
        <v>25</v>
      </c>
      <c r="H3092" s="5" t="s">
        <v>25</v>
      </c>
      <c r="I3092" s="5" t="s">
        <v>25</v>
      </c>
      <c r="J3092" s="5" t="s">
        <v>25</v>
      </c>
      <c r="K3092" s="7" t="str">
        <f>VLOOKUP(A3092,Sheet2!$A$2:$R$3432,6,0)</f>
        <v>Suzuki Access 125</v>
      </c>
      <c r="L3092" s="5" t="s">
        <v>25</v>
      </c>
      <c r="M3092" s="7" t="str">
        <f>VLOOKUP(A3092,Sheet2!$A$2:$R$3432,5,0)</f>
        <v>MH12SM9113</v>
      </c>
      <c r="N3092" s="5" t="s">
        <v>25</v>
      </c>
      <c r="O3092" s="5" t="s">
        <v>25</v>
      </c>
      <c r="P3092" s="6" t="s">
        <v>25</v>
      </c>
      <c r="Q3092" s="5" t="s">
        <v>25</v>
      </c>
      <c r="R3092" s="5" t="s">
        <v>25</v>
      </c>
      <c r="S3092" s="5" t="str">
        <f>VLOOKUP(A3092,Sheet2!$A$2:$R$3432,18,0)</f>
        <v>AF212207265</v>
      </c>
      <c r="T3092" s="7" t="str">
        <f>VLOOKUP(A3092,Sheet2!$A$2:$R$3432,17,0)</f>
        <v>MB8DP11AK8607427</v>
      </c>
    </row>
    <row r="3093" ht="15.75" customHeight="1">
      <c r="A3093" s="3" t="s">
        <v>3116</v>
      </c>
      <c r="B3093" s="4" t="str">
        <f>VLOOKUP(A3093,Sheet2!$A$2:$R$3432,2,0)</f>
        <v>2025-06-29 20:33:47</v>
      </c>
      <c r="C3093" s="5" t="s">
        <v>25</v>
      </c>
      <c r="D3093" s="6" t="s">
        <v>25</v>
      </c>
      <c r="E3093" s="7">
        <f>VLOOKUP(A3093,Sheet2!$A$2:$R$3432,4,0)</f>
        <v>9823142250</v>
      </c>
      <c r="F3093" s="7" t="str">
        <f>VLOOKUP(A3093,Sheet2!$A$2:$R$3432,3,0)</f>
        <v>Vaidya</v>
      </c>
      <c r="G3093" s="5" t="s">
        <v>25</v>
      </c>
      <c r="H3093" s="5" t="s">
        <v>25</v>
      </c>
      <c r="I3093" s="5" t="s">
        <v>25</v>
      </c>
      <c r="J3093" s="5" t="s">
        <v>25</v>
      </c>
      <c r="K3093" s="7" t="str">
        <f>VLOOKUP(A3093,Sheet2!$A$2:$R$3432,6,0)</f>
        <v>Honda Activa </v>
      </c>
      <c r="L3093" s="5" t="s">
        <v>25</v>
      </c>
      <c r="M3093" s="7" t="str">
        <f>VLOOKUP(A3093,Sheet2!$A$2:$R$3432,5,0)</f>
        <v>MH12KS9233</v>
      </c>
      <c r="N3093" s="5" t="s">
        <v>25</v>
      </c>
      <c r="O3093" s="5" t="s">
        <v>25</v>
      </c>
      <c r="P3093" s="6" t="s">
        <v>25</v>
      </c>
      <c r="Q3093" s="5" t="s">
        <v>25</v>
      </c>
      <c r="R3093" s="5" t="s">
        <v>25</v>
      </c>
      <c r="S3093" s="5" t="str">
        <f>VLOOKUP(A3093,Sheet2!$A$2:$R$3432,18,0)</f>
        <v>JF50E7053833</v>
      </c>
      <c r="T3093" s="7" t="str">
        <f>VLOOKUP(A3093,Sheet2!$A$2:$R$3432,17,0)</f>
        <v>ME4JF501AE7536861861</v>
      </c>
    </row>
    <row r="3094" ht="15.75" customHeight="1">
      <c r="A3094" s="3" t="s">
        <v>3117</v>
      </c>
      <c r="B3094" s="4" t="str">
        <f>VLOOKUP(A3094,Sheet2!$A$2:$R$3432,2,0)</f>
        <v>2025-06-29 12:00:05</v>
      </c>
      <c r="C3094" s="5" t="s">
        <v>25</v>
      </c>
      <c r="D3094" s="6" t="s">
        <v>25</v>
      </c>
      <c r="E3094" s="7">
        <f>VLOOKUP(A3094,Sheet2!$A$2:$R$3432,4,0)</f>
        <v>7384517011</v>
      </c>
      <c r="F3094" s="7" t="str">
        <f>VLOOKUP(A3094,Sheet2!$A$2:$R$3432,3,0)</f>
        <v>Rahul </v>
      </c>
      <c r="G3094" s="5" t="s">
        <v>25</v>
      </c>
      <c r="H3094" s="5" t="s">
        <v>25</v>
      </c>
      <c r="I3094" s="5" t="s">
        <v>25</v>
      </c>
      <c r="J3094" s="5" t="s">
        <v>25</v>
      </c>
      <c r="K3094" s="7" t="str">
        <f>VLOOKUP(A3094,Sheet2!$A$2:$R$3432,6,0)</f>
        <v>TVS Apache RTR 160</v>
      </c>
      <c r="L3094" s="5" t="s">
        <v>25</v>
      </c>
      <c r="M3094" s="7" t="str">
        <f>VLOOKUP(A3094,Sheet2!$A$2:$R$3432,5,0)</f>
        <v>MH04HC5163</v>
      </c>
      <c r="N3094" s="5" t="s">
        <v>25</v>
      </c>
      <c r="O3094" s="5" t="s">
        <v>25</v>
      </c>
      <c r="P3094" s="6" t="s">
        <v>25</v>
      </c>
      <c r="Q3094" s="5" t="s">
        <v>25</v>
      </c>
      <c r="R3094" s="5" t="s">
        <v>25</v>
      </c>
      <c r="S3094" s="5" t="str">
        <f>VLOOKUP(A3094,Sheet2!$A$2:$R$3432,18,0)</f>
        <v>E4LF859786</v>
      </c>
      <c r="T3094" s="7" t="str">
        <f>VLOOKUP(A3094,Sheet2!$A$2:$R$3432,17,0)</f>
        <v>MD634KE40F2L24208</v>
      </c>
    </row>
    <row r="3095" ht="15.75" customHeight="1">
      <c r="A3095" s="3" t="s">
        <v>3118</v>
      </c>
      <c r="B3095" s="4" t="str">
        <f>VLOOKUP(A3095,Sheet2!$A$2:$R$3432,2,0)</f>
        <v>2025-06-29 21:05:20</v>
      </c>
      <c r="C3095" s="5" t="s">
        <v>25</v>
      </c>
      <c r="D3095" s="6" t="s">
        <v>25</v>
      </c>
      <c r="E3095" s="7">
        <f>VLOOKUP(A3095,Sheet2!$A$2:$R$3432,4,0)</f>
        <v>8888815287</v>
      </c>
      <c r="F3095" s="7" t="str">
        <f>VLOOKUP(A3095,Sheet2!$A$2:$R$3432,3,0)</f>
        <v>Vinay Patil </v>
      </c>
      <c r="G3095" s="5" t="s">
        <v>25</v>
      </c>
      <c r="H3095" s="5" t="s">
        <v>25</v>
      </c>
      <c r="I3095" s="5" t="s">
        <v>25</v>
      </c>
      <c r="J3095" s="5" t="s">
        <v>25</v>
      </c>
      <c r="K3095" s="7" t="str">
        <f>VLOOKUP(A3095,Sheet2!$A$2:$R$3432,6,0)</f>
        <v>Yamaha FZ </v>
      </c>
      <c r="L3095" s="5" t="s">
        <v>25</v>
      </c>
      <c r="M3095" s="7" t="str">
        <f>VLOOKUP(A3095,Sheet2!$A$2:$R$3432,5,0)</f>
        <v>MH15DQ8690</v>
      </c>
      <c r="N3095" s="5" t="s">
        <v>25</v>
      </c>
      <c r="O3095" s="5" t="s">
        <v>25</v>
      </c>
      <c r="P3095" s="6" t="s">
        <v>25</v>
      </c>
      <c r="Q3095" s="5" t="s">
        <v>25</v>
      </c>
      <c r="R3095" s="5" t="s">
        <v>25</v>
      </c>
      <c r="S3095" s="5" t="str">
        <f>VLOOKUP(A3095,Sheet2!$A$2:$R$3432,18,0)</f>
        <v>21CR053455</v>
      </c>
      <c r="T3095" s="7" t="str">
        <f>VLOOKUP(A3095,Sheet2!$A$2:$R$3432,17,0)</f>
        <v>ME1121C0EAC2053152</v>
      </c>
    </row>
    <row r="3096" ht="15.75" customHeight="1">
      <c r="A3096" s="3" t="s">
        <v>3119</v>
      </c>
      <c r="B3096" s="4" t="str">
        <f>VLOOKUP(A3096,Sheet2!$A$2:$R$3432,2,0)</f>
        <v>2025-06-29 11:59:10</v>
      </c>
      <c r="C3096" s="5" t="s">
        <v>25</v>
      </c>
      <c r="D3096" s="6" t="s">
        <v>25</v>
      </c>
      <c r="E3096" s="7">
        <f>VLOOKUP(A3096,Sheet2!$A$2:$R$3432,4,0)</f>
        <v>9990040214</v>
      </c>
      <c r="F3096" s="7" t="str">
        <f>VLOOKUP(A3096,Sheet2!$A$2:$R$3432,3,0)</f>
        <v>Mithun Bhore</v>
      </c>
      <c r="G3096" s="5" t="s">
        <v>25</v>
      </c>
      <c r="H3096" s="5" t="s">
        <v>25</v>
      </c>
      <c r="I3096" s="5" t="s">
        <v>25</v>
      </c>
      <c r="J3096" s="5" t="s">
        <v>25</v>
      </c>
      <c r="K3096" s="7" t="str">
        <f>VLOOKUP(A3096,Sheet2!$A$2:$R$3432,6,0)</f>
        <v>Suzuki Access  125 BS6</v>
      </c>
      <c r="L3096" s="5" t="s">
        <v>25</v>
      </c>
      <c r="M3096" s="7" t="str">
        <f>VLOOKUP(A3096,Sheet2!$A$2:$R$3432,5,0)</f>
        <v>MH14KL8512</v>
      </c>
      <c r="N3096" s="5" t="s">
        <v>25</v>
      </c>
      <c r="O3096" s="5" t="s">
        <v>25</v>
      </c>
      <c r="P3096" s="6" t="s">
        <v>25</v>
      </c>
      <c r="Q3096" s="5" t="s">
        <v>25</v>
      </c>
      <c r="R3096" s="5" t="s">
        <v>25</v>
      </c>
      <c r="S3096" s="7" t="str">
        <f>VLOOKUP(A3096,Sheet2!$A$2:$R$3432,18,0)</f>
        <v/>
      </c>
      <c r="T3096" s="7" t="str">
        <f>VLOOKUP(A3096,Sheet2!$A$2:$R$3432,17,0)</f>
        <v/>
      </c>
    </row>
    <row r="3097" ht="15.75" customHeight="1">
      <c r="A3097" s="3" t="s">
        <v>3120</v>
      </c>
      <c r="B3097" s="4" t="str">
        <f>VLOOKUP(A3097,Sheet2!$A$2:$R$3432,2,0)</f>
        <v>2025-06-29 20:33:20</v>
      </c>
      <c r="C3097" s="5" t="s">
        <v>25</v>
      </c>
      <c r="D3097" s="6" t="s">
        <v>25</v>
      </c>
      <c r="E3097" s="7">
        <f>VLOOKUP(A3097,Sheet2!$A$2:$R$3432,4,0)</f>
        <v>7083491791</v>
      </c>
      <c r="F3097" s="7" t="str">
        <f>VLOOKUP(A3097,Sheet2!$A$2:$R$3432,3,0)</f>
        <v>Uttekar</v>
      </c>
      <c r="G3097" s="5" t="s">
        <v>25</v>
      </c>
      <c r="H3097" s="5" t="s">
        <v>25</v>
      </c>
      <c r="I3097" s="5" t="s">
        <v>25</v>
      </c>
      <c r="J3097" s="5" t="s">
        <v>25</v>
      </c>
      <c r="K3097" s="7" t="str">
        <f>VLOOKUP(A3097,Sheet2!$A$2:$R$3432,6,0)</f>
        <v>Hero Splendor Super</v>
      </c>
      <c r="L3097" s="5" t="s">
        <v>25</v>
      </c>
      <c r="M3097" s="7" t="str">
        <f>VLOOKUP(A3097,Sheet2!$A$2:$R$3432,5,0)</f>
        <v>MH14AN5819</v>
      </c>
      <c r="N3097" s="5" t="s">
        <v>25</v>
      </c>
      <c r="O3097" s="5" t="s">
        <v>25</v>
      </c>
      <c r="P3097" s="6" t="s">
        <v>25</v>
      </c>
      <c r="Q3097" s="5" t="s">
        <v>25</v>
      </c>
      <c r="R3097" s="5" t="s">
        <v>25</v>
      </c>
      <c r="S3097" s="5" t="str">
        <f>VLOOKUP(A3097,Sheet2!$A$2:$R$3432,18,0)</f>
        <v>03014</v>
      </c>
      <c r="T3097" s="7" t="str">
        <f>VLOOKUP(A3097,Sheet2!$A$2:$R$3432,17,0)</f>
        <v>05LAAC03045</v>
      </c>
    </row>
    <row r="3098" ht="15.75" customHeight="1">
      <c r="A3098" s="3" t="s">
        <v>3121</v>
      </c>
      <c r="B3098" s="4" t="str">
        <f>VLOOKUP(A3098,Sheet2!$A$2:$R$3432,2,0)</f>
        <v>2025-06-29 20:59:46</v>
      </c>
      <c r="C3098" s="5" t="s">
        <v>25</v>
      </c>
      <c r="D3098" s="6" t="s">
        <v>25</v>
      </c>
      <c r="E3098" s="7">
        <f>VLOOKUP(A3098,Sheet2!$A$2:$R$3432,4,0)</f>
        <v>9922323770</v>
      </c>
      <c r="F3098" s="7" t="str">
        <f>VLOOKUP(A3098,Sheet2!$A$2:$R$3432,3,0)</f>
        <v>Anjali Kamthe</v>
      </c>
      <c r="G3098" s="5" t="s">
        <v>25</v>
      </c>
      <c r="H3098" s="5" t="s">
        <v>25</v>
      </c>
      <c r="I3098" s="5" t="s">
        <v>25</v>
      </c>
      <c r="J3098" s="5" t="s">
        <v>25</v>
      </c>
      <c r="K3098" s="7" t="str">
        <f>VLOOKUP(A3098,Sheet2!$A$2:$R$3432,6,0)</f>
        <v>Honda Activa 4G</v>
      </c>
      <c r="L3098" s="5" t="s">
        <v>25</v>
      </c>
      <c r="M3098" s="7" t="str">
        <f>VLOOKUP(A3098,Sheet2!$A$2:$R$3432,5,0)</f>
        <v>MH14GJ7075</v>
      </c>
      <c r="N3098" s="5" t="s">
        <v>25</v>
      </c>
      <c r="O3098" s="5" t="s">
        <v>25</v>
      </c>
      <c r="P3098" s="6" t="s">
        <v>25</v>
      </c>
      <c r="Q3098" s="5" t="s">
        <v>25</v>
      </c>
      <c r="R3098" s="5" t="s">
        <v>25</v>
      </c>
      <c r="S3098" s="7" t="str">
        <f>VLOOKUP(A3098,Sheet2!$A$2:$R$3432,18,0)</f>
        <v/>
      </c>
      <c r="T3098" s="7" t="str">
        <f>VLOOKUP(A3098,Sheet2!$A$2:$R$3432,17,0)</f>
        <v>ME4JF507DHU142084</v>
      </c>
    </row>
    <row r="3099" ht="15.75" customHeight="1">
      <c r="A3099" s="3" t="s">
        <v>3122</v>
      </c>
      <c r="B3099" s="4" t="str">
        <f>VLOOKUP(A3099,Sheet2!$A$2:$R$3432,2,0)</f>
        <v>2025-06-29 21:06:09</v>
      </c>
      <c r="C3099" s="5" t="s">
        <v>25</v>
      </c>
      <c r="D3099" s="6" t="s">
        <v>25</v>
      </c>
      <c r="E3099" s="7">
        <f>VLOOKUP(A3099,Sheet2!$A$2:$R$3432,4,0)</f>
        <v>9921197519</v>
      </c>
      <c r="F3099" s="7" t="str">
        <f>VLOOKUP(A3099,Sheet2!$A$2:$R$3432,3,0)</f>
        <v>Dinesh Suryavanshi</v>
      </c>
      <c r="G3099" s="5" t="s">
        <v>25</v>
      </c>
      <c r="H3099" s="5" t="s">
        <v>25</v>
      </c>
      <c r="I3099" s="5" t="s">
        <v>25</v>
      </c>
      <c r="J3099" s="5" t="s">
        <v>25</v>
      </c>
      <c r="K3099" s="7" t="str">
        <f>VLOOKUP(A3099,Sheet2!$A$2:$R$3432,6,0)</f>
        <v>Hero Pleasure </v>
      </c>
      <c r="L3099" s="5" t="s">
        <v>25</v>
      </c>
      <c r="M3099" s="7" t="str">
        <f>VLOOKUP(A3099,Sheet2!$A$2:$R$3432,5,0)</f>
        <v>MH14BZ6816</v>
      </c>
      <c r="N3099" s="5" t="s">
        <v>25</v>
      </c>
      <c r="O3099" s="5" t="s">
        <v>25</v>
      </c>
      <c r="P3099" s="6" t="s">
        <v>25</v>
      </c>
      <c r="Q3099" s="5" t="s">
        <v>25</v>
      </c>
      <c r="R3099" s="5" t="s">
        <v>25</v>
      </c>
      <c r="S3099" s="7" t="str">
        <f>VLOOKUP(A3099,Sheet2!$A$2:$R$3432,18,0)</f>
        <v/>
      </c>
      <c r="T3099" s="7" t="str">
        <f>VLOOKUP(A3099,Sheet2!$A$2:$R$3432,17,0)</f>
        <v>MBLJF16ECAGA10717</v>
      </c>
    </row>
    <row r="3100" ht="15.75" customHeight="1">
      <c r="A3100" s="3" t="s">
        <v>3123</v>
      </c>
      <c r="B3100" s="4" t="str">
        <f>VLOOKUP(A3100,Sheet2!$A$2:$R$3432,2,0)</f>
        <v>2025-06-29 20:43:57</v>
      </c>
      <c r="C3100" s="5" t="s">
        <v>25</v>
      </c>
      <c r="D3100" s="6" t="s">
        <v>25</v>
      </c>
      <c r="E3100" s="7">
        <f>VLOOKUP(A3100,Sheet2!$A$2:$R$3432,4,0)</f>
        <v>7406056477</v>
      </c>
      <c r="F3100" s="7" t="str">
        <f>VLOOKUP(A3100,Sheet2!$A$2:$R$3432,3,0)</f>
        <v>Ashutosh </v>
      </c>
      <c r="G3100" s="5" t="s">
        <v>25</v>
      </c>
      <c r="H3100" s="5" t="s">
        <v>25</v>
      </c>
      <c r="I3100" s="5" t="s">
        <v>25</v>
      </c>
      <c r="J3100" s="5" t="s">
        <v>25</v>
      </c>
      <c r="K3100" s="7" t="str">
        <f>VLOOKUP(A3100,Sheet2!$A$2:$R$3432,6,0)</f>
        <v>TVS Apache RTR 160</v>
      </c>
      <c r="L3100" s="5" t="s">
        <v>25</v>
      </c>
      <c r="M3100" s="7" t="str">
        <f>VLOOKUP(A3100,Sheet2!$A$2:$R$3432,5,0)</f>
        <v>MH15JP8584</v>
      </c>
      <c r="N3100" s="5" t="s">
        <v>25</v>
      </c>
      <c r="O3100" s="5" t="s">
        <v>25</v>
      </c>
      <c r="P3100" s="6" t="s">
        <v>25</v>
      </c>
      <c r="Q3100" s="5" t="s">
        <v>25</v>
      </c>
      <c r="R3100" s="5" t="s">
        <v>25</v>
      </c>
      <c r="S3100" s="5" t="str">
        <f>VLOOKUP(A3100,Sheet2!$A$2:$R$3432,18,0)</f>
        <v>OE4FG2008309</v>
      </c>
      <c r="T3100" s="7" t="str">
        <f>VLOOKUP(A3100,Sheet2!$A$2:$R$3432,17,0)</f>
        <v>MD634KE4XGF60465</v>
      </c>
    </row>
    <row r="3101" ht="15.75" customHeight="1">
      <c r="A3101" s="3" t="s">
        <v>3124</v>
      </c>
      <c r="B3101" s="4" t="str">
        <f>VLOOKUP(A3101,Sheet2!$A$2:$R$3432,2,0)</f>
        <v>2025-06-29 20:36:02</v>
      </c>
      <c r="C3101" s="5" t="s">
        <v>25</v>
      </c>
      <c r="D3101" s="6" t="s">
        <v>25</v>
      </c>
      <c r="E3101" s="7">
        <f>VLOOKUP(A3101,Sheet2!$A$2:$R$3432,4,0)</f>
        <v>9987555184</v>
      </c>
      <c r="F3101" s="7" t="str">
        <f>VLOOKUP(A3101,Sheet2!$A$2:$R$3432,3,0)</f>
        <v>GAURAV Manjrekar </v>
      </c>
      <c r="G3101" s="5" t="s">
        <v>25</v>
      </c>
      <c r="H3101" s="5" t="s">
        <v>25</v>
      </c>
      <c r="I3101" s="5" t="s">
        <v>25</v>
      </c>
      <c r="J3101" s="5" t="s">
        <v>25</v>
      </c>
      <c r="K3101" s="7" t="str">
        <f>VLOOKUP(A3101,Sheet2!$A$2:$R$3432,6,0)</f>
        <v>TVS Scooty Streak</v>
      </c>
      <c r="L3101" s="5" t="s">
        <v>25</v>
      </c>
      <c r="M3101" s="7" t="str">
        <f>VLOOKUP(A3101,Sheet2!$A$2:$R$3432,5,0)</f>
        <v>MH08AC5581</v>
      </c>
      <c r="N3101" s="5" t="s">
        <v>25</v>
      </c>
      <c r="O3101" s="5" t="s">
        <v>25</v>
      </c>
      <c r="P3101" s="6" t="s">
        <v>25</v>
      </c>
      <c r="Q3101" s="5" t="s">
        <v>25</v>
      </c>
      <c r="R3101" s="5" t="s">
        <v>25</v>
      </c>
      <c r="S3101" s="7" t="str">
        <f>VLOOKUP(A3101,Sheet2!$A$2:$R$3432,18,0)</f>
        <v/>
      </c>
      <c r="T3101" s="7" t="str">
        <f>VLOOKUP(A3101,Sheet2!$A$2:$R$3432,17,0)</f>
        <v/>
      </c>
    </row>
    <row r="3102" ht="15.75" customHeight="1">
      <c r="A3102" s="3" t="s">
        <v>3125</v>
      </c>
      <c r="B3102" s="4" t="str">
        <f>VLOOKUP(A3102,Sheet2!$A$2:$R$3432,2,0)</f>
        <v>2025-06-29 21:00:40</v>
      </c>
      <c r="C3102" s="5" t="s">
        <v>25</v>
      </c>
      <c r="D3102" s="6" t="s">
        <v>25</v>
      </c>
      <c r="E3102" s="7">
        <f>VLOOKUP(A3102,Sheet2!$A$2:$R$3432,4,0)</f>
        <v>9762483439</v>
      </c>
      <c r="F3102" s="7" t="str">
        <f>VLOOKUP(A3102,Sheet2!$A$2:$R$3432,3,0)</f>
        <v>Parimal </v>
      </c>
      <c r="G3102" s="5" t="s">
        <v>25</v>
      </c>
      <c r="H3102" s="5" t="s">
        <v>25</v>
      </c>
      <c r="I3102" s="5" t="s">
        <v>25</v>
      </c>
      <c r="J3102" s="5" t="s">
        <v>25</v>
      </c>
      <c r="K3102" s="7" t="str">
        <f>VLOOKUP(A3102,Sheet2!$A$2:$R$3432,6,0)</f>
        <v>Yamaha FZ 1</v>
      </c>
      <c r="L3102" s="5" t="s">
        <v>25</v>
      </c>
      <c r="M3102" s="7" t="str">
        <f>VLOOKUP(A3102,Sheet2!$A$2:$R$3432,5,0)</f>
        <v>MH14BS0380</v>
      </c>
      <c r="N3102" s="5" t="s">
        <v>25</v>
      </c>
      <c r="O3102" s="5" t="s">
        <v>25</v>
      </c>
      <c r="P3102" s="6" t="s">
        <v>25</v>
      </c>
      <c r="Q3102" s="5" t="s">
        <v>25</v>
      </c>
      <c r="R3102" s="5" t="s">
        <v>25</v>
      </c>
      <c r="S3102" s="7" t="str">
        <f>VLOOKUP(A3102,Sheet2!$A$2:$R$3432,18,0)</f>
        <v/>
      </c>
      <c r="T3102" s="7" t="str">
        <f>VLOOKUP(A3102,Sheet2!$A$2:$R$3432,17,0)</f>
        <v>ME12NC01192025639</v>
      </c>
    </row>
    <row r="3103" ht="15.75" customHeight="1">
      <c r="A3103" s="3" t="s">
        <v>3126</v>
      </c>
      <c r="B3103" s="4" t="str">
        <f>VLOOKUP(A3103,Sheet2!$A$2:$R$3432,2,0)</f>
        <v>2025-06-29 20:41:10</v>
      </c>
      <c r="C3103" s="5" t="s">
        <v>25</v>
      </c>
      <c r="D3103" s="6" t="s">
        <v>25</v>
      </c>
      <c r="E3103" s="7">
        <f>VLOOKUP(A3103,Sheet2!$A$2:$R$3432,4,0)</f>
        <v>9921637431</v>
      </c>
      <c r="F3103" s="7" t="str">
        <f>VLOOKUP(A3103,Sheet2!$A$2:$R$3432,3,0)</f>
        <v>Rishi Patil</v>
      </c>
      <c r="G3103" s="5" t="s">
        <v>25</v>
      </c>
      <c r="H3103" s="5" t="s">
        <v>25</v>
      </c>
      <c r="I3103" s="5" t="s">
        <v>25</v>
      </c>
      <c r="J3103" s="5" t="s">
        <v>25</v>
      </c>
      <c r="K3103" s="7" t="str">
        <f>VLOOKUP(A3103,Sheet2!$A$2:$R$3432,6,0)</f>
        <v>Suzuki Access 125</v>
      </c>
      <c r="L3103" s="5" t="s">
        <v>25</v>
      </c>
      <c r="M3103" s="7" t="str">
        <f>VLOOKUP(A3103,Sheet2!$A$2:$R$3432,5,0)</f>
        <v>MH14HE0954</v>
      </c>
      <c r="N3103" s="5" t="s">
        <v>25</v>
      </c>
      <c r="O3103" s="5" t="s">
        <v>25</v>
      </c>
      <c r="P3103" s="6" t="s">
        <v>25</v>
      </c>
      <c r="Q3103" s="5" t="s">
        <v>25</v>
      </c>
      <c r="R3103" s="5" t="s">
        <v>25</v>
      </c>
      <c r="S3103" s="5" t="str">
        <f>VLOOKUP(A3103,Sheet2!$A$2:$R$3432,18,0)</f>
        <v>AF211810256</v>
      </c>
      <c r="T3103" s="7" t="str">
        <f>VLOOKUP(A3103,Sheet2!$A$2:$R$3432,17,0)</f>
        <v>MB8DPMAJJ8041132</v>
      </c>
    </row>
    <row r="3104" ht="15.75" customHeight="1">
      <c r="A3104" s="3" t="s">
        <v>3127</v>
      </c>
      <c r="B3104" s="4" t="str">
        <f>VLOOKUP(A3104,Sheet2!$A$2:$R$3432,2,0)</f>
        <v>2025-06-29 20:35:09</v>
      </c>
      <c r="C3104" s="5" t="s">
        <v>25</v>
      </c>
      <c r="D3104" s="6" t="s">
        <v>25</v>
      </c>
      <c r="E3104" s="7">
        <f>VLOOKUP(A3104,Sheet2!$A$2:$R$3432,4,0)</f>
        <v>9762364061</v>
      </c>
      <c r="F3104" s="7" t="str">
        <f>VLOOKUP(A3104,Sheet2!$A$2:$R$3432,3,0)</f>
        <v>Shantanu </v>
      </c>
      <c r="G3104" s="5" t="s">
        <v>25</v>
      </c>
      <c r="H3104" s="5" t="s">
        <v>25</v>
      </c>
      <c r="I3104" s="5" t="s">
        <v>25</v>
      </c>
      <c r="J3104" s="5" t="s">
        <v>25</v>
      </c>
      <c r="K3104" s="7" t="str">
        <f>VLOOKUP(A3104,Sheet2!$A$2:$R$3432,6,0)</f>
        <v>Honda Activa 125</v>
      </c>
      <c r="L3104" s="5" t="s">
        <v>25</v>
      </c>
      <c r="M3104" s="7" t="str">
        <f>VLOOKUP(A3104,Sheet2!$A$2:$R$3432,5,0)</f>
        <v>MH14JW9491</v>
      </c>
      <c r="N3104" s="5" t="s">
        <v>25</v>
      </c>
      <c r="O3104" s="5" t="s">
        <v>25</v>
      </c>
      <c r="P3104" s="6" t="s">
        <v>25</v>
      </c>
      <c r="Q3104" s="5" t="s">
        <v>25</v>
      </c>
      <c r="R3104" s="5" t="s">
        <v>25</v>
      </c>
      <c r="S3104" s="5" t="str">
        <f>VLOOKUP(A3104,Sheet2!$A$2:$R$3432,18,0)</f>
        <v>JFYCHK01687</v>
      </c>
      <c r="T3104" s="7" t="str">
        <f>VLOOKUP(A3104,Sheet2!$A$2:$R$3432,17,0)</f>
        <v>MD2A67KYXHCK01603</v>
      </c>
    </row>
    <row r="3105" ht="15.75" customHeight="1">
      <c r="A3105" s="3" t="s">
        <v>3128</v>
      </c>
      <c r="B3105" s="4" t="str">
        <f>VLOOKUP(A3105,Sheet2!$A$2:$R$3432,2,0)</f>
        <v>2025-06-29 20:34:31</v>
      </c>
      <c r="C3105" s="5" t="s">
        <v>25</v>
      </c>
      <c r="D3105" s="6" t="s">
        <v>25</v>
      </c>
      <c r="E3105" s="7">
        <f>VLOOKUP(A3105,Sheet2!$A$2:$R$3432,4,0)</f>
        <v>8600865286</v>
      </c>
      <c r="F3105" s="7" t="str">
        <f>VLOOKUP(A3105,Sheet2!$A$2:$R$3432,3,0)</f>
        <v>SANGRAM </v>
      </c>
      <c r="G3105" s="5" t="s">
        <v>25</v>
      </c>
      <c r="H3105" s="5" t="s">
        <v>25</v>
      </c>
      <c r="I3105" s="5" t="s">
        <v>25</v>
      </c>
      <c r="J3105" s="5" t="s">
        <v>25</v>
      </c>
      <c r="K3105" s="7" t="str">
        <f>VLOOKUP(A3105,Sheet2!$A$2:$R$3432,6,0)</f>
        <v>Yamaha FZ S 2.0</v>
      </c>
      <c r="L3105" s="5" t="s">
        <v>25</v>
      </c>
      <c r="M3105" s="7" t="str">
        <f>VLOOKUP(A3105,Sheet2!$A$2:$R$3432,5,0)</f>
        <v>MH12PV9671</v>
      </c>
      <c r="N3105" s="5" t="s">
        <v>25</v>
      </c>
      <c r="O3105" s="5" t="s">
        <v>25</v>
      </c>
      <c r="P3105" s="6" t="s">
        <v>25</v>
      </c>
      <c r="Q3105" s="5" t="s">
        <v>25</v>
      </c>
      <c r="R3105" s="5" t="s">
        <v>25</v>
      </c>
      <c r="S3105" s="7" t="str">
        <f>VLOOKUP(A3105,Sheet2!$A$2:$R$3432,18,0)</f>
        <v/>
      </c>
      <c r="T3105" s="7" t="str">
        <f>VLOOKUP(A3105,Sheet2!$A$2:$R$3432,17,0)</f>
        <v/>
      </c>
    </row>
    <row r="3106" ht="15.75" customHeight="1">
      <c r="A3106" s="3" t="s">
        <v>3129</v>
      </c>
      <c r="B3106" s="4" t="str">
        <f>VLOOKUP(A3106,Sheet2!$A$2:$R$3432,2,0)</f>
        <v>2025-06-29 20:32:00</v>
      </c>
      <c r="C3106" s="5" t="s">
        <v>25</v>
      </c>
      <c r="D3106" s="6" t="s">
        <v>25</v>
      </c>
      <c r="E3106" s="7">
        <f>VLOOKUP(A3106,Sheet2!$A$2:$R$3432,4,0)</f>
        <v>8888582558</v>
      </c>
      <c r="F3106" s="7" t="str">
        <f>VLOOKUP(A3106,Sheet2!$A$2:$R$3432,3,0)</f>
        <v>Jeevan Jadhav </v>
      </c>
      <c r="G3106" s="5" t="s">
        <v>25</v>
      </c>
      <c r="H3106" s="5" t="s">
        <v>25</v>
      </c>
      <c r="I3106" s="5" t="s">
        <v>25</v>
      </c>
      <c r="J3106" s="5" t="s">
        <v>25</v>
      </c>
      <c r="K3106" s="7" t="str">
        <f>VLOOKUP(A3106,Sheet2!$A$2:$R$3432,6,0)</f>
        <v>Bajaj Pulsar 135</v>
      </c>
      <c r="L3106" s="5" t="s">
        <v>25</v>
      </c>
      <c r="M3106" s="7" t="str">
        <f>VLOOKUP(A3106,Sheet2!$A$2:$R$3432,5,0)</f>
        <v>MH37P6228</v>
      </c>
      <c r="N3106" s="5" t="s">
        <v>25</v>
      </c>
      <c r="O3106" s="5" t="s">
        <v>25</v>
      </c>
      <c r="P3106" s="6" t="s">
        <v>25</v>
      </c>
      <c r="Q3106" s="5" t="s">
        <v>25</v>
      </c>
      <c r="R3106" s="5" t="s">
        <v>25</v>
      </c>
      <c r="S3106" s="5" t="str">
        <f>VLOOKUP(A3106,Sheet2!$A$2:$R$3432,18,0)</f>
        <v>JEZWEE05009</v>
      </c>
      <c r="T3106" s="7" t="str">
        <f>VLOOKUP(A3106,Sheet2!$A$2:$R$3432,17,0)</f>
        <v>MDZA17CZ0EWE12442</v>
      </c>
    </row>
    <row r="3107" ht="15.75" customHeight="1">
      <c r="A3107" s="3" t="s">
        <v>3130</v>
      </c>
      <c r="B3107" s="4" t="str">
        <f>VLOOKUP(A3107,Sheet2!$A$2:$R$3432,2,0)</f>
        <v>2025-06-29 20:43:28</v>
      </c>
      <c r="C3107" s="5" t="s">
        <v>25</v>
      </c>
      <c r="D3107" s="6" t="s">
        <v>25</v>
      </c>
      <c r="E3107" s="7">
        <f>VLOOKUP(A3107,Sheet2!$A$2:$R$3432,4,0)</f>
        <v>8237524805</v>
      </c>
      <c r="F3107" s="7" t="str">
        <f>VLOOKUP(A3107,Sheet2!$A$2:$R$3432,3,0)</f>
        <v>Sammed Magdum</v>
      </c>
      <c r="G3107" s="5" t="s">
        <v>25</v>
      </c>
      <c r="H3107" s="5" t="s">
        <v>25</v>
      </c>
      <c r="I3107" s="5" t="s">
        <v>25</v>
      </c>
      <c r="J3107" s="5" t="s">
        <v>25</v>
      </c>
      <c r="K3107" s="7" t="str">
        <f>VLOOKUP(A3107,Sheet2!$A$2:$R$3432,6,0)</f>
        <v>Honda Activa 4G</v>
      </c>
      <c r="L3107" s="5" t="s">
        <v>25</v>
      </c>
      <c r="M3107" s="7" t="str">
        <f>VLOOKUP(A3107,Sheet2!$A$2:$R$3432,5,0)</f>
        <v>MH10CY8352</v>
      </c>
      <c r="N3107" s="5" t="s">
        <v>25</v>
      </c>
      <c r="O3107" s="5" t="s">
        <v>25</v>
      </c>
      <c r="P3107" s="6" t="s">
        <v>25</v>
      </c>
      <c r="Q3107" s="5" t="s">
        <v>25</v>
      </c>
      <c r="R3107" s="5" t="s">
        <v>25</v>
      </c>
      <c r="S3107" s="5" t="str">
        <f>VLOOKUP(A3107,Sheet2!$A$2:$R$3432,18,0)</f>
        <v>JF50EU5680580</v>
      </c>
      <c r="T3107" s="7" t="str">
        <f>VLOOKUP(A3107,Sheet2!$A$2:$R$3432,17,0)</f>
        <v>ME4JF507LHU680532</v>
      </c>
    </row>
    <row r="3108" ht="15.75" customHeight="1">
      <c r="A3108" s="3" t="s">
        <v>3131</v>
      </c>
      <c r="B3108" s="4" t="str">
        <f>VLOOKUP(A3108,Sheet2!$A$2:$R$3432,2,0)</f>
        <v>2025-06-29 21:01:43</v>
      </c>
      <c r="C3108" s="5" t="s">
        <v>25</v>
      </c>
      <c r="D3108" s="6" t="s">
        <v>25</v>
      </c>
      <c r="E3108" s="7">
        <f>VLOOKUP(A3108,Sheet2!$A$2:$R$3432,4,0)</f>
        <v>9326075507</v>
      </c>
      <c r="F3108" s="7" t="str">
        <f>VLOOKUP(A3108,Sheet2!$A$2:$R$3432,3,0)</f>
        <v>Saurabh Shende</v>
      </c>
      <c r="G3108" s="5" t="s">
        <v>25</v>
      </c>
      <c r="H3108" s="5" t="s">
        <v>25</v>
      </c>
      <c r="I3108" s="5" t="s">
        <v>25</v>
      </c>
      <c r="J3108" s="5" t="s">
        <v>25</v>
      </c>
      <c r="K3108" s="7" t="str">
        <f>VLOOKUP(A3108,Sheet2!$A$2:$R$3432,6,0)</f>
        <v>Honda Hornet </v>
      </c>
      <c r="L3108" s="5" t="s">
        <v>25</v>
      </c>
      <c r="M3108" s="7" t="str">
        <f>VLOOKUP(A3108,Sheet2!$A$2:$R$3432,5,0)</f>
        <v>MH03CL8189</v>
      </c>
      <c r="N3108" s="5" t="s">
        <v>25</v>
      </c>
      <c r="O3108" s="5" t="s">
        <v>25</v>
      </c>
      <c r="P3108" s="6" t="s">
        <v>25</v>
      </c>
      <c r="Q3108" s="5" t="s">
        <v>25</v>
      </c>
      <c r="R3108" s="5" t="s">
        <v>25</v>
      </c>
      <c r="S3108" s="5" t="str">
        <f>VLOOKUP(A3108,Sheet2!$A$2:$R$3432,18,0)</f>
        <v>KC23E-8-0116477</v>
      </c>
      <c r="T3108" s="7" t="str">
        <f>VLOOKUP(A3108,Sheet2!$A$2:$R$3432,17,0)</f>
        <v>ME4KC236MG8002653</v>
      </c>
    </row>
    <row r="3109" ht="15.75" customHeight="1">
      <c r="A3109" s="3" t="s">
        <v>3132</v>
      </c>
      <c r="B3109" s="4" t="str">
        <f>VLOOKUP(A3109,Sheet2!$A$2:$R$3432,2,0)</f>
        <v>2025-06-29 20:59:13</v>
      </c>
      <c r="C3109" s="5" t="s">
        <v>25</v>
      </c>
      <c r="D3109" s="6" t="s">
        <v>25</v>
      </c>
      <c r="E3109" s="7">
        <f>VLOOKUP(A3109,Sheet2!$A$2:$R$3432,4,0)</f>
        <v>9373841171</v>
      </c>
      <c r="F3109" s="7" t="str">
        <f>VLOOKUP(A3109,Sheet2!$A$2:$R$3432,3,0)</f>
        <v>Parameshwar</v>
      </c>
      <c r="G3109" s="5" t="s">
        <v>25</v>
      </c>
      <c r="H3109" s="5" t="s">
        <v>25</v>
      </c>
      <c r="I3109" s="5" t="s">
        <v>25</v>
      </c>
      <c r="J3109" s="5" t="s">
        <v>25</v>
      </c>
      <c r="K3109" s="7" t="str">
        <f>VLOOKUP(A3109,Sheet2!$A$2:$R$3432,6,0)</f>
        <v>TVS Scooty Streak</v>
      </c>
      <c r="L3109" s="5" t="s">
        <v>25</v>
      </c>
      <c r="M3109" s="7" t="str">
        <f>VLOOKUP(A3109,Sheet2!$A$2:$R$3432,5,0)</f>
        <v>MH16AL8336</v>
      </c>
      <c r="N3109" s="5" t="s">
        <v>25</v>
      </c>
      <c r="O3109" s="5" t="s">
        <v>25</v>
      </c>
      <c r="P3109" s="6" t="s">
        <v>25</v>
      </c>
      <c r="Q3109" s="5" t="s">
        <v>25</v>
      </c>
      <c r="R3109" s="5" t="s">
        <v>25</v>
      </c>
      <c r="S3109" s="7" t="str">
        <f>VLOOKUP(A3109,Sheet2!$A$2:$R$3432,18,0)</f>
        <v/>
      </c>
      <c r="T3109" s="7" t="str">
        <f>VLOOKUP(A3109,Sheet2!$A$2:$R$3432,17,0)</f>
        <v/>
      </c>
    </row>
    <row r="3110" ht="15.75" customHeight="1">
      <c r="A3110" s="3" t="s">
        <v>3133</v>
      </c>
      <c r="B3110" s="4" t="str">
        <f>VLOOKUP(A3110,Sheet2!$A$2:$R$3432,2,0)</f>
        <v>2025-06-29 21:03:22</v>
      </c>
      <c r="C3110" s="5" t="s">
        <v>25</v>
      </c>
      <c r="D3110" s="6" t="s">
        <v>25</v>
      </c>
      <c r="E3110" s="7">
        <f>VLOOKUP(A3110,Sheet2!$A$2:$R$3432,4,0)</f>
        <v>9326075507</v>
      </c>
      <c r="F3110" s="7" t="str">
        <f>VLOOKUP(A3110,Sheet2!$A$2:$R$3432,3,0)</f>
        <v>Saurabh Shende</v>
      </c>
      <c r="G3110" s="5" t="s">
        <v>25</v>
      </c>
      <c r="H3110" s="5" t="s">
        <v>25</v>
      </c>
      <c r="I3110" s="5" t="s">
        <v>25</v>
      </c>
      <c r="J3110" s="5" t="s">
        <v>25</v>
      </c>
      <c r="K3110" s="7" t="str">
        <f>VLOOKUP(A3110,Sheet2!$A$2:$R$3432,6,0)</f>
        <v>Bajaj Pulsar 220F</v>
      </c>
      <c r="L3110" s="5" t="s">
        <v>25</v>
      </c>
      <c r="M3110" s="7" t="str">
        <f>VLOOKUP(A3110,Sheet2!$A$2:$R$3432,5,0)</f>
        <v>MH12HM7770</v>
      </c>
      <c r="N3110" s="5" t="s">
        <v>25</v>
      </c>
      <c r="O3110" s="5" t="s">
        <v>25</v>
      </c>
      <c r="P3110" s="6" t="s">
        <v>25</v>
      </c>
      <c r="Q3110" s="5" t="s">
        <v>25</v>
      </c>
      <c r="R3110" s="5" t="s">
        <v>25</v>
      </c>
      <c r="S3110" s="7" t="str">
        <f>VLOOKUP(A3110,Sheet2!$A$2:$R$3432,18,0)</f>
        <v/>
      </c>
      <c r="T3110" s="7" t="str">
        <f>VLOOKUP(A3110,Sheet2!$A$2:$R$3432,17,0)</f>
        <v>MD2DH0KZZUCE40890</v>
      </c>
    </row>
    <row r="3111" ht="15.75" customHeight="1">
      <c r="A3111" s="3" t="s">
        <v>3134</v>
      </c>
      <c r="B3111" s="4" t="str">
        <f>VLOOKUP(A3111,Sheet2!$A$2:$R$3432,2,0)</f>
        <v>2025-06-29 21:06:52</v>
      </c>
      <c r="C3111" s="5" t="s">
        <v>25</v>
      </c>
      <c r="D3111" s="6" t="s">
        <v>25</v>
      </c>
      <c r="E3111" s="7">
        <f>VLOOKUP(A3111,Sheet2!$A$2:$R$3432,4,0)</f>
        <v>9657081177</v>
      </c>
      <c r="F3111" s="7" t="str">
        <f>VLOOKUP(A3111,Sheet2!$A$2:$R$3432,3,0)</f>
        <v>Saurabh Nagarkar</v>
      </c>
      <c r="G3111" s="5" t="s">
        <v>25</v>
      </c>
      <c r="H3111" s="5" t="s">
        <v>25</v>
      </c>
      <c r="I3111" s="5" t="s">
        <v>25</v>
      </c>
      <c r="J3111" s="5" t="s">
        <v>25</v>
      </c>
      <c r="K3111" s="7" t="str">
        <f>VLOOKUP(A3111,Sheet2!$A$2:$R$3432,6,0)</f>
        <v>Bajaj Pulsar 220F</v>
      </c>
      <c r="L3111" s="5" t="s">
        <v>25</v>
      </c>
      <c r="M3111" s="7" t="str">
        <f>VLOOKUP(A3111,Sheet2!$A$2:$R$3432,5,0)</f>
        <v>MH14HN0727</v>
      </c>
      <c r="N3111" s="5" t="s">
        <v>25</v>
      </c>
      <c r="O3111" s="5" t="s">
        <v>25</v>
      </c>
      <c r="P3111" s="6" t="s">
        <v>25</v>
      </c>
      <c r="Q3111" s="5" t="s">
        <v>25</v>
      </c>
      <c r="R3111" s="5" t="s">
        <v>25</v>
      </c>
      <c r="S3111" s="5" t="str">
        <f>VLOOKUP(A3111,Sheet2!$A$2:$R$3432,18,0)</f>
        <v>DK4CK1L01168</v>
      </c>
      <c r="T3111" s="7" t="str">
        <f>VLOOKUP(A3111,Sheet2!$A$2:$R$3432,17,0)</f>
        <v>MD2A13EY3KLC10429</v>
      </c>
    </row>
    <row r="3112" ht="15.75" customHeight="1">
      <c r="A3112" s="3" t="s">
        <v>3135</v>
      </c>
      <c r="B3112" s="4" t="str">
        <f>VLOOKUP(A3112,Sheet2!$A$2:$R$3432,2,0)</f>
        <v>2025-06-29 21:08:42</v>
      </c>
      <c r="C3112" s="5" t="s">
        <v>25</v>
      </c>
      <c r="D3112" s="6" t="s">
        <v>25</v>
      </c>
      <c r="E3112" s="7">
        <f>VLOOKUP(A3112,Sheet2!$A$2:$R$3432,4,0)</f>
        <v>9604788998</v>
      </c>
      <c r="F3112" s="7" t="str">
        <f>VLOOKUP(A3112,Sheet2!$A$2:$R$3432,3,0)</f>
        <v>Imran </v>
      </c>
      <c r="G3112" s="5" t="s">
        <v>25</v>
      </c>
      <c r="H3112" s="5" t="s">
        <v>25</v>
      </c>
      <c r="I3112" s="5" t="s">
        <v>25</v>
      </c>
      <c r="J3112" s="5" t="s">
        <v>25</v>
      </c>
      <c r="K3112" s="7" t="str">
        <f>VLOOKUP(A3112,Sheet2!$A$2:$R$3432,6,0)</f>
        <v>Suzuki Avenis 125</v>
      </c>
      <c r="L3112" s="5" t="s">
        <v>25</v>
      </c>
      <c r="M3112" s="7" t="str">
        <f>VLOOKUP(A3112,Sheet2!$A$2:$R$3432,5,0)</f>
        <v>MH14JZ8159</v>
      </c>
      <c r="N3112" s="5" t="s">
        <v>25</v>
      </c>
      <c r="O3112" s="5" t="s">
        <v>25</v>
      </c>
      <c r="P3112" s="6" t="s">
        <v>25</v>
      </c>
      <c r="Q3112" s="5" t="s">
        <v>25</v>
      </c>
      <c r="R3112" s="5" t="s">
        <v>25</v>
      </c>
      <c r="S3112" s="5" t="str">
        <f>VLOOKUP(A3112,Sheet2!$A$2:$R$3432,18,0)</f>
        <v>AF212784851</v>
      </c>
      <c r="T3112" s="7" t="str">
        <f>VLOOKUP(A3112,Sheet2!$A$2:$R$3432,17,0)</f>
        <v>ME8EA12ACN8121713</v>
      </c>
    </row>
    <row r="3113" ht="15.75" customHeight="1">
      <c r="A3113" s="3" t="s">
        <v>3136</v>
      </c>
      <c r="B3113" s="4" t="str">
        <f>VLOOKUP(A3113,Sheet2!$A$2:$R$3432,2,0)</f>
        <v>2025-06-29 21:25:54</v>
      </c>
      <c r="C3113" s="5" t="s">
        <v>25</v>
      </c>
      <c r="D3113" s="6" t="s">
        <v>25</v>
      </c>
      <c r="E3113" s="7">
        <f>VLOOKUP(A3113,Sheet2!$A$2:$R$3432,4,0)</f>
        <v>6375981366</v>
      </c>
      <c r="F3113" s="7" t="str">
        <f>VLOOKUP(A3113,Sheet2!$A$2:$R$3432,3,0)</f>
        <v>NAVEEN</v>
      </c>
      <c r="G3113" s="5" t="s">
        <v>25</v>
      </c>
      <c r="H3113" s="5" t="s">
        <v>25</v>
      </c>
      <c r="I3113" s="5" t="s">
        <v>25</v>
      </c>
      <c r="J3113" s="5" t="s">
        <v>25</v>
      </c>
      <c r="K3113" s="7" t="str">
        <f>VLOOKUP(A3113,Sheet2!$A$2:$R$3432,6,0)</f>
        <v>Suzuki Gixxer </v>
      </c>
      <c r="L3113" s="5" t="s">
        <v>25</v>
      </c>
      <c r="M3113" s="7" t="str">
        <f>VLOOKUP(A3113,Sheet2!$A$2:$R$3432,5,0)</f>
        <v>MH14ER5474</v>
      </c>
      <c r="N3113" s="5" t="s">
        <v>25</v>
      </c>
      <c r="O3113" s="5" t="s">
        <v>25</v>
      </c>
      <c r="P3113" s="6" t="s">
        <v>25</v>
      </c>
      <c r="Q3113" s="5" t="s">
        <v>25</v>
      </c>
      <c r="R3113" s="5" t="s">
        <v>25</v>
      </c>
      <c r="S3113" s="5" t="str">
        <f>VLOOKUP(A3113,Sheet2!$A$2:$R$3432,18,0)</f>
        <v>BGA1110081</v>
      </c>
      <c r="T3113" s="7" t="str">
        <f>VLOOKUP(A3113,Sheet2!$A$2:$R$3432,17,0)</f>
        <v>MB8NG4BAKE811376</v>
      </c>
    </row>
    <row r="3114" ht="15.75" customHeight="1">
      <c r="A3114" s="3" t="s">
        <v>3137</v>
      </c>
      <c r="B3114" s="4" t="str">
        <f>VLOOKUP(A3114,Sheet2!$A$2:$R$3432,2,0)</f>
        <v>2025-05-03 17:22:02</v>
      </c>
      <c r="C3114" s="5" t="s">
        <v>25</v>
      </c>
      <c r="D3114" s="6" t="s">
        <v>25</v>
      </c>
      <c r="E3114" s="7">
        <f>VLOOKUP(A3114,Sheet2!$A$2:$R$3432,4,0)</f>
        <v>7410522850</v>
      </c>
      <c r="F3114" s="7" t="str">
        <f>VLOOKUP(A3114,Sheet2!$A$2:$R$3432,3,0)</f>
        <v>Solar Era</v>
      </c>
      <c r="G3114" s="5" t="s">
        <v>25</v>
      </c>
      <c r="H3114" s="5" t="s">
        <v>25</v>
      </c>
      <c r="I3114" s="5" t="s">
        <v>25</v>
      </c>
      <c r="J3114" s="5" t="s">
        <v>25</v>
      </c>
      <c r="K3114" s="7" t="str">
        <f>VLOOKUP(A3114,Sheet2!$A$2:$R$3432,6,0)</f>
        <v>Hero Splendor NXG</v>
      </c>
      <c r="L3114" s="5" t="s">
        <v>25</v>
      </c>
      <c r="M3114" s="7" t="str">
        <f>VLOOKUP(A3114,Sheet2!$A$2:$R$3432,5,0)</f>
        <v>MH12MC4498</v>
      </c>
      <c r="N3114" s="5" t="s">
        <v>25</v>
      </c>
      <c r="O3114" s="5" t="s">
        <v>25</v>
      </c>
      <c r="P3114" s="6" t="s">
        <v>25</v>
      </c>
      <c r="Q3114" s="5" t="s">
        <v>25</v>
      </c>
      <c r="R3114" s="5" t="s">
        <v>25</v>
      </c>
      <c r="S3114" s="7" t="str">
        <f>VLOOKUP(A3114,Sheet2!$A$2:$R$3432,18,0)</f>
        <v/>
      </c>
      <c r="T3114" s="7" t="str">
        <f>VLOOKUP(A3114,Sheet2!$A$2:$R$3432,17,0)</f>
        <v/>
      </c>
    </row>
    <row r="3115" ht="15.75" customHeight="1">
      <c r="A3115" s="3" t="s">
        <v>3138</v>
      </c>
      <c r="B3115" s="4" t="str">
        <f>VLOOKUP(A3115,Sheet2!$A$2:$R$3432,2,0)</f>
        <v>2025-06-20 17:43:53</v>
      </c>
      <c r="C3115" s="5" t="s">
        <v>25</v>
      </c>
      <c r="D3115" s="6" t="s">
        <v>25</v>
      </c>
      <c r="E3115" s="7">
        <f>VLOOKUP(A3115,Sheet2!$A$2:$R$3432,4,0)</f>
        <v>8085509095</v>
      </c>
      <c r="F3115" s="7" t="str">
        <f>VLOOKUP(A3115,Sheet2!$A$2:$R$3432,3,0)</f>
        <v>Akshay</v>
      </c>
      <c r="G3115" s="5" t="s">
        <v>25</v>
      </c>
      <c r="H3115" s="5" t="s">
        <v>25</v>
      </c>
      <c r="I3115" s="5" t="s">
        <v>25</v>
      </c>
      <c r="J3115" s="5" t="s">
        <v>25</v>
      </c>
      <c r="K3115" s="7" t="str">
        <f>VLOOKUP(A3115,Sheet2!$A$2:$R$3432,6,0)</f>
        <v>Bajaj Pulsar 200 RS</v>
      </c>
      <c r="L3115" s="5" t="s">
        <v>25</v>
      </c>
      <c r="M3115" s="7" t="str">
        <f>VLOOKUP(A3115,Sheet2!$A$2:$R$3432,5,0)</f>
        <v>MH12TG0710</v>
      </c>
      <c r="N3115" s="5" t="s">
        <v>25</v>
      </c>
      <c r="O3115" s="5" t="s">
        <v>25</v>
      </c>
      <c r="P3115" s="6" t="s">
        <v>25</v>
      </c>
      <c r="Q3115" s="5" t="s">
        <v>25</v>
      </c>
      <c r="R3115" s="5" t="s">
        <v>25</v>
      </c>
      <c r="S3115" s="7" t="str">
        <f>VLOOKUP(A3115,Sheet2!$A$2:$R$3432,18,0)</f>
        <v/>
      </c>
      <c r="T3115" s="7" t="str">
        <f>VLOOKUP(A3115,Sheet2!$A$2:$R$3432,17,0)</f>
        <v/>
      </c>
    </row>
    <row r="3116" ht="15.75" customHeight="1">
      <c r="A3116" s="3" t="s">
        <v>3139</v>
      </c>
      <c r="B3116" s="4" t="str">
        <f>VLOOKUP(A3116,Sheet2!$A$2:$R$3432,2,0)</f>
        <v>2025-06-20 20:33:57</v>
      </c>
      <c r="C3116" s="5" t="s">
        <v>25</v>
      </c>
      <c r="D3116" s="6" t="s">
        <v>25</v>
      </c>
      <c r="E3116" s="7">
        <f>VLOOKUP(A3116,Sheet2!$A$2:$R$3432,4,0)</f>
        <v>9028728906</v>
      </c>
      <c r="F3116" s="7" t="str">
        <f>VLOOKUP(A3116,Sheet2!$A$2:$R$3432,3,0)</f>
        <v>Ninad Thakur </v>
      </c>
      <c r="G3116" s="5" t="s">
        <v>25</v>
      </c>
      <c r="H3116" s="5" t="s">
        <v>25</v>
      </c>
      <c r="I3116" s="5" t="s">
        <v>25</v>
      </c>
      <c r="J3116" s="5" t="s">
        <v>25</v>
      </c>
      <c r="K3116" s="7" t="str">
        <f>VLOOKUP(A3116,Sheet2!$A$2:$R$3432,6,0)</f>
        <v>Bajaj Discover 125</v>
      </c>
      <c r="L3116" s="5" t="s">
        <v>25</v>
      </c>
      <c r="M3116" s="7" t="str">
        <f>VLOOKUP(A3116,Sheet2!$A$2:$R$3432,5,0)</f>
        <v>MH14EW7511</v>
      </c>
      <c r="N3116" s="5" t="s">
        <v>25</v>
      </c>
      <c r="O3116" s="5" t="s">
        <v>25</v>
      </c>
      <c r="P3116" s="6" t="s">
        <v>25</v>
      </c>
      <c r="Q3116" s="5" t="s">
        <v>25</v>
      </c>
      <c r="R3116" s="5" t="s">
        <v>25</v>
      </c>
      <c r="S3116" s="5" t="str">
        <f>VLOOKUP(A3116,Sheet2!$A$2:$R$3432,18,0)</f>
        <v>PAZWFM59144</v>
      </c>
      <c r="T3116" s="7" t="str">
        <f>VLOOKUP(A3116,Sheet2!$A$2:$R$3432,17,0)</f>
        <v>MD2A57BZ0FWM02398</v>
      </c>
    </row>
    <row r="3117" ht="15.75" customHeight="1">
      <c r="A3117" s="3" t="s">
        <v>3140</v>
      </c>
      <c r="B3117" s="4" t="str">
        <f>VLOOKUP(A3117,Sheet2!$A$2:$R$3432,2,0)</f>
        <v>2025-06-20 20:33:40</v>
      </c>
      <c r="C3117" s="5" t="s">
        <v>25</v>
      </c>
      <c r="D3117" s="6" t="s">
        <v>25</v>
      </c>
      <c r="E3117" s="7">
        <f>VLOOKUP(A3117,Sheet2!$A$2:$R$3432,4,0)</f>
        <v>7972335286</v>
      </c>
      <c r="F3117" s="7" t="str">
        <f>VLOOKUP(A3117,Sheet2!$A$2:$R$3432,3,0)</f>
        <v>ANUSHREE KALE</v>
      </c>
      <c r="G3117" s="5" t="s">
        <v>25</v>
      </c>
      <c r="H3117" s="5" t="s">
        <v>25</v>
      </c>
      <c r="I3117" s="5" t="s">
        <v>25</v>
      </c>
      <c r="J3117" s="5" t="s">
        <v>25</v>
      </c>
      <c r="K3117" s="7" t="str">
        <f>VLOOKUP(A3117,Sheet2!$A$2:$R$3432,6,0)</f>
        <v>TVS Jupiter BS6</v>
      </c>
      <c r="L3117" s="5" t="s">
        <v>25</v>
      </c>
      <c r="M3117" s="7" t="str">
        <f>VLOOKUP(A3117,Sheet2!$A$2:$R$3432,5,0)</f>
        <v>MH27DK6546</v>
      </c>
      <c r="N3117" s="5" t="s">
        <v>25</v>
      </c>
      <c r="O3117" s="5" t="s">
        <v>25</v>
      </c>
      <c r="P3117" s="6" t="s">
        <v>25</v>
      </c>
      <c r="Q3117" s="5" t="s">
        <v>25</v>
      </c>
      <c r="R3117" s="5" t="s">
        <v>25</v>
      </c>
      <c r="S3117" s="5" t="str">
        <f>VLOOKUP(A3117,Sheet2!$A$2:$R$3432,18,0)</f>
        <v>EG5BP1903585</v>
      </c>
      <c r="T3117" s="7" t="str">
        <f>VLOOKUP(A3117,Sheet2!$A$2:$R$3432,17,0)</f>
        <v>MF626CG57PB34157</v>
      </c>
    </row>
    <row r="3118" ht="15.75" customHeight="1">
      <c r="A3118" s="3" t="s">
        <v>3141</v>
      </c>
      <c r="B3118" s="4" t="str">
        <f>VLOOKUP(A3118,Sheet2!$A$2:$R$3432,2,0)</f>
        <v>2025-06-20 17:42:02</v>
      </c>
      <c r="C3118" s="5" t="s">
        <v>25</v>
      </c>
      <c r="D3118" s="6" t="s">
        <v>25</v>
      </c>
      <c r="E3118" s="7">
        <f>VLOOKUP(A3118,Sheet2!$A$2:$R$3432,4,0)</f>
        <v>9503093200</v>
      </c>
      <c r="F3118" s="7" t="str">
        <f>VLOOKUP(A3118,Sheet2!$A$2:$R$3432,3,0)</f>
        <v>Nilesh Shinde</v>
      </c>
      <c r="G3118" s="5" t="s">
        <v>25</v>
      </c>
      <c r="H3118" s="5" t="s">
        <v>25</v>
      </c>
      <c r="I3118" s="5" t="s">
        <v>25</v>
      </c>
      <c r="J3118" s="5" t="s">
        <v>25</v>
      </c>
      <c r="K3118" s="7" t="str">
        <f>VLOOKUP(A3118,Sheet2!$A$2:$R$3432,6,0)</f>
        <v>Honda Activa 110</v>
      </c>
      <c r="L3118" s="5" t="s">
        <v>25</v>
      </c>
      <c r="M3118" s="7" t="str">
        <f>VLOOKUP(A3118,Sheet2!$A$2:$R$3432,5,0)</f>
        <v>MH12FN3057</v>
      </c>
      <c r="N3118" s="5" t="s">
        <v>25</v>
      </c>
      <c r="O3118" s="5" t="s">
        <v>25</v>
      </c>
      <c r="P3118" s="6" t="s">
        <v>25</v>
      </c>
      <c r="Q3118" s="5" t="s">
        <v>25</v>
      </c>
      <c r="R3118" s="5" t="s">
        <v>25</v>
      </c>
      <c r="S3118" s="5" t="str">
        <f>VLOOKUP(A3118,Sheet2!$A$2:$R$3432,18,0)</f>
        <v>JC44E0183236</v>
      </c>
      <c r="T3118" s="7" t="str">
        <f>VLOOKUP(A3118,Sheet2!$A$2:$R$3432,17,0)</f>
        <v>ME4JC445G98183672</v>
      </c>
    </row>
    <row r="3119" ht="15.75" customHeight="1">
      <c r="A3119" s="3" t="s">
        <v>3142</v>
      </c>
      <c r="B3119" s="4" t="str">
        <f>VLOOKUP(A3119,Sheet2!$A$2:$R$3432,2,0)</f>
        <v>2025-06-20 17:40:32</v>
      </c>
      <c r="C3119" s="5" t="s">
        <v>25</v>
      </c>
      <c r="D3119" s="6" t="s">
        <v>25</v>
      </c>
      <c r="E3119" s="7">
        <f>VLOOKUP(A3119,Sheet2!$A$2:$R$3432,4,0)</f>
        <v>7385401705</v>
      </c>
      <c r="F3119" s="7" t="str">
        <f>VLOOKUP(A3119,Sheet2!$A$2:$R$3432,3,0)</f>
        <v>Poonam</v>
      </c>
      <c r="G3119" s="5" t="s">
        <v>25</v>
      </c>
      <c r="H3119" s="5" t="s">
        <v>25</v>
      </c>
      <c r="I3119" s="5" t="s">
        <v>25</v>
      </c>
      <c r="J3119" s="5" t="s">
        <v>25</v>
      </c>
      <c r="K3119" s="7" t="str">
        <f>VLOOKUP(A3119,Sheet2!$A$2:$R$3432,6,0)</f>
        <v>TVS Jupiter </v>
      </c>
      <c r="L3119" s="5" t="s">
        <v>25</v>
      </c>
      <c r="M3119" s="7" t="str">
        <f>VLOOKUP(A3119,Sheet2!$A$2:$R$3432,5,0)</f>
        <v>MH25AV9156</v>
      </c>
      <c r="N3119" s="5" t="s">
        <v>25</v>
      </c>
      <c r="O3119" s="5" t="s">
        <v>25</v>
      </c>
      <c r="P3119" s="6" t="s">
        <v>25</v>
      </c>
      <c r="Q3119" s="5" t="s">
        <v>25</v>
      </c>
      <c r="R3119" s="5" t="s">
        <v>25</v>
      </c>
      <c r="S3119" s="7" t="str">
        <f>VLOOKUP(A3119,Sheet2!$A$2:$R$3432,18,0)</f>
        <v/>
      </c>
      <c r="T3119" s="7" t="str">
        <f>VLOOKUP(A3119,Sheet2!$A$2:$R$3432,17,0)</f>
        <v>MD626EG58N1B66043</v>
      </c>
    </row>
    <row r="3120" ht="15.75" customHeight="1">
      <c r="A3120" s="3" t="s">
        <v>3143</v>
      </c>
      <c r="B3120" s="4" t="str">
        <f>VLOOKUP(A3120,Sheet2!$A$2:$R$3432,2,0)</f>
        <v>2025-06-20 17:47:15</v>
      </c>
      <c r="C3120" s="5" t="s">
        <v>25</v>
      </c>
      <c r="D3120" s="6" t="s">
        <v>25</v>
      </c>
      <c r="E3120" s="7">
        <f>VLOOKUP(A3120,Sheet2!$A$2:$R$3432,4,0)</f>
        <v>9579717727</v>
      </c>
      <c r="F3120" s="7" t="str">
        <f>VLOOKUP(A3120,Sheet2!$A$2:$R$3432,3,0)</f>
        <v>Girish Kinikar</v>
      </c>
      <c r="G3120" s="5" t="s">
        <v>25</v>
      </c>
      <c r="H3120" s="5" t="s">
        <v>25</v>
      </c>
      <c r="I3120" s="5" t="s">
        <v>25</v>
      </c>
      <c r="J3120" s="5" t="s">
        <v>25</v>
      </c>
      <c r="K3120" s="7" t="str">
        <f>VLOOKUP(A3120,Sheet2!$A$2:$R$3432,6,0)</f>
        <v>Honda Activa 3G</v>
      </c>
      <c r="L3120" s="5" t="s">
        <v>25</v>
      </c>
      <c r="M3120" s="7" t="str">
        <f>VLOOKUP(A3120,Sheet2!$A$2:$R$3432,5,0)</f>
        <v>MH19CD1462</v>
      </c>
      <c r="N3120" s="5" t="s">
        <v>25</v>
      </c>
      <c r="O3120" s="5" t="s">
        <v>25</v>
      </c>
      <c r="P3120" s="6" t="s">
        <v>25</v>
      </c>
      <c r="Q3120" s="5" t="s">
        <v>25</v>
      </c>
      <c r="R3120" s="5" t="s">
        <v>25</v>
      </c>
      <c r="S3120" s="5" t="str">
        <f>VLOOKUP(A3120,Sheet2!$A$2:$R$3432,18,0)</f>
        <v>JF50ET2350274</v>
      </c>
      <c r="T3120" s="7" t="str">
        <f>VLOOKUP(A3120,Sheet2!$A$2:$R$3432,17,0)</f>
        <v>ME4JF504EFT349427</v>
      </c>
    </row>
    <row r="3121" ht="15.75" customHeight="1">
      <c r="A3121" s="3" t="s">
        <v>3144</v>
      </c>
      <c r="B3121" s="4" t="str">
        <f>VLOOKUP(A3121,Sheet2!$A$2:$R$3432,2,0)</f>
        <v>2025-06-20 18:14:25</v>
      </c>
      <c r="C3121" s="5" t="s">
        <v>25</v>
      </c>
      <c r="D3121" s="6" t="s">
        <v>25</v>
      </c>
      <c r="E3121" s="7">
        <f>VLOOKUP(A3121,Sheet2!$A$2:$R$3432,4,0)</f>
        <v>9970012660</v>
      </c>
      <c r="F3121" s="7" t="str">
        <f>VLOOKUP(A3121,Sheet2!$A$2:$R$3432,3,0)</f>
        <v>Raunak</v>
      </c>
      <c r="G3121" s="5" t="s">
        <v>25</v>
      </c>
      <c r="H3121" s="5" t="s">
        <v>25</v>
      </c>
      <c r="I3121" s="5" t="s">
        <v>25</v>
      </c>
      <c r="J3121" s="5" t="s">
        <v>25</v>
      </c>
      <c r="K3121" s="7" t="str">
        <f>VLOOKUP(A3121,Sheet2!$A$2:$R$3432,6,0)</f>
        <v>TVS NTorq 125</v>
      </c>
      <c r="L3121" s="5" t="s">
        <v>25</v>
      </c>
      <c r="M3121" s="7" t="str">
        <f>VLOOKUP(A3121,Sheet2!$A$2:$R$3432,5,0)</f>
        <v>MH01CZ8369</v>
      </c>
      <c r="N3121" s="5" t="s">
        <v>25</v>
      </c>
      <c r="O3121" s="5" t="s">
        <v>25</v>
      </c>
      <c r="P3121" s="6" t="s">
        <v>25</v>
      </c>
      <c r="Q3121" s="5" t="s">
        <v>25</v>
      </c>
      <c r="R3121" s="5" t="s">
        <v>25</v>
      </c>
      <c r="S3121" s="5" t="str">
        <f>VLOOKUP(A3121,Sheet2!$A$2:$R$3432,18,0)</f>
        <v>SG7HP2500151</v>
      </c>
      <c r="T3121" s="7" t="str">
        <f>VLOOKUP(A3121,Sheet2!$A$2:$R$3432,17,0)</f>
        <v>MD626A67552A00576</v>
      </c>
    </row>
    <row r="3122" ht="15.75" customHeight="1">
      <c r="A3122" s="3" t="s">
        <v>3145</v>
      </c>
      <c r="B3122" s="4" t="str">
        <f>VLOOKUP(A3122,Sheet2!$A$2:$R$3432,2,0)</f>
        <v>2025-06-20 20:33:18</v>
      </c>
      <c r="C3122" s="5" t="s">
        <v>25</v>
      </c>
      <c r="D3122" s="6" t="s">
        <v>25</v>
      </c>
      <c r="E3122" s="7">
        <f>VLOOKUP(A3122,Sheet2!$A$2:$R$3432,4,0)</f>
        <v>9881634714</v>
      </c>
      <c r="F3122" s="7" t="str">
        <f>VLOOKUP(A3122,Sheet2!$A$2:$R$3432,3,0)</f>
        <v>Parshuram Sable</v>
      </c>
      <c r="G3122" s="5" t="s">
        <v>25</v>
      </c>
      <c r="H3122" s="5" t="s">
        <v>25</v>
      </c>
      <c r="I3122" s="5" t="s">
        <v>25</v>
      </c>
      <c r="J3122" s="5" t="s">
        <v>25</v>
      </c>
      <c r="K3122" s="7" t="str">
        <f>VLOOKUP(A3122,Sheet2!$A$2:$R$3432,6,0)</f>
        <v>Honda Twister </v>
      </c>
      <c r="L3122" s="5" t="s">
        <v>25</v>
      </c>
      <c r="M3122" s="7" t="str">
        <f>VLOOKUP(A3122,Sheet2!$A$2:$R$3432,5,0)</f>
        <v>MH12GW7642</v>
      </c>
      <c r="N3122" s="5" t="s">
        <v>25</v>
      </c>
      <c r="O3122" s="5" t="s">
        <v>25</v>
      </c>
      <c r="P3122" s="6" t="s">
        <v>25</v>
      </c>
      <c r="Q3122" s="5" t="s">
        <v>25</v>
      </c>
      <c r="R3122" s="5" t="s">
        <v>25</v>
      </c>
      <c r="S3122" s="5" t="str">
        <f>VLOOKUP(A3122,Sheet2!$A$2:$R$3432,18,0)</f>
        <v>JC47F0154763</v>
      </c>
      <c r="T3122" s="7" t="str">
        <f>VLOOKUP(A3122,Sheet2!$A$2:$R$3432,17,0)</f>
        <v>ME4JC472AB8099329</v>
      </c>
    </row>
    <row r="3123" ht="15.75" customHeight="1">
      <c r="A3123" s="3" t="s">
        <v>3146</v>
      </c>
      <c r="B3123" s="4" t="str">
        <f>VLOOKUP(A3123,Sheet2!$A$2:$R$3432,2,0)</f>
        <v>2025-06-20 20:36:05</v>
      </c>
      <c r="C3123" s="5" t="s">
        <v>25</v>
      </c>
      <c r="D3123" s="6" t="s">
        <v>25</v>
      </c>
      <c r="E3123" s="7">
        <f>VLOOKUP(A3123,Sheet2!$A$2:$R$3432,4,0)</f>
        <v>9932854411</v>
      </c>
      <c r="F3123" s="7" t="str">
        <f>VLOOKUP(A3123,Sheet2!$A$2:$R$3432,3,0)</f>
        <v>Arjit</v>
      </c>
      <c r="G3123" s="5" t="s">
        <v>25</v>
      </c>
      <c r="H3123" s="5" t="s">
        <v>25</v>
      </c>
      <c r="I3123" s="5" t="s">
        <v>25</v>
      </c>
      <c r="J3123" s="5" t="s">
        <v>25</v>
      </c>
      <c r="K3123" s="7" t="str">
        <f>VLOOKUP(A3123,Sheet2!$A$2:$R$3432,6,0)</f>
        <v>Suzuki Gixxer </v>
      </c>
      <c r="L3123" s="5" t="s">
        <v>25</v>
      </c>
      <c r="M3123" s="7" t="str">
        <f>VLOOKUP(A3123,Sheet2!$A$2:$R$3432,5,0)</f>
        <v>MH14FV7402</v>
      </c>
      <c r="N3123" s="5" t="s">
        <v>25</v>
      </c>
      <c r="O3123" s="5" t="s">
        <v>25</v>
      </c>
      <c r="P3123" s="6" t="s">
        <v>25</v>
      </c>
      <c r="Q3123" s="5" t="s">
        <v>25</v>
      </c>
      <c r="R3123" s="5" t="s">
        <v>25</v>
      </c>
      <c r="S3123" s="7" t="str">
        <f>VLOOKUP(A3123,Sheet2!$A$2:$R$3432,18,0)</f>
        <v/>
      </c>
      <c r="T3123" s="7" t="str">
        <f>VLOOKUP(A3123,Sheet2!$A$2:$R$3432,17,0)</f>
        <v/>
      </c>
    </row>
    <row r="3124" ht="15.75" customHeight="1">
      <c r="A3124" s="3" t="s">
        <v>3147</v>
      </c>
      <c r="B3124" s="4" t="str">
        <f>VLOOKUP(A3124,Sheet2!$A$2:$R$3432,2,0)</f>
        <v>2025-05-26 20:19:38</v>
      </c>
      <c r="C3124" s="5" t="s">
        <v>25</v>
      </c>
      <c r="D3124" s="6" t="s">
        <v>25</v>
      </c>
      <c r="E3124" s="7">
        <f>VLOOKUP(A3124,Sheet2!$A$2:$R$3432,4,0)</f>
        <v>9834021641</v>
      </c>
      <c r="F3124" s="7" t="str">
        <f>VLOOKUP(A3124,Sheet2!$A$2:$R$3432,3,0)</f>
        <v>Himanshu Deshpande </v>
      </c>
      <c r="G3124" s="5" t="s">
        <v>25</v>
      </c>
      <c r="H3124" s="5" t="s">
        <v>25</v>
      </c>
      <c r="I3124" s="5" t="s">
        <v>25</v>
      </c>
      <c r="J3124" s="5" t="s">
        <v>25</v>
      </c>
      <c r="K3124" s="7" t="str">
        <f>VLOOKUP(A3124,Sheet2!$A$2:$R$3432,6,0)</f>
        <v>Honda Hornet </v>
      </c>
      <c r="L3124" s="5" t="s">
        <v>25</v>
      </c>
      <c r="M3124" s="7" t="str">
        <f>VLOOKUP(A3124,Sheet2!$A$2:$R$3432,5,0)</f>
        <v>MH20FF9210</v>
      </c>
      <c r="N3124" s="5" t="s">
        <v>25</v>
      </c>
      <c r="O3124" s="5" t="s">
        <v>25</v>
      </c>
      <c r="P3124" s="6" t="s">
        <v>25</v>
      </c>
      <c r="Q3124" s="5" t="s">
        <v>25</v>
      </c>
      <c r="R3124" s="5" t="s">
        <v>25</v>
      </c>
      <c r="S3124" s="5" t="str">
        <f>VLOOKUP(A3124,Sheet2!$A$2:$R$3432,18,0)</f>
        <v>KC23E85063919</v>
      </c>
      <c r="T3124" s="7" t="str">
        <f>VLOOKUP(A3124,Sheet2!$A$2:$R$3432,17,0)</f>
        <v>ME4KC23KMJ8005503</v>
      </c>
    </row>
    <row r="3125" ht="15.75" customHeight="1">
      <c r="A3125" s="3" t="s">
        <v>3148</v>
      </c>
      <c r="B3125" s="4" t="str">
        <f>VLOOKUP(A3125,Sheet2!$A$2:$R$3432,2,0)</f>
        <v>2025-05-26 20:18:28</v>
      </c>
      <c r="C3125" s="5" t="s">
        <v>25</v>
      </c>
      <c r="D3125" s="6" t="s">
        <v>25</v>
      </c>
      <c r="E3125" s="7">
        <f>VLOOKUP(A3125,Sheet2!$A$2:$R$3432,4,0)</f>
        <v>9552890983</v>
      </c>
      <c r="F3125" s="7" t="str">
        <f>VLOOKUP(A3125,Sheet2!$A$2:$R$3432,3,0)</f>
        <v>SANTOSH BALBAL</v>
      </c>
      <c r="G3125" s="5" t="s">
        <v>25</v>
      </c>
      <c r="H3125" s="5" t="s">
        <v>25</v>
      </c>
      <c r="I3125" s="5" t="s">
        <v>25</v>
      </c>
      <c r="J3125" s="5" t="s">
        <v>25</v>
      </c>
      <c r="K3125" s="7" t="str">
        <f>VLOOKUP(A3125,Sheet2!$A$2:$R$3432,6,0)</f>
        <v>Suzuki Access 125</v>
      </c>
      <c r="L3125" s="5" t="s">
        <v>25</v>
      </c>
      <c r="M3125" s="7" t="str">
        <f>VLOOKUP(A3125,Sheet2!$A$2:$R$3432,5,0)</f>
        <v>MH14HV7248</v>
      </c>
      <c r="N3125" s="5" t="s">
        <v>25</v>
      </c>
      <c r="O3125" s="5" t="s">
        <v>25</v>
      </c>
      <c r="P3125" s="6" t="s">
        <v>25</v>
      </c>
      <c r="Q3125" s="5" t="s">
        <v>25</v>
      </c>
      <c r="R3125" s="5" t="s">
        <v>25</v>
      </c>
      <c r="S3125" s="5" t="str">
        <f>VLOOKUP(A3125,Sheet2!$A$2:$R$3432,18,0)</f>
        <v>AF215297633</v>
      </c>
      <c r="T3125" s="7" t="str">
        <f>VLOOKUP(A3125,Sheet2!$A$2:$R$3432,17,0)</f>
        <v>MB8DPHA6K8E459</v>
      </c>
    </row>
    <row r="3126" ht="15.75" customHeight="1">
      <c r="A3126" s="3" t="s">
        <v>3149</v>
      </c>
      <c r="B3126" s="4" t="str">
        <f>VLOOKUP(A3126,Sheet2!$A$2:$R$3432,2,0)</f>
        <v>2025-05-26 20:17:28</v>
      </c>
      <c r="C3126" s="5" t="s">
        <v>25</v>
      </c>
      <c r="D3126" s="6" t="s">
        <v>25</v>
      </c>
      <c r="E3126" s="7">
        <f>VLOOKUP(A3126,Sheet2!$A$2:$R$3432,4,0)</f>
        <v>8240347763</v>
      </c>
      <c r="F3126" s="7" t="str">
        <f>VLOOKUP(A3126,Sheet2!$A$2:$R$3432,3,0)</f>
        <v>Subhodeep Chaterjee</v>
      </c>
      <c r="G3126" s="5" t="s">
        <v>25</v>
      </c>
      <c r="H3126" s="5" t="s">
        <v>25</v>
      </c>
      <c r="I3126" s="5" t="s">
        <v>25</v>
      </c>
      <c r="J3126" s="5" t="s">
        <v>25</v>
      </c>
      <c r="K3126" s="7" t="str">
        <f>VLOOKUP(A3126,Sheet2!$A$2:$R$3432,6,0)</f>
        <v>TVS Jupiter 125</v>
      </c>
      <c r="L3126" s="5" t="s">
        <v>25</v>
      </c>
      <c r="M3126" s="7" t="str">
        <f>VLOOKUP(A3126,Sheet2!$A$2:$R$3432,5,0)</f>
        <v>WB01AV8334</v>
      </c>
      <c r="N3126" s="5" t="s">
        <v>25</v>
      </c>
      <c r="O3126" s="5" t="s">
        <v>25</v>
      </c>
      <c r="P3126" s="6" t="s">
        <v>25</v>
      </c>
      <c r="Q3126" s="5" t="s">
        <v>25</v>
      </c>
      <c r="R3126" s="5" t="s">
        <v>25</v>
      </c>
      <c r="S3126" s="5" t="str">
        <f>VLOOKUP(A3126,Sheet2!$A$2:$R$3432,18,0)</f>
        <v>BK4BP1609666</v>
      </c>
      <c r="T3126" s="7" t="str">
        <f>VLOOKUP(A3126,Sheet2!$A$2:$R$3432,17,0)</f>
        <v>MD626AK46P1B11441</v>
      </c>
    </row>
    <row r="3127" ht="15.75" customHeight="1">
      <c r="A3127" s="3" t="s">
        <v>3150</v>
      </c>
      <c r="B3127" s="4" t="str">
        <f>VLOOKUP(A3127,Sheet2!$A$2:$R$3432,2,0)</f>
        <v>2025-05-26 20:16:55</v>
      </c>
      <c r="C3127" s="5" t="s">
        <v>25</v>
      </c>
      <c r="D3127" s="6" t="s">
        <v>25</v>
      </c>
      <c r="E3127" s="7">
        <f>VLOOKUP(A3127,Sheet2!$A$2:$R$3432,4,0)</f>
        <v>9604879914</v>
      </c>
      <c r="F3127" s="7" t="str">
        <f>VLOOKUP(A3127,Sheet2!$A$2:$R$3432,3,0)</f>
        <v>Abhijeet Kamthe</v>
      </c>
      <c r="G3127" s="5" t="s">
        <v>25</v>
      </c>
      <c r="H3127" s="5" t="s">
        <v>25</v>
      </c>
      <c r="I3127" s="5" t="s">
        <v>25</v>
      </c>
      <c r="J3127" s="5" t="s">
        <v>25</v>
      </c>
      <c r="K3127" s="7" t="str">
        <f>VLOOKUP(A3127,Sheet2!$A$2:$R$3432,6,0)</f>
        <v>Hero Splendor </v>
      </c>
      <c r="L3127" s="5" t="s">
        <v>25</v>
      </c>
      <c r="M3127" s="7" t="str">
        <f>VLOOKUP(A3127,Sheet2!$A$2:$R$3432,5,0)</f>
        <v>MH14JK9068</v>
      </c>
      <c r="N3127" s="5" t="s">
        <v>25</v>
      </c>
      <c r="O3127" s="5" t="s">
        <v>25</v>
      </c>
      <c r="P3127" s="6" t="s">
        <v>25</v>
      </c>
      <c r="Q3127" s="5" t="s">
        <v>25</v>
      </c>
      <c r="R3127" s="5" t="s">
        <v>25</v>
      </c>
      <c r="S3127" s="5" t="str">
        <f>VLOOKUP(A3127,Sheet2!$A$2:$R$3432,18,0)</f>
        <v>HA11EMSA09492</v>
      </c>
      <c r="T3127" s="7" t="str">
        <f>VLOOKUP(A3127,Sheet2!$A$2:$R$3432,17,0)</f>
        <v>MBLHAW125M5A42968</v>
      </c>
    </row>
    <row r="3128" ht="15.75" customHeight="1">
      <c r="A3128" s="3" t="s">
        <v>3151</v>
      </c>
      <c r="B3128" s="4" t="str">
        <f>VLOOKUP(A3128,Sheet2!$A$2:$R$3432,2,0)</f>
        <v>2025-05-26 20:16:30</v>
      </c>
      <c r="C3128" s="5" t="s">
        <v>25</v>
      </c>
      <c r="D3128" s="6" t="s">
        <v>25</v>
      </c>
      <c r="E3128" s="7">
        <f>VLOOKUP(A3128,Sheet2!$A$2:$R$3432,4,0)</f>
        <v>9511685156</v>
      </c>
      <c r="F3128" s="7" t="str">
        <f>VLOOKUP(A3128,Sheet2!$A$2:$R$3432,3,0)</f>
        <v>Gunjan</v>
      </c>
      <c r="G3128" s="5" t="s">
        <v>25</v>
      </c>
      <c r="H3128" s="5" t="s">
        <v>25</v>
      </c>
      <c r="I3128" s="5" t="s">
        <v>25</v>
      </c>
      <c r="J3128" s="5" t="s">
        <v>25</v>
      </c>
      <c r="K3128" s="7" t="str">
        <f>VLOOKUP(A3128,Sheet2!$A$2:$R$3432,6,0)</f>
        <v>Honda Activa 3G</v>
      </c>
      <c r="L3128" s="5" t="s">
        <v>25</v>
      </c>
      <c r="M3128" s="7" t="str">
        <f>VLOOKUP(A3128,Sheet2!$A$2:$R$3432,5,0)</f>
        <v>MH35AB5647</v>
      </c>
      <c r="N3128" s="5" t="s">
        <v>25</v>
      </c>
      <c r="O3128" s="5" t="s">
        <v>25</v>
      </c>
      <c r="P3128" s="6" t="s">
        <v>25</v>
      </c>
      <c r="Q3128" s="5" t="s">
        <v>25</v>
      </c>
      <c r="R3128" s="5" t="s">
        <v>25</v>
      </c>
      <c r="S3128" s="7" t="str">
        <f>VLOOKUP(A3128,Sheet2!$A$2:$R$3432,18,0)</f>
        <v/>
      </c>
      <c r="T3128" s="7" t="str">
        <f>VLOOKUP(A3128,Sheet2!$A$2:$R$3432,17,0)</f>
        <v/>
      </c>
    </row>
    <row r="3129" ht="15.75" customHeight="1">
      <c r="A3129" s="3" t="s">
        <v>3152</v>
      </c>
      <c r="B3129" s="4" t="str">
        <f>VLOOKUP(A3129,Sheet2!$A$2:$R$3432,2,0)</f>
        <v>2025-05-26 20:19:15</v>
      </c>
      <c r="C3129" s="5" t="s">
        <v>25</v>
      </c>
      <c r="D3129" s="6" t="s">
        <v>25</v>
      </c>
      <c r="E3129" s="7">
        <f>VLOOKUP(A3129,Sheet2!$A$2:$R$3432,4,0)</f>
        <v>7978737705</v>
      </c>
      <c r="F3129" s="7" t="str">
        <f>VLOOKUP(A3129,Sheet2!$A$2:$R$3432,3,0)</f>
        <v>AYUT NAYAK</v>
      </c>
      <c r="G3129" s="5" t="s">
        <v>25</v>
      </c>
      <c r="H3129" s="5" t="s">
        <v>25</v>
      </c>
      <c r="I3129" s="5" t="s">
        <v>25</v>
      </c>
      <c r="J3129" s="5" t="s">
        <v>25</v>
      </c>
      <c r="K3129" s="7" t="str">
        <f>VLOOKUP(A3129,Sheet2!$A$2:$R$3432,6,0)</f>
        <v>Suzuki Gixxer SF</v>
      </c>
      <c r="L3129" s="5" t="s">
        <v>25</v>
      </c>
      <c r="M3129" s="7" t="str">
        <f>VLOOKUP(A3129,Sheet2!$A$2:$R$3432,5,0)</f>
        <v>OD02Y6633</v>
      </c>
      <c r="N3129" s="5" t="s">
        <v>25</v>
      </c>
      <c r="O3129" s="5" t="s">
        <v>25</v>
      </c>
      <c r="P3129" s="6" t="s">
        <v>25</v>
      </c>
      <c r="Q3129" s="5" t="s">
        <v>25</v>
      </c>
      <c r="R3129" s="5" t="s">
        <v>25</v>
      </c>
      <c r="S3129" s="5" t="str">
        <f>VLOOKUP(A3129,Sheet2!$A$2:$R$3432,18,0)</f>
        <v>BGAA178723</v>
      </c>
      <c r="T3129" s="7" t="str">
        <f>VLOOKUP(A3129,Sheet2!$A$2:$R$3432,17,0)</f>
        <v>RUSTY FRAME</v>
      </c>
    </row>
    <row r="3130" ht="15.75" customHeight="1">
      <c r="A3130" s="3" t="s">
        <v>3153</v>
      </c>
      <c r="B3130" s="4" t="str">
        <f>VLOOKUP(A3130,Sheet2!$A$2:$R$3432,2,0)</f>
        <v>2025-06-22 21:05:50</v>
      </c>
      <c r="C3130" s="5" t="s">
        <v>25</v>
      </c>
      <c r="D3130" s="6" t="s">
        <v>25</v>
      </c>
      <c r="E3130" s="7">
        <f>VLOOKUP(A3130,Sheet2!$A$2:$R$3432,4,0)</f>
        <v>7821006066</v>
      </c>
      <c r="F3130" s="7" t="str">
        <f>VLOOKUP(A3130,Sheet2!$A$2:$R$3432,3,0)</f>
        <v>Abhishekh</v>
      </c>
      <c r="G3130" s="5" t="s">
        <v>25</v>
      </c>
      <c r="H3130" s="5" t="s">
        <v>25</v>
      </c>
      <c r="I3130" s="5" t="s">
        <v>25</v>
      </c>
      <c r="J3130" s="5" t="s">
        <v>25</v>
      </c>
      <c r="K3130" s="7" t="str">
        <f>VLOOKUP(A3130,Sheet2!$A$2:$R$3432,6,0)</f>
        <v>TVS Jupiter </v>
      </c>
      <c r="L3130" s="5" t="s">
        <v>25</v>
      </c>
      <c r="M3130" s="7" t="str">
        <f>VLOOKUP(A3130,Sheet2!$A$2:$R$3432,5,0)</f>
        <v>MH14GZ5444</v>
      </c>
      <c r="N3130" s="5" t="s">
        <v>25</v>
      </c>
      <c r="O3130" s="5" t="s">
        <v>25</v>
      </c>
      <c r="P3130" s="6" t="s">
        <v>25</v>
      </c>
      <c r="Q3130" s="5" t="s">
        <v>25</v>
      </c>
      <c r="R3130" s="5" t="s">
        <v>25</v>
      </c>
      <c r="S3130" s="5" t="str">
        <f>VLOOKUP(A3130,Sheet2!$A$2:$R$3432,18,0)</f>
        <v>EG4EJ1650486</v>
      </c>
      <c r="T3130" s="7" t="str">
        <f>VLOOKUP(A3130,Sheet2!$A$2:$R$3432,17,0)</f>
        <v>MD626EG44J1E06366</v>
      </c>
    </row>
    <row r="3131" ht="15.75" customHeight="1">
      <c r="A3131" s="3" t="s">
        <v>3154</v>
      </c>
      <c r="B3131" s="4" t="str">
        <f>VLOOKUP(A3131,Sheet2!$A$2:$R$3432,2,0)</f>
        <v>2025-06-22 13:23:31</v>
      </c>
      <c r="C3131" s="5" t="s">
        <v>25</v>
      </c>
      <c r="D3131" s="6" t="s">
        <v>25</v>
      </c>
      <c r="E3131" s="7">
        <f>VLOOKUP(A3131,Sheet2!$A$2:$R$3432,4,0)</f>
        <v>9893727778</v>
      </c>
      <c r="F3131" s="7" t="str">
        <f>VLOOKUP(A3131,Sheet2!$A$2:$R$3432,3,0)</f>
        <v>Prinkesh Bhargav</v>
      </c>
      <c r="G3131" s="5" t="s">
        <v>25</v>
      </c>
      <c r="H3131" s="5" t="s">
        <v>25</v>
      </c>
      <c r="I3131" s="5" t="s">
        <v>25</v>
      </c>
      <c r="J3131" s="5" t="s">
        <v>25</v>
      </c>
      <c r="K3131" s="7" t="str">
        <f>VLOOKUP(A3131,Sheet2!$A$2:$R$3432,6,0)</f>
        <v>Bajaj Pulsar 220</v>
      </c>
      <c r="L3131" s="5" t="s">
        <v>25</v>
      </c>
      <c r="M3131" s="7" t="str">
        <f>VLOOKUP(A3131,Sheet2!$A$2:$R$3432,5,0)</f>
        <v>MH14FL1303</v>
      </c>
      <c r="N3131" s="5" t="s">
        <v>25</v>
      </c>
      <c r="O3131" s="5" t="s">
        <v>25</v>
      </c>
      <c r="P3131" s="6" t="s">
        <v>25</v>
      </c>
      <c r="Q3131" s="5" t="s">
        <v>25</v>
      </c>
      <c r="R3131" s="5" t="s">
        <v>25</v>
      </c>
      <c r="S3131" s="7" t="str">
        <f>VLOOKUP(A3131,Sheet2!$A$2:$R$3432,18,0)</f>
        <v/>
      </c>
      <c r="T3131" s="7" t="str">
        <f>VLOOKUP(A3131,Sheet2!$A$2:$R$3432,17,0)</f>
        <v/>
      </c>
    </row>
    <row r="3132" ht="15.75" customHeight="1">
      <c r="A3132" s="3" t="s">
        <v>3155</v>
      </c>
      <c r="B3132" s="4" t="str">
        <f>VLOOKUP(A3132,Sheet2!$A$2:$R$3432,2,0)</f>
        <v>2025-06-22 15:35:19</v>
      </c>
      <c r="C3132" s="5" t="s">
        <v>25</v>
      </c>
      <c r="D3132" s="6" t="s">
        <v>25</v>
      </c>
      <c r="E3132" s="7">
        <f>VLOOKUP(A3132,Sheet2!$A$2:$R$3432,4,0)</f>
        <v>7798004068</v>
      </c>
      <c r="F3132" s="7" t="str">
        <f>VLOOKUP(A3132,Sheet2!$A$2:$R$3432,3,0)</f>
        <v>PRATHAMESH PETEKAR</v>
      </c>
      <c r="G3132" s="5" t="s">
        <v>25</v>
      </c>
      <c r="H3132" s="5" t="s">
        <v>25</v>
      </c>
      <c r="I3132" s="5" t="s">
        <v>25</v>
      </c>
      <c r="J3132" s="5" t="s">
        <v>25</v>
      </c>
      <c r="K3132" s="7" t="str">
        <f>VLOOKUP(A3132,Sheet2!$A$2:$R$3432,6,0)</f>
        <v>Honda Activa 110</v>
      </c>
      <c r="L3132" s="5" t="s">
        <v>25</v>
      </c>
      <c r="M3132" s="7" t="str">
        <f>VLOOKUP(A3132,Sheet2!$A$2:$R$3432,5,0)</f>
        <v>MH22AG2643</v>
      </c>
      <c r="N3132" s="5" t="s">
        <v>25</v>
      </c>
      <c r="O3132" s="5" t="s">
        <v>25</v>
      </c>
      <c r="P3132" s="6" t="s">
        <v>25</v>
      </c>
      <c r="Q3132" s="5" t="s">
        <v>25</v>
      </c>
      <c r="R3132" s="5" t="s">
        <v>25</v>
      </c>
      <c r="S3132" s="7" t="str">
        <f>VLOOKUP(A3132,Sheet2!$A$2:$R$3432,18,0)</f>
        <v/>
      </c>
      <c r="T3132" s="7" t="str">
        <f>VLOOKUP(A3132,Sheet2!$A$2:$R$3432,17,0)</f>
        <v/>
      </c>
    </row>
    <row r="3133" ht="15.75" customHeight="1">
      <c r="A3133" s="3" t="s">
        <v>3156</v>
      </c>
      <c r="B3133" s="4" t="str">
        <f>VLOOKUP(A3133,Sheet2!$A$2:$R$3432,2,0)</f>
        <v>2025-06-22 13:12:13</v>
      </c>
      <c r="C3133" s="5" t="s">
        <v>25</v>
      </c>
      <c r="D3133" s="6" t="s">
        <v>25</v>
      </c>
      <c r="E3133" s="7">
        <f>VLOOKUP(A3133,Sheet2!$A$2:$R$3432,4,0)</f>
        <v>8007500125</v>
      </c>
      <c r="F3133" s="7" t="str">
        <f>VLOOKUP(A3133,Sheet2!$A$2:$R$3432,3,0)</f>
        <v>Sairaj</v>
      </c>
      <c r="G3133" s="5" t="s">
        <v>25</v>
      </c>
      <c r="H3133" s="5" t="s">
        <v>25</v>
      </c>
      <c r="I3133" s="5" t="s">
        <v>25</v>
      </c>
      <c r="J3133" s="5" t="s">
        <v>25</v>
      </c>
      <c r="K3133" s="7" t="str">
        <f>VLOOKUP(A3133,Sheet2!$A$2:$R$3432,6,0)</f>
        <v>Hero Maestro No Data</v>
      </c>
      <c r="L3133" s="5" t="s">
        <v>25</v>
      </c>
      <c r="M3133" s="7" t="str">
        <f>VLOOKUP(A3133,Sheet2!$A$2:$R$3432,5,0)</f>
        <v>MH08AC5059</v>
      </c>
      <c r="N3133" s="5" t="s">
        <v>25</v>
      </c>
      <c r="O3133" s="5" t="s">
        <v>25</v>
      </c>
      <c r="P3133" s="6" t="s">
        <v>25</v>
      </c>
      <c r="Q3133" s="5" t="s">
        <v>25</v>
      </c>
      <c r="R3133" s="5" t="s">
        <v>25</v>
      </c>
      <c r="S3133" s="5" t="str">
        <f>VLOOKUP(A3133,Sheet2!$A$2:$R$3432,18,0)</f>
        <v>F32AADGH28354</v>
      </c>
      <c r="T3133" s="7" t="str">
        <f>VLOOKUP(A3133,Sheet2!$A$2:$R$3432,17,0)</f>
        <v>MBLJF32ABDGH28693</v>
      </c>
    </row>
    <row r="3134" ht="15.75" customHeight="1">
      <c r="A3134" s="3" t="s">
        <v>3157</v>
      </c>
      <c r="B3134" s="4" t="str">
        <f>VLOOKUP(A3134,Sheet2!$A$2:$R$3432,2,0)</f>
        <v>2025-06-22 14:37:41</v>
      </c>
      <c r="C3134" s="5" t="s">
        <v>25</v>
      </c>
      <c r="D3134" s="6" t="s">
        <v>25</v>
      </c>
      <c r="E3134" s="7">
        <f>VLOOKUP(A3134,Sheet2!$A$2:$R$3432,4,0)</f>
        <v>8698138263</v>
      </c>
      <c r="F3134" s="7" t="str">
        <f>VLOOKUP(A3134,Sheet2!$A$2:$R$3432,3,0)</f>
        <v>Shubham Nehulkar</v>
      </c>
      <c r="G3134" s="5" t="s">
        <v>25</v>
      </c>
      <c r="H3134" s="5" t="s">
        <v>25</v>
      </c>
      <c r="I3134" s="5" t="s">
        <v>25</v>
      </c>
      <c r="J3134" s="5" t="s">
        <v>25</v>
      </c>
      <c r="K3134" s="7" t="str">
        <f>VLOOKUP(A3134,Sheet2!$A$2:$R$3432,6,0)</f>
        <v>Bajaj Pulsar 200 NS</v>
      </c>
      <c r="L3134" s="5" t="s">
        <v>25</v>
      </c>
      <c r="M3134" s="7" t="str">
        <f>VLOOKUP(A3134,Sheet2!$A$2:$R$3432,5,0)</f>
        <v>MH14GB9195</v>
      </c>
      <c r="N3134" s="5" t="s">
        <v>25</v>
      </c>
      <c r="O3134" s="5" t="s">
        <v>25</v>
      </c>
      <c r="P3134" s="6" t="s">
        <v>25</v>
      </c>
      <c r="Q3134" s="5" t="s">
        <v>25</v>
      </c>
      <c r="R3134" s="5" t="s">
        <v>25</v>
      </c>
      <c r="S3134" s="7" t="str">
        <f>VLOOKUP(A3134,Sheet2!$A$2:$R$3432,18,0)</f>
        <v/>
      </c>
      <c r="T3134" s="7" t="str">
        <f>VLOOKUP(A3134,Sheet2!$A$2:$R$3432,17,0)</f>
        <v/>
      </c>
    </row>
    <row r="3135" ht="15.75" customHeight="1">
      <c r="A3135" s="3" t="s">
        <v>3158</v>
      </c>
      <c r="B3135" s="4" t="str">
        <f>VLOOKUP(A3135,Sheet2!$A$2:$R$3432,2,0)</f>
        <v>2025-06-22 15:34:44</v>
      </c>
      <c r="C3135" s="5" t="s">
        <v>25</v>
      </c>
      <c r="D3135" s="6" t="s">
        <v>25</v>
      </c>
      <c r="E3135" s="7">
        <f>VLOOKUP(A3135,Sheet2!$A$2:$R$3432,4,0)</f>
        <v>9881608002</v>
      </c>
      <c r="F3135" s="7" t="str">
        <f>VLOOKUP(A3135,Sheet2!$A$2:$R$3432,3,0)</f>
        <v>Bharat Ban</v>
      </c>
      <c r="G3135" s="5" t="s">
        <v>25</v>
      </c>
      <c r="H3135" s="5" t="s">
        <v>25</v>
      </c>
      <c r="I3135" s="5" t="s">
        <v>25</v>
      </c>
      <c r="J3135" s="5" t="s">
        <v>25</v>
      </c>
      <c r="K3135" s="7" t="str">
        <f>VLOOKUP(A3135,Sheet2!$A$2:$R$3432,6,0)</f>
        <v>Hero Pleasure No Data</v>
      </c>
      <c r="L3135" s="5" t="s">
        <v>25</v>
      </c>
      <c r="M3135" s="7" t="str">
        <f>VLOOKUP(A3135,Sheet2!$A$2:$R$3432,5,0)</f>
        <v>MH12EX8818</v>
      </c>
      <c r="N3135" s="5" t="s">
        <v>25</v>
      </c>
      <c r="O3135" s="5" t="s">
        <v>25</v>
      </c>
      <c r="P3135" s="6" t="s">
        <v>25</v>
      </c>
      <c r="Q3135" s="5" t="s">
        <v>25</v>
      </c>
      <c r="R3135" s="5" t="s">
        <v>25</v>
      </c>
      <c r="S3135" s="7" t="str">
        <f>VLOOKUP(A3135,Sheet2!$A$2:$R$3432,18,0)</f>
        <v/>
      </c>
      <c r="T3135" s="7" t="str">
        <f>VLOOKUP(A3135,Sheet2!$A$2:$R$3432,17,0)</f>
        <v/>
      </c>
    </row>
    <row r="3136" ht="15.75" customHeight="1">
      <c r="A3136" s="3" t="s">
        <v>3159</v>
      </c>
      <c r="B3136" s="4" t="str">
        <f>VLOOKUP(A3136,Sheet2!$A$2:$R$3432,2,0)</f>
        <v>2025-06-22 17:49:15</v>
      </c>
      <c r="C3136" s="5" t="s">
        <v>25</v>
      </c>
      <c r="D3136" s="6" t="s">
        <v>25</v>
      </c>
      <c r="E3136" s="7">
        <f>VLOOKUP(A3136,Sheet2!$A$2:$R$3432,4,0)</f>
        <v>8779872506</v>
      </c>
      <c r="F3136" s="7" t="str">
        <f>VLOOKUP(A3136,Sheet2!$A$2:$R$3432,3,0)</f>
        <v>Mayur Shinde </v>
      </c>
      <c r="G3136" s="5" t="s">
        <v>25</v>
      </c>
      <c r="H3136" s="5" t="s">
        <v>25</v>
      </c>
      <c r="I3136" s="5" t="s">
        <v>25</v>
      </c>
      <c r="J3136" s="5" t="s">
        <v>25</v>
      </c>
      <c r="K3136" s="7" t="str">
        <f>VLOOKUP(A3136,Sheet2!$A$2:$R$3432,6,0)</f>
        <v>Honda Unicorn 160</v>
      </c>
      <c r="L3136" s="5" t="s">
        <v>25</v>
      </c>
      <c r="M3136" s="7" t="str">
        <f>VLOOKUP(A3136,Sheet2!$A$2:$R$3432,5,0)</f>
        <v>MH05DG0985</v>
      </c>
      <c r="N3136" s="5" t="s">
        <v>25</v>
      </c>
      <c r="O3136" s="5" t="s">
        <v>25</v>
      </c>
      <c r="P3136" s="6" t="s">
        <v>25</v>
      </c>
      <c r="Q3136" s="5" t="s">
        <v>25</v>
      </c>
      <c r="R3136" s="5" t="s">
        <v>25</v>
      </c>
      <c r="S3136" s="7" t="str">
        <f>VLOOKUP(A3136,Sheet2!$A$2:$R$3432,18,0)</f>
        <v/>
      </c>
      <c r="T3136" s="7" t="str">
        <f>VLOOKUP(A3136,Sheet2!$A$2:$R$3432,17,0)</f>
        <v/>
      </c>
    </row>
    <row r="3137" ht="15.75" customHeight="1">
      <c r="A3137" s="3" t="s">
        <v>3160</v>
      </c>
      <c r="B3137" s="4" t="str">
        <f>VLOOKUP(A3137,Sheet2!$A$2:$R$3432,2,0)</f>
        <v>2025-06-22 18:47:19</v>
      </c>
      <c r="C3137" s="5" t="s">
        <v>25</v>
      </c>
      <c r="D3137" s="6" t="s">
        <v>25</v>
      </c>
      <c r="E3137" s="7">
        <f>VLOOKUP(A3137,Sheet2!$A$2:$R$3432,4,0)</f>
        <v>8087987588</v>
      </c>
      <c r="F3137" s="7" t="str">
        <f>VLOOKUP(A3137,Sheet2!$A$2:$R$3432,3,0)</f>
        <v>VAIBHAV GAIKWAD </v>
      </c>
      <c r="G3137" s="5" t="s">
        <v>25</v>
      </c>
      <c r="H3137" s="5" t="s">
        <v>25</v>
      </c>
      <c r="I3137" s="5" t="s">
        <v>25</v>
      </c>
      <c r="J3137" s="5" t="s">
        <v>25</v>
      </c>
      <c r="K3137" s="7" t="str">
        <f>VLOOKUP(A3137,Sheet2!$A$2:$R$3432,6,0)</f>
        <v>TVS Jupiter </v>
      </c>
      <c r="L3137" s="5" t="s">
        <v>25</v>
      </c>
      <c r="M3137" s="7" t="str">
        <f>VLOOKUP(A3137,Sheet2!$A$2:$R$3432,5,0)</f>
        <v>MH28AM5004</v>
      </c>
      <c r="N3137" s="5" t="s">
        <v>25</v>
      </c>
      <c r="O3137" s="5" t="s">
        <v>25</v>
      </c>
      <c r="P3137" s="6" t="s">
        <v>25</v>
      </c>
      <c r="Q3137" s="5" t="s">
        <v>25</v>
      </c>
      <c r="R3137" s="5" t="s">
        <v>25</v>
      </c>
      <c r="S3137" s="5" t="str">
        <f>VLOOKUP(A3137,Sheet2!$A$2:$R$3432,18,0)</f>
        <v>BG4AF1417207</v>
      </c>
      <c r="T3137" s="7" t="str">
        <f>VLOOKUP(A3137,Sheet2!$A$2:$R$3432,17,0)</f>
        <v>MD626BG43FAA25923</v>
      </c>
    </row>
    <row r="3138" ht="15.75" customHeight="1">
      <c r="A3138" s="3" t="s">
        <v>3161</v>
      </c>
      <c r="B3138" s="4" t="str">
        <f>VLOOKUP(A3138,Sheet2!$A$2:$R$3432,2,0)</f>
        <v>2025-06-22 21:06:19</v>
      </c>
      <c r="C3138" s="5" t="s">
        <v>25</v>
      </c>
      <c r="D3138" s="6" t="s">
        <v>25</v>
      </c>
      <c r="E3138" s="7">
        <f>VLOOKUP(A3138,Sheet2!$A$2:$R$3432,4,0)</f>
        <v>9881464779</v>
      </c>
      <c r="F3138" s="7" t="str">
        <f>VLOOKUP(A3138,Sheet2!$A$2:$R$3432,3,0)</f>
        <v>Sachin </v>
      </c>
      <c r="G3138" s="5" t="s">
        <v>25</v>
      </c>
      <c r="H3138" s="5" t="s">
        <v>25</v>
      </c>
      <c r="I3138" s="5" t="s">
        <v>25</v>
      </c>
      <c r="J3138" s="5" t="s">
        <v>25</v>
      </c>
      <c r="K3138" s="7" t="str">
        <f>VLOOKUP(A3138,Sheet2!$A$2:$R$3432,6,0)</f>
        <v>Honda Shine CB</v>
      </c>
      <c r="L3138" s="5" t="s">
        <v>25</v>
      </c>
      <c r="M3138" s="7" t="str">
        <f>VLOOKUP(A3138,Sheet2!$A$2:$R$3432,5,0)</f>
        <v>MH12EZ8130</v>
      </c>
      <c r="N3138" s="5" t="s">
        <v>25</v>
      </c>
      <c r="O3138" s="5" t="s">
        <v>25</v>
      </c>
      <c r="P3138" s="6" t="s">
        <v>25</v>
      </c>
      <c r="Q3138" s="5" t="s">
        <v>25</v>
      </c>
      <c r="R3138" s="5" t="s">
        <v>25</v>
      </c>
      <c r="S3138" s="7" t="str">
        <f>VLOOKUP(A3138,Sheet2!$A$2:$R$3432,18,0)</f>
        <v/>
      </c>
      <c r="T3138" s="7" t="str">
        <f>VLOOKUP(A3138,Sheet2!$A$2:$R$3432,17,0)</f>
        <v/>
      </c>
    </row>
    <row r="3139" ht="15.75" customHeight="1">
      <c r="A3139" s="3" t="s">
        <v>3162</v>
      </c>
      <c r="B3139" s="4" t="str">
        <f>VLOOKUP(A3139,Sheet2!$A$2:$R$3432,2,0)</f>
        <v>2025-06-22 21:04:49</v>
      </c>
      <c r="C3139" s="5" t="s">
        <v>25</v>
      </c>
      <c r="D3139" s="6" t="s">
        <v>25</v>
      </c>
      <c r="E3139" s="7">
        <f>VLOOKUP(A3139,Sheet2!$A$2:$R$3432,4,0)</f>
        <v>9049536462</v>
      </c>
      <c r="F3139" s="7" t="str">
        <f>VLOOKUP(A3139,Sheet2!$A$2:$R$3432,3,0)</f>
        <v>Manoj</v>
      </c>
      <c r="G3139" s="5" t="s">
        <v>25</v>
      </c>
      <c r="H3139" s="5" t="s">
        <v>25</v>
      </c>
      <c r="I3139" s="5" t="s">
        <v>25</v>
      </c>
      <c r="J3139" s="5" t="s">
        <v>25</v>
      </c>
      <c r="K3139" s="7" t="str">
        <f>VLOOKUP(A3139,Sheet2!$A$2:$R$3432,6,0)</f>
        <v>Honda Activa </v>
      </c>
      <c r="L3139" s="5" t="s">
        <v>25</v>
      </c>
      <c r="M3139" s="7" t="str">
        <f>VLOOKUP(A3139,Sheet2!$A$2:$R$3432,5,0)</f>
        <v>MH14GB8855</v>
      </c>
      <c r="N3139" s="5" t="s">
        <v>25</v>
      </c>
      <c r="O3139" s="5" t="s">
        <v>25</v>
      </c>
      <c r="P3139" s="6" t="s">
        <v>25</v>
      </c>
      <c r="Q3139" s="5" t="s">
        <v>25</v>
      </c>
      <c r="R3139" s="5" t="s">
        <v>25</v>
      </c>
      <c r="S3139" s="5" t="str">
        <f>VLOOKUP(A3139,Sheet2!$A$2:$R$3432,18,0)</f>
        <v>JF50U3017142</v>
      </c>
      <c r="T3139" s="7" t="str">
        <f>VLOOKUP(A3139,Sheet2!$A$2:$R$3432,17,0)</f>
        <v>ME4JF507BHU017099</v>
      </c>
    </row>
    <row r="3140" ht="15.75" customHeight="1">
      <c r="A3140" s="3" t="s">
        <v>3163</v>
      </c>
      <c r="B3140" s="4" t="str">
        <f>VLOOKUP(A3140,Sheet2!$A$2:$R$3432,2,0)</f>
        <v>2025-06-22 20:04:34</v>
      </c>
      <c r="C3140" s="5" t="s">
        <v>25</v>
      </c>
      <c r="D3140" s="6" t="s">
        <v>25</v>
      </c>
      <c r="E3140" s="7">
        <f>VLOOKUP(A3140,Sheet2!$A$2:$R$3432,4,0)</f>
        <v>7841091808</v>
      </c>
      <c r="F3140" s="7" t="str">
        <f>VLOOKUP(A3140,Sheet2!$A$2:$R$3432,3,0)</f>
        <v>VARDHAN</v>
      </c>
      <c r="G3140" s="5" t="s">
        <v>25</v>
      </c>
      <c r="H3140" s="5" t="s">
        <v>25</v>
      </c>
      <c r="I3140" s="5" t="s">
        <v>25</v>
      </c>
      <c r="J3140" s="5" t="s">
        <v>25</v>
      </c>
      <c r="K3140" s="7" t="str">
        <f>VLOOKUP(A3140,Sheet2!$A$2:$R$3432,6,0)</f>
        <v>TVS Jupiter </v>
      </c>
      <c r="L3140" s="5" t="s">
        <v>25</v>
      </c>
      <c r="M3140" s="7" t="str">
        <f>VLOOKUP(A3140,Sheet2!$A$2:$R$3432,5,0)</f>
        <v>MH25AM2859</v>
      </c>
      <c r="N3140" s="5" t="s">
        <v>25</v>
      </c>
      <c r="O3140" s="5" t="s">
        <v>25</v>
      </c>
      <c r="P3140" s="6" t="s">
        <v>25</v>
      </c>
      <c r="Q3140" s="5" t="s">
        <v>25</v>
      </c>
      <c r="R3140" s="5" t="s">
        <v>25</v>
      </c>
      <c r="S3140" s="7" t="str">
        <f>VLOOKUP(A3140,Sheet2!$A$2:$R$3432,18,0)</f>
        <v/>
      </c>
      <c r="T3140" s="7" t="str">
        <f>VLOOKUP(A3140,Sheet2!$A$2:$R$3432,17,0)</f>
        <v/>
      </c>
    </row>
    <row r="3141" ht="15.75" customHeight="1">
      <c r="A3141" s="3" t="s">
        <v>3164</v>
      </c>
      <c r="B3141" s="4" t="str">
        <f>VLOOKUP(A3141,Sheet2!$A$2:$R$3432,2,0)</f>
        <v>2025-06-22 21:29:59</v>
      </c>
      <c r="C3141" s="5" t="s">
        <v>25</v>
      </c>
      <c r="D3141" s="6" t="s">
        <v>25</v>
      </c>
      <c r="E3141" s="7">
        <f>VLOOKUP(A3141,Sheet2!$A$2:$R$3432,4,0)</f>
        <v>9029912316</v>
      </c>
      <c r="F3141" s="7" t="str">
        <f>VLOOKUP(A3141,Sheet2!$A$2:$R$3432,3,0)</f>
        <v>Joseph</v>
      </c>
      <c r="G3141" s="5" t="s">
        <v>25</v>
      </c>
      <c r="H3141" s="5" t="s">
        <v>25</v>
      </c>
      <c r="I3141" s="5" t="s">
        <v>25</v>
      </c>
      <c r="J3141" s="5" t="s">
        <v>25</v>
      </c>
      <c r="K3141" s="7" t="str">
        <f>VLOOKUP(A3141,Sheet2!$A$2:$R$3432,6,0)</f>
        <v>Honda Activa 125</v>
      </c>
      <c r="L3141" s="5" t="s">
        <v>25</v>
      </c>
      <c r="M3141" s="7" t="str">
        <f>VLOOKUP(A3141,Sheet2!$A$2:$R$3432,5,0)</f>
        <v>MH14EN7302</v>
      </c>
      <c r="N3141" s="5" t="s">
        <v>25</v>
      </c>
      <c r="O3141" s="5" t="s">
        <v>25</v>
      </c>
      <c r="P3141" s="6" t="s">
        <v>25</v>
      </c>
      <c r="Q3141" s="5" t="s">
        <v>25</v>
      </c>
      <c r="R3141" s="5" t="s">
        <v>25</v>
      </c>
      <c r="S3141" s="5" t="str">
        <f>VLOOKUP(A3141,Sheet2!$A$2:$R$3432,18,0)</f>
        <v>JF49E80034191</v>
      </c>
      <c r="T3141" s="7" t="str">
        <f>VLOOKUP(A3141,Sheet2!$A$2:$R$3432,17,0)</f>
        <v>ME4JF491GE031113</v>
      </c>
    </row>
    <row r="3142" ht="15.75" customHeight="1">
      <c r="A3142" s="3" t="s">
        <v>3165</v>
      </c>
      <c r="B3142" s="4" t="str">
        <f>VLOOKUP(A3142,Sheet2!$A$2:$R$3432,2,0)</f>
        <v>2025-05-08 20:31:08</v>
      </c>
      <c r="C3142" s="5" t="s">
        <v>25</v>
      </c>
      <c r="D3142" s="6" t="s">
        <v>25</v>
      </c>
      <c r="E3142" s="7">
        <f>VLOOKUP(A3142,Sheet2!$A$2:$R$3432,4,0)</f>
        <v>9960896345</v>
      </c>
      <c r="F3142" s="7" t="str">
        <f>VLOOKUP(A3142,Sheet2!$A$2:$R$3432,3,0)</f>
        <v>Vaishali Deshmukh</v>
      </c>
      <c r="G3142" s="5" t="s">
        <v>25</v>
      </c>
      <c r="H3142" s="5" t="s">
        <v>25</v>
      </c>
      <c r="I3142" s="5" t="s">
        <v>25</v>
      </c>
      <c r="J3142" s="5" t="s">
        <v>25</v>
      </c>
      <c r="K3142" s="7" t="str">
        <f>VLOOKUP(A3142,Sheet2!$A$2:$R$3432,6,0)</f>
        <v>Honda Activa 3G</v>
      </c>
      <c r="L3142" s="5" t="s">
        <v>25</v>
      </c>
      <c r="M3142" s="7" t="str">
        <f>VLOOKUP(A3142,Sheet2!$A$2:$R$3432,5,0)</f>
        <v>MH24AL6078</v>
      </c>
      <c r="N3142" s="5" t="s">
        <v>25</v>
      </c>
      <c r="O3142" s="5" t="s">
        <v>25</v>
      </c>
      <c r="P3142" s="6" t="s">
        <v>25</v>
      </c>
      <c r="Q3142" s="5" t="s">
        <v>25</v>
      </c>
      <c r="R3142" s="5" t="s">
        <v>25</v>
      </c>
      <c r="S3142" s="7" t="str">
        <f>VLOOKUP(A3142,Sheet2!$A$2:$R$3432,18,0)</f>
        <v/>
      </c>
      <c r="T3142" s="7" t="str">
        <f>VLOOKUP(A3142,Sheet2!$A$2:$R$3432,17,0)</f>
        <v>ME4JF504FF7166966</v>
      </c>
    </row>
    <row r="3143" ht="15.75" customHeight="1">
      <c r="A3143" s="3" t="s">
        <v>3166</v>
      </c>
      <c r="B3143" s="4" t="str">
        <f>VLOOKUP(A3143,Sheet2!$A$2:$R$3432,2,0)</f>
        <v>2025-05-08 20:31:31</v>
      </c>
      <c r="C3143" s="5" t="s">
        <v>25</v>
      </c>
      <c r="D3143" s="6" t="s">
        <v>25</v>
      </c>
      <c r="E3143" s="7">
        <f>VLOOKUP(A3143,Sheet2!$A$2:$R$3432,4,0)</f>
        <v>8796147967</v>
      </c>
      <c r="F3143" s="7" t="str">
        <f>VLOOKUP(A3143,Sheet2!$A$2:$R$3432,3,0)</f>
        <v>ABHAY JADHAV</v>
      </c>
      <c r="G3143" s="5" t="s">
        <v>25</v>
      </c>
      <c r="H3143" s="5" t="s">
        <v>25</v>
      </c>
      <c r="I3143" s="5" t="s">
        <v>25</v>
      </c>
      <c r="J3143" s="5" t="s">
        <v>25</v>
      </c>
      <c r="K3143" s="7" t="str">
        <f>VLOOKUP(A3143,Sheet2!$A$2:$R$3432,6,0)</f>
        <v>Honda Activa 6G</v>
      </c>
      <c r="L3143" s="5" t="s">
        <v>25</v>
      </c>
      <c r="M3143" s="7" t="str">
        <f>VLOOKUP(A3143,Sheet2!$A$2:$R$3432,5,0)</f>
        <v>MH41BG3871</v>
      </c>
      <c r="N3143" s="5" t="s">
        <v>25</v>
      </c>
      <c r="O3143" s="5" t="s">
        <v>25</v>
      </c>
      <c r="P3143" s="6" t="s">
        <v>25</v>
      </c>
      <c r="Q3143" s="5" t="s">
        <v>25</v>
      </c>
      <c r="R3143" s="5" t="s">
        <v>25</v>
      </c>
      <c r="S3143" s="5" t="str">
        <f>VLOOKUP(A3143,Sheet2!$A$2:$R$3432,18,0)</f>
        <v>JF91EW5054189</v>
      </c>
      <c r="T3143" s="7" t="str">
        <f>VLOOKUP(A3143,Sheet2!$A$2:$R$3432,17,0)</f>
        <v>ME4JF9184MW053955</v>
      </c>
    </row>
    <row r="3144" ht="15.75" customHeight="1">
      <c r="A3144" s="3" t="s">
        <v>3167</v>
      </c>
      <c r="B3144" s="4" t="str">
        <f>VLOOKUP(A3144,Sheet2!$A$2:$R$3432,2,0)</f>
        <v>2025-05-08 20:46:31</v>
      </c>
      <c r="C3144" s="5" t="s">
        <v>25</v>
      </c>
      <c r="D3144" s="6" t="s">
        <v>25</v>
      </c>
      <c r="E3144" s="7">
        <f>VLOOKUP(A3144,Sheet2!$A$2:$R$3432,4,0)</f>
        <v>8007999162</v>
      </c>
      <c r="F3144" s="7" t="str">
        <f>VLOOKUP(A3144,Sheet2!$A$2:$R$3432,3,0)</f>
        <v>Kirti Kulkarni </v>
      </c>
      <c r="G3144" s="5" t="s">
        <v>25</v>
      </c>
      <c r="H3144" s="5" t="s">
        <v>25</v>
      </c>
      <c r="I3144" s="5" t="s">
        <v>25</v>
      </c>
      <c r="J3144" s="5" t="s">
        <v>25</v>
      </c>
      <c r="K3144" s="7" t="str">
        <f>VLOOKUP(A3144,Sheet2!$A$2:$R$3432,6,0)</f>
        <v>TVS Jupiter </v>
      </c>
      <c r="L3144" s="5" t="s">
        <v>25</v>
      </c>
      <c r="M3144" s="7" t="str">
        <f>VLOOKUP(A3144,Sheet2!$A$2:$R$3432,5,0)</f>
        <v>MH14JY4279</v>
      </c>
      <c r="N3144" s="5" t="s">
        <v>25</v>
      </c>
      <c r="O3144" s="5" t="s">
        <v>25</v>
      </c>
      <c r="P3144" s="6" t="s">
        <v>25</v>
      </c>
      <c r="Q3144" s="5" t="s">
        <v>25</v>
      </c>
      <c r="R3144" s="5" t="s">
        <v>25</v>
      </c>
      <c r="S3144" s="7" t="str">
        <f>VLOOKUP(A3144,Sheet2!$A$2:$R$3432,18,0)</f>
        <v/>
      </c>
      <c r="T3144" s="7" t="str">
        <f>VLOOKUP(A3144,Sheet2!$A$2:$R$3432,17,0)</f>
        <v/>
      </c>
    </row>
    <row r="3145" ht="15.75" customHeight="1">
      <c r="A3145" s="3" t="s">
        <v>3168</v>
      </c>
      <c r="B3145" s="4" t="str">
        <f>VLOOKUP(A3145,Sheet2!$A$2:$R$3432,2,0)</f>
        <v>2025-05-08 20:28:03</v>
      </c>
      <c r="C3145" s="5" t="s">
        <v>25</v>
      </c>
      <c r="D3145" s="6" t="s">
        <v>25</v>
      </c>
      <c r="E3145" s="7">
        <f>VLOOKUP(A3145,Sheet2!$A$2:$R$3432,4,0)</f>
        <v>9967050150</v>
      </c>
      <c r="F3145" s="7" t="str">
        <f>VLOOKUP(A3145,Sheet2!$A$2:$R$3432,3,0)</f>
        <v>UMESH PATIL </v>
      </c>
      <c r="G3145" s="5" t="s">
        <v>25</v>
      </c>
      <c r="H3145" s="5" t="s">
        <v>25</v>
      </c>
      <c r="I3145" s="5" t="s">
        <v>25</v>
      </c>
      <c r="J3145" s="5" t="s">
        <v>25</v>
      </c>
      <c r="K3145" s="7" t="str">
        <f>VLOOKUP(A3145,Sheet2!$A$2:$R$3432,6,0)</f>
        <v>Honda Aviator </v>
      </c>
      <c r="L3145" s="5" t="s">
        <v>25</v>
      </c>
      <c r="M3145" s="7" t="str">
        <f>VLOOKUP(A3145,Sheet2!$A$2:$R$3432,5,0)</f>
        <v>MH39G5704</v>
      </c>
      <c r="N3145" s="5" t="s">
        <v>25</v>
      </c>
      <c r="O3145" s="5" t="s">
        <v>25</v>
      </c>
      <c r="P3145" s="6" t="s">
        <v>25</v>
      </c>
      <c r="Q3145" s="5" t="s">
        <v>25</v>
      </c>
      <c r="R3145" s="5" t="s">
        <v>25</v>
      </c>
      <c r="S3145" s="7" t="str">
        <f>VLOOKUP(A3145,Sheet2!$A$2:$R$3432,18,0)</f>
        <v/>
      </c>
      <c r="T3145" s="7" t="str">
        <f>VLOOKUP(A3145,Sheet2!$A$2:$R$3432,17,0)</f>
        <v/>
      </c>
    </row>
    <row r="3146" ht="15.75" customHeight="1">
      <c r="A3146" s="3" t="s">
        <v>3169</v>
      </c>
      <c r="B3146" s="4" t="str">
        <f>VLOOKUP(A3146,Sheet2!$A$2:$R$3432,2,0)</f>
        <v>2025-05-08 20:25:02</v>
      </c>
      <c r="C3146" s="5" t="s">
        <v>25</v>
      </c>
      <c r="D3146" s="6" t="s">
        <v>25</v>
      </c>
      <c r="E3146" s="7">
        <f>VLOOKUP(A3146,Sheet2!$A$2:$R$3432,4,0)</f>
        <v>9923220239</v>
      </c>
      <c r="F3146" s="7" t="str">
        <f>VLOOKUP(A3146,Sheet2!$A$2:$R$3432,3,0)</f>
        <v>SHIRKE </v>
      </c>
      <c r="G3146" s="5" t="s">
        <v>25</v>
      </c>
      <c r="H3146" s="5" t="s">
        <v>25</v>
      </c>
      <c r="I3146" s="5" t="s">
        <v>25</v>
      </c>
      <c r="J3146" s="5" t="s">
        <v>25</v>
      </c>
      <c r="K3146" s="7" t="str">
        <f>VLOOKUP(A3146,Sheet2!$A$2:$R$3432,6,0)</f>
        <v>TVS Jupiter </v>
      </c>
      <c r="L3146" s="5" t="s">
        <v>25</v>
      </c>
      <c r="M3146" s="7" t="str">
        <f>VLOOKUP(A3146,Sheet2!$A$2:$R$3432,5,0)</f>
        <v>MH12MX4684</v>
      </c>
      <c r="N3146" s="5" t="s">
        <v>25</v>
      </c>
      <c r="O3146" s="5" t="s">
        <v>25</v>
      </c>
      <c r="P3146" s="6" t="s">
        <v>25</v>
      </c>
      <c r="Q3146" s="5" t="s">
        <v>25</v>
      </c>
      <c r="R3146" s="5" t="s">
        <v>25</v>
      </c>
      <c r="S3146" s="7" t="str">
        <f>VLOOKUP(A3146,Sheet2!$A$2:$R$3432,18,0)</f>
        <v/>
      </c>
      <c r="T3146" s="7" t="str">
        <f>VLOOKUP(A3146,Sheet2!$A$2:$R$3432,17,0)</f>
        <v>MD626AG46D1643177</v>
      </c>
    </row>
    <row r="3147" ht="15.75" customHeight="1">
      <c r="A3147" s="3" t="s">
        <v>3170</v>
      </c>
      <c r="B3147" s="4" t="str">
        <f>VLOOKUP(A3147,Sheet2!$A$2:$R$3432,2,0)</f>
        <v>2025-05-08 20:25:54</v>
      </c>
      <c r="C3147" s="5" t="s">
        <v>25</v>
      </c>
      <c r="D3147" s="6" t="s">
        <v>25</v>
      </c>
      <c r="E3147" s="7">
        <f>VLOOKUP(A3147,Sheet2!$A$2:$R$3432,4,0)</f>
        <v>9370116607</v>
      </c>
      <c r="F3147" s="7" t="str">
        <f>VLOOKUP(A3147,Sheet2!$A$2:$R$3432,3,0)</f>
        <v>Ajay Choudhary </v>
      </c>
      <c r="G3147" s="5" t="s">
        <v>25</v>
      </c>
      <c r="H3147" s="5" t="s">
        <v>25</v>
      </c>
      <c r="I3147" s="5" t="s">
        <v>25</v>
      </c>
      <c r="J3147" s="5" t="s">
        <v>25</v>
      </c>
      <c r="K3147" s="7" t="str">
        <f>VLOOKUP(A3147,Sheet2!$A$2:$R$3432,6,0)</f>
        <v>Hero Passion Pro</v>
      </c>
      <c r="L3147" s="5" t="s">
        <v>25</v>
      </c>
      <c r="M3147" s="7" t="str">
        <f>VLOOKUP(A3147,Sheet2!$A$2:$R$3432,5,0)</f>
        <v>MH31DQ9816</v>
      </c>
      <c r="N3147" s="5" t="s">
        <v>25</v>
      </c>
      <c r="O3147" s="5" t="s">
        <v>25</v>
      </c>
      <c r="P3147" s="6" t="s">
        <v>25</v>
      </c>
      <c r="Q3147" s="5" t="s">
        <v>25</v>
      </c>
      <c r="R3147" s="5" t="s">
        <v>25</v>
      </c>
      <c r="S3147" s="7" t="str">
        <f>VLOOKUP(A3147,Sheet2!$A$2:$R$3432,18,0)</f>
        <v/>
      </c>
      <c r="T3147" s="7" t="str">
        <f>VLOOKUP(A3147,Sheet2!$A$2:$R$3432,17,0)</f>
        <v/>
      </c>
    </row>
    <row r="3148" ht="15.75" customHeight="1">
      <c r="A3148" s="3" t="s">
        <v>3171</v>
      </c>
      <c r="B3148" s="4" t="str">
        <f>VLOOKUP(A3148,Sheet2!$A$2:$R$3432,2,0)</f>
        <v>2025-05-08 20:28:55</v>
      </c>
      <c r="C3148" s="5" t="s">
        <v>25</v>
      </c>
      <c r="D3148" s="6" t="s">
        <v>25</v>
      </c>
      <c r="E3148" s="7">
        <f>VLOOKUP(A3148,Sheet2!$A$2:$R$3432,4,0)</f>
        <v>9657003580</v>
      </c>
      <c r="F3148" s="7" t="str">
        <f>VLOOKUP(A3148,Sheet2!$A$2:$R$3432,3,0)</f>
        <v>NISARG</v>
      </c>
      <c r="G3148" s="5" t="s">
        <v>25</v>
      </c>
      <c r="H3148" s="5" t="s">
        <v>25</v>
      </c>
      <c r="I3148" s="5" t="s">
        <v>25</v>
      </c>
      <c r="J3148" s="5" t="s">
        <v>25</v>
      </c>
      <c r="K3148" s="7" t="str">
        <f>VLOOKUP(A3148,Sheet2!$A$2:$R$3432,6,0)</f>
        <v>TVS Jupiter </v>
      </c>
      <c r="L3148" s="5" t="s">
        <v>25</v>
      </c>
      <c r="M3148" s="7" t="str">
        <f>VLOOKUP(A3148,Sheet2!$A$2:$R$3432,5,0)</f>
        <v>MH14HA1917</v>
      </c>
      <c r="N3148" s="5" t="s">
        <v>25</v>
      </c>
      <c r="O3148" s="5" t="s">
        <v>25</v>
      </c>
      <c r="P3148" s="6" t="s">
        <v>25</v>
      </c>
      <c r="Q3148" s="5" t="s">
        <v>25</v>
      </c>
      <c r="R3148" s="5" t="s">
        <v>25</v>
      </c>
      <c r="S3148" s="5" t="str">
        <f>VLOOKUP(A3148,Sheet2!$A$2:$R$3432,18,0)</f>
        <v>GG5DN1101452</v>
      </c>
      <c r="T3148" s="7" t="str">
        <f>VLOOKUP(A3148,Sheet2!$A$2:$R$3432,17,0)</f>
        <v>MD626EG51N1D01699</v>
      </c>
    </row>
    <row r="3149" ht="15.75" customHeight="1">
      <c r="A3149" s="3" t="s">
        <v>3172</v>
      </c>
      <c r="B3149" s="4" t="str">
        <f>VLOOKUP(A3149,Sheet2!$A$2:$R$3432,2,0)</f>
        <v>2025-05-08 20:30:31</v>
      </c>
      <c r="C3149" s="5" t="s">
        <v>25</v>
      </c>
      <c r="D3149" s="6" t="s">
        <v>25</v>
      </c>
      <c r="E3149" s="7">
        <f>VLOOKUP(A3149,Sheet2!$A$2:$R$3432,4,0)</f>
        <v>9881241879</v>
      </c>
      <c r="F3149" s="7" t="str">
        <f>VLOOKUP(A3149,Sheet2!$A$2:$R$3432,3,0)</f>
        <v>SANJAY HANDE</v>
      </c>
      <c r="G3149" s="5" t="s">
        <v>25</v>
      </c>
      <c r="H3149" s="5" t="s">
        <v>25</v>
      </c>
      <c r="I3149" s="5" t="s">
        <v>25</v>
      </c>
      <c r="J3149" s="5" t="s">
        <v>25</v>
      </c>
      <c r="K3149" s="7" t="str">
        <f>VLOOKUP(A3149,Sheet2!$A$2:$R$3432,6,0)</f>
        <v>Honda Activa 110</v>
      </c>
      <c r="L3149" s="5" t="s">
        <v>25</v>
      </c>
      <c r="M3149" s="7" t="str">
        <f>VLOOKUP(A3149,Sheet2!$A$2:$R$3432,5,0)</f>
        <v>MH14EJ6186</v>
      </c>
      <c r="N3149" s="5" t="s">
        <v>25</v>
      </c>
      <c r="O3149" s="5" t="s">
        <v>25</v>
      </c>
      <c r="P3149" s="6" t="s">
        <v>25</v>
      </c>
      <c r="Q3149" s="5" t="s">
        <v>25</v>
      </c>
      <c r="R3149" s="5" t="s">
        <v>25</v>
      </c>
      <c r="S3149" s="7" t="str">
        <f>VLOOKUP(A3149,Sheet2!$A$2:$R$3432,18,0)</f>
        <v/>
      </c>
      <c r="T3149" s="7" t="str">
        <f>VLOOKUP(A3149,Sheet2!$A$2:$R$3432,17,0)</f>
        <v/>
      </c>
    </row>
    <row r="3150" ht="15.75" customHeight="1">
      <c r="A3150" s="3" t="s">
        <v>3173</v>
      </c>
      <c r="B3150" s="4" t="str">
        <f>VLOOKUP(A3150,Sheet2!$A$2:$R$3432,2,0)</f>
        <v>2025-05-08 20:26:26</v>
      </c>
      <c r="C3150" s="5" t="s">
        <v>25</v>
      </c>
      <c r="D3150" s="6" t="s">
        <v>25</v>
      </c>
      <c r="E3150" s="7">
        <f>VLOOKUP(A3150,Sheet2!$A$2:$R$3432,4,0)</f>
        <v>7276567166</v>
      </c>
      <c r="F3150" s="7" t="str">
        <f>VLOOKUP(A3150,Sheet2!$A$2:$R$3432,3,0)</f>
        <v>PARAG AGNIHOTRI </v>
      </c>
      <c r="G3150" s="5" t="s">
        <v>25</v>
      </c>
      <c r="H3150" s="5" t="s">
        <v>25</v>
      </c>
      <c r="I3150" s="5" t="s">
        <v>25</v>
      </c>
      <c r="J3150" s="5" t="s">
        <v>25</v>
      </c>
      <c r="K3150" s="7" t="str">
        <f>VLOOKUP(A3150,Sheet2!$A$2:$R$3432,6,0)</f>
        <v>TVS Jupiter BS6</v>
      </c>
      <c r="L3150" s="5" t="s">
        <v>25</v>
      </c>
      <c r="M3150" s="7" t="str">
        <f>VLOOKUP(A3150,Sheet2!$A$2:$R$3432,5,0)</f>
        <v>MH12UG2776</v>
      </c>
      <c r="N3150" s="5" t="s">
        <v>25</v>
      </c>
      <c r="O3150" s="5" t="s">
        <v>25</v>
      </c>
      <c r="P3150" s="6" t="s">
        <v>25</v>
      </c>
      <c r="Q3150" s="5" t="s">
        <v>25</v>
      </c>
      <c r="R3150" s="5" t="s">
        <v>25</v>
      </c>
      <c r="S3150" s="5" t="str">
        <f>VLOOKUP(A3150,Sheet2!$A$2:$R$3432,18,0)</f>
        <v>GL5DN1101452</v>
      </c>
      <c r="T3150" s="7" t="str">
        <f>VLOOKUP(A3150,Sheet2!$A$2:$R$3432,17,0)</f>
        <v>MD626EG5TN1D01699</v>
      </c>
    </row>
    <row r="3151" ht="15.75" customHeight="1">
      <c r="A3151" s="3" t="s">
        <v>3174</v>
      </c>
      <c r="B3151" s="4" t="str">
        <f>VLOOKUP(A3151,Sheet2!$A$2:$R$3432,2,0)</f>
        <v>2025-05-08 20:27:04</v>
      </c>
      <c r="C3151" s="5" t="s">
        <v>25</v>
      </c>
      <c r="D3151" s="6" t="s">
        <v>25</v>
      </c>
      <c r="E3151" s="7">
        <f>VLOOKUP(A3151,Sheet2!$A$2:$R$3432,4,0)</f>
        <v>9049094562</v>
      </c>
      <c r="F3151" s="7" t="str">
        <f>VLOOKUP(A3151,Sheet2!$A$2:$R$3432,3,0)</f>
        <v>YASH </v>
      </c>
      <c r="G3151" s="5" t="s">
        <v>25</v>
      </c>
      <c r="H3151" s="5" t="s">
        <v>25</v>
      </c>
      <c r="I3151" s="5" t="s">
        <v>25</v>
      </c>
      <c r="J3151" s="5" t="s">
        <v>25</v>
      </c>
      <c r="K3151" s="7" t="str">
        <f>VLOOKUP(A3151,Sheet2!$A$2:$R$3432,6,0)</f>
        <v>Bajaj Avenger 220 Street</v>
      </c>
      <c r="L3151" s="5" t="s">
        <v>25</v>
      </c>
      <c r="M3151" s="7" t="str">
        <f>VLOOKUP(A3151,Sheet2!$A$2:$R$3432,5,0)</f>
        <v>MH12LC7820</v>
      </c>
      <c r="N3151" s="5" t="s">
        <v>25</v>
      </c>
      <c r="O3151" s="5" t="s">
        <v>25</v>
      </c>
      <c r="P3151" s="6" t="s">
        <v>25</v>
      </c>
      <c r="Q3151" s="5" t="s">
        <v>25</v>
      </c>
      <c r="R3151" s="5" t="s">
        <v>25</v>
      </c>
      <c r="S3151" s="5" t="str">
        <f>VLOOKUP(A3151,Sheet2!$A$2:$R$3432,18,0)</f>
        <v>PDZCC88560</v>
      </c>
      <c r="T3151" s="7" t="str">
        <f>VLOOKUP(A3151,Sheet2!$A$2:$R$3432,17,0)</f>
        <v>MD2A22F211EZZ92195</v>
      </c>
    </row>
    <row r="3152" ht="15.75" customHeight="1">
      <c r="A3152" s="3" t="s">
        <v>3175</v>
      </c>
      <c r="B3152" s="4" t="str">
        <f>VLOOKUP(A3152,Sheet2!$A$2:$R$3432,2,0)</f>
        <v>2025-05-08 20:26:10</v>
      </c>
      <c r="C3152" s="5" t="s">
        <v>25</v>
      </c>
      <c r="D3152" s="6" t="s">
        <v>25</v>
      </c>
      <c r="E3152" s="7">
        <f>VLOOKUP(A3152,Sheet2!$A$2:$R$3432,4,0)</f>
        <v>8291662204</v>
      </c>
      <c r="F3152" s="7" t="str">
        <f>VLOOKUP(A3152,Sheet2!$A$2:$R$3432,3,0)</f>
        <v>HIMANSHU </v>
      </c>
      <c r="G3152" s="5" t="s">
        <v>25</v>
      </c>
      <c r="H3152" s="5" t="s">
        <v>25</v>
      </c>
      <c r="I3152" s="5" t="s">
        <v>25</v>
      </c>
      <c r="J3152" s="5" t="s">
        <v>25</v>
      </c>
      <c r="K3152" s="7" t="str">
        <f>VLOOKUP(A3152,Sheet2!$A$2:$R$3432,6,0)</f>
        <v>Suzuki Access 125</v>
      </c>
      <c r="L3152" s="5" t="s">
        <v>25</v>
      </c>
      <c r="M3152" s="7" t="str">
        <f>VLOOKUP(A3152,Sheet2!$A$2:$R$3432,5,0)</f>
        <v>MH47AA8338</v>
      </c>
      <c r="N3152" s="5" t="s">
        <v>25</v>
      </c>
      <c r="O3152" s="5" t="s">
        <v>25</v>
      </c>
      <c r="P3152" s="6" t="s">
        <v>25</v>
      </c>
      <c r="Q3152" s="5" t="s">
        <v>25</v>
      </c>
      <c r="R3152" s="5" t="s">
        <v>25</v>
      </c>
      <c r="S3152" s="5" t="str">
        <f>VLOOKUP(A3152,Sheet2!$A$2:$R$3432,18,0)</f>
        <v>AF2117896</v>
      </c>
      <c r="T3152" s="7" t="str">
        <f>VLOOKUP(A3152,Sheet2!$A$2:$R$3432,17,0)</f>
        <v>MD8DP11AR718621989</v>
      </c>
    </row>
    <row r="3153" ht="15.75" customHeight="1">
      <c r="A3153" s="3" t="s">
        <v>3176</v>
      </c>
      <c r="B3153" s="4" t="str">
        <f>VLOOKUP(A3153,Sheet2!$A$2:$R$3432,2,0)</f>
        <v>2025-05-08 20:28:33</v>
      </c>
      <c r="C3153" s="5" t="s">
        <v>25</v>
      </c>
      <c r="D3153" s="6" t="s">
        <v>25</v>
      </c>
      <c r="E3153" s="7">
        <f>VLOOKUP(A3153,Sheet2!$A$2:$R$3432,4,0)</f>
        <v>9422283216</v>
      </c>
      <c r="F3153" s="7" t="str">
        <f>VLOOKUP(A3153,Sheet2!$A$2:$R$3432,3,0)</f>
        <v>SHAM KANT</v>
      </c>
      <c r="G3153" s="5" t="s">
        <v>25</v>
      </c>
      <c r="H3153" s="5" t="s">
        <v>25</v>
      </c>
      <c r="I3153" s="5" t="s">
        <v>25</v>
      </c>
      <c r="J3153" s="5" t="s">
        <v>25</v>
      </c>
      <c r="K3153" s="7" t="str">
        <f>VLOOKUP(A3153,Sheet2!$A$2:$R$3432,6,0)</f>
        <v>TVS Jupiter BS6</v>
      </c>
      <c r="L3153" s="5" t="s">
        <v>25</v>
      </c>
      <c r="M3153" s="7" t="str">
        <f>VLOOKUP(A3153,Sheet2!$A$2:$R$3432,5,0)</f>
        <v>MH12SR8402</v>
      </c>
      <c r="N3153" s="5" t="s">
        <v>25</v>
      </c>
      <c r="O3153" s="5" t="s">
        <v>25</v>
      </c>
      <c r="P3153" s="6" t="s">
        <v>25</v>
      </c>
      <c r="Q3153" s="5" t="s">
        <v>25</v>
      </c>
      <c r="R3153" s="5" t="s">
        <v>25</v>
      </c>
      <c r="S3153" s="5" t="str">
        <f>VLOOKUP(A3153,Sheet2!$A$2:$R$3432,18,0)</f>
        <v>DG5BL1204302</v>
      </c>
      <c r="T3153" s="7" t="str">
        <f>VLOOKUP(A3153,Sheet2!$A$2:$R$3432,17,0)</f>
        <v>MD626CG51L1B21592</v>
      </c>
    </row>
    <row r="3154" ht="15.75" customHeight="1">
      <c r="A3154" s="3" t="s">
        <v>3177</v>
      </c>
      <c r="B3154" s="4" t="str">
        <f>VLOOKUP(A3154,Sheet2!$A$2:$R$3432,2,0)</f>
        <v>2025-05-08 20:30:01</v>
      </c>
      <c r="C3154" s="5" t="s">
        <v>25</v>
      </c>
      <c r="D3154" s="6" t="s">
        <v>25</v>
      </c>
      <c r="E3154" s="7">
        <f>VLOOKUP(A3154,Sheet2!$A$2:$R$3432,4,0)</f>
        <v>8793657381</v>
      </c>
      <c r="F3154" s="7" t="str">
        <f>VLOOKUP(A3154,Sheet2!$A$2:$R$3432,3,0)</f>
        <v>Mahul Joshi</v>
      </c>
      <c r="G3154" s="5" t="s">
        <v>25</v>
      </c>
      <c r="H3154" s="5" t="s">
        <v>25</v>
      </c>
      <c r="I3154" s="5" t="s">
        <v>25</v>
      </c>
      <c r="J3154" s="5" t="s">
        <v>25</v>
      </c>
      <c r="K3154" s="7" t="str">
        <f>VLOOKUP(A3154,Sheet2!$A$2:$R$3432,6,0)</f>
        <v>Honda Shine </v>
      </c>
      <c r="L3154" s="5" t="s">
        <v>25</v>
      </c>
      <c r="M3154" s="7" t="str">
        <f>VLOOKUP(A3154,Sheet2!$A$2:$R$3432,5,0)</f>
        <v>MH14HF5708</v>
      </c>
      <c r="N3154" s="5" t="s">
        <v>25</v>
      </c>
      <c r="O3154" s="5" t="s">
        <v>25</v>
      </c>
      <c r="P3154" s="6" t="s">
        <v>25</v>
      </c>
      <c r="Q3154" s="5" t="s">
        <v>25</v>
      </c>
      <c r="R3154" s="5" t="s">
        <v>25</v>
      </c>
      <c r="S3154" s="5" t="str">
        <f>VLOOKUP(A3154,Sheet2!$A$2:$R$3432,18,0)</f>
        <v>JC65E72330795</v>
      </c>
      <c r="T3154" s="7" t="str">
        <f>VLOOKUP(A3154,Sheet2!$A$2:$R$3432,17,0)</f>
        <v>ME4JC65BKJ7111779</v>
      </c>
    </row>
    <row r="3155" ht="15.75" customHeight="1">
      <c r="A3155" s="3" t="s">
        <v>3178</v>
      </c>
      <c r="B3155" s="4" t="str">
        <f>VLOOKUP(A3155,Sheet2!$A$2:$R$3432,2,0)</f>
        <v>2025-05-08 20:30:54</v>
      </c>
      <c r="C3155" s="5" t="s">
        <v>25</v>
      </c>
      <c r="D3155" s="6" t="s">
        <v>25</v>
      </c>
      <c r="E3155" s="7">
        <f>VLOOKUP(A3155,Sheet2!$A$2:$R$3432,4,0)</f>
        <v>9158002891</v>
      </c>
      <c r="F3155" s="7" t="str">
        <f>VLOOKUP(A3155,Sheet2!$A$2:$R$3432,3,0)</f>
        <v>Shubham</v>
      </c>
      <c r="G3155" s="5" t="s">
        <v>25</v>
      </c>
      <c r="H3155" s="5" t="s">
        <v>25</v>
      </c>
      <c r="I3155" s="5" t="s">
        <v>25</v>
      </c>
      <c r="J3155" s="5" t="s">
        <v>25</v>
      </c>
      <c r="K3155" s="7" t="str">
        <f>VLOOKUP(A3155,Sheet2!$A$2:$R$3432,6,0)</f>
        <v>Jawa Jawa </v>
      </c>
      <c r="L3155" s="5" t="s">
        <v>25</v>
      </c>
      <c r="M3155" s="7" t="str">
        <f>VLOOKUP(A3155,Sheet2!$A$2:$R$3432,5,0)</f>
        <v>MH22BA4842</v>
      </c>
      <c r="N3155" s="5" t="s">
        <v>25</v>
      </c>
      <c r="O3155" s="5" t="s">
        <v>25</v>
      </c>
      <c r="P3155" s="6" t="s">
        <v>25</v>
      </c>
      <c r="Q3155" s="5" t="s">
        <v>25</v>
      </c>
      <c r="R3155" s="5" t="s">
        <v>25</v>
      </c>
      <c r="S3155" s="5" t="str">
        <f>VLOOKUP(A3155,Sheet2!$A$2:$R$3432,18,0)</f>
        <v>NGEPC000729</v>
      </c>
      <c r="T3155" s="7" t="str">
        <f>VLOOKUP(A3155,Sheet2!$A$2:$R$3432,17,0)</f>
        <v>MZDKW1616P1C9781</v>
      </c>
    </row>
    <row r="3156" ht="15.75" customHeight="1">
      <c r="A3156" s="3" t="s">
        <v>3179</v>
      </c>
      <c r="B3156" s="4" t="str">
        <f>VLOOKUP(A3156,Sheet2!$A$2:$R$3432,2,0)</f>
        <v>2025-06-21 13:14:24</v>
      </c>
      <c r="C3156" s="5" t="s">
        <v>25</v>
      </c>
      <c r="D3156" s="6" t="s">
        <v>25</v>
      </c>
      <c r="E3156" s="7">
        <f>VLOOKUP(A3156,Sheet2!$A$2:$R$3432,4,0)</f>
        <v>8010579362</v>
      </c>
      <c r="F3156" s="7" t="str">
        <f>VLOOKUP(A3156,Sheet2!$A$2:$R$3432,3,0)</f>
        <v>Tushar Patil</v>
      </c>
      <c r="G3156" s="5" t="s">
        <v>25</v>
      </c>
      <c r="H3156" s="5" t="s">
        <v>25</v>
      </c>
      <c r="I3156" s="5" t="s">
        <v>25</v>
      </c>
      <c r="J3156" s="5" t="s">
        <v>25</v>
      </c>
      <c r="K3156" s="7" t="str">
        <f>VLOOKUP(A3156,Sheet2!$A$2:$R$3432,6,0)</f>
        <v>Bajaj Pulsar 125</v>
      </c>
      <c r="L3156" s="5" t="s">
        <v>25</v>
      </c>
      <c r="M3156" s="7" t="str">
        <f>VLOOKUP(A3156,Sheet2!$A$2:$R$3432,5,0)</f>
        <v>MH12TF9425</v>
      </c>
      <c r="N3156" s="5" t="s">
        <v>25</v>
      </c>
      <c r="O3156" s="5" t="s">
        <v>25</v>
      </c>
      <c r="P3156" s="6" t="s">
        <v>25</v>
      </c>
      <c r="Q3156" s="5" t="s">
        <v>25</v>
      </c>
      <c r="R3156" s="5" t="s">
        <v>25</v>
      </c>
      <c r="S3156" s="5" t="str">
        <f>VLOOKUP(A3156,Sheet2!$A$2:$R$3432,18,0)</f>
        <v>DHXWLH76609</v>
      </c>
      <c r="T3156" s="7" t="str">
        <f>VLOOKUP(A3156,Sheet2!$A$2:$R$3432,17,0)</f>
        <v>MD2B68BX6LWH09515</v>
      </c>
    </row>
    <row r="3157" ht="15.75" customHeight="1">
      <c r="A3157" s="3" t="s">
        <v>3180</v>
      </c>
      <c r="B3157" s="4" t="str">
        <f>VLOOKUP(A3157,Sheet2!$A$2:$R$3432,2,0)</f>
        <v>2025-06-21 21:16:17</v>
      </c>
      <c r="C3157" s="5" t="s">
        <v>25</v>
      </c>
      <c r="D3157" s="6" t="s">
        <v>25</v>
      </c>
      <c r="E3157" s="7">
        <f>VLOOKUP(A3157,Sheet2!$A$2:$R$3432,4,0)</f>
        <v>9890675383</v>
      </c>
      <c r="F3157" s="7" t="str">
        <f>VLOOKUP(A3157,Sheet2!$A$2:$R$3432,3,0)</f>
        <v>Sujay Joshi</v>
      </c>
      <c r="G3157" s="5" t="s">
        <v>25</v>
      </c>
      <c r="H3157" s="5" t="s">
        <v>25</v>
      </c>
      <c r="I3157" s="5" t="s">
        <v>25</v>
      </c>
      <c r="J3157" s="5" t="s">
        <v>25</v>
      </c>
      <c r="K3157" s="7" t="str">
        <f>VLOOKUP(A3157,Sheet2!$A$2:$R$3432,6,0)</f>
        <v>Suzuki Access 125</v>
      </c>
      <c r="L3157" s="5" t="s">
        <v>25</v>
      </c>
      <c r="M3157" s="7" t="str">
        <f>VLOOKUP(A3157,Sheet2!$A$2:$R$3432,5,0)</f>
        <v>MH12QQ8618</v>
      </c>
      <c r="N3157" s="5" t="s">
        <v>25</v>
      </c>
      <c r="O3157" s="5" t="s">
        <v>25</v>
      </c>
      <c r="P3157" s="6" t="s">
        <v>25</v>
      </c>
      <c r="Q3157" s="5" t="s">
        <v>25</v>
      </c>
      <c r="R3157" s="5" t="s">
        <v>25</v>
      </c>
      <c r="S3157" s="5" t="str">
        <f>VLOOKUP(A3157,Sheet2!$A$2:$R$3432,18,0)</f>
        <v>AF211722746</v>
      </c>
      <c r="T3157" s="7" t="str">
        <f>VLOOKUP(A3157,Sheet2!$A$2:$R$3432,17,0)</f>
        <v>MB8DP11AFJ8925232</v>
      </c>
    </row>
    <row r="3158" ht="15.75" customHeight="1">
      <c r="A3158" s="3" t="s">
        <v>3181</v>
      </c>
      <c r="B3158" s="4" t="str">
        <f>VLOOKUP(A3158,Sheet2!$A$2:$R$3432,2,0)</f>
        <v>2025-06-21 20:37:34</v>
      </c>
      <c r="C3158" s="5" t="s">
        <v>25</v>
      </c>
      <c r="D3158" s="6" t="s">
        <v>25</v>
      </c>
      <c r="E3158" s="7">
        <f>VLOOKUP(A3158,Sheet2!$A$2:$R$3432,4,0)</f>
        <v>9420864298</v>
      </c>
      <c r="F3158" s="7" t="str">
        <f>VLOOKUP(A3158,Sheet2!$A$2:$R$3432,3,0)</f>
        <v>Rajendra Patil</v>
      </c>
      <c r="G3158" s="5" t="s">
        <v>25</v>
      </c>
      <c r="H3158" s="5" t="s">
        <v>25</v>
      </c>
      <c r="I3158" s="5" t="s">
        <v>25</v>
      </c>
      <c r="J3158" s="5" t="s">
        <v>25</v>
      </c>
      <c r="K3158" s="7" t="str">
        <f>VLOOKUP(A3158,Sheet2!$A$2:$R$3432,6,0)</f>
        <v>Hero Passion Xpro</v>
      </c>
      <c r="L3158" s="5" t="s">
        <v>25</v>
      </c>
      <c r="M3158" s="7" t="str">
        <f>VLOOKUP(A3158,Sheet2!$A$2:$R$3432,5,0)</f>
        <v>MH14EX3991</v>
      </c>
      <c r="N3158" s="5" t="s">
        <v>25</v>
      </c>
      <c r="O3158" s="5" t="s">
        <v>25</v>
      </c>
      <c r="P3158" s="6" t="s">
        <v>25</v>
      </c>
      <c r="Q3158" s="5" t="s">
        <v>25</v>
      </c>
      <c r="R3158" s="5" t="s">
        <v>25</v>
      </c>
      <c r="S3158" s="5" t="str">
        <f>VLOOKUP(A3158,Sheet2!$A$2:$R$3432,18,0)</f>
        <v>HA12A01D05474</v>
      </c>
      <c r="T3158" s="7" t="str">
        <f>VLOOKUP(A3158,Sheet2!$A$2:$R$3432,17,0)</f>
        <v>MBLJA12A0FCC03639</v>
      </c>
    </row>
    <row r="3159" ht="15.75" customHeight="1">
      <c r="A3159" s="3" t="s">
        <v>3182</v>
      </c>
      <c r="B3159" s="4" t="str">
        <f>VLOOKUP(A3159,Sheet2!$A$2:$R$3432,2,0)</f>
        <v>2025-06-21 18:10:19</v>
      </c>
      <c r="C3159" s="5" t="s">
        <v>25</v>
      </c>
      <c r="D3159" s="6" t="s">
        <v>25</v>
      </c>
      <c r="E3159" s="7">
        <f>VLOOKUP(A3159,Sheet2!$A$2:$R$3432,4,0)</f>
        <v>9359721631</v>
      </c>
      <c r="F3159" s="7" t="str">
        <f>VLOOKUP(A3159,Sheet2!$A$2:$R$3432,3,0)</f>
        <v>Harsh Jadhav</v>
      </c>
      <c r="G3159" s="5" t="s">
        <v>25</v>
      </c>
      <c r="H3159" s="5" t="s">
        <v>25</v>
      </c>
      <c r="I3159" s="5" t="s">
        <v>25</v>
      </c>
      <c r="J3159" s="5" t="s">
        <v>25</v>
      </c>
      <c r="K3159" s="7" t="str">
        <f>VLOOKUP(A3159,Sheet2!$A$2:$R$3432,6,0)</f>
        <v>Piaggio Vespa </v>
      </c>
      <c r="L3159" s="5" t="s">
        <v>25</v>
      </c>
      <c r="M3159" s="7" t="str">
        <f>VLOOKUP(A3159,Sheet2!$A$2:$R$3432,5,0)</f>
        <v>MH14HL1865</v>
      </c>
      <c r="N3159" s="5" t="s">
        <v>25</v>
      </c>
      <c r="O3159" s="5" t="s">
        <v>25</v>
      </c>
      <c r="P3159" s="6" t="s">
        <v>25</v>
      </c>
      <c r="Q3159" s="5" t="s">
        <v>25</v>
      </c>
      <c r="R3159" s="5" t="s">
        <v>25</v>
      </c>
      <c r="S3159" s="7" t="str">
        <f>VLOOKUP(A3159,Sheet2!$A$2:$R$3432,18,0)</f>
        <v/>
      </c>
      <c r="T3159" s="7" t="str">
        <f>VLOOKUP(A3159,Sheet2!$A$2:$R$3432,17,0)</f>
        <v/>
      </c>
    </row>
    <row r="3160" ht="15.75" customHeight="1">
      <c r="A3160" s="3" t="s">
        <v>3183</v>
      </c>
      <c r="B3160" s="4" t="str">
        <f>VLOOKUP(A3160,Sheet2!$A$2:$R$3432,2,0)</f>
        <v>2025-06-21 18:10:40</v>
      </c>
      <c r="C3160" s="5" t="s">
        <v>25</v>
      </c>
      <c r="D3160" s="6" t="s">
        <v>25</v>
      </c>
      <c r="E3160" s="7">
        <f>VLOOKUP(A3160,Sheet2!$A$2:$R$3432,4,0)</f>
        <v>8788992469</v>
      </c>
      <c r="F3160" s="7" t="str">
        <f>VLOOKUP(A3160,Sheet2!$A$2:$R$3432,3,0)</f>
        <v>Abhijit Suryawanshi</v>
      </c>
      <c r="G3160" s="5" t="s">
        <v>25</v>
      </c>
      <c r="H3160" s="5" t="s">
        <v>25</v>
      </c>
      <c r="I3160" s="5" t="s">
        <v>25</v>
      </c>
      <c r="J3160" s="5" t="s">
        <v>25</v>
      </c>
      <c r="K3160" s="7" t="str">
        <f>VLOOKUP(A3160,Sheet2!$A$2:$R$3432,6,0)</f>
        <v>Honda Activa 125</v>
      </c>
      <c r="L3160" s="5" t="s">
        <v>25</v>
      </c>
      <c r="M3160" s="7" t="str">
        <f>VLOOKUP(A3160,Sheet2!$A$2:$R$3432,5,0)</f>
        <v>MH10DB0186</v>
      </c>
      <c r="N3160" s="5" t="s">
        <v>25</v>
      </c>
      <c r="O3160" s="5" t="s">
        <v>25</v>
      </c>
      <c r="P3160" s="6" t="s">
        <v>25</v>
      </c>
      <c r="Q3160" s="5" t="s">
        <v>25</v>
      </c>
      <c r="R3160" s="5" t="s">
        <v>25</v>
      </c>
      <c r="S3160" s="7" t="str">
        <f>VLOOKUP(A3160,Sheet2!$A$2:$R$3432,18,0)</f>
        <v/>
      </c>
      <c r="T3160" s="7" t="str">
        <f>VLOOKUP(A3160,Sheet2!$A$2:$R$3432,17,0)</f>
        <v/>
      </c>
    </row>
    <row r="3161" ht="15.75" customHeight="1">
      <c r="A3161" s="3" t="s">
        <v>3184</v>
      </c>
      <c r="B3161" s="4" t="str">
        <f>VLOOKUP(A3161,Sheet2!$A$2:$R$3432,2,0)</f>
        <v>2025-06-21 20:34:13</v>
      </c>
      <c r="C3161" s="5" t="s">
        <v>25</v>
      </c>
      <c r="D3161" s="6" t="s">
        <v>25</v>
      </c>
      <c r="E3161" s="7">
        <f>VLOOKUP(A3161,Sheet2!$A$2:$R$3432,4,0)</f>
        <v>9158796797</v>
      </c>
      <c r="F3161" s="7" t="str">
        <f>VLOOKUP(A3161,Sheet2!$A$2:$R$3432,3,0)</f>
        <v>Harshal Pandit</v>
      </c>
      <c r="G3161" s="5" t="s">
        <v>25</v>
      </c>
      <c r="H3161" s="5" t="s">
        <v>25</v>
      </c>
      <c r="I3161" s="5" t="s">
        <v>25</v>
      </c>
      <c r="J3161" s="5" t="s">
        <v>25</v>
      </c>
      <c r="K3161" s="7" t="str">
        <f>VLOOKUP(A3161,Sheet2!$A$2:$R$3432,6,0)</f>
        <v>Yamaha SZ RR</v>
      </c>
      <c r="L3161" s="5" t="s">
        <v>25</v>
      </c>
      <c r="M3161" s="7" t="str">
        <f>VLOOKUP(A3161,Sheet2!$A$2:$R$3432,5,0)</f>
        <v>MH17AL6435</v>
      </c>
      <c r="N3161" s="5" t="s">
        <v>25</v>
      </c>
      <c r="O3161" s="5" t="s">
        <v>25</v>
      </c>
      <c r="P3161" s="6" t="s">
        <v>25</v>
      </c>
      <c r="Q3161" s="5" t="s">
        <v>25</v>
      </c>
      <c r="R3161" s="5" t="s">
        <v>25</v>
      </c>
      <c r="S3161" s="5" t="str">
        <f>VLOOKUP(A3161,Sheet2!$A$2:$R$3432,18,0)</f>
        <v>54B1017203</v>
      </c>
      <c r="T3161" s="7" t="str">
        <f>VLOOKUP(A3161,Sheet2!$A$2:$R$3432,17,0)</f>
        <v>ME154B0X42D7187</v>
      </c>
    </row>
    <row r="3162" ht="15.75" customHeight="1">
      <c r="A3162" s="3" t="s">
        <v>3185</v>
      </c>
      <c r="B3162" s="4" t="str">
        <f>VLOOKUP(A3162,Sheet2!$A$2:$R$3432,2,0)</f>
        <v>2025-06-21 18:21:38</v>
      </c>
      <c r="C3162" s="5" t="s">
        <v>25</v>
      </c>
      <c r="D3162" s="6" t="s">
        <v>25</v>
      </c>
      <c r="E3162" s="7">
        <f>VLOOKUP(A3162,Sheet2!$A$2:$R$3432,4,0)</f>
        <v>9767509798</v>
      </c>
      <c r="F3162" s="7" t="str">
        <f>VLOOKUP(A3162,Sheet2!$A$2:$R$3432,3,0)</f>
        <v>Akshay Rao</v>
      </c>
      <c r="G3162" s="5" t="s">
        <v>25</v>
      </c>
      <c r="H3162" s="5" t="s">
        <v>25</v>
      </c>
      <c r="I3162" s="5" t="s">
        <v>25</v>
      </c>
      <c r="J3162" s="5" t="s">
        <v>25</v>
      </c>
      <c r="K3162" s="7" t="str">
        <f>VLOOKUP(A3162,Sheet2!$A$2:$R$3432,6,0)</f>
        <v>Yamaha FZ </v>
      </c>
      <c r="L3162" s="5" t="s">
        <v>25</v>
      </c>
      <c r="M3162" s="7" t="str">
        <f>VLOOKUP(A3162,Sheet2!$A$2:$R$3432,5,0)</f>
        <v>MH14DD1702</v>
      </c>
      <c r="N3162" s="5" t="s">
        <v>25</v>
      </c>
      <c r="O3162" s="5" t="s">
        <v>25</v>
      </c>
      <c r="P3162" s="6" t="s">
        <v>25</v>
      </c>
      <c r="Q3162" s="5" t="s">
        <v>25</v>
      </c>
      <c r="R3162" s="5" t="s">
        <v>25</v>
      </c>
      <c r="S3162" s="7" t="str">
        <f>VLOOKUP(A3162,Sheet2!$A$2:$R$3432,18,0)</f>
        <v/>
      </c>
      <c r="T3162" s="7" t="str">
        <f>VLOOKUP(A3162,Sheet2!$A$2:$R$3432,17,0)</f>
        <v/>
      </c>
    </row>
    <row r="3163" ht="15.75" customHeight="1">
      <c r="A3163" s="3" t="s">
        <v>3186</v>
      </c>
      <c r="B3163" s="4" t="str">
        <f>VLOOKUP(A3163,Sheet2!$A$2:$R$3432,2,0)</f>
        <v>2025-06-21 20:33:51</v>
      </c>
      <c r="C3163" s="5" t="s">
        <v>25</v>
      </c>
      <c r="D3163" s="6" t="s">
        <v>25</v>
      </c>
      <c r="E3163" s="7">
        <f>VLOOKUP(A3163,Sheet2!$A$2:$R$3432,4,0)</f>
        <v>9960370060</v>
      </c>
      <c r="F3163" s="7" t="str">
        <f>VLOOKUP(A3163,Sheet2!$A$2:$R$3432,3,0)</f>
        <v>Rajan</v>
      </c>
      <c r="G3163" s="5" t="s">
        <v>25</v>
      </c>
      <c r="H3163" s="5" t="s">
        <v>25</v>
      </c>
      <c r="I3163" s="5" t="s">
        <v>25</v>
      </c>
      <c r="J3163" s="5" t="s">
        <v>25</v>
      </c>
      <c r="K3163" s="7" t="str">
        <f>VLOOKUP(A3163,Sheet2!$A$2:$R$3432,6,0)</f>
        <v>TVS Jupiter </v>
      </c>
      <c r="L3163" s="5" t="s">
        <v>25</v>
      </c>
      <c r="M3163" s="7" t="str">
        <f>VLOOKUP(A3163,Sheet2!$A$2:$R$3432,5,0)</f>
        <v>MH39AF5141</v>
      </c>
      <c r="N3163" s="5" t="s">
        <v>25</v>
      </c>
      <c r="O3163" s="5" t="s">
        <v>25</v>
      </c>
      <c r="P3163" s="6" t="s">
        <v>25</v>
      </c>
      <c r="Q3163" s="5" t="s">
        <v>25</v>
      </c>
      <c r="R3163" s="5" t="s">
        <v>25</v>
      </c>
      <c r="S3163" s="7" t="str">
        <f>VLOOKUP(A3163,Sheet2!$A$2:$R$3432,18,0)</f>
        <v/>
      </c>
      <c r="T3163" s="7" t="str">
        <f>VLOOKUP(A3163,Sheet2!$A$2:$R$3432,17,0)</f>
        <v/>
      </c>
    </row>
    <row r="3164" ht="15.75" customHeight="1">
      <c r="A3164" s="3" t="s">
        <v>3187</v>
      </c>
      <c r="B3164" s="4" t="str">
        <f>VLOOKUP(A3164,Sheet2!$A$2:$R$3432,2,0)</f>
        <v>2025-06-21 19:47:54</v>
      </c>
      <c r="C3164" s="5" t="s">
        <v>25</v>
      </c>
      <c r="D3164" s="6" t="s">
        <v>25</v>
      </c>
      <c r="E3164" s="7">
        <f>VLOOKUP(A3164,Sheet2!$A$2:$R$3432,4,0)</f>
        <v>9833693526</v>
      </c>
      <c r="F3164" s="7" t="str">
        <f>VLOOKUP(A3164,Sheet2!$A$2:$R$3432,3,0)</f>
        <v>Sneha Sathe</v>
      </c>
      <c r="G3164" s="5" t="s">
        <v>25</v>
      </c>
      <c r="H3164" s="5" t="s">
        <v>25</v>
      </c>
      <c r="I3164" s="5" t="s">
        <v>25</v>
      </c>
      <c r="J3164" s="5" t="s">
        <v>25</v>
      </c>
      <c r="K3164" s="7" t="str">
        <f>VLOOKUP(A3164,Sheet2!$A$2:$R$3432,6,0)</f>
        <v>TVS Jupiter </v>
      </c>
      <c r="L3164" s="5" t="s">
        <v>25</v>
      </c>
      <c r="M3164" s="7" t="str">
        <f>VLOOKUP(A3164,Sheet2!$A$2:$R$3432,5,0)</f>
        <v>MH14HJ3006</v>
      </c>
      <c r="N3164" s="5" t="s">
        <v>25</v>
      </c>
      <c r="O3164" s="5" t="s">
        <v>25</v>
      </c>
      <c r="P3164" s="6" t="s">
        <v>25</v>
      </c>
      <c r="Q3164" s="5" t="s">
        <v>25</v>
      </c>
      <c r="R3164" s="5" t="s">
        <v>25</v>
      </c>
      <c r="S3164" s="5" t="str">
        <f>VLOOKUP(A3164,Sheet2!$A$2:$R$3432,18,0)</f>
        <v>EG4PJ131035</v>
      </c>
      <c r="T3164" s="7" t="str">
        <f>VLOOKUP(A3164,Sheet2!$A$2:$R$3432,17,0)</f>
        <v>MD626EG4TJIP1602</v>
      </c>
    </row>
    <row r="3165" ht="15.75" customHeight="1">
      <c r="A3165" s="3" t="s">
        <v>3188</v>
      </c>
      <c r="B3165" s="4" t="str">
        <f>VLOOKUP(A3165,Sheet2!$A$2:$R$3432,2,0)</f>
        <v>2025-06-21 20:09:51</v>
      </c>
      <c r="C3165" s="5" t="s">
        <v>25</v>
      </c>
      <c r="D3165" s="6" t="s">
        <v>25</v>
      </c>
      <c r="E3165" s="7">
        <f>VLOOKUP(A3165,Sheet2!$A$2:$R$3432,4,0)</f>
        <v>7709246409</v>
      </c>
      <c r="F3165" s="7" t="str">
        <f>VLOOKUP(A3165,Sheet2!$A$2:$R$3432,3,0)</f>
        <v>Diryanshi</v>
      </c>
      <c r="G3165" s="5" t="s">
        <v>25</v>
      </c>
      <c r="H3165" s="5" t="s">
        <v>25</v>
      </c>
      <c r="I3165" s="5" t="s">
        <v>25</v>
      </c>
      <c r="J3165" s="5" t="s">
        <v>25</v>
      </c>
      <c r="K3165" s="7" t="str">
        <f>VLOOKUP(A3165,Sheet2!$A$2:$R$3432,6,0)</f>
        <v>Honda Activa 6G</v>
      </c>
      <c r="L3165" s="5" t="s">
        <v>25</v>
      </c>
      <c r="M3165" s="7" t="str">
        <f>VLOOKUP(A3165,Sheet2!$A$2:$R$3432,5,0)</f>
        <v>MH49BS1654</v>
      </c>
      <c r="N3165" s="5" t="s">
        <v>25</v>
      </c>
      <c r="O3165" s="5" t="s">
        <v>25</v>
      </c>
      <c r="P3165" s="6" t="s">
        <v>25</v>
      </c>
      <c r="Q3165" s="5" t="s">
        <v>25</v>
      </c>
      <c r="R3165" s="5" t="s">
        <v>25</v>
      </c>
      <c r="S3165" s="7" t="str">
        <f>VLOOKUP(A3165,Sheet2!$A$2:$R$3432,18,0)</f>
        <v/>
      </c>
      <c r="T3165" s="7" t="str">
        <f>VLOOKUP(A3165,Sheet2!$A$2:$R$3432,17,0)</f>
        <v/>
      </c>
    </row>
    <row r="3166" ht="15.75" customHeight="1">
      <c r="A3166" s="3" t="s">
        <v>3189</v>
      </c>
      <c r="B3166" s="4" t="str">
        <f>VLOOKUP(A3166,Sheet2!$A$2:$R$3432,2,0)</f>
        <v>2025-06-21 21:08:06</v>
      </c>
      <c r="C3166" s="5" t="s">
        <v>25</v>
      </c>
      <c r="D3166" s="6" t="s">
        <v>25</v>
      </c>
      <c r="E3166" s="7">
        <f>VLOOKUP(A3166,Sheet2!$A$2:$R$3432,4,0)</f>
        <v>8698644744</v>
      </c>
      <c r="F3166" s="7" t="str">
        <f>VLOOKUP(A3166,Sheet2!$A$2:$R$3432,3,0)</f>
        <v>Reddy</v>
      </c>
      <c r="G3166" s="5" t="s">
        <v>25</v>
      </c>
      <c r="H3166" s="5" t="s">
        <v>25</v>
      </c>
      <c r="I3166" s="5" t="s">
        <v>25</v>
      </c>
      <c r="J3166" s="5" t="s">
        <v>25</v>
      </c>
      <c r="K3166" s="7" t="str">
        <f>VLOOKUP(A3166,Sheet2!$A$2:$R$3432,6,0)</f>
        <v>Yamaha FZ </v>
      </c>
      <c r="L3166" s="5" t="s">
        <v>25</v>
      </c>
      <c r="M3166" s="7" t="str">
        <f>VLOOKUP(A3166,Sheet2!$A$2:$R$3432,5,0)</f>
        <v>MH12FN1830</v>
      </c>
      <c r="N3166" s="5" t="s">
        <v>25</v>
      </c>
      <c r="O3166" s="5" t="s">
        <v>25</v>
      </c>
      <c r="P3166" s="6" t="s">
        <v>25</v>
      </c>
      <c r="Q3166" s="5" t="s">
        <v>25</v>
      </c>
      <c r="R3166" s="5" t="s">
        <v>25</v>
      </c>
      <c r="S3166" s="7" t="str">
        <f>VLOOKUP(A3166,Sheet2!$A$2:$R$3432,18,0)</f>
        <v/>
      </c>
      <c r="T3166" s="7" t="str">
        <f>VLOOKUP(A3166,Sheet2!$A$2:$R$3432,17,0)</f>
        <v/>
      </c>
    </row>
    <row r="3167" ht="15.75" customHeight="1">
      <c r="A3167" s="3" t="s">
        <v>3190</v>
      </c>
      <c r="B3167" s="4" t="str">
        <f>VLOOKUP(A3167,Sheet2!$A$2:$R$3432,2,0)</f>
        <v>2025-06-21 21:17:52</v>
      </c>
      <c r="C3167" s="5" t="s">
        <v>25</v>
      </c>
      <c r="D3167" s="6" t="s">
        <v>25</v>
      </c>
      <c r="E3167" s="7">
        <f>VLOOKUP(A3167,Sheet2!$A$2:$R$3432,4,0)</f>
        <v>9372420714</v>
      </c>
      <c r="F3167" s="7" t="str">
        <f>VLOOKUP(A3167,Sheet2!$A$2:$R$3432,3,0)</f>
        <v>Amit Sonawane</v>
      </c>
      <c r="G3167" s="5" t="s">
        <v>25</v>
      </c>
      <c r="H3167" s="5" t="s">
        <v>25</v>
      </c>
      <c r="I3167" s="5" t="s">
        <v>25</v>
      </c>
      <c r="J3167" s="5" t="s">
        <v>25</v>
      </c>
      <c r="K3167" s="7" t="str">
        <f>VLOOKUP(A3167,Sheet2!$A$2:$R$3432,6,0)</f>
        <v>TVS Jupiter </v>
      </c>
      <c r="L3167" s="5" t="s">
        <v>25</v>
      </c>
      <c r="M3167" s="7" t="str">
        <f>VLOOKUP(A3167,Sheet2!$A$2:$R$3432,5,0)</f>
        <v>MH14FP4404</v>
      </c>
      <c r="N3167" s="5" t="s">
        <v>25</v>
      </c>
      <c r="O3167" s="5" t="s">
        <v>25</v>
      </c>
      <c r="P3167" s="6" t="s">
        <v>25</v>
      </c>
      <c r="Q3167" s="5" t="s">
        <v>25</v>
      </c>
      <c r="R3167" s="5" t="s">
        <v>25</v>
      </c>
      <c r="S3167" s="7" t="str">
        <f>VLOOKUP(A3167,Sheet2!$A$2:$R$3432,18,0)</f>
        <v/>
      </c>
      <c r="T3167" s="7" t="str">
        <f>VLOOKUP(A3167,Sheet2!$A$2:$R$3432,17,0)</f>
        <v>MD626BG42G1C91466</v>
      </c>
    </row>
    <row r="3168" ht="15.75" customHeight="1">
      <c r="A3168" s="3" t="s">
        <v>3191</v>
      </c>
      <c r="B3168" s="4" t="str">
        <f>VLOOKUP(A3168,Sheet2!$A$2:$R$3432,2,0)</f>
        <v>2025-05-28 21:05:23</v>
      </c>
      <c r="C3168" s="5" t="s">
        <v>25</v>
      </c>
      <c r="D3168" s="6" t="s">
        <v>25</v>
      </c>
      <c r="E3168" s="7">
        <f>VLOOKUP(A3168,Sheet2!$A$2:$R$3432,4,0)</f>
        <v>8788252113</v>
      </c>
      <c r="F3168" s="7" t="str">
        <f>VLOOKUP(A3168,Sheet2!$A$2:$R$3432,3,0)</f>
        <v>Ganesh Khaire</v>
      </c>
      <c r="G3168" s="5" t="s">
        <v>25</v>
      </c>
      <c r="H3168" s="5" t="s">
        <v>25</v>
      </c>
      <c r="I3168" s="5" t="s">
        <v>25</v>
      </c>
      <c r="J3168" s="5" t="s">
        <v>25</v>
      </c>
      <c r="K3168" s="7" t="str">
        <f>VLOOKUP(A3168,Sheet2!$A$2:$R$3432,6,0)</f>
        <v>TVS Jupiter </v>
      </c>
      <c r="L3168" s="5" t="s">
        <v>25</v>
      </c>
      <c r="M3168" s="7" t="str">
        <f>VLOOKUP(A3168,Sheet2!$A$2:$R$3432,5,0)</f>
        <v>MH14JQ8996</v>
      </c>
      <c r="N3168" s="5" t="s">
        <v>25</v>
      </c>
      <c r="O3168" s="5" t="s">
        <v>25</v>
      </c>
      <c r="P3168" s="6" t="s">
        <v>25</v>
      </c>
      <c r="Q3168" s="5" t="s">
        <v>25</v>
      </c>
      <c r="R3168" s="5" t="s">
        <v>25</v>
      </c>
      <c r="S3168" s="7" t="str">
        <f>VLOOKUP(A3168,Sheet2!$A$2:$R$3432,18,0)</f>
        <v/>
      </c>
      <c r="T3168" s="7" t="str">
        <f>VLOOKUP(A3168,Sheet2!$A$2:$R$3432,17,0)</f>
        <v/>
      </c>
    </row>
    <row r="3169" ht="15.75" customHeight="1">
      <c r="A3169" s="3" t="s">
        <v>3192</v>
      </c>
      <c r="B3169" s="4" t="str">
        <f>VLOOKUP(A3169,Sheet2!$A$2:$R$3432,2,0)</f>
        <v>2025-05-28 21:02:55</v>
      </c>
      <c r="C3169" s="5" t="s">
        <v>25</v>
      </c>
      <c r="D3169" s="6" t="s">
        <v>25</v>
      </c>
      <c r="E3169" s="7">
        <f>VLOOKUP(A3169,Sheet2!$A$2:$R$3432,4,0)</f>
        <v>8007030595</v>
      </c>
      <c r="F3169" s="7" t="str">
        <f>VLOOKUP(A3169,Sheet2!$A$2:$R$3432,3,0)</f>
        <v>Mrudul Kolhe</v>
      </c>
      <c r="G3169" s="5" t="s">
        <v>25</v>
      </c>
      <c r="H3169" s="5" t="s">
        <v>25</v>
      </c>
      <c r="I3169" s="5" t="s">
        <v>25</v>
      </c>
      <c r="J3169" s="5" t="s">
        <v>25</v>
      </c>
      <c r="K3169" s="7" t="str">
        <f>VLOOKUP(A3169,Sheet2!$A$2:$R$3432,6,0)</f>
        <v>Bajaj Pulsar 180</v>
      </c>
      <c r="L3169" s="5" t="s">
        <v>25</v>
      </c>
      <c r="M3169" s="7" t="str">
        <f>VLOOKUP(A3169,Sheet2!$A$2:$R$3432,5,0)</f>
        <v>MH31DY0065</v>
      </c>
      <c r="N3169" s="5" t="s">
        <v>25</v>
      </c>
      <c r="O3169" s="5" t="s">
        <v>25</v>
      </c>
      <c r="P3169" s="6" t="s">
        <v>25</v>
      </c>
      <c r="Q3169" s="5" t="s">
        <v>25</v>
      </c>
      <c r="R3169" s="5" t="s">
        <v>25</v>
      </c>
      <c r="S3169" s="7" t="str">
        <f>VLOOKUP(A3169,Sheet2!$A$2:$R$3432,18,0)</f>
        <v/>
      </c>
      <c r="T3169" s="7" t="str">
        <f>VLOOKUP(A3169,Sheet2!$A$2:$R$3432,17,0)</f>
        <v/>
      </c>
    </row>
    <row r="3170" ht="15.75" customHeight="1">
      <c r="A3170" s="3" t="s">
        <v>3193</v>
      </c>
      <c r="B3170" s="4" t="str">
        <f>VLOOKUP(A3170,Sheet2!$A$2:$R$3432,2,0)</f>
        <v>2025-05-28 18:33:39</v>
      </c>
      <c r="C3170" s="5" t="s">
        <v>25</v>
      </c>
      <c r="D3170" s="6" t="s">
        <v>25</v>
      </c>
      <c r="E3170" s="7">
        <f>VLOOKUP(A3170,Sheet2!$A$2:$R$3432,4,0)</f>
        <v>9892720321</v>
      </c>
      <c r="F3170" s="7" t="str">
        <f>VLOOKUP(A3170,Sheet2!$A$2:$R$3432,3,0)</f>
        <v>Kiran</v>
      </c>
      <c r="G3170" s="5" t="s">
        <v>25</v>
      </c>
      <c r="H3170" s="5" t="s">
        <v>25</v>
      </c>
      <c r="I3170" s="5" t="s">
        <v>25</v>
      </c>
      <c r="J3170" s="5" t="s">
        <v>25</v>
      </c>
      <c r="K3170" s="7" t="str">
        <f>VLOOKUP(A3170,Sheet2!$A$2:$R$3432,6,0)</f>
        <v>Honda Dio </v>
      </c>
      <c r="L3170" s="5" t="s">
        <v>25</v>
      </c>
      <c r="M3170" s="7" t="str">
        <f>VLOOKUP(A3170,Sheet2!$A$2:$R$3432,5,0)</f>
        <v>MH09EA7532</v>
      </c>
      <c r="N3170" s="5" t="s">
        <v>25</v>
      </c>
      <c r="O3170" s="5" t="s">
        <v>25</v>
      </c>
      <c r="P3170" s="6" t="s">
        <v>25</v>
      </c>
      <c r="Q3170" s="5" t="s">
        <v>25</v>
      </c>
      <c r="R3170" s="5" t="s">
        <v>25</v>
      </c>
      <c r="S3170" s="5" t="str">
        <f>VLOOKUP(A3170,Sheet2!$A$2:$R$3432,18,0)</f>
        <v>JF35E722654</v>
      </c>
      <c r="T3170" s="7" t="str">
        <f>VLOOKUP(A3170,Sheet2!$A$2:$R$3432,17,0)</f>
        <v>ME4JF394JF702597</v>
      </c>
    </row>
    <row r="3171" ht="15.75" customHeight="1">
      <c r="A3171" s="3" t="s">
        <v>3194</v>
      </c>
      <c r="B3171" s="4" t="str">
        <f>VLOOKUP(A3171,Sheet2!$A$2:$R$3432,2,0)</f>
        <v>2025-05-28 21:05:01</v>
      </c>
      <c r="C3171" s="5" t="s">
        <v>25</v>
      </c>
      <c r="D3171" s="6" t="s">
        <v>25</v>
      </c>
      <c r="E3171" s="7">
        <f>VLOOKUP(A3171,Sheet2!$A$2:$R$3432,4,0)</f>
        <v>9823920709</v>
      </c>
      <c r="F3171" s="7" t="str">
        <f>VLOOKUP(A3171,Sheet2!$A$2:$R$3432,3,0)</f>
        <v>Manasi</v>
      </c>
      <c r="G3171" s="5" t="s">
        <v>25</v>
      </c>
      <c r="H3171" s="5" t="s">
        <v>25</v>
      </c>
      <c r="I3171" s="5" t="s">
        <v>25</v>
      </c>
      <c r="J3171" s="5" t="s">
        <v>25</v>
      </c>
      <c r="K3171" s="7" t="str">
        <f>VLOOKUP(A3171,Sheet2!$A$2:$R$3432,6,0)</f>
        <v>TVS Scooty PEP</v>
      </c>
      <c r="L3171" s="5" t="s">
        <v>25</v>
      </c>
      <c r="M3171" s="7" t="str">
        <f>VLOOKUP(A3171,Sheet2!$A$2:$R$3432,5,0)</f>
        <v>MH14DB7508</v>
      </c>
      <c r="N3171" s="5" t="s">
        <v>25</v>
      </c>
      <c r="O3171" s="5" t="s">
        <v>25</v>
      </c>
      <c r="P3171" s="6" t="s">
        <v>25</v>
      </c>
      <c r="Q3171" s="5" t="s">
        <v>25</v>
      </c>
      <c r="R3171" s="5" t="s">
        <v>25</v>
      </c>
      <c r="S3171" s="7" t="str">
        <f>VLOOKUP(A3171,Sheet2!$A$2:$R$3432,18,0)</f>
        <v/>
      </c>
      <c r="T3171" s="7" t="str">
        <f>VLOOKUP(A3171,Sheet2!$A$2:$R$3432,17,0)</f>
        <v/>
      </c>
    </row>
    <row r="3172" ht="15.75" customHeight="1">
      <c r="A3172" s="3" t="s">
        <v>3195</v>
      </c>
      <c r="B3172" s="4" t="str">
        <f>VLOOKUP(A3172,Sheet2!$A$2:$R$3432,2,0)</f>
        <v>2025-05-28 21:03:16</v>
      </c>
      <c r="C3172" s="5" t="s">
        <v>25</v>
      </c>
      <c r="D3172" s="6" t="s">
        <v>25</v>
      </c>
      <c r="E3172" s="7">
        <f>VLOOKUP(A3172,Sheet2!$A$2:$R$3432,4,0)</f>
        <v>8975973107</v>
      </c>
      <c r="F3172" s="7" t="str">
        <f>VLOOKUP(A3172,Sheet2!$A$2:$R$3432,3,0)</f>
        <v>PRATIK KANSE</v>
      </c>
      <c r="G3172" s="5" t="s">
        <v>25</v>
      </c>
      <c r="H3172" s="5" t="s">
        <v>25</v>
      </c>
      <c r="I3172" s="5" t="s">
        <v>25</v>
      </c>
      <c r="J3172" s="5" t="s">
        <v>25</v>
      </c>
      <c r="K3172" s="7" t="str">
        <f>VLOOKUP(A3172,Sheet2!$A$2:$R$3432,6,0)</f>
        <v>Honda Activa 110</v>
      </c>
      <c r="L3172" s="5" t="s">
        <v>25</v>
      </c>
      <c r="M3172" s="7" t="str">
        <f>VLOOKUP(A3172,Sheet2!$A$2:$R$3432,5,0)</f>
        <v>MH14FK912</v>
      </c>
      <c r="N3172" s="5" t="s">
        <v>25</v>
      </c>
      <c r="O3172" s="5" t="s">
        <v>25</v>
      </c>
      <c r="P3172" s="6" t="s">
        <v>25</v>
      </c>
      <c r="Q3172" s="5" t="s">
        <v>25</v>
      </c>
      <c r="R3172" s="5" t="s">
        <v>25</v>
      </c>
      <c r="S3172" s="7" t="str">
        <f>VLOOKUP(A3172,Sheet2!$A$2:$R$3432,18,0)</f>
        <v/>
      </c>
      <c r="T3172" s="7" t="str">
        <f>VLOOKUP(A3172,Sheet2!$A$2:$R$3432,17,0)</f>
        <v/>
      </c>
    </row>
    <row r="3173" ht="15.75" customHeight="1">
      <c r="A3173" s="3" t="s">
        <v>3196</v>
      </c>
      <c r="B3173" s="4" t="str">
        <f>VLOOKUP(A3173,Sheet2!$A$2:$R$3432,2,0)</f>
        <v>2025-05-28 21:04:41</v>
      </c>
      <c r="C3173" s="5" t="s">
        <v>25</v>
      </c>
      <c r="D3173" s="6" t="s">
        <v>25</v>
      </c>
      <c r="E3173" s="7">
        <f>VLOOKUP(A3173,Sheet2!$A$2:$R$3432,4,0)</f>
        <v>9821890538</v>
      </c>
      <c r="F3173" s="7" t="str">
        <f>VLOOKUP(A3173,Sheet2!$A$2:$R$3432,3,0)</f>
        <v>Vinayak</v>
      </c>
      <c r="G3173" s="5" t="s">
        <v>25</v>
      </c>
      <c r="H3173" s="5" t="s">
        <v>25</v>
      </c>
      <c r="I3173" s="5" t="s">
        <v>25</v>
      </c>
      <c r="J3173" s="5" t="s">
        <v>25</v>
      </c>
      <c r="K3173" s="7" t="str">
        <f>VLOOKUP(A3173,Sheet2!$A$2:$R$3432,6,0)</f>
        <v>Honda Activa 125</v>
      </c>
      <c r="L3173" s="5" t="s">
        <v>25</v>
      </c>
      <c r="M3173" s="7" t="str">
        <f>VLOOKUP(A3173,Sheet2!$A$2:$R$3432,5,0)</f>
        <v>MH05CE1342</v>
      </c>
      <c r="N3173" s="5" t="s">
        <v>25</v>
      </c>
      <c r="O3173" s="5" t="s">
        <v>25</v>
      </c>
      <c r="P3173" s="6" t="s">
        <v>25</v>
      </c>
      <c r="Q3173" s="5" t="s">
        <v>25</v>
      </c>
      <c r="R3173" s="5" t="s">
        <v>25</v>
      </c>
      <c r="S3173" s="5" t="str">
        <f>VLOOKUP(A3173,Sheet2!$A$2:$R$3432,18,0)</f>
        <v>JF45E80016573</v>
      </c>
      <c r="T3173" s="7" t="str">
        <f>VLOOKUP(A3173,Sheet2!$A$2:$R$3432,17,0)</f>
        <v>ME4JF491F8014642</v>
      </c>
    </row>
    <row r="3174" ht="15.75" customHeight="1">
      <c r="A3174" s="3" t="s">
        <v>3197</v>
      </c>
      <c r="B3174" s="4" t="str">
        <f>VLOOKUP(A3174,Sheet2!$A$2:$R$3432,2,0)</f>
        <v>2025-05-28 21:05:34</v>
      </c>
      <c r="C3174" s="5" t="s">
        <v>25</v>
      </c>
      <c r="D3174" s="6" t="s">
        <v>25</v>
      </c>
      <c r="E3174" s="7">
        <f>VLOOKUP(A3174,Sheet2!$A$2:$R$3432,4,0)</f>
        <v>8668460218</v>
      </c>
      <c r="F3174" s="7" t="str">
        <f>VLOOKUP(A3174,Sheet2!$A$2:$R$3432,3,0)</f>
        <v>SACHIN </v>
      </c>
      <c r="G3174" s="5" t="s">
        <v>25</v>
      </c>
      <c r="H3174" s="5" t="s">
        <v>25</v>
      </c>
      <c r="I3174" s="5" t="s">
        <v>25</v>
      </c>
      <c r="J3174" s="5" t="s">
        <v>25</v>
      </c>
      <c r="K3174" s="7" t="str">
        <f>VLOOKUP(A3174,Sheet2!$A$2:$R$3432,6,0)</f>
        <v>Honda Activa 3G</v>
      </c>
      <c r="L3174" s="5" t="s">
        <v>25</v>
      </c>
      <c r="M3174" s="7" t="str">
        <f>VLOOKUP(A3174,Sheet2!$A$2:$R$3432,5,0)</f>
        <v>MH14ES2332</v>
      </c>
      <c r="N3174" s="5" t="s">
        <v>25</v>
      </c>
      <c r="O3174" s="5" t="s">
        <v>25</v>
      </c>
      <c r="P3174" s="6" t="s">
        <v>25</v>
      </c>
      <c r="Q3174" s="5" t="s">
        <v>25</v>
      </c>
      <c r="R3174" s="5" t="s">
        <v>25</v>
      </c>
      <c r="S3174" s="7" t="str">
        <f>VLOOKUP(A3174,Sheet2!$A$2:$R$3432,18,0)</f>
        <v/>
      </c>
      <c r="T3174" s="7" t="str">
        <f>VLOOKUP(A3174,Sheet2!$A$2:$R$3432,17,0)</f>
        <v/>
      </c>
    </row>
    <row r="3175" ht="15.75" customHeight="1">
      <c r="A3175" s="3" t="s">
        <v>3198</v>
      </c>
      <c r="B3175" s="4" t="str">
        <f>VLOOKUP(A3175,Sheet2!$A$2:$R$3432,2,0)</f>
        <v>2025-05-29 21:16:58</v>
      </c>
      <c r="C3175" s="5" t="s">
        <v>25</v>
      </c>
      <c r="D3175" s="6" t="s">
        <v>25</v>
      </c>
      <c r="E3175" s="7">
        <f>VLOOKUP(A3175,Sheet2!$A$2:$R$3432,4,0)</f>
        <v>9404254482</v>
      </c>
      <c r="F3175" s="7" t="str">
        <f>VLOOKUP(A3175,Sheet2!$A$2:$R$3432,3,0)</f>
        <v>TEJAS RAUT</v>
      </c>
      <c r="G3175" s="5" t="s">
        <v>25</v>
      </c>
      <c r="H3175" s="5" t="s">
        <v>25</v>
      </c>
      <c r="I3175" s="5" t="s">
        <v>25</v>
      </c>
      <c r="J3175" s="5" t="s">
        <v>25</v>
      </c>
      <c r="K3175" s="7" t="str">
        <f>VLOOKUP(A3175,Sheet2!$A$2:$R$3432,6,0)</f>
        <v>Yamaha FZ V3</v>
      </c>
      <c r="L3175" s="5" t="s">
        <v>25</v>
      </c>
      <c r="M3175" s="7" t="str">
        <f>VLOOKUP(A3175,Sheet2!$A$2:$R$3432,5,0)</f>
        <v>MH37Y9323</v>
      </c>
      <c r="N3175" s="5" t="s">
        <v>25</v>
      </c>
      <c r="O3175" s="5" t="s">
        <v>25</v>
      </c>
      <c r="P3175" s="6" t="s">
        <v>25</v>
      </c>
      <c r="Q3175" s="5" t="s">
        <v>25</v>
      </c>
      <c r="R3175" s="5" t="s">
        <v>25</v>
      </c>
      <c r="S3175" s="5" t="str">
        <f>VLOOKUP(A3175,Sheet2!$A$2:$R$3432,18,0)</f>
        <v>G3L5E0097468</v>
      </c>
      <c r="T3175" s="7" t="str">
        <f>VLOOKUP(A3175,Sheet2!$A$2:$R$3432,17,0)</f>
        <v>ME1RG44G5K0035485</v>
      </c>
    </row>
    <row r="3176" ht="15.75" customHeight="1">
      <c r="A3176" s="3" t="s">
        <v>3199</v>
      </c>
      <c r="B3176" s="4" t="str">
        <f>VLOOKUP(A3176,Sheet2!$A$2:$R$3432,2,0)</f>
        <v>2025-05-29 21:16:35</v>
      </c>
      <c r="C3176" s="5" t="s">
        <v>25</v>
      </c>
      <c r="D3176" s="6" t="s">
        <v>25</v>
      </c>
      <c r="E3176" s="7">
        <f>VLOOKUP(A3176,Sheet2!$A$2:$R$3432,4,0)</f>
        <v>9075368020</v>
      </c>
      <c r="F3176" s="7" t="str">
        <f>VLOOKUP(A3176,Sheet2!$A$2:$R$3432,3,0)</f>
        <v>Datta Satpute</v>
      </c>
      <c r="G3176" s="5" t="s">
        <v>25</v>
      </c>
      <c r="H3176" s="5" t="s">
        <v>25</v>
      </c>
      <c r="I3176" s="5" t="s">
        <v>25</v>
      </c>
      <c r="J3176" s="5" t="s">
        <v>25</v>
      </c>
      <c r="K3176" s="7" t="str">
        <f>VLOOKUP(A3176,Sheet2!$A$2:$R$3432,6,0)</f>
        <v>Yamaha FZ V3</v>
      </c>
      <c r="L3176" s="5" t="s">
        <v>25</v>
      </c>
      <c r="M3176" s="7" t="str">
        <f>VLOOKUP(A3176,Sheet2!$A$2:$R$3432,5,0)</f>
        <v>MH38Z5196</v>
      </c>
      <c r="N3176" s="5" t="s">
        <v>25</v>
      </c>
      <c r="O3176" s="5" t="s">
        <v>25</v>
      </c>
      <c r="P3176" s="6" t="s">
        <v>25</v>
      </c>
      <c r="Q3176" s="5" t="s">
        <v>25</v>
      </c>
      <c r="R3176" s="5" t="s">
        <v>25</v>
      </c>
      <c r="S3176" s="7" t="str">
        <f>VLOOKUP(A3176,Sheet2!$A$2:$R$3432,18,0)</f>
        <v/>
      </c>
      <c r="T3176" s="7" t="str">
        <f>VLOOKUP(A3176,Sheet2!$A$2:$R$3432,17,0)</f>
        <v/>
      </c>
    </row>
    <row r="3177" ht="15.75" customHeight="1">
      <c r="A3177" s="3" t="s">
        <v>3200</v>
      </c>
      <c r="B3177" s="4" t="str">
        <f>VLOOKUP(A3177,Sheet2!$A$2:$R$3432,2,0)</f>
        <v>2025-06-23 20:26:06</v>
      </c>
      <c r="C3177" s="5" t="s">
        <v>25</v>
      </c>
      <c r="D3177" s="6" t="s">
        <v>25</v>
      </c>
      <c r="E3177" s="7">
        <f>VLOOKUP(A3177,Sheet2!$A$2:$R$3432,4,0)</f>
        <v>9421019191</v>
      </c>
      <c r="F3177" s="7" t="str">
        <f>VLOOKUP(A3177,Sheet2!$A$2:$R$3432,3,0)</f>
        <v>Pranit</v>
      </c>
      <c r="G3177" s="5" t="s">
        <v>25</v>
      </c>
      <c r="H3177" s="5" t="s">
        <v>25</v>
      </c>
      <c r="I3177" s="5" t="s">
        <v>25</v>
      </c>
      <c r="J3177" s="5" t="s">
        <v>25</v>
      </c>
      <c r="K3177" s="7" t="str">
        <f>VLOOKUP(A3177,Sheet2!$A$2:$R$3432,6,0)</f>
        <v>Honda Hornet </v>
      </c>
      <c r="L3177" s="5" t="s">
        <v>25</v>
      </c>
      <c r="M3177" s="7" t="str">
        <f>VLOOKUP(A3177,Sheet2!$A$2:$R$3432,5,0)</f>
        <v>MH14FP7555</v>
      </c>
      <c r="N3177" s="5" t="s">
        <v>25</v>
      </c>
      <c r="O3177" s="5" t="s">
        <v>25</v>
      </c>
      <c r="P3177" s="6" t="s">
        <v>25</v>
      </c>
      <c r="Q3177" s="5" t="s">
        <v>25</v>
      </c>
      <c r="R3177" s="5" t="s">
        <v>25</v>
      </c>
      <c r="S3177" s="7" t="str">
        <f>VLOOKUP(A3177,Sheet2!$A$2:$R$3432,18,0)</f>
        <v/>
      </c>
      <c r="T3177" s="7" t="str">
        <f>VLOOKUP(A3177,Sheet2!$A$2:$R$3432,17,0)</f>
        <v/>
      </c>
    </row>
    <row r="3178" ht="15.75" customHeight="1">
      <c r="A3178" s="3" t="s">
        <v>3201</v>
      </c>
      <c r="B3178" s="4" t="str">
        <f>VLOOKUP(A3178,Sheet2!$A$2:$R$3432,2,0)</f>
        <v>2025-06-23 13:45:07</v>
      </c>
      <c r="C3178" s="5" t="s">
        <v>25</v>
      </c>
      <c r="D3178" s="6" t="s">
        <v>25</v>
      </c>
      <c r="E3178" s="7">
        <f>VLOOKUP(A3178,Sheet2!$A$2:$R$3432,4,0)</f>
        <v>7020383597</v>
      </c>
      <c r="F3178" s="7" t="str">
        <f>VLOOKUP(A3178,Sheet2!$A$2:$R$3432,3,0)</f>
        <v>Shrikant </v>
      </c>
      <c r="G3178" s="5" t="s">
        <v>25</v>
      </c>
      <c r="H3178" s="5" t="s">
        <v>25</v>
      </c>
      <c r="I3178" s="5" t="s">
        <v>25</v>
      </c>
      <c r="J3178" s="5" t="s">
        <v>25</v>
      </c>
      <c r="K3178" s="7" t="str">
        <f>VLOOKUP(A3178,Sheet2!$A$2:$R$3432,6,0)</f>
        <v>Honda Unicorn 160 BS6</v>
      </c>
      <c r="L3178" s="5" t="s">
        <v>25</v>
      </c>
      <c r="M3178" s="7" t="str">
        <f>VLOOKUP(A3178,Sheet2!$A$2:$R$3432,5,0)</f>
        <v>MH21CB0646</v>
      </c>
      <c r="N3178" s="5" t="s">
        <v>25</v>
      </c>
      <c r="O3178" s="5" t="s">
        <v>25</v>
      </c>
      <c r="P3178" s="6" t="s">
        <v>25</v>
      </c>
      <c r="Q3178" s="5" t="s">
        <v>25</v>
      </c>
      <c r="R3178" s="5" t="s">
        <v>25</v>
      </c>
      <c r="S3178" s="7" t="str">
        <f>VLOOKUP(A3178,Sheet2!$A$2:$R$3432,18,0)</f>
        <v/>
      </c>
      <c r="T3178" s="7" t="str">
        <f>VLOOKUP(A3178,Sheet2!$A$2:$R$3432,17,0)</f>
        <v/>
      </c>
    </row>
    <row r="3179" ht="15.75" customHeight="1">
      <c r="A3179" s="3" t="s">
        <v>3202</v>
      </c>
      <c r="B3179" s="4" t="str">
        <f>VLOOKUP(A3179,Sheet2!$A$2:$R$3432,2,0)</f>
        <v>2025-06-23 13:48:12</v>
      </c>
      <c r="C3179" s="5" t="s">
        <v>25</v>
      </c>
      <c r="D3179" s="6" t="s">
        <v>25</v>
      </c>
      <c r="E3179" s="7">
        <f>VLOOKUP(A3179,Sheet2!$A$2:$R$3432,4,0)</f>
        <v>9011798755</v>
      </c>
      <c r="F3179" s="7" t="str">
        <f>VLOOKUP(A3179,Sheet2!$A$2:$R$3432,3,0)</f>
        <v>Rushi Bansode </v>
      </c>
      <c r="G3179" s="5" t="s">
        <v>25</v>
      </c>
      <c r="H3179" s="5" t="s">
        <v>25</v>
      </c>
      <c r="I3179" s="5" t="s">
        <v>25</v>
      </c>
      <c r="J3179" s="5" t="s">
        <v>25</v>
      </c>
      <c r="K3179" s="7" t="str">
        <f>VLOOKUP(A3179,Sheet2!$A$2:$R$3432,6,0)</f>
        <v>Hero Splendor Plus</v>
      </c>
      <c r="L3179" s="5" t="s">
        <v>25</v>
      </c>
      <c r="M3179" s="7" t="str">
        <f>VLOOKUP(A3179,Sheet2!$A$2:$R$3432,5,0)</f>
        <v>MH14JQ3897</v>
      </c>
      <c r="N3179" s="5" t="s">
        <v>25</v>
      </c>
      <c r="O3179" s="5" t="s">
        <v>25</v>
      </c>
      <c r="P3179" s="6" t="s">
        <v>25</v>
      </c>
      <c r="Q3179" s="5" t="s">
        <v>25</v>
      </c>
      <c r="R3179" s="5" t="s">
        <v>25</v>
      </c>
      <c r="S3179" s="7" t="str">
        <f>VLOOKUP(A3179,Sheet2!$A$2:$R$3432,18,0)</f>
        <v/>
      </c>
      <c r="T3179" s="7" t="str">
        <f>VLOOKUP(A3179,Sheet2!$A$2:$R$3432,17,0)</f>
        <v/>
      </c>
    </row>
    <row r="3180" ht="15.75" customHeight="1">
      <c r="A3180" s="3" t="s">
        <v>3203</v>
      </c>
      <c r="B3180" s="4" t="str">
        <f>VLOOKUP(A3180,Sheet2!$A$2:$R$3432,2,0)</f>
        <v>2025-06-23 13:41:22</v>
      </c>
      <c r="C3180" s="5" t="s">
        <v>25</v>
      </c>
      <c r="D3180" s="6" t="s">
        <v>25</v>
      </c>
      <c r="E3180" s="7">
        <f>VLOOKUP(A3180,Sheet2!$A$2:$R$3432,4,0)</f>
        <v>9958108647</v>
      </c>
      <c r="F3180" s="7" t="str">
        <f>VLOOKUP(A3180,Sheet2!$A$2:$R$3432,3,0)</f>
        <v>Shubh</v>
      </c>
      <c r="G3180" s="5" t="s">
        <v>25</v>
      </c>
      <c r="H3180" s="5" t="s">
        <v>25</v>
      </c>
      <c r="I3180" s="5" t="s">
        <v>25</v>
      </c>
      <c r="J3180" s="5" t="s">
        <v>25</v>
      </c>
      <c r="K3180" s="7" t="str">
        <f>VLOOKUP(A3180,Sheet2!$A$2:$R$3432,6,0)</f>
        <v>Bajaj Dominar 400</v>
      </c>
      <c r="L3180" s="5" t="s">
        <v>25</v>
      </c>
      <c r="M3180" s="7" t="str">
        <f>VLOOKUP(A3180,Sheet2!$A$2:$R$3432,5,0)</f>
        <v>MH12PW3559</v>
      </c>
      <c r="N3180" s="5" t="s">
        <v>25</v>
      </c>
      <c r="O3180" s="5" t="s">
        <v>25</v>
      </c>
      <c r="P3180" s="6" t="s">
        <v>25</v>
      </c>
      <c r="Q3180" s="5" t="s">
        <v>25</v>
      </c>
      <c r="R3180" s="5" t="s">
        <v>25</v>
      </c>
      <c r="S3180" s="5" t="str">
        <f>VLOOKUP(A3180,Sheet2!$A$2:$R$3432,18,0)</f>
        <v>JFYCH630892</v>
      </c>
      <c r="T3180" s="7" t="str">
        <f>VLOOKUP(A3180,Sheet2!$A$2:$R$3432,17,0)</f>
        <v/>
      </c>
    </row>
    <row r="3181" ht="15.75" customHeight="1">
      <c r="A3181" s="3" t="s">
        <v>3204</v>
      </c>
      <c r="B3181" s="4" t="str">
        <f>VLOOKUP(A3181,Sheet2!$A$2:$R$3432,2,0)</f>
        <v>2025-06-23 19:57:22</v>
      </c>
      <c r="C3181" s="5" t="s">
        <v>25</v>
      </c>
      <c r="D3181" s="6" t="s">
        <v>25</v>
      </c>
      <c r="E3181" s="7">
        <f>VLOOKUP(A3181,Sheet2!$A$2:$R$3432,4,0)</f>
        <v>8451928000</v>
      </c>
      <c r="F3181" s="7" t="str">
        <f>VLOOKUP(A3181,Sheet2!$A$2:$R$3432,3,0)</f>
        <v>Jayanth</v>
      </c>
      <c r="G3181" s="5" t="s">
        <v>25</v>
      </c>
      <c r="H3181" s="5" t="s">
        <v>25</v>
      </c>
      <c r="I3181" s="5" t="s">
        <v>25</v>
      </c>
      <c r="J3181" s="5" t="s">
        <v>25</v>
      </c>
      <c r="K3181" s="7" t="str">
        <f>VLOOKUP(A3181,Sheet2!$A$2:$R$3432,6,0)</f>
        <v>TVS Jupiter </v>
      </c>
      <c r="L3181" s="5" t="s">
        <v>25</v>
      </c>
      <c r="M3181" s="7" t="str">
        <f>VLOOKUP(A3181,Sheet2!$A$2:$R$3432,5,0)</f>
        <v>MH14JW0205</v>
      </c>
      <c r="N3181" s="5" t="s">
        <v>25</v>
      </c>
      <c r="O3181" s="5" t="s">
        <v>25</v>
      </c>
      <c r="P3181" s="6" t="s">
        <v>25</v>
      </c>
      <c r="Q3181" s="5" t="s">
        <v>25</v>
      </c>
      <c r="R3181" s="5" t="s">
        <v>25</v>
      </c>
      <c r="S3181" s="5" t="str">
        <f>VLOOKUP(A3181,Sheet2!$A$2:$R$3432,18,0)</f>
        <v>GG5NM1812016</v>
      </c>
      <c r="T3181" s="7" t="str">
        <f>VLOOKUP(A3181,Sheet2!$A$2:$R$3432,17,0)</f>
        <v>MD626E657M1N12613</v>
      </c>
    </row>
    <row r="3182" ht="15.75" customHeight="1">
      <c r="A3182" s="3" t="s">
        <v>3205</v>
      </c>
      <c r="B3182" s="4" t="str">
        <f>VLOOKUP(A3182,Sheet2!$A$2:$R$3432,2,0)</f>
        <v>2025-06-23 13:42:38</v>
      </c>
      <c r="C3182" s="5" t="s">
        <v>25</v>
      </c>
      <c r="D3182" s="6" t="s">
        <v>25</v>
      </c>
      <c r="E3182" s="7">
        <f>VLOOKUP(A3182,Sheet2!$A$2:$R$3432,4,0)</f>
        <v>9503768568</v>
      </c>
      <c r="F3182" s="7" t="str">
        <f>VLOOKUP(A3182,Sheet2!$A$2:$R$3432,3,0)</f>
        <v>Suraj Unde</v>
      </c>
      <c r="G3182" s="5" t="s">
        <v>25</v>
      </c>
      <c r="H3182" s="5" t="s">
        <v>25</v>
      </c>
      <c r="I3182" s="5" t="s">
        <v>25</v>
      </c>
      <c r="J3182" s="5" t="s">
        <v>25</v>
      </c>
      <c r="K3182" s="7" t="str">
        <f>VLOOKUP(A3182,Sheet2!$A$2:$R$3432,6,0)</f>
        <v>Honda Activa 6G</v>
      </c>
      <c r="L3182" s="5" t="s">
        <v>25</v>
      </c>
      <c r="M3182" s="7" t="str">
        <f>VLOOKUP(A3182,Sheet2!$A$2:$R$3432,5,0)</f>
        <v>MH17CT5890</v>
      </c>
      <c r="N3182" s="5" t="s">
        <v>25</v>
      </c>
      <c r="O3182" s="5" t="s">
        <v>25</v>
      </c>
      <c r="P3182" s="6" t="s">
        <v>25</v>
      </c>
      <c r="Q3182" s="5" t="s">
        <v>25</v>
      </c>
      <c r="R3182" s="5" t="s">
        <v>25</v>
      </c>
      <c r="S3182" s="5" t="str">
        <f>VLOOKUP(A3182,Sheet2!$A$2:$R$3432,18,0)</f>
        <v>JE01EW7273070</v>
      </c>
      <c r="T3182" s="7" t="str">
        <f>VLOOKUP(A3182,Sheet2!$A$2:$R$3432,17,0)</f>
        <v>ME4JF01AGNW273196</v>
      </c>
    </row>
    <row r="3183" ht="15.75" customHeight="1">
      <c r="A3183" s="3" t="s">
        <v>3206</v>
      </c>
      <c r="B3183" s="4" t="str">
        <f>VLOOKUP(A3183,Sheet2!$A$2:$R$3432,2,0)</f>
        <v>2025-06-23 13:46:13</v>
      </c>
      <c r="C3183" s="5" t="s">
        <v>25</v>
      </c>
      <c r="D3183" s="6" t="s">
        <v>25</v>
      </c>
      <c r="E3183" s="7">
        <f>VLOOKUP(A3183,Sheet2!$A$2:$R$3432,4,0)</f>
        <v>8862041481</v>
      </c>
      <c r="F3183" s="7" t="str">
        <f>VLOOKUP(A3183,Sheet2!$A$2:$R$3432,3,0)</f>
        <v>Jitendra Bhatnagar</v>
      </c>
      <c r="G3183" s="5" t="s">
        <v>25</v>
      </c>
      <c r="H3183" s="5" t="s">
        <v>25</v>
      </c>
      <c r="I3183" s="5" t="s">
        <v>25</v>
      </c>
      <c r="J3183" s="5" t="s">
        <v>25</v>
      </c>
      <c r="K3183" s="7" t="str">
        <f>VLOOKUP(A3183,Sheet2!$A$2:$R$3432,6,0)</f>
        <v>Hero Passion </v>
      </c>
      <c r="L3183" s="5" t="s">
        <v>25</v>
      </c>
      <c r="M3183" s="7" t="str">
        <f>VLOOKUP(A3183,Sheet2!$A$2:$R$3432,5,0)</f>
        <v>MH12EE8452</v>
      </c>
      <c r="N3183" s="5" t="s">
        <v>25</v>
      </c>
      <c r="O3183" s="5" t="s">
        <v>25</v>
      </c>
      <c r="P3183" s="6" t="s">
        <v>25</v>
      </c>
      <c r="Q3183" s="5" t="s">
        <v>25</v>
      </c>
      <c r="R3183" s="5" t="s">
        <v>25</v>
      </c>
      <c r="S3183" s="5" t="str">
        <f>VLOOKUP(A3183,Sheet2!$A$2:$R$3432,18,0)</f>
        <v>01J21C10575</v>
      </c>
      <c r="T3183" s="7" t="str">
        <f>VLOOKUP(A3183,Sheet2!$A$2:$R$3432,17,0)</f>
        <v>01J21M34838</v>
      </c>
    </row>
    <row r="3184" ht="15.75" customHeight="1">
      <c r="A3184" s="3" t="s">
        <v>3207</v>
      </c>
      <c r="B3184" s="4" t="str">
        <f>VLOOKUP(A3184,Sheet2!$A$2:$R$3432,2,0)</f>
        <v>2025-06-23 13:45:36</v>
      </c>
      <c r="C3184" s="5" t="s">
        <v>25</v>
      </c>
      <c r="D3184" s="6" t="s">
        <v>25</v>
      </c>
      <c r="E3184" s="7">
        <f>VLOOKUP(A3184,Sheet2!$A$2:$R$3432,4,0)</f>
        <v>8793412388</v>
      </c>
      <c r="F3184" s="7" t="str">
        <f>VLOOKUP(A3184,Sheet2!$A$2:$R$3432,3,0)</f>
        <v>PARIJAT MEHARE</v>
      </c>
      <c r="G3184" s="5" t="s">
        <v>25</v>
      </c>
      <c r="H3184" s="5" t="s">
        <v>25</v>
      </c>
      <c r="I3184" s="5" t="s">
        <v>25</v>
      </c>
      <c r="J3184" s="5" t="s">
        <v>25</v>
      </c>
      <c r="K3184" s="7" t="str">
        <f>VLOOKUP(A3184,Sheet2!$A$2:$R$3432,6,0)</f>
        <v>Honda Activa i</v>
      </c>
      <c r="L3184" s="5" t="s">
        <v>25</v>
      </c>
      <c r="M3184" s="7" t="str">
        <f>VLOOKUP(A3184,Sheet2!$A$2:$R$3432,5,0)</f>
        <v>MH30AJ7668</v>
      </c>
      <c r="N3184" s="5" t="s">
        <v>25</v>
      </c>
      <c r="O3184" s="5" t="s">
        <v>25</v>
      </c>
      <c r="P3184" s="6" t="s">
        <v>25</v>
      </c>
      <c r="Q3184" s="5" t="s">
        <v>25</v>
      </c>
      <c r="R3184" s="5" t="s">
        <v>25</v>
      </c>
      <c r="S3184" s="7" t="str">
        <f>VLOOKUP(A3184,Sheet2!$A$2:$R$3432,18,0)</f>
        <v/>
      </c>
      <c r="T3184" s="7" t="str">
        <f>VLOOKUP(A3184,Sheet2!$A$2:$R$3432,17,0)</f>
        <v/>
      </c>
    </row>
    <row r="3185" ht="15.75" customHeight="1">
      <c r="A3185" s="3" t="s">
        <v>3208</v>
      </c>
      <c r="B3185" s="4" t="str">
        <f>VLOOKUP(A3185,Sheet2!$A$2:$R$3432,2,0)</f>
        <v>2025-06-23 13:40:55</v>
      </c>
      <c r="C3185" s="5" t="s">
        <v>25</v>
      </c>
      <c r="D3185" s="6" t="s">
        <v>25</v>
      </c>
      <c r="E3185" s="7">
        <f>VLOOKUP(A3185,Sheet2!$A$2:$R$3432,4,0)</f>
        <v>9284541754</v>
      </c>
      <c r="F3185" s="7" t="str">
        <f>VLOOKUP(A3185,Sheet2!$A$2:$R$3432,3,0)</f>
        <v>Dheeraj Rajput</v>
      </c>
      <c r="G3185" s="5" t="s">
        <v>25</v>
      </c>
      <c r="H3185" s="5" t="s">
        <v>25</v>
      </c>
      <c r="I3185" s="5" t="s">
        <v>25</v>
      </c>
      <c r="J3185" s="5" t="s">
        <v>25</v>
      </c>
      <c r="K3185" s="7" t="str">
        <f>VLOOKUP(A3185,Sheet2!$A$2:$R$3432,6,0)</f>
        <v>Suzuki Access </v>
      </c>
      <c r="L3185" s="5" t="s">
        <v>25</v>
      </c>
      <c r="M3185" s="7" t="str">
        <f>VLOOKUP(A3185,Sheet2!$A$2:$R$3432,5,0)</f>
        <v>MH15DD1642</v>
      </c>
      <c r="N3185" s="5" t="s">
        <v>25</v>
      </c>
      <c r="O3185" s="5" t="s">
        <v>25</v>
      </c>
      <c r="P3185" s="6" t="s">
        <v>25</v>
      </c>
      <c r="Q3185" s="5" t="s">
        <v>25</v>
      </c>
      <c r="R3185" s="5" t="s">
        <v>25</v>
      </c>
      <c r="S3185" s="7" t="str">
        <f>VLOOKUP(A3185,Sheet2!$A$2:$R$3432,18,0)</f>
        <v/>
      </c>
      <c r="T3185" s="7" t="str">
        <f>VLOOKUP(A3185,Sheet2!$A$2:$R$3432,17,0)</f>
        <v>MB8CF4CAGB8312482</v>
      </c>
    </row>
    <row r="3186" ht="15.75" customHeight="1">
      <c r="A3186" s="3" t="s">
        <v>3209</v>
      </c>
      <c r="B3186" s="4" t="str">
        <f>VLOOKUP(A3186,Sheet2!$A$2:$R$3432,2,0)</f>
        <v>2025-06-23 13:39:00</v>
      </c>
      <c r="C3186" s="5" t="s">
        <v>25</v>
      </c>
      <c r="D3186" s="6" t="s">
        <v>25</v>
      </c>
      <c r="E3186" s="7">
        <f>VLOOKUP(A3186,Sheet2!$A$2:$R$3432,4,0)</f>
        <v>7249102734</v>
      </c>
      <c r="F3186" s="7" t="str">
        <f>VLOOKUP(A3186,Sheet2!$A$2:$R$3432,3,0)</f>
        <v>Rohit Khedkar</v>
      </c>
      <c r="G3186" s="5" t="s">
        <v>25</v>
      </c>
      <c r="H3186" s="5" t="s">
        <v>25</v>
      </c>
      <c r="I3186" s="5" t="s">
        <v>25</v>
      </c>
      <c r="J3186" s="5" t="s">
        <v>25</v>
      </c>
      <c r="K3186" s="7" t="str">
        <f>VLOOKUP(A3186,Sheet2!$A$2:$R$3432,6,0)</f>
        <v>Honda Activa 125</v>
      </c>
      <c r="L3186" s="5" t="s">
        <v>25</v>
      </c>
      <c r="M3186" s="7" t="str">
        <f>VLOOKUP(A3186,Sheet2!$A$2:$R$3432,5,0)</f>
        <v>MH20GJ0692</v>
      </c>
      <c r="N3186" s="5" t="s">
        <v>25</v>
      </c>
      <c r="O3186" s="5" t="s">
        <v>25</v>
      </c>
      <c r="P3186" s="6" t="s">
        <v>25</v>
      </c>
      <c r="Q3186" s="5" t="s">
        <v>25</v>
      </c>
      <c r="R3186" s="5" t="s">
        <v>25</v>
      </c>
      <c r="S3186" s="7" t="str">
        <f>VLOOKUP(A3186,Sheet2!$A$2:$R$3432,18,0)</f>
        <v/>
      </c>
      <c r="T3186" s="7" t="str">
        <f>VLOOKUP(A3186,Sheet2!$A$2:$R$3432,17,0)</f>
        <v/>
      </c>
    </row>
    <row r="3187" ht="15.75" customHeight="1">
      <c r="A3187" s="3" t="s">
        <v>3210</v>
      </c>
      <c r="B3187" s="4" t="str">
        <f>VLOOKUP(A3187,Sheet2!$A$2:$R$3432,2,0)</f>
        <v>2025-06-23 13:47:46</v>
      </c>
      <c r="C3187" s="5" t="s">
        <v>25</v>
      </c>
      <c r="D3187" s="6" t="s">
        <v>25</v>
      </c>
      <c r="E3187" s="7">
        <f>VLOOKUP(A3187,Sheet2!$A$2:$R$3432,4,0)</f>
        <v>7972616485</v>
      </c>
      <c r="F3187" s="7" t="str">
        <f>VLOOKUP(A3187,Sheet2!$A$2:$R$3432,3,0)</f>
        <v>Chetan Parmar</v>
      </c>
      <c r="G3187" s="5" t="s">
        <v>25</v>
      </c>
      <c r="H3187" s="5" t="s">
        <v>25</v>
      </c>
      <c r="I3187" s="5" t="s">
        <v>25</v>
      </c>
      <c r="J3187" s="5" t="s">
        <v>25</v>
      </c>
      <c r="K3187" s="7" t="str">
        <f>VLOOKUP(A3187,Sheet2!$A$2:$R$3432,6,0)</f>
        <v>Hero Passion Pro</v>
      </c>
      <c r="L3187" s="5" t="s">
        <v>25</v>
      </c>
      <c r="M3187" s="7" t="str">
        <f>VLOOKUP(A3187,Sheet2!$A$2:$R$3432,5,0)</f>
        <v>MH14ET6385</v>
      </c>
      <c r="N3187" s="5" t="s">
        <v>25</v>
      </c>
      <c r="O3187" s="5" t="s">
        <v>25</v>
      </c>
      <c r="P3187" s="6" t="s">
        <v>25</v>
      </c>
      <c r="Q3187" s="5" t="s">
        <v>25</v>
      </c>
      <c r="R3187" s="5" t="s">
        <v>25</v>
      </c>
      <c r="S3187" s="7" t="str">
        <f>VLOOKUP(A3187,Sheet2!$A$2:$R$3432,18,0)</f>
        <v/>
      </c>
      <c r="T3187" s="7" t="str">
        <f>VLOOKUP(A3187,Sheet2!$A$2:$R$3432,17,0)</f>
        <v/>
      </c>
    </row>
    <row r="3188" ht="15.75" customHeight="1">
      <c r="A3188" s="3" t="s">
        <v>3211</v>
      </c>
      <c r="B3188" s="4" t="str">
        <f>VLOOKUP(A3188,Sheet2!$A$2:$R$3432,2,0)</f>
        <v>2025-06-23 20:24:45</v>
      </c>
      <c r="C3188" s="5" t="s">
        <v>25</v>
      </c>
      <c r="D3188" s="6" t="s">
        <v>25</v>
      </c>
      <c r="E3188" s="7">
        <f>VLOOKUP(A3188,Sheet2!$A$2:$R$3432,4,0)</f>
        <v>9970499146</v>
      </c>
      <c r="F3188" s="7" t="str">
        <f>VLOOKUP(A3188,Sheet2!$A$2:$R$3432,3,0)</f>
        <v>Ahirrao</v>
      </c>
      <c r="G3188" s="5" t="s">
        <v>25</v>
      </c>
      <c r="H3188" s="5" t="s">
        <v>25</v>
      </c>
      <c r="I3188" s="5" t="s">
        <v>25</v>
      </c>
      <c r="J3188" s="5" t="s">
        <v>25</v>
      </c>
      <c r="K3188" s="7" t="str">
        <f>VLOOKUP(A3188,Sheet2!$A$2:$R$3432,6,0)</f>
        <v>Honda Activa 5G</v>
      </c>
      <c r="L3188" s="5" t="s">
        <v>25</v>
      </c>
      <c r="M3188" s="7" t="str">
        <f>VLOOKUP(A3188,Sheet2!$A$2:$R$3432,5,0)</f>
        <v>MH12QX0535</v>
      </c>
      <c r="N3188" s="5" t="s">
        <v>25</v>
      </c>
      <c r="O3188" s="5" t="s">
        <v>25</v>
      </c>
      <c r="P3188" s="6" t="s">
        <v>25</v>
      </c>
      <c r="Q3188" s="5" t="s">
        <v>25</v>
      </c>
      <c r="R3188" s="5" t="s">
        <v>25</v>
      </c>
      <c r="S3188" s="5" t="str">
        <f>VLOOKUP(A3188,Sheet2!$A$2:$R$3432,18,0)</f>
        <v>JF50E7257782</v>
      </c>
      <c r="T3188" s="7" t="str">
        <f>VLOOKUP(A3188,Sheet2!$A$2:$R$3432,17,0)</f>
        <v>NE4JF50AHJU257740</v>
      </c>
    </row>
    <row r="3189" ht="15.75" customHeight="1">
      <c r="A3189" s="3" t="s">
        <v>3212</v>
      </c>
      <c r="B3189" s="4" t="str">
        <f>VLOOKUP(A3189,Sheet2!$A$2:$R$3432,2,0)</f>
        <v>2025-06-23 20:25:13</v>
      </c>
      <c r="C3189" s="5" t="s">
        <v>25</v>
      </c>
      <c r="D3189" s="6" t="s">
        <v>25</v>
      </c>
      <c r="E3189" s="7">
        <f>VLOOKUP(A3189,Sheet2!$A$2:$R$3432,4,0)</f>
        <v>9687344466</v>
      </c>
      <c r="F3189" s="7" t="str">
        <f>VLOOKUP(A3189,Sheet2!$A$2:$R$3432,3,0)</f>
        <v>Mahendra Yadav</v>
      </c>
      <c r="G3189" s="5" t="s">
        <v>25</v>
      </c>
      <c r="H3189" s="5" t="s">
        <v>25</v>
      </c>
      <c r="I3189" s="5" t="s">
        <v>25</v>
      </c>
      <c r="J3189" s="5" t="s">
        <v>25</v>
      </c>
      <c r="K3189" s="7" t="str">
        <f>VLOOKUP(A3189,Sheet2!$A$2:$R$3432,6,0)</f>
        <v>Yezdi Scrambler Single Tone</v>
      </c>
      <c r="L3189" s="5" t="s">
        <v>25</v>
      </c>
      <c r="M3189" s="7" t="str">
        <f>VLOOKUP(A3189,Sheet2!$A$2:$R$3432,5,0)</f>
        <v>MH14KV9577</v>
      </c>
      <c r="N3189" s="5" t="s">
        <v>25</v>
      </c>
      <c r="O3189" s="5" t="s">
        <v>25</v>
      </c>
      <c r="P3189" s="6" t="s">
        <v>25</v>
      </c>
      <c r="Q3189" s="5" t="s">
        <v>25</v>
      </c>
      <c r="R3189" s="5" t="s">
        <v>25</v>
      </c>
      <c r="S3189" s="7" t="str">
        <f>VLOOKUP(A3189,Sheet2!$A$2:$R$3432,18,0)</f>
        <v/>
      </c>
      <c r="T3189" s="7" t="str">
        <f>VLOOKUP(A3189,Sheet2!$A$2:$R$3432,17,0)</f>
        <v/>
      </c>
    </row>
    <row r="3190" ht="15.75" customHeight="1">
      <c r="A3190" s="3" t="s">
        <v>3213</v>
      </c>
      <c r="B3190" s="4" t="str">
        <f>VLOOKUP(A3190,Sheet2!$A$2:$R$3432,2,0)</f>
        <v>2025-06-23 13:44:28</v>
      </c>
      <c r="C3190" s="5" t="s">
        <v>25</v>
      </c>
      <c r="D3190" s="6" t="s">
        <v>25</v>
      </c>
      <c r="E3190" s="7">
        <f>VLOOKUP(A3190,Sheet2!$A$2:$R$3432,4,0)</f>
        <v>9604429500</v>
      </c>
      <c r="F3190" s="7" t="str">
        <f>VLOOKUP(A3190,Sheet2!$A$2:$R$3432,3,0)</f>
        <v>Kishor</v>
      </c>
      <c r="G3190" s="5" t="s">
        <v>25</v>
      </c>
      <c r="H3190" s="5" t="s">
        <v>25</v>
      </c>
      <c r="I3190" s="5" t="s">
        <v>25</v>
      </c>
      <c r="J3190" s="5" t="s">
        <v>25</v>
      </c>
      <c r="K3190" s="7" t="str">
        <f>VLOOKUP(A3190,Sheet2!$A$2:$R$3432,6,0)</f>
        <v>Bajaj Avenger 150 Street</v>
      </c>
      <c r="L3190" s="5" t="s">
        <v>25</v>
      </c>
      <c r="M3190" s="7" t="str">
        <f>VLOOKUP(A3190,Sheet2!$A$2:$R$3432,5,0)</f>
        <v>MH14GB3571</v>
      </c>
      <c r="N3190" s="5" t="s">
        <v>25</v>
      </c>
      <c r="O3190" s="5" t="s">
        <v>25</v>
      </c>
      <c r="P3190" s="6" t="s">
        <v>25</v>
      </c>
      <c r="Q3190" s="5" t="s">
        <v>25</v>
      </c>
      <c r="R3190" s="5" t="s">
        <v>25</v>
      </c>
      <c r="S3190" s="7" t="str">
        <f>VLOOKUP(A3190,Sheet2!$A$2:$R$3432,18,0)</f>
        <v/>
      </c>
      <c r="T3190" s="7" t="str">
        <f>VLOOKUP(A3190,Sheet2!$A$2:$R$3432,17,0)</f>
        <v/>
      </c>
    </row>
    <row r="3191" ht="15.75" customHeight="1">
      <c r="A3191" s="3" t="s">
        <v>3214</v>
      </c>
      <c r="B3191" s="4" t="str">
        <f>VLOOKUP(A3191,Sheet2!$A$2:$R$3432,2,0)</f>
        <v>2025-06-23 13:37:45</v>
      </c>
      <c r="C3191" s="5" t="s">
        <v>25</v>
      </c>
      <c r="D3191" s="6" t="s">
        <v>25</v>
      </c>
      <c r="E3191" s="7">
        <f>VLOOKUP(A3191,Sheet2!$A$2:$R$3432,4,0)</f>
        <v>9146986112</v>
      </c>
      <c r="F3191" s="7" t="str">
        <f>VLOOKUP(A3191,Sheet2!$A$2:$R$3432,3,0)</f>
        <v>NEHA BHAPKAR</v>
      </c>
      <c r="G3191" s="5" t="s">
        <v>25</v>
      </c>
      <c r="H3191" s="5" t="s">
        <v>25</v>
      </c>
      <c r="I3191" s="5" t="s">
        <v>25</v>
      </c>
      <c r="J3191" s="5" t="s">
        <v>25</v>
      </c>
      <c r="K3191" s="7" t="str">
        <f>VLOOKUP(A3191,Sheet2!$A$2:$R$3432,6,0)</f>
        <v>TVS Wego </v>
      </c>
      <c r="L3191" s="5" t="s">
        <v>25</v>
      </c>
      <c r="M3191" s="7" t="str">
        <f>VLOOKUP(A3191,Sheet2!$A$2:$R$3432,5,0)</f>
        <v>MH14DY7180</v>
      </c>
      <c r="N3191" s="5" t="s">
        <v>25</v>
      </c>
      <c r="O3191" s="5" t="s">
        <v>25</v>
      </c>
      <c r="P3191" s="6" t="s">
        <v>25</v>
      </c>
      <c r="Q3191" s="5" t="s">
        <v>25</v>
      </c>
      <c r="R3191" s="5" t="s">
        <v>25</v>
      </c>
      <c r="S3191" s="7" t="str">
        <f>VLOOKUP(A3191,Sheet2!$A$2:$R$3432,18,0)</f>
        <v/>
      </c>
      <c r="T3191" s="7" t="str">
        <f>VLOOKUP(A3191,Sheet2!$A$2:$R$3432,17,0)</f>
        <v/>
      </c>
    </row>
    <row r="3192" ht="15.75" customHeight="1">
      <c r="A3192" s="3" t="s">
        <v>3215</v>
      </c>
      <c r="B3192" s="4" t="str">
        <f>VLOOKUP(A3192,Sheet2!$A$2:$R$3432,2,0)</f>
        <v>2025-06-23 13:40:19</v>
      </c>
      <c r="C3192" s="5" t="s">
        <v>25</v>
      </c>
      <c r="D3192" s="6" t="s">
        <v>25</v>
      </c>
      <c r="E3192" s="7">
        <f>VLOOKUP(A3192,Sheet2!$A$2:$R$3432,4,0)</f>
        <v>8209163122</v>
      </c>
      <c r="F3192" s="7" t="str">
        <f>VLOOKUP(A3192,Sheet2!$A$2:$R$3432,3,0)</f>
        <v>SWAROOP SINGH</v>
      </c>
      <c r="G3192" s="5" t="s">
        <v>25</v>
      </c>
      <c r="H3192" s="5" t="s">
        <v>25</v>
      </c>
      <c r="I3192" s="5" t="s">
        <v>25</v>
      </c>
      <c r="J3192" s="5" t="s">
        <v>25</v>
      </c>
      <c r="K3192" s="7" t="str">
        <f>VLOOKUP(A3192,Sheet2!$A$2:$R$3432,6,0)</f>
        <v>Hero Splendor Pro</v>
      </c>
      <c r="L3192" s="5" t="s">
        <v>25</v>
      </c>
      <c r="M3192" s="7" t="str">
        <f>VLOOKUP(A3192,Sheet2!$A$2:$R$3432,5,0)</f>
        <v>MH14KZ1137</v>
      </c>
      <c r="N3192" s="5" t="s">
        <v>25</v>
      </c>
      <c r="O3192" s="5" t="s">
        <v>25</v>
      </c>
      <c r="P3192" s="6" t="s">
        <v>25</v>
      </c>
      <c r="Q3192" s="5" t="s">
        <v>25</v>
      </c>
      <c r="R3192" s="5" t="s">
        <v>25</v>
      </c>
      <c r="S3192" s="5" t="str">
        <f>VLOOKUP(A3192,Sheet2!$A$2:$R$3432,18,0)</f>
        <v>HA12E5P4H06081</v>
      </c>
      <c r="T3192" s="7" t="str">
        <f>VLOOKUP(A3192,Sheet2!$A$2:$R$3432,17,0)</f>
        <v>MBLHAWQQ0PGH05498</v>
      </c>
    </row>
    <row r="3193" ht="15.75" customHeight="1">
      <c r="A3193" s="3" t="s">
        <v>3216</v>
      </c>
      <c r="B3193" s="4" t="str">
        <f>VLOOKUP(A3193,Sheet2!$A$2:$R$3432,2,0)</f>
        <v>2025-06-23 13:43:42</v>
      </c>
      <c r="C3193" s="5" t="s">
        <v>25</v>
      </c>
      <c r="D3193" s="6" t="s">
        <v>25</v>
      </c>
      <c r="E3193" s="7">
        <f>VLOOKUP(A3193,Sheet2!$A$2:$R$3432,4,0)</f>
        <v>7843054632</v>
      </c>
      <c r="F3193" s="7" t="str">
        <f>VLOOKUP(A3193,Sheet2!$A$2:$R$3432,3,0)</f>
        <v>Satish</v>
      </c>
      <c r="G3193" s="5" t="s">
        <v>25</v>
      </c>
      <c r="H3193" s="5" t="s">
        <v>25</v>
      </c>
      <c r="I3193" s="5" t="s">
        <v>25</v>
      </c>
      <c r="J3193" s="5" t="s">
        <v>25</v>
      </c>
      <c r="K3193" s="7" t="str">
        <f>VLOOKUP(A3193,Sheet2!$A$2:$R$3432,6,0)</f>
        <v>TVS Jupiter </v>
      </c>
      <c r="L3193" s="5" t="s">
        <v>25</v>
      </c>
      <c r="M3193" s="7" t="str">
        <f>VLOOKUP(A3193,Sheet2!$A$2:$R$3432,5,0)</f>
        <v>MH14GL6602</v>
      </c>
      <c r="N3193" s="5" t="s">
        <v>25</v>
      </c>
      <c r="O3193" s="5" t="s">
        <v>25</v>
      </c>
      <c r="P3193" s="6" t="s">
        <v>25</v>
      </c>
      <c r="Q3193" s="5" t="s">
        <v>25</v>
      </c>
      <c r="R3193" s="5" t="s">
        <v>25</v>
      </c>
      <c r="S3193" s="7" t="str">
        <f>VLOOKUP(A3193,Sheet2!$A$2:$R$3432,18,0)</f>
        <v/>
      </c>
      <c r="T3193" s="7" t="str">
        <f>VLOOKUP(A3193,Sheet2!$A$2:$R$3432,17,0)</f>
        <v/>
      </c>
    </row>
    <row r="3194" ht="15.75" customHeight="1">
      <c r="A3194" s="3" t="s">
        <v>3217</v>
      </c>
      <c r="B3194" s="4" t="str">
        <f>VLOOKUP(A3194,Sheet2!$A$2:$R$3432,2,0)</f>
        <v>2025-06-23 13:49:29</v>
      </c>
      <c r="C3194" s="5" t="s">
        <v>25</v>
      </c>
      <c r="D3194" s="6" t="s">
        <v>25</v>
      </c>
      <c r="E3194" s="7">
        <f>VLOOKUP(A3194,Sheet2!$A$2:$R$3432,4,0)</f>
        <v>9209759329</v>
      </c>
      <c r="F3194" s="7" t="str">
        <f>VLOOKUP(A3194,Sheet2!$A$2:$R$3432,3,0)</f>
        <v>Sagar</v>
      </c>
      <c r="G3194" s="5" t="s">
        <v>25</v>
      </c>
      <c r="H3194" s="5" t="s">
        <v>25</v>
      </c>
      <c r="I3194" s="5" t="s">
        <v>25</v>
      </c>
      <c r="J3194" s="5" t="s">
        <v>25</v>
      </c>
      <c r="K3194" s="7" t="str">
        <f>VLOOKUP(A3194,Sheet2!$A$2:$R$3432,6,0)</f>
        <v>Honda Activa 6G</v>
      </c>
      <c r="L3194" s="5" t="s">
        <v>25</v>
      </c>
      <c r="M3194" s="7" t="str">
        <f>VLOOKUP(A3194,Sheet2!$A$2:$R$3432,5,0)</f>
        <v>MH13EE1920</v>
      </c>
      <c r="N3194" s="5" t="s">
        <v>25</v>
      </c>
      <c r="O3194" s="5" t="s">
        <v>25</v>
      </c>
      <c r="P3194" s="6" t="s">
        <v>25</v>
      </c>
      <c r="Q3194" s="5" t="s">
        <v>25</v>
      </c>
      <c r="R3194" s="5" t="s">
        <v>25</v>
      </c>
      <c r="S3194" s="7" t="str">
        <f>VLOOKUP(A3194,Sheet2!$A$2:$R$3432,18,0)</f>
        <v/>
      </c>
      <c r="T3194" s="7" t="str">
        <f>VLOOKUP(A3194,Sheet2!$A$2:$R$3432,17,0)</f>
        <v/>
      </c>
    </row>
    <row r="3195" ht="15.75" customHeight="1">
      <c r="A3195" s="3" t="s">
        <v>3218</v>
      </c>
      <c r="B3195" s="4" t="str">
        <f>VLOOKUP(A3195,Sheet2!$A$2:$R$3432,2,0)</f>
        <v>2025-06-23 19:11:54</v>
      </c>
      <c r="C3195" s="5" t="s">
        <v>25</v>
      </c>
      <c r="D3195" s="6" t="s">
        <v>25</v>
      </c>
      <c r="E3195" s="7">
        <f>VLOOKUP(A3195,Sheet2!$A$2:$R$3432,4,0)</f>
        <v>9604429500</v>
      </c>
      <c r="F3195" s="7" t="str">
        <f>VLOOKUP(A3195,Sheet2!$A$2:$R$3432,3,0)</f>
        <v>Shelke</v>
      </c>
      <c r="G3195" s="5" t="s">
        <v>25</v>
      </c>
      <c r="H3195" s="5" t="s">
        <v>25</v>
      </c>
      <c r="I3195" s="5" t="s">
        <v>25</v>
      </c>
      <c r="J3195" s="5" t="s">
        <v>25</v>
      </c>
      <c r="K3195" s="7" t="str">
        <f>VLOOKUP(A3195,Sheet2!$A$2:$R$3432,6,0)</f>
        <v>TVS Jupiter </v>
      </c>
      <c r="L3195" s="5" t="s">
        <v>25</v>
      </c>
      <c r="M3195" s="7" t="str">
        <f>VLOOKUP(A3195,Sheet2!$A$2:$R$3432,5,0)</f>
        <v>MH14NC8298</v>
      </c>
      <c r="N3195" s="5" t="s">
        <v>25</v>
      </c>
      <c r="O3195" s="5" t="s">
        <v>25</v>
      </c>
      <c r="P3195" s="6" t="s">
        <v>25</v>
      </c>
      <c r="Q3195" s="5" t="s">
        <v>25</v>
      </c>
      <c r="R3195" s="5" t="s">
        <v>25</v>
      </c>
      <c r="S3195" s="7" t="str">
        <f>VLOOKUP(A3195,Sheet2!$A$2:$R$3432,18,0)</f>
        <v/>
      </c>
      <c r="T3195" s="7" t="str">
        <f>VLOOKUP(A3195,Sheet2!$A$2:$R$3432,17,0)</f>
        <v/>
      </c>
    </row>
    <row r="3196" ht="15.75" customHeight="1">
      <c r="A3196" s="3" t="s">
        <v>3219</v>
      </c>
      <c r="B3196" s="4" t="str">
        <f>VLOOKUP(A3196,Sheet2!$A$2:$R$3432,2,0)</f>
        <v>2025-06-23 19:50:23</v>
      </c>
      <c r="C3196" s="5" t="s">
        <v>25</v>
      </c>
      <c r="D3196" s="6" t="s">
        <v>25</v>
      </c>
      <c r="E3196" s="7">
        <f>VLOOKUP(A3196,Sheet2!$A$2:$R$3432,4,0)</f>
        <v>9689895535</v>
      </c>
      <c r="F3196" s="7" t="str">
        <f>VLOOKUP(A3196,Sheet2!$A$2:$R$3432,3,0)</f>
        <v>Rajendra Kawade</v>
      </c>
      <c r="G3196" s="5" t="s">
        <v>25</v>
      </c>
      <c r="H3196" s="5" t="s">
        <v>25</v>
      </c>
      <c r="I3196" s="5" t="s">
        <v>25</v>
      </c>
      <c r="J3196" s="5" t="s">
        <v>25</v>
      </c>
      <c r="K3196" s="7" t="str">
        <f>VLOOKUP(A3196,Sheet2!$A$2:$R$3432,6,0)</f>
        <v>Hero Passion Pro</v>
      </c>
      <c r="L3196" s="5" t="s">
        <v>25</v>
      </c>
      <c r="M3196" s="7" t="str">
        <f>VLOOKUP(A3196,Sheet2!$A$2:$R$3432,5,0)</f>
        <v>MH14GL7735</v>
      </c>
      <c r="N3196" s="5" t="s">
        <v>25</v>
      </c>
      <c r="O3196" s="5" t="s">
        <v>25</v>
      </c>
      <c r="P3196" s="6" t="s">
        <v>25</v>
      </c>
      <c r="Q3196" s="5" t="s">
        <v>25</v>
      </c>
      <c r="R3196" s="5" t="s">
        <v>25</v>
      </c>
      <c r="S3196" s="5" t="str">
        <f>VLOOKUP(A3196,Sheet2!$A$2:$R$3432,18,0)</f>
        <v>HA20ACWHH43700</v>
      </c>
      <c r="T3196" s="7" t="str">
        <f>VLOOKUP(A3196,Sheet2!$A$2:$R$3432,17,0)</f>
        <v>MBLHAK102HHH11210</v>
      </c>
    </row>
    <row r="3197" ht="15.75" customHeight="1">
      <c r="A3197" s="3" t="s">
        <v>3220</v>
      </c>
      <c r="B3197" s="4" t="str">
        <f>VLOOKUP(A3197,Sheet2!$A$2:$R$3432,2,0)</f>
        <v>2025-06-23 19:12:21</v>
      </c>
      <c r="C3197" s="5" t="s">
        <v>25</v>
      </c>
      <c r="D3197" s="6" t="s">
        <v>25</v>
      </c>
      <c r="E3197" s="7">
        <f>VLOOKUP(A3197,Sheet2!$A$2:$R$3432,4,0)</f>
        <v>9130457096</v>
      </c>
      <c r="F3197" s="7" t="str">
        <f>VLOOKUP(A3197,Sheet2!$A$2:$R$3432,3,0)</f>
        <v>Krishna </v>
      </c>
      <c r="G3197" s="5" t="s">
        <v>25</v>
      </c>
      <c r="H3197" s="5" t="s">
        <v>25</v>
      </c>
      <c r="I3197" s="5" t="s">
        <v>25</v>
      </c>
      <c r="J3197" s="5" t="s">
        <v>25</v>
      </c>
      <c r="K3197" s="7" t="str">
        <f>VLOOKUP(A3197,Sheet2!$A$2:$R$3432,6,0)</f>
        <v>Suzuki Access 125</v>
      </c>
      <c r="L3197" s="5" t="s">
        <v>25</v>
      </c>
      <c r="M3197" s="7" t="str">
        <f>VLOOKUP(A3197,Sheet2!$A$2:$R$3432,5,0)</f>
        <v>MH14JT8076</v>
      </c>
      <c r="N3197" s="5" t="s">
        <v>25</v>
      </c>
      <c r="O3197" s="5" t="s">
        <v>25</v>
      </c>
      <c r="P3197" s="6" t="s">
        <v>25</v>
      </c>
      <c r="Q3197" s="5" t="s">
        <v>25</v>
      </c>
      <c r="R3197" s="5" t="s">
        <v>25</v>
      </c>
      <c r="S3197" s="7" t="str">
        <f>VLOOKUP(A3197,Sheet2!$A$2:$R$3432,18,0)</f>
        <v/>
      </c>
      <c r="T3197" s="7" t="str">
        <f>VLOOKUP(A3197,Sheet2!$A$2:$R$3432,17,0)</f>
        <v/>
      </c>
    </row>
    <row r="3198" ht="15.75" customHeight="1">
      <c r="A3198" s="3" t="s">
        <v>3221</v>
      </c>
      <c r="B3198" s="4" t="str">
        <f>VLOOKUP(A3198,Sheet2!$A$2:$R$3432,2,0)</f>
        <v>2025-06-23 19:32:38</v>
      </c>
      <c r="C3198" s="5" t="s">
        <v>25</v>
      </c>
      <c r="D3198" s="6" t="s">
        <v>25</v>
      </c>
      <c r="E3198" s="7">
        <f>VLOOKUP(A3198,Sheet2!$A$2:$R$3432,4,0)</f>
        <v>9158453754</v>
      </c>
      <c r="F3198" s="7" t="str">
        <f>VLOOKUP(A3198,Sheet2!$A$2:$R$3432,3,0)</f>
        <v>Priyanshi Sharma </v>
      </c>
      <c r="G3198" s="5" t="s">
        <v>25</v>
      </c>
      <c r="H3198" s="5" t="s">
        <v>25</v>
      </c>
      <c r="I3198" s="5" t="s">
        <v>25</v>
      </c>
      <c r="J3198" s="5" t="s">
        <v>25</v>
      </c>
      <c r="K3198" s="7" t="str">
        <f>VLOOKUP(A3198,Sheet2!$A$2:$R$3432,6,0)</f>
        <v>Honda Activa 3G</v>
      </c>
      <c r="L3198" s="5" t="s">
        <v>25</v>
      </c>
      <c r="M3198" s="7" t="str">
        <f>VLOOKUP(A3198,Sheet2!$A$2:$R$3432,5,0)</f>
        <v>MH14FV0646</v>
      </c>
      <c r="N3198" s="5" t="s">
        <v>25</v>
      </c>
      <c r="O3198" s="5" t="s">
        <v>25</v>
      </c>
      <c r="P3198" s="6" t="s">
        <v>25</v>
      </c>
      <c r="Q3198" s="5" t="s">
        <v>25</v>
      </c>
      <c r="R3198" s="5" t="s">
        <v>25</v>
      </c>
      <c r="S3198" s="7" t="str">
        <f>VLOOKUP(A3198,Sheet2!$A$2:$R$3432,18,0)</f>
        <v/>
      </c>
      <c r="T3198" s="7" t="str">
        <f>VLOOKUP(A3198,Sheet2!$A$2:$R$3432,17,0)</f>
        <v>ME4JFS05E4U107236</v>
      </c>
    </row>
    <row r="3199" ht="15.75" customHeight="1">
      <c r="A3199" s="3" t="s">
        <v>3222</v>
      </c>
      <c r="B3199" s="4" t="str">
        <f>VLOOKUP(A3199,Sheet2!$A$2:$R$3432,2,0)</f>
        <v>2025-07-16 20:06:35</v>
      </c>
      <c r="C3199" s="5" t="s">
        <v>25</v>
      </c>
      <c r="D3199" s="6" t="s">
        <v>25</v>
      </c>
      <c r="E3199" s="7">
        <f>VLOOKUP(A3199,Sheet2!$A$2:$R$3432,4,0)</f>
        <v>8459871622</v>
      </c>
      <c r="F3199" s="7" t="str">
        <f>VLOOKUP(A3199,Sheet2!$A$2:$R$3432,3,0)</f>
        <v>Vedant Joshi</v>
      </c>
      <c r="G3199" s="5" t="s">
        <v>25</v>
      </c>
      <c r="H3199" s="5" t="s">
        <v>25</v>
      </c>
      <c r="I3199" s="5" t="s">
        <v>25</v>
      </c>
      <c r="J3199" s="5" t="s">
        <v>25</v>
      </c>
      <c r="K3199" s="7" t="str">
        <f>VLOOKUP(A3199,Sheet2!$A$2:$R$3432,6,0)</f>
        <v>Honda Activa 3G</v>
      </c>
      <c r="L3199" s="5" t="s">
        <v>25</v>
      </c>
      <c r="M3199" s="7" t="str">
        <f>VLOOKUP(A3199,Sheet2!$A$2:$R$3432,5,0)</f>
        <v>MH19CM3665</v>
      </c>
      <c r="N3199" s="5" t="s">
        <v>25</v>
      </c>
      <c r="O3199" s="5" t="s">
        <v>25</v>
      </c>
      <c r="P3199" s="6" t="s">
        <v>25</v>
      </c>
      <c r="Q3199" s="5" t="s">
        <v>25</v>
      </c>
      <c r="R3199" s="5" t="s">
        <v>25</v>
      </c>
      <c r="S3199" s="7" t="str">
        <f>VLOOKUP(A3199,Sheet2!$A$2:$R$3432,18,0)</f>
        <v/>
      </c>
      <c r="T3199" s="7" t="str">
        <f>VLOOKUP(A3199,Sheet2!$A$2:$R$3432,17,0)</f>
        <v/>
      </c>
    </row>
    <row r="3200" ht="15.75" customHeight="1">
      <c r="A3200" s="3" t="s">
        <v>3223</v>
      </c>
      <c r="B3200" s="4" t="str">
        <f>VLOOKUP(A3200,Sheet2!$A$2:$R$3432,2,0)</f>
        <v>2025-07-16 20:07:20</v>
      </c>
      <c r="C3200" s="5" t="s">
        <v>25</v>
      </c>
      <c r="D3200" s="6" t="s">
        <v>25</v>
      </c>
      <c r="E3200" s="7">
        <f>VLOOKUP(A3200,Sheet2!$A$2:$R$3432,4,0)</f>
        <v>9682117931</v>
      </c>
      <c r="F3200" s="7" t="str">
        <f>VLOOKUP(A3200,Sheet2!$A$2:$R$3432,3,0)</f>
        <v>Kenwal Kaul</v>
      </c>
      <c r="G3200" s="5" t="s">
        <v>25</v>
      </c>
      <c r="H3200" s="5" t="s">
        <v>25</v>
      </c>
      <c r="I3200" s="5" t="s">
        <v>25</v>
      </c>
      <c r="J3200" s="5" t="s">
        <v>25</v>
      </c>
      <c r="K3200" s="7" t="str">
        <f>VLOOKUP(A3200,Sheet2!$A$2:$R$3432,6,0)</f>
        <v>Royal Enfield Hunter 350 Retro</v>
      </c>
      <c r="L3200" s="5" t="s">
        <v>25</v>
      </c>
      <c r="M3200" s="7" t="str">
        <f>VLOOKUP(A3200,Sheet2!$A$2:$R$3432,5,0)</f>
        <v>MH14KZ1182</v>
      </c>
      <c r="N3200" s="5" t="s">
        <v>25</v>
      </c>
      <c r="O3200" s="5" t="s">
        <v>25</v>
      </c>
      <c r="P3200" s="6" t="s">
        <v>25</v>
      </c>
      <c r="Q3200" s="5" t="s">
        <v>25</v>
      </c>
      <c r="R3200" s="5" t="s">
        <v>25</v>
      </c>
      <c r="S3200" s="7" t="str">
        <f>VLOOKUP(A3200,Sheet2!$A$2:$R$3432,18,0)</f>
        <v/>
      </c>
      <c r="T3200" s="7" t="str">
        <f>VLOOKUP(A3200,Sheet2!$A$2:$R$3432,17,0)</f>
        <v/>
      </c>
    </row>
    <row r="3201" ht="15.75" customHeight="1">
      <c r="A3201" s="3" t="s">
        <v>3224</v>
      </c>
      <c r="B3201" s="4" t="str">
        <f>VLOOKUP(A3201,Sheet2!$A$2:$R$3432,2,0)</f>
        <v>2025-07-16 20:08:41</v>
      </c>
      <c r="C3201" s="5" t="s">
        <v>25</v>
      </c>
      <c r="D3201" s="6" t="s">
        <v>25</v>
      </c>
      <c r="E3201" s="7">
        <f>VLOOKUP(A3201,Sheet2!$A$2:$R$3432,4,0)</f>
        <v>8007011949</v>
      </c>
      <c r="F3201" s="7" t="str">
        <f>VLOOKUP(A3201,Sheet2!$A$2:$R$3432,3,0)</f>
        <v>Bhavesh Patil </v>
      </c>
      <c r="G3201" s="5" t="s">
        <v>25</v>
      </c>
      <c r="H3201" s="5" t="s">
        <v>25</v>
      </c>
      <c r="I3201" s="5" t="s">
        <v>25</v>
      </c>
      <c r="J3201" s="5" t="s">
        <v>25</v>
      </c>
      <c r="K3201" s="7" t="str">
        <f>VLOOKUP(A3201,Sheet2!$A$2:$R$3432,6,0)</f>
        <v>Hero Splendor Super</v>
      </c>
      <c r="L3201" s="5" t="s">
        <v>25</v>
      </c>
      <c r="M3201" s="7" t="str">
        <f>VLOOKUP(A3201,Sheet2!$A$2:$R$3432,5,0)</f>
        <v>MH39AF4537</v>
      </c>
      <c r="N3201" s="5" t="s">
        <v>25</v>
      </c>
      <c r="O3201" s="5" t="s">
        <v>25</v>
      </c>
      <c r="P3201" s="6" t="s">
        <v>25</v>
      </c>
      <c r="Q3201" s="5" t="s">
        <v>25</v>
      </c>
      <c r="R3201" s="5" t="s">
        <v>25</v>
      </c>
      <c r="S3201" s="7" t="str">
        <f>VLOOKUP(A3201,Sheet2!$A$2:$R$3432,18,0)</f>
        <v/>
      </c>
      <c r="T3201" s="7" t="str">
        <f>VLOOKUP(A3201,Sheet2!$A$2:$R$3432,17,0)</f>
        <v/>
      </c>
    </row>
    <row r="3202" ht="15.75" customHeight="1">
      <c r="A3202" s="3" t="s">
        <v>3225</v>
      </c>
      <c r="B3202" s="4" t="str">
        <f>VLOOKUP(A3202,Sheet2!$A$2:$R$3432,2,0)</f>
        <v>2025-07-16 20:07:42</v>
      </c>
      <c r="C3202" s="5" t="s">
        <v>25</v>
      </c>
      <c r="D3202" s="6" t="s">
        <v>25</v>
      </c>
      <c r="E3202" s="7">
        <f>VLOOKUP(A3202,Sheet2!$A$2:$R$3432,4,0)</f>
        <v>8806520897</v>
      </c>
      <c r="F3202" s="7" t="str">
        <f>VLOOKUP(A3202,Sheet2!$A$2:$R$3432,3,0)</f>
        <v>Bhushan Mhetre</v>
      </c>
      <c r="G3202" s="5" t="s">
        <v>25</v>
      </c>
      <c r="H3202" s="5" t="s">
        <v>25</v>
      </c>
      <c r="I3202" s="5" t="s">
        <v>25</v>
      </c>
      <c r="J3202" s="5" t="s">
        <v>25</v>
      </c>
      <c r="K3202" s="7" t="str">
        <f>VLOOKUP(A3202,Sheet2!$A$2:$R$3432,6,0)</f>
        <v>Hero Passion Plus</v>
      </c>
      <c r="L3202" s="5" t="s">
        <v>25</v>
      </c>
      <c r="M3202" s="7" t="str">
        <f>VLOOKUP(A3202,Sheet2!$A$2:$R$3432,5,0)</f>
        <v>MH48L878</v>
      </c>
      <c r="N3202" s="5" t="s">
        <v>25</v>
      </c>
      <c r="O3202" s="5" t="s">
        <v>25</v>
      </c>
      <c r="P3202" s="6" t="s">
        <v>25</v>
      </c>
      <c r="Q3202" s="5" t="s">
        <v>25</v>
      </c>
      <c r="R3202" s="5" t="s">
        <v>25</v>
      </c>
      <c r="S3202" s="7" t="str">
        <f>VLOOKUP(A3202,Sheet2!$A$2:$R$3432,18,0)</f>
        <v/>
      </c>
      <c r="T3202" s="7" t="str">
        <f>VLOOKUP(A3202,Sheet2!$A$2:$R$3432,17,0)</f>
        <v/>
      </c>
    </row>
    <row r="3203" ht="15.75" customHeight="1">
      <c r="A3203" s="3" t="s">
        <v>3226</v>
      </c>
      <c r="B3203" s="4" t="str">
        <f>VLOOKUP(A3203,Sheet2!$A$2:$R$3432,2,0)</f>
        <v>2025-07-16 20:09:00</v>
      </c>
      <c r="C3203" s="5" t="s">
        <v>25</v>
      </c>
      <c r="D3203" s="6" t="s">
        <v>25</v>
      </c>
      <c r="E3203" s="7">
        <f>VLOOKUP(A3203,Sheet2!$A$2:$R$3432,4,0)</f>
        <v>7774079947</v>
      </c>
      <c r="F3203" s="7" t="str">
        <f>VLOOKUP(A3203,Sheet2!$A$2:$R$3432,3,0)</f>
        <v> Nadeem</v>
      </c>
      <c r="G3203" s="5" t="s">
        <v>25</v>
      </c>
      <c r="H3203" s="5" t="s">
        <v>25</v>
      </c>
      <c r="I3203" s="5" t="s">
        <v>25</v>
      </c>
      <c r="J3203" s="5" t="s">
        <v>25</v>
      </c>
      <c r="K3203" s="7" t="str">
        <f>VLOOKUP(A3203,Sheet2!$A$2:$R$3432,6,0)</f>
        <v>Bajaj Pulsar 150</v>
      </c>
      <c r="L3203" s="5" t="s">
        <v>25</v>
      </c>
      <c r="M3203" s="7" t="str">
        <f>VLOOKUP(A3203,Sheet2!$A$2:$R$3432,5,0)</f>
        <v>MH14EK0269</v>
      </c>
      <c r="N3203" s="5" t="s">
        <v>25</v>
      </c>
      <c r="O3203" s="5" t="s">
        <v>25</v>
      </c>
      <c r="P3203" s="6" t="s">
        <v>25</v>
      </c>
      <c r="Q3203" s="5" t="s">
        <v>25</v>
      </c>
      <c r="R3203" s="5" t="s">
        <v>25</v>
      </c>
      <c r="S3203" s="7" t="str">
        <f>VLOOKUP(A3203,Sheet2!$A$2:$R$3432,18,0)</f>
        <v/>
      </c>
      <c r="T3203" s="7" t="str">
        <f>VLOOKUP(A3203,Sheet2!$A$2:$R$3432,17,0)</f>
        <v/>
      </c>
    </row>
    <row r="3204" ht="15.75" customHeight="1">
      <c r="A3204" s="3" t="s">
        <v>3227</v>
      </c>
      <c r="B3204" s="4" t="str">
        <f>VLOOKUP(A3204,Sheet2!$A$2:$R$3432,2,0)</f>
        <v>2025-07-16 20:09:29</v>
      </c>
      <c r="C3204" s="5" t="s">
        <v>25</v>
      </c>
      <c r="D3204" s="6" t="s">
        <v>25</v>
      </c>
      <c r="E3204" s="7">
        <f>VLOOKUP(A3204,Sheet2!$A$2:$R$3432,4,0)</f>
        <v>8390548181</v>
      </c>
      <c r="F3204" s="7" t="str">
        <f>VLOOKUP(A3204,Sheet2!$A$2:$R$3432,3,0)</f>
        <v>Santosh</v>
      </c>
      <c r="G3204" s="5" t="s">
        <v>25</v>
      </c>
      <c r="H3204" s="5" t="s">
        <v>25</v>
      </c>
      <c r="I3204" s="5" t="s">
        <v>25</v>
      </c>
      <c r="J3204" s="5" t="s">
        <v>25</v>
      </c>
      <c r="K3204" s="7" t="str">
        <f>VLOOKUP(A3204,Sheet2!$A$2:$R$3432,6,0)</f>
        <v>Honda Shine </v>
      </c>
      <c r="L3204" s="5" t="s">
        <v>25</v>
      </c>
      <c r="M3204" s="7" t="str">
        <f>VLOOKUP(A3204,Sheet2!$A$2:$R$3432,5,0)</f>
        <v>MH12TL1088</v>
      </c>
      <c r="N3204" s="5" t="s">
        <v>25</v>
      </c>
      <c r="O3204" s="5" t="s">
        <v>25</v>
      </c>
      <c r="P3204" s="6" t="s">
        <v>25</v>
      </c>
      <c r="Q3204" s="5" t="s">
        <v>25</v>
      </c>
      <c r="R3204" s="5" t="s">
        <v>25</v>
      </c>
      <c r="S3204" s="5" t="str">
        <f>VLOOKUP(A3204,Sheet2!$A$2:$R$3432,18,0)</f>
        <v>JC85EG0290759</v>
      </c>
      <c r="T3204" s="7" t="str">
        <f>VLOOKUP(A3204,Sheet2!$A$2:$R$3432,17,0)</f>
        <v>ME4JC8550CMG064729</v>
      </c>
    </row>
    <row r="3205" ht="15.75" customHeight="1">
      <c r="A3205" s="3" t="s">
        <v>3228</v>
      </c>
      <c r="B3205" s="4" t="str">
        <f>VLOOKUP(A3205,Sheet2!$A$2:$R$3432,2,0)</f>
        <v>2025-07-16 20:11:39</v>
      </c>
      <c r="C3205" s="5" t="s">
        <v>25</v>
      </c>
      <c r="D3205" s="6" t="s">
        <v>25</v>
      </c>
      <c r="E3205" s="7">
        <f>VLOOKUP(A3205,Sheet2!$A$2:$R$3432,4,0)</f>
        <v>8668610879</v>
      </c>
      <c r="F3205" s="7" t="str">
        <f>VLOOKUP(A3205,Sheet2!$A$2:$R$3432,3,0)</f>
        <v>LAKSH KHANDALE</v>
      </c>
      <c r="G3205" s="5" t="s">
        <v>25</v>
      </c>
      <c r="H3205" s="5" t="s">
        <v>25</v>
      </c>
      <c r="I3205" s="5" t="s">
        <v>25</v>
      </c>
      <c r="J3205" s="5" t="s">
        <v>25</v>
      </c>
      <c r="K3205" s="7" t="str">
        <f>VLOOKUP(A3205,Sheet2!$A$2:$R$3432,6,0)</f>
        <v>Hero Splendor Plus</v>
      </c>
      <c r="L3205" s="5" t="s">
        <v>25</v>
      </c>
      <c r="M3205" s="7" t="str">
        <f>VLOOKUP(A3205,Sheet2!$A$2:$R$3432,5,0)</f>
        <v>MH16BK5557</v>
      </c>
      <c r="N3205" s="5" t="s">
        <v>25</v>
      </c>
      <c r="O3205" s="5" t="s">
        <v>25</v>
      </c>
      <c r="P3205" s="6" t="s">
        <v>25</v>
      </c>
      <c r="Q3205" s="5" t="s">
        <v>25</v>
      </c>
      <c r="R3205" s="5" t="s">
        <v>25</v>
      </c>
      <c r="S3205" s="7" t="str">
        <f>VLOOKUP(A3205,Sheet2!$A$2:$R$3432,18,0)</f>
        <v/>
      </c>
      <c r="T3205" s="7" t="str">
        <f>VLOOKUP(A3205,Sheet2!$A$2:$R$3432,17,0)</f>
        <v/>
      </c>
    </row>
    <row r="3206" ht="15.75" customHeight="1">
      <c r="A3206" s="3" t="s">
        <v>3229</v>
      </c>
      <c r="B3206" s="4" t="str">
        <f>VLOOKUP(A3206,Sheet2!$A$2:$R$3432,2,0)</f>
        <v>2025-07-16 20:10:40</v>
      </c>
      <c r="C3206" s="5" t="s">
        <v>25</v>
      </c>
      <c r="D3206" s="6" t="s">
        <v>25</v>
      </c>
      <c r="E3206" s="7">
        <f>VLOOKUP(A3206,Sheet2!$A$2:$R$3432,4,0)</f>
        <v>7410515046</v>
      </c>
      <c r="F3206" s="7" t="str">
        <f>VLOOKUP(A3206,Sheet2!$A$2:$R$3432,3,0)</f>
        <v>Pratik </v>
      </c>
      <c r="G3206" s="5" t="s">
        <v>25</v>
      </c>
      <c r="H3206" s="5" t="s">
        <v>25</v>
      </c>
      <c r="I3206" s="5" t="s">
        <v>25</v>
      </c>
      <c r="J3206" s="5" t="s">
        <v>25</v>
      </c>
      <c r="K3206" s="7" t="str">
        <f>VLOOKUP(A3206,Sheet2!$A$2:$R$3432,6,0)</f>
        <v>KTM Duke 200</v>
      </c>
      <c r="L3206" s="5" t="s">
        <v>25</v>
      </c>
      <c r="M3206" s="7" t="str">
        <f>VLOOKUP(A3206,Sheet2!$A$2:$R$3432,5,0)</f>
        <v>MH12TG8914</v>
      </c>
      <c r="N3206" s="5" t="s">
        <v>25</v>
      </c>
      <c r="O3206" s="5" t="s">
        <v>25</v>
      </c>
      <c r="P3206" s="6" t="s">
        <v>25</v>
      </c>
      <c r="Q3206" s="5" t="s">
        <v>25</v>
      </c>
      <c r="R3206" s="5" t="s">
        <v>25</v>
      </c>
      <c r="S3206" s="7" t="str">
        <f>VLOOKUP(A3206,Sheet2!$A$2:$R$3432,18,0)</f>
        <v/>
      </c>
      <c r="T3206" s="7" t="str">
        <f>VLOOKUP(A3206,Sheet2!$A$2:$R$3432,17,0)</f>
        <v/>
      </c>
    </row>
    <row r="3207" ht="15.75" customHeight="1">
      <c r="A3207" s="3" t="s">
        <v>3230</v>
      </c>
      <c r="B3207" s="4" t="str">
        <f>VLOOKUP(A3207,Sheet2!$A$2:$R$3432,2,0)</f>
        <v>2025-06-02 16:57:36</v>
      </c>
      <c r="C3207" s="5" t="s">
        <v>25</v>
      </c>
      <c r="D3207" s="6" t="s">
        <v>25</v>
      </c>
      <c r="E3207" s="7">
        <f>VLOOKUP(A3207,Sheet2!$A$2:$R$3432,4,0)</f>
        <v>8484869000</v>
      </c>
      <c r="F3207" s="7" t="str">
        <f>VLOOKUP(A3207,Sheet2!$A$2:$R$3432,3,0)</f>
        <v>Prashant </v>
      </c>
      <c r="G3207" s="5" t="s">
        <v>25</v>
      </c>
      <c r="H3207" s="5" t="s">
        <v>25</v>
      </c>
      <c r="I3207" s="5" t="s">
        <v>25</v>
      </c>
      <c r="J3207" s="5" t="s">
        <v>25</v>
      </c>
      <c r="K3207" s="7" t="str">
        <f>VLOOKUP(A3207,Sheet2!$A$2:$R$3432,6,0)</f>
        <v>Honda Activa 4G</v>
      </c>
      <c r="L3207" s="5" t="s">
        <v>25</v>
      </c>
      <c r="M3207" s="7" t="str">
        <f>VLOOKUP(A3207,Sheet2!$A$2:$R$3432,5,0)</f>
        <v>MH12QH0464</v>
      </c>
      <c r="N3207" s="5" t="s">
        <v>25</v>
      </c>
      <c r="O3207" s="5" t="s">
        <v>25</v>
      </c>
      <c r="P3207" s="6" t="s">
        <v>25</v>
      </c>
      <c r="Q3207" s="5" t="s">
        <v>25</v>
      </c>
      <c r="R3207" s="5" t="s">
        <v>25</v>
      </c>
      <c r="S3207" s="5" t="str">
        <f>VLOOKUP(A3207,Sheet2!$A$2:$R$3432,18,0)</f>
        <v>JF50E49076051</v>
      </c>
      <c r="T3207" s="7" t="str">
        <f>VLOOKUP(A3207,Sheet2!$A$2:$R$3432,17,0)</f>
        <v>ME4JF50CAJ407599</v>
      </c>
    </row>
    <row r="3208" ht="15.75" customHeight="1">
      <c r="A3208" s="3" t="s">
        <v>3231</v>
      </c>
      <c r="B3208" s="4" t="str">
        <f>VLOOKUP(A3208,Sheet2!$A$2:$R$3432,2,0)</f>
        <v>2025-06-02 20:27:35</v>
      </c>
      <c r="C3208" s="5" t="s">
        <v>25</v>
      </c>
      <c r="D3208" s="6" t="s">
        <v>25</v>
      </c>
      <c r="E3208" s="7">
        <f>VLOOKUP(A3208,Sheet2!$A$2:$R$3432,4,0)</f>
        <v>9460420000</v>
      </c>
      <c r="F3208" s="7" t="str">
        <f>VLOOKUP(A3208,Sheet2!$A$2:$R$3432,3,0)</f>
        <v>Kanak Goyal </v>
      </c>
      <c r="G3208" s="5" t="s">
        <v>25</v>
      </c>
      <c r="H3208" s="5" t="s">
        <v>25</v>
      </c>
      <c r="I3208" s="5" t="s">
        <v>25</v>
      </c>
      <c r="J3208" s="5" t="s">
        <v>25</v>
      </c>
      <c r="K3208" s="7" t="str">
        <f>VLOOKUP(A3208,Sheet2!$A$2:$R$3432,6,0)</f>
        <v>Bajaj V (Virat) </v>
      </c>
      <c r="L3208" s="5" t="s">
        <v>25</v>
      </c>
      <c r="M3208" s="7" t="str">
        <f>VLOOKUP(A3208,Sheet2!$A$2:$R$3432,5,0)</f>
        <v>MH14GF0221</v>
      </c>
      <c r="N3208" s="5" t="s">
        <v>25</v>
      </c>
      <c r="O3208" s="5" t="s">
        <v>25</v>
      </c>
      <c r="P3208" s="6" t="s">
        <v>25</v>
      </c>
      <c r="Q3208" s="5" t="s">
        <v>25</v>
      </c>
      <c r="R3208" s="5" t="s">
        <v>25</v>
      </c>
      <c r="S3208" s="7" t="str">
        <f>VLOOKUP(A3208,Sheet2!$A$2:$R$3432,18,0)</f>
        <v/>
      </c>
      <c r="T3208" s="7" t="str">
        <f>VLOOKUP(A3208,Sheet2!$A$2:$R$3432,17,0)</f>
        <v/>
      </c>
    </row>
    <row r="3209" ht="15.75" customHeight="1">
      <c r="A3209" s="3" t="s">
        <v>3232</v>
      </c>
      <c r="B3209" s="4" t="str">
        <f>VLOOKUP(A3209,Sheet2!$A$2:$R$3432,2,0)</f>
        <v>2025-06-02 20:23:34</v>
      </c>
      <c r="C3209" s="5" t="s">
        <v>25</v>
      </c>
      <c r="D3209" s="6" t="s">
        <v>25</v>
      </c>
      <c r="E3209" s="7">
        <f>VLOOKUP(A3209,Sheet2!$A$2:$R$3432,4,0)</f>
        <v>8087368511</v>
      </c>
      <c r="F3209" s="7" t="str">
        <f>VLOOKUP(A3209,Sheet2!$A$2:$R$3432,3,0)</f>
        <v>Pritam Sutkar</v>
      </c>
      <c r="G3209" s="5" t="s">
        <v>25</v>
      </c>
      <c r="H3209" s="5" t="s">
        <v>25</v>
      </c>
      <c r="I3209" s="5" t="s">
        <v>25</v>
      </c>
      <c r="J3209" s="5" t="s">
        <v>25</v>
      </c>
      <c r="K3209" s="7" t="str">
        <f>VLOOKUP(A3209,Sheet2!$A$2:$R$3432,6,0)</f>
        <v>Bajaj Pulsar 200 AS</v>
      </c>
      <c r="L3209" s="5" t="s">
        <v>25</v>
      </c>
      <c r="M3209" s="7" t="str">
        <f>VLOOKUP(A3209,Sheet2!$A$2:$R$3432,5,0)</f>
        <v>MH12NC0724</v>
      </c>
      <c r="N3209" s="5" t="s">
        <v>25</v>
      </c>
      <c r="O3209" s="5" t="s">
        <v>25</v>
      </c>
      <c r="P3209" s="6" t="s">
        <v>25</v>
      </c>
      <c r="Q3209" s="5" t="s">
        <v>25</v>
      </c>
      <c r="R3209" s="5" t="s">
        <v>25</v>
      </c>
      <c r="S3209" s="5" t="str">
        <f>VLOOKUP(A3209,Sheet2!$A$2:$R$3432,18,0)</f>
        <v>JLZCGM21068</v>
      </c>
      <c r="T3209" s="7" t="str">
        <f>VLOOKUP(A3209,Sheet2!$A$2:$R$3432,17,0)</f>
        <v>MDZA36FZ9GCM2329</v>
      </c>
    </row>
    <row r="3210" ht="15.75" customHeight="1">
      <c r="A3210" s="3" t="s">
        <v>3233</v>
      </c>
      <c r="B3210" s="4" t="str">
        <f>VLOOKUP(A3210,Sheet2!$A$2:$R$3432,2,0)</f>
        <v>2025-06-02 20:27:15</v>
      </c>
      <c r="C3210" s="5" t="s">
        <v>25</v>
      </c>
      <c r="D3210" s="6" t="s">
        <v>25</v>
      </c>
      <c r="E3210" s="7">
        <f>VLOOKUP(A3210,Sheet2!$A$2:$R$3432,4,0)</f>
        <v>7709599301</v>
      </c>
      <c r="F3210" s="7" t="str">
        <f>VLOOKUP(A3210,Sheet2!$A$2:$R$3432,3,0)</f>
        <v>Mangesh</v>
      </c>
      <c r="G3210" s="5" t="s">
        <v>25</v>
      </c>
      <c r="H3210" s="5" t="s">
        <v>25</v>
      </c>
      <c r="I3210" s="5" t="s">
        <v>25</v>
      </c>
      <c r="J3210" s="5" t="s">
        <v>25</v>
      </c>
      <c r="K3210" s="7" t="str">
        <f>VLOOKUP(A3210,Sheet2!$A$2:$R$3432,6,0)</f>
        <v>Honda Activa 5G</v>
      </c>
      <c r="L3210" s="5" t="s">
        <v>25</v>
      </c>
      <c r="M3210" s="7" t="str">
        <f>VLOOKUP(A3210,Sheet2!$A$2:$R$3432,5,0)</f>
        <v>MH27CK5823</v>
      </c>
      <c r="N3210" s="5" t="s">
        <v>25</v>
      </c>
      <c r="O3210" s="5" t="s">
        <v>25</v>
      </c>
      <c r="P3210" s="6" t="s">
        <v>25</v>
      </c>
      <c r="Q3210" s="5" t="s">
        <v>25</v>
      </c>
      <c r="R3210" s="5" t="s">
        <v>25</v>
      </c>
      <c r="S3210" s="5" t="str">
        <f>VLOOKUP(A3210,Sheet2!$A$2:$R$3432,18,0)</f>
        <v>JF50EU7430392</v>
      </c>
      <c r="T3210" s="7" t="str">
        <f>VLOOKUP(A3210,Sheet2!$A$2:$R$3432,17,0)</f>
        <v>ME4JF0AMJU43043</v>
      </c>
    </row>
    <row r="3211" ht="15.75" customHeight="1">
      <c r="A3211" s="3" t="s">
        <v>3234</v>
      </c>
      <c r="B3211" s="4" t="str">
        <f>VLOOKUP(A3211,Sheet2!$A$2:$R$3432,2,0)</f>
        <v>2025-06-02 20:20:06</v>
      </c>
      <c r="C3211" s="5" t="s">
        <v>25</v>
      </c>
      <c r="D3211" s="6" t="s">
        <v>25</v>
      </c>
      <c r="E3211" s="7">
        <f>VLOOKUP(A3211,Sheet2!$A$2:$R$3432,4,0)</f>
        <v>8600002360</v>
      </c>
      <c r="F3211" s="7" t="str">
        <f>VLOOKUP(A3211,Sheet2!$A$2:$R$3432,3,0)</f>
        <v>Rahul</v>
      </c>
      <c r="G3211" s="5" t="s">
        <v>25</v>
      </c>
      <c r="H3211" s="5" t="s">
        <v>25</v>
      </c>
      <c r="I3211" s="5" t="s">
        <v>25</v>
      </c>
      <c r="J3211" s="5" t="s">
        <v>25</v>
      </c>
      <c r="K3211" s="7" t="str">
        <f>VLOOKUP(A3211,Sheet2!$A$2:$R$3432,6,0)</f>
        <v>Bajaj Pulsar 150</v>
      </c>
      <c r="L3211" s="5" t="s">
        <v>25</v>
      </c>
      <c r="M3211" s="7" t="str">
        <f>VLOOKUP(A3211,Sheet2!$A$2:$R$3432,5,0)</f>
        <v>MH12FE2770</v>
      </c>
      <c r="N3211" s="5" t="s">
        <v>25</v>
      </c>
      <c r="O3211" s="5" t="s">
        <v>25</v>
      </c>
      <c r="P3211" s="6" t="s">
        <v>25</v>
      </c>
      <c r="Q3211" s="5" t="s">
        <v>25</v>
      </c>
      <c r="R3211" s="5" t="s">
        <v>25</v>
      </c>
      <c r="S3211" s="7" t="str">
        <f>VLOOKUP(A3211,Sheet2!$A$2:$R$3432,18,0)</f>
        <v/>
      </c>
      <c r="T3211" s="7" t="str">
        <f>VLOOKUP(A3211,Sheet2!$A$2:$R$3432,17,0)</f>
        <v>MD2DHDH77R0F00627</v>
      </c>
    </row>
    <row r="3212" ht="15.75" customHeight="1">
      <c r="A3212" s="3" t="s">
        <v>3235</v>
      </c>
      <c r="B3212" s="4" t="str">
        <f>VLOOKUP(A3212,Sheet2!$A$2:$R$3432,2,0)</f>
        <v>2025-06-02 17:19:47</v>
      </c>
      <c r="C3212" s="5" t="s">
        <v>25</v>
      </c>
      <c r="D3212" s="6" t="s">
        <v>25</v>
      </c>
      <c r="E3212" s="7">
        <f>VLOOKUP(A3212,Sheet2!$A$2:$R$3432,4,0)</f>
        <v>7888033779</v>
      </c>
      <c r="F3212" s="7" t="str">
        <f>VLOOKUP(A3212,Sheet2!$A$2:$R$3432,3,0)</f>
        <v>MAYUR KHANNA</v>
      </c>
      <c r="G3212" s="5" t="s">
        <v>25</v>
      </c>
      <c r="H3212" s="5" t="s">
        <v>25</v>
      </c>
      <c r="I3212" s="5" t="s">
        <v>25</v>
      </c>
      <c r="J3212" s="5" t="s">
        <v>25</v>
      </c>
      <c r="K3212" s="7" t="str">
        <f>VLOOKUP(A3212,Sheet2!$A$2:$R$3432,6,0)</f>
        <v>Honda Activa 110</v>
      </c>
      <c r="L3212" s="5" t="s">
        <v>25</v>
      </c>
      <c r="M3212" s="7" t="str">
        <f>VLOOKUP(A3212,Sheet2!$A$2:$R$3432,5,0)</f>
        <v>MH12KU9550</v>
      </c>
      <c r="N3212" s="5" t="s">
        <v>25</v>
      </c>
      <c r="O3212" s="5" t="s">
        <v>25</v>
      </c>
      <c r="P3212" s="6" t="s">
        <v>25</v>
      </c>
      <c r="Q3212" s="5" t="s">
        <v>25</v>
      </c>
      <c r="R3212" s="5" t="s">
        <v>25</v>
      </c>
      <c r="S3212" s="7" t="str">
        <f>VLOOKUP(A3212,Sheet2!$A$2:$R$3432,18,0)</f>
        <v/>
      </c>
      <c r="T3212" s="7" t="str">
        <f>VLOOKUP(A3212,Sheet2!$A$2:$R$3432,17,0)</f>
        <v/>
      </c>
    </row>
    <row r="3213" ht="15.75" customHeight="1">
      <c r="A3213" s="3" t="s">
        <v>3236</v>
      </c>
      <c r="B3213" s="4" t="str">
        <f>VLOOKUP(A3213,Sheet2!$A$2:$R$3432,2,0)</f>
        <v>2025-06-02 20:24:15</v>
      </c>
      <c r="C3213" s="5" t="s">
        <v>25</v>
      </c>
      <c r="D3213" s="6" t="s">
        <v>25</v>
      </c>
      <c r="E3213" s="7">
        <f>VLOOKUP(A3213,Sheet2!$A$2:$R$3432,4,0)</f>
        <v>9945928580</v>
      </c>
      <c r="F3213" s="7" t="str">
        <f>VLOOKUP(A3213,Sheet2!$A$2:$R$3432,3,0)</f>
        <v>SHRIKANT</v>
      </c>
      <c r="G3213" s="5" t="s">
        <v>25</v>
      </c>
      <c r="H3213" s="5" t="s">
        <v>25</v>
      </c>
      <c r="I3213" s="5" t="s">
        <v>25</v>
      </c>
      <c r="J3213" s="5" t="s">
        <v>25</v>
      </c>
      <c r="K3213" s="7" t="str">
        <f>VLOOKUP(A3213,Sheet2!$A$2:$R$3432,6,0)</f>
        <v>Bajaj Avenger 220 Street</v>
      </c>
      <c r="L3213" s="5" t="s">
        <v>25</v>
      </c>
      <c r="M3213" s="7" t="str">
        <f>VLOOKUP(A3213,Sheet2!$A$2:$R$3432,5,0)</f>
        <v>MH27CE0844</v>
      </c>
      <c r="N3213" s="5" t="s">
        <v>25</v>
      </c>
      <c r="O3213" s="5" t="s">
        <v>25</v>
      </c>
      <c r="P3213" s="6" t="s">
        <v>25</v>
      </c>
      <c r="Q3213" s="5" t="s">
        <v>25</v>
      </c>
      <c r="R3213" s="5" t="s">
        <v>25</v>
      </c>
      <c r="S3213" s="7" t="str">
        <f>VLOOKUP(A3213,Sheet2!$A$2:$R$3432,18,0)</f>
        <v/>
      </c>
      <c r="T3213" s="7" t="str">
        <f>VLOOKUP(A3213,Sheet2!$A$2:$R$3432,17,0)</f>
        <v/>
      </c>
    </row>
    <row r="3214" ht="15.75" customHeight="1">
      <c r="A3214" s="3" t="s">
        <v>3237</v>
      </c>
      <c r="B3214" s="4" t="str">
        <f>VLOOKUP(A3214,Sheet2!$A$2:$R$3432,2,0)</f>
        <v>2025-06-02 20:22:04</v>
      </c>
      <c r="C3214" s="5" t="s">
        <v>25</v>
      </c>
      <c r="D3214" s="6" t="s">
        <v>25</v>
      </c>
      <c r="E3214" s="7">
        <f>VLOOKUP(A3214,Sheet2!$A$2:$R$3432,4,0)</f>
        <v>9130968278</v>
      </c>
      <c r="F3214" s="7" t="str">
        <f>VLOOKUP(A3214,Sheet2!$A$2:$R$3432,3,0)</f>
        <v>SAHIL</v>
      </c>
      <c r="G3214" s="5" t="s">
        <v>25</v>
      </c>
      <c r="H3214" s="5" t="s">
        <v>25</v>
      </c>
      <c r="I3214" s="5" t="s">
        <v>25</v>
      </c>
      <c r="J3214" s="5" t="s">
        <v>25</v>
      </c>
      <c r="K3214" s="7" t="str">
        <f>VLOOKUP(A3214,Sheet2!$A$2:$R$3432,6,0)</f>
        <v>Bajaj Pulsar 220</v>
      </c>
      <c r="L3214" s="5" t="s">
        <v>25</v>
      </c>
      <c r="M3214" s="7" t="str">
        <f>VLOOKUP(A3214,Sheet2!$A$2:$R$3432,5,0)</f>
        <v>MH27BL4940</v>
      </c>
      <c r="N3214" s="5" t="s">
        <v>25</v>
      </c>
      <c r="O3214" s="5" t="s">
        <v>25</v>
      </c>
      <c r="P3214" s="6" t="s">
        <v>25</v>
      </c>
      <c r="Q3214" s="5" t="s">
        <v>25</v>
      </c>
      <c r="R3214" s="5" t="s">
        <v>25</v>
      </c>
      <c r="S3214" s="7" t="str">
        <f>VLOOKUP(A3214,Sheet2!$A$2:$R$3432,18,0)</f>
        <v/>
      </c>
      <c r="T3214" s="7" t="str">
        <f>VLOOKUP(A3214,Sheet2!$A$2:$R$3432,17,0)</f>
        <v/>
      </c>
    </row>
    <row r="3215" ht="15.75" customHeight="1">
      <c r="A3215" s="3" t="s">
        <v>3238</v>
      </c>
      <c r="B3215" s="4" t="str">
        <f>VLOOKUP(A3215,Sheet2!$A$2:$R$3432,2,0)</f>
        <v>2025-06-02 20:25:34</v>
      </c>
      <c r="C3215" s="5" t="s">
        <v>25</v>
      </c>
      <c r="D3215" s="6" t="s">
        <v>25</v>
      </c>
      <c r="E3215" s="7">
        <f>VLOOKUP(A3215,Sheet2!$A$2:$R$3432,4,0)</f>
        <v>8788664878</v>
      </c>
      <c r="F3215" s="7" t="str">
        <f>VLOOKUP(A3215,Sheet2!$A$2:$R$3432,3,0)</f>
        <v>Akash</v>
      </c>
      <c r="G3215" s="5" t="s">
        <v>25</v>
      </c>
      <c r="H3215" s="5" t="s">
        <v>25</v>
      </c>
      <c r="I3215" s="5" t="s">
        <v>25</v>
      </c>
      <c r="J3215" s="5" t="s">
        <v>25</v>
      </c>
      <c r="K3215" s="7" t="str">
        <f>VLOOKUP(A3215,Sheet2!$A$2:$R$3432,6,0)</f>
        <v>Hero Xpulse 4V</v>
      </c>
      <c r="L3215" s="5" t="s">
        <v>25</v>
      </c>
      <c r="M3215" s="7" t="str">
        <f>VLOOKUP(A3215,Sheet2!$A$2:$R$3432,5,0)</f>
        <v>MH14KV4630</v>
      </c>
      <c r="N3215" s="5" t="s">
        <v>25</v>
      </c>
      <c r="O3215" s="5" t="s">
        <v>25</v>
      </c>
      <c r="P3215" s="6" t="s">
        <v>25</v>
      </c>
      <c r="Q3215" s="5" t="s">
        <v>25</v>
      </c>
      <c r="R3215" s="5" t="s">
        <v>25</v>
      </c>
      <c r="S3215" s="5" t="str">
        <f>VLOOKUP(A3215,Sheet2!$A$2:$R$3432,18,0)</f>
        <v>MC20A9PGD00441</v>
      </c>
      <c r="T3215" s="7" t="str">
        <f>VLOOKUP(A3215,Sheet2!$A$2:$R$3432,17,0)</f>
        <v>MBLLDL082PGD00457</v>
      </c>
    </row>
    <row r="3216" ht="15.75" customHeight="1">
      <c r="A3216" s="3" t="s">
        <v>3239</v>
      </c>
      <c r="B3216" s="4" t="str">
        <f>VLOOKUP(A3216,Sheet2!$A$2:$R$3432,2,0)</f>
        <v>2025-06-02 20:20:52</v>
      </c>
      <c r="C3216" s="5" t="s">
        <v>25</v>
      </c>
      <c r="D3216" s="6" t="s">
        <v>25</v>
      </c>
      <c r="E3216" s="7">
        <f>VLOOKUP(A3216,Sheet2!$A$2:$R$3432,4,0)</f>
        <v>9673644333</v>
      </c>
      <c r="F3216" s="7" t="str">
        <f>VLOOKUP(A3216,Sheet2!$A$2:$R$3432,3,0)</f>
        <v>Chirag Vyas</v>
      </c>
      <c r="G3216" s="5" t="s">
        <v>25</v>
      </c>
      <c r="H3216" s="5" t="s">
        <v>25</v>
      </c>
      <c r="I3216" s="5" t="s">
        <v>25</v>
      </c>
      <c r="J3216" s="5" t="s">
        <v>25</v>
      </c>
      <c r="K3216" s="7" t="str">
        <f>VLOOKUP(A3216,Sheet2!$A$2:$R$3432,6,0)</f>
        <v>Honda Activa 110</v>
      </c>
      <c r="L3216" s="5" t="s">
        <v>25</v>
      </c>
      <c r="M3216" s="7" t="str">
        <f>VLOOKUP(A3216,Sheet2!$A$2:$R$3432,5,0)</f>
        <v>MH14DQ8886</v>
      </c>
      <c r="N3216" s="5" t="s">
        <v>25</v>
      </c>
      <c r="O3216" s="5" t="s">
        <v>25</v>
      </c>
      <c r="P3216" s="6" t="s">
        <v>25</v>
      </c>
      <c r="Q3216" s="5" t="s">
        <v>25</v>
      </c>
      <c r="R3216" s="5" t="s">
        <v>25</v>
      </c>
      <c r="S3216" s="7" t="str">
        <f>VLOOKUP(A3216,Sheet2!$A$2:$R$3432,18,0)</f>
        <v/>
      </c>
      <c r="T3216" s="7" t="str">
        <f>VLOOKUP(A3216,Sheet2!$A$2:$R$3432,17,0)</f>
        <v/>
      </c>
    </row>
    <row r="3217" ht="15.75" customHeight="1">
      <c r="A3217" s="3" t="s">
        <v>3240</v>
      </c>
      <c r="B3217" s="4" t="str">
        <f>VLOOKUP(A3217,Sheet2!$A$2:$R$3432,2,0)</f>
        <v>2025-06-04 10:33:38</v>
      </c>
      <c r="C3217" s="5" t="s">
        <v>25</v>
      </c>
      <c r="D3217" s="6" t="s">
        <v>25</v>
      </c>
      <c r="E3217" s="7">
        <f>VLOOKUP(A3217,Sheet2!$A$2:$R$3432,4,0)</f>
        <v>9404018891</v>
      </c>
      <c r="F3217" s="7" t="str">
        <f>VLOOKUP(A3217,Sheet2!$A$2:$R$3432,3,0)</f>
        <v>SHRINIWAS </v>
      </c>
      <c r="G3217" s="5" t="s">
        <v>25</v>
      </c>
      <c r="H3217" s="5" t="s">
        <v>25</v>
      </c>
      <c r="I3217" s="5" t="s">
        <v>25</v>
      </c>
      <c r="J3217" s="5" t="s">
        <v>25</v>
      </c>
      <c r="K3217" s="7" t="str">
        <f>VLOOKUP(A3217,Sheet2!$A$2:$R$3432,6,0)</f>
        <v>TVS Jupiter </v>
      </c>
      <c r="L3217" s="5" t="s">
        <v>25</v>
      </c>
      <c r="M3217" s="7" t="str">
        <f>VLOOKUP(A3217,Sheet2!$A$2:$R$3432,5,0)</f>
        <v>MH12QL3377</v>
      </c>
      <c r="N3217" s="5" t="s">
        <v>25</v>
      </c>
      <c r="O3217" s="5" t="s">
        <v>25</v>
      </c>
      <c r="P3217" s="6" t="s">
        <v>25</v>
      </c>
      <c r="Q3217" s="5" t="s">
        <v>25</v>
      </c>
      <c r="R3217" s="5" t="s">
        <v>25</v>
      </c>
      <c r="S3217" s="5" t="str">
        <f>VLOOKUP(A3217,Sheet2!$A$2:$R$3432,18,0)</f>
        <v>EG4CJ2126241</v>
      </c>
      <c r="T3217" s="7" t="str">
        <f>VLOOKUP(A3217,Sheet2!$A$2:$R$3432,17,0)</f>
        <v>MD626EG15J3C15284</v>
      </c>
    </row>
    <row r="3218" ht="15.75" customHeight="1">
      <c r="A3218" s="3" t="s">
        <v>3241</v>
      </c>
      <c r="B3218" s="4" t="str">
        <f>VLOOKUP(A3218,Sheet2!$A$2:$R$3432,2,0)</f>
        <v>2025-06-05 19:47:26</v>
      </c>
      <c r="C3218" s="5" t="s">
        <v>25</v>
      </c>
      <c r="D3218" s="6" t="s">
        <v>25</v>
      </c>
      <c r="E3218" s="7">
        <f>VLOOKUP(A3218,Sheet2!$A$2:$R$3432,4,0)</f>
        <v>8319328866</v>
      </c>
      <c r="F3218" s="7" t="str">
        <f>VLOOKUP(A3218,Sheet2!$A$2:$R$3432,3,0)</f>
        <v>Abhiraj</v>
      </c>
      <c r="G3218" s="5" t="s">
        <v>25</v>
      </c>
      <c r="H3218" s="5" t="s">
        <v>25</v>
      </c>
      <c r="I3218" s="5" t="s">
        <v>25</v>
      </c>
      <c r="J3218" s="5" t="s">
        <v>25</v>
      </c>
      <c r="K3218" s="7" t="str">
        <f>VLOOKUP(A3218,Sheet2!$A$2:$R$3432,6,0)</f>
        <v>Yamaha FZ </v>
      </c>
      <c r="L3218" s="5" t="s">
        <v>25</v>
      </c>
      <c r="M3218" s="7" t="str">
        <f>VLOOKUP(A3218,Sheet2!$A$2:$R$3432,5,0)</f>
        <v>MP43DS2503</v>
      </c>
      <c r="N3218" s="5" t="s">
        <v>25</v>
      </c>
      <c r="O3218" s="5" t="s">
        <v>25</v>
      </c>
      <c r="P3218" s="6" t="s">
        <v>25</v>
      </c>
      <c r="Q3218" s="5" t="s">
        <v>25</v>
      </c>
      <c r="R3218" s="5" t="s">
        <v>25</v>
      </c>
      <c r="S3218" s="7" t="str">
        <f>VLOOKUP(A3218,Sheet2!$A$2:$R$3432,18,0)</f>
        <v/>
      </c>
      <c r="T3218" s="7" t="str">
        <f>VLOOKUP(A3218,Sheet2!$A$2:$R$3432,17,0)</f>
        <v/>
      </c>
    </row>
    <row r="3219" ht="15.75" customHeight="1">
      <c r="A3219" s="3" t="s">
        <v>3242</v>
      </c>
      <c r="B3219" s="4" t="str">
        <f>VLOOKUP(A3219,Sheet2!$A$2:$R$3432,2,0)</f>
        <v>2025-06-25 17:45:27</v>
      </c>
      <c r="C3219" s="5" t="s">
        <v>25</v>
      </c>
      <c r="D3219" s="6" t="s">
        <v>25</v>
      </c>
      <c r="E3219" s="7">
        <f>VLOOKUP(A3219,Sheet2!$A$2:$R$3432,4,0)</f>
        <v>9420777521</v>
      </c>
      <c r="F3219" s="7" t="str">
        <f>VLOOKUP(A3219,Sheet2!$A$2:$R$3432,3,0)</f>
        <v>Sudhir Patil</v>
      </c>
      <c r="G3219" s="5" t="s">
        <v>25</v>
      </c>
      <c r="H3219" s="5" t="s">
        <v>25</v>
      </c>
      <c r="I3219" s="5" t="s">
        <v>25</v>
      </c>
      <c r="J3219" s="5" t="s">
        <v>25</v>
      </c>
      <c r="K3219" s="7" t="str">
        <f>VLOOKUP(A3219,Sheet2!$A$2:$R$3432,6,0)</f>
        <v>TVS Jupiter </v>
      </c>
      <c r="L3219" s="5" t="s">
        <v>25</v>
      </c>
      <c r="M3219" s="7" t="str">
        <f>VLOOKUP(A3219,Sheet2!$A$2:$R$3432,5,0)</f>
        <v>MH14GF1242</v>
      </c>
      <c r="N3219" s="5" t="s">
        <v>25</v>
      </c>
      <c r="O3219" s="5" t="s">
        <v>25</v>
      </c>
      <c r="P3219" s="6" t="s">
        <v>25</v>
      </c>
      <c r="Q3219" s="5" t="s">
        <v>25</v>
      </c>
      <c r="R3219" s="5" t="s">
        <v>25</v>
      </c>
      <c r="S3219" s="5" t="str">
        <f>VLOOKUP(A3219,Sheet2!$A$2:$R$3432,18,0)</f>
        <v>BG4AH1116886</v>
      </c>
      <c r="T3219" s="7" t="str">
        <f>VLOOKUP(A3219,Sheet2!$A$2:$R$3432,17,0)</f>
        <v>MD2A6BG4X41A23783</v>
      </c>
    </row>
    <row r="3220" ht="15.75" customHeight="1">
      <c r="A3220" s="3" t="s">
        <v>3243</v>
      </c>
      <c r="B3220" s="4" t="str">
        <f>VLOOKUP(A3220,Sheet2!$A$2:$R$3432,2,0)</f>
        <v>2025-06-25 17:46:57</v>
      </c>
      <c r="C3220" s="5" t="s">
        <v>25</v>
      </c>
      <c r="D3220" s="6" t="s">
        <v>25</v>
      </c>
      <c r="E3220" s="7">
        <f>VLOOKUP(A3220,Sheet2!$A$2:$R$3432,4,0)</f>
        <v>7020218470</v>
      </c>
      <c r="F3220" s="7" t="str">
        <f>VLOOKUP(A3220,Sheet2!$A$2:$R$3432,3,0)</f>
        <v>Umesh Dhumal </v>
      </c>
      <c r="G3220" s="5" t="s">
        <v>25</v>
      </c>
      <c r="H3220" s="5" t="s">
        <v>25</v>
      </c>
      <c r="I3220" s="5" t="s">
        <v>25</v>
      </c>
      <c r="J3220" s="5" t="s">
        <v>25</v>
      </c>
      <c r="K3220" s="7" t="str">
        <f>VLOOKUP(A3220,Sheet2!$A$2:$R$3432,6,0)</f>
        <v>Honda Shine </v>
      </c>
      <c r="L3220" s="5" t="s">
        <v>25</v>
      </c>
      <c r="M3220" s="7" t="str">
        <f>VLOOKUP(A3220,Sheet2!$A$2:$R$3432,5,0)</f>
        <v>MH12TW1197</v>
      </c>
      <c r="N3220" s="5" t="s">
        <v>25</v>
      </c>
      <c r="O3220" s="5" t="s">
        <v>25</v>
      </c>
      <c r="P3220" s="6" t="s">
        <v>25</v>
      </c>
      <c r="Q3220" s="5" t="s">
        <v>25</v>
      </c>
      <c r="R3220" s="5" t="s">
        <v>25</v>
      </c>
      <c r="S3220" s="5" t="str">
        <f>VLOOKUP(A3220,Sheet2!$A$2:$R$3432,18,0)</f>
        <v>JC85ED1093294</v>
      </c>
      <c r="T3220" s="7" t="str">
        <f>VLOOKUP(A3220,Sheet2!$A$2:$R$3432,17,0)</f>
        <v>ME4JC85AKM0060767</v>
      </c>
    </row>
    <row r="3221" ht="15.75" customHeight="1">
      <c r="A3221" s="3" t="s">
        <v>3244</v>
      </c>
      <c r="B3221" s="4" t="str">
        <f>VLOOKUP(A3221,Sheet2!$A$2:$R$3432,2,0)</f>
        <v>2025-06-25 17:49:34</v>
      </c>
      <c r="C3221" s="5" t="s">
        <v>25</v>
      </c>
      <c r="D3221" s="6" t="s">
        <v>25</v>
      </c>
      <c r="E3221" s="7">
        <f>VLOOKUP(A3221,Sheet2!$A$2:$R$3432,4,0)</f>
        <v>7385731332</v>
      </c>
      <c r="F3221" s="7" t="str">
        <f>VLOOKUP(A3221,Sheet2!$A$2:$R$3432,3,0)</f>
        <v>Manish Deshmukh </v>
      </c>
      <c r="G3221" s="5" t="s">
        <v>25</v>
      </c>
      <c r="H3221" s="5" t="s">
        <v>25</v>
      </c>
      <c r="I3221" s="5" t="s">
        <v>25</v>
      </c>
      <c r="J3221" s="5" t="s">
        <v>25</v>
      </c>
      <c r="K3221" s="7" t="str">
        <f>VLOOKUP(A3221,Sheet2!$A$2:$R$3432,6,0)</f>
        <v>Bajaj Pulsar 150</v>
      </c>
      <c r="L3221" s="5" t="s">
        <v>25</v>
      </c>
      <c r="M3221" s="7" t="str">
        <f>VLOOKUP(A3221,Sheet2!$A$2:$R$3432,5,0)</f>
        <v>MH19CC8701</v>
      </c>
      <c r="N3221" s="5" t="s">
        <v>25</v>
      </c>
      <c r="O3221" s="5" t="s">
        <v>25</v>
      </c>
      <c r="P3221" s="6" t="s">
        <v>25</v>
      </c>
      <c r="Q3221" s="5" t="s">
        <v>25</v>
      </c>
      <c r="R3221" s="5" t="s">
        <v>25</v>
      </c>
      <c r="S3221" s="7" t="str">
        <f>VLOOKUP(A3221,Sheet2!$A$2:$R$3432,18,0)</f>
        <v/>
      </c>
      <c r="T3221" s="7" t="str">
        <f>VLOOKUP(A3221,Sheet2!$A$2:$R$3432,17,0)</f>
        <v/>
      </c>
    </row>
    <row r="3222" ht="15.75" customHeight="1">
      <c r="A3222" s="3" t="s">
        <v>3245</v>
      </c>
      <c r="B3222" s="4" t="str">
        <f>VLOOKUP(A3222,Sheet2!$A$2:$R$3432,2,0)</f>
        <v>2025-06-25 17:49:59</v>
      </c>
      <c r="C3222" s="5" t="s">
        <v>25</v>
      </c>
      <c r="D3222" s="6" t="s">
        <v>25</v>
      </c>
      <c r="E3222" s="7">
        <f>VLOOKUP(A3222,Sheet2!$A$2:$R$3432,4,0)</f>
        <v>8975973107</v>
      </c>
      <c r="F3222" s="7" t="str">
        <f>VLOOKUP(A3222,Sheet2!$A$2:$R$3432,3,0)</f>
        <v>Pratik Kanse </v>
      </c>
      <c r="G3222" s="5" t="s">
        <v>25</v>
      </c>
      <c r="H3222" s="5" t="s">
        <v>25</v>
      </c>
      <c r="I3222" s="5" t="s">
        <v>25</v>
      </c>
      <c r="J3222" s="5" t="s">
        <v>25</v>
      </c>
      <c r="K3222" s="7" t="str">
        <f>VLOOKUP(A3222,Sheet2!$A$2:$R$3432,6,0)</f>
        <v>Honda Activa 125</v>
      </c>
      <c r="L3222" s="5" t="s">
        <v>25</v>
      </c>
      <c r="M3222" s="7" t="str">
        <f>VLOOKUP(A3222,Sheet2!$A$2:$R$3432,5,0)</f>
        <v>MH12RH3814</v>
      </c>
      <c r="N3222" s="5" t="s">
        <v>25</v>
      </c>
      <c r="O3222" s="5" t="s">
        <v>25</v>
      </c>
      <c r="P3222" s="6" t="s">
        <v>25</v>
      </c>
      <c r="Q3222" s="5" t="s">
        <v>25</v>
      </c>
      <c r="R3222" s="5" t="s">
        <v>25</v>
      </c>
      <c r="S3222" s="5" t="str">
        <f>VLOOKUP(A3222,Sheet2!$A$2:$R$3432,18,0)</f>
        <v>JF49EU4040875</v>
      </c>
      <c r="T3222" s="7" t="str">
        <f>VLOOKUP(A3222,Sheet2!$A$2:$R$3432,17,0)</f>
        <v>ME4JF490LJ040959</v>
      </c>
    </row>
    <row r="3223" ht="15.75" customHeight="1">
      <c r="A3223" s="3" t="s">
        <v>3246</v>
      </c>
      <c r="B3223" s="4" t="str">
        <f>VLOOKUP(A3223,Sheet2!$A$2:$R$3432,2,0)</f>
        <v>2025-06-25 20:50:18</v>
      </c>
      <c r="C3223" s="5" t="s">
        <v>25</v>
      </c>
      <c r="D3223" s="6" t="s">
        <v>25</v>
      </c>
      <c r="E3223" s="7">
        <f>VLOOKUP(A3223,Sheet2!$A$2:$R$3432,4,0)</f>
        <v>8275160439</v>
      </c>
      <c r="F3223" s="7" t="str">
        <f>VLOOKUP(A3223,Sheet2!$A$2:$R$3432,3,0)</f>
        <v>SAURABH RAKHADE</v>
      </c>
      <c r="G3223" s="5" t="s">
        <v>25</v>
      </c>
      <c r="H3223" s="5" t="s">
        <v>25</v>
      </c>
      <c r="I3223" s="5" t="s">
        <v>25</v>
      </c>
      <c r="J3223" s="5" t="s">
        <v>25</v>
      </c>
      <c r="K3223" s="7" t="str">
        <f>VLOOKUP(A3223,Sheet2!$A$2:$R$3432,6,0)</f>
        <v>Yamaha FZ S 2.0</v>
      </c>
      <c r="L3223" s="5" t="s">
        <v>25</v>
      </c>
      <c r="M3223" s="7" t="str">
        <f>VLOOKUP(A3223,Sheet2!$A$2:$R$3432,5,0)</f>
        <v>MH14HJ1148</v>
      </c>
      <c r="N3223" s="5" t="s">
        <v>25</v>
      </c>
      <c r="O3223" s="5" t="s">
        <v>25</v>
      </c>
      <c r="P3223" s="6" t="s">
        <v>25</v>
      </c>
      <c r="Q3223" s="5" t="s">
        <v>25</v>
      </c>
      <c r="R3223" s="5" t="s">
        <v>25</v>
      </c>
      <c r="S3223" s="5" t="str">
        <f>VLOOKUP(A3223,Sheet2!$A$2:$R$3432,18,0)</f>
        <v>G3J3E0336293</v>
      </c>
      <c r="T3223" s="7" t="str">
        <f>VLOOKUP(A3223,Sheet2!$A$2:$R$3432,17,0)</f>
        <v>ME1RG4426J0172035</v>
      </c>
    </row>
    <row r="3224" ht="15.75" customHeight="1">
      <c r="A3224" s="3" t="s">
        <v>3247</v>
      </c>
      <c r="B3224" s="4" t="str">
        <f>VLOOKUP(A3224,Sheet2!$A$2:$R$3432,2,0)</f>
        <v>2025-06-25 17:47:32</v>
      </c>
      <c r="C3224" s="5" t="s">
        <v>25</v>
      </c>
      <c r="D3224" s="6" t="s">
        <v>25</v>
      </c>
      <c r="E3224" s="7">
        <f>VLOOKUP(A3224,Sheet2!$A$2:$R$3432,4,0)</f>
        <v>9960621585</v>
      </c>
      <c r="F3224" s="7" t="str">
        <f>VLOOKUP(A3224,Sheet2!$A$2:$R$3432,3,0)</f>
        <v>Vijay </v>
      </c>
      <c r="G3224" s="5" t="s">
        <v>25</v>
      </c>
      <c r="H3224" s="5" t="s">
        <v>25</v>
      </c>
      <c r="I3224" s="5" t="s">
        <v>25</v>
      </c>
      <c r="J3224" s="5" t="s">
        <v>25</v>
      </c>
      <c r="K3224" s="7" t="str">
        <f>VLOOKUP(A3224,Sheet2!$A$2:$R$3432,6,0)</f>
        <v>Hero Splendor Plus</v>
      </c>
      <c r="L3224" s="5" t="s">
        <v>25</v>
      </c>
      <c r="M3224" s="7" t="str">
        <f>VLOOKUP(A3224,Sheet2!$A$2:$R$3432,5,0)</f>
        <v>MH14ZG4213</v>
      </c>
      <c r="N3224" s="5" t="s">
        <v>25</v>
      </c>
      <c r="O3224" s="5" t="s">
        <v>25</v>
      </c>
      <c r="P3224" s="6" t="s">
        <v>25</v>
      </c>
      <c r="Q3224" s="5" t="s">
        <v>25</v>
      </c>
      <c r="R3224" s="5" t="s">
        <v>25</v>
      </c>
      <c r="S3224" s="5" t="str">
        <f>VLOOKUP(A3224,Sheet2!$A$2:$R$3432,18,0)</f>
        <v>HA11EEFW220140</v>
      </c>
      <c r="T3224" s="7" t="str">
        <f>VLOOKUP(A3224,Sheet2!$A$2:$R$3432,17,0)</f>
        <v>MBLHAW226PHL41030</v>
      </c>
    </row>
    <row r="3225" ht="15.75" customHeight="1">
      <c r="A3225" s="3" t="s">
        <v>3248</v>
      </c>
      <c r="B3225" s="4" t="str">
        <f>VLOOKUP(A3225,Sheet2!$A$2:$R$3432,2,0)</f>
        <v>2025-06-25 17:48:45</v>
      </c>
      <c r="C3225" s="5" t="s">
        <v>25</v>
      </c>
      <c r="D3225" s="6" t="s">
        <v>25</v>
      </c>
      <c r="E3225" s="7">
        <f>VLOOKUP(A3225,Sheet2!$A$2:$R$3432,4,0)</f>
        <v>9730002180</v>
      </c>
      <c r="F3225" s="7" t="str">
        <f>VLOOKUP(A3225,Sheet2!$A$2:$R$3432,3,0)</f>
        <v>Makarand Deshpande</v>
      </c>
      <c r="G3225" s="5" t="s">
        <v>25</v>
      </c>
      <c r="H3225" s="5" t="s">
        <v>25</v>
      </c>
      <c r="I3225" s="5" t="s">
        <v>25</v>
      </c>
      <c r="J3225" s="5" t="s">
        <v>25</v>
      </c>
      <c r="K3225" s="7" t="str">
        <f>VLOOKUP(A3225,Sheet2!$A$2:$R$3432,6,0)</f>
        <v>TVS Wego </v>
      </c>
      <c r="L3225" s="5" t="s">
        <v>25</v>
      </c>
      <c r="M3225" s="7" t="str">
        <f>VLOOKUP(A3225,Sheet2!$A$2:$R$3432,5,0)</f>
        <v>MH14EJ5798</v>
      </c>
      <c r="N3225" s="5" t="s">
        <v>25</v>
      </c>
      <c r="O3225" s="5" t="s">
        <v>25</v>
      </c>
      <c r="P3225" s="6" t="s">
        <v>25</v>
      </c>
      <c r="Q3225" s="5" t="s">
        <v>25</v>
      </c>
      <c r="R3225" s="5" t="s">
        <v>25</v>
      </c>
      <c r="S3225" s="5" t="str">
        <f>VLOOKUP(A3225,Sheet2!$A$2:$R$3432,18,0)</f>
        <v>OG4CE1119445</v>
      </c>
      <c r="T3225" s="7" t="str">
        <f>VLOOKUP(A3225,Sheet2!$A$2:$R$3432,17,0)</f>
        <v>MD626AGA8E1623020</v>
      </c>
    </row>
    <row r="3226" ht="15.75" customHeight="1">
      <c r="A3226" s="3" t="s">
        <v>3249</v>
      </c>
      <c r="B3226" s="4" t="str">
        <f>VLOOKUP(A3226,Sheet2!$A$2:$R$3432,2,0)</f>
        <v>2025-06-25 20:48:20</v>
      </c>
      <c r="C3226" s="5" t="s">
        <v>25</v>
      </c>
      <c r="D3226" s="6" t="s">
        <v>25</v>
      </c>
      <c r="E3226" s="7">
        <f>VLOOKUP(A3226,Sheet2!$A$2:$R$3432,4,0)</f>
        <v>9130199192</v>
      </c>
      <c r="F3226" s="7" t="str">
        <f>VLOOKUP(A3226,Sheet2!$A$2:$R$3432,3,0)</f>
        <v>Sagar Patil</v>
      </c>
      <c r="G3226" s="5" t="s">
        <v>25</v>
      </c>
      <c r="H3226" s="5" t="s">
        <v>25</v>
      </c>
      <c r="I3226" s="5" t="s">
        <v>25</v>
      </c>
      <c r="J3226" s="5" t="s">
        <v>25</v>
      </c>
      <c r="K3226" s="7" t="str">
        <f>VLOOKUP(A3226,Sheet2!$A$2:$R$3432,6,0)</f>
        <v>Yamaha FZ V3</v>
      </c>
      <c r="L3226" s="5" t="s">
        <v>25</v>
      </c>
      <c r="M3226" s="7" t="str">
        <f>VLOOKUP(A3226,Sheet2!$A$2:$R$3432,5,0)</f>
        <v>MH19EH2118</v>
      </c>
      <c r="N3226" s="5" t="s">
        <v>25</v>
      </c>
      <c r="O3226" s="5" t="s">
        <v>25</v>
      </c>
      <c r="P3226" s="6" t="s">
        <v>25</v>
      </c>
      <c r="Q3226" s="5" t="s">
        <v>25</v>
      </c>
      <c r="R3226" s="5" t="s">
        <v>25</v>
      </c>
      <c r="S3226" s="7" t="str">
        <f>VLOOKUP(A3226,Sheet2!$A$2:$R$3432,18,0)</f>
        <v/>
      </c>
      <c r="T3226" s="7" t="str">
        <f>VLOOKUP(A3226,Sheet2!$A$2:$R$3432,17,0)</f>
        <v/>
      </c>
    </row>
    <row r="3227" ht="15.75" customHeight="1">
      <c r="A3227" s="3" t="s">
        <v>3250</v>
      </c>
      <c r="B3227" s="4" t="str">
        <f>VLOOKUP(A3227,Sheet2!$A$2:$R$3432,2,0)</f>
        <v>2025-06-25 17:45:55</v>
      </c>
      <c r="C3227" s="5" t="s">
        <v>25</v>
      </c>
      <c r="D3227" s="6" t="s">
        <v>25</v>
      </c>
      <c r="E3227" s="7">
        <f>VLOOKUP(A3227,Sheet2!$A$2:$R$3432,4,0)</f>
        <v>8087351788</v>
      </c>
      <c r="F3227" s="7" t="str">
        <f>VLOOKUP(A3227,Sheet2!$A$2:$R$3432,3,0)</f>
        <v>Akshay Lambe</v>
      </c>
      <c r="G3227" s="5" t="s">
        <v>25</v>
      </c>
      <c r="H3227" s="5" t="s">
        <v>25</v>
      </c>
      <c r="I3227" s="5" t="s">
        <v>25</v>
      </c>
      <c r="J3227" s="5" t="s">
        <v>25</v>
      </c>
      <c r="K3227" s="7" t="str">
        <f>VLOOKUP(A3227,Sheet2!$A$2:$R$3432,6,0)</f>
        <v>Honda Hornet </v>
      </c>
      <c r="L3227" s="5" t="s">
        <v>25</v>
      </c>
      <c r="M3227" s="7" t="str">
        <f>VLOOKUP(A3227,Sheet2!$A$2:$R$3432,5,0)</f>
        <v>MH09DZ2272</v>
      </c>
      <c r="N3227" s="5" t="s">
        <v>25</v>
      </c>
      <c r="O3227" s="5" t="s">
        <v>25</v>
      </c>
      <c r="P3227" s="6" t="s">
        <v>25</v>
      </c>
      <c r="Q3227" s="5" t="s">
        <v>25</v>
      </c>
      <c r="R3227" s="5" t="s">
        <v>25</v>
      </c>
      <c r="S3227" s="5" t="str">
        <f>VLOOKUP(A3227,Sheet2!$A$2:$R$3432,18,0)</f>
        <v>HC23E80018721</v>
      </c>
      <c r="T3227" s="7" t="str">
        <f>VLOOKUP(A3227,Sheet2!$A$2:$R$3432,17,0)</f>
        <v>ME4KC231BGAD14873</v>
      </c>
    </row>
    <row r="3228" ht="15.75" customHeight="1">
      <c r="A3228" s="3" t="s">
        <v>3251</v>
      </c>
      <c r="B3228" s="4" t="str">
        <f>VLOOKUP(A3228,Sheet2!$A$2:$R$3432,2,0)</f>
        <v>2025-06-25 20:48:02</v>
      </c>
      <c r="C3228" s="5" t="s">
        <v>25</v>
      </c>
      <c r="D3228" s="6" t="s">
        <v>25</v>
      </c>
      <c r="E3228" s="7">
        <f>VLOOKUP(A3228,Sheet2!$A$2:$R$3432,4,0)</f>
        <v>9970564201</v>
      </c>
      <c r="F3228" s="7" t="str">
        <f>VLOOKUP(A3228,Sheet2!$A$2:$R$3432,3,0)</f>
        <v>Vaibhav Kumbhar </v>
      </c>
      <c r="G3228" s="5" t="s">
        <v>25</v>
      </c>
      <c r="H3228" s="5" t="s">
        <v>25</v>
      </c>
      <c r="I3228" s="5" t="s">
        <v>25</v>
      </c>
      <c r="J3228" s="5" t="s">
        <v>25</v>
      </c>
      <c r="K3228" s="7" t="str">
        <f>VLOOKUP(A3228,Sheet2!$A$2:$R$3432,6,0)</f>
        <v>Honda Unicorn </v>
      </c>
      <c r="L3228" s="5" t="s">
        <v>25</v>
      </c>
      <c r="M3228" s="7" t="str">
        <f>VLOOKUP(A3228,Sheet2!$A$2:$R$3432,5,0)</f>
        <v>MH50Q9215</v>
      </c>
      <c r="N3228" s="5" t="s">
        <v>25</v>
      </c>
      <c r="O3228" s="5" t="s">
        <v>25</v>
      </c>
      <c r="P3228" s="6" t="s">
        <v>25</v>
      </c>
      <c r="Q3228" s="5" t="s">
        <v>25</v>
      </c>
      <c r="R3228" s="5" t="s">
        <v>25</v>
      </c>
      <c r="S3228" s="7" t="str">
        <f>VLOOKUP(A3228,Sheet2!$A$2:$R$3432,18,0)</f>
        <v/>
      </c>
      <c r="T3228" s="7" t="str">
        <f>VLOOKUP(A3228,Sheet2!$A$2:$R$3432,17,0)</f>
        <v/>
      </c>
    </row>
    <row r="3229" ht="15.75" customHeight="1">
      <c r="A3229" s="3" t="s">
        <v>3252</v>
      </c>
      <c r="B3229" s="4" t="str">
        <f>VLOOKUP(A3229,Sheet2!$A$2:$R$3432,2,0)</f>
        <v>2025-06-25 20:49:11</v>
      </c>
      <c r="C3229" s="5" t="s">
        <v>25</v>
      </c>
      <c r="D3229" s="6" t="s">
        <v>25</v>
      </c>
      <c r="E3229" s="7">
        <f>VLOOKUP(A3229,Sheet2!$A$2:$R$3432,4,0)</f>
        <v>7798456363</v>
      </c>
      <c r="F3229" s="7" t="str">
        <f>VLOOKUP(A3229,Sheet2!$A$2:$R$3432,3,0)</f>
        <v>Aniket </v>
      </c>
      <c r="G3229" s="5" t="s">
        <v>25</v>
      </c>
      <c r="H3229" s="5" t="s">
        <v>25</v>
      </c>
      <c r="I3229" s="5" t="s">
        <v>25</v>
      </c>
      <c r="J3229" s="5" t="s">
        <v>25</v>
      </c>
      <c r="K3229" s="7" t="str">
        <f>VLOOKUP(A3229,Sheet2!$A$2:$R$3432,6,0)</f>
        <v>Bajaj Avenger 220 Cruise</v>
      </c>
      <c r="L3229" s="5" t="s">
        <v>25</v>
      </c>
      <c r="M3229" s="7" t="str">
        <f>VLOOKUP(A3229,Sheet2!$A$2:$R$3432,5,0)</f>
        <v>MH14FU4454</v>
      </c>
      <c r="N3229" s="5" t="s">
        <v>25</v>
      </c>
      <c r="O3229" s="5" t="s">
        <v>25</v>
      </c>
      <c r="P3229" s="6" t="s">
        <v>25</v>
      </c>
      <c r="Q3229" s="5" t="s">
        <v>25</v>
      </c>
      <c r="R3229" s="5" t="s">
        <v>25</v>
      </c>
      <c r="S3229" s="5" t="str">
        <f>VLOOKUP(A3229,Sheet2!$A$2:$R$3432,18,0)</f>
        <v>PDZCGE73817</v>
      </c>
      <c r="T3229" s="7" t="str">
        <f>VLOOKUP(A3229,Sheet2!$A$2:$R$3432,17,0)</f>
        <v>MD2H22EZ2GCE76161</v>
      </c>
    </row>
    <row r="3230" ht="15.75" customHeight="1">
      <c r="A3230" s="3" t="s">
        <v>3253</v>
      </c>
      <c r="B3230" s="4" t="str">
        <f>VLOOKUP(A3230,Sheet2!$A$2:$R$3432,2,0)</f>
        <v>2025-07-17 19:51:54</v>
      </c>
      <c r="C3230" s="5" t="s">
        <v>25</v>
      </c>
      <c r="D3230" s="6" t="s">
        <v>25</v>
      </c>
      <c r="E3230" s="7">
        <f>VLOOKUP(A3230,Sheet2!$A$2:$R$3432,4,0)</f>
        <v>9604687980</v>
      </c>
      <c r="F3230" s="7" t="str">
        <f>VLOOKUP(A3230,Sheet2!$A$2:$R$3432,3,0)</f>
        <v>Pramod </v>
      </c>
      <c r="G3230" s="5" t="s">
        <v>25</v>
      </c>
      <c r="H3230" s="5" t="s">
        <v>25</v>
      </c>
      <c r="I3230" s="5" t="s">
        <v>25</v>
      </c>
      <c r="J3230" s="5" t="s">
        <v>25</v>
      </c>
      <c r="K3230" s="7" t="str">
        <f>VLOOKUP(A3230,Sheet2!$A$2:$R$3432,6,0)</f>
        <v>Hero Splendor PRO</v>
      </c>
      <c r="L3230" s="5" t="s">
        <v>25</v>
      </c>
      <c r="M3230" s="7" t="str">
        <f>VLOOKUP(A3230,Sheet2!$A$2:$R$3432,5,0)</f>
        <v>MH14FB3064</v>
      </c>
      <c r="N3230" s="5" t="s">
        <v>25</v>
      </c>
      <c r="O3230" s="5" t="s">
        <v>25</v>
      </c>
      <c r="P3230" s="6" t="s">
        <v>25</v>
      </c>
      <c r="Q3230" s="5" t="s">
        <v>25</v>
      </c>
      <c r="R3230" s="5" t="s">
        <v>25</v>
      </c>
      <c r="S3230" s="5" t="str">
        <f>VLOOKUP(A3230,Sheet2!$A$2:$R$3432,18,0)</f>
        <v>HA10ERFHA1313</v>
      </c>
      <c r="T3230" s="7" t="str">
        <f>VLOOKUP(A3230,Sheet2!$A$2:$R$3432,17,0)</f>
        <v>MBLHA10BEFHH01146</v>
      </c>
    </row>
    <row r="3231" ht="15.75" customHeight="1">
      <c r="A3231" s="3" t="s">
        <v>3254</v>
      </c>
      <c r="B3231" s="4" t="str">
        <f>VLOOKUP(A3231,Sheet2!$A$2:$R$3432,2,0)</f>
        <v>2025-07-17 19:52:47</v>
      </c>
      <c r="C3231" s="5" t="s">
        <v>25</v>
      </c>
      <c r="D3231" s="6" t="s">
        <v>25</v>
      </c>
      <c r="E3231" s="7">
        <f>VLOOKUP(A3231,Sheet2!$A$2:$R$3432,4,0)</f>
        <v>8261925966</v>
      </c>
      <c r="F3231" s="7" t="str">
        <f>VLOOKUP(A3231,Sheet2!$A$2:$R$3432,3,0)</f>
        <v>Amit Salve</v>
      </c>
      <c r="G3231" s="5" t="s">
        <v>25</v>
      </c>
      <c r="H3231" s="5" t="s">
        <v>25</v>
      </c>
      <c r="I3231" s="5" t="s">
        <v>25</v>
      </c>
      <c r="J3231" s="5" t="s">
        <v>25</v>
      </c>
      <c r="K3231" s="7" t="str">
        <f>VLOOKUP(A3231,Sheet2!$A$2:$R$3432,6,0)</f>
        <v>Yamaha FZ </v>
      </c>
      <c r="L3231" s="5" t="s">
        <v>25</v>
      </c>
      <c r="M3231" s="7" t="str">
        <f>VLOOKUP(A3231,Sheet2!$A$2:$R$3432,5,0)</f>
        <v>MH12LS2093</v>
      </c>
      <c r="N3231" s="5" t="s">
        <v>25</v>
      </c>
      <c r="O3231" s="5" t="s">
        <v>25</v>
      </c>
      <c r="P3231" s="6" t="s">
        <v>25</v>
      </c>
      <c r="Q3231" s="5" t="s">
        <v>25</v>
      </c>
      <c r="R3231" s="5" t="s">
        <v>25</v>
      </c>
      <c r="S3231" s="7" t="str">
        <f>VLOOKUP(A3231,Sheet2!$A$2:$R$3432,18,0)</f>
        <v/>
      </c>
      <c r="T3231" s="7" t="str">
        <f>VLOOKUP(A3231,Sheet2!$A$2:$R$3432,17,0)</f>
        <v/>
      </c>
    </row>
    <row r="3232" ht="15.75" customHeight="1">
      <c r="A3232" s="3" t="s">
        <v>3255</v>
      </c>
      <c r="B3232" s="4" t="str">
        <f>VLOOKUP(A3232,Sheet2!$A$2:$R$3432,2,0)</f>
        <v>2025-07-17 19:49:27</v>
      </c>
      <c r="C3232" s="5" t="s">
        <v>25</v>
      </c>
      <c r="D3232" s="6" t="s">
        <v>25</v>
      </c>
      <c r="E3232" s="7">
        <f>VLOOKUP(A3232,Sheet2!$A$2:$R$3432,4,0)</f>
        <v>7738157770</v>
      </c>
      <c r="F3232" s="7" t="str">
        <f>VLOOKUP(A3232,Sheet2!$A$2:$R$3432,3,0)</f>
        <v>MAKARAND MODE</v>
      </c>
      <c r="G3232" s="5" t="s">
        <v>25</v>
      </c>
      <c r="H3232" s="5" t="s">
        <v>25</v>
      </c>
      <c r="I3232" s="5" t="s">
        <v>25</v>
      </c>
      <c r="J3232" s="5" t="s">
        <v>25</v>
      </c>
      <c r="K3232" s="7" t="str">
        <f>VLOOKUP(A3232,Sheet2!$A$2:$R$3432,6,0)</f>
        <v>TVS Wego Basic</v>
      </c>
      <c r="L3232" s="5" t="s">
        <v>25</v>
      </c>
      <c r="M3232" s="7" t="str">
        <f>VLOOKUP(A3232,Sheet2!$A$2:$R$3432,5,0)</f>
        <v>MH05CD1524</v>
      </c>
      <c r="N3232" s="5" t="s">
        <v>25</v>
      </c>
      <c r="O3232" s="5" t="s">
        <v>25</v>
      </c>
      <c r="P3232" s="6" t="s">
        <v>25</v>
      </c>
      <c r="Q3232" s="5" t="s">
        <v>25</v>
      </c>
      <c r="R3232" s="5" t="s">
        <v>25</v>
      </c>
      <c r="S3232" s="5" t="str">
        <f>VLOOKUP(A3232,Sheet2!$A$2:$R$3432,18,0)</f>
        <v>OG4BE1110632</v>
      </c>
      <c r="T3232" s="7" t="str">
        <f>VLOOKUP(A3232,Sheet2!$A$2:$R$3432,17,0)</f>
        <v>MD626AS40E1B1410</v>
      </c>
    </row>
    <row r="3233" ht="15.75" customHeight="1">
      <c r="A3233" s="3" t="s">
        <v>3256</v>
      </c>
      <c r="B3233" s="4" t="str">
        <f>VLOOKUP(A3233,Sheet2!$A$2:$R$3432,2,0)</f>
        <v>2025-07-17 19:49:16</v>
      </c>
      <c r="C3233" s="5" t="s">
        <v>25</v>
      </c>
      <c r="D3233" s="6" t="s">
        <v>25</v>
      </c>
      <c r="E3233" s="7">
        <f>VLOOKUP(A3233,Sheet2!$A$2:$R$3432,4,0)</f>
        <v>9923281697</v>
      </c>
      <c r="F3233" s="7" t="str">
        <f>VLOOKUP(A3233,Sheet2!$A$2:$R$3432,3,0)</f>
        <v>Shirish Jadhav</v>
      </c>
      <c r="G3233" s="5" t="s">
        <v>25</v>
      </c>
      <c r="H3233" s="5" t="s">
        <v>25</v>
      </c>
      <c r="I3233" s="5" t="s">
        <v>25</v>
      </c>
      <c r="J3233" s="5" t="s">
        <v>25</v>
      </c>
      <c r="K3233" s="7" t="str">
        <f>VLOOKUP(A3233,Sheet2!$A$2:$R$3432,6,0)</f>
        <v>Honda Activa i</v>
      </c>
      <c r="L3233" s="5" t="s">
        <v>25</v>
      </c>
      <c r="M3233" s="7" t="str">
        <f>VLOOKUP(A3233,Sheet2!$A$2:$R$3432,5,0)</f>
        <v>MH14FH6952</v>
      </c>
      <c r="N3233" s="5" t="s">
        <v>25</v>
      </c>
      <c r="O3233" s="5" t="s">
        <v>25</v>
      </c>
      <c r="P3233" s="6" t="s">
        <v>25</v>
      </c>
      <c r="Q3233" s="5" t="s">
        <v>25</v>
      </c>
      <c r="R3233" s="5" t="s">
        <v>25</v>
      </c>
      <c r="S3233" s="7" t="str">
        <f>VLOOKUP(A3233,Sheet2!$A$2:$R$3432,18,0)</f>
        <v/>
      </c>
      <c r="T3233" s="7" t="str">
        <f>VLOOKUP(A3233,Sheet2!$A$2:$R$3432,17,0)</f>
        <v/>
      </c>
    </row>
    <row r="3234" ht="15.75" customHeight="1">
      <c r="A3234" s="3" t="s">
        <v>3257</v>
      </c>
      <c r="B3234" s="4" t="str">
        <f>VLOOKUP(A3234,Sheet2!$A$2:$R$3432,2,0)</f>
        <v>2025-07-17 20:35:59</v>
      </c>
      <c r="C3234" s="5" t="s">
        <v>25</v>
      </c>
      <c r="D3234" s="6" t="s">
        <v>25</v>
      </c>
      <c r="E3234" s="7">
        <f>VLOOKUP(A3234,Sheet2!$A$2:$R$3432,4,0)</f>
        <v>7841905939</v>
      </c>
      <c r="F3234" s="7" t="str">
        <f>VLOOKUP(A3234,Sheet2!$A$2:$R$3432,3,0)</f>
        <v>ANIKET MULIK</v>
      </c>
      <c r="G3234" s="5" t="s">
        <v>25</v>
      </c>
      <c r="H3234" s="5" t="s">
        <v>25</v>
      </c>
      <c r="I3234" s="5" t="s">
        <v>25</v>
      </c>
      <c r="J3234" s="5" t="s">
        <v>25</v>
      </c>
      <c r="K3234" s="7" t="str">
        <f>VLOOKUP(A3234,Sheet2!$A$2:$R$3432,6,0)</f>
        <v>Royal Enfield Classic 350</v>
      </c>
      <c r="L3234" s="5" t="s">
        <v>25</v>
      </c>
      <c r="M3234" s="7" t="str">
        <f>VLOOKUP(A3234,Sheet2!$A$2:$R$3432,5,0)</f>
        <v>MH14GE3223</v>
      </c>
      <c r="N3234" s="5" t="s">
        <v>25</v>
      </c>
      <c r="O3234" s="5" t="s">
        <v>25</v>
      </c>
      <c r="P3234" s="6" t="s">
        <v>25</v>
      </c>
      <c r="Q3234" s="5" t="s">
        <v>25</v>
      </c>
      <c r="R3234" s="5" t="s">
        <v>25</v>
      </c>
      <c r="S3234" s="5" t="str">
        <f>VLOOKUP(A3234,Sheet2!$A$2:$R$3432,18,0)</f>
        <v>4355C0HB267256</v>
      </c>
      <c r="T3234" s="7" t="str">
        <f>VLOOKUP(A3234,Sheet2!$A$2:$R$3432,17,0)</f>
        <v>ME343S5CIH308</v>
      </c>
    </row>
    <row r="3235" ht="15.75" customHeight="1">
      <c r="A3235" s="3" t="s">
        <v>3258</v>
      </c>
      <c r="B3235" s="4" t="str">
        <f>VLOOKUP(A3235,Sheet2!$A$2:$R$3432,2,0)</f>
        <v>2025-07-17 19:49:45</v>
      </c>
      <c r="C3235" s="5" t="s">
        <v>25</v>
      </c>
      <c r="D3235" s="6" t="s">
        <v>25</v>
      </c>
      <c r="E3235" s="7">
        <f>VLOOKUP(A3235,Sheet2!$A$2:$R$3432,4,0)</f>
        <v>9603061256</v>
      </c>
      <c r="F3235" s="7" t="str">
        <f>VLOOKUP(A3235,Sheet2!$A$2:$R$3432,3,0)</f>
        <v>Abhishek Madan</v>
      </c>
      <c r="G3235" s="5" t="s">
        <v>25</v>
      </c>
      <c r="H3235" s="5" t="s">
        <v>25</v>
      </c>
      <c r="I3235" s="5" t="s">
        <v>25</v>
      </c>
      <c r="J3235" s="5" t="s">
        <v>25</v>
      </c>
      <c r="K3235" s="7" t="str">
        <f>VLOOKUP(A3235,Sheet2!$A$2:$R$3432,6,0)</f>
        <v>Bajaj V (Virat) </v>
      </c>
      <c r="L3235" s="5" t="s">
        <v>25</v>
      </c>
      <c r="M3235" s="7" t="str">
        <f>VLOOKUP(A3235,Sheet2!$A$2:$R$3432,5,0)</f>
        <v>MH32AD9584</v>
      </c>
      <c r="N3235" s="5" t="s">
        <v>25</v>
      </c>
      <c r="O3235" s="5" t="s">
        <v>25</v>
      </c>
      <c r="P3235" s="6" t="s">
        <v>25</v>
      </c>
      <c r="Q3235" s="5" t="s">
        <v>25</v>
      </c>
      <c r="R3235" s="5" t="s">
        <v>25</v>
      </c>
      <c r="S3235" s="7" t="str">
        <f>VLOOKUP(A3235,Sheet2!$A$2:$R$3432,18,0)</f>
        <v/>
      </c>
      <c r="T3235" s="7" t="str">
        <f>VLOOKUP(A3235,Sheet2!$A$2:$R$3432,17,0)</f>
        <v/>
      </c>
    </row>
    <row r="3236" ht="15.75" customHeight="1">
      <c r="A3236" s="3" t="s">
        <v>3259</v>
      </c>
      <c r="B3236" s="4" t="str">
        <f>VLOOKUP(A3236,Sheet2!$A$2:$R$3432,2,0)</f>
        <v>2025-07-17 19:50:14</v>
      </c>
      <c r="C3236" s="5" t="s">
        <v>25</v>
      </c>
      <c r="D3236" s="6" t="s">
        <v>25</v>
      </c>
      <c r="E3236" s="7">
        <f>VLOOKUP(A3236,Sheet2!$A$2:$R$3432,4,0)</f>
        <v>9657818768</v>
      </c>
      <c r="F3236" s="7" t="str">
        <f>VLOOKUP(A3236,Sheet2!$A$2:$R$3432,3,0)</f>
        <v>Amit Sonawane </v>
      </c>
      <c r="G3236" s="5" t="s">
        <v>25</v>
      </c>
      <c r="H3236" s="5" t="s">
        <v>25</v>
      </c>
      <c r="I3236" s="5" t="s">
        <v>25</v>
      </c>
      <c r="J3236" s="5" t="s">
        <v>25</v>
      </c>
      <c r="K3236" s="7" t="str">
        <f>VLOOKUP(A3236,Sheet2!$A$2:$R$3432,6,0)</f>
        <v>Bajaj Pulsar 220</v>
      </c>
      <c r="L3236" s="5" t="s">
        <v>25</v>
      </c>
      <c r="M3236" s="7" t="str">
        <f>VLOOKUP(A3236,Sheet2!$A$2:$R$3432,5,0)</f>
        <v>MH14HC9709</v>
      </c>
      <c r="N3236" s="5" t="s">
        <v>25</v>
      </c>
      <c r="O3236" s="5" t="s">
        <v>25</v>
      </c>
      <c r="P3236" s="6" t="s">
        <v>25</v>
      </c>
      <c r="Q3236" s="5" t="s">
        <v>25</v>
      </c>
      <c r="R3236" s="5" t="s">
        <v>25</v>
      </c>
      <c r="S3236" s="5" t="str">
        <f>VLOOKUP(A3236,Sheet2!$A$2:$R$3432,18,0)</f>
        <v>DKYCJF14476</v>
      </c>
      <c r="T3236" s="7" t="str">
        <f>VLOOKUP(A3236,Sheet2!$A$2:$R$3432,17,0)</f>
        <v>MD2413EY3JCF73859</v>
      </c>
    </row>
    <row r="3237" ht="15.75" customHeight="1">
      <c r="A3237" s="3" t="s">
        <v>3260</v>
      </c>
      <c r="B3237" s="4" t="str">
        <f>VLOOKUP(A3237,Sheet2!$A$2:$R$3432,2,0)</f>
        <v>2025-07-17 19:53:36</v>
      </c>
      <c r="C3237" s="5" t="s">
        <v>25</v>
      </c>
      <c r="D3237" s="6" t="s">
        <v>25</v>
      </c>
      <c r="E3237" s="7">
        <f>VLOOKUP(A3237,Sheet2!$A$2:$R$3432,4,0)</f>
        <v>8767992693</v>
      </c>
      <c r="F3237" s="7" t="str">
        <f>VLOOKUP(A3237,Sheet2!$A$2:$R$3432,3,0)</f>
        <v>Ruturaj Bhosale </v>
      </c>
      <c r="G3237" s="5" t="s">
        <v>25</v>
      </c>
      <c r="H3237" s="5" t="s">
        <v>25</v>
      </c>
      <c r="I3237" s="5" t="s">
        <v>25</v>
      </c>
      <c r="J3237" s="5" t="s">
        <v>25</v>
      </c>
      <c r="K3237" s="7" t="str">
        <f>VLOOKUP(A3237,Sheet2!$A$2:$R$3432,6,0)</f>
        <v>Honda Activa 125</v>
      </c>
      <c r="L3237" s="5" t="s">
        <v>25</v>
      </c>
      <c r="M3237" s="7" t="str">
        <f>VLOOKUP(A3237,Sheet2!$A$2:$R$3432,5,0)</f>
        <v>MH14KR9418</v>
      </c>
      <c r="N3237" s="5" t="s">
        <v>25</v>
      </c>
      <c r="O3237" s="5" t="s">
        <v>25</v>
      </c>
      <c r="P3237" s="6" t="s">
        <v>25</v>
      </c>
      <c r="Q3237" s="5" t="s">
        <v>25</v>
      </c>
      <c r="R3237" s="5" t="s">
        <v>25</v>
      </c>
      <c r="S3237" s="5" t="str">
        <f>VLOOKUP(A3237,Sheet2!$A$2:$R$3432,18,0)</f>
        <v>JK13EW1129230</v>
      </c>
      <c r="T3237" s="7" t="str">
        <f>VLOOKUP(A3237,Sheet2!$A$2:$R$3432,17,0)</f>
        <v>ME4JK133BPW039996</v>
      </c>
    </row>
    <row r="3238" ht="15.75" customHeight="1">
      <c r="A3238" s="3" t="s">
        <v>3261</v>
      </c>
      <c r="B3238" s="4" t="str">
        <f>VLOOKUP(A3238,Sheet2!$A$2:$R$3432,2,0)</f>
        <v>2025-07-17 20:36:17</v>
      </c>
      <c r="C3238" s="5" t="s">
        <v>25</v>
      </c>
      <c r="D3238" s="6" t="s">
        <v>25</v>
      </c>
      <c r="E3238" s="7">
        <f>VLOOKUP(A3238,Sheet2!$A$2:$R$3432,4,0)</f>
        <v>8956893158</v>
      </c>
      <c r="F3238" s="7" t="str">
        <f>VLOOKUP(A3238,Sheet2!$A$2:$R$3432,3,0)</f>
        <v>SIDHESH  PATIL</v>
      </c>
      <c r="G3238" s="5" t="s">
        <v>25</v>
      </c>
      <c r="H3238" s="5" t="s">
        <v>25</v>
      </c>
      <c r="I3238" s="5" t="s">
        <v>25</v>
      </c>
      <c r="J3238" s="5" t="s">
        <v>25</v>
      </c>
      <c r="K3238" s="7" t="str">
        <f>VLOOKUP(A3238,Sheet2!$A$2:$R$3432,6,0)</f>
        <v>Honda Activa 3G</v>
      </c>
      <c r="L3238" s="5" t="s">
        <v>25</v>
      </c>
      <c r="M3238" s="7" t="str">
        <f>VLOOKUP(A3238,Sheet2!$A$2:$R$3432,5,0)</f>
        <v>MH12PY5721</v>
      </c>
      <c r="N3238" s="5" t="s">
        <v>25</v>
      </c>
      <c r="O3238" s="5" t="s">
        <v>25</v>
      </c>
      <c r="P3238" s="6" t="s">
        <v>25</v>
      </c>
      <c r="Q3238" s="5" t="s">
        <v>25</v>
      </c>
      <c r="R3238" s="5" t="s">
        <v>25</v>
      </c>
      <c r="S3238" s="7" t="str">
        <f>VLOOKUP(A3238,Sheet2!$A$2:$R$3432,18,0)</f>
        <v/>
      </c>
      <c r="T3238" s="7" t="str">
        <f>VLOOKUP(A3238,Sheet2!$A$2:$R$3432,17,0)</f>
        <v/>
      </c>
    </row>
    <row r="3239" ht="15.75" customHeight="1">
      <c r="A3239" s="3" t="s">
        <v>3262</v>
      </c>
      <c r="B3239" s="4" t="str">
        <f>VLOOKUP(A3239,Sheet2!$A$2:$R$3432,2,0)</f>
        <v>2025-07-17 20:36:41</v>
      </c>
      <c r="C3239" s="5" t="s">
        <v>25</v>
      </c>
      <c r="D3239" s="6" t="s">
        <v>25</v>
      </c>
      <c r="E3239" s="7">
        <f>VLOOKUP(A3239,Sheet2!$A$2:$R$3432,4,0)</f>
        <v>7796282694</v>
      </c>
      <c r="F3239" s="7" t="str">
        <f>VLOOKUP(A3239,Sheet2!$A$2:$R$3432,3,0)</f>
        <v>Shraddha Chaudhary </v>
      </c>
      <c r="G3239" s="5" t="s">
        <v>25</v>
      </c>
      <c r="H3239" s="5" t="s">
        <v>25</v>
      </c>
      <c r="I3239" s="5" t="s">
        <v>25</v>
      </c>
      <c r="J3239" s="5" t="s">
        <v>25</v>
      </c>
      <c r="K3239" s="7" t="str">
        <f>VLOOKUP(A3239,Sheet2!$A$2:$R$3432,6,0)</f>
        <v>Suzuki Access 125</v>
      </c>
      <c r="L3239" s="5" t="s">
        <v>25</v>
      </c>
      <c r="M3239" s="7" t="str">
        <f>VLOOKUP(A3239,Sheet2!$A$2:$R$3432,5,0)</f>
        <v>MH12TF5340</v>
      </c>
      <c r="N3239" s="5" t="s">
        <v>25</v>
      </c>
      <c r="O3239" s="5" t="s">
        <v>25</v>
      </c>
      <c r="P3239" s="6" t="s">
        <v>25</v>
      </c>
      <c r="Q3239" s="5" t="s">
        <v>25</v>
      </c>
      <c r="R3239" s="5" t="s">
        <v>25</v>
      </c>
      <c r="S3239" s="7" t="str">
        <f>VLOOKUP(A3239,Sheet2!$A$2:$R$3432,18,0)</f>
        <v/>
      </c>
      <c r="T3239" s="7" t="str">
        <f>VLOOKUP(A3239,Sheet2!$A$2:$R$3432,17,0)</f>
        <v/>
      </c>
    </row>
    <row r="3240" ht="15.75" customHeight="1">
      <c r="A3240" s="3" t="s">
        <v>3263</v>
      </c>
      <c r="B3240" s="4" t="str">
        <f>VLOOKUP(A3240,Sheet2!$A$2:$R$3432,2,0)</f>
        <v>2025-07-20 18:27:26</v>
      </c>
      <c r="C3240" s="5" t="s">
        <v>25</v>
      </c>
      <c r="D3240" s="6" t="s">
        <v>25</v>
      </c>
      <c r="E3240" s="7">
        <f>VLOOKUP(A3240,Sheet2!$A$2:$R$3432,4,0)</f>
        <v>8378961917</v>
      </c>
      <c r="F3240" s="7" t="str">
        <f>VLOOKUP(A3240,Sheet2!$A$2:$R$3432,3,0)</f>
        <v>Tejaswini Mohite </v>
      </c>
      <c r="G3240" s="5" t="s">
        <v>25</v>
      </c>
      <c r="H3240" s="5" t="s">
        <v>25</v>
      </c>
      <c r="I3240" s="5" t="s">
        <v>25</v>
      </c>
      <c r="J3240" s="5" t="s">
        <v>25</v>
      </c>
      <c r="K3240" s="7" t="str">
        <f>VLOOKUP(A3240,Sheet2!$A$2:$R$3432,6,0)</f>
        <v>Suzuki Access </v>
      </c>
      <c r="L3240" s="5" t="s">
        <v>25</v>
      </c>
      <c r="M3240" s="7" t="str">
        <f>VLOOKUP(A3240,Sheet2!$A$2:$R$3432,5,0)</f>
        <v>MH10DN3689</v>
      </c>
      <c r="N3240" s="5" t="s">
        <v>25</v>
      </c>
      <c r="O3240" s="5" t="s">
        <v>25</v>
      </c>
      <c r="P3240" s="6" t="s">
        <v>25</v>
      </c>
      <c r="Q3240" s="5" t="s">
        <v>25</v>
      </c>
      <c r="R3240" s="5" t="s">
        <v>25</v>
      </c>
      <c r="S3240" s="7" t="str">
        <f>VLOOKUP(A3240,Sheet2!$A$2:$R$3432,18,0)</f>
        <v/>
      </c>
      <c r="T3240" s="7" t="str">
        <f>VLOOKUP(A3240,Sheet2!$A$2:$R$3432,17,0)</f>
        <v/>
      </c>
    </row>
    <row r="3241" ht="15.75" customHeight="1">
      <c r="A3241" s="3" t="s">
        <v>3264</v>
      </c>
      <c r="B3241" s="4" t="str">
        <f>VLOOKUP(A3241,Sheet2!$A$2:$R$3432,2,0)</f>
        <v>2025-07-20 18:16:44</v>
      </c>
      <c r="C3241" s="5" t="s">
        <v>25</v>
      </c>
      <c r="D3241" s="6" t="s">
        <v>25</v>
      </c>
      <c r="E3241" s="7">
        <f>VLOOKUP(A3241,Sheet2!$A$2:$R$3432,4,0)</f>
        <v>7391050757</v>
      </c>
      <c r="F3241" s="7" t="str">
        <f>VLOOKUP(A3241,Sheet2!$A$2:$R$3432,3,0)</f>
        <v>Giridhar </v>
      </c>
      <c r="G3241" s="5" t="s">
        <v>25</v>
      </c>
      <c r="H3241" s="5" t="s">
        <v>25</v>
      </c>
      <c r="I3241" s="5" t="s">
        <v>25</v>
      </c>
      <c r="J3241" s="5" t="s">
        <v>25</v>
      </c>
      <c r="K3241" s="7" t="str">
        <f>VLOOKUP(A3241,Sheet2!$A$2:$R$3432,6,0)</f>
        <v>TVS Jupiter 125</v>
      </c>
      <c r="L3241" s="5" t="s">
        <v>25</v>
      </c>
      <c r="M3241" s="7" t="str">
        <f>VLOOKUP(A3241,Sheet2!$A$2:$R$3432,5,0)</f>
        <v>MH14KH9806</v>
      </c>
      <c r="N3241" s="5" t="s">
        <v>25</v>
      </c>
      <c r="O3241" s="5" t="s">
        <v>25</v>
      </c>
      <c r="P3241" s="6" t="s">
        <v>25</v>
      </c>
      <c r="Q3241" s="5" t="s">
        <v>25</v>
      </c>
      <c r="R3241" s="5" t="s">
        <v>25</v>
      </c>
      <c r="S3241" s="5" t="str">
        <f>VLOOKUP(A3241,Sheet2!$A$2:$R$3432,18,0)</f>
        <v>BK4GN1616622</v>
      </c>
      <c r="T3241" s="7" t="str">
        <f>VLOOKUP(A3241,Sheet2!$A$2:$R$3432,17,0)</f>
        <v>MD62AK4XN1G17268</v>
      </c>
    </row>
    <row r="3242" ht="15.75" customHeight="1">
      <c r="A3242" s="3" t="s">
        <v>3265</v>
      </c>
      <c r="B3242" s="4" t="str">
        <f>VLOOKUP(A3242,Sheet2!$A$2:$R$3432,2,0)</f>
        <v>2025-07-20 18:17:24</v>
      </c>
      <c r="C3242" s="5" t="s">
        <v>25</v>
      </c>
      <c r="D3242" s="6" t="s">
        <v>25</v>
      </c>
      <c r="E3242" s="7">
        <f>VLOOKUP(A3242,Sheet2!$A$2:$R$3432,4,0)</f>
        <v>9822246694</v>
      </c>
      <c r="F3242" s="7" t="str">
        <f>VLOOKUP(A3242,Sheet2!$A$2:$R$3432,3,0)</f>
        <v>ATUL</v>
      </c>
      <c r="G3242" s="5" t="s">
        <v>25</v>
      </c>
      <c r="H3242" s="5" t="s">
        <v>25</v>
      </c>
      <c r="I3242" s="5" t="s">
        <v>25</v>
      </c>
      <c r="J3242" s="5" t="s">
        <v>25</v>
      </c>
      <c r="K3242" s="7" t="str">
        <f>VLOOKUP(A3242,Sheet2!$A$2:$R$3432,6,0)</f>
        <v>Honda Twister </v>
      </c>
      <c r="L3242" s="5" t="s">
        <v>25</v>
      </c>
      <c r="M3242" s="7" t="str">
        <f>VLOOKUP(A3242,Sheet2!$A$2:$R$3432,5,0)</f>
        <v>MH12GH8988</v>
      </c>
      <c r="N3242" s="5" t="s">
        <v>25</v>
      </c>
      <c r="O3242" s="5" t="s">
        <v>25</v>
      </c>
      <c r="P3242" s="6" t="s">
        <v>25</v>
      </c>
      <c r="Q3242" s="5" t="s">
        <v>25</v>
      </c>
      <c r="R3242" s="5" t="s">
        <v>25</v>
      </c>
      <c r="S3242" s="5" t="str">
        <f>VLOOKUP(A3242,Sheet2!$A$2:$R$3432,18,0)</f>
        <v>JC47E0667841</v>
      </c>
      <c r="T3242" s="7" t="str">
        <f>VLOOKUP(A3242,Sheet2!$A$2:$R$3432,17,0)</f>
        <v>ME4JC474FA8022443</v>
      </c>
    </row>
    <row r="3243" ht="15.75" customHeight="1">
      <c r="A3243" s="3" t="s">
        <v>3266</v>
      </c>
      <c r="B3243" s="4" t="str">
        <f>VLOOKUP(A3243,Sheet2!$A$2:$R$3432,2,0)</f>
        <v>2025-07-20 18:18:05</v>
      </c>
      <c r="C3243" s="5" t="s">
        <v>25</v>
      </c>
      <c r="D3243" s="6" t="s">
        <v>25</v>
      </c>
      <c r="E3243" s="7">
        <f>VLOOKUP(A3243,Sheet2!$A$2:$R$3432,4,0)</f>
        <v>8788992469</v>
      </c>
      <c r="F3243" s="7" t="str">
        <f>VLOOKUP(A3243,Sheet2!$A$2:$R$3432,3,0)</f>
        <v>Abhijit Suryawanshi</v>
      </c>
      <c r="G3243" s="5" t="s">
        <v>25</v>
      </c>
      <c r="H3243" s="5" t="s">
        <v>25</v>
      </c>
      <c r="I3243" s="5" t="s">
        <v>25</v>
      </c>
      <c r="J3243" s="5" t="s">
        <v>25</v>
      </c>
      <c r="K3243" s="7" t="str">
        <f>VLOOKUP(A3243,Sheet2!$A$2:$R$3432,6,0)</f>
        <v>Honda Activa 125</v>
      </c>
      <c r="L3243" s="5" t="s">
        <v>25</v>
      </c>
      <c r="M3243" s="7" t="str">
        <f>VLOOKUP(A3243,Sheet2!$A$2:$R$3432,5,0)</f>
        <v>MH10DB0186</v>
      </c>
      <c r="N3243" s="5" t="s">
        <v>25</v>
      </c>
      <c r="O3243" s="5" t="s">
        <v>25</v>
      </c>
      <c r="P3243" s="6" t="s">
        <v>25</v>
      </c>
      <c r="Q3243" s="5" t="s">
        <v>25</v>
      </c>
      <c r="R3243" s="5" t="s">
        <v>25</v>
      </c>
      <c r="S3243" s="7" t="str">
        <f>VLOOKUP(A3243,Sheet2!$A$2:$R$3432,18,0)</f>
        <v/>
      </c>
      <c r="T3243" s="7" t="str">
        <f>VLOOKUP(A3243,Sheet2!$A$2:$R$3432,17,0)</f>
        <v/>
      </c>
    </row>
    <row r="3244" ht="15.75" customHeight="1">
      <c r="A3244" s="3" t="s">
        <v>3267</v>
      </c>
      <c r="B3244" s="4" t="str">
        <f>VLOOKUP(A3244,Sheet2!$A$2:$R$3432,2,0)</f>
        <v>2025-07-20 18:18:29</v>
      </c>
      <c r="C3244" s="5" t="s">
        <v>25</v>
      </c>
      <c r="D3244" s="6" t="s">
        <v>25</v>
      </c>
      <c r="E3244" s="7">
        <f>VLOOKUP(A3244,Sheet2!$A$2:$R$3432,4,0)</f>
        <v>9923197122</v>
      </c>
      <c r="F3244" s="7" t="str">
        <f>VLOOKUP(A3244,Sheet2!$A$2:$R$3432,3,0)</f>
        <v>Piyush</v>
      </c>
      <c r="G3244" s="5" t="s">
        <v>25</v>
      </c>
      <c r="H3244" s="5" t="s">
        <v>25</v>
      </c>
      <c r="I3244" s="5" t="s">
        <v>25</v>
      </c>
      <c r="J3244" s="5" t="s">
        <v>25</v>
      </c>
      <c r="K3244" s="7" t="str">
        <f>VLOOKUP(A3244,Sheet2!$A$2:$R$3432,6,0)</f>
        <v>Honda Activa 3G</v>
      </c>
      <c r="L3244" s="5" t="s">
        <v>25</v>
      </c>
      <c r="M3244" s="7" t="str">
        <f>VLOOKUP(A3244,Sheet2!$A$2:$R$3432,5,0)</f>
        <v>MH14FB1348</v>
      </c>
      <c r="N3244" s="5" t="s">
        <v>25</v>
      </c>
      <c r="O3244" s="5" t="s">
        <v>25</v>
      </c>
      <c r="P3244" s="6" t="s">
        <v>25</v>
      </c>
      <c r="Q3244" s="5" t="s">
        <v>25</v>
      </c>
      <c r="R3244" s="5" t="s">
        <v>25</v>
      </c>
      <c r="S3244" s="7" t="str">
        <f>VLOOKUP(A3244,Sheet2!$A$2:$R$3432,18,0)</f>
        <v/>
      </c>
      <c r="T3244" s="7" t="str">
        <f>VLOOKUP(A3244,Sheet2!$A$2:$R$3432,17,0)</f>
        <v>ME4JF50GGFT529061</v>
      </c>
    </row>
    <row r="3245" ht="15.75" customHeight="1">
      <c r="A3245" s="3" t="s">
        <v>3268</v>
      </c>
      <c r="B3245" s="4" t="str">
        <f>VLOOKUP(A3245,Sheet2!$A$2:$R$3432,2,0)</f>
        <v>2025-07-20 18:20:03</v>
      </c>
      <c r="C3245" s="5" t="s">
        <v>25</v>
      </c>
      <c r="D3245" s="6" t="s">
        <v>25</v>
      </c>
      <c r="E3245" s="7">
        <f>VLOOKUP(A3245,Sheet2!$A$2:$R$3432,4,0)</f>
        <v>9112471953</v>
      </c>
      <c r="F3245" s="7" t="str">
        <f>VLOOKUP(A3245,Sheet2!$A$2:$R$3432,3,0)</f>
        <v>Rajshekhar</v>
      </c>
      <c r="G3245" s="5" t="s">
        <v>25</v>
      </c>
      <c r="H3245" s="5" t="s">
        <v>25</v>
      </c>
      <c r="I3245" s="5" t="s">
        <v>25</v>
      </c>
      <c r="J3245" s="5" t="s">
        <v>25</v>
      </c>
      <c r="K3245" s="7" t="str">
        <f>VLOOKUP(A3245,Sheet2!$A$2:$R$3432,6,0)</f>
        <v>Bajaj Pulsar 220F</v>
      </c>
      <c r="L3245" s="5" t="s">
        <v>25</v>
      </c>
      <c r="M3245" s="7" t="str">
        <f>VLOOKUP(A3245,Sheet2!$A$2:$R$3432,5,0)</f>
        <v>MH12FW8677</v>
      </c>
      <c r="N3245" s="5" t="s">
        <v>25</v>
      </c>
      <c r="O3245" s="5" t="s">
        <v>25</v>
      </c>
      <c r="P3245" s="6" t="s">
        <v>25</v>
      </c>
      <c r="Q3245" s="5" t="s">
        <v>25</v>
      </c>
      <c r="R3245" s="5" t="s">
        <v>25</v>
      </c>
      <c r="S3245" s="7" t="str">
        <f>VLOOKUP(A3245,Sheet2!$A$2:$R$3432,18,0)</f>
        <v/>
      </c>
      <c r="T3245" s="7" t="str">
        <f>VLOOKUP(A3245,Sheet2!$A$2:$R$3432,17,0)</f>
        <v/>
      </c>
    </row>
    <row r="3246" ht="15.75" customHeight="1">
      <c r="A3246" s="3" t="s">
        <v>3269</v>
      </c>
      <c r="B3246" s="4" t="str">
        <f>VLOOKUP(A3246,Sheet2!$A$2:$R$3432,2,0)</f>
        <v>2025-07-20 18:20:18</v>
      </c>
      <c r="C3246" s="5" t="s">
        <v>25</v>
      </c>
      <c r="D3246" s="6" t="s">
        <v>25</v>
      </c>
      <c r="E3246" s="7">
        <f>VLOOKUP(A3246,Sheet2!$A$2:$R$3432,4,0)</f>
        <v>9112471953</v>
      </c>
      <c r="F3246" s="7" t="str">
        <f>VLOOKUP(A3246,Sheet2!$A$2:$R$3432,3,0)</f>
        <v>RAJSHEKHAR </v>
      </c>
      <c r="G3246" s="5" t="s">
        <v>25</v>
      </c>
      <c r="H3246" s="5" t="s">
        <v>25</v>
      </c>
      <c r="I3246" s="5" t="s">
        <v>25</v>
      </c>
      <c r="J3246" s="5" t="s">
        <v>25</v>
      </c>
      <c r="K3246" s="7" t="str">
        <f>VLOOKUP(A3246,Sheet2!$A$2:$R$3432,6,0)</f>
        <v>Hero Pleasure </v>
      </c>
      <c r="L3246" s="5" t="s">
        <v>25</v>
      </c>
      <c r="M3246" s="7" t="str">
        <f>VLOOKUP(A3246,Sheet2!$A$2:$R$3432,5,0)</f>
        <v>MH20CK9101</v>
      </c>
      <c r="N3246" s="5" t="s">
        <v>25</v>
      </c>
      <c r="O3246" s="5" t="s">
        <v>25</v>
      </c>
      <c r="P3246" s="6" t="s">
        <v>25</v>
      </c>
      <c r="Q3246" s="5" t="s">
        <v>25</v>
      </c>
      <c r="R3246" s="5" t="s">
        <v>25</v>
      </c>
      <c r="S3246" s="7" t="str">
        <f>VLOOKUP(A3246,Sheet2!$A$2:$R$3432,18,0)</f>
        <v/>
      </c>
      <c r="T3246" s="7" t="str">
        <f>VLOOKUP(A3246,Sheet2!$A$2:$R$3432,17,0)</f>
        <v/>
      </c>
    </row>
    <row r="3247" ht="15.75" customHeight="1">
      <c r="A3247" s="3" t="s">
        <v>3270</v>
      </c>
      <c r="B3247" s="4" t="str">
        <f>VLOOKUP(A3247,Sheet2!$A$2:$R$3432,2,0)</f>
        <v>2025-07-20 19:42:09</v>
      </c>
      <c r="C3247" s="5" t="s">
        <v>25</v>
      </c>
      <c r="D3247" s="6" t="s">
        <v>25</v>
      </c>
      <c r="E3247" s="7">
        <f>VLOOKUP(A3247,Sheet2!$A$2:$R$3432,4,0)</f>
        <v>9890921262</v>
      </c>
      <c r="F3247" s="7" t="str">
        <f>VLOOKUP(A3247,Sheet2!$A$2:$R$3432,3,0)</f>
        <v>Sudarshan Patil</v>
      </c>
      <c r="G3247" s="5" t="s">
        <v>25</v>
      </c>
      <c r="H3247" s="5" t="s">
        <v>25</v>
      </c>
      <c r="I3247" s="5" t="s">
        <v>25</v>
      </c>
      <c r="J3247" s="5" t="s">
        <v>25</v>
      </c>
      <c r="K3247" s="7" t="str">
        <f>VLOOKUP(A3247,Sheet2!$A$2:$R$3432,6,0)</f>
        <v>TVS Star City </v>
      </c>
      <c r="L3247" s="5" t="s">
        <v>25</v>
      </c>
      <c r="M3247" s="7" t="str">
        <f>VLOOKUP(A3247,Sheet2!$A$2:$R$3432,5,0)</f>
        <v>MH19CA7532</v>
      </c>
      <c r="N3247" s="5" t="s">
        <v>25</v>
      </c>
      <c r="O3247" s="5" t="s">
        <v>25</v>
      </c>
      <c r="P3247" s="6" t="s">
        <v>25</v>
      </c>
      <c r="Q3247" s="5" t="s">
        <v>25</v>
      </c>
      <c r="R3247" s="5" t="s">
        <v>25</v>
      </c>
      <c r="S3247" s="5" t="str">
        <f>VLOOKUP(A3247,Sheet2!$A$2:$R$3432,18,0)</f>
        <v>CF1LE1124064</v>
      </c>
      <c r="T3247" s="7" t="str">
        <f>VLOOKUP(A3247,Sheet2!$A$2:$R$3432,17,0)</f>
        <v>MD625CF18E1L76323</v>
      </c>
    </row>
    <row r="3248" ht="15.75" customHeight="1">
      <c r="A3248" s="3" t="s">
        <v>3271</v>
      </c>
      <c r="B3248" s="4" t="str">
        <f>VLOOKUP(A3248,Sheet2!$A$2:$R$3432,2,0)</f>
        <v>2025-07-20 18:21:41</v>
      </c>
      <c r="C3248" s="5" t="s">
        <v>25</v>
      </c>
      <c r="D3248" s="6" t="s">
        <v>25</v>
      </c>
      <c r="E3248" s="7">
        <f>VLOOKUP(A3248,Sheet2!$A$2:$R$3432,4,0)</f>
        <v>9421771802</v>
      </c>
      <c r="F3248" s="7" t="str">
        <f>VLOOKUP(A3248,Sheet2!$A$2:$R$3432,3,0)</f>
        <v>Rajat Patil</v>
      </c>
      <c r="G3248" s="5" t="s">
        <v>25</v>
      </c>
      <c r="H3248" s="5" t="s">
        <v>25</v>
      </c>
      <c r="I3248" s="5" t="s">
        <v>25</v>
      </c>
      <c r="J3248" s="5" t="s">
        <v>25</v>
      </c>
      <c r="K3248" s="7" t="str">
        <f>VLOOKUP(A3248,Sheet2!$A$2:$R$3432,6,0)</f>
        <v>TVS Jupiter </v>
      </c>
      <c r="L3248" s="5" t="s">
        <v>25</v>
      </c>
      <c r="M3248" s="7" t="str">
        <f>VLOOKUP(A3248,Sheet2!$A$2:$R$3432,5,0)</f>
        <v>MH29BG3350</v>
      </c>
      <c r="N3248" s="5" t="s">
        <v>25</v>
      </c>
      <c r="O3248" s="5" t="s">
        <v>25</v>
      </c>
      <c r="P3248" s="6" t="s">
        <v>25</v>
      </c>
      <c r="Q3248" s="5" t="s">
        <v>25</v>
      </c>
      <c r="R3248" s="5" t="s">
        <v>25</v>
      </c>
      <c r="S3248" s="7" t="str">
        <f>VLOOKUP(A3248,Sheet2!$A$2:$R$3432,18,0)</f>
        <v/>
      </c>
      <c r="T3248" s="7" t="str">
        <f>VLOOKUP(A3248,Sheet2!$A$2:$R$3432,17,0)</f>
        <v/>
      </c>
    </row>
    <row r="3249" ht="15.75" customHeight="1">
      <c r="A3249" s="3" t="s">
        <v>3272</v>
      </c>
      <c r="B3249" s="4" t="str">
        <f>VLOOKUP(A3249,Sheet2!$A$2:$R$3432,2,0)</f>
        <v>2025-07-20 20:06:47</v>
      </c>
      <c r="C3249" s="5" t="s">
        <v>25</v>
      </c>
      <c r="D3249" s="6" t="s">
        <v>25</v>
      </c>
      <c r="E3249" s="7">
        <f>VLOOKUP(A3249,Sheet2!$A$2:$R$3432,4,0)</f>
        <v>9890171414</v>
      </c>
      <c r="F3249" s="7" t="str">
        <f>VLOOKUP(A3249,Sheet2!$A$2:$R$3432,3,0)</f>
        <v>Chetan</v>
      </c>
      <c r="G3249" s="5" t="s">
        <v>25</v>
      </c>
      <c r="H3249" s="5" t="s">
        <v>25</v>
      </c>
      <c r="I3249" s="5" t="s">
        <v>25</v>
      </c>
      <c r="J3249" s="5" t="s">
        <v>25</v>
      </c>
      <c r="K3249" s="7" t="str">
        <f>VLOOKUP(A3249,Sheet2!$A$2:$R$3432,6,0)</f>
        <v>Royal Enfield ThunderBird 350</v>
      </c>
      <c r="L3249" s="5" t="s">
        <v>25</v>
      </c>
      <c r="M3249" s="7" t="str">
        <f>VLOOKUP(A3249,Sheet2!$A$2:$R$3432,5,0)</f>
        <v>MH14FE9445</v>
      </c>
      <c r="N3249" s="5" t="s">
        <v>25</v>
      </c>
      <c r="O3249" s="5" t="s">
        <v>25</v>
      </c>
      <c r="P3249" s="6" t="s">
        <v>25</v>
      </c>
      <c r="Q3249" s="5" t="s">
        <v>25</v>
      </c>
      <c r="R3249" s="5" t="s">
        <v>25</v>
      </c>
      <c r="S3249" s="7" t="str">
        <f>VLOOKUP(A3249,Sheet2!$A$2:$R$3432,18,0)</f>
        <v/>
      </c>
      <c r="T3249" s="7" t="str">
        <f>VLOOKUP(A3249,Sheet2!$A$2:$R$3432,17,0)</f>
        <v/>
      </c>
    </row>
    <row r="3250" ht="15.75" customHeight="1">
      <c r="A3250" s="3" t="s">
        <v>3273</v>
      </c>
      <c r="B3250" s="4" t="str">
        <f>VLOOKUP(A3250,Sheet2!$A$2:$R$3432,2,0)</f>
        <v>2025-07-20 18:21:02</v>
      </c>
      <c r="C3250" s="5" t="s">
        <v>25</v>
      </c>
      <c r="D3250" s="6" t="s">
        <v>25</v>
      </c>
      <c r="E3250" s="7">
        <f>VLOOKUP(A3250,Sheet2!$A$2:$R$3432,4,0)</f>
        <v>9970748860</v>
      </c>
      <c r="F3250" s="7" t="str">
        <f>VLOOKUP(A3250,Sheet2!$A$2:$R$3432,3,0)</f>
        <v>Rohan</v>
      </c>
      <c r="G3250" s="5" t="s">
        <v>25</v>
      </c>
      <c r="H3250" s="5" t="s">
        <v>25</v>
      </c>
      <c r="I3250" s="5" t="s">
        <v>25</v>
      </c>
      <c r="J3250" s="5" t="s">
        <v>25</v>
      </c>
      <c r="K3250" s="7" t="str">
        <f>VLOOKUP(A3250,Sheet2!$A$2:$R$3432,6,0)</f>
        <v>TVS Apache 160 4V</v>
      </c>
      <c r="L3250" s="5" t="s">
        <v>25</v>
      </c>
      <c r="M3250" s="7" t="str">
        <f>VLOOKUP(A3250,Sheet2!$A$2:$R$3432,5,0)</f>
        <v>MH14HA5843</v>
      </c>
      <c r="N3250" s="5" t="s">
        <v>25</v>
      </c>
      <c r="O3250" s="5" t="s">
        <v>25</v>
      </c>
      <c r="P3250" s="6" t="s">
        <v>25</v>
      </c>
      <c r="Q3250" s="5" t="s">
        <v>25</v>
      </c>
      <c r="R3250" s="5" t="s">
        <v>25</v>
      </c>
      <c r="S3250" s="7" t="str">
        <f>VLOOKUP(A3250,Sheet2!$A$2:$R$3432,18,0)</f>
        <v/>
      </c>
      <c r="T3250" s="7" t="str">
        <f>VLOOKUP(A3250,Sheet2!$A$2:$R$3432,17,0)</f>
        <v/>
      </c>
    </row>
    <row r="3251" ht="15.75" customHeight="1">
      <c r="A3251" s="3" t="s">
        <v>3274</v>
      </c>
      <c r="B3251" s="4" t="str">
        <f>VLOOKUP(A3251,Sheet2!$A$2:$R$3432,2,0)</f>
        <v>2025-07-20 18:23:09</v>
      </c>
      <c r="C3251" s="5" t="s">
        <v>25</v>
      </c>
      <c r="D3251" s="6" t="s">
        <v>25</v>
      </c>
      <c r="E3251" s="7">
        <f>VLOOKUP(A3251,Sheet2!$A$2:$R$3432,4,0)</f>
        <v>7517929899</v>
      </c>
      <c r="F3251" s="7" t="str">
        <f>VLOOKUP(A3251,Sheet2!$A$2:$R$3432,3,0)</f>
        <v>Saket </v>
      </c>
      <c r="G3251" s="5" t="s">
        <v>25</v>
      </c>
      <c r="H3251" s="5" t="s">
        <v>25</v>
      </c>
      <c r="I3251" s="5" t="s">
        <v>25</v>
      </c>
      <c r="J3251" s="5" t="s">
        <v>25</v>
      </c>
      <c r="K3251" s="7" t="str">
        <f>VLOOKUP(A3251,Sheet2!$A$2:$R$3432,6,0)</f>
        <v>KTM Duke 200</v>
      </c>
      <c r="L3251" s="5" t="s">
        <v>25</v>
      </c>
      <c r="M3251" s="7" t="str">
        <f>VLOOKUP(A3251,Sheet2!$A$2:$R$3432,5,0)</f>
        <v>MH32AC2010</v>
      </c>
      <c r="N3251" s="5" t="s">
        <v>25</v>
      </c>
      <c r="O3251" s="5" t="s">
        <v>25</v>
      </c>
      <c r="P3251" s="6" t="s">
        <v>25</v>
      </c>
      <c r="Q3251" s="5" t="s">
        <v>25</v>
      </c>
      <c r="R3251" s="5" t="s">
        <v>25</v>
      </c>
      <c r="S3251" s="7" t="str">
        <f>VLOOKUP(A3251,Sheet2!$A$2:$R$3432,18,0)</f>
        <v/>
      </c>
      <c r="T3251" s="7" t="str">
        <f>VLOOKUP(A3251,Sheet2!$A$2:$R$3432,17,0)</f>
        <v/>
      </c>
    </row>
    <row r="3252" ht="15.75" customHeight="1">
      <c r="A3252" s="3" t="s">
        <v>3275</v>
      </c>
      <c r="B3252" s="4" t="str">
        <f>VLOOKUP(A3252,Sheet2!$A$2:$R$3432,2,0)</f>
        <v>2025-07-20 18:19:27</v>
      </c>
      <c r="C3252" s="5" t="s">
        <v>25</v>
      </c>
      <c r="D3252" s="6" t="s">
        <v>25</v>
      </c>
      <c r="E3252" s="7">
        <f>VLOOKUP(A3252,Sheet2!$A$2:$R$3432,4,0)</f>
        <v>8275037901</v>
      </c>
      <c r="F3252" s="7" t="str">
        <f>VLOOKUP(A3252,Sheet2!$A$2:$R$3432,3,0)</f>
        <v>SHUBHAM GURAV </v>
      </c>
      <c r="G3252" s="5" t="s">
        <v>25</v>
      </c>
      <c r="H3252" s="5" t="s">
        <v>25</v>
      </c>
      <c r="I3252" s="5" t="s">
        <v>25</v>
      </c>
      <c r="J3252" s="5" t="s">
        <v>25</v>
      </c>
      <c r="K3252" s="7" t="str">
        <f>VLOOKUP(A3252,Sheet2!$A$2:$R$3432,6,0)</f>
        <v>TVS Apache 160 4V</v>
      </c>
      <c r="L3252" s="5" t="s">
        <v>25</v>
      </c>
      <c r="M3252" s="7" t="str">
        <f>VLOOKUP(A3252,Sheet2!$A$2:$R$3432,5,0)</f>
        <v>MH11CZ3024</v>
      </c>
      <c r="N3252" s="5" t="s">
        <v>25</v>
      </c>
      <c r="O3252" s="5" t="s">
        <v>25</v>
      </c>
      <c r="P3252" s="6" t="s">
        <v>25</v>
      </c>
      <c r="Q3252" s="5" t="s">
        <v>25</v>
      </c>
      <c r="R3252" s="5" t="s">
        <v>25</v>
      </c>
      <c r="S3252" s="7" t="str">
        <f>VLOOKUP(A3252,Sheet2!$A$2:$R$3432,18,0)</f>
        <v/>
      </c>
      <c r="T3252" s="7" t="str">
        <f>VLOOKUP(A3252,Sheet2!$A$2:$R$3432,17,0)</f>
        <v/>
      </c>
    </row>
    <row r="3253" ht="15.75" customHeight="1">
      <c r="A3253" s="3" t="s">
        <v>3276</v>
      </c>
      <c r="B3253" s="4" t="str">
        <f>VLOOKUP(A3253,Sheet2!$A$2:$R$3432,2,0)</f>
        <v>2025-07-20 19:44:01</v>
      </c>
      <c r="C3253" s="5" t="s">
        <v>25</v>
      </c>
      <c r="D3253" s="6" t="s">
        <v>25</v>
      </c>
      <c r="E3253" s="7">
        <f>VLOOKUP(A3253,Sheet2!$A$2:$R$3432,4,0)</f>
        <v>8552047688</v>
      </c>
      <c r="F3253" s="7" t="str">
        <f>VLOOKUP(A3253,Sheet2!$A$2:$R$3432,3,0)</f>
        <v>Pratik Dongre</v>
      </c>
      <c r="G3253" s="5" t="s">
        <v>25</v>
      </c>
      <c r="H3253" s="5" t="s">
        <v>25</v>
      </c>
      <c r="I3253" s="5" t="s">
        <v>25</v>
      </c>
      <c r="J3253" s="5" t="s">
        <v>25</v>
      </c>
      <c r="K3253" s="7" t="str">
        <f>VLOOKUP(A3253,Sheet2!$A$2:$R$3432,6,0)</f>
        <v>TVS Jupiter </v>
      </c>
      <c r="L3253" s="5" t="s">
        <v>25</v>
      </c>
      <c r="M3253" s="7" t="str">
        <f>VLOOKUP(A3253,Sheet2!$A$2:$R$3432,5,0)</f>
        <v>MH12PR4754</v>
      </c>
      <c r="N3253" s="5" t="s">
        <v>25</v>
      </c>
      <c r="O3253" s="5" t="s">
        <v>25</v>
      </c>
      <c r="P3253" s="6" t="s">
        <v>25</v>
      </c>
      <c r="Q3253" s="5" t="s">
        <v>25</v>
      </c>
      <c r="R3253" s="5" t="s">
        <v>25</v>
      </c>
      <c r="S3253" s="7" t="str">
        <f>VLOOKUP(A3253,Sheet2!$A$2:$R$3432,18,0)</f>
        <v/>
      </c>
      <c r="T3253" s="7" t="str">
        <f>VLOOKUP(A3253,Sheet2!$A$2:$R$3432,17,0)</f>
        <v/>
      </c>
    </row>
    <row r="3254" ht="15.75" customHeight="1">
      <c r="A3254" s="3" t="s">
        <v>3277</v>
      </c>
      <c r="B3254" s="4" t="str">
        <f>VLOOKUP(A3254,Sheet2!$A$2:$R$3432,2,0)</f>
        <v>2025-07-20 19:44:20</v>
      </c>
      <c r="C3254" s="5" t="s">
        <v>25</v>
      </c>
      <c r="D3254" s="6" t="s">
        <v>25</v>
      </c>
      <c r="E3254" s="7">
        <f>VLOOKUP(A3254,Sheet2!$A$2:$R$3432,4,0)</f>
        <v>9096270636</v>
      </c>
      <c r="F3254" s="7" t="str">
        <f>VLOOKUP(A3254,Sheet2!$A$2:$R$3432,3,0)</f>
        <v>YUVRAJ INGLE</v>
      </c>
      <c r="G3254" s="5" t="s">
        <v>25</v>
      </c>
      <c r="H3254" s="5" t="s">
        <v>25</v>
      </c>
      <c r="I3254" s="5" t="s">
        <v>25</v>
      </c>
      <c r="J3254" s="5" t="s">
        <v>25</v>
      </c>
      <c r="K3254" s="7" t="str">
        <f>VLOOKUP(A3254,Sheet2!$A$2:$R$3432,6,0)</f>
        <v>Yamaha FZ V3</v>
      </c>
      <c r="L3254" s="5" t="s">
        <v>25</v>
      </c>
      <c r="M3254" s="7" t="str">
        <f>VLOOKUP(A3254,Sheet2!$A$2:$R$3432,5,0)</f>
        <v>MH11DL8625</v>
      </c>
      <c r="N3254" s="5" t="s">
        <v>25</v>
      </c>
      <c r="O3254" s="5" t="s">
        <v>25</v>
      </c>
      <c r="P3254" s="6" t="s">
        <v>25</v>
      </c>
      <c r="Q3254" s="5" t="s">
        <v>25</v>
      </c>
      <c r="R3254" s="5" t="s">
        <v>25</v>
      </c>
      <c r="S3254" s="5" t="str">
        <f>VLOOKUP(A3254,Sheet2!$A$2:$R$3432,18,0)</f>
        <v>64N3E033723</v>
      </c>
      <c r="T3254" s="7" t="str">
        <f>VLOOKUP(A3254,Sheet2!$A$2:$R$3432,17,0)</f>
        <v>ME1RG66U7P0014208</v>
      </c>
    </row>
    <row r="3255" ht="15.75" customHeight="1">
      <c r="A3255" s="3" t="s">
        <v>3278</v>
      </c>
      <c r="B3255" s="4" t="str">
        <f>VLOOKUP(A3255,Sheet2!$A$2:$R$3432,2,0)</f>
        <v>2025-07-20 19:41:37</v>
      </c>
      <c r="C3255" s="5" t="s">
        <v>25</v>
      </c>
      <c r="D3255" s="6" t="s">
        <v>25</v>
      </c>
      <c r="E3255" s="7">
        <f>VLOOKUP(A3255,Sheet2!$A$2:$R$3432,4,0)</f>
        <v>9405524675</v>
      </c>
      <c r="F3255" s="7" t="str">
        <f>VLOOKUP(A3255,Sheet2!$A$2:$R$3432,3,0)</f>
        <v>Ashish Patil</v>
      </c>
      <c r="G3255" s="5" t="s">
        <v>25</v>
      </c>
      <c r="H3255" s="5" t="s">
        <v>25</v>
      </c>
      <c r="I3255" s="5" t="s">
        <v>25</v>
      </c>
      <c r="J3255" s="5" t="s">
        <v>25</v>
      </c>
      <c r="K3255" s="7" t="str">
        <f>VLOOKUP(A3255,Sheet2!$A$2:$R$3432,6,0)</f>
        <v>Yamaha Fascino </v>
      </c>
      <c r="L3255" s="5" t="s">
        <v>25</v>
      </c>
      <c r="M3255" s="7" t="str">
        <f>VLOOKUP(A3255,Sheet2!$A$2:$R$3432,5,0)</f>
        <v>MH14FJ4539</v>
      </c>
      <c r="N3255" s="5" t="s">
        <v>25</v>
      </c>
      <c r="O3255" s="5" t="s">
        <v>25</v>
      </c>
      <c r="P3255" s="6" t="s">
        <v>25</v>
      </c>
      <c r="Q3255" s="5" t="s">
        <v>25</v>
      </c>
      <c r="R3255" s="5" t="s">
        <v>25</v>
      </c>
      <c r="S3255" s="5" t="str">
        <f>VLOOKUP(A3255,Sheet2!$A$2:$R$3432,18,0)</f>
        <v>JF50EW0038154</v>
      </c>
      <c r="T3255" s="7" t="str">
        <f>VLOOKUP(A3255,Sheet2!$A$2:$R$3432,17,0)</f>
        <v>ME1SE77F9F0043875</v>
      </c>
    </row>
    <row r="3256" ht="15.75" customHeight="1">
      <c r="A3256" s="3" t="s">
        <v>3279</v>
      </c>
      <c r="B3256" s="4" t="str">
        <f>VLOOKUP(A3256,Sheet2!$A$2:$R$3432,2,0)</f>
        <v>2025-07-20 18:25:35</v>
      </c>
      <c r="C3256" s="5" t="s">
        <v>25</v>
      </c>
      <c r="D3256" s="6" t="s">
        <v>25</v>
      </c>
      <c r="E3256" s="7">
        <f>VLOOKUP(A3256,Sheet2!$A$2:$R$3432,4,0)</f>
        <v>9822478157</v>
      </c>
      <c r="F3256" s="7" t="str">
        <f>VLOOKUP(A3256,Sheet2!$A$2:$R$3432,3,0)</f>
        <v>UMESH DAHIA</v>
      </c>
      <c r="G3256" s="5" t="s">
        <v>25</v>
      </c>
      <c r="H3256" s="5" t="s">
        <v>25</v>
      </c>
      <c r="I3256" s="5" t="s">
        <v>25</v>
      </c>
      <c r="J3256" s="5" t="s">
        <v>25</v>
      </c>
      <c r="K3256" s="7" t="str">
        <f>VLOOKUP(A3256,Sheet2!$A$2:$R$3432,6,0)</f>
        <v>TVS Jupiter Grande</v>
      </c>
      <c r="L3256" s="5" t="s">
        <v>25</v>
      </c>
      <c r="M3256" s="7" t="str">
        <f>VLOOKUP(A3256,Sheet2!$A$2:$R$3432,5,0)</f>
        <v>MH14HL5108</v>
      </c>
      <c r="N3256" s="5" t="s">
        <v>25</v>
      </c>
      <c r="O3256" s="5" t="s">
        <v>25</v>
      </c>
      <c r="P3256" s="6" t="s">
        <v>25</v>
      </c>
      <c r="Q3256" s="5" t="s">
        <v>25</v>
      </c>
      <c r="R3256" s="5" t="s">
        <v>25</v>
      </c>
      <c r="S3256" s="7" t="str">
        <f>VLOOKUP(A3256,Sheet2!$A$2:$R$3432,18,0)</f>
        <v/>
      </c>
      <c r="T3256" s="7" t="str">
        <f>VLOOKUP(A3256,Sheet2!$A$2:$R$3432,17,0)</f>
        <v/>
      </c>
    </row>
    <row r="3257" ht="15.75" customHeight="1">
      <c r="A3257" s="3" t="s">
        <v>3280</v>
      </c>
      <c r="B3257" s="4" t="str">
        <f>VLOOKUP(A3257,Sheet2!$A$2:$R$3432,2,0)</f>
        <v>2025-07-20 19:45:17</v>
      </c>
      <c r="C3257" s="5" t="s">
        <v>25</v>
      </c>
      <c r="D3257" s="6" t="s">
        <v>25</v>
      </c>
      <c r="E3257" s="7">
        <f>VLOOKUP(A3257,Sheet2!$A$2:$R$3432,4,0)</f>
        <v>8956033546</v>
      </c>
      <c r="F3257" s="7" t="str">
        <f>VLOOKUP(A3257,Sheet2!$A$2:$R$3432,3,0)</f>
        <v>Ashwin </v>
      </c>
      <c r="G3257" s="5" t="s">
        <v>25</v>
      </c>
      <c r="H3257" s="5" t="s">
        <v>25</v>
      </c>
      <c r="I3257" s="5" t="s">
        <v>25</v>
      </c>
      <c r="J3257" s="5" t="s">
        <v>25</v>
      </c>
      <c r="K3257" s="7" t="str">
        <f>VLOOKUP(A3257,Sheet2!$A$2:$R$3432,6,0)</f>
        <v>Hero CBZ Extreme</v>
      </c>
      <c r="L3257" s="5" t="s">
        <v>25</v>
      </c>
      <c r="M3257" s="7" t="str">
        <f>VLOOKUP(A3257,Sheet2!$A$2:$R$3432,5,0)</f>
        <v>MH33H2085</v>
      </c>
      <c r="N3257" s="5" t="s">
        <v>25</v>
      </c>
      <c r="O3257" s="5" t="s">
        <v>25</v>
      </c>
      <c r="P3257" s="6" t="s">
        <v>25</v>
      </c>
      <c r="Q3257" s="5" t="s">
        <v>25</v>
      </c>
      <c r="R3257" s="5" t="s">
        <v>25</v>
      </c>
      <c r="S3257" s="7" t="str">
        <f>VLOOKUP(A3257,Sheet2!$A$2:$R$3432,18,0)</f>
        <v/>
      </c>
      <c r="T3257" s="7" t="str">
        <f>VLOOKUP(A3257,Sheet2!$A$2:$R$3432,17,0)</f>
        <v/>
      </c>
    </row>
    <row r="3258" ht="15.75" customHeight="1">
      <c r="A3258" s="3" t="s">
        <v>3281</v>
      </c>
      <c r="B3258" s="4" t="str">
        <f>VLOOKUP(A3258,Sheet2!$A$2:$R$3432,2,0)</f>
        <v>2025-07-20 18:22:11</v>
      </c>
      <c r="C3258" s="5" t="s">
        <v>25</v>
      </c>
      <c r="D3258" s="6" t="s">
        <v>25</v>
      </c>
      <c r="E3258" s="7">
        <f>VLOOKUP(A3258,Sheet2!$A$2:$R$3432,4,0)</f>
        <v>9421344310</v>
      </c>
      <c r="F3258" s="7" t="str">
        <f>VLOOKUP(A3258,Sheet2!$A$2:$R$3432,3,0)</f>
        <v>Girish</v>
      </c>
      <c r="G3258" s="5" t="s">
        <v>25</v>
      </c>
      <c r="H3258" s="5" t="s">
        <v>25</v>
      </c>
      <c r="I3258" s="5" t="s">
        <v>25</v>
      </c>
      <c r="J3258" s="5" t="s">
        <v>25</v>
      </c>
      <c r="K3258" s="7" t="str">
        <f>VLOOKUP(A3258,Sheet2!$A$2:$R$3432,6,0)</f>
        <v>Honda Activa 6G</v>
      </c>
      <c r="L3258" s="5" t="s">
        <v>25</v>
      </c>
      <c r="M3258" s="7" t="str">
        <f>VLOOKUP(A3258,Sheet2!$A$2:$R$3432,5,0)</f>
        <v>MH25AY4248</v>
      </c>
      <c r="N3258" s="5" t="s">
        <v>25</v>
      </c>
      <c r="O3258" s="5" t="s">
        <v>25</v>
      </c>
      <c r="P3258" s="6" t="s">
        <v>25</v>
      </c>
      <c r="Q3258" s="5" t="s">
        <v>25</v>
      </c>
      <c r="R3258" s="5" t="s">
        <v>25</v>
      </c>
      <c r="S3258" s="7" t="str">
        <f>VLOOKUP(A3258,Sheet2!$A$2:$R$3432,18,0)</f>
        <v/>
      </c>
      <c r="T3258" s="7" t="str">
        <f>VLOOKUP(A3258,Sheet2!$A$2:$R$3432,17,0)</f>
        <v/>
      </c>
    </row>
    <row r="3259" ht="15.75" customHeight="1">
      <c r="A3259" s="3" t="s">
        <v>3282</v>
      </c>
      <c r="B3259" s="4" t="str">
        <f>VLOOKUP(A3259,Sheet2!$A$2:$R$3432,2,0)</f>
        <v>2025-07-20 20:07:42</v>
      </c>
      <c r="C3259" s="5" t="s">
        <v>25</v>
      </c>
      <c r="D3259" s="6" t="s">
        <v>25</v>
      </c>
      <c r="E3259" s="7">
        <f>VLOOKUP(A3259,Sheet2!$A$2:$R$3432,4,0)</f>
        <v>9096542515</v>
      </c>
      <c r="F3259" s="7" t="str">
        <f>VLOOKUP(A3259,Sheet2!$A$2:$R$3432,3,0)</f>
        <v>Sonu Chandrakar</v>
      </c>
      <c r="G3259" s="5" t="s">
        <v>25</v>
      </c>
      <c r="H3259" s="5" t="s">
        <v>25</v>
      </c>
      <c r="I3259" s="5" t="s">
        <v>25</v>
      </c>
      <c r="J3259" s="5" t="s">
        <v>25</v>
      </c>
      <c r="K3259" s="7" t="str">
        <f>VLOOKUP(A3259,Sheet2!$A$2:$R$3432,6,0)</f>
        <v>Honda SP 125 Drum</v>
      </c>
      <c r="L3259" s="5" t="s">
        <v>25</v>
      </c>
      <c r="M3259" s="7" t="str">
        <f>VLOOKUP(A3259,Sheet2!$A$2:$R$3432,5,0)</f>
        <v>CG25L0127</v>
      </c>
      <c r="N3259" s="5" t="s">
        <v>25</v>
      </c>
      <c r="O3259" s="5" t="s">
        <v>25</v>
      </c>
      <c r="P3259" s="6" t="s">
        <v>25</v>
      </c>
      <c r="Q3259" s="5" t="s">
        <v>25</v>
      </c>
      <c r="R3259" s="5" t="s">
        <v>25</v>
      </c>
      <c r="S3259" s="7" t="str">
        <f>VLOOKUP(A3259,Sheet2!$A$2:$R$3432,18,0)</f>
        <v/>
      </c>
      <c r="T3259" s="7" t="str">
        <f>VLOOKUP(A3259,Sheet2!$A$2:$R$3432,17,0)</f>
        <v/>
      </c>
    </row>
    <row r="3260" ht="15.75" customHeight="1">
      <c r="A3260" s="3" t="s">
        <v>3283</v>
      </c>
      <c r="B3260" s="4" t="str">
        <f>VLOOKUP(A3260,Sheet2!$A$2:$R$3432,2,0)</f>
        <v>2025-07-20 20:07:17</v>
      </c>
      <c r="C3260" s="5" t="s">
        <v>25</v>
      </c>
      <c r="D3260" s="6" t="s">
        <v>25</v>
      </c>
      <c r="E3260" s="7">
        <f>VLOOKUP(A3260,Sheet2!$A$2:$R$3432,4,0)</f>
        <v>7350725409</v>
      </c>
      <c r="F3260" s="7" t="str">
        <f>VLOOKUP(A3260,Sheet2!$A$2:$R$3432,3,0)</f>
        <v>Parth</v>
      </c>
      <c r="G3260" s="5" t="s">
        <v>25</v>
      </c>
      <c r="H3260" s="5" t="s">
        <v>25</v>
      </c>
      <c r="I3260" s="5" t="s">
        <v>25</v>
      </c>
      <c r="J3260" s="5" t="s">
        <v>25</v>
      </c>
      <c r="K3260" s="7" t="str">
        <f>VLOOKUP(A3260,Sheet2!$A$2:$R$3432,6,0)</f>
        <v>Honda CBR 150</v>
      </c>
      <c r="L3260" s="5" t="s">
        <v>25</v>
      </c>
      <c r="M3260" s="7" t="str">
        <f>VLOOKUP(A3260,Sheet2!$A$2:$R$3432,5,0)</f>
        <v>MH14FU2470</v>
      </c>
      <c r="N3260" s="5" t="s">
        <v>25</v>
      </c>
      <c r="O3260" s="5" t="s">
        <v>25</v>
      </c>
      <c r="P3260" s="6" t="s">
        <v>25</v>
      </c>
      <c r="Q3260" s="5" t="s">
        <v>25</v>
      </c>
      <c r="R3260" s="5" t="s">
        <v>25</v>
      </c>
      <c r="S3260" s="5" t="str">
        <f>VLOOKUP(A3260,Sheet2!$A$2:$R$3432,18,0)</f>
        <v>KC17E8046479</v>
      </c>
      <c r="T3260" s="7" t="str">
        <f>VLOOKUP(A3260,Sheet2!$A$2:$R$3432,17,0)</f>
        <v>ME4KC241HG8004487</v>
      </c>
    </row>
    <row r="3261" ht="15.75" customHeight="1">
      <c r="A3261" s="3" t="s">
        <v>3284</v>
      </c>
      <c r="B3261" s="4" t="str">
        <f>VLOOKUP(A3261,Sheet2!$A$2:$R$3432,2,0)</f>
        <v>2025-07-20 20:08:04</v>
      </c>
      <c r="C3261" s="5" t="s">
        <v>25</v>
      </c>
      <c r="D3261" s="6" t="s">
        <v>25</v>
      </c>
      <c r="E3261" s="7">
        <f>VLOOKUP(A3261,Sheet2!$A$2:$R$3432,4,0)</f>
        <v>9545157573</v>
      </c>
      <c r="F3261" s="7" t="str">
        <f>VLOOKUP(A3261,Sheet2!$A$2:$R$3432,3,0)</f>
        <v>Suyash Gaikwad </v>
      </c>
      <c r="G3261" s="5" t="s">
        <v>25</v>
      </c>
      <c r="H3261" s="5" t="s">
        <v>25</v>
      </c>
      <c r="I3261" s="5" t="s">
        <v>25</v>
      </c>
      <c r="J3261" s="5" t="s">
        <v>25</v>
      </c>
      <c r="K3261" s="7" t="str">
        <f>VLOOKUP(A3261,Sheet2!$A$2:$R$3432,6,0)</f>
        <v>Royal Enfield Bullet 350</v>
      </c>
      <c r="L3261" s="5" t="s">
        <v>25</v>
      </c>
      <c r="M3261" s="7" t="str">
        <f>VLOOKUP(A3261,Sheet2!$A$2:$R$3432,5,0)</f>
        <v>MH14FE6498</v>
      </c>
      <c r="N3261" s="5" t="s">
        <v>25</v>
      </c>
      <c r="O3261" s="5" t="s">
        <v>25</v>
      </c>
      <c r="P3261" s="6" t="s">
        <v>25</v>
      </c>
      <c r="Q3261" s="5" t="s">
        <v>25</v>
      </c>
      <c r="R3261" s="5" t="s">
        <v>25</v>
      </c>
      <c r="S3261" s="7" t="str">
        <f>VLOOKUP(A3261,Sheet2!$A$2:$R$3432,18,0)</f>
        <v/>
      </c>
      <c r="T3261" s="7" t="str">
        <f>VLOOKUP(A3261,Sheet2!$A$2:$R$3432,17,0)</f>
        <v/>
      </c>
    </row>
    <row r="3262" ht="15.75" customHeight="1">
      <c r="A3262" s="3" t="s">
        <v>3285</v>
      </c>
      <c r="B3262" s="4" t="str">
        <f>VLOOKUP(A3262,Sheet2!$A$2:$R$3432,2,0)</f>
        <v>2025-07-20 20:29:20</v>
      </c>
      <c r="C3262" s="5" t="s">
        <v>25</v>
      </c>
      <c r="D3262" s="6" t="s">
        <v>25</v>
      </c>
      <c r="E3262" s="7">
        <f>VLOOKUP(A3262,Sheet2!$A$2:$R$3432,4,0)</f>
        <v>9765054063</v>
      </c>
      <c r="F3262" s="7" t="str">
        <f>VLOOKUP(A3262,Sheet2!$A$2:$R$3432,3,0)</f>
        <v>PANKAJ CHAUDHARI </v>
      </c>
      <c r="G3262" s="5" t="s">
        <v>25</v>
      </c>
      <c r="H3262" s="5" t="s">
        <v>25</v>
      </c>
      <c r="I3262" s="5" t="s">
        <v>25</v>
      </c>
      <c r="J3262" s="5" t="s">
        <v>25</v>
      </c>
      <c r="K3262" s="7" t="str">
        <f>VLOOKUP(A3262,Sheet2!$A$2:$R$3432,6,0)</f>
        <v>Honda Activa 5G</v>
      </c>
      <c r="L3262" s="5" t="s">
        <v>25</v>
      </c>
      <c r="M3262" s="7" t="str">
        <f>VLOOKUP(A3262,Sheet2!$A$2:$R$3432,5,0)</f>
        <v>MH12RH0264</v>
      </c>
      <c r="N3262" s="5" t="s">
        <v>25</v>
      </c>
      <c r="O3262" s="5" t="s">
        <v>25</v>
      </c>
      <c r="P3262" s="6" t="s">
        <v>25</v>
      </c>
      <c r="Q3262" s="5" t="s">
        <v>25</v>
      </c>
      <c r="R3262" s="5" t="s">
        <v>25</v>
      </c>
      <c r="S3262" s="7" t="str">
        <f>VLOOKUP(A3262,Sheet2!$A$2:$R$3432,18,0)</f>
        <v/>
      </c>
      <c r="T3262" s="7" t="str">
        <f>VLOOKUP(A3262,Sheet2!$A$2:$R$3432,17,0)</f>
        <v/>
      </c>
    </row>
    <row r="3263" ht="15.75" customHeight="1">
      <c r="A3263" s="3" t="s">
        <v>3286</v>
      </c>
      <c r="B3263" s="4" t="str">
        <f>VLOOKUP(A3263,Sheet2!$A$2:$R$3432,2,0)</f>
        <v>2025-06-07 11:16:34</v>
      </c>
      <c r="C3263" s="5" t="s">
        <v>25</v>
      </c>
      <c r="D3263" s="6" t="s">
        <v>25</v>
      </c>
      <c r="E3263" s="7">
        <f>VLOOKUP(A3263,Sheet2!$A$2:$R$3432,4,0)</f>
        <v>8308974699</v>
      </c>
      <c r="F3263" s="7" t="str">
        <f>VLOOKUP(A3263,Sheet2!$A$2:$R$3432,3,0)</f>
        <v>MATTHEW </v>
      </c>
      <c r="G3263" s="5" t="s">
        <v>25</v>
      </c>
      <c r="H3263" s="5" t="s">
        <v>25</v>
      </c>
      <c r="I3263" s="5" t="s">
        <v>25</v>
      </c>
      <c r="J3263" s="5" t="s">
        <v>25</v>
      </c>
      <c r="K3263" s="7" t="str">
        <f>VLOOKUP(A3263,Sheet2!$A$2:$R$3432,6,0)</f>
        <v>Suzuki Access 125</v>
      </c>
      <c r="L3263" s="5" t="s">
        <v>25</v>
      </c>
      <c r="M3263" s="7" t="str">
        <f>VLOOKUP(A3263,Sheet2!$A$2:$R$3432,5,0)</f>
        <v>MH06BC9328</v>
      </c>
      <c r="N3263" s="5" t="s">
        <v>25</v>
      </c>
      <c r="O3263" s="5" t="s">
        <v>25</v>
      </c>
      <c r="P3263" s="6" t="s">
        <v>25</v>
      </c>
      <c r="Q3263" s="5" t="s">
        <v>25</v>
      </c>
      <c r="R3263" s="5" t="s">
        <v>25</v>
      </c>
      <c r="S3263" s="5" t="str">
        <f>VLOOKUP(A3263,Sheet2!$A$2:$R$3432,18,0)</f>
        <v>486953649</v>
      </c>
      <c r="T3263" s="7" t="str">
        <f>VLOOKUP(A3263,Sheet2!$A$2:$R$3432,17,0)</f>
        <v>MB8CF4CACC8498838</v>
      </c>
    </row>
    <row r="3264" ht="15.75" customHeight="1">
      <c r="A3264" s="3" t="s">
        <v>3287</v>
      </c>
      <c r="B3264" s="4" t="str">
        <f>VLOOKUP(A3264,Sheet2!$A$2:$R$3432,2,0)</f>
        <v>2025-07-18 12:03:29</v>
      </c>
      <c r="C3264" s="5" t="s">
        <v>25</v>
      </c>
      <c r="D3264" s="6" t="s">
        <v>25</v>
      </c>
      <c r="E3264" s="7">
        <f>VLOOKUP(A3264,Sheet2!$A$2:$R$3432,4,0)</f>
        <v>9907870877</v>
      </c>
      <c r="F3264" s="7" t="str">
        <f>VLOOKUP(A3264,Sheet2!$A$2:$R$3432,3,0)</f>
        <v>Raunak</v>
      </c>
      <c r="G3264" s="5" t="s">
        <v>25</v>
      </c>
      <c r="H3264" s="5" t="s">
        <v>25</v>
      </c>
      <c r="I3264" s="5" t="s">
        <v>25</v>
      </c>
      <c r="J3264" s="5" t="s">
        <v>25</v>
      </c>
      <c r="K3264" s="7" t="str">
        <f>VLOOKUP(A3264,Sheet2!$A$2:$R$3432,6,0)</f>
        <v>Bajaj Discover 100M</v>
      </c>
      <c r="L3264" s="5" t="s">
        <v>25</v>
      </c>
      <c r="M3264" s="7" t="str">
        <f>VLOOKUP(A3264,Sheet2!$A$2:$R$3432,5,0)</f>
        <v>MP40ML9858</v>
      </c>
      <c r="N3264" s="5" t="s">
        <v>25</v>
      </c>
      <c r="O3264" s="5" t="s">
        <v>25</v>
      </c>
      <c r="P3264" s="6" t="s">
        <v>25</v>
      </c>
      <c r="Q3264" s="5" t="s">
        <v>25</v>
      </c>
      <c r="R3264" s="5" t="s">
        <v>25</v>
      </c>
      <c r="S3264" s="5" t="str">
        <f>VLOOKUP(A3264,Sheet2!$A$2:$R$3432,18,0)</f>
        <v>PAZRFD54297</v>
      </c>
      <c r="T3264" s="7" t="str">
        <f>VLOOKUP(A3264,Sheet2!$A$2:$R$3432,17,0)</f>
        <v>MD2A57AZ9FRD50630</v>
      </c>
    </row>
    <row r="3265" ht="15.75" customHeight="1">
      <c r="A3265" s="3" t="s">
        <v>3288</v>
      </c>
      <c r="B3265" s="4" t="str">
        <f>VLOOKUP(A3265,Sheet2!$A$2:$R$3432,2,0)</f>
        <v>2025-07-18 12:04:08</v>
      </c>
      <c r="C3265" s="5" t="s">
        <v>25</v>
      </c>
      <c r="D3265" s="6" t="s">
        <v>25</v>
      </c>
      <c r="E3265" s="7">
        <f>VLOOKUP(A3265,Sheet2!$A$2:$R$3432,4,0)</f>
        <v>9423306423</v>
      </c>
      <c r="F3265" s="7" t="str">
        <f>VLOOKUP(A3265,Sheet2!$A$2:$R$3432,3,0)</f>
        <v>ANIKET </v>
      </c>
      <c r="G3265" s="5" t="s">
        <v>25</v>
      </c>
      <c r="H3265" s="5" t="s">
        <v>25</v>
      </c>
      <c r="I3265" s="5" t="s">
        <v>25</v>
      </c>
      <c r="J3265" s="5" t="s">
        <v>25</v>
      </c>
      <c r="K3265" s="7" t="str">
        <f>VLOOKUP(A3265,Sheet2!$A$2:$R$3432,6,0)</f>
        <v>TVS Ntorq 125</v>
      </c>
      <c r="L3265" s="5" t="s">
        <v>25</v>
      </c>
      <c r="M3265" s="7" t="str">
        <f>VLOOKUP(A3265,Sheet2!$A$2:$R$3432,5,0)</f>
        <v>MH14HC2603</v>
      </c>
      <c r="N3265" s="5" t="s">
        <v>25</v>
      </c>
      <c r="O3265" s="5" t="s">
        <v>25</v>
      </c>
      <c r="P3265" s="6" t="s">
        <v>25</v>
      </c>
      <c r="Q3265" s="5" t="s">
        <v>25</v>
      </c>
      <c r="R3265" s="5" t="s">
        <v>25</v>
      </c>
      <c r="S3265" s="5" t="str">
        <f>VLOOKUP(A3265,Sheet2!$A$2:$R$3432,18,0)</f>
        <v>AG7H1250359</v>
      </c>
      <c r="T3265" s="7" t="str">
        <f>VLOOKUP(A3265,Sheet2!$A$2:$R$3432,17,0)</f>
        <v>MD626AG7JA843</v>
      </c>
    </row>
    <row r="3266" ht="15.75" customHeight="1">
      <c r="A3266" s="3" t="s">
        <v>3289</v>
      </c>
      <c r="B3266" s="4" t="str">
        <f>VLOOKUP(A3266,Sheet2!$A$2:$R$3432,2,0)</f>
        <v>2025-07-18 12:04:28</v>
      </c>
      <c r="C3266" s="5" t="s">
        <v>25</v>
      </c>
      <c r="D3266" s="6" t="s">
        <v>25</v>
      </c>
      <c r="E3266" s="7">
        <f>VLOOKUP(A3266,Sheet2!$A$2:$R$3432,4,0)</f>
        <v>9850778933</v>
      </c>
      <c r="F3266" s="7" t="str">
        <f>VLOOKUP(A3266,Sheet2!$A$2:$R$3432,3,0)</f>
        <v>Chinmay </v>
      </c>
      <c r="G3266" s="5" t="s">
        <v>25</v>
      </c>
      <c r="H3266" s="5" t="s">
        <v>25</v>
      </c>
      <c r="I3266" s="5" t="s">
        <v>25</v>
      </c>
      <c r="J3266" s="5" t="s">
        <v>25</v>
      </c>
      <c r="K3266" s="7" t="str">
        <f>VLOOKUP(A3266,Sheet2!$A$2:$R$3432,6,0)</f>
        <v>Honda Activa 4G</v>
      </c>
      <c r="L3266" s="5" t="s">
        <v>25</v>
      </c>
      <c r="M3266" s="7" t="str">
        <f>VLOOKUP(A3266,Sheet2!$A$2:$R$3432,5,0)</f>
        <v>MH31FD2467</v>
      </c>
      <c r="N3266" s="5" t="s">
        <v>25</v>
      </c>
      <c r="O3266" s="5" t="s">
        <v>25</v>
      </c>
      <c r="P3266" s="6" t="s">
        <v>25</v>
      </c>
      <c r="Q3266" s="5" t="s">
        <v>25</v>
      </c>
      <c r="R3266" s="5" t="s">
        <v>25</v>
      </c>
      <c r="S3266" s="7" t="str">
        <f>VLOOKUP(A3266,Sheet2!$A$2:$R$3432,18,0)</f>
        <v/>
      </c>
      <c r="T3266" s="7" t="str">
        <f>VLOOKUP(A3266,Sheet2!$A$2:$R$3432,17,0)</f>
        <v/>
      </c>
    </row>
    <row r="3267" ht="15.75" customHeight="1">
      <c r="A3267" s="3" t="s">
        <v>3290</v>
      </c>
      <c r="B3267" s="4" t="str">
        <f>VLOOKUP(A3267,Sheet2!$A$2:$R$3432,2,0)</f>
        <v>2025-07-18 20:27:42</v>
      </c>
      <c r="C3267" s="5" t="s">
        <v>25</v>
      </c>
      <c r="D3267" s="6" t="s">
        <v>25</v>
      </c>
      <c r="E3267" s="7">
        <f>VLOOKUP(A3267,Sheet2!$A$2:$R$3432,4,0)</f>
        <v>9762463668</v>
      </c>
      <c r="F3267" s="7" t="str">
        <f>VLOOKUP(A3267,Sheet2!$A$2:$R$3432,3,0)</f>
        <v>Nikhil Kadam</v>
      </c>
      <c r="G3267" s="5" t="s">
        <v>25</v>
      </c>
      <c r="H3267" s="5" t="s">
        <v>25</v>
      </c>
      <c r="I3267" s="5" t="s">
        <v>25</v>
      </c>
      <c r="J3267" s="5" t="s">
        <v>25</v>
      </c>
      <c r="K3267" s="7" t="str">
        <f>VLOOKUP(A3267,Sheet2!$A$2:$R$3432,6,0)</f>
        <v>Hero Splendor </v>
      </c>
      <c r="L3267" s="5" t="s">
        <v>25</v>
      </c>
      <c r="M3267" s="7" t="str">
        <f>VLOOKUP(A3267,Sheet2!$A$2:$R$3432,5,0)</f>
        <v>MH14AU1699</v>
      </c>
      <c r="N3267" s="5" t="s">
        <v>25</v>
      </c>
      <c r="O3267" s="5" t="s">
        <v>25</v>
      </c>
      <c r="P3267" s="6" t="s">
        <v>25</v>
      </c>
      <c r="Q3267" s="5" t="s">
        <v>25</v>
      </c>
      <c r="R3267" s="5" t="s">
        <v>25</v>
      </c>
      <c r="S3267" s="7" t="str">
        <f>VLOOKUP(A3267,Sheet2!$A$2:$R$3432,18,0)</f>
        <v/>
      </c>
      <c r="T3267" s="7" t="str">
        <f>VLOOKUP(A3267,Sheet2!$A$2:$R$3432,17,0)</f>
        <v/>
      </c>
    </row>
    <row r="3268" ht="15.75" customHeight="1">
      <c r="A3268" s="3" t="s">
        <v>3291</v>
      </c>
      <c r="B3268" s="4" t="str">
        <f>VLOOKUP(A3268,Sheet2!$A$2:$R$3432,2,0)</f>
        <v>2025-07-18 20:27:58</v>
      </c>
      <c r="C3268" s="5" t="s">
        <v>25</v>
      </c>
      <c r="D3268" s="6" t="s">
        <v>25</v>
      </c>
      <c r="E3268" s="7">
        <f>VLOOKUP(A3268,Sheet2!$A$2:$R$3432,4,0)</f>
        <v>9479244339</v>
      </c>
      <c r="F3268" s="7" t="str">
        <f>VLOOKUP(A3268,Sheet2!$A$2:$R$3432,3,0)</f>
        <v>SUBODH</v>
      </c>
      <c r="G3268" s="5" t="s">
        <v>25</v>
      </c>
      <c r="H3268" s="5" t="s">
        <v>25</v>
      </c>
      <c r="I3268" s="5" t="s">
        <v>25</v>
      </c>
      <c r="J3268" s="5" t="s">
        <v>25</v>
      </c>
      <c r="K3268" s="7" t="str">
        <f>VLOOKUP(A3268,Sheet2!$A$2:$R$3432,6,0)</f>
        <v>Hero Splendor Plus</v>
      </c>
      <c r="L3268" s="5" t="s">
        <v>25</v>
      </c>
      <c r="M3268" s="7" t="str">
        <f>VLOOKUP(A3268,Sheet2!$A$2:$R$3432,5,0)</f>
        <v>CG12AP6416</v>
      </c>
      <c r="N3268" s="5" t="s">
        <v>25</v>
      </c>
      <c r="O3268" s="5" t="s">
        <v>25</v>
      </c>
      <c r="P3268" s="6" t="s">
        <v>25</v>
      </c>
      <c r="Q3268" s="5" t="s">
        <v>25</v>
      </c>
      <c r="R3268" s="5" t="s">
        <v>25</v>
      </c>
      <c r="S3268" s="5" t="str">
        <f>VLOOKUP(A3268,Sheet2!$A$2:$R$3432,18,0)</f>
        <v>HA10ERG042352</v>
      </c>
      <c r="T3268" s="7" t="str">
        <f>VLOOKUP(A3268,Sheet2!$A$2:$R$3432,17,0)</f>
        <v/>
      </c>
    </row>
    <row r="3269" ht="15.75" customHeight="1">
      <c r="A3269" s="3" t="s">
        <v>3292</v>
      </c>
      <c r="B3269" s="4" t="str">
        <f>VLOOKUP(A3269,Sheet2!$A$2:$R$3432,2,0)</f>
        <v>2025-07-18 20:27:09</v>
      </c>
      <c r="C3269" s="5" t="s">
        <v>25</v>
      </c>
      <c r="D3269" s="6" t="s">
        <v>25</v>
      </c>
      <c r="E3269" s="7">
        <f>VLOOKUP(A3269,Sheet2!$A$2:$R$3432,4,0)</f>
        <v>7709901151</v>
      </c>
      <c r="F3269" s="7" t="str">
        <f>VLOOKUP(A3269,Sheet2!$A$2:$R$3432,3,0)</f>
        <v>ABHISHEK MURAI</v>
      </c>
      <c r="G3269" s="5" t="s">
        <v>25</v>
      </c>
      <c r="H3269" s="5" t="s">
        <v>25</v>
      </c>
      <c r="I3269" s="5" t="s">
        <v>25</v>
      </c>
      <c r="J3269" s="5" t="s">
        <v>25</v>
      </c>
      <c r="K3269" s="7" t="str">
        <f>VLOOKUP(A3269,Sheet2!$A$2:$R$3432,6,0)</f>
        <v>Honda Activa HET</v>
      </c>
      <c r="L3269" s="5" t="s">
        <v>25</v>
      </c>
      <c r="M3269" s="7" t="str">
        <f>VLOOKUP(A3269,Sheet2!$A$2:$R$3432,5,0)</f>
        <v>MH14EN5336</v>
      </c>
      <c r="N3269" s="5" t="s">
        <v>25</v>
      </c>
      <c r="O3269" s="5" t="s">
        <v>25</v>
      </c>
      <c r="P3269" s="6" t="s">
        <v>25</v>
      </c>
      <c r="Q3269" s="5" t="s">
        <v>25</v>
      </c>
      <c r="R3269" s="5" t="s">
        <v>25</v>
      </c>
      <c r="S3269" s="5" t="str">
        <f>VLOOKUP(A3269,Sheet2!$A$2:$R$3432,18,0)</f>
        <v>JF50T1264222</v>
      </c>
      <c r="T3269" s="7" t="str">
        <f>VLOOKUP(A3269,Sheet2!$A$2:$R$3432,17,0)</f>
        <v>ME4JF502HET262465</v>
      </c>
    </row>
    <row r="3270" ht="15.75" customHeight="1">
      <c r="A3270" s="3" t="s">
        <v>3293</v>
      </c>
      <c r="B3270" s="4" t="str">
        <f>VLOOKUP(A3270,Sheet2!$A$2:$R$3432,2,0)</f>
        <v>2025-07-18 20:28:12</v>
      </c>
      <c r="C3270" s="5" t="s">
        <v>25</v>
      </c>
      <c r="D3270" s="6" t="s">
        <v>25</v>
      </c>
      <c r="E3270" s="7">
        <f>VLOOKUP(A3270,Sheet2!$A$2:$R$3432,4,0)</f>
        <v>8805213456</v>
      </c>
      <c r="F3270" s="7" t="str">
        <f>VLOOKUP(A3270,Sheet2!$A$2:$R$3432,3,0)</f>
        <v>Prabhakar Bankar</v>
      </c>
      <c r="G3270" s="5" t="s">
        <v>25</v>
      </c>
      <c r="H3270" s="5" t="s">
        <v>25</v>
      </c>
      <c r="I3270" s="5" t="s">
        <v>25</v>
      </c>
      <c r="J3270" s="5" t="s">
        <v>25</v>
      </c>
      <c r="K3270" s="7" t="str">
        <f>VLOOKUP(A3270,Sheet2!$A$2:$R$3432,6,0)</f>
        <v>Honda Activa Old</v>
      </c>
      <c r="L3270" s="5" t="s">
        <v>25</v>
      </c>
      <c r="M3270" s="7" t="str">
        <f>VLOOKUP(A3270,Sheet2!$A$2:$R$3432,5,0)</f>
        <v>MH14BL1037</v>
      </c>
      <c r="N3270" s="5" t="s">
        <v>25</v>
      </c>
      <c r="O3270" s="5" t="s">
        <v>25</v>
      </c>
      <c r="P3270" s="6" t="s">
        <v>25</v>
      </c>
      <c r="Q3270" s="5" t="s">
        <v>25</v>
      </c>
      <c r="R3270" s="5" t="s">
        <v>25</v>
      </c>
      <c r="S3270" s="7" t="str">
        <f>VLOOKUP(A3270,Sheet2!$A$2:$R$3432,18,0)</f>
        <v/>
      </c>
      <c r="T3270" s="7" t="str">
        <f>VLOOKUP(A3270,Sheet2!$A$2:$R$3432,17,0)</f>
        <v>RUSTY FRAME</v>
      </c>
    </row>
    <row r="3271" ht="15.75" customHeight="1">
      <c r="A3271" s="3" t="s">
        <v>3294</v>
      </c>
      <c r="B3271" s="4" t="str">
        <f>VLOOKUP(A3271,Sheet2!$A$2:$R$3432,2,0)</f>
        <v>2025-07-18 20:26:00</v>
      </c>
      <c r="C3271" s="5" t="s">
        <v>25</v>
      </c>
      <c r="D3271" s="6" t="s">
        <v>25</v>
      </c>
      <c r="E3271" s="7">
        <f>VLOOKUP(A3271,Sheet2!$A$2:$R$3432,4,0)</f>
        <v>9028473684</v>
      </c>
      <c r="F3271" s="7" t="str">
        <f>VLOOKUP(A3271,Sheet2!$A$2:$R$3432,3,0)</f>
        <v>AKASH</v>
      </c>
      <c r="G3271" s="5" t="s">
        <v>25</v>
      </c>
      <c r="H3271" s="5" t="s">
        <v>25</v>
      </c>
      <c r="I3271" s="5" t="s">
        <v>25</v>
      </c>
      <c r="J3271" s="5" t="s">
        <v>25</v>
      </c>
      <c r="K3271" s="7" t="str">
        <f>VLOOKUP(A3271,Sheet2!$A$2:$R$3432,6,0)</f>
        <v>Yamaha Alpha </v>
      </c>
      <c r="L3271" s="5" t="s">
        <v>25</v>
      </c>
      <c r="M3271" s="7" t="str">
        <f>VLOOKUP(A3271,Sheet2!$A$2:$R$3432,5,0)</f>
        <v>MH06BK5965</v>
      </c>
      <c r="N3271" s="5" t="s">
        <v>25</v>
      </c>
      <c r="O3271" s="5" t="s">
        <v>25</v>
      </c>
      <c r="P3271" s="6" t="s">
        <v>25</v>
      </c>
      <c r="Q3271" s="5" t="s">
        <v>25</v>
      </c>
      <c r="R3271" s="5" t="s">
        <v>25</v>
      </c>
      <c r="S3271" s="5" t="str">
        <f>VLOOKUP(A3271,Sheet2!$A$2:$R$3432,18,0)</f>
        <v>E3N7ED032578</v>
      </c>
      <c r="T3271" s="7" t="str">
        <f>VLOOKUP(A3271,Sheet2!$A$2:$R$3432,17,0)</f>
        <v>RUSTY FRAME </v>
      </c>
    </row>
    <row r="3272" ht="15.75" customHeight="1">
      <c r="A3272" s="3" t="s">
        <v>3295</v>
      </c>
      <c r="B3272" s="4" t="str">
        <f>VLOOKUP(A3272,Sheet2!$A$2:$R$3432,2,0)</f>
        <v>2025-07-18 20:26:36</v>
      </c>
      <c r="C3272" s="5" t="s">
        <v>25</v>
      </c>
      <c r="D3272" s="6" t="s">
        <v>25</v>
      </c>
      <c r="E3272" s="7">
        <f>VLOOKUP(A3272,Sheet2!$A$2:$R$3432,4,0)</f>
        <v>9769228974</v>
      </c>
      <c r="F3272" s="7" t="str">
        <f>VLOOKUP(A3272,Sheet2!$A$2:$R$3432,3,0)</f>
        <v>SWATI JOSHI</v>
      </c>
      <c r="G3272" s="5" t="s">
        <v>25</v>
      </c>
      <c r="H3272" s="5" t="s">
        <v>25</v>
      </c>
      <c r="I3272" s="5" t="s">
        <v>25</v>
      </c>
      <c r="J3272" s="5" t="s">
        <v>25</v>
      </c>
      <c r="K3272" s="7" t="str">
        <f>VLOOKUP(A3272,Sheet2!$A$2:$R$3432,6,0)</f>
        <v>Honda Activa 5G</v>
      </c>
      <c r="L3272" s="5" t="s">
        <v>25</v>
      </c>
      <c r="M3272" s="7" t="str">
        <f>VLOOKUP(A3272,Sheet2!$A$2:$R$3432,5,0)</f>
        <v>MH14HP4933</v>
      </c>
      <c r="N3272" s="5" t="s">
        <v>25</v>
      </c>
      <c r="O3272" s="5" t="s">
        <v>25</v>
      </c>
      <c r="P3272" s="6" t="s">
        <v>25</v>
      </c>
      <c r="Q3272" s="5" t="s">
        <v>25</v>
      </c>
      <c r="R3272" s="5" t="s">
        <v>25</v>
      </c>
      <c r="S3272" s="7" t="str">
        <f>VLOOKUP(A3272,Sheet2!$A$2:$R$3432,18,0)</f>
        <v/>
      </c>
      <c r="T3272" s="7" t="str">
        <f>VLOOKUP(A3272,Sheet2!$A$2:$R$3432,17,0)</f>
        <v/>
      </c>
    </row>
    <row r="3273" ht="15.75" customHeight="1">
      <c r="A3273" s="3" t="s">
        <v>3296</v>
      </c>
      <c r="B3273" s="4" t="str">
        <f>VLOOKUP(A3273,Sheet2!$A$2:$R$3432,2,0)</f>
        <v>2025-07-18 20:25:26</v>
      </c>
      <c r="C3273" s="5" t="s">
        <v>25</v>
      </c>
      <c r="D3273" s="6" t="s">
        <v>25</v>
      </c>
      <c r="E3273" s="7">
        <f>VLOOKUP(A3273,Sheet2!$A$2:$R$3432,4,0)</f>
        <v>9359574773</v>
      </c>
      <c r="F3273" s="7" t="str">
        <f>VLOOKUP(A3273,Sheet2!$A$2:$R$3432,3,0)</f>
        <v>TUKARAM</v>
      </c>
      <c r="G3273" s="5" t="s">
        <v>25</v>
      </c>
      <c r="H3273" s="5" t="s">
        <v>25</v>
      </c>
      <c r="I3273" s="5" t="s">
        <v>25</v>
      </c>
      <c r="J3273" s="5" t="s">
        <v>25</v>
      </c>
      <c r="K3273" s="7" t="str">
        <f>VLOOKUP(A3273,Sheet2!$A$2:$R$3432,6,0)</f>
        <v>Honda Activa 3G</v>
      </c>
      <c r="L3273" s="5" t="s">
        <v>25</v>
      </c>
      <c r="M3273" s="7" t="str">
        <f>VLOOKUP(A3273,Sheet2!$A$2:$R$3432,5,0)</f>
        <v>MH12MT2270</v>
      </c>
      <c r="N3273" s="5" t="s">
        <v>25</v>
      </c>
      <c r="O3273" s="5" t="s">
        <v>25</v>
      </c>
      <c r="P3273" s="6" t="s">
        <v>25</v>
      </c>
      <c r="Q3273" s="5" t="s">
        <v>25</v>
      </c>
      <c r="R3273" s="5" t="s">
        <v>25</v>
      </c>
      <c r="S3273" s="5" t="str">
        <f>VLOOKUP(A3273,Sheet2!$A$2:$R$3432,18,0)</f>
        <v>JF50ET3074447</v>
      </c>
      <c r="T3273" s="7" t="str">
        <f>VLOOKUP(A3273,Sheet2!$A$2:$R$3432,17,0)</f>
        <v>ME4JF505BGT074097</v>
      </c>
    </row>
    <row r="3274" ht="15.75" customHeight="1">
      <c r="A3274" s="3" t="s">
        <v>3297</v>
      </c>
      <c r="B3274" s="4" t="str">
        <f>VLOOKUP(A3274,Sheet2!$A$2:$R$3432,2,0)</f>
        <v>2025-07-18 20:26:49</v>
      </c>
      <c r="C3274" s="5" t="s">
        <v>25</v>
      </c>
      <c r="D3274" s="6" t="s">
        <v>25</v>
      </c>
      <c r="E3274" s="7">
        <f>VLOOKUP(A3274,Sheet2!$A$2:$R$3432,4,0)</f>
        <v>8446142636</v>
      </c>
      <c r="F3274" s="7" t="str">
        <f>VLOOKUP(A3274,Sheet2!$A$2:$R$3432,3,0)</f>
        <v>Harshad Kapse</v>
      </c>
      <c r="G3274" s="5" t="s">
        <v>25</v>
      </c>
      <c r="H3274" s="5" t="s">
        <v>25</v>
      </c>
      <c r="I3274" s="5" t="s">
        <v>25</v>
      </c>
      <c r="J3274" s="5" t="s">
        <v>25</v>
      </c>
      <c r="K3274" s="7" t="str">
        <f>VLOOKUP(A3274,Sheet2!$A$2:$R$3432,6,0)</f>
        <v>Honda Activa 125</v>
      </c>
      <c r="L3274" s="5" t="s">
        <v>25</v>
      </c>
      <c r="M3274" s="7" t="str">
        <f>VLOOKUP(A3274,Sheet2!$A$2:$R$3432,5,0)</f>
        <v>MH14KV2655</v>
      </c>
      <c r="N3274" s="5" t="s">
        <v>25</v>
      </c>
      <c r="O3274" s="5" t="s">
        <v>25</v>
      </c>
      <c r="P3274" s="6" t="s">
        <v>25</v>
      </c>
      <c r="Q3274" s="5" t="s">
        <v>25</v>
      </c>
      <c r="R3274" s="5" t="s">
        <v>25</v>
      </c>
      <c r="S3274" s="7" t="str">
        <f>VLOOKUP(A3274,Sheet2!$A$2:$R$3432,18,0)</f>
        <v/>
      </c>
      <c r="T3274" s="7" t="str">
        <f>VLOOKUP(A3274,Sheet2!$A$2:$R$3432,17,0)</f>
        <v/>
      </c>
    </row>
    <row r="3275" ht="15.75" customHeight="1">
      <c r="A3275" s="3" t="s">
        <v>3298</v>
      </c>
      <c r="B3275" s="4" t="str">
        <f>VLOOKUP(A3275,Sheet2!$A$2:$R$3432,2,0)</f>
        <v>2025-07-18 20:28:37</v>
      </c>
      <c r="C3275" s="5" t="s">
        <v>25</v>
      </c>
      <c r="D3275" s="6" t="s">
        <v>25</v>
      </c>
      <c r="E3275" s="7">
        <f>VLOOKUP(A3275,Sheet2!$A$2:$R$3432,4,0)</f>
        <v>9552115219</v>
      </c>
      <c r="F3275" s="7" t="str">
        <f>VLOOKUP(A3275,Sheet2!$A$2:$R$3432,3,0)</f>
        <v>Parma</v>
      </c>
      <c r="G3275" s="5" t="s">
        <v>25</v>
      </c>
      <c r="H3275" s="5" t="s">
        <v>25</v>
      </c>
      <c r="I3275" s="5" t="s">
        <v>25</v>
      </c>
      <c r="J3275" s="5" t="s">
        <v>25</v>
      </c>
      <c r="K3275" s="7" t="str">
        <f>VLOOKUP(A3275,Sheet2!$A$2:$R$3432,6,0)</f>
        <v>TVS Jupiter 125</v>
      </c>
      <c r="L3275" s="5" t="s">
        <v>25</v>
      </c>
      <c r="M3275" s="7" t="str">
        <f>VLOOKUP(A3275,Sheet2!$A$2:$R$3432,5,0)</f>
        <v>MH14KG4139</v>
      </c>
      <c r="N3275" s="5" t="s">
        <v>25</v>
      </c>
      <c r="O3275" s="5" t="s">
        <v>25</v>
      </c>
      <c r="P3275" s="6" t="s">
        <v>25</v>
      </c>
      <c r="Q3275" s="5" t="s">
        <v>25</v>
      </c>
      <c r="R3275" s="5" t="s">
        <v>25</v>
      </c>
      <c r="S3275" s="5" t="str">
        <f>VLOOKUP(A3275,Sheet2!$A$2:$R$3432,18,0)</f>
        <v>3K4GN1004505</v>
      </c>
      <c r="T3275" s="7" t="str">
        <f>VLOOKUP(A3275,Sheet2!$A$2:$R$3432,17,0)</f>
        <v>MD626A548N1G04678</v>
      </c>
    </row>
    <row r="3276" ht="15.75" customHeight="1">
      <c r="A3276" s="3" t="s">
        <v>3299</v>
      </c>
      <c r="B3276" s="4" t="str">
        <f>VLOOKUP(A3276,Sheet2!$A$2:$R$3432,2,0)</f>
        <v>2025-07-18 20:28:54</v>
      </c>
      <c r="C3276" s="5" t="s">
        <v>25</v>
      </c>
      <c r="D3276" s="6" t="s">
        <v>25</v>
      </c>
      <c r="E3276" s="7">
        <f>VLOOKUP(A3276,Sheet2!$A$2:$R$3432,4,0)</f>
        <v>7073828883</v>
      </c>
      <c r="F3276" s="7" t="str">
        <f>VLOOKUP(A3276,Sheet2!$A$2:$R$3432,3,0)</f>
        <v>Kunal</v>
      </c>
      <c r="G3276" s="5" t="s">
        <v>25</v>
      </c>
      <c r="H3276" s="5" t="s">
        <v>25</v>
      </c>
      <c r="I3276" s="5" t="s">
        <v>25</v>
      </c>
      <c r="J3276" s="5" t="s">
        <v>25</v>
      </c>
      <c r="K3276" s="7" t="str">
        <f>VLOOKUP(A3276,Sheet2!$A$2:$R$3432,6,0)</f>
        <v>Bajaj Dominar 400</v>
      </c>
      <c r="L3276" s="5" t="s">
        <v>25</v>
      </c>
      <c r="M3276" s="7" t="str">
        <f>VLOOKUP(A3276,Sheet2!$A$2:$R$3432,5,0)</f>
        <v>MH14JD2402</v>
      </c>
      <c r="N3276" s="5" t="s">
        <v>25</v>
      </c>
      <c r="O3276" s="5" t="s">
        <v>25</v>
      </c>
      <c r="P3276" s="6" t="s">
        <v>25</v>
      </c>
      <c r="Q3276" s="5" t="s">
        <v>25</v>
      </c>
      <c r="R3276" s="5" t="s">
        <v>25</v>
      </c>
      <c r="S3276" s="7" t="str">
        <f>VLOOKUP(A3276,Sheet2!$A$2:$R$3432,18,0)</f>
        <v/>
      </c>
      <c r="T3276" s="7" t="str">
        <f>VLOOKUP(A3276,Sheet2!$A$2:$R$3432,17,0)</f>
        <v/>
      </c>
    </row>
    <row r="3277" ht="15.75" customHeight="1">
      <c r="A3277" s="3" t="s">
        <v>3300</v>
      </c>
      <c r="B3277" s="4" t="str">
        <f>VLOOKUP(A3277,Sheet2!$A$2:$R$3432,2,0)</f>
        <v>2025-07-18 20:45:13</v>
      </c>
      <c r="C3277" s="5" t="s">
        <v>25</v>
      </c>
      <c r="D3277" s="6" t="s">
        <v>25</v>
      </c>
      <c r="E3277" s="7">
        <f>VLOOKUP(A3277,Sheet2!$A$2:$R$3432,4,0)</f>
        <v>8446479842</v>
      </c>
      <c r="F3277" s="7" t="str">
        <f>VLOOKUP(A3277,Sheet2!$A$2:$R$3432,3,0)</f>
        <v>Pratik</v>
      </c>
      <c r="G3277" s="5" t="s">
        <v>25</v>
      </c>
      <c r="H3277" s="5" t="s">
        <v>25</v>
      </c>
      <c r="I3277" s="5" t="s">
        <v>25</v>
      </c>
      <c r="J3277" s="5" t="s">
        <v>25</v>
      </c>
      <c r="K3277" s="7" t="str">
        <f>VLOOKUP(A3277,Sheet2!$A$2:$R$3432,6,0)</f>
        <v>Bajaj Avenger 220 Cruise</v>
      </c>
      <c r="L3277" s="5" t="s">
        <v>25</v>
      </c>
      <c r="M3277" s="7" t="str">
        <f>VLOOKUP(A3277,Sheet2!$A$2:$R$3432,5,0)</f>
        <v>MH20ER3542</v>
      </c>
      <c r="N3277" s="5" t="s">
        <v>25</v>
      </c>
      <c r="O3277" s="5" t="s">
        <v>25</v>
      </c>
      <c r="P3277" s="6" t="s">
        <v>25</v>
      </c>
      <c r="Q3277" s="5" t="s">
        <v>25</v>
      </c>
      <c r="R3277" s="5" t="s">
        <v>25</v>
      </c>
      <c r="S3277" s="5" t="str">
        <f>VLOOKUP(A3277,Sheet2!$A$2:$R$3432,18,0)</f>
        <v>PDJCHU19744</v>
      </c>
      <c r="T3277" s="7" t="str">
        <f>VLOOKUP(A3277,Sheet2!$A$2:$R$3432,17,0)</f>
        <v>MDZAZ2E79HCD04847</v>
      </c>
    </row>
    <row r="3278" ht="15.75" customHeight="1">
      <c r="A3278" s="3" t="s">
        <v>3301</v>
      </c>
      <c r="B3278" s="4" t="str">
        <f>VLOOKUP(A3278,Sheet2!$A$2:$R$3432,2,0)</f>
        <v>2025-07-25 20:32:21</v>
      </c>
      <c r="C3278" s="5" t="s">
        <v>25</v>
      </c>
      <c r="D3278" s="6" t="s">
        <v>25</v>
      </c>
      <c r="E3278" s="7">
        <f>VLOOKUP(A3278,Sheet2!$A$2:$R$3432,4,0)</f>
        <v>9130148459</v>
      </c>
      <c r="F3278" s="7" t="str">
        <f>VLOOKUP(A3278,Sheet2!$A$2:$R$3432,3,0)</f>
        <v>Pawan</v>
      </c>
      <c r="G3278" s="5" t="s">
        <v>25</v>
      </c>
      <c r="H3278" s="5" t="s">
        <v>25</v>
      </c>
      <c r="I3278" s="5" t="s">
        <v>25</v>
      </c>
      <c r="J3278" s="5" t="s">
        <v>25</v>
      </c>
      <c r="K3278" s="7" t="str">
        <f>VLOOKUP(A3278,Sheet2!$A$2:$R$3432,6,0)</f>
        <v>Honda SP 125 Drum</v>
      </c>
      <c r="L3278" s="5" t="s">
        <v>25</v>
      </c>
      <c r="M3278" s="7" t="str">
        <f>VLOOKUP(A3278,Sheet2!$A$2:$R$3432,5,0)</f>
        <v>MH29BU5610</v>
      </c>
      <c r="N3278" s="5" t="s">
        <v>25</v>
      </c>
      <c r="O3278" s="5" t="s">
        <v>25</v>
      </c>
      <c r="P3278" s="6" t="s">
        <v>25</v>
      </c>
      <c r="Q3278" s="5" t="s">
        <v>25</v>
      </c>
      <c r="R3278" s="5" t="s">
        <v>25</v>
      </c>
      <c r="S3278" s="5" t="str">
        <f>VLOOKUP(A3278,Sheet2!$A$2:$R$3432,18,0)</f>
        <v>JC83EG2179233</v>
      </c>
      <c r="T3278" s="7" t="str">
        <f>VLOOKUP(A3278,Sheet2!$A$2:$R$3432,17,0)</f>
        <v>ME4JC83CLMG011111</v>
      </c>
    </row>
    <row r="3279" ht="15.75" customHeight="1">
      <c r="A3279" s="3" t="s">
        <v>3302</v>
      </c>
      <c r="B3279" s="4" t="str">
        <f>VLOOKUP(A3279,Sheet2!$A$2:$R$3432,2,0)</f>
        <v>2025-07-25 10:11:51</v>
      </c>
      <c r="C3279" s="5" t="s">
        <v>25</v>
      </c>
      <c r="D3279" s="6" t="s">
        <v>25</v>
      </c>
      <c r="E3279" s="7">
        <f>VLOOKUP(A3279,Sheet2!$A$2:$R$3432,4,0)</f>
        <v>9881544172</v>
      </c>
      <c r="F3279" s="7" t="str">
        <f>VLOOKUP(A3279,Sheet2!$A$2:$R$3432,3,0)</f>
        <v>Gopal</v>
      </c>
      <c r="G3279" s="5" t="s">
        <v>25</v>
      </c>
      <c r="H3279" s="5" t="s">
        <v>25</v>
      </c>
      <c r="I3279" s="5" t="s">
        <v>25</v>
      </c>
      <c r="J3279" s="5" t="s">
        <v>25</v>
      </c>
      <c r="K3279" s="7" t="str">
        <f>VLOOKUP(A3279,Sheet2!$A$2:$R$3432,6,0)</f>
        <v>Yamaha R15 No Data</v>
      </c>
      <c r="L3279" s="5" t="s">
        <v>25</v>
      </c>
      <c r="M3279" s="7" t="str">
        <f>VLOOKUP(A3279,Sheet2!$A$2:$R$3432,5,0)</f>
        <v>MH20FQ4212</v>
      </c>
      <c r="N3279" s="5" t="s">
        <v>25</v>
      </c>
      <c r="O3279" s="5" t="s">
        <v>25</v>
      </c>
      <c r="P3279" s="6" t="s">
        <v>25</v>
      </c>
      <c r="Q3279" s="5" t="s">
        <v>25</v>
      </c>
      <c r="R3279" s="5" t="s">
        <v>25</v>
      </c>
      <c r="S3279" s="7" t="str">
        <f>VLOOKUP(A3279,Sheet2!$A$2:$R$3432,18,0)</f>
        <v/>
      </c>
      <c r="T3279" s="7" t="str">
        <f>VLOOKUP(A3279,Sheet2!$A$2:$R$3432,17,0)</f>
        <v/>
      </c>
    </row>
    <row r="3280" ht="15.75" customHeight="1">
      <c r="A3280" s="3" t="s">
        <v>3303</v>
      </c>
      <c r="B3280" s="4" t="str">
        <f>VLOOKUP(A3280,Sheet2!$A$2:$R$3432,2,0)</f>
        <v>2025-07-25 20:31:30</v>
      </c>
      <c r="C3280" s="5" t="s">
        <v>25</v>
      </c>
      <c r="D3280" s="6" t="s">
        <v>25</v>
      </c>
      <c r="E3280" s="7">
        <f>VLOOKUP(A3280,Sheet2!$A$2:$R$3432,4,0)</f>
        <v>9423306423</v>
      </c>
      <c r="F3280" s="7" t="str">
        <f>VLOOKUP(A3280,Sheet2!$A$2:$R$3432,3,0)</f>
        <v>ANIKET</v>
      </c>
      <c r="G3280" s="5" t="s">
        <v>25</v>
      </c>
      <c r="H3280" s="5" t="s">
        <v>25</v>
      </c>
      <c r="I3280" s="5" t="s">
        <v>25</v>
      </c>
      <c r="J3280" s="5" t="s">
        <v>25</v>
      </c>
      <c r="K3280" s="7" t="str">
        <f>VLOOKUP(A3280,Sheet2!$A$2:$R$3432,6,0)</f>
        <v>Honda Activa 110</v>
      </c>
      <c r="L3280" s="5" t="s">
        <v>25</v>
      </c>
      <c r="M3280" s="7" t="str">
        <f>VLOOKUP(A3280,Sheet2!$A$2:$R$3432,5,0)</f>
        <v>MH12KB1463</v>
      </c>
      <c r="N3280" s="5" t="s">
        <v>25</v>
      </c>
      <c r="O3280" s="5" t="s">
        <v>25</v>
      </c>
      <c r="P3280" s="6" t="s">
        <v>25</v>
      </c>
      <c r="Q3280" s="5" t="s">
        <v>25</v>
      </c>
      <c r="R3280" s="5" t="s">
        <v>25</v>
      </c>
      <c r="S3280" s="5" t="str">
        <f>VLOOKUP(A3280,Sheet2!$A$2:$R$3432,18,0)</f>
        <v>JF50E80244105</v>
      </c>
      <c r="T3280" s="7" t="str">
        <f>VLOOKUP(A3280,Sheet2!$A$2:$R$3432,17,0)</f>
        <v>ME4JF301ED8344780</v>
      </c>
    </row>
    <row r="3281" ht="15.75" customHeight="1">
      <c r="A3281" s="3" t="s">
        <v>3304</v>
      </c>
      <c r="B3281" s="4" t="str">
        <f>VLOOKUP(A3281,Sheet2!$A$2:$R$3432,2,0)</f>
        <v>2025-07-25 20:32:42</v>
      </c>
      <c r="C3281" s="5" t="s">
        <v>25</v>
      </c>
      <c r="D3281" s="6" t="s">
        <v>25</v>
      </c>
      <c r="E3281" s="7">
        <f>VLOOKUP(A3281,Sheet2!$A$2:$R$3432,4,0)</f>
        <v>8055469275</v>
      </c>
      <c r="F3281" s="7" t="str">
        <f>VLOOKUP(A3281,Sheet2!$A$2:$R$3432,3,0)</f>
        <v>Avinash Jadhav</v>
      </c>
      <c r="G3281" s="5" t="s">
        <v>25</v>
      </c>
      <c r="H3281" s="5" t="s">
        <v>25</v>
      </c>
      <c r="I3281" s="5" t="s">
        <v>25</v>
      </c>
      <c r="J3281" s="5" t="s">
        <v>25</v>
      </c>
      <c r="K3281" s="7" t="str">
        <f>VLOOKUP(A3281,Sheet2!$A$2:$R$3432,6,0)</f>
        <v>Suzuki Access 125</v>
      </c>
      <c r="L3281" s="5" t="s">
        <v>25</v>
      </c>
      <c r="M3281" s="7" t="str">
        <f>VLOOKUP(A3281,Sheet2!$A$2:$R$3432,5,0)</f>
        <v>MH14KE6490</v>
      </c>
      <c r="N3281" s="5" t="s">
        <v>25</v>
      </c>
      <c r="O3281" s="5" t="s">
        <v>25</v>
      </c>
      <c r="P3281" s="6" t="s">
        <v>25</v>
      </c>
      <c r="Q3281" s="5" t="s">
        <v>25</v>
      </c>
      <c r="R3281" s="5" t="s">
        <v>25</v>
      </c>
      <c r="S3281" s="5" t="str">
        <f>VLOOKUP(A3281,Sheet2!$A$2:$R$3432,18,0)</f>
        <v>AF217112674</v>
      </c>
      <c r="T3281" s="7" t="str">
        <f>VLOOKUP(A3281,Sheet2!$A$2:$R$3432,17,0)</f>
        <v>MB8DP12DFNBC16772</v>
      </c>
    </row>
    <row r="3282" ht="15.75" customHeight="1">
      <c r="A3282" s="3" t="s">
        <v>3305</v>
      </c>
      <c r="B3282" s="4" t="str">
        <f>VLOOKUP(A3282,Sheet2!$A$2:$R$3432,2,0)</f>
        <v>2025-07-25 20:31:43</v>
      </c>
      <c r="C3282" s="5" t="s">
        <v>25</v>
      </c>
      <c r="D3282" s="6" t="s">
        <v>25</v>
      </c>
      <c r="E3282" s="7">
        <f>VLOOKUP(A3282,Sheet2!$A$2:$R$3432,4,0)</f>
        <v>8446115032</v>
      </c>
      <c r="F3282" s="7" t="str">
        <f>VLOOKUP(A3282,Sheet2!$A$2:$R$3432,3,0)</f>
        <v>Laxman Dotre </v>
      </c>
      <c r="G3282" s="5" t="s">
        <v>25</v>
      </c>
      <c r="H3282" s="5" t="s">
        <v>25</v>
      </c>
      <c r="I3282" s="5" t="s">
        <v>25</v>
      </c>
      <c r="J3282" s="5" t="s">
        <v>25</v>
      </c>
      <c r="K3282" s="7" t="str">
        <f>VLOOKUP(A3282,Sheet2!$A$2:$R$3432,6,0)</f>
        <v>TVS Jupiter </v>
      </c>
      <c r="L3282" s="5" t="s">
        <v>25</v>
      </c>
      <c r="M3282" s="7" t="str">
        <f>VLOOKUP(A3282,Sheet2!$A$2:$R$3432,5,0)</f>
        <v>MH12M6492</v>
      </c>
      <c r="N3282" s="5" t="s">
        <v>25</v>
      </c>
      <c r="O3282" s="5" t="s">
        <v>25</v>
      </c>
      <c r="P3282" s="6" t="s">
        <v>25</v>
      </c>
      <c r="Q3282" s="5" t="s">
        <v>25</v>
      </c>
      <c r="R3282" s="5" t="s">
        <v>25</v>
      </c>
      <c r="S3282" s="7" t="str">
        <f>VLOOKUP(A3282,Sheet2!$A$2:$R$3432,18,0)</f>
        <v/>
      </c>
      <c r="T3282" s="7" t="str">
        <f>VLOOKUP(A3282,Sheet2!$A$2:$R$3432,17,0)</f>
        <v/>
      </c>
    </row>
    <row r="3283" ht="15.75" customHeight="1">
      <c r="A3283" s="3" t="s">
        <v>3306</v>
      </c>
      <c r="B3283" s="4" t="str">
        <f>VLOOKUP(A3283,Sheet2!$A$2:$R$3432,2,0)</f>
        <v>2025-07-25 20:31:59</v>
      </c>
      <c r="C3283" s="5" t="s">
        <v>25</v>
      </c>
      <c r="D3283" s="6" t="s">
        <v>25</v>
      </c>
      <c r="E3283" s="7">
        <f>VLOOKUP(A3283,Sheet2!$A$2:$R$3432,4,0)</f>
        <v>9689901230</v>
      </c>
      <c r="F3283" s="7" t="str">
        <f>VLOOKUP(A3283,Sheet2!$A$2:$R$3432,3,0)</f>
        <v>Ahire</v>
      </c>
      <c r="G3283" s="5" t="s">
        <v>25</v>
      </c>
      <c r="H3283" s="5" t="s">
        <v>25</v>
      </c>
      <c r="I3283" s="5" t="s">
        <v>25</v>
      </c>
      <c r="J3283" s="5" t="s">
        <v>25</v>
      </c>
      <c r="K3283" s="7" t="str">
        <f>VLOOKUP(A3283,Sheet2!$A$2:$R$3432,6,0)</f>
        <v>TVS NTorq 125</v>
      </c>
      <c r="L3283" s="5" t="s">
        <v>25</v>
      </c>
      <c r="M3283" s="7" t="str">
        <f>VLOOKUP(A3283,Sheet2!$A$2:$R$3432,5,0)</f>
        <v>MH12QU2215</v>
      </c>
      <c r="N3283" s="5" t="s">
        <v>25</v>
      </c>
      <c r="O3283" s="5" t="s">
        <v>25</v>
      </c>
      <c r="P3283" s="6" t="s">
        <v>25</v>
      </c>
      <c r="Q3283" s="5" t="s">
        <v>25</v>
      </c>
      <c r="R3283" s="5" t="s">
        <v>25</v>
      </c>
      <c r="S3283" s="7" t="str">
        <f>VLOOKUP(A3283,Sheet2!$A$2:$R$3432,18,0)</f>
        <v/>
      </c>
      <c r="T3283" s="7" t="str">
        <f>VLOOKUP(A3283,Sheet2!$A$2:$R$3432,17,0)</f>
        <v>MB626AG77J2E30657</v>
      </c>
    </row>
    <row r="3284" ht="15.75" customHeight="1">
      <c r="A3284" s="3" t="s">
        <v>3307</v>
      </c>
      <c r="B3284" s="4" t="str">
        <f>VLOOKUP(A3284,Sheet2!$A$2:$R$3432,2,0)</f>
        <v>2025-06-26 17:34:47</v>
      </c>
      <c r="C3284" s="5" t="s">
        <v>25</v>
      </c>
      <c r="D3284" s="6" t="s">
        <v>25</v>
      </c>
      <c r="E3284" s="7">
        <f>VLOOKUP(A3284,Sheet2!$A$2:$R$3432,4,0)</f>
        <v>9960458781</v>
      </c>
      <c r="F3284" s="7" t="str">
        <f>VLOOKUP(A3284,Sheet2!$A$2:$R$3432,3,0)</f>
        <v>Om Prakash </v>
      </c>
      <c r="G3284" s="5" t="s">
        <v>25</v>
      </c>
      <c r="H3284" s="5" t="s">
        <v>25</v>
      </c>
      <c r="I3284" s="5" t="s">
        <v>25</v>
      </c>
      <c r="J3284" s="5" t="s">
        <v>25</v>
      </c>
      <c r="K3284" s="7" t="str">
        <f>VLOOKUP(A3284,Sheet2!$A$2:$R$3432,6,0)</f>
        <v>Honda Activa 4G</v>
      </c>
      <c r="L3284" s="5" t="s">
        <v>25</v>
      </c>
      <c r="M3284" s="7" t="str">
        <f>VLOOKUP(A3284,Sheet2!$A$2:$R$3432,5,0)</f>
        <v>MH14GG4086</v>
      </c>
      <c r="N3284" s="5" t="s">
        <v>25</v>
      </c>
      <c r="O3284" s="5" t="s">
        <v>25</v>
      </c>
      <c r="P3284" s="6" t="s">
        <v>25</v>
      </c>
      <c r="Q3284" s="5" t="s">
        <v>25</v>
      </c>
      <c r="R3284" s="5" t="s">
        <v>25</v>
      </c>
      <c r="S3284" s="7" t="str">
        <f>VLOOKUP(A3284,Sheet2!$A$2:$R$3432,18,0)</f>
        <v/>
      </c>
      <c r="T3284" s="7" t="str">
        <f>VLOOKUP(A3284,Sheet2!$A$2:$R$3432,17,0)</f>
        <v/>
      </c>
    </row>
    <row r="3285" ht="15.75" customHeight="1">
      <c r="A3285" s="3" t="s">
        <v>3308</v>
      </c>
      <c r="B3285" s="4" t="str">
        <f>VLOOKUP(A3285,Sheet2!$A$2:$R$3432,2,0)</f>
        <v>2025-06-26 18:00:37</v>
      </c>
      <c r="C3285" s="5" t="s">
        <v>25</v>
      </c>
      <c r="D3285" s="6" t="s">
        <v>25</v>
      </c>
      <c r="E3285" s="7">
        <f>VLOOKUP(A3285,Sheet2!$A$2:$R$3432,4,0)</f>
        <v>7083185944</v>
      </c>
      <c r="F3285" s="7" t="str">
        <f>VLOOKUP(A3285,Sheet2!$A$2:$R$3432,3,0)</f>
        <v>Prasad </v>
      </c>
      <c r="G3285" s="5" t="s">
        <v>25</v>
      </c>
      <c r="H3285" s="5" t="s">
        <v>25</v>
      </c>
      <c r="I3285" s="5" t="s">
        <v>25</v>
      </c>
      <c r="J3285" s="5" t="s">
        <v>25</v>
      </c>
      <c r="K3285" s="7" t="str">
        <f>VLOOKUP(A3285,Sheet2!$A$2:$R$3432,6,0)</f>
        <v>Hero Splendor Plus i3s</v>
      </c>
      <c r="L3285" s="5" t="s">
        <v>25</v>
      </c>
      <c r="M3285" s="7" t="str">
        <f>VLOOKUP(A3285,Sheet2!$A$2:$R$3432,5,0)</f>
        <v>MH14EZ8438</v>
      </c>
      <c r="N3285" s="5" t="s">
        <v>25</v>
      </c>
      <c r="O3285" s="5" t="s">
        <v>25</v>
      </c>
      <c r="P3285" s="6" t="s">
        <v>25</v>
      </c>
      <c r="Q3285" s="5" t="s">
        <v>25</v>
      </c>
      <c r="R3285" s="5" t="s">
        <v>25</v>
      </c>
      <c r="S3285" s="5" t="str">
        <f>VLOOKUP(A3285,Sheet2!$A$2:$R$3432,18,0)</f>
        <v>HA12EM9F08241</v>
      </c>
      <c r="T3285" s="7" t="str">
        <f>VLOOKUP(A3285,Sheet2!$A$2:$R$3432,17,0)</f>
        <v>MBLHA12ACF08928</v>
      </c>
    </row>
    <row r="3286" ht="15.75" customHeight="1">
      <c r="A3286" s="3" t="s">
        <v>3309</v>
      </c>
      <c r="B3286" s="4" t="str">
        <f>VLOOKUP(A3286,Sheet2!$A$2:$R$3432,2,0)</f>
        <v>2025-06-26 18:00:56</v>
      </c>
      <c r="C3286" s="5" t="s">
        <v>25</v>
      </c>
      <c r="D3286" s="6" t="s">
        <v>25</v>
      </c>
      <c r="E3286" s="7">
        <f>VLOOKUP(A3286,Sheet2!$A$2:$R$3432,4,0)</f>
        <v>9823133351</v>
      </c>
      <c r="F3286" s="7" t="str">
        <f>VLOOKUP(A3286,Sheet2!$A$2:$R$3432,3,0)</f>
        <v>PRITAM</v>
      </c>
      <c r="G3286" s="5" t="s">
        <v>25</v>
      </c>
      <c r="H3286" s="5" t="s">
        <v>25</v>
      </c>
      <c r="I3286" s="5" t="s">
        <v>25</v>
      </c>
      <c r="J3286" s="5" t="s">
        <v>25</v>
      </c>
      <c r="K3286" s="7" t="str">
        <f>VLOOKUP(A3286,Sheet2!$A$2:$R$3432,6,0)</f>
        <v>Honda Activa 6G</v>
      </c>
      <c r="L3286" s="5" t="s">
        <v>25</v>
      </c>
      <c r="M3286" s="7" t="str">
        <f>VLOOKUP(A3286,Sheet2!$A$2:$R$3432,5,0)</f>
        <v>MH14JS2987</v>
      </c>
      <c r="N3286" s="5" t="s">
        <v>25</v>
      </c>
      <c r="O3286" s="5" t="s">
        <v>25</v>
      </c>
      <c r="P3286" s="6" t="s">
        <v>25</v>
      </c>
      <c r="Q3286" s="5" t="s">
        <v>25</v>
      </c>
      <c r="R3286" s="5" t="s">
        <v>25</v>
      </c>
      <c r="S3286" s="5" t="str">
        <f>VLOOKUP(A3286,Sheet2!$A$2:$R$3432,18,0)</f>
        <v>JF91EC1535644</v>
      </c>
      <c r="T3286" s="7" t="str">
        <f>VLOOKUP(A3286,Sheet2!$A$2:$R$3432,17,0)</f>
        <v>ME4JF914GMG536752</v>
      </c>
    </row>
    <row r="3287" ht="15.75" customHeight="1">
      <c r="A3287" s="3" t="s">
        <v>3310</v>
      </c>
      <c r="B3287" s="4" t="str">
        <f>VLOOKUP(A3287,Sheet2!$A$2:$R$3432,2,0)</f>
        <v>2025-06-26 20:13:58</v>
      </c>
      <c r="C3287" s="5" t="s">
        <v>25</v>
      </c>
      <c r="D3287" s="6" t="s">
        <v>25</v>
      </c>
      <c r="E3287" s="7">
        <f>VLOOKUP(A3287,Sheet2!$A$2:$R$3432,4,0)</f>
        <v>7385411433</v>
      </c>
      <c r="F3287" s="7" t="str">
        <f>VLOOKUP(A3287,Sheet2!$A$2:$R$3432,3,0)</f>
        <v>Kendre </v>
      </c>
      <c r="G3287" s="5" t="s">
        <v>25</v>
      </c>
      <c r="H3287" s="5" t="s">
        <v>25</v>
      </c>
      <c r="I3287" s="5" t="s">
        <v>25</v>
      </c>
      <c r="J3287" s="5" t="s">
        <v>25</v>
      </c>
      <c r="K3287" s="7" t="str">
        <f>VLOOKUP(A3287,Sheet2!$A$2:$R$3432,6,0)</f>
        <v>Honda Activa 3G</v>
      </c>
      <c r="L3287" s="5" t="s">
        <v>25</v>
      </c>
      <c r="M3287" s="7" t="str">
        <f>VLOOKUP(A3287,Sheet2!$A$2:$R$3432,5,0)</f>
        <v>MH14FV4669</v>
      </c>
      <c r="N3287" s="5" t="s">
        <v>25</v>
      </c>
      <c r="O3287" s="5" t="s">
        <v>25</v>
      </c>
      <c r="P3287" s="6" t="s">
        <v>25</v>
      </c>
      <c r="Q3287" s="5" t="s">
        <v>25</v>
      </c>
      <c r="R3287" s="5" t="s">
        <v>25</v>
      </c>
      <c r="S3287" s="5" t="str">
        <f>VLOOKUP(A3287,Sheet2!$A$2:$R$3432,18,0)</f>
        <v>JF50EU3422412</v>
      </c>
      <c r="T3287" s="7" t="str">
        <f>VLOOKUP(A3287,Sheet2!$A$2:$R$3432,17,0)</f>
        <v>ME4JF505KG442265</v>
      </c>
    </row>
    <row r="3288" ht="15.75" customHeight="1">
      <c r="A3288" s="3" t="s">
        <v>3311</v>
      </c>
      <c r="B3288" s="4" t="str">
        <f>VLOOKUP(A3288,Sheet2!$A$2:$R$3432,2,0)</f>
        <v>2025-06-26 20:12:20</v>
      </c>
      <c r="C3288" s="5" t="s">
        <v>25</v>
      </c>
      <c r="D3288" s="6" t="s">
        <v>25</v>
      </c>
      <c r="E3288" s="7">
        <f>VLOOKUP(A3288,Sheet2!$A$2:$R$3432,4,0)</f>
        <v>9767809683</v>
      </c>
      <c r="F3288" s="7" t="str">
        <f>VLOOKUP(A3288,Sheet2!$A$2:$R$3432,3,0)</f>
        <v>KISHOR CHAURE</v>
      </c>
      <c r="G3288" s="5" t="s">
        <v>25</v>
      </c>
      <c r="H3288" s="5" t="s">
        <v>25</v>
      </c>
      <c r="I3288" s="5" t="s">
        <v>25</v>
      </c>
      <c r="J3288" s="5" t="s">
        <v>25</v>
      </c>
      <c r="K3288" s="7" t="str">
        <f>VLOOKUP(A3288,Sheet2!$A$2:$R$3432,6,0)</f>
        <v>Honda Activa 4G</v>
      </c>
      <c r="L3288" s="5" t="s">
        <v>25</v>
      </c>
      <c r="M3288" s="7" t="str">
        <f>VLOOKUP(A3288,Sheet2!$A$2:$R$3432,5,0)</f>
        <v>MH14GF9795</v>
      </c>
      <c r="N3288" s="5" t="s">
        <v>25</v>
      </c>
      <c r="O3288" s="5" t="s">
        <v>25</v>
      </c>
      <c r="P3288" s="6" t="s">
        <v>25</v>
      </c>
      <c r="Q3288" s="5" t="s">
        <v>25</v>
      </c>
      <c r="R3288" s="5" t="s">
        <v>25</v>
      </c>
      <c r="S3288" s="5" t="str">
        <f>VLOOKUP(A3288,Sheet2!$A$2:$R$3432,18,0)</f>
        <v>JF50E451239332</v>
      </c>
      <c r="T3288" s="7" t="str">
        <f>VLOOKUP(A3288,Sheet2!$A$2:$R$3432,17,0)</f>
        <v>ME4JF5070H4123771</v>
      </c>
    </row>
    <row r="3289" ht="15.75" customHeight="1">
      <c r="A3289" s="3" t="s">
        <v>3312</v>
      </c>
      <c r="B3289" s="4" t="str">
        <f>VLOOKUP(A3289,Sheet2!$A$2:$R$3432,2,0)</f>
        <v>2025-06-26 20:14:21</v>
      </c>
      <c r="C3289" s="5" t="s">
        <v>25</v>
      </c>
      <c r="D3289" s="6" t="s">
        <v>25</v>
      </c>
      <c r="E3289" s="7">
        <f>VLOOKUP(A3289,Sheet2!$A$2:$R$3432,4,0)</f>
        <v>7038982545</v>
      </c>
      <c r="F3289" s="7" t="str">
        <f>VLOOKUP(A3289,Sheet2!$A$2:$R$3432,3,0)</f>
        <v>Harshad Rathod</v>
      </c>
      <c r="G3289" s="5" t="s">
        <v>25</v>
      </c>
      <c r="H3289" s="5" t="s">
        <v>25</v>
      </c>
      <c r="I3289" s="5" t="s">
        <v>25</v>
      </c>
      <c r="J3289" s="5" t="s">
        <v>25</v>
      </c>
      <c r="K3289" s="7" t="str">
        <f>VLOOKUP(A3289,Sheet2!$A$2:$R$3432,6,0)</f>
        <v>Yamaha FZS V3.0</v>
      </c>
      <c r="L3289" s="5" t="s">
        <v>25</v>
      </c>
      <c r="M3289" s="7" t="str">
        <f>VLOOKUP(A3289,Sheet2!$A$2:$R$3432,5,0)</f>
        <v>MH12FL9669</v>
      </c>
      <c r="N3289" s="5" t="s">
        <v>25</v>
      </c>
      <c r="O3289" s="5" t="s">
        <v>25</v>
      </c>
      <c r="P3289" s="6" t="s">
        <v>25</v>
      </c>
      <c r="Q3289" s="5" t="s">
        <v>25</v>
      </c>
      <c r="R3289" s="5" t="s">
        <v>25</v>
      </c>
      <c r="S3289" s="5" t="str">
        <f>VLOOKUP(A3289,Sheet2!$A$2:$R$3432,18,0)</f>
        <v>21C2014164</v>
      </c>
      <c r="T3289" s="7" t="str">
        <f>VLOOKUP(A3289,Sheet2!$A$2:$R$3432,17,0)</f>
        <v>ME121C02492014253</v>
      </c>
    </row>
    <row r="3290" ht="15.75" customHeight="1">
      <c r="A3290" s="3" t="s">
        <v>3313</v>
      </c>
      <c r="B3290" s="4" t="str">
        <f>VLOOKUP(A3290,Sheet2!$A$2:$R$3432,2,0)</f>
        <v>2025-06-26 20:32:25</v>
      </c>
      <c r="C3290" s="5" t="s">
        <v>25</v>
      </c>
      <c r="D3290" s="6" t="s">
        <v>25</v>
      </c>
      <c r="E3290" s="7">
        <f>VLOOKUP(A3290,Sheet2!$A$2:$R$3432,4,0)</f>
        <v>9767986906</v>
      </c>
      <c r="F3290" s="7" t="str">
        <f>VLOOKUP(A3290,Sheet2!$A$2:$R$3432,3,0)</f>
        <v>Jayesh Shelar </v>
      </c>
      <c r="G3290" s="5" t="s">
        <v>25</v>
      </c>
      <c r="H3290" s="5" t="s">
        <v>25</v>
      </c>
      <c r="I3290" s="5" t="s">
        <v>25</v>
      </c>
      <c r="J3290" s="5" t="s">
        <v>25</v>
      </c>
      <c r="K3290" s="7" t="str">
        <f>VLOOKUP(A3290,Sheet2!$A$2:$R$3432,6,0)</f>
        <v>Honda Activa 3G</v>
      </c>
      <c r="L3290" s="5" t="s">
        <v>25</v>
      </c>
      <c r="M3290" s="7" t="str">
        <f>VLOOKUP(A3290,Sheet2!$A$2:$R$3432,5,0)</f>
        <v>MH41HK2747</v>
      </c>
      <c r="N3290" s="5" t="s">
        <v>25</v>
      </c>
      <c r="O3290" s="5" t="s">
        <v>25</v>
      </c>
      <c r="P3290" s="6" t="s">
        <v>25</v>
      </c>
      <c r="Q3290" s="5" t="s">
        <v>25</v>
      </c>
      <c r="R3290" s="5" t="s">
        <v>25</v>
      </c>
      <c r="S3290" s="7" t="str">
        <f>VLOOKUP(A3290,Sheet2!$A$2:$R$3432,18,0)</f>
        <v/>
      </c>
      <c r="T3290" s="7" t="str">
        <f>VLOOKUP(A3290,Sheet2!$A$2:$R$3432,17,0)</f>
        <v/>
      </c>
    </row>
    <row r="3291" ht="15.75" customHeight="1">
      <c r="A3291" s="3" t="s">
        <v>3314</v>
      </c>
      <c r="B3291" s="4" t="str">
        <f>VLOOKUP(A3291,Sheet2!$A$2:$R$3432,2,0)</f>
        <v>2025-06-26 20:12:52</v>
      </c>
      <c r="C3291" s="5" t="s">
        <v>25</v>
      </c>
      <c r="D3291" s="6" t="s">
        <v>25</v>
      </c>
      <c r="E3291" s="7">
        <f>VLOOKUP(A3291,Sheet2!$A$2:$R$3432,4,0)</f>
        <v>9890528909</v>
      </c>
      <c r="F3291" s="7" t="str">
        <f>VLOOKUP(A3291,Sheet2!$A$2:$R$3432,3,0)</f>
        <v>Sameer </v>
      </c>
      <c r="G3291" s="5" t="s">
        <v>25</v>
      </c>
      <c r="H3291" s="5" t="s">
        <v>25</v>
      </c>
      <c r="I3291" s="5" t="s">
        <v>25</v>
      </c>
      <c r="J3291" s="5" t="s">
        <v>25</v>
      </c>
      <c r="K3291" s="7" t="str">
        <f>VLOOKUP(A3291,Sheet2!$A$2:$R$3432,6,0)</f>
        <v>Honda Activa 125</v>
      </c>
      <c r="L3291" s="5" t="s">
        <v>25</v>
      </c>
      <c r="M3291" s="7" t="str">
        <f>VLOOKUP(A3291,Sheet2!$A$2:$R$3432,5,0)</f>
        <v>MH12LN8873</v>
      </c>
      <c r="N3291" s="5" t="s">
        <v>25</v>
      </c>
      <c r="O3291" s="5" t="s">
        <v>25</v>
      </c>
      <c r="P3291" s="6" t="s">
        <v>25</v>
      </c>
      <c r="Q3291" s="5" t="s">
        <v>25</v>
      </c>
      <c r="R3291" s="5" t="s">
        <v>25</v>
      </c>
      <c r="S3291" s="7" t="str">
        <f>VLOOKUP(A3291,Sheet2!$A$2:$R$3432,18,0)</f>
        <v/>
      </c>
      <c r="T3291" s="7" t="str">
        <f>VLOOKUP(A3291,Sheet2!$A$2:$R$3432,17,0)</f>
        <v/>
      </c>
    </row>
    <row r="3292" ht="15.75" customHeight="1">
      <c r="A3292" s="3" t="s">
        <v>3315</v>
      </c>
      <c r="B3292" s="4" t="str">
        <f>VLOOKUP(A3292,Sheet2!$A$2:$R$3432,2,0)</f>
        <v>2025-06-26 20:13:27</v>
      </c>
      <c r="C3292" s="5" t="s">
        <v>25</v>
      </c>
      <c r="D3292" s="6" t="s">
        <v>25</v>
      </c>
      <c r="E3292" s="7">
        <f>VLOOKUP(A3292,Sheet2!$A$2:$R$3432,4,0)</f>
        <v>7385447781</v>
      </c>
      <c r="F3292" s="7" t="str">
        <f>VLOOKUP(A3292,Sheet2!$A$2:$R$3432,3,0)</f>
        <v>NARENDRA SINGH </v>
      </c>
      <c r="G3292" s="5" t="s">
        <v>25</v>
      </c>
      <c r="H3292" s="5" t="s">
        <v>25</v>
      </c>
      <c r="I3292" s="5" t="s">
        <v>25</v>
      </c>
      <c r="J3292" s="5" t="s">
        <v>25</v>
      </c>
      <c r="K3292" s="7" t="str">
        <f>VLOOKUP(A3292,Sheet2!$A$2:$R$3432,6,0)</f>
        <v>Honda Shine 125</v>
      </c>
      <c r="L3292" s="5" t="s">
        <v>25</v>
      </c>
      <c r="M3292" s="7" t="str">
        <f>VLOOKUP(A3292,Sheet2!$A$2:$R$3432,5,0)</f>
        <v>MH12RC1336</v>
      </c>
      <c r="N3292" s="5" t="s">
        <v>25</v>
      </c>
      <c r="O3292" s="5" t="s">
        <v>25</v>
      </c>
      <c r="P3292" s="6" t="s">
        <v>25</v>
      </c>
      <c r="Q3292" s="5" t="s">
        <v>25</v>
      </c>
      <c r="R3292" s="5" t="s">
        <v>25</v>
      </c>
      <c r="S3292" s="7" t="str">
        <f>VLOOKUP(A3292,Sheet2!$A$2:$R$3432,18,0)</f>
        <v/>
      </c>
      <c r="T3292" s="7" t="str">
        <f>VLOOKUP(A3292,Sheet2!$A$2:$R$3432,17,0)</f>
        <v/>
      </c>
    </row>
    <row r="3293" ht="15.75" customHeight="1">
      <c r="A3293" s="3" t="s">
        <v>3316</v>
      </c>
      <c r="B3293" s="4" t="str">
        <f>VLOOKUP(A3293,Sheet2!$A$2:$R$3432,2,0)</f>
        <v>2025-07-24 18:44:10</v>
      </c>
      <c r="C3293" s="5" t="s">
        <v>25</v>
      </c>
      <c r="D3293" s="6" t="s">
        <v>25</v>
      </c>
      <c r="E3293" s="7">
        <f>VLOOKUP(A3293,Sheet2!$A$2:$R$3432,4,0)</f>
        <v>9145398978</v>
      </c>
      <c r="F3293" s="7" t="str">
        <f>VLOOKUP(A3293,Sheet2!$A$2:$R$3432,3,0)</f>
        <v>CHETAN SAKORE</v>
      </c>
      <c r="G3293" s="5" t="s">
        <v>25</v>
      </c>
      <c r="H3293" s="5" t="s">
        <v>25</v>
      </c>
      <c r="I3293" s="5" t="s">
        <v>25</v>
      </c>
      <c r="J3293" s="5" t="s">
        <v>25</v>
      </c>
      <c r="K3293" s="7" t="str">
        <f>VLOOKUP(A3293,Sheet2!$A$2:$R$3432,6,0)</f>
        <v>KTM Duke 250</v>
      </c>
      <c r="L3293" s="5" t="s">
        <v>25</v>
      </c>
      <c r="M3293" s="7" t="str">
        <f>VLOOKUP(A3293,Sheet2!$A$2:$R$3432,5,0)</f>
        <v>MH12JG5406</v>
      </c>
      <c r="N3293" s="5" t="s">
        <v>25</v>
      </c>
      <c r="O3293" s="5" t="s">
        <v>25</v>
      </c>
      <c r="P3293" s="6" t="s">
        <v>25</v>
      </c>
      <c r="Q3293" s="5" t="s">
        <v>25</v>
      </c>
      <c r="R3293" s="5" t="s">
        <v>25</v>
      </c>
      <c r="S3293" s="5" t="str">
        <f>VLOOKUP(A3293,Sheet2!$A$2:$R$3432,18,0)</f>
        <v>Z-90613101</v>
      </c>
      <c r="T3293" s="7" t="str">
        <f>VLOOKUP(A3293,Sheet2!$A$2:$R$3432,17,0)</f>
        <v>VBKG4CHE4CC012816</v>
      </c>
    </row>
    <row r="3294" ht="15.75" customHeight="1">
      <c r="A3294" s="3" t="s">
        <v>3317</v>
      </c>
      <c r="B3294" s="4" t="str">
        <f>VLOOKUP(A3294,Sheet2!$A$2:$R$3432,2,0)</f>
        <v>2025-07-24 18:45:40</v>
      </c>
      <c r="C3294" s="5" t="s">
        <v>25</v>
      </c>
      <c r="D3294" s="6" t="s">
        <v>25</v>
      </c>
      <c r="E3294" s="7">
        <f>VLOOKUP(A3294,Sheet2!$A$2:$R$3432,4,0)</f>
        <v>8624809110</v>
      </c>
      <c r="F3294" s="7" t="str">
        <f>VLOOKUP(A3294,Sheet2!$A$2:$R$3432,3,0)</f>
        <v>Aditya</v>
      </c>
      <c r="G3294" s="5" t="s">
        <v>25</v>
      </c>
      <c r="H3294" s="5" t="s">
        <v>25</v>
      </c>
      <c r="I3294" s="5" t="s">
        <v>25</v>
      </c>
      <c r="J3294" s="5" t="s">
        <v>25</v>
      </c>
      <c r="K3294" s="7" t="str">
        <f>VLOOKUP(A3294,Sheet2!$A$2:$R$3432,6,0)</f>
        <v>Honda Activa 3G</v>
      </c>
      <c r="L3294" s="5" t="s">
        <v>25</v>
      </c>
      <c r="M3294" s="7" t="str">
        <f>VLOOKUP(A3294,Sheet2!$A$2:$R$3432,5,0)</f>
        <v>MH14FU3507</v>
      </c>
      <c r="N3294" s="5" t="s">
        <v>25</v>
      </c>
      <c r="O3294" s="5" t="s">
        <v>25</v>
      </c>
      <c r="P3294" s="6" t="s">
        <v>25</v>
      </c>
      <c r="Q3294" s="5" t="s">
        <v>25</v>
      </c>
      <c r="R3294" s="5" t="s">
        <v>25</v>
      </c>
      <c r="S3294" s="7" t="str">
        <f>VLOOKUP(A3294,Sheet2!$A$2:$R$3432,18,0)</f>
        <v/>
      </c>
      <c r="T3294" s="7" t="str">
        <f>VLOOKUP(A3294,Sheet2!$A$2:$R$3432,17,0)</f>
        <v/>
      </c>
    </row>
    <row r="3295" ht="15.75" customHeight="1">
      <c r="A3295" s="3" t="s">
        <v>3318</v>
      </c>
      <c r="B3295" s="4" t="str">
        <f>VLOOKUP(A3295,Sheet2!$A$2:$R$3432,2,0)</f>
        <v>2025-07-24 18:43:32</v>
      </c>
      <c r="C3295" s="5" t="s">
        <v>25</v>
      </c>
      <c r="D3295" s="6" t="s">
        <v>25</v>
      </c>
      <c r="E3295" s="7">
        <f>VLOOKUP(A3295,Sheet2!$A$2:$R$3432,4,0)</f>
        <v>9096710666</v>
      </c>
      <c r="F3295" s="7" t="str">
        <f>VLOOKUP(A3295,Sheet2!$A$2:$R$3432,3,0)</f>
        <v>SATYAM</v>
      </c>
      <c r="G3295" s="5" t="s">
        <v>25</v>
      </c>
      <c r="H3295" s="5" t="s">
        <v>25</v>
      </c>
      <c r="I3295" s="5" t="s">
        <v>25</v>
      </c>
      <c r="J3295" s="5" t="s">
        <v>25</v>
      </c>
      <c r="K3295" s="7" t="str">
        <f>VLOOKUP(A3295,Sheet2!$A$2:$R$3432,6,0)</f>
        <v>Honda Activa 110</v>
      </c>
      <c r="L3295" s="5" t="s">
        <v>25</v>
      </c>
      <c r="M3295" s="7" t="str">
        <f>VLOOKUP(A3295,Sheet2!$A$2:$R$3432,5,0)</f>
        <v>MH14DZ8839</v>
      </c>
      <c r="N3295" s="5" t="s">
        <v>25</v>
      </c>
      <c r="O3295" s="5" t="s">
        <v>25</v>
      </c>
      <c r="P3295" s="6" t="s">
        <v>25</v>
      </c>
      <c r="Q3295" s="5" t="s">
        <v>25</v>
      </c>
      <c r="R3295" s="5" t="s">
        <v>25</v>
      </c>
      <c r="S3295" s="7" t="str">
        <f>VLOOKUP(A3295,Sheet2!$A$2:$R$3432,18,0)</f>
        <v/>
      </c>
      <c r="T3295" s="7" t="str">
        <f>VLOOKUP(A3295,Sheet2!$A$2:$R$3432,17,0)</f>
        <v/>
      </c>
    </row>
    <row r="3296" ht="15.75" customHeight="1">
      <c r="A3296" s="3" t="s">
        <v>3319</v>
      </c>
      <c r="B3296" s="4" t="str">
        <f>VLOOKUP(A3296,Sheet2!$A$2:$R$3432,2,0)</f>
        <v>2025-07-24 18:43:55</v>
      </c>
      <c r="C3296" s="5" t="s">
        <v>25</v>
      </c>
      <c r="D3296" s="6" t="s">
        <v>25</v>
      </c>
      <c r="E3296" s="7">
        <f>VLOOKUP(A3296,Sheet2!$A$2:$R$3432,4,0)</f>
        <v>9373172927</v>
      </c>
      <c r="F3296" s="7" t="str">
        <f>VLOOKUP(A3296,Sheet2!$A$2:$R$3432,3,0)</f>
        <v>SELU SINGH</v>
      </c>
      <c r="G3296" s="5" t="s">
        <v>25</v>
      </c>
      <c r="H3296" s="5" t="s">
        <v>25</v>
      </c>
      <c r="I3296" s="5" t="s">
        <v>25</v>
      </c>
      <c r="J3296" s="5" t="s">
        <v>25</v>
      </c>
      <c r="K3296" s="7" t="str">
        <f>VLOOKUP(A3296,Sheet2!$A$2:$R$3432,6,0)</f>
        <v>Hero Splendor Pro</v>
      </c>
      <c r="L3296" s="5" t="s">
        <v>25</v>
      </c>
      <c r="M3296" s="7" t="str">
        <f>VLOOKUP(A3296,Sheet2!$A$2:$R$3432,5,0)</f>
        <v>MH14KX9208</v>
      </c>
      <c r="N3296" s="5" t="s">
        <v>25</v>
      </c>
      <c r="O3296" s="5" t="s">
        <v>25</v>
      </c>
      <c r="P3296" s="6" t="s">
        <v>25</v>
      </c>
      <c r="Q3296" s="5" t="s">
        <v>25</v>
      </c>
      <c r="R3296" s="5" t="s">
        <v>25</v>
      </c>
      <c r="S3296" s="5" t="str">
        <f>VLOOKUP(A3296,Sheet2!$A$2:$R$3432,18,0)</f>
        <v>HA11E8P4F09832</v>
      </c>
      <c r="T3296" s="7" t="str">
        <f>VLOOKUP(A3296,Sheet2!$A$2:$R$3432,17,0)</f>
        <v>MBLHAW228P4F12368</v>
      </c>
    </row>
    <row r="3297" ht="15.75" customHeight="1">
      <c r="A3297" s="3" t="s">
        <v>3320</v>
      </c>
      <c r="B3297" s="4" t="str">
        <f>VLOOKUP(A3297,Sheet2!$A$2:$R$3432,2,0)</f>
        <v>2025-07-24 18:44:47</v>
      </c>
      <c r="C3297" s="5" t="s">
        <v>25</v>
      </c>
      <c r="D3297" s="6" t="s">
        <v>25</v>
      </c>
      <c r="E3297" s="7">
        <f>VLOOKUP(A3297,Sheet2!$A$2:$R$3432,4,0)</f>
        <v>7776830728</v>
      </c>
      <c r="F3297" s="7" t="str">
        <f>VLOOKUP(A3297,Sheet2!$A$2:$R$3432,3,0)</f>
        <v>Abhijit </v>
      </c>
      <c r="G3297" s="5" t="s">
        <v>25</v>
      </c>
      <c r="H3297" s="5" t="s">
        <v>25</v>
      </c>
      <c r="I3297" s="5" t="s">
        <v>25</v>
      </c>
      <c r="J3297" s="5" t="s">
        <v>25</v>
      </c>
      <c r="K3297" s="7" t="str">
        <f>VLOOKUP(A3297,Sheet2!$A$2:$R$3432,6,0)</f>
        <v>Hero Pleasure </v>
      </c>
      <c r="L3297" s="5" t="s">
        <v>25</v>
      </c>
      <c r="M3297" s="7" t="str">
        <f>VLOOKUP(A3297,Sheet2!$A$2:$R$3432,5,0)</f>
        <v>MH19CM2983</v>
      </c>
      <c r="N3297" s="5" t="s">
        <v>25</v>
      </c>
      <c r="O3297" s="5" t="s">
        <v>25</v>
      </c>
      <c r="P3297" s="6" t="s">
        <v>25</v>
      </c>
      <c r="Q3297" s="5" t="s">
        <v>25</v>
      </c>
      <c r="R3297" s="5" t="s">
        <v>25</v>
      </c>
      <c r="S3297" s="5" t="str">
        <f>VLOOKUP(A3297,Sheet2!$A$2:$R$3432,18,0)</f>
        <v>JF16EEC9H04524</v>
      </c>
      <c r="T3297" s="7" t="str">
        <f>VLOOKUP(A3297,Sheet2!$A$2:$R$3432,17,0)</f>
        <v/>
      </c>
    </row>
    <row r="3298" ht="15.75" customHeight="1">
      <c r="A3298" s="3" t="s">
        <v>3321</v>
      </c>
      <c r="B3298" s="4" t="str">
        <f>VLOOKUP(A3298,Sheet2!$A$2:$R$3432,2,0)</f>
        <v>2025-07-24 18:44:26</v>
      </c>
      <c r="C3298" s="5" t="s">
        <v>25</v>
      </c>
      <c r="D3298" s="6" t="s">
        <v>25</v>
      </c>
      <c r="E3298" s="7">
        <f>VLOOKUP(A3298,Sheet2!$A$2:$R$3432,4,0)</f>
        <v>9545999069</v>
      </c>
      <c r="F3298" s="7" t="str">
        <f>VLOOKUP(A3298,Sheet2!$A$2:$R$3432,3,0)</f>
        <v>Aakash Kharat</v>
      </c>
      <c r="G3298" s="5" t="s">
        <v>25</v>
      </c>
      <c r="H3298" s="5" t="s">
        <v>25</v>
      </c>
      <c r="I3298" s="5" t="s">
        <v>25</v>
      </c>
      <c r="J3298" s="5" t="s">
        <v>25</v>
      </c>
      <c r="K3298" s="7" t="str">
        <f>VLOOKUP(A3298,Sheet2!$A$2:$R$3432,6,0)</f>
        <v>Yamaha R15 V3</v>
      </c>
      <c r="L3298" s="5" t="s">
        <v>25</v>
      </c>
      <c r="M3298" s="7" t="str">
        <f>VLOOKUP(A3298,Sheet2!$A$2:$R$3432,5,0)</f>
        <v>MH21BR9996</v>
      </c>
      <c r="N3298" s="5" t="s">
        <v>25</v>
      </c>
      <c r="O3298" s="5" t="s">
        <v>25</v>
      </c>
      <c r="P3298" s="6" t="s">
        <v>25</v>
      </c>
      <c r="Q3298" s="5" t="s">
        <v>25</v>
      </c>
      <c r="R3298" s="5" t="s">
        <v>25</v>
      </c>
      <c r="S3298" s="7" t="str">
        <f>VLOOKUP(A3298,Sheet2!$A$2:$R$3432,18,0)</f>
        <v/>
      </c>
      <c r="T3298" s="7" t="str">
        <f>VLOOKUP(A3298,Sheet2!$A$2:$R$3432,17,0)</f>
        <v/>
      </c>
    </row>
    <row r="3299" ht="15.75" customHeight="1">
      <c r="A3299" s="3" t="s">
        <v>3322</v>
      </c>
      <c r="B3299" s="4" t="str">
        <f>VLOOKUP(A3299,Sheet2!$A$2:$R$3432,2,0)</f>
        <v>2025-07-19 20:11:20</v>
      </c>
      <c r="C3299" s="5" t="s">
        <v>25</v>
      </c>
      <c r="D3299" s="6" t="s">
        <v>25</v>
      </c>
      <c r="E3299" s="7">
        <f>VLOOKUP(A3299,Sheet2!$A$2:$R$3432,4,0)</f>
        <v>9834046210</v>
      </c>
      <c r="F3299" s="7" t="str">
        <f>VLOOKUP(A3299,Sheet2!$A$2:$R$3432,3,0)</f>
        <v>Mahesh Khogare</v>
      </c>
      <c r="G3299" s="5" t="s">
        <v>25</v>
      </c>
      <c r="H3299" s="5" t="s">
        <v>25</v>
      </c>
      <c r="I3299" s="5" t="s">
        <v>25</v>
      </c>
      <c r="J3299" s="5" t="s">
        <v>25</v>
      </c>
      <c r="K3299" s="7" t="str">
        <f>VLOOKUP(A3299,Sheet2!$A$2:$R$3432,6,0)</f>
        <v>Honda Shine </v>
      </c>
      <c r="L3299" s="5" t="s">
        <v>25</v>
      </c>
      <c r="M3299" s="7" t="str">
        <f>VLOOKUP(A3299,Sheet2!$A$2:$R$3432,5,0)</f>
        <v>MH12QN0715</v>
      </c>
      <c r="N3299" s="5" t="s">
        <v>25</v>
      </c>
      <c r="O3299" s="5" t="s">
        <v>25</v>
      </c>
      <c r="P3299" s="6" t="s">
        <v>25</v>
      </c>
      <c r="Q3299" s="5" t="s">
        <v>25</v>
      </c>
      <c r="R3299" s="5" t="s">
        <v>25</v>
      </c>
      <c r="S3299" s="5" t="str">
        <f>VLOOKUP(A3299,Sheet2!$A$2:$R$3432,18,0)</f>
        <v>JC65ET2116563</v>
      </c>
      <c r="T3299" s="7" t="str">
        <f>VLOOKUP(A3299,Sheet2!$A$2:$R$3432,17,0)</f>
        <v>ME4JC65CEJT000579</v>
      </c>
    </row>
    <row r="3300" ht="15.75" customHeight="1">
      <c r="A3300" s="3" t="s">
        <v>3323</v>
      </c>
      <c r="B3300" s="4" t="str">
        <f>VLOOKUP(A3300,Sheet2!$A$2:$R$3432,2,0)</f>
        <v>2025-07-19 20:11:56</v>
      </c>
      <c r="C3300" s="5" t="s">
        <v>25</v>
      </c>
      <c r="D3300" s="6" t="s">
        <v>25</v>
      </c>
      <c r="E3300" s="7">
        <f>VLOOKUP(A3300,Sheet2!$A$2:$R$3432,4,0)</f>
        <v>9881001145</v>
      </c>
      <c r="F3300" s="7" t="str">
        <f>VLOOKUP(A3300,Sheet2!$A$2:$R$3432,3,0)</f>
        <v>Dg Falke</v>
      </c>
      <c r="G3300" s="5" t="s">
        <v>25</v>
      </c>
      <c r="H3300" s="5" t="s">
        <v>25</v>
      </c>
      <c r="I3300" s="5" t="s">
        <v>25</v>
      </c>
      <c r="J3300" s="5" t="s">
        <v>25</v>
      </c>
      <c r="K3300" s="7" t="str">
        <f>VLOOKUP(A3300,Sheet2!$A$2:$R$3432,6,0)</f>
        <v>Honda Activa 110</v>
      </c>
      <c r="L3300" s="5" t="s">
        <v>25</v>
      </c>
      <c r="M3300" s="7" t="str">
        <f>VLOOKUP(A3300,Sheet2!$A$2:$R$3432,5,0)</f>
        <v>MH14DW6147</v>
      </c>
      <c r="N3300" s="5" t="s">
        <v>25</v>
      </c>
      <c r="O3300" s="5" t="s">
        <v>25</v>
      </c>
      <c r="P3300" s="6" t="s">
        <v>25</v>
      </c>
      <c r="Q3300" s="5" t="s">
        <v>25</v>
      </c>
      <c r="R3300" s="5" t="s">
        <v>25</v>
      </c>
      <c r="S3300" s="5" t="str">
        <f>VLOOKUP(A3300,Sheet2!$A$2:$R$3432,18,0)</f>
        <v>JF50E80168115</v>
      </c>
      <c r="T3300" s="7" t="str">
        <f>VLOOKUP(A3300,Sheet2!$A$2:$R$3432,17,0)</f>
        <v>ME4JF501D08168775</v>
      </c>
    </row>
    <row r="3301" ht="15.75" customHeight="1">
      <c r="A3301" s="3" t="s">
        <v>3324</v>
      </c>
      <c r="B3301" s="4" t="str">
        <f>VLOOKUP(A3301,Sheet2!$A$2:$R$3432,2,0)</f>
        <v>2025-07-19 20:16:08</v>
      </c>
      <c r="C3301" s="5" t="s">
        <v>25</v>
      </c>
      <c r="D3301" s="6" t="s">
        <v>25</v>
      </c>
      <c r="E3301" s="7">
        <f>VLOOKUP(A3301,Sheet2!$A$2:$R$3432,4,0)</f>
        <v>9175032790</v>
      </c>
      <c r="F3301" s="7" t="str">
        <f>VLOOKUP(A3301,Sheet2!$A$2:$R$3432,3,0)</f>
        <v>Mayur Mahajan </v>
      </c>
      <c r="G3301" s="5" t="s">
        <v>25</v>
      </c>
      <c r="H3301" s="5" t="s">
        <v>25</v>
      </c>
      <c r="I3301" s="5" t="s">
        <v>25</v>
      </c>
      <c r="J3301" s="5" t="s">
        <v>25</v>
      </c>
      <c r="K3301" s="7" t="str">
        <f>VLOOKUP(A3301,Sheet2!$A$2:$R$3432,6,0)</f>
        <v>TVS Apache RTR 160</v>
      </c>
      <c r="L3301" s="5" t="s">
        <v>25</v>
      </c>
      <c r="M3301" s="7" t="str">
        <f>VLOOKUP(A3301,Sheet2!$A$2:$R$3432,5,0)</f>
        <v>MH14KG7655</v>
      </c>
      <c r="N3301" s="5" t="s">
        <v>25</v>
      </c>
      <c r="O3301" s="5" t="s">
        <v>25</v>
      </c>
      <c r="P3301" s="6" t="s">
        <v>25</v>
      </c>
      <c r="Q3301" s="5" t="s">
        <v>25</v>
      </c>
      <c r="R3301" s="5" t="s">
        <v>25</v>
      </c>
      <c r="S3301" s="7" t="str">
        <f>VLOOKUP(A3301,Sheet2!$A$2:$R$3432,18,0)</f>
        <v/>
      </c>
      <c r="T3301" s="7" t="str">
        <f>VLOOKUP(A3301,Sheet2!$A$2:$R$3432,17,0)</f>
        <v/>
      </c>
    </row>
    <row r="3302" ht="15.75" customHeight="1">
      <c r="A3302" s="3" t="s">
        <v>3325</v>
      </c>
      <c r="B3302" s="4" t="str">
        <f>VLOOKUP(A3302,Sheet2!$A$2:$R$3432,2,0)</f>
        <v>2025-07-19 20:12:19</v>
      </c>
      <c r="C3302" s="5" t="s">
        <v>25</v>
      </c>
      <c r="D3302" s="6" t="s">
        <v>25</v>
      </c>
      <c r="E3302" s="7">
        <f>VLOOKUP(A3302,Sheet2!$A$2:$R$3432,4,0)</f>
        <v>9664976023</v>
      </c>
      <c r="F3302" s="7" t="str">
        <f>VLOOKUP(A3302,Sheet2!$A$2:$R$3432,3,0)</f>
        <v>MANESH GHODEKAR</v>
      </c>
      <c r="G3302" s="5" t="s">
        <v>25</v>
      </c>
      <c r="H3302" s="5" t="s">
        <v>25</v>
      </c>
      <c r="I3302" s="5" t="s">
        <v>25</v>
      </c>
      <c r="J3302" s="5" t="s">
        <v>25</v>
      </c>
      <c r="K3302" s="7" t="str">
        <f>VLOOKUP(A3302,Sheet2!$A$2:$R$3432,6,0)</f>
        <v>Suzuki Access 125</v>
      </c>
      <c r="L3302" s="5" t="s">
        <v>25</v>
      </c>
      <c r="M3302" s="7" t="str">
        <f>VLOOKUP(A3302,Sheet2!$A$2:$R$3432,5,0)</f>
        <v>MH43BD3223</v>
      </c>
      <c r="N3302" s="5" t="s">
        <v>25</v>
      </c>
      <c r="O3302" s="5" t="s">
        <v>25</v>
      </c>
      <c r="P3302" s="6" t="s">
        <v>25</v>
      </c>
      <c r="Q3302" s="5" t="s">
        <v>25</v>
      </c>
      <c r="R3302" s="5" t="s">
        <v>25</v>
      </c>
      <c r="S3302" s="5" t="str">
        <f>VLOOKUP(A3302,Sheet2!$A$2:$R$3432,18,0)</f>
        <v>AF211084168</v>
      </c>
      <c r="T3302" s="7" t="str">
        <f>VLOOKUP(A3302,Sheet2!$A$2:$R$3432,17,0)</f>
        <v>MB8DP11AH68191457</v>
      </c>
    </row>
    <row r="3303" ht="15.75" customHeight="1">
      <c r="A3303" s="3" t="s">
        <v>3326</v>
      </c>
      <c r="B3303" s="4" t="str">
        <f>VLOOKUP(A3303,Sheet2!$A$2:$R$3432,2,0)</f>
        <v>2025-07-19 20:15:17</v>
      </c>
      <c r="C3303" s="5" t="s">
        <v>25</v>
      </c>
      <c r="D3303" s="6" t="s">
        <v>25</v>
      </c>
      <c r="E3303" s="7">
        <f>VLOOKUP(A3303,Sheet2!$A$2:$R$3432,4,0)</f>
        <v>9890614087</v>
      </c>
      <c r="F3303" s="7" t="str">
        <f>VLOOKUP(A3303,Sheet2!$A$2:$R$3432,3,0)</f>
        <v>Swapnil Nandave</v>
      </c>
      <c r="G3303" s="5" t="s">
        <v>25</v>
      </c>
      <c r="H3303" s="5" t="s">
        <v>25</v>
      </c>
      <c r="I3303" s="5" t="s">
        <v>25</v>
      </c>
      <c r="J3303" s="5" t="s">
        <v>25</v>
      </c>
      <c r="K3303" s="7" t="str">
        <f>VLOOKUP(A3303,Sheet2!$A$2:$R$3432,6,0)</f>
        <v>Yamaha FZ S 2.0</v>
      </c>
      <c r="L3303" s="5" t="s">
        <v>25</v>
      </c>
      <c r="M3303" s="7" t="str">
        <f>VLOOKUP(A3303,Sheet2!$A$2:$R$3432,5,0)</f>
        <v>MH12PE9844</v>
      </c>
      <c r="N3303" s="5" t="s">
        <v>25</v>
      </c>
      <c r="O3303" s="5" t="s">
        <v>25</v>
      </c>
      <c r="P3303" s="6" t="s">
        <v>25</v>
      </c>
      <c r="Q3303" s="5" t="s">
        <v>25</v>
      </c>
      <c r="R3303" s="5" t="s">
        <v>25</v>
      </c>
      <c r="S3303" s="7" t="str">
        <f>VLOOKUP(A3303,Sheet2!$A$2:$R$3432,18,0)</f>
        <v/>
      </c>
      <c r="T3303" s="7" t="str">
        <f>VLOOKUP(A3303,Sheet2!$A$2:$R$3432,17,0)</f>
        <v>ME1RG0711H0092369</v>
      </c>
    </row>
    <row r="3304" ht="15.75" customHeight="1">
      <c r="A3304" s="3" t="s">
        <v>3327</v>
      </c>
      <c r="B3304" s="4" t="str">
        <f>VLOOKUP(A3304,Sheet2!$A$2:$R$3432,2,0)</f>
        <v>2025-07-19 20:12:41</v>
      </c>
      <c r="C3304" s="5" t="s">
        <v>25</v>
      </c>
      <c r="D3304" s="6" t="s">
        <v>25</v>
      </c>
      <c r="E3304" s="7">
        <f>VLOOKUP(A3304,Sheet2!$A$2:$R$3432,4,0)</f>
        <v>9860959197</v>
      </c>
      <c r="F3304" s="7" t="str">
        <f>VLOOKUP(A3304,Sheet2!$A$2:$R$3432,3,0)</f>
        <v>Pranav Shinde</v>
      </c>
      <c r="G3304" s="5" t="s">
        <v>25</v>
      </c>
      <c r="H3304" s="5" t="s">
        <v>25</v>
      </c>
      <c r="I3304" s="5" t="s">
        <v>25</v>
      </c>
      <c r="J3304" s="5" t="s">
        <v>25</v>
      </c>
      <c r="K3304" s="7" t="str">
        <f>VLOOKUP(A3304,Sheet2!$A$2:$R$3432,6,0)</f>
        <v>Bajaj Pulsar 160 NS</v>
      </c>
      <c r="L3304" s="5" t="s">
        <v>25</v>
      </c>
      <c r="M3304" s="7" t="str">
        <f>VLOOKUP(A3304,Sheet2!$A$2:$R$3432,5,0)</f>
        <v>MH10CV7916</v>
      </c>
      <c r="N3304" s="5" t="s">
        <v>25</v>
      </c>
      <c r="O3304" s="5" t="s">
        <v>25</v>
      </c>
      <c r="P3304" s="6" t="s">
        <v>25</v>
      </c>
      <c r="Q3304" s="5" t="s">
        <v>25</v>
      </c>
      <c r="R3304" s="5" t="s">
        <v>25</v>
      </c>
      <c r="S3304" s="7" t="str">
        <f>VLOOKUP(A3304,Sheet2!$A$2:$R$3432,18,0)</f>
        <v/>
      </c>
      <c r="T3304" s="7" t="str">
        <f>VLOOKUP(A3304,Sheet2!$A$2:$R$3432,17,0)</f>
        <v/>
      </c>
    </row>
    <row r="3305" ht="15.75" customHeight="1">
      <c r="A3305" s="3" t="s">
        <v>3328</v>
      </c>
      <c r="B3305" s="4" t="str">
        <f>VLOOKUP(A3305,Sheet2!$A$2:$R$3432,2,0)</f>
        <v>2025-07-19 20:13:20</v>
      </c>
      <c r="C3305" s="5" t="s">
        <v>25</v>
      </c>
      <c r="D3305" s="6" t="s">
        <v>25</v>
      </c>
      <c r="E3305" s="7">
        <f>VLOOKUP(A3305,Sheet2!$A$2:$R$3432,4,0)</f>
        <v>8805987378</v>
      </c>
      <c r="F3305" s="7" t="str">
        <f>VLOOKUP(A3305,Sheet2!$A$2:$R$3432,3,0)</f>
        <v>ADITYA</v>
      </c>
      <c r="G3305" s="5" t="s">
        <v>25</v>
      </c>
      <c r="H3305" s="5" t="s">
        <v>25</v>
      </c>
      <c r="I3305" s="5" t="s">
        <v>25</v>
      </c>
      <c r="J3305" s="5" t="s">
        <v>25</v>
      </c>
      <c r="K3305" s="7" t="str">
        <f>VLOOKUP(A3305,Sheet2!$A$2:$R$3432,6,0)</f>
        <v>Bajaj Pulsar 200 RS</v>
      </c>
      <c r="L3305" s="5" t="s">
        <v>25</v>
      </c>
      <c r="M3305" s="7" t="str">
        <f>VLOOKUP(A3305,Sheet2!$A$2:$R$3432,5,0)</f>
        <v>MH30BN4003</v>
      </c>
      <c r="N3305" s="5" t="s">
        <v>25</v>
      </c>
      <c r="O3305" s="5" t="s">
        <v>25</v>
      </c>
      <c r="P3305" s="6" t="s">
        <v>25</v>
      </c>
      <c r="Q3305" s="5" t="s">
        <v>25</v>
      </c>
      <c r="R3305" s="5" t="s">
        <v>25</v>
      </c>
      <c r="S3305" s="5" t="str">
        <f>VLOOKUP(A3305,Sheet2!$A$2:$R$3432,18,0)</f>
        <v>DTXGMM56141</v>
      </c>
      <c r="T3305" s="7" t="str">
        <f>VLOOKUP(A3305,Sheet2!$A$2:$R$3432,17,0)</f>
        <v/>
      </c>
    </row>
    <row r="3306" ht="15.75" customHeight="1">
      <c r="A3306" s="3" t="s">
        <v>3329</v>
      </c>
      <c r="B3306" s="4" t="str">
        <f>VLOOKUP(A3306,Sheet2!$A$2:$R$3432,2,0)</f>
        <v>2025-07-19 20:13:41</v>
      </c>
      <c r="C3306" s="5" t="s">
        <v>25</v>
      </c>
      <c r="D3306" s="6" t="s">
        <v>25</v>
      </c>
      <c r="E3306" s="7">
        <f>VLOOKUP(A3306,Sheet2!$A$2:$R$3432,4,0)</f>
        <v>9975556564</v>
      </c>
      <c r="F3306" s="7" t="str">
        <f>VLOOKUP(A3306,Sheet2!$A$2:$R$3432,3,0)</f>
        <v>Prathamesh </v>
      </c>
      <c r="G3306" s="5" t="s">
        <v>25</v>
      </c>
      <c r="H3306" s="5" t="s">
        <v>25</v>
      </c>
      <c r="I3306" s="5" t="s">
        <v>25</v>
      </c>
      <c r="J3306" s="5" t="s">
        <v>25</v>
      </c>
      <c r="K3306" s="7" t="str">
        <f>VLOOKUP(A3306,Sheet2!$A$2:$R$3432,6,0)</f>
        <v>Hero Pleasure </v>
      </c>
      <c r="L3306" s="5" t="s">
        <v>25</v>
      </c>
      <c r="M3306" s="7" t="str">
        <f>VLOOKUP(A3306,Sheet2!$A$2:$R$3432,5,0)</f>
        <v>MH11CD5191</v>
      </c>
      <c r="N3306" s="5" t="s">
        <v>25</v>
      </c>
      <c r="O3306" s="5" t="s">
        <v>25</v>
      </c>
      <c r="P3306" s="6" t="s">
        <v>25</v>
      </c>
      <c r="Q3306" s="5" t="s">
        <v>25</v>
      </c>
      <c r="R3306" s="5" t="s">
        <v>25</v>
      </c>
      <c r="S3306" s="7" t="str">
        <f>VLOOKUP(A3306,Sheet2!$A$2:$R$3432,18,0)</f>
        <v/>
      </c>
      <c r="T3306" s="7" t="str">
        <f>VLOOKUP(A3306,Sheet2!$A$2:$R$3432,17,0)</f>
        <v/>
      </c>
    </row>
    <row r="3307" ht="15.75" customHeight="1">
      <c r="A3307" s="3" t="s">
        <v>3330</v>
      </c>
      <c r="B3307" s="4" t="str">
        <f>VLOOKUP(A3307,Sheet2!$A$2:$R$3432,2,0)</f>
        <v>2025-07-19 20:14:49</v>
      </c>
      <c r="C3307" s="5" t="s">
        <v>25</v>
      </c>
      <c r="D3307" s="6" t="s">
        <v>25</v>
      </c>
      <c r="E3307" s="7">
        <f>VLOOKUP(A3307,Sheet2!$A$2:$R$3432,4,0)</f>
        <v>7507353773</v>
      </c>
      <c r="F3307" s="7" t="str">
        <f>VLOOKUP(A3307,Sheet2!$A$2:$R$3432,3,0)</f>
        <v>Dratik Nikalje</v>
      </c>
      <c r="G3307" s="5" t="s">
        <v>25</v>
      </c>
      <c r="H3307" s="5" t="s">
        <v>25</v>
      </c>
      <c r="I3307" s="5" t="s">
        <v>25</v>
      </c>
      <c r="J3307" s="5" t="s">
        <v>25</v>
      </c>
      <c r="K3307" s="7" t="str">
        <f>VLOOKUP(A3307,Sheet2!$A$2:$R$3432,6,0)</f>
        <v>Yamaha FZ V3</v>
      </c>
      <c r="L3307" s="5" t="s">
        <v>25</v>
      </c>
      <c r="M3307" s="7" t="str">
        <f>VLOOKUP(A3307,Sheet2!$A$2:$R$3432,5,0)</f>
        <v>MH21BX3511</v>
      </c>
      <c r="N3307" s="5" t="s">
        <v>25</v>
      </c>
      <c r="O3307" s="5" t="s">
        <v>25</v>
      </c>
      <c r="P3307" s="6" t="s">
        <v>25</v>
      </c>
      <c r="Q3307" s="5" t="s">
        <v>25</v>
      </c>
      <c r="R3307" s="5" t="s">
        <v>25</v>
      </c>
      <c r="S3307" s="5" t="str">
        <f>VLOOKUP(A3307,Sheet2!$A$2:$R$3432,18,0)</f>
        <v>G3N3F0247021</v>
      </c>
      <c r="T3307" s="7" t="str">
        <f>VLOOKUP(A3307,Sheet2!$A$2:$R$3432,17,0)</f>
        <v>ME1RG668ANOO23737</v>
      </c>
    </row>
    <row r="3308" ht="15.75" customHeight="1">
      <c r="A3308" s="3" t="s">
        <v>3331</v>
      </c>
      <c r="B3308" s="4" t="str">
        <f>VLOOKUP(A3308,Sheet2!$A$2:$R$3432,2,0)</f>
        <v>2025-07-19 20:16:32</v>
      </c>
      <c r="C3308" s="5" t="s">
        <v>25</v>
      </c>
      <c r="D3308" s="6" t="s">
        <v>25</v>
      </c>
      <c r="E3308" s="7">
        <f>VLOOKUP(A3308,Sheet2!$A$2:$R$3432,4,0)</f>
        <v>9145398978</v>
      </c>
      <c r="F3308" s="7" t="str">
        <f>VLOOKUP(A3308,Sheet2!$A$2:$R$3432,3,0)</f>
        <v>Chetan Sakore</v>
      </c>
      <c r="G3308" s="5" t="s">
        <v>25</v>
      </c>
      <c r="H3308" s="5" t="s">
        <v>25</v>
      </c>
      <c r="I3308" s="5" t="s">
        <v>25</v>
      </c>
      <c r="J3308" s="5" t="s">
        <v>25</v>
      </c>
      <c r="K3308" s="7" t="str">
        <f>VLOOKUP(A3308,Sheet2!$A$2:$R$3432,6,0)</f>
        <v>TVS Ntorq 125</v>
      </c>
      <c r="L3308" s="5" t="s">
        <v>25</v>
      </c>
      <c r="M3308" s="7" t="str">
        <f>VLOOKUP(A3308,Sheet2!$A$2:$R$3432,5,0)</f>
        <v>MH12TT3353</v>
      </c>
      <c r="N3308" s="5" t="s">
        <v>25</v>
      </c>
      <c r="O3308" s="5" t="s">
        <v>25</v>
      </c>
      <c r="P3308" s="6" t="s">
        <v>25</v>
      </c>
      <c r="Q3308" s="5" t="s">
        <v>25</v>
      </c>
      <c r="R3308" s="5" t="s">
        <v>25</v>
      </c>
      <c r="S3308" s="7" t="str">
        <f>VLOOKUP(A3308,Sheet2!$A$2:$R$3432,18,0)</f>
        <v/>
      </c>
      <c r="T3308" s="7" t="str">
        <f>VLOOKUP(A3308,Sheet2!$A$2:$R$3432,17,0)</f>
        <v/>
      </c>
    </row>
    <row r="3309" ht="15.75" customHeight="1">
      <c r="A3309" s="3" t="s">
        <v>3332</v>
      </c>
      <c r="B3309" s="4" t="str">
        <f>VLOOKUP(A3309,Sheet2!$A$2:$R$3432,2,0)</f>
        <v>2025-06-30 20:31:27</v>
      </c>
      <c r="C3309" s="5" t="s">
        <v>25</v>
      </c>
      <c r="D3309" s="6" t="s">
        <v>25</v>
      </c>
      <c r="E3309" s="7">
        <f>VLOOKUP(A3309,Sheet2!$A$2:$R$3432,4,0)</f>
        <v>9503561835</v>
      </c>
      <c r="F3309" s="7" t="str">
        <f>VLOOKUP(A3309,Sheet2!$A$2:$R$3432,3,0)</f>
        <v>Bhushan Bangar</v>
      </c>
      <c r="G3309" s="5" t="s">
        <v>25</v>
      </c>
      <c r="H3309" s="5" t="s">
        <v>25</v>
      </c>
      <c r="I3309" s="5" t="s">
        <v>25</v>
      </c>
      <c r="J3309" s="5" t="s">
        <v>25</v>
      </c>
      <c r="K3309" s="7" t="str">
        <f>VLOOKUP(A3309,Sheet2!$A$2:$R$3432,6,0)</f>
        <v>Yamaha FZ V3</v>
      </c>
      <c r="L3309" s="5" t="s">
        <v>25</v>
      </c>
      <c r="M3309" s="7" t="str">
        <f>VLOOKUP(A3309,Sheet2!$A$2:$R$3432,5,0)</f>
        <v>MH15GT5548</v>
      </c>
      <c r="N3309" s="5" t="s">
        <v>25</v>
      </c>
      <c r="O3309" s="5" t="s">
        <v>25</v>
      </c>
      <c r="P3309" s="6" t="s">
        <v>25</v>
      </c>
      <c r="Q3309" s="5" t="s">
        <v>25</v>
      </c>
      <c r="R3309" s="5" t="s">
        <v>25</v>
      </c>
      <c r="S3309" s="5" t="str">
        <f>VLOOKUP(A3309,Sheet2!$A$2:$R$3432,18,0)</f>
        <v>G3L5E0059369</v>
      </c>
      <c r="T3309" s="7" t="str">
        <f>VLOOKUP(A3309,Sheet2!$A$2:$R$3432,17,0)</f>
        <v>ME1RG44F2K008498</v>
      </c>
    </row>
    <row r="3310" ht="15.75" customHeight="1">
      <c r="A3310" s="3" t="s">
        <v>3333</v>
      </c>
      <c r="B3310" s="4" t="str">
        <f>VLOOKUP(A3310,Sheet2!$A$2:$R$3432,2,0)</f>
        <v>2025-06-30 19:41:48</v>
      </c>
      <c r="C3310" s="5" t="s">
        <v>25</v>
      </c>
      <c r="D3310" s="6" t="s">
        <v>25</v>
      </c>
      <c r="E3310" s="7">
        <f>VLOOKUP(A3310,Sheet2!$A$2:$R$3432,4,0)</f>
        <v>7776069661</v>
      </c>
      <c r="F3310" s="7" t="str">
        <f>VLOOKUP(A3310,Sheet2!$A$2:$R$3432,3,0)</f>
        <v>Aakash Muske</v>
      </c>
      <c r="G3310" s="5" t="s">
        <v>25</v>
      </c>
      <c r="H3310" s="5" t="s">
        <v>25</v>
      </c>
      <c r="I3310" s="5" t="s">
        <v>25</v>
      </c>
      <c r="J3310" s="5" t="s">
        <v>25</v>
      </c>
      <c r="K3310" s="7" t="str">
        <f>VLOOKUP(A3310,Sheet2!$A$2:$R$3432,6,0)</f>
        <v>Bajaj Pulsar 150</v>
      </c>
      <c r="L3310" s="5" t="s">
        <v>25</v>
      </c>
      <c r="M3310" s="7" t="str">
        <f>VLOOKUP(A3310,Sheet2!$A$2:$R$3432,5,0)</f>
        <v>MH37AF9054</v>
      </c>
      <c r="N3310" s="5" t="s">
        <v>25</v>
      </c>
      <c r="O3310" s="5" t="s">
        <v>25</v>
      </c>
      <c r="P3310" s="6" t="s">
        <v>25</v>
      </c>
      <c r="Q3310" s="5" t="s">
        <v>25</v>
      </c>
      <c r="R3310" s="5" t="s">
        <v>25</v>
      </c>
      <c r="S3310" s="5" t="str">
        <f>VLOOKUP(A3310,Sheet2!$A$2:$R$3432,18,0)</f>
        <v>PDXCPGS7589</v>
      </c>
      <c r="T3310" s="7" t="str">
        <f>VLOOKUP(A3310,Sheet2!$A$2:$R$3432,17,0)</f>
        <v>MD2041CX0PCG09529</v>
      </c>
    </row>
    <row r="3311" ht="15.75" customHeight="1">
      <c r="A3311" s="3" t="s">
        <v>3334</v>
      </c>
      <c r="B3311" s="4" t="str">
        <f>VLOOKUP(A3311,Sheet2!$A$2:$R$3432,2,0)</f>
        <v>2025-06-30 19:44:20</v>
      </c>
      <c r="C3311" s="5" t="s">
        <v>25</v>
      </c>
      <c r="D3311" s="6" t="s">
        <v>25</v>
      </c>
      <c r="E3311" s="7">
        <f>VLOOKUP(A3311,Sheet2!$A$2:$R$3432,4,0)</f>
        <v>9527092900</v>
      </c>
      <c r="F3311" s="7" t="str">
        <f>VLOOKUP(A3311,Sheet2!$A$2:$R$3432,3,0)</f>
        <v>Sumit </v>
      </c>
      <c r="G3311" s="5" t="s">
        <v>25</v>
      </c>
      <c r="H3311" s="5" t="s">
        <v>25</v>
      </c>
      <c r="I3311" s="5" t="s">
        <v>25</v>
      </c>
      <c r="J3311" s="5" t="s">
        <v>25</v>
      </c>
      <c r="K3311" s="7" t="str">
        <f>VLOOKUP(A3311,Sheet2!$A$2:$R$3432,6,0)</f>
        <v>TVS Jupiter 125</v>
      </c>
      <c r="L3311" s="5" t="s">
        <v>25</v>
      </c>
      <c r="M3311" s="7" t="str">
        <f>VLOOKUP(A3311,Sheet2!$A$2:$R$3432,5,0)</f>
        <v>MH14SH5134</v>
      </c>
      <c r="N3311" s="5" t="s">
        <v>25</v>
      </c>
      <c r="O3311" s="5" t="s">
        <v>25</v>
      </c>
      <c r="P3311" s="6" t="s">
        <v>25</v>
      </c>
      <c r="Q3311" s="5" t="s">
        <v>25</v>
      </c>
      <c r="R3311" s="5" t="s">
        <v>25</v>
      </c>
      <c r="S3311" s="7" t="str">
        <f>VLOOKUP(A3311,Sheet2!$A$2:$R$3432,18,0)</f>
        <v/>
      </c>
      <c r="T3311" s="7" t="str">
        <f>VLOOKUP(A3311,Sheet2!$A$2:$R$3432,17,0)</f>
        <v/>
      </c>
    </row>
    <row r="3312" ht="15.75" customHeight="1">
      <c r="A3312" s="3" t="s">
        <v>3335</v>
      </c>
      <c r="B3312" s="4" t="str">
        <f>VLOOKUP(A3312,Sheet2!$A$2:$R$3432,2,0)</f>
        <v>2025-06-30 20:31:53</v>
      </c>
      <c r="C3312" s="5" t="s">
        <v>25</v>
      </c>
      <c r="D3312" s="6" t="s">
        <v>25</v>
      </c>
      <c r="E3312" s="7">
        <f>VLOOKUP(A3312,Sheet2!$A$2:$R$3432,4,0)</f>
        <v>9823102130</v>
      </c>
      <c r="F3312" s="7" t="str">
        <f>VLOOKUP(A3312,Sheet2!$A$2:$R$3432,3,0)</f>
        <v>Debyan</v>
      </c>
      <c r="G3312" s="5" t="s">
        <v>25</v>
      </c>
      <c r="H3312" s="5" t="s">
        <v>25</v>
      </c>
      <c r="I3312" s="5" t="s">
        <v>25</v>
      </c>
      <c r="J3312" s="5" t="s">
        <v>25</v>
      </c>
      <c r="K3312" s="7" t="str">
        <f>VLOOKUP(A3312,Sheet2!$A$2:$R$3432,6,0)</f>
        <v>Royal Enfield Classic 350</v>
      </c>
      <c r="L3312" s="5" t="s">
        <v>25</v>
      </c>
      <c r="M3312" s="7" t="str">
        <f>VLOOKUP(A3312,Sheet2!$A$2:$R$3432,5,0)</f>
        <v>MH14JZ2812</v>
      </c>
      <c r="N3312" s="5" t="s">
        <v>25</v>
      </c>
      <c r="O3312" s="5" t="s">
        <v>25</v>
      </c>
      <c r="P3312" s="6" t="s">
        <v>25</v>
      </c>
      <c r="Q3312" s="5" t="s">
        <v>25</v>
      </c>
      <c r="R3312" s="5" t="s">
        <v>25</v>
      </c>
      <c r="S3312" s="7" t="str">
        <f>VLOOKUP(A3312,Sheet2!$A$2:$R$3432,18,0)</f>
        <v/>
      </c>
      <c r="T3312" s="7" t="str">
        <f>VLOOKUP(A3312,Sheet2!$A$2:$R$3432,17,0)</f>
        <v/>
      </c>
    </row>
    <row r="3313" ht="15.75" customHeight="1">
      <c r="A3313" s="3" t="s">
        <v>3336</v>
      </c>
      <c r="B3313" s="4" t="str">
        <f>VLOOKUP(A3313,Sheet2!$A$2:$R$3432,2,0)</f>
        <v>2025-06-30 19:41:10</v>
      </c>
      <c r="C3313" s="5" t="s">
        <v>25</v>
      </c>
      <c r="D3313" s="6" t="s">
        <v>25</v>
      </c>
      <c r="E3313" s="7">
        <f>VLOOKUP(A3313,Sheet2!$A$2:$R$3432,4,0)</f>
        <v>8308820710</v>
      </c>
      <c r="F3313" s="7" t="str">
        <f>VLOOKUP(A3313,Sheet2!$A$2:$R$3432,3,0)</f>
        <v>Vayandal</v>
      </c>
      <c r="G3313" s="5" t="s">
        <v>25</v>
      </c>
      <c r="H3313" s="5" t="s">
        <v>25</v>
      </c>
      <c r="I3313" s="5" t="s">
        <v>25</v>
      </c>
      <c r="J3313" s="5" t="s">
        <v>25</v>
      </c>
      <c r="K3313" s="7" t="str">
        <f>VLOOKUP(A3313,Sheet2!$A$2:$R$3432,6,0)</f>
        <v>Honda Activa 4G</v>
      </c>
      <c r="L3313" s="5" t="s">
        <v>25</v>
      </c>
      <c r="M3313" s="7" t="str">
        <f>VLOOKUP(A3313,Sheet2!$A$2:$R$3432,5,0)</f>
        <v>MH12QJ3049</v>
      </c>
      <c r="N3313" s="5" t="s">
        <v>25</v>
      </c>
      <c r="O3313" s="5" t="s">
        <v>25</v>
      </c>
      <c r="P3313" s="6" t="s">
        <v>25</v>
      </c>
      <c r="Q3313" s="5" t="s">
        <v>25</v>
      </c>
      <c r="R3313" s="5" t="s">
        <v>25</v>
      </c>
      <c r="S3313" s="5" t="str">
        <f>VLOOKUP(A3313,Sheet2!$A$2:$R$3432,18,0)</f>
        <v>JF50EU9117948</v>
      </c>
      <c r="T3313" s="7" t="str">
        <f>VLOOKUP(A3313,Sheet2!$A$2:$R$3432,17,0)</f>
        <v>ME4JF50CBJ4118244</v>
      </c>
    </row>
    <row r="3314" ht="15.75" customHeight="1">
      <c r="A3314" s="3" t="s">
        <v>3337</v>
      </c>
      <c r="B3314" s="4" t="str">
        <f>VLOOKUP(A3314,Sheet2!$A$2:$R$3432,2,0)</f>
        <v>2025-06-30 19:44:51</v>
      </c>
      <c r="C3314" s="5" t="s">
        <v>25</v>
      </c>
      <c r="D3314" s="6" t="s">
        <v>25</v>
      </c>
      <c r="E3314" s="7">
        <f>VLOOKUP(A3314,Sheet2!$A$2:$R$3432,4,0)</f>
        <v>9325110511</v>
      </c>
      <c r="F3314" s="7" t="str">
        <f>VLOOKUP(A3314,Sheet2!$A$2:$R$3432,3,0)</f>
        <v>DARSHIKA</v>
      </c>
      <c r="G3314" s="5" t="s">
        <v>25</v>
      </c>
      <c r="H3314" s="5" t="s">
        <v>25</v>
      </c>
      <c r="I3314" s="5" t="s">
        <v>25</v>
      </c>
      <c r="J3314" s="5" t="s">
        <v>25</v>
      </c>
      <c r="K3314" s="7" t="str">
        <f>VLOOKUP(A3314,Sheet2!$A$2:$R$3432,6,0)</f>
        <v>TVS Scooty PEP Plus</v>
      </c>
      <c r="L3314" s="5" t="s">
        <v>25</v>
      </c>
      <c r="M3314" s="7" t="str">
        <f>VLOOKUP(A3314,Sheet2!$A$2:$R$3432,5,0)</f>
        <v>MH27CD9576</v>
      </c>
      <c r="N3314" s="5" t="s">
        <v>25</v>
      </c>
      <c r="O3314" s="5" t="s">
        <v>25</v>
      </c>
      <c r="P3314" s="6" t="s">
        <v>25</v>
      </c>
      <c r="Q3314" s="5" t="s">
        <v>25</v>
      </c>
      <c r="R3314" s="5" t="s">
        <v>25</v>
      </c>
      <c r="S3314" s="5" t="str">
        <f>VLOOKUP(A3314,Sheet2!$A$2:$R$3432,18,0)</f>
        <v>AG3GH2068559</v>
      </c>
      <c r="T3314" s="7" t="str">
        <f>VLOOKUP(A3314,Sheet2!$A$2:$R$3432,17,0)</f>
        <v>MD626AG3SH2H75676</v>
      </c>
    </row>
    <row r="3315" ht="15.75" customHeight="1">
      <c r="A3315" s="3" t="s">
        <v>3338</v>
      </c>
      <c r="B3315" s="4" t="str">
        <f>VLOOKUP(A3315,Sheet2!$A$2:$R$3432,2,0)</f>
        <v>2025-06-30 19:43:24</v>
      </c>
      <c r="C3315" s="5" t="s">
        <v>25</v>
      </c>
      <c r="D3315" s="6" t="s">
        <v>25</v>
      </c>
      <c r="E3315" s="7">
        <f>VLOOKUP(A3315,Sheet2!$A$2:$R$3432,4,0)</f>
        <v>9960740206</v>
      </c>
      <c r="F3315" s="7" t="str">
        <f>VLOOKUP(A3315,Sheet2!$A$2:$R$3432,3,0)</f>
        <v>VAIBHAV MORE</v>
      </c>
      <c r="G3315" s="5" t="s">
        <v>25</v>
      </c>
      <c r="H3315" s="5" t="s">
        <v>25</v>
      </c>
      <c r="I3315" s="5" t="s">
        <v>25</v>
      </c>
      <c r="J3315" s="5" t="s">
        <v>25</v>
      </c>
      <c r="K3315" s="7" t="str">
        <f>VLOOKUP(A3315,Sheet2!$A$2:$R$3432,6,0)</f>
        <v>Hero Passion Pro</v>
      </c>
      <c r="L3315" s="5" t="s">
        <v>25</v>
      </c>
      <c r="M3315" s="7" t="str">
        <f>VLOOKUP(A3315,Sheet2!$A$2:$R$3432,5,0)</f>
        <v>MH05BB8893</v>
      </c>
      <c r="N3315" s="5" t="s">
        <v>25</v>
      </c>
      <c r="O3315" s="5" t="s">
        <v>25</v>
      </c>
      <c r="P3315" s="6" t="s">
        <v>25</v>
      </c>
      <c r="Q3315" s="5" t="s">
        <v>25</v>
      </c>
      <c r="R3315" s="5" t="s">
        <v>25</v>
      </c>
      <c r="S3315" s="7" t="str">
        <f>VLOOKUP(A3315,Sheet2!$A$2:$R$3432,18,0)</f>
        <v/>
      </c>
      <c r="T3315" s="7" t="str">
        <f>VLOOKUP(A3315,Sheet2!$A$2:$R$3432,17,0)</f>
        <v/>
      </c>
    </row>
    <row r="3316" ht="15.75" customHeight="1">
      <c r="A3316" s="3" t="s">
        <v>3339</v>
      </c>
      <c r="B3316" s="4" t="str">
        <f>VLOOKUP(A3316,Sheet2!$A$2:$R$3432,2,0)</f>
        <v>2025-06-30 19:40:10</v>
      </c>
      <c r="C3316" s="5" t="s">
        <v>25</v>
      </c>
      <c r="D3316" s="6" t="s">
        <v>25</v>
      </c>
      <c r="E3316" s="7">
        <f>VLOOKUP(A3316,Sheet2!$A$2:$R$3432,4,0)</f>
        <v>7798186982</v>
      </c>
      <c r="F3316" s="7" t="str">
        <f>VLOOKUP(A3316,Sheet2!$A$2:$R$3432,3,0)</f>
        <v>Chaudhari</v>
      </c>
      <c r="G3316" s="5" t="s">
        <v>25</v>
      </c>
      <c r="H3316" s="5" t="s">
        <v>25</v>
      </c>
      <c r="I3316" s="5" t="s">
        <v>25</v>
      </c>
      <c r="J3316" s="5" t="s">
        <v>25</v>
      </c>
      <c r="K3316" s="7" t="str">
        <f>VLOOKUP(A3316,Sheet2!$A$2:$R$3432,6,0)</f>
        <v>Suzuki Access </v>
      </c>
      <c r="L3316" s="5" t="s">
        <v>25</v>
      </c>
      <c r="M3316" s="7" t="str">
        <f>VLOOKUP(A3316,Sheet2!$A$2:$R$3432,5,0)</f>
        <v>MH14FK1194</v>
      </c>
      <c r="N3316" s="5" t="s">
        <v>25</v>
      </c>
      <c r="O3316" s="5" t="s">
        <v>25</v>
      </c>
      <c r="P3316" s="6" t="s">
        <v>25</v>
      </c>
      <c r="Q3316" s="5" t="s">
        <v>25</v>
      </c>
      <c r="R3316" s="5" t="s">
        <v>25</v>
      </c>
      <c r="S3316" s="7" t="str">
        <f>VLOOKUP(A3316,Sheet2!$A$2:$R$3432,18,0)</f>
        <v/>
      </c>
      <c r="T3316" s="7" t="str">
        <f>VLOOKUP(A3316,Sheet2!$A$2:$R$3432,17,0)</f>
        <v>MB86F4CAMF872024</v>
      </c>
    </row>
    <row r="3317" ht="15.75" customHeight="1">
      <c r="A3317" s="3" t="s">
        <v>3340</v>
      </c>
      <c r="B3317" s="4" t="str">
        <f>VLOOKUP(A3317,Sheet2!$A$2:$R$3432,2,0)</f>
        <v>2025-06-30 19:49:19</v>
      </c>
      <c r="C3317" s="5" t="s">
        <v>25</v>
      </c>
      <c r="D3317" s="6" t="s">
        <v>25</v>
      </c>
      <c r="E3317" s="7">
        <f>VLOOKUP(A3317,Sheet2!$A$2:$R$3432,4,0)</f>
        <v>9746114267</v>
      </c>
      <c r="F3317" s="7" t="str">
        <f>VLOOKUP(A3317,Sheet2!$A$2:$R$3432,3,0)</f>
        <v>Charudatta </v>
      </c>
      <c r="G3317" s="5" t="s">
        <v>25</v>
      </c>
      <c r="H3317" s="5" t="s">
        <v>25</v>
      </c>
      <c r="I3317" s="5" t="s">
        <v>25</v>
      </c>
      <c r="J3317" s="5" t="s">
        <v>25</v>
      </c>
      <c r="K3317" s="7" t="str">
        <f>VLOOKUP(A3317,Sheet2!$A$2:$R$3432,6,0)</f>
        <v>Honda Dio </v>
      </c>
      <c r="L3317" s="5" t="s">
        <v>25</v>
      </c>
      <c r="M3317" s="7" t="str">
        <f>VLOOKUP(A3317,Sheet2!$A$2:$R$3432,5,0)</f>
        <v>MH30Y8237</v>
      </c>
      <c r="N3317" s="5" t="s">
        <v>25</v>
      </c>
      <c r="O3317" s="5" t="s">
        <v>25</v>
      </c>
      <c r="P3317" s="6" t="s">
        <v>25</v>
      </c>
      <c r="Q3317" s="5" t="s">
        <v>25</v>
      </c>
      <c r="R3317" s="5" t="s">
        <v>25</v>
      </c>
      <c r="S3317" s="7" t="str">
        <f>VLOOKUP(A3317,Sheet2!$A$2:$R$3432,18,0)</f>
        <v/>
      </c>
      <c r="T3317" s="7" t="str">
        <f>VLOOKUP(A3317,Sheet2!$A$2:$R$3432,17,0)</f>
        <v/>
      </c>
    </row>
    <row r="3318" ht="15.75" customHeight="1">
      <c r="A3318" s="3" t="s">
        <v>3341</v>
      </c>
      <c r="B3318" s="4" t="str">
        <f>VLOOKUP(A3318,Sheet2!$A$2:$R$3432,2,0)</f>
        <v>2025-06-30 19:45:14</v>
      </c>
      <c r="C3318" s="5" t="s">
        <v>25</v>
      </c>
      <c r="D3318" s="6" t="s">
        <v>25</v>
      </c>
      <c r="E3318" s="7">
        <f>VLOOKUP(A3318,Sheet2!$A$2:$R$3432,4,0)</f>
        <v>8378937846</v>
      </c>
      <c r="F3318" s="7" t="str">
        <f>VLOOKUP(A3318,Sheet2!$A$2:$R$3432,3,0)</f>
        <v>Sanket Kulkarni </v>
      </c>
      <c r="G3318" s="5" t="s">
        <v>25</v>
      </c>
      <c r="H3318" s="5" t="s">
        <v>25</v>
      </c>
      <c r="I3318" s="5" t="s">
        <v>25</v>
      </c>
      <c r="J3318" s="5" t="s">
        <v>25</v>
      </c>
      <c r="K3318" s="7" t="str">
        <f>VLOOKUP(A3318,Sheet2!$A$2:$R$3432,6,0)</f>
        <v>Yamaha FZ V4</v>
      </c>
      <c r="L3318" s="5" t="s">
        <v>25</v>
      </c>
      <c r="M3318" s="7" t="str">
        <f>VLOOKUP(A3318,Sheet2!$A$2:$R$3432,5,0)</f>
        <v>MH10EG2327</v>
      </c>
      <c r="N3318" s="5" t="s">
        <v>25</v>
      </c>
      <c r="O3318" s="5" t="s">
        <v>25</v>
      </c>
      <c r="P3318" s="6" t="s">
        <v>25</v>
      </c>
      <c r="Q3318" s="5" t="s">
        <v>25</v>
      </c>
      <c r="R3318" s="5" t="s">
        <v>25</v>
      </c>
      <c r="S3318" s="5" t="str">
        <f>VLOOKUP(A3318,Sheet2!$A$2:$R$3432,18,0)</f>
        <v>G3NSCO399652</v>
      </c>
      <c r="T3318" s="7" t="str">
        <f>VLOOKUP(A3318,Sheet2!$A$2:$R$3432,17,0)</f>
        <v>ME1QG4152R0018875</v>
      </c>
    </row>
    <row r="3319" ht="15.75" customHeight="1">
      <c r="A3319" s="3" t="s">
        <v>3342</v>
      </c>
      <c r="B3319" s="4" t="str">
        <f>VLOOKUP(A3319,Sheet2!$A$2:$R$3432,2,0)</f>
        <v>2025-06-30 19:45:50</v>
      </c>
      <c r="C3319" s="5" t="s">
        <v>25</v>
      </c>
      <c r="D3319" s="6" t="s">
        <v>25</v>
      </c>
      <c r="E3319" s="7">
        <f>VLOOKUP(A3319,Sheet2!$A$2:$R$3432,4,0)</f>
        <v>9881563207</v>
      </c>
      <c r="F3319" s="7" t="str">
        <f>VLOOKUP(A3319,Sheet2!$A$2:$R$3432,3,0)</f>
        <v>TUSHAR </v>
      </c>
      <c r="G3319" s="5" t="s">
        <v>25</v>
      </c>
      <c r="H3319" s="5" t="s">
        <v>25</v>
      </c>
      <c r="I3319" s="5" t="s">
        <v>25</v>
      </c>
      <c r="J3319" s="5" t="s">
        <v>25</v>
      </c>
      <c r="K3319" s="7" t="str">
        <f>VLOOKUP(A3319,Sheet2!$A$2:$R$3432,6,0)</f>
        <v>Honda Activa 5G</v>
      </c>
      <c r="L3319" s="5" t="s">
        <v>25</v>
      </c>
      <c r="M3319" s="7" t="str">
        <f>VLOOKUP(A3319,Sheet2!$A$2:$R$3432,5,0)</f>
        <v>MH14HX1414</v>
      </c>
      <c r="N3319" s="5" t="s">
        <v>25</v>
      </c>
      <c r="O3319" s="5" t="s">
        <v>25</v>
      </c>
      <c r="P3319" s="6" t="s">
        <v>25</v>
      </c>
      <c r="Q3319" s="5" t="s">
        <v>25</v>
      </c>
      <c r="R3319" s="5" t="s">
        <v>25</v>
      </c>
      <c r="S3319" s="5" t="str">
        <f>VLOOKUP(A3319,Sheet2!$A$2:$R$3432,18,0)</f>
        <v>JF50EW1074255</v>
      </c>
      <c r="T3319" s="7" t="str">
        <f>VLOOKUP(A3319,Sheet2!$A$2:$R$3432,17,0)</f>
        <v>ME4JF50BHKH674170</v>
      </c>
    </row>
    <row r="3320" ht="15.75" customHeight="1">
      <c r="A3320" s="3" t="s">
        <v>3343</v>
      </c>
      <c r="B3320" s="4" t="str">
        <f>VLOOKUP(A3320,Sheet2!$A$2:$R$3432,2,0)</f>
        <v>2025-06-30 21:05:44</v>
      </c>
      <c r="C3320" s="5" t="s">
        <v>25</v>
      </c>
      <c r="D3320" s="6" t="s">
        <v>25</v>
      </c>
      <c r="E3320" s="7">
        <f>VLOOKUP(A3320,Sheet2!$A$2:$R$3432,4,0)</f>
        <v>9766945541</v>
      </c>
      <c r="F3320" s="7" t="str">
        <f>VLOOKUP(A3320,Sheet2!$A$2:$R$3432,3,0)</f>
        <v>Ashok Choudhary</v>
      </c>
      <c r="G3320" s="5" t="s">
        <v>25</v>
      </c>
      <c r="H3320" s="5" t="s">
        <v>25</v>
      </c>
      <c r="I3320" s="5" t="s">
        <v>25</v>
      </c>
      <c r="J3320" s="5" t="s">
        <v>25</v>
      </c>
      <c r="K3320" s="7" t="str">
        <f>VLOOKUP(A3320,Sheet2!$A$2:$R$3432,6,0)</f>
        <v>Honda Activa 5G</v>
      </c>
      <c r="L3320" s="5" t="s">
        <v>25</v>
      </c>
      <c r="M3320" s="7" t="str">
        <f>VLOOKUP(A3320,Sheet2!$A$2:$R$3432,5,0)</f>
        <v>MH14HZ7180</v>
      </c>
      <c r="N3320" s="5" t="s">
        <v>25</v>
      </c>
      <c r="O3320" s="5" t="s">
        <v>25</v>
      </c>
      <c r="P3320" s="6" t="s">
        <v>25</v>
      </c>
      <c r="Q3320" s="5" t="s">
        <v>25</v>
      </c>
      <c r="R3320" s="5" t="s">
        <v>25</v>
      </c>
      <c r="S3320" s="5" t="str">
        <f>VLOOKUP(A3320,Sheet2!$A$2:$R$3432,18,0)</f>
        <v>JF50EG1165366</v>
      </c>
      <c r="T3320" s="7" t="str">
        <f>VLOOKUP(A3320,Sheet2!$A$2:$R$3432,17,0)</f>
        <v>ME4JF50BMKG167305</v>
      </c>
    </row>
    <row r="3321" ht="15.75" customHeight="1">
      <c r="A3321" s="3" t="s">
        <v>3344</v>
      </c>
      <c r="B3321" s="4" t="str">
        <f>VLOOKUP(A3321,Sheet2!$A$2:$R$3432,2,0)</f>
        <v>2025-06-30 20:35:17</v>
      </c>
      <c r="C3321" s="5" t="s">
        <v>25</v>
      </c>
      <c r="D3321" s="6" t="s">
        <v>25</v>
      </c>
      <c r="E3321" s="7">
        <f>VLOOKUP(A3321,Sheet2!$A$2:$R$3432,4,0)</f>
        <v>8624080590</v>
      </c>
      <c r="F3321" s="7" t="str">
        <f>VLOOKUP(A3321,Sheet2!$A$2:$R$3432,3,0)</f>
        <v>ROSHAN FAUNDE </v>
      </c>
      <c r="G3321" s="5" t="s">
        <v>25</v>
      </c>
      <c r="H3321" s="5" t="s">
        <v>25</v>
      </c>
      <c r="I3321" s="5" t="s">
        <v>25</v>
      </c>
      <c r="J3321" s="5" t="s">
        <v>25</v>
      </c>
      <c r="K3321" s="7" t="str">
        <f>VLOOKUP(A3321,Sheet2!$A$2:$R$3432,6,0)</f>
        <v>Yamaha FZ S 2.0</v>
      </c>
      <c r="L3321" s="5" t="s">
        <v>25</v>
      </c>
      <c r="M3321" s="7" t="str">
        <f>VLOOKUP(A3321,Sheet2!$A$2:$R$3432,5,0)</f>
        <v>MH12SH6806</v>
      </c>
      <c r="N3321" s="5" t="s">
        <v>25</v>
      </c>
      <c r="O3321" s="5" t="s">
        <v>25</v>
      </c>
      <c r="P3321" s="6" t="s">
        <v>25</v>
      </c>
      <c r="Q3321" s="5" t="s">
        <v>25</v>
      </c>
      <c r="R3321" s="5" t="s">
        <v>25</v>
      </c>
      <c r="S3321" s="7" t="str">
        <f>VLOOKUP(A3321,Sheet2!$A$2:$R$3432,18,0)</f>
        <v/>
      </c>
      <c r="T3321" s="7" t="str">
        <f>VLOOKUP(A3321,Sheet2!$A$2:$R$3432,17,0)</f>
        <v/>
      </c>
    </row>
    <row r="3322" ht="15.75" customHeight="1">
      <c r="A3322" s="3" t="s">
        <v>3345</v>
      </c>
      <c r="B3322" s="4" t="str">
        <f>VLOOKUP(A3322,Sheet2!$A$2:$R$3432,2,0)</f>
        <v>2025-07-03 18:59:46</v>
      </c>
      <c r="C3322" s="5" t="s">
        <v>25</v>
      </c>
      <c r="D3322" s="6" t="s">
        <v>25</v>
      </c>
      <c r="E3322" s="7">
        <f>VLOOKUP(A3322,Sheet2!$A$2:$R$3432,4,0)</f>
        <v>9552508099</v>
      </c>
      <c r="F3322" s="7" t="str">
        <f>VLOOKUP(A3322,Sheet2!$A$2:$R$3432,3,0)</f>
        <v>DEOLIKAR </v>
      </c>
      <c r="G3322" s="5" t="s">
        <v>25</v>
      </c>
      <c r="H3322" s="5" t="s">
        <v>25</v>
      </c>
      <c r="I3322" s="5" t="s">
        <v>25</v>
      </c>
      <c r="J3322" s="5" t="s">
        <v>25</v>
      </c>
      <c r="K3322" s="7" t="str">
        <f>VLOOKUP(A3322,Sheet2!$A$2:$R$3432,6,0)</f>
        <v>TVS Jupiter </v>
      </c>
      <c r="L3322" s="5" t="s">
        <v>25</v>
      </c>
      <c r="M3322" s="7" t="str">
        <f>VLOOKUP(A3322,Sheet2!$A$2:$R$3432,5,0)</f>
        <v>MH14HC4394</v>
      </c>
      <c r="N3322" s="5" t="s">
        <v>25</v>
      </c>
      <c r="O3322" s="5" t="s">
        <v>25</v>
      </c>
      <c r="P3322" s="6" t="s">
        <v>25</v>
      </c>
      <c r="Q3322" s="5" t="s">
        <v>25</v>
      </c>
      <c r="R3322" s="5" t="s">
        <v>25</v>
      </c>
      <c r="S3322" s="7" t="str">
        <f>VLOOKUP(A3322,Sheet2!$A$2:$R$3432,18,0)</f>
        <v/>
      </c>
      <c r="T3322" s="7" t="str">
        <f>VLOOKUP(A3322,Sheet2!$A$2:$R$3432,17,0)</f>
        <v/>
      </c>
    </row>
    <row r="3323" ht="15.75" customHeight="1">
      <c r="A3323" s="3" t="s">
        <v>3346</v>
      </c>
      <c r="B3323" s="4" t="str">
        <f>VLOOKUP(A3323,Sheet2!$A$2:$R$3432,2,0)</f>
        <v>2025-07-03 19:00:48</v>
      </c>
      <c r="C3323" s="5" t="s">
        <v>25</v>
      </c>
      <c r="D3323" s="6" t="s">
        <v>25</v>
      </c>
      <c r="E3323" s="7">
        <f>VLOOKUP(A3323,Sheet2!$A$2:$R$3432,4,0)</f>
        <v>7798516964</v>
      </c>
      <c r="F3323" s="7" t="str">
        <f>VLOOKUP(A3323,Sheet2!$A$2:$R$3432,3,0)</f>
        <v>Vishal </v>
      </c>
      <c r="G3323" s="5" t="s">
        <v>25</v>
      </c>
      <c r="H3323" s="5" t="s">
        <v>25</v>
      </c>
      <c r="I3323" s="5" t="s">
        <v>25</v>
      </c>
      <c r="J3323" s="5" t="s">
        <v>25</v>
      </c>
      <c r="K3323" s="7" t="str">
        <f>VLOOKUP(A3323,Sheet2!$A$2:$R$3432,6,0)</f>
        <v>Suzuki Access 125</v>
      </c>
      <c r="L3323" s="5" t="s">
        <v>25</v>
      </c>
      <c r="M3323" s="7" t="str">
        <f>VLOOKUP(A3323,Sheet2!$A$2:$R$3432,5,0)</f>
        <v>MH12WB2276</v>
      </c>
      <c r="N3323" s="5" t="s">
        <v>25</v>
      </c>
      <c r="O3323" s="5" t="s">
        <v>25</v>
      </c>
      <c r="P3323" s="6" t="s">
        <v>25</v>
      </c>
      <c r="Q3323" s="5" t="s">
        <v>25</v>
      </c>
      <c r="R3323" s="5" t="s">
        <v>25</v>
      </c>
      <c r="S3323" s="7" t="str">
        <f>VLOOKUP(A3323,Sheet2!$A$2:$R$3432,18,0)</f>
        <v/>
      </c>
      <c r="T3323" s="7" t="str">
        <f>VLOOKUP(A3323,Sheet2!$A$2:$R$3432,17,0)</f>
        <v/>
      </c>
    </row>
    <row r="3324" ht="15.75" customHeight="1">
      <c r="A3324" s="3" t="s">
        <v>3347</v>
      </c>
      <c r="B3324" s="4" t="str">
        <f>VLOOKUP(A3324,Sheet2!$A$2:$R$3432,2,0)</f>
        <v>2025-07-03 19:00:23</v>
      </c>
      <c r="C3324" s="5" t="s">
        <v>25</v>
      </c>
      <c r="D3324" s="6" t="s">
        <v>25</v>
      </c>
      <c r="E3324" s="7">
        <f>VLOOKUP(A3324,Sheet2!$A$2:$R$3432,4,0)</f>
        <v>8468949983</v>
      </c>
      <c r="F3324" s="7" t="str">
        <f>VLOOKUP(A3324,Sheet2!$A$2:$R$3432,3,0)</f>
        <v>SHANTANU </v>
      </c>
      <c r="G3324" s="5" t="s">
        <v>25</v>
      </c>
      <c r="H3324" s="5" t="s">
        <v>25</v>
      </c>
      <c r="I3324" s="5" t="s">
        <v>25</v>
      </c>
      <c r="J3324" s="5" t="s">
        <v>25</v>
      </c>
      <c r="K3324" s="7" t="str">
        <f>VLOOKUP(A3324,Sheet2!$A$2:$R$3432,6,0)</f>
        <v>Bajaj Pulsar 150 AS</v>
      </c>
      <c r="L3324" s="5" t="s">
        <v>25</v>
      </c>
      <c r="M3324" s="7" t="str">
        <f>VLOOKUP(A3324,Sheet2!$A$2:$R$3432,5,0)</f>
        <v>MH12MM8813</v>
      </c>
      <c r="N3324" s="5" t="s">
        <v>25</v>
      </c>
      <c r="O3324" s="5" t="s">
        <v>25</v>
      </c>
      <c r="P3324" s="6" t="s">
        <v>25</v>
      </c>
      <c r="Q3324" s="5" t="s">
        <v>25</v>
      </c>
      <c r="R3324" s="5" t="s">
        <v>25</v>
      </c>
      <c r="S3324" s="5" t="str">
        <f>VLOOKUP(A3324,Sheet2!$A$2:$R$3432,18,0)</f>
        <v>JEZCFF32321</v>
      </c>
      <c r="T3324" s="7" t="str">
        <f>VLOOKUP(A3324,Sheet2!$A$2:$R$3432,17,0)</f>
        <v/>
      </c>
    </row>
    <row r="3325" ht="15.75" customHeight="1">
      <c r="A3325" s="3" t="s">
        <v>3348</v>
      </c>
      <c r="B3325" s="4" t="str">
        <f>VLOOKUP(A3325,Sheet2!$A$2:$R$3432,2,0)</f>
        <v>2025-07-03 19:01:05</v>
      </c>
      <c r="C3325" s="5" t="s">
        <v>25</v>
      </c>
      <c r="D3325" s="6" t="s">
        <v>25</v>
      </c>
      <c r="E3325" s="7">
        <f>VLOOKUP(A3325,Sheet2!$A$2:$R$3432,4,0)</f>
        <v>9860475700</v>
      </c>
      <c r="F3325" s="7" t="str">
        <f>VLOOKUP(A3325,Sheet2!$A$2:$R$3432,3,0)</f>
        <v>Ajay More</v>
      </c>
      <c r="G3325" s="5" t="s">
        <v>25</v>
      </c>
      <c r="H3325" s="5" t="s">
        <v>25</v>
      </c>
      <c r="I3325" s="5" t="s">
        <v>25</v>
      </c>
      <c r="J3325" s="5" t="s">
        <v>25</v>
      </c>
      <c r="K3325" s="7" t="str">
        <f>VLOOKUP(A3325,Sheet2!$A$2:$R$3432,6,0)</f>
        <v>TVS Jupiter </v>
      </c>
      <c r="L3325" s="5" t="s">
        <v>25</v>
      </c>
      <c r="M3325" s="7" t="str">
        <f>VLOOKUP(A3325,Sheet2!$A$2:$R$3432,5,0)</f>
        <v>MH14GG0514</v>
      </c>
      <c r="N3325" s="5" t="s">
        <v>25</v>
      </c>
      <c r="O3325" s="5" t="s">
        <v>25</v>
      </c>
      <c r="P3325" s="6" t="s">
        <v>25</v>
      </c>
      <c r="Q3325" s="5" t="s">
        <v>25</v>
      </c>
      <c r="R3325" s="5" t="s">
        <v>25</v>
      </c>
      <c r="S3325" s="7" t="str">
        <f>VLOOKUP(A3325,Sheet2!$A$2:$R$3432,18,0)</f>
        <v/>
      </c>
      <c r="T3325" s="7" t="str">
        <f>VLOOKUP(A3325,Sheet2!$A$2:$R$3432,17,0)</f>
        <v>MD626EG49H1B33597</v>
      </c>
    </row>
    <row r="3326" ht="15.75" customHeight="1">
      <c r="A3326" s="3" t="s">
        <v>3349</v>
      </c>
      <c r="B3326" s="4" t="str">
        <f>VLOOKUP(A3326,Sheet2!$A$2:$R$3432,2,0)</f>
        <v>2025-07-03 19:02:29</v>
      </c>
      <c r="C3326" s="5" t="s">
        <v>25</v>
      </c>
      <c r="D3326" s="6" t="s">
        <v>25</v>
      </c>
      <c r="E3326" s="7">
        <f>VLOOKUP(A3326,Sheet2!$A$2:$R$3432,4,0)</f>
        <v>8928219052</v>
      </c>
      <c r="F3326" s="7" t="str">
        <f>VLOOKUP(A3326,Sheet2!$A$2:$R$3432,3,0)</f>
        <v>Krishna </v>
      </c>
      <c r="G3326" s="5" t="s">
        <v>25</v>
      </c>
      <c r="H3326" s="5" t="s">
        <v>25</v>
      </c>
      <c r="I3326" s="5" t="s">
        <v>25</v>
      </c>
      <c r="J3326" s="5" t="s">
        <v>25</v>
      </c>
      <c r="K3326" s="7" t="str">
        <f>VLOOKUP(A3326,Sheet2!$A$2:$R$3432,6,0)</f>
        <v>Hero Splendor </v>
      </c>
      <c r="L3326" s="5" t="s">
        <v>25</v>
      </c>
      <c r="M3326" s="7" t="str">
        <f>VLOOKUP(A3326,Sheet2!$A$2:$R$3432,5,0)</f>
        <v>MH12BF2490</v>
      </c>
      <c r="N3326" s="5" t="s">
        <v>25</v>
      </c>
      <c r="O3326" s="5" t="s">
        <v>25</v>
      </c>
      <c r="P3326" s="6" t="s">
        <v>25</v>
      </c>
      <c r="Q3326" s="5" t="s">
        <v>25</v>
      </c>
      <c r="R3326" s="5" t="s">
        <v>25</v>
      </c>
      <c r="S3326" s="7" t="str">
        <f>VLOOKUP(A3326,Sheet2!$A$2:$R$3432,18,0)</f>
        <v/>
      </c>
      <c r="T3326" s="7" t="str">
        <f>VLOOKUP(A3326,Sheet2!$A$2:$R$3432,17,0)</f>
        <v/>
      </c>
    </row>
    <row r="3327" ht="15.75" customHeight="1">
      <c r="A3327" s="3" t="s">
        <v>3350</v>
      </c>
      <c r="B3327" s="4" t="str">
        <f>VLOOKUP(A3327,Sheet2!$A$2:$R$3432,2,0)</f>
        <v>2025-07-03 19:02:53</v>
      </c>
      <c r="C3327" s="5" t="s">
        <v>25</v>
      </c>
      <c r="D3327" s="6" t="s">
        <v>25</v>
      </c>
      <c r="E3327" s="7">
        <f>VLOOKUP(A3327,Sheet2!$A$2:$R$3432,4,0)</f>
        <v>9970099082</v>
      </c>
      <c r="F3327" s="7" t="str">
        <f>VLOOKUP(A3327,Sheet2!$A$2:$R$3432,3,0)</f>
        <v>Pankaj Patil</v>
      </c>
      <c r="G3327" s="5" t="s">
        <v>25</v>
      </c>
      <c r="H3327" s="5" t="s">
        <v>25</v>
      </c>
      <c r="I3327" s="5" t="s">
        <v>25</v>
      </c>
      <c r="J3327" s="5" t="s">
        <v>25</v>
      </c>
      <c r="K3327" s="7" t="str">
        <f>VLOOKUP(A3327,Sheet2!$A$2:$R$3432,6,0)</f>
        <v>Honda Activa 6G</v>
      </c>
      <c r="L3327" s="5" t="s">
        <v>25</v>
      </c>
      <c r="M3327" s="7" t="str">
        <f>VLOOKUP(A3327,Sheet2!$A$2:$R$3432,5,0)</f>
        <v>MH14JK9759</v>
      </c>
      <c r="N3327" s="5" t="s">
        <v>25</v>
      </c>
      <c r="O3327" s="5" t="s">
        <v>25</v>
      </c>
      <c r="P3327" s="6" t="s">
        <v>25</v>
      </c>
      <c r="Q3327" s="5" t="s">
        <v>25</v>
      </c>
      <c r="R3327" s="5" t="s">
        <v>25</v>
      </c>
      <c r="S3327" s="7" t="str">
        <f>VLOOKUP(A3327,Sheet2!$A$2:$R$3432,18,0)</f>
        <v/>
      </c>
      <c r="T3327" s="7" t="str">
        <f>VLOOKUP(A3327,Sheet2!$A$2:$R$3432,17,0)</f>
        <v/>
      </c>
    </row>
    <row r="3328" ht="15.75" customHeight="1">
      <c r="A3328" s="3" t="s">
        <v>3351</v>
      </c>
      <c r="B3328" s="4" t="str">
        <f>VLOOKUP(A3328,Sheet2!$A$2:$R$3432,2,0)</f>
        <v>2025-07-03 19:01:38</v>
      </c>
      <c r="C3328" s="5" t="s">
        <v>25</v>
      </c>
      <c r="D3328" s="6" t="s">
        <v>25</v>
      </c>
      <c r="E3328" s="7">
        <f>VLOOKUP(A3328,Sheet2!$A$2:$R$3432,4,0)</f>
        <v>8600190953</v>
      </c>
      <c r="F3328" s="7" t="str">
        <f>VLOOKUP(A3328,Sheet2!$A$2:$R$3432,3,0)</f>
        <v>Krunal </v>
      </c>
      <c r="G3328" s="5" t="s">
        <v>25</v>
      </c>
      <c r="H3328" s="5" t="s">
        <v>25</v>
      </c>
      <c r="I3328" s="5" t="s">
        <v>25</v>
      </c>
      <c r="J3328" s="5" t="s">
        <v>25</v>
      </c>
      <c r="K3328" s="7" t="str">
        <f>VLOOKUP(A3328,Sheet2!$A$2:$R$3432,6,0)</f>
        <v>Honda Activa </v>
      </c>
      <c r="L3328" s="5" t="s">
        <v>25</v>
      </c>
      <c r="M3328" s="7" t="str">
        <f>VLOOKUP(A3328,Sheet2!$A$2:$R$3432,5,0)</f>
        <v>MH12LB6913</v>
      </c>
      <c r="N3328" s="5" t="s">
        <v>25</v>
      </c>
      <c r="O3328" s="5" t="s">
        <v>25</v>
      </c>
      <c r="P3328" s="6" t="s">
        <v>25</v>
      </c>
      <c r="Q3328" s="5" t="s">
        <v>25</v>
      </c>
      <c r="R3328" s="5" t="s">
        <v>25</v>
      </c>
      <c r="S3328" s="5" t="str">
        <f>VLOOKUP(A3328,Sheet2!$A$2:$R$3432,18,0)</f>
        <v>JF50E71059038</v>
      </c>
      <c r="T3328" s="7" t="str">
        <f>VLOOKUP(A3328,Sheet2!$A$2:$R$3432,17,0)</f>
        <v>ME4JF502EE7059022</v>
      </c>
    </row>
    <row r="3329" ht="15.75" customHeight="1">
      <c r="A3329" s="3" t="s">
        <v>3352</v>
      </c>
      <c r="B3329" s="4" t="str">
        <f>VLOOKUP(A3329,Sheet2!$A$2:$R$3432,2,0)</f>
        <v>2025-07-03 19:03:52</v>
      </c>
      <c r="C3329" s="5" t="s">
        <v>25</v>
      </c>
      <c r="D3329" s="6" t="s">
        <v>25</v>
      </c>
      <c r="E3329" s="7">
        <f>VLOOKUP(A3329,Sheet2!$A$2:$R$3432,4,0)</f>
        <v>9860629331</v>
      </c>
      <c r="F3329" s="7" t="str">
        <f>VLOOKUP(A3329,Sheet2!$A$2:$R$3432,3,0)</f>
        <v>Vicky </v>
      </c>
      <c r="G3329" s="5" t="s">
        <v>25</v>
      </c>
      <c r="H3329" s="5" t="s">
        <v>25</v>
      </c>
      <c r="I3329" s="5" t="s">
        <v>25</v>
      </c>
      <c r="J3329" s="5" t="s">
        <v>25</v>
      </c>
      <c r="K3329" s="7" t="str">
        <f>VLOOKUP(A3329,Sheet2!$A$2:$R$3432,6,0)</f>
        <v>Hero Hunk </v>
      </c>
      <c r="L3329" s="5" t="s">
        <v>25</v>
      </c>
      <c r="M3329" s="7" t="str">
        <f>VLOOKUP(A3329,Sheet2!$A$2:$R$3432,5,0)</f>
        <v>MH34AG9440</v>
      </c>
      <c r="N3329" s="5" t="s">
        <v>25</v>
      </c>
      <c r="O3329" s="5" t="s">
        <v>25</v>
      </c>
      <c r="P3329" s="6" t="s">
        <v>25</v>
      </c>
      <c r="Q3329" s="5" t="s">
        <v>25</v>
      </c>
      <c r="R3329" s="5" t="s">
        <v>25</v>
      </c>
      <c r="S3329" s="7" t="str">
        <f>VLOOKUP(A3329,Sheet2!$A$2:$R$3432,18,0)</f>
        <v/>
      </c>
      <c r="T3329" s="7" t="str">
        <f>VLOOKUP(A3329,Sheet2!$A$2:$R$3432,17,0)</f>
        <v/>
      </c>
    </row>
    <row r="3330" ht="15.75" customHeight="1">
      <c r="A3330" s="3" t="s">
        <v>3353</v>
      </c>
      <c r="B3330" s="4" t="str">
        <f>VLOOKUP(A3330,Sheet2!$A$2:$R$3432,2,0)</f>
        <v>2025-07-03 19:04:31</v>
      </c>
      <c r="C3330" s="5" t="s">
        <v>25</v>
      </c>
      <c r="D3330" s="6" t="s">
        <v>25</v>
      </c>
      <c r="E3330" s="7">
        <f>VLOOKUP(A3330,Sheet2!$A$2:$R$3432,4,0)</f>
        <v>8830202527</v>
      </c>
      <c r="F3330" s="7" t="str">
        <f>VLOOKUP(A3330,Sheet2!$A$2:$R$3432,3,0)</f>
        <v>Sanket Pawar </v>
      </c>
      <c r="G3330" s="5" t="s">
        <v>25</v>
      </c>
      <c r="H3330" s="5" t="s">
        <v>25</v>
      </c>
      <c r="I3330" s="5" t="s">
        <v>25</v>
      </c>
      <c r="J3330" s="5" t="s">
        <v>25</v>
      </c>
      <c r="K3330" s="7" t="str">
        <f>VLOOKUP(A3330,Sheet2!$A$2:$R$3432,6,0)</f>
        <v>Yamaha R15 </v>
      </c>
      <c r="L3330" s="5" t="s">
        <v>25</v>
      </c>
      <c r="M3330" s="7" t="str">
        <f>VLOOKUP(A3330,Sheet2!$A$2:$R$3432,5,0)</f>
        <v>MH14JW8324</v>
      </c>
      <c r="N3330" s="5" t="s">
        <v>25</v>
      </c>
      <c r="O3330" s="5" t="s">
        <v>25</v>
      </c>
      <c r="P3330" s="6" t="s">
        <v>25</v>
      </c>
      <c r="Q3330" s="5" t="s">
        <v>25</v>
      </c>
      <c r="R3330" s="5" t="s">
        <v>25</v>
      </c>
      <c r="S3330" s="7" t="str">
        <f>VLOOKUP(A3330,Sheet2!$A$2:$R$3432,18,0)</f>
        <v/>
      </c>
      <c r="T3330" s="7" t="str">
        <f>VLOOKUP(A3330,Sheet2!$A$2:$R$3432,17,0)</f>
        <v/>
      </c>
    </row>
    <row r="3331" ht="15.75" customHeight="1">
      <c r="A3331" s="3" t="s">
        <v>3354</v>
      </c>
      <c r="B3331" s="4" t="str">
        <f>VLOOKUP(A3331,Sheet2!$A$2:$R$3432,2,0)</f>
        <v>2025-07-03 19:05:07</v>
      </c>
      <c r="C3331" s="5" t="s">
        <v>25</v>
      </c>
      <c r="D3331" s="6" t="s">
        <v>25</v>
      </c>
      <c r="E3331" s="7">
        <f>VLOOKUP(A3331,Sheet2!$A$2:$R$3432,4,0)</f>
        <v>9819736283</v>
      </c>
      <c r="F3331" s="7" t="str">
        <f>VLOOKUP(A3331,Sheet2!$A$2:$R$3432,3,0)</f>
        <v>Prabhakar Shilamkar</v>
      </c>
      <c r="G3331" s="5" t="s">
        <v>25</v>
      </c>
      <c r="H3331" s="5" t="s">
        <v>25</v>
      </c>
      <c r="I3331" s="5" t="s">
        <v>25</v>
      </c>
      <c r="J3331" s="5" t="s">
        <v>25</v>
      </c>
      <c r="K3331" s="7" t="str">
        <f>VLOOKUP(A3331,Sheet2!$A$2:$R$3432,6,0)</f>
        <v>TVS Scooty Zest</v>
      </c>
      <c r="L3331" s="5" t="s">
        <v>25</v>
      </c>
      <c r="M3331" s="7" t="str">
        <f>VLOOKUP(A3331,Sheet2!$A$2:$R$3432,5,0)</f>
        <v>MH14EX3033</v>
      </c>
      <c r="N3331" s="5" t="s">
        <v>25</v>
      </c>
      <c r="O3331" s="5" t="s">
        <v>25</v>
      </c>
      <c r="P3331" s="6" t="s">
        <v>25</v>
      </c>
      <c r="Q3331" s="5" t="s">
        <v>25</v>
      </c>
      <c r="R3331" s="5" t="s">
        <v>25</v>
      </c>
      <c r="S3331" s="7" t="str">
        <f>VLOOKUP(A3331,Sheet2!$A$2:$R$3432,18,0)</f>
        <v/>
      </c>
      <c r="T3331" s="7" t="str">
        <f>VLOOKUP(A3331,Sheet2!$A$2:$R$3432,17,0)</f>
        <v>MD262CG44F2B58495</v>
      </c>
    </row>
    <row r="3332" ht="15.75" customHeight="1">
      <c r="A3332" s="3" t="s">
        <v>3355</v>
      </c>
      <c r="B3332" s="4" t="str">
        <f>VLOOKUP(A3332,Sheet2!$A$2:$R$3432,2,0)</f>
        <v>2025-07-03 19:04:47</v>
      </c>
      <c r="C3332" s="5" t="s">
        <v>25</v>
      </c>
      <c r="D3332" s="6" t="s">
        <v>25</v>
      </c>
      <c r="E3332" s="7">
        <f>VLOOKUP(A3332,Sheet2!$A$2:$R$3432,4,0)</f>
        <v>9850601122</v>
      </c>
      <c r="F3332" s="7" t="str">
        <f>VLOOKUP(A3332,Sheet2!$A$2:$R$3432,3,0)</f>
        <v>Arun Bande</v>
      </c>
      <c r="G3332" s="5" t="s">
        <v>25</v>
      </c>
      <c r="H3332" s="5" t="s">
        <v>25</v>
      </c>
      <c r="I3332" s="5" t="s">
        <v>25</v>
      </c>
      <c r="J3332" s="5" t="s">
        <v>25</v>
      </c>
      <c r="K3332" s="7" t="str">
        <f>VLOOKUP(A3332,Sheet2!$A$2:$R$3432,6,0)</f>
        <v>Hero CD 100 SS</v>
      </c>
      <c r="L3332" s="5" t="s">
        <v>25</v>
      </c>
      <c r="M3332" s="7" t="str">
        <f>VLOOKUP(A3332,Sheet2!$A$2:$R$3432,5,0)</f>
        <v>MH14R1932</v>
      </c>
      <c r="N3332" s="5" t="s">
        <v>25</v>
      </c>
      <c r="O3332" s="5" t="s">
        <v>25</v>
      </c>
      <c r="P3332" s="6" t="s">
        <v>25</v>
      </c>
      <c r="Q3332" s="5" t="s">
        <v>25</v>
      </c>
      <c r="R3332" s="5" t="s">
        <v>25</v>
      </c>
      <c r="S3332" s="7" t="str">
        <f>VLOOKUP(A3332,Sheet2!$A$2:$R$3432,18,0)</f>
        <v/>
      </c>
      <c r="T3332" s="7" t="str">
        <f>VLOOKUP(A3332,Sheet2!$A$2:$R$3432,17,0)</f>
        <v/>
      </c>
    </row>
    <row r="3333" ht="15.75" customHeight="1">
      <c r="A3333" s="3" t="s">
        <v>3356</v>
      </c>
      <c r="B3333" s="4" t="str">
        <f>VLOOKUP(A3333,Sheet2!$A$2:$R$3432,2,0)</f>
        <v>2025-07-03 19:05:57</v>
      </c>
      <c r="C3333" s="5" t="s">
        <v>25</v>
      </c>
      <c r="D3333" s="6" t="s">
        <v>25</v>
      </c>
      <c r="E3333" s="7">
        <f>VLOOKUP(A3333,Sheet2!$A$2:$R$3432,4,0)</f>
        <v>9850663051</v>
      </c>
      <c r="F3333" s="7" t="str">
        <f>VLOOKUP(A3333,Sheet2!$A$2:$R$3432,3,0)</f>
        <v>Tambe</v>
      </c>
      <c r="G3333" s="5" t="s">
        <v>25</v>
      </c>
      <c r="H3333" s="5" t="s">
        <v>25</v>
      </c>
      <c r="I3333" s="5" t="s">
        <v>25</v>
      </c>
      <c r="J3333" s="5" t="s">
        <v>25</v>
      </c>
      <c r="K3333" s="7" t="str">
        <f>VLOOKUP(A3333,Sheet2!$A$2:$R$3432,6,0)</f>
        <v>Honda Activa 110</v>
      </c>
      <c r="L3333" s="5" t="s">
        <v>25</v>
      </c>
      <c r="M3333" s="7" t="str">
        <f>VLOOKUP(A3333,Sheet2!$A$2:$R$3432,5,0)</f>
        <v>MH14EF5848</v>
      </c>
      <c r="N3333" s="5" t="s">
        <v>25</v>
      </c>
      <c r="O3333" s="5" t="s">
        <v>25</v>
      </c>
      <c r="P3333" s="6" t="s">
        <v>25</v>
      </c>
      <c r="Q3333" s="5" t="s">
        <v>25</v>
      </c>
      <c r="R3333" s="5" t="s">
        <v>25</v>
      </c>
      <c r="S3333" s="7" t="str">
        <f>VLOOKUP(A3333,Sheet2!$A$2:$R$3432,18,0)</f>
        <v/>
      </c>
      <c r="T3333" s="7" t="str">
        <f>VLOOKUP(A3333,Sheet2!$A$2:$R$3432,17,0)</f>
        <v/>
      </c>
    </row>
    <row r="3334" ht="15.75" customHeight="1">
      <c r="A3334" s="3" t="s">
        <v>3357</v>
      </c>
      <c r="B3334" s="4" t="str">
        <f>VLOOKUP(A3334,Sheet2!$A$2:$R$3432,2,0)</f>
        <v>2025-07-03 20:21:53</v>
      </c>
      <c r="C3334" s="5" t="s">
        <v>25</v>
      </c>
      <c r="D3334" s="6" t="s">
        <v>25</v>
      </c>
      <c r="E3334" s="7">
        <f>VLOOKUP(A3334,Sheet2!$A$2:$R$3432,4,0)</f>
        <v>9850554482</v>
      </c>
      <c r="F3334" s="7" t="str">
        <f>VLOOKUP(A3334,Sheet2!$A$2:$R$3432,3,0)</f>
        <v>Bharat Narkhede</v>
      </c>
      <c r="G3334" s="5" t="s">
        <v>25</v>
      </c>
      <c r="H3334" s="5" t="s">
        <v>25</v>
      </c>
      <c r="I3334" s="5" t="s">
        <v>25</v>
      </c>
      <c r="J3334" s="5" t="s">
        <v>25</v>
      </c>
      <c r="K3334" s="7" t="str">
        <f>VLOOKUP(A3334,Sheet2!$A$2:$R$3432,6,0)</f>
        <v>Hero Maestro Dash/Edge</v>
      </c>
      <c r="L3334" s="5" t="s">
        <v>25</v>
      </c>
      <c r="M3334" s="7" t="str">
        <f>VLOOKUP(A3334,Sheet2!$A$2:$R$3432,5,0)</f>
        <v>MH14GJ3126</v>
      </c>
      <c r="N3334" s="5" t="s">
        <v>25</v>
      </c>
      <c r="O3334" s="5" t="s">
        <v>25</v>
      </c>
      <c r="P3334" s="6" t="s">
        <v>25</v>
      </c>
      <c r="Q3334" s="5" t="s">
        <v>25</v>
      </c>
      <c r="R3334" s="5" t="s">
        <v>25</v>
      </c>
      <c r="S3334" s="5" t="str">
        <f>VLOOKUP(A3334,Sheet2!$A$2:$R$3432,18,0)</f>
        <v>JF33ABH4303958</v>
      </c>
      <c r="T3334" s="7" t="str">
        <f>VLOOKUP(A3334,Sheet2!$A$2:$R$3432,17,0)</f>
        <v/>
      </c>
    </row>
    <row r="3335" ht="15.75" customHeight="1">
      <c r="A3335" s="3" t="s">
        <v>3358</v>
      </c>
      <c r="B3335" s="4" t="str">
        <f>VLOOKUP(A3335,Sheet2!$A$2:$R$3432,2,0)</f>
        <v>2025-07-02 19:50:17</v>
      </c>
      <c r="C3335" s="5" t="s">
        <v>25</v>
      </c>
      <c r="D3335" s="6" t="s">
        <v>25</v>
      </c>
      <c r="E3335" s="7">
        <f>VLOOKUP(A3335,Sheet2!$A$2:$R$3432,4,0)</f>
        <v>8379003712</v>
      </c>
      <c r="F3335" s="7" t="str">
        <f>VLOOKUP(A3335,Sheet2!$A$2:$R$3432,3,0)</f>
        <v>Siddhesh Pawar</v>
      </c>
      <c r="G3335" s="5" t="s">
        <v>25</v>
      </c>
      <c r="H3335" s="5" t="s">
        <v>25</v>
      </c>
      <c r="I3335" s="5" t="s">
        <v>25</v>
      </c>
      <c r="J3335" s="5" t="s">
        <v>25</v>
      </c>
      <c r="K3335" s="7" t="str">
        <f>VLOOKUP(A3335,Sheet2!$A$2:$R$3432,6,0)</f>
        <v>Honda Activa 5G</v>
      </c>
      <c r="L3335" s="5" t="s">
        <v>25</v>
      </c>
      <c r="M3335" s="7" t="str">
        <f>VLOOKUP(A3335,Sheet2!$A$2:$R$3432,5,0)</f>
        <v>MH14GQ9129</v>
      </c>
      <c r="N3335" s="5" t="s">
        <v>25</v>
      </c>
      <c r="O3335" s="5" t="s">
        <v>25</v>
      </c>
      <c r="P3335" s="6" t="s">
        <v>25</v>
      </c>
      <c r="Q3335" s="5" t="s">
        <v>25</v>
      </c>
      <c r="R3335" s="5" t="s">
        <v>25</v>
      </c>
      <c r="S3335" s="7" t="str">
        <f>VLOOKUP(A3335,Sheet2!$A$2:$R$3432,18,0)</f>
        <v/>
      </c>
      <c r="T3335" s="7" t="str">
        <f>VLOOKUP(A3335,Sheet2!$A$2:$R$3432,17,0)</f>
        <v/>
      </c>
    </row>
    <row r="3336" ht="15.75" customHeight="1">
      <c r="A3336" s="3" t="s">
        <v>3359</v>
      </c>
      <c r="B3336" s="4" t="str">
        <f>VLOOKUP(A3336,Sheet2!$A$2:$R$3432,2,0)</f>
        <v>2025-07-02 19:42:53</v>
      </c>
      <c r="C3336" s="5" t="s">
        <v>25</v>
      </c>
      <c r="D3336" s="6" t="s">
        <v>25</v>
      </c>
      <c r="E3336" s="7">
        <f>VLOOKUP(A3336,Sheet2!$A$2:$R$3432,4,0)</f>
        <v>9860306437</v>
      </c>
      <c r="F3336" s="7" t="str">
        <f>VLOOKUP(A3336,Sheet2!$A$2:$R$3432,3,0)</f>
        <v>Sushant Bhosle </v>
      </c>
      <c r="G3336" s="5" t="s">
        <v>25</v>
      </c>
      <c r="H3336" s="5" t="s">
        <v>25</v>
      </c>
      <c r="I3336" s="5" t="s">
        <v>25</v>
      </c>
      <c r="J3336" s="5" t="s">
        <v>25</v>
      </c>
      <c r="K3336" s="7" t="str">
        <f>VLOOKUP(A3336,Sheet2!$A$2:$R$3432,6,0)</f>
        <v>Honda Hornet </v>
      </c>
      <c r="L3336" s="5" t="s">
        <v>25</v>
      </c>
      <c r="M3336" s="7" t="str">
        <f>VLOOKUP(A3336,Sheet2!$A$2:$R$3432,5,0)</f>
        <v>MH24BN4730</v>
      </c>
      <c r="N3336" s="5" t="s">
        <v>25</v>
      </c>
      <c r="O3336" s="5" t="s">
        <v>25</v>
      </c>
      <c r="P3336" s="6" t="s">
        <v>25</v>
      </c>
      <c r="Q3336" s="5" t="s">
        <v>25</v>
      </c>
      <c r="R3336" s="5" t="s">
        <v>25</v>
      </c>
      <c r="S3336" s="5" t="str">
        <f>VLOOKUP(A3336,Sheet2!$A$2:$R$3432,18,0)</f>
        <v>MC50EA0019376</v>
      </c>
      <c r="T3336" s="7" t="str">
        <f>VLOOKUP(A3336,Sheet2!$A$2:$R$3432,17,0)</f>
        <v>ME4ME56LLA018934</v>
      </c>
    </row>
    <row r="3337" ht="15.75" customHeight="1">
      <c r="A3337" s="3" t="s">
        <v>3360</v>
      </c>
      <c r="B3337" s="4" t="str">
        <f>VLOOKUP(A3337,Sheet2!$A$2:$R$3432,2,0)</f>
        <v>2025-07-02 19:44:08</v>
      </c>
      <c r="C3337" s="5" t="s">
        <v>25</v>
      </c>
      <c r="D3337" s="6" t="s">
        <v>25</v>
      </c>
      <c r="E3337" s="7">
        <f>VLOOKUP(A3337,Sheet2!$A$2:$R$3432,4,0)</f>
        <v>9673729674</v>
      </c>
      <c r="F3337" s="7" t="str">
        <f>VLOOKUP(A3337,Sheet2!$A$2:$R$3432,3,0)</f>
        <v>Pradnya </v>
      </c>
      <c r="G3337" s="5" t="s">
        <v>25</v>
      </c>
      <c r="H3337" s="5" t="s">
        <v>25</v>
      </c>
      <c r="I3337" s="5" t="s">
        <v>25</v>
      </c>
      <c r="J3337" s="5" t="s">
        <v>25</v>
      </c>
      <c r="K3337" s="7" t="str">
        <f>VLOOKUP(A3337,Sheet2!$A$2:$R$3432,6,0)</f>
        <v>Honda Activa </v>
      </c>
      <c r="L3337" s="5" t="s">
        <v>25</v>
      </c>
      <c r="M3337" s="7" t="str">
        <f>VLOOKUP(A3337,Sheet2!$A$2:$R$3432,5,0)</f>
        <v>MH14EN1574</v>
      </c>
      <c r="N3337" s="5" t="s">
        <v>25</v>
      </c>
      <c r="O3337" s="5" t="s">
        <v>25</v>
      </c>
      <c r="P3337" s="6" t="s">
        <v>25</v>
      </c>
      <c r="Q3337" s="5" t="s">
        <v>25</v>
      </c>
      <c r="R3337" s="5" t="s">
        <v>25</v>
      </c>
      <c r="S3337" s="5" t="str">
        <f>VLOOKUP(A3337,Sheet2!$A$2:$R$3432,18,0)</f>
        <v>JF50E1179708</v>
      </c>
      <c r="T3337" s="7" t="str">
        <f>VLOOKUP(A3337,Sheet2!$A$2:$R$3432,17,0)</f>
        <v>ME4JF502GE8180818</v>
      </c>
    </row>
    <row r="3338" ht="15.75" customHeight="1">
      <c r="A3338" s="3" t="s">
        <v>3361</v>
      </c>
      <c r="B3338" s="4" t="str">
        <f>VLOOKUP(A3338,Sheet2!$A$2:$R$3432,2,0)</f>
        <v>2025-07-02 19:46:28</v>
      </c>
      <c r="C3338" s="5" t="s">
        <v>25</v>
      </c>
      <c r="D3338" s="6" t="s">
        <v>25</v>
      </c>
      <c r="E3338" s="7">
        <f>VLOOKUP(A3338,Sheet2!$A$2:$R$3432,4,0)</f>
        <v>7219403636</v>
      </c>
      <c r="F3338" s="7" t="str">
        <f>VLOOKUP(A3338,Sheet2!$A$2:$R$3432,3,0)</f>
        <v>Vaishali Kamthe</v>
      </c>
      <c r="G3338" s="5" t="s">
        <v>25</v>
      </c>
      <c r="H3338" s="5" t="s">
        <v>25</v>
      </c>
      <c r="I3338" s="5" t="s">
        <v>25</v>
      </c>
      <c r="J3338" s="5" t="s">
        <v>25</v>
      </c>
      <c r="K3338" s="7" t="str">
        <f>VLOOKUP(A3338,Sheet2!$A$2:$R$3432,6,0)</f>
        <v>Hero Duet </v>
      </c>
      <c r="L3338" s="5" t="s">
        <v>25</v>
      </c>
      <c r="M3338" s="7" t="str">
        <f>VLOOKUP(A3338,Sheet2!$A$2:$R$3432,5,0)</f>
        <v>MH14GT6353</v>
      </c>
      <c r="N3338" s="5" t="s">
        <v>25</v>
      </c>
      <c r="O3338" s="5" t="s">
        <v>25</v>
      </c>
      <c r="P3338" s="6" t="s">
        <v>25</v>
      </c>
      <c r="Q3338" s="5" t="s">
        <v>25</v>
      </c>
      <c r="R3338" s="5" t="s">
        <v>25</v>
      </c>
      <c r="S3338" s="5" t="str">
        <f>VLOOKUP(A3338,Sheet2!$A$2:$R$3432,18,0)</f>
        <v>JF33ACJGB00531</v>
      </c>
      <c r="T3338" s="7" t="str">
        <f>VLOOKUP(A3338,Sheet2!$A$2:$R$3432,17,0)</f>
        <v>MBLJN023JGB01417</v>
      </c>
    </row>
    <row r="3339" ht="15.75" customHeight="1">
      <c r="A3339" s="3" t="s">
        <v>3362</v>
      </c>
      <c r="B3339" s="4" t="str">
        <f>VLOOKUP(A3339,Sheet2!$A$2:$R$3432,2,0)</f>
        <v>2025-07-02 19:45:41</v>
      </c>
      <c r="C3339" s="5" t="s">
        <v>25</v>
      </c>
      <c r="D3339" s="6" t="s">
        <v>25</v>
      </c>
      <c r="E3339" s="7">
        <f>VLOOKUP(A3339,Sheet2!$A$2:$R$3432,4,0)</f>
        <v>9322330767</v>
      </c>
      <c r="F3339" s="7" t="str">
        <f>VLOOKUP(A3339,Sheet2!$A$2:$R$3432,3,0)</f>
        <v>Lonkar</v>
      </c>
      <c r="G3339" s="5" t="s">
        <v>25</v>
      </c>
      <c r="H3339" s="5" t="s">
        <v>25</v>
      </c>
      <c r="I3339" s="5" t="s">
        <v>25</v>
      </c>
      <c r="J3339" s="5" t="s">
        <v>25</v>
      </c>
      <c r="K3339" s="7" t="str">
        <f>VLOOKUP(A3339,Sheet2!$A$2:$R$3432,6,0)</f>
        <v>Honda Activa 6G</v>
      </c>
      <c r="L3339" s="5" t="s">
        <v>25</v>
      </c>
      <c r="M3339" s="7" t="str">
        <f>VLOOKUP(A3339,Sheet2!$A$2:$R$3432,5,0)</f>
        <v>MH12UD7923</v>
      </c>
      <c r="N3339" s="5" t="s">
        <v>25</v>
      </c>
      <c r="O3339" s="5" t="s">
        <v>25</v>
      </c>
      <c r="P3339" s="6" t="s">
        <v>25</v>
      </c>
      <c r="Q3339" s="5" t="s">
        <v>25</v>
      </c>
      <c r="R3339" s="5" t="s">
        <v>25</v>
      </c>
      <c r="S3339" s="5" t="str">
        <f>VLOOKUP(A3339,Sheet2!$A$2:$R$3432,18,0)</f>
        <v>JF91EG7122960</v>
      </c>
      <c r="T3339" s="7" t="str">
        <f>VLOOKUP(A3339,Sheet2!$A$2:$R$3432,17,0)</f>
        <v>NE4JF91ACHNG122526</v>
      </c>
    </row>
    <row r="3340" ht="15.75" customHeight="1">
      <c r="A3340" s="3" t="s">
        <v>3363</v>
      </c>
      <c r="B3340" s="4" t="str">
        <f>VLOOKUP(A3340,Sheet2!$A$2:$R$3432,2,0)</f>
        <v>2025-07-02 19:41:49</v>
      </c>
      <c r="C3340" s="5" t="s">
        <v>25</v>
      </c>
      <c r="D3340" s="6" t="s">
        <v>25</v>
      </c>
      <c r="E3340" s="7">
        <f>VLOOKUP(A3340,Sheet2!$A$2:$R$3432,4,0)</f>
        <v>8839595956</v>
      </c>
      <c r="F3340" s="7" t="str">
        <f>VLOOKUP(A3340,Sheet2!$A$2:$R$3432,3,0)</f>
        <v>Divya Khairnar </v>
      </c>
      <c r="G3340" s="5" t="s">
        <v>25</v>
      </c>
      <c r="H3340" s="5" t="s">
        <v>25</v>
      </c>
      <c r="I3340" s="5" t="s">
        <v>25</v>
      </c>
      <c r="J3340" s="5" t="s">
        <v>25</v>
      </c>
      <c r="K3340" s="7" t="str">
        <f>VLOOKUP(A3340,Sheet2!$A$2:$R$3432,6,0)</f>
        <v>Suzuki Access 125</v>
      </c>
      <c r="L3340" s="5" t="s">
        <v>25</v>
      </c>
      <c r="M3340" s="7" t="str">
        <f>VLOOKUP(A3340,Sheet2!$A$2:$R$3432,5,0)</f>
        <v>MH12GU2385</v>
      </c>
      <c r="N3340" s="5" t="s">
        <v>25</v>
      </c>
      <c r="O3340" s="5" t="s">
        <v>25</v>
      </c>
      <c r="P3340" s="6" t="s">
        <v>25</v>
      </c>
      <c r="Q3340" s="5" t="s">
        <v>25</v>
      </c>
      <c r="R3340" s="5" t="s">
        <v>25</v>
      </c>
      <c r="S3340" s="7" t="str">
        <f>VLOOKUP(A3340,Sheet2!$A$2:$R$3432,18,0)</f>
        <v/>
      </c>
      <c r="T3340" s="7" t="str">
        <f>VLOOKUP(A3340,Sheet2!$A$2:$R$3432,17,0)</f>
        <v/>
      </c>
    </row>
    <row r="3341" ht="15.75" customHeight="1">
      <c r="A3341" s="3" t="s">
        <v>3364</v>
      </c>
      <c r="B3341" s="4" t="str">
        <f>VLOOKUP(A3341,Sheet2!$A$2:$R$3432,2,0)</f>
        <v>2025-07-02 19:43:18</v>
      </c>
      <c r="C3341" s="5" t="s">
        <v>25</v>
      </c>
      <c r="D3341" s="6" t="s">
        <v>25</v>
      </c>
      <c r="E3341" s="7">
        <f>VLOOKUP(A3341,Sheet2!$A$2:$R$3432,4,0)</f>
        <v>9579030477</v>
      </c>
      <c r="F3341" s="7" t="str">
        <f>VLOOKUP(A3341,Sheet2!$A$2:$R$3432,3,0)</f>
        <v>KALPESH SHELAR</v>
      </c>
      <c r="G3341" s="5" t="s">
        <v>25</v>
      </c>
      <c r="H3341" s="5" t="s">
        <v>25</v>
      </c>
      <c r="I3341" s="5" t="s">
        <v>25</v>
      </c>
      <c r="J3341" s="5" t="s">
        <v>25</v>
      </c>
      <c r="K3341" s="7" t="str">
        <f>VLOOKUP(A3341,Sheet2!$A$2:$R$3432,6,0)</f>
        <v>Honda Unicorn 150</v>
      </c>
      <c r="L3341" s="5" t="s">
        <v>25</v>
      </c>
      <c r="M3341" s="7" t="str">
        <f>VLOOKUP(A3341,Sheet2!$A$2:$R$3432,5,0)</f>
        <v>MH41AX0801</v>
      </c>
      <c r="N3341" s="5" t="s">
        <v>25</v>
      </c>
      <c r="O3341" s="5" t="s">
        <v>25</v>
      </c>
      <c r="P3341" s="6" t="s">
        <v>25</v>
      </c>
      <c r="Q3341" s="5" t="s">
        <v>25</v>
      </c>
      <c r="R3341" s="5" t="s">
        <v>25</v>
      </c>
      <c r="S3341" s="5" t="str">
        <f>VLOOKUP(A3341,Sheet2!$A$2:$R$3432,18,0)</f>
        <v>KC31E80320011</v>
      </c>
      <c r="T3341" s="7" t="str">
        <f>VLOOKUP(A3341,Sheet2!$A$2:$R$3432,17,0)</f>
        <v>ME4KC311FJ839918</v>
      </c>
    </row>
    <row r="3342" ht="15.75" customHeight="1">
      <c r="A3342" s="3" t="s">
        <v>3365</v>
      </c>
      <c r="B3342" s="4" t="str">
        <f>VLOOKUP(A3342,Sheet2!$A$2:$R$3432,2,0)</f>
        <v>2025-07-02 19:46:43</v>
      </c>
      <c r="C3342" s="5" t="s">
        <v>25</v>
      </c>
      <c r="D3342" s="6" t="s">
        <v>25</v>
      </c>
      <c r="E3342" s="7">
        <f>VLOOKUP(A3342,Sheet2!$A$2:$R$3432,4,0)</f>
        <v>9131549270</v>
      </c>
      <c r="F3342" s="7" t="str">
        <f>VLOOKUP(A3342,Sheet2!$A$2:$R$3432,3,0)</f>
        <v>Palash Choury</v>
      </c>
      <c r="G3342" s="5" t="s">
        <v>25</v>
      </c>
      <c r="H3342" s="5" t="s">
        <v>25</v>
      </c>
      <c r="I3342" s="5" t="s">
        <v>25</v>
      </c>
      <c r="J3342" s="5" t="s">
        <v>25</v>
      </c>
      <c r="K3342" s="7" t="str">
        <f>VLOOKUP(A3342,Sheet2!$A$2:$R$3432,6,0)</f>
        <v>Suzuki Access 125</v>
      </c>
      <c r="L3342" s="5" t="s">
        <v>25</v>
      </c>
      <c r="M3342" s="7" t="str">
        <f>VLOOKUP(A3342,Sheet2!$A$2:$R$3432,5,0)</f>
        <v>MH12UT2204</v>
      </c>
      <c r="N3342" s="5" t="s">
        <v>25</v>
      </c>
      <c r="O3342" s="5" t="s">
        <v>25</v>
      </c>
      <c r="P3342" s="6" t="s">
        <v>25</v>
      </c>
      <c r="Q3342" s="5" t="s">
        <v>25</v>
      </c>
      <c r="R3342" s="5" t="s">
        <v>25</v>
      </c>
      <c r="S3342" s="5" t="str">
        <f>VLOOKUP(A3342,Sheet2!$A$2:$R$3432,18,0)</f>
        <v>AF217199174</v>
      </c>
      <c r="T3342" s="7" t="str">
        <f>VLOOKUP(A3342,Sheet2!$A$2:$R$3432,17,0)</f>
        <v>MB8DP12DJN8D14745</v>
      </c>
    </row>
    <row r="3343" ht="15.75" customHeight="1">
      <c r="A3343" s="3" t="s">
        <v>3366</v>
      </c>
      <c r="B3343" s="4" t="str">
        <f>VLOOKUP(A3343,Sheet2!$A$2:$R$3432,2,0)</f>
        <v>2025-07-02 19:50:42</v>
      </c>
      <c r="C3343" s="5" t="s">
        <v>25</v>
      </c>
      <c r="D3343" s="6" t="s">
        <v>25</v>
      </c>
      <c r="E3343" s="7">
        <f>VLOOKUP(A3343,Sheet2!$A$2:$R$3432,4,0)</f>
        <v>7038666780</v>
      </c>
      <c r="F3343" s="7" t="str">
        <f>VLOOKUP(A3343,Sheet2!$A$2:$R$3432,3,0)</f>
        <v>Govind Deshmukh </v>
      </c>
      <c r="G3343" s="5" t="s">
        <v>25</v>
      </c>
      <c r="H3343" s="5" t="s">
        <v>25</v>
      </c>
      <c r="I3343" s="5" t="s">
        <v>25</v>
      </c>
      <c r="J3343" s="5" t="s">
        <v>25</v>
      </c>
      <c r="K3343" s="7" t="str">
        <f>VLOOKUP(A3343,Sheet2!$A$2:$R$3432,6,0)</f>
        <v>Honda Activa 3G</v>
      </c>
      <c r="L3343" s="5" t="s">
        <v>25</v>
      </c>
      <c r="M3343" s="7" t="str">
        <f>VLOOKUP(A3343,Sheet2!$A$2:$R$3432,5,0)</f>
        <v>MH20DY5081</v>
      </c>
      <c r="N3343" s="5" t="s">
        <v>25</v>
      </c>
      <c r="O3343" s="5" t="s">
        <v>25</v>
      </c>
      <c r="P3343" s="6" t="s">
        <v>25</v>
      </c>
      <c r="Q3343" s="5" t="s">
        <v>25</v>
      </c>
      <c r="R3343" s="5" t="s">
        <v>25</v>
      </c>
      <c r="S3343" s="7" t="str">
        <f>VLOOKUP(A3343,Sheet2!$A$2:$R$3432,18,0)</f>
        <v/>
      </c>
      <c r="T3343" s="7" t="str">
        <f>VLOOKUP(A3343,Sheet2!$A$2:$R$3432,17,0)</f>
        <v/>
      </c>
    </row>
    <row r="3344" ht="15.75" customHeight="1">
      <c r="A3344" s="3" t="s">
        <v>3367</v>
      </c>
      <c r="B3344" s="4" t="str">
        <f>VLOOKUP(A3344,Sheet2!$A$2:$R$3432,2,0)</f>
        <v>2025-07-02 20:26:37</v>
      </c>
      <c r="C3344" s="5" t="s">
        <v>25</v>
      </c>
      <c r="D3344" s="6" t="s">
        <v>25</v>
      </c>
      <c r="E3344" s="7">
        <f>VLOOKUP(A3344,Sheet2!$A$2:$R$3432,4,0)</f>
        <v>7972044407</v>
      </c>
      <c r="F3344" s="7" t="str">
        <f>VLOOKUP(A3344,Sheet2!$A$2:$R$3432,3,0)</f>
        <v>AKSHAY PATIL</v>
      </c>
      <c r="G3344" s="5" t="s">
        <v>25</v>
      </c>
      <c r="H3344" s="5" t="s">
        <v>25</v>
      </c>
      <c r="I3344" s="5" t="s">
        <v>25</v>
      </c>
      <c r="J3344" s="5" t="s">
        <v>25</v>
      </c>
      <c r="K3344" s="7" t="str">
        <f>VLOOKUP(A3344,Sheet2!$A$2:$R$3432,6,0)</f>
        <v>Honda Unicorn 160</v>
      </c>
      <c r="L3344" s="5" t="s">
        <v>25</v>
      </c>
      <c r="M3344" s="7" t="str">
        <f>VLOOKUP(A3344,Sheet2!$A$2:$R$3432,5,0)</f>
        <v>MH25AF2575</v>
      </c>
      <c r="N3344" s="5" t="s">
        <v>25</v>
      </c>
      <c r="O3344" s="5" t="s">
        <v>25</v>
      </c>
      <c r="P3344" s="6" t="s">
        <v>25</v>
      </c>
      <c r="Q3344" s="5" t="s">
        <v>25</v>
      </c>
      <c r="R3344" s="5" t="s">
        <v>25</v>
      </c>
      <c r="S3344" s="7" t="str">
        <f>VLOOKUP(A3344,Sheet2!$A$2:$R$3432,18,0)</f>
        <v/>
      </c>
      <c r="T3344" s="7" t="str">
        <f>VLOOKUP(A3344,Sheet2!$A$2:$R$3432,17,0)</f>
        <v/>
      </c>
    </row>
    <row r="3345" ht="15.75" customHeight="1">
      <c r="A3345" s="3" t="s">
        <v>3368</v>
      </c>
      <c r="B3345" s="4" t="str">
        <f>VLOOKUP(A3345,Sheet2!$A$2:$R$3432,2,0)</f>
        <v>2025-07-21 20:28:15</v>
      </c>
      <c r="C3345" s="5" t="s">
        <v>25</v>
      </c>
      <c r="D3345" s="6" t="s">
        <v>25</v>
      </c>
      <c r="E3345" s="7">
        <f>VLOOKUP(A3345,Sheet2!$A$2:$R$3432,4,0)</f>
        <v>9325825556</v>
      </c>
      <c r="F3345" s="7" t="str">
        <f>VLOOKUP(A3345,Sheet2!$A$2:$R$3432,3,0)</f>
        <v>Ravi </v>
      </c>
      <c r="G3345" s="5" t="s">
        <v>25</v>
      </c>
      <c r="H3345" s="5" t="s">
        <v>25</v>
      </c>
      <c r="I3345" s="5" t="s">
        <v>25</v>
      </c>
      <c r="J3345" s="5" t="s">
        <v>25</v>
      </c>
      <c r="K3345" s="7" t="str">
        <f>VLOOKUP(A3345,Sheet2!$A$2:$R$3432,6,0)</f>
        <v>Suzuki Access 125</v>
      </c>
      <c r="L3345" s="5" t="s">
        <v>25</v>
      </c>
      <c r="M3345" s="7" t="str">
        <f>VLOOKUP(A3345,Sheet2!$A$2:$R$3432,5,0)</f>
        <v>MH14KV9923</v>
      </c>
      <c r="N3345" s="5" t="s">
        <v>25</v>
      </c>
      <c r="O3345" s="5" t="s">
        <v>25</v>
      </c>
      <c r="P3345" s="6" t="s">
        <v>25</v>
      </c>
      <c r="Q3345" s="5" t="s">
        <v>25</v>
      </c>
      <c r="R3345" s="5" t="s">
        <v>25</v>
      </c>
      <c r="S3345" s="7" t="str">
        <f>VLOOKUP(A3345,Sheet2!$A$2:$R$3432,18,0)</f>
        <v/>
      </c>
      <c r="T3345" s="7" t="str">
        <f>VLOOKUP(A3345,Sheet2!$A$2:$R$3432,17,0)</f>
        <v/>
      </c>
    </row>
    <row r="3346" ht="15.75" customHeight="1">
      <c r="A3346" s="3" t="s">
        <v>3369</v>
      </c>
      <c r="B3346" s="4" t="str">
        <f>VLOOKUP(A3346,Sheet2!$A$2:$R$3432,2,0)</f>
        <v>2025-07-21 20:29:13</v>
      </c>
      <c r="C3346" s="5" t="s">
        <v>25</v>
      </c>
      <c r="D3346" s="6" t="s">
        <v>25</v>
      </c>
      <c r="E3346" s="7">
        <f>VLOOKUP(A3346,Sheet2!$A$2:$R$3432,4,0)</f>
        <v>9405208321</v>
      </c>
      <c r="F3346" s="7" t="str">
        <f>VLOOKUP(A3346,Sheet2!$A$2:$R$3432,3,0)</f>
        <v>Suhas Deshmukh </v>
      </c>
      <c r="G3346" s="5" t="s">
        <v>25</v>
      </c>
      <c r="H3346" s="5" t="s">
        <v>25</v>
      </c>
      <c r="I3346" s="5" t="s">
        <v>25</v>
      </c>
      <c r="J3346" s="5" t="s">
        <v>25</v>
      </c>
      <c r="K3346" s="7" t="str">
        <f>VLOOKUP(A3346,Sheet2!$A$2:$R$3432,6,0)</f>
        <v>Yamaha FZ V3</v>
      </c>
      <c r="L3346" s="5" t="s">
        <v>25</v>
      </c>
      <c r="M3346" s="7" t="str">
        <f>VLOOKUP(A3346,Sheet2!$A$2:$R$3432,5,0)</f>
        <v>MH22AU1972</v>
      </c>
      <c r="N3346" s="5" t="s">
        <v>25</v>
      </c>
      <c r="O3346" s="5" t="s">
        <v>25</v>
      </c>
      <c r="P3346" s="6" t="s">
        <v>25</v>
      </c>
      <c r="Q3346" s="5" t="s">
        <v>25</v>
      </c>
      <c r="R3346" s="5" t="s">
        <v>25</v>
      </c>
      <c r="S3346" s="7" t="str">
        <f>VLOOKUP(A3346,Sheet2!$A$2:$R$3432,18,0)</f>
        <v/>
      </c>
      <c r="T3346" s="7" t="str">
        <f>VLOOKUP(A3346,Sheet2!$A$2:$R$3432,17,0)</f>
        <v/>
      </c>
    </row>
    <row r="3347" ht="15.75" customHeight="1">
      <c r="A3347" s="3" t="s">
        <v>3370</v>
      </c>
      <c r="B3347" s="4" t="str">
        <f>VLOOKUP(A3347,Sheet2!$A$2:$R$3432,2,0)</f>
        <v>2025-07-21 19:02:47</v>
      </c>
      <c r="C3347" s="5" t="s">
        <v>25</v>
      </c>
      <c r="D3347" s="6" t="s">
        <v>25</v>
      </c>
      <c r="E3347" s="7">
        <f>VLOOKUP(A3347,Sheet2!$A$2:$R$3432,4,0)</f>
        <v>8796506022</v>
      </c>
      <c r="F3347" s="7" t="str">
        <f>VLOOKUP(A3347,Sheet2!$A$2:$R$3432,3,0)</f>
        <v>Jatin Jagtap</v>
      </c>
      <c r="G3347" s="5" t="s">
        <v>25</v>
      </c>
      <c r="H3347" s="5" t="s">
        <v>25</v>
      </c>
      <c r="I3347" s="5" t="s">
        <v>25</v>
      </c>
      <c r="J3347" s="5" t="s">
        <v>25</v>
      </c>
      <c r="K3347" s="7" t="str">
        <f>VLOOKUP(A3347,Sheet2!$A$2:$R$3432,6,0)</f>
        <v>Suzuki SlingShot Plus</v>
      </c>
      <c r="L3347" s="5" t="s">
        <v>25</v>
      </c>
      <c r="M3347" s="7" t="str">
        <f>VLOOKUP(A3347,Sheet2!$A$2:$R$3432,5,0)</f>
        <v>MH15DF5145</v>
      </c>
      <c r="N3347" s="5" t="s">
        <v>25</v>
      </c>
      <c r="O3347" s="5" t="s">
        <v>25</v>
      </c>
      <c r="P3347" s="6" t="s">
        <v>25</v>
      </c>
      <c r="Q3347" s="5" t="s">
        <v>25</v>
      </c>
      <c r="R3347" s="5" t="s">
        <v>25</v>
      </c>
      <c r="S3347" s="7" t="str">
        <f>VLOOKUP(A3347,Sheet2!$A$2:$R$3432,18,0)</f>
        <v/>
      </c>
      <c r="T3347" s="7" t="str">
        <f>VLOOKUP(A3347,Sheet2!$A$2:$R$3432,17,0)</f>
        <v>MB8NF4HCLD8100024</v>
      </c>
    </row>
    <row r="3348" ht="15.75" customHeight="1">
      <c r="A3348" s="3" t="s">
        <v>3371</v>
      </c>
      <c r="B3348" s="4" t="str">
        <f>VLOOKUP(A3348,Sheet2!$A$2:$R$3432,2,0)</f>
        <v>2025-07-21 18:58:42</v>
      </c>
      <c r="C3348" s="5" t="s">
        <v>25</v>
      </c>
      <c r="D3348" s="6" t="s">
        <v>25</v>
      </c>
      <c r="E3348" s="7">
        <f>VLOOKUP(A3348,Sheet2!$A$2:$R$3432,4,0)</f>
        <v>9869610902</v>
      </c>
      <c r="F3348" s="7" t="str">
        <f>VLOOKUP(A3348,Sheet2!$A$2:$R$3432,3,0)</f>
        <v>Arup Kambli</v>
      </c>
      <c r="G3348" s="5" t="s">
        <v>25</v>
      </c>
      <c r="H3348" s="5" t="s">
        <v>25</v>
      </c>
      <c r="I3348" s="5" t="s">
        <v>25</v>
      </c>
      <c r="J3348" s="5" t="s">
        <v>25</v>
      </c>
      <c r="K3348" s="7" t="str">
        <f>VLOOKUP(A3348,Sheet2!$A$2:$R$3432,6,0)</f>
        <v>Honda Activa 3G</v>
      </c>
      <c r="L3348" s="5" t="s">
        <v>25</v>
      </c>
      <c r="M3348" s="7" t="str">
        <f>VLOOKUP(A3348,Sheet2!$A$2:$R$3432,5,0)</f>
        <v>MH02ED2302</v>
      </c>
      <c r="N3348" s="5" t="s">
        <v>25</v>
      </c>
      <c r="O3348" s="5" t="s">
        <v>25</v>
      </c>
      <c r="P3348" s="6" t="s">
        <v>25</v>
      </c>
      <c r="Q3348" s="5" t="s">
        <v>25</v>
      </c>
      <c r="R3348" s="5" t="s">
        <v>25</v>
      </c>
      <c r="S3348" s="5" t="str">
        <f>VLOOKUP(A3348,Sheet2!$A$2:$R$3432,18,0)</f>
        <v>JF50ET2336704</v>
      </c>
      <c r="T3348" s="7" t="str">
        <f>VLOOKUP(A3348,Sheet2!$A$2:$R$3432,17,0)</f>
        <v>RUSTY FRAME</v>
      </c>
    </row>
    <row r="3349" ht="15.75" customHeight="1">
      <c r="A3349" s="3" t="s">
        <v>3372</v>
      </c>
      <c r="B3349" s="4" t="str">
        <f>VLOOKUP(A3349,Sheet2!$A$2:$R$3432,2,0)</f>
        <v>2025-07-21 19:00:44</v>
      </c>
      <c r="C3349" s="5" t="s">
        <v>25</v>
      </c>
      <c r="D3349" s="6" t="s">
        <v>25</v>
      </c>
      <c r="E3349" s="7">
        <f>VLOOKUP(A3349,Sheet2!$A$2:$R$3432,4,0)</f>
        <v>9028881305</v>
      </c>
      <c r="F3349" s="7" t="str">
        <f>VLOOKUP(A3349,Sheet2!$A$2:$R$3432,3,0)</f>
        <v>Nitish Jawale</v>
      </c>
      <c r="G3349" s="5" t="s">
        <v>25</v>
      </c>
      <c r="H3349" s="5" t="s">
        <v>25</v>
      </c>
      <c r="I3349" s="5" t="s">
        <v>25</v>
      </c>
      <c r="J3349" s="5" t="s">
        <v>25</v>
      </c>
      <c r="K3349" s="7" t="str">
        <f>VLOOKUP(A3349,Sheet2!$A$2:$R$3432,6,0)</f>
        <v>Bajaj Avenger 220 Street</v>
      </c>
      <c r="L3349" s="5" t="s">
        <v>25</v>
      </c>
      <c r="M3349" s="7" t="str">
        <f>VLOOKUP(A3349,Sheet2!$A$2:$R$3432,5,0)</f>
        <v>MH14EN3666</v>
      </c>
      <c r="N3349" s="5" t="s">
        <v>25</v>
      </c>
      <c r="O3349" s="5" t="s">
        <v>25</v>
      </c>
      <c r="P3349" s="6" t="s">
        <v>25</v>
      </c>
      <c r="Q3349" s="5" t="s">
        <v>25</v>
      </c>
      <c r="R3349" s="5" t="s">
        <v>25</v>
      </c>
      <c r="S3349" s="5" t="str">
        <f>VLOOKUP(A3349,Sheet2!$A$2:$R$3432,18,0)</f>
        <v>PDZCEE9372</v>
      </c>
      <c r="T3349" s="7" t="str">
        <f>VLOOKUP(A3349,Sheet2!$A$2:$R$3432,17,0)</f>
        <v>MD222EZ6CE98077</v>
      </c>
    </row>
    <row r="3350" ht="15.75" customHeight="1">
      <c r="A3350" s="3" t="s">
        <v>3373</v>
      </c>
      <c r="B3350" s="4" t="str">
        <f>VLOOKUP(A3350,Sheet2!$A$2:$R$3432,2,0)</f>
        <v>2025-07-21 19:01:35</v>
      </c>
      <c r="C3350" s="5" t="s">
        <v>25</v>
      </c>
      <c r="D3350" s="6" t="s">
        <v>25</v>
      </c>
      <c r="E3350" s="7">
        <f>VLOOKUP(A3350,Sheet2!$A$2:$R$3432,4,0)</f>
        <v>7972755022</v>
      </c>
      <c r="F3350" s="7" t="str">
        <f>VLOOKUP(A3350,Sheet2!$A$2:$R$3432,3,0)</f>
        <v>VISHAL JAGTAP</v>
      </c>
      <c r="G3350" s="5" t="s">
        <v>25</v>
      </c>
      <c r="H3350" s="5" t="s">
        <v>25</v>
      </c>
      <c r="I3350" s="5" t="s">
        <v>25</v>
      </c>
      <c r="J3350" s="5" t="s">
        <v>25</v>
      </c>
      <c r="K3350" s="7" t="str">
        <f>VLOOKUP(A3350,Sheet2!$A$2:$R$3432,6,0)</f>
        <v>Yamaha FZ S 2.0</v>
      </c>
      <c r="L3350" s="5" t="s">
        <v>25</v>
      </c>
      <c r="M3350" s="7" t="str">
        <f>VLOOKUP(A3350,Sheet2!$A$2:$R$3432,5,0)</f>
        <v>MH12PS8274</v>
      </c>
      <c r="N3350" s="5" t="s">
        <v>25</v>
      </c>
      <c r="O3350" s="5" t="s">
        <v>25</v>
      </c>
      <c r="P3350" s="6" t="s">
        <v>25</v>
      </c>
      <c r="Q3350" s="5" t="s">
        <v>25</v>
      </c>
      <c r="R3350" s="5" t="s">
        <v>25</v>
      </c>
      <c r="S3350" s="5" t="str">
        <f>VLOOKUP(A3350,Sheet2!$A$2:$R$3432,18,0)</f>
        <v>G3J3E0126828</v>
      </c>
      <c r="T3350" s="7" t="str">
        <f>VLOOKUP(A3350,Sheet2!$A$2:$R$3432,17,0)</f>
        <v>ME1RGPH4429H081742</v>
      </c>
    </row>
    <row r="3351" ht="15.75" customHeight="1">
      <c r="A3351" s="3" t="s">
        <v>3374</v>
      </c>
      <c r="B3351" s="4" t="str">
        <f>VLOOKUP(A3351,Sheet2!$A$2:$R$3432,2,0)</f>
        <v>2025-07-21 19:02:29</v>
      </c>
      <c r="C3351" s="5" t="s">
        <v>25</v>
      </c>
      <c r="D3351" s="6" t="s">
        <v>25</v>
      </c>
      <c r="E3351" s="7">
        <f>VLOOKUP(A3351,Sheet2!$A$2:$R$3432,4,0)</f>
        <v>7741837707</v>
      </c>
      <c r="F3351" s="7" t="str">
        <f>VLOOKUP(A3351,Sheet2!$A$2:$R$3432,3,0)</f>
        <v>Anita Awari</v>
      </c>
      <c r="G3351" s="5" t="s">
        <v>25</v>
      </c>
      <c r="H3351" s="5" t="s">
        <v>25</v>
      </c>
      <c r="I3351" s="5" t="s">
        <v>25</v>
      </c>
      <c r="J3351" s="5" t="s">
        <v>25</v>
      </c>
      <c r="K3351" s="7" t="str">
        <f>VLOOKUP(A3351,Sheet2!$A$2:$R$3432,6,0)</f>
        <v>Honda Activa </v>
      </c>
      <c r="L3351" s="5" t="s">
        <v>25</v>
      </c>
      <c r="M3351" s="7" t="str">
        <f>VLOOKUP(A3351,Sheet2!$A$2:$R$3432,5,0)</f>
        <v>MH12JJ294</v>
      </c>
      <c r="N3351" s="5" t="s">
        <v>25</v>
      </c>
      <c r="O3351" s="5" t="s">
        <v>25</v>
      </c>
      <c r="P3351" s="6" t="s">
        <v>25</v>
      </c>
      <c r="Q3351" s="5" t="s">
        <v>25</v>
      </c>
      <c r="R3351" s="5" t="s">
        <v>25</v>
      </c>
      <c r="S3351" s="7" t="str">
        <f>VLOOKUP(A3351,Sheet2!$A$2:$R$3432,18,0)</f>
        <v/>
      </c>
      <c r="T3351" s="7" t="str">
        <f>VLOOKUP(A3351,Sheet2!$A$2:$R$3432,17,0)</f>
        <v/>
      </c>
    </row>
    <row r="3352" ht="15.75" customHeight="1">
      <c r="A3352" s="3" t="s">
        <v>3375</v>
      </c>
      <c r="B3352" s="4" t="str">
        <f>VLOOKUP(A3352,Sheet2!$A$2:$R$3432,2,0)</f>
        <v>2025-07-21 20:23:52</v>
      </c>
      <c r="C3352" s="5" t="s">
        <v>25</v>
      </c>
      <c r="D3352" s="6" t="s">
        <v>25</v>
      </c>
      <c r="E3352" s="7">
        <f>VLOOKUP(A3352,Sheet2!$A$2:$R$3432,4,0)</f>
        <v>9423306423</v>
      </c>
      <c r="F3352" s="7" t="str">
        <f>VLOOKUP(A3352,Sheet2!$A$2:$R$3432,3,0)</f>
        <v>ANIKET </v>
      </c>
      <c r="G3352" s="5" t="s">
        <v>25</v>
      </c>
      <c r="H3352" s="5" t="s">
        <v>25</v>
      </c>
      <c r="I3352" s="5" t="s">
        <v>25</v>
      </c>
      <c r="J3352" s="5" t="s">
        <v>25</v>
      </c>
      <c r="K3352" s="7" t="str">
        <f>VLOOKUP(A3352,Sheet2!$A$2:$R$3432,6,0)</f>
        <v>TVS Ntorq 125</v>
      </c>
      <c r="L3352" s="5" t="s">
        <v>25</v>
      </c>
      <c r="M3352" s="7" t="str">
        <f>VLOOKUP(A3352,Sheet2!$A$2:$R$3432,5,0)</f>
        <v>MH14HC2603</v>
      </c>
      <c r="N3352" s="5" t="s">
        <v>25</v>
      </c>
      <c r="O3352" s="5" t="s">
        <v>25</v>
      </c>
      <c r="P3352" s="6" t="s">
        <v>25</v>
      </c>
      <c r="Q3352" s="5" t="s">
        <v>25</v>
      </c>
      <c r="R3352" s="5" t="s">
        <v>25</v>
      </c>
      <c r="S3352" s="5" t="str">
        <f>VLOOKUP(A3352,Sheet2!$A$2:$R$3432,18,0)</f>
        <v>AG7H1250359</v>
      </c>
      <c r="T3352" s="7" t="str">
        <f>VLOOKUP(A3352,Sheet2!$A$2:$R$3432,17,0)</f>
        <v>MD626AG7JA843</v>
      </c>
    </row>
    <row r="3353" ht="15.75" customHeight="1">
      <c r="A3353" s="3" t="s">
        <v>3376</v>
      </c>
      <c r="B3353" s="4" t="str">
        <f>VLOOKUP(A3353,Sheet2!$A$2:$R$3432,2,0)</f>
        <v>2025-07-21 20:25:28</v>
      </c>
      <c r="C3353" s="5" t="s">
        <v>25</v>
      </c>
      <c r="D3353" s="6" t="s">
        <v>25</v>
      </c>
      <c r="E3353" s="7">
        <f>VLOOKUP(A3353,Sheet2!$A$2:$R$3432,4,0)</f>
        <v>8780565639</v>
      </c>
      <c r="F3353" s="7" t="str">
        <f>VLOOKUP(A3353,Sheet2!$A$2:$R$3432,3,0)</f>
        <v>GOPAL BHATT</v>
      </c>
      <c r="G3353" s="5" t="s">
        <v>25</v>
      </c>
      <c r="H3353" s="5" t="s">
        <v>25</v>
      </c>
      <c r="I3353" s="5" t="s">
        <v>25</v>
      </c>
      <c r="J3353" s="5" t="s">
        <v>25</v>
      </c>
      <c r="K3353" s="7" t="str">
        <f>VLOOKUP(A3353,Sheet2!$A$2:$R$3432,6,0)</f>
        <v>Hero Splendor </v>
      </c>
      <c r="L3353" s="5" t="s">
        <v>25</v>
      </c>
      <c r="M3353" s="7" t="str">
        <f>VLOOKUP(A3353,Sheet2!$A$2:$R$3432,5,0)</f>
        <v>MH14CV8852</v>
      </c>
      <c r="N3353" s="5" t="s">
        <v>25</v>
      </c>
      <c r="O3353" s="5" t="s">
        <v>25</v>
      </c>
      <c r="P3353" s="6" t="s">
        <v>25</v>
      </c>
      <c r="Q3353" s="5" t="s">
        <v>25</v>
      </c>
      <c r="R3353" s="5" t="s">
        <v>25</v>
      </c>
      <c r="S3353" s="5" t="str">
        <f>VLOOKUP(A3353,Sheet2!$A$2:$R$3432,18,0)</f>
        <v>HA10EFBHE72005</v>
      </c>
      <c r="T3353" s="7" t="str">
        <f>VLOOKUP(A3353,Sheet2!$A$2:$R$3432,17,0)</f>
        <v>MBLHA10EXBHE72161</v>
      </c>
    </row>
    <row r="3354" ht="15.75" customHeight="1">
      <c r="A3354" s="3" t="s">
        <v>3377</v>
      </c>
      <c r="B3354" s="4" t="str">
        <f>VLOOKUP(A3354,Sheet2!$A$2:$R$3432,2,0)</f>
        <v>2025-07-21 20:28:51</v>
      </c>
      <c r="C3354" s="5" t="s">
        <v>25</v>
      </c>
      <c r="D3354" s="6" t="s">
        <v>25</v>
      </c>
      <c r="E3354" s="7">
        <f>VLOOKUP(A3354,Sheet2!$A$2:$R$3432,4,0)</f>
        <v>9049987787</v>
      </c>
      <c r="F3354" s="7" t="str">
        <f>VLOOKUP(A3354,Sheet2!$A$2:$R$3432,3,0)</f>
        <v>Mayank Sharma </v>
      </c>
      <c r="G3354" s="5" t="s">
        <v>25</v>
      </c>
      <c r="H3354" s="5" t="s">
        <v>25</v>
      </c>
      <c r="I3354" s="5" t="s">
        <v>25</v>
      </c>
      <c r="J3354" s="5" t="s">
        <v>25</v>
      </c>
      <c r="K3354" s="7" t="str">
        <f>VLOOKUP(A3354,Sheet2!$A$2:$R$3432,6,0)</f>
        <v>TVS Jupiter 125</v>
      </c>
      <c r="L3354" s="5" t="s">
        <v>25</v>
      </c>
      <c r="M3354" s="7" t="str">
        <f>VLOOKUP(A3354,Sheet2!$A$2:$R$3432,5,0)</f>
        <v>MH14JY1107</v>
      </c>
      <c r="N3354" s="5" t="s">
        <v>25</v>
      </c>
      <c r="O3354" s="5" t="s">
        <v>25</v>
      </c>
      <c r="P3354" s="6" t="s">
        <v>25</v>
      </c>
      <c r="Q3354" s="5" t="s">
        <v>25</v>
      </c>
      <c r="R3354" s="5" t="s">
        <v>25</v>
      </c>
      <c r="S3354" s="5" t="str">
        <f>VLOOKUP(A3354,Sheet2!$A$2:$R$3432,18,0)</f>
        <v>BKAAN1409686</v>
      </c>
      <c r="T3354" s="7" t="str">
        <f>VLOOKUP(A3354,Sheet2!$A$2:$R$3432,17,0)</f>
        <v>MD626AK42N1A75714</v>
      </c>
    </row>
    <row r="3355" ht="15.75" customHeight="1">
      <c r="A3355" s="3" t="s">
        <v>3378</v>
      </c>
      <c r="B3355" s="4" t="str">
        <f>VLOOKUP(A3355,Sheet2!$A$2:$R$3432,2,0)</f>
        <v>2025-07-21 20:27:36</v>
      </c>
      <c r="C3355" s="5" t="s">
        <v>25</v>
      </c>
      <c r="D3355" s="6" t="s">
        <v>25</v>
      </c>
      <c r="E3355" s="7">
        <f>VLOOKUP(A3355,Sheet2!$A$2:$R$3432,4,0)</f>
        <v>8982029450</v>
      </c>
      <c r="F3355" s="7" t="str">
        <f>VLOOKUP(A3355,Sheet2!$A$2:$R$3432,3,0)</f>
        <v>Akshay </v>
      </c>
      <c r="G3355" s="5" t="s">
        <v>25</v>
      </c>
      <c r="H3355" s="5" t="s">
        <v>25</v>
      </c>
      <c r="I3355" s="5" t="s">
        <v>25</v>
      </c>
      <c r="J3355" s="5" t="s">
        <v>25</v>
      </c>
      <c r="K3355" s="7" t="str">
        <f>VLOOKUP(A3355,Sheet2!$A$2:$R$3432,6,0)</f>
        <v>Bajaj Pulsar 150</v>
      </c>
      <c r="L3355" s="5" t="s">
        <v>25</v>
      </c>
      <c r="M3355" s="7" t="str">
        <f>VLOOKUP(A3355,Sheet2!$A$2:$R$3432,5,0)</f>
        <v>MH14EA2973</v>
      </c>
      <c r="N3355" s="5" t="s">
        <v>25</v>
      </c>
      <c r="O3355" s="5" t="s">
        <v>25</v>
      </c>
      <c r="P3355" s="6" t="s">
        <v>25</v>
      </c>
      <c r="Q3355" s="5" t="s">
        <v>25</v>
      </c>
      <c r="R3355" s="5" t="s">
        <v>25</v>
      </c>
      <c r="S3355" s="7" t="str">
        <f>VLOOKUP(A3355,Sheet2!$A$2:$R$3432,18,0)</f>
        <v/>
      </c>
      <c r="T3355" s="7" t="str">
        <f>VLOOKUP(A3355,Sheet2!$A$2:$R$3432,17,0)</f>
        <v/>
      </c>
    </row>
    <row r="3356" ht="15.75" customHeight="1">
      <c r="A3356" s="3" t="s">
        <v>3379</v>
      </c>
      <c r="B3356" s="4" t="str">
        <f>VLOOKUP(A3356,Sheet2!$A$2:$R$3432,2,0)</f>
        <v>2025-07-21 20:26:29</v>
      </c>
      <c r="C3356" s="5" t="s">
        <v>25</v>
      </c>
      <c r="D3356" s="6" t="s">
        <v>25</v>
      </c>
      <c r="E3356" s="7">
        <f>VLOOKUP(A3356,Sheet2!$A$2:$R$3432,4,0)</f>
        <v>9403900847</v>
      </c>
      <c r="F3356" s="7" t="str">
        <f>VLOOKUP(A3356,Sheet2!$A$2:$R$3432,3,0)</f>
        <v>Shubham</v>
      </c>
      <c r="G3356" s="5" t="s">
        <v>25</v>
      </c>
      <c r="H3356" s="5" t="s">
        <v>25</v>
      </c>
      <c r="I3356" s="5" t="s">
        <v>25</v>
      </c>
      <c r="J3356" s="5" t="s">
        <v>25</v>
      </c>
      <c r="K3356" s="7" t="str">
        <f>VLOOKUP(A3356,Sheet2!$A$2:$R$3432,6,0)</f>
        <v>Suzuki Access </v>
      </c>
      <c r="L3356" s="5" t="s">
        <v>25</v>
      </c>
      <c r="M3356" s="7" t="str">
        <f>VLOOKUP(A3356,Sheet2!$A$2:$R$3432,5,0)</f>
        <v>MH23BA0558</v>
      </c>
      <c r="N3356" s="5" t="s">
        <v>25</v>
      </c>
      <c r="O3356" s="5" t="s">
        <v>25</v>
      </c>
      <c r="P3356" s="6" t="s">
        <v>25</v>
      </c>
      <c r="Q3356" s="5" t="s">
        <v>25</v>
      </c>
      <c r="R3356" s="5" t="s">
        <v>25</v>
      </c>
      <c r="S3356" s="5" t="str">
        <f>VLOOKUP(A3356,Sheet2!$A$2:$R$3432,18,0)</f>
        <v>AF216037526</v>
      </c>
      <c r="T3356" s="7" t="str">
        <f>VLOOKUP(A3356,Sheet2!$A$2:$R$3432,17,0)</f>
        <v>MB8DP11ABK8G06622</v>
      </c>
    </row>
    <row r="3357" ht="15.75" customHeight="1">
      <c r="A3357" s="3" t="s">
        <v>3380</v>
      </c>
      <c r="B3357" s="4" t="str">
        <f>VLOOKUP(A3357,Sheet2!$A$2:$R$3432,2,0)</f>
        <v>2025-07-21 20:28:32</v>
      </c>
      <c r="C3357" s="5" t="s">
        <v>25</v>
      </c>
      <c r="D3357" s="6" t="s">
        <v>25</v>
      </c>
      <c r="E3357" s="7">
        <f>VLOOKUP(A3357,Sheet2!$A$2:$R$3432,4,0)</f>
        <v>7588008070</v>
      </c>
      <c r="F3357" s="7" t="str">
        <f>VLOOKUP(A3357,Sheet2!$A$2:$R$3432,3,0)</f>
        <v>Manish Salunkhe</v>
      </c>
      <c r="G3357" s="5" t="s">
        <v>25</v>
      </c>
      <c r="H3357" s="5" t="s">
        <v>25</v>
      </c>
      <c r="I3357" s="5" t="s">
        <v>25</v>
      </c>
      <c r="J3357" s="5" t="s">
        <v>25</v>
      </c>
      <c r="K3357" s="7" t="str">
        <f>VLOOKUP(A3357,Sheet2!$A$2:$R$3432,6,0)</f>
        <v>Royal Enfield Classic 350</v>
      </c>
      <c r="L3357" s="5" t="s">
        <v>25</v>
      </c>
      <c r="M3357" s="7" t="str">
        <f>VLOOKUP(A3357,Sheet2!$A$2:$R$3432,5,0)</f>
        <v>MH14HX1681</v>
      </c>
      <c r="N3357" s="5" t="s">
        <v>25</v>
      </c>
      <c r="O3357" s="5" t="s">
        <v>25</v>
      </c>
      <c r="P3357" s="6" t="s">
        <v>25</v>
      </c>
      <c r="Q3357" s="5" t="s">
        <v>25</v>
      </c>
      <c r="R3357" s="5" t="s">
        <v>25</v>
      </c>
      <c r="S3357" s="7" t="str">
        <f>VLOOKUP(A3357,Sheet2!$A$2:$R$3432,18,0)</f>
        <v/>
      </c>
      <c r="T3357" s="7" t="str">
        <f>VLOOKUP(A3357,Sheet2!$A$2:$R$3432,17,0)</f>
        <v/>
      </c>
    </row>
    <row r="3358" ht="15.75" customHeight="1">
      <c r="A3358" s="3" t="s">
        <v>3381</v>
      </c>
      <c r="B3358" s="4" t="str">
        <f>VLOOKUP(A3358,Sheet2!$A$2:$R$3432,2,0)</f>
        <v>2025-07-04 22:27:28</v>
      </c>
      <c r="C3358" s="5" t="s">
        <v>25</v>
      </c>
      <c r="D3358" s="6" t="s">
        <v>25</v>
      </c>
      <c r="E3358" s="7">
        <f>VLOOKUP(A3358,Sheet2!$A$2:$R$3432,4,0)</f>
        <v>8123801626</v>
      </c>
      <c r="F3358" s="7" t="str">
        <f>VLOOKUP(A3358,Sheet2!$A$2:$R$3432,3,0)</f>
        <v>Mukund </v>
      </c>
      <c r="G3358" s="5" t="s">
        <v>25</v>
      </c>
      <c r="H3358" s="5" t="s">
        <v>25</v>
      </c>
      <c r="I3358" s="5" t="s">
        <v>25</v>
      </c>
      <c r="J3358" s="5" t="s">
        <v>25</v>
      </c>
      <c r="K3358" s="7" t="str">
        <f>VLOOKUP(A3358,Sheet2!$A$2:$R$3432,6,0)</f>
        <v>Honda Activa 125</v>
      </c>
      <c r="L3358" s="5" t="s">
        <v>25</v>
      </c>
      <c r="M3358" s="7" t="str">
        <f>VLOOKUP(A3358,Sheet2!$A$2:$R$3432,5,0)</f>
        <v>MH15GW2839</v>
      </c>
      <c r="N3358" s="5" t="s">
        <v>25</v>
      </c>
      <c r="O3358" s="5" t="s">
        <v>25</v>
      </c>
      <c r="P3358" s="6" t="s">
        <v>25</v>
      </c>
      <c r="Q3358" s="5" t="s">
        <v>25</v>
      </c>
      <c r="R3358" s="5" t="s">
        <v>25</v>
      </c>
      <c r="S3358" s="7" t="str">
        <f>VLOOKUP(A3358,Sheet2!$A$2:$R$3432,18,0)</f>
        <v/>
      </c>
      <c r="T3358" s="7" t="str">
        <f>VLOOKUP(A3358,Sheet2!$A$2:$R$3432,17,0)</f>
        <v/>
      </c>
    </row>
    <row r="3359" ht="15.75" customHeight="1">
      <c r="A3359" s="3" t="s">
        <v>3382</v>
      </c>
      <c r="B3359" s="4" t="str">
        <f>VLOOKUP(A3359,Sheet2!$A$2:$R$3432,2,0)</f>
        <v>2025-07-04 22:25:41</v>
      </c>
      <c r="C3359" s="5" t="s">
        <v>25</v>
      </c>
      <c r="D3359" s="6" t="s">
        <v>25</v>
      </c>
      <c r="E3359" s="7">
        <f>VLOOKUP(A3359,Sheet2!$A$2:$R$3432,4,0)</f>
        <v>9921183483</v>
      </c>
      <c r="F3359" s="7" t="str">
        <f>VLOOKUP(A3359,Sheet2!$A$2:$R$3432,3,0)</f>
        <v>Ashok Nikam</v>
      </c>
      <c r="G3359" s="5" t="s">
        <v>25</v>
      </c>
      <c r="H3359" s="5" t="s">
        <v>25</v>
      </c>
      <c r="I3359" s="5" t="s">
        <v>25</v>
      </c>
      <c r="J3359" s="5" t="s">
        <v>25</v>
      </c>
      <c r="K3359" s="7" t="str">
        <f>VLOOKUP(A3359,Sheet2!$A$2:$R$3432,6,0)</f>
        <v>TVS Jupiter </v>
      </c>
      <c r="L3359" s="5" t="s">
        <v>25</v>
      </c>
      <c r="M3359" s="7" t="str">
        <f>VLOOKUP(A3359,Sheet2!$A$2:$R$3432,5,0)</f>
        <v>MH14FJ1801</v>
      </c>
      <c r="N3359" s="5" t="s">
        <v>25</v>
      </c>
      <c r="O3359" s="5" t="s">
        <v>25</v>
      </c>
      <c r="P3359" s="6" t="s">
        <v>25</v>
      </c>
      <c r="Q3359" s="5" t="s">
        <v>25</v>
      </c>
      <c r="R3359" s="5" t="s">
        <v>25</v>
      </c>
      <c r="S3359" s="7" t="str">
        <f>VLOOKUP(A3359,Sheet2!$A$2:$R$3432,18,0)</f>
        <v/>
      </c>
      <c r="T3359" s="7" t="str">
        <f>VLOOKUP(A3359,Sheet2!$A$2:$R$3432,17,0)</f>
        <v/>
      </c>
    </row>
    <row r="3360" ht="15.75" customHeight="1">
      <c r="A3360" s="3" t="s">
        <v>3383</v>
      </c>
      <c r="B3360" s="4" t="str">
        <f>VLOOKUP(A3360,Sheet2!$A$2:$R$3432,2,0)</f>
        <v>2025-07-04 22:26:58</v>
      </c>
      <c r="C3360" s="5" t="s">
        <v>25</v>
      </c>
      <c r="D3360" s="6" t="s">
        <v>25</v>
      </c>
      <c r="E3360" s="7">
        <f>VLOOKUP(A3360,Sheet2!$A$2:$R$3432,4,0)</f>
        <v>8097857793</v>
      </c>
      <c r="F3360" s="7" t="str">
        <f>VLOOKUP(A3360,Sheet2!$A$2:$R$3432,3,0)</f>
        <v>Yogesh </v>
      </c>
      <c r="G3360" s="5" t="s">
        <v>25</v>
      </c>
      <c r="H3360" s="5" t="s">
        <v>25</v>
      </c>
      <c r="I3360" s="5" t="s">
        <v>25</v>
      </c>
      <c r="J3360" s="5" t="s">
        <v>25</v>
      </c>
      <c r="K3360" s="7" t="str">
        <f>VLOOKUP(A3360,Sheet2!$A$2:$R$3432,6,0)</f>
        <v>Bajaj Avenger 220 Cruise</v>
      </c>
      <c r="L3360" s="5" t="s">
        <v>25</v>
      </c>
      <c r="M3360" s="7" t="str">
        <f>VLOOKUP(A3360,Sheet2!$A$2:$R$3432,5,0)</f>
        <v>MH14JQ7924</v>
      </c>
      <c r="N3360" s="5" t="s">
        <v>25</v>
      </c>
      <c r="O3360" s="5" t="s">
        <v>25</v>
      </c>
      <c r="P3360" s="6" t="s">
        <v>25</v>
      </c>
      <c r="Q3360" s="5" t="s">
        <v>25</v>
      </c>
      <c r="R3360" s="5" t="s">
        <v>25</v>
      </c>
      <c r="S3360" s="5" t="str">
        <f>VLOOKUP(A3360,Sheet2!$A$2:$R$3432,18,0)</f>
        <v>PDXCMA66596</v>
      </c>
      <c r="T3360" s="7" t="str">
        <f>VLOOKUP(A3360,Sheet2!$A$2:$R$3432,17,0)</f>
        <v>MDZA22EX8MCA04007</v>
      </c>
    </row>
    <row r="3361" ht="15.75" customHeight="1">
      <c r="A3361" s="3" t="s">
        <v>3384</v>
      </c>
      <c r="B3361" s="4" t="str">
        <f>VLOOKUP(A3361,Sheet2!$A$2:$R$3432,2,0)</f>
        <v>2025-07-04 22:26:37</v>
      </c>
      <c r="C3361" s="5" t="s">
        <v>25</v>
      </c>
      <c r="D3361" s="6" t="s">
        <v>25</v>
      </c>
      <c r="E3361" s="7">
        <f>VLOOKUP(A3361,Sheet2!$A$2:$R$3432,4,0)</f>
        <v>8554931436</v>
      </c>
      <c r="F3361" s="7" t="str">
        <f>VLOOKUP(A3361,Sheet2!$A$2:$R$3432,3,0)</f>
        <v>Amol Patil</v>
      </c>
      <c r="G3361" s="5" t="s">
        <v>25</v>
      </c>
      <c r="H3361" s="5" t="s">
        <v>25</v>
      </c>
      <c r="I3361" s="5" t="s">
        <v>25</v>
      </c>
      <c r="J3361" s="5" t="s">
        <v>25</v>
      </c>
      <c r="K3361" s="7" t="str">
        <f>VLOOKUP(A3361,Sheet2!$A$2:$R$3432,6,0)</f>
        <v>Yamaha FZ FI</v>
      </c>
      <c r="L3361" s="5" t="s">
        <v>25</v>
      </c>
      <c r="M3361" s="7" t="str">
        <f>VLOOKUP(A3361,Sheet2!$A$2:$R$3432,5,0)</f>
        <v>MH14GK2848</v>
      </c>
      <c r="N3361" s="5" t="s">
        <v>25</v>
      </c>
      <c r="O3361" s="5" t="s">
        <v>25</v>
      </c>
      <c r="P3361" s="6" t="s">
        <v>25</v>
      </c>
      <c r="Q3361" s="5" t="s">
        <v>25</v>
      </c>
      <c r="R3361" s="5" t="s">
        <v>25</v>
      </c>
      <c r="S3361" s="7" t="str">
        <f>VLOOKUP(A3361,Sheet2!$A$2:$R$3432,18,0)</f>
        <v/>
      </c>
      <c r="T3361" s="7" t="str">
        <f>VLOOKUP(A3361,Sheet2!$A$2:$R$3432,17,0)</f>
        <v/>
      </c>
    </row>
    <row r="3362" ht="15.75" customHeight="1">
      <c r="A3362" s="3" t="s">
        <v>3385</v>
      </c>
      <c r="B3362" s="4" t="str">
        <f>VLOOKUP(A3362,Sheet2!$A$2:$R$3432,2,0)</f>
        <v>2025-07-04 22:25:28</v>
      </c>
      <c r="C3362" s="5" t="s">
        <v>25</v>
      </c>
      <c r="D3362" s="6" t="s">
        <v>25</v>
      </c>
      <c r="E3362" s="7">
        <f>VLOOKUP(A3362,Sheet2!$A$2:$R$3432,4,0)</f>
        <v>9075953518</v>
      </c>
      <c r="F3362" s="7" t="str">
        <f>VLOOKUP(A3362,Sheet2!$A$2:$R$3432,3,0)</f>
        <v>RAHUL SARDAR</v>
      </c>
      <c r="G3362" s="5" t="s">
        <v>25</v>
      </c>
      <c r="H3362" s="5" t="s">
        <v>25</v>
      </c>
      <c r="I3362" s="5" t="s">
        <v>25</v>
      </c>
      <c r="J3362" s="5" t="s">
        <v>25</v>
      </c>
      <c r="K3362" s="7" t="str">
        <f>VLOOKUP(A3362,Sheet2!$A$2:$R$3432,6,0)</f>
        <v>TVS Radeon </v>
      </c>
      <c r="L3362" s="5" t="s">
        <v>25</v>
      </c>
      <c r="M3362" s="7" t="str">
        <f>VLOOKUP(A3362,Sheet2!$A$2:$R$3432,5,0)</f>
        <v>MH14HT4472</v>
      </c>
      <c r="N3362" s="5" t="s">
        <v>25</v>
      </c>
      <c r="O3362" s="5" t="s">
        <v>25</v>
      </c>
      <c r="P3362" s="6" t="s">
        <v>25</v>
      </c>
      <c r="Q3362" s="5" t="s">
        <v>25</v>
      </c>
      <c r="R3362" s="5" t="s">
        <v>25</v>
      </c>
      <c r="S3362" s="5" t="str">
        <f>VLOOKUP(A3362,Sheet2!$A$2:$R$3432,18,0)</f>
        <v>KF1FK141454</v>
      </c>
      <c r="T3362" s="7" t="str">
        <f>VLOOKUP(A3362,Sheet2!$A$2:$R$3432,17,0)</f>
        <v>MD625HF15K1F09941</v>
      </c>
    </row>
    <row r="3363" ht="15.75" customHeight="1">
      <c r="A3363" s="3" t="s">
        <v>3386</v>
      </c>
      <c r="B3363" s="4" t="str">
        <f>VLOOKUP(A3363,Sheet2!$A$2:$R$3432,2,0)</f>
        <v>2025-07-04 22:24:24</v>
      </c>
      <c r="C3363" s="5" t="s">
        <v>25</v>
      </c>
      <c r="D3363" s="6" t="s">
        <v>25</v>
      </c>
      <c r="E3363" s="7">
        <f>VLOOKUP(A3363,Sheet2!$A$2:$R$3432,4,0)</f>
        <v>8121875482</v>
      </c>
      <c r="F3363" s="7" t="str">
        <f>VLOOKUP(A3363,Sheet2!$A$2:$R$3432,3,0)</f>
        <v>NAGAVENKAT </v>
      </c>
      <c r="G3363" s="5" t="s">
        <v>25</v>
      </c>
      <c r="H3363" s="5" t="s">
        <v>25</v>
      </c>
      <c r="I3363" s="5" t="s">
        <v>25</v>
      </c>
      <c r="J3363" s="5" t="s">
        <v>25</v>
      </c>
      <c r="K3363" s="7" t="str">
        <f>VLOOKUP(A3363,Sheet2!$A$2:$R$3432,6,0)</f>
        <v>Hero Xpulse 200T</v>
      </c>
      <c r="L3363" s="5" t="s">
        <v>25</v>
      </c>
      <c r="M3363" s="7" t="str">
        <f>VLOOKUP(A3363,Sheet2!$A$2:$R$3432,5,0)</f>
        <v>TS08HZ3928</v>
      </c>
      <c r="N3363" s="5" t="s">
        <v>25</v>
      </c>
      <c r="O3363" s="5" t="s">
        <v>25</v>
      </c>
      <c r="P3363" s="6" t="s">
        <v>25</v>
      </c>
      <c r="Q3363" s="5" t="s">
        <v>25</v>
      </c>
      <c r="R3363" s="5" t="s">
        <v>25</v>
      </c>
      <c r="S3363" s="7" t="str">
        <f>VLOOKUP(A3363,Sheet2!$A$2:$R$3432,18,0)</f>
        <v/>
      </c>
      <c r="T3363" s="7" t="str">
        <f>VLOOKUP(A3363,Sheet2!$A$2:$R$3432,17,0)</f>
        <v/>
      </c>
    </row>
    <row r="3364" ht="15.75" customHeight="1">
      <c r="A3364" s="3" t="s">
        <v>3387</v>
      </c>
      <c r="B3364" s="4" t="str">
        <f>VLOOKUP(A3364,Sheet2!$A$2:$R$3432,2,0)</f>
        <v>2025-07-04 22:24:04</v>
      </c>
      <c r="C3364" s="5" t="s">
        <v>25</v>
      </c>
      <c r="D3364" s="6" t="s">
        <v>25</v>
      </c>
      <c r="E3364" s="7">
        <f>VLOOKUP(A3364,Sheet2!$A$2:$R$3432,4,0)</f>
        <v>9657431142</v>
      </c>
      <c r="F3364" s="7" t="str">
        <f>VLOOKUP(A3364,Sheet2!$A$2:$R$3432,3,0)</f>
        <v>Mukesh Prajapati </v>
      </c>
      <c r="G3364" s="5" t="s">
        <v>25</v>
      </c>
      <c r="H3364" s="5" t="s">
        <v>25</v>
      </c>
      <c r="I3364" s="5" t="s">
        <v>25</v>
      </c>
      <c r="J3364" s="5" t="s">
        <v>25</v>
      </c>
      <c r="K3364" s="7" t="str">
        <f>VLOOKUP(A3364,Sheet2!$A$2:$R$3432,6,0)</f>
        <v>Honda Activa 4G</v>
      </c>
      <c r="L3364" s="5" t="s">
        <v>25</v>
      </c>
      <c r="M3364" s="7" t="str">
        <f>VLOOKUP(A3364,Sheet2!$A$2:$R$3432,5,0)</f>
        <v>MH12PX9894</v>
      </c>
      <c r="N3364" s="5" t="s">
        <v>25</v>
      </c>
      <c r="O3364" s="5" t="s">
        <v>25</v>
      </c>
      <c r="P3364" s="6" t="s">
        <v>25</v>
      </c>
      <c r="Q3364" s="5" t="s">
        <v>25</v>
      </c>
      <c r="R3364" s="5" t="s">
        <v>25</v>
      </c>
      <c r="S3364" s="7" t="str">
        <f>VLOOKUP(A3364,Sheet2!$A$2:$R$3432,18,0)</f>
        <v/>
      </c>
      <c r="T3364" s="7" t="str">
        <f>VLOOKUP(A3364,Sheet2!$A$2:$R$3432,17,0)</f>
        <v/>
      </c>
    </row>
    <row r="3365" ht="15.75" customHeight="1">
      <c r="A3365" s="3" t="s">
        <v>3388</v>
      </c>
      <c r="B3365" s="4" t="str">
        <f>VLOOKUP(A3365,Sheet2!$A$2:$R$3432,2,0)</f>
        <v>2025-07-04 22:23:49</v>
      </c>
      <c r="C3365" s="5" t="s">
        <v>25</v>
      </c>
      <c r="D3365" s="6" t="s">
        <v>25</v>
      </c>
      <c r="E3365" s="7">
        <f>VLOOKUP(A3365,Sheet2!$A$2:$R$3432,4,0)</f>
        <v>9834114667</v>
      </c>
      <c r="F3365" s="7" t="str">
        <f>VLOOKUP(A3365,Sheet2!$A$2:$R$3432,3,0)</f>
        <v>Ram</v>
      </c>
      <c r="G3365" s="5" t="s">
        <v>25</v>
      </c>
      <c r="H3365" s="5" t="s">
        <v>25</v>
      </c>
      <c r="I3365" s="5" t="s">
        <v>25</v>
      </c>
      <c r="J3365" s="5" t="s">
        <v>25</v>
      </c>
      <c r="K3365" s="7" t="str">
        <f>VLOOKUP(A3365,Sheet2!$A$2:$R$3432,6,0)</f>
        <v>Suzuki Access </v>
      </c>
      <c r="L3365" s="5" t="s">
        <v>25</v>
      </c>
      <c r="M3365" s="7" t="str">
        <f>VLOOKUP(A3365,Sheet2!$A$2:$R$3432,5,0)</f>
        <v>MH27CF9281</v>
      </c>
      <c r="N3365" s="5" t="s">
        <v>25</v>
      </c>
      <c r="O3365" s="5" t="s">
        <v>25</v>
      </c>
      <c r="P3365" s="6" t="s">
        <v>25</v>
      </c>
      <c r="Q3365" s="5" t="s">
        <v>25</v>
      </c>
      <c r="R3365" s="5" t="s">
        <v>25</v>
      </c>
      <c r="S3365" s="5" t="str">
        <f>VLOOKUP(A3365,Sheet2!$A$2:$R$3432,18,0)</f>
        <v>AF211560163</v>
      </c>
      <c r="T3365" s="7" t="str">
        <f>VLOOKUP(A3365,Sheet2!$A$2:$R$3432,17,0)</f>
        <v>MB8DP11AAJ8710157</v>
      </c>
    </row>
    <row r="3366" ht="15.75" customHeight="1">
      <c r="A3366" s="3" t="s">
        <v>3389</v>
      </c>
      <c r="B3366" s="4" t="str">
        <f>VLOOKUP(A3366,Sheet2!$A$2:$R$3432,2,0)</f>
        <v>2025-07-04 22:23:23</v>
      </c>
      <c r="C3366" s="5" t="s">
        <v>25</v>
      </c>
      <c r="D3366" s="6" t="s">
        <v>25</v>
      </c>
      <c r="E3366" s="7">
        <f>VLOOKUP(A3366,Sheet2!$A$2:$R$3432,4,0)</f>
        <v>8421854569</v>
      </c>
      <c r="F3366" s="7" t="str">
        <f>VLOOKUP(A3366,Sheet2!$A$2:$R$3432,3,0)</f>
        <v>PRATIK</v>
      </c>
      <c r="G3366" s="5" t="s">
        <v>25</v>
      </c>
      <c r="H3366" s="5" t="s">
        <v>25</v>
      </c>
      <c r="I3366" s="5" t="s">
        <v>25</v>
      </c>
      <c r="J3366" s="5" t="s">
        <v>25</v>
      </c>
      <c r="K3366" s="7" t="str">
        <f>VLOOKUP(A3366,Sheet2!$A$2:$R$3432,6,0)</f>
        <v>Honda Hornet 160R</v>
      </c>
      <c r="L3366" s="5" t="s">
        <v>25</v>
      </c>
      <c r="M3366" s="7" t="str">
        <f>VLOOKUP(A3366,Sheet2!$A$2:$R$3432,5,0)</f>
        <v>MH12NC8216</v>
      </c>
      <c r="N3366" s="5" t="s">
        <v>25</v>
      </c>
      <c r="O3366" s="5" t="s">
        <v>25</v>
      </c>
      <c r="P3366" s="6" t="s">
        <v>25</v>
      </c>
      <c r="Q3366" s="5" t="s">
        <v>25</v>
      </c>
      <c r="R3366" s="5" t="s">
        <v>25</v>
      </c>
      <c r="S3366" s="5" t="str">
        <f>VLOOKUP(A3366,Sheet2!$A$2:$R$3432,18,0)</f>
        <v>KC23E80013265</v>
      </c>
      <c r="T3366" s="7" t="str">
        <f>VLOOKUP(A3366,Sheet2!$A$2:$R$3432,17,0)</f>
        <v>ME4KC231AG8010378</v>
      </c>
    </row>
    <row r="3367" ht="15.75" customHeight="1">
      <c r="A3367" s="3" t="s">
        <v>3390</v>
      </c>
      <c r="B3367" s="4" t="str">
        <f>VLOOKUP(A3367,Sheet2!$A$2:$R$3432,2,0)</f>
        <v>2025-07-04 22:27:12</v>
      </c>
      <c r="C3367" s="5" t="s">
        <v>25</v>
      </c>
      <c r="D3367" s="6" t="s">
        <v>25</v>
      </c>
      <c r="E3367" s="7">
        <f>VLOOKUP(A3367,Sheet2!$A$2:$R$3432,4,0)</f>
        <v>9820525268</v>
      </c>
      <c r="F3367" s="7" t="str">
        <f>VLOOKUP(A3367,Sheet2!$A$2:$R$3432,3,0)</f>
        <v>Sagar Chitle</v>
      </c>
      <c r="G3367" s="5" t="s">
        <v>25</v>
      </c>
      <c r="H3367" s="5" t="s">
        <v>25</v>
      </c>
      <c r="I3367" s="5" t="s">
        <v>25</v>
      </c>
      <c r="J3367" s="5" t="s">
        <v>25</v>
      </c>
      <c r="K3367" s="7" t="str">
        <f>VLOOKUP(A3367,Sheet2!$A$2:$R$3432,6,0)</f>
        <v>Hero Maestro </v>
      </c>
      <c r="L3367" s="5" t="s">
        <v>25</v>
      </c>
      <c r="M3367" s="7" t="str">
        <f>VLOOKUP(A3367,Sheet2!$A$2:$R$3432,5,0)</f>
        <v>MH46AA2208</v>
      </c>
      <c r="N3367" s="5" t="s">
        <v>25</v>
      </c>
      <c r="O3367" s="5" t="s">
        <v>25</v>
      </c>
      <c r="P3367" s="6" t="s">
        <v>25</v>
      </c>
      <c r="Q3367" s="5" t="s">
        <v>25</v>
      </c>
      <c r="R3367" s="5" t="s">
        <v>25</v>
      </c>
      <c r="S3367" s="5" t="str">
        <f>VLOOKUP(A3367,Sheet2!$A$2:$R$3432,18,0)</f>
        <v>JF32AHECA36080</v>
      </c>
      <c r="T3367" s="7" t="str">
        <f>VLOOKUP(A3367,Sheet2!$A$2:$R$3432,17,0)</f>
        <v>MBLJF32ARECA355AD</v>
      </c>
    </row>
    <row r="3368" ht="15.75" customHeight="1">
      <c r="A3368" s="3" t="s">
        <v>3391</v>
      </c>
      <c r="B3368" s="4" t="str">
        <f>VLOOKUP(A3368,Sheet2!$A$2:$R$3432,2,0)</f>
        <v>2025-07-06 18:39:39</v>
      </c>
      <c r="C3368" s="5" t="s">
        <v>25</v>
      </c>
      <c r="D3368" s="6" t="s">
        <v>25</v>
      </c>
      <c r="E3368" s="7">
        <f>VLOOKUP(A3368,Sheet2!$A$2:$R$3432,4,0)</f>
        <v>9404045740</v>
      </c>
      <c r="F3368" s="7" t="str">
        <f>VLOOKUP(A3368,Sheet2!$A$2:$R$3432,3,0)</f>
        <v>Shripad Kale</v>
      </c>
      <c r="G3368" s="5" t="s">
        <v>25</v>
      </c>
      <c r="H3368" s="5" t="s">
        <v>25</v>
      </c>
      <c r="I3368" s="5" t="s">
        <v>25</v>
      </c>
      <c r="J3368" s="5" t="s">
        <v>25</v>
      </c>
      <c r="K3368" s="7" t="str">
        <f>VLOOKUP(A3368,Sheet2!$A$2:$R$3432,6,0)</f>
        <v>Honda Activa 3G</v>
      </c>
      <c r="L3368" s="5" t="s">
        <v>25</v>
      </c>
      <c r="M3368" s="7" t="str">
        <f>VLOOKUP(A3368,Sheet2!$A$2:$R$3432,5,0)</f>
        <v>MH32AG0432</v>
      </c>
      <c r="N3368" s="5" t="s">
        <v>25</v>
      </c>
      <c r="O3368" s="5" t="s">
        <v>25</v>
      </c>
      <c r="P3368" s="6" t="s">
        <v>25</v>
      </c>
      <c r="Q3368" s="5" t="s">
        <v>25</v>
      </c>
      <c r="R3368" s="5" t="s">
        <v>25</v>
      </c>
      <c r="S3368" s="7" t="str">
        <f>VLOOKUP(A3368,Sheet2!$A$2:$R$3432,18,0)</f>
        <v/>
      </c>
      <c r="T3368" s="7" t="str">
        <f>VLOOKUP(A3368,Sheet2!$A$2:$R$3432,17,0)</f>
        <v/>
      </c>
    </row>
    <row r="3369" ht="15.75" customHeight="1">
      <c r="A3369" s="3" t="s">
        <v>3392</v>
      </c>
      <c r="B3369" s="4" t="str">
        <f>VLOOKUP(A3369,Sheet2!$A$2:$R$3432,2,0)</f>
        <v>2025-07-06 18:36:31</v>
      </c>
      <c r="C3369" s="5" t="s">
        <v>25</v>
      </c>
      <c r="D3369" s="6" t="s">
        <v>25</v>
      </c>
      <c r="E3369" s="7">
        <f>VLOOKUP(A3369,Sheet2!$A$2:$R$3432,4,0)</f>
        <v>9860977864</v>
      </c>
      <c r="F3369" s="7" t="str">
        <f>VLOOKUP(A3369,Sheet2!$A$2:$R$3432,3,0)</f>
        <v>Pooja Kelkar</v>
      </c>
      <c r="G3369" s="5" t="s">
        <v>25</v>
      </c>
      <c r="H3369" s="5" t="s">
        <v>25</v>
      </c>
      <c r="I3369" s="5" t="s">
        <v>25</v>
      </c>
      <c r="J3369" s="5" t="s">
        <v>25</v>
      </c>
      <c r="K3369" s="7" t="str">
        <f>VLOOKUP(A3369,Sheet2!$A$2:$R$3432,6,0)</f>
        <v>Suzuki Access 125</v>
      </c>
      <c r="L3369" s="5" t="s">
        <v>25</v>
      </c>
      <c r="M3369" s="7" t="str">
        <f>VLOOKUP(A3369,Sheet2!$A$2:$R$3432,5,0)</f>
        <v>MH12NS3899</v>
      </c>
      <c r="N3369" s="5" t="s">
        <v>25</v>
      </c>
      <c r="O3369" s="5" t="s">
        <v>25</v>
      </c>
      <c r="P3369" s="6" t="s">
        <v>25</v>
      </c>
      <c r="Q3369" s="5" t="s">
        <v>25</v>
      </c>
      <c r="R3369" s="5" t="s">
        <v>25</v>
      </c>
      <c r="S3369" s="7" t="str">
        <f>VLOOKUP(A3369,Sheet2!$A$2:$R$3432,18,0)</f>
        <v/>
      </c>
      <c r="T3369" s="7" t="str">
        <f>VLOOKUP(A3369,Sheet2!$A$2:$R$3432,17,0)</f>
        <v/>
      </c>
    </row>
    <row r="3370" ht="15.75" customHeight="1">
      <c r="A3370" s="3" t="s">
        <v>3393</v>
      </c>
      <c r="B3370" s="4" t="str">
        <f>VLOOKUP(A3370,Sheet2!$A$2:$R$3432,2,0)</f>
        <v>2025-07-06 18:35:32</v>
      </c>
      <c r="C3370" s="5" t="s">
        <v>25</v>
      </c>
      <c r="D3370" s="6" t="s">
        <v>25</v>
      </c>
      <c r="E3370" s="7">
        <f>VLOOKUP(A3370,Sheet2!$A$2:$R$3432,4,0)</f>
        <v>8554928353</v>
      </c>
      <c r="F3370" s="7" t="str">
        <f>VLOOKUP(A3370,Sheet2!$A$2:$R$3432,3,0)</f>
        <v>ANIKET PATIL</v>
      </c>
      <c r="G3370" s="5" t="s">
        <v>25</v>
      </c>
      <c r="H3370" s="5" t="s">
        <v>25</v>
      </c>
      <c r="I3370" s="5" t="s">
        <v>25</v>
      </c>
      <c r="J3370" s="5" t="s">
        <v>25</v>
      </c>
      <c r="K3370" s="7" t="str">
        <f>VLOOKUP(A3370,Sheet2!$A$2:$R$3432,6,0)</f>
        <v>Honda Unicorn 150</v>
      </c>
      <c r="L3370" s="5" t="s">
        <v>25</v>
      </c>
      <c r="M3370" s="7" t="str">
        <f>VLOOKUP(A3370,Sheet2!$A$2:$R$3432,5,0)</f>
        <v>MH09GP1265</v>
      </c>
      <c r="N3370" s="5" t="s">
        <v>25</v>
      </c>
      <c r="O3370" s="5" t="s">
        <v>25</v>
      </c>
      <c r="P3370" s="6" t="s">
        <v>25</v>
      </c>
      <c r="Q3370" s="5" t="s">
        <v>25</v>
      </c>
      <c r="R3370" s="5" t="s">
        <v>25</v>
      </c>
      <c r="S3370" s="5" t="str">
        <f>VLOOKUP(A3370,Sheet2!$A$2:$R$3432,18,0)</f>
        <v>KC40EG3070428</v>
      </c>
      <c r="T3370" s="7" t="str">
        <f>VLOOKUP(A3370,Sheet2!$A$2:$R$3432,17,0)</f>
        <v>ME4KC404LPG070263</v>
      </c>
    </row>
    <row r="3371" ht="15.75" customHeight="1">
      <c r="A3371" s="3" t="s">
        <v>3394</v>
      </c>
      <c r="B3371" s="4" t="str">
        <f>VLOOKUP(A3371,Sheet2!$A$2:$R$3432,2,0)</f>
        <v>2025-07-06 18:38:56</v>
      </c>
      <c r="C3371" s="5" t="s">
        <v>25</v>
      </c>
      <c r="D3371" s="6" t="s">
        <v>25</v>
      </c>
      <c r="E3371" s="7">
        <f>VLOOKUP(A3371,Sheet2!$A$2:$R$3432,4,0)</f>
        <v>9049536462</v>
      </c>
      <c r="F3371" s="7" t="str">
        <f>VLOOKUP(A3371,Sheet2!$A$2:$R$3432,3,0)</f>
        <v>Manoj</v>
      </c>
      <c r="G3371" s="5" t="s">
        <v>25</v>
      </c>
      <c r="H3371" s="5" t="s">
        <v>25</v>
      </c>
      <c r="I3371" s="5" t="s">
        <v>25</v>
      </c>
      <c r="J3371" s="5" t="s">
        <v>25</v>
      </c>
      <c r="K3371" s="7" t="str">
        <f>VLOOKUP(A3371,Sheet2!$A$2:$R$3432,6,0)</f>
        <v>Honda Activa </v>
      </c>
      <c r="L3371" s="5" t="s">
        <v>25</v>
      </c>
      <c r="M3371" s="7" t="str">
        <f>VLOOKUP(A3371,Sheet2!$A$2:$R$3432,5,0)</f>
        <v>MH14ES3499</v>
      </c>
      <c r="N3371" s="5" t="s">
        <v>25</v>
      </c>
      <c r="O3371" s="5" t="s">
        <v>25</v>
      </c>
      <c r="P3371" s="6" t="s">
        <v>25</v>
      </c>
      <c r="Q3371" s="5" t="s">
        <v>25</v>
      </c>
      <c r="R3371" s="5" t="s">
        <v>25</v>
      </c>
      <c r="S3371" s="7" t="str">
        <f>VLOOKUP(A3371,Sheet2!$A$2:$R$3432,18,0)</f>
        <v/>
      </c>
      <c r="T3371" s="7" t="str">
        <f>VLOOKUP(A3371,Sheet2!$A$2:$R$3432,17,0)</f>
        <v>ME4JF502LE8313692</v>
      </c>
    </row>
    <row r="3372" ht="15.75" customHeight="1">
      <c r="A3372" s="3" t="s">
        <v>3395</v>
      </c>
      <c r="B3372" s="4" t="str">
        <f>VLOOKUP(A3372,Sheet2!$A$2:$R$3432,2,0)</f>
        <v>2025-07-06 18:25:45</v>
      </c>
      <c r="C3372" s="5" t="s">
        <v>25</v>
      </c>
      <c r="D3372" s="6" t="s">
        <v>25</v>
      </c>
      <c r="E3372" s="7">
        <f>VLOOKUP(A3372,Sheet2!$A$2:$R$3432,4,0)</f>
        <v>7218773362</v>
      </c>
      <c r="F3372" s="7" t="str">
        <f>VLOOKUP(A3372,Sheet2!$A$2:$R$3432,3,0)</f>
        <v>Rupesh </v>
      </c>
      <c r="G3372" s="5" t="s">
        <v>25</v>
      </c>
      <c r="H3372" s="5" t="s">
        <v>25</v>
      </c>
      <c r="I3372" s="5" t="s">
        <v>25</v>
      </c>
      <c r="J3372" s="5" t="s">
        <v>25</v>
      </c>
      <c r="K3372" s="7" t="str">
        <f>VLOOKUP(A3372,Sheet2!$A$2:$R$3432,6,0)</f>
        <v>TVS Rider 125</v>
      </c>
      <c r="L3372" s="5" t="s">
        <v>25</v>
      </c>
      <c r="M3372" s="7" t="str">
        <f>VLOOKUP(A3372,Sheet2!$A$2:$R$3432,5,0)</f>
        <v>MH29CF3594</v>
      </c>
      <c r="N3372" s="5" t="s">
        <v>25</v>
      </c>
      <c r="O3372" s="5" t="s">
        <v>25</v>
      </c>
      <c r="P3372" s="6" t="s">
        <v>25</v>
      </c>
      <c r="Q3372" s="5" t="s">
        <v>25</v>
      </c>
      <c r="R3372" s="5" t="s">
        <v>25</v>
      </c>
      <c r="S3372" s="7" t="str">
        <f>VLOOKUP(A3372,Sheet2!$A$2:$R$3432,18,0)</f>
        <v/>
      </c>
      <c r="T3372" s="7" t="str">
        <f>VLOOKUP(A3372,Sheet2!$A$2:$R$3432,17,0)</f>
        <v/>
      </c>
    </row>
    <row r="3373" ht="15.75" customHeight="1">
      <c r="A3373" s="3" t="s">
        <v>3396</v>
      </c>
      <c r="B3373" s="4" t="str">
        <f>VLOOKUP(A3373,Sheet2!$A$2:$R$3432,2,0)</f>
        <v>2025-07-06 18:37:00</v>
      </c>
      <c r="C3373" s="5" t="s">
        <v>25</v>
      </c>
      <c r="D3373" s="6" t="s">
        <v>25</v>
      </c>
      <c r="E3373" s="7">
        <f>VLOOKUP(A3373,Sheet2!$A$2:$R$3432,4,0)</f>
        <v>9106598797</v>
      </c>
      <c r="F3373" s="7" t="str">
        <f>VLOOKUP(A3373,Sheet2!$A$2:$R$3432,3,0)</f>
        <v>Manoj</v>
      </c>
      <c r="G3373" s="5" t="s">
        <v>25</v>
      </c>
      <c r="H3373" s="5" t="s">
        <v>25</v>
      </c>
      <c r="I3373" s="5" t="s">
        <v>25</v>
      </c>
      <c r="J3373" s="5" t="s">
        <v>25</v>
      </c>
      <c r="K3373" s="7" t="str">
        <f>VLOOKUP(A3373,Sheet2!$A$2:$R$3432,6,0)</f>
        <v>Honda Activa </v>
      </c>
      <c r="L3373" s="5" t="s">
        <v>25</v>
      </c>
      <c r="M3373" s="7" t="str">
        <f>VLOOKUP(A3373,Sheet2!$A$2:$R$3432,5,0)</f>
        <v>MH14HE2735</v>
      </c>
      <c r="N3373" s="5" t="s">
        <v>25</v>
      </c>
      <c r="O3373" s="5" t="s">
        <v>25</v>
      </c>
      <c r="P3373" s="6" t="s">
        <v>25</v>
      </c>
      <c r="Q3373" s="5" t="s">
        <v>25</v>
      </c>
      <c r="R3373" s="5" t="s">
        <v>25</v>
      </c>
      <c r="S3373" s="5" t="str">
        <f>VLOOKUP(A3373,Sheet2!$A$2:$R$3432,18,0)</f>
        <v>JF50EU5149339</v>
      </c>
      <c r="T3373" s="7" t="str">
        <f>VLOOKUP(A3373,Sheet2!$A$2:$R$3432,17,0)</f>
        <v>ME4JF50879454927</v>
      </c>
    </row>
    <row r="3374" ht="15.75" customHeight="1">
      <c r="A3374" s="3" t="s">
        <v>3397</v>
      </c>
      <c r="B3374" s="4" t="str">
        <f>VLOOKUP(A3374,Sheet2!$A$2:$R$3432,2,0)</f>
        <v>2025-07-06 20:30:55</v>
      </c>
      <c r="C3374" s="5" t="s">
        <v>25</v>
      </c>
      <c r="D3374" s="6" t="s">
        <v>25</v>
      </c>
      <c r="E3374" s="7">
        <f>VLOOKUP(A3374,Sheet2!$A$2:$R$3432,4,0)</f>
        <v>9890907618</v>
      </c>
      <c r="F3374" s="7" t="str">
        <f>VLOOKUP(A3374,Sheet2!$A$2:$R$3432,3,0)</f>
        <v>Omkar</v>
      </c>
      <c r="G3374" s="5" t="s">
        <v>25</v>
      </c>
      <c r="H3374" s="5" t="s">
        <v>25</v>
      </c>
      <c r="I3374" s="5" t="s">
        <v>25</v>
      </c>
      <c r="J3374" s="5" t="s">
        <v>25</v>
      </c>
      <c r="K3374" s="7" t="str">
        <f>VLOOKUP(A3374,Sheet2!$A$2:$R$3432,6,0)</f>
        <v>Yamaha FZ V3</v>
      </c>
      <c r="L3374" s="5" t="s">
        <v>25</v>
      </c>
      <c r="M3374" s="7" t="str">
        <f>VLOOKUP(A3374,Sheet2!$A$2:$R$3432,5,0)</f>
        <v>MH10DJ6558</v>
      </c>
      <c r="N3374" s="5" t="s">
        <v>25</v>
      </c>
      <c r="O3374" s="5" t="s">
        <v>25</v>
      </c>
      <c r="P3374" s="6" t="s">
        <v>25</v>
      </c>
      <c r="Q3374" s="5" t="s">
        <v>25</v>
      </c>
      <c r="R3374" s="5" t="s">
        <v>25</v>
      </c>
      <c r="S3374" s="7" t="str">
        <f>VLOOKUP(A3374,Sheet2!$A$2:$R$3432,18,0)</f>
        <v/>
      </c>
      <c r="T3374" s="7" t="str">
        <f>VLOOKUP(A3374,Sheet2!$A$2:$R$3432,17,0)</f>
        <v/>
      </c>
    </row>
    <row r="3375" ht="15.75" customHeight="1">
      <c r="A3375" s="3" t="s">
        <v>3398</v>
      </c>
      <c r="B3375" s="4" t="str">
        <f>VLOOKUP(A3375,Sheet2!$A$2:$R$3432,2,0)</f>
        <v>2025-07-06 18:33:04</v>
      </c>
      <c r="C3375" s="5" t="s">
        <v>25</v>
      </c>
      <c r="D3375" s="6" t="s">
        <v>25</v>
      </c>
      <c r="E3375" s="7">
        <f>VLOOKUP(A3375,Sheet2!$A$2:$R$3432,4,0)</f>
        <v>8668368998</v>
      </c>
      <c r="F3375" s="7" t="str">
        <f>VLOOKUP(A3375,Sheet2!$A$2:$R$3432,3,0)</f>
        <v>SWAPNIL KHARE</v>
      </c>
      <c r="G3375" s="5" t="s">
        <v>25</v>
      </c>
      <c r="H3375" s="5" t="s">
        <v>25</v>
      </c>
      <c r="I3375" s="5" t="s">
        <v>25</v>
      </c>
      <c r="J3375" s="5" t="s">
        <v>25</v>
      </c>
      <c r="K3375" s="7" t="str">
        <f>VLOOKUP(A3375,Sheet2!$A$2:$R$3432,6,0)</f>
        <v>Honda Activa 110</v>
      </c>
      <c r="L3375" s="5" t="s">
        <v>25</v>
      </c>
      <c r="M3375" s="7" t="str">
        <f>VLOOKUP(A3375,Sheet2!$A$2:$R$3432,5,0)</f>
        <v>MH14DD6333</v>
      </c>
      <c r="N3375" s="5" t="s">
        <v>25</v>
      </c>
      <c r="O3375" s="5" t="s">
        <v>25</v>
      </c>
      <c r="P3375" s="6" t="s">
        <v>25</v>
      </c>
      <c r="Q3375" s="5" t="s">
        <v>25</v>
      </c>
      <c r="R3375" s="5" t="s">
        <v>25</v>
      </c>
      <c r="S3375" s="5" t="str">
        <f>VLOOKUP(A3375,Sheet2!$A$2:$R$3432,18,0)</f>
        <v>JC44E5183425</v>
      </c>
      <c r="T3375" s="7" t="str">
        <f>VLOOKUP(A3375,Sheet2!$A$2:$R$3432,17,0)</f>
        <v>ME4JC448MB7163952</v>
      </c>
    </row>
    <row r="3376" ht="15.75" customHeight="1">
      <c r="A3376" s="3" t="s">
        <v>3399</v>
      </c>
      <c r="B3376" s="4" t="str">
        <f>VLOOKUP(A3376,Sheet2!$A$2:$R$3432,2,0)</f>
        <v>2025-07-06 18:28:56</v>
      </c>
      <c r="C3376" s="5" t="s">
        <v>25</v>
      </c>
      <c r="D3376" s="6" t="s">
        <v>25</v>
      </c>
      <c r="E3376" s="7">
        <f>VLOOKUP(A3376,Sheet2!$A$2:$R$3432,4,0)</f>
        <v>9986807974</v>
      </c>
      <c r="F3376" s="7" t="str">
        <f>VLOOKUP(A3376,Sheet2!$A$2:$R$3432,3,0)</f>
        <v>Bhaskar </v>
      </c>
      <c r="G3376" s="5" t="s">
        <v>25</v>
      </c>
      <c r="H3376" s="5" t="s">
        <v>25</v>
      </c>
      <c r="I3376" s="5" t="s">
        <v>25</v>
      </c>
      <c r="J3376" s="5" t="s">
        <v>25</v>
      </c>
      <c r="K3376" s="7" t="str">
        <f>VLOOKUP(A3376,Sheet2!$A$2:$R$3432,6,0)</f>
        <v>TVS Jupiter </v>
      </c>
      <c r="L3376" s="5" t="s">
        <v>25</v>
      </c>
      <c r="M3376" s="7" t="str">
        <f>VLOOKUP(A3376,Sheet2!$A$2:$R$3432,5,0)</f>
        <v>KA02JH6091</v>
      </c>
      <c r="N3376" s="5" t="s">
        <v>25</v>
      </c>
      <c r="O3376" s="5" t="s">
        <v>25</v>
      </c>
      <c r="P3376" s="6" t="s">
        <v>25</v>
      </c>
      <c r="Q3376" s="5" t="s">
        <v>25</v>
      </c>
      <c r="R3376" s="5" t="s">
        <v>25</v>
      </c>
      <c r="S3376" s="5" t="str">
        <f>VLOOKUP(A3376,Sheet2!$A$2:$R$3432,18,0)</f>
        <v>BG4CG1091928 HU</v>
      </c>
      <c r="T3376" s="7" t="str">
        <f>VLOOKUP(A3376,Sheet2!$A$2:$R$3432,17,0)</f>
        <v>MD626BG4101C66892</v>
      </c>
    </row>
    <row r="3377" ht="15.75" customHeight="1">
      <c r="A3377" s="3" t="s">
        <v>3400</v>
      </c>
      <c r="B3377" s="4" t="str">
        <f>VLOOKUP(A3377,Sheet2!$A$2:$R$3432,2,0)</f>
        <v>2025-07-06 18:38:17</v>
      </c>
      <c r="C3377" s="5" t="s">
        <v>25</v>
      </c>
      <c r="D3377" s="6" t="s">
        <v>25</v>
      </c>
      <c r="E3377" s="7">
        <f>VLOOKUP(A3377,Sheet2!$A$2:$R$3432,4,0)</f>
        <v>9158557929</v>
      </c>
      <c r="F3377" s="7" t="str">
        <f>VLOOKUP(A3377,Sheet2!$A$2:$R$3432,3,0)</f>
        <v>Ganesh Mhaske</v>
      </c>
      <c r="G3377" s="5" t="s">
        <v>25</v>
      </c>
      <c r="H3377" s="5" t="s">
        <v>25</v>
      </c>
      <c r="I3377" s="5" t="s">
        <v>25</v>
      </c>
      <c r="J3377" s="5" t="s">
        <v>25</v>
      </c>
      <c r="K3377" s="7" t="str">
        <f>VLOOKUP(A3377,Sheet2!$A$2:$R$3432,6,0)</f>
        <v>Yamaha FZ S</v>
      </c>
      <c r="L3377" s="5" t="s">
        <v>25</v>
      </c>
      <c r="M3377" s="7" t="str">
        <f>VLOOKUP(A3377,Sheet2!$A$2:$R$3432,5,0)</f>
        <v>MH16DH2026</v>
      </c>
      <c r="N3377" s="5" t="s">
        <v>25</v>
      </c>
      <c r="O3377" s="5" t="s">
        <v>25</v>
      </c>
      <c r="P3377" s="6" t="s">
        <v>25</v>
      </c>
      <c r="Q3377" s="5" t="s">
        <v>25</v>
      </c>
      <c r="R3377" s="5" t="s">
        <v>25</v>
      </c>
      <c r="S3377" s="7" t="str">
        <f>VLOOKUP(A3377,Sheet2!$A$2:$R$3432,18,0)</f>
        <v/>
      </c>
      <c r="T3377" s="7" t="str">
        <f>VLOOKUP(A3377,Sheet2!$A$2:$R$3432,17,0)</f>
        <v/>
      </c>
    </row>
    <row r="3378" ht="15.75" customHeight="1">
      <c r="A3378" s="3" t="s">
        <v>3401</v>
      </c>
      <c r="B3378" s="4" t="str">
        <f>VLOOKUP(A3378,Sheet2!$A$2:$R$3432,2,0)</f>
        <v>2025-07-06 19:20:12</v>
      </c>
      <c r="C3378" s="5" t="s">
        <v>25</v>
      </c>
      <c r="D3378" s="6" t="s">
        <v>25</v>
      </c>
      <c r="E3378" s="7">
        <f>VLOOKUP(A3378,Sheet2!$A$2:$R$3432,4,0)</f>
        <v>7843067860</v>
      </c>
      <c r="F3378" s="7" t="str">
        <f>VLOOKUP(A3378,Sheet2!$A$2:$R$3432,3,0)</f>
        <v>Vilas Baviskar </v>
      </c>
      <c r="G3378" s="5" t="s">
        <v>25</v>
      </c>
      <c r="H3378" s="5" t="s">
        <v>25</v>
      </c>
      <c r="I3378" s="5" t="s">
        <v>25</v>
      </c>
      <c r="J3378" s="5" t="s">
        <v>25</v>
      </c>
      <c r="K3378" s="7" t="str">
        <f>VLOOKUP(A3378,Sheet2!$A$2:$R$3432,6,0)</f>
        <v>TVS Scooty PEP</v>
      </c>
      <c r="L3378" s="5" t="s">
        <v>25</v>
      </c>
      <c r="M3378" s="7" t="str">
        <f>VLOOKUP(A3378,Sheet2!$A$2:$R$3432,5,0)</f>
        <v>MH19BW8227</v>
      </c>
      <c r="N3378" s="5" t="s">
        <v>25</v>
      </c>
      <c r="O3378" s="5" t="s">
        <v>25</v>
      </c>
      <c r="P3378" s="6" t="s">
        <v>25</v>
      </c>
      <c r="Q3378" s="5" t="s">
        <v>25</v>
      </c>
      <c r="R3378" s="5" t="s">
        <v>25</v>
      </c>
      <c r="S3378" s="5" t="str">
        <f>VLOOKUP(A3378,Sheet2!$A$2:$R$3432,18,0)</f>
        <v>063L2208001</v>
      </c>
      <c r="T3378" s="7" t="str">
        <f>VLOOKUP(A3378,Sheet2!$A$2:$R$3432,17,0)</f>
        <v>MD626BG3302158134</v>
      </c>
    </row>
    <row r="3379" ht="15.75" customHeight="1">
      <c r="A3379" s="3" t="s">
        <v>3402</v>
      </c>
      <c r="B3379" s="4" t="str">
        <f>VLOOKUP(A3379,Sheet2!$A$2:$R$3432,2,0)</f>
        <v>2025-07-06 19:28:43</v>
      </c>
      <c r="C3379" s="5" t="s">
        <v>25</v>
      </c>
      <c r="D3379" s="6" t="s">
        <v>25</v>
      </c>
      <c r="E3379" s="7">
        <f>VLOOKUP(A3379,Sheet2!$A$2:$R$3432,4,0)</f>
        <v>9423472539</v>
      </c>
      <c r="F3379" s="7" t="str">
        <f>VLOOKUP(A3379,Sheet2!$A$2:$R$3432,3,0)</f>
        <v>Sachin Deshmukh </v>
      </c>
      <c r="G3379" s="5" t="s">
        <v>25</v>
      </c>
      <c r="H3379" s="5" t="s">
        <v>25</v>
      </c>
      <c r="I3379" s="5" t="s">
        <v>25</v>
      </c>
      <c r="J3379" s="5" t="s">
        <v>25</v>
      </c>
      <c r="K3379" s="7" t="str">
        <f>VLOOKUP(A3379,Sheet2!$A$2:$R$3432,6,0)</f>
        <v>Hero Pleasure </v>
      </c>
      <c r="L3379" s="5" t="s">
        <v>25</v>
      </c>
      <c r="M3379" s="7" t="str">
        <f>VLOOKUP(A3379,Sheet2!$A$2:$R$3432,5,0)</f>
        <v>MH14ES4874</v>
      </c>
      <c r="N3379" s="5" t="s">
        <v>25</v>
      </c>
      <c r="O3379" s="5" t="s">
        <v>25</v>
      </c>
      <c r="P3379" s="6" t="s">
        <v>25</v>
      </c>
      <c r="Q3379" s="5" t="s">
        <v>25</v>
      </c>
      <c r="R3379" s="5" t="s">
        <v>25</v>
      </c>
      <c r="S3379" s="7" t="str">
        <f>VLOOKUP(A3379,Sheet2!$A$2:$R$3432,18,0)</f>
        <v/>
      </c>
      <c r="T3379" s="7" t="str">
        <f>VLOOKUP(A3379,Sheet2!$A$2:$R$3432,17,0)</f>
        <v/>
      </c>
    </row>
    <row r="3380" ht="15.75" customHeight="1">
      <c r="A3380" s="3" t="s">
        <v>3403</v>
      </c>
      <c r="B3380" s="4" t="str">
        <f>VLOOKUP(A3380,Sheet2!$A$2:$R$3432,2,0)</f>
        <v>2025-07-06 18:26:18</v>
      </c>
      <c r="C3380" s="5" t="s">
        <v>25</v>
      </c>
      <c r="D3380" s="6" t="s">
        <v>25</v>
      </c>
      <c r="E3380" s="7">
        <f>VLOOKUP(A3380,Sheet2!$A$2:$R$3432,4,0)</f>
        <v>9158029726</v>
      </c>
      <c r="F3380" s="7" t="str">
        <f>VLOOKUP(A3380,Sheet2!$A$2:$R$3432,3,0)</f>
        <v>Pradeep Shirke </v>
      </c>
      <c r="G3380" s="5" t="s">
        <v>25</v>
      </c>
      <c r="H3380" s="5" t="s">
        <v>25</v>
      </c>
      <c r="I3380" s="5" t="s">
        <v>25</v>
      </c>
      <c r="J3380" s="5" t="s">
        <v>25</v>
      </c>
      <c r="K3380" s="7" t="str">
        <f>VLOOKUP(A3380,Sheet2!$A$2:$R$3432,6,0)</f>
        <v>TVS Apache RTR 160</v>
      </c>
      <c r="L3380" s="5" t="s">
        <v>25</v>
      </c>
      <c r="M3380" s="7" t="str">
        <f>VLOOKUP(A3380,Sheet2!$A$2:$R$3432,5,0)</f>
        <v>MH14JS5977</v>
      </c>
      <c r="N3380" s="5" t="s">
        <v>25</v>
      </c>
      <c r="O3380" s="5" t="s">
        <v>25</v>
      </c>
      <c r="P3380" s="6" t="s">
        <v>25</v>
      </c>
      <c r="Q3380" s="5" t="s">
        <v>25</v>
      </c>
      <c r="R3380" s="5" t="s">
        <v>25</v>
      </c>
      <c r="S3380" s="5" t="str">
        <f>VLOOKUP(A3380,Sheet2!$A$2:$R$3432,18,0)</f>
        <v>GESFM2912978</v>
      </c>
      <c r="T3380" s="7" t="str">
        <f>VLOOKUP(A3380,Sheet2!$A$2:$R$3432,17,0)</f>
        <v>MD651DE55MZF12721</v>
      </c>
    </row>
    <row r="3381" ht="15.75" customHeight="1">
      <c r="A3381" s="3" t="s">
        <v>3404</v>
      </c>
      <c r="B3381" s="4" t="str">
        <f>VLOOKUP(A3381,Sheet2!$A$2:$R$3432,2,0)</f>
        <v>2025-07-06 18:34:17</v>
      </c>
      <c r="C3381" s="5" t="s">
        <v>25</v>
      </c>
      <c r="D3381" s="6" t="s">
        <v>25</v>
      </c>
      <c r="E3381" s="7">
        <f>VLOOKUP(A3381,Sheet2!$A$2:$R$3432,4,0)</f>
        <v>7276848557</v>
      </c>
      <c r="F3381" s="7" t="str">
        <f>VLOOKUP(A3381,Sheet2!$A$2:$R$3432,3,0)</f>
        <v>Kaustubh Nagre</v>
      </c>
      <c r="G3381" s="5" t="s">
        <v>25</v>
      </c>
      <c r="H3381" s="5" t="s">
        <v>25</v>
      </c>
      <c r="I3381" s="5" t="s">
        <v>25</v>
      </c>
      <c r="J3381" s="5" t="s">
        <v>25</v>
      </c>
      <c r="K3381" s="7" t="str">
        <f>VLOOKUP(A3381,Sheet2!$A$2:$R$3432,6,0)</f>
        <v>Yamaha FZ V3</v>
      </c>
      <c r="L3381" s="5" t="s">
        <v>25</v>
      </c>
      <c r="M3381" s="7" t="str">
        <f>VLOOKUP(A3381,Sheet2!$A$2:$R$3432,5,0)</f>
        <v>MH17CJ3724</v>
      </c>
      <c r="N3381" s="5" t="s">
        <v>25</v>
      </c>
      <c r="O3381" s="5" t="s">
        <v>25</v>
      </c>
      <c r="P3381" s="6" t="s">
        <v>25</v>
      </c>
      <c r="Q3381" s="5" t="s">
        <v>25</v>
      </c>
      <c r="R3381" s="5" t="s">
        <v>25</v>
      </c>
      <c r="S3381" s="5" t="str">
        <f>VLOOKUP(A3381,Sheet2!$A$2:$R$3432,18,0)</f>
        <v>G3NE0199482</v>
      </c>
      <c r="T3381" s="7" t="str">
        <f>VLOOKUP(A3381,Sheet2!$A$2:$R$3432,17,0)</f>
        <v>ME1RG66D6N0030919</v>
      </c>
    </row>
    <row r="3382" ht="15.75" customHeight="1">
      <c r="A3382" s="3" t="s">
        <v>3405</v>
      </c>
      <c r="B3382" s="4" t="str">
        <f>VLOOKUP(A3382,Sheet2!$A$2:$R$3432,2,0)</f>
        <v>2025-07-06 18:33:37</v>
      </c>
      <c r="C3382" s="5" t="s">
        <v>25</v>
      </c>
      <c r="D3382" s="6" t="s">
        <v>25</v>
      </c>
      <c r="E3382" s="7">
        <f>VLOOKUP(A3382,Sheet2!$A$2:$R$3432,4,0)</f>
        <v>8308539993</v>
      </c>
      <c r="F3382" s="7" t="str">
        <f>VLOOKUP(A3382,Sheet2!$A$2:$R$3432,3,0)</f>
        <v>Suraj Patil</v>
      </c>
      <c r="G3382" s="5" t="s">
        <v>25</v>
      </c>
      <c r="H3382" s="5" t="s">
        <v>25</v>
      </c>
      <c r="I3382" s="5" t="s">
        <v>25</v>
      </c>
      <c r="J3382" s="5" t="s">
        <v>25</v>
      </c>
      <c r="K3382" s="7" t="str">
        <f>VLOOKUP(A3382,Sheet2!$A$2:$R$3432,6,0)</f>
        <v>Suzuki Gixxer SF</v>
      </c>
      <c r="L3382" s="5" t="s">
        <v>25</v>
      </c>
      <c r="M3382" s="7" t="str">
        <f>VLOOKUP(A3382,Sheet2!$A$2:$R$3432,5,0)</f>
        <v>MH19EF6936</v>
      </c>
      <c r="N3382" s="5" t="s">
        <v>25</v>
      </c>
      <c r="O3382" s="5" t="s">
        <v>25</v>
      </c>
      <c r="P3382" s="6" t="s">
        <v>25</v>
      </c>
      <c r="Q3382" s="5" t="s">
        <v>25</v>
      </c>
      <c r="R3382" s="5" t="s">
        <v>25</v>
      </c>
      <c r="S3382" s="5" t="str">
        <f>VLOOKUP(A3382,Sheet2!$A$2:$R$3432,18,0)</f>
        <v>EJA1244130</v>
      </c>
      <c r="T3382" s="7" t="str">
        <f>VLOOKUP(A3382,Sheet2!$A$2:$R$3432,17,0)</f>
        <v>ME8EL11NKP8102847</v>
      </c>
    </row>
    <row r="3383" ht="15.75" customHeight="1">
      <c r="A3383" s="3" t="s">
        <v>3406</v>
      </c>
      <c r="B3383" s="4" t="str">
        <f>VLOOKUP(A3383,Sheet2!$A$2:$R$3432,2,0)</f>
        <v>2025-07-06 19:21:58</v>
      </c>
      <c r="C3383" s="5" t="s">
        <v>25</v>
      </c>
      <c r="D3383" s="6" t="s">
        <v>25</v>
      </c>
      <c r="E3383" s="7">
        <f>VLOOKUP(A3383,Sheet2!$A$2:$R$3432,4,0)</f>
        <v>9975448803</v>
      </c>
      <c r="F3383" s="7" t="str">
        <f>VLOOKUP(A3383,Sheet2!$A$2:$R$3432,3,0)</f>
        <v>Kumar </v>
      </c>
      <c r="G3383" s="5" t="s">
        <v>25</v>
      </c>
      <c r="H3383" s="5" t="s">
        <v>25</v>
      </c>
      <c r="I3383" s="5" t="s">
        <v>25</v>
      </c>
      <c r="J3383" s="5" t="s">
        <v>25</v>
      </c>
      <c r="K3383" s="7" t="str">
        <f>VLOOKUP(A3383,Sheet2!$A$2:$R$3432,6,0)</f>
        <v>Honda Activa 3G</v>
      </c>
      <c r="L3383" s="5" t="s">
        <v>25</v>
      </c>
      <c r="M3383" s="7" t="str">
        <f>VLOOKUP(A3383,Sheet2!$A$2:$R$3432,5,0)</f>
        <v>MH14FZ4189</v>
      </c>
      <c r="N3383" s="5" t="s">
        <v>25</v>
      </c>
      <c r="O3383" s="5" t="s">
        <v>25</v>
      </c>
      <c r="P3383" s="6" t="s">
        <v>25</v>
      </c>
      <c r="Q3383" s="5" t="s">
        <v>25</v>
      </c>
      <c r="R3383" s="5" t="s">
        <v>25</v>
      </c>
      <c r="S3383" s="7" t="str">
        <f>VLOOKUP(A3383,Sheet2!$A$2:$R$3432,18,0)</f>
        <v/>
      </c>
      <c r="T3383" s="7" t="str">
        <f>VLOOKUP(A3383,Sheet2!$A$2:$R$3432,17,0)</f>
        <v/>
      </c>
    </row>
    <row r="3384" ht="15.75" customHeight="1">
      <c r="A3384" s="3" t="s">
        <v>3407</v>
      </c>
      <c r="B3384" s="4" t="str">
        <f>VLOOKUP(A3384,Sheet2!$A$2:$R$3432,2,0)</f>
        <v>2025-07-06 19:18:49</v>
      </c>
      <c r="C3384" s="5" t="s">
        <v>25</v>
      </c>
      <c r="D3384" s="6" t="s">
        <v>25</v>
      </c>
      <c r="E3384" s="7">
        <f>VLOOKUP(A3384,Sheet2!$A$2:$R$3432,4,0)</f>
        <v>7066882194</v>
      </c>
      <c r="F3384" s="7" t="str">
        <f>VLOOKUP(A3384,Sheet2!$A$2:$R$3432,3,0)</f>
        <v>Rahul </v>
      </c>
      <c r="G3384" s="5" t="s">
        <v>25</v>
      </c>
      <c r="H3384" s="5" t="s">
        <v>25</v>
      </c>
      <c r="I3384" s="5" t="s">
        <v>25</v>
      </c>
      <c r="J3384" s="5" t="s">
        <v>25</v>
      </c>
      <c r="K3384" s="7" t="str">
        <f>VLOOKUP(A3384,Sheet2!$A$2:$R$3432,6,0)</f>
        <v>Yamaha FZ </v>
      </c>
      <c r="L3384" s="5" t="s">
        <v>25</v>
      </c>
      <c r="M3384" s="7" t="str">
        <f>VLOOKUP(A3384,Sheet2!$A$2:$R$3432,5,0)</f>
        <v>MH12KC9153</v>
      </c>
      <c r="N3384" s="5" t="s">
        <v>25</v>
      </c>
      <c r="O3384" s="5" t="s">
        <v>25</v>
      </c>
      <c r="P3384" s="6" t="s">
        <v>25</v>
      </c>
      <c r="Q3384" s="5" t="s">
        <v>25</v>
      </c>
      <c r="R3384" s="5" t="s">
        <v>25</v>
      </c>
      <c r="S3384" s="5" t="str">
        <f>VLOOKUP(A3384,Sheet2!$A$2:$R$3432,18,0)</f>
        <v>21CG014976</v>
      </c>
      <c r="T3384" s="7" t="str">
        <f>VLOOKUP(A3384,Sheet2!$A$2:$R$3432,17,0)</f>
        <v>ME121C0G6D2D14994</v>
      </c>
    </row>
    <row r="3385" ht="15.75" customHeight="1">
      <c r="A3385" s="3" t="s">
        <v>3408</v>
      </c>
      <c r="B3385" s="4" t="str">
        <f>VLOOKUP(A3385,Sheet2!$A$2:$R$3432,2,0)</f>
        <v>2025-07-06 19:27:27</v>
      </c>
      <c r="C3385" s="5" t="s">
        <v>25</v>
      </c>
      <c r="D3385" s="6" t="s">
        <v>25</v>
      </c>
      <c r="E3385" s="7">
        <f>VLOOKUP(A3385,Sheet2!$A$2:$R$3432,4,0)</f>
        <v>7350705297</v>
      </c>
      <c r="F3385" s="7" t="str">
        <f>VLOOKUP(A3385,Sheet2!$A$2:$R$3432,3,0)</f>
        <v>Piyusha Patil</v>
      </c>
      <c r="G3385" s="5" t="s">
        <v>25</v>
      </c>
      <c r="H3385" s="5" t="s">
        <v>25</v>
      </c>
      <c r="I3385" s="5" t="s">
        <v>25</v>
      </c>
      <c r="J3385" s="5" t="s">
        <v>25</v>
      </c>
      <c r="K3385" s="7" t="str">
        <f>VLOOKUP(A3385,Sheet2!$A$2:$R$3432,6,0)</f>
        <v>Honda Activa 6G</v>
      </c>
      <c r="L3385" s="5" t="s">
        <v>25</v>
      </c>
      <c r="M3385" s="7" t="str">
        <f>VLOOKUP(A3385,Sheet2!$A$2:$R$3432,5,0)</f>
        <v>MH12WV8473</v>
      </c>
      <c r="N3385" s="5" t="s">
        <v>25</v>
      </c>
      <c r="O3385" s="5" t="s">
        <v>25</v>
      </c>
      <c r="P3385" s="6" t="s">
        <v>25</v>
      </c>
      <c r="Q3385" s="5" t="s">
        <v>25</v>
      </c>
      <c r="R3385" s="5" t="s">
        <v>25</v>
      </c>
      <c r="S3385" s="5" t="str">
        <f>VLOOKUP(A3385,Sheet2!$A$2:$R$3432,18,0)</f>
        <v>JK15EW5728051</v>
      </c>
      <c r="T3385" s="7" t="str">
        <f>VLOOKUP(A3385,Sheet2!$A$2:$R$3432,17,0)</f>
        <v>ME4JK156ERW728452</v>
      </c>
    </row>
    <row r="3386" ht="15.75" customHeight="1">
      <c r="A3386" s="3" t="s">
        <v>3409</v>
      </c>
      <c r="B3386" s="4" t="str">
        <f>VLOOKUP(A3386,Sheet2!$A$2:$R$3432,2,0)</f>
        <v>2025-07-06 19:26:29</v>
      </c>
      <c r="C3386" s="5" t="s">
        <v>25</v>
      </c>
      <c r="D3386" s="6" t="s">
        <v>25</v>
      </c>
      <c r="E3386" s="7">
        <f>VLOOKUP(A3386,Sheet2!$A$2:$R$3432,4,0)</f>
        <v>9881399332</v>
      </c>
      <c r="F3386" s="7" t="str">
        <f>VLOOKUP(A3386,Sheet2!$A$2:$R$3432,3,0)</f>
        <v>JITENDRA RAJPUT</v>
      </c>
      <c r="G3386" s="5" t="s">
        <v>25</v>
      </c>
      <c r="H3386" s="5" t="s">
        <v>25</v>
      </c>
      <c r="I3386" s="5" t="s">
        <v>25</v>
      </c>
      <c r="J3386" s="5" t="s">
        <v>25</v>
      </c>
      <c r="K3386" s="7" t="str">
        <f>VLOOKUP(A3386,Sheet2!$A$2:$R$3432,6,0)</f>
        <v>Royal Enfield ThunderBird 350</v>
      </c>
      <c r="L3386" s="5" t="s">
        <v>25</v>
      </c>
      <c r="M3386" s="7" t="str">
        <f>VLOOKUP(A3386,Sheet2!$A$2:$R$3432,5,0)</f>
        <v>MH14GE7951</v>
      </c>
      <c r="N3386" s="5" t="s">
        <v>25</v>
      </c>
      <c r="O3386" s="5" t="s">
        <v>25</v>
      </c>
      <c r="P3386" s="6" t="s">
        <v>25</v>
      </c>
      <c r="Q3386" s="5" t="s">
        <v>25</v>
      </c>
      <c r="R3386" s="5" t="s">
        <v>25</v>
      </c>
      <c r="S3386" s="5" t="str">
        <f>VLOOKUP(A3386,Sheet2!$A$2:$R$3432,18,0)</f>
        <v>435COHB260966</v>
      </c>
      <c r="T3386" s="7" t="str">
        <f>VLOOKUP(A3386,Sheet2!$A$2:$R$3432,17,0)</f>
        <v>ME34355C1HB073547</v>
      </c>
    </row>
    <row r="3387" ht="15.75" customHeight="1">
      <c r="A3387" s="3" t="s">
        <v>3410</v>
      </c>
      <c r="B3387" s="4" t="str">
        <f>VLOOKUP(A3387,Sheet2!$A$2:$R$3432,2,0)</f>
        <v>2025-07-06 20:03:46</v>
      </c>
      <c r="C3387" s="5" t="s">
        <v>25</v>
      </c>
      <c r="D3387" s="6" t="s">
        <v>25</v>
      </c>
      <c r="E3387" s="7">
        <f>VLOOKUP(A3387,Sheet2!$A$2:$R$3432,4,0)</f>
        <v>9923659552</v>
      </c>
      <c r="F3387" s="7" t="str">
        <f>VLOOKUP(A3387,Sheet2!$A$2:$R$3432,3,0)</f>
        <v>Khedkar</v>
      </c>
      <c r="G3387" s="5" t="s">
        <v>25</v>
      </c>
      <c r="H3387" s="5" t="s">
        <v>25</v>
      </c>
      <c r="I3387" s="5" t="s">
        <v>25</v>
      </c>
      <c r="J3387" s="5" t="s">
        <v>25</v>
      </c>
      <c r="K3387" s="7" t="str">
        <f>VLOOKUP(A3387,Sheet2!$A$2:$R$3432,6,0)</f>
        <v>Honda Activa i</v>
      </c>
      <c r="L3387" s="5" t="s">
        <v>25</v>
      </c>
      <c r="M3387" s="7" t="str">
        <f>VLOOKUP(A3387,Sheet2!$A$2:$R$3432,5,0)</f>
        <v>MH12NR9750</v>
      </c>
      <c r="N3387" s="5" t="s">
        <v>25</v>
      </c>
      <c r="O3387" s="5" t="s">
        <v>25</v>
      </c>
      <c r="P3387" s="6" t="s">
        <v>25</v>
      </c>
      <c r="Q3387" s="5" t="s">
        <v>25</v>
      </c>
      <c r="R3387" s="5" t="s">
        <v>25</v>
      </c>
      <c r="S3387" s="7" t="str">
        <f>VLOOKUP(A3387,Sheet2!$A$2:$R$3432,18,0)</f>
        <v/>
      </c>
      <c r="T3387" s="7" t="str">
        <f>VLOOKUP(A3387,Sheet2!$A$2:$R$3432,17,0)</f>
        <v>ME4JF488KG8023165</v>
      </c>
    </row>
    <row r="3388" ht="15.75" customHeight="1">
      <c r="A3388" s="3" t="s">
        <v>3411</v>
      </c>
      <c r="B3388" s="4" t="str">
        <f>VLOOKUP(A3388,Sheet2!$A$2:$R$3432,2,0)</f>
        <v>2025-07-06 19:55:01</v>
      </c>
      <c r="C3388" s="5" t="s">
        <v>25</v>
      </c>
      <c r="D3388" s="6" t="s">
        <v>25</v>
      </c>
      <c r="E3388" s="7">
        <f>VLOOKUP(A3388,Sheet2!$A$2:$R$3432,4,0)</f>
        <v>9930629987</v>
      </c>
      <c r="F3388" s="7" t="str">
        <f>VLOOKUP(A3388,Sheet2!$A$2:$R$3432,3,0)</f>
        <v>Naik</v>
      </c>
      <c r="G3388" s="5" t="s">
        <v>25</v>
      </c>
      <c r="H3388" s="5" t="s">
        <v>25</v>
      </c>
      <c r="I3388" s="5" t="s">
        <v>25</v>
      </c>
      <c r="J3388" s="5" t="s">
        <v>25</v>
      </c>
      <c r="K3388" s="7" t="str">
        <f>VLOOKUP(A3388,Sheet2!$A$2:$R$3432,6,0)</f>
        <v>TVS Zest 110</v>
      </c>
      <c r="L3388" s="5" t="s">
        <v>25</v>
      </c>
      <c r="M3388" s="7" t="str">
        <f>VLOOKUP(A3388,Sheet2!$A$2:$R$3432,5,0)</f>
        <v>MH14FA1445</v>
      </c>
      <c r="N3388" s="5" t="s">
        <v>25</v>
      </c>
      <c r="O3388" s="5" t="s">
        <v>25</v>
      </c>
      <c r="P3388" s="6" t="s">
        <v>25</v>
      </c>
      <c r="Q3388" s="5" t="s">
        <v>25</v>
      </c>
      <c r="R3388" s="5" t="s">
        <v>25</v>
      </c>
      <c r="S3388" s="7" t="str">
        <f>VLOOKUP(A3388,Sheet2!$A$2:$R$3432,18,0)</f>
        <v/>
      </c>
      <c r="T3388" s="7" t="str">
        <f>VLOOKUP(A3388,Sheet2!$A$2:$R$3432,17,0)</f>
        <v/>
      </c>
    </row>
    <row r="3389" ht="15.75" customHeight="1">
      <c r="A3389" s="3" t="s">
        <v>3412</v>
      </c>
      <c r="B3389" s="4" t="str">
        <f>VLOOKUP(A3389,Sheet2!$A$2:$R$3432,2,0)</f>
        <v>2025-07-06 19:54:46</v>
      </c>
      <c r="C3389" s="5" t="s">
        <v>25</v>
      </c>
      <c r="D3389" s="6" t="s">
        <v>25</v>
      </c>
      <c r="E3389" s="7">
        <f>VLOOKUP(A3389,Sheet2!$A$2:$R$3432,4,0)</f>
        <v>8855831445</v>
      </c>
      <c r="F3389" s="7" t="str">
        <f>VLOOKUP(A3389,Sheet2!$A$2:$R$3432,3,0)</f>
        <v>HEMANT</v>
      </c>
      <c r="G3389" s="5" t="s">
        <v>25</v>
      </c>
      <c r="H3389" s="5" t="s">
        <v>25</v>
      </c>
      <c r="I3389" s="5" t="s">
        <v>25</v>
      </c>
      <c r="J3389" s="5" t="s">
        <v>25</v>
      </c>
      <c r="K3389" s="7" t="str">
        <f>VLOOKUP(A3389,Sheet2!$A$2:$R$3432,6,0)</f>
        <v>Honda Activa 6G</v>
      </c>
      <c r="L3389" s="5" t="s">
        <v>25</v>
      </c>
      <c r="M3389" s="7" t="str">
        <f>VLOOKUP(A3389,Sheet2!$A$2:$R$3432,5,0)</f>
        <v>MH26BY4556</v>
      </c>
      <c r="N3389" s="5" t="s">
        <v>25</v>
      </c>
      <c r="O3389" s="5" t="s">
        <v>25</v>
      </c>
      <c r="P3389" s="6" t="s">
        <v>25</v>
      </c>
      <c r="Q3389" s="5" t="s">
        <v>25</v>
      </c>
      <c r="R3389" s="5" t="s">
        <v>25</v>
      </c>
      <c r="S3389" s="7" t="str">
        <f>VLOOKUP(A3389,Sheet2!$A$2:$R$3432,18,0)</f>
        <v/>
      </c>
      <c r="T3389" s="7" t="str">
        <f>VLOOKUP(A3389,Sheet2!$A$2:$R$3432,17,0)</f>
        <v/>
      </c>
    </row>
    <row r="3390" ht="15.75" customHeight="1">
      <c r="A3390" s="3" t="s">
        <v>3413</v>
      </c>
      <c r="B3390" s="4" t="str">
        <f>VLOOKUP(A3390,Sheet2!$A$2:$R$3432,2,0)</f>
        <v>2025-07-05 19:13:46</v>
      </c>
      <c r="C3390" s="5" t="s">
        <v>25</v>
      </c>
      <c r="D3390" s="6" t="s">
        <v>25</v>
      </c>
      <c r="E3390" s="7">
        <f>VLOOKUP(A3390,Sheet2!$A$2:$R$3432,4,0)</f>
        <v>8605012664</v>
      </c>
      <c r="F3390" s="7" t="str">
        <f>VLOOKUP(A3390,Sheet2!$A$2:$R$3432,3,0)</f>
        <v>SANDEEP IYER</v>
      </c>
      <c r="G3390" s="5" t="s">
        <v>25</v>
      </c>
      <c r="H3390" s="5" t="s">
        <v>25</v>
      </c>
      <c r="I3390" s="5" t="s">
        <v>25</v>
      </c>
      <c r="J3390" s="5" t="s">
        <v>25</v>
      </c>
      <c r="K3390" s="7" t="str">
        <f>VLOOKUP(A3390,Sheet2!$A$2:$R$3432,6,0)</f>
        <v>Bajaj Pulsar 150</v>
      </c>
      <c r="L3390" s="5" t="s">
        <v>25</v>
      </c>
      <c r="M3390" s="7" t="str">
        <f>VLOOKUP(A3390,Sheet2!$A$2:$R$3432,5,0)</f>
        <v>MH14GK2746</v>
      </c>
      <c r="N3390" s="5" t="s">
        <v>25</v>
      </c>
      <c r="O3390" s="5" t="s">
        <v>25</v>
      </c>
      <c r="P3390" s="6" t="s">
        <v>25</v>
      </c>
      <c r="Q3390" s="5" t="s">
        <v>25</v>
      </c>
      <c r="R3390" s="5" t="s">
        <v>25</v>
      </c>
      <c r="S3390" s="5" t="str">
        <f>VLOOKUP(A3390,Sheet2!$A$2:$R$3432,18,0)</f>
        <v>DHYWHC09502</v>
      </c>
      <c r="T3390" s="7" t="str">
        <f>VLOOKUP(A3390,Sheet2!$A$2:$R$3432,17,0)</f>
        <v>MD2A11CY7HWC09265</v>
      </c>
    </row>
    <row r="3391" ht="15.75" customHeight="1">
      <c r="A3391" s="3" t="s">
        <v>3414</v>
      </c>
      <c r="B3391" s="4" t="str">
        <f>VLOOKUP(A3391,Sheet2!$A$2:$R$3432,2,0)</f>
        <v>2025-07-05 19:13:07</v>
      </c>
      <c r="C3391" s="5" t="s">
        <v>25</v>
      </c>
      <c r="D3391" s="6" t="s">
        <v>25</v>
      </c>
      <c r="E3391" s="7">
        <f>VLOOKUP(A3391,Sheet2!$A$2:$R$3432,4,0)</f>
        <v>9158555047</v>
      </c>
      <c r="F3391" s="7" t="str">
        <f>VLOOKUP(A3391,Sheet2!$A$2:$R$3432,3,0)</f>
        <v>Shree hari</v>
      </c>
      <c r="G3391" s="5" t="s">
        <v>25</v>
      </c>
      <c r="H3391" s="5" t="s">
        <v>25</v>
      </c>
      <c r="I3391" s="5" t="s">
        <v>25</v>
      </c>
      <c r="J3391" s="5" t="s">
        <v>25</v>
      </c>
      <c r="K3391" s="7" t="str">
        <f>VLOOKUP(A3391,Sheet2!$A$2:$R$3432,6,0)</f>
        <v>TVS Jupiter No Data</v>
      </c>
      <c r="L3391" s="5" t="s">
        <v>25</v>
      </c>
      <c r="M3391" s="7" t="str">
        <f>VLOOKUP(A3391,Sheet2!$A$2:$R$3432,5,0)</f>
        <v>KA53EF9232</v>
      </c>
      <c r="N3391" s="5" t="s">
        <v>25</v>
      </c>
      <c r="O3391" s="5" t="s">
        <v>25</v>
      </c>
      <c r="P3391" s="6" t="s">
        <v>25</v>
      </c>
      <c r="Q3391" s="5" t="s">
        <v>25</v>
      </c>
      <c r="R3391" s="5" t="s">
        <v>25</v>
      </c>
      <c r="S3391" s="7" t="str">
        <f>VLOOKUP(A3391,Sheet2!$A$2:$R$3432,18,0)</f>
        <v/>
      </c>
      <c r="T3391" s="7" t="str">
        <f>VLOOKUP(A3391,Sheet2!$A$2:$R$3432,17,0)</f>
        <v/>
      </c>
    </row>
    <row r="3392" ht="15.75" customHeight="1">
      <c r="A3392" s="3" t="s">
        <v>3415</v>
      </c>
      <c r="B3392" s="4" t="str">
        <f>VLOOKUP(A3392,Sheet2!$A$2:$R$3432,2,0)</f>
        <v>2025-07-05 19:10:14</v>
      </c>
      <c r="C3392" s="5" t="s">
        <v>25</v>
      </c>
      <c r="D3392" s="6" t="s">
        <v>25</v>
      </c>
      <c r="E3392" s="7">
        <f>VLOOKUP(A3392,Sheet2!$A$2:$R$3432,4,0)</f>
        <v>7057045280</v>
      </c>
      <c r="F3392" s="7" t="str">
        <f>VLOOKUP(A3392,Sheet2!$A$2:$R$3432,3,0)</f>
        <v>PRAVIN </v>
      </c>
      <c r="G3392" s="5" t="s">
        <v>25</v>
      </c>
      <c r="H3392" s="5" t="s">
        <v>25</v>
      </c>
      <c r="I3392" s="5" t="s">
        <v>25</v>
      </c>
      <c r="J3392" s="5" t="s">
        <v>25</v>
      </c>
      <c r="K3392" s="7" t="str">
        <f>VLOOKUP(A3392,Sheet2!$A$2:$R$3432,6,0)</f>
        <v>Honda Shine 125</v>
      </c>
      <c r="L3392" s="5" t="s">
        <v>25</v>
      </c>
      <c r="M3392" s="7" t="str">
        <f>VLOOKUP(A3392,Sheet2!$A$2:$R$3432,5,0)</f>
        <v>MH15CQ0578</v>
      </c>
      <c r="N3392" s="5" t="s">
        <v>25</v>
      </c>
      <c r="O3392" s="5" t="s">
        <v>25</v>
      </c>
      <c r="P3392" s="6" t="s">
        <v>25</v>
      </c>
      <c r="Q3392" s="5" t="s">
        <v>25</v>
      </c>
      <c r="R3392" s="5" t="s">
        <v>25</v>
      </c>
      <c r="S3392" s="7" t="str">
        <f>VLOOKUP(A3392,Sheet2!$A$2:$R$3432,18,0)</f>
        <v/>
      </c>
      <c r="T3392" s="7" t="str">
        <f>VLOOKUP(A3392,Sheet2!$A$2:$R$3432,17,0)</f>
        <v>ME4JC36CCA8001641</v>
      </c>
    </row>
    <row r="3393" ht="15.75" customHeight="1">
      <c r="A3393" s="3" t="s">
        <v>3416</v>
      </c>
      <c r="B3393" s="4" t="str">
        <f>VLOOKUP(A3393,Sheet2!$A$2:$R$3432,2,0)</f>
        <v>2025-07-05 20:30:03</v>
      </c>
      <c r="C3393" s="5" t="s">
        <v>25</v>
      </c>
      <c r="D3393" s="6" t="s">
        <v>25</v>
      </c>
      <c r="E3393" s="7">
        <f>VLOOKUP(A3393,Sheet2!$A$2:$R$3432,4,0)</f>
        <v>8806496670</v>
      </c>
      <c r="F3393" s="7" t="str">
        <f>VLOOKUP(A3393,Sheet2!$A$2:$R$3432,3,0)</f>
        <v>NIKHIL </v>
      </c>
      <c r="G3393" s="5" t="s">
        <v>25</v>
      </c>
      <c r="H3393" s="5" t="s">
        <v>25</v>
      </c>
      <c r="I3393" s="5" t="s">
        <v>25</v>
      </c>
      <c r="J3393" s="5" t="s">
        <v>25</v>
      </c>
      <c r="K3393" s="7" t="str">
        <f>VLOOKUP(A3393,Sheet2!$A$2:$R$3432,6,0)</f>
        <v>Honda Unicorn 150</v>
      </c>
      <c r="L3393" s="5" t="s">
        <v>25</v>
      </c>
      <c r="M3393" s="7" t="str">
        <f>VLOOKUP(A3393,Sheet2!$A$2:$R$3432,5,0)</f>
        <v>MH12TE1062</v>
      </c>
      <c r="N3393" s="5" t="s">
        <v>25</v>
      </c>
      <c r="O3393" s="5" t="s">
        <v>25</v>
      </c>
      <c r="P3393" s="6" t="s">
        <v>25</v>
      </c>
      <c r="Q3393" s="5" t="s">
        <v>25</v>
      </c>
      <c r="R3393" s="5" t="s">
        <v>25</v>
      </c>
      <c r="S3393" s="5" t="str">
        <f>VLOOKUP(A3393,Sheet2!$A$2:$R$3432,18,0)</f>
        <v>KC40EA011129</v>
      </c>
      <c r="T3393" s="7" t="str">
        <f>VLOOKUP(A3393,Sheet2!$A$2:$R$3432,17,0)</f>
        <v>ME4KC401JLA111349</v>
      </c>
    </row>
    <row r="3394" ht="15.75" customHeight="1">
      <c r="A3394" s="3" t="s">
        <v>3417</v>
      </c>
      <c r="B3394" s="4" t="str">
        <f>VLOOKUP(A3394,Sheet2!$A$2:$R$3432,2,0)</f>
        <v>2025-07-05 19:47:14</v>
      </c>
      <c r="C3394" s="5" t="s">
        <v>25</v>
      </c>
      <c r="D3394" s="6" t="s">
        <v>25</v>
      </c>
      <c r="E3394" s="7">
        <f>VLOOKUP(A3394,Sheet2!$A$2:$R$3432,4,0)</f>
        <v>8623992225</v>
      </c>
      <c r="F3394" s="7" t="str">
        <f>VLOOKUP(A3394,Sheet2!$A$2:$R$3432,3,0)</f>
        <v>GANESH CHAUDHARI </v>
      </c>
      <c r="G3394" s="5" t="s">
        <v>25</v>
      </c>
      <c r="H3394" s="5" t="s">
        <v>25</v>
      </c>
      <c r="I3394" s="5" t="s">
        <v>25</v>
      </c>
      <c r="J3394" s="5" t="s">
        <v>25</v>
      </c>
      <c r="K3394" s="7" t="str">
        <f>VLOOKUP(A3394,Sheet2!$A$2:$R$3432,6,0)</f>
        <v>Yamaha FZ V3</v>
      </c>
      <c r="L3394" s="5" t="s">
        <v>25</v>
      </c>
      <c r="M3394" s="7" t="str">
        <f>VLOOKUP(A3394,Sheet2!$A$2:$R$3432,5,0)</f>
        <v>MH12SJ2056</v>
      </c>
      <c r="N3394" s="5" t="s">
        <v>25</v>
      </c>
      <c r="O3394" s="5" t="s">
        <v>25</v>
      </c>
      <c r="P3394" s="6" t="s">
        <v>25</v>
      </c>
      <c r="Q3394" s="5" t="s">
        <v>25</v>
      </c>
      <c r="R3394" s="5" t="s">
        <v>25</v>
      </c>
      <c r="S3394" s="5" t="str">
        <f>VLOOKUP(A3394,Sheet2!$A$2:$R$3432,18,0)</f>
        <v>G3N60004368</v>
      </c>
      <c r="T3394" s="7" t="str">
        <f>VLOOKUP(A3394,Sheet2!$A$2:$R$3432,17,0)</f>
        <v>ME1RG6618K0004954</v>
      </c>
    </row>
    <row r="3395" ht="15.75" customHeight="1">
      <c r="A3395" s="3" t="s">
        <v>3418</v>
      </c>
      <c r="B3395" s="4" t="str">
        <f>VLOOKUP(A3395,Sheet2!$A$2:$R$3432,2,0)</f>
        <v>2025-07-05 19:46:37</v>
      </c>
      <c r="C3395" s="5" t="s">
        <v>25</v>
      </c>
      <c r="D3395" s="6" t="s">
        <v>25</v>
      </c>
      <c r="E3395" s="7">
        <f>VLOOKUP(A3395,Sheet2!$A$2:$R$3432,4,0)</f>
        <v>7218993860</v>
      </c>
      <c r="F3395" s="7" t="str">
        <f>VLOOKUP(A3395,Sheet2!$A$2:$R$3432,3,0)</f>
        <v>Shubham </v>
      </c>
      <c r="G3395" s="5" t="s">
        <v>25</v>
      </c>
      <c r="H3395" s="5" t="s">
        <v>25</v>
      </c>
      <c r="I3395" s="5" t="s">
        <v>25</v>
      </c>
      <c r="J3395" s="5" t="s">
        <v>25</v>
      </c>
      <c r="K3395" s="7" t="str">
        <f>VLOOKUP(A3395,Sheet2!$A$2:$R$3432,6,0)</f>
        <v>TVS Jupiter </v>
      </c>
      <c r="L3395" s="5" t="s">
        <v>25</v>
      </c>
      <c r="M3395" s="7" t="str">
        <f>VLOOKUP(A3395,Sheet2!$A$2:$R$3432,5,0)</f>
        <v>MH20DZ8553</v>
      </c>
      <c r="N3395" s="5" t="s">
        <v>25</v>
      </c>
      <c r="O3395" s="5" t="s">
        <v>25</v>
      </c>
      <c r="P3395" s="6" t="s">
        <v>25</v>
      </c>
      <c r="Q3395" s="5" t="s">
        <v>25</v>
      </c>
      <c r="R3395" s="5" t="s">
        <v>25</v>
      </c>
      <c r="S3395" s="7" t="str">
        <f>VLOOKUP(A3395,Sheet2!$A$2:$R$3432,18,0)</f>
        <v/>
      </c>
      <c r="T3395" s="7" t="str">
        <f>VLOOKUP(A3395,Sheet2!$A$2:$R$3432,17,0)</f>
        <v/>
      </c>
    </row>
    <row r="3396" ht="15.75" customHeight="1">
      <c r="A3396" s="3" t="s">
        <v>3419</v>
      </c>
      <c r="B3396" s="4" t="str">
        <f>VLOOKUP(A3396,Sheet2!$A$2:$R$3432,2,0)</f>
        <v>2025-07-05 19:05:02</v>
      </c>
      <c r="C3396" s="5" t="s">
        <v>25</v>
      </c>
      <c r="D3396" s="6" t="s">
        <v>25</v>
      </c>
      <c r="E3396" s="7">
        <f>VLOOKUP(A3396,Sheet2!$A$2:$R$3432,4,0)</f>
        <v>7276334217</v>
      </c>
      <c r="F3396" s="7" t="str">
        <f>VLOOKUP(A3396,Sheet2!$A$2:$R$3432,3,0)</f>
        <v> SUMANT SHARMA </v>
      </c>
      <c r="G3396" s="5" t="s">
        <v>25</v>
      </c>
      <c r="H3396" s="5" t="s">
        <v>25</v>
      </c>
      <c r="I3396" s="5" t="s">
        <v>25</v>
      </c>
      <c r="J3396" s="5" t="s">
        <v>25</v>
      </c>
      <c r="K3396" s="7" t="str">
        <f>VLOOKUP(A3396,Sheet2!$A$2:$R$3432,6,0)</f>
        <v>Yamaha FZ S</v>
      </c>
      <c r="L3396" s="5" t="s">
        <v>25</v>
      </c>
      <c r="M3396" s="7" t="str">
        <f>VLOOKUP(A3396,Sheet2!$A$2:$R$3432,5,0)</f>
        <v>MH14EA3877</v>
      </c>
      <c r="N3396" s="5" t="s">
        <v>25</v>
      </c>
      <c r="O3396" s="5" t="s">
        <v>25</v>
      </c>
      <c r="P3396" s="6" t="s">
        <v>25</v>
      </c>
      <c r="Q3396" s="5" t="s">
        <v>25</v>
      </c>
      <c r="R3396" s="5" t="s">
        <v>25</v>
      </c>
      <c r="S3396" s="5" t="str">
        <f>VLOOKUP(A3396,Sheet2!$A$2:$R$3432,18,0)</f>
        <v>21CH031733</v>
      </c>
      <c r="T3396" s="7" t="str">
        <f>VLOOKUP(A3396,Sheet2!$A$2:$R$3432,17,0)</f>
        <v>ME121COH7D20317441</v>
      </c>
    </row>
    <row r="3397" ht="15.75" customHeight="1">
      <c r="A3397" s="3" t="s">
        <v>3420</v>
      </c>
      <c r="B3397" s="4" t="str">
        <f>VLOOKUP(A3397,Sheet2!$A$2:$R$3432,2,0)</f>
        <v>2025-07-05 19:51:14</v>
      </c>
      <c r="C3397" s="5" t="s">
        <v>25</v>
      </c>
      <c r="D3397" s="6" t="s">
        <v>25</v>
      </c>
      <c r="E3397" s="7">
        <f>VLOOKUP(A3397,Sheet2!$A$2:$R$3432,4,0)</f>
        <v>8605544154</v>
      </c>
      <c r="F3397" s="7" t="str">
        <f>VLOOKUP(A3397,Sheet2!$A$2:$R$3432,3,0)</f>
        <v>AMOL VARPE</v>
      </c>
      <c r="G3397" s="5" t="s">
        <v>25</v>
      </c>
      <c r="H3397" s="5" t="s">
        <v>25</v>
      </c>
      <c r="I3397" s="5" t="s">
        <v>25</v>
      </c>
      <c r="J3397" s="5" t="s">
        <v>25</v>
      </c>
      <c r="K3397" s="7" t="str">
        <f>VLOOKUP(A3397,Sheet2!$A$2:$R$3432,6,0)</f>
        <v>Hero CBZ Extreme</v>
      </c>
      <c r="L3397" s="5" t="s">
        <v>25</v>
      </c>
      <c r="M3397" s="7" t="str">
        <f>VLOOKUP(A3397,Sheet2!$A$2:$R$3432,5,0)</f>
        <v>MH14CV6784</v>
      </c>
      <c r="N3397" s="5" t="s">
        <v>25</v>
      </c>
      <c r="O3397" s="5" t="s">
        <v>25</v>
      </c>
      <c r="P3397" s="6" t="s">
        <v>25</v>
      </c>
      <c r="Q3397" s="5" t="s">
        <v>25</v>
      </c>
      <c r="R3397" s="5" t="s">
        <v>25</v>
      </c>
      <c r="S3397" s="7" t="str">
        <f>VLOOKUP(A3397,Sheet2!$A$2:$R$3432,18,0)</f>
        <v/>
      </c>
      <c r="T3397" s="7" t="str">
        <f>VLOOKUP(A3397,Sheet2!$A$2:$R$3432,17,0)</f>
        <v/>
      </c>
    </row>
    <row r="3398" ht="15.75" customHeight="1">
      <c r="A3398" s="3" t="s">
        <v>3421</v>
      </c>
      <c r="B3398" s="4" t="str">
        <f>VLOOKUP(A3398,Sheet2!$A$2:$R$3432,2,0)</f>
        <v>2025-07-05 19:53:15</v>
      </c>
      <c r="C3398" s="5" t="s">
        <v>25</v>
      </c>
      <c r="D3398" s="6" t="s">
        <v>25</v>
      </c>
      <c r="E3398" s="7">
        <f>VLOOKUP(A3398,Sheet2!$A$2:$R$3432,4,0)</f>
        <v>9860645457</v>
      </c>
      <c r="F3398" s="7" t="str">
        <f>VLOOKUP(A3398,Sheet2!$A$2:$R$3432,3,0)</f>
        <v>Saurabh Gandhi</v>
      </c>
      <c r="G3398" s="5" t="s">
        <v>25</v>
      </c>
      <c r="H3398" s="5" t="s">
        <v>25</v>
      </c>
      <c r="I3398" s="5" t="s">
        <v>25</v>
      </c>
      <c r="J3398" s="5" t="s">
        <v>25</v>
      </c>
      <c r="K3398" s="7" t="str">
        <f>VLOOKUP(A3398,Sheet2!$A$2:$R$3432,6,0)</f>
        <v>Hero Passion Pro</v>
      </c>
      <c r="L3398" s="5" t="s">
        <v>25</v>
      </c>
      <c r="M3398" s="7" t="str">
        <f>VLOOKUP(A3398,Sheet2!$A$2:$R$3432,5,0)</f>
        <v>MH25X6443</v>
      </c>
      <c r="N3398" s="5" t="s">
        <v>25</v>
      </c>
      <c r="O3398" s="5" t="s">
        <v>25</v>
      </c>
      <c r="P3398" s="6" t="s">
        <v>25</v>
      </c>
      <c r="Q3398" s="5" t="s">
        <v>25</v>
      </c>
      <c r="R3398" s="5" t="s">
        <v>25</v>
      </c>
      <c r="S3398" s="5" t="str">
        <f>VLOOKUP(A3398,Sheet2!$A$2:$R$3432,18,0)</f>
        <v>HA10EDBHIL29364</v>
      </c>
      <c r="T3398" s="7" t="str">
        <f>VLOOKUP(A3398,Sheet2!$A$2:$R$3432,17,0)</f>
        <v>MBLHA10EWBHLZ8250</v>
      </c>
    </row>
    <row r="3399" ht="15.75" customHeight="1">
      <c r="A3399" s="3" t="s">
        <v>3422</v>
      </c>
      <c r="B3399" s="4" t="str">
        <f>VLOOKUP(A3399,Sheet2!$A$2:$R$3432,2,0)</f>
        <v>2025-07-05 19:04:31</v>
      </c>
      <c r="C3399" s="5" t="s">
        <v>25</v>
      </c>
      <c r="D3399" s="6" t="s">
        <v>25</v>
      </c>
      <c r="E3399" s="7">
        <f>VLOOKUP(A3399,Sheet2!$A$2:$R$3432,4,0)</f>
        <v>8825057720</v>
      </c>
      <c r="F3399" s="7" t="str">
        <f>VLOOKUP(A3399,Sheet2!$A$2:$R$3432,3,0)</f>
        <v>ADITYA </v>
      </c>
      <c r="G3399" s="5" t="s">
        <v>25</v>
      </c>
      <c r="H3399" s="5" t="s">
        <v>25</v>
      </c>
      <c r="I3399" s="5" t="s">
        <v>25</v>
      </c>
      <c r="J3399" s="5" t="s">
        <v>25</v>
      </c>
      <c r="K3399" s="7" t="str">
        <f>VLOOKUP(A3399,Sheet2!$A$2:$R$3432,6,0)</f>
        <v>Bajaj Pulsar N160</v>
      </c>
      <c r="L3399" s="5" t="s">
        <v>25</v>
      </c>
      <c r="M3399" s="7" t="str">
        <f>VLOOKUP(A3399,Sheet2!$A$2:$R$3432,5,0)</f>
        <v>MH12WS2611</v>
      </c>
      <c r="N3399" s="5" t="s">
        <v>25</v>
      </c>
      <c r="O3399" s="5" t="s">
        <v>25</v>
      </c>
      <c r="P3399" s="6" t="s">
        <v>25</v>
      </c>
      <c r="Q3399" s="5" t="s">
        <v>25</v>
      </c>
      <c r="R3399" s="5" t="s">
        <v>25</v>
      </c>
      <c r="S3399" s="5" t="str">
        <f>VLOOKUP(A3399,Sheet2!$A$2:$R$3432,18,0)</f>
        <v>PDXCRM73449</v>
      </c>
      <c r="T3399" s="7" t="str">
        <f>VLOOKUP(A3399,Sheet2!$A$2:$R$3432,17,0)</f>
        <v>MD2B54DX8CN2930</v>
      </c>
    </row>
    <row r="3400" ht="15.75" customHeight="1">
      <c r="A3400" s="3" t="s">
        <v>3423</v>
      </c>
      <c r="B3400" s="4" t="str">
        <f>VLOOKUP(A3400,Sheet2!$A$2:$R$3432,2,0)</f>
        <v>2025-07-05 19:52:46</v>
      </c>
      <c r="C3400" s="5" t="s">
        <v>25</v>
      </c>
      <c r="D3400" s="6" t="s">
        <v>25</v>
      </c>
      <c r="E3400" s="7">
        <f>VLOOKUP(A3400,Sheet2!$A$2:$R$3432,4,0)</f>
        <v>8208573907</v>
      </c>
      <c r="F3400" s="7" t="str">
        <f>VLOOKUP(A3400,Sheet2!$A$2:$R$3432,3,0)</f>
        <v>Pushpak Gavali</v>
      </c>
      <c r="G3400" s="5" t="s">
        <v>25</v>
      </c>
      <c r="H3400" s="5" t="s">
        <v>25</v>
      </c>
      <c r="I3400" s="5" t="s">
        <v>25</v>
      </c>
      <c r="J3400" s="5" t="s">
        <v>25</v>
      </c>
      <c r="K3400" s="7" t="str">
        <f>VLOOKUP(A3400,Sheet2!$A$2:$R$3432,6,0)</f>
        <v>TVS Wego </v>
      </c>
      <c r="L3400" s="5" t="s">
        <v>25</v>
      </c>
      <c r="M3400" s="7" t="str">
        <f>VLOOKUP(A3400,Sheet2!$A$2:$R$3432,5,0)</f>
        <v>MH12JE2832</v>
      </c>
      <c r="N3400" s="5" t="s">
        <v>25</v>
      </c>
      <c r="O3400" s="5" t="s">
        <v>25</v>
      </c>
      <c r="P3400" s="6" t="s">
        <v>25</v>
      </c>
      <c r="Q3400" s="5" t="s">
        <v>25</v>
      </c>
      <c r="R3400" s="5" t="s">
        <v>25</v>
      </c>
      <c r="S3400" s="7" t="str">
        <f>VLOOKUP(A3400,Sheet2!$A$2:$R$3432,18,0)</f>
        <v/>
      </c>
      <c r="T3400" s="7" t="str">
        <f>VLOOKUP(A3400,Sheet2!$A$2:$R$3432,17,0)</f>
        <v/>
      </c>
    </row>
    <row r="3401" ht="15.75" customHeight="1">
      <c r="A3401" s="3" t="s">
        <v>3424</v>
      </c>
      <c r="B3401" s="4" t="str">
        <f>VLOOKUP(A3401,Sheet2!$A$2:$R$3432,2,0)</f>
        <v>2025-07-05 19:04:02</v>
      </c>
      <c r="C3401" s="5" t="s">
        <v>25</v>
      </c>
      <c r="D3401" s="6" t="s">
        <v>25</v>
      </c>
      <c r="E3401" s="7">
        <f>VLOOKUP(A3401,Sheet2!$A$2:$R$3432,4,0)</f>
        <v>9822395617</v>
      </c>
      <c r="F3401" s="7" t="str">
        <f>VLOOKUP(A3401,Sheet2!$A$2:$R$3432,3,0)</f>
        <v>Prakash </v>
      </c>
      <c r="G3401" s="5" t="s">
        <v>25</v>
      </c>
      <c r="H3401" s="5" t="s">
        <v>25</v>
      </c>
      <c r="I3401" s="5" t="s">
        <v>25</v>
      </c>
      <c r="J3401" s="5" t="s">
        <v>25</v>
      </c>
      <c r="K3401" s="7" t="str">
        <f>VLOOKUP(A3401,Sheet2!$A$2:$R$3432,6,0)</f>
        <v>TVS Jupiter </v>
      </c>
      <c r="L3401" s="5" t="s">
        <v>25</v>
      </c>
      <c r="M3401" s="7" t="str">
        <f>VLOOKUP(A3401,Sheet2!$A$2:$R$3432,5,0)</f>
        <v>MH14LD3114</v>
      </c>
      <c r="N3401" s="5" t="s">
        <v>25</v>
      </c>
      <c r="O3401" s="5" t="s">
        <v>25</v>
      </c>
      <c r="P3401" s="6" t="s">
        <v>25</v>
      </c>
      <c r="Q3401" s="5" t="s">
        <v>25</v>
      </c>
      <c r="R3401" s="5" t="s">
        <v>25</v>
      </c>
      <c r="S3401" s="5" t="str">
        <f>VLOOKUP(A3401,Sheet2!$A$2:$R$3432,18,0)</f>
        <v>DG5KP1515245</v>
      </c>
      <c r="T3401" s="7" t="str">
        <f>VLOOKUP(A3401,Sheet2!$A$2:$R$3432,17,0)</f>
        <v>MD626CG59P1K27419</v>
      </c>
    </row>
    <row r="3402" ht="15.75" customHeight="1">
      <c r="A3402" s="3" t="s">
        <v>3425</v>
      </c>
      <c r="B3402" s="4" t="str">
        <f>VLOOKUP(A3402,Sheet2!$A$2:$R$3432,2,0)</f>
        <v>2025-07-05 19:05:46</v>
      </c>
      <c r="C3402" s="5" t="s">
        <v>25</v>
      </c>
      <c r="D3402" s="6" t="s">
        <v>25</v>
      </c>
      <c r="E3402" s="7">
        <f>VLOOKUP(A3402,Sheet2!$A$2:$R$3432,4,0)</f>
        <v>7028001439</v>
      </c>
      <c r="F3402" s="7" t="str">
        <f>VLOOKUP(A3402,Sheet2!$A$2:$R$3432,3,0)</f>
        <v>Ajinkya Warhade</v>
      </c>
      <c r="G3402" s="5" t="s">
        <v>25</v>
      </c>
      <c r="H3402" s="5" t="s">
        <v>25</v>
      </c>
      <c r="I3402" s="5" t="s">
        <v>25</v>
      </c>
      <c r="J3402" s="5" t="s">
        <v>25</v>
      </c>
      <c r="K3402" s="7" t="str">
        <f>VLOOKUP(A3402,Sheet2!$A$2:$R$3432,6,0)</f>
        <v>TVS Jupiter </v>
      </c>
      <c r="L3402" s="5" t="s">
        <v>25</v>
      </c>
      <c r="M3402" s="7" t="str">
        <f>VLOOKUP(A3402,Sheet2!$A$2:$R$3432,5,0)</f>
        <v>MH12RX4773</v>
      </c>
      <c r="N3402" s="5" t="s">
        <v>25</v>
      </c>
      <c r="O3402" s="5" t="s">
        <v>25</v>
      </c>
      <c r="P3402" s="6" t="s">
        <v>25</v>
      </c>
      <c r="Q3402" s="5" t="s">
        <v>25</v>
      </c>
      <c r="R3402" s="5" t="s">
        <v>25</v>
      </c>
      <c r="S3402" s="5" t="str">
        <f>VLOOKUP(A3402,Sheet2!$A$2:$R$3432,18,0)</f>
        <v>EG4GK1416107</v>
      </c>
      <c r="T3402" s="7" t="str">
        <f>VLOOKUP(A3402,Sheet2!$A$2:$R$3432,17,0)</f>
        <v>MD626EG45K1G28173</v>
      </c>
    </row>
    <row r="3403" ht="15.75" customHeight="1">
      <c r="A3403" s="3" t="s">
        <v>3426</v>
      </c>
      <c r="B3403" s="4" t="str">
        <f>VLOOKUP(A3403,Sheet2!$A$2:$R$3432,2,0)</f>
        <v>2025-07-05 19:06:09</v>
      </c>
      <c r="C3403" s="5" t="s">
        <v>25</v>
      </c>
      <c r="D3403" s="6" t="s">
        <v>25</v>
      </c>
      <c r="E3403" s="7">
        <f>VLOOKUP(A3403,Sheet2!$A$2:$R$3432,4,0)</f>
        <v>9421785433</v>
      </c>
      <c r="F3403" s="7" t="str">
        <f>VLOOKUP(A3403,Sheet2!$A$2:$R$3432,3,0)</f>
        <v>Saad Ahmed</v>
      </c>
      <c r="G3403" s="5" t="s">
        <v>25</v>
      </c>
      <c r="H3403" s="5" t="s">
        <v>25</v>
      </c>
      <c r="I3403" s="5" t="s">
        <v>25</v>
      </c>
      <c r="J3403" s="5" t="s">
        <v>25</v>
      </c>
      <c r="K3403" s="7" t="str">
        <f>VLOOKUP(A3403,Sheet2!$A$2:$R$3432,6,0)</f>
        <v>Royal Enfield Classic  350 Reborn</v>
      </c>
      <c r="L3403" s="5" t="s">
        <v>25</v>
      </c>
      <c r="M3403" s="7" t="str">
        <f>VLOOKUP(A3403,Sheet2!$A$2:$R$3432,5,0)</f>
        <v>MH15HP7467</v>
      </c>
      <c r="N3403" s="5" t="s">
        <v>25</v>
      </c>
      <c r="O3403" s="5" t="s">
        <v>25</v>
      </c>
      <c r="P3403" s="6" t="s">
        <v>25</v>
      </c>
      <c r="Q3403" s="5" t="s">
        <v>25</v>
      </c>
      <c r="R3403" s="5" t="s">
        <v>25</v>
      </c>
      <c r="S3403" s="5" t="str">
        <f>VLOOKUP(A3403,Sheet2!$A$2:$R$3432,18,0)</f>
        <v>J3A5FGM2109874</v>
      </c>
      <c r="T3403" s="7" t="str">
        <f>VLOOKUP(A3403,Sheet2!$A$2:$R$3432,17,0)</f>
        <v>MEBJ3C3FGM2006246</v>
      </c>
    </row>
    <row r="3404" ht="15.75" customHeight="1">
      <c r="A3404" s="3" t="s">
        <v>3427</v>
      </c>
      <c r="B3404" s="4" t="str">
        <f>VLOOKUP(A3404,Sheet2!$A$2:$R$3432,2,0)</f>
        <v>2025-07-05 19:07:10</v>
      </c>
      <c r="C3404" s="5" t="s">
        <v>25</v>
      </c>
      <c r="D3404" s="6" t="s">
        <v>25</v>
      </c>
      <c r="E3404" s="7">
        <f>VLOOKUP(A3404,Sheet2!$A$2:$R$3432,4,0)</f>
        <v>9579574945</v>
      </c>
      <c r="F3404" s="7" t="str">
        <f>VLOOKUP(A3404,Sheet2!$A$2:$R$3432,3,0)</f>
        <v>Sham Patil</v>
      </c>
      <c r="G3404" s="5" t="s">
        <v>25</v>
      </c>
      <c r="H3404" s="5" t="s">
        <v>25</v>
      </c>
      <c r="I3404" s="5" t="s">
        <v>25</v>
      </c>
      <c r="J3404" s="5" t="s">
        <v>25</v>
      </c>
      <c r="K3404" s="7" t="str">
        <f>VLOOKUP(A3404,Sheet2!$A$2:$R$3432,6,0)</f>
        <v>Honda Unicorn 150</v>
      </c>
      <c r="L3404" s="5" t="s">
        <v>25</v>
      </c>
      <c r="M3404" s="7" t="str">
        <f>VLOOKUP(A3404,Sheet2!$A$2:$R$3432,5,0)</f>
        <v>MH14EB5187</v>
      </c>
      <c r="N3404" s="5" t="s">
        <v>25</v>
      </c>
      <c r="O3404" s="5" t="s">
        <v>25</v>
      </c>
      <c r="P3404" s="6" t="s">
        <v>25</v>
      </c>
      <c r="Q3404" s="5" t="s">
        <v>25</v>
      </c>
      <c r="R3404" s="5" t="s">
        <v>25</v>
      </c>
      <c r="S3404" s="5" t="str">
        <f>VLOOKUP(A3404,Sheet2!$A$2:$R$3432,18,0)</f>
        <v>K009E86554639</v>
      </c>
      <c r="T3404" s="7" t="str">
        <f>VLOOKUP(A3404,Sheet2!$A$2:$R$3432,17,0)</f>
        <v>ME4KC04CKD8574922</v>
      </c>
    </row>
    <row r="3405" ht="15.75" customHeight="1">
      <c r="A3405" s="3" t="s">
        <v>3428</v>
      </c>
      <c r="B3405" s="4" t="str">
        <f>VLOOKUP(A3405,Sheet2!$A$2:$R$3432,2,0)</f>
        <v>2025-07-05 19:10:50</v>
      </c>
      <c r="C3405" s="5" t="s">
        <v>25</v>
      </c>
      <c r="D3405" s="6" t="s">
        <v>25</v>
      </c>
      <c r="E3405" s="7">
        <f>VLOOKUP(A3405,Sheet2!$A$2:$R$3432,4,0)</f>
        <v>7796898227</v>
      </c>
      <c r="F3405" s="7" t="str">
        <f>VLOOKUP(A3405,Sheet2!$A$2:$R$3432,3,0)</f>
        <v>Sagar</v>
      </c>
      <c r="G3405" s="5" t="s">
        <v>25</v>
      </c>
      <c r="H3405" s="5" t="s">
        <v>25</v>
      </c>
      <c r="I3405" s="5" t="s">
        <v>25</v>
      </c>
      <c r="J3405" s="5" t="s">
        <v>25</v>
      </c>
      <c r="K3405" s="7" t="str">
        <f>VLOOKUP(A3405,Sheet2!$A$2:$R$3432,6,0)</f>
        <v>Bajaj Pulsar 200 NS</v>
      </c>
      <c r="L3405" s="5" t="s">
        <v>25</v>
      </c>
      <c r="M3405" s="7" t="str">
        <f>VLOOKUP(A3405,Sheet2!$A$2:$R$3432,5,0)</f>
        <v>MH20FJ7642</v>
      </c>
      <c r="N3405" s="5" t="s">
        <v>25</v>
      </c>
      <c r="O3405" s="5" t="s">
        <v>25</v>
      </c>
      <c r="P3405" s="6" t="s">
        <v>25</v>
      </c>
      <c r="Q3405" s="5" t="s">
        <v>25</v>
      </c>
      <c r="R3405" s="5" t="s">
        <v>25</v>
      </c>
      <c r="S3405" s="7" t="str">
        <f>VLOOKUP(A3405,Sheet2!$A$2:$R$3432,18,0)</f>
        <v/>
      </c>
      <c r="T3405" s="7" t="str">
        <f>VLOOKUP(A3405,Sheet2!$A$2:$R$3432,17,0)</f>
        <v/>
      </c>
    </row>
    <row r="3406" ht="15.75" customHeight="1">
      <c r="A3406" s="3" t="s">
        <v>3429</v>
      </c>
      <c r="B3406" s="4" t="str">
        <f>VLOOKUP(A3406,Sheet2!$A$2:$R$3432,2,0)</f>
        <v>2025-07-05 19:51:46</v>
      </c>
      <c r="C3406" s="5" t="s">
        <v>25</v>
      </c>
      <c r="D3406" s="6" t="s">
        <v>25</v>
      </c>
      <c r="E3406" s="7">
        <f>VLOOKUP(A3406,Sheet2!$A$2:$R$3432,4,0)</f>
        <v>9096082471</v>
      </c>
      <c r="F3406" s="7" t="str">
        <f>VLOOKUP(A3406,Sheet2!$A$2:$R$3432,3,0)</f>
        <v>Amey</v>
      </c>
      <c r="G3406" s="5" t="s">
        <v>25</v>
      </c>
      <c r="H3406" s="5" t="s">
        <v>25</v>
      </c>
      <c r="I3406" s="5" t="s">
        <v>25</v>
      </c>
      <c r="J3406" s="5" t="s">
        <v>25</v>
      </c>
      <c r="K3406" s="7" t="str">
        <f>VLOOKUP(A3406,Sheet2!$A$2:$R$3432,6,0)</f>
        <v>TVS Wego Basic</v>
      </c>
      <c r="L3406" s="5" t="s">
        <v>25</v>
      </c>
      <c r="M3406" s="7" t="str">
        <f>VLOOKUP(A3406,Sheet2!$A$2:$R$3432,5,0)</f>
        <v>MH11AY9605</v>
      </c>
      <c r="N3406" s="5" t="s">
        <v>25</v>
      </c>
      <c r="O3406" s="5" t="s">
        <v>25</v>
      </c>
      <c r="P3406" s="6" t="s">
        <v>25</v>
      </c>
      <c r="Q3406" s="5" t="s">
        <v>25</v>
      </c>
      <c r="R3406" s="5" t="s">
        <v>25</v>
      </c>
      <c r="S3406" s="7" t="str">
        <f>VLOOKUP(A3406,Sheet2!$A$2:$R$3432,18,0)</f>
        <v/>
      </c>
      <c r="T3406" s="7" t="str">
        <f>VLOOKUP(A3406,Sheet2!$A$2:$R$3432,17,0)</f>
        <v>MD626A699B1C26906</v>
      </c>
    </row>
    <row r="3407" ht="15.75" customHeight="1">
      <c r="A3407" s="3" t="s">
        <v>3430</v>
      </c>
      <c r="B3407" s="4" t="str">
        <f>VLOOKUP(A3407,Sheet2!$A$2:$R$3432,2,0)</f>
        <v>2025-07-05 19:56:36</v>
      </c>
      <c r="C3407" s="5" t="s">
        <v>25</v>
      </c>
      <c r="D3407" s="6" t="s">
        <v>25</v>
      </c>
      <c r="E3407" s="7">
        <f>VLOOKUP(A3407,Sheet2!$A$2:$R$3432,4,0)</f>
        <v>8208573907</v>
      </c>
      <c r="F3407" s="7" t="str">
        <f>VLOOKUP(A3407,Sheet2!$A$2:$R$3432,3,0)</f>
        <v>Gawli</v>
      </c>
      <c r="G3407" s="5" t="s">
        <v>25</v>
      </c>
      <c r="H3407" s="5" t="s">
        <v>25</v>
      </c>
      <c r="I3407" s="5" t="s">
        <v>25</v>
      </c>
      <c r="J3407" s="5" t="s">
        <v>25</v>
      </c>
      <c r="K3407" s="7" t="str">
        <f>VLOOKUP(A3407,Sheet2!$A$2:$R$3432,6,0)</f>
        <v>TVS Phonix </v>
      </c>
      <c r="L3407" s="5" t="s">
        <v>25</v>
      </c>
      <c r="M3407" s="7" t="str">
        <f>VLOOKUP(A3407,Sheet2!$A$2:$R$3432,5,0)</f>
        <v>MH12JT7406</v>
      </c>
      <c r="N3407" s="5" t="s">
        <v>25</v>
      </c>
      <c r="O3407" s="5" t="s">
        <v>25</v>
      </c>
      <c r="P3407" s="6" t="s">
        <v>25</v>
      </c>
      <c r="Q3407" s="5" t="s">
        <v>25</v>
      </c>
      <c r="R3407" s="5" t="s">
        <v>25</v>
      </c>
      <c r="S3407" s="5" t="str">
        <f>VLOOKUP(A3407,Sheet2!$A$2:$R$3432,18,0)</f>
        <v>CF4AD1009513</v>
      </c>
      <c r="T3407" s="7" t="str">
        <f>VLOOKUP(A3407,Sheet2!$A$2:$R$3432,17,0)</f>
        <v>MD625SF41D1A09687</v>
      </c>
    </row>
    <row r="3408" ht="15.75" customHeight="1">
      <c r="A3408" s="3" t="s">
        <v>3431</v>
      </c>
      <c r="B3408" s="4" t="str">
        <f>VLOOKUP(A3408,Sheet2!$A$2:$R$3432,2,0)</f>
        <v>2025-07-05 20:31:41</v>
      </c>
      <c r="C3408" s="5" t="s">
        <v>25</v>
      </c>
      <c r="D3408" s="6" t="s">
        <v>25</v>
      </c>
      <c r="E3408" s="7">
        <f>VLOOKUP(A3408,Sheet2!$A$2:$R$3432,4,0)</f>
        <v>7028394654</v>
      </c>
      <c r="F3408" s="7" t="str">
        <f>VLOOKUP(A3408,Sheet2!$A$2:$R$3432,3,0)</f>
        <v>ANIKET SAWANT</v>
      </c>
      <c r="G3408" s="5" t="s">
        <v>25</v>
      </c>
      <c r="H3408" s="5" t="s">
        <v>25</v>
      </c>
      <c r="I3408" s="5" t="s">
        <v>25</v>
      </c>
      <c r="J3408" s="5" t="s">
        <v>25</v>
      </c>
      <c r="K3408" s="7" t="str">
        <f>VLOOKUP(A3408,Sheet2!$A$2:$R$3432,6,0)</f>
        <v>Yamaha FZ S</v>
      </c>
      <c r="L3408" s="5" t="s">
        <v>25</v>
      </c>
      <c r="M3408" s="7" t="str">
        <f>VLOOKUP(A3408,Sheet2!$A$2:$R$3432,5,0)</f>
        <v>MH11DK7832</v>
      </c>
      <c r="N3408" s="5" t="s">
        <v>25</v>
      </c>
      <c r="O3408" s="5" t="s">
        <v>25</v>
      </c>
      <c r="P3408" s="6" t="s">
        <v>25</v>
      </c>
      <c r="Q3408" s="5" t="s">
        <v>25</v>
      </c>
      <c r="R3408" s="5" t="s">
        <v>25</v>
      </c>
      <c r="S3408" s="5" t="str">
        <f>VLOOKUP(A3408,Sheet2!$A$2:$R$3432,18,0)</f>
        <v>G3N3026744B</v>
      </c>
      <c r="T3408" s="7" t="str">
        <f>VLOOKUP(A3408,Sheet2!$A$2:$R$3432,17,0)</f>
        <v>ME1RG66K2PD0003041</v>
      </c>
    </row>
    <row r="3409" ht="15.75" customHeight="1">
      <c r="A3409" s="3" t="s">
        <v>3432</v>
      </c>
      <c r="B3409" s="4" t="str">
        <f>VLOOKUP(A3409,Sheet2!$A$2:$R$3432,2,0)</f>
        <v>2025-07-23 20:29:25</v>
      </c>
      <c r="C3409" s="5" t="s">
        <v>25</v>
      </c>
      <c r="D3409" s="6" t="s">
        <v>25</v>
      </c>
      <c r="E3409" s="7">
        <f>VLOOKUP(A3409,Sheet2!$A$2:$R$3432,4,0)</f>
        <v>9922979999</v>
      </c>
      <c r="F3409" s="7" t="str">
        <f>VLOOKUP(A3409,Sheet2!$A$2:$R$3432,3,0)</f>
        <v>Malhar Patil</v>
      </c>
      <c r="G3409" s="5" t="s">
        <v>25</v>
      </c>
      <c r="H3409" s="5" t="s">
        <v>25</v>
      </c>
      <c r="I3409" s="5" t="s">
        <v>25</v>
      </c>
      <c r="J3409" s="5" t="s">
        <v>25</v>
      </c>
      <c r="K3409" s="7" t="str">
        <f>VLOOKUP(A3409,Sheet2!$A$2:$R$3432,6,0)</f>
        <v>Royal Enfield Classic 350</v>
      </c>
      <c r="L3409" s="5" t="s">
        <v>25</v>
      </c>
      <c r="M3409" s="7" t="str">
        <f>VLOOKUP(A3409,Sheet2!$A$2:$R$3432,5,0)</f>
        <v>MH42U5555</v>
      </c>
      <c r="N3409" s="5" t="s">
        <v>25</v>
      </c>
      <c r="O3409" s="5" t="s">
        <v>25</v>
      </c>
      <c r="P3409" s="6" t="s">
        <v>25</v>
      </c>
      <c r="Q3409" s="5" t="s">
        <v>25</v>
      </c>
      <c r="R3409" s="5" t="s">
        <v>25</v>
      </c>
      <c r="S3409" s="7" t="str">
        <f>VLOOKUP(A3409,Sheet2!$A$2:$R$3432,18,0)</f>
        <v/>
      </c>
      <c r="T3409" s="7" t="str">
        <f>VLOOKUP(A3409,Sheet2!$A$2:$R$3432,17,0)</f>
        <v/>
      </c>
    </row>
    <row r="3410" ht="15.75" customHeight="1">
      <c r="A3410" s="3" t="s">
        <v>3433</v>
      </c>
      <c r="B3410" s="4" t="str">
        <f>VLOOKUP(A3410,Sheet2!$A$2:$R$3432,2,0)</f>
        <v>2025-07-23 17:42:04</v>
      </c>
      <c r="C3410" s="5" t="s">
        <v>25</v>
      </c>
      <c r="D3410" s="6" t="s">
        <v>25</v>
      </c>
      <c r="E3410" s="7">
        <f>VLOOKUP(A3410,Sheet2!$A$2:$R$3432,4,0)</f>
        <v>9922429779</v>
      </c>
      <c r="F3410" s="7" t="str">
        <f>VLOOKUP(A3410,Sheet2!$A$2:$R$3432,3,0)</f>
        <v>M G Pathan </v>
      </c>
      <c r="G3410" s="5" t="s">
        <v>25</v>
      </c>
      <c r="H3410" s="5" t="s">
        <v>25</v>
      </c>
      <c r="I3410" s="5" t="s">
        <v>25</v>
      </c>
      <c r="J3410" s="5" t="s">
        <v>25</v>
      </c>
      <c r="K3410" s="7" t="str">
        <f>VLOOKUP(A3410,Sheet2!$A$2:$R$3432,6,0)</f>
        <v>Honda Activa Old</v>
      </c>
      <c r="L3410" s="5" t="s">
        <v>25</v>
      </c>
      <c r="M3410" s="7" t="str">
        <f>VLOOKUP(A3410,Sheet2!$A$2:$R$3432,5,0)</f>
        <v>MH09BD5932</v>
      </c>
      <c r="N3410" s="5" t="s">
        <v>25</v>
      </c>
      <c r="O3410" s="5" t="s">
        <v>25</v>
      </c>
      <c r="P3410" s="6" t="s">
        <v>25</v>
      </c>
      <c r="Q3410" s="5" t="s">
        <v>25</v>
      </c>
      <c r="R3410" s="5" t="s">
        <v>25</v>
      </c>
      <c r="S3410" s="5" t="str">
        <f>VLOOKUP(A3410,Sheet2!$A$2:$R$3432,18,0)</f>
        <v>KPLE5147114</v>
      </c>
      <c r="T3410" s="7" t="str">
        <f>VLOOKUP(A3410,Sheet2!$A$2:$R$3432,17,0)</f>
        <v>ME4JE093H178115561</v>
      </c>
    </row>
    <row r="3411" ht="15.75" customHeight="1">
      <c r="A3411" s="3" t="s">
        <v>3434</v>
      </c>
      <c r="B3411" s="4" t="str">
        <f>VLOOKUP(A3411,Sheet2!$A$2:$R$3432,2,0)</f>
        <v>2025-07-23 20:28:46</v>
      </c>
      <c r="C3411" s="5" t="s">
        <v>25</v>
      </c>
      <c r="D3411" s="6" t="s">
        <v>25</v>
      </c>
      <c r="E3411" s="7">
        <f>VLOOKUP(A3411,Sheet2!$A$2:$R$3432,4,0)</f>
        <v>9028134385</v>
      </c>
      <c r="F3411" s="7" t="str">
        <f>VLOOKUP(A3411,Sheet2!$A$2:$R$3432,3,0)</f>
        <v>Viren Datrani</v>
      </c>
      <c r="G3411" s="5" t="s">
        <v>25</v>
      </c>
      <c r="H3411" s="5" t="s">
        <v>25</v>
      </c>
      <c r="I3411" s="5" t="s">
        <v>25</v>
      </c>
      <c r="J3411" s="5" t="s">
        <v>25</v>
      </c>
      <c r="K3411" s="7" t="str">
        <f>VLOOKUP(A3411,Sheet2!$A$2:$R$3432,6,0)</f>
        <v>Yamaha FZ V3</v>
      </c>
      <c r="L3411" s="5" t="s">
        <v>25</v>
      </c>
      <c r="M3411" s="7" t="str">
        <f>VLOOKUP(A3411,Sheet2!$A$2:$R$3432,5,0)</f>
        <v>MH41AF2917</v>
      </c>
      <c r="N3411" s="5" t="s">
        <v>25</v>
      </c>
      <c r="O3411" s="5" t="s">
        <v>25</v>
      </c>
      <c r="P3411" s="6" t="s">
        <v>25</v>
      </c>
      <c r="Q3411" s="5" t="s">
        <v>25</v>
      </c>
      <c r="R3411" s="5" t="s">
        <v>25</v>
      </c>
      <c r="S3411" s="5" t="str">
        <f>VLOOKUP(A3411,Sheet2!$A$2:$R$3432,18,0)</f>
        <v>G3C8E0030671</v>
      </c>
      <c r="T3411" s="7" t="str">
        <f>VLOOKUP(A3411,Sheet2!$A$2:$R$3432,17,0)</f>
        <v>ME1RG75EGC72G73</v>
      </c>
    </row>
    <row r="3412" ht="15.75" customHeight="1">
      <c r="A3412" s="3" t="s">
        <v>3435</v>
      </c>
      <c r="B3412" s="4" t="str">
        <f>VLOOKUP(A3412,Sheet2!$A$2:$R$3432,2,0)</f>
        <v>2025-07-23 17:54:17</v>
      </c>
      <c r="C3412" s="5" t="s">
        <v>25</v>
      </c>
      <c r="D3412" s="6" t="s">
        <v>25</v>
      </c>
      <c r="E3412" s="7">
        <f>VLOOKUP(A3412,Sheet2!$A$2:$R$3432,4,0)</f>
        <v>9011557655</v>
      </c>
      <c r="F3412" s="7" t="str">
        <f>VLOOKUP(A3412,Sheet2!$A$2:$R$3432,3,0)</f>
        <v>Shubham Pawar</v>
      </c>
      <c r="G3412" s="5" t="s">
        <v>25</v>
      </c>
      <c r="H3412" s="5" t="s">
        <v>25</v>
      </c>
      <c r="I3412" s="5" t="s">
        <v>25</v>
      </c>
      <c r="J3412" s="5" t="s">
        <v>25</v>
      </c>
      <c r="K3412" s="7" t="str">
        <f>VLOOKUP(A3412,Sheet2!$A$2:$R$3432,6,0)</f>
        <v>Honda Activa </v>
      </c>
      <c r="L3412" s="5" t="s">
        <v>25</v>
      </c>
      <c r="M3412" s="7" t="str">
        <f>VLOOKUP(A3412,Sheet2!$A$2:$R$3432,5,0)</f>
        <v>MH14GF1044</v>
      </c>
      <c r="N3412" s="5" t="s">
        <v>25</v>
      </c>
      <c r="O3412" s="5" t="s">
        <v>25</v>
      </c>
      <c r="P3412" s="6" t="s">
        <v>25</v>
      </c>
      <c r="Q3412" s="5" t="s">
        <v>25</v>
      </c>
      <c r="R3412" s="5" t="s">
        <v>25</v>
      </c>
      <c r="S3412" s="5" t="str">
        <f>VLOOKUP(A3412,Sheet2!$A$2:$R$3432,18,0)</f>
        <v>JF50EU6171317</v>
      </c>
      <c r="T3412" s="7" t="str">
        <f>VLOOKUP(A3412,Sheet2!$A$2:$R$3432,17,0)</f>
        <v>ME4JF5098HU171267</v>
      </c>
    </row>
    <row r="3413" ht="15.75" customHeight="1">
      <c r="A3413" s="3" t="s">
        <v>3436</v>
      </c>
      <c r="B3413" s="4" t="str">
        <f>VLOOKUP(A3413,Sheet2!$A$2:$R$3432,2,0)</f>
        <v>2025-07-23 20:28:31</v>
      </c>
      <c r="C3413" s="5" t="s">
        <v>25</v>
      </c>
      <c r="D3413" s="6" t="s">
        <v>25</v>
      </c>
      <c r="E3413" s="7">
        <f>VLOOKUP(A3413,Sheet2!$A$2:$R$3432,4,0)</f>
        <v>9021943433</v>
      </c>
      <c r="F3413" s="7" t="str">
        <f>VLOOKUP(A3413,Sheet2!$A$2:$R$3432,3,0)</f>
        <v>Kedar</v>
      </c>
      <c r="G3413" s="5" t="s">
        <v>25</v>
      </c>
      <c r="H3413" s="5" t="s">
        <v>25</v>
      </c>
      <c r="I3413" s="5" t="s">
        <v>25</v>
      </c>
      <c r="J3413" s="5" t="s">
        <v>25</v>
      </c>
      <c r="K3413" s="7" t="str">
        <f>VLOOKUP(A3413,Sheet2!$A$2:$R$3432,6,0)</f>
        <v>Honda Shine </v>
      </c>
      <c r="L3413" s="5" t="s">
        <v>25</v>
      </c>
      <c r="M3413" s="7" t="str">
        <f>VLOOKUP(A3413,Sheet2!$A$2:$R$3432,5,0)</f>
        <v>MH12LC5418</v>
      </c>
      <c r="N3413" s="5" t="s">
        <v>25</v>
      </c>
      <c r="O3413" s="5" t="s">
        <v>25</v>
      </c>
      <c r="P3413" s="6" t="s">
        <v>25</v>
      </c>
      <c r="Q3413" s="5" t="s">
        <v>25</v>
      </c>
      <c r="R3413" s="5" t="s">
        <v>25</v>
      </c>
      <c r="S3413" s="5" t="str">
        <f>VLOOKUP(A3413,Sheet2!$A$2:$R$3432,18,0)</f>
        <v>JC36ET3491381</v>
      </c>
      <c r="T3413" s="7" t="str">
        <f>VLOOKUP(A3413,Sheet2!$A$2:$R$3432,17,0)</f>
        <v>ME4JC36JKE7939069</v>
      </c>
    </row>
    <row r="3414" ht="15.75" customHeight="1">
      <c r="A3414" s="3" t="s">
        <v>3437</v>
      </c>
      <c r="B3414" s="4" t="str">
        <f>VLOOKUP(A3414,Sheet2!$A$2:$R$3432,2,0)</f>
        <v>2025-07-23 20:27:38</v>
      </c>
      <c r="C3414" s="5" t="s">
        <v>25</v>
      </c>
      <c r="D3414" s="6" t="s">
        <v>25</v>
      </c>
      <c r="E3414" s="7">
        <f>VLOOKUP(A3414,Sheet2!$A$2:$R$3432,4,0)</f>
        <v>7304485433</v>
      </c>
      <c r="F3414" s="7" t="str">
        <f>VLOOKUP(A3414,Sheet2!$A$2:$R$3432,3,0)</f>
        <v>Jayant Rudra </v>
      </c>
      <c r="G3414" s="5" t="s">
        <v>25</v>
      </c>
      <c r="H3414" s="5" t="s">
        <v>25</v>
      </c>
      <c r="I3414" s="5" t="s">
        <v>25</v>
      </c>
      <c r="J3414" s="5" t="s">
        <v>25</v>
      </c>
      <c r="K3414" s="7" t="str">
        <f>VLOOKUP(A3414,Sheet2!$A$2:$R$3432,6,0)</f>
        <v>Honda Dio New</v>
      </c>
      <c r="L3414" s="5" t="s">
        <v>25</v>
      </c>
      <c r="M3414" s="7" t="str">
        <f>VLOOKUP(A3414,Sheet2!$A$2:$R$3432,5,0)</f>
        <v>MH12HW9042</v>
      </c>
      <c r="N3414" s="5" t="s">
        <v>25</v>
      </c>
      <c r="O3414" s="5" t="s">
        <v>25</v>
      </c>
      <c r="P3414" s="6" t="s">
        <v>25</v>
      </c>
      <c r="Q3414" s="5" t="s">
        <v>25</v>
      </c>
      <c r="R3414" s="5" t="s">
        <v>25</v>
      </c>
      <c r="S3414" s="7" t="str">
        <f>VLOOKUP(A3414,Sheet2!$A$2:$R$3432,18,0)</f>
        <v/>
      </c>
      <c r="T3414" s="7" t="str">
        <f>VLOOKUP(A3414,Sheet2!$A$2:$R$3432,17,0)</f>
        <v/>
      </c>
    </row>
    <row r="3415" ht="15.75" customHeight="1">
      <c r="A3415" s="3" t="s">
        <v>3438</v>
      </c>
      <c r="B3415" s="4" t="str">
        <f>VLOOKUP(A3415,Sheet2!$A$2:$R$3432,2,0)</f>
        <v>2025-07-23 20:30:25</v>
      </c>
      <c r="C3415" s="5" t="s">
        <v>25</v>
      </c>
      <c r="D3415" s="6" t="s">
        <v>25</v>
      </c>
      <c r="E3415" s="7">
        <f>VLOOKUP(A3415,Sheet2!$A$2:$R$3432,4,0)</f>
        <v>7767872521</v>
      </c>
      <c r="F3415" s="7" t="str">
        <f>VLOOKUP(A3415,Sheet2!$A$2:$R$3432,3,0)</f>
        <v>Omkar </v>
      </c>
      <c r="G3415" s="5" t="s">
        <v>25</v>
      </c>
      <c r="H3415" s="5" t="s">
        <v>25</v>
      </c>
      <c r="I3415" s="5" t="s">
        <v>25</v>
      </c>
      <c r="J3415" s="5" t="s">
        <v>25</v>
      </c>
      <c r="K3415" s="7" t="str">
        <f>VLOOKUP(A3415,Sheet2!$A$2:$R$3432,6,0)</f>
        <v>Honda Activa 5G</v>
      </c>
      <c r="L3415" s="5" t="s">
        <v>25</v>
      </c>
      <c r="M3415" s="7" t="str">
        <f>VLOOKUP(A3415,Sheet2!$A$2:$R$3432,5,0)</f>
        <v>MH15GK7631</v>
      </c>
      <c r="N3415" s="5" t="s">
        <v>25</v>
      </c>
      <c r="O3415" s="5" t="s">
        <v>25</v>
      </c>
      <c r="P3415" s="6" t="s">
        <v>25</v>
      </c>
      <c r="Q3415" s="5" t="s">
        <v>25</v>
      </c>
      <c r="R3415" s="5" t="s">
        <v>25</v>
      </c>
      <c r="S3415" s="7" t="str">
        <f>VLOOKUP(A3415,Sheet2!$A$2:$R$3432,18,0)</f>
        <v/>
      </c>
      <c r="T3415" s="7" t="str">
        <f>VLOOKUP(A3415,Sheet2!$A$2:$R$3432,17,0)</f>
        <v/>
      </c>
    </row>
    <row r="3416" ht="15.75" customHeight="1">
      <c r="A3416" s="3" t="s">
        <v>3439</v>
      </c>
      <c r="B3416" s="4" t="str">
        <f>VLOOKUP(A3416,Sheet2!$A$2:$R$3432,2,0)</f>
        <v>2025-07-23 20:27:15</v>
      </c>
      <c r="C3416" s="5" t="s">
        <v>25</v>
      </c>
      <c r="D3416" s="6" t="s">
        <v>25</v>
      </c>
      <c r="E3416" s="7">
        <f>VLOOKUP(A3416,Sheet2!$A$2:$R$3432,4,0)</f>
        <v>7744874182</v>
      </c>
      <c r="F3416" s="7" t="str">
        <f>VLOOKUP(A3416,Sheet2!$A$2:$R$3432,3,0)</f>
        <v>Vaibhav</v>
      </c>
      <c r="G3416" s="5" t="s">
        <v>25</v>
      </c>
      <c r="H3416" s="5" t="s">
        <v>25</v>
      </c>
      <c r="I3416" s="5" t="s">
        <v>25</v>
      </c>
      <c r="J3416" s="5" t="s">
        <v>25</v>
      </c>
      <c r="K3416" s="7" t="str">
        <f>VLOOKUP(A3416,Sheet2!$A$2:$R$3432,6,0)</f>
        <v>Honda Unicorn 160</v>
      </c>
      <c r="L3416" s="5" t="s">
        <v>25</v>
      </c>
      <c r="M3416" s="7" t="str">
        <f>VLOOKUP(A3416,Sheet2!$A$2:$R$3432,5,0)</f>
        <v>MH12PE3351</v>
      </c>
      <c r="N3416" s="5" t="s">
        <v>25</v>
      </c>
      <c r="O3416" s="5" t="s">
        <v>25</v>
      </c>
      <c r="P3416" s="6" t="s">
        <v>25</v>
      </c>
      <c r="Q3416" s="5" t="s">
        <v>25</v>
      </c>
      <c r="R3416" s="5" t="s">
        <v>25</v>
      </c>
      <c r="S3416" s="5" t="str">
        <f>VLOOKUP(A3416,Sheet2!$A$2:$R$3432,18,0)</f>
        <v>KC20E80190385</v>
      </c>
      <c r="T3416" s="7" t="str">
        <f>VLOOKUP(A3416,Sheet2!$A$2:$R$3432,17,0)</f>
        <v/>
      </c>
    </row>
    <row r="3417" ht="15.75" customHeight="1">
      <c r="A3417" s="3" t="s">
        <v>3440</v>
      </c>
      <c r="B3417" s="4" t="str">
        <f>VLOOKUP(A3417,Sheet2!$A$2:$R$3432,2,0)</f>
        <v>2025-07-23 20:25:06</v>
      </c>
      <c r="C3417" s="5" t="s">
        <v>25</v>
      </c>
      <c r="D3417" s="6" t="s">
        <v>25</v>
      </c>
      <c r="E3417" s="7">
        <f>VLOOKUP(A3417,Sheet2!$A$2:$R$3432,4,0)</f>
        <v>9140942561</v>
      </c>
      <c r="F3417" s="7" t="str">
        <f>VLOOKUP(A3417,Sheet2!$A$2:$R$3432,3,0)</f>
        <v>DHIRAJ</v>
      </c>
      <c r="G3417" s="5" t="s">
        <v>25</v>
      </c>
      <c r="H3417" s="5" t="s">
        <v>25</v>
      </c>
      <c r="I3417" s="5" t="s">
        <v>25</v>
      </c>
      <c r="J3417" s="5" t="s">
        <v>25</v>
      </c>
      <c r="K3417" s="7" t="str">
        <f>VLOOKUP(A3417,Sheet2!$A$2:$R$3432,6,0)</f>
        <v>Honda Activa 6G</v>
      </c>
      <c r="L3417" s="5" t="s">
        <v>25</v>
      </c>
      <c r="M3417" s="7" t="str">
        <f>VLOOKUP(A3417,Sheet2!$A$2:$R$3432,5,0)</f>
        <v>MH14KY4360</v>
      </c>
      <c r="N3417" s="5" t="s">
        <v>25</v>
      </c>
      <c r="O3417" s="5" t="s">
        <v>25</v>
      </c>
      <c r="P3417" s="6" t="s">
        <v>25</v>
      </c>
      <c r="Q3417" s="5" t="s">
        <v>25</v>
      </c>
      <c r="R3417" s="5" t="s">
        <v>25</v>
      </c>
      <c r="S3417" s="7" t="str">
        <f>VLOOKUP(A3417,Sheet2!$A$2:$R$3432,18,0)</f>
        <v/>
      </c>
      <c r="T3417" s="7" t="str">
        <f>VLOOKUP(A3417,Sheet2!$A$2:$R$3432,17,0)</f>
        <v/>
      </c>
    </row>
    <row r="3418" ht="15.75" customHeight="1">
      <c r="A3418" s="3" t="s">
        <v>3441</v>
      </c>
      <c r="B3418" s="4" t="str">
        <f>VLOOKUP(A3418,Sheet2!$A$2:$R$3432,2,0)</f>
        <v>2025-07-23 20:26:45</v>
      </c>
      <c r="C3418" s="5" t="s">
        <v>25</v>
      </c>
      <c r="D3418" s="6" t="s">
        <v>25</v>
      </c>
      <c r="E3418" s="7">
        <f>VLOOKUP(A3418,Sheet2!$A$2:$R$3432,4,0)</f>
        <v>9890555560</v>
      </c>
      <c r="F3418" s="7" t="str">
        <f>VLOOKUP(A3418,Sheet2!$A$2:$R$3432,3,0)</f>
        <v>Prithviraj Patil</v>
      </c>
      <c r="G3418" s="5" t="s">
        <v>25</v>
      </c>
      <c r="H3418" s="5" t="s">
        <v>25</v>
      </c>
      <c r="I3418" s="5" t="s">
        <v>25</v>
      </c>
      <c r="J3418" s="5" t="s">
        <v>25</v>
      </c>
      <c r="K3418" s="7" t="str">
        <f>VLOOKUP(A3418,Sheet2!$A$2:$R$3432,6,0)</f>
        <v>Honda Activa 4G</v>
      </c>
      <c r="L3418" s="5" t="s">
        <v>25</v>
      </c>
      <c r="M3418" s="7" t="str">
        <f>VLOOKUP(A3418,Sheet2!$A$2:$R$3432,5,0)</f>
        <v>MH12PV5498</v>
      </c>
      <c r="N3418" s="5" t="s">
        <v>25</v>
      </c>
      <c r="O3418" s="5" t="s">
        <v>25</v>
      </c>
      <c r="P3418" s="6" t="s">
        <v>25</v>
      </c>
      <c r="Q3418" s="5" t="s">
        <v>25</v>
      </c>
      <c r="R3418" s="5" t="s">
        <v>25</v>
      </c>
      <c r="S3418" s="5" t="str">
        <f>VLOOKUP(A3418,Sheet2!$A$2:$R$3432,18,0)</f>
        <v>JF50ET5789240</v>
      </c>
      <c r="T3418" s="7" t="str">
        <f>VLOOKUP(A3418,Sheet2!$A$2:$R$3432,17,0)</f>
        <v>ME4JF507KHT788859</v>
      </c>
    </row>
    <row r="3419" ht="15.75" customHeight="1">
      <c r="A3419" s="3" t="s">
        <v>3442</v>
      </c>
      <c r="B3419" s="4" t="str">
        <f>VLOOKUP(A3419,Sheet2!$A$2:$R$3432,2,0)</f>
        <v>2025-07-23 20:25:31</v>
      </c>
      <c r="C3419" s="5" t="s">
        <v>25</v>
      </c>
      <c r="D3419" s="6" t="s">
        <v>25</v>
      </c>
      <c r="E3419" s="7">
        <f>VLOOKUP(A3419,Sheet2!$A$2:$R$3432,4,0)</f>
        <v>9970886964</v>
      </c>
      <c r="F3419" s="7" t="str">
        <f>VLOOKUP(A3419,Sheet2!$A$2:$R$3432,3,0)</f>
        <v>Ashok Yadav </v>
      </c>
      <c r="G3419" s="5" t="s">
        <v>25</v>
      </c>
      <c r="H3419" s="5" t="s">
        <v>25</v>
      </c>
      <c r="I3419" s="5" t="s">
        <v>25</v>
      </c>
      <c r="J3419" s="5" t="s">
        <v>25</v>
      </c>
      <c r="K3419" s="7" t="str">
        <f>VLOOKUP(A3419,Sheet2!$A$2:$R$3432,6,0)</f>
        <v>Honda Activa </v>
      </c>
      <c r="L3419" s="5" t="s">
        <v>25</v>
      </c>
      <c r="M3419" s="7" t="str">
        <f>VLOOKUP(A3419,Sheet2!$A$2:$R$3432,5,0)</f>
        <v>MH14EW8848</v>
      </c>
      <c r="N3419" s="5" t="s">
        <v>25</v>
      </c>
      <c r="O3419" s="5" t="s">
        <v>25</v>
      </c>
      <c r="P3419" s="6" t="s">
        <v>25</v>
      </c>
      <c r="Q3419" s="5" t="s">
        <v>25</v>
      </c>
      <c r="R3419" s="5" t="s">
        <v>25</v>
      </c>
      <c r="S3419" s="7" t="str">
        <f>VLOOKUP(A3419,Sheet2!$A$2:$R$3432,18,0)</f>
        <v/>
      </c>
      <c r="T3419" s="7" t="str">
        <f>VLOOKUP(A3419,Sheet2!$A$2:$R$3432,17,0)</f>
        <v/>
      </c>
    </row>
    <row r="3420" ht="15.75" customHeight="1">
      <c r="A3420" s="3" t="s">
        <v>3443</v>
      </c>
      <c r="B3420" s="4" t="str">
        <f>VLOOKUP(A3420,Sheet2!$A$2:$R$3432,2,0)</f>
        <v>2025-07-23 20:30:02</v>
      </c>
      <c r="C3420" s="5" t="s">
        <v>25</v>
      </c>
      <c r="D3420" s="6" t="s">
        <v>25</v>
      </c>
      <c r="E3420" s="7">
        <f>VLOOKUP(A3420,Sheet2!$A$2:$R$3432,4,0)</f>
        <v>9822303920</v>
      </c>
      <c r="F3420" s="7" t="str">
        <f>VLOOKUP(A3420,Sheet2!$A$2:$R$3432,3,0)</f>
        <v>TUSHAR</v>
      </c>
      <c r="G3420" s="5" t="s">
        <v>25</v>
      </c>
      <c r="H3420" s="5" t="s">
        <v>25</v>
      </c>
      <c r="I3420" s="5" t="s">
        <v>25</v>
      </c>
      <c r="J3420" s="5" t="s">
        <v>25</v>
      </c>
      <c r="K3420" s="7" t="str">
        <f>VLOOKUP(A3420,Sheet2!$A$2:$R$3432,6,0)</f>
        <v>Honda Activa 5G</v>
      </c>
      <c r="L3420" s="5" t="s">
        <v>25</v>
      </c>
      <c r="M3420" s="7" t="str">
        <f>VLOOKUP(A3420,Sheet2!$A$2:$R$3432,5,0)</f>
        <v>MH14HT3810</v>
      </c>
      <c r="N3420" s="5" t="s">
        <v>25</v>
      </c>
      <c r="O3420" s="5" t="s">
        <v>25</v>
      </c>
      <c r="P3420" s="6" t="s">
        <v>25</v>
      </c>
      <c r="Q3420" s="5" t="s">
        <v>25</v>
      </c>
      <c r="R3420" s="5" t="s">
        <v>25</v>
      </c>
      <c r="S3420" s="5" t="str">
        <f>VLOOKUP(A3420,Sheet2!$A$2:$R$3432,18,0)</f>
        <v>JF50EG0166257</v>
      </c>
      <c r="T3420" s="7" t="str">
        <f>VLOOKUP(A3420,Sheet2!$A$2:$R$3432,17,0)</f>
        <v>ME4JF50AGKG166180</v>
      </c>
    </row>
    <row r="3421" ht="15.75" customHeight="1">
      <c r="A3421" s="3" t="s">
        <v>3444</v>
      </c>
      <c r="B3421" s="4" t="str">
        <f>VLOOKUP(A3421,Sheet2!$A$2:$R$3432,2,0)</f>
        <v>2025-07-23 20:30:41</v>
      </c>
      <c r="C3421" s="5" t="s">
        <v>25</v>
      </c>
      <c r="D3421" s="6" t="s">
        <v>25</v>
      </c>
      <c r="E3421" s="7">
        <f>VLOOKUP(A3421,Sheet2!$A$2:$R$3432,4,0)</f>
        <v>9881889367</v>
      </c>
      <c r="F3421" s="7" t="str">
        <f>VLOOKUP(A3421,Sheet2!$A$2:$R$3432,3,0)</f>
        <v>Radhika Patil</v>
      </c>
      <c r="G3421" s="5" t="s">
        <v>25</v>
      </c>
      <c r="H3421" s="5" t="s">
        <v>25</v>
      </c>
      <c r="I3421" s="5" t="s">
        <v>25</v>
      </c>
      <c r="J3421" s="5" t="s">
        <v>25</v>
      </c>
      <c r="K3421" s="7" t="str">
        <f>VLOOKUP(A3421,Sheet2!$A$2:$R$3432,6,0)</f>
        <v>Honda Activa 125</v>
      </c>
      <c r="L3421" s="5" t="s">
        <v>25</v>
      </c>
      <c r="M3421" s="7" t="str">
        <f>VLOOKUP(A3421,Sheet2!$A$2:$R$3432,5,0)</f>
        <v>MH12SS8869</v>
      </c>
      <c r="N3421" s="5" t="s">
        <v>25</v>
      </c>
      <c r="O3421" s="5" t="s">
        <v>25</v>
      </c>
      <c r="P3421" s="6" t="s">
        <v>25</v>
      </c>
      <c r="Q3421" s="5" t="s">
        <v>25</v>
      </c>
      <c r="R3421" s="5" t="s">
        <v>25</v>
      </c>
      <c r="S3421" s="5" t="str">
        <f>VLOOKUP(A3421,Sheet2!$A$2:$R$3432,18,0)</f>
        <v>JF49ED4021028</v>
      </c>
      <c r="T3421" s="7" t="str">
        <f>VLOOKUP(A3421,Sheet2!$A$2:$R$3432,17,0)</f>
        <v>ME4JF40MGLDO12891</v>
      </c>
    </row>
    <row r="3422" ht="15.75" customHeight="1">
      <c r="A3422" s="3" t="s">
        <v>3445</v>
      </c>
      <c r="B3422" s="4" t="str">
        <f>VLOOKUP(A3422,Sheet2!$A$2:$R$3432,2,0)</f>
        <v>2025-07-26 17:23:05</v>
      </c>
      <c r="C3422" s="5" t="s">
        <v>25</v>
      </c>
      <c r="D3422" s="6" t="s">
        <v>25</v>
      </c>
      <c r="E3422" s="7">
        <f>VLOOKUP(A3422,Sheet2!$A$2:$R$3432,4,0)</f>
        <v>7666969084</v>
      </c>
      <c r="F3422" s="7" t="str">
        <f>VLOOKUP(A3422,Sheet2!$A$2:$R$3432,3,0)</f>
        <v>Sanghamitra Bhonde</v>
      </c>
      <c r="G3422" s="5" t="s">
        <v>25</v>
      </c>
      <c r="H3422" s="5" t="s">
        <v>25</v>
      </c>
      <c r="I3422" s="5" t="s">
        <v>25</v>
      </c>
      <c r="J3422" s="5" t="s">
        <v>25</v>
      </c>
      <c r="K3422" s="7" t="str">
        <f>VLOOKUP(A3422,Sheet2!$A$2:$R$3432,6,0)</f>
        <v>Honda Activa 4G</v>
      </c>
      <c r="L3422" s="5" t="s">
        <v>25</v>
      </c>
      <c r="M3422" s="7" t="str">
        <f>VLOOKUP(A3422,Sheet2!$A$2:$R$3432,5,0)</f>
        <v>MH12QD1081</v>
      </c>
      <c r="N3422" s="5" t="s">
        <v>25</v>
      </c>
      <c r="O3422" s="5" t="s">
        <v>25</v>
      </c>
      <c r="P3422" s="6" t="s">
        <v>25</v>
      </c>
      <c r="Q3422" s="5" t="s">
        <v>25</v>
      </c>
      <c r="R3422" s="5" t="s">
        <v>25</v>
      </c>
      <c r="S3422" s="7" t="str">
        <f>VLOOKUP(A3422,Sheet2!$A$2:$R$3432,18,0)</f>
        <v/>
      </c>
      <c r="T3422" s="7" t="str">
        <f>VLOOKUP(A3422,Sheet2!$A$2:$R$3432,17,0)</f>
        <v/>
      </c>
    </row>
    <row r="3423" ht="15.75" customHeight="1">
      <c r="A3423" s="3" t="s">
        <v>3446</v>
      </c>
      <c r="B3423" s="4" t="str">
        <f>VLOOKUP(A3423,Sheet2!$A$2:$R$3432,2,0)</f>
        <v>2025-07-26 20:27:45</v>
      </c>
      <c r="C3423" s="5" t="s">
        <v>25</v>
      </c>
      <c r="D3423" s="6" t="s">
        <v>25</v>
      </c>
      <c r="E3423" s="7">
        <f>VLOOKUP(A3423,Sheet2!$A$2:$R$3432,4,0)</f>
        <v>8484923252</v>
      </c>
      <c r="F3423" s="7" t="str">
        <f>VLOOKUP(A3423,Sheet2!$A$2:$R$3432,3,0)</f>
        <v>Vipul Mali</v>
      </c>
      <c r="G3423" s="5" t="s">
        <v>25</v>
      </c>
      <c r="H3423" s="5" t="s">
        <v>25</v>
      </c>
      <c r="I3423" s="5" t="s">
        <v>25</v>
      </c>
      <c r="J3423" s="5" t="s">
        <v>25</v>
      </c>
      <c r="K3423" s="7" t="str">
        <f>VLOOKUP(A3423,Sheet2!$A$2:$R$3432,6,0)</f>
        <v>Hero Pleasure Plus</v>
      </c>
      <c r="L3423" s="5" t="s">
        <v>25</v>
      </c>
      <c r="M3423" s="7" t="str">
        <f>VLOOKUP(A3423,Sheet2!$A$2:$R$3432,5,0)</f>
        <v>MH14HZ3845</v>
      </c>
      <c r="N3423" s="5" t="s">
        <v>25</v>
      </c>
      <c r="O3423" s="5" t="s">
        <v>25</v>
      </c>
      <c r="P3423" s="6" t="s">
        <v>25</v>
      </c>
      <c r="Q3423" s="5" t="s">
        <v>25</v>
      </c>
      <c r="R3423" s="5" t="s">
        <v>25</v>
      </c>
      <c r="S3423" s="5" t="str">
        <f>VLOOKUP(A3423,Sheet2!$A$2:$R$3432,18,0)</f>
        <v>JF33ADKGL15195</v>
      </c>
      <c r="T3423" s="7" t="str">
        <f>VLOOKUP(A3423,Sheet2!$A$2:$R$3432,17,0)</f>
        <v>MBLJEN056KGL08909</v>
      </c>
    </row>
    <row r="3424" ht="15.75" customHeight="1">
      <c r="A3424" s="3" t="s">
        <v>3447</v>
      </c>
      <c r="B3424" s="4" t="str">
        <f>VLOOKUP(A3424,Sheet2!$A$2:$R$3432,2,0)</f>
        <v>2025-07-26 20:26:26</v>
      </c>
      <c r="C3424" s="5" t="s">
        <v>25</v>
      </c>
      <c r="D3424" s="6" t="s">
        <v>25</v>
      </c>
      <c r="E3424" s="7">
        <f>VLOOKUP(A3424,Sheet2!$A$2:$R$3432,4,0)</f>
        <v>7083711083</v>
      </c>
      <c r="F3424" s="7" t="str">
        <f>VLOOKUP(A3424,Sheet2!$A$2:$R$3432,3,0)</f>
        <v>PRATIK SALAGRE</v>
      </c>
      <c r="G3424" s="5" t="s">
        <v>25</v>
      </c>
      <c r="H3424" s="5" t="s">
        <v>25</v>
      </c>
      <c r="I3424" s="5" t="s">
        <v>25</v>
      </c>
      <c r="J3424" s="5" t="s">
        <v>25</v>
      </c>
      <c r="K3424" s="7" t="str">
        <f>VLOOKUP(A3424,Sheet2!$A$2:$R$3432,6,0)</f>
        <v>Honda Activa i</v>
      </c>
      <c r="L3424" s="5" t="s">
        <v>25</v>
      </c>
      <c r="M3424" s="7" t="str">
        <f>VLOOKUP(A3424,Sheet2!$A$2:$R$3432,5,0)</f>
        <v>MH08AH7032</v>
      </c>
      <c r="N3424" s="5" t="s">
        <v>25</v>
      </c>
      <c r="O3424" s="5" t="s">
        <v>25</v>
      </c>
      <c r="P3424" s="6" t="s">
        <v>25</v>
      </c>
      <c r="Q3424" s="5" t="s">
        <v>25</v>
      </c>
      <c r="R3424" s="5" t="s">
        <v>25</v>
      </c>
      <c r="S3424" s="7" t="str">
        <f>VLOOKUP(A3424,Sheet2!$A$2:$R$3432,18,0)</f>
        <v/>
      </c>
      <c r="T3424" s="7" t="str">
        <f>VLOOKUP(A3424,Sheet2!$A$2:$R$3432,17,0)</f>
        <v/>
      </c>
    </row>
    <row r="3425" ht="15.75" customHeight="1">
      <c r="A3425" s="3" t="s">
        <v>3448</v>
      </c>
      <c r="B3425" s="4" t="str">
        <f>VLOOKUP(A3425,Sheet2!$A$2:$R$3432,2,0)</f>
        <v>2025-07-26 20:26:38</v>
      </c>
      <c r="C3425" s="5" t="s">
        <v>25</v>
      </c>
      <c r="D3425" s="6" t="s">
        <v>25</v>
      </c>
      <c r="E3425" s="7">
        <f>VLOOKUP(A3425,Sheet2!$A$2:$R$3432,4,0)</f>
        <v>9881103107</v>
      </c>
      <c r="F3425" s="7" t="str">
        <f>VLOOKUP(A3425,Sheet2!$A$2:$R$3432,3,0)</f>
        <v>Pranav Babar</v>
      </c>
      <c r="G3425" s="5" t="s">
        <v>25</v>
      </c>
      <c r="H3425" s="5" t="s">
        <v>25</v>
      </c>
      <c r="I3425" s="5" t="s">
        <v>25</v>
      </c>
      <c r="J3425" s="5" t="s">
        <v>25</v>
      </c>
      <c r="K3425" s="7" t="str">
        <f>VLOOKUP(A3425,Sheet2!$A$2:$R$3432,6,0)</f>
        <v>TVS Jupiter </v>
      </c>
      <c r="L3425" s="5" t="s">
        <v>25</v>
      </c>
      <c r="M3425" s="7" t="str">
        <f>VLOOKUP(A3425,Sheet2!$A$2:$R$3432,5,0)</f>
        <v>MH14HZ3438</v>
      </c>
      <c r="N3425" s="5" t="s">
        <v>25</v>
      </c>
      <c r="O3425" s="5" t="s">
        <v>25</v>
      </c>
      <c r="P3425" s="6" t="s">
        <v>25</v>
      </c>
      <c r="Q3425" s="5" t="s">
        <v>25</v>
      </c>
      <c r="R3425" s="5" t="s">
        <v>25</v>
      </c>
      <c r="S3425" s="5" t="str">
        <f>VLOOKUP(A3425,Sheet2!$A$2:$R$3432,18,0)</f>
        <v>DG4NK01035</v>
      </c>
      <c r="T3425" s="7" t="str">
        <f>VLOOKUP(A3425,Sheet2!$A$2:$R$3432,17,0)</f>
        <v>MD626EG45K3N05863</v>
      </c>
    </row>
    <row r="3426" ht="15.75" customHeight="1">
      <c r="A3426" s="3" t="s">
        <v>3449</v>
      </c>
      <c r="B3426" s="4" t="str">
        <f>VLOOKUP(A3426,Sheet2!$A$2:$R$3432,2,0)</f>
        <v>2025-07-26 20:27:18</v>
      </c>
      <c r="C3426" s="5" t="s">
        <v>25</v>
      </c>
      <c r="D3426" s="6" t="s">
        <v>25</v>
      </c>
      <c r="E3426" s="7">
        <f>VLOOKUP(A3426,Sheet2!$A$2:$R$3432,4,0)</f>
        <v>9011022801</v>
      </c>
      <c r="F3426" s="7" t="str">
        <f>VLOOKUP(A3426,Sheet2!$A$2:$R$3432,3,0)</f>
        <v>Navneet Sagdeo</v>
      </c>
      <c r="G3426" s="5" t="s">
        <v>25</v>
      </c>
      <c r="H3426" s="5" t="s">
        <v>25</v>
      </c>
      <c r="I3426" s="5" t="s">
        <v>25</v>
      </c>
      <c r="J3426" s="5" t="s">
        <v>25</v>
      </c>
      <c r="K3426" s="7" t="str">
        <f>VLOOKUP(A3426,Sheet2!$A$2:$R$3432,6,0)</f>
        <v>TVS Jupiter </v>
      </c>
      <c r="L3426" s="5" t="s">
        <v>25</v>
      </c>
      <c r="M3426" s="7" t="str">
        <f>VLOOKUP(A3426,Sheet2!$A$2:$R$3432,5,0)</f>
        <v>MH14FY1646</v>
      </c>
      <c r="N3426" s="5" t="s">
        <v>25</v>
      </c>
      <c r="O3426" s="5" t="s">
        <v>25</v>
      </c>
      <c r="P3426" s="6" t="s">
        <v>25</v>
      </c>
      <c r="Q3426" s="5" t="s">
        <v>25</v>
      </c>
      <c r="R3426" s="5" t="s">
        <v>25</v>
      </c>
      <c r="S3426" s="5" t="str">
        <f>VLOOKUP(A3426,Sheet2!$A$2:$R$3432,18,0)</f>
        <v>364AHG2310610</v>
      </c>
      <c r="T3426" s="7" t="str">
        <f>VLOOKUP(A3426,Sheet2!$A$2:$R$3432,17,0)</f>
        <v>MD626B64363H18691</v>
      </c>
    </row>
    <row r="3427" ht="15.75" customHeight="1">
      <c r="A3427" s="3" t="s">
        <v>3450</v>
      </c>
      <c r="B3427" s="4" t="str">
        <f>VLOOKUP(A3427,Sheet2!$A$2:$R$3432,2,0)</f>
        <v>2025-07-26 20:26:51</v>
      </c>
      <c r="C3427" s="5" t="s">
        <v>25</v>
      </c>
      <c r="D3427" s="6" t="s">
        <v>25</v>
      </c>
      <c r="E3427" s="7">
        <f>VLOOKUP(A3427,Sheet2!$A$2:$R$3432,4,0)</f>
        <v>9371357993</v>
      </c>
      <c r="F3427" s="7" t="str">
        <f>VLOOKUP(A3427,Sheet2!$A$2:$R$3432,3,0)</f>
        <v>Shashikant </v>
      </c>
      <c r="G3427" s="5" t="s">
        <v>25</v>
      </c>
      <c r="H3427" s="5" t="s">
        <v>25</v>
      </c>
      <c r="I3427" s="5" t="s">
        <v>25</v>
      </c>
      <c r="J3427" s="5" t="s">
        <v>25</v>
      </c>
      <c r="K3427" s="7" t="str">
        <f>VLOOKUP(A3427,Sheet2!$A$2:$R$3432,6,0)</f>
        <v>Honda Activa 5G</v>
      </c>
      <c r="L3427" s="5" t="s">
        <v>25</v>
      </c>
      <c r="M3427" s="7" t="str">
        <f>VLOOKUP(A3427,Sheet2!$A$2:$R$3432,5,0)</f>
        <v>GJ06ME1211</v>
      </c>
      <c r="N3427" s="5" t="s">
        <v>25</v>
      </c>
      <c r="O3427" s="5" t="s">
        <v>25</v>
      </c>
      <c r="P3427" s="6" t="s">
        <v>25</v>
      </c>
      <c r="Q3427" s="5" t="s">
        <v>25</v>
      </c>
      <c r="R3427" s="5" t="s">
        <v>25</v>
      </c>
      <c r="S3427" s="7" t="str">
        <f>VLOOKUP(A3427,Sheet2!$A$2:$R$3432,18,0)</f>
        <v/>
      </c>
      <c r="T3427" s="7" t="str">
        <f>VLOOKUP(A3427,Sheet2!$A$2:$R$3432,17,0)</f>
        <v/>
      </c>
    </row>
    <row r="3428" ht="15.75" customHeight="1">
      <c r="A3428" s="3" t="s">
        <v>3451</v>
      </c>
      <c r="B3428" s="4" t="str">
        <f>VLOOKUP(A3428,Sheet2!$A$2:$R$3432,2,0)</f>
        <v>2025-07-26 20:29:17</v>
      </c>
      <c r="C3428" s="5" t="s">
        <v>25</v>
      </c>
      <c r="D3428" s="6" t="s">
        <v>25</v>
      </c>
      <c r="E3428" s="7">
        <f>VLOOKUP(A3428,Sheet2!$A$2:$R$3432,4,0)</f>
        <v>9004432771</v>
      </c>
      <c r="F3428" s="7" t="str">
        <f>VLOOKUP(A3428,Sheet2!$A$2:$R$3432,3,0)</f>
        <v>Dharmesh </v>
      </c>
      <c r="G3428" s="5" t="s">
        <v>25</v>
      </c>
      <c r="H3428" s="5" t="s">
        <v>25</v>
      </c>
      <c r="I3428" s="5" t="s">
        <v>25</v>
      </c>
      <c r="J3428" s="5" t="s">
        <v>25</v>
      </c>
      <c r="K3428" s="7" t="str">
        <f>VLOOKUP(A3428,Sheet2!$A$2:$R$3432,6,0)</f>
        <v>TVS Jupiter </v>
      </c>
      <c r="L3428" s="5" t="s">
        <v>25</v>
      </c>
      <c r="M3428" s="7" t="str">
        <f>VLOOKUP(A3428,Sheet2!$A$2:$R$3432,5,0)</f>
        <v>MH14JQ6795</v>
      </c>
      <c r="N3428" s="5" t="s">
        <v>25</v>
      </c>
      <c r="O3428" s="5" t="s">
        <v>25</v>
      </c>
      <c r="P3428" s="6" t="s">
        <v>25</v>
      </c>
      <c r="Q3428" s="5" t="s">
        <v>25</v>
      </c>
      <c r="R3428" s="5" t="s">
        <v>25</v>
      </c>
      <c r="S3428" s="5" t="str">
        <f>VLOOKUP(A3428,Sheet2!$A$2:$R$3432,18,0)</f>
        <v>DG5DM1J00318</v>
      </c>
      <c r="T3428" s="7" t="str">
        <f>VLOOKUP(A3428,Sheet2!$A$2:$R$3432,17,0)</f>
        <v>MD626CGJ1M1D00318</v>
      </c>
    </row>
    <row r="3429" ht="15.75" customHeight="1">
      <c r="A3429" s="3" t="s">
        <v>3452</v>
      </c>
      <c r="B3429" s="4" t="str">
        <f>VLOOKUP(A3429,Sheet2!$A$2:$R$3432,2,0)</f>
        <v>2025-07-26 20:27:59</v>
      </c>
      <c r="C3429" s="5" t="s">
        <v>25</v>
      </c>
      <c r="D3429" s="6" t="s">
        <v>25</v>
      </c>
      <c r="E3429" s="7">
        <f>VLOOKUP(A3429,Sheet2!$A$2:$R$3432,4,0)</f>
        <v>9028191356</v>
      </c>
      <c r="F3429" s="7" t="str">
        <f>VLOOKUP(A3429,Sheet2!$A$2:$R$3432,3,0)</f>
        <v>Vaibhav Shinde</v>
      </c>
      <c r="G3429" s="5" t="s">
        <v>25</v>
      </c>
      <c r="H3429" s="5" t="s">
        <v>25</v>
      </c>
      <c r="I3429" s="5" t="s">
        <v>25</v>
      </c>
      <c r="J3429" s="5" t="s">
        <v>25</v>
      </c>
      <c r="K3429" s="7" t="str">
        <f>VLOOKUP(A3429,Sheet2!$A$2:$R$3432,6,0)</f>
        <v>Honda Shine </v>
      </c>
      <c r="L3429" s="5" t="s">
        <v>25</v>
      </c>
      <c r="M3429" s="7" t="str">
        <f>VLOOKUP(A3429,Sheet2!$A$2:$R$3432,5,0)</f>
        <v>MH15HT5553</v>
      </c>
      <c r="N3429" s="5" t="s">
        <v>25</v>
      </c>
      <c r="O3429" s="5" t="s">
        <v>25</v>
      </c>
      <c r="P3429" s="6" t="s">
        <v>25</v>
      </c>
      <c r="Q3429" s="5" t="s">
        <v>25</v>
      </c>
      <c r="R3429" s="5" t="s">
        <v>25</v>
      </c>
      <c r="S3429" s="7" t="str">
        <f>VLOOKUP(A3429,Sheet2!$A$2:$R$3432,18,0)</f>
        <v/>
      </c>
      <c r="T3429" s="7" t="str">
        <f>VLOOKUP(A3429,Sheet2!$A$2:$R$3432,17,0)</f>
        <v/>
      </c>
    </row>
    <row r="3430" ht="15.75" customHeight="1">
      <c r="A3430" s="3" t="s">
        <v>3453</v>
      </c>
      <c r="B3430" s="4" t="str">
        <f>VLOOKUP(A3430,Sheet2!$A$2:$R$3432,2,0)</f>
        <v>2025-07-26 20:28:44</v>
      </c>
      <c r="C3430" s="5" t="s">
        <v>25</v>
      </c>
      <c r="D3430" s="6" t="s">
        <v>25</v>
      </c>
      <c r="E3430" s="7">
        <f>VLOOKUP(A3430,Sheet2!$A$2:$R$3432,4,0)</f>
        <v>8888263054</v>
      </c>
      <c r="F3430" s="7" t="str">
        <f>VLOOKUP(A3430,Sheet2!$A$2:$R$3432,3,0)</f>
        <v>Balwir Kenhre</v>
      </c>
      <c r="G3430" s="5" t="s">
        <v>25</v>
      </c>
      <c r="H3430" s="5" t="s">
        <v>25</v>
      </c>
      <c r="I3430" s="5" t="s">
        <v>25</v>
      </c>
      <c r="J3430" s="5" t="s">
        <v>25</v>
      </c>
      <c r="K3430" s="7" t="str">
        <f>VLOOKUP(A3430,Sheet2!$A$2:$R$3432,6,0)</f>
        <v>Yamaha FZ </v>
      </c>
      <c r="L3430" s="5" t="s">
        <v>25</v>
      </c>
      <c r="M3430" s="7" t="str">
        <f>VLOOKUP(A3430,Sheet2!$A$2:$R$3432,5,0)</f>
        <v>MH12UG1373</v>
      </c>
      <c r="N3430" s="5" t="s">
        <v>25</v>
      </c>
      <c r="O3430" s="5" t="s">
        <v>25</v>
      </c>
      <c r="P3430" s="6" t="s">
        <v>25</v>
      </c>
      <c r="Q3430" s="5" t="s">
        <v>25</v>
      </c>
      <c r="R3430" s="5" t="s">
        <v>25</v>
      </c>
      <c r="S3430" s="7" t="str">
        <f>VLOOKUP(A3430,Sheet2!$A$2:$R$3432,18,0)</f>
        <v/>
      </c>
      <c r="T3430" s="7" t="str">
        <f>VLOOKUP(A3430,Sheet2!$A$2:$R$3432,17,0)</f>
        <v/>
      </c>
    </row>
    <row r="3431" ht="15.75" customHeight="1">
      <c r="A3431" s="3" t="s">
        <v>3454</v>
      </c>
      <c r="B3431" s="4" t="str">
        <f>VLOOKUP(A3431,Sheet2!$A$2:$R$3432,2,0)</f>
        <v>2025-07-26 20:29:55</v>
      </c>
      <c r="C3431" s="5" t="s">
        <v>25</v>
      </c>
      <c r="D3431" s="6" t="s">
        <v>25</v>
      </c>
      <c r="E3431" s="7">
        <f>VLOOKUP(A3431,Sheet2!$A$2:$R$3432,4,0)</f>
        <v>9158998051</v>
      </c>
      <c r="F3431" s="7" t="str">
        <f>VLOOKUP(A3431,Sheet2!$A$2:$R$3432,3,0)</f>
        <v>Rutika Patil </v>
      </c>
      <c r="G3431" s="5" t="s">
        <v>25</v>
      </c>
      <c r="H3431" s="5" t="s">
        <v>25</v>
      </c>
      <c r="I3431" s="5" t="s">
        <v>25</v>
      </c>
      <c r="J3431" s="5" t="s">
        <v>25</v>
      </c>
      <c r="K3431" s="7" t="str">
        <f>VLOOKUP(A3431,Sheet2!$A$2:$R$3432,6,0)</f>
        <v>TVS Jupiter </v>
      </c>
      <c r="L3431" s="5" t="s">
        <v>25</v>
      </c>
      <c r="M3431" s="7" t="str">
        <f>VLOOKUP(A3431,Sheet2!$A$2:$R$3432,5,0)</f>
        <v>MH14KE3562</v>
      </c>
      <c r="N3431" s="5" t="s">
        <v>25</v>
      </c>
      <c r="O3431" s="5" t="s">
        <v>25</v>
      </c>
      <c r="P3431" s="6" t="s">
        <v>25</v>
      </c>
      <c r="Q3431" s="5" t="s">
        <v>25</v>
      </c>
      <c r="R3431" s="5" t="s">
        <v>25</v>
      </c>
      <c r="S3431" s="5" t="str">
        <f>VLOOKUP(A3431,Sheet2!$A$2:$R$3432,18,0)</f>
        <v>GG5EN1711584</v>
      </c>
      <c r="T3431" s="7" t="str">
        <f>VLOOKUP(A3431,Sheet2!$A$2:$R$3432,17,0)</f>
        <v>MD626EG54NLE11679</v>
      </c>
    </row>
    <row r="3432" ht="15.75" customHeight="1">
      <c r="A3432" s="3" t="s">
        <v>3455</v>
      </c>
      <c r="B3432" s="4" t="str">
        <f>VLOOKUP(A3432,Sheet2!$A$2:$R$3432,2,0)</f>
        <v>2025-07-26 20:31:42</v>
      </c>
      <c r="C3432" s="5" t="s">
        <v>25</v>
      </c>
      <c r="D3432" s="6" t="s">
        <v>25</v>
      </c>
      <c r="E3432" s="7">
        <f>VLOOKUP(A3432,Sheet2!$A$2:$R$3432,4,0)</f>
        <v>9766589338</v>
      </c>
      <c r="F3432" s="7" t="str">
        <f>VLOOKUP(A3432,Sheet2!$A$2:$R$3432,3,0)</f>
        <v>Prathamesh Nikam</v>
      </c>
      <c r="G3432" s="5" t="s">
        <v>25</v>
      </c>
      <c r="H3432" s="5" t="s">
        <v>25</v>
      </c>
      <c r="I3432" s="5" t="s">
        <v>25</v>
      </c>
      <c r="J3432" s="5" t="s">
        <v>25</v>
      </c>
      <c r="K3432" s="7" t="str">
        <f>VLOOKUP(A3432,Sheet2!$A$2:$R$3432,6,0)</f>
        <v>TVS Jupiter </v>
      </c>
      <c r="L3432" s="5" t="s">
        <v>25</v>
      </c>
      <c r="M3432" s="7" t="str">
        <f>VLOOKUP(A3432,Sheet2!$A$2:$R$3432,5,0)</f>
        <v>MH12NH1362</v>
      </c>
      <c r="N3432" s="5" t="s">
        <v>25</v>
      </c>
      <c r="O3432" s="5" t="s">
        <v>25</v>
      </c>
      <c r="P3432" s="6" t="s">
        <v>25</v>
      </c>
      <c r="Q3432" s="5" t="s">
        <v>25</v>
      </c>
      <c r="R3432" s="5" t="s">
        <v>25</v>
      </c>
      <c r="S3432" s="7" t="str">
        <f>VLOOKUP(A3432,Sheet2!$A$2:$R$3432,18,0)</f>
        <v/>
      </c>
      <c r="T3432" s="7" t="str">
        <f>VLOOKUP(A3432,Sheet2!$A$2:$R$3432,17,0)</f>
        <v/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0.57"/>
    <col customWidth="1" min="3" max="3" width="33.14"/>
    <col customWidth="1" min="4" max="4" width="15.29"/>
    <col customWidth="1" min="5" max="5" width="15.86"/>
    <col customWidth="1" min="6" max="6" width="33.14"/>
    <col customWidth="1" min="7" max="7" width="8.14"/>
    <col customWidth="1" min="8" max="8" width="9.29"/>
    <col customWidth="1" min="9" max="9" width="8.71"/>
    <col customWidth="1" min="10" max="10" width="9.86"/>
    <col customWidth="1" min="11" max="12" width="7.57"/>
    <col customWidth="1" min="13" max="13" width="11.71"/>
    <col customWidth="1" min="14" max="14" width="10.86"/>
    <col customWidth="1" min="15" max="15" width="9.57"/>
    <col customWidth="1" min="16" max="16" width="17.0"/>
    <col customWidth="1" min="17" max="17" width="31.86"/>
    <col customWidth="1" min="18" max="18" width="24.14"/>
  </cols>
  <sheetData>
    <row r="1">
      <c r="A1" s="8" t="s">
        <v>3456</v>
      </c>
      <c r="B1" s="8" t="s">
        <v>3457</v>
      </c>
      <c r="C1" s="8" t="s">
        <v>3458</v>
      </c>
      <c r="D1" s="8" t="s">
        <v>3459</v>
      </c>
      <c r="E1" s="8" t="s">
        <v>3460</v>
      </c>
      <c r="F1" s="8" t="s">
        <v>3461</v>
      </c>
      <c r="G1" s="8" t="s">
        <v>3462</v>
      </c>
      <c r="H1" s="8" t="s">
        <v>3463</v>
      </c>
      <c r="I1" s="8" t="s">
        <v>3464</v>
      </c>
      <c r="J1" s="8" t="s">
        <v>3465</v>
      </c>
      <c r="K1" s="8" t="s">
        <v>3466</v>
      </c>
      <c r="L1" s="8" t="s">
        <v>3467</v>
      </c>
      <c r="M1" s="8" t="s">
        <v>3468</v>
      </c>
      <c r="N1" s="8" t="s">
        <v>3469</v>
      </c>
      <c r="O1" s="8" t="s">
        <v>3470</v>
      </c>
      <c r="P1" s="8" t="s">
        <v>3471</v>
      </c>
      <c r="Q1" s="8" t="s">
        <v>3472</v>
      </c>
      <c r="R1" s="8" t="s">
        <v>3473</v>
      </c>
    </row>
    <row r="2">
      <c r="A2" s="8" t="s">
        <v>24</v>
      </c>
      <c r="B2" s="8" t="s">
        <v>3474</v>
      </c>
      <c r="C2" s="8" t="s">
        <v>3475</v>
      </c>
      <c r="D2" s="9">
        <v>7.887425646E9</v>
      </c>
      <c r="E2" s="8" t="s">
        <v>3476</v>
      </c>
      <c r="F2" s="8" t="s">
        <v>3477</v>
      </c>
      <c r="G2" s="8" t="s">
        <v>3478</v>
      </c>
      <c r="H2" s="8" t="s">
        <v>3479</v>
      </c>
      <c r="I2" s="9">
        <v>0.0</v>
      </c>
      <c r="J2" s="9">
        <v>2863.0</v>
      </c>
      <c r="K2" s="9">
        <v>2863.0</v>
      </c>
      <c r="L2" s="9">
        <v>2863.0</v>
      </c>
      <c r="M2" s="9">
        <v>1580.0</v>
      </c>
      <c r="N2" s="9">
        <v>659.0</v>
      </c>
      <c r="O2" s="9">
        <v>624.0</v>
      </c>
      <c r="P2" s="8" t="s">
        <v>3480</v>
      </c>
      <c r="Q2" s="8" t="s">
        <v>3481</v>
      </c>
      <c r="R2" s="8" t="s">
        <v>3482</v>
      </c>
    </row>
    <row r="3">
      <c r="A3" s="8" t="s">
        <v>27</v>
      </c>
      <c r="B3" s="8" t="s">
        <v>3483</v>
      </c>
      <c r="C3" s="8" t="s">
        <v>3484</v>
      </c>
      <c r="D3" s="9">
        <v>9.049536462E9</v>
      </c>
      <c r="E3" s="8" t="s">
        <v>3485</v>
      </c>
      <c r="F3" s="8" t="s">
        <v>3486</v>
      </c>
      <c r="G3" s="8" t="s">
        <v>3487</v>
      </c>
      <c r="H3" s="8" t="s">
        <v>3479</v>
      </c>
      <c r="I3" s="9">
        <v>0.0</v>
      </c>
      <c r="J3" s="9">
        <v>1534.0</v>
      </c>
      <c r="K3" s="9">
        <v>1534.0</v>
      </c>
      <c r="L3" s="9">
        <v>1534.0</v>
      </c>
      <c r="M3" s="9">
        <v>355.0</v>
      </c>
      <c r="N3" s="9">
        <v>730.0</v>
      </c>
      <c r="O3" s="9">
        <v>449.0</v>
      </c>
      <c r="P3" s="8" t="s">
        <v>3480</v>
      </c>
      <c r="Q3" s="8" t="s">
        <v>3488</v>
      </c>
      <c r="R3" s="8" t="s">
        <v>3489</v>
      </c>
    </row>
    <row r="4">
      <c r="A4" s="8" t="s">
        <v>26</v>
      </c>
      <c r="B4" s="8" t="s">
        <v>3490</v>
      </c>
      <c r="C4" s="8" t="s">
        <v>3491</v>
      </c>
      <c r="D4" s="9">
        <v>9.762184184E9</v>
      </c>
      <c r="E4" s="8" t="s">
        <v>3492</v>
      </c>
      <c r="F4" s="8" t="s">
        <v>3493</v>
      </c>
      <c r="G4" s="8" t="s">
        <v>3494</v>
      </c>
      <c r="H4" s="8" t="s">
        <v>3479</v>
      </c>
      <c r="I4" s="9">
        <v>0.0</v>
      </c>
      <c r="J4" s="9">
        <v>1600.0</v>
      </c>
      <c r="K4" s="9">
        <v>1600.0</v>
      </c>
      <c r="L4" s="9">
        <v>1600.0</v>
      </c>
      <c r="M4" s="9">
        <v>1600.0</v>
      </c>
      <c r="N4" s="9">
        <v>0.0</v>
      </c>
      <c r="O4" s="9">
        <v>0.0</v>
      </c>
      <c r="P4" s="8" t="s">
        <v>3480</v>
      </c>
      <c r="Q4" s="8"/>
      <c r="R4" s="8"/>
    </row>
    <row r="5">
      <c r="A5" s="8" t="s">
        <v>29</v>
      </c>
      <c r="B5" s="8" t="s">
        <v>3495</v>
      </c>
      <c r="C5" s="8" t="s">
        <v>3496</v>
      </c>
      <c r="D5" s="9">
        <v>9.049536462E9</v>
      </c>
      <c r="E5" s="8" t="s">
        <v>3497</v>
      </c>
      <c r="F5" s="8" t="s">
        <v>3498</v>
      </c>
      <c r="G5" s="8" t="s">
        <v>3499</v>
      </c>
      <c r="H5" s="8" t="s">
        <v>3479</v>
      </c>
      <c r="I5" s="9">
        <v>0.0</v>
      </c>
      <c r="J5" s="9">
        <v>2887.0</v>
      </c>
      <c r="K5" s="9">
        <v>2887.0</v>
      </c>
      <c r="L5" s="9">
        <v>2887.0</v>
      </c>
      <c r="M5" s="9">
        <v>1633.0</v>
      </c>
      <c r="N5" s="9">
        <v>730.0</v>
      </c>
      <c r="O5" s="9">
        <v>524.0</v>
      </c>
      <c r="P5" s="8" t="s">
        <v>3480</v>
      </c>
      <c r="Q5" s="8" t="s">
        <v>3500</v>
      </c>
      <c r="R5" s="8" t="s">
        <v>3501</v>
      </c>
    </row>
    <row r="6">
      <c r="A6" s="8" t="s">
        <v>28</v>
      </c>
      <c r="B6" s="8" t="s">
        <v>3502</v>
      </c>
      <c r="C6" s="8" t="s">
        <v>3496</v>
      </c>
      <c r="D6" s="9">
        <v>9.049536462E9</v>
      </c>
      <c r="E6" s="8" t="s">
        <v>3503</v>
      </c>
      <c r="F6" s="8" t="s">
        <v>3498</v>
      </c>
      <c r="G6" s="8" t="s">
        <v>3504</v>
      </c>
      <c r="H6" s="8" t="s">
        <v>3479</v>
      </c>
      <c r="I6" s="9">
        <v>0.0</v>
      </c>
      <c r="J6" s="9">
        <v>1614.0</v>
      </c>
      <c r="K6" s="9">
        <v>1614.0</v>
      </c>
      <c r="L6" s="9">
        <v>1614.0</v>
      </c>
      <c r="M6" s="9">
        <v>360.0</v>
      </c>
      <c r="N6" s="9">
        <v>730.0</v>
      </c>
      <c r="O6" s="9">
        <v>524.0</v>
      </c>
      <c r="P6" s="8" t="s">
        <v>3480</v>
      </c>
      <c r="Q6" s="8" t="s">
        <v>3505</v>
      </c>
      <c r="R6" s="8"/>
    </row>
    <row r="7">
      <c r="A7" s="8" t="s">
        <v>31</v>
      </c>
      <c r="B7" s="8" t="s">
        <v>3506</v>
      </c>
      <c r="C7" s="8" t="s">
        <v>3507</v>
      </c>
      <c r="D7" s="9">
        <v>9.146437954E9</v>
      </c>
      <c r="E7" s="8" t="s">
        <v>3508</v>
      </c>
      <c r="F7" s="8" t="s">
        <v>3509</v>
      </c>
      <c r="G7" s="8" t="s">
        <v>3510</v>
      </c>
      <c r="H7" s="8" t="s">
        <v>3511</v>
      </c>
      <c r="I7" s="9">
        <v>0.0</v>
      </c>
      <c r="J7" s="9">
        <v>1300.0</v>
      </c>
      <c r="K7" s="9">
        <v>1364.0</v>
      </c>
      <c r="L7" s="9">
        <v>1300.0</v>
      </c>
      <c r="M7" s="9">
        <v>185.0</v>
      </c>
      <c r="N7" s="9">
        <v>730.0</v>
      </c>
      <c r="O7" s="9">
        <v>449.0</v>
      </c>
      <c r="P7" s="8" t="s">
        <v>3480</v>
      </c>
      <c r="Q7" s="8" t="s">
        <v>3512</v>
      </c>
      <c r="R7" s="8" t="s">
        <v>3513</v>
      </c>
    </row>
    <row r="8">
      <c r="A8" s="8" t="s">
        <v>30</v>
      </c>
      <c r="B8" s="8" t="s">
        <v>3514</v>
      </c>
      <c r="C8" s="8" t="s">
        <v>3515</v>
      </c>
      <c r="D8" s="9">
        <v>9.503093379E9</v>
      </c>
      <c r="E8" s="8" t="s">
        <v>3516</v>
      </c>
      <c r="F8" s="8" t="s">
        <v>3517</v>
      </c>
      <c r="G8" s="8" t="s">
        <v>3518</v>
      </c>
      <c r="H8" s="8" t="s">
        <v>3479</v>
      </c>
      <c r="I8" s="9">
        <v>0.0</v>
      </c>
      <c r="J8" s="9">
        <v>4831.0</v>
      </c>
      <c r="K8" s="9">
        <v>4831.0</v>
      </c>
      <c r="L8" s="9">
        <v>4831.0</v>
      </c>
      <c r="M8" s="9">
        <v>901.0</v>
      </c>
      <c r="N8" s="9">
        <v>460.0</v>
      </c>
      <c r="O8" s="9">
        <v>3470.0</v>
      </c>
      <c r="P8" s="8" t="s">
        <v>3519</v>
      </c>
      <c r="Q8" s="8"/>
      <c r="R8" s="8"/>
    </row>
    <row r="9">
      <c r="A9" s="8" t="s">
        <v>39</v>
      </c>
      <c r="B9" s="8" t="s">
        <v>3520</v>
      </c>
      <c r="C9" s="8" t="s">
        <v>3521</v>
      </c>
      <c r="D9" s="9">
        <v>9.881100507E9</v>
      </c>
      <c r="E9" s="8" t="s">
        <v>3522</v>
      </c>
      <c r="F9" s="8" t="s">
        <v>3523</v>
      </c>
      <c r="G9" s="8" t="s">
        <v>3524</v>
      </c>
      <c r="H9" s="8" t="s">
        <v>3479</v>
      </c>
      <c r="I9" s="9">
        <v>0.0</v>
      </c>
      <c r="J9" s="9">
        <v>1861.0</v>
      </c>
      <c r="K9" s="9">
        <v>1861.0</v>
      </c>
      <c r="L9" s="9">
        <v>1861.0</v>
      </c>
      <c r="M9" s="9">
        <v>618.0</v>
      </c>
      <c r="N9" s="9">
        <v>719.0</v>
      </c>
      <c r="O9" s="9">
        <v>524.0</v>
      </c>
      <c r="P9" s="8" t="s">
        <v>3480</v>
      </c>
      <c r="Q9" s="8" t="s">
        <v>3525</v>
      </c>
      <c r="R9" s="8" t="s">
        <v>3526</v>
      </c>
    </row>
    <row r="10">
      <c r="A10" s="8" t="s">
        <v>37</v>
      </c>
      <c r="B10" s="8" t="s">
        <v>3527</v>
      </c>
      <c r="C10" s="8" t="s">
        <v>3528</v>
      </c>
      <c r="D10" s="9">
        <v>7.410515046E9</v>
      </c>
      <c r="E10" s="8" t="s">
        <v>3529</v>
      </c>
      <c r="F10" s="8" t="s">
        <v>3530</v>
      </c>
      <c r="G10" s="8" t="s">
        <v>3531</v>
      </c>
      <c r="H10" s="8" t="s">
        <v>3479</v>
      </c>
      <c r="I10" s="9">
        <v>0.0</v>
      </c>
      <c r="J10" s="9">
        <v>1856.0</v>
      </c>
      <c r="K10" s="9">
        <v>1856.0</v>
      </c>
      <c r="L10" s="9">
        <v>1856.0</v>
      </c>
      <c r="M10" s="9">
        <v>1029.0</v>
      </c>
      <c r="N10" s="9">
        <v>128.0</v>
      </c>
      <c r="O10" s="9">
        <v>699.0</v>
      </c>
      <c r="P10" s="8" t="s">
        <v>3480</v>
      </c>
      <c r="Q10" s="8"/>
      <c r="R10" s="8"/>
    </row>
    <row r="11">
      <c r="A11" s="8" t="s">
        <v>38</v>
      </c>
      <c r="B11" s="8" t="s">
        <v>3532</v>
      </c>
      <c r="C11" s="8" t="s">
        <v>3533</v>
      </c>
      <c r="D11" s="9">
        <v>9.657702581E9</v>
      </c>
      <c r="E11" s="8" t="s">
        <v>3534</v>
      </c>
      <c r="F11" s="8" t="s">
        <v>3535</v>
      </c>
      <c r="G11" s="8" t="s">
        <v>3536</v>
      </c>
      <c r="H11" s="8" t="s">
        <v>3479</v>
      </c>
      <c r="I11" s="9">
        <v>0.0</v>
      </c>
      <c r="J11" s="9">
        <v>1643.0</v>
      </c>
      <c r="K11" s="9">
        <v>1643.0</v>
      </c>
      <c r="L11" s="9">
        <v>1643.0</v>
      </c>
      <c r="M11" s="9">
        <v>410.0</v>
      </c>
      <c r="N11" s="9">
        <v>784.0</v>
      </c>
      <c r="O11" s="9">
        <v>449.0</v>
      </c>
      <c r="P11" s="8" t="s">
        <v>3519</v>
      </c>
      <c r="Q11" s="8" t="s">
        <v>3537</v>
      </c>
      <c r="R11" s="8" t="s">
        <v>3538</v>
      </c>
    </row>
    <row r="12">
      <c r="A12" s="8" t="s">
        <v>41</v>
      </c>
      <c r="B12" s="8" t="s">
        <v>3539</v>
      </c>
      <c r="C12" s="8" t="s">
        <v>3540</v>
      </c>
      <c r="D12" s="9">
        <v>8.483833982E9</v>
      </c>
      <c r="E12" s="8" t="s">
        <v>3541</v>
      </c>
      <c r="F12" s="8" t="s">
        <v>3542</v>
      </c>
      <c r="G12" s="8" t="s">
        <v>3543</v>
      </c>
      <c r="H12" s="8" t="s">
        <v>3479</v>
      </c>
      <c r="I12" s="9">
        <v>0.0</v>
      </c>
      <c r="J12" s="9">
        <v>1743.0</v>
      </c>
      <c r="K12" s="9">
        <v>1743.0</v>
      </c>
      <c r="L12" s="9">
        <v>1743.0</v>
      </c>
      <c r="M12" s="9">
        <v>420.0</v>
      </c>
      <c r="N12" s="9">
        <v>719.0</v>
      </c>
      <c r="O12" s="9">
        <v>604.0</v>
      </c>
      <c r="P12" s="8" t="s">
        <v>3544</v>
      </c>
      <c r="Q12" s="8" t="s">
        <v>3545</v>
      </c>
      <c r="R12" s="8" t="s">
        <v>3546</v>
      </c>
    </row>
    <row r="13">
      <c r="A13" s="8" t="s">
        <v>42</v>
      </c>
      <c r="B13" s="8" t="s">
        <v>3547</v>
      </c>
      <c r="C13" s="8" t="s">
        <v>3548</v>
      </c>
      <c r="D13" s="9">
        <v>8.237320223E9</v>
      </c>
      <c r="E13" s="8" t="s">
        <v>3549</v>
      </c>
      <c r="F13" s="8" t="s">
        <v>3550</v>
      </c>
      <c r="G13" s="8" t="s">
        <v>3551</v>
      </c>
      <c r="H13" s="8" t="s">
        <v>3479</v>
      </c>
      <c r="I13" s="9">
        <v>0.0</v>
      </c>
      <c r="J13" s="9">
        <v>1214.0</v>
      </c>
      <c r="K13" s="9">
        <v>1214.0</v>
      </c>
      <c r="L13" s="9">
        <v>1214.0</v>
      </c>
      <c r="M13" s="9">
        <v>120.0</v>
      </c>
      <c r="N13" s="9">
        <v>645.0</v>
      </c>
      <c r="O13" s="9">
        <v>449.0</v>
      </c>
      <c r="P13" s="8" t="s">
        <v>3480</v>
      </c>
      <c r="Q13" s="8" t="s">
        <v>3552</v>
      </c>
      <c r="R13" s="8" t="s">
        <v>3553</v>
      </c>
    </row>
    <row r="14">
      <c r="A14" s="8" t="s">
        <v>43</v>
      </c>
      <c r="B14" s="8" t="s">
        <v>3554</v>
      </c>
      <c r="C14" s="8" t="s">
        <v>3555</v>
      </c>
      <c r="D14" s="9">
        <v>7.507365078E9</v>
      </c>
      <c r="E14" s="8" t="s">
        <v>3556</v>
      </c>
      <c r="F14" s="8" t="s">
        <v>3557</v>
      </c>
      <c r="G14" s="8" t="s">
        <v>3558</v>
      </c>
      <c r="H14" s="8" t="s">
        <v>3479</v>
      </c>
      <c r="I14" s="9">
        <v>0.0</v>
      </c>
      <c r="J14" s="9">
        <v>629.0</v>
      </c>
      <c r="K14" s="9">
        <v>629.0</v>
      </c>
      <c r="L14" s="9">
        <v>629.0</v>
      </c>
      <c r="M14" s="9">
        <v>80.0</v>
      </c>
      <c r="N14" s="9">
        <v>0.0</v>
      </c>
      <c r="O14" s="9">
        <v>549.0</v>
      </c>
      <c r="P14" s="8" t="s">
        <v>3480</v>
      </c>
      <c r="Q14" s="8" t="s">
        <v>3559</v>
      </c>
      <c r="R14" s="8" t="s">
        <v>3560</v>
      </c>
    </row>
    <row r="15">
      <c r="A15" s="8" t="s">
        <v>73</v>
      </c>
      <c r="B15" s="8" t="s">
        <v>3561</v>
      </c>
      <c r="C15" s="8" t="s">
        <v>3562</v>
      </c>
      <c r="D15" s="9">
        <v>7.218664927E9</v>
      </c>
      <c r="E15" s="8" t="s">
        <v>3563</v>
      </c>
      <c r="F15" s="8" t="s">
        <v>3564</v>
      </c>
      <c r="G15" s="8" t="s">
        <v>3565</v>
      </c>
      <c r="H15" s="8" t="s">
        <v>3479</v>
      </c>
      <c r="I15" s="9">
        <v>0.0</v>
      </c>
      <c r="J15" s="9">
        <v>1511.0</v>
      </c>
      <c r="K15" s="9">
        <v>1511.0</v>
      </c>
      <c r="L15" s="9">
        <v>1511.0</v>
      </c>
      <c r="M15" s="9">
        <v>572.0</v>
      </c>
      <c r="N15" s="9">
        <v>190.0</v>
      </c>
      <c r="O15" s="9">
        <v>749.0</v>
      </c>
      <c r="P15" s="8" t="s">
        <v>3480</v>
      </c>
      <c r="Q15" s="8"/>
      <c r="R15" s="8"/>
    </row>
    <row r="16">
      <c r="A16" s="8" t="s">
        <v>45</v>
      </c>
      <c r="B16" s="8" t="s">
        <v>3566</v>
      </c>
      <c r="C16" s="8" t="s">
        <v>3567</v>
      </c>
      <c r="D16" s="9">
        <v>9.657081177E9</v>
      </c>
      <c r="E16" s="8" t="s">
        <v>3568</v>
      </c>
      <c r="F16" s="8" t="s">
        <v>3569</v>
      </c>
      <c r="G16" s="8" t="s">
        <v>3570</v>
      </c>
      <c r="H16" s="8" t="s">
        <v>3479</v>
      </c>
      <c r="I16" s="9">
        <v>0.0</v>
      </c>
      <c r="J16" s="9">
        <v>2309.0</v>
      </c>
      <c r="K16" s="9">
        <v>2309.0</v>
      </c>
      <c r="L16" s="9">
        <v>2309.0</v>
      </c>
      <c r="M16" s="9">
        <v>473.0</v>
      </c>
      <c r="N16" s="9">
        <v>962.0</v>
      </c>
      <c r="O16" s="9">
        <v>874.0</v>
      </c>
      <c r="P16" s="8" t="s">
        <v>3480</v>
      </c>
      <c r="Q16" s="8" t="s">
        <v>3571</v>
      </c>
      <c r="R16" s="8" t="s">
        <v>3572</v>
      </c>
    </row>
    <row r="17">
      <c r="A17" s="8" t="s">
        <v>40</v>
      </c>
      <c r="B17" s="8" t="s">
        <v>3573</v>
      </c>
      <c r="C17" s="8" t="s">
        <v>3574</v>
      </c>
      <c r="D17" s="9">
        <v>8.982156364E9</v>
      </c>
      <c r="E17" s="8" t="s">
        <v>3575</v>
      </c>
      <c r="F17" s="8" t="s">
        <v>3576</v>
      </c>
      <c r="G17" s="8" t="s">
        <v>3577</v>
      </c>
      <c r="H17" s="8" t="s">
        <v>3479</v>
      </c>
      <c r="I17" s="9">
        <v>0.0</v>
      </c>
      <c r="J17" s="9">
        <v>840.0</v>
      </c>
      <c r="K17" s="9">
        <v>840.0</v>
      </c>
      <c r="L17" s="9">
        <v>840.0</v>
      </c>
      <c r="M17" s="9">
        <v>391.0</v>
      </c>
      <c r="N17" s="9">
        <v>0.0</v>
      </c>
      <c r="O17" s="9">
        <v>449.0</v>
      </c>
      <c r="P17" s="8" t="s">
        <v>3519</v>
      </c>
      <c r="Q17" s="8" t="s">
        <v>3578</v>
      </c>
      <c r="R17" s="8" t="s">
        <v>3579</v>
      </c>
    </row>
    <row r="18">
      <c r="A18" s="8" t="s">
        <v>47</v>
      </c>
      <c r="B18" s="8" t="s">
        <v>3580</v>
      </c>
      <c r="C18" s="8" t="s">
        <v>3581</v>
      </c>
      <c r="D18" s="9">
        <v>8.888520035E9</v>
      </c>
      <c r="E18" s="8" t="s">
        <v>3582</v>
      </c>
      <c r="F18" s="8" t="s">
        <v>3550</v>
      </c>
      <c r="G18" s="8" t="s">
        <v>3583</v>
      </c>
      <c r="H18" s="8" t="s">
        <v>3479</v>
      </c>
      <c r="I18" s="9">
        <v>0.0</v>
      </c>
      <c r="J18" s="9">
        <v>1349.0</v>
      </c>
      <c r="K18" s="9">
        <v>1349.0</v>
      </c>
      <c r="L18" s="9">
        <v>1349.0</v>
      </c>
      <c r="M18" s="9">
        <v>255.0</v>
      </c>
      <c r="N18" s="9">
        <v>645.0</v>
      </c>
      <c r="O18" s="9">
        <v>449.0</v>
      </c>
      <c r="P18" s="8" t="s">
        <v>3480</v>
      </c>
      <c r="Q18" s="8" t="s">
        <v>3584</v>
      </c>
      <c r="R18" s="8" t="s">
        <v>3585</v>
      </c>
    </row>
    <row r="19">
      <c r="A19" s="8" t="s">
        <v>48</v>
      </c>
      <c r="B19" s="8" t="s">
        <v>3586</v>
      </c>
      <c r="C19" s="8" t="s">
        <v>3587</v>
      </c>
      <c r="D19" s="9">
        <v>9.673530315E9</v>
      </c>
      <c r="E19" s="8" t="s">
        <v>3588</v>
      </c>
      <c r="F19" s="8" t="s">
        <v>3589</v>
      </c>
      <c r="G19" s="8" t="s">
        <v>3590</v>
      </c>
      <c r="H19" s="8" t="s">
        <v>3479</v>
      </c>
      <c r="I19" s="9">
        <v>0.0</v>
      </c>
      <c r="J19" s="9">
        <v>1591.0</v>
      </c>
      <c r="K19" s="9">
        <v>1591.0</v>
      </c>
      <c r="L19" s="9">
        <v>1591.0</v>
      </c>
      <c r="M19" s="9">
        <v>410.0</v>
      </c>
      <c r="N19" s="9">
        <v>657.0</v>
      </c>
      <c r="O19" s="9">
        <v>524.0</v>
      </c>
      <c r="P19" s="8" t="s">
        <v>3480</v>
      </c>
      <c r="Q19" s="8"/>
      <c r="R19" s="8"/>
    </row>
    <row r="20">
      <c r="A20" s="8" t="s">
        <v>49</v>
      </c>
      <c r="B20" s="8" t="s">
        <v>3591</v>
      </c>
      <c r="C20" s="8" t="s">
        <v>3592</v>
      </c>
      <c r="D20" s="9">
        <v>8.484088353E9</v>
      </c>
      <c r="E20" s="8" t="s">
        <v>3593</v>
      </c>
      <c r="F20" s="8" t="s">
        <v>3594</v>
      </c>
      <c r="G20" s="8" t="s">
        <v>3595</v>
      </c>
      <c r="H20" s="8" t="s">
        <v>3479</v>
      </c>
      <c r="I20" s="9">
        <v>0.0</v>
      </c>
      <c r="J20" s="9">
        <v>2045.0</v>
      </c>
      <c r="K20" s="9">
        <v>2045.0</v>
      </c>
      <c r="L20" s="9">
        <v>2045.0</v>
      </c>
      <c r="M20" s="9">
        <v>791.0</v>
      </c>
      <c r="N20" s="9">
        <v>730.0</v>
      </c>
      <c r="O20" s="9">
        <v>524.0</v>
      </c>
      <c r="P20" s="8" t="s">
        <v>3480</v>
      </c>
      <c r="Q20" s="8" t="s">
        <v>3596</v>
      </c>
      <c r="R20" s="8" t="s">
        <v>3597</v>
      </c>
    </row>
    <row r="21">
      <c r="A21" s="8" t="s">
        <v>44</v>
      </c>
      <c r="B21" s="8" t="s">
        <v>3598</v>
      </c>
      <c r="C21" s="8" t="s">
        <v>3599</v>
      </c>
      <c r="D21" s="9">
        <v>9.890675383E9</v>
      </c>
      <c r="E21" s="8" t="s">
        <v>3600</v>
      </c>
      <c r="F21" s="8" t="s">
        <v>3601</v>
      </c>
      <c r="G21" s="8" t="s">
        <v>3602</v>
      </c>
      <c r="H21" s="8" t="s">
        <v>3479</v>
      </c>
      <c r="I21" s="9">
        <v>0.0</v>
      </c>
      <c r="J21" s="9">
        <v>1200.0</v>
      </c>
      <c r="K21" s="9">
        <v>1200.0</v>
      </c>
      <c r="L21" s="9">
        <v>1200.0</v>
      </c>
      <c r="M21" s="9">
        <v>1150.0</v>
      </c>
      <c r="N21" s="9">
        <v>0.0</v>
      </c>
      <c r="O21" s="9">
        <v>50.0</v>
      </c>
      <c r="P21" s="8" t="s">
        <v>3480</v>
      </c>
      <c r="Q21" s="8" t="s">
        <v>3603</v>
      </c>
      <c r="R21" s="8" t="s">
        <v>3604</v>
      </c>
    </row>
    <row r="22">
      <c r="A22" s="8" t="s">
        <v>51</v>
      </c>
      <c r="B22" s="8" t="s">
        <v>3605</v>
      </c>
      <c r="C22" s="8" t="s">
        <v>3606</v>
      </c>
      <c r="D22" s="9">
        <v>7.588710115E9</v>
      </c>
      <c r="E22" s="8" t="s">
        <v>3607</v>
      </c>
      <c r="F22" s="8" t="s">
        <v>3608</v>
      </c>
      <c r="G22" s="8" t="s">
        <v>3609</v>
      </c>
      <c r="H22" s="8" t="s">
        <v>3479</v>
      </c>
      <c r="I22" s="9">
        <v>0.0</v>
      </c>
      <c r="J22" s="9">
        <v>1960.0</v>
      </c>
      <c r="K22" s="9">
        <v>1960.0</v>
      </c>
      <c r="L22" s="9">
        <v>1960.0</v>
      </c>
      <c r="M22" s="9">
        <v>781.0</v>
      </c>
      <c r="N22" s="9">
        <v>730.0</v>
      </c>
      <c r="O22" s="9">
        <v>449.0</v>
      </c>
      <c r="P22" s="8" t="s">
        <v>3480</v>
      </c>
      <c r="Q22" s="8" t="s">
        <v>3610</v>
      </c>
      <c r="R22" s="8" t="s">
        <v>3611</v>
      </c>
    </row>
    <row r="23">
      <c r="A23" s="8" t="s">
        <v>50</v>
      </c>
      <c r="B23" s="8" t="s">
        <v>3612</v>
      </c>
      <c r="C23" s="8" t="s">
        <v>3613</v>
      </c>
      <c r="D23" s="9">
        <v>7.840978199E9</v>
      </c>
      <c r="E23" s="8" t="s">
        <v>3614</v>
      </c>
      <c r="F23" s="8" t="s">
        <v>3615</v>
      </c>
      <c r="G23" s="8" t="s">
        <v>3616</v>
      </c>
      <c r="H23" s="8" t="s">
        <v>3479</v>
      </c>
      <c r="I23" s="9">
        <v>0.0</v>
      </c>
      <c r="J23" s="9">
        <v>1589.0</v>
      </c>
      <c r="K23" s="9">
        <v>1589.0</v>
      </c>
      <c r="L23" s="9">
        <v>1589.0</v>
      </c>
      <c r="M23" s="9">
        <v>356.0</v>
      </c>
      <c r="N23" s="9">
        <v>784.0</v>
      </c>
      <c r="O23" s="9">
        <v>449.0</v>
      </c>
      <c r="P23" s="8" t="s">
        <v>3480</v>
      </c>
      <c r="Q23" s="8" t="s">
        <v>3617</v>
      </c>
      <c r="R23" s="8" t="s">
        <v>3618</v>
      </c>
    </row>
    <row r="24">
      <c r="A24" s="8" t="s">
        <v>46</v>
      </c>
      <c r="B24" s="8" t="s">
        <v>3619</v>
      </c>
      <c r="C24" s="8" t="s">
        <v>3620</v>
      </c>
      <c r="D24" s="9">
        <v>9.767809683E9</v>
      </c>
      <c r="E24" s="8" t="s">
        <v>3621</v>
      </c>
      <c r="F24" s="8" t="s">
        <v>3594</v>
      </c>
      <c r="G24" s="8" t="s">
        <v>3622</v>
      </c>
      <c r="H24" s="8" t="s">
        <v>3479</v>
      </c>
      <c r="I24" s="9">
        <v>0.0</v>
      </c>
      <c r="J24" s="9">
        <v>1564.0</v>
      </c>
      <c r="K24" s="9">
        <v>1564.0</v>
      </c>
      <c r="L24" s="9">
        <v>1564.0</v>
      </c>
      <c r="M24" s="9">
        <v>310.0</v>
      </c>
      <c r="N24" s="9">
        <v>730.0</v>
      </c>
      <c r="O24" s="9">
        <v>524.0</v>
      </c>
      <c r="P24" s="8" t="s">
        <v>3480</v>
      </c>
      <c r="Q24" s="8" t="s">
        <v>3623</v>
      </c>
      <c r="R24" s="8" t="s">
        <v>3624</v>
      </c>
    </row>
    <row r="25">
      <c r="A25" s="8" t="s">
        <v>54</v>
      </c>
      <c r="B25" s="8" t="s">
        <v>3625</v>
      </c>
      <c r="C25" s="8" t="s">
        <v>3626</v>
      </c>
      <c r="D25" s="9">
        <v>8.237668546E9</v>
      </c>
      <c r="E25" s="8" t="s">
        <v>3627</v>
      </c>
      <c r="F25" s="8" t="s">
        <v>3628</v>
      </c>
      <c r="G25" s="8" t="s">
        <v>3629</v>
      </c>
      <c r="H25" s="8" t="s">
        <v>3479</v>
      </c>
      <c r="I25" s="9">
        <v>0.0</v>
      </c>
      <c r="J25" s="9">
        <v>1926.0</v>
      </c>
      <c r="K25" s="9">
        <v>1926.0</v>
      </c>
      <c r="L25" s="9">
        <v>1926.0</v>
      </c>
      <c r="M25" s="9">
        <v>1301.0</v>
      </c>
      <c r="N25" s="9">
        <v>0.0</v>
      </c>
      <c r="O25" s="9">
        <v>625.0</v>
      </c>
      <c r="P25" s="8" t="s">
        <v>3480</v>
      </c>
      <c r="Q25" s="8"/>
      <c r="R25" s="8" t="s">
        <v>3630</v>
      </c>
    </row>
    <row r="26">
      <c r="A26" s="8" t="s">
        <v>52</v>
      </c>
      <c r="B26" s="8" t="s">
        <v>3631</v>
      </c>
      <c r="C26" s="8" t="s">
        <v>3632</v>
      </c>
      <c r="D26" s="9">
        <v>8.14947151E9</v>
      </c>
      <c r="E26" s="8" t="s">
        <v>3633</v>
      </c>
      <c r="F26" s="8" t="s">
        <v>3634</v>
      </c>
      <c r="G26" s="8" t="s">
        <v>3635</v>
      </c>
      <c r="H26" s="8" t="s">
        <v>3479</v>
      </c>
      <c r="I26" s="9">
        <v>0.0</v>
      </c>
      <c r="J26" s="9">
        <v>1671.0</v>
      </c>
      <c r="K26" s="9">
        <v>1671.0</v>
      </c>
      <c r="L26" s="9">
        <v>1671.0</v>
      </c>
      <c r="M26" s="9">
        <v>288.0</v>
      </c>
      <c r="N26" s="9">
        <v>784.0</v>
      </c>
      <c r="O26" s="9">
        <v>599.0</v>
      </c>
      <c r="P26" s="8" t="s">
        <v>3480</v>
      </c>
      <c r="Q26" s="8" t="s">
        <v>3636</v>
      </c>
      <c r="R26" s="8" t="s">
        <v>3637</v>
      </c>
    </row>
    <row r="27">
      <c r="A27" s="8" t="s">
        <v>56</v>
      </c>
      <c r="B27" s="8" t="s">
        <v>3638</v>
      </c>
      <c r="C27" s="8" t="s">
        <v>3639</v>
      </c>
      <c r="D27" s="9">
        <v>9.579717727E9</v>
      </c>
      <c r="E27" s="8" t="s">
        <v>3640</v>
      </c>
      <c r="F27" s="8" t="s">
        <v>3589</v>
      </c>
      <c r="G27" s="8" t="s">
        <v>3641</v>
      </c>
      <c r="H27" s="8" t="s">
        <v>3479</v>
      </c>
      <c r="I27" s="9">
        <v>0.0</v>
      </c>
      <c r="J27" s="9">
        <v>1454.0</v>
      </c>
      <c r="K27" s="9">
        <v>1454.0</v>
      </c>
      <c r="L27" s="9">
        <v>1454.0</v>
      </c>
      <c r="M27" s="9">
        <v>200.0</v>
      </c>
      <c r="N27" s="9">
        <v>730.0</v>
      </c>
      <c r="O27" s="9">
        <v>524.0</v>
      </c>
      <c r="P27" s="8" t="s">
        <v>3519</v>
      </c>
      <c r="Q27" s="8" t="s">
        <v>3642</v>
      </c>
      <c r="R27" s="8" t="s">
        <v>3643</v>
      </c>
    </row>
    <row r="28">
      <c r="A28" s="8" t="s">
        <v>55</v>
      </c>
      <c r="B28" s="8" t="s">
        <v>3644</v>
      </c>
      <c r="C28" s="8" t="s">
        <v>3645</v>
      </c>
      <c r="D28" s="9">
        <v>9.607926002E9</v>
      </c>
      <c r="E28" s="8" t="s">
        <v>3646</v>
      </c>
      <c r="F28" s="8" t="s">
        <v>3509</v>
      </c>
      <c r="G28" s="8" t="s">
        <v>3647</v>
      </c>
      <c r="H28" s="8" t="s">
        <v>3479</v>
      </c>
      <c r="I28" s="9">
        <v>0.0</v>
      </c>
      <c r="J28" s="9">
        <v>1609.0</v>
      </c>
      <c r="K28" s="9">
        <v>1609.0</v>
      </c>
      <c r="L28" s="9">
        <v>1609.0</v>
      </c>
      <c r="M28" s="9">
        <v>430.0</v>
      </c>
      <c r="N28" s="9">
        <v>730.0</v>
      </c>
      <c r="O28" s="9">
        <v>449.0</v>
      </c>
      <c r="P28" s="8" t="s">
        <v>3480</v>
      </c>
      <c r="Q28" s="8" t="s">
        <v>3648</v>
      </c>
      <c r="R28" s="8" t="s">
        <v>3649</v>
      </c>
    </row>
    <row r="29">
      <c r="A29" s="8" t="s">
        <v>53</v>
      </c>
      <c r="B29" s="8" t="s">
        <v>3650</v>
      </c>
      <c r="C29" s="8" t="s">
        <v>3651</v>
      </c>
      <c r="D29" s="9">
        <v>9.172523743E9</v>
      </c>
      <c r="E29" s="8" t="s">
        <v>3652</v>
      </c>
      <c r="F29" s="8" t="s">
        <v>3653</v>
      </c>
      <c r="G29" s="8" t="s">
        <v>3654</v>
      </c>
      <c r="H29" s="8" t="s">
        <v>3479</v>
      </c>
      <c r="I29" s="9">
        <v>0.0</v>
      </c>
      <c r="J29" s="9">
        <v>2303.0</v>
      </c>
      <c r="K29" s="9">
        <v>2303.0</v>
      </c>
      <c r="L29" s="9">
        <v>2303.0</v>
      </c>
      <c r="M29" s="9">
        <v>2028.0</v>
      </c>
      <c r="N29" s="9">
        <v>0.0</v>
      </c>
      <c r="O29" s="9">
        <v>275.0</v>
      </c>
      <c r="P29" s="8" t="s">
        <v>3480</v>
      </c>
      <c r="Q29" s="8"/>
      <c r="R29" s="8"/>
    </row>
    <row r="30">
      <c r="A30" s="8" t="s">
        <v>57</v>
      </c>
      <c r="B30" s="8" t="s">
        <v>3655</v>
      </c>
      <c r="C30" s="8" t="s">
        <v>3656</v>
      </c>
      <c r="D30" s="9">
        <v>7.620002519E9</v>
      </c>
      <c r="E30" s="8" t="s">
        <v>3657</v>
      </c>
      <c r="F30" s="8" t="s">
        <v>3658</v>
      </c>
      <c r="G30" s="8" t="s">
        <v>3659</v>
      </c>
      <c r="H30" s="8" t="s">
        <v>3479</v>
      </c>
      <c r="I30" s="9">
        <v>0.0</v>
      </c>
      <c r="J30" s="9">
        <v>1399.0</v>
      </c>
      <c r="K30" s="9">
        <v>1399.0</v>
      </c>
      <c r="L30" s="9">
        <v>1399.0</v>
      </c>
      <c r="M30" s="9">
        <v>166.0</v>
      </c>
      <c r="N30" s="9">
        <v>784.0</v>
      </c>
      <c r="O30" s="9">
        <v>449.0</v>
      </c>
      <c r="P30" s="8" t="s">
        <v>3480</v>
      </c>
      <c r="Q30" s="8" t="s">
        <v>3660</v>
      </c>
      <c r="R30" s="8" t="s">
        <v>3661</v>
      </c>
    </row>
    <row r="31">
      <c r="A31" s="8" t="s">
        <v>75</v>
      </c>
      <c r="B31" s="8" t="s">
        <v>3662</v>
      </c>
      <c r="C31" s="8" t="s">
        <v>3663</v>
      </c>
      <c r="D31" s="9">
        <v>8.275204492E9</v>
      </c>
      <c r="E31" s="8" t="s">
        <v>3664</v>
      </c>
      <c r="F31" s="8" t="s">
        <v>3665</v>
      </c>
      <c r="G31" s="8" t="s">
        <v>3666</v>
      </c>
      <c r="H31" s="8" t="s">
        <v>3479</v>
      </c>
      <c r="I31" s="9">
        <v>0.0</v>
      </c>
      <c r="J31" s="9">
        <v>4552.0</v>
      </c>
      <c r="K31" s="9">
        <v>4552.0</v>
      </c>
      <c r="L31" s="9">
        <v>4552.0</v>
      </c>
      <c r="M31" s="9">
        <v>3188.0</v>
      </c>
      <c r="N31" s="9">
        <v>190.0</v>
      </c>
      <c r="O31" s="9">
        <v>1174.0</v>
      </c>
      <c r="P31" s="8" t="s">
        <v>3480</v>
      </c>
      <c r="Q31" s="8"/>
      <c r="R31" s="8"/>
    </row>
    <row r="32">
      <c r="A32" s="8" t="s">
        <v>58</v>
      </c>
      <c r="B32" s="8" t="s">
        <v>3667</v>
      </c>
      <c r="C32" s="8" t="s">
        <v>3668</v>
      </c>
      <c r="D32" s="9">
        <v>9.175645184E9</v>
      </c>
      <c r="E32" s="8" t="s">
        <v>3669</v>
      </c>
      <c r="F32" s="8" t="s">
        <v>3670</v>
      </c>
      <c r="G32" s="8" t="s">
        <v>3671</v>
      </c>
      <c r="H32" s="8" t="s">
        <v>3479</v>
      </c>
      <c r="I32" s="9">
        <v>0.0</v>
      </c>
      <c r="J32" s="9">
        <v>1374.0</v>
      </c>
      <c r="K32" s="9">
        <v>1374.0</v>
      </c>
      <c r="L32" s="9">
        <v>1374.0</v>
      </c>
      <c r="M32" s="9">
        <v>435.0</v>
      </c>
      <c r="N32" s="9">
        <v>190.0</v>
      </c>
      <c r="O32" s="9">
        <v>749.0</v>
      </c>
      <c r="P32" s="8" t="s">
        <v>3480</v>
      </c>
      <c r="Q32" s="8" t="s">
        <v>3672</v>
      </c>
      <c r="R32" s="8" t="s">
        <v>3673</v>
      </c>
    </row>
    <row r="33">
      <c r="A33" s="8" t="s">
        <v>76</v>
      </c>
      <c r="B33" s="8" t="s">
        <v>3674</v>
      </c>
      <c r="C33" s="8" t="s">
        <v>3675</v>
      </c>
      <c r="D33" s="9">
        <v>8.261925966E9</v>
      </c>
      <c r="E33" s="8" t="s">
        <v>3676</v>
      </c>
      <c r="F33" s="8" t="s">
        <v>3677</v>
      </c>
      <c r="G33" s="8" t="s">
        <v>3494</v>
      </c>
      <c r="H33" s="8" t="s">
        <v>3479</v>
      </c>
      <c r="I33" s="9">
        <v>0.0</v>
      </c>
      <c r="J33" s="9">
        <v>7261.0</v>
      </c>
      <c r="K33" s="9">
        <v>7261.0</v>
      </c>
      <c r="L33" s="9">
        <v>7261.0</v>
      </c>
      <c r="M33" s="9">
        <v>4897.0</v>
      </c>
      <c r="N33" s="9">
        <v>900.0</v>
      </c>
      <c r="O33" s="9">
        <v>1464.0</v>
      </c>
      <c r="P33" s="8" t="s">
        <v>3480</v>
      </c>
      <c r="Q33" s="8"/>
      <c r="R33" s="8"/>
    </row>
    <row r="34">
      <c r="A34" s="8" t="s">
        <v>82</v>
      </c>
      <c r="B34" s="8" t="s">
        <v>3678</v>
      </c>
      <c r="C34" s="8" t="s">
        <v>3679</v>
      </c>
      <c r="D34" s="9">
        <v>9.92376388E9</v>
      </c>
      <c r="E34" s="8" t="s">
        <v>3680</v>
      </c>
      <c r="F34" s="8" t="s">
        <v>3681</v>
      </c>
      <c r="G34" s="8" t="s">
        <v>3682</v>
      </c>
      <c r="H34" s="8" t="s">
        <v>3479</v>
      </c>
      <c r="I34" s="9">
        <v>0.0</v>
      </c>
      <c r="J34" s="9">
        <v>3033.0</v>
      </c>
      <c r="K34" s="9">
        <v>3033.0</v>
      </c>
      <c r="L34" s="9">
        <v>3033.0</v>
      </c>
      <c r="M34" s="9">
        <v>1675.0</v>
      </c>
      <c r="N34" s="9">
        <v>784.0</v>
      </c>
      <c r="O34" s="9">
        <v>574.0</v>
      </c>
      <c r="P34" s="8" t="s">
        <v>3480</v>
      </c>
      <c r="Q34" s="8"/>
      <c r="R34" s="8"/>
    </row>
    <row r="35">
      <c r="A35" s="8" t="s">
        <v>59</v>
      </c>
      <c r="B35" s="8" t="s">
        <v>3683</v>
      </c>
      <c r="C35" s="8" t="s">
        <v>3684</v>
      </c>
      <c r="D35" s="9">
        <v>8.668610879E9</v>
      </c>
      <c r="E35" s="8" t="s">
        <v>3685</v>
      </c>
      <c r="F35" s="8" t="s">
        <v>3589</v>
      </c>
      <c r="G35" s="8" t="s">
        <v>3686</v>
      </c>
      <c r="H35" s="8" t="s">
        <v>3479</v>
      </c>
      <c r="I35" s="9">
        <v>0.0</v>
      </c>
      <c r="J35" s="9">
        <v>695.0</v>
      </c>
      <c r="K35" s="9">
        <v>695.0</v>
      </c>
      <c r="L35" s="9">
        <v>695.0</v>
      </c>
      <c r="M35" s="9">
        <v>650.0</v>
      </c>
      <c r="N35" s="9">
        <v>0.0</v>
      </c>
      <c r="O35" s="9">
        <v>45.0</v>
      </c>
      <c r="P35" s="8" t="s">
        <v>3480</v>
      </c>
      <c r="Q35" s="8" t="s">
        <v>3687</v>
      </c>
      <c r="R35" s="8" t="s">
        <v>3688</v>
      </c>
    </row>
    <row r="36">
      <c r="A36" s="8" t="s">
        <v>79</v>
      </c>
      <c r="B36" s="8" t="s">
        <v>3689</v>
      </c>
      <c r="C36" s="8" t="s">
        <v>3690</v>
      </c>
      <c r="D36" s="9">
        <v>7.030469122E9</v>
      </c>
      <c r="E36" s="8" t="s">
        <v>3691</v>
      </c>
      <c r="F36" s="8" t="s">
        <v>3692</v>
      </c>
      <c r="G36" s="8" t="s">
        <v>3693</v>
      </c>
      <c r="H36" s="8" t="s">
        <v>3479</v>
      </c>
      <c r="I36" s="9">
        <v>0.0</v>
      </c>
      <c r="J36" s="9">
        <v>1708.0</v>
      </c>
      <c r="K36" s="9">
        <v>1708.0</v>
      </c>
      <c r="L36" s="9">
        <v>1708.0</v>
      </c>
      <c r="M36" s="9">
        <v>325.0</v>
      </c>
      <c r="N36" s="9">
        <v>784.0</v>
      </c>
      <c r="O36" s="9">
        <v>599.0</v>
      </c>
      <c r="P36" s="8" t="s">
        <v>3480</v>
      </c>
      <c r="Q36" s="8"/>
      <c r="R36" s="8"/>
    </row>
    <row r="37">
      <c r="A37" s="8" t="s">
        <v>74</v>
      </c>
      <c r="B37" s="8" t="s">
        <v>3694</v>
      </c>
      <c r="C37" s="8" t="s">
        <v>3695</v>
      </c>
      <c r="D37" s="9">
        <v>9.923220239E9</v>
      </c>
      <c r="E37" s="8" t="s">
        <v>3696</v>
      </c>
      <c r="F37" s="8" t="s">
        <v>3697</v>
      </c>
      <c r="G37" s="8" t="s">
        <v>3698</v>
      </c>
      <c r="H37" s="8" t="s">
        <v>3479</v>
      </c>
      <c r="I37" s="9">
        <v>0.0</v>
      </c>
      <c r="J37" s="9">
        <v>2166.0</v>
      </c>
      <c r="K37" s="9">
        <v>2166.0</v>
      </c>
      <c r="L37" s="9">
        <v>2166.0</v>
      </c>
      <c r="M37" s="9">
        <v>2166.0</v>
      </c>
      <c r="N37" s="9">
        <v>0.0</v>
      </c>
      <c r="O37" s="9">
        <v>0.0</v>
      </c>
      <c r="P37" s="8" t="s">
        <v>3480</v>
      </c>
      <c r="Q37" s="8" t="s">
        <v>3699</v>
      </c>
      <c r="R37" s="8"/>
    </row>
    <row r="38">
      <c r="A38" s="8" t="s">
        <v>77</v>
      </c>
      <c r="B38" s="8" t="s">
        <v>3700</v>
      </c>
      <c r="C38" s="8" t="s">
        <v>3701</v>
      </c>
      <c r="D38" s="9">
        <v>9.762574209E9</v>
      </c>
      <c r="E38" s="8" t="s">
        <v>3702</v>
      </c>
      <c r="F38" s="8" t="s">
        <v>3550</v>
      </c>
      <c r="G38" s="8" t="s">
        <v>3703</v>
      </c>
      <c r="H38" s="8" t="s">
        <v>3479</v>
      </c>
      <c r="I38" s="9">
        <v>0.0</v>
      </c>
      <c r="J38" s="9">
        <v>1174.0</v>
      </c>
      <c r="K38" s="9">
        <v>1174.0</v>
      </c>
      <c r="L38" s="9">
        <v>1174.0</v>
      </c>
      <c r="M38" s="9">
        <v>80.0</v>
      </c>
      <c r="N38" s="9">
        <v>645.0</v>
      </c>
      <c r="O38" s="9">
        <v>449.0</v>
      </c>
      <c r="P38" s="8" t="s">
        <v>3480</v>
      </c>
      <c r="Q38" s="8"/>
      <c r="R38" s="8"/>
    </row>
    <row r="39">
      <c r="A39" s="8" t="s">
        <v>60</v>
      </c>
      <c r="B39" s="8" t="s">
        <v>3704</v>
      </c>
      <c r="C39" s="8" t="s">
        <v>3705</v>
      </c>
      <c r="D39" s="9">
        <v>9.168712211E9</v>
      </c>
      <c r="E39" s="8" t="s">
        <v>3706</v>
      </c>
      <c r="F39" s="8" t="s">
        <v>3707</v>
      </c>
      <c r="G39" s="8" t="s">
        <v>3708</v>
      </c>
      <c r="H39" s="8" t="s">
        <v>3479</v>
      </c>
      <c r="I39" s="9">
        <v>0.0</v>
      </c>
      <c r="J39" s="9">
        <v>2198.0</v>
      </c>
      <c r="K39" s="9">
        <v>2198.0</v>
      </c>
      <c r="L39" s="9">
        <v>2198.0</v>
      </c>
      <c r="M39" s="9">
        <v>701.0</v>
      </c>
      <c r="N39" s="9">
        <v>898.0</v>
      </c>
      <c r="O39" s="9">
        <v>599.0</v>
      </c>
      <c r="P39" s="8" t="s">
        <v>3480</v>
      </c>
      <c r="Q39" s="8" t="s">
        <v>3709</v>
      </c>
      <c r="R39" s="8" t="s">
        <v>3710</v>
      </c>
    </row>
    <row r="40">
      <c r="A40" s="8" t="s">
        <v>78</v>
      </c>
      <c r="B40" s="8" t="s">
        <v>3711</v>
      </c>
      <c r="C40" s="8" t="s">
        <v>3712</v>
      </c>
      <c r="D40" s="9">
        <v>8.237669414E9</v>
      </c>
      <c r="E40" s="8" t="s">
        <v>3713</v>
      </c>
      <c r="F40" s="8" t="s">
        <v>3714</v>
      </c>
      <c r="G40" s="8" t="s">
        <v>3715</v>
      </c>
      <c r="H40" s="8" t="s">
        <v>3479</v>
      </c>
      <c r="I40" s="9">
        <v>0.0</v>
      </c>
      <c r="J40" s="9">
        <v>3233.0</v>
      </c>
      <c r="K40" s="9">
        <v>3233.0</v>
      </c>
      <c r="L40" s="9">
        <v>3233.0</v>
      </c>
      <c r="M40" s="9">
        <v>1525.0</v>
      </c>
      <c r="N40" s="9">
        <v>784.0</v>
      </c>
      <c r="O40" s="9">
        <v>924.0</v>
      </c>
      <c r="P40" s="8" t="s">
        <v>3480</v>
      </c>
      <c r="Q40" s="8" t="s">
        <v>3716</v>
      </c>
      <c r="R40" s="8" t="s">
        <v>3717</v>
      </c>
    </row>
    <row r="41">
      <c r="A41" s="8" t="s">
        <v>62</v>
      </c>
      <c r="B41" s="8" t="s">
        <v>3718</v>
      </c>
      <c r="C41" s="8" t="s">
        <v>3719</v>
      </c>
      <c r="D41" s="9">
        <v>8.010075578E9</v>
      </c>
      <c r="E41" s="8" t="s">
        <v>3720</v>
      </c>
      <c r="F41" s="8" t="s">
        <v>3721</v>
      </c>
      <c r="G41" s="8" t="s">
        <v>3722</v>
      </c>
      <c r="H41" s="8" t="s">
        <v>3479</v>
      </c>
      <c r="I41" s="9">
        <v>0.0</v>
      </c>
      <c r="J41" s="9">
        <v>1587.0</v>
      </c>
      <c r="K41" s="9">
        <v>1587.0</v>
      </c>
      <c r="L41" s="9">
        <v>1587.0</v>
      </c>
      <c r="M41" s="9">
        <v>333.0</v>
      </c>
      <c r="N41" s="9">
        <v>730.0</v>
      </c>
      <c r="O41" s="9">
        <v>524.0</v>
      </c>
      <c r="P41" s="8" t="s">
        <v>3480</v>
      </c>
      <c r="Q41" s="8" t="s">
        <v>3723</v>
      </c>
      <c r="R41" s="8" t="s">
        <v>3724</v>
      </c>
    </row>
    <row r="42">
      <c r="A42" s="8" t="s">
        <v>63</v>
      </c>
      <c r="B42" s="8" t="s">
        <v>3725</v>
      </c>
      <c r="C42" s="8" t="s">
        <v>3726</v>
      </c>
      <c r="D42" s="9">
        <v>7.841889046E9</v>
      </c>
      <c r="E42" s="8" t="s">
        <v>3727</v>
      </c>
      <c r="F42" s="8" t="s">
        <v>3728</v>
      </c>
      <c r="G42" s="8" t="s">
        <v>3729</v>
      </c>
      <c r="H42" s="8" t="s">
        <v>3479</v>
      </c>
      <c r="I42" s="9">
        <v>0.0</v>
      </c>
      <c r="J42" s="9">
        <v>2063.0</v>
      </c>
      <c r="K42" s="9">
        <v>2063.0</v>
      </c>
      <c r="L42" s="9">
        <v>2063.0</v>
      </c>
      <c r="M42" s="9">
        <v>830.0</v>
      </c>
      <c r="N42" s="9">
        <v>784.0</v>
      </c>
      <c r="O42" s="9">
        <v>449.0</v>
      </c>
      <c r="P42" s="8" t="s">
        <v>3480</v>
      </c>
      <c r="Q42" s="8" t="s">
        <v>3730</v>
      </c>
      <c r="R42" s="8" t="s">
        <v>3731</v>
      </c>
    </row>
    <row r="43">
      <c r="A43" s="8" t="s">
        <v>80</v>
      </c>
      <c r="B43" s="8" t="s">
        <v>3732</v>
      </c>
      <c r="C43" s="8" t="s">
        <v>3733</v>
      </c>
      <c r="D43" s="9">
        <v>9.881240162E9</v>
      </c>
      <c r="E43" s="8" t="s">
        <v>3734</v>
      </c>
      <c r="F43" s="8" t="s">
        <v>3608</v>
      </c>
      <c r="G43" s="8" t="s">
        <v>3735</v>
      </c>
      <c r="H43" s="8" t="s">
        <v>3479</v>
      </c>
      <c r="I43" s="9">
        <v>0.0</v>
      </c>
      <c r="J43" s="9">
        <v>1259.0</v>
      </c>
      <c r="K43" s="9">
        <v>1259.0</v>
      </c>
      <c r="L43" s="9">
        <v>1259.0</v>
      </c>
      <c r="M43" s="9">
        <v>80.0</v>
      </c>
      <c r="N43" s="9">
        <v>730.0</v>
      </c>
      <c r="O43" s="9">
        <v>449.0</v>
      </c>
      <c r="P43" s="8" t="s">
        <v>3480</v>
      </c>
      <c r="Q43" s="8" t="s">
        <v>3736</v>
      </c>
      <c r="R43" s="8" t="s">
        <v>3737</v>
      </c>
    </row>
    <row r="44">
      <c r="A44" s="8" t="s">
        <v>65</v>
      </c>
      <c r="B44" s="8" t="s">
        <v>3738</v>
      </c>
      <c r="C44" s="8" t="s">
        <v>3739</v>
      </c>
      <c r="D44" s="9">
        <v>8.928284484E9</v>
      </c>
      <c r="E44" s="8" t="s">
        <v>3740</v>
      </c>
      <c r="F44" s="8" t="s">
        <v>3601</v>
      </c>
      <c r="G44" s="8" t="s">
        <v>3741</v>
      </c>
      <c r="H44" s="8" t="s">
        <v>3479</v>
      </c>
      <c r="I44" s="9">
        <v>0.0</v>
      </c>
      <c r="J44" s="9">
        <v>2574.0</v>
      </c>
      <c r="K44" s="9">
        <v>2574.0</v>
      </c>
      <c r="L44" s="9">
        <v>2574.0</v>
      </c>
      <c r="M44" s="9">
        <v>2574.0</v>
      </c>
      <c r="N44" s="9">
        <v>0.0</v>
      </c>
      <c r="O44" s="9">
        <v>0.0</v>
      </c>
      <c r="P44" s="8" t="s">
        <v>3519</v>
      </c>
      <c r="Q44" s="8" t="s">
        <v>3742</v>
      </c>
      <c r="R44" s="8" t="s">
        <v>3743</v>
      </c>
    </row>
    <row r="45">
      <c r="A45" s="8" t="s">
        <v>61</v>
      </c>
      <c r="B45" s="8" t="s">
        <v>3744</v>
      </c>
      <c r="C45" s="8" t="s">
        <v>3745</v>
      </c>
      <c r="D45" s="9">
        <v>9.833086094E9</v>
      </c>
      <c r="E45" s="8" t="s">
        <v>3746</v>
      </c>
      <c r="F45" s="8" t="s">
        <v>3523</v>
      </c>
      <c r="G45" s="8" t="s">
        <v>3747</v>
      </c>
      <c r="H45" s="8" t="s">
        <v>3479</v>
      </c>
      <c r="I45" s="9">
        <v>0.0</v>
      </c>
      <c r="J45" s="9">
        <v>1924.0</v>
      </c>
      <c r="K45" s="9">
        <v>1924.0</v>
      </c>
      <c r="L45" s="9">
        <v>1924.0</v>
      </c>
      <c r="M45" s="9">
        <v>670.0</v>
      </c>
      <c r="N45" s="9">
        <v>730.0</v>
      </c>
      <c r="O45" s="9">
        <v>524.0</v>
      </c>
      <c r="P45" s="8" t="s">
        <v>3480</v>
      </c>
      <c r="Q45" s="8" t="s">
        <v>3748</v>
      </c>
      <c r="R45" s="8" t="s">
        <v>3749</v>
      </c>
    </row>
    <row r="46">
      <c r="A46" s="8" t="s">
        <v>66</v>
      </c>
      <c r="B46" s="8" t="s">
        <v>3750</v>
      </c>
      <c r="C46" s="8" t="s">
        <v>3751</v>
      </c>
      <c r="D46" s="9">
        <v>9.822398525E9</v>
      </c>
      <c r="E46" s="8" t="s">
        <v>3752</v>
      </c>
      <c r="F46" s="8" t="s">
        <v>3753</v>
      </c>
      <c r="G46" s="8" t="s">
        <v>3494</v>
      </c>
      <c r="H46" s="8" t="s">
        <v>3479</v>
      </c>
      <c r="I46" s="9">
        <v>0.0</v>
      </c>
      <c r="J46" s="9">
        <v>5990.0</v>
      </c>
      <c r="K46" s="9">
        <v>5990.0</v>
      </c>
      <c r="L46" s="9">
        <v>5990.0</v>
      </c>
      <c r="M46" s="9">
        <v>5075.0</v>
      </c>
      <c r="N46" s="9">
        <v>540.0</v>
      </c>
      <c r="O46" s="9">
        <v>375.0</v>
      </c>
      <c r="P46" s="8" t="s">
        <v>3519</v>
      </c>
      <c r="Q46" s="8"/>
      <c r="R46" s="8"/>
    </row>
    <row r="47">
      <c r="A47" s="8" t="s">
        <v>67</v>
      </c>
      <c r="B47" s="8" t="s">
        <v>3754</v>
      </c>
      <c r="C47" s="8" t="s">
        <v>3755</v>
      </c>
      <c r="D47" s="9">
        <v>9.552810707E9</v>
      </c>
      <c r="E47" s="8" t="s">
        <v>3756</v>
      </c>
      <c r="F47" s="8" t="s">
        <v>3757</v>
      </c>
      <c r="G47" s="8" t="s">
        <v>3758</v>
      </c>
      <c r="H47" s="8" t="s">
        <v>3479</v>
      </c>
      <c r="I47" s="9">
        <v>0.0</v>
      </c>
      <c r="J47" s="9">
        <v>8815.0</v>
      </c>
      <c r="K47" s="9">
        <v>8815.0</v>
      </c>
      <c r="L47" s="9">
        <v>8815.0</v>
      </c>
      <c r="M47" s="9">
        <v>5764.0</v>
      </c>
      <c r="N47" s="9">
        <v>1552.0</v>
      </c>
      <c r="O47" s="9">
        <v>1499.0</v>
      </c>
      <c r="P47" s="8" t="s">
        <v>3480</v>
      </c>
      <c r="Q47" s="8" t="s">
        <v>3759</v>
      </c>
      <c r="R47" s="8" t="s">
        <v>3760</v>
      </c>
    </row>
    <row r="48">
      <c r="A48" s="8" t="s">
        <v>68</v>
      </c>
      <c r="B48" s="8" t="s">
        <v>3761</v>
      </c>
      <c r="C48" s="8" t="s">
        <v>3762</v>
      </c>
      <c r="D48" s="9">
        <v>8.788252113E9</v>
      </c>
      <c r="E48" s="8" t="s">
        <v>3763</v>
      </c>
      <c r="F48" s="8" t="s">
        <v>3608</v>
      </c>
      <c r="G48" s="8" t="s">
        <v>3764</v>
      </c>
      <c r="H48" s="8" t="s">
        <v>3479</v>
      </c>
      <c r="I48" s="9">
        <v>0.0</v>
      </c>
      <c r="J48" s="9">
        <v>1227.0</v>
      </c>
      <c r="K48" s="9">
        <v>1227.0</v>
      </c>
      <c r="L48" s="9">
        <v>1227.0</v>
      </c>
      <c r="M48" s="9">
        <v>952.0</v>
      </c>
      <c r="N48" s="9">
        <v>0.0</v>
      </c>
      <c r="O48" s="9">
        <v>275.0</v>
      </c>
      <c r="P48" s="8" t="s">
        <v>3480</v>
      </c>
      <c r="Q48" s="8"/>
      <c r="R48" s="8"/>
    </row>
    <row r="49">
      <c r="A49" s="8" t="s">
        <v>64</v>
      </c>
      <c r="B49" s="8" t="s">
        <v>3765</v>
      </c>
      <c r="C49" s="8" t="s">
        <v>3766</v>
      </c>
      <c r="D49" s="9">
        <v>9.890825583E9</v>
      </c>
      <c r="E49" s="8" t="s">
        <v>3767</v>
      </c>
      <c r="F49" s="8" t="s">
        <v>3768</v>
      </c>
      <c r="G49" s="8" t="s">
        <v>3769</v>
      </c>
      <c r="H49" s="8" t="s">
        <v>3479</v>
      </c>
      <c r="I49" s="9">
        <v>0.0</v>
      </c>
      <c r="J49" s="9">
        <v>2107.0</v>
      </c>
      <c r="K49" s="9">
        <v>2107.0</v>
      </c>
      <c r="L49" s="9">
        <v>2107.0</v>
      </c>
      <c r="M49" s="9">
        <v>518.0</v>
      </c>
      <c r="N49" s="9">
        <v>1140.0</v>
      </c>
      <c r="O49" s="9">
        <v>449.0</v>
      </c>
      <c r="P49" s="8" t="s">
        <v>3480</v>
      </c>
      <c r="Q49" s="8" t="s">
        <v>3770</v>
      </c>
      <c r="R49" s="8" t="s">
        <v>3771</v>
      </c>
    </row>
    <row r="50">
      <c r="A50" s="8" t="s">
        <v>92</v>
      </c>
      <c r="B50" s="8" t="s">
        <v>3772</v>
      </c>
      <c r="C50" s="8" t="s">
        <v>3773</v>
      </c>
      <c r="D50" s="9">
        <v>8.66894634E9</v>
      </c>
      <c r="E50" s="8" t="s">
        <v>3774</v>
      </c>
      <c r="F50" s="8" t="s">
        <v>3775</v>
      </c>
      <c r="G50" s="8" t="s">
        <v>3776</v>
      </c>
      <c r="H50" s="8" t="s">
        <v>3479</v>
      </c>
      <c r="I50" s="9">
        <v>0.0</v>
      </c>
      <c r="J50" s="9">
        <v>2130.0</v>
      </c>
      <c r="K50" s="9">
        <v>2130.0</v>
      </c>
      <c r="L50" s="9">
        <v>2130.0</v>
      </c>
      <c r="M50" s="9">
        <v>2130.0</v>
      </c>
      <c r="N50" s="9">
        <v>0.0</v>
      </c>
      <c r="O50" s="9">
        <v>0.0</v>
      </c>
      <c r="P50" s="8" t="s">
        <v>3544</v>
      </c>
      <c r="Q50" s="8"/>
      <c r="R50" s="8"/>
    </row>
    <row r="51">
      <c r="A51" s="8" t="s">
        <v>70</v>
      </c>
      <c r="B51" s="8" t="s">
        <v>3777</v>
      </c>
      <c r="C51" s="8" t="s">
        <v>3778</v>
      </c>
      <c r="D51" s="9">
        <v>7.02801499E9</v>
      </c>
      <c r="E51" s="8" t="s">
        <v>3779</v>
      </c>
      <c r="F51" s="8" t="s">
        <v>3775</v>
      </c>
      <c r="G51" s="8" t="s">
        <v>3780</v>
      </c>
      <c r="H51" s="8" t="s">
        <v>3479</v>
      </c>
      <c r="I51" s="9">
        <v>0.0</v>
      </c>
      <c r="J51" s="9">
        <v>1259.0</v>
      </c>
      <c r="K51" s="9">
        <v>1259.0</v>
      </c>
      <c r="L51" s="9">
        <v>1259.0</v>
      </c>
      <c r="M51" s="9">
        <v>80.0</v>
      </c>
      <c r="N51" s="9">
        <v>730.0</v>
      </c>
      <c r="O51" s="9">
        <v>449.0</v>
      </c>
      <c r="P51" s="8" t="s">
        <v>3480</v>
      </c>
      <c r="Q51" s="8" t="s">
        <v>3781</v>
      </c>
      <c r="R51" s="8" t="s">
        <v>3782</v>
      </c>
    </row>
    <row r="52">
      <c r="A52" s="8" t="s">
        <v>93</v>
      </c>
      <c r="B52" s="8" t="s">
        <v>3783</v>
      </c>
      <c r="C52" s="8" t="s">
        <v>3784</v>
      </c>
      <c r="D52" s="9">
        <v>8.793072076E9</v>
      </c>
      <c r="E52" s="8" t="s">
        <v>3785</v>
      </c>
      <c r="F52" s="8" t="s">
        <v>3757</v>
      </c>
      <c r="G52" s="8" t="s">
        <v>3786</v>
      </c>
      <c r="H52" s="8" t="s">
        <v>3479</v>
      </c>
      <c r="I52" s="9">
        <v>0.0</v>
      </c>
      <c r="J52" s="9">
        <v>6329.0</v>
      </c>
      <c r="K52" s="9">
        <v>6329.0</v>
      </c>
      <c r="L52" s="9">
        <v>6329.0</v>
      </c>
      <c r="M52" s="9">
        <v>3612.0</v>
      </c>
      <c r="N52" s="9">
        <v>1468.0</v>
      </c>
      <c r="O52" s="9">
        <v>1249.0</v>
      </c>
      <c r="P52" s="8" t="s">
        <v>3480</v>
      </c>
      <c r="Q52" s="8"/>
      <c r="R52" s="8"/>
    </row>
    <row r="53">
      <c r="A53" s="8" t="s">
        <v>69</v>
      </c>
      <c r="B53" s="8" t="s">
        <v>3787</v>
      </c>
      <c r="C53" s="8" t="s">
        <v>3788</v>
      </c>
      <c r="D53" s="9">
        <v>9.823123051E9</v>
      </c>
      <c r="E53" s="8" t="s">
        <v>3789</v>
      </c>
      <c r="F53" s="8" t="s">
        <v>3589</v>
      </c>
      <c r="G53" s="8" t="s">
        <v>3790</v>
      </c>
      <c r="H53" s="8" t="s">
        <v>3479</v>
      </c>
      <c r="I53" s="9">
        <v>0.0</v>
      </c>
      <c r="J53" s="9">
        <v>1634.0</v>
      </c>
      <c r="K53" s="9">
        <v>1634.0</v>
      </c>
      <c r="L53" s="9">
        <v>1634.0</v>
      </c>
      <c r="M53" s="9">
        <v>380.0</v>
      </c>
      <c r="N53" s="9">
        <v>730.0</v>
      </c>
      <c r="O53" s="9">
        <v>524.0</v>
      </c>
      <c r="P53" s="8" t="s">
        <v>3480</v>
      </c>
      <c r="Q53" s="8" t="s">
        <v>3791</v>
      </c>
      <c r="R53" s="8" t="s">
        <v>3792</v>
      </c>
    </row>
    <row r="54">
      <c r="A54" s="8" t="s">
        <v>108</v>
      </c>
      <c r="B54" s="8" t="s">
        <v>3793</v>
      </c>
      <c r="C54" s="8" t="s">
        <v>3794</v>
      </c>
      <c r="D54" s="9">
        <v>7.744067593E9</v>
      </c>
      <c r="E54" s="8" t="s">
        <v>3795</v>
      </c>
      <c r="F54" s="8" t="s">
        <v>3796</v>
      </c>
      <c r="G54" s="8" t="s">
        <v>3797</v>
      </c>
      <c r="H54" s="8" t="s">
        <v>3479</v>
      </c>
      <c r="I54" s="9">
        <v>0.0</v>
      </c>
      <c r="J54" s="9">
        <v>3616.0</v>
      </c>
      <c r="K54" s="9">
        <v>3616.0</v>
      </c>
      <c r="L54" s="9">
        <v>3616.0</v>
      </c>
      <c r="M54" s="9">
        <v>2133.0</v>
      </c>
      <c r="N54" s="9">
        <v>784.0</v>
      </c>
      <c r="O54" s="9">
        <v>699.0</v>
      </c>
      <c r="P54" s="8" t="s">
        <v>3519</v>
      </c>
      <c r="Q54" s="8" t="s">
        <v>3798</v>
      </c>
      <c r="R54" s="8" t="s">
        <v>3799</v>
      </c>
    </row>
    <row r="55">
      <c r="A55" s="8" t="s">
        <v>109</v>
      </c>
      <c r="B55" s="8" t="s">
        <v>3800</v>
      </c>
      <c r="C55" s="8" t="s">
        <v>3801</v>
      </c>
      <c r="D55" s="9">
        <v>9.545278631E9</v>
      </c>
      <c r="E55" s="8" t="s">
        <v>3802</v>
      </c>
      <c r="F55" s="8" t="s">
        <v>3721</v>
      </c>
      <c r="G55" s="8" t="s">
        <v>3803</v>
      </c>
      <c r="H55" s="8" t="s">
        <v>3479</v>
      </c>
      <c r="I55" s="9">
        <v>0.0</v>
      </c>
      <c r="J55" s="9">
        <v>964.0</v>
      </c>
      <c r="K55" s="9">
        <v>964.0</v>
      </c>
      <c r="L55" s="9">
        <v>964.0</v>
      </c>
      <c r="M55" s="9">
        <v>280.0</v>
      </c>
      <c r="N55" s="9">
        <v>80.0</v>
      </c>
      <c r="O55" s="9">
        <v>604.0</v>
      </c>
      <c r="P55" s="8" t="s">
        <v>3480</v>
      </c>
      <c r="Q55" s="8" t="s">
        <v>3804</v>
      </c>
      <c r="R55" s="8" t="s">
        <v>3805</v>
      </c>
    </row>
    <row r="56">
      <c r="A56" s="8" t="s">
        <v>83</v>
      </c>
      <c r="B56" s="8" t="s">
        <v>3806</v>
      </c>
      <c r="C56" s="8" t="s">
        <v>3807</v>
      </c>
      <c r="D56" s="9">
        <v>9.479244339E9</v>
      </c>
      <c r="E56" s="8" t="s">
        <v>3808</v>
      </c>
      <c r="F56" s="8" t="s">
        <v>3809</v>
      </c>
      <c r="G56" s="8" t="s">
        <v>3810</v>
      </c>
      <c r="H56" s="8" t="s">
        <v>3479</v>
      </c>
      <c r="I56" s="9">
        <v>0.0</v>
      </c>
      <c r="J56" s="9">
        <v>2934.0</v>
      </c>
      <c r="K56" s="9">
        <v>2934.0</v>
      </c>
      <c r="L56" s="9">
        <v>2934.0</v>
      </c>
      <c r="M56" s="9">
        <v>1445.0</v>
      </c>
      <c r="N56" s="9">
        <v>190.0</v>
      </c>
      <c r="O56" s="9">
        <v>1299.0</v>
      </c>
      <c r="P56" s="8" t="s">
        <v>3480</v>
      </c>
      <c r="Q56" s="8"/>
      <c r="R56" s="8" t="s">
        <v>3811</v>
      </c>
    </row>
    <row r="57">
      <c r="A57" s="8" t="s">
        <v>107</v>
      </c>
      <c r="B57" s="8" t="s">
        <v>3812</v>
      </c>
      <c r="C57" s="8" t="s">
        <v>3813</v>
      </c>
      <c r="D57" s="9">
        <v>9.595777496E9</v>
      </c>
      <c r="E57" s="8" t="s">
        <v>3814</v>
      </c>
      <c r="F57" s="8" t="s">
        <v>3815</v>
      </c>
      <c r="G57" s="8" t="s">
        <v>3816</v>
      </c>
      <c r="H57" s="8" t="s">
        <v>3479</v>
      </c>
      <c r="I57" s="9">
        <v>0.0</v>
      </c>
      <c r="J57" s="9">
        <v>879.0</v>
      </c>
      <c r="K57" s="9">
        <v>879.0</v>
      </c>
      <c r="L57" s="9">
        <v>879.0</v>
      </c>
      <c r="M57" s="9">
        <v>80.0</v>
      </c>
      <c r="N57" s="9">
        <v>0.0</v>
      </c>
      <c r="O57" s="9">
        <v>799.0</v>
      </c>
      <c r="P57" s="8" t="s">
        <v>3480</v>
      </c>
      <c r="Q57" s="8" t="s">
        <v>3817</v>
      </c>
      <c r="R57" s="8"/>
    </row>
    <row r="58">
      <c r="A58" s="8" t="s">
        <v>111</v>
      </c>
      <c r="B58" s="8" t="s">
        <v>3818</v>
      </c>
      <c r="C58" s="8" t="s">
        <v>3819</v>
      </c>
      <c r="D58" s="9">
        <v>9.359277762E9</v>
      </c>
      <c r="E58" s="8" t="s">
        <v>3820</v>
      </c>
      <c r="F58" s="8" t="s">
        <v>3821</v>
      </c>
      <c r="G58" s="8" t="s">
        <v>3822</v>
      </c>
      <c r="H58" s="8" t="s">
        <v>3479</v>
      </c>
      <c r="I58" s="9">
        <v>0.0</v>
      </c>
      <c r="J58" s="9">
        <v>1449.0</v>
      </c>
      <c r="K58" s="9">
        <v>1449.0</v>
      </c>
      <c r="L58" s="9">
        <v>1449.0</v>
      </c>
      <c r="M58" s="9">
        <v>160.0</v>
      </c>
      <c r="N58" s="9">
        <v>730.0</v>
      </c>
      <c r="O58" s="9">
        <v>559.0</v>
      </c>
      <c r="P58" s="8" t="s">
        <v>3480</v>
      </c>
      <c r="Q58" s="8" t="s">
        <v>3823</v>
      </c>
      <c r="R58" s="8" t="s">
        <v>3824</v>
      </c>
    </row>
    <row r="59">
      <c r="A59" s="8" t="s">
        <v>121</v>
      </c>
      <c r="B59" s="8" t="s">
        <v>3825</v>
      </c>
      <c r="C59" s="8" t="s">
        <v>3826</v>
      </c>
      <c r="D59" s="9">
        <v>9.960409602E9</v>
      </c>
      <c r="E59" s="8" t="s">
        <v>3827</v>
      </c>
      <c r="F59" s="8" t="s">
        <v>3828</v>
      </c>
      <c r="G59" s="8" t="s">
        <v>3829</v>
      </c>
      <c r="H59" s="8" t="s">
        <v>3479</v>
      </c>
      <c r="I59" s="9">
        <v>0.0</v>
      </c>
      <c r="J59" s="9">
        <v>3700.0</v>
      </c>
      <c r="K59" s="9">
        <v>3700.0</v>
      </c>
      <c r="L59" s="9">
        <v>3700.0</v>
      </c>
      <c r="M59" s="9">
        <v>3700.0</v>
      </c>
      <c r="N59" s="9">
        <v>0.0</v>
      </c>
      <c r="O59" s="9">
        <v>0.0</v>
      </c>
      <c r="P59" s="8" t="s">
        <v>3480</v>
      </c>
      <c r="Q59" s="8" t="s">
        <v>3830</v>
      </c>
      <c r="R59" s="8"/>
    </row>
    <row r="60">
      <c r="A60" s="8" t="s">
        <v>113</v>
      </c>
      <c r="B60" s="8" t="s">
        <v>3831</v>
      </c>
      <c r="C60" s="8" t="s">
        <v>3832</v>
      </c>
      <c r="D60" s="9">
        <v>8.180900804E9</v>
      </c>
      <c r="E60" s="8" t="s">
        <v>3833</v>
      </c>
      <c r="F60" s="8" t="s">
        <v>3615</v>
      </c>
      <c r="G60" s="8" t="s">
        <v>3834</v>
      </c>
      <c r="H60" s="8" t="s">
        <v>3479</v>
      </c>
      <c r="I60" s="9">
        <v>0.0</v>
      </c>
      <c r="J60" s="9">
        <v>1313.0</v>
      </c>
      <c r="K60" s="9">
        <v>1313.0</v>
      </c>
      <c r="L60" s="9">
        <v>1313.0</v>
      </c>
      <c r="M60" s="9">
        <v>80.0</v>
      </c>
      <c r="N60" s="9">
        <v>784.0</v>
      </c>
      <c r="O60" s="9">
        <v>449.0</v>
      </c>
      <c r="P60" s="8" t="s">
        <v>3480</v>
      </c>
      <c r="Q60" s="8" t="s">
        <v>3835</v>
      </c>
      <c r="R60" s="8" t="s">
        <v>3836</v>
      </c>
    </row>
    <row r="61">
      <c r="A61" s="8" t="s">
        <v>110</v>
      </c>
      <c r="B61" s="8" t="s">
        <v>3837</v>
      </c>
      <c r="C61" s="8" t="s">
        <v>3838</v>
      </c>
      <c r="D61" s="9">
        <v>8.82645921E9</v>
      </c>
      <c r="E61" s="8" t="s">
        <v>3839</v>
      </c>
      <c r="F61" s="8" t="s">
        <v>3821</v>
      </c>
      <c r="G61" s="8" t="s">
        <v>3840</v>
      </c>
      <c r="H61" s="8" t="s">
        <v>3479</v>
      </c>
      <c r="I61" s="9">
        <v>0.0</v>
      </c>
      <c r="J61" s="9">
        <v>1567.0</v>
      </c>
      <c r="K61" s="9">
        <v>1567.0</v>
      </c>
      <c r="L61" s="9">
        <v>1567.0</v>
      </c>
      <c r="M61" s="9">
        <v>313.0</v>
      </c>
      <c r="N61" s="9">
        <v>730.0</v>
      </c>
      <c r="O61" s="9">
        <v>524.0</v>
      </c>
      <c r="P61" s="8" t="s">
        <v>3480</v>
      </c>
      <c r="Q61" s="8" t="s">
        <v>3841</v>
      </c>
      <c r="R61" s="8" t="s">
        <v>3842</v>
      </c>
    </row>
    <row r="62">
      <c r="A62" s="8" t="s">
        <v>131</v>
      </c>
      <c r="B62" s="8" t="s">
        <v>3843</v>
      </c>
      <c r="C62" s="8" t="s">
        <v>3844</v>
      </c>
      <c r="D62" s="9">
        <v>9.987725138E9</v>
      </c>
      <c r="E62" s="8" t="s">
        <v>3845</v>
      </c>
      <c r="F62" s="8" t="s">
        <v>3846</v>
      </c>
      <c r="G62" s="8" t="s">
        <v>3847</v>
      </c>
      <c r="H62" s="8" t="s">
        <v>3479</v>
      </c>
      <c r="I62" s="9">
        <v>0.0</v>
      </c>
      <c r="J62" s="9">
        <v>1751.0</v>
      </c>
      <c r="K62" s="9">
        <v>1751.0</v>
      </c>
      <c r="L62" s="9">
        <v>1751.0</v>
      </c>
      <c r="M62" s="9">
        <v>80.0</v>
      </c>
      <c r="N62" s="9">
        <v>972.0</v>
      </c>
      <c r="O62" s="9">
        <v>699.0</v>
      </c>
      <c r="P62" s="8" t="s">
        <v>3544</v>
      </c>
      <c r="Q62" s="8" t="s">
        <v>3848</v>
      </c>
      <c r="R62" s="8" t="s">
        <v>3849</v>
      </c>
    </row>
    <row r="63">
      <c r="A63" s="8" t="s">
        <v>112</v>
      </c>
      <c r="B63" s="8" t="s">
        <v>3850</v>
      </c>
      <c r="C63" s="8" t="s">
        <v>3851</v>
      </c>
      <c r="D63" s="9">
        <v>8.055607474E9</v>
      </c>
      <c r="E63" s="8" t="s">
        <v>3852</v>
      </c>
      <c r="F63" s="8" t="s">
        <v>3853</v>
      </c>
      <c r="G63" s="8" t="s">
        <v>3854</v>
      </c>
      <c r="H63" s="8" t="s">
        <v>3479</v>
      </c>
      <c r="I63" s="9">
        <v>0.0</v>
      </c>
      <c r="J63" s="9">
        <v>1592.0</v>
      </c>
      <c r="K63" s="9">
        <v>1592.0</v>
      </c>
      <c r="L63" s="9">
        <v>1592.0</v>
      </c>
      <c r="M63" s="9">
        <v>413.0</v>
      </c>
      <c r="N63" s="9">
        <v>730.0</v>
      </c>
      <c r="O63" s="9">
        <v>449.0</v>
      </c>
      <c r="P63" s="8" t="s">
        <v>3544</v>
      </c>
      <c r="Q63" s="8" t="s">
        <v>3855</v>
      </c>
      <c r="R63" s="8" t="s">
        <v>3856</v>
      </c>
    </row>
    <row r="64">
      <c r="A64" s="8" t="s">
        <v>130</v>
      </c>
      <c r="B64" s="8" t="s">
        <v>3857</v>
      </c>
      <c r="C64" s="8" t="s">
        <v>3858</v>
      </c>
      <c r="D64" s="9">
        <v>9.158682999E9</v>
      </c>
      <c r="E64" s="8" t="s">
        <v>3859</v>
      </c>
      <c r="F64" s="8" t="s">
        <v>3486</v>
      </c>
      <c r="G64" s="8" t="s">
        <v>3494</v>
      </c>
      <c r="H64" s="8" t="s">
        <v>3479</v>
      </c>
      <c r="I64" s="9">
        <v>0.0</v>
      </c>
      <c r="J64" s="9">
        <v>1344.0</v>
      </c>
      <c r="K64" s="9">
        <v>1344.0</v>
      </c>
      <c r="L64" s="9">
        <v>1344.0</v>
      </c>
      <c r="M64" s="9">
        <v>165.0</v>
      </c>
      <c r="N64" s="9">
        <v>730.0</v>
      </c>
      <c r="O64" s="9">
        <v>449.0</v>
      </c>
      <c r="P64" s="8" t="s">
        <v>3480</v>
      </c>
      <c r="Q64" s="8"/>
      <c r="R64" s="8"/>
    </row>
    <row r="65">
      <c r="A65" s="8" t="s">
        <v>134</v>
      </c>
      <c r="B65" s="8" t="s">
        <v>3860</v>
      </c>
      <c r="C65" s="8" t="s">
        <v>3861</v>
      </c>
      <c r="D65" s="9">
        <v>9.922986199E9</v>
      </c>
      <c r="E65" s="8" t="s">
        <v>3862</v>
      </c>
      <c r="F65" s="8" t="s">
        <v>3863</v>
      </c>
      <c r="G65" s="8" t="s">
        <v>3864</v>
      </c>
      <c r="H65" s="8" t="s">
        <v>3479</v>
      </c>
      <c r="I65" s="9">
        <v>0.0</v>
      </c>
      <c r="J65" s="9">
        <v>1499.0</v>
      </c>
      <c r="K65" s="9">
        <v>1499.0</v>
      </c>
      <c r="L65" s="9">
        <v>1499.0</v>
      </c>
      <c r="M65" s="9">
        <v>245.0</v>
      </c>
      <c r="N65" s="9">
        <v>730.0</v>
      </c>
      <c r="O65" s="9">
        <v>524.0</v>
      </c>
      <c r="P65" s="8" t="s">
        <v>3480</v>
      </c>
      <c r="Q65" s="8" t="s">
        <v>3865</v>
      </c>
      <c r="R65" s="8"/>
    </row>
    <row r="66">
      <c r="A66" s="8" t="s">
        <v>133</v>
      </c>
      <c r="B66" s="8" t="s">
        <v>3866</v>
      </c>
      <c r="C66" s="8" t="s">
        <v>3867</v>
      </c>
      <c r="D66" s="9">
        <v>7.709162306E9</v>
      </c>
      <c r="E66" s="8" t="s">
        <v>3868</v>
      </c>
      <c r="F66" s="8" t="s">
        <v>3869</v>
      </c>
      <c r="G66" s="8" t="s">
        <v>3494</v>
      </c>
      <c r="H66" s="8" t="s">
        <v>3479</v>
      </c>
      <c r="I66" s="9">
        <v>0.0</v>
      </c>
      <c r="J66" s="9">
        <v>6803.0</v>
      </c>
      <c r="K66" s="9">
        <v>6803.0</v>
      </c>
      <c r="L66" s="9">
        <v>6803.0</v>
      </c>
      <c r="M66" s="9">
        <v>5140.0</v>
      </c>
      <c r="N66" s="9">
        <v>784.0</v>
      </c>
      <c r="O66" s="9">
        <v>879.0</v>
      </c>
      <c r="P66" s="8" t="s">
        <v>3544</v>
      </c>
      <c r="Q66" s="8"/>
      <c r="R66" s="8"/>
    </row>
    <row r="67">
      <c r="A67" s="8" t="s">
        <v>132</v>
      </c>
      <c r="B67" s="8" t="s">
        <v>3870</v>
      </c>
      <c r="C67" s="8" t="s">
        <v>3871</v>
      </c>
      <c r="D67" s="9">
        <v>8.668867769E9</v>
      </c>
      <c r="E67" s="8" t="s">
        <v>3872</v>
      </c>
      <c r="F67" s="8" t="s">
        <v>3658</v>
      </c>
      <c r="G67" s="8" t="s">
        <v>3494</v>
      </c>
      <c r="H67" s="8" t="s">
        <v>3479</v>
      </c>
      <c r="I67" s="9">
        <v>0.0</v>
      </c>
      <c r="J67" s="9">
        <v>858.0</v>
      </c>
      <c r="K67" s="9">
        <v>858.0</v>
      </c>
      <c r="L67" s="9">
        <v>858.0</v>
      </c>
      <c r="M67" s="9">
        <v>253.0</v>
      </c>
      <c r="N67" s="9">
        <v>0.0</v>
      </c>
      <c r="O67" s="9">
        <v>605.0</v>
      </c>
      <c r="P67" s="8" t="s">
        <v>3480</v>
      </c>
      <c r="Q67" s="8" t="s">
        <v>3873</v>
      </c>
      <c r="R67" s="8"/>
    </row>
    <row r="68">
      <c r="A68" s="8" t="s">
        <v>135</v>
      </c>
      <c r="B68" s="8" t="s">
        <v>3874</v>
      </c>
      <c r="C68" s="8" t="s">
        <v>3875</v>
      </c>
      <c r="D68" s="9">
        <v>9.766611011E9</v>
      </c>
      <c r="E68" s="8" t="s">
        <v>3876</v>
      </c>
      <c r="F68" s="8" t="s">
        <v>3523</v>
      </c>
      <c r="G68" s="8" t="s">
        <v>3877</v>
      </c>
      <c r="H68" s="8" t="s">
        <v>3479</v>
      </c>
      <c r="I68" s="9">
        <v>0.0</v>
      </c>
      <c r="J68" s="9">
        <v>2780.0</v>
      </c>
      <c r="K68" s="9">
        <v>2780.0</v>
      </c>
      <c r="L68" s="9">
        <v>2780.0</v>
      </c>
      <c r="M68" s="9">
        <v>2135.0</v>
      </c>
      <c r="N68" s="9">
        <v>120.0</v>
      </c>
      <c r="O68" s="9">
        <v>525.0</v>
      </c>
      <c r="P68" s="8" t="s">
        <v>3544</v>
      </c>
      <c r="Q68" s="8"/>
      <c r="R68" s="8"/>
    </row>
    <row r="69">
      <c r="A69" s="8" t="s">
        <v>115</v>
      </c>
      <c r="B69" s="8" t="s">
        <v>3878</v>
      </c>
      <c r="C69" s="8" t="s">
        <v>3879</v>
      </c>
      <c r="D69" s="9">
        <v>9.823126447E9</v>
      </c>
      <c r="E69" s="8" t="s">
        <v>3880</v>
      </c>
      <c r="F69" s="8" t="s">
        <v>3881</v>
      </c>
      <c r="G69" s="8" t="s">
        <v>3882</v>
      </c>
      <c r="H69" s="8" t="s">
        <v>3479</v>
      </c>
      <c r="I69" s="9">
        <v>0.0</v>
      </c>
      <c r="J69" s="9">
        <v>1793.0</v>
      </c>
      <c r="K69" s="9">
        <v>1793.0</v>
      </c>
      <c r="L69" s="9">
        <v>1793.0</v>
      </c>
      <c r="M69" s="9">
        <v>459.0</v>
      </c>
      <c r="N69" s="9">
        <v>730.0</v>
      </c>
      <c r="O69" s="9">
        <v>604.0</v>
      </c>
      <c r="P69" s="8" t="s">
        <v>3480</v>
      </c>
      <c r="Q69" s="8" t="s">
        <v>3883</v>
      </c>
      <c r="R69" s="8" t="s">
        <v>3884</v>
      </c>
    </row>
    <row r="70">
      <c r="A70" s="8" t="s">
        <v>116</v>
      </c>
      <c r="B70" s="8" t="s">
        <v>3885</v>
      </c>
      <c r="C70" s="8" t="s">
        <v>3886</v>
      </c>
      <c r="D70" s="9">
        <v>7.620421309E9</v>
      </c>
      <c r="E70" s="8" t="s">
        <v>3887</v>
      </c>
      <c r="F70" s="8" t="s">
        <v>3498</v>
      </c>
      <c r="G70" s="8" t="s">
        <v>3888</v>
      </c>
      <c r="H70" s="8" t="s">
        <v>3479</v>
      </c>
      <c r="I70" s="9">
        <v>0.0</v>
      </c>
      <c r="J70" s="9">
        <v>1764.0</v>
      </c>
      <c r="K70" s="9">
        <v>1764.0</v>
      </c>
      <c r="L70" s="9">
        <v>1764.0</v>
      </c>
      <c r="M70" s="9">
        <v>775.0</v>
      </c>
      <c r="N70" s="9">
        <v>540.0</v>
      </c>
      <c r="O70" s="9">
        <v>449.0</v>
      </c>
      <c r="P70" s="8" t="s">
        <v>3480</v>
      </c>
      <c r="Q70" s="8" t="s">
        <v>3889</v>
      </c>
      <c r="R70" s="8" t="s">
        <v>3890</v>
      </c>
    </row>
    <row r="71">
      <c r="A71" s="8" t="s">
        <v>117</v>
      </c>
      <c r="B71" s="8" t="s">
        <v>3891</v>
      </c>
      <c r="C71" s="8" t="s">
        <v>3892</v>
      </c>
      <c r="D71" s="9">
        <v>7.775061909E9</v>
      </c>
      <c r="E71" s="8" t="s">
        <v>3893</v>
      </c>
      <c r="F71" s="8" t="s">
        <v>3894</v>
      </c>
      <c r="G71" s="8" t="s">
        <v>3895</v>
      </c>
      <c r="H71" s="8" t="s">
        <v>3479</v>
      </c>
      <c r="I71" s="9">
        <v>0.0</v>
      </c>
      <c r="J71" s="9">
        <v>1713.0</v>
      </c>
      <c r="K71" s="9">
        <v>1713.0</v>
      </c>
      <c r="L71" s="9">
        <v>1713.0</v>
      </c>
      <c r="M71" s="9">
        <v>964.0</v>
      </c>
      <c r="N71" s="9">
        <v>0.0</v>
      </c>
      <c r="O71" s="9">
        <v>749.0</v>
      </c>
      <c r="P71" s="8" t="s">
        <v>3480</v>
      </c>
      <c r="Q71" s="8" t="s">
        <v>3896</v>
      </c>
      <c r="R71" s="8" t="s">
        <v>3897</v>
      </c>
    </row>
    <row r="72">
      <c r="A72" s="8" t="s">
        <v>114</v>
      </c>
      <c r="B72" s="8" t="s">
        <v>3898</v>
      </c>
      <c r="C72" s="8" t="s">
        <v>3899</v>
      </c>
      <c r="D72" s="9">
        <v>7.406056477E9</v>
      </c>
      <c r="E72" s="8" t="s">
        <v>3900</v>
      </c>
      <c r="F72" s="8" t="s">
        <v>3901</v>
      </c>
      <c r="G72" s="8" t="s">
        <v>3902</v>
      </c>
      <c r="H72" s="8" t="s">
        <v>3479</v>
      </c>
      <c r="I72" s="9">
        <v>0.0</v>
      </c>
      <c r="J72" s="9">
        <v>1744.0</v>
      </c>
      <c r="K72" s="9">
        <v>1744.0</v>
      </c>
      <c r="L72" s="9">
        <v>1744.0</v>
      </c>
      <c r="M72" s="9">
        <v>361.0</v>
      </c>
      <c r="N72" s="9">
        <v>784.0</v>
      </c>
      <c r="O72" s="9">
        <v>599.0</v>
      </c>
      <c r="P72" s="8" t="s">
        <v>3480</v>
      </c>
      <c r="Q72" s="8" t="s">
        <v>3903</v>
      </c>
      <c r="R72" s="8" t="s">
        <v>3904</v>
      </c>
    </row>
    <row r="73">
      <c r="A73" s="8" t="s">
        <v>118</v>
      </c>
      <c r="B73" s="8" t="s">
        <v>3905</v>
      </c>
      <c r="C73" s="8" t="s">
        <v>3906</v>
      </c>
      <c r="D73" s="9">
        <v>7.770066606E9</v>
      </c>
      <c r="E73" s="8" t="s">
        <v>3907</v>
      </c>
      <c r="F73" s="8" t="s">
        <v>3908</v>
      </c>
      <c r="G73" s="8" t="s">
        <v>3909</v>
      </c>
      <c r="H73" s="8" t="s">
        <v>3479</v>
      </c>
      <c r="I73" s="9">
        <v>0.0</v>
      </c>
      <c r="J73" s="9">
        <v>3013.0</v>
      </c>
      <c r="K73" s="9">
        <v>3013.0</v>
      </c>
      <c r="L73" s="9">
        <v>3013.0</v>
      </c>
      <c r="M73" s="9">
        <v>1630.0</v>
      </c>
      <c r="N73" s="9">
        <v>784.0</v>
      </c>
      <c r="O73" s="9">
        <v>599.0</v>
      </c>
      <c r="P73" s="8" t="s">
        <v>3480</v>
      </c>
      <c r="Q73" s="8" t="s">
        <v>3910</v>
      </c>
      <c r="R73" s="8" t="s">
        <v>3911</v>
      </c>
    </row>
    <row r="74">
      <c r="A74" s="8" t="s">
        <v>120</v>
      </c>
      <c r="B74" s="8" t="s">
        <v>3912</v>
      </c>
      <c r="C74" s="8" t="s">
        <v>3913</v>
      </c>
      <c r="D74" s="9">
        <v>9.76400423E9</v>
      </c>
      <c r="E74" s="8" t="s">
        <v>3914</v>
      </c>
      <c r="F74" s="8" t="s">
        <v>3523</v>
      </c>
      <c r="G74" s="8" t="s">
        <v>3915</v>
      </c>
      <c r="H74" s="8" t="s">
        <v>3479</v>
      </c>
      <c r="I74" s="9">
        <v>0.0</v>
      </c>
      <c r="J74" s="9">
        <v>3490.0</v>
      </c>
      <c r="K74" s="9">
        <v>3490.0</v>
      </c>
      <c r="L74" s="9">
        <v>3490.0</v>
      </c>
      <c r="M74" s="9">
        <v>2081.0</v>
      </c>
      <c r="N74" s="9">
        <v>730.0</v>
      </c>
      <c r="O74" s="9">
        <v>679.0</v>
      </c>
      <c r="P74" s="8" t="s">
        <v>3480</v>
      </c>
      <c r="Q74" s="8" t="s">
        <v>3916</v>
      </c>
      <c r="R74" s="8" t="s">
        <v>3917</v>
      </c>
    </row>
    <row r="75">
      <c r="A75" s="8" t="s">
        <v>119</v>
      </c>
      <c r="B75" s="8" t="s">
        <v>3918</v>
      </c>
      <c r="C75" s="8" t="s">
        <v>3919</v>
      </c>
      <c r="D75" s="9">
        <v>8.208424628E9</v>
      </c>
      <c r="E75" s="8" t="s">
        <v>3920</v>
      </c>
      <c r="F75" s="8" t="s">
        <v>3921</v>
      </c>
      <c r="G75" s="8" t="s">
        <v>3922</v>
      </c>
      <c r="H75" s="8" t="s">
        <v>3479</v>
      </c>
      <c r="I75" s="9">
        <v>0.0</v>
      </c>
      <c r="J75" s="9">
        <v>1729.0</v>
      </c>
      <c r="K75" s="9">
        <v>1729.0</v>
      </c>
      <c r="L75" s="9">
        <v>1729.0</v>
      </c>
      <c r="M75" s="9">
        <v>655.0</v>
      </c>
      <c r="N75" s="9">
        <v>0.0</v>
      </c>
      <c r="O75" s="9">
        <v>1074.0</v>
      </c>
      <c r="P75" s="8" t="s">
        <v>3480</v>
      </c>
      <c r="Q75" s="8" t="s">
        <v>3923</v>
      </c>
      <c r="R75" s="8" t="s">
        <v>3924</v>
      </c>
    </row>
    <row r="76">
      <c r="A76" s="8" t="s">
        <v>122</v>
      </c>
      <c r="B76" s="8" t="s">
        <v>3925</v>
      </c>
      <c r="C76" s="8" t="s">
        <v>3926</v>
      </c>
      <c r="D76" s="9">
        <v>9.028512702E9</v>
      </c>
      <c r="E76" s="8" t="s">
        <v>3927</v>
      </c>
      <c r="F76" s="8" t="s">
        <v>3608</v>
      </c>
      <c r="G76" s="8" t="s">
        <v>3928</v>
      </c>
      <c r="H76" s="8" t="s">
        <v>3479</v>
      </c>
      <c r="I76" s="9">
        <v>0.0</v>
      </c>
      <c r="J76" s="9">
        <v>1400.0</v>
      </c>
      <c r="K76" s="9">
        <v>1400.0</v>
      </c>
      <c r="L76" s="9">
        <v>1400.0</v>
      </c>
      <c r="M76" s="9">
        <v>1350.0</v>
      </c>
      <c r="N76" s="9">
        <v>0.0</v>
      </c>
      <c r="O76" s="9">
        <v>50.0</v>
      </c>
      <c r="P76" s="8" t="s">
        <v>3480</v>
      </c>
      <c r="Q76" s="8" t="s">
        <v>3929</v>
      </c>
      <c r="R76" s="8" t="s">
        <v>3930</v>
      </c>
    </row>
    <row r="77">
      <c r="A77" s="8" t="s">
        <v>94</v>
      </c>
      <c r="B77" s="8" t="s">
        <v>3931</v>
      </c>
      <c r="C77" s="8" t="s">
        <v>3932</v>
      </c>
      <c r="D77" s="9">
        <v>9.92241206E9</v>
      </c>
      <c r="E77" s="8" t="s">
        <v>3933</v>
      </c>
      <c r="F77" s="8" t="s">
        <v>3934</v>
      </c>
      <c r="G77" s="8" t="s">
        <v>3935</v>
      </c>
      <c r="H77" s="8" t="s">
        <v>3479</v>
      </c>
      <c r="I77" s="9">
        <v>0.0</v>
      </c>
      <c r="J77" s="9">
        <v>1926.0</v>
      </c>
      <c r="K77" s="9">
        <v>1926.0</v>
      </c>
      <c r="L77" s="9">
        <v>1926.0</v>
      </c>
      <c r="M77" s="9">
        <v>738.0</v>
      </c>
      <c r="N77" s="9">
        <v>739.0</v>
      </c>
      <c r="O77" s="9">
        <v>449.0</v>
      </c>
      <c r="P77" s="8" t="s">
        <v>3480</v>
      </c>
      <c r="Q77" s="8" t="s">
        <v>3936</v>
      </c>
      <c r="R77" s="8"/>
    </row>
    <row r="78">
      <c r="A78" s="8" t="s">
        <v>139</v>
      </c>
      <c r="B78" s="8" t="s">
        <v>3937</v>
      </c>
      <c r="C78" s="8" t="s">
        <v>3938</v>
      </c>
      <c r="D78" s="9">
        <v>8.871618082E9</v>
      </c>
      <c r="E78" s="8" t="s">
        <v>3939</v>
      </c>
      <c r="F78" s="8" t="s">
        <v>3608</v>
      </c>
      <c r="G78" s="8" t="s">
        <v>3940</v>
      </c>
      <c r="H78" s="8" t="s">
        <v>3479</v>
      </c>
      <c r="I78" s="9">
        <v>0.0</v>
      </c>
      <c r="J78" s="9">
        <v>1259.0</v>
      </c>
      <c r="K78" s="9">
        <v>1259.0</v>
      </c>
      <c r="L78" s="9">
        <v>1259.0</v>
      </c>
      <c r="M78" s="9">
        <v>80.0</v>
      </c>
      <c r="N78" s="9">
        <v>730.0</v>
      </c>
      <c r="O78" s="9">
        <v>449.0</v>
      </c>
      <c r="P78" s="8" t="s">
        <v>3544</v>
      </c>
      <c r="Q78" s="8" t="s">
        <v>3941</v>
      </c>
      <c r="R78" s="8" t="s">
        <v>3942</v>
      </c>
    </row>
    <row r="79">
      <c r="A79" s="8" t="s">
        <v>138</v>
      </c>
      <c r="B79" s="8" t="s">
        <v>3943</v>
      </c>
      <c r="C79" s="8" t="s">
        <v>3944</v>
      </c>
      <c r="D79" s="9">
        <v>9.970886964E9</v>
      </c>
      <c r="E79" s="8" t="s">
        <v>3945</v>
      </c>
      <c r="F79" s="8" t="s">
        <v>3498</v>
      </c>
      <c r="G79" s="8" t="s">
        <v>3946</v>
      </c>
      <c r="H79" s="8" t="s">
        <v>3479</v>
      </c>
      <c r="I79" s="9">
        <v>0.0</v>
      </c>
      <c r="J79" s="9">
        <v>4077.0</v>
      </c>
      <c r="K79" s="9">
        <v>4077.0</v>
      </c>
      <c r="L79" s="9">
        <v>4077.0</v>
      </c>
      <c r="M79" s="9">
        <v>2448.0</v>
      </c>
      <c r="N79" s="9">
        <v>730.0</v>
      </c>
      <c r="O79" s="9">
        <v>899.0</v>
      </c>
      <c r="P79" s="8" t="s">
        <v>3480</v>
      </c>
      <c r="Q79" s="8"/>
      <c r="R79" s="8"/>
    </row>
    <row r="80">
      <c r="A80" s="8" t="s">
        <v>140</v>
      </c>
      <c r="B80" s="8" t="s">
        <v>3947</v>
      </c>
      <c r="C80" s="8" t="s">
        <v>3948</v>
      </c>
      <c r="D80" s="9">
        <v>9.766589338E9</v>
      </c>
      <c r="E80" s="8" t="s">
        <v>3949</v>
      </c>
      <c r="F80" s="8" t="s">
        <v>3608</v>
      </c>
      <c r="G80" s="8" t="s">
        <v>3950</v>
      </c>
      <c r="H80" s="8" t="s">
        <v>3479</v>
      </c>
      <c r="I80" s="9">
        <v>0.0</v>
      </c>
      <c r="J80" s="9">
        <v>1959.0</v>
      </c>
      <c r="K80" s="9">
        <v>1959.0</v>
      </c>
      <c r="L80" s="9">
        <v>1959.0</v>
      </c>
      <c r="M80" s="9">
        <v>780.0</v>
      </c>
      <c r="N80" s="9">
        <v>730.0</v>
      </c>
      <c r="O80" s="9">
        <v>449.0</v>
      </c>
      <c r="P80" s="8" t="s">
        <v>3480</v>
      </c>
      <c r="Q80" s="8"/>
      <c r="R80" s="8"/>
    </row>
    <row r="81">
      <c r="A81" s="8" t="s">
        <v>149</v>
      </c>
      <c r="B81" s="8" t="s">
        <v>3951</v>
      </c>
      <c r="C81" s="8" t="s">
        <v>3952</v>
      </c>
      <c r="D81" s="9">
        <v>9.850380576E9</v>
      </c>
      <c r="E81" s="8" t="s">
        <v>3953</v>
      </c>
      <c r="F81" s="8" t="s">
        <v>3954</v>
      </c>
      <c r="G81" s="8" t="s">
        <v>3955</v>
      </c>
      <c r="H81" s="8" t="s">
        <v>3479</v>
      </c>
      <c r="I81" s="9">
        <v>0.0</v>
      </c>
      <c r="J81" s="9">
        <v>1362.0</v>
      </c>
      <c r="K81" s="9">
        <v>1362.0</v>
      </c>
      <c r="L81" s="9">
        <v>1362.0</v>
      </c>
      <c r="M81" s="9">
        <v>223.0</v>
      </c>
      <c r="N81" s="9">
        <v>190.0</v>
      </c>
      <c r="O81" s="9">
        <v>949.0</v>
      </c>
      <c r="P81" s="8" t="s">
        <v>3544</v>
      </c>
      <c r="Q81" s="8"/>
      <c r="R81" s="8"/>
    </row>
    <row r="82">
      <c r="A82" s="8" t="s">
        <v>123</v>
      </c>
      <c r="B82" s="8" t="s">
        <v>3956</v>
      </c>
      <c r="C82" s="8" t="s">
        <v>3957</v>
      </c>
      <c r="D82" s="9">
        <v>9.822889511E9</v>
      </c>
      <c r="E82" s="8" t="s">
        <v>3958</v>
      </c>
      <c r="F82" s="8" t="s">
        <v>3959</v>
      </c>
      <c r="G82" s="8" t="s">
        <v>3960</v>
      </c>
      <c r="H82" s="8" t="s">
        <v>3479</v>
      </c>
      <c r="I82" s="9">
        <v>0.0</v>
      </c>
      <c r="J82" s="9">
        <v>2014.0</v>
      </c>
      <c r="K82" s="9">
        <v>2014.0</v>
      </c>
      <c r="L82" s="9">
        <v>2014.0</v>
      </c>
      <c r="M82" s="9">
        <v>781.0</v>
      </c>
      <c r="N82" s="9">
        <v>784.0</v>
      </c>
      <c r="O82" s="9">
        <v>449.0</v>
      </c>
      <c r="P82" s="8" t="s">
        <v>3480</v>
      </c>
      <c r="Q82" s="8" t="s">
        <v>3961</v>
      </c>
      <c r="R82" s="8" t="s">
        <v>3962</v>
      </c>
    </row>
    <row r="83">
      <c r="A83" s="8" t="s">
        <v>167</v>
      </c>
      <c r="B83" s="8" t="s">
        <v>3963</v>
      </c>
      <c r="C83" s="8" t="s">
        <v>3964</v>
      </c>
      <c r="D83" s="9">
        <v>8.511601644E9</v>
      </c>
      <c r="E83" s="8" t="s">
        <v>3965</v>
      </c>
      <c r="F83" s="8" t="s">
        <v>3523</v>
      </c>
      <c r="G83" s="8" t="s">
        <v>3966</v>
      </c>
      <c r="H83" s="8" t="s">
        <v>3967</v>
      </c>
      <c r="I83" s="9">
        <v>0.0</v>
      </c>
      <c r="J83" s="9">
        <v>1900.0</v>
      </c>
      <c r="K83" s="9">
        <v>1909.0</v>
      </c>
      <c r="L83" s="9">
        <v>1900.0</v>
      </c>
      <c r="M83" s="9">
        <v>575.0</v>
      </c>
      <c r="N83" s="9">
        <v>730.0</v>
      </c>
      <c r="O83" s="9">
        <v>604.0</v>
      </c>
      <c r="P83" s="8" t="s">
        <v>3480</v>
      </c>
      <c r="Q83" s="8"/>
      <c r="R83" s="8"/>
    </row>
    <row r="84">
      <c r="A84" s="8" t="s">
        <v>141</v>
      </c>
      <c r="B84" s="8" t="s">
        <v>3968</v>
      </c>
      <c r="C84" s="8" t="s">
        <v>3969</v>
      </c>
      <c r="D84" s="9">
        <v>9.172992292E9</v>
      </c>
      <c r="E84" s="8" t="s">
        <v>3970</v>
      </c>
      <c r="F84" s="8" t="s">
        <v>3908</v>
      </c>
      <c r="G84" s="8" t="s">
        <v>3971</v>
      </c>
      <c r="H84" s="8" t="s">
        <v>3479</v>
      </c>
      <c r="I84" s="9">
        <v>0.0</v>
      </c>
      <c r="J84" s="9">
        <v>3303.0</v>
      </c>
      <c r="K84" s="9">
        <v>3303.0</v>
      </c>
      <c r="L84" s="9">
        <v>3303.0</v>
      </c>
      <c r="M84" s="9">
        <v>1470.0</v>
      </c>
      <c r="N84" s="9">
        <v>784.0</v>
      </c>
      <c r="O84" s="9">
        <v>1049.0</v>
      </c>
      <c r="P84" s="8" t="s">
        <v>3544</v>
      </c>
      <c r="Q84" s="8" t="s">
        <v>3972</v>
      </c>
      <c r="R84" s="8" t="s">
        <v>3973</v>
      </c>
    </row>
    <row r="85">
      <c r="A85" s="8" t="s">
        <v>143</v>
      </c>
      <c r="B85" s="8" t="s">
        <v>3974</v>
      </c>
      <c r="C85" s="8" t="s">
        <v>3975</v>
      </c>
      <c r="D85" s="9">
        <v>9.920227457E9</v>
      </c>
      <c r="E85" s="8" t="s">
        <v>3976</v>
      </c>
      <c r="F85" s="8" t="s">
        <v>3977</v>
      </c>
      <c r="G85" s="8" t="s">
        <v>3978</v>
      </c>
      <c r="H85" s="8" t="s">
        <v>3479</v>
      </c>
      <c r="I85" s="9">
        <v>0.0</v>
      </c>
      <c r="J85" s="9">
        <v>3275.0</v>
      </c>
      <c r="K85" s="9">
        <v>3275.0</v>
      </c>
      <c r="L85" s="9">
        <v>3275.0</v>
      </c>
      <c r="M85" s="9">
        <v>2096.0</v>
      </c>
      <c r="N85" s="9">
        <v>730.0</v>
      </c>
      <c r="O85" s="9">
        <v>449.0</v>
      </c>
      <c r="P85" s="8" t="s">
        <v>3480</v>
      </c>
      <c r="Q85" s="8" t="s">
        <v>3979</v>
      </c>
      <c r="R85" s="8"/>
    </row>
    <row r="86">
      <c r="A86" s="8" t="s">
        <v>142</v>
      </c>
      <c r="B86" s="8" t="s">
        <v>3980</v>
      </c>
      <c r="C86" s="8" t="s">
        <v>3981</v>
      </c>
      <c r="D86" s="9">
        <v>9.860645457E9</v>
      </c>
      <c r="E86" s="8" t="s">
        <v>3982</v>
      </c>
      <c r="F86" s="8" t="s">
        <v>3564</v>
      </c>
      <c r="G86" s="8" t="s">
        <v>3983</v>
      </c>
      <c r="H86" s="8" t="s">
        <v>3479</v>
      </c>
      <c r="I86" s="9">
        <v>0.0</v>
      </c>
      <c r="J86" s="9">
        <v>1795.0</v>
      </c>
      <c r="K86" s="9">
        <v>1795.0</v>
      </c>
      <c r="L86" s="9">
        <v>1795.0</v>
      </c>
      <c r="M86" s="9">
        <v>528.0</v>
      </c>
      <c r="N86" s="9">
        <v>168.0</v>
      </c>
      <c r="O86" s="9">
        <v>1099.0</v>
      </c>
      <c r="P86" s="8" t="s">
        <v>3480</v>
      </c>
      <c r="Q86" s="8" t="s">
        <v>3984</v>
      </c>
      <c r="R86" s="8" t="s">
        <v>3985</v>
      </c>
    </row>
    <row r="87">
      <c r="A87" s="8" t="s">
        <v>144</v>
      </c>
      <c r="B87" s="8" t="s">
        <v>3986</v>
      </c>
      <c r="C87" s="8" t="s">
        <v>3987</v>
      </c>
      <c r="D87" s="9">
        <v>9.881212187E9</v>
      </c>
      <c r="E87" s="8" t="s">
        <v>3988</v>
      </c>
      <c r="F87" s="8" t="s">
        <v>3721</v>
      </c>
      <c r="G87" s="8" t="s">
        <v>3989</v>
      </c>
      <c r="H87" s="8" t="s">
        <v>3479</v>
      </c>
      <c r="I87" s="9">
        <v>0.0</v>
      </c>
      <c r="J87" s="9">
        <v>4154.0</v>
      </c>
      <c r="K87" s="9">
        <v>4154.0</v>
      </c>
      <c r="L87" s="9">
        <v>4154.0</v>
      </c>
      <c r="M87" s="9">
        <v>2900.0</v>
      </c>
      <c r="N87" s="9">
        <v>730.0</v>
      </c>
      <c r="O87" s="9">
        <v>524.0</v>
      </c>
      <c r="P87" s="8" t="s">
        <v>3544</v>
      </c>
      <c r="Q87" s="8"/>
      <c r="R87" s="8"/>
    </row>
    <row r="88">
      <c r="A88" s="8" t="s">
        <v>95</v>
      </c>
      <c r="B88" s="8" t="s">
        <v>3990</v>
      </c>
      <c r="C88" s="8" t="s">
        <v>3991</v>
      </c>
      <c r="D88" s="9">
        <v>7.045309011E9</v>
      </c>
      <c r="E88" s="8" t="s">
        <v>3992</v>
      </c>
      <c r="F88" s="8" t="s">
        <v>3993</v>
      </c>
      <c r="G88" s="8" t="s">
        <v>3994</v>
      </c>
      <c r="H88" s="8" t="s">
        <v>3479</v>
      </c>
      <c r="I88" s="9">
        <v>0.0</v>
      </c>
      <c r="J88" s="9">
        <v>2057.0</v>
      </c>
      <c r="K88" s="9">
        <v>2057.0</v>
      </c>
      <c r="L88" s="9">
        <v>2057.0</v>
      </c>
      <c r="M88" s="9">
        <v>683.0</v>
      </c>
      <c r="N88" s="9">
        <v>775.0</v>
      </c>
      <c r="O88" s="9">
        <v>599.0</v>
      </c>
      <c r="P88" s="8" t="s">
        <v>3519</v>
      </c>
      <c r="Q88" s="8" t="s">
        <v>3995</v>
      </c>
      <c r="R88" s="8" t="s">
        <v>3996</v>
      </c>
    </row>
    <row r="89">
      <c r="A89" s="8" t="s">
        <v>145</v>
      </c>
      <c r="B89" s="8" t="s">
        <v>3997</v>
      </c>
      <c r="C89" s="8" t="s">
        <v>3998</v>
      </c>
      <c r="D89" s="9">
        <v>7.776830728E9</v>
      </c>
      <c r="E89" s="8" t="s">
        <v>3999</v>
      </c>
      <c r="F89" s="8" t="s">
        <v>3721</v>
      </c>
      <c r="G89" s="8" t="s">
        <v>4000</v>
      </c>
      <c r="H89" s="8" t="s">
        <v>3479</v>
      </c>
      <c r="I89" s="9">
        <v>0.0</v>
      </c>
      <c r="J89" s="9">
        <v>2027.0</v>
      </c>
      <c r="K89" s="9">
        <v>2027.0</v>
      </c>
      <c r="L89" s="9">
        <v>2027.0</v>
      </c>
      <c r="M89" s="9">
        <v>773.0</v>
      </c>
      <c r="N89" s="9">
        <v>730.0</v>
      </c>
      <c r="O89" s="9">
        <v>524.0</v>
      </c>
      <c r="P89" s="8" t="s">
        <v>3544</v>
      </c>
      <c r="Q89" s="8"/>
      <c r="R89" s="8" t="s">
        <v>4001</v>
      </c>
    </row>
    <row r="90">
      <c r="A90" s="8" t="s">
        <v>124</v>
      </c>
      <c r="B90" s="8" t="s">
        <v>4002</v>
      </c>
      <c r="C90" s="8" t="s">
        <v>4003</v>
      </c>
      <c r="D90" s="9">
        <v>9.850698885E9</v>
      </c>
      <c r="E90" s="8" t="s">
        <v>4004</v>
      </c>
      <c r="F90" s="8" t="s">
        <v>3589</v>
      </c>
      <c r="G90" s="8" t="s">
        <v>4005</v>
      </c>
      <c r="H90" s="8" t="s">
        <v>3479</v>
      </c>
      <c r="I90" s="9">
        <v>0.0</v>
      </c>
      <c r="J90" s="9">
        <v>2742.0</v>
      </c>
      <c r="K90" s="9">
        <v>2742.0</v>
      </c>
      <c r="L90" s="9">
        <v>2742.0</v>
      </c>
      <c r="M90" s="9">
        <v>1313.0</v>
      </c>
      <c r="N90" s="9">
        <v>730.0</v>
      </c>
      <c r="O90" s="9">
        <v>699.0</v>
      </c>
      <c r="P90" s="8" t="s">
        <v>3519</v>
      </c>
      <c r="Q90" s="8" t="s">
        <v>4006</v>
      </c>
      <c r="R90" s="8" t="s">
        <v>4007</v>
      </c>
    </row>
    <row r="91">
      <c r="A91" s="8" t="s">
        <v>146</v>
      </c>
      <c r="B91" s="8" t="s">
        <v>4008</v>
      </c>
      <c r="C91" s="8" t="s">
        <v>4009</v>
      </c>
      <c r="D91" s="9">
        <v>9.834919277E9</v>
      </c>
      <c r="E91" s="8" t="s">
        <v>4010</v>
      </c>
      <c r="F91" s="8" t="s">
        <v>4011</v>
      </c>
      <c r="G91" s="8" t="s">
        <v>4012</v>
      </c>
      <c r="H91" s="8" t="s">
        <v>3479</v>
      </c>
      <c r="I91" s="9">
        <v>0.0</v>
      </c>
      <c r="J91" s="9">
        <v>1328.0</v>
      </c>
      <c r="K91" s="9">
        <v>1328.0</v>
      </c>
      <c r="L91" s="9">
        <v>1328.0</v>
      </c>
      <c r="M91" s="9">
        <v>95.0</v>
      </c>
      <c r="N91" s="9">
        <v>784.0</v>
      </c>
      <c r="O91" s="9">
        <v>449.0</v>
      </c>
      <c r="P91" s="8" t="s">
        <v>3480</v>
      </c>
      <c r="Q91" s="8" t="s">
        <v>4013</v>
      </c>
      <c r="R91" s="8" t="s">
        <v>4014</v>
      </c>
    </row>
    <row r="92">
      <c r="A92" s="8" t="s">
        <v>126</v>
      </c>
      <c r="B92" s="8" t="s">
        <v>4015</v>
      </c>
      <c r="C92" s="8" t="s">
        <v>4016</v>
      </c>
      <c r="D92" s="9">
        <v>9.987181711E9</v>
      </c>
      <c r="E92" s="8" t="s">
        <v>4017</v>
      </c>
      <c r="F92" s="8" t="s">
        <v>4018</v>
      </c>
      <c r="G92" s="8" t="s">
        <v>4019</v>
      </c>
      <c r="H92" s="8" t="s">
        <v>3479</v>
      </c>
      <c r="I92" s="9">
        <v>0.0</v>
      </c>
      <c r="J92" s="9">
        <v>1382.0</v>
      </c>
      <c r="K92" s="9">
        <v>1382.0</v>
      </c>
      <c r="L92" s="9">
        <v>1382.0</v>
      </c>
      <c r="M92" s="9">
        <v>80.0</v>
      </c>
      <c r="N92" s="9">
        <v>773.0</v>
      </c>
      <c r="O92" s="9">
        <v>529.0</v>
      </c>
      <c r="P92" s="8" t="s">
        <v>3480</v>
      </c>
      <c r="Q92" s="8" t="s">
        <v>4020</v>
      </c>
      <c r="R92" s="8" t="s">
        <v>4021</v>
      </c>
    </row>
    <row r="93">
      <c r="A93" s="8" t="s">
        <v>127</v>
      </c>
      <c r="B93" s="8" t="s">
        <v>4022</v>
      </c>
      <c r="C93" s="8" t="s">
        <v>4023</v>
      </c>
      <c r="D93" s="9">
        <v>8.888808112E9</v>
      </c>
      <c r="E93" s="8" t="s">
        <v>4024</v>
      </c>
      <c r="F93" s="8" t="s">
        <v>3509</v>
      </c>
      <c r="G93" s="8" t="s">
        <v>4025</v>
      </c>
      <c r="H93" s="8" t="s">
        <v>3479</v>
      </c>
      <c r="I93" s="9">
        <v>0.0</v>
      </c>
      <c r="J93" s="9">
        <v>2801.0</v>
      </c>
      <c r="K93" s="9">
        <v>2801.0</v>
      </c>
      <c r="L93" s="9">
        <v>2801.0</v>
      </c>
      <c r="M93" s="9">
        <v>2426.0</v>
      </c>
      <c r="N93" s="9">
        <v>0.0</v>
      </c>
      <c r="O93" s="9">
        <v>375.0</v>
      </c>
      <c r="P93" s="8" t="s">
        <v>3480</v>
      </c>
      <c r="Q93" s="8"/>
      <c r="R93" s="8"/>
    </row>
    <row r="94">
      <c r="A94" s="8" t="s">
        <v>128</v>
      </c>
      <c r="B94" s="8" t="s">
        <v>4026</v>
      </c>
      <c r="C94" s="8" t="s">
        <v>4027</v>
      </c>
      <c r="D94" s="9">
        <v>8.98362173E9</v>
      </c>
      <c r="E94" s="8" t="s">
        <v>4028</v>
      </c>
      <c r="F94" s="8" t="s">
        <v>4029</v>
      </c>
      <c r="G94" s="8" t="s">
        <v>4030</v>
      </c>
      <c r="H94" s="8" t="s">
        <v>3479</v>
      </c>
      <c r="I94" s="9">
        <v>0.0</v>
      </c>
      <c r="J94" s="9">
        <v>3055.0</v>
      </c>
      <c r="K94" s="9">
        <v>3055.0</v>
      </c>
      <c r="L94" s="9">
        <v>3055.0</v>
      </c>
      <c r="M94" s="9">
        <v>1099.0</v>
      </c>
      <c r="N94" s="9">
        <v>762.0</v>
      </c>
      <c r="O94" s="9">
        <v>1194.0</v>
      </c>
      <c r="P94" s="8" t="s">
        <v>3480</v>
      </c>
      <c r="Q94" s="8" t="s">
        <v>4031</v>
      </c>
      <c r="R94" s="8" t="s">
        <v>4032</v>
      </c>
    </row>
    <row r="95">
      <c r="A95" s="8" t="s">
        <v>125</v>
      </c>
      <c r="B95" s="8" t="s">
        <v>4033</v>
      </c>
      <c r="C95" s="8" t="s">
        <v>4034</v>
      </c>
      <c r="D95" s="9">
        <v>9.643533551E9</v>
      </c>
      <c r="E95" s="8" t="s">
        <v>4035</v>
      </c>
      <c r="F95" s="8" t="s">
        <v>3692</v>
      </c>
      <c r="G95" s="8" t="s">
        <v>4036</v>
      </c>
      <c r="H95" s="8" t="s">
        <v>3479</v>
      </c>
      <c r="I95" s="9">
        <v>0.0</v>
      </c>
      <c r="J95" s="9">
        <v>2178.0</v>
      </c>
      <c r="K95" s="9">
        <v>2178.0</v>
      </c>
      <c r="L95" s="9">
        <v>2178.0</v>
      </c>
      <c r="M95" s="9">
        <v>1390.0</v>
      </c>
      <c r="N95" s="9">
        <v>64.0</v>
      </c>
      <c r="O95" s="9">
        <v>724.0</v>
      </c>
      <c r="P95" s="8" t="s">
        <v>3480</v>
      </c>
      <c r="Q95" s="8" t="s">
        <v>4037</v>
      </c>
      <c r="R95" s="8" t="s">
        <v>4038</v>
      </c>
    </row>
    <row r="96">
      <c r="A96" s="8" t="s">
        <v>129</v>
      </c>
      <c r="B96" s="8" t="s">
        <v>4039</v>
      </c>
      <c r="C96" s="8" t="s">
        <v>4040</v>
      </c>
      <c r="D96" s="9">
        <v>9.552179245E9</v>
      </c>
      <c r="E96" s="8" t="s">
        <v>4041</v>
      </c>
      <c r="F96" s="8" t="s">
        <v>3523</v>
      </c>
      <c r="G96" s="8" t="s">
        <v>4042</v>
      </c>
      <c r="H96" s="8" t="s">
        <v>4043</v>
      </c>
      <c r="I96" s="9">
        <v>0.0</v>
      </c>
      <c r="J96" s="9">
        <v>8000.0</v>
      </c>
      <c r="K96" s="9">
        <v>8180.0</v>
      </c>
      <c r="L96" s="9">
        <v>8000.0</v>
      </c>
      <c r="M96" s="9">
        <v>6816.0</v>
      </c>
      <c r="N96" s="9">
        <v>730.0</v>
      </c>
      <c r="O96" s="9">
        <v>634.0</v>
      </c>
      <c r="P96" s="8" t="s">
        <v>3480</v>
      </c>
      <c r="Q96" s="8" t="s">
        <v>4044</v>
      </c>
      <c r="R96" s="8" t="s">
        <v>4045</v>
      </c>
    </row>
    <row r="97">
      <c r="A97" s="8" t="s">
        <v>96</v>
      </c>
      <c r="B97" s="8" t="s">
        <v>4046</v>
      </c>
      <c r="C97" s="8" t="s">
        <v>4047</v>
      </c>
      <c r="D97" s="9">
        <v>7.350018212E9</v>
      </c>
      <c r="E97" s="8" t="s">
        <v>4048</v>
      </c>
      <c r="F97" s="8" t="s">
        <v>3550</v>
      </c>
      <c r="G97" s="8" t="s">
        <v>4049</v>
      </c>
      <c r="H97" s="8" t="s">
        <v>3479</v>
      </c>
      <c r="I97" s="9">
        <v>0.0</v>
      </c>
      <c r="J97" s="9">
        <v>2134.0</v>
      </c>
      <c r="K97" s="9">
        <v>2134.0</v>
      </c>
      <c r="L97" s="9">
        <v>2134.0</v>
      </c>
      <c r="M97" s="9">
        <v>621.0</v>
      </c>
      <c r="N97" s="9">
        <v>739.0</v>
      </c>
      <c r="O97" s="9">
        <v>774.0</v>
      </c>
      <c r="P97" s="8" t="s">
        <v>3480</v>
      </c>
      <c r="Q97" s="8" t="s">
        <v>4050</v>
      </c>
      <c r="R97" s="8"/>
    </row>
    <row r="98">
      <c r="A98" s="8" t="s">
        <v>185</v>
      </c>
      <c r="B98" s="8" t="s">
        <v>4051</v>
      </c>
      <c r="C98" s="8" t="s">
        <v>4052</v>
      </c>
      <c r="D98" s="9">
        <v>8.623855792E9</v>
      </c>
      <c r="E98" s="8" t="s">
        <v>4053</v>
      </c>
      <c r="F98" s="8" t="s">
        <v>4054</v>
      </c>
      <c r="G98" s="8" t="s">
        <v>4055</v>
      </c>
      <c r="H98" s="8" t="s">
        <v>3479</v>
      </c>
      <c r="I98" s="9">
        <v>0.0</v>
      </c>
      <c r="J98" s="9">
        <v>1150.0</v>
      </c>
      <c r="K98" s="9">
        <v>1150.0</v>
      </c>
      <c r="L98" s="9">
        <v>1150.0</v>
      </c>
      <c r="M98" s="9">
        <v>1150.0</v>
      </c>
      <c r="N98" s="9">
        <v>0.0</v>
      </c>
      <c r="O98" s="9">
        <v>0.0</v>
      </c>
      <c r="P98" s="8" t="s">
        <v>3480</v>
      </c>
      <c r="Q98" s="8"/>
      <c r="R98" s="8"/>
    </row>
    <row r="99">
      <c r="A99" s="8" t="s">
        <v>147</v>
      </c>
      <c r="B99" s="8" t="s">
        <v>4056</v>
      </c>
      <c r="C99" s="8" t="s">
        <v>4057</v>
      </c>
      <c r="D99" s="9">
        <v>9.028366926E9</v>
      </c>
      <c r="E99" s="8" t="s">
        <v>4058</v>
      </c>
      <c r="F99" s="8" t="s">
        <v>4059</v>
      </c>
      <c r="G99" s="8" t="s">
        <v>4060</v>
      </c>
      <c r="H99" s="8" t="s">
        <v>3479</v>
      </c>
      <c r="I99" s="9">
        <v>0.0</v>
      </c>
      <c r="J99" s="9">
        <v>5354.0</v>
      </c>
      <c r="K99" s="9">
        <v>5354.0</v>
      </c>
      <c r="L99" s="9">
        <v>5354.0</v>
      </c>
      <c r="M99" s="9">
        <v>3516.0</v>
      </c>
      <c r="N99" s="9">
        <v>784.0</v>
      </c>
      <c r="O99" s="9">
        <v>1054.0</v>
      </c>
      <c r="P99" s="8" t="s">
        <v>3480</v>
      </c>
      <c r="Q99" s="8" t="s">
        <v>4061</v>
      </c>
      <c r="R99" s="8"/>
    </row>
    <row r="100">
      <c r="A100" s="8" t="s">
        <v>97</v>
      </c>
      <c r="B100" s="8" t="s">
        <v>4062</v>
      </c>
      <c r="C100" s="8" t="s">
        <v>4063</v>
      </c>
      <c r="D100" s="9">
        <v>9.94592858E9</v>
      </c>
      <c r="E100" s="8" t="s">
        <v>4064</v>
      </c>
      <c r="F100" s="8" t="s">
        <v>3707</v>
      </c>
      <c r="G100" s="8" t="s">
        <v>4065</v>
      </c>
      <c r="H100" s="8" t="s">
        <v>3479</v>
      </c>
      <c r="I100" s="9">
        <v>0.0</v>
      </c>
      <c r="J100" s="9">
        <v>3353.0</v>
      </c>
      <c r="K100" s="9">
        <v>3353.0</v>
      </c>
      <c r="L100" s="9">
        <v>3353.0</v>
      </c>
      <c r="M100" s="9">
        <v>2128.0</v>
      </c>
      <c r="N100" s="9">
        <v>710.0</v>
      </c>
      <c r="O100" s="9">
        <v>515.0</v>
      </c>
      <c r="P100" s="8" t="s">
        <v>3519</v>
      </c>
      <c r="Q100" s="8"/>
      <c r="R100" s="8"/>
    </row>
    <row r="101">
      <c r="A101" s="8" t="s">
        <v>212</v>
      </c>
      <c r="B101" s="8" t="s">
        <v>4066</v>
      </c>
      <c r="C101" s="8" t="s">
        <v>4067</v>
      </c>
      <c r="D101" s="9">
        <v>9.422355368E9</v>
      </c>
      <c r="E101" s="8" t="s">
        <v>4068</v>
      </c>
      <c r="F101" s="8" t="s">
        <v>3721</v>
      </c>
      <c r="G101" s="8" t="s">
        <v>3966</v>
      </c>
      <c r="H101" s="8" t="s">
        <v>3479</v>
      </c>
      <c r="I101" s="9">
        <v>1703.0</v>
      </c>
      <c r="J101" s="9">
        <v>0.0</v>
      </c>
      <c r="K101" s="9">
        <v>1703.0</v>
      </c>
      <c r="L101" s="9">
        <v>1703.0</v>
      </c>
      <c r="M101" s="9">
        <v>440.0</v>
      </c>
      <c r="N101" s="9">
        <v>739.0</v>
      </c>
      <c r="O101" s="9">
        <v>524.0</v>
      </c>
      <c r="P101" s="8" t="s">
        <v>3519</v>
      </c>
      <c r="Q101" s="8"/>
      <c r="R101" s="8"/>
    </row>
    <row r="102">
      <c r="A102" s="8" t="s">
        <v>168</v>
      </c>
      <c r="B102" s="8" t="s">
        <v>4069</v>
      </c>
      <c r="C102" s="8" t="s">
        <v>3948</v>
      </c>
      <c r="D102" s="9">
        <v>9.766589338E9</v>
      </c>
      <c r="E102" s="8" t="s">
        <v>4070</v>
      </c>
      <c r="F102" s="8" t="s">
        <v>4071</v>
      </c>
      <c r="G102" s="8" t="s">
        <v>4072</v>
      </c>
      <c r="H102" s="8" t="s">
        <v>3479</v>
      </c>
      <c r="I102" s="9">
        <v>0.0</v>
      </c>
      <c r="J102" s="9">
        <v>1364.0</v>
      </c>
      <c r="K102" s="9">
        <v>1364.0</v>
      </c>
      <c r="L102" s="9">
        <v>1364.0</v>
      </c>
      <c r="M102" s="9">
        <v>425.0</v>
      </c>
      <c r="N102" s="9">
        <v>190.0</v>
      </c>
      <c r="O102" s="9">
        <v>749.0</v>
      </c>
      <c r="P102" s="8" t="s">
        <v>3480</v>
      </c>
      <c r="Q102" s="8" t="s">
        <v>4073</v>
      </c>
      <c r="R102" s="8" t="s">
        <v>4074</v>
      </c>
    </row>
    <row r="103">
      <c r="A103" s="8" t="s">
        <v>150</v>
      </c>
      <c r="B103" s="8" t="s">
        <v>4075</v>
      </c>
      <c r="C103" s="8" t="s">
        <v>4076</v>
      </c>
      <c r="D103" s="9">
        <v>9.59517174E9</v>
      </c>
      <c r="E103" s="8" t="s">
        <v>4077</v>
      </c>
      <c r="F103" s="8" t="s">
        <v>4011</v>
      </c>
      <c r="G103" s="8" t="s">
        <v>4078</v>
      </c>
      <c r="H103" s="8" t="s">
        <v>3479</v>
      </c>
      <c r="I103" s="9">
        <v>0.0</v>
      </c>
      <c r="J103" s="9">
        <v>2798.0</v>
      </c>
      <c r="K103" s="9">
        <v>2798.0</v>
      </c>
      <c r="L103" s="9">
        <v>2798.0</v>
      </c>
      <c r="M103" s="9">
        <v>1844.0</v>
      </c>
      <c r="N103" s="9">
        <v>0.0</v>
      </c>
      <c r="O103" s="9">
        <v>954.0</v>
      </c>
      <c r="P103" s="8" t="s">
        <v>3519</v>
      </c>
      <c r="Q103" s="8" t="s">
        <v>4079</v>
      </c>
      <c r="R103" s="8"/>
    </row>
    <row r="104">
      <c r="A104" s="8" t="s">
        <v>169</v>
      </c>
      <c r="B104" s="8" t="s">
        <v>4080</v>
      </c>
      <c r="C104" s="8" t="s">
        <v>4081</v>
      </c>
      <c r="D104" s="9">
        <v>9.665390129E9</v>
      </c>
      <c r="E104" s="8" t="s">
        <v>4082</v>
      </c>
      <c r="F104" s="8" t="s">
        <v>3809</v>
      </c>
      <c r="G104" s="8" t="s">
        <v>4083</v>
      </c>
      <c r="H104" s="8" t="s">
        <v>3479</v>
      </c>
      <c r="I104" s="9">
        <v>0.0</v>
      </c>
      <c r="J104" s="9">
        <v>1004.0</v>
      </c>
      <c r="K104" s="9">
        <v>1004.0</v>
      </c>
      <c r="L104" s="9">
        <v>1004.0</v>
      </c>
      <c r="M104" s="9">
        <v>255.0</v>
      </c>
      <c r="N104" s="9">
        <v>0.0</v>
      </c>
      <c r="O104" s="9">
        <v>749.0</v>
      </c>
      <c r="P104" s="8" t="s">
        <v>3480</v>
      </c>
      <c r="Q104" s="8" t="s">
        <v>4084</v>
      </c>
      <c r="R104" s="8" t="s">
        <v>4085</v>
      </c>
    </row>
    <row r="105">
      <c r="A105" s="8" t="s">
        <v>213</v>
      </c>
      <c r="B105" s="8" t="s">
        <v>4086</v>
      </c>
      <c r="C105" s="8" t="s">
        <v>4087</v>
      </c>
      <c r="D105" s="9">
        <v>9.890022157E9</v>
      </c>
      <c r="E105" s="8" t="s">
        <v>4088</v>
      </c>
      <c r="F105" s="8" t="s">
        <v>4089</v>
      </c>
      <c r="G105" s="8" t="s">
        <v>3966</v>
      </c>
      <c r="H105" s="8" t="s">
        <v>3479</v>
      </c>
      <c r="I105" s="9">
        <v>0.0</v>
      </c>
      <c r="J105" s="9">
        <v>1164.0</v>
      </c>
      <c r="K105" s="9">
        <v>1164.0</v>
      </c>
      <c r="L105" s="9">
        <v>1164.0</v>
      </c>
      <c r="M105" s="9">
        <v>225.0</v>
      </c>
      <c r="N105" s="9">
        <v>190.0</v>
      </c>
      <c r="O105" s="9">
        <v>749.0</v>
      </c>
      <c r="P105" s="8" t="s">
        <v>3480</v>
      </c>
      <c r="Q105" s="8"/>
      <c r="R105" s="8"/>
    </row>
    <row r="106">
      <c r="A106" s="8" t="s">
        <v>172</v>
      </c>
      <c r="B106" s="8" t="s">
        <v>4090</v>
      </c>
      <c r="C106" s="8" t="s">
        <v>4091</v>
      </c>
      <c r="D106" s="9">
        <v>9.73051251E9</v>
      </c>
      <c r="E106" s="8" t="s">
        <v>4092</v>
      </c>
      <c r="F106" s="8" t="s">
        <v>4093</v>
      </c>
      <c r="G106" s="8" t="s">
        <v>4094</v>
      </c>
      <c r="H106" s="8" t="s">
        <v>3479</v>
      </c>
      <c r="I106" s="9">
        <v>0.0</v>
      </c>
      <c r="J106" s="9">
        <v>1738.0</v>
      </c>
      <c r="K106" s="9">
        <v>1738.0</v>
      </c>
      <c r="L106" s="9">
        <v>1738.0</v>
      </c>
      <c r="M106" s="9">
        <v>355.0</v>
      </c>
      <c r="N106" s="9">
        <v>784.0</v>
      </c>
      <c r="O106" s="9">
        <v>599.0</v>
      </c>
      <c r="P106" s="8" t="s">
        <v>3480</v>
      </c>
      <c r="Q106" s="8" t="s">
        <v>4095</v>
      </c>
      <c r="R106" s="8" t="s">
        <v>4096</v>
      </c>
    </row>
    <row r="107">
      <c r="A107" s="8" t="s">
        <v>173</v>
      </c>
      <c r="B107" s="8" t="s">
        <v>4097</v>
      </c>
      <c r="C107" s="8" t="s">
        <v>4098</v>
      </c>
      <c r="D107" s="9">
        <v>8.275283336E9</v>
      </c>
      <c r="E107" s="8" t="s">
        <v>4099</v>
      </c>
      <c r="F107" s="8" t="s">
        <v>4100</v>
      </c>
      <c r="G107" s="8" t="s">
        <v>4101</v>
      </c>
      <c r="H107" s="8" t="s">
        <v>4102</v>
      </c>
      <c r="I107" s="9">
        <v>0.0</v>
      </c>
      <c r="J107" s="9">
        <v>3300.0</v>
      </c>
      <c r="K107" s="9">
        <v>3398.0</v>
      </c>
      <c r="L107" s="9">
        <v>3300.0</v>
      </c>
      <c r="M107" s="9">
        <v>2973.0</v>
      </c>
      <c r="N107" s="9">
        <v>0.0</v>
      </c>
      <c r="O107" s="9">
        <v>425.0</v>
      </c>
      <c r="P107" s="8" t="s">
        <v>3519</v>
      </c>
      <c r="Q107" s="8"/>
      <c r="R107" s="8"/>
    </row>
    <row r="108">
      <c r="A108" s="8" t="s">
        <v>170</v>
      </c>
      <c r="B108" s="8" t="s">
        <v>4103</v>
      </c>
      <c r="C108" s="8" t="s">
        <v>4104</v>
      </c>
      <c r="D108" s="9">
        <v>9.922997593E9</v>
      </c>
      <c r="E108" s="8" t="s">
        <v>4105</v>
      </c>
      <c r="F108" s="8" t="s">
        <v>3486</v>
      </c>
      <c r="G108" s="8" t="s">
        <v>4106</v>
      </c>
      <c r="H108" s="8" t="s">
        <v>3479</v>
      </c>
      <c r="I108" s="9">
        <v>0.0</v>
      </c>
      <c r="J108" s="9">
        <v>1549.0</v>
      </c>
      <c r="K108" s="9">
        <v>1549.0</v>
      </c>
      <c r="L108" s="9">
        <v>1549.0</v>
      </c>
      <c r="M108" s="9">
        <v>370.0</v>
      </c>
      <c r="N108" s="9">
        <v>730.0</v>
      </c>
      <c r="O108" s="9">
        <v>449.0</v>
      </c>
      <c r="P108" s="8" t="s">
        <v>3480</v>
      </c>
      <c r="Q108" s="8" t="s">
        <v>4107</v>
      </c>
      <c r="R108" s="8" t="s">
        <v>4108</v>
      </c>
    </row>
    <row r="109">
      <c r="A109" s="8" t="s">
        <v>174</v>
      </c>
      <c r="B109" s="8" t="s">
        <v>4109</v>
      </c>
      <c r="C109" s="8" t="s">
        <v>4110</v>
      </c>
      <c r="D109" s="9">
        <v>7.387043468E9</v>
      </c>
      <c r="E109" s="8" t="s">
        <v>4111</v>
      </c>
      <c r="F109" s="8" t="s">
        <v>4112</v>
      </c>
      <c r="G109" s="8" t="s">
        <v>4113</v>
      </c>
      <c r="H109" s="8" t="s">
        <v>3479</v>
      </c>
      <c r="I109" s="9">
        <v>0.0</v>
      </c>
      <c r="J109" s="9">
        <v>1214.0</v>
      </c>
      <c r="K109" s="9">
        <v>1214.0</v>
      </c>
      <c r="L109" s="9">
        <v>1214.0</v>
      </c>
      <c r="M109" s="9">
        <v>465.0</v>
      </c>
      <c r="N109" s="9">
        <v>0.0</v>
      </c>
      <c r="O109" s="9">
        <v>749.0</v>
      </c>
      <c r="P109" s="8" t="s">
        <v>3480</v>
      </c>
      <c r="Q109" s="8" t="s">
        <v>4114</v>
      </c>
      <c r="R109" s="8" t="s">
        <v>4115</v>
      </c>
    </row>
    <row r="110">
      <c r="A110" s="8" t="s">
        <v>171</v>
      </c>
      <c r="B110" s="8" t="s">
        <v>4116</v>
      </c>
      <c r="C110" s="8" t="s">
        <v>4117</v>
      </c>
      <c r="D110" s="9">
        <v>9.76619971E9</v>
      </c>
      <c r="E110" s="8" t="s">
        <v>4118</v>
      </c>
      <c r="F110" s="8" t="s">
        <v>3615</v>
      </c>
      <c r="G110" s="8" t="s">
        <v>4119</v>
      </c>
      <c r="H110" s="8" t="s">
        <v>3479</v>
      </c>
      <c r="I110" s="9">
        <v>0.0</v>
      </c>
      <c r="J110" s="9">
        <v>1623.0</v>
      </c>
      <c r="K110" s="9">
        <v>1623.0</v>
      </c>
      <c r="L110" s="9">
        <v>1623.0</v>
      </c>
      <c r="M110" s="9">
        <v>390.0</v>
      </c>
      <c r="N110" s="9">
        <v>784.0</v>
      </c>
      <c r="O110" s="9">
        <v>449.0</v>
      </c>
      <c r="P110" s="8" t="s">
        <v>3480</v>
      </c>
      <c r="Q110" s="8" t="s">
        <v>4120</v>
      </c>
      <c r="R110" s="8" t="s">
        <v>4121</v>
      </c>
    </row>
    <row r="111">
      <c r="A111" s="8" t="s">
        <v>177</v>
      </c>
      <c r="B111" s="8" t="s">
        <v>4122</v>
      </c>
      <c r="C111" s="8" t="s">
        <v>4123</v>
      </c>
      <c r="D111" s="9">
        <v>7.709512619E9</v>
      </c>
      <c r="E111" s="8" t="s">
        <v>4124</v>
      </c>
      <c r="F111" s="8" t="s">
        <v>4125</v>
      </c>
      <c r="G111" s="8" t="s">
        <v>4126</v>
      </c>
      <c r="H111" s="8" t="s">
        <v>3479</v>
      </c>
      <c r="I111" s="9">
        <v>0.0</v>
      </c>
      <c r="J111" s="9">
        <v>3307.0</v>
      </c>
      <c r="K111" s="9">
        <v>3307.0</v>
      </c>
      <c r="L111" s="9">
        <v>3307.0</v>
      </c>
      <c r="M111" s="9">
        <v>1510.0</v>
      </c>
      <c r="N111" s="9">
        <v>848.0</v>
      </c>
      <c r="O111" s="9">
        <v>949.0</v>
      </c>
      <c r="P111" s="8" t="s">
        <v>3544</v>
      </c>
      <c r="Q111" s="8"/>
      <c r="R111" s="8"/>
    </row>
    <row r="112">
      <c r="A112" s="8" t="s">
        <v>178</v>
      </c>
      <c r="B112" s="8" t="s">
        <v>4127</v>
      </c>
      <c r="C112" s="8" t="s">
        <v>4128</v>
      </c>
      <c r="D112" s="9">
        <v>9.860977864E9</v>
      </c>
      <c r="E112" s="8" t="s">
        <v>4129</v>
      </c>
      <c r="F112" s="8" t="s">
        <v>3601</v>
      </c>
      <c r="G112" s="8" t="s">
        <v>4130</v>
      </c>
      <c r="H112" s="8" t="s">
        <v>3479</v>
      </c>
      <c r="I112" s="9">
        <v>0.0</v>
      </c>
      <c r="J112" s="9">
        <v>1514.0</v>
      </c>
      <c r="K112" s="9">
        <v>1514.0</v>
      </c>
      <c r="L112" s="9">
        <v>1514.0</v>
      </c>
      <c r="M112" s="9">
        <v>255.0</v>
      </c>
      <c r="N112" s="9">
        <v>730.0</v>
      </c>
      <c r="O112" s="9">
        <v>529.0</v>
      </c>
      <c r="P112" s="8" t="s">
        <v>3480</v>
      </c>
      <c r="Q112" s="8"/>
      <c r="R112" s="8"/>
    </row>
    <row r="113">
      <c r="A113" s="8" t="s">
        <v>175</v>
      </c>
      <c r="B113" s="8" t="s">
        <v>4131</v>
      </c>
      <c r="C113" s="8" t="s">
        <v>4132</v>
      </c>
      <c r="D113" s="9">
        <v>8.898959509E9</v>
      </c>
      <c r="E113" s="8" t="s">
        <v>4133</v>
      </c>
      <c r="F113" s="8" t="s">
        <v>4134</v>
      </c>
      <c r="G113" s="8" t="s">
        <v>4036</v>
      </c>
      <c r="H113" s="8" t="s">
        <v>3479</v>
      </c>
      <c r="I113" s="9">
        <v>0.0</v>
      </c>
      <c r="J113" s="9">
        <v>1070.0</v>
      </c>
      <c r="K113" s="9">
        <v>1070.0</v>
      </c>
      <c r="L113" s="9">
        <v>1070.0</v>
      </c>
      <c r="M113" s="9">
        <v>320.0</v>
      </c>
      <c r="N113" s="9">
        <v>0.0</v>
      </c>
      <c r="O113" s="9">
        <v>750.0</v>
      </c>
      <c r="P113" s="8" t="s">
        <v>3544</v>
      </c>
      <c r="Q113" s="8"/>
      <c r="R113" s="8"/>
    </row>
    <row r="114">
      <c r="A114" s="8" t="s">
        <v>179</v>
      </c>
      <c r="B114" s="8" t="s">
        <v>4135</v>
      </c>
      <c r="C114" s="8" t="s">
        <v>4136</v>
      </c>
      <c r="D114" s="9">
        <v>7.875519284E9</v>
      </c>
      <c r="E114" s="8" t="s">
        <v>4137</v>
      </c>
      <c r="F114" s="8" t="s">
        <v>3601</v>
      </c>
      <c r="G114" s="8" t="s">
        <v>4138</v>
      </c>
      <c r="H114" s="8" t="s">
        <v>3479</v>
      </c>
      <c r="I114" s="9">
        <v>0.0</v>
      </c>
      <c r="J114" s="9">
        <v>3109.0</v>
      </c>
      <c r="K114" s="9">
        <v>3109.0</v>
      </c>
      <c r="L114" s="9">
        <v>3109.0</v>
      </c>
      <c r="M114" s="9">
        <v>1480.0</v>
      </c>
      <c r="N114" s="9">
        <v>730.0</v>
      </c>
      <c r="O114" s="9">
        <v>899.0</v>
      </c>
      <c r="P114" s="8" t="s">
        <v>3480</v>
      </c>
      <c r="Q114" s="8" t="s">
        <v>4139</v>
      </c>
      <c r="R114" s="8" t="s">
        <v>4140</v>
      </c>
    </row>
    <row r="115">
      <c r="A115" s="8" t="s">
        <v>180</v>
      </c>
      <c r="B115" s="8" t="s">
        <v>4141</v>
      </c>
      <c r="C115" s="8" t="s">
        <v>3592</v>
      </c>
      <c r="D115" s="9">
        <v>9.975072072E9</v>
      </c>
      <c r="E115" s="8" t="s">
        <v>4142</v>
      </c>
      <c r="F115" s="8" t="s">
        <v>4143</v>
      </c>
      <c r="G115" s="8" t="s">
        <v>4144</v>
      </c>
      <c r="H115" s="8" t="s">
        <v>3479</v>
      </c>
      <c r="I115" s="9">
        <v>0.0</v>
      </c>
      <c r="J115" s="9">
        <v>3081.0</v>
      </c>
      <c r="K115" s="9">
        <v>3081.0</v>
      </c>
      <c r="L115" s="9">
        <v>3081.0</v>
      </c>
      <c r="M115" s="9">
        <v>1856.0</v>
      </c>
      <c r="N115" s="9">
        <v>710.0</v>
      </c>
      <c r="O115" s="9">
        <v>515.0</v>
      </c>
      <c r="P115" s="8" t="s">
        <v>3480</v>
      </c>
      <c r="Q115" s="8" t="s">
        <v>4145</v>
      </c>
      <c r="R115" s="8" t="s">
        <v>4146</v>
      </c>
    </row>
    <row r="116">
      <c r="A116" s="8" t="s">
        <v>182</v>
      </c>
      <c r="B116" s="8" t="s">
        <v>4147</v>
      </c>
      <c r="C116" s="8" t="s">
        <v>4148</v>
      </c>
      <c r="D116" s="9">
        <v>8.9838526E9</v>
      </c>
      <c r="E116" s="8" t="s">
        <v>4149</v>
      </c>
      <c r="F116" s="8" t="s">
        <v>4150</v>
      </c>
      <c r="G116" s="8" t="s">
        <v>4151</v>
      </c>
      <c r="H116" s="8" t="s">
        <v>3479</v>
      </c>
      <c r="I116" s="9">
        <v>0.0</v>
      </c>
      <c r="J116" s="9">
        <v>2570.0</v>
      </c>
      <c r="K116" s="9">
        <v>2570.0</v>
      </c>
      <c r="L116" s="9">
        <v>2570.0</v>
      </c>
      <c r="M116" s="9">
        <v>507.0</v>
      </c>
      <c r="N116" s="9">
        <v>1189.0</v>
      </c>
      <c r="O116" s="9">
        <v>874.0</v>
      </c>
      <c r="P116" s="8" t="s">
        <v>3544</v>
      </c>
      <c r="Q116" s="8" t="s">
        <v>4152</v>
      </c>
      <c r="R116" s="8" t="s">
        <v>4153</v>
      </c>
    </row>
    <row r="117">
      <c r="A117" s="8" t="s">
        <v>181</v>
      </c>
      <c r="B117" s="8" t="s">
        <v>4154</v>
      </c>
      <c r="C117" s="8" t="s">
        <v>4155</v>
      </c>
      <c r="D117" s="9">
        <v>9.860213845E9</v>
      </c>
      <c r="E117" s="8" t="s">
        <v>4156</v>
      </c>
      <c r="F117" s="8" t="s">
        <v>3977</v>
      </c>
      <c r="G117" s="8" t="s">
        <v>4157</v>
      </c>
      <c r="H117" s="8" t="s">
        <v>3479</v>
      </c>
      <c r="I117" s="9">
        <v>0.0</v>
      </c>
      <c r="J117" s="9">
        <v>1382.0</v>
      </c>
      <c r="K117" s="9">
        <v>1382.0</v>
      </c>
      <c r="L117" s="9">
        <v>1382.0</v>
      </c>
      <c r="M117" s="9">
        <v>310.0</v>
      </c>
      <c r="N117" s="9">
        <v>248.0</v>
      </c>
      <c r="O117" s="9">
        <v>824.0</v>
      </c>
      <c r="P117" s="8" t="s">
        <v>3480</v>
      </c>
      <c r="Q117" s="8" t="s">
        <v>4158</v>
      </c>
      <c r="R117" s="8" t="s">
        <v>4159</v>
      </c>
    </row>
    <row r="118">
      <c r="A118" s="8" t="s">
        <v>176</v>
      </c>
      <c r="B118" s="8" t="s">
        <v>4160</v>
      </c>
      <c r="C118" s="8" t="s">
        <v>4161</v>
      </c>
      <c r="D118" s="9">
        <v>9.920682624E9</v>
      </c>
      <c r="E118" s="8" t="s">
        <v>4162</v>
      </c>
      <c r="F118" s="8" t="s">
        <v>4011</v>
      </c>
      <c r="G118" s="8" t="s">
        <v>4163</v>
      </c>
      <c r="H118" s="8" t="s">
        <v>3479</v>
      </c>
      <c r="I118" s="9">
        <v>0.0</v>
      </c>
      <c r="J118" s="9">
        <v>1029.0</v>
      </c>
      <c r="K118" s="9">
        <v>1029.0</v>
      </c>
      <c r="L118" s="9">
        <v>1029.0</v>
      </c>
      <c r="M118" s="9">
        <v>250.0</v>
      </c>
      <c r="N118" s="9">
        <v>0.0</v>
      </c>
      <c r="O118" s="9">
        <v>779.0</v>
      </c>
      <c r="P118" s="8" t="s">
        <v>3480</v>
      </c>
      <c r="Q118" s="8" t="s">
        <v>4164</v>
      </c>
      <c r="R118" s="8" t="s">
        <v>4165</v>
      </c>
    </row>
    <row r="119">
      <c r="A119" s="8" t="s">
        <v>183</v>
      </c>
      <c r="B119" s="8" t="s">
        <v>4166</v>
      </c>
      <c r="C119" s="8" t="s">
        <v>4167</v>
      </c>
      <c r="D119" s="9">
        <v>7.558218912E9</v>
      </c>
      <c r="E119" s="8" t="s">
        <v>4168</v>
      </c>
      <c r="F119" s="8" t="s">
        <v>3589</v>
      </c>
      <c r="G119" s="8" t="s">
        <v>4169</v>
      </c>
      <c r="H119" s="8" t="s">
        <v>3479</v>
      </c>
      <c r="I119" s="9">
        <v>0.0</v>
      </c>
      <c r="J119" s="9">
        <v>2625.0</v>
      </c>
      <c r="K119" s="9">
        <v>2625.0</v>
      </c>
      <c r="L119" s="9">
        <v>2625.0</v>
      </c>
      <c r="M119" s="9">
        <v>1446.0</v>
      </c>
      <c r="N119" s="9">
        <v>730.0</v>
      </c>
      <c r="O119" s="9">
        <v>449.0</v>
      </c>
      <c r="P119" s="8" t="s">
        <v>3519</v>
      </c>
      <c r="Q119" s="8" t="s">
        <v>4170</v>
      </c>
      <c r="R119" s="8" t="s">
        <v>4171</v>
      </c>
    </row>
    <row r="120">
      <c r="A120" s="8" t="s">
        <v>224</v>
      </c>
      <c r="B120" s="8" t="s">
        <v>4172</v>
      </c>
      <c r="C120" s="8" t="s">
        <v>4173</v>
      </c>
      <c r="D120" s="9">
        <v>7.226835854E9</v>
      </c>
      <c r="E120" s="8" t="s">
        <v>4174</v>
      </c>
      <c r="F120" s="8" t="s">
        <v>4175</v>
      </c>
      <c r="G120" s="8" t="s">
        <v>4176</v>
      </c>
      <c r="H120" s="8" t="s">
        <v>3479</v>
      </c>
      <c r="I120" s="9">
        <v>0.0</v>
      </c>
      <c r="J120" s="9">
        <v>599.0</v>
      </c>
      <c r="K120" s="9">
        <v>599.0</v>
      </c>
      <c r="L120" s="9">
        <v>599.0</v>
      </c>
      <c r="M120" s="9">
        <v>0.0</v>
      </c>
      <c r="N120" s="9">
        <v>0.0</v>
      </c>
      <c r="O120" s="9">
        <v>599.0</v>
      </c>
      <c r="P120" s="8" t="s">
        <v>3480</v>
      </c>
      <c r="Q120" s="8" t="s">
        <v>4177</v>
      </c>
      <c r="R120" s="8" t="s">
        <v>4178</v>
      </c>
    </row>
    <row r="121">
      <c r="A121" s="8" t="s">
        <v>151</v>
      </c>
      <c r="B121" s="8" t="s">
        <v>4179</v>
      </c>
      <c r="C121" s="8" t="s">
        <v>4180</v>
      </c>
      <c r="D121" s="9">
        <v>9.860587266E9</v>
      </c>
      <c r="E121" s="8" t="s">
        <v>4181</v>
      </c>
      <c r="F121" s="8" t="s">
        <v>3901</v>
      </c>
      <c r="G121" s="8" t="s">
        <v>4182</v>
      </c>
      <c r="H121" s="8" t="s">
        <v>3479</v>
      </c>
      <c r="I121" s="9">
        <v>0.0</v>
      </c>
      <c r="J121" s="9">
        <v>1368.0</v>
      </c>
      <c r="K121" s="9">
        <v>1368.0</v>
      </c>
      <c r="L121" s="9">
        <v>1368.0</v>
      </c>
      <c r="M121" s="9">
        <v>135.0</v>
      </c>
      <c r="N121" s="9">
        <v>784.0</v>
      </c>
      <c r="O121" s="9">
        <v>449.0</v>
      </c>
      <c r="P121" s="8" t="s">
        <v>4183</v>
      </c>
      <c r="Q121" s="8" t="s">
        <v>4184</v>
      </c>
      <c r="R121" s="8" t="s">
        <v>4185</v>
      </c>
    </row>
    <row r="122">
      <c r="A122" s="8" t="s">
        <v>184</v>
      </c>
      <c r="B122" s="8" t="s">
        <v>4186</v>
      </c>
      <c r="C122" s="8" t="s">
        <v>4187</v>
      </c>
      <c r="D122" s="9">
        <v>9.172460437E9</v>
      </c>
      <c r="E122" s="8" t="s">
        <v>4188</v>
      </c>
      <c r="F122" s="8" t="s">
        <v>4189</v>
      </c>
      <c r="G122" s="8" t="s">
        <v>4190</v>
      </c>
      <c r="H122" s="8" t="s">
        <v>3479</v>
      </c>
      <c r="I122" s="9">
        <v>0.0</v>
      </c>
      <c r="J122" s="9">
        <v>776.0</v>
      </c>
      <c r="K122" s="9">
        <v>776.0</v>
      </c>
      <c r="L122" s="9">
        <v>776.0</v>
      </c>
      <c r="M122" s="9">
        <v>776.0</v>
      </c>
      <c r="N122" s="9">
        <v>0.0</v>
      </c>
      <c r="O122" s="9">
        <v>0.0</v>
      </c>
      <c r="P122" s="8" t="s">
        <v>3480</v>
      </c>
      <c r="Q122" s="8"/>
      <c r="R122" s="8"/>
    </row>
    <row r="123">
      <c r="A123" s="8" t="s">
        <v>223</v>
      </c>
      <c r="B123" s="8" t="s">
        <v>4191</v>
      </c>
      <c r="C123" s="8" t="s">
        <v>4192</v>
      </c>
      <c r="D123" s="9">
        <v>9.011070946E9</v>
      </c>
      <c r="E123" s="8" t="s">
        <v>4193</v>
      </c>
      <c r="F123" s="8" t="s">
        <v>3821</v>
      </c>
      <c r="G123" s="8" t="s">
        <v>4194</v>
      </c>
      <c r="H123" s="8" t="s">
        <v>3479</v>
      </c>
      <c r="I123" s="9">
        <v>0.0</v>
      </c>
      <c r="J123" s="9">
        <v>1784.0</v>
      </c>
      <c r="K123" s="9">
        <v>1784.0</v>
      </c>
      <c r="L123" s="9">
        <v>1784.0</v>
      </c>
      <c r="M123" s="9">
        <v>450.0</v>
      </c>
      <c r="N123" s="9">
        <v>730.0</v>
      </c>
      <c r="O123" s="9">
        <v>604.0</v>
      </c>
      <c r="P123" s="8" t="s">
        <v>3480</v>
      </c>
      <c r="Q123" s="8" t="s">
        <v>4195</v>
      </c>
      <c r="R123" s="8" t="s">
        <v>4196</v>
      </c>
    </row>
    <row r="124">
      <c r="A124" s="8" t="s">
        <v>225</v>
      </c>
      <c r="B124" s="8" t="s">
        <v>4197</v>
      </c>
      <c r="C124" s="8" t="s">
        <v>4198</v>
      </c>
      <c r="D124" s="9">
        <v>9.689373878E9</v>
      </c>
      <c r="E124" s="8" t="s">
        <v>4199</v>
      </c>
      <c r="F124" s="8" t="s">
        <v>3608</v>
      </c>
      <c r="G124" s="8" t="s">
        <v>4200</v>
      </c>
      <c r="H124" s="8" t="s">
        <v>3479</v>
      </c>
      <c r="I124" s="9">
        <v>0.0</v>
      </c>
      <c r="J124" s="9">
        <v>1289.0</v>
      </c>
      <c r="K124" s="9">
        <v>1289.0</v>
      </c>
      <c r="L124" s="9">
        <v>1289.0</v>
      </c>
      <c r="M124" s="9">
        <v>110.0</v>
      </c>
      <c r="N124" s="9">
        <v>730.0</v>
      </c>
      <c r="O124" s="9">
        <v>449.0</v>
      </c>
      <c r="P124" s="8" t="s">
        <v>3480</v>
      </c>
      <c r="Q124" s="8" t="s">
        <v>4201</v>
      </c>
      <c r="R124" s="8" t="s">
        <v>4202</v>
      </c>
    </row>
    <row r="125">
      <c r="A125" s="8" t="s">
        <v>232</v>
      </c>
      <c r="B125" s="8" t="s">
        <v>4203</v>
      </c>
      <c r="C125" s="8" t="s">
        <v>4204</v>
      </c>
      <c r="D125" s="9">
        <v>9.561466895E9</v>
      </c>
      <c r="E125" s="8" t="s">
        <v>4205</v>
      </c>
      <c r="F125" s="8" t="s">
        <v>4206</v>
      </c>
      <c r="G125" s="8" t="s">
        <v>4036</v>
      </c>
      <c r="H125" s="8" t="s">
        <v>4207</v>
      </c>
      <c r="I125" s="9">
        <v>0.0</v>
      </c>
      <c r="J125" s="9">
        <v>60.0</v>
      </c>
      <c r="K125" s="9">
        <v>3060.0</v>
      </c>
      <c r="L125" s="9">
        <v>3060.0</v>
      </c>
      <c r="M125" s="9">
        <v>2685.0</v>
      </c>
      <c r="N125" s="9">
        <v>0.0</v>
      </c>
      <c r="O125" s="9">
        <v>375.0</v>
      </c>
      <c r="P125" s="8" t="s">
        <v>3480</v>
      </c>
      <c r="Q125" s="8"/>
      <c r="R125" s="8"/>
    </row>
    <row r="126">
      <c r="A126" s="8" t="s">
        <v>231</v>
      </c>
      <c r="B126" s="8" t="s">
        <v>4208</v>
      </c>
      <c r="C126" s="8" t="s">
        <v>4209</v>
      </c>
      <c r="D126" s="9">
        <v>9.881433661E9</v>
      </c>
      <c r="E126" s="8" t="s">
        <v>4210</v>
      </c>
      <c r="F126" s="8" t="s">
        <v>3498</v>
      </c>
      <c r="G126" s="8" t="s">
        <v>4211</v>
      </c>
      <c r="H126" s="8" t="s">
        <v>3479</v>
      </c>
      <c r="I126" s="9">
        <v>0.0</v>
      </c>
      <c r="J126" s="9">
        <v>1250.0</v>
      </c>
      <c r="K126" s="9">
        <v>1250.0</v>
      </c>
      <c r="L126" s="9">
        <v>1250.0</v>
      </c>
      <c r="M126" s="9">
        <v>1250.0</v>
      </c>
      <c r="N126" s="9">
        <v>0.0</v>
      </c>
      <c r="O126" s="9">
        <v>0.0</v>
      </c>
      <c r="P126" s="8" t="s">
        <v>3544</v>
      </c>
      <c r="Q126" s="8" t="s">
        <v>4212</v>
      </c>
      <c r="R126" s="8" t="s">
        <v>4213</v>
      </c>
    </row>
    <row r="127">
      <c r="A127" s="8" t="s">
        <v>226</v>
      </c>
      <c r="B127" s="8" t="s">
        <v>4214</v>
      </c>
      <c r="C127" s="8" t="s">
        <v>4215</v>
      </c>
      <c r="D127" s="9">
        <v>7.905318496E9</v>
      </c>
      <c r="E127" s="8" t="s">
        <v>4216</v>
      </c>
      <c r="F127" s="8" t="s">
        <v>3608</v>
      </c>
      <c r="G127" s="8" t="s">
        <v>4012</v>
      </c>
      <c r="H127" s="8" t="s">
        <v>3479</v>
      </c>
      <c r="I127" s="9">
        <v>1506.0</v>
      </c>
      <c r="J127" s="9">
        <v>0.0</v>
      </c>
      <c r="K127" s="9">
        <v>1506.0</v>
      </c>
      <c r="L127" s="9">
        <v>1506.0</v>
      </c>
      <c r="M127" s="9">
        <v>338.0</v>
      </c>
      <c r="N127" s="9">
        <v>719.0</v>
      </c>
      <c r="O127" s="9">
        <v>449.0</v>
      </c>
      <c r="P127" s="8" t="s">
        <v>3480</v>
      </c>
      <c r="Q127" s="8" t="s">
        <v>4217</v>
      </c>
      <c r="R127" s="8" t="s">
        <v>4218</v>
      </c>
    </row>
    <row r="128">
      <c r="A128" s="8" t="s">
        <v>235</v>
      </c>
      <c r="B128" s="8" t="s">
        <v>4219</v>
      </c>
      <c r="C128" s="8" t="s">
        <v>4220</v>
      </c>
      <c r="D128" s="9">
        <v>7.798529737E9</v>
      </c>
      <c r="E128" s="8" t="s">
        <v>4221</v>
      </c>
      <c r="F128" s="8" t="s">
        <v>3564</v>
      </c>
      <c r="G128" s="8" t="s">
        <v>4222</v>
      </c>
      <c r="H128" s="8" t="s">
        <v>4223</v>
      </c>
      <c r="I128" s="9">
        <v>0.0</v>
      </c>
      <c r="J128" s="9">
        <v>2100.0</v>
      </c>
      <c r="K128" s="9">
        <v>2329.0</v>
      </c>
      <c r="L128" s="9">
        <v>2100.0</v>
      </c>
      <c r="M128" s="9">
        <v>1215.0</v>
      </c>
      <c r="N128" s="9">
        <v>190.0</v>
      </c>
      <c r="O128" s="9">
        <v>924.0</v>
      </c>
      <c r="P128" s="8" t="s">
        <v>3519</v>
      </c>
      <c r="Q128" s="8"/>
      <c r="R128" s="8"/>
    </row>
    <row r="129">
      <c r="A129" s="8" t="s">
        <v>234</v>
      </c>
      <c r="B129" s="8" t="s">
        <v>4224</v>
      </c>
      <c r="C129" s="8" t="s">
        <v>4225</v>
      </c>
      <c r="D129" s="9">
        <v>9.975001056E9</v>
      </c>
      <c r="E129" s="8" t="s">
        <v>4226</v>
      </c>
      <c r="F129" s="8" t="s">
        <v>3557</v>
      </c>
      <c r="G129" s="8" t="s">
        <v>4227</v>
      </c>
      <c r="H129" s="8" t="s">
        <v>3479</v>
      </c>
      <c r="I129" s="9">
        <v>0.0</v>
      </c>
      <c r="J129" s="9">
        <v>3590.0</v>
      </c>
      <c r="K129" s="9">
        <v>3590.0</v>
      </c>
      <c r="L129" s="9">
        <v>3590.0</v>
      </c>
      <c r="M129" s="9">
        <v>2466.0</v>
      </c>
      <c r="N129" s="9">
        <v>150.0</v>
      </c>
      <c r="O129" s="9">
        <v>974.0</v>
      </c>
      <c r="P129" s="8" t="s">
        <v>3480</v>
      </c>
      <c r="Q129" s="8" t="s">
        <v>4228</v>
      </c>
      <c r="R129" s="8" t="s">
        <v>4229</v>
      </c>
    </row>
    <row r="130">
      <c r="A130" s="8" t="s">
        <v>233</v>
      </c>
      <c r="B130" s="8" t="s">
        <v>4230</v>
      </c>
      <c r="C130" s="8" t="s">
        <v>4231</v>
      </c>
      <c r="D130" s="9">
        <v>9.370708502E9</v>
      </c>
      <c r="E130" s="8" t="s">
        <v>4232</v>
      </c>
      <c r="F130" s="8" t="s">
        <v>3653</v>
      </c>
      <c r="G130" s="8" t="s">
        <v>4233</v>
      </c>
      <c r="H130" s="8" t="s">
        <v>3479</v>
      </c>
      <c r="I130" s="9">
        <v>0.0</v>
      </c>
      <c r="J130" s="9">
        <v>2180.0</v>
      </c>
      <c r="K130" s="9">
        <v>2180.0</v>
      </c>
      <c r="L130" s="9">
        <v>2180.0</v>
      </c>
      <c r="M130" s="9">
        <v>631.0</v>
      </c>
      <c r="N130" s="9">
        <v>775.0</v>
      </c>
      <c r="O130" s="9">
        <v>774.0</v>
      </c>
      <c r="P130" s="8" t="s">
        <v>3480</v>
      </c>
      <c r="Q130" s="8" t="s">
        <v>4234</v>
      </c>
      <c r="R130" s="8" t="s">
        <v>4235</v>
      </c>
    </row>
    <row r="131">
      <c r="A131" s="8" t="s">
        <v>227</v>
      </c>
      <c r="B131" s="8" t="s">
        <v>4236</v>
      </c>
      <c r="C131" s="8" t="s">
        <v>4237</v>
      </c>
      <c r="D131" s="9">
        <v>9.167426875E9</v>
      </c>
      <c r="E131" s="8" t="s">
        <v>4238</v>
      </c>
      <c r="F131" s="8" t="s">
        <v>4239</v>
      </c>
      <c r="G131" s="8" t="s">
        <v>4240</v>
      </c>
      <c r="H131" s="8" t="s">
        <v>3479</v>
      </c>
      <c r="I131" s="9">
        <v>540.0</v>
      </c>
      <c r="J131" s="9">
        <v>0.0</v>
      </c>
      <c r="K131" s="9">
        <v>540.0</v>
      </c>
      <c r="L131" s="9">
        <v>540.0</v>
      </c>
      <c r="M131" s="9">
        <v>0.0</v>
      </c>
      <c r="N131" s="9">
        <v>540.0</v>
      </c>
      <c r="O131" s="9">
        <v>0.0</v>
      </c>
      <c r="P131" s="8" t="s">
        <v>3480</v>
      </c>
      <c r="Q131" s="8" t="s">
        <v>4241</v>
      </c>
      <c r="R131" s="8" t="s">
        <v>4242</v>
      </c>
    </row>
    <row r="132">
      <c r="A132" s="8" t="s">
        <v>228</v>
      </c>
      <c r="B132" s="8" t="s">
        <v>4243</v>
      </c>
      <c r="C132" s="8" t="s">
        <v>4244</v>
      </c>
      <c r="D132" s="9">
        <v>9.822421446E9</v>
      </c>
      <c r="E132" s="8" t="s">
        <v>4245</v>
      </c>
      <c r="F132" s="8" t="s">
        <v>3486</v>
      </c>
      <c r="G132" s="8" t="s">
        <v>4246</v>
      </c>
      <c r="H132" s="8" t="s">
        <v>3479</v>
      </c>
      <c r="I132" s="9">
        <v>0.0</v>
      </c>
      <c r="J132" s="9">
        <v>2009.0</v>
      </c>
      <c r="K132" s="9">
        <v>2009.0</v>
      </c>
      <c r="L132" s="9">
        <v>2009.0</v>
      </c>
      <c r="M132" s="9">
        <v>830.0</v>
      </c>
      <c r="N132" s="9">
        <v>730.0</v>
      </c>
      <c r="O132" s="9">
        <v>449.0</v>
      </c>
      <c r="P132" s="8" t="s">
        <v>3480</v>
      </c>
      <c r="Q132" s="8" t="s">
        <v>4247</v>
      </c>
      <c r="R132" s="8" t="s">
        <v>4248</v>
      </c>
    </row>
    <row r="133">
      <c r="A133" s="8" t="s">
        <v>236</v>
      </c>
      <c r="B133" s="8" t="s">
        <v>4249</v>
      </c>
      <c r="C133" s="8" t="s">
        <v>4250</v>
      </c>
      <c r="D133" s="9">
        <v>8.446142636E9</v>
      </c>
      <c r="E133" s="8" t="s">
        <v>4251</v>
      </c>
      <c r="F133" s="8" t="s">
        <v>4252</v>
      </c>
      <c r="G133" s="8" t="s">
        <v>4253</v>
      </c>
      <c r="H133" s="8" t="s">
        <v>3479</v>
      </c>
      <c r="I133" s="9">
        <v>0.0</v>
      </c>
      <c r="J133" s="9">
        <v>3154.0</v>
      </c>
      <c r="K133" s="9">
        <v>3154.0</v>
      </c>
      <c r="L133" s="9">
        <v>3154.0</v>
      </c>
      <c r="M133" s="9">
        <v>1340.0</v>
      </c>
      <c r="N133" s="9">
        <v>840.0</v>
      </c>
      <c r="O133" s="9">
        <v>974.0</v>
      </c>
      <c r="P133" s="8" t="s">
        <v>3480</v>
      </c>
      <c r="Q133" s="8" t="s">
        <v>4254</v>
      </c>
      <c r="R133" s="8" t="s">
        <v>4255</v>
      </c>
    </row>
    <row r="134">
      <c r="A134" s="8" t="s">
        <v>237</v>
      </c>
      <c r="B134" s="8" t="s">
        <v>4256</v>
      </c>
      <c r="C134" s="8" t="s">
        <v>4257</v>
      </c>
      <c r="D134" s="9">
        <v>9.420558909E9</v>
      </c>
      <c r="E134" s="8" t="s">
        <v>4258</v>
      </c>
      <c r="F134" s="8" t="s">
        <v>4259</v>
      </c>
      <c r="G134" s="8" t="s">
        <v>4260</v>
      </c>
      <c r="H134" s="8" t="s">
        <v>3479</v>
      </c>
      <c r="I134" s="9">
        <v>0.0</v>
      </c>
      <c r="J134" s="9">
        <v>1647.0</v>
      </c>
      <c r="K134" s="9">
        <v>1647.0</v>
      </c>
      <c r="L134" s="9">
        <v>1647.0</v>
      </c>
      <c r="M134" s="9">
        <v>423.0</v>
      </c>
      <c r="N134" s="9">
        <v>775.0</v>
      </c>
      <c r="O134" s="9">
        <v>449.0</v>
      </c>
      <c r="P134" s="8" t="s">
        <v>3480</v>
      </c>
      <c r="Q134" s="8" t="s">
        <v>4261</v>
      </c>
      <c r="R134" s="8" t="s">
        <v>4262</v>
      </c>
    </row>
    <row r="135">
      <c r="A135" s="8" t="s">
        <v>240</v>
      </c>
      <c r="B135" s="8" t="s">
        <v>4263</v>
      </c>
      <c r="C135" s="8" t="s">
        <v>4264</v>
      </c>
      <c r="D135" s="9">
        <v>9.820420907E9</v>
      </c>
      <c r="E135" s="8" t="s">
        <v>4265</v>
      </c>
      <c r="F135" s="8" t="s">
        <v>3523</v>
      </c>
      <c r="G135" s="8" t="s">
        <v>4266</v>
      </c>
      <c r="H135" s="8" t="s">
        <v>3479</v>
      </c>
      <c r="I135" s="9">
        <v>0.0</v>
      </c>
      <c r="J135" s="9">
        <v>1698.0</v>
      </c>
      <c r="K135" s="9">
        <v>1698.0</v>
      </c>
      <c r="L135" s="9">
        <v>1698.0</v>
      </c>
      <c r="M135" s="9">
        <v>435.0</v>
      </c>
      <c r="N135" s="9">
        <v>739.0</v>
      </c>
      <c r="O135" s="9">
        <v>524.0</v>
      </c>
      <c r="P135" s="8" t="s">
        <v>3519</v>
      </c>
      <c r="Q135" s="8" t="s">
        <v>4267</v>
      </c>
      <c r="R135" s="8" t="s">
        <v>4268</v>
      </c>
    </row>
    <row r="136">
      <c r="A136" s="8" t="s">
        <v>239</v>
      </c>
      <c r="B136" s="8" t="s">
        <v>4269</v>
      </c>
      <c r="C136" s="8" t="s">
        <v>4270</v>
      </c>
      <c r="D136" s="9">
        <v>8.52753853E9</v>
      </c>
      <c r="E136" s="8" t="s">
        <v>4271</v>
      </c>
      <c r="F136" s="8" t="s">
        <v>3608</v>
      </c>
      <c r="G136" s="8" t="s">
        <v>4272</v>
      </c>
      <c r="H136" s="8" t="s">
        <v>3479</v>
      </c>
      <c r="I136" s="9">
        <v>0.0</v>
      </c>
      <c r="J136" s="9">
        <v>1268.0</v>
      </c>
      <c r="K136" s="9">
        <v>1268.0</v>
      </c>
      <c r="L136" s="9">
        <v>1268.0</v>
      </c>
      <c r="M136" s="9">
        <v>80.0</v>
      </c>
      <c r="N136" s="9">
        <v>739.0</v>
      </c>
      <c r="O136" s="9">
        <v>449.0</v>
      </c>
      <c r="P136" s="8" t="s">
        <v>3480</v>
      </c>
      <c r="Q136" s="8"/>
      <c r="R136" s="8"/>
    </row>
    <row r="137">
      <c r="A137" s="8" t="s">
        <v>241</v>
      </c>
      <c r="B137" s="8" t="s">
        <v>4273</v>
      </c>
      <c r="C137" s="8" t="s">
        <v>4274</v>
      </c>
      <c r="D137" s="9">
        <v>7.387666051E9</v>
      </c>
      <c r="E137" s="8" t="s">
        <v>4275</v>
      </c>
      <c r="F137" s="8" t="s">
        <v>3959</v>
      </c>
      <c r="G137" s="8" t="s">
        <v>4276</v>
      </c>
      <c r="H137" s="8" t="s">
        <v>3479</v>
      </c>
      <c r="I137" s="9">
        <v>0.0</v>
      </c>
      <c r="J137" s="9">
        <v>1303.0</v>
      </c>
      <c r="K137" s="9">
        <v>1303.0</v>
      </c>
      <c r="L137" s="9">
        <v>1303.0</v>
      </c>
      <c r="M137" s="9">
        <v>80.0</v>
      </c>
      <c r="N137" s="9">
        <v>774.0</v>
      </c>
      <c r="O137" s="9">
        <v>449.0</v>
      </c>
      <c r="P137" s="8" t="s">
        <v>3480</v>
      </c>
      <c r="Q137" s="8"/>
      <c r="R137" s="8"/>
    </row>
    <row r="138">
      <c r="A138" s="8" t="s">
        <v>242</v>
      </c>
      <c r="B138" s="8" t="s">
        <v>4277</v>
      </c>
      <c r="C138" s="8" t="s">
        <v>4278</v>
      </c>
      <c r="D138" s="9">
        <v>7.588937227E9</v>
      </c>
      <c r="E138" s="8" t="s">
        <v>4279</v>
      </c>
      <c r="F138" s="8" t="s">
        <v>3768</v>
      </c>
      <c r="G138" s="8" t="s">
        <v>4280</v>
      </c>
      <c r="H138" s="8" t="s">
        <v>3479</v>
      </c>
      <c r="I138" s="9">
        <v>0.0</v>
      </c>
      <c r="J138" s="9">
        <v>549.0</v>
      </c>
      <c r="K138" s="9">
        <v>549.0</v>
      </c>
      <c r="L138" s="9">
        <v>549.0</v>
      </c>
      <c r="M138" s="9">
        <v>100.0</v>
      </c>
      <c r="N138" s="9">
        <v>0.0</v>
      </c>
      <c r="O138" s="9">
        <v>449.0</v>
      </c>
      <c r="P138" s="8" t="s">
        <v>3480</v>
      </c>
      <c r="Q138" s="8" t="s">
        <v>4281</v>
      </c>
      <c r="R138" s="8" t="s">
        <v>4282</v>
      </c>
    </row>
    <row r="139">
      <c r="A139" s="8" t="s">
        <v>230</v>
      </c>
      <c r="B139" s="8" t="s">
        <v>4283</v>
      </c>
      <c r="C139" s="8" t="s">
        <v>4284</v>
      </c>
      <c r="D139" s="9">
        <v>7.620644446E9</v>
      </c>
      <c r="E139" s="8" t="s">
        <v>4285</v>
      </c>
      <c r="F139" s="8" t="s">
        <v>3959</v>
      </c>
      <c r="G139" s="8" t="s">
        <v>4286</v>
      </c>
      <c r="H139" s="8" t="s">
        <v>3479</v>
      </c>
      <c r="I139" s="9">
        <v>0.0</v>
      </c>
      <c r="J139" s="9">
        <v>3388.0</v>
      </c>
      <c r="K139" s="9">
        <v>3388.0</v>
      </c>
      <c r="L139" s="9">
        <v>3388.0</v>
      </c>
      <c r="M139" s="9">
        <v>1921.0</v>
      </c>
      <c r="N139" s="9">
        <v>868.0</v>
      </c>
      <c r="O139" s="9">
        <v>599.0</v>
      </c>
      <c r="P139" s="8" t="s">
        <v>3480</v>
      </c>
      <c r="Q139" s="8" t="s">
        <v>4287</v>
      </c>
      <c r="R139" s="8" t="s">
        <v>4288</v>
      </c>
    </row>
    <row r="140">
      <c r="A140" s="8" t="s">
        <v>246</v>
      </c>
      <c r="B140" s="8" t="s">
        <v>4289</v>
      </c>
      <c r="C140" s="8" t="s">
        <v>4290</v>
      </c>
      <c r="D140" s="9">
        <v>9.50335026E9</v>
      </c>
      <c r="E140" s="8" t="s">
        <v>4291</v>
      </c>
      <c r="F140" s="8" t="s">
        <v>4143</v>
      </c>
      <c r="G140" s="8" t="s">
        <v>4292</v>
      </c>
      <c r="H140" s="8" t="s">
        <v>3479</v>
      </c>
      <c r="I140" s="9">
        <v>0.0</v>
      </c>
      <c r="J140" s="9">
        <v>7770.0</v>
      </c>
      <c r="K140" s="9">
        <v>7770.0</v>
      </c>
      <c r="L140" s="9">
        <v>7770.0</v>
      </c>
      <c r="M140" s="9">
        <v>6079.0</v>
      </c>
      <c r="N140" s="9">
        <v>912.0</v>
      </c>
      <c r="O140" s="9">
        <v>779.0</v>
      </c>
      <c r="P140" s="8" t="s">
        <v>3480</v>
      </c>
      <c r="Q140" s="8" t="s">
        <v>4293</v>
      </c>
      <c r="R140" s="8" t="s">
        <v>4294</v>
      </c>
    </row>
    <row r="141">
      <c r="A141" s="8" t="s">
        <v>214</v>
      </c>
      <c r="B141" s="8" t="s">
        <v>4295</v>
      </c>
      <c r="C141" s="8" t="s">
        <v>4296</v>
      </c>
      <c r="D141" s="9">
        <v>9.156807579E9</v>
      </c>
      <c r="E141" s="8" t="s">
        <v>4297</v>
      </c>
      <c r="F141" s="8" t="s">
        <v>3550</v>
      </c>
      <c r="G141" s="8" t="s">
        <v>4298</v>
      </c>
      <c r="H141" s="8" t="s">
        <v>3479</v>
      </c>
      <c r="I141" s="9">
        <v>0.0</v>
      </c>
      <c r="J141" s="9">
        <v>1195.0</v>
      </c>
      <c r="K141" s="9">
        <v>1195.0</v>
      </c>
      <c r="L141" s="9">
        <v>1195.0</v>
      </c>
      <c r="M141" s="9">
        <v>80.0</v>
      </c>
      <c r="N141" s="9">
        <v>666.0</v>
      </c>
      <c r="O141" s="9">
        <v>449.0</v>
      </c>
      <c r="P141" s="8" t="s">
        <v>3480</v>
      </c>
      <c r="Q141" s="8" t="s">
        <v>4299</v>
      </c>
      <c r="R141" s="8" t="s">
        <v>4300</v>
      </c>
    </row>
    <row r="142">
      <c r="A142" s="8" t="s">
        <v>215</v>
      </c>
      <c r="B142" s="8" t="s">
        <v>4301</v>
      </c>
      <c r="C142" s="8" t="s">
        <v>4302</v>
      </c>
      <c r="D142" s="9">
        <v>7.249590186E9</v>
      </c>
      <c r="E142" s="8" t="s">
        <v>4303</v>
      </c>
      <c r="F142" s="8" t="s">
        <v>3821</v>
      </c>
      <c r="G142" s="8" t="s">
        <v>4304</v>
      </c>
      <c r="H142" s="8" t="s">
        <v>3479</v>
      </c>
      <c r="I142" s="9">
        <v>0.0</v>
      </c>
      <c r="J142" s="9">
        <v>2152.0</v>
      </c>
      <c r="K142" s="9">
        <v>2152.0</v>
      </c>
      <c r="L142" s="9">
        <v>2152.0</v>
      </c>
      <c r="M142" s="9">
        <v>818.0</v>
      </c>
      <c r="N142" s="9">
        <v>730.0</v>
      </c>
      <c r="O142" s="9">
        <v>604.0</v>
      </c>
      <c r="P142" s="8" t="s">
        <v>3480</v>
      </c>
      <c r="Q142" s="8" t="s">
        <v>4305</v>
      </c>
      <c r="R142" s="8" t="s">
        <v>4306</v>
      </c>
    </row>
    <row r="143">
      <c r="A143" s="8" t="s">
        <v>216</v>
      </c>
      <c r="B143" s="8" t="s">
        <v>4307</v>
      </c>
      <c r="C143" s="8" t="s">
        <v>4308</v>
      </c>
      <c r="D143" s="9">
        <v>7.028394654E9</v>
      </c>
      <c r="E143" s="8" t="s">
        <v>4309</v>
      </c>
      <c r="F143" s="8" t="s">
        <v>4059</v>
      </c>
      <c r="G143" s="8" t="s">
        <v>4310</v>
      </c>
      <c r="H143" s="8" t="s">
        <v>3479</v>
      </c>
      <c r="I143" s="9">
        <v>0.0</v>
      </c>
      <c r="J143" s="9">
        <v>2065.0</v>
      </c>
      <c r="K143" s="9">
        <v>2065.0</v>
      </c>
      <c r="L143" s="9">
        <v>2065.0</v>
      </c>
      <c r="M143" s="9">
        <v>617.0</v>
      </c>
      <c r="N143" s="9">
        <v>849.0</v>
      </c>
      <c r="O143" s="9">
        <v>599.0</v>
      </c>
      <c r="P143" s="8" t="s">
        <v>3480</v>
      </c>
      <c r="Q143" s="8" t="s">
        <v>4311</v>
      </c>
      <c r="R143" s="8" t="s">
        <v>4312</v>
      </c>
    </row>
    <row r="144">
      <c r="A144" s="8" t="s">
        <v>152</v>
      </c>
      <c r="B144" s="8" t="s">
        <v>4313</v>
      </c>
      <c r="C144" s="8" t="s">
        <v>4314</v>
      </c>
      <c r="D144" s="9">
        <v>9.822975521E9</v>
      </c>
      <c r="E144" s="8" t="s">
        <v>4315</v>
      </c>
      <c r="F144" s="8" t="s">
        <v>3653</v>
      </c>
      <c r="G144" s="8" t="s">
        <v>4316</v>
      </c>
      <c r="H144" s="8" t="s">
        <v>3479</v>
      </c>
      <c r="I144" s="9">
        <v>0.0</v>
      </c>
      <c r="J144" s="9">
        <v>1313.0</v>
      </c>
      <c r="K144" s="9">
        <v>1313.0</v>
      </c>
      <c r="L144" s="9">
        <v>1313.0</v>
      </c>
      <c r="M144" s="9">
        <v>80.0</v>
      </c>
      <c r="N144" s="9">
        <v>784.0</v>
      </c>
      <c r="O144" s="9">
        <v>449.0</v>
      </c>
      <c r="P144" s="8" t="s">
        <v>4183</v>
      </c>
      <c r="Q144" s="8" t="s">
        <v>4317</v>
      </c>
      <c r="R144" s="8" t="s">
        <v>4318</v>
      </c>
    </row>
    <row r="145">
      <c r="A145" s="8" t="s">
        <v>153</v>
      </c>
      <c r="B145" s="8" t="s">
        <v>4319</v>
      </c>
      <c r="C145" s="8" t="s">
        <v>4320</v>
      </c>
      <c r="D145" s="9">
        <v>8.23782863E9</v>
      </c>
      <c r="E145" s="8" t="s">
        <v>4321</v>
      </c>
      <c r="F145" s="8" t="s">
        <v>3653</v>
      </c>
      <c r="G145" s="8" t="s">
        <v>4322</v>
      </c>
      <c r="H145" s="8" t="s">
        <v>3479</v>
      </c>
      <c r="I145" s="9">
        <v>0.0</v>
      </c>
      <c r="J145" s="9">
        <v>3105.0</v>
      </c>
      <c r="K145" s="9">
        <v>3105.0</v>
      </c>
      <c r="L145" s="9">
        <v>3105.0</v>
      </c>
      <c r="M145" s="9">
        <v>2531.0</v>
      </c>
      <c r="N145" s="9">
        <v>0.0</v>
      </c>
      <c r="O145" s="9">
        <v>574.0</v>
      </c>
      <c r="P145" s="8" t="s">
        <v>4183</v>
      </c>
      <c r="Q145" s="8" t="s">
        <v>4323</v>
      </c>
      <c r="R145" s="8" t="s">
        <v>4324</v>
      </c>
    </row>
    <row r="146">
      <c r="A146" s="8" t="s">
        <v>238</v>
      </c>
      <c r="B146" s="8" t="s">
        <v>4325</v>
      </c>
      <c r="C146" s="8" t="s">
        <v>4326</v>
      </c>
      <c r="D146" s="9">
        <v>9.284541754E9</v>
      </c>
      <c r="E146" s="8" t="s">
        <v>4327</v>
      </c>
      <c r="F146" s="8" t="s">
        <v>3977</v>
      </c>
      <c r="G146" s="8" t="s">
        <v>4328</v>
      </c>
      <c r="H146" s="8" t="s">
        <v>3479</v>
      </c>
      <c r="I146" s="9">
        <v>0.0</v>
      </c>
      <c r="J146" s="9">
        <v>4374.0</v>
      </c>
      <c r="K146" s="9">
        <v>4374.0</v>
      </c>
      <c r="L146" s="9">
        <v>4374.0</v>
      </c>
      <c r="M146" s="9">
        <v>3149.0</v>
      </c>
      <c r="N146" s="9">
        <v>0.0</v>
      </c>
      <c r="O146" s="9">
        <v>1225.0</v>
      </c>
      <c r="P146" s="8" t="s">
        <v>3480</v>
      </c>
      <c r="Q146" s="8" t="s">
        <v>4329</v>
      </c>
      <c r="R146" s="8"/>
    </row>
    <row r="147">
      <c r="A147" s="8" t="s">
        <v>155</v>
      </c>
      <c r="B147" s="8" t="s">
        <v>4330</v>
      </c>
      <c r="C147" s="8" t="s">
        <v>4331</v>
      </c>
      <c r="D147" s="9">
        <v>9.0114641E9</v>
      </c>
      <c r="E147" s="8" t="s">
        <v>4332</v>
      </c>
      <c r="F147" s="8" t="s">
        <v>4333</v>
      </c>
      <c r="G147" s="8" t="s">
        <v>4334</v>
      </c>
      <c r="H147" s="8" t="s">
        <v>3479</v>
      </c>
      <c r="I147" s="9">
        <v>0.0</v>
      </c>
      <c r="J147" s="9">
        <v>1787.0</v>
      </c>
      <c r="K147" s="9">
        <v>1787.0</v>
      </c>
      <c r="L147" s="9">
        <v>1787.0</v>
      </c>
      <c r="M147" s="9">
        <v>110.0</v>
      </c>
      <c r="N147" s="9">
        <v>898.0</v>
      </c>
      <c r="O147" s="9">
        <v>779.0</v>
      </c>
      <c r="P147" s="8" t="s">
        <v>4183</v>
      </c>
      <c r="Q147" s="8" t="s">
        <v>4335</v>
      </c>
      <c r="R147" s="8" t="s">
        <v>4336</v>
      </c>
    </row>
    <row r="148">
      <c r="A148" s="8" t="s">
        <v>229</v>
      </c>
      <c r="B148" s="8" t="s">
        <v>4337</v>
      </c>
      <c r="C148" s="8" t="s">
        <v>4338</v>
      </c>
      <c r="D148" s="9">
        <v>8.208129989E9</v>
      </c>
      <c r="E148" s="8" t="s">
        <v>4339</v>
      </c>
      <c r="F148" s="8" t="s">
        <v>3993</v>
      </c>
      <c r="G148" s="8" t="s">
        <v>4340</v>
      </c>
      <c r="H148" s="8" t="s">
        <v>3479</v>
      </c>
      <c r="I148" s="9">
        <v>0.0</v>
      </c>
      <c r="J148" s="9">
        <v>1761.0</v>
      </c>
      <c r="K148" s="9">
        <v>1761.0</v>
      </c>
      <c r="L148" s="9">
        <v>1761.0</v>
      </c>
      <c r="M148" s="9">
        <v>378.0</v>
      </c>
      <c r="N148" s="9">
        <v>784.0</v>
      </c>
      <c r="O148" s="9">
        <v>599.0</v>
      </c>
      <c r="P148" s="8" t="s">
        <v>3480</v>
      </c>
      <c r="Q148" s="8" t="s">
        <v>4341</v>
      </c>
      <c r="R148" s="8" t="s">
        <v>4342</v>
      </c>
    </row>
    <row r="149">
      <c r="A149" s="8" t="s">
        <v>156</v>
      </c>
      <c r="B149" s="8" t="s">
        <v>4343</v>
      </c>
      <c r="C149" s="8" t="s">
        <v>4344</v>
      </c>
      <c r="D149" s="9">
        <v>9.881690726E9</v>
      </c>
      <c r="E149" s="8" t="s">
        <v>4345</v>
      </c>
      <c r="F149" s="8" t="s">
        <v>4100</v>
      </c>
      <c r="G149" s="8" t="s">
        <v>4346</v>
      </c>
      <c r="H149" s="8" t="s">
        <v>3479</v>
      </c>
      <c r="I149" s="9">
        <v>0.0</v>
      </c>
      <c r="J149" s="9">
        <v>1259.0</v>
      </c>
      <c r="K149" s="9">
        <v>1259.0</v>
      </c>
      <c r="L149" s="9">
        <v>1259.0</v>
      </c>
      <c r="M149" s="9">
        <v>80.0</v>
      </c>
      <c r="N149" s="9">
        <v>730.0</v>
      </c>
      <c r="O149" s="9">
        <v>449.0</v>
      </c>
      <c r="P149" s="8" t="s">
        <v>4183</v>
      </c>
      <c r="Q149" s="8"/>
      <c r="R149" s="8"/>
    </row>
    <row r="150">
      <c r="A150" s="8" t="s">
        <v>157</v>
      </c>
      <c r="B150" s="8" t="s">
        <v>4347</v>
      </c>
      <c r="C150" s="8" t="s">
        <v>4348</v>
      </c>
      <c r="D150" s="9">
        <v>8.983432252E9</v>
      </c>
      <c r="E150" s="8" t="s">
        <v>4349</v>
      </c>
      <c r="F150" s="8" t="s">
        <v>4350</v>
      </c>
      <c r="G150" s="8" t="s">
        <v>4036</v>
      </c>
      <c r="H150" s="8" t="s">
        <v>4351</v>
      </c>
      <c r="I150" s="9">
        <v>0.0</v>
      </c>
      <c r="J150" s="9">
        <v>1500.0</v>
      </c>
      <c r="K150" s="9">
        <v>1533.0</v>
      </c>
      <c r="L150" s="9">
        <v>1500.0</v>
      </c>
      <c r="M150" s="9">
        <v>644.0</v>
      </c>
      <c r="N150" s="9">
        <v>190.0</v>
      </c>
      <c r="O150" s="9">
        <v>699.0</v>
      </c>
      <c r="P150" s="8" t="s">
        <v>4183</v>
      </c>
      <c r="Q150" s="8" t="s">
        <v>4352</v>
      </c>
      <c r="R150" s="8" t="s">
        <v>4353</v>
      </c>
    </row>
    <row r="151">
      <c r="A151" s="8" t="s">
        <v>154</v>
      </c>
      <c r="B151" s="8" t="s">
        <v>4354</v>
      </c>
      <c r="C151" s="8" t="s">
        <v>4355</v>
      </c>
      <c r="D151" s="9">
        <v>9.503558142E9</v>
      </c>
      <c r="E151" s="8" t="s">
        <v>4356</v>
      </c>
      <c r="F151" s="8" t="s">
        <v>4333</v>
      </c>
      <c r="G151" s="8" t="s">
        <v>4357</v>
      </c>
      <c r="H151" s="8" t="s">
        <v>3479</v>
      </c>
      <c r="I151" s="9">
        <v>0.0</v>
      </c>
      <c r="J151" s="9">
        <v>6894.0</v>
      </c>
      <c r="K151" s="9">
        <v>6894.0</v>
      </c>
      <c r="L151" s="9">
        <v>6894.0</v>
      </c>
      <c r="M151" s="9">
        <v>4207.0</v>
      </c>
      <c r="N151" s="9">
        <v>963.0</v>
      </c>
      <c r="O151" s="9">
        <v>1724.0</v>
      </c>
      <c r="P151" s="8" t="s">
        <v>4183</v>
      </c>
      <c r="Q151" s="8"/>
      <c r="R151" s="8"/>
    </row>
    <row r="152">
      <c r="A152" s="8" t="s">
        <v>160</v>
      </c>
      <c r="B152" s="8" t="s">
        <v>4358</v>
      </c>
      <c r="C152" s="8" t="s">
        <v>4359</v>
      </c>
      <c r="D152" s="9">
        <v>9.834540224E9</v>
      </c>
      <c r="E152" s="8" t="s">
        <v>4360</v>
      </c>
      <c r="F152" s="8" t="s">
        <v>4093</v>
      </c>
      <c r="G152" s="8" t="s">
        <v>4361</v>
      </c>
      <c r="H152" s="8" t="s">
        <v>3479</v>
      </c>
      <c r="I152" s="9">
        <v>0.0</v>
      </c>
      <c r="J152" s="9">
        <v>2041.0</v>
      </c>
      <c r="K152" s="9">
        <v>2041.0</v>
      </c>
      <c r="L152" s="9">
        <v>2041.0</v>
      </c>
      <c r="M152" s="9">
        <v>623.0</v>
      </c>
      <c r="N152" s="9">
        <v>784.0</v>
      </c>
      <c r="O152" s="9">
        <v>634.0</v>
      </c>
      <c r="P152" s="8" t="s">
        <v>4183</v>
      </c>
      <c r="Q152" s="8" t="s">
        <v>4362</v>
      </c>
      <c r="R152" s="8" t="s">
        <v>4363</v>
      </c>
    </row>
    <row r="153">
      <c r="A153" s="8" t="s">
        <v>158</v>
      </c>
      <c r="B153" s="8" t="s">
        <v>4364</v>
      </c>
      <c r="C153" s="8" t="s">
        <v>4161</v>
      </c>
      <c r="D153" s="9">
        <v>8.668993932E9</v>
      </c>
      <c r="E153" s="8" t="s">
        <v>4365</v>
      </c>
      <c r="F153" s="8" t="s">
        <v>4366</v>
      </c>
      <c r="G153" s="8" t="s">
        <v>4367</v>
      </c>
      <c r="H153" s="8" t="s">
        <v>3479</v>
      </c>
      <c r="I153" s="9">
        <v>0.0</v>
      </c>
      <c r="J153" s="9">
        <v>2218.0</v>
      </c>
      <c r="K153" s="9">
        <v>2218.0</v>
      </c>
      <c r="L153" s="9">
        <v>2218.0</v>
      </c>
      <c r="M153" s="9">
        <v>985.0</v>
      </c>
      <c r="N153" s="9">
        <v>784.0</v>
      </c>
      <c r="O153" s="9">
        <v>449.0</v>
      </c>
      <c r="P153" s="8" t="s">
        <v>4183</v>
      </c>
      <c r="Q153" s="8" t="s">
        <v>4368</v>
      </c>
      <c r="R153" s="8" t="s">
        <v>4369</v>
      </c>
    </row>
    <row r="154">
      <c r="A154" s="8" t="s">
        <v>159</v>
      </c>
      <c r="B154" s="8" t="s">
        <v>4370</v>
      </c>
      <c r="C154" s="8" t="s">
        <v>4371</v>
      </c>
      <c r="D154" s="9">
        <v>8.275160439E9</v>
      </c>
      <c r="E154" s="8" t="s">
        <v>4372</v>
      </c>
      <c r="F154" s="8" t="s">
        <v>4373</v>
      </c>
      <c r="G154" s="8" t="s">
        <v>4374</v>
      </c>
      <c r="H154" s="8" t="s">
        <v>3479</v>
      </c>
      <c r="I154" s="9">
        <v>0.0</v>
      </c>
      <c r="J154" s="9">
        <v>1616.0</v>
      </c>
      <c r="K154" s="9">
        <v>1616.0</v>
      </c>
      <c r="L154" s="9">
        <v>1616.0</v>
      </c>
      <c r="M154" s="9">
        <v>233.0</v>
      </c>
      <c r="N154" s="9">
        <v>784.0</v>
      </c>
      <c r="O154" s="9">
        <v>599.0</v>
      </c>
      <c r="P154" s="8" t="s">
        <v>4183</v>
      </c>
      <c r="Q154" s="8" t="s">
        <v>4375</v>
      </c>
      <c r="R154" s="8" t="s">
        <v>4376</v>
      </c>
    </row>
    <row r="155">
      <c r="A155" s="8" t="s">
        <v>162</v>
      </c>
      <c r="B155" s="8" t="s">
        <v>4377</v>
      </c>
      <c r="C155" s="8" t="s">
        <v>4378</v>
      </c>
      <c r="D155" s="9">
        <v>9.552560162E9</v>
      </c>
      <c r="E155" s="8" t="s">
        <v>4379</v>
      </c>
      <c r="F155" s="8" t="s">
        <v>3881</v>
      </c>
      <c r="G155" s="8" t="s">
        <v>4380</v>
      </c>
      <c r="H155" s="8" t="s">
        <v>3479</v>
      </c>
      <c r="I155" s="9">
        <v>0.0</v>
      </c>
      <c r="J155" s="9">
        <v>2139.0</v>
      </c>
      <c r="K155" s="9">
        <v>2139.0</v>
      </c>
      <c r="L155" s="9">
        <v>2139.0</v>
      </c>
      <c r="M155" s="9">
        <v>885.0</v>
      </c>
      <c r="N155" s="9">
        <v>730.0</v>
      </c>
      <c r="O155" s="9">
        <v>524.0</v>
      </c>
      <c r="P155" s="8" t="s">
        <v>4183</v>
      </c>
      <c r="Q155" s="8" t="s">
        <v>4381</v>
      </c>
      <c r="R155" s="8" t="s">
        <v>4382</v>
      </c>
    </row>
    <row r="156">
      <c r="A156" s="8" t="s">
        <v>163</v>
      </c>
      <c r="B156" s="8" t="s">
        <v>4383</v>
      </c>
      <c r="C156" s="8" t="s">
        <v>4384</v>
      </c>
      <c r="D156" s="9">
        <v>9.82336468E9</v>
      </c>
      <c r="E156" s="8" t="s">
        <v>4385</v>
      </c>
      <c r="F156" s="8" t="s">
        <v>3993</v>
      </c>
      <c r="G156" s="8" t="s">
        <v>4386</v>
      </c>
      <c r="H156" s="8" t="s">
        <v>3479</v>
      </c>
      <c r="I156" s="9">
        <v>0.0</v>
      </c>
      <c r="J156" s="9">
        <v>3570.0</v>
      </c>
      <c r="K156" s="9">
        <v>3570.0</v>
      </c>
      <c r="L156" s="9">
        <v>3570.0</v>
      </c>
      <c r="M156" s="9">
        <v>1605.0</v>
      </c>
      <c r="N156" s="9">
        <v>1016.0</v>
      </c>
      <c r="O156" s="9">
        <v>949.0</v>
      </c>
      <c r="P156" s="8" t="s">
        <v>4183</v>
      </c>
      <c r="Q156" s="8" t="s">
        <v>4387</v>
      </c>
      <c r="R156" s="8"/>
    </row>
    <row r="157">
      <c r="A157" s="8" t="s">
        <v>166</v>
      </c>
      <c r="B157" s="8" t="s">
        <v>4388</v>
      </c>
      <c r="C157" s="8" t="s">
        <v>4389</v>
      </c>
      <c r="D157" s="9">
        <v>8.240347763E9</v>
      </c>
      <c r="E157" s="8" t="s">
        <v>4390</v>
      </c>
      <c r="F157" s="8" t="s">
        <v>4391</v>
      </c>
      <c r="G157" s="8" t="s">
        <v>4392</v>
      </c>
      <c r="H157" s="8" t="s">
        <v>3479</v>
      </c>
      <c r="I157" s="9">
        <v>0.0</v>
      </c>
      <c r="J157" s="9">
        <v>942.0</v>
      </c>
      <c r="K157" s="9">
        <v>942.0</v>
      </c>
      <c r="L157" s="9">
        <v>942.0</v>
      </c>
      <c r="M157" s="9">
        <v>333.0</v>
      </c>
      <c r="N157" s="9">
        <v>80.0</v>
      </c>
      <c r="O157" s="9">
        <v>529.0</v>
      </c>
      <c r="P157" s="8" t="s">
        <v>4183</v>
      </c>
      <c r="Q157" s="8" t="s">
        <v>4393</v>
      </c>
      <c r="R157" s="8" t="s">
        <v>4394</v>
      </c>
    </row>
    <row r="158">
      <c r="A158" s="8" t="s">
        <v>164</v>
      </c>
      <c r="B158" s="8" t="s">
        <v>4395</v>
      </c>
      <c r="C158" s="8" t="s">
        <v>4396</v>
      </c>
      <c r="D158" s="9">
        <v>9.975262811E9</v>
      </c>
      <c r="E158" s="8" t="s">
        <v>4397</v>
      </c>
      <c r="F158" s="8" t="s">
        <v>3523</v>
      </c>
      <c r="G158" s="8" t="s">
        <v>4398</v>
      </c>
      <c r="H158" s="8" t="s">
        <v>3479</v>
      </c>
      <c r="I158" s="9">
        <v>0.0</v>
      </c>
      <c r="J158" s="9">
        <v>3296.0</v>
      </c>
      <c r="K158" s="9">
        <v>3296.0</v>
      </c>
      <c r="L158" s="9">
        <v>3296.0</v>
      </c>
      <c r="M158" s="9">
        <v>2042.0</v>
      </c>
      <c r="N158" s="9">
        <v>730.0</v>
      </c>
      <c r="O158" s="9">
        <v>524.0</v>
      </c>
      <c r="P158" s="8" t="s">
        <v>4183</v>
      </c>
      <c r="Q158" s="8" t="s">
        <v>4399</v>
      </c>
      <c r="R158" s="8" t="s">
        <v>4400</v>
      </c>
    </row>
    <row r="159">
      <c r="A159" s="8" t="s">
        <v>165</v>
      </c>
      <c r="B159" s="8" t="s">
        <v>4401</v>
      </c>
      <c r="C159" s="8" t="s">
        <v>4402</v>
      </c>
      <c r="D159" s="9">
        <v>8.624914835E9</v>
      </c>
      <c r="E159" s="8" t="s">
        <v>4403</v>
      </c>
      <c r="F159" s="8" t="s">
        <v>3523</v>
      </c>
      <c r="G159" s="8" t="s">
        <v>4404</v>
      </c>
      <c r="H159" s="8" t="s">
        <v>3479</v>
      </c>
      <c r="I159" s="9">
        <v>4406.0</v>
      </c>
      <c r="J159" s="9">
        <v>0.0</v>
      </c>
      <c r="K159" s="9">
        <v>4406.0</v>
      </c>
      <c r="L159" s="9">
        <v>4406.0</v>
      </c>
      <c r="M159" s="9">
        <v>2802.0</v>
      </c>
      <c r="N159" s="9">
        <v>730.0</v>
      </c>
      <c r="O159" s="9">
        <v>874.0</v>
      </c>
      <c r="P159" s="8" t="s">
        <v>4183</v>
      </c>
      <c r="Q159" s="8" t="s">
        <v>4405</v>
      </c>
      <c r="R159" s="8" t="s">
        <v>4406</v>
      </c>
    </row>
    <row r="160">
      <c r="A160" s="8" t="s">
        <v>32</v>
      </c>
      <c r="B160" s="8" t="s">
        <v>4407</v>
      </c>
      <c r="C160" s="8" t="s">
        <v>4408</v>
      </c>
      <c r="D160" s="9">
        <v>7.385942438E9</v>
      </c>
      <c r="E160" s="8" t="s">
        <v>4409</v>
      </c>
      <c r="F160" s="8" t="s">
        <v>3523</v>
      </c>
      <c r="G160" s="8" t="s">
        <v>4410</v>
      </c>
      <c r="H160" s="8" t="s">
        <v>4411</v>
      </c>
      <c r="I160" s="9">
        <v>0.0</v>
      </c>
      <c r="J160" s="9">
        <v>4300.0</v>
      </c>
      <c r="K160" s="9">
        <v>4459.0</v>
      </c>
      <c r="L160" s="9">
        <v>4300.0</v>
      </c>
      <c r="M160" s="9">
        <v>3030.0</v>
      </c>
      <c r="N160" s="9">
        <v>730.0</v>
      </c>
      <c r="O160" s="9">
        <v>699.0</v>
      </c>
      <c r="P160" s="8" t="s">
        <v>3480</v>
      </c>
      <c r="Q160" s="8" t="s">
        <v>4412</v>
      </c>
      <c r="R160" s="8" t="s">
        <v>4413</v>
      </c>
    </row>
    <row r="161">
      <c r="A161" s="8" t="s">
        <v>283</v>
      </c>
      <c r="B161" s="8" t="s">
        <v>4414</v>
      </c>
      <c r="C161" s="8" t="s">
        <v>4415</v>
      </c>
      <c r="D161" s="9">
        <v>8.208542395E9</v>
      </c>
      <c r="E161" s="8" t="s">
        <v>4416</v>
      </c>
      <c r="F161" s="8" t="s">
        <v>3589</v>
      </c>
      <c r="G161" s="8" t="s">
        <v>4417</v>
      </c>
      <c r="H161" s="8" t="s">
        <v>3479</v>
      </c>
      <c r="I161" s="9">
        <v>0.0</v>
      </c>
      <c r="J161" s="9">
        <v>1729.0</v>
      </c>
      <c r="K161" s="9">
        <v>1729.0</v>
      </c>
      <c r="L161" s="9">
        <v>1729.0</v>
      </c>
      <c r="M161" s="9">
        <v>475.0</v>
      </c>
      <c r="N161" s="9">
        <v>730.0</v>
      </c>
      <c r="O161" s="9">
        <v>524.0</v>
      </c>
      <c r="P161" s="8" t="s">
        <v>3480</v>
      </c>
      <c r="Q161" s="8" t="s">
        <v>4418</v>
      </c>
      <c r="R161" s="8" t="s">
        <v>4419</v>
      </c>
    </row>
    <row r="162">
      <c r="A162" s="8" t="s">
        <v>33</v>
      </c>
      <c r="B162" s="8" t="s">
        <v>4420</v>
      </c>
      <c r="C162" s="8" t="s">
        <v>4421</v>
      </c>
      <c r="D162" s="9">
        <v>9.673758691E9</v>
      </c>
      <c r="E162" s="8" t="s">
        <v>4422</v>
      </c>
      <c r="F162" s="8" t="s">
        <v>4423</v>
      </c>
      <c r="G162" s="8" t="s">
        <v>4424</v>
      </c>
      <c r="H162" s="8" t="s">
        <v>3479</v>
      </c>
      <c r="I162" s="9">
        <v>0.0</v>
      </c>
      <c r="J162" s="9">
        <v>2126.0</v>
      </c>
      <c r="K162" s="9">
        <v>2126.0</v>
      </c>
      <c r="L162" s="9">
        <v>2126.0</v>
      </c>
      <c r="M162" s="9">
        <v>327.0</v>
      </c>
      <c r="N162" s="9">
        <v>1100.0</v>
      </c>
      <c r="O162" s="9">
        <v>699.0</v>
      </c>
      <c r="P162" s="8" t="s">
        <v>3480</v>
      </c>
      <c r="Q162" s="8" t="s">
        <v>4425</v>
      </c>
      <c r="R162" s="8" t="s">
        <v>4426</v>
      </c>
    </row>
    <row r="163">
      <c r="A163" s="8" t="s">
        <v>136</v>
      </c>
      <c r="B163" s="8" t="s">
        <v>4427</v>
      </c>
      <c r="C163" s="8" t="s">
        <v>4428</v>
      </c>
      <c r="D163" s="9">
        <v>8.123584316E9</v>
      </c>
      <c r="E163" s="8" t="s">
        <v>4429</v>
      </c>
      <c r="F163" s="8" t="s">
        <v>4011</v>
      </c>
      <c r="G163" s="8" t="s">
        <v>4430</v>
      </c>
      <c r="H163" s="8" t="s">
        <v>3479</v>
      </c>
      <c r="I163" s="9">
        <v>0.0</v>
      </c>
      <c r="J163" s="9">
        <v>1313.0</v>
      </c>
      <c r="K163" s="9">
        <v>1313.0</v>
      </c>
      <c r="L163" s="9">
        <v>1313.0</v>
      </c>
      <c r="M163" s="9">
        <v>80.0</v>
      </c>
      <c r="N163" s="9">
        <v>784.0</v>
      </c>
      <c r="O163" s="9">
        <v>449.0</v>
      </c>
      <c r="P163" s="8" t="s">
        <v>4183</v>
      </c>
      <c r="Q163" s="8" t="s">
        <v>4431</v>
      </c>
      <c r="R163" s="8" t="s">
        <v>4432</v>
      </c>
    </row>
    <row r="164">
      <c r="A164" s="8" t="s">
        <v>243</v>
      </c>
      <c r="B164" s="8" t="s">
        <v>4433</v>
      </c>
      <c r="C164" s="8" t="s">
        <v>4434</v>
      </c>
      <c r="D164" s="9">
        <v>9.665390129E9</v>
      </c>
      <c r="E164" s="8" t="s">
        <v>4435</v>
      </c>
      <c r="F164" s="8" t="s">
        <v>4436</v>
      </c>
      <c r="G164" s="8" t="s">
        <v>4437</v>
      </c>
      <c r="H164" s="8" t="s">
        <v>4438</v>
      </c>
      <c r="I164" s="9">
        <v>0.0</v>
      </c>
      <c r="J164" s="9">
        <v>2800.0</v>
      </c>
      <c r="K164" s="9">
        <v>3027.0</v>
      </c>
      <c r="L164" s="9">
        <v>2800.0</v>
      </c>
      <c r="M164" s="9">
        <v>1813.0</v>
      </c>
      <c r="N164" s="9">
        <v>190.0</v>
      </c>
      <c r="O164" s="9">
        <v>1024.0</v>
      </c>
      <c r="P164" s="8" t="s">
        <v>3480</v>
      </c>
      <c r="Q164" s="8" t="s">
        <v>4439</v>
      </c>
      <c r="R164" s="8" t="s">
        <v>4440</v>
      </c>
    </row>
    <row r="165">
      <c r="A165" s="8" t="s">
        <v>217</v>
      </c>
      <c r="B165" s="8" t="s">
        <v>4441</v>
      </c>
      <c r="C165" s="8" t="s">
        <v>4442</v>
      </c>
      <c r="D165" s="9">
        <v>7.200197926E9</v>
      </c>
      <c r="E165" s="8" t="s">
        <v>4443</v>
      </c>
      <c r="F165" s="8" t="s">
        <v>4444</v>
      </c>
      <c r="G165" s="8" t="s">
        <v>4036</v>
      </c>
      <c r="H165" s="8" t="s">
        <v>3479</v>
      </c>
      <c r="I165" s="9">
        <v>0.0</v>
      </c>
      <c r="J165" s="9">
        <v>2800.0</v>
      </c>
      <c r="K165" s="9">
        <v>2800.0</v>
      </c>
      <c r="L165" s="9">
        <v>2800.0</v>
      </c>
      <c r="M165" s="9">
        <v>2250.0</v>
      </c>
      <c r="N165" s="9">
        <v>0.0</v>
      </c>
      <c r="O165" s="9">
        <v>550.0</v>
      </c>
      <c r="P165" s="8" t="s">
        <v>3480</v>
      </c>
      <c r="Q165" s="8"/>
      <c r="R165" s="8"/>
    </row>
    <row r="166">
      <c r="A166" s="8" t="s">
        <v>295</v>
      </c>
      <c r="B166" s="8" t="s">
        <v>4445</v>
      </c>
      <c r="C166" s="8" t="s">
        <v>4446</v>
      </c>
      <c r="D166" s="9">
        <v>9.923638981E9</v>
      </c>
      <c r="E166" s="8" t="s">
        <v>4447</v>
      </c>
      <c r="F166" s="8" t="s">
        <v>3523</v>
      </c>
      <c r="G166" s="8" t="s">
        <v>4448</v>
      </c>
      <c r="H166" s="8" t="s">
        <v>3479</v>
      </c>
      <c r="I166" s="9">
        <v>0.0</v>
      </c>
      <c r="J166" s="9">
        <v>3339.0</v>
      </c>
      <c r="K166" s="9">
        <v>3339.0</v>
      </c>
      <c r="L166" s="9">
        <v>3339.0</v>
      </c>
      <c r="M166" s="9">
        <v>2085.0</v>
      </c>
      <c r="N166" s="9">
        <v>730.0</v>
      </c>
      <c r="O166" s="9">
        <v>524.0</v>
      </c>
      <c r="P166" s="8" t="s">
        <v>3480</v>
      </c>
      <c r="Q166" s="8" t="s">
        <v>4449</v>
      </c>
      <c r="R166" s="8" t="s">
        <v>4450</v>
      </c>
    </row>
    <row r="167">
      <c r="A167" s="8" t="s">
        <v>161</v>
      </c>
      <c r="B167" s="8" t="s">
        <v>4451</v>
      </c>
      <c r="C167" s="8" t="s">
        <v>4452</v>
      </c>
      <c r="D167" s="9">
        <v>9.545432288E9</v>
      </c>
      <c r="E167" s="8" t="s">
        <v>4453</v>
      </c>
      <c r="F167" s="8" t="s">
        <v>4454</v>
      </c>
      <c r="G167" s="8" t="s">
        <v>4455</v>
      </c>
      <c r="H167" s="8" t="s">
        <v>3479</v>
      </c>
      <c r="I167" s="9">
        <v>0.0</v>
      </c>
      <c r="J167" s="9">
        <v>1512.0</v>
      </c>
      <c r="K167" s="9">
        <v>1512.0</v>
      </c>
      <c r="L167" s="9">
        <v>1512.0</v>
      </c>
      <c r="M167" s="9">
        <v>333.0</v>
      </c>
      <c r="N167" s="9">
        <v>730.0</v>
      </c>
      <c r="O167" s="9">
        <v>449.0</v>
      </c>
      <c r="P167" s="8" t="s">
        <v>4183</v>
      </c>
      <c r="Q167" s="8" t="s">
        <v>4456</v>
      </c>
      <c r="R167" s="8" t="s">
        <v>4457</v>
      </c>
    </row>
    <row r="168">
      <c r="A168" s="8" t="s">
        <v>247</v>
      </c>
      <c r="B168" s="8" t="s">
        <v>4458</v>
      </c>
      <c r="C168" s="8" t="s">
        <v>4459</v>
      </c>
      <c r="D168" s="9">
        <v>8.310924932E9</v>
      </c>
      <c r="E168" s="8" t="s">
        <v>4460</v>
      </c>
      <c r="F168" s="8" t="s">
        <v>3934</v>
      </c>
      <c r="G168" s="8" t="s">
        <v>4461</v>
      </c>
      <c r="H168" s="8" t="s">
        <v>3479</v>
      </c>
      <c r="I168" s="9">
        <v>0.0</v>
      </c>
      <c r="J168" s="9">
        <v>609.0</v>
      </c>
      <c r="K168" s="9">
        <v>609.0</v>
      </c>
      <c r="L168" s="9">
        <v>609.0</v>
      </c>
      <c r="M168" s="9">
        <v>80.0</v>
      </c>
      <c r="N168" s="9">
        <v>80.0</v>
      </c>
      <c r="O168" s="9">
        <v>449.0</v>
      </c>
      <c r="P168" s="8" t="s">
        <v>3480</v>
      </c>
      <c r="Q168" s="8" t="s">
        <v>4462</v>
      </c>
      <c r="R168" s="8" t="s">
        <v>4463</v>
      </c>
    </row>
    <row r="169">
      <c r="A169" s="8" t="s">
        <v>220</v>
      </c>
      <c r="B169" s="8" t="s">
        <v>4464</v>
      </c>
      <c r="C169" s="8" t="s">
        <v>4465</v>
      </c>
      <c r="D169" s="9">
        <v>9.545121357E9</v>
      </c>
      <c r="E169" s="8" t="s">
        <v>4466</v>
      </c>
      <c r="F169" s="8" t="s">
        <v>3757</v>
      </c>
      <c r="G169" s="8" t="s">
        <v>4467</v>
      </c>
      <c r="H169" s="8" t="s">
        <v>3479</v>
      </c>
      <c r="I169" s="9">
        <v>0.0</v>
      </c>
      <c r="J169" s="9">
        <v>5146.0</v>
      </c>
      <c r="K169" s="9">
        <v>5146.0</v>
      </c>
      <c r="L169" s="9">
        <v>5146.0</v>
      </c>
      <c r="M169" s="9">
        <v>3846.0</v>
      </c>
      <c r="N169" s="9">
        <v>0.0</v>
      </c>
      <c r="O169" s="9">
        <v>1300.0</v>
      </c>
      <c r="P169" s="8" t="s">
        <v>3480</v>
      </c>
      <c r="Q169" s="8"/>
      <c r="R169" s="8"/>
    </row>
    <row r="170">
      <c r="A170" s="8" t="s">
        <v>218</v>
      </c>
      <c r="B170" s="8" t="s">
        <v>4468</v>
      </c>
      <c r="C170" s="8" t="s">
        <v>4469</v>
      </c>
      <c r="D170" s="9">
        <v>9.860291168E9</v>
      </c>
      <c r="E170" s="8" t="s">
        <v>4470</v>
      </c>
      <c r="F170" s="8" t="s">
        <v>3608</v>
      </c>
      <c r="G170" s="8" t="s">
        <v>4471</v>
      </c>
      <c r="H170" s="8" t="s">
        <v>4472</v>
      </c>
      <c r="I170" s="9">
        <v>0.0</v>
      </c>
      <c r="J170" s="9">
        <v>0.0</v>
      </c>
      <c r="K170" s="9">
        <v>1637.0</v>
      </c>
      <c r="L170" s="9">
        <v>1550.0</v>
      </c>
      <c r="M170" s="9">
        <v>458.0</v>
      </c>
      <c r="N170" s="9">
        <v>730.0</v>
      </c>
      <c r="O170" s="9">
        <v>449.0</v>
      </c>
      <c r="P170" s="8" t="s">
        <v>3480</v>
      </c>
      <c r="Q170" s="8"/>
      <c r="R170" s="8"/>
    </row>
    <row r="171">
      <c r="A171" s="8" t="s">
        <v>311</v>
      </c>
      <c r="B171" s="8" t="s">
        <v>4473</v>
      </c>
      <c r="C171" s="8" t="s">
        <v>4474</v>
      </c>
      <c r="D171" s="9">
        <v>8.530252828E9</v>
      </c>
      <c r="E171" s="8" t="s">
        <v>4475</v>
      </c>
      <c r="F171" s="8" t="s">
        <v>3550</v>
      </c>
      <c r="G171" s="8" t="s">
        <v>4476</v>
      </c>
      <c r="H171" s="8" t="s">
        <v>3479</v>
      </c>
      <c r="I171" s="9">
        <v>0.0</v>
      </c>
      <c r="J171" s="9">
        <v>1673.0</v>
      </c>
      <c r="K171" s="9">
        <v>1673.0</v>
      </c>
      <c r="L171" s="9">
        <v>1673.0</v>
      </c>
      <c r="M171" s="9">
        <v>80.0</v>
      </c>
      <c r="N171" s="9">
        <v>869.0</v>
      </c>
      <c r="O171" s="9">
        <v>724.0</v>
      </c>
      <c r="P171" s="8" t="s">
        <v>3480</v>
      </c>
      <c r="Q171" s="8" t="s">
        <v>4477</v>
      </c>
      <c r="R171" s="8" t="s">
        <v>4478</v>
      </c>
    </row>
    <row r="172">
      <c r="A172" s="8" t="s">
        <v>313</v>
      </c>
      <c r="B172" s="8" t="s">
        <v>4479</v>
      </c>
      <c r="C172" s="8" t="s">
        <v>4480</v>
      </c>
      <c r="D172" s="9">
        <v>9.82203228E9</v>
      </c>
      <c r="E172" s="8" t="s">
        <v>4481</v>
      </c>
      <c r="F172" s="8" t="s">
        <v>3881</v>
      </c>
      <c r="G172" s="8" t="s">
        <v>4482</v>
      </c>
      <c r="H172" s="8" t="s">
        <v>3479</v>
      </c>
      <c r="I172" s="9">
        <v>0.0</v>
      </c>
      <c r="J172" s="9">
        <v>2081.0</v>
      </c>
      <c r="K172" s="9">
        <v>2081.0</v>
      </c>
      <c r="L172" s="9">
        <v>2081.0</v>
      </c>
      <c r="M172" s="9">
        <v>1030.0</v>
      </c>
      <c r="N172" s="9">
        <v>527.0</v>
      </c>
      <c r="O172" s="9">
        <v>524.0</v>
      </c>
      <c r="P172" s="8" t="s">
        <v>3519</v>
      </c>
      <c r="Q172" s="8" t="s">
        <v>4483</v>
      </c>
      <c r="R172" s="8" t="s">
        <v>4484</v>
      </c>
    </row>
    <row r="173">
      <c r="A173" s="8" t="s">
        <v>312</v>
      </c>
      <c r="B173" s="8" t="s">
        <v>4485</v>
      </c>
      <c r="C173" s="8" t="s">
        <v>4486</v>
      </c>
      <c r="D173" s="9">
        <v>9.029912316E9</v>
      </c>
      <c r="E173" s="8" t="s">
        <v>4487</v>
      </c>
      <c r="F173" s="8" t="s">
        <v>3486</v>
      </c>
      <c r="G173" s="8" t="s">
        <v>4488</v>
      </c>
      <c r="H173" s="8" t="s">
        <v>3479</v>
      </c>
      <c r="I173" s="9">
        <v>0.0</v>
      </c>
      <c r="J173" s="9">
        <v>1259.0</v>
      </c>
      <c r="K173" s="9">
        <v>1259.0</v>
      </c>
      <c r="L173" s="9">
        <v>1259.0</v>
      </c>
      <c r="M173" s="9">
        <v>80.0</v>
      </c>
      <c r="N173" s="9">
        <v>730.0</v>
      </c>
      <c r="O173" s="9">
        <v>449.0</v>
      </c>
      <c r="P173" s="8" t="s">
        <v>3480</v>
      </c>
      <c r="Q173" s="8" t="s">
        <v>4489</v>
      </c>
      <c r="R173" s="8" t="s">
        <v>4490</v>
      </c>
    </row>
    <row r="174">
      <c r="A174" s="8" t="s">
        <v>219</v>
      </c>
      <c r="B174" s="8" t="s">
        <v>4491</v>
      </c>
      <c r="C174" s="8" t="s">
        <v>4492</v>
      </c>
      <c r="D174" s="9">
        <v>9.7649046E9</v>
      </c>
      <c r="E174" s="8" t="s">
        <v>4493</v>
      </c>
      <c r="F174" s="8" t="s">
        <v>3498</v>
      </c>
      <c r="G174" s="8" t="s">
        <v>4494</v>
      </c>
      <c r="H174" s="8" t="s">
        <v>3479</v>
      </c>
      <c r="I174" s="9">
        <v>0.0</v>
      </c>
      <c r="J174" s="9">
        <v>3786.0</v>
      </c>
      <c r="K174" s="9">
        <v>3786.0</v>
      </c>
      <c r="L174" s="9">
        <v>3786.0</v>
      </c>
      <c r="M174" s="9">
        <v>2357.0</v>
      </c>
      <c r="N174" s="9">
        <v>730.0</v>
      </c>
      <c r="O174" s="9">
        <v>699.0</v>
      </c>
      <c r="P174" s="8" t="s">
        <v>3480</v>
      </c>
      <c r="Q174" s="8" t="s">
        <v>4495</v>
      </c>
      <c r="R174" s="8" t="s">
        <v>4496</v>
      </c>
    </row>
    <row r="175">
      <c r="A175" s="8" t="s">
        <v>314</v>
      </c>
      <c r="B175" s="8" t="s">
        <v>4497</v>
      </c>
      <c r="C175" s="8" t="s">
        <v>4498</v>
      </c>
      <c r="D175" s="9">
        <v>7.304070707E9</v>
      </c>
      <c r="E175" s="8" t="s">
        <v>4499</v>
      </c>
      <c r="F175" s="8" t="s">
        <v>4500</v>
      </c>
      <c r="G175" s="8" t="s">
        <v>4501</v>
      </c>
      <c r="H175" s="8" t="s">
        <v>3479</v>
      </c>
      <c r="I175" s="9">
        <v>0.0</v>
      </c>
      <c r="J175" s="9">
        <v>1763.0</v>
      </c>
      <c r="K175" s="9">
        <v>1763.0</v>
      </c>
      <c r="L175" s="9">
        <v>1763.0</v>
      </c>
      <c r="M175" s="9">
        <v>280.0</v>
      </c>
      <c r="N175" s="9">
        <v>784.0</v>
      </c>
      <c r="O175" s="9">
        <v>699.0</v>
      </c>
      <c r="P175" s="8" t="s">
        <v>3519</v>
      </c>
      <c r="Q175" s="8" t="s">
        <v>4502</v>
      </c>
      <c r="R175" s="8" t="s">
        <v>4503</v>
      </c>
    </row>
    <row r="176">
      <c r="A176" s="8" t="s">
        <v>248</v>
      </c>
      <c r="B176" s="8" t="s">
        <v>4504</v>
      </c>
      <c r="C176" s="8" t="s">
        <v>4505</v>
      </c>
      <c r="D176" s="9">
        <v>9.981994491E9</v>
      </c>
      <c r="E176" s="8" t="s">
        <v>4506</v>
      </c>
      <c r="F176" s="8" t="s">
        <v>4507</v>
      </c>
      <c r="G176" s="8" t="s">
        <v>4508</v>
      </c>
      <c r="H176" s="8" t="s">
        <v>3479</v>
      </c>
      <c r="I176" s="9">
        <v>0.0</v>
      </c>
      <c r="J176" s="9">
        <v>2350.0</v>
      </c>
      <c r="K176" s="9">
        <v>2350.0</v>
      </c>
      <c r="L176" s="9">
        <v>2350.0</v>
      </c>
      <c r="M176" s="9">
        <v>2350.0</v>
      </c>
      <c r="N176" s="9">
        <v>0.0</v>
      </c>
      <c r="O176" s="9">
        <v>0.0</v>
      </c>
      <c r="P176" s="8" t="s">
        <v>3480</v>
      </c>
      <c r="Q176" s="8"/>
      <c r="R176" s="8"/>
    </row>
    <row r="177">
      <c r="A177" s="8" t="s">
        <v>334</v>
      </c>
      <c r="B177" s="8" t="s">
        <v>4509</v>
      </c>
      <c r="C177" s="8" t="s">
        <v>4510</v>
      </c>
      <c r="D177" s="9">
        <v>9.527176765E9</v>
      </c>
      <c r="E177" s="8" t="s">
        <v>4511</v>
      </c>
      <c r="F177" s="8" t="s">
        <v>3523</v>
      </c>
      <c r="G177" s="8" t="s">
        <v>4512</v>
      </c>
      <c r="H177" s="8" t="s">
        <v>3479</v>
      </c>
      <c r="I177" s="9">
        <v>0.0</v>
      </c>
      <c r="J177" s="9">
        <v>810.0</v>
      </c>
      <c r="K177" s="9">
        <v>810.0</v>
      </c>
      <c r="L177" s="9">
        <v>810.0</v>
      </c>
      <c r="M177" s="9">
        <v>550.0</v>
      </c>
      <c r="N177" s="9">
        <v>80.0</v>
      </c>
      <c r="O177" s="9">
        <v>180.0</v>
      </c>
      <c r="P177" s="8" t="s">
        <v>3480</v>
      </c>
      <c r="Q177" s="8"/>
      <c r="R177" s="8"/>
    </row>
    <row r="178">
      <c r="A178" s="8" t="s">
        <v>301</v>
      </c>
      <c r="B178" s="8" t="s">
        <v>4513</v>
      </c>
      <c r="C178" s="8" t="s">
        <v>4514</v>
      </c>
      <c r="D178" s="9">
        <v>8.983644194E9</v>
      </c>
      <c r="E178" s="8" t="s">
        <v>4515</v>
      </c>
      <c r="F178" s="8" t="s">
        <v>3550</v>
      </c>
      <c r="G178" s="8" t="s">
        <v>4516</v>
      </c>
      <c r="H178" s="8" t="s">
        <v>3479</v>
      </c>
      <c r="I178" s="9">
        <v>0.0</v>
      </c>
      <c r="J178" s="9">
        <v>1174.0</v>
      </c>
      <c r="K178" s="9">
        <v>1174.0</v>
      </c>
      <c r="L178" s="9">
        <v>1174.0</v>
      </c>
      <c r="M178" s="9">
        <v>80.0</v>
      </c>
      <c r="N178" s="9">
        <v>645.0</v>
      </c>
      <c r="O178" s="9">
        <v>449.0</v>
      </c>
      <c r="P178" s="8" t="s">
        <v>3480</v>
      </c>
      <c r="Q178" s="8" t="s">
        <v>4517</v>
      </c>
      <c r="R178" s="8" t="s">
        <v>4518</v>
      </c>
    </row>
    <row r="179">
      <c r="A179" s="8" t="s">
        <v>221</v>
      </c>
      <c r="B179" s="8" t="s">
        <v>4519</v>
      </c>
      <c r="C179" s="8" t="s">
        <v>4520</v>
      </c>
      <c r="D179" s="9">
        <v>8.551878585E9</v>
      </c>
      <c r="E179" s="8" t="s">
        <v>4521</v>
      </c>
      <c r="F179" s="8" t="s">
        <v>3615</v>
      </c>
      <c r="G179" s="8" t="s">
        <v>4522</v>
      </c>
      <c r="H179" s="8" t="s">
        <v>3479</v>
      </c>
      <c r="I179" s="9">
        <v>0.0</v>
      </c>
      <c r="J179" s="9">
        <v>1813.0</v>
      </c>
      <c r="K179" s="9">
        <v>1813.0</v>
      </c>
      <c r="L179" s="9">
        <v>1813.0</v>
      </c>
      <c r="M179" s="9">
        <v>580.0</v>
      </c>
      <c r="N179" s="9">
        <v>784.0</v>
      </c>
      <c r="O179" s="9">
        <v>449.0</v>
      </c>
      <c r="P179" s="8" t="s">
        <v>3480</v>
      </c>
      <c r="Q179" s="8"/>
      <c r="R179" s="8"/>
    </row>
    <row r="180">
      <c r="A180" s="8" t="s">
        <v>296</v>
      </c>
      <c r="B180" s="8" t="s">
        <v>4523</v>
      </c>
      <c r="C180" s="8" t="s">
        <v>4524</v>
      </c>
      <c r="D180" s="9">
        <v>7.03801542E9</v>
      </c>
      <c r="E180" s="8" t="s">
        <v>4525</v>
      </c>
      <c r="F180" s="8" t="s">
        <v>3608</v>
      </c>
      <c r="G180" s="8" t="s">
        <v>4526</v>
      </c>
      <c r="H180" s="8" t="s">
        <v>3479</v>
      </c>
      <c r="I180" s="9">
        <v>0.0</v>
      </c>
      <c r="J180" s="9">
        <v>1577.0</v>
      </c>
      <c r="K180" s="9">
        <v>1577.0</v>
      </c>
      <c r="L180" s="9">
        <v>1577.0</v>
      </c>
      <c r="M180" s="9">
        <v>333.0</v>
      </c>
      <c r="N180" s="9">
        <v>795.0</v>
      </c>
      <c r="O180" s="9">
        <v>449.0</v>
      </c>
      <c r="P180" s="8" t="s">
        <v>3519</v>
      </c>
      <c r="Q180" s="8"/>
      <c r="R180" s="8"/>
    </row>
    <row r="181">
      <c r="A181" s="8" t="s">
        <v>297</v>
      </c>
      <c r="B181" s="8" t="s">
        <v>4527</v>
      </c>
      <c r="C181" s="8" t="s">
        <v>4528</v>
      </c>
      <c r="D181" s="9">
        <v>8.888063966E9</v>
      </c>
      <c r="E181" s="8" t="s">
        <v>4529</v>
      </c>
      <c r="F181" s="8" t="s">
        <v>3934</v>
      </c>
      <c r="G181" s="8" t="s">
        <v>4530</v>
      </c>
      <c r="H181" s="8" t="s">
        <v>3479</v>
      </c>
      <c r="I181" s="9">
        <v>0.0</v>
      </c>
      <c r="J181" s="9">
        <v>2464.0</v>
      </c>
      <c r="K181" s="9">
        <v>2464.0</v>
      </c>
      <c r="L181" s="9">
        <v>2464.0</v>
      </c>
      <c r="M181" s="9">
        <v>1285.0</v>
      </c>
      <c r="N181" s="9">
        <v>730.0</v>
      </c>
      <c r="O181" s="9">
        <v>449.0</v>
      </c>
      <c r="P181" s="8" t="s">
        <v>3519</v>
      </c>
      <c r="Q181" s="8"/>
      <c r="R181" s="8"/>
    </row>
    <row r="182">
      <c r="A182" s="8" t="s">
        <v>298</v>
      </c>
      <c r="B182" s="8" t="s">
        <v>4531</v>
      </c>
      <c r="C182" s="8" t="s">
        <v>4532</v>
      </c>
      <c r="D182" s="9">
        <v>9.42249484E9</v>
      </c>
      <c r="E182" s="8" t="s">
        <v>4533</v>
      </c>
      <c r="F182" s="8" t="s">
        <v>3721</v>
      </c>
      <c r="G182" s="8" t="s">
        <v>4534</v>
      </c>
      <c r="H182" s="8" t="s">
        <v>3479</v>
      </c>
      <c r="I182" s="9">
        <v>0.0</v>
      </c>
      <c r="J182" s="9">
        <v>3658.0</v>
      </c>
      <c r="K182" s="9">
        <v>3658.0</v>
      </c>
      <c r="L182" s="9">
        <v>3658.0</v>
      </c>
      <c r="M182" s="9">
        <v>2369.0</v>
      </c>
      <c r="N182" s="9">
        <v>730.0</v>
      </c>
      <c r="O182" s="9">
        <v>559.0</v>
      </c>
      <c r="P182" s="8" t="s">
        <v>3480</v>
      </c>
      <c r="Q182" s="8" t="s">
        <v>4535</v>
      </c>
      <c r="R182" s="8" t="s">
        <v>4536</v>
      </c>
    </row>
    <row r="183">
      <c r="A183" s="8" t="s">
        <v>299</v>
      </c>
      <c r="B183" s="8" t="s">
        <v>4537</v>
      </c>
      <c r="C183" s="8" t="s">
        <v>4538</v>
      </c>
      <c r="D183" s="9">
        <v>9.168085222E9</v>
      </c>
      <c r="E183" s="8" t="s">
        <v>4539</v>
      </c>
      <c r="F183" s="8" t="s">
        <v>4540</v>
      </c>
      <c r="G183" s="8" t="s">
        <v>4541</v>
      </c>
      <c r="H183" s="8" t="s">
        <v>3479</v>
      </c>
      <c r="I183" s="9">
        <v>0.0</v>
      </c>
      <c r="J183" s="9">
        <v>2233.0</v>
      </c>
      <c r="K183" s="9">
        <v>2233.0</v>
      </c>
      <c r="L183" s="9">
        <v>2233.0</v>
      </c>
      <c r="M183" s="9">
        <v>175.0</v>
      </c>
      <c r="N183" s="9">
        <v>1259.0</v>
      </c>
      <c r="O183" s="9">
        <v>799.0</v>
      </c>
      <c r="P183" s="8" t="s">
        <v>3480</v>
      </c>
      <c r="Q183" s="8" t="s">
        <v>4542</v>
      </c>
      <c r="R183" s="8"/>
    </row>
    <row r="184">
      <c r="A184" s="8" t="s">
        <v>303</v>
      </c>
      <c r="B184" s="8" t="s">
        <v>4543</v>
      </c>
      <c r="C184" s="8" t="s">
        <v>4544</v>
      </c>
      <c r="D184" s="9">
        <v>9.881101308E9</v>
      </c>
      <c r="E184" s="8" t="s">
        <v>4545</v>
      </c>
      <c r="F184" s="8" t="s">
        <v>3594</v>
      </c>
      <c r="G184" s="8" t="s">
        <v>4546</v>
      </c>
      <c r="H184" s="8" t="s">
        <v>3479</v>
      </c>
      <c r="I184" s="9">
        <v>0.0</v>
      </c>
      <c r="J184" s="9">
        <v>1354.0</v>
      </c>
      <c r="K184" s="9">
        <v>1354.0</v>
      </c>
      <c r="L184" s="9">
        <v>1354.0</v>
      </c>
      <c r="M184" s="9">
        <v>100.0</v>
      </c>
      <c r="N184" s="9">
        <v>730.0</v>
      </c>
      <c r="O184" s="9">
        <v>524.0</v>
      </c>
      <c r="P184" s="8" t="s">
        <v>3480</v>
      </c>
      <c r="Q184" s="8" t="s">
        <v>4547</v>
      </c>
      <c r="R184" s="8" t="s">
        <v>4548</v>
      </c>
    </row>
    <row r="185">
      <c r="A185" s="8" t="s">
        <v>300</v>
      </c>
      <c r="B185" s="8" t="s">
        <v>4549</v>
      </c>
      <c r="C185" s="8" t="s">
        <v>4550</v>
      </c>
      <c r="D185" s="9">
        <v>9.727754606E9</v>
      </c>
      <c r="E185" s="8" t="s">
        <v>4551</v>
      </c>
      <c r="F185" s="8" t="s">
        <v>3509</v>
      </c>
      <c r="G185" s="8" t="s">
        <v>4552</v>
      </c>
      <c r="H185" s="8" t="s">
        <v>3479</v>
      </c>
      <c r="I185" s="9">
        <v>0.0</v>
      </c>
      <c r="J185" s="9">
        <v>1259.0</v>
      </c>
      <c r="K185" s="9">
        <v>1259.0</v>
      </c>
      <c r="L185" s="9">
        <v>1259.0</v>
      </c>
      <c r="M185" s="9">
        <v>80.0</v>
      </c>
      <c r="N185" s="9">
        <v>730.0</v>
      </c>
      <c r="O185" s="9">
        <v>449.0</v>
      </c>
      <c r="P185" s="8" t="s">
        <v>3480</v>
      </c>
      <c r="Q185" s="8" t="s">
        <v>4553</v>
      </c>
      <c r="R185" s="8" t="s">
        <v>4554</v>
      </c>
    </row>
    <row r="186">
      <c r="A186" s="8" t="s">
        <v>304</v>
      </c>
      <c r="B186" s="8" t="s">
        <v>4555</v>
      </c>
      <c r="C186" s="8" t="s">
        <v>4556</v>
      </c>
      <c r="D186" s="9">
        <v>9.834859931E9</v>
      </c>
      <c r="E186" s="8" t="s">
        <v>4557</v>
      </c>
      <c r="F186" s="8" t="s">
        <v>4558</v>
      </c>
      <c r="G186" s="8" t="s">
        <v>4559</v>
      </c>
      <c r="H186" s="8" t="s">
        <v>3479</v>
      </c>
      <c r="I186" s="9">
        <v>0.0</v>
      </c>
      <c r="J186" s="9">
        <v>2459.0</v>
      </c>
      <c r="K186" s="9">
        <v>2459.0</v>
      </c>
      <c r="L186" s="9">
        <v>2459.0</v>
      </c>
      <c r="M186" s="9">
        <v>2084.0</v>
      </c>
      <c r="N186" s="9">
        <v>0.0</v>
      </c>
      <c r="O186" s="9">
        <v>375.0</v>
      </c>
      <c r="P186" s="8" t="s">
        <v>3480</v>
      </c>
      <c r="Q186" s="8"/>
      <c r="R186" s="8"/>
    </row>
    <row r="187">
      <c r="A187" s="8" t="s">
        <v>305</v>
      </c>
      <c r="B187" s="8" t="s">
        <v>4560</v>
      </c>
      <c r="C187" s="8" t="s">
        <v>3944</v>
      </c>
      <c r="D187" s="9">
        <v>9.970886964E9</v>
      </c>
      <c r="E187" s="8" t="s">
        <v>3945</v>
      </c>
      <c r="F187" s="8" t="s">
        <v>3498</v>
      </c>
      <c r="G187" s="8" t="s">
        <v>3946</v>
      </c>
      <c r="H187" s="8" t="s">
        <v>3479</v>
      </c>
      <c r="I187" s="9">
        <v>0.0</v>
      </c>
      <c r="J187" s="9">
        <v>1790.0</v>
      </c>
      <c r="K187" s="9">
        <v>1790.0</v>
      </c>
      <c r="L187" s="9">
        <v>1790.0</v>
      </c>
      <c r="M187" s="9">
        <v>1790.0</v>
      </c>
      <c r="N187" s="9">
        <v>0.0</v>
      </c>
      <c r="O187" s="9">
        <v>0.0</v>
      </c>
      <c r="P187" s="8" t="s">
        <v>3480</v>
      </c>
      <c r="Q187" s="8"/>
      <c r="R187" s="8"/>
    </row>
    <row r="188">
      <c r="A188" s="8" t="s">
        <v>306</v>
      </c>
      <c r="B188" s="8" t="s">
        <v>4561</v>
      </c>
      <c r="C188" s="8" t="s">
        <v>4562</v>
      </c>
      <c r="D188" s="9">
        <v>7.894850132E9</v>
      </c>
      <c r="E188" s="8" t="s">
        <v>4563</v>
      </c>
      <c r="F188" s="8" t="s">
        <v>3815</v>
      </c>
      <c r="G188" s="8" t="s">
        <v>4564</v>
      </c>
      <c r="H188" s="8" t="s">
        <v>3479</v>
      </c>
      <c r="I188" s="9">
        <v>0.0</v>
      </c>
      <c r="J188" s="9">
        <v>5200.0</v>
      </c>
      <c r="K188" s="9">
        <v>5200.0</v>
      </c>
      <c r="L188" s="9">
        <v>5200.0</v>
      </c>
      <c r="M188" s="9">
        <v>5100.0</v>
      </c>
      <c r="N188" s="9">
        <v>0.0</v>
      </c>
      <c r="O188" s="9">
        <v>100.0</v>
      </c>
      <c r="P188" s="8" t="s">
        <v>3544</v>
      </c>
      <c r="Q188" s="8"/>
      <c r="R188" s="8"/>
    </row>
    <row r="189">
      <c r="A189" s="8" t="s">
        <v>302</v>
      </c>
      <c r="B189" s="8" t="s">
        <v>4565</v>
      </c>
      <c r="C189" s="8" t="s">
        <v>4566</v>
      </c>
      <c r="D189" s="9">
        <v>7.387043468E9</v>
      </c>
      <c r="E189" s="8" t="s">
        <v>4567</v>
      </c>
      <c r="F189" s="8" t="s">
        <v>3589</v>
      </c>
      <c r="G189" s="8" t="s">
        <v>4568</v>
      </c>
      <c r="H189" s="8" t="s">
        <v>3479</v>
      </c>
      <c r="I189" s="9">
        <v>0.0</v>
      </c>
      <c r="J189" s="9">
        <v>2039.0</v>
      </c>
      <c r="K189" s="9">
        <v>2039.0</v>
      </c>
      <c r="L189" s="9">
        <v>2039.0</v>
      </c>
      <c r="M189" s="9">
        <v>785.0</v>
      </c>
      <c r="N189" s="9">
        <v>730.0</v>
      </c>
      <c r="O189" s="9">
        <v>524.0</v>
      </c>
      <c r="P189" s="8" t="s">
        <v>3480</v>
      </c>
      <c r="Q189" s="8" t="s">
        <v>4569</v>
      </c>
      <c r="R189" s="8" t="s">
        <v>4570</v>
      </c>
    </row>
    <row r="190">
      <c r="A190" s="8" t="s">
        <v>308</v>
      </c>
      <c r="B190" s="8" t="s">
        <v>4571</v>
      </c>
      <c r="C190" s="8" t="s">
        <v>4572</v>
      </c>
      <c r="D190" s="9">
        <v>9.552504362E9</v>
      </c>
      <c r="E190" s="8" t="s">
        <v>4573</v>
      </c>
      <c r="F190" s="8" t="s">
        <v>4574</v>
      </c>
      <c r="G190" s="8" t="s">
        <v>4575</v>
      </c>
      <c r="H190" s="8" t="s">
        <v>3479</v>
      </c>
      <c r="I190" s="9">
        <v>0.0</v>
      </c>
      <c r="J190" s="9">
        <v>1139.0</v>
      </c>
      <c r="K190" s="9">
        <v>1139.0</v>
      </c>
      <c r="L190" s="9">
        <v>1139.0</v>
      </c>
      <c r="M190" s="9">
        <v>610.0</v>
      </c>
      <c r="N190" s="9">
        <v>80.0</v>
      </c>
      <c r="O190" s="9">
        <v>449.0</v>
      </c>
      <c r="P190" s="8" t="s">
        <v>3544</v>
      </c>
      <c r="Q190" s="8" t="s">
        <v>4576</v>
      </c>
      <c r="R190" s="8" t="s">
        <v>4577</v>
      </c>
    </row>
    <row r="191">
      <c r="A191" s="8" t="s">
        <v>346</v>
      </c>
      <c r="B191" s="8" t="s">
        <v>4578</v>
      </c>
      <c r="C191" s="8" t="s">
        <v>4579</v>
      </c>
      <c r="D191" s="9">
        <v>9.767986906E9</v>
      </c>
      <c r="E191" s="8" t="s">
        <v>4580</v>
      </c>
      <c r="F191" s="8" t="s">
        <v>3589</v>
      </c>
      <c r="G191" s="8" t="s">
        <v>4581</v>
      </c>
      <c r="H191" s="8" t="s">
        <v>3479</v>
      </c>
      <c r="I191" s="9">
        <v>0.0</v>
      </c>
      <c r="J191" s="9">
        <v>2088.0</v>
      </c>
      <c r="K191" s="9">
        <v>2088.0</v>
      </c>
      <c r="L191" s="9">
        <v>2088.0</v>
      </c>
      <c r="M191" s="9">
        <v>834.0</v>
      </c>
      <c r="N191" s="9">
        <v>730.0</v>
      </c>
      <c r="O191" s="9">
        <v>524.0</v>
      </c>
      <c r="P191" s="8" t="s">
        <v>3480</v>
      </c>
      <c r="Q191" s="8" t="s">
        <v>4582</v>
      </c>
      <c r="R191" s="8" t="s">
        <v>4583</v>
      </c>
    </row>
    <row r="192">
      <c r="A192" s="8" t="s">
        <v>309</v>
      </c>
      <c r="B192" s="8" t="s">
        <v>4584</v>
      </c>
      <c r="C192" s="8" t="s">
        <v>4585</v>
      </c>
      <c r="D192" s="9">
        <v>9.665201372E9</v>
      </c>
      <c r="E192" s="8" t="s">
        <v>4586</v>
      </c>
      <c r="F192" s="8" t="s">
        <v>3681</v>
      </c>
      <c r="G192" s="8" t="s">
        <v>4587</v>
      </c>
      <c r="H192" s="8" t="s">
        <v>3479</v>
      </c>
      <c r="I192" s="9">
        <v>0.0</v>
      </c>
      <c r="J192" s="9">
        <v>2773.0</v>
      </c>
      <c r="K192" s="9">
        <v>2773.0</v>
      </c>
      <c r="L192" s="9">
        <v>2773.0</v>
      </c>
      <c r="M192" s="9">
        <v>1198.0</v>
      </c>
      <c r="N192" s="9">
        <v>851.0</v>
      </c>
      <c r="O192" s="9">
        <v>724.0</v>
      </c>
      <c r="P192" s="8" t="s">
        <v>3480</v>
      </c>
      <c r="Q192" s="8"/>
      <c r="R192" s="8"/>
    </row>
    <row r="193">
      <c r="A193" s="8" t="s">
        <v>336</v>
      </c>
      <c r="B193" s="8" t="s">
        <v>4588</v>
      </c>
      <c r="C193" s="8" t="s">
        <v>4589</v>
      </c>
      <c r="D193" s="9">
        <v>8.66868234E9</v>
      </c>
      <c r="E193" s="8" t="s">
        <v>4590</v>
      </c>
      <c r="F193" s="8" t="s">
        <v>4093</v>
      </c>
      <c r="G193" s="8" t="s">
        <v>4036</v>
      </c>
      <c r="H193" s="8" t="s">
        <v>3479</v>
      </c>
      <c r="I193" s="9">
        <v>0.0</v>
      </c>
      <c r="J193" s="9">
        <v>2157.0</v>
      </c>
      <c r="K193" s="9">
        <v>2157.0</v>
      </c>
      <c r="L193" s="9">
        <v>2157.0</v>
      </c>
      <c r="M193" s="9">
        <v>924.0</v>
      </c>
      <c r="N193" s="9">
        <v>784.0</v>
      </c>
      <c r="O193" s="9">
        <v>449.0</v>
      </c>
      <c r="P193" s="8" t="s">
        <v>3480</v>
      </c>
      <c r="Q193" s="8" t="s">
        <v>4591</v>
      </c>
      <c r="R193" s="8" t="s">
        <v>4592</v>
      </c>
    </row>
    <row r="194">
      <c r="A194" s="8" t="s">
        <v>337</v>
      </c>
      <c r="B194" s="8" t="s">
        <v>4593</v>
      </c>
      <c r="C194" s="8" t="s">
        <v>4594</v>
      </c>
      <c r="D194" s="9">
        <v>9.752717711E9</v>
      </c>
      <c r="E194" s="8" t="s">
        <v>4595</v>
      </c>
      <c r="F194" s="8" t="s">
        <v>4239</v>
      </c>
      <c r="G194" s="8" t="s">
        <v>4596</v>
      </c>
      <c r="H194" s="8" t="s">
        <v>3479</v>
      </c>
      <c r="I194" s="9">
        <v>0.0</v>
      </c>
      <c r="J194" s="9">
        <v>530.0</v>
      </c>
      <c r="K194" s="9">
        <v>530.0</v>
      </c>
      <c r="L194" s="9">
        <v>530.0</v>
      </c>
      <c r="M194" s="9">
        <v>275.0</v>
      </c>
      <c r="N194" s="9">
        <v>0.0</v>
      </c>
      <c r="O194" s="9">
        <v>255.0</v>
      </c>
      <c r="P194" s="8" t="s">
        <v>3480</v>
      </c>
      <c r="Q194" s="8"/>
      <c r="R194" s="8"/>
    </row>
    <row r="195">
      <c r="A195" s="8" t="s">
        <v>338</v>
      </c>
      <c r="B195" s="8" t="s">
        <v>4597</v>
      </c>
      <c r="C195" s="8" t="s">
        <v>4598</v>
      </c>
      <c r="D195" s="9">
        <v>9.893727778E9</v>
      </c>
      <c r="E195" s="8" t="s">
        <v>4599</v>
      </c>
      <c r="F195" s="8" t="s">
        <v>3608</v>
      </c>
      <c r="G195" s="8" t="s">
        <v>4600</v>
      </c>
      <c r="H195" s="8" t="s">
        <v>3479</v>
      </c>
      <c r="I195" s="9">
        <v>0.0</v>
      </c>
      <c r="J195" s="9">
        <v>1671.0</v>
      </c>
      <c r="K195" s="9">
        <v>1671.0</v>
      </c>
      <c r="L195" s="9">
        <v>1671.0</v>
      </c>
      <c r="M195" s="9">
        <v>492.0</v>
      </c>
      <c r="N195" s="9">
        <v>730.0</v>
      </c>
      <c r="O195" s="9">
        <v>449.0</v>
      </c>
      <c r="P195" s="8" t="s">
        <v>3480</v>
      </c>
      <c r="Q195" s="8" t="s">
        <v>4601</v>
      </c>
      <c r="R195" s="8" t="s">
        <v>4602</v>
      </c>
    </row>
    <row r="196">
      <c r="A196" s="8" t="s">
        <v>339</v>
      </c>
      <c r="B196" s="8" t="s">
        <v>4603</v>
      </c>
      <c r="C196" s="8" t="s">
        <v>4604</v>
      </c>
      <c r="D196" s="9">
        <v>9.403308902E9</v>
      </c>
      <c r="E196" s="8" t="s">
        <v>4605</v>
      </c>
      <c r="F196" s="8" t="s">
        <v>3977</v>
      </c>
      <c r="G196" s="8" t="s">
        <v>4606</v>
      </c>
      <c r="H196" s="8" t="s">
        <v>3479</v>
      </c>
      <c r="I196" s="9">
        <v>0.0</v>
      </c>
      <c r="J196" s="9">
        <v>1259.0</v>
      </c>
      <c r="K196" s="9">
        <v>1259.0</v>
      </c>
      <c r="L196" s="9">
        <v>1259.0</v>
      </c>
      <c r="M196" s="9">
        <v>80.0</v>
      </c>
      <c r="N196" s="9">
        <v>730.0</v>
      </c>
      <c r="O196" s="9">
        <v>449.0</v>
      </c>
      <c r="P196" s="8" t="s">
        <v>3480</v>
      </c>
      <c r="Q196" s="8" t="s">
        <v>4607</v>
      </c>
      <c r="R196" s="8" t="s">
        <v>4608</v>
      </c>
    </row>
    <row r="197">
      <c r="A197" s="8" t="s">
        <v>310</v>
      </c>
      <c r="B197" s="8" t="s">
        <v>4609</v>
      </c>
      <c r="C197" s="8" t="s">
        <v>4237</v>
      </c>
      <c r="D197" s="9">
        <v>9.167426875E9</v>
      </c>
      <c r="E197" s="8" t="s">
        <v>4238</v>
      </c>
      <c r="F197" s="8" t="s">
        <v>4239</v>
      </c>
      <c r="G197" s="8" t="s">
        <v>4610</v>
      </c>
      <c r="H197" s="8" t="s">
        <v>3479</v>
      </c>
      <c r="I197" s="9">
        <v>0.0</v>
      </c>
      <c r="J197" s="9">
        <v>500.0</v>
      </c>
      <c r="K197" s="9">
        <v>500.0</v>
      </c>
      <c r="L197" s="9">
        <v>500.0</v>
      </c>
      <c r="M197" s="9">
        <v>0.0</v>
      </c>
      <c r="N197" s="9">
        <v>460.0</v>
      </c>
      <c r="O197" s="9">
        <v>40.0</v>
      </c>
      <c r="P197" s="8" t="s">
        <v>3480</v>
      </c>
      <c r="Q197" s="8" t="s">
        <v>4241</v>
      </c>
      <c r="R197" s="8" t="s">
        <v>4242</v>
      </c>
    </row>
    <row r="198">
      <c r="A198" s="8" t="s">
        <v>340</v>
      </c>
      <c r="B198" s="8" t="s">
        <v>4611</v>
      </c>
      <c r="C198" s="8" t="s">
        <v>3899</v>
      </c>
      <c r="D198" s="9">
        <v>9.02842687E9</v>
      </c>
      <c r="E198" s="8" t="s">
        <v>4612</v>
      </c>
      <c r="F198" s="8" t="s">
        <v>3550</v>
      </c>
      <c r="G198" s="8" t="s">
        <v>4613</v>
      </c>
      <c r="H198" s="8" t="s">
        <v>3479</v>
      </c>
      <c r="I198" s="9">
        <v>0.0</v>
      </c>
      <c r="J198" s="9">
        <v>2536.0</v>
      </c>
      <c r="K198" s="9">
        <v>2536.0</v>
      </c>
      <c r="L198" s="9">
        <v>2536.0</v>
      </c>
      <c r="M198" s="9">
        <v>982.0</v>
      </c>
      <c r="N198" s="9">
        <v>730.0</v>
      </c>
      <c r="O198" s="9">
        <v>824.0</v>
      </c>
      <c r="P198" s="8" t="s">
        <v>3480</v>
      </c>
      <c r="Q198" s="8" t="s">
        <v>4614</v>
      </c>
      <c r="R198" s="8" t="s">
        <v>4615</v>
      </c>
    </row>
    <row r="199">
      <c r="A199" s="8" t="s">
        <v>335</v>
      </c>
      <c r="B199" s="8" t="s">
        <v>4616</v>
      </c>
      <c r="C199" s="8" t="s">
        <v>4617</v>
      </c>
      <c r="D199" s="9">
        <v>9.049987787E9</v>
      </c>
      <c r="E199" s="8" t="s">
        <v>4618</v>
      </c>
      <c r="F199" s="8" t="s">
        <v>4391</v>
      </c>
      <c r="G199" s="8" t="s">
        <v>4619</v>
      </c>
      <c r="H199" s="8" t="s">
        <v>3479</v>
      </c>
      <c r="I199" s="9">
        <v>0.0</v>
      </c>
      <c r="J199" s="9">
        <v>1259.0</v>
      </c>
      <c r="K199" s="9">
        <v>1259.0</v>
      </c>
      <c r="L199" s="9">
        <v>1259.0</v>
      </c>
      <c r="M199" s="9">
        <v>80.0</v>
      </c>
      <c r="N199" s="9">
        <v>730.0</v>
      </c>
      <c r="O199" s="9">
        <v>449.0</v>
      </c>
      <c r="P199" s="8" t="s">
        <v>3480</v>
      </c>
      <c r="Q199" s="8" t="s">
        <v>4620</v>
      </c>
      <c r="R199" s="8" t="s">
        <v>4621</v>
      </c>
    </row>
    <row r="200">
      <c r="A200" s="8" t="s">
        <v>343</v>
      </c>
      <c r="B200" s="8" t="s">
        <v>4622</v>
      </c>
      <c r="C200" s="8" t="s">
        <v>3778</v>
      </c>
      <c r="D200" s="9">
        <v>7.02801499E9</v>
      </c>
      <c r="E200" s="8" t="s">
        <v>3779</v>
      </c>
      <c r="F200" s="8" t="s">
        <v>3775</v>
      </c>
      <c r="G200" s="8" t="s">
        <v>4623</v>
      </c>
      <c r="H200" s="8" t="s">
        <v>3479</v>
      </c>
      <c r="I200" s="9">
        <v>2500.0</v>
      </c>
      <c r="J200" s="9">
        <v>0.0</v>
      </c>
      <c r="K200" s="9">
        <v>2500.0</v>
      </c>
      <c r="L200" s="9">
        <v>2500.0</v>
      </c>
      <c r="M200" s="9">
        <v>2500.0</v>
      </c>
      <c r="N200" s="9">
        <v>0.0</v>
      </c>
      <c r="O200" s="9">
        <v>0.0</v>
      </c>
      <c r="P200" s="8" t="s">
        <v>3480</v>
      </c>
      <c r="Q200" s="8" t="s">
        <v>3781</v>
      </c>
      <c r="R200" s="8" t="s">
        <v>3782</v>
      </c>
    </row>
    <row r="201">
      <c r="A201" s="8" t="s">
        <v>344</v>
      </c>
      <c r="B201" s="8" t="s">
        <v>4624</v>
      </c>
      <c r="C201" s="8" t="s">
        <v>4625</v>
      </c>
      <c r="D201" s="9">
        <v>8.780283941E9</v>
      </c>
      <c r="E201" s="8" t="s">
        <v>4626</v>
      </c>
      <c r="F201" s="8" t="s">
        <v>3821</v>
      </c>
      <c r="G201" s="8" t="s">
        <v>4627</v>
      </c>
      <c r="H201" s="8" t="s">
        <v>3479</v>
      </c>
      <c r="I201" s="9">
        <v>0.0</v>
      </c>
      <c r="J201" s="9">
        <v>1957.0</v>
      </c>
      <c r="K201" s="9">
        <v>1957.0</v>
      </c>
      <c r="L201" s="9">
        <v>1957.0</v>
      </c>
      <c r="M201" s="9">
        <v>668.0</v>
      </c>
      <c r="N201" s="9">
        <v>730.0</v>
      </c>
      <c r="O201" s="9">
        <v>559.0</v>
      </c>
      <c r="P201" s="8" t="s">
        <v>3480</v>
      </c>
      <c r="Q201" s="8" t="s">
        <v>4628</v>
      </c>
      <c r="R201" s="8" t="s">
        <v>4629</v>
      </c>
    </row>
    <row r="202">
      <c r="A202" s="8" t="s">
        <v>307</v>
      </c>
      <c r="B202" s="8" t="s">
        <v>4630</v>
      </c>
      <c r="C202" s="8" t="s">
        <v>4631</v>
      </c>
      <c r="D202" s="9">
        <v>8.793084321E9</v>
      </c>
      <c r="E202" s="8" t="s">
        <v>4632</v>
      </c>
      <c r="F202" s="8" t="s">
        <v>4633</v>
      </c>
      <c r="G202" s="8" t="s">
        <v>4634</v>
      </c>
      <c r="H202" s="8" t="s">
        <v>3479</v>
      </c>
      <c r="I202" s="9">
        <v>0.0</v>
      </c>
      <c r="J202" s="9">
        <v>1550.0</v>
      </c>
      <c r="K202" s="9">
        <v>1550.0</v>
      </c>
      <c r="L202" s="9">
        <v>1550.0</v>
      </c>
      <c r="M202" s="9">
        <v>1450.0</v>
      </c>
      <c r="N202" s="9">
        <v>0.0</v>
      </c>
      <c r="O202" s="9">
        <v>100.0</v>
      </c>
      <c r="P202" s="8" t="s">
        <v>3480</v>
      </c>
      <c r="Q202" s="8" t="s">
        <v>4635</v>
      </c>
      <c r="R202" s="8"/>
    </row>
    <row r="203">
      <c r="A203" s="8" t="s">
        <v>341</v>
      </c>
      <c r="B203" s="8" t="s">
        <v>4636</v>
      </c>
      <c r="C203" s="8" t="s">
        <v>4637</v>
      </c>
      <c r="D203" s="9">
        <v>8.600947655E9</v>
      </c>
      <c r="E203" s="8" t="s">
        <v>4638</v>
      </c>
      <c r="F203" s="8" t="s">
        <v>3601</v>
      </c>
      <c r="G203" s="8" t="s">
        <v>4639</v>
      </c>
      <c r="H203" s="8" t="s">
        <v>3479</v>
      </c>
      <c r="I203" s="9">
        <v>0.0</v>
      </c>
      <c r="J203" s="9">
        <v>2240.0</v>
      </c>
      <c r="K203" s="9">
        <v>2240.0</v>
      </c>
      <c r="L203" s="9">
        <v>2240.0</v>
      </c>
      <c r="M203" s="9">
        <v>1061.0</v>
      </c>
      <c r="N203" s="9">
        <v>730.0</v>
      </c>
      <c r="O203" s="9">
        <v>449.0</v>
      </c>
      <c r="P203" s="8" t="s">
        <v>3480</v>
      </c>
      <c r="Q203" s="8" t="s">
        <v>4640</v>
      </c>
      <c r="R203" s="8" t="s">
        <v>4641</v>
      </c>
    </row>
    <row r="204">
      <c r="A204" s="8" t="s">
        <v>316</v>
      </c>
      <c r="B204" s="8" t="s">
        <v>4642</v>
      </c>
      <c r="C204" s="8" t="s">
        <v>4643</v>
      </c>
      <c r="D204" s="9">
        <v>7.447845767E9</v>
      </c>
      <c r="E204" s="8" t="s">
        <v>4644</v>
      </c>
      <c r="F204" s="8" t="s">
        <v>4645</v>
      </c>
      <c r="G204" s="8" t="s">
        <v>4646</v>
      </c>
      <c r="H204" s="8" t="s">
        <v>3479</v>
      </c>
      <c r="I204" s="9">
        <v>0.0</v>
      </c>
      <c r="J204" s="9">
        <v>1500.0</v>
      </c>
      <c r="K204" s="9">
        <v>1500.0</v>
      </c>
      <c r="L204" s="9">
        <v>1500.0</v>
      </c>
      <c r="M204" s="9">
        <v>1500.0</v>
      </c>
      <c r="N204" s="9">
        <v>0.0</v>
      </c>
      <c r="O204" s="9">
        <v>0.0</v>
      </c>
      <c r="P204" s="8" t="s">
        <v>3480</v>
      </c>
      <c r="Q204" s="8"/>
      <c r="R204" s="8"/>
    </row>
    <row r="205">
      <c r="A205" s="8" t="s">
        <v>347</v>
      </c>
      <c r="B205" s="8" t="s">
        <v>4647</v>
      </c>
      <c r="C205" s="8" t="s">
        <v>4648</v>
      </c>
      <c r="D205" s="9">
        <v>9.822780116E9</v>
      </c>
      <c r="E205" s="8" t="s">
        <v>4649</v>
      </c>
      <c r="F205" s="8" t="s">
        <v>3564</v>
      </c>
      <c r="G205" s="8" t="s">
        <v>3494</v>
      </c>
      <c r="H205" s="8" t="s">
        <v>3479</v>
      </c>
      <c r="I205" s="9">
        <v>0.0</v>
      </c>
      <c r="J205" s="9">
        <v>1230.0</v>
      </c>
      <c r="K205" s="9">
        <v>1230.0</v>
      </c>
      <c r="L205" s="9">
        <v>1230.0</v>
      </c>
      <c r="M205" s="9">
        <v>1230.0</v>
      </c>
      <c r="N205" s="9">
        <v>0.0</v>
      </c>
      <c r="O205" s="9">
        <v>0.0</v>
      </c>
      <c r="P205" s="8" t="s">
        <v>3480</v>
      </c>
      <c r="Q205" s="8"/>
      <c r="R205" s="8"/>
    </row>
    <row r="206">
      <c r="A206" s="8" t="s">
        <v>348</v>
      </c>
      <c r="B206" s="8" t="s">
        <v>4650</v>
      </c>
      <c r="C206" s="8" t="s">
        <v>4651</v>
      </c>
      <c r="D206" s="9">
        <v>8.668368998E9</v>
      </c>
      <c r="E206" s="8" t="s">
        <v>4652</v>
      </c>
      <c r="F206" s="8" t="s">
        <v>3523</v>
      </c>
      <c r="G206" s="8" t="s">
        <v>4653</v>
      </c>
      <c r="H206" s="8" t="s">
        <v>3479</v>
      </c>
      <c r="I206" s="9">
        <v>0.0</v>
      </c>
      <c r="J206" s="9">
        <v>400.0</v>
      </c>
      <c r="K206" s="9">
        <v>400.0</v>
      </c>
      <c r="L206" s="9">
        <v>400.0</v>
      </c>
      <c r="M206" s="9">
        <v>275.0</v>
      </c>
      <c r="N206" s="9">
        <v>0.0</v>
      </c>
      <c r="O206" s="9">
        <v>125.0</v>
      </c>
      <c r="P206" s="8" t="s">
        <v>3480</v>
      </c>
      <c r="Q206" s="8" t="s">
        <v>4654</v>
      </c>
      <c r="R206" s="8" t="s">
        <v>4655</v>
      </c>
    </row>
    <row r="207">
      <c r="A207" s="8" t="s">
        <v>249</v>
      </c>
      <c r="B207" s="8" t="s">
        <v>4656</v>
      </c>
      <c r="C207" s="8" t="s">
        <v>4657</v>
      </c>
      <c r="D207" s="9">
        <v>9.0114641E9</v>
      </c>
      <c r="E207" s="8" t="s">
        <v>4332</v>
      </c>
      <c r="F207" s="8" t="s">
        <v>4333</v>
      </c>
      <c r="G207" s="8" t="s">
        <v>4334</v>
      </c>
      <c r="H207" s="8" t="s">
        <v>3479</v>
      </c>
      <c r="I207" s="9">
        <v>0.0</v>
      </c>
      <c r="J207" s="9">
        <v>2115.0</v>
      </c>
      <c r="K207" s="9">
        <v>2115.0</v>
      </c>
      <c r="L207" s="9">
        <v>2115.0</v>
      </c>
      <c r="M207" s="9">
        <v>518.0</v>
      </c>
      <c r="N207" s="9">
        <v>898.0</v>
      </c>
      <c r="O207" s="9">
        <v>699.0</v>
      </c>
      <c r="P207" s="8" t="s">
        <v>3480</v>
      </c>
      <c r="Q207" s="8" t="s">
        <v>4658</v>
      </c>
      <c r="R207" s="8" t="s">
        <v>4659</v>
      </c>
    </row>
    <row r="208">
      <c r="A208" s="8" t="s">
        <v>342</v>
      </c>
      <c r="B208" s="8" t="s">
        <v>4660</v>
      </c>
      <c r="C208" s="8" t="s">
        <v>4661</v>
      </c>
      <c r="D208" s="9">
        <v>9.145398978E9</v>
      </c>
      <c r="E208" s="8" t="s">
        <v>4662</v>
      </c>
      <c r="F208" s="8" t="s">
        <v>4663</v>
      </c>
      <c r="G208" s="8" t="s">
        <v>4664</v>
      </c>
      <c r="H208" s="8" t="s">
        <v>3479</v>
      </c>
      <c r="I208" s="9">
        <v>0.0</v>
      </c>
      <c r="J208" s="9">
        <v>3670.0</v>
      </c>
      <c r="K208" s="9">
        <v>3670.0</v>
      </c>
      <c r="L208" s="9">
        <v>3670.0</v>
      </c>
      <c r="M208" s="9">
        <v>1451.0</v>
      </c>
      <c r="N208" s="9">
        <v>1390.0</v>
      </c>
      <c r="O208" s="9">
        <v>829.0</v>
      </c>
      <c r="P208" s="8" t="s">
        <v>3480</v>
      </c>
      <c r="Q208" s="8" t="s">
        <v>4665</v>
      </c>
      <c r="R208" s="8" t="s">
        <v>4666</v>
      </c>
    </row>
    <row r="209">
      <c r="A209" s="8" t="s">
        <v>315</v>
      </c>
      <c r="B209" s="8" t="s">
        <v>4667</v>
      </c>
      <c r="C209" s="8" t="s">
        <v>4668</v>
      </c>
      <c r="D209" s="9">
        <v>9.960277897E9</v>
      </c>
      <c r="E209" s="8" t="s">
        <v>4669</v>
      </c>
      <c r="F209" s="8" t="s">
        <v>3486</v>
      </c>
      <c r="G209" s="8" t="s">
        <v>4670</v>
      </c>
      <c r="H209" s="8" t="s">
        <v>3479</v>
      </c>
      <c r="I209" s="9">
        <v>0.0</v>
      </c>
      <c r="J209" s="9">
        <v>1339.0</v>
      </c>
      <c r="K209" s="9">
        <v>1339.0</v>
      </c>
      <c r="L209" s="9">
        <v>1339.0</v>
      </c>
      <c r="M209" s="9">
        <v>80.0</v>
      </c>
      <c r="N209" s="9">
        <v>730.0</v>
      </c>
      <c r="O209" s="9">
        <v>529.0</v>
      </c>
      <c r="P209" s="8" t="s">
        <v>4183</v>
      </c>
      <c r="Q209" s="8" t="s">
        <v>4671</v>
      </c>
      <c r="R209" s="8" t="s">
        <v>4672</v>
      </c>
    </row>
    <row r="210">
      <c r="A210" s="8" t="s">
        <v>250</v>
      </c>
      <c r="B210" s="8" t="s">
        <v>4673</v>
      </c>
      <c r="C210" s="8" t="s">
        <v>4674</v>
      </c>
      <c r="D210" s="9">
        <v>9.579811663E9</v>
      </c>
      <c r="E210" s="8" t="s">
        <v>4675</v>
      </c>
      <c r="F210" s="8" t="s">
        <v>4676</v>
      </c>
      <c r="G210" s="8" t="s">
        <v>4677</v>
      </c>
      <c r="H210" s="8" t="s">
        <v>3479</v>
      </c>
      <c r="I210" s="9">
        <v>0.0</v>
      </c>
      <c r="J210" s="9">
        <v>3361.0</v>
      </c>
      <c r="K210" s="9">
        <v>3361.0</v>
      </c>
      <c r="L210" s="9">
        <v>3361.0</v>
      </c>
      <c r="M210" s="9">
        <v>1380.0</v>
      </c>
      <c r="N210" s="9">
        <v>952.0</v>
      </c>
      <c r="O210" s="9">
        <v>1029.0</v>
      </c>
      <c r="P210" s="8" t="s">
        <v>3544</v>
      </c>
      <c r="Q210" s="8"/>
      <c r="R210" s="8"/>
    </row>
    <row r="211">
      <c r="A211" s="8" t="s">
        <v>350</v>
      </c>
      <c r="B211" s="8" t="s">
        <v>4678</v>
      </c>
      <c r="C211" s="8" t="s">
        <v>4679</v>
      </c>
      <c r="D211" s="9">
        <v>9.404727535E9</v>
      </c>
      <c r="E211" s="8" t="s">
        <v>4680</v>
      </c>
      <c r="F211" s="8" t="s">
        <v>4681</v>
      </c>
      <c r="G211" s="8" t="s">
        <v>4682</v>
      </c>
      <c r="H211" s="8" t="s">
        <v>3479</v>
      </c>
      <c r="I211" s="9">
        <v>0.0</v>
      </c>
      <c r="J211" s="9">
        <v>2721.0</v>
      </c>
      <c r="K211" s="9">
        <v>2721.0</v>
      </c>
      <c r="L211" s="9">
        <v>2721.0</v>
      </c>
      <c r="M211" s="9">
        <v>1214.0</v>
      </c>
      <c r="N211" s="9">
        <v>358.0</v>
      </c>
      <c r="O211" s="9">
        <v>1149.0</v>
      </c>
      <c r="P211" s="8" t="s">
        <v>3480</v>
      </c>
      <c r="Q211" s="8"/>
      <c r="R211" s="8"/>
    </row>
    <row r="212">
      <c r="A212" s="8" t="s">
        <v>251</v>
      </c>
      <c r="B212" s="8" t="s">
        <v>4683</v>
      </c>
      <c r="C212" s="8" t="s">
        <v>4684</v>
      </c>
      <c r="D212" s="9">
        <v>7.50777041E9</v>
      </c>
      <c r="E212" s="8" t="s">
        <v>4685</v>
      </c>
      <c r="F212" s="8" t="s">
        <v>3486</v>
      </c>
      <c r="G212" s="8" t="s">
        <v>4119</v>
      </c>
      <c r="H212" s="8" t="s">
        <v>3479</v>
      </c>
      <c r="I212" s="9">
        <v>0.0</v>
      </c>
      <c r="J212" s="9">
        <v>1900.0</v>
      </c>
      <c r="K212" s="9">
        <v>1900.0</v>
      </c>
      <c r="L212" s="9">
        <v>1900.0</v>
      </c>
      <c r="M212" s="9">
        <v>1900.0</v>
      </c>
      <c r="N212" s="9">
        <v>0.0</v>
      </c>
      <c r="O212" s="9">
        <v>0.0</v>
      </c>
      <c r="P212" s="8" t="s">
        <v>3480</v>
      </c>
      <c r="Q212" s="8" t="s">
        <v>4686</v>
      </c>
      <c r="R212" s="8" t="s">
        <v>4687</v>
      </c>
    </row>
    <row r="213">
      <c r="A213" s="8" t="s">
        <v>252</v>
      </c>
      <c r="B213" s="8" t="s">
        <v>4688</v>
      </c>
      <c r="C213" s="8" t="s">
        <v>4689</v>
      </c>
      <c r="D213" s="9">
        <v>8.600660908E9</v>
      </c>
      <c r="E213" s="8" t="s">
        <v>4690</v>
      </c>
      <c r="F213" s="8" t="s">
        <v>3721</v>
      </c>
      <c r="G213" s="8" t="s">
        <v>4691</v>
      </c>
      <c r="H213" s="8" t="s">
        <v>3479</v>
      </c>
      <c r="I213" s="9">
        <v>0.0</v>
      </c>
      <c r="J213" s="9">
        <v>1474.0</v>
      </c>
      <c r="K213" s="9">
        <v>1474.0</v>
      </c>
      <c r="L213" s="9">
        <v>1474.0</v>
      </c>
      <c r="M213" s="9">
        <v>220.0</v>
      </c>
      <c r="N213" s="9">
        <v>730.0</v>
      </c>
      <c r="O213" s="9">
        <v>524.0</v>
      </c>
      <c r="P213" s="8" t="s">
        <v>3480</v>
      </c>
      <c r="Q213" s="8" t="s">
        <v>4692</v>
      </c>
      <c r="R213" s="8" t="s">
        <v>4693</v>
      </c>
    </row>
    <row r="214">
      <c r="A214" s="8" t="s">
        <v>351</v>
      </c>
      <c r="B214" s="8" t="s">
        <v>4694</v>
      </c>
      <c r="C214" s="8" t="s">
        <v>4695</v>
      </c>
      <c r="D214" s="9">
        <v>8.087287382E9</v>
      </c>
      <c r="E214" s="8" t="s">
        <v>4696</v>
      </c>
      <c r="F214" s="8" t="s">
        <v>4333</v>
      </c>
      <c r="G214" s="8" t="s">
        <v>4697</v>
      </c>
      <c r="H214" s="8" t="s">
        <v>3479</v>
      </c>
      <c r="I214" s="9">
        <v>0.0</v>
      </c>
      <c r="J214" s="9">
        <v>2620.0</v>
      </c>
      <c r="K214" s="9">
        <v>2620.0</v>
      </c>
      <c r="L214" s="9">
        <v>2620.0</v>
      </c>
      <c r="M214" s="9">
        <v>2145.0</v>
      </c>
      <c r="N214" s="9">
        <v>0.0</v>
      </c>
      <c r="O214" s="9">
        <v>475.0</v>
      </c>
      <c r="P214" s="8" t="s">
        <v>3480</v>
      </c>
      <c r="Q214" s="8" t="s">
        <v>4698</v>
      </c>
      <c r="R214" s="8" t="s">
        <v>4699</v>
      </c>
    </row>
    <row r="215">
      <c r="A215" s="8" t="s">
        <v>253</v>
      </c>
      <c r="B215" s="8" t="s">
        <v>4700</v>
      </c>
      <c r="C215" s="8" t="s">
        <v>4701</v>
      </c>
      <c r="D215" s="9">
        <v>7.498328012E9</v>
      </c>
      <c r="E215" s="8" t="s">
        <v>4702</v>
      </c>
      <c r="F215" s="8" t="s">
        <v>3615</v>
      </c>
      <c r="G215" s="8" t="s">
        <v>4703</v>
      </c>
      <c r="H215" s="8" t="s">
        <v>3479</v>
      </c>
      <c r="I215" s="9">
        <v>0.0</v>
      </c>
      <c r="J215" s="9">
        <v>1997.0</v>
      </c>
      <c r="K215" s="9">
        <v>1997.0</v>
      </c>
      <c r="L215" s="9">
        <v>1997.0</v>
      </c>
      <c r="M215" s="9">
        <v>672.0</v>
      </c>
      <c r="N215" s="9">
        <v>786.0</v>
      </c>
      <c r="O215" s="9">
        <v>539.0</v>
      </c>
      <c r="P215" s="8" t="s">
        <v>3519</v>
      </c>
      <c r="Q215" s="8" t="s">
        <v>4704</v>
      </c>
      <c r="R215" s="8" t="s">
        <v>4705</v>
      </c>
    </row>
    <row r="216">
      <c r="A216" s="8" t="s">
        <v>254</v>
      </c>
      <c r="B216" s="8" t="s">
        <v>4706</v>
      </c>
      <c r="C216" s="8" t="s">
        <v>4707</v>
      </c>
      <c r="D216" s="9">
        <v>9.421276274E9</v>
      </c>
      <c r="E216" s="8" t="s">
        <v>4708</v>
      </c>
      <c r="F216" s="8" t="s">
        <v>3498</v>
      </c>
      <c r="G216" s="8" t="s">
        <v>4709</v>
      </c>
      <c r="H216" s="8" t="s">
        <v>3479</v>
      </c>
      <c r="I216" s="9">
        <v>0.0</v>
      </c>
      <c r="J216" s="9">
        <v>2115.0</v>
      </c>
      <c r="K216" s="9">
        <v>2115.0</v>
      </c>
      <c r="L216" s="9">
        <v>2115.0</v>
      </c>
      <c r="M216" s="9">
        <v>861.0</v>
      </c>
      <c r="N216" s="9">
        <v>730.0</v>
      </c>
      <c r="O216" s="9">
        <v>524.0</v>
      </c>
      <c r="P216" s="8" t="s">
        <v>3480</v>
      </c>
      <c r="Q216" s="8" t="s">
        <v>4710</v>
      </c>
      <c r="R216" s="8" t="s">
        <v>4711</v>
      </c>
    </row>
    <row r="217">
      <c r="A217" s="8" t="s">
        <v>256</v>
      </c>
      <c r="B217" s="8" t="s">
        <v>4712</v>
      </c>
      <c r="C217" s="8" t="s">
        <v>4713</v>
      </c>
      <c r="D217" s="9">
        <v>9.890921262E9</v>
      </c>
      <c r="E217" s="8" t="s">
        <v>4714</v>
      </c>
      <c r="F217" s="8" t="s">
        <v>4715</v>
      </c>
      <c r="G217" s="8" t="s">
        <v>4716</v>
      </c>
      <c r="H217" s="8" t="s">
        <v>3479</v>
      </c>
      <c r="I217" s="9">
        <v>0.0</v>
      </c>
      <c r="J217" s="9">
        <v>1799.0</v>
      </c>
      <c r="K217" s="9">
        <v>1799.0</v>
      </c>
      <c r="L217" s="9">
        <v>1799.0</v>
      </c>
      <c r="M217" s="9">
        <v>564.0</v>
      </c>
      <c r="N217" s="9">
        <v>786.0</v>
      </c>
      <c r="O217" s="9">
        <v>449.0</v>
      </c>
      <c r="P217" s="8" t="s">
        <v>3480</v>
      </c>
      <c r="Q217" s="8" t="s">
        <v>4717</v>
      </c>
      <c r="R217" s="8" t="s">
        <v>4718</v>
      </c>
    </row>
    <row r="218">
      <c r="A218" s="8" t="s">
        <v>257</v>
      </c>
      <c r="B218" s="8" t="s">
        <v>4719</v>
      </c>
      <c r="C218" s="8" t="s">
        <v>4720</v>
      </c>
      <c r="D218" s="9">
        <v>9.545537496E9</v>
      </c>
      <c r="E218" s="8" t="s">
        <v>4721</v>
      </c>
      <c r="F218" s="8" t="s">
        <v>3908</v>
      </c>
      <c r="G218" s="8" t="s">
        <v>4036</v>
      </c>
      <c r="H218" s="8" t="s">
        <v>3479</v>
      </c>
      <c r="I218" s="9">
        <v>0.0</v>
      </c>
      <c r="J218" s="9">
        <v>3542.0</v>
      </c>
      <c r="K218" s="9">
        <v>3542.0</v>
      </c>
      <c r="L218" s="9">
        <v>3542.0</v>
      </c>
      <c r="M218" s="9">
        <v>2274.0</v>
      </c>
      <c r="N218" s="9">
        <v>594.0</v>
      </c>
      <c r="O218" s="9">
        <v>674.0</v>
      </c>
      <c r="P218" s="8" t="s">
        <v>3480</v>
      </c>
      <c r="Q218" s="8" t="s">
        <v>4722</v>
      </c>
      <c r="R218" s="8" t="s">
        <v>4723</v>
      </c>
    </row>
    <row r="219">
      <c r="A219" s="8" t="s">
        <v>258</v>
      </c>
      <c r="B219" s="8" t="s">
        <v>4724</v>
      </c>
      <c r="C219" s="8" t="s">
        <v>4725</v>
      </c>
      <c r="D219" s="9">
        <v>9.82363775E9</v>
      </c>
      <c r="E219" s="8" t="s">
        <v>4726</v>
      </c>
      <c r="F219" s="8" t="s">
        <v>3557</v>
      </c>
      <c r="G219" s="8" t="s">
        <v>4727</v>
      </c>
      <c r="H219" s="8" t="s">
        <v>3479</v>
      </c>
      <c r="I219" s="9">
        <v>0.0</v>
      </c>
      <c r="J219" s="9">
        <v>2640.0</v>
      </c>
      <c r="K219" s="9">
        <v>2640.0</v>
      </c>
      <c r="L219" s="9">
        <v>2640.0</v>
      </c>
      <c r="M219" s="9">
        <v>1143.0</v>
      </c>
      <c r="N219" s="9">
        <v>898.0</v>
      </c>
      <c r="O219" s="9">
        <v>599.0</v>
      </c>
      <c r="P219" s="8" t="s">
        <v>3480</v>
      </c>
      <c r="Q219" s="8" t="s">
        <v>4728</v>
      </c>
      <c r="R219" s="8" t="s">
        <v>4729</v>
      </c>
    </row>
    <row r="220">
      <c r="A220" s="8" t="s">
        <v>259</v>
      </c>
      <c r="B220" s="8" t="s">
        <v>4730</v>
      </c>
      <c r="C220" s="8" t="s">
        <v>4731</v>
      </c>
      <c r="D220" s="9">
        <v>9.545458661E9</v>
      </c>
      <c r="E220" s="8" t="s">
        <v>4732</v>
      </c>
      <c r="F220" s="8" t="s">
        <v>4333</v>
      </c>
      <c r="G220" s="8" t="s">
        <v>4733</v>
      </c>
      <c r="H220" s="8" t="s">
        <v>3479</v>
      </c>
      <c r="I220" s="9">
        <v>2163.0</v>
      </c>
      <c r="J220" s="9">
        <v>0.0</v>
      </c>
      <c r="K220" s="9">
        <v>2163.0</v>
      </c>
      <c r="L220" s="9">
        <v>2163.0</v>
      </c>
      <c r="M220" s="9">
        <v>566.0</v>
      </c>
      <c r="N220" s="9">
        <v>898.0</v>
      </c>
      <c r="O220" s="9">
        <v>699.0</v>
      </c>
      <c r="P220" s="8" t="s">
        <v>3480</v>
      </c>
      <c r="Q220" s="8" t="s">
        <v>4734</v>
      </c>
      <c r="R220" s="8" t="s">
        <v>4735</v>
      </c>
    </row>
    <row r="221">
      <c r="A221" s="8" t="s">
        <v>260</v>
      </c>
      <c r="B221" s="8" t="s">
        <v>4736</v>
      </c>
      <c r="C221" s="8" t="s">
        <v>4737</v>
      </c>
      <c r="D221" s="9">
        <v>8.149443971E9</v>
      </c>
      <c r="E221" s="8" t="s">
        <v>4738</v>
      </c>
      <c r="F221" s="8" t="s">
        <v>3550</v>
      </c>
      <c r="G221" s="8" t="s">
        <v>4739</v>
      </c>
      <c r="H221" s="8" t="s">
        <v>3479</v>
      </c>
      <c r="I221" s="9">
        <v>0.0</v>
      </c>
      <c r="J221" s="9">
        <v>1404.0</v>
      </c>
      <c r="K221" s="9">
        <v>1404.0</v>
      </c>
      <c r="L221" s="9">
        <v>1404.0</v>
      </c>
      <c r="M221" s="9">
        <v>310.0</v>
      </c>
      <c r="N221" s="9">
        <v>645.0</v>
      </c>
      <c r="O221" s="9">
        <v>449.0</v>
      </c>
      <c r="P221" s="8" t="s">
        <v>3480</v>
      </c>
      <c r="Q221" s="8" t="s">
        <v>4740</v>
      </c>
      <c r="R221" s="8" t="s">
        <v>4741</v>
      </c>
    </row>
    <row r="222">
      <c r="A222" s="8" t="s">
        <v>261</v>
      </c>
      <c r="B222" s="8" t="s">
        <v>4742</v>
      </c>
      <c r="C222" s="8" t="s">
        <v>4743</v>
      </c>
      <c r="D222" s="9">
        <v>9.474590723E9</v>
      </c>
      <c r="E222" s="8" t="s">
        <v>4744</v>
      </c>
      <c r="F222" s="8" t="s">
        <v>4745</v>
      </c>
      <c r="G222" s="8" t="s">
        <v>4746</v>
      </c>
      <c r="H222" s="8" t="s">
        <v>3479</v>
      </c>
      <c r="I222" s="9">
        <v>0.0</v>
      </c>
      <c r="J222" s="9">
        <v>2145.0</v>
      </c>
      <c r="K222" s="9">
        <v>2145.0</v>
      </c>
      <c r="L222" s="9">
        <v>2145.0</v>
      </c>
      <c r="M222" s="9">
        <v>571.0</v>
      </c>
      <c r="N222" s="9">
        <v>850.0</v>
      </c>
      <c r="O222" s="9">
        <v>724.0</v>
      </c>
      <c r="P222" s="8" t="s">
        <v>3480</v>
      </c>
      <c r="Q222" s="8" t="s">
        <v>4747</v>
      </c>
      <c r="R222" s="8" t="s">
        <v>4748</v>
      </c>
    </row>
    <row r="223">
      <c r="A223" s="8" t="s">
        <v>255</v>
      </c>
      <c r="B223" s="8" t="s">
        <v>4749</v>
      </c>
      <c r="C223" s="8" t="s">
        <v>4750</v>
      </c>
      <c r="D223" s="9">
        <v>8.754474123E9</v>
      </c>
      <c r="E223" s="8" t="s">
        <v>4751</v>
      </c>
      <c r="F223" s="8" t="s">
        <v>3550</v>
      </c>
      <c r="G223" s="8" t="s">
        <v>4752</v>
      </c>
      <c r="H223" s="8" t="s">
        <v>3479</v>
      </c>
      <c r="I223" s="9">
        <v>0.0</v>
      </c>
      <c r="J223" s="9">
        <v>3859.0</v>
      </c>
      <c r="K223" s="9">
        <v>3859.0</v>
      </c>
      <c r="L223" s="9">
        <v>3859.0</v>
      </c>
      <c r="M223" s="9">
        <v>2680.0</v>
      </c>
      <c r="N223" s="9">
        <v>730.0</v>
      </c>
      <c r="O223" s="9">
        <v>449.0</v>
      </c>
      <c r="P223" s="8" t="s">
        <v>3480</v>
      </c>
      <c r="Q223" s="8" t="s">
        <v>4753</v>
      </c>
      <c r="R223" s="8" t="s">
        <v>4754</v>
      </c>
    </row>
    <row r="224">
      <c r="A224" s="8" t="s">
        <v>264</v>
      </c>
      <c r="B224" s="8" t="s">
        <v>4755</v>
      </c>
      <c r="C224" s="8" t="s">
        <v>4756</v>
      </c>
      <c r="D224" s="9">
        <v>9.284618421E9</v>
      </c>
      <c r="E224" s="8" t="s">
        <v>4757</v>
      </c>
      <c r="F224" s="8" t="s">
        <v>4758</v>
      </c>
      <c r="G224" s="8" t="s">
        <v>4759</v>
      </c>
      <c r="H224" s="8" t="s">
        <v>3479</v>
      </c>
      <c r="I224" s="9">
        <v>0.0</v>
      </c>
      <c r="J224" s="9">
        <v>904.0</v>
      </c>
      <c r="K224" s="9">
        <v>904.0</v>
      </c>
      <c r="L224" s="9">
        <v>904.0</v>
      </c>
      <c r="M224" s="9">
        <v>120.0</v>
      </c>
      <c r="N224" s="9">
        <v>0.0</v>
      </c>
      <c r="O224" s="9">
        <v>784.0</v>
      </c>
      <c r="P224" s="8" t="s">
        <v>3480</v>
      </c>
      <c r="Q224" s="8" t="s">
        <v>4760</v>
      </c>
      <c r="R224" s="8" t="s">
        <v>4761</v>
      </c>
    </row>
    <row r="225">
      <c r="A225" s="8" t="s">
        <v>349</v>
      </c>
      <c r="B225" s="8" t="s">
        <v>4762</v>
      </c>
      <c r="C225" s="8" t="s">
        <v>4763</v>
      </c>
      <c r="D225" s="9">
        <v>7.410008484E9</v>
      </c>
      <c r="E225" s="8" t="s">
        <v>4764</v>
      </c>
      <c r="F225" s="8" t="s">
        <v>3576</v>
      </c>
      <c r="G225" s="8" t="s">
        <v>4765</v>
      </c>
      <c r="H225" s="8" t="s">
        <v>3479</v>
      </c>
      <c r="I225" s="9">
        <v>0.0</v>
      </c>
      <c r="J225" s="9">
        <v>2104.0</v>
      </c>
      <c r="K225" s="9">
        <v>2104.0</v>
      </c>
      <c r="L225" s="9">
        <v>2104.0</v>
      </c>
      <c r="M225" s="9">
        <v>343.0</v>
      </c>
      <c r="N225" s="9">
        <v>1162.0</v>
      </c>
      <c r="O225" s="9">
        <v>599.0</v>
      </c>
      <c r="P225" s="8" t="s">
        <v>3480</v>
      </c>
      <c r="Q225" s="8" t="s">
        <v>4766</v>
      </c>
      <c r="R225" s="8" t="s">
        <v>4767</v>
      </c>
    </row>
    <row r="226">
      <c r="A226" s="8" t="s">
        <v>262</v>
      </c>
      <c r="B226" s="8" t="s">
        <v>4768</v>
      </c>
      <c r="C226" s="8" t="s">
        <v>3998</v>
      </c>
      <c r="D226" s="9">
        <v>7.385916404E9</v>
      </c>
      <c r="E226" s="8" t="s">
        <v>4769</v>
      </c>
      <c r="F226" s="8" t="s">
        <v>4770</v>
      </c>
      <c r="G226" s="8" t="s">
        <v>4664</v>
      </c>
      <c r="H226" s="8" t="s">
        <v>3479</v>
      </c>
      <c r="I226" s="9">
        <v>0.0</v>
      </c>
      <c r="J226" s="9">
        <v>1977.0</v>
      </c>
      <c r="K226" s="9">
        <v>1977.0</v>
      </c>
      <c r="L226" s="9">
        <v>1977.0</v>
      </c>
      <c r="M226" s="9">
        <v>1038.0</v>
      </c>
      <c r="N226" s="9">
        <v>190.0</v>
      </c>
      <c r="O226" s="9">
        <v>749.0</v>
      </c>
      <c r="P226" s="8" t="s">
        <v>3480</v>
      </c>
      <c r="Q226" s="8" t="s">
        <v>4771</v>
      </c>
      <c r="R226" s="8" t="s">
        <v>4772</v>
      </c>
    </row>
    <row r="227">
      <c r="A227" s="8" t="s">
        <v>266</v>
      </c>
      <c r="B227" s="8" t="s">
        <v>4773</v>
      </c>
      <c r="C227" s="8" t="s">
        <v>4774</v>
      </c>
      <c r="D227" s="9">
        <v>8.421891504E9</v>
      </c>
      <c r="E227" s="8" t="s">
        <v>4775</v>
      </c>
      <c r="F227" s="8" t="s">
        <v>4150</v>
      </c>
      <c r="G227" s="8" t="s">
        <v>4776</v>
      </c>
      <c r="H227" s="8" t="s">
        <v>3479</v>
      </c>
      <c r="I227" s="9">
        <v>0.0</v>
      </c>
      <c r="J227" s="9">
        <v>1713.0</v>
      </c>
      <c r="K227" s="9">
        <v>1713.0</v>
      </c>
      <c r="L227" s="9">
        <v>1713.0</v>
      </c>
      <c r="M227" s="9">
        <v>480.0</v>
      </c>
      <c r="N227" s="9">
        <v>784.0</v>
      </c>
      <c r="O227" s="9">
        <v>449.0</v>
      </c>
      <c r="P227" s="8" t="s">
        <v>3480</v>
      </c>
      <c r="Q227" s="8" t="s">
        <v>4777</v>
      </c>
      <c r="R227" s="8"/>
    </row>
    <row r="228">
      <c r="A228" s="8" t="s">
        <v>267</v>
      </c>
      <c r="B228" s="8" t="s">
        <v>4778</v>
      </c>
      <c r="C228" s="8" t="s">
        <v>4779</v>
      </c>
      <c r="D228" s="9">
        <v>9.561552255E9</v>
      </c>
      <c r="E228" s="8" t="s">
        <v>4780</v>
      </c>
      <c r="F228" s="8" t="s">
        <v>4143</v>
      </c>
      <c r="G228" s="8" t="s">
        <v>4781</v>
      </c>
      <c r="H228" s="8" t="s">
        <v>3479</v>
      </c>
      <c r="I228" s="9">
        <v>0.0</v>
      </c>
      <c r="J228" s="9">
        <v>5830.0</v>
      </c>
      <c r="K228" s="9">
        <v>5830.0</v>
      </c>
      <c r="L228" s="9">
        <v>5830.0</v>
      </c>
      <c r="M228" s="9">
        <v>4636.0</v>
      </c>
      <c r="N228" s="9">
        <v>650.0</v>
      </c>
      <c r="O228" s="9">
        <v>544.0</v>
      </c>
      <c r="P228" s="8" t="s">
        <v>3480</v>
      </c>
      <c r="Q228" s="8" t="s">
        <v>4782</v>
      </c>
      <c r="R228" s="8"/>
    </row>
    <row r="229">
      <c r="A229" s="8" t="s">
        <v>268</v>
      </c>
      <c r="B229" s="8" t="s">
        <v>4783</v>
      </c>
      <c r="C229" s="8" t="s">
        <v>4784</v>
      </c>
      <c r="D229" s="9">
        <v>9.890787847E9</v>
      </c>
      <c r="E229" s="8" t="s">
        <v>4785</v>
      </c>
      <c r="F229" s="8" t="s">
        <v>3677</v>
      </c>
      <c r="G229" s="8" t="s">
        <v>4786</v>
      </c>
      <c r="H229" s="8" t="s">
        <v>3479</v>
      </c>
      <c r="I229" s="9">
        <v>0.0</v>
      </c>
      <c r="J229" s="9">
        <v>2343.0</v>
      </c>
      <c r="K229" s="9">
        <v>2343.0</v>
      </c>
      <c r="L229" s="9">
        <v>2343.0</v>
      </c>
      <c r="M229" s="9">
        <v>880.0</v>
      </c>
      <c r="N229" s="9">
        <v>784.0</v>
      </c>
      <c r="O229" s="9">
        <v>679.0</v>
      </c>
      <c r="P229" s="8" t="s">
        <v>3480</v>
      </c>
      <c r="Q229" s="8" t="s">
        <v>4787</v>
      </c>
      <c r="R229" s="8" t="s">
        <v>4788</v>
      </c>
    </row>
    <row r="230">
      <c r="A230" s="8" t="s">
        <v>269</v>
      </c>
      <c r="B230" s="8" t="s">
        <v>4789</v>
      </c>
      <c r="C230" s="8" t="s">
        <v>4790</v>
      </c>
      <c r="D230" s="9">
        <v>9.028259208E9</v>
      </c>
      <c r="E230" s="8" t="s">
        <v>4791</v>
      </c>
      <c r="F230" s="8" t="s">
        <v>4792</v>
      </c>
      <c r="G230" s="8" t="s">
        <v>4793</v>
      </c>
      <c r="H230" s="8" t="s">
        <v>3479</v>
      </c>
      <c r="I230" s="9">
        <v>0.0</v>
      </c>
      <c r="J230" s="9">
        <v>1972.0</v>
      </c>
      <c r="K230" s="9">
        <v>1972.0</v>
      </c>
      <c r="L230" s="9">
        <v>1972.0</v>
      </c>
      <c r="M230" s="9">
        <v>739.0</v>
      </c>
      <c r="N230" s="9">
        <v>784.0</v>
      </c>
      <c r="O230" s="9">
        <v>449.0</v>
      </c>
      <c r="P230" s="8" t="s">
        <v>3480</v>
      </c>
      <c r="Q230" s="8" t="s">
        <v>4794</v>
      </c>
      <c r="R230" s="8" t="s">
        <v>4795</v>
      </c>
    </row>
    <row r="231">
      <c r="A231" s="8" t="s">
        <v>263</v>
      </c>
      <c r="B231" s="8" t="s">
        <v>4796</v>
      </c>
      <c r="C231" s="8" t="s">
        <v>4797</v>
      </c>
      <c r="D231" s="9">
        <v>9.400116295E9</v>
      </c>
      <c r="E231" s="8" t="s">
        <v>4798</v>
      </c>
      <c r="F231" s="8" t="s">
        <v>4373</v>
      </c>
      <c r="G231" s="8" t="s">
        <v>4799</v>
      </c>
      <c r="H231" s="8" t="s">
        <v>3479</v>
      </c>
      <c r="I231" s="9">
        <v>0.0</v>
      </c>
      <c r="J231" s="9">
        <v>3362.0</v>
      </c>
      <c r="K231" s="9">
        <v>3362.0</v>
      </c>
      <c r="L231" s="9">
        <v>3362.0</v>
      </c>
      <c r="M231" s="9">
        <v>2683.0</v>
      </c>
      <c r="N231" s="9">
        <v>0.0</v>
      </c>
      <c r="O231" s="9">
        <v>679.0</v>
      </c>
      <c r="P231" s="8" t="s">
        <v>3480</v>
      </c>
      <c r="Q231" s="8" t="s">
        <v>4800</v>
      </c>
      <c r="R231" s="8" t="s">
        <v>4801</v>
      </c>
    </row>
    <row r="232">
      <c r="A232" s="8" t="s">
        <v>270</v>
      </c>
      <c r="B232" s="8" t="s">
        <v>4802</v>
      </c>
      <c r="C232" s="8" t="s">
        <v>4803</v>
      </c>
      <c r="D232" s="9">
        <v>8.329085585E9</v>
      </c>
      <c r="E232" s="8" t="s">
        <v>4804</v>
      </c>
      <c r="F232" s="8" t="s">
        <v>4805</v>
      </c>
      <c r="G232" s="8" t="s">
        <v>4806</v>
      </c>
      <c r="H232" s="8" t="s">
        <v>3479</v>
      </c>
      <c r="I232" s="9">
        <v>0.0</v>
      </c>
      <c r="J232" s="9">
        <v>2158.0</v>
      </c>
      <c r="K232" s="9">
        <v>2158.0</v>
      </c>
      <c r="L232" s="9">
        <v>2158.0</v>
      </c>
      <c r="M232" s="9">
        <v>925.0</v>
      </c>
      <c r="N232" s="9">
        <v>784.0</v>
      </c>
      <c r="O232" s="9">
        <v>449.0</v>
      </c>
      <c r="P232" s="8" t="s">
        <v>3480</v>
      </c>
      <c r="Q232" s="8" t="s">
        <v>4807</v>
      </c>
      <c r="R232" s="8" t="s">
        <v>4808</v>
      </c>
    </row>
    <row r="233">
      <c r="A233" s="8" t="s">
        <v>271</v>
      </c>
      <c r="B233" s="8" t="s">
        <v>4809</v>
      </c>
      <c r="C233" s="8" t="s">
        <v>4810</v>
      </c>
      <c r="D233" s="9">
        <v>9.028881305E9</v>
      </c>
      <c r="E233" s="8" t="s">
        <v>4811</v>
      </c>
      <c r="F233" s="8" t="s">
        <v>3707</v>
      </c>
      <c r="G233" s="8" t="s">
        <v>4812</v>
      </c>
      <c r="H233" s="8" t="s">
        <v>3479</v>
      </c>
      <c r="I233" s="9">
        <v>0.0</v>
      </c>
      <c r="J233" s="9">
        <v>863.0</v>
      </c>
      <c r="K233" s="9">
        <v>863.0</v>
      </c>
      <c r="L233" s="9">
        <v>863.0</v>
      </c>
      <c r="M233" s="9">
        <v>100.0</v>
      </c>
      <c r="N233" s="9">
        <v>64.0</v>
      </c>
      <c r="O233" s="9">
        <v>699.0</v>
      </c>
      <c r="P233" s="8" t="s">
        <v>3480</v>
      </c>
      <c r="Q233" s="8" t="s">
        <v>4813</v>
      </c>
      <c r="R233" s="8" t="s">
        <v>4814</v>
      </c>
    </row>
    <row r="234">
      <c r="A234" s="8" t="s">
        <v>272</v>
      </c>
      <c r="B234" s="8" t="s">
        <v>4815</v>
      </c>
      <c r="C234" s="8" t="s">
        <v>4816</v>
      </c>
      <c r="D234" s="9">
        <v>9.09668683E9</v>
      </c>
      <c r="E234" s="8" t="s">
        <v>4817</v>
      </c>
      <c r="F234" s="8" t="s">
        <v>4391</v>
      </c>
      <c r="G234" s="8" t="s">
        <v>4818</v>
      </c>
      <c r="H234" s="8" t="s">
        <v>3479</v>
      </c>
      <c r="I234" s="9">
        <v>0.0</v>
      </c>
      <c r="J234" s="9">
        <v>1246.0</v>
      </c>
      <c r="K234" s="9">
        <v>1246.0</v>
      </c>
      <c r="L234" s="9">
        <v>1246.0</v>
      </c>
      <c r="M234" s="9">
        <v>80.0</v>
      </c>
      <c r="N234" s="9">
        <v>717.0</v>
      </c>
      <c r="O234" s="9">
        <v>449.0</v>
      </c>
      <c r="P234" s="8" t="s">
        <v>3519</v>
      </c>
      <c r="Q234" s="8" t="s">
        <v>4819</v>
      </c>
      <c r="R234" s="8" t="s">
        <v>4820</v>
      </c>
    </row>
    <row r="235">
      <c r="A235" s="8" t="s">
        <v>265</v>
      </c>
      <c r="B235" s="8" t="s">
        <v>4821</v>
      </c>
      <c r="C235" s="8" t="s">
        <v>4822</v>
      </c>
      <c r="D235" s="9">
        <v>9.665742133E9</v>
      </c>
      <c r="E235" s="8" t="s">
        <v>4823</v>
      </c>
      <c r="F235" s="8" t="s">
        <v>3550</v>
      </c>
      <c r="G235" s="8" t="s">
        <v>4824</v>
      </c>
      <c r="H235" s="8" t="s">
        <v>3479</v>
      </c>
      <c r="I235" s="9">
        <v>0.0</v>
      </c>
      <c r="J235" s="9">
        <v>1150.0</v>
      </c>
      <c r="K235" s="9">
        <v>1150.0</v>
      </c>
      <c r="L235" s="9">
        <v>1150.0</v>
      </c>
      <c r="M235" s="9">
        <v>1150.0</v>
      </c>
      <c r="N235" s="9">
        <v>0.0</v>
      </c>
      <c r="O235" s="9">
        <v>0.0</v>
      </c>
      <c r="P235" s="8" t="s">
        <v>3544</v>
      </c>
      <c r="Q235" s="8" t="s">
        <v>4825</v>
      </c>
      <c r="R235" s="8" t="s">
        <v>4826</v>
      </c>
    </row>
    <row r="236">
      <c r="A236" s="8" t="s">
        <v>274</v>
      </c>
      <c r="B236" s="8" t="s">
        <v>4827</v>
      </c>
      <c r="C236" s="8" t="s">
        <v>4828</v>
      </c>
      <c r="D236" s="9">
        <v>9.005701616E9</v>
      </c>
      <c r="E236" s="8" t="s">
        <v>4829</v>
      </c>
      <c r="F236" s="8" t="s">
        <v>3863</v>
      </c>
      <c r="G236" s="8" t="s">
        <v>4830</v>
      </c>
      <c r="H236" s="8" t="s">
        <v>3479</v>
      </c>
      <c r="I236" s="9">
        <v>0.0</v>
      </c>
      <c r="J236" s="9">
        <v>7008.0</v>
      </c>
      <c r="K236" s="9">
        <v>7008.0</v>
      </c>
      <c r="L236" s="9">
        <v>7008.0</v>
      </c>
      <c r="M236" s="9">
        <v>5379.0</v>
      </c>
      <c r="N236" s="9">
        <v>730.0</v>
      </c>
      <c r="O236" s="9">
        <v>899.0</v>
      </c>
      <c r="P236" s="8" t="s">
        <v>3544</v>
      </c>
      <c r="Q236" s="8" t="s">
        <v>4831</v>
      </c>
      <c r="R236" s="8" t="s">
        <v>4832</v>
      </c>
    </row>
    <row r="237">
      <c r="A237" s="8" t="s">
        <v>275</v>
      </c>
      <c r="B237" s="8" t="s">
        <v>4833</v>
      </c>
      <c r="C237" s="8" t="s">
        <v>4834</v>
      </c>
      <c r="D237" s="9">
        <v>8.37982917E9</v>
      </c>
      <c r="E237" s="8" t="s">
        <v>4835</v>
      </c>
      <c r="F237" s="8" t="s">
        <v>4836</v>
      </c>
      <c r="G237" s="8" t="s">
        <v>4837</v>
      </c>
      <c r="H237" s="8" t="s">
        <v>3479</v>
      </c>
      <c r="I237" s="9">
        <v>0.0</v>
      </c>
      <c r="J237" s="9">
        <v>1758.0</v>
      </c>
      <c r="K237" s="9">
        <v>1758.0</v>
      </c>
      <c r="L237" s="9">
        <v>1758.0</v>
      </c>
      <c r="M237" s="9">
        <v>1383.0</v>
      </c>
      <c r="N237" s="9">
        <v>0.0</v>
      </c>
      <c r="O237" s="9">
        <v>375.0</v>
      </c>
      <c r="P237" s="8" t="s">
        <v>3480</v>
      </c>
      <c r="Q237" s="8" t="s">
        <v>4838</v>
      </c>
      <c r="R237" s="8" t="s">
        <v>4839</v>
      </c>
    </row>
    <row r="238">
      <c r="A238" s="8" t="s">
        <v>276</v>
      </c>
      <c r="B238" s="8" t="s">
        <v>4840</v>
      </c>
      <c r="C238" s="8" t="s">
        <v>4841</v>
      </c>
      <c r="D238" s="9">
        <v>7.387049083E9</v>
      </c>
      <c r="E238" s="8" t="s">
        <v>4842</v>
      </c>
      <c r="F238" s="8" t="s">
        <v>3768</v>
      </c>
      <c r="G238" s="8" t="s">
        <v>4843</v>
      </c>
      <c r="H238" s="8" t="s">
        <v>3479</v>
      </c>
      <c r="I238" s="9">
        <v>0.0</v>
      </c>
      <c r="J238" s="9">
        <v>2286.0</v>
      </c>
      <c r="K238" s="9">
        <v>2286.0</v>
      </c>
      <c r="L238" s="9">
        <v>2286.0</v>
      </c>
      <c r="M238" s="9">
        <v>1593.0</v>
      </c>
      <c r="N238" s="9">
        <v>168.0</v>
      </c>
      <c r="O238" s="9">
        <v>525.0</v>
      </c>
      <c r="P238" s="8" t="s">
        <v>3480</v>
      </c>
      <c r="Q238" s="8"/>
      <c r="R238" s="8"/>
    </row>
    <row r="239">
      <c r="A239" s="8" t="s">
        <v>278</v>
      </c>
      <c r="B239" s="8" t="s">
        <v>4844</v>
      </c>
      <c r="C239" s="8" t="s">
        <v>4845</v>
      </c>
      <c r="D239" s="9">
        <v>9.845350165E9</v>
      </c>
      <c r="E239" s="8" t="s">
        <v>4846</v>
      </c>
      <c r="F239" s="8" t="s">
        <v>4373</v>
      </c>
      <c r="G239" s="8" t="s">
        <v>4847</v>
      </c>
      <c r="H239" s="8" t="s">
        <v>3479</v>
      </c>
      <c r="I239" s="9">
        <v>0.0</v>
      </c>
      <c r="J239" s="9">
        <v>1400.0</v>
      </c>
      <c r="K239" s="9">
        <v>1400.0</v>
      </c>
      <c r="L239" s="9">
        <v>1400.0</v>
      </c>
      <c r="M239" s="9">
        <v>1400.0</v>
      </c>
      <c r="N239" s="9">
        <v>0.0</v>
      </c>
      <c r="O239" s="9">
        <v>0.0</v>
      </c>
      <c r="P239" s="8" t="s">
        <v>3480</v>
      </c>
      <c r="Q239" s="8"/>
      <c r="R239" s="8"/>
    </row>
    <row r="240">
      <c r="A240" s="8" t="s">
        <v>277</v>
      </c>
      <c r="B240" s="8" t="s">
        <v>4848</v>
      </c>
      <c r="C240" s="8" t="s">
        <v>4849</v>
      </c>
      <c r="D240" s="9">
        <v>9.561493784E9</v>
      </c>
      <c r="E240" s="8" t="s">
        <v>4850</v>
      </c>
      <c r="F240" s="8" t="s">
        <v>3523</v>
      </c>
      <c r="G240" s="8" t="s">
        <v>4851</v>
      </c>
      <c r="H240" s="8" t="s">
        <v>3479</v>
      </c>
      <c r="I240" s="9">
        <v>0.0</v>
      </c>
      <c r="J240" s="9">
        <v>1250.0</v>
      </c>
      <c r="K240" s="9">
        <v>1250.0</v>
      </c>
      <c r="L240" s="9">
        <v>1250.0</v>
      </c>
      <c r="M240" s="9">
        <v>1250.0</v>
      </c>
      <c r="N240" s="9">
        <v>0.0</v>
      </c>
      <c r="O240" s="9">
        <v>0.0</v>
      </c>
      <c r="P240" s="8" t="s">
        <v>3480</v>
      </c>
      <c r="Q240" s="8" t="s">
        <v>4852</v>
      </c>
      <c r="R240" s="8"/>
    </row>
    <row r="241">
      <c r="A241" s="8" t="s">
        <v>273</v>
      </c>
      <c r="B241" s="8" t="s">
        <v>4853</v>
      </c>
      <c r="C241" s="8" t="s">
        <v>4854</v>
      </c>
      <c r="D241" s="9">
        <v>9.657145925E9</v>
      </c>
      <c r="E241" s="8" t="s">
        <v>4855</v>
      </c>
      <c r="F241" s="8" t="s">
        <v>3498</v>
      </c>
      <c r="G241" s="8" t="s">
        <v>4856</v>
      </c>
      <c r="H241" s="8" t="s">
        <v>3479</v>
      </c>
      <c r="I241" s="9">
        <v>0.0</v>
      </c>
      <c r="J241" s="9">
        <v>2727.0</v>
      </c>
      <c r="K241" s="9">
        <v>2727.0</v>
      </c>
      <c r="L241" s="9">
        <v>2727.0</v>
      </c>
      <c r="M241" s="9">
        <v>1473.0</v>
      </c>
      <c r="N241" s="9">
        <v>730.0</v>
      </c>
      <c r="O241" s="9">
        <v>524.0</v>
      </c>
      <c r="P241" s="8" t="s">
        <v>3480</v>
      </c>
      <c r="Q241" s="8" t="s">
        <v>4857</v>
      </c>
      <c r="R241" s="8" t="s">
        <v>4858</v>
      </c>
    </row>
    <row r="242">
      <c r="A242" s="8" t="s">
        <v>279</v>
      </c>
      <c r="B242" s="8" t="s">
        <v>4859</v>
      </c>
      <c r="C242" s="8" t="s">
        <v>4860</v>
      </c>
      <c r="D242" s="9">
        <v>9.503387494E9</v>
      </c>
      <c r="E242" s="8" t="s">
        <v>4861</v>
      </c>
      <c r="F242" s="8" t="s">
        <v>3498</v>
      </c>
      <c r="G242" s="8" t="s">
        <v>4398</v>
      </c>
      <c r="H242" s="8" t="s">
        <v>3479</v>
      </c>
      <c r="I242" s="9">
        <v>0.0</v>
      </c>
      <c r="J242" s="9">
        <v>1574.0</v>
      </c>
      <c r="K242" s="9">
        <v>1574.0</v>
      </c>
      <c r="L242" s="9">
        <v>1574.0</v>
      </c>
      <c r="M242" s="9">
        <v>1324.0</v>
      </c>
      <c r="N242" s="9">
        <v>0.0</v>
      </c>
      <c r="O242" s="9">
        <v>250.0</v>
      </c>
      <c r="P242" s="8" t="s">
        <v>3519</v>
      </c>
      <c r="Q242" s="8" t="s">
        <v>4862</v>
      </c>
      <c r="R242" s="8" t="s">
        <v>4863</v>
      </c>
    </row>
    <row r="243">
      <c r="A243" s="8" t="s">
        <v>280</v>
      </c>
      <c r="B243" s="8" t="s">
        <v>4864</v>
      </c>
      <c r="C243" s="8" t="s">
        <v>4865</v>
      </c>
      <c r="D243" s="9">
        <v>9.838427722E9</v>
      </c>
      <c r="E243" s="8" t="s">
        <v>4866</v>
      </c>
      <c r="F243" s="8" t="s">
        <v>3608</v>
      </c>
      <c r="G243" s="8" t="s">
        <v>4867</v>
      </c>
      <c r="H243" s="8" t="s">
        <v>3479</v>
      </c>
      <c r="I243" s="9">
        <v>0.0</v>
      </c>
      <c r="J243" s="9">
        <v>1550.0</v>
      </c>
      <c r="K243" s="9">
        <v>1550.0</v>
      </c>
      <c r="L243" s="9">
        <v>1550.0</v>
      </c>
      <c r="M243" s="9">
        <v>1550.0</v>
      </c>
      <c r="N243" s="9">
        <v>0.0</v>
      </c>
      <c r="O243" s="9">
        <v>0.0</v>
      </c>
      <c r="P243" s="8" t="s">
        <v>3480</v>
      </c>
      <c r="Q243" s="8"/>
      <c r="R243" s="8"/>
    </row>
    <row r="244">
      <c r="A244" s="8" t="s">
        <v>281</v>
      </c>
      <c r="B244" s="8" t="s">
        <v>4868</v>
      </c>
      <c r="C244" s="8" t="s">
        <v>4869</v>
      </c>
      <c r="D244" s="9">
        <v>9.325421635E9</v>
      </c>
      <c r="E244" s="8" t="s">
        <v>4870</v>
      </c>
      <c r="F244" s="8" t="s">
        <v>3677</v>
      </c>
      <c r="G244" s="8" t="s">
        <v>4871</v>
      </c>
      <c r="H244" s="8" t="s">
        <v>3479</v>
      </c>
      <c r="I244" s="9">
        <v>0.0</v>
      </c>
      <c r="J244" s="9">
        <v>4498.0</v>
      </c>
      <c r="K244" s="9">
        <v>4498.0</v>
      </c>
      <c r="L244" s="9">
        <v>4498.0</v>
      </c>
      <c r="M244" s="9">
        <v>2531.0</v>
      </c>
      <c r="N244" s="9">
        <v>868.0</v>
      </c>
      <c r="O244" s="9">
        <v>1099.0</v>
      </c>
      <c r="P244" s="8" t="s">
        <v>3544</v>
      </c>
      <c r="Q244" s="8" t="s">
        <v>4872</v>
      </c>
      <c r="R244" s="8" t="s">
        <v>4873</v>
      </c>
    </row>
    <row r="245">
      <c r="A245" s="8" t="s">
        <v>282</v>
      </c>
      <c r="B245" s="8" t="s">
        <v>4874</v>
      </c>
      <c r="C245" s="8" t="s">
        <v>4875</v>
      </c>
      <c r="D245" s="9">
        <v>9.028406766E9</v>
      </c>
      <c r="E245" s="8" t="s">
        <v>4876</v>
      </c>
      <c r="F245" s="8" t="s">
        <v>4125</v>
      </c>
      <c r="G245" s="8" t="s">
        <v>4877</v>
      </c>
      <c r="H245" s="8" t="s">
        <v>3479</v>
      </c>
      <c r="I245" s="9">
        <v>0.0</v>
      </c>
      <c r="J245" s="9">
        <v>1150.0</v>
      </c>
      <c r="K245" s="9">
        <v>1150.0</v>
      </c>
      <c r="L245" s="9">
        <v>1150.0</v>
      </c>
      <c r="M245" s="9">
        <v>1150.0</v>
      </c>
      <c r="N245" s="9">
        <v>0.0</v>
      </c>
      <c r="O245" s="9">
        <v>0.0</v>
      </c>
      <c r="P245" s="8" t="s">
        <v>3480</v>
      </c>
      <c r="Q245" s="8"/>
      <c r="R245" s="8"/>
    </row>
    <row r="246">
      <c r="A246" s="8" t="s">
        <v>352</v>
      </c>
      <c r="B246" s="8" t="s">
        <v>4878</v>
      </c>
      <c r="C246" s="8" t="s">
        <v>4879</v>
      </c>
      <c r="D246" s="9">
        <v>9.421785042E9</v>
      </c>
      <c r="E246" s="8" t="s">
        <v>4880</v>
      </c>
      <c r="F246" s="8" t="s">
        <v>3653</v>
      </c>
      <c r="G246" s="8" t="s">
        <v>3494</v>
      </c>
      <c r="H246" s="8" t="s">
        <v>3479</v>
      </c>
      <c r="I246" s="9">
        <v>0.0</v>
      </c>
      <c r="J246" s="9">
        <v>350.0</v>
      </c>
      <c r="K246" s="9">
        <v>350.0</v>
      </c>
      <c r="L246" s="9">
        <v>350.0</v>
      </c>
      <c r="M246" s="9">
        <v>350.0</v>
      </c>
      <c r="N246" s="9">
        <v>0.0</v>
      </c>
      <c r="O246" s="9">
        <v>0.0</v>
      </c>
      <c r="P246" s="8" t="s">
        <v>3480</v>
      </c>
      <c r="Q246" s="8"/>
      <c r="R246" s="8"/>
    </row>
    <row r="247">
      <c r="A247" s="8" t="s">
        <v>366</v>
      </c>
      <c r="B247" s="8" t="s">
        <v>4881</v>
      </c>
      <c r="C247" s="8" t="s">
        <v>4882</v>
      </c>
      <c r="D247" s="9">
        <v>9.325513775E9</v>
      </c>
      <c r="E247" s="8" t="s">
        <v>4883</v>
      </c>
      <c r="F247" s="8" t="s">
        <v>3608</v>
      </c>
      <c r="G247" s="8" t="s">
        <v>4884</v>
      </c>
      <c r="H247" s="8" t="s">
        <v>3479</v>
      </c>
      <c r="I247" s="9">
        <v>0.0</v>
      </c>
      <c r="J247" s="9">
        <v>3703.0</v>
      </c>
      <c r="K247" s="9">
        <v>3703.0</v>
      </c>
      <c r="L247" s="9">
        <v>3703.0</v>
      </c>
      <c r="M247" s="9">
        <v>2249.0</v>
      </c>
      <c r="N247" s="9">
        <v>730.0</v>
      </c>
      <c r="O247" s="9">
        <v>724.0</v>
      </c>
      <c r="P247" s="8" t="s">
        <v>3480</v>
      </c>
      <c r="Q247" s="8" t="s">
        <v>4885</v>
      </c>
      <c r="R247" s="8" t="s">
        <v>4886</v>
      </c>
    </row>
    <row r="248">
      <c r="A248" s="8" t="s">
        <v>364</v>
      </c>
      <c r="B248" s="8" t="s">
        <v>4887</v>
      </c>
      <c r="C248" s="8" t="s">
        <v>4888</v>
      </c>
      <c r="D248" s="9">
        <v>9.561558844E9</v>
      </c>
      <c r="E248" s="8" t="s">
        <v>4889</v>
      </c>
      <c r="F248" s="8" t="s">
        <v>4373</v>
      </c>
      <c r="G248" s="8" t="s">
        <v>4890</v>
      </c>
      <c r="H248" s="8" t="s">
        <v>3479</v>
      </c>
      <c r="I248" s="9">
        <v>0.0</v>
      </c>
      <c r="J248" s="9">
        <v>1538.0</v>
      </c>
      <c r="K248" s="9">
        <v>1538.0</v>
      </c>
      <c r="L248" s="9">
        <v>1538.0</v>
      </c>
      <c r="M248" s="9">
        <v>345.0</v>
      </c>
      <c r="N248" s="9">
        <v>594.0</v>
      </c>
      <c r="O248" s="9">
        <v>599.0</v>
      </c>
      <c r="P248" s="8" t="s">
        <v>3480</v>
      </c>
      <c r="Q248" s="8" t="s">
        <v>4891</v>
      </c>
      <c r="R248" s="8" t="s">
        <v>4892</v>
      </c>
    </row>
    <row r="249">
      <c r="A249" s="8" t="s">
        <v>365</v>
      </c>
      <c r="B249" s="8" t="s">
        <v>4893</v>
      </c>
      <c r="C249" s="8" t="s">
        <v>4894</v>
      </c>
      <c r="D249" s="9">
        <v>7.82191737E9</v>
      </c>
      <c r="E249" s="8" t="s">
        <v>4895</v>
      </c>
      <c r="F249" s="8" t="s">
        <v>4896</v>
      </c>
      <c r="G249" s="8" t="s">
        <v>4897</v>
      </c>
      <c r="H249" s="8" t="s">
        <v>3479</v>
      </c>
      <c r="I249" s="9">
        <v>0.0</v>
      </c>
      <c r="J249" s="9">
        <v>1259.0</v>
      </c>
      <c r="K249" s="9">
        <v>1259.0</v>
      </c>
      <c r="L249" s="9">
        <v>1259.0</v>
      </c>
      <c r="M249" s="9">
        <v>80.0</v>
      </c>
      <c r="N249" s="9">
        <v>730.0</v>
      </c>
      <c r="O249" s="9">
        <v>449.0</v>
      </c>
      <c r="P249" s="8" t="s">
        <v>3544</v>
      </c>
      <c r="Q249" s="8" t="s">
        <v>4898</v>
      </c>
      <c r="R249" s="8" t="s">
        <v>4899</v>
      </c>
    </row>
    <row r="250">
      <c r="A250" s="8" t="s">
        <v>372</v>
      </c>
      <c r="B250" s="8" t="s">
        <v>4900</v>
      </c>
      <c r="C250" s="8" t="s">
        <v>4901</v>
      </c>
      <c r="D250" s="9">
        <v>7.058534698E9</v>
      </c>
      <c r="E250" s="8" t="s">
        <v>4902</v>
      </c>
      <c r="F250" s="8" t="s">
        <v>4903</v>
      </c>
      <c r="G250" s="8" t="s">
        <v>3494</v>
      </c>
      <c r="H250" s="8" t="s">
        <v>3479</v>
      </c>
      <c r="I250" s="9">
        <v>0.0</v>
      </c>
      <c r="J250" s="9">
        <v>1768.0</v>
      </c>
      <c r="K250" s="9">
        <v>1768.0</v>
      </c>
      <c r="L250" s="9">
        <v>1768.0</v>
      </c>
      <c r="M250" s="9">
        <v>1693.0</v>
      </c>
      <c r="N250" s="9">
        <v>0.0</v>
      </c>
      <c r="O250" s="9">
        <v>75.0</v>
      </c>
      <c r="P250" s="8" t="s">
        <v>3480</v>
      </c>
      <c r="Q250" s="8"/>
      <c r="R250" s="8"/>
    </row>
    <row r="251">
      <c r="A251" s="8" t="s">
        <v>354</v>
      </c>
      <c r="B251" s="8" t="s">
        <v>4904</v>
      </c>
      <c r="C251" s="8" t="s">
        <v>4905</v>
      </c>
      <c r="D251" s="9">
        <v>9.82267703E9</v>
      </c>
      <c r="E251" s="8" t="s">
        <v>4906</v>
      </c>
      <c r="F251" s="8" t="s">
        <v>3550</v>
      </c>
      <c r="G251" s="8" t="s">
        <v>4907</v>
      </c>
      <c r="H251" s="8" t="s">
        <v>3479</v>
      </c>
      <c r="I251" s="9">
        <v>0.0</v>
      </c>
      <c r="J251" s="9">
        <v>1549.0</v>
      </c>
      <c r="K251" s="9">
        <v>1549.0</v>
      </c>
      <c r="L251" s="9">
        <v>1549.0</v>
      </c>
      <c r="M251" s="9">
        <v>370.0</v>
      </c>
      <c r="N251" s="9">
        <v>730.0</v>
      </c>
      <c r="O251" s="9">
        <v>449.0</v>
      </c>
      <c r="P251" s="8" t="s">
        <v>3480</v>
      </c>
      <c r="Q251" s="8"/>
      <c r="R251" s="8"/>
    </row>
    <row r="252">
      <c r="A252" s="8" t="s">
        <v>367</v>
      </c>
      <c r="B252" s="8" t="s">
        <v>4908</v>
      </c>
      <c r="C252" s="8" t="s">
        <v>4909</v>
      </c>
      <c r="D252" s="9">
        <v>9.604873669E9</v>
      </c>
      <c r="E252" s="8" t="s">
        <v>4910</v>
      </c>
      <c r="F252" s="8" t="s">
        <v>3569</v>
      </c>
      <c r="G252" s="8" t="s">
        <v>4911</v>
      </c>
      <c r="H252" s="8" t="s">
        <v>3479</v>
      </c>
      <c r="I252" s="9">
        <v>0.0</v>
      </c>
      <c r="J252" s="9">
        <v>2200.0</v>
      </c>
      <c r="K252" s="9">
        <v>2200.0</v>
      </c>
      <c r="L252" s="9">
        <v>2200.0</v>
      </c>
      <c r="M252" s="9">
        <v>603.0</v>
      </c>
      <c r="N252" s="9">
        <v>898.0</v>
      </c>
      <c r="O252" s="9">
        <v>699.0</v>
      </c>
      <c r="P252" s="8" t="s">
        <v>3519</v>
      </c>
      <c r="Q252" s="8" t="s">
        <v>4912</v>
      </c>
      <c r="R252" s="8" t="s">
        <v>4913</v>
      </c>
    </row>
    <row r="253">
      <c r="A253" s="8" t="s">
        <v>368</v>
      </c>
      <c r="B253" s="8" t="s">
        <v>4914</v>
      </c>
      <c r="C253" s="8" t="s">
        <v>4915</v>
      </c>
      <c r="D253" s="9">
        <v>9.42217808E9</v>
      </c>
      <c r="E253" s="8" t="s">
        <v>4916</v>
      </c>
      <c r="F253" s="8" t="s">
        <v>4917</v>
      </c>
      <c r="G253" s="8" t="s">
        <v>4918</v>
      </c>
      <c r="H253" s="8" t="s">
        <v>3479</v>
      </c>
      <c r="I253" s="9">
        <v>0.0</v>
      </c>
      <c r="J253" s="9">
        <v>1957.0</v>
      </c>
      <c r="K253" s="9">
        <v>1957.0</v>
      </c>
      <c r="L253" s="9">
        <v>1957.0</v>
      </c>
      <c r="M253" s="9">
        <v>668.0</v>
      </c>
      <c r="N253" s="9">
        <v>730.0</v>
      </c>
      <c r="O253" s="9">
        <v>559.0</v>
      </c>
      <c r="P253" s="8" t="s">
        <v>3480</v>
      </c>
      <c r="Q253" s="8" t="s">
        <v>4919</v>
      </c>
      <c r="R253" s="8" t="s">
        <v>4920</v>
      </c>
    </row>
    <row r="254">
      <c r="A254" s="8" t="s">
        <v>369</v>
      </c>
      <c r="B254" s="8" t="s">
        <v>4921</v>
      </c>
      <c r="C254" s="8" t="s">
        <v>4922</v>
      </c>
      <c r="D254" s="9">
        <v>8.999608482E9</v>
      </c>
      <c r="E254" s="8" t="s">
        <v>4923</v>
      </c>
      <c r="F254" s="8" t="s">
        <v>3721</v>
      </c>
      <c r="G254" s="8" t="s">
        <v>4924</v>
      </c>
      <c r="H254" s="8" t="s">
        <v>3479</v>
      </c>
      <c r="I254" s="9">
        <v>0.0</v>
      </c>
      <c r="J254" s="9">
        <v>1937.0</v>
      </c>
      <c r="K254" s="9">
        <v>1937.0</v>
      </c>
      <c r="L254" s="9">
        <v>1937.0</v>
      </c>
      <c r="M254" s="9">
        <v>683.0</v>
      </c>
      <c r="N254" s="9">
        <v>730.0</v>
      </c>
      <c r="O254" s="9">
        <v>524.0</v>
      </c>
      <c r="P254" s="8" t="s">
        <v>3480</v>
      </c>
      <c r="Q254" s="8" t="s">
        <v>4925</v>
      </c>
      <c r="R254" s="8"/>
    </row>
    <row r="255">
      <c r="A255" s="8" t="s">
        <v>370</v>
      </c>
      <c r="B255" s="8" t="s">
        <v>4926</v>
      </c>
      <c r="C255" s="8" t="s">
        <v>4927</v>
      </c>
      <c r="D255" s="9">
        <v>8.180990186E9</v>
      </c>
      <c r="E255" s="8" t="s">
        <v>4928</v>
      </c>
      <c r="F255" s="8" t="s">
        <v>4929</v>
      </c>
      <c r="G255" s="8" t="s">
        <v>4930</v>
      </c>
      <c r="H255" s="8" t="s">
        <v>3479</v>
      </c>
      <c r="I255" s="9">
        <v>0.0</v>
      </c>
      <c r="J255" s="9">
        <v>1049.0</v>
      </c>
      <c r="K255" s="9">
        <v>1049.0</v>
      </c>
      <c r="L255" s="9">
        <v>1049.0</v>
      </c>
      <c r="M255" s="9">
        <v>555.0</v>
      </c>
      <c r="N255" s="9">
        <v>0.0</v>
      </c>
      <c r="O255" s="9">
        <v>494.0</v>
      </c>
      <c r="P255" s="8" t="s">
        <v>3480</v>
      </c>
      <c r="Q255" s="8" t="s">
        <v>4931</v>
      </c>
      <c r="R255" s="8" t="s">
        <v>4932</v>
      </c>
    </row>
    <row r="256">
      <c r="A256" s="8" t="s">
        <v>355</v>
      </c>
      <c r="B256" s="8" t="s">
        <v>4933</v>
      </c>
      <c r="C256" s="8" t="s">
        <v>4934</v>
      </c>
      <c r="D256" s="9">
        <v>8.087198181E9</v>
      </c>
      <c r="E256" s="8" t="s">
        <v>4935</v>
      </c>
      <c r="F256" s="8" t="s">
        <v>3601</v>
      </c>
      <c r="G256" s="8" t="s">
        <v>4936</v>
      </c>
      <c r="H256" s="8" t="s">
        <v>3479</v>
      </c>
      <c r="I256" s="9">
        <v>0.0</v>
      </c>
      <c r="J256" s="9">
        <v>634.0</v>
      </c>
      <c r="K256" s="9">
        <v>634.0</v>
      </c>
      <c r="L256" s="9">
        <v>634.0</v>
      </c>
      <c r="M256" s="9">
        <v>185.0</v>
      </c>
      <c r="N256" s="9">
        <v>0.0</v>
      </c>
      <c r="O256" s="9">
        <v>449.0</v>
      </c>
      <c r="P256" s="8" t="s">
        <v>3480</v>
      </c>
      <c r="Q256" s="8" t="s">
        <v>4937</v>
      </c>
      <c r="R256" s="8" t="s">
        <v>4938</v>
      </c>
    </row>
    <row r="257">
      <c r="A257" s="8" t="s">
        <v>371</v>
      </c>
      <c r="B257" s="8" t="s">
        <v>4939</v>
      </c>
      <c r="C257" s="8" t="s">
        <v>4940</v>
      </c>
      <c r="D257" s="9">
        <v>8.329647673E9</v>
      </c>
      <c r="E257" s="8" t="s">
        <v>4941</v>
      </c>
      <c r="F257" s="8" t="s">
        <v>4252</v>
      </c>
      <c r="G257" s="8" t="s">
        <v>4942</v>
      </c>
      <c r="H257" s="8" t="s">
        <v>3479</v>
      </c>
      <c r="I257" s="9">
        <v>0.0</v>
      </c>
      <c r="J257" s="9">
        <v>2442.0</v>
      </c>
      <c r="K257" s="9">
        <v>2442.0</v>
      </c>
      <c r="L257" s="9">
        <v>2442.0</v>
      </c>
      <c r="M257" s="9">
        <v>1296.0</v>
      </c>
      <c r="N257" s="9">
        <v>796.0</v>
      </c>
      <c r="O257" s="9">
        <v>350.0</v>
      </c>
      <c r="P257" s="8" t="s">
        <v>3480</v>
      </c>
      <c r="Q257" s="8"/>
      <c r="R257" s="8"/>
    </row>
    <row r="258">
      <c r="A258" s="8" t="s">
        <v>353</v>
      </c>
      <c r="B258" s="8" t="s">
        <v>4943</v>
      </c>
      <c r="C258" s="8" t="s">
        <v>4944</v>
      </c>
      <c r="D258" s="9">
        <v>9.552509211E9</v>
      </c>
      <c r="E258" s="8" t="s">
        <v>4945</v>
      </c>
      <c r="F258" s="8" t="s">
        <v>4333</v>
      </c>
      <c r="G258" s="8" t="s">
        <v>4946</v>
      </c>
      <c r="H258" s="8" t="s">
        <v>3479</v>
      </c>
      <c r="I258" s="9">
        <v>0.0</v>
      </c>
      <c r="J258" s="9">
        <v>2803.0</v>
      </c>
      <c r="K258" s="9">
        <v>2803.0</v>
      </c>
      <c r="L258" s="9">
        <v>2803.0</v>
      </c>
      <c r="M258" s="9">
        <v>1206.0</v>
      </c>
      <c r="N258" s="9">
        <v>898.0</v>
      </c>
      <c r="O258" s="9">
        <v>699.0</v>
      </c>
      <c r="P258" s="8" t="s">
        <v>3544</v>
      </c>
      <c r="Q258" s="8" t="s">
        <v>4947</v>
      </c>
      <c r="R258" s="8" t="s">
        <v>4948</v>
      </c>
    </row>
    <row r="259">
      <c r="A259" s="8" t="s">
        <v>357</v>
      </c>
      <c r="B259" s="8" t="s">
        <v>4949</v>
      </c>
      <c r="C259" s="8" t="s">
        <v>4950</v>
      </c>
      <c r="D259" s="9">
        <v>9.970689986E9</v>
      </c>
      <c r="E259" s="8" t="s">
        <v>4951</v>
      </c>
      <c r="F259" s="8" t="s">
        <v>3653</v>
      </c>
      <c r="G259" s="8" t="s">
        <v>4952</v>
      </c>
      <c r="H259" s="8" t="s">
        <v>3479</v>
      </c>
      <c r="I259" s="9">
        <v>0.0</v>
      </c>
      <c r="J259" s="9">
        <v>2081.0</v>
      </c>
      <c r="K259" s="9">
        <v>2081.0</v>
      </c>
      <c r="L259" s="9">
        <v>2081.0</v>
      </c>
      <c r="M259" s="9">
        <v>573.0</v>
      </c>
      <c r="N259" s="9">
        <v>784.0</v>
      </c>
      <c r="O259" s="9">
        <v>724.0</v>
      </c>
      <c r="P259" s="8" t="s">
        <v>3480</v>
      </c>
      <c r="Q259" s="8" t="s">
        <v>4953</v>
      </c>
      <c r="R259" s="8" t="s">
        <v>4954</v>
      </c>
    </row>
    <row r="260">
      <c r="A260" s="8" t="s">
        <v>358</v>
      </c>
      <c r="B260" s="8" t="s">
        <v>4955</v>
      </c>
      <c r="C260" s="8" t="s">
        <v>4956</v>
      </c>
      <c r="D260" s="9">
        <v>7.385401705E9</v>
      </c>
      <c r="E260" s="8" t="s">
        <v>4957</v>
      </c>
      <c r="F260" s="8" t="s">
        <v>3608</v>
      </c>
      <c r="G260" s="8" t="s">
        <v>4958</v>
      </c>
      <c r="H260" s="8" t="s">
        <v>3479</v>
      </c>
      <c r="I260" s="9">
        <v>0.0</v>
      </c>
      <c r="J260" s="9">
        <v>1259.0</v>
      </c>
      <c r="K260" s="9">
        <v>1259.0</v>
      </c>
      <c r="L260" s="9">
        <v>1259.0</v>
      </c>
      <c r="M260" s="9">
        <v>80.0</v>
      </c>
      <c r="N260" s="9">
        <v>730.0</v>
      </c>
      <c r="O260" s="9">
        <v>449.0</v>
      </c>
      <c r="P260" s="8" t="s">
        <v>3480</v>
      </c>
      <c r="Q260" s="8"/>
      <c r="R260" s="8"/>
    </row>
    <row r="261">
      <c r="A261" s="8" t="s">
        <v>359</v>
      </c>
      <c r="B261" s="8" t="s">
        <v>4959</v>
      </c>
      <c r="C261" s="8" t="s">
        <v>4960</v>
      </c>
      <c r="D261" s="9">
        <v>8.32911146E9</v>
      </c>
      <c r="E261" s="8" t="s">
        <v>4961</v>
      </c>
      <c r="F261" s="8" t="s">
        <v>4125</v>
      </c>
      <c r="G261" s="8" t="s">
        <v>4962</v>
      </c>
      <c r="H261" s="8" t="s">
        <v>3479</v>
      </c>
      <c r="I261" s="9">
        <v>0.0</v>
      </c>
      <c r="J261" s="9">
        <v>2146.0</v>
      </c>
      <c r="K261" s="9">
        <v>2146.0</v>
      </c>
      <c r="L261" s="9">
        <v>2146.0</v>
      </c>
      <c r="M261" s="9">
        <v>699.0</v>
      </c>
      <c r="N261" s="9">
        <v>848.0</v>
      </c>
      <c r="O261" s="9">
        <v>599.0</v>
      </c>
      <c r="P261" s="8" t="s">
        <v>3480</v>
      </c>
      <c r="Q261" s="8"/>
      <c r="R261" s="8"/>
    </row>
    <row r="262">
      <c r="A262" s="8" t="s">
        <v>360</v>
      </c>
      <c r="B262" s="8" t="s">
        <v>4963</v>
      </c>
      <c r="C262" s="8" t="s">
        <v>4964</v>
      </c>
      <c r="D262" s="9">
        <v>9.767379988E9</v>
      </c>
      <c r="E262" s="8" t="s">
        <v>4965</v>
      </c>
      <c r="F262" s="8" t="s">
        <v>4966</v>
      </c>
      <c r="G262" s="8" t="s">
        <v>4967</v>
      </c>
      <c r="H262" s="8" t="s">
        <v>3479</v>
      </c>
      <c r="I262" s="9">
        <v>0.0</v>
      </c>
      <c r="J262" s="9">
        <v>1853.0</v>
      </c>
      <c r="K262" s="9">
        <v>1853.0</v>
      </c>
      <c r="L262" s="9">
        <v>1853.0</v>
      </c>
      <c r="M262" s="9">
        <v>254.0</v>
      </c>
      <c r="N262" s="9">
        <v>900.0</v>
      </c>
      <c r="O262" s="9">
        <v>699.0</v>
      </c>
      <c r="P262" s="8" t="s">
        <v>3480</v>
      </c>
      <c r="Q262" s="8" t="s">
        <v>4968</v>
      </c>
      <c r="R262" s="8" t="s">
        <v>4969</v>
      </c>
    </row>
    <row r="263">
      <c r="A263" s="8" t="s">
        <v>386</v>
      </c>
      <c r="B263" s="8" t="s">
        <v>4970</v>
      </c>
      <c r="C263" s="8" t="s">
        <v>4971</v>
      </c>
      <c r="D263" s="9">
        <v>9.730183583E9</v>
      </c>
      <c r="E263" s="8" t="s">
        <v>4972</v>
      </c>
      <c r="F263" s="8" t="s">
        <v>3601</v>
      </c>
      <c r="G263" s="8" t="s">
        <v>4973</v>
      </c>
      <c r="H263" s="8" t="s">
        <v>3479</v>
      </c>
      <c r="I263" s="9">
        <v>0.0</v>
      </c>
      <c r="J263" s="9">
        <v>2418.0</v>
      </c>
      <c r="K263" s="9">
        <v>2418.0</v>
      </c>
      <c r="L263" s="9">
        <v>2418.0</v>
      </c>
      <c r="M263" s="9">
        <v>1239.0</v>
      </c>
      <c r="N263" s="9">
        <v>730.0</v>
      </c>
      <c r="O263" s="9">
        <v>449.0</v>
      </c>
      <c r="P263" s="8" t="s">
        <v>3480</v>
      </c>
      <c r="Q263" s="8" t="s">
        <v>4974</v>
      </c>
      <c r="R263" s="8" t="s">
        <v>4975</v>
      </c>
    </row>
    <row r="264">
      <c r="A264" s="8" t="s">
        <v>361</v>
      </c>
      <c r="B264" s="8" t="s">
        <v>4976</v>
      </c>
      <c r="C264" s="8" t="s">
        <v>4087</v>
      </c>
      <c r="D264" s="9">
        <v>9.890022157E9</v>
      </c>
      <c r="E264" s="8" t="s">
        <v>4088</v>
      </c>
      <c r="F264" s="8" t="s">
        <v>4089</v>
      </c>
      <c r="G264" s="8" t="s">
        <v>3966</v>
      </c>
      <c r="H264" s="8" t="s">
        <v>3479</v>
      </c>
      <c r="I264" s="9">
        <v>0.0</v>
      </c>
      <c r="J264" s="9">
        <v>1752.0</v>
      </c>
      <c r="K264" s="9">
        <v>1752.0</v>
      </c>
      <c r="L264" s="9">
        <v>1752.0</v>
      </c>
      <c r="M264" s="9">
        <v>1303.0</v>
      </c>
      <c r="N264" s="9">
        <v>0.0</v>
      </c>
      <c r="O264" s="9">
        <v>449.0</v>
      </c>
      <c r="P264" s="8" t="s">
        <v>3519</v>
      </c>
      <c r="Q264" s="8"/>
      <c r="R264" s="8"/>
    </row>
    <row r="265">
      <c r="A265" s="8" t="s">
        <v>362</v>
      </c>
      <c r="B265" s="8" t="s">
        <v>4977</v>
      </c>
      <c r="C265" s="8" t="s">
        <v>4978</v>
      </c>
      <c r="D265" s="9">
        <v>8.950816885E9</v>
      </c>
      <c r="E265" s="8" t="s">
        <v>4979</v>
      </c>
      <c r="F265" s="8" t="s">
        <v>4980</v>
      </c>
      <c r="G265" s="8" t="s">
        <v>4981</v>
      </c>
      <c r="H265" s="8" t="s">
        <v>3479</v>
      </c>
      <c r="I265" s="9">
        <v>0.0</v>
      </c>
      <c r="J265" s="9">
        <v>3523.0</v>
      </c>
      <c r="K265" s="9">
        <v>3523.0</v>
      </c>
      <c r="L265" s="9">
        <v>3523.0</v>
      </c>
      <c r="M265" s="9">
        <v>2076.0</v>
      </c>
      <c r="N265" s="9">
        <v>848.0</v>
      </c>
      <c r="O265" s="9">
        <v>599.0</v>
      </c>
      <c r="P265" s="8" t="s">
        <v>3544</v>
      </c>
      <c r="Q265" s="8" t="s">
        <v>4982</v>
      </c>
      <c r="R265" s="8" t="s">
        <v>4983</v>
      </c>
    </row>
    <row r="266">
      <c r="A266" s="8" t="s">
        <v>356</v>
      </c>
      <c r="B266" s="8" t="s">
        <v>4984</v>
      </c>
      <c r="C266" s="8" t="s">
        <v>4985</v>
      </c>
      <c r="D266" s="9">
        <v>7.73815777E9</v>
      </c>
      <c r="E266" s="8" t="s">
        <v>4986</v>
      </c>
      <c r="F266" s="8" t="s">
        <v>3697</v>
      </c>
      <c r="G266" s="8" t="s">
        <v>4987</v>
      </c>
      <c r="H266" s="8" t="s">
        <v>3479</v>
      </c>
      <c r="I266" s="9">
        <v>0.0</v>
      </c>
      <c r="J266" s="9">
        <v>1998.0</v>
      </c>
      <c r="K266" s="9">
        <v>1998.0</v>
      </c>
      <c r="L266" s="9">
        <v>1998.0</v>
      </c>
      <c r="M266" s="9">
        <v>739.0</v>
      </c>
      <c r="N266" s="9">
        <v>730.0</v>
      </c>
      <c r="O266" s="9">
        <v>529.0</v>
      </c>
      <c r="P266" s="8" t="s">
        <v>3480</v>
      </c>
      <c r="Q266" s="8" t="s">
        <v>4988</v>
      </c>
      <c r="R266" s="8" t="s">
        <v>4989</v>
      </c>
    </row>
    <row r="267">
      <c r="A267" s="8" t="s">
        <v>400</v>
      </c>
      <c r="B267" s="8" t="s">
        <v>4990</v>
      </c>
      <c r="C267" s="8" t="s">
        <v>4991</v>
      </c>
      <c r="D267" s="9">
        <v>9.404728946E9</v>
      </c>
      <c r="E267" s="8" t="s">
        <v>4992</v>
      </c>
      <c r="F267" s="8" t="s">
        <v>3615</v>
      </c>
      <c r="G267" s="8" t="s">
        <v>4993</v>
      </c>
      <c r="H267" s="8" t="s">
        <v>3479</v>
      </c>
      <c r="I267" s="9">
        <v>0.0</v>
      </c>
      <c r="J267" s="9">
        <v>1613.0</v>
      </c>
      <c r="K267" s="9">
        <v>1613.0</v>
      </c>
      <c r="L267" s="9">
        <v>1613.0</v>
      </c>
      <c r="M267" s="9">
        <v>300.0</v>
      </c>
      <c r="N267" s="9">
        <v>784.0</v>
      </c>
      <c r="O267" s="9">
        <v>529.0</v>
      </c>
      <c r="P267" s="8" t="s">
        <v>3544</v>
      </c>
      <c r="Q267" s="8"/>
      <c r="R267" s="8"/>
    </row>
    <row r="268">
      <c r="A268" s="8" t="s">
        <v>363</v>
      </c>
      <c r="B268" s="8" t="s">
        <v>4994</v>
      </c>
      <c r="C268" s="8" t="s">
        <v>4995</v>
      </c>
      <c r="D268" s="9">
        <v>9.096270636E9</v>
      </c>
      <c r="E268" s="8" t="s">
        <v>4996</v>
      </c>
      <c r="F268" s="8" t="s">
        <v>3908</v>
      </c>
      <c r="G268" s="8" t="s">
        <v>4997</v>
      </c>
      <c r="H268" s="8" t="s">
        <v>3479</v>
      </c>
      <c r="I268" s="9">
        <v>0.0</v>
      </c>
      <c r="J268" s="9">
        <v>3228.0</v>
      </c>
      <c r="K268" s="9">
        <v>3228.0</v>
      </c>
      <c r="L268" s="9">
        <v>3228.0</v>
      </c>
      <c r="M268" s="9">
        <v>3103.0</v>
      </c>
      <c r="N268" s="9">
        <v>0.0</v>
      </c>
      <c r="O268" s="9">
        <v>125.0</v>
      </c>
      <c r="P268" s="8" t="s">
        <v>3480</v>
      </c>
      <c r="Q268" s="8" t="s">
        <v>4998</v>
      </c>
      <c r="R268" s="8" t="s">
        <v>4999</v>
      </c>
    </row>
    <row r="269">
      <c r="A269" s="8" t="s">
        <v>422</v>
      </c>
      <c r="B269" s="8" t="s">
        <v>5000</v>
      </c>
      <c r="C269" s="8" t="s">
        <v>5001</v>
      </c>
      <c r="D269" s="9">
        <v>8.796967049E9</v>
      </c>
      <c r="E269" s="8" t="s">
        <v>5002</v>
      </c>
      <c r="F269" s="8" t="s">
        <v>3901</v>
      </c>
      <c r="G269" s="8" t="s">
        <v>5003</v>
      </c>
      <c r="H269" s="8" t="s">
        <v>3479</v>
      </c>
      <c r="I269" s="9">
        <v>0.0</v>
      </c>
      <c r="J269" s="9">
        <v>3916.0</v>
      </c>
      <c r="K269" s="9">
        <v>3916.0</v>
      </c>
      <c r="L269" s="9">
        <v>3916.0</v>
      </c>
      <c r="M269" s="9">
        <v>2019.0</v>
      </c>
      <c r="N269" s="9">
        <v>848.0</v>
      </c>
      <c r="O269" s="9">
        <v>1049.0</v>
      </c>
      <c r="P269" s="8" t="s">
        <v>4183</v>
      </c>
      <c r="Q269" s="8" t="s">
        <v>5004</v>
      </c>
      <c r="R269" s="8" t="s">
        <v>5005</v>
      </c>
    </row>
    <row r="270">
      <c r="A270" s="8" t="s">
        <v>421</v>
      </c>
      <c r="B270" s="8" t="s">
        <v>5006</v>
      </c>
      <c r="C270" s="8" t="s">
        <v>5007</v>
      </c>
      <c r="D270" s="9">
        <v>8.263918404E9</v>
      </c>
      <c r="E270" s="8" t="s">
        <v>5008</v>
      </c>
      <c r="F270" s="8" t="s">
        <v>3768</v>
      </c>
      <c r="G270" s="8" t="s">
        <v>5009</v>
      </c>
      <c r="H270" s="8" t="s">
        <v>3479</v>
      </c>
      <c r="I270" s="9">
        <v>0.0</v>
      </c>
      <c r="J270" s="9">
        <v>2234.0</v>
      </c>
      <c r="K270" s="9">
        <v>2234.0</v>
      </c>
      <c r="L270" s="9">
        <v>2234.0</v>
      </c>
      <c r="M270" s="9">
        <v>1600.0</v>
      </c>
      <c r="N270" s="9">
        <v>594.0</v>
      </c>
      <c r="O270" s="9">
        <v>40.0</v>
      </c>
      <c r="P270" s="8" t="s">
        <v>3480</v>
      </c>
      <c r="Q270" s="8"/>
      <c r="R270" s="8"/>
    </row>
    <row r="271">
      <c r="A271" s="8" t="s">
        <v>424</v>
      </c>
      <c r="B271" s="8" t="s">
        <v>5010</v>
      </c>
      <c r="C271" s="8" t="s">
        <v>5011</v>
      </c>
      <c r="D271" s="9">
        <v>8.233279131E9</v>
      </c>
      <c r="E271" s="8" t="s">
        <v>5012</v>
      </c>
      <c r="F271" s="8" t="s">
        <v>3608</v>
      </c>
      <c r="G271" s="8" t="s">
        <v>5013</v>
      </c>
      <c r="H271" s="8" t="s">
        <v>3479</v>
      </c>
      <c r="I271" s="9">
        <v>0.0</v>
      </c>
      <c r="J271" s="9">
        <v>985.0</v>
      </c>
      <c r="K271" s="9">
        <v>985.0</v>
      </c>
      <c r="L271" s="9">
        <v>985.0</v>
      </c>
      <c r="M271" s="9">
        <v>985.0</v>
      </c>
      <c r="N271" s="9">
        <v>0.0</v>
      </c>
      <c r="O271" s="9">
        <v>0.0</v>
      </c>
      <c r="P271" s="8" t="s">
        <v>3480</v>
      </c>
      <c r="Q271" s="8" t="s">
        <v>5014</v>
      </c>
      <c r="R271" s="8" t="s">
        <v>5015</v>
      </c>
    </row>
    <row r="272">
      <c r="A272" s="8" t="s">
        <v>401</v>
      </c>
      <c r="B272" s="8" t="s">
        <v>5016</v>
      </c>
      <c r="C272" s="8" t="s">
        <v>5017</v>
      </c>
      <c r="D272" s="9">
        <v>8.055405552E9</v>
      </c>
      <c r="E272" s="8" t="s">
        <v>5018</v>
      </c>
      <c r="F272" s="8" t="s">
        <v>3589</v>
      </c>
      <c r="G272" s="8" t="s">
        <v>5019</v>
      </c>
      <c r="H272" s="8" t="s">
        <v>3479</v>
      </c>
      <c r="I272" s="9">
        <v>0.0</v>
      </c>
      <c r="J272" s="9">
        <v>1150.0</v>
      </c>
      <c r="K272" s="9">
        <v>1150.0</v>
      </c>
      <c r="L272" s="9">
        <v>1150.0</v>
      </c>
      <c r="M272" s="9">
        <v>1150.0</v>
      </c>
      <c r="N272" s="9">
        <v>0.0</v>
      </c>
      <c r="O272" s="9">
        <v>0.0</v>
      </c>
      <c r="P272" s="8" t="s">
        <v>3480</v>
      </c>
      <c r="Q272" s="8" t="s">
        <v>5020</v>
      </c>
      <c r="R272" s="8" t="s">
        <v>5021</v>
      </c>
    </row>
    <row r="273">
      <c r="A273" s="8" t="s">
        <v>387</v>
      </c>
      <c r="B273" s="8" t="s">
        <v>5022</v>
      </c>
      <c r="C273" s="8" t="s">
        <v>5023</v>
      </c>
      <c r="D273" s="9">
        <v>9.028167587E9</v>
      </c>
      <c r="E273" s="8" t="s">
        <v>5024</v>
      </c>
      <c r="F273" s="8" t="s">
        <v>5025</v>
      </c>
      <c r="G273" s="8" t="s">
        <v>5026</v>
      </c>
      <c r="H273" s="8" t="s">
        <v>3479</v>
      </c>
      <c r="I273" s="9">
        <v>0.0</v>
      </c>
      <c r="J273" s="9">
        <v>2962.0</v>
      </c>
      <c r="K273" s="9">
        <v>2962.0</v>
      </c>
      <c r="L273" s="9">
        <v>2962.0</v>
      </c>
      <c r="M273" s="9">
        <v>1783.0</v>
      </c>
      <c r="N273" s="9">
        <v>730.0</v>
      </c>
      <c r="O273" s="9">
        <v>449.0</v>
      </c>
      <c r="P273" s="8" t="s">
        <v>3480</v>
      </c>
      <c r="Q273" s="8" t="s">
        <v>5027</v>
      </c>
      <c r="R273" s="8" t="s">
        <v>5028</v>
      </c>
    </row>
    <row r="274">
      <c r="A274" s="8" t="s">
        <v>423</v>
      </c>
      <c r="B274" s="8" t="s">
        <v>5029</v>
      </c>
      <c r="C274" s="8" t="s">
        <v>5030</v>
      </c>
      <c r="D274" s="9">
        <v>8.00727202E9</v>
      </c>
      <c r="E274" s="8" t="s">
        <v>5031</v>
      </c>
      <c r="F274" s="8" t="s">
        <v>4980</v>
      </c>
      <c r="G274" s="8" t="s">
        <v>5032</v>
      </c>
      <c r="H274" s="8" t="s">
        <v>3479</v>
      </c>
      <c r="I274" s="9">
        <v>0.0</v>
      </c>
      <c r="J274" s="9">
        <v>610.0</v>
      </c>
      <c r="K274" s="9">
        <v>610.0</v>
      </c>
      <c r="L274" s="9">
        <v>610.0</v>
      </c>
      <c r="M274" s="9">
        <v>161.0</v>
      </c>
      <c r="N274" s="9">
        <v>0.0</v>
      </c>
      <c r="O274" s="9">
        <v>449.0</v>
      </c>
      <c r="P274" s="8" t="s">
        <v>3480</v>
      </c>
      <c r="Q274" s="8" t="s">
        <v>5033</v>
      </c>
      <c r="R274" s="8"/>
    </row>
    <row r="275">
      <c r="A275" s="8" t="s">
        <v>435</v>
      </c>
      <c r="B275" s="8" t="s">
        <v>5034</v>
      </c>
      <c r="C275" s="8" t="s">
        <v>5035</v>
      </c>
      <c r="D275" s="9">
        <v>9.096948907E9</v>
      </c>
      <c r="E275" s="8" t="s">
        <v>5036</v>
      </c>
      <c r="F275" s="8" t="s">
        <v>3486</v>
      </c>
      <c r="G275" s="8" t="s">
        <v>3494</v>
      </c>
      <c r="H275" s="8" t="s">
        <v>3479</v>
      </c>
      <c r="I275" s="9">
        <v>0.0</v>
      </c>
      <c r="J275" s="9">
        <v>1538.0</v>
      </c>
      <c r="K275" s="9">
        <v>1538.0</v>
      </c>
      <c r="L275" s="9">
        <v>1538.0</v>
      </c>
      <c r="M275" s="9">
        <v>350.0</v>
      </c>
      <c r="N275" s="9">
        <v>739.0</v>
      </c>
      <c r="O275" s="9">
        <v>449.0</v>
      </c>
      <c r="P275" s="8" t="s">
        <v>3480</v>
      </c>
      <c r="Q275" s="8" t="s">
        <v>5037</v>
      </c>
      <c r="R275" s="8" t="s">
        <v>5038</v>
      </c>
    </row>
    <row r="276">
      <c r="A276" s="8" t="s">
        <v>402</v>
      </c>
      <c r="B276" s="8" t="s">
        <v>5039</v>
      </c>
      <c r="C276" s="8" t="s">
        <v>5040</v>
      </c>
      <c r="D276" s="9">
        <v>8.412892212E9</v>
      </c>
      <c r="E276" s="8" t="s">
        <v>5041</v>
      </c>
      <c r="F276" s="8" t="s">
        <v>3550</v>
      </c>
      <c r="G276" s="8" t="s">
        <v>5042</v>
      </c>
      <c r="H276" s="8" t="s">
        <v>3479</v>
      </c>
      <c r="I276" s="9">
        <v>0.0</v>
      </c>
      <c r="J276" s="9">
        <v>1259.0</v>
      </c>
      <c r="K276" s="9">
        <v>1259.0</v>
      </c>
      <c r="L276" s="9">
        <v>1259.0</v>
      </c>
      <c r="M276" s="9">
        <v>80.0</v>
      </c>
      <c r="N276" s="9">
        <v>730.0</v>
      </c>
      <c r="O276" s="9">
        <v>449.0</v>
      </c>
      <c r="P276" s="8" t="s">
        <v>3544</v>
      </c>
      <c r="Q276" s="8" t="s">
        <v>5043</v>
      </c>
      <c r="R276" s="8" t="s">
        <v>5044</v>
      </c>
    </row>
    <row r="277">
      <c r="A277" s="8" t="s">
        <v>438</v>
      </c>
      <c r="B277" s="8" t="s">
        <v>5045</v>
      </c>
      <c r="C277" s="8" t="s">
        <v>5046</v>
      </c>
      <c r="D277" s="9">
        <v>8.89034526E9</v>
      </c>
      <c r="E277" s="8" t="s">
        <v>5047</v>
      </c>
      <c r="F277" s="8" t="s">
        <v>3821</v>
      </c>
      <c r="G277" s="8" t="s">
        <v>5048</v>
      </c>
      <c r="H277" s="8" t="s">
        <v>3479</v>
      </c>
      <c r="I277" s="9">
        <v>0.0</v>
      </c>
      <c r="J277" s="9">
        <v>1150.0</v>
      </c>
      <c r="K277" s="9">
        <v>1150.0</v>
      </c>
      <c r="L277" s="9">
        <v>1150.0</v>
      </c>
      <c r="M277" s="9">
        <v>1150.0</v>
      </c>
      <c r="N277" s="9">
        <v>0.0</v>
      </c>
      <c r="O277" s="9">
        <v>0.0</v>
      </c>
      <c r="P277" s="8" t="s">
        <v>3480</v>
      </c>
      <c r="Q277" s="8"/>
      <c r="R277" s="8"/>
    </row>
    <row r="278">
      <c r="A278" s="8" t="s">
        <v>436</v>
      </c>
      <c r="B278" s="8" t="s">
        <v>5049</v>
      </c>
      <c r="C278" s="8" t="s">
        <v>3867</v>
      </c>
      <c r="D278" s="9">
        <v>9.763156566E9</v>
      </c>
      <c r="E278" s="8" t="s">
        <v>5050</v>
      </c>
      <c r="F278" s="8" t="s">
        <v>3550</v>
      </c>
      <c r="G278" s="8" t="s">
        <v>5051</v>
      </c>
      <c r="H278" s="8" t="s">
        <v>3479</v>
      </c>
      <c r="I278" s="9">
        <v>0.0</v>
      </c>
      <c r="J278" s="9">
        <v>1259.0</v>
      </c>
      <c r="K278" s="9">
        <v>1259.0</v>
      </c>
      <c r="L278" s="9">
        <v>1259.0</v>
      </c>
      <c r="M278" s="9">
        <v>80.0</v>
      </c>
      <c r="N278" s="9">
        <v>730.0</v>
      </c>
      <c r="O278" s="9">
        <v>449.0</v>
      </c>
      <c r="P278" s="8" t="s">
        <v>3480</v>
      </c>
      <c r="Q278" s="8" t="s">
        <v>5052</v>
      </c>
      <c r="R278" s="8" t="s">
        <v>5053</v>
      </c>
    </row>
    <row r="279">
      <c r="A279" s="8" t="s">
        <v>440</v>
      </c>
      <c r="B279" s="8" t="s">
        <v>5054</v>
      </c>
      <c r="C279" s="8" t="s">
        <v>5055</v>
      </c>
      <c r="D279" s="9">
        <v>9.028728906E9</v>
      </c>
      <c r="E279" s="8" t="s">
        <v>5056</v>
      </c>
      <c r="F279" s="8" t="s">
        <v>5057</v>
      </c>
      <c r="G279" s="8" t="s">
        <v>5058</v>
      </c>
      <c r="H279" s="8" t="s">
        <v>3479</v>
      </c>
      <c r="I279" s="9">
        <v>0.0</v>
      </c>
      <c r="J279" s="9">
        <v>1368.0</v>
      </c>
      <c r="K279" s="9">
        <v>1368.0</v>
      </c>
      <c r="L279" s="9">
        <v>1368.0</v>
      </c>
      <c r="M279" s="9">
        <v>135.0</v>
      </c>
      <c r="N279" s="9">
        <v>784.0</v>
      </c>
      <c r="O279" s="9">
        <v>449.0</v>
      </c>
      <c r="P279" s="8" t="s">
        <v>3480</v>
      </c>
      <c r="Q279" s="8" t="s">
        <v>5059</v>
      </c>
      <c r="R279" s="8" t="s">
        <v>5060</v>
      </c>
    </row>
    <row r="280">
      <c r="A280" s="8" t="s">
        <v>441</v>
      </c>
      <c r="B280" s="8" t="s">
        <v>5061</v>
      </c>
      <c r="C280" s="8" t="s">
        <v>5062</v>
      </c>
      <c r="D280" s="9">
        <v>9.009090205E9</v>
      </c>
      <c r="E280" s="8" t="s">
        <v>5063</v>
      </c>
      <c r="F280" s="8" t="s">
        <v>5064</v>
      </c>
      <c r="G280" s="8" t="s">
        <v>5065</v>
      </c>
      <c r="H280" s="8" t="s">
        <v>3479</v>
      </c>
      <c r="I280" s="9">
        <v>0.0</v>
      </c>
      <c r="J280" s="9">
        <v>2488.0</v>
      </c>
      <c r="K280" s="9">
        <v>2488.0</v>
      </c>
      <c r="L280" s="9">
        <v>2488.0</v>
      </c>
      <c r="M280" s="9">
        <v>1174.0</v>
      </c>
      <c r="N280" s="9">
        <v>65.0</v>
      </c>
      <c r="O280" s="9">
        <v>1249.0</v>
      </c>
      <c r="P280" s="8" t="s">
        <v>3480</v>
      </c>
      <c r="Q280" s="8" t="s">
        <v>5066</v>
      </c>
      <c r="R280" s="8" t="s">
        <v>5067</v>
      </c>
    </row>
    <row r="281">
      <c r="A281" s="8" t="s">
        <v>439</v>
      </c>
      <c r="B281" s="8" t="s">
        <v>5068</v>
      </c>
      <c r="C281" s="8" t="s">
        <v>5069</v>
      </c>
      <c r="D281" s="9">
        <v>8.793429798E9</v>
      </c>
      <c r="E281" s="8" t="s">
        <v>5070</v>
      </c>
      <c r="F281" s="8" t="s">
        <v>4059</v>
      </c>
      <c r="G281" s="8" t="s">
        <v>5071</v>
      </c>
      <c r="H281" s="8" t="s">
        <v>3479</v>
      </c>
      <c r="I281" s="9">
        <v>0.0</v>
      </c>
      <c r="J281" s="9">
        <v>2609.0</v>
      </c>
      <c r="K281" s="9">
        <v>2609.0</v>
      </c>
      <c r="L281" s="9">
        <v>2609.0</v>
      </c>
      <c r="M281" s="9">
        <v>2010.0</v>
      </c>
      <c r="N281" s="9">
        <v>0.0</v>
      </c>
      <c r="O281" s="9">
        <v>599.0</v>
      </c>
      <c r="P281" s="8" t="s">
        <v>3480</v>
      </c>
      <c r="Q281" s="8" t="s">
        <v>5072</v>
      </c>
      <c r="R281" s="8" t="s">
        <v>5073</v>
      </c>
    </row>
    <row r="282">
      <c r="A282" s="8" t="s">
        <v>437</v>
      </c>
      <c r="B282" s="8" t="s">
        <v>5074</v>
      </c>
      <c r="C282" s="8" t="s">
        <v>5075</v>
      </c>
      <c r="D282" s="9">
        <v>9.960354792E9</v>
      </c>
      <c r="E282" s="8" t="s">
        <v>5076</v>
      </c>
      <c r="F282" s="8" t="s">
        <v>5077</v>
      </c>
      <c r="G282" s="8" t="s">
        <v>5078</v>
      </c>
      <c r="H282" s="8" t="s">
        <v>3479</v>
      </c>
      <c r="I282" s="9">
        <v>0.0</v>
      </c>
      <c r="J282" s="9">
        <v>1019.0</v>
      </c>
      <c r="K282" s="9">
        <v>1019.0</v>
      </c>
      <c r="L282" s="9">
        <v>1019.0</v>
      </c>
      <c r="M282" s="9">
        <v>80.0</v>
      </c>
      <c r="N282" s="9">
        <v>190.0</v>
      </c>
      <c r="O282" s="9">
        <v>749.0</v>
      </c>
      <c r="P282" s="8" t="s">
        <v>3480</v>
      </c>
      <c r="Q282" s="8" t="s">
        <v>5079</v>
      </c>
      <c r="R282" s="8"/>
    </row>
    <row r="283">
      <c r="A283" s="8" t="s">
        <v>444</v>
      </c>
      <c r="B283" s="8" t="s">
        <v>5080</v>
      </c>
      <c r="C283" s="8" t="s">
        <v>5081</v>
      </c>
      <c r="D283" s="9">
        <v>9.588986487E9</v>
      </c>
      <c r="E283" s="8" t="s">
        <v>5082</v>
      </c>
      <c r="F283" s="8" t="s">
        <v>4089</v>
      </c>
      <c r="G283" s="8" t="s">
        <v>5083</v>
      </c>
      <c r="H283" s="8" t="s">
        <v>3479</v>
      </c>
      <c r="I283" s="9">
        <v>0.0</v>
      </c>
      <c r="J283" s="9">
        <v>1517.0</v>
      </c>
      <c r="K283" s="9">
        <v>5517.0</v>
      </c>
      <c r="L283" s="9">
        <v>5517.0</v>
      </c>
      <c r="M283" s="9">
        <v>3685.0</v>
      </c>
      <c r="N283" s="9">
        <v>358.0</v>
      </c>
      <c r="O283" s="9">
        <v>1474.0</v>
      </c>
      <c r="P283" s="8" t="s">
        <v>3480</v>
      </c>
      <c r="Q283" s="8"/>
      <c r="R283" s="8"/>
    </row>
    <row r="284">
      <c r="A284" s="8" t="s">
        <v>442</v>
      </c>
      <c r="B284" s="8" t="s">
        <v>5084</v>
      </c>
      <c r="C284" s="8" t="s">
        <v>5085</v>
      </c>
      <c r="D284" s="9">
        <v>9.8906118E9</v>
      </c>
      <c r="E284" s="8" t="s">
        <v>5086</v>
      </c>
      <c r="F284" s="8" t="s">
        <v>3589</v>
      </c>
      <c r="G284" s="8" t="s">
        <v>5087</v>
      </c>
      <c r="H284" s="8" t="s">
        <v>3479</v>
      </c>
      <c r="I284" s="9">
        <v>0.0</v>
      </c>
      <c r="J284" s="9">
        <v>1718.0</v>
      </c>
      <c r="K284" s="9">
        <v>1718.0</v>
      </c>
      <c r="L284" s="9">
        <v>1718.0</v>
      </c>
      <c r="M284" s="9">
        <v>455.0</v>
      </c>
      <c r="N284" s="9">
        <v>739.0</v>
      </c>
      <c r="O284" s="9">
        <v>524.0</v>
      </c>
      <c r="P284" s="8" t="s">
        <v>3480</v>
      </c>
      <c r="Q284" s="8"/>
      <c r="R284" s="8"/>
    </row>
    <row r="285">
      <c r="A285" s="8" t="s">
        <v>445</v>
      </c>
      <c r="B285" s="8" t="s">
        <v>5088</v>
      </c>
      <c r="C285" s="8" t="s">
        <v>4421</v>
      </c>
      <c r="D285" s="9">
        <v>9.673758691E9</v>
      </c>
      <c r="E285" s="8" t="s">
        <v>4422</v>
      </c>
      <c r="F285" s="8" t="s">
        <v>3677</v>
      </c>
      <c r="G285" s="8" t="s">
        <v>4036</v>
      </c>
      <c r="H285" s="8" t="s">
        <v>5089</v>
      </c>
      <c r="I285" s="9">
        <v>0.0</v>
      </c>
      <c r="J285" s="9">
        <v>2900.0</v>
      </c>
      <c r="K285" s="9">
        <v>2950.0</v>
      </c>
      <c r="L285" s="9">
        <v>2900.0</v>
      </c>
      <c r="M285" s="9">
        <v>2675.0</v>
      </c>
      <c r="N285" s="9">
        <v>0.0</v>
      </c>
      <c r="O285" s="9">
        <v>275.0</v>
      </c>
      <c r="P285" s="8" t="s">
        <v>3544</v>
      </c>
      <c r="Q285" s="8" t="s">
        <v>4425</v>
      </c>
      <c r="R285" s="8" t="s">
        <v>4426</v>
      </c>
    </row>
    <row r="286">
      <c r="A286" s="8" t="s">
        <v>443</v>
      </c>
      <c r="B286" s="8" t="s">
        <v>5090</v>
      </c>
      <c r="C286" s="8" t="s">
        <v>5091</v>
      </c>
      <c r="D286" s="9">
        <v>9.51184042E9</v>
      </c>
      <c r="E286" s="8" t="s">
        <v>5092</v>
      </c>
      <c r="F286" s="8" t="s">
        <v>4805</v>
      </c>
      <c r="G286" s="8" t="s">
        <v>3494</v>
      </c>
      <c r="H286" s="8" t="s">
        <v>5093</v>
      </c>
      <c r="I286" s="9">
        <v>0.0</v>
      </c>
      <c r="J286" s="9">
        <v>5500.0</v>
      </c>
      <c r="K286" s="9">
        <v>5539.0</v>
      </c>
      <c r="L286" s="9">
        <v>5500.0</v>
      </c>
      <c r="M286" s="9">
        <v>3870.0</v>
      </c>
      <c r="N286" s="9">
        <v>594.0</v>
      </c>
      <c r="O286" s="9">
        <v>1075.0</v>
      </c>
      <c r="P286" s="8" t="s">
        <v>3480</v>
      </c>
      <c r="Q286" s="8"/>
      <c r="R286" s="8"/>
    </row>
    <row r="287">
      <c r="A287" s="8" t="s">
        <v>447</v>
      </c>
      <c r="B287" s="8" t="s">
        <v>5094</v>
      </c>
      <c r="C287" s="8" t="s">
        <v>5095</v>
      </c>
      <c r="D287" s="9">
        <v>7.447845485E9</v>
      </c>
      <c r="E287" s="8" t="s">
        <v>5096</v>
      </c>
      <c r="F287" s="8" t="s">
        <v>3589</v>
      </c>
      <c r="G287" s="8" t="s">
        <v>5097</v>
      </c>
      <c r="H287" s="8" t="s">
        <v>3479</v>
      </c>
      <c r="I287" s="9">
        <v>0.0</v>
      </c>
      <c r="J287" s="9">
        <v>3250.0</v>
      </c>
      <c r="K287" s="9">
        <v>3250.0</v>
      </c>
      <c r="L287" s="9">
        <v>3250.0</v>
      </c>
      <c r="M287" s="9">
        <v>1862.0</v>
      </c>
      <c r="N287" s="9">
        <v>739.0</v>
      </c>
      <c r="O287" s="9">
        <v>649.0</v>
      </c>
      <c r="P287" s="8" t="s">
        <v>3480</v>
      </c>
      <c r="Q287" s="8" t="s">
        <v>5098</v>
      </c>
      <c r="R287" s="8" t="s">
        <v>5099</v>
      </c>
    </row>
    <row r="288">
      <c r="A288" s="8" t="s">
        <v>449</v>
      </c>
      <c r="B288" s="8" t="s">
        <v>5100</v>
      </c>
      <c r="C288" s="8" t="s">
        <v>5101</v>
      </c>
      <c r="D288" s="9">
        <v>8.80649667E9</v>
      </c>
      <c r="E288" s="8" t="s">
        <v>5102</v>
      </c>
      <c r="F288" s="8" t="s">
        <v>3768</v>
      </c>
      <c r="G288" s="8" t="s">
        <v>5103</v>
      </c>
      <c r="H288" s="8" t="s">
        <v>3479</v>
      </c>
      <c r="I288" s="9">
        <v>0.0</v>
      </c>
      <c r="J288" s="9">
        <v>529.0</v>
      </c>
      <c r="K288" s="9">
        <v>529.0</v>
      </c>
      <c r="L288" s="9">
        <v>529.0</v>
      </c>
      <c r="M288" s="9">
        <v>80.0</v>
      </c>
      <c r="N288" s="9">
        <v>0.0</v>
      </c>
      <c r="O288" s="9">
        <v>449.0</v>
      </c>
      <c r="P288" s="8" t="s">
        <v>3480</v>
      </c>
      <c r="Q288" s="8" t="s">
        <v>5104</v>
      </c>
      <c r="R288" s="8" t="s">
        <v>5105</v>
      </c>
    </row>
    <row r="289">
      <c r="A289" s="8" t="s">
        <v>450</v>
      </c>
      <c r="B289" s="8" t="s">
        <v>5106</v>
      </c>
      <c r="C289" s="8" t="s">
        <v>5107</v>
      </c>
      <c r="D289" s="9">
        <v>8.055713311E9</v>
      </c>
      <c r="E289" s="8" t="s">
        <v>5108</v>
      </c>
      <c r="F289" s="8" t="s">
        <v>3608</v>
      </c>
      <c r="G289" s="8" t="s">
        <v>5109</v>
      </c>
      <c r="H289" s="8" t="s">
        <v>3479</v>
      </c>
      <c r="I289" s="9">
        <v>0.0</v>
      </c>
      <c r="J289" s="9">
        <v>2031.0</v>
      </c>
      <c r="K289" s="9">
        <v>2031.0</v>
      </c>
      <c r="L289" s="9">
        <v>2031.0</v>
      </c>
      <c r="M289" s="9">
        <v>468.0</v>
      </c>
      <c r="N289" s="9">
        <v>739.0</v>
      </c>
      <c r="O289" s="9">
        <v>824.0</v>
      </c>
      <c r="P289" s="8" t="s">
        <v>3480</v>
      </c>
      <c r="Q289" s="8" t="s">
        <v>5110</v>
      </c>
      <c r="R289" s="8" t="s">
        <v>5111</v>
      </c>
    </row>
    <row r="290">
      <c r="A290" s="8" t="s">
        <v>448</v>
      </c>
      <c r="B290" s="8" t="s">
        <v>5112</v>
      </c>
      <c r="C290" s="8" t="s">
        <v>5113</v>
      </c>
      <c r="D290" s="9">
        <v>8.983171782E9</v>
      </c>
      <c r="E290" s="8" t="s">
        <v>5114</v>
      </c>
      <c r="F290" s="8" t="s">
        <v>3697</v>
      </c>
      <c r="G290" s="8" t="s">
        <v>3494</v>
      </c>
      <c r="H290" s="8" t="s">
        <v>3479</v>
      </c>
      <c r="I290" s="9">
        <v>0.0</v>
      </c>
      <c r="J290" s="9">
        <v>933.0</v>
      </c>
      <c r="K290" s="9">
        <v>933.0</v>
      </c>
      <c r="L290" s="9">
        <v>933.0</v>
      </c>
      <c r="M290" s="9">
        <v>683.0</v>
      </c>
      <c r="N290" s="9">
        <v>0.0</v>
      </c>
      <c r="O290" s="9">
        <v>250.0</v>
      </c>
      <c r="P290" s="8" t="s">
        <v>3480</v>
      </c>
      <c r="Q290" s="8"/>
      <c r="R290" s="8"/>
    </row>
    <row r="291">
      <c r="A291" s="8" t="s">
        <v>446</v>
      </c>
      <c r="B291" s="8" t="s">
        <v>5115</v>
      </c>
      <c r="C291" s="8" t="s">
        <v>5116</v>
      </c>
      <c r="D291" s="9">
        <v>9.766611011E9</v>
      </c>
      <c r="E291" s="8" t="s">
        <v>5117</v>
      </c>
      <c r="F291" s="8" t="s">
        <v>3601</v>
      </c>
      <c r="G291" s="8" t="s">
        <v>5118</v>
      </c>
      <c r="H291" s="8" t="s">
        <v>3479</v>
      </c>
      <c r="I291" s="9">
        <v>0.0</v>
      </c>
      <c r="J291" s="9">
        <v>1150.0</v>
      </c>
      <c r="K291" s="9">
        <v>1150.0</v>
      </c>
      <c r="L291" s="9">
        <v>1150.0</v>
      </c>
      <c r="M291" s="9">
        <v>1150.0</v>
      </c>
      <c r="N291" s="9">
        <v>0.0</v>
      </c>
      <c r="O291" s="9">
        <v>0.0</v>
      </c>
      <c r="P291" s="8" t="s">
        <v>3544</v>
      </c>
      <c r="Q291" s="8" t="s">
        <v>5119</v>
      </c>
      <c r="R291" s="8"/>
    </row>
    <row r="292">
      <c r="A292" s="8" t="s">
        <v>453</v>
      </c>
      <c r="B292" s="8" t="s">
        <v>5120</v>
      </c>
      <c r="C292" s="8" t="s">
        <v>5121</v>
      </c>
      <c r="D292" s="9">
        <v>7.020785899E9</v>
      </c>
      <c r="E292" s="8" t="s">
        <v>5122</v>
      </c>
      <c r="F292" s="8" t="s">
        <v>3908</v>
      </c>
      <c r="G292" s="8" t="s">
        <v>5123</v>
      </c>
      <c r="H292" s="8" t="s">
        <v>3479</v>
      </c>
      <c r="I292" s="9">
        <v>0.0</v>
      </c>
      <c r="J292" s="9">
        <v>1004.0</v>
      </c>
      <c r="K292" s="9">
        <v>1004.0</v>
      </c>
      <c r="L292" s="9">
        <v>1004.0</v>
      </c>
      <c r="M292" s="9">
        <v>414.0</v>
      </c>
      <c r="N292" s="9">
        <v>65.0</v>
      </c>
      <c r="O292" s="9">
        <v>525.0</v>
      </c>
      <c r="P292" s="8" t="s">
        <v>3480</v>
      </c>
      <c r="Q292" s="8" t="s">
        <v>5124</v>
      </c>
      <c r="R292" s="8" t="s">
        <v>5125</v>
      </c>
    </row>
    <row r="293">
      <c r="A293" s="8" t="s">
        <v>451</v>
      </c>
      <c r="B293" s="8" t="s">
        <v>5126</v>
      </c>
      <c r="C293" s="8" t="s">
        <v>5127</v>
      </c>
      <c r="D293" s="9">
        <v>9.890907618E9</v>
      </c>
      <c r="E293" s="8" t="s">
        <v>5128</v>
      </c>
      <c r="F293" s="8" t="s">
        <v>3908</v>
      </c>
      <c r="G293" s="8" t="s">
        <v>5129</v>
      </c>
      <c r="H293" s="8" t="s">
        <v>3479</v>
      </c>
      <c r="I293" s="9">
        <v>0.0</v>
      </c>
      <c r="J293" s="9">
        <v>1813.0</v>
      </c>
      <c r="K293" s="9">
        <v>1813.0</v>
      </c>
      <c r="L293" s="9">
        <v>1813.0</v>
      </c>
      <c r="M293" s="9">
        <v>430.0</v>
      </c>
      <c r="N293" s="9">
        <v>784.0</v>
      </c>
      <c r="O293" s="9">
        <v>599.0</v>
      </c>
      <c r="P293" s="8" t="s">
        <v>3480</v>
      </c>
      <c r="Q293" s="8"/>
      <c r="R293" s="8"/>
    </row>
    <row r="294">
      <c r="A294" s="8" t="s">
        <v>452</v>
      </c>
      <c r="B294" s="8" t="s">
        <v>5130</v>
      </c>
      <c r="C294" s="8" t="s">
        <v>5131</v>
      </c>
      <c r="D294" s="9">
        <v>9.979133935E9</v>
      </c>
      <c r="E294" s="8" t="s">
        <v>5132</v>
      </c>
      <c r="F294" s="8" t="s">
        <v>3589</v>
      </c>
      <c r="G294" s="8" t="s">
        <v>5133</v>
      </c>
      <c r="H294" s="8" t="s">
        <v>3479</v>
      </c>
      <c r="I294" s="9">
        <v>0.0</v>
      </c>
      <c r="J294" s="9">
        <v>1843.0</v>
      </c>
      <c r="K294" s="9">
        <v>1843.0</v>
      </c>
      <c r="L294" s="9">
        <v>1843.0</v>
      </c>
      <c r="M294" s="9">
        <v>460.0</v>
      </c>
      <c r="N294" s="9">
        <v>739.0</v>
      </c>
      <c r="O294" s="9">
        <v>644.0</v>
      </c>
      <c r="P294" s="8" t="s">
        <v>3480</v>
      </c>
      <c r="Q294" s="8"/>
      <c r="R294" s="8"/>
    </row>
    <row r="295">
      <c r="A295" s="8" t="s">
        <v>148</v>
      </c>
      <c r="B295" s="8" t="s">
        <v>5134</v>
      </c>
      <c r="C295" s="8" t="s">
        <v>5135</v>
      </c>
      <c r="D295" s="9">
        <v>9.423577044E9</v>
      </c>
      <c r="E295" s="8" t="s">
        <v>5136</v>
      </c>
      <c r="F295" s="8" t="s">
        <v>3608</v>
      </c>
      <c r="G295" s="8" t="s">
        <v>5137</v>
      </c>
      <c r="H295" s="8" t="s">
        <v>3479</v>
      </c>
      <c r="I295" s="9">
        <v>0.0</v>
      </c>
      <c r="J295" s="9">
        <v>1411.0</v>
      </c>
      <c r="K295" s="9">
        <v>1411.0</v>
      </c>
      <c r="L295" s="9">
        <v>1411.0</v>
      </c>
      <c r="M295" s="9">
        <v>232.0</v>
      </c>
      <c r="N295" s="9">
        <v>730.0</v>
      </c>
      <c r="O295" s="9">
        <v>449.0</v>
      </c>
      <c r="P295" s="8" t="s">
        <v>3544</v>
      </c>
      <c r="Q295" s="8" t="s">
        <v>5138</v>
      </c>
      <c r="R295" s="8" t="s">
        <v>5139</v>
      </c>
    </row>
    <row r="296">
      <c r="A296" s="8" t="s">
        <v>388</v>
      </c>
      <c r="B296" s="8" t="s">
        <v>5140</v>
      </c>
      <c r="C296" s="8" t="s">
        <v>5141</v>
      </c>
      <c r="D296" s="9">
        <v>8.806018513E9</v>
      </c>
      <c r="E296" s="8" t="s">
        <v>5142</v>
      </c>
      <c r="F296" s="8" t="s">
        <v>3608</v>
      </c>
      <c r="G296" s="8" t="s">
        <v>5143</v>
      </c>
      <c r="H296" s="8" t="s">
        <v>3479</v>
      </c>
      <c r="I296" s="9">
        <v>0.0</v>
      </c>
      <c r="J296" s="9">
        <v>2104.0</v>
      </c>
      <c r="K296" s="9">
        <v>2104.0</v>
      </c>
      <c r="L296" s="9">
        <v>2104.0</v>
      </c>
      <c r="M296" s="9">
        <v>370.0</v>
      </c>
      <c r="N296" s="9">
        <v>910.0</v>
      </c>
      <c r="O296" s="9">
        <v>824.0</v>
      </c>
      <c r="P296" s="8" t="s">
        <v>3480</v>
      </c>
      <c r="Q296" s="8" t="s">
        <v>5144</v>
      </c>
      <c r="R296" s="8" t="s">
        <v>5145</v>
      </c>
    </row>
    <row r="297">
      <c r="A297" s="8" t="s">
        <v>455</v>
      </c>
      <c r="B297" s="8" t="s">
        <v>5146</v>
      </c>
      <c r="C297" s="8" t="s">
        <v>5147</v>
      </c>
      <c r="D297" s="9">
        <v>9.373172927E9</v>
      </c>
      <c r="E297" s="8" t="s">
        <v>5148</v>
      </c>
      <c r="F297" s="8" t="s">
        <v>4112</v>
      </c>
      <c r="G297" s="8" t="s">
        <v>5149</v>
      </c>
      <c r="H297" s="8" t="s">
        <v>5150</v>
      </c>
      <c r="I297" s="9">
        <v>0.0</v>
      </c>
      <c r="J297" s="9">
        <v>2400.0</v>
      </c>
      <c r="K297" s="9">
        <v>2689.0</v>
      </c>
      <c r="L297" s="9">
        <v>2400.0</v>
      </c>
      <c r="M297" s="9">
        <v>1375.0</v>
      </c>
      <c r="N297" s="9">
        <v>190.0</v>
      </c>
      <c r="O297" s="9">
        <v>1124.0</v>
      </c>
      <c r="P297" s="8" t="s">
        <v>3480</v>
      </c>
      <c r="Q297" s="8" t="s">
        <v>5151</v>
      </c>
      <c r="R297" s="8" t="s">
        <v>5152</v>
      </c>
    </row>
    <row r="298">
      <c r="A298" s="8" t="s">
        <v>454</v>
      </c>
      <c r="B298" s="8" t="s">
        <v>5153</v>
      </c>
      <c r="C298" s="8" t="s">
        <v>5154</v>
      </c>
      <c r="D298" s="9">
        <v>9.112000148E9</v>
      </c>
      <c r="E298" s="8" t="s">
        <v>5155</v>
      </c>
      <c r="F298" s="8" t="s">
        <v>3601</v>
      </c>
      <c r="G298" s="8" t="s">
        <v>5156</v>
      </c>
      <c r="H298" s="8" t="s">
        <v>3479</v>
      </c>
      <c r="I298" s="9">
        <v>0.0</v>
      </c>
      <c r="J298" s="9">
        <v>1923.0</v>
      </c>
      <c r="K298" s="9">
        <v>1923.0</v>
      </c>
      <c r="L298" s="9">
        <v>1923.0</v>
      </c>
      <c r="M298" s="9">
        <v>735.0</v>
      </c>
      <c r="N298" s="9">
        <v>739.0</v>
      </c>
      <c r="O298" s="9">
        <v>449.0</v>
      </c>
      <c r="P298" s="8" t="s">
        <v>3544</v>
      </c>
      <c r="Q298" s="8" t="s">
        <v>5157</v>
      </c>
      <c r="R298" s="8" t="s">
        <v>5158</v>
      </c>
    </row>
    <row r="299">
      <c r="A299" s="8" t="s">
        <v>403</v>
      </c>
      <c r="B299" s="8" t="s">
        <v>5159</v>
      </c>
      <c r="C299" s="8" t="s">
        <v>5160</v>
      </c>
      <c r="D299" s="9">
        <v>7.447205019E9</v>
      </c>
      <c r="E299" s="8" t="s">
        <v>5161</v>
      </c>
      <c r="F299" s="8" t="s">
        <v>5162</v>
      </c>
      <c r="G299" s="8" t="s">
        <v>5163</v>
      </c>
      <c r="H299" s="8" t="s">
        <v>3479</v>
      </c>
      <c r="I299" s="9">
        <v>0.0</v>
      </c>
      <c r="J299" s="9">
        <v>1227.0</v>
      </c>
      <c r="K299" s="9">
        <v>1227.0</v>
      </c>
      <c r="L299" s="9">
        <v>1227.0</v>
      </c>
      <c r="M299" s="9">
        <v>184.0</v>
      </c>
      <c r="N299" s="9">
        <v>594.0</v>
      </c>
      <c r="O299" s="9">
        <v>449.0</v>
      </c>
      <c r="P299" s="8" t="s">
        <v>3480</v>
      </c>
      <c r="Q299" s="8"/>
      <c r="R299" s="8"/>
    </row>
    <row r="300">
      <c r="A300" s="8" t="s">
        <v>458</v>
      </c>
      <c r="B300" s="8" t="s">
        <v>5164</v>
      </c>
      <c r="C300" s="8" t="s">
        <v>5165</v>
      </c>
      <c r="D300" s="9">
        <v>8.668442535E9</v>
      </c>
      <c r="E300" s="8" t="s">
        <v>5166</v>
      </c>
      <c r="F300" s="8" t="s">
        <v>5167</v>
      </c>
      <c r="G300" s="8" t="s">
        <v>4036</v>
      </c>
      <c r="H300" s="8" t="s">
        <v>3479</v>
      </c>
      <c r="I300" s="9">
        <v>0.0</v>
      </c>
      <c r="J300" s="9">
        <v>1840.0</v>
      </c>
      <c r="K300" s="9">
        <v>1840.0</v>
      </c>
      <c r="L300" s="9">
        <v>1840.0</v>
      </c>
      <c r="M300" s="9">
        <v>1590.0</v>
      </c>
      <c r="N300" s="9">
        <v>0.0</v>
      </c>
      <c r="O300" s="9">
        <v>250.0</v>
      </c>
      <c r="P300" s="8" t="s">
        <v>3480</v>
      </c>
      <c r="Q300" s="8"/>
      <c r="R300" s="8"/>
    </row>
    <row r="301">
      <c r="A301" s="8" t="s">
        <v>457</v>
      </c>
      <c r="B301" s="8" t="s">
        <v>5168</v>
      </c>
      <c r="C301" s="8" t="s">
        <v>5169</v>
      </c>
      <c r="D301" s="9">
        <v>9.767136223E9</v>
      </c>
      <c r="E301" s="8" t="s">
        <v>5170</v>
      </c>
      <c r="F301" s="8" t="s">
        <v>3954</v>
      </c>
      <c r="G301" s="8" t="s">
        <v>5171</v>
      </c>
      <c r="H301" s="8" t="s">
        <v>3511</v>
      </c>
      <c r="I301" s="9">
        <v>0.0</v>
      </c>
      <c r="J301" s="9">
        <v>1300.0</v>
      </c>
      <c r="K301" s="9">
        <v>1364.0</v>
      </c>
      <c r="L301" s="9">
        <v>1300.0</v>
      </c>
      <c r="M301" s="9">
        <v>425.0</v>
      </c>
      <c r="N301" s="9">
        <v>190.0</v>
      </c>
      <c r="O301" s="9">
        <v>749.0</v>
      </c>
      <c r="P301" s="8" t="s">
        <v>3480</v>
      </c>
      <c r="Q301" s="8"/>
      <c r="R301" s="8"/>
    </row>
    <row r="302">
      <c r="A302" s="8" t="s">
        <v>479</v>
      </c>
      <c r="B302" s="8" t="s">
        <v>5172</v>
      </c>
      <c r="C302" s="8" t="s">
        <v>5173</v>
      </c>
      <c r="D302" s="9">
        <v>7.743896453E9</v>
      </c>
      <c r="E302" s="8" t="s">
        <v>5174</v>
      </c>
      <c r="F302" s="8" t="s">
        <v>3589</v>
      </c>
      <c r="G302" s="8" t="s">
        <v>5175</v>
      </c>
      <c r="H302" s="8" t="s">
        <v>3479</v>
      </c>
      <c r="I302" s="9">
        <v>0.0</v>
      </c>
      <c r="J302" s="9">
        <v>2472.0</v>
      </c>
      <c r="K302" s="9">
        <v>2472.0</v>
      </c>
      <c r="L302" s="9">
        <v>2472.0</v>
      </c>
      <c r="M302" s="9">
        <v>1218.0</v>
      </c>
      <c r="N302" s="9">
        <v>730.0</v>
      </c>
      <c r="O302" s="9">
        <v>524.0</v>
      </c>
      <c r="P302" s="8" t="s">
        <v>3480</v>
      </c>
      <c r="Q302" s="8"/>
      <c r="R302" s="8"/>
    </row>
    <row r="303">
      <c r="A303" s="8" t="s">
        <v>480</v>
      </c>
      <c r="B303" s="8" t="s">
        <v>5176</v>
      </c>
      <c r="C303" s="8" t="s">
        <v>5177</v>
      </c>
      <c r="D303" s="9">
        <v>8.379044749E9</v>
      </c>
      <c r="E303" s="8" t="s">
        <v>5178</v>
      </c>
      <c r="F303" s="8" t="s">
        <v>5179</v>
      </c>
      <c r="G303" s="8" t="s">
        <v>5180</v>
      </c>
      <c r="H303" s="8" t="s">
        <v>3479</v>
      </c>
      <c r="I303" s="9">
        <v>0.0</v>
      </c>
      <c r="J303" s="9">
        <v>1259.0</v>
      </c>
      <c r="K303" s="9">
        <v>1259.0</v>
      </c>
      <c r="L303" s="9">
        <v>1259.0</v>
      </c>
      <c r="M303" s="9">
        <v>80.0</v>
      </c>
      <c r="N303" s="9">
        <v>730.0</v>
      </c>
      <c r="O303" s="9">
        <v>449.0</v>
      </c>
      <c r="P303" s="8" t="s">
        <v>3480</v>
      </c>
      <c r="Q303" s="8"/>
      <c r="R303" s="8"/>
    </row>
    <row r="304">
      <c r="A304" s="8" t="s">
        <v>404</v>
      </c>
      <c r="B304" s="8" t="s">
        <v>5181</v>
      </c>
      <c r="C304" s="8" t="s">
        <v>5182</v>
      </c>
      <c r="D304" s="9">
        <v>9.948994538E9</v>
      </c>
      <c r="E304" s="8" t="s">
        <v>5183</v>
      </c>
      <c r="F304" s="8" t="s">
        <v>5184</v>
      </c>
      <c r="G304" s="8" t="s">
        <v>5185</v>
      </c>
      <c r="H304" s="8" t="s">
        <v>5186</v>
      </c>
      <c r="I304" s="9">
        <v>0.0</v>
      </c>
      <c r="J304" s="9">
        <v>3600.0</v>
      </c>
      <c r="K304" s="9">
        <v>3649.0</v>
      </c>
      <c r="L304" s="9">
        <v>3600.0</v>
      </c>
      <c r="M304" s="9">
        <v>2435.0</v>
      </c>
      <c r="N304" s="9">
        <v>190.0</v>
      </c>
      <c r="O304" s="9">
        <v>1024.0</v>
      </c>
      <c r="P304" s="8" t="s">
        <v>3480</v>
      </c>
      <c r="Q304" s="8"/>
      <c r="R304" s="8"/>
    </row>
    <row r="305">
      <c r="A305" s="8" t="s">
        <v>473</v>
      </c>
      <c r="B305" s="8" t="s">
        <v>5187</v>
      </c>
      <c r="C305" s="8" t="s">
        <v>5188</v>
      </c>
      <c r="D305" s="9">
        <v>8.390784579E9</v>
      </c>
      <c r="E305" s="8" t="s">
        <v>5189</v>
      </c>
      <c r="F305" s="8" t="s">
        <v>3523</v>
      </c>
      <c r="G305" s="8" t="s">
        <v>5190</v>
      </c>
      <c r="H305" s="8" t="s">
        <v>3479</v>
      </c>
      <c r="I305" s="9">
        <v>0.0</v>
      </c>
      <c r="J305" s="9">
        <v>1450.0</v>
      </c>
      <c r="K305" s="9">
        <v>1450.0</v>
      </c>
      <c r="L305" s="9">
        <v>1450.0</v>
      </c>
      <c r="M305" s="9">
        <v>1450.0</v>
      </c>
      <c r="N305" s="9">
        <v>0.0</v>
      </c>
      <c r="O305" s="9">
        <v>0.0</v>
      </c>
      <c r="P305" s="8" t="s">
        <v>3480</v>
      </c>
      <c r="Q305" s="8"/>
      <c r="R305" s="8"/>
    </row>
    <row r="306">
      <c r="A306" s="8" t="s">
        <v>406</v>
      </c>
      <c r="B306" s="8" t="s">
        <v>5191</v>
      </c>
      <c r="C306" s="8" t="s">
        <v>5192</v>
      </c>
      <c r="D306" s="9">
        <v>9.673330061E9</v>
      </c>
      <c r="E306" s="8" t="s">
        <v>5193</v>
      </c>
      <c r="F306" s="8" t="s">
        <v>5194</v>
      </c>
      <c r="G306" s="8" t="s">
        <v>5195</v>
      </c>
      <c r="H306" s="8" t="s">
        <v>3479</v>
      </c>
      <c r="I306" s="9">
        <v>0.0</v>
      </c>
      <c r="J306" s="9">
        <v>5548.0</v>
      </c>
      <c r="K306" s="9">
        <v>5548.0</v>
      </c>
      <c r="L306" s="9">
        <v>5548.0</v>
      </c>
      <c r="M306" s="9">
        <v>4369.0</v>
      </c>
      <c r="N306" s="9">
        <v>730.0</v>
      </c>
      <c r="O306" s="9">
        <v>449.0</v>
      </c>
      <c r="P306" s="8" t="s">
        <v>3480</v>
      </c>
      <c r="Q306" s="8" t="s">
        <v>5196</v>
      </c>
      <c r="R306" s="8"/>
    </row>
    <row r="307">
      <c r="A307" s="8" t="s">
        <v>474</v>
      </c>
      <c r="B307" s="8" t="s">
        <v>5197</v>
      </c>
      <c r="C307" s="8" t="s">
        <v>5198</v>
      </c>
      <c r="D307" s="9">
        <v>9.049435389E9</v>
      </c>
      <c r="E307" s="8" t="s">
        <v>5199</v>
      </c>
      <c r="F307" s="8" t="s">
        <v>3523</v>
      </c>
      <c r="G307" s="8" t="s">
        <v>5200</v>
      </c>
      <c r="H307" s="8" t="s">
        <v>3479</v>
      </c>
      <c r="I307" s="9">
        <v>0.0</v>
      </c>
      <c r="J307" s="9">
        <v>4573.0</v>
      </c>
      <c r="K307" s="9">
        <v>4573.0</v>
      </c>
      <c r="L307" s="9">
        <v>4573.0</v>
      </c>
      <c r="M307" s="9">
        <v>3252.0</v>
      </c>
      <c r="N307" s="9">
        <v>462.0</v>
      </c>
      <c r="O307" s="9">
        <v>859.0</v>
      </c>
      <c r="P307" s="8" t="s">
        <v>3480</v>
      </c>
      <c r="Q307" s="8" t="s">
        <v>4381</v>
      </c>
      <c r="R307" s="8" t="s">
        <v>5201</v>
      </c>
    </row>
    <row r="308">
      <c r="A308" s="8" t="s">
        <v>475</v>
      </c>
      <c r="B308" s="8" t="s">
        <v>5202</v>
      </c>
      <c r="C308" s="8" t="s">
        <v>5203</v>
      </c>
      <c r="D308" s="9">
        <v>9.850813844E9</v>
      </c>
      <c r="E308" s="8" t="s">
        <v>5204</v>
      </c>
      <c r="F308" s="8" t="s">
        <v>3908</v>
      </c>
      <c r="G308" s="8" t="s">
        <v>3494</v>
      </c>
      <c r="H308" s="8" t="s">
        <v>3479</v>
      </c>
      <c r="I308" s="9">
        <v>0.0</v>
      </c>
      <c r="J308" s="9">
        <v>3027.0</v>
      </c>
      <c r="K308" s="9">
        <v>3027.0</v>
      </c>
      <c r="L308" s="9">
        <v>3027.0</v>
      </c>
      <c r="M308" s="9">
        <v>2227.0</v>
      </c>
      <c r="N308" s="9">
        <v>0.0</v>
      </c>
      <c r="O308" s="9">
        <v>800.0</v>
      </c>
      <c r="P308" s="8" t="s">
        <v>3480</v>
      </c>
      <c r="Q308" s="8" t="s">
        <v>5205</v>
      </c>
      <c r="R308" s="8" t="s">
        <v>5206</v>
      </c>
    </row>
    <row r="309">
      <c r="A309" s="8" t="s">
        <v>481</v>
      </c>
      <c r="B309" s="8" t="s">
        <v>5207</v>
      </c>
      <c r="C309" s="8" t="s">
        <v>5208</v>
      </c>
      <c r="D309" s="9">
        <v>8.867799921E9</v>
      </c>
      <c r="E309" s="8" t="s">
        <v>5209</v>
      </c>
      <c r="F309" s="8" t="s">
        <v>3853</v>
      </c>
      <c r="G309" s="8" t="s">
        <v>5210</v>
      </c>
      <c r="H309" s="8" t="s">
        <v>3479</v>
      </c>
      <c r="I309" s="9">
        <v>0.0</v>
      </c>
      <c r="J309" s="9">
        <v>3493.0</v>
      </c>
      <c r="K309" s="9">
        <v>3493.0</v>
      </c>
      <c r="L309" s="9">
        <v>3493.0</v>
      </c>
      <c r="M309" s="9">
        <v>3038.0</v>
      </c>
      <c r="N309" s="9">
        <v>80.0</v>
      </c>
      <c r="O309" s="9">
        <v>375.0</v>
      </c>
      <c r="P309" s="8" t="s">
        <v>3544</v>
      </c>
      <c r="Q309" s="8" t="s">
        <v>5211</v>
      </c>
      <c r="R309" s="8" t="s">
        <v>5212</v>
      </c>
    </row>
    <row r="310">
      <c r="A310" s="8" t="s">
        <v>407</v>
      </c>
      <c r="B310" s="8" t="s">
        <v>5213</v>
      </c>
      <c r="C310" s="8" t="s">
        <v>5214</v>
      </c>
      <c r="D310" s="9">
        <v>8.805987378E9</v>
      </c>
      <c r="E310" s="8" t="s">
        <v>5215</v>
      </c>
      <c r="F310" s="8" t="s">
        <v>3628</v>
      </c>
      <c r="G310" s="8" t="s">
        <v>5216</v>
      </c>
      <c r="H310" s="8" t="s">
        <v>3479</v>
      </c>
      <c r="I310" s="9">
        <v>0.0</v>
      </c>
      <c r="J310" s="9">
        <v>1756.0</v>
      </c>
      <c r="K310" s="9">
        <v>1756.0</v>
      </c>
      <c r="L310" s="9">
        <v>1756.0</v>
      </c>
      <c r="M310" s="9">
        <v>159.0</v>
      </c>
      <c r="N310" s="9">
        <v>898.0</v>
      </c>
      <c r="O310" s="9">
        <v>699.0</v>
      </c>
      <c r="P310" s="8" t="s">
        <v>3480</v>
      </c>
      <c r="Q310" s="8"/>
      <c r="R310" s="8" t="s">
        <v>5217</v>
      </c>
    </row>
    <row r="311">
      <c r="A311" s="8" t="s">
        <v>405</v>
      </c>
      <c r="B311" s="8" t="s">
        <v>5218</v>
      </c>
      <c r="C311" s="8" t="s">
        <v>5219</v>
      </c>
      <c r="D311" s="9">
        <v>8.208649476E9</v>
      </c>
      <c r="E311" s="8" t="s">
        <v>5220</v>
      </c>
      <c r="F311" s="8" t="s">
        <v>3721</v>
      </c>
      <c r="G311" s="8" t="s">
        <v>5221</v>
      </c>
      <c r="H311" s="8" t="s">
        <v>3479</v>
      </c>
      <c r="I311" s="9">
        <v>0.0</v>
      </c>
      <c r="J311" s="9">
        <v>2144.0</v>
      </c>
      <c r="K311" s="9">
        <v>2144.0</v>
      </c>
      <c r="L311" s="9">
        <v>2144.0</v>
      </c>
      <c r="M311" s="9">
        <v>740.0</v>
      </c>
      <c r="N311" s="9">
        <v>730.0</v>
      </c>
      <c r="O311" s="9">
        <v>674.0</v>
      </c>
      <c r="P311" s="8" t="s">
        <v>3480</v>
      </c>
      <c r="Q311" s="8"/>
      <c r="R311" s="8"/>
    </row>
    <row r="312">
      <c r="A312" s="8" t="s">
        <v>477</v>
      </c>
      <c r="B312" s="8" t="s">
        <v>5222</v>
      </c>
      <c r="C312" s="8" t="s">
        <v>5223</v>
      </c>
      <c r="D312" s="9">
        <v>9.028129763E9</v>
      </c>
      <c r="E312" s="8" t="s">
        <v>5224</v>
      </c>
      <c r="F312" s="8" t="s">
        <v>3721</v>
      </c>
      <c r="G312" s="8" t="s">
        <v>5225</v>
      </c>
      <c r="H312" s="8" t="s">
        <v>3479</v>
      </c>
      <c r="I312" s="9">
        <v>0.0</v>
      </c>
      <c r="J312" s="9">
        <v>1449.0</v>
      </c>
      <c r="K312" s="9">
        <v>1449.0</v>
      </c>
      <c r="L312" s="9">
        <v>1449.0</v>
      </c>
      <c r="M312" s="9">
        <v>160.0</v>
      </c>
      <c r="N312" s="9">
        <v>730.0</v>
      </c>
      <c r="O312" s="9">
        <v>559.0</v>
      </c>
      <c r="P312" s="8" t="s">
        <v>3480</v>
      </c>
      <c r="Q312" s="8" t="s">
        <v>5226</v>
      </c>
      <c r="R312" s="8" t="s">
        <v>5227</v>
      </c>
    </row>
    <row r="313">
      <c r="A313" s="8" t="s">
        <v>478</v>
      </c>
      <c r="B313" s="8" t="s">
        <v>5228</v>
      </c>
      <c r="C313" s="8" t="s">
        <v>5214</v>
      </c>
      <c r="D313" s="9">
        <v>8.087457453E9</v>
      </c>
      <c r="E313" s="8" t="s">
        <v>5229</v>
      </c>
      <c r="F313" s="8" t="s">
        <v>4189</v>
      </c>
      <c r="G313" s="8" t="s">
        <v>5230</v>
      </c>
      <c r="H313" s="8" t="s">
        <v>3479</v>
      </c>
      <c r="I313" s="9">
        <v>0.0</v>
      </c>
      <c r="J313" s="9">
        <v>1235.0</v>
      </c>
      <c r="K313" s="9">
        <v>1235.0</v>
      </c>
      <c r="L313" s="9">
        <v>1235.0</v>
      </c>
      <c r="M313" s="9">
        <v>860.0</v>
      </c>
      <c r="N313" s="9">
        <v>0.0</v>
      </c>
      <c r="O313" s="9">
        <v>375.0</v>
      </c>
      <c r="P313" s="8" t="s">
        <v>3544</v>
      </c>
      <c r="Q313" s="8"/>
      <c r="R313" s="8"/>
    </row>
    <row r="314">
      <c r="A314" s="8" t="s">
        <v>502</v>
      </c>
      <c r="B314" s="8" t="s">
        <v>5231</v>
      </c>
      <c r="C314" s="8" t="s">
        <v>5232</v>
      </c>
      <c r="D314" s="9">
        <v>9.32534131E9</v>
      </c>
      <c r="E314" s="8" t="s">
        <v>5233</v>
      </c>
      <c r="F314" s="8" t="s">
        <v>4715</v>
      </c>
      <c r="G314" s="8" t="s">
        <v>5234</v>
      </c>
      <c r="H314" s="8" t="s">
        <v>3479</v>
      </c>
      <c r="I314" s="9">
        <v>0.0</v>
      </c>
      <c r="J314" s="9">
        <v>1083.0</v>
      </c>
      <c r="K314" s="9">
        <v>1083.0</v>
      </c>
      <c r="L314" s="9">
        <v>1083.0</v>
      </c>
      <c r="M314" s="9">
        <v>144.0</v>
      </c>
      <c r="N314" s="9">
        <v>190.0</v>
      </c>
      <c r="O314" s="9">
        <v>749.0</v>
      </c>
      <c r="P314" s="8" t="s">
        <v>3480</v>
      </c>
      <c r="Q314" s="8" t="s">
        <v>5235</v>
      </c>
      <c r="R314" s="8" t="s">
        <v>5236</v>
      </c>
    </row>
    <row r="315">
      <c r="A315" s="8" t="s">
        <v>482</v>
      </c>
      <c r="B315" s="8" t="s">
        <v>5237</v>
      </c>
      <c r="C315" s="8" t="s">
        <v>5238</v>
      </c>
      <c r="D315" s="9">
        <v>7.58832409E9</v>
      </c>
      <c r="E315" s="8" t="s">
        <v>5239</v>
      </c>
      <c r="F315" s="8" t="s">
        <v>5240</v>
      </c>
      <c r="G315" s="8" t="s">
        <v>5241</v>
      </c>
      <c r="H315" s="8" t="s">
        <v>3479</v>
      </c>
      <c r="I315" s="9">
        <v>0.0</v>
      </c>
      <c r="J315" s="9">
        <v>779.0</v>
      </c>
      <c r="K315" s="9">
        <v>779.0</v>
      </c>
      <c r="L315" s="9">
        <v>779.0</v>
      </c>
      <c r="M315" s="9">
        <v>80.0</v>
      </c>
      <c r="N315" s="9">
        <v>0.0</v>
      </c>
      <c r="O315" s="9">
        <v>699.0</v>
      </c>
      <c r="P315" s="8" t="s">
        <v>3480</v>
      </c>
      <c r="Q315" s="8"/>
      <c r="R315" s="8"/>
    </row>
    <row r="316">
      <c r="A316" s="8" t="s">
        <v>476</v>
      </c>
      <c r="B316" s="8" t="s">
        <v>5242</v>
      </c>
      <c r="C316" s="8" t="s">
        <v>5243</v>
      </c>
      <c r="D316" s="9">
        <v>9.850808004E9</v>
      </c>
      <c r="E316" s="8" t="s">
        <v>5244</v>
      </c>
      <c r="F316" s="8" t="s">
        <v>3863</v>
      </c>
      <c r="G316" s="8" t="s">
        <v>5245</v>
      </c>
      <c r="H316" s="8" t="s">
        <v>3479</v>
      </c>
      <c r="I316" s="9">
        <v>0.0</v>
      </c>
      <c r="J316" s="9">
        <v>2007.0</v>
      </c>
      <c r="K316" s="9">
        <v>2007.0</v>
      </c>
      <c r="L316" s="9">
        <v>2007.0</v>
      </c>
      <c r="M316" s="9">
        <v>753.0</v>
      </c>
      <c r="N316" s="9">
        <v>730.0</v>
      </c>
      <c r="O316" s="9">
        <v>524.0</v>
      </c>
      <c r="P316" s="8" t="s">
        <v>3480</v>
      </c>
      <c r="Q316" s="8"/>
      <c r="R316" s="8"/>
    </row>
    <row r="317">
      <c r="A317" s="8" t="s">
        <v>483</v>
      </c>
      <c r="B317" s="8" t="s">
        <v>5246</v>
      </c>
      <c r="C317" s="8" t="s">
        <v>5247</v>
      </c>
      <c r="D317" s="9">
        <v>9.820900459E9</v>
      </c>
      <c r="E317" s="8" t="s">
        <v>5248</v>
      </c>
      <c r="F317" s="8" t="s">
        <v>3977</v>
      </c>
      <c r="G317" s="8" t="s">
        <v>5249</v>
      </c>
      <c r="H317" s="8" t="s">
        <v>3479</v>
      </c>
      <c r="I317" s="9">
        <v>0.0</v>
      </c>
      <c r="J317" s="9">
        <v>2007.0</v>
      </c>
      <c r="K317" s="9">
        <v>2007.0</v>
      </c>
      <c r="L317" s="9">
        <v>2007.0</v>
      </c>
      <c r="M317" s="9">
        <v>269.0</v>
      </c>
      <c r="N317" s="9">
        <v>739.0</v>
      </c>
      <c r="O317" s="9">
        <v>999.0</v>
      </c>
      <c r="P317" s="8" t="s">
        <v>3480</v>
      </c>
      <c r="Q317" s="8"/>
      <c r="R317" s="8"/>
    </row>
    <row r="318">
      <c r="A318" s="8" t="s">
        <v>530</v>
      </c>
      <c r="B318" s="8" t="s">
        <v>5250</v>
      </c>
      <c r="C318" s="8" t="s">
        <v>5251</v>
      </c>
      <c r="D318" s="9">
        <v>9.665885118E9</v>
      </c>
      <c r="E318" s="8" t="s">
        <v>5252</v>
      </c>
      <c r="F318" s="8" t="s">
        <v>3550</v>
      </c>
      <c r="G318" s="8" t="s">
        <v>5253</v>
      </c>
      <c r="H318" s="8" t="s">
        <v>5254</v>
      </c>
      <c r="I318" s="9">
        <v>0.0</v>
      </c>
      <c r="J318" s="9">
        <v>2400.0</v>
      </c>
      <c r="K318" s="9">
        <v>2436.0</v>
      </c>
      <c r="L318" s="9">
        <v>2400.0</v>
      </c>
      <c r="M318" s="9">
        <v>1248.0</v>
      </c>
      <c r="N318" s="9">
        <v>739.0</v>
      </c>
      <c r="O318" s="9">
        <v>449.0</v>
      </c>
      <c r="P318" s="8" t="s">
        <v>3519</v>
      </c>
      <c r="Q318" s="8"/>
      <c r="R318" s="8"/>
    </row>
    <row r="319">
      <c r="A319" s="8" t="s">
        <v>529</v>
      </c>
      <c r="B319" s="8" t="s">
        <v>5255</v>
      </c>
      <c r="C319" s="8" t="s">
        <v>5256</v>
      </c>
      <c r="D319" s="9">
        <v>9.890353072E9</v>
      </c>
      <c r="E319" s="8" t="s">
        <v>5257</v>
      </c>
      <c r="F319" s="8" t="s">
        <v>3523</v>
      </c>
      <c r="G319" s="8" t="s">
        <v>5258</v>
      </c>
      <c r="H319" s="8" t="s">
        <v>3479</v>
      </c>
      <c r="I319" s="9">
        <v>0.0</v>
      </c>
      <c r="J319" s="9">
        <v>1666.0</v>
      </c>
      <c r="K319" s="9">
        <v>1666.0</v>
      </c>
      <c r="L319" s="9">
        <v>1666.0</v>
      </c>
      <c r="M319" s="9">
        <v>403.0</v>
      </c>
      <c r="N319" s="9">
        <v>739.0</v>
      </c>
      <c r="O319" s="9">
        <v>524.0</v>
      </c>
      <c r="P319" s="8" t="s">
        <v>3480</v>
      </c>
      <c r="Q319" s="8" t="s">
        <v>5259</v>
      </c>
      <c r="R319" s="8" t="s">
        <v>5260</v>
      </c>
    </row>
    <row r="320">
      <c r="A320" s="8" t="s">
        <v>531</v>
      </c>
      <c r="B320" s="8" t="s">
        <v>5261</v>
      </c>
      <c r="C320" s="8" t="s">
        <v>3592</v>
      </c>
      <c r="D320" s="9">
        <v>9.823471457E9</v>
      </c>
      <c r="E320" s="8" t="s">
        <v>5262</v>
      </c>
      <c r="F320" s="8" t="s">
        <v>3615</v>
      </c>
      <c r="G320" s="8" t="s">
        <v>5263</v>
      </c>
      <c r="H320" s="8" t="s">
        <v>5264</v>
      </c>
      <c r="I320" s="9">
        <v>0.0</v>
      </c>
      <c r="J320" s="9">
        <v>4160.0</v>
      </c>
      <c r="K320" s="9">
        <v>4310.0</v>
      </c>
      <c r="L320" s="9">
        <v>4160.0</v>
      </c>
      <c r="M320" s="9">
        <v>2486.0</v>
      </c>
      <c r="N320" s="9">
        <v>775.0</v>
      </c>
      <c r="O320" s="9">
        <v>1049.0</v>
      </c>
      <c r="P320" s="8" t="s">
        <v>3544</v>
      </c>
      <c r="Q320" s="8" t="s">
        <v>5265</v>
      </c>
      <c r="R320" s="8" t="s">
        <v>5266</v>
      </c>
    </row>
    <row r="321">
      <c r="A321" s="8" t="s">
        <v>486</v>
      </c>
      <c r="B321" s="8" t="s">
        <v>5267</v>
      </c>
      <c r="C321" s="8" t="s">
        <v>5268</v>
      </c>
      <c r="D321" s="9">
        <v>9.130828551E9</v>
      </c>
      <c r="E321" s="8" t="s">
        <v>5269</v>
      </c>
      <c r="F321" s="8" t="s">
        <v>4011</v>
      </c>
      <c r="G321" s="8" t="s">
        <v>5270</v>
      </c>
      <c r="H321" s="8" t="s">
        <v>3479</v>
      </c>
      <c r="I321" s="9">
        <v>0.0</v>
      </c>
      <c r="J321" s="9">
        <v>1604.0</v>
      </c>
      <c r="K321" s="9">
        <v>1604.0</v>
      </c>
      <c r="L321" s="9">
        <v>1604.0</v>
      </c>
      <c r="M321" s="9">
        <v>380.0</v>
      </c>
      <c r="N321" s="9">
        <v>775.0</v>
      </c>
      <c r="O321" s="9">
        <v>449.0</v>
      </c>
      <c r="P321" s="8" t="s">
        <v>3480</v>
      </c>
      <c r="Q321" s="8" t="s">
        <v>5271</v>
      </c>
      <c r="R321" s="8" t="s">
        <v>5272</v>
      </c>
    </row>
    <row r="322">
      <c r="A322" s="8" t="s">
        <v>484</v>
      </c>
      <c r="B322" s="8" t="s">
        <v>5273</v>
      </c>
      <c r="C322" s="8" t="s">
        <v>5274</v>
      </c>
      <c r="D322" s="9">
        <v>9.659394401E9</v>
      </c>
      <c r="E322" s="8" t="s">
        <v>5275</v>
      </c>
      <c r="F322" s="8" t="s">
        <v>4373</v>
      </c>
      <c r="G322" s="8" t="s">
        <v>5276</v>
      </c>
      <c r="H322" s="8" t="s">
        <v>3479</v>
      </c>
      <c r="I322" s="9">
        <v>0.0</v>
      </c>
      <c r="J322" s="9">
        <v>1558.0</v>
      </c>
      <c r="K322" s="9">
        <v>1558.0</v>
      </c>
      <c r="L322" s="9">
        <v>1558.0</v>
      </c>
      <c r="M322" s="9">
        <v>184.0</v>
      </c>
      <c r="N322" s="9">
        <v>775.0</v>
      </c>
      <c r="O322" s="9">
        <v>599.0</v>
      </c>
      <c r="P322" s="8" t="s">
        <v>3480</v>
      </c>
      <c r="Q322" s="8" t="s">
        <v>5277</v>
      </c>
      <c r="R322" s="8" t="s">
        <v>5278</v>
      </c>
    </row>
    <row r="323">
      <c r="A323" s="8" t="s">
        <v>485</v>
      </c>
      <c r="B323" s="8" t="s">
        <v>5279</v>
      </c>
      <c r="C323" s="8" t="s">
        <v>5280</v>
      </c>
      <c r="D323" s="9">
        <v>9.920887998E9</v>
      </c>
      <c r="E323" s="8" t="s">
        <v>5281</v>
      </c>
      <c r="F323" s="8" t="s">
        <v>3707</v>
      </c>
      <c r="G323" s="8" t="s">
        <v>5282</v>
      </c>
      <c r="H323" s="8" t="s">
        <v>5283</v>
      </c>
      <c r="I323" s="9">
        <v>0.0</v>
      </c>
      <c r="J323" s="9">
        <v>2300.0</v>
      </c>
      <c r="K323" s="9">
        <v>2313.0</v>
      </c>
      <c r="L323" s="9">
        <v>2300.0</v>
      </c>
      <c r="M323" s="9">
        <v>324.0</v>
      </c>
      <c r="N323" s="9">
        <v>965.0</v>
      </c>
      <c r="O323" s="9">
        <v>1024.0</v>
      </c>
      <c r="P323" s="8" t="s">
        <v>3480</v>
      </c>
      <c r="Q323" s="8" t="s">
        <v>5284</v>
      </c>
      <c r="R323" s="8" t="s">
        <v>5285</v>
      </c>
    </row>
    <row r="324">
      <c r="A324" s="8" t="s">
        <v>389</v>
      </c>
      <c r="B324" s="8" t="s">
        <v>5286</v>
      </c>
      <c r="C324" s="8" t="s">
        <v>5287</v>
      </c>
      <c r="D324" s="9">
        <v>8.698122475E9</v>
      </c>
      <c r="E324" s="8" t="s">
        <v>5288</v>
      </c>
      <c r="F324" s="8" t="s">
        <v>3594</v>
      </c>
      <c r="G324" s="8" t="s">
        <v>5289</v>
      </c>
      <c r="H324" s="8" t="s">
        <v>3479</v>
      </c>
      <c r="I324" s="9">
        <v>0.0</v>
      </c>
      <c r="J324" s="9">
        <v>8391.0</v>
      </c>
      <c r="K324" s="9">
        <v>8391.0</v>
      </c>
      <c r="L324" s="9">
        <v>8391.0</v>
      </c>
      <c r="M324" s="9">
        <v>6687.0</v>
      </c>
      <c r="N324" s="9">
        <v>730.0</v>
      </c>
      <c r="O324" s="9">
        <v>974.0</v>
      </c>
      <c r="P324" s="8" t="s">
        <v>3519</v>
      </c>
      <c r="Q324" s="8"/>
      <c r="R324" s="8"/>
    </row>
    <row r="325">
      <c r="A325" s="8" t="s">
        <v>533</v>
      </c>
      <c r="B325" s="8" t="s">
        <v>5290</v>
      </c>
      <c r="C325" s="8" t="s">
        <v>5291</v>
      </c>
      <c r="D325" s="9">
        <v>9.423826423E9</v>
      </c>
      <c r="E325" s="8" t="s">
        <v>5292</v>
      </c>
      <c r="F325" s="8" t="s">
        <v>3523</v>
      </c>
      <c r="G325" s="8" t="s">
        <v>5293</v>
      </c>
      <c r="H325" s="8" t="s">
        <v>3479</v>
      </c>
      <c r="I325" s="9">
        <v>0.0</v>
      </c>
      <c r="J325" s="9">
        <v>2355.0</v>
      </c>
      <c r="K325" s="9">
        <v>2355.0</v>
      </c>
      <c r="L325" s="9">
        <v>2355.0</v>
      </c>
      <c r="M325" s="9">
        <v>2030.0</v>
      </c>
      <c r="N325" s="9">
        <v>0.0</v>
      </c>
      <c r="O325" s="9">
        <v>325.0</v>
      </c>
      <c r="P325" s="8" t="s">
        <v>3480</v>
      </c>
      <c r="Q325" s="8" t="s">
        <v>5294</v>
      </c>
      <c r="R325" s="8"/>
    </row>
    <row r="326">
      <c r="A326" s="8" t="s">
        <v>532</v>
      </c>
      <c r="B326" s="8" t="s">
        <v>5295</v>
      </c>
      <c r="C326" s="8" t="s">
        <v>4047</v>
      </c>
      <c r="D326" s="9">
        <v>9.922442687E9</v>
      </c>
      <c r="E326" s="8" t="s">
        <v>5296</v>
      </c>
      <c r="F326" s="8" t="s">
        <v>3486</v>
      </c>
      <c r="G326" s="8" t="s">
        <v>5297</v>
      </c>
      <c r="H326" s="8" t="s">
        <v>3479</v>
      </c>
      <c r="I326" s="9">
        <v>0.0</v>
      </c>
      <c r="J326" s="9">
        <v>1438.0</v>
      </c>
      <c r="K326" s="9">
        <v>1438.0</v>
      </c>
      <c r="L326" s="9">
        <v>1438.0</v>
      </c>
      <c r="M326" s="9">
        <v>250.0</v>
      </c>
      <c r="N326" s="9">
        <v>739.0</v>
      </c>
      <c r="O326" s="9">
        <v>449.0</v>
      </c>
      <c r="P326" s="8" t="s">
        <v>3480</v>
      </c>
      <c r="Q326" s="8"/>
      <c r="R326" s="8"/>
    </row>
    <row r="327">
      <c r="A327" s="8" t="s">
        <v>487</v>
      </c>
      <c r="B327" s="8" t="s">
        <v>5298</v>
      </c>
      <c r="C327" s="8" t="s">
        <v>5299</v>
      </c>
      <c r="D327" s="9">
        <v>8.805976827E9</v>
      </c>
      <c r="E327" s="8" t="s">
        <v>5300</v>
      </c>
      <c r="F327" s="8" t="s">
        <v>5301</v>
      </c>
      <c r="G327" s="8" t="s">
        <v>5302</v>
      </c>
      <c r="H327" s="8" t="s">
        <v>3479</v>
      </c>
      <c r="I327" s="9">
        <v>0.0</v>
      </c>
      <c r="J327" s="9">
        <v>1507.0</v>
      </c>
      <c r="K327" s="9">
        <v>1507.0</v>
      </c>
      <c r="L327" s="9">
        <v>1507.0</v>
      </c>
      <c r="M327" s="9">
        <v>283.0</v>
      </c>
      <c r="N327" s="9">
        <v>775.0</v>
      </c>
      <c r="O327" s="9">
        <v>449.0</v>
      </c>
      <c r="P327" s="8" t="s">
        <v>3480</v>
      </c>
      <c r="Q327" s="8" t="s">
        <v>5303</v>
      </c>
      <c r="R327" s="8" t="s">
        <v>5304</v>
      </c>
    </row>
    <row r="328">
      <c r="A328" s="8" t="s">
        <v>534</v>
      </c>
      <c r="B328" s="8" t="s">
        <v>5305</v>
      </c>
      <c r="C328" s="8" t="s">
        <v>5306</v>
      </c>
      <c r="D328" s="9">
        <v>7.720072355E9</v>
      </c>
      <c r="E328" s="8" t="s">
        <v>5307</v>
      </c>
      <c r="F328" s="8" t="s">
        <v>3608</v>
      </c>
      <c r="G328" s="8" t="s">
        <v>5308</v>
      </c>
      <c r="H328" s="8" t="s">
        <v>3479</v>
      </c>
      <c r="I328" s="9">
        <v>0.0</v>
      </c>
      <c r="J328" s="9">
        <v>3051.0</v>
      </c>
      <c r="K328" s="9">
        <v>3051.0</v>
      </c>
      <c r="L328" s="9">
        <v>3051.0</v>
      </c>
      <c r="M328" s="9">
        <v>1863.0</v>
      </c>
      <c r="N328" s="9">
        <v>739.0</v>
      </c>
      <c r="O328" s="9">
        <v>449.0</v>
      </c>
      <c r="P328" s="8" t="s">
        <v>3480</v>
      </c>
      <c r="Q328" s="8"/>
      <c r="R328" s="8"/>
    </row>
    <row r="329">
      <c r="A329" s="8" t="s">
        <v>535</v>
      </c>
      <c r="B329" s="8" t="s">
        <v>5309</v>
      </c>
      <c r="C329" s="8" t="s">
        <v>5310</v>
      </c>
      <c r="D329" s="9">
        <v>7.350342002E9</v>
      </c>
      <c r="E329" s="8" t="s">
        <v>5311</v>
      </c>
      <c r="F329" s="8" t="s">
        <v>3550</v>
      </c>
      <c r="G329" s="8" t="s">
        <v>5312</v>
      </c>
      <c r="H329" s="8" t="s">
        <v>3479</v>
      </c>
      <c r="I329" s="9">
        <v>0.0</v>
      </c>
      <c r="J329" s="9">
        <v>1174.0</v>
      </c>
      <c r="K329" s="9">
        <v>1174.0</v>
      </c>
      <c r="L329" s="9">
        <v>1174.0</v>
      </c>
      <c r="M329" s="9">
        <v>80.0</v>
      </c>
      <c r="N329" s="9">
        <v>645.0</v>
      </c>
      <c r="O329" s="9">
        <v>449.0</v>
      </c>
      <c r="P329" s="8" t="s">
        <v>3480</v>
      </c>
      <c r="Q329" s="8"/>
      <c r="R329" s="8"/>
    </row>
    <row r="330">
      <c r="A330" s="8" t="s">
        <v>538</v>
      </c>
      <c r="B330" s="8" t="s">
        <v>5313</v>
      </c>
      <c r="C330" s="8" t="s">
        <v>5314</v>
      </c>
      <c r="D330" s="9">
        <v>9.37612115E9</v>
      </c>
      <c r="E330" s="8" t="s">
        <v>5315</v>
      </c>
      <c r="F330" s="8" t="s">
        <v>3550</v>
      </c>
      <c r="G330" s="8" t="s">
        <v>5316</v>
      </c>
      <c r="H330" s="8" t="s">
        <v>3479</v>
      </c>
      <c r="I330" s="9">
        <v>0.0</v>
      </c>
      <c r="J330" s="9">
        <v>1288.0</v>
      </c>
      <c r="K330" s="9">
        <v>1288.0</v>
      </c>
      <c r="L330" s="9">
        <v>1288.0</v>
      </c>
      <c r="M330" s="9">
        <v>100.0</v>
      </c>
      <c r="N330" s="9">
        <v>739.0</v>
      </c>
      <c r="O330" s="9">
        <v>449.0</v>
      </c>
      <c r="P330" s="8" t="s">
        <v>3519</v>
      </c>
      <c r="Q330" s="8" t="s">
        <v>5317</v>
      </c>
      <c r="R330" s="8" t="s">
        <v>5318</v>
      </c>
    </row>
    <row r="331">
      <c r="A331" s="8" t="s">
        <v>539</v>
      </c>
      <c r="B331" s="8" t="s">
        <v>5319</v>
      </c>
      <c r="C331" s="8" t="s">
        <v>5320</v>
      </c>
      <c r="D331" s="9">
        <v>7.709316518E9</v>
      </c>
      <c r="E331" s="8" t="s">
        <v>5321</v>
      </c>
      <c r="F331" s="8" t="s">
        <v>4373</v>
      </c>
      <c r="G331" s="8" t="s">
        <v>5322</v>
      </c>
      <c r="H331" s="8" t="s">
        <v>3479</v>
      </c>
      <c r="I331" s="9">
        <v>0.0</v>
      </c>
      <c r="J331" s="9">
        <v>2434.0</v>
      </c>
      <c r="K331" s="9">
        <v>2434.0</v>
      </c>
      <c r="L331" s="9">
        <v>2434.0</v>
      </c>
      <c r="M331" s="9">
        <v>935.0</v>
      </c>
      <c r="N331" s="9">
        <v>775.0</v>
      </c>
      <c r="O331" s="9">
        <v>724.0</v>
      </c>
      <c r="P331" s="8" t="s">
        <v>3480</v>
      </c>
      <c r="Q331" s="8" t="s">
        <v>5323</v>
      </c>
      <c r="R331" s="8" t="s">
        <v>4363</v>
      </c>
    </row>
    <row r="332">
      <c r="A332" s="8" t="s">
        <v>537</v>
      </c>
      <c r="B332" s="8" t="s">
        <v>5324</v>
      </c>
      <c r="C332" s="8" t="s">
        <v>5325</v>
      </c>
      <c r="D332" s="9">
        <v>9.860587266E9</v>
      </c>
      <c r="E332" s="8" t="s">
        <v>5326</v>
      </c>
      <c r="F332" s="8" t="s">
        <v>4574</v>
      </c>
      <c r="G332" s="8" t="s">
        <v>5327</v>
      </c>
      <c r="H332" s="8" t="s">
        <v>3479</v>
      </c>
      <c r="I332" s="9">
        <v>0.0</v>
      </c>
      <c r="J332" s="9">
        <v>3473.0</v>
      </c>
      <c r="K332" s="9">
        <v>3473.0</v>
      </c>
      <c r="L332" s="9">
        <v>3473.0</v>
      </c>
      <c r="M332" s="9">
        <v>2130.0</v>
      </c>
      <c r="N332" s="9">
        <v>739.0</v>
      </c>
      <c r="O332" s="9">
        <v>604.0</v>
      </c>
      <c r="P332" s="8" t="s">
        <v>3480</v>
      </c>
      <c r="Q332" s="8" t="s">
        <v>5328</v>
      </c>
      <c r="R332" s="8" t="s">
        <v>5329</v>
      </c>
    </row>
    <row r="333">
      <c r="A333" s="8" t="s">
        <v>536</v>
      </c>
      <c r="B333" s="8" t="s">
        <v>5330</v>
      </c>
      <c r="C333" s="8" t="s">
        <v>5331</v>
      </c>
      <c r="D333" s="9">
        <v>9.969018369E9</v>
      </c>
      <c r="E333" s="8" t="s">
        <v>5332</v>
      </c>
      <c r="F333" s="8" t="s">
        <v>3821</v>
      </c>
      <c r="G333" s="8" t="s">
        <v>5333</v>
      </c>
      <c r="H333" s="8" t="s">
        <v>3479</v>
      </c>
      <c r="I333" s="9">
        <v>0.0</v>
      </c>
      <c r="J333" s="9">
        <v>1132.0</v>
      </c>
      <c r="K333" s="9">
        <v>1132.0</v>
      </c>
      <c r="L333" s="9">
        <v>1132.0</v>
      </c>
      <c r="M333" s="9">
        <v>608.0</v>
      </c>
      <c r="N333" s="9">
        <v>0.0</v>
      </c>
      <c r="O333" s="9">
        <v>524.0</v>
      </c>
      <c r="P333" s="8" t="s">
        <v>3480</v>
      </c>
      <c r="Q333" s="8" t="s">
        <v>5334</v>
      </c>
      <c r="R333" s="8" t="s">
        <v>5335</v>
      </c>
    </row>
    <row r="334">
      <c r="A334" s="8" t="s">
        <v>488</v>
      </c>
      <c r="B334" s="8" t="s">
        <v>5336</v>
      </c>
      <c r="C334" s="8" t="s">
        <v>5337</v>
      </c>
      <c r="D334" s="9">
        <v>8.626038265E9</v>
      </c>
      <c r="E334" s="8" t="s">
        <v>5338</v>
      </c>
      <c r="F334" s="8" t="s">
        <v>3901</v>
      </c>
      <c r="G334" s="8" t="s">
        <v>5339</v>
      </c>
      <c r="H334" s="8" t="s">
        <v>3479</v>
      </c>
      <c r="I334" s="9">
        <v>0.0</v>
      </c>
      <c r="J334" s="9">
        <v>1787.0</v>
      </c>
      <c r="K334" s="9">
        <v>1787.0</v>
      </c>
      <c r="L334" s="9">
        <v>1787.0</v>
      </c>
      <c r="M334" s="9">
        <v>288.0</v>
      </c>
      <c r="N334" s="9">
        <v>900.0</v>
      </c>
      <c r="O334" s="9">
        <v>599.0</v>
      </c>
      <c r="P334" s="8" t="s">
        <v>3480</v>
      </c>
      <c r="Q334" s="8" t="s">
        <v>5340</v>
      </c>
      <c r="R334" s="8" t="s">
        <v>5341</v>
      </c>
    </row>
    <row r="335">
      <c r="A335" s="8" t="s">
        <v>542</v>
      </c>
      <c r="B335" s="8" t="s">
        <v>5342</v>
      </c>
      <c r="C335" s="8" t="s">
        <v>5343</v>
      </c>
      <c r="D335" s="9">
        <v>9.766678146E9</v>
      </c>
      <c r="E335" s="8" t="s">
        <v>5344</v>
      </c>
      <c r="F335" s="8" t="s">
        <v>3608</v>
      </c>
      <c r="G335" s="8" t="s">
        <v>5345</v>
      </c>
      <c r="H335" s="8" t="s">
        <v>3479</v>
      </c>
      <c r="I335" s="9">
        <v>0.0</v>
      </c>
      <c r="J335" s="9">
        <v>1521.0</v>
      </c>
      <c r="K335" s="9">
        <v>1521.0</v>
      </c>
      <c r="L335" s="9">
        <v>1521.0</v>
      </c>
      <c r="M335" s="9">
        <v>333.0</v>
      </c>
      <c r="N335" s="9">
        <v>739.0</v>
      </c>
      <c r="O335" s="9">
        <v>449.0</v>
      </c>
      <c r="P335" s="8" t="s">
        <v>3480</v>
      </c>
      <c r="Q335" s="8"/>
      <c r="R335" s="8"/>
    </row>
    <row r="336">
      <c r="A336" s="8" t="s">
        <v>390</v>
      </c>
      <c r="B336" s="8" t="s">
        <v>5346</v>
      </c>
      <c r="C336" s="8" t="s">
        <v>5347</v>
      </c>
      <c r="D336" s="9">
        <v>9.584071888E9</v>
      </c>
      <c r="E336" s="8" t="s">
        <v>5348</v>
      </c>
      <c r="F336" s="8" t="s">
        <v>4125</v>
      </c>
      <c r="G336" s="8" t="s">
        <v>5349</v>
      </c>
      <c r="H336" s="8" t="s">
        <v>3479</v>
      </c>
      <c r="I336" s="9">
        <v>0.0</v>
      </c>
      <c r="J336" s="9">
        <v>1586.0</v>
      </c>
      <c r="K336" s="9">
        <v>1586.0</v>
      </c>
      <c r="L336" s="9">
        <v>1586.0</v>
      </c>
      <c r="M336" s="9">
        <v>393.0</v>
      </c>
      <c r="N336" s="9">
        <v>594.0</v>
      </c>
      <c r="O336" s="9">
        <v>599.0</v>
      </c>
      <c r="P336" s="8" t="s">
        <v>3480</v>
      </c>
      <c r="Q336" s="8" t="s">
        <v>5350</v>
      </c>
      <c r="R336" s="8" t="s">
        <v>5351</v>
      </c>
    </row>
    <row r="337">
      <c r="A337" s="8" t="s">
        <v>541</v>
      </c>
      <c r="B337" s="8" t="s">
        <v>5352</v>
      </c>
      <c r="C337" s="8" t="s">
        <v>5353</v>
      </c>
      <c r="D337" s="9">
        <v>9.9239769E9</v>
      </c>
      <c r="E337" s="8" t="s">
        <v>5354</v>
      </c>
      <c r="F337" s="8" t="s">
        <v>3707</v>
      </c>
      <c r="G337" s="8" t="s">
        <v>5355</v>
      </c>
      <c r="H337" s="8" t="s">
        <v>3479</v>
      </c>
      <c r="I337" s="9">
        <v>0.0</v>
      </c>
      <c r="J337" s="9">
        <v>3253.0</v>
      </c>
      <c r="K337" s="9">
        <v>3253.0</v>
      </c>
      <c r="L337" s="9">
        <v>3253.0</v>
      </c>
      <c r="M337" s="9">
        <v>1329.0</v>
      </c>
      <c r="N337" s="9">
        <v>900.0</v>
      </c>
      <c r="O337" s="9">
        <v>1024.0</v>
      </c>
      <c r="P337" s="8" t="s">
        <v>3480</v>
      </c>
      <c r="Q337" s="8" t="s">
        <v>5356</v>
      </c>
      <c r="R337" s="8"/>
    </row>
    <row r="338">
      <c r="A338" s="8" t="s">
        <v>540</v>
      </c>
      <c r="B338" s="8" t="s">
        <v>5357</v>
      </c>
      <c r="C338" s="8" t="s">
        <v>5358</v>
      </c>
      <c r="D338" s="9">
        <v>9.673844333E9</v>
      </c>
      <c r="E338" s="8" t="s">
        <v>5359</v>
      </c>
      <c r="F338" s="8" t="s">
        <v>4143</v>
      </c>
      <c r="G338" s="8" t="s">
        <v>5360</v>
      </c>
      <c r="H338" s="8" t="s">
        <v>3479</v>
      </c>
      <c r="I338" s="9">
        <v>0.0</v>
      </c>
      <c r="J338" s="9">
        <v>2200.0</v>
      </c>
      <c r="K338" s="9">
        <v>2200.0</v>
      </c>
      <c r="L338" s="9">
        <v>2200.0</v>
      </c>
      <c r="M338" s="9">
        <v>636.0</v>
      </c>
      <c r="N338" s="9">
        <v>840.0</v>
      </c>
      <c r="O338" s="9">
        <v>724.0</v>
      </c>
      <c r="P338" s="8" t="s">
        <v>3480</v>
      </c>
      <c r="Q338" s="8" t="s">
        <v>5361</v>
      </c>
      <c r="R338" s="8" t="s">
        <v>5362</v>
      </c>
    </row>
    <row r="339">
      <c r="A339" s="8" t="s">
        <v>408</v>
      </c>
      <c r="B339" s="8" t="s">
        <v>5363</v>
      </c>
      <c r="C339" s="8" t="s">
        <v>5364</v>
      </c>
      <c r="D339" s="9">
        <v>9.892298006E9</v>
      </c>
      <c r="E339" s="8" t="s">
        <v>5365</v>
      </c>
      <c r="F339" s="8" t="s">
        <v>5366</v>
      </c>
      <c r="G339" s="8" t="s">
        <v>5367</v>
      </c>
      <c r="H339" s="8" t="s">
        <v>3479</v>
      </c>
      <c r="I339" s="9">
        <v>0.0</v>
      </c>
      <c r="J339" s="9">
        <v>1424.0</v>
      </c>
      <c r="K339" s="9">
        <v>1424.0</v>
      </c>
      <c r="L339" s="9">
        <v>1424.0</v>
      </c>
      <c r="M339" s="9">
        <v>438.0</v>
      </c>
      <c r="N339" s="9">
        <v>336.0</v>
      </c>
      <c r="O339" s="9">
        <v>650.0</v>
      </c>
      <c r="P339" s="8" t="s">
        <v>3480</v>
      </c>
      <c r="Q339" s="8"/>
      <c r="R339" s="8"/>
    </row>
    <row r="340">
      <c r="A340" s="8" t="s">
        <v>410</v>
      </c>
      <c r="B340" s="8" t="s">
        <v>5368</v>
      </c>
      <c r="C340" s="8" t="s">
        <v>5369</v>
      </c>
      <c r="D340" s="9">
        <v>8.446142636E9</v>
      </c>
      <c r="E340" s="8" t="s">
        <v>5370</v>
      </c>
      <c r="F340" s="8" t="s">
        <v>3486</v>
      </c>
      <c r="G340" s="8" t="s">
        <v>5371</v>
      </c>
      <c r="H340" s="8" t="s">
        <v>3479</v>
      </c>
      <c r="I340" s="9">
        <v>0.0</v>
      </c>
      <c r="J340" s="9">
        <v>1259.0</v>
      </c>
      <c r="K340" s="9">
        <v>1259.0</v>
      </c>
      <c r="L340" s="9">
        <v>1259.0</v>
      </c>
      <c r="M340" s="9">
        <v>80.0</v>
      </c>
      <c r="N340" s="9">
        <v>730.0</v>
      </c>
      <c r="O340" s="9">
        <v>449.0</v>
      </c>
      <c r="P340" s="8" t="s">
        <v>3480</v>
      </c>
      <c r="Q340" s="8"/>
      <c r="R340" s="8"/>
    </row>
    <row r="341">
      <c r="A341" s="8" t="s">
        <v>411</v>
      </c>
      <c r="B341" s="8" t="s">
        <v>5372</v>
      </c>
      <c r="C341" s="8" t="s">
        <v>5373</v>
      </c>
      <c r="D341" s="9">
        <v>9.673330061E9</v>
      </c>
      <c r="E341" s="8" t="s">
        <v>5374</v>
      </c>
      <c r="F341" s="8" t="s">
        <v>5375</v>
      </c>
      <c r="G341" s="8" t="s">
        <v>5376</v>
      </c>
      <c r="H341" s="8" t="s">
        <v>3479</v>
      </c>
      <c r="I341" s="9">
        <v>0.0</v>
      </c>
      <c r="J341" s="9">
        <v>1859.0</v>
      </c>
      <c r="K341" s="9">
        <v>1859.0</v>
      </c>
      <c r="L341" s="9">
        <v>1859.0</v>
      </c>
      <c r="M341" s="9">
        <v>135.0</v>
      </c>
      <c r="N341" s="9">
        <v>1125.0</v>
      </c>
      <c r="O341" s="9">
        <v>599.0</v>
      </c>
      <c r="P341" s="8" t="s">
        <v>3544</v>
      </c>
      <c r="Q341" s="8" t="s">
        <v>5377</v>
      </c>
      <c r="R341" s="8" t="s">
        <v>5378</v>
      </c>
    </row>
    <row r="342">
      <c r="A342" s="8" t="s">
        <v>409</v>
      </c>
      <c r="B342" s="8" t="s">
        <v>5379</v>
      </c>
      <c r="C342" s="8" t="s">
        <v>5380</v>
      </c>
      <c r="D342" s="9">
        <v>9.960458781E9</v>
      </c>
      <c r="E342" s="8" t="s">
        <v>5381</v>
      </c>
      <c r="F342" s="8" t="s">
        <v>3594</v>
      </c>
      <c r="G342" s="8" t="s">
        <v>5382</v>
      </c>
      <c r="H342" s="8" t="s">
        <v>3479</v>
      </c>
      <c r="I342" s="9">
        <v>0.0</v>
      </c>
      <c r="J342" s="9">
        <v>1250.0</v>
      </c>
      <c r="K342" s="9">
        <v>1250.0</v>
      </c>
      <c r="L342" s="9">
        <v>1250.0</v>
      </c>
      <c r="M342" s="9">
        <v>1250.0</v>
      </c>
      <c r="N342" s="9">
        <v>0.0</v>
      </c>
      <c r="O342" s="9">
        <v>0.0</v>
      </c>
      <c r="P342" s="8" t="s">
        <v>3480</v>
      </c>
      <c r="Q342" s="8"/>
      <c r="R342" s="8"/>
    </row>
    <row r="343">
      <c r="A343" s="8" t="s">
        <v>489</v>
      </c>
      <c r="B343" s="8" t="s">
        <v>5383</v>
      </c>
      <c r="C343" s="8" t="s">
        <v>5384</v>
      </c>
      <c r="D343" s="9">
        <v>9.881241879E9</v>
      </c>
      <c r="E343" s="8" t="s">
        <v>5385</v>
      </c>
      <c r="F343" s="8" t="s">
        <v>3509</v>
      </c>
      <c r="G343" s="8" t="s">
        <v>5386</v>
      </c>
      <c r="H343" s="8" t="s">
        <v>3479</v>
      </c>
      <c r="I343" s="9">
        <v>0.0</v>
      </c>
      <c r="J343" s="9">
        <v>9621.0</v>
      </c>
      <c r="K343" s="9">
        <v>9621.0</v>
      </c>
      <c r="L343" s="9">
        <v>9621.0</v>
      </c>
      <c r="M343" s="9">
        <v>4371.0</v>
      </c>
      <c r="N343" s="9">
        <v>510.0</v>
      </c>
      <c r="O343" s="9">
        <v>4740.0</v>
      </c>
      <c r="P343" s="8" t="s">
        <v>3544</v>
      </c>
      <c r="Q343" s="8" t="s">
        <v>5387</v>
      </c>
      <c r="R343" s="8"/>
    </row>
    <row r="344">
      <c r="A344" s="8" t="s">
        <v>413</v>
      </c>
      <c r="B344" s="8" t="s">
        <v>5388</v>
      </c>
      <c r="C344" s="8" t="s">
        <v>5389</v>
      </c>
      <c r="D344" s="9">
        <v>8.408993339E9</v>
      </c>
      <c r="E344" s="8" t="s">
        <v>5390</v>
      </c>
      <c r="F344" s="8" t="s">
        <v>3523</v>
      </c>
      <c r="G344" s="8" t="s">
        <v>5391</v>
      </c>
      <c r="H344" s="8" t="s">
        <v>3479</v>
      </c>
      <c r="I344" s="9">
        <v>0.0</v>
      </c>
      <c r="J344" s="9">
        <v>1434.0</v>
      </c>
      <c r="K344" s="9">
        <v>1434.0</v>
      </c>
      <c r="L344" s="9">
        <v>1434.0</v>
      </c>
      <c r="M344" s="9">
        <v>180.0</v>
      </c>
      <c r="N344" s="9">
        <v>730.0</v>
      </c>
      <c r="O344" s="9">
        <v>524.0</v>
      </c>
      <c r="P344" s="8" t="s">
        <v>3480</v>
      </c>
      <c r="Q344" s="8" t="s">
        <v>5392</v>
      </c>
      <c r="R344" s="8"/>
    </row>
    <row r="345">
      <c r="A345" s="8" t="s">
        <v>391</v>
      </c>
      <c r="B345" s="8" t="s">
        <v>5393</v>
      </c>
      <c r="C345" s="8" t="s">
        <v>5394</v>
      </c>
      <c r="D345" s="9">
        <v>7.058552746E9</v>
      </c>
      <c r="E345" s="8" t="s">
        <v>5395</v>
      </c>
      <c r="F345" s="8" t="s">
        <v>3589</v>
      </c>
      <c r="G345" s="8" t="s">
        <v>5396</v>
      </c>
      <c r="H345" s="8" t="s">
        <v>3479</v>
      </c>
      <c r="I345" s="9">
        <v>0.0</v>
      </c>
      <c r="J345" s="9">
        <v>1872.0</v>
      </c>
      <c r="K345" s="9">
        <v>1872.0</v>
      </c>
      <c r="L345" s="9">
        <v>1872.0</v>
      </c>
      <c r="M345" s="9">
        <v>233.0</v>
      </c>
      <c r="N345" s="9">
        <v>730.0</v>
      </c>
      <c r="O345" s="9">
        <v>909.0</v>
      </c>
      <c r="P345" s="8" t="s">
        <v>3480</v>
      </c>
      <c r="Q345" s="8" t="s">
        <v>5397</v>
      </c>
      <c r="R345" s="8" t="s">
        <v>5398</v>
      </c>
    </row>
    <row r="346">
      <c r="A346" s="8" t="s">
        <v>415</v>
      </c>
      <c r="B346" s="8" t="s">
        <v>5399</v>
      </c>
      <c r="C346" s="8" t="s">
        <v>4875</v>
      </c>
      <c r="D346" s="9">
        <v>9.028406766E9</v>
      </c>
      <c r="E346" s="8" t="s">
        <v>4876</v>
      </c>
      <c r="F346" s="8" t="s">
        <v>4125</v>
      </c>
      <c r="G346" s="8" t="s">
        <v>5400</v>
      </c>
      <c r="H346" s="8" t="s">
        <v>3479</v>
      </c>
      <c r="I346" s="9">
        <v>0.0</v>
      </c>
      <c r="J346" s="9">
        <v>1800.0</v>
      </c>
      <c r="K346" s="9">
        <v>1800.0</v>
      </c>
      <c r="L346" s="9">
        <v>1800.0</v>
      </c>
      <c r="M346" s="9">
        <v>1575.0</v>
      </c>
      <c r="N346" s="9">
        <v>0.0</v>
      </c>
      <c r="O346" s="9">
        <v>225.0</v>
      </c>
      <c r="P346" s="8" t="s">
        <v>3480</v>
      </c>
      <c r="Q346" s="8"/>
      <c r="R346" s="8"/>
    </row>
    <row r="347">
      <c r="A347" s="8" t="s">
        <v>417</v>
      </c>
      <c r="B347" s="8" t="s">
        <v>5401</v>
      </c>
      <c r="C347" s="8" t="s">
        <v>5402</v>
      </c>
      <c r="D347" s="9">
        <v>9.561649646E9</v>
      </c>
      <c r="E347" s="8" t="s">
        <v>5403</v>
      </c>
      <c r="F347" s="8" t="s">
        <v>3608</v>
      </c>
      <c r="G347" s="8" t="s">
        <v>5404</v>
      </c>
      <c r="H347" s="8" t="s">
        <v>3479</v>
      </c>
      <c r="I347" s="9">
        <v>0.0</v>
      </c>
      <c r="J347" s="9">
        <v>1069.0</v>
      </c>
      <c r="K347" s="9">
        <v>1069.0</v>
      </c>
      <c r="L347" s="9">
        <v>1069.0</v>
      </c>
      <c r="M347" s="9">
        <v>80.0</v>
      </c>
      <c r="N347" s="9">
        <v>540.0</v>
      </c>
      <c r="O347" s="9">
        <v>449.0</v>
      </c>
      <c r="P347" s="8" t="s">
        <v>3544</v>
      </c>
      <c r="Q347" s="8"/>
      <c r="R347" s="8"/>
    </row>
    <row r="348">
      <c r="A348" s="8" t="s">
        <v>418</v>
      </c>
      <c r="B348" s="8" t="s">
        <v>5405</v>
      </c>
      <c r="C348" s="8" t="s">
        <v>5406</v>
      </c>
      <c r="D348" s="9">
        <v>9.561649646E9</v>
      </c>
      <c r="E348" s="8" t="s">
        <v>5407</v>
      </c>
      <c r="F348" s="8" t="s">
        <v>3721</v>
      </c>
      <c r="G348" s="8" t="s">
        <v>5408</v>
      </c>
      <c r="H348" s="8" t="s">
        <v>3479</v>
      </c>
      <c r="I348" s="9">
        <v>0.0</v>
      </c>
      <c r="J348" s="9">
        <v>1809.0</v>
      </c>
      <c r="K348" s="9">
        <v>1809.0</v>
      </c>
      <c r="L348" s="9">
        <v>1809.0</v>
      </c>
      <c r="M348" s="9">
        <v>555.0</v>
      </c>
      <c r="N348" s="9">
        <v>730.0</v>
      </c>
      <c r="O348" s="9">
        <v>524.0</v>
      </c>
      <c r="P348" s="8" t="s">
        <v>3544</v>
      </c>
      <c r="Q348" s="8"/>
      <c r="R348" s="8"/>
    </row>
    <row r="349">
      <c r="A349" s="8" t="s">
        <v>419</v>
      </c>
      <c r="B349" s="8" t="s">
        <v>5409</v>
      </c>
      <c r="C349" s="8" t="s">
        <v>5410</v>
      </c>
      <c r="D349" s="9">
        <v>7.758882078E9</v>
      </c>
      <c r="E349" s="8" t="s">
        <v>5411</v>
      </c>
      <c r="F349" s="8" t="s">
        <v>3498</v>
      </c>
      <c r="G349" s="8" t="s">
        <v>5412</v>
      </c>
      <c r="H349" s="8" t="s">
        <v>3479</v>
      </c>
      <c r="I349" s="9">
        <v>0.0</v>
      </c>
      <c r="J349" s="9">
        <v>1334.0</v>
      </c>
      <c r="K349" s="9">
        <v>1334.0</v>
      </c>
      <c r="L349" s="9">
        <v>1334.0</v>
      </c>
      <c r="M349" s="9">
        <v>885.0</v>
      </c>
      <c r="N349" s="9">
        <v>0.0</v>
      </c>
      <c r="O349" s="9">
        <v>449.0</v>
      </c>
      <c r="P349" s="8" t="s">
        <v>3480</v>
      </c>
      <c r="Q349" s="8" t="s">
        <v>5413</v>
      </c>
      <c r="R349" s="8" t="s">
        <v>5414</v>
      </c>
    </row>
    <row r="350">
      <c r="A350" s="8" t="s">
        <v>420</v>
      </c>
      <c r="B350" s="8" t="s">
        <v>5415</v>
      </c>
      <c r="C350" s="8" t="s">
        <v>5416</v>
      </c>
      <c r="D350" s="9">
        <v>9.595737922E9</v>
      </c>
      <c r="E350" s="8" t="s">
        <v>5417</v>
      </c>
      <c r="F350" s="8" t="s">
        <v>3954</v>
      </c>
      <c r="G350" s="8" t="s">
        <v>3829</v>
      </c>
      <c r="H350" s="8" t="s">
        <v>3479</v>
      </c>
      <c r="I350" s="9">
        <v>0.0</v>
      </c>
      <c r="J350" s="9">
        <v>1984.0</v>
      </c>
      <c r="K350" s="9">
        <v>1984.0</v>
      </c>
      <c r="L350" s="9">
        <v>1984.0</v>
      </c>
      <c r="M350" s="9">
        <v>1535.0</v>
      </c>
      <c r="N350" s="9">
        <v>0.0</v>
      </c>
      <c r="O350" s="9">
        <v>449.0</v>
      </c>
      <c r="P350" s="8" t="s">
        <v>3480</v>
      </c>
      <c r="Q350" s="8"/>
      <c r="R350" s="8"/>
    </row>
    <row r="351">
      <c r="A351" s="8" t="s">
        <v>393</v>
      </c>
      <c r="B351" s="8" t="s">
        <v>5418</v>
      </c>
      <c r="C351" s="8" t="s">
        <v>5419</v>
      </c>
      <c r="D351" s="9">
        <v>9.975060984E9</v>
      </c>
      <c r="E351" s="8" t="s">
        <v>5420</v>
      </c>
      <c r="F351" s="8" t="s">
        <v>5421</v>
      </c>
      <c r="G351" s="8" t="s">
        <v>5422</v>
      </c>
      <c r="H351" s="8" t="s">
        <v>3479</v>
      </c>
      <c r="I351" s="9">
        <v>0.0</v>
      </c>
      <c r="J351" s="9">
        <v>1394.0</v>
      </c>
      <c r="K351" s="9">
        <v>1394.0</v>
      </c>
      <c r="L351" s="9">
        <v>1394.0</v>
      </c>
      <c r="M351" s="9">
        <v>135.0</v>
      </c>
      <c r="N351" s="9">
        <v>730.0</v>
      </c>
      <c r="O351" s="9">
        <v>529.0</v>
      </c>
      <c r="P351" s="8" t="s">
        <v>3480</v>
      </c>
      <c r="Q351" s="8" t="s">
        <v>5423</v>
      </c>
      <c r="R351" s="8" t="s">
        <v>5424</v>
      </c>
    </row>
    <row r="352">
      <c r="A352" s="8" t="s">
        <v>394</v>
      </c>
      <c r="B352" s="8" t="s">
        <v>5425</v>
      </c>
      <c r="C352" s="8" t="s">
        <v>3913</v>
      </c>
      <c r="D352" s="9">
        <v>9.76400423E9</v>
      </c>
      <c r="E352" s="8" t="s">
        <v>3914</v>
      </c>
      <c r="F352" s="8" t="s">
        <v>3523</v>
      </c>
      <c r="G352" s="8" t="s">
        <v>5426</v>
      </c>
      <c r="H352" s="8" t="s">
        <v>3479</v>
      </c>
      <c r="I352" s="9">
        <v>0.0</v>
      </c>
      <c r="J352" s="9">
        <v>943.0</v>
      </c>
      <c r="K352" s="9">
        <v>943.0</v>
      </c>
      <c r="L352" s="9">
        <v>943.0</v>
      </c>
      <c r="M352" s="9">
        <v>943.0</v>
      </c>
      <c r="N352" s="9">
        <v>0.0</v>
      </c>
      <c r="O352" s="9">
        <v>0.0</v>
      </c>
      <c r="P352" s="8" t="s">
        <v>3480</v>
      </c>
      <c r="Q352" s="8" t="s">
        <v>3916</v>
      </c>
      <c r="R352" s="8" t="s">
        <v>3917</v>
      </c>
    </row>
    <row r="353">
      <c r="A353" s="8" t="s">
        <v>395</v>
      </c>
      <c r="B353" s="8" t="s">
        <v>5427</v>
      </c>
      <c r="C353" s="8" t="s">
        <v>5428</v>
      </c>
      <c r="D353" s="9">
        <v>8.788758255E9</v>
      </c>
      <c r="E353" s="8" t="s">
        <v>5429</v>
      </c>
      <c r="F353" s="8" t="s">
        <v>5025</v>
      </c>
      <c r="G353" s="8" t="s">
        <v>5430</v>
      </c>
      <c r="H353" s="8" t="s">
        <v>5431</v>
      </c>
      <c r="I353" s="9">
        <v>0.0</v>
      </c>
      <c r="J353" s="9">
        <v>1300.0</v>
      </c>
      <c r="K353" s="9">
        <v>1337.0</v>
      </c>
      <c r="L353" s="9">
        <v>1300.0</v>
      </c>
      <c r="M353" s="9">
        <v>1162.0</v>
      </c>
      <c r="N353" s="9">
        <v>0.0</v>
      </c>
      <c r="O353" s="9">
        <v>175.0</v>
      </c>
      <c r="P353" s="8" t="s">
        <v>3544</v>
      </c>
      <c r="Q353" s="8"/>
      <c r="R353" s="8"/>
    </row>
    <row r="354">
      <c r="A354" s="8" t="s">
        <v>412</v>
      </c>
      <c r="B354" s="8" t="s">
        <v>5432</v>
      </c>
      <c r="C354" s="8" t="s">
        <v>5433</v>
      </c>
      <c r="D354" s="9">
        <v>7.387088383E9</v>
      </c>
      <c r="E354" s="8" t="s">
        <v>5434</v>
      </c>
      <c r="F354" s="8" t="s">
        <v>3589</v>
      </c>
      <c r="G354" s="8" t="s">
        <v>5435</v>
      </c>
      <c r="H354" s="8" t="s">
        <v>3479</v>
      </c>
      <c r="I354" s="9">
        <v>0.0</v>
      </c>
      <c r="J354" s="9">
        <v>1414.0</v>
      </c>
      <c r="K354" s="9">
        <v>1414.0</v>
      </c>
      <c r="L354" s="9">
        <v>1414.0</v>
      </c>
      <c r="M354" s="9">
        <v>160.0</v>
      </c>
      <c r="N354" s="9">
        <v>730.0</v>
      </c>
      <c r="O354" s="9">
        <v>524.0</v>
      </c>
      <c r="P354" s="8" t="s">
        <v>3480</v>
      </c>
      <c r="Q354" s="8"/>
      <c r="R354" s="8"/>
    </row>
    <row r="355">
      <c r="A355" s="8" t="s">
        <v>414</v>
      </c>
      <c r="B355" s="8" t="s">
        <v>5436</v>
      </c>
      <c r="C355" s="8" t="s">
        <v>5437</v>
      </c>
      <c r="D355" s="9">
        <v>7.709551262E9</v>
      </c>
      <c r="E355" s="8" t="s">
        <v>5438</v>
      </c>
      <c r="F355" s="8" t="s">
        <v>4391</v>
      </c>
      <c r="G355" s="8" t="s">
        <v>5439</v>
      </c>
      <c r="H355" s="8" t="s">
        <v>3479</v>
      </c>
      <c r="I355" s="9">
        <v>0.0</v>
      </c>
      <c r="J355" s="9">
        <v>1512.0</v>
      </c>
      <c r="K355" s="9">
        <v>1512.0</v>
      </c>
      <c r="L355" s="9">
        <v>1512.0</v>
      </c>
      <c r="M355" s="9">
        <v>333.0</v>
      </c>
      <c r="N355" s="9">
        <v>730.0</v>
      </c>
      <c r="O355" s="9">
        <v>449.0</v>
      </c>
      <c r="P355" s="8" t="s">
        <v>3519</v>
      </c>
      <c r="Q355" s="8"/>
      <c r="R355" s="8"/>
    </row>
    <row r="356">
      <c r="A356" s="8" t="s">
        <v>392</v>
      </c>
      <c r="B356" s="8" t="s">
        <v>5440</v>
      </c>
      <c r="C356" s="8" t="s">
        <v>5441</v>
      </c>
      <c r="D356" s="9">
        <v>9.860306437E9</v>
      </c>
      <c r="E356" s="8" t="s">
        <v>5442</v>
      </c>
      <c r="F356" s="8" t="s">
        <v>4093</v>
      </c>
      <c r="G356" s="8" t="s">
        <v>5443</v>
      </c>
      <c r="H356" s="8" t="s">
        <v>3479</v>
      </c>
      <c r="I356" s="9">
        <v>0.0</v>
      </c>
      <c r="J356" s="9">
        <v>2259.0</v>
      </c>
      <c r="K356" s="9">
        <v>2259.0</v>
      </c>
      <c r="L356" s="9">
        <v>2259.0</v>
      </c>
      <c r="M356" s="9">
        <v>617.0</v>
      </c>
      <c r="N356" s="9">
        <v>868.0</v>
      </c>
      <c r="O356" s="9">
        <v>774.0</v>
      </c>
      <c r="P356" s="8" t="s">
        <v>3480</v>
      </c>
      <c r="Q356" s="8"/>
      <c r="R356" s="8"/>
    </row>
    <row r="357">
      <c r="A357" s="8" t="s">
        <v>416</v>
      </c>
      <c r="B357" s="8" t="s">
        <v>5444</v>
      </c>
      <c r="C357" s="8" t="s">
        <v>5445</v>
      </c>
      <c r="D357" s="9">
        <v>9.423306423E9</v>
      </c>
      <c r="E357" s="8" t="s">
        <v>5446</v>
      </c>
      <c r="F357" s="8" t="s">
        <v>5447</v>
      </c>
      <c r="G357" s="8" t="s">
        <v>5448</v>
      </c>
      <c r="H357" s="8" t="s">
        <v>3479</v>
      </c>
      <c r="I357" s="9">
        <v>0.0</v>
      </c>
      <c r="J357" s="9">
        <v>8430.0</v>
      </c>
      <c r="K357" s="9">
        <v>8430.0</v>
      </c>
      <c r="L357" s="9">
        <v>8430.0</v>
      </c>
      <c r="M357" s="9">
        <v>5927.0</v>
      </c>
      <c r="N357" s="9">
        <v>849.0</v>
      </c>
      <c r="O357" s="9">
        <v>1654.0</v>
      </c>
      <c r="P357" s="8" t="s">
        <v>3519</v>
      </c>
      <c r="Q357" s="8"/>
      <c r="R357" s="8"/>
    </row>
    <row r="358">
      <c r="A358" s="8" t="s">
        <v>397</v>
      </c>
      <c r="B358" s="8" t="s">
        <v>5449</v>
      </c>
      <c r="C358" s="8" t="s">
        <v>5450</v>
      </c>
      <c r="D358" s="9">
        <v>7.820938456E9</v>
      </c>
      <c r="E358" s="8" t="s">
        <v>5451</v>
      </c>
      <c r="F358" s="8" t="s">
        <v>3721</v>
      </c>
      <c r="G358" s="8" t="s">
        <v>5452</v>
      </c>
      <c r="H358" s="8" t="s">
        <v>3479</v>
      </c>
      <c r="I358" s="9">
        <v>0.0</v>
      </c>
      <c r="J358" s="9">
        <v>2314.0</v>
      </c>
      <c r="K358" s="9">
        <v>2314.0</v>
      </c>
      <c r="L358" s="9">
        <v>2314.0</v>
      </c>
      <c r="M358" s="9">
        <v>1060.0</v>
      </c>
      <c r="N358" s="9">
        <v>730.0</v>
      </c>
      <c r="O358" s="9">
        <v>524.0</v>
      </c>
      <c r="P358" s="8" t="s">
        <v>3480</v>
      </c>
      <c r="Q358" s="8" t="s">
        <v>5453</v>
      </c>
      <c r="R358" s="8" t="s">
        <v>5454</v>
      </c>
    </row>
    <row r="359">
      <c r="A359" s="8" t="s">
        <v>398</v>
      </c>
      <c r="B359" s="8" t="s">
        <v>5455</v>
      </c>
      <c r="C359" s="8" t="s">
        <v>5456</v>
      </c>
      <c r="D359" s="9">
        <v>8.793125659E9</v>
      </c>
      <c r="E359" s="8" t="s">
        <v>5457</v>
      </c>
      <c r="F359" s="8" t="s">
        <v>4454</v>
      </c>
      <c r="G359" s="8" t="s">
        <v>5458</v>
      </c>
      <c r="H359" s="8" t="s">
        <v>3479</v>
      </c>
      <c r="I359" s="9">
        <v>0.0</v>
      </c>
      <c r="J359" s="9">
        <v>1339.0</v>
      </c>
      <c r="K359" s="9">
        <v>1339.0</v>
      </c>
      <c r="L359" s="9">
        <v>1339.0</v>
      </c>
      <c r="M359" s="9">
        <v>80.0</v>
      </c>
      <c r="N359" s="9">
        <v>730.0</v>
      </c>
      <c r="O359" s="9">
        <v>529.0</v>
      </c>
      <c r="P359" s="8" t="s">
        <v>3480</v>
      </c>
      <c r="Q359" s="8" t="s">
        <v>5459</v>
      </c>
      <c r="R359" s="8" t="s">
        <v>5460</v>
      </c>
    </row>
    <row r="360">
      <c r="A360" s="8" t="s">
        <v>543</v>
      </c>
      <c r="B360" s="8" t="s">
        <v>5461</v>
      </c>
      <c r="C360" s="8" t="s">
        <v>5462</v>
      </c>
      <c r="D360" s="9">
        <v>9.552541939E9</v>
      </c>
      <c r="E360" s="8" t="s">
        <v>5463</v>
      </c>
      <c r="F360" s="8" t="s">
        <v>3681</v>
      </c>
      <c r="G360" s="8" t="s">
        <v>5464</v>
      </c>
      <c r="H360" s="8" t="s">
        <v>5264</v>
      </c>
      <c r="I360" s="9">
        <v>0.0</v>
      </c>
      <c r="J360" s="9">
        <v>1700.0</v>
      </c>
      <c r="K360" s="9">
        <v>1850.0</v>
      </c>
      <c r="L360" s="9">
        <v>1700.0</v>
      </c>
      <c r="M360" s="9">
        <v>1850.0</v>
      </c>
      <c r="N360" s="9">
        <v>0.0</v>
      </c>
      <c r="O360" s="9">
        <v>0.0</v>
      </c>
      <c r="P360" s="8" t="s">
        <v>3480</v>
      </c>
      <c r="Q360" s="8"/>
      <c r="R360" s="8"/>
    </row>
    <row r="361">
      <c r="A361" s="8" t="s">
        <v>396</v>
      </c>
      <c r="B361" s="8" t="s">
        <v>5465</v>
      </c>
      <c r="C361" s="8" t="s">
        <v>5466</v>
      </c>
      <c r="D361" s="9">
        <v>7.666969084E9</v>
      </c>
      <c r="E361" s="8" t="s">
        <v>5467</v>
      </c>
      <c r="F361" s="8" t="s">
        <v>3594</v>
      </c>
      <c r="G361" s="8" t="s">
        <v>5468</v>
      </c>
      <c r="H361" s="8" t="s">
        <v>3479</v>
      </c>
      <c r="I361" s="9">
        <v>0.0</v>
      </c>
      <c r="J361" s="9">
        <v>80.0</v>
      </c>
      <c r="K361" s="9">
        <v>80.0</v>
      </c>
      <c r="L361" s="9">
        <v>80.0</v>
      </c>
      <c r="M361" s="9">
        <v>0.0</v>
      </c>
      <c r="N361" s="9">
        <v>0.0</v>
      </c>
      <c r="O361" s="9">
        <v>80.0</v>
      </c>
      <c r="P361" s="8" t="s">
        <v>3519</v>
      </c>
      <c r="Q361" s="8"/>
      <c r="R361" s="8"/>
    </row>
    <row r="362">
      <c r="A362" s="8" t="s">
        <v>491</v>
      </c>
      <c r="B362" s="8" t="s">
        <v>5469</v>
      </c>
      <c r="C362" s="8" t="s">
        <v>5470</v>
      </c>
      <c r="D362" s="9">
        <v>7.620226043E9</v>
      </c>
      <c r="E362" s="8" t="s">
        <v>5471</v>
      </c>
      <c r="F362" s="8" t="s">
        <v>3721</v>
      </c>
      <c r="G362" s="8" t="s">
        <v>5472</v>
      </c>
      <c r="H362" s="8" t="s">
        <v>3479</v>
      </c>
      <c r="I362" s="9">
        <v>0.0</v>
      </c>
      <c r="J362" s="9">
        <v>2623.0</v>
      </c>
      <c r="K362" s="9">
        <v>2623.0</v>
      </c>
      <c r="L362" s="9">
        <v>2623.0</v>
      </c>
      <c r="M362" s="9">
        <v>1360.0</v>
      </c>
      <c r="N362" s="9">
        <v>739.0</v>
      </c>
      <c r="O362" s="9">
        <v>524.0</v>
      </c>
      <c r="P362" s="8" t="s">
        <v>3480</v>
      </c>
      <c r="Q362" s="8" t="s">
        <v>5473</v>
      </c>
      <c r="R362" s="8" t="s">
        <v>5474</v>
      </c>
    </row>
    <row r="363">
      <c r="A363" s="8" t="s">
        <v>562</v>
      </c>
      <c r="B363" s="8" t="s">
        <v>5475</v>
      </c>
      <c r="C363" s="8" t="s">
        <v>5476</v>
      </c>
      <c r="D363" s="9">
        <v>8.779872506E9</v>
      </c>
      <c r="E363" s="8" t="s">
        <v>5477</v>
      </c>
      <c r="F363" s="8" t="s">
        <v>4143</v>
      </c>
      <c r="G363" s="8" t="s">
        <v>5478</v>
      </c>
      <c r="H363" s="8" t="s">
        <v>3479</v>
      </c>
      <c r="I363" s="9">
        <v>0.0</v>
      </c>
      <c r="J363" s="9">
        <v>1757.0</v>
      </c>
      <c r="K363" s="9">
        <v>1757.0</v>
      </c>
      <c r="L363" s="9">
        <v>1757.0</v>
      </c>
      <c r="M363" s="9">
        <v>524.0</v>
      </c>
      <c r="N363" s="9">
        <v>784.0</v>
      </c>
      <c r="O363" s="9">
        <v>449.0</v>
      </c>
      <c r="P363" s="8" t="s">
        <v>3480</v>
      </c>
      <c r="Q363" s="8"/>
      <c r="R363" s="8"/>
    </row>
    <row r="364">
      <c r="A364" s="8" t="s">
        <v>575</v>
      </c>
      <c r="B364" s="8" t="s">
        <v>5479</v>
      </c>
      <c r="C364" s="8" t="s">
        <v>5480</v>
      </c>
      <c r="D364" s="9">
        <v>8.087814533E9</v>
      </c>
      <c r="E364" s="8" t="s">
        <v>5481</v>
      </c>
      <c r="F364" s="8" t="s">
        <v>3853</v>
      </c>
      <c r="G364" s="8" t="s">
        <v>5482</v>
      </c>
      <c r="H364" s="8" t="s">
        <v>3479</v>
      </c>
      <c r="I364" s="9">
        <v>0.0</v>
      </c>
      <c r="J364" s="9">
        <v>340.0</v>
      </c>
      <c r="K364" s="9">
        <v>340.0</v>
      </c>
      <c r="L364" s="9">
        <v>340.0</v>
      </c>
      <c r="M364" s="9">
        <v>290.0</v>
      </c>
      <c r="N364" s="9">
        <v>0.0</v>
      </c>
      <c r="O364" s="9">
        <v>50.0</v>
      </c>
      <c r="P364" s="8" t="s">
        <v>3480</v>
      </c>
      <c r="Q364" s="8"/>
      <c r="R364" s="8"/>
    </row>
    <row r="365">
      <c r="A365" s="8" t="s">
        <v>490</v>
      </c>
      <c r="B365" s="8" t="s">
        <v>5483</v>
      </c>
      <c r="C365" s="8" t="s">
        <v>5214</v>
      </c>
      <c r="D365" s="9">
        <v>6.006019343E9</v>
      </c>
      <c r="E365" s="8" t="s">
        <v>5484</v>
      </c>
      <c r="F365" s="8" t="s">
        <v>5485</v>
      </c>
      <c r="G365" s="8" t="s">
        <v>5486</v>
      </c>
      <c r="H365" s="8" t="s">
        <v>3479</v>
      </c>
      <c r="I365" s="9">
        <v>0.0</v>
      </c>
      <c r="J365" s="9">
        <v>2411.0</v>
      </c>
      <c r="K365" s="9">
        <v>2411.0</v>
      </c>
      <c r="L365" s="9">
        <v>2411.0</v>
      </c>
      <c r="M365" s="9">
        <v>1437.0</v>
      </c>
      <c r="N365" s="9">
        <v>0.0</v>
      </c>
      <c r="O365" s="9">
        <v>974.0</v>
      </c>
      <c r="P365" s="8" t="s">
        <v>3480</v>
      </c>
      <c r="Q365" s="8" t="s">
        <v>5487</v>
      </c>
      <c r="R365" s="8" t="s">
        <v>5488</v>
      </c>
    </row>
    <row r="366">
      <c r="A366" s="8" t="s">
        <v>563</v>
      </c>
      <c r="B366" s="8" t="s">
        <v>5489</v>
      </c>
      <c r="C366" s="8" t="s">
        <v>5490</v>
      </c>
      <c r="D366" s="9">
        <v>7.057937263E9</v>
      </c>
      <c r="E366" s="8" t="s">
        <v>5491</v>
      </c>
      <c r="F366" s="8" t="s">
        <v>5492</v>
      </c>
      <c r="G366" s="8" t="s">
        <v>5493</v>
      </c>
      <c r="H366" s="8" t="s">
        <v>3479</v>
      </c>
      <c r="I366" s="9">
        <v>0.0</v>
      </c>
      <c r="J366" s="9">
        <v>2712.0</v>
      </c>
      <c r="K366" s="9">
        <v>2712.0</v>
      </c>
      <c r="L366" s="9">
        <v>2712.0</v>
      </c>
      <c r="M366" s="9">
        <v>2237.0</v>
      </c>
      <c r="N366" s="9">
        <v>0.0</v>
      </c>
      <c r="O366" s="9">
        <v>475.0</v>
      </c>
      <c r="P366" s="8" t="s">
        <v>3480</v>
      </c>
      <c r="Q366" s="8"/>
      <c r="R366" s="8"/>
    </row>
    <row r="367">
      <c r="A367" s="8" t="s">
        <v>399</v>
      </c>
      <c r="B367" s="8" t="s">
        <v>5494</v>
      </c>
      <c r="C367" s="8" t="s">
        <v>5495</v>
      </c>
      <c r="D367" s="9">
        <v>9.326075507E9</v>
      </c>
      <c r="E367" s="8" t="s">
        <v>5496</v>
      </c>
      <c r="F367" s="8" t="s">
        <v>3569</v>
      </c>
      <c r="G367" s="8" t="s">
        <v>5497</v>
      </c>
      <c r="H367" s="8" t="s">
        <v>3479</v>
      </c>
      <c r="I367" s="9">
        <v>0.0</v>
      </c>
      <c r="J367" s="9">
        <v>2300.0</v>
      </c>
      <c r="K367" s="9">
        <v>2300.0</v>
      </c>
      <c r="L367" s="9">
        <v>2300.0</v>
      </c>
      <c r="M367" s="9">
        <v>2300.0</v>
      </c>
      <c r="N367" s="9">
        <v>0.0</v>
      </c>
      <c r="O367" s="9">
        <v>0.0</v>
      </c>
      <c r="P367" s="8" t="s">
        <v>3480</v>
      </c>
      <c r="Q367" s="8" t="s">
        <v>5498</v>
      </c>
      <c r="R367" s="8"/>
    </row>
    <row r="368">
      <c r="A368" s="8" t="s">
        <v>460</v>
      </c>
      <c r="B368" s="8" t="s">
        <v>5499</v>
      </c>
      <c r="C368" s="8" t="s">
        <v>5500</v>
      </c>
      <c r="D368" s="9">
        <v>8.123491626E9</v>
      </c>
      <c r="E368" s="8" t="s">
        <v>5501</v>
      </c>
      <c r="F368" s="8" t="s">
        <v>5485</v>
      </c>
      <c r="G368" s="8" t="s">
        <v>5502</v>
      </c>
      <c r="H368" s="8" t="s">
        <v>3479</v>
      </c>
      <c r="I368" s="9">
        <v>0.0</v>
      </c>
      <c r="J368" s="9">
        <v>1402.0</v>
      </c>
      <c r="K368" s="9">
        <v>1402.0</v>
      </c>
      <c r="L368" s="9">
        <v>1402.0</v>
      </c>
      <c r="M368" s="9">
        <v>1232.0</v>
      </c>
      <c r="N368" s="9">
        <v>0.0</v>
      </c>
      <c r="O368" s="9">
        <v>170.0</v>
      </c>
      <c r="P368" s="8" t="s">
        <v>3480</v>
      </c>
      <c r="Q368" s="8"/>
      <c r="R368" s="8"/>
    </row>
    <row r="369">
      <c r="A369" s="8" t="s">
        <v>590</v>
      </c>
      <c r="B369" s="8" t="s">
        <v>5503</v>
      </c>
      <c r="C369" s="8" t="s">
        <v>5504</v>
      </c>
      <c r="D369" s="9">
        <v>7.391050757E9</v>
      </c>
      <c r="E369" s="8" t="s">
        <v>5505</v>
      </c>
      <c r="F369" s="8" t="s">
        <v>5506</v>
      </c>
      <c r="G369" s="8" t="s">
        <v>5507</v>
      </c>
      <c r="H369" s="8" t="s">
        <v>3479</v>
      </c>
      <c r="I369" s="9">
        <v>0.0</v>
      </c>
      <c r="J369" s="9">
        <v>1750.0</v>
      </c>
      <c r="K369" s="9">
        <v>1750.0</v>
      </c>
      <c r="L369" s="9">
        <v>1750.0</v>
      </c>
      <c r="M369" s="9">
        <v>0.0</v>
      </c>
      <c r="N369" s="9">
        <v>0.0</v>
      </c>
      <c r="O369" s="9">
        <v>1750.0</v>
      </c>
      <c r="P369" s="8" t="s">
        <v>3480</v>
      </c>
      <c r="Q369" s="8" t="s">
        <v>5508</v>
      </c>
      <c r="R369" s="8" t="s">
        <v>5509</v>
      </c>
    </row>
    <row r="370">
      <c r="A370" s="8" t="s">
        <v>459</v>
      </c>
      <c r="B370" s="8" t="s">
        <v>5510</v>
      </c>
      <c r="C370" s="8" t="s">
        <v>5511</v>
      </c>
      <c r="D370" s="9">
        <v>9.604248148E9</v>
      </c>
      <c r="E370" s="8" t="s">
        <v>5512</v>
      </c>
      <c r="F370" s="8" t="s">
        <v>3509</v>
      </c>
      <c r="G370" s="8" t="s">
        <v>5513</v>
      </c>
      <c r="H370" s="8" t="s">
        <v>3479</v>
      </c>
      <c r="I370" s="9">
        <v>0.0</v>
      </c>
      <c r="J370" s="9">
        <v>1259.0</v>
      </c>
      <c r="K370" s="9">
        <v>1259.0</v>
      </c>
      <c r="L370" s="9">
        <v>1259.0</v>
      </c>
      <c r="M370" s="9">
        <v>80.0</v>
      </c>
      <c r="N370" s="9">
        <v>730.0</v>
      </c>
      <c r="O370" s="9">
        <v>449.0</v>
      </c>
      <c r="P370" s="8" t="s">
        <v>3480</v>
      </c>
      <c r="Q370" s="8" t="s">
        <v>5514</v>
      </c>
      <c r="R370" s="8"/>
    </row>
    <row r="371">
      <c r="A371" s="8" t="s">
        <v>600</v>
      </c>
      <c r="B371" s="8" t="s">
        <v>5515</v>
      </c>
      <c r="C371" s="8" t="s">
        <v>4132</v>
      </c>
      <c r="D371" s="9">
        <v>8.898959509E9</v>
      </c>
      <c r="E371" s="8" t="s">
        <v>4133</v>
      </c>
      <c r="F371" s="8" t="s">
        <v>4134</v>
      </c>
      <c r="G371" s="8" t="s">
        <v>3494</v>
      </c>
      <c r="H371" s="8" t="s">
        <v>3479</v>
      </c>
      <c r="I371" s="9">
        <v>0.0</v>
      </c>
      <c r="J371" s="9">
        <v>919.0</v>
      </c>
      <c r="K371" s="9">
        <v>919.0</v>
      </c>
      <c r="L371" s="9">
        <v>919.0</v>
      </c>
      <c r="M371" s="9">
        <v>135.0</v>
      </c>
      <c r="N371" s="9">
        <v>784.0</v>
      </c>
      <c r="O371" s="9">
        <v>0.0</v>
      </c>
      <c r="P371" s="8" t="s">
        <v>3480</v>
      </c>
      <c r="Q371" s="8"/>
      <c r="R371" s="8"/>
    </row>
    <row r="372">
      <c r="A372" s="8" t="s">
        <v>565</v>
      </c>
      <c r="B372" s="8" t="s">
        <v>5516</v>
      </c>
      <c r="C372" s="8" t="s">
        <v>5517</v>
      </c>
      <c r="D372" s="9">
        <v>8.484849999E9</v>
      </c>
      <c r="E372" s="8" t="s">
        <v>5518</v>
      </c>
      <c r="F372" s="8" t="s">
        <v>3589</v>
      </c>
      <c r="G372" s="8" t="s">
        <v>5519</v>
      </c>
      <c r="H372" s="8" t="s">
        <v>3479</v>
      </c>
      <c r="I372" s="9">
        <v>0.0</v>
      </c>
      <c r="J372" s="9">
        <v>2669.0</v>
      </c>
      <c r="K372" s="9">
        <v>2669.0</v>
      </c>
      <c r="L372" s="9">
        <v>2669.0</v>
      </c>
      <c r="M372" s="9">
        <v>1415.0</v>
      </c>
      <c r="N372" s="9">
        <v>730.0</v>
      </c>
      <c r="O372" s="9">
        <v>524.0</v>
      </c>
      <c r="P372" s="8" t="s">
        <v>3519</v>
      </c>
      <c r="Q372" s="8" t="s">
        <v>5520</v>
      </c>
      <c r="R372" s="8" t="s">
        <v>5521</v>
      </c>
    </row>
    <row r="373">
      <c r="A373" s="8" t="s">
        <v>564</v>
      </c>
      <c r="B373" s="8" t="s">
        <v>5522</v>
      </c>
      <c r="C373" s="8" t="s">
        <v>3592</v>
      </c>
      <c r="D373" s="9">
        <v>8.097849578E9</v>
      </c>
      <c r="E373" s="8" t="s">
        <v>5523</v>
      </c>
      <c r="F373" s="8" t="s">
        <v>3498</v>
      </c>
      <c r="G373" s="8" t="s">
        <v>5524</v>
      </c>
      <c r="H373" s="8" t="s">
        <v>3479</v>
      </c>
      <c r="I373" s="9">
        <v>0.0</v>
      </c>
      <c r="J373" s="9">
        <v>2072.0</v>
      </c>
      <c r="K373" s="9">
        <v>2072.0</v>
      </c>
      <c r="L373" s="9">
        <v>2072.0</v>
      </c>
      <c r="M373" s="9">
        <v>818.0</v>
      </c>
      <c r="N373" s="9">
        <v>730.0</v>
      </c>
      <c r="O373" s="9">
        <v>524.0</v>
      </c>
      <c r="P373" s="8" t="s">
        <v>3480</v>
      </c>
      <c r="Q373" s="8" t="s">
        <v>5525</v>
      </c>
      <c r="R373" s="8" t="s">
        <v>5526</v>
      </c>
    </row>
    <row r="374">
      <c r="A374" s="8" t="s">
        <v>567</v>
      </c>
      <c r="B374" s="8" t="s">
        <v>5527</v>
      </c>
      <c r="C374" s="8" t="s">
        <v>5528</v>
      </c>
      <c r="D374" s="9">
        <v>9.028191356E9</v>
      </c>
      <c r="E374" s="8" t="s">
        <v>5529</v>
      </c>
      <c r="F374" s="8" t="s">
        <v>5530</v>
      </c>
      <c r="G374" s="8" t="s">
        <v>5531</v>
      </c>
      <c r="H374" s="8" t="s">
        <v>3479</v>
      </c>
      <c r="I374" s="9">
        <v>0.0</v>
      </c>
      <c r="J374" s="9">
        <v>2361.0</v>
      </c>
      <c r="K374" s="9">
        <v>2361.0</v>
      </c>
      <c r="L374" s="9">
        <v>2361.0</v>
      </c>
      <c r="M374" s="9">
        <v>788.0</v>
      </c>
      <c r="N374" s="9">
        <v>849.0</v>
      </c>
      <c r="O374" s="9">
        <v>724.0</v>
      </c>
      <c r="P374" s="8" t="s">
        <v>3480</v>
      </c>
      <c r="Q374" s="8"/>
      <c r="R374" s="8"/>
    </row>
    <row r="375">
      <c r="A375" s="8" t="s">
        <v>461</v>
      </c>
      <c r="B375" s="8" t="s">
        <v>5532</v>
      </c>
      <c r="C375" s="8" t="s">
        <v>5533</v>
      </c>
      <c r="D375" s="9">
        <v>9.93080766E9</v>
      </c>
      <c r="E375" s="8" t="s">
        <v>5534</v>
      </c>
      <c r="F375" s="8" t="s">
        <v>4929</v>
      </c>
      <c r="G375" s="8" t="s">
        <v>5535</v>
      </c>
      <c r="H375" s="8" t="s">
        <v>3479</v>
      </c>
      <c r="I375" s="9">
        <v>0.0</v>
      </c>
      <c r="J375" s="9">
        <v>4002.0</v>
      </c>
      <c r="K375" s="9">
        <v>4002.0</v>
      </c>
      <c r="L375" s="9">
        <v>4002.0</v>
      </c>
      <c r="M375" s="9">
        <v>2769.0</v>
      </c>
      <c r="N375" s="9">
        <v>784.0</v>
      </c>
      <c r="O375" s="9">
        <v>449.0</v>
      </c>
      <c r="P375" s="8" t="s">
        <v>3544</v>
      </c>
      <c r="Q375" s="8" t="s">
        <v>5536</v>
      </c>
      <c r="R375" s="8" t="s">
        <v>5537</v>
      </c>
    </row>
    <row r="376">
      <c r="A376" s="8" t="s">
        <v>569</v>
      </c>
      <c r="B376" s="8" t="s">
        <v>5538</v>
      </c>
      <c r="C376" s="8" t="s">
        <v>5539</v>
      </c>
      <c r="D376" s="9">
        <v>9.404630994E9</v>
      </c>
      <c r="E376" s="8" t="s">
        <v>5540</v>
      </c>
      <c r="F376" s="8" t="s">
        <v>3498</v>
      </c>
      <c r="G376" s="8" t="s">
        <v>5541</v>
      </c>
      <c r="H376" s="8" t="s">
        <v>3479</v>
      </c>
      <c r="I376" s="9">
        <v>0.0</v>
      </c>
      <c r="J376" s="9">
        <v>2652.0</v>
      </c>
      <c r="K376" s="9">
        <v>2652.0</v>
      </c>
      <c r="L376" s="9">
        <v>2652.0</v>
      </c>
      <c r="M376" s="9">
        <v>1398.0</v>
      </c>
      <c r="N376" s="9">
        <v>730.0</v>
      </c>
      <c r="O376" s="9">
        <v>524.0</v>
      </c>
      <c r="P376" s="8" t="s">
        <v>3480</v>
      </c>
      <c r="Q376" s="8" t="s">
        <v>5542</v>
      </c>
      <c r="R376" s="8" t="s">
        <v>5543</v>
      </c>
    </row>
    <row r="377">
      <c r="A377" s="8" t="s">
        <v>566</v>
      </c>
      <c r="B377" s="8" t="s">
        <v>5544</v>
      </c>
      <c r="C377" s="8" t="s">
        <v>5545</v>
      </c>
      <c r="D377" s="9">
        <v>8.66905941E9</v>
      </c>
      <c r="E377" s="8" t="s">
        <v>5546</v>
      </c>
      <c r="F377" s="8" t="s">
        <v>3615</v>
      </c>
      <c r="G377" s="8" t="s">
        <v>5547</v>
      </c>
      <c r="H377" s="8" t="s">
        <v>3479</v>
      </c>
      <c r="I377" s="9">
        <v>0.0</v>
      </c>
      <c r="J377" s="9">
        <v>922.0</v>
      </c>
      <c r="K377" s="9">
        <v>922.0</v>
      </c>
      <c r="L377" s="9">
        <v>922.0</v>
      </c>
      <c r="M377" s="9">
        <v>473.0</v>
      </c>
      <c r="N377" s="9">
        <v>0.0</v>
      </c>
      <c r="O377" s="9">
        <v>449.0</v>
      </c>
      <c r="P377" s="8" t="s">
        <v>3480</v>
      </c>
      <c r="Q377" s="8"/>
      <c r="R377" s="8"/>
    </row>
    <row r="378">
      <c r="A378" s="8" t="s">
        <v>570</v>
      </c>
      <c r="B378" s="8" t="s">
        <v>5548</v>
      </c>
      <c r="C378" s="8" t="s">
        <v>5549</v>
      </c>
      <c r="D378" s="9">
        <v>8.669787479E9</v>
      </c>
      <c r="E378" s="8" t="s">
        <v>5550</v>
      </c>
      <c r="F378" s="8" t="s">
        <v>3628</v>
      </c>
      <c r="G378" s="8" t="s">
        <v>5551</v>
      </c>
      <c r="H378" s="8" t="s">
        <v>3479</v>
      </c>
      <c r="I378" s="9">
        <v>0.0</v>
      </c>
      <c r="J378" s="9">
        <v>1732.0</v>
      </c>
      <c r="K378" s="9">
        <v>1732.0</v>
      </c>
      <c r="L378" s="9">
        <v>1732.0</v>
      </c>
      <c r="M378" s="9">
        <v>733.0</v>
      </c>
      <c r="N378" s="9">
        <v>0.0</v>
      </c>
      <c r="O378" s="9">
        <v>999.0</v>
      </c>
      <c r="P378" s="8" t="s">
        <v>3480</v>
      </c>
      <c r="Q378" s="8" t="s">
        <v>5552</v>
      </c>
      <c r="R378" s="8"/>
    </row>
    <row r="379">
      <c r="A379" s="8" t="s">
        <v>568</v>
      </c>
      <c r="B379" s="8" t="s">
        <v>5553</v>
      </c>
      <c r="C379" s="8" t="s">
        <v>5554</v>
      </c>
      <c r="D379" s="9">
        <v>8.999662331E9</v>
      </c>
      <c r="E379" s="8" t="s">
        <v>5555</v>
      </c>
      <c r="F379" s="8" t="s">
        <v>5556</v>
      </c>
      <c r="G379" s="8" t="s">
        <v>5557</v>
      </c>
      <c r="H379" s="8" t="s">
        <v>3479</v>
      </c>
      <c r="I379" s="9">
        <v>0.0</v>
      </c>
      <c r="J379" s="9">
        <v>852.0</v>
      </c>
      <c r="K379" s="9">
        <v>852.0</v>
      </c>
      <c r="L379" s="9">
        <v>852.0</v>
      </c>
      <c r="M379" s="9">
        <v>323.0</v>
      </c>
      <c r="N379" s="9">
        <v>0.0</v>
      </c>
      <c r="O379" s="9">
        <v>529.0</v>
      </c>
      <c r="P379" s="8" t="s">
        <v>3480</v>
      </c>
      <c r="Q379" s="8"/>
      <c r="R379" s="8"/>
    </row>
    <row r="380">
      <c r="A380" s="8" t="s">
        <v>573</v>
      </c>
      <c r="B380" s="8" t="s">
        <v>5558</v>
      </c>
      <c r="C380" s="8" t="s">
        <v>5559</v>
      </c>
      <c r="D380" s="9">
        <v>8.793314482E9</v>
      </c>
      <c r="E380" s="8" t="s">
        <v>5560</v>
      </c>
      <c r="F380" s="8" t="s">
        <v>3977</v>
      </c>
      <c r="G380" s="8" t="s">
        <v>5561</v>
      </c>
      <c r="H380" s="8" t="s">
        <v>5562</v>
      </c>
      <c r="I380" s="9">
        <v>0.0</v>
      </c>
      <c r="J380" s="9">
        <v>2100.0</v>
      </c>
      <c r="K380" s="9">
        <v>2152.0</v>
      </c>
      <c r="L380" s="9">
        <v>2100.0</v>
      </c>
      <c r="M380" s="9">
        <v>973.0</v>
      </c>
      <c r="N380" s="9">
        <v>730.0</v>
      </c>
      <c r="O380" s="9">
        <v>449.0</v>
      </c>
      <c r="P380" s="8" t="s">
        <v>3480</v>
      </c>
      <c r="Q380" s="8"/>
      <c r="R380" s="8"/>
    </row>
    <row r="381">
      <c r="A381" s="8" t="s">
        <v>462</v>
      </c>
      <c r="B381" s="8" t="s">
        <v>5563</v>
      </c>
      <c r="C381" s="8" t="s">
        <v>5564</v>
      </c>
      <c r="D381" s="9">
        <v>8.626080389E9</v>
      </c>
      <c r="E381" s="8" t="s">
        <v>5565</v>
      </c>
      <c r="F381" s="8" t="s">
        <v>3677</v>
      </c>
      <c r="G381" s="8" t="s">
        <v>5566</v>
      </c>
      <c r="H381" s="8" t="s">
        <v>3479</v>
      </c>
      <c r="I381" s="9">
        <v>0.0</v>
      </c>
      <c r="J381" s="9">
        <v>1698.0</v>
      </c>
      <c r="K381" s="9">
        <v>1698.0</v>
      </c>
      <c r="L381" s="9">
        <v>1698.0</v>
      </c>
      <c r="M381" s="9">
        <v>315.0</v>
      </c>
      <c r="N381" s="9">
        <v>784.0</v>
      </c>
      <c r="O381" s="9">
        <v>599.0</v>
      </c>
      <c r="P381" s="8" t="s">
        <v>3480</v>
      </c>
      <c r="Q381" s="8" t="s">
        <v>5567</v>
      </c>
      <c r="R381" s="8" t="s">
        <v>5568</v>
      </c>
    </row>
    <row r="382">
      <c r="A382" s="8" t="s">
        <v>571</v>
      </c>
      <c r="B382" s="8" t="s">
        <v>5569</v>
      </c>
      <c r="C382" s="8" t="s">
        <v>5570</v>
      </c>
      <c r="D382" s="9">
        <v>6.261948875E9</v>
      </c>
      <c r="E382" s="8" t="s">
        <v>5571</v>
      </c>
      <c r="F382" s="8" t="s">
        <v>3550</v>
      </c>
      <c r="G382" s="8" t="s">
        <v>5572</v>
      </c>
      <c r="H382" s="8" t="s">
        <v>3479</v>
      </c>
      <c r="I382" s="9">
        <v>0.0</v>
      </c>
      <c r="J382" s="9">
        <v>1434.0</v>
      </c>
      <c r="K382" s="9">
        <v>1434.0</v>
      </c>
      <c r="L382" s="9">
        <v>1434.0</v>
      </c>
      <c r="M382" s="9">
        <v>255.0</v>
      </c>
      <c r="N382" s="9">
        <v>730.0</v>
      </c>
      <c r="O382" s="9">
        <v>449.0</v>
      </c>
      <c r="P382" s="8" t="s">
        <v>3480</v>
      </c>
      <c r="Q382" s="8"/>
      <c r="R382" s="8"/>
    </row>
    <row r="383">
      <c r="A383" s="8" t="s">
        <v>574</v>
      </c>
      <c r="B383" s="8" t="s">
        <v>5573</v>
      </c>
      <c r="C383" s="8" t="s">
        <v>5574</v>
      </c>
      <c r="D383" s="9">
        <v>8.999952413E9</v>
      </c>
      <c r="E383" s="8" t="s">
        <v>5575</v>
      </c>
      <c r="F383" s="8" t="s">
        <v>3498</v>
      </c>
      <c r="G383" s="8" t="s">
        <v>5576</v>
      </c>
      <c r="H383" s="8" t="s">
        <v>3479</v>
      </c>
      <c r="I383" s="9">
        <v>0.0</v>
      </c>
      <c r="J383" s="9">
        <v>1579.0</v>
      </c>
      <c r="K383" s="9">
        <v>1579.0</v>
      </c>
      <c r="L383" s="9">
        <v>1579.0</v>
      </c>
      <c r="M383" s="9">
        <v>245.0</v>
      </c>
      <c r="N383" s="9">
        <v>730.0</v>
      </c>
      <c r="O383" s="9">
        <v>604.0</v>
      </c>
      <c r="P383" s="8" t="s">
        <v>3480</v>
      </c>
      <c r="Q383" s="8"/>
      <c r="R383" s="8"/>
    </row>
    <row r="384">
      <c r="A384" s="8" t="s">
        <v>463</v>
      </c>
      <c r="B384" s="8" t="s">
        <v>5577</v>
      </c>
      <c r="C384" s="8" t="s">
        <v>5578</v>
      </c>
      <c r="D384" s="9">
        <v>9.975190975E9</v>
      </c>
      <c r="E384" s="8" t="s">
        <v>5579</v>
      </c>
      <c r="F384" s="8" t="s">
        <v>5025</v>
      </c>
      <c r="G384" s="8" t="s">
        <v>3494</v>
      </c>
      <c r="H384" s="8" t="s">
        <v>3479</v>
      </c>
      <c r="I384" s="9">
        <v>0.0</v>
      </c>
      <c r="J384" s="9">
        <v>1686.0</v>
      </c>
      <c r="K384" s="9">
        <v>1686.0</v>
      </c>
      <c r="L384" s="9">
        <v>1686.0</v>
      </c>
      <c r="M384" s="9">
        <v>1237.0</v>
      </c>
      <c r="N384" s="9">
        <v>0.0</v>
      </c>
      <c r="O384" s="9">
        <v>449.0</v>
      </c>
      <c r="P384" s="8" t="s">
        <v>3480</v>
      </c>
      <c r="Q384" s="8" t="s">
        <v>5580</v>
      </c>
      <c r="R384" s="8" t="s">
        <v>5581</v>
      </c>
    </row>
    <row r="385">
      <c r="A385" s="8" t="s">
        <v>464</v>
      </c>
      <c r="B385" s="8" t="s">
        <v>5582</v>
      </c>
      <c r="C385" s="8" t="s">
        <v>5583</v>
      </c>
      <c r="D385" s="9">
        <v>7.888040218E9</v>
      </c>
      <c r="E385" s="8" t="s">
        <v>5584</v>
      </c>
      <c r="F385" s="8" t="s">
        <v>5585</v>
      </c>
      <c r="G385" s="8" t="s">
        <v>5586</v>
      </c>
      <c r="H385" s="8" t="s">
        <v>3479</v>
      </c>
      <c r="I385" s="9">
        <v>0.0</v>
      </c>
      <c r="J385" s="9">
        <v>1762.0</v>
      </c>
      <c r="K385" s="9">
        <v>1762.0</v>
      </c>
      <c r="L385" s="9">
        <v>1762.0</v>
      </c>
      <c r="M385" s="9">
        <v>583.0</v>
      </c>
      <c r="N385" s="9">
        <v>730.0</v>
      </c>
      <c r="O385" s="9">
        <v>449.0</v>
      </c>
      <c r="P385" s="8" t="s">
        <v>3480</v>
      </c>
      <c r="Q385" s="8" t="s">
        <v>5587</v>
      </c>
      <c r="R385" s="8" t="s">
        <v>5588</v>
      </c>
    </row>
    <row r="386">
      <c r="A386" s="8" t="s">
        <v>465</v>
      </c>
      <c r="B386" s="8" t="s">
        <v>5589</v>
      </c>
      <c r="C386" s="8" t="s">
        <v>3819</v>
      </c>
      <c r="D386" s="9">
        <v>9.359277762E9</v>
      </c>
      <c r="E386" s="8" t="s">
        <v>3820</v>
      </c>
      <c r="F386" s="8" t="s">
        <v>3821</v>
      </c>
      <c r="G386" s="8" t="s">
        <v>5590</v>
      </c>
      <c r="H386" s="8" t="s">
        <v>3479</v>
      </c>
      <c r="I386" s="9">
        <v>0.0</v>
      </c>
      <c r="J386" s="9">
        <v>917.0</v>
      </c>
      <c r="K386" s="9">
        <v>917.0</v>
      </c>
      <c r="L386" s="9">
        <v>917.0</v>
      </c>
      <c r="M386" s="9">
        <v>313.0</v>
      </c>
      <c r="N386" s="9">
        <v>80.0</v>
      </c>
      <c r="O386" s="9">
        <v>524.0</v>
      </c>
      <c r="P386" s="8" t="s">
        <v>3480</v>
      </c>
      <c r="Q386" s="8" t="s">
        <v>3823</v>
      </c>
      <c r="R386" s="8" t="s">
        <v>3824</v>
      </c>
    </row>
    <row r="387">
      <c r="A387" s="8" t="s">
        <v>467</v>
      </c>
      <c r="B387" s="8" t="s">
        <v>5591</v>
      </c>
      <c r="C387" s="8" t="s">
        <v>5592</v>
      </c>
      <c r="D387" s="9">
        <v>8.805096141E9</v>
      </c>
      <c r="E387" s="8" t="s">
        <v>5593</v>
      </c>
      <c r="F387" s="8" t="s">
        <v>3608</v>
      </c>
      <c r="G387" s="8" t="s">
        <v>5594</v>
      </c>
      <c r="H387" s="8" t="s">
        <v>5595</v>
      </c>
      <c r="I387" s="9">
        <v>0.0</v>
      </c>
      <c r="J387" s="9">
        <v>1500.0</v>
      </c>
      <c r="K387" s="9">
        <v>1521.0</v>
      </c>
      <c r="L387" s="9">
        <v>1500.0</v>
      </c>
      <c r="M387" s="9">
        <v>333.0</v>
      </c>
      <c r="N387" s="9">
        <v>739.0</v>
      </c>
      <c r="O387" s="9">
        <v>449.0</v>
      </c>
      <c r="P387" s="8" t="s">
        <v>3519</v>
      </c>
      <c r="Q387" s="8" t="s">
        <v>5596</v>
      </c>
      <c r="R387" s="8" t="s">
        <v>5597</v>
      </c>
    </row>
    <row r="388">
      <c r="A388" s="8" t="s">
        <v>469</v>
      </c>
      <c r="B388" s="8" t="s">
        <v>5598</v>
      </c>
      <c r="C388" s="8" t="s">
        <v>5299</v>
      </c>
      <c r="D388" s="9">
        <v>8.805976827E9</v>
      </c>
      <c r="E388" s="8" t="s">
        <v>5300</v>
      </c>
      <c r="F388" s="8" t="s">
        <v>5301</v>
      </c>
      <c r="G388" s="8" t="s">
        <v>5302</v>
      </c>
      <c r="H388" s="8" t="s">
        <v>3479</v>
      </c>
      <c r="I388" s="9">
        <v>0.0</v>
      </c>
      <c r="J388" s="9">
        <v>1019.0</v>
      </c>
      <c r="K388" s="9">
        <v>1019.0</v>
      </c>
      <c r="L388" s="9">
        <v>1019.0</v>
      </c>
      <c r="M388" s="9">
        <v>80.0</v>
      </c>
      <c r="N388" s="9">
        <v>190.0</v>
      </c>
      <c r="O388" s="9">
        <v>749.0</v>
      </c>
      <c r="P388" s="8" t="s">
        <v>3480</v>
      </c>
      <c r="Q388" s="8" t="s">
        <v>5303</v>
      </c>
      <c r="R388" s="8" t="s">
        <v>5304</v>
      </c>
    </row>
    <row r="389">
      <c r="A389" s="8" t="s">
        <v>572</v>
      </c>
      <c r="B389" s="8" t="s">
        <v>5599</v>
      </c>
      <c r="C389" s="8" t="s">
        <v>5600</v>
      </c>
      <c r="D389" s="9">
        <v>8.871710584E9</v>
      </c>
      <c r="E389" s="8" t="s">
        <v>5601</v>
      </c>
      <c r="F389" s="8" t="s">
        <v>3993</v>
      </c>
      <c r="G389" s="8" t="s">
        <v>5602</v>
      </c>
      <c r="H389" s="8" t="s">
        <v>3479</v>
      </c>
      <c r="I389" s="9">
        <v>0.0</v>
      </c>
      <c r="J389" s="9">
        <v>1783.0</v>
      </c>
      <c r="K389" s="9">
        <v>1783.0</v>
      </c>
      <c r="L389" s="9">
        <v>1783.0</v>
      </c>
      <c r="M389" s="9">
        <v>844.0</v>
      </c>
      <c r="N389" s="9">
        <v>65.0</v>
      </c>
      <c r="O389" s="9">
        <v>874.0</v>
      </c>
      <c r="P389" s="8" t="s">
        <v>3480</v>
      </c>
      <c r="Q389" s="8" t="s">
        <v>5603</v>
      </c>
      <c r="R389" s="8" t="s">
        <v>5604</v>
      </c>
    </row>
    <row r="390">
      <c r="A390" s="8" t="s">
        <v>466</v>
      </c>
      <c r="B390" s="8" t="s">
        <v>5605</v>
      </c>
      <c r="C390" s="8" t="s">
        <v>5606</v>
      </c>
      <c r="D390" s="9">
        <v>9.595148548E9</v>
      </c>
      <c r="E390" s="8" t="s">
        <v>5607</v>
      </c>
      <c r="F390" s="8" t="s">
        <v>3653</v>
      </c>
      <c r="G390" s="8" t="s">
        <v>3494</v>
      </c>
      <c r="H390" s="8" t="s">
        <v>3479</v>
      </c>
      <c r="I390" s="9">
        <v>0.0</v>
      </c>
      <c r="J390" s="9">
        <v>3405.0</v>
      </c>
      <c r="K390" s="9">
        <v>3405.0</v>
      </c>
      <c r="L390" s="9">
        <v>3405.0</v>
      </c>
      <c r="M390" s="9">
        <v>1847.0</v>
      </c>
      <c r="N390" s="9">
        <v>784.0</v>
      </c>
      <c r="O390" s="9">
        <v>774.0</v>
      </c>
      <c r="P390" s="8" t="s">
        <v>3480</v>
      </c>
      <c r="Q390" s="8" t="s">
        <v>5608</v>
      </c>
      <c r="R390" s="8" t="s">
        <v>5609</v>
      </c>
    </row>
    <row r="391">
      <c r="A391" s="8" t="s">
        <v>468</v>
      </c>
      <c r="B391" s="8" t="s">
        <v>5610</v>
      </c>
      <c r="C391" s="8" t="s">
        <v>5611</v>
      </c>
      <c r="D391" s="9">
        <v>8.888700017E9</v>
      </c>
      <c r="E391" s="8" t="s">
        <v>5612</v>
      </c>
      <c r="F391" s="8" t="s">
        <v>5613</v>
      </c>
      <c r="G391" s="8" t="s">
        <v>5614</v>
      </c>
      <c r="H391" s="8" t="s">
        <v>3479</v>
      </c>
      <c r="I391" s="9">
        <v>0.0</v>
      </c>
      <c r="J391" s="9">
        <v>2922.0</v>
      </c>
      <c r="K391" s="9">
        <v>2922.0</v>
      </c>
      <c r="L391" s="9">
        <v>2922.0</v>
      </c>
      <c r="M391" s="9">
        <v>1659.0</v>
      </c>
      <c r="N391" s="9">
        <v>739.0</v>
      </c>
      <c r="O391" s="9">
        <v>524.0</v>
      </c>
      <c r="P391" s="8" t="s">
        <v>3480</v>
      </c>
      <c r="Q391" s="8" t="s">
        <v>5615</v>
      </c>
      <c r="R391" s="8" t="s">
        <v>5616</v>
      </c>
    </row>
    <row r="392">
      <c r="A392" s="8" t="s">
        <v>619</v>
      </c>
      <c r="B392" s="8" t="s">
        <v>5617</v>
      </c>
      <c r="C392" s="8" t="s">
        <v>4550</v>
      </c>
      <c r="D392" s="9">
        <v>9.727754606E9</v>
      </c>
      <c r="E392" s="8" t="s">
        <v>4551</v>
      </c>
      <c r="F392" s="8" t="s">
        <v>3509</v>
      </c>
      <c r="G392" s="8" t="s">
        <v>3494</v>
      </c>
      <c r="H392" s="8" t="s">
        <v>5618</v>
      </c>
      <c r="I392" s="9">
        <v>0.0</v>
      </c>
      <c r="J392" s="9">
        <v>6000.0</v>
      </c>
      <c r="K392" s="9">
        <v>6085.0</v>
      </c>
      <c r="L392" s="9">
        <v>6000.0</v>
      </c>
      <c r="M392" s="9">
        <v>3835.0</v>
      </c>
      <c r="N392" s="9">
        <v>0.0</v>
      </c>
      <c r="O392" s="9">
        <v>2250.0</v>
      </c>
      <c r="P392" s="8" t="s">
        <v>3480</v>
      </c>
      <c r="Q392" s="8" t="s">
        <v>4553</v>
      </c>
      <c r="R392" s="8" t="s">
        <v>4554</v>
      </c>
    </row>
    <row r="393">
      <c r="A393" s="8" t="s">
        <v>472</v>
      </c>
      <c r="B393" s="8" t="s">
        <v>5619</v>
      </c>
      <c r="C393" s="8" t="s">
        <v>5620</v>
      </c>
      <c r="D393" s="9">
        <v>7.083009561E9</v>
      </c>
      <c r="E393" s="8" t="s">
        <v>5621</v>
      </c>
      <c r="F393" s="8" t="s">
        <v>3608</v>
      </c>
      <c r="G393" s="8" t="s">
        <v>5622</v>
      </c>
      <c r="H393" s="8" t="s">
        <v>3479</v>
      </c>
      <c r="I393" s="9">
        <v>0.0</v>
      </c>
      <c r="J393" s="9">
        <v>785.0</v>
      </c>
      <c r="K393" s="9">
        <v>785.0</v>
      </c>
      <c r="L393" s="9">
        <v>785.0</v>
      </c>
      <c r="M393" s="9">
        <v>410.0</v>
      </c>
      <c r="N393" s="9">
        <v>0.0</v>
      </c>
      <c r="O393" s="9">
        <v>375.0</v>
      </c>
      <c r="P393" s="8" t="s">
        <v>3480</v>
      </c>
      <c r="Q393" s="8" t="s">
        <v>5623</v>
      </c>
      <c r="R393" s="8" t="s">
        <v>5624</v>
      </c>
    </row>
    <row r="394">
      <c r="A394" s="8" t="s">
        <v>620</v>
      </c>
      <c r="B394" s="8" t="s">
        <v>5625</v>
      </c>
      <c r="C394" s="8" t="s">
        <v>5626</v>
      </c>
      <c r="D394" s="9">
        <v>9.766313203E9</v>
      </c>
      <c r="E394" s="8" t="s">
        <v>5627</v>
      </c>
      <c r="F394" s="8" t="s">
        <v>4333</v>
      </c>
      <c r="G394" s="8" t="s">
        <v>5628</v>
      </c>
      <c r="H394" s="8" t="s">
        <v>3479</v>
      </c>
      <c r="I394" s="9">
        <v>0.0</v>
      </c>
      <c r="J394" s="9">
        <v>2097.0</v>
      </c>
      <c r="K394" s="9">
        <v>2097.0</v>
      </c>
      <c r="L394" s="9">
        <v>2097.0</v>
      </c>
      <c r="M394" s="9">
        <v>418.0</v>
      </c>
      <c r="N394" s="9">
        <v>900.0</v>
      </c>
      <c r="O394" s="9">
        <v>779.0</v>
      </c>
      <c r="P394" s="8" t="s">
        <v>3480</v>
      </c>
      <c r="Q394" s="8" t="s">
        <v>5629</v>
      </c>
      <c r="R394" s="8" t="s">
        <v>5630</v>
      </c>
    </row>
    <row r="395">
      <c r="A395" s="8" t="s">
        <v>470</v>
      </c>
      <c r="B395" s="8" t="s">
        <v>5631</v>
      </c>
      <c r="C395" s="8" t="s">
        <v>4720</v>
      </c>
      <c r="D395" s="9">
        <v>7.744895583E9</v>
      </c>
      <c r="E395" s="8" t="s">
        <v>5632</v>
      </c>
      <c r="F395" s="8" t="s">
        <v>5633</v>
      </c>
      <c r="G395" s="8" t="s">
        <v>5634</v>
      </c>
      <c r="H395" s="8" t="s">
        <v>5635</v>
      </c>
      <c r="I395" s="9">
        <v>0.0</v>
      </c>
      <c r="J395" s="9">
        <v>0.0</v>
      </c>
      <c r="K395" s="9">
        <v>10078.0</v>
      </c>
      <c r="L395" s="9">
        <v>9500.0</v>
      </c>
      <c r="M395" s="9">
        <v>7380.0</v>
      </c>
      <c r="N395" s="9">
        <v>849.0</v>
      </c>
      <c r="O395" s="9">
        <v>1849.0</v>
      </c>
      <c r="P395" s="8" t="s">
        <v>3480</v>
      </c>
      <c r="Q395" s="8"/>
      <c r="R395" s="8"/>
    </row>
    <row r="396">
      <c r="A396" s="8" t="s">
        <v>621</v>
      </c>
      <c r="B396" s="8" t="s">
        <v>5636</v>
      </c>
      <c r="C396" s="8" t="s">
        <v>5637</v>
      </c>
      <c r="D396" s="9">
        <v>8.149317397E9</v>
      </c>
      <c r="E396" s="8" t="s">
        <v>5638</v>
      </c>
      <c r="F396" s="8" t="s">
        <v>3934</v>
      </c>
      <c r="G396" s="8" t="s">
        <v>5639</v>
      </c>
      <c r="H396" s="8" t="s">
        <v>3479</v>
      </c>
      <c r="I396" s="9">
        <v>0.0</v>
      </c>
      <c r="J396" s="9">
        <v>1259.0</v>
      </c>
      <c r="K396" s="9">
        <v>1259.0</v>
      </c>
      <c r="L396" s="9">
        <v>1259.0</v>
      </c>
      <c r="M396" s="9">
        <v>80.0</v>
      </c>
      <c r="N396" s="9">
        <v>730.0</v>
      </c>
      <c r="O396" s="9">
        <v>449.0</v>
      </c>
      <c r="P396" s="8" t="s">
        <v>3480</v>
      </c>
      <c r="Q396" s="8" t="s">
        <v>5640</v>
      </c>
      <c r="R396" s="8" t="s">
        <v>5641</v>
      </c>
    </row>
    <row r="397">
      <c r="A397" s="8" t="s">
        <v>622</v>
      </c>
      <c r="B397" s="8" t="s">
        <v>5642</v>
      </c>
      <c r="C397" s="8" t="s">
        <v>5643</v>
      </c>
      <c r="D397" s="9">
        <v>7.888042126E9</v>
      </c>
      <c r="E397" s="8" t="s">
        <v>5644</v>
      </c>
      <c r="F397" s="8" t="s">
        <v>4093</v>
      </c>
      <c r="G397" s="8" t="s">
        <v>5645</v>
      </c>
      <c r="H397" s="8" t="s">
        <v>3479</v>
      </c>
      <c r="I397" s="9">
        <v>1123.0</v>
      </c>
      <c r="J397" s="9">
        <v>0.0</v>
      </c>
      <c r="K397" s="9">
        <v>1123.0</v>
      </c>
      <c r="L397" s="9">
        <v>1123.0</v>
      </c>
      <c r="M397" s="9">
        <v>80.0</v>
      </c>
      <c r="N397" s="9">
        <v>594.0</v>
      </c>
      <c r="O397" s="9">
        <v>449.0</v>
      </c>
      <c r="P397" s="8" t="s">
        <v>3519</v>
      </c>
      <c r="Q397" s="8" t="s">
        <v>5646</v>
      </c>
      <c r="R397" s="8" t="s">
        <v>5647</v>
      </c>
    </row>
    <row r="398">
      <c r="A398" s="8" t="s">
        <v>545</v>
      </c>
      <c r="B398" s="8" t="s">
        <v>5648</v>
      </c>
      <c r="C398" s="8" t="s">
        <v>5649</v>
      </c>
      <c r="D398" s="9">
        <v>9.689780277E9</v>
      </c>
      <c r="E398" s="8" t="s">
        <v>5650</v>
      </c>
      <c r="F398" s="8" t="s">
        <v>3615</v>
      </c>
      <c r="G398" s="8" t="s">
        <v>5651</v>
      </c>
      <c r="H398" s="8" t="s">
        <v>3479</v>
      </c>
      <c r="I398" s="9">
        <v>0.0</v>
      </c>
      <c r="J398" s="9">
        <v>2731.0</v>
      </c>
      <c r="K398" s="9">
        <v>2731.0</v>
      </c>
      <c r="L398" s="9">
        <v>2731.0</v>
      </c>
      <c r="M398" s="9">
        <v>1498.0</v>
      </c>
      <c r="N398" s="9">
        <v>784.0</v>
      </c>
      <c r="O398" s="9">
        <v>449.0</v>
      </c>
      <c r="P398" s="8" t="s">
        <v>3480</v>
      </c>
      <c r="Q398" s="8"/>
      <c r="R398" s="8"/>
    </row>
    <row r="399">
      <c r="A399" s="8" t="s">
        <v>546</v>
      </c>
      <c r="B399" s="8" t="s">
        <v>5652</v>
      </c>
      <c r="C399" s="8" t="s">
        <v>5649</v>
      </c>
      <c r="D399" s="9">
        <v>8.087506055E9</v>
      </c>
      <c r="E399" s="8" t="s">
        <v>5653</v>
      </c>
      <c r="F399" s="8" t="s">
        <v>3486</v>
      </c>
      <c r="G399" s="8" t="s">
        <v>5654</v>
      </c>
      <c r="H399" s="8" t="s">
        <v>3479</v>
      </c>
      <c r="I399" s="9">
        <v>0.0</v>
      </c>
      <c r="J399" s="9">
        <v>1509.0</v>
      </c>
      <c r="K399" s="9">
        <v>1509.0</v>
      </c>
      <c r="L399" s="9">
        <v>1509.0</v>
      </c>
      <c r="M399" s="9">
        <v>80.0</v>
      </c>
      <c r="N399" s="9">
        <v>730.0</v>
      </c>
      <c r="O399" s="9">
        <v>699.0</v>
      </c>
      <c r="P399" s="8" t="s">
        <v>3480</v>
      </c>
      <c r="Q399" s="8"/>
      <c r="R399" s="8"/>
    </row>
    <row r="400">
      <c r="A400" s="8" t="s">
        <v>471</v>
      </c>
      <c r="B400" s="8" t="s">
        <v>5655</v>
      </c>
      <c r="C400" s="8" t="s">
        <v>5656</v>
      </c>
      <c r="D400" s="9">
        <v>9.92294198E9</v>
      </c>
      <c r="E400" s="8" t="s">
        <v>5657</v>
      </c>
      <c r="F400" s="8" t="s">
        <v>3934</v>
      </c>
      <c r="G400" s="8" t="s">
        <v>5658</v>
      </c>
      <c r="H400" s="8" t="s">
        <v>3479</v>
      </c>
      <c r="I400" s="9">
        <v>0.0</v>
      </c>
      <c r="J400" s="9">
        <v>1798.0</v>
      </c>
      <c r="K400" s="9">
        <v>1798.0</v>
      </c>
      <c r="L400" s="9">
        <v>1798.0</v>
      </c>
      <c r="M400" s="9">
        <v>1543.0</v>
      </c>
      <c r="N400" s="9">
        <v>0.0</v>
      </c>
      <c r="O400" s="9">
        <v>255.0</v>
      </c>
      <c r="P400" s="8" t="s">
        <v>3480</v>
      </c>
      <c r="Q400" s="8" t="s">
        <v>5659</v>
      </c>
      <c r="R400" s="8" t="s">
        <v>5660</v>
      </c>
    </row>
    <row r="401">
      <c r="A401" s="8" t="s">
        <v>547</v>
      </c>
      <c r="B401" s="8" t="s">
        <v>5661</v>
      </c>
      <c r="C401" s="8" t="s">
        <v>5662</v>
      </c>
      <c r="D401" s="9">
        <v>7.588197967E9</v>
      </c>
      <c r="E401" s="8" t="s">
        <v>5663</v>
      </c>
      <c r="F401" s="8" t="s">
        <v>3753</v>
      </c>
      <c r="G401" s="8" t="s">
        <v>5664</v>
      </c>
      <c r="H401" s="8" t="s">
        <v>3479</v>
      </c>
      <c r="I401" s="9">
        <v>0.0</v>
      </c>
      <c r="J401" s="9">
        <v>1259.0</v>
      </c>
      <c r="K401" s="9">
        <v>1259.0</v>
      </c>
      <c r="L401" s="9">
        <v>1259.0</v>
      </c>
      <c r="M401" s="9">
        <v>80.0</v>
      </c>
      <c r="N401" s="9">
        <v>730.0</v>
      </c>
      <c r="O401" s="9">
        <v>449.0</v>
      </c>
      <c r="P401" s="8" t="s">
        <v>3480</v>
      </c>
      <c r="Q401" s="8"/>
      <c r="R401" s="8"/>
    </row>
    <row r="402">
      <c r="A402" s="8" t="s">
        <v>548</v>
      </c>
      <c r="B402" s="8" t="s">
        <v>5665</v>
      </c>
      <c r="C402" s="8" t="s">
        <v>5666</v>
      </c>
      <c r="D402" s="9">
        <v>9.560950596E9</v>
      </c>
      <c r="E402" s="8" t="s">
        <v>5667</v>
      </c>
      <c r="F402" s="8" t="s">
        <v>3714</v>
      </c>
      <c r="G402" s="8" t="s">
        <v>5668</v>
      </c>
      <c r="H402" s="8" t="s">
        <v>3479</v>
      </c>
      <c r="I402" s="9">
        <v>0.0</v>
      </c>
      <c r="J402" s="9">
        <v>2737.0</v>
      </c>
      <c r="K402" s="9">
        <v>2737.0</v>
      </c>
      <c r="L402" s="9">
        <v>2737.0</v>
      </c>
      <c r="M402" s="9">
        <v>794.0</v>
      </c>
      <c r="N402" s="9">
        <v>969.0</v>
      </c>
      <c r="O402" s="9">
        <v>974.0</v>
      </c>
      <c r="P402" s="8" t="s">
        <v>3544</v>
      </c>
      <c r="Q402" s="8"/>
      <c r="R402" s="8"/>
    </row>
    <row r="403">
      <c r="A403" s="8" t="s">
        <v>549</v>
      </c>
      <c r="B403" s="8" t="s">
        <v>5669</v>
      </c>
      <c r="C403" s="8" t="s">
        <v>5670</v>
      </c>
      <c r="D403" s="9">
        <v>9.850169505E9</v>
      </c>
      <c r="E403" s="8" t="s">
        <v>5671</v>
      </c>
      <c r="F403" s="8" t="s">
        <v>3589</v>
      </c>
      <c r="G403" s="8" t="s">
        <v>5672</v>
      </c>
      <c r="H403" s="8" t="s">
        <v>3479</v>
      </c>
      <c r="I403" s="9">
        <v>0.0</v>
      </c>
      <c r="J403" s="9">
        <v>2164.0</v>
      </c>
      <c r="K403" s="9">
        <v>2164.0</v>
      </c>
      <c r="L403" s="9">
        <v>2164.0</v>
      </c>
      <c r="M403" s="9">
        <v>910.0</v>
      </c>
      <c r="N403" s="9">
        <v>730.0</v>
      </c>
      <c r="O403" s="9">
        <v>524.0</v>
      </c>
      <c r="P403" s="8" t="s">
        <v>3519</v>
      </c>
      <c r="Q403" s="8" t="s">
        <v>5673</v>
      </c>
      <c r="R403" s="8" t="s">
        <v>5674</v>
      </c>
    </row>
    <row r="404">
      <c r="A404" s="8" t="s">
        <v>550</v>
      </c>
      <c r="B404" s="8" t="s">
        <v>5675</v>
      </c>
      <c r="C404" s="8" t="s">
        <v>5676</v>
      </c>
      <c r="D404" s="9">
        <v>8.788219687E9</v>
      </c>
      <c r="E404" s="8" t="s">
        <v>5677</v>
      </c>
      <c r="F404" s="8" t="s">
        <v>3934</v>
      </c>
      <c r="G404" s="8" t="s">
        <v>5678</v>
      </c>
      <c r="H404" s="8" t="s">
        <v>3479</v>
      </c>
      <c r="I404" s="9">
        <v>0.0</v>
      </c>
      <c r="J404" s="9">
        <v>6549.0</v>
      </c>
      <c r="K404" s="9">
        <v>6549.0</v>
      </c>
      <c r="L404" s="9">
        <v>6549.0</v>
      </c>
      <c r="M404" s="9">
        <v>5245.0</v>
      </c>
      <c r="N404" s="9">
        <v>730.0</v>
      </c>
      <c r="O404" s="9">
        <v>574.0</v>
      </c>
      <c r="P404" s="8" t="s">
        <v>3480</v>
      </c>
      <c r="Q404" s="8"/>
      <c r="R404" s="8"/>
    </row>
    <row r="405">
      <c r="A405" s="8" t="s">
        <v>551</v>
      </c>
      <c r="B405" s="8" t="s">
        <v>5679</v>
      </c>
      <c r="C405" s="8" t="s">
        <v>5680</v>
      </c>
      <c r="D405" s="9">
        <v>9.552541685E9</v>
      </c>
      <c r="E405" s="8" t="s">
        <v>5681</v>
      </c>
      <c r="F405" s="8" t="s">
        <v>3486</v>
      </c>
      <c r="G405" s="8" t="s">
        <v>5682</v>
      </c>
      <c r="H405" s="8" t="s">
        <v>3479</v>
      </c>
      <c r="I405" s="9">
        <v>0.0</v>
      </c>
      <c r="J405" s="9">
        <v>5095.0</v>
      </c>
      <c r="K405" s="9">
        <v>5095.0</v>
      </c>
      <c r="L405" s="9">
        <v>5095.0</v>
      </c>
      <c r="M405" s="9">
        <v>3836.0</v>
      </c>
      <c r="N405" s="9">
        <v>730.0</v>
      </c>
      <c r="O405" s="9">
        <v>529.0</v>
      </c>
      <c r="P405" s="8" t="s">
        <v>3544</v>
      </c>
      <c r="Q405" s="8" t="s">
        <v>5683</v>
      </c>
      <c r="R405" s="8"/>
    </row>
    <row r="406">
      <c r="A406" s="8" t="s">
        <v>552</v>
      </c>
      <c r="B406" s="8" t="s">
        <v>5684</v>
      </c>
      <c r="C406" s="8" t="s">
        <v>5685</v>
      </c>
      <c r="D406" s="9">
        <v>8.805413757E9</v>
      </c>
      <c r="E406" s="8" t="s">
        <v>5686</v>
      </c>
      <c r="F406" s="8" t="s">
        <v>3615</v>
      </c>
      <c r="G406" s="8" t="s">
        <v>5687</v>
      </c>
      <c r="H406" s="8" t="s">
        <v>3479</v>
      </c>
      <c r="I406" s="9">
        <v>0.0</v>
      </c>
      <c r="J406" s="9">
        <v>1396.0</v>
      </c>
      <c r="K406" s="9">
        <v>1396.0</v>
      </c>
      <c r="L406" s="9">
        <v>1396.0</v>
      </c>
      <c r="M406" s="9">
        <v>163.0</v>
      </c>
      <c r="N406" s="9">
        <v>784.0</v>
      </c>
      <c r="O406" s="9">
        <v>449.0</v>
      </c>
      <c r="P406" s="8" t="s">
        <v>3480</v>
      </c>
      <c r="Q406" s="8" t="s">
        <v>5688</v>
      </c>
      <c r="R406" s="8"/>
    </row>
    <row r="407">
      <c r="A407" s="8" t="s">
        <v>544</v>
      </c>
      <c r="B407" s="8" t="s">
        <v>5689</v>
      </c>
      <c r="C407" s="8" t="s">
        <v>5690</v>
      </c>
      <c r="D407" s="9">
        <v>9.422752889E9</v>
      </c>
      <c r="E407" s="8" t="s">
        <v>5691</v>
      </c>
      <c r="F407" s="8" t="s">
        <v>5692</v>
      </c>
      <c r="G407" s="8" t="s">
        <v>5693</v>
      </c>
      <c r="H407" s="8" t="s">
        <v>3479</v>
      </c>
      <c r="I407" s="9">
        <v>0.0</v>
      </c>
      <c r="J407" s="9">
        <v>3736.0</v>
      </c>
      <c r="K407" s="9">
        <v>3736.0</v>
      </c>
      <c r="L407" s="9">
        <v>3736.0</v>
      </c>
      <c r="M407" s="9">
        <v>2792.0</v>
      </c>
      <c r="N407" s="9">
        <v>120.0</v>
      </c>
      <c r="O407" s="9">
        <v>824.0</v>
      </c>
      <c r="P407" s="8" t="s">
        <v>3480</v>
      </c>
      <c r="Q407" s="8" t="s">
        <v>5694</v>
      </c>
      <c r="R407" s="8" t="s">
        <v>5695</v>
      </c>
    </row>
    <row r="408">
      <c r="A408" s="8" t="s">
        <v>553</v>
      </c>
      <c r="B408" s="8" t="s">
        <v>5696</v>
      </c>
      <c r="C408" s="8" t="s">
        <v>5697</v>
      </c>
      <c r="D408" s="9">
        <v>8.554032425E9</v>
      </c>
      <c r="E408" s="8" t="s">
        <v>5698</v>
      </c>
      <c r="F408" s="8" t="s">
        <v>3589</v>
      </c>
      <c r="G408" s="8" t="s">
        <v>5699</v>
      </c>
      <c r="H408" s="8" t="s">
        <v>3479</v>
      </c>
      <c r="I408" s="9">
        <v>0.0</v>
      </c>
      <c r="J408" s="9">
        <v>1584.0</v>
      </c>
      <c r="K408" s="9">
        <v>1584.0</v>
      </c>
      <c r="L408" s="9">
        <v>1584.0</v>
      </c>
      <c r="M408" s="9">
        <v>330.0</v>
      </c>
      <c r="N408" s="9">
        <v>730.0</v>
      </c>
      <c r="O408" s="9">
        <v>524.0</v>
      </c>
      <c r="P408" s="8" t="s">
        <v>3480</v>
      </c>
      <c r="Q408" s="8" t="s">
        <v>5700</v>
      </c>
      <c r="R408" s="8" t="s">
        <v>5701</v>
      </c>
    </row>
    <row r="409">
      <c r="A409" s="8" t="s">
        <v>555</v>
      </c>
      <c r="B409" s="8" t="s">
        <v>5702</v>
      </c>
      <c r="C409" s="8" t="s">
        <v>5703</v>
      </c>
      <c r="D409" s="9">
        <v>8.889536468E9</v>
      </c>
      <c r="E409" s="8" t="s">
        <v>5704</v>
      </c>
      <c r="F409" s="8" t="s">
        <v>3821</v>
      </c>
      <c r="G409" s="8" t="s">
        <v>5705</v>
      </c>
      <c r="H409" s="8" t="s">
        <v>3479</v>
      </c>
      <c r="I409" s="9">
        <v>0.0</v>
      </c>
      <c r="J409" s="9">
        <v>1587.0</v>
      </c>
      <c r="K409" s="9">
        <v>1587.0</v>
      </c>
      <c r="L409" s="9">
        <v>1587.0</v>
      </c>
      <c r="M409" s="9">
        <v>333.0</v>
      </c>
      <c r="N409" s="9">
        <v>730.0</v>
      </c>
      <c r="O409" s="9">
        <v>524.0</v>
      </c>
      <c r="P409" s="8" t="s">
        <v>3480</v>
      </c>
      <c r="Q409" s="8" t="s">
        <v>5706</v>
      </c>
      <c r="R409" s="8" t="s">
        <v>5707</v>
      </c>
    </row>
    <row r="410">
      <c r="A410" s="8" t="s">
        <v>554</v>
      </c>
      <c r="B410" s="8" t="s">
        <v>5708</v>
      </c>
      <c r="C410" s="8" t="s">
        <v>5709</v>
      </c>
      <c r="D410" s="9">
        <v>9.764317433E9</v>
      </c>
      <c r="E410" s="8" t="s">
        <v>5710</v>
      </c>
      <c r="F410" s="8" t="s">
        <v>3498</v>
      </c>
      <c r="G410" s="8" t="s">
        <v>5711</v>
      </c>
      <c r="H410" s="8" t="s">
        <v>3479</v>
      </c>
      <c r="I410" s="9">
        <v>0.0</v>
      </c>
      <c r="J410" s="9">
        <v>2374.0</v>
      </c>
      <c r="K410" s="9">
        <v>2374.0</v>
      </c>
      <c r="L410" s="9">
        <v>2374.0</v>
      </c>
      <c r="M410" s="9">
        <v>1310.0</v>
      </c>
      <c r="N410" s="9">
        <v>540.0</v>
      </c>
      <c r="O410" s="9">
        <v>524.0</v>
      </c>
      <c r="P410" s="8" t="s">
        <v>3480</v>
      </c>
      <c r="Q410" s="8" t="s">
        <v>5712</v>
      </c>
      <c r="R410" s="8" t="s">
        <v>5713</v>
      </c>
    </row>
    <row r="411">
      <c r="A411" s="8" t="s">
        <v>556</v>
      </c>
      <c r="B411" s="8" t="s">
        <v>5714</v>
      </c>
      <c r="C411" s="8" t="s">
        <v>4562</v>
      </c>
      <c r="D411" s="9">
        <v>7.894580132E9</v>
      </c>
      <c r="E411" s="8" t="s">
        <v>5715</v>
      </c>
      <c r="F411" s="8" t="s">
        <v>4143</v>
      </c>
      <c r="G411" s="8" t="s">
        <v>3494</v>
      </c>
      <c r="H411" s="8" t="s">
        <v>3479</v>
      </c>
      <c r="I411" s="9">
        <v>0.0</v>
      </c>
      <c r="J411" s="9">
        <v>3219.0</v>
      </c>
      <c r="K411" s="9">
        <v>3219.0</v>
      </c>
      <c r="L411" s="9">
        <v>3219.0</v>
      </c>
      <c r="M411" s="9">
        <v>1566.0</v>
      </c>
      <c r="N411" s="9">
        <v>849.0</v>
      </c>
      <c r="O411" s="9">
        <v>804.0</v>
      </c>
      <c r="P411" s="8" t="s">
        <v>3519</v>
      </c>
      <c r="Q411" s="8" t="s">
        <v>5716</v>
      </c>
      <c r="R411" s="8" t="s">
        <v>5717</v>
      </c>
    </row>
    <row r="412">
      <c r="A412" s="8" t="s">
        <v>557</v>
      </c>
      <c r="B412" s="8" t="s">
        <v>5718</v>
      </c>
      <c r="C412" s="8" t="s">
        <v>5719</v>
      </c>
      <c r="D412" s="9">
        <v>9.923350044E9</v>
      </c>
      <c r="E412" s="8" t="s">
        <v>5720</v>
      </c>
      <c r="F412" s="8" t="s">
        <v>3977</v>
      </c>
      <c r="G412" s="8" t="s">
        <v>5721</v>
      </c>
      <c r="H412" s="8" t="s">
        <v>3479</v>
      </c>
      <c r="I412" s="9">
        <v>0.0</v>
      </c>
      <c r="J412" s="9">
        <v>1689.0</v>
      </c>
      <c r="K412" s="9">
        <v>1689.0</v>
      </c>
      <c r="L412" s="9">
        <v>1689.0</v>
      </c>
      <c r="M412" s="9">
        <v>510.0</v>
      </c>
      <c r="N412" s="9">
        <v>730.0</v>
      </c>
      <c r="O412" s="9">
        <v>449.0</v>
      </c>
      <c r="P412" s="8" t="s">
        <v>3480</v>
      </c>
      <c r="Q412" s="8" t="s">
        <v>5722</v>
      </c>
      <c r="R412" s="8" t="s">
        <v>5723</v>
      </c>
    </row>
    <row r="413">
      <c r="A413" s="8" t="s">
        <v>601</v>
      </c>
      <c r="B413" s="8" t="s">
        <v>5724</v>
      </c>
      <c r="C413" s="8" t="s">
        <v>5725</v>
      </c>
      <c r="D413" s="9">
        <v>8.329675428E9</v>
      </c>
      <c r="E413" s="8" t="s">
        <v>5726</v>
      </c>
      <c r="F413" s="8" t="s">
        <v>3550</v>
      </c>
      <c r="G413" s="8" t="s">
        <v>5727</v>
      </c>
      <c r="H413" s="8" t="s">
        <v>3479</v>
      </c>
      <c r="I413" s="9">
        <v>0.0</v>
      </c>
      <c r="J413" s="9">
        <v>1248.0</v>
      </c>
      <c r="K413" s="9">
        <v>1248.0</v>
      </c>
      <c r="L413" s="9">
        <v>1248.0</v>
      </c>
      <c r="M413" s="9">
        <v>80.0</v>
      </c>
      <c r="N413" s="9">
        <v>719.0</v>
      </c>
      <c r="O413" s="9">
        <v>449.0</v>
      </c>
      <c r="P413" s="8" t="s">
        <v>3480</v>
      </c>
      <c r="Q413" s="8" t="s">
        <v>5728</v>
      </c>
      <c r="R413" s="8" t="s">
        <v>5729</v>
      </c>
    </row>
    <row r="414">
      <c r="A414" s="8" t="s">
        <v>558</v>
      </c>
      <c r="B414" s="8" t="s">
        <v>5730</v>
      </c>
      <c r="C414" s="8" t="s">
        <v>5731</v>
      </c>
      <c r="D414" s="9">
        <v>8.698551614E9</v>
      </c>
      <c r="E414" s="8" t="s">
        <v>5732</v>
      </c>
      <c r="F414" s="8" t="s">
        <v>3486</v>
      </c>
      <c r="G414" s="8" t="s">
        <v>5733</v>
      </c>
      <c r="H414" s="8" t="s">
        <v>3479</v>
      </c>
      <c r="I414" s="9">
        <v>0.0</v>
      </c>
      <c r="J414" s="9">
        <v>1150.0</v>
      </c>
      <c r="K414" s="9">
        <v>1150.0</v>
      </c>
      <c r="L414" s="9">
        <v>1150.0</v>
      </c>
      <c r="M414" s="9">
        <v>1150.0</v>
      </c>
      <c r="N414" s="9">
        <v>0.0</v>
      </c>
      <c r="O414" s="9">
        <v>0.0</v>
      </c>
      <c r="P414" s="8" t="s">
        <v>3519</v>
      </c>
      <c r="Q414" s="8"/>
      <c r="R414" s="8"/>
    </row>
    <row r="415">
      <c r="A415" s="8" t="s">
        <v>623</v>
      </c>
      <c r="B415" s="8" t="s">
        <v>5734</v>
      </c>
      <c r="C415" s="8" t="s">
        <v>5735</v>
      </c>
      <c r="D415" s="9">
        <v>7.756877978E9</v>
      </c>
      <c r="E415" s="8" t="s">
        <v>5736</v>
      </c>
      <c r="F415" s="8" t="s">
        <v>4645</v>
      </c>
      <c r="G415" s="8" t="s">
        <v>5737</v>
      </c>
      <c r="H415" s="8" t="s">
        <v>3479</v>
      </c>
      <c r="I415" s="9">
        <v>0.0</v>
      </c>
      <c r="J415" s="9">
        <v>1688.0</v>
      </c>
      <c r="K415" s="9">
        <v>1688.0</v>
      </c>
      <c r="L415" s="9">
        <v>1688.0</v>
      </c>
      <c r="M415" s="9">
        <v>522.0</v>
      </c>
      <c r="N415" s="9">
        <v>717.0</v>
      </c>
      <c r="O415" s="9">
        <v>449.0</v>
      </c>
      <c r="P415" s="8" t="s">
        <v>3480</v>
      </c>
      <c r="Q415" s="8" t="s">
        <v>5738</v>
      </c>
      <c r="R415" s="8" t="s">
        <v>5739</v>
      </c>
    </row>
    <row r="416">
      <c r="A416" s="8" t="s">
        <v>559</v>
      </c>
      <c r="B416" s="8" t="s">
        <v>5740</v>
      </c>
      <c r="C416" s="8" t="s">
        <v>4465</v>
      </c>
      <c r="D416" s="9">
        <v>9.545121357E9</v>
      </c>
      <c r="E416" s="8" t="s">
        <v>4466</v>
      </c>
      <c r="F416" s="8" t="s">
        <v>3757</v>
      </c>
      <c r="G416" s="8" t="s">
        <v>5741</v>
      </c>
      <c r="H416" s="8" t="s">
        <v>3479</v>
      </c>
      <c r="I416" s="9">
        <v>0.0</v>
      </c>
      <c r="J416" s="9">
        <v>3120.0</v>
      </c>
      <c r="K416" s="9">
        <v>3120.0</v>
      </c>
      <c r="L416" s="9">
        <v>3120.0</v>
      </c>
      <c r="M416" s="9">
        <v>2555.0</v>
      </c>
      <c r="N416" s="9">
        <v>65.0</v>
      </c>
      <c r="O416" s="9">
        <v>500.0</v>
      </c>
      <c r="P416" s="8" t="s">
        <v>3480</v>
      </c>
      <c r="Q416" s="8"/>
      <c r="R416" s="8"/>
    </row>
    <row r="417">
      <c r="A417" s="8" t="s">
        <v>560</v>
      </c>
      <c r="B417" s="8" t="s">
        <v>5742</v>
      </c>
      <c r="C417" s="8" t="s">
        <v>5743</v>
      </c>
      <c r="D417" s="9">
        <v>8.291329975E9</v>
      </c>
      <c r="E417" s="8" t="s">
        <v>5744</v>
      </c>
      <c r="F417" s="8" t="s">
        <v>3959</v>
      </c>
      <c r="G417" s="8" t="s">
        <v>5745</v>
      </c>
      <c r="H417" s="8" t="s">
        <v>3479</v>
      </c>
      <c r="I417" s="9">
        <v>0.0</v>
      </c>
      <c r="J417" s="9">
        <v>2507.0</v>
      </c>
      <c r="K417" s="9">
        <v>2507.0</v>
      </c>
      <c r="L417" s="9">
        <v>2507.0</v>
      </c>
      <c r="M417" s="9">
        <v>1034.0</v>
      </c>
      <c r="N417" s="9">
        <v>849.0</v>
      </c>
      <c r="O417" s="9">
        <v>624.0</v>
      </c>
      <c r="P417" s="8" t="s">
        <v>3480</v>
      </c>
      <c r="Q417" s="8" t="s">
        <v>5746</v>
      </c>
      <c r="R417" s="8" t="s">
        <v>5747</v>
      </c>
    </row>
    <row r="418">
      <c r="A418" s="8" t="s">
        <v>602</v>
      </c>
      <c r="B418" s="8" t="s">
        <v>5748</v>
      </c>
      <c r="C418" s="8" t="s">
        <v>5749</v>
      </c>
      <c r="D418" s="9">
        <v>8.550912046E9</v>
      </c>
      <c r="E418" s="8" t="s">
        <v>5750</v>
      </c>
      <c r="F418" s="8" t="s">
        <v>3523</v>
      </c>
      <c r="G418" s="8" t="s">
        <v>5751</v>
      </c>
      <c r="H418" s="8" t="s">
        <v>3479</v>
      </c>
      <c r="I418" s="9">
        <v>0.0</v>
      </c>
      <c r="J418" s="9">
        <v>2310.0</v>
      </c>
      <c r="K418" s="9">
        <v>2310.0</v>
      </c>
      <c r="L418" s="9">
        <v>2310.0</v>
      </c>
      <c r="M418" s="9">
        <v>1760.0</v>
      </c>
      <c r="N418" s="9">
        <v>0.0</v>
      </c>
      <c r="O418" s="9">
        <v>550.0</v>
      </c>
      <c r="P418" s="8" t="s">
        <v>3480</v>
      </c>
      <c r="Q418" s="8"/>
      <c r="R418" s="8"/>
    </row>
    <row r="419">
      <c r="A419" s="8" t="s">
        <v>603</v>
      </c>
      <c r="B419" s="8" t="s">
        <v>5752</v>
      </c>
      <c r="C419" s="8" t="s">
        <v>5753</v>
      </c>
      <c r="D419" s="9">
        <v>9.511616301E9</v>
      </c>
      <c r="E419" s="8" t="s">
        <v>5754</v>
      </c>
      <c r="F419" s="8" t="s">
        <v>3517</v>
      </c>
      <c r="G419" s="8" t="s">
        <v>5755</v>
      </c>
      <c r="H419" s="8" t="s">
        <v>3479</v>
      </c>
      <c r="I419" s="9">
        <v>0.0</v>
      </c>
      <c r="J419" s="9">
        <v>2134.0</v>
      </c>
      <c r="K419" s="9">
        <v>2134.0</v>
      </c>
      <c r="L419" s="9">
        <v>2134.0</v>
      </c>
      <c r="M419" s="9">
        <v>955.0</v>
      </c>
      <c r="N419" s="9">
        <v>730.0</v>
      </c>
      <c r="O419" s="9">
        <v>449.0</v>
      </c>
      <c r="P419" s="8" t="s">
        <v>3480</v>
      </c>
      <c r="Q419" s="8" t="s">
        <v>5756</v>
      </c>
      <c r="R419" s="8" t="s">
        <v>5757</v>
      </c>
    </row>
    <row r="420">
      <c r="A420" s="8" t="s">
        <v>561</v>
      </c>
      <c r="B420" s="8" t="s">
        <v>5758</v>
      </c>
      <c r="C420" s="8" t="s">
        <v>5759</v>
      </c>
      <c r="D420" s="9">
        <v>9.664976023E9</v>
      </c>
      <c r="E420" s="8" t="s">
        <v>5760</v>
      </c>
      <c r="F420" s="8" t="s">
        <v>3601</v>
      </c>
      <c r="G420" s="8" t="s">
        <v>5761</v>
      </c>
      <c r="H420" s="8" t="s">
        <v>3479</v>
      </c>
      <c r="I420" s="9">
        <v>0.0</v>
      </c>
      <c r="J420" s="9">
        <v>2312.0</v>
      </c>
      <c r="K420" s="9">
        <v>2312.0</v>
      </c>
      <c r="L420" s="9">
        <v>2312.0</v>
      </c>
      <c r="M420" s="9">
        <v>858.0</v>
      </c>
      <c r="N420" s="9">
        <v>730.0</v>
      </c>
      <c r="O420" s="9">
        <v>724.0</v>
      </c>
      <c r="P420" s="8" t="s">
        <v>3480</v>
      </c>
      <c r="Q420" s="8" t="s">
        <v>5762</v>
      </c>
      <c r="R420" s="8" t="s">
        <v>5763</v>
      </c>
    </row>
    <row r="421">
      <c r="A421" s="8" t="s">
        <v>605</v>
      </c>
      <c r="B421" s="8" t="s">
        <v>5764</v>
      </c>
      <c r="C421" s="8" t="s">
        <v>5765</v>
      </c>
      <c r="D421" s="9">
        <v>9.158251319E9</v>
      </c>
      <c r="E421" s="8" t="s">
        <v>5766</v>
      </c>
      <c r="F421" s="8" t="s">
        <v>3550</v>
      </c>
      <c r="G421" s="8" t="s">
        <v>5767</v>
      </c>
      <c r="H421" s="8" t="s">
        <v>3479</v>
      </c>
      <c r="I421" s="9">
        <v>0.0</v>
      </c>
      <c r="J421" s="9">
        <v>1454.0</v>
      </c>
      <c r="K421" s="9">
        <v>1454.0</v>
      </c>
      <c r="L421" s="9">
        <v>1454.0</v>
      </c>
      <c r="M421" s="9">
        <v>275.0</v>
      </c>
      <c r="N421" s="9">
        <v>730.0</v>
      </c>
      <c r="O421" s="9">
        <v>449.0</v>
      </c>
      <c r="P421" s="8" t="s">
        <v>3480</v>
      </c>
      <c r="Q421" s="8"/>
      <c r="R421" s="8"/>
    </row>
    <row r="422">
      <c r="A422" s="8" t="s">
        <v>606</v>
      </c>
      <c r="B422" s="8" t="s">
        <v>5768</v>
      </c>
      <c r="C422" s="8" t="s">
        <v>5769</v>
      </c>
      <c r="D422" s="9">
        <v>9.421897782E9</v>
      </c>
      <c r="E422" s="8" t="s">
        <v>5770</v>
      </c>
      <c r="F422" s="8" t="s">
        <v>5771</v>
      </c>
      <c r="G422" s="8" t="s">
        <v>5772</v>
      </c>
      <c r="H422" s="8" t="s">
        <v>3479</v>
      </c>
      <c r="I422" s="9">
        <v>0.0</v>
      </c>
      <c r="J422" s="9">
        <v>2262.0</v>
      </c>
      <c r="K422" s="9">
        <v>2262.0</v>
      </c>
      <c r="L422" s="9">
        <v>2262.0</v>
      </c>
      <c r="M422" s="9">
        <v>1029.0</v>
      </c>
      <c r="N422" s="9">
        <v>784.0</v>
      </c>
      <c r="O422" s="9">
        <v>449.0</v>
      </c>
      <c r="P422" s="8" t="s">
        <v>3480</v>
      </c>
      <c r="Q422" s="8" t="s">
        <v>5773</v>
      </c>
      <c r="R422" s="8" t="s">
        <v>5774</v>
      </c>
    </row>
    <row r="423">
      <c r="A423" s="8" t="s">
        <v>607</v>
      </c>
      <c r="B423" s="8" t="s">
        <v>5775</v>
      </c>
      <c r="C423" s="8" t="s">
        <v>5776</v>
      </c>
      <c r="D423" s="9">
        <v>9.970764342E9</v>
      </c>
      <c r="E423" s="8" t="s">
        <v>5777</v>
      </c>
      <c r="F423" s="8" t="s">
        <v>4681</v>
      </c>
      <c r="G423" s="8" t="s">
        <v>5778</v>
      </c>
      <c r="H423" s="8" t="s">
        <v>3479</v>
      </c>
      <c r="I423" s="9">
        <v>0.0</v>
      </c>
      <c r="J423" s="9">
        <v>529.0</v>
      </c>
      <c r="K423" s="9">
        <v>529.0</v>
      </c>
      <c r="L423" s="9">
        <v>529.0</v>
      </c>
      <c r="M423" s="9">
        <v>80.0</v>
      </c>
      <c r="N423" s="9">
        <v>0.0</v>
      </c>
      <c r="O423" s="9">
        <v>449.0</v>
      </c>
      <c r="P423" s="8" t="s">
        <v>3480</v>
      </c>
      <c r="Q423" s="8"/>
      <c r="R423" s="8"/>
    </row>
    <row r="424">
      <c r="A424" s="8" t="s">
        <v>635</v>
      </c>
      <c r="B424" s="8" t="s">
        <v>5779</v>
      </c>
      <c r="C424" s="8" t="s">
        <v>5780</v>
      </c>
      <c r="D424" s="9">
        <v>7.083364232E9</v>
      </c>
      <c r="E424" s="8" t="s">
        <v>5781</v>
      </c>
      <c r="F424" s="8" t="s">
        <v>5782</v>
      </c>
      <c r="G424" s="8" t="s">
        <v>5783</v>
      </c>
      <c r="H424" s="8" t="s">
        <v>3479</v>
      </c>
      <c r="I424" s="9">
        <v>0.0</v>
      </c>
      <c r="J424" s="9">
        <v>724.0</v>
      </c>
      <c r="K424" s="9">
        <v>724.0</v>
      </c>
      <c r="L424" s="9">
        <v>724.0</v>
      </c>
      <c r="M424" s="9">
        <v>210.0</v>
      </c>
      <c r="N424" s="9">
        <v>65.0</v>
      </c>
      <c r="O424" s="9">
        <v>449.0</v>
      </c>
      <c r="P424" s="8" t="s">
        <v>3480</v>
      </c>
      <c r="Q424" s="8" t="s">
        <v>5784</v>
      </c>
      <c r="R424" s="8" t="s">
        <v>5785</v>
      </c>
    </row>
    <row r="425">
      <c r="A425" s="8" t="s">
        <v>624</v>
      </c>
      <c r="B425" s="8" t="s">
        <v>5786</v>
      </c>
      <c r="C425" s="8" t="s">
        <v>5787</v>
      </c>
      <c r="D425" s="9">
        <v>9.588692507E9</v>
      </c>
      <c r="E425" s="8" t="s">
        <v>5788</v>
      </c>
      <c r="F425" s="8" t="s">
        <v>3707</v>
      </c>
      <c r="G425" s="8" t="s">
        <v>5789</v>
      </c>
      <c r="H425" s="8" t="s">
        <v>3479</v>
      </c>
      <c r="I425" s="9">
        <v>0.0</v>
      </c>
      <c r="J425" s="9">
        <v>4825.0</v>
      </c>
      <c r="K425" s="9">
        <v>4825.0</v>
      </c>
      <c r="L425" s="9">
        <v>4825.0</v>
      </c>
      <c r="M425" s="9">
        <v>2761.0</v>
      </c>
      <c r="N425" s="9">
        <v>965.0</v>
      </c>
      <c r="O425" s="9">
        <v>1099.0</v>
      </c>
      <c r="P425" s="8" t="s">
        <v>3480</v>
      </c>
      <c r="Q425" s="8" t="s">
        <v>4241</v>
      </c>
      <c r="R425" s="8" t="s">
        <v>5790</v>
      </c>
    </row>
    <row r="426">
      <c r="A426" s="8" t="s">
        <v>609</v>
      </c>
      <c r="B426" s="8" t="s">
        <v>5791</v>
      </c>
      <c r="C426" s="8" t="s">
        <v>5792</v>
      </c>
      <c r="D426" s="9">
        <v>9.766322412E9</v>
      </c>
      <c r="E426" s="8" t="s">
        <v>5793</v>
      </c>
      <c r="F426" s="8" t="s">
        <v>3934</v>
      </c>
      <c r="G426" s="8" t="s">
        <v>5794</v>
      </c>
      <c r="H426" s="8" t="s">
        <v>3479</v>
      </c>
      <c r="I426" s="9">
        <v>0.0</v>
      </c>
      <c r="J426" s="9">
        <v>2844.0</v>
      </c>
      <c r="K426" s="9">
        <v>2844.0</v>
      </c>
      <c r="L426" s="9">
        <v>2844.0</v>
      </c>
      <c r="M426" s="9">
        <v>1665.0</v>
      </c>
      <c r="N426" s="9">
        <v>730.0</v>
      </c>
      <c r="O426" s="9">
        <v>449.0</v>
      </c>
      <c r="P426" s="8" t="s">
        <v>3480</v>
      </c>
      <c r="Q426" s="8" t="s">
        <v>5795</v>
      </c>
      <c r="R426" s="8" t="s">
        <v>5796</v>
      </c>
    </row>
    <row r="427">
      <c r="A427" s="8" t="s">
        <v>610</v>
      </c>
      <c r="B427" s="8" t="s">
        <v>5797</v>
      </c>
      <c r="C427" s="8" t="s">
        <v>5798</v>
      </c>
      <c r="D427" s="9">
        <v>9.820123108E9</v>
      </c>
      <c r="E427" s="8" t="s">
        <v>5799</v>
      </c>
      <c r="F427" s="8" t="s">
        <v>3523</v>
      </c>
      <c r="G427" s="8" t="s">
        <v>5800</v>
      </c>
      <c r="H427" s="8" t="s">
        <v>3479</v>
      </c>
      <c r="I427" s="9">
        <v>0.0</v>
      </c>
      <c r="J427" s="9">
        <v>684.0</v>
      </c>
      <c r="K427" s="9">
        <v>684.0</v>
      </c>
      <c r="L427" s="9">
        <v>684.0</v>
      </c>
      <c r="M427" s="9">
        <v>160.0</v>
      </c>
      <c r="N427" s="9">
        <v>0.0</v>
      </c>
      <c r="O427" s="9">
        <v>524.0</v>
      </c>
      <c r="P427" s="8" t="s">
        <v>3480</v>
      </c>
      <c r="Q427" s="8" t="s">
        <v>5801</v>
      </c>
      <c r="R427" s="8" t="s">
        <v>5802</v>
      </c>
    </row>
    <row r="428">
      <c r="A428" s="8" t="s">
        <v>608</v>
      </c>
      <c r="B428" s="8" t="s">
        <v>5803</v>
      </c>
      <c r="C428" s="8" t="s">
        <v>5804</v>
      </c>
      <c r="D428" s="9">
        <v>7.016813823E9</v>
      </c>
      <c r="E428" s="8" t="s">
        <v>5805</v>
      </c>
      <c r="F428" s="8" t="s">
        <v>3601</v>
      </c>
      <c r="G428" s="8" t="s">
        <v>5806</v>
      </c>
      <c r="H428" s="8" t="s">
        <v>3479</v>
      </c>
      <c r="I428" s="9">
        <v>0.0</v>
      </c>
      <c r="J428" s="9">
        <v>1429.0</v>
      </c>
      <c r="K428" s="9">
        <v>1429.0</v>
      </c>
      <c r="L428" s="9">
        <v>1429.0</v>
      </c>
      <c r="M428" s="9">
        <v>1204.0</v>
      </c>
      <c r="N428" s="9">
        <v>0.0</v>
      </c>
      <c r="O428" s="9">
        <v>225.0</v>
      </c>
      <c r="P428" s="8" t="s">
        <v>3480</v>
      </c>
      <c r="Q428" s="8"/>
      <c r="R428" s="8"/>
    </row>
    <row r="429">
      <c r="A429" s="8" t="s">
        <v>604</v>
      </c>
      <c r="B429" s="8" t="s">
        <v>5807</v>
      </c>
      <c r="C429" s="8" t="s">
        <v>5808</v>
      </c>
      <c r="D429" s="9">
        <v>8.983377106E9</v>
      </c>
      <c r="E429" s="8" t="s">
        <v>5809</v>
      </c>
      <c r="F429" s="8" t="s">
        <v>3707</v>
      </c>
      <c r="G429" s="8" t="s">
        <v>5810</v>
      </c>
      <c r="H429" s="8" t="s">
        <v>3479</v>
      </c>
      <c r="I429" s="9">
        <v>0.0</v>
      </c>
      <c r="J429" s="9">
        <v>2287.0</v>
      </c>
      <c r="K429" s="9">
        <v>2287.0</v>
      </c>
      <c r="L429" s="9">
        <v>2287.0</v>
      </c>
      <c r="M429" s="9">
        <v>690.0</v>
      </c>
      <c r="N429" s="9">
        <v>898.0</v>
      </c>
      <c r="O429" s="9">
        <v>699.0</v>
      </c>
      <c r="P429" s="8" t="s">
        <v>3480</v>
      </c>
      <c r="Q429" s="8" t="s">
        <v>5811</v>
      </c>
      <c r="R429" s="8"/>
    </row>
    <row r="430">
      <c r="A430" s="8" t="s">
        <v>611</v>
      </c>
      <c r="B430" s="8" t="s">
        <v>5812</v>
      </c>
      <c r="C430" s="8" t="s">
        <v>5813</v>
      </c>
      <c r="D430" s="9">
        <v>9.922965047E9</v>
      </c>
      <c r="E430" s="8" t="s">
        <v>5814</v>
      </c>
      <c r="F430" s="8" t="s">
        <v>3517</v>
      </c>
      <c r="G430" s="8" t="s">
        <v>5815</v>
      </c>
      <c r="H430" s="8" t="s">
        <v>3479</v>
      </c>
      <c r="I430" s="9">
        <v>0.0</v>
      </c>
      <c r="J430" s="9">
        <v>1334.0</v>
      </c>
      <c r="K430" s="9">
        <v>1334.0</v>
      </c>
      <c r="L430" s="9">
        <v>1334.0</v>
      </c>
      <c r="M430" s="9">
        <v>155.0</v>
      </c>
      <c r="N430" s="9">
        <v>730.0</v>
      </c>
      <c r="O430" s="9">
        <v>449.0</v>
      </c>
      <c r="P430" s="8" t="s">
        <v>3480</v>
      </c>
      <c r="Q430" s="8" t="s">
        <v>5816</v>
      </c>
      <c r="R430" s="8" t="s">
        <v>5817</v>
      </c>
    </row>
    <row r="431">
      <c r="A431" s="8" t="s">
        <v>612</v>
      </c>
      <c r="B431" s="8" t="s">
        <v>5818</v>
      </c>
      <c r="C431" s="8" t="s">
        <v>5819</v>
      </c>
      <c r="D431" s="9">
        <v>8.983836822E9</v>
      </c>
      <c r="E431" s="8" t="s">
        <v>5820</v>
      </c>
      <c r="F431" s="8" t="s">
        <v>3608</v>
      </c>
      <c r="G431" s="8" t="s">
        <v>5821</v>
      </c>
      <c r="H431" s="8" t="s">
        <v>3479</v>
      </c>
      <c r="I431" s="9">
        <v>0.0</v>
      </c>
      <c r="J431" s="9">
        <v>1532.0</v>
      </c>
      <c r="K431" s="9">
        <v>1532.0</v>
      </c>
      <c r="L431" s="9">
        <v>1532.0</v>
      </c>
      <c r="M431" s="9">
        <v>353.0</v>
      </c>
      <c r="N431" s="9">
        <v>730.0</v>
      </c>
      <c r="O431" s="9">
        <v>449.0</v>
      </c>
      <c r="P431" s="8" t="s">
        <v>3480</v>
      </c>
      <c r="Q431" s="8" t="s">
        <v>5822</v>
      </c>
      <c r="R431" s="8" t="s">
        <v>5823</v>
      </c>
    </row>
    <row r="432">
      <c r="A432" s="8" t="s">
        <v>613</v>
      </c>
      <c r="B432" s="8" t="s">
        <v>5824</v>
      </c>
      <c r="C432" s="8" t="s">
        <v>5825</v>
      </c>
      <c r="D432" s="9">
        <v>8.847397385E9</v>
      </c>
      <c r="E432" s="8" t="s">
        <v>5826</v>
      </c>
      <c r="F432" s="8" t="s">
        <v>3576</v>
      </c>
      <c r="G432" s="8" t="s">
        <v>5827</v>
      </c>
      <c r="H432" s="8" t="s">
        <v>3479</v>
      </c>
      <c r="I432" s="9">
        <v>0.0</v>
      </c>
      <c r="J432" s="9">
        <v>3251.0</v>
      </c>
      <c r="K432" s="9">
        <v>3251.0</v>
      </c>
      <c r="L432" s="9">
        <v>3251.0</v>
      </c>
      <c r="M432" s="9">
        <v>989.0</v>
      </c>
      <c r="N432" s="9">
        <v>963.0</v>
      </c>
      <c r="O432" s="9">
        <v>1299.0</v>
      </c>
      <c r="P432" s="8" t="s">
        <v>3480</v>
      </c>
      <c r="Q432" s="8"/>
      <c r="R432" s="8"/>
    </row>
    <row r="433">
      <c r="A433" s="8" t="s">
        <v>614</v>
      </c>
      <c r="B433" s="8" t="s">
        <v>5828</v>
      </c>
      <c r="C433" s="8" t="s">
        <v>5829</v>
      </c>
      <c r="D433" s="9">
        <v>7.517570433E9</v>
      </c>
      <c r="E433" s="8" t="s">
        <v>5830</v>
      </c>
      <c r="F433" s="8" t="s">
        <v>5831</v>
      </c>
      <c r="G433" s="8" t="s">
        <v>5832</v>
      </c>
      <c r="H433" s="8" t="s">
        <v>3479</v>
      </c>
      <c r="I433" s="9">
        <v>0.0</v>
      </c>
      <c r="J433" s="9">
        <v>2914.0</v>
      </c>
      <c r="K433" s="9">
        <v>2914.0</v>
      </c>
      <c r="L433" s="9">
        <v>2914.0</v>
      </c>
      <c r="M433" s="9">
        <v>825.0</v>
      </c>
      <c r="N433" s="9">
        <v>1285.0</v>
      </c>
      <c r="O433" s="9">
        <v>804.0</v>
      </c>
      <c r="P433" s="8" t="s">
        <v>3480</v>
      </c>
      <c r="Q433" s="8" t="s">
        <v>5833</v>
      </c>
      <c r="R433" s="8" t="s">
        <v>5834</v>
      </c>
    </row>
    <row r="434">
      <c r="A434" s="8" t="s">
        <v>644</v>
      </c>
      <c r="B434" s="8" t="s">
        <v>5835</v>
      </c>
      <c r="C434" s="8" t="s">
        <v>5836</v>
      </c>
      <c r="D434" s="9">
        <v>9.96705015E9</v>
      </c>
      <c r="E434" s="8" t="s">
        <v>5837</v>
      </c>
      <c r="F434" s="8" t="s">
        <v>3853</v>
      </c>
      <c r="G434" s="8" t="s">
        <v>5838</v>
      </c>
      <c r="H434" s="8" t="s">
        <v>3479</v>
      </c>
      <c r="I434" s="9">
        <v>0.0</v>
      </c>
      <c r="J434" s="9">
        <v>1259.0</v>
      </c>
      <c r="K434" s="9">
        <v>1259.0</v>
      </c>
      <c r="L434" s="9">
        <v>1259.0</v>
      </c>
      <c r="M434" s="9">
        <v>80.0</v>
      </c>
      <c r="N434" s="9">
        <v>730.0</v>
      </c>
      <c r="O434" s="9">
        <v>449.0</v>
      </c>
      <c r="P434" s="8" t="s">
        <v>3480</v>
      </c>
      <c r="Q434" s="8"/>
      <c r="R434" s="8"/>
    </row>
    <row r="435">
      <c r="A435" s="8" t="s">
        <v>615</v>
      </c>
      <c r="B435" s="8" t="s">
        <v>5839</v>
      </c>
      <c r="C435" s="8" t="s">
        <v>5840</v>
      </c>
      <c r="D435" s="9">
        <v>8.446920482E9</v>
      </c>
      <c r="E435" s="8" t="s">
        <v>5841</v>
      </c>
      <c r="F435" s="8" t="s">
        <v>3589</v>
      </c>
      <c r="G435" s="8" t="s">
        <v>5842</v>
      </c>
      <c r="H435" s="8" t="s">
        <v>3479</v>
      </c>
      <c r="I435" s="9">
        <v>0.0</v>
      </c>
      <c r="J435" s="9">
        <v>1664.0</v>
      </c>
      <c r="K435" s="9">
        <v>1664.0</v>
      </c>
      <c r="L435" s="9">
        <v>1664.0</v>
      </c>
      <c r="M435" s="9">
        <v>160.0</v>
      </c>
      <c r="N435" s="9">
        <v>730.0</v>
      </c>
      <c r="O435" s="9">
        <v>774.0</v>
      </c>
      <c r="P435" s="8" t="s">
        <v>3480</v>
      </c>
      <c r="Q435" s="8"/>
      <c r="R435" s="8"/>
    </row>
    <row r="436">
      <c r="A436" s="8" t="s">
        <v>653</v>
      </c>
      <c r="B436" s="8" t="s">
        <v>5843</v>
      </c>
      <c r="C436" s="8" t="s">
        <v>5844</v>
      </c>
      <c r="D436" s="9">
        <v>9.011069872E9</v>
      </c>
      <c r="E436" s="8" t="s">
        <v>5845</v>
      </c>
      <c r="F436" s="8" t="s">
        <v>3809</v>
      </c>
      <c r="G436" s="8" t="s">
        <v>5846</v>
      </c>
      <c r="H436" s="8" t="s">
        <v>3479</v>
      </c>
      <c r="I436" s="9">
        <v>0.0</v>
      </c>
      <c r="J436" s="9">
        <v>2014.0</v>
      </c>
      <c r="K436" s="9">
        <v>2014.0</v>
      </c>
      <c r="L436" s="9">
        <v>2014.0</v>
      </c>
      <c r="M436" s="9">
        <v>1075.0</v>
      </c>
      <c r="N436" s="9">
        <v>190.0</v>
      </c>
      <c r="O436" s="9">
        <v>749.0</v>
      </c>
      <c r="P436" s="8" t="s">
        <v>3480</v>
      </c>
      <c r="Q436" s="8"/>
      <c r="R436" s="8"/>
    </row>
    <row r="437">
      <c r="A437" s="8" t="s">
        <v>652</v>
      </c>
      <c r="B437" s="8" t="s">
        <v>5847</v>
      </c>
      <c r="C437" s="8" t="s">
        <v>5848</v>
      </c>
      <c r="D437" s="9">
        <v>8.390339222E9</v>
      </c>
      <c r="E437" s="8" t="s">
        <v>5849</v>
      </c>
      <c r="F437" s="8" t="s">
        <v>3628</v>
      </c>
      <c r="G437" s="8" t="s">
        <v>5850</v>
      </c>
      <c r="H437" s="8" t="s">
        <v>3479</v>
      </c>
      <c r="I437" s="9">
        <v>0.0</v>
      </c>
      <c r="J437" s="9">
        <v>7599.0</v>
      </c>
      <c r="K437" s="9">
        <v>7599.0</v>
      </c>
      <c r="L437" s="9">
        <v>7599.0</v>
      </c>
      <c r="M437" s="9">
        <v>6829.0</v>
      </c>
      <c r="N437" s="9">
        <v>120.0</v>
      </c>
      <c r="O437" s="9">
        <v>650.0</v>
      </c>
      <c r="P437" s="8" t="s">
        <v>3544</v>
      </c>
      <c r="Q437" s="8"/>
      <c r="R437" s="8"/>
    </row>
    <row r="438">
      <c r="A438" s="8" t="s">
        <v>656</v>
      </c>
      <c r="B438" s="8" t="s">
        <v>5851</v>
      </c>
      <c r="C438" s="8" t="s">
        <v>5852</v>
      </c>
      <c r="D438" s="9">
        <v>9.881690726E9</v>
      </c>
      <c r="E438" s="8" t="s">
        <v>5853</v>
      </c>
      <c r="F438" s="8" t="s">
        <v>3608</v>
      </c>
      <c r="G438" s="8" t="s">
        <v>5854</v>
      </c>
      <c r="H438" s="8" t="s">
        <v>3479</v>
      </c>
      <c r="I438" s="9">
        <v>0.0</v>
      </c>
      <c r="J438" s="9">
        <v>1558.0</v>
      </c>
      <c r="K438" s="9">
        <v>1558.0</v>
      </c>
      <c r="L438" s="9">
        <v>1558.0</v>
      </c>
      <c r="M438" s="9">
        <v>370.0</v>
      </c>
      <c r="N438" s="9">
        <v>739.0</v>
      </c>
      <c r="O438" s="9">
        <v>449.0</v>
      </c>
      <c r="P438" s="8" t="s">
        <v>3480</v>
      </c>
      <c r="Q438" s="8" t="s">
        <v>5855</v>
      </c>
      <c r="R438" s="8"/>
    </row>
    <row r="439">
      <c r="A439" s="8" t="s">
        <v>616</v>
      </c>
      <c r="B439" s="8" t="s">
        <v>5856</v>
      </c>
      <c r="C439" s="8" t="s">
        <v>5857</v>
      </c>
      <c r="D439" s="9">
        <v>7.350307227E9</v>
      </c>
      <c r="E439" s="8" t="s">
        <v>5858</v>
      </c>
      <c r="F439" s="8" t="s">
        <v>3594</v>
      </c>
      <c r="G439" s="8" t="s">
        <v>5859</v>
      </c>
      <c r="H439" s="8" t="s">
        <v>3479</v>
      </c>
      <c r="I439" s="9">
        <v>0.0</v>
      </c>
      <c r="J439" s="9">
        <v>2034.0</v>
      </c>
      <c r="K439" s="9">
        <v>2034.0</v>
      </c>
      <c r="L439" s="9">
        <v>2034.0</v>
      </c>
      <c r="M439" s="9">
        <v>670.0</v>
      </c>
      <c r="N439" s="9">
        <v>540.0</v>
      </c>
      <c r="O439" s="9">
        <v>824.0</v>
      </c>
      <c r="P439" s="8" t="s">
        <v>3480</v>
      </c>
      <c r="Q439" s="8"/>
      <c r="R439" s="8"/>
    </row>
    <row r="440">
      <c r="A440" s="8" t="s">
        <v>617</v>
      </c>
      <c r="B440" s="8" t="s">
        <v>5860</v>
      </c>
      <c r="C440" s="8" t="s">
        <v>5861</v>
      </c>
      <c r="D440" s="9">
        <v>9.947668473E9</v>
      </c>
      <c r="E440" s="8" t="s">
        <v>5862</v>
      </c>
      <c r="F440" s="8" t="s">
        <v>4125</v>
      </c>
      <c r="G440" s="8" t="s">
        <v>5863</v>
      </c>
      <c r="H440" s="8" t="s">
        <v>3479</v>
      </c>
      <c r="I440" s="9">
        <v>0.0</v>
      </c>
      <c r="J440" s="9">
        <v>2358.0</v>
      </c>
      <c r="K440" s="9">
        <v>2358.0</v>
      </c>
      <c r="L440" s="9">
        <v>2358.0</v>
      </c>
      <c r="M440" s="9">
        <v>1104.0</v>
      </c>
      <c r="N440" s="9">
        <v>504.0</v>
      </c>
      <c r="O440" s="9">
        <v>750.0</v>
      </c>
      <c r="P440" s="8" t="s">
        <v>3480</v>
      </c>
      <c r="Q440" s="8"/>
      <c r="R440" s="8"/>
    </row>
    <row r="441">
      <c r="A441" s="8" t="s">
        <v>618</v>
      </c>
      <c r="B441" s="8" t="s">
        <v>5864</v>
      </c>
      <c r="C441" s="8" t="s">
        <v>4187</v>
      </c>
      <c r="D441" s="9">
        <v>9.172460437E9</v>
      </c>
      <c r="E441" s="8" t="s">
        <v>4188</v>
      </c>
      <c r="F441" s="8" t="s">
        <v>4189</v>
      </c>
      <c r="G441" s="8" t="s">
        <v>4190</v>
      </c>
      <c r="H441" s="8" t="s">
        <v>3479</v>
      </c>
      <c r="I441" s="9">
        <v>0.0</v>
      </c>
      <c r="J441" s="9">
        <v>2226.0</v>
      </c>
      <c r="K441" s="9">
        <v>2226.0</v>
      </c>
      <c r="L441" s="9">
        <v>2226.0</v>
      </c>
      <c r="M441" s="9">
        <v>1697.0</v>
      </c>
      <c r="N441" s="9">
        <v>80.0</v>
      </c>
      <c r="O441" s="9">
        <v>449.0</v>
      </c>
      <c r="P441" s="8" t="s">
        <v>3480</v>
      </c>
      <c r="Q441" s="8"/>
      <c r="R441" s="8"/>
    </row>
    <row r="442">
      <c r="A442" s="8" t="s">
        <v>645</v>
      </c>
      <c r="B442" s="8" t="s">
        <v>5865</v>
      </c>
      <c r="C442" s="8" t="s">
        <v>5866</v>
      </c>
      <c r="D442" s="9">
        <v>9.922300037E9</v>
      </c>
      <c r="E442" s="8" t="s">
        <v>5867</v>
      </c>
      <c r="F442" s="8" t="s">
        <v>3881</v>
      </c>
      <c r="G442" s="8" t="s">
        <v>5868</v>
      </c>
      <c r="H442" s="8" t="s">
        <v>3479</v>
      </c>
      <c r="I442" s="9">
        <v>0.0</v>
      </c>
      <c r="J442" s="9">
        <v>1233.0</v>
      </c>
      <c r="K442" s="9">
        <v>1233.0</v>
      </c>
      <c r="L442" s="9">
        <v>1233.0</v>
      </c>
      <c r="M442" s="9">
        <v>598.0</v>
      </c>
      <c r="N442" s="9">
        <v>460.0</v>
      </c>
      <c r="O442" s="9">
        <v>175.0</v>
      </c>
      <c r="P442" s="8" t="s">
        <v>3480</v>
      </c>
      <c r="Q442" s="8"/>
      <c r="R442" s="8"/>
    </row>
    <row r="443">
      <c r="A443" s="8" t="s">
        <v>654</v>
      </c>
      <c r="B443" s="8" t="s">
        <v>5869</v>
      </c>
      <c r="C443" s="8" t="s">
        <v>5870</v>
      </c>
      <c r="D443" s="9">
        <v>8.983567419E9</v>
      </c>
      <c r="E443" s="8" t="s">
        <v>5871</v>
      </c>
      <c r="F443" s="8" t="s">
        <v>5872</v>
      </c>
      <c r="G443" s="8" t="s">
        <v>5873</v>
      </c>
      <c r="H443" s="8" t="s">
        <v>3479</v>
      </c>
      <c r="I443" s="9">
        <v>0.0</v>
      </c>
      <c r="J443" s="9">
        <v>2162.0</v>
      </c>
      <c r="K443" s="9">
        <v>2162.0</v>
      </c>
      <c r="L443" s="9">
        <v>2162.0</v>
      </c>
      <c r="M443" s="9">
        <v>159.0</v>
      </c>
      <c r="N443" s="9">
        <v>1204.0</v>
      </c>
      <c r="O443" s="9">
        <v>799.0</v>
      </c>
      <c r="P443" s="8" t="s">
        <v>3480</v>
      </c>
      <c r="Q443" s="8"/>
      <c r="R443" s="8"/>
    </row>
    <row r="444">
      <c r="A444" s="8" t="s">
        <v>655</v>
      </c>
      <c r="B444" s="8" t="s">
        <v>5874</v>
      </c>
      <c r="C444" s="8" t="s">
        <v>5040</v>
      </c>
      <c r="D444" s="9">
        <v>8.412892212E9</v>
      </c>
      <c r="E444" s="8" t="s">
        <v>5041</v>
      </c>
      <c r="F444" s="8" t="s">
        <v>3550</v>
      </c>
      <c r="G444" s="8" t="s">
        <v>5875</v>
      </c>
      <c r="H444" s="8" t="s">
        <v>3479</v>
      </c>
      <c r="I444" s="9">
        <v>0.0</v>
      </c>
      <c r="J444" s="9">
        <v>1961.0</v>
      </c>
      <c r="K444" s="9">
        <v>1961.0</v>
      </c>
      <c r="L444" s="9">
        <v>1961.0</v>
      </c>
      <c r="M444" s="9">
        <v>523.0</v>
      </c>
      <c r="N444" s="9">
        <v>739.0</v>
      </c>
      <c r="O444" s="9">
        <v>699.0</v>
      </c>
      <c r="P444" s="8" t="s">
        <v>3544</v>
      </c>
      <c r="Q444" s="8" t="s">
        <v>5043</v>
      </c>
      <c r="R444" s="8" t="s">
        <v>5044</v>
      </c>
    </row>
    <row r="445">
      <c r="A445" s="8" t="s">
        <v>658</v>
      </c>
      <c r="B445" s="8" t="s">
        <v>5876</v>
      </c>
      <c r="C445" s="8" t="s">
        <v>4927</v>
      </c>
      <c r="D445" s="9">
        <v>9.545166566E9</v>
      </c>
      <c r="E445" s="8" t="s">
        <v>5877</v>
      </c>
      <c r="F445" s="8" t="s">
        <v>3653</v>
      </c>
      <c r="G445" s="8" t="s">
        <v>5878</v>
      </c>
      <c r="H445" s="8" t="s">
        <v>3479</v>
      </c>
      <c r="I445" s="9">
        <v>0.0</v>
      </c>
      <c r="J445" s="9">
        <v>3931.0</v>
      </c>
      <c r="K445" s="9">
        <v>3931.0</v>
      </c>
      <c r="L445" s="9">
        <v>3931.0</v>
      </c>
      <c r="M445" s="9">
        <v>2271.0</v>
      </c>
      <c r="N445" s="9">
        <v>710.0</v>
      </c>
      <c r="O445" s="9">
        <v>950.0</v>
      </c>
      <c r="P445" s="8" t="s">
        <v>3519</v>
      </c>
      <c r="Q445" s="8"/>
      <c r="R445" s="8"/>
    </row>
    <row r="446">
      <c r="A446" s="8" t="s">
        <v>646</v>
      </c>
      <c r="B446" s="8" t="s">
        <v>5879</v>
      </c>
      <c r="C446" s="8" t="s">
        <v>5880</v>
      </c>
      <c r="D446" s="9">
        <v>8.975413826E9</v>
      </c>
      <c r="E446" s="8" t="s">
        <v>5881</v>
      </c>
      <c r="F446" s="8" t="s">
        <v>3589</v>
      </c>
      <c r="G446" s="8" t="s">
        <v>5882</v>
      </c>
      <c r="H446" s="8" t="s">
        <v>3479</v>
      </c>
      <c r="I446" s="9">
        <v>0.0</v>
      </c>
      <c r="J446" s="9">
        <v>1228.0</v>
      </c>
      <c r="K446" s="9">
        <v>1228.0</v>
      </c>
      <c r="L446" s="9">
        <v>1228.0</v>
      </c>
      <c r="M446" s="9">
        <v>953.0</v>
      </c>
      <c r="N446" s="9">
        <v>0.0</v>
      </c>
      <c r="O446" s="9">
        <v>275.0</v>
      </c>
      <c r="P446" s="8" t="s">
        <v>3480</v>
      </c>
      <c r="Q446" s="8"/>
      <c r="R446" s="8"/>
    </row>
    <row r="447">
      <c r="A447" s="8" t="s">
        <v>660</v>
      </c>
      <c r="B447" s="8" t="s">
        <v>5883</v>
      </c>
      <c r="C447" s="8" t="s">
        <v>5884</v>
      </c>
      <c r="D447" s="9">
        <v>9.6044295E9</v>
      </c>
      <c r="E447" s="8" t="s">
        <v>5885</v>
      </c>
      <c r="F447" s="8" t="s">
        <v>3608</v>
      </c>
      <c r="G447" s="8" t="s">
        <v>5886</v>
      </c>
      <c r="H447" s="8" t="s">
        <v>3479</v>
      </c>
      <c r="I447" s="9">
        <v>0.0</v>
      </c>
      <c r="J447" s="9">
        <v>1037.0</v>
      </c>
      <c r="K447" s="9">
        <v>1037.0</v>
      </c>
      <c r="L447" s="9">
        <v>1037.0</v>
      </c>
      <c r="M447" s="9">
        <v>508.0</v>
      </c>
      <c r="N447" s="9">
        <v>80.0</v>
      </c>
      <c r="O447" s="9">
        <v>449.0</v>
      </c>
      <c r="P447" s="8" t="s">
        <v>4183</v>
      </c>
      <c r="Q447" s="8" t="s">
        <v>5887</v>
      </c>
      <c r="R447" s="8" t="s">
        <v>5888</v>
      </c>
    </row>
    <row r="448">
      <c r="A448" s="8" t="s">
        <v>657</v>
      </c>
      <c r="B448" s="8" t="s">
        <v>5889</v>
      </c>
      <c r="C448" s="8" t="s">
        <v>5880</v>
      </c>
      <c r="D448" s="9">
        <v>8.102008054E9</v>
      </c>
      <c r="E448" s="8" t="s">
        <v>5890</v>
      </c>
      <c r="F448" s="8" t="s">
        <v>4059</v>
      </c>
      <c r="G448" s="8" t="s">
        <v>3494</v>
      </c>
      <c r="H448" s="8" t="s">
        <v>3479</v>
      </c>
      <c r="I448" s="9">
        <v>0.0</v>
      </c>
      <c r="J448" s="9">
        <v>5276.0</v>
      </c>
      <c r="K448" s="9">
        <v>5276.0</v>
      </c>
      <c r="L448" s="9">
        <v>5276.0</v>
      </c>
      <c r="M448" s="9">
        <v>3488.0</v>
      </c>
      <c r="N448" s="9">
        <v>914.0</v>
      </c>
      <c r="O448" s="9">
        <v>874.0</v>
      </c>
      <c r="P448" s="8" t="s">
        <v>3480</v>
      </c>
      <c r="Q448" s="8"/>
      <c r="R448" s="8"/>
    </row>
    <row r="449">
      <c r="A449" s="8" t="s">
        <v>637</v>
      </c>
      <c r="B449" s="8" t="s">
        <v>5891</v>
      </c>
      <c r="C449" s="8" t="s">
        <v>5892</v>
      </c>
      <c r="D449" s="9">
        <v>8.421486664E9</v>
      </c>
      <c r="E449" s="8" t="s">
        <v>5893</v>
      </c>
      <c r="F449" s="8" t="s">
        <v>3768</v>
      </c>
      <c r="G449" s="8" t="s">
        <v>5894</v>
      </c>
      <c r="H449" s="8" t="s">
        <v>3479</v>
      </c>
      <c r="I449" s="9">
        <v>0.0</v>
      </c>
      <c r="J449" s="9">
        <v>1488.0</v>
      </c>
      <c r="K449" s="9">
        <v>1488.0</v>
      </c>
      <c r="L449" s="9">
        <v>1488.0</v>
      </c>
      <c r="M449" s="9">
        <v>255.0</v>
      </c>
      <c r="N449" s="9">
        <v>784.0</v>
      </c>
      <c r="O449" s="9">
        <v>449.0</v>
      </c>
      <c r="P449" s="8" t="s">
        <v>3480</v>
      </c>
      <c r="Q449" s="8" t="s">
        <v>5895</v>
      </c>
      <c r="R449" s="8" t="s">
        <v>5896</v>
      </c>
    </row>
    <row r="450">
      <c r="A450" s="8" t="s">
        <v>638</v>
      </c>
      <c r="B450" s="8" t="s">
        <v>5897</v>
      </c>
      <c r="C450" s="8" t="s">
        <v>5898</v>
      </c>
      <c r="D450" s="9">
        <v>9.657818768E9</v>
      </c>
      <c r="E450" s="8" t="s">
        <v>5899</v>
      </c>
      <c r="F450" s="8" t="s">
        <v>5366</v>
      </c>
      <c r="G450" s="8" t="s">
        <v>5900</v>
      </c>
      <c r="H450" s="8" t="s">
        <v>3479</v>
      </c>
      <c r="I450" s="9">
        <v>0.0</v>
      </c>
      <c r="J450" s="9">
        <v>2339.0</v>
      </c>
      <c r="K450" s="9">
        <v>2339.0</v>
      </c>
      <c r="L450" s="9">
        <v>2339.0</v>
      </c>
      <c r="M450" s="9">
        <v>840.0</v>
      </c>
      <c r="N450" s="9">
        <v>900.0</v>
      </c>
      <c r="O450" s="9">
        <v>599.0</v>
      </c>
      <c r="P450" s="8" t="s">
        <v>3519</v>
      </c>
      <c r="Q450" s="8" t="s">
        <v>5901</v>
      </c>
      <c r="R450" s="8" t="s">
        <v>5902</v>
      </c>
    </row>
    <row r="451">
      <c r="A451" s="8" t="s">
        <v>636</v>
      </c>
      <c r="B451" s="8" t="s">
        <v>5903</v>
      </c>
      <c r="C451" s="8" t="s">
        <v>5904</v>
      </c>
      <c r="D451" s="9">
        <v>7.972023225E9</v>
      </c>
      <c r="E451" s="8" t="s">
        <v>5905</v>
      </c>
      <c r="F451" s="8" t="s">
        <v>3821</v>
      </c>
      <c r="G451" s="8" t="s">
        <v>5906</v>
      </c>
      <c r="H451" s="8" t="s">
        <v>3479</v>
      </c>
      <c r="I451" s="9">
        <v>0.0</v>
      </c>
      <c r="J451" s="9">
        <v>1549.0</v>
      </c>
      <c r="K451" s="9">
        <v>1549.0</v>
      </c>
      <c r="L451" s="9">
        <v>1549.0</v>
      </c>
      <c r="M451" s="9">
        <v>1025.0</v>
      </c>
      <c r="N451" s="9">
        <v>0.0</v>
      </c>
      <c r="O451" s="9">
        <v>524.0</v>
      </c>
      <c r="P451" s="8" t="s">
        <v>3480</v>
      </c>
      <c r="Q451" s="8" t="s">
        <v>5907</v>
      </c>
      <c r="R451" s="8" t="s">
        <v>5908</v>
      </c>
    </row>
    <row r="452">
      <c r="A452" s="8" t="s">
        <v>625</v>
      </c>
      <c r="B452" s="8" t="s">
        <v>5909</v>
      </c>
      <c r="C452" s="8" t="s">
        <v>5910</v>
      </c>
      <c r="D452" s="9">
        <v>8.6003783E9</v>
      </c>
      <c r="E452" s="8" t="s">
        <v>5911</v>
      </c>
      <c r="F452" s="8" t="s">
        <v>3498</v>
      </c>
      <c r="G452" s="8" t="s">
        <v>5912</v>
      </c>
      <c r="H452" s="8" t="s">
        <v>3479</v>
      </c>
      <c r="I452" s="9">
        <v>0.0</v>
      </c>
      <c r="J452" s="9">
        <v>1794.0</v>
      </c>
      <c r="K452" s="9">
        <v>1794.0</v>
      </c>
      <c r="L452" s="9">
        <v>1794.0</v>
      </c>
      <c r="M452" s="9">
        <v>1345.0</v>
      </c>
      <c r="N452" s="9">
        <v>0.0</v>
      </c>
      <c r="O452" s="9">
        <v>449.0</v>
      </c>
      <c r="P452" s="8" t="s">
        <v>3480</v>
      </c>
      <c r="Q452" s="8" t="s">
        <v>5913</v>
      </c>
      <c r="R452" s="8" t="s">
        <v>5914</v>
      </c>
    </row>
    <row r="453">
      <c r="A453" s="8" t="s">
        <v>639</v>
      </c>
      <c r="B453" s="8" t="s">
        <v>5915</v>
      </c>
      <c r="C453" s="8" t="s">
        <v>5916</v>
      </c>
      <c r="D453" s="9">
        <v>9.881634714E9</v>
      </c>
      <c r="E453" s="8" t="s">
        <v>5917</v>
      </c>
      <c r="F453" s="8" t="s">
        <v>5918</v>
      </c>
      <c r="G453" s="8" t="s">
        <v>5919</v>
      </c>
      <c r="H453" s="8" t="s">
        <v>3479</v>
      </c>
      <c r="I453" s="9">
        <v>0.0</v>
      </c>
      <c r="J453" s="9">
        <v>1696.0</v>
      </c>
      <c r="K453" s="9">
        <v>1696.0</v>
      </c>
      <c r="L453" s="9">
        <v>1696.0</v>
      </c>
      <c r="M453" s="9">
        <v>947.0</v>
      </c>
      <c r="N453" s="9">
        <v>0.0</v>
      </c>
      <c r="O453" s="9">
        <v>749.0</v>
      </c>
      <c r="P453" s="8" t="s">
        <v>3480</v>
      </c>
      <c r="Q453" s="8" t="s">
        <v>5920</v>
      </c>
      <c r="R453" s="8" t="s">
        <v>5921</v>
      </c>
    </row>
    <row r="454">
      <c r="A454" s="8" t="s">
        <v>640</v>
      </c>
      <c r="B454" s="8" t="s">
        <v>5922</v>
      </c>
      <c r="C454" s="8" t="s">
        <v>4209</v>
      </c>
      <c r="D454" s="9">
        <v>9.881433661E9</v>
      </c>
      <c r="E454" s="8" t="s">
        <v>4210</v>
      </c>
      <c r="F454" s="8" t="s">
        <v>5923</v>
      </c>
      <c r="G454" s="8" t="s">
        <v>4211</v>
      </c>
      <c r="H454" s="8" t="s">
        <v>3479</v>
      </c>
      <c r="I454" s="9">
        <v>0.0</v>
      </c>
      <c r="J454" s="9">
        <v>3154.0</v>
      </c>
      <c r="K454" s="9">
        <v>3154.0</v>
      </c>
      <c r="L454" s="9">
        <v>3154.0</v>
      </c>
      <c r="M454" s="9">
        <v>1145.0</v>
      </c>
      <c r="N454" s="9">
        <v>730.0</v>
      </c>
      <c r="O454" s="9">
        <v>1279.0</v>
      </c>
      <c r="P454" s="8" t="s">
        <v>3480</v>
      </c>
      <c r="Q454" s="8" t="s">
        <v>4212</v>
      </c>
      <c r="R454" s="8" t="s">
        <v>4213</v>
      </c>
    </row>
    <row r="455">
      <c r="A455" s="8" t="s">
        <v>641</v>
      </c>
      <c r="B455" s="8" t="s">
        <v>5924</v>
      </c>
      <c r="C455" s="8" t="s">
        <v>5925</v>
      </c>
      <c r="D455" s="9">
        <v>9.881399332E9</v>
      </c>
      <c r="E455" s="8" t="s">
        <v>5926</v>
      </c>
      <c r="F455" s="8" t="s">
        <v>3608</v>
      </c>
      <c r="G455" s="8" t="s">
        <v>5927</v>
      </c>
      <c r="H455" s="8" t="s">
        <v>3479</v>
      </c>
      <c r="I455" s="9">
        <v>0.0</v>
      </c>
      <c r="J455" s="9">
        <v>1259.0</v>
      </c>
      <c r="K455" s="9">
        <v>1259.0</v>
      </c>
      <c r="L455" s="9">
        <v>1259.0</v>
      </c>
      <c r="M455" s="9">
        <v>80.0</v>
      </c>
      <c r="N455" s="9">
        <v>730.0</v>
      </c>
      <c r="O455" s="9">
        <v>449.0</v>
      </c>
      <c r="P455" s="8" t="s">
        <v>3480</v>
      </c>
      <c r="Q455" s="8" t="s">
        <v>5928</v>
      </c>
      <c r="R455" s="8" t="s">
        <v>5929</v>
      </c>
    </row>
    <row r="456">
      <c r="A456" s="8" t="s">
        <v>642</v>
      </c>
      <c r="B456" s="8" t="s">
        <v>5930</v>
      </c>
      <c r="C456" s="8" t="s">
        <v>5931</v>
      </c>
      <c r="D456" s="9">
        <v>9.970195941E9</v>
      </c>
      <c r="E456" s="8" t="s">
        <v>5932</v>
      </c>
      <c r="F456" s="8" t="s">
        <v>3486</v>
      </c>
      <c r="G456" s="8" t="s">
        <v>5933</v>
      </c>
      <c r="H456" s="8" t="s">
        <v>3479</v>
      </c>
      <c r="I456" s="9">
        <v>0.0</v>
      </c>
      <c r="J456" s="9">
        <v>1794.0</v>
      </c>
      <c r="K456" s="9">
        <v>1794.0</v>
      </c>
      <c r="L456" s="9">
        <v>1794.0</v>
      </c>
      <c r="M456" s="9">
        <v>615.0</v>
      </c>
      <c r="N456" s="9">
        <v>730.0</v>
      </c>
      <c r="O456" s="9">
        <v>449.0</v>
      </c>
      <c r="P456" s="8" t="s">
        <v>3480</v>
      </c>
      <c r="Q456" s="8" t="s">
        <v>4241</v>
      </c>
      <c r="R456" s="8" t="s">
        <v>5934</v>
      </c>
    </row>
    <row r="457">
      <c r="A457" s="8" t="s">
        <v>666</v>
      </c>
      <c r="B457" s="8" t="s">
        <v>5935</v>
      </c>
      <c r="C457" s="8" t="s">
        <v>5936</v>
      </c>
      <c r="D457" s="9">
        <v>9.421322104E9</v>
      </c>
      <c r="E457" s="8" t="s">
        <v>5937</v>
      </c>
      <c r="F457" s="8" t="s">
        <v>4745</v>
      </c>
      <c r="G457" s="8" t="s">
        <v>5938</v>
      </c>
      <c r="H457" s="8" t="s">
        <v>3479</v>
      </c>
      <c r="I457" s="9">
        <v>0.0</v>
      </c>
      <c r="J457" s="9">
        <v>1556.0</v>
      </c>
      <c r="K457" s="9">
        <v>1556.0</v>
      </c>
      <c r="L457" s="9">
        <v>1556.0</v>
      </c>
      <c r="M457" s="9">
        <v>323.0</v>
      </c>
      <c r="N457" s="9">
        <v>784.0</v>
      </c>
      <c r="O457" s="9">
        <v>449.0</v>
      </c>
      <c r="P457" s="8" t="s">
        <v>3480</v>
      </c>
      <c r="Q457" s="8" t="s">
        <v>5939</v>
      </c>
      <c r="R457" s="8"/>
    </row>
    <row r="458">
      <c r="A458" s="8" t="s">
        <v>643</v>
      </c>
      <c r="B458" s="8" t="s">
        <v>5940</v>
      </c>
      <c r="C458" s="8" t="s">
        <v>5941</v>
      </c>
      <c r="D458" s="9">
        <v>9.766945541E9</v>
      </c>
      <c r="E458" s="8" t="s">
        <v>5942</v>
      </c>
      <c r="F458" s="8" t="s">
        <v>3523</v>
      </c>
      <c r="G458" s="8" t="s">
        <v>5943</v>
      </c>
      <c r="H458" s="8" t="s">
        <v>3479</v>
      </c>
      <c r="I458" s="9">
        <v>0.0</v>
      </c>
      <c r="J458" s="9">
        <v>3508.0</v>
      </c>
      <c r="K458" s="9">
        <v>3508.0</v>
      </c>
      <c r="L458" s="9">
        <v>3508.0</v>
      </c>
      <c r="M458" s="9">
        <v>2329.0</v>
      </c>
      <c r="N458" s="9">
        <v>730.0</v>
      </c>
      <c r="O458" s="9">
        <v>449.0</v>
      </c>
      <c r="P458" s="8" t="s">
        <v>3480</v>
      </c>
      <c r="Q458" s="8" t="s">
        <v>5944</v>
      </c>
      <c r="R458" s="8" t="s">
        <v>5945</v>
      </c>
    </row>
    <row r="459">
      <c r="A459" s="8" t="s">
        <v>678</v>
      </c>
      <c r="B459" s="8" t="s">
        <v>5946</v>
      </c>
      <c r="C459" s="8" t="s">
        <v>5947</v>
      </c>
      <c r="D459" s="9">
        <v>9.322330767E9</v>
      </c>
      <c r="E459" s="8" t="s">
        <v>5948</v>
      </c>
      <c r="F459" s="8" t="s">
        <v>3550</v>
      </c>
      <c r="G459" s="8" t="s">
        <v>5949</v>
      </c>
      <c r="H459" s="8" t="s">
        <v>3479</v>
      </c>
      <c r="I459" s="9">
        <v>0.0</v>
      </c>
      <c r="J459" s="9">
        <v>1399.0</v>
      </c>
      <c r="K459" s="9">
        <v>1399.0</v>
      </c>
      <c r="L459" s="9">
        <v>1399.0</v>
      </c>
      <c r="M459" s="9">
        <v>305.0</v>
      </c>
      <c r="N459" s="9">
        <v>645.0</v>
      </c>
      <c r="O459" s="9">
        <v>449.0</v>
      </c>
      <c r="P459" s="8" t="s">
        <v>3519</v>
      </c>
      <c r="Q459" s="8" t="s">
        <v>5950</v>
      </c>
      <c r="R459" s="8" t="s">
        <v>5951</v>
      </c>
    </row>
    <row r="460">
      <c r="A460" s="8" t="s">
        <v>679</v>
      </c>
      <c r="B460" s="8" t="s">
        <v>5952</v>
      </c>
      <c r="C460" s="8" t="s">
        <v>5953</v>
      </c>
      <c r="D460" s="9">
        <v>8.308438304E9</v>
      </c>
      <c r="E460" s="8" t="s">
        <v>5954</v>
      </c>
      <c r="F460" s="8" t="s">
        <v>5955</v>
      </c>
      <c r="G460" s="8" t="s">
        <v>5956</v>
      </c>
      <c r="H460" s="8" t="s">
        <v>3479</v>
      </c>
      <c r="I460" s="9">
        <v>0.0</v>
      </c>
      <c r="J460" s="9">
        <v>1334.0</v>
      </c>
      <c r="K460" s="9">
        <v>1334.0</v>
      </c>
      <c r="L460" s="9">
        <v>1334.0</v>
      </c>
      <c r="M460" s="9">
        <v>700.0</v>
      </c>
      <c r="N460" s="9">
        <v>594.0</v>
      </c>
      <c r="O460" s="9">
        <v>40.0</v>
      </c>
      <c r="P460" s="8" t="s">
        <v>3519</v>
      </c>
      <c r="Q460" s="8"/>
      <c r="R460" s="8"/>
    </row>
    <row r="461">
      <c r="A461" s="8" t="s">
        <v>680</v>
      </c>
      <c r="B461" s="8" t="s">
        <v>5957</v>
      </c>
      <c r="C461" s="8" t="s">
        <v>5958</v>
      </c>
      <c r="D461" s="9">
        <v>7.028922239E9</v>
      </c>
      <c r="E461" s="8" t="s">
        <v>5959</v>
      </c>
      <c r="F461" s="8" t="s">
        <v>5960</v>
      </c>
      <c r="G461" s="8" t="s">
        <v>5961</v>
      </c>
      <c r="H461" s="8" t="s">
        <v>3479</v>
      </c>
      <c r="I461" s="9">
        <v>0.0</v>
      </c>
      <c r="J461" s="9">
        <v>879.0</v>
      </c>
      <c r="K461" s="9">
        <v>879.0</v>
      </c>
      <c r="L461" s="9">
        <v>879.0</v>
      </c>
      <c r="M461" s="9">
        <v>80.0</v>
      </c>
      <c r="N461" s="9">
        <v>0.0</v>
      </c>
      <c r="O461" s="9">
        <v>799.0</v>
      </c>
      <c r="P461" s="8" t="s">
        <v>3480</v>
      </c>
      <c r="Q461" s="8"/>
      <c r="R461" s="8"/>
    </row>
    <row r="462">
      <c r="A462" s="8" t="s">
        <v>667</v>
      </c>
      <c r="B462" s="8" t="s">
        <v>5962</v>
      </c>
      <c r="C462" s="8" t="s">
        <v>5963</v>
      </c>
      <c r="D462" s="9">
        <v>7.709278135E9</v>
      </c>
      <c r="E462" s="8" t="s">
        <v>5964</v>
      </c>
      <c r="F462" s="8" t="s">
        <v>3721</v>
      </c>
      <c r="G462" s="8" t="s">
        <v>5965</v>
      </c>
      <c r="H462" s="8" t="s">
        <v>3479</v>
      </c>
      <c r="I462" s="9">
        <v>0.0</v>
      </c>
      <c r="J462" s="9">
        <v>1190.0</v>
      </c>
      <c r="K462" s="9">
        <v>1190.0</v>
      </c>
      <c r="L462" s="9">
        <v>1190.0</v>
      </c>
      <c r="M462" s="9">
        <v>815.0</v>
      </c>
      <c r="N462" s="9">
        <v>0.0</v>
      </c>
      <c r="O462" s="9">
        <v>375.0</v>
      </c>
      <c r="P462" s="8" t="s">
        <v>3480</v>
      </c>
      <c r="Q462" s="8"/>
      <c r="R462" s="8"/>
    </row>
    <row r="463">
      <c r="A463" s="8" t="s">
        <v>682</v>
      </c>
      <c r="B463" s="8" t="s">
        <v>5966</v>
      </c>
      <c r="C463" s="8" t="s">
        <v>5967</v>
      </c>
      <c r="D463" s="9">
        <v>8.830396347E9</v>
      </c>
      <c r="E463" s="8" t="s">
        <v>5968</v>
      </c>
      <c r="F463" s="8" t="s">
        <v>3753</v>
      </c>
      <c r="G463" s="8" t="s">
        <v>5969</v>
      </c>
      <c r="H463" s="8" t="s">
        <v>3479</v>
      </c>
      <c r="I463" s="9">
        <v>0.0</v>
      </c>
      <c r="J463" s="9">
        <v>1244.0</v>
      </c>
      <c r="K463" s="9">
        <v>1244.0</v>
      </c>
      <c r="L463" s="9">
        <v>1244.0</v>
      </c>
      <c r="M463" s="9">
        <v>255.0</v>
      </c>
      <c r="N463" s="9">
        <v>540.0</v>
      </c>
      <c r="O463" s="9">
        <v>449.0</v>
      </c>
      <c r="P463" s="8" t="s">
        <v>3480</v>
      </c>
      <c r="Q463" s="8"/>
      <c r="R463" s="8"/>
    </row>
    <row r="464">
      <c r="A464" s="8" t="s">
        <v>683</v>
      </c>
      <c r="B464" s="8" t="s">
        <v>5970</v>
      </c>
      <c r="C464" s="8" t="s">
        <v>5971</v>
      </c>
      <c r="D464" s="9">
        <v>8.805911335E9</v>
      </c>
      <c r="E464" s="8" t="s">
        <v>5972</v>
      </c>
      <c r="F464" s="8" t="s">
        <v>3697</v>
      </c>
      <c r="G464" s="8" t="s">
        <v>5973</v>
      </c>
      <c r="H464" s="8" t="s">
        <v>3479</v>
      </c>
      <c r="I464" s="9">
        <v>0.0</v>
      </c>
      <c r="J464" s="9">
        <v>1614.0</v>
      </c>
      <c r="K464" s="9">
        <v>1614.0</v>
      </c>
      <c r="L464" s="9">
        <v>1614.0</v>
      </c>
      <c r="M464" s="9">
        <v>435.0</v>
      </c>
      <c r="N464" s="9">
        <v>730.0</v>
      </c>
      <c r="O464" s="9">
        <v>449.0</v>
      </c>
      <c r="P464" s="8" t="s">
        <v>3480</v>
      </c>
      <c r="Q464" s="8" t="s">
        <v>5974</v>
      </c>
      <c r="R464" s="8" t="s">
        <v>5975</v>
      </c>
    </row>
    <row r="465">
      <c r="A465" s="8" t="s">
        <v>668</v>
      </c>
      <c r="B465" s="8" t="s">
        <v>5976</v>
      </c>
      <c r="C465" s="8" t="s">
        <v>5977</v>
      </c>
      <c r="D465" s="9">
        <v>8.408010539E9</v>
      </c>
      <c r="E465" s="8" t="s">
        <v>5978</v>
      </c>
      <c r="F465" s="8" t="s">
        <v>5979</v>
      </c>
      <c r="G465" s="8" t="s">
        <v>5980</v>
      </c>
      <c r="H465" s="8" t="s">
        <v>3479</v>
      </c>
      <c r="I465" s="9">
        <v>0.0</v>
      </c>
      <c r="J465" s="9">
        <v>1859.0</v>
      </c>
      <c r="K465" s="9">
        <v>1859.0</v>
      </c>
      <c r="L465" s="9">
        <v>1859.0</v>
      </c>
      <c r="M465" s="9">
        <v>476.0</v>
      </c>
      <c r="N465" s="9">
        <v>784.0</v>
      </c>
      <c r="O465" s="9">
        <v>599.0</v>
      </c>
      <c r="P465" s="8" t="s">
        <v>3544</v>
      </c>
      <c r="Q465" s="8" t="s">
        <v>5981</v>
      </c>
      <c r="R465" s="8" t="s">
        <v>5982</v>
      </c>
    </row>
    <row r="466">
      <c r="A466" s="8" t="s">
        <v>685</v>
      </c>
      <c r="B466" s="8" t="s">
        <v>5983</v>
      </c>
      <c r="C466" s="8" t="s">
        <v>5984</v>
      </c>
      <c r="D466" s="9">
        <v>7.620920249E9</v>
      </c>
      <c r="E466" s="8" t="s">
        <v>5985</v>
      </c>
      <c r="F466" s="8" t="s">
        <v>3959</v>
      </c>
      <c r="G466" s="8" t="s">
        <v>5986</v>
      </c>
      <c r="H466" s="8" t="s">
        <v>3479</v>
      </c>
      <c r="I466" s="9">
        <v>0.0</v>
      </c>
      <c r="J466" s="9">
        <v>1650.0</v>
      </c>
      <c r="K466" s="9">
        <v>1650.0</v>
      </c>
      <c r="L466" s="9">
        <v>1650.0</v>
      </c>
      <c r="M466" s="9">
        <v>1650.0</v>
      </c>
      <c r="N466" s="9">
        <v>0.0</v>
      </c>
      <c r="O466" s="9">
        <v>0.0</v>
      </c>
      <c r="P466" s="8" t="s">
        <v>3480</v>
      </c>
      <c r="Q466" s="8" t="s">
        <v>5987</v>
      </c>
      <c r="R466" s="8" t="s">
        <v>5988</v>
      </c>
    </row>
    <row r="467">
      <c r="A467" s="8" t="s">
        <v>681</v>
      </c>
      <c r="B467" s="8" t="s">
        <v>5989</v>
      </c>
      <c r="C467" s="8" t="s">
        <v>5990</v>
      </c>
      <c r="D467" s="9">
        <v>9.503503387E9</v>
      </c>
      <c r="E467" s="8" t="s">
        <v>5991</v>
      </c>
      <c r="F467" s="8" t="s">
        <v>4792</v>
      </c>
      <c r="G467" s="8" t="s">
        <v>4200</v>
      </c>
      <c r="H467" s="8" t="s">
        <v>3479</v>
      </c>
      <c r="I467" s="9">
        <v>0.0</v>
      </c>
      <c r="J467" s="9">
        <v>3889.0</v>
      </c>
      <c r="K467" s="9">
        <v>3889.0</v>
      </c>
      <c r="L467" s="9">
        <v>3889.0</v>
      </c>
      <c r="M467" s="9">
        <v>2041.0</v>
      </c>
      <c r="N467" s="9">
        <v>849.0</v>
      </c>
      <c r="O467" s="9">
        <v>999.0</v>
      </c>
      <c r="P467" s="8" t="s">
        <v>3480</v>
      </c>
      <c r="Q467" s="8"/>
      <c r="R467" s="8"/>
    </row>
    <row r="468">
      <c r="A468" s="8" t="s">
        <v>626</v>
      </c>
      <c r="B468" s="8" t="s">
        <v>5992</v>
      </c>
      <c r="C468" s="8" t="s">
        <v>5993</v>
      </c>
      <c r="D468" s="9">
        <v>9.326324684E9</v>
      </c>
      <c r="E468" s="8" t="s">
        <v>5994</v>
      </c>
      <c r="F468" s="8" t="s">
        <v>3608</v>
      </c>
      <c r="G468" s="8" t="s">
        <v>5995</v>
      </c>
      <c r="H468" s="8" t="s">
        <v>3479</v>
      </c>
      <c r="I468" s="9">
        <v>0.0</v>
      </c>
      <c r="J468" s="9">
        <v>729.0</v>
      </c>
      <c r="K468" s="9">
        <v>729.0</v>
      </c>
      <c r="L468" s="9">
        <v>729.0</v>
      </c>
      <c r="M468" s="9">
        <v>80.0</v>
      </c>
      <c r="N468" s="9">
        <v>0.0</v>
      </c>
      <c r="O468" s="9">
        <v>649.0</v>
      </c>
      <c r="P468" s="8" t="s">
        <v>3480</v>
      </c>
      <c r="Q468" s="8" t="s">
        <v>5996</v>
      </c>
      <c r="R468" s="8" t="s">
        <v>5997</v>
      </c>
    </row>
    <row r="469">
      <c r="A469" s="8" t="s">
        <v>686</v>
      </c>
      <c r="B469" s="8" t="s">
        <v>5998</v>
      </c>
      <c r="C469" s="8" t="s">
        <v>5999</v>
      </c>
      <c r="D469" s="9">
        <v>7.677835549E9</v>
      </c>
      <c r="E469" s="8" t="s">
        <v>6000</v>
      </c>
      <c r="F469" s="8" t="s">
        <v>5955</v>
      </c>
      <c r="G469" s="8" t="s">
        <v>6001</v>
      </c>
      <c r="H469" s="8" t="s">
        <v>3479</v>
      </c>
      <c r="I469" s="9">
        <v>0.0</v>
      </c>
      <c r="J469" s="9">
        <v>4437.0</v>
      </c>
      <c r="K469" s="9">
        <v>4437.0</v>
      </c>
      <c r="L469" s="9">
        <v>4437.0</v>
      </c>
      <c r="M469" s="9">
        <v>2858.0</v>
      </c>
      <c r="N469" s="9">
        <v>754.0</v>
      </c>
      <c r="O469" s="9">
        <v>825.0</v>
      </c>
      <c r="P469" s="8" t="s">
        <v>3480</v>
      </c>
      <c r="Q469" s="8"/>
      <c r="R469" s="8"/>
    </row>
    <row r="470">
      <c r="A470" s="8" t="s">
        <v>627</v>
      </c>
      <c r="B470" s="8" t="s">
        <v>6002</v>
      </c>
      <c r="C470" s="8" t="s">
        <v>6003</v>
      </c>
      <c r="D470" s="9">
        <v>7.506274005E9</v>
      </c>
      <c r="E470" s="8" t="s">
        <v>6004</v>
      </c>
      <c r="F470" s="8" t="s">
        <v>4391</v>
      </c>
      <c r="G470" s="8" t="s">
        <v>6005</v>
      </c>
      <c r="H470" s="8" t="s">
        <v>3479</v>
      </c>
      <c r="I470" s="9">
        <v>0.0</v>
      </c>
      <c r="J470" s="9">
        <v>1259.0</v>
      </c>
      <c r="K470" s="9">
        <v>1259.0</v>
      </c>
      <c r="L470" s="9">
        <v>1259.0</v>
      </c>
      <c r="M470" s="9">
        <v>80.0</v>
      </c>
      <c r="N470" s="9">
        <v>730.0</v>
      </c>
      <c r="O470" s="9">
        <v>449.0</v>
      </c>
      <c r="P470" s="8" t="s">
        <v>3480</v>
      </c>
      <c r="Q470" s="8"/>
      <c r="R470" s="8"/>
    </row>
    <row r="471">
      <c r="A471" s="8" t="s">
        <v>687</v>
      </c>
      <c r="B471" s="8" t="s">
        <v>6006</v>
      </c>
      <c r="C471" s="8" t="s">
        <v>6007</v>
      </c>
      <c r="D471" s="9">
        <v>9.76619971E9</v>
      </c>
      <c r="E471" s="8" t="s">
        <v>6008</v>
      </c>
      <c r="F471" s="8" t="s">
        <v>4391</v>
      </c>
      <c r="G471" s="8" t="s">
        <v>6009</v>
      </c>
      <c r="H471" s="8" t="s">
        <v>3479</v>
      </c>
      <c r="I471" s="9">
        <v>0.0</v>
      </c>
      <c r="J471" s="9">
        <v>1259.0</v>
      </c>
      <c r="K471" s="9">
        <v>1259.0</v>
      </c>
      <c r="L471" s="9">
        <v>1259.0</v>
      </c>
      <c r="M471" s="9">
        <v>80.0</v>
      </c>
      <c r="N471" s="9">
        <v>730.0</v>
      </c>
      <c r="O471" s="9">
        <v>449.0</v>
      </c>
      <c r="P471" s="8" t="s">
        <v>3480</v>
      </c>
      <c r="Q471" s="8" t="s">
        <v>6010</v>
      </c>
      <c r="R471" s="8" t="s">
        <v>6011</v>
      </c>
    </row>
    <row r="472">
      <c r="A472" s="8" t="s">
        <v>688</v>
      </c>
      <c r="B472" s="8" t="s">
        <v>6012</v>
      </c>
      <c r="C472" s="8" t="s">
        <v>6013</v>
      </c>
      <c r="D472" s="9">
        <v>9.527065123E9</v>
      </c>
      <c r="E472" s="8" t="s">
        <v>6014</v>
      </c>
      <c r="F472" s="8" t="s">
        <v>3523</v>
      </c>
      <c r="G472" s="8" t="s">
        <v>6015</v>
      </c>
      <c r="H472" s="8" t="s">
        <v>3479</v>
      </c>
      <c r="I472" s="9">
        <v>0.0</v>
      </c>
      <c r="J472" s="9">
        <v>959.0</v>
      </c>
      <c r="K472" s="9">
        <v>959.0</v>
      </c>
      <c r="L472" s="9">
        <v>959.0</v>
      </c>
      <c r="M472" s="9">
        <v>355.0</v>
      </c>
      <c r="N472" s="9">
        <v>0.0</v>
      </c>
      <c r="O472" s="9">
        <v>604.0</v>
      </c>
      <c r="P472" s="8" t="s">
        <v>3480</v>
      </c>
      <c r="Q472" s="8"/>
      <c r="R472" s="8"/>
    </row>
    <row r="473">
      <c r="A473" s="8" t="s">
        <v>689</v>
      </c>
      <c r="B473" s="8" t="s">
        <v>6016</v>
      </c>
      <c r="C473" s="8" t="s">
        <v>6017</v>
      </c>
      <c r="D473" s="9">
        <v>8.149546005E9</v>
      </c>
      <c r="E473" s="8" t="s">
        <v>6018</v>
      </c>
      <c r="F473" s="8" t="s">
        <v>6019</v>
      </c>
      <c r="G473" s="8" t="s">
        <v>6020</v>
      </c>
      <c r="H473" s="8" t="s">
        <v>3479</v>
      </c>
      <c r="I473" s="9">
        <v>0.0</v>
      </c>
      <c r="J473" s="9">
        <v>2450.0</v>
      </c>
      <c r="K473" s="9">
        <v>2450.0</v>
      </c>
      <c r="L473" s="9">
        <v>2450.0</v>
      </c>
      <c r="M473" s="9">
        <v>2300.0</v>
      </c>
      <c r="N473" s="9">
        <v>0.0</v>
      </c>
      <c r="O473" s="9">
        <v>150.0</v>
      </c>
      <c r="P473" s="8" t="s">
        <v>3544</v>
      </c>
      <c r="Q473" s="8"/>
      <c r="R473" s="8"/>
    </row>
    <row r="474">
      <c r="A474" s="8" t="s">
        <v>690</v>
      </c>
      <c r="B474" s="8" t="s">
        <v>6021</v>
      </c>
      <c r="C474" s="8" t="s">
        <v>6022</v>
      </c>
      <c r="D474" s="9">
        <v>9.153912912E9</v>
      </c>
      <c r="E474" s="8" t="s">
        <v>6023</v>
      </c>
      <c r="F474" s="8" t="s">
        <v>3486</v>
      </c>
      <c r="G474" s="8" t="s">
        <v>6024</v>
      </c>
      <c r="H474" s="8" t="s">
        <v>3479</v>
      </c>
      <c r="I474" s="9">
        <v>0.0</v>
      </c>
      <c r="J474" s="9">
        <v>1629.0</v>
      </c>
      <c r="K474" s="9">
        <v>1629.0</v>
      </c>
      <c r="L474" s="9">
        <v>1629.0</v>
      </c>
      <c r="M474" s="9">
        <v>370.0</v>
      </c>
      <c r="N474" s="9">
        <v>730.0</v>
      </c>
      <c r="O474" s="9">
        <v>529.0</v>
      </c>
      <c r="P474" s="8" t="s">
        <v>3519</v>
      </c>
      <c r="Q474" s="8" t="s">
        <v>6025</v>
      </c>
      <c r="R474" s="8" t="s">
        <v>6026</v>
      </c>
    </row>
    <row r="475">
      <c r="A475" s="8" t="s">
        <v>691</v>
      </c>
      <c r="B475" s="8" t="s">
        <v>6027</v>
      </c>
      <c r="C475" s="8" t="s">
        <v>6028</v>
      </c>
      <c r="D475" s="9">
        <v>9.322340462E9</v>
      </c>
      <c r="E475" s="8" t="s">
        <v>6029</v>
      </c>
      <c r="F475" s="8" t="s">
        <v>3863</v>
      </c>
      <c r="G475" s="8" t="s">
        <v>6030</v>
      </c>
      <c r="H475" s="8" t="s">
        <v>3479</v>
      </c>
      <c r="I475" s="9">
        <v>0.0</v>
      </c>
      <c r="J475" s="9">
        <v>1899.0</v>
      </c>
      <c r="K475" s="9">
        <v>1899.0</v>
      </c>
      <c r="L475" s="9">
        <v>1899.0</v>
      </c>
      <c r="M475" s="9">
        <v>645.0</v>
      </c>
      <c r="N475" s="9">
        <v>730.0</v>
      </c>
      <c r="O475" s="9">
        <v>524.0</v>
      </c>
      <c r="P475" s="8" t="s">
        <v>3544</v>
      </c>
      <c r="Q475" s="8"/>
      <c r="R475" s="8"/>
    </row>
    <row r="476">
      <c r="A476" s="8" t="s">
        <v>692</v>
      </c>
      <c r="B476" s="8" t="s">
        <v>6031</v>
      </c>
      <c r="C476" s="8" t="s">
        <v>6032</v>
      </c>
      <c r="D476" s="9">
        <v>7.038982129E9</v>
      </c>
      <c r="E476" s="8" t="s">
        <v>6033</v>
      </c>
      <c r="F476" s="8" t="s">
        <v>6034</v>
      </c>
      <c r="G476" s="8" t="s">
        <v>6035</v>
      </c>
      <c r="H476" s="8" t="s">
        <v>3479</v>
      </c>
      <c r="I476" s="9">
        <v>0.0</v>
      </c>
      <c r="J476" s="9">
        <v>1646.0</v>
      </c>
      <c r="K476" s="9">
        <v>1646.0</v>
      </c>
      <c r="L476" s="9">
        <v>1646.0</v>
      </c>
      <c r="M476" s="9">
        <v>707.0</v>
      </c>
      <c r="N476" s="9">
        <v>190.0</v>
      </c>
      <c r="O476" s="9">
        <v>749.0</v>
      </c>
      <c r="P476" s="8" t="s">
        <v>3480</v>
      </c>
      <c r="Q476" s="8" t="s">
        <v>6036</v>
      </c>
      <c r="R476" s="8" t="s">
        <v>6037</v>
      </c>
    </row>
    <row r="477">
      <c r="A477" s="8" t="s">
        <v>693</v>
      </c>
      <c r="B477" s="8" t="s">
        <v>6038</v>
      </c>
      <c r="C477" s="8" t="s">
        <v>6039</v>
      </c>
      <c r="D477" s="9">
        <v>9.527552293E9</v>
      </c>
      <c r="E477" s="8" t="s">
        <v>6040</v>
      </c>
      <c r="F477" s="8" t="s">
        <v>3821</v>
      </c>
      <c r="G477" s="8" t="s">
        <v>6041</v>
      </c>
      <c r="H477" s="8" t="s">
        <v>3479</v>
      </c>
      <c r="I477" s="9">
        <v>0.0</v>
      </c>
      <c r="J477" s="9">
        <v>837.0</v>
      </c>
      <c r="K477" s="9">
        <v>837.0</v>
      </c>
      <c r="L477" s="9">
        <v>837.0</v>
      </c>
      <c r="M477" s="9">
        <v>313.0</v>
      </c>
      <c r="N477" s="9">
        <v>0.0</v>
      </c>
      <c r="O477" s="9">
        <v>524.0</v>
      </c>
      <c r="P477" s="8" t="s">
        <v>3519</v>
      </c>
      <c r="Q477" s="8" t="s">
        <v>6042</v>
      </c>
      <c r="R477" s="8" t="s">
        <v>6043</v>
      </c>
    </row>
    <row r="478">
      <c r="A478" s="8" t="s">
        <v>694</v>
      </c>
      <c r="B478" s="8" t="s">
        <v>6044</v>
      </c>
      <c r="C478" s="8" t="s">
        <v>6045</v>
      </c>
      <c r="D478" s="9">
        <v>9.699293084E9</v>
      </c>
      <c r="E478" s="8" t="s">
        <v>6046</v>
      </c>
      <c r="F478" s="8" t="s">
        <v>3589</v>
      </c>
      <c r="G478" s="8" t="s">
        <v>6047</v>
      </c>
      <c r="H478" s="8" t="s">
        <v>3479</v>
      </c>
      <c r="I478" s="9">
        <v>0.0</v>
      </c>
      <c r="J478" s="9">
        <v>1789.0</v>
      </c>
      <c r="K478" s="9">
        <v>1789.0</v>
      </c>
      <c r="L478" s="9">
        <v>1789.0</v>
      </c>
      <c r="M478" s="9">
        <v>535.0</v>
      </c>
      <c r="N478" s="9">
        <v>730.0</v>
      </c>
      <c r="O478" s="9">
        <v>524.0</v>
      </c>
      <c r="P478" s="8" t="s">
        <v>3480</v>
      </c>
      <c r="Q478" s="8"/>
      <c r="R478" s="8"/>
    </row>
    <row r="479">
      <c r="A479" s="8" t="s">
        <v>81</v>
      </c>
      <c r="B479" s="8" t="s">
        <v>6048</v>
      </c>
      <c r="C479" s="8" t="s">
        <v>6049</v>
      </c>
      <c r="D479" s="9">
        <v>9.975626301E9</v>
      </c>
      <c r="E479" s="8" t="s">
        <v>6050</v>
      </c>
      <c r="F479" s="8" t="s">
        <v>3908</v>
      </c>
      <c r="G479" s="8" t="s">
        <v>6051</v>
      </c>
      <c r="H479" s="8" t="s">
        <v>3479</v>
      </c>
      <c r="I479" s="9">
        <v>0.0</v>
      </c>
      <c r="J479" s="9">
        <v>4347.0</v>
      </c>
      <c r="K479" s="9">
        <v>4347.0</v>
      </c>
      <c r="L479" s="9">
        <v>4347.0</v>
      </c>
      <c r="M479" s="9">
        <v>2624.0</v>
      </c>
      <c r="N479" s="9">
        <v>849.0</v>
      </c>
      <c r="O479" s="9">
        <v>874.0</v>
      </c>
      <c r="P479" s="8" t="s">
        <v>3480</v>
      </c>
      <c r="Q479" s="8" t="s">
        <v>6052</v>
      </c>
      <c r="R479" s="8" t="s">
        <v>6053</v>
      </c>
    </row>
    <row r="480">
      <c r="A480" s="8" t="s">
        <v>628</v>
      </c>
      <c r="B480" s="8" t="s">
        <v>6054</v>
      </c>
      <c r="C480" s="8" t="s">
        <v>6055</v>
      </c>
      <c r="D480" s="9">
        <v>7.066341364E9</v>
      </c>
      <c r="E480" s="8" t="s">
        <v>6056</v>
      </c>
      <c r="F480" s="8" t="s">
        <v>3796</v>
      </c>
      <c r="G480" s="8" t="s">
        <v>6057</v>
      </c>
      <c r="H480" s="8" t="s">
        <v>3479</v>
      </c>
      <c r="I480" s="9">
        <v>0.0</v>
      </c>
      <c r="J480" s="9">
        <v>2060.0</v>
      </c>
      <c r="K480" s="9">
        <v>2060.0</v>
      </c>
      <c r="L480" s="9">
        <v>2060.0</v>
      </c>
      <c r="M480" s="9">
        <v>1445.0</v>
      </c>
      <c r="N480" s="9">
        <v>0.0</v>
      </c>
      <c r="O480" s="9">
        <v>615.0</v>
      </c>
      <c r="P480" s="8" t="s">
        <v>3480</v>
      </c>
      <c r="Q480" s="8" t="s">
        <v>6058</v>
      </c>
      <c r="R480" s="8" t="s">
        <v>6059</v>
      </c>
    </row>
    <row r="481">
      <c r="A481" s="8" t="s">
        <v>630</v>
      </c>
      <c r="B481" s="8" t="s">
        <v>6060</v>
      </c>
      <c r="C481" s="8" t="s">
        <v>6061</v>
      </c>
      <c r="D481" s="9">
        <v>9.892720321E9</v>
      </c>
      <c r="E481" s="8" t="s">
        <v>6062</v>
      </c>
      <c r="F481" s="8" t="s">
        <v>3707</v>
      </c>
      <c r="G481" s="8" t="s">
        <v>6063</v>
      </c>
      <c r="H481" s="8" t="s">
        <v>3479</v>
      </c>
      <c r="I481" s="9">
        <v>0.0</v>
      </c>
      <c r="J481" s="9">
        <v>3061.0</v>
      </c>
      <c r="K481" s="9">
        <v>3061.0</v>
      </c>
      <c r="L481" s="9">
        <v>3061.0</v>
      </c>
      <c r="M481" s="9">
        <v>2661.0</v>
      </c>
      <c r="N481" s="9">
        <v>0.0</v>
      </c>
      <c r="O481" s="9">
        <v>400.0</v>
      </c>
      <c r="P481" s="8" t="s">
        <v>3480</v>
      </c>
      <c r="Q481" s="8"/>
      <c r="R481" s="8"/>
    </row>
    <row r="482">
      <c r="A482" s="8" t="s">
        <v>631</v>
      </c>
      <c r="B482" s="8" t="s">
        <v>6064</v>
      </c>
      <c r="C482" s="8" t="s">
        <v>6065</v>
      </c>
      <c r="D482" s="9">
        <v>9.834093322E9</v>
      </c>
      <c r="E482" s="8" t="s">
        <v>6066</v>
      </c>
      <c r="F482" s="8" t="s">
        <v>3550</v>
      </c>
      <c r="G482" s="8" t="s">
        <v>6067</v>
      </c>
      <c r="H482" s="8" t="s">
        <v>3479</v>
      </c>
      <c r="I482" s="9">
        <v>0.0</v>
      </c>
      <c r="J482" s="9">
        <v>1259.0</v>
      </c>
      <c r="K482" s="9">
        <v>1259.0</v>
      </c>
      <c r="L482" s="9">
        <v>1259.0</v>
      </c>
      <c r="M482" s="9">
        <v>80.0</v>
      </c>
      <c r="N482" s="9">
        <v>730.0</v>
      </c>
      <c r="O482" s="9">
        <v>449.0</v>
      </c>
      <c r="P482" s="8" t="s">
        <v>3480</v>
      </c>
      <c r="Q482" s="8" t="s">
        <v>6068</v>
      </c>
      <c r="R482" s="8" t="s">
        <v>6069</v>
      </c>
    </row>
    <row r="483">
      <c r="A483" s="8" t="s">
        <v>684</v>
      </c>
      <c r="B483" s="8" t="s">
        <v>6070</v>
      </c>
      <c r="C483" s="8" t="s">
        <v>6071</v>
      </c>
      <c r="D483" s="9">
        <v>9.595907539E9</v>
      </c>
      <c r="E483" s="8" t="s">
        <v>6072</v>
      </c>
      <c r="F483" s="8" t="s">
        <v>3523</v>
      </c>
      <c r="G483" s="8" t="s">
        <v>6073</v>
      </c>
      <c r="H483" s="8" t="s">
        <v>3479</v>
      </c>
      <c r="I483" s="9">
        <v>0.0</v>
      </c>
      <c r="J483" s="9">
        <v>684.0</v>
      </c>
      <c r="K483" s="9">
        <v>684.0</v>
      </c>
      <c r="L483" s="9">
        <v>684.0</v>
      </c>
      <c r="M483" s="9">
        <v>160.0</v>
      </c>
      <c r="N483" s="9">
        <v>0.0</v>
      </c>
      <c r="O483" s="9">
        <v>524.0</v>
      </c>
      <c r="P483" s="8" t="s">
        <v>3480</v>
      </c>
      <c r="Q483" s="8" t="s">
        <v>6074</v>
      </c>
      <c r="R483" s="8"/>
    </row>
    <row r="484">
      <c r="A484" s="8" t="s">
        <v>633</v>
      </c>
      <c r="B484" s="8" t="s">
        <v>6075</v>
      </c>
      <c r="C484" s="8" t="s">
        <v>6076</v>
      </c>
      <c r="D484" s="9">
        <v>7.972961054E9</v>
      </c>
      <c r="E484" s="8" t="s">
        <v>6077</v>
      </c>
      <c r="F484" s="8" t="s">
        <v>3757</v>
      </c>
      <c r="G484" s="8" t="s">
        <v>6078</v>
      </c>
      <c r="H484" s="8" t="s">
        <v>3479</v>
      </c>
      <c r="I484" s="9">
        <v>0.0</v>
      </c>
      <c r="J484" s="9">
        <v>804.0</v>
      </c>
      <c r="K484" s="9">
        <v>804.0</v>
      </c>
      <c r="L484" s="9">
        <v>804.0</v>
      </c>
      <c r="M484" s="9">
        <v>105.0</v>
      </c>
      <c r="N484" s="9">
        <v>0.0</v>
      </c>
      <c r="O484" s="9">
        <v>699.0</v>
      </c>
      <c r="P484" s="8" t="s">
        <v>3480</v>
      </c>
      <c r="Q484" s="8" t="s">
        <v>6079</v>
      </c>
      <c r="R484" s="8" t="s">
        <v>6080</v>
      </c>
    </row>
    <row r="485">
      <c r="A485" s="8" t="s">
        <v>629</v>
      </c>
      <c r="B485" s="8" t="s">
        <v>6081</v>
      </c>
      <c r="C485" s="8" t="s">
        <v>6082</v>
      </c>
      <c r="D485" s="9">
        <v>9.527692735E9</v>
      </c>
      <c r="E485" s="8" t="s">
        <v>6083</v>
      </c>
      <c r="F485" s="8" t="s">
        <v>3757</v>
      </c>
      <c r="G485" s="8" t="s">
        <v>6084</v>
      </c>
      <c r="H485" s="8" t="s">
        <v>3479</v>
      </c>
      <c r="I485" s="9">
        <v>0.0</v>
      </c>
      <c r="J485" s="9">
        <v>3250.0</v>
      </c>
      <c r="K485" s="9">
        <v>3250.0</v>
      </c>
      <c r="L485" s="9">
        <v>3250.0</v>
      </c>
      <c r="M485" s="9">
        <v>2795.0</v>
      </c>
      <c r="N485" s="9">
        <v>0.0</v>
      </c>
      <c r="O485" s="9">
        <v>455.0</v>
      </c>
      <c r="P485" s="8" t="s">
        <v>3480</v>
      </c>
      <c r="Q485" s="8"/>
      <c r="R485" s="8"/>
    </row>
    <row r="486">
      <c r="A486" s="8" t="s">
        <v>634</v>
      </c>
      <c r="B486" s="8" t="s">
        <v>6085</v>
      </c>
      <c r="C486" s="8" t="s">
        <v>6086</v>
      </c>
      <c r="D486" s="9">
        <v>9.356905182E9</v>
      </c>
      <c r="E486" s="8" t="s">
        <v>6087</v>
      </c>
      <c r="F486" s="8" t="s">
        <v>4112</v>
      </c>
      <c r="G486" s="8" t="s">
        <v>6088</v>
      </c>
      <c r="H486" s="8" t="s">
        <v>3479</v>
      </c>
      <c r="I486" s="9">
        <v>0.0</v>
      </c>
      <c r="J486" s="9">
        <v>4806.0</v>
      </c>
      <c r="K486" s="9">
        <v>4806.0</v>
      </c>
      <c r="L486" s="9">
        <v>4806.0</v>
      </c>
      <c r="M486" s="9">
        <v>3217.0</v>
      </c>
      <c r="N486" s="9">
        <v>190.0</v>
      </c>
      <c r="O486" s="9">
        <v>1399.0</v>
      </c>
      <c r="P486" s="8" t="s">
        <v>3480</v>
      </c>
      <c r="Q486" s="8" t="s">
        <v>6089</v>
      </c>
      <c r="R486" s="8" t="s">
        <v>6090</v>
      </c>
    </row>
    <row r="487">
      <c r="A487" s="8" t="s">
        <v>696</v>
      </c>
      <c r="B487" s="8" t="s">
        <v>6091</v>
      </c>
      <c r="C487" s="8" t="s">
        <v>6092</v>
      </c>
      <c r="D487" s="9">
        <v>7.276334217E9</v>
      </c>
      <c r="E487" s="8" t="s">
        <v>6093</v>
      </c>
      <c r="F487" s="8" t="s">
        <v>4059</v>
      </c>
      <c r="G487" s="8" t="s">
        <v>5980</v>
      </c>
      <c r="H487" s="8" t="s">
        <v>3479</v>
      </c>
      <c r="I487" s="9">
        <v>0.0</v>
      </c>
      <c r="J487" s="9">
        <v>7737.0</v>
      </c>
      <c r="K487" s="9">
        <v>7737.0</v>
      </c>
      <c r="L487" s="9">
        <v>7737.0</v>
      </c>
      <c r="M487" s="9">
        <v>5979.0</v>
      </c>
      <c r="N487" s="9">
        <v>784.0</v>
      </c>
      <c r="O487" s="9">
        <v>974.0</v>
      </c>
      <c r="P487" s="8" t="s">
        <v>3480</v>
      </c>
      <c r="Q487" s="8" t="s">
        <v>6094</v>
      </c>
      <c r="R487" s="8" t="s">
        <v>6095</v>
      </c>
    </row>
    <row r="488">
      <c r="A488" s="8" t="s">
        <v>701</v>
      </c>
      <c r="B488" s="8" t="s">
        <v>6096</v>
      </c>
      <c r="C488" s="8" t="s">
        <v>6097</v>
      </c>
      <c r="D488" s="9">
        <v>9.175573138E9</v>
      </c>
      <c r="E488" s="8" t="s">
        <v>6098</v>
      </c>
      <c r="F488" s="8" t="s">
        <v>3757</v>
      </c>
      <c r="G488" s="8" t="s">
        <v>6099</v>
      </c>
      <c r="H488" s="8" t="s">
        <v>3479</v>
      </c>
      <c r="I488" s="9">
        <v>0.0</v>
      </c>
      <c r="J488" s="9">
        <v>2310.0</v>
      </c>
      <c r="K488" s="9">
        <v>2310.0</v>
      </c>
      <c r="L488" s="9">
        <v>2310.0</v>
      </c>
      <c r="M488" s="9">
        <v>163.0</v>
      </c>
      <c r="N488" s="9">
        <v>1468.0</v>
      </c>
      <c r="O488" s="9">
        <v>679.0</v>
      </c>
      <c r="P488" s="8" t="s">
        <v>3480</v>
      </c>
      <c r="Q488" s="8" t="s">
        <v>6100</v>
      </c>
      <c r="R488" s="8" t="s">
        <v>6101</v>
      </c>
    </row>
    <row r="489">
      <c r="A489" s="8" t="s">
        <v>697</v>
      </c>
      <c r="B489" s="8" t="s">
        <v>6102</v>
      </c>
      <c r="C489" s="8" t="s">
        <v>6103</v>
      </c>
      <c r="D489" s="9">
        <v>7.030371806E9</v>
      </c>
      <c r="E489" s="8" t="s">
        <v>6104</v>
      </c>
      <c r="F489" s="8" t="s">
        <v>3601</v>
      </c>
      <c r="G489" s="8" t="s">
        <v>6105</v>
      </c>
      <c r="H489" s="8" t="s">
        <v>3479</v>
      </c>
      <c r="I489" s="9">
        <v>0.0</v>
      </c>
      <c r="J489" s="9">
        <v>1667.0</v>
      </c>
      <c r="K489" s="9">
        <v>1667.0</v>
      </c>
      <c r="L489" s="9">
        <v>1667.0</v>
      </c>
      <c r="M489" s="9">
        <v>479.0</v>
      </c>
      <c r="N489" s="9">
        <v>739.0</v>
      </c>
      <c r="O489" s="9">
        <v>449.0</v>
      </c>
      <c r="P489" s="8" t="s">
        <v>3480</v>
      </c>
      <c r="Q489" s="8"/>
      <c r="R489" s="8"/>
    </row>
    <row r="490">
      <c r="A490" s="8" t="s">
        <v>632</v>
      </c>
      <c r="B490" s="8" t="s">
        <v>6106</v>
      </c>
      <c r="C490" s="8" t="s">
        <v>6107</v>
      </c>
      <c r="D490" s="9">
        <v>9.604846317E9</v>
      </c>
      <c r="E490" s="8" t="s">
        <v>6108</v>
      </c>
      <c r="F490" s="8" t="s">
        <v>3523</v>
      </c>
      <c r="G490" s="8" t="s">
        <v>6109</v>
      </c>
      <c r="H490" s="8" t="s">
        <v>3479</v>
      </c>
      <c r="I490" s="9">
        <v>0.0</v>
      </c>
      <c r="J490" s="9">
        <v>1565.0</v>
      </c>
      <c r="K490" s="9">
        <v>1565.0</v>
      </c>
      <c r="L490" s="9">
        <v>1565.0</v>
      </c>
      <c r="M490" s="9">
        <v>1465.0</v>
      </c>
      <c r="N490" s="9">
        <v>0.0</v>
      </c>
      <c r="O490" s="9">
        <v>100.0</v>
      </c>
      <c r="P490" s="8" t="s">
        <v>3544</v>
      </c>
      <c r="Q490" s="8" t="s">
        <v>6110</v>
      </c>
      <c r="R490" s="8"/>
    </row>
    <row r="491">
      <c r="A491" s="8" t="s">
        <v>695</v>
      </c>
      <c r="B491" s="8" t="s">
        <v>6111</v>
      </c>
      <c r="C491" s="8" t="s">
        <v>6112</v>
      </c>
      <c r="D491" s="9">
        <v>9.075791172E9</v>
      </c>
      <c r="E491" s="8" t="s">
        <v>6113</v>
      </c>
      <c r="F491" s="8" t="s">
        <v>3589</v>
      </c>
      <c r="G491" s="8" t="s">
        <v>6114</v>
      </c>
      <c r="H491" s="8" t="s">
        <v>3479</v>
      </c>
      <c r="I491" s="9">
        <v>0.0</v>
      </c>
      <c r="J491" s="9">
        <v>1893.0</v>
      </c>
      <c r="K491" s="9">
        <v>1893.0</v>
      </c>
      <c r="L491" s="9">
        <v>1893.0</v>
      </c>
      <c r="M491" s="9">
        <v>630.0</v>
      </c>
      <c r="N491" s="9">
        <v>739.0</v>
      </c>
      <c r="O491" s="9">
        <v>524.0</v>
      </c>
      <c r="P491" s="8" t="s">
        <v>3480</v>
      </c>
      <c r="Q491" s="8"/>
      <c r="R491" s="8"/>
    </row>
    <row r="492">
      <c r="A492" s="8" t="s">
        <v>698</v>
      </c>
      <c r="B492" s="8" t="s">
        <v>6115</v>
      </c>
      <c r="C492" s="8" t="s">
        <v>6116</v>
      </c>
      <c r="D492" s="9">
        <v>9.404925331E9</v>
      </c>
      <c r="E492" s="8" t="s">
        <v>6117</v>
      </c>
      <c r="F492" s="8" t="s">
        <v>6118</v>
      </c>
      <c r="G492" s="8" t="s">
        <v>6119</v>
      </c>
      <c r="H492" s="8" t="s">
        <v>3479</v>
      </c>
      <c r="I492" s="9">
        <v>0.0</v>
      </c>
      <c r="J492" s="9">
        <v>1268.0</v>
      </c>
      <c r="K492" s="9">
        <v>1268.0</v>
      </c>
      <c r="L492" s="9">
        <v>1268.0</v>
      </c>
      <c r="M492" s="9">
        <v>80.0</v>
      </c>
      <c r="N492" s="9">
        <v>739.0</v>
      </c>
      <c r="O492" s="9">
        <v>449.0</v>
      </c>
      <c r="P492" s="8" t="s">
        <v>3480</v>
      </c>
      <c r="Q492" s="8" t="s">
        <v>6120</v>
      </c>
      <c r="R492" s="8" t="s">
        <v>6121</v>
      </c>
    </row>
    <row r="493">
      <c r="A493" s="8" t="s">
        <v>702</v>
      </c>
      <c r="B493" s="8" t="s">
        <v>6122</v>
      </c>
      <c r="C493" s="8" t="s">
        <v>6123</v>
      </c>
      <c r="D493" s="9">
        <v>9.860599253E9</v>
      </c>
      <c r="E493" s="8" t="s">
        <v>6124</v>
      </c>
      <c r="F493" s="8" t="s">
        <v>3721</v>
      </c>
      <c r="G493" s="8" t="s">
        <v>4036</v>
      </c>
      <c r="H493" s="8" t="s">
        <v>3479</v>
      </c>
      <c r="I493" s="9">
        <v>0.0</v>
      </c>
      <c r="J493" s="9">
        <v>1543.0</v>
      </c>
      <c r="K493" s="9">
        <v>1543.0</v>
      </c>
      <c r="L493" s="9">
        <v>1543.0</v>
      </c>
      <c r="M493" s="9">
        <v>280.0</v>
      </c>
      <c r="N493" s="9">
        <v>739.0</v>
      </c>
      <c r="O493" s="9">
        <v>524.0</v>
      </c>
      <c r="P493" s="8" t="s">
        <v>3480</v>
      </c>
      <c r="Q493" s="8"/>
      <c r="R493" s="8"/>
    </row>
    <row r="494">
      <c r="A494" s="8" t="s">
        <v>700</v>
      </c>
      <c r="B494" s="8" t="s">
        <v>6125</v>
      </c>
      <c r="C494" s="8" t="s">
        <v>6126</v>
      </c>
      <c r="D494" s="9">
        <v>7.038172288E9</v>
      </c>
      <c r="E494" s="8" t="s">
        <v>6127</v>
      </c>
      <c r="F494" s="8" t="s">
        <v>3550</v>
      </c>
      <c r="G494" s="8" t="s">
        <v>6128</v>
      </c>
      <c r="H494" s="8" t="s">
        <v>3479</v>
      </c>
      <c r="I494" s="9">
        <v>0.0</v>
      </c>
      <c r="J494" s="9">
        <v>1883.0</v>
      </c>
      <c r="K494" s="9">
        <v>1883.0</v>
      </c>
      <c r="L494" s="9">
        <v>1883.0</v>
      </c>
      <c r="M494" s="9">
        <v>695.0</v>
      </c>
      <c r="N494" s="9">
        <v>739.0</v>
      </c>
      <c r="O494" s="9">
        <v>449.0</v>
      </c>
      <c r="P494" s="8" t="s">
        <v>3480</v>
      </c>
      <c r="Q494" s="8" t="s">
        <v>6129</v>
      </c>
      <c r="R494" s="8" t="s">
        <v>6130</v>
      </c>
    </row>
    <row r="495">
      <c r="A495" s="8" t="s">
        <v>713</v>
      </c>
      <c r="B495" s="8" t="s">
        <v>6131</v>
      </c>
      <c r="C495" s="8" t="s">
        <v>6132</v>
      </c>
      <c r="D495" s="9">
        <v>9.405695471E9</v>
      </c>
      <c r="E495" s="8" t="s">
        <v>6133</v>
      </c>
      <c r="F495" s="8" t="s">
        <v>3677</v>
      </c>
      <c r="G495" s="8" t="s">
        <v>6134</v>
      </c>
      <c r="H495" s="8" t="s">
        <v>3479</v>
      </c>
      <c r="I495" s="9">
        <v>0.0</v>
      </c>
      <c r="J495" s="9">
        <v>728.0</v>
      </c>
      <c r="K495" s="9">
        <v>728.0</v>
      </c>
      <c r="L495" s="9">
        <v>728.0</v>
      </c>
      <c r="M495" s="9">
        <v>129.0</v>
      </c>
      <c r="N495" s="9">
        <v>0.0</v>
      </c>
      <c r="O495" s="9">
        <v>599.0</v>
      </c>
      <c r="P495" s="8" t="s">
        <v>3480</v>
      </c>
      <c r="Q495" s="8" t="s">
        <v>6135</v>
      </c>
      <c r="R495" s="8" t="s">
        <v>6136</v>
      </c>
    </row>
    <row r="496">
      <c r="A496" s="8" t="s">
        <v>729</v>
      </c>
      <c r="B496" s="8" t="s">
        <v>6137</v>
      </c>
      <c r="C496" s="8" t="s">
        <v>6138</v>
      </c>
      <c r="D496" s="9">
        <v>7.559156684E9</v>
      </c>
      <c r="E496" s="8" t="s">
        <v>6139</v>
      </c>
      <c r="F496" s="8" t="s">
        <v>3486</v>
      </c>
      <c r="G496" s="8" t="s">
        <v>6140</v>
      </c>
      <c r="H496" s="8" t="s">
        <v>6141</v>
      </c>
      <c r="I496" s="9">
        <v>0.0</v>
      </c>
      <c r="J496" s="9">
        <v>1600.0</v>
      </c>
      <c r="K496" s="9">
        <v>1693.0</v>
      </c>
      <c r="L496" s="9">
        <v>1600.0</v>
      </c>
      <c r="M496" s="9">
        <v>1343.0</v>
      </c>
      <c r="N496" s="9">
        <v>0.0</v>
      </c>
      <c r="O496" s="9">
        <v>350.0</v>
      </c>
      <c r="P496" s="8" t="s">
        <v>3480</v>
      </c>
      <c r="Q496" s="8" t="s">
        <v>6142</v>
      </c>
      <c r="R496" s="8" t="s">
        <v>6143</v>
      </c>
    </row>
    <row r="497">
      <c r="A497" s="8" t="s">
        <v>704</v>
      </c>
      <c r="B497" s="8" t="s">
        <v>6144</v>
      </c>
      <c r="C497" s="8" t="s">
        <v>6145</v>
      </c>
      <c r="D497" s="9">
        <v>7.507291543E9</v>
      </c>
      <c r="E497" s="8" t="s">
        <v>6146</v>
      </c>
      <c r="F497" s="8" t="s">
        <v>3757</v>
      </c>
      <c r="G497" s="8" t="s">
        <v>4036</v>
      </c>
      <c r="H497" s="8" t="s">
        <v>3479</v>
      </c>
      <c r="I497" s="9">
        <v>0.0</v>
      </c>
      <c r="J497" s="9">
        <v>2432.0</v>
      </c>
      <c r="K497" s="9">
        <v>2432.0</v>
      </c>
      <c r="L497" s="9">
        <v>2432.0</v>
      </c>
      <c r="M497" s="9">
        <v>165.0</v>
      </c>
      <c r="N497" s="9">
        <v>1468.0</v>
      </c>
      <c r="O497" s="9">
        <v>799.0</v>
      </c>
      <c r="P497" s="8" t="s">
        <v>3480</v>
      </c>
      <c r="Q497" s="8" t="s">
        <v>6147</v>
      </c>
      <c r="R497" s="8" t="s">
        <v>6148</v>
      </c>
    </row>
    <row r="498">
      <c r="A498" s="8" t="s">
        <v>705</v>
      </c>
      <c r="B498" s="8" t="s">
        <v>6149</v>
      </c>
      <c r="C498" s="8" t="s">
        <v>6150</v>
      </c>
      <c r="D498" s="9">
        <v>9.421785433E9</v>
      </c>
      <c r="E498" s="8" t="s">
        <v>6151</v>
      </c>
      <c r="F498" s="8" t="s">
        <v>6152</v>
      </c>
      <c r="G498" s="8" t="s">
        <v>6153</v>
      </c>
      <c r="H498" s="8" t="s">
        <v>3479</v>
      </c>
      <c r="I498" s="9">
        <v>0.0</v>
      </c>
      <c r="J498" s="9">
        <v>779.0</v>
      </c>
      <c r="K498" s="9">
        <v>779.0</v>
      </c>
      <c r="L498" s="9">
        <v>779.0</v>
      </c>
      <c r="M498" s="9">
        <v>80.0</v>
      </c>
      <c r="N498" s="9">
        <v>0.0</v>
      </c>
      <c r="O498" s="9">
        <v>699.0</v>
      </c>
      <c r="P498" s="8" t="s">
        <v>3480</v>
      </c>
      <c r="Q498" s="8" t="s">
        <v>6154</v>
      </c>
      <c r="R498" s="8" t="s">
        <v>6155</v>
      </c>
    </row>
    <row r="499">
      <c r="A499" s="8" t="s">
        <v>706</v>
      </c>
      <c r="B499" s="8" t="s">
        <v>6156</v>
      </c>
      <c r="C499" s="8" t="s">
        <v>5504</v>
      </c>
      <c r="D499" s="9">
        <v>7.391050757E9</v>
      </c>
      <c r="E499" s="8" t="s">
        <v>5505</v>
      </c>
      <c r="F499" s="8" t="s">
        <v>6118</v>
      </c>
      <c r="G499" s="8" t="s">
        <v>3494</v>
      </c>
      <c r="H499" s="8" t="s">
        <v>3479</v>
      </c>
      <c r="I499" s="9">
        <v>0.0</v>
      </c>
      <c r="J499" s="9">
        <v>1647.0</v>
      </c>
      <c r="K499" s="9">
        <v>1647.0</v>
      </c>
      <c r="L499" s="9">
        <v>1647.0</v>
      </c>
      <c r="M499" s="9">
        <v>379.0</v>
      </c>
      <c r="N499" s="9">
        <v>739.0</v>
      </c>
      <c r="O499" s="9">
        <v>529.0</v>
      </c>
      <c r="P499" s="8" t="s">
        <v>3480</v>
      </c>
      <c r="Q499" s="8" t="s">
        <v>5508</v>
      </c>
      <c r="R499" s="8" t="s">
        <v>5509</v>
      </c>
    </row>
    <row r="500">
      <c r="A500" s="8" t="s">
        <v>708</v>
      </c>
      <c r="B500" s="8" t="s">
        <v>6157</v>
      </c>
      <c r="C500" s="8" t="s">
        <v>6158</v>
      </c>
      <c r="D500" s="9">
        <v>9.403308902E9</v>
      </c>
      <c r="E500" s="8" t="s">
        <v>6159</v>
      </c>
      <c r="F500" s="8" t="s">
        <v>3768</v>
      </c>
      <c r="G500" s="8" t="s">
        <v>6160</v>
      </c>
      <c r="H500" s="8" t="s">
        <v>6161</v>
      </c>
      <c r="I500" s="9">
        <v>0.0</v>
      </c>
      <c r="J500" s="9">
        <v>3150.0</v>
      </c>
      <c r="K500" s="9">
        <v>3350.0</v>
      </c>
      <c r="L500" s="9">
        <v>3150.0</v>
      </c>
      <c r="M500" s="9">
        <v>1136.0</v>
      </c>
      <c r="N500" s="9">
        <v>840.0</v>
      </c>
      <c r="O500" s="9">
        <v>1374.0</v>
      </c>
      <c r="P500" s="8" t="s">
        <v>3480</v>
      </c>
      <c r="Q500" s="8" t="s">
        <v>6162</v>
      </c>
      <c r="R500" s="8" t="s">
        <v>6163</v>
      </c>
    </row>
    <row r="501">
      <c r="A501" s="8" t="s">
        <v>707</v>
      </c>
      <c r="B501" s="8" t="s">
        <v>6164</v>
      </c>
      <c r="C501" s="8" t="s">
        <v>6165</v>
      </c>
      <c r="D501" s="9">
        <v>9.767474769E9</v>
      </c>
      <c r="E501" s="8" t="s">
        <v>6166</v>
      </c>
      <c r="F501" s="8" t="s">
        <v>3821</v>
      </c>
      <c r="G501" s="8" t="s">
        <v>3494</v>
      </c>
      <c r="H501" s="8" t="s">
        <v>6167</v>
      </c>
      <c r="I501" s="9">
        <v>0.0</v>
      </c>
      <c r="J501" s="9">
        <v>2600.0</v>
      </c>
      <c r="K501" s="9">
        <v>2631.0</v>
      </c>
      <c r="L501" s="9">
        <v>2600.0</v>
      </c>
      <c r="M501" s="9">
        <v>1368.0</v>
      </c>
      <c r="N501" s="9">
        <v>739.0</v>
      </c>
      <c r="O501" s="9">
        <v>524.0</v>
      </c>
      <c r="P501" s="8" t="s">
        <v>3480</v>
      </c>
      <c r="Q501" s="8" t="s">
        <v>6168</v>
      </c>
      <c r="R501" s="8" t="s">
        <v>6169</v>
      </c>
    </row>
    <row r="502">
      <c r="A502" s="8" t="s">
        <v>703</v>
      </c>
      <c r="B502" s="8" t="s">
        <v>6170</v>
      </c>
      <c r="C502" s="8" t="s">
        <v>4960</v>
      </c>
      <c r="D502" s="9">
        <v>9.604733663E9</v>
      </c>
      <c r="E502" s="8" t="s">
        <v>6171</v>
      </c>
      <c r="F502" s="8" t="s">
        <v>4089</v>
      </c>
      <c r="G502" s="8" t="s">
        <v>6172</v>
      </c>
      <c r="H502" s="8" t="s">
        <v>5093</v>
      </c>
      <c r="I502" s="9">
        <v>0.0</v>
      </c>
      <c r="J502" s="9">
        <v>1300.0</v>
      </c>
      <c r="K502" s="9">
        <v>1339.0</v>
      </c>
      <c r="L502" s="9">
        <v>1300.0</v>
      </c>
      <c r="M502" s="9">
        <v>400.0</v>
      </c>
      <c r="N502" s="9">
        <v>190.0</v>
      </c>
      <c r="O502" s="9">
        <v>749.0</v>
      </c>
      <c r="P502" s="8" t="s">
        <v>3480</v>
      </c>
      <c r="Q502" s="8"/>
      <c r="R502" s="8"/>
    </row>
    <row r="503">
      <c r="A503" s="8" t="s">
        <v>709</v>
      </c>
      <c r="B503" s="8" t="s">
        <v>6173</v>
      </c>
      <c r="C503" s="8" t="s">
        <v>3533</v>
      </c>
      <c r="D503" s="9">
        <v>7.719043581E9</v>
      </c>
      <c r="E503" s="8" t="s">
        <v>6174</v>
      </c>
      <c r="F503" s="8" t="s">
        <v>4391</v>
      </c>
      <c r="G503" s="8" t="s">
        <v>6175</v>
      </c>
      <c r="H503" s="8" t="s">
        <v>3479</v>
      </c>
      <c r="I503" s="9">
        <v>0.0</v>
      </c>
      <c r="J503" s="9">
        <v>1914.0</v>
      </c>
      <c r="K503" s="9">
        <v>1914.0</v>
      </c>
      <c r="L503" s="9">
        <v>1914.0</v>
      </c>
      <c r="M503" s="9">
        <v>726.0</v>
      </c>
      <c r="N503" s="9">
        <v>739.0</v>
      </c>
      <c r="O503" s="9">
        <v>449.0</v>
      </c>
      <c r="P503" s="8" t="s">
        <v>3480</v>
      </c>
      <c r="Q503" s="8"/>
      <c r="R503" s="8"/>
    </row>
    <row r="504">
      <c r="A504" s="8" t="s">
        <v>710</v>
      </c>
      <c r="B504" s="8" t="s">
        <v>6176</v>
      </c>
      <c r="C504" s="8" t="s">
        <v>6177</v>
      </c>
      <c r="D504" s="9">
        <v>9.40423068E9</v>
      </c>
      <c r="E504" s="8" t="s">
        <v>6178</v>
      </c>
      <c r="F504" s="8" t="s">
        <v>3677</v>
      </c>
      <c r="G504" s="8" t="s">
        <v>6179</v>
      </c>
      <c r="H504" s="8" t="s">
        <v>3479</v>
      </c>
      <c r="I504" s="9">
        <v>0.0</v>
      </c>
      <c r="J504" s="9">
        <v>3061.0</v>
      </c>
      <c r="K504" s="9">
        <v>3061.0</v>
      </c>
      <c r="L504" s="9">
        <v>3061.0</v>
      </c>
      <c r="M504" s="9">
        <v>1297.0</v>
      </c>
      <c r="N504" s="9">
        <v>840.0</v>
      </c>
      <c r="O504" s="9">
        <v>924.0</v>
      </c>
      <c r="P504" s="8" t="s">
        <v>3480</v>
      </c>
      <c r="Q504" s="8"/>
      <c r="R504" s="8"/>
    </row>
    <row r="505">
      <c r="A505" s="8" t="s">
        <v>715</v>
      </c>
      <c r="B505" s="8" t="s">
        <v>6180</v>
      </c>
      <c r="C505" s="8" t="s">
        <v>6181</v>
      </c>
      <c r="D505" s="9">
        <v>8.180030054E9</v>
      </c>
      <c r="E505" s="8" t="s">
        <v>6182</v>
      </c>
      <c r="F505" s="8" t="s">
        <v>5556</v>
      </c>
      <c r="G505" s="8" t="s">
        <v>6183</v>
      </c>
      <c r="H505" s="8" t="s">
        <v>3479</v>
      </c>
      <c r="I505" s="9">
        <v>0.0</v>
      </c>
      <c r="J505" s="9">
        <v>2947.0</v>
      </c>
      <c r="K505" s="9">
        <v>2947.0</v>
      </c>
      <c r="L505" s="9">
        <v>2947.0</v>
      </c>
      <c r="M505" s="9">
        <v>1878.0</v>
      </c>
      <c r="N505" s="9">
        <v>594.0</v>
      </c>
      <c r="O505" s="9">
        <v>475.0</v>
      </c>
      <c r="P505" s="8" t="s">
        <v>3480</v>
      </c>
      <c r="Q505" s="8"/>
      <c r="R505" s="8"/>
    </row>
    <row r="506">
      <c r="A506" s="8" t="s">
        <v>714</v>
      </c>
      <c r="B506" s="8" t="s">
        <v>6184</v>
      </c>
      <c r="C506" s="8" t="s">
        <v>6185</v>
      </c>
      <c r="D506" s="9">
        <v>7.620570902E9</v>
      </c>
      <c r="E506" s="8" t="s">
        <v>6186</v>
      </c>
      <c r="F506" s="8" t="s">
        <v>5613</v>
      </c>
      <c r="G506" s="8" t="s">
        <v>6187</v>
      </c>
      <c r="H506" s="8" t="s">
        <v>3479</v>
      </c>
      <c r="I506" s="9">
        <v>0.0</v>
      </c>
      <c r="J506" s="9">
        <v>2089.0</v>
      </c>
      <c r="K506" s="9">
        <v>2089.0</v>
      </c>
      <c r="L506" s="9">
        <v>2089.0</v>
      </c>
      <c r="M506" s="9">
        <v>835.0</v>
      </c>
      <c r="N506" s="9">
        <v>730.0</v>
      </c>
      <c r="O506" s="9">
        <v>524.0</v>
      </c>
      <c r="P506" s="8" t="s">
        <v>3480</v>
      </c>
      <c r="Q506" s="8" t="s">
        <v>6188</v>
      </c>
      <c r="R506" s="8" t="s">
        <v>6189</v>
      </c>
    </row>
    <row r="507">
      <c r="A507" s="8" t="s">
        <v>699</v>
      </c>
      <c r="B507" s="8" t="s">
        <v>6190</v>
      </c>
      <c r="C507" s="8" t="s">
        <v>6191</v>
      </c>
      <c r="D507" s="9">
        <v>9.518352796E9</v>
      </c>
      <c r="E507" s="8" t="s">
        <v>6192</v>
      </c>
      <c r="F507" s="8" t="s">
        <v>4093</v>
      </c>
      <c r="G507" s="8" t="s">
        <v>6193</v>
      </c>
      <c r="H507" s="8" t="s">
        <v>6194</v>
      </c>
      <c r="I507" s="9">
        <v>0.0</v>
      </c>
      <c r="J507" s="9">
        <v>2600.0</v>
      </c>
      <c r="K507" s="9">
        <v>2650.0</v>
      </c>
      <c r="L507" s="9">
        <v>2600.0</v>
      </c>
      <c r="M507" s="9">
        <v>2051.0</v>
      </c>
      <c r="N507" s="9">
        <v>0.0</v>
      </c>
      <c r="O507" s="9">
        <v>599.0</v>
      </c>
      <c r="P507" s="8" t="s">
        <v>3480</v>
      </c>
      <c r="Q507" s="8" t="s">
        <v>6195</v>
      </c>
      <c r="R507" s="8" t="s">
        <v>6196</v>
      </c>
    </row>
    <row r="508">
      <c r="A508" s="8" t="s">
        <v>712</v>
      </c>
      <c r="B508" s="8" t="s">
        <v>6197</v>
      </c>
      <c r="C508" s="8" t="s">
        <v>6198</v>
      </c>
      <c r="D508" s="9">
        <v>7.020727318E9</v>
      </c>
      <c r="E508" s="8" t="s">
        <v>6199</v>
      </c>
      <c r="F508" s="8" t="s">
        <v>3653</v>
      </c>
      <c r="G508" s="8" t="s">
        <v>6200</v>
      </c>
      <c r="H508" s="8" t="s">
        <v>3479</v>
      </c>
      <c r="I508" s="9">
        <v>0.0</v>
      </c>
      <c r="J508" s="9">
        <v>2783.0</v>
      </c>
      <c r="K508" s="9">
        <v>2783.0</v>
      </c>
      <c r="L508" s="9">
        <v>2783.0</v>
      </c>
      <c r="M508" s="9">
        <v>1550.0</v>
      </c>
      <c r="N508" s="9">
        <v>784.0</v>
      </c>
      <c r="O508" s="9">
        <v>449.0</v>
      </c>
      <c r="P508" s="8" t="s">
        <v>3519</v>
      </c>
      <c r="Q508" s="8" t="s">
        <v>6201</v>
      </c>
      <c r="R508" s="8" t="s">
        <v>6202</v>
      </c>
    </row>
    <row r="509">
      <c r="A509" s="8" t="s">
        <v>711</v>
      </c>
      <c r="B509" s="8" t="s">
        <v>6203</v>
      </c>
      <c r="C509" s="8" t="s">
        <v>6204</v>
      </c>
      <c r="D509" s="9">
        <v>8.805189957E9</v>
      </c>
      <c r="E509" s="8" t="s">
        <v>6205</v>
      </c>
      <c r="F509" s="8" t="s">
        <v>6206</v>
      </c>
      <c r="G509" s="8" t="s">
        <v>4398</v>
      </c>
      <c r="H509" s="8" t="s">
        <v>3479</v>
      </c>
      <c r="I509" s="9">
        <v>0.0</v>
      </c>
      <c r="J509" s="9">
        <v>1909.0</v>
      </c>
      <c r="K509" s="9">
        <v>1909.0</v>
      </c>
      <c r="L509" s="9">
        <v>1909.0</v>
      </c>
      <c r="M509" s="9">
        <v>890.0</v>
      </c>
      <c r="N509" s="9">
        <v>190.0</v>
      </c>
      <c r="O509" s="9">
        <v>829.0</v>
      </c>
      <c r="P509" s="8" t="s">
        <v>3480</v>
      </c>
      <c r="Q509" s="8"/>
      <c r="R509" s="8"/>
    </row>
    <row r="510">
      <c r="A510" s="8" t="s">
        <v>717</v>
      </c>
      <c r="B510" s="8" t="s">
        <v>6207</v>
      </c>
      <c r="C510" s="8" t="s">
        <v>6208</v>
      </c>
      <c r="D510" s="9">
        <v>7.44742684E9</v>
      </c>
      <c r="E510" s="8" t="s">
        <v>6209</v>
      </c>
      <c r="F510" s="8" t="s">
        <v>5447</v>
      </c>
      <c r="G510" s="8" t="s">
        <v>6210</v>
      </c>
      <c r="H510" s="8" t="s">
        <v>3479</v>
      </c>
      <c r="I510" s="9">
        <v>0.0</v>
      </c>
      <c r="J510" s="9">
        <v>1934.0</v>
      </c>
      <c r="K510" s="9">
        <v>1934.0</v>
      </c>
      <c r="L510" s="9">
        <v>1934.0</v>
      </c>
      <c r="M510" s="9">
        <v>1694.0</v>
      </c>
      <c r="N510" s="9">
        <v>65.0</v>
      </c>
      <c r="O510" s="9">
        <v>175.0</v>
      </c>
      <c r="P510" s="8" t="s">
        <v>3544</v>
      </c>
      <c r="Q510" s="8"/>
      <c r="R510" s="8"/>
    </row>
    <row r="511">
      <c r="A511" s="8" t="s">
        <v>720</v>
      </c>
      <c r="B511" s="8" t="s">
        <v>6211</v>
      </c>
      <c r="C511" s="8" t="s">
        <v>6212</v>
      </c>
      <c r="D511" s="9">
        <v>9.930734093E9</v>
      </c>
      <c r="E511" s="8" t="s">
        <v>6213</v>
      </c>
      <c r="F511" s="8" t="s">
        <v>3934</v>
      </c>
      <c r="G511" s="8" t="s">
        <v>6214</v>
      </c>
      <c r="H511" s="8" t="s">
        <v>3479</v>
      </c>
      <c r="I511" s="9">
        <v>0.0</v>
      </c>
      <c r="J511" s="9">
        <v>1549.0</v>
      </c>
      <c r="K511" s="9">
        <v>1549.0</v>
      </c>
      <c r="L511" s="9">
        <v>1549.0</v>
      </c>
      <c r="M511" s="9">
        <v>370.0</v>
      </c>
      <c r="N511" s="9">
        <v>730.0</v>
      </c>
      <c r="O511" s="9">
        <v>449.0</v>
      </c>
      <c r="P511" s="8" t="s">
        <v>3480</v>
      </c>
      <c r="Q511" s="8" t="s">
        <v>6215</v>
      </c>
      <c r="R511" s="8" t="s">
        <v>6216</v>
      </c>
    </row>
    <row r="512">
      <c r="A512" s="8" t="s">
        <v>716</v>
      </c>
      <c r="B512" s="8" t="s">
        <v>6217</v>
      </c>
      <c r="C512" s="8" t="s">
        <v>6218</v>
      </c>
      <c r="D512" s="9">
        <v>7.888115886E9</v>
      </c>
      <c r="E512" s="8" t="s">
        <v>6219</v>
      </c>
      <c r="F512" s="8" t="s">
        <v>4645</v>
      </c>
      <c r="G512" s="8" t="s">
        <v>6220</v>
      </c>
      <c r="H512" s="8" t="s">
        <v>3479</v>
      </c>
      <c r="I512" s="9">
        <v>0.0</v>
      </c>
      <c r="J512" s="9">
        <v>2239.0</v>
      </c>
      <c r="K512" s="9">
        <v>2239.0</v>
      </c>
      <c r="L512" s="9">
        <v>2239.0</v>
      </c>
      <c r="M512" s="9">
        <v>790.0</v>
      </c>
      <c r="N512" s="9">
        <v>725.0</v>
      </c>
      <c r="O512" s="9">
        <v>724.0</v>
      </c>
      <c r="P512" s="8" t="s">
        <v>3480</v>
      </c>
      <c r="Q512" s="8"/>
      <c r="R512" s="8"/>
    </row>
    <row r="513">
      <c r="A513" s="8" t="s">
        <v>721</v>
      </c>
      <c r="B513" s="8" t="s">
        <v>6221</v>
      </c>
      <c r="C513" s="8" t="s">
        <v>6222</v>
      </c>
      <c r="D513" s="9">
        <v>7.709901151E9</v>
      </c>
      <c r="E513" s="8" t="s">
        <v>6223</v>
      </c>
      <c r="F513" s="8" t="s">
        <v>3768</v>
      </c>
      <c r="G513" s="8" t="s">
        <v>6224</v>
      </c>
      <c r="H513" s="8" t="s">
        <v>3479</v>
      </c>
      <c r="I513" s="9">
        <v>0.0</v>
      </c>
      <c r="J513" s="9">
        <v>2000.0</v>
      </c>
      <c r="K513" s="9">
        <v>2000.0</v>
      </c>
      <c r="L513" s="9">
        <v>2000.0</v>
      </c>
      <c r="M513" s="9">
        <v>861.0</v>
      </c>
      <c r="N513" s="9">
        <v>65.0</v>
      </c>
      <c r="O513" s="9">
        <v>1074.0</v>
      </c>
      <c r="P513" s="8" t="s">
        <v>3480</v>
      </c>
      <c r="Q513" s="8" t="s">
        <v>6225</v>
      </c>
      <c r="R513" s="8" t="s">
        <v>6226</v>
      </c>
    </row>
    <row r="514">
      <c r="A514" s="8" t="s">
        <v>722</v>
      </c>
      <c r="B514" s="8" t="s">
        <v>6227</v>
      </c>
      <c r="C514" s="8" t="s">
        <v>6228</v>
      </c>
      <c r="D514" s="9">
        <v>9.422543328E9</v>
      </c>
      <c r="E514" s="8" t="s">
        <v>6229</v>
      </c>
      <c r="F514" s="8" t="s">
        <v>4011</v>
      </c>
      <c r="G514" s="8" t="s">
        <v>6230</v>
      </c>
      <c r="H514" s="8" t="s">
        <v>3479</v>
      </c>
      <c r="I514" s="9">
        <v>0.0</v>
      </c>
      <c r="J514" s="9">
        <v>2736.0</v>
      </c>
      <c r="K514" s="9">
        <v>2736.0</v>
      </c>
      <c r="L514" s="9">
        <v>2736.0</v>
      </c>
      <c r="M514" s="9">
        <v>1163.0</v>
      </c>
      <c r="N514" s="9">
        <v>849.0</v>
      </c>
      <c r="O514" s="9">
        <v>724.0</v>
      </c>
      <c r="P514" s="8" t="s">
        <v>3480</v>
      </c>
      <c r="Q514" s="8"/>
      <c r="R514" s="8"/>
    </row>
    <row r="515">
      <c r="A515" s="8" t="s">
        <v>723</v>
      </c>
      <c r="B515" s="8" t="s">
        <v>6231</v>
      </c>
      <c r="C515" s="8" t="s">
        <v>6232</v>
      </c>
      <c r="D515" s="9">
        <v>9.175477077E9</v>
      </c>
      <c r="E515" s="8" t="s">
        <v>6233</v>
      </c>
      <c r="F515" s="8" t="s">
        <v>6234</v>
      </c>
      <c r="G515" s="8" t="s">
        <v>3494</v>
      </c>
      <c r="H515" s="8" t="s">
        <v>3479</v>
      </c>
      <c r="I515" s="9">
        <v>0.0</v>
      </c>
      <c r="J515" s="9">
        <v>1992.0</v>
      </c>
      <c r="K515" s="9">
        <v>1992.0</v>
      </c>
      <c r="L515" s="9">
        <v>1992.0</v>
      </c>
      <c r="M515" s="9">
        <v>438.0</v>
      </c>
      <c r="N515" s="9">
        <v>730.0</v>
      </c>
      <c r="O515" s="9">
        <v>824.0</v>
      </c>
      <c r="P515" s="8" t="s">
        <v>3480</v>
      </c>
      <c r="Q515" s="8" t="s">
        <v>6235</v>
      </c>
      <c r="R515" s="8" t="s">
        <v>6236</v>
      </c>
    </row>
    <row r="516">
      <c r="A516" s="8" t="s">
        <v>724</v>
      </c>
      <c r="B516" s="8" t="s">
        <v>6237</v>
      </c>
      <c r="C516" s="8" t="s">
        <v>6238</v>
      </c>
      <c r="D516" s="9">
        <v>7.042932333E9</v>
      </c>
      <c r="E516" s="8" t="s">
        <v>6239</v>
      </c>
      <c r="F516" s="8" t="s">
        <v>6240</v>
      </c>
      <c r="G516" s="8" t="s">
        <v>6241</v>
      </c>
      <c r="H516" s="8" t="s">
        <v>3479</v>
      </c>
      <c r="I516" s="9">
        <v>0.0</v>
      </c>
      <c r="J516" s="9">
        <v>3385.0</v>
      </c>
      <c r="K516" s="9">
        <v>3385.0</v>
      </c>
      <c r="L516" s="9">
        <v>3385.0</v>
      </c>
      <c r="M516" s="9">
        <v>1287.0</v>
      </c>
      <c r="N516" s="9">
        <v>849.0</v>
      </c>
      <c r="O516" s="9">
        <v>1249.0</v>
      </c>
      <c r="P516" s="8" t="s">
        <v>3480</v>
      </c>
      <c r="Q516" s="8" t="s">
        <v>6242</v>
      </c>
      <c r="R516" s="8" t="s">
        <v>6243</v>
      </c>
    </row>
    <row r="517">
      <c r="A517" s="8" t="s">
        <v>725</v>
      </c>
      <c r="B517" s="8" t="s">
        <v>6244</v>
      </c>
      <c r="C517" s="8" t="s">
        <v>6245</v>
      </c>
      <c r="D517" s="9">
        <v>7.798389718E9</v>
      </c>
      <c r="E517" s="8" t="s">
        <v>6246</v>
      </c>
      <c r="F517" s="8" t="s">
        <v>4454</v>
      </c>
      <c r="G517" s="8" t="s">
        <v>6247</v>
      </c>
      <c r="H517" s="8" t="s">
        <v>3479</v>
      </c>
      <c r="I517" s="9">
        <v>0.0</v>
      </c>
      <c r="J517" s="9">
        <v>1259.0</v>
      </c>
      <c r="K517" s="9">
        <v>1259.0</v>
      </c>
      <c r="L517" s="9">
        <v>1259.0</v>
      </c>
      <c r="M517" s="9">
        <v>80.0</v>
      </c>
      <c r="N517" s="9">
        <v>730.0</v>
      </c>
      <c r="O517" s="9">
        <v>449.0</v>
      </c>
      <c r="P517" s="8" t="s">
        <v>3480</v>
      </c>
      <c r="Q517" s="8" t="s">
        <v>6248</v>
      </c>
      <c r="R517" s="8" t="s">
        <v>6249</v>
      </c>
    </row>
    <row r="518">
      <c r="A518" s="8" t="s">
        <v>726</v>
      </c>
      <c r="B518" s="8" t="s">
        <v>6250</v>
      </c>
      <c r="C518" s="8" t="s">
        <v>6251</v>
      </c>
      <c r="D518" s="9">
        <v>8.888951966E9</v>
      </c>
      <c r="E518" s="8" t="s">
        <v>6252</v>
      </c>
      <c r="F518" s="8" t="s">
        <v>6253</v>
      </c>
      <c r="G518" s="8" t="s">
        <v>6254</v>
      </c>
      <c r="H518" s="8" t="s">
        <v>3479</v>
      </c>
      <c r="I518" s="9">
        <v>0.0</v>
      </c>
      <c r="J518" s="9">
        <v>1323.0</v>
      </c>
      <c r="K518" s="9">
        <v>1323.0</v>
      </c>
      <c r="L518" s="9">
        <v>1323.0</v>
      </c>
      <c r="M518" s="9">
        <v>90.0</v>
      </c>
      <c r="N518" s="9">
        <v>784.0</v>
      </c>
      <c r="O518" s="9">
        <v>449.0</v>
      </c>
      <c r="P518" s="8" t="s">
        <v>3519</v>
      </c>
      <c r="Q518" s="8"/>
      <c r="R518" s="8"/>
    </row>
    <row r="519">
      <c r="A519" s="8" t="s">
        <v>744</v>
      </c>
      <c r="B519" s="8" t="s">
        <v>6255</v>
      </c>
      <c r="C519" s="8" t="s">
        <v>6256</v>
      </c>
      <c r="D519" s="9">
        <v>9.93080766E9</v>
      </c>
      <c r="E519" s="8" t="s">
        <v>6257</v>
      </c>
      <c r="F519" s="8" t="s">
        <v>3608</v>
      </c>
      <c r="G519" s="8" t="s">
        <v>6258</v>
      </c>
      <c r="H519" s="8" t="s">
        <v>3479</v>
      </c>
      <c r="I519" s="9">
        <v>0.0</v>
      </c>
      <c r="J519" s="9">
        <v>1412.0</v>
      </c>
      <c r="K519" s="9">
        <v>1412.0</v>
      </c>
      <c r="L519" s="9">
        <v>1412.0</v>
      </c>
      <c r="M519" s="9">
        <v>233.0</v>
      </c>
      <c r="N519" s="9">
        <v>730.0</v>
      </c>
      <c r="O519" s="9">
        <v>449.0</v>
      </c>
      <c r="P519" s="8" t="s">
        <v>3480</v>
      </c>
      <c r="Q519" s="8" t="s">
        <v>6259</v>
      </c>
      <c r="R519" s="8" t="s">
        <v>6260</v>
      </c>
    </row>
    <row r="520">
      <c r="A520" s="8" t="s">
        <v>718</v>
      </c>
      <c r="B520" s="8" t="s">
        <v>6261</v>
      </c>
      <c r="C520" s="8" t="s">
        <v>6262</v>
      </c>
      <c r="D520" s="9">
        <v>9.881304592E9</v>
      </c>
      <c r="E520" s="8" t="s">
        <v>6263</v>
      </c>
      <c r="F520" s="8" t="s">
        <v>3608</v>
      </c>
      <c r="G520" s="8" t="s">
        <v>6264</v>
      </c>
      <c r="H520" s="8" t="s">
        <v>3479</v>
      </c>
      <c r="I520" s="9">
        <v>0.0</v>
      </c>
      <c r="J520" s="9">
        <v>1679.0</v>
      </c>
      <c r="K520" s="9">
        <v>1679.0</v>
      </c>
      <c r="L520" s="9">
        <v>1679.0</v>
      </c>
      <c r="M520" s="9">
        <v>500.0</v>
      </c>
      <c r="N520" s="9">
        <v>730.0</v>
      </c>
      <c r="O520" s="9">
        <v>449.0</v>
      </c>
      <c r="P520" s="8" t="s">
        <v>3480</v>
      </c>
      <c r="Q520" s="8" t="s">
        <v>6265</v>
      </c>
      <c r="R520" s="8" t="s">
        <v>6266</v>
      </c>
    </row>
    <row r="521">
      <c r="A521" s="8" t="s">
        <v>728</v>
      </c>
      <c r="B521" s="8" t="s">
        <v>6267</v>
      </c>
      <c r="C521" s="8" t="s">
        <v>6268</v>
      </c>
      <c r="D521" s="9">
        <v>9.850022435E9</v>
      </c>
      <c r="E521" s="8" t="s">
        <v>6269</v>
      </c>
      <c r="F521" s="8" t="s">
        <v>3608</v>
      </c>
      <c r="G521" s="8" t="s">
        <v>6270</v>
      </c>
      <c r="H521" s="8" t="s">
        <v>3479</v>
      </c>
      <c r="I521" s="9">
        <v>0.0</v>
      </c>
      <c r="J521" s="9">
        <v>2023.0</v>
      </c>
      <c r="K521" s="9">
        <v>2023.0</v>
      </c>
      <c r="L521" s="9">
        <v>2023.0</v>
      </c>
      <c r="M521" s="9">
        <v>769.0</v>
      </c>
      <c r="N521" s="9">
        <v>730.0</v>
      </c>
      <c r="O521" s="9">
        <v>524.0</v>
      </c>
      <c r="P521" s="8" t="s">
        <v>3519</v>
      </c>
      <c r="Q521" s="8" t="s">
        <v>6271</v>
      </c>
      <c r="R521" s="8" t="s">
        <v>6272</v>
      </c>
    </row>
    <row r="522">
      <c r="A522" s="8" t="s">
        <v>727</v>
      </c>
      <c r="B522" s="8" t="s">
        <v>6273</v>
      </c>
      <c r="C522" s="8" t="s">
        <v>6268</v>
      </c>
      <c r="D522" s="9">
        <v>9.850022435E9</v>
      </c>
      <c r="E522" s="8" t="s">
        <v>6274</v>
      </c>
      <c r="F522" s="8" t="s">
        <v>3768</v>
      </c>
      <c r="G522" s="8" t="s">
        <v>6275</v>
      </c>
      <c r="H522" s="8" t="s">
        <v>3479</v>
      </c>
      <c r="I522" s="9">
        <v>0.0</v>
      </c>
      <c r="J522" s="9">
        <v>2374.0</v>
      </c>
      <c r="K522" s="9">
        <v>2374.0</v>
      </c>
      <c r="L522" s="9">
        <v>2374.0</v>
      </c>
      <c r="M522" s="9">
        <v>801.0</v>
      </c>
      <c r="N522" s="9">
        <v>849.0</v>
      </c>
      <c r="O522" s="9">
        <v>724.0</v>
      </c>
      <c r="P522" s="8" t="s">
        <v>3519</v>
      </c>
      <c r="Q522" s="8" t="s">
        <v>6276</v>
      </c>
      <c r="R522" s="8" t="s">
        <v>6277</v>
      </c>
    </row>
    <row r="523">
      <c r="A523" s="8" t="s">
        <v>750</v>
      </c>
      <c r="B523" s="8" t="s">
        <v>6278</v>
      </c>
      <c r="C523" s="8" t="s">
        <v>6279</v>
      </c>
      <c r="D523" s="9">
        <v>7.720039338E9</v>
      </c>
      <c r="E523" s="8" t="s">
        <v>6280</v>
      </c>
      <c r="F523" s="8" t="s">
        <v>4574</v>
      </c>
      <c r="G523" s="8" t="s">
        <v>6281</v>
      </c>
      <c r="H523" s="8" t="s">
        <v>3479</v>
      </c>
      <c r="I523" s="9">
        <v>0.0</v>
      </c>
      <c r="J523" s="9">
        <v>1523.0</v>
      </c>
      <c r="K523" s="9">
        <v>1523.0</v>
      </c>
      <c r="L523" s="9">
        <v>1523.0</v>
      </c>
      <c r="M523" s="9">
        <v>269.0</v>
      </c>
      <c r="N523" s="9">
        <v>730.0</v>
      </c>
      <c r="O523" s="9">
        <v>524.0</v>
      </c>
      <c r="P523" s="8" t="s">
        <v>4183</v>
      </c>
      <c r="Q523" s="8" t="s">
        <v>6282</v>
      </c>
      <c r="R523" s="8" t="s">
        <v>6283</v>
      </c>
    </row>
    <row r="524">
      <c r="A524" s="8" t="s">
        <v>661</v>
      </c>
      <c r="B524" s="8" t="s">
        <v>6284</v>
      </c>
      <c r="C524" s="8" t="s">
        <v>6285</v>
      </c>
      <c r="D524" s="9">
        <v>9.404254482E9</v>
      </c>
      <c r="E524" s="8" t="s">
        <v>6286</v>
      </c>
      <c r="F524" s="8" t="s">
        <v>3908</v>
      </c>
      <c r="G524" s="8" t="s">
        <v>6287</v>
      </c>
      <c r="H524" s="8" t="s">
        <v>3479</v>
      </c>
      <c r="I524" s="9">
        <v>0.0</v>
      </c>
      <c r="J524" s="9">
        <v>2138.0</v>
      </c>
      <c r="K524" s="9">
        <v>2138.0</v>
      </c>
      <c r="L524" s="9">
        <v>2138.0</v>
      </c>
      <c r="M524" s="9">
        <v>755.0</v>
      </c>
      <c r="N524" s="9">
        <v>784.0</v>
      </c>
      <c r="O524" s="9">
        <v>599.0</v>
      </c>
      <c r="P524" s="8" t="s">
        <v>4183</v>
      </c>
      <c r="Q524" s="8" t="s">
        <v>6288</v>
      </c>
      <c r="R524" s="8" t="s">
        <v>6289</v>
      </c>
    </row>
    <row r="525">
      <c r="A525" s="8" t="s">
        <v>752</v>
      </c>
      <c r="B525" s="8" t="s">
        <v>6290</v>
      </c>
      <c r="C525" s="8" t="s">
        <v>6291</v>
      </c>
      <c r="D525" s="9">
        <v>8.530323636E9</v>
      </c>
      <c r="E525" s="8" t="s">
        <v>6292</v>
      </c>
      <c r="F525" s="8" t="s">
        <v>4100</v>
      </c>
      <c r="G525" s="8" t="s">
        <v>6293</v>
      </c>
      <c r="H525" s="8" t="s">
        <v>3479</v>
      </c>
      <c r="I525" s="9">
        <v>0.0</v>
      </c>
      <c r="J525" s="9">
        <v>3249.0</v>
      </c>
      <c r="K525" s="9">
        <v>3249.0</v>
      </c>
      <c r="L525" s="9">
        <v>3249.0</v>
      </c>
      <c r="M525" s="9">
        <v>2070.0</v>
      </c>
      <c r="N525" s="9">
        <v>730.0</v>
      </c>
      <c r="O525" s="9">
        <v>449.0</v>
      </c>
      <c r="P525" s="8" t="s">
        <v>6294</v>
      </c>
      <c r="Q525" s="8" t="s">
        <v>6295</v>
      </c>
      <c r="R525" s="8" t="s">
        <v>6296</v>
      </c>
    </row>
    <row r="526">
      <c r="A526" s="8" t="s">
        <v>753</v>
      </c>
      <c r="B526" s="8" t="s">
        <v>6297</v>
      </c>
      <c r="C526" s="8" t="s">
        <v>6298</v>
      </c>
      <c r="D526" s="9">
        <v>7.972201259E9</v>
      </c>
      <c r="E526" s="8" t="s">
        <v>6299</v>
      </c>
      <c r="F526" s="8" t="s">
        <v>3564</v>
      </c>
      <c r="G526" s="8" t="s">
        <v>6300</v>
      </c>
      <c r="H526" s="8" t="s">
        <v>6301</v>
      </c>
      <c r="I526" s="9">
        <v>0.0</v>
      </c>
      <c r="J526" s="9">
        <v>2000.0</v>
      </c>
      <c r="K526" s="9">
        <v>2109.0</v>
      </c>
      <c r="L526" s="9">
        <v>2000.0</v>
      </c>
      <c r="M526" s="9">
        <v>1170.0</v>
      </c>
      <c r="N526" s="9">
        <v>190.0</v>
      </c>
      <c r="O526" s="9">
        <v>749.0</v>
      </c>
      <c r="P526" s="8" t="s">
        <v>6294</v>
      </c>
      <c r="Q526" s="8" t="s">
        <v>6302</v>
      </c>
      <c r="R526" s="8" t="s">
        <v>6303</v>
      </c>
    </row>
    <row r="527">
      <c r="A527" s="8" t="s">
        <v>759</v>
      </c>
      <c r="B527" s="8" t="s">
        <v>6304</v>
      </c>
      <c r="C527" s="8" t="s">
        <v>6305</v>
      </c>
      <c r="D527" s="9">
        <v>9.890252202E9</v>
      </c>
      <c r="E527" s="8" t="s">
        <v>6306</v>
      </c>
      <c r="F527" s="8" t="s">
        <v>6307</v>
      </c>
      <c r="G527" s="8" t="s">
        <v>6308</v>
      </c>
      <c r="H527" s="8" t="s">
        <v>3479</v>
      </c>
      <c r="I527" s="9">
        <v>0.0</v>
      </c>
      <c r="J527" s="9">
        <v>1991.0</v>
      </c>
      <c r="K527" s="9">
        <v>1991.0</v>
      </c>
      <c r="L527" s="9">
        <v>1991.0</v>
      </c>
      <c r="M527" s="9">
        <v>803.0</v>
      </c>
      <c r="N527" s="9">
        <v>739.0</v>
      </c>
      <c r="O527" s="9">
        <v>449.0</v>
      </c>
      <c r="P527" s="8" t="s">
        <v>3480</v>
      </c>
      <c r="Q527" s="8"/>
      <c r="R527" s="8"/>
    </row>
    <row r="528">
      <c r="A528" s="8" t="s">
        <v>751</v>
      </c>
      <c r="B528" s="8" t="s">
        <v>6309</v>
      </c>
      <c r="C528" s="8" t="s">
        <v>6310</v>
      </c>
      <c r="D528" s="9">
        <v>9.423807085E9</v>
      </c>
      <c r="E528" s="8" t="s">
        <v>6311</v>
      </c>
      <c r="F528" s="8" t="s">
        <v>3608</v>
      </c>
      <c r="G528" s="8" t="s">
        <v>6312</v>
      </c>
      <c r="H528" s="8" t="s">
        <v>3479</v>
      </c>
      <c r="I528" s="9">
        <v>0.0</v>
      </c>
      <c r="J528" s="9">
        <v>1531.0</v>
      </c>
      <c r="K528" s="9">
        <v>1531.0</v>
      </c>
      <c r="L528" s="9">
        <v>1531.0</v>
      </c>
      <c r="M528" s="9">
        <v>365.0</v>
      </c>
      <c r="N528" s="9">
        <v>717.0</v>
      </c>
      <c r="O528" s="9">
        <v>449.0</v>
      </c>
      <c r="P528" s="8" t="s">
        <v>4183</v>
      </c>
      <c r="Q528" s="8" t="s">
        <v>6313</v>
      </c>
      <c r="R528" s="8" t="s">
        <v>6314</v>
      </c>
    </row>
    <row r="529">
      <c r="A529" s="8" t="s">
        <v>754</v>
      </c>
      <c r="B529" s="8" t="s">
        <v>6315</v>
      </c>
      <c r="C529" s="8" t="s">
        <v>6316</v>
      </c>
      <c r="D529" s="9">
        <v>7.507293704E9</v>
      </c>
      <c r="E529" s="8" t="s">
        <v>6317</v>
      </c>
      <c r="F529" s="8" t="s">
        <v>3615</v>
      </c>
      <c r="G529" s="8" t="s">
        <v>6318</v>
      </c>
      <c r="H529" s="8" t="s">
        <v>6319</v>
      </c>
      <c r="I529" s="9">
        <v>0.0</v>
      </c>
      <c r="J529" s="9">
        <v>2227.0</v>
      </c>
      <c r="K529" s="9">
        <v>2227.0</v>
      </c>
      <c r="L529" s="9">
        <v>2227.0</v>
      </c>
      <c r="M529" s="9">
        <v>994.0</v>
      </c>
      <c r="N529" s="9">
        <v>784.0</v>
      </c>
      <c r="O529" s="9">
        <v>449.0</v>
      </c>
      <c r="P529" s="8" t="s">
        <v>4183</v>
      </c>
      <c r="Q529" s="8" t="s">
        <v>6320</v>
      </c>
      <c r="R529" s="8" t="s">
        <v>6321</v>
      </c>
    </row>
    <row r="530">
      <c r="A530" s="8" t="s">
        <v>760</v>
      </c>
      <c r="B530" s="8" t="s">
        <v>6322</v>
      </c>
      <c r="C530" s="8" t="s">
        <v>6323</v>
      </c>
      <c r="D530" s="9">
        <v>8.087112204E9</v>
      </c>
      <c r="E530" s="8" t="s">
        <v>6324</v>
      </c>
      <c r="F530" s="8" t="s">
        <v>3977</v>
      </c>
      <c r="G530" s="8" t="s">
        <v>6325</v>
      </c>
      <c r="H530" s="8" t="s">
        <v>3479</v>
      </c>
      <c r="I530" s="9">
        <v>0.0</v>
      </c>
      <c r="J530" s="9">
        <v>1489.0</v>
      </c>
      <c r="K530" s="9">
        <v>1489.0</v>
      </c>
      <c r="L530" s="9">
        <v>1489.0</v>
      </c>
      <c r="M530" s="9">
        <v>491.0</v>
      </c>
      <c r="N530" s="9">
        <v>549.0</v>
      </c>
      <c r="O530" s="9">
        <v>449.0</v>
      </c>
      <c r="P530" s="8" t="s">
        <v>3480</v>
      </c>
      <c r="Q530" s="8"/>
      <c r="R530" s="8"/>
    </row>
    <row r="531">
      <c r="A531" s="8" t="s">
        <v>719</v>
      </c>
      <c r="B531" s="8" t="s">
        <v>6326</v>
      </c>
      <c r="C531" s="8" t="s">
        <v>6327</v>
      </c>
      <c r="D531" s="9">
        <v>9.545322788E9</v>
      </c>
      <c r="E531" s="8" t="s">
        <v>6328</v>
      </c>
      <c r="F531" s="8" t="s">
        <v>3589</v>
      </c>
      <c r="G531" s="8" t="s">
        <v>6329</v>
      </c>
      <c r="H531" s="8" t="s">
        <v>3479</v>
      </c>
      <c r="I531" s="9">
        <v>0.0</v>
      </c>
      <c r="J531" s="9">
        <v>1674.0</v>
      </c>
      <c r="K531" s="9">
        <v>1674.0</v>
      </c>
      <c r="L531" s="9">
        <v>1674.0</v>
      </c>
      <c r="M531" s="9">
        <v>220.0</v>
      </c>
      <c r="N531" s="9">
        <v>730.0</v>
      </c>
      <c r="O531" s="9">
        <v>724.0</v>
      </c>
      <c r="P531" s="8" t="s">
        <v>3480</v>
      </c>
      <c r="Q531" s="8" t="s">
        <v>6330</v>
      </c>
      <c r="R531" s="8" t="s">
        <v>6331</v>
      </c>
    </row>
    <row r="532">
      <c r="A532" s="8" t="s">
        <v>745</v>
      </c>
      <c r="B532" s="8" t="s">
        <v>6332</v>
      </c>
      <c r="C532" s="8" t="s">
        <v>6333</v>
      </c>
      <c r="D532" s="9">
        <v>9.960036481E9</v>
      </c>
      <c r="E532" s="8" t="s">
        <v>6334</v>
      </c>
      <c r="F532" s="8" t="s">
        <v>4558</v>
      </c>
      <c r="G532" s="8" t="s">
        <v>6335</v>
      </c>
      <c r="H532" s="8" t="s">
        <v>3479</v>
      </c>
      <c r="I532" s="9">
        <v>0.0</v>
      </c>
      <c r="J532" s="9">
        <v>2052.0</v>
      </c>
      <c r="K532" s="9">
        <v>2052.0</v>
      </c>
      <c r="L532" s="9">
        <v>2052.0</v>
      </c>
      <c r="M532" s="9">
        <v>498.0</v>
      </c>
      <c r="N532" s="9">
        <v>730.0</v>
      </c>
      <c r="O532" s="9">
        <v>824.0</v>
      </c>
      <c r="P532" s="8" t="s">
        <v>3480</v>
      </c>
      <c r="Q532" s="8" t="s">
        <v>6336</v>
      </c>
      <c r="R532" s="8"/>
    </row>
    <row r="533">
      <c r="A533" s="8" t="s">
        <v>663</v>
      </c>
      <c r="B533" s="8" t="s">
        <v>6337</v>
      </c>
      <c r="C533" s="8" t="s">
        <v>6338</v>
      </c>
      <c r="D533" s="9">
        <v>7.709643771E9</v>
      </c>
      <c r="E533" s="8" t="s">
        <v>6339</v>
      </c>
      <c r="F533" s="8" t="s">
        <v>3615</v>
      </c>
      <c r="G533" s="8" t="s">
        <v>6340</v>
      </c>
      <c r="H533" s="8" t="s">
        <v>3479</v>
      </c>
      <c r="I533" s="9">
        <v>0.0</v>
      </c>
      <c r="J533" s="9">
        <v>1598.0</v>
      </c>
      <c r="K533" s="9">
        <v>1598.0</v>
      </c>
      <c r="L533" s="9">
        <v>1598.0</v>
      </c>
      <c r="M533" s="9">
        <v>290.0</v>
      </c>
      <c r="N533" s="9">
        <v>784.0</v>
      </c>
      <c r="O533" s="9">
        <v>524.0</v>
      </c>
      <c r="P533" s="8" t="s">
        <v>4183</v>
      </c>
      <c r="Q533" s="8" t="s">
        <v>6341</v>
      </c>
      <c r="R533" s="8" t="s">
        <v>6342</v>
      </c>
    </row>
    <row r="534">
      <c r="A534" s="8" t="s">
        <v>755</v>
      </c>
      <c r="B534" s="8" t="s">
        <v>6343</v>
      </c>
      <c r="C534" s="8" t="s">
        <v>6344</v>
      </c>
      <c r="D534" s="9">
        <v>9.604879914E9</v>
      </c>
      <c r="E534" s="8" t="s">
        <v>6345</v>
      </c>
      <c r="F534" s="8" t="s">
        <v>3665</v>
      </c>
      <c r="G534" s="8" t="s">
        <v>6346</v>
      </c>
      <c r="H534" s="8" t="s">
        <v>3479</v>
      </c>
      <c r="I534" s="9">
        <v>0.0</v>
      </c>
      <c r="J534" s="9">
        <v>864.0</v>
      </c>
      <c r="K534" s="9">
        <v>864.0</v>
      </c>
      <c r="L534" s="9">
        <v>864.0</v>
      </c>
      <c r="M534" s="9">
        <v>165.0</v>
      </c>
      <c r="N534" s="9">
        <v>0.0</v>
      </c>
      <c r="O534" s="9">
        <v>699.0</v>
      </c>
      <c r="P534" s="8" t="s">
        <v>4183</v>
      </c>
      <c r="Q534" s="8" t="s">
        <v>6347</v>
      </c>
      <c r="R534" s="8" t="s">
        <v>6348</v>
      </c>
    </row>
    <row r="535">
      <c r="A535" s="8" t="s">
        <v>664</v>
      </c>
      <c r="B535" s="8" t="s">
        <v>6349</v>
      </c>
      <c r="C535" s="8" t="s">
        <v>6350</v>
      </c>
      <c r="D535" s="9">
        <v>9.404108272E9</v>
      </c>
      <c r="E535" s="8" t="s">
        <v>6351</v>
      </c>
      <c r="F535" s="8" t="s">
        <v>3608</v>
      </c>
      <c r="G535" s="8" t="s">
        <v>6352</v>
      </c>
      <c r="H535" s="8" t="s">
        <v>3479</v>
      </c>
      <c r="I535" s="9">
        <v>0.0</v>
      </c>
      <c r="J535" s="9">
        <v>2547.0</v>
      </c>
      <c r="K535" s="9">
        <v>2547.0</v>
      </c>
      <c r="L535" s="9">
        <v>2547.0</v>
      </c>
      <c r="M535" s="9">
        <v>1288.0</v>
      </c>
      <c r="N535" s="9">
        <v>730.0</v>
      </c>
      <c r="O535" s="9">
        <v>529.0</v>
      </c>
      <c r="P535" s="8" t="s">
        <v>6294</v>
      </c>
      <c r="Q535" s="8" t="s">
        <v>6353</v>
      </c>
      <c r="R535" s="8" t="s">
        <v>6354</v>
      </c>
    </row>
    <row r="536">
      <c r="A536" s="8" t="s">
        <v>662</v>
      </c>
      <c r="B536" s="8" t="s">
        <v>6355</v>
      </c>
      <c r="C536" s="8" t="s">
        <v>6356</v>
      </c>
      <c r="D536" s="9">
        <v>7.875067876E9</v>
      </c>
      <c r="E536" s="8" t="s">
        <v>6357</v>
      </c>
      <c r="F536" s="8" t="s">
        <v>6234</v>
      </c>
      <c r="G536" s="8" t="s">
        <v>6358</v>
      </c>
      <c r="H536" s="8" t="s">
        <v>3479</v>
      </c>
      <c r="I536" s="9">
        <v>0.0</v>
      </c>
      <c r="J536" s="9">
        <v>1259.0</v>
      </c>
      <c r="K536" s="9">
        <v>1259.0</v>
      </c>
      <c r="L536" s="9">
        <v>1259.0</v>
      </c>
      <c r="M536" s="9">
        <v>80.0</v>
      </c>
      <c r="N536" s="9">
        <v>730.0</v>
      </c>
      <c r="O536" s="9">
        <v>449.0</v>
      </c>
      <c r="P536" s="8" t="s">
        <v>4183</v>
      </c>
      <c r="Q536" s="8" t="s">
        <v>6359</v>
      </c>
      <c r="R536" s="8"/>
    </row>
    <row r="537">
      <c r="A537" s="8" t="s">
        <v>756</v>
      </c>
      <c r="B537" s="8" t="s">
        <v>6360</v>
      </c>
      <c r="C537" s="8" t="s">
        <v>6361</v>
      </c>
      <c r="D537" s="9">
        <v>9.850554482E9</v>
      </c>
      <c r="E537" s="8" t="s">
        <v>6362</v>
      </c>
      <c r="F537" s="8" t="s">
        <v>6363</v>
      </c>
      <c r="G537" s="8" t="s">
        <v>6364</v>
      </c>
      <c r="H537" s="8" t="s">
        <v>3479</v>
      </c>
      <c r="I537" s="9">
        <v>0.0</v>
      </c>
      <c r="J537" s="9">
        <v>1596.0</v>
      </c>
      <c r="K537" s="9">
        <v>1596.0</v>
      </c>
      <c r="L537" s="9">
        <v>1596.0</v>
      </c>
      <c r="M537" s="9">
        <v>430.0</v>
      </c>
      <c r="N537" s="9">
        <v>717.0</v>
      </c>
      <c r="O537" s="9">
        <v>449.0</v>
      </c>
      <c r="P537" s="8" t="s">
        <v>6294</v>
      </c>
      <c r="Q537" s="8"/>
      <c r="R537" s="8" t="s">
        <v>6365</v>
      </c>
    </row>
    <row r="538">
      <c r="A538" s="8" t="s">
        <v>757</v>
      </c>
      <c r="B538" s="8" t="s">
        <v>6366</v>
      </c>
      <c r="C538" s="8" t="s">
        <v>6367</v>
      </c>
      <c r="D538" s="9">
        <v>8.97576409E9</v>
      </c>
      <c r="E538" s="8" t="s">
        <v>6368</v>
      </c>
      <c r="F538" s="8" t="s">
        <v>3542</v>
      </c>
      <c r="G538" s="8" t="s">
        <v>6369</v>
      </c>
      <c r="H538" s="8" t="s">
        <v>3479</v>
      </c>
      <c r="I538" s="9">
        <v>0.0</v>
      </c>
      <c r="J538" s="9">
        <v>1259.0</v>
      </c>
      <c r="K538" s="9">
        <v>1259.0</v>
      </c>
      <c r="L538" s="9">
        <v>1259.0</v>
      </c>
      <c r="M538" s="9">
        <v>80.0</v>
      </c>
      <c r="N538" s="9">
        <v>730.0</v>
      </c>
      <c r="O538" s="9">
        <v>449.0</v>
      </c>
      <c r="P538" s="8" t="s">
        <v>4183</v>
      </c>
      <c r="Q538" s="8" t="s">
        <v>6370</v>
      </c>
      <c r="R538" s="8" t="s">
        <v>6371</v>
      </c>
    </row>
    <row r="539">
      <c r="A539" s="8" t="s">
        <v>425</v>
      </c>
      <c r="B539" s="8" t="s">
        <v>6372</v>
      </c>
      <c r="C539" s="8" t="s">
        <v>6373</v>
      </c>
      <c r="D539" s="9">
        <v>8.796967049E9</v>
      </c>
      <c r="E539" s="8" t="s">
        <v>6374</v>
      </c>
      <c r="F539" s="8" t="s">
        <v>3821</v>
      </c>
      <c r="G539" s="8" t="s">
        <v>6375</v>
      </c>
      <c r="H539" s="8" t="s">
        <v>3479</v>
      </c>
      <c r="I539" s="9">
        <v>0.0</v>
      </c>
      <c r="J539" s="9">
        <v>2199.0</v>
      </c>
      <c r="K539" s="9">
        <v>2199.0</v>
      </c>
      <c r="L539" s="9">
        <v>2199.0</v>
      </c>
      <c r="M539" s="9">
        <v>1595.0</v>
      </c>
      <c r="N539" s="9">
        <v>80.0</v>
      </c>
      <c r="O539" s="9">
        <v>524.0</v>
      </c>
      <c r="P539" s="8" t="s">
        <v>4183</v>
      </c>
      <c r="Q539" s="8"/>
      <c r="R539" s="8"/>
    </row>
    <row r="540">
      <c r="A540" s="8" t="s">
        <v>762</v>
      </c>
      <c r="B540" s="8" t="s">
        <v>6376</v>
      </c>
      <c r="C540" s="8" t="s">
        <v>6377</v>
      </c>
      <c r="D540" s="9">
        <v>9.60468798E9</v>
      </c>
      <c r="E540" s="8" t="s">
        <v>6378</v>
      </c>
      <c r="F540" s="8" t="s">
        <v>3564</v>
      </c>
      <c r="G540" s="8" t="s">
        <v>6379</v>
      </c>
      <c r="H540" s="8" t="s">
        <v>3479</v>
      </c>
      <c r="I540" s="9">
        <v>0.0</v>
      </c>
      <c r="J540" s="9">
        <v>3763.0</v>
      </c>
      <c r="K540" s="9">
        <v>3763.0</v>
      </c>
      <c r="L540" s="9">
        <v>3763.0</v>
      </c>
      <c r="M540" s="9">
        <v>2499.0</v>
      </c>
      <c r="N540" s="9">
        <v>190.0</v>
      </c>
      <c r="O540" s="9">
        <v>1074.0</v>
      </c>
      <c r="P540" s="8" t="s">
        <v>3519</v>
      </c>
      <c r="Q540" s="8" t="s">
        <v>6380</v>
      </c>
      <c r="R540" s="8" t="s">
        <v>6381</v>
      </c>
    </row>
    <row r="541">
      <c r="A541" s="8" t="s">
        <v>426</v>
      </c>
      <c r="B541" s="8" t="s">
        <v>6382</v>
      </c>
      <c r="C541" s="8" t="s">
        <v>6383</v>
      </c>
      <c r="D541" s="9">
        <v>9.923350017E9</v>
      </c>
      <c r="E541" s="8" t="s">
        <v>6384</v>
      </c>
      <c r="F541" s="8" t="s">
        <v>3542</v>
      </c>
      <c r="G541" s="8" t="s">
        <v>6385</v>
      </c>
      <c r="H541" s="8" t="s">
        <v>3479</v>
      </c>
      <c r="I541" s="9">
        <v>0.0</v>
      </c>
      <c r="J541" s="9">
        <v>1769.0</v>
      </c>
      <c r="K541" s="9">
        <v>1769.0</v>
      </c>
      <c r="L541" s="9">
        <v>1769.0</v>
      </c>
      <c r="M541" s="9">
        <v>435.0</v>
      </c>
      <c r="N541" s="9">
        <v>730.0</v>
      </c>
      <c r="O541" s="9">
        <v>604.0</v>
      </c>
      <c r="P541" s="8" t="s">
        <v>4183</v>
      </c>
      <c r="Q541" s="8" t="s">
        <v>6386</v>
      </c>
      <c r="R541" s="8" t="s">
        <v>6387</v>
      </c>
    </row>
    <row r="542">
      <c r="A542" s="8" t="s">
        <v>761</v>
      </c>
      <c r="B542" s="8" t="s">
        <v>6388</v>
      </c>
      <c r="C542" s="8" t="s">
        <v>6389</v>
      </c>
      <c r="D542" s="9">
        <v>7.879180214E9</v>
      </c>
      <c r="E542" s="8" t="s">
        <v>6390</v>
      </c>
      <c r="F542" s="8" t="s">
        <v>6391</v>
      </c>
      <c r="G542" s="8" t="s">
        <v>6392</v>
      </c>
      <c r="H542" s="8" t="s">
        <v>3479</v>
      </c>
      <c r="I542" s="9">
        <v>0.0</v>
      </c>
      <c r="J542" s="9">
        <v>2107.0</v>
      </c>
      <c r="K542" s="9">
        <v>2107.0</v>
      </c>
      <c r="L542" s="9">
        <v>2107.0</v>
      </c>
      <c r="M542" s="9">
        <v>726.0</v>
      </c>
      <c r="N542" s="9">
        <v>732.0</v>
      </c>
      <c r="O542" s="9">
        <v>649.0</v>
      </c>
      <c r="P542" s="8" t="s">
        <v>3480</v>
      </c>
      <c r="Q542" s="8"/>
      <c r="R542" s="8"/>
    </row>
    <row r="543">
      <c r="A543" s="8" t="s">
        <v>428</v>
      </c>
      <c r="B543" s="8" t="s">
        <v>6393</v>
      </c>
      <c r="C543" s="8" t="s">
        <v>6394</v>
      </c>
      <c r="D543" s="9">
        <v>7.517227889E9</v>
      </c>
      <c r="E543" s="8" t="s">
        <v>6395</v>
      </c>
      <c r="F543" s="8" t="s">
        <v>3934</v>
      </c>
      <c r="G543" s="8" t="s">
        <v>3829</v>
      </c>
      <c r="H543" s="8" t="s">
        <v>3479</v>
      </c>
      <c r="I543" s="9">
        <v>0.0</v>
      </c>
      <c r="J543" s="9">
        <v>3169.0</v>
      </c>
      <c r="K543" s="9">
        <v>3169.0</v>
      </c>
      <c r="L543" s="9">
        <v>3169.0</v>
      </c>
      <c r="M543" s="9">
        <v>1740.0</v>
      </c>
      <c r="N543" s="9">
        <v>730.0</v>
      </c>
      <c r="O543" s="9">
        <v>699.0</v>
      </c>
      <c r="P543" s="8" t="s">
        <v>6396</v>
      </c>
      <c r="Q543" s="8" t="s">
        <v>6397</v>
      </c>
      <c r="R543" s="8" t="s">
        <v>6398</v>
      </c>
    </row>
    <row r="544">
      <c r="A544" s="8" t="s">
        <v>429</v>
      </c>
      <c r="B544" s="8" t="s">
        <v>6399</v>
      </c>
      <c r="C544" s="8" t="s">
        <v>6400</v>
      </c>
      <c r="D544" s="9">
        <v>9.049002184E9</v>
      </c>
      <c r="E544" s="8" t="s">
        <v>6401</v>
      </c>
      <c r="F544" s="8" t="s">
        <v>3697</v>
      </c>
      <c r="G544" s="8" t="s">
        <v>6402</v>
      </c>
      <c r="H544" s="8" t="s">
        <v>3479</v>
      </c>
      <c r="I544" s="9">
        <v>0.0</v>
      </c>
      <c r="J544" s="9">
        <v>8730.0</v>
      </c>
      <c r="K544" s="9">
        <v>8730.0</v>
      </c>
      <c r="L544" s="9">
        <v>8730.0</v>
      </c>
      <c r="M544" s="9">
        <v>6796.0</v>
      </c>
      <c r="N544" s="9">
        <v>730.0</v>
      </c>
      <c r="O544" s="9">
        <v>1204.0</v>
      </c>
      <c r="P544" s="8" t="s">
        <v>3480</v>
      </c>
      <c r="Q544" s="8" t="s">
        <v>6403</v>
      </c>
      <c r="R544" s="8" t="s">
        <v>6404</v>
      </c>
    </row>
    <row r="545">
      <c r="A545" s="8" t="s">
        <v>764</v>
      </c>
      <c r="B545" s="8" t="s">
        <v>6405</v>
      </c>
      <c r="C545" s="8" t="s">
        <v>6406</v>
      </c>
      <c r="D545" s="9">
        <v>9.011298493E9</v>
      </c>
      <c r="E545" s="8" t="s">
        <v>6407</v>
      </c>
      <c r="F545" s="8" t="s">
        <v>4143</v>
      </c>
      <c r="G545" s="8" t="s">
        <v>6408</v>
      </c>
      <c r="H545" s="8" t="s">
        <v>3479</v>
      </c>
      <c r="I545" s="9">
        <v>0.0</v>
      </c>
      <c r="J545" s="9">
        <v>3305.0</v>
      </c>
      <c r="K545" s="9">
        <v>3305.0</v>
      </c>
      <c r="L545" s="9">
        <v>3305.0</v>
      </c>
      <c r="M545" s="9">
        <v>2081.0</v>
      </c>
      <c r="N545" s="9">
        <v>775.0</v>
      </c>
      <c r="O545" s="9">
        <v>449.0</v>
      </c>
      <c r="P545" s="8" t="s">
        <v>3480</v>
      </c>
      <c r="Q545" s="8"/>
      <c r="R545" s="8"/>
    </row>
    <row r="546">
      <c r="A546" s="8" t="s">
        <v>763</v>
      </c>
      <c r="B546" s="8" t="s">
        <v>6409</v>
      </c>
      <c r="C546" s="8" t="s">
        <v>6410</v>
      </c>
      <c r="D546" s="9">
        <v>8.793379595E9</v>
      </c>
      <c r="E546" s="8" t="s">
        <v>6411</v>
      </c>
      <c r="F546" s="8" t="s">
        <v>3517</v>
      </c>
      <c r="G546" s="8" t="s">
        <v>6412</v>
      </c>
      <c r="H546" s="8" t="s">
        <v>3479</v>
      </c>
      <c r="I546" s="9">
        <v>0.0</v>
      </c>
      <c r="J546" s="9">
        <v>1582.0</v>
      </c>
      <c r="K546" s="9">
        <v>1582.0</v>
      </c>
      <c r="L546" s="9">
        <v>1582.0</v>
      </c>
      <c r="M546" s="9">
        <v>394.0</v>
      </c>
      <c r="N546" s="9">
        <v>739.0</v>
      </c>
      <c r="O546" s="9">
        <v>449.0</v>
      </c>
      <c r="P546" s="8" t="s">
        <v>3480</v>
      </c>
      <c r="Q546" s="8"/>
      <c r="R546" s="8"/>
    </row>
    <row r="547">
      <c r="A547" s="8" t="s">
        <v>427</v>
      </c>
      <c r="B547" s="8" t="s">
        <v>6413</v>
      </c>
      <c r="C547" s="8" t="s">
        <v>6414</v>
      </c>
      <c r="D547" s="9">
        <v>9.823120418E9</v>
      </c>
      <c r="E547" s="8" t="s">
        <v>6415</v>
      </c>
      <c r="F547" s="8" t="s">
        <v>3589</v>
      </c>
      <c r="G547" s="8" t="s">
        <v>6416</v>
      </c>
      <c r="H547" s="8" t="s">
        <v>3479</v>
      </c>
      <c r="I547" s="9">
        <v>0.0</v>
      </c>
      <c r="J547" s="9">
        <v>1454.0</v>
      </c>
      <c r="K547" s="9">
        <v>1454.0</v>
      </c>
      <c r="L547" s="9">
        <v>1454.0</v>
      </c>
      <c r="M547" s="9">
        <v>200.0</v>
      </c>
      <c r="N547" s="9">
        <v>730.0</v>
      </c>
      <c r="O547" s="9">
        <v>524.0</v>
      </c>
      <c r="P547" s="8" t="s">
        <v>4183</v>
      </c>
      <c r="Q547" s="8" t="s">
        <v>6417</v>
      </c>
      <c r="R547" s="8" t="s">
        <v>6418</v>
      </c>
    </row>
    <row r="548">
      <c r="A548" s="8" t="s">
        <v>317</v>
      </c>
      <c r="B548" s="8" t="s">
        <v>6419</v>
      </c>
      <c r="C548" s="8" t="s">
        <v>6420</v>
      </c>
      <c r="D548" s="9">
        <v>9.860704054E9</v>
      </c>
      <c r="E548" s="8" t="s">
        <v>6421</v>
      </c>
      <c r="F548" s="8" t="s">
        <v>3550</v>
      </c>
      <c r="G548" s="8" t="s">
        <v>6422</v>
      </c>
      <c r="H548" s="8" t="s">
        <v>3479</v>
      </c>
      <c r="I548" s="9">
        <v>0.0</v>
      </c>
      <c r="J548" s="9">
        <v>1174.0</v>
      </c>
      <c r="K548" s="9">
        <v>1174.0</v>
      </c>
      <c r="L548" s="9">
        <v>1174.0</v>
      </c>
      <c r="M548" s="9">
        <v>80.0</v>
      </c>
      <c r="N548" s="9">
        <v>645.0</v>
      </c>
      <c r="O548" s="9">
        <v>449.0</v>
      </c>
      <c r="P548" s="8" t="s">
        <v>6294</v>
      </c>
      <c r="Q548" s="8" t="s">
        <v>6423</v>
      </c>
      <c r="R548" s="8" t="s">
        <v>6424</v>
      </c>
    </row>
    <row r="549">
      <c r="A549" s="8" t="s">
        <v>430</v>
      </c>
      <c r="B549" s="8" t="s">
        <v>6425</v>
      </c>
      <c r="C549" s="8" t="s">
        <v>6426</v>
      </c>
      <c r="D549" s="9">
        <v>7.55913363E9</v>
      </c>
      <c r="E549" s="8" t="s">
        <v>6427</v>
      </c>
      <c r="F549" s="8" t="s">
        <v>6428</v>
      </c>
      <c r="G549" s="8" t="s">
        <v>6429</v>
      </c>
      <c r="H549" s="8" t="s">
        <v>3479</v>
      </c>
      <c r="I549" s="9">
        <v>0.0</v>
      </c>
      <c r="J549" s="9">
        <v>3772.0</v>
      </c>
      <c r="K549" s="9">
        <v>3772.0</v>
      </c>
      <c r="L549" s="9">
        <v>3772.0</v>
      </c>
      <c r="M549" s="9">
        <v>1689.0</v>
      </c>
      <c r="N549" s="9">
        <v>784.0</v>
      </c>
      <c r="O549" s="9">
        <v>1299.0</v>
      </c>
      <c r="P549" s="8" t="s">
        <v>4183</v>
      </c>
      <c r="Q549" s="8"/>
      <c r="R549" s="8"/>
    </row>
    <row r="550">
      <c r="A550" s="8" t="s">
        <v>433</v>
      </c>
      <c r="B550" s="8" t="s">
        <v>6430</v>
      </c>
      <c r="C550" s="8" t="s">
        <v>6431</v>
      </c>
      <c r="D550" s="9">
        <v>9.881494647E9</v>
      </c>
      <c r="E550" s="8" t="s">
        <v>6432</v>
      </c>
      <c r="F550" s="8" t="s">
        <v>3594</v>
      </c>
      <c r="G550" s="8" t="s">
        <v>6433</v>
      </c>
      <c r="H550" s="8" t="s">
        <v>3479</v>
      </c>
      <c r="I550" s="9">
        <v>0.0</v>
      </c>
      <c r="J550" s="9">
        <v>8674.0</v>
      </c>
      <c r="K550" s="9">
        <v>8674.0</v>
      </c>
      <c r="L550" s="9">
        <v>8674.0</v>
      </c>
      <c r="M550" s="9">
        <v>6895.0</v>
      </c>
      <c r="N550" s="9">
        <v>730.0</v>
      </c>
      <c r="O550" s="9">
        <v>1049.0</v>
      </c>
      <c r="P550" s="8" t="s">
        <v>4183</v>
      </c>
      <c r="Q550" s="8" t="s">
        <v>6434</v>
      </c>
      <c r="R550" s="8" t="s">
        <v>6435</v>
      </c>
    </row>
    <row r="551">
      <c r="A551" s="8" t="s">
        <v>434</v>
      </c>
      <c r="B551" s="8" t="s">
        <v>6436</v>
      </c>
      <c r="C551" s="8" t="s">
        <v>6437</v>
      </c>
      <c r="D551" s="9">
        <v>9.604700437E9</v>
      </c>
      <c r="E551" s="8" t="s">
        <v>6438</v>
      </c>
      <c r="F551" s="8" t="s">
        <v>3615</v>
      </c>
      <c r="G551" s="8" t="s">
        <v>6439</v>
      </c>
      <c r="H551" s="8" t="s">
        <v>6440</v>
      </c>
      <c r="I551" s="9">
        <v>0.0</v>
      </c>
      <c r="J551" s="9">
        <v>2550.0</v>
      </c>
      <c r="K551" s="9">
        <v>2624.0</v>
      </c>
      <c r="L551" s="9">
        <v>2550.0</v>
      </c>
      <c r="M551" s="9">
        <v>1016.0</v>
      </c>
      <c r="N551" s="9">
        <v>784.0</v>
      </c>
      <c r="O551" s="9">
        <v>824.0</v>
      </c>
      <c r="P551" s="8" t="s">
        <v>4183</v>
      </c>
      <c r="Q551" s="8" t="s">
        <v>6441</v>
      </c>
      <c r="R551" s="8" t="s">
        <v>6442</v>
      </c>
    </row>
    <row r="552">
      <c r="A552" s="8" t="s">
        <v>318</v>
      </c>
      <c r="B552" s="8" t="s">
        <v>6443</v>
      </c>
      <c r="C552" s="8" t="s">
        <v>6444</v>
      </c>
      <c r="D552" s="9">
        <v>9.421897311E9</v>
      </c>
      <c r="E552" s="8" t="s">
        <v>6445</v>
      </c>
      <c r="F552" s="8" t="s">
        <v>4836</v>
      </c>
      <c r="G552" s="8" t="s">
        <v>6446</v>
      </c>
      <c r="H552" s="8" t="s">
        <v>3479</v>
      </c>
      <c r="I552" s="9">
        <v>0.0</v>
      </c>
      <c r="J552" s="9">
        <v>1388.0</v>
      </c>
      <c r="K552" s="9">
        <v>1388.0</v>
      </c>
      <c r="L552" s="9">
        <v>1388.0</v>
      </c>
      <c r="M552" s="9">
        <v>155.0</v>
      </c>
      <c r="N552" s="9">
        <v>784.0</v>
      </c>
      <c r="O552" s="9">
        <v>449.0</v>
      </c>
      <c r="P552" s="8" t="s">
        <v>4183</v>
      </c>
      <c r="Q552" s="8"/>
      <c r="R552" s="8"/>
    </row>
    <row r="553">
      <c r="A553" s="8" t="s">
        <v>319</v>
      </c>
      <c r="B553" s="8" t="s">
        <v>6447</v>
      </c>
      <c r="C553" s="8" t="s">
        <v>5337</v>
      </c>
      <c r="D553" s="9">
        <v>7.720072355E9</v>
      </c>
      <c r="E553" s="8" t="s">
        <v>6448</v>
      </c>
      <c r="F553" s="8" t="s">
        <v>3977</v>
      </c>
      <c r="G553" s="8" t="s">
        <v>6449</v>
      </c>
      <c r="H553" s="8" t="s">
        <v>3479</v>
      </c>
      <c r="I553" s="9">
        <v>0.0</v>
      </c>
      <c r="J553" s="9">
        <v>1369.0</v>
      </c>
      <c r="K553" s="9">
        <v>1369.0</v>
      </c>
      <c r="L553" s="9">
        <v>1369.0</v>
      </c>
      <c r="M553" s="9">
        <v>160.0</v>
      </c>
      <c r="N553" s="9">
        <v>760.0</v>
      </c>
      <c r="O553" s="9">
        <v>449.0</v>
      </c>
      <c r="P553" s="8" t="s">
        <v>4183</v>
      </c>
      <c r="Q553" s="8" t="s">
        <v>6450</v>
      </c>
      <c r="R553" s="8" t="s">
        <v>6451</v>
      </c>
    </row>
    <row r="554">
      <c r="A554" s="8" t="s">
        <v>431</v>
      </c>
      <c r="B554" s="8" t="s">
        <v>6452</v>
      </c>
      <c r="C554" s="8" t="s">
        <v>6453</v>
      </c>
      <c r="D554" s="9">
        <v>8.00727202E9</v>
      </c>
      <c r="E554" s="8" t="s">
        <v>6454</v>
      </c>
      <c r="F554" s="8" t="s">
        <v>6455</v>
      </c>
      <c r="G554" s="8" t="s">
        <v>6456</v>
      </c>
      <c r="H554" s="8" t="s">
        <v>3479</v>
      </c>
      <c r="I554" s="9">
        <v>0.0</v>
      </c>
      <c r="J554" s="9">
        <v>1259.0</v>
      </c>
      <c r="K554" s="9">
        <v>1259.0</v>
      </c>
      <c r="L554" s="9">
        <v>1259.0</v>
      </c>
      <c r="M554" s="9">
        <v>80.0</v>
      </c>
      <c r="N554" s="9">
        <v>730.0</v>
      </c>
      <c r="O554" s="9">
        <v>449.0</v>
      </c>
      <c r="P554" s="8" t="s">
        <v>4183</v>
      </c>
      <c r="Q554" s="8" t="s">
        <v>6457</v>
      </c>
      <c r="R554" s="8" t="s">
        <v>6458</v>
      </c>
    </row>
    <row r="555">
      <c r="A555" s="8" t="s">
        <v>320</v>
      </c>
      <c r="B555" s="8" t="s">
        <v>6459</v>
      </c>
      <c r="C555" s="8" t="s">
        <v>6460</v>
      </c>
      <c r="D555" s="9">
        <v>8.087619986E9</v>
      </c>
      <c r="E555" s="8" t="s">
        <v>6461</v>
      </c>
      <c r="F555" s="8" t="s">
        <v>3608</v>
      </c>
      <c r="G555" s="8" t="s">
        <v>6462</v>
      </c>
      <c r="H555" s="8" t="s">
        <v>3479</v>
      </c>
      <c r="I555" s="9">
        <v>0.0</v>
      </c>
      <c r="J555" s="9">
        <v>1512.0</v>
      </c>
      <c r="K555" s="9">
        <v>1512.0</v>
      </c>
      <c r="L555" s="9">
        <v>1512.0</v>
      </c>
      <c r="M555" s="9">
        <v>333.0</v>
      </c>
      <c r="N555" s="9">
        <v>730.0</v>
      </c>
      <c r="O555" s="9">
        <v>449.0</v>
      </c>
      <c r="P555" s="8" t="s">
        <v>4183</v>
      </c>
      <c r="Q555" s="8" t="s">
        <v>6463</v>
      </c>
      <c r="R555" s="8" t="s">
        <v>6464</v>
      </c>
    </row>
    <row r="556">
      <c r="A556" s="8" t="s">
        <v>322</v>
      </c>
      <c r="B556" s="8" t="s">
        <v>6465</v>
      </c>
      <c r="C556" s="8" t="s">
        <v>6466</v>
      </c>
      <c r="D556" s="9">
        <v>9.890335919E9</v>
      </c>
      <c r="E556" s="8" t="s">
        <v>6467</v>
      </c>
      <c r="F556" s="8" t="s">
        <v>3550</v>
      </c>
      <c r="G556" s="8" t="s">
        <v>6468</v>
      </c>
      <c r="H556" s="8" t="s">
        <v>3479</v>
      </c>
      <c r="I556" s="9">
        <v>0.0</v>
      </c>
      <c r="J556" s="9">
        <v>1499.0</v>
      </c>
      <c r="K556" s="9">
        <v>1499.0</v>
      </c>
      <c r="L556" s="9">
        <v>1499.0</v>
      </c>
      <c r="M556" s="9">
        <v>405.0</v>
      </c>
      <c r="N556" s="9">
        <v>645.0</v>
      </c>
      <c r="O556" s="9">
        <v>449.0</v>
      </c>
      <c r="P556" s="8" t="s">
        <v>4183</v>
      </c>
      <c r="Q556" s="8" t="s">
        <v>6469</v>
      </c>
      <c r="R556" s="8" t="s">
        <v>6470</v>
      </c>
    </row>
    <row r="557">
      <c r="A557" s="8" t="s">
        <v>321</v>
      </c>
      <c r="B557" s="8" t="s">
        <v>6471</v>
      </c>
      <c r="C557" s="8" t="s">
        <v>3998</v>
      </c>
      <c r="D557" s="9">
        <v>9.021466897E9</v>
      </c>
      <c r="E557" s="8" t="s">
        <v>6472</v>
      </c>
      <c r="F557" s="8" t="s">
        <v>5366</v>
      </c>
      <c r="G557" s="8" t="s">
        <v>6473</v>
      </c>
      <c r="H557" s="8" t="s">
        <v>3479</v>
      </c>
      <c r="I557" s="9">
        <v>0.0</v>
      </c>
      <c r="J557" s="9">
        <v>3850.0</v>
      </c>
      <c r="K557" s="9">
        <v>3850.0</v>
      </c>
      <c r="L557" s="9">
        <v>3850.0</v>
      </c>
      <c r="M557" s="9">
        <v>1353.0</v>
      </c>
      <c r="N557" s="9">
        <v>1298.0</v>
      </c>
      <c r="O557" s="9">
        <v>1199.0</v>
      </c>
      <c r="P557" s="8" t="s">
        <v>4183</v>
      </c>
      <c r="Q557" s="8"/>
      <c r="R557" s="8"/>
    </row>
    <row r="558">
      <c r="A558" s="8" t="s">
        <v>323</v>
      </c>
      <c r="B558" s="8" t="s">
        <v>6474</v>
      </c>
      <c r="C558" s="8" t="s">
        <v>6475</v>
      </c>
      <c r="D558" s="9">
        <v>9.823143276E9</v>
      </c>
      <c r="E558" s="8" t="s">
        <v>6476</v>
      </c>
      <c r="F558" s="8" t="s">
        <v>4134</v>
      </c>
      <c r="G558" s="8" t="s">
        <v>4036</v>
      </c>
      <c r="H558" s="8" t="s">
        <v>3479</v>
      </c>
      <c r="I558" s="9">
        <v>0.0</v>
      </c>
      <c r="J558" s="9">
        <v>2215.0</v>
      </c>
      <c r="K558" s="9">
        <v>2215.0</v>
      </c>
      <c r="L558" s="9">
        <v>2215.0</v>
      </c>
      <c r="M558" s="9">
        <v>643.0</v>
      </c>
      <c r="N558" s="9">
        <v>848.0</v>
      </c>
      <c r="O558" s="9">
        <v>724.0</v>
      </c>
      <c r="P558" s="8" t="s">
        <v>4183</v>
      </c>
      <c r="Q558" s="8" t="s">
        <v>6477</v>
      </c>
      <c r="R558" s="8" t="s">
        <v>6478</v>
      </c>
    </row>
    <row r="559">
      <c r="A559" s="8" t="s">
        <v>765</v>
      </c>
      <c r="B559" s="8" t="s">
        <v>6479</v>
      </c>
      <c r="C559" s="8" t="s">
        <v>6480</v>
      </c>
      <c r="D559" s="9">
        <v>8.308547775E9</v>
      </c>
      <c r="E559" s="8" t="s">
        <v>6481</v>
      </c>
      <c r="F559" s="8" t="s">
        <v>3615</v>
      </c>
      <c r="G559" s="8" t="s">
        <v>6482</v>
      </c>
      <c r="H559" s="8" t="s">
        <v>3479</v>
      </c>
      <c r="I559" s="9">
        <v>0.0</v>
      </c>
      <c r="J559" s="9">
        <v>1574.0</v>
      </c>
      <c r="K559" s="9">
        <v>1574.0</v>
      </c>
      <c r="L559" s="9">
        <v>1574.0</v>
      </c>
      <c r="M559" s="9">
        <v>350.0</v>
      </c>
      <c r="N559" s="9">
        <v>775.0</v>
      </c>
      <c r="O559" s="9">
        <v>449.0</v>
      </c>
      <c r="P559" s="8" t="s">
        <v>3480</v>
      </c>
      <c r="Q559" s="8"/>
      <c r="R559" s="8"/>
    </row>
    <row r="560">
      <c r="A560" s="8" t="s">
        <v>766</v>
      </c>
      <c r="B560" s="8" t="s">
        <v>6483</v>
      </c>
      <c r="C560" s="8" t="s">
        <v>6484</v>
      </c>
      <c r="D560" s="9">
        <v>9.404930002E9</v>
      </c>
      <c r="E560" s="8" t="s">
        <v>6485</v>
      </c>
      <c r="F560" s="8" t="s">
        <v>5421</v>
      </c>
      <c r="G560" s="8" t="s">
        <v>6486</v>
      </c>
      <c r="H560" s="8" t="s">
        <v>3479</v>
      </c>
      <c r="I560" s="9">
        <v>0.0</v>
      </c>
      <c r="J560" s="9">
        <v>1268.0</v>
      </c>
      <c r="K560" s="9">
        <v>1268.0</v>
      </c>
      <c r="L560" s="9">
        <v>1268.0</v>
      </c>
      <c r="M560" s="9">
        <v>80.0</v>
      </c>
      <c r="N560" s="9">
        <v>739.0</v>
      </c>
      <c r="O560" s="9">
        <v>449.0</v>
      </c>
      <c r="P560" s="8" t="s">
        <v>3519</v>
      </c>
      <c r="Q560" s="8"/>
      <c r="R560" s="8"/>
    </row>
    <row r="561">
      <c r="A561" s="8" t="s">
        <v>432</v>
      </c>
      <c r="B561" s="8" t="s">
        <v>6487</v>
      </c>
      <c r="C561" s="8" t="s">
        <v>6488</v>
      </c>
      <c r="D561" s="9">
        <v>9.822623447E9</v>
      </c>
      <c r="E561" s="8" t="s">
        <v>6489</v>
      </c>
      <c r="F561" s="8" t="s">
        <v>3594</v>
      </c>
      <c r="G561" s="8" t="s">
        <v>6490</v>
      </c>
      <c r="H561" s="8" t="s">
        <v>3479</v>
      </c>
      <c r="I561" s="9">
        <v>0.0</v>
      </c>
      <c r="J561" s="9">
        <v>1529.0</v>
      </c>
      <c r="K561" s="9">
        <v>1529.0</v>
      </c>
      <c r="L561" s="9">
        <v>1529.0</v>
      </c>
      <c r="M561" s="9">
        <v>275.0</v>
      </c>
      <c r="N561" s="9">
        <v>730.0</v>
      </c>
      <c r="O561" s="9">
        <v>524.0</v>
      </c>
      <c r="P561" s="8" t="s">
        <v>6396</v>
      </c>
      <c r="Q561" s="8" t="s">
        <v>6491</v>
      </c>
      <c r="R561" s="8" t="s">
        <v>6492</v>
      </c>
    </row>
    <row r="562">
      <c r="A562" s="8" t="s">
        <v>767</v>
      </c>
      <c r="B562" s="8" t="s">
        <v>6493</v>
      </c>
      <c r="C562" s="8" t="s">
        <v>4971</v>
      </c>
      <c r="D562" s="9">
        <v>9.730183583E9</v>
      </c>
      <c r="E562" s="8" t="s">
        <v>4972</v>
      </c>
      <c r="F562" s="8" t="s">
        <v>3601</v>
      </c>
      <c r="G562" s="8" t="s">
        <v>6494</v>
      </c>
      <c r="H562" s="8" t="s">
        <v>3479</v>
      </c>
      <c r="I562" s="9">
        <v>0.0</v>
      </c>
      <c r="J562" s="9">
        <v>1601.0</v>
      </c>
      <c r="K562" s="9">
        <v>1601.0</v>
      </c>
      <c r="L562" s="9">
        <v>1601.0</v>
      </c>
      <c r="M562" s="9">
        <v>413.0</v>
      </c>
      <c r="N562" s="9">
        <v>739.0</v>
      </c>
      <c r="O562" s="9">
        <v>449.0</v>
      </c>
      <c r="P562" s="8" t="s">
        <v>3519</v>
      </c>
      <c r="Q562" s="8" t="s">
        <v>4974</v>
      </c>
      <c r="R562" s="8" t="s">
        <v>4975</v>
      </c>
    </row>
    <row r="563">
      <c r="A563" s="8" t="s">
        <v>324</v>
      </c>
      <c r="B563" s="8" t="s">
        <v>6495</v>
      </c>
      <c r="C563" s="8" t="s">
        <v>6496</v>
      </c>
      <c r="D563" s="9">
        <v>8.668437323E9</v>
      </c>
      <c r="E563" s="8" t="s">
        <v>6497</v>
      </c>
      <c r="F563" s="8" t="s">
        <v>3681</v>
      </c>
      <c r="G563" s="8" t="s">
        <v>6498</v>
      </c>
      <c r="H563" s="8" t="s">
        <v>3479</v>
      </c>
      <c r="I563" s="9">
        <v>0.0</v>
      </c>
      <c r="J563" s="9">
        <v>2406.0</v>
      </c>
      <c r="K563" s="9">
        <v>2406.0</v>
      </c>
      <c r="L563" s="9">
        <v>2406.0</v>
      </c>
      <c r="M563" s="9">
        <v>1173.0</v>
      </c>
      <c r="N563" s="9">
        <v>784.0</v>
      </c>
      <c r="O563" s="9">
        <v>449.0</v>
      </c>
      <c r="P563" s="8" t="s">
        <v>4183</v>
      </c>
      <c r="Q563" s="8" t="s">
        <v>6499</v>
      </c>
      <c r="R563" s="8" t="s">
        <v>6500</v>
      </c>
    </row>
    <row r="564">
      <c r="A564" s="8" t="s">
        <v>768</v>
      </c>
      <c r="B564" s="8" t="s">
        <v>6501</v>
      </c>
      <c r="C564" s="8" t="s">
        <v>6502</v>
      </c>
      <c r="D564" s="9">
        <v>9.850601122E9</v>
      </c>
      <c r="E564" s="8" t="s">
        <v>6503</v>
      </c>
      <c r="F564" s="8" t="s">
        <v>3821</v>
      </c>
      <c r="G564" s="8" t="s">
        <v>6504</v>
      </c>
      <c r="H564" s="8" t="s">
        <v>3479</v>
      </c>
      <c r="I564" s="9">
        <v>0.0</v>
      </c>
      <c r="J564" s="9">
        <v>1576.0</v>
      </c>
      <c r="K564" s="9">
        <v>1576.0</v>
      </c>
      <c r="L564" s="9">
        <v>1576.0</v>
      </c>
      <c r="M564" s="9">
        <v>313.0</v>
      </c>
      <c r="N564" s="9">
        <v>739.0</v>
      </c>
      <c r="O564" s="9">
        <v>524.0</v>
      </c>
      <c r="P564" s="8" t="s">
        <v>3544</v>
      </c>
      <c r="Q564" s="8"/>
      <c r="R564" s="8"/>
    </row>
    <row r="565">
      <c r="A565" s="8" t="s">
        <v>325</v>
      </c>
      <c r="B565" s="8" t="s">
        <v>6505</v>
      </c>
      <c r="C565" s="8" t="s">
        <v>6506</v>
      </c>
      <c r="D565" s="9">
        <v>9.860765193E9</v>
      </c>
      <c r="E565" s="8" t="s">
        <v>6507</v>
      </c>
      <c r="F565" s="8" t="s">
        <v>6508</v>
      </c>
      <c r="G565" s="8" t="s">
        <v>6509</v>
      </c>
      <c r="H565" s="8" t="s">
        <v>3479</v>
      </c>
      <c r="I565" s="9">
        <v>0.0</v>
      </c>
      <c r="J565" s="9">
        <v>2787.0</v>
      </c>
      <c r="K565" s="9">
        <v>2787.0</v>
      </c>
      <c r="L565" s="9">
        <v>2787.0</v>
      </c>
      <c r="M565" s="9">
        <v>1214.0</v>
      </c>
      <c r="N565" s="9">
        <v>849.0</v>
      </c>
      <c r="O565" s="9">
        <v>724.0</v>
      </c>
      <c r="P565" s="8" t="s">
        <v>4183</v>
      </c>
      <c r="Q565" s="8" t="s">
        <v>6510</v>
      </c>
      <c r="R565" s="8" t="s">
        <v>6511</v>
      </c>
    </row>
    <row r="566">
      <c r="A566" s="8" t="s">
        <v>326</v>
      </c>
      <c r="B566" s="8" t="s">
        <v>6512</v>
      </c>
      <c r="C566" s="8" t="s">
        <v>6513</v>
      </c>
      <c r="D566" s="9">
        <v>7.020046714E9</v>
      </c>
      <c r="E566" s="8" t="s">
        <v>6514</v>
      </c>
      <c r="F566" s="8" t="s">
        <v>6515</v>
      </c>
      <c r="G566" s="8" t="s">
        <v>6516</v>
      </c>
      <c r="H566" s="8" t="s">
        <v>3479</v>
      </c>
      <c r="I566" s="9">
        <v>0.0</v>
      </c>
      <c r="J566" s="9">
        <v>1613.0</v>
      </c>
      <c r="K566" s="9">
        <v>1613.0</v>
      </c>
      <c r="L566" s="9">
        <v>1613.0</v>
      </c>
      <c r="M566" s="9">
        <v>130.0</v>
      </c>
      <c r="N566" s="9">
        <v>784.0</v>
      </c>
      <c r="O566" s="9">
        <v>699.0</v>
      </c>
      <c r="P566" s="8" t="s">
        <v>6396</v>
      </c>
      <c r="Q566" s="8" t="s">
        <v>6517</v>
      </c>
      <c r="R566" s="8" t="s">
        <v>6518</v>
      </c>
    </row>
    <row r="567">
      <c r="A567" s="8" t="s">
        <v>769</v>
      </c>
      <c r="B567" s="8" t="s">
        <v>6519</v>
      </c>
      <c r="C567" s="8" t="s">
        <v>6520</v>
      </c>
      <c r="D567" s="9">
        <v>9.011350595E9</v>
      </c>
      <c r="E567" s="8" t="s">
        <v>6521</v>
      </c>
      <c r="F567" s="8" t="s">
        <v>3608</v>
      </c>
      <c r="G567" s="8" t="s">
        <v>6522</v>
      </c>
      <c r="H567" s="8" t="s">
        <v>3479</v>
      </c>
      <c r="I567" s="9">
        <v>0.0</v>
      </c>
      <c r="J567" s="9">
        <v>2406.0</v>
      </c>
      <c r="K567" s="9">
        <v>2406.0</v>
      </c>
      <c r="L567" s="9">
        <v>2406.0</v>
      </c>
      <c r="M567" s="9">
        <v>1218.0</v>
      </c>
      <c r="N567" s="9">
        <v>739.0</v>
      </c>
      <c r="O567" s="9">
        <v>449.0</v>
      </c>
      <c r="P567" s="8" t="s">
        <v>3480</v>
      </c>
      <c r="Q567" s="8"/>
      <c r="R567" s="8"/>
    </row>
    <row r="568">
      <c r="A568" s="8" t="s">
        <v>327</v>
      </c>
      <c r="B568" s="8" t="s">
        <v>6523</v>
      </c>
      <c r="C568" s="8" t="s">
        <v>6524</v>
      </c>
      <c r="D568" s="9">
        <v>9.022285528E9</v>
      </c>
      <c r="E568" s="8" t="s">
        <v>6525</v>
      </c>
      <c r="F568" s="8" t="s">
        <v>6526</v>
      </c>
      <c r="G568" s="8" t="s">
        <v>6527</v>
      </c>
      <c r="H568" s="8" t="s">
        <v>3479</v>
      </c>
      <c r="I568" s="9">
        <v>0.0</v>
      </c>
      <c r="J568" s="9">
        <v>3218.0</v>
      </c>
      <c r="K568" s="9">
        <v>3218.0</v>
      </c>
      <c r="L568" s="9">
        <v>3218.0</v>
      </c>
      <c r="M568" s="9">
        <v>1985.0</v>
      </c>
      <c r="N568" s="9">
        <v>784.0</v>
      </c>
      <c r="O568" s="9">
        <v>449.0</v>
      </c>
      <c r="P568" s="8" t="s">
        <v>6396</v>
      </c>
      <c r="Q568" s="8"/>
      <c r="R568" s="8"/>
    </row>
    <row r="569">
      <c r="A569" s="8" t="s">
        <v>770</v>
      </c>
      <c r="B569" s="8" t="s">
        <v>6528</v>
      </c>
      <c r="C569" s="8" t="s">
        <v>4779</v>
      </c>
      <c r="D569" s="9">
        <v>7.796898227E9</v>
      </c>
      <c r="E569" s="8" t="s">
        <v>6529</v>
      </c>
      <c r="F569" s="8" t="s">
        <v>4252</v>
      </c>
      <c r="G569" s="8" t="s">
        <v>6530</v>
      </c>
      <c r="H569" s="8" t="s">
        <v>3479</v>
      </c>
      <c r="I569" s="9">
        <v>0.0</v>
      </c>
      <c r="J569" s="9">
        <v>859.0</v>
      </c>
      <c r="K569" s="9">
        <v>859.0</v>
      </c>
      <c r="L569" s="9">
        <v>859.0</v>
      </c>
      <c r="M569" s="9">
        <v>310.0</v>
      </c>
      <c r="N569" s="9">
        <v>0.0</v>
      </c>
      <c r="O569" s="9">
        <v>549.0</v>
      </c>
      <c r="P569" s="8" t="s">
        <v>3519</v>
      </c>
      <c r="Q569" s="8"/>
      <c r="R569" s="8"/>
    </row>
    <row r="570">
      <c r="A570" s="8" t="s">
        <v>328</v>
      </c>
      <c r="B570" s="8" t="s">
        <v>6531</v>
      </c>
      <c r="C570" s="8" t="s">
        <v>6532</v>
      </c>
      <c r="D570" s="9">
        <v>7.620352876E9</v>
      </c>
      <c r="E570" s="8" t="s">
        <v>6533</v>
      </c>
      <c r="F570" s="8" t="s">
        <v>3608</v>
      </c>
      <c r="G570" s="8" t="s">
        <v>6534</v>
      </c>
      <c r="H570" s="8" t="s">
        <v>3479</v>
      </c>
      <c r="I570" s="9">
        <v>0.0</v>
      </c>
      <c r="J570" s="9">
        <v>1434.0</v>
      </c>
      <c r="K570" s="9">
        <v>1434.0</v>
      </c>
      <c r="L570" s="9">
        <v>1434.0</v>
      </c>
      <c r="M570" s="9">
        <v>255.0</v>
      </c>
      <c r="N570" s="9">
        <v>730.0</v>
      </c>
      <c r="O570" s="9">
        <v>449.0</v>
      </c>
      <c r="P570" s="8" t="s">
        <v>4183</v>
      </c>
      <c r="Q570" s="8" t="s">
        <v>6535</v>
      </c>
      <c r="R570" s="8" t="s">
        <v>6536</v>
      </c>
    </row>
    <row r="571">
      <c r="A571" s="8" t="s">
        <v>772</v>
      </c>
      <c r="B571" s="8" t="s">
        <v>6537</v>
      </c>
      <c r="C571" s="8" t="s">
        <v>3899</v>
      </c>
      <c r="D571" s="9">
        <v>9.545388866E9</v>
      </c>
      <c r="E571" s="8" t="s">
        <v>6538</v>
      </c>
      <c r="F571" s="8" t="s">
        <v>3608</v>
      </c>
      <c r="G571" s="8" t="s">
        <v>6539</v>
      </c>
      <c r="H571" s="8" t="s">
        <v>3479</v>
      </c>
      <c r="I571" s="9">
        <v>0.0</v>
      </c>
      <c r="J571" s="9">
        <v>6553.0</v>
      </c>
      <c r="K571" s="9">
        <v>6553.0</v>
      </c>
      <c r="L571" s="9">
        <v>6553.0</v>
      </c>
      <c r="M571" s="9">
        <v>5365.0</v>
      </c>
      <c r="N571" s="9">
        <v>739.0</v>
      </c>
      <c r="O571" s="9">
        <v>449.0</v>
      </c>
      <c r="P571" s="8" t="s">
        <v>3480</v>
      </c>
      <c r="Q571" s="8"/>
      <c r="R571" s="8"/>
    </row>
    <row r="572">
      <c r="A572" s="8" t="s">
        <v>747</v>
      </c>
      <c r="B572" s="8" t="s">
        <v>6540</v>
      </c>
      <c r="C572" s="8" t="s">
        <v>6541</v>
      </c>
      <c r="D572" s="9">
        <v>9.730283199E9</v>
      </c>
      <c r="E572" s="8" t="s">
        <v>6542</v>
      </c>
      <c r="F572" s="8" t="s">
        <v>6543</v>
      </c>
      <c r="G572" s="8" t="s">
        <v>6544</v>
      </c>
      <c r="H572" s="8" t="s">
        <v>3479</v>
      </c>
      <c r="I572" s="9">
        <v>0.0</v>
      </c>
      <c r="J572" s="9">
        <v>4463.0</v>
      </c>
      <c r="K572" s="9">
        <v>4463.0</v>
      </c>
      <c r="L572" s="9">
        <v>4463.0</v>
      </c>
      <c r="M572" s="9">
        <v>3074.0</v>
      </c>
      <c r="N572" s="9">
        <v>190.0</v>
      </c>
      <c r="O572" s="9">
        <v>1199.0</v>
      </c>
      <c r="P572" s="8" t="s">
        <v>3480</v>
      </c>
      <c r="Q572" s="8" t="s">
        <v>6545</v>
      </c>
      <c r="R572" s="8"/>
    </row>
    <row r="573">
      <c r="A573" s="8" t="s">
        <v>746</v>
      </c>
      <c r="B573" s="8" t="s">
        <v>6546</v>
      </c>
      <c r="C573" s="8" t="s">
        <v>6547</v>
      </c>
      <c r="D573" s="9">
        <v>9.881673022E9</v>
      </c>
      <c r="E573" s="8" t="s">
        <v>6548</v>
      </c>
      <c r="F573" s="8" t="s">
        <v>3977</v>
      </c>
      <c r="G573" s="8" t="s">
        <v>6549</v>
      </c>
      <c r="H573" s="8" t="s">
        <v>3479</v>
      </c>
      <c r="I573" s="9">
        <v>0.0</v>
      </c>
      <c r="J573" s="9">
        <v>1594.0</v>
      </c>
      <c r="K573" s="9">
        <v>1594.0</v>
      </c>
      <c r="L573" s="9">
        <v>1594.0</v>
      </c>
      <c r="M573" s="9">
        <v>240.0</v>
      </c>
      <c r="N573" s="9">
        <v>730.0</v>
      </c>
      <c r="O573" s="9">
        <v>624.0</v>
      </c>
      <c r="P573" s="8" t="s">
        <v>3480</v>
      </c>
      <c r="Q573" s="8"/>
      <c r="R573" s="8" t="s">
        <v>6550</v>
      </c>
    </row>
    <row r="574">
      <c r="A574" s="8" t="s">
        <v>771</v>
      </c>
      <c r="B574" s="8" t="s">
        <v>6551</v>
      </c>
      <c r="C574" s="8" t="s">
        <v>6552</v>
      </c>
      <c r="D574" s="9">
        <v>8.411814848E9</v>
      </c>
      <c r="E574" s="8" t="s">
        <v>6553</v>
      </c>
      <c r="F574" s="8" t="s">
        <v>3486</v>
      </c>
      <c r="G574" s="8" t="s">
        <v>6554</v>
      </c>
      <c r="H574" s="8" t="s">
        <v>3479</v>
      </c>
      <c r="I574" s="9">
        <v>0.0</v>
      </c>
      <c r="J574" s="9">
        <v>1501.0</v>
      </c>
      <c r="K574" s="9">
        <v>1501.0</v>
      </c>
      <c r="L574" s="9">
        <v>1501.0</v>
      </c>
      <c r="M574" s="9">
        <v>313.0</v>
      </c>
      <c r="N574" s="9">
        <v>739.0</v>
      </c>
      <c r="O574" s="9">
        <v>449.0</v>
      </c>
      <c r="P574" s="8" t="s">
        <v>3519</v>
      </c>
      <c r="Q574" s="8" t="s">
        <v>6555</v>
      </c>
      <c r="R574" s="8"/>
    </row>
    <row r="575">
      <c r="A575" s="8" t="s">
        <v>329</v>
      </c>
      <c r="B575" s="8" t="s">
        <v>6556</v>
      </c>
      <c r="C575" s="8" t="s">
        <v>4187</v>
      </c>
      <c r="D575" s="9">
        <v>7.559212259E9</v>
      </c>
      <c r="E575" s="8" t="s">
        <v>6557</v>
      </c>
      <c r="F575" s="8" t="s">
        <v>4150</v>
      </c>
      <c r="G575" s="8" t="s">
        <v>6558</v>
      </c>
      <c r="H575" s="8" t="s">
        <v>3479</v>
      </c>
      <c r="I575" s="9">
        <v>0.0</v>
      </c>
      <c r="J575" s="9">
        <v>2606.0</v>
      </c>
      <c r="K575" s="9">
        <v>2606.0</v>
      </c>
      <c r="L575" s="9">
        <v>2606.0</v>
      </c>
      <c r="M575" s="9">
        <v>1188.0</v>
      </c>
      <c r="N575" s="9">
        <v>784.0</v>
      </c>
      <c r="O575" s="9">
        <v>634.0</v>
      </c>
      <c r="P575" s="8" t="s">
        <v>4183</v>
      </c>
      <c r="Q575" s="8" t="s">
        <v>6559</v>
      </c>
      <c r="R575" s="8" t="s">
        <v>6560</v>
      </c>
    </row>
    <row r="576">
      <c r="A576" s="8" t="s">
        <v>330</v>
      </c>
      <c r="B576" s="8" t="s">
        <v>6561</v>
      </c>
      <c r="C576" s="8" t="s">
        <v>6562</v>
      </c>
      <c r="D576" s="9">
        <v>8.1800202E9</v>
      </c>
      <c r="E576" s="8" t="s">
        <v>6563</v>
      </c>
      <c r="F576" s="8" t="s">
        <v>3564</v>
      </c>
      <c r="G576" s="8" t="s">
        <v>6564</v>
      </c>
      <c r="H576" s="8" t="s">
        <v>6565</v>
      </c>
      <c r="I576" s="9">
        <v>0.0</v>
      </c>
      <c r="J576" s="9">
        <v>2150.0</v>
      </c>
      <c r="K576" s="9">
        <v>2233.0</v>
      </c>
      <c r="L576" s="9">
        <v>2150.0</v>
      </c>
      <c r="M576" s="9">
        <v>1294.0</v>
      </c>
      <c r="N576" s="9">
        <v>190.0</v>
      </c>
      <c r="O576" s="9">
        <v>749.0</v>
      </c>
      <c r="P576" s="8" t="s">
        <v>6396</v>
      </c>
      <c r="Q576" s="8" t="s">
        <v>6566</v>
      </c>
      <c r="R576" s="8" t="s">
        <v>6567</v>
      </c>
    </row>
    <row r="577">
      <c r="A577" s="8" t="s">
        <v>331</v>
      </c>
      <c r="B577" s="8" t="s">
        <v>6568</v>
      </c>
      <c r="C577" s="8" t="s">
        <v>4498</v>
      </c>
      <c r="D577" s="9">
        <v>7.304070707E9</v>
      </c>
      <c r="E577" s="8" t="s">
        <v>4499</v>
      </c>
      <c r="F577" s="8" t="s">
        <v>4500</v>
      </c>
      <c r="G577" s="8" t="s">
        <v>6569</v>
      </c>
      <c r="H577" s="8" t="s">
        <v>3479</v>
      </c>
      <c r="I577" s="9">
        <v>0.0</v>
      </c>
      <c r="J577" s="9">
        <v>3787.0</v>
      </c>
      <c r="K577" s="9">
        <v>3787.0</v>
      </c>
      <c r="L577" s="9">
        <v>3787.0</v>
      </c>
      <c r="M577" s="9">
        <v>3312.0</v>
      </c>
      <c r="N577" s="9">
        <v>0.0</v>
      </c>
      <c r="O577" s="9">
        <v>475.0</v>
      </c>
      <c r="P577" s="8" t="s">
        <v>6294</v>
      </c>
      <c r="Q577" s="8" t="s">
        <v>4502</v>
      </c>
      <c r="R577" s="8" t="s">
        <v>4503</v>
      </c>
    </row>
    <row r="578">
      <c r="A578" s="8" t="s">
        <v>332</v>
      </c>
      <c r="B578" s="8" t="s">
        <v>6570</v>
      </c>
      <c r="C578" s="8" t="s">
        <v>6571</v>
      </c>
      <c r="D578" s="9">
        <v>9.552513135E9</v>
      </c>
      <c r="E578" s="8" t="s">
        <v>6572</v>
      </c>
      <c r="F578" s="8" t="s">
        <v>4681</v>
      </c>
      <c r="G578" s="8" t="s">
        <v>6573</v>
      </c>
      <c r="H578" s="8" t="s">
        <v>3479</v>
      </c>
      <c r="I578" s="9">
        <v>0.0</v>
      </c>
      <c r="J578" s="9">
        <v>1956.0</v>
      </c>
      <c r="K578" s="9">
        <v>1956.0</v>
      </c>
      <c r="L578" s="9">
        <v>1956.0</v>
      </c>
      <c r="M578" s="9">
        <v>892.0</v>
      </c>
      <c r="N578" s="9">
        <v>190.0</v>
      </c>
      <c r="O578" s="9">
        <v>874.0</v>
      </c>
      <c r="P578" s="8" t="s">
        <v>6294</v>
      </c>
      <c r="Q578" s="8" t="s">
        <v>6574</v>
      </c>
      <c r="R578" s="8" t="s">
        <v>6575</v>
      </c>
    </row>
    <row r="579">
      <c r="A579" s="8" t="s">
        <v>333</v>
      </c>
      <c r="B579" s="8" t="s">
        <v>6576</v>
      </c>
      <c r="C579" s="8" t="s">
        <v>6577</v>
      </c>
      <c r="D579" s="9">
        <v>7.798987281E9</v>
      </c>
      <c r="E579" s="8" t="s">
        <v>6578</v>
      </c>
      <c r="F579" s="8" t="s">
        <v>3498</v>
      </c>
      <c r="G579" s="8" t="s">
        <v>6579</v>
      </c>
      <c r="H579" s="8" t="s">
        <v>3479</v>
      </c>
      <c r="I579" s="9">
        <v>0.0</v>
      </c>
      <c r="J579" s="9">
        <v>1454.0</v>
      </c>
      <c r="K579" s="9">
        <v>1454.0</v>
      </c>
      <c r="L579" s="9">
        <v>1454.0</v>
      </c>
      <c r="M579" s="9">
        <v>200.0</v>
      </c>
      <c r="N579" s="9">
        <v>730.0</v>
      </c>
      <c r="O579" s="9">
        <v>524.0</v>
      </c>
      <c r="P579" s="8" t="s">
        <v>6294</v>
      </c>
      <c r="Q579" s="8" t="s">
        <v>6580</v>
      </c>
      <c r="R579" s="8" t="s">
        <v>6581</v>
      </c>
    </row>
    <row r="580">
      <c r="A580" s="8" t="s">
        <v>591</v>
      </c>
      <c r="B580" s="8" t="s">
        <v>6582</v>
      </c>
      <c r="C580" s="8" t="s">
        <v>6583</v>
      </c>
      <c r="D580" s="9">
        <v>9.022261342E9</v>
      </c>
      <c r="E580" s="8" t="s">
        <v>6584</v>
      </c>
      <c r="F580" s="8" t="s">
        <v>6585</v>
      </c>
      <c r="G580" s="8" t="s">
        <v>3494</v>
      </c>
      <c r="H580" s="8" t="s">
        <v>3479</v>
      </c>
      <c r="I580" s="9">
        <v>0.0</v>
      </c>
      <c r="J580" s="9">
        <v>1414.0</v>
      </c>
      <c r="K580" s="9">
        <v>1414.0</v>
      </c>
      <c r="L580" s="9">
        <v>1414.0</v>
      </c>
      <c r="M580" s="9">
        <v>665.0</v>
      </c>
      <c r="N580" s="9">
        <v>0.0</v>
      </c>
      <c r="O580" s="9">
        <v>749.0</v>
      </c>
      <c r="P580" s="8" t="s">
        <v>6294</v>
      </c>
      <c r="Q580" s="8" t="s">
        <v>6586</v>
      </c>
      <c r="R580" s="8" t="s">
        <v>6587</v>
      </c>
    </row>
    <row r="581">
      <c r="A581" s="8" t="s">
        <v>758</v>
      </c>
      <c r="B581" s="8" t="s">
        <v>6588</v>
      </c>
      <c r="C581" s="8" t="s">
        <v>6589</v>
      </c>
      <c r="D581" s="9">
        <v>9.970886964E9</v>
      </c>
      <c r="E581" s="8" t="s">
        <v>6590</v>
      </c>
      <c r="F581" s="8" t="s">
        <v>3542</v>
      </c>
      <c r="G581" s="8" t="s">
        <v>6591</v>
      </c>
      <c r="H581" s="8" t="s">
        <v>6319</v>
      </c>
      <c r="I581" s="9">
        <v>0.0</v>
      </c>
      <c r="J581" s="9">
        <v>2529.0</v>
      </c>
      <c r="K581" s="9">
        <v>2529.0</v>
      </c>
      <c r="L581" s="9">
        <v>2529.0</v>
      </c>
      <c r="M581" s="9">
        <v>1350.0</v>
      </c>
      <c r="N581" s="9">
        <v>730.0</v>
      </c>
      <c r="O581" s="9">
        <v>449.0</v>
      </c>
      <c r="P581" s="8" t="s">
        <v>4183</v>
      </c>
      <c r="Q581" s="8"/>
      <c r="R581" s="8"/>
    </row>
    <row r="582">
      <c r="A582" s="8" t="s">
        <v>815</v>
      </c>
      <c r="B582" s="8" t="s">
        <v>6592</v>
      </c>
      <c r="C582" s="8" t="s">
        <v>6593</v>
      </c>
      <c r="D582" s="9">
        <v>9.828944144E9</v>
      </c>
      <c r="E582" s="8" t="s">
        <v>6594</v>
      </c>
      <c r="F582" s="8" t="s">
        <v>3665</v>
      </c>
      <c r="G582" s="8" t="s">
        <v>5412</v>
      </c>
      <c r="H582" s="8" t="s">
        <v>3479</v>
      </c>
      <c r="I582" s="9">
        <v>0.0</v>
      </c>
      <c r="J582" s="9">
        <v>4633.0</v>
      </c>
      <c r="K582" s="9">
        <v>4633.0</v>
      </c>
      <c r="L582" s="9">
        <v>4633.0</v>
      </c>
      <c r="M582" s="9">
        <v>2364.0</v>
      </c>
      <c r="N582" s="9">
        <v>190.0</v>
      </c>
      <c r="O582" s="9">
        <v>2079.0</v>
      </c>
      <c r="P582" s="8" t="s">
        <v>3480</v>
      </c>
      <c r="Q582" s="8"/>
      <c r="R582" s="8"/>
    </row>
    <row r="583">
      <c r="A583" s="8" t="s">
        <v>822</v>
      </c>
      <c r="B583" s="8" t="s">
        <v>6595</v>
      </c>
      <c r="C583" s="8" t="s">
        <v>6596</v>
      </c>
      <c r="D583" s="9">
        <v>8.055430868E9</v>
      </c>
      <c r="E583" s="8" t="s">
        <v>6597</v>
      </c>
      <c r="F583" s="8" t="s">
        <v>3569</v>
      </c>
      <c r="G583" s="8" t="s">
        <v>6598</v>
      </c>
      <c r="H583" s="8" t="s">
        <v>3479</v>
      </c>
      <c r="I583" s="9">
        <v>0.0</v>
      </c>
      <c r="J583" s="9">
        <v>5189.0</v>
      </c>
      <c r="K583" s="9">
        <v>5189.0</v>
      </c>
      <c r="L583" s="9">
        <v>5189.0</v>
      </c>
      <c r="M583" s="9">
        <v>3515.0</v>
      </c>
      <c r="N583" s="9">
        <v>900.0</v>
      </c>
      <c r="O583" s="9">
        <v>774.0</v>
      </c>
      <c r="P583" s="8" t="s">
        <v>3480</v>
      </c>
      <c r="Q583" s="8" t="s">
        <v>6599</v>
      </c>
      <c r="R583" s="8" t="s">
        <v>6600</v>
      </c>
    </row>
    <row r="584">
      <c r="A584" s="8" t="s">
        <v>841</v>
      </c>
      <c r="B584" s="8" t="s">
        <v>6601</v>
      </c>
      <c r="C584" s="8" t="s">
        <v>6602</v>
      </c>
      <c r="D584" s="9">
        <v>9.206484443E9</v>
      </c>
      <c r="E584" s="8" t="s">
        <v>6603</v>
      </c>
      <c r="F584" s="8" t="s">
        <v>3901</v>
      </c>
      <c r="G584" s="8" t="s">
        <v>4036</v>
      </c>
      <c r="H584" s="8" t="s">
        <v>3479</v>
      </c>
      <c r="I584" s="9">
        <v>0.0</v>
      </c>
      <c r="J584" s="9">
        <v>4610.0</v>
      </c>
      <c r="K584" s="9">
        <v>4610.0</v>
      </c>
      <c r="L584" s="9">
        <v>4610.0</v>
      </c>
      <c r="M584" s="9">
        <v>2647.0</v>
      </c>
      <c r="N584" s="9">
        <v>964.0</v>
      </c>
      <c r="O584" s="9">
        <v>999.0</v>
      </c>
      <c r="P584" s="8" t="s">
        <v>4183</v>
      </c>
      <c r="Q584" s="8" t="s">
        <v>6604</v>
      </c>
      <c r="R584" s="8"/>
    </row>
    <row r="585">
      <c r="A585" s="8" t="s">
        <v>749</v>
      </c>
      <c r="B585" s="8" t="s">
        <v>6605</v>
      </c>
      <c r="C585" s="8" t="s">
        <v>6606</v>
      </c>
      <c r="D585" s="9">
        <v>9.02824328E9</v>
      </c>
      <c r="E585" s="8" t="s">
        <v>6607</v>
      </c>
      <c r="F585" s="8" t="s">
        <v>3608</v>
      </c>
      <c r="G585" s="8" t="s">
        <v>3829</v>
      </c>
      <c r="H585" s="8" t="s">
        <v>3479</v>
      </c>
      <c r="I585" s="9">
        <v>0.0</v>
      </c>
      <c r="J585" s="9">
        <v>2370.0</v>
      </c>
      <c r="K585" s="9">
        <v>2370.0</v>
      </c>
      <c r="L585" s="9">
        <v>2370.0</v>
      </c>
      <c r="M585" s="9">
        <v>1191.0</v>
      </c>
      <c r="N585" s="9">
        <v>730.0</v>
      </c>
      <c r="O585" s="9">
        <v>449.0</v>
      </c>
      <c r="P585" s="8" t="s">
        <v>3480</v>
      </c>
      <c r="Q585" s="8"/>
      <c r="R585" s="8"/>
    </row>
    <row r="586">
      <c r="A586" s="8" t="s">
        <v>817</v>
      </c>
      <c r="B586" s="8" t="s">
        <v>6608</v>
      </c>
      <c r="C586" s="8" t="s">
        <v>6609</v>
      </c>
      <c r="D586" s="9">
        <v>8.237620849E9</v>
      </c>
      <c r="E586" s="8" t="s">
        <v>6610</v>
      </c>
      <c r="F586" s="8" t="s">
        <v>4252</v>
      </c>
      <c r="G586" s="8" t="s">
        <v>6611</v>
      </c>
      <c r="H586" s="8" t="s">
        <v>3479</v>
      </c>
      <c r="I586" s="9">
        <v>0.0</v>
      </c>
      <c r="J586" s="9">
        <v>1125.0</v>
      </c>
      <c r="K586" s="9">
        <v>1125.0</v>
      </c>
      <c r="L586" s="9">
        <v>1125.0</v>
      </c>
      <c r="M586" s="9">
        <v>750.0</v>
      </c>
      <c r="N586" s="9">
        <v>0.0</v>
      </c>
      <c r="O586" s="9">
        <v>375.0</v>
      </c>
      <c r="P586" s="8" t="s">
        <v>3480</v>
      </c>
      <c r="Q586" s="8"/>
      <c r="R586" s="8"/>
    </row>
    <row r="587">
      <c r="A587" s="8" t="s">
        <v>818</v>
      </c>
      <c r="B587" s="8" t="s">
        <v>6612</v>
      </c>
      <c r="C587" s="8" t="s">
        <v>6593</v>
      </c>
      <c r="D587" s="9">
        <v>9.828944144E9</v>
      </c>
      <c r="E587" s="8" t="s">
        <v>6594</v>
      </c>
      <c r="F587" s="8" t="s">
        <v>3665</v>
      </c>
      <c r="G587" s="8" t="s">
        <v>5412</v>
      </c>
      <c r="H587" s="8" t="s">
        <v>3479</v>
      </c>
      <c r="I587" s="9">
        <v>0.0</v>
      </c>
      <c r="J587" s="9">
        <v>3434.0</v>
      </c>
      <c r="K587" s="9">
        <v>3434.0</v>
      </c>
      <c r="L587" s="9">
        <v>3434.0</v>
      </c>
      <c r="M587" s="9">
        <v>2684.0</v>
      </c>
      <c r="N587" s="9">
        <v>0.0</v>
      </c>
      <c r="O587" s="9">
        <v>750.0</v>
      </c>
      <c r="P587" s="8" t="s">
        <v>3480</v>
      </c>
      <c r="Q587" s="8"/>
      <c r="R587" s="8"/>
    </row>
    <row r="588">
      <c r="A588" s="8" t="s">
        <v>748</v>
      </c>
      <c r="B588" s="8" t="s">
        <v>6613</v>
      </c>
      <c r="C588" s="8" t="s">
        <v>6614</v>
      </c>
      <c r="D588" s="9">
        <v>7.020232964E9</v>
      </c>
      <c r="E588" s="8" t="s">
        <v>6615</v>
      </c>
      <c r="F588" s="8" t="s">
        <v>3589</v>
      </c>
      <c r="G588" s="8" t="s">
        <v>6616</v>
      </c>
      <c r="H588" s="8" t="s">
        <v>3479</v>
      </c>
      <c r="I588" s="9">
        <v>0.0</v>
      </c>
      <c r="J588" s="9">
        <v>954.0</v>
      </c>
      <c r="K588" s="9">
        <v>954.0</v>
      </c>
      <c r="L588" s="9">
        <v>954.0</v>
      </c>
      <c r="M588" s="9">
        <v>430.0</v>
      </c>
      <c r="N588" s="9">
        <v>0.0</v>
      </c>
      <c r="O588" s="9">
        <v>524.0</v>
      </c>
      <c r="P588" s="8" t="s">
        <v>3480</v>
      </c>
      <c r="Q588" s="8"/>
      <c r="R588" s="8"/>
    </row>
    <row r="589">
      <c r="A589" s="8" t="s">
        <v>820</v>
      </c>
      <c r="B589" s="8" t="s">
        <v>6617</v>
      </c>
      <c r="C589" s="8" t="s">
        <v>4960</v>
      </c>
      <c r="D589" s="9">
        <v>8.21067419E9</v>
      </c>
      <c r="E589" s="8" t="s">
        <v>6618</v>
      </c>
      <c r="F589" s="8" t="s">
        <v>3707</v>
      </c>
      <c r="G589" s="8" t="s">
        <v>6619</v>
      </c>
      <c r="H589" s="8" t="s">
        <v>6161</v>
      </c>
      <c r="I589" s="9">
        <v>0.0</v>
      </c>
      <c r="J589" s="9">
        <v>6214.0</v>
      </c>
      <c r="K589" s="9">
        <v>6414.0</v>
      </c>
      <c r="L589" s="9">
        <v>6214.0</v>
      </c>
      <c r="M589" s="9">
        <v>5264.0</v>
      </c>
      <c r="N589" s="9">
        <v>775.0</v>
      </c>
      <c r="O589" s="9">
        <v>375.0</v>
      </c>
      <c r="P589" s="8" t="s">
        <v>3480</v>
      </c>
      <c r="Q589" s="8"/>
      <c r="R589" s="8"/>
    </row>
    <row r="590">
      <c r="A590" s="8" t="s">
        <v>821</v>
      </c>
      <c r="B590" s="8" t="s">
        <v>6620</v>
      </c>
      <c r="C590" s="8" t="s">
        <v>5154</v>
      </c>
      <c r="D590" s="9">
        <v>7.038446657E9</v>
      </c>
      <c r="E590" s="8" t="s">
        <v>6621</v>
      </c>
      <c r="F590" s="8" t="s">
        <v>4093</v>
      </c>
      <c r="G590" s="8" t="s">
        <v>6622</v>
      </c>
      <c r="H590" s="8" t="s">
        <v>3479</v>
      </c>
      <c r="I590" s="9">
        <v>0.0</v>
      </c>
      <c r="J590" s="9">
        <v>3434.0</v>
      </c>
      <c r="K590" s="9">
        <v>3434.0</v>
      </c>
      <c r="L590" s="9">
        <v>3434.0</v>
      </c>
      <c r="M590" s="9">
        <v>2095.0</v>
      </c>
      <c r="N590" s="9">
        <v>190.0</v>
      </c>
      <c r="O590" s="9">
        <v>1149.0</v>
      </c>
      <c r="P590" s="8" t="s">
        <v>3480</v>
      </c>
      <c r="Q590" s="8"/>
      <c r="R590" s="8"/>
    </row>
    <row r="591">
      <c r="A591" s="8" t="s">
        <v>859</v>
      </c>
      <c r="B591" s="8" t="s">
        <v>6623</v>
      </c>
      <c r="C591" s="8" t="s">
        <v>6624</v>
      </c>
      <c r="D591" s="9">
        <v>9.405944951E9</v>
      </c>
      <c r="E591" s="8" t="s">
        <v>6625</v>
      </c>
      <c r="F591" s="8" t="s">
        <v>3615</v>
      </c>
      <c r="G591" s="8" t="s">
        <v>6626</v>
      </c>
      <c r="H591" s="8" t="s">
        <v>3479</v>
      </c>
      <c r="I591" s="9">
        <v>0.0</v>
      </c>
      <c r="J591" s="9">
        <v>2672.0</v>
      </c>
      <c r="K591" s="9">
        <v>2672.0</v>
      </c>
      <c r="L591" s="9">
        <v>2672.0</v>
      </c>
      <c r="M591" s="9">
        <v>1139.0</v>
      </c>
      <c r="N591" s="9">
        <v>784.0</v>
      </c>
      <c r="O591" s="9">
        <v>749.0</v>
      </c>
      <c r="P591" s="8" t="s">
        <v>4183</v>
      </c>
      <c r="Q591" s="8" t="s">
        <v>6627</v>
      </c>
      <c r="R591" s="8" t="s">
        <v>6628</v>
      </c>
    </row>
    <row r="592">
      <c r="A592" s="8" t="s">
        <v>816</v>
      </c>
      <c r="B592" s="8" t="s">
        <v>6629</v>
      </c>
      <c r="C592" s="8" t="s">
        <v>6630</v>
      </c>
      <c r="D592" s="9">
        <v>9.545172341E9</v>
      </c>
      <c r="E592" s="8" t="s">
        <v>6631</v>
      </c>
      <c r="F592" s="8" t="s">
        <v>3486</v>
      </c>
      <c r="G592" s="8" t="s">
        <v>6632</v>
      </c>
      <c r="H592" s="8" t="s">
        <v>3479</v>
      </c>
      <c r="I592" s="9">
        <v>0.0</v>
      </c>
      <c r="J592" s="9">
        <v>1259.0</v>
      </c>
      <c r="K592" s="9">
        <v>1259.0</v>
      </c>
      <c r="L592" s="9">
        <v>1259.0</v>
      </c>
      <c r="M592" s="9">
        <v>80.0</v>
      </c>
      <c r="N592" s="9">
        <v>730.0</v>
      </c>
      <c r="O592" s="9">
        <v>449.0</v>
      </c>
      <c r="P592" s="8" t="s">
        <v>3480</v>
      </c>
      <c r="Q592" s="8" t="s">
        <v>6633</v>
      </c>
      <c r="R592" s="8" t="s">
        <v>6634</v>
      </c>
    </row>
    <row r="593">
      <c r="A593" s="8" t="s">
        <v>819</v>
      </c>
      <c r="B593" s="8" t="s">
        <v>6635</v>
      </c>
      <c r="C593" s="8" t="s">
        <v>6636</v>
      </c>
      <c r="D593" s="9">
        <v>9.561518586E9</v>
      </c>
      <c r="E593" s="8" t="s">
        <v>6637</v>
      </c>
      <c r="F593" s="8" t="s">
        <v>3550</v>
      </c>
      <c r="G593" s="8" t="s">
        <v>6638</v>
      </c>
      <c r="H593" s="8" t="s">
        <v>3479</v>
      </c>
      <c r="I593" s="9">
        <v>0.0</v>
      </c>
      <c r="J593" s="9">
        <v>1189.0</v>
      </c>
      <c r="K593" s="9">
        <v>1189.0</v>
      </c>
      <c r="L593" s="9">
        <v>1189.0</v>
      </c>
      <c r="M593" s="9">
        <v>80.0</v>
      </c>
      <c r="N593" s="9">
        <v>660.0</v>
      </c>
      <c r="O593" s="9">
        <v>449.0</v>
      </c>
      <c r="P593" s="8" t="s">
        <v>3480</v>
      </c>
      <c r="Q593" s="8" t="s">
        <v>6639</v>
      </c>
      <c r="R593" s="8" t="s">
        <v>6640</v>
      </c>
    </row>
    <row r="594">
      <c r="A594" s="8" t="s">
        <v>843</v>
      </c>
      <c r="B594" s="8" t="s">
        <v>6641</v>
      </c>
      <c r="C594" s="8" t="s">
        <v>6642</v>
      </c>
      <c r="D594" s="9">
        <v>9.834923277E9</v>
      </c>
      <c r="E594" s="8" t="s">
        <v>6643</v>
      </c>
      <c r="F594" s="8" t="s">
        <v>4980</v>
      </c>
      <c r="G594" s="8" t="s">
        <v>6644</v>
      </c>
      <c r="H594" s="8" t="s">
        <v>3479</v>
      </c>
      <c r="I594" s="9">
        <v>0.0</v>
      </c>
      <c r="J594" s="9">
        <v>1429.0</v>
      </c>
      <c r="K594" s="9">
        <v>1429.0</v>
      </c>
      <c r="L594" s="9">
        <v>1429.0</v>
      </c>
      <c r="M594" s="9">
        <v>1179.0</v>
      </c>
      <c r="N594" s="9">
        <v>0.0</v>
      </c>
      <c r="O594" s="9">
        <v>250.0</v>
      </c>
      <c r="P594" s="8" t="s">
        <v>3480</v>
      </c>
      <c r="Q594" s="8"/>
      <c r="R594" s="8"/>
    </row>
    <row r="595">
      <c r="A595" s="8" t="s">
        <v>730</v>
      </c>
      <c r="B595" s="8" t="s">
        <v>6645</v>
      </c>
      <c r="C595" s="8" t="s">
        <v>6646</v>
      </c>
      <c r="D595" s="9">
        <v>7.796657441E9</v>
      </c>
      <c r="E595" s="8" t="s">
        <v>6647</v>
      </c>
      <c r="F595" s="8" t="s">
        <v>3523</v>
      </c>
      <c r="G595" s="8" t="s">
        <v>6648</v>
      </c>
      <c r="H595" s="8" t="s">
        <v>3479</v>
      </c>
      <c r="I595" s="9">
        <v>0.0</v>
      </c>
      <c r="J595" s="9">
        <v>1414.0</v>
      </c>
      <c r="K595" s="9">
        <v>1414.0</v>
      </c>
      <c r="L595" s="9">
        <v>1414.0</v>
      </c>
      <c r="M595" s="9">
        <v>160.0</v>
      </c>
      <c r="N595" s="9">
        <v>730.0</v>
      </c>
      <c r="O595" s="9">
        <v>524.0</v>
      </c>
      <c r="P595" s="8" t="s">
        <v>3480</v>
      </c>
      <c r="Q595" s="8" t="s">
        <v>6649</v>
      </c>
      <c r="R595" s="8" t="s">
        <v>6650</v>
      </c>
    </row>
    <row r="596">
      <c r="A596" s="8" t="s">
        <v>842</v>
      </c>
      <c r="B596" s="8" t="s">
        <v>6651</v>
      </c>
      <c r="C596" s="8" t="s">
        <v>6652</v>
      </c>
      <c r="D596" s="9">
        <v>8.796147967E9</v>
      </c>
      <c r="E596" s="8" t="s">
        <v>6653</v>
      </c>
      <c r="F596" s="8" t="s">
        <v>3550</v>
      </c>
      <c r="G596" s="8" t="s">
        <v>6654</v>
      </c>
      <c r="H596" s="8" t="s">
        <v>3479</v>
      </c>
      <c r="I596" s="9">
        <v>0.0</v>
      </c>
      <c r="J596" s="9">
        <v>1350.0</v>
      </c>
      <c r="K596" s="9">
        <v>1350.0</v>
      </c>
      <c r="L596" s="9">
        <v>1350.0</v>
      </c>
      <c r="M596" s="9">
        <v>1350.0</v>
      </c>
      <c r="N596" s="9">
        <v>0.0</v>
      </c>
      <c r="O596" s="9">
        <v>0.0</v>
      </c>
      <c r="P596" s="8" t="s">
        <v>3480</v>
      </c>
      <c r="Q596" s="8" t="s">
        <v>6655</v>
      </c>
      <c r="R596" s="8" t="s">
        <v>6656</v>
      </c>
    </row>
    <row r="597">
      <c r="A597" s="8" t="s">
        <v>871</v>
      </c>
      <c r="B597" s="8" t="s">
        <v>6657</v>
      </c>
      <c r="C597" s="8" t="s">
        <v>5416</v>
      </c>
      <c r="D597" s="9">
        <v>9.595737922E9</v>
      </c>
      <c r="E597" s="8" t="s">
        <v>5417</v>
      </c>
      <c r="F597" s="8" t="s">
        <v>3954</v>
      </c>
      <c r="G597" s="8" t="s">
        <v>3829</v>
      </c>
      <c r="H597" s="8" t="s">
        <v>3479</v>
      </c>
      <c r="I597" s="9">
        <v>0.0</v>
      </c>
      <c r="J597" s="9">
        <v>2745.0</v>
      </c>
      <c r="K597" s="9">
        <v>2745.0</v>
      </c>
      <c r="L597" s="9">
        <v>2745.0</v>
      </c>
      <c r="M597" s="9">
        <v>1181.0</v>
      </c>
      <c r="N597" s="9">
        <v>190.0</v>
      </c>
      <c r="O597" s="9">
        <v>1374.0</v>
      </c>
      <c r="P597" s="8" t="s">
        <v>3480</v>
      </c>
      <c r="Q597" s="8"/>
      <c r="R597" s="8"/>
    </row>
    <row r="598">
      <c r="A598" s="8" t="s">
        <v>872</v>
      </c>
      <c r="B598" s="8" t="s">
        <v>6658</v>
      </c>
      <c r="C598" s="8" t="s">
        <v>4198</v>
      </c>
      <c r="D598" s="9">
        <v>9.689373878E9</v>
      </c>
      <c r="E598" s="8" t="s">
        <v>4199</v>
      </c>
      <c r="F598" s="8" t="s">
        <v>3608</v>
      </c>
      <c r="G598" s="8" t="s">
        <v>6659</v>
      </c>
      <c r="H598" s="8" t="s">
        <v>3479</v>
      </c>
      <c r="I598" s="9">
        <v>0.0</v>
      </c>
      <c r="J598" s="9">
        <v>5044.0</v>
      </c>
      <c r="K598" s="9">
        <v>5044.0</v>
      </c>
      <c r="L598" s="9">
        <v>5044.0</v>
      </c>
      <c r="M598" s="9">
        <v>3531.0</v>
      </c>
      <c r="N598" s="9">
        <v>739.0</v>
      </c>
      <c r="O598" s="9">
        <v>774.0</v>
      </c>
      <c r="P598" s="8" t="s">
        <v>3480</v>
      </c>
      <c r="Q598" s="8" t="s">
        <v>4201</v>
      </c>
      <c r="R598" s="8" t="s">
        <v>4202</v>
      </c>
    </row>
    <row r="599">
      <c r="A599" s="8" t="s">
        <v>873</v>
      </c>
      <c r="B599" s="8" t="s">
        <v>6660</v>
      </c>
      <c r="C599" s="8" t="s">
        <v>5578</v>
      </c>
      <c r="D599" s="9">
        <v>9.511833496E9</v>
      </c>
      <c r="E599" s="8" t="s">
        <v>6661</v>
      </c>
      <c r="F599" s="8" t="s">
        <v>3608</v>
      </c>
      <c r="G599" s="8" t="s">
        <v>6662</v>
      </c>
      <c r="H599" s="8" t="s">
        <v>3479</v>
      </c>
      <c r="I599" s="9">
        <v>0.0</v>
      </c>
      <c r="J599" s="9">
        <v>529.0</v>
      </c>
      <c r="K599" s="9">
        <v>529.0</v>
      </c>
      <c r="L599" s="9">
        <v>529.0</v>
      </c>
      <c r="M599" s="9">
        <v>80.0</v>
      </c>
      <c r="N599" s="9">
        <v>0.0</v>
      </c>
      <c r="O599" s="9">
        <v>449.0</v>
      </c>
      <c r="P599" s="8" t="s">
        <v>3480</v>
      </c>
      <c r="Q599" s="8" t="s">
        <v>6663</v>
      </c>
      <c r="R599" s="8" t="s">
        <v>6664</v>
      </c>
    </row>
    <row r="600">
      <c r="A600" s="8" t="s">
        <v>844</v>
      </c>
      <c r="B600" s="8" t="s">
        <v>6665</v>
      </c>
      <c r="C600" s="8" t="s">
        <v>6666</v>
      </c>
      <c r="D600" s="9">
        <v>7.387093447E9</v>
      </c>
      <c r="E600" s="8" t="s">
        <v>6667</v>
      </c>
      <c r="F600" s="8" t="s">
        <v>3653</v>
      </c>
      <c r="G600" s="8" t="s">
        <v>6668</v>
      </c>
      <c r="H600" s="8" t="s">
        <v>3479</v>
      </c>
      <c r="I600" s="9">
        <v>0.0</v>
      </c>
      <c r="J600" s="9">
        <v>3617.0</v>
      </c>
      <c r="K600" s="9">
        <v>3617.0</v>
      </c>
      <c r="L600" s="9">
        <v>3617.0</v>
      </c>
      <c r="M600" s="9">
        <v>1779.0</v>
      </c>
      <c r="N600" s="9">
        <v>964.0</v>
      </c>
      <c r="O600" s="9">
        <v>874.0</v>
      </c>
      <c r="P600" s="8" t="s">
        <v>4183</v>
      </c>
      <c r="Q600" s="8" t="s">
        <v>6669</v>
      </c>
      <c r="R600" s="8" t="s">
        <v>6670</v>
      </c>
    </row>
    <row r="601">
      <c r="A601" s="8" t="s">
        <v>870</v>
      </c>
      <c r="B601" s="8" t="s">
        <v>6671</v>
      </c>
      <c r="C601" s="8" t="s">
        <v>6672</v>
      </c>
      <c r="D601" s="9">
        <v>9.289386984E9</v>
      </c>
      <c r="E601" s="8" t="s">
        <v>6673</v>
      </c>
      <c r="F601" s="8" t="s">
        <v>6674</v>
      </c>
      <c r="G601" s="8" t="s">
        <v>6675</v>
      </c>
      <c r="H601" s="8" t="s">
        <v>3479</v>
      </c>
      <c r="I601" s="9">
        <v>0.0</v>
      </c>
      <c r="J601" s="9">
        <v>3435.0</v>
      </c>
      <c r="K601" s="9">
        <v>3435.0</v>
      </c>
      <c r="L601" s="9">
        <v>3435.0</v>
      </c>
      <c r="M601" s="9">
        <v>1886.0</v>
      </c>
      <c r="N601" s="9">
        <v>775.0</v>
      </c>
      <c r="O601" s="9">
        <v>774.0</v>
      </c>
      <c r="P601" s="8" t="s">
        <v>3480</v>
      </c>
      <c r="Q601" s="8" t="s">
        <v>6676</v>
      </c>
      <c r="R601" s="8" t="s">
        <v>6677</v>
      </c>
    </row>
    <row r="602">
      <c r="A602" s="8" t="s">
        <v>875</v>
      </c>
      <c r="B602" s="8" t="s">
        <v>6678</v>
      </c>
      <c r="C602" s="8" t="s">
        <v>4204</v>
      </c>
      <c r="D602" s="9">
        <v>9.561466895E9</v>
      </c>
      <c r="E602" s="8" t="s">
        <v>4205</v>
      </c>
      <c r="F602" s="8" t="s">
        <v>6679</v>
      </c>
      <c r="G602" s="8" t="s">
        <v>6680</v>
      </c>
      <c r="H602" s="8" t="s">
        <v>3479</v>
      </c>
      <c r="I602" s="9">
        <v>0.0</v>
      </c>
      <c r="J602" s="9">
        <v>2370.0</v>
      </c>
      <c r="K602" s="9">
        <v>2370.0</v>
      </c>
      <c r="L602" s="9">
        <v>2370.0</v>
      </c>
      <c r="M602" s="9">
        <v>2145.0</v>
      </c>
      <c r="N602" s="9">
        <v>0.0</v>
      </c>
      <c r="O602" s="9">
        <v>225.0</v>
      </c>
      <c r="P602" s="8" t="s">
        <v>3480</v>
      </c>
      <c r="Q602" s="8"/>
      <c r="R602" s="8"/>
    </row>
    <row r="603">
      <c r="A603" s="8" t="s">
        <v>876</v>
      </c>
      <c r="B603" s="8" t="s">
        <v>6681</v>
      </c>
      <c r="C603" s="8" t="s">
        <v>6682</v>
      </c>
      <c r="D603" s="9">
        <v>9.798209244E9</v>
      </c>
      <c r="E603" s="8" t="s">
        <v>6683</v>
      </c>
      <c r="F603" s="8" t="s">
        <v>6684</v>
      </c>
      <c r="G603" s="8" t="s">
        <v>6685</v>
      </c>
      <c r="H603" s="8" t="s">
        <v>3479</v>
      </c>
      <c r="I603" s="9">
        <v>0.0</v>
      </c>
      <c r="J603" s="9">
        <v>1268.0</v>
      </c>
      <c r="K603" s="9">
        <v>1268.0</v>
      </c>
      <c r="L603" s="9">
        <v>1268.0</v>
      </c>
      <c r="M603" s="9">
        <v>80.0</v>
      </c>
      <c r="N603" s="9">
        <v>739.0</v>
      </c>
      <c r="O603" s="9">
        <v>449.0</v>
      </c>
      <c r="P603" s="8" t="s">
        <v>3480</v>
      </c>
      <c r="Q603" s="8" t="s">
        <v>6686</v>
      </c>
      <c r="R603" s="8" t="s">
        <v>6687</v>
      </c>
    </row>
    <row r="604">
      <c r="A604" s="8" t="s">
        <v>731</v>
      </c>
      <c r="B604" s="8" t="s">
        <v>6688</v>
      </c>
      <c r="C604" s="8" t="s">
        <v>5620</v>
      </c>
      <c r="D604" s="9">
        <v>7.083009561E9</v>
      </c>
      <c r="E604" s="8" t="s">
        <v>5621</v>
      </c>
      <c r="F604" s="8" t="s">
        <v>3608</v>
      </c>
      <c r="G604" s="8" t="s">
        <v>6689</v>
      </c>
      <c r="H604" s="8" t="s">
        <v>3479</v>
      </c>
      <c r="I604" s="9">
        <v>0.0</v>
      </c>
      <c r="J604" s="9">
        <v>1412.0</v>
      </c>
      <c r="K604" s="9">
        <v>1412.0</v>
      </c>
      <c r="L604" s="9">
        <v>1412.0</v>
      </c>
      <c r="M604" s="9">
        <v>233.0</v>
      </c>
      <c r="N604" s="9">
        <v>730.0</v>
      </c>
      <c r="O604" s="9">
        <v>449.0</v>
      </c>
      <c r="P604" s="8" t="s">
        <v>3480</v>
      </c>
      <c r="Q604" s="8" t="s">
        <v>5623</v>
      </c>
      <c r="R604" s="8" t="s">
        <v>5624</v>
      </c>
    </row>
    <row r="605">
      <c r="A605" s="8" t="s">
        <v>733</v>
      </c>
      <c r="B605" s="8" t="s">
        <v>6690</v>
      </c>
      <c r="C605" s="8" t="s">
        <v>6691</v>
      </c>
      <c r="D605" s="9">
        <v>9.423578589E9</v>
      </c>
      <c r="E605" s="8" t="s">
        <v>6692</v>
      </c>
      <c r="F605" s="8" t="s">
        <v>5613</v>
      </c>
      <c r="G605" s="8" t="s">
        <v>6693</v>
      </c>
      <c r="H605" s="8" t="s">
        <v>3479</v>
      </c>
      <c r="I605" s="9">
        <v>0.0</v>
      </c>
      <c r="J605" s="9">
        <v>1889.0</v>
      </c>
      <c r="K605" s="9">
        <v>1889.0</v>
      </c>
      <c r="L605" s="9">
        <v>1889.0</v>
      </c>
      <c r="M605" s="9">
        <v>635.0</v>
      </c>
      <c r="N605" s="9">
        <v>730.0</v>
      </c>
      <c r="O605" s="9">
        <v>524.0</v>
      </c>
      <c r="P605" s="8" t="s">
        <v>3544</v>
      </c>
      <c r="Q605" s="8"/>
      <c r="R605" s="8"/>
    </row>
    <row r="606">
      <c r="A606" s="8" t="s">
        <v>734</v>
      </c>
      <c r="B606" s="8" t="s">
        <v>6694</v>
      </c>
      <c r="C606" s="8" t="s">
        <v>6695</v>
      </c>
      <c r="D606" s="9">
        <v>8.871596446E9</v>
      </c>
      <c r="E606" s="8" t="s">
        <v>6696</v>
      </c>
      <c r="F606" s="8" t="s">
        <v>4373</v>
      </c>
      <c r="G606" s="8" t="s">
        <v>6697</v>
      </c>
      <c r="H606" s="8" t="s">
        <v>3479</v>
      </c>
      <c r="I606" s="9">
        <v>0.0</v>
      </c>
      <c r="J606" s="9">
        <v>2213.0</v>
      </c>
      <c r="K606" s="9">
        <v>2213.0</v>
      </c>
      <c r="L606" s="9">
        <v>2213.0</v>
      </c>
      <c r="M606" s="9">
        <v>515.0</v>
      </c>
      <c r="N606" s="9">
        <v>849.0</v>
      </c>
      <c r="O606" s="9">
        <v>849.0</v>
      </c>
      <c r="P606" s="8" t="s">
        <v>3544</v>
      </c>
      <c r="Q606" s="8" t="s">
        <v>6698</v>
      </c>
      <c r="R606" s="8" t="s">
        <v>6699</v>
      </c>
    </row>
    <row r="607">
      <c r="A607" s="8" t="s">
        <v>732</v>
      </c>
      <c r="B607" s="8" t="s">
        <v>6700</v>
      </c>
      <c r="C607" s="8" t="s">
        <v>6701</v>
      </c>
      <c r="D607" s="9">
        <v>8.30881265E9</v>
      </c>
      <c r="E607" s="8" t="s">
        <v>6702</v>
      </c>
      <c r="F607" s="8" t="s">
        <v>3523</v>
      </c>
      <c r="G607" s="8" t="s">
        <v>6703</v>
      </c>
      <c r="H607" s="8" t="s">
        <v>3479</v>
      </c>
      <c r="I607" s="9">
        <v>0.0</v>
      </c>
      <c r="J607" s="9">
        <v>1414.0</v>
      </c>
      <c r="K607" s="9">
        <v>1414.0</v>
      </c>
      <c r="L607" s="9">
        <v>1414.0</v>
      </c>
      <c r="M607" s="9">
        <v>160.0</v>
      </c>
      <c r="N607" s="9">
        <v>730.0</v>
      </c>
      <c r="O607" s="9">
        <v>524.0</v>
      </c>
      <c r="P607" s="8" t="s">
        <v>3480</v>
      </c>
      <c r="Q607" s="8" t="s">
        <v>4241</v>
      </c>
      <c r="R607" s="8" t="s">
        <v>6704</v>
      </c>
    </row>
    <row r="608">
      <c r="A608" s="8" t="s">
        <v>845</v>
      </c>
      <c r="B608" s="8" t="s">
        <v>6705</v>
      </c>
      <c r="C608" s="8" t="s">
        <v>6706</v>
      </c>
      <c r="D608" s="9">
        <v>9.16891211E9</v>
      </c>
      <c r="E608" s="8" t="s">
        <v>6707</v>
      </c>
      <c r="F608" s="8" t="s">
        <v>3601</v>
      </c>
      <c r="G608" s="8" t="s">
        <v>6708</v>
      </c>
      <c r="H608" s="8" t="s">
        <v>3479</v>
      </c>
      <c r="I608" s="9">
        <v>0.0</v>
      </c>
      <c r="J608" s="9">
        <v>1259.0</v>
      </c>
      <c r="K608" s="9">
        <v>1259.0</v>
      </c>
      <c r="L608" s="9">
        <v>1259.0</v>
      </c>
      <c r="M608" s="9">
        <v>80.0</v>
      </c>
      <c r="N608" s="9">
        <v>730.0</v>
      </c>
      <c r="O608" s="9">
        <v>449.0</v>
      </c>
      <c r="P608" s="8" t="s">
        <v>4183</v>
      </c>
      <c r="Q608" s="8" t="s">
        <v>6709</v>
      </c>
      <c r="R608" s="8" t="s">
        <v>6710</v>
      </c>
    </row>
    <row r="609">
      <c r="A609" s="8" t="s">
        <v>735</v>
      </c>
      <c r="B609" s="8" t="s">
        <v>6711</v>
      </c>
      <c r="C609" s="8" t="s">
        <v>6712</v>
      </c>
      <c r="D609" s="9">
        <v>9.881889367E9</v>
      </c>
      <c r="E609" s="8" t="s">
        <v>6713</v>
      </c>
      <c r="F609" s="8" t="s">
        <v>3486</v>
      </c>
      <c r="G609" s="8" t="s">
        <v>6714</v>
      </c>
      <c r="H609" s="8" t="s">
        <v>3479</v>
      </c>
      <c r="I609" s="9">
        <v>0.0</v>
      </c>
      <c r="J609" s="9">
        <v>1500.0</v>
      </c>
      <c r="K609" s="9">
        <v>1500.0</v>
      </c>
      <c r="L609" s="9">
        <v>1500.0</v>
      </c>
      <c r="M609" s="9">
        <v>1500.0</v>
      </c>
      <c r="N609" s="9">
        <v>0.0</v>
      </c>
      <c r="O609" s="9">
        <v>0.0</v>
      </c>
      <c r="P609" s="8" t="s">
        <v>3480</v>
      </c>
      <c r="Q609" s="8" t="s">
        <v>6715</v>
      </c>
      <c r="R609" s="8" t="s">
        <v>6716</v>
      </c>
    </row>
    <row r="610">
      <c r="A610" s="8" t="s">
        <v>736</v>
      </c>
      <c r="B610" s="8" t="s">
        <v>6717</v>
      </c>
      <c r="C610" s="8" t="s">
        <v>6718</v>
      </c>
      <c r="D610" s="9">
        <v>9.067325322E9</v>
      </c>
      <c r="E610" s="8" t="s">
        <v>6719</v>
      </c>
      <c r="F610" s="8" t="s">
        <v>4252</v>
      </c>
      <c r="G610" s="8" t="s">
        <v>6720</v>
      </c>
      <c r="H610" s="8" t="s">
        <v>3479</v>
      </c>
      <c r="I610" s="9">
        <v>0.0</v>
      </c>
      <c r="J610" s="9">
        <v>2843.0</v>
      </c>
      <c r="K610" s="9">
        <v>2843.0</v>
      </c>
      <c r="L610" s="9">
        <v>2843.0</v>
      </c>
      <c r="M610" s="9">
        <v>2468.0</v>
      </c>
      <c r="N610" s="9">
        <v>0.0</v>
      </c>
      <c r="O610" s="9">
        <v>375.0</v>
      </c>
      <c r="P610" s="8" t="s">
        <v>3480</v>
      </c>
      <c r="Q610" s="8"/>
      <c r="R610" s="8"/>
    </row>
    <row r="611">
      <c r="A611" s="8" t="s">
        <v>737</v>
      </c>
      <c r="B611" s="8" t="s">
        <v>6721</v>
      </c>
      <c r="C611" s="8" t="s">
        <v>6722</v>
      </c>
      <c r="D611" s="9">
        <v>9.765490093E9</v>
      </c>
      <c r="E611" s="8" t="s">
        <v>6723</v>
      </c>
      <c r="F611" s="8" t="s">
        <v>4239</v>
      </c>
      <c r="G611" s="8" t="s">
        <v>6724</v>
      </c>
      <c r="H611" s="8" t="s">
        <v>3479</v>
      </c>
      <c r="I611" s="9">
        <v>0.0</v>
      </c>
      <c r="J611" s="9">
        <v>2139.0</v>
      </c>
      <c r="K611" s="9">
        <v>2139.0</v>
      </c>
      <c r="L611" s="9">
        <v>2139.0</v>
      </c>
      <c r="M611" s="9">
        <v>885.0</v>
      </c>
      <c r="N611" s="9">
        <v>730.0</v>
      </c>
      <c r="O611" s="9">
        <v>524.0</v>
      </c>
      <c r="P611" s="8" t="s">
        <v>3544</v>
      </c>
      <c r="Q611" s="8" t="s">
        <v>6725</v>
      </c>
      <c r="R611" s="8" t="s">
        <v>6726</v>
      </c>
    </row>
    <row r="612">
      <c r="A612" s="8" t="s">
        <v>738</v>
      </c>
      <c r="B612" s="8" t="s">
        <v>6727</v>
      </c>
      <c r="C612" s="8" t="s">
        <v>6728</v>
      </c>
      <c r="D612" s="9">
        <v>7.774006151E9</v>
      </c>
      <c r="E612" s="8" t="s">
        <v>6729</v>
      </c>
      <c r="F612" s="8" t="s">
        <v>3608</v>
      </c>
      <c r="G612" s="8" t="s">
        <v>6730</v>
      </c>
      <c r="H612" s="8" t="s">
        <v>3479</v>
      </c>
      <c r="I612" s="9">
        <v>0.0</v>
      </c>
      <c r="J612" s="9">
        <v>1259.0</v>
      </c>
      <c r="K612" s="9">
        <v>1259.0</v>
      </c>
      <c r="L612" s="9">
        <v>1259.0</v>
      </c>
      <c r="M612" s="9">
        <v>80.0</v>
      </c>
      <c r="N612" s="9">
        <v>730.0</v>
      </c>
      <c r="O612" s="9">
        <v>449.0</v>
      </c>
      <c r="P612" s="8" t="s">
        <v>3480</v>
      </c>
      <c r="Q612" s="8"/>
      <c r="R612" s="8"/>
    </row>
    <row r="613">
      <c r="A613" s="8" t="s">
        <v>739</v>
      </c>
      <c r="B613" s="8" t="s">
        <v>6731</v>
      </c>
      <c r="C613" s="8" t="s">
        <v>5177</v>
      </c>
      <c r="D613" s="9">
        <v>9.028571891E9</v>
      </c>
      <c r="E613" s="8" t="s">
        <v>6732</v>
      </c>
      <c r="F613" s="8" t="s">
        <v>3608</v>
      </c>
      <c r="G613" s="8" t="s">
        <v>6733</v>
      </c>
      <c r="H613" s="8" t="s">
        <v>3479</v>
      </c>
      <c r="I613" s="9">
        <v>0.0</v>
      </c>
      <c r="J613" s="9">
        <v>2015.0</v>
      </c>
      <c r="K613" s="9">
        <v>2015.0</v>
      </c>
      <c r="L613" s="9">
        <v>2015.0</v>
      </c>
      <c r="M613" s="9">
        <v>836.0</v>
      </c>
      <c r="N613" s="9">
        <v>730.0</v>
      </c>
      <c r="O613" s="9">
        <v>449.0</v>
      </c>
      <c r="P613" s="8" t="s">
        <v>3480</v>
      </c>
      <c r="Q613" s="8" t="s">
        <v>6734</v>
      </c>
      <c r="R613" s="8" t="s">
        <v>6735</v>
      </c>
    </row>
    <row r="614">
      <c r="A614" s="8" t="s">
        <v>740</v>
      </c>
      <c r="B614" s="8" t="s">
        <v>6736</v>
      </c>
      <c r="C614" s="8" t="s">
        <v>4270</v>
      </c>
      <c r="D614" s="9">
        <v>9.175851835E9</v>
      </c>
      <c r="E614" s="8" t="s">
        <v>6737</v>
      </c>
      <c r="F614" s="8" t="s">
        <v>3977</v>
      </c>
      <c r="G614" s="8" t="s">
        <v>6738</v>
      </c>
      <c r="H614" s="8" t="s">
        <v>3479</v>
      </c>
      <c r="I614" s="9">
        <v>0.0</v>
      </c>
      <c r="J614" s="9">
        <v>1583.0</v>
      </c>
      <c r="K614" s="9">
        <v>1583.0</v>
      </c>
      <c r="L614" s="9">
        <v>1583.0</v>
      </c>
      <c r="M614" s="9">
        <v>324.0</v>
      </c>
      <c r="N614" s="9">
        <v>730.0</v>
      </c>
      <c r="O614" s="9">
        <v>529.0</v>
      </c>
      <c r="P614" s="8" t="s">
        <v>3480</v>
      </c>
      <c r="Q614" s="8" t="s">
        <v>6739</v>
      </c>
      <c r="R614" s="8" t="s">
        <v>6740</v>
      </c>
    </row>
    <row r="615">
      <c r="A615" s="8" t="s">
        <v>874</v>
      </c>
      <c r="B615" s="8" t="s">
        <v>6741</v>
      </c>
      <c r="C615" s="8" t="s">
        <v>6742</v>
      </c>
      <c r="D615" s="9">
        <v>8.600108711E9</v>
      </c>
      <c r="E615" s="8" t="s">
        <v>6743</v>
      </c>
      <c r="F615" s="8" t="s">
        <v>6744</v>
      </c>
      <c r="G615" s="8" t="s">
        <v>6745</v>
      </c>
      <c r="H615" s="8" t="s">
        <v>3479</v>
      </c>
      <c r="I615" s="9">
        <v>0.0</v>
      </c>
      <c r="J615" s="9">
        <v>2819.0</v>
      </c>
      <c r="K615" s="9">
        <v>2819.0</v>
      </c>
      <c r="L615" s="9">
        <v>2819.0</v>
      </c>
      <c r="M615" s="9">
        <v>2444.0</v>
      </c>
      <c r="N615" s="9">
        <v>0.0</v>
      </c>
      <c r="O615" s="9">
        <v>375.0</v>
      </c>
      <c r="P615" s="8" t="s">
        <v>3519</v>
      </c>
      <c r="Q615" s="8" t="s">
        <v>6746</v>
      </c>
      <c r="R615" s="8" t="s">
        <v>6747</v>
      </c>
    </row>
    <row r="616">
      <c r="A616" s="8" t="s">
        <v>742</v>
      </c>
      <c r="B616" s="8" t="s">
        <v>6748</v>
      </c>
      <c r="C616" s="8" t="s">
        <v>6749</v>
      </c>
      <c r="D616" s="9">
        <v>9.746902446E9</v>
      </c>
      <c r="E616" s="8" t="s">
        <v>6750</v>
      </c>
      <c r="F616" s="8" t="s">
        <v>4436</v>
      </c>
      <c r="G616" s="8" t="s">
        <v>6751</v>
      </c>
      <c r="H616" s="8" t="s">
        <v>3479</v>
      </c>
      <c r="I616" s="9">
        <v>0.0</v>
      </c>
      <c r="J616" s="9">
        <v>529.0</v>
      </c>
      <c r="K616" s="9">
        <v>529.0</v>
      </c>
      <c r="L616" s="9">
        <v>529.0</v>
      </c>
      <c r="M616" s="9">
        <v>80.0</v>
      </c>
      <c r="N616" s="9">
        <v>0.0</v>
      </c>
      <c r="O616" s="9">
        <v>449.0</v>
      </c>
      <c r="P616" s="8" t="s">
        <v>3480</v>
      </c>
      <c r="Q616" s="8"/>
      <c r="R616" s="8" t="s">
        <v>6752</v>
      </c>
    </row>
    <row r="617">
      <c r="A617" s="8" t="s">
        <v>823</v>
      </c>
      <c r="B617" s="8" t="s">
        <v>6753</v>
      </c>
      <c r="C617" s="8" t="s">
        <v>6754</v>
      </c>
      <c r="D617" s="9">
        <v>7.420035795E9</v>
      </c>
      <c r="E617" s="8" t="s">
        <v>6755</v>
      </c>
      <c r="F617" s="8" t="s">
        <v>3721</v>
      </c>
      <c r="G617" s="8" t="s">
        <v>4211</v>
      </c>
      <c r="H617" s="8" t="s">
        <v>3479</v>
      </c>
      <c r="I617" s="9">
        <v>0.0</v>
      </c>
      <c r="J617" s="9">
        <v>977.0</v>
      </c>
      <c r="K617" s="9">
        <v>977.0</v>
      </c>
      <c r="L617" s="9">
        <v>977.0</v>
      </c>
      <c r="M617" s="9">
        <v>897.0</v>
      </c>
      <c r="N617" s="9">
        <v>0.0</v>
      </c>
      <c r="O617" s="9">
        <v>80.0</v>
      </c>
      <c r="P617" s="8" t="s">
        <v>3480</v>
      </c>
      <c r="Q617" s="8" t="s">
        <v>6756</v>
      </c>
      <c r="R617" s="8" t="s">
        <v>6757</v>
      </c>
    </row>
    <row r="618">
      <c r="A618" s="8" t="s">
        <v>877</v>
      </c>
      <c r="B618" s="8" t="s">
        <v>6758</v>
      </c>
      <c r="C618" s="8" t="s">
        <v>6759</v>
      </c>
      <c r="D618" s="9">
        <v>9.3256184E9</v>
      </c>
      <c r="E618" s="8" t="s">
        <v>6760</v>
      </c>
      <c r="F618" s="8" t="s">
        <v>3576</v>
      </c>
      <c r="G618" s="8" t="s">
        <v>6761</v>
      </c>
      <c r="H618" s="8" t="s">
        <v>6762</v>
      </c>
      <c r="I618" s="9">
        <v>0.0</v>
      </c>
      <c r="J618" s="9">
        <v>8200.0</v>
      </c>
      <c r="K618" s="9">
        <v>8385.0</v>
      </c>
      <c r="L618" s="9">
        <v>8200.0</v>
      </c>
      <c r="M618" s="9">
        <v>6221.0</v>
      </c>
      <c r="N618" s="9">
        <v>965.0</v>
      </c>
      <c r="O618" s="9">
        <v>1199.0</v>
      </c>
      <c r="P618" s="8" t="s">
        <v>3480</v>
      </c>
      <c r="Q618" s="8" t="s">
        <v>6763</v>
      </c>
      <c r="R618" s="8" t="s">
        <v>6764</v>
      </c>
    </row>
    <row r="619">
      <c r="A619" s="8" t="s">
        <v>743</v>
      </c>
      <c r="B619" s="8" t="s">
        <v>6765</v>
      </c>
      <c r="C619" s="8" t="s">
        <v>6766</v>
      </c>
      <c r="D619" s="9">
        <v>9.970665252E9</v>
      </c>
      <c r="E619" s="8" t="s">
        <v>6767</v>
      </c>
      <c r="F619" s="8" t="s">
        <v>3523</v>
      </c>
      <c r="G619" s="8" t="s">
        <v>6768</v>
      </c>
      <c r="H619" s="8" t="s">
        <v>3479</v>
      </c>
      <c r="I619" s="9">
        <v>0.0</v>
      </c>
      <c r="J619" s="9">
        <v>1494.0</v>
      </c>
      <c r="K619" s="9">
        <v>1494.0</v>
      </c>
      <c r="L619" s="9">
        <v>1494.0</v>
      </c>
      <c r="M619" s="9">
        <v>160.0</v>
      </c>
      <c r="N619" s="9">
        <v>730.0</v>
      </c>
      <c r="O619" s="9">
        <v>604.0</v>
      </c>
      <c r="P619" s="8" t="s">
        <v>3480</v>
      </c>
      <c r="Q619" s="8"/>
      <c r="R619" s="8"/>
    </row>
    <row r="620">
      <c r="A620" s="8" t="s">
        <v>741</v>
      </c>
      <c r="B620" s="8" t="s">
        <v>6769</v>
      </c>
      <c r="C620" s="8" t="s">
        <v>6770</v>
      </c>
      <c r="D620" s="9">
        <v>9.689907628E9</v>
      </c>
      <c r="E620" s="8" t="s">
        <v>6771</v>
      </c>
      <c r="F620" s="8" t="s">
        <v>3498</v>
      </c>
      <c r="G620" s="8" t="s">
        <v>6772</v>
      </c>
      <c r="H620" s="8" t="s">
        <v>6773</v>
      </c>
      <c r="I620" s="9">
        <v>0.0</v>
      </c>
      <c r="J620" s="9">
        <v>2000.0</v>
      </c>
      <c r="K620" s="9">
        <v>2154.0</v>
      </c>
      <c r="L620" s="9">
        <v>2000.0</v>
      </c>
      <c r="M620" s="9">
        <v>900.0</v>
      </c>
      <c r="N620" s="9">
        <v>730.0</v>
      </c>
      <c r="O620" s="9">
        <v>524.0</v>
      </c>
      <c r="P620" s="8" t="s">
        <v>3519</v>
      </c>
      <c r="Q620" s="8" t="s">
        <v>6774</v>
      </c>
      <c r="R620" s="8" t="s">
        <v>6775</v>
      </c>
    </row>
    <row r="621">
      <c r="A621" s="8" t="s">
        <v>825</v>
      </c>
      <c r="B621" s="8" t="s">
        <v>6776</v>
      </c>
      <c r="C621" s="8" t="s">
        <v>6777</v>
      </c>
      <c r="D621" s="9">
        <v>7.038982545E9</v>
      </c>
      <c r="E621" s="8" t="s">
        <v>6778</v>
      </c>
      <c r="F621" s="8" t="s">
        <v>6779</v>
      </c>
      <c r="G621" s="8" t="s">
        <v>3494</v>
      </c>
      <c r="H621" s="8" t="s">
        <v>3479</v>
      </c>
      <c r="I621" s="9">
        <v>0.0</v>
      </c>
      <c r="J621" s="9">
        <v>1698.0</v>
      </c>
      <c r="K621" s="9">
        <v>1698.0</v>
      </c>
      <c r="L621" s="9">
        <v>1698.0</v>
      </c>
      <c r="M621" s="9">
        <v>315.0</v>
      </c>
      <c r="N621" s="9">
        <v>784.0</v>
      </c>
      <c r="O621" s="9">
        <v>599.0</v>
      </c>
      <c r="P621" s="8" t="s">
        <v>3519</v>
      </c>
      <c r="Q621" s="8" t="s">
        <v>6780</v>
      </c>
      <c r="R621" s="8" t="s">
        <v>6781</v>
      </c>
    </row>
    <row r="622">
      <c r="A622" s="8" t="s">
        <v>824</v>
      </c>
      <c r="B622" s="8" t="s">
        <v>6782</v>
      </c>
      <c r="C622" s="8" t="s">
        <v>6783</v>
      </c>
      <c r="D622" s="9">
        <v>8.788219687E9</v>
      </c>
      <c r="E622" s="8" t="s">
        <v>6784</v>
      </c>
      <c r="F622" s="8" t="s">
        <v>3653</v>
      </c>
      <c r="G622" s="8" t="s">
        <v>6785</v>
      </c>
      <c r="H622" s="8" t="s">
        <v>3479</v>
      </c>
      <c r="I622" s="9">
        <v>0.0</v>
      </c>
      <c r="J622" s="9">
        <v>1538.0</v>
      </c>
      <c r="K622" s="9">
        <v>1538.0</v>
      </c>
      <c r="L622" s="9">
        <v>1538.0</v>
      </c>
      <c r="M622" s="9">
        <v>225.0</v>
      </c>
      <c r="N622" s="9">
        <v>784.0</v>
      </c>
      <c r="O622" s="9">
        <v>529.0</v>
      </c>
      <c r="P622" s="8" t="s">
        <v>3480</v>
      </c>
      <c r="Q622" s="8" t="s">
        <v>6786</v>
      </c>
      <c r="R622" s="8" t="s">
        <v>6787</v>
      </c>
    </row>
    <row r="623">
      <c r="A623" s="8" t="s">
        <v>827</v>
      </c>
      <c r="B623" s="8" t="s">
        <v>6788</v>
      </c>
      <c r="C623" s="8" t="s">
        <v>6789</v>
      </c>
      <c r="D623" s="9">
        <v>9.922800811E9</v>
      </c>
      <c r="E623" s="8" t="s">
        <v>6790</v>
      </c>
      <c r="F623" s="8" t="s">
        <v>3653</v>
      </c>
      <c r="G623" s="8" t="s">
        <v>6791</v>
      </c>
      <c r="H623" s="8" t="s">
        <v>3479</v>
      </c>
      <c r="I623" s="9">
        <v>0.0</v>
      </c>
      <c r="J623" s="9">
        <v>750.0</v>
      </c>
      <c r="K623" s="9">
        <v>750.0</v>
      </c>
      <c r="L623" s="9">
        <v>750.0</v>
      </c>
      <c r="M623" s="9">
        <v>209.0</v>
      </c>
      <c r="N623" s="9">
        <v>168.0</v>
      </c>
      <c r="O623" s="9">
        <v>373.0</v>
      </c>
      <c r="P623" s="8" t="s">
        <v>3480</v>
      </c>
      <c r="Q623" s="8"/>
      <c r="R623" s="8"/>
    </row>
    <row r="624">
      <c r="A624" s="8" t="s">
        <v>847</v>
      </c>
      <c r="B624" s="8" t="s">
        <v>6792</v>
      </c>
      <c r="C624" s="8" t="s">
        <v>3969</v>
      </c>
      <c r="D624" s="9">
        <v>9.172992292E9</v>
      </c>
      <c r="E624" s="8" t="s">
        <v>3970</v>
      </c>
      <c r="F624" s="8" t="s">
        <v>3908</v>
      </c>
      <c r="G624" s="8" t="s">
        <v>6793</v>
      </c>
      <c r="H624" s="8" t="s">
        <v>3479</v>
      </c>
      <c r="I624" s="9">
        <v>0.0</v>
      </c>
      <c r="J624" s="9">
        <v>1183.0</v>
      </c>
      <c r="K624" s="9">
        <v>1183.0</v>
      </c>
      <c r="L624" s="9">
        <v>1183.0</v>
      </c>
      <c r="M624" s="9">
        <v>530.0</v>
      </c>
      <c r="N624" s="9">
        <v>128.0</v>
      </c>
      <c r="O624" s="9">
        <v>525.0</v>
      </c>
      <c r="P624" s="8" t="s">
        <v>3480</v>
      </c>
      <c r="Q624" s="8" t="s">
        <v>3972</v>
      </c>
      <c r="R624" s="8" t="s">
        <v>3973</v>
      </c>
    </row>
    <row r="625">
      <c r="A625" s="8" t="s">
        <v>828</v>
      </c>
      <c r="B625" s="8" t="s">
        <v>6794</v>
      </c>
      <c r="C625" s="8" t="s">
        <v>6795</v>
      </c>
      <c r="D625" s="9">
        <v>9.922939367E9</v>
      </c>
      <c r="E625" s="8" t="s">
        <v>6796</v>
      </c>
      <c r="F625" s="8" t="s">
        <v>5179</v>
      </c>
      <c r="G625" s="8" t="s">
        <v>6797</v>
      </c>
      <c r="H625" s="8" t="s">
        <v>3479</v>
      </c>
      <c r="I625" s="9">
        <v>0.0</v>
      </c>
      <c r="J625" s="9">
        <v>529.0</v>
      </c>
      <c r="K625" s="9">
        <v>529.0</v>
      </c>
      <c r="L625" s="9">
        <v>529.0</v>
      </c>
      <c r="M625" s="9">
        <v>80.0</v>
      </c>
      <c r="N625" s="9">
        <v>0.0</v>
      </c>
      <c r="O625" s="9">
        <v>449.0</v>
      </c>
      <c r="P625" s="8" t="s">
        <v>3480</v>
      </c>
      <c r="Q625" s="8"/>
      <c r="R625" s="8"/>
    </row>
    <row r="626">
      <c r="A626" s="8" t="s">
        <v>878</v>
      </c>
      <c r="B626" s="8" t="s">
        <v>6798</v>
      </c>
      <c r="C626" s="8" t="s">
        <v>6799</v>
      </c>
      <c r="D626" s="9">
        <v>9.960036481E9</v>
      </c>
      <c r="E626" s="8" t="s">
        <v>6800</v>
      </c>
      <c r="F626" s="8" t="s">
        <v>4558</v>
      </c>
      <c r="G626" s="8" t="s">
        <v>6801</v>
      </c>
      <c r="H626" s="8" t="s">
        <v>3479</v>
      </c>
      <c r="I626" s="9">
        <v>0.0</v>
      </c>
      <c r="J626" s="9">
        <v>1699.0</v>
      </c>
      <c r="K626" s="9">
        <v>1699.0</v>
      </c>
      <c r="L626" s="9">
        <v>1699.0</v>
      </c>
      <c r="M626" s="9">
        <v>520.0</v>
      </c>
      <c r="N626" s="9">
        <v>730.0</v>
      </c>
      <c r="O626" s="9">
        <v>449.0</v>
      </c>
      <c r="P626" s="8" t="s">
        <v>3480</v>
      </c>
      <c r="Q626" s="8"/>
      <c r="R626" s="8"/>
    </row>
    <row r="627">
      <c r="A627" s="8" t="s">
        <v>881</v>
      </c>
      <c r="B627" s="8" t="s">
        <v>6802</v>
      </c>
      <c r="C627" s="8" t="s">
        <v>6803</v>
      </c>
      <c r="D627" s="9">
        <v>7.27639533E9</v>
      </c>
      <c r="E627" s="8" t="s">
        <v>6804</v>
      </c>
      <c r="F627" s="8" t="s">
        <v>3564</v>
      </c>
      <c r="G627" s="8" t="s">
        <v>6805</v>
      </c>
      <c r="H627" s="8" t="s">
        <v>3479</v>
      </c>
      <c r="I627" s="9">
        <v>0.0</v>
      </c>
      <c r="J627" s="9">
        <v>1812.0</v>
      </c>
      <c r="K627" s="9">
        <v>1812.0</v>
      </c>
      <c r="L627" s="9">
        <v>1812.0</v>
      </c>
      <c r="M627" s="9">
        <v>1363.0</v>
      </c>
      <c r="N627" s="9">
        <v>0.0</v>
      </c>
      <c r="O627" s="9">
        <v>449.0</v>
      </c>
      <c r="P627" s="8" t="s">
        <v>3480</v>
      </c>
      <c r="Q627" s="8"/>
      <c r="R627" s="8"/>
    </row>
    <row r="628">
      <c r="A628" s="8" t="s">
        <v>846</v>
      </c>
      <c r="B628" s="8" t="s">
        <v>6806</v>
      </c>
      <c r="C628" s="8" t="s">
        <v>6807</v>
      </c>
      <c r="D628" s="9">
        <v>9.595183679E9</v>
      </c>
      <c r="E628" s="8" t="s">
        <v>6808</v>
      </c>
      <c r="F628" s="8" t="s">
        <v>3653</v>
      </c>
      <c r="G628" s="8" t="s">
        <v>6809</v>
      </c>
      <c r="H628" s="8" t="s">
        <v>3479</v>
      </c>
      <c r="I628" s="9">
        <v>0.0</v>
      </c>
      <c r="J628" s="9">
        <v>1650.0</v>
      </c>
      <c r="K628" s="9">
        <v>1650.0</v>
      </c>
      <c r="L628" s="9">
        <v>1650.0</v>
      </c>
      <c r="M628" s="9">
        <v>1650.0</v>
      </c>
      <c r="N628" s="9">
        <v>0.0</v>
      </c>
      <c r="O628" s="9">
        <v>0.0</v>
      </c>
      <c r="P628" s="8" t="s">
        <v>3480</v>
      </c>
      <c r="Q628" s="8" t="s">
        <v>6810</v>
      </c>
      <c r="R628" s="8" t="s">
        <v>6811</v>
      </c>
    </row>
    <row r="629">
      <c r="A629" s="8" t="s">
        <v>826</v>
      </c>
      <c r="B629" s="8" t="s">
        <v>6812</v>
      </c>
      <c r="C629" s="8" t="s">
        <v>6813</v>
      </c>
      <c r="D629" s="9">
        <v>8.879350508E9</v>
      </c>
      <c r="E629" s="8" t="s">
        <v>6814</v>
      </c>
      <c r="F629" s="8" t="s">
        <v>3753</v>
      </c>
      <c r="G629" s="8" t="s">
        <v>6815</v>
      </c>
      <c r="H629" s="8" t="s">
        <v>3479</v>
      </c>
      <c r="I629" s="9">
        <v>0.0</v>
      </c>
      <c r="J629" s="9">
        <v>1879.0</v>
      </c>
      <c r="K629" s="9">
        <v>1879.0</v>
      </c>
      <c r="L629" s="9">
        <v>1879.0</v>
      </c>
      <c r="M629" s="9">
        <v>1430.0</v>
      </c>
      <c r="N629" s="9">
        <v>0.0</v>
      </c>
      <c r="O629" s="9">
        <v>449.0</v>
      </c>
      <c r="P629" s="8" t="s">
        <v>6816</v>
      </c>
      <c r="Q629" s="8"/>
      <c r="R629" s="8"/>
    </row>
    <row r="630">
      <c r="A630" s="8" t="s">
        <v>879</v>
      </c>
      <c r="B630" s="8" t="s">
        <v>6817</v>
      </c>
      <c r="C630" s="8" t="s">
        <v>3668</v>
      </c>
      <c r="D630" s="9">
        <v>9.175645184E9</v>
      </c>
      <c r="E630" s="8" t="s">
        <v>3669</v>
      </c>
      <c r="F630" s="8" t="s">
        <v>3670</v>
      </c>
      <c r="G630" s="8" t="s">
        <v>6818</v>
      </c>
      <c r="H630" s="8" t="s">
        <v>3479</v>
      </c>
      <c r="I630" s="9">
        <v>0.0</v>
      </c>
      <c r="J630" s="9">
        <v>1248.0</v>
      </c>
      <c r="K630" s="9">
        <v>1248.0</v>
      </c>
      <c r="L630" s="9">
        <v>1248.0</v>
      </c>
      <c r="M630" s="9">
        <v>309.0</v>
      </c>
      <c r="N630" s="9">
        <v>190.0</v>
      </c>
      <c r="O630" s="9">
        <v>749.0</v>
      </c>
      <c r="P630" s="8" t="s">
        <v>3480</v>
      </c>
      <c r="Q630" s="8" t="s">
        <v>3672</v>
      </c>
      <c r="R630" s="8" t="s">
        <v>3673</v>
      </c>
    </row>
    <row r="631">
      <c r="A631" s="8" t="s">
        <v>880</v>
      </c>
      <c r="B631" s="8" t="s">
        <v>6819</v>
      </c>
      <c r="C631" s="8" t="s">
        <v>6820</v>
      </c>
      <c r="D631" s="9">
        <v>7.987202654E9</v>
      </c>
      <c r="E631" s="8" t="s">
        <v>6821</v>
      </c>
      <c r="F631" s="8" t="s">
        <v>6822</v>
      </c>
      <c r="G631" s="8" t="s">
        <v>6823</v>
      </c>
      <c r="H631" s="8" t="s">
        <v>3479</v>
      </c>
      <c r="I631" s="9">
        <v>0.0</v>
      </c>
      <c r="J631" s="9">
        <v>2255.0</v>
      </c>
      <c r="K631" s="9">
        <v>2255.0</v>
      </c>
      <c r="L631" s="9">
        <v>2255.0</v>
      </c>
      <c r="M631" s="9">
        <v>532.0</v>
      </c>
      <c r="N631" s="9">
        <v>849.0</v>
      </c>
      <c r="O631" s="9">
        <v>874.0</v>
      </c>
      <c r="P631" s="8" t="s">
        <v>3480</v>
      </c>
      <c r="Q631" s="8"/>
      <c r="R631" s="8"/>
    </row>
    <row r="632">
      <c r="A632" s="8" t="s">
        <v>883</v>
      </c>
      <c r="B632" s="8" t="s">
        <v>6824</v>
      </c>
      <c r="C632" s="8" t="s">
        <v>6825</v>
      </c>
      <c r="D632" s="9">
        <v>7.709067293E9</v>
      </c>
      <c r="E632" s="8" t="s">
        <v>6826</v>
      </c>
      <c r="F632" s="8" t="s">
        <v>6827</v>
      </c>
      <c r="G632" s="8" t="s">
        <v>6828</v>
      </c>
      <c r="H632" s="8" t="s">
        <v>3479</v>
      </c>
      <c r="I632" s="9">
        <v>0.0</v>
      </c>
      <c r="J632" s="9">
        <v>4419.0</v>
      </c>
      <c r="K632" s="9">
        <v>4419.0</v>
      </c>
      <c r="L632" s="9">
        <v>4419.0</v>
      </c>
      <c r="M632" s="9">
        <v>1817.0</v>
      </c>
      <c r="N632" s="9">
        <v>1353.0</v>
      </c>
      <c r="O632" s="9">
        <v>1249.0</v>
      </c>
      <c r="P632" s="8" t="s">
        <v>3480</v>
      </c>
      <c r="Q632" s="8"/>
      <c r="R632" s="8"/>
    </row>
    <row r="633">
      <c r="A633" s="8" t="s">
        <v>884</v>
      </c>
      <c r="B633" s="8" t="s">
        <v>6829</v>
      </c>
      <c r="C633" s="8" t="s">
        <v>6830</v>
      </c>
      <c r="D633" s="9">
        <v>7.507903254E9</v>
      </c>
      <c r="E633" s="8" t="s">
        <v>6831</v>
      </c>
      <c r="F633" s="8" t="s">
        <v>6455</v>
      </c>
      <c r="G633" s="8" t="s">
        <v>6832</v>
      </c>
      <c r="H633" s="8" t="s">
        <v>3479</v>
      </c>
      <c r="I633" s="9">
        <v>0.0</v>
      </c>
      <c r="J633" s="9">
        <v>4772.0</v>
      </c>
      <c r="K633" s="9">
        <v>4772.0</v>
      </c>
      <c r="L633" s="9">
        <v>4772.0</v>
      </c>
      <c r="M633" s="9">
        <v>4122.0</v>
      </c>
      <c r="N633" s="9">
        <v>0.0</v>
      </c>
      <c r="O633" s="9">
        <v>650.0</v>
      </c>
      <c r="P633" s="8" t="s">
        <v>3480</v>
      </c>
      <c r="Q633" s="8" t="s">
        <v>6833</v>
      </c>
      <c r="R633" s="8" t="s">
        <v>6834</v>
      </c>
    </row>
    <row r="634">
      <c r="A634" s="8" t="s">
        <v>885</v>
      </c>
      <c r="B634" s="8" t="s">
        <v>6835</v>
      </c>
      <c r="C634" s="8" t="s">
        <v>6836</v>
      </c>
      <c r="D634" s="9">
        <v>9.823237638E9</v>
      </c>
      <c r="E634" s="8" t="s">
        <v>6837</v>
      </c>
      <c r="F634" s="8" t="s">
        <v>3589</v>
      </c>
      <c r="G634" s="8" t="s">
        <v>6838</v>
      </c>
      <c r="H634" s="8" t="s">
        <v>3479</v>
      </c>
      <c r="I634" s="9">
        <v>0.0</v>
      </c>
      <c r="J634" s="9">
        <v>5026.0</v>
      </c>
      <c r="K634" s="9">
        <v>5026.0</v>
      </c>
      <c r="L634" s="9">
        <v>5026.0</v>
      </c>
      <c r="M634" s="9">
        <v>3953.0</v>
      </c>
      <c r="N634" s="9">
        <v>549.0</v>
      </c>
      <c r="O634" s="9">
        <v>524.0</v>
      </c>
      <c r="P634" s="8" t="s">
        <v>3480</v>
      </c>
      <c r="Q634" s="8"/>
      <c r="R634" s="8"/>
    </row>
    <row r="635">
      <c r="A635" s="8" t="s">
        <v>886</v>
      </c>
      <c r="B635" s="8" t="s">
        <v>6839</v>
      </c>
      <c r="C635" s="8" t="s">
        <v>4550</v>
      </c>
      <c r="D635" s="9">
        <v>9.727754606E9</v>
      </c>
      <c r="E635" s="8" t="s">
        <v>6840</v>
      </c>
      <c r="F635" s="8" t="s">
        <v>5613</v>
      </c>
      <c r="G635" s="8" t="s">
        <v>6841</v>
      </c>
      <c r="H635" s="8" t="s">
        <v>3479</v>
      </c>
      <c r="I635" s="9">
        <v>0.0</v>
      </c>
      <c r="J635" s="9">
        <v>1704.0</v>
      </c>
      <c r="K635" s="9">
        <v>1704.0</v>
      </c>
      <c r="L635" s="9">
        <v>1704.0</v>
      </c>
      <c r="M635" s="9">
        <v>450.0</v>
      </c>
      <c r="N635" s="9">
        <v>730.0</v>
      </c>
      <c r="O635" s="9">
        <v>524.0</v>
      </c>
      <c r="P635" s="8" t="s">
        <v>3480</v>
      </c>
      <c r="Q635" s="8" t="s">
        <v>6842</v>
      </c>
      <c r="R635" s="8"/>
    </row>
    <row r="636">
      <c r="A636" s="8" t="s">
        <v>848</v>
      </c>
      <c r="B636" s="8" t="s">
        <v>6843</v>
      </c>
      <c r="C636" s="8" t="s">
        <v>6844</v>
      </c>
      <c r="D636" s="9">
        <v>7.588407315E9</v>
      </c>
      <c r="E636" s="8" t="s">
        <v>6845</v>
      </c>
      <c r="F636" s="8" t="s">
        <v>3959</v>
      </c>
      <c r="G636" s="8" t="s">
        <v>6846</v>
      </c>
      <c r="H636" s="8" t="s">
        <v>3479</v>
      </c>
      <c r="I636" s="9">
        <v>0.0</v>
      </c>
      <c r="J636" s="9">
        <v>1423.0</v>
      </c>
      <c r="K636" s="9">
        <v>1423.0</v>
      </c>
      <c r="L636" s="9">
        <v>1423.0</v>
      </c>
      <c r="M636" s="9">
        <v>110.0</v>
      </c>
      <c r="N636" s="9">
        <v>784.0</v>
      </c>
      <c r="O636" s="9">
        <v>529.0</v>
      </c>
      <c r="P636" s="8" t="s">
        <v>4183</v>
      </c>
      <c r="Q636" s="8" t="s">
        <v>6847</v>
      </c>
      <c r="R636" s="8" t="s">
        <v>6848</v>
      </c>
    </row>
    <row r="637">
      <c r="A637" s="8" t="s">
        <v>882</v>
      </c>
      <c r="B637" s="8" t="s">
        <v>6849</v>
      </c>
      <c r="C637" s="8" t="s">
        <v>6850</v>
      </c>
      <c r="D637" s="9">
        <v>8.329990611E9</v>
      </c>
      <c r="E637" s="8" t="s">
        <v>6851</v>
      </c>
      <c r="F637" s="8" t="s">
        <v>3601</v>
      </c>
      <c r="G637" s="8" t="s">
        <v>6852</v>
      </c>
      <c r="H637" s="8" t="s">
        <v>3479</v>
      </c>
      <c r="I637" s="9">
        <v>0.0</v>
      </c>
      <c r="J637" s="9">
        <v>1268.0</v>
      </c>
      <c r="K637" s="9">
        <v>1268.0</v>
      </c>
      <c r="L637" s="9">
        <v>1268.0</v>
      </c>
      <c r="M637" s="9">
        <v>80.0</v>
      </c>
      <c r="N637" s="9">
        <v>739.0</v>
      </c>
      <c r="O637" s="9">
        <v>449.0</v>
      </c>
      <c r="P637" s="8" t="s">
        <v>3480</v>
      </c>
      <c r="Q637" s="8"/>
      <c r="R637" s="8"/>
    </row>
    <row r="638">
      <c r="A638" s="8" t="s">
        <v>849</v>
      </c>
      <c r="B638" s="8" t="s">
        <v>6853</v>
      </c>
      <c r="C638" s="8" t="s">
        <v>6854</v>
      </c>
      <c r="D638" s="9">
        <v>9.5270929E9</v>
      </c>
      <c r="E638" s="8" t="s">
        <v>6855</v>
      </c>
      <c r="F638" s="8" t="s">
        <v>3608</v>
      </c>
      <c r="G638" s="8" t="s">
        <v>6856</v>
      </c>
      <c r="H638" s="8" t="s">
        <v>3479</v>
      </c>
      <c r="I638" s="9">
        <v>0.0</v>
      </c>
      <c r="J638" s="9">
        <v>2541.0</v>
      </c>
      <c r="K638" s="9">
        <v>2541.0</v>
      </c>
      <c r="L638" s="9">
        <v>2541.0</v>
      </c>
      <c r="M638" s="9">
        <v>1212.0</v>
      </c>
      <c r="N638" s="9">
        <v>730.0</v>
      </c>
      <c r="O638" s="9">
        <v>599.0</v>
      </c>
      <c r="P638" s="8" t="s">
        <v>6396</v>
      </c>
      <c r="Q638" s="8" t="s">
        <v>6857</v>
      </c>
      <c r="R638" s="8" t="s">
        <v>6858</v>
      </c>
    </row>
    <row r="639">
      <c r="A639" s="8" t="s">
        <v>888</v>
      </c>
      <c r="B639" s="8" t="s">
        <v>6859</v>
      </c>
      <c r="C639" s="8" t="s">
        <v>6860</v>
      </c>
      <c r="D639" s="9">
        <v>8.329730571E9</v>
      </c>
      <c r="E639" s="8" t="s">
        <v>6861</v>
      </c>
      <c r="F639" s="8" t="s">
        <v>4252</v>
      </c>
      <c r="G639" s="8" t="s">
        <v>6862</v>
      </c>
      <c r="H639" s="8" t="s">
        <v>3479</v>
      </c>
      <c r="I639" s="9">
        <v>0.0</v>
      </c>
      <c r="J639" s="9">
        <v>3670.0</v>
      </c>
      <c r="K639" s="9">
        <v>3670.0</v>
      </c>
      <c r="L639" s="9">
        <v>3670.0</v>
      </c>
      <c r="M639" s="9">
        <v>1696.0</v>
      </c>
      <c r="N639" s="9">
        <v>900.0</v>
      </c>
      <c r="O639" s="9">
        <v>1074.0</v>
      </c>
      <c r="P639" s="8" t="s">
        <v>3480</v>
      </c>
      <c r="Q639" s="8"/>
      <c r="R639" s="8"/>
    </row>
    <row r="640">
      <c r="A640" s="8" t="s">
        <v>851</v>
      </c>
      <c r="B640" s="8" t="s">
        <v>6863</v>
      </c>
      <c r="C640" s="8" t="s">
        <v>6864</v>
      </c>
      <c r="D640" s="9">
        <v>8.308539993E9</v>
      </c>
      <c r="E640" s="8" t="s">
        <v>6865</v>
      </c>
      <c r="F640" s="8" t="s">
        <v>3692</v>
      </c>
      <c r="G640" s="8" t="s">
        <v>6866</v>
      </c>
      <c r="H640" s="8" t="s">
        <v>3479</v>
      </c>
      <c r="I640" s="9">
        <v>0.0</v>
      </c>
      <c r="J640" s="9">
        <v>2229.0</v>
      </c>
      <c r="K640" s="9">
        <v>2229.0</v>
      </c>
      <c r="L640" s="9">
        <v>2229.0</v>
      </c>
      <c r="M640" s="9">
        <v>150.0</v>
      </c>
      <c r="N640" s="9">
        <v>1380.0</v>
      </c>
      <c r="O640" s="9">
        <v>699.0</v>
      </c>
      <c r="P640" s="8" t="s">
        <v>4183</v>
      </c>
      <c r="Q640" s="8" t="s">
        <v>6867</v>
      </c>
      <c r="R640" s="8" t="s">
        <v>6868</v>
      </c>
    </row>
    <row r="641">
      <c r="A641" s="8" t="s">
        <v>852</v>
      </c>
      <c r="B641" s="8" t="s">
        <v>6869</v>
      </c>
      <c r="C641" s="8" t="s">
        <v>6870</v>
      </c>
      <c r="D641" s="9">
        <v>8.379050219E9</v>
      </c>
      <c r="E641" s="8" t="s">
        <v>6871</v>
      </c>
      <c r="F641" s="8" t="s">
        <v>3959</v>
      </c>
      <c r="G641" s="8" t="s">
        <v>6872</v>
      </c>
      <c r="H641" s="8" t="s">
        <v>3479</v>
      </c>
      <c r="I641" s="9">
        <v>0.0</v>
      </c>
      <c r="J641" s="9">
        <v>2119.0</v>
      </c>
      <c r="K641" s="9">
        <v>2119.0</v>
      </c>
      <c r="L641" s="9">
        <v>2119.0</v>
      </c>
      <c r="M641" s="9">
        <v>836.0</v>
      </c>
      <c r="N641" s="9">
        <v>784.0</v>
      </c>
      <c r="O641" s="9">
        <v>499.0</v>
      </c>
      <c r="P641" s="8" t="s">
        <v>4183</v>
      </c>
      <c r="Q641" s="8" t="s">
        <v>6873</v>
      </c>
      <c r="R641" s="8" t="s">
        <v>6874</v>
      </c>
    </row>
    <row r="642">
      <c r="A642" s="8" t="s">
        <v>853</v>
      </c>
      <c r="B642" s="8" t="s">
        <v>6875</v>
      </c>
      <c r="C642" s="8" t="s">
        <v>6876</v>
      </c>
      <c r="D642" s="9">
        <v>7.387109986E9</v>
      </c>
      <c r="E642" s="8" t="s">
        <v>6877</v>
      </c>
      <c r="F642" s="8" t="s">
        <v>5366</v>
      </c>
      <c r="G642" s="8" t="s">
        <v>6878</v>
      </c>
      <c r="H642" s="8" t="s">
        <v>3479</v>
      </c>
      <c r="I642" s="9">
        <v>0.0</v>
      </c>
      <c r="J642" s="9">
        <v>2363.0</v>
      </c>
      <c r="K642" s="9">
        <v>2363.0</v>
      </c>
      <c r="L642" s="9">
        <v>2363.0</v>
      </c>
      <c r="M642" s="9">
        <v>764.0</v>
      </c>
      <c r="N642" s="9">
        <v>900.0</v>
      </c>
      <c r="O642" s="9">
        <v>699.0</v>
      </c>
      <c r="P642" s="8" t="s">
        <v>4183</v>
      </c>
      <c r="Q642" s="8" t="s">
        <v>6879</v>
      </c>
      <c r="R642" s="8" t="s">
        <v>6880</v>
      </c>
    </row>
    <row r="643">
      <c r="A643" s="8" t="s">
        <v>887</v>
      </c>
      <c r="B643" s="8" t="s">
        <v>6881</v>
      </c>
      <c r="C643" s="8" t="s">
        <v>6882</v>
      </c>
      <c r="D643" s="9">
        <v>8.007738151E9</v>
      </c>
      <c r="E643" s="8" t="s">
        <v>6883</v>
      </c>
      <c r="F643" s="8" t="s">
        <v>4645</v>
      </c>
      <c r="G643" s="8" t="s">
        <v>6884</v>
      </c>
      <c r="H643" s="8" t="s">
        <v>3479</v>
      </c>
      <c r="I643" s="9">
        <v>0.0</v>
      </c>
      <c r="J643" s="9">
        <v>1513.0</v>
      </c>
      <c r="K643" s="9">
        <v>1513.0</v>
      </c>
      <c r="L643" s="9">
        <v>1513.0</v>
      </c>
      <c r="M643" s="9">
        <v>325.0</v>
      </c>
      <c r="N643" s="9">
        <v>739.0</v>
      </c>
      <c r="O643" s="9">
        <v>449.0</v>
      </c>
      <c r="P643" s="8" t="s">
        <v>3480</v>
      </c>
      <c r="Q643" s="8" t="s">
        <v>6885</v>
      </c>
      <c r="R643" s="8" t="s">
        <v>6886</v>
      </c>
    </row>
    <row r="644">
      <c r="A644" s="8" t="s">
        <v>854</v>
      </c>
      <c r="B644" s="8" t="s">
        <v>6887</v>
      </c>
      <c r="C644" s="8" t="s">
        <v>6888</v>
      </c>
      <c r="D644" s="9">
        <v>9.922504486E9</v>
      </c>
      <c r="E644" s="8" t="s">
        <v>6889</v>
      </c>
      <c r="F644" s="8" t="s">
        <v>3608</v>
      </c>
      <c r="G644" s="8" t="s">
        <v>6890</v>
      </c>
      <c r="H644" s="8" t="s">
        <v>3479</v>
      </c>
      <c r="I644" s="9">
        <v>0.0</v>
      </c>
      <c r="J644" s="9">
        <v>1339.0</v>
      </c>
      <c r="K644" s="9">
        <v>1339.0</v>
      </c>
      <c r="L644" s="9">
        <v>1339.0</v>
      </c>
      <c r="M644" s="9">
        <v>80.0</v>
      </c>
      <c r="N644" s="9">
        <v>730.0</v>
      </c>
      <c r="O644" s="9">
        <v>529.0</v>
      </c>
      <c r="P644" s="8" t="s">
        <v>4183</v>
      </c>
      <c r="Q644" s="8" t="s">
        <v>6891</v>
      </c>
      <c r="R644" s="8" t="s">
        <v>6892</v>
      </c>
    </row>
    <row r="645">
      <c r="A645" s="8" t="s">
        <v>850</v>
      </c>
      <c r="B645" s="8" t="s">
        <v>6893</v>
      </c>
      <c r="C645" s="8" t="s">
        <v>6894</v>
      </c>
      <c r="D645" s="9">
        <v>9.970725771E9</v>
      </c>
      <c r="E645" s="8" t="s">
        <v>6895</v>
      </c>
      <c r="F645" s="8" t="s">
        <v>3768</v>
      </c>
      <c r="G645" s="8" t="s">
        <v>6896</v>
      </c>
      <c r="H645" s="8" t="s">
        <v>3479</v>
      </c>
      <c r="I645" s="9">
        <v>0.0</v>
      </c>
      <c r="J645" s="9">
        <v>2035.0</v>
      </c>
      <c r="K645" s="9">
        <v>2035.0</v>
      </c>
      <c r="L645" s="9">
        <v>2035.0</v>
      </c>
      <c r="M645" s="9">
        <v>752.0</v>
      </c>
      <c r="N645" s="9">
        <v>784.0</v>
      </c>
      <c r="O645" s="9">
        <v>499.0</v>
      </c>
      <c r="P645" s="8" t="s">
        <v>4183</v>
      </c>
      <c r="Q645" s="8" t="s">
        <v>6897</v>
      </c>
      <c r="R645" s="8" t="s">
        <v>6898</v>
      </c>
    </row>
    <row r="646">
      <c r="A646" s="8" t="s">
        <v>855</v>
      </c>
      <c r="B646" s="8" t="s">
        <v>6899</v>
      </c>
      <c r="C646" s="8" t="s">
        <v>6900</v>
      </c>
      <c r="D646" s="9">
        <v>8.275943281E9</v>
      </c>
      <c r="E646" s="8" t="s">
        <v>6901</v>
      </c>
      <c r="F646" s="8" t="s">
        <v>4423</v>
      </c>
      <c r="G646" s="8" t="s">
        <v>6902</v>
      </c>
      <c r="H646" s="8" t="s">
        <v>3479</v>
      </c>
      <c r="I646" s="9">
        <v>0.0</v>
      </c>
      <c r="J646" s="9">
        <v>3394.0</v>
      </c>
      <c r="K646" s="9">
        <v>3394.0</v>
      </c>
      <c r="L646" s="9">
        <v>3394.0</v>
      </c>
      <c r="M646" s="9">
        <v>1421.0</v>
      </c>
      <c r="N646" s="9">
        <v>824.0</v>
      </c>
      <c r="O646" s="9">
        <v>1149.0</v>
      </c>
      <c r="P646" s="8" t="s">
        <v>4183</v>
      </c>
      <c r="Q646" s="8" t="s">
        <v>6903</v>
      </c>
      <c r="R646" s="8" t="s">
        <v>6904</v>
      </c>
    </row>
    <row r="647">
      <c r="A647" s="8" t="s">
        <v>857</v>
      </c>
      <c r="B647" s="8" t="s">
        <v>6905</v>
      </c>
      <c r="C647" s="8" t="s">
        <v>5685</v>
      </c>
      <c r="D647" s="9">
        <v>8.805413757E9</v>
      </c>
      <c r="E647" s="8" t="s">
        <v>5686</v>
      </c>
      <c r="F647" s="8" t="s">
        <v>3615</v>
      </c>
      <c r="G647" s="8" t="s">
        <v>6906</v>
      </c>
      <c r="H647" s="8" t="s">
        <v>3479</v>
      </c>
      <c r="I647" s="9">
        <v>0.0</v>
      </c>
      <c r="J647" s="9">
        <v>2742.0</v>
      </c>
      <c r="K647" s="9">
        <v>2742.0</v>
      </c>
      <c r="L647" s="9">
        <v>2742.0</v>
      </c>
      <c r="M647" s="9">
        <v>1334.0</v>
      </c>
      <c r="N647" s="9">
        <v>784.0</v>
      </c>
      <c r="O647" s="9">
        <v>624.0</v>
      </c>
      <c r="P647" s="8" t="s">
        <v>4183</v>
      </c>
      <c r="Q647" s="8" t="s">
        <v>5688</v>
      </c>
      <c r="R647" s="8"/>
    </row>
    <row r="648">
      <c r="A648" s="8" t="s">
        <v>665</v>
      </c>
      <c r="B648" s="8" t="s">
        <v>6907</v>
      </c>
      <c r="C648" s="8" t="s">
        <v>6908</v>
      </c>
      <c r="D648" s="9">
        <v>8.554972505E9</v>
      </c>
      <c r="E648" s="8" t="s">
        <v>6909</v>
      </c>
      <c r="F648" s="8" t="s">
        <v>6910</v>
      </c>
      <c r="G648" s="8" t="s">
        <v>6911</v>
      </c>
      <c r="H648" s="8" t="s">
        <v>3479</v>
      </c>
      <c r="I648" s="9">
        <v>0.0</v>
      </c>
      <c r="J648" s="9">
        <v>1624.0</v>
      </c>
      <c r="K648" s="9">
        <v>1624.0</v>
      </c>
      <c r="L648" s="9">
        <v>1624.0</v>
      </c>
      <c r="M648" s="9">
        <v>195.0</v>
      </c>
      <c r="N648" s="9">
        <v>730.0</v>
      </c>
      <c r="O648" s="9">
        <v>699.0</v>
      </c>
      <c r="P648" s="8" t="s">
        <v>4183</v>
      </c>
      <c r="Q648" s="8" t="s">
        <v>4241</v>
      </c>
      <c r="R648" s="8" t="s">
        <v>4241</v>
      </c>
    </row>
    <row r="649">
      <c r="A649" s="8" t="s">
        <v>858</v>
      </c>
      <c r="B649" s="8" t="s">
        <v>6912</v>
      </c>
      <c r="C649" s="8" t="s">
        <v>4237</v>
      </c>
      <c r="D649" s="9">
        <v>9.167426875E9</v>
      </c>
      <c r="E649" s="8" t="s">
        <v>4238</v>
      </c>
      <c r="F649" s="8" t="s">
        <v>4239</v>
      </c>
      <c r="G649" s="8" t="s">
        <v>6913</v>
      </c>
      <c r="H649" s="8" t="s">
        <v>3479</v>
      </c>
      <c r="I649" s="9">
        <v>0.0</v>
      </c>
      <c r="J649" s="9">
        <v>8441.0</v>
      </c>
      <c r="K649" s="9">
        <v>8441.0</v>
      </c>
      <c r="L649" s="9">
        <v>8441.0</v>
      </c>
      <c r="M649" s="9">
        <v>2121.0</v>
      </c>
      <c r="N649" s="9">
        <v>730.0</v>
      </c>
      <c r="O649" s="9">
        <v>5590.0</v>
      </c>
      <c r="P649" s="8" t="s">
        <v>4183</v>
      </c>
      <c r="Q649" s="8" t="s">
        <v>4241</v>
      </c>
      <c r="R649" s="8" t="s">
        <v>4242</v>
      </c>
    </row>
    <row r="650">
      <c r="A650" s="8" t="s">
        <v>829</v>
      </c>
      <c r="B650" s="8" t="s">
        <v>6914</v>
      </c>
      <c r="C650" s="8" t="s">
        <v>3813</v>
      </c>
      <c r="D650" s="9">
        <v>9.595777496E9</v>
      </c>
      <c r="E650" s="8" t="s">
        <v>3814</v>
      </c>
      <c r="F650" s="8" t="s">
        <v>3815</v>
      </c>
      <c r="G650" s="8" t="s">
        <v>6915</v>
      </c>
      <c r="H650" s="8" t="s">
        <v>3479</v>
      </c>
      <c r="I650" s="9">
        <v>0.0</v>
      </c>
      <c r="J650" s="9">
        <v>2490.0</v>
      </c>
      <c r="K650" s="9">
        <v>2490.0</v>
      </c>
      <c r="L650" s="9">
        <v>2490.0</v>
      </c>
      <c r="M650" s="9">
        <v>0.0</v>
      </c>
      <c r="N650" s="9">
        <v>2450.0</v>
      </c>
      <c r="O650" s="9">
        <v>40.0</v>
      </c>
      <c r="P650" s="8" t="s">
        <v>3480</v>
      </c>
      <c r="Q650" s="8" t="s">
        <v>3817</v>
      </c>
      <c r="R650" s="8"/>
    </row>
    <row r="651">
      <c r="A651" s="8" t="s">
        <v>830</v>
      </c>
      <c r="B651" s="8" t="s">
        <v>6916</v>
      </c>
      <c r="C651" s="8" t="s">
        <v>6917</v>
      </c>
      <c r="D651" s="9">
        <v>8.838258454E9</v>
      </c>
      <c r="E651" s="8" t="s">
        <v>6918</v>
      </c>
      <c r="F651" s="8" t="s">
        <v>3977</v>
      </c>
      <c r="G651" s="8" t="s">
        <v>6919</v>
      </c>
      <c r="H651" s="8" t="s">
        <v>3479</v>
      </c>
      <c r="I651" s="9">
        <v>0.0</v>
      </c>
      <c r="J651" s="9">
        <v>3442.0</v>
      </c>
      <c r="K651" s="9">
        <v>3442.0</v>
      </c>
      <c r="L651" s="9">
        <v>3442.0</v>
      </c>
      <c r="M651" s="9">
        <v>1988.0</v>
      </c>
      <c r="N651" s="9">
        <v>730.0</v>
      </c>
      <c r="O651" s="9">
        <v>724.0</v>
      </c>
      <c r="P651" s="8" t="s">
        <v>3480</v>
      </c>
      <c r="Q651" s="8"/>
      <c r="R651" s="8"/>
    </row>
    <row r="652">
      <c r="A652" s="8" t="s">
        <v>831</v>
      </c>
      <c r="B652" s="8" t="s">
        <v>6920</v>
      </c>
      <c r="C652" s="8" t="s">
        <v>6921</v>
      </c>
      <c r="D652" s="9">
        <v>8.007999162E9</v>
      </c>
      <c r="E652" s="8" t="s">
        <v>6922</v>
      </c>
      <c r="F652" s="8" t="s">
        <v>3608</v>
      </c>
      <c r="G652" s="8" t="s">
        <v>6923</v>
      </c>
      <c r="H652" s="8" t="s">
        <v>3479</v>
      </c>
      <c r="I652" s="9">
        <v>0.0</v>
      </c>
      <c r="J652" s="9">
        <v>1259.0</v>
      </c>
      <c r="K652" s="9">
        <v>1259.0</v>
      </c>
      <c r="L652" s="9">
        <v>1259.0</v>
      </c>
      <c r="M652" s="9">
        <v>80.0</v>
      </c>
      <c r="N652" s="9">
        <v>730.0</v>
      </c>
      <c r="O652" s="9">
        <v>449.0</v>
      </c>
      <c r="P652" s="8" t="s">
        <v>3519</v>
      </c>
      <c r="Q652" s="8"/>
      <c r="R652" s="8"/>
    </row>
    <row r="653">
      <c r="A653" s="8" t="s">
        <v>890</v>
      </c>
      <c r="B653" s="8" t="s">
        <v>6924</v>
      </c>
      <c r="C653" s="8" t="s">
        <v>6925</v>
      </c>
      <c r="D653" s="9">
        <v>9.049098932E9</v>
      </c>
      <c r="E653" s="8" t="s">
        <v>6926</v>
      </c>
      <c r="F653" s="8" t="s">
        <v>6927</v>
      </c>
      <c r="G653" s="8" t="s">
        <v>6928</v>
      </c>
      <c r="H653" s="8" t="s">
        <v>3479</v>
      </c>
      <c r="I653" s="9">
        <v>0.0</v>
      </c>
      <c r="J653" s="9">
        <v>1268.0</v>
      </c>
      <c r="K653" s="9">
        <v>1268.0</v>
      </c>
      <c r="L653" s="9">
        <v>1268.0</v>
      </c>
      <c r="M653" s="9">
        <v>80.0</v>
      </c>
      <c r="N653" s="9">
        <v>739.0</v>
      </c>
      <c r="O653" s="9">
        <v>449.0</v>
      </c>
      <c r="P653" s="8" t="s">
        <v>3480</v>
      </c>
      <c r="Q653" s="8" t="s">
        <v>6929</v>
      </c>
      <c r="R653" s="8"/>
    </row>
    <row r="654">
      <c r="A654" s="8" t="s">
        <v>889</v>
      </c>
      <c r="B654" s="8" t="s">
        <v>6930</v>
      </c>
      <c r="C654" s="8" t="s">
        <v>6931</v>
      </c>
      <c r="D654" s="9">
        <v>9.42217808E9</v>
      </c>
      <c r="E654" s="8" t="s">
        <v>6932</v>
      </c>
      <c r="F654" s="8" t="s">
        <v>3681</v>
      </c>
      <c r="G654" s="8" t="s">
        <v>6933</v>
      </c>
      <c r="H654" s="8" t="s">
        <v>6934</v>
      </c>
      <c r="I654" s="9">
        <v>0.0</v>
      </c>
      <c r="J654" s="9">
        <v>2100.0</v>
      </c>
      <c r="K654" s="9">
        <v>2176.0</v>
      </c>
      <c r="L654" s="9">
        <v>2100.0</v>
      </c>
      <c r="M654" s="9">
        <v>943.0</v>
      </c>
      <c r="N654" s="9">
        <v>784.0</v>
      </c>
      <c r="O654" s="9">
        <v>449.0</v>
      </c>
      <c r="P654" s="8" t="s">
        <v>3480</v>
      </c>
      <c r="Q654" s="8" t="s">
        <v>6935</v>
      </c>
      <c r="R654" s="8" t="s">
        <v>6936</v>
      </c>
    </row>
    <row r="655">
      <c r="A655" s="8" t="s">
        <v>856</v>
      </c>
      <c r="B655" s="8" t="s">
        <v>6937</v>
      </c>
      <c r="C655" s="8" t="s">
        <v>5866</v>
      </c>
      <c r="D655" s="9">
        <v>9.604879914E9</v>
      </c>
      <c r="E655" s="8" t="s">
        <v>6938</v>
      </c>
      <c r="F655" s="8" t="s">
        <v>3517</v>
      </c>
      <c r="G655" s="8" t="s">
        <v>6939</v>
      </c>
      <c r="H655" s="8" t="s">
        <v>3479</v>
      </c>
      <c r="I655" s="9">
        <v>0.0</v>
      </c>
      <c r="J655" s="9">
        <v>1939.0</v>
      </c>
      <c r="K655" s="9">
        <v>1939.0</v>
      </c>
      <c r="L655" s="9">
        <v>1939.0</v>
      </c>
      <c r="M655" s="9">
        <v>485.0</v>
      </c>
      <c r="N655" s="9">
        <v>730.0</v>
      </c>
      <c r="O655" s="9">
        <v>724.0</v>
      </c>
      <c r="P655" s="8" t="s">
        <v>4183</v>
      </c>
      <c r="Q655" s="8" t="s">
        <v>6940</v>
      </c>
      <c r="R655" s="8"/>
    </row>
    <row r="656">
      <c r="A656" s="8" t="s">
        <v>834</v>
      </c>
      <c r="B656" s="8" t="s">
        <v>6941</v>
      </c>
      <c r="C656" s="8" t="s">
        <v>3826</v>
      </c>
      <c r="D656" s="9">
        <v>9.960409602E9</v>
      </c>
      <c r="E656" s="8" t="s">
        <v>6942</v>
      </c>
      <c r="F656" s="8" t="s">
        <v>3589</v>
      </c>
      <c r="G656" s="8" t="s">
        <v>6943</v>
      </c>
      <c r="H656" s="8" t="s">
        <v>3479</v>
      </c>
      <c r="I656" s="9">
        <v>0.0</v>
      </c>
      <c r="J656" s="9">
        <v>1724.0</v>
      </c>
      <c r="K656" s="9">
        <v>1724.0</v>
      </c>
      <c r="L656" s="9">
        <v>1724.0</v>
      </c>
      <c r="M656" s="9">
        <v>470.0</v>
      </c>
      <c r="N656" s="9">
        <v>730.0</v>
      </c>
      <c r="O656" s="9">
        <v>524.0</v>
      </c>
      <c r="P656" s="8" t="s">
        <v>3480</v>
      </c>
      <c r="Q656" s="8"/>
      <c r="R656" s="8"/>
    </row>
    <row r="657">
      <c r="A657" s="8" t="s">
        <v>835</v>
      </c>
      <c r="B657" s="8" t="s">
        <v>6944</v>
      </c>
      <c r="C657" s="8" t="s">
        <v>6945</v>
      </c>
      <c r="D657" s="9">
        <v>9.623621319E9</v>
      </c>
      <c r="E657" s="8" t="s">
        <v>6946</v>
      </c>
      <c r="F657" s="8" t="s">
        <v>3908</v>
      </c>
      <c r="G657" s="8" t="s">
        <v>6947</v>
      </c>
      <c r="H657" s="8" t="s">
        <v>3479</v>
      </c>
      <c r="I657" s="9">
        <v>0.0</v>
      </c>
      <c r="J657" s="9">
        <v>2546.0</v>
      </c>
      <c r="K657" s="9">
        <v>2546.0</v>
      </c>
      <c r="L657" s="9">
        <v>2546.0</v>
      </c>
      <c r="M657" s="9">
        <v>698.0</v>
      </c>
      <c r="N657" s="9">
        <v>849.0</v>
      </c>
      <c r="O657" s="9">
        <v>999.0</v>
      </c>
      <c r="P657" s="8" t="s">
        <v>3480</v>
      </c>
      <c r="Q657" s="8"/>
      <c r="R657" s="8"/>
    </row>
    <row r="658">
      <c r="A658" s="8" t="s">
        <v>833</v>
      </c>
      <c r="B658" s="8" t="s">
        <v>6948</v>
      </c>
      <c r="C658" s="8" t="s">
        <v>6949</v>
      </c>
      <c r="D658" s="9">
        <v>8.600991151E9</v>
      </c>
      <c r="E658" s="8" t="s">
        <v>6950</v>
      </c>
      <c r="F658" s="8" t="s">
        <v>3523</v>
      </c>
      <c r="G658" s="8" t="s">
        <v>6951</v>
      </c>
      <c r="H658" s="8" t="s">
        <v>3479</v>
      </c>
      <c r="I658" s="9">
        <v>0.0</v>
      </c>
      <c r="J658" s="9">
        <v>1604.0</v>
      </c>
      <c r="K658" s="9">
        <v>1604.0</v>
      </c>
      <c r="L658" s="9">
        <v>1604.0</v>
      </c>
      <c r="M658" s="9">
        <v>270.0</v>
      </c>
      <c r="N658" s="9">
        <v>730.0</v>
      </c>
      <c r="O658" s="9">
        <v>604.0</v>
      </c>
      <c r="P658" s="8" t="s">
        <v>3480</v>
      </c>
      <c r="Q658" s="8" t="s">
        <v>6952</v>
      </c>
      <c r="R658" s="8"/>
    </row>
    <row r="659">
      <c r="A659" s="8" t="s">
        <v>832</v>
      </c>
      <c r="B659" s="8" t="s">
        <v>6953</v>
      </c>
      <c r="C659" s="8" t="s">
        <v>6954</v>
      </c>
      <c r="D659" s="9">
        <v>9.97524878E9</v>
      </c>
      <c r="E659" s="8" t="s">
        <v>6955</v>
      </c>
      <c r="F659" s="8" t="s">
        <v>3589</v>
      </c>
      <c r="G659" s="8" t="s">
        <v>6956</v>
      </c>
      <c r="H659" s="8" t="s">
        <v>6957</v>
      </c>
      <c r="I659" s="9">
        <v>0.0</v>
      </c>
      <c r="J659" s="9">
        <v>2400.0</v>
      </c>
      <c r="K659" s="9">
        <v>2474.0</v>
      </c>
      <c r="L659" s="9">
        <v>2400.0</v>
      </c>
      <c r="M659" s="9">
        <v>990.0</v>
      </c>
      <c r="N659" s="9">
        <v>730.0</v>
      </c>
      <c r="O659" s="9">
        <v>754.0</v>
      </c>
      <c r="P659" s="8" t="s">
        <v>3480</v>
      </c>
      <c r="Q659" s="8" t="s">
        <v>6958</v>
      </c>
      <c r="R659" s="8" t="s">
        <v>6959</v>
      </c>
    </row>
    <row r="660">
      <c r="A660" s="8" t="s">
        <v>836</v>
      </c>
      <c r="B660" s="8" t="s">
        <v>6960</v>
      </c>
      <c r="C660" s="8" t="s">
        <v>6013</v>
      </c>
      <c r="D660" s="9">
        <v>9.527065123E9</v>
      </c>
      <c r="E660" s="8" t="s">
        <v>6014</v>
      </c>
      <c r="F660" s="8" t="s">
        <v>3523</v>
      </c>
      <c r="G660" s="8" t="s">
        <v>6961</v>
      </c>
      <c r="H660" s="8" t="s">
        <v>3479</v>
      </c>
      <c r="I660" s="9">
        <v>0.0</v>
      </c>
      <c r="J660" s="9">
        <v>1150.0</v>
      </c>
      <c r="K660" s="9">
        <v>1150.0</v>
      </c>
      <c r="L660" s="9">
        <v>1150.0</v>
      </c>
      <c r="M660" s="9">
        <v>1150.0</v>
      </c>
      <c r="N660" s="9">
        <v>0.0</v>
      </c>
      <c r="O660" s="9">
        <v>0.0</v>
      </c>
      <c r="P660" s="8" t="s">
        <v>3480</v>
      </c>
      <c r="Q660" s="8"/>
      <c r="R660" s="8"/>
    </row>
    <row r="661">
      <c r="A661" s="8" t="s">
        <v>837</v>
      </c>
      <c r="B661" s="8" t="s">
        <v>6962</v>
      </c>
      <c r="C661" s="8" t="s">
        <v>4076</v>
      </c>
      <c r="D661" s="9">
        <v>7.84306786E9</v>
      </c>
      <c r="E661" s="8" t="s">
        <v>6963</v>
      </c>
      <c r="F661" s="8" t="s">
        <v>6964</v>
      </c>
      <c r="G661" s="8" t="s">
        <v>6965</v>
      </c>
      <c r="H661" s="8" t="s">
        <v>3479</v>
      </c>
      <c r="I661" s="9">
        <v>0.0</v>
      </c>
      <c r="J661" s="9">
        <v>1025.0</v>
      </c>
      <c r="K661" s="9">
        <v>1025.0</v>
      </c>
      <c r="L661" s="9">
        <v>1025.0</v>
      </c>
      <c r="M661" s="9">
        <v>496.0</v>
      </c>
      <c r="N661" s="9">
        <v>80.0</v>
      </c>
      <c r="O661" s="9">
        <v>449.0</v>
      </c>
      <c r="P661" s="8" t="s">
        <v>3519</v>
      </c>
      <c r="Q661" s="8"/>
      <c r="R661" s="8"/>
    </row>
    <row r="662">
      <c r="A662" s="8" t="s">
        <v>838</v>
      </c>
      <c r="B662" s="8" t="s">
        <v>6966</v>
      </c>
      <c r="C662" s="8" t="s">
        <v>6799</v>
      </c>
      <c r="D662" s="9">
        <v>9.767673142E9</v>
      </c>
      <c r="E662" s="8" t="s">
        <v>6967</v>
      </c>
      <c r="F662" s="8" t="s">
        <v>6968</v>
      </c>
      <c r="G662" s="8" t="s">
        <v>6969</v>
      </c>
      <c r="H662" s="8" t="s">
        <v>3479</v>
      </c>
      <c r="I662" s="9">
        <v>0.0</v>
      </c>
      <c r="J662" s="9">
        <v>2580.0</v>
      </c>
      <c r="K662" s="9">
        <v>2580.0</v>
      </c>
      <c r="L662" s="9">
        <v>2580.0</v>
      </c>
      <c r="M662" s="9">
        <v>997.0</v>
      </c>
      <c r="N662" s="9">
        <v>784.0</v>
      </c>
      <c r="O662" s="9">
        <v>799.0</v>
      </c>
      <c r="P662" s="8" t="s">
        <v>3480</v>
      </c>
      <c r="Q662" s="8"/>
      <c r="R662" s="8"/>
    </row>
    <row r="663">
      <c r="A663" s="8" t="s">
        <v>839</v>
      </c>
      <c r="B663" s="8" t="s">
        <v>6970</v>
      </c>
      <c r="C663" s="8" t="s">
        <v>6971</v>
      </c>
      <c r="D663" s="9">
        <v>9.404068663E9</v>
      </c>
      <c r="E663" s="8" t="s">
        <v>6972</v>
      </c>
      <c r="F663" s="8" t="s">
        <v>6363</v>
      </c>
      <c r="G663" s="8" t="s">
        <v>6973</v>
      </c>
      <c r="H663" s="8" t="s">
        <v>3479</v>
      </c>
      <c r="I663" s="9">
        <v>0.0</v>
      </c>
      <c r="J663" s="9">
        <v>1754.0</v>
      </c>
      <c r="K663" s="9">
        <v>1754.0</v>
      </c>
      <c r="L663" s="9">
        <v>1754.0</v>
      </c>
      <c r="M663" s="9">
        <v>575.0</v>
      </c>
      <c r="N663" s="9">
        <v>730.0</v>
      </c>
      <c r="O663" s="9">
        <v>449.0</v>
      </c>
      <c r="P663" s="8" t="s">
        <v>3480</v>
      </c>
      <c r="Q663" s="8" t="s">
        <v>6974</v>
      </c>
      <c r="R663" s="8" t="s">
        <v>6975</v>
      </c>
    </row>
    <row r="664">
      <c r="A664" s="8" t="s">
        <v>840</v>
      </c>
      <c r="B664" s="8" t="s">
        <v>6976</v>
      </c>
      <c r="C664" s="8" t="s">
        <v>6977</v>
      </c>
      <c r="D664" s="9">
        <v>9.130172492E9</v>
      </c>
      <c r="E664" s="8" t="s">
        <v>6978</v>
      </c>
      <c r="F664" s="8" t="s">
        <v>3757</v>
      </c>
      <c r="G664" s="8" t="s">
        <v>6979</v>
      </c>
      <c r="H664" s="8" t="s">
        <v>3479</v>
      </c>
      <c r="I664" s="9">
        <v>0.0</v>
      </c>
      <c r="J664" s="9">
        <v>3936.0</v>
      </c>
      <c r="K664" s="9">
        <v>3936.0</v>
      </c>
      <c r="L664" s="9">
        <v>3936.0</v>
      </c>
      <c r="M664" s="9">
        <v>1304.0</v>
      </c>
      <c r="N664" s="9">
        <v>1533.0</v>
      </c>
      <c r="O664" s="9">
        <v>1099.0</v>
      </c>
      <c r="P664" s="8" t="s">
        <v>3480</v>
      </c>
      <c r="Q664" s="8"/>
      <c r="R664" s="8"/>
    </row>
    <row r="665">
      <c r="A665" s="8" t="s">
        <v>912</v>
      </c>
      <c r="B665" s="8" t="s">
        <v>6980</v>
      </c>
      <c r="C665" s="8" t="s">
        <v>6981</v>
      </c>
      <c r="D665" s="9">
        <v>9.890022157E9</v>
      </c>
      <c r="E665" s="8" t="s">
        <v>6982</v>
      </c>
      <c r="F665" s="8" t="s">
        <v>6983</v>
      </c>
      <c r="G665" s="8" t="s">
        <v>6984</v>
      </c>
      <c r="H665" s="8" t="s">
        <v>3479</v>
      </c>
      <c r="I665" s="9">
        <v>0.0</v>
      </c>
      <c r="J665" s="9">
        <v>1104.0</v>
      </c>
      <c r="K665" s="9">
        <v>1104.0</v>
      </c>
      <c r="L665" s="9">
        <v>1104.0</v>
      </c>
      <c r="M665" s="9">
        <v>165.0</v>
      </c>
      <c r="N665" s="9">
        <v>190.0</v>
      </c>
      <c r="O665" s="9">
        <v>749.0</v>
      </c>
      <c r="P665" s="8" t="s">
        <v>3480</v>
      </c>
      <c r="Q665" s="8" t="s">
        <v>6985</v>
      </c>
      <c r="R665" s="8" t="s">
        <v>6986</v>
      </c>
    </row>
    <row r="666">
      <c r="A666" s="8" t="s">
        <v>900</v>
      </c>
      <c r="B666" s="8" t="s">
        <v>6987</v>
      </c>
      <c r="C666" s="8" t="s">
        <v>6988</v>
      </c>
      <c r="D666" s="9">
        <v>9.975562308E9</v>
      </c>
      <c r="E666" s="8" t="s">
        <v>6989</v>
      </c>
      <c r="F666" s="8" t="s">
        <v>3550</v>
      </c>
      <c r="G666" s="8" t="s">
        <v>6990</v>
      </c>
      <c r="H666" s="8" t="s">
        <v>3479</v>
      </c>
      <c r="I666" s="9">
        <v>0.0</v>
      </c>
      <c r="J666" s="9">
        <v>4892.0</v>
      </c>
      <c r="K666" s="9">
        <v>4892.0</v>
      </c>
      <c r="L666" s="9">
        <v>4892.0</v>
      </c>
      <c r="M666" s="9">
        <v>4417.0</v>
      </c>
      <c r="N666" s="9">
        <v>0.0</v>
      </c>
      <c r="O666" s="9">
        <v>475.0</v>
      </c>
      <c r="P666" s="8" t="s">
        <v>3480</v>
      </c>
      <c r="Q666" s="8"/>
      <c r="R666" s="8"/>
    </row>
    <row r="667">
      <c r="A667" s="8" t="s">
        <v>914</v>
      </c>
      <c r="B667" s="8" t="s">
        <v>6991</v>
      </c>
      <c r="C667" s="8" t="s">
        <v>6992</v>
      </c>
      <c r="D667" s="9">
        <v>7.083686364E9</v>
      </c>
      <c r="E667" s="8" t="s">
        <v>6993</v>
      </c>
      <c r="F667" s="8" t="s">
        <v>6234</v>
      </c>
      <c r="G667" s="8" t="s">
        <v>6994</v>
      </c>
      <c r="H667" s="8" t="s">
        <v>3479</v>
      </c>
      <c r="I667" s="9">
        <v>0.0</v>
      </c>
      <c r="J667" s="9">
        <v>4144.0</v>
      </c>
      <c r="K667" s="9">
        <v>4144.0</v>
      </c>
      <c r="L667" s="9">
        <v>4144.0</v>
      </c>
      <c r="M667" s="9">
        <v>3620.0</v>
      </c>
      <c r="N667" s="9">
        <v>0.0</v>
      </c>
      <c r="O667" s="9">
        <v>524.0</v>
      </c>
      <c r="P667" s="8" t="s">
        <v>3480</v>
      </c>
      <c r="Q667" s="8"/>
      <c r="R667" s="8"/>
    </row>
    <row r="668">
      <c r="A668" s="8" t="s">
        <v>915</v>
      </c>
      <c r="B668" s="8" t="s">
        <v>6995</v>
      </c>
      <c r="C668" s="8" t="s">
        <v>6996</v>
      </c>
      <c r="D668" s="9">
        <v>9.68990123E9</v>
      </c>
      <c r="E668" s="8" t="s">
        <v>6997</v>
      </c>
      <c r="F668" s="8" t="s">
        <v>3853</v>
      </c>
      <c r="G668" s="8" t="s">
        <v>6998</v>
      </c>
      <c r="H668" s="8" t="s">
        <v>3479</v>
      </c>
      <c r="I668" s="9">
        <v>0.0</v>
      </c>
      <c r="J668" s="9">
        <v>1549.0</v>
      </c>
      <c r="K668" s="9">
        <v>1549.0</v>
      </c>
      <c r="L668" s="9">
        <v>1549.0</v>
      </c>
      <c r="M668" s="9">
        <v>370.0</v>
      </c>
      <c r="N668" s="9">
        <v>730.0</v>
      </c>
      <c r="O668" s="9">
        <v>449.0</v>
      </c>
      <c r="P668" s="8" t="s">
        <v>3480</v>
      </c>
      <c r="Q668" s="8" t="s">
        <v>6999</v>
      </c>
      <c r="R668" s="8"/>
    </row>
    <row r="669">
      <c r="A669" s="8" t="s">
        <v>913</v>
      </c>
      <c r="B669" s="8" t="s">
        <v>7000</v>
      </c>
      <c r="C669" s="8" t="s">
        <v>7001</v>
      </c>
      <c r="D669" s="9">
        <v>9.834585422E9</v>
      </c>
      <c r="E669" s="8" t="s">
        <v>7002</v>
      </c>
      <c r="F669" s="8" t="s">
        <v>3498</v>
      </c>
      <c r="G669" s="8" t="s">
        <v>7003</v>
      </c>
      <c r="H669" s="8" t="s">
        <v>3479</v>
      </c>
      <c r="I669" s="9">
        <v>0.0</v>
      </c>
      <c r="J669" s="9">
        <v>1414.0</v>
      </c>
      <c r="K669" s="9">
        <v>1414.0</v>
      </c>
      <c r="L669" s="9">
        <v>1414.0</v>
      </c>
      <c r="M669" s="9">
        <v>160.0</v>
      </c>
      <c r="N669" s="9">
        <v>730.0</v>
      </c>
      <c r="O669" s="9">
        <v>524.0</v>
      </c>
      <c r="P669" s="8" t="s">
        <v>3480</v>
      </c>
      <c r="Q669" s="8"/>
      <c r="R669" s="8" t="s">
        <v>7004</v>
      </c>
    </row>
    <row r="670">
      <c r="A670" s="8" t="s">
        <v>917</v>
      </c>
      <c r="B670" s="8" t="s">
        <v>7005</v>
      </c>
      <c r="C670" s="8" t="s">
        <v>7006</v>
      </c>
      <c r="D670" s="9">
        <v>7.588586356E9</v>
      </c>
      <c r="E670" s="8" t="s">
        <v>7007</v>
      </c>
      <c r="F670" s="8" t="s">
        <v>3608</v>
      </c>
      <c r="G670" s="8" t="s">
        <v>7008</v>
      </c>
      <c r="H670" s="8" t="s">
        <v>3479</v>
      </c>
      <c r="I670" s="9">
        <v>0.0</v>
      </c>
      <c r="J670" s="9">
        <v>955.0</v>
      </c>
      <c r="K670" s="9">
        <v>955.0</v>
      </c>
      <c r="L670" s="9">
        <v>955.0</v>
      </c>
      <c r="M670" s="9">
        <v>780.0</v>
      </c>
      <c r="N670" s="9">
        <v>0.0</v>
      </c>
      <c r="O670" s="9">
        <v>175.0</v>
      </c>
      <c r="P670" s="8" t="s">
        <v>3480</v>
      </c>
      <c r="Q670" s="8"/>
      <c r="R670" s="8"/>
    </row>
    <row r="671">
      <c r="A671" s="8" t="s">
        <v>918</v>
      </c>
      <c r="B671" s="8" t="s">
        <v>7009</v>
      </c>
      <c r="C671" s="8" t="s">
        <v>7010</v>
      </c>
      <c r="D671" s="9">
        <v>7.838851007E9</v>
      </c>
      <c r="E671" s="8" t="s">
        <v>7011</v>
      </c>
      <c r="F671" s="8" t="s">
        <v>4252</v>
      </c>
      <c r="G671" s="8" t="s">
        <v>7012</v>
      </c>
      <c r="H671" s="8" t="s">
        <v>3479</v>
      </c>
      <c r="I671" s="9">
        <v>0.0</v>
      </c>
      <c r="J671" s="9">
        <v>1333.0</v>
      </c>
      <c r="K671" s="9">
        <v>1333.0</v>
      </c>
      <c r="L671" s="9">
        <v>1333.0</v>
      </c>
      <c r="M671" s="9">
        <v>634.0</v>
      </c>
      <c r="N671" s="9">
        <v>0.0</v>
      </c>
      <c r="O671" s="9">
        <v>699.0</v>
      </c>
      <c r="P671" s="8" t="s">
        <v>3480</v>
      </c>
      <c r="Q671" s="8" t="s">
        <v>7013</v>
      </c>
      <c r="R671" s="8" t="s">
        <v>7014</v>
      </c>
    </row>
    <row r="672">
      <c r="A672" s="8" t="s">
        <v>891</v>
      </c>
      <c r="B672" s="8" t="s">
        <v>7015</v>
      </c>
      <c r="C672" s="8" t="s">
        <v>7016</v>
      </c>
      <c r="D672" s="9">
        <v>7.743915677E9</v>
      </c>
      <c r="E672" s="8" t="s">
        <v>7017</v>
      </c>
      <c r="F672" s="8" t="s">
        <v>4645</v>
      </c>
      <c r="G672" s="8" t="s">
        <v>7018</v>
      </c>
      <c r="H672" s="8" t="s">
        <v>3479</v>
      </c>
      <c r="I672" s="9">
        <v>0.0</v>
      </c>
      <c r="J672" s="9">
        <v>1350.0</v>
      </c>
      <c r="K672" s="9">
        <v>1350.0</v>
      </c>
      <c r="L672" s="9">
        <v>1350.0</v>
      </c>
      <c r="M672" s="9">
        <v>1350.0</v>
      </c>
      <c r="N672" s="9">
        <v>0.0</v>
      </c>
      <c r="O672" s="9">
        <v>0.0</v>
      </c>
      <c r="P672" s="8" t="s">
        <v>3480</v>
      </c>
      <c r="Q672" s="8"/>
      <c r="R672" s="8"/>
    </row>
    <row r="673">
      <c r="A673" s="8" t="s">
        <v>919</v>
      </c>
      <c r="B673" s="8" t="s">
        <v>7019</v>
      </c>
      <c r="C673" s="8" t="s">
        <v>7020</v>
      </c>
      <c r="D673" s="9">
        <v>8.668452345E9</v>
      </c>
      <c r="E673" s="8" t="s">
        <v>7021</v>
      </c>
      <c r="F673" s="8" t="s">
        <v>7022</v>
      </c>
      <c r="G673" s="8" t="s">
        <v>7023</v>
      </c>
      <c r="H673" s="8" t="s">
        <v>7024</v>
      </c>
      <c r="I673" s="9">
        <v>0.0</v>
      </c>
      <c r="J673" s="9">
        <v>5300.0</v>
      </c>
      <c r="K673" s="9">
        <v>5492.0</v>
      </c>
      <c r="L673" s="9">
        <v>5300.0</v>
      </c>
      <c r="M673" s="9">
        <v>3618.0</v>
      </c>
      <c r="N673" s="9">
        <v>900.0</v>
      </c>
      <c r="O673" s="9">
        <v>974.0</v>
      </c>
      <c r="P673" s="8" t="s">
        <v>3480</v>
      </c>
      <c r="Q673" s="8" t="s">
        <v>7025</v>
      </c>
      <c r="R673" s="8" t="s">
        <v>7026</v>
      </c>
    </row>
    <row r="674">
      <c r="A674" s="8" t="s">
        <v>954</v>
      </c>
      <c r="B674" s="8" t="s">
        <v>7027</v>
      </c>
      <c r="C674" s="8" t="s">
        <v>7028</v>
      </c>
      <c r="D674" s="9">
        <v>7.350671228E9</v>
      </c>
      <c r="E674" s="8" t="s">
        <v>7029</v>
      </c>
      <c r="F674" s="8" t="s">
        <v>3959</v>
      </c>
      <c r="G674" s="8" t="s">
        <v>7030</v>
      </c>
      <c r="H674" s="8" t="s">
        <v>3479</v>
      </c>
      <c r="I674" s="9">
        <v>0.0</v>
      </c>
      <c r="J674" s="9">
        <v>1653.0</v>
      </c>
      <c r="K674" s="9">
        <v>1653.0</v>
      </c>
      <c r="L674" s="9">
        <v>1653.0</v>
      </c>
      <c r="M674" s="9">
        <v>420.0</v>
      </c>
      <c r="N674" s="9">
        <v>784.0</v>
      </c>
      <c r="O674" s="9">
        <v>449.0</v>
      </c>
      <c r="P674" s="8" t="s">
        <v>3480</v>
      </c>
      <c r="Q674" s="8"/>
      <c r="R674" s="8"/>
    </row>
    <row r="675">
      <c r="A675" s="8" t="s">
        <v>916</v>
      </c>
      <c r="B675" s="8" t="s">
        <v>7031</v>
      </c>
      <c r="C675" s="8" t="s">
        <v>4743</v>
      </c>
      <c r="D675" s="9">
        <v>7.276208127E9</v>
      </c>
      <c r="E675" s="8" t="s">
        <v>7032</v>
      </c>
      <c r="F675" s="8" t="s">
        <v>4929</v>
      </c>
      <c r="G675" s="8" t="s">
        <v>7033</v>
      </c>
      <c r="H675" s="8" t="s">
        <v>3479</v>
      </c>
      <c r="I675" s="9">
        <v>0.0</v>
      </c>
      <c r="J675" s="9">
        <v>2347.0</v>
      </c>
      <c r="K675" s="9">
        <v>2347.0</v>
      </c>
      <c r="L675" s="9">
        <v>2347.0</v>
      </c>
      <c r="M675" s="9">
        <v>893.0</v>
      </c>
      <c r="N675" s="9">
        <v>730.0</v>
      </c>
      <c r="O675" s="9">
        <v>724.0</v>
      </c>
      <c r="P675" s="8" t="s">
        <v>3480</v>
      </c>
      <c r="Q675" s="8" t="s">
        <v>7034</v>
      </c>
      <c r="R675" s="8" t="s">
        <v>7035</v>
      </c>
    </row>
    <row r="676">
      <c r="A676" s="8" t="s">
        <v>970</v>
      </c>
      <c r="B676" s="8" t="s">
        <v>7036</v>
      </c>
      <c r="C676" s="8" t="s">
        <v>7037</v>
      </c>
      <c r="D676" s="9">
        <v>9.822338851E9</v>
      </c>
      <c r="E676" s="8" t="s">
        <v>7038</v>
      </c>
      <c r="F676" s="8" t="s">
        <v>4018</v>
      </c>
      <c r="G676" s="8" t="s">
        <v>7039</v>
      </c>
      <c r="H676" s="8" t="s">
        <v>3479</v>
      </c>
      <c r="I676" s="9">
        <v>0.0</v>
      </c>
      <c r="J676" s="9">
        <v>1547.0</v>
      </c>
      <c r="K676" s="9">
        <v>1547.0</v>
      </c>
      <c r="L676" s="9">
        <v>1547.0</v>
      </c>
      <c r="M676" s="9">
        <v>80.0</v>
      </c>
      <c r="N676" s="9">
        <v>1018.0</v>
      </c>
      <c r="O676" s="9">
        <v>449.0</v>
      </c>
      <c r="P676" s="8" t="s">
        <v>3480</v>
      </c>
      <c r="Q676" s="8"/>
      <c r="R676" s="8"/>
    </row>
    <row r="677">
      <c r="A677" s="8" t="s">
        <v>984</v>
      </c>
      <c r="B677" s="8" t="s">
        <v>7040</v>
      </c>
      <c r="C677" s="8" t="s">
        <v>7041</v>
      </c>
      <c r="D677" s="9">
        <v>7.558701609E9</v>
      </c>
      <c r="E677" s="8" t="s">
        <v>7042</v>
      </c>
      <c r="F677" s="8" t="s">
        <v>4373</v>
      </c>
      <c r="G677" s="8" t="s">
        <v>7043</v>
      </c>
      <c r="H677" s="8" t="s">
        <v>3479</v>
      </c>
      <c r="I677" s="9">
        <v>0.0</v>
      </c>
      <c r="J677" s="9">
        <v>2593.0</v>
      </c>
      <c r="K677" s="9">
        <v>2593.0</v>
      </c>
      <c r="L677" s="9">
        <v>2593.0</v>
      </c>
      <c r="M677" s="9">
        <v>1210.0</v>
      </c>
      <c r="N677" s="9">
        <v>784.0</v>
      </c>
      <c r="O677" s="9">
        <v>599.0</v>
      </c>
      <c r="P677" s="8" t="s">
        <v>3480</v>
      </c>
      <c r="Q677" s="8" t="s">
        <v>7044</v>
      </c>
      <c r="R677" s="8" t="s">
        <v>7045</v>
      </c>
    </row>
    <row r="678">
      <c r="A678" s="8" t="s">
        <v>943</v>
      </c>
      <c r="B678" s="8" t="s">
        <v>7046</v>
      </c>
      <c r="C678" s="8" t="s">
        <v>7047</v>
      </c>
      <c r="D678" s="9">
        <v>8.600190953E9</v>
      </c>
      <c r="E678" s="8" t="s">
        <v>7048</v>
      </c>
      <c r="F678" s="8" t="s">
        <v>3498</v>
      </c>
      <c r="G678" s="8" t="s">
        <v>7049</v>
      </c>
      <c r="H678" s="8" t="s">
        <v>3479</v>
      </c>
      <c r="I678" s="9">
        <v>0.0</v>
      </c>
      <c r="J678" s="9">
        <v>1150.0</v>
      </c>
      <c r="K678" s="9">
        <v>1150.0</v>
      </c>
      <c r="L678" s="9">
        <v>1150.0</v>
      </c>
      <c r="M678" s="9">
        <v>1150.0</v>
      </c>
      <c r="N678" s="9">
        <v>0.0</v>
      </c>
      <c r="O678" s="9">
        <v>0.0</v>
      </c>
      <c r="P678" s="8" t="s">
        <v>3480</v>
      </c>
      <c r="Q678" s="8" t="s">
        <v>7050</v>
      </c>
      <c r="R678" s="8" t="s">
        <v>7051</v>
      </c>
    </row>
    <row r="679">
      <c r="A679" s="8" t="s">
        <v>903</v>
      </c>
      <c r="B679" s="8" t="s">
        <v>7052</v>
      </c>
      <c r="C679" s="8" t="s">
        <v>7053</v>
      </c>
      <c r="D679" s="9">
        <v>7.447628825E9</v>
      </c>
      <c r="E679" s="8" t="s">
        <v>7054</v>
      </c>
      <c r="F679" s="8" t="s">
        <v>6118</v>
      </c>
      <c r="G679" s="8" t="s">
        <v>7055</v>
      </c>
      <c r="H679" s="8" t="s">
        <v>3479</v>
      </c>
      <c r="I679" s="9">
        <v>0.0</v>
      </c>
      <c r="J679" s="9">
        <v>1259.0</v>
      </c>
      <c r="K679" s="9">
        <v>1259.0</v>
      </c>
      <c r="L679" s="9">
        <v>1259.0</v>
      </c>
      <c r="M679" s="9">
        <v>80.0</v>
      </c>
      <c r="N679" s="9">
        <v>730.0</v>
      </c>
      <c r="O679" s="9">
        <v>449.0</v>
      </c>
      <c r="P679" s="8" t="s">
        <v>3480</v>
      </c>
      <c r="Q679" s="8" t="s">
        <v>7056</v>
      </c>
      <c r="R679" s="8" t="s">
        <v>7057</v>
      </c>
    </row>
    <row r="680">
      <c r="A680" s="8" t="s">
        <v>902</v>
      </c>
      <c r="B680" s="8" t="s">
        <v>7058</v>
      </c>
      <c r="C680" s="8" t="s">
        <v>7059</v>
      </c>
      <c r="D680" s="9">
        <v>7.758951016E9</v>
      </c>
      <c r="E680" s="8" t="s">
        <v>7060</v>
      </c>
      <c r="F680" s="8" t="s">
        <v>6118</v>
      </c>
      <c r="G680" s="8" t="s">
        <v>7061</v>
      </c>
      <c r="H680" s="8" t="s">
        <v>3479</v>
      </c>
      <c r="I680" s="9">
        <v>0.0</v>
      </c>
      <c r="J680" s="9">
        <v>920.0</v>
      </c>
      <c r="K680" s="9">
        <v>920.0</v>
      </c>
      <c r="L680" s="9">
        <v>920.0</v>
      </c>
      <c r="M680" s="9">
        <v>470.0</v>
      </c>
      <c r="N680" s="9">
        <v>0.0</v>
      </c>
      <c r="O680" s="9">
        <v>450.0</v>
      </c>
      <c r="P680" s="8" t="s">
        <v>3519</v>
      </c>
      <c r="Q680" s="8"/>
      <c r="R680" s="8"/>
    </row>
    <row r="681">
      <c r="A681" s="8" t="s">
        <v>904</v>
      </c>
      <c r="B681" s="8" t="s">
        <v>7062</v>
      </c>
      <c r="C681" s="8" t="s">
        <v>7041</v>
      </c>
      <c r="D681" s="9">
        <v>7.558701609E9</v>
      </c>
      <c r="E681" s="8" t="s">
        <v>7042</v>
      </c>
      <c r="F681" s="8" t="s">
        <v>4373</v>
      </c>
      <c r="G681" s="8" t="s">
        <v>7063</v>
      </c>
      <c r="H681" s="8" t="s">
        <v>7064</v>
      </c>
      <c r="I681" s="9">
        <v>0.0</v>
      </c>
      <c r="J681" s="9">
        <v>2400.0</v>
      </c>
      <c r="K681" s="9">
        <v>2498.0</v>
      </c>
      <c r="L681" s="9">
        <v>2400.0</v>
      </c>
      <c r="M681" s="9">
        <v>1115.0</v>
      </c>
      <c r="N681" s="9">
        <v>784.0</v>
      </c>
      <c r="O681" s="9">
        <v>599.0</v>
      </c>
      <c r="P681" s="8" t="s">
        <v>3480</v>
      </c>
      <c r="Q681" s="8" t="s">
        <v>7044</v>
      </c>
      <c r="R681" s="8" t="s">
        <v>7045</v>
      </c>
    </row>
    <row r="682">
      <c r="A682" s="8" t="s">
        <v>860</v>
      </c>
      <c r="B682" s="8" t="s">
        <v>7065</v>
      </c>
      <c r="C682" s="8" t="s">
        <v>7066</v>
      </c>
      <c r="D682" s="9">
        <v>9.158796797E9</v>
      </c>
      <c r="E682" s="8" t="s">
        <v>7067</v>
      </c>
      <c r="F682" s="8" t="s">
        <v>6508</v>
      </c>
      <c r="G682" s="8" t="s">
        <v>7068</v>
      </c>
      <c r="H682" s="8" t="s">
        <v>3479</v>
      </c>
      <c r="I682" s="9">
        <v>0.0</v>
      </c>
      <c r="J682" s="9">
        <v>4146.0</v>
      </c>
      <c r="K682" s="9">
        <v>4146.0</v>
      </c>
      <c r="L682" s="9">
        <v>4146.0</v>
      </c>
      <c r="M682" s="9">
        <v>1832.0</v>
      </c>
      <c r="N682" s="9">
        <v>1120.0</v>
      </c>
      <c r="O682" s="9">
        <v>1194.0</v>
      </c>
      <c r="P682" s="8" t="s">
        <v>4183</v>
      </c>
      <c r="Q682" s="8" t="s">
        <v>7069</v>
      </c>
      <c r="R682" s="8" t="s">
        <v>7070</v>
      </c>
    </row>
    <row r="683">
      <c r="A683" s="8" t="s">
        <v>1030</v>
      </c>
      <c r="B683" s="8" t="s">
        <v>7071</v>
      </c>
      <c r="C683" s="8" t="s">
        <v>5583</v>
      </c>
      <c r="D683" s="9">
        <v>9.890064441E9</v>
      </c>
      <c r="E683" s="8" t="s">
        <v>7072</v>
      </c>
      <c r="F683" s="8" t="s">
        <v>3768</v>
      </c>
      <c r="G683" s="8" t="s">
        <v>7073</v>
      </c>
      <c r="H683" s="8" t="s">
        <v>3479</v>
      </c>
      <c r="I683" s="9">
        <v>0.0</v>
      </c>
      <c r="J683" s="9">
        <v>2993.0</v>
      </c>
      <c r="K683" s="9">
        <v>2993.0</v>
      </c>
      <c r="L683" s="9">
        <v>2993.0</v>
      </c>
      <c r="M683" s="9">
        <v>1760.0</v>
      </c>
      <c r="N683" s="9">
        <v>784.0</v>
      </c>
      <c r="O683" s="9">
        <v>449.0</v>
      </c>
      <c r="P683" s="8" t="s">
        <v>3480</v>
      </c>
      <c r="Q683" s="8" t="s">
        <v>7074</v>
      </c>
      <c r="R683" s="8" t="s">
        <v>7075</v>
      </c>
    </row>
    <row r="684">
      <c r="A684" s="8" t="s">
        <v>901</v>
      </c>
      <c r="B684" s="8" t="s">
        <v>7076</v>
      </c>
      <c r="C684" s="8" t="s">
        <v>7077</v>
      </c>
      <c r="D684" s="9">
        <v>9.011213042E9</v>
      </c>
      <c r="E684" s="8" t="s">
        <v>7078</v>
      </c>
      <c r="F684" s="8" t="s">
        <v>5077</v>
      </c>
      <c r="G684" s="8" t="s">
        <v>7079</v>
      </c>
      <c r="H684" s="8" t="s">
        <v>3479</v>
      </c>
      <c r="I684" s="9">
        <v>0.0</v>
      </c>
      <c r="J684" s="9">
        <v>1019.0</v>
      </c>
      <c r="K684" s="9">
        <v>1019.0</v>
      </c>
      <c r="L684" s="9">
        <v>1019.0</v>
      </c>
      <c r="M684" s="9">
        <v>80.0</v>
      </c>
      <c r="N684" s="9">
        <v>190.0</v>
      </c>
      <c r="O684" s="9">
        <v>749.0</v>
      </c>
      <c r="P684" s="8" t="s">
        <v>3480</v>
      </c>
      <c r="Q684" s="8" t="s">
        <v>7080</v>
      </c>
      <c r="R684" s="8"/>
    </row>
    <row r="685">
      <c r="A685" s="8" t="s">
        <v>955</v>
      </c>
      <c r="B685" s="8" t="s">
        <v>7081</v>
      </c>
      <c r="C685" s="8" t="s">
        <v>7082</v>
      </c>
      <c r="D685" s="9">
        <v>9.922946166E9</v>
      </c>
      <c r="E685" s="8" t="s">
        <v>7083</v>
      </c>
      <c r="F685" s="8" t="s">
        <v>3498</v>
      </c>
      <c r="G685" s="8" t="s">
        <v>7084</v>
      </c>
      <c r="H685" s="8" t="s">
        <v>3479</v>
      </c>
      <c r="I685" s="9">
        <v>0.0</v>
      </c>
      <c r="J685" s="9">
        <v>3018.0</v>
      </c>
      <c r="K685" s="9">
        <v>3018.0</v>
      </c>
      <c r="L685" s="9">
        <v>3018.0</v>
      </c>
      <c r="M685" s="9">
        <v>1945.0</v>
      </c>
      <c r="N685" s="9">
        <v>549.0</v>
      </c>
      <c r="O685" s="9">
        <v>524.0</v>
      </c>
      <c r="P685" s="8" t="s">
        <v>3480</v>
      </c>
      <c r="Q685" s="8"/>
      <c r="R685" s="8"/>
    </row>
    <row r="686">
      <c r="A686" s="8" t="s">
        <v>863</v>
      </c>
      <c r="B686" s="8" t="s">
        <v>7085</v>
      </c>
      <c r="C686" s="8" t="s">
        <v>7086</v>
      </c>
      <c r="D686" s="9">
        <v>8.880519321E9</v>
      </c>
      <c r="E686" s="8" t="s">
        <v>7087</v>
      </c>
      <c r="F686" s="8" t="s">
        <v>3569</v>
      </c>
      <c r="G686" s="8" t="s">
        <v>7088</v>
      </c>
      <c r="H686" s="8" t="s">
        <v>3479</v>
      </c>
      <c r="I686" s="9">
        <v>0.0</v>
      </c>
      <c r="J686" s="9">
        <v>1726.0</v>
      </c>
      <c r="K686" s="9">
        <v>1726.0</v>
      </c>
      <c r="L686" s="9">
        <v>1726.0</v>
      </c>
      <c r="M686" s="9">
        <v>129.0</v>
      </c>
      <c r="N686" s="9">
        <v>898.0</v>
      </c>
      <c r="O686" s="9">
        <v>699.0</v>
      </c>
      <c r="P686" s="8" t="s">
        <v>4183</v>
      </c>
      <c r="Q686" s="8" t="s">
        <v>7089</v>
      </c>
      <c r="R686" s="8" t="s">
        <v>7090</v>
      </c>
    </row>
    <row r="687">
      <c r="A687" s="8" t="s">
        <v>861</v>
      </c>
      <c r="B687" s="8" t="s">
        <v>7091</v>
      </c>
      <c r="C687" s="8" t="s">
        <v>7092</v>
      </c>
      <c r="D687" s="9">
        <v>9.579516919E9</v>
      </c>
      <c r="E687" s="8" t="s">
        <v>7093</v>
      </c>
      <c r="F687" s="8" t="s">
        <v>3721</v>
      </c>
      <c r="G687" s="8" t="s">
        <v>7094</v>
      </c>
      <c r="H687" s="8" t="s">
        <v>3479</v>
      </c>
      <c r="I687" s="9">
        <v>0.0</v>
      </c>
      <c r="J687" s="9">
        <v>2497.0</v>
      </c>
      <c r="K687" s="9">
        <v>2497.0</v>
      </c>
      <c r="L687" s="9">
        <v>2497.0</v>
      </c>
      <c r="M687" s="9">
        <v>1243.0</v>
      </c>
      <c r="N687" s="9">
        <v>730.0</v>
      </c>
      <c r="O687" s="9">
        <v>524.0</v>
      </c>
      <c r="P687" s="8" t="s">
        <v>4183</v>
      </c>
      <c r="Q687" s="8" t="s">
        <v>7095</v>
      </c>
      <c r="R687" s="8" t="s">
        <v>7096</v>
      </c>
    </row>
    <row r="688">
      <c r="A688" s="8" t="s">
        <v>956</v>
      </c>
      <c r="B688" s="8" t="s">
        <v>7097</v>
      </c>
      <c r="C688" s="8" t="s">
        <v>7098</v>
      </c>
      <c r="D688" s="9">
        <v>9.881219968E9</v>
      </c>
      <c r="E688" s="8" t="s">
        <v>7099</v>
      </c>
      <c r="F688" s="8" t="s">
        <v>3594</v>
      </c>
      <c r="G688" s="8" t="s">
        <v>7100</v>
      </c>
      <c r="H688" s="8" t="s">
        <v>3479</v>
      </c>
      <c r="I688" s="9">
        <v>0.0</v>
      </c>
      <c r="J688" s="9">
        <v>1971.0</v>
      </c>
      <c r="K688" s="9">
        <v>1971.0</v>
      </c>
      <c r="L688" s="9">
        <v>1971.0</v>
      </c>
      <c r="M688" s="9">
        <v>628.0</v>
      </c>
      <c r="N688" s="9">
        <v>739.0</v>
      </c>
      <c r="O688" s="9">
        <v>604.0</v>
      </c>
      <c r="P688" s="8" t="s">
        <v>3480</v>
      </c>
      <c r="Q688" s="8" t="s">
        <v>7101</v>
      </c>
      <c r="R688" s="8" t="s">
        <v>7102</v>
      </c>
    </row>
    <row r="689">
      <c r="A689" s="8" t="s">
        <v>957</v>
      </c>
      <c r="B689" s="8" t="s">
        <v>7103</v>
      </c>
      <c r="C689" s="8" t="s">
        <v>7104</v>
      </c>
      <c r="D689" s="9">
        <v>8.408063569E9</v>
      </c>
      <c r="E689" s="8" t="s">
        <v>7105</v>
      </c>
      <c r="F689" s="8" t="s">
        <v>4373</v>
      </c>
      <c r="G689" s="8" t="s">
        <v>7106</v>
      </c>
      <c r="H689" s="8" t="s">
        <v>3479</v>
      </c>
      <c r="I689" s="9">
        <v>0.0</v>
      </c>
      <c r="J689" s="9">
        <v>2502.0</v>
      </c>
      <c r="K689" s="9">
        <v>2502.0</v>
      </c>
      <c r="L689" s="9">
        <v>2502.0</v>
      </c>
      <c r="M689" s="9">
        <v>1528.0</v>
      </c>
      <c r="N689" s="9">
        <v>0.0</v>
      </c>
      <c r="O689" s="9">
        <v>974.0</v>
      </c>
      <c r="P689" s="8" t="s">
        <v>3480</v>
      </c>
      <c r="Q689" s="8"/>
      <c r="R689" s="8"/>
    </row>
    <row r="690">
      <c r="A690" s="8" t="s">
        <v>958</v>
      </c>
      <c r="B690" s="8" t="s">
        <v>7107</v>
      </c>
      <c r="C690" s="8" t="s">
        <v>7108</v>
      </c>
      <c r="D690" s="9">
        <v>9.54545875E9</v>
      </c>
      <c r="E690" s="8" t="s">
        <v>7109</v>
      </c>
      <c r="F690" s="8" t="s">
        <v>3601</v>
      </c>
      <c r="G690" s="8" t="s">
        <v>7110</v>
      </c>
      <c r="H690" s="8" t="s">
        <v>3479</v>
      </c>
      <c r="I690" s="9">
        <v>0.0</v>
      </c>
      <c r="J690" s="9">
        <v>2923.0</v>
      </c>
      <c r="K690" s="9">
        <v>2923.0</v>
      </c>
      <c r="L690" s="9">
        <v>2923.0</v>
      </c>
      <c r="M690" s="9">
        <v>1735.0</v>
      </c>
      <c r="N690" s="9">
        <v>739.0</v>
      </c>
      <c r="O690" s="9">
        <v>449.0</v>
      </c>
      <c r="P690" s="8" t="s">
        <v>3480</v>
      </c>
      <c r="Q690" s="8" t="s">
        <v>7111</v>
      </c>
      <c r="R690" s="8" t="s">
        <v>7112</v>
      </c>
    </row>
    <row r="691">
      <c r="A691" s="8" t="s">
        <v>959</v>
      </c>
      <c r="B691" s="8" t="s">
        <v>7113</v>
      </c>
      <c r="C691" s="8" t="s">
        <v>4689</v>
      </c>
      <c r="D691" s="9">
        <v>8.600660908E9</v>
      </c>
      <c r="E691" s="8" t="s">
        <v>4690</v>
      </c>
      <c r="F691" s="8" t="s">
        <v>3721</v>
      </c>
      <c r="G691" s="8" t="s">
        <v>7114</v>
      </c>
      <c r="H691" s="8" t="s">
        <v>3479</v>
      </c>
      <c r="I691" s="9">
        <v>0.0</v>
      </c>
      <c r="J691" s="9">
        <v>1423.0</v>
      </c>
      <c r="K691" s="9">
        <v>1423.0</v>
      </c>
      <c r="L691" s="9">
        <v>1423.0</v>
      </c>
      <c r="M691" s="9">
        <v>160.0</v>
      </c>
      <c r="N691" s="9">
        <v>739.0</v>
      </c>
      <c r="O691" s="9">
        <v>524.0</v>
      </c>
      <c r="P691" s="8" t="s">
        <v>3480</v>
      </c>
      <c r="Q691" s="8" t="s">
        <v>4692</v>
      </c>
      <c r="R691" s="8" t="s">
        <v>4693</v>
      </c>
    </row>
    <row r="692">
      <c r="A692" s="8" t="s">
        <v>862</v>
      </c>
      <c r="B692" s="8" t="s">
        <v>7115</v>
      </c>
      <c r="C692" s="8" t="s">
        <v>7116</v>
      </c>
      <c r="D692" s="9">
        <v>9.860246322E9</v>
      </c>
      <c r="E692" s="8" t="s">
        <v>7117</v>
      </c>
      <c r="F692" s="8" t="s">
        <v>7118</v>
      </c>
      <c r="G692" s="8" t="s">
        <v>7119</v>
      </c>
      <c r="H692" s="8" t="s">
        <v>3479</v>
      </c>
      <c r="I692" s="9">
        <v>0.0</v>
      </c>
      <c r="J692" s="9">
        <v>1149.0</v>
      </c>
      <c r="K692" s="9">
        <v>1149.0</v>
      </c>
      <c r="L692" s="9">
        <v>1149.0</v>
      </c>
      <c r="M692" s="9">
        <v>700.0</v>
      </c>
      <c r="N692" s="9">
        <v>0.0</v>
      </c>
      <c r="O692" s="9">
        <v>449.0</v>
      </c>
      <c r="P692" s="8" t="s">
        <v>4183</v>
      </c>
      <c r="Q692" s="8" t="s">
        <v>7120</v>
      </c>
      <c r="R692" s="8" t="s">
        <v>7121</v>
      </c>
    </row>
    <row r="693">
      <c r="A693" s="8" t="s">
        <v>962</v>
      </c>
      <c r="B693" s="8" t="s">
        <v>7122</v>
      </c>
      <c r="C693" s="8" t="s">
        <v>7123</v>
      </c>
      <c r="D693" s="9">
        <v>9.422541447E9</v>
      </c>
      <c r="E693" s="8" t="s">
        <v>7124</v>
      </c>
      <c r="F693" s="8" t="s">
        <v>3594</v>
      </c>
      <c r="G693" s="8" t="s">
        <v>7125</v>
      </c>
      <c r="H693" s="8" t="s">
        <v>3479</v>
      </c>
      <c r="I693" s="9">
        <v>0.0</v>
      </c>
      <c r="J693" s="9">
        <v>2064.0</v>
      </c>
      <c r="K693" s="9">
        <v>2064.0</v>
      </c>
      <c r="L693" s="9">
        <v>2064.0</v>
      </c>
      <c r="M693" s="9">
        <v>801.0</v>
      </c>
      <c r="N693" s="9">
        <v>739.0</v>
      </c>
      <c r="O693" s="9">
        <v>524.0</v>
      </c>
      <c r="P693" s="8" t="s">
        <v>3480</v>
      </c>
      <c r="Q693" s="8" t="s">
        <v>7126</v>
      </c>
      <c r="R693" s="8" t="s">
        <v>7127</v>
      </c>
    </row>
    <row r="694">
      <c r="A694" s="8" t="s">
        <v>961</v>
      </c>
      <c r="B694" s="8" t="s">
        <v>7128</v>
      </c>
      <c r="C694" s="8" t="s">
        <v>7129</v>
      </c>
      <c r="D694" s="9">
        <v>9.552519795E9</v>
      </c>
      <c r="E694" s="8" t="s">
        <v>7130</v>
      </c>
      <c r="F694" s="8" t="s">
        <v>5492</v>
      </c>
      <c r="G694" s="8" t="s">
        <v>7131</v>
      </c>
      <c r="H694" s="8" t="s">
        <v>3479</v>
      </c>
      <c r="I694" s="9">
        <v>0.0</v>
      </c>
      <c r="J694" s="9">
        <v>1463.0</v>
      </c>
      <c r="K694" s="9">
        <v>1463.0</v>
      </c>
      <c r="L694" s="9">
        <v>1463.0</v>
      </c>
      <c r="M694" s="9">
        <v>80.0</v>
      </c>
      <c r="N694" s="9">
        <v>784.0</v>
      </c>
      <c r="O694" s="9">
        <v>599.0</v>
      </c>
      <c r="P694" s="8" t="s">
        <v>3480</v>
      </c>
      <c r="Q694" s="8"/>
      <c r="R694" s="8"/>
    </row>
    <row r="695">
      <c r="A695" s="8" t="s">
        <v>864</v>
      </c>
      <c r="B695" s="8" t="s">
        <v>7132</v>
      </c>
      <c r="C695" s="8" t="s">
        <v>5904</v>
      </c>
      <c r="D695" s="9">
        <v>9.892720321E9</v>
      </c>
      <c r="E695" s="8" t="s">
        <v>7133</v>
      </c>
      <c r="F695" s="8" t="s">
        <v>7134</v>
      </c>
      <c r="G695" s="8" t="s">
        <v>7135</v>
      </c>
      <c r="H695" s="8" t="s">
        <v>3479</v>
      </c>
      <c r="I695" s="9">
        <v>0.0</v>
      </c>
      <c r="J695" s="9">
        <v>2054.0</v>
      </c>
      <c r="K695" s="9">
        <v>2054.0</v>
      </c>
      <c r="L695" s="9">
        <v>2054.0</v>
      </c>
      <c r="M695" s="9">
        <v>1450.0</v>
      </c>
      <c r="N695" s="9">
        <v>80.0</v>
      </c>
      <c r="O695" s="9">
        <v>524.0</v>
      </c>
      <c r="P695" s="8" t="s">
        <v>4183</v>
      </c>
      <c r="Q695" s="8" t="s">
        <v>7136</v>
      </c>
      <c r="R695" s="8" t="s">
        <v>7137</v>
      </c>
    </row>
    <row r="696">
      <c r="A696" s="8" t="s">
        <v>963</v>
      </c>
      <c r="B696" s="8" t="s">
        <v>7138</v>
      </c>
      <c r="C696" s="8" t="s">
        <v>7139</v>
      </c>
      <c r="D696" s="9">
        <v>9.370716797E9</v>
      </c>
      <c r="E696" s="8" t="s">
        <v>7140</v>
      </c>
      <c r="F696" s="8" t="s">
        <v>4805</v>
      </c>
      <c r="G696" s="8" t="s">
        <v>7141</v>
      </c>
      <c r="H696" s="8" t="s">
        <v>3479</v>
      </c>
      <c r="I696" s="9">
        <v>0.0</v>
      </c>
      <c r="J696" s="9">
        <v>2998.0</v>
      </c>
      <c r="K696" s="9">
        <v>2998.0</v>
      </c>
      <c r="L696" s="9">
        <v>2998.0</v>
      </c>
      <c r="M696" s="9">
        <v>1765.0</v>
      </c>
      <c r="N696" s="9">
        <v>784.0</v>
      </c>
      <c r="O696" s="9">
        <v>449.0</v>
      </c>
      <c r="P696" s="8" t="s">
        <v>3544</v>
      </c>
      <c r="Q696" s="8" t="s">
        <v>7142</v>
      </c>
      <c r="R696" s="8" t="s">
        <v>7143</v>
      </c>
    </row>
    <row r="697">
      <c r="A697" s="8" t="s">
        <v>965</v>
      </c>
      <c r="B697" s="8" t="s">
        <v>7144</v>
      </c>
      <c r="C697" s="8" t="s">
        <v>7145</v>
      </c>
      <c r="D697" s="9">
        <v>9.049054895E9</v>
      </c>
      <c r="E697" s="8" t="s">
        <v>7146</v>
      </c>
      <c r="F697" s="8" t="s">
        <v>3846</v>
      </c>
      <c r="G697" s="8" t="s">
        <v>7147</v>
      </c>
      <c r="H697" s="8" t="s">
        <v>3479</v>
      </c>
      <c r="I697" s="9">
        <v>0.0</v>
      </c>
      <c r="J697" s="9">
        <v>3447.0</v>
      </c>
      <c r="K697" s="9">
        <v>3447.0</v>
      </c>
      <c r="L697" s="9">
        <v>3447.0</v>
      </c>
      <c r="M697" s="9">
        <v>1333.0</v>
      </c>
      <c r="N697" s="9">
        <v>1040.0</v>
      </c>
      <c r="O697" s="9">
        <v>1074.0</v>
      </c>
      <c r="P697" s="8" t="s">
        <v>3480</v>
      </c>
      <c r="Q697" s="8" t="s">
        <v>7148</v>
      </c>
      <c r="R697" s="8" t="s">
        <v>7149</v>
      </c>
    </row>
    <row r="698">
      <c r="A698" s="8" t="s">
        <v>960</v>
      </c>
      <c r="B698" s="8" t="s">
        <v>7150</v>
      </c>
      <c r="C698" s="8" t="s">
        <v>7151</v>
      </c>
      <c r="D698" s="9">
        <v>9.552137691E9</v>
      </c>
      <c r="E698" s="8" t="s">
        <v>7152</v>
      </c>
      <c r="F698" s="8" t="s">
        <v>3589</v>
      </c>
      <c r="G698" s="8" t="s">
        <v>7153</v>
      </c>
      <c r="H698" s="8" t="s">
        <v>3479</v>
      </c>
      <c r="I698" s="9">
        <v>0.0</v>
      </c>
      <c r="J698" s="9">
        <v>3751.0</v>
      </c>
      <c r="K698" s="9">
        <v>3751.0</v>
      </c>
      <c r="L698" s="9">
        <v>3751.0</v>
      </c>
      <c r="M698" s="9">
        <v>2563.0</v>
      </c>
      <c r="N698" s="9">
        <v>739.0</v>
      </c>
      <c r="O698" s="9">
        <v>449.0</v>
      </c>
      <c r="P698" s="8" t="s">
        <v>3480</v>
      </c>
      <c r="Q698" s="8"/>
      <c r="R698" s="8"/>
    </row>
    <row r="699">
      <c r="A699" s="8" t="s">
        <v>866</v>
      </c>
      <c r="B699" s="8" t="s">
        <v>7154</v>
      </c>
      <c r="C699" s="8" t="s">
        <v>7155</v>
      </c>
      <c r="D699" s="9">
        <v>9.604788998E9</v>
      </c>
      <c r="E699" s="8" t="s">
        <v>7156</v>
      </c>
      <c r="F699" s="8" t="s">
        <v>7157</v>
      </c>
      <c r="G699" s="8" t="s">
        <v>7158</v>
      </c>
      <c r="H699" s="8" t="s">
        <v>3479</v>
      </c>
      <c r="I699" s="9">
        <v>0.0</v>
      </c>
      <c r="J699" s="9">
        <v>1504.0</v>
      </c>
      <c r="K699" s="9">
        <v>1504.0</v>
      </c>
      <c r="L699" s="9">
        <v>1504.0</v>
      </c>
      <c r="M699" s="9">
        <v>325.0</v>
      </c>
      <c r="N699" s="9">
        <v>730.0</v>
      </c>
      <c r="O699" s="9">
        <v>449.0</v>
      </c>
      <c r="P699" s="8" t="s">
        <v>4183</v>
      </c>
      <c r="Q699" s="8" t="s">
        <v>7159</v>
      </c>
      <c r="R699" s="8" t="s">
        <v>7160</v>
      </c>
    </row>
    <row r="700">
      <c r="A700" s="8" t="s">
        <v>964</v>
      </c>
      <c r="B700" s="8" t="s">
        <v>7161</v>
      </c>
      <c r="C700" s="8" t="s">
        <v>7162</v>
      </c>
      <c r="D700" s="9">
        <v>9.975556564E9</v>
      </c>
      <c r="E700" s="8" t="s">
        <v>7163</v>
      </c>
      <c r="F700" s="8" t="s">
        <v>7164</v>
      </c>
      <c r="G700" s="8" t="s">
        <v>7165</v>
      </c>
      <c r="H700" s="8" t="s">
        <v>3479</v>
      </c>
      <c r="I700" s="9">
        <v>0.0</v>
      </c>
      <c r="J700" s="9">
        <v>2087.0</v>
      </c>
      <c r="K700" s="9">
        <v>2087.0</v>
      </c>
      <c r="L700" s="9">
        <v>2087.0</v>
      </c>
      <c r="M700" s="9">
        <v>398.0</v>
      </c>
      <c r="N700" s="9">
        <v>910.0</v>
      </c>
      <c r="O700" s="9">
        <v>779.0</v>
      </c>
      <c r="P700" s="8" t="s">
        <v>3480</v>
      </c>
      <c r="Q700" s="8"/>
      <c r="R700" s="8"/>
    </row>
    <row r="701">
      <c r="A701" s="8" t="s">
        <v>966</v>
      </c>
      <c r="B701" s="8" t="s">
        <v>7166</v>
      </c>
      <c r="C701" s="8" t="s">
        <v>7167</v>
      </c>
      <c r="D701" s="9">
        <v>9.766239407E9</v>
      </c>
      <c r="E701" s="8" t="s">
        <v>7168</v>
      </c>
      <c r="F701" s="8" t="s">
        <v>3697</v>
      </c>
      <c r="G701" s="8" t="s">
        <v>7169</v>
      </c>
      <c r="H701" s="8" t="s">
        <v>3479</v>
      </c>
      <c r="I701" s="9">
        <v>0.0</v>
      </c>
      <c r="J701" s="9">
        <v>1550.0</v>
      </c>
      <c r="K701" s="9">
        <v>1550.0</v>
      </c>
      <c r="L701" s="9">
        <v>1550.0</v>
      </c>
      <c r="M701" s="9">
        <v>1550.0</v>
      </c>
      <c r="N701" s="9">
        <v>0.0</v>
      </c>
      <c r="O701" s="9">
        <v>0.0</v>
      </c>
      <c r="P701" s="8" t="s">
        <v>3480</v>
      </c>
      <c r="Q701" s="8"/>
      <c r="R701" s="8"/>
    </row>
    <row r="702">
      <c r="A702" s="8" t="s">
        <v>1041</v>
      </c>
      <c r="B702" s="8" t="s">
        <v>7170</v>
      </c>
      <c r="C702" s="8" t="s">
        <v>7171</v>
      </c>
      <c r="D702" s="9">
        <v>8.999471673E9</v>
      </c>
      <c r="E702" s="8" t="s">
        <v>7172</v>
      </c>
      <c r="F702" s="8" t="s">
        <v>3608</v>
      </c>
      <c r="G702" s="8" t="s">
        <v>7173</v>
      </c>
      <c r="H702" s="8" t="s">
        <v>3479</v>
      </c>
      <c r="I702" s="9">
        <v>1512.0</v>
      </c>
      <c r="J702" s="9">
        <v>0.0</v>
      </c>
      <c r="K702" s="9">
        <v>1512.0</v>
      </c>
      <c r="L702" s="9">
        <v>1512.0</v>
      </c>
      <c r="M702" s="9">
        <v>333.0</v>
      </c>
      <c r="N702" s="9">
        <v>730.0</v>
      </c>
      <c r="O702" s="9">
        <v>449.0</v>
      </c>
      <c r="P702" s="8" t="s">
        <v>3480</v>
      </c>
      <c r="Q702" s="8" t="s">
        <v>7174</v>
      </c>
      <c r="R702" s="8" t="s">
        <v>7175</v>
      </c>
    </row>
    <row r="703">
      <c r="A703" s="8" t="s">
        <v>967</v>
      </c>
      <c r="B703" s="8" t="s">
        <v>7176</v>
      </c>
      <c r="C703" s="8" t="s">
        <v>7177</v>
      </c>
      <c r="D703" s="9">
        <v>9.422733881E9</v>
      </c>
      <c r="E703" s="8" t="s">
        <v>7178</v>
      </c>
      <c r="F703" s="8" t="s">
        <v>4059</v>
      </c>
      <c r="G703" s="8" t="s">
        <v>7179</v>
      </c>
      <c r="H703" s="8" t="s">
        <v>3479</v>
      </c>
      <c r="I703" s="9">
        <v>0.0</v>
      </c>
      <c r="J703" s="9">
        <v>3211.0</v>
      </c>
      <c r="K703" s="9">
        <v>3211.0</v>
      </c>
      <c r="L703" s="9">
        <v>3211.0</v>
      </c>
      <c r="M703" s="9">
        <v>1158.0</v>
      </c>
      <c r="N703" s="9">
        <v>849.0</v>
      </c>
      <c r="O703" s="9">
        <v>1204.0</v>
      </c>
      <c r="P703" s="8" t="s">
        <v>3480</v>
      </c>
      <c r="Q703" s="8"/>
      <c r="R703" s="8"/>
    </row>
    <row r="704">
      <c r="A704" s="8" t="s">
        <v>865</v>
      </c>
      <c r="B704" s="8" t="s">
        <v>7180</v>
      </c>
      <c r="C704" s="8" t="s">
        <v>7181</v>
      </c>
      <c r="D704" s="9">
        <v>9.893864338E9</v>
      </c>
      <c r="E704" s="8" t="s">
        <v>7182</v>
      </c>
      <c r="F704" s="8" t="s">
        <v>3589</v>
      </c>
      <c r="G704" s="8" t="s">
        <v>7183</v>
      </c>
      <c r="H704" s="8" t="s">
        <v>3479</v>
      </c>
      <c r="I704" s="9">
        <v>0.0</v>
      </c>
      <c r="J704" s="9">
        <v>1901.0</v>
      </c>
      <c r="K704" s="9">
        <v>1901.0</v>
      </c>
      <c r="L704" s="9">
        <v>1901.0</v>
      </c>
      <c r="M704" s="9">
        <v>647.0</v>
      </c>
      <c r="N704" s="9">
        <v>730.0</v>
      </c>
      <c r="O704" s="9">
        <v>524.0</v>
      </c>
      <c r="P704" s="8" t="s">
        <v>4183</v>
      </c>
      <c r="Q704" s="8" t="s">
        <v>7184</v>
      </c>
      <c r="R704" s="8" t="s">
        <v>7185</v>
      </c>
    </row>
    <row r="705">
      <c r="A705" s="8" t="s">
        <v>867</v>
      </c>
      <c r="B705" s="8" t="s">
        <v>7186</v>
      </c>
      <c r="C705" s="8" t="s">
        <v>7187</v>
      </c>
      <c r="D705" s="9">
        <v>9.82314225E9</v>
      </c>
      <c r="E705" s="8" t="s">
        <v>7188</v>
      </c>
      <c r="F705" s="8" t="s">
        <v>3498</v>
      </c>
      <c r="G705" s="8" t="s">
        <v>7189</v>
      </c>
      <c r="H705" s="8" t="s">
        <v>3479</v>
      </c>
      <c r="I705" s="9">
        <v>0.0</v>
      </c>
      <c r="J705" s="9">
        <v>1708.0</v>
      </c>
      <c r="K705" s="9">
        <v>1708.0</v>
      </c>
      <c r="L705" s="9">
        <v>1708.0</v>
      </c>
      <c r="M705" s="9">
        <v>454.0</v>
      </c>
      <c r="N705" s="9">
        <v>730.0</v>
      </c>
      <c r="O705" s="9">
        <v>524.0</v>
      </c>
      <c r="P705" s="8" t="s">
        <v>6294</v>
      </c>
      <c r="Q705" s="8" t="s">
        <v>7190</v>
      </c>
      <c r="R705" s="8" t="s">
        <v>7191</v>
      </c>
    </row>
    <row r="706">
      <c r="A706" s="8" t="s">
        <v>868</v>
      </c>
      <c r="B706" s="8" t="s">
        <v>7192</v>
      </c>
      <c r="C706" s="8" t="s">
        <v>7193</v>
      </c>
      <c r="D706" s="9">
        <v>9.371812725E9</v>
      </c>
      <c r="E706" s="8" t="s">
        <v>7194</v>
      </c>
      <c r="F706" s="8" t="s">
        <v>5771</v>
      </c>
      <c r="G706" s="8" t="s">
        <v>7195</v>
      </c>
      <c r="H706" s="8" t="s">
        <v>3479</v>
      </c>
      <c r="I706" s="9">
        <v>0.0</v>
      </c>
      <c r="J706" s="9">
        <v>3209.0</v>
      </c>
      <c r="K706" s="9">
        <v>3209.0</v>
      </c>
      <c r="L706" s="9">
        <v>3209.0</v>
      </c>
      <c r="M706" s="9">
        <v>1039.0</v>
      </c>
      <c r="N706" s="9">
        <v>1016.0</v>
      </c>
      <c r="O706" s="9">
        <v>1154.0</v>
      </c>
      <c r="P706" s="8" t="s">
        <v>4183</v>
      </c>
      <c r="Q706" s="8" t="s">
        <v>7196</v>
      </c>
      <c r="R706" s="8" t="s">
        <v>7197</v>
      </c>
    </row>
    <row r="707">
      <c r="A707" s="8" t="s">
        <v>869</v>
      </c>
      <c r="B707" s="8" t="s">
        <v>7198</v>
      </c>
      <c r="C707" s="8" t="s">
        <v>7199</v>
      </c>
      <c r="D707" s="9">
        <v>8.08727497E9</v>
      </c>
      <c r="E707" s="8" t="s">
        <v>7200</v>
      </c>
      <c r="F707" s="8" t="s">
        <v>3594</v>
      </c>
      <c r="G707" s="8" t="s">
        <v>7201</v>
      </c>
      <c r="H707" s="8" t="s">
        <v>3479</v>
      </c>
      <c r="I707" s="9">
        <v>0.0</v>
      </c>
      <c r="J707" s="9">
        <v>2186.0</v>
      </c>
      <c r="K707" s="9">
        <v>2186.0</v>
      </c>
      <c r="L707" s="9">
        <v>2186.0</v>
      </c>
      <c r="M707" s="9">
        <v>945.0</v>
      </c>
      <c r="N707" s="9">
        <v>717.0</v>
      </c>
      <c r="O707" s="9">
        <v>524.0</v>
      </c>
      <c r="P707" s="8" t="s">
        <v>4183</v>
      </c>
      <c r="Q707" s="8" t="s">
        <v>7202</v>
      </c>
      <c r="R707" s="8" t="s">
        <v>7203</v>
      </c>
    </row>
    <row r="708">
      <c r="A708" s="8" t="s">
        <v>905</v>
      </c>
      <c r="B708" s="8" t="s">
        <v>7204</v>
      </c>
      <c r="C708" s="8" t="s">
        <v>7205</v>
      </c>
      <c r="D708" s="9">
        <v>8.087489274E9</v>
      </c>
      <c r="E708" s="8" t="s">
        <v>7206</v>
      </c>
      <c r="F708" s="8" t="s">
        <v>3768</v>
      </c>
      <c r="G708" s="8" t="s">
        <v>7207</v>
      </c>
      <c r="H708" s="8" t="s">
        <v>3479</v>
      </c>
      <c r="I708" s="9">
        <v>0.0</v>
      </c>
      <c r="J708" s="9">
        <v>3628.0</v>
      </c>
      <c r="K708" s="9">
        <v>3628.0</v>
      </c>
      <c r="L708" s="9">
        <v>3628.0</v>
      </c>
      <c r="M708" s="9">
        <v>2020.0</v>
      </c>
      <c r="N708" s="9">
        <v>784.0</v>
      </c>
      <c r="O708" s="9">
        <v>824.0</v>
      </c>
      <c r="P708" s="8" t="s">
        <v>3480</v>
      </c>
      <c r="Q708" s="8"/>
      <c r="R708" s="8"/>
    </row>
    <row r="709">
      <c r="A709" s="8" t="s">
        <v>968</v>
      </c>
      <c r="B709" s="8" t="s">
        <v>7208</v>
      </c>
      <c r="C709" s="8" t="s">
        <v>6988</v>
      </c>
      <c r="D709" s="9">
        <v>9.975562308E9</v>
      </c>
      <c r="E709" s="8" t="s">
        <v>7209</v>
      </c>
      <c r="F709" s="8" t="s">
        <v>3821</v>
      </c>
      <c r="G709" s="8" t="s">
        <v>7210</v>
      </c>
      <c r="H709" s="8" t="s">
        <v>3479</v>
      </c>
      <c r="I709" s="9">
        <v>0.0</v>
      </c>
      <c r="J709" s="9">
        <v>3351.0</v>
      </c>
      <c r="K709" s="9">
        <v>3351.0</v>
      </c>
      <c r="L709" s="9">
        <v>3351.0</v>
      </c>
      <c r="M709" s="9">
        <v>2088.0</v>
      </c>
      <c r="N709" s="9">
        <v>739.0</v>
      </c>
      <c r="O709" s="9">
        <v>524.0</v>
      </c>
      <c r="P709" s="8" t="s">
        <v>3480</v>
      </c>
      <c r="Q709" s="8" t="s">
        <v>7211</v>
      </c>
      <c r="R709" s="8" t="s">
        <v>7212</v>
      </c>
    </row>
    <row r="710">
      <c r="A710" s="8" t="s">
        <v>906</v>
      </c>
      <c r="B710" s="8" t="s">
        <v>7213</v>
      </c>
      <c r="C710" s="8" t="s">
        <v>7214</v>
      </c>
      <c r="D710" s="9">
        <v>9.370192988E9</v>
      </c>
      <c r="E710" s="8" t="s">
        <v>7215</v>
      </c>
      <c r="F710" s="8" t="s">
        <v>3589</v>
      </c>
      <c r="G710" s="8" t="s">
        <v>7216</v>
      </c>
      <c r="H710" s="8" t="s">
        <v>3479</v>
      </c>
      <c r="I710" s="9">
        <v>0.0</v>
      </c>
      <c r="J710" s="9">
        <v>1071.0</v>
      </c>
      <c r="K710" s="9">
        <v>1071.0</v>
      </c>
      <c r="L710" s="9">
        <v>1071.0</v>
      </c>
      <c r="M710" s="9">
        <v>996.0</v>
      </c>
      <c r="N710" s="9">
        <v>0.0</v>
      </c>
      <c r="O710" s="9">
        <v>75.0</v>
      </c>
      <c r="P710" s="8" t="s">
        <v>3480</v>
      </c>
      <c r="Q710" s="8" t="s">
        <v>7217</v>
      </c>
      <c r="R710" s="8" t="s">
        <v>7218</v>
      </c>
    </row>
    <row r="711">
      <c r="A711" s="8" t="s">
        <v>969</v>
      </c>
      <c r="B711" s="8" t="s">
        <v>7219</v>
      </c>
      <c r="C711" s="8" t="s">
        <v>7220</v>
      </c>
      <c r="D711" s="9">
        <v>9.764696387E9</v>
      </c>
      <c r="E711" s="8" t="s">
        <v>7221</v>
      </c>
      <c r="F711" s="8" t="s">
        <v>3821</v>
      </c>
      <c r="G711" s="8" t="s">
        <v>7222</v>
      </c>
      <c r="H711" s="8" t="s">
        <v>3479</v>
      </c>
      <c r="I711" s="9">
        <v>0.0</v>
      </c>
      <c r="J711" s="9">
        <v>1473.0</v>
      </c>
      <c r="K711" s="9">
        <v>1473.0</v>
      </c>
      <c r="L711" s="9">
        <v>1473.0</v>
      </c>
      <c r="M711" s="9">
        <v>210.0</v>
      </c>
      <c r="N711" s="9">
        <v>739.0</v>
      </c>
      <c r="O711" s="9">
        <v>524.0</v>
      </c>
      <c r="P711" s="8" t="s">
        <v>3519</v>
      </c>
      <c r="Q711" s="8" t="s">
        <v>7223</v>
      </c>
      <c r="R711" s="8"/>
    </row>
    <row r="712">
      <c r="A712" s="8" t="s">
        <v>908</v>
      </c>
      <c r="B712" s="8" t="s">
        <v>7224</v>
      </c>
      <c r="C712" s="8" t="s">
        <v>7225</v>
      </c>
      <c r="D712" s="9">
        <v>7.905469291E9</v>
      </c>
      <c r="E712" s="8" t="s">
        <v>7226</v>
      </c>
      <c r="F712" s="8" t="s">
        <v>3523</v>
      </c>
      <c r="G712" s="8" t="s">
        <v>7227</v>
      </c>
      <c r="H712" s="8" t="s">
        <v>3479</v>
      </c>
      <c r="I712" s="9">
        <v>0.0</v>
      </c>
      <c r="J712" s="9">
        <v>3228.0</v>
      </c>
      <c r="K712" s="9">
        <v>3228.0</v>
      </c>
      <c r="L712" s="9">
        <v>3228.0</v>
      </c>
      <c r="M712" s="9">
        <v>2004.0</v>
      </c>
      <c r="N712" s="9">
        <v>730.0</v>
      </c>
      <c r="O712" s="9">
        <v>494.0</v>
      </c>
      <c r="P712" s="8" t="s">
        <v>3480</v>
      </c>
      <c r="Q712" s="8" t="s">
        <v>7228</v>
      </c>
      <c r="R712" s="8" t="s">
        <v>7229</v>
      </c>
    </row>
    <row r="713">
      <c r="A713" s="8" t="s">
        <v>910</v>
      </c>
      <c r="B713" s="8" t="s">
        <v>7230</v>
      </c>
      <c r="C713" s="8" t="s">
        <v>7231</v>
      </c>
      <c r="D713" s="9">
        <v>9.309471948E9</v>
      </c>
      <c r="E713" s="8" t="s">
        <v>7232</v>
      </c>
      <c r="F713" s="8" t="s">
        <v>7233</v>
      </c>
      <c r="G713" s="8" t="s">
        <v>7234</v>
      </c>
      <c r="H713" s="8" t="s">
        <v>3479</v>
      </c>
      <c r="I713" s="9">
        <v>0.0</v>
      </c>
      <c r="J713" s="9">
        <v>1718.0</v>
      </c>
      <c r="K713" s="9">
        <v>1718.0</v>
      </c>
      <c r="L713" s="9">
        <v>1718.0</v>
      </c>
      <c r="M713" s="9">
        <v>485.0</v>
      </c>
      <c r="N713" s="9">
        <v>784.0</v>
      </c>
      <c r="O713" s="9">
        <v>449.0</v>
      </c>
      <c r="P713" s="8" t="s">
        <v>3480</v>
      </c>
      <c r="Q713" s="8" t="s">
        <v>4381</v>
      </c>
      <c r="R713" s="8" t="s">
        <v>7235</v>
      </c>
    </row>
    <row r="714">
      <c r="A714" s="8" t="s">
        <v>911</v>
      </c>
      <c r="B714" s="8" t="s">
        <v>7236</v>
      </c>
      <c r="C714" s="8" t="s">
        <v>7237</v>
      </c>
      <c r="D714" s="9">
        <v>9.373825616E9</v>
      </c>
      <c r="E714" s="8" t="s">
        <v>7238</v>
      </c>
      <c r="F714" s="8" t="s">
        <v>3977</v>
      </c>
      <c r="G714" s="8" t="s">
        <v>7239</v>
      </c>
      <c r="H714" s="8" t="s">
        <v>3479</v>
      </c>
      <c r="I714" s="9">
        <v>0.0</v>
      </c>
      <c r="J714" s="9">
        <v>1259.0</v>
      </c>
      <c r="K714" s="9">
        <v>1259.0</v>
      </c>
      <c r="L714" s="9">
        <v>1259.0</v>
      </c>
      <c r="M714" s="9">
        <v>80.0</v>
      </c>
      <c r="N714" s="9">
        <v>730.0</v>
      </c>
      <c r="O714" s="9">
        <v>449.0</v>
      </c>
      <c r="P714" s="8" t="s">
        <v>3480</v>
      </c>
      <c r="Q714" s="8" t="s">
        <v>7240</v>
      </c>
      <c r="R714" s="8" t="s">
        <v>7241</v>
      </c>
    </row>
    <row r="715">
      <c r="A715" s="8" t="s">
        <v>1031</v>
      </c>
      <c r="B715" s="8" t="s">
        <v>7242</v>
      </c>
      <c r="C715" s="8" t="s">
        <v>7243</v>
      </c>
      <c r="D715" s="9">
        <v>9.370116607E9</v>
      </c>
      <c r="E715" s="8" t="s">
        <v>7244</v>
      </c>
      <c r="F715" s="8" t="s">
        <v>3564</v>
      </c>
      <c r="G715" s="8" t="s">
        <v>7245</v>
      </c>
      <c r="H715" s="8" t="s">
        <v>3479</v>
      </c>
      <c r="I715" s="9">
        <v>0.0</v>
      </c>
      <c r="J715" s="9">
        <v>1716.0</v>
      </c>
      <c r="K715" s="9">
        <v>1716.0</v>
      </c>
      <c r="L715" s="9">
        <v>1716.0</v>
      </c>
      <c r="M715" s="9">
        <v>502.0</v>
      </c>
      <c r="N715" s="9">
        <v>190.0</v>
      </c>
      <c r="O715" s="9">
        <v>1024.0</v>
      </c>
      <c r="P715" s="8" t="s">
        <v>3480</v>
      </c>
      <c r="Q715" s="8"/>
      <c r="R715" s="8"/>
    </row>
    <row r="716">
      <c r="A716" s="8" t="s">
        <v>944</v>
      </c>
      <c r="B716" s="8" t="s">
        <v>7246</v>
      </c>
      <c r="C716" s="8" t="s">
        <v>7247</v>
      </c>
      <c r="D716" s="9">
        <v>9.011095149E9</v>
      </c>
      <c r="E716" s="8" t="s">
        <v>7248</v>
      </c>
      <c r="F716" s="8" t="s">
        <v>3601</v>
      </c>
      <c r="G716" s="8" t="s">
        <v>7249</v>
      </c>
      <c r="H716" s="8" t="s">
        <v>5254</v>
      </c>
      <c r="I716" s="9">
        <v>0.0</v>
      </c>
      <c r="J716" s="9">
        <v>2100.0</v>
      </c>
      <c r="K716" s="9">
        <v>2136.0</v>
      </c>
      <c r="L716" s="9">
        <v>2100.0</v>
      </c>
      <c r="M716" s="9">
        <v>608.0</v>
      </c>
      <c r="N716" s="9">
        <v>804.0</v>
      </c>
      <c r="O716" s="9">
        <v>724.0</v>
      </c>
      <c r="P716" s="8" t="s">
        <v>3480</v>
      </c>
      <c r="Q716" s="8" t="s">
        <v>7250</v>
      </c>
      <c r="R716" s="8" t="s">
        <v>7251</v>
      </c>
    </row>
    <row r="717">
      <c r="A717" s="8" t="s">
        <v>945</v>
      </c>
      <c r="B717" s="8" t="s">
        <v>7252</v>
      </c>
      <c r="C717" s="8" t="s">
        <v>7253</v>
      </c>
      <c r="D717" s="9">
        <v>8.237012346E9</v>
      </c>
      <c r="E717" s="8" t="s">
        <v>7254</v>
      </c>
      <c r="F717" s="8" t="s">
        <v>5923</v>
      </c>
      <c r="G717" s="8" t="s">
        <v>7255</v>
      </c>
      <c r="H717" s="8" t="s">
        <v>3479</v>
      </c>
      <c r="I717" s="9">
        <v>0.0</v>
      </c>
      <c r="J717" s="9">
        <v>1953.0</v>
      </c>
      <c r="K717" s="9">
        <v>1953.0</v>
      </c>
      <c r="L717" s="9">
        <v>1953.0</v>
      </c>
      <c r="M717" s="9">
        <v>610.0</v>
      </c>
      <c r="N717" s="9">
        <v>739.0</v>
      </c>
      <c r="O717" s="9">
        <v>604.0</v>
      </c>
      <c r="P717" s="8" t="s">
        <v>3480</v>
      </c>
      <c r="Q717" s="8" t="s">
        <v>7256</v>
      </c>
      <c r="R717" s="8" t="s">
        <v>7257</v>
      </c>
    </row>
    <row r="718">
      <c r="A718" s="8" t="s">
        <v>909</v>
      </c>
      <c r="B718" s="8" t="s">
        <v>7258</v>
      </c>
      <c r="C718" s="8" t="s">
        <v>7259</v>
      </c>
      <c r="D718" s="9">
        <v>7.79639047E9</v>
      </c>
      <c r="E718" s="8" t="s">
        <v>7260</v>
      </c>
      <c r="F718" s="8" t="s">
        <v>3550</v>
      </c>
      <c r="G718" s="8" t="s">
        <v>7261</v>
      </c>
      <c r="H718" s="8" t="s">
        <v>3479</v>
      </c>
      <c r="I718" s="9">
        <v>0.0</v>
      </c>
      <c r="J718" s="9">
        <v>2434.0</v>
      </c>
      <c r="K718" s="9">
        <v>2434.0</v>
      </c>
      <c r="L718" s="9">
        <v>2434.0</v>
      </c>
      <c r="M718" s="9">
        <v>880.0</v>
      </c>
      <c r="N718" s="9">
        <v>730.0</v>
      </c>
      <c r="O718" s="9">
        <v>824.0</v>
      </c>
      <c r="P718" s="8" t="s">
        <v>3519</v>
      </c>
      <c r="Q718" s="8"/>
      <c r="R718" s="8"/>
    </row>
    <row r="719">
      <c r="A719" s="8" t="s">
        <v>948</v>
      </c>
      <c r="B719" s="8" t="s">
        <v>7262</v>
      </c>
      <c r="C719" s="8" t="s">
        <v>7263</v>
      </c>
      <c r="D719" s="9">
        <v>9.765844529E9</v>
      </c>
      <c r="E719" s="8" t="s">
        <v>7264</v>
      </c>
      <c r="F719" s="8" t="s">
        <v>3908</v>
      </c>
      <c r="G719" s="8" t="s">
        <v>7265</v>
      </c>
      <c r="H719" s="8" t="s">
        <v>3479</v>
      </c>
      <c r="I719" s="9">
        <v>0.0</v>
      </c>
      <c r="J719" s="9">
        <v>2979.0</v>
      </c>
      <c r="K719" s="9">
        <v>2979.0</v>
      </c>
      <c r="L719" s="9">
        <v>2979.0</v>
      </c>
      <c r="M719" s="9">
        <v>1365.0</v>
      </c>
      <c r="N719" s="9">
        <v>840.0</v>
      </c>
      <c r="O719" s="9">
        <v>774.0</v>
      </c>
      <c r="P719" s="8" t="s">
        <v>3480</v>
      </c>
      <c r="Q719" s="8" t="s">
        <v>7266</v>
      </c>
      <c r="R719" s="8" t="s">
        <v>7267</v>
      </c>
    </row>
    <row r="720">
      <c r="A720" s="8" t="s">
        <v>949</v>
      </c>
      <c r="B720" s="8" t="s">
        <v>7268</v>
      </c>
      <c r="C720" s="8" t="s">
        <v>3712</v>
      </c>
      <c r="D720" s="9">
        <v>8.237669414E9</v>
      </c>
      <c r="E720" s="8" t="s">
        <v>3713</v>
      </c>
      <c r="F720" s="8" t="s">
        <v>3714</v>
      </c>
      <c r="G720" s="8" t="s">
        <v>7269</v>
      </c>
      <c r="H720" s="8" t="s">
        <v>3479</v>
      </c>
      <c r="I720" s="9">
        <v>0.0</v>
      </c>
      <c r="J720" s="9">
        <v>3062.0</v>
      </c>
      <c r="K720" s="9">
        <v>3062.0</v>
      </c>
      <c r="L720" s="9">
        <v>3062.0</v>
      </c>
      <c r="M720" s="9">
        <v>1248.0</v>
      </c>
      <c r="N720" s="9">
        <v>840.0</v>
      </c>
      <c r="O720" s="9">
        <v>974.0</v>
      </c>
      <c r="P720" s="8" t="s">
        <v>3480</v>
      </c>
      <c r="Q720" s="8" t="s">
        <v>3716</v>
      </c>
      <c r="R720" s="8" t="s">
        <v>3717</v>
      </c>
    </row>
    <row r="721">
      <c r="A721" s="8" t="s">
        <v>907</v>
      </c>
      <c r="B721" s="8" t="s">
        <v>7270</v>
      </c>
      <c r="C721" s="8" t="s">
        <v>4960</v>
      </c>
      <c r="D721" s="9">
        <v>9.096400647E9</v>
      </c>
      <c r="E721" s="8" t="s">
        <v>7271</v>
      </c>
      <c r="F721" s="8" t="s">
        <v>3901</v>
      </c>
      <c r="G721" s="8" t="s">
        <v>7272</v>
      </c>
      <c r="H721" s="8" t="s">
        <v>3479</v>
      </c>
      <c r="I721" s="9">
        <v>0.0</v>
      </c>
      <c r="J721" s="9">
        <v>679.0</v>
      </c>
      <c r="K721" s="9">
        <v>679.0</v>
      </c>
      <c r="L721" s="9">
        <v>679.0</v>
      </c>
      <c r="M721" s="9">
        <v>80.0</v>
      </c>
      <c r="N721" s="9">
        <v>0.0</v>
      </c>
      <c r="O721" s="9">
        <v>599.0</v>
      </c>
      <c r="P721" s="8" t="s">
        <v>3480</v>
      </c>
      <c r="Q721" s="8"/>
      <c r="R721" s="8"/>
    </row>
    <row r="722">
      <c r="A722" s="8" t="s">
        <v>946</v>
      </c>
      <c r="B722" s="8" t="s">
        <v>7273</v>
      </c>
      <c r="C722" s="8" t="s">
        <v>7274</v>
      </c>
      <c r="D722" s="9">
        <v>9.130032065E9</v>
      </c>
      <c r="E722" s="8" t="s">
        <v>7275</v>
      </c>
      <c r="F722" s="8" t="s">
        <v>7276</v>
      </c>
      <c r="G722" s="8" t="s">
        <v>7277</v>
      </c>
      <c r="H722" s="8" t="s">
        <v>3479</v>
      </c>
      <c r="I722" s="9">
        <v>0.0</v>
      </c>
      <c r="J722" s="9">
        <v>3183.0</v>
      </c>
      <c r="K722" s="9">
        <v>3183.0</v>
      </c>
      <c r="L722" s="9">
        <v>3183.0</v>
      </c>
      <c r="M722" s="9">
        <v>604.0</v>
      </c>
      <c r="N722" s="9">
        <v>1405.0</v>
      </c>
      <c r="O722" s="9">
        <v>1174.0</v>
      </c>
      <c r="P722" s="8" t="s">
        <v>3480</v>
      </c>
      <c r="Q722" s="8"/>
      <c r="R722" s="8"/>
    </row>
    <row r="723">
      <c r="A723" s="8" t="s">
        <v>1032</v>
      </c>
      <c r="B723" s="8" t="s">
        <v>7278</v>
      </c>
      <c r="C723" s="8" t="s">
        <v>7279</v>
      </c>
      <c r="D723" s="9">
        <v>9.763971166E9</v>
      </c>
      <c r="E723" s="8" t="s">
        <v>7280</v>
      </c>
      <c r="F723" s="8" t="s">
        <v>3589</v>
      </c>
      <c r="G723" s="8" t="s">
        <v>7281</v>
      </c>
      <c r="H723" s="8" t="s">
        <v>3479</v>
      </c>
      <c r="I723" s="9">
        <v>0.0</v>
      </c>
      <c r="J723" s="9">
        <v>2108.0</v>
      </c>
      <c r="K723" s="9">
        <v>2108.0</v>
      </c>
      <c r="L723" s="9">
        <v>2108.0</v>
      </c>
      <c r="M723" s="9">
        <v>854.0</v>
      </c>
      <c r="N723" s="9">
        <v>730.0</v>
      </c>
      <c r="O723" s="9">
        <v>524.0</v>
      </c>
      <c r="P723" s="8" t="s">
        <v>3519</v>
      </c>
      <c r="Q723" s="8" t="s">
        <v>7282</v>
      </c>
      <c r="R723" s="8" t="s">
        <v>7283</v>
      </c>
    </row>
    <row r="724">
      <c r="A724" s="8" t="s">
        <v>1083</v>
      </c>
      <c r="B724" s="8" t="s">
        <v>7284</v>
      </c>
      <c r="C724" s="8" t="s">
        <v>3899</v>
      </c>
      <c r="D724" s="9">
        <v>7.006073367E9</v>
      </c>
      <c r="E724" s="8" t="s">
        <v>7285</v>
      </c>
      <c r="F724" s="8" t="s">
        <v>3608</v>
      </c>
      <c r="G724" s="8" t="s">
        <v>7286</v>
      </c>
      <c r="H724" s="8" t="s">
        <v>3479</v>
      </c>
      <c r="I724" s="9">
        <v>0.0</v>
      </c>
      <c r="J724" s="9">
        <v>1268.0</v>
      </c>
      <c r="K724" s="9">
        <v>1268.0</v>
      </c>
      <c r="L724" s="9">
        <v>1268.0</v>
      </c>
      <c r="M724" s="9">
        <v>80.0</v>
      </c>
      <c r="N724" s="9">
        <v>739.0</v>
      </c>
      <c r="O724" s="9">
        <v>449.0</v>
      </c>
      <c r="P724" s="8" t="s">
        <v>3480</v>
      </c>
      <c r="Q724" s="8" t="s">
        <v>7287</v>
      </c>
      <c r="R724" s="8" t="s">
        <v>7288</v>
      </c>
    </row>
    <row r="725">
      <c r="A725" s="8" t="s">
        <v>1084</v>
      </c>
      <c r="B725" s="8" t="s">
        <v>7289</v>
      </c>
      <c r="C725" s="8" t="s">
        <v>7290</v>
      </c>
      <c r="D725" s="9">
        <v>9.60468798E9</v>
      </c>
      <c r="E725" s="8" t="s">
        <v>7291</v>
      </c>
      <c r="F725" s="8" t="s">
        <v>5077</v>
      </c>
      <c r="G725" s="8" t="s">
        <v>7292</v>
      </c>
      <c r="H725" s="8" t="s">
        <v>3479</v>
      </c>
      <c r="I725" s="9">
        <v>0.0</v>
      </c>
      <c r="J725" s="9">
        <v>2391.0</v>
      </c>
      <c r="K725" s="9">
        <v>2391.0</v>
      </c>
      <c r="L725" s="9">
        <v>2391.0</v>
      </c>
      <c r="M725" s="9">
        <v>1177.0</v>
      </c>
      <c r="N725" s="9">
        <v>190.0</v>
      </c>
      <c r="O725" s="9">
        <v>1024.0</v>
      </c>
      <c r="P725" s="8" t="s">
        <v>3480</v>
      </c>
      <c r="Q725" s="8" t="s">
        <v>7293</v>
      </c>
      <c r="R725" s="8" t="s">
        <v>7294</v>
      </c>
    </row>
    <row r="726">
      <c r="A726" s="8" t="s">
        <v>947</v>
      </c>
      <c r="B726" s="8" t="s">
        <v>7295</v>
      </c>
      <c r="C726" s="8" t="s">
        <v>7296</v>
      </c>
      <c r="D726" s="9">
        <v>9.730777876E9</v>
      </c>
      <c r="E726" s="8" t="s">
        <v>7297</v>
      </c>
      <c r="F726" s="8" t="s">
        <v>3821</v>
      </c>
      <c r="G726" s="8" t="s">
        <v>7298</v>
      </c>
      <c r="H726" s="8" t="s">
        <v>3479</v>
      </c>
      <c r="I726" s="9">
        <v>0.0</v>
      </c>
      <c r="J726" s="9">
        <v>2026.0</v>
      </c>
      <c r="K726" s="9">
        <v>2026.0</v>
      </c>
      <c r="L726" s="9">
        <v>2026.0</v>
      </c>
      <c r="M726" s="9">
        <v>763.0</v>
      </c>
      <c r="N726" s="9">
        <v>739.0</v>
      </c>
      <c r="O726" s="9">
        <v>524.0</v>
      </c>
      <c r="P726" s="8" t="s">
        <v>3480</v>
      </c>
      <c r="Q726" s="8" t="s">
        <v>7299</v>
      </c>
      <c r="R726" s="8" t="s">
        <v>7300</v>
      </c>
    </row>
    <row r="727">
      <c r="A727" s="8" t="s">
        <v>950</v>
      </c>
      <c r="B727" s="8" t="s">
        <v>7301</v>
      </c>
      <c r="C727" s="8" t="s">
        <v>7302</v>
      </c>
      <c r="D727" s="9">
        <v>7.588188574E9</v>
      </c>
      <c r="E727" s="8" t="s">
        <v>7303</v>
      </c>
      <c r="F727" s="8" t="s">
        <v>3628</v>
      </c>
      <c r="G727" s="8" t="s">
        <v>7304</v>
      </c>
      <c r="H727" s="8" t="s">
        <v>3479</v>
      </c>
      <c r="I727" s="9">
        <v>0.0</v>
      </c>
      <c r="J727" s="9">
        <v>3103.0</v>
      </c>
      <c r="K727" s="9">
        <v>3103.0</v>
      </c>
      <c r="L727" s="9">
        <v>3103.0</v>
      </c>
      <c r="M727" s="9">
        <v>1029.0</v>
      </c>
      <c r="N727" s="9">
        <v>900.0</v>
      </c>
      <c r="O727" s="9">
        <v>1174.0</v>
      </c>
      <c r="P727" s="8" t="s">
        <v>3480</v>
      </c>
      <c r="Q727" s="8"/>
      <c r="R727" s="8"/>
    </row>
    <row r="728">
      <c r="A728" s="8" t="s">
        <v>1086</v>
      </c>
      <c r="B728" s="8" t="s">
        <v>7305</v>
      </c>
      <c r="C728" s="8" t="s">
        <v>5539</v>
      </c>
      <c r="D728" s="9">
        <v>9.404630994E9</v>
      </c>
      <c r="E728" s="8" t="s">
        <v>5540</v>
      </c>
      <c r="F728" s="8" t="s">
        <v>3498</v>
      </c>
      <c r="G728" s="8" t="s">
        <v>7306</v>
      </c>
      <c r="H728" s="8" t="s">
        <v>3479</v>
      </c>
      <c r="I728" s="9">
        <v>0.0</v>
      </c>
      <c r="J728" s="9">
        <v>1918.0</v>
      </c>
      <c r="K728" s="9">
        <v>1918.0</v>
      </c>
      <c r="L728" s="9">
        <v>1918.0</v>
      </c>
      <c r="M728" s="9">
        <v>655.0</v>
      </c>
      <c r="N728" s="9">
        <v>739.0</v>
      </c>
      <c r="O728" s="9">
        <v>524.0</v>
      </c>
      <c r="P728" s="8" t="s">
        <v>3480</v>
      </c>
      <c r="Q728" s="8" t="s">
        <v>5542</v>
      </c>
      <c r="R728" s="8" t="s">
        <v>5543</v>
      </c>
    </row>
    <row r="729">
      <c r="A729" s="8" t="s">
        <v>1087</v>
      </c>
      <c r="B729" s="8" t="s">
        <v>7307</v>
      </c>
      <c r="C729" s="8" t="s">
        <v>7308</v>
      </c>
      <c r="D729" s="9">
        <v>8.446645375E9</v>
      </c>
      <c r="E729" s="8" t="s">
        <v>7309</v>
      </c>
      <c r="F729" s="8" t="s">
        <v>3828</v>
      </c>
      <c r="G729" s="8" t="s">
        <v>7310</v>
      </c>
      <c r="H729" s="8" t="s">
        <v>3479</v>
      </c>
      <c r="I729" s="9">
        <v>0.0</v>
      </c>
      <c r="J729" s="9">
        <v>1573.0</v>
      </c>
      <c r="K729" s="9">
        <v>1573.0</v>
      </c>
      <c r="L729" s="9">
        <v>1573.0</v>
      </c>
      <c r="M729" s="9">
        <v>260.0</v>
      </c>
      <c r="N729" s="9">
        <v>784.0</v>
      </c>
      <c r="O729" s="9">
        <v>529.0</v>
      </c>
      <c r="P729" s="8" t="s">
        <v>3480</v>
      </c>
      <c r="Q729" s="8" t="s">
        <v>7311</v>
      </c>
      <c r="R729" s="8" t="s">
        <v>7312</v>
      </c>
    </row>
    <row r="730">
      <c r="A730" s="8" t="s">
        <v>1088</v>
      </c>
      <c r="B730" s="8" t="s">
        <v>7313</v>
      </c>
      <c r="C730" s="8" t="s">
        <v>7314</v>
      </c>
      <c r="D730" s="9">
        <v>9.657970454E9</v>
      </c>
      <c r="E730" s="8" t="s">
        <v>7315</v>
      </c>
      <c r="F730" s="8" t="s">
        <v>7316</v>
      </c>
      <c r="G730" s="8" t="s">
        <v>5863</v>
      </c>
      <c r="H730" s="8" t="s">
        <v>3479</v>
      </c>
      <c r="I730" s="9">
        <v>0.0</v>
      </c>
      <c r="J730" s="9">
        <v>3204.0</v>
      </c>
      <c r="K730" s="9">
        <v>3204.0</v>
      </c>
      <c r="L730" s="9">
        <v>3204.0</v>
      </c>
      <c r="M730" s="9">
        <v>1950.0</v>
      </c>
      <c r="N730" s="9">
        <v>730.0</v>
      </c>
      <c r="O730" s="9">
        <v>524.0</v>
      </c>
      <c r="P730" s="8" t="s">
        <v>3544</v>
      </c>
      <c r="Q730" s="8" t="s">
        <v>7317</v>
      </c>
      <c r="R730" s="8" t="s">
        <v>7318</v>
      </c>
    </row>
    <row r="731">
      <c r="A731" s="8" t="s">
        <v>1089</v>
      </c>
      <c r="B731" s="8" t="s">
        <v>7319</v>
      </c>
      <c r="C731" s="8" t="s">
        <v>4434</v>
      </c>
      <c r="D731" s="9">
        <v>9.665390129E9</v>
      </c>
      <c r="E731" s="8" t="s">
        <v>4435</v>
      </c>
      <c r="F731" s="8" t="s">
        <v>4436</v>
      </c>
      <c r="G731" s="8" t="s">
        <v>4211</v>
      </c>
      <c r="H731" s="8" t="s">
        <v>7320</v>
      </c>
      <c r="I731" s="9">
        <v>0.0</v>
      </c>
      <c r="J731" s="9">
        <v>1800.0</v>
      </c>
      <c r="K731" s="9">
        <v>2009.0</v>
      </c>
      <c r="L731" s="9">
        <v>1800.0</v>
      </c>
      <c r="M731" s="9">
        <v>1070.0</v>
      </c>
      <c r="N731" s="9">
        <v>190.0</v>
      </c>
      <c r="O731" s="9">
        <v>749.0</v>
      </c>
      <c r="P731" s="8" t="s">
        <v>3480</v>
      </c>
      <c r="Q731" s="8" t="s">
        <v>4439</v>
      </c>
      <c r="R731" s="8" t="s">
        <v>4440</v>
      </c>
    </row>
    <row r="732">
      <c r="A732" s="8" t="s">
        <v>1090</v>
      </c>
      <c r="B732" s="8" t="s">
        <v>7321</v>
      </c>
      <c r="C732" s="8" t="s">
        <v>7322</v>
      </c>
      <c r="D732" s="9">
        <v>7.798104738E9</v>
      </c>
      <c r="E732" s="8" t="s">
        <v>7323</v>
      </c>
      <c r="F732" s="8" t="s">
        <v>7324</v>
      </c>
      <c r="G732" s="8" t="s">
        <v>7325</v>
      </c>
      <c r="H732" s="8" t="s">
        <v>3479</v>
      </c>
      <c r="I732" s="9">
        <v>0.0</v>
      </c>
      <c r="J732" s="9">
        <v>1795.0</v>
      </c>
      <c r="K732" s="9">
        <v>1795.0</v>
      </c>
      <c r="L732" s="9">
        <v>1795.0</v>
      </c>
      <c r="M732" s="9">
        <v>562.0</v>
      </c>
      <c r="N732" s="9">
        <v>784.0</v>
      </c>
      <c r="O732" s="9">
        <v>449.0</v>
      </c>
      <c r="P732" s="8" t="s">
        <v>3480</v>
      </c>
      <c r="Q732" s="8"/>
      <c r="R732" s="8"/>
    </row>
    <row r="733">
      <c r="A733" s="8" t="s">
        <v>1091</v>
      </c>
      <c r="B733" s="8" t="s">
        <v>7326</v>
      </c>
      <c r="C733" s="8" t="s">
        <v>7327</v>
      </c>
      <c r="D733" s="9">
        <v>8.999186695E9</v>
      </c>
      <c r="E733" s="8" t="s">
        <v>7328</v>
      </c>
      <c r="F733" s="8" t="s">
        <v>4391</v>
      </c>
      <c r="G733" s="8" t="s">
        <v>7329</v>
      </c>
      <c r="H733" s="8" t="s">
        <v>7330</v>
      </c>
      <c r="I733" s="9">
        <v>0.0</v>
      </c>
      <c r="J733" s="9">
        <v>3200.0</v>
      </c>
      <c r="K733" s="9">
        <v>3241.0</v>
      </c>
      <c r="L733" s="9">
        <v>3200.0</v>
      </c>
      <c r="M733" s="9">
        <v>2053.0</v>
      </c>
      <c r="N733" s="9">
        <v>739.0</v>
      </c>
      <c r="O733" s="9">
        <v>449.0</v>
      </c>
      <c r="P733" s="8" t="s">
        <v>3480</v>
      </c>
      <c r="Q733" s="8"/>
      <c r="R733" s="8"/>
    </row>
    <row r="734">
      <c r="A734" s="8" t="s">
        <v>1033</v>
      </c>
      <c r="B734" s="8" t="s">
        <v>7331</v>
      </c>
      <c r="C734" s="8" t="s">
        <v>7332</v>
      </c>
      <c r="D734" s="9">
        <v>7.972201259E9</v>
      </c>
      <c r="E734" s="8" t="s">
        <v>7333</v>
      </c>
      <c r="F734" s="8" t="s">
        <v>5167</v>
      </c>
      <c r="G734" s="8" t="s">
        <v>7334</v>
      </c>
      <c r="H734" s="8" t="s">
        <v>3479</v>
      </c>
      <c r="I734" s="9">
        <v>0.0</v>
      </c>
      <c r="J734" s="9">
        <v>3989.0</v>
      </c>
      <c r="K734" s="9">
        <v>3989.0</v>
      </c>
      <c r="L734" s="9">
        <v>3989.0</v>
      </c>
      <c r="M734" s="9">
        <v>2830.0</v>
      </c>
      <c r="N734" s="9">
        <v>0.0</v>
      </c>
      <c r="O734" s="9">
        <v>1159.0</v>
      </c>
      <c r="P734" s="8" t="s">
        <v>3519</v>
      </c>
      <c r="Q734" s="8"/>
      <c r="R734" s="8"/>
    </row>
    <row r="735">
      <c r="A735" s="8" t="s">
        <v>1034</v>
      </c>
      <c r="B735" s="8" t="s">
        <v>7335</v>
      </c>
      <c r="C735" s="8" t="s">
        <v>7336</v>
      </c>
      <c r="D735" s="9">
        <v>9.423464382E9</v>
      </c>
      <c r="E735" s="8" t="s">
        <v>7337</v>
      </c>
      <c r="F735" s="8" t="s">
        <v>4676</v>
      </c>
      <c r="G735" s="8" t="s">
        <v>7338</v>
      </c>
      <c r="H735" s="8" t="s">
        <v>3479</v>
      </c>
      <c r="I735" s="9">
        <v>0.0</v>
      </c>
      <c r="J735" s="9">
        <v>3833.0</v>
      </c>
      <c r="K735" s="9">
        <v>3833.0</v>
      </c>
      <c r="L735" s="9">
        <v>3833.0</v>
      </c>
      <c r="M735" s="9">
        <v>2450.0</v>
      </c>
      <c r="N735" s="9">
        <v>784.0</v>
      </c>
      <c r="O735" s="9">
        <v>599.0</v>
      </c>
      <c r="P735" s="8" t="s">
        <v>3480</v>
      </c>
      <c r="Q735" s="8"/>
      <c r="R735" s="8"/>
    </row>
    <row r="736">
      <c r="A736" s="8" t="s">
        <v>1035</v>
      </c>
      <c r="B736" s="8" t="s">
        <v>7339</v>
      </c>
      <c r="C736" s="8" t="s">
        <v>7340</v>
      </c>
      <c r="D736" s="9">
        <v>9.987001877E9</v>
      </c>
      <c r="E736" s="8" t="s">
        <v>7341</v>
      </c>
      <c r="F736" s="8" t="s">
        <v>3977</v>
      </c>
      <c r="G736" s="8" t="s">
        <v>7342</v>
      </c>
      <c r="H736" s="8" t="s">
        <v>3479</v>
      </c>
      <c r="I736" s="9">
        <v>0.0</v>
      </c>
      <c r="J736" s="9">
        <v>1230.0</v>
      </c>
      <c r="K736" s="9">
        <v>1230.0</v>
      </c>
      <c r="L736" s="9">
        <v>1230.0</v>
      </c>
      <c r="M736" s="9">
        <v>980.0</v>
      </c>
      <c r="N736" s="9">
        <v>0.0</v>
      </c>
      <c r="O736" s="9">
        <v>250.0</v>
      </c>
      <c r="P736" s="8" t="s">
        <v>3480</v>
      </c>
      <c r="Q736" s="8" t="s">
        <v>7343</v>
      </c>
      <c r="R736" s="8"/>
    </row>
    <row r="737">
      <c r="A737" s="8" t="s">
        <v>1036</v>
      </c>
      <c r="B737" s="8" t="s">
        <v>7344</v>
      </c>
      <c r="C737" s="8" t="s">
        <v>7345</v>
      </c>
      <c r="D737" s="9">
        <v>9.825609542E9</v>
      </c>
      <c r="E737" s="8" t="s">
        <v>7346</v>
      </c>
      <c r="F737" s="8" t="s">
        <v>5918</v>
      </c>
      <c r="G737" s="8" t="s">
        <v>7347</v>
      </c>
      <c r="H737" s="8" t="s">
        <v>3479</v>
      </c>
      <c r="I737" s="9">
        <v>0.0</v>
      </c>
      <c r="J737" s="9">
        <v>1645.0</v>
      </c>
      <c r="K737" s="9">
        <v>1645.0</v>
      </c>
      <c r="L737" s="9">
        <v>1645.0</v>
      </c>
      <c r="M737" s="9">
        <v>1185.0</v>
      </c>
      <c r="N737" s="9">
        <v>0.0</v>
      </c>
      <c r="O737" s="9">
        <v>460.0</v>
      </c>
      <c r="P737" s="8" t="s">
        <v>3480</v>
      </c>
      <c r="Q737" s="8"/>
      <c r="R737" s="8"/>
    </row>
    <row r="738">
      <c r="A738" s="8" t="s">
        <v>1037</v>
      </c>
      <c r="B738" s="8" t="s">
        <v>7348</v>
      </c>
      <c r="C738" s="8" t="s">
        <v>5578</v>
      </c>
      <c r="D738" s="9">
        <v>9.860246178E9</v>
      </c>
      <c r="E738" s="8" t="s">
        <v>7349</v>
      </c>
      <c r="F738" s="8" t="s">
        <v>3486</v>
      </c>
      <c r="G738" s="8" t="s">
        <v>7350</v>
      </c>
      <c r="H738" s="8" t="s">
        <v>3479</v>
      </c>
      <c r="I738" s="9">
        <v>0.0</v>
      </c>
      <c r="J738" s="9">
        <v>1549.0</v>
      </c>
      <c r="K738" s="9">
        <v>1549.0</v>
      </c>
      <c r="L738" s="9">
        <v>1549.0</v>
      </c>
      <c r="M738" s="9">
        <v>370.0</v>
      </c>
      <c r="N738" s="9">
        <v>730.0</v>
      </c>
      <c r="O738" s="9">
        <v>449.0</v>
      </c>
      <c r="P738" s="8" t="s">
        <v>3519</v>
      </c>
      <c r="Q738" s="8" t="s">
        <v>7351</v>
      </c>
      <c r="R738" s="8" t="s">
        <v>7352</v>
      </c>
    </row>
    <row r="739">
      <c r="A739" s="8" t="s">
        <v>1038</v>
      </c>
      <c r="B739" s="8" t="s">
        <v>7353</v>
      </c>
      <c r="C739" s="8" t="s">
        <v>5198</v>
      </c>
      <c r="D739" s="9">
        <v>9.049435389E9</v>
      </c>
      <c r="E739" s="8" t="s">
        <v>5199</v>
      </c>
      <c r="F739" s="8" t="s">
        <v>3523</v>
      </c>
      <c r="G739" s="8" t="s">
        <v>4036</v>
      </c>
      <c r="H739" s="8" t="s">
        <v>3479</v>
      </c>
      <c r="I739" s="9">
        <v>0.0</v>
      </c>
      <c r="J739" s="9">
        <v>1457.0</v>
      </c>
      <c r="K739" s="9">
        <v>1457.0</v>
      </c>
      <c r="L739" s="9">
        <v>1457.0</v>
      </c>
      <c r="M739" s="9">
        <v>902.0</v>
      </c>
      <c r="N739" s="9">
        <v>80.0</v>
      </c>
      <c r="O739" s="9">
        <v>475.0</v>
      </c>
      <c r="P739" s="8" t="s">
        <v>3480</v>
      </c>
      <c r="Q739" s="8" t="s">
        <v>4381</v>
      </c>
      <c r="R739" s="8" t="s">
        <v>5201</v>
      </c>
    </row>
    <row r="740">
      <c r="A740" s="8" t="s">
        <v>1039</v>
      </c>
      <c r="B740" s="8" t="s">
        <v>7354</v>
      </c>
      <c r="C740" s="8" t="s">
        <v>7355</v>
      </c>
      <c r="D740" s="9">
        <v>9.039931017E9</v>
      </c>
      <c r="E740" s="8" t="s">
        <v>7356</v>
      </c>
      <c r="F740" s="8" t="s">
        <v>3821</v>
      </c>
      <c r="G740" s="8" t="s">
        <v>7357</v>
      </c>
      <c r="H740" s="8" t="s">
        <v>3479</v>
      </c>
      <c r="I740" s="9">
        <v>0.0</v>
      </c>
      <c r="J740" s="9">
        <v>2414.0</v>
      </c>
      <c r="K740" s="9">
        <v>2414.0</v>
      </c>
      <c r="L740" s="9">
        <v>2414.0</v>
      </c>
      <c r="M740" s="9">
        <v>1160.0</v>
      </c>
      <c r="N740" s="9">
        <v>730.0</v>
      </c>
      <c r="O740" s="9">
        <v>524.0</v>
      </c>
      <c r="P740" s="8" t="s">
        <v>3480</v>
      </c>
      <c r="Q740" s="8" t="s">
        <v>7358</v>
      </c>
      <c r="R740" s="8" t="s">
        <v>7359</v>
      </c>
    </row>
    <row r="741">
      <c r="A741" s="8" t="s">
        <v>1040</v>
      </c>
      <c r="B741" s="8" t="s">
        <v>7360</v>
      </c>
      <c r="C741" s="8" t="s">
        <v>7361</v>
      </c>
      <c r="D741" s="9">
        <v>9.867456473E9</v>
      </c>
      <c r="E741" s="8" t="s">
        <v>7362</v>
      </c>
      <c r="F741" s="8" t="s">
        <v>3594</v>
      </c>
      <c r="G741" s="8" t="s">
        <v>7363</v>
      </c>
      <c r="H741" s="8" t="s">
        <v>7364</v>
      </c>
      <c r="I741" s="9">
        <v>0.0</v>
      </c>
      <c r="J741" s="9">
        <v>2320.0</v>
      </c>
      <c r="K741" s="9">
        <v>2419.0</v>
      </c>
      <c r="L741" s="9">
        <v>2320.0</v>
      </c>
      <c r="M741" s="9">
        <v>1165.0</v>
      </c>
      <c r="N741" s="9">
        <v>730.0</v>
      </c>
      <c r="O741" s="9">
        <v>524.0</v>
      </c>
      <c r="P741" s="8" t="s">
        <v>3480</v>
      </c>
      <c r="Q741" s="8" t="s">
        <v>7365</v>
      </c>
      <c r="R741" s="8" t="s">
        <v>7366</v>
      </c>
    </row>
    <row r="742">
      <c r="A742" s="8" t="s">
        <v>1092</v>
      </c>
      <c r="B742" s="8" t="s">
        <v>7367</v>
      </c>
      <c r="C742" s="8" t="s">
        <v>7368</v>
      </c>
      <c r="D742" s="9">
        <v>7.276334217E9</v>
      </c>
      <c r="E742" s="8" t="s">
        <v>7369</v>
      </c>
      <c r="F742" s="8" t="s">
        <v>3959</v>
      </c>
      <c r="G742" s="8" t="s">
        <v>7370</v>
      </c>
      <c r="H742" s="8" t="s">
        <v>3479</v>
      </c>
      <c r="I742" s="9">
        <v>0.0</v>
      </c>
      <c r="J742" s="9">
        <v>1963.0</v>
      </c>
      <c r="K742" s="9">
        <v>1963.0</v>
      </c>
      <c r="L742" s="9">
        <v>1963.0</v>
      </c>
      <c r="M742" s="9">
        <v>730.0</v>
      </c>
      <c r="N742" s="9">
        <v>784.0</v>
      </c>
      <c r="O742" s="9">
        <v>449.0</v>
      </c>
      <c r="P742" s="8" t="s">
        <v>3480</v>
      </c>
      <c r="Q742" s="8" t="s">
        <v>4241</v>
      </c>
      <c r="R742" s="8" t="s">
        <v>7371</v>
      </c>
    </row>
    <row r="743">
      <c r="A743" s="8" t="s">
        <v>1098</v>
      </c>
      <c r="B743" s="8" t="s">
        <v>7372</v>
      </c>
      <c r="C743" s="8" t="s">
        <v>7373</v>
      </c>
      <c r="D743" s="9">
        <v>9.860518502E9</v>
      </c>
      <c r="E743" s="8" t="s">
        <v>7374</v>
      </c>
      <c r="F743" s="8" t="s">
        <v>3608</v>
      </c>
      <c r="G743" s="8" t="s">
        <v>7375</v>
      </c>
      <c r="H743" s="8" t="s">
        <v>3479</v>
      </c>
      <c r="I743" s="9">
        <v>0.0</v>
      </c>
      <c r="J743" s="9">
        <v>2597.0</v>
      </c>
      <c r="K743" s="9">
        <v>2597.0</v>
      </c>
      <c r="L743" s="9">
        <v>2597.0</v>
      </c>
      <c r="M743" s="9">
        <v>1418.0</v>
      </c>
      <c r="N743" s="9">
        <v>730.0</v>
      </c>
      <c r="O743" s="9">
        <v>449.0</v>
      </c>
      <c r="P743" s="8" t="s">
        <v>3480</v>
      </c>
      <c r="Q743" s="8"/>
      <c r="R743" s="8"/>
    </row>
    <row r="744">
      <c r="A744" s="8" t="s">
        <v>1094</v>
      </c>
      <c r="B744" s="8" t="s">
        <v>7376</v>
      </c>
      <c r="C744" s="8" t="s">
        <v>7377</v>
      </c>
      <c r="D744" s="9">
        <v>7.620644446E9</v>
      </c>
      <c r="E744" s="8" t="s">
        <v>7378</v>
      </c>
      <c r="F744" s="8" t="s">
        <v>3550</v>
      </c>
      <c r="G744" s="8" t="s">
        <v>7379</v>
      </c>
      <c r="H744" s="8" t="s">
        <v>3479</v>
      </c>
      <c r="I744" s="9">
        <v>0.0</v>
      </c>
      <c r="J744" s="9">
        <v>1250.0</v>
      </c>
      <c r="K744" s="9">
        <v>1250.0</v>
      </c>
      <c r="L744" s="9">
        <v>1250.0</v>
      </c>
      <c r="M744" s="9">
        <v>0.0</v>
      </c>
      <c r="N744" s="9">
        <v>0.0</v>
      </c>
      <c r="O744" s="9">
        <v>1250.0</v>
      </c>
      <c r="P744" s="8" t="s">
        <v>3480</v>
      </c>
      <c r="Q744" s="8"/>
      <c r="R744" s="8"/>
    </row>
    <row r="745">
      <c r="A745" s="8" t="s">
        <v>892</v>
      </c>
      <c r="B745" s="8" t="s">
        <v>7380</v>
      </c>
      <c r="C745" s="8" t="s">
        <v>6082</v>
      </c>
      <c r="D745" s="9">
        <v>9.764948865E9</v>
      </c>
      <c r="E745" s="8" t="s">
        <v>7381</v>
      </c>
      <c r="F745" s="8" t="s">
        <v>7382</v>
      </c>
      <c r="G745" s="8" t="s">
        <v>7383</v>
      </c>
      <c r="H745" s="8" t="s">
        <v>3479</v>
      </c>
      <c r="I745" s="9">
        <v>0.0</v>
      </c>
      <c r="J745" s="9">
        <v>8093.0</v>
      </c>
      <c r="K745" s="9">
        <v>8093.0</v>
      </c>
      <c r="L745" s="9">
        <v>8093.0</v>
      </c>
      <c r="M745" s="9">
        <v>6494.0</v>
      </c>
      <c r="N745" s="9">
        <v>775.0</v>
      </c>
      <c r="O745" s="9">
        <v>824.0</v>
      </c>
      <c r="P745" s="8" t="s">
        <v>3480</v>
      </c>
      <c r="Q745" s="8" t="s">
        <v>7384</v>
      </c>
      <c r="R745" s="8" t="s">
        <v>7385</v>
      </c>
    </row>
    <row r="746">
      <c r="A746" s="8" t="s">
        <v>1093</v>
      </c>
      <c r="B746" s="8" t="s">
        <v>7386</v>
      </c>
      <c r="C746" s="8" t="s">
        <v>7387</v>
      </c>
      <c r="D746" s="9">
        <v>9.404237428E9</v>
      </c>
      <c r="E746" s="8" t="s">
        <v>7388</v>
      </c>
      <c r="F746" s="8" t="s">
        <v>7389</v>
      </c>
      <c r="G746" s="8" t="s">
        <v>7390</v>
      </c>
      <c r="H746" s="8" t="s">
        <v>3479</v>
      </c>
      <c r="I746" s="9">
        <v>0.0</v>
      </c>
      <c r="J746" s="9">
        <v>874.0</v>
      </c>
      <c r="K746" s="9">
        <v>874.0</v>
      </c>
      <c r="L746" s="9">
        <v>874.0</v>
      </c>
      <c r="M746" s="9">
        <v>135.0</v>
      </c>
      <c r="N746" s="9">
        <v>190.0</v>
      </c>
      <c r="O746" s="9">
        <v>549.0</v>
      </c>
      <c r="P746" s="8" t="s">
        <v>3480</v>
      </c>
      <c r="Q746" s="8"/>
      <c r="R746" s="8"/>
    </row>
    <row r="747">
      <c r="A747" s="8" t="s">
        <v>1085</v>
      </c>
      <c r="B747" s="8" t="s">
        <v>7391</v>
      </c>
      <c r="C747" s="8" t="s">
        <v>7392</v>
      </c>
      <c r="D747" s="9">
        <v>9.56104004E9</v>
      </c>
      <c r="E747" s="8" t="s">
        <v>7393</v>
      </c>
      <c r="F747" s="8" t="s">
        <v>3589</v>
      </c>
      <c r="G747" s="8" t="s">
        <v>7394</v>
      </c>
      <c r="H747" s="8" t="s">
        <v>3479</v>
      </c>
      <c r="I747" s="9">
        <v>0.0</v>
      </c>
      <c r="J747" s="9">
        <v>3296.0</v>
      </c>
      <c r="K747" s="9">
        <v>3296.0</v>
      </c>
      <c r="L747" s="9">
        <v>3296.0</v>
      </c>
      <c r="M747" s="9">
        <v>1753.0</v>
      </c>
      <c r="N747" s="9">
        <v>739.0</v>
      </c>
      <c r="O747" s="9">
        <v>804.0</v>
      </c>
      <c r="P747" s="8" t="s">
        <v>3480</v>
      </c>
      <c r="Q747" s="8" t="s">
        <v>7395</v>
      </c>
      <c r="R747" s="8" t="s">
        <v>7396</v>
      </c>
    </row>
    <row r="748">
      <c r="A748" s="8" t="s">
        <v>895</v>
      </c>
      <c r="B748" s="8" t="s">
        <v>7397</v>
      </c>
      <c r="C748" s="8" t="s">
        <v>7398</v>
      </c>
      <c r="D748" s="9">
        <v>7.972417412E9</v>
      </c>
      <c r="E748" s="8" t="s">
        <v>7399</v>
      </c>
      <c r="F748" s="8" t="s">
        <v>5064</v>
      </c>
      <c r="G748" s="8" t="s">
        <v>7400</v>
      </c>
      <c r="H748" s="8" t="s">
        <v>3479</v>
      </c>
      <c r="I748" s="9">
        <v>0.0</v>
      </c>
      <c r="J748" s="9">
        <v>2529.0</v>
      </c>
      <c r="K748" s="9">
        <v>2529.0</v>
      </c>
      <c r="L748" s="9">
        <v>2529.0</v>
      </c>
      <c r="M748" s="9">
        <v>505.0</v>
      </c>
      <c r="N748" s="9">
        <v>775.0</v>
      </c>
      <c r="O748" s="9">
        <v>1249.0</v>
      </c>
      <c r="P748" s="8" t="s">
        <v>3480</v>
      </c>
      <c r="Q748" s="8" t="s">
        <v>7401</v>
      </c>
      <c r="R748" s="8"/>
    </row>
    <row r="749">
      <c r="A749" s="8" t="s">
        <v>893</v>
      </c>
      <c r="B749" s="8" t="s">
        <v>7402</v>
      </c>
      <c r="C749" s="8" t="s">
        <v>7403</v>
      </c>
      <c r="D749" s="9">
        <v>9.02842669E9</v>
      </c>
      <c r="E749" s="8" t="s">
        <v>7404</v>
      </c>
      <c r="F749" s="8" t="s">
        <v>3721</v>
      </c>
      <c r="G749" s="8" t="s">
        <v>7405</v>
      </c>
      <c r="H749" s="8" t="s">
        <v>3479</v>
      </c>
      <c r="I749" s="9">
        <v>0.0</v>
      </c>
      <c r="J749" s="9">
        <v>1363.0</v>
      </c>
      <c r="K749" s="9">
        <v>1363.0</v>
      </c>
      <c r="L749" s="9">
        <v>1363.0</v>
      </c>
      <c r="M749" s="9">
        <v>100.0</v>
      </c>
      <c r="N749" s="9">
        <v>739.0</v>
      </c>
      <c r="O749" s="9">
        <v>524.0</v>
      </c>
      <c r="P749" s="8" t="s">
        <v>3480</v>
      </c>
      <c r="Q749" s="8"/>
      <c r="R749" s="8"/>
    </row>
    <row r="750">
      <c r="A750" s="8" t="s">
        <v>1097</v>
      </c>
      <c r="B750" s="8" t="s">
        <v>7406</v>
      </c>
      <c r="C750" s="8" t="s">
        <v>7407</v>
      </c>
      <c r="D750" s="9">
        <v>9.823442293E9</v>
      </c>
      <c r="E750" s="8" t="s">
        <v>7408</v>
      </c>
      <c r="F750" s="8" t="s">
        <v>3486</v>
      </c>
      <c r="G750" s="8" t="s">
        <v>7409</v>
      </c>
      <c r="H750" s="8" t="s">
        <v>3479</v>
      </c>
      <c r="I750" s="9">
        <v>0.0</v>
      </c>
      <c r="J750" s="9">
        <v>1669.0</v>
      </c>
      <c r="K750" s="9">
        <v>1669.0</v>
      </c>
      <c r="L750" s="9">
        <v>1669.0</v>
      </c>
      <c r="M750" s="9">
        <v>490.0</v>
      </c>
      <c r="N750" s="9">
        <v>730.0</v>
      </c>
      <c r="O750" s="9">
        <v>449.0</v>
      </c>
      <c r="P750" s="8" t="s">
        <v>3480</v>
      </c>
      <c r="Q750" s="8" t="s">
        <v>7410</v>
      </c>
      <c r="R750" s="8" t="s">
        <v>7411</v>
      </c>
    </row>
    <row r="751">
      <c r="A751" s="8" t="s">
        <v>894</v>
      </c>
      <c r="B751" s="8" t="s">
        <v>7412</v>
      </c>
      <c r="C751" s="8" t="s">
        <v>7413</v>
      </c>
      <c r="D751" s="9">
        <v>8.793072076E9</v>
      </c>
      <c r="E751" s="8" t="s">
        <v>7414</v>
      </c>
      <c r="F751" s="8" t="s">
        <v>3542</v>
      </c>
      <c r="G751" s="8" t="s">
        <v>7415</v>
      </c>
      <c r="H751" s="8" t="s">
        <v>7416</v>
      </c>
      <c r="I751" s="9">
        <v>0.0</v>
      </c>
      <c r="J751" s="9">
        <v>2998.0</v>
      </c>
      <c r="K751" s="9">
        <v>3198.0</v>
      </c>
      <c r="L751" s="9">
        <v>2998.0</v>
      </c>
      <c r="M751" s="9">
        <v>1660.0</v>
      </c>
      <c r="N751" s="9">
        <v>739.0</v>
      </c>
      <c r="O751" s="9">
        <v>799.0</v>
      </c>
      <c r="P751" s="8" t="s">
        <v>3480</v>
      </c>
      <c r="Q751" s="8"/>
      <c r="R751" s="8"/>
    </row>
    <row r="752">
      <c r="A752" s="8" t="s">
        <v>896</v>
      </c>
      <c r="B752" s="8" t="s">
        <v>7417</v>
      </c>
      <c r="C752" s="8" t="s">
        <v>7418</v>
      </c>
      <c r="D752" s="9">
        <v>9.04983682E9</v>
      </c>
      <c r="E752" s="8" t="s">
        <v>7419</v>
      </c>
      <c r="F752" s="8" t="s">
        <v>3601</v>
      </c>
      <c r="G752" s="8" t="s">
        <v>7420</v>
      </c>
      <c r="H752" s="8" t="s">
        <v>3479</v>
      </c>
      <c r="I752" s="9">
        <v>0.0</v>
      </c>
      <c r="J752" s="9">
        <v>1378.0</v>
      </c>
      <c r="K752" s="9">
        <v>1378.0</v>
      </c>
      <c r="L752" s="9">
        <v>1378.0</v>
      </c>
      <c r="M752" s="9">
        <v>190.0</v>
      </c>
      <c r="N752" s="9">
        <v>739.0</v>
      </c>
      <c r="O752" s="9">
        <v>449.0</v>
      </c>
      <c r="P752" s="8" t="s">
        <v>3480</v>
      </c>
      <c r="Q752" s="8" t="s">
        <v>7421</v>
      </c>
      <c r="R752" s="8" t="s">
        <v>7422</v>
      </c>
    </row>
    <row r="753">
      <c r="A753" s="8" t="s">
        <v>1095</v>
      </c>
      <c r="B753" s="8" t="s">
        <v>7423</v>
      </c>
      <c r="C753" s="8" t="s">
        <v>7424</v>
      </c>
      <c r="D753" s="9">
        <v>8.080718265E9</v>
      </c>
      <c r="E753" s="8" t="s">
        <v>7425</v>
      </c>
      <c r="F753" s="8" t="s">
        <v>5530</v>
      </c>
      <c r="G753" s="8" t="s">
        <v>7426</v>
      </c>
      <c r="H753" s="8" t="s">
        <v>7427</v>
      </c>
      <c r="I753" s="9">
        <v>0.0</v>
      </c>
      <c r="J753" s="9">
        <v>5400.0</v>
      </c>
      <c r="K753" s="9">
        <v>5462.0</v>
      </c>
      <c r="L753" s="9">
        <v>5400.0</v>
      </c>
      <c r="M753" s="9">
        <v>3479.0</v>
      </c>
      <c r="N753" s="9">
        <v>784.0</v>
      </c>
      <c r="O753" s="9">
        <v>1199.0</v>
      </c>
      <c r="P753" s="8" t="s">
        <v>3480</v>
      </c>
      <c r="Q753" s="8"/>
      <c r="R753" s="8"/>
    </row>
    <row r="754">
      <c r="A754" s="8" t="s">
        <v>1128</v>
      </c>
      <c r="B754" s="8" t="s">
        <v>7428</v>
      </c>
      <c r="C754" s="8" t="s">
        <v>7429</v>
      </c>
      <c r="D754" s="9">
        <v>8.928876805E9</v>
      </c>
      <c r="E754" s="8" t="s">
        <v>7430</v>
      </c>
      <c r="F754" s="8" t="s">
        <v>3959</v>
      </c>
      <c r="G754" s="8" t="s">
        <v>7431</v>
      </c>
      <c r="H754" s="8" t="s">
        <v>3479</v>
      </c>
      <c r="I754" s="9">
        <v>0.0</v>
      </c>
      <c r="J754" s="9">
        <v>2406.0</v>
      </c>
      <c r="K754" s="9">
        <v>2406.0</v>
      </c>
      <c r="L754" s="9">
        <v>2406.0</v>
      </c>
      <c r="M754" s="9">
        <v>848.0</v>
      </c>
      <c r="N754" s="9">
        <v>784.0</v>
      </c>
      <c r="O754" s="9">
        <v>774.0</v>
      </c>
      <c r="P754" s="8" t="s">
        <v>3480</v>
      </c>
      <c r="Q754" s="8" t="s">
        <v>7432</v>
      </c>
      <c r="R754" s="8" t="s">
        <v>7433</v>
      </c>
    </row>
    <row r="755">
      <c r="A755" s="8" t="s">
        <v>1099</v>
      </c>
      <c r="B755" s="8" t="s">
        <v>7434</v>
      </c>
      <c r="C755" s="8" t="s">
        <v>7435</v>
      </c>
      <c r="D755" s="9">
        <v>9.511612827E9</v>
      </c>
      <c r="E755" s="8" t="s">
        <v>7436</v>
      </c>
      <c r="F755" s="8" t="s">
        <v>6234</v>
      </c>
      <c r="G755" s="8" t="s">
        <v>7437</v>
      </c>
      <c r="H755" s="8" t="s">
        <v>3479</v>
      </c>
      <c r="I755" s="9">
        <v>0.0</v>
      </c>
      <c r="J755" s="9">
        <v>4219.0</v>
      </c>
      <c r="K755" s="9">
        <v>4219.0</v>
      </c>
      <c r="L755" s="9">
        <v>4219.0</v>
      </c>
      <c r="M755" s="9">
        <v>3040.0</v>
      </c>
      <c r="N755" s="9">
        <v>730.0</v>
      </c>
      <c r="O755" s="9">
        <v>449.0</v>
      </c>
      <c r="P755" s="8" t="s">
        <v>3544</v>
      </c>
      <c r="Q755" s="8"/>
      <c r="R755" s="8"/>
    </row>
    <row r="756">
      <c r="A756" s="8" t="s">
        <v>1096</v>
      </c>
      <c r="B756" s="8" t="s">
        <v>7438</v>
      </c>
      <c r="C756" s="8" t="s">
        <v>7439</v>
      </c>
      <c r="D756" s="9">
        <v>9.73002368E9</v>
      </c>
      <c r="E756" s="8" t="s">
        <v>7440</v>
      </c>
      <c r="F756" s="8" t="s">
        <v>3608</v>
      </c>
      <c r="G756" s="8" t="s">
        <v>7441</v>
      </c>
      <c r="H756" s="8" t="s">
        <v>3479</v>
      </c>
      <c r="I756" s="9">
        <v>0.0</v>
      </c>
      <c r="J756" s="9">
        <v>1179.0</v>
      </c>
      <c r="K756" s="9">
        <v>1179.0</v>
      </c>
      <c r="L756" s="9">
        <v>1179.0</v>
      </c>
      <c r="M756" s="9">
        <v>0.0</v>
      </c>
      <c r="N756" s="9">
        <v>730.0</v>
      </c>
      <c r="O756" s="9">
        <v>449.0</v>
      </c>
      <c r="P756" s="8" t="s">
        <v>3544</v>
      </c>
      <c r="Q756" s="8" t="s">
        <v>7442</v>
      </c>
      <c r="R756" s="8"/>
    </row>
    <row r="757">
      <c r="A757" s="8" t="s">
        <v>1133</v>
      </c>
      <c r="B757" s="8" t="s">
        <v>7443</v>
      </c>
      <c r="C757" s="8" t="s">
        <v>7444</v>
      </c>
      <c r="D757" s="9">
        <v>9.028884749E9</v>
      </c>
      <c r="E757" s="8" t="s">
        <v>7445</v>
      </c>
      <c r="F757" s="8" t="s">
        <v>3809</v>
      </c>
      <c r="G757" s="8" t="s">
        <v>7446</v>
      </c>
      <c r="H757" s="8" t="s">
        <v>7447</v>
      </c>
      <c r="I757" s="9">
        <v>0.0</v>
      </c>
      <c r="J757" s="9">
        <v>3000.0</v>
      </c>
      <c r="K757" s="9">
        <v>3341.0</v>
      </c>
      <c r="L757" s="9">
        <v>3000.0</v>
      </c>
      <c r="M757" s="9">
        <v>2892.0</v>
      </c>
      <c r="N757" s="9">
        <v>0.0</v>
      </c>
      <c r="O757" s="9">
        <v>449.0</v>
      </c>
      <c r="P757" s="8" t="s">
        <v>3519</v>
      </c>
      <c r="Q757" s="8" t="s">
        <v>7448</v>
      </c>
      <c r="R757" s="8" t="s">
        <v>7449</v>
      </c>
    </row>
    <row r="758">
      <c r="A758" s="8" t="s">
        <v>1113</v>
      </c>
      <c r="B758" s="8" t="s">
        <v>7450</v>
      </c>
      <c r="C758" s="8" t="s">
        <v>7451</v>
      </c>
      <c r="D758" s="9">
        <v>9.850272039E9</v>
      </c>
      <c r="E758" s="8" t="s">
        <v>7452</v>
      </c>
      <c r="F758" s="8" t="s">
        <v>3601</v>
      </c>
      <c r="G758" s="8" t="s">
        <v>7453</v>
      </c>
      <c r="H758" s="8" t="s">
        <v>3479</v>
      </c>
      <c r="I758" s="9">
        <v>0.0</v>
      </c>
      <c r="J758" s="9">
        <v>1676.0</v>
      </c>
      <c r="K758" s="9">
        <v>1676.0</v>
      </c>
      <c r="L758" s="9">
        <v>1676.0</v>
      </c>
      <c r="M758" s="9">
        <v>488.0</v>
      </c>
      <c r="N758" s="9">
        <v>739.0</v>
      </c>
      <c r="O758" s="9">
        <v>449.0</v>
      </c>
      <c r="P758" s="8" t="s">
        <v>3480</v>
      </c>
      <c r="Q758" s="8"/>
      <c r="R758" s="8"/>
    </row>
    <row r="759">
      <c r="A759" s="8" t="s">
        <v>1131</v>
      </c>
      <c r="B759" s="8" t="s">
        <v>7454</v>
      </c>
      <c r="C759" s="8" t="s">
        <v>7455</v>
      </c>
      <c r="D759" s="9">
        <v>9.764474044E9</v>
      </c>
      <c r="E759" s="8" t="s">
        <v>7456</v>
      </c>
      <c r="F759" s="8" t="s">
        <v>4980</v>
      </c>
      <c r="G759" s="8" t="s">
        <v>7457</v>
      </c>
      <c r="H759" s="8" t="s">
        <v>3479</v>
      </c>
      <c r="I759" s="9">
        <v>0.0</v>
      </c>
      <c r="J759" s="9">
        <v>1466.0</v>
      </c>
      <c r="K759" s="9">
        <v>1466.0</v>
      </c>
      <c r="L759" s="9">
        <v>1466.0</v>
      </c>
      <c r="M759" s="9">
        <v>233.0</v>
      </c>
      <c r="N759" s="9">
        <v>784.0</v>
      </c>
      <c r="O759" s="9">
        <v>449.0</v>
      </c>
      <c r="P759" s="8" t="s">
        <v>3480</v>
      </c>
      <c r="Q759" s="8" t="s">
        <v>7458</v>
      </c>
      <c r="R759" s="8"/>
    </row>
    <row r="760">
      <c r="A760" s="8" t="s">
        <v>1132</v>
      </c>
      <c r="B760" s="8" t="s">
        <v>7459</v>
      </c>
      <c r="C760" s="8" t="s">
        <v>7460</v>
      </c>
      <c r="D760" s="9">
        <v>9.049430696E9</v>
      </c>
      <c r="E760" s="8" t="s">
        <v>7461</v>
      </c>
      <c r="F760" s="8" t="s">
        <v>3589</v>
      </c>
      <c r="G760" s="8" t="s">
        <v>7462</v>
      </c>
      <c r="H760" s="8" t="s">
        <v>3479</v>
      </c>
      <c r="I760" s="9">
        <v>0.0</v>
      </c>
      <c r="J760" s="9">
        <v>1508.0</v>
      </c>
      <c r="K760" s="9">
        <v>1508.0</v>
      </c>
      <c r="L760" s="9">
        <v>1508.0</v>
      </c>
      <c r="M760" s="9">
        <v>245.0</v>
      </c>
      <c r="N760" s="9">
        <v>739.0</v>
      </c>
      <c r="O760" s="9">
        <v>524.0</v>
      </c>
      <c r="P760" s="8" t="s">
        <v>3480</v>
      </c>
      <c r="Q760" s="8"/>
      <c r="R760" s="8"/>
    </row>
    <row r="761">
      <c r="A761" s="8" t="s">
        <v>1100</v>
      </c>
      <c r="B761" s="8" t="s">
        <v>7463</v>
      </c>
      <c r="C761" s="8" t="s">
        <v>5274</v>
      </c>
      <c r="D761" s="9">
        <v>9.659394401E9</v>
      </c>
      <c r="E761" s="8" t="s">
        <v>5275</v>
      </c>
      <c r="F761" s="8" t="s">
        <v>4373</v>
      </c>
      <c r="G761" s="8" t="s">
        <v>7464</v>
      </c>
      <c r="H761" s="8" t="s">
        <v>3479</v>
      </c>
      <c r="I761" s="9">
        <v>0.0</v>
      </c>
      <c r="J761" s="9">
        <v>2563.0</v>
      </c>
      <c r="K761" s="9">
        <v>2563.0</v>
      </c>
      <c r="L761" s="9">
        <v>2563.0</v>
      </c>
      <c r="M761" s="9">
        <v>530.0</v>
      </c>
      <c r="N761" s="9">
        <v>784.0</v>
      </c>
      <c r="O761" s="9">
        <v>1249.0</v>
      </c>
      <c r="P761" s="8" t="s">
        <v>3480</v>
      </c>
      <c r="Q761" s="8" t="s">
        <v>5277</v>
      </c>
      <c r="R761" s="8" t="s">
        <v>5278</v>
      </c>
    </row>
    <row r="762">
      <c r="A762" s="8" t="s">
        <v>1129</v>
      </c>
      <c r="B762" s="8" t="s">
        <v>7465</v>
      </c>
      <c r="C762" s="8" t="s">
        <v>7466</v>
      </c>
      <c r="D762" s="9">
        <v>7.58817732E9</v>
      </c>
      <c r="E762" s="8" t="s">
        <v>7467</v>
      </c>
      <c r="F762" s="8" t="s">
        <v>3594</v>
      </c>
      <c r="G762" s="8" t="s">
        <v>7468</v>
      </c>
      <c r="H762" s="8" t="s">
        <v>3479</v>
      </c>
      <c r="I762" s="9">
        <v>0.0</v>
      </c>
      <c r="J762" s="9">
        <v>1423.0</v>
      </c>
      <c r="K762" s="9">
        <v>1423.0</v>
      </c>
      <c r="L762" s="9">
        <v>1423.0</v>
      </c>
      <c r="M762" s="9">
        <v>160.0</v>
      </c>
      <c r="N762" s="9">
        <v>739.0</v>
      </c>
      <c r="O762" s="9">
        <v>524.0</v>
      </c>
      <c r="P762" s="8" t="s">
        <v>3480</v>
      </c>
      <c r="Q762" s="8" t="s">
        <v>7469</v>
      </c>
      <c r="R762" s="8" t="s">
        <v>7470</v>
      </c>
    </row>
    <row r="763">
      <c r="A763" s="8" t="s">
        <v>897</v>
      </c>
      <c r="B763" s="8" t="s">
        <v>7471</v>
      </c>
      <c r="C763" s="8" t="s">
        <v>7472</v>
      </c>
      <c r="D763" s="9">
        <v>9.983995688E9</v>
      </c>
      <c r="E763" s="8" t="s">
        <v>7473</v>
      </c>
      <c r="F763" s="8" t="s">
        <v>4112</v>
      </c>
      <c r="G763" s="8" t="s">
        <v>7474</v>
      </c>
      <c r="H763" s="8" t="s">
        <v>7475</v>
      </c>
      <c r="I763" s="9">
        <v>0.0</v>
      </c>
      <c r="J763" s="9">
        <v>1600.0</v>
      </c>
      <c r="K763" s="9">
        <v>1680.0</v>
      </c>
      <c r="L763" s="9">
        <v>1600.0</v>
      </c>
      <c r="M763" s="9">
        <v>1305.0</v>
      </c>
      <c r="N763" s="9">
        <v>0.0</v>
      </c>
      <c r="O763" s="9">
        <v>375.0</v>
      </c>
      <c r="P763" s="8" t="s">
        <v>3480</v>
      </c>
      <c r="Q763" s="8"/>
      <c r="R763" s="8"/>
    </row>
    <row r="764">
      <c r="A764" s="8" t="s">
        <v>1101</v>
      </c>
      <c r="B764" s="8" t="s">
        <v>7476</v>
      </c>
      <c r="C764" s="8" t="s">
        <v>7477</v>
      </c>
      <c r="D764" s="9">
        <v>8.484842631E9</v>
      </c>
      <c r="E764" s="8" t="s">
        <v>7478</v>
      </c>
      <c r="F764" s="8" t="s">
        <v>7479</v>
      </c>
      <c r="G764" s="8" t="s">
        <v>7480</v>
      </c>
      <c r="H764" s="8" t="s">
        <v>3479</v>
      </c>
      <c r="I764" s="9">
        <v>0.0</v>
      </c>
      <c r="J764" s="9">
        <v>2589.0</v>
      </c>
      <c r="K764" s="9">
        <v>2589.0</v>
      </c>
      <c r="L764" s="9">
        <v>2589.0</v>
      </c>
      <c r="M764" s="9">
        <v>1000.0</v>
      </c>
      <c r="N764" s="9">
        <v>190.0</v>
      </c>
      <c r="O764" s="9">
        <v>1399.0</v>
      </c>
      <c r="P764" s="8" t="s">
        <v>3480</v>
      </c>
      <c r="Q764" s="8" t="s">
        <v>7481</v>
      </c>
      <c r="R764" s="8" t="s">
        <v>7482</v>
      </c>
    </row>
    <row r="765">
      <c r="A765" s="8" t="s">
        <v>898</v>
      </c>
      <c r="B765" s="8" t="s">
        <v>7483</v>
      </c>
      <c r="C765" s="8" t="s">
        <v>7484</v>
      </c>
      <c r="D765" s="9">
        <v>9.833114601E9</v>
      </c>
      <c r="E765" s="8" t="s">
        <v>7485</v>
      </c>
      <c r="F765" s="8" t="s">
        <v>3509</v>
      </c>
      <c r="G765" s="8" t="s">
        <v>3494</v>
      </c>
      <c r="H765" s="8" t="s">
        <v>7486</v>
      </c>
      <c r="I765" s="9">
        <v>0.0</v>
      </c>
      <c r="J765" s="9">
        <v>2200.0</v>
      </c>
      <c r="K765" s="9">
        <v>2248.0</v>
      </c>
      <c r="L765" s="9">
        <v>2200.0</v>
      </c>
      <c r="M765" s="9">
        <v>1060.0</v>
      </c>
      <c r="N765" s="9">
        <v>739.0</v>
      </c>
      <c r="O765" s="9">
        <v>449.0</v>
      </c>
      <c r="P765" s="8" t="s">
        <v>3480</v>
      </c>
      <c r="Q765" s="8"/>
      <c r="R765" s="8"/>
    </row>
    <row r="766">
      <c r="A766" s="8" t="s">
        <v>1102</v>
      </c>
      <c r="B766" s="8" t="s">
        <v>7487</v>
      </c>
      <c r="C766" s="8" t="s">
        <v>7488</v>
      </c>
      <c r="D766" s="9">
        <v>9.762861972E9</v>
      </c>
      <c r="E766" s="8" t="s">
        <v>7489</v>
      </c>
      <c r="F766" s="8" t="s">
        <v>5633</v>
      </c>
      <c r="G766" s="8" t="s">
        <v>7490</v>
      </c>
      <c r="H766" s="8" t="s">
        <v>3479</v>
      </c>
      <c r="I766" s="9">
        <v>0.0</v>
      </c>
      <c r="J766" s="9">
        <v>2587.0</v>
      </c>
      <c r="K766" s="9">
        <v>2587.0</v>
      </c>
      <c r="L766" s="9">
        <v>2587.0</v>
      </c>
      <c r="M766" s="9">
        <v>1104.0</v>
      </c>
      <c r="N766" s="9">
        <v>784.0</v>
      </c>
      <c r="O766" s="9">
        <v>699.0</v>
      </c>
      <c r="P766" s="8" t="s">
        <v>3480</v>
      </c>
      <c r="Q766" s="8" t="s">
        <v>7491</v>
      </c>
      <c r="R766" s="8" t="s">
        <v>7492</v>
      </c>
    </row>
    <row r="767">
      <c r="A767" s="8" t="s">
        <v>1104</v>
      </c>
      <c r="B767" s="8" t="s">
        <v>7493</v>
      </c>
      <c r="C767" s="8" t="s">
        <v>7494</v>
      </c>
      <c r="D767" s="9">
        <v>9.404545177E9</v>
      </c>
      <c r="E767" s="8" t="s">
        <v>7495</v>
      </c>
      <c r="F767" s="8" t="s">
        <v>3653</v>
      </c>
      <c r="G767" s="8" t="s">
        <v>7496</v>
      </c>
      <c r="H767" s="8" t="s">
        <v>3479</v>
      </c>
      <c r="I767" s="9">
        <v>0.0</v>
      </c>
      <c r="J767" s="9">
        <v>3468.0</v>
      </c>
      <c r="K767" s="9">
        <v>3468.0</v>
      </c>
      <c r="L767" s="9">
        <v>3468.0</v>
      </c>
      <c r="M767" s="9">
        <v>1930.0</v>
      </c>
      <c r="N767" s="9">
        <v>914.0</v>
      </c>
      <c r="O767" s="9">
        <v>624.0</v>
      </c>
      <c r="P767" s="8" t="s">
        <v>3480</v>
      </c>
      <c r="Q767" s="8" t="s">
        <v>7497</v>
      </c>
      <c r="R767" s="8" t="s">
        <v>7498</v>
      </c>
    </row>
    <row r="768">
      <c r="A768" s="8" t="s">
        <v>1103</v>
      </c>
      <c r="B768" s="8" t="s">
        <v>7499</v>
      </c>
      <c r="C768" s="8" t="s">
        <v>7500</v>
      </c>
      <c r="D768" s="9">
        <v>8.007822462E9</v>
      </c>
      <c r="E768" s="8" t="s">
        <v>7501</v>
      </c>
      <c r="F768" s="8" t="s">
        <v>3615</v>
      </c>
      <c r="G768" s="8" t="s">
        <v>7502</v>
      </c>
      <c r="H768" s="8" t="s">
        <v>3479</v>
      </c>
      <c r="I768" s="9">
        <v>0.0</v>
      </c>
      <c r="J768" s="9">
        <v>1623.0</v>
      </c>
      <c r="K768" s="9">
        <v>1623.0</v>
      </c>
      <c r="L768" s="9">
        <v>1623.0</v>
      </c>
      <c r="M768" s="9">
        <v>390.0</v>
      </c>
      <c r="N768" s="9">
        <v>784.0</v>
      </c>
      <c r="O768" s="9">
        <v>449.0</v>
      </c>
      <c r="P768" s="8" t="s">
        <v>3480</v>
      </c>
      <c r="Q768" s="8"/>
      <c r="R768" s="8"/>
    </row>
    <row r="769">
      <c r="A769" s="8" t="s">
        <v>1105</v>
      </c>
      <c r="B769" s="8" t="s">
        <v>7503</v>
      </c>
      <c r="C769" s="8" t="s">
        <v>7504</v>
      </c>
      <c r="D769" s="9">
        <v>8.827719555E9</v>
      </c>
      <c r="E769" s="8" t="s">
        <v>7505</v>
      </c>
      <c r="F769" s="8" t="s">
        <v>3608</v>
      </c>
      <c r="G769" s="8" t="s">
        <v>7506</v>
      </c>
      <c r="H769" s="8" t="s">
        <v>3479</v>
      </c>
      <c r="I769" s="9">
        <v>0.0</v>
      </c>
      <c r="J769" s="9">
        <v>1350.0</v>
      </c>
      <c r="K769" s="9">
        <v>1350.0</v>
      </c>
      <c r="L769" s="9">
        <v>1350.0</v>
      </c>
      <c r="M769" s="9">
        <v>1350.0</v>
      </c>
      <c r="N769" s="9">
        <v>0.0</v>
      </c>
      <c r="O769" s="9">
        <v>0.0</v>
      </c>
      <c r="P769" s="8" t="s">
        <v>3480</v>
      </c>
      <c r="Q769" s="8"/>
      <c r="R769" s="8"/>
    </row>
    <row r="770">
      <c r="A770" s="8" t="s">
        <v>1106</v>
      </c>
      <c r="B770" s="8" t="s">
        <v>7507</v>
      </c>
      <c r="C770" s="8" t="s">
        <v>7508</v>
      </c>
      <c r="D770" s="9">
        <v>7.276208127E9</v>
      </c>
      <c r="E770" s="8" t="s">
        <v>7509</v>
      </c>
      <c r="F770" s="8" t="s">
        <v>3589</v>
      </c>
      <c r="G770" s="8" t="s">
        <v>7510</v>
      </c>
      <c r="H770" s="8" t="s">
        <v>3479</v>
      </c>
      <c r="I770" s="9">
        <v>0.0</v>
      </c>
      <c r="J770" s="9">
        <v>3634.0</v>
      </c>
      <c r="K770" s="9">
        <v>3634.0</v>
      </c>
      <c r="L770" s="9">
        <v>3634.0</v>
      </c>
      <c r="M770" s="9">
        <v>2455.0</v>
      </c>
      <c r="N770" s="9">
        <v>730.0</v>
      </c>
      <c r="O770" s="9">
        <v>449.0</v>
      </c>
      <c r="P770" s="8" t="s">
        <v>3480</v>
      </c>
      <c r="Q770" s="8"/>
      <c r="R770" s="8"/>
    </row>
    <row r="771">
      <c r="A771" s="8" t="s">
        <v>1130</v>
      </c>
      <c r="B771" s="8" t="s">
        <v>7511</v>
      </c>
      <c r="C771" s="8" t="s">
        <v>7512</v>
      </c>
      <c r="D771" s="9">
        <v>9.075791172E9</v>
      </c>
      <c r="E771" s="8" t="s">
        <v>7513</v>
      </c>
      <c r="F771" s="8" t="s">
        <v>5240</v>
      </c>
      <c r="G771" s="8" t="s">
        <v>7514</v>
      </c>
      <c r="H771" s="8" t="s">
        <v>3479</v>
      </c>
      <c r="I771" s="9">
        <v>0.0</v>
      </c>
      <c r="J771" s="9">
        <v>2705.0</v>
      </c>
      <c r="K771" s="9">
        <v>2705.0</v>
      </c>
      <c r="L771" s="9">
        <v>2705.0</v>
      </c>
      <c r="M771" s="9">
        <v>2555.0</v>
      </c>
      <c r="N771" s="9">
        <v>0.0</v>
      </c>
      <c r="O771" s="9">
        <v>150.0</v>
      </c>
      <c r="P771" s="8" t="s">
        <v>3480</v>
      </c>
      <c r="Q771" s="8" t="s">
        <v>7515</v>
      </c>
      <c r="R771" s="8" t="s">
        <v>7516</v>
      </c>
    </row>
    <row r="772">
      <c r="A772" s="8" t="s">
        <v>899</v>
      </c>
      <c r="B772" s="8" t="s">
        <v>7517</v>
      </c>
      <c r="C772" s="8" t="s">
        <v>7518</v>
      </c>
      <c r="D772" s="9">
        <v>9.923285252E9</v>
      </c>
      <c r="E772" s="8" t="s">
        <v>7519</v>
      </c>
      <c r="F772" s="8" t="s">
        <v>3653</v>
      </c>
      <c r="G772" s="8" t="s">
        <v>3494</v>
      </c>
      <c r="H772" s="8" t="s">
        <v>3479</v>
      </c>
      <c r="I772" s="9">
        <v>0.0</v>
      </c>
      <c r="J772" s="9">
        <v>106.0</v>
      </c>
      <c r="K772" s="9">
        <v>3906.0</v>
      </c>
      <c r="L772" s="9">
        <v>3906.0</v>
      </c>
      <c r="M772" s="9">
        <v>2257.0</v>
      </c>
      <c r="N772" s="9">
        <v>775.0</v>
      </c>
      <c r="O772" s="9">
        <v>874.0</v>
      </c>
      <c r="P772" s="8" t="s">
        <v>3480</v>
      </c>
      <c r="Q772" s="8" t="s">
        <v>7520</v>
      </c>
      <c r="R772" s="8" t="s">
        <v>7521</v>
      </c>
    </row>
    <row r="773">
      <c r="A773" s="8" t="s">
        <v>1108</v>
      </c>
      <c r="B773" s="8" t="s">
        <v>7522</v>
      </c>
      <c r="C773" s="8" t="s">
        <v>7523</v>
      </c>
      <c r="D773" s="9">
        <v>9.860310094E9</v>
      </c>
      <c r="E773" s="8" t="s">
        <v>7524</v>
      </c>
      <c r="F773" s="8" t="s">
        <v>3608</v>
      </c>
      <c r="G773" s="8" t="s">
        <v>7525</v>
      </c>
      <c r="H773" s="8" t="s">
        <v>3479</v>
      </c>
      <c r="I773" s="9">
        <v>0.0</v>
      </c>
      <c r="J773" s="9">
        <v>1559.0</v>
      </c>
      <c r="K773" s="9">
        <v>1559.0</v>
      </c>
      <c r="L773" s="9">
        <v>1559.0</v>
      </c>
      <c r="M773" s="9">
        <v>380.0</v>
      </c>
      <c r="N773" s="9">
        <v>730.0</v>
      </c>
      <c r="O773" s="9">
        <v>449.0</v>
      </c>
      <c r="P773" s="8" t="s">
        <v>3519</v>
      </c>
      <c r="Q773" s="8" t="s">
        <v>7526</v>
      </c>
      <c r="R773" s="8"/>
    </row>
    <row r="774">
      <c r="A774" s="8" t="s">
        <v>1110</v>
      </c>
      <c r="B774" s="8" t="s">
        <v>7527</v>
      </c>
      <c r="C774" s="8" t="s">
        <v>7500</v>
      </c>
      <c r="D774" s="9">
        <v>8.888426814E9</v>
      </c>
      <c r="E774" s="8" t="s">
        <v>7528</v>
      </c>
      <c r="F774" s="8" t="s">
        <v>3768</v>
      </c>
      <c r="G774" s="8" t="s">
        <v>7529</v>
      </c>
      <c r="H774" s="8" t="s">
        <v>3479</v>
      </c>
      <c r="I774" s="9">
        <v>0.0</v>
      </c>
      <c r="J774" s="9">
        <v>2053.0</v>
      </c>
      <c r="K774" s="9">
        <v>2053.0</v>
      </c>
      <c r="L774" s="9">
        <v>2053.0</v>
      </c>
      <c r="M774" s="9">
        <v>820.0</v>
      </c>
      <c r="N774" s="9">
        <v>784.0</v>
      </c>
      <c r="O774" s="9">
        <v>449.0</v>
      </c>
      <c r="P774" s="8" t="s">
        <v>3480</v>
      </c>
      <c r="Q774" s="8"/>
      <c r="R774" s="8"/>
    </row>
    <row r="775">
      <c r="A775" s="8" t="s">
        <v>1111</v>
      </c>
      <c r="B775" s="8" t="s">
        <v>7530</v>
      </c>
      <c r="C775" s="8" t="s">
        <v>7531</v>
      </c>
      <c r="D775" s="9">
        <v>7.677146058E9</v>
      </c>
      <c r="E775" s="8" t="s">
        <v>7532</v>
      </c>
      <c r="F775" s="8" t="s">
        <v>4366</v>
      </c>
      <c r="G775" s="8" t="s">
        <v>7533</v>
      </c>
      <c r="H775" s="8" t="s">
        <v>7534</v>
      </c>
      <c r="I775" s="9">
        <v>0.0</v>
      </c>
      <c r="J775" s="9">
        <v>1955.0</v>
      </c>
      <c r="K775" s="9">
        <v>2055.0</v>
      </c>
      <c r="L775" s="9">
        <v>1955.0</v>
      </c>
      <c r="M775" s="9">
        <v>672.0</v>
      </c>
      <c r="N775" s="9">
        <v>784.0</v>
      </c>
      <c r="O775" s="9">
        <v>599.0</v>
      </c>
      <c r="P775" s="8" t="s">
        <v>3480</v>
      </c>
      <c r="Q775" s="8"/>
      <c r="R775" s="8"/>
    </row>
    <row r="776">
      <c r="A776" s="8" t="s">
        <v>1112</v>
      </c>
      <c r="B776" s="8" t="s">
        <v>7535</v>
      </c>
      <c r="C776" s="8" t="s">
        <v>7536</v>
      </c>
      <c r="D776" s="9">
        <v>9.823062767E9</v>
      </c>
      <c r="E776" s="8" t="s">
        <v>7537</v>
      </c>
      <c r="F776" s="8" t="s">
        <v>3828</v>
      </c>
      <c r="G776" s="8" t="s">
        <v>7538</v>
      </c>
      <c r="H776" s="8" t="s">
        <v>3479</v>
      </c>
      <c r="I776" s="9">
        <v>0.0</v>
      </c>
      <c r="J776" s="9">
        <v>1339.0</v>
      </c>
      <c r="K776" s="9">
        <v>1339.0</v>
      </c>
      <c r="L776" s="9">
        <v>1339.0</v>
      </c>
      <c r="M776" s="9">
        <v>240.0</v>
      </c>
      <c r="N776" s="9">
        <v>650.0</v>
      </c>
      <c r="O776" s="9">
        <v>449.0</v>
      </c>
      <c r="P776" s="8" t="s">
        <v>3480</v>
      </c>
      <c r="Q776" s="8" t="s">
        <v>7539</v>
      </c>
      <c r="R776" s="8" t="s">
        <v>7540</v>
      </c>
    </row>
    <row r="777">
      <c r="A777" s="8" t="s">
        <v>1107</v>
      </c>
      <c r="B777" s="8" t="s">
        <v>7541</v>
      </c>
      <c r="C777" s="8" t="s">
        <v>7542</v>
      </c>
      <c r="D777" s="9">
        <v>9.921390651E9</v>
      </c>
      <c r="E777" s="8" t="s">
        <v>7543</v>
      </c>
      <c r="F777" s="8" t="s">
        <v>7389</v>
      </c>
      <c r="G777" s="8" t="s">
        <v>7544</v>
      </c>
      <c r="H777" s="8" t="s">
        <v>3479</v>
      </c>
      <c r="I777" s="9">
        <v>0.0</v>
      </c>
      <c r="J777" s="9">
        <v>1518.0</v>
      </c>
      <c r="K777" s="9">
        <v>1518.0</v>
      </c>
      <c r="L777" s="9">
        <v>1518.0</v>
      </c>
      <c r="M777" s="9">
        <v>135.0</v>
      </c>
      <c r="N777" s="9">
        <v>784.0</v>
      </c>
      <c r="O777" s="9">
        <v>599.0</v>
      </c>
      <c r="P777" s="8" t="s">
        <v>3480</v>
      </c>
      <c r="Q777" s="8" t="s">
        <v>7545</v>
      </c>
      <c r="R777" s="8" t="s">
        <v>7546</v>
      </c>
    </row>
    <row r="778">
      <c r="A778" s="8" t="s">
        <v>920</v>
      </c>
      <c r="B778" s="8" t="s">
        <v>7547</v>
      </c>
      <c r="C778" s="8" t="s">
        <v>7548</v>
      </c>
      <c r="D778" s="9">
        <v>8.550944566E9</v>
      </c>
      <c r="E778" s="8" t="s">
        <v>7549</v>
      </c>
      <c r="F778" s="8" t="s">
        <v>3993</v>
      </c>
      <c r="G778" s="8" t="s">
        <v>7550</v>
      </c>
      <c r="H778" s="8" t="s">
        <v>3479</v>
      </c>
      <c r="I778" s="9">
        <v>0.0</v>
      </c>
      <c r="J778" s="9">
        <v>1454.0</v>
      </c>
      <c r="K778" s="9">
        <v>1454.0</v>
      </c>
      <c r="L778" s="9">
        <v>1454.0</v>
      </c>
      <c r="M778" s="9">
        <v>80.0</v>
      </c>
      <c r="N778" s="9">
        <v>775.0</v>
      </c>
      <c r="O778" s="9">
        <v>599.0</v>
      </c>
      <c r="P778" s="8" t="s">
        <v>3544</v>
      </c>
      <c r="Q778" s="8"/>
      <c r="R778" s="8"/>
    </row>
    <row r="779">
      <c r="A779" s="8" t="s">
        <v>921</v>
      </c>
      <c r="B779" s="8" t="s">
        <v>7551</v>
      </c>
      <c r="C779" s="8" t="s">
        <v>7552</v>
      </c>
      <c r="D779" s="9">
        <v>8.275222246E9</v>
      </c>
      <c r="E779" s="8" t="s">
        <v>7553</v>
      </c>
      <c r="F779" s="8" t="s">
        <v>5485</v>
      </c>
      <c r="G779" s="8" t="s">
        <v>7554</v>
      </c>
      <c r="H779" s="8" t="s">
        <v>3479</v>
      </c>
      <c r="I779" s="9">
        <v>0.0</v>
      </c>
      <c r="J779" s="9">
        <v>4786.0</v>
      </c>
      <c r="K779" s="9">
        <v>4786.0</v>
      </c>
      <c r="L779" s="9">
        <v>4786.0</v>
      </c>
      <c r="M779" s="9">
        <v>4012.0</v>
      </c>
      <c r="N779" s="9">
        <v>0.0</v>
      </c>
      <c r="O779" s="9">
        <v>774.0</v>
      </c>
      <c r="P779" s="8" t="s">
        <v>3480</v>
      </c>
      <c r="Q779" s="8"/>
      <c r="R779" s="8"/>
    </row>
    <row r="780">
      <c r="A780" s="8" t="s">
        <v>923</v>
      </c>
      <c r="B780" s="8" t="s">
        <v>7555</v>
      </c>
      <c r="C780" s="8" t="s">
        <v>7556</v>
      </c>
      <c r="D780" s="9">
        <v>9.850278965E9</v>
      </c>
      <c r="E780" s="8" t="s">
        <v>7557</v>
      </c>
      <c r="F780" s="8" t="s">
        <v>3809</v>
      </c>
      <c r="G780" s="8" t="s">
        <v>7558</v>
      </c>
      <c r="H780" s="8" t="s">
        <v>3479</v>
      </c>
      <c r="I780" s="9">
        <v>0.0</v>
      </c>
      <c r="J780" s="9">
        <v>1670.0</v>
      </c>
      <c r="K780" s="9">
        <v>1670.0</v>
      </c>
      <c r="L780" s="9">
        <v>1670.0</v>
      </c>
      <c r="M780" s="9">
        <v>745.0</v>
      </c>
      <c r="N780" s="9">
        <v>0.0</v>
      </c>
      <c r="O780" s="9">
        <v>925.0</v>
      </c>
      <c r="P780" s="8" t="s">
        <v>3519</v>
      </c>
      <c r="Q780" s="8"/>
      <c r="R780" s="8"/>
    </row>
    <row r="781">
      <c r="A781" s="8" t="s">
        <v>922</v>
      </c>
      <c r="B781" s="8" t="s">
        <v>7559</v>
      </c>
      <c r="C781" s="8" t="s">
        <v>4498</v>
      </c>
      <c r="D781" s="9">
        <v>7.304070707E9</v>
      </c>
      <c r="E781" s="8" t="s">
        <v>4499</v>
      </c>
      <c r="F781" s="8" t="s">
        <v>4500</v>
      </c>
      <c r="G781" s="8" t="s">
        <v>7560</v>
      </c>
      <c r="H781" s="8" t="s">
        <v>3479</v>
      </c>
      <c r="I781" s="9">
        <v>0.0</v>
      </c>
      <c r="J781" s="9">
        <v>585.0</v>
      </c>
      <c r="K781" s="9">
        <v>585.0</v>
      </c>
      <c r="L781" s="9">
        <v>585.0</v>
      </c>
      <c r="M781" s="9">
        <v>0.0</v>
      </c>
      <c r="N781" s="9">
        <v>585.0</v>
      </c>
      <c r="O781" s="9">
        <v>0.0</v>
      </c>
      <c r="P781" s="8" t="s">
        <v>3480</v>
      </c>
      <c r="Q781" s="8" t="s">
        <v>4502</v>
      </c>
      <c r="R781" s="8" t="s">
        <v>4503</v>
      </c>
    </row>
    <row r="782">
      <c r="A782" s="8" t="s">
        <v>924</v>
      </c>
      <c r="B782" s="8" t="s">
        <v>7561</v>
      </c>
      <c r="C782" s="8" t="s">
        <v>7562</v>
      </c>
      <c r="D782" s="9">
        <v>8.956873768E9</v>
      </c>
      <c r="E782" s="8" t="s">
        <v>7563</v>
      </c>
      <c r="F782" s="8" t="s">
        <v>3498</v>
      </c>
      <c r="G782" s="8" t="s">
        <v>7564</v>
      </c>
      <c r="H782" s="8" t="s">
        <v>3479</v>
      </c>
      <c r="I782" s="9">
        <v>0.0</v>
      </c>
      <c r="J782" s="9">
        <v>1563.0</v>
      </c>
      <c r="K782" s="9">
        <v>1563.0</v>
      </c>
      <c r="L782" s="9">
        <v>1563.0</v>
      </c>
      <c r="M782" s="9">
        <v>300.0</v>
      </c>
      <c r="N782" s="9">
        <v>739.0</v>
      </c>
      <c r="O782" s="9">
        <v>524.0</v>
      </c>
      <c r="P782" s="8" t="s">
        <v>3480</v>
      </c>
      <c r="Q782" s="8" t="s">
        <v>7565</v>
      </c>
      <c r="R782" s="8" t="s">
        <v>7566</v>
      </c>
    </row>
    <row r="783">
      <c r="A783" s="8" t="s">
        <v>925</v>
      </c>
      <c r="B783" s="8" t="s">
        <v>7567</v>
      </c>
      <c r="C783" s="8" t="s">
        <v>7568</v>
      </c>
      <c r="D783" s="9">
        <v>9.538776586E9</v>
      </c>
      <c r="E783" s="8" t="s">
        <v>7569</v>
      </c>
      <c r="F783" s="8" t="s">
        <v>4252</v>
      </c>
      <c r="G783" s="8" t="s">
        <v>7570</v>
      </c>
      <c r="H783" s="8" t="s">
        <v>3479</v>
      </c>
      <c r="I783" s="9">
        <v>0.0</v>
      </c>
      <c r="J783" s="9">
        <v>1758.0</v>
      </c>
      <c r="K783" s="9">
        <v>1758.0</v>
      </c>
      <c r="L783" s="9">
        <v>1758.0</v>
      </c>
      <c r="M783" s="9">
        <v>159.0</v>
      </c>
      <c r="N783" s="9">
        <v>900.0</v>
      </c>
      <c r="O783" s="9">
        <v>699.0</v>
      </c>
      <c r="P783" s="8" t="s">
        <v>3480</v>
      </c>
      <c r="Q783" s="8"/>
      <c r="R783" s="8"/>
    </row>
    <row r="784">
      <c r="A784" s="8" t="s">
        <v>926</v>
      </c>
      <c r="B784" s="8" t="s">
        <v>7571</v>
      </c>
      <c r="C784" s="8" t="s">
        <v>4743</v>
      </c>
      <c r="D784" s="9">
        <v>9.579137595E9</v>
      </c>
      <c r="E784" s="8" t="s">
        <v>7572</v>
      </c>
      <c r="F784" s="8" t="s">
        <v>3608</v>
      </c>
      <c r="G784" s="8" t="s">
        <v>7573</v>
      </c>
      <c r="H784" s="8" t="s">
        <v>3479</v>
      </c>
      <c r="I784" s="9">
        <v>0.0</v>
      </c>
      <c r="J784" s="9">
        <v>3058.0</v>
      </c>
      <c r="K784" s="9">
        <v>3058.0</v>
      </c>
      <c r="L784" s="9">
        <v>3058.0</v>
      </c>
      <c r="M784" s="9">
        <v>1870.0</v>
      </c>
      <c r="N784" s="9">
        <v>739.0</v>
      </c>
      <c r="O784" s="9">
        <v>449.0</v>
      </c>
      <c r="P784" s="8" t="s">
        <v>3480</v>
      </c>
      <c r="Q784" s="8" t="s">
        <v>7574</v>
      </c>
      <c r="R784" s="8" t="s">
        <v>7575</v>
      </c>
    </row>
    <row r="785">
      <c r="A785" s="8" t="s">
        <v>928</v>
      </c>
      <c r="B785" s="8" t="s">
        <v>7576</v>
      </c>
      <c r="C785" s="8" t="s">
        <v>7577</v>
      </c>
      <c r="D785" s="9">
        <v>8.652500531E9</v>
      </c>
      <c r="E785" s="8" t="s">
        <v>7578</v>
      </c>
      <c r="F785" s="8" t="s">
        <v>4792</v>
      </c>
      <c r="G785" s="8" t="s">
        <v>7579</v>
      </c>
      <c r="H785" s="8" t="s">
        <v>3479</v>
      </c>
      <c r="I785" s="9">
        <v>0.0</v>
      </c>
      <c r="J785" s="9">
        <v>1610.0</v>
      </c>
      <c r="K785" s="9">
        <v>1610.0</v>
      </c>
      <c r="L785" s="9">
        <v>1610.0</v>
      </c>
      <c r="M785" s="9">
        <v>261.0</v>
      </c>
      <c r="N785" s="9">
        <v>775.0</v>
      </c>
      <c r="O785" s="9">
        <v>574.0</v>
      </c>
      <c r="P785" s="8" t="s">
        <v>3480</v>
      </c>
      <c r="Q785" s="8"/>
      <c r="R785" s="8"/>
    </row>
    <row r="786">
      <c r="A786" s="8" t="s">
        <v>929</v>
      </c>
      <c r="B786" s="8" t="s">
        <v>7580</v>
      </c>
      <c r="C786" s="8" t="s">
        <v>7581</v>
      </c>
      <c r="D786" s="9">
        <v>9.763643907E9</v>
      </c>
      <c r="E786" s="8" t="s">
        <v>7582</v>
      </c>
      <c r="F786" s="8" t="s">
        <v>3809</v>
      </c>
      <c r="G786" s="8" t="s">
        <v>7583</v>
      </c>
      <c r="H786" s="8" t="s">
        <v>3479</v>
      </c>
      <c r="I786" s="9">
        <v>0.0</v>
      </c>
      <c r="J786" s="9">
        <v>1129.0</v>
      </c>
      <c r="K786" s="9">
        <v>1129.0</v>
      </c>
      <c r="L786" s="9">
        <v>1129.0</v>
      </c>
      <c r="M786" s="9">
        <v>380.0</v>
      </c>
      <c r="N786" s="9">
        <v>0.0</v>
      </c>
      <c r="O786" s="9">
        <v>749.0</v>
      </c>
      <c r="P786" s="8" t="s">
        <v>3480</v>
      </c>
      <c r="Q786" s="8" t="s">
        <v>7584</v>
      </c>
      <c r="R786" s="8" t="s">
        <v>7585</v>
      </c>
    </row>
    <row r="787">
      <c r="A787" s="8" t="s">
        <v>1109</v>
      </c>
      <c r="B787" s="8" t="s">
        <v>7586</v>
      </c>
      <c r="C787" s="8" t="s">
        <v>7587</v>
      </c>
      <c r="D787" s="9">
        <v>9.765552699E9</v>
      </c>
      <c r="E787" s="8" t="s">
        <v>7588</v>
      </c>
      <c r="F787" s="8" t="s">
        <v>3493</v>
      </c>
      <c r="G787" s="8" t="s">
        <v>3494</v>
      </c>
      <c r="H787" s="8" t="s">
        <v>3479</v>
      </c>
      <c r="I787" s="9">
        <v>0.0</v>
      </c>
      <c r="J787" s="9">
        <v>1564.0</v>
      </c>
      <c r="K787" s="9">
        <v>1564.0</v>
      </c>
      <c r="L787" s="9">
        <v>1564.0</v>
      </c>
      <c r="M787" s="9">
        <v>965.0</v>
      </c>
      <c r="N787" s="9">
        <v>0.0</v>
      </c>
      <c r="O787" s="9">
        <v>599.0</v>
      </c>
      <c r="P787" s="8" t="s">
        <v>3480</v>
      </c>
      <c r="Q787" s="8" t="s">
        <v>7589</v>
      </c>
      <c r="R787" s="8" t="s">
        <v>7590</v>
      </c>
    </row>
    <row r="788">
      <c r="A788" s="8" t="s">
        <v>930</v>
      </c>
      <c r="B788" s="8" t="s">
        <v>7591</v>
      </c>
      <c r="C788" s="8" t="s">
        <v>7592</v>
      </c>
      <c r="D788" s="9">
        <v>8.624020989E9</v>
      </c>
      <c r="E788" s="8" t="s">
        <v>7593</v>
      </c>
      <c r="F788" s="8" t="s">
        <v>3557</v>
      </c>
      <c r="G788" s="8" t="s">
        <v>7594</v>
      </c>
      <c r="H788" s="8" t="s">
        <v>3479</v>
      </c>
      <c r="I788" s="9">
        <v>0.0</v>
      </c>
      <c r="J788" s="9">
        <v>4241.0</v>
      </c>
      <c r="K788" s="9">
        <v>4241.0</v>
      </c>
      <c r="L788" s="9">
        <v>4241.0</v>
      </c>
      <c r="M788" s="9">
        <v>2567.0</v>
      </c>
      <c r="N788" s="9">
        <v>900.0</v>
      </c>
      <c r="O788" s="9">
        <v>774.0</v>
      </c>
      <c r="P788" s="8" t="s">
        <v>3480</v>
      </c>
      <c r="Q788" s="8" t="s">
        <v>7595</v>
      </c>
      <c r="R788" s="8" t="s">
        <v>7596</v>
      </c>
    </row>
    <row r="789">
      <c r="A789" s="8" t="s">
        <v>931</v>
      </c>
      <c r="B789" s="8" t="s">
        <v>7597</v>
      </c>
      <c r="C789" s="8" t="s">
        <v>6138</v>
      </c>
      <c r="D789" s="9">
        <v>7.559156684E9</v>
      </c>
      <c r="E789" s="8" t="s">
        <v>6139</v>
      </c>
      <c r="F789" s="8" t="s">
        <v>3486</v>
      </c>
      <c r="G789" s="8" t="s">
        <v>7598</v>
      </c>
      <c r="H789" s="8" t="s">
        <v>3479</v>
      </c>
      <c r="I789" s="9">
        <v>0.0</v>
      </c>
      <c r="J789" s="9">
        <v>2013.0</v>
      </c>
      <c r="K789" s="9">
        <v>2013.0</v>
      </c>
      <c r="L789" s="9">
        <v>2013.0</v>
      </c>
      <c r="M789" s="9">
        <v>825.0</v>
      </c>
      <c r="N789" s="9">
        <v>739.0</v>
      </c>
      <c r="O789" s="9">
        <v>449.0</v>
      </c>
      <c r="P789" s="8" t="s">
        <v>3480</v>
      </c>
      <c r="Q789" s="8" t="s">
        <v>6142</v>
      </c>
      <c r="R789" s="8" t="s">
        <v>6143</v>
      </c>
    </row>
    <row r="790">
      <c r="A790" s="8" t="s">
        <v>932</v>
      </c>
      <c r="B790" s="8" t="s">
        <v>7599</v>
      </c>
      <c r="C790" s="8" t="s">
        <v>7600</v>
      </c>
      <c r="D790" s="9">
        <v>8.989684659E9</v>
      </c>
      <c r="E790" s="8" t="s">
        <v>7601</v>
      </c>
      <c r="F790" s="8" t="s">
        <v>3707</v>
      </c>
      <c r="G790" s="8" t="s">
        <v>7602</v>
      </c>
      <c r="H790" s="8" t="s">
        <v>3479</v>
      </c>
      <c r="I790" s="9">
        <v>0.0</v>
      </c>
      <c r="J790" s="9">
        <v>4438.0</v>
      </c>
      <c r="K790" s="9">
        <v>4438.0</v>
      </c>
      <c r="L790" s="9">
        <v>4438.0</v>
      </c>
      <c r="M790" s="9">
        <v>2814.0</v>
      </c>
      <c r="N790" s="9">
        <v>900.0</v>
      </c>
      <c r="O790" s="9">
        <v>724.0</v>
      </c>
      <c r="P790" s="8" t="s">
        <v>3480</v>
      </c>
      <c r="Q790" s="8" t="s">
        <v>7603</v>
      </c>
      <c r="R790" s="8" t="s">
        <v>7604</v>
      </c>
    </row>
    <row r="791">
      <c r="A791" s="8" t="s">
        <v>1134</v>
      </c>
      <c r="B791" s="8" t="s">
        <v>7605</v>
      </c>
      <c r="C791" s="8" t="s">
        <v>7606</v>
      </c>
      <c r="D791" s="9">
        <v>8.805413757E9</v>
      </c>
      <c r="E791" s="8" t="s">
        <v>7607</v>
      </c>
      <c r="F791" s="8" t="s">
        <v>7608</v>
      </c>
      <c r="G791" s="8" t="s">
        <v>7609</v>
      </c>
      <c r="H791" s="8" t="s">
        <v>3479</v>
      </c>
      <c r="I791" s="9">
        <v>0.0</v>
      </c>
      <c r="J791" s="9">
        <v>2881.0</v>
      </c>
      <c r="K791" s="9">
        <v>2881.0</v>
      </c>
      <c r="L791" s="9">
        <v>2881.0</v>
      </c>
      <c r="M791" s="9">
        <v>2606.0</v>
      </c>
      <c r="N791" s="9">
        <v>0.0</v>
      </c>
      <c r="O791" s="9">
        <v>275.0</v>
      </c>
      <c r="P791" s="8" t="s">
        <v>3480</v>
      </c>
      <c r="Q791" s="8" t="s">
        <v>7610</v>
      </c>
      <c r="R791" s="8" t="s">
        <v>7611</v>
      </c>
    </row>
    <row r="792">
      <c r="A792" s="8" t="s">
        <v>927</v>
      </c>
      <c r="B792" s="8" t="s">
        <v>7612</v>
      </c>
      <c r="C792" s="8" t="s">
        <v>7613</v>
      </c>
      <c r="D792" s="9">
        <v>9.766523567E9</v>
      </c>
      <c r="E792" s="8" t="s">
        <v>7614</v>
      </c>
      <c r="F792" s="8" t="s">
        <v>4239</v>
      </c>
      <c r="G792" s="8" t="s">
        <v>7615</v>
      </c>
      <c r="H792" s="8" t="s">
        <v>3479</v>
      </c>
      <c r="I792" s="9">
        <v>0.0</v>
      </c>
      <c r="J792" s="9">
        <v>1268.0</v>
      </c>
      <c r="K792" s="9">
        <v>1268.0</v>
      </c>
      <c r="L792" s="9">
        <v>1268.0</v>
      </c>
      <c r="M792" s="9">
        <v>80.0</v>
      </c>
      <c r="N792" s="9">
        <v>739.0</v>
      </c>
      <c r="O792" s="9">
        <v>449.0</v>
      </c>
      <c r="P792" s="8" t="s">
        <v>3480</v>
      </c>
      <c r="Q792" s="8"/>
      <c r="R792" s="8"/>
    </row>
    <row r="793">
      <c r="A793" s="8" t="s">
        <v>1135</v>
      </c>
      <c r="B793" s="8" t="s">
        <v>7616</v>
      </c>
      <c r="C793" s="8" t="s">
        <v>7617</v>
      </c>
      <c r="D793" s="9">
        <v>7.72000895E9</v>
      </c>
      <c r="E793" s="8" t="s">
        <v>7618</v>
      </c>
      <c r="F793" s="8" t="s">
        <v>4089</v>
      </c>
      <c r="G793" s="8" t="s">
        <v>7619</v>
      </c>
      <c r="H793" s="8" t="s">
        <v>3479</v>
      </c>
      <c r="I793" s="9">
        <v>0.0</v>
      </c>
      <c r="J793" s="9">
        <v>7607.0</v>
      </c>
      <c r="K793" s="9">
        <v>7607.0</v>
      </c>
      <c r="L793" s="9">
        <v>7607.0</v>
      </c>
      <c r="M793" s="9">
        <v>5338.0</v>
      </c>
      <c r="N793" s="9">
        <v>190.0</v>
      </c>
      <c r="O793" s="9">
        <v>2079.0</v>
      </c>
      <c r="P793" s="8" t="s">
        <v>3519</v>
      </c>
      <c r="Q793" s="8" t="s">
        <v>7620</v>
      </c>
      <c r="R793" s="8" t="s">
        <v>7621</v>
      </c>
    </row>
    <row r="794">
      <c r="A794" s="8" t="s">
        <v>934</v>
      </c>
      <c r="B794" s="8" t="s">
        <v>7622</v>
      </c>
      <c r="C794" s="8" t="s">
        <v>7623</v>
      </c>
      <c r="D794" s="9">
        <v>8.982816414E9</v>
      </c>
      <c r="E794" s="8" t="s">
        <v>7624</v>
      </c>
      <c r="F794" s="8" t="s">
        <v>7625</v>
      </c>
      <c r="G794" s="8" t="s">
        <v>7626</v>
      </c>
      <c r="H794" s="8" t="s">
        <v>3479</v>
      </c>
      <c r="I794" s="9">
        <v>0.0</v>
      </c>
      <c r="J794" s="9">
        <v>2121.0</v>
      </c>
      <c r="K794" s="9">
        <v>2121.0</v>
      </c>
      <c r="L794" s="9">
        <v>2121.0</v>
      </c>
      <c r="M794" s="9">
        <v>1432.0</v>
      </c>
      <c r="N794" s="9">
        <v>65.0</v>
      </c>
      <c r="O794" s="9">
        <v>624.0</v>
      </c>
      <c r="P794" s="8" t="s">
        <v>3480</v>
      </c>
      <c r="Q794" s="8"/>
      <c r="R794" s="8"/>
    </row>
    <row r="795">
      <c r="A795" s="8" t="s">
        <v>933</v>
      </c>
      <c r="B795" s="8" t="s">
        <v>7627</v>
      </c>
      <c r="C795" s="8" t="s">
        <v>7628</v>
      </c>
      <c r="D795" s="9">
        <v>7.774991134E9</v>
      </c>
      <c r="E795" s="8" t="s">
        <v>7629</v>
      </c>
      <c r="F795" s="8" t="s">
        <v>7164</v>
      </c>
      <c r="G795" s="8" t="s">
        <v>7630</v>
      </c>
      <c r="H795" s="8" t="s">
        <v>3479</v>
      </c>
      <c r="I795" s="9">
        <v>0.0</v>
      </c>
      <c r="J795" s="9">
        <v>1758.0</v>
      </c>
      <c r="K795" s="9">
        <v>1758.0</v>
      </c>
      <c r="L795" s="9">
        <v>1758.0</v>
      </c>
      <c r="M795" s="9">
        <v>159.0</v>
      </c>
      <c r="N795" s="9">
        <v>900.0</v>
      </c>
      <c r="O795" s="9">
        <v>699.0</v>
      </c>
      <c r="P795" s="8" t="s">
        <v>3480</v>
      </c>
      <c r="Q795" s="8" t="s">
        <v>7631</v>
      </c>
      <c r="R795" s="8" t="s">
        <v>7632</v>
      </c>
    </row>
    <row r="796">
      <c r="A796" s="8" t="s">
        <v>1138</v>
      </c>
      <c r="B796" s="8" t="s">
        <v>7633</v>
      </c>
      <c r="C796" s="8" t="s">
        <v>7606</v>
      </c>
      <c r="D796" s="9">
        <v>9.595595444E9</v>
      </c>
      <c r="E796" s="8" t="s">
        <v>7634</v>
      </c>
      <c r="F796" s="8" t="s">
        <v>3863</v>
      </c>
      <c r="G796" s="8" t="s">
        <v>7635</v>
      </c>
      <c r="H796" s="8" t="s">
        <v>3479</v>
      </c>
      <c r="I796" s="9">
        <v>0.0</v>
      </c>
      <c r="J796" s="9">
        <v>3602.0</v>
      </c>
      <c r="K796" s="9">
        <v>3602.0</v>
      </c>
      <c r="L796" s="9">
        <v>3602.0</v>
      </c>
      <c r="M796" s="9">
        <v>1973.0</v>
      </c>
      <c r="N796" s="9">
        <v>730.0</v>
      </c>
      <c r="O796" s="9">
        <v>899.0</v>
      </c>
      <c r="P796" s="8" t="s">
        <v>3480</v>
      </c>
      <c r="Q796" s="8"/>
      <c r="R796" s="8"/>
    </row>
    <row r="797">
      <c r="A797" s="8" t="s">
        <v>1139</v>
      </c>
      <c r="B797" s="8" t="s">
        <v>7636</v>
      </c>
      <c r="C797" s="8" t="s">
        <v>6988</v>
      </c>
      <c r="D797" s="9">
        <v>9.975562308E9</v>
      </c>
      <c r="E797" s="8" t="s">
        <v>7209</v>
      </c>
      <c r="F797" s="8" t="s">
        <v>3821</v>
      </c>
      <c r="G797" s="8" t="s">
        <v>7637</v>
      </c>
      <c r="H797" s="8" t="s">
        <v>3479</v>
      </c>
      <c r="I797" s="9">
        <v>0.0</v>
      </c>
      <c r="J797" s="9">
        <v>1689.0</v>
      </c>
      <c r="K797" s="9">
        <v>1689.0</v>
      </c>
      <c r="L797" s="9">
        <v>1689.0</v>
      </c>
      <c r="M797" s="9">
        <v>435.0</v>
      </c>
      <c r="N797" s="9">
        <v>730.0</v>
      </c>
      <c r="O797" s="9">
        <v>524.0</v>
      </c>
      <c r="P797" s="8" t="s">
        <v>3480</v>
      </c>
      <c r="Q797" s="8" t="s">
        <v>7211</v>
      </c>
      <c r="R797" s="8" t="s">
        <v>7212</v>
      </c>
    </row>
    <row r="798">
      <c r="A798" s="8" t="s">
        <v>284</v>
      </c>
      <c r="B798" s="8" t="s">
        <v>7638</v>
      </c>
      <c r="C798" s="8" t="s">
        <v>7639</v>
      </c>
      <c r="D798" s="9">
        <v>9.57581733E9</v>
      </c>
      <c r="E798" s="8" t="s">
        <v>7640</v>
      </c>
      <c r="F798" s="8" t="s">
        <v>4252</v>
      </c>
      <c r="G798" s="8" t="s">
        <v>7641</v>
      </c>
      <c r="H798" s="8" t="s">
        <v>3479</v>
      </c>
      <c r="I798" s="9">
        <v>0.0</v>
      </c>
      <c r="J798" s="9">
        <v>2969.0</v>
      </c>
      <c r="K798" s="9">
        <v>2969.0</v>
      </c>
      <c r="L798" s="9">
        <v>2969.0</v>
      </c>
      <c r="M798" s="9">
        <v>1830.0</v>
      </c>
      <c r="N798" s="9">
        <v>65.0</v>
      </c>
      <c r="O798" s="9">
        <v>1074.0</v>
      </c>
      <c r="P798" s="8" t="s">
        <v>3480</v>
      </c>
      <c r="Q798" s="8" t="s">
        <v>7642</v>
      </c>
      <c r="R798" s="8" t="s">
        <v>7643</v>
      </c>
    </row>
    <row r="799">
      <c r="A799" s="8" t="s">
        <v>285</v>
      </c>
      <c r="B799" s="8" t="s">
        <v>7644</v>
      </c>
      <c r="C799" s="8" t="s">
        <v>7645</v>
      </c>
      <c r="D799" s="9">
        <v>8.793291777E9</v>
      </c>
      <c r="E799" s="8" t="s">
        <v>7646</v>
      </c>
      <c r="F799" s="8" t="s">
        <v>3714</v>
      </c>
      <c r="G799" s="8" t="s">
        <v>7647</v>
      </c>
      <c r="H799" s="8" t="s">
        <v>3479</v>
      </c>
      <c r="I799" s="9">
        <v>0.0</v>
      </c>
      <c r="J799" s="9">
        <v>4173.0</v>
      </c>
      <c r="K799" s="9">
        <v>4173.0</v>
      </c>
      <c r="L799" s="9">
        <v>4173.0</v>
      </c>
      <c r="M799" s="9">
        <v>1769.0</v>
      </c>
      <c r="N799" s="9">
        <v>1205.0</v>
      </c>
      <c r="O799" s="9">
        <v>1199.0</v>
      </c>
      <c r="P799" s="8" t="s">
        <v>3544</v>
      </c>
      <c r="Q799" s="8" t="s">
        <v>7648</v>
      </c>
      <c r="R799" s="8" t="s">
        <v>7649</v>
      </c>
    </row>
    <row r="800">
      <c r="A800" s="8" t="s">
        <v>1140</v>
      </c>
      <c r="B800" s="8" t="s">
        <v>7650</v>
      </c>
      <c r="C800" s="8" t="s">
        <v>7651</v>
      </c>
      <c r="D800" s="9">
        <v>7.558416895E9</v>
      </c>
      <c r="E800" s="8" t="s">
        <v>7652</v>
      </c>
      <c r="F800" s="8" t="s">
        <v>5366</v>
      </c>
      <c r="G800" s="8" t="s">
        <v>4036</v>
      </c>
      <c r="H800" s="8" t="s">
        <v>3479</v>
      </c>
      <c r="I800" s="9">
        <v>0.0</v>
      </c>
      <c r="J800" s="9">
        <v>779.0</v>
      </c>
      <c r="K800" s="9">
        <v>779.0</v>
      </c>
      <c r="L800" s="9">
        <v>779.0</v>
      </c>
      <c r="M800" s="9">
        <v>374.0</v>
      </c>
      <c r="N800" s="9">
        <v>130.0</v>
      </c>
      <c r="O800" s="9">
        <v>275.0</v>
      </c>
      <c r="P800" s="8" t="s">
        <v>3480</v>
      </c>
      <c r="Q800" s="8"/>
      <c r="R800" s="8"/>
    </row>
    <row r="801">
      <c r="A801" s="8" t="s">
        <v>1141</v>
      </c>
      <c r="B801" s="8" t="s">
        <v>7653</v>
      </c>
      <c r="C801" s="8" t="s">
        <v>5268</v>
      </c>
      <c r="D801" s="9">
        <v>9.130828551E9</v>
      </c>
      <c r="E801" s="8" t="s">
        <v>5269</v>
      </c>
      <c r="F801" s="8" t="s">
        <v>4011</v>
      </c>
      <c r="G801" s="8" t="s">
        <v>7654</v>
      </c>
      <c r="H801" s="8" t="s">
        <v>3479</v>
      </c>
      <c r="I801" s="9">
        <v>0.0</v>
      </c>
      <c r="J801" s="9">
        <v>1313.0</v>
      </c>
      <c r="K801" s="9">
        <v>1313.0</v>
      </c>
      <c r="L801" s="9">
        <v>1313.0</v>
      </c>
      <c r="M801" s="9">
        <v>80.0</v>
      </c>
      <c r="N801" s="9">
        <v>784.0</v>
      </c>
      <c r="O801" s="9">
        <v>449.0</v>
      </c>
      <c r="P801" s="8" t="s">
        <v>3480</v>
      </c>
      <c r="Q801" s="8" t="s">
        <v>5271</v>
      </c>
      <c r="R801" s="8" t="s">
        <v>5272</v>
      </c>
    </row>
    <row r="802">
      <c r="A802" s="8" t="s">
        <v>1142</v>
      </c>
      <c r="B802" s="8" t="s">
        <v>7655</v>
      </c>
      <c r="C802" s="8" t="s">
        <v>7656</v>
      </c>
      <c r="D802" s="9">
        <v>9.922216271E9</v>
      </c>
      <c r="E802" s="8" t="s">
        <v>7657</v>
      </c>
      <c r="F802" s="8" t="s">
        <v>7658</v>
      </c>
      <c r="G802" s="8" t="s">
        <v>7659</v>
      </c>
      <c r="H802" s="8" t="s">
        <v>3479</v>
      </c>
      <c r="I802" s="9">
        <v>0.0</v>
      </c>
      <c r="J802" s="9">
        <v>994.0</v>
      </c>
      <c r="K802" s="9">
        <v>994.0</v>
      </c>
      <c r="L802" s="9">
        <v>994.0</v>
      </c>
      <c r="M802" s="9">
        <v>55.0</v>
      </c>
      <c r="N802" s="9">
        <v>190.0</v>
      </c>
      <c r="O802" s="9">
        <v>749.0</v>
      </c>
      <c r="P802" s="8" t="s">
        <v>3519</v>
      </c>
      <c r="Q802" s="8" t="s">
        <v>7660</v>
      </c>
      <c r="R802" s="8" t="s">
        <v>7661</v>
      </c>
    </row>
    <row r="803">
      <c r="A803" s="8" t="s">
        <v>1143</v>
      </c>
      <c r="B803" s="8" t="s">
        <v>7662</v>
      </c>
      <c r="C803" s="8" t="s">
        <v>7663</v>
      </c>
      <c r="D803" s="9">
        <v>9.860145589E9</v>
      </c>
      <c r="E803" s="8" t="s">
        <v>7664</v>
      </c>
      <c r="F803" s="8" t="s">
        <v>3523</v>
      </c>
      <c r="G803" s="8" t="s">
        <v>7665</v>
      </c>
      <c r="H803" s="8" t="s">
        <v>7666</v>
      </c>
      <c r="I803" s="9">
        <v>0.0</v>
      </c>
      <c r="J803" s="9">
        <v>2600.0</v>
      </c>
      <c r="K803" s="9">
        <v>2644.0</v>
      </c>
      <c r="L803" s="9">
        <v>2600.0</v>
      </c>
      <c r="M803" s="9">
        <v>1390.0</v>
      </c>
      <c r="N803" s="9">
        <v>730.0</v>
      </c>
      <c r="O803" s="9">
        <v>524.0</v>
      </c>
      <c r="P803" s="8" t="s">
        <v>3480</v>
      </c>
      <c r="Q803" s="8"/>
      <c r="R803" s="8"/>
    </row>
    <row r="804">
      <c r="A804" s="8" t="s">
        <v>1136</v>
      </c>
      <c r="B804" s="8" t="s">
        <v>7667</v>
      </c>
      <c r="C804" s="8" t="s">
        <v>7668</v>
      </c>
      <c r="D804" s="9">
        <v>9.067171926E9</v>
      </c>
      <c r="E804" s="8" t="s">
        <v>7669</v>
      </c>
      <c r="F804" s="8" t="s">
        <v>3589</v>
      </c>
      <c r="G804" s="8" t="s">
        <v>7670</v>
      </c>
      <c r="H804" s="8" t="s">
        <v>3479</v>
      </c>
      <c r="I804" s="9">
        <v>0.0</v>
      </c>
      <c r="J804" s="9">
        <v>4672.0</v>
      </c>
      <c r="K804" s="9">
        <v>4672.0</v>
      </c>
      <c r="L804" s="9">
        <v>4672.0</v>
      </c>
      <c r="M804" s="9">
        <v>3409.0</v>
      </c>
      <c r="N804" s="9">
        <v>739.0</v>
      </c>
      <c r="O804" s="9">
        <v>524.0</v>
      </c>
      <c r="P804" s="8" t="s">
        <v>3519</v>
      </c>
      <c r="Q804" s="8" t="s">
        <v>7671</v>
      </c>
      <c r="R804" s="8" t="s">
        <v>7672</v>
      </c>
    </row>
    <row r="805">
      <c r="A805" s="8" t="s">
        <v>935</v>
      </c>
      <c r="B805" s="8" t="s">
        <v>7673</v>
      </c>
      <c r="C805" s="8" t="s">
        <v>7674</v>
      </c>
      <c r="D805" s="9">
        <v>9.604050463E9</v>
      </c>
      <c r="E805" s="8" t="s">
        <v>7675</v>
      </c>
      <c r="F805" s="8" t="s">
        <v>3589</v>
      </c>
      <c r="G805" s="8" t="s">
        <v>7676</v>
      </c>
      <c r="H805" s="8" t="s">
        <v>3479</v>
      </c>
      <c r="I805" s="9">
        <v>0.0</v>
      </c>
      <c r="J805" s="9">
        <v>1925.0</v>
      </c>
      <c r="K805" s="9">
        <v>1925.0</v>
      </c>
      <c r="L805" s="9">
        <v>1925.0</v>
      </c>
      <c r="M805" s="9">
        <v>1500.0</v>
      </c>
      <c r="N805" s="9">
        <v>0.0</v>
      </c>
      <c r="O805" s="9">
        <v>425.0</v>
      </c>
      <c r="P805" s="8" t="s">
        <v>3480</v>
      </c>
      <c r="Q805" s="8"/>
      <c r="R805" s="8"/>
    </row>
    <row r="806">
      <c r="A806" s="8" t="s">
        <v>1137</v>
      </c>
      <c r="B806" s="8" t="s">
        <v>7677</v>
      </c>
      <c r="C806" s="8" t="s">
        <v>7678</v>
      </c>
      <c r="D806" s="9">
        <v>7.387521234E9</v>
      </c>
      <c r="E806" s="8" t="s">
        <v>7679</v>
      </c>
      <c r="F806" s="8" t="s">
        <v>3550</v>
      </c>
      <c r="G806" s="8" t="s">
        <v>7680</v>
      </c>
      <c r="H806" s="8" t="s">
        <v>3479</v>
      </c>
      <c r="I806" s="9">
        <v>0.0</v>
      </c>
      <c r="J806" s="9">
        <v>1314.0</v>
      </c>
      <c r="K806" s="9">
        <v>1314.0</v>
      </c>
      <c r="L806" s="9">
        <v>1314.0</v>
      </c>
      <c r="M806" s="9">
        <v>220.0</v>
      </c>
      <c r="N806" s="9">
        <v>645.0</v>
      </c>
      <c r="O806" s="9">
        <v>449.0</v>
      </c>
      <c r="P806" s="8" t="s">
        <v>3480</v>
      </c>
      <c r="Q806" s="8" t="s">
        <v>7681</v>
      </c>
      <c r="R806" s="8" t="s">
        <v>7682</v>
      </c>
    </row>
    <row r="807">
      <c r="A807" s="8" t="s">
        <v>1146</v>
      </c>
      <c r="B807" s="8" t="s">
        <v>7683</v>
      </c>
      <c r="C807" s="8" t="s">
        <v>7684</v>
      </c>
      <c r="D807" s="9">
        <v>9.623441461E9</v>
      </c>
      <c r="E807" s="8" t="s">
        <v>7685</v>
      </c>
      <c r="F807" s="8" t="s">
        <v>3601</v>
      </c>
      <c r="G807" s="8" t="s">
        <v>7686</v>
      </c>
      <c r="H807" s="8" t="s">
        <v>3479</v>
      </c>
      <c r="I807" s="9">
        <v>0.0</v>
      </c>
      <c r="J807" s="9">
        <v>1434.0</v>
      </c>
      <c r="K807" s="9">
        <v>1434.0</v>
      </c>
      <c r="L807" s="9">
        <v>1434.0</v>
      </c>
      <c r="M807" s="9">
        <v>175.0</v>
      </c>
      <c r="N807" s="9">
        <v>730.0</v>
      </c>
      <c r="O807" s="9">
        <v>529.0</v>
      </c>
      <c r="P807" s="8" t="s">
        <v>3480</v>
      </c>
      <c r="Q807" s="8" t="s">
        <v>7687</v>
      </c>
      <c r="R807" s="8" t="s">
        <v>7688</v>
      </c>
    </row>
    <row r="808">
      <c r="A808" s="8" t="s">
        <v>1145</v>
      </c>
      <c r="B808" s="8" t="s">
        <v>7689</v>
      </c>
      <c r="C808" s="8" t="s">
        <v>7690</v>
      </c>
      <c r="D808" s="9">
        <v>9.82232105E9</v>
      </c>
      <c r="E808" s="8" t="s">
        <v>7691</v>
      </c>
      <c r="F808" s="8" t="s">
        <v>3608</v>
      </c>
      <c r="G808" s="8" t="s">
        <v>7692</v>
      </c>
      <c r="H808" s="8" t="s">
        <v>3479</v>
      </c>
      <c r="I808" s="9">
        <v>0.0</v>
      </c>
      <c r="J808" s="9">
        <v>1259.0</v>
      </c>
      <c r="K808" s="9">
        <v>1259.0</v>
      </c>
      <c r="L808" s="9">
        <v>1259.0</v>
      </c>
      <c r="M808" s="9">
        <v>80.0</v>
      </c>
      <c r="N808" s="9">
        <v>730.0</v>
      </c>
      <c r="O808" s="9">
        <v>449.0</v>
      </c>
      <c r="P808" s="8" t="s">
        <v>3480</v>
      </c>
      <c r="Q808" s="8" t="s">
        <v>7693</v>
      </c>
      <c r="R808" s="8" t="s">
        <v>7694</v>
      </c>
    </row>
    <row r="809">
      <c r="A809" s="8" t="s">
        <v>1147</v>
      </c>
      <c r="B809" s="8" t="s">
        <v>7695</v>
      </c>
      <c r="C809" s="8" t="s">
        <v>6112</v>
      </c>
      <c r="D809" s="9">
        <v>8.82505772E9</v>
      </c>
      <c r="E809" s="8" t="s">
        <v>7696</v>
      </c>
      <c r="F809" s="8" t="s">
        <v>4175</v>
      </c>
      <c r="G809" s="8" t="s">
        <v>7697</v>
      </c>
      <c r="H809" s="8" t="s">
        <v>3479</v>
      </c>
      <c r="I809" s="9">
        <v>0.0</v>
      </c>
      <c r="J809" s="9">
        <v>1562.0</v>
      </c>
      <c r="K809" s="9">
        <v>1562.0</v>
      </c>
      <c r="L809" s="9">
        <v>1562.0</v>
      </c>
      <c r="M809" s="9">
        <v>179.0</v>
      </c>
      <c r="N809" s="9">
        <v>784.0</v>
      </c>
      <c r="O809" s="9">
        <v>599.0</v>
      </c>
      <c r="P809" s="8" t="s">
        <v>3480</v>
      </c>
      <c r="Q809" s="8" t="s">
        <v>7698</v>
      </c>
      <c r="R809" s="8" t="s">
        <v>7699</v>
      </c>
    </row>
    <row r="810">
      <c r="A810" s="8" t="s">
        <v>1148</v>
      </c>
      <c r="B810" s="8" t="s">
        <v>7700</v>
      </c>
      <c r="C810" s="8" t="s">
        <v>7701</v>
      </c>
      <c r="D810" s="9">
        <v>9.822246694E9</v>
      </c>
      <c r="E810" s="8" t="s">
        <v>7702</v>
      </c>
      <c r="F810" s="8" t="s">
        <v>5918</v>
      </c>
      <c r="G810" s="8" t="s">
        <v>7703</v>
      </c>
      <c r="H810" s="8" t="s">
        <v>3479</v>
      </c>
      <c r="I810" s="9">
        <v>0.0</v>
      </c>
      <c r="J810" s="9">
        <v>2609.0</v>
      </c>
      <c r="K810" s="9">
        <v>2609.0</v>
      </c>
      <c r="L810" s="9">
        <v>2609.0</v>
      </c>
      <c r="M810" s="9">
        <v>1430.0</v>
      </c>
      <c r="N810" s="9">
        <v>255.0</v>
      </c>
      <c r="O810" s="9">
        <v>924.0</v>
      </c>
      <c r="P810" s="8" t="s">
        <v>3480</v>
      </c>
      <c r="Q810" s="8" t="s">
        <v>7704</v>
      </c>
      <c r="R810" s="8" t="s">
        <v>7705</v>
      </c>
    </row>
    <row r="811">
      <c r="A811" s="8" t="s">
        <v>1149</v>
      </c>
      <c r="B811" s="8" t="s">
        <v>7706</v>
      </c>
      <c r="C811" s="8" t="s">
        <v>7707</v>
      </c>
      <c r="D811" s="9">
        <v>8.308828687E9</v>
      </c>
      <c r="E811" s="8" t="s">
        <v>7708</v>
      </c>
      <c r="F811" s="8" t="s">
        <v>3959</v>
      </c>
      <c r="G811" s="8" t="s">
        <v>7709</v>
      </c>
      <c r="H811" s="8" t="s">
        <v>3479</v>
      </c>
      <c r="I811" s="9">
        <v>0.0</v>
      </c>
      <c r="J811" s="9">
        <v>1229.0</v>
      </c>
      <c r="K811" s="9">
        <v>1229.0</v>
      </c>
      <c r="L811" s="9">
        <v>1229.0</v>
      </c>
      <c r="M811" s="9">
        <v>540.0</v>
      </c>
      <c r="N811" s="9">
        <v>65.0</v>
      </c>
      <c r="O811" s="9">
        <v>624.0</v>
      </c>
      <c r="P811" s="8" t="s">
        <v>3519</v>
      </c>
      <c r="Q811" s="8"/>
      <c r="R811" s="8"/>
    </row>
    <row r="812">
      <c r="A812" s="8" t="s">
        <v>1150</v>
      </c>
      <c r="B812" s="8" t="s">
        <v>7710</v>
      </c>
      <c r="C812" s="8" t="s">
        <v>7711</v>
      </c>
      <c r="D812" s="9">
        <v>9.175805081E9</v>
      </c>
      <c r="E812" s="8" t="s">
        <v>7712</v>
      </c>
      <c r="F812" s="8" t="s">
        <v>3901</v>
      </c>
      <c r="G812" s="8" t="s">
        <v>4036</v>
      </c>
      <c r="H812" s="8" t="s">
        <v>3479</v>
      </c>
      <c r="I812" s="9">
        <v>0.0</v>
      </c>
      <c r="J812" s="9">
        <v>1673.0</v>
      </c>
      <c r="K812" s="9">
        <v>1673.0</v>
      </c>
      <c r="L812" s="9">
        <v>1673.0</v>
      </c>
      <c r="M812" s="9">
        <v>451.0</v>
      </c>
      <c r="N812" s="9">
        <v>773.0</v>
      </c>
      <c r="O812" s="9">
        <v>449.0</v>
      </c>
      <c r="P812" s="8" t="s">
        <v>3480</v>
      </c>
      <c r="Q812" s="8" t="s">
        <v>7713</v>
      </c>
      <c r="R812" s="8" t="s">
        <v>7714</v>
      </c>
    </row>
    <row r="813">
      <c r="A813" s="8" t="s">
        <v>1151</v>
      </c>
      <c r="B813" s="8" t="s">
        <v>7715</v>
      </c>
      <c r="C813" s="8" t="s">
        <v>7020</v>
      </c>
      <c r="D813" s="9">
        <v>8.668452345E9</v>
      </c>
      <c r="E813" s="8" t="s">
        <v>7021</v>
      </c>
      <c r="F813" s="8" t="s">
        <v>7022</v>
      </c>
      <c r="G813" s="8" t="s">
        <v>7716</v>
      </c>
      <c r="H813" s="8" t="s">
        <v>3479</v>
      </c>
      <c r="I813" s="9">
        <v>0.0</v>
      </c>
      <c r="J813" s="9">
        <v>2271.0</v>
      </c>
      <c r="K813" s="9">
        <v>2271.0</v>
      </c>
      <c r="L813" s="9">
        <v>2271.0</v>
      </c>
      <c r="M813" s="9">
        <v>484.0</v>
      </c>
      <c r="N813" s="9">
        <v>963.0</v>
      </c>
      <c r="O813" s="9">
        <v>824.0</v>
      </c>
      <c r="P813" s="8" t="s">
        <v>3544</v>
      </c>
      <c r="Q813" s="8" t="s">
        <v>7025</v>
      </c>
      <c r="R813" s="8" t="s">
        <v>7026</v>
      </c>
    </row>
    <row r="814">
      <c r="A814" s="8" t="s">
        <v>1152</v>
      </c>
      <c r="B814" s="8" t="s">
        <v>7717</v>
      </c>
      <c r="C814" s="8" t="s">
        <v>4679</v>
      </c>
      <c r="D814" s="9">
        <v>9.404727535E9</v>
      </c>
      <c r="E814" s="8" t="s">
        <v>4680</v>
      </c>
      <c r="F814" s="8" t="s">
        <v>4681</v>
      </c>
      <c r="G814" s="8" t="s">
        <v>7718</v>
      </c>
      <c r="H814" s="8" t="s">
        <v>3479</v>
      </c>
      <c r="I814" s="9">
        <v>0.0</v>
      </c>
      <c r="J814" s="9">
        <v>1690.0</v>
      </c>
      <c r="K814" s="9">
        <v>1690.0</v>
      </c>
      <c r="L814" s="9">
        <v>1690.0</v>
      </c>
      <c r="M814" s="9">
        <v>1090.0</v>
      </c>
      <c r="N814" s="9">
        <v>0.0</v>
      </c>
      <c r="O814" s="9">
        <v>600.0</v>
      </c>
      <c r="P814" s="8" t="s">
        <v>3544</v>
      </c>
      <c r="Q814" s="8"/>
      <c r="R814" s="8"/>
    </row>
    <row r="815">
      <c r="A815" s="8" t="s">
        <v>1154</v>
      </c>
      <c r="B815" s="8" t="s">
        <v>7719</v>
      </c>
      <c r="C815" s="8" t="s">
        <v>7720</v>
      </c>
      <c r="D815" s="9">
        <v>8.788540666E9</v>
      </c>
      <c r="E815" s="8" t="s">
        <v>7721</v>
      </c>
      <c r="F815" s="8" t="s">
        <v>6585</v>
      </c>
      <c r="G815" s="8" t="s">
        <v>7722</v>
      </c>
      <c r="H815" s="8" t="s">
        <v>3479</v>
      </c>
      <c r="I815" s="9">
        <v>0.0</v>
      </c>
      <c r="J815" s="9">
        <v>719.0</v>
      </c>
      <c r="K815" s="9">
        <v>719.0</v>
      </c>
      <c r="L815" s="9">
        <v>719.0</v>
      </c>
      <c r="M815" s="9">
        <v>80.0</v>
      </c>
      <c r="N815" s="9">
        <v>190.0</v>
      </c>
      <c r="O815" s="9">
        <v>449.0</v>
      </c>
      <c r="P815" s="8" t="s">
        <v>4183</v>
      </c>
      <c r="Q815" s="8" t="s">
        <v>7723</v>
      </c>
      <c r="R815" s="8" t="s">
        <v>7724</v>
      </c>
    </row>
    <row r="816">
      <c r="A816" s="8" t="s">
        <v>286</v>
      </c>
      <c r="B816" s="8" t="s">
        <v>7725</v>
      </c>
      <c r="C816" s="8" t="s">
        <v>4047</v>
      </c>
      <c r="D816" s="9">
        <v>8.805940133E9</v>
      </c>
      <c r="E816" s="8" t="s">
        <v>7726</v>
      </c>
      <c r="F816" s="8" t="s">
        <v>3959</v>
      </c>
      <c r="G816" s="8" t="s">
        <v>7727</v>
      </c>
      <c r="H816" s="8" t="s">
        <v>3479</v>
      </c>
      <c r="I816" s="9">
        <v>0.0</v>
      </c>
      <c r="J816" s="9">
        <v>2543.0</v>
      </c>
      <c r="K816" s="9">
        <v>2543.0</v>
      </c>
      <c r="L816" s="9">
        <v>2543.0</v>
      </c>
      <c r="M816" s="9">
        <v>1070.0</v>
      </c>
      <c r="N816" s="9">
        <v>849.0</v>
      </c>
      <c r="O816" s="9">
        <v>624.0</v>
      </c>
      <c r="P816" s="8" t="s">
        <v>3480</v>
      </c>
      <c r="Q816" s="8"/>
      <c r="R816" s="8"/>
    </row>
    <row r="817">
      <c r="A817" s="8" t="s">
        <v>1144</v>
      </c>
      <c r="B817" s="8" t="s">
        <v>7728</v>
      </c>
      <c r="C817" s="8" t="s">
        <v>7729</v>
      </c>
      <c r="D817" s="9">
        <v>9.754361727E9</v>
      </c>
      <c r="E817" s="8" t="s">
        <v>7730</v>
      </c>
      <c r="F817" s="8" t="s">
        <v>3653</v>
      </c>
      <c r="G817" s="8" t="s">
        <v>7731</v>
      </c>
      <c r="H817" s="8" t="s">
        <v>3479</v>
      </c>
      <c r="I817" s="9">
        <v>0.0</v>
      </c>
      <c r="J817" s="9">
        <v>529.0</v>
      </c>
      <c r="K817" s="9">
        <v>529.0</v>
      </c>
      <c r="L817" s="9">
        <v>529.0</v>
      </c>
      <c r="M817" s="9">
        <v>80.0</v>
      </c>
      <c r="N817" s="9">
        <v>0.0</v>
      </c>
      <c r="O817" s="9">
        <v>449.0</v>
      </c>
      <c r="P817" s="8" t="s">
        <v>3480</v>
      </c>
      <c r="Q817" s="8"/>
      <c r="R817" s="8"/>
    </row>
    <row r="818">
      <c r="A818" s="8" t="s">
        <v>1155</v>
      </c>
      <c r="B818" s="8" t="s">
        <v>7732</v>
      </c>
      <c r="C818" s="8" t="s">
        <v>7733</v>
      </c>
      <c r="D818" s="9">
        <v>9.96063205E9</v>
      </c>
      <c r="E818" s="8" t="s">
        <v>7734</v>
      </c>
      <c r="F818" s="8" t="s">
        <v>3869</v>
      </c>
      <c r="G818" s="8" t="s">
        <v>7735</v>
      </c>
      <c r="H818" s="8" t="s">
        <v>3479</v>
      </c>
      <c r="I818" s="9">
        <v>0.0</v>
      </c>
      <c r="J818" s="9">
        <v>3895.0</v>
      </c>
      <c r="K818" s="9">
        <v>3895.0</v>
      </c>
      <c r="L818" s="9">
        <v>3895.0</v>
      </c>
      <c r="M818" s="9">
        <v>3445.0</v>
      </c>
      <c r="N818" s="9">
        <v>0.0</v>
      </c>
      <c r="O818" s="9">
        <v>450.0</v>
      </c>
      <c r="P818" s="8" t="s">
        <v>3544</v>
      </c>
      <c r="Q818" s="8" t="s">
        <v>7736</v>
      </c>
      <c r="R818" s="8" t="s">
        <v>7737</v>
      </c>
    </row>
    <row r="819">
      <c r="A819" s="8" t="s">
        <v>287</v>
      </c>
      <c r="B819" s="8" t="s">
        <v>7738</v>
      </c>
      <c r="C819" s="8" t="s">
        <v>7739</v>
      </c>
      <c r="D819" s="9">
        <v>7.620580447E9</v>
      </c>
      <c r="E819" s="8" t="s">
        <v>7740</v>
      </c>
      <c r="F819" s="8" t="s">
        <v>4100</v>
      </c>
      <c r="G819" s="8" t="s">
        <v>7741</v>
      </c>
      <c r="H819" s="8" t="s">
        <v>3479</v>
      </c>
      <c r="I819" s="9">
        <v>0.0</v>
      </c>
      <c r="J819" s="9">
        <v>1174.0</v>
      </c>
      <c r="K819" s="9">
        <v>1174.0</v>
      </c>
      <c r="L819" s="9">
        <v>1174.0</v>
      </c>
      <c r="M819" s="9">
        <v>80.0</v>
      </c>
      <c r="N819" s="9">
        <v>645.0</v>
      </c>
      <c r="O819" s="9">
        <v>449.0</v>
      </c>
      <c r="P819" s="8" t="s">
        <v>3480</v>
      </c>
      <c r="Q819" s="8" t="s">
        <v>7742</v>
      </c>
      <c r="R819" s="8" t="s">
        <v>7743</v>
      </c>
    </row>
    <row r="820">
      <c r="A820" s="8" t="s">
        <v>1159</v>
      </c>
      <c r="B820" s="8" t="s">
        <v>7744</v>
      </c>
      <c r="C820" s="8" t="s">
        <v>7745</v>
      </c>
      <c r="D820" s="9">
        <v>7.709128661E9</v>
      </c>
      <c r="E820" s="8" t="s">
        <v>7746</v>
      </c>
      <c r="F820" s="8" t="s">
        <v>6968</v>
      </c>
      <c r="G820" s="8" t="s">
        <v>7747</v>
      </c>
      <c r="H820" s="8" t="s">
        <v>3479</v>
      </c>
      <c r="I820" s="9">
        <v>0.0</v>
      </c>
      <c r="J820" s="9">
        <v>1751.0</v>
      </c>
      <c r="K820" s="9">
        <v>1751.0</v>
      </c>
      <c r="L820" s="9">
        <v>1751.0</v>
      </c>
      <c r="M820" s="9">
        <v>368.0</v>
      </c>
      <c r="N820" s="9">
        <v>784.0</v>
      </c>
      <c r="O820" s="9">
        <v>599.0</v>
      </c>
      <c r="P820" s="8" t="s">
        <v>4183</v>
      </c>
      <c r="Q820" s="8" t="s">
        <v>7748</v>
      </c>
      <c r="R820" s="8" t="s">
        <v>7749</v>
      </c>
    </row>
    <row r="821">
      <c r="A821" s="8" t="s">
        <v>1158</v>
      </c>
      <c r="B821" s="8" t="s">
        <v>7750</v>
      </c>
      <c r="C821" s="8" t="s">
        <v>7751</v>
      </c>
      <c r="D821" s="9">
        <v>7.507353773E9</v>
      </c>
      <c r="E821" s="8" t="s">
        <v>7752</v>
      </c>
      <c r="F821" s="8" t="s">
        <v>3908</v>
      </c>
      <c r="G821" s="8" t="s">
        <v>4012</v>
      </c>
      <c r="H821" s="8" t="s">
        <v>3479</v>
      </c>
      <c r="I821" s="9">
        <v>0.0</v>
      </c>
      <c r="J821" s="9">
        <v>2560.0</v>
      </c>
      <c r="K821" s="9">
        <v>2560.0</v>
      </c>
      <c r="L821" s="9">
        <v>2560.0</v>
      </c>
      <c r="M821" s="9">
        <v>519.0</v>
      </c>
      <c r="N821" s="9">
        <v>892.0</v>
      </c>
      <c r="O821" s="9">
        <v>1149.0</v>
      </c>
      <c r="P821" s="8" t="s">
        <v>4183</v>
      </c>
      <c r="Q821" s="8" t="s">
        <v>7753</v>
      </c>
      <c r="R821" s="8" t="s">
        <v>7754</v>
      </c>
    </row>
    <row r="822">
      <c r="A822" s="8" t="s">
        <v>1161</v>
      </c>
      <c r="B822" s="8" t="s">
        <v>7755</v>
      </c>
      <c r="C822" s="8" t="s">
        <v>7756</v>
      </c>
      <c r="D822" s="9">
        <v>7.841091808E9</v>
      </c>
      <c r="E822" s="8" t="s">
        <v>7757</v>
      </c>
      <c r="F822" s="8" t="s">
        <v>3608</v>
      </c>
      <c r="G822" s="8" t="s">
        <v>7758</v>
      </c>
      <c r="H822" s="8" t="s">
        <v>3479</v>
      </c>
      <c r="I822" s="9">
        <v>0.0</v>
      </c>
      <c r="J822" s="9">
        <v>2268.0</v>
      </c>
      <c r="K822" s="9">
        <v>2268.0</v>
      </c>
      <c r="L822" s="9">
        <v>2268.0</v>
      </c>
      <c r="M822" s="9">
        <v>1868.0</v>
      </c>
      <c r="N822" s="9">
        <v>0.0</v>
      </c>
      <c r="O822" s="9">
        <v>400.0</v>
      </c>
      <c r="P822" s="8" t="s">
        <v>4183</v>
      </c>
      <c r="Q822" s="8"/>
      <c r="R822" s="8"/>
    </row>
    <row r="823">
      <c r="A823" s="8" t="s">
        <v>1163</v>
      </c>
      <c r="B823" s="8" t="s">
        <v>7759</v>
      </c>
      <c r="C823" s="8" t="s">
        <v>7760</v>
      </c>
      <c r="D823" s="9">
        <v>8.668442535E9</v>
      </c>
      <c r="E823" s="8" t="s">
        <v>7761</v>
      </c>
      <c r="F823" s="8" t="s">
        <v>3608</v>
      </c>
      <c r="G823" s="8" t="s">
        <v>7762</v>
      </c>
      <c r="H823" s="8" t="s">
        <v>3479</v>
      </c>
      <c r="I823" s="9">
        <v>0.0</v>
      </c>
      <c r="J823" s="9">
        <v>1344.0</v>
      </c>
      <c r="K823" s="9">
        <v>1344.0</v>
      </c>
      <c r="L823" s="9">
        <v>1344.0</v>
      </c>
      <c r="M823" s="9">
        <v>165.0</v>
      </c>
      <c r="N823" s="9">
        <v>730.0</v>
      </c>
      <c r="O823" s="9">
        <v>449.0</v>
      </c>
      <c r="P823" s="8" t="s">
        <v>4183</v>
      </c>
      <c r="Q823" s="8" t="s">
        <v>7763</v>
      </c>
      <c r="R823" s="8" t="s">
        <v>7764</v>
      </c>
    </row>
    <row r="824">
      <c r="A824" s="8" t="s">
        <v>1164</v>
      </c>
      <c r="B824" s="8" t="s">
        <v>7765</v>
      </c>
      <c r="C824" s="8" t="s">
        <v>7766</v>
      </c>
      <c r="D824" s="9">
        <v>8.18080616E9</v>
      </c>
      <c r="E824" s="8" t="s">
        <v>7767</v>
      </c>
      <c r="F824" s="8" t="s">
        <v>4093</v>
      </c>
      <c r="G824" s="8" t="s">
        <v>7768</v>
      </c>
      <c r="H824" s="8" t="s">
        <v>3479</v>
      </c>
      <c r="I824" s="9">
        <v>0.0</v>
      </c>
      <c r="J824" s="9">
        <v>1722.0</v>
      </c>
      <c r="K824" s="9">
        <v>1722.0</v>
      </c>
      <c r="L824" s="9">
        <v>1722.0</v>
      </c>
      <c r="M824" s="9">
        <v>339.0</v>
      </c>
      <c r="N824" s="9">
        <v>784.0</v>
      </c>
      <c r="O824" s="9">
        <v>599.0</v>
      </c>
      <c r="P824" s="8" t="s">
        <v>4183</v>
      </c>
      <c r="Q824" s="8" t="s">
        <v>7769</v>
      </c>
      <c r="R824" s="8" t="s">
        <v>7770</v>
      </c>
    </row>
    <row r="825">
      <c r="A825" s="8" t="s">
        <v>1156</v>
      </c>
      <c r="B825" s="8" t="s">
        <v>7771</v>
      </c>
      <c r="C825" s="8" t="s">
        <v>5656</v>
      </c>
      <c r="D825" s="9">
        <v>9.822707836E9</v>
      </c>
      <c r="E825" s="8" t="s">
        <v>7772</v>
      </c>
      <c r="F825" s="8" t="s">
        <v>3523</v>
      </c>
      <c r="G825" s="8" t="s">
        <v>7773</v>
      </c>
      <c r="H825" s="8" t="s">
        <v>3479</v>
      </c>
      <c r="I825" s="9">
        <v>1414.0</v>
      </c>
      <c r="J825" s="9">
        <v>0.0</v>
      </c>
      <c r="K825" s="9">
        <v>1414.0</v>
      </c>
      <c r="L825" s="9">
        <v>1414.0</v>
      </c>
      <c r="M825" s="9">
        <v>160.0</v>
      </c>
      <c r="N825" s="9">
        <v>730.0</v>
      </c>
      <c r="O825" s="9">
        <v>524.0</v>
      </c>
      <c r="P825" s="8" t="s">
        <v>6294</v>
      </c>
      <c r="Q825" s="8" t="s">
        <v>7774</v>
      </c>
      <c r="R825" s="8" t="s">
        <v>7775</v>
      </c>
    </row>
    <row r="826">
      <c r="A826" s="8" t="s">
        <v>1157</v>
      </c>
      <c r="B826" s="8" t="s">
        <v>7776</v>
      </c>
      <c r="C826" s="8" t="s">
        <v>7777</v>
      </c>
      <c r="D826" s="9">
        <v>8.123584316E9</v>
      </c>
      <c r="E826" s="8" t="s">
        <v>7778</v>
      </c>
      <c r="F826" s="8" t="s">
        <v>3589</v>
      </c>
      <c r="G826" s="8" t="s">
        <v>7779</v>
      </c>
      <c r="H826" s="8" t="s">
        <v>3479</v>
      </c>
      <c r="I826" s="9">
        <v>0.0</v>
      </c>
      <c r="J826" s="9">
        <v>2130.0</v>
      </c>
      <c r="K826" s="9">
        <v>2130.0</v>
      </c>
      <c r="L826" s="9">
        <v>2130.0</v>
      </c>
      <c r="M826" s="9">
        <v>876.0</v>
      </c>
      <c r="N826" s="9">
        <v>730.0</v>
      </c>
      <c r="O826" s="9">
        <v>524.0</v>
      </c>
      <c r="P826" s="8" t="s">
        <v>3480</v>
      </c>
      <c r="Q826" s="8" t="s">
        <v>7780</v>
      </c>
      <c r="R826" s="8" t="s">
        <v>7781</v>
      </c>
    </row>
    <row r="827">
      <c r="A827" s="8" t="s">
        <v>1160</v>
      </c>
      <c r="B827" s="8" t="s">
        <v>7782</v>
      </c>
      <c r="C827" s="8" t="s">
        <v>7783</v>
      </c>
      <c r="D827" s="9">
        <v>7.083675499E9</v>
      </c>
      <c r="E827" s="8" t="s">
        <v>7784</v>
      </c>
      <c r="F827" s="8" t="s">
        <v>3721</v>
      </c>
      <c r="G827" s="8" t="s">
        <v>4398</v>
      </c>
      <c r="H827" s="8" t="s">
        <v>3479</v>
      </c>
      <c r="I827" s="9">
        <v>0.0</v>
      </c>
      <c r="J827" s="9">
        <v>1734.0</v>
      </c>
      <c r="K827" s="9">
        <v>1734.0</v>
      </c>
      <c r="L827" s="9">
        <v>1734.0</v>
      </c>
      <c r="M827" s="9">
        <v>480.0</v>
      </c>
      <c r="N827" s="9">
        <v>730.0</v>
      </c>
      <c r="O827" s="9">
        <v>524.0</v>
      </c>
      <c r="P827" s="8" t="s">
        <v>6294</v>
      </c>
      <c r="Q827" s="8" t="s">
        <v>7785</v>
      </c>
      <c r="R827" s="8" t="s">
        <v>7786</v>
      </c>
    </row>
    <row r="828">
      <c r="A828" s="8" t="s">
        <v>1166</v>
      </c>
      <c r="B828" s="8" t="s">
        <v>7787</v>
      </c>
      <c r="C828" s="8" t="s">
        <v>7788</v>
      </c>
      <c r="D828" s="9">
        <v>9.420777521E9</v>
      </c>
      <c r="E828" s="8" t="s">
        <v>7789</v>
      </c>
      <c r="F828" s="8" t="s">
        <v>3608</v>
      </c>
      <c r="G828" s="8" t="s">
        <v>7790</v>
      </c>
      <c r="H828" s="8" t="s">
        <v>3479</v>
      </c>
      <c r="I828" s="9">
        <v>0.0</v>
      </c>
      <c r="J828" s="9">
        <v>1259.0</v>
      </c>
      <c r="K828" s="9">
        <v>1259.0</v>
      </c>
      <c r="L828" s="9">
        <v>1259.0</v>
      </c>
      <c r="M828" s="9">
        <v>80.0</v>
      </c>
      <c r="N828" s="9">
        <v>730.0</v>
      </c>
      <c r="O828" s="9">
        <v>449.0</v>
      </c>
      <c r="P828" s="8" t="s">
        <v>4183</v>
      </c>
      <c r="Q828" s="8" t="s">
        <v>7791</v>
      </c>
      <c r="R828" s="8" t="s">
        <v>7792</v>
      </c>
    </row>
    <row r="829">
      <c r="A829" s="8" t="s">
        <v>1162</v>
      </c>
      <c r="B829" s="8" t="s">
        <v>7793</v>
      </c>
      <c r="C829" s="8" t="s">
        <v>7794</v>
      </c>
      <c r="D829" s="9">
        <v>8.149332257E9</v>
      </c>
      <c r="E829" s="8" t="s">
        <v>7795</v>
      </c>
      <c r="F829" s="8" t="s">
        <v>4745</v>
      </c>
      <c r="G829" s="8" t="s">
        <v>7796</v>
      </c>
      <c r="H829" s="8" t="s">
        <v>3479</v>
      </c>
      <c r="I829" s="9">
        <v>0.0</v>
      </c>
      <c r="J829" s="9">
        <v>1963.0</v>
      </c>
      <c r="K829" s="9">
        <v>1963.0</v>
      </c>
      <c r="L829" s="9">
        <v>1963.0</v>
      </c>
      <c r="M829" s="9">
        <v>730.0</v>
      </c>
      <c r="N829" s="9">
        <v>784.0</v>
      </c>
      <c r="O829" s="9">
        <v>449.0</v>
      </c>
      <c r="P829" s="8" t="s">
        <v>4183</v>
      </c>
      <c r="Q829" s="8" t="s">
        <v>7797</v>
      </c>
      <c r="R829" s="8" t="s">
        <v>7798</v>
      </c>
    </row>
    <row r="830">
      <c r="A830" s="8" t="s">
        <v>1167</v>
      </c>
      <c r="B830" s="8" t="s">
        <v>7799</v>
      </c>
      <c r="C830" s="8" t="s">
        <v>7082</v>
      </c>
      <c r="D830" s="9">
        <v>9.922844617E9</v>
      </c>
      <c r="E830" s="8" t="s">
        <v>7800</v>
      </c>
      <c r="F830" s="8" t="s">
        <v>3908</v>
      </c>
      <c r="G830" s="8" t="s">
        <v>7801</v>
      </c>
      <c r="H830" s="8" t="s">
        <v>3479</v>
      </c>
      <c r="I830" s="9">
        <v>0.0</v>
      </c>
      <c r="J830" s="9">
        <v>2590.0</v>
      </c>
      <c r="K830" s="9">
        <v>2590.0</v>
      </c>
      <c r="L830" s="9">
        <v>2590.0</v>
      </c>
      <c r="M830" s="9">
        <v>868.0</v>
      </c>
      <c r="N830" s="9">
        <v>848.0</v>
      </c>
      <c r="O830" s="9">
        <v>874.0</v>
      </c>
      <c r="P830" s="8" t="s">
        <v>4183</v>
      </c>
      <c r="Q830" s="8" t="s">
        <v>7802</v>
      </c>
      <c r="R830" s="8" t="s">
        <v>7803</v>
      </c>
    </row>
    <row r="831">
      <c r="A831" s="8" t="s">
        <v>1168</v>
      </c>
      <c r="B831" s="8" t="s">
        <v>7804</v>
      </c>
      <c r="C831" s="8" t="s">
        <v>7805</v>
      </c>
      <c r="D831" s="9">
        <v>9.597600514E9</v>
      </c>
      <c r="E831" s="8" t="s">
        <v>7806</v>
      </c>
      <c r="F831" s="8" t="s">
        <v>3486</v>
      </c>
      <c r="G831" s="8" t="s">
        <v>4036</v>
      </c>
      <c r="H831" s="8" t="s">
        <v>3479</v>
      </c>
      <c r="I831" s="9">
        <v>0.0</v>
      </c>
      <c r="J831" s="9">
        <v>2794.0</v>
      </c>
      <c r="K831" s="9">
        <v>2794.0</v>
      </c>
      <c r="L831" s="9">
        <v>2794.0</v>
      </c>
      <c r="M831" s="9">
        <v>1615.0</v>
      </c>
      <c r="N831" s="9">
        <v>730.0</v>
      </c>
      <c r="O831" s="9">
        <v>449.0</v>
      </c>
      <c r="P831" s="8" t="s">
        <v>6396</v>
      </c>
      <c r="Q831" s="8" t="s">
        <v>7807</v>
      </c>
      <c r="R831" s="8" t="s">
        <v>7808</v>
      </c>
    </row>
    <row r="832">
      <c r="A832" s="8" t="s">
        <v>1169</v>
      </c>
      <c r="B832" s="8" t="s">
        <v>7809</v>
      </c>
      <c r="C832" s="8" t="s">
        <v>7810</v>
      </c>
      <c r="D832" s="9">
        <v>7.775958359E9</v>
      </c>
      <c r="E832" s="8" t="s">
        <v>7811</v>
      </c>
      <c r="F832" s="8" t="s">
        <v>3901</v>
      </c>
      <c r="G832" s="8" t="s">
        <v>7812</v>
      </c>
      <c r="H832" s="8" t="s">
        <v>3479</v>
      </c>
      <c r="I832" s="9">
        <v>0.0</v>
      </c>
      <c r="J832" s="9">
        <v>1955.0</v>
      </c>
      <c r="K832" s="9">
        <v>1955.0</v>
      </c>
      <c r="L832" s="9">
        <v>1955.0</v>
      </c>
      <c r="M832" s="9">
        <v>1017.0</v>
      </c>
      <c r="N832" s="9">
        <v>64.0</v>
      </c>
      <c r="O832" s="9">
        <v>874.0</v>
      </c>
      <c r="P832" s="8" t="s">
        <v>4183</v>
      </c>
      <c r="Q832" s="8" t="s">
        <v>7813</v>
      </c>
      <c r="R832" s="8" t="s">
        <v>7814</v>
      </c>
    </row>
    <row r="833">
      <c r="A833" s="8" t="s">
        <v>1170</v>
      </c>
      <c r="B833" s="8" t="s">
        <v>7815</v>
      </c>
      <c r="C833" s="8" t="s">
        <v>7816</v>
      </c>
      <c r="D833" s="9">
        <v>9.834479478E9</v>
      </c>
      <c r="E833" s="8" t="s">
        <v>7817</v>
      </c>
      <c r="F833" s="8" t="s">
        <v>7818</v>
      </c>
      <c r="G833" s="8" t="s">
        <v>7819</v>
      </c>
      <c r="H833" s="8" t="s">
        <v>3479</v>
      </c>
      <c r="I833" s="9">
        <v>0.0</v>
      </c>
      <c r="J833" s="9">
        <v>1629.0</v>
      </c>
      <c r="K833" s="9">
        <v>1629.0</v>
      </c>
      <c r="L833" s="9">
        <v>1629.0</v>
      </c>
      <c r="M833" s="9">
        <v>450.0</v>
      </c>
      <c r="N833" s="9">
        <v>730.0</v>
      </c>
      <c r="O833" s="9">
        <v>449.0</v>
      </c>
      <c r="P833" s="8" t="s">
        <v>4183</v>
      </c>
      <c r="Q833" s="8" t="s">
        <v>7820</v>
      </c>
      <c r="R833" s="8" t="s">
        <v>7821</v>
      </c>
    </row>
    <row r="834">
      <c r="A834" s="8" t="s">
        <v>1171</v>
      </c>
      <c r="B834" s="8" t="s">
        <v>7822</v>
      </c>
      <c r="C834" s="8" t="s">
        <v>6150</v>
      </c>
      <c r="D834" s="9">
        <v>9.421785433E9</v>
      </c>
      <c r="E834" s="8" t="s">
        <v>6151</v>
      </c>
      <c r="F834" s="8" t="s">
        <v>6152</v>
      </c>
      <c r="G834" s="8" t="s">
        <v>7823</v>
      </c>
      <c r="H834" s="8" t="s">
        <v>3479</v>
      </c>
      <c r="I834" s="9">
        <v>0.0</v>
      </c>
      <c r="J834" s="9">
        <v>2320.0</v>
      </c>
      <c r="K834" s="9">
        <v>2320.0</v>
      </c>
      <c r="L834" s="9">
        <v>2320.0</v>
      </c>
      <c r="M834" s="9">
        <v>175.0</v>
      </c>
      <c r="N834" s="9">
        <v>1496.0</v>
      </c>
      <c r="O834" s="9">
        <v>649.0</v>
      </c>
      <c r="P834" s="8" t="s">
        <v>4183</v>
      </c>
      <c r="Q834" s="8" t="s">
        <v>6154</v>
      </c>
      <c r="R834" s="8" t="s">
        <v>6155</v>
      </c>
    </row>
    <row r="835">
      <c r="A835" s="8" t="s">
        <v>1165</v>
      </c>
      <c r="B835" s="8" t="s">
        <v>7824</v>
      </c>
      <c r="C835" s="8" t="s">
        <v>7825</v>
      </c>
      <c r="D835" s="9">
        <v>9.987555184E9</v>
      </c>
      <c r="E835" s="8" t="s">
        <v>7826</v>
      </c>
      <c r="F835" s="8" t="s">
        <v>4373</v>
      </c>
      <c r="G835" s="8" t="s">
        <v>4036</v>
      </c>
      <c r="H835" s="8" t="s">
        <v>3479</v>
      </c>
      <c r="I835" s="9">
        <v>2823.0</v>
      </c>
      <c r="J835" s="9">
        <v>0.0</v>
      </c>
      <c r="K835" s="9">
        <v>2823.0</v>
      </c>
      <c r="L835" s="9">
        <v>2823.0</v>
      </c>
      <c r="M835" s="9">
        <v>1630.0</v>
      </c>
      <c r="N835" s="9">
        <v>594.0</v>
      </c>
      <c r="O835" s="9">
        <v>599.0</v>
      </c>
      <c r="P835" s="8" t="s">
        <v>4183</v>
      </c>
      <c r="Q835" s="8" t="s">
        <v>7827</v>
      </c>
      <c r="R835" s="8" t="s">
        <v>7828</v>
      </c>
    </row>
    <row r="836">
      <c r="A836" s="8" t="s">
        <v>1173</v>
      </c>
      <c r="B836" s="8" t="s">
        <v>7829</v>
      </c>
      <c r="C836" s="8" t="s">
        <v>7830</v>
      </c>
      <c r="D836" s="9">
        <v>9.158706555E9</v>
      </c>
      <c r="E836" s="8" t="s">
        <v>7831</v>
      </c>
      <c r="F836" s="8" t="s">
        <v>4574</v>
      </c>
      <c r="G836" s="8" t="s">
        <v>7832</v>
      </c>
      <c r="H836" s="8" t="s">
        <v>3479</v>
      </c>
      <c r="I836" s="9">
        <v>0.0</v>
      </c>
      <c r="J836" s="9">
        <v>2029.0</v>
      </c>
      <c r="K836" s="9">
        <v>2029.0</v>
      </c>
      <c r="L836" s="9">
        <v>2029.0</v>
      </c>
      <c r="M836" s="9">
        <v>525.0</v>
      </c>
      <c r="N836" s="9">
        <v>730.0</v>
      </c>
      <c r="O836" s="9">
        <v>774.0</v>
      </c>
      <c r="P836" s="8" t="s">
        <v>4183</v>
      </c>
      <c r="Q836" s="8" t="s">
        <v>7833</v>
      </c>
      <c r="R836" s="8" t="s">
        <v>7834</v>
      </c>
    </row>
    <row r="837">
      <c r="A837" s="8" t="s">
        <v>1174</v>
      </c>
      <c r="B837" s="8" t="s">
        <v>7835</v>
      </c>
      <c r="C837" s="8" t="s">
        <v>5649</v>
      </c>
      <c r="D837" s="9">
        <v>9.689780277E9</v>
      </c>
      <c r="E837" s="8" t="s">
        <v>5650</v>
      </c>
      <c r="F837" s="8" t="s">
        <v>3615</v>
      </c>
      <c r="G837" s="8" t="s">
        <v>4036</v>
      </c>
      <c r="H837" s="8" t="s">
        <v>3479</v>
      </c>
      <c r="I837" s="9">
        <v>0.0</v>
      </c>
      <c r="J837" s="9">
        <v>1287.0</v>
      </c>
      <c r="K837" s="9">
        <v>1287.0</v>
      </c>
      <c r="L837" s="9">
        <v>1287.0</v>
      </c>
      <c r="M837" s="9">
        <v>987.0</v>
      </c>
      <c r="N837" s="9">
        <v>0.0</v>
      </c>
      <c r="O837" s="9">
        <v>300.0</v>
      </c>
      <c r="P837" s="8" t="s">
        <v>4183</v>
      </c>
      <c r="Q837" s="8"/>
      <c r="R837" s="8"/>
    </row>
    <row r="838">
      <c r="A838" s="8" t="s">
        <v>288</v>
      </c>
      <c r="B838" s="8" t="s">
        <v>7836</v>
      </c>
      <c r="C838" s="8" t="s">
        <v>7837</v>
      </c>
      <c r="D838" s="9">
        <v>9.604428241E9</v>
      </c>
      <c r="E838" s="8" t="s">
        <v>7838</v>
      </c>
      <c r="F838" s="8" t="s">
        <v>3768</v>
      </c>
      <c r="G838" s="8" t="s">
        <v>7839</v>
      </c>
      <c r="H838" s="8" t="s">
        <v>3479</v>
      </c>
      <c r="I838" s="9">
        <v>0.0</v>
      </c>
      <c r="J838" s="9">
        <v>1333.0</v>
      </c>
      <c r="K838" s="9">
        <v>1333.0</v>
      </c>
      <c r="L838" s="9">
        <v>1333.0</v>
      </c>
      <c r="M838" s="9">
        <v>100.0</v>
      </c>
      <c r="N838" s="9">
        <v>784.0</v>
      </c>
      <c r="O838" s="9">
        <v>449.0</v>
      </c>
      <c r="P838" s="8" t="s">
        <v>3480</v>
      </c>
      <c r="Q838" s="8"/>
      <c r="R838" s="8"/>
    </row>
    <row r="839">
      <c r="A839" s="8" t="s">
        <v>289</v>
      </c>
      <c r="B839" s="8" t="s">
        <v>7840</v>
      </c>
      <c r="C839" s="8" t="s">
        <v>4779</v>
      </c>
      <c r="D839" s="9">
        <v>9.370712624E9</v>
      </c>
      <c r="E839" s="8" t="s">
        <v>7841</v>
      </c>
      <c r="F839" s="8" t="s">
        <v>5613</v>
      </c>
      <c r="G839" s="8" t="s">
        <v>7842</v>
      </c>
      <c r="H839" s="8" t="s">
        <v>3479</v>
      </c>
      <c r="I839" s="9">
        <v>0.0</v>
      </c>
      <c r="J839" s="9">
        <v>1259.0</v>
      </c>
      <c r="K839" s="9">
        <v>1259.0</v>
      </c>
      <c r="L839" s="9">
        <v>1259.0</v>
      </c>
      <c r="M839" s="9">
        <v>80.0</v>
      </c>
      <c r="N839" s="9">
        <v>730.0</v>
      </c>
      <c r="O839" s="9">
        <v>449.0</v>
      </c>
      <c r="P839" s="8" t="s">
        <v>3480</v>
      </c>
      <c r="Q839" s="8"/>
      <c r="R839" s="8"/>
    </row>
    <row r="840">
      <c r="A840" s="8" t="s">
        <v>290</v>
      </c>
      <c r="B840" s="8" t="s">
        <v>7843</v>
      </c>
      <c r="C840" s="8" t="s">
        <v>7844</v>
      </c>
      <c r="D840" s="9">
        <v>9.88140116E9</v>
      </c>
      <c r="E840" s="8" t="s">
        <v>7845</v>
      </c>
      <c r="F840" s="8" t="s">
        <v>6253</v>
      </c>
      <c r="G840" s="8" t="s">
        <v>7846</v>
      </c>
      <c r="H840" s="8" t="s">
        <v>3479</v>
      </c>
      <c r="I840" s="9">
        <v>0.0</v>
      </c>
      <c r="J840" s="9">
        <v>1553.0</v>
      </c>
      <c r="K840" s="9">
        <v>1553.0</v>
      </c>
      <c r="L840" s="9">
        <v>1553.0</v>
      </c>
      <c r="M840" s="9">
        <v>320.0</v>
      </c>
      <c r="N840" s="9">
        <v>784.0</v>
      </c>
      <c r="O840" s="9">
        <v>449.0</v>
      </c>
      <c r="P840" s="8" t="s">
        <v>3480</v>
      </c>
      <c r="Q840" s="8"/>
      <c r="R840" s="8"/>
    </row>
    <row r="841">
      <c r="A841" s="8" t="s">
        <v>291</v>
      </c>
      <c r="B841" s="8" t="s">
        <v>7847</v>
      </c>
      <c r="C841" s="8" t="s">
        <v>7848</v>
      </c>
      <c r="D841" s="9">
        <v>8.698190247E9</v>
      </c>
      <c r="E841" s="8" t="s">
        <v>7849</v>
      </c>
      <c r="F841" s="8" t="s">
        <v>6744</v>
      </c>
      <c r="G841" s="8" t="s">
        <v>3494</v>
      </c>
      <c r="H841" s="8" t="s">
        <v>3479</v>
      </c>
      <c r="I841" s="9">
        <v>0.0</v>
      </c>
      <c r="J841" s="9">
        <v>719.0</v>
      </c>
      <c r="K841" s="9">
        <v>719.0</v>
      </c>
      <c r="L841" s="9">
        <v>719.0</v>
      </c>
      <c r="M841" s="9">
        <v>270.0</v>
      </c>
      <c r="N841" s="9">
        <v>0.0</v>
      </c>
      <c r="O841" s="9">
        <v>449.0</v>
      </c>
      <c r="P841" s="8" t="s">
        <v>3480</v>
      </c>
      <c r="Q841" s="8" t="s">
        <v>7850</v>
      </c>
      <c r="R841" s="8" t="s">
        <v>7851</v>
      </c>
    </row>
    <row r="842">
      <c r="A842" s="8" t="s">
        <v>292</v>
      </c>
      <c r="B842" s="8" t="s">
        <v>7852</v>
      </c>
      <c r="C842" s="8" t="s">
        <v>7853</v>
      </c>
      <c r="D842" s="9">
        <v>9.004432771E9</v>
      </c>
      <c r="E842" s="8" t="s">
        <v>7854</v>
      </c>
      <c r="F842" s="8" t="s">
        <v>3608</v>
      </c>
      <c r="G842" s="8" t="s">
        <v>7855</v>
      </c>
      <c r="H842" s="8" t="s">
        <v>3479</v>
      </c>
      <c r="I842" s="9">
        <v>0.0</v>
      </c>
      <c r="J842" s="9">
        <v>1597.0</v>
      </c>
      <c r="K842" s="9">
        <v>1597.0</v>
      </c>
      <c r="L842" s="9">
        <v>1597.0</v>
      </c>
      <c r="M842" s="9">
        <v>418.0</v>
      </c>
      <c r="N842" s="9">
        <v>730.0</v>
      </c>
      <c r="O842" s="9">
        <v>449.0</v>
      </c>
      <c r="P842" s="8" t="s">
        <v>3480</v>
      </c>
      <c r="Q842" s="8" t="s">
        <v>7856</v>
      </c>
      <c r="R842" s="8" t="s">
        <v>7857</v>
      </c>
    </row>
    <row r="843">
      <c r="A843" s="8" t="s">
        <v>294</v>
      </c>
      <c r="B843" s="8" t="s">
        <v>7858</v>
      </c>
      <c r="C843" s="8" t="s">
        <v>7859</v>
      </c>
      <c r="D843" s="9">
        <v>8.788309058E9</v>
      </c>
      <c r="E843" s="8" t="s">
        <v>7860</v>
      </c>
      <c r="F843" s="8" t="s">
        <v>7118</v>
      </c>
      <c r="G843" s="8" t="s">
        <v>7861</v>
      </c>
      <c r="H843" s="8" t="s">
        <v>7862</v>
      </c>
      <c r="I843" s="9">
        <v>0.0</v>
      </c>
      <c r="J843" s="9">
        <v>2900.0</v>
      </c>
      <c r="K843" s="9">
        <v>2932.0</v>
      </c>
      <c r="L843" s="9">
        <v>2900.0</v>
      </c>
      <c r="M843" s="9">
        <v>1243.0</v>
      </c>
      <c r="N843" s="9">
        <v>190.0</v>
      </c>
      <c r="O843" s="9">
        <v>1499.0</v>
      </c>
      <c r="P843" s="8" t="s">
        <v>3480</v>
      </c>
      <c r="Q843" s="8"/>
      <c r="R843" s="8"/>
    </row>
    <row r="844">
      <c r="A844" s="8" t="s">
        <v>1175</v>
      </c>
      <c r="B844" s="8" t="s">
        <v>7863</v>
      </c>
      <c r="C844" s="8" t="s">
        <v>3656</v>
      </c>
      <c r="D844" s="9">
        <v>7.507082611E9</v>
      </c>
      <c r="E844" s="8" t="s">
        <v>7864</v>
      </c>
      <c r="F844" s="8" t="s">
        <v>5421</v>
      </c>
      <c r="G844" s="8" t="s">
        <v>7865</v>
      </c>
      <c r="H844" s="8" t="s">
        <v>3479</v>
      </c>
      <c r="I844" s="9">
        <v>0.0</v>
      </c>
      <c r="J844" s="9">
        <v>3040.0</v>
      </c>
      <c r="K844" s="9">
        <v>3040.0</v>
      </c>
      <c r="L844" s="9">
        <v>3040.0</v>
      </c>
      <c r="M844" s="9">
        <v>1686.0</v>
      </c>
      <c r="N844" s="9">
        <v>730.0</v>
      </c>
      <c r="O844" s="9">
        <v>624.0</v>
      </c>
      <c r="P844" s="8" t="s">
        <v>3480</v>
      </c>
      <c r="Q844" s="8" t="s">
        <v>7866</v>
      </c>
      <c r="R844" s="8" t="s">
        <v>7867</v>
      </c>
    </row>
    <row r="845">
      <c r="A845" s="8" t="s">
        <v>1172</v>
      </c>
      <c r="B845" s="8" t="s">
        <v>7868</v>
      </c>
      <c r="C845" s="8" t="s">
        <v>7869</v>
      </c>
      <c r="D845" s="9">
        <v>9.975649543E9</v>
      </c>
      <c r="E845" s="8" t="s">
        <v>7870</v>
      </c>
      <c r="F845" s="8" t="s">
        <v>3486</v>
      </c>
      <c r="G845" s="8" t="s">
        <v>7871</v>
      </c>
      <c r="H845" s="8" t="s">
        <v>3479</v>
      </c>
      <c r="I845" s="9">
        <v>1553.0</v>
      </c>
      <c r="J845" s="9">
        <v>0.0</v>
      </c>
      <c r="K845" s="9">
        <v>1553.0</v>
      </c>
      <c r="L845" s="9">
        <v>1553.0</v>
      </c>
      <c r="M845" s="9">
        <v>374.0</v>
      </c>
      <c r="N845" s="9">
        <v>730.0</v>
      </c>
      <c r="O845" s="9">
        <v>449.0</v>
      </c>
      <c r="P845" s="8"/>
      <c r="Q845" s="8" t="s">
        <v>7872</v>
      </c>
      <c r="R845" s="8" t="s">
        <v>7873</v>
      </c>
    </row>
    <row r="846">
      <c r="A846" s="8" t="s">
        <v>1187</v>
      </c>
      <c r="B846" s="8" t="s">
        <v>7874</v>
      </c>
      <c r="C846" s="8" t="s">
        <v>7875</v>
      </c>
      <c r="D846" s="9">
        <v>8.459809289E9</v>
      </c>
      <c r="E846" s="8" t="s">
        <v>7876</v>
      </c>
      <c r="F846" s="8" t="s">
        <v>3550</v>
      </c>
      <c r="G846" s="8" t="s">
        <v>7877</v>
      </c>
      <c r="H846" s="8" t="s">
        <v>3479</v>
      </c>
      <c r="I846" s="9">
        <v>0.0</v>
      </c>
      <c r="J846" s="9">
        <v>1195.0</v>
      </c>
      <c r="K846" s="9">
        <v>1195.0</v>
      </c>
      <c r="L846" s="9">
        <v>1195.0</v>
      </c>
      <c r="M846" s="9">
        <v>80.0</v>
      </c>
      <c r="N846" s="9">
        <v>666.0</v>
      </c>
      <c r="O846" s="9">
        <v>449.0</v>
      </c>
      <c r="P846" s="8" t="s">
        <v>3480</v>
      </c>
      <c r="Q846" s="8"/>
      <c r="R846" s="8"/>
    </row>
    <row r="847">
      <c r="A847" s="8" t="s">
        <v>1186</v>
      </c>
      <c r="B847" s="8" t="s">
        <v>7878</v>
      </c>
      <c r="C847" s="8" t="s">
        <v>7879</v>
      </c>
      <c r="D847" s="9">
        <v>9.662466141E9</v>
      </c>
      <c r="E847" s="8" t="s">
        <v>7880</v>
      </c>
      <c r="F847" s="8" t="s">
        <v>3486</v>
      </c>
      <c r="G847" s="8" t="s">
        <v>7881</v>
      </c>
      <c r="H847" s="8" t="s">
        <v>3479</v>
      </c>
      <c r="I847" s="9">
        <v>0.0</v>
      </c>
      <c r="J847" s="9">
        <v>2493.0</v>
      </c>
      <c r="K847" s="9">
        <v>2493.0</v>
      </c>
      <c r="L847" s="9">
        <v>2493.0</v>
      </c>
      <c r="M847" s="9">
        <v>1230.0</v>
      </c>
      <c r="N847" s="9">
        <v>739.0</v>
      </c>
      <c r="O847" s="9">
        <v>524.0</v>
      </c>
      <c r="P847" s="8" t="s">
        <v>3480</v>
      </c>
      <c r="Q847" s="8" t="s">
        <v>7882</v>
      </c>
      <c r="R847" s="8" t="s">
        <v>7883</v>
      </c>
    </row>
    <row r="848">
      <c r="A848" s="8" t="s">
        <v>293</v>
      </c>
      <c r="B848" s="8" t="s">
        <v>7884</v>
      </c>
      <c r="C848" s="8" t="s">
        <v>7885</v>
      </c>
      <c r="D848" s="9">
        <v>9.359006522E9</v>
      </c>
      <c r="E848" s="8" t="s">
        <v>7886</v>
      </c>
      <c r="F848" s="8" t="s">
        <v>3809</v>
      </c>
      <c r="G848" s="8" t="s">
        <v>3494</v>
      </c>
      <c r="H848" s="8" t="s">
        <v>3479</v>
      </c>
      <c r="I848" s="9">
        <v>0.0</v>
      </c>
      <c r="J848" s="9">
        <v>14504.0</v>
      </c>
      <c r="K848" s="9">
        <v>14504.0</v>
      </c>
      <c r="L848" s="9">
        <v>14504.0</v>
      </c>
      <c r="M848" s="9">
        <v>9520.0</v>
      </c>
      <c r="N848" s="9">
        <v>594.0</v>
      </c>
      <c r="O848" s="9">
        <v>4390.0</v>
      </c>
      <c r="P848" s="8" t="s">
        <v>3480</v>
      </c>
      <c r="Q848" s="8" t="s">
        <v>7887</v>
      </c>
      <c r="R848" s="8" t="s">
        <v>7888</v>
      </c>
    </row>
    <row r="849">
      <c r="A849" s="8" t="s">
        <v>1188</v>
      </c>
      <c r="B849" s="8" t="s">
        <v>7889</v>
      </c>
      <c r="C849" s="8" t="s">
        <v>7890</v>
      </c>
      <c r="D849" s="9">
        <v>8.928219052E9</v>
      </c>
      <c r="E849" s="8" t="s">
        <v>7891</v>
      </c>
      <c r="F849" s="8" t="s">
        <v>3757</v>
      </c>
      <c r="G849" s="8" t="s">
        <v>7892</v>
      </c>
      <c r="H849" s="8" t="s">
        <v>3479</v>
      </c>
      <c r="I849" s="9">
        <v>0.0</v>
      </c>
      <c r="J849" s="9">
        <v>3137.0</v>
      </c>
      <c r="K849" s="9">
        <v>3137.0</v>
      </c>
      <c r="L849" s="9">
        <v>3137.0</v>
      </c>
      <c r="M849" s="9">
        <v>445.0</v>
      </c>
      <c r="N849" s="9">
        <v>1468.0</v>
      </c>
      <c r="O849" s="9">
        <v>1224.0</v>
      </c>
      <c r="P849" s="8" t="s">
        <v>3480</v>
      </c>
      <c r="Q849" s="8" t="s">
        <v>7893</v>
      </c>
      <c r="R849" s="8" t="s">
        <v>7894</v>
      </c>
    </row>
    <row r="850">
      <c r="A850" s="8" t="s">
        <v>1191</v>
      </c>
      <c r="B850" s="8" t="s">
        <v>7895</v>
      </c>
      <c r="C850" s="8" t="s">
        <v>6017</v>
      </c>
      <c r="D850" s="9">
        <v>9.71396506E9</v>
      </c>
      <c r="E850" s="8" t="s">
        <v>7896</v>
      </c>
      <c r="F850" s="8" t="s">
        <v>6508</v>
      </c>
      <c r="G850" s="8" t="s">
        <v>7897</v>
      </c>
      <c r="H850" s="8" t="s">
        <v>3479</v>
      </c>
      <c r="I850" s="9">
        <v>0.0</v>
      </c>
      <c r="J850" s="9">
        <v>1285.0</v>
      </c>
      <c r="K850" s="9">
        <v>1285.0</v>
      </c>
      <c r="L850" s="9">
        <v>1285.0</v>
      </c>
      <c r="M850" s="9">
        <v>135.0</v>
      </c>
      <c r="N850" s="9">
        <v>701.0</v>
      </c>
      <c r="O850" s="9">
        <v>449.0</v>
      </c>
      <c r="P850" s="8" t="s">
        <v>3480</v>
      </c>
      <c r="Q850" s="8"/>
      <c r="R850" s="8"/>
    </row>
    <row r="851">
      <c r="A851" s="8" t="s">
        <v>1189</v>
      </c>
      <c r="B851" s="8" t="s">
        <v>7898</v>
      </c>
      <c r="C851" s="8" t="s">
        <v>7899</v>
      </c>
      <c r="D851" s="9">
        <v>9.462632977E9</v>
      </c>
      <c r="E851" s="8" t="s">
        <v>7900</v>
      </c>
      <c r="F851" s="8" t="s">
        <v>5421</v>
      </c>
      <c r="G851" s="8" t="s">
        <v>7901</v>
      </c>
      <c r="H851" s="8" t="s">
        <v>7902</v>
      </c>
      <c r="I851" s="9">
        <v>0.0</v>
      </c>
      <c r="J851" s="9">
        <v>0.0</v>
      </c>
      <c r="K851" s="9">
        <v>4658.0</v>
      </c>
      <c r="L851" s="9">
        <v>4450.0</v>
      </c>
      <c r="M851" s="9">
        <v>3908.0</v>
      </c>
      <c r="N851" s="9">
        <v>0.0</v>
      </c>
      <c r="O851" s="9">
        <v>750.0</v>
      </c>
      <c r="P851" s="8" t="s">
        <v>3480</v>
      </c>
      <c r="Q851" s="8"/>
      <c r="R851" s="8"/>
    </row>
    <row r="852">
      <c r="A852" s="8" t="s">
        <v>1192</v>
      </c>
      <c r="B852" s="8" t="s">
        <v>7903</v>
      </c>
      <c r="C852" s="8" t="s">
        <v>7904</v>
      </c>
      <c r="D852" s="9">
        <v>8.308941879E9</v>
      </c>
      <c r="E852" s="8" t="s">
        <v>7905</v>
      </c>
      <c r="F852" s="8" t="s">
        <v>5613</v>
      </c>
      <c r="G852" s="8" t="s">
        <v>7906</v>
      </c>
      <c r="H852" s="8" t="s">
        <v>3479</v>
      </c>
      <c r="I852" s="9">
        <v>0.0</v>
      </c>
      <c r="J852" s="9">
        <v>1487.0</v>
      </c>
      <c r="K852" s="9">
        <v>1487.0</v>
      </c>
      <c r="L852" s="9">
        <v>1487.0</v>
      </c>
      <c r="M852" s="9">
        <v>613.0</v>
      </c>
      <c r="N852" s="9">
        <v>0.0</v>
      </c>
      <c r="O852" s="9">
        <v>874.0</v>
      </c>
      <c r="P852" s="8" t="s">
        <v>3480</v>
      </c>
      <c r="Q852" s="8" t="s">
        <v>7907</v>
      </c>
      <c r="R852" s="8" t="s">
        <v>7908</v>
      </c>
    </row>
    <row r="853">
      <c r="A853" s="8" t="s">
        <v>1193</v>
      </c>
      <c r="B853" s="8" t="s">
        <v>7909</v>
      </c>
      <c r="C853" s="8" t="s">
        <v>7910</v>
      </c>
      <c r="D853" s="9">
        <v>9.975325973E9</v>
      </c>
      <c r="E853" s="8" t="s">
        <v>7911</v>
      </c>
      <c r="F853" s="8" t="s">
        <v>5366</v>
      </c>
      <c r="G853" s="8" t="s">
        <v>7912</v>
      </c>
      <c r="H853" s="8" t="s">
        <v>3479</v>
      </c>
      <c r="I853" s="9">
        <v>0.0</v>
      </c>
      <c r="J853" s="9">
        <v>1971.0</v>
      </c>
      <c r="K853" s="9">
        <v>1971.0</v>
      </c>
      <c r="L853" s="9">
        <v>1971.0</v>
      </c>
      <c r="M853" s="9">
        <v>1366.0</v>
      </c>
      <c r="N853" s="9">
        <v>0.0</v>
      </c>
      <c r="O853" s="9">
        <v>605.0</v>
      </c>
      <c r="P853" s="8" t="s">
        <v>3480</v>
      </c>
      <c r="Q853" s="8"/>
      <c r="R853" s="8"/>
    </row>
    <row r="854">
      <c r="A854" s="8" t="s">
        <v>1194</v>
      </c>
      <c r="B854" s="8" t="s">
        <v>7913</v>
      </c>
      <c r="C854" s="8" t="s">
        <v>7914</v>
      </c>
      <c r="D854" s="9">
        <v>9.604966836E9</v>
      </c>
      <c r="E854" s="8" t="s">
        <v>7915</v>
      </c>
      <c r="F854" s="8" t="s">
        <v>3908</v>
      </c>
      <c r="G854" s="8" t="s">
        <v>3494</v>
      </c>
      <c r="H854" s="8" t="s">
        <v>3479</v>
      </c>
      <c r="I854" s="9">
        <v>0.0</v>
      </c>
      <c r="J854" s="9">
        <v>700.0</v>
      </c>
      <c r="K854" s="9">
        <v>700.0</v>
      </c>
      <c r="L854" s="9">
        <v>700.0</v>
      </c>
      <c r="M854" s="9">
        <v>233.0</v>
      </c>
      <c r="N854" s="9">
        <v>65.0</v>
      </c>
      <c r="O854" s="9">
        <v>402.0</v>
      </c>
      <c r="P854" s="8" t="s">
        <v>3480</v>
      </c>
      <c r="Q854" s="8"/>
      <c r="R854" s="8"/>
    </row>
    <row r="855">
      <c r="A855" s="8" t="s">
        <v>1176</v>
      </c>
      <c r="B855" s="8" t="s">
        <v>7916</v>
      </c>
      <c r="C855" s="8" t="s">
        <v>5001</v>
      </c>
      <c r="D855" s="9">
        <v>9.850079713E9</v>
      </c>
      <c r="E855" s="8" t="s">
        <v>7917</v>
      </c>
      <c r="F855" s="8" t="s">
        <v>3486</v>
      </c>
      <c r="G855" s="8" t="s">
        <v>7918</v>
      </c>
      <c r="H855" s="8" t="s">
        <v>3479</v>
      </c>
      <c r="I855" s="9">
        <v>0.0</v>
      </c>
      <c r="J855" s="9">
        <v>2195.0</v>
      </c>
      <c r="K855" s="9">
        <v>2195.0</v>
      </c>
      <c r="L855" s="9">
        <v>2195.0</v>
      </c>
      <c r="M855" s="9">
        <v>1845.0</v>
      </c>
      <c r="N855" s="9">
        <v>0.0</v>
      </c>
      <c r="O855" s="9">
        <v>350.0</v>
      </c>
      <c r="P855" s="8" t="s">
        <v>3480</v>
      </c>
      <c r="Q855" s="8"/>
      <c r="R855" s="8"/>
    </row>
    <row r="856">
      <c r="A856" s="8" t="s">
        <v>1177</v>
      </c>
      <c r="B856" s="8" t="s">
        <v>7919</v>
      </c>
      <c r="C856" s="8" t="s">
        <v>7920</v>
      </c>
      <c r="D856" s="9">
        <v>7.02021847E9</v>
      </c>
      <c r="E856" s="8" t="s">
        <v>7921</v>
      </c>
      <c r="F856" s="8" t="s">
        <v>3615</v>
      </c>
      <c r="G856" s="8" t="s">
        <v>7922</v>
      </c>
      <c r="H856" s="8" t="s">
        <v>3479</v>
      </c>
      <c r="I856" s="9">
        <v>0.0</v>
      </c>
      <c r="J856" s="9">
        <v>1488.0</v>
      </c>
      <c r="K856" s="9">
        <v>1488.0</v>
      </c>
      <c r="L856" s="9">
        <v>1488.0</v>
      </c>
      <c r="M856" s="9">
        <v>255.0</v>
      </c>
      <c r="N856" s="9">
        <v>784.0</v>
      </c>
      <c r="O856" s="9">
        <v>449.0</v>
      </c>
      <c r="P856" s="8" t="s">
        <v>3544</v>
      </c>
      <c r="Q856" s="8" t="s">
        <v>7923</v>
      </c>
      <c r="R856" s="8" t="s">
        <v>7924</v>
      </c>
    </row>
    <row r="857">
      <c r="A857" s="8" t="s">
        <v>1178</v>
      </c>
      <c r="B857" s="8" t="s">
        <v>7925</v>
      </c>
      <c r="C857" s="8" t="s">
        <v>6367</v>
      </c>
      <c r="D857" s="9">
        <v>8.97576409E9</v>
      </c>
      <c r="E857" s="8" t="s">
        <v>6368</v>
      </c>
      <c r="F857" s="8" t="s">
        <v>3542</v>
      </c>
      <c r="G857" s="8" t="s">
        <v>7926</v>
      </c>
      <c r="H857" s="8" t="s">
        <v>3479</v>
      </c>
      <c r="I857" s="9">
        <v>0.0</v>
      </c>
      <c r="J857" s="9">
        <v>1150.0</v>
      </c>
      <c r="K857" s="9">
        <v>1150.0</v>
      </c>
      <c r="L857" s="9">
        <v>1150.0</v>
      </c>
      <c r="M857" s="9">
        <v>1150.0</v>
      </c>
      <c r="N857" s="9">
        <v>0.0</v>
      </c>
      <c r="O857" s="9">
        <v>0.0</v>
      </c>
      <c r="P857" s="8" t="s">
        <v>3480</v>
      </c>
      <c r="Q857" s="8" t="s">
        <v>6370</v>
      </c>
      <c r="R857" s="8" t="s">
        <v>6371</v>
      </c>
    </row>
    <row r="858">
      <c r="A858" s="8" t="s">
        <v>1195</v>
      </c>
      <c r="B858" s="8" t="s">
        <v>7927</v>
      </c>
      <c r="C858" s="8" t="s">
        <v>7928</v>
      </c>
      <c r="D858" s="9">
        <v>9.096161717E9</v>
      </c>
      <c r="E858" s="8" t="s">
        <v>7929</v>
      </c>
      <c r="F858" s="8" t="s">
        <v>3523</v>
      </c>
      <c r="G858" s="8" t="s">
        <v>7930</v>
      </c>
      <c r="H858" s="8" t="s">
        <v>3479</v>
      </c>
      <c r="I858" s="9">
        <v>0.0</v>
      </c>
      <c r="J858" s="9">
        <v>3137.0</v>
      </c>
      <c r="K858" s="9">
        <v>3137.0</v>
      </c>
      <c r="L858" s="9">
        <v>3137.0</v>
      </c>
      <c r="M858" s="9">
        <v>1793.0</v>
      </c>
      <c r="N858" s="9">
        <v>730.0</v>
      </c>
      <c r="O858" s="9">
        <v>614.0</v>
      </c>
      <c r="P858" s="8" t="s">
        <v>3480</v>
      </c>
      <c r="Q858" s="8"/>
      <c r="R858" s="8"/>
    </row>
    <row r="859">
      <c r="A859" s="8" t="s">
        <v>1196</v>
      </c>
      <c r="B859" s="8" t="s">
        <v>7931</v>
      </c>
      <c r="C859" s="8" t="s">
        <v>6977</v>
      </c>
      <c r="D859" s="9">
        <v>9.130968278E9</v>
      </c>
      <c r="E859" s="8" t="s">
        <v>7932</v>
      </c>
      <c r="F859" s="8" t="s">
        <v>5366</v>
      </c>
      <c r="G859" s="8" t="s">
        <v>7933</v>
      </c>
      <c r="H859" s="8" t="s">
        <v>3479</v>
      </c>
      <c r="I859" s="9">
        <v>0.0</v>
      </c>
      <c r="J859" s="9">
        <v>2652.0</v>
      </c>
      <c r="K859" s="9">
        <v>2652.0</v>
      </c>
      <c r="L859" s="9">
        <v>2652.0</v>
      </c>
      <c r="M859" s="9">
        <v>1388.0</v>
      </c>
      <c r="N859" s="9">
        <v>65.0</v>
      </c>
      <c r="O859" s="9">
        <v>1199.0</v>
      </c>
      <c r="P859" s="8" t="s">
        <v>3480</v>
      </c>
      <c r="Q859" s="8"/>
      <c r="R859" s="8"/>
    </row>
    <row r="860">
      <c r="A860" s="8" t="s">
        <v>1197</v>
      </c>
      <c r="B860" s="8" t="s">
        <v>7934</v>
      </c>
      <c r="C860" s="8" t="s">
        <v>5011</v>
      </c>
      <c r="D860" s="9">
        <v>8.233279131E9</v>
      </c>
      <c r="E860" s="8" t="s">
        <v>5012</v>
      </c>
      <c r="F860" s="8" t="s">
        <v>3608</v>
      </c>
      <c r="G860" s="8" t="s">
        <v>5013</v>
      </c>
      <c r="H860" s="8" t="s">
        <v>3479</v>
      </c>
      <c r="I860" s="9">
        <v>0.0</v>
      </c>
      <c r="J860" s="9">
        <v>1259.0</v>
      </c>
      <c r="K860" s="9">
        <v>1259.0</v>
      </c>
      <c r="L860" s="9">
        <v>1259.0</v>
      </c>
      <c r="M860" s="9">
        <v>80.0</v>
      </c>
      <c r="N860" s="9">
        <v>730.0</v>
      </c>
      <c r="O860" s="9">
        <v>449.0</v>
      </c>
      <c r="P860" s="8" t="s">
        <v>3480</v>
      </c>
      <c r="Q860" s="8" t="s">
        <v>5014</v>
      </c>
      <c r="R860" s="8" t="s">
        <v>5015</v>
      </c>
    </row>
    <row r="861">
      <c r="A861" s="8" t="s">
        <v>1180</v>
      </c>
      <c r="B861" s="8" t="s">
        <v>7935</v>
      </c>
      <c r="C861" s="8" t="s">
        <v>4231</v>
      </c>
      <c r="D861" s="9">
        <v>9.370708502E9</v>
      </c>
      <c r="E861" s="8" t="s">
        <v>4232</v>
      </c>
      <c r="F861" s="8" t="s">
        <v>3653</v>
      </c>
      <c r="G861" s="8" t="s">
        <v>7936</v>
      </c>
      <c r="H861" s="8" t="s">
        <v>3479</v>
      </c>
      <c r="I861" s="9">
        <v>0.0</v>
      </c>
      <c r="J861" s="9">
        <v>1498.0</v>
      </c>
      <c r="K861" s="9">
        <v>1498.0</v>
      </c>
      <c r="L861" s="9">
        <v>1498.0</v>
      </c>
      <c r="M861" s="9">
        <v>265.0</v>
      </c>
      <c r="N861" s="9">
        <v>784.0</v>
      </c>
      <c r="O861" s="9">
        <v>449.0</v>
      </c>
      <c r="P861" s="8" t="s">
        <v>3480</v>
      </c>
      <c r="Q861" s="8" t="s">
        <v>4234</v>
      </c>
      <c r="R861" s="8" t="s">
        <v>4235</v>
      </c>
    </row>
    <row r="862">
      <c r="A862" s="8" t="s">
        <v>1190</v>
      </c>
      <c r="B862" s="8" t="s">
        <v>7937</v>
      </c>
      <c r="C862" s="8" t="s">
        <v>5549</v>
      </c>
      <c r="D862" s="9">
        <v>8.44664271E9</v>
      </c>
      <c r="E862" s="8" t="s">
        <v>7938</v>
      </c>
      <c r="F862" s="8" t="s">
        <v>4252</v>
      </c>
      <c r="G862" s="8" t="s">
        <v>7939</v>
      </c>
      <c r="H862" s="8" t="s">
        <v>3479</v>
      </c>
      <c r="I862" s="9">
        <v>0.0</v>
      </c>
      <c r="J862" s="9">
        <v>1948.0</v>
      </c>
      <c r="K862" s="9">
        <v>1948.0</v>
      </c>
      <c r="L862" s="9">
        <v>1948.0</v>
      </c>
      <c r="M862" s="9">
        <v>349.0</v>
      </c>
      <c r="N862" s="9">
        <v>900.0</v>
      </c>
      <c r="O862" s="9">
        <v>699.0</v>
      </c>
      <c r="P862" s="8" t="s">
        <v>3480</v>
      </c>
      <c r="Q862" s="8"/>
      <c r="R862" s="8"/>
    </row>
    <row r="863">
      <c r="A863" s="8" t="s">
        <v>1179</v>
      </c>
      <c r="B863" s="8" t="s">
        <v>7940</v>
      </c>
      <c r="C863" s="8" t="s">
        <v>7941</v>
      </c>
      <c r="D863" s="9">
        <v>8.48481548E9</v>
      </c>
      <c r="E863" s="8" t="s">
        <v>7942</v>
      </c>
      <c r="F863" s="8" t="s">
        <v>3608</v>
      </c>
      <c r="G863" s="8" t="s">
        <v>7943</v>
      </c>
      <c r="H863" s="8" t="s">
        <v>3479</v>
      </c>
      <c r="I863" s="9">
        <v>0.0</v>
      </c>
      <c r="J863" s="9">
        <v>1267.0</v>
      </c>
      <c r="K863" s="9">
        <v>1267.0</v>
      </c>
      <c r="L863" s="9">
        <v>1267.0</v>
      </c>
      <c r="M863" s="9">
        <v>300.0</v>
      </c>
      <c r="N863" s="9">
        <v>168.0</v>
      </c>
      <c r="O863" s="9">
        <v>799.0</v>
      </c>
      <c r="P863" s="8" t="s">
        <v>3480</v>
      </c>
      <c r="Q863" s="8" t="s">
        <v>7944</v>
      </c>
      <c r="R863" s="8" t="s">
        <v>7945</v>
      </c>
    </row>
    <row r="864">
      <c r="A864" s="8" t="s">
        <v>1182</v>
      </c>
      <c r="B864" s="8" t="s">
        <v>7946</v>
      </c>
      <c r="C864" s="8" t="s">
        <v>6706</v>
      </c>
      <c r="D864" s="9">
        <v>9.16891211E9</v>
      </c>
      <c r="E864" s="8" t="s">
        <v>7947</v>
      </c>
      <c r="F864" s="8" t="s">
        <v>3653</v>
      </c>
      <c r="G864" s="8" t="s">
        <v>7948</v>
      </c>
      <c r="H864" s="8" t="s">
        <v>3479</v>
      </c>
      <c r="I864" s="9">
        <v>0.0</v>
      </c>
      <c r="J864" s="9">
        <v>6365.0</v>
      </c>
      <c r="K864" s="9">
        <v>6365.0</v>
      </c>
      <c r="L864" s="9">
        <v>6365.0</v>
      </c>
      <c r="M864" s="9">
        <v>4803.0</v>
      </c>
      <c r="N864" s="9">
        <v>168.0</v>
      </c>
      <c r="O864" s="9">
        <v>1394.0</v>
      </c>
      <c r="P864" s="8" t="s">
        <v>3480</v>
      </c>
      <c r="Q864" s="8"/>
      <c r="R864" s="8"/>
    </row>
    <row r="865">
      <c r="A865" s="8" t="s">
        <v>1198</v>
      </c>
      <c r="B865" s="8" t="s">
        <v>7949</v>
      </c>
      <c r="C865" s="8" t="s">
        <v>7950</v>
      </c>
      <c r="D865" s="9">
        <v>7.391050757E9</v>
      </c>
      <c r="E865" s="8" t="s">
        <v>7951</v>
      </c>
      <c r="F865" s="8" t="s">
        <v>4391</v>
      </c>
      <c r="G865" s="8" t="s">
        <v>7952</v>
      </c>
      <c r="H865" s="8" t="s">
        <v>3479</v>
      </c>
      <c r="I865" s="9">
        <v>0.0</v>
      </c>
      <c r="J865" s="9">
        <v>2119.0</v>
      </c>
      <c r="K865" s="9">
        <v>2119.0</v>
      </c>
      <c r="L865" s="9">
        <v>2119.0</v>
      </c>
      <c r="M865" s="9">
        <v>931.0</v>
      </c>
      <c r="N865" s="9">
        <v>739.0</v>
      </c>
      <c r="O865" s="9">
        <v>449.0</v>
      </c>
      <c r="P865" s="8" t="s">
        <v>3480</v>
      </c>
      <c r="Q865" s="8" t="s">
        <v>7953</v>
      </c>
      <c r="R865" s="8" t="s">
        <v>7954</v>
      </c>
    </row>
    <row r="866">
      <c r="A866" s="8" t="s">
        <v>1183</v>
      </c>
      <c r="B866" s="8" t="s">
        <v>7955</v>
      </c>
      <c r="C866" s="8" t="s">
        <v>7956</v>
      </c>
      <c r="D866" s="9">
        <v>9.404547447E9</v>
      </c>
      <c r="E866" s="8" t="s">
        <v>7957</v>
      </c>
      <c r="F866" s="8" t="s">
        <v>3601</v>
      </c>
      <c r="G866" s="8" t="s">
        <v>7958</v>
      </c>
      <c r="H866" s="8" t="s">
        <v>3479</v>
      </c>
      <c r="I866" s="9">
        <v>0.0</v>
      </c>
      <c r="J866" s="9">
        <v>1259.0</v>
      </c>
      <c r="K866" s="9">
        <v>1259.0</v>
      </c>
      <c r="L866" s="9">
        <v>1259.0</v>
      </c>
      <c r="M866" s="9">
        <v>80.0</v>
      </c>
      <c r="N866" s="9">
        <v>730.0</v>
      </c>
      <c r="O866" s="9">
        <v>449.0</v>
      </c>
      <c r="P866" s="8" t="s">
        <v>3480</v>
      </c>
      <c r="Q866" s="8" t="s">
        <v>7959</v>
      </c>
      <c r="R866" s="8" t="s">
        <v>7960</v>
      </c>
    </row>
    <row r="867">
      <c r="A867" s="8" t="s">
        <v>137</v>
      </c>
      <c r="B867" s="8" t="s">
        <v>7961</v>
      </c>
      <c r="C867" s="8" t="s">
        <v>7962</v>
      </c>
      <c r="D867" s="9">
        <v>9.3256184E9</v>
      </c>
      <c r="E867" s="8" t="s">
        <v>6683</v>
      </c>
      <c r="F867" s="8" t="s">
        <v>6684</v>
      </c>
      <c r="G867" s="8" t="s">
        <v>7963</v>
      </c>
      <c r="H867" s="8" t="s">
        <v>3479</v>
      </c>
      <c r="I867" s="9">
        <v>0.0</v>
      </c>
      <c r="J867" s="9">
        <v>1259.0</v>
      </c>
      <c r="K867" s="9">
        <v>1259.0</v>
      </c>
      <c r="L867" s="9">
        <v>1259.0</v>
      </c>
      <c r="M867" s="9">
        <v>80.0</v>
      </c>
      <c r="N867" s="9">
        <v>730.0</v>
      </c>
      <c r="O867" s="9">
        <v>449.0</v>
      </c>
      <c r="P867" s="8" t="s">
        <v>3480</v>
      </c>
      <c r="Q867" s="8" t="s">
        <v>6686</v>
      </c>
      <c r="R867" s="8" t="s">
        <v>6687</v>
      </c>
    </row>
    <row r="868">
      <c r="A868" s="8" t="s">
        <v>1181</v>
      </c>
      <c r="B868" s="8" t="s">
        <v>7964</v>
      </c>
      <c r="C868" s="8" t="s">
        <v>7965</v>
      </c>
      <c r="D868" s="9">
        <v>8.668689181E9</v>
      </c>
      <c r="E868" s="8" t="s">
        <v>7966</v>
      </c>
      <c r="F868" s="8" t="s">
        <v>3768</v>
      </c>
      <c r="G868" s="8" t="s">
        <v>7967</v>
      </c>
      <c r="H868" s="8" t="s">
        <v>3479</v>
      </c>
      <c r="I868" s="9">
        <v>0.0</v>
      </c>
      <c r="J868" s="9">
        <v>1059.0</v>
      </c>
      <c r="K868" s="9">
        <v>1059.0</v>
      </c>
      <c r="L868" s="9">
        <v>1059.0</v>
      </c>
      <c r="M868" s="9">
        <v>535.0</v>
      </c>
      <c r="N868" s="9">
        <v>0.0</v>
      </c>
      <c r="O868" s="9">
        <v>524.0</v>
      </c>
      <c r="P868" s="8" t="s">
        <v>3480</v>
      </c>
      <c r="Q868" s="8" t="s">
        <v>7968</v>
      </c>
      <c r="R868" s="8" t="s">
        <v>7969</v>
      </c>
    </row>
    <row r="869">
      <c r="A869" s="8" t="s">
        <v>1184</v>
      </c>
      <c r="B869" s="8" t="s">
        <v>7970</v>
      </c>
      <c r="C869" s="8" t="s">
        <v>6754</v>
      </c>
      <c r="D869" s="9">
        <v>7.420035795E9</v>
      </c>
      <c r="E869" s="8" t="s">
        <v>6755</v>
      </c>
      <c r="F869" s="8" t="s">
        <v>3721</v>
      </c>
      <c r="G869" s="8" t="s">
        <v>7971</v>
      </c>
      <c r="H869" s="8" t="s">
        <v>3479</v>
      </c>
      <c r="I869" s="9">
        <v>0.0</v>
      </c>
      <c r="J869" s="9">
        <v>2309.0</v>
      </c>
      <c r="K869" s="9">
        <v>2309.0</v>
      </c>
      <c r="L869" s="9">
        <v>2309.0</v>
      </c>
      <c r="M869" s="9">
        <v>1130.0</v>
      </c>
      <c r="N869" s="9">
        <v>730.0</v>
      </c>
      <c r="O869" s="9">
        <v>449.0</v>
      </c>
      <c r="P869" s="8" t="s">
        <v>3519</v>
      </c>
      <c r="Q869" s="8" t="s">
        <v>6756</v>
      </c>
      <c r="R869" s="8" t="s">
        <v>6757</v>
      </c>
    </row>
    <row r="870">
      <c r="A870" s="8" t="s">
        <v>1185</v>
      </c>
      <c r="B870" s="8" t="s">
        <v>7972</v>
      </c>
      <c r="C870" s="8" t="s">
        <v>7973</v>
      </c>
      <c r="D870" s="9">
        <v>9.850893369E9</v>
      </c>
      <c r="E870" s="8" t="s">
        <v>7974</v>
      </c>
      <c r="F870" s="8" t="s">
        <v>3523</v>
      </c>
      <c r="G870" s="8" t="s">
        <v>7975</v>
      </c>
      <c r="H870" s="8" t="s">
        <v>3479</v>
      </c>
      <c r="I870" s="9">
        <v>0.0</v>
      </c>
      <c r="J870" s="9">
        <v>5805.0</v>
      </c>
      <c r="K870" s="9">
        <v>5805.0</v>
      </c>
      <c r="L870" s="9">
        <v>5805.0</v>
      </c>
      <c r="M870" s="9">
        <v>4276.0</v>
      </c>
      <c r="N870" s="9">
        <v>730.0</v>
      </c>
      <c r="O870" s="9">
        <v>799.0</v>
      </c>
      <c r="P870" s="8" t="s">
        <v>3480</v>
      </c>
      <c r="Q870" s="8" t="s">
        <v>7976</v>
      </c>
      <c r="R870" s="8" t="s">
        <v>7977</v>
      </c>
    </row>
    <row r="871">
      <c r="A871" s="8" t="s">
        <v>1199</v>
      </c>
      <c r="B871" s="8" t="s">
        <v>7978</v>
      </c>
      <c r="C871" s="8" t="s">
        <v>7979</v>
      </c>
      <c r="D871" s="9">
        <v>8.421040002E9</v>
      </c>
      <c r="E871" s="8" t="s">
        <v>7980</v>
      </c>
      <c r="F871" s="8" t="s">
        <v>3564</v>
      </c>
      <c r="G871" s="8" t="s">
        <v>7981</v>
      </c>
      <c r="H871" s="8" t="s">
        <v>3479</v>
      </c>
      <c r="I871" s="9">
        <v>0.0</v>
      </c>
      <c r="J871" s="9">
        <v>2817.0</v>
      </c>
      <c r="K871" s="9">
        <v>2817.0</v>
      </c>
      <c r="L871" s="9">
        <v>2817.0</v>
      </c>
      <c r="M871" s="9">
        <v>1878.0</v>
      </c>
      <c r="N871" s="9">
        <v>190.0</v>
      </c>
      <c r="O871" s="9">
        <v>749.0</v>
      </c>
      <c r="P871" s="8" t="s">
        <v>3480</v>
      </c>
      <c r="Q871" s="8" t="s">
        <v>7982</v>
      </c>
      <c r="R871" s="8"/>
    </row>
    <row r="872">
      <c r="A872" s="8" t="s">
        <v>34</v>
      </c>
      <c r="B872" s="8" t="s">
        <v>7983</v>
      </c>
      <c r="C872" s="8" t="s">
        <v>7984</v>
      </c>
      <c r="D872" s="9">
        <v>8.999016024E9</v>
      </c>
      <c r="E872" s="8" t="s">
        <v>7985</v>
      </c>
      <c r="F872" s="8" t="s">
        <v>3846</v>
      </c>
      <c r="G872" s="8" t="s">
        <v>7986</v>
      </c>
      <c r="H872" s="8" t="s">
        <v>3479</v>
      </c>
      <c r="I872" s="9">
        <v>0.0</v>
      </c>
      <c r="J872" s="9">
        <v>2126.0</v>
      </c>
      <c r="K872" s="9">
        <v>2126.0</v>
      </c>
      <c r="L872" s="9">
        <v>2126.0</v>
      </c>
      <c r="M872" s="9">
        <v>327.0</v>
      </c>
      <c r="N872" s="9">
        <v>1100.0</v>
      </c>
      <c r="O872" s="9">
        <v>699.0</v>
      </c>
      <c r="P872" s="8" t="s">
        <v>3480</v>
      </c>
      <c r="Q872" s="8" t="s">
        <v>7987</v>
      </c>
      <c r="R872" s="8" t="s">
        <v>7988</v>
      </c>
    </row>
    <row r="873">
      <c r="A873" s="8" t="s">
        <v>35</v>
      </c>
      <c r="B873" s="8" t="s">
        <v>7989</v>
      </c>
      <c r="C873" s="8" t="s">
        <v>4173</v>
      </c>
      <c r="D873" s="9">
        <v>8.237987263E9</v>
      </c>
      <c r="E873" s="8" t="s">
        <v>7990</v>
      </c>
      <c r="F873" s="8" t="s">
        <v>4089</v>
      </c>
      <c r="G873" s="8" t="s">
        <v>7991</v>
      </c>
      <c r="H873" s="8" t="s">
        <v>3479</v>
      </c>
      <c r="I873" s="9">
        <v>0.0</v>
      </c>
      <c r="J873" s="9">
        <v>3849.0</v>
      </c>
      <c r="K873" s="9">
        <v>3849.0</v>
      </c>
      <c r="L873" s="9">
        <v>3849.0</v>
      </c>
      <c r="M873" s="9">
        <v>2330.0</v>
      </c>
      <c r="N873" s="9">
        <v>190.0</v>
      </c>
      <c r="O873" s="9">
        <v>1329.0</v>
      </c>
      <c r="P873" s="8" t="s">
        <v>3480</v>
      </c>
      <c r="Q873" s="8"/>
      <c r="R873" s="8"/>
    </row>
    <row r="874">
      <c r="A874" s="8" t="s">
        <v>936</v>
      </c>
      <c r="B874" s="8" t="s">
        <v>7992</v>
      </c>
      <c r="C874" s="8" t="s">
        <v>6636</v>
      </c>
      <c r="D874" s="9">
        <v>8.788446591E9</v>
      </c>
      <c r="E874" s="8" t="s">
        <v>7993</v>
      </c>
      <c r="F874" s="8" t="s">
        <v>3564</v>
      </c>
      <c r="G874" s="8" t="s">
        <v>3494</v>
      </c>
      <c r="H874" s="8" t="s">
        <v>3479</v>
      </c>
      <c r="I874" s="9">
        <v>0.0</v>
      </c>
      <c r="J874" s="9">
        <v>4494.0</v>
      </c>
      <c r="K874" s="9">
        <v>4494.0</v>
      </c>
      <c r="L874" s="9">
        <v>4494.0</v>
      </c>
      <c r="M874" s="9">
        <v>2680.0</v>
      </c>
      <c r="N874" s="9">
        <v>190.0</v>
      </c>
      <c r="O874" s="9">
        <v>1624.0</v>
      </c>
      <c r="P874" s="8" t="s">
        <v>3480</v>
      </c>
      <c r="Q874" s="8"/>
      <c r="R874" s="8"/>
    </row>
    <row r="875">
      <c r="A875" s="8" t="s">
        <v>1200</v>
      </c>
      <c r="B875" s="8" t="s">
        <v>7994</v>
      </c>
      <c r="C875" s="8" t="s">
        <v>7995</v>
      </c>
      <c r="D875" s="9">
        <v>8.381016173E9</v>
      </c>
      <c r="E875" s="8" t="s">
        <v>7996</v>
      </c>
      <c r="F875" s="8" t="s">
        <v>3601</v>
      </c>
      <c r="G875" s="8" t="s">
        <v>7997</v>
      </c>
      <c r="H875" s="8" t="s">
        <v>3479</v>
      </c>
      <c r="I875" s="9">
        <v>0.0</v>
      </c>
      <c r="J875" s="9">
        <v>529.0</v>
      </c>
      <c r="K875" s="9">
        <v>529.0</v>
      </c>
      <c r="L875" s="9">
        <v>529.0</v>
      </c>
      <c r="M875" s="9">
        <v>80.0</v>
      </c>
      <c r="N875" s="9">
        <v>0.0</v>
      </c>
      <c r="O875" s="9">
        <v>449.0</v>
      </c>
      <c r="P875" s="8" t="s">
        <v>3480</v>
      </c>
      <c r="Q875" s="8" t="s">
        <v>7998</v>
      </c>
      <c r="R875" s="8" t="s">
        <v>7999</v>
      </c>
    </row>
    <row r="876">
      <c r="A876" s="8" t="s">
        <v>939</v>
      </c>
      <c r="B876" s="8" t="s">
        <v>8000</v>
      </c>
      <c r="C876" s="8" t="s">
        <v>8001</v>
      </c>
      <c r="D876" s="9">
        <v>8.806713737E9</v>
      </c>
      <c r="E876" s="8" t="s">
        <v>8002</v>
      </c>
      <c r="F876" s="8" t="s">
        <v>3601</v>
      </c>
      <c r="G876" s="8" t="s">
        <v>8003</v>
      </c>
      <c r="H876" s="8" t="s">
        <v>3479</v>
      </c>
      <c r="I876" s="9">
        <v>0.0</v>
      </c>
      <c r="J876" s="9">
        <v>1423.0</v>
      </c>
      <c r="K876" s="9">
        <v>1423.0</v>
      </c>
      <c r="L876" s="9">
        <v>1423.0</v>
      </c>
      <c r="M876" s="9">
        <v>235.0</v>
      </c>
      <c r="N876" s="9">
        <v>739.0</v>
      </c>
      <c r="O876" s="9">
        <v>449.0</v>
      </c>
      <c r="P876" s="8" t="s">
        <v>3480</v>
      </c>
      <c r="Q876" s="8" t="s">
        <v>8004</v>
      </c>
      <c r="R876" s="8" t="s">
        <v>8005</v>
      </c>
    </row>
    <row r="877">
      <c r="A877" s="8" t="s">
        <v>938</v>
      </c>
      <c r="B877" s="8" t="s">
        <v>8006</v>
      </c>
      <c r="C877" s="8" t="s">
        <v>8007</v>
      </c>
      <c r="D877" s="9">
        <v>9.937785388E9</v>
      </c>
      <c r="E877" s="8" t="s">
        <v>8008</v>
      </c>
      <c r="F877" s="8" t="s">
        <v>3908</v>
      </c>
      <c r="G877" s="8" t="s">
        <v>8009</v>
      </c>
      <c r="H877" s="8" t="s">
        <v>3479</v>
      </c>
      <c r="I877" s="9">
        <v>0.0</v>
      </c>
      <c r="J877" s="9">
        <v>3041.0</v>
      </c>
      <c r="K877" s="9">
        <v>3041.0</v>
      </c>
      <c r="L877" s="9">
        <v>3041.0</v>
      </c>
      <c r="M877" s="9">
        <v>1551.0</v>
      </c>
      <c r="N877" s="9">
        <v>840.0</v>
      </c>
      <c r="O877" s="9">
        <v>650.0</v>
      </c>
      <c r="P877" s="8" t="s">
        <v>3480</v>
      </c>
      <c r="Q877" s="8"/>
      <c r="R877" s="8"/>
    </row>
    <row r="878">
      <c r="A878" s="8" t="s">
        <v>941</v>
      </c>
      <c r="B878" s="8" t="s">
        <v>8010</v>
      </c>
      <c r="C878" s="8" t="s">
        <v>8011</v>
      </c>
      <c r="D878" s="9">
        <v>7.499176192E9</v>
      </c>
      <c r="E878" s="8" t="s">
        <v>8012</v>
      </c>
      <c r="F878" s="8" t="s">
        <v>3681</v>
      </c>
      <c r="G878" s="8" t="s">
        <v>8013</v>
      </c>
      <c r="H878" s="8" t="s">
        <v>3479</v>
      </c>
      <c r="I878" s="9">
        <v>0.0</v>
      </c>
      <c r="J878" s="9">
        <v>2722.0</v>
      </c>
      <c r="K878" s="9">
        <v>2722.0</v>
      </c>
      <c r="L878" s="9">
        <v>2722.0</v>
      </c>
      <c r="M878" s="9">
        <v>1158.0</v>
      </c>
      <c r="N878" s="9">
        <v>840.0</v>
      </c>
      <c r="O878" s="9">
        <v>724.0</v>
      </c>
      <c r="P878" s="8" t="s">
        <v>3480</v>
      </c>
      <c r="Q878" s="8" t="s">
        <v>8014</v>
      </c>
      <c r="R878" s="8" t="s">
        <v>8015</v>
      </c>
    </row>
    <row r="879">
      <c r="A879" s="8" t="s">
        <v>937</v>
      </c>
      <c r="B879" s="8" t="s">
        <v>8016</v>
      </c>
      <c r="C879" s="8" t="s">
        <v>6636</v>
      </c>
      <c r="D879" s="9">
        <v>6.263390446E9</v>
      </c>
      <c r="E879" s="8" t="s">
        <v>8017</v>
      </c>
      <c r="F879" s="8" t="s">
        <v>3653</v>
      </c>
      <c r="G879" s="8" t="s">
        <v>8018</v>
      </c>
      <c r="H879" s="8" t="s">
        <v>8019</v>
      </c>
      <c r="I879" s="9">
        <v>0.0</v>
      </c>
      <c r="J879" s="9">
        <v>3500.0</v>
      </c>
      <c r="K879" s="9">
        <v>3590.0</v>
      </c>
      <c r="L879" s="9">
        <v>3500.0</v>
      </c>
      <c r="M879" s="9">
        <v>2111.0</v>
      </c>
      <c r="N879" s="9">
        <v>905.0</v>
      </c>
      <c r="O879" s="9">
        <v>574.0</v>
      </c>
      <c r="P879" s="8" t="s">
        <v>3480</v>
      </c>
      <c r="Q879" s="8" t="s">
        <v>8020</v>
      </c>
      <c r="R879" s="8" t="s">
        <v>8021</v>
      </c>
    </row>
    <row r="880">
      <c r="A880" s="8" t="s">
        <v>942</v>
      </c>
      <c r="B880" s="8" t="s">
        <v>8022</v>
      </c>
      <c r="C880" s="8" t="s">
        <v>5035</v>
      </c>
      <c r="D880" s="9">
        <v>9.096948907E9</v>
      </c>
      <c r="E880" s="8" t="s">
        <v>5036</v>
      </c>
      <c r="F880" s="8" t="s">
        <v>3486</v>
      </c>
      <c r="G880" s="8" t="s">
        <v>3494</v>
      </c>
      <c r="H880" s="8" t="s">
        <v>3479</v>
      </c>
      <c r="I880" s="9">
        <v>0.0</v>
      </c>
      <c r="J880" s="9">
        <v>1268.0</v>
      </c>
      <c r="K880" s="9">
        <v>1268.0</v>
      </c>
      <c r="L880" s="9">
        <v>1268.0</v>
      </c>
      <c r="M880" s="9">
        <v>80.0</v>
      </c>
      <c r="N880" s="9">
        <v>739.0</v>
      </c>
      <c r="O880" s="9">
        <v>449.0</v>
      </c>
      <c r="P880" s="8" t="s">
        <v>3480</v>
      </c>
      <c r="Q880" s="8" t="s">
        <v>5037</v>
      </c>
      <c r="R880" s="8" t="s">
        <v>5038</v>
      </c>
    </row>
    <row r="881">
      <c r="A881" s="8" t="s">
        <v>1206</v>
      </c>
      <c r="B881" s="8" t="s">
        <v>8023</v>
      </c>
      <c r="C881" s="8" t="s">
        <v>8024</v>
      </c>
      <c r="D881" s="9">
        <v>7.620583643E9</v>
      </c>
      <c r="E881" s="8" t="s">
        <v>8025</v>
      </c>
      <c r="F881" s="8" t="s">
        <v>6118</v>
      </c>
      <c r="G881" s="8" t="s">
        <v>8026</v>
      </c>
      <c r="H881" s="8" t="s">
        <v>3479</v>
      </c>
      <c r="I881" s="9">
        <v>0.0</v>
      </c>
      <c r="J881" s="9">
        <v>1725.0</v>
      </c>
      <c r="K881" s="9">
        <v>1725.0</v>
      </c>
      <c r="L881" s="9">
        <v>1725.0</v>
      </c>
      <c r="M881" s="9">
        <v>1550.0</v>
      </c>
      <c r="N881" s="9">
        <v>0.0</v>
      </c>
      <c r="O881" s="9">
        <v>175.0</v>
      </c>
      <c r="P881" s="8" t="s">
        <v>3480</v>
      </c>
      <c r="Q881" s="8"/>
      <c r="R881" s="8"/>
    </row>
    <row r="882">
      <c r="A882" s="8" t="s">
        <v>1201</v>
      </c>
      <c r="B882" s="8" t="s">
        <v>8027</v>
      </c>
      <c r="C882" s="8" t="s">
        <v>8028</v>
      </c>
      <c r="D882" s="9">
        <v>9.960354792E9</v>
      </c>
      <c r="E882" s="8" t="s">
        <v>8029</v>
      </c>
      <c r="F882" s="8" t="s">
        <v>8030</v>
      </c>
      <c r="G882" s="8" t="s">
        <v>3966</v>
      </c>
      <c r="H882" s="8" t="s">
        <v>3479</v>
      </c>
      <c r="I882" s="9">
        <v>0.0</v>
      </c>
      <c r="J882" s="9">
        <v>1568.0</v>
      </c>
      <c r="K882" s="9">
        <v>1568.0</v>
      </c>
      <c r="L882" s="9">
        <v>1568.0</v>
      </c>
      <c r="M882" s="9">
        <v>380.0</v>
      </c>
      <c r="N882" s="9">
        <v>739.0</v>
      </c>
      <c r="O882" s="9">
        <v>449.0</v>
      </c>
      <c r="P882" s="8" t="s">
        <v>3480</v>
      </c>
      <c r="Q882" s="8"/>
      <c r="R882" s="8"/>
    </row>
    <row r="883">
      <c r="A883" s="8" t="s">
        <v>1234</v>
      </c>
      <c r="B883" s="8" t="s">
        <v>8031</v>
      </c>
      <c r="C883" s="8" t="s">
        <v>6807</v>
      </c>
      <c r="D883" s="9">
        <v>9.595183679E9</v>
      </c>
      <c r="E883" s="8" t="s">
        <v>6808</v>
      </c>
      <c r="F883" s="8" t="s">
        <v>3653</v>
      </c>
      <c r="G883" s="8" t="s">
        <v>8032</v>
      </c>
      <c r="H883" s="8" t="s">
        <v>3479</v>
      </c>
      <c r="I883" s="9">
        <v>0.0</v>
      </c>
      <c r="J883" s="9">
        <v>1732.0</v>
      </c>
      <c r="K883" s="9">
        <v>1732.0</v>
      </c>
      <c r="L883" s="9">
        <v>1732.0</v>
      </c>
      <c r="M883" s="9">
        <v>499.0</v>
      </c>
      <c r="N883" s="9">
        <v>784.0</v>
      </c>
      <c r="O883" s="9">
        <v>449.0</v>
      </c>
      <c r="P883" s="8" t="s">
        <v>3480</v>
      </c>
      <c r="Q883" s="8" t="s">
        <v>6810</v>
      </c>
      <c r="R883" s="8" t="s">
        <v>6811</v>
      </c>
    </row>
    <row r="884">
      <c r="A884" s="8" t="s">
        <v>1202</v>
      </c>
      <c r="B884" s="8" t="s">
        <v>8033</v>
      </c>
      <c r="C884" s="8" t="s">
        <v>8034</v>
      </c>
      <c r="D884" s="9">
        <v>8.446971705E9</v>
      </c>
      <c r="E884" s="8" t="s">
        <v>8035</v>
      </c>
      <c r="F884" s="8" t="s">
        <v>3821</v>
      </c>
      <c r="G884" s="8" t="s">
        <v>8036</v>
      </c>
      <c r="H884" s="8" t="s">
        <v>3479</v>
      </c>
      <c r="I884" s="9">
        <v>0.0</v>
      </c>
      <c r="J884" s="9">
        <v>1698.0</v>
      </c>
      <c r="K884" s="9">
        <v>1698.0</v>
      </c>
      <c r="L884" s="9">
        <v>1698.0</v>
      </c>
      <c r="M884" s="9">
        <v>435.0</v>
      </c>
      <c r="N884" s="9">
        <v>739.0</v>
      </c>
      <c r="O884" s="9">
        <v>524.0</v>
      </c>
      <c r="P884" s="8" t="s">
        <v>3480</v>
      </c>
      <c r="Q884" s="8"/>
      <c r="R884" s="8"/>
    </row>
    <row r="885">
      <c r="A885" s="8" t="s">
        <v>36</v>
      </c>
      <c r="B885" s="8" t="s">
        <v>8037</v>
      </c>
      <c r="C885" s="8" t="s">
        <v>8038</v>
      </c>
      <c r="D885" s="9">
        <v>9.930836131E9</v>
      </c>
      <c r="E885" s="8" t="s">
        <v>8039</v>
      </c>
      <c r="F885" s="8" t="s">
        <v>3601</v>
      </c>
      <c r="G885" s="8" t="s">
        <v>8040</v>
      </c>
      <c r="H885" s="8" t="s">
        <v>3479</v>
      </c>
      <c r="I885" s="9">
        <v>0.0</v>
      </c>
      <c r="J885" s="9">
        <v>6539.0</v>
      </c>
      <c r="K885" s="9">
        <v>6539.0</v>
      </c>
      <c r="L885" s="9">
        <v>6539.0</v>
      </c>
      <c r="M885" s="9">
        <v>2879.0</v>
      </c>
      <c r="N885" s="9">
        <v>510.0</v>
      </c>
      <c r="O885" s="9">
        <v>3150.0</v>
      </c>
      <c r="P885" s="8" t="s">
        <v>3519</v>
      </c>
      <c r="Q885" s="8"/>
      <c r="R885" s="8"/>
    </row>
    <row r="886">
      <c r="A886" s="8" t="s">
        <v>940</v>
      </c>
      <c r="B886" s="8" t="s">
        <v>8041</v>
      </c>
      <c r="C886" s="8" t="s">
        <v>8042</v>
      </c>
      <c r="D886" s="9">
        <v>8.888700017E9</v>
      </c>
      <c r="E886" s="8" t="s">
        <v>8043</v>
      </c>
      <c r="F886" s="8" t="s">
        <v>8044</v>
      </c>
      <c r="G886" s="8" t="s">
        <v>8045</v>
      </c>
      <c r="H886" s="8" t="s">
        <v>3479</v>
      </c>
      <c r="I886" s="9">
        <v>0.0</v>
      </c>
      <c r="J886" s="9">
        <v>1064.0</v>
      </c>
      <c r="K886" s="9">
        <v>1064.0</v>
      </c>
      <c r="L886" s="9">
        <v>1064.0</v>
      </c>
      <c r="M886" s="9">
        <v>615.0</v>
      </c>
      <c r="N886" s="9">
        <v>0.0</v>
      </c>
      <c r="O886" s="9">
        <v>449.0</v>
      </c>
      <c r="P886" s="8" t="s">
        <v>3480</v>
      </c>
      <c r="Q886" s="8"/>
      <c r="R886" s="8"/>
    </row>
    <row r="887">
      <c r="A887" s="8" t="s">
        <v>1203</v>
      </c>
      <c r="B887" s="8" t="s">
        <v>8046</v>
      </c>
      <c r="C887" s="8" t="s">
        <v>8047</v>
      </c>
      <c r="D887" s="9">
        <v>8.485002345E9</v>
      </c>
      <c r="E887" s="8" t="s">
        <v>8048</v>
      </c>
      <c r="F887" s="8" t="s">
        <v>3714</v>
      </c>
      <c r="G887" s="8" t="s">
        <v>8049</v>
      </c>
      <c r="H887" s="8" t="s">
        <v>3479</v>
      </c>
      <c r="I887" s="9">
        <v>0.0</v>
      </c>
      <c r="J887" s="9">
        <v>2474.0</v>
      </c>
      <c r="K887" s="9">
        <v>2474.0</v>
      </c>
      <c r="L887" s="9">
        <v>2474.0</v>
      </c>
      <c r="M887" s="9">
        <v>751.0</v>
      </c>
      <c r="N887" s="9">
        <v>849.0</v>
      </c>
      <c r="O887" s="9">
        <v>874.0</v>
      </c>
      <c r="P887" s="8" t="s">
        <v>3544</v>
      </c>
      <c r="Q887" s="8"/>
      <c r="R887" s="8"/>
    </row>
    <row r="888">
      <c r="A888" s="8" t="s">
        <v>1204</v>
      </c>
      <c r="B888" s="8" t="s">
        <v>8050</v>
      </c>
      <c r="C888" s="8" t="s">
        <v>8051</v>
      </c>
      <c r="D888" s="9">
        <v>9.55223588E9</v>
      </c>
      <c r="E888" s="8" t="s">
        <v>8052</v>
      </c>
      <c r="F888" s="8" t="s">
        <v>3498</v>
      </c>
      <c r="G888" s="8" t="s">
        <v>8053</v>
      </c>
      <c r="H888" s="8" t="s">
        <v>3479</v>
      </c>
      <c r="I888" s="9">
        <v>0.0</v>
      </c>
      <c r="J888" s="9">
        <v>1803.0</v>
      </c>
      <c r="K888" s="9">
        <v>1803.0</v>
      </c>
      <c r="L888" s="9">
        <v>1803.0</v>
      </c>
      <c r="M888" s="9">
        <v>540.0</v>
      </c>
      <c r="N888" s="9">
        <v>739.0</v>
      </c>
      <c r="O888" s="9">
        <v>524.0</v>
      </c>
      <c r="P888" s="8" t="s">
        <v>3519</v>
      </c>
      <c r="Q888" s="8"/>
      <c r="R888" s="8"/>
    </row>
    <row r="889">
      <c r="A889" s="8" t="s">
        <v>1236</v>
      </c>
      <c r="B889" s="8" t="s">
        <v>8054</v>
      </c>
      <c r="C889" s="8" t="s">
        <v>4320</v>
      </c>
      <c r="D889" s="9">
        <v>9.279005403E9</v>
      </c>
      <c r="E889" s="8" t="s">
        <v>8055</v>
      </c>
      <c r="F889" s="8" t="s">
        <v>5057</v>
      </c>
      <c r="G889" s="8" t="s">
        <v>8056</v>
      </c>
      <c r="H889" s="8" t="s">
        <v>3479</v>
      </c>
      <c r="I889" s="9">
        <v>0.0</v>
      </c>
      <c r="J889" s="9">
        <v>2068.0</v>
      </c>
      <c r="K889" s="9">
        <v>2068.0</v>
      </c>
      <c r="L889" s="9">
        <v>2068.0</v>
      </c>
      <c r="M889" s="9">
        <v>835.0</v>
      </c>
      <c r="N889" s="9">
        <v>784.0</v>
      </c>
      <c r="O889" s="9">
        <v>449.0</v>
      </c>
      <c r="P889" s="8" t="s">
        <v>3480</v>
      </c>
      <c r="Q889" s="8"/>
      <c r="R889" s="8"/>
    </row>
    <row r="890">
      <c r="A890" s="8" t="s">
        <v>1205</v>
      </c>
      <c r="B890" s="8" t="s">
        <v>8057</v>
      </c>
      <c r="C890" s="8" t="s">
        <v>8058</v>
      </c>
      <c r="D890" s="9">
        <v>9.353500905E9</v>
      </c>
      <c r="E890" s="8" t="s">
        <v>8059</v>
      </c>
      <c r="F890" s="8" t="s">
        <v>3601</v>
      </c>
      <c r="G890" s="8" t="s">
        <v>8060</v>
      </c>
      <c r="H890" s="8" t="s">
        <v>3479</v>
      </c>
      <c r="I890" s="9">
        <v>0.0</v>
      </c>
      <c r="J890" s="9">
        <v>1726.0</v>
      </c>
      <c r="K890" s="9">
        <v>1726.0</v>
      </c>
      <c r="L890" s="9">
        <v>1726.0</v>
      </c>
      <c r="M890" s="9">
        <v>538.0</v>
      </c>
      <c r="N890" s="9">
        <v>739.0</v>
      </c>
      <c r="O890" s="9">
        <v>449.0</v>
      </c>
      <c r="P890" s="8" t="s">
        <v>3480</v>
      </c>
      <c r="Q890" s="8" t="s">
        <v>8061</v>
      </c>
      <c r="R890" s="8" t="s">
        <v>8062</v>
      </c>
    </row>
    <row r="891">
      <c r="A891" s="8" t="s">
        <v>1235</v>
      </c>
      <c r="B891" s="8" t="s">
        <v>8063</v>
      </c>
      <c r="C891" s="8" t="s">
        <v>8064</v>
      </c>
      <c r="D891" s="9">
        <v>7.709881219E9</v>
      </c>
      <c r="E891" s="8" t="s">
        <v>8065</v>
      </c>
      <c r="F891" s="8" t="s">
        <v>3653</v>
      </c>
      <c r="G891" s="8" t="s">
        <v>8066</v>
      </c>
      <c r="H891" s="8" t="s">
        <v>3479</v>
      </c>
      <c r="I891" s="9">
        <v>0.0</v>
      </c>
      <c r="J891" s="9">
        <v>1234.0</v>
      </c>
      <c r="K891" s="9">
        <v>1234.0</v>
      </c>
      <c r="L891" s="9">
        <v>1234.0</v>
      </c>
      <c r="M891" s="9">
        <v>785.0</v>
      </c>
      <c r="N891" s="9">
        <v>0.0</v>
      </c>
      <c r="O891" s="9">
        <v>449.0</v>
      </c>
      <c r="P891" s="8" t="s">
        <v>3480</v>
      </c>
      <c r="Q891" s="8" t="s">
        <v>8067</v>
      </c>
      <c r="R891" s="8" t="s">
        <v>8068</v>
      </c>
    </row>
    <row r="892">
      <c r="A892" s="8" t="s">
        <v>1262</v>
      </c>
      <c r="B892" s="8" t="s">
        <v>8069</v>
      </c>
      <c r="C892" s="8" t="s">
        <v>8070</v>
      </c>
      <c r="D892" s="9">
        <v>8.446325827E9</v>
      </c>
      <c r="E892" s="8" t="s">
        <v>8071</v>
      </c>
      <c r="F892" s="8" t="s">
        <v>6744</v>
      </c>
      <c r="G892" s="8" t="s">
        <v>8072</v>
      </c>
      <c r="H892" s="8" t="s">
        <v>3479</v>
      </c>
      <c r="I892" s="9">
        <v>0.0</v>
      </c>
      <c r="J892" s="9">
        <v>1767.0</v>
      </c>
      <c r="K892" s="9">
        <v>1767.0</v>
      </c>
      <c r="L892" s="9">
        <v>1767.0</v>
      </c>
      <c r="M892" s="9">
        <v>393.0</v>
      </c>
      <c r="N892" s="9">
        <v>775.0</v>
      </c>
      <c r="O892" s="9">
        <v>599.0</v>
      </c>
      <c r="P892" s="8" t="s">
        <v>3480</v>
      </c>
      <c r="Q892" s="8"/>
      <c r="R892" s="8"/>
    </row>
    <row r="893">
      <c r="A893" s="8" t="s">
        <v>1261</v>
      </c>
      <c r="B893" s="8" t="s">
        <v>8073</v>
      </c>
      <c r="C893" s="8" t="s">
        <v>5925</v>
      </c>
      <c r="D893" s="9">
        <v>9.881399332E9</v>
      </c>
      <c r="E893" s="8" t="s">
        <v>5926</v>
      </c>
      <c r="F893" s="8" t="s">
        <v>3608</v>
      </c>
      <c r="G893" s="8" t="s">
        <v>5927</v>
      </c>
      <c r="H893" s="8" t="s">
        <v>3479</v>
      </c>
      <c r="I893" s="9">
        <v>0.0</v>
      </c>
      <c r="J893" s="9">
        <v>1550.0</v>
      </c>
      <c r="K893" s="9">
        <v>1550.0</v>
      </c>
      <c r="L893" s="9">
        <v>1550.0</v>
      </c>
      <c r="M893" s="9">
        <v>1550.0</v>
      </c>
      <c r="N893" s="9">
        <v>0.0</v>
      </c>
      <c r="O893" s="9">
        <v>0.0</v>
      </c>
      <c r="P893" s="8" t="s">
        <v>3480</v>
      </c>
      <c r="Q893" s="8" t="s">
        <v>5928</v>
      </c>
      <c r="R893" s="8" t="s">
        <v>5929</v>
      </c>
    </row>
    <row r="894">
      <c r="A894" s="8" t="s">
        <v>1263</v>
      </c>
      <c r="B894" s="8" t="s">
        <v>8074</v>
      </c>
      <c r="C894" s="8" t="s">
        <v>8075</v>
      </c>
      <c r="D894" s="9">
        <v>7.350902618E9</v>
      </c>
      <c r="E894" s="8" t="s">
        <v>8076</v>
      </c>
      <c r="F894" s="8" t="s">
        <v>3564</v>
      </c>
      <c r="G894" s="8" t="s">
        <v>3494</v>
      </c>
      <c r="H894" s="8" t="s">
        <v>8077</v>
      </c>
      <c r="I894" s="9">
        <v>0.0</v>
      </c>
      <c r="J894" s="9">
        <v>3300.0</v>
      </c>
      <c r="K894" s="9">
        <v>3423.0</v>
      </c>
      <c r="L894" s="9">
        <v>3300.0</v>
      </c>
      <c r="M894" s="9">
        <v>2022.0</v>
      </c>
      <c r="N894" s="9">
        <v>377.0</v>
      </c>
      <c r="O894" s="9">
        <v>1024.0</v>
      </c>
      <c r="P894" s="8" t="s">
        <v>3480</v>
      </c>
      <c r="Q894" s="8" t="s">
        <v>8078</v>
      </c>
      <c r="R894" s="8" t="s">
        <v>8079</v>
      </c>
    </row>
    <row r="895">
      <c r="A895" s="8" t="s">
        <v>1268</v>
      </c>
      <c r="B895" s="8" t="s">
        <v>8080</v>
      </c>
      <c r="C895" s="8" t="s">
        <v>6718</v>
      </c>
      <c r="D895" s="9">
        <v>9.067325322E9</v>
      </c>
      <c r="E895" s="8" t="s">
        <v>6719</v>
      </c>
      <c r="F895" s="8" t="s">
        <v>4252</v>
      </c>
      <c r="G895" s="8" t="s">
        <v>8081</v>
      </c>
      <c r="H895" s="8" t="s">
        <v>3479</v>
      </c>
      <c r="I895" s="9">
        <v>0.0</v>
      </c>
      <c r="J895" s="9">
        <v>679.0</v>
      </c>
      <c r="K895" s="9">
        <v>679.0</v>
      </c>
      <c r="L895" s="9">
        <v>679.0</v>
      </c>
      <c r="M895" s="9">
        <v>80.0</v>
      </c>
      <c r="N895" s="9">
        <v>0.0</v>
      </c>
      <c r="O895" s="9">
        <v>599.0</v>
      </c>
      <c r="P895" s="8" t="s">
        <v>3480</v>
      </c>
      <c r="Q895" s="8"/>
      <c r="R895" s="8"/>
    </row>
    <row r="896">
      <c r="A896" s="8" t="s">
        <v>1264</v>
      </c>
      <c r="B896" s="8" t="s">
        <v>8082</v>
      </c>
      <c r="C896" s="8" t="s">
        <v>8083</v>
      </c>
      <c r="D896" s="9">
        <v>9.923586566E9</v>
      </c>
      <c r="E896" s="8" t="s">
        <v>8084</v>
      </c>
      <c r="F896" s="8" t="s">
        <v>5923</v>
      </c>
      <c r="G896" s="8" t="s">
        <v>8085</v>
      </c>
      <c r="H896" s="8" t="s">
        <v>3479</v>
      </c>
      <c r="I896" s="9">
        <v>0.0</v>
      </c>
      <c r="J896" s="9">
        <v>2166.0</v>
      </c>
      <c r="K896" s="9">
        <v>2166.0</v>
      </c>
      <c r="L896" s="9">
        <v>2166.0</v>
      </c>
      <c r="M896" s="9">
        <v>903.0</v>
      </c>
      <c r="N896" s="9">
        <v>739.0</v>
      </c>
      <c r="O896" s="9">
        <v>524.0</v>
      </c>
      <c r="P896" s="8" t="s">
        <v>3519</v>
      </c>
      <c r="Q896" s="8"/>
      <c r="R896" s="8"/>
    </row>
    <row r="897">
      <c r="A897" s="8" t="s">
        <v>1280</v>
      </c>
      <c r="B897" s="8" t="s">
        <v>8086</v>
      </c>
      <c r="C897" s="8" t="s">
        <v>4421</v>
      </c>
      <c r="D897" s="9">
        <v>9.673758691E9</v>
      </c>
      <c r="E897" s="8" t="s">
        <v>4422</v>
      </c>
      <c r="F897" s="8" t="s">
        <v>3677</v>
      </c>
      <c r="G897" s="8" t="s">
        <v>3494</v>
      </c>
      <c r="H897" s="8" t="s">
        <v>3479</v>
      </c>
      <c r="I897" s="9">
        <v>0.0</v>
      </c>
      <c r="J897" s="9">
        <v>544.0</v>
      </c>
      <c r="K897" s="9">
        <v>544.0</v>
      </c>
      <c r="L897" s="9">
        <v>544.0</v>
      </c>
      <c r="M897" s="9">
        <v>444.0</v>
      </c>
      <c r="N897" s="9">
        <v>0.0</v>
      </c>
      <c r="O897" s="9">
        <v>100.0</v>
      </c>
      <c r="P897" s="8" t="s">
        <v>3480</v>
      </c>
      <c r="Q897" s="8" t="s">
        <v>4425</v>
      </c>
      <c r="R897" s="8" t="s">
        <v>4426</v>
      </c>
    </row>
    <row r="898">
      <c r="A898" s="8" t="s">
        <v>1265</v>
      </c>
      <c r="B898" s="8" t="s">
        <v>8087</v>
      </c>
      <c r="C898" s="8" t="s">
        <v>8088</v>
      </c>
      <c r="D898" s="9">
        <v>9.172706338E9</v>
      </c>
      <c r="E898" s="8" t="s">
        <v>8089</v>
      </c>
      <c r="F898" s="8" t="s">
        <v>3564</v>
      </c>
      <c r="G898" s="8" t="s">
        <v>8090</v>
      </c>
      <c r="H898" s="8" t="s">
        <v>3479</v>
      </c>
      <c r="I898" s="9">
        <v>0.0</v>
      </c>
      <c r="J898" s="9">
        <v>4046.0</v>
      </c>
      <c r="K898" s="9">
        <v>4046.0</v>
      </c>
      <c r="L898" s="9">
        <v>4046.0</v>
      </c>
      <c r="M898" s="9">
        <v>2595.0</v>
      </c>
      <c r="N898" s="9">
        <v>377.0</v>
      </c>
      <c r="O898" s="9">
        <v>1074.0</v>
      </c>
      <c r="P898" s="8" t="s">
        <v>3480</v>
      </c>
      <c r="Q898" s="8"/>
      <c r="R898" s="8"/>
    </row>
    <row r="899">
      <c r="A899" s="8" t="s">
        <v>1269</v>
      </c>
      <c r="B899" s="8" t="s">
        <v>8091</v>
      </c>
      <c r="C899" s="8" t="s">
        <v>8092</v>
      </c>
      <c r="D899" s="9">
        <v>8.308350648E9</v>
      </c>
      <c r="E899" s="8" t="s">
        <v>8093</v>
      </c>
      <c r="F899" s="8" t="s">
        <v>3828</v>
      </c>
      <c r="G899" s="8" t="s">
        <v>8094</v>
      </c>
      <c r="H899" s="8" t="s">
        <v>3479</v>
      </c>
      <c r="I899" s="9">
        <v>0.0</v>
      </c>
      <c r="J899" s="9">
        <v>1771.0</v>
      </c>
      <c r="K899" s="9">
        <v>1771.0</v>
      </c>
      <c r="L899" s="9">
        <v>1771.0</v>
      </c>
      <c r="M899" s="9">
        <v>458.0</v>
      </c>
      <c r="N899" s="9">
        <v>784.0</v>
      </c>
      <c r="O899" s="9">
        <v>529.0</v>
      </c>
      <c r="P899" s="8" t="s">
        <v>3480</v>
      </c>
      <c r="Q899" s="8" t="s">
        <v>8095</v>
      </c>
      <c r="R899" s="8" t="s">
        <v>8096</v>
      </c>
    </row>
    <row r="900">
      <c r="A900" s="8" t="s">
        <v>1266</v>
      </c>
      <c r="B900" s="8" t="s">
        <v>8097</v>
      </c>
      <c r="C900" s="8" t="s">
        <v>8098</v>
      </c>
      <c r="D900" s="9">
        <v>9.764062658E9</v>
      </c>
      <c r="E900" s="8" t="s">
        <v>8099</v>
      </c>
      <c r="F900" s="8" t="s">
        <v>3550</v>
      </c>
      <c r="G900" s="8" t="s">
        <v>8100</v>
      </c>
      <c r="H900" s="8" t="s">
        <v>3479</v>
      </c>
      <c r="I900" s="9">
        <v>0.0</v>
      </c>
      <c r="J900" s="9">
        <v>1808.0</v>
      </c>
      <c r="K900" s="9">
        <v>1808.0</v>
      </c>
      <c r="L900" s="9">
        <v>1808.0</v>
      </c>
      <c r="M900" s="9">
        <v>620.0</v>
      </c>
      <c r="N900" s="9">
        <v>739.0</v>
      </c>
      <c r="O900" s="9">
        <v>449.0</v>
      </c>
      <c r="P900" s="8" t="s">
        <v>3480</v>
      </c>
      <c r="Q900" s="8" t="s">
        <v>8101</v>
      </c>
      <c r="R900" s="8" t="s">
        <v>8102</v>
      </c>
    </row>
    <row r="901">
      <c r="A901" s="8" t="s">
        <v>1260</v>
      </c>
      <c r="B901" s="8" t="s">
        <v>8103</v>
      </c>
      <c r="C901" s="8" t="s">
        <v>5127</v>
      </c>
      <c r="D901" s="9">
        <v>8.805349053E9</v>
      </c>
      <c r="E901" s="8" t="s">
        <v>8104</v>
      </c>
      <c r="F901" s="8" t="s">
        <v>4836</v>
      </c>
      <c r="G901" s="8" t="s">
        <v>8105</v>
      </c>
      <c r="H901" s="8" t="s">
        <v>3479</v>
      </c>
      <c r="I901" s="9">
        <v>0.0</v>
      </c>
      <c r="J901" s="9">
        <v>1231.0</v>
      </c>
      <c r="K901" s="9">
        <v>1231.0</v>
      </c>
      <c r="L901" s="9">
        <v>1231.0</v>
      </c>
      <c r="M901" s="9">
        <v>981.0</v>
      </c>
      <c r="N901" s="9">
        <v>0.0</v>
      </c>
      <c r="O901" s="9">
        <v>250.0</v>
      </c>
      <c r="P901" s="8" t="s">
        <v>3480</v>
      </c>
      <c r="Q901" s="8" t="s">
        <v>8106</v>
      </c>
      <c r="R901" s="8"/>
    </row>
    <row r="902">
      <c r="A902" s="8" t="s">
        <v>1294</v>
      </c>
      <c r="B902" s="8" t="s">
        <v>8107</v>
      </c>
      <c r="C902" s="8" t="s">
        <v>5101</v>
      </c>
      <c r="D902" s="9">
        <v>8.796407968E9</v>
      </c>
      <c r="E902" s="8" t="s">
        <v>8108</v>
      </c>
      <c r="F902" s="8" t="s">
        <v>3608</v>
      </c>
      <c r="G902" s="8" t="s">
        <v>8109</v>
      </c>
      <c r="H902" s="8" t="s">
        <v>3479</v>
      </c>
      <c r="I902" s="9">
        <v>0.0</v>
      </c>
      <c r="J902" s="9">
        <v>1268.0</v>
      </c>
      <c r="K902" s="9">
        <v>1268.0</v>
      </c>
      <c r="L902" s="9">
        <v>1268.0</v>
      </c>
      <c r="M902" s="9">
        <v>80.0</v>
      </c>
      <c r="N902" s="9">
        <v>739.0</v>
      </c>
      <c r="O902" s="9">
        <v>449.0</v>
      </c>
      <c r="P902" s="8" t="s">
        <v>3480</v>
      </c>
      <c r="Q902" s="8" t="s">
        <v>8110</v>
      </c>
      <c r="R902" s="8" t="s">
        <v>8111</v>
      </c>
    </row>
    <row r="903">
      <c r="A903" s="8" t="s">
        <v>1292</v>
      </c>
      <c r="B903" s="8" t="s">
        <v>8112</v>
      </c>
      <c r="C903" s="8" t="s">
        <v>8113</v>
      </c>
      <c r="D903" s="9">
        <v>8.446092999E9</v>
      </c>
      <c r="E903" s="8" t="s">
        <v>8114</v>
      </c>
      <c r="F903" s="8" t="s">
        <v>5301</v>
      </c>
      <c r="G903" s="8" t="s">
        <v>8115</v>
      </c>
      <c r="H903" s="8" t="s">
        <v>3479</v>
      </c>
      <c r="I903" s="9">
        <v>0.0</v>
      </c>
      <c r="J903" s="9">
        <v>1523.0</v>
      </c>
      <c r="K903" s="9">
        <v>1523.0</v>
      </c>
      <c r="L903" s="9">
        <v>1523.0</v>
      </c>
      <c r="M903" s="9">
        <v>584.0</v>
      </c>
      <c r="N903" s="9">
        <v>190.0</v>
      </c>
      <c r="O903" s="9">
        <v>749.0</v>
      </c>
      <c r="P903" s="8" t="s">
        <v>3519</v>
      </c>
      <c r="Q903" s="8" t="s">
        <v>8116</v>
      </c>
      <c r="R903" s="8"/>
    </row>
    <row r="904">
      <c r="A904" s="8" t="s">
        <v>1295</v>
      </c>
      <c r="B904" s="8" t="s">
        <v>8117</v>
      </c>
      <c r="C904" s="8" t="s">
        <v>8118</v>
      </c>
      <c r="D904" s="9">
        <v>7.069956654E9</v>
      </c>
      <c r="E904" s="8" t="s">
        <v>8119</v>
      </c>
      <c r="F904" s="8" t="s">
        <v>3594</v>
      </c>
      <c r="G904" s="8" t="s">
        <v>3494</v>
      </c>
      <c r="H904" s="8" t="s">
        <v>8120</v>
      </c>
      <c r="I904" s="9">
        <v>0.0</v>
      </c>
      <c r="J904" s="9">
        <v>0.0</v>
      </c>
      <c r="K904" s="9">
        <v>21823.0</v>
      </c>
      <c r="L904" s="9">
        <v>21250.0</v>
      </c>
      <c r="M904" s="9">
        <v>14373.0</v>
      </c>
      <c r="N904" s="9">
        <v>0.0</v>
      </c>
      <c r="O904" s="9">
        <v>7450.0</v>
      </c>
      <c r="P904" s="8" t="s">
        <v>3480</v>
      </c>
      <c r="Q904" s="8" t="s">
        <v>8121</v>
      </c>
      <c r="R904" s="8"/>
    </row>
    <row r="905">
      <c r="A905" s="8" t="s">
        <v>222</v>
      </c>
      <c r="B905" s="8" t="s">
        <v>8122</v>
      </c>
      <c r="C905" s="8" t="s">
        <v>6981</v>
      </c>
      <c r="D905" s="9">
        <v>9.890022157E9</v>
      </c>
      <c r="E905" s="8" t="s">
        <v>6982</v>
      </c>
      <c r="F905" s="8" t="s">
        <v>6983</v>
      </c>
      <c r="G905" s="8" t="s">
        <v>8123</v>
      </c>
      <c r="H905" s="8" t="s">
        <v>3479</v>
      </c>
      <c r="I905" s="9">
        <v>0.0</v>
      </c>
      <c r="J905" s="9">
        <v>1022.0</v>
      </c>
      <c r="K905" s="9">
        <v>1022.0</v>
      </c>
      <c r="L905" s="9">
        <v>1022.0</v>
      </c>
      <c r="M905" s="9">
        <v>83.0</v>
      </c>
      <c r="N905" s="9">
        <v>190.0</v>
      </c>
      <c r="O905" s="9">
        <v>749.0</v>
      </c>
      <c r="P905" s="8" t="s">
        <v>3480</v>
      </c>
      <c r="Q905" s="8" t="s">
        <v>6985</v>
      </c>
      <c r="R905" s="8" t="s">
        <v>6986</v>
      </c>
    </row>
    <row r="906">
      <c r="A906" s="8" t="s">
        <v>1293</v>
      </c>
      <c r="B906" s="8" t="s">
        <v>8124</v>
      </c>
      <c r="C906" s="8" t="s">
        <v>8125</v>
      </c>
      <c r="D906" s="9">
        <v>7.588190236E9</v>
      </c>
      <c r="E906" s="8" t="s">
        <v>8126</v>
      </c>
      <c r="F906" s="8" t="s">
        <v>6968</v>
      </c>
      <c r="G906" s="8" t="s">
        <v>8127</v>
      </c>
      <c r="H906" s="8" t="s">
        <v>3479</v>
      </c>
      <c r="I906" s="9">
        <v>0.0</v>
      </c>
      <c r="J906" s="9">
        <v>1901.0</v>
      </c>
      <c r="K906" s="9">
        <v>1901.0</v>
      </c>
      <c r="L906" s="9">
        <v>1901.0</v>
      </c>
      <c r="M906" s="9">
        <v>518.0</v>
      </c>
      <c r="N906" s="9">
        <v>784.0</v>
      </c>
      <c r="O906" s="9">
        <v>599.0</v>
      </c>
      <c r="P906" s="8" t="s">
        <v>3480</v>
      </c>
      <c r="Q906" s="8" t="s">
        <v>8128</v>
      </c>
      <c r="R906" s="8" t="s">
        <v>8129</v>
      </c>
    </row>
    <row r="907">
      <c r="A907" s="8" t="s">
        <v>1304</v>
      </c>
      <c r="B907" s="8" t="s">
        <v>8130</v>
      </c>
      <c r="C907" s="8" t="s">
        <v>3844</v>
      </c>
      <c r="D907" s="9">
        <v>7.709502465E9</v>
      </c>
      <c r="E907" s="8" t="s">
        <v>8131</v>
      </c>
      <c r="F907" s="8" t="s">
        <v>4454</v>
      </c>
      <c r="G907" s="8" t="s">
        <v>8132</v>
      </c>
      <c r="H907" s="8" t="s">
        <v>3479</v>
      </c>
      <c r="I907" s="9">
        <v>0.0</v>
      </c>
      <c r="J907" s="9">
        <v>2184.0</v>
      </c>
      <c r="K907" s="9">
        <v>2184.0</v>
      </c>
      <c r="L907" s="9">
        <v>2184.0</v>
      </c>
      <c r="M907" s="9">
        <v>621.0</v>
      </c>
      <c r="N907" s="9">
        <v>739.0</v>
      </c>
      <c r="O907" s="9">
        <v>824.0</v>
      </c>
      <c r="P907" s="8" t="s">
        <v>3480</v>
      </c>
      <c r="Q907" s="8"/>
      <c r="R907" s="8"/>
    </row>
    <row r="908">
      <c r="A908" s="8" t="s">
        <v>1297</v>
      </c>
      <c r="B908" s="8" t="s">
        <v>8133</v>
      </c>
      <c r="C908" s="8" t="s">
        <v>4237</v>
      </c>
      <c r="D908" s="9">
        <v>9.167426875E9</v>
      </c>
      <c r="E908" s="8" t="s">
        <v>4238</v>
      </c>
      <c r="F908" s="8" t="s">
        <v>4239</v>
      </c>
      <c r="G908" s="8" t="s">
        <v>8134</v>
      </c>
      <c r="H908" s="8" t="s">
        <v>3479</v>
      </c>
      <c r="I908" s="9">
        <v>0.0</v>
      </c>
      <c r="J908" s="9">
        <v>1502.0</v>
      </c>
      <c r="K908" s="9">
        <v>1502.0</v>
      </c>
      <c r="L908" s="9">
        <v>1502.0</v>
      </c>
      <c r="M908" s="9">
        <v>438.0</v>
      </c>
      <c r="N908" s="9">
        <v>739.0</v>
      </c>
      <c r="O908" s="9">
        <v>325.0</v>
      </c>
      <c r="P908" s="8" t="s">
        <v>3480</v>
      </c>
      <c r="Q908" s="8" t="s">
        <v>4241</v>
      </c>
      <c r="R908" s="8" t="s">
        <v>4242</v>
      </c>
    </row>
    <row r="909">
      <c r="A909" s="8" t="s">
        <v>1296</v>
      </c>
      <c r="B909" s="8" t="s">
        <v>8135</v>
      </c>
      <c r="C909" s="8" t="s">
        <v>8136</v>
      </c>
      <c r="D909" s="9">
        <v>7.588943265E9</v>
      </c>
      <c r="E909" s="8" t="s">
        <v>8137</v>
      </c>
      <c r="F909" s="8" t="s">
        <v>3608</v>
      </c>
      <c r="G909" s="8" t="s">
        <v>8138</v>
      </c>
      <c r="H909" s="8" t="s">
        <v>3479</v>
      </c>
      <c r="I909" s="9">
        <v>0.0</v>
      </c>
      <c r="J909" s="9">
        <v>1596.0</v>
      </c>
      <c r="K909" s="9">
        <v>1596.0</v>
      </c>
      <c r="L909" s="9">
        <v>1596.0</v>
      </c>
      <c r="M909" s="9">
        <v>408.0</v>
      </c>
      <c r="N909" s="9">
        <v>739.0</v>
      </c>
      <c r="O909" s="9">
        <v>449.0</v>
      </c>
      <c r="P909" s="8" t="s">
        <v>3480</v>
      </c>
      <c r="Q909" s="8" t="s">
        <v>8139</v>
      </c>
      <c r="R909" s="8" t="s">
        <v>8140</v>
      </c>
    </row>
    <row r="910">
      <c r="A910" s="8" t="s">
        <v>1298</v>
      </c>
      <c r="B910" s="8" t="s">
        <v>8141</v>
      </c>
      <c r="C910" s="8" t="s">
        <v>8142</v>
      </c>
      <c r="D910" s="9">
        <v>9.403900847E9</v>
      </c>
      <c r="E910" s="8" t="s">
        <v>8143</v>
      </c>
      <c r="F910" s="8" t="s">
        <v>3977</v>
      </c>
      <c r="G910" s="8" t="s">
        <v>8144</v>
      </c>
      <c r="H910" s="8" t="s">
        <v>3479</v>
      </c>
      <c r="I910" s="9">
        <v>0.0</v>
      </c>
      <c r="J910" s="9">
        <v>1579.0</v>
      </c>
      <c r="K910" s="9">
        <v>1579.0</v>
      </c>
      <c r="L910" s="9">
        <v>1579.0</v>
      </c>
      <c r="M910" s="9">
        <v>400.0</v>
      </c>
      <c r="N910" s="9">
        <v>730.0</v>
      </c>
      <c r="O910" s="9">
        <v>449.0</v>
      </c>
      <c r="P910" s="8" t="s">
        <v>3544</v>
      </c>
      <c r="Q910" s="8" t="s">
        <v>8145</v>
      </c>
      <c r="R910" s="8" t="s">
        <v>8146</v>
      </c>
    </row>
    <row r="911">
      <c r="A911" s="8" t="s">
        <v>1307</v>
      </c>
      <c r="B911" s="8" t="s">
        <v>8147</v>
      </c>
      <c r="C911" s="8" t="s">
        <v>8148</v>
      </c>
      <c r="D911" s="9">
        <v>8.623871502E9</v>
      </c>
      <c r="E911" s="8" t="s">
        <v>8149</v>
      </c>
      <c r="F911" s="8" t="s">
        <v>3493</v>
      </c>
      <c r="G911" s="8" t="s">
        <v>8150</v>
      </c>
      <c r="H911" s="8" t="s">
        <v>3479</v>
      </c>
      <c r="I911" s="9">
        <v>0.0</v>
      </c>
      <c r="J911" s="9">
        <v>2208.0</v>
      </c>
      <c r="K911" s="9">
        <v>2208.0</v>
      </c>
      <c r="L911" s="9">
        <v>2208.0</v>
      </c>
      <c r="M911" s="9">
        <v>625.0</v>
      </c>
      <c r="N911" s="9">
        <v>784.0</v>
      </c>
      <c r="O911" s="9">
        <v>799.0</v>
      </c>
      <c r="P911" s="8" t="s">
        <v>3480</v>
      </c>
      <c r="Q911" s="8" t="s">
        <v>8151</v>
      </c>
      <c r="R911" s="8" t="s">
        <v>8152</v>
      </c>
    </row>
    <row r="912">
      <c r="A912" s="8" t="s">
        <v>1308</v>
      </c>
      <c r="B912" s="8" t="s">
        <v>8153</v>
      </c>
      <c r="C912" s="8" t="s">
        <v>8154</v>
      </c>
      <c r="D912" s="9">
        <v>8.308822448E9</v>
      </c>
      <c r="E912" s="8" t="s">
        <v>8155</v>
      </c>
      <c r="F912" s="8" t="s">
        <v>3550</v>
      </c>
      <c r="G912" s="8" t="s">
        <v>8156</v>
      </c>
      <c r="H912" s="8" t="s">
        <v>3479</v>
      </c>
      <c r="I912" s="9">
        <v>0.0</v>
      </c>
      <c r="J912" s="9">
        <v>1294.0</v>
      </c>
      <c r="K912" s="9">
        <v>1294.0</v>
      </c>
      <c r="L912" s="9">
        <v>1294.0</v>
      </c>
      <c r="M912" s="9">
        <v>200.0</v>
      </c>
      <c r="N912" s="9">
        <v>645.0</v>
      </c>
      <c r="O912" s="9">
        <v>449.0</v>
      </c>
      <c r="P912" s="8" t="s">
        <v>3480</v>
      </c>
      <c r="Q912" s="8" t="s">
        <v>8157</v>
      </c>
      <c r="R912" s="8" t="s">
        <v>8158</v>
      </c>
    </row>
    <row r="913">
      <c r="A913" s="8" t="s">
        <v>1305</v>
      </c>
      <c r="B913" s="8" t="s">
        <v>8159</v>
      </c>
      <c r="C913" s="8" t="s">
        <v>6389</v>
      </c>
      <c r="D913" s="9">
        <v>9.049987787E9</v>
      </c>
      <c r="E913" s="8" t="s">
        <v>8160</v>
      </c>
      <c r="F913" s="8" t="s">
        <v>3498</v>
      </c>
      <c r="G913" s="8" t="s">
        <v>8161</v>
      </c>
      <c r="H913" s="8" t="s">
        <v>3479</v>
      </c>
      <c r="I913" s="9">
        <v>0.0</v>
      </c>
      <c r="J913" s="9">
        <v>1508.0</v>
      </c>
      <c r="K913" s="9">
        <v>1508.0</v>
      </c>
      <c r="L913" s="9">
        <v>1508.0</v>
      </c>
      <c r="M913" s="9">
        <v>245.0</v>
      </c>
      <c r="N913" s="9">
        <v>739.0</v>
      </c>
      <c r="O913" s="9">
        <v>524.0</v>
      </c>
      <c r="P913" s="8" t="s">
        <v>3480</v>
      </c>
      <c r="Q913" s="8"/>
      <c r="R913" s="8"/>
    </row>
    <row r="914">
      <c r="A914" s="8" t="s">
        <v>1310</v>
      </c>
      <c r="B914" s="8" t="s">
        <v>8162</v>
      </c>
      <c r="C914" s="8" t="s">
        <v>8163</v>
      </c>
      <c r="D914" s="9">
        <v>7.588663598E9</v>
      </c>
      <c r="E914" s="8" t="s">
        <v>8164</v>
      </c>
      <c r="F914" s="8" t="s">
        <v>4507</v>
      </c>
      <c r="G914" s="8" t="s">
        <v>8165</v>
      </c>
      <c r="H914" s="8" t="s">
        <v>3479</v>
      </c>
      <c r="I914" s="9">
        <v>0.0</v>
      </c>
      <c r="J914" s="9">
        <v>4630.0</v>
      </c>
      <c r="K914" s="9">
        <v>4630.0</v>
      </c>
      <c r="L914" s="9">
        <v>4630.0</v>
      </c>
      <c r="M914" s="9">
        <v>1603.0</v>
      </c>
      <c r="N914" s="9">
        <v>1528.0</v>
      </c>
      <c r="O914" s="9">
        <v>1499.0</v>
      </c>
      <c r="P914" s="8" t="s">
        <v>3480</v>
      </c>
      <c r="Q914" s="8"/>
      <c r="R914" s="8"/>
    </row>
    <row r="915">
      <c r="A915" s="8" t="s">
        <v>1309</v>
      </c>
      <c r="B915" s="8" t="s">
        <v>8166</v>
      </c>
      <c r="C915" s="8" t="s">
        <v>8167</v>
      </c>
      <c r="D915" s="9">
        <v>9.673797573E9</v>
      </c>
      <c r="E915" s="8" t="s">
        <v>8168</v>
      </c>
      <c r="F915" s="8" t="s">
        <v>8169</v>
      </c>
      <c r="G915" s="8" t="s">
        <v>8170</v>
      </c>
      <c r="H915" s="8" t="s">
        <v>3479</v>
      </c>
      <c r="I915" s="9">
        <v>0.0</v>
      </c>
      <c r="J915" s="9">
        <v>782.0</v>
      </c>
      <c r="K915" s="9">
        <v>782.0</v>
      </c>
      <c r="L915" s="9">
        <v>782.0</v>
      </c>
      <c r="M915" s="9">
        <v>333.0</v>
      </c>
      <c r="N915" s="9">
        <v>0.0</v>
      </c>
      <c r="O915" s="9">
        <v>449.0</v>
      </c>
      <c r="P915" s="8" t="s">
        <v>3480</v>
      </c>
      <c r="Q915" s="8"/>
      <c r="R915" s="8"/>
    </row>
    <row r="916">
      <c r="A916" s="8" t="s">
        <v>1270</v>
      </c>
      <c r="B916" s="8" t="s">
        <v>8171</v>
      </c>
      <c r="C916" s="8" t="s">
        <v>8172</v>
      </c>
      <c r="D916" s="9">
        <v>8.275418288E9</v>
      </c>
      <c r="E916" s="8" t="s">
        <v>8173</v>
      </c>
      <c r="F916" s="8" t="s">
        <v>3828</v>
      </c>
      <c r="G916" s="8" t="s">
        <v>8174</v>
      </c>
      <c r="H916" s="8" t="s">
        <v>3479</v>
      </c>
      <c r="I916" s="9">
        <v>0.0</v>
      </c>
      <c r="J916" s="9">
        <v>2394.0</v>
      </c>
      <c r="K916" s="9">
        <v>2394.0</v>
      </c>
      <c r="L916" s="9">
        <v>2394.0</v>
      </c>
      <c r="M916" s="9">
        <v>821.0</v>
      </c>
      <c r="N916" s="9">
        <v>849.0</v>
      </c>
      <c r="O916" s="9">
        <v>724.0</v>
      </c>
      <c r="P916" s="8" t="s">
        <v>3480</v>
      </c>
      <c r="Q916" s="8" t="s">
        <v>8175</v>
      </c>
      <c r="R916" s="8" t="s">
        <v>8176</v>
      </c>
    </row>
    <row r="917">
      <c r="A917" s="8" t="s">
        <v>1311</v>
      </c>
      <c r="B917" s="8" t="s">
        <v>8177</v>
      </c>
      <c r="C917" s="8" t="s">
        <v>8178</v>
      </c>
      <c r="D917" s="9">
        <v>9.987555184E9</v>
      </c>
      <c r="E917" s="8" t="s">
        <v>8179</v>
      </c>
      <c r="F917" s="8" t="s">
        <v>8180</v>
      </c>
      <c r="G917" s="8" t="s">
        <v>8181</v>
      </c>
      <c r="H917" s="8" t="s">
        <v>7486</v>
      </c>
      <c r="I917" s="9">
        <v>0.0</v>
      </c>
      <c r="J917" s="9">
        <v>1100.0</v>
      </c>
      <c r="K917" s="9">
        <v>1148.0</v>
      </c>
      <c r="L917" s="9">
        <v>1100.0</v>
      </c>
      <c r="M917" s="9">
        <v>843.0</v>
      </c>
      <c r="N917" s="9">
        <v>0.0</v>
      </c>
      <c r="O917" s="9">
        <v>305.0</v>
      </c>
      <c r="P917" s="8" t="s">
        <v>3480</v>
      </c>
      <c r="Q917" s="8"/>
      <c r="R917" s="8"/>
    </row>
    <row r="918">
      <c r="A918" s="8" t="s">
        <v>1299</v>
      </c>
      <c r="B918" s="8" t="s">
        <v>8182</v>
      </c>
      <c r="C918" s="8" t="s">
        <v>8183</v>
      </c>
      <c r="D918" s="9">
        <v>7.478233936E9</v>
      </c>
      <c r="E918" s="8" t="s">
        <v>8184</v>
      </c>
      <c r="F918" s="8" t="s">
        <v>8185</v>
      </c>
      <c r="G918" s="8" t="s">
        <v>3494</v>
      </c>
      <c r="H918" s="8" t="s">
        <v>3479</v>
      </c>
      <c r="I918" s="9">
        <v>0.0</v>
      </c>
      <c r="J918" s="9">
        <v>9203.0</v>
      </c>
      <c r="K918" s="9">
        <v>12703.0</v>
      </c>
      <c r="L918" s="9">
        <v>12703.0</v>
      </c>
      <c r="M918" s="9">
        <v>9209.0</v>
      </c>
      <c r="N918" s="9">
        <v>594.0</v>
      </c>
      <c r="O918" s="9">
        <v>2900.0</v>
      </c>
      <c r="P918" s="8" t="s">
        <v>3480</v>
      </c>
      <c r="Q918" s="8" t="s">
        <v>8186</v>
      </c>
      <c r="R918" s="8" t="s">
        <v>8187</v>
      </c>
    </row>
    <row r="919">
      <c r="A919" s="8" t="s">
        <v>1315</v>
      </c>
      <c r="B919" s="8" t="s">
        <v>8188</v>
      </c>
      <c r="C919" s="8" t="s">
        <v>6086</v>
      </c>
      <c r="D919" s="9">
        <v>9.423424644E9</v>
      </c>
      <c r="E919" s="8" t="s">
        <v>8189</v>
      </c>
      <c r="F919" s="8" t="s">
        <v>3721</v>
      </c>
      <c r="G919" s="8" t="s">
        <v>8190</v>
      </c>
      <c r="H919" s="8" t="s">
        <v>3479</v>
      </c>
      <c r="I919" s="9">
        <v>0.0</v>
      </c>
      <c r="J919" s="9">
        <v>4058.0</v>
      </c>
      <c r="K919" s="9">
        <v>4058.0</v>
      </c>
      <c r="L919" s="9">
        <v>4058.0</v>
      </c>
      <c r="M919" s="9">
        <v>2704.0</v>
      </c>
      <c r="N919" s="9">
        <v>730.0</v>
      </c>
      <c r="O919" s="9">
        <v>624.0</v>
      </c>
      <c r="P919" s="8" t="s">
        <v>3480</v>
      </c>
      <c r="Q919" s="8"/>
      <c r="R919" s="8"/>
    </row>
    <row r="920">
      <c r="A920" s="8" t="s">
        <v>1312</v>
      </c>
      <c r="B920" s="8" t="s">
        <v>8191</v>
      </c>
      <c r="C920" s="8" t="s">
        <v>8192</v>
      </c>
      <c r="D920" s="9">
        <v>9.09609555E9</v>
      </c>
      <c r="E920" s="8" t="s">
        <v>8193</v>
      </c>
      <c r="F920" s="8" t="s">
        <v>3993</v>
      </c>
      <c r="G920" s="8" t="s">
        <v>8194</v>
      </c>
      <c r="H920" s="8" t="s">
        <v>3479</v>
      </c>
      <c r="I920" s="9">
        <v>0.0</v>
      </c>
      <c r="J920" s="9">
        <v>1679.0</v>
      </c>
      <c r="K920" s="9">
        <v>1679.0</v>
      </c>
      <c r="L920" s="9">
        <v>1679.0</v>
      </c>
      <c r="M920" s="9">
        <v>80.0</v>
      </c>
      <c r="N920" s="9">
        <v>900.0</v>
      </c>
      <c r="O920" s="9">
        <v>699.0</v>
      </c>
      <c r="P920" s="8" t="s">
        <v>3480</v>
      </c>
      <c r="Q920" s="8"/>
      <c r="R920" s="8"/>
    </row>
    <row r="921">
      <c r="A921" s="8" t="s">
        <v>1300</v>
      </c>
      <c r="B921" s="8" t="s">
        <v>8195</v>
      </c>
      <c r="C921" s="8" t="s">
        <v>8058</v>
      </c>
      <c r="D921" s="9">
        <v>9.353500905E9</v>
      </c>
      <c r="E921" s="8" t="s">
        <v>8059</v>
      </c>
      <c r="F921" s="8" t="s">
        <v>3601</v>
      </c>
      <c r="G921" s="8" t="s">
        <v>4036</v>
      </c>
      <c r="H921" s="8" t="s">
        <v>3479</v>
      </c>
      <c r="I921" s="9">
        <v>0.0</v>
      </c>
      <c r="J921" s="9">
        <v>350.0</v>
      </c>
      <c r="K921" s="9">
        <v>350.0</v>
      </c>
      <c r="L921" s="9">
        <v>350.0</v>
      </c>
      <c r="M921" s="9">
        <v>350.0</v>
      </c>
      <c r="N921" s="9">
        <v>0.0</v>
      </c>
      <c r="O921" s="9">
        <v>0.0</v>
      </c>
      <c r="P921" s="8" t="s">
        <v>3480</v>
      </c>
      <c r="Q921" s="8" t="s">
        <v>8061</v>
      </c>
      <c r="R921" s="8" t="s">
        <v>8062</v>
      </c>
    </row>
    <row r="922">
      <c r="A922" s="8" t="s">
        <v>1306</v>
      </c>
      <c r="B922" s="8" t="s">
        <v>8196</v>
      </c>
      <c r="C922" s="8" t="s">
        <v>8197</v>
      </c>
      <c r="D922" s="9">
        <v>9.921725353E9</v>
      </c>
      <c r="E922" s="8" t="s">
        <v>8198</v>
      </c>
      <c r="F922" s="8" t="s">
        <v>3828</v>
      </c>
      <c r="G922" s="8" t="s">
        <v>8199</v>
      </c>
      <c r="H922" s="8" t="s">
        <v>3479</v>
      </c>
      <c r="I922" s="9">
        <v>0.0</v>
      </c>
      <c r="J922" s="9">
        <v>1333.0</v>
      </c>
      <c r="K922" s="9">
        <v>1333.0</v>
      </c>
      <c r="L922" s="9">
        <v>1333.0</v>
      </c>
      <c r="M922" s="9">
        <v>100.0</v>
      </c>
      <c r="N922" s="9">
        <v>784.0</v>
      </c>
      <c r="O922" s="9">
        <v>449.0</v>
      </c>
      <c r="P922" s="8" t="s">
        <v>3480</v>
      </c>
      <c r="Q922" s="8" t="s">
        <v>8200</v>
      </c>
      <c r="R922" s="8" t="s">
        <v>8201</v>
      </c>
    </row>
    <row r="923">
      <c r="A923" s="8" t="s">
        <v>1272</v>
      </c>
      <c r="B923" s="8" t="s">
        <v>8202</v>
      </c>
      <c r="C923" s="8" t="s">
        <v>8203</v>
      </c>
      <c r="D923" s="9">
        <v>9.713192081E9</v>
      </c>
      <c r="E923" s="8" t="s">
        <v>8204</v>
      </c>
      <c r="F923" s="8" t="s">
        <v>3550</v>
      </c>
      <c r="G923" s="8" t="s">
        <v>8205</v>
      </c>
      <c r="H923" s="8" t="s">
        <v>3479</v>
      </c>
      <c r="I923" s="9">
        <v>0.0</v>
      </c>
      <c r="J923" s="9">
        <v>1259.0</v>
      </c>
      <c r="K923" s="9">
        <v>1259.0</v>
      </c>
      <c r="L923" s="9">
        <v>1259.0</v>
      </c>
      <c r="M923" s="9">
        <v>80.0</v>
      </c>
      <c r="N923" s="9">
        <v>730.0</v>
      </c>
      <c r="O923" s="9">
        <v>449.0</v>
      </c>
      <c r="P923" s="8" t="s">
        <v>3480</v>
      </c>
      <c r="Q923" s="8" t="s">
        <v>8206</v>
      </c>
      <c r="R923" s="8" t="s">
        <v>8207</v>
      </c>
    </row>
    <row r="924">
      <c r="A924" s="8" t="s">
        <v>1332</v>
      </c>
      <c r="B924" s="8" t="s">
        <v>8208</v>
      </c>
      <c r="C924" s="8" t="s">
        <v>8209</v>
      </c>
      <c r="D924" s="9">
        <v>8.97540778E9</v>
      </c>
      <c r="E924" s="8" t="s">
        <v>8210</v>
      </c>
      <c r="F924" s="8" t="s">
        <v>3768</v>
      </c>
      <c r="G924" s="8" t="s">
        <v>8211</v>
      </c>
      <c r="H924" s="8" t="s">
        <v>3479</v>
      </c>
      <c r="I924" s="9">
        <v>0.0</v>
      </c>
      <c r="J924" s="9">
        <v>2158.0</v>
      </c>
      <c r="K924" s="9">
        <v>2158.0</v>
      </c>
      <c r="L924" s="9">
        <v>2158.0</v>
      </c>
      <c r="M924" s="9">
        <v>585.0</v>
      </c>
      <c r="N924" s="9">
        <v>849.0</v>
      </c>
      <c r="O924" s="9">
        <v>724.0</v>
      </c>
      <c r="P924" s="8" t="s">
        <v>3544</v>
      </c>
      <c r="Q924" s="8" t="s">
        <v>8212</v>
      </c>
      <c r="R924" s="8" t="s">
        <v>8213</v>
      </c>
    </row>
    <row r="925">
      <c r="A925" s="8" t="s">
        <v>1274</v>
      </c>
      <c r="B925" s="8" t="s">
        <v>8214</v>
      </c>
      <c r="C925" s="8" t="s">
        <v>8215</v>
      </c>
      <c r="D925" s="9">
        <v>7.387094988E9</v>
      </c>
      <c r="E925" s="8" t="s">
        <v>8216</v>
      </c>
      <c r="F925" s="8" t="s">
        <v>3608</v>
      </c>
      <c r="G925" s="8" t="s">
        <v>8217</v>
      </c>
      <c r="H925" s="8" t="s">
        <v>3479</v>
      </c>
      <c r="I925" s="9">
        <v>0.0</v>
      </c>
      <c r="J925" s="9">
        <v>1412.0</v>
      </c>
      <c r="K925" s="9">
        <v>1412.0</v>
      </c>
      <c r="L925" s="9">
        <v>1412.0</v>
      </c>
      <c r="M925" s="9">
        <v>233.0</v>
      </c>
      <c r="N925" s="9">
        <v>730.0</v>
      </c>
      <c r="O925" s="9">
        <v>449.0</v>
      </c>
      <c r="P925" s="8" t="s">
        <v>3480</v>
      </c>
      <c r="Q925" s="8" t="s">
        <v>8218</v>
      </c>
      <c r="R925" s="8" t="s">
        <v>8219</v>
      </c>
    </row>
    <row r="926">
      <c r="A926" s="8" t="s">
        <v>1275</v>
      </c>
      <c r="B926" s="8" t="s">
        <v>8220</v>
      </c>
      <c r="C926" s="8" t="s">
        <v>8221</v>
      </c>
      <c r="D926" s="9">
        <v>9.657431142E9</v>
      </c>
      <c r="E926" s="8" t="s">
        <v>8222</v>
      </c>
      <c r="F926" s="8" t="s">
        <v>3594</v>
      </c>
      <c r="G926" s="8" t="s">
        <v>8223</v>
      </c>
      <c r="H926" s="8" t="s">
        <v>3479</v>
      </c>
      <c r="I926" s="9">
        <v>0.0</v>
      </c>
      <c r="J926" s="9">
        <v>1724.0</v>
      </c>
      <c r="K926" s="9">
        <v>1724.0</v>
      </c>
      <c r="L926" s="9">
        <v>1724.0</v>
      </c>
      <c r="M926" s="9">
        <v>470.0</v>
      </c>
      <c r="N926" s="9">
        <v>730.0</v>
      </c>
      <c r="O926" s="9">
        <v>524.0</v>
      </c>
      <c r="P926" s="8" t="s">
        <v>3480</v>
      </c>
      <c r="Q926" s="8"/>
      <c r="R926" s="8"/>
    </row>
    <row r="927">
      <c r="A927" s="8" t="s">
        <v>1313</v>
      </c>
      <c r="B927" s="8" t="s">
        <v>8224</v>
      </c>
      <c r="C927" s="8" t="s">
        <v>8225</v>
      </c>
      <c r="D927" s="9">
        <v>8.928398306E9</v>
      </c>
      <c r="E927" s="8" t="s">
        <v>8226</v>
      </c>
      <c r="F927" s="8" t="s">
        <v>4125</v>
      </c>
      <c r="G927" s="8" t="s">
        <v>8227</v>
      </c>
      <c r="H927" s="8" t="s">
        <v>3479</v>
      </c>
      <c r="I927" s="9">
        <v>0.0</v>
      </c>
      <c r="J927" s="9">
        <v>3863.0</v>
      </c>
      <c r="K927" s="9">
        <v>3863.0</v>
      </c>
      <c r="L927" s="9">
        <v>3863.0</v>
      </c>
      <c r="M927" s="9">
        <v>2240.0</v>
      </c>
      <c r="N927" s="9">
        <v>849.0</v>
      </c>
      <c r="O927" s="9">
        <v>774.0</v>
      </c>
      <c r="P927" s="8" t="s">
        <v>3480</v>
      </c>
      <c r="Q927" s="8"/>
      <c r="R927" s="8"/>
    </row>
    <row r="928">
      <c r="A928" s="8" t="s">
        <v>1273</v>
      </c>
      <c r="B928" s="8" t="s">
        <v>8228</v>
      </c>
      <c r="C928" s="8" t="s">
        <v>8229</v>
      </c>
      <c r="D928" s="9">
        <v>9.890335919E9</v>
      </c>
      <c r="E928" s="8" t="s">
        <v>8230</v>
      </c>
      <c r="F928" s="8" t="s">
        <v>8231</v>
      </c>
      <c r="G928" s="8" t="s">
        <v>8232</v>
      </c>
      <c r="H928" s="8" t="s">
        <v>3479</v>
      </c>
      <c r="I928" s="9">
        <v>0.0</v>
      </c>
      <c r="J928" s="9">
        <v>1679.0</v>
      </c>
      <c r="K928" s="9">
        <v>1679.0</v>
      </c>
      <c r="L928" s="9">
        <v>1679.0</v>
      </c>
      <c r="M928" s="9">
        <v>740.0</v>
      </c>
      <c r="N928" s="9">
        <v>190.0</v>
      </c>
      <c r="O928" s="9">
        <v>749.0</v>
      </c>
      <c r="P928" s="8" t="s">
        <v>3480</v>
      </c>
      <c r="Q928" s="8" t="s">
        <v>8233</v>
      </c>
      <c r="R928" s="8" t="s">
        <v>8234</v>
      </c>
    </row>
    <row r="929">
      <c r="A929" s="8" t="s">
        <v>1344</v>
      </c>
      <c r="B929" s="8" t="s">
        <v>8235</v>
      </c>
      <c r="C929" s="8" t="s">
        <v>8236</v>
      </c>
      <c r="D929" s="9">
        <v>9.822327439E9</v>
      </c>
      <c r="E929" s="8" t="s">
        <v>8237</v>
      </c>
      <c r="F929" s="8" t="s">
        <v>3615</v>
      </c>
      <c r="G929" s="8" t="s">
        <v>8238</v>
      </c>
      <c r="H929" s="8" t="s">
        <v>3479</v>
      </c>
      <c r="I929" s="9">
        <v>0.0</v>
      </c>
      <c r="J929" s="9">
        <v>1150.0</v>
      </c>
      <c r="K929" s="9">
        <v>1150.0</v>
      </c>
      <c r="L929" s="9">
        <v>1150.0</v>
      </c>
      <c r="M929" s="9">
        <v>1150.0</v>
      </c>
      <c r="N929" s="9">
        <v>0.0</v>
      </c>
      <c r="O929" s="9">
        <v>0.0</v>
      </c>
      <c r="P929" s="8" t="s">
        <v>3519</v>
      </c>
      <c r="Q929" s="8" t="s">
        <v>8239</v>
      </c>
      <c r="R929" s="8" t="s">
        <v>8240</v>
      </c>
    </row>
    <row r="930">
      <c r="A930" s="8" t="s">
        <v>1271</v>
      </c>
      <c r="B930" s="8" t="s">
        <v>8241</v>
      </c>
      <c r="C930" s="8" t="s">
        <v>5127</v>
      </c>
      <c r="D930" s="9">
        <v>9.130867248E9</v>
      </c>
      <c r="E930" s="8" t="s">
        <v>8242</v>
      </c>
      <c r="F930" s="8" t="s">
        <v>4093</v>
      </c>
      <c r="G930" s="8" t="s">
        <v>8243</v>
      </c>
      <c r="H930" s="8" t="s">
        <v>3479</v>
      </c>
      <c r="I930" s="9">
        <v>0.0</v>
      </c>
      <c r="J930" s="9">
        <v>1973.0</v>
      </c>
      <c r="K930" s="9">
        <v>1973.0</v>
      </c>
      <c r="L930" s="9">
        <v>1973.0</v>
      </c>
      <c r="M930" s="9">
        <v>590.0</v>
      </c>
      <c r="N930" s="9">
        <v>784.0</v>
      </c>
      <c r="O930" s="9">
        <v>599.0</v>
      </c>
      <c r="P930" s="8" t="s">
        <v>3480</v>
      </c>
      <c r="Q930" s="8" t="s">
        <v>8244</v>
      </c>
      <c r="R930" s="8" t="s">
        <v>8245</v>
      </c>
    </row>
    <row r="931">
      <c r="A931" s="8" t="s">
        <v>1314</v>
      </c>
      <c r="B931" s="8" t="s">
        <v>8246</v>
      </c>
      <c r="C931" s="8" t="s">
        <v>8247</v>
      </c>
      <c r="D931" s="9">
        <v>9.561323467E9</v>
      </c>
      <c r="E931" s="8" t="s">
        <v>8248</v>
      </c>
      <c r="F931" s="8" t="s">
        <v>5955</v>
      </c>
      <c r="G931" s="8" t="s">
        <v>8249</v>
      </c>
      <c r="H931" s="8" t="s">
        <v>3479</v>
      </c>
      <c r="I931" s="9">
        <v>0.0</v>
      </c>
      <c r="J931" s="9">
        <v>2244.0</v>
      </c>
      <c r="K931" s="9">
        <v>2244.0</v>
      </c>
      <c r="L931" s="9">
        <v>2244.0</v>
      </c>
      <c r="M931" s="9">
        <v>711.0</v>
      </c>
      <c r="N931" s="9">
        <v>659.0</v>
      </c>
      <c r="O931" s="9">
        <v>874.0</v>
      </c>
      <c r="P931" s="8" t="s">
        <v>3544</v>
      </c>
      <c r="Q931" s="8" t="s">
        <v>8250</v>
      </c>
      <c r="R931" s="8" t="s">
        <v>8251</v>
      </c>
    </row>
    <row r="932">
      <c r="A932" s="8" t="s">
        <v>1278</v>
      </c>
      <c r="B932" s="8" t="s">
        <v>8252</v>
      </c>
      <c r="C932" s="8" t="s">
        <v>3998</v>
      </c>
      <c r="D932" s="9">
        <v>6.200605115E9</v>
      </c>
      <c r="E932" s="8" t="s">
        <v>8253</v>
      </c>
      <c r="F932" s="8" t="s">
        <v>3601</v>
      </c>
      <c r="G932" s="8" t="s">
        <v>8254</v>
      </c>
      <c r="H932" s="8" t="s">
        <v>3479</v>
      </c>
      <c r="I932" s="9">
        <v>0.0</v>
      </c>
      <c r="J932" s="9">
        <v>1504.0</v>
      </c>
      <c r="K932" s="9">
        <v>1504.0</v>
      </c>
      <c r="L932" s="9">
        <v>1504.0</v>
      </c>
      <c r="M932" s="9">
        <v>325.0</v>
      </c>
      <c r="N932" s="9">
        <v>730.0</v>
      </c>
      <c r="O932" s="9">
        <v>449.0</v>
      </c>
      <c r="P932" s="8" t="s">
        <v>3480</v>
      </c>
      <c r="Q932" s="8" t="s">
        <v>8255</v>
      </c>
      <c r="R932" s="8" t="s">
        <v>8256</v>
      </c>
    </row>
    <row r="933">
      <c r="A933" s="8" t="s">
        <v>1277</v>
      </c>
      <c r="B933" s="8" t="s">
        <v>8257</v>
      </c>
      <c r="C933" s="8" t="s">
        <v>8258</v>
      </c>
      <c r="D933" s="9">
        <v>9.763489598E9</v>
      </c>
      <c r="E933" s="8" t="s">
        <v>8259</v>
      </c>
      <c r="F933" s="8" t="s">
        <v>3589</v>
      </c>
      <c r="G933" s="8" t="s">
        <v>8260</v>
      </c>
      <c r="H933" s="8" t="s">
        <v>3479</v>
      </c>
      <c r="I933" s="9">
        <v>0.0</v>
      </c>
      <c r="J933" s="9">
        <v>2567.0</v>
      </c>
      <c r="K933" s="9">
        <v>2567.0</v>
      </c>
      <c r="L933" s="9">
        <v>2567.0</v>
      </c>
      <c r="M933" s="9">
        <v>1313.0</v>
      </c>
      <c r="N933" s="9">
        <v>730.0</v>
      </c>
      <c r="O933" s="9">
        <v>524.0</v>
      </c>
      <c r="P933" s="8" t="s">
        <v>3480</v>
      </c>
      <c r="Q933" s="8" t="s">
        <v>8261</v>
      </c>
      <c r="R933" s="8" t="s">
        <v>8262</v>
      </c>
    </row>
    <row r="934">
      <c r="A934" s="8" t="s">
        <v>1279</v>
      </c>
      <c r="B934" s="8" t="s">
        <v>8263</v>
      </c>
      <c r="C934" s="8" t="s">
        <v>8264</v>
      </c>
      <c r="D934" s="9">
        <v>9.923334008E9</v>
      </c>
      <c r="E934" s="8" t="s">
        <v>8265</v>
      </c>
      <c r="F934" s="8" t="s">
        <v>3486</v>
      </c>
      <c r="G934" s="8" t="s">
        <v>8266</v>
      </c>
      <c r="H934" s="8" t="s">
        <v>3479</v>
      </c>
      <c r="I934" s="9">
        <v>0.0</v>
      </c>
      <c r="J934" s="9">
        <v>939.0</v>
      </c>
      <c r="K934" s="9">
        <v>939.0</v>
      </c>
      <c r="L934" s="9">
        <v>939.0</v>
      </c>
      <c r="M934" s="9">
        <v>410.0</v>
      </c>
      <c r="N934" s="9">
        <v>0.0</v>
      </c>
      <c r="O934" s="9">
        <v>529.0</v>
      </c>
      <c r="P934" s="8" t="s">
        <v>3480</v>
      </c>
      <c r="Q934" s="8" t="s">
        <v>8267</v>
      </c>
      <c r="R934" s="8" t="s">
        <v>8268</v>
      </c>
    </row>
    <row r="935">
      <c r="A935" s="8" t="s">
        <v>1302</v>
      </c>
      <c r="B935" s="8" t="s">
        <v>8269</v>
      </c>
      <c r="C935" s="8" t="s">
        <v>8270</v>
      </c>
      <c r="D935" s="9">
        <v>9.823561983E9</v>
      </c>
      <c r="E935" s="8" t="s">
        <v>8271</v>
      </c>
      <c r="F935" s="8" t="s">
        <v>3853</v>
      </c>
      <c r="G935" s="8" t="s">
        <v>8272</v>
      </c>
      <c r="H935" s="8" t="s">
        <v>3479</v>
      </c>
      <c r="I935" s="9">
        <v>0.0</v>
      </c>
      <c r="J935" s="9">
        <v>1573.0</v>
      </c>
      <c r="K935" s="9">
        <v>1573.0</v>
      </c>
      <c r="L935" s="9">
        <v>1573.0</v>
      </c>
      <c r="M935" s="9">
        <v>350.0</v>
      </c>
      <c r="N935" s="9">
        <v>739.0</v>
      </c>
      <c r="O935" s="9">
        <v>484.0</v>
      </c>
      <c r="P935" s="8" t="s">
        <v>3480</v>
      </c>
      <c r="Q935" s="8"/>
      <c r="R935" s="8"/>
    </row>
    <row r="936">
      <c r="A936" s="8" t="s">
        <v>1303</v>
      </c>
      <c r="B936" s="8" t="s">
        <v>8273</v>
      </c>
      <c r="C936" s="8" t="s">
        <v>8274</v>
      </c>
      <c r="D936" s="9">
        <v>8.237872859E9</v>
      </c>
      <c r="E936" s="8" t="s">
        <v>8275</v>
      </c>
      <c r="F936" s="8" t="s">
        <v>3550</v>
      </c>
      <c r="G936" s="8" t="s">
        <v>8276</v>
      </c>
      <c r="H936" s="8" t="s">
        <v>3479</v>
      </c>
      <c r="I936" s="9">
        <v>0.0</v>
      </c>
      <c r="J936" s="9">
        <v>1612.0</v>
      </c>
      <c r="K936" s="9">
        <v>1612.0</v>
      </c>
      <c r="L936" s="9">
        <v>1612.0</v>
      </c>
      <c r="M936" s="9">
        <v>524.0</v>
      </c>
      <c r="N936" s="9">
        <v>639.0</v>
      </c>
      <c r="O936" s="9">
        <v>449.0</v>
      </c>
      <c r="P936" s="8" t="s">
        <v>3519</v>
      </c>
      <c r="Q936" s="8"/>
      <c r="R936" s="8"/>
    </row>
    <row r="937">
      <c r="A937" s="8" t="s">
        <v>1237</v>
      </c>
      <c r="B937" s="8" t="s">
        <v>8277</v>
      </c>
      <c r="C937" s="8" t="s">
        <v>6298</v>
      </c>
      <c r="D937" s="9">
        <v>7.588081781E9</v>
      </c>
      <c r="E937" s="8" t="s">
        <v>8278</v>
      </c>
      <c r="F937" s="8" t="s">
        <v>3908</v>
      </c>
      <c r="G937" s="8" t="s">
        <v>8279</v>
      </c>
      <c r="H937" s="8" t="s">
        <v>3479</v>
      </c>
      <c r="I937" s="9">
        <v>0.0</v>
      </c>
      <c r="J937" s="9">
        <v>2335.0</v>
      </c>
      <c r="K937" s="9">
        <v>2335.0</v>
      </c>
      <c r="L937" s="9">
        <v>2335.0</v>
      </c>
      <c r="M937" s="9">
        <v>877.0</v>
      </c>
      <c r="N937" s="9">
        <v>784.0</v>
      </c>
      <c r="O937" s="9">
        <v>674.0</v>
      </c>
      <c r="P937" s="8" t="s">
        <v>3480</v>
      </c>
      <c r="Q937" s="8"/>
      <c r="R937" s="8"/>
    </row>
    <row r="938">
      <c r="A938" s="8" t="s">
        <v>1238</v>
      </c>
      <c r="B938" s="8" t="s">
        <v>8280</v>
      </c>
      <c r="C938" s="8" t="s">
        <v>8281</v>
      </c>
      <c r="D938" s="9">
        <v>8.600120363E9</v>
      </c>
      <c r="E938" s="8" t="s">
        <v>8282</v>
      </c>
      <c r="F938" s="8" t="s">
        <v>3908</v>
      </c>
      <c r="G938" s="8" t="s">
        <v>8283</v>
      </c>
      <c r="H938" s="8" t="s">
        <v>3479</v>
      </c>
      <c r="I938" s="9">
        <v>0.0</v>
      </c>
      <c r="J938" s="9">
        <v>3158.0</v>
      </c>
      <c r="K938" s="9">
        <v>3158.0</v>
      </c>
      <c r="L938" s="9">
        <v>3158.0</v>
      </c>
      <c r="M938" s="9">
        <v>1775.0</v>
      </c>
      <c r="N938" s="9">
        <v>784.0</v>
      </c>
      <c r="O938" s="9">
        <v>599.0</v>
      </c>
      <c r="P938" s="8" t="s">
        <v>3480</v>
      </c>
      <c r="Q938" s="8" t="s">
        <v>8284</v>
      </c>
      <c r="R938" s="8" t="s">
        <v>8285</v>
      </c>
    </row>
    <row r="939">
      <c r="A939" s="8" t="s">
        <v>1239</v>
      </c>
      <c r="B939" s="8" t="s">
        <v>8286</v>
      </c>
      <c r="C939" s="8" t="s">
        <v>8287</v>
      </c>
      <c r="D939" s="9">
        <v>7.875503847E9</v>
      </c>
      <c r="E939" s="8" t="s">
        <v>8288</v>
      </c>
      <c r="F939" s="8" t="s">
        <v>3714</v>
      </c>
      <c r="G939" s="8" t="s">
        <v>8289</v>
      </c>
      <c r="H939" s="8" t="s">
        <v>3479</v>
      </c>
      <c r="I939" s="9">
        <v>0.0</v>
      </c>
      <c r="J939" s="9">
        <v>2758.0</v>
      </c>
      <c r="K939" s="9">
        <v>2758.0</v>
      </c>
      <c r="L939" s="9">
        <v>2758.0</v>
      </c>
      <c r="M939" s="9">
        <v>846.0</v>
      </c>
      <c r="N939" s="9">
        <v>938.0</v>
      </c>
      <c r="O939" s="9">
        <v>974.0</v>
      </c>
      <c r="P939" s="8" t="s">
        <v>3480</v>
      </c>
      <c r="Q939" s="8"/>
      <c r="R939" s="8"/>
    </row>
    <row r="940">
      <c r="A940" s="8" t="s">
        <v>1301</v>
      </c>
      <c r="B940" s="8" t="s">
        <v>8290</v>
      </c>
      <c r="C940" s="8" t="s">
        <v>8291</v>
      </c>
      <c r="D940" s="9">
        <v>8.237212835E9</v>
      </c>
      <c r="E940" s="8" t="s">
        <v>8292</v>
      </c>
      <c r="F940" s="8" t="s">
        <v>3821</v>
      </c>
      <c r="G940" s="8" t="s">
        <v>8293</v>
      </c>
      <c r="H940" s="8" t="s">
        <v>8294</v>
      </c>
      <c r="I940" s="9">
        <v>0.0</v>
      </c>
      <c r="J940" s="9">
        <v>3000.0</v>
      </c>
      <c r="K940" s="9">
        <v>3059.0</v>
      </c>
      <c r="L940" s="9">
        <v>3000.0</v>
      </c>
      <c r="M940" s="9">
        <v>1871.0</v>
      </c>
      <c r="N940" s="9">
        <v>739.0</v>
      </c>
      <c r="O940" s="9">
        <v>449.0</v>
      </c>
      <c r="P940" s="8" t="s">
        <v>3480</v>
      </c>
      <c r="Q940" s="8"/>
      <c r="R940" s="8"/>
    </row>
    <row r="941">
      <c r="A941" s="8" t="s">
        <v>1276</v>
      </c>
      <c r="B941" s="8" t="s">
        <v>8295</v>
      </c>
      <c r="C941" s="8" t="s">
        <v>7108</v>
      </c>
      <c r="D941" s="9">
        <v>9.011312727E9</v>
      </c>
      <c r="E941" s="8" t="s">
        <v>8296</v>
      </c>
      <c r="F941" s="8" t="s">
        <v>3608</v>
      </c>
      <c r="G941" s="8" t="s">
        <v>8297</v>
      </c>
      <c r="H941" s="8" t="s">
        <v>3479</v>
      </c>
      <c r="I941" s="9">
        <v>0.0</v>
      </c>
      <c r="J941" s="9">
        <v>3356.0</v>
      </c>
      <c r="K941" s="9">
        <v>3356.0</v>
      </c>
      <c r="L941" s="9">
        <v>3356.0</v>
      </c>
      <c r="M941" s="9">
        <v>1927.0</v>
      </c>
      <c r="N941" s="9">
        <v>730.0</v>
      </c>
      <c r="O941" s="9">
        <v>699.0</v>
      </c>
      <c r="P941" s="8" t="s">
        <v>3480</v>
      </c>
      <c r="Q941" s="8" t="s">
        <v>8298</v>
      </c>
      <c r="R941" s="8"/>
    </row>
    <row r="942">
      <c r="A942" s="8" t="s">
        <v>1240</v>
      </c>
      <c r="B942" s="8" t="s">
        <v>8299</v>
      </c>
      <c r="C942" s="8" t="s">
        <v>8300</v>
      </c>
      <c r="D942" s="9">
        <v>9.156365605E9</v>
      </c>
      <c r="E942" s="8" t="s">
        <v>8301</v>
      </c>
      <c r="F942" s="8" t="s">
        <v>4373</v>
      </c>
      <c r="G942" s="8" t="s">
        <v>8302</v>
      </c>
      <c r="H942" s="8" t="s">
        <v>3479</v>
      </c>
      <c r="I942" s="9">
        <v>0.0</v>
      </c>
      <c r="J942" s="9">
        <v>3235.0</v>
      </c>
      <c r="K942" s="9">
        <v>3235.0</v>
      </c>
      <c r="L942" s="9">
        <v>3235.0</v>
      </c>
      <c r="M942" s="9">
        <v>1473.0</v>
      </c>
      <c r="N942" s="9">
        <v>848.0</v>
      </c>
      <c r="O942" s="9">
        <v>914.0</v>
      </c>
      <c r="P942" s="8" t="s">
        <v>3480</v>
      </c>
      <c r="Q942" s="8" t="s">
        <v>8303</v>
      </c>
      <c r="R942" s="8" t="s">
        <v>8304</v>
      </c>
    </row>
    <row r="943">
      <c r="A943" s="8" t="s">
        <v>1241</v>
      </c>
      <c r="B943" s="8" t="s">
        <v>8305</v>
      </c>
      <c r="C943" s="8" t="s">
        <v>8306</v>
      </c>
      <c r="D943" s="9">
        <v>7.023966782E9</v>
      </c>
      <c r="E943" s="8" t="s">
        <v>8307</v>
      </c>
      <c r="F943" s="8" t="s">
        <v>5421</v>
      </c>
      <c r="G943" s="8" t="s">
        <v>8308</v>
      </c>
      <c r="H943" s="8" t="s">
        <v>3479</v>
      </c>
      <c r="I943" s="9">
        <v>0.0</v>
      </c>
      <c r="J943" s="9">
        <v>1042.0</v>
      </c>
      <c r="K943" s="9">
        <v>1042.0</v>
      </c>
      <c r="L943" s="9">
        <v>1042.0</v>
      </c>
      <c r="M943" s="9">
        <v>513.0</v>
      </c>
      <c r="N943" s="9">
        <v>80.0</v>
      </c>
      <c r="O943" s="9">
        <v>449.0</v>
      </c>
      <c r="P943" s="8" t="s">
        <v>3480</v>
      </c>
      <c r="Q943" s="8"/>
      <c r="R943" s="8"/>
    </row>
    <row r="944">
      <c r="A944" s="8" t="s">
        <v>1243</v>
      </c>
      <c r="B944" s="8" t="s">
        <v>8309</v>
      </c>
      <c r="C944" s="8" t="s">
        <v>8310</v>
      </c>
      <c r="D944" s="9">
        <v>7.796658452E9</v>
      </c>
      <c r="E944" s="8" t="s">
        <v>8311</v>
      </c>
      <c r="F944" s="8" t="s">
        <v>3589</v>
      </c>
      <c r="G944" s="8" t="s">
        <v>8312</v>
      </c>
      <c r="H944" s="8" t="s">
        <v>3479</v>
      </c>
      <c r="I944" s="9">
        <v>0.0</v>
      </c>
      <c r="J944" s="9">
        <v>2929.0</v>
      </c>
      <c r="K944" s="9">
        <v>2929.0</v>
      </c>
      <c r="L944" s="9">
        <v>2929.0</v>
      </c>
      <c r="M944" s="9">
        <v>1675.0</v>
      </c>
      <c r="N944" s="9">
        <v>730.0</v>
      </c>
      <c r="O944" s="9">
        <v>524.0</v>
      </c>
      <c r="P944" s="8" t="s">
        <v>3480</v>
      </c>
      <c r="Q944" s="8"/>
      <c r="R944" s="8"/>
    </row>
    <row r="945">
      <c r="A945" s="8" t="s">
        <v>1244</v>
      </c>
      <c r="B945" s="8" t="s">
        <v>8313</v>
      </c>
      <c r="C945" s="8" t="s">
        <v>8314</v>
      </c>
      <c r="D945" s="9">
        <v>7.057611495E9</v>
      </c>
      <c r="E945" s="8" t="s">
        <v>8315</v>
      </c>
      <c r="F945" s="8" t="s">
        <v>3564</v>
      </c>
      <c r="G945" s="8" t="s">
        <v>8316</v>
      </c>
      <c r="H945" s="8" t="s">
        <v>3479</v>
      </c>
      <c r="I945" s="9">
        <v>0.0</v>
      </c>
      <c r="J945" s="9">
        <v>969.0</v>
      </c>
      <c r="K945" s="9">
        <v>969.0</v>
      </c>
      <c r="L945" s="9">
        <v>969.0</v>
      </c>
      <c r="M945" s="9">
        <v>30.0</v>
      </c>
      <c r="N945" s="9">
        <v>190.0</v>
      </c>
      <c r="O945" s="9">
        <v>749.0</v>
      </c>
      <c r="P945" s="8" t="s">
        <v>3480</v>
      </c>
      <c r="Q945" s="8"/>
      <c r="R945" s="8"/>
    </row>
    <row r="946">
      <c r="A946" s="8" t="s">
        <v>1245</v>
      </c>
      <c r="B946" s="8" t="s">
        <v>8317</v>
      </c>
      <c r="C946" s="8" t="s">
        <v>8318</v>
      </c>
      <c r="D946" s="9">
        <v>9.975097452E9</v>
      </c>
      <c r="E946" s="8" t="s">
        <v>8319</v>
      </c>
      <c r="F946" s="8" t="s">
        <v>3901</v>
      </c>
      <c r="G946" s="8" t="s">
        <v>8320</v>
      </c>
      <c r="H946" s="8" t="s">
        <v>3479</v>
      </c>
      <c r="I946" s="9">
        <v>0.0</v>
      </c>
      <c r="J946" s="9">
        <v>2277.0</v>
      </c>
      <c r="K946" s="9">
        <v>2277.0</v>
      </c>
      <c r="L946" s="9">
        <v>2277.0</v>
      </c>
      <c r="M946" s="9">
        <v>555.0</v>
      </c>
      <c r="N946" s="9">
        <v>848.0</v>
      </c>
      <c r="O946" s="9">
        <v>874.0</v>
      </c>
      <c r="P946" s="8" t="s">
        <v>3480</v>
      </c>
      <c r="Q946" s="8"/>
      <c r="R946" s="8"/>
    </row>
    <row r="947">
      <c r="A947" s="8" t="s">
        <v>1281</v>
      </c>
      <c r="B947" s="8" t="s">
        <v>8321</v>
      </c>
      <c r="C947" s="8" t="s">
        <v>8322</v>
      </c>
      <c r="D947" s="9">
        <v>8.600702668E9</v>
      </c>
      <c r="E947" s="8" t="s">
        <v>8323</v>
      </c>
      <c r="F947" s="8" t="s">
        <v>4150</v>
      </c>
      <c r="G947" s="8" t="s">
        <v>8324</v>
      </c>
      <c r="H947" s="8" t="s">
        <v>3479</v>
      </c>
      <c r="I947" s="9">
        <v>0.0</v>
      </c>
      <c r="J947" s="9">
        <v>2561.0</v>
      </c>
      <c r="K947" s="9">
        <v>2561.0</v>
      </c>
      <c r="L947" s="9">
        <v>2561.0</v>
      </c>
      <c r="M947" s="9">
        <v>913.0</v>
      </c>
      <c r="N947" s="9">
        <v>774.0</v>
      </c>
      <c r="O947" s="9">
        <v>874.0</v>
      </c>
      <c r="P947" s="8" t="s">
        <v>3480</v>
      </c>
      <c r="Q947" s="8" t="s">
        <v>8325</v>
      </c>
      <c r="R947" s="8" t="s">
        <v>8326</v>
      </c>
    </row>
    <row r="948">
      <c r="A948" s="8" t="s">
        <v>1282</v>
      </c>
      <c r="B948" s="8" t="s">
        <v>8327</v>
      </c>
      <c r="C948" s="8" t="s">
        <v>4452</v>
      </c>
      <c r="D948" s="9">
        <v>9.545432288E9</v>
      </c>
      <c r="E948" s="8" t="s">
        <v>4453</v>
      </c>
      <c r="F948" s="8" t="s">
        <v>4454</v>
      </c>
      <c r="G948" s="8" t="s">
        <v>8328</v>
      </c>
      <c r="H948" s="8" t="s">
        <v>3479</v>
      </c>
      <c r="I948" s="9">
        <v>0.0</v>
      </c>
      <c r="J948" s="9">
        <v>2609.0</v>
      </c>
      <c r="K948" s="9">
        <v>2609.0</v>
      </c>
      <c r="L948" s="9">
        <v>2609.0</v>
      </c>
      <c r="M948" s="9">
        <v>1430.0</v>
      </c>
      <c r="N948" s="9">
        <v>730.0</v>
      </c>
      <c r="O948" s="9">
        <v>449.0</v>
      </c>
      <c r="P948" s="8" t="s">
        <v>3480</v>
      </c>
      <c r="Q948" s="8" t="s">
        <v>4456</v>
      </c>
      <c r="R948" s="8" t="s">
        <v>4457</v>
      </c>
    </row>
    <row r="949">
      <c r="A949" s="8" t="s">
        <v>1284</v>
      </c>
      <c r="B949" s="8" t="s">
        <v>8329</v>
      </c>
      <c r="C949" s="8" t="s">
        <v>8330</v>
      </c>
      <c r="D949" s="9">
        <v>8.208814588E9</v>
      </c>
      <c r="E949" s="8" t="s">
        <v>8331</v>
      </c>
      <c r="F949" s="8" t="s">
        <v>3594</v>
      </c>
      <c r="G949" s="8" t="s">
        <v>8332</v>
      </c>
      <c r="H949" s="8" t="s">
        <v>3479</v>
      </c>
      <c r="I949" s="9">
        <v>0.0</v>
      </c>
      <c r="J949" s="9">
        <v>3105.0</v>
      </c>
      <c r="K949" s="9">
        <v>3105.0</v>
      </c>
      <c r="L949" s="9">
        <v>3105.0</v>
      </c>
      <c r="M949" s="9">
        <v>765.0</v>
      </c>
      <c r="N949" s="9">
        <v>540.0</v>
      </c>
      <c r="O949" s="9">
        <v>1800.0</v>
      </c>
      <c r="P949" s="8" t="s">
        <v>3480</v>
      </c>
      <c r="Q949" s="8"/>
      <c r="R949" s="8"/>
    </row>
    <row r="950">
      <c r="A950" s="8" t="s">
        <v>1283</v>
      </c>
      <c r="B950" s="8" t="s">
        <v>8333</v>
      </c>
      <c r="C950" s="8" t="s">
        <v>8334</v>
      </c>
      <c r="D950" s="9">
        <v>9.604599747E9</v>
      </c>
      <c r="E950" s="8" t="s">
        <v>8335</v>
      </c>
      <c r="F950" s="8" t="s">
        <v>5179</v>
      </c>
      <c r="G950" s="8" t="s">
        <v>8336</v>
      </c>
      <c r="H950" s="8" t="s">
        <v>3479</v>
      </c>
      <c r="I950" s="9">
        <v>0.0</v>
      </c>
      <c r="J950" s="9">
        <v>2550.0</v>
      </c>
      <c r="K950" s="9">
        <v>2550.0</v>
      </c>
      <c r="L950" s="9">
        <v>2550.0</v>
      </c>
      <c r="M950" s="9">
        <v>1282.0</v>
      </c>
      <c r="N950" s="9">
        <v>739.0</v>
      </c>
      <c r="O950" s="9">
        <v>529.0</v>
      </c>
      <c r="P950" s="8" t="s">
        <v>3480</v>
      </c>
      <c r="Q950" s="8"/>
      <c r="R950" s="8"/>
    </row>
    <row r="951">
      <c r="A951" s="8" t="s">
        <v>1242</v>
      </c>
      <c r="B951" s="8" t="s">
        <v>8337</v>
      </c>
      <c r="C951" s="8" t="s">
        <v>8338</v>
      </c>
      <c r="D951" s="9">
        <v>9.763714117E9</v>
      </c>
      <c r="E951" s="8" t="s">
        <v>8339</v>
      </c>
      <c r="F951" s="8" t="s">
        <v>3608</v>
      </c>
      <c r="G951" s="8" t="s">
        <v>8340</v>
      </c>
      <c r="H951" s="8" t="s">
        <v>3479</v>
      </c>
      <c r="I951" s="9">
        <v>0.0</v>
      </c>
      <c r="J951" s="9">
        <v>2591.0</v>
      </c>
      <c r="K951" s="9">
        <v>2591.0</v>
      </c>
      <c r="L951" s="9">
        <v>2591.0</v>
      </c>
      <c r="M951" s="9">
        <v>1412.0</v>
      </c>
      <c r="N951" s="9">
        <v>730.0</v>
      </c>
      <c r="O951" s="9">
        <v>449.0</v>
      </c>
      <c r="P951" s="8" t="s">
        <v>3480</v>
      </c>
      <c r="Q951" s="8" t="s">
        <v>8341</v>
      </c>
      <c r="R951" s="8" t="s">
        <v>8342</v>
      </c>
    </row>
    <row r="952">
      <c r="A952" s="8" t="s">
        <v>1285</v>
      </c>
      <c r="B952" s="8" t="s">
        <v>8343</v>
      </c>
      <c r="C952" s="8" t="s">
        <v>4237</v>
      </c>
      <c r="D952" s="9">
        <v>9.167426875E9</v>
      </c>
      <c r="E952" s="8" t="s">
        <v>4238</v>
      </c>
      <c r="F952" s="8" t="s">
        <v>4239</v>
      </c>
      <c r="G952" s="8" t="s">
        <v>8344</v>
      </c>
      <c r="H952" s="8" t="s">
        <v>3479</v>
      </c>
      <c r="I952" s="9">
        <v>0.0</v>
      </c>
      <c r="J952" s="9">
        <v>762.0</v>
      </c>
      <c r="K952" s="9">
        <v>762.0</v>
      </c>
      <c r="L952" s="9">
        <v>762.0</v>
      </c>
      <c r="M952" s="9">
        <v>233.0</v>
      </c>
      <c r="N952" s="9">
        <v>80.0</v>
      </c>
      <c r="O952" s="9">
        <v>449.0</v>
      </c>
      <c r="P952" s="8" t="s">
        <v>3480</v>
      </c>
      <c r="Q952" s="8" t="s">
        <v>4241</v>
      </c>
      <c r="R952" s="8" t="s">
        <v>4242</v>
      </c>
    </row>
    <row r="953">
      <c r="A953" s="8" t="s">
        <v>1287</v>
      </c>
      <c r="B953" s="8" t="s">
        <v>8345</v>
      </c>
      <c r="C953" s="8" t="s">
        <v>8192</v>
      </c>
      <c r="D953" s="9">
        <v>9.730183583E9</v>
      </c>
      <c r="E953" s="8" t="s">
        <v>8346</v>
      </c>
      <c r="F953" s="8" t="s">
        <v>3653</v>
      </c>
      <c r="G953" s="8" t="s">
        <v>8347</v>
      </c>
      <c r="H953" s="8" t="s">
        <v>3479</v>
      </c>
      <c r="I953" s="9">
        <v>0.0</v>
      </c>
      <c r="J953" s="9">
        <v>2577.0</v>
      </c>
      <c r="K953" s="9">
        <v>2577.0</v>
      </c>
      <c r="L953" s="9">
        <v>2577.0</v>
      </c>
      <c r="M953" s="9">
        <v>1043.0</v>
      </c>
      <c r="N953" s="9">
        <v>585.0</v>
      </c>
      <c r="O953" s="9">
        <v>949.0</v>
      </c>
      <c r="P953" s="8" t="s">
        <v>3480</v>
      </c>
      <c r="Q953" s="8"/>
      <c r="R953" s="8"/>
    </row>
    <row r="954">
      <c r="A954" s="8" t="s">
        <v>1288</v>
      </c>
      <c r="B954" s="8" t="s">
        <v>8348</v>
      </c>
      <c r="C954" s="8" t="s">
        <v>8349</v>
      </c>
      <c r="D954" s="9">
        <v>8.888406994E9</v>
      </c>
      <c r="E954" s="8" t="s">
        <v>8350</v>
      </c>
      <c r="F954" s="8" t="s">
        <v>3757</v>
      </c>
      <c r="G954" s="8" t="s">
        <v>8351</v>
      </c>
      <c r="H954" s="8" t="s">
        <v>3479</v>
      </c>
      <c r="I954" s="9">
        <v>0.0</v>
      </c>
      <c r="J954" s="9">
        <v>3434.0</v>
      </c>
      <c r="K954" s="9">
        <v>3434.0</v>
      </c>
      <c r="L954" s="9">
        <v>3434.0</v>
      </c>
      <c r="M954" s="9">
        <v>1215.0</v>
      </c>
      <c r="N954" s="9">
        <v>1340.0</v>
      </c>
      <c r="O954" s="9">
        <v>879.0</v>
      </c>
      <c r="P954" s="8" t="s">
        <v>3519</v>
      </c>
      <c r="Q954" s="8" t="s">
        <v>8352</v>
      </c>
      <c r="R954" s="8" t="s">
        <v>8353</v>
      </c>
    </row>
    <row r="955">
      <c r="A955" s="8" t="s">
        <v>1345</v>
      </c>
      <c r="B955" s="8" t="s">
        <v>8354</v>
      </c>
      <c r="C955" s="8" t="s">
        <v>6400</v>
      </c>
      <c r="D955" s="9">
        <v>9.049002184E9</v>
      </c>
      <c r="E955" s="8" t="s">
        <v>6401</v>
      </c>
      <c r="F955" s="8" t="s">
        <v>3697</v>
      </c>
      <c r="G955" s="8" t="s">
        <v>6402</v>
      </c>
      <c r="H955" s="8" t="s">
        <v>3479</v>
      </c>
      <c r="I955" s="9">
        <v>0.0</v>
      </c>
      <c r="J955" s="9">
        <v>1653.0</v>
      </c>
      <c r="K955" s="9">
        <v>1653.0</v>
      </c>
      <c r="L955" s="9">
        <v>1653.0</v>
      </c>
      <c r="M955" s="9">
        <v>1653.0</v>
      </c>
      <c r="N955" s="9">
        <v>0.0</v>
      </c>
      <c r="O955" s="9">
        <v>0.0</v>
      </c>
      <c r="P955" s="8" t="s">
        <v>3480</v>
      </c>
      <c r="Q955" s="8" t="s">
        <v>6403</v>
      </c>
      <c r="R955" s="8" t="s">
        <v>6404</v>
      </c>
    </row>
    <row r="956">
      <c r="A956" s="8" t="s">
        <v>1246</v>
      </c>
      <c r="B956" s="8" t="s">
        <v>8355</v>
      </c>
      <c r="C956" s="8" t="s">
        <v>8356</v>
      </c>
      <c r="D956" s="9">
        <v>9.699050052E9</v>
      </c>
      <c r="E956" s="8" t="s">
        <v>8357</v>
      </c>
      <c r="F956" s="8" t="s">
        <v>3821</v>
      </c>
      <c r="G956" s="8" t="s">
        <v>8358</v>
      </c>
      <c r="H956" s="8" t="s">
        <v>3479</v>
      </c>
      <c r="I956" s="9">
        <v>0.0</v>
      </c>
      <c r="J956" s="9">
        <v>3672.0</v>
      </c>
      <c r="K956" s="9">
        <v>3672.0</v>
      </c>
      <c r="L956" s="9">
        <v>3672.0</v>
      </c>
      <c r="M956" s="9">
        <v>2418.0</v>
      </c>
      <c r="N956" s="9">
        <v>730.0</v>
      </c>
      <c r="O956" s="9">
        <v>524.0</v>
      </c>
      <c r="P956" s="8" t="s">
        <v>3480</v>
      </c>
      <c r="Q956" s="8"/>
      <c r="R956" s="8"/>
    </row>
    <row r="957">
      <c r="A957" s="8" t="s">
        <v>1356</v>
      </c>
      <c r="B957" s="8" t="s">
        <v>8359</v>
      </c>
      <c r="C957" s="8" t="s">
        <v>8360</v>
      </c>
      <c r="D957" s="9">
        <v>9.960876618E9</v>
      </c>
      <c r="E957" s="8" t="s">
        <v>8361</v>
      </c>
      <c r="F957" s="8" t="s">
        <v>3721</v>
      </c>
      <c r="G957" s="8" t="s">
        <v>8362</v>
      </c>
      <c r="H957" s="8" t="s">
        <v>3479</v>
      </c>
      <c r="I957" s="9">
        <v>0.0</v>
      </c>
      <c r="J957" s="9">
        <v>1423.0</v>
      </c>
      <c r="K957" s="9">
        <v>1423.0</v>
      </c>
      <c r="L957" s="9">
        <v>1423.0</v>
      </c>
      <c r="M957" s="9">
        <v>160.0</v>
      </c>
      <c r="N957" s="9">
        <v>739.0</v>
      </c>
      <c r="O957" s="9">
        <v>524.0</v>
      </c>
      <c r="P957" s="8" t="s">
        <v>3480</v>
      </c>
      <c r="Q957" s="8"/>
      <c r="R957" s="8"/>
    </row>
    <row r="958">
      <c r="A958" s="8" t="s">
        <v>1333</v>
      </c>
      <c r="B958" s="8" t="s">
        <v>8363</v>
      </c>
      <c r="C958" s="8" t="s">
        <v>8364</v>
      </c>
      <c r="D958" s="9">
        <v>9.921637431E9</v>
      </c>
      <c r="E958" s="8" t="s">
        <v>8365</v>
      </c>
      <c r="F958" s="8" t="s">
        <v>3901</v>
      </c>
      <c r="G958" s="8" t="s">
        <v>3494</v>
      </c>
      <c r="H958" s="8" t="s">
        <v>3479</v>
      </c>
      <c r="I958" s="9">
        <v>0.0</v>
      </c>
      <c r="J958" s="9">
        <v>2341.0</v>
      </c>
      <c r="K958" s="9">
        <v>2341.0</v>
      </c>
      <c r="L958" s="9">
        <v>2341.0</v>
      </c>
      <c r="M958" s="9">
        <v>628.0</v>
      </c>
      <c r="N958" s="9">
        <v>784.0</v>
      </c>
      <c r="O958" s="9">
        <v>929.0</v>
      </c>
      <c r="P958" s="8" t="s">
        <v>3544</v>
      </c>
      <c r="Q958" s="8" t="s">
        <v>8366</v>
      </c>
      <c r="R958" s="8" t="s">
        <v>8367</v>
      </c>
    </row>
    <row r="959">
      <c r="A959" s="8" t="s">
        <v>1347</v>
      </c>
      <c r="B959" s="8" t="s">
        <v>8368</v>
      </c>
      <c r="C959" s="8" t="s">
        <v>8369</v>
      </c>
      <c r="D959" s="9">
        <v>9.83472398E9</v>
      </c>
      <c r="E959" s="8" t="s">
        <v>8370</v>
      </c>
      <c r="F959" s="8" t="s">
        <v>8371</v>
      </c>
      <c r="G959" s="8" t="s">
        <v>4036</v>
      </c>
      <c r="H959" s="8" t="s">
        <v>3479</v>
      </c>
      <c r="I959" s="9">
        <v>0.0</v>
      </c>
      <c r="J959" s="9">
        <v>1150.0</v>
      </c>
      <c r="K959" s="9">
        <v>1150.0</v>
      </c>
      <c r="L959" s="9">
        <v>1150.0</v>
      </c>
      <c r="M959" s="9">
        <v>1150.0</v>
      </c>
      <c r="N959" s="9">
        <v>0.0</v>
      </c>
      <c r="O959" s="9">
        <v>0.0</v>
      </c>
      <c r="P959" s="8" t="s">
        <v>3480</v>
      </c>
      <c r="Q959" s="8"/>
      <c r="R959" s="8"/>
    </row>
    <row r="960">
      <c r="A960" s="8" t="s">
        <v>1286</v>
      </c>
      <c r="B960" s="8" t="s">
        <v>8372</v>
      </c>
      <c r="C960" s="8" t="s">
        <v>5445</v>
      </c>
      <c r="D960" s="9">
        <v>9.309510376E9</v>
      </c>
      <c r="E960" s="8" t="s">
        <v>8373</v>
      </c>
      <c r="F960" s="8" t="s">
        <v>3665</v>
      </c>
      <c r="G960" s="8" t="s">
        <v>8374</v>
      </c>
      <c r="H960" s="8" t="s">
        <v>3479</v>
      </c>
      <c r="I960" s="9">
        <v>0.0</v>
      </c>
      <c r="J960" s="9">
        <v>2077.0</v>
      </c>
      <c r="K960" s="9">
        <v>2077.0</v>
      </c>
      <c r="L960" s="9">
        <v>2077.0</v>
      </c>
      <c r="M960" s="9">
        <v>1138.0</v>
      </c>
      <c r="N960" s="9">
        <v>190.0</v>
      </c>
      <c r="O960" s="9">
        <v>749.0</v>
      </c>
      <c r="P960" s="8" t="s">
        <v>3480</v>
      </c>
      <c r="Q960" s="8"/>
      <c r="R960" s="8"/>
    </row>
    <row r="961">
      <c r="A961" s="8" t="s">
        <v>1247</v>
      </c>
      <c r="B961" s="8" t="s">
        <v>8375</v>
      </c>
      <c r="C961" s="8" t="s">
        <v>8376</v>
      </c>
      <c r="D961" s="9">
        <v>9.881008708E9</v>
      </c>
      <c r="E961" s="8" t="s">
        <v>8377</v>
      </c>
      <c r="F961" s="8" t="s">
        <v>8378</v>
      </c>
      <c r="G961" s="8" t="s">
        <v>8379</v>
      </c>
      <c r="H961" s="8" t="s">
        <v>3479</v>
      </c>
      <c r="I961" s="9">
        <v>0.0</v>
      </c>
      <c r="J961" s="9">
        <v>1934.0</v>
      </c>
      <c r="K961" s="9">
        <v>1934.0</v>
      </c>
      <c r="L961" s="9">
        <v>1934.0</v>
      </c>
      <c r="M961" s="9">
        <v>725.0</v>
      </c>
      <c r="N961" s="9">
        <v>760.0</v>
      </c>
      <c r="O961" s="9">
        <v>449.0</v>
      </c>
      <c r="P961" s="8" t="s">
        <v>3480</v>
      </c>
      <c r="Q961" s="8" t="s">
        <v>8380</v>
      </c>
      <c r="R961" s="8" t="s">
        <v>8381</v>
      </c>
    </row>
    <row r="962">
      <c r="A962" s="8" t="s">
        <v>1346</v>
      </c>
      <c r="B962" s="8" t="s">
        <v>8382</v>
      </c>
      <c r="C962" s="8" t="s">
        <v>6624</v>
      </c>
      <c r="D962" s="9">
        <v>9.405944951E9</v>
      </c>
      <c r="E962" s="8" t="s">
        <v>6625</v>
      </c>
      <c r="F962" s="8" t="s">
        <v>3615</v>
      </c>
      <c r="G962" s="8" t="s">
        <v>6626</v>
      </c>
      <c r="H962" s="8" t="s">
        <v>3479</v>
      </c>
      <c r="I962" s="9">
        <v>0.0</v>
      </c>
      <c r="J962" s="9">
        <v>738.0</v>
      </c>
      <c r="K962" s="9">
        <v>738.0</v>
      </c>
      <c r="L962" s="9">
        <v>738.0</v>
      </c>
      <c r="M962" s="9">
        <v>220.0</v>
      </c>
      <c r="N962" s="9">
        <v>168.0</v>
      </c>
      <c r="O962" s="9">
        <v>350.0</v>
      </c>
      <c r="P962" s="8" t="s">
        <v>3519</v>
      </c>
      <c r="Q962" s="8" t="s">
        <v>6627</v>
      </c>
      <c r="R962" s="8" t="s">
        <v>6628</v>
      </c>
    </row>
    <row r="963">
      <c r="A963" s="8" t="s">
        <v>1250</v>
      </c>
      <c r="B963" s="8" t="s">
        <v>8383</v>
      </c>
      <c r="C963" s="8" t="s">
        <v>8384</v>
      </c>
      <c r="D963" s="9">
        <v>9.766828603E9</v>
      </c>
      <c r="E963" s="8" t="s">
        <v>8385</v>
      </c>
      <c r="F963" s="8" t="s">
        <v>4391</v>
      </c>
      <c r="G963" s="8" t="s">
        <v>8386</v>
      </c>
      <c r="H963" s="8" t="s">
        <v>3479</v>
      </c>
      <c r="I963" s="9">
        <v>0.0</v>
      </c>
      <c r="J963" s="9">
        <v>1479.0</v>
      </c>
      <c r="K963" s="9">
        <v>1479.0</v>
      </c>
      <c r="L963" s="9">
        <v>1479.0</v>
      </c>
      <c r="M963" s="9">
        <v>380.0</v>
      </c>
      <c r="N963" s="9">
        <v>650.0</v>
      </c>
      <c r="O963" s="9">
        <v>449.0</v>
      </c>
      <c r="P963" s="8" t="s">
        <v>3480</v>
      </c>
      <c r="Q963" s="8" t="s">
        <v>8387</v>
      </c>
      <c r="R963" s="8" t="s">
        <v>8388</v>
      </c>
    </row>
    <row r="964">
      <c r="A964" s="8" t="s">
        <v>1249</v>
      </c>
      <c r="B964" s="8" t="s">
        <v>8389</v>
      </c>
      <c r="C964" s="8" t="s">
        <v>7500</v>
      </c>
      <c r="D964" s="9">
        <v>9.665118456E9</v>
      </c>
      <c r="E964" s="8" t="s">
        <v>8390</v>
      </c>
      <c r="F964" s="8" t="s">
        <v>8391</v>
      </c>
      <c r="G964" s="8" t="s">
        <v>8392</v>
      </c>
      <c r="H964" s="8" t="s">
        <v>8393</v>
      </c>
      <c r="I964" s="9">
        <v>0.0</v>
      </c>
      <c r="J964" s="9">
        <v>2000.0</v>
      </c>
      <c r="K964" s="9">
        <v>2162.0</v>
      </c>
      <c r="L964" s="9">
        <v>2000.0</v>
      </c>
      <c r="M964" s="9">
        <v>948.0</v>
      </c>
      <c r="N964" s="9">
        <v>190.0</v>
      </c>
      <c r="O964" s="9">
        <v>1024.0</v>
      </c>
      <c r="P964" s="8" t="s">
        <v>3519</v>
      </c>
      <c r="Q964" s="8" t="s">
        <v>8394</v>
      </c>
      <c r="R964" s="8" t="s">
        <v>8395</v>
      </c>
    </row>
    <row r="965">
      <c r="A965" s="8" t="s">
        <v>1252</v>
      </c>
      <c r="B965" s="8" t="s">
        <v>8396</v>
      </c>
      <c r="C965" s="8" t="s">
        <v>8397</v>
      </c>
      <c r="D965" s="9">
        <v>8.446698371E9</v>
      </c>
      <c r="E965" s="8" t="s">
        <v>8398</v>
      </c>
      <c r="F965" s="8" t="s">
        <v>3853</v>
      </c>
      <c r="G965" s="8" t="s">
        <v>8399</v>
      </c>
      <c r="H965" s="8" t="s">
        <v>3479</v>
      </c>
      <c r="I965" s="9">
        <v>0.0</v>
      </c>
      <c r="J965" s="9">
        <v>1067.0</v>
      </c>
      <c r="K965" s="9">
        <v>1067.0</v>
      </c>
      <c r="L965" s="9">
        <v>1067.0</v>
      </c>
      <c r="M965" s="9">
        <v>618.0</v>
      </c>
      <c r="N965" s="9">
        <v>0.0</v>
      </c>
      <c r="O965" s="9">
        <v>449.0</v>
      </c>
      <c r="P965" s="8" t="s">
        <v>3480</v>
      </c>
      <c r="Q965" s="8"/>
      <c r="R965" s="8"/>
    </row>
    <row r="966">
      <c r="A966" s="8" t="s">
        <v>1253</v>
      </c>
      <c r="B966" s="8" t="s">
        <v>8400</v>
      </c>
      <c r="C966" s="8" t="s">
        <v>3952</v>
      </c>
      <c r="D966" s="9">
        <v>9.850380576E9</v>
      </c>
      <c r="E966" s="8" t="s">
        <v>3953</v>
      </c>
      <c r="F966" s="8" t="s">
        <v>3954</v>
      </c>
      <c r="G966" s="8" t="s">
        <v>8401</v>
      </c>
      <c r="H966" s="8" t="s">
        <v>3479</v>
      </c>
      <c r="I966" s="9">
        <v>0.0</v>
      </c>
      <c r="J966" s="9">
        <v>1235.0</v>
      </c>
      <c r="K966" s="9">
        <v>1235.0</v>
      </c>
      <c r="L966" s="9">
        <v>1235.0</v>
      </c>
      <c r="M966" s="9">
        <v>1235.0</v>
      </c>
      <c r="N966" s="9">
        <v>0.0</v>
      </c>
      <c r="O966" s="9">
        <v>0.0</v>
      </c>
      <c r="P966" s="8" t="s">
        <v>3480</v>
      </c>
      <c r="Q966" s="8"/>
      <c r="R966" s="8"/>
    </row>
    <row r="967">
      <c r="A967" s="8" t="s">
        <v>1254</v>
      </c>
      <c r="B967" s="8" t="s">
        <v>8402</v>
      </c>
      <c r="C967" s="8" t="s">
        <v>8403</v>
      </c>
      <c r="D967" s="9">
        <v>9.764962964E9</v>
      </c>
      <c r="E967" s="8" t="s">
        <v>8404</v>
      </c>
      <c r="F967" s="8" t="s">
        <v>4059</v>
      </c>
      <c r="G967" s="8" t="s">
        <v>3494</v>
      </c>
      <c r="H967" s="8" t="s">
        <v>3479</v>
      </c>
      <c r="I967" s="9">
        <v>0.0</v>
      </c>
      <c r="J967" s="9">
        <v>4218.0</v>
      </c>
      <c r="K967" s="9">
        <v>4218.0</v>
      </c>
      <c r="L967" s="9">
        <v>4218.0</v>
      </c>
      <c r="M967" s="9">
        <v>2475.0</v>
      </c>
      <c r="N967" s="9">
        <v>849.0</v>
      </c>
      <c r="O967" s="9">
        <v>894.0</v>
      </c>
      <c r="P967" s="8" t="s">
        <v>3480</v>
      </c>
      <c r="Q967" s="8" t="s">
        <v>8405</v>
      </c>
      <c r="R967" s="8" t="s">
        <v>8406</v>
      </c>
    </row>
    <row r="968">
      <c r="A968" s="8" t="s">
        <v>1255</v>
      </c>
      <c r="B968" s="8" t="s">
        <v>8407</v>
      </c>
      <c r="C968" s="8" t="s">
        <v>8408</v>
      </c>
      <c r="D968" s="9">
        <v>8.827240458E9</v>
      </c>
      <c r="E968" s="8" t="s">
        <v>8409</v>
      </c>
      <c r="F968" s="8" t="s">
        <v>3628</v>
      </c>
      <c r="G968" s="8" t="s">
        <v>8410</v>
      </c>
      <c r="H968" s="8" t="s">
        <v>3479</v>
      </c>
      <c r="I968" s="9">
        <v>0.0</v>
      </c>
      <c r="J968" s="9">
        <v>2042.0</v>
      </c>
      <c r="K968" s="9">
        <v>2042.0</v>
      </c>
      <c r="L968" s="9">
        <v>2042.0</v>
      </c>
      <c r="M968" s="9">
        <v>333.0</v>
      </c>
      <c r="N968" s="9">
        <v>910.0</v>
      </c>
      <c r="O968" s="9">
        <v>799.0</v>
      </c>
      <c r="P968" s="8" t="s">
        <v>3480</v>
      </c>
      <c r="Q968" s="8"/>
      <c r="R968" s="8" t="s">
        <v>8411</v>
      </c>
    </row>
    <row r="969">
      <c r="A969" s="8" t="s">
        <v>1256</v>
      </c>
      <c r="B969" s="8" t="s">
        <v>8412</v>
      </c>
      <c r="C969" s="8" t="s">
        <v>8413</v>
      </c>
      <c r="D969" s="9">
        <v>8.982547243E9</v>
      </c>
      <c r="E969" s="8" t="s">
        <v>8414</v>
      </c>
      <c r="F969" s="8" t="s">
        <v>4663</v>
      </c>
      <c r="G969" s="8" t="s">
        <v>8415</v>
      </c>
      <c r="H969" s="8" t="s">
        <v>3479</v>
      </c>
      <c r="I969" s="9">
        <v>0.0</v>
      </c>
      <c r="J969" s="9">
        <v>1137.0</v>
      </c>
      <c r="K969" s="9">
        <v>1137.0</v>
      </c>
      <c r="L969" s="9">
        <v>1137.0</v>
      </c>
      <c r="M969" s="9">
        <v>338.0</v>
      </c>
      <c r="N969" s="9">
        <v>0.0</v>
      </c>
      <c r="O969" s="9">
        <v>799.0</v>
      </c>
      <c r="P969" s="8" t="s">
        <v>3480</v>
      </c>
      <c r="Q969" s="8" t="s">
        <v>8416</v>
      </c>
      <c r="R969" s="8" t="s">
        <v>8417</v>
      </c>
    </row>
    <row r="970">
      <c r="A970" s="8" t="s">
        <v>1257</v>
      </c>
      <c r="B970" s="8" t="s">
        <v>8418</v>
      </c>
      <c r="C970" s="8" t="s">
        <v>6245</v>
      </c>
      <c r="D970" s="9">
        <v>9.140942561E9</v>
      </c>
      <c r="E970" s="8" t="s">
        <v>8419</v>
      </c>
      <c r="F970" s="8" t="s">
        <v>3550</v>
      </c>
      <c r="G970" s="8" t="s">
        <v>8420</v>
      </c>
      <c r="H970" s="8" t="s">
        <v>3479</v>
      </c>
      <c r="I970" s="9">
        <v>0.0</v>
      </c>
      <c r="J970" s="9">
        <v>1768.0</v>
      </c>
      <c r="K970" s="9">
        <v>1768.0</v>
      </c>
      <c r="L970" s="9">
        <v>1768.0</v>
      </c>
      <c r="M970" s="9">
        <v>589.0</v>
      </c>
      <c r="N970" s="9">
        <v>730.0</v>
      </c>
      <c r="O970" s="9">
        <v>449.0</v>
      </c>
      <c r="P970" s="8" t="s">
        <v>3480</v>
      </c>
      <c r="Q970" s="8"/>
      <c r="R970" s="8"/>
    </row>
    <row r="971">
      <c r="A971" s="8" t="s">
        <v>1258</v>
      </c>
      <c r="B971" s="8" t="s">
        <v>8421</v>
      </c>
      <c r="C971" s="8" t="s">
        <v>8422</v>
      </c>
      <c r="D971" s="9">
        <v>9.975925116E9</v>
      </c>
      <c r="E971" s="8" t="s">
        <v>8423</v>
      </c>
      <c r="F971" s="8" t="s">
        <v>3881</v>
      </c>
      <c r="G971" s="8" t="s">
        <v>8424</v>
      </c>
      <c r="H971" s="8" t="s">
        <v>3479</v>
      </c>
      <c r="I971" s="9">
        <v>0.0</v>
      </c>
      <c r="J971" s="9">
        <v>782.0</v>
      </c>
      <c r="K971" s="9">
        <v>782.0</v>
      </c>
      <c r="L971" s="9">
        <v>782.0</v>
      </c>
      <c r="M971" s="9">
        <v>258.0</v>
      </c>
      <c r="N971" s="9">
        <v>0.0</v>
      </c>
      <c r="O971" s="9">
        <v>524.0</v>
      </c>
      <c r="P971" s="8" t="s">
        <v>3480</v>
      </c>
      <c r="Q971" s="8" t="s">
        <v>8425</v>
      </c>
      <c r="R971" s="8" t="s">
        <v>8426</v>
      </c>
    </row>
    <row r="972">
      <c r="A972" s="8" t="s">
        <v>1259</v>
      </c>
      <c r="B972" s="8" t="s">
        <v>8427</v>
      </c>
      <c r="C972" s="8" t="s">
        <v>6971</v>
      </c>
      <c r="D972" s="9">
        <v>9.404068663E9</v>
      </c>
      <c r="E972" s="8" t="s">
        <v>6972</v>
      </c>
      <c r="F972" s="8" t="s">
        <v>6363</v>
      </c>
      <c r="G972" s="8" t="s">
        <v>8428</v>
      </c>
      <c r="H972" s="8" t="s">
        <v>3479</v>
      </c>
      <c r="I972" s="9">
        <v>0.0</v>
      </c>
      <c r="J972" s="9">
        <v>1908.0</v>
      </c>
      <c r="K972" s="9">
        <v>1908.0</v>
      </c>
      <c r="L972" s="9">
        <v>1908.0</v>
      </c>
      <c r="M972" s="9">
        <v>1633.0</v>
      </c>
      <c r="N972" s="9">
        <v>0.0</v>
      </c>
      <c r="O972" s="9">
        <v>275.0</v>
      </c>
      <c r="P972" s="8" t="s">
        <v>3480</v>
      </c>
      <c r="Q972" s="8" t="s">
        <v>6974</v>
      </c>
      <c r="R972" s="8" t="s">
        <v>6975</v>
      </c>
    </row>
    <row r="973">
      <c r="A973" s="8" t="s">
        <v>1365</v>
      </c>
      <c r="B973" s="8" t="s">
        <v>8429</v>
      </c>
      <c r="C973" s="8" t="s">
        <v>8430</v>
      </c>
      <c r="D973" s="9">
        <v>9.011557655E9</v>
      </c>
      <c r="E973" s="8" t="s">
        <v>8431</v>
      </c>
      <c r="F973" s="8" t="s">
        <v>3498</v>
      </c>
      <c r="G973" s="8" t="s">
        <v>8432</v>
      </c>
      <c r="H973" s="8" t="s">
        <v>3479</v>
      </c>
      <c r="I973" s="9">
        <v>0.0</v>
      </c>
      <c r="J973" s="9">
        <v>1518.0</v>
      </c>
      <c r="K973" s="9">
        <v>1518.0</v>
      </c>
      <c r="L973" s="9">
        <v>1518.0</v>
      </c>
      <c r="M973" s="9">
        <v>255.0</v>
      </c>
      <c r="N973" s="9">
        <v>739.0</v>
      </c>
      <c r="O973" s="9">
        <v>524.0</v>
      </c>
      <c r="P973" s="8" t="s">
        <v>3480</v>
      </c>
      <c r="Q973" s="8" t="s">
        <v>8433</v>
      </c>
      <c r="R973" s="8" t="s">
        <v>8434</v>
      </c>
    </row>
    <row r="974">
      <c r="A974" s="8" t="s">
        <v>1251</v>
      </c>
      <c r="B974" s="8" t="s">
        <v>8435</v>
      </c>
      <c r="C974" s="8" t="s">
        <v>8436</v>
      </c>
      <c r="D974" s="9">
        <v>7.875374892E9</v>
      </c>
      <c r="E974" s="8" t="s">
        <v>8437</v>
      </c>
      <c r="F974" s="8" t="s">
        <v>4373</v>
      </c>
      <c r="G974" s="8" t="s">
        <v>8438</v>
      </c>
      <c r="H974" s="8" t="s">
        <v>3479</v>
      </c>
      <c r="I974" s="9">
        <v>0.0</v>
      </c>
      <c r="J974" s="9">
        <v>679.0</v>
      </c>
      <c r="K974" s="9">
        <v>679.0</v>
      </c>
      <c r="L974" s="9">
        <v>679.0</v>
      </c>
      <c r="M974" s="9">
        <v>80.0</v>
      </c>
      <c r="N974" s="9">
        <v>0.0</v>
      </c>
      <c r="O974" s="9">
        <v>599.0</v>
      </c>
      <c r="P974" s="8" t="s">
        <v>3480</v>
      </c>
      <c r="Q974" s="8" t="s">
        <v>8439</v>
      </c>
      <c r="R974" s="8" t="s">
        <v>8440</v>
      </c>
    </row>
    <row r="975">
      <c r="A975" s="8" t="s">
        <v>1248</v>
      </c>
      <c r="B975" s="8" t="s">
        <v>8441</v>
      </c>
      <c r="C975" s="8" t="s">
        <v>8442</v>
      </c>
      <c r="D975" s="9">
        <v>9.83480281E9</v>
      </c>
      <c r="E975" s="8" t="s">
        <v>8443</v>
      </c>
      <c r="F975" s="8" t="s">
        <v>3564</v>
      </c>
      <c r="G975" s="8" t="s">
        <v>8444</v>
      </c>
      <c r="H975" s="8" t="s">
        <v>3479</v>
      </c>
      <c r="I975" s="9">
        <v>0.0</v>
      </c>
      <c r="J975" s="9">
        <v>2089.0</v>
      </c>
      <c r="K975" s="9">
        <v>2089.0</v>
      </c>
      <c r="L975" s="9">
        <v>2089.0</v>
      </c>
      <c r="M975" s="9">
        <v>1150.0</v>
      </c>
      <c r="N975" s="9">
        <v>190.0</v>
      </c>
      <c r="O975" s="9">
        <v>749.0</v>
      </c>
      <c r="P975" s="8" t="s">
        <v>3480</v>
      </c>
      <c r="Q975" s="8" t="s">
        <v>8445</v>
      </c>
      <c r="R975" s="8" t="s">
        <v>8446</v>
      </c>
    </row>
    <row r="976">
      <c r="A976" s="8" t="s">
        <v>1372</v>
      </c>
      <c r="B976" s="8" t="s">
        <v>8447</v>
      </c>
      <c r="C976" s="8" t="s">
        <v>8448</v>
      </c>
      <c r="D976" s="9">
        <v>8.308835093E9</v>
      </c>
      <c r="E976" s="8" t="s">
        <v>8449</v>
      </c>
      <c r="F976" s="8" t="s">
        <v>6253</v>
      </c>
      <c r="G976" s="8" t="s">
        <v>8450</v>
      </c>
      <c r="H976" s="8" t="s">
        <v>3479</v>
      </c>
      <c r="I976" s="9">
        <v>0.0</v>
      </c>
      <c r="J976" s="9">
        <v>3294.0</v>
      </c>
      <c r="K976" s="9">
        <v>3294.0</v>
      </c>
      <c r="L976" s="9">
        <v>3294.0</v>
      </c>
      <c r="M976" s="9">
        <v>1740.0</v>
      </c>
      <c r="N976" s="9">
        <v>775.0</v>
      </c>
      <c r="O976" s="9">
        <v>779.0</v>
      </c>
      <c r="P976" s="8" t="s">
        <v>3519</v>
      </c>
      <c r="Q976" s="8"/>
      <c r="R976" s="8"/>
    </row>
    <row r="977">
      <c r="A977" s="8" t="s">
        <v>1289</v>
      </c>
      <c r="B977" s="8" t="s">
        <v>8451</v>
      </c>
      <c r="C977" s="8" t="s">
        <v>8452</v>
      </c>
      <c r="D977" s="9">
        <v>9.960618178E9</v>
      </c>
      <c r="E977" s="8" t="s">
        <v>8453</v>
      </c>
      <c r="F977" s="8" t="s">
        <v>3821</v>
      </c>
      <c r="G977" s="8" t="s">
        <v>8454</v>
      </c>
      <c r="H977" s="8" t="s">
        <v>3479</v>
      </c>
      <c r="I977" s="9">
        <v>0.0</v>
      </c>
      <c r="J977" s="9">
        <v>1150.0</v>
      </c>
      <c r="K977" s="9">
        <v>1150.0</v>
      </c>
      <c r="L977" s="9">
        <v>1150.0</v>
      </c>
      <c r="M977" s="9">
        <v>1150.0</v>
      </c>
      <c r="N977" s="9">
        <v>0.0</v>
      </c>
      <c r="O977" s="9">
        <v>0.0</v>
      </c>
      <c r="P977" s="8" t="s">
        <v>3480</v>
      </c>
      <c r="Q977" s="8"/>
      <c r="R977" s="8"/>
    </row>
    <row r="978">
      <c r="A978" s="8" t="s">
        <v>1371</v>
      </c>
      <c r="B978" s="8" t="s">
        <v>8455</v>
      </c>
      <c r="C978" s="8" t="s">
        <v>8456</v>
      </c>
      <c r="D978" s="9">
        <v>8.691033815E9</v>
      </c>
      <c r="E978" s="8" t="s">
        <v>8457</v>
      </c>
      <c r="F978" s="8" t="s">
        <v>3589</v>
      </c>
      <c r="G978" s="8" t="s">
        <v>8458</v>
      </c>
      <c r="H978" s="8" t="s">
        <v>3479</v>
      </c>
      <c r="I978" s="9">
        <v>0.0</v>
      </c>
      <c r="J978" s="9">
        <v>2416.0</v>
      </c>
      <c r="K978" s="9">
        <v>2416.0</v>
      </c>
      <c r="L978" s="9">
        <v>2416.0</v>
      </c>
      <c r="M978" s="9">
        <v>978.0</v>
      </c>
      <c r="N978" s="9">
        <v>739.0</v>
      </c>
      <c r="O978" s="9">
        <v>699.0</v>
      </c>
      <c r="P978" s="8" t="s">
        <v>3480</v>
      </c>
      <c r="Q978" s="8" t="s">
        <v>8459</v>
      </c>
      <c r="R978" s="8"/>
    </row>
    <row r="979">
      <c r="A979" s="8" t="s">
        <v>1366</v>
      </c>
      <c r="B979" s="8" t="s">
        <v>8460</v>
      </c>
      <c r="C979" s="8" t="s">
        <v>8461</v>
      </c>
      <c r="D979" s="9">
        <v>9.146083378E9</v>
      </c>
      <c r="E979" s="8" t="s">
        <v>8462</v>
      </c>
      <c r="F979" s="8" t="s">
        <v>5979</v>
      </c>
      <c r="G979" s="8" t="s">
        <v>8463</v>
      </c>
      <c r="H979" s="8" t="s">
        <v>3479</v>
      </c>
      <c r="I979" s="9">
        <v>0.0</v>
      </c>
      <c r="J979" s="9">
        <v>3260.0</v>
      </c>
      <c r="K979" s="9">
        <v>3260.0</v>
      </c>
      <c r="L979" s="9">
        <v>3260.0</v>
      </c>
      <c r="M979" s="9">
        <v>2335.0</v>
      </c>
      <c r="N979" s="9">
        <v>0.0</v>
      </c>
      <c r="O979" s="9">
        <v>925.0</v>
      </c>
      <c r="P979" s="8" t="s">
        <v>3480</v>
      </c>
      <c r="Q979" s="8"/>
      <c r="R979" s="8"/>
    </row>
    <row r="980">
      <c r="A980" s="8" t="s">
        <v>1374</v>
      </c>
      <c r="B980" s="8" t="s">
        <v>8464</v>
      </c>
      <c r="C980" s="8" t="s">
        <v>8465</v>
      </c>
      <c r="D980" s="9">
        <v>7.97206915E9</v>
      </c>
      <c r="E980" s="8" t="s">
        <v>8466</v>
      </c>
      <c r="F980" s="8" t="s">
        <v>4059</v>
      </c>
      <c r="G980" s="8" t="s">
        <v>8467</v>
      </c>
      <c r="H980" s="8" t="s">
        <v>3479</v>
      </c>
      <c r="I980" s="9">
        <v>0.0</v>
      </c>
      <c r="J980" s="9">
        <v>2592.0</v>
      </c>
      <c r="K980" s="9">
        <v>2592.0</v>
      </c>
      <c r="L980" s="9">
        <v>2592.0</v>
      </c>
      <c r="M980" s="9">
        <v>2267.0</v>
      </c>
      <c r="N980" s="9">
        <v>0.0</v>
      </c>
      <c r="O980" s="9">
        <v>325.0</v>
      </c>
      <c r="P980" s="8" t="s">
        <v>3480</v>
      </c>
      <c r="Q980" s="8"/>
      <c r="R980" s="8"/>
    </row>
    <row r="981">
      <c r="A981" s="8" t="s">
        <v>1373</v>
      </c>
      <c r="B981" s="8" t="s">
        <v>8468</v>
      </c>
      <c r="C981" s="8" t="s">
        <v>8469</v>
      </c>
      <c r="D981" s="9">
        <v>9.623565855E9</v>
      </c>
      <c r="E981" s="8" t="s">
        <v>8470</v>
      </c>
      <c r="F981" s="8" t="s">
        <v>3589</v>
      </c>
      <c r="G981" s="8" t="s">
        <v>8471</v>
      </c>
      <c r="H981" s="8" t="s">
        <v>8472</v>
      </c>
      <c r="I981" s="9">
        <v>0.0</v>
      </c>
      <c r="J981" s="9">
        <v>2900.0</v>
      </c>
      <c r="K981" s="9">
        <v>2984.0</v>
      </c>
      <c r="L981" s="9">
        <v>2900.0</v>
      </c>
      <c r="M981" s="9">
        <v>1721.0</v>
      </c>
      <c r="N981" s="9">
        <v>739.0</v>
      </c>
      <c r="O981" s="9">
        <v>524.0</v>
      </c>
      <c r="P981" s="8" t="s">
        <v>3544</v>
      </c>
      <c r="Q981" s="8"/>
      <c r="R981" s="8" t="s">
        <v>8473</v>
      </c>
    </row>
    <row r="982">
      <c r="A982" s="8" t="s">
        <v>1367</v>
      </c>
      <c r="B982" s="8" t="s">
        <v>8474</v>
      </c>
      <c r="C982" s="8" t="s">
        <v>3899</v>
      </c>
      <c r="D982" s="9">
        <v>7.406056477E9</v>
      </c>
      <c r="E982" s="8" t="s">
        <v>3900</v>
      </c>
      <c r="F982" s="8" t="s">
        <v>3901</v>
      </c>
      <c r="G982" s="8" t="s">
        <v>8475</v>
      </c>
      <c r="H982" s="8" t="s">
        <v>3479</v>
      </c>
      <c r="I982" s="9">
        <v>0.0</v>
      </c>
      <c r="J982" s="9">
        <v>1948.0</v>
      </c>
      <c r="K982" s="9">
        <v>1948.0</v>
      </c>
      <c r="L982" s="9">
        <v>1948.0</v>
      </c>
      <c r="M982" s="9">
        <v>485.0</v>
      </c>
      <c r="N982" s="9">
        <v>784.0</v>
      </c>
      <c r="O982" s="9">
        <v>679.0</v>
      </c>
      <c r="P982" s="8" t="s">
        <v>3480</v>
      </c>
      <c r="Q982" s="8" t="s">
        <v>3903</v>
      </c>
      <c r="R982" s="8" t="s">
        <v>3904</v>
      </c>
    </row>
    <row r="983">
      <c r="A983" s="8" t="s">
        <v>1369</v>
      </c>
      <c r="B983" s="8" t="s">
        <v>8476</v>
      </c>
      <c r="C983" s="8" t="s">
        <v>5437</v>
      </c>
      <c r="D983" s="9">
        <v>8.308760085E9</v>
      </c>
      <c r="E983" s="8" t="s">
        <v>8477</v>
      </c>
      <c r="F983" s="8" t="s">
        <v>3550</v>
      </c>
      <c r="G983" s="8" t="s">
        <v>8478</v>
      </c>
      <c r="H983" s="8" t="s">
        <v>3479</v>
      </c>
      <c r="I983" s="9">
        <v>0.0</v>
      </c>
      <c r="J983" s="9">
        <v>1678.0</v>
      </c>
      <c r="K983" s="9">
        <v>1678.0</v>
      </c>
      <c r="L983" s="9">
        <v>1678.0</v>
      </c>
      <c r="M983" s="9">
        <v>388.0</v>
      </c>
      <c r="N983" s="9">
        <v>666.0</v>
      </c>
      <c r="O983" s="9">
        <v>624.0</v>
      </c>
      <c r="P983" s="8" t="s">
        <v>3480</v>
      </c>
      <c r="Q983" s="8"/>
      <c r="R983" s="8"/>
    </row>
    <row r="984">
      <c r="A984" s="8" t="s">
        <v>1375</v>
      </c>
      <c r="B984" s="8" t="s">
        <v>8479</v>
      </c>
      <c r="C984" s="8" t="s">
        <v>8480</v>
      </c>
      <c r="D984" s="9">
        <v>9.511687899E9</v>
      </c>
      <c r="E984" s="8" t="s">
        <v>8481</v>
      </c>
      <c r="F984" s="8" t="s">
        <v>3681</v>
      </c>
      <c r="G984" s="8" t="s">
        <v>8482</v>
      </c>
      <c r="H984" s="8" t="s">
        <v>3479</v>
      </c>
      <c r="I984" s="9">
        <v>0.0</v>
      </c>
      <c r="J984" s="9">
        <v>2703.0</v>
      </c>
      <c r="K984" s="9">
        <v>2703.0</v>
      </c>
      <c r="L984" s="9">
        <v>2703.0</v>
      </c>
      <c r="M984" s="9">
        <v>879.0</v>
      </c>
      <c r="N984" s="9">
        <v>775.0</v>
      </c>
      <c r="O984" s="9">
        <v>1049.0</v>
      </c>
      <c r="P984" s="8" t="s">
        <v>3480</v>
      </c>
      <c r="Q984" s="8"/>
      <c r="R984" s="8"/>
    </row>
    <row r="985">
      <c r="A985" s="8" t="s">
        <v>1290</v>
      </c>
      <c r="B985" s="8" t="s">
        <v>8483</v>
      </c>
      <c r="C985" s="8" t="s">
        <v>8484</v>
      </c>
      <c r="D985" s="9">
        <v>9.765611433E9</v>
      </c>
      <c r="E985" s="8" t="s">
        <v>8485</v>
      </c>
      <c r="F985" s="8" t="s">
        <v>3589</v>
      </c>
      <c r="G985" s="8" t="s">
        <v>8486</v>
      </c>
      <c r="H985" s="8" t="s">
        <v>3479</v>
      </c>
      <c r="I985" s="9">
        <v>0.0</v>
      </c>
      <c r="J985" s="9">
        <v>2500.0</v>
      </c>
      <c r="K985" s="9">
        <v>2500.0</v>
      </c>
      <c r="L985" s="9">
        <v>2500.0</v>
      </c>
      <c r="M985" s="9">
        <v>2500.0</v>
      </c>
      <c r="N985" s="9">
        <v>0.0</v>
      </c>
      <c r="O985" s="9">
        <v>0.0</v>
      </c>
      <c r="P985" s="8" t="s">
        <v>3480</v>
      </c>
      <c r="Q985" s="8"/>
      <c r="R985" s="8"/>
    </row>
    <row r="986">
      <c r="A986" s="8" t="s">
        <v>1388</v>
      </c>
      <c r="B986" s="8" t="s">
        <v>8487</v>
      </c>
      <c r="C986" s="8" t="s">
        <v>8488</v>
      </c>
      <c r="D986" s="9">
        <v>8.805413942E9</v>
      </c>
      <c r="E986" s="8" t="s">
        <v>8489</v>
      </c>
      <c r="F986" s="8" t="s">
        <v>3608</v>
      </c>
      <c r="G986" s="8" t="s">
        <v>8490</v>
      </c>
      <c r="H986" s="8" t="s">
        <v>3479</v>
      </c>
      <c r="I986" s="9">
        <v>0.0</v>
      </c>
      <c r="J986" s="9">
        <v>3168.0</v>
      </c>
      <c r="K986" s="9">
        <v>3168.0</v>
      </c>
      <c r="L986" s="9">
        <v>3168.0</v>
      </c>
      <c r="M986" s="9">
        <v>1980.0</v>
      </c>
      <c r="N986" s="9">
        <v>739.0</v>
      </c>
      <c r="O986" s="9">
        <v>449.0</v>
      </c>
      <c r="P986" s="8" t="s">
        <v>3480</v>
      </c>
      <c r="Q986" s="8" t="s">
        <v>8491</v>
      </c>
      <c r="R986" s="8" t="s">
        <v>8492</v>
      </c>
    </row>
    <row r="987">
      <c r="A987" s="8" t="s">
        <v>1387</v>
      </c>
      <c r="B987" s="8" t="s">
        <v>8493</v>
      </c>
      <c r="C987" s="8" t="s">
        <v>8494</v>
      </c>
      <c r="D987" s="9">
        <v>9.322165483E9</v>
      </c>
      <c r="E987" s="8" t="s">
        <v>8495</v>
      </c>
      <c r="F987" s="8" t="s">
        <v>3697</v>
      </c>
      <c r="G987" s="8" t="s">
        <v>8496</v>
      </c>
      <c r="H987" s="8" t="s">
        <v>3479</v>
      </c>
      <c r="I987" s="9">
        <v>0.0</v>
      </c>
      <c r="J987" s="9">
        <v>1643.0</v>
      </c>
      <c r="K987" s="9">
        <v>1643.0</v>
      </c>
      <c r="L987" s="9">
        <v>1643.0</v>
      </c>
      <c r="M987" s="9">
        <v>255.0</v>
      </c>
      <c r="N987" s="9">
        <v>739.0</v>
      </c>
      <c r="O987" s="9">
        <v>649.0</v>
      </c>
      <c r="P987" s="8" t="s">
        <v>3480</v>
      </c>
      <c r="Q987" s="8" t="s">
        <v>8497</v>
      </c>
      <c r="R987" s="8" t="s">
        <v>8498</v>
      </c>
    </row>
    <row r="988">
      <c r="A988" s="8" t="s">
        <v>1368</v>
      </c>
      <c r="B988" s="8" t="s">
        <v>8499</v>
      </c>
      <c r="C988" s="8" t="s">
        <v>8500</v>
      </c>
      <c r="D988" s="9">
        <v>9.075509481E9</v>
      </c>
      <c r="E988" s="8" t="s">
        <v>8501</v>
      </c>
      <c r="F988" s="8" t="s">
        <v>3768</v>
      </c>
      <c r="G988" s="8" t="s">
        <v>8502</v>
      </c>
      <c r="H988" s="8" t="s">
        <v>3479</v>
      </c>
      <c r="I988" s="9">
        <v>0.0</v>
      </c>
      <c r="J988" s="9">
        <v>2469.0</v>
      </c>
      <c r="K988" s="9">
        <v>2469.0</v>
      </c>
      <c r="L988" s="9">
        <v>2469.0</v>
      </c>
      <c r="M988" s="9">
        <v>1236.0</v>
      </c>
      <c r="N988" s="9">
        <v>784.0</v>
      </c>
      <c r="O988" s="9">
        <v>449.0</v>
      </c>
      <c r="P988" s="8" t="s">
        <v>3480</v>
      </c>
      <c r="Q988" s="8" t="s">
        <v>8503</v>
      </c>
      <c r="R988" s="8" t="s">
        <v>8504</v>
      </c>
    </row>
    <row r="989">
      <c r="A989" s="8" t="s">
        <v>1390</v>
      </c>
      <c r="B989" s="8" t="s">
        <v>8505</v>
      </c>
      <c r="C989" s="8" t="s">
        <v>8506</v>
      </c>
      <c r="D989" s="9">
        <v>9.763879453E9</v>
      </c>
      <c r="E989" s="8" t="s">
        <v>8507</v>
      </c>
      <c r="F989" s="8" t="s">
        <v>5771</v>
      </c>
      <c r="G989" s="8" t="s">
        <v>8508</v>
      </c>
      <c r="H989" s="8" t="s">
        <v>3479</v>
      </c>
      <c r="I989" s="9">
        <v>0.0</v>
      </c>
      <c r="J989" s="9">
        <v>663.0</v>
      </c>
      <c r="K989" s="9">
        <v>663.0</v>
      </c>
      <c r="L989" s="9">
        <v>663.0</v>
      </c>
      <c r="M989" s="9">
        <v>214.0</v>
      </c>
      <c r="N989" s="9">
        <v>0.0</v>
      </c>
      <c r="O989" s="9">
        <v>449.0</v>
      </c>
      <c r="P989" s="8" t="s">
        <v>3480</v>
      </c>
      <c r="Q989" s="8" t="s">
        <v>8509</v>
      </c>
      <c r="R989" s="8" t="s">
        <v>8510</v>
      </c>
    </row>
    <row r="990">
      <c r="A990" s="8" t="s">
        <v>1389</v>
      </c>
      <c r="B990" s="8" t="s">
        <v>8511</v>
      </c>
      <c r="C990" s="8" t="s">
        <v>8512</v>
      </c>
      <c r="D990" s="9">
        <v>8.9990363E9</v>
      </c>
      <c r="E990" s="8" t="s">
        <v>8513</v>
      </c>
      <c r="F990" s="8" t="s">
        <v>5979</v>
      </c>
      <c r="G990" s="8" t="s">
        <v>8514</v>
      </c>
      <c r="H990" s="8" t="s">
        <v>3479</v>
      </c>
      <c r="I990" s="9">
        <v>0.0</v>
      </c>
      <c r="J990" s="9">
        <v>3125.0</v>
      </c>
      <c r="K990" s="9">
        <v>3125.0</v>
      </c>
      <c r="L990" s="9">
        <v>3125.0</v>
      </c>
      <c r="M990" s="9">
        <v>1062.0</v>
      </c>
      <c r="N990" s="9">
        <v>914.0</v>
      </c>
      <c r="O990" s="9">
        <v>1149.0</v>
      </c>
      <c r="P990" s="8" t="s">
        <v>3480</v>
      </c>
      <c r="Q990" s="8"/>
      <c r="R990" s="8"/>
    </row>
    <row r="991">
      <c r="A991" s="8" t="s">
        <v>1410</v>
      </c>
      <c r="B991" s="8" t="s">
        <v>8515</v>
      </c>
      <c r="C991" s="8" t="s">
        <v>7645</v>
      </c>
      <c r="D991" s="9">
        <v>8.793291777E9</v>
      </c>
      <c r="E991" s="8" t="s">
        <v>7646</v>
      </c>
      <c r="F991" s="8" t="s">
        <v>3714</v>
      </c>
      <c r="G991" s="8" t="s">
        <v>4036</v>
      </c>
      <c r="H991" s="8" t="s">
        <v>3479</v>
      </c>
      <c r="I991" s="9">
        <v>0.0</v>
      </c>
      <c r="J991" s="9">
        <v>2323.0</v>
      </c>
      <c r="K991" s="9">
        <v>2323.0</v>
      </c>
      <c r="L991" s="9">
        <v>2323.0</v>
      </c>
      <c r="M991" s="9">
        <v>1058.0</v>
      </c>
      <c r="N991" s="9">
        <v>65.0</v>
      </c>
      <c r="O991" s="9">
        <v>1200.0</v>
      </c>
      <c r="P991" s="8" t="s">
        <v>3544</v>
      </c>
      <c r="Q991" s="8" t="s">
        <v>7648</v>
      </c>
      <c r="R991" s="8" t="s">
        <v>7649</v>
      </c>
    </row>
    <row r="992">
      <c r="A992" s="8" t="s">
        <v>1411</v>
      </c>
      <c r="B992" s="8" t="s">
        <v>8516</v>
      </c>
      <c r="C992" s="8" t="s">
        <v>8517</v>
      </c>
      <c r="D992" s="9">
        <v>7.709146799E9</v>
      </c>
      <c r="E992" s="8" t="s">
        <v>8518</v>
      </c>
      <c r="F992" s="8" t="s">
        <v>4366</v>
      </c>
      <c r="G992" s="8" t="s">
        <v>8519</v>
      </c>
      <c r="H992" s="8" t="s">
        <v>3479</v>
      </c>
      <c r="I992" s="9">
        <v>0.0</v>
      </c>
      <c r="J992" s="9">
        <v>5476.0</v>
      </c>
      <c r="K992" s="9">
        <v>5476.0</v>
      </c>
      <c r="L992" s="9">
        <v>5476.0</v>
      </c>
      <c r="M992" s="9">
        <v>4028.0</v>
      </c>
      <c r="N992" s="9">
        <v>849.0</v>
      </c>
      <c r="O992" s="9">
        <v>599.0</v>
      </c>
      <c r="P992" s="8" t="s">
        <v>3480</v>
      </c>
      <c r="Q992" s="8" t="s">
        <v>8520</v>
      </c>
      <c r="R992" s="8" t="s">
        <v>8521</v>
      </c>
    </row>
    <row r="993">
      <c r="A993" s="8" t="s">
        <v>1412</v>
      </c>
      <c r="B993" s="8" t="s">
        <v>8522</v>
      </c>
      <c r="C993" s="8" t="s">
        <v>8523</v>
      </c>
      <c r="D993" s="9">
        <v>9.833114601E9</v>
      </c>
      <c r="E993" s="8" t="s">
        <v>8524</v>
      </c>
      <c r="F993" s="8" t="s">
        <v>4758</v>
      </c>
      <c r="G993" s="8" t="s">
        <v>8525</v>
      </c>
      <c r="H993" s="8" t="s">
        <v>6934</v>
      </c>
      <c r="I993" s="9">
        <v>0.0</v>
      </c>
      <c r="J993" s="9">
        <v>7692.0</v>
      </c>
      <c r="K993" s="9">
        <v>7768.0</v>
      </c>
      <c r="L993" s="9">
        <v>7692.0</v>
      </c>
      <c r="M993" s="9">
        <v>5779.0</v>
      </c>
      <c r="N993" s="9">
        <v>190.0</v>
      </c>
      <c r="O993" s="9">
        <v>1799.0</v>
      </c>
      <c r="P993" s="8" t="s">
        <v>3480</v>
      </c>
      <c r="Q993" s="8" t="s">
        <v>8526</v>
      </c>
      <c r="R993" s="8" t="s">
        <v>8527</v>
      </c>
    </row>
    <row r="994">
      <c r="A994" s="8" t="s">
        <v>1391</v>
      </c>
      <c r="B994" s="8" t="s">
        <v>8528</v>
      </c>
      <c r="C994" s="8" t="s">
        <v>8142</v>
      </c>
      <c r="D994" s="9">
        <v>7.218632686E9</v>
      </c>
      <c r="E994" s="8" t="s">
        <v>8529</v>
      </c>
      <c r="F994" s="8" t="s">
        <v>4150</v>
      </c>
      <c r="G994" s="8" t="s">
        <v>8530</v>
      </c>
      <c r="H994" s="8" t="s">
        <v>3479</v>
      </c>
      <c r="I994" s="9">
        <v>0.0</v>
      </c>
      <c r="J994" s="9">
        <v>2005.0</v>
      </c>
      <c r="K994" s="9">
        <v>2005.0</v>
      </c>
      <c r="L994" s="9">
        <v>2005.0</v>
      </c>
      <c r="M994" s="9">
        <v>487.0</v>
      </c>
      <c r="N994" s="9">
        <v>594.0</v>
      </c>
      <c r="O994" s="9">
        <v>924.0</v>
      </c>
      <c r="P994" s="8" t="s">
        <v>3480</v>
      </c>
      <c r="Q994" s="8"/>
      <c r="R994" s="8"/>
    </row>
    <row r="995">
      <c r="A995" s="8" t="s">
        <v>1334</v>
      </c>
      <c r="B995" s="8" t="s">
        <v>8531</v>
      </c>
      <c r="C995" s="8" t="s">
        <v>8532</v>
      </c>
      <c r="D995" s="9">
        <v>9.823828186E9</v>
      </c>
      <c r="E995" s="8" t="s">
        <v>8533</v>
      </c>
      <c r="F995" s="8" t="s">
        <v>5447</v>
      </c>
      <c r="G995" s="8" t="s">
        <v>8534</v>
      </c>
      <c r="H995" s="8" t="s">
        <v>8535</v>
      </c>
      <c r="I995" s="9">
        <v>0.0</v>
      </c>
      <c r="J995" s="9">
        <v>3100.0</v>
      </c>
      <c r="K995" s="9">
        <v>3126.0</v>
      </c>
      <c r="L995" s="9">
        <v>3100.0</v>
      </c>
      <c r="M995" s="9">
        <v>1518.0</v>
      </c>
      <c r="N995" s="9">
        <v>784.0</v>
      </c>
      <c r="O995" s="9">
        <v>824.0</v>
      </c>
      <c r="P995" s="8" t="s">
        <v>3480</v>
      </c>
      <c r="Q995" s="8" t="s">
        <v>8536</v>
      </c>
      <c r="R995" s="8" t="s">
        <v>8537</v>
      </c>
    </row>
    <row r="996">
      <c r="A996" s="8" t="s">
        <v>1336</v>
      </c>
      <c r="B996" s="8" t="s">
        <v>8538</v>
      </c>
      <c r="C996" s="8" t="s">
        <v>8539</v>
      </c>
      <c r="D996" s="9">
        <v>8.830337694E9</v>
      </c>
      <c r="E996" s="8" t="s">
        <v>8540</v>
      </c>
      <c r="F996" s="8" t="s">
        <v>5613</v>
      </c>
      <c r="G996" s="8" t="s">
        <v>8541</v>
      </c>
      <c r="H996" s="8" t="s">
        <v>3479</v>
      </c>
      <c r="I996" s="9">
        <v>0.0</v>
      </c>
      <c r="J996" s="9">
        <v>4766.0</v>
      </c>
      <c r="K996" s="9">
        <v>4766.0</v>
      </c>
      <c r="L996" s="9">
        <v>4766.0</v>
      </c>
      <c r="M996" s="9">
        <v>3657.0</v>
      </c>
      <c r="N996" s="9">
        <v>660.0</v>
      </c>
      <c r="O996" s="9">
        <v>449.0</v>
      </c>
      <c r="P996" s="8" t="s">
        <v>3480</v>
      </c>
      <c r="Q996" s="8" t="s">
        <v>8542</v>
      </c>
      <c r="R996" s="8" t="s">
        <v>8543</v>
      </c>
    </row>
    <row r="997">
      <c r="A997" s="8" t="s">
        <v>1337</v>
      </c>
      <c r="B997" s="8" t="s">
        <v>8544</v>
      </c>
      <c r="C997" s="8" t="s">
        <v>8545</v>
      </c>
      <c r="D997" s="9">
        <v>9.686753313E9</v>
      </c>
      <c r="E997" s="8" t="s">
        <v>8546</v>
      </c>
      <c r="F997" s="8" t="s">
        <v>3908</v>
      </c>
      <c r="G997" s="8" t="s">
        <v>3494</v>
      </c>
      <c r="H997" s="8" t="s">
        <v>3479</v>
      </c>
      <c r="I997" s="9">
        <v>0.0</v>
      </c>
      <c r="J997" s="9">
        <v>4640.0</v>
      </c>
      <c r="K997" s="9">
        <v>4640.0</v>
      </c>
      <c r="L997" s="9">
        <v>4640.0</v>
      </c>
      <c r="M997" s="9">
        <v>2882.0</v>
      </c>
      <c r="N997" s="9">
        <v>784.0</v>
      </c>
      <c r="O997" s="9">
        <v>974.0</v>
      </c>
      <c r="P997" s="8" t="s">
        <v>3480</v>
      </c>
      <c r="Q997" s="8" t="s">
        <v>8547</v>
      </c>
      <c r="R997" s="8" t="s">
        <v>8548</v>
      </c>
    </row>
    <row r="998">
      <c r="A998" s="8" t="s">
        <v>1422</v>
      </c>
      <c r="B998" s="8" t="s">
        <v>8549</v>
      </c>
      <c r="C998" s="8" t="s">
        <v>8550</v>
      </c>
      <c r="D998" s="9">
        <v>9.075953518E9</v>
      </c>
      <c r="E998" s="8" t="s">
        <v>8551</v>
      </c>
      <c r="F998" s="8" t="s">
        <v>8552</v>
      </c>
      <c r="G998" s="8" t="s">
        <v>8553</v>
      </c>
      <c r="H998" s="8" t="s">
        <v>3479</v>
      </c>
      <c r="I998" s="9">
        <v>0.0</v>
      </c>
      <c r="J998" s="9">
        <v>2828.0</v>
      </c>
      <c r="K998" s="9">
        <v>2828.0</v>
      </c>
      <c r="L998" s="9">
        <v>2828.0</v>
      </c>
      <c r="M998" s="9">
        <v>1514.0</v>
      </c>
      <c r="N998" s="9">
        <v>190.0</v>
      </c>
      <c r="O998" s="9">
        <v>1124.0</v>
      </c>
      <c r="P998" s="8" t="s">
        <v>3519</v>
      </c>
      <c r="Q998" s="8" t="s">
        <v>8554</v>
      </c>
      <c r="R998" s="8" t="s">
        <v>8555</v>
      </c>
    </row>
    <row r="999">
      <c r="A999" s="8" t="s">
        <v>1338</v>
      </c>
      <c r="B999" s="8" t="s">
        <v>8556</v>
      </c>
      <c r="C999" s="8" t="s">
        <v>8557</v>
      </c>
      <c r="D999" s="9">
        <v>7.073828883E9</v>
      </c>
      <c r="E999" s="8" t="s">
        <v>8558</v>
      </c>
      <c r="F999" s="8" t="s">
        <v>5872</v>
      </c>
      <c r="G999" s="8" t="s">
        <v>8559</v>
      </c>
      <c r="H999" s="8" t="s">
        <v>7064</v>
      </c>
      <c r="I999" s="9">
        <v>0.0</v>
      </c>
      <c r="J999" s="9">
        <v>3000.0</v>
      </c>
      <c r="K999" s="9">
        <v>3098.0</v>
      </c>
      <c r="L999" s="9">
        <v>3000.0</v>
      </c>
      <c r="M999" s="9">
        <v>159.0</v>
      </c>
      <c r="N999" s="9">
        <v>2140.0</v>
      </c>
      <c r="O999" s="9">
        <v>799.0</v>
      </c>
      <c r="P999" s="8" t="s">
        <v>3480</v>
      </c>
      <c r="Q999" s="8"/>
      <c r="R999" s="8"/>
    </row>
    <row r="1000">
      <c r="A1000" s="8" t="s">
        <v>1335</v>
      </c>
      <c r="B1000" s="8" t="s">
        <v>8560</v>
      </c>
      <c r="C1000" s="8" t="s">
        <v>8561</v>
      </c>
      <c r="D1000" s="9">
        <v>7.776017931E9</v>
      </c>
      <c r="E1000" s="8" t="s">
        <v>8562</v>
      </c>
      <c r="F1000" s="8" t="s">
        <v>3697</v>
      </c>
      <c r="G1000" s="8" t="s">
        <v>8563</v>
      </c>
      <c r="H1000" s="8" t="s">
        <v>3479</v>
      </c>
      <c r="I1000" s="9">
        <v>0.0</v>
      </c>
      <c r="J1000" s="9">
        <v>1340.0</v>
      </c>
      <c r="K1000" s="9">
        <v>1340.0</v>
      </c>
      <c r="L1000" s="9">
        <v>1340.0</v>
      </c>
      <c r="M1000" s="9">
        <v>161.0</v>
      </c>
      <c r="N1000" s="9">
        <v>730.0</v>
      </c>
      <c r="O1000" s="9">
        <v>449.0</v>
      </c>
      <c r="P1000" s="8" t="s">
        <v>3480</v>
      </c>
      <c r="Q1000" s="8" t="s">
        <v>8564</v>
      </c>
      <c r="R1000" s="8"/>
    </row>
    <row r="1001">
      <c r="A1001" s="8" t="s">
        <v>1341</v>
      </c>
      <c r="B1001" s="8" t="s">
        <v>8565</v>
      </c>
      <c r="C1001" s="8" t="s">
        <v>8566</v>
      </c>
      <c r="D1001" s="9">
        <v>7.999037534E9</v>
      </c>
      <c r="E1001" s="8" t="s">
        <v>8567</v>
      </c>
      <c r="F1001" s="8" t="s">
        <v>3594</v>
      </c>
      <c r="G1001" s="8" t="s">
        <v>8568</v>
      </c>
      <c r="H1001" s="8" t="s">
        <v>3479</v>
      </c>
      <c r="I1001" s="9">
        <v>0.0</v>
      </c>
      <c r="J1001" s="9">
        <v>4739.0</v>
      </c>
      <c r="K1001" s="9">
        <v>4739.0</v>
      </c>
      <c r="L1001" s="9">
        <v>4739.0</v>
      </c>
      <c r="M1001" s="9">
        <v>3110.0</v>
      </c>
      <c r="N1001" s="9">
        <v>730.0</v>
      </c>
      <c r="O1001" s="9">
        <v>899.0</v>
      </c>
      <c r="P1001" s="8" t="s">
        <v>3480</v>
      </c>
      <c r="Q1001" s="8" t="s">
        <v>8569</v>
      </c>
      <c r="R1001" s="8" t="s">
        <v>8570</v>
      </c>
    </row>
    <row r="1002">
      <c r="A1002" s="8" t="s">
        <v>1340</v>
      </c>
      <c r="B1002" s="8" t="s">
        <v>8571</v>
      </c>
      <c r="C1002" s="8" t="s">
        <v>5177</v>
      </c>
      <c r="D1002" s="9">
        <v>9.923054555E9</v>
      </c>
      <c r="E1002" s="8" t="s">
        <v>8572</v>
      </c>
      <c r="F1002" s="8" t="s">
        <v>8573</v>
      </c>
      <c r="G1002" s="8" t="s">
        <v>8574</v>
      </c>
      <c r="H1002" s="8" t="s">
        <v>3479</v>
      </c>
      <c r="I1002" s="9">
        <v>0.0</v>
      </c>
      <c r="J1002" s="9">
        <v>1550.0</v>
      </c>
      <c r="K1002" s="9">
        <v>1550.0</v>
      </c>
      <c r="L1002" s="9">
        <v>1550.0</v>
      </c>
      <c r="M1002" s="9">
        <v>1550.0</v>
      </c>
      <c r="N1002" s="9">
        <v>0.0</v>
      </c>
      <c r="O1002" s="9">
        <v>0.0</v>
      </c>
      <c r="P1002" s="8" t="s">
        <v>3480</v>
      </c>
      <c r="Q1002" s="8"/>
      <c r="R1002" s="8"/>
    </row>
    <row r="1003">
      <c r="A1003" s="8" t="s">
        <v>1428</v>
      </c>
      <c r="B1003" s="8" t="s">
        <v>8575</v>
      </c>
      <c r="C1003" s="8" t="s">
        <v>8576</v>
      </c>
      <c r="D1003" s="9">
        <v>8.08773925E9</v>
      </c>
      <c r="E1003" s="8" t="s">
        <v>8577</v>
      </c>
      <c r="F1003" s="8" t="s">
        <v>3692</v>
      </c>
      <c r="G1003" s="8" t="s">
        <v>8578</v>
      </c>
      <c r="H1003" s="8" t="s">
        <v>3479</v>
      </c>
      <c r="I1003" s="9">
        <v>0.0</v>
      </c>
      <c r="J1003" s="9">
        <v>2530.0</v>
      </c>
      <c r="K1003" s="9">
        <v>2530.0</v>
      </c>
      <c r="L1003" s="9">
        <v>2530.0</v>
      </c>
      <c r="M1003" s="9">
        <v>1491.0</v>
      </c>
      <c r="N1003" s="9">
        <v>65.0</v>
      </c>
      <c r="O1003" s="9">
        <v>974.0</v>
      </c>
      <c r="P1003" s="8" t="s">
        <v>3480</v>
      </c>
      <c r="Q1003" s="8" t="s">
        <v>8579</v>
      </c>
      <c r="R1003" s="8" t="s">
        <v>8580</v>
      </c>
    </row>
    <row r="1004">
      <c r="A1004" s="8" t="s">
        <v>1339</v>
      </c>
      <c r="B1004" s="8" t="s">
        <v>8581</v>
      </c>
      <c r="C1004" s="8" t="s">
        <v>8582</v>
      </c>
      <c r="D1004" s="9">
        <v>9.823751917E9</v>
      </c>
      <c r="E1004" s="8" t="s">
        <v>8583</v>
      </c>
      <c r="F1004" s="8" t="s">
        <v>4018</v>
      </c>
      <c r="G1004" s="8" t="s">
        <v>8584</v>
      </c>
      <c r="H1004" s="8" t="s">
        <v>3479</v>
      </c>
      <c r="I1004" s="9">
        <v>0.0</v>
      </c>
      <c r="J1004" s="9">
        <v>2749.0</v>
      </c>
      <c r="K1004" s="9">
        <v>2749.0</v>
      </c>
      <c r="L1004" s="9">
        <v>2749.0</v>
      </c>
      <c r="M1004" s="9">
        <v>1145.0</v>
      </c>
      <c r="N1004" s="9">
        <v>730.0</v>
      </c>
      <c r="O1004" s="9">
        <v>874.0</v>
      </c>
      <c r="P1004" s="8" t="s">
        <v>3480</v>
      </c>
      <c r="Q1004" s="8" t="s">
        <v>8585</v>
      </c>
      <c r="R1004" s="8" t="s">
        <v>8586</v>
      </c>
    </row>
    <row r="1005">
      <c r="A1005" s="8" t="s">
        <v>1358</v>
      </c>
      <c r="B1005" s="8" t="s">
        <v>8587</v>
      </c>
      <c r="C1005" s="8" t="s">
        <v>8588</v>
      </c>
      <c r="D1005" s="9">
        <v>7.841981343E9</v>
      </c>
      <c r="E1005" s="8" t="s">
        <v>8589</v>
      </c>
      <c r="F1005" s="8" t="s">
        <v>5485</v>
      </c>
      <c r="G1005" s="8" t="s">
        <v>8590</v>
      </c>
      <c r="H1005" s="8" t="s">
        <v>3479</v>
      </c>
      <c r="I1005" s="9">
        <v>0.0</v>
      </c>
      <c r="J1005" s="9">
        <v>779.0</v>
      </c>
      <c r="K1005" s="9">
        <v>779.0</v>
      </c>
      <c r="L1005" s="9">
        <v>779.0</v>
      </c>
      <c r="M1005" s="9">
        <v>80.0</v>
      </c>
      <c r="N1005" s="9">
        <v>0.0</v>
      </c>
      <c r="O1005" s="9">
        <v>699.0</v>
      </c>
      <c r="P1005" s="8" t="s">
        <v>3480</v>
      </c>
      <c r="Q1005" s="8"/>
      <c r="R1005" s="8"/>
    </row>
    <row r="1006">
      <c r="A1006" s="8" t="s">
        <v>1423</v>
      </c>
      <c r="B1006" s="8" t="s">
        <v>8591</v>
      </c>
      <c r="C1006" s="8" t="s">
        <v>8592</v>
      </c>
      <c r="D1006" s="9">
        <v>9.922930157E9</v>
      </c>
      <c r="E1006" s="8" t="s">
        <v>8593</v>
      </c>
      <c r="F1006" s="8" t="s">
        <v>3542</v>
      </c>
      <c r="G1006" s="8" t="s">
        <v>4036</v>
      </c>
      <c r="H1006" s="8" t="s">
        <v>3479</v>
      </c>
      <c r="I1006" s="9">
        <v>0.0</v>
      </c>
      <c r="J1006" s="9">
        <v>790.0</v>
      </c>
      <c r="K1006" s="9">
        <v>790.0</v>
      </c>
      <c r="L1006" s="9">
        <v>790.0</v>
      </c>
      <c r="M1006" s="9">
        <v>790.0</v>
      </c>
      <c r="N1006" s="9">
        <v>0.0</v>
      </c>
      <c r="O1006" s="9">
        <v>0.0</v>
      </c>
      <c r="P1006" s="8" t="s">
        <v>3480</v>
      </c>
      <c r="Q1006" s="8" t="s">
        <v>8594</v>
      </c>
      <c r="R1006" s="8" t="s">
        <v>8595</v>
      </c>
    </row>
    <row r="1007">
      <c r="A1007" s="8" t="s">
        <v>1359</v>
      </c>
      <c r="B1007" s="8" t="s">
        <v>8596</v>
      </c>
      <c r="C1007" s="8" t="s">
        <v>8597</v>
      </c>
      <c r="D1007" s="9">
        <v>7.71597177E9</v>
      </c>
      <c r="E1007" s="8" t="s">
        <v>8598</v>
      </c>
      <c r="F1007" s="8" t="s">
        <v>3608</v>
      </c>
      <c r="G1007" s="8" t="s">
        <v>8599</v>
      </c>
      <c r="H1007" s="8" t="s">
        <v>3479</v>
      </c>
      <c r="I1007" s="9">
        <v>0.0</v>
      </c>
      <c r="J1007" s="9">
        <v>3178.0</v>
      </c>
      <c r="K1007" s="9">
        <v>3178.0</v>
      </c>
      <c r="L1007" s="9">
        <v>3178.0</v>
      </c>
      <c r="M1007" s="9">
        <v>2124.0</v>
      </c>
      <c r="N1007" s="9">
        <v>739.0</v>
      </c>
      <c r="O1007" s="9">
        <v>315.0</v>
      </c>
      <c r="P1007" s="8" t="s">
        <v>3480</v>
      </c>
      <c r="Q1007" s="8" t="s">
        <v>8600</v>
      </c>
      <c r="R1007" s="8" t="s">
        <v>8601</v>
      </c>
    </row>
    <row r="1008">
      <c r="A1008" s="8" t="s">
        <v>1360</v>
      </c>
      <c r="B1008" s="8" t="s">
        <v>8602</v>
      </c>
      <c r="C1008" s="8" t="s">
        <v>7568</v>
      </c>
      <c r="D1008" s="9">
        <v>9.422312026E9</v>
      </c>
      <c r="E1008" s="8" t="s">
        <v>8603</v>
      </c>
      <c r="F1008" s="8" t="s">
        <v>3523</v>
      </c>
      <c r="G1008" s="8" t="s">
        <v>8604</v>
      </c>
      <c r="H1008" s="8" t="s">
        <v>3479</v>
      </c>
      <c r="I1008" s="9">
        <v>0.0</v>
      </c>
      <c r="J1008" s="9">
        <v>2868.0</v>
      </c>
      <c r="K1008" s="9">
        <v>2868.0</v>
      </c>
      <c r="L1008" s="9">
        <v>2868.0</v>
      </c>
      <c r="M1008" s="9">
        <v>1530.0</v>
      </c>
      <c r="N1008" s="9">
        <v>739.0</v>
      </c>
      <c r="O1008" s="9">
        <v>599.0</v>
      </c>
      <c r="P1008" s="8" t="s">
        <v>3480</v>
      </c>
      <c r="Q1008" s="8" t="s">
        <v>8605</v>
      </c>
      <c r="R1008" s="8" t="s">
        <v>8606</v>
      </c>
    </row>
    <row r="1009">
      <c r="A1009" s="8" t="s">
        <v>1361</v>
      </c>
      <c r="B1009" s="8" t="s">
        <v>8607</v>
      </c>
      <c r="C1009" s="8" t="s">
        <v>8608</v>
      </c>
      <c r="D1009" s="9">
        <v>8.37982917E9</v>
      </c>
      <c r="E1009" s="8" t="s">
        <v>8609</v>
      </c>
      <c r="F1009" s="8" t="s">
        <v>3550</v>
      </c>
      <c r="G1009" s="8" t="s">
        <v>8610</v>
      </c>
      <c r="H1009" s="8" t="s">
        <v>3479</v>
      </c>
      <c r="I1009" s="9">
        <v>0.0</v>
      </c>
      <c r="J1009" s="9">
        <v>1818.0</v>
      </c>
      <c r="K1009" s="9">
        <v>1818.0</v>
      </c>
      <c r="L1009" s="9">
        <v>1818.0</v>
      </c>
      <c r="M1009" s="9">
        <v>630.0</v>
      </c>
      <c r="N1009" s="9">
        <v>739.0</v>
      </c>
      <c r="O1009" s="9">
        <v>449.0</v>
      </c>
      <c r="P1009" s="8" t="s">
        <v>3480</v>
      </c>
      <c r="Q1009" s="8" t="s">
        <v>8611</v>
      </c>
      <c r="R1009" s="8" t="s">
        <v>8612</v>
      </c>
    </row>
    <row r="1010">
      <c r="A1010" s="8" t="s">
        <v>1342</v>
      </c>
      <c r="B1010" s="8" t="s">
        <v>8613</v>
      </c>
      <c r="C1010" s="8" t="s">
        <v>8614</v>
      </c>
      <c r="D1010" s="9">
        <v>9.987441077E9</v>
      </c>
      <c r="E1010" s="8" t="s">
        <v>8615</v>
      </c>
      <c r="F1010" s="8" t="s">
        <v>4391</v>
      </c>
      <c r="G1010" s="8" t="s">
        <v>8616</v>
      </c>
      <c r="H1010" s="8" t="s">
        <v>3479</v>
      </c>
      <c r="I1010" s="9">
        <v>0.0</v>
      </c>
      <c r="J1010" s="9">
        <v>1500.0</v>
      </c>
      <c r="K1010" s="9">
        <v>1500.0</v>
      </c>
      <c r="L1010" s="9">
        <v>1500.0</v>
      </c>
      <c r="M1010" s="9">
        <v>1500.0</v>
      </c>
      <c r="N1010" s="9">
        <v>0.0</v>
      </c>
      <c r="O1010" s="9">
        <v>0.0</v>
      </c>
      <c r="P1010" s="8" t="s">
        <v>3480</v>
      </c>
      <c r="Q1010" s="8"/>
      <c r="R1010" s="8"/>
    </row>
    <row r="1011">
      <c r="A1011" s="8" t="s">
        <v>1424</v>
      </c>
      <c r="B1011" s="8" t="s">
        <v>8617</v>
      </c>
      <c r="C1011" s="8" t="s">
        <v>7568</v>
      </c>
      <c r="D1011" s="9">
        <v>9.370530324E9</v>
      </c>
      <c r="E1011" s="8" t="s">
        <v>8618</v>
      </c>
      <c r="F1011" s="8" t="s">
        <v>3934</v>
      </c>
      <c r="G1011" s="8" t="s">
        <v>8619</v>
      </c>
      <c r="H1011" s="8" t="s">
        <v>3479</v>
      </c>
      <c r="I1011" s="9">
        <v>0.0</v>
      </c>
      <c r="J1011" s="9">
        <v>1622.0</v>
      </c>
      <c r="K1011" s="9">
        <v>1622.0</v>
      </c>
      <c r="L1011" s="9">
        <v>1622.0</v>
      </c>
      <c r="M1011" s="9">
        <v>443.0</v>
      </c>
      <c r="N1011" s="9">
        <v>730.0</v>
      </c>
      <c r="O1011" s="9">
        <v>449.0</v>
      </c>
      <c r="P1011" s="8" t="s">
        <v>3480</v>
      </c>
      <c r="Q1011" s="8"/>
      <c r="R1011" s="8"/>
    </row>
    <row r="1012">
      <c r="A1012" s="8" t="s">
        <v>1425</v>
      </c>
      <c r="B1012" s="8" t="s">
        <v>8620</v>
      </c>
      <c r="C1012" s="8" t="s">
        <v>5495</v>
      </c>
      <c r="D1012" s="9">
        <v>9.326075507E9</v>
      </c>
      <c r="E1012" s="8" t="s">
        <v>8621</v>
      </c>
      <c r="F1012" s="8" t="s">
        <v>4093</v>
      </c>
      <c r="G1012" s="8" t="s">
        <v>8622</v>
      </c>
      <c r="H1012" s="8" t="s">
        <v>3479</v>
      </c>
      <c r="I1012" s="9">
        <v>0.0</v>
      </c>
      <c r="J1012" s="9">
        <v>3701.0</v>
      </c>
      <c r="K1012" s="9">
        <v>3701.0</v>
      </c>
      <c r="L1012" s="9">
        <v>3701.0</v>
      </c>
      <c r="M1012" s="9">
        <v>1668.0</v>
      </c>
      <c r="N1012" s="9">
        <v>784.0</v>
      </c>
      <c r="O1012" s="9">
        <v>1249.0</v>
      </c>
      <c r="P1012" s="8" t="s">
        <v>3480</v>
      </c>
      <c r="Q1012" s="8" t="s">
        <v>8623</v>
      </c>
      <c r="R1012" s="8" t="s">
        <v>8624</v>
      </c>
    </row>
    <row r="1013">
      <c r="A1013" s="8" t="s">
        <v>1357</v>
      </c>
      <c r="B1013" s="8" t="s">
        <v>8625</v>
      </c>
      <c r="C1013" s="8" t="s">
        <v>8626</v>
      </c>
      <c r="D1013" s="9">
        <v>8.149414243E9</v>
      </c>
      <c r="E1013" s="8" t="s">
        <v>8627</v>
      </c>
      <c r="F1013" s="8" t="s">
        <v>3550</v>
      </c>
      <c r="G1013" s="8" t="s">
        <v>8628</v>
      </c>
      <c r="H1013" s="8" t="s">
        <v>3479</v>
      </c>
      <c r="I1013" s="9">
        <v>0.0</v>
      </c>
      <c r="J1013" s="9">
        <v>3263.0</v>
      </c>
      <c r="K1013" s="9">
        <v>3263.0</v>
      </c>
      <c r="L1013" s="9">
        <v>3263.0</v>
      </c>
      <c r="M1013" s="9">
        <v>2075.0</v>
      </c>
      <c r="N1013" s="9">
        <v>739.0</v>
      </c>
      <c r="O1013" s="9">
        <v>449.0</v>
      </c>
      <c r="P1013" s="8" t="s">
        <v>3480</v>
      </c>
      <c r="Q1013" s="8" t="s">
        <v>8629</v>
      </c>
      <c r="R1013" s="8" t="s">
        <v>8630</v>
      </c>
    </row>
    <row r="1014">
      <c r="A1014" s="8" t="s">
        <v>1363</v>
      </c>
      <c r="B1014" s="8" t="s">
        <v>8631</v>
      </c>
      <c r="C1014" s="8" t="s">
        <v>8632</v>
      </c>
      <c r="D1014" s="9">
        <v>8.600873977E9</v>
      </c>
      <c r="E1014" s="8" t="s">
        <v>8633</v>
      </c>
      <c r="F1014" s="8" t="s">
        <v>3653</v>
      </c>
      <c r="G1014" s="8" t="s">
        <v>8634</v>
      </c>
      <c r="H1014" s="8" t="s">
        <v>3479</v>
      </c>
      <c r="I1014" s="9">
        <v>0.0</v>
      </c>
      <c r="J1014" s="9">
        <v>2166.0</v>
      </c>
      <c r="K1014" s="9">
        <v>2166.0</v>
      </c>
      <c r="L1014" s="9">
        <v>2166.0</v>
      </c>
      <c r="M1014" s="9">
        <v>430.0</v>
      </c>
      <c r="N1014" s="9">
        <v>962.0</v>
      </c>
      <c r="O1014" s="9">
        <v>774.0</v>
      </c>
      <c r="P1014" s="8" t="s">
        <v>3480</v>
      </c>
      <c r="Q1014" s="8"/>
      <c r="R1014" s="8"/>
    </row>
    <row r="1015">
      <c r="A1015" s="8" t="s">
        <v>1426</v>
      </c>
      <c r="B1015" s="8" t="s">
        <v>8635</v>
      </c>
      <c r="C1015" s="8" t="s">
        <v>8636</v>
      </c>
      <c r="D1015" s="9">
        <v>7.769976094E9</v>
      </c>
      <c r="E1015" s="8" t="s">
        <v>8637</v>
      </c>
      <c r="F1015" s="8" t="s">
        <v>5918</v>
      </c>
      <c r="G1015" s="8" t="s">
        <v>8638</v>
      </c>
      <c r="H1015" s="8" t="s">
        <v>3967</v>
      </c>
      <c r="I1015" s="9">
        <v>0.0</v>
      </c>
      <c r="J1015" s="9">
        <v>600.0</v>
      </c>
      <c r="K1015" s="9">
        <v>609.0</v>
      </c>
      <c r="L1015" s="9">
        <v>600.0</v>
      </c>
      <c r="M1015" s="9">
        <v>160.0</v>
      </c>
      <c r="N1015" s="9">
        <v>0.0</v>
      </c>
      <c r="O1015" s="9">
        <v>449.0</v>
      </c>
      <c r="P1015" s="8" t="s">
        <v>3480</v>
      </c>
      <c r="Q1015" s="8" t="s">
        <v>8639</v>
      </c>
      <c r="R1015" s="8" t="s">
        <v>8640</v>
      </c>
    </row>
    <row r="1016">
      <c r="A1016" s="8" t="s">
        <v>1427</v>
      </c>
      <c r="B1016" s="8" t="s">
        <v>8641</v>
      </c>
      <c r="C1016" s="8" t="s">
        <v>8642</v>
      </c>
      <c r="D1016" s="9">
        <v>8.446391968E9</v>
      </c>
      <c r="E1016" s="8" t="s">
        <v>8643</v>
      </c>
      <c r="F1016" s="8" t="s">
        <v>3589</v>
      </c>
      <c r="G1016" s="8" t="s">
        <v>8644</v>
      </c>
      <c r="H1016" s="8" t="s">
        <v>3479</v>
      </c>
      <c r="I1016" s="9">
        <v>0.0</v>
      </c>
      <c r="J1016" s="9">
        <v>2899.0</v>
      </c>
      <c r="K1016" s="9">
        <v>2899.0</v>
      </c>
      <c r="L1016" s="9">
        <v>2899.0</v>
      </c>
      <c r="M1016" s="9">
        <v>1636.0</v>
      </c>
      <c r="N1016" s="9">
        <v>739.0</v>
      </c>
      <c r="O1016" s="9">
        <v>524.0</v>
      </c>
      <c r="P1016" s="8" t="s">
        <v>3480</v>
      </c>
      <c r="Q1016" s="8" t="s">
        <v>8645</v>
      </c>
      <c r="R1016" s="8" t="s">
        <v>8646</v>
      </c>
    </row>
    <row r="1017">
      <c r="A1017" s="8" t="s">
        <v>1343</v>
      </c>
      <c r="B1017" s="8" t="s">
        <v>8647</v>
      </c>
      <c r="C1017" s="8" t="s">
        <v>8648</v>
      </c>
      <c r="D1017" s="9">
        <v>9.422659013E9</v>
      </c>
      <c r="E1017" s="8" t="s">
        <v>8649</v>
      </c>
      <c r="F1017" s="8" t="s">
        <v>8650</v>
      </c>
      <c r="G1017" s="8" t="s">
        <v>3494</v>
      </c>
      <c r="H1017" s="8" t="s">
        <v>3479</v>
      </c>
      <c r="I1017" s="9">
        <v>0.0</v>
      </c>
      <c r="J1017" s="9">
        <v>2020.0</v>
      </c>
      <c r="K1017" s="9">
        <v>2020.0</v>
      </c>
      <c r="L1017" s="9">
        <v>2020.0</v>
      </c>
      <c r="M1017" s="9">
        <v>1081.0</v>
      </c>
      <c r="N1017" s="9">
        <v>190.0</v>
      </c>
      <c r="O1017" s="9">
        <v>749.0</v>
      </c>
      <c r="P1017" s="8" t="s">
        <v>3480</v>
      </c>
      <c r="Q1017" s="8" t="s">
        <v>8651</v>
      </c>
      <c r="R1017" s="8" t="s">
        <v>8652</v>
      </c>
    </row>
    <row r="1018">
      <c r="A1018" s="8" t="s">
        <v>1362</v>
      </c>
      <c r="B1018" s="8" t="s">
        <v>8653</v>
      </c>
      <c r="C1018" s="8" t="s">
        <v>5402</v>
      </c>
      <c r="D1018" s="9">
        <v>9.850778933E9</v>
      </c>
      <c r="E1018" s="8" t="s">
        <v>8654</v>
      </c>
      <c r="F1018" s="8" t="s">
        <v>3594</v>
      </c>
      <c r="G1018" s="8" t="s">
        <v>8655</v>
      </c>
      <c r="H1018" s="8" t="s">
        <v>3479</v>
      </c>
      <c r="I1018" s="9">
        <v>0.0</v>
      </c>
      <c r="J1018" s="9">
        <v>1129.0</v>
      </c>
      <c r="K1018" s="9">
        <v>1129.0</v>
      </c>
      <c r="L1018" s="9">
        <v>1129.0</v>
      </c>
      <c r="M1018" s="9">
        <v>530.0</v>
      </c>
      <c r="N1018" s="9">
        <v>0.0</v>
      </c>
      <c r="O1018" s="9">
        <v>599.0</v>
      </c>
      <c r="P1018" s="8" t="s">
        <v>3544</v>
      </c>
      <c r="Q1018" s="8"/>
      <c r="R1018" s="8"/>
    </row>
    <row r="1019">
      <c r="A1019" s="8" t="s">
        <v>1316</v>
      </c>
      <c r="B1019" s="8" t="s">
        <v>8656</v>
      </c>
      <c r="C1019" s="8" t="s">
        <v>8657</v>
      </c>
      <c r="D1019" s="9">
        <v>9.423424644E9</v>
      </c>
      <c r="E1019" s="8" t="s">
        <v>8658</v>
      </c>
      <c r="F1019" s="8" t="s">
        <v>3523</v>
      </c>
      <c r="G1019" s="8" t="s">
        <v>8659</v>
      </c>
      <c r="H1019" s="8" t="s">
        <v>8660</v>
      </c>
      <c r="I1019" s="9">
        <v>0.0</v>
      </c>
      <c r="J1019" s="9">
        <v>2000.0</v>
      </c>
      <c r="K1019" s="9">
        <v>2177.0</v>
      </c>
      <c r="L1019" s="9">
        <v>2000.0</v>
      </c>
      <c r="M1019" s="9">
        <v>1573.0</v>
      </c>
      <c r="N1019" s="9">
        <v>80.0</v>
      </c>
      <c r="O1019" s="9">
        <v>524.0</v>
      </c>
      <c r="P1019" s="8" t="s">
        <v>3480</v>
      </c>
      <c r="Q1019" s="8" t="s">
        <v>8661</v>
      </c>
      <c r="R1019" s="8" t="s">
        <v>8662</v>
      </c>
    </row>
    <row r="1020">
      <c r="A1020" s="8" t="s">
        <v>1364</v>
      </c>
      <c r="B1020" s="8" t="s">
        <v>8663</v>
      </c>
      <c r="C1020" s="8" t="s">
        <v>8664</v>
      </c>
      <c r="D1020" s="9">
        <v>9.588623757E9</v>
      </c>
      <c r="E1020" s="8" t="s">
        <v>8665</v>
      </c>
      <c r="F1020" s="8" t="s">
        <v>3908</v>
      </c>
      <c r="G1020" s="8" t="s">
        <v>8666</v>
      </c>
      <c r="H1020" s="8" t="s">
        <v>3479</v>
      </c>
      <c r="I1020" s="9">
        <v>0.0</v>
      </c>
      <c r="J1020" s="9">
        <v>1963.0</v>
      </c>
      <c r="K1020" s="9">
        <v>1963.0</v>
      </c>
      <c r="L1020" s="9">
        <v>1963.0</v>
      </c>
      <c r="M1020" s="9">
        <v>589.0</v>
      </c>
      <c r="N1020" s="9">
        <v>775.0</v>
      </c>
      <c r="O1020" s="9">
        <v>599.0</v>
      </c>
      <c r="P1020" s="8" t="s">
        <v>3544</v>
      </c>
      <c r="Q1020" s="8" t="s">
        <v>8667</v>
      </c>
      <c r="R1020" s="8" t="s">
        <v>8668</v>
      </c>
    </row>
    <row r="1021">
      <c r="A1021" s="8" t="s">
        <v>1436</v>
      </c>
      <c r="B1021" s="8" t="s">
        <v>8669</v>
      </c>
      <c r="C1021" s="8" t="s">
        <v>8670</v>
      </c>
      <c r="D1021" s="9">
        <v>9.881304592E9</v>
      </c>
      <c r="E1021" s="8" t="s">
        <v>8671</v>
      </c>
      <c r="F1021" s="8" t="s">
        <v>3721</v>
      </c>
      <c r="G1021" s="8" t="s">
        <v>8672</v>
      </c>
      <c r="H1021" s="8" t="s">
        <v>3479</v>
      </c>
      <c r="I1021" s="9">
        <v>0.0</v>
      </c>
      <c r="J1021" s="9">
        <v>1994.0</v>
      </c>
      <c r="K1021" s="9">
        <v>1994.0</v>
      </c>
      <c r="L1021" s="9">
        <v>1994.0</v>
      </c>
      <c r="M1021" s="9">
        <v>740.0</v>
      </c>
      <c r="N1021" s="9">
        <v>730.0</v>
      </c>
      <c r="O1021" s="9">
        <v>524.0</v>
      </c>
      <c r="P1021" s="8" t="s">
        <v>3480</v>
      </c>
      <c r="Q1021" s="8" t="s">
        <v>8673</v>
      </c>
      <c r="R1021" s="8" t="s">
        <v>8674</v>
      </c>
    </row>
    <row r="1022">
      <c r="A1022" s="8" t="s">
        <v>1438</v>
      </c>
      <c r="B1022" s="8" t="s">
        <v>8675</v>
      </c>
      <c r="C1022" s="8" t="s">
        <v>8676</v>
      </c>
      <c r="D1022" s="9">
        <v>8.380858393E9</v>
      </c>
      <c r="E1022" s="8" t="s">
        <v>8677</v>
      </c>
      <c r="F1022" s="8" t="s">
        <v>3615</v>
      </c>
      <c r="G1022" s="8" t="s">
        <v>8678</v>
      </c>
      <c r="H1022" s="8" t="s">
        <v>3479</v>
      </c>
      <c r="I1022" s="9">
        <v>0.0</v>
      </c>
      <c r="J1022" s="9">
        <v>1416.0</v>
      </c>
      <c r="K1022" s="9">
        <v>1416.0</v>
      </c>
      <c r="L1022" s="9">
        <v>1416.0</v>
      </c>
      <c r="M1022" s="9">
        <v>183.0</v>
      </c>
      <c r="N1022" s="9">
        <v>784.0</v>
      </c>
      <c r="O1022" s="9">
        <v>449.0</v>
      </c>
      <c r="P1022" s="8" t="s">
        <v>3480</v>
      </c>
      <c r="Q1022" s="8" t="s">
        <v>8679</v>
      </c>
      <c r="R1022" s="8" t="s">
        <v>8680</v>
      </c>
    </row>
    <row r="1023">
      <c r="A1023" s="8" t="s">
        <v>1440</v>
      </c>
      <c r="B1023" s="8" t="s">
        <v>8681</v>
      </c>
      <c r="C1023" s="8" t="s">
        <v>8682</v>
      </c>
      <c r="D1023" s="9">
        <v>9.405208321E9</v>
      </c>
      <c r="E1023" s="8" t="s">
        <v>8683</v>
      </c>
      <c r="F1023" s="8" t="s">
        <v>3908</v>
      </c>
      <c r="G1023" s="8" t="s">
        <v>8684</v>
      </c>
      <c r="H1023" s="8" t="s">
        <v>3479</v>
      </c>
      <c r="I1023" s="9">
        <v>0.0</v>
      </c>
      <c r="J1023" s="9">
        <v>2268.0</v>
      </c>
      <c r="K1023" s="9">
        <v>2268.0</v>
      </c>
      <c r="L1023" s="9">
        <v>2268.0</v>
      </c>
      <c r="M1023" s="9">
        <v>545.0</v>
      </c>
      <c r="N1023" s="9">
        <v>849.0</v>
      </c>
      <c r="O1023" s="9">
        <v>874.0</v>
      </c>
      <c r="P1023" s="8" t="s">
        <v>3480</v>
      </c>
      <c r="Q1023" s="8"/>
      <c r="R1023" s="8"/>
    </row>
    <row r="1024">
      <c r="A1024" s="8" t="s">
        <v>1439</v>
      </c>
      <c r="B1024" s="8" t="s">
        <v>8685</v>
      </c>
      <c r="C1024" s="8" t="s">
        <v>8686</v>
      </c>
      <c r="D1024" s="9">
        <v>8.788710853E9</v>
      </c>
      <c r="E1024" s="8" t="s">
        <v>8687</v>
      </c>
      <c r="F1024" s="8" t="s">
        <v>3589</v>
      </c>
      <c r="G1024" s="8" t="s">
        <v>8688</v>
      </c>
      <c r="H1024" s="8" t="s">
        <v>3479</v>
      </c>
      <c r="I1024" s="9">
        <v>0.0</v>
      </c>
      <c r="J1024" s="9">
        <v>3473.0</v>
      </c>
      <c r="K1024" s="9">
        <v>3473.0</v>
      </c>
      <c r="L1024" s="9">
        <v>3473.0</v>
      </c>
      <c r="M1024" s="9">
        <v>2219.0</v>
      </c>
      <c r="N1024" s="9">
        <v>730.0</v>
      </c>
      <c r="O1024" s="9">
        <v>524.0</v>
      </c>
      <c r="P1024" s="8" t="s">
        <v>3480</v>
      </c>
      <c r="Q1024" s="8" t="s">
        <v>8689</v>
      </c>
      <c r="R1024" s="8" t="s">
        <v>8690</v>
      </c>
    </row>
    <row r="1025">
      <c r="A1025" s="8" t="s">
        <v>1441</v>
      </c>
      <c r="B1025" s="8" t="s">
        <v>8691</v>
      </c>
      <c r="C1025" s="8" t="s">
        <v>8692</v>
      </c>
      <c r="D1025" s="9">
        <v>8.600837706E9</v>
      </c>
      <c r="E1025" s="8" t="s">
        <v>8693</v>
      </c>
      <c r="F1025" s="8" t="s">
        <v>3721</v>
      </c>
      <c r="G1025" s="8" t="s">
        <v>8694</v>
      </c>
      <c r="H1025" s="8" t="s">
        <v>3479</v>
      </c>
      <c r="I1025" s="9">
        <v>0.0</v>
      </c>
      <c r="J1025" s="9">
        <v>2089.0</v>
      </c>
      <c r="K1025" s="9">
        <v>2089.0</v>
      </c>
      <c r="L1025" s="9">
        <v>2089.0</v>
      </c>
      <c r="M1025" s="9">
        <v>835.0</v>
      </c>
      <c r="N1025" s="9">
        <v>730.0</v>
      </c>
      <c r="O1025" s="9">
        <v>524.0</v>
      </c>
      <c r="P1025" s="8" t="s">
        <v>3480</v>
      </c>
      <c r="Q1025" s="8" t="s">
        <v>8695</v>
      </c>
      <c r="R1025" s="8" t="s">
        <v>8696</v>
      </c>
    </row>
    <row r="1026">
      <c r="A1026" s="8" t="s">
        <v>1437</v>
      </c>
      <c r="B1026" s="8" t="s">
        <v>8697</v>
      </c>
      <c r="C1026" s="8" t="s">
        <v>8698</v>
      </c>
      <c r="D1026" s="9">
        <v>8.484923252E9</v>
      </c>
      <c r="E1026" s="8" t="s">
        <v>8699</v>
      </c>
      <c r="F1026" s="8" t="s">
        <v>6744</v>
      </c>
      <c r="G1026" s="8" t="s">
        <v>8700</v>
      </c>
      <c r="H1026" s="8" t="s">
        <v>3479</v>
      </c>
      <c r="I1026" s="9">
        <v>0.0</v>
      </c>
      <c r="J1026" s="9">
        <v>1543.0</v>
      </c>
      <c r="K1026" s="9">
        <v>1543.0</v>
      </c>
      <c r="L1026" s="9">
        <v>1543.0</v>
      </c>
      <c r="M1026" s="9">
        <v>80.0</v>
      </c>
      <c r="N1026" s="9">
        <v>784.0</v>
      </c>
      <c r="O1026" s="9">
        <v>679.0</v>
      </c>
      <c r="P1026" s="8" t="s">
        <v>3480</v>
      </c>
      <c r="Q1026" s="8"/>
      <c r="R1026" s="8"/>
    </row>
    <row r="1027">
      <c r="A1027" s="8" t="s">
        <v>1443</v>
      </c>
      <c r="B1027" s="8" t="s">
        <v>8701</v>
      </c>
      <c r="C1027" s="8" t="s">
        <v>8702</v>
      </c>
      <c r="D1027" s="9">
        <v>8.698882339E9</v>
      </c>
      <c r="E1027" s="8" t="s">
        <v>8703</v>
      </c>
      <c r="F1027" s="8" t="s">
        <v>3821</v>
      </c>
      <c r="G1027" s="8" t="s">
        <v>8704</v>
      </c>
      <c r="H1027" s="8" t="s">
        <v>8705</v>
      </c>
      <c r="I1027" s="9">
        <v>0.0</v>
      </c>
      <c r="J1027" s="9">
        <v>3000.0</v>
      </c>
      <c r="K1027" s="9">
        <v>3019.0</v>
      </c>
      <c r="L1027" s="9">
        <v>3000.0</v>
      </c>
      <c r="M1027" s="9">
        <v>1765.0</v>
      </c>
      <c r="N1027" s="9">
        <v>730.0</v>
      </c>
      <c r="O1027" s="9">
        <v>524.0</v>
      </c>
      <c r="P1027" s="8" t="s">
        <v>3519</v>
      </c>
      <c r="Q1027" s="8" t="s">
        <v>8706</v>
      </c>
      <c r="R1027" s="8" t="s">
        <v>8707</v>
      </c>
    </row>
    <row r="1028">
      <c r="A1028" s="8" t="s">
        <v>1444</v>
      </c>
      <c r="B1028" s="8" t="s">
        <v>8708</v>
      </c>
      <c r="C1028" s="8" t="s">
        <v>8709</v>
      </c>
      <c r="D1028" s="9">
        <v>9.028332011E9</v>
      </c>
      <c r="E1028" s="8" t="s">
        <v>8710</v>
      </c>
      <c r="F1028" s="8" t="s">
        <v>4645</v>
      </c>
      <c r="G1028" s="8" t="s">
        <v>8711</v>
      </c>
      <c r="H1028" s="8" t="s">
        <v>3479</v>
      </c>
      <c r="I1028" s="9">
        <v>0.0</v>
      </c>
      <c r="J1028" s="9">
        <v>1259.0</v>
      </c>
      <c r="K1028" s="9">
        <v>1259.0</v>
      </c>
      <c r="L1028" s="9">
        <v>1259.0</v>
      </c>
      <c r="M1028" s="9">
        <v>80.0</v>
      </c>
      <c r="N1028" s="9">
        <v>730.0</v>
      </c>
      <c r="O1028" s="9">
        <v>449.0</v>
      </c>
      <c r="P1028" s="8" t="s">
        <v>3480</v>
      </c>
      <c r="Q1028" s="8" t="s">
        <v>8712</v>
      </c>
      <c r="R1028" s="8" t="s">
        <v>8713</v>
      </c>
    </row>
    <row r="1029">
      <c r="A1029" s="8" t="s">
        <v>1446</v>
      </c>
      <c r="B1029" s="8" t="s">
        <v>8714</v>
      </c>
      <c r="C1029" s="8" t="s">
        <v>7263</v>
      </c>
      <c r="D1029" s="9">
        <v>9.765844529E9</v>
      </c>
      <c r="E1029" s="8" t="s">
        <v>7264</v>
      </c>
      <c r="F1029" s="8" t="s">
        <v>3908</v>
      </c>
      <c r="G1029" s="8" t="s">
        <v>8715</v>
      </c>
      <c r="H1029" s="8" t="s">
        <v>3479</v>
      </c>
      <c r="I1029" s="9">
        <v>0.0</v>
      </c>
      <c r="J1029" s="9">
        <v>1818.0</v>
      </c>
      <c r="K1029" s="9">
        <v>1818.0</v>
      </c>
      <c r="L1029" s="9">
        <v>1818.0</v>
      </c>
      <c r="M1029" s="9">
        <v>435.0</v>
      </c>
      <c r="N1029" s="9">
        <v>784.0</v>
      </c>
      <c r="O1029" s="9">
        <v>599.0</v>
      </c>
      <c r="P1029" s="8" t="s">
        <v>3480</v>
      </c>
      <c r="Q1029" s="8" t="s">
        <v>7266</v>
      </c>
      <c r="R1029" s="8" t="s">
        <v>7267</v>
      </c>
    </row>
    <row r="1030">
      <c r="A1030" s="8" t="s">
        <v>1445</v>
      </c>
      <c r="B1030" s="8" t="s">
        <v>8716</v>
      </c>
      <c r="C1030" s="8" t="s">
        <v>8717</v>
      </c>
      <c r="D1030" s="9">
        <v>7.385844472E9</v>
      </c>
      <c r="E1030" s="8" t="s">
        <v>8718</v>
      </c>
      <c r="F1030" s="8" t="s">
        <v>6455</v>
      </c>
      <c r="G1030" s="8" t="s">
        <v>8719</v>
      </c>
      <c r="H1030" s="8" t="s">
        <v>3479</v>
      </c>
      <c r="I1030" s="9">
        <v>0.0</v>
      </c>
      <c r="J1030" s="9">
        <v>849.0</v>
      </c>
      <c r="K1030" s="9">
        <v>849.0</v>
      </c>
      <c r="L1030" s="9">
        <v>849.0</v>
      </c>
      <c r="M1030" s="9">
        <v>240.0</v>
      </c>
      <c r="N1030" s="9">
        <v>80.0</v>
      </c>
      <c r="O1030" s="9">
        <v>529.0</v>
      </c>
      <c r="P1030" s="8" t="s">
        <v>3480</v>
      </c>
      <c r="Q1030" s="8"/>
      <c r="R1030" s="8"/>
    </row>
    <row r="1031">
      <c r="A1031" s="8" t="s">
        <v>1447</v>
      </c>
      <c r="B1031" s="8" t="s">
        <v>8720</v>
      </c>
      <c r="C1031" s="8" t="s">
        <v>8721</v>
      </c>
      <c r="D1031" s="9">
        <v>9.823143276E9</v>
      </c>
      <c r="E1031" s="8" t="s">
        <v>8722</v>
      </c>
      <c r="F1031" s="8" t="s">
        <v>3721</v>
      </c>
      <c r="G1031" s="8" t="s">
        <v>8723</v>
      </c>
      <c r="H1031" s="8" t="s">
        <v>3479</v>
      </c>
      <c r="I1031" s="9">
        <v>0.0</v>
      </c>
      <c r="J1031" s="9">
        <v>2154.0</v>
      </c>
      <c r="K1031" s="9">
        <v>2154.0</v>
      </c>
      <c r="L1031" s="9">
        <v>2154.0</v>
      </c>
      <c r="M1031" s="9">
        <v>900.0</v>
      </c>
      <c r="N1031" s="9">
        <v>730.0</v>
      </c>
      <c r="O1031" s="9">
        <v>524.0</v>
      </c>
      <c r="P1031" s="8" t="s">
        <v>3480</v>
      </c>
      <c r="Q1031" s="8" t="s">
        <v>8724</v>
      </c>
      <c r="R1031" s="8" t="s">
        <v>8725</v>
      </c>
    </row>
    <row r="1032">
      <c r="A1032" s="8" t="s">
        <v>1317</v>
      </c>
      <c r="B1032" s="8" t="s">
        <v>8726</v>
      </c>
      <c r="C1032" s="8" t="s">
        <v>8397</v>
      </c>
      <c r="D1032" s="9">
        <v>8.446698371E9</v>
      </c>
      <c r="E1032" s="8" t="s">
        <v>8398</v>
      </c>
      <c r="F1032" s="8" t="s">
        <v>3853</v>
      </c>
      <c r="G1032" s="8" t="s">
        <v>8727</v>
      </c>
      <c r="H1032" s="8" t="s">
        <v>3479</v>
      </c>
      <c r="I1032" s="9">
        <v>0.0</v>
      </c>
      <c r="J1032" s="9">
        <v>1321.0</v>
      </c>
      <c r="K1032" s="9">
        <v>1321.0</v>
      </c>
      <c r="L1032" s="9">
        <v>1321.0</v>
      </c>
      <c r="M1032" s="9">
        <v>1321.0</v>
      </c>
      <c r="N1032" s="9">
        <v>0.0</v>
      </c>
      <c r="O1032" s="9">
        <v>0.0</v>
      </c>
      <c r="P1032" s="8" t="s">
        <v>3519</v>
      </c>
      <c r="Q1032" s="8"/>
      <c r="R1032" s="8"/>
    </row>
    <row r="1033">
      <c r="A1033" s="8" t="s">
        <v>1448</v>
      </c>
      <c r="B1033" s="8" t="s">
        <v>8728</v>
      </c>
      <c r="C1033" s="8" t="s">
        <v>8729</v>
      </c>
      <c r="D1033" s="9">
        <v>9.422303398E9</v>
      </c>
      <c r="E1033" s="8" t="s">
        <v>8730</v>
      </c>
      <c r="F1033" s="8" t="s">
        <v>3509</v>
      </c>
      <c r="G1033" s="8" t="s">
        <v>8731</v>
      </c>
      <c r="H1033" s="8" t="s">
        <v>3479</v>
      </c>
      <c r="I1033" s="9">
        <v>0.0</v>
      </c>
      <c r="J1033" s="9">
        <v>1259.0</v>
      </c>
      <c r="K1033" s="9">
        <v>1259.0</v>
      </c>
      <c r="L1033" s="9">
        <v>1259.0</v>
      </c>
      <c r="M1033" s="9">
        <v>80.0</v>
      </c>
      <c r="N1033" s="9">
        <v>730.0</v>
      </c>
      <c r="O1033" s="9">
        <v>449.0</v>
      </c>
      <c r="P1033" s="8" t="s">
        <v>3480</v>
      </c>
      <c r="Q1033" s="8" t="s">
        <v>8732</v>
      </c>
      <c r="R1033" s="8" t="s">
        <v>4241</v>
      </c>
    </row>
    <row r="1034">
      <c r="A1034" s="8" t="s">
        <v>1348</v>
      </c>
      <c r="B1034" s="8" t="s">
        <v>8733</v>
      </c>
      <c r="C1034" s="8" t="s">
        <v>8734</v>
      </c>
      <c r="D1034" s="9">
        <v>8.275555995E9</v>
      </c>
      <c r="E1034" s="8" t="s">
        <v>8735</v>
      </c>
      <c r="F1034" s="8" t="s">
        <v>5530</v>
      </c>
      <c r="G1034" s="8" t="s">
        <v>8736</v>
      </c>
      <c r="H1034" s="8" t="s">
        <v>3479</v>
      </c>
      <c r="I1034" s="9">
        <v>0.0</v>
      </c>
      <c r="J1034" s="9">
        <v>935.0</v>
      </c>
      <c r="K1034" s="9">
        <v>935.0</v>
      </c>
      <c r="L1034" s="9">
        <v>935.0</v>
      </c>
      <c r="M1034" s="9">
        <v>0.0</v>
      </c>
      <c r="N1034" s="9">
        <v>585.0</v>
      </c>
      <c r="O1034" s="9">
        <v>350.0</v>
      </c>
      <c r="P1034" s="8" t="s">
        <v>3480</v>
      </c>
      <c r="Q1034" s="8"/>
      <c r="R1034" s="8"/>
    </row>
    <row r="1035">
      <c r="A1035" s="8" t="s">
        <v>1318</v>
      </c>
      <c r="B1035" s="8" t="s">
        <v>8737</v>
      </c>
      <c r="C1035" s="8" t="s">
        <v>8738</v>
      </c>
      <c r="D1035" s="9">
        <v>9.92120901E9</v>
      </c>
      <c r="E1035" s="8" t="s">
        <v>8739</v>
      </c>
      <c r="F1035" s="8" t="s">
        <v>3768</v>
      </c>
      <c r="G1035" s="8" t="s">
        <v>8740</v>
      </c>
      <c r="H1035" s="8" t="s">
        <v>3479</v>
      </c>
      <c r="I1035" s="9">
        <v>0.0</v>
      </c>
      <c r="J1035" s="9">
        <v>735.0</v>
      </c>
      <c r="K1035" s="9">
        <v>735.0</v>
      </c>
      <c r="L1035" s="9">
        <v>735.0</v>
      </c>
      <c r="M1035" s="9">
        <v>286.0</v>
      </c>
      <c r="N1035" s="9">
        <v>0.0</v>
      </c>
      <c r="O1035" s="9">
        <v>449.0</v>
      </c>
      <c r="P1035" s="8" t="s">
        <v>3519</v>
      </c>
      <c r="Q1035" s="8" t="s">
        <v>8741</v>
      </c>
      <c r="R1035" s="8" t="s">
        <v>8742</v>
      </c>
    </row>
    <row r="1036">
      <c r="A1036" s="8" t="s">
        <v>1320</v>
      </c>
      <c r="B1036" s="8" t="s">
        <v>8743</v>
      </c>
      <c r="C1036" s="8" t="s">
        <v>3788</v>
      </c>
      <c r="D1036" s="9">
        <v>9.823123051E9</v>
      </c>
      <c r="E1036" s="8" t="s">
        <v>3789</v>
      </c>
      <c r="F1036" s="8" t="s">
        <v>3589</v>
      </c>
      <c r="G1036" s="8" t="s">
        <v>8744</v>
      </c>
      <c r="H1036" s="8" t="s">
        <v>3479</v>
      </c>
      <c r="I1036" s="9">
        <v>0.0</v>
      </c>
      <c r="J1036" s="9">
        <v>603.0</v>
      </c>
      <c r="K1036" s="9">
        <v>603.0</v>
      </c>
      <c r="L1036" s="9">
        <v>603.0</v>
      </c>
      <c r="M1036" s="9">
        <v>603.0</v>
      </c>
      <c r="N1036" s="9">
        <v>0.0</v>
      </c>
      <c r="O1036" s="9">
        <v>0.0</v>
      </c>
      <c r="P1036" s="8" t="s">
        <v>3480</v>
      </c>
      <c r="Q1036" s="8" t="s">
        <v>3791</v>
      </c>
      <c r="R1036" s="8" t="s">
        <v>3792</v>
      </c>
    </row>
    <row r="1037">
      <c r="A1037" s="8" t="s">
        <v>1321</v>
      </c>
      <c r="B1037" s="8" t="s">
        <v>8745</v>
      </c>
      <c r="C1037" s="8" t="s">
        <v>8746</v>
      </c>
      <c r="D1037" s="9">
        <v>9.665626256E9</v>
      </c>
      <c r="E1037" s="8" t="s">
        <v>8747</v>
      </c>
      <c r="F1037" s="8" t="s">
        <v>3564</v>
      </c>
      <c r="G1037" s="8" t="s">
        <v>8748</v>
      </c>
      <c r="H1037" s="8" t="s">
        <v>5093</v>
      </c>
      <c r="I1037" s="9">
        <v>0.0</v>
      </c>
      <c r="J1037" s="9">
        <v>900.0</v>
      </c>
      <c r="K1037" s="9">
        <v>939.0</v>
      </c>
      <c r="L1037" s="9">
        <v>900.0</v>
      </c>
      <c r="M1037" s="9">
        <v>0.0</v>
      </c>
      <c r="N1037" s="9">
        <v>190.0</v>
      </c>
      <c r="O1037" s="9">
        <v>749.0</v>
      </c>
      <c r="P1037" s="8" t="s">
        <v>3519</v>
      </c>
      <c r="Q1037" s="8" t="s">
        <v>8749</v>
      </c>
      <c r="R1037" s="8" t="s">
        <v>8750</v>
      </c>
    </row>
    <row r="1038">
      <c r="A1038" s="8" t="s">
        <v>1442</v>
      </c>
      <c r="B1038" s="8" t="s">
        <v>8751</v>
      </c>
      <c r="C1038" s="8" t="s">
        <v>8752</v>
      </c>
      <c r="D1038" s="9">
        <v>7.028001439E9</v>
      </c>
      <c r="E1038" s="8" t="s">
        <v>8753</v>
      </c>
      <c r="F1038" s="8" t="s">
        <v>3608</v>
      </c>
      <c r="G1038" s="8" t="s">
        <v>8754</v>
      </c>
      <c r="H1038" s="8" t="s">
        <v>3479</v>
      </c>
      <c r="I1038" s="9">
        <v>0.0</v>
      </c>
      <c r="J1038" s="9">
        <v>2167.0</v>
      </c>
      <c r="K1038" s="9">
        <v>2167.0</v>
      </c>
      <c r="L1038" s="9">
        <v>2167.0</v>
      </c>
      <c r="M1038" s="9">
        <v>613.0</v>
      </c>
      <c r="N1038" s="9">
        <v>730.0</v>
      </c>
      <c r="O1038" s="9">
        <v>824.0</v>
      </c>
      <c r="P1038" s="8" t="s">
        <v>3480</v>
      </c>
      <c r="Q1038" s="8" t="s">
        <v>8755</v>
      </c>
      <c r="R1038" s="8" t="s">
        <v>8756</v>
      </c>
    </row>
    <row r="1039">
      <c r="A1039" s="8" t="s">
        <v>1413</v>
      </c>
      <c r="B1039" s="8" t="s">
        <v>8757</v>
      </c>
      <c r="C1039" s="8" t="s">
        <v>7214</v>
      </c>
      <c r="D1039" s="9">
        <v>9.370192988E9</v>
      </c>
      <c r="E1039" s="8" t="s">
        <v>7215</v>
      </c>
      <c r="F1039" s="8" t="s">
        <v>3589</v>
      </c>
      <c r="G1039" s="8" t="s">
        <v>8758</v>
      </c>
      <c r="H1039" s="8" t="s">
        <v>3479</v>
      </c>
      <c r="I1039" s="9">
        <v>0.0</v>
      </c>
      <c r="J1039" s="9">
        <v>1423.0</v>
      </c>
      <c r="K1039" s="9">
        <v>1423.0</v>
      </c>
      <c r="L1039" s="9">
        <v>1423.0</v>
      </c>
      <c r="M1039" s="9">
        <v>160.0</v>
      </c>
      <c r="N1039" s="9">
        <v>739.0</v>
      </c>
      <c r="O1039" s="9">
        <v>524.0</v>
      </c>
      <c r="P1039" s="8" t="s">
        <v>3480</v>
      </c>
      <c r="Q1039" s="8" t="s">
        <v>7217</v>
      </c>
      <c r="R1039" s="8" t="s">
        <v>7218</v>
      </c>
    </row>
    <row r="1040">
      <c r="A1040" s="8" t="s">
        <v>1319</v>
      </c>
      <c r="B1040" s="8" t="s">
        <v>8759</v>
      </c>
      <c r="C1040" s="8" t="s">
        <v>8760</v>
      </c>
      <c r="D1040" s="9">
        <v>8.08720534E9</v>
      </c>
      <c r="E1040" s="8" t="s">
        <v>8761</v>
      </c>
      <c r="F1040" s="8" t="s">
        <v>6363</v>
      </c>
      <c r="G1040" s="8" t="s">
        <v>8762</v>
      </c>
      <c r="H1040" s="8" t="s">
        <v>3479</v>
      </c>
      <c r="I1040" s="9">
        <v>0.0</v>
      </c>
      <c r="J1040" s="9">
        <v>1132.0</v>
      </c>
      <c r="K1040" s="9">
        <v>1132.0</v>
      </c>
      <c r="L1040" s="9">
        <v>1132.0</v>
      </c>
      <c r="M1040" s="9">
        <v>1132.0</v>
      </c>
      <c r="N1040" s="9">
        <v>0.0</v>
      </c>
      <c r="O1040" s="9">
        <v>0.0</v>
      </c>
      <c r="P1040" s="8" t="s">
        <v>3480</v>
      </c>
      <c r="Q1040" s="8"/>
      <c r="R1040" s="8"/>
    </row>
    <row r="1041">
      <c r="A1041" s="8" t="s">
        <v>1415</v>
      </c>
      <c r="B1041" s="8" t="s">
        <v>8763</v>
      </c>
      <c r="C1041" s="8" t="s">
        <v>8764</v>
      </c>
      <c r="D1041" s="9">
        <v>9.403833134E9</v>
      </c>
      <c r="E1041" s="8" t="s">
        <v>8765</v>
      </c>
      <c r="F1041" s="8" t="s">
        <v>3934</v>
      </c>
      <c r="G1041" s="8" t="s">
        <v>4398</v>
      </c>
      <c r="H1041" s="8" t="s">
        <v>3479</v>
      </c>
      <c r="I1041" s="9">
        <v>0.0</v>
      </c>
      <c r="J1041" s="9">
        <v>1521.0</v>
      </c>
      <c r="K1041" s="9">
        <v>1521.0</v>
      </c>
      <c r="L1041" s="9">
        <v>1521.0</v>
      </c>
      <c r="M1041" s="9">
        <v>333.0</v>
      </c>
      <c r="N1041" s="9">
        <v>739.0</v>
      </c>
      <c r="O1041" s="9">
        <v>449.0</v>
      </c>
      <c r="P1041" s="8" t="s">
        <v>3480</v>
      </c>
      <c r="Q1041" s="8" t="s">
        <v>4241</v>
      </c>
      <c r="R1041" s="8" t="s">
        <v>8766</v>
      </c>
    </row>
    <row r="1042">
      <c r="A1042" s="8" t="s">
        <v>1414</v>
      </c>
      <c r="B1042" s="8" t="s">
        <v>8767</v>
      </c>
      <c r="C1042" s="8" t="s">
        <v>8768</v>
      </c>
      <c r="D1042" s="9">
        <v>7.769824669E9</v>
      </c>
      <c r="E1042" s="8" t="s">
        <v>8769</v>
      </c>
      <c r="F1042" s="8" t="s">
        <v>3564</v>
      </c>
      <c r="G1042" s="8" t="s">
        <v>3494</v>
      </c>
      <c r="H1042" s="8" t="s">
        <v>3479</v>
      </c>
      <c r="I1042" s="9">
        <v>0.0</v>
      </c>
      <c r="J1042" s="9">
        <v>1934.0</v>
      </c>
      <c r="K1042" s="9">
        <v>1934.0</v>
      </c>
      <c r="L1042" s="9">
        <v>1934.0</v>
      </c>
      <c r="M1042" s="9">
        <v>995.0</v>
      </c>
      <c r="N1042" s="9">
        <v>190.0</v>
      </c>
      <c r="O1042" s="9">
        <v>749.0</v>
      </c>
      <c r="P1042" s="8" t="s">
        <v>3480</v>
      </c>
      <c r="Q1042" s="8"/>
      <c r="R1042" s="8"/>
    </row>
    <row r="1043">
      <c r="A1043" s="8" t="s">
        <v>1322</v>
      </c>
      <c r="B1043" s="8" t="s">
        <v>8770</v>
      </c>
      <c r="C1043" s="8" t="s">
        <v>8403</v>
      </c>
      <c r="D1043" s="9">
        <v>8.554928353E9</v>
      </c>
      <c r="E1043" s="8" t="s">
        <v>8771</v>
      </c>
      <c r="F1043" s="8" t="s">
        <v>3768</v>
      </c>
      <c r="G1043" s="8" t="s">
        <v>8772</v>
      </c>
      <c r="H1043" s="8" t="s">
        <v>3479</v>
      </c>
      <c r="I1043" s="9">
        <v>0.0</v>
      </c>
      <c r="J1043" s="9">
        <v>1313.0</v>
      </c>
      <c r="K1043" s="9">
        <v>1313.0</v>
      </c>
      <c r="L1043" s="9">
        <v>1313.0</v>
      </c>
      <c r="M1043" s="9">
        <v>80.0</v>
      </c>
      <c r="N1043" s="9">
        <v>784.0</v>
      </c>
      <c r="O1043" s="9">
        <v>449.0</v>
      </c>
      <c r="P1043" s="8" t="s">
        <v>3480</v>
      </c>
      <c r="Q1043" s="8" t="s">
        <v>8773</v>
      </c>
      <c r="R1043" s="8" t="s">
        <v>8774</v>
      </c>
    </row>
    <row r="1044">
      <c r="A1044" s="8" t="s">
        <v>1416</v>
      </c>
      <c r="B1044" s="8" t="s">
        <v>8775</v>
      </c>
      <c r="C1044" s="8" t="s">
        <v>8776</v>
      </c>
      <c r="D1044" s="9">
        <v>9.773790675E9</v>
      </c>
      <c r="E1044" s="8" t="s">
        <v>8777</v>
      </c>
      <c r="F1044" s="8" t="s">
        <v>3608</v>
      </c>
      <c r="G1044" s="8" t="s">
        <v>8778</v>
      </c>
      <c r="H1044" s="8" t="s">
        <v>3479</v>
      </c>
      <c r="I1044" s="9">
        <v>0.0</v>
      </c>
      <c r="J1044" s="9">
        <v>1643.0</v>
      </c>
      <c r="K1044" s="9">
        <v>1643.0</v>
      </c>
      <c r="L1044" s="9">
        <v>1643.0</v>
      </c>
      <c r="M1044" s="9">
        <v>455.0</v>
      </c>
      <c r="N1044" s="9">
        <v>739.0</v>
      </c>
      <c r="O1044" s="9">
        <v>449.0</v>
      </c>
      <c r="P1044" s="8" t="s">
        <v>3480</v>
      </c>
      <c r="Q1044" s="8"/>
      <c r="R1044" s="8"/>
    </row>
    <row r="1045">
      <c r="A1045" s="8" t="s">
        <v>1417</v>
      </c>
      <c r="B1045" s="8" t="s">
        <v>8779</v>
      </c>
      <c r="C1045" s="8" t="s">
        <v>3592</v>
      </c>
      <c r="D1045" s="9">
        <v>9.623443324E9</v>
      </c>
      <c r="E1045" s="8" t="s">
        <v>8780</v>
      </c>
      <c r="F1045" s="8" t="s">
        <v>8781</v>
      </c>
      <c r="G1045" s="8" t="s">
        <v>8782</v>
      </c>
      <c r="H1045" s="8" t="s">
        <v>3479</v>
      </c>
      <c r="I1045" s="9">
        <v>0.0</v>
      </c>
      <c r="J1045" s="9">
        <v>1842.0</v>
      </c>
      <c r="K1045" s="9">
        <v>1842.0</v>
      </c>
      <c r="L1045" s="9">
        <v>1842.0</v>
      </c>
      <c r="M1045" s="9">
        <v>863.0</v>
      </c>
      <c r="N1045" s="9">
        <v>155.0</v>
      </c>
      <c r="O1045" s="9">
        <v>824.0</v>
      </c>
      <c r="P1045" s="8" t="s">
        <v>3480</v>
      </c>
      <c r="Q1045" s="8"/>
      <c r="R1045" s="8"/>
    </row>
    <row r="1046">
      <c r="A1046" s="8" t="s">
        <v>1419</v>
      </c>
      <c r="B1046" s="8" t="s">
        <v>8783</v>
      </c>
      <c r="C1046" s="8" t="s">
        <v>8784</v>
      </c>
      <c r="D1046" s="9">
        <v>9.89021695E9</v>
      </c>
      <c r="E1046" s="8" t="s">
        <v>8785</v>
      </c>
      <c r="F1046" s="8" t="s">
        <v>5979</v>
      </c>
      <c r="G1046" s="8" t="s">
        <v>8786</v>
      </c>
      <c r="H1046" s="8" t="s">
        <v>3479</v>
      </c>
      <c r="I1046" s="9">
        <v>0.0</v>
      </c>
      <c r="J1046" s="9">
        <v>3722.0</v>
      </c>
      <c r="K1046" s="9">
        <v>3722.0</v>
      </c>
      <c r="L1046" s="9">
        <v>3722.0</v>
      </c>
      <c r="M1046" s="9">
        <v>1524.0</v>
      </c>
      <c r="N1046" s="9">
        <v>1069.0</v>
      </c>
      <c r="O1046" s="9">
        <v>1129.0</v>
      </c>
      <c r="P1046" s="8" t="s">
        <v>3480</v>
      </c>
      <c r="Q1046" s="8"/>
      <c r="R1046" s="8"/>
    </row>
    <row r="1047">
      <c r="A1047" s="8" t="s">
        <v>1420</v>
      </c>
      <c r="B1047" s="8" t="s">
        <v>8787</v>
      </c>
      <c r="C1047" s="8" t="s">
        <v>8788</v>
      </c>
      <c r="D1047" s="9">
        <v>8.329731386E9</v>
      </c>
      <c r="E1047" s="8" t="s">
        <v>8789</v>
      </c>
      <c r="F1047" s="8" t="s">
        <v>3809</v>
      </c>
      <c r="G1047" s="8" t="s">
        <v>3494</v>
      </c>
      <c r="H1047" s="8" t="s">
        <v>3479</v>
      </c>
      <c r="I1047" s="9">
        <v>0.0</v>
      </c>
      <c r="J1047" s="9">
        <v>1594.0</v>
      </c>
      <c r="K1047" s="9">
        <v>1594.0</v>
      </c>
      <c r="L1047" s="9">
        <v>1594.0</v>
      </c>
      <c r="M1047" s="9">
        <v>530.0</v>
      </c>
      <c r="N1047" s="9">
        <v>190.0</v>
      </c>
      <c r="O1047" s="9">
        <v>874.0</v>
      </c>
      <c r="P1047" s="8" t="s">
        <v>3480</v>
      </c>
      <c r="Q1047" s="8" t="s">
        <v>8790</v>
      </c>
      <c r="R1047" s="8" t="s">
        <v>8791</v>
      </c>
    </row>
    <row r="1048">
      <c r="A1048" s="8" t="s">
        <v>1323</v>
      </c>
      <c r="B1048" s="8" t="s">
        <v>8792</v>
      </c>
      <c r="C1048" s="8" t="s">
        <v>8364</v>
      </c>
      <c r="D1048" s="9">
        <v>9.921637431E9</v>
      </c>
      <c r="E1048" s="8" t="s">
        <v>8793</v>
      </c>
      <c r="F1048" s="8" t="s">
        <v>3601</v>
      </c>
      <c r="G1048" s="8" t="s">
        <v>8794</v>
      </c>
      <c r="H1048" s="8" t="s">
        <v>3479</v>
      </c>
      <c r="I1048" s="9">
        <v>0.0</v>
      </c>
      <c r="J1048" s="9">
        <v>1459.0</v>
      </c>
      <c r="K1048" s="9">
        <v>1459.0</v>
      </c>
      <c r="L1048" s="9">
        <v>1459.0</v>
      </c>
      <c r="M1048" s="9">
        <v>200.0</v>
      </c>
      <c r="N1048" s="9">
        <v>730.0</v>
      </c>
      <c r="O1048" s="9">
        <v>529.0</v>
      </c>
      <c r="P1048" s="8" t="s">
        <v>3544</v>
      </c>
      <c r="Q1048" s="8" t="s">
        <v>8795</v>
      </c>
      <c r="R1048" s="8" t="s">
        <v>8796</v>
      </c>
    </row>
    <row r="1049">
      <c r="A1049" s="8" t="s">
        <v>1324</v>
      </c>
      <c r="B1049" s="8" t="s">
        <v>8797</v>
      </c>
      <c r="C1049" s="8" t="s">
        <v>8798</v>
      </c>
      <c r="D1049" s="9">
        <v>8.209163122E9</v>
      </c>
      <c r="E1049" s="8" t="s">
        <v>8799</v>
      </c>
      <c r="F1049" s="8" t="s">
        <v>4112</v>
      </c>
      <c r="G1049" s="8" t="s">
        <v>8800</v>
      </c>
      <c r="H1049" s="8" t="s">
        <v>3479</v>
      </c>
      <c r="I1049" s="9">
        <v>0.0</v>
      </c>
      <c r="J1049" s="9">
        <v>1559.0</v>
      </c>
      <c r="K1049" s="9">
        <v>1559.0</v>
      </c>
      <c r="L1049" s="9">
        <v>1559.0</v>
      </c>
      <c r="M1049" s="9">
        <v>810.0</v>
      </c>
      <c r="N1049" s="9">
        <v>0.0</v>
      </c>
      <c r="O1049" s="9">
        <v>749.0</v>
      </c>
      <c r="P1049" s="8" t="s">
        <v>3480</v>
      </c>
      <c r="Q1049" s="8" t="s">
        <v>8801</v>
      </c>
      <c r="R1049" s="8" t="s">
        <v>8802</v>
      </c>
    </row>
    <row r="1050">
      <c r="A1050" s="8" t="s">
        <v>1325</v>
      </c>
      <c r="B1050" s="8" t="s">
        <v>8803</v>
      </c>
      <c r="C1050" s="8" t="s">
        <v>8804</v>
      </c>
      <c r="D1050" s="9">
        <v>9.623295801E9</v>
      </c>
      <c r="E1050" s="8" t="s">
        <v>8805</v>
      </c>
      <c r="F1050" s="8" t="s">
        <v>3523</v>
      </c>
      <c r="G1050" s="8" t="s">
        <v>8806</v>
      </c>
      <c r="H1050" s="8" t="s">
        <v>3479</v>
      </c>
      <c r="I1050" s="9">
        <v>0.0</v>
      </c>
      <c r="J1050" s="9">
        <v>2034.0</v>
      </c>
      <c r="K1050" s="9">
        <v>2034.0</v>
      </c>
      <c r="L1050" s="9">
        <v>2034.0</v>
      </c>
      <c r="M1050" s="9">
        <v>1510.0</v>
      </c>
      <c r="N1050" s="9">
        <v>0.0</v>
      </c>
      <c r="O1050" s="9">
        <v>524.0</v>
      </c>
      <c r="P1050" s="8" t="s">
        <v>3480</v>
      </c>
      <c r="Q1050" s="8" t="s">
        <v>8807</v>
      </c>
      <c r="R1050" s="8" t="s">
        <v>8808</v>
      </c>
    </row>
    <row r="1051">
      <c r="A1051" s="8" t="s">
        <v>1421</v>
      </c>
      <c r="B1051" s="8" t="s">
        <v>8809</v>
      </c>
      <c r="C1051" s="8" t="s">
        <v>8810</v>
      </c>
      <c r="D1051" s="9">
        <v>9.011111199E9</v>
      </c>
      <c r="E1051" s="8" t="s">
        <v>8811</v>
      </c>
      <c r="F1051" s="8" t="s">
        <v>3821</v>
      </c>
      <c r="G1051" s="8" t="s">
        <v>8812</v>
      </c>
      <c r="H1051" s="8" t="s">
        <v>3479</v>
      </c>
      <c r="I1051" s="9">
        <v>0.0</v>
      </c>
      <c r="J1051" s="9">
        <v>684.0</v>
      </c>
      <c r="K1051" s="9">
        <v>684.0</v>
      </c>
      <c r="L1051" s="9">
        <v>684.0</v>
      </c>
      <c r="M1051" s="9">
        <v>160.0</v>
      </c>
      <c r="N1051" s="9">
        <v>0.0</v>
      </c>
      <c r="O1051" s="9">
        <v>524.0</v>
      </c>
      <c r="P1051" s="8" t="s">
        <v>3519</v>
      </c>
      <c r="Q1051" s="8" t="s">
        <v>8813</v>
      </c>
      <c r="R1051" s="8" t="s">
        <v>8814</v>
      </c>
    </row>
    <row r="1052">
      <c r="A1052" s="8" t="s">
        <v>1328</v>
      </c>
      <c r="B1052" s="8" t="s">
        <v>8815</v>
      </c>
      <c r="C1052" s="8" t="s">
        <v>8816</v>
      </c>
      <c r="D1052" s="9">
        <v>8.830634258E9</v>
      </c>
      <c r="E1052" s="8" t="s">
        <v>8817</v>
      </c>
      <c r="F1052" s="8" t="s">
        <v>3908</v>
      </c>
      <c r="G1052" s="8" t="s">
        <v>8818</v>
      </c>
      <c r="H1052" s="8" t="s">
        <v>3479</v>
      </c>
      <c r="I1052" s="9">
        <v>0.0</v>
      </c>
      <c r="J1052" s="9">
        <v>609.0</v>
      </c>
      <c r="K1052" s="9">
        <v>609.0</v>
      </c>
      <c r="L1052" s="9">
        <v>609.0</v>
      </c>
      <c r="M1052" s="9">
        <v>80.0</v>
      </c>
      <c r="N1052" s="9">
        <v>0.0</v>
      </c>
      <c r="O1052" s="9">
        <v>529.0</v>
      </c>
      <c r="P1052" s="8" t="s">
        <v>3480</v>
      </c>
      <c r="Q1052" s="8"/>
      <c r="R1052" s="8"/>
    </row>
    <row r="1053">
      <c r="A1053" s="8" t="s">
        <v>1330</v>
      </c>
      <c r="B1053" s="8" t="s">
        <v>8819</v>
      </c>
      <c r="C1053" s="8" t="s">
        <v>8820</v>
      </c>
      <c r="D1053" s="9">
        <v>9.404301311E9</v>
      </c>
      <c r="E1053" s="8" t="s">
        <v>8821</v>
      </c>
      <c r="F1053" s="8" t="s">
        <v>3601</v>
      </c>
      <c r="G1053" s="8" t="s">
        <v>8822</v>
      </c>
      <c r="H1053" s="8" t="s">
        <v>3479</v>
      </c>
      <c r="I1053" s="9">
        <v>0.0</v>
      </c>
      <c r="J1053" s="9">
        <v>1259.0</v>
      </c>
      <c r="K1053" s="9">
        <v>1259.0</v>
      </c>
      <c r="L1053" s="9">
        <v>1259.0</v>
      </c>
      <c r="M1053" s="9">
        <v>80.0</v>
      </c>
      <c r="N1053" s="9">
        <v>730.0</v>
      </c>
      <c r="O1053" s="9">
        <v>449.0</v>
      </c>
      <c r="P1053" s="8" t="s">
        <v>3480</v>
      </c>
      <c r="Q1053" s="8"/>
      <c r="R1053" s="8"/>
    </row>
    <row r="1054">
      <c r="A1054" s="8" t="s">
        <v>1331</v>
      </c>
      <c r="B1054" s="8" t="s">
        <v>8823</v>
      </c>
      <c r="C1054" s="8" t="s">
        <v>6268</v>
      </c>
      <c r="D1054" s="9">
        <v>9.850022435E9</v>
      </c>
      <c r="E1054" s="8" t="s">
        <v>6269</v>
      </c>
      <c r="F1054" s="8" t="s">
        <v>3608</v>
      </c>
      <c r="G1054" s="8" t="s">
        <v>8824</v>
      </c>
      <c r="H1054" s="8" t="s">
        <v>8825</v>
      </c>
      <c r="I1054" s="9">
        <v>0.0</v>
      </c>
      <c r="J1054" s="9">
        <v>2500.0</v>
      </c>
      <c r="K1054" s="9">
        <v>2739.0</v>
      </c>
      <c r="L1054" s="9">
        <v>2500.0</v>
      </c>
      <c r="M1054" s="9">
        <v>939.0</v>
      </c>
      <c r="N1054" s="9">
        <v>0.0</v>
      </c>
      <c r="O1054" s="9">
        <v>1800.0</v>
      </c>
      <c r="P1054" s="8" t="s">
        <v>3519</v>
      </c>
      <c r="Q1054" s="8" t="s">
        <v>6271</v>
      </c>
      <c r="R1054" s="8" t="s">
        <v>6272</v>
      </c>
    </row>
    <row r="1055">
      <c r="A1055" s="8" t="s">
        <v>1418</v>
      </c>
      <c r="B1055" s="8" t="s">
        <v>8826</v>
      </c>
      <c r="C1055" s="8" t="s">
        <v>8827</v>
      </c>
      <c r="D1055" s="9">
        <v>9.860196088E9</v>
      </c>
      <c r="E1055" s="8" t="s">
        <v>8828</v>
      </c>
      <c r="F1055" s="8" t="s">
        <v>6206</v>
      </c>
      <c r="G1055" s="8" t="s">
        <v>8829</v>
      </c>
      <c r="H1055" s="8" t="s">
        <v>5618</v>
      </c>
      <c r="I1055" s="9">
        <v>0.0</v>
      </c>
      <c r="J1055" s="9">
        <v>1700.0</v>
      </c>
      <c r="K1055" s="9">
        <v>1785.0</v>
      </c>
      <c r="L1055" s="9">
        <v>1700.0</v>
      </c>
      <c r="M1055" s="9">
        <v>552.0</v>
      </c>
      <c r="N1055" s="9">
        <v>784.0</v>
      </c>
      <c r="O1055" s="9">
        <v>449.0</v>
      </c>
      <c r="P1055" s="8" t="s">
        <v>3480</v>
      </c>
      <c r="Q1055" s="8" t="s">
        <v>8830</v>
      </c>
      <c r="R1055" s="8" t="s">
        <v>8831</v>
      </c>
    </row>
    <row r="1056">
      <c r="A1056" s="8" t="s">
        <v>1349</v>
      </c>
      <c r="B1056" s="8" t="s">
        <v>8832</v>
      </c>
      <c r="C1056" s="8" t="s">
        <v>8833</v>
      </c>
      <c r="D1056" s="9">
        <v>9.011654177E9</v>
      </c>
      <c r="E1056" s="8" t="s">
        <v>8834</v>
      </c>
      <c r="F1056" s="8" t="s">
        <v>8835</v>
      </c>
      <c r="G1056" s="8" t="s">
        <v>3494</v>
      </c>
      <c r="H1056" s="8" t="s">
        <v>3479</v>
      </c>
      <c r="I1056" s="9">
        <v>0.0</v>
      </c>
      <c r="J1056" s="9">
        <v>2797.0</v>
      </c>
      <c r="K1056" s="9">
        <v>2797.0</v>
      </c>
      <c r="L1056" s="9">
        <v>2797.0</v>
      </c>
      <c r="M1056" s="9">
        <v>2317.0</v>
      </c>
      <c r="N1056" s="9">
        <v>0.0</v>
      </c>
      <c r="O1056" s="9">
        <v>480.0</v>
      </c>
      <c r="P1056" s="8" t="s">
        <v>3480</v>
      </c>
      <c r="Q1056" s="8" t="s">
        <v>8836</v>
      </c>
      <c r="R1056" s="8" t="s">
        <v>8837</v>
      </c>
    </row>
    <row r="1057">
      <c r="A1057" s="8" t="s">
        <v>1326</v>
      </c>
      <c r="B1057" s="8" t="s">
        <v>8838</v>
      </c>
      <c r="C1057" s="8" t="s">
        <v>8839</v>
      </c>
      <c r="D1057" s="9">
        <v>7.038169181E9</v>
      </c>
      <c r="E1057" s="8" t="s">
        <v>8840</v>
      </c>
      <c r="F1057" s="8" t="s">
        <v>4917</v>
      </c>
      <c r="G1057" s="8" t="s">
        <v>8841</v>
      </c>
      <c r="H1057" s="8" t="s">
        <v>3479</v>
      </c>
      <c r="I1057" s="9">
        <v>0.0</v>
      </c>
      <c r="J1057" s="9">
        <v>1928.0</v>
      </c>
      <c r="K1057" s="9">
        <v>1928.0</v>
      </c>
      <c r="L1057" s="9">
        <v>1928.0</v>
      </c>
      <c r="M1057" s="9">
        <v>1653.0</v>
      </c>
      <c r="N1057" s="9">
        <v>0.0</v>
      </c>
      <c r="O1057" s="9">
        <v>275.0</v>
      </c>
      <c r="P1057" s="8" t="s">
        <v>3480</v>
      </c>
      <c r="Q1057" s="8"/>
      <c r="R1057" s="8"/>
    </row>
    <row r="1058">
      <c r="A1058" s="8" t="s">
        <v>1327</v>
      </c>
      <c r="B1058" s="8" t="s">
        <v>8842</v>
      </c>
      <c r="C1058" s="8" t="s">
        <v>8843</v>
      </c>
      <c r="D1058" s="9">
        <v>8.421314789E9</v>
      </c>
      <c r="E1058" s="8" t="s">
        <v>8844</v>
      </c>
      <c r="F1058" s="8" t="s">
        <v>4259</v>
      </c>
      <c r="G1058" s="8" t="s">
        <v>8845</v>
      </c>
      <c r="H1058" s="8" t="s">
        <v>3479</v>
      </c>
      <c r="I1058" s="9">
        <v>0.0</v>
      </c>
      <c r="J1058" s="9">
        <v>1822.0</v>
      </c>
      <c r="K1058" s="9">
        <v>1822.0</v>
      </c>
      <c r="L1058" s="9">
        <v>1822.0</v>
      </c>
      <c r="M1058" s="9">
        <v>589.0</v>
      </c>
      <c r="N1058" s="9">
        <v>784.0</v>
      </c>
      <c r="O1058" s="9">
        <v>449.0</v>
      </c>
      <c r="P1058" s="8" t="s">
        <v>3480</v>
      </c>
      <c r="Q1058" s="8" t="s">
        <v>8846</v>
      </c>
      <c r="R1058" s="8" t="s">
        <v>8847</v>
      </c>
    </row>
    <row r="1059">
      <c r="A1059" s="8" t="s">
        <v>1329</v>
      </c>
      <c r="B1059" s="8" t="s">
        <v>8848</v>
      </c>
      <c r="C1059" s="8" t="s">
        <v>8849</v>
      </c>
      <c r="D1059" s="9">
        <v>7.060327247E9</v>
      </c>
      <c r="E1059" s="8" t="s">
        <v>8850</v>
      </c>
      <c r="F1059" s="8" t="s">
        <v>8851</v>
      </c>
      <c r="G1059" s="8" t="s">
        <v>8852</v>
      </c>
      <c r="H1059" s="8" t="s">
        <v>3479</v>
      </c>
      <c r="I1059" s="9">
        <v>0.0</v>
      </c>
      <c r="J1059" s="9">
        <v>2690.0</v>
      </c>
      <c r="K1059" s="9">
        <v>2690.0</v>
      </c>
      <c r="L1059" s="9">
        <v>2690.0</v>
      </c>
      <c r="M1059" s="9">
        <v>376.0</v>
      </c>
      <c r="N1059" s="9">
        <v>1515.0</v>
      </c>
      <c r="O1059" s="9">
        <v>799.0</v>
      </c>
      <c r="P1059" s="8" t="s">
        <v>3480</v>
      </c>
      <c r="Q1059" s="8" t="s">
        <v>8853</v>
      </c>
      <c r="R1059" s="8" t="s">
        <v>8854</v>
      </c>
    </row>
    <row r="1060">
      <c r="A1060" s="8" t="s">
        <v>1377</v>
      </c>
      <c r="B1060" s="8" t="s">
        <v>8855</v>
      </c>
      <c r="C1060" s="8" t="s">
        <v>7628</v>
      </c>
      <c r="D1060" s="9">
        <v>7.774991134E9</v>
      </c>
      <c r="E1060" s="8" t="s">
        <v>7629</v>
      </c>
      <c r="F1060" s="8" t="s">
        <v>7164</v>
      </c>
      <c r="G1060" s="8" t="s">
        <v>4036</v>
      </c>
      <c r="H1060" s="8" t="s">
        <v>3479</v>
      </c>
      <c r="I1060" s="9">
        <v>0.0</v>
      </c>
      <c r="J1060" s="9">
        <v>3771.0</v>
      </c>
      <c r="K1060" s="9">
        <v>3771.0</v>
      </c>
      <c r="L1060" s="9">
        <v>3771.0</v>
      </c>
      <c r="M1060" s="9">
        <v>3081.0</v>
      </c>
      <c r="N1060" s="9">
        <v>0.0</v>
      </c>
      <c r="O1060" s="9">
        <v>690.0</v>
      </c>
      <c r="P1060" s="8" t="s">
        <v>3480</v>
      </c>
      <c r="Q1060" s="8" t="s">
        <v>7631</v>
      </c>
      <c r="R1060" s="8" t="s">
        <v>7632</v>
      </c>
    </row>
    <row r="1061">
      <c r="A1061" s="8" t="s">
        <v>1378</v>
      </c>
      <c r="B1061" s="8" t="s">
        <v>8856</v>
      </c>
      <c r="C1061" s="8" t="s">
        <v>5690</v>
      </c>
      <c r="D1061" s="9">
        <v>9.422752889E9</v>
      </c>
      <c r="E1061" s="8" t="s">
        <v>5691</v>
      </c>
      <c r="F1061" s="8" t="s">
        <v>5692</v>
      </c>
      <c r="G1061" s="8" t="s">
        <v>8857</v>
      </c>
      <c r="H1061" s="8" t="s">
        <v>3479</v>
      </c>
      <c r="I1061" s="9">
        <v>0.0</v>
      </c>
      <c r="J1061" s="9">
        <v>1731.0</v>
      </c>
      <c r="K1061" s="9">
        <v>1731.0</v>
      </c>
      <c r="L1061" s="9">
        <v>1731.0</v>
      </c>
      <c r="M1061" s="9">
        <v>327.0</v>
      </c>
      <c r="N1061" s="9">
        <v>775.0</v>
      </c>
      <c r="O1061" s="9">
        <v>629.0</v>
      </c>
      <c r="P1061" s="8" t="s">
        <v>3480</v>
      </c>
      <c r="Q1061" s="8" t="s">
        <v>5694</v>
      </c>
      <c r="R1061" s="8" t="s">
        <v>5695</v>
      </c>
    </row>
    <row r="1062">
      <c r="A1062" s="8" t="s">
        <v>1379</v>
      </c>
      <c r="B1062" s="8" t="s">
        <v>8858</v>
      </c>
      <c r="C1062" s="8" t="s">
        <v>8859</v>
      </c>
      <c r="D1062" s="9">
        <v>8.888084488E9</v>
      </c>
      <c r="E1062" s="8" t="s">
        <v>8860</v>
      </c>
      <c r="F1062" s="8" t="s">
        <v>3608</v>
      </c>
      <c r="G1062" s="8" t="s">
        <v>8861</v>
      </c>
      <c r="H1062" s="8" t="s">
        <v>3479</v>
      </c>
      <c r="I1062" s="9">
        <v>0.0</v>
      </c>
      <c r="J1062" s="9">
        <v>1774.0</v>
      </c>
      <c r="K1062" s="9">
        <v>1774.0</v>
      </c>
      <c r="L1062" s="9">
        <v>1774.0</v>
      </c>
      <c r="M1062" s="9">
        <v>586.0</v>
      </c>
      <c r="N1062" s="9">
        <v>739.0</v>
      </c>
      <c r="O1062" s="9">
        <v>449.0</v>
      </c>
      <c r="P1062" s="8" t="s">
        <v>3480</v>
      </c>
      <c r="Q1062" s="8"/>
      <c r="R1062" s="8"/>
    </row>
    <row r="1063">
      <c r="A1063" s="8" t="s">
        <v>1380</v>
      </c>
      <c r="B1063" s="8" t="s">
        <v>8862</v>
      </c>
      <c r="C1063" s="8" t="s">
        <v>8863</v>
      </c>
      <c r="D1063" s="9">
        <v>9.421836434E9</v>
      </c>
      <c r="E1063" s="8" t="s">
        <v>8864</v>
      </c>
      <c r="F1063" s="8" t="s">
        <v>3828</v>
      </c>
      <c r="G1063" s="8" t="s">
        <v>8865</v>
      </c>
      <c r="H1063" s="8" t="s">
        <v>3479</v>
      </c>
      <c r="I1063" s="9">
        <v>0.0</v>
      </c>
      <c r="J1063" s="9">
        <v>1329.0</v>
      </c>
      <c r="K1063" s="9">
        <v>1329.0</v>
      </c>
      <c r="L1063" s="9">
        <v>1329.0</v>
      </c>
      <c r="M1063" s="9">
        <v>105.0</v>
      </c>
      <c r="N1063" s="9">
        <v>775.0</v>
      </c>
      <c r="O1063" s="9">
        <v>449.0</v>
      </c>
      <c r="P1063" s="8" t="s">
        <v>3480</v>
      </c>
      <c r="Q1063" s="8" t="s">
        <v>8866</v>
      </c>
      <c r="R1063" s="8" t="s">
        <v>8867</v>
      </c>
    </row>
    <row r="1064">
      <c r="A1064" s="8" t="s">
        <v>345</v>
      </c>
      <c r="B1064" s="8" t="s">
        <v>8868</v>
      </c>
      <c r="C1064" s="8" t="s">
        <v>7355</v>
      </c>
      <c r="D1064" s="9">
        <v>9.9628367E9</v>
      </c>
      <c r="E1064" s="8" t="s">
        <v>8869</v>
      </c>
      <c r="F1064" s="8" t="s">
        <v>5421</v>
      </c>
      <c r="G1064" s="8" t="s">
        <v>8870</v>
      </c>
      <c r="H1064" s="8" t="s">
        <v>3479</v>
      </c>
      <c r="I1064" s="9">
        <v>0.0</v>
      </c>
      <c r="J1064" s="9">
        <v>1259.0</v>
      </c>
      <c r="K1064" s="9">
        <v>1259.0</v>
      </c>
      <c r="L1064" s="9">
        <v>1259.0</v>
      </c>
      <c r="M1064" s="9">
        <v>80.0</v>
      </c>
      <c r="N1064" s="9">
        <v>730.0</v>
      </c>
      <c r="O1064" s="9">
        <v>449.0</v>
      </c>
      <c r="P1064" s="8" t="s">
        <v>3480</v>
      </c>
      <c r="Q1064" s="8" t="s">
        <v>8871</v>
      </c>
      <c r="R1064" s="8" t="s">
        <v>8872</v>
      </c>
    </row>
    <row r="1065">
      <c r="A1065" s="8" t="s">
        <v>1381</v>
      </c>
      <c r="B1065" s="8" t="s">
        <v>8873</v>
      </c>
      <c r="C1065" s="8" t="s">
        <v>3555</v>
      </c>
      <c r="D1065" s="9">
        <v>7.507365078E9</v>
      </c>
      <c r="E1065" s="8" t="s">
        <v>3556</v>
      </c>
      <c r="F1065" s="8" t="s">
        <v>3557</v>
      </c>
      <c r="G1065" s="8" t="s">
        <v>8874</v>
      </c>
      <c r="H1065" s="8" t="s">
        <v>3479</v>
      </c>
      <c r="I1065" s="9">
        <v>0.0</v>
      </c>
      <c r="J1065" s="9">
        <v>6775.0</v>
      </c>
      <c r="K1065" s="9">
        <v>6775.0</v>
      </c>
      <c r="L1065" s="9">
        <v>6775.0</v>
      </c>
      <c r="M1065" s="9">
        <v>4016.0</v>
      </c>
      <c r="N1065" s="9">
        <v>1510.0</v>
      </c>
      <c r="O1065" s="9">
        <v>1249.0</v>
      </c>
      <c r="P1065" s="8" t="s">
        <v>3480</v>
      </c>
      <c r="Q1065" s="8" t="s">
        <v>3559</v>
      </c>
      <c r="R1065" s="8" t="s">
        <v>3560</v>
      </c>
    </row>
    <row r="1066">
      <c r="A1066" s="8" t="s">
        <v>1382</v>
      </c>
      <c r="B1066" s="8" t="s">
        <v>8875</v>
      </c>
      <c r="C1066" s="8" t="s">
        <v>8876</v>
      </c>
      <c r="D1066" s="9">
        <v>9.284301331E9</v>
      </c>
      <c r="E1066" s="8" t="s">
        <v>8877</v>
      </c>
      <c r="F1066" s="8" t="s">
        <v>3550</v>
      </c>
      <c r="G1066" s="8" t="s">
        <v>8878</v>
      </c>
      <c r="H1066" s="8" t="s">
        <v>8879</v>
      </c>
      <c r="I1066" s="9">
        <v>0.0</v>
      </c>
      <c r="J1066" s="9">
        <v>2000.0</v>
      </c>
      <c r="K1066" s="9">
        <v>2040.0</v>
      </c>
      <c r="L1066" s="9">
        <v>2000.0</v>
      </c>
      <c r="M1066" s="9">
        <v>677.0</v>
      </c>
      <c r="N1066" s="9">
        <v>739.0</v>
      </c>
      <c r="O1066" s="9">
        <v>624.0</v>
      </c>
      <c r="P1066" s="8" t="s">
        <v>3480</v>
      </c>
      <c r="Q1066" s="8" t="s">
        <v>8880</v>
      </c>
      <c r="R1066" s="8" t="s">
        <v>8881</v>
      </c>
    </row>
    <row r="1067">
      <c r="A1067" s="8" t="s">
        <v>1383</v>
      </c>
      <c r="B1067" s="8" t="s">
        <v>8882</v>
      </c>
      <c r="C1067" s="8" t="s">
        <v>8626</v>
      </c>
      <c r="D1067" s="9">
        <v>8.149414243E9</v>
      </c>
      <c r="E1067" s="8" t="s">
        <v>8627</v>
      </c>
      <c r="F1067" s="8" t="s">
        <v>3550</v>
      </c>
      <c r="G1067" s="8" t="s">
        <v>8883</v>
      </c>
      <c r="H1067" s="8" t="s">
        <v>3479</v>
      </c>
      <c r="I1067" s="9">
        <v>0.0</v>
      </c>
      <c r="J1067" s="9">
        <v>2230.0</v>
      </c>
      <c r="K1067" s="9">
        <v>2230.0</v>
      </c>
      <c r="L1067" s="9">
        <v>2230.0</v>
      </c>
      <c r="M1067" s="9">
        <v>717.0</v>
      </c>
      <c r="N1067" s="9">
        <v>739.0</v>
      </c>
      <c r="O1067" s="9">
        <v>774.0</v>
      </c>
      <c r="P1067" s="8" t="s">
        <v>3480</v>
      </c>
      <c r="Q1067" s="8" t="s">
        <v>8629</v>
      </c>
      <c r="R1067" s="8" t="s">
        <v>8630</v>
      </c>
    </row>
    <row r="1068">
      <c r="A1068" s="8" t="s">
        <v>1376</v>
      </c>
      <c r="B1068" s="8" t="s">
        <v>8884</v>
      </c>
      <c r="C1068" s="8" t="s">
        <v>7355</v>
      </c>
      <c r="D1068" s="9">
        <v>9.9628367E9</v>
      </c>
      <c r="E1068" s="8" t="s">
        <v>8869</v>
      </c>
      <c r="F1068" s="8" t="s">
        <v>3608</v>
      </c>
      <c r="G1068" s="8" t="s">
        <v>8885</v>
      </c>
      <c r="H1068" s="8" t="s">
        <v>3479</v>
      </c>
      <c r="I1068" s="9">
        <v>0.0</v>
      </c>
      <c r="J1068" s="9">
        <v>1550.0</v>
      </c>
      <c r="K1068" s="9">
        <v>1550.0</v>
      </c>
      <c r="L1068" s="9">
        <v>1550.0</v>
      </c>
      <c r="M1068" s="9">
        <v>1550.0</v>
      </c>
      <c r="N1068" s="9">
        <v>0.0</v>
      </c>
      <c r="O1068" s="9">
        <v>0.0</v>
      </c>
      <c r="P1068" s="8" t="s">
        <v>3544</v>
      </c>
      <c r="Q1068" s="8" t="s">
        <v>8871</v>
      </c>
      <c r="R1068" s="8" t="s">
        <v>8872</v>
      </c>
    </row>
    <row r="1069">
      <c r="A1069" s="8" t="s">
        <v>1385</v>
      </c>
      <c r="B1069" s="8" t="s">
        <v>8886</v>
      </c>
      <c r="C1069" s="8" t="s">
        <v>8887</v>
      </c>
      <c r="D1069" s="9">
        <v>7.066083767E9</v>
      </c>
      <c r="E1069" s="8" t="s">
        <v>8888</v>
      </c>
      <c r="F1069" s="8" t="s">
        <v>3681</v>
      </c>
      <c r="G1069" s="8" t="s">
        <v>8889</v>
      </c>
      <c r="H1069" s="8" t="s">
        <v>3479</v>
      </c>
      <c r="I1069" s="9">
        <v>0.0</v>
      </c>
      <c r="J1069" s="9">
        <v>2876.0</v>
      </c>
      <c r="K1069" s="9">
        <v>2876.0</v>
      </c>
      <c r="L1069" s="9">
        <v>2876.0</v>
      </c>
      <c r="M1069" s="9">
        <v>1046.0</v>
      </c>
      <c r="N1069" s="9">
        <v>1075.0</v>
      </c>
      <c r="O1069" s="9">
        <v>755.0</v>
      </c>
      <c r="P1069" s="8" t="s">
        <v>3480</v>
      </c>
      <c r="Q1069" s="8"/>
      <c r="R1069" s="8"/>
    </row>
    <row r="1070">
      <c r="A1070" s="8" t="s">
        <v>1429</v>
      </c>
      <c r="B1070" s="8" t="s">
        <v>8890</v>
      </c>
      <c r="C1070" s="8" t="s">
        <v>8891</v>
      </c>
      <c r="D1070" s="9">
        <v>8.087987588E9</v>
      </c>
      <c r="E1070" s="8" t="s">
        <v>8892</v>
      </c>
      <c r="F1070" s="8" t="s">
        <v>3608</v>
      </c>
      <c r="G1070" s="8" t="s">
        <v>8893</v>
      </c>
      <c r="H1070" s="8" t="s">
        <v>3479</v>
      </c>
      <c r="I1070" s="9">
        <v>0.0</v>
      </c>
      <c r="J1070" s="9">
        <v>1443.0</v>
      </c>
      <c r="K1070" s="9">
        <v>1443.0</v>
      </c>
      <c r="L1070" s="9">
        <v>1443.0</v>
      </c>
      <c r="M1070" s="9">
        <v>255.0</v>
      </c>
      <c r="N1070" s="9">
        <v>739.0</v>
      </c>
      <c r="O1070" s="9">
        <v>449.0</v>
      </c>
      <c r="P1070" s="8" t="s">
        <v>3480</v>
      </c>
      <c r="Q1070" s="8" t="s">
        <v>8894</v>
      </c>
      <c r="R1070" s="8" t="s">
        <v>8895</v>
      </c>
    </row>
    <row r="1071">
      <c r="A1071" s="8" t="s">
        <v>1430</v>
      </c>
      <c r="B1071" s="8" t="s">
        <v>8896</v>
      </c>
      <c r="C1071" s="8" t="s">
        <v>8897</v>
      </c>
      <c r="D1071" s="9">
        <v>7.020980478E9</v>
      </c>
      <c r="E1071" s="8" t="s">
        <v>8898</v>
      </c>
      <c r="F1071" s="8" t="s">
        <v>3589</v>
      </c>
      <c r="G1071" s="8" t="s">
        <v>8899</v>
      </c>
      <c r="H1071" s="8" t="s">
        <v>3479</v>
      </c>
      <c r="I1071" s="9">
        <v>0.0</v>
      </c>
      <c r="J1071" s="9">
        <v>1150.0</v>
      </c>
      <c r="K1071" s="9">
        <v>1150.0</v>
      </c>
      <c r="L1071" s="9">
        <v>1150.0</v>
      </c>
      <c r="M1071" s="9">
        <v>1150.0</v>
      </c>
      <c r="N1071" s="9">
        <v>0.0</v>
      </c>
      <c r="O1071" s="9">
        <v>0.0</v>
      </c>
      <c r="P1071" s="8" t="s">
        <v>3480</v>
      </c>
      <c r="Q1071" s="8"/>
      <c r="R1071" s="8"/>
    </row>
    <row r="1072">
      <c r="A1072" s="8" t="s">
        <v>1386</v>
      </c>
      <c r="B1072" s="8" t="s">
        <v>8900</v>
      </c>
      <c r="C1072" s="8" t="s">
        <v>8901</v>
      </c>
      <c r="D1072" s="9">
        <v>8.552963503E9</v>
      </c>
      <c r="E1072" s="8" t="s">
        <v>8902</v>
      </c>
      <c r="F1072" s="8" t="s">
        <v>5613</v>
      </c>
      <c r="G1072" s="8" t="s">
        <v>8903</v>
      </c>
      <c r="H1072" s="8" t="s">
        <v>3479</v>
      </c>
      <c r="I1072" s="9">
        <v>0.0</v>
      </c>
      <c r="J1072" s="9">
        <v>2893.0</v>
      </c>
      <c r="K1072" s="9">
        <v>2893.0</v>
      </c>
      <c r="L1072" s="9">
        <v>2893.0</v>
      </c>
      <c r="M1072" s="9">
        <v>1630.0</v>
      </c>
      <c r="N1072" s="9">
        <v>739.0</v>
      </c>
      <c r="O1072" s="9">
        <v>524.0</v>
      </c>
      <c r="P1072" s="8" t="s">
        <v>3480</v>
      </c>
      <c r="Q1072" s="8" t="s">
        <v>8904</v>
      </c>
      <c r="R1072" s="8" t="s">
        <v>8905</v>
      </c>
    </row>
    <row r="1073">
      <c r="A1073" s="8" t="s">
        <v>1351</v>
      </c>
      <c r="B1073" s="8" t="s">
        <v>8906</v>
      </c>
      <c r="C1073" s="8" t="s">
        <v>8907</v>
      </c>
      <c r="D1073" s="9">
        <v>8.999834707E9</v>
      </c>
      <c r="E1073" s="8" t="s">
        <v>8908</v>
      </c>
      <c r="F1073" s="8" t="s">
        <v>3714</v>
      </c>
      <c r="G1073" s="8" t="s">
        <v>8909</v>
      </c>
      <c r="H1073" s="8" t="s">
        <v>3479</v>
      </c>
      <c r="I1073" s="9">
        <v>0.0</v>
      </c>
      <c r="J1073" s="9">
        <v>2034.0</v>
      </c>
      <c r="K1073" s="9">
        <v>2034.0</v>
      </c>
      <c r="L1073" s="9">
        <v>2034.0</v>
      </c>
      <c r="M1073" s="9">
        <v>560.0</v>
      </c>
      <c r="N1073" s="9">
        <v>775.0</v>
      </c>
      <c r="O1073" s="9">
        <v>699.0</v>
      </c>
      <c r="P1073" s="8" t="s">
        <v>3480</v>
      </c>
      <c r="Q1073" s="8" t="s">
        <v>8910</v>
      </c>
      <c r="R1073" s="8" t="s">
        <v>8911</v>
      </c>
    </row>
    <row r="1074">
      <c r="A1074" s="8" t="s">
        <v>1352</v>
      </c>
      <c r="B1074" s="8" t="s">
        <v>8912</v>
      </c>
      <c r="C1074" s="8" t="s">
        <v>8913</v>
      </c>
      <c r="D1074" s="9">
        <v>9.822858252E9</v>
      </c>
      <c r="E1074" s="8" t="s">
        <v>8914</v>
      </c>
      <c r="F1074" s="8" t="s">
        <v>3615</v>
      </c>
      <c r="G1074" s="8" t="s">
        <v>8915</v>
      </c>
      <c r="H1074" s="8" t="s">
        <v>3479</v>
      </c>
      <c r="I1074" s="9">
        <v>0.0</v>
      </c>
      <c r="J1074" s="9">
        <v>679.0</v>
      </c>
      <c r="K1074" s="9">
        <v>679.0</v>
      </c>
      <c r="L1074" s="9">
        <v>679.0</v>
      </c>
      <c r="M1074" s="9">
        <v>80.0</v>
      </c>
      <c r="N1074" s="9">
        <v>0.0</v>
      </c>
      <c r="O1074" s="9">
        <v>599.0</v>
      </c>
      <c r="P1074" s="8" t="s">
        <v>3480</v>
      </c>
      <c r="Q1074" s="8" t="s">
        <v>8916</v>
      </c>
      <c r="R1074" s="8" t="s">
        <v>8917</v>
      </c>
    </row>
    <row r="1075">
      <c r="A1075" s="8" t="s">
        <v>1354</v>
      </c>
      <c r="B1075" s="8" t="s">
        <v>8918</v>
      </c>
      <c r="C1075" s="8" t="s">
        <v>5147</v>
      </c>
      <c r="D1075" s="9">
        <v>9.373172927E9</v>
      </c>
      <c r="E1075" s="8" t="s">
        <v>5148</v>
      </c>
      <c r="F1075" s="8" t="s">
        <v>4112</v>
      </c>
      <c r="G1075" s="8" t="s">
        <v>8919</v>
      </c>
      <c r="H1075" s="8" t="s">
        <v>5186</v>
      </c>
      <c r="I1075" s="9">
        <v>0.0</v>
      </c>
      <c r="J1075" s="9">
        <v>1495.0</v>
      </c>
      <c r="K1075" s="9">
        <v>1544.0</v>
      </c>
      <c r="L1075" s="9">
        <v>1495.0</v>
      </c>
      <c r="M1075" s="9">
        <v>605.0</v>
      </c>
      <c r="N1075" s="9">
        <v>190.0</v>
      </c>
      <c r="O1075" s="9">
        <v>749.0</v>
      </c>
      <c r="P1075" s="8" t="s">
        <v>3480</v>
      </c>
      <c r="Q1075" s="8" t="s">
        <v>5151</v>
      </c>
      <c r="R1075" s="8" t="s">
        <v>5152</v>
      </c>
    </row>
    <row r="1076">
      <c r="A1076" s="8" t="s">
        <v>1449</v>
      </c>
      <c r="B1076" s="8" t="s">
        <v>8920</v>
      </c>
      <c r="C1076" s="8" t="s">
        <v>8921</v>
      </c>
      <c r="D1076" s="9">
        <v>8.411002659E9</v>
      </c>
      <c r="E1076" s="8" t="s">
        <v>8922</v>
      </c>
      <c r="F1076" s="8" t="s">
        <v>3550</v>
      </c>
      <c r="G1076" s="8" t="s">
        <v>8923</v>
      </c>
      <c r="H1076" s="8" t="s">
        <v>8294</v>
      </c>
      <c r="I1076" s="9">
        <v>0.0</v>
      </c>
      <c r="J1076" s="9">
        <v>1200.0</v>
      </c>
      <c r="K1076" s="9">
        <v>1259.0</v>
      </c>
      <c r="L1076" s="9">
        <v>1200.0</v>
      </c>
      <c r="M1076" s="9">
        <v>80.0</v>
      </c>
      <c r="N1076" s="9">
        <v>730.0</v>
      </c>
      <c r="O1076" s="9">
        <v>449.0</v>
      </c>
      <c r="P1076" s="8" t="s">
        <v>3519</v>
      </c>
      <c r="Q1076" s="8" t="s">
        <v>8924</v>
      </c>
      <c r="R1076" s="8" t="s">
        <v>8925</v>
      </c>
    </row>
    <row r="1077">
      <c r="A1077" s="8" t="s">
        <v>1384</v>
      </c>
      <c r="B1077" s="8" t="s">
        <v>8926</v>
      </c>
      <c r="C1077" s="8" t="s">
        <v>8927</v>
      </c>
      <c r="D1077" s="9">
        <v>8.380934175E9</v>
      </c>
      <c r="E1077" s="8" t="s">
        <v>8928</v>
      </c>
      <c r="F1077" s="8" t="s">
        <v>3594</v>
      </c>
      <c r="G1077" s="8" t="s">
        <v>8929</v>
      </c>
      <c r="H1077" s="8" t="s">
        <v>3479</v>
      </c>
      <c r="I1077" s="9">
        <v>0.0</v>
      </c>
      <c r="J1077" s="9">
        <v>2808.0</v>
      </c>
      <c r="K1077" s="9">
        <v>2808.0</v>
      </c>
      <c r="L1077" s="9">
        <v>2808.0</v>
      </c>
      <c r="M1077" s="9">
        <v>1545.0</v>
      </c>
      <c r="N1077" s="9">
        <v>739.0</v>
      </c>
      <c r="O1077" s="9">
        <v>524.0</v>
      </c>
      <c r="P1077" s="8" t="s">
        <v>3480</v>
      </c>
      <c r="Q1077" s="8" t="s">
        <v>8930</v>
      </c>
      <c r="R1077" s="8" t="s">
        <v>8931</v>
      </c>
    </row>
    <row r="1078">
      <c r="A1078" s="8" t="s">
        <v>1350</v>
      </c>
      <c r="B1078" s="8" t="s">
        <v>8932</v>
      </c>
      <c r="C1078" s="8" t="s">
        <v>8933</v>
      </c>
      <c r="D1078" s="9">
        <v>7.529960144E9</v>
      </c>
      <c r="E1078" s="8" t="s">
        <v>8934</v>
      </c>
      <c r="F1078" s="8" t="s">
        <v>7608</v>
      </c>
      <c r="G1078" s="8" t="s">
        <v>8935</v>
      </c>
      <c r="H1078" s="8" t="s">
        <v>3479</v>
      </c>
      <c r="I1078" s="9">
        <v>0.0</v>
      </c>
      <c r="J1078" s="9">
        <v>2491.0</v>
      </c>
      <c r="K1078" s="9">
        <v>2491.0</v>
      </c>
      <c r="L1078" s="9">
        <v>2491.0</v>
      </c>
      <c r="M1078" s="9">
        <v>224.0</v>
      </c>
      <c r="N1078" s="9">
        <v>1468.0</v>
      </c>
      <c r="O1078" s="9">
        <v>799.0</v>
      </c>
      <c r="P1078" s="8" t="s">
        <v>3480</v>
      </c>
      <c r="Q1078" s="8"/>
      <c r="R1078" s="8"/>
    </row>
    <row r="1079">
      <c r="A1079" s="8" t="s">
        <v>1353</v>
      </c>
      <c r="B1079" s="8" t="s">
        <v>8936</v>
      </c>
      <c r="C1079" s="8" t="s">
        <v>4927</v>
      </c>
      <c r="D1079" s="9">
        <v>8.180990186E9</v>
      </c>
      <c r="E1079" s="8" t="s">
        <v>4928</v>
      </c>
      <c r="F1079" s="8" t="s">
        <v>4929</v>
      </c>
      <c r="G1079" s="8" t="s">
        <v>8937</v>
      </c>
      <c r="H1079" s="8" t="s">
        <v>3479</v>
      </c>
      <c r="I1079" s="9">
        <v>0.0</v>
      </c>
      <c r="J1079" s="9">
        <v>2083.0</v>
      </c>
      <c r="K1079" s="9">
        <v>2083.0</v>
      </c>
      <c r="L1079" s="9">
        <v>2083.0</v>
      </c>
      <c r="M1079" s="9">
        <v>519.0</v>
      </c>
      <c r="N1079" s="9">
        <v>840.0</v>
      </c>
      <c r="O1079" s="9">
        <v>724.0</v>
      </c>
      <c r="P1079" s="8" t="s">
        <v>3480</v>
      </c>
      <c r="Q1079" s="8" t="s">
        <v>4931</v>
      </c>
      <c r="R1079" s="8" t="s">
        <v>4932</v>
      </c>
    </row>
    <row r="1080">
      <c r="A1080" s="8" t="s">
        <v>1355</v>
      </c>
      <c r="B1080" s="8" t="s">
        <v>8938</v>
      </c>
      <c r="C1080" s="8" t="s">
        <v>5208</v>
      </c>
      <c r="D1080" s="9">
        <v>8.867799921E9</v>
      </c>
      <c r="E1080" s="8" t="s">
        <v>5209</v>
      </c>
      <c r="F1080" s="8" t="s">
        <v>3853</v>
      </c>
      <c r="G1080" s="8" t="s">
        <v>8939</v>
      </c>
      <c r="H1080" s="8" t="s">
        <v>3479</v>
      </c>
      <c r="I1080" s="9">
        <v>0.0</v>
      </c>
      <c r="J1080" s="9">
        <v>1150.0</v>
      </c>
      <c r="K1080" s="9">
        <v>1150.0</v>
      </c>
      <c r="L1080" s="9">
        <v>1150.0</v>
      </c>
      <c r="M1080" s="9">
        <v>1150.0</v>
      </c>
      <c r="N1080" s="9">
        <v>0.0</v>
      </c>
      <c r="O1080" s="9">
        <v>0.0</v>
      </c>
      <c r="P1080" s="8" t="s">
        <v>3480</v>
      </c>
      <c r="Q1080" s="8" t="s">
        <v>5211</v>
      </c>
      <c r="R1080" s="8" t="s">
        <v>5212</v>
      </c>
    </row>
    <row r="1081">
      <c r="A1081" s="8" t="s">
        <v>1451</v>
      </c>
      <c r="B1081" s="8" t="s">
        <v>8940</v>
      </c>
      <c r="C1081" s="8" t="s">
        <v>8941</v>
      </c>
      <c r="D1081" s="9">
        <v>8.888870951E9</v>
      </c>
      <c r="E1081" s="8" t="s">
        <v>8942</v>
      </c>
      <c r="F1081" s="8" t="s">
        <v>3934</v>
      </c>
      <c r="G1081" s="8" t="s">
        <v>8943</v>
      </c>
      <c r="H1081" s="8" t="s">
        <v>3479</v>
      </c>
      <c r="I1081" s="9">
        <v>0.0</v>
      </c>
      <c r="J1081" s="9">
        <v>1559.0</v>
      </c>
      <c r="K1081" s="9">
        <v>1559.0</v>
      </c>
      <c r="L1081" s="9">
        <v>1559.0</v>
      </c>
      <c r="M1081" s="9">
        <v>380.0</v>
      </c>
      <c r="N1081" s="9">
        <v>730.0</v>
      </c>
      <c r="O1081" s="9">
        <v>449.0</v>
      </c>
      <c r="P1081" s="8" t="s">
        <v>3480</v>
      </c>
      <c r="Q1081" s="8"/>
      <c r="R1081" s="8"/>
    </row>
    <row r="1082">
      <c r="A1082" s="8" t="s">
        <v>1450</v>
      </c>
      <c r="B1082" s="8" t="s">
        <v>8944</v>
      </c>
      <c r="C1082" s="8" t="s">
        <v>8945</v>
      </c>
      <c r="D1082" s="9">
        <v>9.623907023E9</v>
      </c>
      <c r="E1082" s="8" t="s">
        <v>8946</v>
      </c>
      <c r="F1082" s="8" t="s">
        <v>4929</v>
      </c>
      <c r="G1082" s="8" t="s">
        <v>8947</v>
      </c>
      <c r="H1082" s="8" t="s">
        <v>3479</v>
      </c>
      <c r="I1082" s="9">
        <v>0.0</v>
      </c>
      <c r="J1082" s="9">
        <v>2333.0</v>
      </c>
      <c r="K1082" s="9">
        <v>2333.0</v>
      </c>
      <c r="L1082" s="9">
        <v>2333.0</v>
      </c>
      <c r="M1082" s="9">
        <v>1983.0</v>
      </c>
      <c r="N1082" s="9">
        <v>0.0</v>
      </c>
      <c r="O1082" s="9">
        <v>350.0</v>
      </c>
      <c r="P1082" s="8" t="s">
        <v>3544</v>
      </c>
      <c r="Q1082" s="8"/>
      <c r="R1082" s="8"/>
    </row>
    <row r="1083">
      <c r="A1083" s="8" t="s">
        <v>1462</v>
      </c>
      <c r="B1083" s="8" t="s">
        <v>8948</v>
      </c>
      <c r="C1083" s="8" t="s">
        <v>8949</v>
      </c>
      <c r="D1083" s="9">
        <v>8.796143994E9</v>
      </c>
      <c r="E1083" s="8" t="s">
        <v>8950</v>
      </c>
      <c r="F1083" s="8" t="s">
        <v>4143</v>
      </c>
      <c r="G1083" s="8" t="s">
        <v>8951</v>
      </c>
      <c r="H1083" s="8" t="s">
        <v>3479</v>
      </c>
      <c r="I1083" s="9">
        <v>0.0</v>
      </c>
      <c r="J1083" s="9">
        <v>2153.0</v>
      </c>
      <c r="K1083" s="9">
        <v>2153.0</v>
      </c>
      <c r="L1083" s="9">
        <v>2153.0</v>
      </c>
      <c r="M1083" s="9">
        <v>1289.0</v>
      </c>
      <c r="N1083" s="9">
        <v>65.0</v>
      </c>
      <c r="O1083" s="9">
        <v>799.0</v>
      </c>
      <c r="P1083" s="8" t="s">
        <v>3480</v>
      </c>
      <c r="Q1083" s="8" t="s">
        <v>8952</v>
      </c>
      <c r="R1083" s="8" t="s">
        <v>8953</v>
      </c>
    </row>
    <row r="1084">
      <c r="A1084" s="8" t="s">
        <v>1452</v>
      </c>
      <c r="B1084" s="8" t="s">
        <v>8954</v>
      </c>
      <c r="C1084" s="8" t="s">
        <v>8955</v>
      </c>
      <c r="D1084" s="9">
        <v>7.387680231E9</v>
      </c>
      <c r="E1084" s="8" t="s">
        <v>8956</v>
      </c>
      <c r="F1084" s="8" t="s">
        <v>4391</v>
      </c>
      <c r="G1084" s="8" t="s">
        <v>8957</v>
      </c>
      <c r="H1084" s="8" t="s">
        <v>8958</v>
      </c>
      <c r="I1084" s="9">
        <v>0.0</v>
      </c>
      <c r="J1084" s="9">
        <v>1300.0</v>
      </c>
      <c r="K1084" s="9">
        <v>1324.0</v>
      </c>
      <c r="L1084" s="9">
        <v>1300.0</v>
      </c>
      <c r="M1084" s="9">
        <v>145.0</v>
      </c>
      <c r="N1084" s="9">
        <v>730.0</v>
      </c>
      <c r="O1084" s="9">
        <v>449.0</v>
      </c>
      <c r="P1084" s="8" t="s">
        <v>3480</v>
      </c>
      <c r="Q1084" s="8" t="s">
        <v>8959</v>
      </c>
      <c r="R1084" s="8" t="s">
        <v>8960</v>
      </c>
    </row>
    <row r="1085">
      <c r="A1085" s="8" t="s">
        <v>1392</v>
      </c>
      <c r="B1085" s="8" t="s">
        <v>8961</v>
      </c>
      <c r="C1085" s="8" t="s">
        <v>8962</v>
      </c>
      <c r="D1085" s="9">
        <v>9.970900021E9</v>
      </c>
      <c r="E1085" s="8" t="s">
        <v>8963</v>
      </c>
      <c r="F1085" s="8" t="s">
        <v>4645</v>
      </c>
      <c r="G1085" s="8" t="s">
        <v>8964</v>
      </c>
      <c r="H1085" s="8" t="s">
        <v>3479</v>
      </c>
      <c r="I1085" s="9">
        <v>0.0</v>
      </c>
      <c r="J1085" s="9">
        <v>1286.0</v>
      </c>
      <c r="K1085" s="9">
        <v>1286.0</v>
      </c>
      <c r="L1085" s="9">
        <v>1286.0</v>
      </c>
      <c r="M1085" s="9">
        <v>98.0</v>
      </c>
      <c r="N1085" s="9">
        <v>739.0</v>
      </c>
      <c r="O1085" s="9">
        <v>449.0</v>
      </c>
      <c r="P1085" s="8" t="s">
        <v>3480</v>
      </c>
      <c r="Q1085" s="8" t="s">
        <v>8965</v>
      </c>
      <c r="R1085" s="8" t="s">
        <v>8966</v>
      </c>
    </row>
    <row r="1086">
      <c r="A1086" s="8" t="s">
        <v>1431</v>
      </c>
      <c r="B1086" s="8" t="s">
        <v>8967</v>
      </c>
      <c r="C1086" s="8" t="s">
        <v>8968</v>
      </c>
      <c r="D1086" s="9">
        <v>9.823256415E9</v>
      </c>
      <c r="E1086" s="8" t="s">
        <v>8969</v>
      </c>
      <c r="F1086" s="8" t="s">
        <v>3594</v>
      </c>
      <c r="G1086" s="8" t="s">
        <v>8970</v>
      </c>
      <c r="H1086" s="8" t="s">
        <v>3479</v>
      </c>
      <c r="I1086" s="9">
        <v>0.0</v>
      </c>
      <c r="J1086" s="9">
        <v>2126.0</v>
      </c>
      <c r="K1086" s="9">
        <v>2126.0</v>
      </c>
      <c r="L1086" s="9">
        <v>2126.0</v>
      </c>
      <c r="M1086" s="9">
        <v>863.0</v>
      </c>
      <c r="N1086" s="9">
        <v>739.0</v>
      </c>
      <c r="O1086" s="9">
        <v>524.0</v>
      </c>
      <c r="P1086" s="8" t="s">
        <v>3480</v>
      </c>
      <c r="Q1086" s="8" t="s">
        <v>8971</v>
      </c>
      <c r="R1086" s="8" t="s">
        <v>8972</v>
      </c>
    </row>
    <row r="1087">
      <c r="A1087" s="8" t="s">
        <v>1455</v>
      </c>
      <c r="B1087" s="8" t="s">
        <v>8973</v>
      </c>
      <c r="C1087" s="8" t="s">
        <v>5384</v>
      </c>
      <c r="D1087" s="9">
        <v>9.881241879E9</v>
      </c>
      <c r="E1087" s="8" t="s">
        <v>5385</v>
      </c>
      <c r="F1087" s="8" t="s">
        <v>3509</v>
      </c>
      <c r="G1087" s="8" t="s">
        <v>8974</v>
      </c>
      <c r="H1087" s="8" t="s">
        <v>3479</v>
      </c>
      <c r="I1087" s="9">
        <v>0.0</v>
      </c>
      <c r="J1087" s="9">
        <v>3910.0</v>
      </c>
      <c r="K1087" s="9">
        <v>3910.0</v>
      </c>
      <c r="L1087" s="9">
        <v>3910.0</v>
      </c>
      <c r="M1087" s="9">
        <v>2506.0</v>
      </c>
      <c r="N1087" s="9">
        <v>730.0</v>
      </c>
      <c r="O1087" s="9">
        <v>674.0</v>
      </c>
      <c r="P1087" s="8" t="s">
        <v>3544</v>
      </c>
      <c r="Q1087" s="8" t="s">
        <v>5387</v>
      </c>
      <c r="R1087" s="8"/>
    </row>
    <row r="1088">
      <c r="A1088" s="8" t="s">
        <v>1454</v>
      </c>
      <c r="B1088" s="8" t="s">
        <v>8975</v>
      </c>
      <c r="C1088" s="8" t="s">
        <v>5476</v>
      </c>
      <c r="D1088" s="9">
        <v>8.779872506E9</v>
      </c>
      <c r="E1088" s="8" t="s">
        <v>5477</v>
      </c>
      <c r="F1088" s="8" t="s">
        <v>4143</v>
      </c>
      <c r="G1088" s="8" t="s">
        <v>8976</v>
      </c>
      <c r="H1088" s="8" t="s">
        <v>3479</v>
      </c>
      <c r="I1088" s="9">
        <v>0.0</v>
      </c>
      <c r="J1088" s="9">
        <v>2941.0</v>
      </c>
      <c r="K1088" s="9">
        <v>2941.0</v>
      </c>
      <c r="L1088" s="9">
        <v>2941.0</v>
      </c>
      <c r="M1088" s="9">
        <v>1358.0</v>
      </c>
      <c r="N1088" s="9">
        <v>784.0</v>
      </c>
      <c r="O1088" s="9">
        <v>799.0</v>
      </c>
      <c r="P1088" s="8" t="s">
        <v>3480</v>
      </c>
      <c r="Q1088" s="8"/>
      <c r="R1088" s="8"/>
    </row>
    <row r="1089">
      <c r="A1089" s="8" t="s">
        <v>1453</v>
      </c>
      <c r="B1089" s="8" t="s">
        <v>8977</v>
      </c>
      <c r="C1089" s="8" t="s">
        <v>8978</v>
      </c>
      <c r="D1089" s="9">
        <v>8.37897846E9</v>
      </c>
      <c r="E1089" s="8" t="s">
        <v>8979</v>
      </c>
      <c r="F1089" s="8" t="s">
        <v>3523</v>
      </c>
      <c r="G1089" s="8" t="s">
        <v>8909</v>
      </c>
      <c r="H1089" s="8" t="s">
        <v>8980</v>
      </c>
      <c r="I1089" s="9">
        <v>0.0</v>
      </c>
      <c r="J1089" s="9">
        <v>4850.0</v>
      </c>
      <c r="K1089" s="9">
        <v>4866.0</v>
      </c>
      <c r="L1089" s="9">
        <v>4850.0</v>
      </c>
      <c r="M1089" s="9">
        <v>3981.0</v>
      </c>
      <c r="N1089" s="9">
        <v>730.0</v>
      </c>
      <c r="O1089" s="9">
        <v>155.0</v>
      </c>
      <c r="P1089" s="8" t="s">
        <v>3519</v>
      </c>
      <c r="Q1089" s="8" t="s">
        <v>8981</v>
      </c>
      <c r="R1089" s="8" t="s">
        <v>8982</v>
      </c>
    </row>
    <row r="1090">
      <c r="A1090" s="8" t="s">
        <v>1457</v>
      </c>
      <c r="B1090" s="8" t="s">
        <v>8983</v>
      </c>
      <c r="C1090" s="8" t="s">
        <v>8984</v>
      </c>
      <c r="D1090" s="9">
        <v>9.130914347E9</v>
      </c>
      <c r="E1090" s="8" t="s">
        <v>8985</v>
      </c>
      <c r="F1090" s="8" t="s">
        <v>3601</v>
      </c>
      <c r="G1090" s="8" t="s">
        <v>8986</v>
      </c>
      <c r="H1090" s="8" t="s">
        <v>3479</v>
      </c>
      <c r="I1090" s="9">
        <v>0.0</v>
      </c>
      <c r="J1090" s="9">
        <v>1494.0</v>
      </c>
      <c r="K1090" s="9">
        <v>1494.0</v>
      </c>
      <c r="L1090" s="9">
        <v>1494.0</v>
      </c>
      <c r="M1090" s="9">
        <v>140.0</v>
      </c>
      <c r="N1090" s="9">
        <v>730.0</v>
      </c>
      <c r="O1090" s="9">
        <v>624.0</v>
      </c>
      <c r="P1090" s="8" t="s">
        <v>3480</v>
      </c>
      <c r="Q1090" s="8" t="s">
        <v>8987</v>
      </c>
      <c r="R1090" s="8" t="s">
        <v>8988</v>
      </c>
    </row>
    <row r="1091">
      <c r="A1091" s="8" t="s">
        <v>1459</v>
      </c>
      <c r="B1091" s="8" t="s">
        <v>8989</v>
      </c>
      <c r="C1091" s="8" t="s">
        <v>8178</v>
      </c>
      <c r="D1091" s="9">
        <v>9.987555184E9</v>
      </c>
      <c r="E1091" s="8" t="s">
        <v>8179</v>
      </c>
      <c r="F1091" s="8" t="s">
        <v>8180</v>
      </c>
      <c r="G1091" s="8" t="s">
        <v>8181</v>
      </c>
      <c r="H1091" s="8" t="s">
        <v>3479</v>
      </c>
      <c r="I1091" s="9">
        <v>0.0</v>
      </c>
      <c r="J1091" s="9">
        <v>1339.0</v>
      </c>
      <c r="K1091" s="9">
        <v>1339.0</v>
      </c>
      <c r="L1091" s="9">
        <v>1339.0</v>
      </c>
      <c r="M1091" s="9">
        <v>160.0</v>
      </c>
      <c r="N1091" s="9">
        <v>730.0</v>
      </c>
      <c r="O1091" s="9">
        <v>449.0</v>
      </c>
      <c r="P1091" s="8" t="s">
        <v>3480</v>
      </c>
      <c r="Q1091" s="8"/>
      <c r="R1091" s="8"/>
    </row>
    <row r="1092">
      <c r="A1092" s="8" t="s">
        <v>1463</v>
      </c>
      <c r="B1092" s="8" t="s">
        <v>8990</v>
      </c>
      <c r="C1092" s="8" t="s">
        <v>8991</v>
      </c>
      <c r="D1092" s="9">
        <v>9.947668473E9</v>
      </c>
      <c r="E1092" s="8" t="s">
        <v>8992</v>
      </c>
      <c r="F1092" s="8" t="s">
        <v>8993</v>
      </c>
      <c r="G1092" s="8" t="s">
        <v>8994</v>
      </c>
      <c r="H1092" s="8" t="s">
        <v>3479</v>
      </c>
      <c r="I1092" s="9">
        <v>0.0</v>
      </c>
      <c r="J1092" s="9">
        <v>3657.0</v>
      </c>
      <c r="K1092" s="9">
        <v>3657.0</v>
      </c>
      <c r="L1092" s="9">
        <v>3657.0</v>
      </c>
      <c r="M1092" s="9">
        <v>1263.0</v>
      </c>
      <c r="N1092" s="9">
        <v>1045.0</v>
      </c>
      <c r="O1092" s="9">
        <v>1349.0</v>
      </c>
      <c r="P1092" s="8" t="s">
        <v>3480</v>
      </c>
      <c r="Q1092" s="8" t="s">
        <v>8995</v>
      </c>
      <c r="R1092" s="8" t="s">
        <v>8996</v>
      </c>
    </row>
    <row r="1093">
      <c r="A1093" s="8" t="s">
        <v>1460</v>
      </c>
      <c r="B1093" s="8" t="s">
        <v>8997</v>
      </c>
      <c r="C1093" s="8" t="s">
        <v>8998</v>
      </c>
      <c r="D1093" s="9">
        <v>9.767057304E9</v>
      </c>
      <c r="E1093" s="8" t="s">
        <v>8999</v>
      </c>
      <c r="F1093" s="8" t="s">
        <v>4758</v>
      </c>
      <c r="G1093" s="8" t="s">
        <v>9000</v>
      </c>
      <c r="H1093" s="8" t="s">
        <v>3479</v>
      </c>
      <c r="I1093" s="9">
        <v>0.0</v>
      </c>
      <c r="J1093" s="9">
        <v>954.0</v>
      </c>
      <c r="K1093" s="9">
        <v>954.0</v>
      </c>
      <c r="L1093" s="9">
        <v>954.0</v>
      </c>
      <c r="M1093" s="9">
        <v>15.0</v>
      </c>
      <c r="N1093" s="9">
        <v>190.0</v>
      </c>
      <c r="O1093" s="9">
        <v>749.0</v>
      </c>
      <c r="P1093" s="8" t="s">
        <v>3480</v>
      </c>
      <c r="Q1093" s="8" t="s">
        <v>9001</v>
      </c>
      <c r="R1093" s="8" t="s">
        <v>9002</v>
      </c>
    </row>
    <row r="1094">
      <c r="A1094" s="8" t="s">
        <v>1461</v>
      </c>
      <c r="B1094" s="8" t="s">
        <v>9003</v>
      </c>
      <c r="C1094" s="8" t="s">
        <v>9004</v>
      </c>
      <c r="D1094" s="9">
        <v>9.657108764E9</v>
      </c>
      <c r="E1094" s="8" t="s">
        <v>9005</v>
      </c>
      <c r="F1094" s="8" t="s">
        <v>3608</v>
      </c>
      <c r="G1094" s="8" t="s">
        <v>9006</v>
      </c>
      <c r="H1094" s="8" t="s">
        <v>3479</v>
      </c>
      <c r="I1094" s="9">
        <v>0.0</v>
      </c>
      <c r="J1094" s="9">
        <v>3744.0</v>
      </c>
      <c r="K1094" s="9">
        <v>3744.0</v>
      </c>
      <c r="L1094" s="9">
        <v>3744.0</v>
      </c>
      <c r="M1094" s="9">
        <v>2490.0</v>
      </c>
      <c r="N1094" s="9">
        <v>730.0</v>
      </c>
      <c r="O1094" s="9">
        <v>524.0</v>
      </c>
      <c r="P1094" s="8" t="s">
        <v>3480</v>
      </c>
      <c r="Q1094" s="8"/>
      <c r="R1094" s="8"/>
    </row>
    <row r="1095">
      <c r="A1095" s="8" t="s">
        <v>1482</v>
      </c>
      <c r="B1095" s="8" t="s">
        <v>9007</v>
      </c>
      <c r="C1095" s="8" t="s">
        <v>9008</v>
      </c>
      <c r="D1095" s="9">
        <v>9.834114667E9</v>
      </c>
      <c r="E1095" s="8" t="s">
        <v>9009</v>
      </c>
      <c r="F1095" s="8" t="s">
        <v>3977</v>
      </c>
      <c r="G1095" s="8" t="s">
        <v>9010</v>
      </c>
      <c r="H1095" s="8" t="s">
        <v>3479</v>
      </c>
      <c r="I1095" s="9">
        <v>0.0</v>
      </c>
      <c r="J1095" s="9">
        <v>1573.0</v>
      </c>
      <c r="K1095" s="9">
        <v>1573.0</v>
      </c>
      <c r="L1095" s="9">
        <v>1573.0</v>
      </c>
      <c r="M1095" s="9">
        <v>385.0</v>
      </c>
      <c r="N1095" s="9">
        <v>739.0</v>
      </c>
      <c r="O1095" s="9">
        <v>449.0</v>
      </c>
      <c r="P1095" s="8" t="s">
        <v>3544</v>
      </c>
      <c r="Q1095" s="8" t="s">
        <v>9011</v>
      </c>
      <c r="R1095" s="8" t="s">
        <v>9012</v>
      </c>
    </row>
    <row r="1096">
      <c r="A1096" s="8" t="s">
        <v>1483</v>
      </c>
      <c r="B1096" s="8" t="s">
        <v>9013</v>
      </c>
      <c r="C1096" s="8" t="s">
        <v>9014</v>
      </c>
      <c r="D1096" s="9">
        <v>7.888008424E9</v>
      </c>
      <c r="E1096" s="8" t="s">
        <v>9015</v>
      </c>
      <c r="F1096" s="8" t="s">
        <v>6118</v>
      </c>
      <c r="G1096" s="8" t="s">
        <v>9016</v>
      </c>
      <c r="H1096" s="8" t="s">
        <v>9017</v>
      </c>
      <c r="I1096" s="9">
        <v>0.0</v>
      </c>
      <c r="J1096" s="9">
        <v>1400.0</v>
      </c>
      <c r="K1096" s="9">
        <v>1429.0</v>
      </c>
      <c r="L1096" s="9">
        <v>1400.0</v>
      </c>
      <c r="M1096" s="9">
        <v>250.0</v>
      </c>
      <c r="N1096" s="9">
        <v>730.0</v>
      </c>
      <c r="O1096" s="9">
        <v>449.0</v>
      </c>
      <c r="P1096" s="8" t="s">
        <v>3480</v>
      </c>
      <c r="Q1096" s="8"/>
      <c r="R1096" s="8"/>
    </row>
    <row r="1097">
      <c r="A1097" s="8" t="s">
        <v>1458</v>
      </c>
      <c r="B1097" s="8" t="s">
        <v>9018</v>
      </c>
      <c r="C1097" s="8" t="s">
        <v>9019</v>
      </c>
      <c r="D1097" s="9">
        <v>9.970172806E9</v>
      </c>
      <c r="E1097" s="8" t="s">
        <v>9020</v>
      </c>
      <c r="F1097" s="8" t="s">
        <v>5064</v>
      </c>
      <c r="G1097" s="8"/>
      <c r="H1097" s="8" t="s">
        <v>3479</v>
      </c>
      <c r="I1097" s="9">
        <v>0.0</v>
      </c>
      <c r="J1097" s="9">
        <v>1601.0</v>
      </c>
      <c r="K1097" s="9">
        <v>1601.0</v>
      </c>
      <c r="L1097" s="9">
        <v>1601.0</v>
      </c>
      <c r="M1097" s="9">
        <v>288.0</v>
      </c>
      <c r="N1097" s="9">
        <v>784.0</v>
      </c>
      <c r="O1097" s="9">
        <v>529.0</v>
      </c>
      <c r="P1097" s="8" t="s">
        <v>3480</v>
      </c>
      <c r="Q1097" s="8" t="s">
        <v>9021</v>
      </c>
      <c r="R1097" s="8"/>
    </row>
    <row r="1098">
      <c r="A1098" s="8" t="s">
        <v>1432</v>
      </c>
      <c r="B1098" s="8" t="s">
        <v>9022</v>
      </c>
      <c r="C1098" s="8" t="s">
        <v>9023</v>
      </c>
      <c r="D1098" s="9">
        <v>9.158029726E9</v>
      </c>
      <c r="E1098" s="8" t="s">
        <v>9024</v>
      </c>
      <c r="F1098" s="8" t="s">
        <v>3901</v>
      </c>
      <c r="G1098" s="8" t="s">
        <v>9025</v>
      </c>
      <c r="H1098" s="8" t="s">
        <v>3479</v>
      </c>
      <c r="I1098" s="9">
        <v>0.0</v>
      </c>
      <c r="J1098" s="9">
        <v>1634.0</v>
      </c>
      <c r="K1098" s="9">
        <v>1634.0</v>
      </c>
      <c r="L1098" s="9">
        <v>1634.0</v>
      </c>
      <c r="M1098" s="9">
        <v>135.0</v>
      </c>
      <c r="N1098" s="9">
        <v>900.0</v>
      </c>
      <c r="O1098" s="9">
        <v>599.0</v>
      </c>
      <c r="P1098" s="8" t="s">
        <v>3480</v>
      </c>
      <c r="Q1098" s="8" t="s">
        <v>9026</v>
      </c>
      <c r="R1098" s="8" t="s">
        <v>9027</v>
      </c>
    </row>
    <row r="1099">
      <c r="A1099" s="8" t="s">
        <v>1456</v>
      </c>
      <c r="B1099" s="8" t="s">
        <v>9028</v>
      </c>
      <c r="C1099" s="8" t="s">
        <v>6389</v>
      </c>
      <c r="D1099" s="9">
        <v>7.875040912E9</v>
      </c>
      <c r="E1099" s="8" t="s">
        <v>9029</v>
      </c>
      <c r="F1099" s="8" t="s">
        <v>3493</v>
      </c>
      <c r="G1099" s="8" t="s">
        <v>9030</v>
      </c>
      <c r="H1099" s="8" t="s">
        <v>3479</v>
      </c>
      <c r="I1099" s="9">
        <v>0.0</v>
      </c>
      <c r="J1099" s="9">
        <v>1518.0</v>
      </c>
      <c r="K1099" s="9">
        <v>1518.0</v>
      </c>
      <c r="L1099" s="9">
        <v>1518.0</v>
      </c>
      <c r="M1099" s="9">
        <v>135.0</v>
      </c>
      <c r="N1099" s="9">
        <v>784.0</v>
      </c>
      <c r="O1099" s="9">
        <v>599.0</v>
      </c>
      <c r="P1099" s="8" t="s">
        <v>3480</v>
      </c>
      <c r="Q1099" s="8" t="s">
        <v>9031</v>
      </c>
      <c r="R1099" s="8" t="s">
        <v>9032</v>
      </c>
    </row>
    <row r="1100">
      <c r="A1100" s="8" t="s">
        <v>1434</v>
      </c>
      <c r="B1100" s="8" t="s">
        <v>9033</v>
      </c>
      <c r="C1100" s="8" t="s">
        <v>6475</v>
      </c>
      <c r="D1100" s="9">
        <v>9.552566105E9</v>
      </c>
      <c r="E1100" s="8" t="s">
        <v>9034</v>
      </c>
      <c r="F1100" s="8" t="s">
        <v>3523</v>
      </c>
      <c r="G1100" s="8" t="s">
        <v>9035</v>
      </c>
      <c r="H1100" s="8" t="s">
        <v>3479</v>
      </c>
      <c r="I1100" s="9">
        <v>0.0</v>
      </c>
      <c r="J1100" s="9">
        <v>1049.0</v>
      </c>
      <c r="K1100" s="9">
        <v>1049.0</v>
      </c>
      <c r="L1100" s="9">
        <v>1049.0</v>
      </c>
      <c r="M1100" s="9">
        <v>525.0</v>
      </c>
      <c r="N1100" s="9">
        <v>0.0</v>
      </c>
      <c r="O1100" s="9">
        <v>524.0</v>
      </c>
      <c r="P1100" s="8" t="s">
        <v>3480</v>
      </c>
      <c r="Q1100" s="8" t="s">
        <v>9036</v>
      </c>
      <c r="R1100" s="8" t="s">
        <v>9037</v>
      </c>
    </row>
    <row r="1101">
      <c r="A1101" s="8" t="s">
        <v>1464</v>
      </c>
      <c r="B1101" s="8" t="s">
        <v>9038</v>
      </c>
      <c r="C1101" s="8" t="s">
        <v>9039</v>
      </c>
      <c r="D1101" s="9">
        <v>9.175190377E9</v>
      </c>
      <c r="E1101" s="8" t="s">
        <v>9040</v>
      </c>
      <c r="F1101" s="8" t="s">
        <v>6455</v>
      </c>
      <c r="G1101" s="8" t="s">
        <v>3494</v>
      </c>
      <c r="H1101" s="8" t="s">
        <v>3479</v>
      </c>
      <c r="I1101" s="9">
        <v>0.0</v>
      </c>
      <c r="J1101" s="9">
        <v>1259.0</v>
      </c>
      <c r="K1101" s="9">
        <v>1259.0</v>
      </c>
      <c r="L1101" s="9">
        <v>1259.0</v>
      </c>
      <c r="M1101" s="9">
        <v>80.0</v>
      </c>
      <c r="N1101" s="9">
        <v>730.0</v>
      </c>
      <c r="O1101" s="9">
        <v>449.0</v>
      </c>
      <c r="P1101" s="8" t="s">
        <v>3480</v>
      </c>
      <c r="Q1101" s="8"/>
      <c r="R1101" s="8"/>
    </row>
    <row r="1102">
      <c r="A1102" s="8" t="s">
        <v>1435</v>
      </c>
      <c r="B1102" s="8" t="s">
        <v>9041</v>
      </c>
      <c r="C1102" s="8" t="s">
        <v>4995</v>
      </c>
      <c r="D1102" s="9">
        <v>9.096270636E9</v>
      </c>
      <c r="E1102" s="8" t="s">
        <v>4996</v>
      </c>
      <c r="F1102" s="8" t="s">
        <v>3908</v>
      </c>
      <c r="G1102" s="8" t="s">
        <v>9042</v>
      </c>
      <c r="H1102" s="8" t="s">
        <v>9043</v>
      </c>
      <c r="I1102" s="9">
        <v>0.0</v>
      </c>
      <c r="J1102" s="9">
        <v>1600.0</v>
      </c>
      <c r="K1102" s="9">
        <v>1607.0</v>
      </c>
      <c r="L1102" s="9">
        <v>1600.0</v>
      </c>
      <c r="M1102" s="9">
        <v>224.0</v>
      </c>
      <c r="N1102" s="9">
        <v>784.0</v>
      </c>
      <c r="O1102" s="9">
        <v>599.0</v>
      </c>
      <c r="P1102" s="8" t="s">
        <v>3480</v>
      </c>
      <c r="Q1102" s="8" t="s">
        <v>4998</v>
      </c>
      <c r="R1102" s="8" t="s">
        <v>4999</v>
      </c>
    </row>
    <row r="1103">
      <c r="A1103" s="8" t="s">
        <v>1465</v>
      </c>
      <c r="B1103" s="8" t="s">
        <v>9044</v>
      </c>
      <c r="C1103" s="8" t="s">
        <v>9045</v>
      </c>
      <c r="D1103" s="9">
        <v>9.604000439E9</v>
      </c>
      <c r="E1103" s="8" t="s">
        <v>9046</v>
      </c>
      <c r="F1103" s="8" t="s">
        <v>4089</v>
      </c>
      <c r="G1103" s="8" t="s">
        <v>9047</v>
      </c>
      <c r="H1103" s="8" t="s">
        <v>3479</v>
      </c>
      <c r="I1103" s="9">
        <v>0.0</v>
      </c>
      <c r="J1103" s="9">
        <v>1369.0</v>
      </c>
      <c r="K1103" s="9">
        <v>1369.0</v>
      </c>
      <c r="L1103" s="9">
        <v>1369.0</v>
      </c>
      <c r="M1103" s="9">
        <v>430.0</v>
      </c>
      <c r="N1103" s="9">
        <v>190.0</v>
      </c>
      <c r="O1103" s="9">
        <v>749.0</v>
      </c>
      <c r="P1103" s="8" t="s">
        <v>3544</v>
      </c>
      <c r="Q1103" s="8"/>
      <c r="R1103" s="8"/>
    </row>
    <row r="1104">
      <c r="A1104" s="8" t="s">
        <v>1466</v>
      </c>
      <c r="B1104" s="8" t="s">
        <v>9048</v>
      </c>
      <c r="C1104" s="8" t="s">
        <v>9049</v>
      </c>
      <c r="D1104" s="9">
        <v>8.31909724E9</v>
      </c>
      <c r="E1104" s="8" t="s">
        <v>9050</v>
      </c>
      <c r="F1104" s="8" t="s">
        <v>3594</v>
      </c>
      <c r="G1104" s="8" t="s">
        <v>9051</v>
      </c>
      <c r="H1104" s="8" t="s">
        <v>3479</v>
      </c>
      <c r="I1104" s="9">
        <v>0.0</v>
      </c>
      <c r="J1104" s="9">
        <v>1414.0</v>
      </c>
      <c r="K1104" s="9">
        <v>1414.0</v>
      </c>
      <c r="L1104" s="9">
        <v>1414.0</v>
      </c>
      <c r="M1104" s="9">
        <v>160.0</v>
      </c>
      <c r="N1104" s="9">
        <v>730.0</v>
      </c>
      <c r="O1104" s="9">
        <v>524.0</v>
      </c>
      <c r="P1104" s="8" t="s">
        <v>3480</v>
      </c>
      <c r="Q1104" s="8" t="s">
        <v>9052</v>
      </c>
      <c r="R1104" s="8" t="s">
        <v>9053</v>
      </c>
    </row>
    <row r="1105">
      <c r="A1105" s="8" t="s">
        <v>1467</v>
      </c>
      <c r="B1105" s="8" t="s">
        <v>9054</v>
      </c>
      <c r="C1105" s="8" t="s">
        <v>9055</v>
      </c>
      <c r="D1105" s="9">
        <v>9.823102994E9</v>
      </c>
      <c r="E1105" s="8" t="s">
        <v>9056</v>
      </c>
      <c r="F1105" s="8" t="s">
        <v>4366</v>
      </c>
      <c r="G1105" s="8" t="s">
        <v>9057</v>
      </c>
      <c r="H1105" s="8" t="s">
        <v>3479</v>
      </c>
      <c r="I1105" s="9">
        <v>0.0</v>
      </c>
      <c r="J1105" s="9">
        <v>907.0</v>
      </c>
      <c r="K1105" s="9">
        <v>907.0</v>
      </c>
      <c r="L1105" s="9">
        <v>907.0</v>
      </c>
      <c r="M1105" s="9">
        <v>308.0</v>
      </c>
      <c r="N1105" s="9">
        <v>0.0</v>
      </c>
      <c r="O1105" s="9">
        <v>599.0</v>
      </c>
      <c r="P1105" s="8" t="s">
        <v>3480</v>
      </c>
      <c r="Q1105" s="8" t="s">
        <v>9058</v>
      </c>
      <c r="R1105" s="8" t="s">
        <v>9059</v>
      </c>
    </row>
    <row r="1106">
      <c r="A1106" s="8" t="s">
        <v>1468</v>
      </c>
      <c r="B1106" s="8" t="s">
        <v>9060</v>
      </c>
      <c r="C1106" s="8" t="s">
        <v>9061</v>
      </c>
      <c r="D1106" s="9">
        <v>9.15898453E9</v>
      </c>
      <c r="E1106" s="8" t="s">
        <v>9062</v>
      </c>
      <c r="F1106" s="8" t="s">
        <v>6526</v>
      </c>
      <c r="G1106" s="8" t="s">
        <v>9063</v>
      </c>
      <c r="H1106" s="8" t="s">
        <v>3479</v>
      </c>
      <c r="I1106" s="9">
        <v>0.0</v>
      </c>
      <c r="J1106" s="9">
        <v>1368.0</v>
      </c>
      <c r="K1106" s="9">
        <v>1368.0</v>
      </c>
      <c r="L1106" s="9">
        <v>1368.0</v>
      </c>
      <c r="M1106" s="9">
        <v>135.0</v>
      </c>
      <c r="N1106" s="9">
        <v>784.0</v>
      </c>
      <c r="O1106" s="9">
        <v>449.0</v>
      </c>
      <c r="P1106" s="8" t="s">
        <v>3480</v>
      </c>
      <c r="Q1106" s="8" t="s">
        <v>9064</v>
      </c>
      <c r="R1106" s="8"/>
    </row>
    <row r="1107">
      <c r="A1107" s="8" t="s">
        <v>1433</v>
      </c>
      <c r="B1107" s="8" t="s">
        <v>9065</v>
      </c>
      <c r="C1107" s="8" t="s">
        <v>5287</v>
      </c>
      <c r="D1107" s="9">
        <v>8.668366276E9</v>
      </c>
      <c r="E1107" s="8" t="s">
        <v>9066</v>
      </c>
      <c r="F1107" s="8" t="s">
        <v>3821</v>
      </c>
      <c r="G1107" s="8" t="s">
        <v>9067</v>
      </c>
      <c r="H1107" s="8" t="s">
        <v>3479</v>
      </c>
      <c r="I1107" s="9">
        <v>0.0</v>
      </c>
      <c r="J1107" s="9">
        <v>1866.0</v>
      </c>
      <c r="K1107" s="9">
        <v>1866.0</v>
      </c>
      <c r="L1107" s="9">
        <v>1866.0</v>
      </c>
      <c r="M1107" s="9">
        <v>603.0</v>
      </c>
      <c r="N1107" s="9">
        <v>739.0</v>
      </c>
      <c r="O1107" s="9">
        <v>524.0</v>
      </c>
      <c r="P1107" s="8" t="s">
        <v>3480</v>
      </c>
      <c r="Q1107" s="8" t="s">
        <v>9068</v>
      </c>
      <c r="R1107" s="8" t="s">
        <v>9069</v>
      </c>
    </row>
    <row r="1108">
      <c r="A1108" s="8" t="s">
        <v>1470</v>
      </c>
      <c r="B1108" s="8" t="s">
        <v>9070</v>
      </c>
      <c r="C1108" s="8" t="s">
        <v>4359</v>
      </c>
      <c r="D1108" s="9">
        <v>8.010579362E9</v>
      </c>
      <c r="E1108" s="8" t="s">
        <v>9071</v>
      </c>
      <c r="F1108" s="8" t="s">
        <v>4792</v>
      </c>
      <c r="G1108" s="8" t="s">
        <v>9072</v>
      </c>
      <c r="H1108" s="8" t="s">
        <v>3479</v>
      </c>
      <c r="I1108" s="9">
        <v>0.0</v>
      </c>
      <c r="J1108" s="9">
        <v>1656.0</v>
      </c>
      <c r="K1108" s="9">
        <v>1656.0</v>
      </c>
      <c r="L1108" s="9">
        <v>1656.0</v>
      </c>
      <c r="M1108" s="9">
        <v>423.0</v>
      </c>
      <c r="N1108" s="9">
        <v>784.0</v>
      </c>
      <c r="O1108" s="9">
        <v>449.0</v>
      </c>
      <c r="P1108" s="8" t="s">
        <v>3480</v>
      </c>
      <c r="Q1108" s="8" t="s">
        <v>9073</v>
      </c>
      <c r="R1108" s="8" t="s">
        <v>9074</v>
      </c>
    </row>
    <row r="1109">
      <c r="A1109" s="8" t="s">
        <v>1472</v>
      </c>
      <c r="B1109" s="8" t="s">
        <v>9075</v>
      </c>
      <c r="C1109" s="8" t="s">
        <v>9076</v>
      </c>
      <c r="D1109" s="9">
        <v>9.284070323E9</v>
      </c>
      <c r="E1109" s="8" t="s">
        <v>9077</v>
      </c>
      <c r="F1109" s="8" t="s">
        <v>6363</v>
      </c>
      <c r="G1109" s="8" t="s">
        <v>9078</v>
      </c>
      <c r="H1109" s="8" t="s">
        <v>3479</v>
      </c>
      <c r="I1109" s="9">
        <v>0.0</v>
      </c>
      <c r="J1109" s="9">
        <v>3139.0</v>
      </c>
      <c r="K1109" s="9">
        <v>3139.0</v>
      </c>
      <c r="L1109" s="9">
        <v>3139.0</v>
      </c>
      <c r="M1109" s="9">
        <v>1785.0</v>
      </c>
      <c r="N1109" s="9">
        <v>730.0</v>
      </c>
      <c r="O1109" s="9">
        <v>624.0</v>
      </c>
      <c r="P1109" s="8" t="s">
        <v>3519</v>
      </c>
      <c r="Q1109" s="8"/>
      <c r="R1109" s="8"/>
    </row>
    <row r="1110">
      <c r="A1110" s="8" t="s">
        <v>1473</v>
      </c>
      <c r="B1110" s="8" t="s">
        <v>9079</v>
      </c>
      <c r="C1110" s="8" t="s">
        <v>9080</v>
      </c>
      <c r="D1110" s="9">
        <v>9.823940546E9</v>
      </c>
      <c r="E1110" s="8" t="s">
        <v>9081</v>
      </c>
      <c r="F1110" s="8" t="s">
        <v>6455</v>
      </c>
      <c r="G1110" s="8" t="s">
        <v>9082</v>
      </c>
      <c r="H1110" s="8" t="s">
        <v>3479</v>
      </c>
      <c r="I1110" s="9">
        <v>0.0</v>
      </c>
      <c r="J1110" s="9">
        <v>1069.0</v>
      </c>
      <c r="K1110" s="9">
        <v>1069.0</v>
      </c>
      <c r="L1110" s="9">
        <v>1069.0</v>
      </c>
      <c r="M1110" s="9">
        <v>80.0</v>
      </c>
      <c r="N1110" s="9">
        <v>540.0</v>
      </c>
      <c r="O1110" s="9">
        <v>449.0</v>
      </c>
      <c r="P1110" s="8" t="s">
        <v>3480</v>
      </c>
      <c r="Q1110" s="8" t="s">
        <v>9083</v>
      </c>
      <c r="R1110" s="8" t="s">
        <v>9084</v>
      </c>
    </row>
    <row r="1111">
      <c r="A1111" s="8" t="s">
        <v>1474</v>
      </c>
      <c r="B1111" s="8" t="s">
        <v>9085</v>
      </c>
      <c r="C1111" s="8" t="s">
        <v>9086</v>
      </c>
      <c r="D1111" s="9">
        <v>9.096138063E9</v>
      </c>
      <c r="E1111" s="8" t="s">
        <v>9087</v>
      </c>
      <c r="F1111" s="8" t="s">
        <v>9088</v>
      </c>
      <c r="G1111" s="8" t="s">
        <v>9089</v>
      </c>
      <c r="H1111" s="8" t="s">
        <v>3479</v>
      </c>
      <c r="I1111" s="9">
        <v>0.0</v>
      </c>
      <c r="J1111" s="9">
        <v>1479.0</v>
      </c>
      <c r="K1111" s="9">
        <v>1479.0</v>
      </c>
      <c r="L1111" s="9">
        <v>1479.0</v>
      </c>
      <c r="M1111" s="9">
        <v>540.0</v>
      </c>
      <c r="N1111" s="9">
        <v>190.0</v>
      </c>
      <c r="O1111" s="9">
        <v>749.0</v>
      </c>
      <c r="P1111" s="8" t="s">
        <v>3480</v>
      </c>
      <c r="Q1111" s="8"/>
      <c r="R1111" s="8"/>
    </row>
    <row r="1112">
      <c r="A1112" s="8" t="s">
        <v>1469</v>
      </c>
      <c r="B1112" s="8" t="s">
        <v>9090</v>
      </c>
      <c r="C1112" s="8" t="s">
        <v>9091</v>
      </c>
      <c r="D1112" s="9">
        <v>7.741931293E9</v>
      </c>
      <c r="E1112" s="8" t="s">
        <v>9092</v>
      </c>
      <c r="F1112" s="8" t="s">
        <v>3615</v>
      </c>
      <c r="G1112" s="8" t="s">
        <v>9093</v>
      </c>
      <c r="H1112" s="8" t="s">
        <v>3479</v>
      </c>
      <c r="I1112" s="9">
        <v>0.0</v>
      </c>
      <c r="J1112" s="9">
        <v>2662.0</v>
      </c>
      <c r="K1112" s="9">
        <v>2662.0</v>
      </c>
      <c r="L1112" s="9">
        <v>2662.0</v>
      </c>
      <c r="M1112" s="9">
        <v>1089.0</v>
      </c>
      <c r="N1112" s="9">
        <v>849.0</v>
      </c>
      <c r="O1112" s="9">
        <v>724.0</v>
      </c>
      <c r="P1112" s="8" t="s">
        <v>3480</v>
      </c>
      <c r="Q1112" s="8"/>
      <c r="R1112" s="8"/>
    </row>
    <row r="1113">
      <c r="A1113" s="8" t="s">
        <v>1476</v>
      </c>
      <c r="B1113" s="8" t="s">
        <v>9094</v>
      </c>
      <c r="C1113" s="8" t="s">
        <v>9095</v>
      </c>
      <c r="D1113" s="9">
        <v>7.588580233E9</v>
      </c>
      <c r="E1113" s="8" t="s">
        <v>9096</v>
      </c>
      <c r="F1113" s="8" t="s">
        <v>3721</v>
      </c>
      <c r="G1113" s="8" t="s">
        <v>9097</v>
      </c>
      <c r="H1113" s="8" t="s">
        <v>3479</v>
      </c>
      <c r="I1113" s="9">
        <v>0.0</v>
      </c>
      <c r="J1113" s="9">
        <v>2728.0</v>
      </c>
      <c r="K1113" s="9">
        <v>2728.0</v>
      </c>
      <c r="L1113" s="9">
        <v>2728.0</v>
      </c>
      <c r="M1113" s="9">
        <v>1878.0</v>
      </c>
      <c r="N1113" s="9">
        <v>540.0</v>
      </c>
      <c r="O1113" s="9">
        <v>310.0</v>
      </c>
      <c r="P1113" s="8" t="s">
        <v>3480</v>
      </c>
      <c r="Q1113" s="8"/>
      <c r="R1113" s="8"/>
    </row>
    <row r="1114">
      <c r="A1114" s="8" t="s">
        <v>1475</v>
      </c>
      <c r="B1114" s="8" t="s">
        <v>9098</v>
      </c>
      <c r="C1114" s="8" t="s">
        <v>9099</v>
      </c>
      <c r="D1114" s="9">
        <v>8.899189765E9</v>
      </c>
      <c r="E1114" s="8" t="s">
        <v>9100</v>
      </c>
      <c r="F1114" s="8" t="s">
        <v>3589</v>
      </c>
      <c r="G1114" s="8" t="s">
        <v>9101</v>
      </c>
      <c r="H1114" s="8" t="s">
        <v>3479</v>
      </c>
      <c r="I1114" s="9">
        <v>0.0</v>
      </c>
      <c r="J1114" s="9">
        <v>1454.0</v>
      </c>
      <c r="K1114" s="9">
        <v>1454.0</v>
      </c>
      <c r="L1114" s="9">
        <v>1454.0</v>
      </c>
      <c r="M1114" s="9">
        <v>200.0</v>
      </c>
      <c r="N1114" s="9">
        <v>730.0</v>
      </c>
      <c r="O1114" s="9">
        <v>524.0</v>
      </c>
      <c r="P1114" s="8" t="s">
        <v>3480</v>
      </c>
      <c r="Q1114" s="8" t="s">
        <v>9102</v>
      </c>
      <c r="R1114" s="8" t="s">
        <v>9103</v>
      </c>
    </row>
    <row r="1115">
      <c r="A1115" s="8" t="s">
        <v>1486</v>
      </c>
      <c r="B1115" s="8" t="s">
        <v>9104</v>
      </c>
      <c r="C1115" s="8" t="s">
        <v>9105</v>
      </c>
      <c r="D1115" s="9">
        <v>9.175815712E9</v>
      </c>
      <c r="E1115" s="8" t="s">
        <v>9106</v>
      </c>
      <c r="F1115" s="8" t="s">
        <v>4112</v>
      </c>
      <c r="G1115" s="8" t="s">
        <v>9107</v>
      </c>
      <c r="H1115" s="8" t="s">
        <v>3479</v>
      </c>
      <c r="I1115" s="9">
        <v>0.0</v>
      </c>
      <c r="J1115" s="9">
        <v>1789.0</v>
      </c>
      <c r="K1115" s="9">
        <v>1789.0</v>
      </c>
      <c r="L1115" s="9">
        <v>1789.0</v>
      </c>
      <c r="M1115" s="9">
        <v>850.0</v>
      </c>
      <c r="N1115" s="9">
        <v>190.0</v>
      </c>
      <c r="O1115" s="9">
        <v>749.0</v>
      </c>
      <c r="P1115" s="8" t="s">
        <v>3480</v>
      </c>
      <c r="Q1115" s="8"/>
      <c r="R1115" s="8"/>
    </row>
    <row r="1116">
      <c r="A1116" s="8" t="s">
        <v>1477</v>
      </c>
      <c r="B1116" s="8" t="s">
        <v>9108</v>
      </c>
      <c r="C1116" s="8" t="s">
        <v>9109</v>
      </c>
      <c r="D1116" s="9">
        <v>7.588437919E9</v>
      </c>
      <c r="E1116" s="8" t="s">
        <v>9110</v>
      </c>
      <c r="F1116" s="8" t="s">
        <v>3821</v>
      </c>
      <c r="G1116" s="8" t="s">
        <v>9111</v>
      </c>
      <c r="H1116" s="8" t="s">
        <v>9017</v>
      </c>
      <c r="I1116" s="9">
        <v>0.0</v>
      </c>
      <c r="J1116" s="9">
        <v>3700.0</v>
      </c>
      <c r="K1116" s="9">
        <v>3729.0</v>
      </c>
      <c r="L1116" s="9">
        <v>3700.0</v>
      </c>
      <c r="M1116" s="9">
        <v>2475.0</v>
      </c>
      <c r="N1116" s="9">
        <v>730.0</v>
      </c>
      <c r="O1116" s="9">
        <v>524.0</v>
      </c>
      <c r="P1116" s="8" t="s">
        <v>3480</v>
      </c>
      <c r="Q1116" s="8" t="s">
        <v>9112</v>
      </c>
      <c r="R1116" s="8" t="s">
        <v>9113</v>
      </c>
    </row>
    <row r="1117">
      <c r="A1117" s="8" t="s">
        <v>1485</v>
      </c>
      <c r="B1117" s="8" t="s">
        <v>9114</v>
      </c>
      <c r="C1117" s="8" t="s">
        <v>9115</v>
      </c>
      <c r="D1117" s="9">
        <v>8.79371455E9</v>
      </c>
      <c r="E1117" s="8" t="s">
        <v>9116</v>
      </c>
      <c r="F1117" s="8" t="s">
        <v>3757</v>
      </c>
      <c r="G1117" s="8" t="s">
        <v>9117</v>
      </c>
      <c r="H1117" s="8" t="s">
        <v>3479</v>
      </c>
      <c r="I1117" s="9">
        <v>0.0</v>
      </c>
      <c r="J1117" s="9">
        <v>2917.0</v>
      </c>
      <c r="K1117" s="9">
        <v>2917.0</v>
      </c>
      <c r="L1117" s="9">
        <v>2917.0</v>
      </c>
      <c r="M1117" s="9">
        <v>899.0</v>
      </c>
      <c r="N1117" s="9">
        <v>1468.0</v>
      </c>
      <c r="O1117" s="9">
        <v>550.0</v>
      </c>
      <c r="P1117" s="8" t="s">
        <v>3480</v>
      </c>
      <c r="Q1117" s="8" t="s">
        <v>9118</v>
      </c>
      <c r="R1117" s="8" t="s">
        <v>9119</v>
      </c>
    </row>
    <row r="1118">
      <c r="A1118" s="8" t="s">
        <v>1497</v>
      </c>
      <c r="B1118" s="8" t="s">
        <v>9120</v>
      </c>
      <c r="C1118" s="8" t="s">
        <v>9121</v>
      </c>
      <c r="D1118" s="9">
        <v>9.373841171E9</v>
      </c>
      <c r="E1118" s="8" t="s">
        <v>9122</v>
      </c>
      <c r="F1118" s="8" t="s">
        <v>8180</v>
      </c>
      <c r="G1118" s="8" t="s">
        <v>9123</v>
      </c>
      <c r="H1118" s="8" t="s">
        <v>9124</v>
      </c>
      <c r="I1118" s="9">
        <v>0.0</v>
      </c>
      <c r="J1118" s="9">
        <v>0.0</v>
      </c>
      <c r="K1118" s="9">
        <v>1134.0</v>
      </c>
      <c r="L1118" s="9">
        <v>1000.0</v>
      </c>
      <c r="M1118" s="9">
        <v>145.0</v>
      </c>
      <c r="N1118" s="9">
        <v>540.0</v>
      </c>
      <c r="O1118" s="9">
        <v>449.0</v>
      </c>
      <c r="P1118" s="8" t="s">
        <v>3519</v>
      </c>
      <c r="Q1118" s="8"/>
      <c r="R1118" s="8"/>
    </row>
    <row r="1119">
      <c r="A1119" s="8" t="s">
        <v>1508</v>
      </c>
      <c r="B1119" s="8" t="s">
        <v>9125</v>
      </c>
      <c r="C1119" s="8" t="s">
        <v>7500</v>
      </c>
      <c r="D1119" s="9">
        <v>8.888426814E9</v>
      </c>
      <c r="E1119" s="8" t="s">
        <v>7528</v>
      </c>
      <c r="F1119" s="8" t="s">
        <v>3768</v>
      </c>
      <c r="G1119" s="8" t="s">
        <v>9126</v>
      </c>
      <c r="H1119" s="8" t="s">
        <v>3479</v>
      </c>
      <c r="I1119" s="9">
        <v>0.0</v>
      </c>
      <c r="J1119" s="9">
        <v>4732.0</v>
      </c>
      <c r="K1119" s="9">
        <v>4732.0</v>
      </c>
      <c r="L1119" s="9">
        <v>4732.0</v>
      </c>
      <c r="M1119" s="9">
        <v>3443.0</v>
      </c>
      <c r="N1119" s="9">
        <v>840.0</v>
      </c>
      <c r="O1119" s="9">
        <v>449.0</v>
      </c>
      <c r="P1119" s="8" t="s">
        <v>3480</v>
      </c>
      <c r="Q1119" s="8"/>
      <c r="R1119" s="8"/>
    </row>
    <row r="1120">
      <c r="A1120" s="8" t="s">
        <v>1509</v>
      </c>
      <c r="B1120" s="8" t="s">
        <v>9127</v>
      </c>
      <c r="C1120" s="8" t="s">
        <v>7279</v>
      </c>
      <c r="D1120" s="9">
        <v>9.763971166E9</v>
      </c>
      <c r="E1120" s="8" t="s">
        <v>7280</v>
      </c>
      <c r="F1120" s="8" t="s">
        <v>3589</v>
      </c>
      <c r="G1120" s="8" t="s">
        <v>9128</v>
      </c>
      <c r="H1120" s="8" t="s">
        <v>3479</v>
      </c>
      <c r="I1120" s="9">
        <v>0.0</v>
      </c>
      <c r="J1120" s="9">
        <v>1304.0</v>
      </c>
      <c r="K1120" s="9">
        <v>1304.0</v>
      </c>
      <c r="L1120" s="9">
        <v>1304.0</v>
      </c>
      <c r="M1120" s="9">
        <v>700.0</v>
      </c>
      <c r="N1120" s="9">
        <v>80.0</v>
      </c>
      <c r="O1120" s="9">
        <v>524.0</v>
      </c>
      <c r="P1120" s="8" t="s">
        <v>3519</v>
      </c>
      <c r="Q1120" s="8" t="s">
        <v>7282</v>
      </c>
      <c r="R1120" s="8" t="s">
        <v>7283</v>
      </c>
    </row>
    <row r="1121">
      <c r="A1121" s="8" t="s">
        <v>1510</v>
      </c>
      <c r="B1121" s="8" t="s">
        <v>9129</v>
      </c>
      <c r="C1121" s="8" t="s">
        <v>5437</v>
      </c>
      <c r="D1121" s="9">
        <v>8.308760085E9</v>
      </c>
      <c r="E1121" s="8" t="s">
        <v>8477</v>
      </c>
      <c r="F1121" s="8" t="s">
        <v>3550</v>
      </c>
      <c r="G1121" s="8" t="s">
        <v>9130</v>
      </c>
      <c r="H1121" s="8" t="s">
        <v>3479</v>
      </c>
      <c r="I1121" s="9">
        <v>0.0</v>
      </c>
      <c r="J1121" s="9">
        <v>1498.0</v>
      </c>
      <c r="K1121" s="9">
        <v>1498.0</v>
      </c>
      <c r="L1121" s="9">
        <v>1498.0</v>
      </c>
      <c r="M1121" s="9">
        <v>310.0</v>
      </c>
      <c r="N1121" s="9">
        <v>739.0</v>
      </c>
      <c r="O1121" s="9">
        <v>449.0</v>
      </c>
      <c r="P1121" s="8" t="s">
        <v>3480</v>
      </c>
      <c r="Q1121" s="8"/>
      <c r="R1121" s="8"/>
    </row>
    <row r="1122">
      <c r="A1122" s="8" t="s">
        <v>1511</v>
      </c>
      <c r="B1122" s="8" t="s">
        <v>9131</v>
      </c>
      <c r="C1122" s="8" t="s">
        <v>3533</v>
      </c>
      <c r="D1122" s="9">
        <v>7.719043581E9</v>
      </c>
      <c r="E1122" s="8" t="s">
        <v>6174</v>
      </c>
      <c r="F1122" s="8" t="s">
        <v>4391</v>
      </c>
      <c r="G1122" s="8" t="s">
        <v>5961</v>
      </c>
      <c r="H1122" s="8" t="s">
        <v>3479</v>
      </c>
      <c r="I1122" s="9">
        <v>0.0</v>
      </c>
      <c r="J1122" s="9">
        <v>1284.0</v>
      </c>
      <c r="K1122" s="9">
        <v>1284.0</v>
      </c>
      <c r="L1122" s="9">
        <v>1284.0</v>
      </c>
      <c r="M1122" s="9">
        <v>105.0</v>
      </c>
      <c r="N1122" s="9">
        <v>730.0</v>
      </c>
      <c r="O1122" s="9">
        <v>449.0</v>
      </c>
      <c r="P1122" s="8" t="s">
        <v>3480</v>
      </c>
      <c r="Q1122" s="8"/>
      <c r="R1122" s="8"/>
    </row>
    <row r="1123">
      <c r="A1123" s="8" t="s">
        <v>1512</v>
      </c>
      <c r="B1123" s="8" t="s">
        <v>9132</v>
      </c>
      <c r="C1123" s="8" t="s">
        <v>9133</v>
      </c>
      <c r="D1123" s="9">
        <v>9.913583322E9</v>
      </c>
      <c r="E1123" s="8" t="s">
        <v>9134</v>
      </c>
      <c r="F1123" s="8" t="s">
        <v>4454</v>
      </c>
      <c r="G1123" s="8" t="s">
        <v>9135</v>
      </c>
      <c r="H1123" s="8" t="s">
        <v>3479</v>
      </c>
      <c r="I1123" s="9">
        <v>0.0</v>
      </c>
      <c r="J1123" s="9">
        <v>609.0</v>
      </c>
      <c r="K1123" s="9">
        <v>609.0</v>
      </c>
      <c r="L1123" s="9">
        <v>609.0</v>
      </c>
      <c r="M1123" s="9">
        <v>80.0</v>
      </c>
      <c r="N1123" s="9">
        <v>80.0</v>
      </c>
      <c r="O1123" s="9">
        <v>449.0</v>
      </c>
      <c r="P1123" s="8" t="s">
        <v>3480</v>
      </c>
      <c r="Q1123" s="8"/>
      <c r="R1123" s="8"/>
    </row>
    <row r="1124">
      <c r="A1124" s="8" t="s">
        <v>1471</v>
      </c>
      <c r="B1124" s="8" t="s">
        <v>9136</v>
      </c>
      <c r="C1124" s="8" t="s">
        <v>9137</v>
      </c>
      <c r="D1124" s="9">
        <v>9.850127066E9</v>
      </c>
      <c r="E1124" s="8" t="s">
        <v>9138</v>
      </c>
      <c r="F1124" s="8" t="s">
        <v>6253</v>
      </c>
      <c r="G1124" s="8" t="s">
        <v>9139</v>
      </c>
      <c r="H1124" s="8" t="s">
        <v>3479</v>
      </c>
      <c r="I1124" s="9">
        <v>0.0</v>
      </c>
      <c r="J1124" s="9">
        <v>964.0</v>
      </c>
      <c r="K1124" s="9">
        <v>964.0</v>
      </c>
      <c r="L1124" s="9">
        <v>964.0</v>
      </c>
      <c r="M1124" s="9">
        <v>515.0</v>
      </c>
      <c r="N1124" s="9">
        <v>0.0</v>
      </c>
      <c r="O1124" s="9">
        <v>449.0</v>
      </c>
      <c r="P1124" s="8" t="s">
        <v>3480</v>
      </c>
      <c r="Q1124" s="8"/>
      <c r="R1124" s="8"/>
    </row>
    <row r="1125">
      <c r="A1125" s="8" t="s">
        <v>1478</v>
      </c>
      <c r="B1125" s="8" t="s">
        <v>9140</v>
      </c>
      <c r="C1125" s="8" t="s">
        <v>8042</v>
      </c>
      <c r="D1125" s="9">
        <v>8.888700017E9</v>
      </c>
      <c r="E1125" s="8" t="s">
        <v>8043</v>
      </c>
      <c r="F1125" s="8" t="s">
        <v>8044</v>
      </c>
      <c r="G1125" s="8" t="s">
        <v>4211</v>
      </c>
      <c r="H1125" s="8" t="s">
        <v>3479</v>
      </c>
      <c r="I1125" s="9">
        <v>0.0</v>
      </c>
      <c r="J1125" s="9">
        <v>3902.0</v>
      </c>
      <c r="K1125" s="9">
        <v>3902.0</v>
      </c>
      <c r="L1125" s="9">
        <v>3902.0</v>
      </c>
      <c r="M1125" s="9">
        <v>2767.0</v>
      </c>
      <c r="N1125" s="9">
        <v>0.0</v>
      </c>
      <c r="O1125" s="9">
        <v>1135.0</v>
      </c>
      <c r="P1125" s="8" t="s">
        <v>3480</v>
      </c>
      <c r="Q1125" s="8"/>
      <c r="R1125" s="8"/>
    </row>
    <row r="1126">
      <c r="A1126" s="8" t="s">
        <v>1291</v>
      </c>
      <c r="B1126" s="8" t="s">
        <v>9141</v>
      </c>
      <c r="C1126" s="8" t="s">
        <v>9142</v>
      </c>
      <c r="D1126" s="9">
        <v>8.484908611E9</v>
      </c>
      <c r="E1126" s="8" t="s">
        <v>9143</v>
      </c>
      <c r="F1126" s="8" t="s">
        <v>4252</v>
      </c>
      <c r="G1126" s="8" t="s">
        <v>9144</v>
      </c>
      <c r="H1126" s="8" t="s">
        <v>9145</v>
      </c>
      <c r="I1126" s="9">
        <v>0.0</v>
      </c>
      <c r="J1126" s="9">
        <v>3053.0</v>
      </c>
      <c r="K1126" s="9">
        <v>3053.0</v>
      </c>
      <c r="L1126" s="9">
        <v>3053.0</v>
      </c>
      <c r="M1126" s="9">
        <v>1125.0</v>
      </c>
      <c r="N1126" s="9">
        <v>954.0</v>
      </c>
      <c r="O1126" s="9">
        <v>974.0</v>
      </c>
      <c r="P1126" s="8"/>
      <c r="Q1126" s="8"/>
      <c r="R1126" s="8"/>
    </row>
    <row r="1127">
      <c r="A1127" s="8" t="s">
        <v>1479</v>
      </c>
      <c r="B1127" s="8" t="s">
        <v>9146</v>
      </c>
      <c r="C1127" s="8" t="s">
        <v>8480</v>
      </c>
      <c r="D1127" s="9">
        <v>9.511687899E9</v>
      </c>
      <c r="E1127" s="8" t="s">
        <v>8481</v>
      </c>
      <c r="F1127" s="8" t="s">
        <v>3681</v>
      </c>
      <c r="G1127" s="8" t="s">
        <v>9147</v>
      </c>
      <c r="H1127" s="8" t="s">
        <v>3479</v>
      </c>
      <c r="I1127" s="9">
        <v>0.0</v>
      </c>
      <c r="J1127" s="9">
        <v>1133.0</v>
      </c>
      <c r="K1127" s="9">
        <v>1133.0</v>
      </c>
      <c r="L1127" s="9">
        <v>1133.0</v>
      </c>
      <c r="M1127" s="9">
        <v>693.0</v>
      </c>
      <c r="N1127" s="9">
        <v>65.0</v>
      </c>
      <c r="O1127" s="9">
        <v>375.0</v>
      </c>
      <c r="P1127" s="8" t="s">
        <v>3480</v>
      </c>
      <c r="Q1127" s="8"/>
      <c r="R1127" s="8"/>
    </row>
    <row r="1128">
      <c r="A1128" s="8" t="s">
        <v>1480</v>
      </c>
      <c r="B1128" s="8" t="s">
        <v>9148</v>
      </c>
      <c r="C1128" s="8" t="s">
        <v>9149</v>
      </c>
      <c r="D1128" s="9">
        <v>9.403257246E9</v>
      </c>
      <c r="E1128" s="8" t="s">
        <v>9150</v>
      </c>
      <c r="F1128" s="8" t="s">
        <v>9151</v>
      </c>
      <c r="G1128" s="8" t="s">
        <v>9152</v>
      </c>
      <c r="H1128" s="8" t="s">
        <v>3479</v>
      </c>
      <c r="I1128" s="9">
        <v>0.0</v>
      </c>
      <c r="J1128" s="9">
        <v>3199.0</v>
      </c>
      <c r="K1128" s="9">
        <v>3199.0</v>
      </c>
      <c r="L1128" s="9">
        <v>3199.0</v>
      </c>
      <c r="M1128" s="9">
        <v>1745.0</v>
      </c>
      <c r="N1128" s="9">
        <v>730.0</v>
      </c>
      <c r="O1128" s="9">
        <v>724.0</v>
      </c>
      <c r="P1128" s="8" t="s">
        <v>3480</v>
      </c>
      <c r="Q1128" s="8" t="s">
        <v>9153</v>
      </c>
      <c r="R1128" s="8" t="s">
        <v>9154</v>
      </c>
    </row>
    <row r="1129">
      <c r="A1129" s="8" t="s">
        <v>1481</v>
      </c>
      <c r="B1129" s="8" t="s">
        <v>9155</v>
      </c>
      <c r="C1129" s="8" t="s">
        <v>9156</v>
      </c>
      <c r="D1129" s="9">
        <v>7.03903525E9</v>
      </c>
      <c r="E1129" s="8" t="s">
        <v>9157</v>
      </c>
      <c r="F1129" s="8" t="s">
        <v>6455</v>
      </c>
      <c r="G1129" s="8" t="s">
        <v>9158</v>
      </c>
      <c r="H1129" s="8" t="s">
        <v>3479</v>
      </c>
      <c r="I1129" s="9">
        <v>0.0</v>
      </c>
      <c r="J1129" s="9">
        <v>1421.0</v>
      </c>
      <c r="K1129" s="9">
        <v>1421.0</v>
      </c>
      <c r="L1129" s="9">
        <v>1421.0</v>
      </c>
      <c r="M1129" s="9">
        <v>233.0</v>
      </c>
      <c r="N1129" s="9">
        <v>739.0</v>
      </c>
      <c r="O1129" s="9">
        <v>449.0</v>
      </c>
      <c r="P1129" s="8" t="s">
        <v>3480</v>
      </c>
      <c r="Q1129" s="8" t="s">
        <v>9159</v>
      </c>
      <c r="R1129" s="8" t="s">
        <v>9160</v>
      </c>
    </row>
    <row r="1130">
      <c r="A1130" s="8" t="s">
        <v>1506</v>
      </c>
      <c r="B1130" s="8" t="s">
        <v>9161</v>
      </c>
      <c r="C1130" s="8" t="s">
        <v>9162</v>
      </c>
      <c r="D1130" s="9">
        <v>9.423213076E9</v>
      </c>
      <c r="E1130" s="8" t="s">
        <v>9163</v>
      </c>
      <c r="F1130" s="8" t="s">
        <v>9164</v>
      </c>
      <c r="G1130" s="8" t="s">
        <v>9165</v>
      </c>
      <c r="H1130" s="8" t="s">
        <v>3479</v>
      </c>
      <c r="I1130" s="9">
        <v>0.0</v>
      </c>
      <c r="J1130" s="9">
        <v>2894.0</v>
      </c>
      <c r="K1130" s="9">
        <v>2894.0</v>
      </c>
      <c r="L1130" s="9">
        <v>2894.0</v>
      </c>
      <c r="M1130" s="9">
        <v>1006.0</v>
      </c>
      <c r="N1130" s="9">
        <v>1089.0</v>
      </c>
      <c r="O1130" s="9">
        <v>799.0</v>
      </c>
      <c r="P1130" s="8" t="s">
        <v>3480</v>
      </c>
      <c r="Q1130" s="8"/>
      <c r="R1130" s="8"/>
    </row>
    <row r="1131">
      <c r="A1131" s="8" t="s">
        <v>1507</v>
      </c>
      <c r="B1131" s="8" t="s">
        <v>9166</v>
      </c>
      <c r="C1131" s="8" t="s">
        <v>9167</v>
      </c>
      <c r="D1131" s="9">
        <v>9.767937467E9</v>
      </c>
      <c r="E1131" s="8" t="s">
        <v>9168</v>
      </c>
      <c r="F1131" s="8" t="s">
        <v>3908</v>
      </c>
      <c r="G1131" s="8" t="s">
        <v>9169</v>
      </c>
      <c r="H1131" s="8" t="s">
        <v>3479</v>
      </c>
      <c r="I1131" s="9">
        <v>0.0</v>
      </c>
      <c r="J1131" s="9">
        <v>5095.0</v>
      </c>
      <c r="K1131" s="9">
        <v>5095.0</v>
      </c>
      <c r="L1131" s="9">
        <v>5095.0</v>
      </c>
      <c r="M1131" s="9">
        <v>2867.0</v>
      </c>
      <c r="N1131" s="9">
        <v>1279.0</v>
      </c>
      <c r="O1131" s="9">
        <v>949.0</v>
      </c>
      <c r="P1131" s="8" t="s">
        <v>3480</v>
      </c>
      <c r="Q1131" s="8"/>
      <c r="R1131" s="8" t="s">
        <v>9170</v>
      </c>
    </row>
    <row r="1132">
      <c r="A1132" s="8" t="s">
        <v>1514</v>
      </c>
      <c r="B1132" s="8" t="s">
        <v>9171</v>
      </c>
      <c r="C1132" s="8" t="s">
        <v>7859</v>
      </c>
      <c r="D1132" s="9">
        <v>8.788309058E9</v>
      </c>
      <c r="E1132" s="8" t="s">
        <v>9172</v>
      </c>
      <c r="F1132" s="8" t="s">
        <v>3821</v>
      </c>
      <c r="G1132" s="8" t="s">
        <v>9173</v>
      </c>
      <c r="H1132" s="8" t="s">
        <v>3479</v>
      </c>
      <c r="I1132" s="9">
        <v>0.0</v>
      </c>
      <c r="J1132" s="9">
        <v>2809.0</v>
      </c>
      <c r="K1132" s="9">
        <v>2809.0</v>
      </c>
      <c r="L1132" s="9">
        <v>2809.0</v>
      </c>
      <c r="M1132" s="9">
        <v>1555.0</v>
      </c>
      <c r="N1132" s="9">
        <v>730.0</v>
      </c>
      <c r="O1132" s="9">
        <v>524.0</v>
      </c>
      <c r="P1132" s="8" t="s">
        <v>3480</v>
      </c>
      <c r="Q1132" s="8" t="s">
        <v>9174</v>
      </c>
      <c r="R1132" s="8" t="s">
        <v>9175</v>
      </c>
    </row>
    <row r="1133">
      <c r="A1133" s="8" t="s">
        <v>1516</v>
      </c>
      <c r="B1133" s="8" t="s">
        <v>9176</v>
      </c>
      <c r="C1133" s="8" t="s">
        <v>9177</v>
      </c>
      <c r="D1133" s="9">
        <v>7.840914805E9</v>
      </c>
      <c r="E1133" s="8" t="s">
        <v>9178</v>
      </c>
      <c r="F1133" s="8" t="s">
        <v>3615</v>
      </c>
      <c r="G1133" s="8" t="s">
        <v>9179</v>
      </c>
      <c r="H1133" s="8" t="s">
        <v>3479</v>
      </c>
      <c r="I1133" s="9">
        <v>0.0</v>
      </c>
      <c r="J1133" s="9">
        <v>1390.0</v>
      </c>
      <c r="K1133" s="9">
        <v>1390.0</v>
      </c>
      <c r="L1133" s="9">
        <v>1390.0</v>
      </c>
      <c r="M1133" s="9">
        <v>645.0</v>
      </c>
      <c r="N1133" s="9">
        <v>585.0</v>
      </c>
      <c r="O1133" s="9">
        <v>160.0</v>
      </c>
      <c r="P1133" s="8" t="s">
        <v>3480</v>
      </c>
      <c r="Q1133" s="8"/>
      <c r="R1133" s="8"/>
    </row>
    <row r="1134">
      <c r="A1134" s="8" t="s">
        <v>1517</v>
      </c>
      <c r="B1134" s="8" t="s">
        <v>9180</v>
      </c>
      <c r="C1134" s="8" t="s">
        <v>9181</v>
      </c>
      <c r="D1134" s="9">
        <v>7.709281068E9</v>
      </c>
      <c r="E1134" s="8" t="s">
        <v>9182</v>
      </c>
      <c r="F1134" s="8" t="s">
        <v>5960</v>
      </c>
      <c r="G1134" s="8" t="s">
        <v>9183</v>
      </c>
      <c r="H1134" s="8" t="s">
        <v>3479</v>
      </c>
      <c r="I1134" s="9">
        <v>0.0</v>
      </c>
      <c r="J1134" s="9">
        <v>2069.0</v>
      </c>
      <c r="K1134" s="9">
        <v>2069.0</v>
      </c>
      <c r="L1134" s="9">
        <v>2069.0</v>
      </c>
      <c r="M1134" s="9">
        <v>80.0</v>
      </c>
      <c r="N1134" s="9">
        <v>1340.0</v>
      </c>
      <c r="O1134" s="9">
        <v>649.0</v>
      </c>
      <c r="P1134" s="8" t="s">
        <v>3480</v>
      </c>
      <c r="Q1134" s="8"/>
      <c r="R1134" s="8"/>
    </row>
    <row r="1135">
      <c r="A1135" s="8" t="s">
        <v>1518</v>
      </c>
      <c r="B1135" s="8" t="s">
        <v>9184</v>
      </c>
      <c r="C1135" s="8" t="s">
        <v>9185</v>
      </c>
      <c r="D1135" s="9">
        <v>7.069956654E9</v>
      </c>
      <c r="E1135" s="8" t="s">
        <v>9186</v>
      </c>
      <c r="F1135" s="8" t="s">
        <v>3608</v>
      </c>
      <c r="G1135" s="8" t="s">
        <v>3494</v>
      </c>
      <c r="H1135" s="8" t="s">
        <v>3479</v>
      </c>
      <c r="I1135" s="9">
        <v>0.0</v>
      </c>
      <c r="J1135" s="9">
        <v>2107.0</v>
      </c>
      <c r="K1135" s="9">
        <v>2107.0</v>
      </c>
      <c r="L1135" s="9">
        <v>2107.0</v>
      </c>
      <c r="M1135" s="9">
        <v>839.0</v>
      </c>
      <c r="N1135" s="9">
        <v>739.0</v>
      </c>
      <c r="O1135" s="9">
        <v>529.0</v>
      </c>
      <c r="P1135" s="8" t="s">
        <v>3480</v>
      </c>
      <c r="Q1135" s="8" t="s">
        <v>9187</v>
      </c>
      <c r="R1135" s="8" t="s">
        <v>9188</v>
      </c>
    </row>
    <row r="1136">
      <c r="A1136" s="8" t="s">
        <v>1519</v>
      </c>
      <c r="B1136" s="8" t="s">
        <v>9189</v>
      </c>
      <c r="C1136" s="8" t="s">
        <v>5040</v>
      </c>
      <c r="D1136" s="9">
        <v>8.412892212E9</v>
      </c>
      <c r="E1136" s="8" t="s">
        <v>5041</v>
      </c>
      <c r="F1136" s="8" t="s">
        <v>3550</v>
      </c>
      <c r="G1136" s="8" t="s">
        <v>9190</v>
      </c>
      <c r="H1136" s="8" t="s">
        <v>3479</v>
      </c>
      <c r="I1136" s="9">
        <v>0.0</v>
      </c>
      <c r="J1136" s="9">
        <v>1656.0</v>
      </c>
      <c r="K1136" s="9">
        <v>1656.0</v>
      </c>
      <c r="L1136" s="9">
        <v>1656.0</v>
      </c>
      <c r="M1136" s="9">
        <v>490.0</v>
      </c>
      <c r="N1136" s="9">
        <v>717.0</v>
      </c>
      <c r="O1136" s="9">
        <v>449.0</v>
      </c>
      <c r="P1136" s="8" t="s">
        <v>3480</v>
      </c>
      <c r="Q1136" s="8" t="s">
        <v>5043</v>
      </c>
      <c r="R1136" s="8" t="s">
        <v>5044</v>
      </c>
    </row>
    <row r="1137">
      <c r="A1137" s="8" t="s">
        <v>1561</v>
      </c>
      <c r="B1137" s="8" t="s">
        <v>9191</v>
      </c>
      <c r="C1137" s="8" t="s">
        <v>5759</v>
      </c>
      <c r="D1137" s="9">
        <v>9.664976023E9</v>
      </c>
      <c r="E1137" s="8" t="s">
        <v>5760</v>
      </c>
      <c r="F1137" s="8" t="s">
        <v>3601</v>
      </c>
      <c r="G1137" s="8" t="s">
        <v>9192</v>
      </c>
      <c r="H1137" s="8" t="s">
        <v>3479</v>
      </c>
      <c r="I1137" s="9">
        <v>0.0</v>
      </c>
      <c r="J1137" s="9">
        <v>1603.0</v>
      </c>
      <c r="K1137" s="9">
        <v>1603.0</v>
      </c>
      <c r="L1137" s="9">
        <v>1603.0</v>
      </c>
      <c r="M1137" s="9">
        <v>415.0</v>
      </c>
      <c r="N1137" s="9">
        <v>739.0</v>
      </c>
      <c r="O1137" s="9">
        <v>449.0</v>
      </c>
      <c r="P1137" s="8" t="s">
        <v>3480</v>
      </c>
      <c r="Q1137" s="8" t="s">
        <v>5762</v>
      </c>
      <c r="R1137" s="8" t="s">
        <v>5763</v>
      </c>
    </row>
    <row r="1138">
      <c r="A1138" s="8" t="s">
        <v>1562</v>
      </c>
      <c r="B1138" s="8" t="s">
        <v>9193</v>
      </c>
      <c r="C1138" s="8" t="s">
        <v>9194</v>
      </c>
      <c r="D1138" s="9">
        <v>9.284298453E9</v>
      </c>
      <c r="E1138" s="8" t="s">
        <v>9195</v>
      </c>
      <c r="F1138" s="8" t="s">
        <v>4558</v>
      </c>
      <c r="G1138" s="8" t="s">
        <v>9196</v>
      </c>
      <c r="H1138" s="8" t="s">
        <v>3479</v>
      </c>
      <c r="I1138" s="9">
        <v>0.0</v>
      </c>
      <c r="J1138" s="9">
        <v>1268.0</v>
      </c>
      <c r="K1138" s="9">
        <v>1268.0</v>
      </c>
      <c r="L1138" s="9">
        <v>1268.0</v>
      </c>
      <c r="M1138" s="9">
        <v>80.0</v>
      </c>
      <c r="N1138" s="9">
        <v>739.0</v>
      </c>
      <c r="O1138" s="9">
        <v>449.0</v>
      </c>
      <c r="P1138" s="8" t="s">
        <v>3480</v>
      </c>
      <c r="Q1138" s="8" t="s">
        <v>9197</v>
      </c>
      <c r="R1138" s="8" t="s">
        <v>9198</v>
      </c>
    </row>
    <row r="1139">
      <c r="A1139" s="8" t="s">
        <v>1563</v>
      </c>
      <c r="B1139" s="8" t="s">
        <v>9199</v>
      </c>
      <c r="C1139" s="8" t="s">
        <v>9200</v>
      </c>
      <c r="D1139" s="9">
        <v>8.88026304E9</v>
      </c>
      <c r="E1139" s="8" t="s">
        <v>9201</v>
      </c>
      <c r="F1139" s="8" t="s">
        <v>3796</v>
      </c>
      <c r="G1139" s="8" t="s">
        <v>9202</v>
      </c>
      <c r="H1139" s="8" t="s">
        <v>3479</v>
      </c>
      <c r="I1139" s="9">
        <v>0.0</v>
      </c>
      <c r="J1139" s="9">
        <v>2331.0</v>
      </c>
      <c r="K1139" s="9">
        <v>2331.0</v>
      </c>
      <c r="L1139" s="9">
        <v>2331.0</v>
      </c>
      <c r="M1139" s="9">
        <v>492.0</v>
      </c>
      <c r="N1139" s="9">
        <v>1140.0</v>
      </c>
      <c r="O1139" s="9">
        <v>699.0</v>
      </c>
      <c r="P1139" s="8" t="s">
        <v>3544</v>
      </c>
      <c r="Q1139" s="8"/>
      <c r="R1139" s="8"/>
    </row>
    <row r="1140">
      <c r="A1140" s="8" t="s">
        <v>1564</v>
      </c>
      <c r="B1140" s="8" t="s">
        <v>9203</v>
      </c>
      <c r="C1140" s="8" t="s">
        <v>8318</v>
      </c>
      <c r="D1140" s="9">
        <v>9.765466233E9</v>
      </c>
      <c r="E1140" s="8" t="s">
        <v>9204</v>
      </c>
      <c r="F1140" s="8" t="s">
        <v>3589</v>
      </c>
      <c r="G1140" s="8" t="s">
        <v>9205</v>
      </c>
      <c r="H1140" s="8" t="s">
        <v>3479</v>
      </c>
      <c r="I1140" s="9">
        <v>0.0</v>
      </c>
      <c r="J1140" s="9">
        <v>2073.0</v>
      </c>
      <c r="K1140" s="9">
        <v>2073.0</v>
      </c>
      <c r="L1140" s="9">
        <v>2073.0</v>
      </c>
      <c r="M1140" s="9">
        <v>810.0</v>
      </c>
      <c r="N1140" s="9">
        <v>739.0</v>
      </c>
      <c r="O1140" s="9">
        <v>524.0</v>
      </c>
      <c r="P1140" s="8" t="s">
        <v>3480</v>
      </c>
      <c r="Q1140" s="8"/>
      <c r="R1140" s="8"/>
    </row>
    <row r="1141">
      <c r="A1141" s="8" t="s">
        <v>1565</v>
      </c>
      <c r="B1141" s="8" t="s">
        <v>9206</v>
      </c>
      <c r="C1141" s="8" t="s">
        <v>9207</v>
      </c>
      <c r="D1141" s="9">
        <v>7.875313013E9</v>
      </c>
      <c r="E1141" s="8" t="s">
        <v>9208</v>
      </c>
      <c r="F1141" s="8" t="s">
        <v>4011</v>
      </c>
      <c r="G1141" s="8" t="s">
        <v>9209</v>
      </c>
      <c r="H1141" s="8" t="s">
        <v>3479</v>
      </c>
      <c r="I1141" s="9">
        <v>0.0</v>
      </c>
      <c r="J1141" s="9">
        <v>2804.0</v>
      </c>
      <c r="K1141" s="9">
        <v>2804.0</v>
      </c>
      <c r="L1141" s="9">
        <v>2804.0</v>
      </c>
      <c r="M1141" s="9">
        <v>1231.0</v>
      </c>
      <c r="N1141" s="9">
        <v>849.0</v>
      </c>
      <c r="O1141" s="9">
        <v>724.0</v>
      </c>
      <c r="P1141" s="8" t="s">
        <v>3544</v>
      </c>
      <c r="Q1141" s="8" t="s">
        <v>9210</v>
      </c>
      <c r="R1141" s="8" t="s">
        <v>9211</v>
      </c>
    </row>
    <row r="1142">
      <c r="A1142" s="8" t="s">
        <v>1566</v>
      </c>
      <c r="B1142" s="8" t="s">
        <v>9212</v>
      </c>
      <c r="C1142" s="8" t="s">
        <v>6198</v>
      </c>
      <c r="D1142" s="9">
        <v>9.92244338E9</v>
      </c>
      <c r="E1142" s="8" t="s">
        <v>9213</v>
      </c>
      <c r="F1142" s="8" t="s">
        <v>3601</v>
      </c>
      <c r="G1142" s="8" t="s">
        <v>9214</v>
      </c>
      <c r="H1142" s="8" t="s">
        <v>3479</v>
      </c>
      <c r="I1142" s="9">
        <v>0.0</v>
      </c>
      <c r="J1142" s="9">
        <v>1315.0</v>
      </c>
      <c r="K1142" s="9">
        <v>1315.0</v>
      </c>
      <c r="L1142" s="9">
        <v>1315.0</v>
      </c>
      <c r="M1142" s="9">
        <v>100.0</v>
      </c>
      <c r="N1142" s="9">
        <v>766.0</v>
      </c>
      <c r="O1142" s="9">
        <v>449.0</v>
      </c>
      <c r="P1142" s="8" t="s">
        <v>3480</v>
      </c>
      <c r="Q1142" s="8" t="s">
        <v>9215</v>
      </c>
      <c r="R1142" s="8" t="s">
        <v>9216</v>
      </c>
    </row>
    <row r="1143">
      <c r="A1143" s="8" t="s">
        <v>1567</v>
      </c>
      <c r="B1143" s="8" t="s">
        <v>9217</v>
      </c>
      <c r="C1143" s="8" t="s">
        <v>6198</v>
      </c>
      <c r="D1143" s="9">
        <v>8.879289434E9</v>
      </c>
      <c r="E1143" s="8" t="s">
        <v>9218</v>
      </c>
      <c r="F1143" s="8" t="s">
        <v>3959</v>
      </c>
      <c r="G1143" s="8" t="s">
        <v>9219</v>
      </c>
      <c r="H1143" s="8" t="s">
        <v>3479</v>
      </c>
      <c r="I1143" s="9">
        <v>0.0</v>
      </c>
      <c r="J1143" s="9">
        <v>1918.0</v>
      </c>
      <c r="K1143" s="9">
        <v>1918.0</v>
      </c>
      <c r="L1143" s="9">
        <v>1918.0</v>
      </c>
      <c r="M1143" s="9">
        <v>685.0</v>
      </c>
      <c r="N1143" s="9">
        <v>784.0</v>
      </c>
      <c r="O1143" s="9">
        <v>449.0</v>
      </c>
      <c r="P1143" s="8" t="s">
        <v>3480</v>
      </c>
      <c r="Q1143" s="8" t="s">
        <v>4381</v>
      </c>
      <c r="R1143" s="8" t="s">
        <v>9220</v>
      </c>
    </row>
    <row r="1144">
      <c r="A1144" s="8" t="s">
        <v>1568</v>
      </c>
      <c r="B1144" s="8" t="s">
        <v>9221</v>
      </c>
      <c r="C1144" s="8" t="s">
        <v>9222</v>
      </c>
      <c r="D1144" s="9">
        <v>9.885183711E9</v>
      </c>
      <c r="E1144" s="8" t="s">
        <v>9223</v>
      </c>
      <c r="F1144" s="8" t="s">
        <v>3959</v>
      </c>
      <c r="G1144" s="8" t="s">
        <v>4012</v>
      </c>
      <c r="H1144" s="8" t="s">
        <v>3479</v>
      </c>
      <c r="I1144" s="9">
        <v>0.0</v>
      </c>
      <c r="J1144" s="9">
        <v>3613.0</v>
      </c>
      <c r="K1144" s="9">
        <v>3613.0</v>
      </c>
      <c r="L1144" s="9">
        <v>3613.0</v>
      </c>
      <c r="M1144" s="9">
        <v>1730.0</v>
      </c>
      <c r="N1144" s="9">
        <v>784.0</v>
      </c>
      <c r="O1144" s="9">
        <v>1099.0</v>
      </c>
      <c r="P1144" s="8" t="s">
        <v>3480</v>
      </c>
      <c r="Q1144" s="8"/>
      <c r="R1144" s="8"/>
    </row>
    <row r="1145">
      <c r="A1145" s="8" t="s">
        <v>1515</v>
      </c>
      <c r="B1145" s="8" t="s">
        <v>9224</v>
      </c>
      <c r="C1145" s="8" t="s">
        <v>9225</v>
      </c>
      <c r="D1145" s="9">
        <v>9.579021218E9</v>
      </c>
      <c r="E1145" s="8" t="s">
        <v>9226</v>
      </c>
      <c r="F1145" s="8" t="s">
        <v>3608</v>
      </c>
      <c r="G1145" s="8" t="s">
        <v>7930</v>
      </c>
      <c r="H1145" s="8" t="s">
        <v>3479</v>
      </c>
      <c r="I1145" s="9">
        <v>0.0</v>
      </c>
      <c r="J1145" s="9">
        <v>1259.0</v>
      </c>
      <c r="K1145" s="9">
        <v>1259.0</v>
      </c>
      <c r="L1145" s="9">
        <v>1259.0</v>
      </c>
      <c r="M1145" s="9">
        <v>80.0</v>
      </c>
      <c r="N1145" s="9">
        <v>730.0</v>
      </c>
      <c r="O1145" s="9">
        <v>449.0</v>
      </c>
      <c r="P1145" s="8" t="s">
        <v>3480</v>
      </c>
      <c r="Q1145" s="8"/>
      <c r="R1145" s="8"/>
    </row>
    <row r="1146">
      <c r="A1146" s="8" t="s">
        <v>1570</v>
      </c>
      <c r="B1146" s="8" t="s">
        <v>9227</v>
      </c>
      <c r="C1146" s="8" t="s">
        <v>4204</v>
      </c>
      <c r="D1146" s="9">
        <v>9.561466895E9</v>
      </c>
      <c r="E1146" s="8" t="s">
        <v>4205</v>
      </c>
      <c r="F1146" s="8" t="s">
        <v>6679</v>
      </c>
      <c r="G1146" s="8" t="s">
        <v>9228</v>
      </c>
      <c r="H1146" s="8" t="s">
        <v>3479</v>
      </c>
      <c r="I1146" s="9">
        <v>0.0</v>
      </c>
      <c r="J1146" s="9">
        <v>1313.0</v>
      </c>
      <c r="K1146" s="9">
        <v>1313.0</v>
      </c>
      <c r="L1146" s="9">
        <v>1313.0</v>
      </c>
      <c r="M1146" s="9">
        <v>80.0</v>
      </c>
      <c r="N1146" s="9">
        <v>784.0</v>
      </c>
      <c r="O1146" s="9">
        <v>449.0</v>
      </c>
      <c r="P1146" s="8" t="s">
        <v>3480</v>
      </c>
      <c r="Q1146" s="8"/>
      <c r="R1146" s="8"/>
    </row>
    <row r="1147">
      <c r="A1147" s="8" t="s">
        <v>1571</v>
      </c>
      <c r="B1147" s="8" t="s">
        <v>9229</v>
      </c>
      <c r="C1147" s="8" t="s">
        <v>9230</v>
      </c>
      <c r="D1147" s="9">
        <v>8.999148575E9</v>
      </c>
      <c r="E1147" s="8" t="s">
        <v>9231</v>
      </c>
      <c r="F1147" s="8" t="s">
        <v>3550</v>
      </c>
      <c r="G1147" s="8" t="s">
        <v>9232</v>
      </c>
      <c r="H1147" s="8" t="s">
        <v>3479</v>
      </c>
      <c r="I1147" s="9">
        <v>0.0</v>
      </c>
      <c r="J1147" s="9">
        <v>1424.0</v>
      </c>
      <c r="K1147" s="9">
        <v>1424.0</v>
      </c>
      <c r="L1147" s="9">
        <v>1424.0</v>
      </c>
      <c r="M1147" s="9">
        <v>330.0</v>
      </c>
      <c r="N1147" s="9">
        <v>645.0</v>
      </c>
      <c r="O1147" s="9">
        <v>449.0</v>
      </c>
      <c r="P1147" s="8" t="s">
        <v>3480</v>
      </c>
      <c r="Q1147" s="8"/>
      <c r="R1147" s="8"/>
    </row>
    <row r="1148">
      <c r="A1148" s="8" t="s">
        <v>1513</v>
      </c>
      <c r="B1148" s="8" t="s">
        <v>9233</v>
      </c>
      <c r="C1148" s="8" t="s">
        <v>9234</v>
      </c>
      <c r="D1148" s="9">
        <v>9.823223921E9</v>
      </c>
      <c r="E1148" s="8" t="s">
        <v>9235</v>
      </c>
      <c r="F1148" s="8" t="s">
        <v>3542</v>
      </c>
      <c r="G1148" s="8" t="s">
        <v>9236</v>
      </c>
      <c r="H1148" s="8" t="s">
        <v>3479</v>
      </c>
      <c r="I1148" s="9">
        <v>0.0</v>
      </c>
      <c r="J1148" s="9">
        <v>1807.0</v>
      </c>
      <c r="K1148" s="9">
        <v>1807.0</v>
      </c>
      <c r="L1148" s="9">
        <v>1807.0</v>
      </c>
      <c r="M1148" s="9">
        <v>553.0</v>
      </c>
      <c r="N1148" s="9">
        <v>730.0</v>
      </c>
      <c r="O1148" s="9">
        <v>524.0</v>
      </c>
      <c r="P1148" s="8" t="s">
        <v>3480</v>
      </c>
      <c r="Q1148" s="8" t="s">
        <v>9237</v>
      </c>
      <c r="R1148" s="8" t="s">
        <v>9238</v>
      </c>
    </row>
    <row r="1149">
      <c r="A1149" s="8" t="s">
        <v>1576</v>
      </c>
      <c r="B1149" s="8" t="s">
        <v>9239</v>
      </c>
      <c r="C1149" s="8" t="s">
        <v>5626</v>
      </c>
      <c r="D1149" s="9">
        <v>9.766313203E9</v>
      </c>
      <c r="E1149" s="8" t="s">
        <v>5627</v>
      </c>
      <c r="F1149" s="8" t="s">
        <v>4333</v>
      </c>
      <c r="G1149" s="8" t="s">
        <v>9240</v>
      </c>
      <c r="H1149" s="8" t="s">
        <v>3479</v>
      </c>
      <c r="I1149" s="9">
        <v>0.0</v>
      </c>
      <c r="J1149" s="9">
        <v>2250.0</v>
      </c>
      <c r="K1149" s="9">
        <v>2250.0</v>
      </c>
      <c r="L1149" s="9">
        <v>2250.0</v>
      </c>
      <c r="M1149" s="9">
        <v>2250.0</v>
      </c>
      <c r="N1149" s="9">
        <v>0.0</v>
      </c>
      <c r="O1149" s="9">
        <v>0.0</v>
      </c>
      <c r="P1149" s="8" t="s">
        <v>3480</v>
      </c>
      <c r="Q1149" s="8" t="s">
        <v>5629</v>
      </c>
      <c r="R1149" s="8" t="s">
        <v>5630</v>
      </c>
    </row>
    <row r="1150">
      <c r="A1150" s="8" t="s">
        <v>1573</v>
      </c>
      <c r="B1150" s="8" t="s">
        <v>9241</v>
      </c>
      <c r="C1150" s="8" t="s">
        <v>8545</v>
      </c>
      <c r="D1150" s="9">
        <v>9.767625161E9</v>
      </c>
      <c r="E1150" s="8" t="s">
        <v>9242</v>
      </c>
      <c r="F1150" s="8" t="s">
        <v>4645</v>
      </c>
      <c r="G1150" s="8" t="s">
        <v>3494</v>
      </c>
      <c r="H1150" s="8" t="s">
        <v>3479</v>
      </c>
      <c r="I1150" s="9">
        <v>0.0</v>
      </c>
      <c r="J1150" s="9">
        <v>1280.0</v>
      </c>
      <c r="K1150" s="9">
        <v>1280.0</v>
      </c>
      <c r="L1150" s="9">
        <v>1280.0</v>
      </c>
      <c r="M1150" s="9">
        <v>0.0</v>
      </c>
      <c r="N1150" s="9">
        <v>0.0</v>
      </c>
      <c r="O1150" s="9">
        <v>1280.0</v>
      </c>
      <c r="P1150" s="8" t="s">
        <v>3480</v>
      </c>
      <c r="Q1150" s="8"/>
      <c r="R1150" s="8"/>
    </row>
    <row r="1151">
      <c r="A1151" s="8" t="s">
        <v>1574</v>
      </c>
      <c r="B1151" s="8" t="s">
        <v>9243</v>
      </c>
      <c r="C1151" s="8" t="s">
        <v>9244</v>
      </c>
      <c r="D1151" s="9">
        <v>9.850022435E9</v>
      </c>
      <c r="E1151" s="8" t="s">
        <v>9245</v>
      </c>
      <c r="F1151" s="8" t="s">
        <v>3608</v>
      </c>
      <c r="G1151" s="8" t="s">
        <v>9246</v>
      </c>
      <c r="H1151" s="8" t="s">
        <v>3479</v>
      </c>
      <c r="I1151" s="9">
        <v>0.0</v>
      </c>
      <c r="J1151" s="9">
        <v>2062.0</v>
      </c>
      <c r="K1151" s="9">
        <v>2062.0</v>
      </c>
      <c r="L1151" s="9">
        <v>2062.0</v>
      </c>
      <c r="M1151" s="9">
        <v>1737.0</v>
      </c>
      <c r="N1151" s="9">
        <v>0.0</v>
      </c>
      <c r="O1151" s="9">
        <v>325.0</v>
      </c>
      <c r="P1151" s="8" t="s">
        <v>3519</v>
      </c>
      <c r="Q1151" s="8"/>
      <c r="R1151" s="8"/>
    </row>
    <row r="1152">
      <c r="A1152" s="8" t="s">
        <v>1575</v>
      </c>
      <c r="B1152" s="8" t="s">
        <v>9247</v>
      </c>
      <c r="C1152" s="8" t="s">
        <v>9248</v>
      </c>
      <c r="D1152" s="9">
        <v>9.552599676E9</v>
      </c>
      <c r="E1152" s="8" t="s">
        <v>9249</v>
      </c>
      <c r="F1152" s="8" t="s">
        <v>3589</v>
      </c>
      <c r="G1152" s="8" t="s">
        <v>9250</v>
      </c>
      <c r="H1152" s="8" t="s">
        <v>9251</v>
      </c>
      <c r="I1152" s="9">
        <v>0.0</v>
      </c>
      <c r="J1152" s="9">
        <v>2500.0</v>
      </c>
      <c r="K1152" s="9">
        <v>2718.0</v>
      </c>
      <c r="L1152" s="9">
        <v>2500.0</v>
      </c>
      <c r="M1152" s="9">
        <v>1455.0</v>
      </c>
      <c r="N1152" s="9">
        <v>739.0</v>
      </c>
      <c r="O1152" s="9">
        <v>524.0</v>
      </c>
      <c r="P1152" s="8" t="s">
        <v>3480</v>
      </c>
      <c r="Q1152" s="8"/>
      <c r="R1152" s="8"/>
    </row>
    <row r="1153">
      <c r="A1153" s="8" t="s">
        <v>1569</v>
      </c>
      <c r="B1153" s="8" t="s">
        <v>9252</v>
      </c>
      <c r="C1153" s="8" t="s">
        <v>9253</v>
      </c>
      <c r="D1153" s="9">
        <v>8.411055881E9</v>
      </c>
      <c r="E1153" s="8" t="s">
        <v>9254</v>
      </c>
      <c r="F1153" s="8" t="s">
        <v>9255</v>
      </c>
      <c r="G1153" s="8" t="s">
        <v>9256</v>
      </c>
      <c r="H1153" s="8" t="s">
        <v>3479</v>
      </c>
      <c r="I1153" s="9">
        <v>0.0</v>
      </c>
      <c r="J1153" s="9">
        <v>1948.0</v>
      </c>
      <c r="K1153" s="9">
        <v>1948.0</v>
      </c>
      <c r="L1153" s="9">
        <v>1948.0</v>
      </c>
      <c r="M1153" s="9">
        <v>760.0</v>
      </c>
      <c r="N1153" s="9">
        <v>739.0</v>
      </c>
      <c r="O1153" s="9">
        <v>449.0</v>
      </c>
      <c r="P1153" s="8" t="s">
        <v>3480</v>
      </c>
      <c r="Q1153" s="8" t="s">
        <v>9257</v>
      </c>
      <c r="R1153" s="8"/>
    </row>
    <row r="1154">
      <c r="A1154" s="8" t="s">
        <v>1572</v>
      </c>
      <c r="B1154" s="8" t="s">
        <v>9258</v>
      </c>
      <c r="C1154" s="8" t="s">
        <v>9259</v>
      </c>
      <c r="D1154" s="9">
        <v>9.168290505E9</v>
      </c>
      <c r="E1154" s="8" t="s">
        <v>9260</v>
      </c>
      <c r="F1154" s="8" t="s">
        <v>3589</v>
      </c>
      <c r="G1154" s="8" t="s">
        <v>9261</v>
      </c>
      <c r="H1154" s="8" t="s">
        <v>3479</v>
      </c>
      <c r="I1154" s="9">
        <v>0.0</v>
      </c>
      <c r="J1154" s="9">
        <v>1313.0</v>
      </c>
      <c r="K1154" s="9">
        <v>1313.0</v>
      </c>
      <c r="L1154" s="9">
        <v>1313.0</v>
      </c>
      <c r="M1154" s="9">
        <v>160.0</v>
      </c>
      <c r="N1154" s="9">
        <v>549.0</v>
      </c>
      <c r="O1154" s="9">
        <v>604.0</v>
      </c>
      <c r="P1154" s="8" t="s">
        <v>3480</v>
      </c>
      <c r="Q1154" s="8" t="s">
        <v>9262</v>
      </c>
      <c r="R1154" s="8" t="s">
        <v>9263</v>
      </c>
    </row>
    <row r="1155">
      <c r="A1155" s="8" t="s">
        <v>1487</v>
      </c>
      <c r="B1155" s="8" t="s">
        <v>9264</v>
      </c>
      <c r="C1155" s="8" t="s">
        <v>9265</v>
      </c>
      <c r="D1155" s="9">
        <v>8.983033618E9</v>
      </c>
      <c r="E1155" s="8" t="s">
        <v>9266</v>
      </c>
      <c r="F1155" s="8" t="s">
        <v>3768</v>
      </c>
      <c r="G1155" s="8" t="s">
        <v>9267</v>
      </c>
      <c r="H1155" s="8" t="s">
        <v>3479</v>
      </c>
      <c r="I1155" s="9">
        <v>0.0</v>
      </c>
      <c r="J1155" s="9">
        <v>2320.0</v>
      </c>
      <c r="K1155" s="9">
        <v>2320.0</v>
      </c>
      <c r="L1155" s="9">
        <v>2320.0</v>
      </c>
      <c r="M1155" s="9">
        <v>962.0</v>
      </c>
      <c r="N1155" s="9">
        <v>784.0</v>
      </c>
      <c r="O1155" s="9">
        <v>574.0</v>
      </c>
      <c r="P1155" s="8" t="s">
        <v>3480</v>
      </c>
      <c r="Q1155" s="8" t="s">
        <v>9268</v>
      </c>
      <c r="R1155" s="8" t="s">
        <v>9269</v>
      </c>
    </row>
    <row r="1156">
      <c r="A1156" s="8" t="s">
        <v>1488</v>
      </c>
      <c r="B1156" s="8" t="s">
        <v>9270</v>
      </c>
      <c r="C1156" s="8" t="s">
        <v>9271</v>
      </c>
      <c r="D1156" s="9">
        <v>9.96705015E9</v>
      </c>
      <c r="E1156" s="8" t="s">
        <v>9272</v>
      </c>
      <c r="F1156" s="8" t="s">
        <v>3821</v>
      </c>
      <c r="G1156" s="8" t="s">
        <v>9273</v>
      </c>
      <c r="H1156" s="8" t="s">
        <v>5283</v>
      </c>
      <c r="I1156" s="9">
        <v>0.0</v>
      </c>
      <c r="J1156" s="9">
        <v>1950.0</v>
      </c>
      <c r="K1156" s="9">
        <v>1963.0</v>
      </c>
      <c r="L1156" s="9">
        <v>1950.0</v>
      </c>
      <c r="M1156" s="9">
        <v>700.0</v>
      </c>
      <c r="N1156" s="9">
        <v>739.0</v>
      </c>
      <c r="O1156" s="9">
        <v>524.0</v>
      </c>
      <c r="P1156" s="8" t="s">
        <v>3519</v>
      </c>
      <c r="Q1156" s="8" t="s">
        <v>9274</v>
      </c>
      <c r="R1156" s="8" t="s">
        <v>9275</v>
      </c>
    </row>
    <row r="1157">
      <c r="A1157" s="8" t="s">
        <v>1490</v>
      </c>
      <c r="B1157" s="8" t="s">
        <v>9276</v>
      </c>
      <c r="C1157" s="8" t="s">
        <v>9277</v>
      </c>
      <c r="D1157" s="9">
        <v>9.881399332E9</v>
      </c>
      <c r="E1157" s="8" t="s">
        <v>9278</v>
      </c>
      <c r="F1157" s="8" t="s">
        <v>4507</v>
      </c>
      <c r="G1157" s="8" t="s">
        <v>9279</v>
      </c>
      <c r="H1157" s="8" t="s">
        <v>3479</v>
      </c>
      <c r="I1157" s="9">
        <v>0.0</v>
      </c>
      <c r="J1157" s="9">
        <v>1718.0</v>
      </c>
      <c r="K1157" s="9">
        <v>1718.0</v>
      </c>
      <c r="L1157" s="9">
        <v>1718.0</v>
      </c>
      <c r="M1157" s="9">
        <v>679.0</v>
      </c>
      <c r="N1157" s="9">
        <v>65.0</v>
      </c>
      <c r="O1157" s="9">
        <v>974.0</v>
      </c>
      <c r="P1157" s="8" t="s">
        <v>3480</v>
      </c>
      <c r="Q1157" s="8" t="s">
        <v>9280</v>
      </c>
      <c r="R1157" s="8" t="s">
        <v>9281</v>
      </c>
    </row>
    <row r="1158">
      <c r="A1158" s="8" t="s">
        <v>1491</v>
      </c>
      <c r="B1158" s="8" t="s">
        <v>9282</v>
      </c>
      <c r="C1158" s="8" t="s">
        <v>5402</v>
      </c>
      <c r="D1158" s="9">
        <v>8.237668546E9</v>
      </c>
      <c r="E1158" s="8" t="s">
        <v>9283</v>
      </c>
      <c r="F1158" s="8" t="s">
        <v>3977</v>
      </c>
      <c r="G1158" s="8" t="s">
        <v>9284</v>
      </c>
      <c r="H1158" s="8" t="s">
        <v>3479</v>
      </c>
      <c r="I1158" s="9">
        <v>0.0</v>
      </c>
      <c r="J1158" s="9">
        <v>1268.0</v>
      </c>
      <c r="K1158" s="9">
        <v>1268.0</v>
      </c>
      <c r="L1158" s="9">
        <v>1268.0</v>
      </c>
      <c r="M1158" s="9">
        <v>80.0</v>
      </c>
      <c r="N1158" s="9">
        <v>739.0</v>
      </c>
      <c r="O1158" s="9">
        <v>449.0</v>
      </c>
      <c r="P1158" s="8" t="s">
        <v>3480</v>
      </c>
      <c r="Q1158" s="8"/>
      <c r="R1158" s="8"/>
    </row>
    <row r="1159">
      <c r="A1159" s="8" t="s">
        <v>1489</v>
      </c>
      <c r="B1159" s="8" t="s">
        <v>9285</v>
      </c>
      <c r="C1159" s="8" t="s">
        <v>9286</v>
      </c>
      <c r="D1159" s="9">
        <v>9.867082659E9</v>
      </c>
      <c r="E1159" s="8" t="s">
        <v>9287</v>
      </c>
      <c r="F1159" s="8" t="s">
        <v>3677</v>
      </c>
      <c r="G1159" s="8" t="s">
        <v>9288</v>
      </c>
      <c r="H1159" s="8" t="s">
        <v>3479</v>
      </c>
      <c r="I1159" s="9">
        <v>0.0</v>
      </c>
      <c r="J1159" s="9">
        <v>1513.0</v>
      </c>
      <c r="K1159" s="9">
        <v>1513.0</v>
      </c>
      <c r="L1159" s="9">
        <v>1513.0</v>
      </c>
      <c r="M1159" s="9">
        <v>858.0</v>
      </c>
      <c r="N1159" s="9">
        <v>0.0</v>
      </c>
      <c r="O1159" s="9">
        <v>655.0</v>
      </c>
      <c r="P1159" s="8" t="s">
        <v>3480</v>
      </c>
      <c r="Q1159" s="8"/>
      <c r="R1159" s="8"/>
    </row>
    <row r="1160">
      <c r="A1160" s="8" t="s">
        <v>670</v>
      </c>
      <c r="B1160" s="8" t="s">
        <v>9289</v>
      </c>
      <c r="C1160" s="8" t="s">
        <v>9290</v>
      </c>
      <c r="D1160" s="9">
        <v>8.98345213E9</v>
      </c>
      <c r="E1160" s="8" t="s">
        <v>9291</v>
      </c>
      <c r="F1160" s="8" t="s">
        <v>9292</v>
      </c>
      <c r="G1160" s="8" t="s">
        <v>9293</v>
      </c>
      <c r="H1160" s="8" t="s">
        <v>3479</v>
      </c>
      <c r="I1160" s="9">
        <v>0.0</v>
      </c>
      <c r="J1160" s="9">
        <v>1675.0</v>
      </c>
      <c r="K1160" s="9">
        <v>1675.0</v>
      </c>
      <c r="L1160" s="9">
        <v>1675.0</v>
      </c>
      <c r="M1160" s="9">
        <v>1500.0</v>
      </c>
      <c r="N1160" s="9">
        <v>0.0</v>
      </c>
      <c r="O1160" s="9">
        <v>175.0</v>
      </c>
      <c r="P1160" s="8" t="s">
        <v>3480</v>
      </c>
      <c r="Q1160" s="8"/>
      <c r="R1160" s="8"/>
    </row>
    <row r="1161">
      <c r="A1161" s="8" t="s">
        <v>671</v>
      </c>
      <c r="B1161" s="8" t="s">
        <v>9294</v>
      </c>
      <c r="C1161" s="8" t="s">
        <v>7674</v>
      </c>
      <c r="D1161" s="9">
        <v>7.507405483E9</v>
      </c>
      <c r="E1161" s="8" t="s">
        <v>9295</v>
      </c>
      <c r="F1161" s="8" t="s">
        <v>9296</v>
      </c>
      <c r="G1161" s="8" t="s">
        <v>4194</v>
      </c>
      <c r="H1161" s="8" t="s">
        <v>3479</v>
      </c>
      <c r="I1161" s="9">
        <v>0.0</v>
      </c>
      <c r="J1161" s="9">
        <v>2257.0</v>
      </c>
      <c r="K1161" s="9">
        <v>2257.0</v>
      </c>
      <c r="L1161" s="9">
        <v>2257.0</v>
      </c>
      <c r="M1161" s="9">
        <v>80.0</v>
      </c>
      <c r="N1161" s="9">
        <v>1378.0</v>
      </c>
      <c r="O1161" s="9">
        <v>799.0</v>
      </c>
      <c r="P1161" s="8" t="s">
        <v>3480</v>
      </c>
      <c r="Q1161" s="8" t="s">
        <v>9297</v>
      </c>
      <c r="R1161" s="8" t="s">
        <v>9298</v>
      </c>
    </row>
    <row r="1162">
      <c r="A1162" s="8" t="s">
        <v>672</v>
      </c>
      <c r="B1162" s="8" t="s">
        <v>9299</v>
      </c>
      <c r="C1162" s="8" t="s">
        <v>9300</v>
      </c>
      <c r="D1162" s="9">
        <v>9.767348464E9</v>
      </c>
      <c r="E1162" s="8" t="s">
        <v>9301</v>
      </c>
      <c r="F1162" s="8" t="s">
        <v>3523</v>
      </c>
      <c r="G1162" s="8" t="s">
        <v>9302</v>
      </c>
      <c r="H1162" s="8" t="s">
        <v>3479</v>
      </c>
      <c r="I1162" s="9">
        <v>0.0</v>
      </c>
      <c r="J1162" s="9">
        <v>2924.0</v>
      </c>
      <c r="K1162" s="9">
        <v>2924.0</v>
      </c>
      <c r="L1162" s="9">
        <v>2924.0</v>
      </c>
      <c r="M1162" s="9">
        <v>1670.0</v>
      </c>
      <c r="N1162" s="9">
        <v>730.0</v>
      </c>
      <c r="O1162" s="9">
        <v>524.0</v>
      </c>
      <c r="P1162" s="8" t="s">
        <v>3480</v>
      </c>
      <c r="Q1162" s="8" t="s">
        <v>9303</v>
      </c>
      <c r="R1162" s="8" t="s">
        <v>9304</v>
      </c>
    </row>
    <row r="1163">
      <c r="A1163" s="8" t="s">
        <v>673</v>
      </c>
      <c r="B1163" s="8" t="s">
        <v>9305</v>
      </c>
      <c r="C1163" s="8" t="s">
        <v>9306</v>
      </c>
      <c r="D1163" s="9">
        <v>9.415219097E9</v>
      </c>
      <c r="E1163" s="8" t="s">
        <v>9307</v>
      </c>
      <c r="F1163" s="8" t="s">
        <v>3821</v>
      </c>
      <c r="G1163" s="8" t="s">
        <v>9308</v>
      </c>
      <c r="H1163" s="8" t="s">
        <v>3479</v>
      </c>
      <c r="I1163" s="9">
        <v>0.0</v>
      </c>
      <c r="J1163" s="9">
        <v>1923.0</v>
      </c>
      <c r="K1163" s="9">
        <v>1923.0</v>
      </c>
      <c r="L1163" s="9">
        <v>1923.0</v>
      </c>
      <c r="M1163" s="9">
        <v>669.0</v>
      </c>
      <c r="N1163" s="9">
        <v>730.0</v>
      </c>
      <c r="O1163" s="9">
        <v>524.0</v>
      </c>
      <c r="P1163" s="8" t="s">
        <v>3480</v>
      </c>
      <c r="Q1163" s="8" t="s">
        <v>9309</v>
      </c>
      <c r="R1163" s="8" t="s">
        <v>9310</v>
      </c>
    </row>
    <row r="1164">
      <c r="A1164" s="8" t="s">
        <v>1498</v>
      </c>
      <c r="B1164" s="8" t="s">
        <v>9311</v>
      </c>
      <c r="C1164" s="8" t="s">
        <v>9312</v>
      </c>
      <c r="D1164" s="9">
        <v>7.219101025E9</v>
      </c>
      <c r="E1164" s="8" t="s">
        <v>9313</v>
      </c>
      <c r="F1164" s="8" t="s">
        <v>3821</v>
      </c>
      <c r="G1164" s="8" t="s">
        <v>9314</v>
      </c>
      <c r="H1164" s="8" t="s">
        <v>3479</v>
      </c>
      <c r="I1164" s="9">
        <v>0.0</v>
      </c>
      <c r="J1164" s="9">
        <v>1866.0</v>
      </c>
      <c r="K1164" s="9">
        <v>1866.0</v>
      </c>
      <c r="L1164" s="9">
        <v>1866.0</v>
      </c>
      <c r="M1164" s="9">
        <v>603.0</v>
      </c>
      <c r="N1164" s="9">
        <v>739.0</v>
      </c>
      <c r="O1164" s="9">
        <v>524.0</v>
      </c>
      <c r="P1164" s="8" t="s">
        <v>3480</v>
      </c>
      <c r="Q1164" s="8" t="s">
        <v>9315</v>
      </c>
      <c r="R1164" s="8" t="s">
        <v>9316</v>
      </c>
    </row>
    <row r="1165">
      <c r="A1165" s="8" t="s">
        <v>1499</v>
      </c>
      <c r="B1165" s="8" t="s">
        <v>9317</v>
      </c>
      <c r="C1165" s="8" t="s">
        <v>8545</v>
      </c>
      <c r="D1165" s="9">
        <v>8.08732156E9</v>
      </c>
      <c r="E1165" s="8" t="s">
        <v>9318</v>
      </c>
      <c r="F1165" s="8" t="s">
        <v>3681</v>
      </c>
      <c r="G1165" s="8" t="s">
        <v>9319</v>
      </c>
      <c r="H1165" s="8" t="s">
        <v>3479</v>
      </c>
      <c r="I1165" s="9">
        <v>0.0</v>
      </c>
      <c r="J1165" s="9">
        <v>1150.0</v>
      </c>
      <c r="K1165" s="9">
        <v>1150.0</v>
      </c>
      <c r="L1165" s="9">
        <v>1150.0</v>
      </c>
      <c r="M1165" s="9">
        <v>1150.0</v>
      </c>
      <c r="N1165" s="9">
        <v>0.0</v>
      </c>
      <c r="O1165" s="9">
        <v>0.0</v>
      </c>
      <c r="P1165" s="8" t="s">
        <v>3480</v>
      </c>
      <c r="Q1165" s="8"/>
      <c r="R1165" s="8"/>
    </row>
    <row r="1166">
      <c r="A1166" s="8" t="s">
        <v>1500</v>
      </c>
      <c r="B1166" s="8" t="s">
        <v>9320</v>
      </c>
      <c r="C1166" s="8" t="s">
        <v>9321</v>
      </c>
      <c r="D1166" s="9">
        <v>7.03903525E9</v>
      </c>
      <c r="E1166" s="8" t="s">
        <v>9322</v>
      </c>
      <c r="F1166" s="8" t="s">
        <v>3589</v>
      </c>
      <c r="G1166" s="8" t="s">
        <v>9323</v>
      </c>
      <c r="H1166" s="8" t="s">
        <v>3479</v>
      </c>
      <c r="I1166" s="9">
        <v>0.0</v>
      </c>
      <c r="J1166" s="9">
        <v>1664.0</v>
      </c>
      <c r="K1166" s="9">
        <v>1664.0</v>
      </c>
      <c r="L1166" s="9">
        <v>1664.0</v>
      </c>
      <c r="M1166" s="9">
        <v>410.0</v>
      </c>
      <c r="N1166" s="9">
        <v>730.0</v>
      </c>
      <c r="O1166" s="9">
        <v>524.0</v>
      </c>
      <c r="P1166" s="8" t="s">
        <v>3480</v>
      </c>
      <c r="Q1166" s="8" t="s">
        <v>9324</v>
      </c>
      <c r="R1166" s="8" t="s">
        <v>9325</v>
      </c>
    </row>
    <row r="1167">
      <c r="A1167" s="8" t="s">
        <v>1501</v>
      </c>
      <c r="B1167" s="8" t="s">
        <v>9326</v>
      </c>
      <c r="C1167" s="8" t="s">
        <v>7010</v>
      </c>
      <c r="D1167" s="9">
        <v>7.838851007E9</v>
      </c>
      <c r="E1167" s="8" t="s">
        <v>7011</v>
      </c>
      <c r="F1167" s="8" t="s">
        <v>4252</v>
      </c>
      <c r="G1167" s="8" t="s">
        <v>9327</v>
      </c>
      <c r="H1167" s="8" t="s">
        <v>9328</v>
      </c>
      <c r="I1167" s="9">
        <v>0.0</v>
      </c>
      <c r="J1167" s="9">
        <v>1400.0</v>
      </c>
      <c r="K1167" s="9">
        <v>1418.0</v>
      </c>
      <c r="L1167" s="9">
        <v>1400.0</v>
      </c>
      <c r="M1167" s="9">
        <v>379.0</v>
      </c>
      <c r="N1167" s="9">
        <v>65.0</v>
      </c>
      <c r="O1167" s="9">
        <v>974.0</v>
      </c>
      <c r="P1167" s="8" t="s">
        <v>3480</v>
      </c>
      <c r="Q1167" s="8" t="s">
        <v>7013</v>
      </c>
      <c r="R1167" s="8" t="s">
        <v>7014</v>
      </c>
    </row>
    <row r="1168">
      <c r="A1168" s="8" t="s">
        <v>1502</v>
      </c>
      <c r="B1168" s="8" t="s">
        <v>9329</v>
      </c>
      <c r="C1168" s="8" t="s">
        <v>6712</v>
      </c>
      <c r="D1168" s="9">
        <v>9.881889367E9</v>
      </c>
      <c r="E1168" s="8" t="s">
        <v>6713</v>
      </c>
      <c r="F1168" s="8" t="s">
        <v>3486</v>
      </c>
      <c r="G1168" s="8" t="s">
        <v>9330</v>
      </c>
      <c r="H1168" s="8" t="s">
        <v>3479</v>
      </c>
      <c r="I1168" s="9">
        <v>0.0</v>
      </c>
      <c r="J1168" s="9">
        <v>2708.0</v>
      </c>
      <c r="K1168" s="9">
        <v>2708.0</v>
      </c>
      <c r="L1168" s="9">
        <v>2708.0</v>
      </c>
      <c r="M1168" s="9">
        <v>595.0</v>
      </c>
      <c r="N1168" s="9">
        <v>739.0</v>
      </c>
      <c r="O1168" s="9">
        <v>1374.0</v>
      </c>
      <c r="P1168" s="8" t="s">
        <v>3480</v>
      </c>
      <c r="Q1168" s="8" t="s">
        <v>6715</v>
      </c>
      <c r="R1168" s="8" t="s">
        <v>6716</v>
      </c>
    </row>
    <row r="1169">
      <c r="A1169" s="8" t="s">
        <v>1503</v>
      </c>
      <c r="B1169" s="8" t="s">
        <v>9331</v>
      </c>
      <c r="C1169" s="8" t="s">
        <v>9332</v>
      </c>
      <c r="D1169" s="9">
        <v>9.960657236E9</v>
      </c>
      <c r="E1169" s="8" t="s">
        <v>9333</v>
      </c>
      <c r="F1169" s="8" t="s">
        <v>3846</v>
      </c>
      <c r="G1169" s="8" t="s">
        <v>9334</v>
      </c>
      <c r="H1169" s="8" t="s">
        <v>3479</v>
      </c>
      <c r="I1169" s="9">
        <v>0.0</v>
      </c>
      <c r="J1169" s="9">
        <v>9978.0</v>
      </c>
      <c r="K1169" s="9">
        <v>9978.0</v>
      </c>
      <c r="L1169" s="9">
        <v>9978.0</v>
      </c>
      <c r="M1169" s="9">
        <v>7714.0</v>
      </c>
      <c r="N1169" s="9">
        <v>965.0</v>
      </c>
      <c r="O1169" s="9">
        <v>1299.0</v>
      </c>
      <c r="P1169" s="8" t="s">
        <v>3480</v>
      </c>
      <c r="Q1169" s="8" t="s">
        <v>9335</v>
      </c>
      <c r="R1169" s="8" t="s">
        <v>9336</v>
      </c>
    </row>
    <row r="1170">
      <c r="A1170" s="8" t="s">
        <v>1504</v>
      </c>
      <c r="B1170" s="8" t="s">
        <v>9337</v>
      </c>
      <c r="C1170" s="8" t="s">
        <v>9338</v>
      </c>
      <c r="D1170" s="9">
        <v>9.653346275E9</v>
      </c>
      <c r="E1170" s="8" t="s">
        <v>9339</v>
      </c>
      <c r="F1170" s="8" t="s">
        <v>5447</v>
      </c>
      <c r="G1170" s="8" t="s">
        <v>9340</v>
      </c>
      <c r="H1170" s="8" t="s">
        <v>3479</v>
      </c>
      <c r="I1170" s="9">
        <v>0.0</v>
      </c>
      <c r="J1170" s="9">
        <v>2446.0</v>
      </c>
      <c r="K1170" s="9">
        <v>2446.0</v>
      </c>
      <c r="L1170" s="9">
        <v>2446.0</v>
      </c>
      <c r="M1170" s="9">
        <v>888.0</v>
      </c>
      <c r="N1170" s="9">
        <v>784.0</v>
      </c>
      <c r="O1170" s="9">
        <v>774.0</v>
      </c>
      <c r="P1170" s="8" t="s">
        <v>3480</v>
      </c>
      <c r="Q1170" s="8" t="s">
        <v>9341</v>
      </c>
      <c r="R1170" s="8" t="s">
        <v>9342</v>
      </c>
    </row>
    <row r="1171">
      <c r="A1171" s="8" t="s">
        <v>1505</v>
      </c>
      <c r="B1171" s="8" t="s">
        <v>9343</v>
      </c>
      <c r="C1171" s="8" t="s">
        <v>6480</v>
      </c>
      <c r="D1171" s="9">
        <v>8.308547775E9</v>
      </c>
      <c r="E1171" s="8" t="s">
        <v>6481</v>
      </c>
      <c r="F1171" s="8" t="s">
        <v>3615</v>
      </c>
      <c r="G1171" s="8" t="s">
        <v>9344</v>
      </c>
      <c r="H1171" s="8" t="s">
        <v>3479</v>
      </c>
      <c r="I1171" s="9">
        <v>0.0</v>
      </c>
      <c r="J1171" s="9">
        <v>1659.0</v>
      </c>
      <c r="K1171" s="9">
        <v>1659.0</v>
      </c>
      <c r="L1171" s="9">
        <v>1659.0</v>
      </c>
      <c r="M1171" s="9">
        <v>426.0</v>
      </c>
      <c r="N1171" s="9">
        <v>784.0</v>
      </c>
      <c r="O1171" s="9">
        <v>449.0</v>
      </c>
      <c r="P1171" s="8" t="s">
        <v>3480</v>
      </c>
      <c r="Q1171" s="8"/>
      <c r="R1171" s="8"/>
    </row>
    <row r="1172">
      <c r="A1172" s="8" t="s">
        <v>675</v>
      </c>
      <c r="B1172" s="8" t="s">
        <v>9345</v>
      </c>
      <c r="C1172" s="8" t="s">
        <v>6086</v>
      </c>
      <c r="D1172" s="9">
        <v>9.039169632E9</v>
      </c>
      <c r="E1172" s="8" t="s">
        <v>9346</v>
      </c>
      <c r="F1172" s="8" t="s">
        <v>3589</v>
      </c>
      <c r="G1172" s="8" t="s">
        <v>9347</v>
      </c>
      <c r="H1172" s="8" t="s">
        <v>3479</v>
      </c>
      <c r="I1172" s="9">
        <v>0.0</v>
      </c>
      <c r="J1172" s="9">
        <v>1550.0</v>
      </c>
      <c r="K1172" s="9">
        <v>1550.0</v>
      </c>
      <c r="L1172" s="9">
        <v>1550.0</v>
      </c>
      <c r="M1172" s="9">
        <v>1550.0</v>
      </c>
      <c r="N1172" s="9">
        <v>0.0</v>
      </c>
      <c r="O1172" s="9">
        <v>0.0</v>
      </c>
      <c r="P1172" s="8" t="s">
        <v>3480</v>
      </c>
      <c r="Q1172" s="8" t="s">
        <v>9348</v>
      </c>
      <c r="R1172" s="8" t="s">
        <v>9349</v>
      </c>
    </row>
    <row r="1173">
      <c r="A1173" s="8" t="s">
        <v>1492</v>
      </c>
      <c r="B1173" s="8" t="s">
        <v>9350</v>
      </c>
      <c r="C1173" s="8" t="s">
        <v>9351</v>
      </c>
      <c r="D1173" s="9">
        <v>9.004140071E9</v>
      </c>
      <c r="E1173" s="8" t="s">
        <v>9352</v>
      </c>
      <c r="F1173" s="8" t="s">
        <v>3542</v>
      </c>
      <c r="G1173" s="8" t="s">
        <v>9353</v>
      </c>
      <c r="H1173" s="8" t="s">
        <v>3479</v>
      </c>
      <c r="I1173" s="9">
        <v>0.0</v>
      </c>
      <c r="J1173" s="9">
        <v>919.0</v>
      </c>
      <c r="K1173" s="9">
        <v>919.0</v>
      </c>
      <c r="L1173" s="9">
        <v>919.0</v>
      </c>
      <c r="M1173" s="9">
        <v>395.0</v>
      </c>
      <c r="N1173" s="9">
        <v>0.0</v>
      </c>
      <c r="O1173" s="9">
        <v>524.0</v>
      </c>
      <c r="P1173" s="8" t="s">
        <v>3480</v>
      </c>
      <c r="Q1173" s="8"/>
      <c r="R1173" s="8"/>
    </row>
    <row r="1174">
      <c r="A1174" s="8" t="s">
        <v>669</v>
      </c>
      <c r="B1174" s="8" t="s">
        <v>9354</v>
      </c>
      <c r="C1174" s="8" t="s">
        <v>9355</v>
      </c>
      <c r="D1174" s="9">
        <v>9.028406766E9</v>
      </c>
      <c r="E1174" s="8" t="s">
        <v>9356</v>
      </c>
      <c r="F1174" s="8" t="s">
        <v>4125</v>
      </c>
      <c r="G1174" s="8" t="s">
        <v>9357</v>
      </c>
      <c r="H1174" s="8" t="s">
        <v>3479</v>
      </c>
      <c r="I1174" s="9">
        <v>0.0</v>
      </c>
      <c r="J1174" s="9">
        <v>1954.0</v>
      </c>
      <c r="K1174" s="9">
        <v>1954.0</v>
      </c>
      <c r="L1174" s="9">
        <v>1954.0</v>
      </c>
      <c r="M1174" s="9">
        <v>135.0</v>
      </c>
      <c r="N1174" s="9">
        <v>1140.0</v>
      </c>
      <c r="O1174" s="9">
        <v>679.0</v>
      </c>
      <c r="P1174" s="8" t="s">
        <v>3480</v>
      </c>
      <c r="Q1174" s="8" t="s">
        <v>9358</v>
      </c>
      <c r="R1174" s="8" t="s">
        <v>9359</v>
      </c>
    </row>
    <row r="1175">
      <c r="A1175" s="8" t="s">
        <v>1607</v>
      </c>
      <c r="B1175" s="8" t="s">
        <v>9360</v>
      </c>
      <c r="C1175" s="8" t="s">
        <v>5753</v>
      </c>
      <c r="D1175" s="9">
        <v>9.7307749E9</v>
      </c>
      <c r="E1175" s="8" t="s">
        <v>9361</v>
      </c>
      <c r="F1175" s="8" t="s">
        <v>3542</v>
      </c>
      <c r="G1175" s="8" t="s">
        <v>9362</v>
      </c>
      <c r="H1175" s="8" t="s">
        <v>3479</v>
      </c>
      <c r="I1175" s="9">
        <v>0.0</v>
      </c>
      <c r="J1175" s="9">
        <v>1484.0</v>
      </c>
      <c r="K1175" s="9">
        <v>1484.0</v>
      </c>
      <c r="L1175" s="9">
        <v>1484.0</v>
      </c>
      <c r="M1175" s="9">
        <v>800.0</v>
      </c>
      <c r="N1175" s="9">
        <v>80.0</v>
      </c>
      <c r="O1175" s="9">
        <v>604.0</v>
      </c>
      <c r="P1175" s="8" t="s">
        <v>3480</v>
      </c>
      <c r="Q1175" s="8" t="s">
        <v>9363</v>
      </c>
      <c r="R1175" s="8"/>
    </row>
    <row r="1176">
      <c r="A1176" s="8" t="s">
        <v>1493</v>
      </c>
      <c r="B1176" s="8" t="s">
        <v>9364</v>
      </c>
      <c r="C1176" s="8" t="s">
        <v>9365</v>
      </c>
      <c r="D1176" s="9">
        <v>9.309733792E9</v>
      </c>
      <c r="E1176" s="8" t="s">
        <v>9366</v>
      </c>
      <c r="F1176" s="8" t="s">
        <v>3901</v>
      </c>
      <c r="G1176" s="8" t="s">
        <v>8347</v>
      </c>
      <c r="H1176" s="8" t="s">
        <v>3479</v>
      </c>
      <c r="I1176" s="9">
        <v>0.0</v>
      </c>
      <c r="J1176" s="9">
        <v>2026.0</v>
      </c>
      <c r="K1176" s="9">
        <v>2026.0</v>
      </c>
      <c r="L1176" s="9">
        <v>2026.0</v>
      </c>
      <c r="M1176" s="9">
        <v>643.0</v>
      </c>
      <c r="N1176" s="9">
        <v>784.0</v>
      </c>
      <c r="O1176" s="9">
        <v>599.0</v>
      </c>
      <c r="P1176" s="8" t="s">
        <v>3480</v>
      </c>
      <c r="Q1176" s="8" t="s">
        <v>9367</v>
      </c>
      <c r="R1176" s="8" t="s">
        <v>4241</v>
      </c>
    </row>
    <row r="1177">
      <c r="A1177" s="8" t="s">
        <v>1494</v>
      </c>
      <c r="B1177" s="8" t="s">
        <v>9368</v>
      </c>
      <c r="C1177" s="8" t="s">
        <v>9369</v>
      </c>
      <c r="D1177" s="9">
        <v>8.390072317E9</v>
      </c>
      <c r="E1177" s="8" t="s">
        <v>9370</v>
      </c>
      <c r="F1177" s="8" t="s">
        <v>3601</v>
      </c>
      <c r="G1177" s="8" t="s">
        <v>9371</v>
      </c>
      <c r="H1177" s="8" t="s">
        <v>3479</v>
      </c>
      <c r="I1177" s="9">
        <v>0.0</v>
      </c>
      <c r="J1177" s="9">
        <v>1633.0</v>
      </c>
      <c r="K1177" s="9">
        <v>1633.0</v>
      </c>
      <c r="L1177" s="9">
        <v>1633.0</v>
      </c>
      <c r="M1177" s="9">
        <v>445.0</v>
      </c>
      <c r="N1177" s="9">
        <v>739.0</v>
      </c>
      <c r="O1177" s="9">
        <v>449.0</v>
      </c>
      <c r="P1177" s="8" t="s">
        <v>3480</v>
      </c>
      <c r="Q1177" s="8" t="s">
        <v>9372</v>
      </c>
      <c r="R1177" s="8" t="s">
        <v>9373</v>
      </c>
    </row>
    <row r="1178">
      <c r="A1178" s="8" t="s">
        <v>1495</v>
      </c>
      <c r="B1178" s="8" t="s">
        <v>9374</v>
      </c>
      <c r="C1178" s="8" t="s">
        <v>9375</v>
      </c>
      <c r="D1178" s="9">
        <v>8.551833133E9</v>
      </c>
      <c r="E1178" s="8" t="s">
        <v>9376</v>
      </c>
      <c r="F1178" s="8" t="s">
        <v>3550</v>
      </c>
      <c r="G1178" s="8" t="s">
        <v>9377</v>
      </c>
      <c r="H1178" s="8" t="s">
        <v>3479</v>
      </c>
      <c r="I1178" s="9">
        <v>0.0</v>
      </c>
      <c r="J1178" s="9">
        <v>569.0</v>
      </c>
      <c r="K1178" s="9">
        <v>569.0</v>
      </c>
      <c r="L1178" s="9">
        <v>569.0</v>
      </c>
      <c r="M1178" s="9">
        <v>120.0</v>
      </c>
      <c r="N1178" s="9">
        <v>0.0</v>
      </c>
      <c r="O1178" s="9">
        <v>449.0</v>
      </c>
      <c r="P1178" s="8" t="s">
        <v>3480</v>
      </c>
      <c r="Q1178" s="8"/>
      <c r="R1178" s="8"/>
    </row>
    <row r="1179">
      <c r="A1179" s="8" t="s">
        <v>1496</v>
      </c>
      <c r="B1179" s="8" t="s">
        <v>9378</v>
      </c>
      <c r="C1179" s="8" t="s">
        <v>9379</v>
      </c>
      <c r="D1179" s="9">
        <v>7.038323363E9</v>
      </c>
      <c r="E1179" s="8" t="s">
        <v>9380</v>
      </c>
      <c r="F1179" s="8" t="s">
        <v>3658</v>
      </c>
      <c r="G1179" s="8" t="s">
        <v>9381</v>
      </c>
      <c r="H1179" s="8" t="s">
        <v>3479</v>
      </c>
      <c r="I1179" s="9">
        <v>0.0</v>
      </c>
      <c r="J1179" s="9">
        <v>2483.0</v>
      </c>
      <c r="K1179" s="9">
        <v>2483.0</v>
      </c>
      <c r="L1179" s="9">
        <v>2483.0</v>
      </c>
      <c r="M1179" s="9">
        <v>1250.0</v>
      </c>
      <c r="N1179" s="9">
        <v>784.0</v>
      </c>
      <c r="O1179" s="9">
        <v>449.0</v>
      </c>
      <c r="P1179" s="8" t="s">
        <v>3480</v>
      </c>
      <c r="Q1179" s="8" t="s">
        <v>9382</v>
      </c>
      <c r="R1179" s="8" t="s">
        <v>9383</v>
      </c>
    </row>
    <row r="1180">
      <c r="A1180" s="8" t="s">
        <v>674</v>
      </c>
      <c r="B1180" s="8" t="s">
        <v>9384</v>
      </c>
      <c r="C1180" s="8" t="s">
        <v>9385</v>
      </c>
      <c r="D1180" s="9">
        <v>9.911092741E9</v>
      </c>
      <c r="E1180" s="8" t="s">
        <v>9386</v>
      </c>
      <c r="F1180" s="8" t="s">
        <v>3993</v>
      </c>
      <c r="G1180" s="8" t="s">
        <v>9387</v>
      </c>
      <c r="H1180" s="8" t="s">
        <v>3479</v>
      </c>
      <c r="I1180" s="9">
        <v>0.0</v>
      </c>
      <c r="J1180" s="9">
        <v>2212.0</v>
      </c>
      <c r="K1180" s="9">
        <v>2212.0</v>
      </c>
      <c r="L1180" s="9">
        <v>2212.0</v>
      </c>
      <c r="M1180" s="9">
        <v>623.0</v>
      </c>
      <c r="N1180" s="9">
        <v>715.0</v>
      </c>
      <c r="O1180" s="9">
        <v>874.0</v>
      </c>
      <c r="P1180" s="8" t="s">
        <v>3544</v>
      </c>
      <c r="Q1180" s="8" t="s">
        <v>9388</v>
      </c>
      <c r="R1180" s="8"/>
    </row>
    <row r="1181">
      <c r="A1181" s="8" t="s">
        <v>1597</v>
      </c>
      <c r="B1181" s="8" t="s">
        <v>9389</v>
      </c>
      <c r="C1181" s="8" t="s">
        <v>9390</v>
      </c>
      <c r="D1181" s="9">
        <v>9.833238285E9</v>
      </c>
      <c r="E1181" s="8" t="s">
        <v>9391</v>
      </c>
      <c r="F1181" s="8" t="s">
        <v>3934</v>
      </c>
      <c r="G1181" s="8" t="s">
        <v>9392</v>
      </c>
      <c r="H1181" s="8" t="s">
        <v>3479</v>
      </c>
      <c r="I1181" s="9">
        <v>0.0</v>
      </c>
      <c r="J1181" s="9">
        <v>1765.0</v>
      </c>
      <c r="K1181" s="9">
        <v>1765.0</v>
      </c>
      <c r="L1181" s="9">
        <v>1765.0</v>
      </c>
      <c r="M1181" s="9">
        <v>586.0</v>
      </c>
      <c r="N1181" s="9">
        <v>730.0</v>
      </c>
      <c r="O1181" s="9">
        <v>449.0</v>
      </c>
      <c r="P1181" s="8" t="s">
        <v>3544</v>
      </c>
      <c r="Q1181" s="8" t="s">
        <v>9393</v>
      </c>
      <c r="R1181" s="8" t="s">
        <v>9394</v>
      </c>
    </row>
    <row r="1182">
      <c r="A1182" s="8" t="s">
        <v>1595</v>
      </c>
      <c r="B1182" s="8" t="s">
        <v>9395</v>
      </c>
      <c r="C1182" s="8" t="s">
        <v>9396</v>
      </c>
      <c r="D1182" s="9">
        <v>8.805711978E9</v>
      </c>
      <c r="E1182" s="8" t="s">
        <v>9397</v>
      </c>
      <c r="F1182" s="8" t="s">
        <v>3594</v>
      </c>
      <c r="G1182" s="8" t="s">
        <v>9398</v>
      </c>
      <c r="H1182" s="8" t="s">
        <v>3479</v>
      </c>
      <c r="I1182" s="9">
        <v>0.0</v>
      </c>
      <c r="J1182" s="9">
        <v>1421.0</v>
      </c>
      <c r="K1182" s="9">
        <v>1421.0</v>
      </c>
      <c r="L1182" s="9">
        <v>1421.0</v>
      </c>
      <c r="M1182" s="9">
        <v>233.0</v>
      </c>
      <c r="N1182" s="9">
        <v>739.0</v>
      </c>
      <c r="O1182" s="9">
        <v>449.0</v>
      </c>
      <c r="P1182" s="8" t="s">
        <v>3480</v>
      </c>
      <c r="Q1182" s="8" t="s">
        <v>9399</v>
      </c>
      <c r="R1182" s="8" t="s">
        <v>9400</v>
      </c>
    </row>
    <row r="1183">
      <c r="A1183" s="8" t="s">
        <v>676</v>
      </c>
      <c r="B1183" s="8" t="s">
        <v>9401</v>
      </c>
      <c r="C1183" s="8" t="s">
        <v>5291</v>
      </c>
      <c r="D1183" s="9">
        <v>9.423826423E9</v>
      </c>
      <c r="E1183" s="8" t="s">
        <v>5292</v>
      </c>
      <c r="F1183" s="8" t="s">
        <v>3523</v>
      </c>
      <c r="G1183" s="8" t="s">
        <v>9402</v>
      </c>
      <c r="H1183" s="8" t="s">
        <v>3479</v>
      </c>
      <c r="I1183" s="9">
        <v>0.0</v>
      </c>
      <c r="J1183" s="9">
        <v>1724.0</v>
      </c>
      <c r="K1183" s="9">
        <v>1724.0</v>
      </c>
      <c r="L1183" s="9">
        <v>1724.0</v>
      </c>
      <c r="M1183" s="9">
        <v>470.0</v>
      </c>
      <c r="N1183" s="9">
        <v>730.0</v>
      </c>
      <c r="O1183" s="9">
        <v>524.0</v>
      </c>
      <c r="P1183" s="8" t="s">
        <v>3480</v>
      </c>
      <c r="Q1183" s="8" t="s">
        <v>5294</v>
      </c>
      <c r="R1183" s="8"/>
    </row>
    <row r="1184">
      <c r="A1184" s="8" t="s">
        <v>1622</v>
      </c>
      <c r="B1184" s="8" t="s">
        <v>9403</v>
      </c>
      <c r="C1184" s="8" t="s">
        <v>9404</v>
      </c>
      <c r="D1184" s="9">
        <v>9.730658517E9</v>
      </c>
      <c r="E1184" s="8" t="s">
        <v>9405</v>
      </c>
      <c r="F1184" s="8" t="s">
        <v>9406</v>
      </c>
      <c r="G1184" s="8" t="s">
        <v>9407</v>
      </c>
      <c r="H1184" s="8" t="s">
        <v>3479</v>
      </c>
      <c r="I1184" s="9">
        <v>0.0</v>
      </c>
      <c r="J1184" s="9">
        <v>1463.0</v>
      </c>
      <c r="K1184" s="9">
        <v>1463.0</v>
      </c>
      <c r="L1184" s="9">
        <v>1463.0</v>
      </c>
      <c r="M1184" s="9">
        <v>80.0</v>
      </c>
      <c r="N1184" s="9">
        <v>784.0</v>
      </c>
      <c r="O1184" s="9">
        <v>599.0</v>
      </c>
      <c r="P1184" s="8" t="s">
        <v>3480</v>
      </c>
      <c r="Q1184" s="8" t="s">
        <v>9408</v>
      </c>
      <c r="R1184" s="8" t="s">
        <v>9409</v>
      </c>
    </row>
    <row r="1185">
      <c r="A1185" s="8" t="s">
        <v>1634</v>
      </c>
      <c r="B1185" s="8" t="s">
        <v>9410</v>
      </c>
      <c r="C1185" s="8" t="s">
        <v>9109</v>
      </c>
      <c r="D1185" s="9">
        <v>7.588437919E9</v>
      </c>
      <c r="E1185" s="8" t="s">
        <v>9110</v>
      </c>
      <c r="F1185" s="8" t="s">
        <v>3821</v>
      </c>
      <c r="G1185" s="8" t="s">
        <v>9411</v>
      </c>
      <c r="H1185" s="8" t="s">
        <v>3479</v>
      </c>
      <c r="I1185" s="9">
        <v>0.0</v>
      </c>
      <c r="J1185" s="9">
        <v>1250.0</v>
      </c>
      <c r="K1185" s="9">
        <v>1250.0</v>
      </c>
      <c r="L1185" s="9">
        <v>1250.0</v>
      </c>
      <c r="M1185" s="9">
        <v>1250.0</v>
      </c>
      <c r="N1185" s="9">
        <v>0.0</v>
      </c>
      <c r="O1185" s="9">
        <v>0.0</v>
      </c>
      <c r="P1185" s="8" t="s">
        <v>3480</v>
      </c>
      <c r="Q1185" s="8" t="s">
        <v>9112</v>
      </c>
      <c r="R1185" s="8" t="s">
        <v>9113</v>
      </c>
    </row>
    <row r="1186">
      <c r="A1186" s="8" t="s">
        <v>1598</v>
      </c>
      <c r="B1186" s="8" t="s">
        <v>9412</v>
      </c>
      <c r="C1186" s="8" t="s">
        <v>9413</v>
      </c>
      <c r="D1186" s="9">
        <v>9.130833396E9</v>
      </c>
      <c r="E1186" s="8" t="s">
        <v>9414</v>
      </c>
      <c r="F1186" s="8" t="s">
        <v>3665</v>
      </c>
      <c r="G1186" s="8" t="s">
        <v>9415</v>
      </c>
      <c r="H1186" s="8" t="s">
        <v>3479</v>
      </c>
      <c r="I1186" s="9">
        <v>0.0</v>
      </c>
      <c r="J1186" s="9">
        <v>1991.0</v>
      </c>
      <c r="K1186" s="9">
        <v>1991.0</v>
      </c>
      <c r="L1186" s="9">
        <v>1991.0</v>
      </c>
      <c r="M1186" s="9">
        <v>540.0</v>
      </c>
      <c r="N1186" s="9">
        <v>377.0</v>
      </c>
      <c r="O1186" s="9">
        <v>1074.0</v>
      </c>
      <c r="P1186" s="8" t="s">
        <v>3480</v>
      </c>
      <c r="Q1186" s="8" t="s">
        <v>9416</v>
      </c>
      <c r="R1186" s="8" t="s">
        <v>9417</v>
      </c>
    </row>
    <row r="1187">
      <c r="A1187" s="8" t="s">
        <v>1648</v>
      </c>
      <c r="B1187" s="8" t="s">
        <v>9418</v>
      </c>
      <c r="C1187" s="8" t="s">
        <v>7308</v>
      </c>
      <c r="D1187" s="9">
        <v>8.446645375E9</v>
      </c>
      <c r="E1187" s="8" t="s">
        <v>7309</v>
      </c>
      <c r="F1187" s="8" t="s">
        <v>3828</v>
      </c>
      <c r="G1187" s="8" t="s">
        <v>9419</v>
      </c>
      <c r="H1187" s="8" t="s">
        <v>3479</v>
      </c>
      <c r="I1187" s="9">
        <v>0.0</v>
      </c>
      <c r="J1187" s="9">
        <v>1423.0</v>
      </c>
      <c r="K1187" s="9">
        <v>1423.0</v>
      </c>
      <c r="L1187" s="9">
        <v>1423.0</v>
      </c>
      <c r="M1187" s="9">
        <v>190.0</v>
      </c>
      <c r="N1187" s="9">
        <v>784.0</v>
      </c>
      <c r="O1187" s="9">
        <v>449.0</v>
      </c>
      <c r="P1187" s="8" t="s">
        <v>3480</v>
      </c>
      <c r="Q1187" s="8" t="s">
        <v>7311</v>
      </c>
      <c r="R1187" s="8" t="s">
        <v>7312</v>
      </c>
    </row>
    <row r="1188">
      <c r="A1188" s="8" t="s">
        <v>1596</v>
      </c>
      <c r="B1188" s="8" t="s">
        <v>9420</v>
      </c>
      <c r="C1188" s="8" t="s">
        <v>9421</v>
      </c>
      <c r="D1188" s="9">
        <v>7.397977452E9</v>
      </c>
      <c r="E1188" s="8" t="s">
        <v>9422</v>
      </c>
      <c r="F1188" s="8" t="s">
        <v>4089</v>
      </c>
      <c r="G1188" s="8" t="s">
        <v>9423</v>
      </c>
      <c r="H1188" s="8" t="s">
        <v>3479</v>
      </c>
      <c r="I1188" s="9">
        <v>0.0</v>
      </c>
      <c r="J1188" s="9">
        <v>1019.0</v>
      </c>
      <c r="K1188" s="9">
        <v>1019.0</v>
      </c>
      <c r="L1188" s="9">
        <v>1019.0</v>
      </c>
      <c r="M1188" s="9">
        <v>80.0</v>
      </c>
      <c r="N1188" s="9">
        <v>190.0</v>
      </c>
      <c r="O1188" s="9">
        <v>749.0</v>
      </c>
      <c r="P1188" s="8" t="s">
        <v>3480</v>
      </c>
      <c r="Q1188" s="8" t="s">
        <v>9424</v>
      </c>
      <c r="R1188" s="8" t="s">
        <v>9425</v>
      </c>
    </row>
    <row r="1189">
      <c r="A1189" s="8" t="s">
        <v>1682</v>
      </c>
      <c r="B1189" s="8" t="s">
        <v>9426</v>
      </c>
      <c r="C1189" s="8" t="s">
        <v>9427</v>
      </c>
      <c r="D1189" s="9">
        <v>9.607595666E9</v>
      </c>
      <c r="E1189" s="8" t="s">
        <v>9428</v>
      </c>
      <c r="F1189" s="8" t="s">
        <v>3934</v>
      </c>
      <c r="G1189" s="8" t="s">
        <v>3494</v>
      </c>
      <c r="H1189" s="8" t="s">
        <v>3479</v>
      </c>
      <c r="I1189" s="9">
        <v>0.0</v>
      </c>
      <c r="J1189" s="9">
        <v>758.0</v>
      </c>
      <c r="K1189" s="9">
        <v>758.0</v>
      </c>
      <c r="L1189" s="9">
        <v>758.0</v>
      </c>
      <c r="M1189" s="9">
        <v>383.0</v>
      </c>
      <c r="N1189" s="9">
        <v>0.0</v>
      </c>
      <c r="O1189" s="9">
        <v>375.0</v>
      </c>
      <c r="P1189" s="8" t="s">
        <v>3480</v>
      </c>
      <c r="Q1189" s="8"/>
      <c r="R1189" s="8"/>
    </row>
    <row r="1190">
      <c r="A1190" s="8" t="s">
        <v>1674</v>
      </c>
      <c r="B1190" s="8" t="s">
        <v>9429</v>
      </c>
      <c r="C1190" s="8" t="s">
        <v>6513</v>
      </c>
      <c r="D1190" s="9">
        <v>7.020046714E9</v>
      </c>
      <c r="E1190" s="8" t="s">
        <v>6514</v>
      </c>
      <c r="F1190" s="8" t="s">
        <v>6515</v>
      </c>
      <c r="G1190" s="8" t="s">
        <v>9430</v>
      </c>
      <c r="H1190" s="8" t="s">
        <v>3479</v>
      </c>
      <c r="I1190" s="9">
        <v>0.0</v>
      </c>
      <c r="J1190" s="9">
        <v>1653.0</v>
      </c>
      <c r="K1190" s="9">
        <v>1653.0</v>
      </c>
      <c r="L1190" s="9">
        <v>1653.0</v>
      </c>
      <c r="M1190" s="9">
        <v>80.0</v>
      </c>
      <c r="N1190" s="9">
        <v>774.0</v>
      </c>
      <c r="O1190" s="9">
        <v>799.0</v>
      </c>
      <c r="P1190" s="8" t="s">
        <v>3544</v>
      </c>
      <c r="Q1190" s="8"/>
      <c r="R1190" s="8"/>
    </row>
    <row r="1191">
      <c r="A1191" s="8" t="s">
        <v>1684</v>
      </c>
      <c r="B1191" s="8" t="s">
        <v>9431</v>
      </c>
      <c r="C1191" s="8" t="s">
        <v>9432</v>
      </c>
      <c r="D1191" s="9">
        <v>7.218658827E9</v>
      </c>
      <c r="E1191" s="8" t="s">
        <v>9433</v>
      </c>
      <c r="F1191" s="8" t="s">
        <v>3714</v>
      </c>
      <c r="G1191" s="8" t="s">
        <v>9434</v>
      </c>
      <c r="H1191" s="8" t="s">
        <v>3479</v>
      </c>
      <c r="I1191" s="9">
        <v>0.0</v>
      </c>
      <c r="J1191" s="9">
        <v>1427.0</v>
      </c>
      <c r="K1191" s="9">
        <v>1427.0</v>
      </c>
      <c r="L1191" s="9">
        <v>1427.0</v>
      </c>
      <c r="M1191" s="9">
        <v>1027.0</v>
      </c>
      <c r="N1191" s="9">
        <v>0.0</v>
      </c>
      <c r="O1191" s="9">
        <v>400.0</v>
      </c>
      <c r="P1191" s="8" t="s">
        <v>3519</v>
      </c>
      <c r="Q1191" s="8" t="s">
        <v>9435</v>
      </c>
      <c r="R1191" s="8" t="s">
        <v>9436</v>
      </c>
    </row>
    <row r="1192">
      <c r="A1192" s="8" t="s">
        <v>1675</v>
      </c>
      <c r="B1192" s="8" t="s">
        <v>9437</v>
      </c>
      <c r="C1192" s="8" t="s">
        <v>9438</v>
      </c>
      <c r="D1192" s="9">
        <v>9.503386462E9</v>
      </c>
      <c r="E1192" s="8" t="s">
        <v>9439</v>
      </c>
      <c r="F1192" s="8" t="s">
        <v>6585</v>
      </c>
      <c r="G1192" s="8" t="s">
        <v>3494</v>
      </c>
      <c r="H1192" s="8" t="s">
        <v>3479</v>
      </c>
      <c r="I1192" s="9">
        <v>0.0</v>
      </c>
      <c r="J1192" s="9">
        <v>1374.0</v>
      </c>
      <c r="K1192" s="9">
        <v>1374.0</v>
      </c>
      <c r="L1192" s="9">
        <v>1374.0</v>
      </c>
      <c r="M1192" s="9">
        <v>435.0</v>
      </c>
      <c r="N1192" s="9">
        <v>190.0</v>
      </c>
      <c r="O1192" s="9">
        <v>749.0</v>
      </c>
      <c r="P1192" s="8" t="s">
        <v>3480</v>
      </c>
      <c r="Q1192" s="8" t="s">
        <v>4381</v>
      </c>
      <c r="R1192" s="8" t="s">
        <v>9440</v>
      </c>
    </row>
    <row r="1193">
      <c r="A1193" s="8" t="s">
        <v>1676</v>
      </c>
      <c r="B1193" s="8" t="s">
        <v>9441</v>
      </c>
      <c r="C1193" s="8" t="s">
        <v>9442</v>
      </c>
      <c r="D1193" s="9">
        <v>8.308974699E9</v>
      </c>
      <c r="E1193" s="8" t="s">
        <v>9443</v>
      </c>
      <c r="F1193" s="8" t="s">
        <v>5831</v>
      </c>
      <c r="G1193" s="8" t="s">
        <v>9444</v>
      </c>
      <c r="H1193" s="8" t="s">
        <v>3479</v>
      </c>
      <c r="I1193" s="9">
        <v>0.0</v>
      </c>
      <c r="J1193" s="9">
        <v>1950.0</v>
      </c>
      <c r="K1193" s="9">
        <v>1950.0</v>
      </c>
      <c r="L1193" s="9">
        <v>1950.0</v>
      </c>
      <c r="M1193" s="9">
        <v>745.0</v>
      </c>
      <c r="N1193" s="9">
        <v>65.0</v>
      </c>
      <c r="O1193" s="9">
        <v>1140.0</v>
      </c>
      <c r="P1193" s="8" t="s">
        <v>3480</v>
      </c>
      <c r="Q1193" s="8"/>
      <c r="R1193" s="8"/>
    </row>
    <row r="1194">
      <c r="A1194" s="8" t="s">
        <v>1599</v>
      </c>
      <c r="B1194" s="8" t="s">
        <v>9445</v>
      </c>
      <c r="C1194" s="8" t="s">
        <v>9446</v>
      </c>
      <c r="D1194" s="9">
        <v>9.767099744E9</v>
      </c>
      <c r="E1194" s="8" t="s">
        <v>9447</v>
      </c>
      <c r="F1194" s="8" t="s">
        <v>3608</v>
      </c>
      <c r="G1194" s="8" t="s">
        <v>9448</v>
      </c>
      <c r="H1194" s="8" t="s">
        <v>3479</v>
      </c>
      <c r="I1194" s="9">
        <v>0.0</v>
      </c>
      <c r="J1194" s="9">
        <v>1268.0</v>
      </c>
      <c r="K1194" s="9">
        <v>1268.0</v>
      </c>
      <c r="L1194" s="9">
        <v>1268.0</v>
      </c>
      <c r="M1194" s="9">
        <v>80.0</v>
      </c>
      <c r="N1194" s="9">
        <v>739.0</v>
      </c>
      <c r="O1194" s="9">
        <v>449.0</v>
      </c>
      <c r="P1194" s="8" t="s">
        <v>3480</v>
      </c>
      <c r="Q1194" s="8" t="s">
        <v>9449</v>
      </c>
      <c r="R1194" s="8" t="s">
        <v>9450</v>
      </c>
    </row>
    <row r="1195">
      <c r="A1195" s="8" t="s">
        <v>1600</v>
      </c>
      <c r="B1195" s="8" t="s">
        <v>9451</v>
      </c>
      <c r="C1195" s="8" t="s">
        <v>9452</v>
      </c>
      <c r="D1195" s="9">
        <v>8.888845573E9</v>
      </c>
      <c r="E1195" s="8" t="s">
        <v>9453</v>
      </c>
      <c r="F1195" s="8" t="s">
        <v>3608</v>
      </c>
      <c r="G1195" s="8" t="s">
        <v>9454</v>
      </c>
      <c r="H1195" s="8" t="s">
        <v>3479</v>
      </c>
      <c r="I1195" s="9">
        <v>0.0</v>
      </c>
      <c r="J1195" s="9">
        <v>3251.0</v>
      </c>
      <c r="K1195" s="9">
        <v>3251.0</v>
      </c>
      <c r="L1195" s="9">
        <v>3251.0</v>
      </c>
      <c r="M1195" s="9">
        <v>1688.0</v>
      </c>
      <c r="N1195" s="9">
        <v>739.0</v>
      </c>
      <c r="O1195" s="9">
        <v>824.0</v>
      </c>
      <c r="P1195" s="8" t="s">
        <v>3480</v>
      </c>
      <c r="Q1195" s="8" t="s">
        <v>9455</v>
      </c>
      <c r="R1195" s="8" t="s">
        <v>9456</v>
      </c>
    </row>
    <row r="1196">
      <c r="A1196" s="8" t="s">
        <v>1661</v>
      </c>
      <c r="B1196" s="8" t="s">
        <v>9457</v>
      </c>
      <c r="C1196" s="8" t="s">
        <v>9458</v>
      </c>
      <c r="D1196" s="9">
        <v>9.822525596E9</v>
      </c>
      <c r="E1196" s="8" t="s">
        <v>9459</v>
      </c>
      <c r="F1196" s="8" t="s">
        <v>3721</v>
      </c>
      <c r="G1196" s="8" t="s">
        <v>9460</v>
      </c>
      <c r="H1196" s="8" t="s">
        <v>3479</v>
      </c>
      <c r="I1196" s="9">
        <v>0.0</v>
      </c>
      <c r="J1196" s="9">
        <v>1835.0</v>
      </c>
      <c r="K1196" s="9">
        <v>1835.0</v>
      </c>
      <c r="L1196" s="9">
        <v>1835.0</v>
      </c>
      <c r="M1196" s="9">
        <v>1585.0</v>
      </c>
      <c r="N1196" s="9">
        <v>0.0</v>
      </c>
      <c r="O1196" s="9">
        <v>250.0</v>
      </c>
      <c r="P1196" s="8" t="s">
        <v>3519</v>
      </c>
      <c r="Q1196" s="8"/>
      <c r="R1196" s="8"/>
    </row>
    <row r="1197">
      <c r="A1197" s="8" t="s">
        <v>1602</v>
      </c>
      <c r="B1197" s="8" t="s">
        <v>9461</v>
      </c>
      <c r="C1197" s="8" t="s">
        <v>9462</v>
      </c>
      <c r="D1197" s="9">
        <v>9.822106552E9</v>
      </c>
      <c r="E1197" s="8" t="s">
        <v>9463</v>
      </c>
      <c r="F1197" s="8" t="s">
        <v>3542</v>
      </c>
      <c r="G1197" s="8" t="s">
        <v>9464</v>
      </c>
      <c r="H1197" s="8" t="s">
        <v>3479</v>
      </c>
      <c r="I1197" s="9">
        <v>0.0</v>
      </c>
      <c r="J1197" s="9">
        <v>1771.0</v>
      </c>
      <c r="K1197" s="9">
        <v>1771.0</v>
      </c>
      <c r="L1197" s="9">
        <v>1771.0</v>
      </c>
      <c r="M1197" s="9">
        <v>450.0</v>
      </c>
      <c r="N1197" s="9">
        <v>717.0</v>
      </c>
      <c r="O1197" s="9">
        <v>604.0</v>
      </c>
      <c r="P1197" s="8" t="s">
        <v>3480</v>
      </c>
      <c r="Q1197" s="8"/>
      <c r="R1197" s="8" t="s">
        <v>9465</v>
      </c>
    </row>
    <row r="1198">
      <c r="A1198" s="8" t="s">
        <v>1603</v>
      </c>
      <c r="B1198" s="8" t="s">
        <v>9466</v>
      </c>
      <c r="C1198" s="8" t="s">
        <v>9467</v>
      </c>
      <c r="D1198" s="9">
        <v>8.149555665E9</v>
      </c>
      <c r="E1198" s="8" t="s">
        <v>9468</v>
      </c>
      <c r="F1198" s="8" t="s">
        <v>3523</v>
      </c>
      <c r="G1198" s="8" t="s">
        <v>9469</v>
      </c>
      <c r="H1198" s="8" t="s">
        <v>3479</v>
      </c>
      <c r="I1198" s="9">
        <v>0.0</v>
      </c>
      <c r="J1198" s="9">
        <v>1576.0</v>
      </c>
      <c r="K1198" s="9">
        <v>1576.0</v>
      </c>
      <c r="L1198" s="9">
        <v>1576.0</v>
      </c>
      <c r="M1198" s="9">
        <v>335.0</v>
      </c>
      <c r="N1198" s="9">
        <v>717.0</v>
      </c>
      <c r="O1198" s="9">
        <v>524.0</v>
      </c>
      <c r="P1198" s="8" t="s">
        <v>3480</v>
      </c>
      <c r="Q1198" s="8" t="s">
        <v>9470</v>
      </c>
      <c r="R1198" s="8" t="s">
        <v>9471</v>
      </c>
    </row>
    <row r="1199">
      <c r="A1199" s="8" t="s">
        <v>1604</v>
      </c>
      <c r="B1199" s="8" t="s">
        <v>9472</v>
      </c>
      <c r="C1199" s="8" t="s">
        <v>5177</v>
      </c>
      <c r="D1199" s="9">
        <v>9.20966554E9</v>
      </c>
      <c r="E1199" s="8" t="s">
        <v>9473</v>
      </c>
      <c r="F1199" s="8" t="s">
        <v>9255</v>
      </c>
      <c r="G1199" s="8" t="s">
        <v>9474</v>
      </c>
      <c r="H1199" s="8" t="s">
        <v>3479</v>
      </c>
      <c r="I1199" s="9">
        <v>0.0</v>
      </c>
      <c r="J1199" s="9">
        <v>1984.0</v>
      </c>
      <c r="K1199" s="9">
        <v>1984.0</v>
      </c>
      <c r="L1199" s="9">
        <v>1984.0</v>
      </c>
      <c r="M1199" s="9">
        <v>796.0</v>
      </c>
      <c r="N1199" s="9">
        <v>739.0</v>
      </c>
      <c r="O1199" s="9">
        <v>449.0</v>
      </c>
      <c r="P1199" s="8" t="s">
        <v>3519</v>
      </c>
      <c r="Q1199" s="8" t="s">
        <v>9475</v>
      </c>
      <c r="R1199" s="8" t="s">
        <v>9476</v>
      </c>
    </row>
    <row r="1200">
      <c r="A1200" s="8" t="s">
        <v>1683</v>
      </c>
      <c r="B1200" s="8" t="s">
        <v>9477</v>
      </c>
      <c r="C1200" s="8" t="s">
        <v>9478</v>
      </c>
      <c r="D1200" s="9">
        <v>7.843061236E9</v>
      </c>
      <c r="E1200" s="8" t="s">
        <v>9479</v>
      </c>
      <c r="F1200" s="8" t="s">
        <v>3721</v>
      </c>
      <c r="G1200" s="8" t="s">
        <v>9480</v>
      </c>
      <c r="H1200" s="8" t="s">
        <v>3479</v>
      </c>
      <c r="I1200" s="9">
        <v>0.0</v>
      </c>
      <c r="J1200" s="9">
        <v>515.0</v>
      </c>
      <c r="K1200" s="9">
        <v>515.0</v>
      </c>
      <c r="L1200" s="9">
        <v>515.0</v>
      </c>
      <c r="M1200" s="9">
        <v>515.0</v>
      </c>
      <c r="N1200" s="9">
        <v>0.0</v>
      </c>
      <c r="O1200" s="9">
        <v>0.0</v>
      </c>
      <c r="P1200" s="8" t="s">
        <v>3480</v>
      </c>
      <c r="Q1200" s="8" t="s">
        <v>9481</v>
      </c>
      <c r="R1200" s="8" t="s">
        <v>9482</v>
      </c>
    </row>
    <row r="1201">
      <c r="A1201" s="8" t="s">
        <v>1601</v>
      </c>
      <c r="B1201" s="8" t="s">
        <v>9483</v>
      </c>
      <c r="C1201" s="8" t="s">
        <v>9484</v>
      </c>
      <c r="D1201" s="9">
        <v>8.839950154E9</v>
      </c>
      <c r="E1201" s="8" t="s">
        <v>9485</v>
      </c>
      <c r="F1201" s="8" t="s">
        <v>3498</v>
      </c>
      <c r="G1201" s="8" t="s">
        <v>9486</v>
      </c>
      <c r="H1201" s="8" t="s">
        <v>9487</v>
      </c>
      <c r="I1201" s="9">
        <v>0.0</v>
      </c>
      <c r="J1201" s="9">
        <v>2400.0</v>
      </c>
      <c r="K1201" s="9">
        <v>2446.0</v>
      </c>
      <c r="L1201" s="9">
        <v>2400.0</v>
      </c>
      <c r="M1201" s="9">
        <v>1192.0</v>
      </c>
      <c r="N1201" s="9">
        <v>730.0</v>
      </c>
      <c r="O1201" s="9">
        <v>524.0</v>
      </c>
      <c r="P1201" s="8" t="s">
        <v>3480</v>
      </c>
      <c r="Q1201" s="8" t="s">
        <v>4241</v>
      </c>
      <c r="R1201" s="8" t="s">
        <v>7521</v>
      </c>
    </row>
    <row r="1202">
      <c r="A1202" s="8" t="s">
        <v>1606</v>
      </c>
      <c r="B1202" s="8" t="s">
        <v>9488</v>
      </c>
      <c r="C1202" s="8" t="s">
        <v>9489</v>
      </c>
      <c r="D1202" s="9">
        <v>9.146526026E9</v>
      </c>
      <c r="E1202" s="8" t="s">
        <v>9490</v>
      </c>
      <c r="F1202" s="8" t="s">
        <v>3550</v>
      </c>
      <c r="G1202" s="8" t="s">
        <v>9491</v>
      </c>
      <c r="H1202" s="8" t="s">
        <v>3479</v>
      </c>
      <c r="I1202" s="9">
        <v>0.0</v>
      </c>
      <c r="J1202" s="9">
        <v>10131.0</v>
      </c>
      <c r="K1202" s="9">
        <v>10131.0</v>
      </c>
      <c r="L1202" s="9">
        <v>10131.0</v>
      </c>
      <c r="M1202" s="9">
        <v>4846.0</v>
      </c>
      <c r="N1202" s="9">
        <v>510.0</v>
      </c>
      <c r="O1202" s="9">
        <v>4775.0</v>
      </c>
      <c r="P1202" s="8" t="s">
        <v>3480</v>
      </c>
      <c r="Q1202" s="8" t="s">
        <v>9492</v>
      </c>
      <c r="R1202" s="8" t="s">
        <v>9493</v>
      </c>
    </row>
    <row r="1203">
      <c r="A1203" s="8" t="s">
        <v>84</v>
      </c>
      <c r="B1203" s="8" t="s">
        <v>9494</v>
      </c>
      <c r="C1203" s="8" t="s">
        <v>9495</v>
      </c>
      <c r="D1203" s="9">
        <v>9.930466496E9</v>
      </c>
      <c r="E1203" s="8" t="s">
        <v>9496</v>
      </c>
      <c r="F1203" s="8" t="s">
        <v>4966</v>
      </c>
      <c r="G1203" s="8" t="s">
        <v>9497</v>
      </c>
      <c r="H1203" s="8" t="s">
        <v>3479</v>
      </c>
      <c r="I1203" s="9">
        <v>0.0</v>
      </c>
      <c r="J1203" s="9">
        <v>1679.0</v>
      </c>
      <c r="K1203" s="9">
        <v>1679.0</v>
      </c>
      <c r="L1203" s="9">
        <v>1679.0</v>
      </c>
      <c r="M1203" s="9">
        <v>80.0</v>
      </c>
      <c r="N1203" s="9">
        <v>900.0</v>
      </c>
      <c r="O1203" s="9">
        <v>699.0</v>
      </c>
      <c r="P1203" s="8" t="s">
        <v>3480</v>
      </c>
      <c r="Q1203" s="8" t="s">
        <v>9498</v>
      </c>
      <c r="R1203" s="8"/>
    </row>
    <row r="1204">
      <c r="A1204" s="8" t="s">
        <v>1605</v>
      </c>
      <c r="B1204" s="8" t="s">
        <v>9499</v>
      </c>
      <c r="C1204" s="8" t="s">
        <v>9500</v>
      </c>
      <c r="D1204" s="9">
        <v>9.73018397E9</v>
      </c>
      <c r="E1204" s="8" t="s">
        <v>9501</v>
      </c>
      <c r="F1204" s="8" t="s">
        <v>6910</v>
      </c>
      <c r="G1204" s="8" t="s">
        <v>9502</v>
      </c>
      <c r="H1204" s="8" t="s">
        <v>3479</v>
      </c>
      <c r="I1204" s="9">
        <v>0.0</v>
      </c>
      <c r="J1204" s="9">
        <v>4037.0</v>
      </c>
      <c r="K1204" s="9">
        <v>4037.0</v>
      </c>
      <c r="L1204" s="9">
        <v>4037.0</v>
      </c>
      <c r="M1204" s="9">
        <v>2424.0</v>
      </c>
      <c r="N1204" s="9">
        <v>739.0</v>
      </c>
      <c r="O1204" s="9">
        <v>874.0</v>
      </c>
      <c r="P1204" s="8" t="s">
        <v>3544</v>
      </c>
      <c r="Q1204" s="8"/>
      <c r="R1204" s="8" t="s">
        <v>9503</v>
      </c>
    </row>
    <row r="1205">
      <c r="A1205" s="8" t="s">
        <v>1608</v>
      </c>
      <c r="B1205" s="8" t="s">
        <v>9504</v>
      </c>
      <c r="C1205" s="8" t="s">
        <v>9505</v>
      </c>
      <c r="D1205" s="9">
        <v>8.904955456E9</v>
      </c>
      <c r="E1205" s="8" t="s">
        <v>9506</v>
      </c>
      <c r="F1205" s="8" t="s">
        <v>3589</v>
      </c>
      <c r="G1205" s="8" t="s">
        <v>9507</v>
      </c>
      <c r="H1205" s="8" t="s">
        <v>3479</v>
      </c>
      <c r="I1205" s="9">
        <v>0.0</v>
      </c>
      <c r="J1205" s="9">
        <v>1423.0</v>
      </c>
      <c r="K1205" s="9">
        <v>1423.0</v>
      </c>
      <c r="L1205" s="9">
        <v>1423.0</v>
      </c>
      <c r="M1205" s="9">
        <v>160.0</v>
      </c>
      <c r="N1205" s="9">
        <v>739.0</v>
      </c>
      <c r="O1205" s="9">
        <v>524.0</v>
      </c>
      <c r="P1205" s="8" t="s">
        <v>3480</v>
      </c>
      <c r="Q1205" s="8" t="s">
        <v>9508</v>
      </c>
      <c r="R1205" s="8" t="s">
        <v>9509</v>
      </c>
    </row>
    <row r="1206">
      <c r="A1206" s="8" t="s">
        <v>1635</v>
      </c>
      <c r="B1206" s="8" t="s">
        <v>9510</v>
      </c>
      <c r="C1206" s="8" t="s">
        <v>8676</v>
      </c>
      <c r="D1206" s="9">
        <v>8.380858393E9</v>
      </c>
      <c r="E1206" s="8" t="s">
        <v>8677</v>
      </c>
      <c r="F1206" s="8" t="s">
        <v>3615</v>
      </c>
      <c r="G1206" s="8" t="s">
        <v>9511</v>
      </c>
      <c r="H1206" s="8" t="s">
        <v>3479</v>
      </c>
      <c r="I1206" s="9">
        <v>0.0</v>
      </c>
      <c r="J1206" s="9">
        <v>1821.0</v>
      </c>
      <c r="K1206" s="9">
        <v>1821.0</v>
      </c>
      <c r="L1206" s="9">
        <v>1821.0</v>
      </c>
      <c r="M1206" s="9">
        <v>597.0</v>
      </c>
      <c r="N1206" s="9">
        <v>775.0</v>
      </c>
      <c r="O1206" s="9">
        <v>449.0</v>
      </c>
      <c r="P1206" s="8" t="s">
        <v>3480</v>
      </c>
      <c r="Q1206" s="8" t="s">
        <v>8679</v>
      </c>
      <c r="R1206" s="8" t="s">
        <v>8680</v>
      </c>
    </row>
    <row r="1207">
      <c r="A1207" s="8" t="s">
        <v>1637</v>
      </c>
      <c r="B1207" s="8" t="s">
        <v>9512</v>
      </c>
      <c r="C1207" s="8" t="s">
        <v>4854</v>
      </c>
      <c r="D1207" s="9">
        <v>9.657145925E9</v>
      </c>
      <c r="E1207" s="8" t="s">
        <v>4855</v>
      </c>
      <c r="F1207" s="8" t="s">
        <v>3498</v>
      </c>
      <c r="G1207" s="8" t="s">
        <v>9513</v>
      </c>
      <c r="H1207" s="8" t="s">
        <v>9514</v>
      </c>
      <c r="I1207" s="9">
        <v>0.0</v>
      </c>
      <c r="J1207" s="9">
        <v>2800.0</v>
      </c>
      <c r="K1207" s="9">
        <v>2894.0</v>
      </c>
      <c r="L1207" s="9">
        <v>2800.0</v>
      </c>
      <c r="M1207" s="9">
        <v>1581.0</v>
      </c>
      <c r="N1207" s="9">
        <v>739.0</v>
      </c>
      <c r="O1207" s="9">
        <v>574.0</v>
      </c>
      <c r="P1207" s="8" t="s">
        <v>3480</v>
      </c>
      <c r="Q1207" s="8" t="s">
        <v>4857</v>
      </c>
      <c r="R1207" s="8" t="s">
        <v>4858</v>
      </c>
    </row>
    <row r="1208">
      <c r="A1208" s="8" t="s">
        <v>1636</v>
      </c>
      <c r="B1208" s="8" t="s">
        <v>9515</v>
      </c>
      <c r="C1208" s="8" t="s">
        <v>9516</v>
      </c>
      <c r="D1208" s="9">
        <v>7.507645019E9</v>
      </c>
      <c r="E1208" s="8" t="s">
        <v>9517</v>
      </c>
      <c r="F1208" s="8" t="s">
        <v>3954</v>
      </c>
      <c r="G1208" s="8" t="s">
        <v>9518</v>
      </c>
      <c r="H1208" s="8" t="s">
        <v>3479</v>
      </c>
      <c r="I1208" s="9">
        <v>0.0</v>
      </c>
      <c r="J1208" s="9">
        <v>2604.0</v>
      </c>
      <c r="K1208" s="9">
        <v>2604.0</v>
      </c>
      <c r="L1208" s="9">
        <v>2604.0</v>
      </c>
      <c r="M1208" s="9">
        <v>1415.0</v>
      </c>
      <c r="N1208" s="9">
        <v>190.0</v>
      </c>
      <c r="O1208" s="9">
        <v>999.0</v>
      </c>
      <c r="P1208" s="8" t="s">
        <v>3480</v>
      </c>
      <c r="Q1208" s="8"/>
      <c r="R1208" s="8"/>
    </row>
    <row r="1209">
      <c r="A1209" s="8" t="s">
        <v>1639</v>
      </c>
      <c r="B1209" s="8" t="s">
        <v>9519</v>
      </c>
      <c r="C1209" s="8" t="s">
        <v>9520</v>
      </c>
      <c r="D1209" s="9">
        <v>7.387585728E9</v>
      </c>
      <c r="E1209" s="8" t="s">
        <v>9521</v>
      </c>
      <c r="F1209" s="8" t="s">
        <v>3768</v>
      </c>
      <c r="G1209" s="8" t="s">
        <v>9522</v>
      </c>
      <c r="H1209" s="8" t="s">
        <v>3479</v>
      </c>
      <c r="I1209" s="9">
        <v>0.0</v>
      </c>
      <c r="J1209" s="9">
        <v>1474.0</v>
      </c>
      <c r="K1209" s="9">
        <v>1474.0</v>
      </c>
      <c r="L1209" s="9">
        <v>1474.0</v>
      </c>
      <c r="M1209" s="9">
        <v>100.0</v>
      </c>
      <c r="N1209" s="9">
        <v>775.0</v>
      </c>
      <c r="O1209" s="9">
        <v>599.0</v>
      </c>
      <c r="P1209" s="8" t="s">
        <v>3480</v>
      </c>
      <c r="Q1209" s="8"/>
      <c r="R1209" s="8"/>
    </row>
    <row r="1210">
      <c r="A1210" s="8" t="s">
        <v>1638</v>
      </c>
      <c r="B1210" s="8" t="s">
        <v>9523</v>
      </c>
      <c r="C1210" s="8" t="s">
        <v>9524</v>
      </c>
      <c r="D1210" s="9">
        <v>8.237861605E9</v>
      </c>
      <c r="E1210" s="8" t="s">
        <v>9525</v>
      </c>
      <c r="F1210" s="8" t="s">
        <v>4093</v>
      </c>
      <c r="G1210" s="8" t="s">
        <v>3494</v>
      </c>
      <c r="H1210" s="8" t="s">
        <v>3479</v>
      </c>
      <c r="I1210" s="9">
        <v>0.0</v>
      </c>
      <c r="J1210" s="9">
        <v>3647.0</v>
      </c>
      <c r="K1210" s="9">
        <v>3647.0</v>
      </c>
      <c r="L1210" s="9">
        <v>3647.0</v>
      </c>
      <c r="M1210" s="9">
        <v>1574.0</v>
      </c>
      <c r="N1210" s="9">
        <v>1149.0</v>
      </c>
      <c r="O1210" s="9">
        <v>924.0</v>
      </c>
      <c r="P1210" s="8" t="s">
        <v>3480</v>
      </c>
      <c r="Q1210" s="8" t="s">
        <v>9526</v>
      </c>
      <c r="R1210" s="8" t="s">
        <v>9527</v>
      </c>
    </row>
    <row r="1211">
      <c r="A1211" s="8" t="s">
        <v>1640</v>
      </c>
      <c r="B1211" s="8" t="s">
        <v>9528</v>
      </c>
      <c r="C1211" s="8" t="s">
        <v>9234</v>
      </c>
      <c r="D1211" s="9">
        <v>9.82322392E9</v>
      </c>
      <c r="E1211" s="8" t="s">
        <v>9529</v>
      </c>
      <c r="F1211" s="8" t="s">
        <v>3665</v>
      </c>
      <c r="G1211" s="8" t="s">
        <v>9530</v>
      </c>
      <c r="H1211" s="8" t="s">
        <v>8980</v>
      </c>
      <c r="I1211" s="9">
        <v>0.0</v>
      </c>
      <c r="J1211" s="9">
        <v>2000.0</v>
      </c>
      <c r="K1211" s="9">
        <v>2016.0</v>
      </c>
      <c r="L1211" s="9">
        <v>2000.0</v>
      </c>
      <c r="M1211" s="9">
        <v>485.0</v>
      </c>
      <c r="N1211" s="9">
        <v>377.0</v>
      </c>
      <c r="O1211" s="9">
        <v>1154.0</v>
      </c>
      <c r="P1211" s="8" t="s">
        <v>3519</v>
      </c>
      <c r="Q1211" s="8" t="s">
        <v>9531</v>
      </c>
      <c r="R1211" s="8"/>
    </row>
    <row r="1212">
      <c r="A1212" s="8" t="s">
        <v>1662</v>
      </c>
      <c r="B1212" s="8" t="s">
        <v>9532</v>
      </c>
      <c r="C1212" s="8" t="s">
        <v>9533</v>
      </c>
      <c r="D1212" s="9">
        <v>7.770080344E9</v>
      </c>
      <c r="E1212" s="8" t="s">
        <v>9534</v>
      </c>
      <c r="F1212" s="8" t="s">
        <v>3550</v>
      </c>
      <c r="G1212" s="8" t="s">
        <v>9535</v>
      </c>
      <c r="H1212" s="8" t="s">
        <v>3479</v>
      </c>
      <c r="I1212" s="9">
        <v>0.0</v>
      </c>
      <c r="J1212" s="9">
        <v>1555.0</v>
      </c>
      <c r="K1212" s="9">
        <v>1555.0</v>
      </c>
      <c r="L1212" s="9">
        <v>1555.0</v>
      </c>
      <c r="M1212" s="9">
        <v>1380.0</v>
      </c>
      <c r="N1212" s="9">
        <v>0.0</v>
      </c>
      <c r="O1212" s="9">
        <v>175.0</v>
      </c>
      <c r="P1212" s="8" t="s">
        <v>3480</v>
      </c>
      <c r="Q1212" s="8"/>
      <c r="R1212" s="8"/>
    </row>
    <row r="1213">
      <c r="A1213" s="8" t="s">
        <v>1645</v>
      </c>
      <c r="B1213" s="8" t="s">
        <v>9536</v>
      </c>
      <c r="C1213" s="8" t="s">
        <v>9537</v>
      </c>
      <c r="D1213" s="9">
        <v>9.580173352E9</v>
      </c>
      <c r="E1213" s="8" t="s">
        <v>9538</v>
      </c>
      <c r="F1213" s="8" t="s">
        <v>3608</v>
      </c>
      <c r="G1213" s="8" t="s">
        <v>9539</v>
      </c>
      <c r="H1213" s="8" t="s">
        <v>3479</v>
      </c>
      <c r="I1213" s="9">
        <v>0.0</v>
      </c>
      <c r="J1213" s="9">
        <v>2414.0</v>
      </c>
      <c r="K1213" s="9">
        <v>2414.0</v>
      </c>
      <c r="L1213" s="9">
        <v>2414.0</v>
      </c>
      <c r="M1213" s="9">
        <v>1416.0</v>
      </c>
      <c r="N1213" s="9">
        <v>549.0</v>
      </c>
      <c r="O1213" s="9">
        <v>449.0</v>
      </c>
      <c r="P1213" s="8" t="s">
        <v>3480</v>
      </c>
      <c r="Q1213" s="8" t="s">
        <v>9540</v>
      </c>
      <c r="R1213" s="8" t="s">
        <v>9541</v>
      </c>
    </row>
    <row r="1214">
      <c r="A1214" s="8" t="s">
        <v>1685</v>
      </c>
      <c r="B1214" s="8" t="s">
        <v>9542</v>
      </c>
      <c r="C1214" s="8" t="s">
        <v>9543</v>
      </c>
      <c r="D1214" s="9">
        <v>9.850508429E9</v>
      </c>
      <c r="E1214" s="8" t="s">
        <v>9544</v>
      </c>
      <c r="F1214" s="8" t="s">
        <v>4896</v>
      </c>
      <c r="G1214" s="8" t="s">
        <v>9545</v>
      </c>
      <c r="H1214" s="8" t="s">
        <v>3479</v>
      </c>
      <c r="I1214" s="9">
        <v>0.0</v>
      </c>
      <c r="J1214" s="9">
        <v>1483.0</v>
      </c>
      <c r="K1214" s="9">
        <v>1483.0</v>
      </c>
      <c r="L1214" s="9">
        <v>1483.0</v>
      </c>
      <c r="M1214" s="9">
        <v>295.0</v>
      </c>
      <c r="N1214" s="9">
        <v>739.0</v>
      </c>
      <c r="O1214" s="9">
        <v>449.0</v>
      </c>
      <c r="P1214" s="8" t="s">
        <v>3480</v>
      </c>
      <c r="Q1214" s="8" t="s">
        <v>9546</v>
      </c>
      <c r="R1214" s="8"/>
    </row>
    <row r="1215">
      <c r="A1215" s="8" t="s">
        <v>1641</v>
      </c>
      <c r="B1215" s="8" t="s">
        <v>9547</v>
      </c>
      <c r="C1215" s="8" t="s">
        <v>9548</v>
      </c>
      <c r="D1215" s="9">
        <v>9.730014643E9</v>
      </c>
      <c r="E1215" s="8" t="s">
        <v>9549</v>
      </c>
      <c r="F1215" s="8" t="s">
        <v>3523</v>
      </c>
      <c r="G1215" s="8" t="s">
        <v>9550</v>
      </c>
      <c r="H1215" s="8" t="s">
        <v>9043</v>
      </c>
      <c r="I1215" s="9">
        <v>0.0</v>
      </c>
      <c r="J1215" s="9">
        <v>1000.0</v>
      </c>
      <c r="K1215" s="9">
        <v>1007.0</v>
      </c>
      <c r="L1215" s="9">
        <v>1000.0</v>
      </c>
      <c r="M1215" s="9">
        <v>403.0</v>
      </c>
      <c r="N1215" s="9">
        <v>80.0</v>
      </c>
      <c r="O1215" s="9">
        <v>524.0</v>
      </c>
      <c r="P1215" s="8" t="s">
        <v>3519</v>
      </c>
      <c r="Q1215" s="8" t="s">
        <v>9551</v>
      </c>
      <c r="R1215" s="8" t="s">
        <v>9552</v>
      </c>
    </row>
    <row r="1216">
      <c r="A1216" s="8" t="s">
        <v>1642</v>
      </c>
      <c r="B1216" s="8" t="s">
        <v>9553</v>
      </c>
      <c r="C1216" s="8" t="s">
        <v>9554</v>
      </c>
      <c r="D1216" s="9">
        <v>9.665268216E9</v>
      </c>
      <c r="E1216" s="8" t="s">
        <v>9555</v>
      </c>
      <c r="F1216" s="8" t="s">
        <v>3486</v>
      </c>
      <c r="G1216" s="8" t="s">
        <v>9556</v>
      </c>
      <c r="H1216" s="8" t="s">
        <v>3479</v>
      </c>
      <c r="I1216" s="9">
        <v>0.0</v>
      </c>
      <c r="J1216" s="9">
        <v>1286.0</v>
      </c>
      <c r="K1216" s="9">
        <v>1286.0</v>
      </c>
      <c r="L1216" s="9">
        <v>1286.0</v>
      </c>
      <c r="M1216" s="9">
        <v>98.0</v>
      </c>
      <c r="N1216" s="9">
        <v>739.0</v>
      </c>
      <c r="O1216" s="9">
        <v>449.0</v>
      </c>
      <c r="P1216" s="8" t="s">
        <v>3480</v>
      </c>
      <c r="Q1216" s="8" t="s">
        <v>9557</v>
      </c>
      <c r="R1216" s="8" t="s">
        <v>9558</v>
      </c>
    </row>
    <row r="1217">
      <c r="A1217" s="8" t="s">
        <v>1643</v>
      </c>
      <c r="B1217" s="8" t="s">
        <v>9559</v>
      </c>
      <c r="C1217" s="8" t="s">
        <v>9560</v>
      </c>
      <c r="D1217" s="9">
        <v>9.960286301E9</v>
      </c>
      <c r="E1217" s="8" t="s">
        <v>9561</v>
      </c>
      <c r="F1217" s="8" t="s">
        <v>3821</v>
      </c>
      <c r="G1217" s="8" t="s">
        <v>9562</v>
      </c>
      <c r="H1217" s="8" t="s">
        <v>3479</v>
      </c>
      <c r="I1217" s="9">
        <v>0.0</v>
      </c>
      <c r="J1217" s="9">
        <v>2602.0</v>
      </c>
      <c r="K1217" s="9">
        <v>2602.0</v>
      </c>
      <c r="L1217" s="9">
        <v>2602.0</v>
      </c>
      <c r="M1217" s="9">
        <v>1339.0</v>
      </c>
      <c r="N1217" s="9">
        <v>739.0</v>
      </c>
      <c r="O1217" s="9">
        <v>524.0</v>
      </c>
      <c r="P1217" s="8" t="s">
        <v>3480</v>
      </c>
      <c r="Q1217" s="8" t="s">
        <v>9563</v>
      </c>
      <c r="R1217" s="8" t="s">
        <v>9564</v>
      </c>
    </row>
    <row r="1218">
      <c r="A1218" s="8" t="s">
        <v>1644</v>
      </c>
      <c r="B1218" s="8" t="s">
        <v>9565</v>
      </c>
      <c r="C1218" s="8" t="s">
        <v>6908</v>
      </c>
      <c r="D1218" s="9">
        <v>8.554972505E9</v>
      </c>
      <c r="E1218" s="8" t="s">
        <v>6909</v>
      </c>
      <c r="F1218" s="8" t="s">
        <v>3853</v>
      </c>
      <c r="G1218" s="8" t="s">
        <v>9566</v>
      </c>
      <c r="H1218" s="8" t="s">
        <v>3479</v>
      </c>
      <c r="I1218" s="9">
        <v>0.0</v>
      </c>
      <c r="J1218" s="9">
        <v>3684.0</v>
      </c>
      <c r="K1218" s="9">
        <v>3684.0</v>
      </c>
      <c r="L1218" s="9">
        <v>3684.0</v>
      </c>
      <c r="M1218" s="9">
        <v>2246.0</v>
      </c>
      <c r="N1218" s="9">
        <v>739.0</v>
      </c>
      <c r="O1218" s="9">
        <v>699.0</v>
      </c>
      <c r="P1218" s="8" t="s">
        <v>3480</v>
      </c>
      <c r="Q1218" s="8" t="s">
        <v>4241</v>
      </c>
      <c r="R1218" s="8" t="s">
        <v>4241</v>
      </c>
    </row>
    <row r="1219">
      <c r="A1219" s="8" t="s">
        <v>1647</v>
      </c>
      <c r="B1219" s="8" t="s">
        <v>9567</v>
      </c>
      <c r="C1219" s="8" t="s">
        <v>9568</v>
      </c>
      <c r="D1219" s="9">
        <v>9.922022199E9</v>
      </c>
      <c r="E1219" s="8" t="s">
        <v>9569</v>
      </c>
      <c r="F1219" s="8" t="s">
        <v>3589</v>
      </c>
      <c r="G1219" s="8" t="s">
        <v>9570</v>
      </c>
      <c r="H1219" s="8" t="s">
        <v>3479</v>
      </c>
      <c r="I1219" s="9">
        <v>0.0</v>
      </c>
      <c r="J1219" s="9">
        <v>1931.0</v>
      </c>
      <c r="K1219" s="9">
        <v>1931.0</v>
      </c>
      <c r="L1219" s="9">
        <v>1931.0</v>
      </c>
      <c r="M1219" s="9">
        <v>668.0</v>
      </c>
      <c r="N1219" s="9">
        <v>739.0</v>
      </c>
      <c r="O1219" s="9">
        <v>524.0</v>
      </c>
      <c r="P1219" s="8" t="s">
        <v>3480</v>
      </c>
      <c r="Q1219" s="8" t="s">
        <v>9571</v>
      </c>
      <c r="R1219" s="8" t="s">
        <v>9572</v>
      </c>
    </row>
    <row r="1220">
      <c r="A1220" s="8" t="s">
        <v>1688</v>
      </c>
      <c r="B1220" s="8" t="s">
        <v>9573</v>
      </c>
      <c r="C1220" s="8" t="s">
        <v>9574</v>
      </c>
      <c r="D1220" s="9">
        <v>9.822992284E9</v>
      </c>
      <c r="E1220" s="8" t="s">
        <v>9575</v>
      </c>
      <c r="F1220" s="8" t="s">
        <v>3550</v>
      </c>
      <c r="G1220" s="8" t="s">
        <v>9576</v>
      </c>
      <c r="H1220" s="8" t="s">
        <v>3479</v>
      </c>
      <c r="I1220" s="9">
        <v>0.0</v>
      </c>
      <c r="J1220" s="9">
        <v>1268.0</v>
      </c>
      <c r="K1220" s="9">
        <v>1268.0</v>
      </c>
      <c r="L1220" s="9">
        <v>1268.0</v>
      </c>
      <c r="M1220" s="9">
        <v>80.0</v>
      </c>
      <c r="N1220" s="9">
        <v>739.0</v>
      </c>
      <c r="O1220" s="9">
        <v>449.0</v>
      </c>
      <c r="P1220" s="8" t="s">
        <v>3480</v>
      </c>
      <c r="Q1220" s="8" t="s">
        <v>9577</v>
      </c>
      <c r="R1220" s="8" t="s">
        <v>9578</v>
      </c>
    </row>
    <row r="1221">
      <c r="A1221" s="8" t="s">
        <v>1609</v>
      </c>
      <c r="B1221" s="8" t="s">
        <v>9579</v>
      </c>
      <c r="C1221" s="8" t="s">
        <v>9580</v>
      </c>
      <c r="D1221" s="9">
        <v>9.370296416E9</v>
      </c>
      <c r="E1221" s="8" t="s">
        <v>9581</v>
      </c>
      <c r="F1221" s="8" t="s">
        <v>5025</v>
      </c>
      <c r="G1221" s="8" t="s">
        <v>9582</v>
      </c>
      <c r="H1221" s="8" t="s">
        <v>9583</v>
      </c>
      <c r="I1221" s="9">
        <v>0.0</v>
      </c>
      <c r="J1221" s="9">
        <v>2300.0</v>
      </c>
      <c r="K1221" s="9">
        <v>2379.0</v>
      </c>
      <c r="L1221" s="9">
        <v>2300.0</v>
      </c>
      <c r="M1221" s="9">
        <v>1929.0</v>
      </c>
      <c r="N1221" s="9">
        <v>0.0</v>
      </c>
      <c r="O1221" s="9">
        <v>450.0</v>
      </c>
      <c r="P1221" s="8" t="s">
        <v>3480</v>
      </c>
      <c r="Q1221" s="8"/>
      <c r="R1221" s="8"/>
    </row>
    <row r="1222">
      <c r="A1222" s="8" t="s">
        <v>1610</v>
      </c>
      <c r="B1222" s="8" t="s">
        <v>9584</v>
      </c>
      <c r="C1222" s="8" t="s">
        <v>9585</v>
      </c>
      <c r="D1222" s="9">
        <v>7.038788485E9</v>
      </c>
      <c r="E1222" s="8" t="s">
        <v>9586</v>
      </c>
      <c r="F1222" s="8" t="s">
        <v>3768</v>
      </c>
      <c r="G1222" s="8" t="s">
        <v>9587</v>
      </c>
      <c r="H1222" s="8" t="s">
        <v>3479</v>
      </c>
      <c r="I1222" s="9">
        <v>0.0</v>
      </c>
      <c r="J1222" s="9">
        <v>1623.0</v>
      </c>
      <c r="K1222" s="9">
        <v>1623.0</v>
      </c>
      <c r="L1222" s="9">
        <v>1623.0</v>
      </c>
      <c r="M1222" s="9">
        <v>390.0</v>
      </c>
      <c r="N1222" s="9">
        <v>784.0</v>
      </c>
      <c r="O1222" s="9">
        <v>449.0</v>
      </c>
      <c r="P1222" s="8" t="s">
        <v>3480</v>
      </c>
      <c r="Q1222" s="8" t="s">
        <v>9588</v>
      </c>
      <c r="R1222" s="8" t="s">
        <v>9589</v>
      </c>
    </row>
    <row r="1223">
      <c r="A1223" s="8" t="s">
        <v>1611</v>
      </c>
      <c r="B1223" s="8" t="s">
        <v>9590</v>
      </c>
      <c r="C1223" s="8" t="s">
        <v>9591</v>
      </c>
      <c r="D1223" s="9">
        <v>9.838427722E9</v>
      </c>
      <c r="E1223" s="8" t="s">
        <v>4866</v>
      </c>
      <c r="F1223" s="8" t="s">
        <v>5421</v>
      </c>
      <c r="G1223" s="8" t="s">
        <v>9592</v>
      </c>
      <c r="H1223" s="8" t="s">
        <v>3479</v>
      </c>
      <c r="I1223" s="9">
        <v>0.0</v>
      </c>
      <c r="J1223" s="9">
        <v>1268.0</v>
      </c>
      <c r="K1223" s="9">
        <v>1268.0</v>
      </c>
      <c r="L1223" s="9">
        <v>1268.0</v>
      </c>
      <c r="M1223" s="9">
        <v>80.0</v>
      </c>
      <c r="N1223" s="9">
        <v>739.0</v>
      </c>
      <c r="O1223" s="9">
        <v>449.0</v>
      </c>
      <c r="P1223" s="8" t="s">
        <v>3480</v>
      </c>
      <c r="Q1223" s="8"/>
      <c r="R1223" s="8"/>
    </row>
    <row r="1224">
      <c r="A1224" s="8" t="s">
        <v>1612</v>
      </c>
      <c r="B1224" s="8" t="s">
        <v>9593</v>
      </c>
      <c r="C1224" s="8" t="s">
        <v>9594</v>
      </c>
      <c r="D1224" s="9">
        <v>8.237127129E9</v>
      </c>
      <c r="E1224" s="8" t="s">
        <v>9595</v>
      </c>
      <c r="F1224" s="8" t="s">
        <v>3608</v>
      </c>
      <c r="G1224" s="8" t="s">
        <v>9596</v>
      </c>
      <c r="H1224" s="8" t="s">
        <v>3479</v>
      </c>
      <c r="I1224" s="9">
        <v>0.0</v>
      </c>
      <c r="J1224" s="9">
        <v>1521.0</v>
      </c>
      <c r="K1224" s="9">
        <v>1521.0</v>
      </c>
      <c r="L1224" s="9">
        <v>1521.0</v>
      </c>
      <c r="M1224" s="9">
        <v>333.0</v>
      </c>
      <c r="N1224" s="9">
        <v>739.0</v>
      </c>
      <c r="O1224" s="9">
        <v>449.0</v>
      </c>
      <c r="P1224" s="8" t="s">
        <v>3480</v>
      </c>
      <c r="Q1224" s="8" t="s">
        <v>9597</v>
      </c>
      <c r="R1224" s="8" t="s">
        <v>9598</v>
      </c>
    </row>
    <row r="1225">
      <c r="A1225" s="8" t="s">
        <v>1646</v>
      </c>
      <c r="B1225" s="8" t="s">
        <v>9599</v>
      </c>
      <c r="C1225" s="8" t="s">
        <v>9600</v>
      </c>
      <c r="D1225" s="9">
        <v>7.819916898E9</v>
      </c>
      <c r="E1225" s="8" t="s">
        <v>9601</v>
      </c>
      <c r="F1225" s="8" t="s">
        <v>6307</v>
      </c>
      <c r="G1225" s="8" t="s">
        <v>9602</v>
      </c>
      <c r="H1225" s="8" t="s">
        <v>3479</v>
      </c>
      <c r="I1225" s="9">
        <v>0.0</v>
      </c>
      <c r="J1225" s="9">
        <v>3188.0</v>
      </c>
      <c r="K1225" s="9">
        <v>3188.0</v>
      </c>
      <c r="L1225" s="9">
        <v>3188.0</v>
      </c>
      <c r="M1225" s="9">
        <v>2000.0</v>
      </c>
      <c r="N1225" s="9">
        <v>739.0</v>
      </c>
      <c r="O1225" s="9">
        <v>449.0</v>
      </c>
      <c r="P1225" s="8" t="s">
        <v>3480</v>
      </c>
      <c r="Q1225" s="8" t="s">
        <v>9603</v>
      </c>
      <c r="R1225" s="8" t="s">
        <v>9604</v>
      </c>
    </row>
    <row r="1226">
      <c r="A1226" s="8" t="s">
        <v>1614</v>
      </c>
      <c r="B1226" s="8" t="s">
        <v>9605</v>
      </c>
      <c r="C1226" s="8" t="s">
        <v>6082</v>
      </c>
      <c r="D1226" s="9">
        <v>9.527692735E9</v>
      </c>
      <c r="E1226" s="8" t="s">
        <v>9606</v>
      </c>
      <c r="F1226" s="8" t="s">
        <v>3523</v>
      </c>
      <c r="G1226" s="8" t="s">
        <v>9607</v>
      </c>
      <c r="H1226" s="8" t="s">
        <v>3479</v>
      </c>
      <c r="I1226" s="9">
        <v>0.0</v>
      </c>
      <c r="J1226" s="9">
        <v>3337.0</v>
      </c>
      <c r="K1226" s="9">
        <v>3337.0</v>
      </c>
      <c r="L1226" s="9">
        <v>3337.0</v>
      </c>
      <c r="M1226" s="9">
        <v>2074.0</v>
      </c>
      <c r="N1226" s="9">
        <v>739.0</v>
      </c>
      <c r="O1226" s="9">
        <v>524.0</v>
      </c>
      <c r="P1226" s="8" t="s">
        <v>3480</v>
      </c>
      <c r="Q1226" s="8" t="s">
        <v>9608</v>
      </c>
      <c r="R1226" s="8" t="s">
        <v>9609</v>
      </c>
    </row>
    <row r="1227">
      <c r="A1227" s="8" t="s">
        <v>1616</v>
      </c>
      <c r="B1227" s="8" t="s">
        <v>9610</v>
      </c>
      <c r="C1227" s="8" t="s">
        <v>7243</v>
      </c>
      <c r="D1227" s="9">
        <v>9.370116607E9</v>
      </c>
      <c r="E1227" s="8" t="s">
        <v>7244</v>
      </c>
      <c r="F1227" s="8" t="s">
        <v>3564</v>
      </c>
      <c r="G1227" s="8" t="s">
        <v>9611</v>
      </c>
      <c r="H1227" s="8" t="s">
        <v>3479</v>
      </c>
      <c r="I1227" s="9">
        <v>0.0</v>
      </c>
      <c r="J1227" s="9">
        <v>1264.0</v>
      </c>
      <c r="K1227" s="9">
        <v>1264.0</v>
      </c>
      <c r="L1227" s="9">
        <v>1264.0</v>
      </c>
      <c r="M1227" s="9">
        <v>490.0</v>
      </c>
      <c r="N1227" s="9">
        <v>0.0</v>
      </c>
      <c r="O1227" s="9">
        <v>774.0</v>
      </c>
      <c r="P1227" s="8" t="s">
        <v>3480</v>
      </c>
      <c r="Q1227" s="8"/>
      <c r="R1227" s="8"/>
    </row>
    <row r="1228">
      <c r="A1228" s="8" t="s">
        <v>1615</v>
      </c>
      <c r="B1228" s="8" t="s">
        <v>9612</v>
      </c>
      <c r="C1228" s="8" t="s">
        <v>6086</v>
      </c>
      <c r="D1228" s="9">
        <v>9.730728234E9</v>
      </c>
      <c r="E1228" s="8" t="s">
        <v>9613</v>
      </c>
      <c r="F1228" s="8" t="s">
        <v>9614</v>
      </c>
      <c r="G1228" s="8" t="s">
        <v>9615</v>
      </c>
      <c r="H1228" s="8" t="s">
        <v>3479</v>
      </c>
      <c r="I1228" s="9">
        <v>0.0</v>
      </c>
      <c r="J1228" s="9">
        <v>1134.0</v>
      </c>
      <c r="K1228" s="9">
        <v>1134.0</v>
      </c>
      <c r="L1228" s="9">
        <v>1134.0</v>
      </c>
      <c r="M1228" s="9">
        <v>195.0</v>
      </c>
      <c r="N1228" s="9">
        <v>190.0</v>
      </c>
      <c r="O1228" s="9">
        <v>749.0</v>
      </c>
      <c r="P1228" s="8" t="s">
        <v>3480</v>
      </c>
      <c r="Q1228" s="8" t="s">
        <v>9616</v>
      </c>
      <c r="R1228" s="8" t="s">
        <v>9617</v>
      </c>
    </row>
    <row r="1229">
      <c r="A1229" s="8" t="s">
        <v>1624</v>
      </c>
      <c r="B1229" s="8" t="s">
        <v>9618</v>
      </c>
      <c r="C1229" s="8" t="s">
        <v>9619</v>
      </c>
      <c r="D1229" s="9">
        <v>8.530892111E9</v>
      </c>
      <c r="E1229" s="8" t="s">
        <v>9620</v>
      </c>
      <c r="F1229" s="8" t="s">
        <v>9621</v>
      </c>
      <c r="G1229" s="8" t="s">
        <v>9622</v>
      </c>
      <c r="H1229" s="8" t="s">
        <v>3479</v>
      </c>
      <c r="I1229" s="9">
        <v>0.0</v>
      </c>
      <c r="J1229" s="9">
        <v>709.0</v>
      </c>
      <c r="K1229" s="9">
        <v>709.0</v>
      </c>
      <c r="L1229" s="9">
        <v>709.0</v>
      </c>
      <c r="M1229" s="9">
        <v>80.0</v>
      </c>
      <c r="N1229" s="9">
        <v>80.0</v>
      </c>
      <c r="O1229" s="9">
        <v>549.0</v>
      </c>
      <c r="P1229" s="8" t="s">
        <v>3480</v>
      </c>
      <c r="Q1229" s="8"/>
      <c r="R1229" s="8"/>
    </row>
    <row r="1230">
      <c r="A1230" s="8" t="s">
        <v>1623</v>
      </c>
      <c r="B1230" s="8" t="s">
        <v>9623</v>
      </c>
      <c r="C1230" s="8" t="s">
        <v>9624</v>
      </c>
      <c r="D1230" s="9">
        <v>9.209960518E9</v>
      </c>
      <c r="E1230" s="8" t="s">
        <v>9625</v>
      </c>
      <c r="F1230" s="8" t="s">
        <v>6019</v>
      </c>
      <c r="G1230" s="8" t="s">
        <v>4036</v>
      </c>
      <c r="H1230" s="8" t="s">
        <v>3479</v>
      </c>
      <c r="I1230" s="9">
        <v>0.0</v>
      </c>
      <c r="J1230" s="9">
        <v>6903.0</v>
      </c>
      <c r="K1230" s="9">
        <v>6903.0</v>
      </c>
      <c r="L1230" s="9">
        <v>6903.0</v>
      </c>
      <c r="M1230" s="9">
        <v>5938.0</v>
      </c>
      <c r="N1230" s="9">
        <v>130.0</v>
      </c>
      <c r="O1230" s="9">
        <v>835.0</v>
      </c>
      <c r="P1230" s="8" t="s">
        <v>3519</v>
      </c>
      <c r="Q1230" s="8"/>
      <c r="R1230" s="8"/>
    </row>
    <row r="1231">
      <c r="A1231" s="8" t="s">
        <v>1626</v>
      </c>
      <c r="B1231" s="8" t="s">
        <v>9626</v>
      </c>
      <c r="C1231" s="8" t="s">
        <v>9627</v>
      </c>
      <c r="D1231" s="9">
        <v>9.822250363E9</v>
      </c>
      <c r="E1231" s="8" t="s">
        <v>9628</v>
      </c>
      <c r="F1231" s="8" t="s">
        <v>3517</v>
      </c>
      <c r="G1231" s="8" t="s">
        <v>9629</v>
      </c>
      <c r="H1231" s="8" t="s">
        <v>3479</v>
      </c>
      <c r="I1231" s="9">
        <v>0.0</v>
      </c>
      <c r="J1231" s="9">
        <v>1268.0</v>
      </c>
      <c r="K1231" s="9">
        <v>1268.0</v>
      </c>
      <c r="L1231" s="9">
        <v>1268.0</v>
      </c>
      <c r="M1231" s="9">
        <v>80.0</v>
      </c>
      <c r="N1231" s="9">
        <v>739.0</v>
      </c>
      <c r="O1231" s="9">
        <v>449.0</v>
      </c>
      <c r="P1231" s="8" t="s">
        <v>3480</v>
      </c>
      <c r="Q1231" s="8"/>
      <c r="R1231" s="8"/>
    </row>
    <row r="1232">
      <c r="A1232" s="8" t="s">
        <v>1625</v>
      </c>
      <c r="B1232" s="8" t="s">
        <v>9630</v>
      </c>
      <c r="C1232" s="8" t="s">
        <v>9631</v>
      </c>
      <c r="D1232" s="9">
        <v>7.741006459E9</v>
      </c>
      <c r="E1232" s="8" t="s">
        <v>9632</v>
      </c>
      <c r="F1232" s="8" t="s">
        <v>3901</v>
      </c>
      <c r="G1232" s="8" t="s">
        <v>9633</v>
      </c>
      <c r="H1232" s="8" t="s">
        <v>3479</v>
      </c>
      <c r="I1232" s="9">
        <v>0.0</v>
      </c>
      <c r="J1232" s="9">
        <v>1678.0</v>
      </c>
      <c r="K1232" s="9">
        <v>1678.0</v>
      </c>
      <c r="L1232" s="9">
        <v>1678.0</v>
      </c>
      <c r="M1232" s="9">
        <v>295.0</v>
      </c>
      <c r="N1232" s="9">
        <v>784.0</v>
      </c>
      <c r="O1232" s="9">
        <v>599.0</v>
      </c>
      <c r="P1232" s="8" t="s">
        <v>3480</v>
      </c>
      <c r="Q1232" s="8" t="s">
        <v>9634</v>
      </c>
      <c r="R1232" s="8" t="s">
        <v>9635</v>
      </c>
    </row>
    <row r="1233">
      <c r="A1233" s="8" t="s">
        <v>1628</v>
      </c>
      <c r="B1233" s="8" t="s">
        <v>9636</v>
      </c>
      <c r="C1233" s="8" t="s">
        <v>9637</v>
      </c>
      <c r="D1233" s="9">
        <v>8.378961917E9</v>
      </c>
      <c r="E1233" s="8" t="s">
        <v>9638</v>
      </c>
      <c r="F1233" s="8" t="s">
        <v>3977</v>
      </c>
      <c r="G1233" s="8" t="s">
        <v>4012</v>
      </c>
      <c r="H1233" s="8" t="s">
        <v>3479</v>
      </c>
      <c r="I1233" s="9">
        <v>0.0</v>
      </c>
      <c r="J1233" s="9">
        <v>1323.0</v>
      </c>
      <c r="K1233" s="9">
        <v>1323.0</v>
      </c>
      <c r="L1233" s="9">
        <v>1323.0</v>
      </c>
      <c r="M1233" s="9">
        <v>135.0</v>
      </c>
      <c r="N1233" s="9">
        <v>739.0</v>
      </c>
      <c r="O1233" s="9">
        <v>449.0</v>
      </c>
      <c r="P1233" s="8" t="s">
        <v>3480</v>
      </c>
      <c r="Q1233" s="8"/>
      <c r="R1233" s="8"/>
    </row>
    <row r="1234">
      <c r="A1234" s="8" t="s">
        <v>1629</v>
      </c>
      <c r="B1234" s="8" t="s">
        <v>9639</v>
      </c>
      <c r="C1234" s="8" t="s">
        <v>9640</v>
      </c>
      <c r="D1234" s="9">
        <v>7.972809105E9</v>
      </c>
      <c r="E1234" s="8" t="s">
        <v>9641</v>
      </c>
      <c r="F1234" s="8" t="s">
        <v>4125</v>
      </c>
      <c r="G1234" s="8" t="s">
        <v>9642</v>
      </c>
      <c r="H1234" s="8" t="s">
        <v>7486</v>
      </c>
      <c r="I1234" s="9">
        <v>0.0</v>
      </c>
      <c r="J1234" s="9">
        <v>7400.0</v>
      </c>
      <c r="K1234" s="9">
        <v>7448.0</v>
      </c>
      <c r="L1234" s="9">
        <v>7400.0</v>
      </c>
      <c r="M1234" s="9">
        <v>6065.0</v>
      </c>
      <c r="N1234" s="9">
        <v>784.0</v>
      </c>
      <c r="O1234" s="9">
        <v>599.0</v>
      </c>
      <c r="P1234" s="8" t="s">
        <v>3480</v>
      </c>
      <c r="Q1234" s="8"/>
      <c r="R1234" s="8"/>
    </row>
    <row r="1235">
      <c r="A1235" s="8" t="s">
        <v>1630</v>
      </c>
      <c r="B1235" s="8" t="s">
        <v>9643</v>
      </c>
      <c r="C1235" s="8" t="s">
        <v>3826</v>
      </c>
      <c r="D1235" s="9">
        <v>9.960409602E9</v>
      </c>
      <c r="E1235" s="8" t="s">
        <v>3827</v>
      </c>
      <c r="F1235" s="8" t="s">
        <v>3828</v>
      </c>
      <c r="G1235" s="8" t="s">
        <v>3829</v>
      </c>
      <c r="H1235" s="8" t="s">
        <v>3479</v>
      </c>
      <c r="I1235" s="9">
        <v>0.0</v>
      </c>
      <c r="J1235" s="9">
        <v>3213.0</v>
      </c>
      <c r="K1235" s="9">
        <v>3213.0</v>
      </c>
      <c r="L1235" s="9">
        <v>3213.0</v>
      </c>
      <c r="M1235" s="9">
        <v>1640.0</v>
      </c>
      <c r="N1235" s="9">
        <v>849.0</v>
      </c>
      <c r="O1235" s="9">
        <v>724.0</v>
      </c>
      <c r="P1235" s="8" t="s">
        <v>3480</v>
      </c>
      <c r="Q1235" s="8" t="s">
        <v>3830</v>
      </c>
      <c r="R1235" s="8"/>
    </row>
    <row r="1236">
      <c r="A1236" s="8" t="s">
        <v>1631</v>
      </c>
      <c r="B1236" s="8" t="s">
        <v>9644</v>
      </c>
      <c r="C1236" s="8" t="s">
        <v>9645</v>
      </c>
      <c r="D1236" s="9">
        <v>9.033414249E9</v>
      </c>
      <c r="E1236" s="8" t="s">
        <v>9646</v>
      </c>
      <c r="F1236" s="8" t="s">
        <v>3486</v>
      </c>
      <c r="G1236" s="8" t="s">
        <v>9647</v>
      </c>
      <c r="H1236" s="8" t="s">
        <v>3479</v>
      </c>
      <c r="I1236" s="9">
        <v>0.0</v>
      </c>
      <c r="J1236" s="9">
        <v>1268.0</v>
      </c>
      <c r="K1236" s="9">
        <v>1268.0</v>
      </c>
      <c r="L1236" s="9">
        <v>1268.0</v>
      </c>
      <c r="M1236" s="9">
        <v>80.0</v>
      </c>
      <c r="N1236" s="9">
        <v>739.0</v>
      </c>
      <c r="O1236" s="9">
        <v>449.0</v>
      </c>
      <c r="P1236" s="8" t="s">
        <v>3480</v>
      </c>
      <c r="Q1236" s="8"/>
      <c r="R1236" s="8"/>
    </row>
    <row r="1237">
      <c r="A1237" s="8" t="s">
        <v>1632</v>
      </c>
      <c r="B1237" s="8" t="s">
        <v>9648</v>
      </c>
      <c r="C1237" s="8" t="s">
        <v>9649</v>
      </c>
      <c r="D1237" s="9">
        <v>7.020621567E9</v>
      </c>
      <c r="E1237" s="8" t="s">
        <v>9650</v>
      </c>
      <c r="F1237" s="8" t="s">
        <v>3550</v>
      </c>
      <c r="G1237" s="8" t="s">
        <v>9651</v>
      </c>
      <c r="H1237" s="8" t="s">
        <v>3479</v>
      </c>
      <c r="I1237" s="9">
        <v>0.0</v>
      </c>
      <c r="J1237" s="9">
        <v>1268.0</v>
      </c>
      <c r="K1237" s="9">
        <v>1268.0</v>
      </c>
      <c r="L1237" s="9">
        <v>1268.0</v>
      </c>
      <c r="M1237" s="9">
        <v>80.0</v>
      </c>
      <c r="N1237" s="9">
        <v>739.0</v>
      </c>
      <c r="O1237" s="9">
        <v>449.0</v>
      </c>
      <c r="P1237" s="8" t="s">
        <v>3480</v>
      </c>
      <c r="Q1237" s="8"/>
      <c r="R1237" s="8"/>
    </row>
    <row r="1238">
      <c r="A1238" s="8" t="s">
        <v>1633</v>
      </c>
      <c r="B1238" s="8" t="s">
        <v>9652</v>
      </c>
      <c r="C1238" s="8" t="s">
        <v>9653</v>
      </c>
      <c r="D1238" s="9">
        <v>9.73000218E9</v>
      </c>
      <c r="E1238" s="8" t="s">
        <v>9654</v>
      </c>
      <c r="F1238" s="8" t="s">
        <v>3934</v>
      </c>
      <c r="G1238" s="8" t="s">
        <v>9655</v>
      </c>
      <c r="H1238" s="8" t="s">
        <v>3479</v>
      </c>
      <c r="I1238" s="9">
        <v>0.0</v>
      </c>
      <c r="J1238" s="9">
        <v>2659.0</v>
      </c>
      <c r="K1238" s="9">
        <v>2659.0</v>
      </c>
      <c r="L1238" s="9">
        <v>2659.0</v>
      </c>
      <c r="M1238" s="9">
        <v>2190.0</v>
      </c>
      <c r="N1238" s="9">
        <v>469.0</v>
      </c>
      <c r="O1238" s="9">
        <v>0.0</v>
      </c>
      <c r="P1238" s="8" t="s">
        <v>3480</v>
      </c>
      <c r="Q1238" s="8" t="s">
        <v>9656</v>
      </c>
      <c r="R1238" s="8" t="s">
        <v>9657</v>
      </c>
    </row>
    <row r="1239">
      <c r="A1239" s="8" t="s">
        <v>1613</v>
      </c>
      <c r="B1239" s="8" t="s">
        <v>9658</v>
      </c>
      <c r="C1239" s="8" t="s">
        <v>9659</v>
      </c>
      <c r="D1239" s="9">
        <v>8.446273147E9</v>
      </c>
      <c r="E1239" s="8" t="s">
        <v>9660</v>
      </c>
      <c r="F1239" s="8" t="s">
        <v>3901</v>
      </c>
      <c r="G1239" s="8" t="s">
        <v>5083</v>
      </c>
      <c r="H1239" s="8" t="s">
        <v>3479</v>
      </c>
      <c r="I1239" s="9">
        <v>0.0</v>
      </c>
      <c r="J1239" s="9">
        <v>1402.0</v>
      </c>
      <c r="K1239" s="9">
        <v>1402.0</v>
      </c>
      <c r="L1239" s="9">
        <v>1402.0</v>
      </c>
      <c r="M1239" s="9">
        <v>478.0</v>
      </c>
      <c r="N1239" s="9">
        <v>0.0</v>
      </c>
      <c r="O1239" s="9">
        <v>924.0</v>
      </c>
      <c r="P1239" s="8" t="s">
        <v>3480</v>
      </c>
      <c r="Q1239" s="8" t="s">
        <v>9661</v>
      </c>
      <c r="R1239" s="8"/>
    </row>
    <row r="1240">
      <c r="A1240" s="8" t="s">
        <v>1649</v>
      </c>
      <c r="B1240" s="8" t="s">
        <v>9662</v>
      </c>
      <c r="C1240" s="8" t="s">
        <v>8816</v>
      </c>
      <c r="D1240" s="9">
        <v>8.830634258E9</v>
      </c>
      <c r="E1240" s="8" t="s">
        <v>8817</v>
      </c>
      <c r="F1240" s="8" t="s">
        <v>3908</v>
      </c>
      <c r="G1240" s="8" t="s">
        <v>9663</v>
      </c>
      <c r="H1240" s="8" t="s">
        <v>3479</v>
      </c>
      <c r="I1240" s="9">
        <v>0.0</v>
      </c>
      <c r="J1240" s="9">
        <v>1150.0</v>
      </c>
      <c r="K1240" s="9">
        <v>1150.0</v>
      </c>
      <c r="L1240" s="9">
        <v>1150.0</v>
      </c>
      <c r="M1240" s="9">
        <v>1150.0</v>
      </c>
      <c r="N1240" s="9">
        <v>0.0</v>
      </c>
      <c r="O1240" s="9">
        <v>0.0</v>
      </c>
      <c r="P1240" s="8" t="s">
        <v>3480</v>
      </c>
      <c r="Q1240" s="8"/>
      <c r="R1240" s="8"/>
    </row>
    <row r="1241">
      <c r="A1241" s="8" t="s">
        <v>1650</v>
      </c>
      <c r="B1241" s="8" t="s">
        <v>9664</v>
      </c>
      <c r="C1241" s="8" t="s">
        <v>4486</v>
      </c>
      <c r="D1241" s="9">
        <v>9.029912316E9</v>
      </c>
      <c r="E1241" s="8" t="s">
        <v>4487</v>
      </c>
      <c r="F1241" s="8" t="s">
        <v>3486</v>
      </c>
      <c r="G1241" s="8" t="s">
        <v>4488</v>
      </c>
      <c r="H1241" s="8" t="s">
        <v>3479</v>
      </c>
      <c r="I1241" s="9">
        <v>0.0</v>
      </c>
      <c r="J1241" s="9">
        <v>1150.0</v>
      </c>
      <c r="K1241" s="9">
        <v>1150.0</v>
      </c>
      <c r="L1241" s="9">
        <v>1150.0</v>
      </c>
      <c r="M1241" s="9">
        <v>1150.0</v>
      </c>
      <c r="N1241" s="9">
        <v>0.0</v>
      </c>
      <c r="O1241" s="9">
        <v>0.0</v>
      </c>
      <c r="P1241" s="8" t="s">
        <v>3480</v>
      </c>
      <c r="Q1241" s="8" t="s">
        <v>4489</v>
      </c>
      <c r="R1241" s="8" t="s">
        <v>4490</v>
      </c>
    </row>
    <row r="1242">
      <c r="A1242" s="8" t="s">
        <v>1651</v>
      </c>
      <c r="B1242" s="8" t="s">
        <v>9665</v>
      </c>
      <c r="C1242" s="8" t="s">
        <v>9666</v>
      </c>
      <c r="D1242" s="9">
        <v>8.956257499E9</v>
      </c>
      <c r="E1242" s="8" t="s">
        <v>9667</v>
      </c>
      <c r="F1242" s="8" t="s">
        <v>3594</v>
      </c>
      <c r="G1242" s="8" t="s">
        <v>9668</v>
      </c>
      <c r="H1242" s="8" t="s">
        <v>3479</v>
      </c>
      <c r="I1242" s="9">
        <v>0.0</v>
      </c>
      <c r="J1242" s="9">
        <v>950.0</v>
      </c>
      <c r="K1242" s="9">
        <v>950.0</v>
      </c>
      <c r="L1242" s="9">
        <v>950.0</v>
      </c>
      <c r="M1242" s="9">
        <v>850.0</v>
      </c>
      <c r="N1242" s="9">
        <v>0.0</v>
      </c>
      <c r="O1242" s="9">
        <v>100.0</v>
      </c>
      <c r="P1242" s="8" t="s">
        <v>3480</v>
      </c>
      <c r="Q1242" s="8"/>
      <c r="R1242" s="8"/>
    </row>
    <row r="1243">
      <c r="A1243" s="8" t="s">
        <v>1627</v>
      </c>
      <c r="B1243" s="8" t="s">
        <v>9669</v>
      </c>
      <c r="C1243" s="8" t="s">
        <v>9670</v>
      </c>
      <c r="D1243" s="9">
        <v>9.766125235E9</v>
      </c>
      <c r="E1243" s="8" t="s">
        <v>9671</v>
      </c>
      <c r="F1243" s="8" t="s">
        <v>3721</v>
      </c>
      <c r="G1243" s="8" t="s">
        <v>9672</v>
      </c>
      <c r="H1243" s="8" t="s">
        <v>3479</v>
      </c>
      <c r="I1243" s="9">
        <v>0.0</v>
      </c>
      <c r="J1243" s="9">
        <v>1423.0</v>
      </c>
      <c r="K1243" s="9">
        <v>1423.0</v>
      </c>
      <c r="L1243" s="9">
        <v>1423.0</v>
      </c>
      <c r="M1243" s="9">
        <v>160.0</v>
      </c>
      <c r="N1243" s="9">
        <v>739.0</v>
      </c>
      <c r="O1243" s="9">
        <v>524.0</v>
      </c>
      <c r="P1243" s="8" t="s">
        <v>3480</v>
      </c>
      <c r="Q1243" s="8" t="s">
        <v>9673</v>
      </c>
      <c r="R1243" s="8" t="s">
        <v>9674</v>
      </c>
    </row>
    <row r="1244">
      <c r="A1244" s="8" t="s">
        <v>1654</v>
      </c>
      <c r="B1244" s="8" t="s">
        <v>9675</v>
      </c>
      <c r="C1244" s="8" t="s">
        <v>9676</v>
      </c>
      <c r="D1244" s="9">
        <v>9.823151625E9</v>
      </c>
      <c r="E1244" s="8" t="s">
        <v>9677</v>
      </c>
      <c r="F1244" s="8" t="s">
        <v>3768</v>
      </c>
      <c r="G1244" s="8" t="s">
        <v>9678</v>
      </c>
      <c r="H1244" s="8" t="s">
        <v>3479</v>
      </c>
      <c r="I1244" s="9">
        <v>0.0</v>
      </c>
      <c r="J1244" s="9">
        <v>2323.0</v>
      </c>
      <c r="K1244" s="9">
        <v>2323.0</v>
      </c>
      <c r="L1244" s="9">
        <v>2323.0</v>
      </c>
      <c r="M1244" s="9">
        <v>750.0</v>
      </c>
      <c r="N1244" s="9">
        <v>849.0</v>
      </c>
      <c r="O1244" s="9">
        <v>724.0</v>
      </c>
      <c r="P1244" s="8" t="s">
        <v>3480</v>
      </c>
      <c r="Q1244" s="8" t="s">
        <v>9679</v>
      </c>
      <c r="R1244" s="8" t="s">
        <v>9680</v>
      </c>
    </row>
    <row r="1245">
      <c r="A1245" s="8" t="s">
        <v>1653</v>
      </c>
      <c r="B1245" s="8" t="s">
        <v>9681</v>
      </c>
      <c r="C1245" s="8" t="s">
        <v>9682</v>
      </c>
      <c r="D1245" s="9">
        <v>8.055960575E9</v>
      </c>
      <c r="E1245" s="8" t="s">
        <v>9683</v>
      </c>
      <c r="F1245" s="8" t="s">
        <v>4391</v>
      </c>
      <c r="G1245" s="8" t="s">
        <v>9684</v>
      </c>
      <c r="H1245" s="8" t="s">
        <v>3479</v>
      </c>
      <c r="I1245" s="9">
        <v>0.0</v>
      </c>
      <c r="J1245" s="9">
        <v>1500.0</v>
      </c>
      <c r="K1245" s="9">
        <v>1500.0</v>
      </c>
      <c r="L1245" s="9">
        <v>1500.0</v>
      </c>
      <c r="M1245" s="9">
        <v>1500.0</v>
      </c>
      <c r="N1245" s="9">
        <v>0.0</v>
      </c>
      <c r="O1245" s="9">
        <v>0.0</v>
      </c>
      <c r="P1245" s="8" t="s">
        <v>3480</v>
      </c>
      <c r="Q1245" s="8"/>
      <c r="R1245" s="8"/>
    </row>
    <row r="1246">
      <c r="A1246" s="8" t="s">
        <v>1655</v>
      </c>
      <c r="B1246" s="8" t="s">
        <v>9685</v>
      </c>
      <c r="C1246" s="8" t="s">
        <v>9686</v>
      </c>
      <c r="D1246" s="9">
        <v>9.70163254E9</v>
      </c>
      <c r="E1246" s="8" t="s">
        <v>9687</v>
      </c>
      <c r="F1246" s="8" t="s">
        <v>3589</v>
      </c>
      <c r="G1246" s="8" t="s">
        <v>9688</v>
      </c>
      <c r="H1246" s="8" t="s">
        <v>3479</v>
      </c>
      <c r="I1246" s="9">
        <v>0.0</v>
      </c>
      <c r="J1246" s="9">
        <v>1567.0</v>
      </c>
      <c r="K1246" s="9">
        <v>1567.0</v>
      </c>
      <c r="L1246" s="9">
        <v>1567.0</v>
      </c>
      <c r="M1246" s="9">
        <v>693.0</v>
      </c>
      <c r="N1246" s="9">
        <v>270.0</v>
      </c>
      <c r="O1246" s="9">
        <v>604.0</v>
      </c>
      <c r="P1246" s="8" t="s">
        <v>3480</v>
      </c>
      <c r="Q1246" s="8"/>
      <c r="R1246" s="8"/>
    </row>
    <row r="1247">
      <c r="A1247" s="8" t="s">
        <v>1656</v>
      </c>
      <c r="B1247" s="8" t="s">
        <v>9689</v>
      </c>
      <c r="C1247" s="8" t="s">
        <v>9690</v>
      </c>
      <c r="D1247" s="9">
        <v>9.56161304E9</v>
      </c>
      <c r="E1247" s="8" t="s">
        <v>9691</v>
      </c>
      <c r="F1247" s="8" t="s">
        <v>3959</v>
      </c>
      <c r="G1247" s="8" t="s">
        <v>9692</v>
      </c>
      <c r="H1247" s="8" t="s">
        <v>3479</v>
      </c>
      <c r="I1247" s="9">
        <v>0.0</v>
      </c>
      <c r="J1247" s="9">
        <v>2387.0</v>
      </c>
      <c r="K1247" s="9">
        <v>2387.0</v>
      </c>
      <c r="L1247" s="9">
        <v>2387.0</v>
      </c>
      <c r="M1247" s="9">
        <v>814.0</v>
      </c>
      <c r="N1247" s="9">
        <v>849.0</v>
      </c>
      <c r="O1247" s="9">
        <v>724.0</v>
      </c>
      <c r="P1247" s="8" t="s">
        <v>3480</v>
      </c>
      <c r="Q1247" s="8"/>
      <c r="R1247" s="8"/>
    </row>
    <row r="1248">
      <c r="A1248" s="8" t="s">
        <v>1652</v>
      </c>
      <c r="B1248" s="8" t="s">
        <v>9693</v>
      </c>
      <c r="C1248" s="8" t="s">
        <v>5214</v>
      </c>
      <c r="D1248" s="9">
        <v>8.087457453E9</v>
      </c>
      <c r="E1248" s="8" t="s">
        <v>9694</v>
      </c>
      <c r="F1248" s="8" t="s">
        <v>3594</v>
      </c>
      <c r="G1248" s="8" t="s">
        <v>9695</v>
      </c>
      <c r="H1248" s="8" t="s">
        <v>3479</v>
      </c>
      <c r="I1248" s="9">
        <v>0.0</v>
      </c>
      <c r="J1248" s="9">
        <v>2969.0</v>
      </c>
      <c r="K1248" s="9">
        <v>2969.0</v>
      </c>
      <c r="L1248" s="9">
        <v>2969.0</v>
      </c>
      <c r="M1248" s="9">
        <v>2694.0</v>
      </c>
      <c r="N1248" s="9">
        <v>0.0</v>
      </c>
      <c r="O1248" s="9">
        <v>275.0</v>
      </c>
      <c r="P1248" s="8" t="s">
        <v>3480</v>
      </c>
      <c r="Q1248" s="8" t="s">
        <v>9696</v>
      </c>
      <c r="R1248" s="8"/>
    </row>
    <row r="1249">
      <c r="A1249" s="8" t="s">
        <v>1658</v>
      </c>
      <c r="B1249" s="8" t="s">
        <v>9697</v>
      </c>
      <c r="C1249" s="8" t="s">
        <v>9698</v>
      </c>
      <c r="D1249" s="9">
        <v>8.087862122E9</v>
      </c>
      <c r="E1249" s="8" t="s">
        <v>9699</v>
      </c>
      <c r="F1249" s="8" t="s">
        <v>3653</v>
      </c>
      <c r="G1249" s="8" t="s">
        <v>9700</v>
      </c>
      <c r="H1249" s="8" t="s">
        <v>3479</v>
      </c>
      <c r="I1249" s="9">
        <v>0.0</v>
      </c>
      <c r="J1249" s="9">
        <v>5514.0</v>
      </c>
      <c r="K1249" s="9">
        <v>5514.0</v>
      </c>
      <c r="L1249" s="9">
        <v>5514.0</v>
      </c>
      <c r="M1249" s="9">
        <v>3776.0</v>
      </c>
      <c r="N1249" s="9">
        <v>914.0</v>
      </c>
      <c r="O1249" s="9">
        <v>824.0</v>
      </c>
      <c r="P1249" s="8" t="s">
        <v>3480</v>
      </c>
      <c r="Q1249" s="8"/>
      <c r="R1249" s="8"/>
    </row>
    <row r="1250">
      <c r="A1250" s="8" t="s">
        <v>1659</v>
      </c>
      <c r="B1250" s="8" t="s">
        <v>9701</v>
      </c>
      <c r="C1250" s="8" t="s">
        <v>9702</v>
      </c>
      <c r="D1250" s="9">
        <v>8.888823625E9</v>
      </c>
      <c r="E1250" s="8" t="s">
        <v>9703</v>
      </c>
      <c r="F1250" s="8" t="s">
        <v>3509</v>
      </c>
      <c r="G1250" s="8" t="s">
        <v>9704</v>
      </c>
      <c r="H1250" s="8" t="s">
        <v>3479</v>
      </c>
      <c r="I1250" s="9">
        <v>0.0</v>
      </c>
      <c r="J1250" s="9">
        <v>1552.0</v>
      </c>
      <c r="K1250" s="9">
        <v>1552.0</v>
      </c>
      <c r="L1250" s="9">
        <v>1552.0</v>
      </c>
      <c r="M1250" s="9">
        <v>373.0</v>
      </c>
      <c r="N1250" s="9">
        <v>730.0</v>
      </c>
      <c r="O1250" s="9">
        <v>449.0</v>
      </c>
      <c r="P1250" s="8" t="s">
        <v>3519</v>
      </c>
      <c r="Q1250" s="8"/>
      <c r="R1250" s="8"/>
    </row>
    <row r="1251">
      <c r="A1251" s="8" t="s">
        <v>1617</v>
      </c>
      <c r="B1251" s="8" t="s">
        <v>9705</v>
      </c>
      <c r="C1251" s="8" t="s">
        <v>9706</v>
      </c>
      <c r="D1251" s="9">
        <v>8.101388644E9</v>
      </c>
      <c r="E1251" s="8" t="s">
        <v>9707</v>
      </c>
      <c r="F1251" s="8" t="s">
        <v>4100</v>
      </c>
      <c r="G1251" s="8" t="s">
        <v>9708</v>
      </c>
      <c r="H1251" s="8" t="s">
        <v>3479</v>
      </c>
      <c r="I1251" s="9">
        <v>0.0</v>
      </c>
      <c r="J1251" s="9">
        <v>1808.0</v>
      </c>
      <c r="K1251" s="9">
        <v>1808.0</v>
      </c>
      <c r="L1251" s="9">
        <v>1808.0</v>
      </c>
      <c r="M1251" s="9">
        <v>620.0</v>
      </c>
      <c r="N1251" s="9">
        <v>739.0</v>
      </c>
      <c r="O1251" s="9">
        <v>449.0</v>
      </c>
      <c r="P1251" s="8" t="s">
        <v>3544</v>
      </c>
      <c r="Q1251" s="8" t="s">
        <v>9709</v>
      </c>
      <c r="R1251" s="8" t="s">
        <v>9710</v>
      </c>
    </row>
    <row r="1252">
      <c r="A1252" s="8" t="s">
        <v>1618</v>
      </c>
      <c r="B1252" s="8" t="s">
        <v>9711</v>
      </c>
      <c r="C1252" s="8" t="s">
        <v>9712</v>
      </c>
      <c r="D1252" s="9">
        <v>9.886513749E9</v>
      </c>
      <c r="E1252" s="8" t="s">
        <v>9713</v>
      </c>
      <c r="F1252" s="8" t="s">
        <v>6744</v>
      </c>
      <c r="G1252" s="8" t="s">
        <v>9714</v>
      </c>
      <c r="H1252" s="8" t="s">
        <v>3479</v>
      </c>
      <c r="I1252" s="9">
        <v>0.0</v>
      </c>
      <c r="J1252" s="9">
        <v>1865.0</v>
      </c>
      <c r="K1252" s="9">
        <v>1865.0</v>
      </c>
      <c r="L1252" s="9">
        <v>1865.0</v>
      </c>
      <c r="M1252" s="9">
        <v>417.0</v>
      </c>
      <c r="N1252" s="9">
        <v>849.0</v>
      </c>
      <c r="O1252" s="9">
        <v>599.0</v>
      </c>
      <c r="P1252" s="8" t="s">
        <v>3480</v>
      </c>
      <c r="Q1252" s="8" t="s">
        <v>9715</v>
      </c>
      <c r="R1252" s="8" t="s">
        <v>9716</v>
      </c>
    </row>
    <row r="1253">
      <c r="A1253" s="8" t="s">
        <v>85</v>
      </c>
      <c r="B1253" s="8" t="s">
        <v>9717</v>
      </c>
      <c r="C1253" s="8" t="s">
        <v>9718</v>
      </c>
      <c r="D1253" s="9">
        <v>7.798199237E9</v>
      </c>
      <c r="E1253" s="8" t="s">
        <v>9719</v>
      </c>
      <c r="F1253" s="8" t="s">
        <v>3589</v>
      </c>
      <c r="G1253" s="8" t="s">
        <v>9720</v>
      </c>
      <c r="H1253" s="8" t="s">
        <v>3479</v>
      </c>
      <c r="I1253" s="9">
        <v>0.0</v>
      </c>
      <c r="J1253" s="9">
        <v>2782.0</v>
      </c>
      <c r="K1253" s="9">
        <v>2782.0</v>
      </c>
      <c r="L1253" s="9">
        <v>2782.0</v>
      </c>
      <c r="M1253" s="9">
        <v>1563.0</v>
      </c>
      <c r="N1253" s="9">
        <v>695.0</v>
      </c>
      <c r="O1253" s="9">
        <v>524.0</v>
      </c>
      <c r="P1253" s="8" t="s">
        <v>3480</v>
      </c>
      <c r="Q1253" s="8" t="s">
        <v>9721</v>
      </c>
      <c r="R1253" s="8" t="s">
        <v>9722</v>
      </c>
    </row>
    <row r="1254">
      <c r="A1254" s="8" t="s">
        <v>86</v>
      </c>
      <c r="B1254" s="8" t="s">
        <v>9723</v>
      </c>
      <c r="C1254" s="8" t="s">
        <v>9724</v>
      </c>
      <c r="D1254" s="9">
        <v>8.86200555E9</v>
      </c>
      <c r="E1254" s="8" t="s">
        <v>9725</v>
      </c>
      <c r="F1254" s="8" t="s">
        <v>3707</v>
      </c>
      <c r="G1254" s="8" t="s">
        <v>9726</v>
      </c>
      <c r="H1254" s="8" t="s">
        <v>3479</v>
      </c>
      <c r="I1254" s="9">
        <v>0.0</v>
      </c>
      <c r="J1254" s="9">
        <v>3411.0</v>
      </c>
      <c r="K1254" s="9">
        <v>3411.0</v>
      </c>
      <c r="L1254" s="9">
        <v>3411.0</v>
      </c>
      <c r="M1254" s="9">
        <v>1539.0</v>
      </c>
      <c r="N1254" s="9">
        <v>898.0</v>
      </c>
      <c r="O1254" s="9">
        <v>974.0</v>
      </c>
      <c r="P1254" s="8" t="s">
        <v>3480</v>
      </c>
      <c r="Q1254" s="8" t="s">
        <v>9727</v>
      </c>
      <c r="R1254" s="8" t="s">
        <v>9728</v>
      </c>
    </row>
    <row r="1255">
      <c r="A1255" s="8" t="s">
        <v>1657</v>
      </c>
      <c r="B1255" s="8" t="s">
        <v>9729</v>
      </c>
      <c r="C1255" s="8" t="s">
        <v>9730</v>
      </c>
      <c r="D1255" s="9">
        <v>9.158444154E9</v>
      </c>
      <c r="E1255" s="8" t="s">
        <v>9731</v>
      </c>
      <c r="F1255" s="8" t="s">
        <v>3881</v>
      </c>
      <c r="G1255" s="8" t="s">
        <v>3966</v>
      </c>
      <c r="H1255" s="8" t="s">
        <v>3479</v>
      </c>
      <c r="I1255" s="9">
        <v>0.0</v>
      </c>
      <c r="J1255" s="9">
        <v>2554.0</v>
      </c>
      <c r="K1255" s="9">
        <v>2554.0</v>
      </c>
      <c r="L1255" s="9">
        <v>2554.0</v>
      </c>
      <c r="M1255" s="9">
        <v>1300.0</v>
      </c>
      <c r="N1255" s="9">
        <v>730.0</v>
      </c>
      <c r="O1255" s="9">
        <v>524.0</v>
      </c>
      <c r="P1255" s="8" t="s">
        <v>3480</v>
      </c>
      <c r="Q1255" s="8"/>
      <c r="R1255" s="8"/>
    </row>
    <row r="1256">
      <c r="A1256" s="8" t="s">
        <v>89</v>
      </c>
      <c r="B1256" s="8" t="s">
        <v>9732</v>
      </c>
      <c r="C1256" s="8" t="s">
        <v>9733</v>
      </c>
      <c r="D1256" s="9">
        <v>8.149576084E9</v>
      </c>
      <c r="E1256" s="8" t="s">
        <v>9734</v>
      </c>
      <c r="F1256" s="8" t="s">
        <v>3523</v>
      </c>
      <c r="G1256" s="8" t="s">
        <v>9735</v>
      </c>
      <c r="H1256" s="8" t="s">
        <v>3479</v>
      </c>
      <c r="I1256" s="9">
        <v>0.0</v>
      </c>
      <c r="J1256" s="9">
        <v>1414.0</v>
      </c>
      <c r="K1256" s="9">
        <v>1414.0</v>
      </c>
      <c r="L1256" s="9">
        <v>1414.0</v>
      </c>
      <c r="M1256" s="9">
        <v>160.0</v>
      </c>
      <c r="N1256" s="9">
        <v>730.0</v>
      </c>
      <c r="O1256" s="9">
        <v>524.0</v>
      </c>
      <c r="P1256" s="8" t="s">
        <v>3480</v>
      </c>
      <c r="Q1256" s="8" t="s">
        <v>9736</v>
      </c>
      <c r="R1256" s="8" t="s">
        <v>9737</v>
      </c>
    </row>
    <row r="1257">
      <c r="A1257" s="8" t="s">
        <v>88</v>
      </c>
      <c r="B1257" s="8" t="s">
        <v>9738</v>
      </c>
      <c r="C1257" s="8" t="s">
        <v>9739</v>
      </c>
      <c r="D1257" s="9">
        <v>9.373059244E9</v>
      </c>
      <c r="E1257" s="8" t="s">
        <v>9740</v>
      </c>
      <c r="F1257" s="8" t="s">
        <v>3959</v>
      </c>
      <c r="G1257" s="8" t="s">
        <v>9741</v>
      </c>
      <c r="H1257" s="8" t="s">
        <v>3479</v>
      </c>
      <c r="I1257" s="9">
        <v>0.0</v>
      </c>
      <c r="J1257" s="9">
        <v>1393.0</v>
      </c>
      <c r="K1257" s="9">
        <v>1393.0</v>
      </c>
      <c r="L1257" s="9">
        <v>1393.0</v>
      </c>
      <c r="M1257" s="9">
        <v>80.0</v>
      </c>
      <c r="N1257" s="9">
        <v>784.0</v>
      </c>
      <c r="O1257" s="9">
        <v>529.0</v>
      </c>
      <c r="P1257" s="8" t="s">
        <v>3480</v>
      </c>
      <c r="Q1257" s="8" t="s">
        <v>9742</v>
      </c>
      <c r="R1257" s="8"/>
    </row>
    <row r="1258">
      <c r="A1258" s="8" t="s">
        <v>90</v>
      </c>
      <c r="B1258" s="8" t="s">
        <v>9743</v>
      </c>
      <c r="C1258" s="8" t="s">
        <v>9744</v>
      </c>
      <c r="D1258" s="9">
        <v>8.792414467E9</v>
      </c>
      <c r="E1258" s="8" t="s">
        <v>9745</v>
      </c>
      <c r="F1258" s="8" t="s">
        <v>4029</v>
      </c>
      <c r="G1258" s="8" t="s">
        <v>9746</v>
      </c>
      <c r="H1258" s="8" t="s">
        <v>3479</v>
      </c>
      <c r="I1258" s="9">
        <v>0.0</v>
      </c>
      <c r="J1258" s="9">
        <v>2922.0</v>
      </c>
      <c r="K1258" s="9">
        <v>2922.0</v>
      </c>
      <c r="L1258" s="9">
        <v>2922.0</v>
      </c>
      <c r="M1258" s="9">
        <v>1360.0</v>
      </c>
      <c r="N1258" s="9">
        <v>838.0</v>
      </c>
      <c r="O1258" s="9">
        <v>724.0</v>
      </c>
      <c r="P1258" s="8" t="s">
        <v>3480</v>
      </c>
      <c r="Q1258" s="8" t="s">
        <v>9747</v>
      </c>
      <c r="R1258" s="8" t="s">
        <v>9748</v>
      </c>
    </row>
    <row r="1259">
      <c r="A1259" s="8" t="s">
        <v>91</v>
      </c>
      <c r="B1259" s="8" t="s">
        <v>9749</v>
      </c>
      <c r="C1259" s="8" t="s">
        <v>9750</v>
      </c>
      <c r="D1259" s="9">
        <v>7.499978924E9</v>
      </c>
      <c r="E1259" s="8" t="s">
        <v>9751</v>
      </c>
      <c r="F1259" s="8" t="s">
        <v>3768</v>
      </c>
      <c r="G1259" s="8" t="s">
        <v>9752</v>
      </c>
      <c r="H1259" s="8" t="s">
        <v>3479</v>
      </c>
      <c r="I1259" s="9">
        <v>0.0</v>
      </c>
      <c r="J1259" s="9">
        <v>2268.0</v>
      </c>
      <c r="K1259" s="9">
        <v>2268.0</v>
      </c>
      <c r="L1259" s="9">
        <v>2268.0</v>
      </c>
      <c r="M1259" s="9">
        <v>955.0</v>
      </c>
      <c r="N1259" s="9">
        <v>784.0</v>
      </c>
      <c r="O1259" s="9">
        <v>529.0</v>
      </c>
      <c r="P1259" s="8" t="s">
        <v>3480</v>
      </c>
      <c r="Q1259" s="8" t="s">
        <v>9753</v>
      </c>
      <c r="R1259" s="8" t="s">
        <v>9754</v>
      </c>
    </row>
    <row r="1260">
      <c r="A1260" s="8" t="s">
        <v>87</v>
      </c>
      <c r="B1260" s="8" t="s">
        <v>9755</v>
      </c>
      <c r="C1260" s="8" t="s">
        <v>4161</v>
      </c>
      <c r="D1260" s="9">
        <v>9.762867529E9</v>
      </c>
      <c r="E1260" s="8" t="s">
        <v>9756</v>
      </c>
      <c r="F1260" s="8" t="s">
        <v>5366</v>
      </c>
      <c r="G1260" s="8" t="s">
        <v>9757</v>
      </c>
      <c r="H1260" s="8" t="s">
        <v>3479</v>
      </c>
      <c r="I1260" s="9">
        <v>0.0</v>
      </c>
      <c r="J1260" s="9">
        <v>2501.0</v>
      </c>
      <c r="K1260" s="9">
        <v>2501.0</v>
      </c>
      <c r="L1260" s="9">
        <v>2501.0</v>
      </c>
      <c r="M1260" s="9">
        <v>152.0</v>
      </c>
      <c r="N1260" s="9">
        <v>900.0</v>
      </c>
      <c r="O1260" s="9">
        <v>1449.0</v>
      </c>
      <c r="P1260" s="8" t="s">
        <v>3480</v>
      </c>
      <c r="Q1260" s="8" t="s">
        <v>9758</v>
      </c>
      <c r="R1260" s="8" t="s">
        <v>9759</v>
      </c>
    </row>
    <row r="1261">
      <c r="A1261" s="8" t="s">
        <v>1620</v>
      </c>
      <c r="B1261" s="8" t="s">
        <v>9760</v>
      </c>
      <c r="C1261" s="8" t="s">
        <v>4790</v>
      </c>
      <c r="D1261" s="9">
        <v>9.028259208E9</v>
      </c>
      <c r="E1261" s="8" t="s">
        <v>4791</v>
      </c>
      <c r="F1261" s="8" t="s">
        <v>4792</v>
      </c>
      <c r="G1261" s="8" t="s">
        <v>9761</v>
      </c>
      <c r="H1261" s="8" t="s">
        <v>3479</v>
      </c>
      <c r="I1261" s="9">
        <v>0.0</v>
      </c>
      <c r="J1261" s="9">
        <v>1670.0</v>
      </c>
      <c r="K1261" s="9">
        <v>1670.0</v>
      </c>
      <c r="L1261" s="9">
        <v>1670.0</v>
      </c>
      <c r="M1261" s="9">
        <v>1395.0</v>
      </c>
      <c r="N1261" s="9">
        <v>0.0</v>
      </c>
      <c r="O1261" s="9">
        <v>275.0</v>
      </c>
      <c r="P1261" s="8" t="s">
        <v>3480</v>
      </c>
      <c r="Q1261" s="8" t="s">
        <v>4794</v>
      </c>
      <c r="R1261" s="8" t="s">
        <v>4795</v>
      </c>
    </row>
    <row r="1262">
      <c r="A1262" s="8" t="s">
        <v>1703</v>
      </c>
      <c r="B1262" s="8" t="s">
        <v>9762</v>
      </c>
      <c r="C1262" s="8" t="s">
        <v>6777</v>
      </c>
      <c r="D1262" s="9">
        <v>7.038982545E9</v>
      </c>
      <c r="E1262" s="8" t="s">
        <v>6778</v>
      </c>
      <c r="F1262" s="8" t="s">
        <v>6779</v>
      </c>
      <c r="G1262" s="8"/>
      <c r="H1262" s="8" t="s">
        <v>3479</v>
      </c>
      <c r="I1262" s="9">
        <v>0.0</v>
      </c>
      <c r="J1262" s="9">
        <v>2894.0</v>
      </c>
      <c r="K1262" s="9">
        <v>2894.0</v>
      </c>
      <c r="L1262" s="9">
        <v>2894.0</v>
      </c>
      <c r="M1262" s="9">
        <v>1935.0</v>
      </c>
      <c r="N1262" s="9">
        <v>584.0</v>
      </c>
      <c r="O1262" s="9">
        <v>375.0</v>
      </c>
      <c r="P1262" s="8" t="s">
        <v>3519</v>
      </c>
      <c r="Q1262" s="8" t="s">
        <v>6780</v>
      </c>
      <c r="R1262" s="8" t="s">
        <v>6781</v>
      </c>
    </row>
    <row r="1263">
      <c r="A1263" s="8" t="s">
        <v>1621</v>
      </c>
      <c r="B1263" s="8" t="s">
        <v>9763</v>
      </c>
      <c r="C1263" s="8" t="s">
        <v>9764</v>
      </c>
      <c r="D1263" s="9">
        <v>7.020482944E9</v>
      </c>
      <c r="E1263" s="8" t="s">
        <v>9765</v>
      </c>
      <c r="F1263" s="8" t="s">
        <v>3523</v>
      </c>
      <c r="G1263" s="8" t="s">
        <v>9766</v>
      </c>
      <c r="H1263" s="8" t="s">
        <v>3479</v>
      </c>
      <c r="I1263" s="9">
        <v>0.0</v>
      </c>
      <c r="J1263" s="9">
        <v>2837.0</v>
      </c>
      <c r="K1263" s="9">
        <v>2837.0</v>
      </c>
      <c r="L1263" s="9">
        <v>2837.0</v>
      </c>
      <c r="M1263" s="9">
        <v>2313.0</v>
      </c>
      <c r="N1263" s="9">
        <v>0.0</v>
      </c>
      <c r="O1263" s="9">
        <v>524.0</v>
      </c>
      <c r="P1263" s="8" t="s">
        <v>3480</v>
      </c>
      <c r="Q1263" s="8" t="s">
        <v>9767</v>
      </c>
      <c r="R1263" s="8" t="s">
        <v>9768</v>
      </c>
    </row>
    <row r="1264">
      <c r="A1264" s="8" t="s">
        <v>1705</v>
      </c>
      <c r="B1264" s="8" t="s">
        <v>9769</v>
      </c>
      <c r="C1264" s="8" t="s">
        <v>9770</v>
      </c>
      <c r="D1264" s="9">
        <v>9.404963646E9</v>
      </c>
      <c r="E1264" s="8" t="s">
        <v>9771</v>
      </c>
      <c r="F1264" s="8" t="s">
        <v>3608</v>
      </c>
      <c r="G1264" s="8" t="s">
        <v>9772</v>
      </c>
      <c r="H1264" s="8" t="s">
        <v>3479</v>
      </c>
      <c r="I1264" s="9">
        <v>0.0</v>
      </c>
      <c r="J1264" s="9">
        <v>1259.0</v>
      </c>
      <c r="K1264" s="9">
        <v>1259.0</v>
      </c>
      <c r="L1264" s="9">
        <v>1259.0</v>
      </c>
      <c r="M1264" s="9">
        <v>80.0</v>
      </c>
      <c r="N1264" s="9">
        <v>730.0</v>
      </c>
      <c r="O1264" s="9">
        <v>449.0</v>
      </c>
      <c r="P1264" s="8" t="s">
        <v>3480</v>
      </c>
      <c r="Q1264" s="8"/>
      <c r="R1264" s="8"/>
    </row>
    <row r="1265">
      <c r="A1265" s="8" t="s">
        <v>1721</v>
      </c>
      <c r="B1265" s="8" t="s">
        <v>9773</v>
      </c>
      <c r="C1265" s="8" t="s">
        <v>6712</v>
      </c>
      <c r="D1265" s="9">
        <v>9.881889367E9</v>
      </c>
      <c r="E1265" s="8" t="s">
        <v>6713</v>
      </c>
      <c r="F1265" s="8" t="s">
        <v>3486</v>
      </c>
      <c r="G1265" s="8" t="s">
        <v>3494</v>
      </c>
      <c r="H1265" s="8" t="s">
        <v>3479</v>
      </c>
      <c r="I1265" s="9">
        <v>0.0</v>
      </c>
      <c r="J1265" s="9">
        <v>1082.0</v>
      </c>
      <c r="K1265" s="9">
        <v>1082.0</v>
      </c>
      <c r="L1265" s="9">
        <v>1082.0</v>
      </c>
      <c r="M1265" s="9">
        <v>982.0</v>
      </c>
      <c r="N1265" s="9">
        <v>0.0</v>
      </c>
      <c r="O1265" s="9">
        <v>100.0</v>
      </c>
      <c r="P1265" s="8" t="s">
        <v>3480</v>
      </c>
      <c r="Q1265" s="8" t="s">
        <v>6715</v>
      </c>
      <c r="R1265" s="8" t="s">
        <v>6716</v>
      </c>
    </row>
    <row r="1266">
      <c r="A1266" s="8" t="s">
        <v>1689</v>
      </c>
      <c r="B1266" s="8" t="s">
        <v>9774</v>
      </c>
      <c r="C1266" s="8" t="s">
        <v>9775</v>
      </c>
      <c r="D1266" s="9">
        <v>7.587488517E9</v>
      </c>
      <c r="E1266" s="8" t="s">
        <v>9776</v>
      </c>
      <c r="F1266" s="8" t="s">
        <v>9777</v>
      </c>
      <c r="G1266" s="8" t="s">
        <v>3494</v>
      </c>
      <c r="H1266" s="8" t="s">
        <v>3479</v>
      </c>
      <c r="I1266" s="9">
        <v>0.0</v>
      </c>
      <c r="J1266" s="9">
        <v>1368.0</v>
      </c>
      <c r="K1266" s="9">
        <v>1368.0</v>
      </c>
      <c r="L1266" s="9">
        <v>1368.0</v>
      </c>
      <c r="M1266" s="9">
        <v>145.0</v>
      </c>
      <c r="N1266" s="9">
        <v>774.0</v>
      </c>
      <c r="O1266" s="9">
        <v>449.0</v>
      </c>
      <c r="P1266" s="8" t="s">
        <v>3480</v>
      </c>
      <c r="Q1266" s="8"/>
      <c r="R1266" s="8"/>
    </row>
    <row r="1267">
      <c r="A1267" s="8" t="s">
        <v>1704</v>
      </c>
      <c r="B1267" s="8" t="s">
        <v>9778</v>
      </c>
      <c r="C1267" s="8" t="s">
        <v>9779</v>
      </c>
      <c r="D1267" s="9">
        <v>9.82203111E9</v>
      </c>
      <c r="E1267" s="8" t="s">
        <v>9780</v>
      </c>
      <c r="F1267" s="8" t="s">
        <v>3486</v>
      </c>
      <c r="G1267" s="8" t="s">
        <v>9781</v>
      </c>
      <c r="H1267" s="8" t="s">
        <v>3479</v>
      </c>
      <c r="I1267" s="9">
        <v>0.0</v>
      </c>
      <c r="J1267" s="9">
        <v>2600.0</v>
      </c>
      <c r="K1267" s="9">
        <v>2600.0</v>
      </c>
      <c r="L1267" s="9">
        <v>2600.0</v>
      </c>
      <c r="M1267" s="9">
        <v>2600.0</v>
      </c>
      <c r="N1267" s="9">
        <v>0.0</v>
      </c>
      <c r="O1267" s="9">
        <v>0.0</v>
      </c>
      <c r="P1267" s="8" t="s">
        <v>3519</v>
      </c>
      <c r="Q1267" s="8"/>
      <c r="R1267" s="8"/>
    </row>
    <row r="1268">
      <c r="A1268" s="8" t="s">
        <v>1751</v>
      </c>
      <c r="B1268" s="8" t="s">
        <v>9782</v>
      </c>
      <c r="C1268" s="8" t="s">
        <v>8804</v>
      </c>
      <c r="D1268" s="9">
        <v>9.623295801E9</v>
      </c>
      <c r="E1268" s="8" t="s">
        <v>8805</v>
      </c>
      <c r="F1268" s="8" t="s">
        <v>3523</v>
      </c>
      <c r="G1268" s="8" t="s">
        <v>9783</v>
      </c>
      <c r="H1268" s="8" t="s">
        <v>3479</v>
      </c>
      <c r="I1268" s="9">
        <v>0.0</v>
      </c>
      <c r="J1268" s="9">
        <v>2781.0</v>
      </c>
      <c r="K1268" s="9">
        <v>2781.0</v>
      </c>
      <c r="L1268" s="9">
        <v>2781.0</v>
      </c>
      <c r="M1268" s="9">
        <v>1518.0</v>
      </c>
      <c r="N1268" s="9">
        <v>739.0</v>
      </c>
      <c r="O1268" s="9">
        <v>524.0</v>
      </c>
      <c r="P1268" s="8" t="s">
        <v>3544</v>
      </c>
      <c r="Q1268" s="8" t="s">
        <v>8807</v>
      </c>
      <c r="R1268" s="8" t="s">
        <v>8808</v>
      </c>
    </row>
    <row r="1269">
      <c r="A1269" s="8" t="s">
        <v>1619</v>
      </c>
      <c r="B1269" s="8" t="s">
        <v>9784</v>
      </c>
      <c r="C1269" s="8" t="s">
        <v>9785</v>
      </c>
      <c r="D1269" s="9">
        <v>9.552429521E9</v>
      </c>
      <c r="E1269" s="8" t="s">
        <v>9786</v>
      </c>
      <c r="F1269" s="8" t="s">
        <v>3908</v>
      </c>
      <c r="G1269" s="8" t="s">
        <v>9787</v>
      </c>
      <c r="H1269" s="8" t="s">
        <v>9788</v>
      </c>
      <c r="I1269" s="9">
        <v>0.0</v>
      </c>
      <c r="J1269" s="9">
        <v>4800.0</v>
      </c>
      <c r="K1269" s="9">
        <v>4932.0</v>
      </c>
      <c r="L1269" s="9">
        <v>4800.0</v>
      </c>
      <c r="M1269" s="9">
        <v>2834.0</v>
      </c>
      <c r="N1269" s="9">
        <v>849.0</v>
      </c>
      <c r="O1269" s="9">
        <v>1249.0</v>
      </c>
      <c r="P1269" s="8" t="s">
        <v>3480</v>
      </c>
      <c r="Q1269" s="8" t="s">
        <v>9789</v>
      </c>
      <c r="R1269" s="8" t="s">
        <v>9790</v>
      </c>
    </row>
    <row r="1270">
      <c r="A1270" s="8" t="s">
        <v>1733</v>
      </c>
      <c r="B1270" s="8" t="s">
        <v>9791</v>
      </c>
      <c r="C1270" s="8" t="s">
        <v>9489</v>
      </c>
      <c r="D1270" s="9">
        <v>9.146526026E9</v>
      </c>
      <c r="E1270" s="8" t="s">
        <v>9490</v>
      </c>
      <c r="F1270" s="8" t="s">
        <v>3550</v>
      </c>
      <c r="G1270" s="8" t="s">
        <v>9792</v>
      </c>
      <c r="H1270" s="8" t="s">
        <v>3479</v>
      </c>
      <c r="I1270" s="9">
        <v>0.0</v>
      </c>
      <c r="J1270" s="9">
        <v>819.0</v>
      </c>
      <c r="K1270" s="9">
        <v>819.0</v>
      </c>
      <c r="L1270" s="9">
        <v>819.0</v>
      </c>
      <c r="M1270" s="9">
        <v>80.0</v>
      </c>
      <c r="N1270" s="9">
        <v>739.0</v>
      </c>
      <c r="O1270" s="9">
        <v>0.0</v>
      </c>
      <c r="P1270" s="8" t="s">
        <v>3480</v>
      </c>
      <c r="Q1270" s="8" t="s">
        <v>9492</v>
      </c>
      <c r="R1270" s="8" t="s">
        <v>9493</v>
      </c>
    </row>
    <row r="1271">
      <c r="A1271" s="8" t="s">
        <v>1691</v>
      </c>
      <c r="B1271" s="8" t="s">
        <v>9793</v>
      </c>
      <c r="C1271" s="8" t="s">
        <v>9794</v>
      </c>
      <c r="D1271" s="9">
        <v>9.61930052E9</v>
      </c>
      <c r="E1271" s="8" t="s">
        <v>9795</v>
      </c>
      <c r="F1271" s="8" t="s">
        <v>5179</v>
      </c>
      <c r="G1271" s="8" t="s">
        <v>9796</v>
      </c>
      <c r="H1271" s="8" t="s">
        <v>3479</v>
      </c>
      <c r="I1271" s="9">
        <v>0.0</v>
      </c>
      <c r="J1271" s="9">
        <v>529.0</v>
      </c>
      <c r="K1271" s="9">
        <v>529.0</v>
      </c>
      <c r="L1271" s="9">
        <v>529.0</v>
      </c>
      <c r="M1271" s="9">
        <v>80.0</v>
      </c>
      <c r="N1271" s="9">
        <v>0.0</v>
      </c>
      <c r="O1271" s="9">
        <v>449.0</v>
      </c>
      <c r="P1271" s="8" t="s">
        <v>3519</v>
      </c>
      <c r="Q1271" s="8" t="s">
        <v>9797</v>
      </c>
      <c r="R1271" s="8" t="s">
        <v>9798</v>
      </c>
    </row>
    <row r="1272">
      <c r="A1272" s="8" t="s">
        <v>1750</v>
      </c>
      <c r="B1272" s="8" t="s">
        <v>9799</v>
      </c>
      <c r="C1272" s="8" t="s">
        <v>9800</v>
      </c>
      <c r="D1272" s="9">
        <v>8.788593827E9</v>
      </c>
      <c r="E1272" s="8" t="s">
        <v>9801</v>
      </c>
      <c r="F1272" s="8" t="s">
        <v>3589</v>
      </c>
      <c r="G1272" s="8" t="s">
        <v>9802</v>
      </c>
      <c r="H1272" s="8" t="s">
        <v>3479</v>
      </c>
      <c r="I1272" s="9">
        <v>0.0</v>
      </c>
      <c r="J1272" s="9">
        <v>3549.0</v>
      </c>
      <c r="K1272" s="9">
        <v>3549.0</v>
      </c>
      <c r="L1272" s="9">
        <v>3549.0</v>
      </c>
      <c r="M1272" s="9">
        <v>3020.0</v>
      </c>
      <c r="N1272" s="9">
        <v>80.0</v>
      </c>
      <c r="O1272" s="9">
        <v>449.0</v>
      </c>
      <c r="P1272" s="8" t="s">
        <v>3480</v>
      </c>
      <c r="Q1272" s="8"/>
      <c r="R1272" s="8"/>
    </row>
    <row r="1273">
      <c r="A1273" s="8" t="s">
        <v>1690</v>
      </c>
      <c r="B1273" s="8" t="s">
        <v>9803</v>
      </c>
      <c r="C1273" s="8" t="s">
        <v>9804</v>
      </c>
      <c r="D1273" s="9">
        <v>9.561516136E9</v>
      </c>
      <c r="E1273" s="8" t="s">
        <v>9805</v>
      </c>
      <c r="F1273" s="8" t="s">
        <v>3846</v>
      </c>
      <c r="G1273" s="8" t="s">
        <v>5097</v>
      </c>
      <c r="H1273" s="8" t="s">
        <v>3479</v>
      </c>
      <c r="I1273" s="9">
        <v>0.0</v>
      </c>
      <c r="J1273" s="9">
        <v>3020.0</v>
      </c>
      <c r="K1273" s="9">
        <v>3020.0</v>
      </c>
      <c r="L1273" s="9">
        <v>3020.0</v>
      </c>
      <c r="M1273" s="9">
        <v>1181.0</v>
      </c>
      <c r="N1273" s="9">
        <v>965.0</v>
      </c>
      <c r="O1273" s="9">
        <v>874.0</v>
      </c>
      <c r="P1273" s="8" t="s">
        <v>3544</v>
      </c>
      <c r="Q1273" s="8" t="s">
        <v>9806</v>
      </c>
      <c r="R1273" s="8" t="s">
        <v>9807</v>
      </c>
    </row>
    <row r="1274">
      <c r="A1274" s="8" t="s">
        <v>1693</v>
      </c>
      <c r="B1274" s="8" t="s">
        <v>9808</v>
      </c>
      <c r="C1274" s="8" t="s">
        <v>9809</v>
      </c>
      <c r="D1274" s="9">
        <v>8.237582429E9</v>
      </c>
      <c r="E1274" s="8" t="s">
        <v>9810</v>
      </c>
      <c r="F1274" s="8" t="s">
        <v>5485</v>
      </c>
      <c r="G1274" s="8" t="s">
        <v>9811</v>
      </c>
      <c r="H1274" s="8" t="s">
        <v>3479</v>
      </c>
      <c r="I1274" s="9">
        <v>0.0</v>
      </c>
      <c r="J1274" s="9">
        <v>2565.0</v>
      </c>
      <c r="K1274" s="9">
        <v>2565.0</v>
      </c>
      <c r="L1274" s="9">
        <v>2565.0</v>
      </c>
      <c r="M1274" s="9">
        <v>641.0</v>
      </c>
      <c r="N1274" s="9">
        <v>900.0</v>
      </c>
      <c r="O1274" s="9">
        <v>1024.0</v>
      </c>
      <c r="P1274" s="8" t="s">
        <v>3544</v>
      </c>
      <c r="Q1274" s="8" t="s">
        <v>9812</v>
      </c>
      <c r="R1274" s="8" t="s">
        <v>9813</v>
      </c>
    </row>
    <row r="1275">
      <c r="A1275" s="8" t="s">
        <v>1695</v>
      </c>
      <c r="B1275" s="8" t="s">
        <v>9814</v>
      </c>
      <c r="C1275" s="8" t="s">
        <v>9815</v>
      </c>
      <c r="D1275" s="9">
        <v>9.739081041E9</v>
      </c>
      <c r="E1275" s="8" t="s">
        <v>9816</v>
      </c>
      <c r="F1275" s="8" t="s">
        <v>3564</v>
      </c>
      <c r="G1275" s="8" t="s">
        <v>9817</v>
      </c>
      <c r="H1275" s="8" t="s">
        <v>3479</v>
      </c>
      <c r="I1275" s="9">
        <v>0.0</v>
      </c>
      <c r="J1275" s="9">
        <v>1792.0</v>
      </c>
      <c r="K1275" s="9">
        <v>1792.0</v>
      </c>
      <c r="L1275" s="9">
        <v>1792.0</v>
      </c>
      <c r="M1275" s="9">
        <v>853.0</v>
      </c>
      <c r="N1275" s="9">
        <v>190.0</v>
      </c>
      <c r="O1275" s="9">
        <v>749.0</v>
      </c>
      <c r="P1275" s="8" t="s">
        <v>3480</v>
      </c>
      <c r="Q1275" s="8" t="s">
        <v>9818</v>
      </c>
      <c r="R1275" s="8" t="s">
        <v>9819</v>
      </c>
    </row>
    <row r="1276">
      <c r="A1276" s="8" t="s">
        <v>1696</v>
      </c>
      <c r="B1276" s="8" t="s">
        <v>9820</v>
      </c>
      <c r="C1276" s="8" t="s">
        <v>9821</v>
      </c>
      <c r="D1276" s="9">
        <v>9.503243996E9</v>
      </c>
      <c r="E1276" s="8" t="s">
        <v>9822</v>
      </c>
      <c r="F1276" s="8" t="s">
        <v>3594</v>
      </c>
      <c r="G1276" s="8" t="s">
        <v>9823</v>
      </c>
      <c r="H1276" s="8" t="s">
        <v>3479</v>
      </c>
      <c r="I1276" s="9">
        <v>0.0</v>
      </c>
      <c r="J1276" s="9">
        <v>2317.0</v>
      </c>
      <c r="K1276" s="9">
        <v>2317.0</v>
      </c>
      <c r="L1276" s="9">
        <v>2317.0</v>
      </c>
      <c r="M1276" s="9">
        <v>1054.0</v>
      </c>
      <c r="N1276" s="9">
        <v>739.0</v>
      </c>
      <c r="O1276" s="9">
        <v>524.0</v>
      </c>
      <c r="P1276" s="8" t="s">
        <v>3480</v>
      </c>
      <c r="Q1276" s="8"/>
      <c r="R1276" s="8"/>
    </row>
    <row r="1277">
      <c r="A1277" s="8" t="s">
        <v>1706</v>
      </c>
      <c r="B1277" s="8" t="s">
        <v>9824</v>
      </c>
      <c r="C1277" s="8" t="s">
        <v>9014</v>
      </c>
      <c r="D1277" s="9">
        <v>7.888008424E9</v>
      </c>
      <c r="E1277" s="8" t="s">
        <v>9015</v>
      </c>
      <c r="F1277" s="8" t="s">
        <v>6118</v>
      </c>
      <c r="G1277" s="8" t="s">
        <v>9825</v>
      </c>
      <c r="H1277" s="8" t="s">
        <v>3479</v>
      </c>
      <c r="I1277" s="9">
        <v>0.0</v>
      </c>
      <c r="J1277" s="9">
        <v>1259.0</v>
      </c>
      <c r="K1277" s="9">
        <v>1259.0</v>
      </c>
      <c r="L1277" s="9">
        <v>1259.0</v>
      </c>
      <c r="M1277" s="9">
        <v>80.0</v>
      </c>
      <c r="N1277" s="9">
        <v>730.0</v>
      </c>
      <c r="O1277" s="9">
        <v>449.0</v>
      </c>
      <c r="P1277" s="8" t="s">
        <v>3480</v>
      </c>
      <c r="Q1277" s="8"/>
      <c r="R1277" s="8"/>
    </row>
    <row r="1278">
      <c r="A1278" s="8" t="s">
        <v>1707</v>
      </c>
      <c r="B1278" s="8" t="s">
        <v>9826</v>
      </c>
      <c r="C1278" s="8" t="s">
        <v>9827</v>
      </c>
      <c r="D1278" s="9">
        <v>9.021060052E9</v>
      </c>
      <c r="E1278" s="8" t="s">
        <v>9828</v>
      </c>
      <c r="F1278" s="8" t="s">
        <v>3954</v>
      </c>
      <c r="G1278" s="8" t="s">
        <v>9829</v>
      </c>
      <c r="H1278" s="8" t="s">
        <v>3479</v>
      </c>
      <c r="I1278" s="9">
        <v>0.0</v>
      </c>
      <c r="J1278" s="9">
        <v>1874.0</v>
      </c>
      <c r="K1278" s="9">
        <v>1874.0</v>
      </c>
      <c r="L1278" s="9">
        <v>1874.0</v>
      </c>
      <c r="M1278" s="9">
        <v>750.0</v>
      </c>
      <c r="N1278" s="9">
        <v>0.0</v>
      </c>
      <c r="O1278" s="9">
        <v>1124.0</v>
      </c>
      <c r="P1278" s="8" t="s">
        <v>3480</v>
      </c>
      <c r="Q1278" s="8"/>
      <c r="R1278" s="8"/>
    </row>
    <row r="1279">
      <c r="A1279" s="8" t="s">
        <v>1708</v>
      </c>
      <c r="B1279" s="8" t="s">
        <v>9830</v>
      </c>
      <c r="C1279" s="8" t="s">
        <v>9831</v>
      </c>
      <c r="D1279" s="9">
        <v>8.626061848E9</v>
      </c>
      <c r="E1279" s="8" t="s">
        <v>9832</v>
      </c>
      <c r="F1279" s="8" t="s">
        <v>3869</v>
      </c>
      <c r="G1279" s="8" t="s">
        <v>9833</v>
      </c>
      <c r="H1279" s="8" t="s">
        <v>3479</v>
      </c>
      <c r="I1279" s="9">
        <v>0.0</v>
      </c>
      <c r="J1279" s="9">
        <v>2314.0</v>
      </c>
      <c r="K1279" s="9">
        <v>2314.0</v>
      </c>
      <c r="L1279" s="9">
        <v>2314.0</v>
      </c>
      <c r="M1279" s="9">
        <v>1081.0</v>
      </c>
      <c r="N1279" s="9">
        <v>784.0</v>
      </c>
      <c r="O1279" s="9">
        <v>449.0</v>
      </c>
      <c r="P1279" s="8" t="s">
        <v>3480</v>
      </c>
      <c r="Q1279" s="8" t="s">
        <v>9834</v>
      </c>
      <c r="R1279" s="8" t="s">
        <v>9835</v>
      </c>
    </row>
    <row r="1280">
      <c r="A1280" s="8" t="s">
        <v>1734</v>
      </c>
      <c r="B1280" s="8" t="s">
        <v>9836</v>
      </c>
      <c r="C1280" s="8" t="s">
        <v>6749</v>
      </c>
      <c r="D1280" s="9">
        <v>9.746902446E9</v>
      </c>
      <c r="E1280" s="8" t="s">
        <v>6750</v>
      </c>
      <c r="F1280" s="8" t="s">
        <v>4436</v>
      </c>
      <c r="G1280" s="8" t="s">
        <v>9837</v>
      </c>
      <c r="H1280" s="8" t="s">
        <v>3479</v>
      </c>
      <c r="I1280" s="9">
        <v>0.0</v>
      </c>
      <c r="J1280" s="9">
        <v>1923.0</v>
      </c>
      <c r="K1280" s="9">
        <v>1923.0</v>
      </c>
      <c r="L1280" s="9">
        <v>1923.0</v>
      </c>
      <c r="M1280" s="9">
        <v>690.0</v>
      </c>
      <c r="N1280" s="9">
        <v>784.0</v>
      </c>
      <c r="O1280" s="9">
        <v>449.0</v>
      </c>
      <c r="P1280" s="8" t="s">
        <v>3480</v>
      </c>
      <c r="Q1280" s="8"/>
      <c r="R1280" s="8" t="s">
        <v>6752</v>
      </c>
    </row>
    <row r="1281">
      <c r="A1281" s="8" t="s">
        <v>1709</v>
      </c>
      <c r="B1281" s="8" t="s">
        <v>9838</v>
      </c>
      <c r="C1281" s="8" t="s">
        <v>4743</v>
      </c>
      <c r="D1281" s="9">
        <v>9.429488181E9</v>
      </c>
      <c r="E1281" s="8" t="s">
        <v>9839</v>
      </c>
      <c r="F1281" s="8" t="s">
        <v>9840</v>
      </c>
      <c r="G1281" s="8" t="s">
        <v>9841</v>
      </c>
      <c r="H1281" s="8" t="s">
        <v>3479</v>
      </c>
      <c r="I1281" s="9">
        <v>0.0</v>
      </c>
      <c r="J1281" s="9">
        <v>1810.0</v>
      </c>
      <c r="K1281" s="9">
        <v>1810.0</v>
      </c>
      <c r="L1281" s="9">
        <v>1810.0</v>
      </c>
      <c r="M1281" s="9">
        <v>327.0</v>
      </c>
      <c r="N1281" s="9">
        <v>784.0</v>
      </c>
      <c r="O1281" s="9">
        <v>699.0</v>
      </c>
      <c r="P1281" s="8" t="s">
        <v>3480</v>
      </c>
      <c r="Q1281" s="8"/>
      <c r="R1281" s="8"/>
    </row>
    <row r="1282">
      <c r="A1282" s="8" t="s">
        <v>1677</v>
      </c>
      <c r="B1282" s="8" t="s">
        <v>9842</v>
      </c>
      <c r="C1282" s="8" t="s">
        <v>8376</v>
      </c>
      <c r="D1282" s="9">
        <v>9.881008708E9</v>
      </c>
      <c r="E1282" s="8" t="s">
        <v>8377</v>
      </c>
      <c r="F1282" s="8" t="s">
        <v>8378</v>
      </c>
      <c r="G1282" s="8" t="s">
        <v>9843</v>
      </c>
      <c r="H1282" s="8" t="s">
        <v>3479</v>
      </c>
      <c r="I1282" s="9">
        <v>0.0</v>
      </c>
      <c r="J1282" s="9">
        <v>1679.0</v>
      </c>
      <c r="K1282" s="9">
        <v>1679.0</v>
      </c>
      <c r="L1282" s="9">
        <v>1679.0</v>
      </c>
      <c r="M1282" s="9">
        <v>500.0</v>
      </c>
      <c r="N1282" s="9">
        <v>730.0</v>
      </c>
      <c r="O1282" s="9">
        <v>449.0</v>
      </c>
      <c r="P1282" s="8" t="s">
        <v>3480</v>
      </c>
      <c r="Q1282" s="8" t="s">
        <v>8380</v>
      </c>
      <c r="R1282" s="8" t="s">
        <v>8381</v>
      </c>
    </row>
    <row r="1283">
      <c r="A1283" s="8" t="s">
        <v>1678</v>
      </c>
      <c r="B1283" s="8" t="s">
        <v>9844</v>
      </c>
      <c r="C1283" s="8" t="s">
        <v>8927</v>
      </c>
      <c r="D1283" s="9">
        <v>8.380934175E9</v>
      </c>
      <c r="E1283" s="8" t="s">
        <v>8928</v>
      </c>
      <c r="F1283" s="8" t="s">
        <v>3594</v>
      </c>
      <c r="G1283" s="8" t="s">
        <v>9845</v>
      </c>
      <c r="H1283" s="8" t="s">
        <v>3479</v>
      </c>
      <c r="I1283" s="9">
        <v>0.0</v>
      </c>
      <c r="J1283" s="9">
        <v>1966.0</v>
      </c>
      <c r="K1283" s="9">
        <v>1966.0</v>
      </c>
      <c r="L1283" s="9">
        <v>1966.0</v>
      </c>
      <c r="M1283" s="9">
        <v>588.0</v>
      </c>
      <c r="N1283" s="9">
        <v>854.0</v>
      </c>
      <c r="O1283" s="9">
        <v>524.0</v>
      </c>
      <c r="P1283" s="8" t="s">
        <v>3480</v>
      </c>
      <c r="Q1283" s="8" t="s">
        <v>8930</v>
      </c>
      <c r="R1283" s="8" t="s">
        <v>8931</v>
      </c>
    </row>
    <row r="1284">
      <c r="A1284" s="8" t="s">
        <v>1679</v>
      </c>
      <c r="B1284" s="8" t="s">
        <v>9846</v>
      </c>
      <c r="C1284" s="8" t="s">
        <v>9847</v>
      </c>
      <c r="D1284" s="9">
        <v>7.709881219E9</v>
      </c>
      <c r="E1284" s="8" t="s">
        <v>8065</v>
      </c>
      <c r="F1284" s="8" t="s">
        <v>3653</v>
      </c>
      <c r="G1284" s="8" t="s">
        <v>9848</v>
      </c>
      <c r="H1284" s="8" t="s">
        <v>9849</v>
      </c>
      <c r="I1284" s="9">
        <v>0.0</v>
      </c>
      <c r="J1284" s="9">
        <v>2400.0</v>
      </c>
      <c r="K1284" s="9">
        <v>2427.0</v>
      </c>
      <c r="L1284" s="9">
        <v>2400.0</v>
      </c>
      <c r="M1284" s="9">
        <v>929.0</v>
      </c>
      <c r="N1284" s="9">
        <v>774.0</v>
      </c>
      <c r="O1284" s="9">
        <v>724.0</v>
      </c>
      <c r="P1284" s="8" t="s">
        <v>3480</v>
      </c>
      <c r="Q1284" s="8" t="s">
        <v>8067</v>
      </c>
      <c r="R1284" s="8" t="s">
        <v>8068</v>
      </c>
    </row>
    <row r="1285">
      <c r="A1285" s="8" t="s">
        <v>1680</v>
      </c>
      <c r="B1285" s="8" t="s">
        <v>9850</v>
      </c>
      <c r="C1285" s="8" t="s">
        <v>9851</v>
      </c>
      <c r="D1285" s="9">
        <v>8.805328527E9</v>
      </c>
      <c r="E1285" s="8" t="s">
        <v>9852</v>
      </c>
      <c r="F1285" s="8" t="s">
        <v>3542</v>
      </c>
      <c r="G1285" s="8" t="s">
        <v>9853</v>
      </c>
      <c r="H1285" s="8" t="s">
        <v>3479</v>
      </c>
      <c r="I1285" s="9">
        <v>0.0</v>
      </c>
      <c r="J1285" s="9">
        <v>1150.0</v>
      </c>
      <c r="K1285" s="9">
        <v>1150.0</v>
      </c>
      <c r="L1285" s="9">
        <v>1150.0</v>
      </c>
      <c r="M1285" s="9">
        <v>1150.0</v>
      </c>
      <c r="N1285" s="9">
        <v>0.0</v>
      </c>
      <c r="O1285" s="9">
        <v>0.0</v>
      </c>
      <c r="P1285" s="8" t="s">
        <v>3480</v>
      </c>
      <c r="Q1285" s="8" t="s">
        <v>9854</v>
      </c>
      <c r="R1285" s="8" t="s">
        <v>9855</v>
      </c>
    </row>
    <row r="1286">
      <c r="A1286" s="8" t="s">
        <v>1694</v>
      </c>
      <c r="B1286" s="8" t="s">
        <v>9856</v>
      </c>
      <c r="C1286" s="8" t="s">
        <v>9857</v>
      </c>
      <c r="D1286" s="9">
        <v>9.850801538E9</v>
      </c>
      <c r="E1286" s="8" t="s">
        <v>9858</v>
      </c>
      <c r="F1286" s="8" t="s">
        <v>3809</v>
      </c>
      <c r="G1286" s="8" t="s">
        <v>9859</v>
      </c>
      <c r="H1286" s="8" t="s">
        <v>3479</v>
      </c>
      <c r="I1286" s="9">
        <v>0.0</v>
      </c>
      <c r="J1286" s="9">
        <v>1164.0</v>
      </c>
      <c r="K1286" s="9">
        <v>1164.0</v>
      </c>
      <c r="L1286" s="9">
        <v>1164.0</v>
      </c>
      <c r="M1286" s="9">
        <v>225.0</v>
      </c>
      <c r="N1286" s="9">
        <v>190.0</v>
      </c>
      <c r="O1286" s="9">
        <v>749.0</v>
      </c>
      <c r="P1286" s="8" t="s">
        <v>3480</v>
      </c>
      <c r="Q1286" s="8" t="s">
        <v>9860</v>
      </c>
      <c r="R1286" s="8" t="s">
        <v>9861</v>
      </c>
    </row>
    <row r="1287">
      <c r="A1287" s="8" t="s">
        <v>1735</v>
      </c>
      <c r="B1287" s="8" t="s">
        <v>9862</v>
      </c>
      <c r="C1287" s="8" t="s">
        <v>9863</v>
      </c>
      <c r="D1287" s="9">
        <v>8.668610879E9</v>
      </c>
      <c r="E1287" s="8" t="s">
        <v>9864</v>
      </c>
      <c r="F1287" s="8" t="s">
        <v>3589</v>
      </c>
      <c r="G1287" s="8" t="s">
        <v>9865</v>
      </c>
      <c r="H1287" s="8" t="s">
        <v>3479</v>
      </c>
      <c r="I1287" s="9">
        <v>0.0</v>
      </c>
      <c r="J1287" s="9">
        <v>3469.0</v>
      </c>
      <c r="K1287" s="9">
        <v>3469.0</v>
      </c>
      <c r="L1287" s="9">
        <v>3469.0</v>
      </c>
      <c r="M1287" s="9">
        <v>2281.0</v>
      </c>
      <c r="N1287" s="9">
        <v>739.0</v>
      </c>
      <c r="O1287" s="9">
        <v>449.0</v>
      </c>
      <c r="P1287" s="8" t="s">
        <v>3480</v>
      </c>
      <c r="Q1287" s="8"/>
      <c r="R1287" s="8"/>
    </row>
    <row r="1288">
      <c r="A1288" s="8" t="s">
        <v>1714</v>
      </c>
      <c r="B1288" s="8" t="s">
        <v>9866</v>
      </c>
      <c r="C1288" s="8" t="s">
        <v>9867</v>
      </c>
      <c r="D1288" s="9">
        <v>8.485868547E9</v>
      </c>
      <c r="E1288" s="8" t="s">
        <v>9868</v>
      </c>
      <c r="F1288" s="8" t="s">
        <v>4189</v>
      </c>
      <c r="G1288" s="8" t="s">
        <v>9869</v>
      </c>
      <c r="H1288" s="8" t="s">
        <v>3479</v>
      </c>
      <c r="I1288" s="9">
        <v>0.0</v>
      </c>
      <c r="J1288" s="9">
        <v>2376.0</v>
      </c>
      <c r="K1288" s="9">
        <v>2376.0</v>
      </c>
      <c r="L1288" s="9">
        <v>2376.0</v>
      </c>
      <c r="M1288" s="9">
        <v>2001.0</v>
      </c>
      <c r="N1288" s="9">
        <v>0.0</v>
      </c>
      <c r="O1288" s="9">
        <v>375.0</v>
      </c>
      <c r="P1288" s="8" t="s">
        <v>3480</v>
      </c>
      <c r="Q1288" s="8"/>
      <c r="R1288" s="8"/>
    </row>
    <row r="1289">
      <c r="A1289" s="8" t="s">
        <v>1715</v>
      </c>
      <c r="B1289" s="8" t="s">
        <v>9870</v>
      </c>
      <c r="C1289" s="8" t="s">
        <v>9871</v>
      </c>
      <c r="D1289" s="9">
        <v>8.600305981E9</v>
      </c>
      <c r="E1289" s="8" t="s">
        <v>9872</v>
      </c>
      <c r="F1289" s="8" t="s">
        <v>3721</v>
      </c>
      <c r="G1289" s="8" t="s">
        <v>9873</v>
      </c>
      <c r="H1289" s="8" t="s">
        <v>9874</v>
      </c>
      <c r="I1289" s="9">
        <v>0.0</v>
      </c>
      <c r="J1289" s="9">
        <v>1000.0</v>
      </c>
      <c r="K1289" s="9">
        <v>1070.0</v>
      </c>
      <c r="L1289" s="9">
        <v>1000.0</v>
      </c>
      <c r="M1289" s="9">
        <v>820.0</v>
      </c>
      <c r="N1289" s="9">
        <v>0.0</v>
      </c>
      <c r="O1289" s="9">
        <v>250.0</v>
      </c>
      <c r="P1289" s="8" t="s">
        <v>3519</v>
      </c>
      <c r="Q1289" s="8"/>
      <c r="R1289" s="8"/>
    </row>
    <row r="1290">
      <c r="A1290" s="8" t="s">
        <v>1716</v>
      </c>
      <c r="B1290" s="8" t="s">
        <v>9875</v>
      </c>
      <c r="C1290" s="8" t="s">
        <v>5314</v>
      </c>
      <c r="D1290" s="9">
        <v>9.37612115E9</v>
      </c>
      <c r="E1290" s="8" t="s">
        <v>5315</v>
      </c>
      <c r="F1290" s="8" t="s">
        <v>3550</v>
      </c>
      <c r="G1290" s="8" t="s">
        <v>9876</v>
      </c>
      <c r="H1290" s="8" t="s">
        <v>3479</v>
      </c>
      <c r="I1290" s="9">
        <v>0.0</v>
      </c>
      <c r="J1290" s="9">
        <v>1225.0</v>
      </c>
      <c r="K1290" s="9">
        <v>1225.0</v>
      </c>
      <c r="L1290" s="9">
        <v>1225.0</v>
      </c>
      <c r="M1290" s="9">
        <v>116.0</v>
      </c>
      <c r="N1290" s="9">
        <v>660.0</v>
      </c>
      <c r="O1290" s="9">
        <v>449.0</v>
      </c>
      <c r="P1290" s="8" t="s">
        <v>3519</v>
      </c>
      <c r="Q1290" s="8" t="s">
        <v>5317</v>
      </c>
      <c r="R1290" s="8" t="s">
        <v>5318</v>
      </c>
    </row>
    <row r="1291">
      <c r="A1291" s="8" t="s">
        <v>1717</v>
      </c>
      <c r="B1291" s="8" t="s">
        <v>9877</v>
      </c>
      <c r="C1291" s="8" t="s">
        <v>9878</v>
      </c>
      <c r="D1291" s="9">
        <v>7.218522252E9</v>
      </c>
      <c r="E1291" s="8" t="s">
        <v>9879</v>
      </c>
      <c r="F1291" s="8" t="s">
        <v>5613</v>
      </c>
      <c r="G1291" s="8" t="s">
        <v>9880</v>
      </c>
      <c r="H1291" s="8" t="s">
        <v>3479</v>
      </c>
      <c r="I1291" s="9">
        <v>0.0</v>
      </c>
      <c r="J1291" s="9">
        <v>1400.0</v>
      </c>
      <c r="K1291" s="9">
        <v>1400.0</v>
      </c>
      <c r="L1291" s="9">
        <v>1400.0</v>
      </c>
      <c r="M1291" s="9">
        <v>1400.0</v>
      </c>
      <c r="N1291" s="9">
        <v>0.0</v>
      </c>
      <c r="O1291" s="9">
        <v>0.0</v>
      </c>
      <c r="P1291" s="8" t="s">
        <v>3480</v>
      </c>
      <c r="Q1291" s="8"/>
      <c r="R1291" s="8"/>
    </row>
    <row r="1292">
      <c r="A1292" s="8" t="s">
        <v>1794</v>
      </c>
      <c r="B1292" s="8" t="s">
        <v>9881</v>
      </c>
      <c r="C1292" s="8" t="s">
        <v>7950</v>
      </c>
      <c r="D1292" s="9">
        <v>9.665018122E9</v>
      </c>
      <c r="E1292" s="8" t="s">
        <v>9882</v>
      </c>
      <c r="F1292" s="8" t="s">
        <v>3934</v>
      </c>
      <c r="G1292" s="8" t="s">
        <v>9883</v>
      </c>
      <c r="H1292" s="8" t="s">
        <v>3479</v>
      </c>
      <c r="I1292" s="9">
        <v>0.0</v>
      </c>
      <c r="J1292" s="9">
        <v>1713.0</v>
      </c>
      <c r="K1292" s="9">
        <v>1713.0</v>
      </c>
      <c r="L1292" s="9">
        <v>1713.0</v>
      </c>
      <c r="M1292" s="9">
        <v>445.0</v>
      </c>
      <c r="N1292" s="9">
        <v>739.0</v>
      </c>
      <c r="O1292" s="9">
        <v>529.0</v>
      </c>
      <c r="P1292" s="8" t="s">
        <v>3480</v>
      </c>
      <c r="Q1292" s="8"/>
      <c r="R1292" s="8"/>
    </row>
    <row r="1293">
      <c r="A1293" s="8" t="s">
        <v>1718</v>
      </c>
      <c r="B1293" s="8" t="s">
        <v>9884</v>
      </c>
      <c r="C1293" s="8" t="s">
        <v>8820</v>
      </c>
      <c r="D1293" s="9">
        <v>9.404301311E9</v>
      </c>
      <c r="E1293" s="8" t="s">
        <v>8821</v>
      </c>
      <c r="F1293" s="8" t="s">
        <v>3601</v>
      </c>
      <c r="G1293" s="8" t="s">
        <v>9885</v>
      </c>
      <c r="H1293" s="8" t="s">
        <v>3479</v>
      </c>
      <c r="I1293" s="9">
        <v>0.0</v>
      </c>
      <c r="J1293" s="9">
        <v>2594.0</v>
      </c>
      <c r="K1293" s="9">
        <v>2594.0</v>
      </c>
      <c r="L1293" s="9">
        <v>2594.0</v>
      </c>
      <c r="M1293" s="9">
        <v>1415.0</v>
      </c>
      <c r="N1293" s="9">
        <v>730.0</v>
      </c>
      <c r="O1293" s="9">
        <v>449.0</v>
      </c>
      <c r="P1293" s="8" t="s">
        <v>3480</v>
      </c>
      <c r="Q1293" s="8"/>
      <c r="R1293" s="8"/>
    </row>
    <row r="1294">
      <c r="A1294" s="8" t="s">
        <v>1692</v>
      </c>
      <c r="B1294" s="8" t="s">
        <v>9886</v>
      </c>
      <c r="C1294" s="8" t="s">
        <v>9887</v>
      </c>
      <c r="D1294" s="9">
        <v>8.983055137E9</v>
      </c>
      <c r="E1294" s="8" t="s">
        <v>9888</v>
      </c>
      <c r="F1294" s="8" t="s">
        <v>3486</v>
      </c>
      <c r="G1294" s="8" t="s">
        <v>9889</v>
      </c>
      <c r="H1294" s="8" t="s">
        <v>3479</v>
      </c>
      <c r="I1294" s="9">
        <v>0.0</v>
      </c>
      <c r="J1294" s="9">
        <v>1543.0</v>
      </c>
      <c r="K1294" s="9">
        <v>1543.0</v>
      </c>
      <c r="L1294" s="9">
        <v>1543.0</v>
      </c>
      <c r="M1294" s="9">
        <v>355.0</v>
      </c>
      <c r="N1294" s="9">
        <v>739.0</v>
      </c>
      <c r="O1294" s="9">
        <v>449.0</v>
      </c>
      <c r="P1294" s="8" t="s">
        <v>3480</v>
      </c>
      <c r="Q1294" s="8" t="s">
        <v>9890</v>
      </c>
      <c r="R1294" s="8" t="s">
        <v>9891</v>
      </c>
    </row>
    <row r="1295">
      <c r="A1295" s="8" t="s">
        <v>1710</v>
      </c>
      <c r="B1295" s="8" t="s">
        <v>9892</v>
      </c>
      <c r="C1295" s="8" t="s">
        <v>9750</v>
      </c>
      <c r="D1295" s="9">
        <v>7.499978924E9</v>
      </c>
      <c r="E1295" s="8" t="s">
        <v>9751</v>
      </c>
      <c r="F1295" s="8" t="s">
        <v>3768</v>
      </c>
      <c r="G1295" s="8" t="s">
        <v>9893</v>
      </c>
      <c r="H1295" s="8" t="s">
        <v>3479</v>
      </c>
      <c r="I1295" s="9">
        <v>0.0</v>
      </c>
      <c r="J1295" s="9">
        <v>1333.0</v>
      </c>
      <c r="K1295" s="9">
        <v>1333.0</v>
      </c>
      <c r="L1295" s="9">
        <v>1333.0</v>
      </c>
      <c r="M1295" s="9">
        <v>100.0</v>
      </c>
      <c r="N1295" s="9">
        <v>784.0</v>
      </c>
      <c r="O1295" s="9">
        <v>449.0</v>
      </c>
      <c r="P1295" s="8" t="s">
        <v>3480</v>
      </c>
      <c r="Q1295" s="8" t="s">
        <v>9753</v>
      </c>
      <c r="R1295" s="8" t="s">
        <v>9754</v>
      </c>
    </row>
    <row r="1296">
      <c r="A1296" s="8" t="s">
        <v>1711</v>
      </c>
      <c r="B1296" s="8" t="s">
        <v>9894</v>
      </c>
      <c r="C1296" s="8" t="s">
        <v>9895</v>
      </c>
      <c r="D1296" s="9">
        <v>8.275222246E9</v>
      </c>
      <c r="E1296" s="8" t="s">
        <v>9896</v>
      </c>
      <c r="F1296" s="8" t="s">
        <v>4540</v>
      </c>
      <c r="G1296" s="8" t="s">
        <v>9897</v>
      </c>
      <c r="H1296" s="8" t="s">
        <v>3479</v>
      </c>
      <c r="I1296" s="9">
        <v>0.0</v>
      </c>
      <c r="J1296" s="9">
        <v>3011.0</v>
      </c>
      <c r="K1296" s="9">
        <v>3011.0</v>
      </c>
      <c r="L1296" s="9">
        <v>3011.0</v>
      </c>
      <c r="M1296" s="9">
        <v>679.0</v>
      </c>
      <c r="N1296" s="9">
        <v>1533.0</v>
      </c>
      <c r="O1296" s="9">
        <v>799.0</v>
      </c>
      <c r="P1296" s="8" t="s">
        <v>3480</v>
      </c>
      <c r="Q1296" s="8"/>
      <c r="R1296" s="8"/>
    </row>
    <row r="1297">
      <c r="A1297" s="8" t="s">
        <v>1697</v>
      </c>
      <c r="B1297" s="8" t="s">
        <v>9898</v>
      </c>
      <c r="C1297" s="8" t="s">
        <v>7711</v>
      </c>
      <c r="D1297" s="9">
        <v>9.175805081E9</v>
      </c>
      <c r="E1297" s="8" t="s">
        <v>7712</v>
      </c>
      <c r="F1297" s="8" t="s">
        <v>3901</v>
      </c>
      <c r="G1297" s="8" t="s">
        <v>9899</v>
      </c>
      <c r="H1297" s="8" t="s">
        <v>3479</v>
      </c>
      <c r="I1297" s="9">
        <v>0.0</v>
      </c>
      <c r="J1297" s="9">
        <v>3207.0</v>
      </c>
      <c r="K1297" s="9">
        <v>3207.0</v>
      </c>
      <c r="L1297" s="9">
        <v>3207.0</v>
      </c>
      <c r="M1297" s="9">
        <v>2127.0</v>
      </c>
      <c r="N1297" s="9">
        <v>181.0</v>
      </c>
      <c r="O1297" s="9">
        <v>899.0</v>
      </c>
      <c r="P1297" s="8" t="s">
        <v>3480</v>
      </c>
      <c r="Q1297" s="8" t="s">
        <v>7713</v>
      </c>
      <c r="R1297" s="8" t="s">
        <v>7714</v>
      </c>
    </row>
    <row r="1298">
      <c r="A1298" s="8" t="s">
        <v>1712</v>
      </c>
      <c r="B1298" s="8" t="s">
        <v>9900</v>
      </c>
      <c r="C1298" s="8" t="s">
        <v>9234</v>
      </c>
      <c r="D1298" s="9">
        <v>9.823223921E9</v>
      </c>
      <c r="E1298" s="8" t="s">
        <v>9235</v>
      </c>
      <c r="F1298" s="8" t="s">
        <v>3542</v>
      </c>
      <c r="G1298" s="8" t="s">
        <v>9901</v>
      </c>
      <c r="H1298" s="8" t="s">
        <v>3479</v>
      </c>
      <c r="I1298" s="9">
        <v>0.0</v>
      </c>
      <c r="J1298" s="9">
        <v>2517.0</v>
      </c>
      <c r="K1298" s="9">
        <v>2517.0</v>
      </c>
      <c r="L1298" s="9">
        <v>2517.0</v>
      </c>
      <c r="M1298" s="9">
        <v>1263.0</v>
      </c>
      <c r="N1298" s="9">
        <v>730.0</v>
      </c>
      <c r="O1298" s="9">
        <v>524.0</v>
      </c>
      <c r="P1298" s="8" t="s">
        <v>3480</v>
      </c>
      <c r="Q1298" s="8" t="s">
        <v>9237</v>
      </c>
      <c r="R1298" s="8" t="s">
        <v>9238</v>
      </c>
    </row>
    <row r="1299">
      <c r="A1299" s="8" t="s">
        <v>1698</v>
      </c>
      <c r="B1299" s="8" t="s">
        <v>9902</v>
      </c>
      <c r="C1299" s="8" t="s">
        <v>9903</v>
      </c>
      <c r="D1299" s="9">
        <v>9.890276724E9</v>
      </c>
      <c r="E1299" s="8" t="s">
        <v>9904</v>
      </c>
      <c r="F1299" s="8" t="s">
        <v>4574</v>
      </c>
      <c r="G1299" s="8" t="s">
        <v>9905</v>
      </c>
      <c r="H1299" s="8" t="s">
        <v>3479</v>
      </c>
      <c r="I1299" s="9">
        <v>0.0</v>
      </c>
      <c r="J1299" s="9">
        <v>1414.0</v>
      </c>
      <c r="K1299" s="9">
        <v>1414.0</v>
      </c>
      <c r="L1299" s="9">
        <v>1414.0</v>
      </c>
      <c r="M1299" s="9">
        <v>160.0</v>
      </c>
      <c r="N1299" s="9">
        <v>730.0</v>
      </c>
      <c r="O1299" s="9">
        <v>524.0</v>
      </c>
      <c r="P1299" s="8" t="s">
        <v>3480</v>
      </c>
      <c r="Q1299" s="8" t="s">
        <v>9906</v>
      </c>
      <c r="R1299" s="8" t="s">
        <v>9907</v>
      </c>
    </row>
    <row r="1300">
      <c r="A1300" s="8" t="s">
        <v>1713</v>
      </c>
      <c r="B1300" s="8" t="s">
        <v>9908</v>
      </c>
      <c r="C1300" s="8" t="s">
        <v>5466</v>
      </c>
      <c r="D1300" s="9">
        <v>7.666969084E9</v>
      </c>
      <c r="E1300" s="8" t="s">
        <v>5467</v>
      </c>
      <c r="F1300" s="8" t="s">
        <v>3594</v>
      </c>
      <c r="G1300" s="8" t="s">
        <v>9909</v>
      </c>
      <c r="H1300" s="8" t="s">
        <v>3479</v>
      </c>
      <c r="I1300" s="9">
        <v>0.0</v>
      </c>
      <c r="J1300" s="9">
        <v>2941.0</v>
      </c>
      <c r="K1300" s="9">
        <v>2941.0</v>
      </c>
      <c r="L1300" s="9">
        <v>2941.0</v>
      </c>
      <c r="M1300" s="9">
        <v>1652.0</v>
      </c>
      <c r="N1300" s="9">
        <v>730.0</v>
      </c>
      <c r="O1300" s="9">
        <v>559.0</v>
      </c>
      <c r="P1300" s="8" t="s">
        <v>3480</v>
      </c>
      <c r="Q1300" s="8"/>
      <c r="R1300" s="8"/>
    </row>
    <row r="1301">
      <c r="A1301" s="8" t="s">
        <v>1720</v>
      </c>
      <c r="B1301" s="8" t="s">
        <v>9910</v>
      </c>
      <c r="C1301" s="8" t="s">
        <v>9911</v>
      </c>
      <c r="D1301" s="9">
        <v>9.860588902E9</v>
      </c>
      <c r="E1301" s="8" t="s">
        <v>9912</v>
      </c>
      <c r="F1301" s="8" t="s">
        <v>4018</v>
      </c>
      <c r="G1301" s="8" t="s">
        <v>9913</v>
      </c>
      <c r="H1301" s="8" t="s">
        <v>3479</v>
      </c>
      <c r="I1301" s="9">
        <v>0.0</v>
      </c>
      <c r="J1301" s="9">
        <v>1639.0</v>
      </c>
      <c r="K1301" s="9">
        <v>1639.0</v>
      </c>
      <c r="L1301" s="9">
        <v>1639.0</v>
      </c>
      <c r="M1301" s="9">
        <v>380.0</v>
      </c>
      <c r="N1301" s="9">
        <v>730.0</v>
      </c>
      <c r="O1301" s="9">
        <v>529.0</v>
      </c>
      <c r="P1301" s="8" t="s">
        <v>3480</v>
      </c>
      <c r="Q1301" s="8"/>
      <c r="R1301" s="8"/>
    </row>
    <row r="1302">
      <c r="A1302" s="8" t="s">
        <v>1767</v>
      </c>
      <c r="B1302" s="8" t="s">
        <v>9914</v>
      </c>
      <c r="C1302" s="8" t="s">
        <v>9915</v>
      </c>
      <c r="D1302" s="9">
        <v>8.879005451E9</v>
      </c>
      <c r="E1302" s="8" t="s">
        <v>9916</v>
      </c>
      <c r="F1302" s="8" t="s">
        <v>3486</v>
      </c>
      <c r="G1302" s="8" t="s">
        <v>9917</v>
      </c>
      <c r="H1302" s="8" t="s">
        <v>3479</v>
      </c>
      <c r="I1302" s="9">
        <v>0.0</v>
      </c>
      <c r="J1302" s="9">
        <v>1058.0</v>
      </c>
      <c r="K1302" s="9">
        <v>1058.0</v>
      </c>
      <c r="L1302" s="9">
        <v>1058.0</v>
      </c>
      <c r="M1302" s="9">
        <v>783.0</v>
      </c>
      <c r="N1302" s="9">
        <v>0.0</v>
      </c>
      <c r="O1302" s="9">
        <v>275.0</v>
      </c>
      <c r="P1302" s="8" t="s">
        <v>4183</v>
      </c>
      <c r="Q1302" s="8"/>
      <c r="R1302" s="8"/>
    </row>
    <row r="1303">
      <c r="A1303" s="8" t="s">
        <v>1699</v>
      </c>
      <c r="B1303" s="8" t="s">
        <v>9918</v>
      </c>
      <c r="C1303" s="8" t="s">
        <v>5916</v>
      </c>
      <c r="D1303" s="9">
        <v>9.881634714E9</v>
      </c>
      <c r="E1303" s="8" t="s">
        <v>5917</v>
      </c>
      <c r="F1303" s="8" t="s">
        <v>5918</v>
      </c>
      <c r="G1303" s="8" t="s">
        <v>4211</v>
      </c>
      <c r="H1303" s="8" t="s">
        <v>3479</v>
      </c>
      <c r="I1303" s="9">
        <v>0.0</v>
      </c>
      <c r="J1303" s="9">
        <v>1433.0</v>
      </c>
      <c r="K1303" s="9">
        <v>1433.0</v>
      </c>
      <c r="L1303" s="9">
        <v>1433.0</v>
      </c>
      <c r="M1303" s="9">
        <v>494.0</v>
      </c>
      <c r="N1303" s="9">
        <v>190.0</v>
      </c>
      <c r="O1303" s="9">
        <v>749.0</v>
      </c>
      <c r="P1303" s="8" t="s">
        <v>3480</v>
      </c>
      <c r="Q1303" s="8" t="s">
        <v>5920</v>
      </c>
      <c r="R1303" s="8" t="s">
        <v>5921</v>
      </c>
    </row>
    <row r="1304">
      <c r="A1304" s="8" t="s">
        <v>1700</v>
      </c>
      <c r="B1304" s="8" t="s">
        <v>9919</v>
      </c>
      <c r="C1304" s="8" t="s">
        <v>9920</v>
      </c>
      <c r="D1304" s="9">
        <v>9.762777049E9</v>
      </c>
      <c r="E1304" s="8" t="s">
        <v>9921</v>
      </c>
      <c r="F1304" s="8" t="s">
        <v>4059</v>
      </c>
      <c r="G1304" s="8" t="s">
        <v>9922</v>
      </c>
      <c r="H1304" s="8" t="s">
        <v>3479</v>
      </c>
      <c r="I1304" s="9">
        <v>0.0</v>
      </c>
      <c r="J1304" s="9">
        <v>4306.0</v>
      </c>
      <c r="K1304" s="9">
        <v>4306.0</v>
      </c>
      <c r="L1304" s="9">
        <v>4306.0</v>
      </c>
      <c r="M1304" s="9">
        <v>2252.0</v>
      </c>
      <c r="N1304" s="9">
        <v>905.0</v>
      </c>
      <c r="O1304" s="9">
        <v>1149.0</v>
      </c>
      <c r="P1304" s="8" t="s">
        <v>3480</v>
      </c>
      <c r="Q1304" s="8"/>
      <c r="R1304" s="8"/>
    </row>
    <row r="1305">
      <c r="A1305" s="8" t="s">
        <v>1766</v>
      </c>
      <c r="B1305" s="8" t="s">
        <v>9923</v>
      </c>
      <c r="C1305" s="8" t="s">
        <v>9924</v>
      </c>
      <c r="D1305" s="9">
        <v>9.860513646E9</v>
      </c>
      <c r="E1305" s="8" t="s">
        <v>9925</v>
      </c>
      <c r="F1305" s="8" t="s">
        <v>3721</v>
      </c>
      <c r="G1305" s="8" t="s">
        <v>9926</v>
      </c>
      <c r="H1305" s="8" t="s">
        <v>3479</v>
      </c>
      <c r="I1305" s="9">
        <v>0.0</v>
      </c>
      <c r="J1305" s="9">
        <v>2741.0</v>
      </c>
      <c r="K1305" s="9">
        <v>2741.0</v>
      </c>
      <c r="L1305" s="9">
        <v>2741.0</v>
      </c>
      <c r="M1305" s="9">
        <v>1137.0</v>
      </c>
      <c r="N1305" s="9">
        <v>730.0</v>
      </c>
      <c r="O1305" s="9">
        <v>874.0</v>
      </c>
      <c r="P1305" s="8" t="s">
        <v>4183</v>
      </c>
      <c r="Q1305" s="8" t="s">
        <v>9927</v>
      </c>
      <c r="R1305" s="8" t="s">
        <v>9928</v>
      </c>
    </row>
    <row r="1306">
      <c r="A1306" s="8" t="s">
        <v>1804</v>
      </c>
      <c r="B1306" s="8" t="s">
        <v>9929</v>
      </c>
      <c r="C1306" s="8" t="s">
        <v>9930</v>
      </c>
      <c r="D1306" s="9">
        <v>9.765378162E9</v>
      </c>
      <c r="E1306" s="8" t="s">
        <v>9931</v>
      </c>
      <c r="F1306" s="8" t="s">
        <v>3550</v>
      </c>
      <c r="G1306" s="8" t="s">
        <v>9932</v>
      </c>
      <c r="H1306" s="8" t="s">
        <v>3479</v>
      </c>
      <c r="I1306" s="9">
        <v>0.0</v>
      </c>
      <c r="J1306" s="9">
        <v>1579.0</v>
      </c>
      <c r="K1306" s="9">
        <v>1579.0</v>
      </c>
      <c r="L1306" s="9">
        <v>1579.0</v>
      </c>
      <c r="M1306" s="9">
        <v>470.0</v>
      </c>
      <c r="N1306" s="9">
        <v>660.0</v>
      </c>
      <c r="O1306" s="9">
        <v>449.0</v>
      </c>
      <c r="P1306" s="8" t="s">
        <v>3480</v>
      </c>
      <c r="Q1306" s="8"/>
      <c r="R1306" s="8"/>
    </row>
    <row r="1307">
      <c r="A1307" s="8" t="s">
        <v>1803</v>
      </c>
      <c r="B1307" s="8" t="s">
        <v>9933</v>
      </c>
      <c r="C1307" s="8" t="s">
        <v>7494</v>
      </c>
      <c r="D1307" s="9">
        <v>9.404545177E9</v>
      </c>
      <c r="E1307" s="8" t="s">
        <v>7495</v>
      </c>
      <c r="F1307" s="8" t="s">
        <v>3653</v>
      </c>
      <c r="G1307" s="8" t="s">
        <v>9934</v>
      </c>
      <c r="H1307" s="8" t="s">
        <v>3479</v>
      </c>
      <c r="I1307" s="9">
        <v>0.0</v>
      </c>
      <c r="J1307" s="9">
        <v>1248.0</v>
      </c>
      <c r="K1307" s="9">
        <v>1248.0</v>
      </c>
      <c r="L1307" s="9">
        <v>1248.0</v>
      </c>
      <c r="M1307" s="9">
        <v>498.0</v>
      </c>
      <c r="N1307" s="9">
        <v>0.0</v>
      </c>
      <c r="O1307" s="9">
        <v>750.0</v>
      </c>
      <c r="P1307" s="8" t="s">
        <v>3480</v>
      </c>
      <c r="Q1307" s="8" t="s">
        <v>7497</v>
      </c>
      <c r="R1307" s="8" t="s">
        <v>7498</v>
      </c>
    </row>
    <row r="1308">
      <c r="A1308" s="8" t="s">
        <v>1701</v>
      </c>
      <c r="B1308" s="8" t="s">
        <v>9935</v>
      </c>
      <c r="C1308" s="8" t="s">
        <v>4057</v>
      </c>
      <c r="D1308" s="9">
        <v>9.028366926E9</v>
      </c>
      <c r="E1308" s="8" t="s">
        <v>4058</v>
      </c>
      <c r="F1308" s="8" t="s">
        <v>4059</v>
      </c>
      <c r="G1308" s="8" t="s">
        <v>9936</v>
      </c>
      <c r="H1308" s="8" t="s">
        <v>3479</v>
      </c>
      <c r="I1308" s="9">
        <v>0.0</v>
      </c>
      <c r="J1308" s="9">
        <v>1680.0</v>
      </c>
      <c r="K1308" s="9">
        <v>1680.0</v>
      </c>
      <c r="L1308" s="9">
        <v>1680.0</v>
      </c>
      <c r="M1308" s="9">
        <v>694.0</v>
      </c>
      <c r="N1308" s="9">
        <v>561.0</v>
      </c>
      <c r="O1308" s="9">
        <v>425.0</v>
      </c>
      <c r="P1308" s="8" t="s">
        <v>3480</v>
      </c>
      <c r="Q1308" s="8" t="s">
        <v>4061</v>
      </c>
      <c r="R1308" s="8"/>
    </row>
    <row r="1309">
      <c r="A1309" s="8" t="s">
        <v>1702</v>
      </c>
      <c r="B1309" s="8" t="s">
        <v>9937</v>
      </c>
      <c r="C1309" s="8" t="s">
        <v>9938</v>
      </c>
      <c r="D1309" s="9">
        <v>9.028192601E9</v>
      </c>
      <c r="E1309" s="8" t="s">
        <v>9939</v>
      </c>
      <c r="F1309" s="8" t="s">
        <v>3908</v>
      </c>
      <c r="G1309" s="8" t="s">
        <v>9940</v>
      </c>
      <c r="H1309" s="8" t="s">
        <v>3479</v>
      </c>
      <c r="I1309" s="9">
        <v>0.0</v>
      </c>
      <c r="J1309" s="9">
        <v>2347.0</v>
      </c>
      <c r="K1309" s="9">
        <v>2347.0</v>
      </c>
      <c r="L1309" s="9">
        <v>2347.0</v>
      </c>
      <c r="M1309" s="9">
        <v>733.0</v>
      </c>
      <c r="N1309" s="9">
        <v>840.0</v>
      </c>
      <c r="O1309" s="9">
        <v>774.0</v>
      </c>
      <c r="P1309" s="8" t="s">
        <v>3480</v>
      </c>
      <c r="Q1309" s="8" t="s">
        <v>9941</v>
      </c>
      <c r="R1309" s="8"/>
    </row>
    <row r="1310">
      <c r="A1310" s="8" t="s">
        <v>1795</v>
      </c>
      <c r="B1310" s="8" t="s">
        <v>9942</v>
      </c>
      <c r="C1310" s="8" t="s">
        <v>9943</v>
      </c>
      <c r="D1310" s="9">
        <v>9.920887998E9</v>
      </c>
      <c r="E1310" s="8" t="s">
        <v>9944</v>
      </c>
      <c r="F1310" s="8" t="s">
        <v>3509</v>
      </c>
      <c r="G1310" s="8" t="s">
        <v>9945</v>
      </c>
      <c r="H1310" s="8" t="s">
        <v>3479</v>
      </c>
      <c r="I1310" s="9">
        <v>0.0</v>
      </c>
      <c r="J1310" s="9">
        <v>1143.0</v>
      </c>
      <c r="K1310" s="9">
        <v>1143.0</v>
      </c>
      <c r="L1310" s="9">
        <v>1143.0</v>
      </c>
      <c r="M1310" s="9">
        <v>145.0</v>
      </c>
      <c r="N1310" s="9">
        <v>549.0</v>
      </c>
      <c r="O1310" s="9">
        <v>449.0</v>
      </c>
      <c r="P1310" s="8" t="s">
        <v>3480</v>
      </c>
      <c r="Q1310" s="8"/>
      <c r="R1310" s="8"/>
    </row>
    <row r="1311">
      <c r="A1311" s="8" t="s">
        <v>1796</v>
      </c>
      <c r="B1311" s="8" t="s">
        <v>9946</v>
      </c>
      <c r="C1311" s="8" t="s">
        <v>9385</v>
      </c>
      <c r="D1311" s="9">
        <v>9.911092741E9</v>
      </c>
      <c r="E1311" s="8" t="s">
        <v>9386</v>
      </c>
      <c r="F1311" s="8" t="s">
        <v>3993</v>
      </c>
      <c r="G1311" s="8" t="s">
        <v>9947</v>
      </c>
      <c r="H1311" s="8" t="s">
        <v>3479</v>
      </c>
      <c r="I1311" s="9">
        <v>0.0</v>
      </c>
      <c r="J1311" s="9">
        <v>2314.0</v>
      </c>
      <c r="K1311" s="9">
        <v>2314.0</v>
      </c>
      <c r="L1311" s="9">
        <v>2314.0</v>
      </c>
      <c r="M1311" s="9">
        <v>606.0</v>
      </c>
      <c r="N1311" s="9">
        <v>784.0</v>
      </c>
      <c r="O1311" s="9">
        <v>924.0</v>
      </c>
      <c r="P1311" s="8" t="s">
        <v>3480</v>
      </c>
      <c r="Q1311" s="8" t="s">
        <v>9388</v>
      </c>
      <c r="R1311" s="8"/>
    </row>
    <row r="1312">
      <c r="A1312" s="8" t="s">
        <v>1797</v>
      </c>
      <c r="B1312" s="8" t="s">
        <v>9948</v>
      </c>
      <c r="C1312" s="8" t="s">
        <v>9949</v>
      </c>
      <c r="D1312" s="9">
        <v>8.087862122E9</v>
      </c>
      <c r="E1312" s="8" t="s">
        <v>9950</v>
      </c>
      <c r="F1312" s="8" t="s">
        <v>3809</v>
      </c>
      <c r="G1312" s="8" t="s">
        <v>9951</v>
      </c>
      <c r="H1312" s="8" t="s">
        <v>3479</v>
      </c>
      <c r="I1312" s="9">
        <v>0.0</v>
      </c>
      <c r="J1312" s="9">
        <v>1792.0</v>
      </c>
      <c r="K1312" s="9">
        <v>1792.0</v>
      </c>
      <c r="L1312" s="9">
        <v>1792.0</v>
      </c>
      <c r="M1312" s="9">
        <v>528.0</v>
      </c>
      <c r="N1312" s="9">
        <v>190.0</v>
      </c>
      <c r="O1312" s="9">
        <v>1074.0</v>
      </c>
      <c r="P1312" s="8" t="s">
        <v>3480</v>
      </c>
      <c r="Q1312" s="8" t="s">
        <v>9952</v>
      </c>
      <c r="R1312" s="8" t="s">
        <v>9953</v>
      </c>
    </row>
    <row r="1313">
      <c r="A1313" s="8" t="s">
        <v>1805</v>
      </c>
      <c r="B1313" s="8" t="s">
        <v>9954</v>
      </c>
      <c r="C1313" s="8" t="s">
        <v>5214</v>
      </c>
      <c r="D1313" s="9">
        <v>8.805987378E9</v>
      </c>
      <c r="E1313" s="8" t="s">
        <v>5215</v>
      </c>
      <c r="F1313" s="8" t="s">
        <v>3628</v>
      </c>
      <c r="G1313" s="8" t="s">
        <v>9955</v>
      </c>
      <c r="H1313" s="8" t="s">
        <v>3479</v>
      </c>
      <c r="I1313" s="9">
        <v>0.0</v>
      </c>
      <c r="J1313" s="9">
        <v>2525.0</v>
      </c>
      <c r="K1313" s="9">
        <v>2525.0</v>
      </c>
      <c r="L1313" s="9">
        <v>2525.0</v>
      </c>
      <c r="M1313" s="9">
        <v>1425.0</v>
      </c>
      <c r="N1313" s="9">
        <v>725.0</v>
      </c>
      <c r="O1313" s="9">
        <v>375.0</v>
      </c>
      <c r="P1313" s="8" t="s">
        <v>3480</v>
      </c>
      <c r="Q1313" s="8"/>
      <c r="R1313" s="8" t="s">
        <v>5217</v>
      </c>
    </row>
    <row r="1314">
      <c r="A1314" s="8" t="s">
        <v>1798</v>
      </c>
      <c r="B1314" s="8" t="s">
        <v>9956</v>
      </c>
      <c r="C1314" s="8" t="s">
        <v>9957</v>
      </c>
      <c r="D1314" s="9">
        <v>9.850906521E9</v>
      </c>
      <c r="E1314" s="8" t="s">
        <v>9958</v>
      </c>
      <c r="F1314" s="8" t="s">
        <v>5613</v>
      </c>
      <c r="G1314" s="8" t="s">
        <v>9959</v>
      </c>
      <c r="H1314" s="8" t="s">
        <v>3479</v>
      </c>
      <c r="I1314" s="9">
        <v>0.0</v>
      </c>
      <c r="J1314" s="9">
        <v>1423.0</v>
      </c>
      <c r="K1314" s="9">
        <v>1423.0</v>
      </c>
      <c r="L1314" s="9">
        <v>1423.0</v>
      </c>
      <c r="M1314" s="9">
        <v>160.0</v>
      </c>
      <c r="N1314" s="9">
        <v>739.0</v>
      </c>
      <c r="O1314" s="9">
        <v>524.0</v>
      </c>
      <c r="P1314" s="8" t="s">
        <v>3544</v>
      </c>
      <c r="Q1314" s="8" t="s">
        <v>9960</v>
      </c>
      <c r="R1314" s="8" t="s">
        <v>9961</v>
      </c>
    </row>
    <row r="1315">
      <c r="A1315" s="8" t="s">
        <v>1799</v>
      </c>
      <c r="B1315" s="8" t="s">
        <v>9962</v>
      </c>
      <c r="C1315" s="8" t="s">
        <v>9963</v>
      </c>
      <c r="D1315" s="9">
        <v>9.960662886E9</v>
      </c>
      <c r="E1315" s="8" t="s">
        <v>9964</v>
      </c>
      <c r="F1315" s="8" t="s">
        <v>4143</v>
      </c>
      <c r="G1315" s="8" t="s">
        <v>9965</v>
      </c>
      <c r="H1315" s="8" t="s">
        <v>3479</v>
      </c>
      <c r="I1315" s="9">
        <v>0.0</v>
      </c>
      <c r="J1315" s="9">
        <v>1549.0</v>
      </c>
      <c r="K1315" s="9">
        <v>1549.0</v>
      </c>
      <c r="L1315" s="9">
        <v>1549.0</v>
      </c>
      <c r="M1315" s="9">
        <v>325.0</v>
      </c>
      <c r="N1315" s="9">
        <v>775.0</v>
      </c>
      <c r="O1315" s="9">
        <v>449.0</v>
      </c>
      <c r="P1315" s="8" t="s">
        <v>3480</v>
      </c>
      <c r="Q1315" s="8" t="s">
        <v>9966</v>
      </c>
      <c r="R1315" s="8" t="s">
        <v>9967</v>
      </c>
    </row>
    <row r="1316">
      <c r="A1316" s="8" t="s">
        <v>1800</v>
      </c>
      <c r="B1316" s="8" t="s">
        <v>9968</v>
      </c>
      <c r="C1316" s="8" t="s">
        <v>9969</v>
      </c>
      <c r="D1316" s="9">
        <v>9.076116025E9</v>
      </c>
      <c r="E1316" s="8" t="s">
        <v>9970</v>
      </c>
      <c r="F1316" s="8" t="s">
        <v>3653</v>
      </c>
      <c r="G1316" s="8" t="s">
        <v>9971</v>
      </c>
      <c r="H1316" s="8" t="s">
        <v>3479</v>
      </c>
      <c r="I1316" s="9">
        <v>0.0</v>
      </c>
      <c r="J1316" s="9">
        <v>2194.0</v>
      </c>
      <c r="K1316" s="9">
        <v>2194.0</v>
      </c>
      <c r="L1316" s="9">
        <v>2194.0</v>
      </c>
      <c r="M1316" s="9">
        <v>731.0</v>
      </c>
      <c r="N1316" s="9">
        <v>839.0</v>
      </c>
      <c r="O1316" s="9">
        <v>624.0</v>
      </c>
      <c r="P1316" s="8" t="s">
        <v>3480</v>
      </c>
      <c r="Q1316" s="8"/>
      <c r="R1316" s="8"/>
    </row>
    <row r="1317">
      <c r="A1317" s="8" t="s">
        <v>1801</v>
      </c>
      <c r="B1317" s="8" t="s">
        <v>9972</v>
      </c>
      <c r="C1317" s="8" t="s">
        <v>4067</v>
      </c>
      <c r="D1317" s="9">
        <v>8.408873636E9</v>
      </c>
      <c r="E1317" s="8" t="s">
        <v>9973</v>
      </c>
      <c r="F1317" s="8" t="s">
        <v>3589</v>
      </c>
      <c r="G1317" s="8" t="s">
        <v>9974</v>
      </c>
      <c r="H1317" s="8" t="s">
        <v>3479</v>
      </c>
      <c r="I1317" s="9">
        <v>0.0</v>
      </c>
      <c r="J1317" s="9">
        <v>4669.0</v>
      </c>
      <c r="K1317" s="9">
        <v>4669.0</v>
      </c>
      <c r="L1317" s="9">
        <v>4669.0</v>
      </c>
      <c r="M1317" s="9">
        <v>3031.0</v>
      </c>
      <c r="N1317" s="9">
        <v>739.0</v>
      </c>
      <c r="O1317" s="9">
        <v>899.0</v>
      </c>
      <c r="P1317" s="8" t="s">
        <v>3519</v>
      </c>
      <c r="Q1317" s="8"/>
      <c r="R1317" s="8"/>
    </row>
    <row r="1318">
      <c r="A1318" s="8" t="s">
        <v>1802</v>
      </c>
      <c r="B1318" s="8" t="s">
        <v>9975</v>
      </c>
      <c r="C1318" s="8" t="s">
        <v>9976</v>
      </c>
      <c r="D1318" s="9">
        <v>9.284491464E9</v>
      </c>
      <c r="E1318" s="8" t="s">
        <v>9977</v>
      </c>
      <c r="F1318" s="8" t="s">
        <v>3768</v>
      </c>
      <c r="G1318" s="8" t="s">
        <v>9978</v>
      </c>
      <c r="H1318" s="8" t="s">
        <v>3479</v>
      </c>
      <c r="I1318" s="9">
        <v>0.0</v>
      </c>
      <c r="J1318" s="9">
        <v>2579.0</v>
      </c>
      <c r="K1318" s="9">
        <v>2579.0</v>
      </c>
      <c r="L1318" s="9">
        <v>2579.0</v>
      </c>
      <c r="M1318" s="9">
        <v>1006.0</v>
      </c>
      <c r="N1318" s="9">
        <v>849.0</v>
      </c>
      <c r="O1318" s="9">
        <v>724.0</v>
      </c>
      <c r="P1318" s="8" t="s">
        <v>3544</v>
      </c>
      <c r="Q1318" s="8"/>
      <c r="R1318" s="8"/>
    </row>
    <row r="1319">
      <c r="A1319" s="8" t="s">
        <v>1719</v>
      </c>
      <c r="B1319" s="8" t="s">
        <v>9979</v>
      </c>
      <c r="C1319" s="8" t="s">
        <v>9980</v>
      </c>
      <c r="D1319" s="9">
        <v>7.069956654E9</v>
      </c>
      <c r="E1319" s="8" t="s">
        <v>9981</v>
      </c>
      <c r="F1319" s="8" t="s">
        <v>5301</v>
      </c>
      <c r="G1319" s="8" t="s">
        <v>9982</v>
      </c>
      <c r="H1319" s="8" t="s">
        <v>3479</v>
      </c>
      <c r="I1319" s="9">
        <v>0.0</v>
      </c>
      <c r="J1319" s="9">
        <v>5570.0</v>
      </c>
      <c r="K1319" s="9">
        <v>5570.0</v>
      </c>
      <c r="L1319" s="9">
        <v>5570.0</v>
      </c>
      <c r="M1319" s="9">
        <v>4521.0</v>
      </c>
      <c r="N1319" s="9">
        <v>0.0</v>
      </c>
      <c r="O1319" s="9">
        <v>1049.0</v>
      </c>
      <c r="P1319" s="8" t="s">
        <v>3519</v>
      </c>
      <c r="Q1319" s="8"/>
      <c r="R1319" s="8"/>
    </row>
    <row r="1320">
      <c r="A1320" s="8" t="s">
        <v>1824</v>
      </c>
      <c r="B1320" s="8" t="s">
        <v>9983</v>
      </c>
      <c r="C1320" s="8" t="s">
        <v>9984</v>
      </c>
      <c r="D1320" s="9">
        <v>7.264861807E9</v>
      </c>
      <c r="E1320" s="8" t="s">
        <v>9985</v>
      </c>
      <c r="F1320" s="8" t="s">
        <v>3658</v>
      </c>
      <c r="G1320" s="8" t="s">
        <v>9986</v>
      </c>
      <c r="H1320" s="8" t="s">
        <v>3479</v>
      </c>
      <c r="I1320" s="9">
        <v>0.0</v>
      </c>
      <c r="J1320" s="9">
        <v>1923.0</v>
      </c>
      <c r="K1320" s="9">
        <v>1923.0</v>
      </c>
      <c r="L1320" s="9">
        <v>1923.0</v>
      </c>
      <c r="M1320" s="9">
        <v>690.0</v>
      </c>
      <c r="N1320" s="9">
        <v>784.0</v>
      </c>
      <c r="O1320" s="9">
        <v>449.0</v>
      </c>
      <c r="P1320" s="8" t="s">
        <v>3480</v>
      </c>
      <c r="Q1320" s="8"/>
      <c r="R1320" s="8"/>
    </row>
    <row r="1321">
      <c r="A1321" s="8" t="s">
        <v>1826</v>
      </c>
      <c r="B1321" s="8" t="s">
        <v>9987</v>
      </c>
      <c r="C1321" s="8" t="s">
        <v>9988</v>
      </c>
      <c r="D1321" s="9">
        <v>9.146756498E9</v>
      </c>
      <c r="E1321" s="8" t="s">
        <v>9989</v>
      </c>
      <c r="F1321" s="8" t="s">
        <v>3608</v>
      </c>
      <c r="G1321" s="8" t="s">
        <v>9990</v>
      </c>
      <c r="H1321" s="8" t="s">
        <v>3479</v>
      </c>
      <c r="I1321" s="9">
        <v>0.0</v>
      </c>
      <c r="J1321" s="9">
        <v>3051.0</v>
      </c>
      <c r="K1321" s="9">
        <v>3051.0</v>
      </c>
      <c r="L1321" s="9">
        <v>3051.0</v>
      </c>
      <c r="M1321" s="9">
        <v>1783.0</v>
      </c>
      <c r="N1321" s="9">
        <v>739.0</v>
      </c>
      <c r="O1321" s="9">
        <v>529.0</v>
      </c>
      <c r="P1321" s="8" t="s">
        <v>3480</v>
      </c>
      <c r="Q1321" s="8"/>
      <c r="R1321" s="8"/>
    </row>
    <row r="1322">
      <c r="A1322" s="8" t="s">
        <v>1825</v>
      </c>
      <c r="B1322" s="8" t="s">
        <v>9991</v>
      </c>
      <c r="C1322" s="8" t="s">
        <v>9992</v>
      </c>
      <c r="D1322" s="9">
        <v>9.156299054E9</v>
      </c>
      <c r="E1322" s="8" t="s">
        <v>9993</v>
      </c>
      <c r="F1322" s="8" t="s">
        <v>5485</v>
      </c>
      <c r="G1322" s="8" t="s">
        <v>9994</v>
      </c>
      <c r="H1322" s="8" t="s">
        <v>3479</v>
      </c>
      <c r="I1322" s="9">
        <v>0.0</v>
      </c>
      <c r="J1322" s="9">
        <v>1794.0</v>
      </c>
      <c r="K1322" s="9">
        <v>1794.0</v>
      </c>
      <c r="L1322" s="9">
        <v>1794.0</v>
      </c>
      <c r="M1322" s="9">
        <v>145.0</v>
      </c>
      <c r="N1322" s="9">
        <v>950.0</v>
      </c>
      <c r="O1322" s="9">
        <v>699.0</v>
      </c>
      <c r="P1322" s="8" t="s">
        <v>3480</v>
      </c>
      <c r="Q1322" s="8"/>
      <c r="R1322" s="8"/>
    </row>
    <row r="1323">
      <c r="A1323" s="8" t="s">
        <v>1827</v>
      </c>
      <c r="B1323" s="8" t="s">
        <v>9995</v>
      </c>
      <c r="C1323" s="8" t="s">
        <v>9996</v>
      </c>
      <c r="D1323" s="9">
        <v>7.840978199E9</v>
      </c>
      <c r="E1323" s="8" t="s">
        <v>9997</v>
      </c>
      <c r="F1323" s="8" t="s">
        <v>5782</v>
      </c>
      <c r="G1323" s="8" t="s">
        <v>9998</v>
      </c>
      <c r="H1323" s="8" t="s">
        <v>3479</v>
      </c>
      <c r="I1323" s="9">
        <v>0.0</v>
      </c>
      <c r="J1323" s="9">
        <v>2320.0</v>
      </c>
      <c r="K1323" s="9">
        <v>2320.0</v>
      </c>
      <c r="L1323" s="9">
        <v>2320.0</v>
      </c>
      <c r="M1323" s="9">
        <v>1087.0</v>
      </c>
      <c r="N1323" s="9">
        <v>784.0</v>
      </c>
      <c r="O1323" s="9">
        <v>449.0</v>
      </c>
      <c r="P1323" s="8" t="s">
        <v>3480</v>
      </c>
      <c r="Q1323" s="8" t="s">
        <v>9999</v>
      </c>
      <c r="R1323" s="8" t="s">
        <v>10000</v>
      </c>
    </row>
    <row r="1324">
      <c r="A1324" s="8" t="s">
        <v>1823</v>
      </c>
      <c r="B1324" s="8" t="s">
        <v>10001</v>
      </c>
      <c r="C1324" s="8" t="s">
        <v>10002</v>
      </c>
      <c r="D1324" s="9">
        <v>8.390553748E9</v>
      </c>
      <c r="E1324" s="8" t="s">
        <v>10003</v>
      </c>
      <c r="F1324" s="8" t="s">
        <v>3628</v>
      </c>
      <c r="G1324" s="8" t="s">
        <v>4036</v>
      </c>
      <c r="H1324" s="8" t="s">
        <v>3479</v>
      </c>
      <c r="I1324" s="9">
        <v>0.0</v>
      </c>
      <c r="J1324" s="9">
        <v>2274.0</v>
      </c>
      <c r="K1324" s="9">
        <v>4774.0</v>
      </c>
      <c r="L1324" s="9">
        <v>4774.0</v>
      </c>
      <c r="M1324" s="9">
        <v>2820.0</v>
      </c>
      <c r="N1324" s="9">
        <v>900.0</v>
      </c>
      <c r="O1324" s="9">
        <v>1054.0</v>
      </c>
      <c r="P1324" s="8" t="s">
        <v>3480</v>
      </c>
      <c r="Q1324" s="8"/>
      <c r="R1324" s="8"/>
    </row>
    <row r="1325">
      <c r="A1325" s="8" t="s">
        <v>1828</v>
      </c>
      <c r="B1325" s="8" t="s">
        <v>10004</v>
      </c>
      <c r="C1325" s="8" t="s">
        <v>10005</v>
      </c>
      <c r="D1325" s="9">
        <v>9.902518488E9</v>
      </c>
      <c r="E1325" s="8" t="s">
        <v>10006</v>
      </c>
      <c r="F1325" s="8" t="s">
        <v>3523</v>
      </c>
      <c r="G1325" s="8" t="s">
        <v>10007</v>
      </c>
      <c r="H1325" s="8" t="s">
        <v>3479</v>
      </c>
      <c r="I1325" s="9">
        <v>0.0</v>
      </c>
      <c r="J1325" s="9">
        <v>764.0</v>
      </c>
      <c r="K1325" s="9">
        <v>764.0</v>
      </c>
      <c r="L1325" s="9">
        <v>764.0</v>
      </c>
      <c r="M1325" s="9">
        <v>160.0</v>
      </c>
      <c r="N1325" s="9">
        <v>80.0</v>
      </c>
      <c r="O1325" s="9">
        <v>524.0</v>
      </c>
      <c r="P1325" s="8" t="s">
        <v>3480</v>
      </c>
      <c r="Q1325" s="8" t="s">
        <v>10008</v>
      </c>
      <c r="R1325" s="8" t="s">
        <v>10009</v>
      </c>
    </row>
    <row r="1326">
      <c r="A1326" s="8" t="s">
        <v>1830</v>
      </c>
      <c r="B1326" s="8" t="s">
        <v>10010</v>
      </c>
      <c r="C1326" s="8" t="s">
        <v>10011</v>
      </c>
      <c r="D1326" s="9">
        <v>7.875600029E9</v>
      </c>
      <c r="E1326" s="8" t="s">
        <v>10012</v>
      </c>
      <c r="F1326" s="8" t="s">
        <v>3977</v>
      </c>
      <c r="G1326" s="8" t="s">
        <v>10013</v>
      </c>
      <c r="H1326" s="8" t="s">
        <v>3479</v>
      </c>
      <c r="I1326" s="9">
        <v>0.0</v>
      </c>
      <c r="J1326" s="9">
        <v>2280.0</v>
      </c>
      <c r="K1326" s="9">
        <v>2280.0</v>
      </c>
      <c r="L1326" s="9">
        <v>2280.0</v>
      </c>
      <c r="M1326" s="9">
        <v>637.0</v>
      </c>
      <c r="N1326" s="9">
        <v>739.0</v>
      </c>
      <c r="O1326" s="9">
        <v>904.0</v>
      </c>
      <c r="P1326" s="8" t="s">
        <v>3480</v>
      </c>
      <c r="Q1326" s="8" t="s">
        <v>10014</v>
      </c>
      <c r="R1326" s="8" t="s">
        <v>10015</v>
      </c>
    </row>
    <row r="1327">
      <c r="A1327" s="8" t="s">
        <v>1831</v>
      </c>
      <c r="B1327" s="8" t="s">
        <v>10016</v>
      </c>
      <c r="C1327" s="8" t="s">
        <v>10017</v>
      </c>
      <c r="D1327" s="9">
        <v>8.767880915E9</v>
      </c>
      <c r="E1327" s="8" t="s">
        <v>10018</v>
      </c>
      <c r="F1327" s="8" t="s">
        <v>3863</v>
      </c>
      <c r="G1327" s="8" t="s">
        <v>10019</v>
      </c>
      <c r="H1327" s="8" t="s">
        <v>3479</v>
      </c>
      <c r="I1327" s="9">
        <v>0.0</v>
      </c>
      <c r="J1327" s="9">
        <v>4392.0</v>
      </c>
      <c r="K1327" s="9">
        <v>4392.0</v>
      </c>
      <c r="L1327" s="9">
        <v>4392.0</v>
      </c>
      <c r="M1327" s="9">
        <v>3004.0</v>
      </c>
      <c r="N1327" s="9">
        <v>739.0</v>
      </c>
      <c r="O1327" s="9">
        <v>649.0</v>
      </c>
      <c r="P1327" s="8" t="s">
        <v>3480</v>
      </c>
      <c r="Q1327" s="8"/>
      <c r="R1327" s="8"/>
    </row>
    <row r="1328">
      <c r="A1328" s="8" t="s">
        <v>1832</v>
      </c>
      <c r="B1328" s="8" t="s">
        <v>10020</v>
      </c>
      <c r="C1328" s="8" t="s">
        <v>10021</v>
      </c>
      <c r="D1328" s="9">
        <v>9.960896345E9</v>
      </c>
      <c r="E1328" s="8" t="s">
        <v>10022</v>
      </c>
      <c r="F1328" s="8" t="s">
        <v>3589</v>
      </c>
      <c r="G1328" s="8" t="s">
        <v>10023</v>
      </c>
      <c r="H1328" s="8" t="s">
        <v>3479</v>
      </c>
      <c r="I1328" s="9">
        <v>0.0</v>
      </c>
      <c r="J1328" s="9">
        <v>1943.0</v>
      </c>
      <c r="K1328" s="9">
        <v>1943.0</v>
      </c>
      <c r="L1328" s="9">
        <v>1943.0</v>
      </c>
      <c r="M1328" s="9">
        <v>600.0</v>
      </c>
      <c r="N1328" s="9">
        <v>739.0</v>
      </c>
      <c r="O1328" s="9">
        <v>604.0</v>
      </c>
      <c r="P1328" s="8" t="s">
        <v>3480</v>
      </c>
      <c r="Q1328" s="8" t="s">
        <v>10024</v>
      </c>
      <c r="R1328" s="8"/>
    </row>
    <row r="1329">
      <c r="A1329" s="8" t="s">
        <v>1768</v>
      </c>
      <c r="B1329" s="8" t="s">
        <v>10025</v>
      </c>
      <c r="C1329" s="8" t="s">
        <v>3899</v>
      </c>
      <c r="D1329" s="9">
        <v>7.406056477E9</v>
      </c>
      <c r="E1329" s="8" t="s">
        <v>3900</v>
      </c>
      <c r="F1329" s="8" t="s">
        <v>3901</v>
      </c>
      <c r="G1329" s="8" t="s">
        <v>10026</v>
      </c>
      <c r="H1329" s="8" t="s">
        <v>3479</v>
      </c>
      <c r="I1329" s="9">
        <v>0.0</v>
      </c>
      <c r="J1329" s="9">
        <v>1773.0</v>
      </c>
      <c r="K1329" s="9">
        <v>1773.0</v>
      </c>
      <c r="L1329" s="9">
        <v>1773.0</v>
      </c>
      <c r="M1329" s="9">
        <v>400.0</v>
      </c>
      <c r="N1329" s="9">
        <v>774.0</v>
      </c>
      <c r="O1329" s="9">
        <v>599.0</v>
      </c>
      <c r="P1329" s="8" t="s">
        <v>4183</v>
      </c>
      <c r="Q1329" s="8" t="s">
        <v>3903</v>
      </c>
      <c r="R1329" s="8" t="s">
        <v>3904</v>
      </c>
    </row>
    <row r="1330">
      <c r="A1330" s="8" t="s">
        <v>1769</v>
      </c>
      <c r="B1330" s="8" t="s">
        <v>10027</v>
      </c>
      <c r="C1330" s="8" t="s">
        <v>10028</v>
      </c>
      <c r="D1330" s="9">
        <v>8.208096787E9</v>
      </c>
      <c r="E1330" s="8" t="s">
        <v>10029</v>
      </c>
      <c r="F1330" s="8" t="s">
        <v>6428</v>
      </c>
      <c r="G1330" s="8" t="s">
        <v>10030</v>
      </c>
      <c r="H1330" s="8" t="s">
        <v>3479</v>
      </c>
      <c r="I1330" s="9">
        <v>0.0</v>
      </c>
      <c r="J1330" s="9">
        <v>3051.0</v>
      </c>
      <c r="K1330" s="9">
        <v>3051.0</v>
      </c>
      <c r="L1330" s="9">
        <v>3051.0</v>
      </c>
      <c r="M1330" s="9">
        <v>1509.0</v>
      </c>
      <c r="N1330" s="9">
        <v>818.0</v>
      </c>
      <c r="O1330" s="9">
        <v>724.0</v>
      </c>
      <c r="P1330" s="8" t="s">
        <v>4183</v>
      </c>
      <c r="Q1330" s="8" t="s">
        <v>10031</v>
      </c>
      <c r="R1330" s="8" t="s">
        <v>10032</v>
      </c>
    </row>
    <row r="1331">
      <c r="A1331" s="8" t="s">
        <v>1770</v>
      </c>
      <c r="B1331" s="8" t="s">
        <v>10033</v>
      </c>
      <c r="C1331" s="8" t="s">
        <v>10034</v>
      </c>
      <c r="D1331" s="9">
        <v>9.158485474E9</v>
      </c>
      <c r="E1331" s="8" t="s">
        <v>10035</v>
      </c>
      <c r="F1331" s="8" t="s">
        <v>4143</v>
      </c>
      <c r="G1331" s="8" t="s">
        <v>10036</v>
      </c>
      <c r="H1331" s="8" t="s">
        <v>3479</v>
      </c>
      <c r="I1331" s="9">
        <v>0.0</v>
      </c>
      <c r="J1331" s="9">
        <v>1458.0</v>
      </c>
      <c r="K1331" s="9">
        <v>1458.0</v>
      </c>
      <c r="L1331" s="9">
        <v>1458.0</v>
      </c>
      <c r="M1331" s="9">
        <v>233.0</v>
      </c>
      <c r="N1331" s="9">
        <v>776.0</v>
      </c>
      <c r="O1331" s="9">
        <v>449.0</v>
      </c>
      <c r="P1331" s="8" t="s">
        <v>4183</v>
      </c>
      <c r="Q1331" s="8" t="s">
        <v>10037</v>
      </c>
      <c r="R1331" s="8" t="s">
        <v>10038</v>
      </c>
    </row>
    <row r="1332">
      <c r="A1332" s="8" t="s">
        <v>1771</v>
      </c>
      <c r="B1332" s="8" t="s">
        <v>10039</v>
      </c>
      <c r="C1332" s="8" t="s">
        <v>10040</v>
      </c>
      <c r="D1332" s="9">
        <v>7.568346926E9</v>
      </c>
      <c r="E1332" s="8" t="s">
        <v>10041</v>
      </c>
      <c r="F1332" s="8" t="s">
        <v>5194</v>
      </c>
      <c r="G1332" s="8" t="s">
        <v>10042</v>
      </c>
      <c r="H1332" s="8" t="s">
        <v>10043</v>
      </c>
      <c r="I1332" s="9">
        <v>0.0</v>
      </c>
      <c r="J1332" s="9">
        <v>3500.0</v>
      </c>
      <c r="K1332" s="9">
        <v>3511.0</v>
      </c>
      <c r="L1332" s="9">
        <v>3500.0</v>
      </c>
      <c r="M1332" s="9">
        <v>2252.0</v>
      </c>
      <c r="N1332" s="9">
        <v>730.0</v>
      </c>
      <c r="O1332" s="9">
        <v>529.0</v>
      </c>
      <c r="P1332" s="8" t="s">
        <v>4183</v>
      </c>
      <c r="Q1332" s="8" t="s">
        <v>10044</v>
      </c>
      <c r="R1332" s="8" t="s">
        <v>10045</v>
      </c>
    </row>
    <row r="1333">
      <c r="A1333" s="8" t="s">
        <v>1772</v>
      </c>
      <c r="B1333" s="8" t="s">
        <v>10046</v>
      </c>
      <c r="C1333" s="8" t="s">
        <v>10005</v>
      </c>
      <c r="D1333" s="9">
        <v>9.902518488E9</v>
      </c>
      <c r="E1333" s="8" t="s">
        <v>10006</v>
      </c>
      <c r="F1333" s="8" t="s">
        <v>3523</v>
      </c>
      <c r="G1333" s="8" t="s">
        <v>10047</v>
      </c>
      <c r="H1333" s="8" t="s">
        <v>3479</v>
      </c>
      <c r="I1333" s="9">
        <v>0.0</v>
      </c>
      <c r="J1333" s="9">
        <v>2148.0</v>
      </c>
      <c r="K1333" s="9">
        <v>2148.0</v>
      </c>
      <c r="L1333" s="9">
        <v>2148.0</v>
      </c>
      <c r="M1333" s="9">
        <v>894.0</v>
      </c>
      <c r="N1333" s="9">
        <v>730.0</v>
      </c>
      <c r="O1333" s="9">
        <v>524.0</v>
      </c>
      <c r="P1333" s="8" t="s">
        <v>4183</v>
      </c>
      <c r="Q1333" s="8" t="s">
        <v>10008</v>
      </c>
      <c r="R1333" s="8" t="s">
        <v>10009</v>
      </c>
    </row>
    <row r="1334">
      <c r="A1334" s="8" t="s">
        <v>1773</v>
      </c>
      <c r="B1334" s="8" t="s">
        <v>10048</v>
      </c>
      <c r="C1334" s="8" t="s">
        <v>10049</v>
      </c>
      <c r="D1334" s="9">
        <v>7.737381901E9</v>
      </c>
      <c r="E1334" s="8" t="s">
        <v>10050</v>
      </c>
      <c r="F1334" s="8" t="s">
        <v>3677</v>
      </c>
      <c r="G1334" s="8" t="s">
        <v>10051</v>
      </c>
      <c r="H1334" s="8" t="s">
        <v>3479</v>
      </c>
      <c r="I1334" s="9">
        <v>0.0</v>
      </c>
      <c r="J1334" s="9">
        <v>2063.0</v>
      </c>
      <c r="K1334" s="9">
        <v>2063.0</v>
      </c>
      <c r="L1334" s="9">
        <v>2063.0</v>
      </c>
      <c r="M1334" s="9">
        <v>1124.0</v>
      </c>
      <c r="N1334" s="9">
        <v>65.0</v>
      </c>
      <c r="O1334" s="9">
        <v>874.0</v>
      </c>
      <c r="P1334" s="8" t="s">
        <v>4183</v>
      </c>
      <c r="Q1334" s="8" t="s">
        <v>10052</v>
      </c>
      <c r="R1334" s="8" t="s">
        <v>10053</v>
      </c>
    </row>
    <row r="1335">
      <c r="A1335" s="8" t="s">
        <v>1774</v>
      </c>
      <c r="B1335" s="8" t="s">
        <v>10054</v>
      </c>
      <c r="C1335" s="8" t="s">
        <v>7494</v>
      </c>
      <c r="D1335" s="9">
        <v>9.404545177E9</v>
      </c>
      <c r="E1335" s="8" t="s">
        <v>7495</v>
      </c>
      <c r="F1335" s="8" t="s">
        <v>3653</v>
      </c>
      <c r="G1335" s="8" t="s">
        <v>10055</v>
      </c>
      <c r="H1335" s="8" t="s">
        <v>3479</v>
      </c>
      <c r="I1335" s="9">
        <v>0.0</v>
      </c>
      <c r="J1335" s="9">
        <v>3332.0</v>
      </c>
      <c r="K1335" s="9">
        <v>3332.0</v>
      </c>
      <c r="L1335" s="9">
        <v>3332.0</v>
      </c>
      <c r="M1335" s="9">
        <v>1457.0</v>
      </c>
      <c r="N1335" s="9">
        <v>776.0</v>
      </c>
      <c r="O1335" s="9">
        <v>1099.0</v>
      </c>
      <c r="P1335" s="8" t="s">
        <v>4183</v>
      </c>
      <c r="Q1335" s="8" t="s">
        <v>7497</v>
      </c>
      <c r="R1335" s="8" t="s">
        <v>7498</v>
      </c>
    </row>
    <row r="1336">
      <c r="A1336" s="8" t="s">
        <v>1775</v>
      </c>
      <c r="B1336" s="8" t="s">
        <v>10056</v>
      </c>
      <c r="C1336" s="8" t="s">
        <v>6759</v>
      </c>
      <c r="D1336" s="9">
        <v>9.3256184E9</v>
      </c>
      <c r="E1336" s="8" t="s">
        <v>6760</v>
      </c>
      <c r="F1336" s="8" t="s">
        <v>3576</v>
      </c>
      <c r="G1336" s="8" t="s">
        <v>10057</v>
      </c>
      <c r="H1336" s="8" t="s">
        <v>3479</v>
      </c>
      <c r="I1336" s="9">
        <v>0.0</v>
      </c>
      <c r="J1336" s="9">
        <v>1925.0</v>
      </c>
      <c r="K1336" s="9">
        <v>1925.0</v>
      </c>
      <c r="L1336" s="9">
        <v>1925.0</v>
      </c>
      <c r="M1336" s="9">
        <v>435.0</v>
      </c>
      <c r="N1336" s="9">
        <v>891.0</v>
      </c>
      <c r="O1336" s="9">
        <v>599.0</v>
      </c>
      <c r="P1336" s="8" t="s">
        <v>4183</v>
      </c>
      <c r="Q1336" s="8" t="s">
        <v>6763</v>
      </c>
      <c r="R1336" s="8" t="s">
        <v>6764</v>
      </c>
    </row>
    <row r="1337">
      <c r="A1337" s="8" t="s">
        <v>1777</v>
      </c>
      <c r="B1337" s="8" t="s">
        <v>10058</v>
      </c>
      <c r="C1337" s="8" t="s">
        <v>9831</v>
      </c>
      <c r="D1337" s="9">
        <v>8.626061848E9</v>
      </c>
      <c r="E1337" s="8" t="s">
        <v>9832</v>
      </c>
      <c r="F1337" s="8" t="s">
        <v>3869</v>
      </c>
      <c r="G1337" s="8" t="s">
        <v>4036</v>
      </c>
      <c r="H1337" s="8" t="s">
        <v>3479</v>
      </c>
      <c r="I1337" s="9">
        <v>0.0</v>
      </c>
      <c r="J1337" s="9">
        <v>1386.0</v>
      </c>
      <c r="K1337" s="9">
        <v>1386.0</v>
      </c>
      <c r="L1337" s="9">
        <v>1386.0</v>
      </c>
      <c r="M1337" s="9">
        <v>936.0</v>
      </c>
      <c r="N1337" s="9">
        <v>0.0</v>
      </c>
      <c r="O1337" s="9">
        <v>450.0</v>
      </c>
      <c r="P1337" s="8" t="s">
        <v>4183</v>
      </c>
      <c r="Q1337" s="8" t="s">
        <v>9834</v>
      </c>
      <c r="R1337" s="8" t="s">
        <v>9835</v>
      </c>
    </row>
    <row r="1338">
      <c r="A1338" s="8" t="s">
        <v>1833</v>
      </c>
      <c r="B1338" s="8" t="s">
        <v>10059</v>
      </c>
      <c r="C1338" s="8" t="s">
        <v>4750</v>
      </c>
      <c r="D1338" s="9">
        <v>8.754474123E9</v>
      </c>
      <c r="E1338" s="8" t="s">
        <v>4751</v>
      </c>
      <c r="F1338" s="8" t="s">
        <v>3550</v>
      </c>
      <c r="G1338" s="8" t="s">
        <v>10060</v>
      </c>
      <c r="H1338" s="8" t="s">
        <v>3479</v>
      </c>
      <c r="I1338" s="9">
        <v>0.0</v>
      </c>
      <c r="J1338" s="9">
        <v>2225.0</v>
      </c>
      <c r="K1338" s="9">
        <v>2225.0</v>
      </c>
      <c r="L1338" s="9">
        <v>2225.0</v>
      </c>
      <c r="M1338" s="9">
        <v>1096.0</v>
      </c>
      <c r="N1338" s="9">
        <v>680.0</v>
      </c>
      <c r="O1338" s="9">
        <v>449.0</v>
      </c>
      <c r="P1338" s="8" t="s">
        <v>3480</v>
      </c>
      <c r="Q1338" s="8" t="s">
        <v>4753</v>
      </c>
      <c r="R1338" s="8" t="s">
        <v>4754</v>
      </c>
    </row>
    <row r="1339">
      <c r="A1339" s="8" t="s">
        <v>1778</v>
      </c>
      <c r="B1339" s="8" t="s">
        <v>10061</v>
      </c>
      <c r="C1339" s="8" t="s">
        <v>10062</v>
      </c>
      <c r="D1339" s="9">
        <v>9.860503773E9</v>
      </c>
      <c r="E1339" s="8" t="s">
        <v>10063</v>
      </c>
      <c r="F1339" s="8" t="s">
        <v>10064</v>
      </c>
      <c r="G1339" s="8" t="s">
        <v>10065</v>
      </c>
      <c r="H1339" s="8" t="s">
        <v>3479</v>
      </c>
      <c r="I1339" s="9">
        <v>0.0</v>
      </c>
      <c r="J1339" s="9">
        <v>2079.0</v>
      </c>
      <c r="K1339" s="9">
        <v>2079.0</v>
      </c>
      <c r="L1339" s="9">
        <v>2079.0</v>
      </c>
      <c r="M1339" s="9">
        <v>1140.0</v>
      </c>
      <c r="N1339" s="9">
        <v>190.0</v>
      </c>
      <c r="O1339" s="9">
        <v>749.0</v>
      </c>
      <c r="P1339" s="8" t="s">
        <v>4183</v>
      </c>
      <c r="Q1339" s="8" t="s">
        <v>10066</v>
      </c>
      <c r="R1339" s="8" t="s">
        <v>10067</v>
      </c>
    </row>
    <row r="1340">
      <c r="A1340" s="8" t="s">
        <v>1842</v>
      </c>
      <c r="B1340" s="8" t="s">
        <v>10068</v>
      </c>
      <c r="C1340" s="8" t="s">
        <v>10069</v>
      </c>
      <c r="D1340" s="9">
        <v>9.822414248E9</v>
      </c>
      <c r="E1340" s="8" t="s">
        <v>10070</v>
      </c>
      <c r="F1340" s="8" t="s">
        <v>8180</v>
      </c>
      <c r="G1340" s="8" t="s">
        <v>10071</v>
      </c>
      <c r="H1340" s="8" t="s">
        <v>3479</v>
      </c>
      <c r="I1340" s="9">
        <v>0.0</v>
      </c>
      <c r="J1340" s="9">
        <v>1550.0</v>
      </c>
      <c r="K1340" s="9">
        <v>1550.0</v>
      </c>
      <c r="L1340" s="9">
        <v>1550.0</v>
      </c>
      <c r="M1340" s="9">
        <v>1550.0</v>
      </c>
      <c r="N1340" s="9">
        <v>0.0</v>
      </c>
      <c r="O1340" s="9">
        <v>0.0</v>
      </c>
      <c r="P1340" s="8" t="s">
        <v>3480</v>
      </c>
      <c r="Q1340" s="8"/>
      <c r="R1340" s="8"/>
    </row>
    <row r="1341">
      <c r="A1341" s="8" t="s">
        <v>1829</v>
      </c>
      <c r="B1341" s="8" t="s">
        <v>10072</v>
      </c>
      <c r="C1341" s="8" t="s">
        <v>10073</v>
      </c>
      <c r="D1341" s="9">
        <v>9.765559057E9</v>
      </c>
      <c r="E1341" s="8" t="s">
        <v>10074</v>
      </c>
      <c r="F1341" s="8" t="s">
        <v>3523</v>
      </c>
      <c r="G1341" s="8" t="s">
        <v>10075</v>
      </c>
      <c r="H1341" s="8" t="s">
        <v>3479</v>
      </c>
      <c r="I1341" s="9">
        <v>0.0</v>
      </c>
      <c r="J1341" s="9">
        <v>1826.0</v>
      </c>
      <c r="K1341" s="9">
        <v>1826.0</v>
      </c>
      <c r="L1341" s="9">
        <v>1826.0</v>
      </c>
      <c r="M1341" s="9">
        <v>313.0</v>
      </c>
      <c r="N1341" s="9">
        <v>739.0</v>
      </c>
      <c r="O1341" s="9">
        <v>774.0</v>
      </c>
      <c r="P1341" s="8" t="s">
        <v>3544</v>
      </c>
      <c r="Q1341" s="8"/>
      <c r="R1341" s="8"/>
    </row>
    <row r="1342">
      <c r="A1342" s="8" t="s">
        <v>1844</v>
      </c>
      <c r="B1342" s="8" t="s">
        <v>10076</v>
      </c>
      <c r="C1342" s="8" t="s">
        <v>10077</v>
      </c>
      <c r="D1342" s="9">
        <v>9.762361646E9</v>
      </c>
      <c r="E1342" s="8" t="s">
        <v>10078</v>
      </c>
      <c r="F1342" s="8" t="s">
        <v>3959</v>
      </c>
      <c r="G1342" s="8" t="s">
        <v>10079</v>
      </c>
      <c r="H1342" s="8" t="s">
        <v>3479</v>
      </c>
      <c r="I1342" s="9">
        <v>0.0</v>
      </c>
      <c r="J1342" s="9">
        <v>1323.0</v>
      </c>
      <c r="K1342" s="9">
        <v>1323.0</v>
      </c>
      <c r="L1342" s="9">
        <v>1323.0</v>
      </c>
      <c r="M1342" s="9">
        <v>80.0</v>
      </c>
      <c r="N1342" s="9">
        <v>784.0</v>
      </c>
      <c r="O1342" s="9">
        <v>459.0</v>
      </c>
      <c r="P1342" s="8" t="s">
        <v>3480</v>
      </c>
      <c r="Q1342" s="8" t="s">
        <v>10080</v>
      </c>
      <c r="R1342" s="8" t="s">
        <v>10081</v>
      </c>
    </row>
    <row r="1343">
      <c r="A1343" s="8" t="s">
        <v>1843</v>
      </c>
      <c r="B1343" s="8" t="s">
        <v>10082</v>
      </c>
      <c r="C1343" s="8" t="s">
        <v>5656</v>
      </c>
      <c r="D1343" s="9">
        <v>9.92294198E9</v>
      </c>
      <c r="E1343" s="8" t="s">
        <v>10083</v>
      </c>
      <c r="F1343" s="8" t="s">
        <v>3608</v>
      </c>
      <c r="G1343" s="8" t="s">
        <v>10084</v>
      </c>
      <c r="H1343" s="8" t="s">
        <v>3479</v>
      </c>
      <c r="I1343" s="9">
        <v>0.0</v>
      </c>
      <c r="J1343" s="9">
        <v>1575.0</v>
      </c>
      <c r="K1343" s="9">
        <v>1575.0</v>
      </c>
      <c r="L1343" s="9">
        <v>1575.0</v>
      </c>
      <c r="M1343" s="9">
        <v>330.0</v>
      </c>
      <c r="N1343" s="9">
        <v>716.0</v>
      </c>
      <c r="O1343" s="9">
        <v>529.0</v>
      </c>
      <c r="P1343" s="8" t="s">
        <v>3480</v>
      </c>
      <c r="Q1343" s="8" t="s">
        <v>10085</v>
      </c>
      <c r="R1343" s="8" t="s">
        <v>10086</v>
      </c>
    </row>
    <row r="1344">
      <c r="A1344" s="8" t="s">
        <v>1845</v>
      </c>
      <c r="B1344" s="8" t="s">
        <v>10087</v>
      </c>
      <c r="C1344" s="8" t="s">
        <v>10088</v>
      </c>
      <c r="D1344" s="9">
        <v>9.867620802E9</v>
      </c>
      <c r="E1344" s="8" t="s">
        <v>10089</v>
      </c>
      <c r="F1344" s="8" t="s">
        <v>4239</v>
      </c>
      <c r="G1344" s="8" t="s">
        <v>10090</v>
      </c>
      <c r="H1344" s="8" t="s">
        <v>3479</v>
      </c>
      <c r="I1344" s="9">
        <v>0.0</v>
      </c>
      <c r="J1344" s="9">
        <v>1689.0</v>
      </c>
      <c r="K1344" s="9">
        <v>1689.0</v>
      </c>
      <c r="L1344" s="9">
        <v>1689.0</v>
      </c>
      <c r="M1344" s="9">
        <v>435.0</v>
      </c>
      <c r="N1344" s="9">
        <v>730.0</v>
      </c>
      <c r="O1344" s="9">
        <v>524.0</v>
      </c>
      <c r="P1344" s="8" t="s">
        <v>3519</v>
      </c>
      <c r="Q1344" s="8" t="s">
        <v>10091</v>
      </c>
      <c r="R1344" s="8" t="s">
        <v>10092</v>
      </c>
    </row>
    <row r="1345">
      <c r="A1345" s="8" t="s">
        <v>1846</v>
      </c>
      <c r="B1345" s="8" t="s">
        <v>10093</v>
      </c>
      <c r="C1345" s="8" t="s">
        <v>8430</v>
      </c>
      <c r="D1345" s="9">
        <v>9.011557655E9</v>
      </c>
      <c r="E1345" s="8" t="s">
        <v>8431</v>
      </c>
      <c r="F1345" s="8" t="s">
        <v>3498</v>
      </c>
      <c r="G1345" s="8" t="s">
        <v>10094</v>
      </c>
      <c r="H1345" s="8" t="s">
        <v>3479</v>
      </c>
      <c r="I1345" s="9">
        <v>0.0</v>
      </c>
      <c r="J1345" s="9">
        <v>1632.0</v>
      </c>
      <c r="K1345" s="9">
        <v>1632.0</v>
      </c>
      <c r="L1345" s="9">
        <v>1632.0</v>
      </c>
      <c r="M1345" s="9">
        <v>378.0</v>
      </c>
      <c r="N1345" s="9">
        <v>730.0</v>
      </c>
      <c r="O1345" s="9">
        <v>524.0</v>
      </c>
      <c r="P1345" s="8" t="s">
        <v>3480</v>
      </c>
      <c r="Q1345" s="8" t="s">
        <v>8433</v>
      </c>
      <c r="R1345" s="8" t="s">
        <v>8434</v>
      </c>
    </row>
    <row r="1346">
      <c r="A1346" s="8" t="s">
        <v>1776</v>
      </c>
      <c r="B1346" s="8" t="s">
        <v>10095</v>
      </c>
      <c r="C1346" s="8" t="s">
        <v>10096</v>
      </c>
      <c r="D1346" s="9">
        <v>8.411084667E9</v>
      </c>
      <c r="E1346" s="8" t="s">
        <v>10097</v>
      </c>
      <c r="F1346" s="8" t="s">
        <v>4134</v>
      </c>
      <c r="G1346" s="8" t="s">
        <v>10098</v>
      </c>
      <c r="H1346" s="8" t="s">
        <v>3479</v>
      </c>
      <c r="I1346" s="9">
        <v>0.0</v>
      </c>
      <c r="J1346" s="9">
        <v>2525.0</v>
      </c>
      <c r="K1346" s="9">
        <v>2525.0</v>
      </c>
      <c r="L1346" s="9">
        <v>2525.0</v>
      </c>
      <c r="M1346" s="9">
        <v>2150.0</v>
      </c>
      <c r="N1346" s="9">
        <v>0.0</v>
      </c>
      <c r="O1346" s="9">
        <v>375.0</v>
      </c>
      <c r="P1346" s="8" t="s">
        <v>4183</v>
      </c>
      <c r="Q1346" s="8"/>
      <c r="R1346" s="8"/>
    </row>
    <row r="1347">
      <c r="A1347" s="8" t="s">
        <v>1848</v>
      </c>
      <c r="B1347" s="8" t="s">
        <v>10099</v>
      </c>
      <c r="C1347" s="8" t="s">
        <v>5656</v>
      </c>
      <c r="D1347" s="9">
        <v>9.92294198E9</v>
      </c>
      <c r="E1347" s="8" t="s">
        <v>5657</v>
      </c>
      <c r="F1347" s="8" t="s">
        <v>3934</v>
      </c>
      <c r="G1347" s="8" t="s">
        <v>10100</v>
      </c>
      <c r="H1347" s="8" t="s">
        <v>3479</v>
      </c>
      <c r="I1347" s="9">
        <v>0.0</v>
      </c>
      <c r="J1347" s="9">
        <v>1874.0</v>
      </c>
      <c r="K1347" s="9">
        <v>1874.0</v>
      </c>
      <c r="L1347" s="9">
        <v>1874.0</v>
      </c>
      <c r="M1347" s="9">
        <v>615.0</v>
      </c>
      <c r="N1347" s="9">
        <v>730.0</v>
      </c>
      <c r="O1347" s="9">
        <v>529.0</v>
      </c>
      <c r="P1347" s="8" t="s">
        <v>3480</v>
      </c>
      <c r="Q1347" s="8" t="s">
        <v>5659</v>
      </c>
      <c r="R1347" s="8" t="s">
        <v>5660</v>
      </c>
    </row>
    <row r="1348">
      <c r="A1348" s="8" t="s">
        <v>1834</v>
      </c>
      <c r="B1348" s="8" t="s">
        <v>10101</v>
      </c>
      <c r="C1348" s="8" t="s">
        <v>5916</v>
      </c>
      <c r="D1348" s="9">
        <v>9.881634714E9</v>
      </c>
      <c r="E1348" s="8" t="s">
        <v>5917</v>
      </c>
      <c r="F1348" s="8" t="s">
        <v>5918</v>
      </c>
      <c r="G1348" s="8" t="s">
        <v>5919</v>
      </c>
      <c r="H1348" s="8" t="s">
        <v>3479</v>
      </c>
      <c r="I1348" s="9">
        <v>0.0</v>
      </c>
      <c r="J1348" s="9">
        <v>1219.0</v>
      </c>
      <c r="K1348" s="9">
        <v>1219.0</v>
      </c>
      <c r="L1348" s="9">
        <v>1219.0</v>
      </c>
      <c r="M1348" s="9">
        <v>280.0</v>
      </c>
      <c r="N1348" s="9">
        <v>190.0</v>
      </c>
      <c r="O1348" s="9">
        <v>749.0</v>
      </c>
      <c r="P1348" s="8" t="s">
        <v>3480</v>
      </c>
      <c r="Q1348" s="8" t="s">
        <v>5920</v>
      </c>
      <c r="R1348" s="8" t="s">
        <v>5921</v>
      </c>
    </row>
    <row r="1349">
      <c r="A1349" s="8" t="s">
        <v>1779</v>
      </c>
      <c r="B1349" s="8" t="s">
        <v>10102</v>
      </c>
      <c r="C1349" s="8" t="s">
        <v>5135</v>
      </c>
      <c r="D1349" s="9">
        <v>9.767986906E9</v>
      </c>
      <c r="E1349" s="8" t="s">
        <v>10103</v>
      </c>
      <c r="F1349" s="8" t="s">
        <v>6234</v>
      </c>
      <c r="G1349" s="8" t="s">
        <v>10104</v>
      </c>
      <c r="H1349" s="8" t="s">
        <v>3479</v>
      </c>
      <c r="I1349" s="9">
        <v>0.0</v>
      </c>
      <c r="J1349" s="9">
        <v>1474.0</v>
      </c>
      <c r="K1349" s="9">
        <v>1474.0</v>
      </c>
      <c r="L1349" s="9">
        <v>1474.0</v>
      </c>
      <c r="M1349" s="9">
        <v>215.0</v>
      </c>
      <c r="N1349" s="9">
        <v>730.0</v>
      </c>
      <c r="O1349" s="9">
        <v>529.0</v>
      </c>
      <c r="P1349" s="8" t="s">
        <v>4183</v>
      </c>
      <c r="Q1349" s="8"/>
      <c r="R1349" s="8"/>
    </row>
    <row r="1350">
      <c r="A1350" s="8" t="s">
        <v>1780</v>
      </c>
      <c r="B1350" s="8" t="s">
        <v>10105</v>
      </c>
      <c r="C1350" s="8" t="s">
        <v>5495</v>
      </c>
      <c r="D1350" s="9">
        <v>9.326075507E9</v>
      </c>
      <c r="E1350" s="8" t="s">
        <v>5496</v>
      </c>
      <c r="F1350" s="8" t="s">
        <v>3569</v>
      </c>
      <c r="G1350" s="8" t="s">
        <v>10106</v>
      </c>
      <c r="H1350" s="8" t="s">
        <v>3479</v>
      </c>
      <c r="I1350" s="9">
        <v>0.0</v>
      </c>
      <c r="J1350" s="9">
        <v>939.0</v>
      </c>
      <c r="K1350" s="9">
        <v>939.0</v>
      </c>
      <c r="L1350" s="9">
        <v>939.0</v>
      </c>
      <c r="M1350" s="9">
        <v>240.0</v>
      </c>
      <c r="N1350" s="9">
        <v>0.0</v>
      </c>
      <c r="O1350" s="9">
        <v>699.0</v>
      </c>
      <c r="P1350" s="8" t="s">
        <v>4183</v>
      </c>
      <c r="Q1350" s="8" t="s">
        <v>5498</v>
      </c>
      <c r="R1350" s="8"/>
    </row>
    <row r="1351">
      <c r="A1351" s="8" t="s">
        <v>1781</v>
      </c>
      <c r="B1351" s="8" t="s">
        <v>10107</v>
      </c>
      <c r="C1351" s="8" t="s">
        <v>10108</v>
      </c>
      <c r="D1351" s="9">
        <v>8.600891133E9</v>
      </c>
      <c r="E1351" s="8" t="s">
        <v>10109</v>
      </c>
      <c r="F1351" s="8" t="s">
        <v>4125</v>
      </c>
      <c r="G1351" s="8" t="s">
        <v>10110</v>
      </c>
      <c r="H1351" s="8" t="s">
        <v>3479</v>
      </c>
      <c r="I1351" s="9">
        <v>0.0</v>
      </c>
      <c r="J1351" s="9">
        <v>2299.0</v>
      </c>
      <c r="K1351" s="9">
        <v>2299.0</v>
      </c>
      <c r="L1351" s="9">
        <v>2299.0</v>
      </c>
      <c r="M1351" s="9">
        <v>587.0</v>
      </c>
      <c r="N1351" s="9">
        <v>838.0</v>
      </c>
      <c r="O1351" s="9">
        <v>874.0</v>
      </c>
      <c r="P1351" s="8" t="s">
        <v>4183</v>
      </c>
      <c r="Q1351" s="8" t="s">
        <v>10111</v>
      </c>
      <c r="R1351" s="8" t="s">
        <v>10112</v>
      </c>
    </row>
    <row r="1352">
      <c r="A1352" s="8" t="s">
        <v>1782</v>
      </c>
      <c r="B1352" s="8" t="s">
        <v>10113</v>
      </c>
      <c r="C1352" s="8" t="s">
        <v>10114</v>
      </c>
      <c r="D1352" s="9">
        <v>9.860533058E9</v>
      </c>
      <c r="E1352" s="8" t="s">
        <v>10115</v>
      </c>
      <c r="F1352" s="8" t="s">
        <v>3509</v>
      </c>
      <c r="G1352" s="8" t="s">
        <v>10116</v>
      </c>
      <c r="H1352" s="8" t="s">
        <v>3479</v>
      </c>
      <c r="I1352" s="9">
        <v>0.0</v>
      </c>
      <c r="J1352" s="9">
        <v>1359.0</v>
      </c>
      <c r="K1352" s="9">
        <v>1359.0</v>
      </c>
      <c r="L1352" s="9">
        <v>1359.0</v>
      </c>
      <c r="M1352" s="9">
        <v>100.0</v>
      </c>
      <c r="N1352" s="9">
        <v>730.0</v>
      </c>
      <c r="O1352" s="9">
        <v>529.0</v>
      </c>
      <c r="P1352" s="8" t="s">
        <v>6294</v>
      </c>
      <c r="Q1352" s="8" t="s">
        <v>10117</v>
      </c>
      <c r="R1352" s="8" t="s">
        <v>10118</v>
      </c>
    </row>
    <row r="1353">
      <c r="A1353" s="8" t="s">
        <v>1783</v>
      </c>
      <c r="B1353" s="8" t="s">
        <v>10119</v>
      </c>
      <c r="C1353" s="8" t="s">
        <v>10120</v>
      </c>
      <c r="D1353" s="9">
        <v>9.822664924E9</v>
      </c>
      <c r="E1353" s="8" t="s">
        <v>10121</v>
      </c>
      <c r="F1353" s="8" t="s">
        <v>3608</v>
      </c>
      <c r="G1353" s="8" t="s">
        <v>10122</v>
      </c>
      <c r="H1353" s="8" t="s">
        <v>3479</v>
      </c>
      <c r="I1353" s="9">
        <v>0.0</v>
      </c>
      <c r="J1353" s="9">
        <v>2912.0</v>
      </c>
      <c r="K1353" s="9">
        <v>2912.0</v>
      </c>
      <c r="L1353" s="9">
        <v>2912.0</v>
      </c>
      <c r="M1353" s="9">
        <v>1733.0</v>
      </c>
      <c r="N1353" s="9">
        <v>730.0</v>
      </c>
      <c r="O1353" s="9">
        <v>449.0</v>
      </c>
      <c r="P1353" s="8" t="s">
        <v>4183</v>
      </c>
      <c r="Q1353" s="8" t="s">
        <v>10123</v>
      </c>
      <c r="R1353" s="8" t="s">
        <v>10124</v>
      </c>
    </row>
    <row r="1354">
      <c r="A1354" s="8" t="s">
        <v>1784</v>
      </c>
      <c r="B1354" s="8" t="s">
        <v>10125</v>
      </c>
      <c r="C1354" s="8" t="s">
        <v>10126</v>
      </c>
      <c r="D1354" s="9">
        <v>9.01152787E9</v>
      </c>
      <c r="E1354" s="8" t="s">
        <v>10127</v>
      </c>
      <c r="F1354" s="8" t="s">
        <v>3530</v>
      </c>
      <c r="G1354" s="8" t="s">
        <v>10128</v>
      </c>
      <c r="H1354" s="8" t="s">
        <v>6440</v>
      </c>
      <c r="I1354" s="9">
        <v>0.0</v>
      </c>
      <c r="J1354" s="9">
        <v>2000.0</v>
      </c>
      <c r="K1354" s="9">
        <v>2074.0</v>
      </c>
      <c r="L1354" s="9">
        <v>2000.0</v>
      </c>
      <c r="M1354" s="9">
        <v>533.0</v>
      </c>
      <c r="N1354" s="9">
        <v>892.0</v>
      </c>
      <c r="O1354" s="9">
        <v>649.0</v>
      </c>
      <c r="P1354" s="8" t="s">
        <v>4183</v>
      </c>
      <c r="Q1354" s="8" t="s">
        <v>10129</v>
      </c>
      <c r="R1354" s="8" t="s">
        <v>10130</v>
      </c>
    </row>
    <row r="1355">
      <c r="A1355" s="8" t="s">
        <v>1786</v>
      </c>
      <c r="B1355" s="8" t="s">
        <v>10131</v>
      </c>
      <c r="C1355" s="8" t="s">
        <v>10132</v>
      </c>
      <c r="D1355" s="9">
        <v>8.66857965E9</v>
      </c>
      <c r="E1355" s="8" t="s">
        <v>10133</v>
      </c>
      <c r="F1355" s="8" t="s">
        <v>10134</v>
      </c>
      <c r="G1355" s="8" t="s">
        <v>4036</v>
      </c>
      <c r="H1355" s="8" t="s">
        <v>3479</v>
      </c>
      <c r="I1355" s="9">
        <v>0.0</v>
      </c>
      <c r="J1355" s="9">
        <v>1926.0</v>
      </c>
      <c r="K1355" s="9">
        <v>1926.0</v>
      </c>
      <c r="L1355" s="9">
        <v>1926.0</v>
      </c>
      <c r="M1355" s="9">
        <v>647.0</v>
      </c>
      <c r="N1355" s="9">
        <v>255.0</v>
      </c>
      <c r="O1355" s="9">
        <v>1024.0</v>
      </c>
      <c r="P1355" s="8" t="s">
        <v>4183</v>
      </c>
      <c r="Q1355" s="8" t="s">
        <v>10135</v>
      </c>
      <c r="R1355" s="8" t="s">
        <v>10136</v>
      </c>
    </row>
    <row r="1356">
      <c r="A1356" s="8" t="s">
        <v>1785</v>
      </c>
      <c r="B1356" s="8" t="s">
        <v>10137</v>
      </c>
      <c r="C1356" s="8" t="s">
        <v>10138</v>
      </c>
      <c r="D1356" s="9">
        <v>9.921197519E9</v>
      </c>
      <c r="E1356" s="8" t="s">
        <v>10139</v>
      </c>
      <c r="F1356" s="8" t="s">
        <v>3721</v>
      </c>
      <c r="G1356" s="8" t="s">
        <v>10140</v>
      </c>
      <c r="H1356" s="8" t="s">
        <v>3479</v>
      </c>
      <c r="I1356" s="9">
        <v>0.0</v>
      </c>
      <c r="J1356" s="9">
        <v>2089.0</v>
      </c>
      <c r="K1356" s="9">
        <v>2089.0</v>
      </c>
      <c r="L1356" s="9">
        <v>2089.0</v>
      </c>
      <c r="M1356" s="9">
        <v>835.0</v>
      </c>
      <c r="N1356" s="9">
        <v>730.0</v>
      </c>
      <c r="O1356" s="9">
        <v>524.0</v>
      </c>
      <c r="P1356" s="8" t="s">
        <v>4183</v>
      </c>
      <c r="Q1356" s="8" t="s">
        <v>10141</v>
      </c>
      <c r="R1356" s="8"/>
    </row>
    <row r="1357">
      <c r="A1357" s="8" t="s">
        <v>1787</v>
      </c>
      <c r="B1357" s="8" t="s">
        <v>10142</v>
      </c>
      <c r="C1357" s="8" t="s">
        <v>9794</v>
      </c>
      <c r="D1357" s="9">
        <v>9.61930052E9</v>
      </c>
      <c r="E1357" s="8" t="s">
        <v>9795</v>
      </c>
      <c r="F1357" s="8" t="s">
        <v>5179</v>
      </c>
      <c r="G1357" s="8" t="s">
        <v>10143</v>
      </c>
      <c r="H1357" s="8" t="s">
        <v>3479</v>
      </c>
      <c r="I1357" s="9">
        <v>0.0</v>
      </c>
      <c r="J1357" s="9">
        <v>1259.0</v>
      </c>
      <c r="K1357" s="9">
        <v>1259.0</v>
      </c>
      <c r="L1357" s="9">
        <v>1259.0</v>
      </c>
      <c r="M1357" s="9">
        <v>80.0</v>
      </c>
      <c r="N1357" s="9">
        <v>730.0</v>
      </c>
      <c r="O1357" s="9">
        <v>449.0</v>
      </c>
      <c r="P1357" s="8" t="s">
        <v>4183</v>
      </c>
      <c r="Q1357" s="8" t="s">
        <v>9797</v>
      </c>
      <c r="R1357" s="8" t="s">
        <v>9798</v>
      </c>
    </row>
    <row r="1358">
      <c r="A1358" s="8" t="s">
        <v>1788</v>
      </c>
      <c r="B1358" s="8" t="s">
        <v>10144</v>
      </c>
      <c r="C1358" s="8" t="s">
        <v>10145</v>
      </c>
      <c r="D1358" s="9">
        <v>8.888686446E9</v>
      </c>
      <c r="E1358" s="8" t="s">
        <v>10146</v>
      </c>
      <c r="F1358" s="8" t="s">
        <v>4093</v>
      </c>
      <c r="G1358" s="8" t="s">
        <v>10147</v>
      </c>
      <c r="H1358" s="8" t="s">
        <v>3479</v>
      </c>
      <c r="I1358" s="9">
        <v>0.0</v>
      </c>
      <c r="J1358" s="9">
        <v>3086.0</v>
      </c>
      <c r="K1358" s="9">
        <v>3086.0</v>
      </c>
      <c r="L1358" s="9">
        <v>3086.0</v>
      </c>
      <c r="M1358" s="9">
        <v>1327.0</v>
      </c>
      <c r="N1358" s="9">
        <v>840.0</v>
      </c>
      <c r="O1358" s="9">
        <v>919.0</v>
      </c>
      <c r="P1358" s="8" t="s">
        <v>6294</v>
      </c>
      <c r="Q1358" s="8" t="s">
        <v>10148</v>
      </c>
      <c r="R1358" s="8" t="s">
        <v>10149</v>
      </c>
    </row>
    <row r="1359">
      <c r="A1359" s="8" t="s">
        <v>1789</v>
      </c>
      <c r="B1359" s="8" t="s">
        <v>10150</v>
      </c>
      <c r="C1359" s="8" t="s">
        <v>10151</v>
      </c>
      <c r="D1359" s="9">
        <v>7.028458906E9</v>
      </c>
      <c r="E1359" s="8" t="s">
        <v>10152</v>
      </c>
      <c r="F1359" s="8" t="s">
        <v>3601</v>
      </c>
      <c r="G1359" s="8" t="s">
        <v>10153</v>
      </c>
      <c r="H1359" s="8" t="s">
        <v>3479</v>
      </c>
      <c r="I1359" s="9">
        <v>0.0</v>
      </c>
      <c r="J1359" s="9">
        <v>1713.0</v>
      </c>
      <c r="K1359" s="9">
        <v>1713.0</v>
      </c>
      <c r="L1359" s="9">
        <v>1713.0</v>
      </c>
      <c r="M1359" s="9">
        <v>534.0</v>
      </c>
      <c r="N1359" s="9">
        <v>730.0</v>
      </c>
      <c r="O1359" s="9">
        <v>449.0</v>
      </c>
      <c r="P1359" s="8" t="s">
        <v>4183</v>
      </c>
      <c r="Q1359" s="8" t="s">
        <v>10154</v>
      </c>
      <c r="R1359" s="8" t="s">
        <v>10155</v>
      </c>
    </row>
    <row r="1360">
      <c r="A1360" s="8" t="s">
        <v>1790</v>
      </c>
      <c r="B1360" s="8" t="s">
        <v>10156</v>
      </c>
      <c r="C1360" s="8" t="s">
        <v>10157</v>
      </c>
      <c r="D1360" s="9">
        <v>8.412850876E9</v>
      </c>
      <c r="E1360" s="8" t="s">
        <v>10158</v>
      </c>
      <c r="F1360" s="8" t="s">
        <v>5366</v>
      </c>
      <c r="G1360" s="8" t="s">
        <v>10159</v>
      </c>
      <c r="H1360" s="8" t="s">
        <v>3479</v>
      </c>
      <c r="I1360" s="9">
        <v>0.0</v>
      </c>
      <c r="J1360" s="9">
        <v>2731.0</v>
      </c>
      <c r="K1360" s="9">
        <v>2731.0</v>
      </c>
      <c r="L1360" s="9">
        <v>2731.0</v>
      </c>
      <c r="M1360" s="9">
        <v>1060.0</v>
      </c>
      <c r="N1360" s="9">
        <v>972.0</v>
      </c>
      <c r="O1360" s="9">
        <v>699.0</v>
      </c>
      <c r="P1360" s="8" t="s">
        <v>4183</v>
      </c>
      <c r="Q1360" s="8" t="s">
        <v>10160</v>
      </c>
      <c r="R1360" s="8" t="s">
        <v>10161</v>
      </c>
    </row>
    <row r="1361">
      <c r="A1361" s="8" t="s">
        <v>1791</v>
      </c>
      <c r="B1361" s="8" t="s">
        <v>10162</v>
      </c>
      <c r="C1361" s="8" t="s">
        <v>10163</v>
      </c>
      <c r="D1361" s="9">
        <v>9.326075507E9</v>
      </c>
      <c r="E1361" s="8" t="s">
        <v>10164</v>
      </c>
      <c r="F1361" s="8" t="s">
        <v>3589</v>
      </c>
      <c r="G1361" s="8" t="s">
        <v>10165</v>
      </c>
      <c r="H1361" s="8" t="s">
        <v>3479</v>
      </c>
      <c r="I1361" s="9">
        <v>0.0</v>
      </c>
      <c r="J1361" s="9">
        <v>1634.0</v>
      </c>
      <c r="K1361" s="9">
        <v>1634.0</v>
      </c>
      <c r="L1361" s="9">
        <v>1634.0</v>
      </c>
      <c r="M1361" s="9">
        <v>460.0</v>
      </c>
      <c r="N1361" s="9">
        <v>650.0</v>
      </c>
      <c r="O1361" s="9">
        <v>524.0</v>
      </c>
      <c r="P1361" s="8" t="s">
        <v>4183</v>
      </c>
      <c r="Q1361" s="8" t="s">
        <v>10166</v>
      </c>
      <c r="R1361" s="8" t="s">
        <v>10167</v>
      </c>
    </row>
    <row r="1362">
      <c r="A1362" s="8" t="s">
        <v>1792</v>
      </c>
      <c r="B1362" s="8" t="s">
        <v>10168</v>
      </c>
      <c r="C1362" s="8" t="s">
        <v>7756</v>
      </c>
      <c r="D1362" s="9">
        <v>7.841091808E9</v>
      </c>
      <c r="E1362" s="8" t="s">
        <v>7757</v>
      </c>
      <c r="F1362" s="8" t="s">
        <v>3608</v>
      </c>
      <c r="G1362" s="8" t="s">
        <v>10169</v>
      </c>
      <c r="H1362" s="8" t="s">
        <v>3479</v>
      </c>
      <c r="I1362" s="9">
        <v>0.0</v>
      </c>
      <c r="J1362" s="9">
        <v>1150.0</v>
      </c>
      <c r="K1362" s="9">
        <v>1150.0</v>
      </c>
      <c r="L1362" s="9">
        <v>1150.0</v>
      </c>
      <c r="M1362" s="9">
        <v>1150.0</v>
      </c>
      <c r="N1362" s="9">
        <v>0.0</v>
      </c>
      <c r="O1362" s="9">
        <v>0.0</v>
      </c>
      <c r="P1362" s="8" t="s">
        <v>4183</v>
      </c>
      <c r="Q1362" s="8"/>
      <c r="R1362" s="8"/>
    </row>
    <row r="1363">
      <c r="A1363" s="8" t="s">
        <v>1793</v>
      </c>
      <c r="B1363" s="8" t="s">
        <v>10170</v>
      </c>
      <c r="C1363" s="8" t="s">
        <v>10171</v>
      </c>
      <c r="D1363" s="9">
        <v>8.888363689E9</v>
      </c>
      <c r="E1363" s="8" t="s">
        <v>10172</v>
      </c>
      <c r="F1363" s="8" t="s">
        <v>3589</v>
      </c>
      <c r="G1363" s="8" t="s">
        <v>10173</v>
      </c>
      <c r="H1363" s="8" t="s">
        <v>3479</v>
      </c>
      <c r="I1363" s="9">
        <v>0.0</v>
      </c>
      <c r="J1363" s="9">
        <v>1443.0</v>
      </c>
      <c r="K1363" s="9">
        <v>1443.0</v>
      </c>
      <c r="L1363" s="9">
        <v>1443.0</v>
      </c>
      <c r="M1363" s="9">
        <v>603.0</v>
      </c>
      <c r="N1363" s="9">
        <v>540.0</v>
      </c>
      <c r="O1363" s="9">
        <v>300.0</v>
      </c>
      <c r="P1363" s="8" t="s">
        <v>4183</v>
      </c>
      <c r="Q1363" s="8"/>
      <c r="R1363" s="8"/>
    </row>
    <row r="1364">
      <c r="A1364" s="8" t="s">
        <v>1835</v>
      </c>
      <c r="B1364" s="8" t="s">
        <v>10174</v>
      </c>
      <c r="C1364" s="8" t="s">
        <v>10175</v>
      </c>
      <c r="D1364" s="9">
        <v>8.308790289E9</v>
      </c>
      <c r="E1364" s="8" t="s">
        <v>10176</v>
      </c>
      <c r="F1364" s="8" t="s">
        <v>3557</v>
      </c>
      <c r="G1364" s="8" t="s">
        <v>10177</v>
      </c>
      <c r="H1364" s="8" t="s">
        <v>3479</v>
      </c>
      <c r="I1364" s="9">
        <v>0.0</v>
      </c>
      <c r="J1364" s="9">
        <v>2626.0</v>
      </c>
      <c r="K1364" s="9">
        <v>2626.0</v>
      </c>
      <c r="L1364" s="9">
        <v>2626.0</v>
      </c>
      <c r="M1364" s="9">
        <v>615.0</v>
      </c>
      <c r="N1364" s="9">
        <v>1037.0</v>
      </c>
      <c r="O1364" s="9">
        <v>974.0</v>
      </c>
      <c r="P1364" s="8" t="s">
        <v>3480</v>
      </c>
      <c r="Q1364" s="8"/>
      <c r="R1364" s="8"/>
    </row>
    <row r="1365">
      <c r="A1365" s="8" t="s">
        <v>985</v>
      </c>
      <c r="B1365" s="8" t="s">
        <v>10178</v>
      </c>
      <c r="C1365" s="8" t="s">
        <v>10179</v>
      </c>
      <c r="D1365" s="9">
        <v>7.030962464E9</v>
      </c>
      <c r="E1365" s="8" t="s">
        <v>10180</v>
      </c>
      <c r="F1365" s="8" t="s">
        <v>5613</v>
      </c>
      <c r="G1365" s="8" t="s">
        <v>10181</v>
      </c>
      <c r="H1365" s="8" t="s">
        <v>3479</v>
      </c>
      <c r="I1365" s="9">
        <v>0.0</v>
      </c>
      <c r="J1365" s="9">
        <v>5711.0</v>
      </c>
      <c r="K1365" s="9">
        <v>5711.0</v>
      </c>
      <c r="L1365" s="9">
        <v>5711.0</v>
      </c>
      <c r="M1365" s="9">
        <v>4532.0</v>
      </c>
      <c r="N1365" s="9">
        <v>730.0</v>
      </c>
      <c r="O1365" s="9">
        <v>449.0</v>
      </c>
      <c r="P1365" s="8" t="s">
        <v>3480</v>
      </c>
      <c r="Q1365" s="8" t="s">
        <v>10182</v>
      </c>
      <c r="R1365" s="8" t="s">
        <v>10183</v>
      </c>
    </row>
    <row r="1366">
      <c r="A1366" s="8" t="s">
        <v>1722</v>
      </c>
      <c r="B1366" s="8" t="s">
        <v>10184</v>
      </c>
      <c r="C1366" s="8" t="s">
        <v>10185</v>
      </c>
      <c r="D1366" s="9">
        <v>8.208094414E9</v>
      </c>
      <c r="E1366" s="8" t="s">
        <v>10186</v>
      </c>
      <c r="F1366" s="8" t="s">
        <v>6508</v>
      </c>
      <c r="G1366" s="8" t="s">
        <v>10187</v>
      </c>
      <c r="H1366" s="8" t="s">
        <v>3479</v>
      </c>
      <c r="I1366" s="9">
        <v>0.0</v>
      </c>
      <c r="J1366" s="9">
        <v>1908.0</v>
      </c>
      <c r="K1366" s="9">
        <v>1908.0</v>
      </c>
      <c r="L1366" s="9">
        <v>1908.0</v>
      </c>
      <c r="M1366" s="9">
        <v>685.0</v>
      </c>
      <c r="N1366" s="9">
        <v>774.0</v>
      </c>
      <c r="O1366" s="9">
        <v>449.0</v>
      </c>
      <c r="P1366" s="8" t="s">
        <v>3480</v>
      </c>
      <c r="Q1366" s="8" t="s">
        <v>10188</v>
      </c>
      <c r="R1366" s="8" t="s">
        <v>10189</v>
      </c>
    </row>
    <row r="1367">
      <c r="A1367" s="8" t="s">
        <v>1847</v>
      </c>
      <c r="B1367" s="8" t="s">
        <v>10190</v>
      </c>
      <c r="C1367" s="8" t="s">
        <v>10191</v>
      </c>
      <c r="D1367" s="9">
        <v>9.923659552E9</v>
      </c>
      <c r="E1367" s="8" t="s">
        <v>10192</v>
      </c>
      <c r="F1367" s="8" t="s">
        <v>3863</v>
      </c>
      <c r="G1367" s="8" t="s">
        <v>10193</v>
      </c>
      <c r="H1367" s="8" t="s">
        <v>3479</v>
      </c>
      <c r="I1367" s="9">
        <v>0.0</v>
      </c>
      <c r="J1367" s="9">
        <v>1704.0</v>
      </c>
      <c r="K1367" s="9">
        <v>1704.0</v>
      </c>
      <c r="L1367" s="9">
        <v>1704.0</v>
      </c>
      <c r="M1367" s="9">
        <v>450.0</v>
      </c>
      <c r="N1367" s="9">
        <v>730.0</v>
      </c>
      <c r="O1367" s="9">
        <v>524.0</v>
      </c>
      <c r="P1367" s="8" t="s">
        <v>3519</v>
      </c>
      <c r="Q1367" s="8" t="s">
        <v>10194</v>
      </c>
      <c r="R1367" s="8"/>
    </row>
    <row r="1368">
      <c r="A1368" s="8" t="s">
        <v>1851</v>
      </c>
      <c r="B1368" s="8" t="s">
        <v>10195</v>
      </c>
      <c r="C1368" s="8" t="s">
        <v>6480</v>
      </c>
      <c r="D1368" s="9">
        <v>8.308547775E9</v>
      </c>
      <c r="E1368" s="8" t="s">
        <v>6481</v>
      </c>
      <c r="F1368" s="8" t="s">
        <v>3615</v>
      </c>
      <c r="G1368" s="8" t="s">
        <v>10196</v>
      </c>
      <c r="H1368" s="8" t="s">
        <v>3479</v>
      </c>
      <c r="I1368" s="9">
        <v>0.0</v>
      </c>
      <c r="J1368" s="9">
        <v>1668.0</v>
      </c>
      <c r="K1368" s="9">
        <v>1668.0</v>
      </c>
      <c r="L1368" s="9">
        <v>1668.0</v>
      </c>
      <c r="M1368" s="9">
        <v>445.0</v>
      </c>
      <c r="N1368" s="9">
        <v>774.0</v>
      </c>
      <c r="O1368" s="9">
        <v>449.0</v>
      </c>
      <c r="P1368" s="8" t="s">
        <v>3480</v>
      </c>
      <c r="Q1368" s="8"/>
      <c r="R1368" s="8"/>
    </row>
    <row r="1369">
      <c r="A1369" s="8" t="s">
        <v>1836</v>
      </c>
      <c r="B1369" s="8" t="s">
        <v>10197</v>
      </c>
      <c r="C1369" s="8" t="s">
        <v>10198</v>
      </c>
      <c r="D1369" s="9">
        <v>7.972474197E9</v>
      </c>
      <c r="E1369" s="8" t="s">
        <v>10199</v>
      </c>
      <c r="F1369" s="8" t="s">
        <v>3550</v>
      </c>
      <c r="G1369" s="8" t="s">
        <v>10200</v>
      </c>
      <c r="H1369" s="8" t="s">
        <v>3479</v>
      </c>
      <c r="I1369" s="9">
        <v>0.0</v>
      </c>
      <c r="J1369" s="9">
        <v>3891.0</v>
      </c>
      <c r="K1369" s="9">
        <v>3891.0</v>
      </c>
      <c r="L1369" s="9">
        <v>3891.0</v>
      </c>
      <c r="M1369" s="9">
        <v>2842.0</v>
      </c>
      <c r="N1369" s="9">
        <v>600.0</v>
      </c>
      <c r="O1369" s="9">
        <v>449.0</v>
      </c>
      <c r="P1369" s="8" t="s">
        <v>3480</v>
      </c>
      <c r="Q1369" s="8" t="s">
        <v>10201</v>
      </c>
      <c r="R1369" s="8" t="s">
        <v>10202</v>
      </c>
    </row>
    <row r="1370">
      <c r="A1370" s="8" t="s">
        <v>1853</v>
      </c>
      <c r="B1370" s="8" t="s">
        <v>10203</v>
      </c>
      <c r="C1370" s="8" t="s">
        <v>10040</v>
      </c>
      <c r="D1370" s="9">
        <v>8.087172404E9</v>
      </c>
      <c r="E1370" s="8" t="s">
        <v>10041</v>
      </c>
      <c r="F1370" s="8" t="s">
        <v>3977</v>
      </c>
      <c r="G1370" s="8" t="s">
        <v>10042</v>
      </c>
      <c r="H1370" s="8" t="s">
        <v>10204</v>
      </c>
      <c r="I1370" s="9">
        <v>0.0</v>
      </c>
      <c r="J1370" s="9">
        <v>6800.0</v>
      </c>
      <c r="K1370" s="9">
        <v>7034.0</v>
      </c>
      <c r="L1370" s="9">
        <v>6800.0</v>
      </c>
      <c r="M1370" s="9">
        <v>2924.0</v>
      </c>
      <c r="N1370" s="9">
        <v>510.0</v>
      </c>
      <c r="O1370" s="9">
        <v>3600.0</v>
      </c>
      <c r="P1370" s="8" t="s">
        <v>3480</v>
      </c>
      <c r="Q1370" s="8" t="s">
        <v>10044</v>
      </c>
      <c r="R1370" s="8" t="s">
        <v>10045</v>
      </c>
    </row>
    <row r="1371">
      <c r="A1371" s="8" t="s">
        <v>1838</v>
      </c>
      <c r="B1371" s="8" t="s">
        <v>10205</v>
      </c>
      <c r="C1371" s="8" t="s">
        <v>10206</v>
      </c>
      <c r="D1371" s="9">
        <v>9.8604757E9</v>
      </c>
      <c r="E1371" s="8" t="s">
        <v>10207</v>
      </c>
      <c r="F1371" s="8" t="s">
        <v>3608</v>
      </c>
      <c r="G1371" s="8" t="s">
        <v>10208</v>
      </c>
      <c r="H1371" s="8" t="s">
        <v>3479</v>
      </c>
      <c r="I1371" s="9">
        <v>0.0</v>
      </c>
      <c r="J1371" s="9">
        <v>1932.0</v>
      </c>
      <c r="K1371" s="9">
        <v>1932.0</v>
      </c>
      <c r="L1371" s="9">
        <v>1932.0</v>
      </c>
      <c r="M1371" s="9">
        <v>753.0</v>
      </c>
      <c r="N1371" s="9">
        <v>730.0</v>
      </c>
      <c r="O1371" s="9">
        <v>449.0</v>
      </c>
      <c r="P1371" s="8" t="s">
        <v>3480</v>
      </c>
      <c r="Q1371" s="8" t="s">
        <v>10209</v>
      </c>
      <c r="R1371" s="8"/>
    </row>
    <row r="1372">
      <c r="A1372" s="8" t="s">
        <v>1837</v>
      </c>
      <c r="B1372" s="8" t="s">
        <v>10210</v>
      </c>
      <c r="C1372" s="8" t="s">
        <v>10211</v>
      </c>
      <c r="D1372" s="9">
        <v>7.821006066E9</v>
      </c>
      <c r="E1372" s="8" t="s">
        <v>10212</v>
      </c>
      <c r="F1372" s="8" t="s">
        <v>6118</v>
      </c>
      <c r="G1372" s="8" t="s">
        <v>10213</v>
      </c>
      <c r="H1372" s="8" t="s">
        <v>3479</v>
      </c>
      <c r="I1372" s="9">
        <v>0.0</v>
      </c>
      <c r="J1372" s="9">
        <v>1259.0</v>
      </c>
      <c r="K1372" s="9">
        <v>1259.0</v>
      </c>
      <c r="L1372" s="9">
        <v>1259.0</v>
      </c>
      <c r="M1372" s="9">
        <v>80.0</v>
      </c>
      <c r="N1372" s="9">
        <v>730.0</v>
      </c>
      <c r="O1372" s="9">
        <v>449.0</v>
      </c>
      <c r="P1372" s="8" t="s">
        <v>3480</v>
      </c>
      <c r="Q1372" s="8" t="s">
        <v>10214</v>
      </c>
      <c r="R1372" s="8" t="s">
        <v>10215</v>
      </c>
    </row>
    <row r="1373">
      <c r="A1373" s="8" t="s">
        <v>1839</v>
      </c>
      <c r="B1373" s="8" t="s">
        <v>10216</v>
      </c>
      <c r="C1373" s="8" t="s">
        <v>6204</v>
      </c>
      <c r="D1373" s="9">
        <v>8.805189957E9</v>
      </c>
      <c r="E1373" s="8" t="s">
        <v>6205</v>
      </c>
      <c r="F1373" s="8" t="s">
        <v>6206</v>
      </c>
      <c r="G1373" s="8" t="s">
        <v>4398</v>
      </c>
      <c r="H1373" s="8" t="s">
        <v>3479</v>
      </c>
      <c r="I1373" s="9">
        <v>0.0</v>
      </c>
      <c r="J1373" s="9">
        <v>1060.0</v>
      </c>
      <c r="K1373" s="9">
        <v>1060.0</v>
      </c>
      <c r="L1373" s="9">
        <v>1060.0</v>
      </c>
      <c r="M1373" s="9">
        <v>705.0</v>
      </c>
      <c r="N1373" s="9">
        <v>0.0</v>
      </c>
      <c r="O1373" s="9">
        <v>355.0</v>
      </c>
      <c r="P1373" s="8" t="s">
        <v>3480</v>
      </c>
      <c r="Q1373" s="8"/>
      <c r="R1373" s="8"/>
    </row>
    <row r="1374">
      <c r="A1374" s="8" t="s">
        <v>1840</v>
      </c>
      <c r="B1374" s="8" t="s">
        <v>10217</v>
      </c>
      <c r="C1374" s="8" t="s">
        <v>10218</v>
      </c>
      <c r="D1374" s="9">
        <v>9.923067611E9</v>
      </c>
      <c r="E1374" s="8" t="s">
        <v>10219</v>
      </c>
      <c r="F1374" s="8" t="s">
        <v>7382</v>
      </c>
      <c r="G1374" s="8" t="s">
        <v>10220</v>
      </c>
      <c r="H1374" s="8" t="s">
        <v>3479</v>
      </c>
      <c r="I1374" s="9">
        <v>0.0</v>
      </c>
      <c r="J1374" s="9">
        <v>878.0</v>
      </c>
      <c r="K1374" s="9">
        <v>878.0</v>
      </c>
      <c r="L1374" s="9">
        <v>878.0</v>
      </c>
      <c r="M1374" s="9">
        <v>453.0</v>
      </c>
      <c r="N1374" s="9">
        <v>0.0</v>
      </c>
      <c r="O1374" s="9">
        <v>425.0</v>
      </c>
      <c r="P1374" s="8" t="s">
        <v>3480</v>
      </c>
      <c r="Q1374" s="8"/>
      <c r="R1374" s="8"/>
    </row>
    <row r="1375">
      <c r="A1375" s="8" t="s">
        <v>1841</v>
      </c>
      <c r="B1375" s="8" t="s">
        <v>10221</v>
      </c>
      <c r="C1375" s="8" t="s">
        <v>8891</v>
      </c>
      <c r="D1375" s="9">
        <v>8.087987588E9</v>
      </c>
      <c r="E1375" s="8" t="s">
        <v>8892</v>
      </c>
      <c r="F1375" s="8" t="s">
        <v>3608</v>
      </c>
      <c r="G1375" s="8" t="s">
        <v>8893</v>
      </c>
      <c r="H1375" s="8" t="s">
        <v>3479</v>
      </c>
      <c r="I1375" s="9">
        <v>0.0</v>
      </c>
      <c r="J1375" s="9">
        <v>3440.0</v>
      </c>
      <c r="K1375" s="9">
        <v>3440.0</v>
      </c>
      <c r="L1375" s="9">
        <v>3440.0</v>
      </c>
      <c r="M1375" s="9">
        <v>2086.0</v>
      </c>
      <c r="N1375" s="9">
        <v>730.0</v>
      </c>
      <c r="O1375" s="9">
        <v>624.0</v>
      </c>
      <c r="P1375" s="8" t="s">
        <v>3480</v>
      </c>
      <c r="Q1375" s="8" t="s">
        <v>8894</v>
      </c>
      <c r="R1375" s="8" t="s">
        <v>8895</v>
      </c>
    </row>
    <row r="1376">
      <c r="A1376" s="8" t="s">
        <v>1862</v>
      </c>
      <c r="B1376" s="8" t="s">
        <v>10222</v>
      </c>
      <c r="C1376" s="8" t="s">
        <v>10223</v>
      </c>
      <c r="D1376" s="9">
        <v>7.744928361E9</v>
      </c>
      <c r="E1376" s="8" t="s">
        <v>10224</v>
      </c>
      <c r="F1376" s="8" t="s">
        <v>3550</v>
      </c>
      <c r="G1376" s="8" t="s">
        <v>10225</v>
      </c>
      <c r="H1376" s="8" t="s">
        <v>3479</v>
      </c>
      <c r="I1376" s="9">
        <v>0.0</v>
      </c>
      <c r="J1376" s="9">
        <v>3541.0</v>
      </c>
      <c r="K1376" s="9">
        <v>3541.0</v>
      </c>
      <c r="L1376" s="9">
        <v>3541.0</v>
      </c>
      <c r="M1376" s="9">
        <v>2257.0</v>
      </c>
      <c r="N1376" s="9">
        <v>660.0</v>
      </c>
      <c r="O1376" s="9">
        <v>624.0</v>
      </c>
      <c r="P1376" s="8" t="s">
        <v>3480</v>
      </c>
      <c r="Q1376" s="8"/>
      <c r="R1376" s="8"/>
    </row>
    <row r="1377">
      <c r="A1377" s="8" t="s">
        <v>1042</v>
      </c>
      <c r="B1377" s="8" t="s">
        <v>10226</v>
      </c>
      <c r="C1377" s="8" t="s">
        <v>6071</v>
      </c>
      <c r="D1377" s="9">
        <v>9.595907539E9</v>
      </c>
      <c r="E1377" s="8" t="s">
        <v>6072</v>
      </c>
      <c r="F1377" s="8" t="s">
        <v>3523</v>
      </c>
      <c r="G1377" s="8" t="s">
        <v>10227</v>
      </c>
      <c r="H1377" s="8" t="s">
        <v>3479</v>
      </c>
      <c r="I1377" s="9">
        <v>0.0</v>
      </c>
      <c r="J1377" s="9">
        <v>120.0</v>
      </c>
      <c r="K1377" s="9">
        <v>120.0</v>
      </c>
      <c r="L1377" s="9">
        <v>120.0</v>
      </c>
      <c r="M1377" s="9">
        <v>120.0</v>
      </c>
      <c r="N1377" s="9">
        <v>0.0</v>
      </c>
      <c r="O1377" s="9">
        <v>0.0</v>
      </c>
      <c r="P1377" s="8" t="s">
        <v>3519</v>
      </c>
      <c r="Q1377" s="8" t="s">
        <v>6074</v>
      </c>
      <c r="R1377" s="8"/>
    </row>
    <row r="1378">
      <c r="A1378" s="8" t="s">
        <v>1852</v>
      </c>
      <c r="B1378" s="8" t="s">
        <v>10228</v>
      </c>
      <c r="C1378" s="8" t="s">
        <v>10229</v>
      </c>
      <c r="D1378" s="9">
        <v>9.309741049E9</v>
      </c>
      <c r="E1378" s="8" t="s">
        <v>10230</v>
      </c>
      <c r="F1378" s="8" t="s">
        <v>3564</v>
      </c>
      <c r="G1378" s="8" t="s">
        <v>3494</v>
      </c>
      <c r="H1378" s="8" t="s">
        <v>3479</v>
      </c>
      <c r="I1378" s="9">
        <v>0.0</v>
      </c>
      <c r="J1378" s="9">
        <v>18041.0</v>
      </c>
      <c r="K1378" s="9">
        <v>18041.0</v>
      </c>
      <c r="L1378" s="9">
        <v>18041.0</v>
      </c>
      <c r="M1378" s="9">
        <v>12987.0</v>
      </c>
      <c r="N1378" s="9">
        <v>584.0</v>
      </c>
      <c r="O1378" s="9">
        <v>4470.0</v>
      </c>
      <c r="P1378" s="8" t="s">
        <v>3519</v>
      </c>
      <c r="Q1378" s="8" t="s">
        <v>10231</v>
      </c>
      <c r="R1378" s="8" t="s">
        <v>10232</v>
      </c>
    </row>
    <row r="1379">
      <c r="A1379" s="8" t="s">
        <v>1882</v>
      </c>
      <c r="B1379" s="8" t="s">
        <v>10233</v>
      </c>
      <c r="C1379" s="8" t="s">
        <v>10234</v>
      </c>
      <c r="D1379" s="9">
        <v>9.07984199E9</v>
      </c>
      <c r="E1379" s="8" t="s">
        <v>10235</v>
      </c>
      <c r="F1379" s="8" t="s">
        <v>7118</v>
      </c>
      <c r="G1379" s="8" t="s">
        <v>10236</v>
      </c>
      <c r="H1379" s="8" t="s">
        <v>10237</v>
      </c>
      <c r="I1379" s="9">
        <v>0.0</v>
      </c>
      <c r="J1379" s="9">
        <v>1700.0</v>
      </c>
      <c r="K1379" s="9">
        <v>1775.0</v>
      </c>
      <c r="L1379" s="9">
        <v>1700.0</v>
      </c>
      <c r="M1379" s="9">
        <v>835.0</v>
      </c>
      <c r="N1379" s="9">
        <v>191.0</v>
      </c>
      <c r="O1379" s="9">
        <v>749.0</v>
      </c>
      <c r="P1379" s="8" t="s">
        <v>3480</v>
      </c>
      <c r="Q1379" s="8"/>
      <c r="R1379" s="8"/>
    </row>
    <row r="1380">
      <c r="A1380" s="8" t="s">
        <v>1911</v>
      </c>
      <c r="B1380" s="8" t="s">
        <v>10238</v>
      </c>
      <c r="C1380" s="8" t="s">
        <v>10239</v>
      </c>
      <c r="D1380" s="9">
        <v>9.83066349E9</v>
      </c>
      <c r="E1380" s="8" t="s">
        <v>10240</v>
      </c>
      <c r="F1380" s="8" t="s">
        <v>3658</v>
      </c>
      <c r="G1380" s="8" t="s">
        <v>10241</v>
      </c>
      <c r="H1380" s="8" t="s">
        <v>3479</v>
      </c>
      <c r="I1380" s="9">
        <v>0.0</v>
      </c>
      <c r="J1380" s="9">
        <v>1313.0</v>
      </c>
      <c r="K1380" s="9">
        <v>1313.0</v>
      </c>
      <c r="L1380" s="9">
        <v>1313.0</v>
      </c>
      <c r="M1380" s="9">
        <v>80.0</v>
      </c>
      <c r="N1380" s="9">
        <v>784.0</v>
      </c>
      <c r="O1380" s="9">
        <v>449.0</v>
      </c>
      <c r="P1380" s="8" t="s">
        <v>3519</v>
      </c>
      <c r="Q1380" s="8" t="s">
        <v>10242</v>
      </c>
      <c r="R1380" s="8" t="s">
        <v>10243</v>
      </c>
    </row>
    <row r="1381">
      <c r="A1381" s="8" t="s">
        <v>1869</v>
      </c>
      <c r="B1381" s="8" t="s">
        <v>10244</v>
      </c>
      <c r="C1381" s="8" t="s">
        <v>10245</v>
      </c>
      <c r="D1381" s="9">
        <v>9.637221552E9</v>
      </c>
      <c r="E1381" s="8" t="s">
        <v>10246</v>
      </c>
      <c r="F1381" s="8" t="s">
        <v>3550</v>
      </c>
      <c r="G1381" s="8" t="s">
        <v>10247</v>
      </c>
      <c r="H1381" s="8" t="s">
        <v>3479</v>
      </c>
      <c r="I1381" s="9">
        <v>0.0</v>
      </c>
      <c r="J1381" s="9">
        <v>1268.0</v>
      </c>
      <c r="K1381" s="9">
        <v>1268.0</v>
      </c>
      <c r="L1381" s="9">
        <v>1268.0</v>
      </c>
      <c r="M1381" s="9">
        <v>80.0</v>
      </c>
      <c r="N1381" s="9">
        <v>739.0</v>
      </c>
      <c r="O1381" s="9">
        <v>449.0</v>
      </c>
      <c r="P1381" s="8" t="s">
        <v>3480</v>
      </c>
      <c r="Q1381" s="8" t="s">
        <v>10248</v>
      </c>
      <c r="R1381" s="8" t="s">
        <v>10249</v>
      </c>
    </row>
    <row r="1382">
      <c r="A1382" s="8" t="s">
        <v>1868</v>
      </c>
      <c r="B1382" s="8" t="s">
        <v>10250</v>
      </c>
      <c r="C1382" s="8" t="s">
        <v>10251</v>
      </c>
      <c r="D1382" s="9">
        <v>9.545451334E9</v>
      </c>
      <c r="E1382" s="8" t="s">
        <v>10252</v>
      </c>
      <c r="F1382" s="8" t="s">
        <v>3589</v>
      </c>
      <c r="G1382" s="8" t="s">
        <v>10253</v>
      </c>
      <c r="H1382" s="8" t="s">
        <v>3479</v>
      </c>
      <c r="I1382" s="9">
        <v>0.0</v>
      </c>
      <c r="J1382" s="9">
        <v>1315.0</v>
      </c>
      <c r="K1382" s="9">
        <v>1315.0</v>
      </c>
      <c r="L1382" s="9">
        <v>1315.0</v>
      </c>
      <c r="M1382" s="9">
        <v>1215.0</v>
      </c>
      <c r="N1382" s="9">
        <v>0.0</v>
      </c>
      <c r="O1382" s="9">
        <v>100.0</v>
      </c>
      <c r="P1382" s="8" t="s">
        <v>3544</v>
      </c>
      <c r="Q1382" s="8"/>
      <c r="R1382" s="8"/>
    </row>
    <row r="1383">
      <c r="A1383" s="8" t="s">
        <v>1044</v>
      </c>
      <c r="B1383" s="8" t="s">
        <v>10254</v>
      </c>
      <c r="C1383" s="8" t="s">
        <v>7377</v>
      </c>
      <c r="D1383" s="9">
        <v>7.620644446E9</v>
      </c>
      <c r="E1383" s="8" t="s">
        <v>7378</v>
      </c>
      <c r="F1383" s="8" t="s">
        <v>3550</v>
      </c>
      <c r="G1383" s="8" t="s">
        <v>10255</v>
      </c>
      <c r="H1383" s="8" t="s">
        <v>3479</v>
      </c>
      <c r="I1383" s="9">
        <v>0.0</v>
      </c>
      <c r="J1383" s="9">
        <v>1314.0</v>
      </c>
      <c r="K1383" s="9">
        <v>1314.0</v>
      </c>
      <c r="L1383" s="9">
        <v>1314.0</v>
      </c>
      <c r="M1383" s="9">
        <v>80.0</v>
      </c>
      <c r="N1383" s="9">
        <v>660.0</v>
      </c>
      <c r="O1383" s="9">
        <v>574.0</v>
      </c>
      <c r="P1383" s="8" t="s">
        <v>3480</v>
      </c>
      <c r="Q1383" s="8"/>
      <c r="R1383" s="8"/>
    </row>
    <row r="1384">
      <c r="A1384" s="8" t="s">
        <v>1045</v>
      </c>
      <c r="B1384" s="8" t="s">
        <v>10256</v>
      </c>
      <c r="C1384" s="8" t="s">
        <v>10257</v>
      </c>
      <c r="D1384" s="9">
        <v>8.00736374E9</v>
      </c>
      <c r="E1384" s="8" t="s">
        <v>10258</v>
      </c>
      <c r="F1384" s="8" t="s">
        <v>7382</v>
      </c>
      <c r="G1384" s="8" t="s">
        <v>10259</v>
      </c>
      <c r="H1384" s="8" t="s">
        <v>3479</v>
      </c>
      <c r="I1384" s="9">
        <v>0.0</v>
      </c>
      <c r="J1384" s="9">
        <v>2503.0</v>
      </c>
      <c r="K1384" s="9">
        <v>2503.0</v>
      </c>
      <c r="L1384" s="9">
        <v>2503.0</v>
      </c>
      <c r="M1384" s="9">
        <v>1014.0</v>
      </c>
      <c r="N1384" s="9">
        <v>765.0</v>
      </c>
      <c r="O1384" s="9">
        <v>724.0</v>
      </c>
      <c r="P1384" s="8" t="s">
        <v>3519</v>
      </c>
      <c r="Q1384" s="8"/>
      <c r="R1384" s="8"/>
    </row>
    <row r="1385">
      <c r="A1385" s="8" t="s">
        <v>1046</v>
      </c>
      <c r="B1385" s="8" t="s">
        <v>10260</v>
      </c>
      <c r="C1385" s="8" t="s">
        <v>7536</v>
      </c>
      <c r="D1385" s="9">
        <v>9.823062767E9</v>
      </c>
      <c r="E1385" s="8" t="s">
        <v>7537</v>
      </c>
      <c r="F1385" s="8" t="s">
        <v>3828</v>
      </c>
      <c r="G1385" s="8" t="s">
        <v>10261</v>
      </c>
      <c r="H1385" s="8" t="s">
        <v>3479</v>
      </c>
      <c r="I1385" s="9">
        <v>0.0</v>
      </c>
      <c r="J1385" s="9">
        <v>3813.0</v>
      </c>
      <c r="K1385" s="9">
        <v>3813.0</v>
      </c>
      <c r="L1385" s="9">
        <v>3813.0</v>
      </c>
      <c r="M1385" s="9">
        <v>2040.0</v>
      </c>
      <c r="N1385" s="9">
        <v>774.0</v>
      </c>
      <c r="O1385" s="9">
        <v>999.0</v>
      </c>
      <c r="P1385" s="8" t="s">
        <v>3480</v>
      </c>
      <c r="Q1385" s="8" t="s">
        <v>7539</v>
      </c>
      <c r="R1385" s="8" t="s">
        <v>7540</v>
      </c>
    </row>
    <row r="1386">
      <c r="A1386" s="8" t="s">
        <v>1043</v>
      </c>
      <c r="B1386" s="8" t="s">
        <v>10262</v>
      </c>
      <c r="C1386" s="8" t="s">
        <v>10263</v>
      </c>
      <c r="D1386" s="9">
        <v>7.057160005E9</v>
      </c>
      <c r="E1386" s="8" t="s">
        <v>10264</v>
      </c>
      <c r="F1386" s="8" t="s">
        <v>3523</v>
      </c>
      <c r="G1386" s="8" t="s">
        <v>10265</v>
      </c>
      <c r="H1386" s="8" t="s">
        <v>3479</v>
      </c>
      <c r="I1386" s="9">
        <v>0.0</v>
      </c>
      <c r="J1386" s="9">
        <v>3144.0</v>
      </c>
      <c r="K1386" s="9">
        <v>3144.0</v>
      </c>
      <c r="L1386" s="9">
        <v>3144.0</v>
      </c>
      <c r="M1386" s="9">
        <v>1890.0</v>
      </c>
      <c r="N1386" s="9">
        <v>730.0</v>
      </c>
      <c r="O1386" s="9">
        <v>524.0</v>
      </c>
      <c r="P1386" s="8" t="s">
        <v>3480</v>
      </c>
      <c r="Q1386" s="8"/>
      <c r="R1386" s="8"/>
    </row>
    <row r="1387">
      <c r="A1387" s="8" t="s">
        <v>1048</v>
      </c>
      <c r="B1387" s="8" t="s">
        <v>10266</v>
      </c>
      <c r="C1387" s="8" t="s">
        <v>10267</v>
      </c>
      <c r="D1387" s="9">
        <v>8.698535457E9</v>
      </c>
      <c r="E1387" s="8" t="s">
        <v>10268</v>
      </c>
      <c r="F1387" s="8" t="s">
        <v>3509</v>
      </c>
      <c r="G1387" s="8" t="s">
        <v>10269</v>
      </c>
      <c r="H1387" s="8" t="s">
        <v>3479</v>
      </c>
      <c r="I1387" s="9">
        <v>0.0</v>
      </c>
      <c r="J1387" s="9">
        <v>1385.0</v>
      </c>
      <c r="K1387" s="9">
        <v>1385.0</v>
      </c>
      <c r="L1387" s="9">
        <v>1385.0</v>
      </c>
      <c r="M1387" s="9">
        <v>206.0</v>
      </c>
      <c r="N1387" s="9">
        <v>730.0</v>
      </c>
      <c r="O1387" s="9">
        <v>449.0</v>
      </c>
      <c r="P1387" s="8" t="s">
        <v>3480</v>
      </c>
      <c r="Q1387" s="8" t="s">
        <v>10270</v>
      </c>
      <c r="R1387" s="8" t="s">
        <v>10271</v>
      </c>
    </row>
    <row r="1388">
      <c r="A1388" s="8" t="s">
        <v>1047</v>
      </c>
      <c r="B1388" s="8" t="s">
        <v>10272</v>
      </c>
      <c r="C1388" s="8" t="s">
        <v>10273</v>
      </c>
      <c r="D1388" s="9">
        <v>8.888868942E9</v>
      </c>
      <c r="E1388" s="8" t="s">
        <v>10274</v>
      </c>
      <c r="F1388" s="8" t="s">
        <v>3721</v>
      </c>
      <c r="G1388" s="8" t="s">
        <v>10275</v>
      </c>
      <c r="H1388" s="8" t="s">
        <v>3479</v>
      </c>
      <c r="I1388" s="9">
        <v>0.0</v>
      </c>
      <c r="J1388" s="9">
        <v>1414.0</v>
      </c>
      <c r="K1388" s="9">
        <v>1414.0</v>
      </c>
      <c r="L1388" s="9">
        <v>1414.0</v>
      </c>
      <c r="M1388" s="9">
        <v>160.0</v>
      </c>
      <c r="N1388" s="9">
        <v>730.0</v>
      </c>
      <c r="O1388" s="9">
        <v>524.0</v>
      </c>
      <c r="P1388" s="8" t="s">
        <v>3480</v>
      </c>
      <c r="Q1388" s="8" t="s">
        <v>10276</v>
      </c>
      <c r="R1388" s="8"/>
    </row>
    <row r="1389">
      <c r="A1389" s="8" t="s">
        <v>1736</v>
      </c>
      <c r="B1389" s="8" t="s">
        <v>10277</v>
      </c>
      <c r="C1389" s="8" t="s">
        <v>10278</v>
      </c>
      <c r="D1389" s="9">
        <v>8.261957133E9</v>
      </c>
      <c r="E1389" s="8" t="s">
        <v>10279</v>
      </c>
      <c r="F1389" s="8" t="s">
        <v>6206</v>
      </c>
      <c r="G1389" s="8" t="s">
        <v>9865</v>
      </c>
      <c r="H1389" s="8" t="s">
        <v>3479</v>
      </c>
      <c r="I1389" s="9">
        <v>0.0</v>
      </c>
      <c r="J1389" s="9">
        <v>1553.0</v>
      </c>
      <c r="K1389" s="9">
        <v>1553.0</v>
      </c>
      <c r="L1389" s="9">
        <v>1553.0</v>
      </c>
      <c r="M1389" s="9">
        <v>329.0</v>
      </c>
      <c r="N1389" s="9">
        <v>775.0</v>
      </c>
      <c r="O1389" s="9">
        <v>449.0</v>
      </c>
      <c r="P1389" s="8" t="s">
        <v>3480</v>
      </c>
      <c r="Q1389" s="8"/>
      <c r="R1389" s="8"/>
    </row>
    <row r="1390">
      <c r="A1390" s="8" t="s">
        <v>1050</v>
      </c>
      <c r="B1390" s="8" t="s">
        <v>10280</v>
      </c>
      <c r="C1390" s="8" t="s">
        <v>10281</v>
      </c>
      <c r="D1390" s="9">
        <v>8.867232985E9</v>
      </c>
      <c r="E1390" s="8" t="s">
        <v>10282</v>
      </c>
      <c r="F1390" s="8" t="s">
        <v>3714</v>
      </c>
      <c r="G1390" s="8" t="s">
        <v>10283</v>
      </c>
      <c r="H1390" s="8" t="s">
        <v>3479</v>
      </c>
      <c r="I1390" s="9">
        <v>0.0</v>
      </c>
      <c r="J1390" s="9">
        <v>949.0</v>
      </c>
      <c r="K1390" s="9">
        <v>949.0</v>
      </c>
      <c r="L1390" s="9">
        <v>949.0</v>
      </c>
      <c r="M1390" s="9">
        <v>250.0</v>
      </c>
      <c r="N1390" s="9">
        <v>0.0</v>
      </c>
      <c r="O1390" s="9">
        <v>699.0</v>
      </c>
      <c r="P1390" s="8" t="s">
        <v>3480</v>
      </c>
      <c r="Q1390" s="8"/>
      <c r="R1390" s="8"/>
    </row>
    <row r="1391">
      <c r="A1391" s="8" t="s">
        <v>1051</v>
      </c>
      <c r="B1391" s="8" t="s">
        <v>10284</v>
      </c>
      <c r="C1391" s="8" t="s">
        <v>10285</v>
      </c>
      <c r="D1391" s="9">
        <v>9.373558441E9</v>
      </c>
      <c r="E1391" s="8" t="s">
        <v>10286</v>
      </c>
      <c r="F1391" s="8" t="s">
        <v>3959</v>
      </c>
      <c r="G1391" s="8" t="s">
        <v>10287</v>
      </c>
      <c r="H1391" s="8" t="s">
        <v>3479</v>
      </c>
      <c r="I1391" s="9">
        <v>0.0</v>
      </c>
      <c r="J1391" s="9">
        <v>1447.0</v>
      </c>
      <c r="K1391" s="9">
        <v>1447.0</v>
      </c>
      <c r="L1391" s="9">
        <v>1447.0</v>
      </c>
      <c r="M1391" s="9">
        <v>918.0</v>
      </c>
      <c r="N1391" s="9">
        <v>0.0</v>
      </c>
      <c r="O1391" s="9">
        <v>529.0</v>
      </c>
      <c r="P1391" s="8" t="s">
        <v>3480</v>
      </c>
      <c r="Q1391" s="8"/>
      <c r="R1391" s="8"/>
    </row>
    <row r="1392">
      <c r="A1392" s="8" t="s">
        <v>1052</v>
      </c>
      <c r="B1392" s="8" t="s">
        <v>10288</v>
      </c>
      <c r="C1392" s="8" t="s">
        <v>10289</v>
      </c>
      <c r="D1392" s="9">
        <v>8.272979075E9</v>
      </c>
      <c r="E1392" s="8" t="s">
        <v>10290</v>
      </c>
      <c r="F1392" s="8" t="s">
        <v>3692</v>
      </c>
      <c r="G1392" s="8" t="s">
        <v>4361</v>
      </c>
      <c r="H1392" s="8" t="s">
        <v>3479</v>
      </c>
      <c r="I1392" s="9">
        <v>0.0</v>
      </c>
      <c r="J1392" s="9">
        <v>2058.0</v>
      </c>
      <c r="K1392" s="9">
        <v>2058.0</v>
      </c>
      <c r="L1392" s="9">
        <v>2058.0</v>
      </c>
      <c r="M1392" s="9">
        <v>759.0</v>
      </c>
      <c r="N1392" s="9">
        <v>700.0</v>
      </c>
      <c r="O1392" s="9">
        <v>599.0</v>
      </c>
      <c r="P1392" s="8" t="s">
        <v>3480</v>
      </c>
      <c r="Q1392" s="8"/>
      <c r="R1392" s="8"/>
    </row>
    <row r="1393">
      <c r="A1393" s="8" t="s">
        <v>1053</v>
      </c>
      <c r="B1393" s="8" t="s">
        <v>10291</v>
      </c>
      <c r="C1393" s="8" t="s">
        <v>10292</v>
      </c>
      <c r="D1393" s="9">
        <v>8.97504291E9</v>
      </c>
      <c r="E1393" s="8" t="s">
        <v>10293</v>
      </c>
      <c r="F1393" s="8" t="s">
        <v>4093</v>
      </c>
      <c r="G1393" s="8" t="s">
        <v>10294</v>
      </c>
      <c r="H1393" s="8" t="s">
        <v>3479</v>
      </c>
      <c r="I1393" s="9">
        <v>0.0</v>
      </c>
      <c r="J1393" s="9">
        <v>2372.0</v>
      </c>
      <c r="K1393" s="9">
        <v>2372.0</v>
      </c>
      <c r="L1393" s="9">
        <v>2372.0</v>
      </c>
      <c r="M1393" s="9">
        <v>1163.0</v>
      </c>
      <c r="N1393" s="9">
        <v>0.0</v>
      </c>
      <c r="O1393" s="9">
        <v>1209.0</v>
      </c>
      <c r="P1393" s="8" t="s">
        <v>3480</v>
      </c>
      <c r="Q1393" s="8" t="s">
        <v>10295</v>
      </c>
      <c r="R1393" s="8" t="s">
        <v>10296</v>
      </c>
    </row>
    <row r="1394">
      <c r="A1394" s="8" t="s">
        <v>1054</v>
      </c>
      <c r="B1394" s="8" t="s">
        <v>10297</v>
      </c>
      <c r="C1394" s="8" t="s">
        <v>9142</v>
      </c>
      <c r="D1394" s="9">
        <v>8.484908611E9</v>
      </c>
      <c r="E1394" s="8" t="s">
        <v>9143</v>
      </c>
      <c r="F1394" s="8" t="s">
        <v>4252</v>
      </c>
      <c r="G1394" s="8" t="s">
        <v>10298</v>
      </c>
      <c r="H1394" s="8" t="s">
        <v>3479</v>
      </c>
      <c r="I1394" s="9">
        <v>0.0</v>
      </c>
      <c r="J1394" s="9">
        <v>1758.0</v>
      </c>
      <c r="K1394" s="9">
        <v>1758.0</v>
      </c>
      <c r="L1394" s="9">
        <v>1758.0</v>
      </c>
      <c r="M1394" s="9">
        <v>159.0</v>
      </c>
      <c r="N1394" s="9">
        <v>900.0</v>
      </c>
      <c r="O1394" s="9">
        <v>699.0</v>
      </c>
      <c r="P1394" s="8" t="s">
        <v>3480</v>
      </c>
      <c r="Q1394" s="8"/>
      <c r="R1394" s="8"/>
    </row>
    <row r="1395">
      <c r="A1395" s="8" t="s">
        <v>1055</v>
      </c>
      <c r="B1395" s="8" t="s">
        <v>10299</v>
      </c>
      <c r="C1395" s="8" t="s">
        <v>4860</v>
      </c>
      <c r="D1395" s="9">
        <v>9.503387494E9</v>
      </c>
      <c r="E1395" s="8" t="s">
        <v>4861</v>
      </c>
      <c r="F1395" s="8" t="s">
        <v>5923</v>
      </c>
      <c r="G1395" s="8" t="s">
        <v>3494</v>
      </c>
      <c r="H1395" s="8" t="s">
        <v>3479</v>
      </c>
      <c r="I1395" s="9">
        <v>0.0</v>
      </c>
      <c r="J1395" s="9">
        <v>3650.0</v>
      </c>
      <c r="K1395" s="9">
        <v>3650.0</v>
      </c>
      <c r="L1395" s="9">
        <v>3650.0</v>
      </c>
      <c r="M1395" s="9">
        <v>2403.0</v>
      </c>
      <c r="N1395" s="9">
        <v>723.0</v>
      </c>
      <c r="O1395" s="9">
        <v>524.0</v>
      </c>
      <c r="P1395" s="8" t="s">
        <v>3480</v>
      </c>
      <c r="Q1395" s="8" t="s">
        <v>4862</v>
      </c>
      <c r="R1395" s="8" t="s">
        <v>4863</v>
      </c>
    </row>
    <row r="1396">
      <c r="A1396" s="8" t="s">
        <v>1056</v>
      </c>
      <c r="B1396" s="8" t="s">
        <v>10300</v>
      </c>
      <c r="C1396" s="8" t="s">
        <v>6305</v>
      </c>
      <c r="D1396" s="9">
        <v>8.275446293E9</v>
      </c>
      <c r="E1396" s="8" t="s">
        <v>6306</v>
      </c>
      <c r="F1396" s="8" t="s">
        <v>4189</v>
      </c>
      <c r="G1396" s="8" t="s">
        <v>10301</v>
      </c>
      <c r="H1396" s="8" t="s">
        <v>3479</v>
      </c>
      <c r="I1396" s="9">
        <v>183.0</v>
      </c>
      <c r="J1396" s="9">
        <v>0.0</v>
      </c>
      <c r="K1396" s="9">
        <v>2183.0</v>
      </c>
      <c r="L1396" s="9">
        <v>2183.0</v>
      </c>
      <c r="M1396" s="9">
        <v>1004.0</v>
      </c>
      <c r="N1396" s="9">
        <v>730.0</v>
      </c>
      <c r="O1396" s="9">
        <v>449.0</v>
      </c>
      <c r="P1396" s="8" t="s">
        <v>3519</v>
      </c>
      <c r="Q1396" s="8"/>
      <c r="R1396" s="8"/>
    </row>
    <row r="1397">
      <c r="A1397" s="8" t="s">
        <v>1057</v>
      </c>
      <c r="B1397" s="8" t="s">
        <v>10302</v>
      </c>
      <c r="C1397" s="8" t="s">
        <v>7568</v>
      </c>
      <c r="D1397" s="9">
        <v>9.370530324E9</v>
      </c>
      <c r="E1397" s="8" t="s">
        <v>8618</v>
      </c>
      <c r="F1397" s="8" t="s">
        <v>3934</v>
      </c>
      <c r="G1397" s="8" t="s">
        <v>3494</v>
      </c>
      <c r="H1397" s="8" t="s">
        <v>3479</v>
      </c>
      <c r="I1397" s="9">
        <v>0.0</v>
      </c>
      <c r="J1397" s="9">
        <v>1500.0</v>
      </c>
      <c r="K1397" s="9">
        <v>1500.0</v>
      </c>
      <c r="L1397" s="9">
        <v>1500.0</v>
      </c>
      <c r="M1397" s="9">
        <v>1500.0</v>
      </c>
      <c r="N1397" s="9">
        <v>0.0</v>
      </c>
      <c r="O1397" s="9">
        <v>0.0</v>
      </c>
      <c r="P1397" s="8" t="s">
        <v>3480</v>
      </c>
      <c r="Q1397" s="8"/>
      <c r="R1397" s="8"/>
    </row>
    <row r="1398">
      <c r="A1398" s="8" t="s">
        <v>1058</v>
      </c>
      <c r="B1398" s="8" t="s">
        <v>10303</v>
      </c>
      <c r="C1398" s="8" t="s">
        <v>4136</v>
      </c>
      <c r="D1398" s="9">
        <v>9.348759848E9</v>
      </c>
      <c r="E1398" s="8" t="s">
        <v>10304</v>
      </c>
      <c r="F1398" s="8" t="s">
        <v>5485</v>
      </c>
      <c r="G1398" s="8"/>
      <c r="H1398" s="8" t="s">
        <v>3479</v>
      </c>
      <c r="I1398" s="9">
        <v>0.0</v>
      </c>
      <c r="J1398" s="9">
        <v>1883.0</v>
      </c>
      <c r="K1398" s="9">
        <v>1883.0</v>
      </c>
      <c r="L1398" s="9">
        <v>1883.0</v>
      </c>
      <c r="M1398" s="9">
        <v>1708.0</v>
      </c>
      <c r="N1398" s="9">
        <v>0.0</v>
      </c>
      <c r="O1398" s="9">
        <v>175.0</v>
      </c>
      <c r="P1398" s="8" t="s">
        <v>3519</v>
      </c>
      <c r="Q1398" s="8"/>
      <c r="R1398" s="8"/>
    </row>
    <row r="1399">
      <c r="A1399" s="8" t="s">
        <v>1059</v>
      </c>
      <c r="B1399" s="8" t="s">
        <v>10305</v>
      </c>
      <c r="C1399" s="8" t="s">
        <v>4040</v>
      </c>
      <c r="D1399" s="9">
        <v>9.552179245E9</v>
      </c>
      <c r="E1399" s="8" t="s">
        <v>4041</v>
      </c>
      <c r="F1399" s="8" t="s">
        <v>3523</v>
      </c>
      <c r="G1399" s="8" t="s">
        <v>4036</v>
      </c>
      <c r="H1399" s="8" t="s">
        <v>3479</v>
      </c>
      <c r="I1399" s="9">
        <v>0.0</v>
      </c>
      <c r="J1399" s="9">
        <v>730.0</v>
      </c>
      <c r="K1399" s="9">
        <v>730.0</v>
      </c>
      <c r="L1399" s="9">
        <v>730.0</v>
      </c>
      <c r="M1399" s="9">
        <v>580.0</v>
      </c>
      <c r="N1399" s="9">
        <v>0.0</v>
      </c>
      <c r="O1399" s="9">
        <v>150.0</v>
      </c>
      <c r="P1399" s="8" t="s">
        <v>3480</v>
      </c>
      <c r="Q1399" s="8" t="s">
        <v>4044</v>
      </c>
      <c r="R1399" s="8" t="s">
        <v>4045</v>
      </c>
    </row>
    <row r="1400">
      <c r="A1400" s="8" t="s">
        <v>1060</v>
      </c>
      <c r="B1400" s="8" t="s">
        <v>10306</v>
      </c>
      <c r="C1400" s="8" t="s">
        <v>10307</v>
      </c>
      <c r="D1400" s="9">
        <v>8.698881484E9</v>
      </c>
      <c r="E1400" s="8" t="s">
        <v>10308</v>
      </c>
      <c r="F1400" s="8" t="s">
        <v>3821</v>
      </c>
      <c r="G1400" s="8" t="s">
        <v>10309</v>
      </c>
      <c r="H1400" s="8" t="s">
        <v>3479</v>
      </c>
      <c r="I1400" s="9">
        <v>0.0</v>
      </c>
      <c r="J1400" s="9">
        <v>2064.0</v>
      </c>
      <c r="K1400" s="9">
        <v>2064.0</v>
      </c>
      <c r="L1400" s="9">
        <v>2064.0</v>
      </c>
      <c r="M1400" s="9">
        <v>810.0</v>
      </c>
      <c r="N1400" s="9">
        <v>730.0</v>
      </c>
      <c r="O1400" s="9">
        <v>524.0</v>
      </c>
      <c r="P1400" s="8" t="s">
        <v>3480</v>
      </c>
      <c r="Q1400" s="8" t="s">
        <v>10310</v>
      </c>
      <c r="R1400" s="8" t="s">
        <v>10311</v>
      </c>
    </row>
    <row r="1401">
      <c r="A1401" s="8" t="s">
        <v>1061</v>
      </c>
      <c r="B1401" s="8" t="s">
        <v>10312</v>
      </c>
      <c r="C1401" s="8" t="s">
        <v>10313</v>
      </c>
      <c r="D1401" s="9">
        <v>7.709561377E9</v>
      </c>
      <c r="E1401" s="8" t="s">
        <v>10314</v>
      </c>
      <c r="F1401" s="8" t="s">
        <v>3601</v>
      </c>
      <c r="G1401" s="8" t="s">
        <v>10315</v>
      </c>
      <c r="H1401" s="8" t="s">
        <v>3479</v>
      </c>
      <c r="I1401" s="9">
        <v>0.0</v>
      </c>
      <c r="J1401" s="9">
        <v>1259.0</v>
      </c>
      <c r="K1401" s="9">
        <v>1259.0</v>
      </c>
      <c r="L1401" s="9">
        <v>1259.0</v>
      </c>
      <c r="M1401" s="9">
        <v>80.0</v>
      </c>
      <c r="N1401" s="9">
        <v>730.0</v>
      </c>
      <c r="O1401" s="9">
        <v>449.0</v>
      </c>
      <c r="P1401" s="8" t="s">
        <v>3480</v>
      </c>
      <c r="Q1401" s="8"/>
      <c r="R1401" s="8"/>
    </row>
    <row r="1402">
      <c r="A1402" s="8" t="s">
        <v>1062</v>
      </c>
      <c r="B1402" s="8" t="s">
        <v>10316</v>
      </c>
      <c r="C1402" s="8" t="s">
        <v>10317</v>
      </c>
      <c r="D1402" s="9">
        <v>9.325585559E9</v>
      </c>
      <c r="E1402" s="8" t="s">
        <v>10318</v>
      </c>
      <c r="F1402" s="8" t="s">
        <v>3523</v>
      </c>
      <c r="G1402" s="8" t="s">
        <v>10319</v>
      </c>
      <c r="H1402" s="8" t="s">
        <v>3479</v>
      </c>
      <c r="I1402" s="9">
        <v>0.0</v>
      </c>
      <c r="J1402" s="9">
        <v>1434.0</v>
      </c>
      <c r="K1402" s="9">
        <v>1434.0</v>
      </c>
      <c r="L1402" s="9">
        <v>1434.0</v>
      </c>
      <c r="M1402" s="9">
        <v>180.0</v>
      </c>
      <c r="N1402" s="9">
        <v>730.0</v>
      </c>
      <c r="O1402" s="9">
        <v>524.0</v>
      </c>
      <c r="P1402" s="8" t="s">
        <v>3480</v>
      </c>
      <c r="Q1402" s="8"/>
      <c r="R1402" s="8"/>
    </row>
    <row r="1403">
      <c r="A1403" s="8" t="s">
        <v>1063</v>
      </c>
      <c r="B1403" s="8" t="s">
        <v>10320</v>
      </c>
      <c r="C1403" s="8" t="s">
        <v>6238</v>
      </c>
      <c r="D1403" s="9">
        <v>7.042932333E9</v>
      </c>
      <c r="E1403" s="8" t="s">
        <v>6239</v>
      </c>
      <c r="F1403" s="8" t="s">
        <v>6240</v>
      </c>
      <c r="G1403" s="8" t="s">
        <v>10321</v>
      </c>
      <c r="H1403" s="8" t="s">
        <v>3479</v>
      </c>
      <c r="I1403" s="9">
        <v>0.0</v>
      </c>
      <c r="J1403" s="9">
        <v>1658.0</v>
      </c>
      <c r="K1403" s="9">
        <v>1658.0</v>
      </c>
      <c r="L1403" s="9">
        <v>1658.0</v>
      </c>
      <c r="M1403" s="9">
        <v>285.0</v>
      </c>
      <c r="N1403" s="9">
        <v>774.0</v>
      </c>
      <c r="O1403" s="9">
        <v>599.0</v>
      </c>
      <c r="P1403" s="8" t="s">
        <v>3480</v>
      </c>
      <c r="Q1403" s="8" t="s">
        <v>6242</v>
      </c>
      <c r="R1403" s="8" t="s">
        <v>6243</v>
      </c>
    </row>
    <row r="1404">
      <c r="A1404" s="8" t="s">
        <v>1064</v>
      </c>
      <c r="B1404" s="8" t="s">
        <v>10322</v>
      </c>
      <c r="C1404" s="8" t="s">
        <v>4668</v>
      </c>
      <c r="D1404" s="9">
        <v>9.960277897E9</v>
      </c>
      <c r="E1404" s="8" t="s">
        <v>4669</v>
      </c>
      <c r="F1404" s="8" t="s">
        <v>3486</v>
      </c>
      <c r="G1404" s="8" t="s">
        <v>10323</v>
      </c>
      <c r="H1404" s="8" t="s">
        <v>3479</v>
      </c>
      <c r="I1404" s="9">
        <v>0.0</v>
      </c>
      <c r="J1404" s="9">
        <v>1259.0</v>
      </c>
      <c r="K1404" s="9">
        <v>1259.0</v>
      </c>
      <c r="L1404" s="9">
        <v>1259.0</v>
      </c>
      <c r="M1404" s="9">
        <v>80.0</v>
      </c>
      <c r="N1404" s="9">
        <v>730.0</v>
      </c>
      <c r="O1404" s="9">
        <v>449.0</v>
      </c>
      <c r="P1404" s="8" t="s">
        <v>3480</v>
      </c>
      <c r="Q1404" s="8" t="s">
        <v>4671</v>
      </c>
      <c r="R1404" s="8" t="s">
        <v>4672</v>
      </c>
    </row>
    <row r="1405">
      <c r="A1405" s="8" t="s">
        <v>1065</v>
      </c>
      <c r="B1405" s="8" t="s">
        <v>10324</v>
      </c>
      <c r="C1405" s="8" t="s">
        <v>7243</v>
      </c>
      <c r="D1405" s="9">
        <v>9.370116607E9</v>
      </c>
      <c r="E1405" s="8" t="s">
        <v>7244</v>
      </c>
      <c r="F1405" s="8" t="s">
        <v>3564</v>
      </c>
      <c r="G1405" s="8" t="s">
        <v>10325</v>
      </c>
      <c r="H1405" s="8" t="s">
        <v>3479</v>
      </c>
      <c r="I1405" s="9">
        <v>0.0</v>
      </c>
      <c r="J1405" s="9">
        <v>1848.0</v>
      </c>
      <c r="K1405" s="9">
        <v>1848.0</v>
      </c>
      <c r="L1405" s="9">
        <v>1848.0</v>
      </c>
      <c r="M1405" s="9">
        <v>654.0</v>
      </c>
      <c r="N1405" s="9">
        <v>190.0</v>
      </c>
      <c r="O1405" s="9">
        <v>1004.0</v>
      </c>
      <c r="P1405" s="8" t="s">
        <v>3480</v>
      </c>
      <c r="Q1405" s="8"/>
      <c r="R1405" s="8"/>
    </row>
    <row r="1406">
      <c r="A1406" s="8" t="s">
        <v>1066</v>
      </c>
      <c r="B1406" s="8" t="s">
        <v>10326</v>
      </c>
      <c r="C1406" s="8" t="s">
        <v>8092</v>
      </c>
      <c r="D1406" s="9">
        <v>8.308350648E9</v>
      </c>
      <c r="E1406" s="8" t="s">
        <v>8093</v>
      </c>
      <c r="F1406" s="8" t="s">
        <v>3828</v>
      </c>
      <c r="G1406" s="8" t="s">
        <v>10327</v>
      </c>
      <c r="H1406" s="8" t="s">
        <v>3479</v>
      </c>
      <c r="I1406" s="9">
        <v>0.0</v>
      </c>
      <c r="J1406" s="9">
        <v>1463.0</v>
      </c>
      <c r="K1406" s="9">
        <v>1463.0</v>
      </c>
      <c r="L1406" s="9">
        <v>1463.0</v>
      </c>
      <c r="M1406" s="9">
        <v>240.0</v>
      </c>
      <c r="N1406" s="9">
        <v>774.0</v>
      </c>
      <c r="O1406" s="9">
        <v>449.0</v>
      </c>
      <c r="P1406" s="8" t="s">
        <v>3480</v>
      </c>
      <c r="Q1406" s="8" t="s">
        <v>8095</v>
      </c>
      <c r="R1406" s="8" t="s">
        <v>8096</v>
      </c>
    </row>
    <row r="1407">
      <c r="A1407" s="8" t="s">
        <v>1067</v>
      </c>
      <c r="B1407" s="8" t="s">
        <v>10328</v>
      </c>
      <c r="C1407" s="8" t="s">
        <v>9442</v>
      </c>
      <c r="D1407" s="9">
        <v>8.308974699E9</v>
      </c>
      <c r="E1407" s="8" t="s">
        <v>9443</v>
      </c>
      <c r="F1407" s="8" t="s">
        <v>5831</v>
      </c>
      <c r="G1407" s="8" t="s">
        <v>10329</v>
      </c>
      <c r="H1407" s="8" t="s">
        <v>3479</v>
      </c>
      <c r="I1407" s="9">
        <v>0.0</v>
      </c>
      <c r="J1407" s="9">
        <v>4847.0</v>
      </c>
      <c r="K1407" s="9">
        <v>4847.0</v>
      </c>
      <c r="L1407" s="9">
        <v>4847.0</v>
      </c>
      <c r="M1407" s="9">
        <v>3078.0</v>
      </c>
      <c r="N1407" s="9">
        <v>1220.0</v>
      </c>
      <c r="O1407" s="9">
        <v>549.0</v>
      </c>
      <c r="P1407" s="8" t="s">
        <v>3480</v>
      </c>
      <c r="Q1407" s="8"/>
      <c r="R1407" s="8"/>
    </row>
    <row r="1408">
      <c r="A1408" s="8" t="s">
        <v>1069</v>
      </c>
      <c r="B1408" s="8" t="s">
        <v>10330</v>
      </c>
      <c r="C1408" s="8" t="s">
        <v>4743</v>
      </c>
      <c r="D1408" s="9">
        <v>9.370231215E9</v>
      </c>
      <c r="E1408" s="8" t="s">
        <v>10331</v>
      </c>
      <c r="F1408" s="8" t="s">
        <v>4150</v>
      </c>
      <c r="G1408" s="8" t="s">
        <v>10332</v>
      </c>
      <c r="H1408" s="8" t="s">
        <v>3479</v>
      </c>
      <c r="I1408" s="9">
        <v>0.0</v>
      </c>
      <c r="J1408" s="9">
        <v>1725.0</v>
      </c>
      <c r="K1408" s="9">
        <v>1725.0</v>
      </c>
      <c r="L1408" s="9">
        <v>1725.0</v>
      </c>
      <c r="M1408" s="9">
        <v>352.0</v>
      </c>
      <c r="N1408" s="9">
        <v>774.0</v>
      </c>
      <c r="O1408" s="9">
        <v>599.0</v>
      </c>
      <c r="P1408" s="8" t="s">
        <v>3480</v>
      </c>
      <c r="Q1408" s="8"/>
      <c r="R1408" s="8"/>
    </row>
    <row r="1409">
      <c r="A1409" s="8" t="s">
        <v>1049</v>
      </c>
      <c r="B1409" s="8" t="s">
        <v>10333</v>
      </c>
      <c r="C1409" s="8" t="s">
        <v>10334</v>
      </c>
      <c r="D1409" s="9">
        <v>9.54587878E9</v>
      </c>
      <c r="E1409" s="8" t="s">
        <v>10335</v>
      </c>
      <c r="F1409" s="8" t="s">
        <v>3821</v>
      </c>
      <c r="G1409" s="8" t="s">
        <v>10336</v>
      </c>
      <c r="H1409" s="8" t="s">
        <v>3479</v>
      </c>
      <c r="I1409" s="9">
        <v>0.0</v>
      </c>
      <c r="J1409" s="9">
        <v>1419.0</v>
      </c>
      <c r="K1409" s="9">
        <v>1419.0</v>
      </c>
      <c r="L1409" s="9">
        <v>1419.0</v>
      </c>
      <c r="M1409" s="9">
        <v>160.0</v>
      </c>
      <c r="N1409" s="9">
        <v>730.0</v>
      </c>
      <c r="O1409" s="9">
        <v>529.0</v>
      </c>
      <c r="P1409" s="8" t="s">
        <v>3480</v>
      </c>
      <c r="Q1409" s="8" t="s">
        <v>10337</v>
      </c>
      <c r="R1409" s="8" t="s">
        <v>10338</v>
      </c>
    </row>
    <row r="1410">
      <c r="A1410" s="8" t="s">
        <v>1071</v>
      </c>
      <c r="B1410" s="8" t="s">
        <v>10339</v>
      </c>
      <c r="C1410" s="8" t="s">
        <v>8897</v>
      </c>
      <c r="D1410" s="9">
        <v>7.263845449E9</v>
      </c>
      <c r="E1410" s="8" t="s">
        <v>10340</v>
      </c>
      <c r="F1410" s="8" t="s">
        <v>10341</v>
      </c>
      <c r="G1410" s="8" t="s">
        <v>10342</v>
      </c>
      <c r="H1410" s="8" t="s">
        <v>3479</v>
      </c>
      <c r="I1410" s="9">
        <v>0.0</v>
      </c>
      <c r="J1410" s="9">
        <v>2280.0</v>
      </c>
      <c r="K1410" s="9">
        <v>2280.0</v>
      </c>
      <c r="L1410" s="9">
        <v>2280.0</v>
      </c>
      <c r="M1410" s="9">
        <v>567.0</v>
      </c>
      <c r="N1410" s="9">
        <v>839.0</v>
      </c>
      <c r="O1410" s="9">
        <v>874.0</v>
      </c>
      <c r="P1410" s="8" t="s">
        <v>3480</v>
      </c>
      <c r="Q1410" s="8" t="s">
        <v>10343</v>
      </c>
      <c r="R1410" s="8" t="s">
        <v>10344</v>
      </c>
    </row>
    <row r="1411">
      <c r="A1411" s="8" t="s">
        <v>1072</v>
      </c>
      <c r="B1411" s="8" t="s">
        <v>10345</v>
      </c>
      <c r="C1411" s="8" t="s">
        <v>10346</v>
      </c>
      <c r="D1411" s="9">
        <v>8.624945353E9</v>
      </c>
      <c r="E1411" s="8" t="s">
        <v>10347</v>
      </c>
      <c r="F1411" s="8" t="s">
        <v>3677</v>
      </c>
      <c r="G1411" s="8" t="s">
        <v>10348</v>
      </c>
      <c r="H1411" s="8" t="s">
        <v>3479</v>
      </c>
      <c r="I1411" s="9">
        <v>0.0</v>
      </c>
      <c r="J1411" s="9">
        <v>3080.0</v>
      </c>
      <c r="K1411" s="9">
        <v>3080.0</v>
      </c>
      <c r="L1411" s="9">
        <v>3080.0</v>
      </c>
      <c r="M1411" s="9">
        <v>1468.0</v>
      </c>
      <c r="N1411" s="9">
        <v>838.0</v>
      </c>
      <c r="O1411" s="9">
        <v>774.0</v>
      </c>
      <c r="P1411" s="8" t="s">
        <v>3480</v>
      </c>
      <c r="Q1411" s="8"/>
      <c r="R1411" s="8"/>
    </row>
    <row r="1412">
      <c r="A1412" s="8" t="s">
        <v>1073</v>
      </c>
      <c r="B1412" s="8" t="s">
        <v>10349</v>
      </c>
      <c r="C1412" s="8" t="s">
        <v>10350</v>
      </c>
      <c r="D1412" s="9">
        <v>9.97524878E9</v>
      </c>
      <c r="E1412" s="8" t="s">
        <v>10351</v>
      </c>
      <c r="F1412" s="8" t="s">
        <v>7382</v>
      </c>
      <c r="G1412" s="8" t="s">
        <v>10352</v>
      </c>
      <c r="H1412" s="8" t="s">
        <v>3479</v>
      </c>
      <c r="I1412" s="9">
        <v>0.0</v>
      </c>
      <c r="J1412" s="9">
        <v>2945.0</v>
      </c>
      <c r="K1412" s="9">
        <v>2945.0</v>
      </c>
      <c r="L1412" s="9">
        <v>2945.0</v>
      </c>
      <c r="M1412" s="9">
        <v>1637.0</v>
      </c>
      <c r="N1412" s="9">
        <v>774.0</v>
      </c>
      <c r="O1412" s="9">
        <v>534.0</v>
      </c>
      <c r="P1412" s="8" t="s">
        <v>3480</v>
      </c>
      <c r="Q1412" s="8"/>
      <c r="R1412" s="8"/>
    </row>
    <row r="1413">
      <c r="A1413" s="8" t="s">
        <v>1074</v>
      </c>
      <c r="B1413" s="8" t="s">
        <v>10353</v>
      </c>
      <c r="C1413" s="8" t="s">
        <v>10354</v>
      </c>
      <c r="D1413" s="9">
        <v>7.038096433E9</v>
      </c>
      <c r="E1413" s="8" t="s">
        <v>10355</v>
      </c>
      <c r="F1413" s="8" t="s">
        <v>4125</v>
      </c>
      <c r="G1413" s="8" t="s">
        <v>10356</v>
      </c>
      <c r="H1413" s="8" t="s">
        <v>3479</v>
      </c>
      <c r="I1413" s="9">
        <v>0.0</v>
      </c>
      <c r="J1413" s="9">
        <v>2935.0</v>
      </c>
      <c r="K1413" s="9">
        <v>2935.0</v>
      </c>
      <c r="L1413" s="9">
        <v>2935.0</v>
      </c>
      <c r="M1413" s="9">
        <v>1296.0</v>
      </c>
      <c r="N1413" s="9">
        <v>765.0</v>
      </c>
      <c r="O1413" s="9">
        <v>874.0</v>
      </c>
      <c r="P1413" s="8" t="s">
        <v>3480</v>
      </c>
      <c r="Q1413" s="8"/>
      <c r="R1413" s="8"/>
    </row>
    <row r="1414">
      <c r="A1414" s="8" t="s">
        <v>1075</v>
      </c>
      <c r="B1414" s="8" t="s">
        <v>10357</v>
      </c>
      <c r="C1414" s="8" t="s">
        <v>10358</v>
      </c>
      <c r="D1414" s="9">
        <v>8.600081747E9</v>
      </c>
      <c r="E1414" s="8" t="s">
        <v>10359</v>
      </c>
      <c r="F1414" s="8" t="s">
        <v>4391</v>
      </c>
      <c r="G1414" s="8" t="s">
        <v>10360</v>
      </c>
      <c r="H1414" s="8" t="s">
        <v>3479</v>
      </c>
      <c r="I1414" s="9">
        <v>0.0</v>
      </c>
      <c r="J1414" s="9">
        <v>1323.0</v>
      </c>
      <c r="K1414" s="9">
        <v>1323.0</v>
      </c>
      <c r="L1414" s="9">
        <v>1323.0</v>
      </c>
      <c r="M1414" s="9">
        <v>155.0</v>
      </c>
      <c r="N1414" s="9">
        <v>719.0</v>
      </c>
      <c r="O1414" s="9">
        <v>449.0</v>
      </c>
      <c r="P1414" s="8" t="s">
        <v>3480</v>
      </c>
      <c r="Q1414" s="8" t="s">
        <v>10361</v>
      </c>
      <c r="R1414" s="8" t="s">
        <v>10362</v>
      </c>
    </row>
    <row r="1415">
      <c r="A1415" s="8" t="s">
        <v>1070</v>
      </c>
      <c r="B1415" s="8" t="s">
        <v>10363</v>
      </c>
      <c r="C1415" s="8" t="s">
        <v>10364</v>
      </c>
      <c r="D1415" s="9">
        <v>9.021232598E9</v>
      </c>
      <c r="E1415" s="8" t="s">
        <v>10365</v>
      </c>
      <c r="F1415" s="8" t="s">
        <v>4089</v>
      </c>
      <c r="G1415" s="8" t="s">
        <v>10366</v>
      </c>
      <c r="H1415" s="8" t="s">
        <v>3479</v>
      </c>
      <c r="I1415" s="9">
        <v>0.0</v>
      </c>
      <c r="J1415" s="9">
        <v>1101.0</v>
      </c>
      <c r="K1415" s="9">
        <v>1101.0</v>
      </c>
      <c r="L1415" s="9">
        <v>1101.0</v>
      </c>
      <c r="M1415" s="9">
        <v>162.0</v>
      </c>
      <c r="N1415" s="9">
        <v>190.0</v>
      </c>
      <c r="O1415" s="9">
        <v>749.0</v>
      </c>
      <c r="P1415" s="8" t="s">
        <v>3480</v>
      </c>
      <c r="Q1415" s="8" t="s">
        <v>10367</v>
      </c>
      <c r="R1415" s="8" t="s">
        <v>10368</v>
      </c>
    </row>
    <row r="1416">
      <c r="A1416" s="8" t="s">
        <v>1081</v>
      </c>
      <c r="B1416" s="8" t="s">
        <v>10369</v>
      </c>
      <c r="C1416" s="8" t="s">
        <v>3844</v>
      </c>
      <c r="D1416" s="9">
        <v>7.219548073E9</v>
      </c>
      <c r="E1416" s="8" t="s">
        <v>10370</v>
      </c>
      <c r="F1416" s="8" t="s">
        <v>3901</v>
      </c>
      <c r="G1416" s="8" t="s">
        <v>10371</v>
      </c>
      <c r="H1416" s="8" t="s">
        <v>3479</v>
      </c>
      <c r="I1416" s="9">
        <v>0.0</v>
      </c>
      <c r="J1416" s="9">
        <v>2205.0</v>
      </c>
      <c r="K1416" s="9">
        <v>2205.0</v>
      </c>
      <c r="L1416" s="9">
        <v>2205.0</v>
      </c>
      <c r="M1416" s="9">
        <v>554.0</v>
      </c>
      <c r="N1416" s="9">
        <v>972.0</v>
      </c>
      <c r="O1416" s="9">
        <v>679.0</v>
      </c>
      <c r="P1416" s="8" t="s">
        <v>3480</v>
      </c>
      <c r="Q1416" s="8"/>
      <c r="R1416" s="8"/>
    </row>
    <row r="1417">
      <c r="A1417" s="8" t="s">
        <v>1926</v>
      </c>
      <c r="B1417" s="8" t="s">
        <v>10372</v>
      </c>
      <c r="C1417" s="8" t="s">
        <v>9489</v>
      </c>
      <c r="D1417" s="9">
        <v>9.146526026E9</v>
      </c>
      <c r="E1417" s="8" t="s">
        <v>9490</v>
      </c>
      <c r="F1417" s="8" t="s">
        <v>3550</v>
      </c>
      <c r="G1417" s="8" t="s">
        <v>10373</v>
      </c>
      <c r="H1417" s="8" t="s">
        <v>3479</v>
      </c>
      <c r="I1417" s="9">
        <v>0.0</v>
      </c>
      <c r="J1417" s="9">
        <v>1421.0</v>
      </c>
      <c r="K1417" s="9">
        <v>1421.0</v>
      </c>
      <c r="L1417" s="9">
        <v>1421.0</v>
      </c>
      <c r="M1417" s="9">
        <v>233.0</v>
      </c>
      <c r="N1417" s="9">
        <v>739.0</v>
      </c>
      <c r="O1417" s="9">
        <v>449.0</v>
      </c>
      <c r="P1417" s="8" t="s">
        <v>3480</v>
      </c>
      <c r="Q1417" s="8" t="s">
        <v>9492</v>
      </c>
      <c r="R1417" s="8" t="s">
        <v>9493</v>
      </c>
    </row>
    <row r="1418">
      <c r="A1418" s="8" t="s">
        <v>1927</v>
      </c>
      <c r="B1418" s="8" t="s">
        <v>10374</v>
      </c>
      <c r="C1418" s="8" t="s">
        <v>10375</v>
      </c>
      <c r="D1418" s="9">
        <v>9.623544075E9</v>
      </c>
      <c r="E1418" s="8" t="s">
        <v>10376</v>
      </c>
      <c r="F1418" s="8" t="s">
        <v>7276</v>
      </c>
      <c r="G1418" s="8" t="s">
        <v>10377</v>
      </c>
      <c r="H1418" s="8" t="s">
        <v>3479</v>
      </c>
      <c r="I1418" s="9">
        <v>0.0</v>
      </c>
      <c r="J1418" s="9">
        <v>1705.0</v>
      </c>
      <c r="K1418" s="9">
        <v>1705.0</v>
      </c>
      <c r="L1418" s="9">
        <v>1705.0</v>
      </c>
      <c r="M1418" s="9">
        <v>906.0</v>
      </c>
      <c r="N1418" s="9">
        <v>0.0</v>
      </c>
      <c r="O1418" s="9">
        <v>799.0</v>
      </c>
      <c r="P1418" s="8" t="s">
        <v>3480</v>
      </c>
      <c r="Q1418" s="8" t="s">
        <v>10378</v>
      </c>
      <c r="R1418" s="8" t="s">
        <v>10379</v>
      </c>
    </row>
    <row r="1419">
      <c r="A1419" s="8" t="s">
        <v>1928</v>
      </c>
      <c r="B1419" s="8" t="s">
        <v>10380</v>
      </c>
      <c r="C1419" s="8" t="s">
        <v>10381</v>
      </c>
      <c r="D1419" s="9">
        <v>9.421303031E9</v>
      </c>
      <c r="E1419" s="8" t="s">
        <v>10382</v>
      </c>
      <c r="F1419" s="8" t="s">
        <v>3493</v>
      </c>
      <c r="G1419" s="8" t="s">
        <v>10383</v>
      </c>
      <c r="H1419" s="8" t="s">
        <v>3479</v>
      </c>
      <c r="I1419" s="9">
        <v>0.0</v>
      </c>
      <c r="J1419" s="9">
        <v>1550.0</v>
      </c>
      <c r="K1419" s="9">
        <v>1550.0</v>
      </c>
      <c r="L1419" s="9">
        <v>1550.0</v>
      </c>
      <c r="M1419" s="9">
        <v>1550.0</v>
      </c>
      <c r="N1419" s="9">
        <v>0.0</v>
      </c>
      <c r="O1419" s="9">
        <v>0.0</v>
      </c>
      <c r="P1419" s="8" t="s">
        <v>3480</v>
      </c>
      <c r="Q1419" s="8"/>
      <c r="R1419" s="8"/>
    </row>
    <row r="1420">
      <c r="A1420" s="8" t="s">
        <v>1929</v>
      </c>
      <c r="B1420" s="8" t="s">
        <v>10384</v>
      </c>
      <c r="C1420" s="8" t="s">
        <v>10385</v>
      </c>
      <c r="D1420" s="9">
        <v>7.387544143E9</v>
      </c>
      <c r="E1420" s="8" t="s">
        <v>10386</v>
      </c>
      <c r="F1420" s="8" t="s">
        <v>6744</v>
      </c>
      <c r="G1420" s="8" t="s">
        <v>10387</v>
      </c>
      <c r="H1420" s="8" t="s">
        <v>3479</v>
      </c>
      <c r="I1420" s="9">
        <v>0.0</v>
      </c>
      <c r="J1420" s="9">
        <v>1500.0</v>
      </c>
      <c r="K1420" s="9">
        <v>1500.0</v>
      </c>
      <c r="L1420" s="9">
        <v>1500.0</v>
      </c>
      <c r="M1420" s="9">
        <v>1500.0</v>
      </c>
      <c r="N1420" s="9">
        <v>0.0</v>
      </c>
      <c r="O1420" s="9">
        <v>0.0</v>
      </c>
      <c r="P1420" s="8" t="s">
        <v>3480</v>
      </c>
      <c r="Q1420" s="8"/>
      <c r="R1420" s="8"/>
    </row>
    <row r="1421">
      <c r="A1421" s="8" t="s">
        <v>1863</v>
      </c>
      <c r="B1421" s="8" t="s">
        <v>10388</v>
      </c>
      <c r="C1421" s="8" t="s">
        <v>9442</v>
      </c>
      <c r="D1421" s="9">
        <v>8.308974699E9</v>
      </c>
      <c r="E1421" s="8" t="s">
        <v>9443</v>
      </c>
      <c r="F1421" s="8" t="s">
        <v>5831</v>
      </c>
      <c r="G1421" s="8" t="s">
        <v>10389</v>
      </c>
      <c r="H1421" s="8" t="s">
        <v>3479</v>
      </c>
      <c r="I1421" s="9">
        <v>0.0</v>
      </c>
      <c r="J1421" s="9">
        <v>629.0</v>
      </c>
      <c r="K1421" s="9">
        <v>629.0</v>
      </c>
      <c r="L1421" s="9">
        <v>629.0</v>
      </c>
      <c r="M1421" s="9">
        <v>80.0</v>
      </c>
      <c r="N1421" s="9">
        <v>0.0</v>
      </c>
      <c r="O1421" s="9">
        <v>549.0</v>
      </c>
      <c r="P1421" s="8" t="s">
        <v>3480</v>
      </c>
      <c r="Q1421" s="8"/>
      <c r="R1421" s="8"/>
    </row>
    <row r="1422">
      <c r="A1422" s="8" t="s">
        <v>1068</v>
      </c>
      <c r="B1422" s="8" t="s">
        <v>10390</v>
      </c>
      <c r="C1422" s="8" t="s">
        <v>10391</v>
      </c>
      <c r="D1422" s="9">
        <v>8.862041481E9</v>
      </c>
      <c r="E1422" s="8" t="s">
        <v>10392</v>
      </c>
      <c r="F1422" s="8" t="s">
        <v>4681</v>
      </c>
      <c r="G1422" s="8" t="s">
        <v>10393</v>
      </c>
      <c r="H1422" s="8" t="s">
        <v>3479</v>
      </c>
      <c r="I1422" s="9">
        <v>0.0</v>
      </c>
      <c r="J1422" s="9">
        <v>2189.0</v>
      </c>
      <c r="K1422" s="9">
        <v>2189.0</v>
      </c>
      <c r="L1422" s="9">
        <v>2189.0</v>
      </c>
      <c r="M1422" s="9">
        <v>700.0</v>
      </c>
      <c r="N1422" s="9">
        <v>190.0</v>
      </c>
      <c r="O1422" s="9">
        <v>1299.0</v>
      </c>
      <c r="P1422" s="8" t="s">
        <v>3480</v>
      </c>
      <c r="Q1422" s="8" t="s">
        <v>10394</v>
      </c>
      <c r="R1422" s="8" t="s">
        <v>10395</v>
      </c>
    </row>
    <row r="1423">
      <c r="A1423" s="8" t="s">
        <v>1076</v>
      </c>
      <c r="B1423" s="8" t="s">
        <v>10396</v>
      </c>
      <c r="C1423" s="8" t="s">
        <v>8318</v>
      </c>
      <c r="D1423" s="9">
        <v>9.890528909E9</v>
      </c>
      <c r="E1423" s="8" t="s">
        <v>10397</v>
      </c>
      <c r="F1423" s="8" t="s">
        <v>3486</v>
      </c>
      <c r="G1423" s="8" t="s">
        <v>10398</v>
      </c>
      <c r="H1423" s="8" t="s">
        <v>3479</v>
      </c>
      <c r="I1423" s="9">
        <v>0.0</v>
      </c>
      <c r="J1423" s="9">
        <v>1259.0</v>
      </c>
      <c r="K1423" s="9">
        <v>1259.0</v>
      </c>
      <c r="L1423" s="9">
        <v>1259.0</v>
      </c>
      <c r="M1423" s="9">
        <v>80.0</v>
      </c>
      <c r="N1423" s="9">
        <v>730.0</v>
      </c>
      <c r="O1423" s="9">
        <v>449.0</v>
      </c>
      <c r="P1423" s="8" t="s">
        <v>3480</v>
      </c>
      <c r="Q1423" s="8"/>
      <c r="R1423" s="8"/>
    </row>
    <row r="1424">
      <c r="A1424" s="8" t="s">
        <v>1077</v>
      </c>
      <c r="B1424" s="8" t="s">
        <v>10399</v>
      </c>
      <c r="C1424" s="8" t="s">
        <v>9779</v>
      </c>
      <c r="D1424" s="9">
        <v>9.82203111E9</v>
      </c>
      <c r="E1424" s="8" t="s">
        <v>9780</v>
      </c>
      <c r="F1424" s="8" t="s">
        <v>3486</v>
      </c>
      <c r="G1424" s="8" t="s">
        <v>10400</v>
      </c>
      <c r="H1424" s="8" t="s">
        <v>3479</v>
      </c>
      <c r="I1424" s="9">
        <v>0.0</v>
      </c>
      <c r="J1424" s="9">
        <v>1279.0</v>
      </c>
      <c r="K1424" s="9">
        <v>1279.0</v>
      </c>
      <c r="L1424" s="9">
        <v>1279.0</v>
      </c>
      <c r="M1424" s="9">
        <v>100.0</v>
      </c>
      <c r="N1424" s="9">
        <v>730.0</v>
      </c>
      <c r="O1424" s="9">
        <v>449.0</v>
      </c>
      <c r="P1424" s="8" t="s">
        <v>3480</v>
      </c>
      <c r="Q1424" s="8"/>
      <c r="R1424" s="8"/>
    </row>
    <row r="1425">
      <c r="A1425" s="8" t="s">
        <v>1078</v>
      </c>
      <c r="B1425" s="8" t="s">
        <v>10401</v>
      </c>
      <c r="C1425" s="8" t="s">
        <v>9023</v>
      </c>
      <c r="D1425" s="9">
        <v>9.158029726E9</v>
      </c>
      <c r="E1425" s="8" t="s">
        <v>9024</v>
      </c>
      <c r="F1425" s="8" t="s">
        <v>3901</v>
      </c>
      <c r="G1425" s="8" t="s">
        <v>10402</v>
      </c>
      <c r="H1425" s="8" t="s">
        <v>3479</v>
      </c>
      <c r="I1425" s="9">
        <v>0.0</v>
      </c>
      <c r="J1425" s="9">
        <v>1706.0</v>
      </c>
      <c r="K1425" s="9">
        <v>1706.0</v>
      </c>
      <c r="L1425" s="9">
        <v>1706.0</v>
      </c>
      <c r="M1425" s="9">
        <v>135.0</v>
      </c>
      <c r="N1425" s="9">
        <v>972.0</v>
      </c>
      <c r="O1425" s="9">
        <v>599.0</v>
      </c>
      <c r="P1425" s="8" t="s">
        <v>3480</v>
      </c>
      <c r="Q1425" s="8" t="s">
        <v>9026</v>
      </c>
      <c r="R1425" s="8" t="s">
        <v>9027</v>
      </c>
    </row>
    <row r="1426">
      <c r="A1426" s="8" t="s">
        <v>1079</v>
      </c>
      <c r="B1426" s="8" t="s">
        <v>10403</v>
      </c>
      <c r="C1426" s="8" t="s">
        <v>10404</v>
      </c>
      <c r="D1426" s="9">
        <v>9.422076757E9</v>
      </c>
      <c r="E1426" s="8" t="s">
        <v>10405</v>
      </c>
      <c r="F1426" s="8" t="s">
        <v>4125</v>
      </c>
      <c r="G1426" s="8" t="s">
        <v>10406</v>
      </c>
      <c r="H1426" s="8" t="s">
        <v>3479</v>
      </c>
      <c r="I1426" s="9">
        <v>0.0</v>
      </c>
      <c r="J1426" s="9">
        <v>1984.0</v>
      </c>
      <c r="K1426" s="9">
        <v>1984.0</v>
      </c>
      <c r="L1426" s="9">
        <v>1984.0</v>
      </c>
      <c r="M1426" s="9">
        <v>245.0</v>
      </c>
      <c r="N1426" s="9">
        <v>1140.0</v>
      </c>
      <c r="O1426" s="9">
        <v>599.0</v>
      </c>
      <c r="P1426" s="8" t="s">
        <v>3480</v>
      </c>
      <c r="Q1426" s="8" t="s">
        <v>10407</v>
      </c>
      <c r="R1426" s="8" t="s">
        <v>10408</v>
      </c>
    </row>
    <row r="1427">
      <c r="A1427" s="8" t="s">
        <v>1938</v>
      </c>
      <c r="B1427" s="8" t="s">
        <v>10409</v>
      </c>
      <c r="C1427" s="8" t="s">
        <v>10410</v>
      </c>
      <c r="D1427" s="9">
        <v>7.507870867E9</v>
      </c>
      <c r="E1427" s="8" t="s">
        <v>10411</v>
      </c>
      <c r="F1427" s="8" t="s">
        <v>4150</v>
      </c>
      <c r="G1427" s="8" t="s">
        <v>10412</v>
      </c>
      <c r="H1427" s="8" t="s">
        <v>3479</v>
      </c>
      <c r="I1427" s="9">
        <v>0.0</v>
      </c>
      <c r="J1427" s="9">
        <v>1600.0</v>
      </c>
      <c r="K1427" s="9">
        <v>1600.0</v>
      </c>
      <c r="L1427" s="9">
        <v>1600.0</v>
      </c>
      <c r="M1427" s="9">
        <v>1600.0</v>
      </c>
      <c r="N1427" s="9">
        <v>0.0</v>
      </c>
      <c r="O1427" s="9">
        <v>0.0</v>
      </c>
      <c r="P1427" s="8" t="s">
        <v>3480</v>
      </c>
      <c r="Q1427" s="8"/>
      <c r="R1427" s="8"/>
    </row>
    <row r="1428">
      <c r="A1428" s="8" t="s">
        <v>1865</v>
      </c>
      <c r="B1428" s="8" t="s">
        <v>10413</v>
      </c>
      <c r="C1428" s="8" t="s">
        <v>10414</v>
      </c>
      <c r="D1428" s="9">
        <v>9.822781348E9</v>
      </c>
      <c r="E1428" s="8" t="s">
        <v>10415</v>
      </c>
      <c r="F1428" s="8" t="s">
        <v>3564</v>
      </c>
      <c r="G1428" s="8" t="s">
        <v>10416</v>
      </c>
      <c r="H1428" s="8" t="s">
        <v>3479</v>
      </c>
      <c r="I1428" s="9">
        <v>0.0</v>
      </c>
      <c r="J1428" s="9">
        <v>3519.0</v>
      </c>
      <c r="K1428" s="9">
        <v>3519.0</v>
      </c>
      <c r="L1428" s="9">
        <v>3519.0</v>
      </c>
      <c r="M1428" s="9">
        <v>1855.0</v>
      </c>
      <c r="N1428" s="9">
        <v>190.0</v>
      </c>
      <c r="O1428" s="9">
        <v>1474.0</v>
      </c>
      <c r="P1428" s="8" t="s">
        <v>3480</v>
      </c>
      <c r="Q1428" s="8"/>
      <c r="R1428" s="8"/>
    </row>
    <row r="1429">
      <c r="A1429" s="8" t="s">
        <v>1080</v>
      </c>
      <c r="B1429" s="8" t="s">
        <v>10417</v>
      </c>
      <c r="C1429" s="8" t="s">
        <v>10418</v>
      </c>
      <c r="D1429" s="9">
        <v>9.098282011E9</v>
      </c>
      <c r="E1429" s="8" t="s">
        <v>10419</v>
      </c>
      <c r="F1429" s="8" t="s">
        <v>3608</v>
      </c>
      <c r="G1429" s="8" t="s">
        <v>10420</v>
      </c>
      <c r="H1429" s="8" t="s">
        <v>3479</v>
      </c>
      <c r="I1429" s="9">
        <v>0.0</v>
      </c>
      <c r="J1429" s="9">
        <v>1512.0</v>
      </c>
      <c r="K1429" s="9">
        <v>1512.0</v>
      </c>
      <c r="L1429" s="9">
        <v>1512.0</v>
      </c>
      <c r="M1429" s="9">
        <v>333.0</v>
      </c>
      <c r="N1429" s="9">
        <v>730.0</v>
      </c>
      <c r="O1429" s="9">
        <v>449.0</v>
      </c>
      <c r="P1429" s="8" t="s">
        <v>3480</v>
      </c>
      <c r="Q1429" s="8"/>
      <c r="R1429" s="8"/>
    </row>
    <row r="1430">
      <c r="A1430" s="8" t="s">
        <v>1866</v>
      </c>
      <c r="B1430" s="8" t="s">
        <v>10421</v>
      </c>
      <c r="C1430" s="8" t="s">
        <v>10422</v>
      </c>
      <c r="D1430" s="9">
        <v>8.806771045E9</v>
      </c>
      <c r="E1430" s="8" t="s">
        <v>10423</v>
      </c>
      <c r="F1430" s="8" t="s">
        <v>3977</v>
      </c>
      <c r="G1430" s="8" t="s">
        <v>10424</v>
      </c>
      <c r="H1430" s="8" t="s">
        <v>3479</v>
      </c>
      <c r="I1430" s="9">
        <v>0.0</v>
      </c>
      <c r="J1430" s="9">
        <v>1259.0</v>
      </c>
      <c r="K1430" s="9">
        <v>1259.0</v>
      </c>
      <c r="L1430" s="9">
        <v>1259.0</v>
      </c>
      <c r="M1430" s="9">
        <v>80.0</v>
      </c>
      <c r="N1430" s="9">
        <v>730.0</v>
      </c>
      <c r="O1430" s="9">
        <v>449.0</v>
      </c>
      <c r="P1430" s="8" t="s">
        <v>3480</v>
      </c>
      <c r="Q1430" s="8"/>
      <c r="R1430" s="8"/>
    </row>
    <row r="1431">
      <c r="A1431" s="8" t="s">
        <v>1871</v>
      </c>
      <c r="B1431" s="8" t="s">
        <v>10425</v>
      </c>
      <c r="C1431" s="8" t="s">
        <v>9142</v>
      </c>
      <c r="D1431" s="9">
        <v>9.033081369E9</v>
      </c>
      <c r="E1431" s="8" t="s">
        <v>10426</v>
      </c>
      <c r="F1431" s="8" t="s">
        <v>3523</v>
      </c>
      <c r="G1431" s="8" t="s">
        <v>10427</v>
      </c>
      <c r="H1431" s="8" t="s">
        <v>3479</v>
      </c>
      <c r="I1431" s="9">
        <v>0.0</v>
      </c>
      <c r="J1431" s="9">
        <v>1280.0</v>
      </c>
      <c r="K1431" s="9">
        <v>1280.0</v>
      </c>
      <c r="L1431" s="9">
        <v>1280.0</v>
      </c>
      <c r="M1431" s="9">
        <v>1200.0</v>
      </c>
      <c r="N1431" s="9">
        <v>0.0</v>
      </c>
      <c r="O1431" s="9">
        <v>80.0</v>
      </c>
      <c r="P1431" s="8" t="s">
        <v>3480</v>
      </c>
      <c r="Q1431" s="8"/>
      <c r="R1431" s="8"/>
    </row>
    <row r="1432">
      <c r="A1432" s="8" t="s">
        <v>1870</v>
      </c>
      <c r="B1432" s="8" t="s">
        <v>10428</v>
      </c>
      <c r="C1432" s="8" t="s">
        <v>10429</v>
      </c>
      <c r="D1432" s="9">
        <v>9.424668421E9</v>
      </c>
      <c r="E1432" s="8" t="s">
        <v>10430</v>
      </c>
      <c r="F1432" s="8" t="s">
        <v>3486</v>
      </c>
      <c r="G1432" s="8" t="s">
        <v>10431</v>
      </c>
      <c r="H1432" s="8" t="s">
        <v>3479</v>
      </c>
      <c r="I1432" s="9">
        <v>0.0</v>
      </c>
      <c r="J1432" s="9">
        <v>5944.0</v>
      </c>
      <c r="K1432" s="9">
        <v>5944.0</v>
      </c>
      <c r="L1432" s="9">
        <v>5944.0</v>
      </c>
      <c r="M1432" s="9">
        <v>4094.0</v>
      </c>
      <c r="N1432" s="9">
        <v>926.0</v>
      </c>
      <c r="O1432" s="9">
        <v>924.0</v>
      </c>
      <c r="P1432" s="8" t="s">
        <v>3480</v>
      </c>
      <c r="Q1432" s="8" t="s">
        <v>10432</v>
      </c>
      <c r="R1432" s="8" t="s">
        <v>10433</v>
      </c>
    </row>
    <row r="1433">
      <c r="A1433" s="8" t="s">
        <v>1942</v>
      </c>
      <c r="B1433" s="8" t="s">
        <v>10434</v>
      </c>
      <c r="C1433" s="8" t="s">
        <v>9984</v>
      </c>
      <c r="D1433" s="9">
        <v>7.264861807E9</v>
      </c>
      <c r="E1433" s="8" t="s">
        <v>9985</v>
      </c>
      <c r="F1433" s="8" t="s">
        <v>3658</v>
      </c>
      <c r="G1433" s="8" t="s">
        <v>10435</v>
      </c>
      <c r="H1433" s="8" t="s">
        <v>3479</v>
      </c>
      <c r="I1433" s="9">
        <v>0.0</v>
      </c>
      <c r="J1433" s="9">
        <v>1313.0</v>
      </c>
      <c r="K1433" s="9">
        <v>1313.0</v>
      </c>
      <c r="L1433" s="9">
        <v>1313.0</v>
      </c>
      <c r="M1433" s="9">
        <v>80.0</v>
      </c>
      <c r="N1433" s="9">
        <v>784.0</v>
      </c>
      <c r="O1433" s="9">
        <v>449.0</v>
      </c>
      <c r="P1433" s="8" t="s">
        <v>3480</v>
      </c>
      <c r="Q1433" s="8"/>
      <c r="R1433" s="8"/>
    </row>
    <row r="1434">
      <c r="A1434" s="8" t="s">
        <v>1912</v>
      </c>
      <c r="B1434" s="8" t="s">
        <v>10436</v>
      </c>
      <c r="C1434" s="8" t="s">
        <v>10437</v>
      </c>
      <c r="D1434" s="9">
        <v>7.770012863E9</v>
      </c>
      <c r="E1434" s="8" t="s">
        <v>10438</v>
      </c>
      <c r="F1434" s="8" t="s">
        <v>3828</v>
      </c>
      <c r="G1434" s="8" t="s">
        <v>10439</v>
      </c>
      <c r="H1434" s="8" t="s">
        <v>3479</v>
      </c>
      <c r="I1434" s="9">
        <v>0.0</v>
      </c>
      <c r="J1434" s="9">
        <v>3563.0</v>
      </c>
      <c r="K1434" s="9">
        <v>3563.0</v>
      </c>
      <c r="L1434" s="9">
        <v>3563.0</v>
      </c>
      <c r="M1434" s="9">
        <v>2055.0</v>
      </c>
      <c r="N1434" s="9">
        <v>784.0</v>
      </c>
      <c r="O1434" s="9">
        <v>724.0</v>
      </c>
      <c r="P1434" s="8" t="s">
        <v>3480</v>
      </c>
      <c r="Q1434" s="8" t="s">
        <v>10440</v>
      </c>
      <c r="R1434" s="8" t="s">
        <v>10441</v>
      </c>
    </row>
    <row r="1435">
      <c r="A1435" s="8" t="s">
        <v>1867</v>
      </c>
      <c r="B1435" s="8" t="s">
        <v>10442</v>
      </c>
      <c r="C1435" s="8" t="s">
        <v>10443</v>
      </c>
      <c r="D1435" s="9">
        <v>9.726766235E9</v>
      </c>
      <c r="E1435" s="8" t="s">
        <v>10444</v>
      </c>
      <c r="F1435" s="8" t="s">
        <v>3757</v>
      </c>
      <c r="G1435" s="8" t="s">
        <v>10445</v>
      </c>
      <c r="H1435" s="8" t="s">
        <v>3479</v>
      </c>
      <c r="I1435" s="9">
        <v>0.0</v>
      </c>
      <c r="J1435" s="9">
        <v>2028.0</v>
      </c>
      <c r="K1435" s="9">
        <v>2028.0</v>
      </c>
      <c r="L1435" s="9">
        <v>2028.0</v>
      </c>
      <c r="M1435" s="9">
        <v>889.0</v>
      </c>
      <c r="N1435" s="9">
        <v>65.0</v>
      </c>
      <c r="O1435" s="9">
        <v>1074.0</v>
      </c>
      <c r="P1435" s="8" t="s">
        <v>3480</v>
      </c>
      <c r="Q1435" s="8" t="s">
        <v>10446</v>
      </c>
      <c r="R1435" s="8" t="s">
        <v>10447</v>
      </c>
    </row>
    <row r="1436">
      <c r="A1436" s="8" t="s">
        <v>1864</v>
      </c>
      <c r="B1436" s="8" t="s">
        <v>10448</v>
      </c>
      <c r="C1436" s="8" t="s">
        <v>10449</v>
      </c>
      <c r="D1436" s="9">
        <v>8.9753929E9</v>
      </c>
      <c r="E1436" s="8" t="s">
        <v>10450</v>
      </c>
      <c r="F1436" s="8" t="s">
        <v>3608</v>
      </c>
      <c r="G1436" s="8" t="s">
        <v>10451</v>
      </c>
      <c r="H1436" s="8" t="s">
        <v>3479</v>
      </c>
      <c r="I1436" s="9">
        <v>0.0</v>
      </c>
      <c r="J1436" s="9">
        <v>1852.0</v>
      </c>
      <c r="K1436" s="9">
        <v>1852.0</v>
      </c>
      <c r="L1436" s="9">
        <v>1852.0</v>
      </c>
      <c r="M1436" s="9">
        <v>423.0</v>
      </c>
      <c r="N1436" s="9">
        <v>730.0</v>
      </c>
      <c r="O1436" s="9">
        <v>699.0</v>
      </c>
      <c r="P1436" s="8" t="s">
        <v>3519</v>
      </c>
      <c r="Q1436" s="8" t="s">
        <v>10452</v>
      </c>
      <c r="R1436" s="8" t="s">
        <v>10453</v>
      </c>
    </row>
    <row r="1437">
      <c r="A1437" s="8" t="s">
        <v>1950</v>
      </c>
      <c r="B1437" s="8" t="s">
        <v>10454</v>
      </c>
      <c r="C1437" s="8" t="s">
        <v>10455</v>
      </c>
      <c r="D1437" s="9">
        <v>9.011075819E9</v>
      </c>
      <c r="E1437" s="8" t="s">
        <v>10456</v>
      </c>
      <c r="F1437" s="8" t="s">
        <v>3954</v>
      </c>
      <c r="G1437" s="8" t="s">
        <v>3494</v>
      </c>
      <c r="H1437" s="8" t="s">
        <v>3479</v>
      </c>
      <c r="I1437" s="9">
        <v>0.0</v>
      </c>
      <c r="J1437" s="9">
        <v>2392.0</v>
      </c>
      <c r="K1437" s="9">
        <v>2392.0</v>
      </c>
      <c r="L1437" s="9">
        <v>2392.0</v>
      </c>
      <c r="M1437" s="9">
        <v>1178.0</v>
      </c>
      <c r="N1437" s="9">
        <v>190.0</v>
      </c>
      <c r="O1437" s="9">
        <v>1024.0</v>
      </c>
      <c r="P1437" s="8" t="s">
        <v>4183</v>
      </c>
      <c r="Q1437" s="8" t="s">
        <v>10457</v>
      </c>
      <c r="R1437" s="8" t="s">
        <v>10458</v>
      </c>
    </row>
    <row r="1438">
      <c r="A1438" s="8" t="s">
        <v>1914</v>
      </c>
      <c r="B1438" s="8" t="s">
        <v>10459</v>
      </c>
      <c r="C1438" s="8" t="s">
        <v>10460</v>
      </c>
      <c r="D1438" s="9">
        <v>9.518352796E9</v>
      </c>
      <c r="E1438" s="8" t="s">
        <v>10461</v>
      </c>
      <c r="F1438" s="8" t="s">
        <v>3498</v>
      </c>
      <c r="G1438" s="8" t="s">
        <v>10462</v>
      </c>
      <c r="H1438" s="8" t="s">
        <v>3479</v>
      </c>
      <c r="I1438" s="9">
        <v>0.0</v>
      </c>
      <c r="J1438" s="9">
        <v>1414.0</v>
      </c>
      <c r="K1438" s="9">
        <v>1414.0</v>
      </c>
      <c r="L1438" s="9">
        <v>1414.0</v>
      </c>
      <c r="M1438" s="9">
        <v>160.0</v>
      </c>
      <c r="N1438" s="9">
        <v>730.0</v>
      </c>
      <c r="O1438" s="9">
        <v>524.0</v>
      </c>
      <c r="P1438" s="8" t="s">
        <v>3480</v>
      </c>
      <c r="Q1438" s="8"/>
      <c r="R1438" s="8"/>
    </row>
    <row r="1439">
      <c r="A1439" s="8" t="s">
        <v>1916</v>
      </c>
      <c r="B1439" s="8" t="s">
        <v>10463</v>
      </c>
      <c r="C1439" s="8" t="s">
        <v>6344</v>
      </c>
      <c r="D1439" s="9">
        <v>9.604879914E9</v>
      </c>
      <c r="E1439" s="8" t="s">
        <v>6345</v>
      </c>
      <c r="F1439" s="8" t="s">
        <v>3665</v>
      </c>
      <c r="G1439" s="8" t="s">
        <v>10464</v>
      </c>
      <c r="H1439" s="8" t="s">
        <v>3479</v>
      </c>
      <c r="I1439" s="9">
        <v>0.0</v>
      </c>
      <c r="J1439" s="9">
        <v>639.0</v>
      </c>
      <c r="K1439" s="9">
        <v>639.0</v>
      </c>
      <c r="L1439" s="9">
        <v>639.0</v>
      </c>
      <c r="M1439" s="9">
        <v>190.0</v>
      </c>
      <c r="N1439" s="9">
        <v>0.0</v>
      </c>
      <c r="O1439" s="9">
        <v>449.0</v>
      </c>
      <c r="P1439" s="8" t="s">
        <v>3480</v>
      </c>
      <c r="Q1439" s="8" t="s">
        <v>6347</v>
      </c>
      <c r="R1439" s="8" t="s">
        <v>6348</v>
      </c>
    </row>
    <row r="1440">
      <c r="A1440" s="8" t="s">
        <v>1872</v>
      </c>
      <c r="B1440" s="8" t="s">
        <v>10465</v>
      </c>
      <c r="C1440" s="8" t="s">
        <v>10466</v>
      </c>
      <c r="D1440" s="9">
        <v>9.01118347E9</v>
      </c>
      <c r="E1440" s="8" t="s">
        <v>10467</v>
      </c>
      <c r="F1440" s="8" t="s">
        <v>3523</v>
      </c>
      <c r="G1440" s="8" t="s">
        <v>10468</v>
      </c>
      <c r="H1440" s="8" t="s">
        <v>3479</v>
      </c>
      <c r="I1440" s="9">
        <v>0.0</v>
      </c>
      <c r="J1440" s="9">
        <v>2201.0</v>
      </c>
      <c r="K1440" s="9">
        <v>2201.0</v>
      </c>
      <c r="L1440" s="9">
        <v>2201.0</v>
      </c>
      <c r="M1440" s="9">
        <v>938.0</v>
      </c>
      <c r="N1440" s="9">
        <v>739.0</v>
      </c>
      <c r="O1440" s="9">
        <v>524.0</v>
      </c>
      <c r="P1440" s="8" t="s">
        <v>3519</v>
      </c>
      <c r="Q1440" s="8" t="s">
        <v>10469</v>
      </c>
      <c r="R1440" s="8" t="s">
        <v>10470</v>
      </c>
    </row>
    <row r="1441">
      <c r="A1441" s="8" t="s">
        <v>1915</v>
      </c>
      <c r="B1441" s="8" t="s">
        <v>10471</v>
      </c>
      <c r="C1441" s="8" t="s">
        <v>10472</v>
      </c>
      <c r="D1441" s="9">
        <v>9.89055556E9</v>
      </c>
      <c r="E1441" s="8" t="s">
        <v>10473</v>
      </c>
      <c r="F1441" s="8" t="s">
        <v>3594</v>
      </c>
      <c r="G1441" s="8" t="s">
        <v>10474</v>
      </c>
      <c r="H1441" s="8" t="s">
        <v>3479</v>
      </c>
      <c r="I1441" s="9">
        <v>0.0</v>
      </c>
      <c r="J1441" s="9">
        <v>2179.0</v>
      </c>
      <c r="K1441" s="9">
        <v>2179.0</v>
      </c>
      <c r="L1441" s="9">
        <v>2179.0</v>
      </c>
      <c r="M1441" s="9">
        <v>925.0</v>
      </c>
      <c r="N1441" s="9">
        <v>730.0</v>
      </c>
      <c r="O1441" s="9">
        <v>524.0</v>
      </c>
      <c r="P1441" s="8" t="s">
        <v>3480</v>
      </c>
      <c r="Q1441" s="8" t="s">
        <v>10475</v>
      </c>
      <c r="R1441" s="8" t="s">
        <v>10476</v>
      </c>
    </row>
    <row r="1442">
      <c r="A1442" s="8" t="s">
        <v>1920</v>
      </c>
      <c r="B1442" s="8" t="s">
        <v>10477</v>
      </c>
      <c r="C1442" s="8" t="s">
        <v>6327</v>
      </c>
      <c r="D1442" s="9">
        <v>9.545322788E9</v>
      </c>
      <c r="E1442" s="8" t="s">
        <v>6328</v>
      </c>
      <c r="F1442" s="8" t="s">
        <v>3589</v>
      </c>
      <c r="G1442" s="8" t="s">
        <v>10478</v>
      </c>
      <c r="H1442" s="8" t="s">
        <v>3479</v>
      </c>
      <c r="I1442" s="9">
        <v>0.0</v>
      </c>
      <c r="J1442" s="9">
        <v>1340.0</v>
      </c>
      <c r="K1442" s="9">
        <v>1340.0</v>
      </c>
      <c r="L1442" s="9">
        <v>1340.0</v>
      </c>
      <c r="M1442" s="9">
        <v>1340.0</v>
      </c>
      <c r="N1442" s="9">
        <v>0.0</v>
      </c>
      <c r="O1442" s="9">
        <v>0.0</v>
      </c>
      <c r="P1442" s="8" t="s">
        <v>3480</v>
      </c>
      <c r="Q1442" s="8" t="s">
        <v>6330</v>
      </c>
      <c r="R1442" s="8" t="s">
        <v>6331</v>
      </c>
    </row>
    <row r="1443">
      <c r="A1443" s="8" t="s">
        <v>1913</v>
      </c>
      <c r="B1443" s="8" t="s">
        <v>10479</v>
      </c>
      <c r="C1443" s="8" t="s">
        <v>10480</v>
      </c>
      <c r="D1443" s="9">
        <v>9.999479095E9</v>
      </c>
      <c r="E1443" s="8" t="s">
        <v>10481</v>
      </c>
      <c r="F1443" s="8" t="s">
        <v>4574</v>
      </c>
      <c r="G1443" s="8" t="s">
        <v>10482</v>
      </c>
      <c r="H1443" s="8" t="s">
        <v>3479</v>
      </c>
      <c r="I1443" s="9">
        <v>0.0</v>
      </c>
      <c r="J1443" s="9">
        <v>1102.0</v>
      </c>
      <c r="K1443" s="9">
        <v>1102.0</v>
      </c>
      <c r="L1443" s="9">
        <v>1102.0</v>
      </c>
      <c r="M1443" s="9">
        <v>493.0</v>
      </c>
      <c r="N1443" s="9">
        <v>80.0</v>
      </c>
      <c r="O1443" s="9">
        <v>529.0</v>
      </c>
      <c r="P1443" s="8" t="s">
        <v>3480</v>
      </c>
      <c r="Q1443" s="8" t="s">
        <v>10483</v>
      </c>
      <c r="R1443" s="8" t="s">
        <v>10484</v>
      </c>
    </row>
    <row r="1444">
      <c r="A1444" s="8" t="s">
        <v>1917</v>
      </c>
      <c r="B1444" s="8" t="s">
        <v>10485</v>
      </c>
      <c r="C1444" s="8" t="s">
        <v>10486</v>
      </c>
      <c r="D1444" s="9">
        <v>9.284226625E9</v>
      </c>
      <c r="E1444" s="8" t="s">
        <v>10487</v>
      </c>
      <c r="F1444" s="8" t="s">
        <v>3653</v>
      </c>
      <c r="G1444" s="8" t="s">
        <v>10488</v>
      </c>
      <c r="H1444" s="8" t="s">
        <v>3479</v>
      </c>
      <c r="I1444" s="9">
        <v>0.0</v>
      </c>
      <c r="J1444" s="9">
        <v>4411.0</v>
      </c>
      <c r="K1444" s="9">
        <v>4411.0</v>
      </c>
      <c r="L1444" s="9">
        <v>4411.0</v>
      </c>
      <c r="M1444" s="9">
        <v>3093.0</v>
      </c>
      <c r="N1444" s="9">
        <v>594.0</v>
      </c>
      <c r="O1444" s="9">
        <v>724.0</v>
      </c>
      <c r="P1444" s="8" t="s">
        <v>3480</v>
      </c>
      <c r="Q1444" s="8"/>
      <c r="R1444" s="8"/>
    </row>
    <row r="1445">
      <c r="A1445" s="8" t="s">
        <v>1918</v>
      </c>
      <c r="B1445" s="8" t="s">
        <v>10489</v>
      </c>
      <c r="C1445" s="8" t="s">
        <v>10490</v>
      </c>
      <c r="D1445" s="9">
        <v>7.383192935E9</v>
      </c>
      <c r="E1445" s="8" t="s">
        <v>10491</v>
      </c>
      <c r="F1445" s="8" t="s">
        <v>4391</v>
      </c>
      <c r="G1445" s="8" t="s">
        <v>10492</v>
      </c>
      <c r="H1445" s="8" t="s">
        <v>3479</v>
      </c>
      <c r="I1445" s="9">
        <v>0.0</v>
      </c>
      <c r="J1445" s="9">
        <v>1259.0</v>
      </c>
      <c r="K1445" s="9">
        <v>1259.0</v>
      </c>
      <c r="L1445" s="9">
        <v>1259.0</v>
      </c>
      <c r="M1445" s="9">
        <v>80.0</v>
      </c>
      <c r="N1445" s="9">
        <v>730.0</v>
      </c>
      <c r="O1445" s="9">
        <v>449.0</v>
      </c>
      <c r="P1445" s="8" t="s">
        <v>3480</v>
      </c>
      <c r="Q1445" s="8" t="s">
        <v>10493</v>
      </c>
      <c r="R1445" s="8" t="s">
        <v>10494</v>
      </c>
    </row>
    <row r="1446">
      <c r="A1446" s="8" t="s">
        <v>1873</v>
      </c>
      <c r="B1446" s="8" t="s">
        <v>10495</v>
      </c>
      <c r="C1446" s="8" t="s">
        <v>10496</v>
      </c>
      <c r="D1446" s="9">
        <v>9.130301142E9</v>
      </c>
      <c r="E1446" s="8" t="s">
        <v>10497</v>
      </c>
      <c r="F1446" s="8" t="s">
        <v>6234</v>
      </c>
      <c r="G1446" s="8" t="s">
        <v>10498</v>
      </c>
      <c r="H1446" s="8" t="s">
        <v>3479</v>
      </c>
      <c r="I1446" s="9">
        <v>0.0</v>
      </c>
      <c r="J1446" s="9">
        <v>2410.0</v>
      </c>
      <c r="K1446" s="9">
        <v>2410.0</v>
      </c>
      <c r="L1446" s="9">
        <v>2410.0</v>
      </c>
      <c r="M1446" s="9">
        <v>2235.0</v>
      </c>
      <c r="N1446" s="9">
        <v>0.0</v>
      </c>
      <c r="O1446" s="9">
        <v>175.0</v>
      </c>
      <c r="P1446" s="8" t="s">
        <v>3480</v>
      </c>
      <c r="Q1446" s="8"/>
      <c r="R1446" s="8"/>
    </row>
    <row r="1447">
      <c r="A1447" s="8" t="s">
        <v>1874</v>
      </c>
      <c r="B1447" s="8" t="s">
        <v>10499</v>
      </c>
      <c r="C1447" s="8" t="s">
        <v>10500</v>
      </c>
      <c r="D1447" s="9">
        <v>9.980976007E9</v>
      </c>
      <c r="E1447" s="8" t="s">
        <v>10501</v>
      </c>
      <c r="F1447" s="8" t="s">
        <v>5613</v>
      </c>
      <c r="G1447" s="8" t="s">
        <v>10502</v>
      </c>
      <c r="H1447" s="8" t="s">
        <v>3479</v>
      </c>
      <c r="I1447" s="9">
        <v>0.0</v>
      </c>
      <c r="J1447" s="9">
        <v>5575.0</v>
      </c>
      <c r="K1447" s="9">
        <v>5575.0</v>
      </c>
      <c r="L1447" s="9">
        <v>5575.0</v>
      </c>
      <c r="M1447" s="9">
        <v>4312.0</v>
      </c>
      <c r="N1447" s="9">
        <v>739.0</v>
      </c>
      <c r="O1447" s="9">
        <v>524.0</v>
      </c>
      <c r="P1447" s="8" t="s">
        <v>3480</v>
      </c>
      <c r="Q1447" s="8"/>
      <c r="R1447" s="8"/>
    </row>
    <row r="1448">
      <c r="A1448" s="8" t="s">
        <v>1922</v>
      </c>
      <c r="B1448" s="8" t="s">
        <v>10503</v>
      </c>
      <c r="C1448" s="8" t="s">
        <v>10504</v>
      </c>
      <c r="D1448" s="9">
        <v>8.329795208E9</v>
      </c>
      <c r="E1448" s="8" t="s">
        <v>10505</v>
      </c>
      <c r="F1448" s="8" t="s">
        <v>3977</v>
      </c>
      <c r="G1448" s="8" t="s">
        <v>10506</v>
      </c>
      <c r="H1448" s="8" t="s">
        <v>3479</v>
      </c>
      <c r="I1448" s="9">
        <v>0.0</v>
      </c>
      <c r="J1448" s="9">
        <v>1454.0</v>
      </c>
      <c r="K1448" s="9">
        <v>1454.0</v>
      </c>
      <c r="L1448" s="9">
        <v>1454.0</v>
      </c>
      <c r="M1448" s="9">
        <v>245.0</v>
      </c>
      <c r="N1448" s="9">
        <v>760.0</v>
      </c>
      <c r="O1448" s="9">
        <v>449.0</v>
      </c>
      <c r="P1448" s="8" t="s">
        <v>3480</v>
      </c>
      <c r="Q1448" s="8" t="s">
        <v>10507</v>
      </c>
      <c r="R1448" s="8" t="s">
        <v>10508</v>
      </c>
    </row>
    <row r="1449">
      <c r="A1449" s="8" t="s">
        <v>1919</v>
      </c>
      <c r="B1449" s="8" t="s">
        <v>10509</v>
      </c>
      <c r="C1449" s="8" t="s">
        <v>10510</v>
      </c>
      <c r="D1449" s="9">
        <v>9.352808907E9</v>
      </c>
      <c r="E1449" s="8" t="s">
        <v>10511</v>
      </c>
      <c r="F1449" s="8" t="s">
        <v>3959</v>
      </c>
      <c r="G1449" s="8" t="s">
        <v>10512</v>
      </c>
      <c r="H1449" s="8" t="s">
        <v>10513</v>
      </c>
      <c r="I1449" s="9">
        <v>0.0</v>
      </c>
      <c r="J1449" s="9">
        <v>9512.0</v>
      </c>
      <c r="K1449" s="9">
        <v>10012.0</v>
      </c>
      <c r="L1449" s="9">
        <v>9512.0</v>
      </c>
      <c r="M1449" s="9">
        <v>8037.0</v>
      </c>
      <c r="N1449" s="9">
        <v>0.0</v>
      </c>
      <c r="O1449" s="9">
        <v>1975.0</v>
      </c>
      <c r="P1449" s="8" t="s">
        <v>3519</v>
      </c>
      <c r="Q1449" s="8" t="s">
        <v>10514</v>
      </c>
      <c r="R1449" s="8" t="s">
        <v>10515</v>
      </c>
    </row>
    <row r="1450">
      <c r="A1450" s="8" t="s">
        <v>1921</v>
      </c>
      <c r="B1450" s="8" t="s">
        <v>10516</v>
      </c>
      <c r="C1450" s="8" t="s">
        <v>10517</v>
      </c>
      <c r="D1450" s="9">
        <v>9.027778747E9</v>
      </c>
      <c r="E1450" s="8" t="s">
        <v>10518</v>
      </c>
      <c r="F1450" s="8" t="s">
        <v>3608</v>
      </c>
      <c r="G1450" s="8" t="s">
        <v>10519</v>
      </c>
      <c r="H1450" s="8" t="s">
        <v>3479</v>
      </c>
      <c r="I1450" s="9">
        <v>0.0</v>
      </c>
      <c r="J1450" s="9">
        <v>2137.0</v>
      </c>
      <c r="K1450" s="9">
        <v>2137.0</v>
      </c>
      <c r="L1450" s="9">
        <v>2137.0</v>
      </c>
      <c r="M1450" s="9">
        <v>958.0</v>
      </c>
      <c r="N1450" s="9">
        <v>730.0</v>
      </c>
      <c r="O1450" s="9">
        <v>449.0</v>
      </c>
      <c r="P1450" s="8" t="s">
        <v>3480</v>
      </c>
      <c r="Q1450" s="8" t="s">
        <v>10520</v>
      </c>
      <c r="R1450" s="8" t="s">
        <v>10521</v>
      </c>
    </row>
    <row r="1451">
      <c r="A1451" s="8" t="s">
        <v>986</v>
      </c>
      <c r="B1451" s="8" t="s">
        <v>10522</v>
      </c>
      <c r="C1451" s="8" t="s">
        <v>10523</v>
      </c>
      <c r="D1451" s="9">
        <v>9.656720772E9</v>
      </c>
      <c r="E1451" s="8" t="s">
        <v>10524</v>
      </c>
      <c r="F1451" s="8" t="s">
        <v>4373</v>
      </c>
      <c r="G1451" s="8" t="s">
        <v>10525</v>
      </c>
      <c r="H1451" s="8" t="s">
        <v>3479</v>
      </c>
      <c r="I1451" s="9">
        <v>0.0</v>
      </c>
      <c r="J1451" s="9">
        <v>1552.0</v>
      </c>
      <c r="K1451" s="9">
        <v>1552.0</v>
      </c>
      <c r="L1451" s="9">
        <v>1552.0</v>
      </c>
      <c r="M1451" s="9">
        <v>698.0</v>
      </c>
      <c r="N1451" s="9">
        <v>504.0</v>
      </c>
      <c r="O1451" s="9">
        <v>350.0</v>
      </c>
      <c r="P1451" s="8" t="s">
        <v>3480</v>
      </c>
      <c r="Q1451" s="8"/>
      <c r="R1451" s="8"/>
    </row>
    <row r="1452">
      <c r="A1452" s="8" t="s">
        <v>1978</v>
      </c>
      <c r="B1452" s="8" t="s">
        <v>10526</v>
      </c>
      <c r="C1452" s="8" t="s">
        <v>10527</v>
      </c>
      <c r="D1452" s="9">
        <v>9.518541752E9</v>
      </c>
      <c r="E1452" s="8" t="s">
        <v>10528</v>
      </c>
      <c r="F1452" s="8" t="s">
        <v>3557</v>
      </c>
      <c r="G1452" s="8" t="s">
        <v>10529</v>
      </c>
      <c r="H1452" s="8" t="s">
        <v>3479</v>
      </c>
      <c r="I1452" s="9">
        <v>0.0</v>
      </c>
      <c r="J1452" s="9">
        <v>10002.0</v>
      </c>
      <c r="K1452" s="9">
        <v>10002.0</v>
      </c>
      <c r="L1452" s="9">
        <v>10002.0</v>
      </c>
      <c r="M1452" s="9">
        <v>9352.0</v>
      </c>
      <c r="N1452" s="9">
        <v>0.0</v>
      </c>
      <c r="O1452" s="9">
        <v>650.0</v>
      </c>
      <c r="P1452" s="8" t="s">
        <v>3519</v>
      </c>
      <c r="Q1452" s="8"/>
      <c r="R1452" s="8"/>
    </row>
    <row r="1453">
      <c r="A1453" s="8" t="s">
        <v>1875</v>
      </c>
      <c r="B1453" s="8" t="s">
        <v>10530</v>
      </c>
      <c r="C1453" s="8" t="s">
        <v>10531</v>
      </c>
      <c r="D1453" s="9">
        <v>9.028274842E9</v>
      </c>
      <c r="E1453" s="8" t="s">
        <v>10532</v>
      </c>
      <c r="F1453" s="8" t="s">
        <v>3658</v>
      </c>
      <c r="G1453" s="8" t="s">
        <v>10533</v>
      </c>
      <c r="H1453" s="8" t="s">
        <v>3479</v>
      </c>
      <c r="I1453" s="9">
        <v>0.0</v>
      </c>
      <c r="J1453" s="9">
        <v>1442.0</v>
      </c>
      <c r="K1453" s="9">
        <v>1442.0</v>
      </c>
      <c r="L1453" s="9">
        <v>1442.0</v>
      </c>
      <c r="M1453" s="9">
        <v>1117.0</v>
      </c>
      <c r="N1453" s="9">
        <v>0.0</v>
      </c>
      <c r="O1453" s="9">
        <v>325.0</v>
      </c>
      <c r="P1453" s="8" t="s">
        <v>3480</v>
      </c>
      <c r="Q1453" s="8" t="s">
        <v>10534</v>
      </c>
      <c r="R1453" s="8"/>
    </row>
    <row r="1454">
      <c r="A1454" s="8" t="s">
        <v>1876</v>
      </c>
      <c r="B1454" s="8" t="s">
        <v>10535</v>
      </c>
      <c r="C1454" s="8" t="s">
        <v>10536</v>
      </c>
      <c r="D1454" s="9">
        <v>9.096433613E9</v>
      </c>
      <c r="E1454" s="8" t="s">
        <v>10537</v>
      </c>
      <c r="F1454" s="8" t="s">
        <v>4454</v>
      </c>
      <c r="G1454" s="8" t="s">
        <v>10538</v>
      </c>
      <c r="H1454" s="8" t="s">
        <v>3479</v>
      </c>
      <c r="I1454" s="9">
        <v>0.0</v>
      </c>
      <c r="J1454" s="9">
        <v>3471.0</v>
      </c>
      <c r="K1454" s="9">
        <v>3471.0</v>
      </c>
      <c r="L1454" s="9">
        <v>3471.0</v>
      </c>
      <c r="M1454" s="9">
        <v>2283.0</v>
      </c>
      <c r="N1454" s="9">
        <v>739.0</v>
      </c>
      <c r="O1454" s="9">
        <v>449.0</v>
      </c>
      <c r="P1454" s="8" t="s">
        <v>3544</v>
      </c>
      <c r="Q1454" s="8"/>
      <c r="R1454" s="8"/>
    </row>
    <row r="1455">
      <c r="A1455" s="8" t="s">
        <v>1939</v>
      </c>
      <c r="B1455" s="8" t="s">
        <v>10539</v>
      </c>
      <c r="C1455" s="8" t="s">
        <v>8670</v>
      </c>
      <c r="D1455" s="9">
        <v>9.881304592E9</v>
      </c>
      <c r="E1455" s="8" t="s">
        <v>8671</v>
      </c>
      <c r="F1455" s="8" t="s">
        <v>3721</v>
      </c>
      <c r="G1455" s="8" t="s">
        <v>8672</v>
      </c>
      <c r="H1455" s="8" t="s">
        <v>3479</v>
      </c>
      <c r="I1455" s="9">
        <v>0.0</v>
      </c>
      <c r="J1455" s="9">
        <v>3362.0</v>
      </c>
      <c r="K1455" s="9">
        <v>3362.0</v>
      </c>
      <c r="L1455" s="9">
        <v>3362.0</v>
      </c>
      <c r="M1455" s="9">
        <v>2183.0</v>
      </c>
      <c r="N1455" s="9">
        <v>730.0</v>
      </c>
      <c r="O1455" s="9">
        <v>449.0</v>
      </c>
      <c r="P1455" s="8" t="s">
        <v>3480</v>
      </c>
      <c r="Q1455" s="8" t="s">
        <v>8673</v>
      </c>
      <c r="R1455" s="8" t="s">
        <v>8674</v>
      </c>
    </row>
    <row r="1456">
      <c r="A1456" s="8" t="s">
        <v>1940</v>
      </c>
      <c r="B1456" s="8" t="s">
        <v>10540</v>
      </c>
      <c r="C1456" s="8" t="s">
        <v>10218</v>
      </c>
      <c r="D1456" s="9">
        <v>9.923067611E9</v>
      </c>
      <c r="E1456" s="8" t="s">
        <v>10219</v>
      </c>
      <c r="F1456" s="8" t="s">
        <v>7382</v>
      </c>
      <c r="G1456" s="8" t="s">
        <v>10541</v>
      </c>
      <c r="H1456" s="8" t="s">
        <v>3479</v>
      </c>
      <c r="I1456" s="9">
        <v>0.0</v>
      </c>
      <c r="J1456" s="9">
        <v>774.0</v>
      </c>
      <c r="K1456" s="9">
        <v>774.0</v>
      </c>
      <c r="L1456" s="9">
        <v>774.0</v>
      </c>
      <c r="M1456" s="9">
        <v>654.0</v>
      </c>
      <c r="N1456" s="9">
        <v>0.0</v>
      </c>
      <c r="O1456" s="9">
        <v>120.0</v>
      </c>
      <c r="P1456" s="8" t="s">
        <v>3480</v>
      </c>
      <c r="Q1456" s="8"/>
      <c r="R1456" s="8"/>
    </row>
    <row r="1457">
      <c r="A1457" s="8" t="s">
        <v>1941</v>
      </c>
      <c r="B1457" s="8" t="s">
        <v>10542</v>
      </c>
      <c r="C1457" s="8" t="s">
        <v>6116</v>
      </c>
      <c r="D1457" s="9">
        <v>7.499170433E9</v>
      </c>
      <c r="E1457" s="8" t="s">
        <v>10543</v>
      </c>
      <c r="F1457" s="8" t="s">
        <v>3523</v>
      </c>
      <c r="G1457" s="8" t="s">
        <v>5919</v>
      </c>
      <c r="H1457" s="8" t="s">
        <v>3479</v>
      </c>
      <c r="I1457" s="9">
        <v>0.0</v>
      </c>
      <c r="J1457" s="9">
        <v>2927.0</v>
      </c>
      <c r="K1457" s="9">
        <v>2927.0</v>
      </c>
      <c r="L1457" s="9">
        <v>2927.0</v>
      </c>
      <c r="M1457" s="9">
        <v>2927.0</v>
      </c>
      <c r="N1457" s="9">
        <v>0.0</v>
      </c>
      <c r="O1457" s="9">
        <v>0.0</v>
      </c>
      <c r="P1457" s="8" t="s">
        <v>10544</v>
      </c>
      <c r="Q1457" s="8"/>
      <c r="R1457" s="8"/>
    </row>
    <row r="1458">
      <c r="A1458" s="8" t="s">
        <v>1883</v>
      </c>
      <c r="B1458" s="8" t="s">
        <v>10545</v>
      </c>
      <c r="C1458" s="8" t="s">
        <v>5963</v>
      </c>
      <c r="D1458" s="9">
        <v>7.709278135E9</v>
      </c>
      <c r="E1458" s="8" t="s">
        <v>5964</v>
      </c>
      <c r="F1458" s="8" t="s">
        <v>3721</v>
      </c>
      <c r="G1458" s="8" t="s">
        <v>10546</v>
      </c>
      <c r="H1458" s="8" t="s">
        <v>3479</v>
      </c>
      <c r="I1458" s="9">
        <v>0.0</v>
      </c>
      <c r="J1458" s="9">
        <v>956.0</v>
      </c>
      <c r="K1458" s="9">
        <v>956.0</v>
      </c>
      <c r="L1458" s="9">
        <v>956.0</v>
      </c>
      <c r="M1458" s="9">
        <v>272.0</v>
      </c>
      <c r="N1458" s="9">
        <v>80.0</v>
      </c>
      <c r="O1458" s="9">
        <v>604.0</v>
      </c>
      <c r="P1458" s="8" t="s">
        <v>3480</v>
      </c>
      <c r="Q1458" s="8"/>
      <c r="R1458" s="8"/>
    </row>
    <row r="1459">
      <c r="A1459" s="8" t="s">
        <v>1951</v>
      </c>
      <c r="B1459" s="8" t="s">
        <v>10547</v>
      </c>
      <c r="C1459" s="8" t="s">
        <v>4960</v>
      </c>
      <c r="D1459" s="9">
        <v>9.326075507E9</v>
      </c>
      <c r="E1459" s="8" t="s">
        <v>10548</v>
      </c>
      <c r="F1459" s="8" t="s">
        <v>3498</v>
      </c>
      <c r="G1459" s="8" t="s">
        <v>10549</v>
      </c>
      <c r="H1459" s="8" t="s">
        <v>3479</v>
      </c>
      <c r="I1459" s="9">
        <v>0.0</v>
      </c>
      <c r="J1459" s="9">
        <v>2874.0</v>
      </c>
      <c r="K1459" s="9">
        <v>2874.0</v>
      </c>
      <c r="L1459" s="9">
        <v>2874.0</v>
      </c>
      <c r="M1459" s="9">
        <v>1620.0</v>
      </c>
      <c r="N1459" s="9">
        <v>730.0</v>
      </c>
      <c r="O1459" s="9">
        <v>524.0</v>
      </c>
      <c r="P1459" s="8" t="s">
        <v>3480</v>
      </c>
      <c r="Q1459" s="8" t="s">
        <v>10550</v>
      </c>
      <c r="R1459" s="8"/>
    </row>
    <row r="1460">
      <c r="A1460" s="8" t="s">
        <v>1884</v>
      </c>
      <c r="B1460" s="8" t="s">
        <v>10551</v>
      </c>
      <c r="C1460" s="8" t="s">
        <v>10552</v>
      </c>
      <c r="D1460" s="9">
        <v>9.933312911E9</v>
      </c>
      <c r="E1460" s="8" t="s">
        <v>10553</v>
      </c>
      <c r="F1460" s="8" t="s">
        <v>3523</v>
      </c>
      <c r="G1460" s="8" t="s">
        <v>10554</v>
      </c>
      <c r="H1460" s="8" t="s">
        <v>3479</v>
      </c>
      <c r="I1460" s="9">
        <v>0.0</v>
      </c>
      <c r="J1460" s="9">
        <v>1334.0</v>
      </c>
      <c r="K1460" s="9">
        <v>1334.0</v>
      </c>
      <c r="L1460" s="9">
        <v>1334.0</v>
      </c>
      <c r="M1460" s="9">
        <v>80.0</v>
      </c>
      <c r="N1460" s="9">
        <v>730.0</v>
      </c>
      <c r="O1460" s="9">
        <v>524.0</v>
      </c>
      <c r="P1460" s="8" t="s">
        <v>3480</v>
      </c>
      <c r="Q1460" s="8" t="s">
        <v>10555</v>
      </c>
      <c r="R1460" s="8"/>
    </row>
    <row r="1461">
      <c r="A1461" s="8" t="s">
        <v>1886</v>
      </c>
      <c r="B1461" s="8" t="s">
        <v>10556</v>
      </c>
      <c r="C1461" s="8" t="s">
        <v>10557</v>
      </c>
      <c r="D1461" s="9">
        <v>7.385859595E9</v>
      </c>
      <c r="E1461" s="8" t="s">
        <v>10558</v>
      </c>
      <c r="F1461" s="8" t="s">
        <v>3601</v>
      </c>
      <c r="G1461" s="8" t="s">
        <v>10559</v>
      </c>
      <c r="H1461" s="8" t="s">
        <v>3479</v>
      </c>
      <c r="I1461" s="9">
        <v>0.0</v>
      </c>
      <c r="J1461" s="9">
        <v>2077.0</v>
      </c>
      <c r="K1461" s="9">
        <v>2077.0</v>
      </c>
      <c r="L1461" s="9">
        <v>2077.0</v>
      </c>
      <c r="M1461" s="9">
        <v>898.0</v>
      </c>
      <c r="N1461" s="9">
        <v>730.0</v>
      </c>
      <c r="O1461" s="9">
        <v>449.0</v>
      </c>
      <c r="P1461" s="8" t="s">
        <v>3480</v>
      </c>
      <c r="Q1461" s="8" t="s">
        <v>10560</v>
      </c>
      <c r="R1461" s="8" t="s">
        <v>10561</v>
      </c>
    </row>
    <row r="1462">
      <c r="A1462" s="8" t="s">
        <v>1887</v>
      </c>
      <c r="B1462" s="8" t="s">
        <v>10562</v>
      </c>
      <c r="C1462" s="8" t="s">
        <v>10563</v>
      </c>
      <c r="D1462" s="9">
        <v>9.890276724E9</v>
      </c>
      <c r="E1462" s="8" t="s">
        <v>10564</v>
      </c>
      <c r="F1462" s="8" t="s">
        <v>8835</v>
      </c>
      <c r="G1462" s="8" t="s">
        <v>10565</v>
      </c>
      <c r="H1462" s="8" t="s">
        <v>3479</v>
      </c>
      <c r="I1462" s="9">
        <v>0.0</v>
      </c>
      <c r="J1462" s="9">
        <v>1587.0</v>
      </c>
      <c r="K1462" s="9">
        <v>1587.0</v>
      </c>
      <c r="L1462" s="9">
        <v>1587.0</v>
      </c>
      <c r="M1462" s="9">
        <v>988.0</v>
      </c>
      <c r="N1462" s="9">
        <v>0.0</v>
      </c>
      <c r="O1462" s="9">
        <v>599.0</v>
      </c>
      <c r="P1462" s="8" t="s">
        <v>3480</v>
      </c>
      <c r="Q1462" s="8"/>
      <c r="R1462" s="8"/>
    </row>
    <row r="1463">
      <c r="A1463" s="8" t="s">
        <v>1885</v>
      </c>
      <c r="B1463" s="8" t="s">
        <v>10566</v>
      </c>
      <c r="C1463" s="8" t="s">
        <v>7177</v>
      </c>
      <c r="D1463" s="9">
        <v>9.422733881E9</v>
      </c>
      <c r="E1463" s="8" t="s">
        <v>10567</v>
      </c>
      <c r="F1463" s="8" t="s">
        <v>3601</v>
      </c>
      <c r="G1463" s="8" t="s">
        <v>10568</v>
      </c>
      <c r="H1463" s="8" t="s">
        <v>3479</v>
      </c>
      <c r="I1463" s="9">
        <v>0.0</v>
      </c>
      <c r="J1463" s="9">
        <v>1739.0</v>
      </c>
      <c r="K1463" s="9">
        <v>1739.0</v>
      </c>
      <c r="L1463" s="9">
        <v>1739.0</v>
      </c>
      <c r="M1463" s="9">
        <v>560.0</v>
      </c>
      <c r="N1463" s="9">
        <v>730.0</v>
      </c>
      <c r="O1463" s="9">
        <v>449.0</v>
      </c>
      <c r="P1463" s="8" t="s">
        <v>3480</v>
      </c>
      <c r="Q1463" s="8" t="s">
        <v>10569</v>
      </c>
      <c r="R1463" s="8" t="s">
        <v>10570</v>
      </c>
    </row>
    <row r="1464">
      <c r="A1464" s="8" t="s">
        <v>1889</v>
      </c>
      <c r="B1464" s="8" t="s">
        <v>10571</v>
      </c>
      <c r="C1464" s="8" t="s">
        <v>9369</v>
      </c>
      <c r="D1464" s="9">
        <v>8.390072317E9</v>
      </c>
      <c r="E1464" s="8" t="s">
        <v>9370</v>
      </c>
      <c r="F1464" s="8" t="s">
        <v>3601</v>
      </c>
      <c r="G1464" s="8" t="s">
        <v>10572</v>
      </c>
      <c r="H1464" s="8" t="s">
        <v>3479</v>
      </c>
      <c r="I1464" s="9">
        <v>0.0</v>
      </c>
      <c r="J1464" s="9">
        <v>1259.0</v>
      </c>
      <c r="K1464" s="9">
        <v>1259.0</v>
      </c>
      <c r="L1464" s="9">
        <v>1259.0</v>
      </c>
      <c r="M1464" s="9">
        <v>80.0</v>
      </c>
      <c r="N1464" s="9">
        <v>730.0</v>
      </c>
      <c r="O1464" s="9">
        <v>449.0</v>
      </c>
      <c r="P1464" s="8" t="s">
        <v>3480</v>
      </c>
      <c r="Q1464" s="8" t="s">
        <v>9372</v>
      </c>
      <c r="R1464" s="8" t="s">
        <v>9373</v>
      </c>
    </row>
    <row r="1465">
      <c r="A1465" s="8" t="s">
        <v>2009</v>
      </c>
      <c r="B1465" s="8" t="s">
        <v>10573</v>
      </c>
      <c r="C1465" s="8" t="s">
        <v>10574</v>
      </c>
      <c r="D1465" s="9">
        <v>8.975973107E9</v>
      </c>
      <c r="E1465" s="8" t="s">
        <v>10575</v>
      </c>
      <c r="F1465" s="8" t="s">
        <v>3589</v>
      </c>
      <c r="G1465" s="8" t="s">
        <v>10576</v>
      </c>
      <c r="H1465" s="8" t="s">
        <v>3479</v>
      </c>
      <c r="I1465" s="9">
        <v>0.0</v>
      </c>
      <c r="J1465" s="9">
        <v>4395.0</v>
      </c>
      <c r="K1465" s="9">
        <v>4395.0</v>
      </c>
      <c r="L1465" s="9">
        <v>4395.0</v>
      </c>
      <c r="M1465" s="9">
        <v>2966.0</v>
      </c>
      <c r="N1465" s="9">
        <v>730.0</v>
      </c>
      <c r="O1465" s="9">
        <v>699.0</v>
      </c>
      <c r="P1465" s="8" t="s">
        <v>4183</v>
      </c>
      <c r="Q1465" s="8" t="s">
        <v>10577</v>
      </c>
      <c r="R1465" s="8"/>
    </row>
    <row r="1466">
      <c r="A1466" s="8" t="s">
        <v>1890</v>
      </c>
      <c r="B1466" s="8" t="s">
        <v>10578</v>
      </c>
      <c r="C1466" s="8" t="s">
        <v>10579</v>
      </c>
      <c r="D1466" s="9">
        <v>9.930818619E9</v>
      </c>
      <c r="E1466" s="8" t="s">
        <v>10580</v>
      </c>
      <c r="F1466" s="8" t="s">
        <v>3977</v>
      </c>
      <c r="G1466" s="8" t="s">
        <v>10581</v>
      </c>
      <c r="H1466" s="8" t="s">
        <v>3479</v>
      </c>
      <c r="I1466" s="9">
        <v>0.0</v>
      </c>
      <c r="J1466" s="9">
        <v>1684.0</v>
      </c>
      <c r="K1466" s="9">
        <v>1684.0</v>
      </c>
      <c r="L1466" s="9">
        <v>1684.0</v>
      </c>
      <c r="M1466" s="9">
        <v>505.0</v>
      </c>
      <c r="N1466" s="9">
        <v>730.0</v>
      </c>
      <c r="O1466" s="9">
        <v>449.0</v>
      </c>
      <c r="P1466" s="8" t="s">
        <v>3480</v>
      </c>
      <c r="Q1466" s="8"/>
      <c r="R1466" s="8"/>
    </row>
    <row r="1467">
      <c r="A1467" s="8" t="s">
        <v>1952</v>
      </c>
      <c r="B1467" s="8" t="s">
        <v>10582</v>
      </c>
      <c r="C1467" s="8" t="s">
        <v>10583</v>
      </c>
      <c r="D1467" s="9">
        <v>9.545465165E9</v>
      </c>
      <c r="E1467" s="8" t="s">
        <v>10584</v>
      </c>
      <c r="F1467" s="8" t="s">
        <v>3523</v>
      </c>
      <c r="G1467" s="8" t="s">
        <v>10585</v>
      </c>
      <c r="H1467" s="8" t="s">
        <v>3479</v>
      </c>
      <c r="I1467" s="9">
        <v>0.0</v>
      </c>
      <c r="J1467" s="9">
        <v>3014.0</v>
      </c>
      <c r="K1467" s="9">
        <v>3014.0</v>
      </c>
      <c r="L1467" s="9">
        <v>3014.0</v>
      </c>
      <c r="M1467" s="9">
        <v>1760.0</v>
      </c>
      <c r="N1467" s="9">
        <v>730.0</v>
      </c>
      <c r="O1467" s="9">
        <v>524.0</v>
      </c>
      <c r="P1467" s="8" t="s">
        <v>3480</v>
      </c>
      <c r="Q1467" s="8"/>
      <c r="R1467" s="8" t="s">
        <v>10586</v>
      </c>
    </row>
    <row r="1468">
      <c r="A1468" s="8" t="s">
        <v>987</v>
      </c>
      <c r="B1468" s="8" t="s">
        <v>10587</v>
      </c>
      <c r="C1468" s="8" t="s">
        <v>10588</v>
      </c>
      <c r="D1468" s="9">
        <v>8.149688146E9</v>
      </c>
      <c r="E1468" s="8" t="s">
        <v>10589</v>
      </c>
      <c r="F1468" s="8" t="s">
        <v>5485</v>
      </c>
      <c r="G1468" s="8" t="s">
        <v>10590</v>
      </c>
      <c r="H1468" s="8" t="s">
        <v>3479</v>
      </c>
      <c r="I1468" s="9">
        <v>0.0</v>
      </c>
      <c r="J1468" s="9">
        <v>3992.0</v>
      </c>
      <c r="K1468" s="9">
        <v>3992.0</v>
      </c>
      <c r="L1468" s="9">
        <v>3992.0</v>
      </c>
      <c r="M1468" s="9">
        <v>2053.0</v>
      </c>
      <c r="N1468" s="9">
        <v>965.0</v>
      </c>
      <c r="O1468" s="9">
        <v>974.0</v>
      </c>
      <c r="P1468" s="8" t="s">
        <v>3480</v>
      </c>
      <c r="Q1468" s="8"/>
      <c r="R1468" s="8"/>
    </row>
    <row r="1469">
      <c r="A1469" s="8" t="s">
        <v>1892</v>
      </c>
      <c r="B1469" s="8" t="s">
        <v>10591</v>
      </c>
      <c r="C1469" s="8" t="s">
        <v>8306</v>
      </c>
      <c r="D1469" s="9">
        <v>7.023966782E9</v>
      </c>
      <c r="E1469" s="8" t="s">
        <v>8307</v>
      </c>
      <c r="F1469" s="8" t="s">
        <v>3608</v>
      </c>
      <c r="G1469" s="8" t="s">
        <v>10592</v>
      </c>
      <c r="H1469" s="8" t="s">
        <v>3479</v>
      </c>
      <c r="I1469" s="9">
        <v>0.0</v>
      </c>
      <c r="J1469" s="9">
        <v>729.0</v>
      </c>
      <c r="K1469" s="9">
        <v>729.0</v>
      </c>
      <c r="L1469" s="9">
        <v>729.0</v>
      </c>
      <c r="M1469" s="9">
        <v>200.0</v>
      </c>
      <c r="N1469" s="9">
        <v>80.0</v>
      </c>
      <c r="O1469" s="9">
        <v>449.0</v>
      </c>
      <c r="P1469" s="8" t="s">
        <v>3480</v>
      </c>
      <c r="Q1469" s="8"/>
      <c r="R1469" s="8"/>
    </row>
    <row r="1470">
      <c r="A1470" s="8" t="s">
        <v>1891</v>
      </c>
      <c r="B1470" s="8" t="s">
        <v>10593</v>
      </c>
      <c r="C1470" s="8" t="s">
        <v>10594</v>
      </c>
      <c r="D1470" s="9">
        <v>8.97500308E9</v>
      </c>
      <c r="E1470" s="8" t="s">
        <v>10595</v>
      </c>
      <c r="F1470" s="8" t="s">
        <v>3653</v>
      </c>
      <c r="G1470" s="8" t="s">
        <v>10596</v>
      </c>
      <c r="H1470" s="8" t="s">
        <v>3479</v>
      </c>
      <c r="I1470" s="9">
        <v>0.0</v>
      </c>
      <c r="J1470" s="9">
        <v>2695.0</v>
      </c>
      <c r="K1470" s="9">
        <v>2695.0</v>
      </c>
      <c r="L1470" s="9">
        <v>2695.0</v>
      </c>
      <c r="M1470" s="9">
        <v>2420.0</v>
      </c>
      <c r="N1470" s="9">
        <v>0.0</v>
      </c>
      <c r="O1470" s="9">
        <v>275.0</v>
      </c>
      <c r="P1470" s="8" t="s">
        <v>3480</v>
      </c>
      <c r="Q1470" s="8"/>
      <c r="R1470" s="8"/>
    </row>
    <row r="1471">
      <c r="A1471" s="8" t="s">
        <v>1894</v>
      </c>
      <c r="B1471" s="8" t="s">
        <v>10597</v>
      </c>
      <c r="C1471" s="8" t="s">
        <v>10598</v>
      </c>
      <c r="D1471" s="9">
        <v>9.028423227E9</v>
      </c>
      <c r="E1471" s="8" t="s">
        <v>10599</v>
      </c>
      <c r="F1471" s="8" t="s">
        <v>4333</v>
      </c>
      <c r="G1471" s="8" t="s">
        <v>10600</v>
      </c>
      <c r="H1471" s="8" t="s">
        <v>3479</v>
      </c>
      <c r="I1471" s="9">
        <v>0.0</v>
      </c>
      <c r="J1471" s="9">
        <v>2599.0</v>
      </c>
      <c r="K1471" s="9">
        <v>2599.0</v>
      </c>
      <c r="L1471" s="9">
        <v>2599.0</v>
      </c>
      <c r="M1471" s="9">
        <v>765.0</v>
      </c>
      <c r="N1471" s="9">
        <v>960.0</v>
      </c>
      <c r="O1471" s="9">
        <v>874.0</v>
      </c>
      <c r="P1471" s="8" t="s">
        <v>3480</v>
      </c>
      <c r="Q1471" s="8" t="s">
        <v>10601</v>
      </c>
      <c r="R1471" s="8" t="s">
        <v>10602</v>
      </c>
    </row>
    <row r="1472">
      <c r="A1472" s="8" t="s">
        <v>1895</v>
      </c>
      <c r="B1472" s="8" t="s">
        <v>10603</v>
      </c>
      <c r="C1472" s="8" t="s">
        <v>10604</v>
      </c>
      <c r="D1472" s="9">
        <v>8.975158353E9</v>
      </c>
      <c r="E1472" s="8" t="s">
        <v>10605</v>
      </c>
      <c r="F1472" s="8" t="s">
        <v>4980</v>
      </c>
      <c r="G1472" s="8" t="s">
        <v>10606</v>
      </c>
      <c r="H1472" s="8" t="s">
        <v>3479</v>
      </c>
      <c r="I1472" s="9">
        <v>0.0</v>
      </c>
      <c r="J1472" s="9">
        <v>1100.0</v>
      </c>
      <c r="K1472" s="9">
        <v>1100.0</v>
      </c>
      <c r="L1472" s="9">
        <v>1100.0</v>
      </c>
      <c r="M1472" s="9">
        <v>651.0</v>
      </c>
      <c r="N1472" s="9">
        <v>0.0</v>
      </c>
      <c r="O1472" s="9">
        <v>449.0</v>
      </c>
      <c r="P1472" s="8" t="s">
        <v>3480</v>
      </c>
      <c r="Q1472" s="8" t="s">
        <v>10607</v>
      </c>
      <c r="R1472" s="8" t="s">
        <v>10608</v>
      </c>
    </row>
    <row r="1473">
      <c r="A1473" s="8" t="s">
        <v>1893</v>
      </c>
      <c r="B1473" s="8" t="s">
        <v>10609</v>
      </c>
      <c r="C1473" s="8" t="s">
        <v>10610</v>
      </c>
      <c r="D1473" s="9">
        <v>9.175438352E9</v>
      </c>
      <c r="E1473" s="8" t="s">
        <v>10611</v>
      </c>
      <c r="F1473" s="8" t="s">
        <v>4436</v>
      </c>
      <c r="G1473" s="8" t="s">
        <v>10612</v>
      </c>
      <c r="H1473" s="8" t="s">
        <v>3479</v>
      </c>
      <c r="I1473" s="9">
        <v>0.0</v>
      </c>
      <c r="J1473" s="9">
        <v>4200.0</v>
      </c>
      <c r="K1473" s="9">
        <v>4200.0</v>
      </c>
      <c r="L1473" s="9">
        <v>4200.0</v>
      </c>
      <c r="M1473" s="9">
        <v>2986.0</v>
      </c>
      <c r="N1473" s="9">
        <v>190.0</v>
      </c>
      <c r="O1473" s="9">
        <v>1024.0</v>
      </c>
      <c r="P1473" s="8" t="s">
        <v>3480</v>
      </c>
      <c r="Q1473" s="8" t="s">
        <v>10613</v>
      </c>
      <c r="R1473" s="8" t="s">
        <v>10614</v>
      </c>
    </row>
    <row r="1474">
      <c r="A1474" s="8" t="s">
        <v>1896</v>
      </c>
      <c r="B1474" s="8" t="s">
        <v>10615</v>
      </c>
      <c r="C1474" s="8" t="s">
        <v>10616</v>
      </c>
      <c r="D1474" s="9">
        <v>8.983074359E9</v>
      </c>
      <c r="E1474" s="8" t="s">
        <v>10617</v>
      </c>
      <c r="F1474" s="8" t="s">
        <v>3523</v>
      </c>
      <c r="G1474" s="8" t="s">
        <v>10618</v>
      </c>
      <c r="H1474" s="8" t="s">
        <v>3479</v>
      </c>
      <c r="I1474" s="9">
        <v>0.0</v>
      </c>
      <c r="J1474" s="9">
        <v>1414.0</v>
      </c>
      <c r="K1474" s="9">
        <v>1414.0</v>
      </c>
      <c r="L1474" s="9">
        <v>1414.0</v>
      </c>
      <c r="M1474" s="9">
        <v>160.0</v>
      </c>
      <c r="N1474" s="9">
        <v>730.0</v>
      </c>
      <c r="O1474" s="9">
        <v>524.0</v>
      </c>
      <c r="P1474" s="8" t="s">
        <v>3480</v>
      </c>
      <c r="Q1474" s="8"/>
      <c r="R1474" s="8"/>
    </row>
    <row r="1475">
      <c r="A1475" s="8" t="s">
        <v>1898</v>
      </c>
      <c r="B1475" s="8" t="s">
        <v>10619</v>
      </c>
      <c r="C1475" s="8" t="s">
        <v>10620</v>
      </c>
      <c r="D1475" s="9">
        <v>9.920947929E9</v>
      </c>
      <c r="E1475" s="8" t="s">
        <v>10621</v>
      </c>
      <c r="F1475" s="8" t="s">
        <v>3530</v>
      </c>
      <c r="G1475" s="8" t="s">
        <v>10622</v>
      </c>
      <c r="H1475" s="8" t="s">
        <v>3479</v>
      </c>
      <c r="I1475" s="9">
        <v>0.0</v>
      </c>
      <c r="J1475" s="9">
        <v>2540.0</v>
      </c>
      <c r="K1475" s="9">
        <v>2540.0</v>
      </c>
      <c r="L1475" s="9">
        <v>2540.0</v>
      </c>
      <c r="M1475" s="9">
        <v>666.0</v>
      </c>
      <c r="N1475" s="9">
        <v>900.0</v>
      </c>
      <c r="O1475" s="9">
        <v>974.0</v>
      </c>
      <c r="P1475" s="8" t="s">
        <v>3480</v>
      </c>
      <c r="Q1475" s="8"/>
      <c r="R1475" s="8"/>
    </row>
    <row r="1476">
      <c r="A1476" s="8" t="s">
        <v>1899</v>
      </c>
      <c r="B1476" s="8" t="s">
        <v>10623</v>
      </c>
      <c r="C1476" s="8" t="s">
        <v>5898</v>
      </c>
      <c r="D1476" s="9">
        <v>9.372420714E9</v>
      </c>
      <c r="E1476" s="8" t="s">
        <v>10624</v>
      </c>
      <c r="F1476" s="8" t="s">
        <v>5530</v>
      </c>
      <c r="G1476" s="8" t="s">
        <v>10625</v>
      </c>
      <c r="H1476" s="8" t="s">
        <v>3479</v>
      </c>
      <c r="I1476" s="9">
        <v>0.0</v>
      </c>
      <c r="J1476" s="9">
        <v>1916.0</v>
      </c>
      <c r="K1476" s="9">
        <v>1916.0</v>
      </c>
      <c r="L1476" s="9">
        <v>1916.0</v>
      </c>
      <c r="M1476" s="9">
        <v>418.0</v>
      </c>
      <c r="N1476" s="9">
        <v>774.0</v>
      </c>
      <c r="O1476" s="9">
        <v>724.0</v>
      </c>
      <c r="P1476" s="8" t="s">
        <v>3480</v>
      </c>
      <c r="Q1476" s="8" t="s">
        <v>10626</v>
      </c>
      <c r="R1476" s="8" t="s">
        <v>10627</v>
      </c>
    </row>
    <row r="1477">
      <c r="A1477" s="8" t="s">
        <v>1897</v>
      </c>
      <c r="B1477" s="8" t="s">
        <v>10628</v>
      </c>
      <c r="C1477" s="8" t="s">
        <v>4960</v>
      </c>
      <c r="D1477" s="9">
        <v>9.021486526E9</v>
      </c>
      <c r="E1477" s="8" t="s">
        <v>10629</v>
      </c>
      <c r="F1477" s="8" t="s">
        <v>3523</v>
      </c>
      <c r="G1477" s="8" t="s">
        <v>10630</v>
      </c>
      <c r="H1477" s="8" t="s">
        <v>3479</v>
      </c>
      <c r="I1477" s="9">
        <v>0.0</v>
      </c>
      <c r="J1477" s="9">
        <v>2056.0</v>
      </c>
      <c r="K1477" s="9">
        <v>2056.0</v>
      </c>
      <c r="L1477" s="9">
        <v>2056.0</v>
      </c>
      <c r="M1477" s="9">
        <v>802.0</v>
      </c>
      <c r="N1477" s="9">
        <v>730.0</v>
      </c>
      <c r="O1477" s="9">
        <v>524.0</v>
      </c>
      <c r="P1477" s="8" t="s">
        <v>3480</v>
      </c>
      <c r="Q1477" s="8"/>
      <c r="R1477" s="8"/>
    </row>
    <row r="1478">
      <c r="A1478" s="8" t="s">
        <v>2022</v>
      </c>
      <c r="B1478" s="8" t="s">
        <v>10631</v>
      </c>
      <c r="C1478" s="8" t="s">
        <v>9452</v>
      </c>
      <c r="D1478" s="9">
        <v>8.888845573E9</v>
      </c>
      <c r="E1478" s="8" t="s">
        <v>9453</v>
      </c>
      <c r="F1478" s="8" t="s">
        <v>3608</v>
      </c>
      <c r="G1478" s="8" t="s">
        <v>10632</v>
      </c>
      <c r="H1478" s="8" t="s">
        <v>3479</v>
      </c>
      <c r="I1478" s="9">
        <v>0.0</v>
      </c>
      <c r="J1478" s="9">
        <v>1962.0</v>
      </c>
      <c r="K1478" s="9">
        <v>1962.0</v>
      </c>
      <c r="L1478" s="9">
        <v>1962.0</v>
      </c>
      <c r="M1478" s="9">
        <v>783.0</v>
      </c>
      <c r="N1478" s="9">
        <v>730.0</v>
      </c>
      <c r="O1478" s="9">
        <v>449.0</v>
      </c>
      <c r="P1478" s="8" t="s">
        <v>4183</v>
      </c>
      <c r="Q1478" s="8" t="s">
        <v>9455</v>
      </c>
      <c r="R1478" s="8" t="s">
        <v>9456</v>
      </c>
    </row>
    <row r="1479">
      <c r="A1479" s="8" t="s">
        <v>2053</v>
      </c>
      <c r="B1479" s="8" t="s">
        <v>10633</v>
      </c>
      <c r="C1479" s="8" t="s">
        <v>10634</v>
      </c>
      <c r="D1479" s="9">
        <v>9.624286559E9</v>
      </c>
      <c r="E1479" s="8" t="s">
        <v>10635</v>
      </c>
      <c r="F1479" s="8" t="s">
        <v>5184</v>
      </c>
      <c r="G1479" s="8" t="s">
        <v>10636</v>
      </c>
      <c r="H1479" s="8" t="s">
        <v>3479</v>
      </c>
      <c r="I1479" s="9">
        <v>0.0</v>
      </c>
      <c r="J1479" s="9">
        <v>1434.0</v>
      </c>
      <c r="K1479" s="9">
        <v>1434.0</v>
      </c>
      <c r="L1479" s="9">
        <v>1434.0</v>
      </c>
      <c r="M1479" s="9">
        <v>240.0</v>
      </c>
      <c r="N1479" s="9">
        <v>745.0</v>
      </c>
      <c r="O1479" s="9">
        <v>449.0</v>
      </c>
      <c r="P1479" s="8" t="s">
        <v>3480</v>
      </c>
      <c r="Q1479" s="8" t="s">
        <v>10637</v>
      </c>
      <c r="R1479" s="8" t="s">
        <v>10638</v>
      </c>
    </row>
    <row r="1480">
      <c r="A1480" s="8" t="s">
        <v>1752</v>
      </c>
      <c r="B1480" s="8" t="s">
        <v>10639</v>
      </c>
      <c r="C1480" s="8" t="s">
        <v>10640</v>
      </c>
      <c r="D1480" s="9">
        <v>9.004046463E9</v>
      </c>
      <c r="E1480" s="8" t="s">
        <v>10641</v>
      </c>
      <c r="F1480" s="8" t="s">
        <v>7164</v>
      </c>
      <c r="G1480" s="8" t="s">
        <v>10642</v>
      </c>
      <c r="H1480" s="8" t="s">
        <v>3479</v>
      </c>
      <c r="I1480" s="9">
        <v>0.0</v>
      </c>
      <c r="J1480" s="9">
        <v>2250.0</v>
      </c>
      <c r="K1480" s="9">
        <v>2250.0</v>
      </c>
      <c r="L1480" s="9">
        <v>2250.0</v>
      </c>
      <c r="M1480" s="9">
        <v>2250.0</v>
      </c>
      <c r="N1480" s="9">
        <v>0.0</v>
      </c>
      <c r="O1480" s="9">
        <v>0.0</v>
      </c>
      <c r="P1480" s="8" t="s">
        <v>3480</v>
      </c>
      <c r="Q1480" s="8"/>
      <c r="R1480" s="8"/>
    </row>
    <row r="1481">
      <c r="A1481" s="8" t="s">
        <v>1900</v>
      </c>
      <c r="B1481" s="8" t="s">
        <v>10643</v>
      </c>
      <c r="C1481" s="8" t="s">
        <v>4995</v>
      </c>
      <c r="D1481" s="9">
        <v>9.096270636E9</v>
      </c>
      <c r="E1481" s="8" t="s">
        <v>4996</v>
      </c>
      <c r="F1481" s="8" t="s">
        <v>3908</v>
      </c>
      <c r="G1481" s="8" t="s">
        <v>10644</v>
      </c>
      <c r="H1481" s="8" t="s">
        <v>3479</v>
      </c>
      <c r="I1481" s="9">
        <v>0.0</v>
      </c>
      <c r="J1481" s="9">
        <v>1508.0</v>
      </c>
      <c r="K1481" s="9">
        <v>1508.0</v>
      </c>
      <c r="L1481" s="9">
        <v>1508.0</v>
      </c>
      <c r="M1481" s="9">
        <v>135.0</v>
      </c>
      <c r="N1481" s="9">
        <v>774.0</v>
      </c>
      <c r="O1481" s="9">
        <v>599.0</v>
      </c>
      <c r="P1481" s="8" t="s">
        <v>3480</v>
      </c>
      <c r="Q1481" s="8" t="s">
        <v>4998</v>
      </c>
      <c r="R1481" s="8" t="s">
        <v>4999</v>
      </c>
    </row>
    <row r="1482">
      <c r="A1482" s="8" t="s">
        <v>1901</v>
      </c>
      <c r="B1482" s="8" t="s">
        <v>10645</v>
      </c>
      <c r="C1482" s="8" t="s">
        <v>9008</v>
      </c>
      <c r="D1482" s="9">
        <v>9.834114667E9</v>
      </c>
      <c r="E1482" s="8" t="s">
        <v>9009</v>
      </c>
      <c r="F1482" s="8" t="s">
        <v>3977</v>
      </c>
      <c r="G1482" s="8" t="s">
        <v>10646</v>
      </c>
      <c r="H1482" s="8" t="s">
        <v>3479</v>
      </c>
      <c r="I1482" s="9">
        <v>0.0</v>
      </c>
      <c r="J1482" s="9">
        <v>2747.0</v>
      </c>
      <c r="K1482" s="9">
        <v>2747.0</v>
      </c>
      <c r="L1482" s="9">
        <v>2747.0</v>
      </c>
      <c r="M1482" s="9">
        <v>1568.0</v>
      </c>
      <c r="N1482" s="9">
        <v>730.0</v>
      </c>
      <c r="O1482" s="9">
        <v>449.0</v>
      </c>
      <c r="P1482" s="8" t="s">
        <v>3480</v>
      </c>
      <c r="Q1482" s="8" t="s">
        <v>9011</v>
      </c>
      <c r="R1482" s="8" t="s">
        <v>9012</v>
      </c>
    </row>
    <row r="1483">
      <c r="A1483" s="8" t="s">
        <v>1902</v>
      </c>
      <c r="B1483" s="8" t="s">
        <v>10647</v>
      </c>
      <c r="C1483" s="8" t="s">
        <v>10648</v>
      </c>
      <c r="D1483" s="9">
        <v>7.620249624E9</v>
      </c>
      <c r="E1483" s="8" t="s">
        <v>10649</v>
      </c>
      <c r="F1483" s="8" t="s">
        <v>3550</v>
      </c>
      <c r="G1483" s="8" t="s">
        <v>10650</v>
      </c>
      <c r="H1483" s="8" t="s">
        <v>3479</v>
      </c>
      <c r="I1483" s="9">
        <v>0.0</v>
      </c>
      <c r="J1483" s="9">
        <v>1095.0</v>
      </c>
      <c r="K1483" s="9">
        <v>1095.0</v>
      </c>
      <c r="L1483" s="9">
        <v>1095.0</v>
      </c>
      <c r="M1483" s="9">
        <v>646.0</v>
      </c>
      <c r="N1483" s="9">
        <v>0.0</v>
      </c>
      <c r="O1483" s="9">
        <v>449.0</v>
      </c>
      <c r="P1483" s="8" t="s">
        <v>3480</v>
      </c>
      <c r="Q1483" s="8" t="s">
        <v>10651</v>
      </c>
      <c r="R1483" s="8" t="s">
        <v>10652</v>
      </c>
    </row>
    <row r="1484">
      <c r="A1484" s="8" t="s">
        <v>1753</v>
      </c>
      <c r="B1484" s="8" t="s">
        <v>10653</v>
      </c>
      <c r="C1484" s="8" t="s">
        <v>8064</v>
      </c>
      <c r="D1484" s="9">
        <v>7.709881219E9</v>
      </c>
      <c r="E1484" s="8" t="s">
        <v>8065</v>
      </c>
      <c r="F1484" s="8" t="s">
        <v>3653</v>
      </c>
      <c r="G1484" s="8" t="s">
        <v>10654</v>
      </c>
      <c r="H1484" s="8" t="s">
        <v>3479</v>
      </c>
      <c r="I1484" s="9">
        <v>0.0</v>
      </c>
      <c r="J1484" s="9">
        <v>1302.0</v>
      </c>
      <c r="K1484" s="9">
        <v>1302.0</v>
      </c>
      <c r="L1484" s="9">
        <v>1302.0</v>
      </c>
      <c r="M1484" s="9">
        <v>853.0</v>
      </c>
      <c r="N1484" s="9">
        <v>0.0</v>
      </c>
      <c r="O1484" s="9">
        <v>449.0</v>
      </c>
      <c r="P1484" s="8" t="s">
        <v>3480</v>
      </c>
      <c r="Q1484" s="8" t="s">
        <v>8067</v>
      </c>
      <c r="R1484" s="8" t="s">
        <v>8068</v>
      </c>
    </row>
    <row r="1485">
      <c r="A1485" s="8" t="s">
        <v>1754</v>
      </c>
      <c r="B1485" s="8" t="s">
        <v>10655</v>
      </c>
      <c r="C1485" s="8" t="s">
        <v>10656</v>
      </c>
      <c r="D1485" s="9">
        <v>9.689955229E9</v>
      </c>
      <c r="E1485" s="8" t="s">
        <v>10657</v>
      </c>
      <c r="F1485" s="8" t="s">
        <v>3493</v>
      </c>
      <c r="G1485" s="8" t="s">
        <v>3494</v>
      </c>
      <c r="H1485" s="8" t="s">
        <v>3479</v>
      </c>
      <c r="I1485" s="9">
        <v>0.0</v>
      </c>
      <c r="J1485" s="9">
        <v>2185.0</v>
      </c>
      <c r="K1485" s="9">
        <v>2185.0</v>
      </c>
      <c r="L1485" s="9">
        <v>2185.0</v>
      </c>
      <c r="M1485" s="9">
        <v>661.0</v>
      </c>
      <c r="N1485" s="9">
        <v>775.0</v>
      </c>
      <c r="O1485" s="9">
        <v>749.0</v>
      </c>
      <c r="P1485" s="8" t="s">
        <v>3480</v>
      </c>
      <c r="Q1485" s="8"/>
      <c r="R1485" s="8"/>
    </row>
    <row r="1486">
      <c r="A1486" s="8" t="s">
        <v>1954</v>
      </c>
      <c r="B1486" s="8" t="s">
        <v>10658</v>
      </c>
      <c r="C1486" s="8" t="s">
        <v>5564</v>
      </c>
      <c r="D1486" s="9">
        <v>8.626080389E9</v>
      </c>
      <c r="E1486" s="8" t="s">
        <v>5565</v>
      </c>
      <c r="F1486" s="8" t="s">
        <v>3677</v>
      </c>
      <c r="G1486" s="8" t="s">
        <v>10659</v>
      </c>
      <c r="H1486" s="8" t="s">
        <v>3479</v>
      </c>
      <c r="I1486" s="9">
        <v>0.0</v>
      </c>
      <c r="J1486" s="9">
        <v>799.0</v>
      </c>
      <c r="K1486" s="9">
        <v>799.0</v>
      </c>
      <c r="L1486" s="9">
        <v>799.0</v>
      </c>
      <c r="M1486" s="9">
        <v>55.0</v>
      </c>
      <c r="N1486" s="9">
        <v>584.0</v>
      </c>
      <c r="O1486" s="9">
        <v>160.0</v>
      </c>
      <c r="P1486" s="8" t="s">
        <v>3480</v>
      </c>
      <c r="Q1486" s="8" t="s">
        <v>5567</v>
      </c>
      <c r="R1486" s="8" t="s">
        <v>5568</v>
      </c>
    </row>
    <row r="1487">
      <c r="A1487" s="8" t="s">
        <v>1903</v>
      </c>
      <c r="B1487" s="8" t="s">
        <v>10660</v>
      </c>
      <c r="C1487" s="8" t="s">
        <v>10661</v>
      </c>
      <c r="D1487" s="9">
        <v>9.511214747E9</v>
      </c>
      <c r="E1487" s="8" t="s">
        <v>10662</v>
      </c>
      <c r="F1487" s="8" t="s">
        <v>3901</v>
      </c>
      <c r="G1487" s="8" t="s">
        <v>10663</v>
      </c>
      <c r="H1487" s="8" t="s">
        <v>10664</v>
      </c>
      <c r="I1487" s="9">
        <v>0.0</v>
      </c>
      <c r="J1487" s="9">
        <v>5300.0</v>
      </c>
      <c r="K1487" s="9">
        <v>5331.0</v>
      </c>
      <c r="L1487" s="9">
        <v>5300.0</v>
      </c>
      <c r="M1487" s="9">
        <v>3143.0</v>
      </c>
      <c r="N1487" s="9">
        <v>839.0</v>
      </c>
      <c r="O1487" s="9">
        <v>1349.0</v>
      </c>
      <c r="P1487" s="8" t="s">
        <v>3480</v>
      </c>
      <c r="Q1487" s="8" t="s">
        <v>10665</v>
      </c>
      <c r="R1487" s="8" t="s">
        <v>10666</v>
      </c>
    </row>
    <row r="1488">
      <c r="A1488" s="8" t="s">
        <v>1955</v>
      </c>
      <c r="B1488" s="8" t="s">
        <v>10667</v>
      </c>
      <c r="C1488" s="8" t="s">
        <v>10278</v>
      </c>
      <c r="D1488" s="9">
        <v>8.261957133E9</v>
      </c>
      <c r="E1488" s="8" t="s">
        <v>10279</v>
      </c>
      <c r="F1488" s="8" t="s">
        <v>6206</v>
      </c>
      <c r="G1488" s="8" t="s">
        <v>10668</v>
      </c>
      <c r="H1488" s="8" t="s">
        <v>3479</v>
      </c>
      <c r="I1488" s="9">
        <v>0.0</v>
      </c>
      <c r="J1488" s="9">
        <v>3022.0</v>
      </c>
      <c r="K1488" s="9">
        <v>3022.0</v>
      </c>
      <c r="L1488" s="9">
        <v>3022.0</v>
      </c>
      <c r="M1488" s="9">
        <v>388.0</v>
      </c>
      <c r="N1488" s="9">
        <v>684.0</v>
      </c>
      <c r="O1488" s="9">
        <v>1950.0</v>
      </c>
      <c r="P1488" s="8" t="s">
        <v>3480</v>
      </c>
      <c r="Q1488" s="8"/>
      <c r="R1488" s="8"/>
    </row>
    <row r="1489">
      <c r="A1489" s="8" t="s">
        <v>1956</v>
      </c>
      <c r="B1489" s="8" t="s">
        <v>10669</v>
      </c>
      <c r="C1489" s="8" t="s">
        <v>6191</v>
      </c>
      <c r="D1489" s="9">
        <v>9.518352796E9</v>
      </c>
      <c r="E1489" s="8" t="s">
        <v>6192</v>
      </c>
      <c r="F1489" s="8" t="s">
        <v>4093</v>
      </c>
      <c r="G1489" s="8" t="s">
        <v>10670</v>
      </c>
      <c r="H1489" s="8" t="s">
        <v>3479</v>
      </c>
      <c r="I1489" s="9">
        <v>0.0</v>
      </c>
      <c r="J1489" s="9">
        <v>10539.0</v>
      </c>
      <c r="K1489" s="9">
        <v>10539.0</v>
      </c>
      <c r="L1489" s="9">
        <v>10539.0</v>
      </c>
      <c r="M1489" s="9">
        <v>8449.0</v>
      </c>
      <c r="N1489" s="9">
        <v>841.0</v>
      </c>
      <c r="O1489" s="9">
        <v>1249.0</v>
      </c>
      <c r="P1489" s="8" t="s">
        <v>3544</v>
      </c>
      <c r="Q1489" s="8" t="s">
        <v>6195</v>
      </c>
      <c r="R1489" s="8" t="s">
        <v>6196</v>
      </c>
    </row>
    <row r="1490">
      <c r="A1490" s="8" t="s">
        <v>1755</v>
      </c>
      <c r="B1490" s="8" t="s">
        <v>10671</v>
      </c>
      <c r="C1490" s="8" t="s">
        <v>10672</v>
      </c>
      <c r="D1490" s="9">
        <v>9.42134431E9</v>
      </c>
      <c r="E1490" s="8" t="s">
        <v>10673</v>
      </c>
      <c r="F1490" s="8" t="s">
        <v>6253</v>
      </c>
      <c r="G1490" s="8" t="s">
        <v>10674</v>
      </c>
      <c r="H1490" s="8" t="s">
        <v>3479</v>
      </c>
      <c r="I1490" s="9">
        <v>0.0</v>
      </c>
      <c r="J1490" s="9">
        <v>1387.0</v>
      </c>
      <c r="K1490" s="9">
        <v>1387.0</v>
      </c>
      <c r="L1490" s="9">
        <v>1387.0</v>
      </c>
      <c r="M1490" s="9">
        <v>163.0</v>
      </c>
      <c r="N1490" s="9">
        <v>775.0</v>
      </c>
      <c r="O1490" s="9">
        <v>449.0</v>
      </c>
      <c r="P1490" s="8" t="s">
        <v>3480</v>
      </c>
      <c r="Q1490" s="8"/>
      <c r="R1490" s="8"/>
    </row>
    <row r="1491">
      <c r="A1491" s="8" t="s">
        <v>1953</v>
      </c>
      <c r="B1491" s="8" t="s">
        <v>10675</v>
      </c>
      <c r="C1491" s="8" t="s">
        <v>10676</v>
      </c>
      <c r="D1491" s="9">
        <v>9.76536188E9</v>
      </c>
      <c r="E1491" s="8" t="s">
        <v>10677</v>
      </c>
      <c r="F1491" s="8" t="s">
        <v>3908</v>
      </c>
      <c r="G1491" s="8" t="s">
        <v>4036</v>
      </c>
      <c r="H1491" s="8" t="s">
        <v>3479</v>
      </c>
      <c r="I1491" s="9">
        <v>0.0</v>
      </c>
      <c r="J1491" s="9">
        <v>389.0</v>
      </c>
      <c r="K1491" s="9">
        <v>389.0</v>
      </c>
      <c r="L1491" s="9">
        <v>389.0</v>
      </c>
      <c r="M1491" s="9">
        <v>314.0</v>
      </c>
      <c r="N1491" s="9">
        <v>0.0</v>
      </c>
      <c r="O1491" s="9">
        <v>75.0</v>
      </c>
      <c r="P1491" s="8" t="s">
        <v>3480</v>
      </c>
      <c r="Q1491" s="8" t="s">
        <v>10678</v>
      </c>
      <c r="R1491" s="8" t="s">
        <v>10679</v>
      </c>
    </row>
    <row r="1492">
      <c r="A1492" s="8" t="s">
        <v>1759</v>
      </c>
      <c r="B1492" s="8" t="s">
        <v>10680</v>
      </c>
      <c r="C1492" s="8" t="s">
        <v>10681</v>
      </c>
      <c r="D1492" s="9">
        <v>8.390703341E9</v>
      </c>
      <c r="E1492" s="8" t="s">
        <v>10682</v>
      </c>
      <c r="F1492" s="8" t="s">
        <v>7382</v>
      </c>
      <c r="G1492" s="8" t="s">
        <v>10683</v>
      </c>
      <c r="H1492" s="8" t="s">
        <v>3479</v>
      </c>
      <c r="I1492" s="9">
        <v>0.0</v>
      </c>
      <c r="J1492" s="9">
        <v>539.0</v>
      </c>
      <c r="K1492" s="9">
        <v>539.0</v>
      </c>
      <c r="L1492" s="9">
        <v>539.0</v>
      </c>
      <c r="M1492" s="9">
        <v>90.0</v>
      </c>
      <c r="N1492" s="9">
        <v>0.0</v>
      </c>
      <c r="O1492" s="9">
        <v>449.0</v>
      </c>
      <c r="P1492" s="8" t="s">
        <v>3480</v>
      </c>
      <c r="Q1492" s="8"/>
      <c r="R1492" s="8"/>
    </row>
    <row r="1493">
      <c r="A1493" s="8" t="s">
        <v>1888</v>
      </c>
      <c r="B1493" s="8" t="s">
        <v>10684</v>
      </c>
      <c r="C1493" s="8" t="s">
        <v>10685</v>
      </c>
      <c r="D1493" s="9">
        <v>8.793489037E9</v>
      </c>
      <c r="E1493" s="8" t="s">
        <v>10686</v>
      </c>
      <c r="F1493" s="8" t="s">
        <v>3821</v>
      </c>
      <c r="G1493" s="8" t="s">
        <v>10687</v>
      </c>
      <c r="H1493" s="8" t="s">
        <v>3479</v>
      </c>
      <c r="I1493" s="9">
        <v>0.0</v>
      </c>
      <c r="J1493" s="9">
        <v>1414.0</v>
      </c>
      <c r="K1493" s="9">
        <v>1414.0</v>
      </c>
      <c r="L1493" s="9">
        <v>1414.0</v>
      </c>
      <c r="M1493" s="9">
        <v>160.0</v>
      </c>
      <c r="N1493" s="9">
        <v>730.0</v>
      </c>
      <c r="O1493" s="9">
        <v>524.0</v>
      </c>
      <c r="P1493" s="8" t="s">
        <v>3480</v>
      </c>
      <c r="Q1493" s="8" t="s">
        <v>10688</v>
      </c>
      <c r="R1493" s="8"/>
    </row>
    <row r="1494">
      <c r="A1494" s="8" t="s">
        <v>1904</v>
      </c>
      <c r="B1494" s="8" t="s">
        <v>10689</v>
      </c>
      <c r="C1494" s="8" t="s">
        <v>8682</v>
      </c>
      <c r="D1494" s="9">
        <v>9.405208321E9</v>
      </c>
      <c r="E1494" s="8" t="s">
        <v>8683</v>
      </c>
      <c r="F1494" s="8" t="s">
        <v>3908</v>
      </c>
      <c r="G1494" s="8" t="s">
        <v>10690</v>
      </c>
      <c r="H1494" s="8" t="s">
        <v>3479</v>
      </c>
      <c r="I1494" s="9">
        <v>0.0</v>
      </c>
      <c r="J1494" s="9">
        <v>1573.0</v>
      </c>
      <c r="K1494" s="9">
        <v>1573.0</v>
      </c>
      <c r="L1494" s="9">
        <v>1573.0</v>
      </c>
      <c r="M1494" s="9">
        <v>135.0</v>
      </c>
      <c r="N1494" s="9">
        <v>839.0</v>
      </c>
      <c r="O1494" s="9">
        <v>599.0</v>
      </c>
      <c r="P1494" s="8" t="s">
        <v>3480</v>
      </c>
      <c r="Q1494" s="8"/>
      <c r="R1494" s="8"/>
    </row>
    <row r="1495">
      <c r="A1495" s="8" t="s">
        <v>1756</v>
      </c>
      <c r="B1495" s="8" t="s">
        <v>10691</v>
      </c>
      <c r="C1495" s="8" t="s">
        <v>5416</v>
      </c>
      <c r="D1495" s="9">
        <v>9.595737922E9</v>
      </c>
      <c r="E1495" s="8" t="s">
        <v>5417</v>
      </c>
      <c r="F1495" s="8" t="s">
        <v>3954</v>
      </c>
      <c r="G1495" s="8" t="s">
        <v>3829</v>
      </c>
      <c r="H1495" s="8" t="s">
        <v>3479</v>
      </c>
      <c r="I1495" s="9">
        <v>0.0</v>
      </c>
      <c r="J1495" s="9">
        <v>1764.0</v>
      </c>
      <c r="K1495" s="9">
        <v>1764.0</v>
      </c>
      <c r="L1495" s="9">
        <v>1764.0</v>
      </c>
      <c r="M1495" s="9">
        <v>440.0</v>
      </c>
      <c r="N1495" s="9">
        <v>775.0</v>
      </c>
      <c r="O1495" s="9">
        <v>549.0</v>
      </c>
      <c r="P1495" s="8" t="s">
        <v>3480</v>
      </c>
      <c r="Q1495" s="8"/>
      <c r="R1495" s="8"/>
    </row>
    <row r="1496">
      <c r="A1496" s="8" t="s">
        <v>1905</v>
      </c>
      <c r="B1496" s="8" t="s">
        <v>10692</v>
      </c>
      <c r="C1496" s="8" t="s">
        <v>10693</v>
      </c>
      <c r="D1496" s="9">
        <v>9.83434242E9</v>
      </c>
      <c r="E1496" s="8" t="s">
        <v>10694</v>
      </c>
      <c r="F1496" s="8" t="s">
        <v>4805</v>
      </c>
      <c r="G1496" s="8" t="s">
        <v>10695</v>
      </c>
      <c r="H1496" s="8" t="s">
        <v>3479</v>
      </c>
      <c r="I1496" s="9">
        <v>0.0</v>
      </c>
      <c r="J1496" s="9">
        <v>1699.0</v>
      </c>
      <c r="K1496" s="9">
        <v>1699.0</v>
      </c>
      <c r="L1496" s="9">
        <v>1699.0</v>
      </c>
      <c r="M1496" s="9">
        <v>476.0</v>
      </c>
      <c r="N1496" s="9">
        <v>774.0</v>
      </c>
      <c r="O1496" s="9">
        <v>449.0</v>
      </c>
      <c r="P1496" s="8" t="s">
        <v>3480</v>
      </c>
      <c r="Q1496" s="8"/>
      <c r="R1496" s="8"/>
    </row>
    <row r="1497">
      <c r="A1497" s="8" t="s">
        <v>2064</v>
      </c>
      <c r="B1497" s="8" t="s">
        <v>10696</v>
      </c>
      <c r="C1497" s="8" t="s">
        <v>10697</v>
      </c>
      <c r="D1497" s="9">
        <v>9.552553506E9</v>
      </c>
      <c r="E1497" s="8" t="s">
        <v>10698</v>
      </c>
      <c r="F1497" s="8" t="s">
        <v>3550</v>
      </c>
      <c r="G1497" s="8" t="s">
        <v>10699</v>
      </c>
      <c r="H1497" s="8" t="s">
        <v>3479</v>
      </c>
      <c r="I1497" s="9">
        <v>0.0</v>
      </c>
      <c r="J1497" s="9">
        <v>5147.0</v>
      </c>
      <c r="K1497" s="9">
        <v>5147.0</v>
      </c>
      <c r="L1497" s="9">
        <v>5147.0</v>
      </c>
      <c r="M1497" s="9">
        <v>4457.0</v>
      </c>
      <c r="N1497" s="9">
        <v>0.0</v>
      </c>
      <c r="O1497" s="9">
        <v>690.0</v>
      </c>
      <c r="P1497" s="8" t="s">
        <v>3480</v>
      </c>
      <c r="Q1497" s="8"/>
      <c r="R1497" s="8"/>
    </row>
    <row r="1498">
      <c r="A1498" s="8" t="s">
        <v>1906</v>
      </c>
      <c r="B1498" s="8" t="s">
        <v>10700</v>
      </c>
      <c r="C1498" s="8" t="s">
        <v>10701</v>
      </c>
      <c r="D1498" s="9">
        <v>8.550970317E9</v>
      </c>
      <c r="E1498" s="8" t="s">
        <v>10702</v>
      </c>
      <c r="F1498" s="8" t="s">
        <v>3934</v>
      </c>
      <c r="G1498" s="8" t="s">
        <v>10703</v>
      </c>
      <c r="H1498" s="8" t="s">
        <v>3479</v>
      </c>
      <c r="I1498" s="9">
        <v>0.0</v>
      </c>
      <c r="J1498" s="9">
        <v>4945.0</v>
      </c>
      <c r="K1498" s="9">
        <v>4945.0</v>
      </c>
      <c r="L1498" s="9">
        <v>4945.0</v>
      </c>
      <c r="M1498" s="9">
        <v>4095.0</v>
      </c>
      <c r="N1498" s="9">
        <v>0.0</v>
      </c>
      <c r="O1498" s="9">
        <v>850.0</v>
      </c>
      <c r="P1498" s="8" t="s">
        <v>3480</v>
      </c>
      <c r="Q1498" s="8"/>
      <c r="R1498" s="8"/>
    </row>
    <row r="1499">
      <c r="A1499" s="8" t="s">
        <v>1907</v>
      </c>
      <c r="B1499" s="8" t="s">
        <v>10704</v>
      </c>
      <c r="C1499" s="8" t="s">
        <v>10705</v>
      </c>
      <c r="D1499" s="9">
        <v>8.552986201E9</v>
      </c>
      <c r="E1499" s="8" t="s">
        <v>10706</v>
      </c>
      <c r="F1499" s="8" t="s">
        <v>3721</v>
      </c>
      <c r="G1499" s="8" t="s">
        <v>10707</v>
      </c>
      <c r="H1499" s="8" t="s">
        <v>3479</v>
      </c>
      <c r="I1499" s="9">
        <v>0.0</v>
      </c>
      <c r="J1499" s="9">
        <v>1957.0</v>
      </c>
      <c r="K1499" s="9">
        <v>1957.0</v>
      </c>
      <c r="L1499" s="9">
        <v>1957.0</v>
      </c>
      <c r="M1499" s="9">
        <v>827.0</v>
      </c>
      <c r="N1499" s="9">
        <v>0.0</v>
      </c>
      <c r="O1499" s="9">
        <v>1130.0</v>
      </c>
      <c r="P1499" s="8" t="s">
        <v>3480</v>
      </c>
      <c r="Q1499" s="8"/>
      <c r="R1499" s="8"/>
    </row>
    <row r="1500">
      <c r="A1500" s="8" t="s">
        <v>1757</v>
      </c>
      <c r="B1500" s="8" t="s">
        <v>10708</v>
      </c>
      <c r="C1500" s="8" t="s">
        <v>5320</v>
      </c>
      <c r="D1500" s="9">
        <v>7.709316518E9</v>
      </c>
      <c r="E1500" s="8" t="s">
        <v>5321</v>
      </c>
      <c r="F1500" s="8" t="s">
        <v>4373</v>
      </c>
      <c r="G1500" s="8" t="s">
        <v>10709</v>
      </c>
      <c r="H1500" s="8" t="s">
        <v>3479</v>
      </c>
      <c r="I1500" s="9">
        <v>0.0</v>
      </c>
      <c r="J1500" s="9">
        <v>2714.0</v>
      </c>
      <c r="K1500" s="9">
        <v>2714.0</v>
      </c>
      <c r="L1500" s="9">
        <v>2714.0</v>
      </c>
      <c r="M1500" s="9">
        <v>965.0</v>
      </c>
      <c r="N1500" s="9">
        <v>775.0</v>
      </c>
      <c r="O1500" s="9">
        <v>974.0</v>
      </c>
      <c r="P1500" s="8" t="s">
        <v>3480</v>
      </c>
      <c r="Q1500" s="8" t="s">
        <v>5323</v>
      </c>
      <c r="R1500" s="8" t="s">
        <v>4363</v>
      </c>
    </row>
    <row r="1501">
      <c r="A1501" s="8" t="s">
        <v>1957</v>
      </c>
      <c r="B1501" s="8" t="s">
        <v>10710</v>
      </c>
      <c r="C1501" s="8" t="s">
        <v>10711</v>
      </c>
      <c r="D1501" s="9">
        <v>9.890921262E9</v>
      </c>
      <c r="E1501" s="8" t="s">
        <v>10712</v>
      </c>
      <c r="F1501" s="8" t="s">
        <v>4715</v>
      </c>
      <c r="G1501" s="8" t="s">
        <v>10713</v>
      </c>
      <c r="H1501" s="8" t="s">
        <v>3479</v>
      </c>
      <c r="I1501" s="9">
        <v>0.0</v>
      </c>
      <c r="J1501" s="9">
        <v>4009.0</v>
      </c>
      <c r="K1501" s="9">
        <v>4009.0</v>
      </c>
      <c r="L1501" s="9">
        <v>4009.0</v>
      </c>
      <c r="M1501" s="9">
        <v>2815.0</v>
      </c>
      <c r="N1501" s="9">
        <v>190.0</v>
      </c>
      <c r="O1501" s="9">
        <v>1004.0</v>
      </c>
      <c r="P1501" s="8" t="s">
        <v>4183</v>
      </c>
      <c r="Q1501" s="8" t="s">
        <v>10714</v>
      </c>
      <c r="R1501" s="8" t="s">
        <v>4718</v>
      </c>
    </row>
    <row r="1502">
      <c r="A1502" s="8" t="s">
        <v>1758</v>
      </c>
      <c r="B1502" s="8" t="s">
        <v>10715</v>
      </c>
      <c r="C1502" s="8" t="s">
        <v>3919</v>
      </c>
      <c r="D1502" s="9">
        <v>8.208424628E9</v>
      </c>
      <c r="E1502" s="8" t="s">
        <v>3920</v>
      </c>
      <c r="F1502" s="8" t="s">
        <v>3921</v>
      </c>
      <c r="G1502" s="8" t="s">
        <v>10716</v>
      </c>
      <c r="H1502" s="8" t="s">
        <v>3479</v>
      </c>
      <c r="I1502" s="9">
        <v>0.0</v>
      </c>
      <c r="J1502" s="9">
        <v>1917.0</v>
      </c>
      <c r="K1502" s="9">
        <v>1917.0</v>
      </c>
      <c r="L1502" s="9">
        <v>1917.0</v>
      </c>
      <c r="M1502" s="9">
        <v>693.0</v>
      </c>
      <c r="N1502" s="9">
        <v>775.0</v>
      </c>
      <c r="O1502" s="9">
        <v>449.0</v>
      </c>
      <c r="P1502" s="8" t="s">
        <v>3480</v>
      </c>
      <c r="Q1502" s="8" t="s">
        <v>3923</v>
      </c>
      <c r="R1502" s="8" t="s">
        <v>3924</v>
      </c>
    </row>
    <row r="1503">
      <c r="A1503" s="8" t="s">
        <v>1930</v>
      </c>
      <c r="B1503" s="8" t="s">
        <v>10717</v>
      </c>
      <c r="C1503" s="8" t="s">
        <v>10718</v>
      </c>
      <c r="D1503" s="9">
        <v>9.665106727E9</v>
      </c>
      <c r="E1503" s="8" t="s">
        <v>10719</v>
      </c>
      <c r="F1503" s="8" t="s">
        <v>5301</v>
      </c>
      <c r="G1503" s="8" t="s">
        <v>10720</v>
      </c>
      <c r="H1503" s="8" t="s">
        <v>9017</v>
      </c>
      <c r="I1503" s="9">
        <v>0.0</v>
      </c>
      <c r="J1503" s="9">
        <v>1300.0</v>
      </c>
      <c r="K1503" s="9">
        <v>1329.0</v>
      </c>
      <c r="L1503" s="9">
        <v>1300.0</v>
      </c>
      <c r="M1503" s="9">
        <v>390.0</v>
      </c>
      <c r="N1503" s="9">
        <v>190.0</v>
      </c>
      <c r="O1503" s="9">
        <v>749.0</v>
      </c>
      <c r="P1503" s="8" t="s">
        <v>3480</v>
      </c>
      <c r="Q1503" s="8" t="s">
        <v>10721</v>
      </c>
      <c r="R1503" s="8" t="s">
        <v>10722</v>
      </c>
    </row>
    <row r="1504">
      <c r="A1504" s="8" t="s">
        <v>1932</v>
      </c>
      <c r="B1504" s="8" t="s">
        <v>10723</v>
      </c>
      <c r="C1504" s="8" t="s">
        <v>10724</v>
      </c>
      <c r="D1504" s="9">
        <v>7.083491791E9</v>
      </c>
      <c r="E1504" s="8" t="s">
        <v>10725</v>
      </c>
      <c r="F1504" s="8" t="s">
        <v>10064</v>
      </c>
      <c r="G1504" s="8" t="s">
        <v>10726</v>
      </c>
      <c r="H1504" s="8" t="s">
        <v>3479</v>
      </c>
      <c r="I1504" s="9">
        <v>0.0</v>
      </c>
      <c r="J1504" s="9">
        <v>3775.0</v>
      </c>
      <c r="K1504" s="9">
        <v>3775.0</v>
      </c>
      <c r="L1504" s="9">
        <v>3775.0</v>
      </c>
      <c r="M1504" s="9">
        <v>3450.0</v>
      </c>
      <c r="N1504" s="9">
        <v>0.0</v>
      </c>
      <c r="O1504" s="9">
        <v>325.0</v>
      </c>
      <c r="P1504" s="8" t="s">
        <v>3519</v>
      </c>
      <c r="Q1504" s="8" t="s">
        <v>10727</v>
      </c>
      <c r="R1504" s="8" t="s">
        <v>10728</v>
      </c>
    </row>
    <row r="1505">
      <c r="A1505" s="8" t="s">
        <v>1931</v>
      </c>
      <c r="B1505" s="8" t="s">
        <v>10729</v>
      </c>
      <c r="C1505" s="8" t="s">
        <v>10730</v>
      </c>
      <c r="D1505" s="9">
        <v>9.767009749E9</v>
      </c>
      <c r="E1505" s="8" t="s">
        <v>10731</v>
      </c>
      <c r="F1505" s="8" t="s">
        <v>3589</v>
      </c>
      <c r="G1505" s="8" t="s">
        <v>10732</v>
      </c>
      <c r="H1505" s="8" t="s">
        <v>3479</v>
      </c>
      <c r="I1505" s="9">
        <v>0.0</v>
      </c>
      <c r="J1505" s="9">
        <v>1488.0</v>
      </c>
      <c r="K1505" s="9">
        <v>1488.0</v>
      </c>
      <c r="L1505" s="9">
        <v>1488.0</v>
      </c>
      <c r="M1505" s="9">
        <v>225.0</v>
      </c>
      <c r="N1505" s="9">
        <v>739.0</v>
      </c>
      <c r="O1505" s="9">
        <v>524.0</v>
      </c>
      <c r="P1505" s="8" t="s">
        <v>3480</v>
      </c>
      <c r="Q1505" s="8" t="s">
        <v>10733</v>
      </c>
      <c r="R1505" s="8" t="s">
        <v>10734</v>
      </c>
    </row>
    <row r="1506">
      <c r="A1506" s="8" t="s">
        <v>1933</v>
      </c>
      <c r="B1506" s="8" t="s">
        <v>10735</v>
      </c>
      <c r="C1506" s="8" t="s">
        <v>10736</v>
      </c>
      <c r="D1506" s="9">
        <v>9.881150027E9</v>
      </c>
      <c r="E1506" s="8" t="s">
        <v>10737</v>
      </c>
      <c r="F1506" s="8" t="s">
        <v>10738</v>
      </c>
      <c r="G1506" s="8" t="s">
        <v>10739</v>
      </c>
      <c r="H1506" s="8" t="s">
        <v>6934</v>
      </c>
      <c r="I1506" s="9">
        <v>0.0</v>
      </c>
      <c r="J1506" s="9">
        <v>1500.0</v>
      </c>
      <c r="K1506" s="9">
        <v>1576.0</v>
      </c>
      <c r="L1506" s="9">
        <v>1500.0</v>
      </c>
      <c r="M1506" s="9">
        <v>313.0</v>
      </c>
      <c r="N1506" s="9">
        <v>739.0</v>
      </c>
      <c r="O1506" s="9">
        <v>524.0</v>
      </c>
      <c r="P1506" s="8" t="s">
        <v>3480</v>
      </c>
      <c r="Q1506" s="8" t="s">
        <v>10740</v>
      </c>
      <c r="R1506" s="8"/>
    </row>
    <row r="1507">
      <c r="A1507" s="8" t="s">
        <v>2099</v>
      </c>
      <c r="B1507" s="8" t="s">
        <v>10741</v>
      </c>
      <c r="C1507" s="8" t="s">
        <v>9878</v>
      </c>
      <c r="D1507" s="9">
        <v>9.960983212E9</v>
      </c>
      <c r="E1507" s="8" t="s">
        <v>10742</v>
      </c>
      <c r="F1507" s="8" t="s">
        <v>10743</v>
      </c>
      <c r="G1507" s="8" t="s">
        <v>10744</v>
      </c>
      <c r="H1507" s="8" t="s">
        <v>3479</v>
      </c>
      <c r="I1507" s="9">
        <v>0.0</v>
      </c>
      <c r="J1507" s="9">
        <v>1713.0</v>
      </c>
      <c r="K1507" s="9">
        <v>1713.0</v>
      </c>
      <c r="L1507" s="9">
        <v>1713.0</v>
      </c>
      <c r="M1507" s="9">
        <v>434.0</v>
      </c>
      <c r="N1507" s="9">
        <v>830.0</v>
      </c>
      <c r="O1507" s="9">
        <v>449.0</v>
      </c>
      <c r="P1507" s="8" t="s">
        <v>3480</v>
      </c>
      <c r="Q1507" s="8" t="s">
        <v>10745</v>
      </c>
      <c r="R1507" s="8" t="s">
        <v>10746</v>
      </c>
    </row>
    <row r="1508">
      <c r="A1508" s="8" t="s">
        <v>1761</v>
      </c>
      <c r="B1508" s="8" t="s">
        <v>10747</v>
      </c>
      <c r="C1508" s="8" t="s">
        <v>10748</v>
      </c>
      <c r="D1508" s="9">
        <v>9.923734089E9</v>
      </c>
      <c r="E1508" s="8" t="s">
        <v>10749</v>
      </c>
      <c r="F1508" s="8" t="s">
        <v>3589</v>
      </c>
      <c r="G1508" s="8" t="s">
        <v>10750</v>
      </c>
      <c r="H1508" s="8" t="s">
        <v>3479</v>
      </c>
      <c r="I1508" s="9">
        <v>0.0</v>
      </c>
      <c r="J1508" s="9">
        <v>2166.0</v>
      </c>
      <c r="K1508" s="9">
        <v>2166.0</v>
      </c>
      <c r="L1508" s="9">
        <v>2166.0</v>
      </c>
      <c r="M1508" s="9">
        <v>803.0</v>
      </c>
      <c r="N1508" s="9">
        <v>739.0</v>
      </c>
      <c r="O1508" s="9">
        <v>624.0</v>
      </c>
      <c r="P1508" s="8" t="s">
        <v>3544</v>
      </c>
      <c r="Q1508" s="8" t="s">
        <v>10751</v>
      </c>
      <c r="R1508" s="8" t="s">
        <v>10752</v>
      </c>
    </row>
    <row r="1509">
      <c r="A1509" s="8" t="s">
        <v>1762</v>
      </c>
      <c r="B1509" s="8" t="s">
        <v>10753</v>
      </c>
      <c r="C1509" s="8" t="s">
        <v>10754</v>
      </c>
      <c r="D1509" s="9">
        <v>9.730490996E9</v>
      </c>
      <c r="E1509" s="8" t="s">
        <v>10755</v>
      </c>
      <c r="F1509" s="8" t="s">
        <v>3486</v>
      </c>
      <c r="G1509" s="8" t="s">
        <v>10756</v>
      </c>
      <c r="H1509" s="8" t="s">
        <v>3479</v>
      </c>
      <c r="I1509" s="9">
        <v>0.0</v>
      </c>
      <c r="J1509" s="9">
        <v>1796.0</v>
      </c>
      <c r="K1509" s="9">
        <v>1796.0</v>
      </c>
      <c r="L1509" s="9">
        <v>1796.0</v>
      </c>
      <c r="M1509" s="9">
        <v>608.0</v>
      </c>
      <c r="N1509" s="9">
        <v>739.0</v>
      </c>
      <c r="O1509" s="9">
        <v>449.0</v>
      </c>
      <c r="P1509" s="8" t="s">
        <v>3480</v>
      </c>
      <c r="Q1509" s="8" t="s">
        <v>10757</v>
      </c>
      <c r="R1509" s="8" t="s">
        <v>10758</v>
      </c>
    </row>
    <row r="1510">
      <c r="A1510" s="8" t="s">
        <v>1763</v>
      </c>
      <c r="B1510" s="8" t="s">
        <v>10759</v>
      </c>
      <c r="C1510" s="8" t="s">
        <v>10760</v>
      </c>
      <c r="D1510" s="9">
        <v>8.956483284E9</v>
      </c>
      <c r="E1510" s="8" t="s">
        <v>10761</v>
      </c>
      <c r="F1510" s="8" t="s">
        <v>3486</v>
      </c>
      <c r="G1510" s="8" t="s">
        <v>10762</v>
      </c>
      <c r="H1510" s="8" t="s">
        <v>3479</v>
      </c>
      <c r="I1510" s="9">
        <v>0.0</v>
      </c>
      <c r="J1510" s="9">
        <v>1658.0</v>
      </c>
      <c r="K1510" s="9">
        <v>1658.0</v>
      </c>
      <c r="L1510" s="9">
        <v>1658.0</v>
      </c>
      <c r="M1510" s="9">
        <v>470.0</v>
      </c>
      <c r="N1510" s="9">
        <v>739.0</v>
      </c>
      <c r="O1510" s="9">
        <v>449.0</v>
      </c>
      <c r="P1510" s="8" t="s">
        <v>3480</v>
      </c>
      <c r="Q1510" s="8" t="s">
        <v>10763</v>
      </c>
      <c r="R1510" s="8" t="s">
        <v>10764</v>
      </c>
    </row>
    <row r="1511">
      <c r="A1511" s="8" t="s">
        <v>2081</v>
      </c>
      <c r="B1511" s="8" t="s">
        <v>10765</v>
      </c>
      <c r="C1511" s="8" t="s">
        <v>10766</v>
      </c>
      <c r="D1511" s="9">
        <v>8.308747078E9</v>
      </c>
      <c r="E1511" s="8" t="s">
        <v>10767</v>
      </c>
      <c r="F1511" s="8" t="s">
        <v>3601</v>
      </c>
      <c r="G1511" s="8" t="s">
        <v>9865</v>
      </c>
      <c r="H1511" s="8" t="s">
        <v>3479</v>
      </c>
      <c r="I1511" s="9">
        <v>0.0</v>
      </c>
      <c r="J1511" s="9">
        <v>1905.0</v>
      </c>
      <c r="K1511" s="9">
        <v>1905.0</v>
      </c>
      <c r="L1511" s="9">
        <v>1905.0</v>
      </c>
      <c r="M1511" s="9">
        <v>717.0</v>
      </c>
      <c r="N1511" s="9">
        <v>739.0</v>
      </c>
      <c r="O1511" s="9">
        <v>449.0</v>
      </c>
      <c r="P1511" s="8" t="s">
        <v>3480</v>
      </c>
      <c r="Q1511" s="8"/>
      <c r="R1511" s="8"/>
    </row>
    <row r="1512">
      <c r="A1512" s="8" t="s">
        <v>1760</v>
      </c>
      <c r="B1512" s="8" t="s">
        <v>10768</v>
      </c>
      <c r="C1512" s="8" t="s">
        <v>8113</v>
      </c>
      <c r="D1512" s="9">
        <v>8.446092999E9</v>
      </c>
      <c r="E1512" s="8" t="s">
        <v>8114</v>
      </c>
      <c r="F1512" s="8" t="s">
        <v>5301</v>
      </c>
      <c r="G1512" s="8" t="s">
        <v>10769</v>
      </c>
      <c r="H1512" s="8" t="s">
        <v>3479</v>
      </c>
      <c r="I1512" s="9">
        <v>0.0</v>
      </c>
      <c r="J1512" s="9">
        <v>1304.0</v>
      </c>
      <c r="K1512" s="9">
        <v>1304.0</v>
      </c>
      <c r="L1512" s="9">
        <v>1304.0</v>
      </c>
      <c r="M1512" s="9">
        <v>80.0</v>
      </c>
      <c r="N1512" s="9">
        <v>775.0</v>
      </c>
      <c r="O1512" s="9">
        <v>449.0</v>
      </c>
      <c r="P1512" s="8" t="s">
        <v>3480</v>
      </c>
      <c r="Q1512" s="8" t="s">
        <v>8116</v>
      </c>
      <c r="R1512" s="8"/>
    </row>
    <row r="1513">
      <c r="A1513" s="8" t="s">
        <v>1934</v>
      </c>
      <c r="B1513" s="8" t="s">
        <v>10770</v>
      </c>
      <c r="C1513" s="8" t="s">
        <v>9831</v>
      </c>
      <c r="D1513" s="9">
        <v>8.626061848E9</v>
      </c>
      <c r="E1513" s="8" t="s">
        <v>9832</v>
      </c>
      <c r="F1513" s="8" t="s">
        <v>3869</v>
      </c>
      <c r="G1513" s="8" t="s">
        <v>10771</v>
      </c>
      <c r="H1513" s="8" t="s">
        <v>3479</v>
      </c>
      <c r="I1513" s="9">
        <v>0.0</v>
      </c>
      <c r="J1513" s="9">
        <v>1313.0</v>
      </c>
      <c r="K1513" s="9">
        <v>1313.0</v>
      </c>
      <c r="L1513" s="9">
        <v>1313.0</v>
      </c>
      <c r="M1513" s="9">
        <v>80.0</v>
      </c>
      <c r="N1513" s="9">
        <v>784.0</v>
      </c>
      <c r="O1513" s="9">
        <v>449.0</v>
      </c>
      <c r="P1513" s="8" t="s">
        <v>3480</v>
      </c>
      <c r="Q1513" s="8" t="s">
        <v>9834</v>
      </c>
      <c r="R1513" s="8" t="s">
        <v>9835</v>
      </c>
    </row>
    <row r="1514">
      <c r="A1514" s="8" t="s">
        <v>1935</v>
      </c>
      <c r="B1514" s="8" t="s">
        <v>10772</v>
      </c>
      <c r="C1514" s="8" t="s">
        <v>6949</v>
      </c>
      <c r="D1514" s="9">
        <v>8.600991151E9</v>
      </c>
      <c r="E1514" s="8" t="s">
        <v>6950</v>
      </c>
      <c r="F1514" s="8" t="s">
        <v>3523</v>
      </c>
      <c r="G1514" s="8" t="s">
        <v>6951</v>
      </c>
      <c r="H1514" s="8" t="s">
        <v>3479</v>
      </c>
      <c r="I1514" s="9">
        <v>0.0</v>
      </c>
      <c r="J1514" s="9">
        <v>1636.0</v>
      </c>
      <c r="K1514" s="9">
        <v>1636.0</v>
      </c>
      <c r="L1514" s="9">
        <v>1636.0</v>
      </c>
      <c r="M1514" s="9">
        <v>1636.0</v>
      </c>
      <c r="N1514" s="9">
        <v>0.0</v>
      </c>
      <c r="O1514" s="9">
        <v>0.0</v>
      </c>
      <c r="P1514" s="8" t="s">
        <v>3480</v>
      </c>
      <c r="Q1514" s="8" t="s">
        <v>6952</v>
      </c>
      <c r="R1514" s="8"/>
    </row>
    <row r="1515">
      <c r="A1515" s="8" t="s">
        <v>1936</v>
      </c>
      <c r="B1515" s="8" t="s">
        <v>10773</v>
      </c>
      <c r="C1515" s="8" t="s">
        <v>3766</v>
      </c>
      <c r="D1515" s="9">
        <v>9.890825583E9</v>
      </c>
      <c r="E1515" s="8" t="s">
        <v>3767</v>
      </c>
      <c r="F1515" s="8" t="s">
        <v>3768</v>
      </c>
      <c r="G1515" s="8" t="s">
        <v>10774</v>
      </c>
      <c r="H1515" s="8" t="s">
        <v>3479</v>
      </c>
      <c r="I1515" s="9">
        <v>0.0</v>
      </c>
      <c r="J1515" s="9">
        <v>2644.0</v>
      </c>
      <c r="K1515" s="9">
        <v>2644.0</v>
      </c>
      <c r="L1515" s="9">
        <v>2644.0</v>
      </c>
      <c r="M1515" s="9">
        <v>715.0</v>
      </c>
      <c r="N1515" s="9">
        <v>1205.0</v>
      </c>
      <c r="O1515" s="9">
        <v>724.0</v>
      </c>
      <c r="P1515" s="8" t="s">
        <v>3480</v>
      </c>
      <c r="Q1515" s="8" t="s">
        <v>3770</v>
      </c>
      <c r="R1515" s="8" t="s">
        <v>3771</v>
      </c>
    </row>
    <row r="1516">
      <c r="A1516" s="8" t="s">
        <v>1958</v>
      </c>
      <c r="B1516" s="8" t="s">
        <v>10775</v>
      </c>
      <c r="C1516" s="8" t="s">
        <v>3844</v>
      </c>
      <c r="D1516" s="9">
        <v>9.987725138E9</v>
      </c>
      <c r="E1516" s="8" t="s">
        <v>3845</v>
      </c>
      <c r="F1516" s="8" t="s">
        <v>3846</v>
      </c>
      <c r="G1516" s="8" t="s">
        <v>10776</v>
      </c>
      <c r="H1516" s="8" t="s">
        <v>3479</v>
      </c>
      <c r="I1516" s="9">
        <v>0.0</v>
      </c>
      <c r="J1516" s="9">
        <v>3665.0</v>
      </c>
      <c r="K1516" s="9">
        <v>3665.0</v>
      </c>
      <c r="L1516" s="9">
        <v>3665.0</v>
      </c>
      <c r="M1516" s="9">
        <v>1654.0</v>
      </c>
      <c r="N1516" s="9">
        <v>1037.0</v>
      </c>
      <c r="O1516" s="9">
        <v>974.0</v>
      </c>
      <c r="P1516" s="8" t="s">
        <v>4183</v>
      </c>
      <c r="Q1516" s="8" t="s">
        <v>3848</v>
      </c>
      <c r="R1516" s="8" t="s">
        <v>3849</v>
      </c>
    </row>
    <row r="1517">
      <c r="A1517" s="8" t="s">
        <v>1764</v>
      </c>
      <c r="B1517" s="8" t="s">
        <v>10777</v>
      </c>
      <c r="C1517" s="8" t="s">
        <v>10778</v>
      </c>
      <c r="D1517" s="9">
        <v>9.922429779E9</v>
      </c>
      <c r="E1517" s="8" t="s">
        <v>10779</v>
      </c>
      <c r="F1517" s="8" t="s">
        <v>3881</v>
      </c>
      <c r="G1517" s="8" t="s">
        <v>10780</v>
      </c>
      <c r="H1517" s="8" t="s">
        <v>3479</v>
      </c>
      <c r="I1517" s="9">
        <v>0.0</v>
      </c>
      <c r="J1517" s="9">
        <v>1703.0</v>
      </c>
      <c r="K1517" s="9">
        <v>1703.0</v>
      </c>
      <c r="L1517" s="9">
        <v>1703.0</v>
      </c>
      <c r="M1517" s="9">
        <v>335.0</v>
      </c>
      <c r="N1517" s="9">
        <v>739.0</v>
      </c>
      <c r="O1517" s="9">
        <v>629.0</v>
      </c>
      <c r="P1517" s="8" t="s">
        <v>3480</v>
      </c>
      <c r="Q1517" s="8" t="s">
        <v>10781</v>
      </c>
      <c r="R1517" s="8" t="s">
        <v>10782</v>
      </c>
    </row>
    <row r="1518">
      <c r="A1518" s="8" t="s">
        <v>1959</v>
      </c>
      <c r="B1518" s="8" t="s">
        <v>10783</v>
      </c>
      <c r="C1518" s="8" t="s">
        <v>8142</v>
      </c>
      <c r="D1518" s="9">
        <v>8.839165991E9</v>
      </c>
      <c r="E1518" s="8" t="s">
        <v>10784</v>
      </c>
      <c r="F1518" s="8" t="s">
        <v>3670</v>
      </c>
      <c r="G1518" s="8" t="s">
        <v>10785</v>
      </c>
      <c r="H1518" s="8" t="s">
        <v>3479</v>
      </c>
      <c r="I1518" s="9">
        <v>0.0</v>
      </c>
      <c r="J1518" s="9">
        <v>1474.0</v>
      </c>
      <c r="K1518" s="9">
        <v>1474.0</v>
      </c>
      <c r="L1518" s="9">
        <v>1474.0</v>
      </c>
      <c r="M1518" s="9">
        <v>455.0</v>
      </c>
      <c r="N1518" s="9">
        <v>190.0</v>
      </c>
      <c r="O1518" s="9">
        <v>829.0</v>
      </c>
      <c r="P1518" s="8" t="s">
        <v>4183</v>
      </c>
      <c r="Q1518" s="8" t="s">
        <v>10786</v>
      </c>
      <c r="R1518" s="8" t="s">
        <v>10787</v>
      </c>
    </row>
    <row r="1519">
      <c r="A1519" s="8" t="s">
        <v>1960</v>
      </c>
      <c r="B1519" s="8" t="s">
        <v>10788</v>
      </c>
      <c r="C1519" s="8" t="s">
        <v>7810</v>
      </c>
      <c r="D1519" s="9">
        <v>7.775958359E9</v>
      </c>
      <c r="E1519" s="8" t="s">
        <v>7811</v>
      </c>
      <c r="F1519" s="8" t="s">
        <v>3901</v>
      </c>
      <c r="G1519" s="8" t="s">
        <v>10789</v>
      </c>
      <c r="H1519" s="8" t="s">
        <v>3479</v>
      </c>
      <c r="I1519" s="9">
        <v>0.0</v>
      </c>
      <c r="J1519" s="9">
        <v>5403.0</v>
      </c>
      <c r="K1519" s="9">
        <v>5403.0</v>
      </c>
      <c r="L1519" s="9">
        <v>5403.0</v>
      </c>
      <c r="M1519" s="9">
        <v>3573.0</v>
      </c>
      <c r="N1519" s="9">
        <v>956.0</v>
      </c>
      <c r="O1519" s="9">
        <v>874.0</v>
      </c>
      <c r="P1519" s="8" t="s">
        <v>4183</v>
      </c>
      <c r="Q1519" s="8" t="s">
        <v>7813</v>
      </c>
      <c r="R1519" s="8" t="s">
        <v>7814</v>
      </c>
    </row>
    <row r="1520">
      <c r="A1520" s="8" t="s">
        <v>2119</v>
      </c>
      <c r="B1520" s="8" t="s">
        <v>10790</v>
      </c>
      <c r="C1520" s="8" t="s">
        <v>5343</v>
      </c>
      <c r="D1520" s="9">
        <v>9.766678146E9</v>
      </c>
      <c r="E1520" s="8" t="s">
        <v>10791</v>
      </c>
      <c r="F1520" s="8" t="s">
        <v>5366</v>
      </c>
      <c r="G1520" s="8" t="s">
        <v>10792</v>
      </c>
      <c r="H1520" s="8" t="s">
        <v>3479</v>
      </c>
      <c r="I1520" s="9">
        <v>0.0</v>
      </c>
      <c r="J1520" s="9">
        <v>1698.0</v>
      </c>
      <c r="K1520" s="9">
        <v>1698.0</v>
      </c>
      <c r="L1520" s="9">
        <v>1698.0</v>
      </c>
      <c r="M1520" s="9">
        <v>80.0</v>
      </c>
      <c r="N1520" s="9">
        <v>919.0</v>
      </c>
      <c r="O1520" s="9">
        <v>699.0</v>
      </c>
      <c r="P1520" s="8" t="s">
        <v>3480</v>
      </c>
      <c r="Q1520" s="8" t="s">
        <v>10793</v>
      </c>
      <c r="R1520" s="8" t="s">
        <v>10794</v>
      </c>
    </row>
    <row r="1521">
      <c r="A1521" s="8" t="s">
        <v>1961</v>
      </c>
      <c r="B1521" s="8" t="s">
        <v>10795</v>
      </c>
      <c r="C1521" s="8" t="s">
        <v>10796</v>
      </c>
      <c r="D1521" s="9">
        <v>9.82297533E9</v>
      </c>
      <c r="E1521" s="8" t="s">
        <v>10797</v>
      </c>
      <c r="F1521" s="8" t="s">
        <v>3550</v>
      </c>
      <c r="G1521" s="8" t="s">
        <v>10798</v>
      </c>
      <c r="H1521" s="8" t="s">
        <v>3479</v>
      </c>
      <c r="I1521" s="9">
        <v>0.0</v>
      </c>
      <c r="J1521" s="9">
        <v>1404.0</v>
      </c>
      <c r="K1521" s="9">
        <v>1404.0</v>
      </c>
      <c r="L1521" s="9">
        <v>1404.0</v>
      </c>
      <c r="M1521" s="9">
        <v>310.0</v>
      </c>
      <c r="N1521" s="9">
        <v>645.0</v>
      </c>
      <c r="O1521" s="9">
        <v>449.0</v>
      </c>
      <c r="P1521" s="8" t="s">
        <v>4183</v>
      </c>
      <c r="Q1521" s="8" t="s">
        <v>10799</v>
      </c>
      <c r="R1521" s="8" t="s">
        <v>10800</v>
      </c>
    </row>
    <row r="1522">
      <c r="A1522" s="8" t="s">
        <v>1962</v>
      </c>
      <c r="B1522" s="8" t="s">
        <v>10801</v>
      </c>
      <c r="C1522" s="8" t="s">
        <v>7155</v>
      </c>
      <c r="D1522" s="9">
        <v>9.604788998E9</v>
      </c>
      <c r="E1522" s="8" t="s">
        <v>7156</v>
      </c>
      <c r="F1522" s="8" t="s">
        <v>7157</v>
      </c>
      <c r="G1522" s="8" t="s">
        <v>10802</v>
      </c>
      <c r="H1522" s="8" t="s">
        <v>10803</v>
      </c>
      <c r="I1522" s="9">
        <v>0.0</v>
      </c>
      <c r="J1522" s="9">
        <v>1400.0</v>
      </c>
      <c r="K1522" s="9">
        <v>1487.0</v>
      </c>
      <c r="L1522" s="9">
        <v>1400.0</v>
      </c>
      <c r="M1522" s="9">
        <v>308.0</v>
      </c>
      <c r="N1522" s="9">
        <v>730.0</v>
      </c>
      <c r="O1522" s="9">
        <v>449.0</v>
      </c>
      <c r="P1522" s="8" t="s">
        <v>4183</v>
      </c>
      <c r="Q1522" s="8" t="s">
        <v>7159</v>
      </c>
      <c r="R1522" s="8" t="s">
        <v>7160</v>
      </c>
    </row>
    <row r="1523">
      <c r="A1523" s="8" t="s">
        <v>1963</v>
      </c>
      <c r="B1523" s="8" t="s">
        <v>10804</v>
      </c>
      <c r="C1523" s="8" t="s">
        <v>10805</v>
      </c>
      <c r="D1523" s="9">
        <v>8.00702647E9</v>
      </c>
      <c r="E1523" s="8" t="s">
        <v>10806</v>
      </c>
      <c r="F1523" s="8" t="s">
        <v>3601</v>
      </c>
      <c r="G1523" s="8" t="s">
        <v>10807</v>
      </c>
      <c r="H1523" s="8" t="s">
        <v>3479</v>
      </c>
      <c r="I1523" s="9">
        <v>0.0</v>
      </c>
      <c r="J1523" s="9">
        <v>1688.0</v>
      </c>
      <c r="K1523" s="9">
        <v>1688.0</v>
      </c>
      <c r="L1523" s="9">
        <v>1688.0</v>
      </c>
      <c r="M1523" s="9">
        <v>459.0</v>
      </c>
      <c r="N1523" s="9">
        <v>780.0</v>
      </c>
      <c r="O1523" s="9">
        <v>449.0</v>
      </c>
      <c r="P1523" s="8" t="s">
        <v>4183</v>
      </c>
      <c r="Q1523" s="8" t="s">
        <v>10808</v>
      </c>
      <c r="R1523" s="8"/>
    </row>
    <row r="1524">
      <c r="A1524" s="8" t="s">
        <v>1937</v>
      </c>
      <c r="B1524" s="8" t="s">
        <v>10809</v>
      </c>
      <c r="C1524" s="8" t="s">
        <v>9938</v>
      </c>
      <c r="D1524" s="9">
        <v>9.623186551E9</v>
      </c>
      <c r="E1524" s="8" t="s">
        <v>10810</v>
      </c>
      <c r="F1524" s="8" t="s">
        <v>3821</v>
      </c>
      <c r="G1524" s="8" t="s">
        <v>10811</v>
      </c>
      <c r="H1524" s="8" t="s">
        <v>3479</v>
      </c>
      <c r="I1524" s="9">
        <v>0.0</v>
      </c>
      <c r="J1524" s="9">
        <v>1423.0</v>
      </c>
      <c r="K1524" s="9">
        <v>1423.0</v>
      </c>
      <c r="L1524" s="9">
        <v>1423.0</v>
      </c>
      <c r="M1524" s="9">
        <v>160.0</v>
      </c>
      <c r="N1524" s="9">
        <v>739.0</v>
      </c>
      <c r="O1524" s="9">
        <v>524.0</v>
      </c>
      <c r="P1524" s="8" t="s">
        <v>3480</v>
      </c>
      <c r="Q1524" s="8"/>
      <c r="R1524" s="8"/>
    </row>
    <row r="1525">
      <c r="A1525" s="8" t="s">
        <v>1964</v>
      </c>
      <c r="B1525" s="8" t="s">
        <v>10812</v>
      </c>
      <c r="C1525" s="8" t="s">
        <v>10813</v>
      </c>
      <c r="D1525" s="9">
        <v>9.028460914E9</v>
      </c>
      <c r="E1525" s="8" t="s">
        <v>10814</v>
      </c>
      <c r="F1525" s="8" t="s">
        <v>10815</v>
      </c>
      <c r="G1525" s="8" t="s">
        <v>4130</v>
      </c>
      <c r="H1525" s="8" t="s">
        <v>3479</v>
      </c>
      <c r="I1525" s="9">
        <v>0.0</v>
      </c>
      <c r="J1525" s="9">
        <v>2180.0</v>
      </c>
      <c r="K1525" s="9">
        <v>2180.0</v>
      </c>
      <c r="L1525" s="9">
        <v>2180.0</v>
      </c>
      <c r="M1525" s="9">
        <v>960.0</v>
      </c>
      <c r="N1525" s="9">
        <v>771.0</v>
      </c>
      <c r="O1525" s="9">
        <v>449.0</v>
      </c>
      <c r="P1525" s="8" t="s">
        <v>4183</v>
      </c>
      <c r="Q1525" s="8" t="s">
        <v>10816</v>
      </c>
      <c r="R1525" s="8" t="s">
        <v>10817</v>
      </c>
    </row>
    <row r="1526">
      <c r="A1526" s="8" t="s">
        <v>1965</v>
      </c>
      <c r="B1526" s="8" t="s">
        <v>10818</v>
      </c>
      <c r="C1526" s="8" t="s">
        <v>10819</v>
      </c>
      <c r="D1526" s="9">
        <v>9.922504486E9</v>
      </c>
      <c r="E1526" s="8" t="s">
        <v>10820</v>
      </c>
      <c r="F1526" s="8" t="s">
        <v>5556</v>
      </c>
      <c r="G1526" s="8" t="s">
        <v>10821</v>
      </c>
      <c r="H1526" s="8" t="s">
        <v>3479</v>
      </c>
      <c r="I1526" s="9">
        <v>0.0</v>
      </c>
      <c r="J1526" s="9">
        <v>1438.0</v>
      </c>
      <c r="K1526" s="9">
        <v>1438.0</v>
      </c>
      <c r="L1526" s="9">
        <v>1438.0</v>
      </c>
      <c r="M1526" s="9">
        <v>135.0</v>
      </c>
      <c r="N1526" s="9">
        <v>774.0</v>
      </c>
      <c r="O1526" s="9">
        <v>529.0</v>
      </c>
      <c r="P1526" s="8" t="s">
        <v>3480</v>
      </c>
      <c r="Q1526" s="8" t="s">
        <v>10822</v>
      </c>
      <c r="R1526" s="8" t="s">
        <v>10823</v>
      </c>
    </row>
    <row r="1527">
      <c r="A1527" s="8" t="s">
        <v>2120</v>
      </c>
      <c r="B1527" s="8" t="s">
        <v>10824</v>
      </c>
      <c r="C1527" s="8" t="s">
        <v>10825</v>
      </c>
      <c r="D1527" s="9">
        <v>9.172706338E9</v>
      </c>
      <c r="E1527" s="8" t="s">
        <v>8089</v>
      </c>
      <c r="F1527" s="8" t="s">
        <v>3564</v>
      </c>
      <c r="G1527" s="8" t="s">
        <v>10826</v>
      </c>
      <c r="H1527" s="8" t="s">
        <v>3479</v>
      </c>
      <c r="I1527" s="9">
        <v>0.0</v>
      </c>
      <c r="J1527" s="9">
        <v>1219.0</v>
      </c>
      <c r="K1527" s="9">
        <v>1219.0</v>
      </c>
      <c r="L1527" s="9">
        <v>1219.0</v>
      </c>
      <c r="M1527" s="9">
        <v>470.0</v>
      </c>
      <c r="N1527" s="9">
        <v>0.0</v>
      </c>
      <c r="O1527" s="9">
        <v>749.0</v>
      </c>
      <c r="P1527" s="8" t="s">
        <v>3519</v>
      </c>
      <c r="Q1527" s="8"/>
      <c r="R1527" s="8"/>
    </row>
    <row r="1528">
      <c r="A1528" s="8" t="s">
        <v>1908</v>
      </c>
      <c r="B1528" s="8" t="s">
        <v>10827</v>
      </c>
      <c r="C1528" s="8" t="s">
        <v>10828</v>
      </c>
      <c r="D1528" s="9">
        <v>7.000125586E9</v>
      </c>
      <c r="E1528" s="8" t="s">
        <v>10829</v>
      </c>
      <c r="F1528" s="8" t="s">
        <v>5366</v>
      </c>
      <c r="G1528" s="8" t="s">
        <v>10830</v>
      </c>
      <c r="H1528" s="8" t="s">
        <v>3479</v>
      </c>
      <c r="I1528" s="9">
        <v>0.0</v>
      </c>
      <c r="J1528" s="9">
        <v>1069.0</v>
      </c>
      <c r="K1528" s="9">
        <v>1069.0</v>
      </c>
      <c r="L1528" s="9">
        <v>1069.0</v>
      </c>
      <c r="M1528" s="9">
        <v>120.0</v>
      </c>
      <c r="N1528" s="9">
        <v>0.0</v>
      </c>
      <c r="O1528" s="9">
        <v>949.0</v>
      </c>
      <c r="P1528" s="8" t="s">
        <v>3480</v>
      </c>
      <c r="Q1528" s="8" t="s">
        <v>10831</v>
      </c>
      <c r="R1528" s="8" t="s">
        <v>10832</v>
      </c>
    </row>
    <row r="1529">
      <c r="A1529" s="8" t="s">
        <v>592</v>
      </c>
      <c r="B1529" s="8" t="s">
        <v>10833</v>
      </c>
      <c r="C1529" s="8" t="s">
        <v>10834</v>
      </c>
      <c r="D1529" s="9">
        <v>9.975668837E9</v>
      </c>
      <c r="E1529" s="8" t="s">
        <v>10835</v>
      </c>
      <c r="F1529" s="8" t="s">
        <v>3608</v>
      </c>
      <c r="G1529" s="8" t="s">
        <v>10836</v>
      </c>
      <c r="H1529" s="8" t="s">
        <v>3479</v>
      </c>
      <c r="I1529" s="9">
        <v>0.0</v>
      </c>
      <c r="J1529" s="9">
        <v>2725.0</v>
      </c>
      <c r="K1529" s="9">
        <v>2725.0</v>
      </c>
      <c r="L1529" s="9">
        <v>2725.0</v>
      </c>
      <c r="M1529" s="9">
        <v>2250.0</v>
      </c>
      <c r="N1529" s="9">
        <v>0.0</v>
      </c>
      <c r="O1529" s="9">
        <v>475.0</v>
      </c>
      <c r="P1529" s="8" t="s">
        <v>3480</v>
      </c>
      <c r="Q1529" s="8"/>
      <c r="R1529" s="8"/>
    </row>
    <row r="1530">
      <c r="A1530" s="8" t="s">
        <v>2156</v>
      </c>
      <c r="B1530" s="8" t="s">
        <v>10837</v>
      </c>
      <c r="C1530" s="8" t="s">
        <v>10838</v>
      </c>
      <c r="D1530" s="9">
        <v>9.766945541E9</v>
      </c>
      <c r="E1530" s="8" t="s">
        <v>3485</v>
      </c>
      <c r="F1530" s="8" t="s">
        <v>3486</v>
      </c>
      <c r="G1530" s="8" t="s">
        <v>10839</v>
      </c>
      <c r="H1530" s="8" t="s">
        <v>3479</v>
      </c>
      <c r="I1530" s="9">
        <v>0.0</v>
      </c>
      <c r="J1530" s="9">
        <v>1259.0</v>
      </c>
      <c r="K1530" s="9">
        <v>1259.0</v>
      </c>
      <c r="L1530" s="9">
        <v>1259.0</v>
      </c>
      <c r="M1530" s="9">
        <v>80.0</v>
      </c>
      <c r="N1530" s="9">
        <v>730.0</v>
      </c>
      <c r="O1530" s="9">
        <v>449.0</v>
      </c>
      <c r="P1530" s="8" t="s">
        <v>3519</v>
      </c>
      <c r="Q1530" s="8" t="s">
        <v>3488</v>
      </c>
      <c r="R1530" s="8" t="s">
        <v>3489</v>
      </c>
    </row>
    <row r="1531">
      <c r="A1531" s="8" t="s">
        <v>2023</v>
      </c>
      <c r="B1531" s="8" t="s">
        <v>10840</v>
      </c>
      <c r="C1531" s="8" t="s">
        <v>7879</v>
      </c>
      <c r="D1531" s="9">
        <v>9.662466141E9</v>
      </c>
      <c r="E1531" s="8" t="s">
        <v>7880</v>
      </c>
      <c r="F1531" s="8" t="s">
        <v>3486</v>
      </c>
      <c r="G1531" s="8" t="s">
        <v>10841</v>
      </c>
      <c r="H1531" s="8" t="s">
        <v>3479</v>
      </c>
      <c r="I1531" s="9">
        <v>0.0</v>
      </c>
      <c r="J1531" s="9">
        <v>1777.0</v>
      </c>
      <c r="K1531" s="9">
        <v>1777.0</v>
      </c>
      <c r="L1531" s="9">
        <v>1777.0</v>
      </c>
      <c r="M1531" s="9">
        <v>598.0</v>
      </c>
      <c r="N1531" s="9">
        <v>730.0</v>
      </c>
      <c r="O1531" s="9">
        <v>449.0</v>
      </c>
      <c r="P1531" s="8" t="s">
        <v>4183</v>
      </c>
      <c r="Q1531" s="8" t="s">
        <v>7882</v>
      </c>
      <c r="R1531" s="8" t="s">
        <v>7883</v>
      </c>
    </row>
    <row r="1532">
      <c r="A1532" s="8" t="s">
        <v>988</v>
      </c>
      <c r="B1532" s="8" t="s">
        <v>10842</v>
      </c>
      <c r="C1532" s="8" t="s">
        <v>10843</v>
      </c>
      <c r="D1532" s="9">
        <v>8.669082369E9</v>
      </c>
      <c r="E1532" s="8" t="s">
        <v>10844</v>
      </c>
      <c r="F1532" s="8" t="s">
        <v>4929</v>
      </c>
      <c r="G1532" s="8" t="s">
        <v>10845</v>
      </c>
      <c r="H1532" s="8" t="s">
        <v>3479</v>
      </c>
      <c r="I1532" s="9">
        <v>0.0</v>
      </c>
      <c r="J1532" s="9">
        <v>2119.0</v>
      </c>
      <c r="K1532" s="9">
        <v>2119.0</v>
      </c>
      <c r="L1532" s="9">
        <v>2119.0</v>
      </c>
      <c r="M1532" s="9">
        <v>1180.0</v>
      </c>
      <c r="N1532" s="9">
        <v>190.0</v>
      </c>
      <c r="O1532" s="9">
        <v>749.0</v>
      </c>
      <c r="P1532" s="8" t="s">
        <v>3480</v>
      </c>
      <c r="Q1532" s="8" t="s">
        <v>10846</v>
      </c>
      <c r="R1532" s="8" t="s">
        <v>10847</v>
      </c>
    </row>
    <row r="1533">
      <c r="A1533" s="8" t="s">
        <v>2024</v>
      </c>
      <c r="B1533" s="8" t="s">
        <v>10848</v>
      </c>
      <c r="C1533" s="8" t="s">
        <v>10849</v>
      </c>
      <c r="D1533" s="9">
        <v>9.766930474E9</v>
      </c>
      <c r="E1533" s="8" t="s">
        <v>10850</v>
      </c>
      <c r="F1533" s="8" t="s">
        <v>6253</v>
      </c>
      <c r="G1533" s="8" t="s">
        <v>10851</v>
      </c>
      <c r="H1533" s="8" t="s">
        <v>3479</v>
      </c>
      <c r="I1533" s="9">
        <v>0.0</v>
      </c>
      <c r="J1533" s="9">
        <v>1284.0</v>
      </c>
      <c r="K1533" s="9">
        <v>1284.0</v>
      </c>
      <c r="L1533" s="9">
        <v>1284.0</v>
      </c>
      <c r="M1533" s="9">
        <v>835.0</v>
      </c>
      <c r="N1533" s="9">
        <v>0.0</v>
      </c>
      <c r="O1533" s="9">
        <v>449.0</v>
      </c>
      <c r="P1533" s="8" t="s">
        <v>4183</v>
      </c>
      <c r="Q1533" s="8" t="s">
        <v>10852</v>
      </c>
      <c r="R1533" s="8" t="s">
        <v>10853</v>
      </c>
    </row>
    <row r="1534">
      <c r="A1534" s="8" t="s">
        <v>2173</v>
      </c>
      <c r="B1534" s="8" t="s">
        <v>10854</v>
      </c>
      <c r="C1534" s="8" t="s">
        <v>10855</v>
      </c>
      <c r="D1534" s="9">
        <v>9.112471953E9</v>
      </c>
      <c r="E1534" s="8" t="s">
        <v>10856</v>
      </c>
      <c r="F1534" s="8" t="s">
        <v>3569</v>
      </c>
      <c r="G1534" s="8" t="s">
        <v>10857</v>
      </c>
      <c r="H1534" s="8" t="s">
        <v>10858</v>
      </c>
      <c r="I1534" s="9">
        <v>0.0</v>
      </c>
      <c r="J1534" s="9">
        <v>1300.0</v>
      </c>
      <c r="K1534" s="9">
        <v>1405.0</v>
      </c>
      <c r="L1534" s="9">
        <v>1300.0</v>
      </c>
      <c r="M1534" s="9">
        <v>1100.0</v>
      </c>
      <c r="N1534" s="9">
        <v>130.0</v>
      </c>
      <c r="O1534" s="9">
        <v>175.0</v>
      </c>
      <c r="P1534" s="8" t="s">
        <v>3544</v>
      </c>
      <c r="Q1534" s="8"/>
      <c r="R1534" s="8"/>
    </row>
    <row r="1535">
      <c r="A1535" s="8" t="s">
        <v>1880</v>
      </c>
      <c r="B1535" s="8" t="s">
        <v>10859</v>
      </c>
      <c r="C1535" s="8" t="s">
        <v>10860</v>
      </c>
      <c r="D1535" s="9">
        <v>9.545049944E9</v>
      </c>
      <c r="E1535" s="8" t="s">
        <v>10861</v>
      </c>
      <c r="F1535" s="8" t="s">
        <v>10862</v>
      </c>
      <c r="G1535" s="8" t="s">
        <v>10863</v>
      </c>
      <c r="H1535" s="8" t="s">
        <v>3479</v>
      </c>
      <c r="I1535" s="9">
        <v>0.0</v>
      </c>
      <c r="J1535" s="9">
        <v>3475.0</v>
      </c>
      <c r="K1535" s="9">
        <v>3475.0</v>
      </c>
      <c r="L1535" s="9">
        <v>3475.0</v>
      </c>
      <c r="M1535" s="9">
        <v>3100.0</v>
      </c>
      <c r="N1535" s="9">
        <v>0.0</v>
      </c>
      <c r="O1535" s="9">
        <v>375.0</v>
      </c>
      <c r="P1535" s="8" t="s">
        <v>3480</v>
      </c>
      <c r="Q1535" s="8" t="s">
        <v>10864</v>
      </c>
      <c r="R1535" s="8" t="s">
        <v>10865</v>
      </c>
    </row>
    <row r="1536">
      <c r="A1536" s="8" t="s">
        <v>1881</v>
      </c>
      <c r="B1536" s="8" t="s">
        <v>10866</v>
      </c>
      <c r="C1536" s="8" t="s">
        <v>10867</v>
      </c>
      <c r="D1536" s="9">
        <v>9.545465522E9</v>
      </c>
      <c r="E1536" s="8" t="s">
        <v>10868</v>
      </c>
      <c r="F1536" s="8" t="s">
        <v>3681</v>
      </c>
      <c r="G1536" s="8" t="s">
        <v>3494</v>
      </c>
      <c r="H1536" s="8" t="s">
        <v>3479</v>
      </c>
      <c r="I1536" s="9">
        <v>0.0</v>
      </c>
      <c r="J1536" s="9">
        <v>1150.0</v>
      </c>
      <c r="K1536" s="9">
        <v>1150.0</v>
      </c>
      <c r="L1536" s="9">
        <v>1150.0</v>
      </c>
      <c r="M1536" s="9">
        <v>1150.0</v>
      </c>
      <c r="N1536" s="9">
        <v>0.0</v>
      </c>
      <c r="O1536" s="9">
        <v>0.0</v>
      </c>
      <c r="P1536" s="8" t="s">
        <v>3480</v>
      </c>
      <c r="Q1536" s="8"/>
      <c r="R1536" s="8"/>
    </row>
    <row r="1537">
      <c r="A1537" s="8" t="s">
        <v>2025</v>
      </c>
      <c r="B1537" s="8" t="s">
        <v>10869</v>
      </c>
      <c r="C1537" s="8" t="s">
        <v>10870</v>
      </c>
      <c r="D1537" s="9">
        <v>9.075010601E9</v>
      </c>
      <c r="E1537" s="8" t="s">
        <v>10871</v>
      </c>
      <c r="F1537" s="8" t="s">
        <v>3821</v>
      </c>
      <c r="G1537" s="8" t="s">
        <v>10872</v>
      </c>
      <c r="H1537" s="8" t="s">
        <v>3479</v>
      </c>
      <c r="I1537" s="9">
        <v>0.0</v>
      </c>
      <c r="J1537" s="9">
        <v>1150.0</v>
      </c>
      <c r="K1537" s="9">
        <v>1150.0</v>
      </c>
      <c r="L1537" s="9">
        <v>1150.0</v>
      </c>
      <c r="M1537" s="9">
        <v>1150.0</v>
      </c>
      <c r="N1537" s="9">
        <v>0.0</v>
      </c>
      <c r="O1537" s="9">
        <v>0.0</v>
      </c>
      <c r="P1537" s="8" t="s">
        <v>3480</v>
      </c>
      <c r="Q1537" s="8" t="s">
        <v>10873</v>
      </c>
      <c r="R1537" s="8" t="s">
        <v>10874</v>
      </c>
    </row>
    <row r="1538">
      <c r="A1538" s="8" t="s">
        <v>1765</v>
      </c>
      <c r="B1538" s="8" t="s">
        <v>10875</v>
      </c>
      <c r="C1538" s="8" t="s">
        <v>10876</v>
      </c>
      <c r="D1538" s="9">
        <v>8.788277144E9</v>
      </c>
      <c r="E1538" s="8" t="s">
        <v>10877</v>
      </c>
      <c r="F1538" s="8" t="s">
        <v>4059</v>
      </c>
      <c r="G1538" s="8" t="s">
        <v>10878</v>
      </c>
      <c r="H1538" s="8" t="s">
        <v>3479</v>
      </c>
      <c r="I1538" s="9">
        <v>0.0</v>
      </c>
      <c r="J1538" s="9">
        <v>2953.0</v>
      </c>
      <c r="K1538" s="9">
        <v>2953.0</v>
      </c>
      <c r="L1538" s="9">
        <v>2953.0</v>
      </c>
      <c r="M1538" s="9">
        <v>1579.0</v>
      </c>
      <c r="N1538" s="9">
        <v>775.0</v>
      </c>
      <c r="O1538" s="9">
        <v>599.0</v>
      </c>
      <c r="P1538" s="8" t="s">
        <v>3480</v>
      </c>
      <c r="Q1538" s="8" t="s">
        <v>10879</v>
      </c>
      <c r="R1538" s="8" t="s">
        <v>10880</v>
      </c>
    </row>
    <row r="1539">
      <c r="A1539" s="8" t="s">
        <v>1877</v>
      </c>
      <c r="B1539" s="8" t="s">
        <v>10881</v>
      </c>
      <c r="C1539" s="8" t="s">
        <v>10882</v>
      </c>
      <c r="D1539" s="9">
        <v>8.446273147E9</v>
      </c>
      <c r="E1539" s="8" t="s">
        <v>10883</v>
      </c>
      <c r="F1539" s="8" t="s">
        <v>3608</v>
      </c>
      <c r="G1539" s="8" t="s">
        <v>10884</v>
      </c>
      <c r="H1539" s="8" t="s">
        <v>3479</v>
      </c>
      <c r="I1539" s="9">
        <v>0.0</v>
      </c>
      <c r="J1539" s="9">
        <v>1618.0</v>
      </c>
      <c r="K1539" s="9">
        <v>1618.0</v>
      </c>
      <c r="L1539" s="9">
        <v>1618.0</v>
      </c>
      <c r="M1539" s="9">
        <v>430.0</v>
      </c>
      <c r="N1539" s="9">
        <v>739.0</v>
      </c>
      <c r="O1539" s="9">
        <v>449.0</v>
      </c>
      <c r="P1539" s="8" t="s">
        <v>3480</v>
      </c>
      <c r="Q1539" s="8" t="s">
        <v>10885</v>
      </c>
      <c r="R1539" s="8" t="s">
        <v>10886</v>
      </c>
    </row>
    <row r="1540">
      <c r="A1540" s="8" t="s">
        <v>989</v>
      </c>
      <c r="B1540" s="8" t="s">
        <v>10887</v>
      </c>
      <c r="C1540" s="8" t="s">
        <v>10888</v>
      </c>
      <c r="D1540" s="9">
        <v>7.020245148E9</v>
      </c>
      <c r="E1540" s="8" t="s">
        <v>10889</v>
      </c>
      <c r="F1540" s="8" t="s">
        <v>3550</v>
      </c>
      <c r="G1540" s="8" t="s">
        <v>10890</v>
      </c>
      <c r="H1540" s="8" t="s">
        <v>3479</v>
      </c>
      <c r="I1540" s="9">
        <v>0.0</v>
      </c>
      <c r="J1540" s="9">
        <v>1669.0</v>
      </c>
      <c r="K1540" s="9">
        <v>1669.0</v>
      </c>
      <c r="L1540" s="9">
        <v>1669.0</v>
      </c>
      <c r="M1540" s="9">
        <v>490.0</v>
      </c>
      <c r="N1540" s="9">
        <v>730.0</v>
      </c>
      <c r="O1540" s="9">
        <v>449.0</v>
      </c>
      <c r="P1540" s="8" t="s">
        <v>3480</v>
      </c>
      <c r="Q1540" s="8" t="s">
        <v>10891</v>
      </c>
      <c r="R1540" s="8" t="s">
        <v>10892</v>
      </c>
    </row>
    <row r="1541">
      <c r="A1541" s="8" t="s">
        <v>1878</v>
      </c>
      <c r="B1541" s="8" t="s">
        <v>10893</v>
      </c>
      <c r="C1541" s="8" t="s">
        <v>10894</v>
      </c>
      <c r="D1541" s="9">
        <v>9.970099082E9</v>
      </c>
      <c r="E1541" s="8" t="s">
        <v>10895</v>
      </c>
      <c r="F1541" s="8" t="s">
        <v>3550</v>
      </c>
      <c r="G1541" s="8" t="s">
        <v>10896</v>
      </c>
      <c r="H1541" s="8" t="s">
        <v>3479</v>
      </c>
      <c r="I1541" s="9">
        <v>0.0</v>
      </c>
      <c r="J1541" s="9">
        <v>2674.0</v>
      </c>
      <c r="K1541" s="9">
        <v>2674.0</v>
      </c>
      <c r="L1541" s="9">
        <v>2674.0</v>
      </c>
      <c r="M1541" s="9">
        <v>1068.0</v>
      </c>
      <c r="N1541" s="9">
        <v>832.0</v>
      </c>
      <c r="O1541" s="9">
        <v>774.0</v>
      </c>
      <c r="P1541" s="8" t="s">
        <v>3480</v>
      </c>
      <c r="Q1541" s="8"/>
      <c r="R1541" s="8"/>
    </row>
    <row r="1542">
      <c r="A1542" s="8" t="s">
        <v>2183</v>
      </c>
      <c r="B1542" s="8" t="s">
        <v>10897</v>
      </c>
      <c r="C1542" s="8" t="s">
        <v>6251</v>
      </c>
      <c r="D1542" s="9">
        <v>8.888951966E9</v>
      </c>
      <c r="E1542" s="8" t="s">
        <v>6252</v>
      </c>
      <c r="F1542" s="8" t="s">
        <v>6253</v>
      </c>
      <c r="G1542" s="8" t="s">
        <v>10898</v>
      </c>
      <c r="H1542" s="8" t="s">
        <v>10899</v>
      </c>
      <c r="I1542" s="9">
        <v>0.0</v>
      </c>
      <c r="J1542" s="9">
        <v>600.0</v>
      </c>
      <c r="K1542" s="9">
        <v>668.0</v>
      </c>
      <c r="L1542" s="9">
        <v>600.0</v>
      </c>
      <c r="M1542" s="9">
        <v>0.0</v>
      </c>
      <c r="N1542" s="9">
        <v>168.0</v>
      </c>
      <c r="O1542" s="9">
        <v>500.0</v>
      </c>
      <c r="P1542" s="8" t="s">
        <v>3519</v>
      </c>
      <c r="Q1542" s="8"/>
      <c r="R1542" s="8"/>
    </row>
    <row r="1543">
      <c r="A1543" s="8" t="s">
        <v>2198</v>
      </c>
      <c r="B1543" s="8" t="s">
        <v>10900</v>
      </c>
      <c r="C1543" s="8" t="s">
        <v>10901</v>
      </c>
      <c r="D1543" s="9">
        <v>9.8236174E9</v>
      </c>
      <c r="E1543" s="8" t="s">
        <v>10902</v>
      </c>
      <c r="F1543" s="8" t="s">
        <v>3881</v>
      </c>
      <c r="G1543" s="8" t="s">
        <v>10903</v>
      </c>
      <c r="H1543" s="8" t="s">
        <v>3479</v>
      </c>
      <c r="I1543" s="9">
        <v>0.0</v>
      </c>
      <c r="J1543" s="9">
        <v>1777.0</v>
      </c>
      <c r="K1543" s="9">
        <v>1777.0</v>
      </c>
      <c r="L1543" s="9">
        <v>1777.0</v>
      </c>
      <c r="M1543" s="9">
        <v>443.0</v>
      </c>
      <c r="N1543" s="9">
        <v>730.0</v>
      </c>
      <c r="O1543" s="9">
        <v>604.0</v>
      </c>
      <c r="P1543" s="8" t="s">
        <v>3480</v>
      </c>
      <c r="Q1543" s="8"/>
      <c r="R1543" s="8"/>
    </row>
    <row r="1544">
      <c r="A1544" s="8" t="s">
        <v>2209</v>
      </c>
      <c r="B1544" s="8" t="s">
        <v>10904</v>
      </c>
      <c r="C1544" s="8" t="s">
        <v>10905</v>
      </c>
      <c r="D1544" s="9">
        <v>7.70941428E9</v>
      </c>
      <c r="E1544" s="8" t="s">
        <v>10906</v>
      </c>
      <c r="F1544" s="8" t="s">
        <v>3721</v>
      </c>
      <c r="G1544" s="8" t="s">
        <v>10907</v>
      </c>
      <c r="H1544" s="8" t="s">
        <v>10908</v>
      </c>
      <c r="I1544" s="9">
        <v>0.0</v>
      </c>
      <c r="J1544" s="9">
        <v>1200.0</v>
      </c>
      <c r="K1544" s="9">
        <v>1230.0</v>
      </c>
      <c r="L1544" s="9">
        <v>1200.0</v>
      </c>
      <c r="M1544" s="9">
        <v>1150.0</v>
      </c>
      <c r="N1544" s="9">
        <v>0.0</v>
      </c>
      <c r="O1544" s="9">
        <v>80.0</v>
      </c>
      <c r="P1544" s="8" t="s">
        <v>3519</v>
      </c>
      <c r="Q1544" s="8" t="s">
        <v>10909</v>
      </c>
      <c r="R1544" s="8" t="s">
        <v>10910</v>
      </c>
    </row>
    <row r="1545">
      <c r="A1545" s="8" t="s">
        <v>1879</v>
      </c>
      <c r="B1545" s="8" t="s">
        <v>10911</v>
      </c>
      <c r="C1545" s="8" t="s">
        <v>10912</v>
      </c>
      <c r="D1545" s="9">
        <v>9.730186993E9</v>
      </c>
      <c r="E1545" s="8" t="s">
        <v>10913</v>
      </c>
      <c r="F1545" s="8" t="s">
        <v>3486</v>
      </c>
      <c r="G1545" s="8" t="s">
        <v>10914</v>
      </c>
      <c r="H1545" s="8" t="s">
        <v>3479</v>
      </c>
      <c r="I1545" s="9">
        <v>0.0</v>
      </c>
      <c r="J1545" s="9">
        <v>2193.0</v>
      </c>
      <c r="K1545" s="9">
        <v>2193.0</v>
      </c>
      <c r="L1545" s="9">
        <v>2193.0</v>
      </c>
      <c r="M1545" s="9">
        <v>1005.0</v>
      </c>
      <c r="N1545" s="9">
        <v>739.0</v>
      </c>
      <c r="O1545" s="9">
        <v>449.0</v>
      </c>
      <c r="P1545" s="8" t="s">
        <v>3480</v>
      </c>
      <c r="Q1545" s="8"/>
      <c r="R1545" s="8"/>
    </row>
    <row r="1546">
      <c r="A1546" s="8" t="s">
        <v>2199</v>
      </c>
      <c r="B1546" s="8" t="s">
        <v>10915</v>
      </c>
      <c r="C1546" s="8" t="s">
        <v>6285</v>
      </c>
      <c r="D1546" s="9">
        <v>9.404254482E9</v>
      </c>
      <c r="E1546" s="8" t="s">
        <v>6286</v>
      </c>
      <c r="F1546" s="8" t="s">
        <v>3908</v>
      </c>
      <c r="G1546" s="8" t="s">
        <v>10916</v>
      </c>
      <c r="H1546" s="8" t="s">
        <v>3479</v>
      </c>
      <c r="I1546" s="9">
        <v>0.0</v>
      </c>
      <c r="J1546" s="9">
        <v>1500.0</v>
      </c>
      <c r="K1546" s="9">
        <v>1500.0</v>
      </c>
      <c r="L1546" s="9">
        <v>1500.0</v>
      </c>
      <c r="M1546" s="9">
        <v>1500.0</v>
      </c>
      <c r="N1546" s="9">
        <v>0.0</v>
      </c>
      <c r="O1546" s="9">
        <v>0.0</v>
      </c>
      <c r="P1546" s="8" t="s">
        <v>3480</v>
      </c>
      <c r="Q1546" s="8" t="s">
        <v>6288</v>
      </c>
      <c r="R1546" s="8" t="s">
        <v>6289</v>
      </c>
    </row>
    <row r="1547">
      <c r="A1547" s="8" t="s">
        <v>2177</v>
      </c>
      <c r="B1547" s="8" t="s">
        <v>10917</v>
      </c>
      <c r="C1547" s="8" t="s">
        <v>7220</v>
      </c>
      <c r="D1547" s="9">
        <v>9.764696387E9</v>
      </c>
      <c r="E1547" s="8" t="s">
        <v>10918</v>
      </c>
      <c r="F1547" s="8" t="s">
        <v>3608</v>
      </c>
      <c r="G1547" s="8" t="s">
        <v>10919</v>
      </c>
      <c r="H1547" s="8" t="s">
        <v>3479</v>
      </c>
      <c r="I1547" s="9">
        <v>0.0</v>
      </c>
      <c r="J1547" s="9">
        <v>1738.0</v>
      </c>
      <c r="K1547" s="9">
        <v>1738.0</v>
      </c>
      <c r="L1547" s="9">
        <v>1738.0</v>
      </c>
      <c r="M1547" s="9">
        <v>1658.0</v>
      </c>
      <c r="N1547" s="9">
        <v>0.0</v>
      </c>
      <c r="O1547" s="9">
        <v>80.0</v>
      </c>
      <c r="P1547" s="8" t="s">
        <v>3480</v>
      </c>
      <c r="Q1547" s="8" t="s">
        <v>10920</v>
      </c>
      <c r="R1547" s="8"/>
    </row>
    <row r="1548">
      <c r="A1548" s="8" t="s">
        <v>2200</v>
      </c>
      <c r="B1548" s="8" t="s">
        <v>10921</v>
      </c>
      <c r="C1548" s="8" t="s">
        <v>5394</v>
      </c>
      <c r="D1548" s="9">
        <v>7.058552746E9</v>
      </c>
      <c r="E1548" s="8" t="s">
        <v>5395</v>
      </c>
      <c r="F1548" s="8" t="s">
        <v>3589</v>
      </c>
      <c r="G1548" s="8" t="s">
        <v>10922</v>
      </c>
      <c r="H1548" s="8" t="s">
        <v>3479</v>
      </c>
      <c r="I1548" s="9">
        <v>0.0</v>
      </c>
      <c r="J1548" s="9">
        <v>5045.0</v>
      </c>
      <c r="K1548" s="9">
        <v>5045.0</v>
      </c>
      <c r="L1548" s="9">
        <v>5045.0</v>
      </c>
      <c r="M1548" s="9">
        <v>1435.0</v>
      </c>
      <c r="N1548" s="9">
        <v>460.0</v>
      </c>
      <c r="O1548" s="9">
        <v>3150.0</v>
      </c>
      <c r="P1548" s="8" t="s">
        <v>3480</v>
      </c>
      <c r="Q1548" s="8" t="s">
        <v>5397</v>
      </c>
      <c r="R1548" s="8" t="s">
        <v>5398</v>
      </c>
    </row>
    <row r="1549">
      <c r="A1549" s="8" t="s">
        <v>2026</v>
      </c>
      <c r="B1549" s="8" t="s">
        <v>10923</v>
      </c>
      <c r="C1549" s="8" t="s">
        <v>10924</v>
      </c>
      <c r="D1549" s="9">
        <v>9.665407374E9</v>
      </c>
      <c r="E1549" s="8" t="s">
        <v>10925</v>
      </c>
      <c r="F1549" s="8" t="s">
        <v>3615</v>
      </c>
      <c r="G1549" s="8" t="s">
        <v>3494</v>
      </c>
      <c r="H1549" s="8" t="s">
        <v>3479</v>
      </c>
      <c r="I1549" s="9">
        <v>0.0</v>
      </c>
      <c r="J1549" s="9">
        <v>3284.0</v>
      </c>
      <c r="K1549" s="9">
        <v>3284.0</v>
      </c>
      <c r="L1549" s="9">
        <v>3284.0</v>
      </c>
      <c r="M1549" s="9">
        <v>1721.0</v>
      </c>
      <c r="N1549" s="9">
        <v>839.0</v>
      </c>
      <c r="O1549" s="9">
        <v>724.0</v>
      </c>
      <c r="P1549" s="8" t="s">
        <v>4183</v>
      </c>
      <c r="Q1549" s="8" t="s">
        <v>10926</v>
      </c>
      <c r="R1549" s="8" t="s">
        <v>10927</v>
      </c>
    </row>
    <row r="1550">
      <c r="A1550" s="8" t="s">
        <v>2027</v>
      </c>
      <c r="B1550" s="8" t="s">
        <v>10928</v>
      </c>
      <c r="C1550" s="8" t="s">
        <v>10929</v>
      </c>
      <c r="D1550" s="9">
        <v>9.92286446E9</v>
      </c>
      <c r="E1550" s="8" t="s">
        <v>10930</v>
      </c>
      <c r="F1550" s="8" t="s">
        <v>3550</v>
      </c>
      <c r="G1550" s="8" t="s">
        <v>10931</v>
      </c>
      <c r="H1550" s="8" t="s">
        <v>3479</v>
      </c>
      <c r="I1550" s="9">
        <v>0.0</v>
      </c>
      <c r="J1550" s="9">
        <v>1637.0</v>
      </c>
      <c r="K1550" s="9">
        <v>1637.0</v>
      </c>
      <c r="L1550" s="9">
        <v>1637.0</v>
      </c>
      <c r="M1550" s="9">
        <v>543.0</v>
      </c>
      <c r="N1550" s="9">
        <v>645.0</v>
      </c>
      <c r="O1550" s="9">
        <v>449.0</v>
      </c>
      <c r="P1550" s="8" t="s">
        <v>4183</v>
      </c>
      <c r="Q1550" s="8"/>
      <c r="R1550" s="8"/>
    </row>
    <row r="1551">
      <c r="A1551" s="8" t="s">
        <v>2028</v>
      </c>
      <c r="B1551" s="8" t="s">
        <v>10932</v>
      </c>
      <c r="C1551" s="8" t="s">
        <v>10933</v>
      </c>
      <c r="D1551" s="9">
        <v>9.619664133E9</v>
      </c>
      <c r="E1551" s="8" t="s">
        <v>10934</v>
      </c>
      <c r="F1551" s="8" t="s">
        <v>3721</v>
      </c>
      <c r="G1551" s="8" t="s">
        <v>10935</v>
      </c>
      <c r="H1551" s="8" t="s">
        <v>3479</v>
      </c>
      <c r="I1551" s="9">
        <v>0.0</v>
      </c>
      <c r="J1551" s="9">
        <v>3125.0</v>
      </c>
      <c r="K1551" s="9">
        <v>3125.0</v>
      </c>
      <c r="L1551" s="9">
        <v>3125.0</v>
      </c>
      <c r="M1551" s="9">
        <v>3125.0</v>
      </c>
      <c r="N1551" s="9">
        <v>0.0</v>
      </c>
      <c r="O1551" s="9">
        <v>0.0</v>
      </c>
      <c r="P1551" s="8" t="s">
        <v>4183</v>
      </c>
      <c r="Q1551" s="8"/>
      <c r="R1551" s="8"/>
    </row>
    <row r="1552">
      <c r="A1552" s="8" t="s">
        <v>2029</v>
      </c>
      <c r="B1552" s="8" t="s">
        <v>10936</v>
      </c>
      <c r="C1552" s="8" t="s">
        <v>10937</v>
      </c>
      <c r="D1552" s="9">
        <v>8.888845573E9</v>
      </c>
      <c r="E1552" s="8" t="s">
        <v>10938</v>
      </c>
      <c r="F1552" s="8" t="s">
        <v>4676</v>
      </c>
      <c r="G1552" s="8" t="s">
        <v>10939</v>
      </c>
      <c r="H1552" s="8" t="s">
        <v>3479</v>
      </c>
      <c r="I1552" s="9">
        <v>0.0</v>
      </c>
      <c r="J1552" s="9">
        <v>1938.0</v>
      </c>
      <c r="K1552" s="9">
        <v>1938.0</v>
      </c>
      <c r="L1552" s="9">
        <v>1938.0</v>
      </c>
      <c r="M1552" s="9">
        <v>565.0</v>
      </c>
      <c r="N1552" s="9">
        <v>774.0</v>
      </c>
      <c r="O1552" s="9">
        <v>599.0</v>
      </c>
      <c r="P1552" s="8" t="s">
        <v>4183</v>
      </c>
      <c r="Q1552" s="8" t="s">
        <v>10940</v>
      </c>
      <c r="R1552" s="8" t="s">
        <v>10941</v>
      </c>
    </row>
    <row r="1553">
      <c r="A1553" s="8" t="s">
        <v>2201</v>
      </c>
      <c r="B1553" s="8" t="s">
        <v>10942</v>
      </c>
      <c r="C1553" s="8" t="s">
        <v>9142</v>
      </c>
      <c r="D1553" s="9">
        <v>8.484908611E9</v>
      </c>
      <c r="E1553" s="8" t="s">
        <v>9143</v>
      </c>
      <c r="F1553" s="8" t="s">
        <v>4252</v>
      </c>
      <c r="G1553" s="8" t="s">
        <v>10943</v>
      </c>
      <c r="H1553" s="8" t="s">
        <v>10944</v>
      </c>
      <c r="I1553" s="9">
        <v>0.0</v>
      </c>
      <c r="J1553" s="9">
        <v>500.0</v>
      </c>
      <c r="K1553" s="9">
        <v>535.0</v>
      </c>
      <c r="L1553" s="9">
        <v>500.0</v>
      </c>
      <c r="M1553" s="9">
        <v>160.0</v>
      </c>
      <c r="N1553" s="9">
        <v>0.0</v>
      </c>
      <c r="O1553" s="9">
        <v>375.0</v>
      </c>
      <c r="P1553" s="8" t="s">
        <v>6816</v>
      </c>
      <c r="Q1553" s="8"/>
      <c r="R1553" s="8"/>
    </row>
    <row r="1554">
      <c r="A1554" s="8" t="s">
        <v>2202</v>
      </c>
      <c r="B1554" s="8" t="s">
        <v>10945</v>
      </c>
      <c r="C1554" s="8" t="s">
        <v>10946</v>
      </c>
      <c r="D1554" s="9">
        <v>9.028386726E9</v>
      </c>
      <c r="E1554" s="8" t="s">
        <v>10947</v>
      </c>
      <c r="F1554" s="8" t="s">
        <v>10948</v>
      </c>
      <c r="G1554" s="8" t="s">
        <v>10949</v>
      </c>
      <c r="H1554" s="8" t="s">
        <v>3479</v>
      </c>
      <c r="I1554" s="9">
        <v>0.0</v>
      </c>
      <c r="J1554" s="9">
        <v>2429.0</v>
      </c>
      <c r="K1554" s="9">
        <v>2429.0</v>
      </c>
      <c r="L1554" s="9">
        <v>2429.0</v>
      </c>
      <c r="M1554" s="9">
        <v>1880.0</v>
      </c>
      <c r="N1554" s="9">
        <v>0.0</v>
      </c>
      <c r="O1554" s="9">
        <v>549.0</v>
      </c>
      <c r="P1554" s="8" t="s">
        <v>3480</v>
      </c>
      <c r="Q1554" s="8"/>
      <c r="R1554" s="8"/>
    </row>
    <row r="1555">
      <c r="A1555" s="8" t="s">
        <v>2054</v>
      </c>
      <c r="B1555" s="8" t="s">
        <v>10950</v>
      </c>
      <c r="C1555" s="8" t="s">
        <v>10951</v>
      </c>
      <c r="D1555" s="9">
        <v>7.588707015E9</v>
      </c>
      <c r="E1555" s="8" t="s">
        <v>10952</v>
      </c>
      <c r="F1555" s="8" t="s">
        <v>3714</v>
      </c>
      <c r="G1555" s="8" t="s">
        <v>10953</v>
      </c>
      <c r="H1555" s="8" t="s">
        <v>3479</v>
      </c>
      <c r="I1555" s="9">
        <v>0.0</v>
      </c>
      <c r="J1555" s="9">
        <v>1600.0</v>
      </c>
      <c r="K1555" s="9">
        <v>1600.0</v>
      </c>
      <c r="L1555" s="9">
        <v>1600.0</v>
      </c>
      <c r="M1555" s="9">
        <v>1500.0</v>
      </c>
      <c r="N1555" s="9">
        <v>0.0</v>
      </c>
      <c r="O1555" s="9">
        <v>100.0</v>
      </c>
      <c r="P1555" s="8" t="s">
        <v>3480</v>
      </c>
      <c r="Q1555" s="8"/>
      <c r="R1555" s="8"/>
    </row>
    <row r="1556">
      <c r="A1556" s="8" t="s">
        <v>2031</v>
      </c>
      <c r="B1556" s="8" t="s">
        <v>10954</v>
      </c>
      <c r="C1556" s="8" t="s">
        <v>6256</v>
      </c>
      <c r="D1556" s="9">
        <v>9.93080766E9</v>
      </c>
      <c r="E1556" s="8" t="s">
        <v>6257</v>
      </c>
      <c r="F1556" s="8" t="s">
        <v>3608</v>
      </c>
      <c r="G1556" s="8" t="s">
        <v>10955</v>
      </c>
      <c r="H1556" s="8" t="s">
        <v>3479</v>
      </c>
      <c r="I1556" s="9">
        <v>0.0</v>
      </c>
      <c r="J1556" s="9">
        <v>1512.0</v>
      </c>
      <c r="K1556" s="9">
        <v>1512.0</v>
      </c>
      <c r="L1556" s="9">
        <v>1512.0</v>
      </c>
      <c r="M1556" s="9">
        <v>333.0</v>
      </c>
      <c r="N1556" s="9">
        <v>730.0</v>
      </c>
      <c r="O1556" s="9">
        <v>449.0</v>
      </c>
      <c r="P1556" s="8" t="s">
        <v>4183</v>
      </c>
      <c r="Q1556" s="8" t="s">
        <v>6259</v>
      </c>
      <c r="R1556" s="8" t="s">
        <v>6260</v>
      </c>
    </row>
    <row r="1557">
      <c r="A1557" s="8" t="s">
        <v>2056</v>
      </c>
      <c r="B1557" s="8" t="s">
        <v>10956</v>
      </c>
      <c r="C1557" s="8" t="s">
        <v>9121</v>
      </c>
      <c r="D1557" s="9">
        <v>9.373841171E9</v>
      </c>
      <c r="E1557" s="8" t="s">
        <v>9122</v>
      </c>
      <c r="F1557" s="8" t="s">
        <v>8180</v>
      </c>
      <c r="G1557" s="8" t="s">
        <v>10957</v>
      </c>
      <c r="H1557" s="8" t="s">
        <v>3479</v>
      </c>
      <c r="I1557" s="9">
        <v>0.0</v>
      </c>
      <c r="J1557" s="9">
        <v>1862.0</v>
      </c>
      <c r="K1557" s="9">
        <v>1862.0</v>
      </c>
      <c r="L1557" s="9">
        <v>1862.0</v>
      </c>
      <c r="M1557" s="9">
        <v>1413.0</v>
      </c>
      <c r="N1557" s="9">
        <v>0.0</v>
      </c>
      <c r="O1557" s="9">
        <v>449.0</v>
      </c>
      <c r="P1557" s="8" t="s">
        <v>3480</v>
      </c>
      <c r="Q1557" s="8"/>
      <c r="R1557" s="8"/>
    </row>
    <row r="1558">
      <c r="A1558" s="8" t="s">
        <v>2034</v>
      </c>
      <c r="B1558" s="8" t="s">
        <v>10958</v>
      </c>
      <c r="C1558" s="8" t="s">
        <v>7237</v>
      </c>
      <c r="D1558" s="9">
        <v>9.373825616E9</v>
      </c>
      <c r="E1558" s="8" t="s">
        <v>7238</v>
      </c>
      <c r="F1558" s="8" t="s">
        <v>3977</v>
      </c>
      <c r="G1558" s="8" t="s">
        <v>10959</v>
      </c>
      <c r="H1558" s="8" t="s">
        <v>3479</v>
      </c>
      <c r="I1558" s="9">
        <v>0.0</v>
      </c>
      <c r="J1558" s="9">
        <v>2278.0</v>
      </c>
      <c r="K1558" s="9">
        <v>2278.0</v>
      </c>
      <c r="L1558" s="9">
        <v>2278.0</v>
      </c>
      <c r="M1558" s="9">
        <v>759.0</v>
      </c>
      <c r="N1558" s="9">
        <v>795.0</v>
      </c>
      <c r="O1558" s="9">
        <v>724.0</v>
      </c>
      <c r="P1558" s="8" t="s">
        <v>4183</v>
      </c>
      <c r="Q1558" s="8" t="s">
        <v>7240</v>
      </c>
      <c r="R1558" s="8" t="s">
        <v>7241</v>
      </c>
    </row>
    <row r="1559">
      <c r="A1559" s="8" t="s">
        <v>2036</v>
      </c>
      <c r="B1559" s="8" t="s">
        <v>10960</v>
      </c>
      <c r="C1559" s="8" t="s">
        <v>9413</v>
      </c>
      <c r="D1559" s="9">
        <v>9.601997402E9</v>
      </c>
      <c r="E1559" s="8" t="s">
        <v>10961</v>
      </c>
      <c r="F1559" s="8" t="s">
        <v>3608</v>
      </c>
      <c r="G1559" s="8" t="s">
        <v>10962</v>
      </c>
      <c r="H1559" s="8" t="s">
        <v>3479</v>
      </c>
      <c r="I1559" s="9">
        <v>0.0</v>
      </c>
      <c r="J1559" s="9">
        <v>1259.0</v>
      </c>
      <c r="K1559" s="9">
        <v>1259.0</v>
      </c>
      <c r="L1559" s="9">
        <v>1259.0</v>
      </c>
      <c r="M1559" s="9">
        <v>80.0</v>
      </c>
      <c r="N1559" s="9">
        <v>730.0</v>
      </c>
      <c r="O1559" s="9">
        <v>449.0</v>
      </c>
      <c r="P1559" s="8" t="s">
        <v>4183</v>
      </c>
      <c r="Q1559" s="8" t="s">
        <v>10963</v>
      </c>
      <c r="R1559" s="8" t="s">
        <v>10964</v>
      </c>
    </row>
    <row r="1560">
      <c r="A1560" s="8" t="s">
        <v>2037</v>
      </c>
      <c r="B1560" s="8" t="s">
        <v>10965</v>
      </c>
      <c r="C1560" s="8" t="s">
        <v>10966</v>
      </c>
      <c r="D1560" s="9">
        <v>9.730477907E9</v>
      </c>
      <c r="E1560" s="8" t="s">
        <v>10967</v>
      </c>
      <c r="F1560" s="8" t="s">
        <v>3589</v>
      </c>
      <c r="G1560" s="8" t="s">
        <v>10968</v>
      </c>
      <c r="H1560" s="8" t="s">
        <v>3479</v>
      </c>
      <c r="I1560" s="9">
        <v>0.0</v>
      </c>
      <c r="J1560" s="9">
        <v>1224.0</v>
      </c>
      <c r="K1560" s="9">
        <v>1224.0</v>
      </c>
      <c r="L1560" s="9">
        <v>1224.0</v>
      </c>
      <c r="M1560" s="9">
        <v>160.0</v>
      </c>
      <c r="N1560" s="9">
        <v>540.0</v>
      </c>
      <c r="O1560" s="9">
        <v>524.0</v>
      </c>
      <c r="P1560" s="8" t="s">
        <v>4183</v>
      </c>
      <c r="Q1560" s="8" t="s">
        <v>10969</v>
      </c>
      <c r="R1560" s="8" t="s">
        <v>10970</v>
      </c>
    </row>
    <row r="1561">
      <c r="A1561" s="8" t="s">
        <v>2039</v>
      </c>
      <c r="B1561" s="8" t="s">
        <v>10971</v>
      </c>
      <c r="C1561" s="8" t="s">
        <v>10972</v>
      </c>
      <c r="D1561" s="9">
        <v>7.72099314E9</v>
      </c>
      <c r="E1561" s="8" t="s">
        <v>10973</v>
      </c>
      <c r="F1561" s="8" t="s">
        <v>5530</v>
      </c>
      <c r="G1561" s="8" t="s">
        <v>10974</v>
      </c>
      <c r="H1561" s="8" t="s">
        <v>3479</v>
      </c>
      <c r="I1561" s="9">
        <v>0.0</v>
      </c>
      <c r="J1561" s="9">
        <v>2703.0</v>
      </c>
      <c r="K1561" s="9">
        <v>2703.0</v>
      </c>
      <c r="L1561" s="9">
        <v>2703.0</v>
      </c>
      <c r="M1561" s="9">
        <v>1400.0</v>
      </c>
      <c r="N1561" s="9">
        <v>774.0</v>
      </c>
      <c r="O1561" s="9">
        <v>529.0</v>
      </c>
      <c r="P1561" s="8" t="s">
        <v>4183</v>
      </c>
      <c r="Q1561" s="8" t="s">
        <v>10975</v>
      </c>
      <c r="R1561" s="8" t="s">
        <v>10976</v>
      </c>
    </row>
    <row r="1562">
      <c r="A1562" s="8" t="s">
        <v>2041</v>
      </c>
      <c r="B1562" s="8" t="s">
        <v>10977</v>
      </c>
      <c r="C1562" s="8" t="s">
        <v>10978</v>
      </c>
      <c r="D1562" s="9">
        <v>9.92237738E9</v>
      </c>
      <c r="E1562" s="8" t="s">
        <v>10979</v>
      </c>
      <c r="F1562" s="8" t="s">
        <v>3615</v>
      </c>
      <c r="G1562" s="8" t="s">
        <v>10980</v>
      </c>
      <c r="H1562" s="8" t="s">
        <v>3479</v>
      </c>
      <c r="I1562" s="9">
        <v>0.0</v>
      </c>
      <c r="J1562" s="9">
        <v>3426.0</v>
      </c>
      <c r="K1562" s="9">
        <v>3426.0</v>
      </c>
      <c r="L1562" s="9">
        <v>3426.0</v>
      </c>
      <c r="M1562" s="9">
        <v>1878.0</v>
      </c>
      <c r="N1562" s="9">
        <v>774.0</v>
      </c>
      <c r="O1562" s="9">
        <v>774.0</v>
      </c>
      <c r="P1562" s="8" t="s">
        <v>4183</v>
      </c>
      <c r="Q1562" s="8" t="s">
        <v>10981</v>
      </c>
      <c r="R1562" s="8" t="s">
        <v>10982</v>
      </c>
    </row>
    <row r="1563">
      <c r="A1563" s="8" t="s">
        <v>2042</v>
      </c>
      <c r="B1563" s="8" t="s">
        <v>10983</v>
      </c>
      <c r="C1563" s="8" t="s">
        <v>6807</v>
      </c>
      <c r="D1563" s="9">
        <v>9.595183679E9</v>
      </c>
      <c r="E1563" s="8" t="s">
        <v>6808</v>
      </c>
      <c r="F1563" s="8" t="s">
        <v>3653</v>
      </c>
      <c r="G1563" s="8" t="s">
        <v>10984</v>
      </c>
      <c r="H1563" s="8" t="s">
        <v>3479</v>
      </c>
      <c r="I1563" s="9">
        <v>0.0</v>
      </c>
      <c r="J1563" s="9">
        <v>1872.0</v>
      </c>
      <c r="K1563" s="9">
        <v>1872.0</v>
      </c>
      <c r="L1563" s="9">
        <v>1872.0</v>
      </c>
      <c r="M1563" s="9">
        <v>649.0</v>
      </c>
      <c r="N1563" s="9">
        <v>774.0</v>
      </c>
      <c r="O1563" s="9">
        <v>449.0</v>
      </c>
      <c r="P1563" s="8" t="s">
        <v>4183</v>
      </c>
      <c r="Q1563" s="8" t="s">
        <v>6810</v>
      </c>
      <c r="R1563" s="8" t="s">
        <v>6811</v>
      </c>
    </row>
    <row r="1564">
      <c r="A1564" s="8" t="s">
        <v>2044</v>
      </c>
      <c r="B1564" s="8" t="s">
        <v>10985</v>
      </c>
      <c r="C1564" s="8" t="s">
        <v>6437</v>
      </c>
      <c r="D1564" s="9">
        <v>9.604700437E9</v>
      </c>
      <c r="E1564" s="8" t="s">
        <v>6438</v>
      </c>
      <c r="F1564" s="8" t="s">
        <v>5530</v>
      </c>
      <c r="G1564" s="8" t="s">
        <v>10986</v>
      </c>
      <c r="H1564" s="8" t="s">
        <v>3479</v>
      </c>
      <c r="I1564" s="9">
        <v>0.0</v>
      </c>
      <c r="J1564" s="9">
        <v>3574.0</v>
      </c>
      <c r="K1564" s="9">
        <v>3574.0</v>
      </c>
      <c r="L1564" s="9">
        <v>3574.0</v>
      </c>
      <c r="M1564" s="9">
        <v>1911.0</v>
      </c>
      <c r="N1564" s="9">
        <v>839.0</v>
      </c>
      <c r="O1564" s="9">
        <v>824.0</v>
      </c>
      <c r="P1564" s="8" t="s">
        <v>4183</v>
      </c>
      <c r="Q1564" s="8" t="s">
        <v>6441</v>
      </c>
      <c r="R1564" s="8" t="s">
        <v>6442</v>
      </c>
    </row>
    <row r="1565">
      <c r="A1565" s="8" t="s">
        <v>2046</v>
      </c>
      <c r="B1565" s="8" t="s">
        <v>10987</v>
      </c>
      <c r="C1565" s="8" t="s">
        <v>10988</v>
      </c>
      <c r="D1565" s="9">
        <v>9.689659756E9</v>
      </c>
      <c r="E1565" s="8" t="s">
        <v>10989</v>
      </c>
      <c r="F1565" s="8" t="s">
        <v>5064</v>
      </c>
      <c r="G1565" s="8" t="s">
        <v>10990</v>
      </c>
      <c r="H1565" s="8" t="s">
        <v>3479</v>
      </c>
      <c r="I1565" s="9">
        <v>0.0</v>
      </c>
      <c r="J1565" s="9">
        <v>1508.0</v>
      </c>
      <c r="K1565" s="9">
        <v>1508.0</v>
      </c>
      <c r="L1565" s="9">
        <v>1508.0</v>
      </c>
      <c r="M1565" s="9">
        <v>135.0</v>
      </c>
      <c r="N1565" s="9">
        <v>774.0</v>
      </c>
      <c r="O1565" s="9">
        <v>599.0</v>
      </c>
      <c r="P1565" s="8" t="s">
        <v>4183</v>
      </c>
      <c r="Q1565" s="8" t="s">
        <v>10991</v>
      </c>
      <c r="R1565" s="8" t="s">
        <v>10992</v>
      </c>
    </row>
    <row r="1566">
      <c r="A1566" s="8" t="s">
        <v>2048</v>
      </c>
      <c r="B1566" s="8" t="s">
        <v>10993</v>
      </c>
      <c r="C1566" s="8" t="s">
        <v>10994</v>
      </c>
      <c r="D1566" s="9">
        <v>9.940207034E9</v>
      </c>
      <c r="E1566" s="8" t="s">
        <v>10995</v>
      </c>
      <c r="F1566" s="8" t="s">
        <v>4093</v>
      </c>
      <c r="G1566" s="8" t="s">
        <v>10996</v>
      </c>
      <c r="H1566" s="8" t="s">
        <v>3479</v>
      </c>
      <c r="I1566" s="9">
        <v>0.0</v>
      </c>
      <c r="J1566" s="9">
        <v>3722.0</v>
      </c>
      <c r="K1566" s="9">
        <v>3722.0</v>
      </c>
      <c r="L1566" s="9">
        <v>3722.0</v>
      </c>
      <c r="M1566" s="9">
        <v>2054.0</v>
      </c>
      <c r="N1566" s="9">
        <v>1069.0</v>
      </c>
      <c r="O1566" s="9">
        <v>599.0</v>
      </c>
      <c r="P1566" s="8" t="s">
        <v>4183</v>
      </c>
      <c r="Q1566" s="8" t="s">
        <v>10997</v>
      </c>
      <c r="R1566" s="8" t="s">
        <v>10998</v>
      </c>
    </row>
    <row r="1567">
      <c r="A1567" s="8" t="s">
        <v>2049</v>
      </c>
      <c r="B1567" s="8" t="s">
        <v>10999</v>
      </c>
      <c r="C1567" s="8" t="s">
        <v>11000</v>
      </c>
      <c r="D1567" s="9">
        <v>9.76703509E9</v>
      </c>
      <c r="E1567" s="8" t="s">
        <v>11001</v>
      </c>
      <c r="F1567" s="8" t="s">
        <v>3653</v>
      </c>
      <c r="G1567" s="8" t="s">
        <v>11002</v>
      </c>
      <c r="H1567" s="8" t="s">
        <v>3479</v>
      </c>
      <c r="I1567" s="9">
        <v>0.0</v>
      </c>
      <c r="J1567" s="9">
        <v>2866.0</v>
      </c>
      <c r="K1567" s="9">
        <v>2866.0</v>
      </c>
      <c r="L1567" s="9">
        <v>2866.0</v>
      </c>
      <c r="M1567" s="9">
        <v>1368.0</v>
      </c>
      <c r="N1567" s="9">
        <v>774.0</v>
      </c>
      <c r="O1567" s="9">
        <v>724.0</v>
      </c>
      <c r="P1567" s="8" t="s">
        <v>4183</v>
      </c>
      <c r="Q1567" s="8" t="s">
        <v>11003</v>
      </c>
      <c r="R1567" s="8" t="s">
        <v>11004</v>
      </c>
    </row>
    <row r="1568">
      <c r="A1568" s="8" t="s">
        <v>1966</v>
      </c>
      <c r="B1568" s="8" t="s">
        <v>11005</v>
      </c>
      <c r="C1568" s="8" t="s">
        <v>11006</v>
      </c>
      <c r="D1568" s="9">
        <v>7.062155658E9</v>
      </c>
      <c r="E1568" s="8" t="s">
        <v>11007</v>
      </c>
      <c r="F1568" s="8" t="s">
        <v>6455</v>
      </c>
      <c r="G1568" s="8" t="s">
        <v>11008</v>
      </c>
      <c r="H1568" s="8" t="s">
        <v>3479</v>
      </c>
      <c r="I1568" s="9">
        <v>0.0</v>
      </c>
      <c r="J1568" s="9">
        <v>2839.0</v>
      </c>
      <c r="K1568" s="9">
        <v>2839.0</v>
      </c>
      <c r="L1568" s="9">
        <v>2839.0</v>
      </c>
      <c r="M1568" s="9">
        <v>1580.0</v>
      </c>
      <c r="N1568" s="9">
        <v>730.0</v>
      </c>
      <c r="O1568" s="9">
        <v>529.0</v>
      </c>
      <c r="P1568" s="8" t="s">
        <v>4183</v>
      </c>
      <c r="Q1568" s="8" t="s">
        <v>11009</v>
      </c>
      <c r="R1568" s="8" t="s">
        <v>11010</v>
      </c>
    </row>
    <row r="1569">
      <c r="A1569" s="8" t="s">
        <v>1967</v>
      </c>
      <c r="B1569" s="8" t="s">
        <v>11011</v>
      </c>
      <c r="C1569" s="8" t="s">
        <v>4136</v>
      </c>
      <c r="D1569" s="9">
        <v>9.348759848E9</v>
      </c>
      <c r="E1569" s="8" t="s">
        <v>10304</v>
      </c>
      <c r="F1569" s="8" t="s">
        <v>5485</v>
      </c>
      <c r="G1569" s="8" t="s">
        <v>11012</v>
      </c>
      <c r="H1569" s="8" t="s">
        <v>3479</v>
      </c>
      <c r="I1569" s="9">
        <v>0.0</v>
      </c>
      <c r="J1569" s="9">
        <v>3925.0</v>
      </c>
      <c r="K1569" s="9">
        <v>3925.0</v>
      </c>
      <c r="L1569" s="9">
        <v>3925.0</v>
      </c>
      <c r="M1569" s="9">
        <v>565.0</v>
      </c>
      <c r="N1569" s="9">
        <v>760.0</v>
      </c>
      <c r="O1569" s="9">
        <v>2600.0</v>
      </c>
      <c r="P1569" s="8" t="s">
        <v>6294</v>
      </c>
      <c r="Q1569" s="8"/>
      <c r="R1569" s="8"/>
    </row>
    <row r="1570">
      <c r="A1570" s="8" t="s">
        <v>1968</v>
      </c>
      <c r="B1570" s="8" t="s">
        <v>11013</v>
      </c>
      <c r="C1570" s="8" t="s">
        <v>3592</v>
      </c>
      <c r="D1570" s="9">
        <v>8.484088353E9</v>
      </c>
      <c r="E1570" s="8" t="s">
        <v>3593</v>
      </c>
      <c r="F1570" s="8" t="s">
        <v>3594</v>
      </c>
      <c r="G1570" s="8" t="s">
        <v>11014</v>
      </c>
      <c r="H1570" s="8" t="s">
        <v>3479</v>
      </c>
      <c r="I1570" s="9">
        <v>0.0</v>
      </c>
      <c r="J1570" s="9">
        <v>1764.0</v>
      </c>
      <c r="K1570" s="9">
        <v>1764.0</v>
      </c>
      <c r="L1570" s="9">
        <v>1764.0</v>
      </c>
      <c r="M1570" s="9">
        <v>510.0</v>
      </c>
      <c r="N1570" s="9">
        <v>730.0</v>
      </c>
      <c r="O1570" s="9">
        <v>524.0</v>
      </c>
      <c r="P1570" s="8" t="s">
        <v>4183</v>
      </c>
      <c r="Q1570" s="8" t="s">
        <v>3596</v>
      </c>
      <c r="R1570" s="8" t="s">
        <v>3597</v>
      </c>
    </row>
    <row r="1571">
      <c r="A1571" s="8" t="s">
        <v>1969</v>
      </c>
      <c r="B1571" s="8" t="s">
        <v>11015</v>
      </c>
      <c r="C1571" s="8" t="s">
        <v>11016</v>
      </c>
      <c r="D1571" s="9">
        <v>9.922997595E9</v>
      </c>
      <c r="E1571" s="8" t="s">
        <v>11017</v>
      </c>
      <c r="F1571" s="8" t="s">
        <v>3821</v>
      </c>
      <c r="G1571" s="8" t="s">
        <v>11018</v>
      </c>
      <c r="H1571" s="8" t="s">
        <v>3479</v>
      </c>
      <c r="I1571" s="9">
        <v>0.0</v>
      </c>
      <c r="J1571" s="9">
        <v>2004.0</v>
      </c>
      <c r="K1571" s="9">
        <v>2004.0</v>
      </c>
      <c r="L1571" s="9">
        <v>2004.0</v>
      </c>
      <c r="M1571" s="9">
        <v>750.0</v>
      </c>
      <c r="N1571" s="9">
        <v>730.0</v>
      </c>
      <c r="O1571" s="9">
        <v>524.0</v>
      </c>
      <c r="P1571" s="8" t="s">
        <v>4183</v>
      </c>
      <c r="Q1571" s="8" t="s">
        <v>11019</v>
      </c>
      <c r="R1571" s="8" t="s">
        <v>11020</v>
      </c>
    </row>
    <row r="1572">
      <c r="A1572" s="8" t="s">
        <v>1970</v>
      </c>
      <c r="B1572" s="8" t="s">
        <v>11021</v>
      </c>
      <c r="C1572" s="8" t="s">
        <v>11022</v>
      </c>
      <c r="D1572" s="9">
        <v>9.850891024E9</v>
      </c>
      <c r="E1572" s="8" t="s">
        <v>11023</v>
      </c>
      <c r="F1572" s="8" t="s">
        <v>3498</v>
      </c>
      <c r="G1572" s="8" t="s">
        <v>11024</v>
      </c>
      <c r="H1572" s="8" t="s">
        <v>11025</v>
      </c>
      <c r="I1572" s="9">
        <v>0.0</v>
      </c>
      <c r="J1572" s="9">
        <v>2600.0</v>
      </c>
      <c r="K1572" s="9">
        <v>2619.0</v>
      </c>
      <c r="L1572" s="9">
        <v>2600.0</v>
      </c>
      <c r="M1572" s="9">
        <v>1080.0</v>
      </c>
      <c r="N1572" s="9">
        <v>730.0</v>
      </c>
      <c r="O1572" s="9">
        <v>809.0</v>
      </c>
      <c r="P1572" s="8" t="s">
        <v>6294</v>
      </c>
      <c r="Q1572" s="8" t="s">
        <v>11026</v>
      </c>
      <c r="R1572" s="8" t="s">
        <v>11027</v>
      </c>
    </row>
    <row r="1573">
      <c r="A1573" s="8" t="s">
        <v>1971</v>
      </c>
      <c r="B1573" s="8" t="s">
        <v>11028</v>
      </c>
      <c r="C1573" s="8" t="s">
        <v>11029</v>
      </c>
      <c r="D1573" s="9">
        <v>9.970562474E9</v>
      </c>
      <c r="E1573" s="8" t="s">
        <v>11030</v>
      </c>
      <c r="F1573" s="8" t="s">
        <v>4239</v>
      </c>
      <c r="G1573" s="8" t="s">
        <v>5524</v>
      </c>
      <c r="H1573" s="8" t="s">
        <v>3479</v>
      </c>
      <c r="I1573" s="9">
        <v>0.0</v>
      </c>
      <c r="J1573" s="9">
        <v>2902.0</v>
      </c>
      <c r="K1573" s="9">
        <v>2902.0</v>
      </c>
      <c r="L1573" s="9">
        <v>2902.0</v>
      </c>
      <c r="M1573" s="9">
        <v>1723.0</v>
      </c>
      <c r="N1573" s="9">
        <v>730.0</v>
      </c>
      <c r="O1573" s="9">
        <v>449.0</v>
      </c>
      <c r="P1573" s="8" t="s">
        <v>4183</v>
      </c>
      <c r="Q1573" s="8" t="s">
        <v>11031</v>
      </c>
      <c r="R1573" s="8" t="s">
        <v>11032</v>
      </c>
    </row>
    <row r="1574">
      <c r="A1574" s="8" t="s">
        <v>1972</v>
      </c>
      <c r="B1574" s="8" t="s">
        <v>11033</v>
      </c>
      <c r="C1574" s="8" t="s">
        <v>8597</v>
      </c>
      <c r="D1574" s="9">
        <v>7.71597177E9</v>
      </c>
      <c r="E1574" s="8" t="s">
        <v>8598</v>
      </c>
      <c r="F1574" s="8" t="s">
        <v>3608</v>
      </c>
      <c r="G1574" s="8" t="s">
        <v>8599</v>
      </c>
      <c r="H1574" s="8" t="s">
        <v>3479</v>
      </c>
      <c r="I1574" s="9">
        <v>0.0</v>
      </c>
      <c r="J1574" s="9">
        <v>2469.0</v>
      </c>
      <c r="K1574" s="9">
        <v>2469.0</v>
      </c>
      <c r="L1574" s="9">
        <v>2469.0</v>
      </c>
      <c r="M1574" s="9">
        <v>1290.0</v>
      </c>
      <c r="N1574" s="9">
        <v>730.0</v>
      </c>
      <c r="O1574" s="9">
        <v>449.0</v>
      </c>
      <c r="P1574" s="8" t="s">
        <v>4183</v>
      </c>
      <c r="Q1574" s="8" t="s">
        <v>8600</v>
      </c>
      <c r="R1574" s="8" t="s">
        <v>8601</v>
      </c>
    </row>
    <row r="1575">
      <c r="A1575" s="8" t="s">
        <v>1973</v>
      </c>
      <c r="B1575" s="8" t="s">
        <v>11034</v>
      </c>
      <c r="C1575" s="8" t="s">
        <v>5456</v>
      </c>
      <c r="D1575" s="9">
        <v>8.793125659E9</v>
      </c>
      <c r="E1575" s="8" t="s">
        <v>5457</v>
      </c>
      <c r="F1575" s="8" t="s">
        <v>4454</v>
      </c>
      <c r="G1575" s="8" t="s">
        <v>11035</v>
      </c>
      <c r="H1575" s="8" t="s">
        <v>3479</v>
      </c>
      <c r="I1575" s="9">
        <v>0.0</v>
      </c>
      <c r="J1575" s="9">
        <v>782.0</v>
      </c>
      <c r="K1575" s="9">
        <v>782.0</v>
      </c>
      <c r="L1575" s="9">
        <v>782.0</v>
      </c>
      <c r="M1575" s="9">
        <v>333.0</v>
      </c>
      <c r="N1575" s="9">
        <v>0.0</v>
      </c>
      <c r="O1575" s="9">
        <v>449.0</v>
      </c>
      <c r="P1575" s="8" t="s">
        <v>4183</v>
      </c>
      <c r="Q1575" s="8" t="s">
        <v>5459</v>
      </c>
      <c r="R1575" s="8" t="s">
        <v>5460</v>
      </c>
    </row>
    <row r="1576">
      <c r="A1576" s="8" t="s">
        <v>1974</v>
      </c>
      <c r="B1576" s="8" t="s">
        <v>11036</v>
      </c>
      <c r="C1576" s="8" t="s">
        <v>11037</v>
      </c>
      <c r="D1576" s="9">
        <v>9.511151111E9</v>
      </c>
      <c r="E1576" s="8" t="s">
        <v>11038</v>
      </c>
      <c r="F1576" s="8" t="s">
        <v>4189</v>
      </c>
      <c r="G1576" s="8" t="s">
        <v>11039</v>
      </c>
      <c r="H1576" s="8" t="s">
        <v>3479</v>
      </c>
      <c r="I1576" s="9">
        <v>0.0</v>
      </c>
      <c r="J1576" s="9">
        <v>1332.0</v>
      </c>
      <c r="K1576" s="9">
        <v>1332.0</v>
      </c>
      <c r="L1576" s="9">
        <v>1332.0</v>
      </c>
      <c r="M1576" s="9">
        <v>803.0</v>
      </c>
      <c r="N1576" s="9">
        <v>80.0</v>
      </c>
      <c r="O1576" s="9">
        <v>449.0</v>
      </c>
      <c r="P1576" s="8" t="s">
        <v>4183</v>
      </c>
      <c r="Q1576" s="8" t="s">
        <v>11040</v>
      </c>
      <c r="R1576" s="8" t="s">
        <v>11041</v>
      </c>
    </row>
    <row r="1577">
      <c r="A1577" s="8" t="s">
        <v>1975</v>
      </c>
      <c r="B1577" s="8" t="s">
        <v>11042</v>
      </c>
      <c r="C1577" s="8" t="s">
        <v>7920</v>
      </c>
      <c r="D1577" s="9">
        <v>7.02021847E9</v>
      </c>
      <c r="E1577" s="8" t="s">
        <v>7921</v>
      </c>
      <c r="F1577" s="8" t="s">
        <v>3615</v>
      </c>
      <c r="G1577" s="8" t="s">
        <v>11043</v>
      </c>
      <c r="H1577" s="8" t="s">
        <v>3479</v>
      </c>
      <c r="I1577" s="9">
        <v>0.0</v>
      </c>
      <c r="J1577" s="9">
        <v>959.0</v>
      </c>
      <c r="K1577" s="9">
        <v>959.0</v>
      </c>
      <c r="L1577" s="9">
        <v>959.0</v>
      </c>
      <c r="M1577" s="9">
        <v>510.0</v>
      </c>
      <c r="N1577" s="9">
        <v>0.0</v>
      </c>
      <c r="O1577" s="9">
        <v>449.0</v>
      </c>
      <c r="P1577" s="8" t="s">
        <v>4183</v>
      </c>
      <c r="Q1577" s="8" t="s">
        <v>7923</v>
      </c>
      <c r="R1577" s="8" t="s">
        <v>7924</v>
      </c>
    </row>
    <row r="1578">
      <c r="A1578" s="8" t="s">
        <v>1976</v>
      </c>
      <c r="B1578" s="8" t="s">
        <v>11044</v>
      </c>
      <c r="C1578" s="8" t="s">
        <v>11045</v>
      </c>
      <c r="D1578" s="9">
        <v>8.485086239E9</v>
      </c>
      <c r="E1578" s="8" t="s">
        <v>11046</v>
      </c>
      <c r="F1578" s="8" t="s">
        <v>3821</v>
      </c>
      <c r="G1578" s="8" t="s">
        <v>11047</v>
      </c>
      <c r="H1578" s="8" t="s">
        <v>3479</v>
      </c>
      <c r="I1578" s="9">
        <v>0.0</v>
      </c>
      <c r="J1578" s="9">
        <v>1574.0</v>
      </c>
      <c r="K1578" s="9">
        <v>1574.0</v>
      </c>
      <c r="L1578" s="9">
        <v>1574.0</v>
      </c>
      <c r="M1578" s="9">
        <v>320.0</v>
      </c>
      <c r="N1578" s="9">
        <v>730.0</v>
      </c>
      <c r="O1578" s="9">
        <v>524.0</v>
      </c>
      <c r="P1578" s="8" t="s">
        <v>4183</v>
      </c>
      <c r="Q1578" s="8" t="s">
        <v>11048</v>
      </c>
      <c r="R1578" s="8" t="s">
        <v>11049</v>
      </c>
    </row>
    <row r="1579">
      <c r="A1579" s="8" t="s">
        <v>1977</v>
      </c>
      <c r="B1579" s="8" t="s">
        <v>11050</v>
      </c>
      <c r="C1579" s="8" t="s">
        <v>11051</v>
      </c>
      <c r="D1579" s="9">
        <v>9.881065691E9</v>
      </c>
      <c r="E1579" s="8" t="s">
        <v>11052</v>
      </c>
      <c r="F1579" s="8" t="s">
        <v>3608</v>
      </c>
      <c r="G1579" s="8" t="s">
        <v>11053</v>
      </c>
      <c r="H1579" s="8" t="s">
        <v>3479</v>
      </c>
      <c r="I1579" s="9">
        <v>0.0</v>
      </c>
      <c r="J1579" s="9">
        <v>1709.0</v>
      </c>
      <c r="K1579" s="9">
        <v>1709.0</v>
      </c>
      <c r="L1579" s="9">
        <v>1709.0</v>
      </c>
      <c r="M1579" s="9">
        <v>530.0</v>
      </c>
      <c r="N1579" s="9">
        <v>730.0</v>
      </c>
      <c r="O1579" s="9">
        <v>449.0</v>
      </c>
      <c r="P1579" s="8" t="s">
        <v>4183</v>
      </c>
      <c r="Q1579" s="8" t="s">
        <v>11054</v>
      </c>
      <c r="R1579" s="8" t="s">
        <v>11055</v>
      </c>
    </row>
    <row r="1580">
      <c r="A1580" s="8" t="s">
        <v>2052</v>
      </c>
      <c r="B1580" s="8" t="s">
        <v>11056</v>
      </c>
      <c r="C1580" s="8" t="s">
        <v>9992</v>
      </c>
      <c r="D1580" s="9">
        <v>9.156299054E9</v>
      </c>
      <c r="E1580" s="8" t="s">
        <v>9993</v>
      </c>
      <c r="F1580" s="8" t="s">
        <v>5485</v>
      </c>
      <c r="G1580" s="8" t="s">
        <v>9602</v>
      </c>
      <c r="H1580" s="8" t="s">
        <v>3479</v>
      </c>
      <c r="I1580" s="9">
        <v>0.0</v>
      </c>
      <c r="J1580" s="9">
        <v>1869.0</v>
      </c>
      <c r="K1580" s="9">
        <v>1869.0</v>
      </c>
      <c r="L1580" s="9">
        <v>1869.0</v>
      </c>
      <c r="M1580" s="9">
        <v>49.0</v>
      </c>
      <c r="N1580" s="9">
        <v>1780.0</v>
      </c>
      <c r="O1580" s="9">
        <v>40.0</v>
      </c>
      <c r="P1580" s="8" t="s">
        <v>4183</v>
      </c>
      <c r="Q1580" s="8"/>
      <c r="R1580" s="8"/>
    </row>
    <row r="1581">
      <c r="A1581" s="8" t="s">
        <v>2057</v>
      </c>
      <c r="B1581" s="8" t="s">
        <v>11057</v>
      </c>
      <c r="C1581" s="8" t="s">
        <v>11058</v>
      </c>
      <c r="D1581" s="9">
        <v>8.411813457E9</v>
      </c>
      <c r="E1581" s="8" t="s">
        <v>11059</v>
      </c>
      <c r="F1581" s="8" t="s">
        <v>4333</v>
      </c>
      <c r="G1581" s="8" t="s">
        <v>11060</v>
      </c>
      <c r="H1581" s="8" t="s">
        <v>3479</v>
      </c>
      <c r="I1581" s="9">
        <v>0.0</v>
      </c>
      <c r="J1581" s="9">
        <v>1106.0</v>
      </c>
      <c r="K1581" s="9">
        <v>1106.0</v>
      </c>
      <c r="L1581" s="9">
        <v>1106.0</v>
      </c>
      <c r="M1581" s="9">
        <v>407.0</v>
      </c>
      <c r="N1581" s="9">
        <v>0.0</v>
      </c>
      <c r="O1581" s="9">
        <v>699.0</v>
      </c>
      <c r="P1581" s="8" t="s">
        <v>3480</v>
      </c>
      <c r="Q1581" s="8"/>
      <c r="R1581" s="8"/>
    </row>
    <row r="1582">
      <c r="A1582" s="8" t="s">
        <v>2210</v>
      </c>
      <c r="B1582" s="8" t="s">
        <v>11061</v>
      </c>
      <c r="C1582" s="8" t="s">
        <v>11062</v>
      </c>
      <c r="D1582" s="9">
        <v>9.028785463E9</v>
      </c>
      <c r="E1582" s="8" t="s">
        <v>11063</v>
      </c>
      <c r="F1582" s="8" t="s">
        <v>3601</v>
      </c>
      <c r="G1582" s="8" t="s">
        <v>11064</v>
      </c>
      <c r="H1582" s="8" t="s">
        <v>3479</v>
      </c>
      <c r="I1582" s="9">
        <v>0.0</v>
      </c>
      <c r="J1582" s="9">
        <v>1227.0</v>
      </c>
      <c r="K1582" s="9">
        <v>1227.0</v>
      </c>
      <c r="L1582" s="9">
        <v>1227.0</v>
      </c>
      <c r="M1582" s="9">
        <v>1227.0</v>
      </c>
      <c r="N1582" s="9">
        <v>0.0</v>
      </c>
      <c r="O1582" s="9">
        <v>0.0</v>
      </c>
      <c r="P1582" s="8" t="s">
        <v>3480</v>
      </c>
      <c r="Q1582" s="8"/>
      <c r="R1582" s="8"/>
    </row>
    <row r="1583">
      <c r="A1583" s="8" t="s">
        <v>2211</v>
      </c>
      <c r="B1583" s="8" t="s">
        <v>11065</v>
      </c>
      <c r="C1583" s="8" t="s">
        <v>11066</v>
      </c>
      <c r="D1583" s="9">
        <v>9.890603382E9</v>
      </c>
      <c r="E1583" s="8" t="s">
        <v>11067</v>
      </c>
      <c r="F1583" s="8" t="s">
        <v>8030</v>
      </c>
      <c r="G1583" s="8" t="s">
        <v>11068</v>
      </c>
      <c r="H1583" s="8" t="s">
        <v>3479</v>
      </c>
      <c r="I1583" s="9">
        <v>0.0</v>
      </c>
      <c r="J1583" s="9">
        <v>1550.0</v>
      </c>
      <c r="K1583" s="9">
        <v>1550.0</v>
      </c>
      <c r="L1583" s="9">
        <v>1550.0</v>
      </c>
      <c r="M1583" s="9">
        <v>1550.0</v>
      </c>
      <c r="N1583" s="9">
        <v>0.0</v>
      </c>
      <c r="O1583" s="9">
        <v>0.0</v>
      </c>
      <c r="P1583" s="8" t="s">
        <v>3480</v>
      </c>
      <c r="Q1583" s="8" t="s">
        <v>11069</v>
      </c>
      <c r="R1583" s="8" t="s">
        <v>11070</v>
      </c>
    </row>
    <row r="1584">
      <c r="A1584" s="8" t="s">
        <v>2058</v>
      </c>
      <c r="B1584" s="8" t="s">
        <v>11071</v>
      </c>
      <c r="C1584" s="8" t="s">
        <v>8608</v>
      </c>
      <c r="D1584" s="9">
        <v>8.37982917E9</v>
      </c>
      <c r="E1584" s="8" t="s">
        <v>8609</v>
      </c>
      <c r="F1584" s="8" t="s">
        <v>3550</v>
      </c>
      <c r="G1584" s="8" t="s">
        <v>11072</v>
      </c>
      <c r="H1584" s="8" t="s">
        <v>3479</v>
      </c>
      <c r="I1584" s="9">
        <v>0.0</v>
      </c>
      <c r="J1584" s="9">
        <v>2989.0</v>
      </c>
      <c r="K1584" s="9">
        <v>2989.0</v>
      </c>
      <c r="L1584" s="9">
        <v>2989.0</v>
      </c>
      <c r="M1584" s="9">
        <v>1810.0</v>
      </c>
      <c r="N1584" s="9">
        <v>730.0</v>
      </c>
      <c r="O1584" s="9">
        <v>449.0</v>
      </c>
      <c r="P1584" s="8" t="s">
        <v>3519</v>
      </c>
      <c r="Q1584" s="8" t="s">
        <v>8611</v>
      </c>
      <c r="R1584" s="8" t="s">
        <v>8612</v>
      </c>
    </row>
    <row r="1585">
      <c r="A1585" s="8" t="s">
        <v>2212</v>
      </c>
      <c r="B1585" s="8" t="s">
        <v>11073</v>
      </c>
      <c r="C1585" s="8" t="s">
        <v>11074</v>
      </c>
      <c r="D1585" s="9">
        <v>9.922008467E9</v>
      </c>
      <c r="E1585" s="8" t="s">
        <v>11075</v>
      </c>
      <c r="F1585" s="8" t="s">
        <v>3486</v>
      </c>
      <c r="G1585" s="8" t="s">
        <v>11076</v>
      </c>
      <c r="H1585" s="8" t="s">
        <v>3479</v>
      </c>
      <c r="I1585" s="9">
        <v>0.0</v>
      </c>
      <c r="J1585" s="9">
        <v>2589.0</v>
      </c>
      <c r="K1585" s="9">
        <v>2589.0</v>
      </c>
      <c r="L1585" s="9">
        <v>2589.0</v>
      </c>
      <c r="M1585" s="9">
        <v>1410.0</v>
      </c>
      <c r="N1585" s="9">
        <v>730.0</v>
      </c>
      <c r="O1585" s="9">
        <v>449.0</v>
      </c>
      <c r="P1585" s="8" t="s">
        <v>3480</v>
      </c>
      <c r="Q1585" s="8" t="s">
        <v>11077</v>
      </c>
      <c r="R1585" s="8" t="s">
        <v>11078</v>
      </c>
    </row>
    <row r="1586">
      <c r="A1586" s="8" t="s">
        <v>2213</v>
      </c>
      <c r="B1586" s="8" t="s">
        <v>11079</v>
      </c>
      <c r="C1586" s="8" t="s">
        <v>11080</v>
      </c>
      <c r="D1586" s="9">
        <v>7.507874449E9</v>
      </c>
      <c r="E1586" s="8" t="s">
        <v>11081</v>
      </c>
      <c r="F1586" s="8" t="s">
        <v>4792</v>
      </c>
      <c r="G1586" s="8" t="s">
        <v>11082</v>
      </c>
      <c r="H1586" s="8" t="s">
        <v>3479</v>
      </c>
      <c r="I1586" s="9">
        <v>0.0</v>
      </c>
      <c r="J1586" s="9">
        <v>4884.0</v>
      </c>
      <c r="K1586" s="9">
        <v>4884.0</v>
      </c>
      <c r="L1586" s="9">
        <v>4884.0</v>
      </c>
      <c r="M1586" s="9">
        <v>3880.0</v>
      </c>
      <c r="N1586" s="9">
        <v>130.0</v>
      </c>
      <c r="O1586" s="9">
        <v>874.0</v>
      </c>
      <c r="P1586" s="8" t="s">
        <v>3480</v>
      </c>
      <c r="Q1586" s="8" t="s">
        <v>11083</v>
      </c>
      <c r="R1586" s="8" t="s">
        <v>11084</v>
      </c>
    </row>
    <row r="1587">
      <c r="A1587" s="8" t="s">
        <v>2203</v>
      </c>
      <c r="B1587" s="8" t="s">
        <v>11085</v>
      </c>
      <c r="C1587" s="8" t="s">
        <v>11086</v>
      </c>
      <c r="D1587" s="9">
        <v>8.329735047E9</v>
      </c>
      <c r="E1587" s="8" t="s">
        <v>11087</v>
      </c>
      <c r="F1587" s="8" t="s">
        <v>3486</v>
      </c>
      <c r="G1587" s="8" t="s">
        <v>11088</v>
      </c>
      <c r="H1587" s="8" t="s">
        <v>3479</v>
      </c>
      <c r="I1587" s="9">
        <v>0.0</v>
      </c>
      <c r="J1587" s="9">
        <v>2266.0</v>
      </c>
      <c r="K1587" s="9">
        <v>2266.0</v>
      </c>
      <c r="L1587" s="9">
        <v>2266.0</v>
      </c>
      <c r="M1587" s="9">
        <v>1861.0</v>
      </c>
      <c r="N1587" s="9">
        <v>80.0</v>
      </c>
      <c r="O1587" s="9">
        <v>325.0</v>
      </c>
      <c r="P1587" s="8" t="s">
        <v>3519</v>
      </c>
      <c r="Q1587" s="8" t="s">
        <v>11089</v>
      </c>
      <c r="R1587" s="8" t="s">
        <v>11090</v>
      </c>
    </row>
    <row r="1588">
      <c r="A1588" s="8" t="s">
        <v>2204</v>
      </c>
      <c r="B1588" s="8" t="s">
        <v>11091</v>
      </c>
      <c r="C1588" s="8" t="s">
        <v>4136</v>
      </c>
      <c r="D1588" s="9">
        <v>9.76446621E9</v>
      </c>
      <c r="E1588" s="8" t="s">
        <v>11092</v>
      </c>
      <c r="F1588" s="8" t="s">
        <v>3486</v>
      </c>
      <c r="G1588" s="8" t="s">
        <v>11093</v>
      </c>
      <c r="H1588" s="8" t="s">
        <v>3479</v>
      </c>
      <c r="I1588" s="9">
        <v>0.0</v>
      </c>
      <c r="J1588" s="9">
        <v>529.0</v>
      </c>
      <c r="K1588" s="9">
        <v>529.0</v>
      </c>
      <c r="L1588" s="9">
        <v>529.0</v>
      </c>
      <c r="M1588" s="9">
        <v>80.0</v>
      </c>
      <c r="N1588" s="9">
        <v>0.0</v>
      </c>
      <c r="O1588" s="9">
        <v>449.0</v>
      </c>
      <c r="P1588" s="8" t="s">
        <v>3480</v>
      </c>
      <c r="Q1588" s="8" t="s">
        <v>11094</v>
      </c>
      <c r="R1588" s="8" t="s">
        <v>11095</v>
      </c>
    </row>
    <row r="1589">
      <c r="A1589" s="8" t="s">
        <v>2205</v>
      </c>
      <c r="B1589" s="8" t="s">
        <v>11096</v>
      </c>
      <c r="C1589" s="8" t="s">
        <v>7805</v>
      </c>
      <c r="D1589" s="9">
        <v>9.597600514E9</v>
      </c>
      <c r="E1589" s="8" t="s">
        <v>7806</v>
      </c>
      <c r="F1589" s="8" t="s">
        <v>3486</v>
      </c>
      <c r="G1589" s="8" t="s">
        <v>11097</v>
      </c>
      <c r="H1589" s="8" t="s">
        <v>3479</v>
      </c>
      <c r="I1589" s="9">
        <v>0.0</v>
      </c>
      <c r="J1589" s="9">
        <v>1259.0</v>
      </c>
      <c r="K1589" s="9">
        <v>1259.0</v>
      </c>
      <c r="L1589" s="9">
        <v>1259.0</v>
      </c>
      <c r="M1589" s="9">
        <v>80.0</v>
      </c>
      <c r="N1589" s="9">
        <v>730.0</v>
      </c>
      <c r="O1589" s="9">
        <v>449.0</v>
      </c>
      <c r="P1589" s="8" t="s">
        <v>3480</v>
      </c>
      <c r="Q1589" s="8" t="s">
        <v>7807</v>
      </c>
      <c r="R1589" s="8" t="s">
        <v>7808</v>
      </c>
    </row>
    <row r="1590">
      <c r="A1590" s="8" t="s">
        <v>2206</v>
      </c>
      <c r="B1590" s="8" t="s">
        <v>11098</v>
      </c>
      <c r="C1590" s="8" t="s">
        <v>6132</v>
      </c>
      <c r="D1590" s="9">
        <v>9.405695471E9</v>
      </c>
      <c r="E1590" s="8" t="s">
        <v>6133</v>
      </c>
      <c r="F1590" s="8" t="s">
        <v>3677</v>
      </c>
      <c r="G1590" s="8" t="s">
        <v>4036</v>
      </c>
      <c r="H1590" s="8" t="s">
        <v>3479</v>
      </c>
      <c r="I1590" s="9">
        <v>0.0</v>
      </c>
      <c r="J1590" s="9">
        <v>575.0</v>
      </c>
      <c r="K1590" s="9">
        <v>575.0</v>
      </c>
      <c r="L1590" s="9">
        <v>575.0</v>
      </c>
      <c r="M1590" s="9">
        <v>450.0</v>
      </c>
      <c r="N1590" s="9">
        <v>0.0</v>
      </c>
      <c r="O1590" s="9">
        <v>125.0</v>
      </c>
      <c r="P1590" s="8" t="s">
        <v>3519</v>
      </c>
      <c r="Q1590" s="8" t="s">
        <v>6135</v>
      </c>
      <c r="R1590" s="8" t="s">
        <v>6136</v>
      </c>
    </row>
    <row r="1591">
      <c r="A1591" s="8" t="s">
        <v>2207</v>
      </c>
      <c r="B1591" s="8" t="s">
        <v>11099</v>
      </c>
      <c r="C1591" s="8" t="s">
        <v>11100</v>
      </c>
      <c r="D1591" s="9">
        <v>9.545635872E9</v>
      </c>
      <c r="E1591" s="8" t="s">
        <v>11101</v>
      </c>
      <c r="F1591" s="8" t="s">
        <v>5485</v>
      </c>
      <c r="G1591" s="8" t="s">
        <v>11102</v>
      </c>
      <c r="H1591" s="8" t="s">
        <v>3479</v>
      </c>
      <c r="I1591" s="9">
        <v>0.0</v>
      </c>
      <c r="J1591" s="9">
        <v>3732.0</v>
      </c>
      <c r="K1591" s="9">
        <v>3732.0</v>
      </c>
      <c r="L1591" s="9">
        <v>3732.0</v>
      </c>
      <c r="M1591" s="9">
        <v>1481.0</v>
      </c>
      <c r="N1591" s="9">
        <v>1102.0</v>
      </c>
      <c r="O1591" s="9">
        <v>1149.0</v>
      </c>
      <c r="P1591" s="8" t="s">
        <v>3480</v>
      </c>
      <c r="Q1591" s="8" t="s">
        <v>11103</v>
      </c>
      <c r="R1591" s="8" t="s">
        <v>11104</v>
      </c>
    </row>
    <row r="1592">
      <c r="A1592" s="8" t="s">
        <v>2208</v>
      </c>
      <c r="B1592" s="8" t="s">
        <v>11105</v>
      </c>
      <c r="C1592" s="8" t="s">
        <v>4854</v>
      </c>
      <c r="D1592" s="9">
        <v>9.657145925E9</v>
      </c>
      <c r="E1592" s="8" t="s">
        <v>4855</v>
      </c>
      <c r="F1592" s="8" t="s">
        <v>3498</v>
      </c>
      <c r="G1592" s="8" t="s">
        <v>11106</v>
      </c>
      <c r="H1592" s="8" t="s">
        <v>3479</v>
      </c>
      <c r="I1592" s="9">
        <v>0.0</v>
      </c>
      <c r="J1592" s="9">
        <v>1882.0</v>
      </c>
      <c r="K1592" s="9">
        <v>1882.0</v>
      </c>
      <c r="L1592" s="9">
        <v>1882.0</v>
      </c>
      <c r="M1592" s="9">
        <v>628.0</v>
      </c>
      <c r="N1592" s="9">
        <v>730.0</v>
      </c>
      <c r="O1592" s="9">
        <v>524.0</v>
      </c>
      <c r="P1592" s="8" t="s">
        <v>3480</v>
      </c>
      <c r="Q1592" s="8" t="s">
        <v>4857</v>
      </c>
      <c r="R1592" s="8" t="s">
        <v>4858</v>
      </c>
    </row>
    <row r="1593">
      <c r="A1593" s="8" t="s">
        <v>2030</v>
      </c>
      <c r="B1593" s="8" t="s">
        <v>11107</v>
      </c>
      <c r="C1593" s="8" t="s">
        <v>11108</v>
      </c>
      <c r="D1593" s="9">
        <v>9.96060708E9</v>
      </c>
      <c r="E1593" s="8" t="s">
        <v>11109</v>
      </c>
      <c r="F1593" s="8" t="s">
        <v>3564</v>
      </c>
      <c r="G1593" s="8" t="s">
        <v>3494</v>
      </c>
      <c r="H1593" s="8" t="s">
        <v>3479</v>
      </c>
      <c r="I1593" s="9">
        <v>0.0</v>
      </c>
      <c r="J1593" s="9">
        <v>2832.0</v>
      </c>
      <c r="K1593" s="9">
        <v>2832.0</v>
      </c>
      <c r="L1593" s="9">
        <v>2832.0</v>
      </c>
      <c r="M1593" s="9">
        <v>1658.0</v>
      </c>
      <c r="N1593" s="9">
        <v>0.0</v>
      </c>
      <c r="O1593" s="9">
        <v>1174.0</v>
      </c>
      <c r="P1593" s="8" t="s">
        <v>4183</v>
      </c>
      <c r="Q1593" s="8" t="s">
        <v>11110</v>
      </c>
      <c r="R1593" s="8"/>
    </row>
    <row r="1594">
      <c r="A1594" s="8" t="s">
        <v>2055</v>
      </c>
      <c r="B1594" s="8" t="s">
        <v>11111</v>
      </c>
      <c r="C1594" s="8" t="s">
        <v>11112</v>
      </c>
      <c r="D1594" s="9">
        <v>9.860091962E9</v>
      </c>
      <c r="E1594" s="8" t="s">
        <v>11113</v>
      </c>
      <c r="F1594" s="8" t="s">
        <v>3601</v>
      </c>
      <c r="G1594" s="8" t="s">
        <v>11114</v>
      </c>
      <c r="H1594" s="8" t="s">
        <v>3479</v>
      </c>
      <c r="I1594" s="9">
        <v>0.0</v>
      </c>
      <c r="J1594" s="9">
        <v>1854.0</v>
      </c>
      <c r="K1594" s="9">
        <v>1854.0</v>
      </c>
      <c r="L1594" s="9">
        <v>1854.0</v>
      </c>
      <c r="M1594" s="9">
        <v>675.0</v>
      </c>
      <c r="N1594" s="9">
        <v>730.0</v>
      </c>
      <c r="O1594" s="9">
        <v>449.0</v>
      </c>
      <c r="P1594" s="8" t="s">
        <v>3480</v>
      </c>
      <c r="Q1594" s="8" t="s">
        <v>11115</v>
      </c>
      <c r="R1594" s="8" t="s">
        <v>11116</v>
      </c>
    </row>
    <row r="1595">
      <c r="A1595" s="8" t="s">
        <v>2032</v>
      </c>
      <c r="B1595" s="8" t="s">
        <v>11117</v>
      </c>
      <c r="C1595" s="8" t="s">
        <v>8322</v>
      </c>
      <c r="D1595" s="9">
        <v>8.600702668E9</v>
      </c>
      <c r="E1595" s="8" t="s">
        <v>8323</v>
      </c>
      <c r="F1595" s="8" t="s">
        <v>4150</v>
      </c>
      <c r="G1595" s="8" t="s">
        <v>11118</v>
      </c>
      <c r="H1595" s="8" t="s">
        <v>3479</v>
      </c>
      <c r="I1595" s="9">
        <v>0.0</v>
      </c>
      <c r="J1595" s="9">
        <v>2354.0</v>
      </c>
      <c r="K1595" s="9">
        <v>2354.0</v>
      </c>
      <c r="L1595" s="9">
        <v>2354.0</v>
      </c>
      <c r="M1595" s="9">
        <v>981.0</v>
      </c>
      <c r="N1595" s="9">
        <v>774.0</v>
      </c>
      <c r="O1595" s="9">
        <v>599.0</v>
      </c>
      <c r="P1595" s="8" t="s">
        <v>4183</v>
      </c>
      <c r="Q1595" s="8" t="s">
        <v>8325</v>
      </c>
      <c r="R1595" s="8" t="s">
        <v>8326</v>
      </c>
    </row>
    <row r="1596">
      <c r="A1596" s="8" t="s">
        <v>2033</v>
      </c>
      <c r="B1596" s="8" t="s">
        <v>11119</v>
      </c>
      <c r="C1596" s="8" t="s">
        <v>11120</v>
      </c>
      <c r="D1596" s="9">
        <v>8.380071088E9</v>
      </c>
      <c r="E1596" s="8" t="s">
        <v>11121</v>
      </c>
      <c r="F1596" s="8" t="s">
        <v>3601</v>
      </c>
      <c r="G1596" s="8" t="s">
        <v>3494</v>
      </c>
      <c r="H1596" s="8" t="s">
        <v>3479</v>
      </c>
      <c r="I1596" s="9">
        <v>0.0</v>
      </c>
      <c r="J1596" s="9">
        <v>1550.0</v>
      </c>
      <c r="K1596" s="9">
        <v>1550.0</v>
      </c>
      <c r="L1596" s="9">
        <v>1550.0</v>
      </c>
      <c r="M1596" s="9">
        <v>1550.0</v>
      </c>
      <c r="N1596" s="9">
        <v>0.0</v>
      </c>
      <c r="O1596" s="9">
        <v>0.0</v>
      </c>
      <c r="P1596" s="8" t="s">
        <v>3480</v>
      </c>
      <c r="Q1596" s="8"/>
      <c r="R1596" s="8"/>
    </row>
    <row r="1597">
      <c r="A1597" s="8" t="s">
        <v>2035</v>
      </c>
      <c r="B1597" s="8" t="s">
        <v>11122</v>
      </c>
      <c r="C1597" s="8" t="s">
        <v>4720</v>
      </c>
      <c r="D1597" s="9">
        <v>9.096460485E9</v>
      </c>
      <c r="E1597" s="8" t="s">
        <v>11123</v>
      </c>
      <c r="F1597" s="8" t="s">
        <v>3589</v>
      </c>
      <c r="G1597" s="8" t="s">
        <v>11124</v>
      </c>
      <c r="H1597" s="8" t="s">
        <v>3479</v>
      </c>
      <c r="I1597" s="9">
        <v>0.0</v>
      </c>
      <c r="J1597" s="9">
        <v>1409.0</v>
      </c>
      <c r="K1597" s="9">
        <v>1409.0</v>
      </c>
      <c r="L1597" s="9">
        <v>1409.0</v>
      </c>
      <c r="M1597" s="9">
        <v>155.0</v>
      </c>
      <c r="N1597" s="9">
        <v>730.0</v>
      </c>
      <c r="O1597" s="9">
        <v>524.0</v>
      </c>
      <c r="P1597" s="8" t="s">
        <v>4183</v>
      </c>
      <c r="Q1597" s="8" t="s">
        <v>11125</v>
      </c>
      <c r="R1597" s="8" t="s">
        <v>11126</v>
      </c>
    </row>
    <row r="1598">
      <c r="A1598" s="8" t="s">
        <v>2038</v>
      </c>
      <c r="B1598" s="8" t="s">
        <v>11127</v>
      </c>
      <c r="C1598" s="8" t="s">
        <v>11128</v>
      </c>
      <c r="D1598" s="9">
        <v>9.146800595E9</v>
      </c>
      <c r="E1598" s="8" t="s">
        <v>11129</v>
      </c>
      <c r="F1598" s="8" t="s">
        <v>3658</v>
      </c>
      <c r="G1598" s="8" t="s">
        <v>11130</v>
      </c>
      <c r="H1598" s="8" t="s">
        <v>3479</v>
      </c>
      <c r="I1598" s="9">
        <v>0.0</v>
      </c>
      <c r="J1598" s="9">
        <v>1133.0</v>
      </c>
      <c r="K1598" s="9">
        <v>1133.0</v>
      </c>
      <c r="L1598" s="9">
        <v>1133.0</v>
      </c>
      <c r="M1598" s="9">
        <v>100.0</v>
      </c>
      <c r="N1598" s="9">
        <v>584.0</v>
      </c>
      <c r="O1598" s="9">
        <v>449.0</v>
      </c>
      <c r="P1598" s="8" t="s">
        <v>4183</v>
      </c>
      <c r="Q1598" s="8" t="s">
        <v>11131</v>
      </c>
      <c r="R1598" s="8" t="s">
        <v>11132</v>
      </c>
    </row>
    <row r="1599">
      <c r="A1599" s="8" t="s">
        <v>2040</v>
      </c>
      <c r="B1599" s="8" t="s">
        <v>11133</v>
      </c>
      <c r="C1599" s="8" t="s">
        <v>8197</v>
      </c>
      <c r="D1599" s="9">
        <v>9.921725353E9</v>
      </c>
      <c r="E1599" s="8" t="s">
        <v>8198</v>
      </c>
      <c r="F1599" s="8" t="s">
        <v>3828</v>
      </c>
      <c r="G1599" s="8" t="s">
        <v>11134</v>
      </c>
      <c r="H1599" s="8" t="s">
        <v>3479</v>
      </c>
      <c r="I1599" s="9">
        <v>0.0</v>
      </c>
      <c r="J1599" s="9">
        <v>1483.0</v>
      </c>
      <c r="K1599" s="9">
        <v>1483.0</v>
      </c>
      <c r="L1599" s="9">
        <v>1483.0</v>
      </c>
      <c r="M1599" s="9">
        <v>260.0</v>
      </c>
      <c r="N1599" s="9">
        <v>774.0</v>
      </c>
      <c r="O1599" s="9">
        <v>449.0</v>
      </c>
      <c r="P1599" s="8" t="s">
        <v>4183</v>
      </c>
      <c r="Q1599" s="8" t="s">
        <v>8200</v>
      </c>
      <c r="R1599" s="8" t="s">
        <v>8201</v>
      </c>
    </row>
    <row r="1600">
      <c r="A1600" s="8" t="s">
        <v>2043</v>
      </c>
      <c r="B1600" s="8" t="s">
        <v>11135</v>
      </c>
      <c r="C1600" s="8" t="s">
        <v>10736</v>
      </c>
      <c r="D1600" s="9">
        <v>9.881150027E9</v>
      </c>
      <c r="E1600" s="8" t="s">
        <v>10737</v>
      </c>
      <c r="F1600" s="8" t="s">
        <v>10738</v>
      </c>
      <c r="G1600" s="8" t="s">
        <v>11136</v>
      </c>
      <c r="H1600" s="8" t="s">
        <v>3479</v>
      </c>
      <c r="I1600" s="9">
        <v>0.0</v>
      </c>
      <c r="J1600" s="9">
        <v>1971.0</v>
      </c>
      <c r="K1600" s="9">
        <v>1971.0</v>
      </c>
      <c r="L1600" s="9">
        <v>1971.0</v>
      </c>
      <c r="M1600" s="9">
        <v>717.0</v>
      </c>
      <c r="N1600" s="9">
        <v>730.0</v>
      </c>
      <c r="O1600" s="9">
        <v>524.0</v>
      </c>
      <c r="P1600" s="8" t="s">
        <v>4183</v>
      </c>
      <c r="Q1600" s="8" t="s">
        <v>10740</v>
      </c>
      <c r="R1600" s="8"/>
    </row>
    <row r="1601">
      <c r="A1601" s="8" t="s">
        <v>2045</v>
      </c>
      <c r="B1601" s="8" t="s">
        <v>11137</v>
      </c>
      <c r="C1601" s="8" t="s">
        <v>8364</v>
      </c>
      <c r="D1601" s="9">
        <v>9.921637431E9</v>
      </c>
      <c r="E1601" s="8" t="s">
        <v>8793</v>
      </c>
      <c r="F1601" s="8" t="s">
        <v>3601</v>
      </c>
      <c r="G1601" s="8" t="s">
        <v>11138</v>
      </c>
      <c r="H1601" s="8" t="s">
        <v>3479</v>
      </c>
      <c r="I1601" s="9">
        <v>0.0</v>
      </c>
      <c r="J1601" s="9">
        <v>1874.0</v>
      </c>
      <c r="K1601" s="9">
        <v>1874.0</v>
      </c>
      <c r="L1601" s="9">
        <v>1874.0</v>
      </c>
      <c r="M1601" s="9">
        <v>645.0</v>
      </c>
      <c r="N1601" s="9">
        <v>780.0</v>
      </c>
      <c r="O1601" s="9">
        <v>449.0</v>
      </c>
      <c r="P1601" s="8" t="s">
        <v>4183</v>
      </c>
      <c r="Q1601" s="8" t="s">
        <v>8795</v>
      </c>
      <c r="R1601" s="8" t="s">
        <v>8796</v>
      </c>
    </row>
    <row r="1602">
      <c r="A1602" s="8" t="s">
        <v>2047</v>
      </c>
      <c r="B1602" s="8" t="s">
        <v>11139</v>
      </c>
      <c r="C1602" s="8" t="s">
        <v>11140</v>
      </c>
      <c r="D1602" s="9">
        <v>7.35077767E9</v>
      </c>
      <c r="E1602" s="8" t="s">
        <v>11141</v>
      </c>
      <c r="F1602" s="8" t="s">
        <v>3615</v>
      </c>
      <c r="G1602" s="8" t="s">
        <v>11142</v>
      </c>
      <c r="H1602" s="8" t="s">
        <v>3479</v>
      </c>
      <c r="I1602" s="9">
        <v>0.0</v>
      </c>
      <c r="J1602" s="9">
        <v>1719.0</v>
      </c>
      <c r="K1602" s="9">
        <v>1719.0</v>
      </c>
      <c r="L1602" s="9">
        <v>1719.0</v>
      </c>
      <c r="M1602" s="9">
        <v>496.0</v>
      </c>
      <c r="N1602" s="9">
        <v>774.0</v>
      </c>
      <c r="O1602" s="9">
        <v>449.0</v>
      </c>
      <c r="P1602" s="8" t="s">
        <v>4183</v>
      </c>
      <c r="Q1602" s="8" t="s">
        <v>11143</v>
      </c>
      <c r="R1602" s="8" t="s">
        <v>11144</v>
      </c>
    </row>
    <row r="1603">
      <c r="A1603" s="8" t="s">
        <v>2221</v>
      </c>
      <c r="B1603" s="8" t="s">
        <v>11145</v>
      </c>
      <c r="C1603" s="8" t="s">
        <v>5898</v>
      </c>
      <c r="D1603" s="9">
        <v>9.657818768E9</v>
      </c>
      <c r="E1603" s="8" t="s">
        <v>5899</v>
      </c>
      <c r="F1603" s="8" t="s">
        <v>5366</v>
      </c>
      <c r="G1603" s="8" t="s">
        <v>5900</v>
      </c>
      <c r="H1603" s="8" t="s">
        <v>11146</v>
      </c>
      <c r="I1603" s="9">
        <v>0.0</v>
      </c>
      <c r="J1603" s="9">
        <v>2200.0</v>
      </c>
      <c r="K1603" s="9">
        <v>2223.0</v>
      </c>
      <c r="L1603" s="9">
        <v>2200.0</v>
      </c>
      <c r="M1603" s="9">
        <v>633.0</v>
      </c>
      <c r="N1603" s="9">
        <v>891.0</v>
      </c>
      <c r="O1603" s="9">
        <v>699.0</v>
      </c>
      <c r="P1603" s="8" t="s">
        <v>6396</v>
      </c>
      <c r="Q1603" s="8" t="s">
        <v>5901</v>
      </c>
      <c r="R1603" s="8" t="s">
        <v>5902</v>
      </c>
    </row>
    <row r="1604">
      <c r="A1604" s="8" t="s">
        <v>2050</v>
      </c>
      <c r="B1604" s="8" t="s">
        <v>11147</v>
      </c>
      <c r="C1604" s="8" t="s">
        <v>11148</v>
      </c>
      <c r="D1604" s="9">
        <v>7.718039426E9</v>
      </c>
      <c r="E1604" s="8" t="s">
        <v>11149</v>
      </c>
      <c r="F1604" s="8" t="s">
        <v>3576</v>
      </c>
      <c r="G1604" s="8" t="s">
        <v>11150</v>
      </c>
      <c r="H1604" s="8" t="s">
        <v>3479</v>
      </c>
      <c r="I1604" s="9">
        <v>0.0</v>
      </c>
      <c r="J1604" s="9">
        <v>8656.0</v>
      </c>
      <c r="K1604" s="9">
        <v>8656.0</v>
      </c>
      <c r="L1604" s="9">
        <v>8656.0</v>
      </c>
      <c r="M1604" s="9">
        <v>6368.0</v>
      </c>
      <c r="N1604" s="9">
        <v>1039.0</v>
      </c>
      <c r="O1604" s="9">
        <v>1249.0</v>
      </c>
      <c r="P1604" s="8" t="s">
        <v>4183</v>
      </c>
      <c r="Q1604" s="8" t="s">
        <v>11151</v>
      </c>
      <c r="R1604" s="8" t="s">
        <v>11152</v>
      </c>
    </row>
    <row r="1605">
      <c r="A1605" s="8" t="s">
        <v>2184</v>
      </c>
      <c r="B1605" s="8" t="s">
        <v>11153</v>
      </c>
      <c r="C1605" s="8" t="s">
        <v>11154</v>
      </c>
      <c r="D1605" s="9">
        <v>9.179501644E9</v>
      </c>
      <c r="E1605" s="8" t="s">
        <v>11155</v>
      </c>
      <c r="F1605" s="8" t="s">
        <v>7382</v>
      </c>
      <c r="G1605" s="8" t="s">
        <v>11156</v>
      </c>
      <c r="H1605" s="8" t="s">
        <v>3479</v>
      </c>
      <c r="I1605" s="9">
        <v>0.0</v>
      </c>
      <c r="J1605" s="9">
        <v>819.0</v>
      </c>
      <c r="K1605" s="9">
        <v>819.0</v>
      </c>
      <c r="L1605" s="9">
        <v>819.0</v>
      </c>
      <c r="M1605" s="9">
        <v>370.0</v>
      </c>
      <c r="N1605" s="9">
        <v>0.0</v>
      </c>
      <c r="O1605" s="9">
        <v>449.0</v>
      </c>
      <c r="P1605" s="8" t="s">
        <v>3480</v>
      </c>
      <c r="Q1605" s="8"/>
      <c r="R1605" s="8"/>
    </row>
    <row r="1606">
      <c r="A1606" s="8" t="s">
        <v>2185</v>
      </c>
      <c r="B1606" s="8" t="s">
        <v>11157</v>
      </c>
      <c r="C1606" s="8" t="s">
        <v>11158</v>
      </c>
      <c r="D1606" s="9">
        <v>8.888940974E9</v>
      </c>
      <c r="E1606" s="8" t="s">
        <v>11159</v>
      </c>
      <c r="F1606" s="8" t="s">
        <v>3809</v>
      </c>
      <c r="G1606" s="8" t="s">
        <v>11160</v>
      </c>
      <c r="H1606" s="8" t="s">
        <v>3479</v>
      </c>
      <c r="I1606" s="9">
        <v>0.0</v>
      </c>
      <c r="J1606" s="9">
        <v>1972.0</v>
      </c>
      <c r="K1606" s="9">
        <v>1972.0</v>
      </c>
      <c r="L1606" s="9">
        <v>1972.0</v>
      </c>
      <c r="M1606" s="9">
        <v>590.0</v>
      </c>
      <c r="N1606" s="9">
        <v>358.0</v>
      </c>
      <c r="O1606" s="9">
        <v>1024.0</v>
      </c>
      <c r="P1606" s="8" t="s">
        <v>3480</v>
      </c>
      <c r="Q1606" s="8"/>
      <c r="R1606" s="8"/>
    </row>
    <row r="1607">
      <c r="A1607" s="8" t="s">
        <v>2186</v>
      </c>
      <c r="B1607" s="8" t="s">
        <v>11161</v>
      </c>
      <c r="C1607" s="8" t="s">
        <v>7587</v>
      </c>
      <c r="D1607" s="9">
        <v>9.765552699E9</v>
      </c>
      <c r="E1607" s="8" t="s">
        <v>7588</v>
      </c>
      <c r="F1607" s="8" t="s">
        <v>3493</v>
      </c>
      <c r="G1607" s="8" t="s">
        <v>11162</v>
      </c>
      <c r="H1607" s="8" t="s">
        <v>3479</v>
      </c>
      <c r="I1607" s="9">
        <v>0.0</v>
      </c>
      <c r="J1607" s="9">
        <v>2620.0</v>
      </c>
      <c r="K1607" s="9">
        <v>2620.0</v>
      </c>
      <c r="L1607" s="9">
        <v>2620.0</v>
      </c>
      <c r="M1607" s="9">
        <v>1122.0</v>
      </c>
      <c r="N1607" s="9">
        <v>774.0</v>
      </c>
      <c r="O1607" s="9">
        <v>724.0</v>
      </c>
      <c r="P1607" s="8" t="s">
        <v>3480</v>
      </c>
      <c r="Q1607" s="8" t="s">
        <v>7589</v>
      </c>
      <c r="R1607" s="8" t="s">
        <v>7590</v>
      </c>
    </row>
    <row r="1608">
      <c r="A1608" s="8" t="s">
        <v>71</v>
      </c>
      <c r="B1608" s="8" t="s">
        <v>11163</v>
      </c>
      <c r="C1608" s="8" t="s">
        <v>11164</v>
      </c>
      <c r="D1608" s="9">
        <v>8.308974699E9</v>
      </c>
      <c r="E1608" s="8" t="s">
        <v>11165</v>
      </c>
      <c r="F1608" s="8" t="s">
        <v>3601</v>
      </c>
      <c r="G1608" s="8" t="s">
        <v>11166</v>
      </c>
      <c r="H1608" s="8" t="s">
        <v>3479</v>
      </c>
      <c r="I1608" s="9">
        <v>0.0</v>
      </c>
      <c r="J1608" s="9">
        <v>1259.0</v>
      </c>
      <c r="K1608" s="9">
        <v>1259.0</v>
      </c>
      <c r="L1608" s="9">
        <v>1259.0</v>
      </c>
      <c r="M1608" s="9">
        <v>80.0</v>
      </c>
      <c r="N1608" s="9">
        <v>730.0</v>
      </c>
      <c r="O1608" s="9">
        <v>449.0</v>
      </c>
      <c r="P1608" s="8" t="s">
        <v>3480</v>
      </c>
      <c r="Q1608" s="8" t="s">
        <v>11167</v>
      </c>
      <c r="R1608" s="8" t="s">
        <v>11168</v>
      </c>
    </row>
    <row r="1609">
      <c r="A1609" s="8" t="s">
        <v>503</v>
      </c>
      <c r="B1609" s="8" t="s">
        <v>11169</v>
      </c>
      <c r="C1609" s="8" t="s">
        <v>9312</v>
      </c>
      <c r="D1609" s="9">
        <v>7.219101025E9</v>
      </c>
      <c r="E1609" s="8" t="s">
        <v>9313</v>
      </c>
      <c r="F1609" s="8" t="s">
        <v>3821</v>
      </c>
      <c r="G1609" s="8" t="s">
        <v>11170</v>
      </c>
      <c r="H1609" s="8" t="s">
        <v>3479</v>
      </c>
      <c r="I1609" s="9">
        <v>3095.0</v>
      </c>
      <c r="J1609" s="9">
        <v>0.0</v>
      </c>
      <c r="K1609" s="9">
        <v>3095.0</v>
      </c>
      <c r="L1609" s="9">
        <v>3095.0</v>
      </c>
      <c r="M1609" s="9">
        <v>1566.0</v>
      </c>
      <c r="N1609" s="9">
        <v>730.0</v>
      </c>
      <c r="O1609" s="9">
        <v>799.0</v>
      </c>
      <c r="P1609" s="8" t="s">
        <v>4183</v>
      </c>
      <c r="Q1609" s="8" t="s">
        <v>9315</v>
      </c>
      <c r="R1609" s="8" t="s">
        <v>9316</v>
      </c>
    </row>
    <row r="1610">
      <c r="A1610" s="8" t="s">
        <v>504</v>
      </c>
      <c r="B1610" s="8" t="s">
        <v>11171</v>
      </c>
      <c r="C1610" s="8" t="s">
        <v>11172</v>
      </c>
      <c r="D1610" s="9">
        <v>9.833634746E9</v>
      </c>
      <c r="E1610" s="8" t="s">
        <v>11173</v>
      </c>
      <c r="F1610" s="8" t="s">
        <v>6526</v>
      </c>
      <c r="G1610" s="8" t="s">
        <v>11174</v>
      </c>
      <c r="H1610" s="8" t="s">
        <v>3479</v>
      </c>
      <c r="I1610" s="9">
        <v>1355.0</v>
      </c>
      <c r="J1610" s="9">
        <v>0.0</v>
      </c>
      <c r="K1610" s="9">
        <v>1355.0</v>
      </c>
      <c r="L1610" s="9">
        <v>1355.0</v>
      </c>
      <c r="M1610" s="9">
        <v>416.0</v>
      </c>
      <c r="N1610" s="9">
        <v>190.0</v>
      </c>
      <c r="O1610" s="9">
        <v>749.0</v>
      </c>
      <c r="P1610" s="8" t="s">
        <v>4183</v>
      </c>
      <c r="Q1610" s="8" t="s">
        <v>11175</v>
      </c>
      <c r="R1610" s="8" t="s">
        <v>11176</v>
      </c>
    </row>
    <row r="1611">
      <c r="A1611" s="8" t="s">
        <v>2051</v>
      </c>
      <c r="B1611" s="8" t="s">
        <v>11177</v>
      </c>
      <c r="C1611" s="8" t="s">
        <v>11178</v>
      </c>
      <c r="D1611" s="9">
        <v>8.788149582E9</v>
      </c>
      <c r="E1611" s="8" t="s">
        <v>11179</v>
      </c>
      <c r="F1611" s="8" t="s">
        <v>4134</v>
      </c>
      <c r="G1611" s="8" t="s">
        <v>3494</v>
      </c>
      <c r="H1611" s="8" t="s">
        <v>3479</v>
      </c>
      <c r="I1611" s="9">
        <v>0.0</v>
      </c>
      <c r="J1611" s="9">
        <v>2091.0</v>
      </c>
      <c r="K1611" s="9">
        <v>2091.0</v>
      </c>
      <c r="L1611" s="9">
        <v>2091.0</v>
      </c>
      <c r="M1611" s="9">
        <v>378.0</v>
      </c>
      <c r="N1611" s="9">
        <v>839.0</v>
      </c>
      <c r="O1611" s="9">
        <v>874.0</v>
      </c>
      <c r="P1611" s="8" t="s">
        <v>4183</v>
      </c>
      <c r="Q1611" s="8" t="s">
        <v>11180</v>
      </c>
      <c r="R1611" s="8" t="s">
        <v>11181</v>
      </c>
    </row>
    <row r="1612">
      <c r="A1612" s="8" t="s">
        <v>593</v>
      </c>
      <c r="B1612" s="8" t="s">
        <v>11182</v>
      </c>
      <c r="C1612" s="8" t="s">
        <v>11183</v>
      </c>
      <c r="D1612" s="9">
        <v>9.890471821E9</v>
      </c>
      <c r="E1612" s="8" t="s">
        <v>11184</v>
      </c>
      <c r="F1612" s="8" t="s">
        <v>3486</v>
      </c>
      <c r="G1612" s="8" t="s">
        <v>11185</v>
      </c>
      <c r="H1612" s="8" t="s">
        <v>3479</v>
      </c>
      <c r="I1612" s="9">
        <v>0.0</v>
      </c>
      <c r="J1612" s="9">
        <v>835.0</v>
      </c>
      <c r="K1612" s="9">
        <v>835.0</v>
      </c>
      <c r="L1612" s="9">
        <v>835.0</v>
      </c>
      <c r="M1612" s="9">
        <v>0.0</v>
      </c>
      <c r="N1612" s="9">
        <v>540.0</v>
      </c>
      <c r="O1612" s="9">
        <v>295.0</v>
      </c>
      <c r="P1612" s="8" t="s">
        <v>3480</v>
      </c>
      <c r="Q1612" s="8"/>
      <c r="R1612" s="8"/>
    </row>
    <row r="1613">
      <c r="A1613" s="8" t="s">
        <v>505</v>
      </c>
      <c r="B1613" s="8" t="s">
        <v>11186</v>
      </c>
      <c r="C1613" s="8" t="s">
        <v>9467</v>
      </c>
      <c r="D1613" s="9">
        <v>8.149555665E9</v>
      </c>
      <c r="E1613" s="8" t="s">
        <v>9468</v>
      </c>
      <c r="F1613" s="8" t="s">
        <v>3523</v>
      </c>
      <c r="G1613" s="8" t="s">
        <v>11187</v>
      </c>
      <c r="H1613" s="8" t="s">
        <v>3479</v>
      </c>
      <c r="I1613" s="9">
        <v>1753.0</v>
      </c>
      <c r="J1613" s="9">
        <v>0.0</v>
      </c>
      <c r="K1613" s="9">
        <v>1753.0</v>
      </c>
      <c r="L1613" s="9">
        <v>1753.0</v>
      </c>
      <c r="M1613" s="9">
        <v>499.0</v>
      </c>
      <c r="N1613" s="9">
        <v>730.0</v>
      </c>
      <c r="O1613" s="9">
        <v>524.0</v>
      </c>
      <c r="P1613" s="8" t="s">
        <v>4183</v>
      </c>
      <c r="Q1613" s="8" t="s">
        <v>9470</v>
      </c>
      <c r="R1613" s="8" t="s">
        <v>9471</v>
      </c>
    </row>
    <row r="1614">
      <c r="A1614" s="8" t="s">
        <v>2059</v>
      </c>
      <c r="B1614" s="8" t="s">
        <v>11188</v>
      </c>
      <c r="C1614" s="8" t="s">
        <v>4779</v>
      </c>
      <c r="D1614" s="9">
        <v>9.860947693E9</v>
      </c>
      <c r="E1614" s="8" t="s">
        <v>11189</v>
      </c>
      <c r="F1614" s="8" t="s">
        <v>3486</v>
      </c>
      <c r="G1614" s="8" t="s">
        <v>11190</v>
      </c>
      <c r="H1614" s="8" t="s">
        <v>3479</v>
      </c>
      <c r="I1614" s="9">
        <v>0.0</v>
      </c>
      <c r="J1614" s="9">
        <v>4532.0</v>
      </c>
      <c r="K1614" s="9">
        <v>4532.0</v>
      </c>
      <c r="L1614" s="9">
        <v>4532.0</v>
      </c>
      <c r="M1614" s="9">
        <v>3353.0</v>
      </c>
      <c r="N1614" s="9">
        <v>730.0</v>
      </c>
      <c r="O1614" s="9">
        <v>449.0</v>
      </c>
      <c r="P1614" s="8" t="s">
        <v>3480</v>
      </c>
      <c r="Q1614" s="8" t="s">
        <v>11191</v>
      </c>
      <c r="R1614" s="8" t="s">
        <v>11192</v>
      </c>
    </row>
    <row r="1615">
      <c r="A1615" s="8" t="s">
        <v>506</v>
      </c>
      <c r="B1615" s="8" t="s">
        <v>11193</v>
      </c>
      <c r="C1615" s="8" t="s">
        <v>7086</v>
      </c>
      <c r="D1615" s="9">
        <v>8.880519321E9</v>
      </c>
      <c r="E1615" s="8" t="s">
        <v>7087</v>
      </c>
      <c r="F1615" s="8" t="s">
        <v>3569</v>
      </c>
      <c r="G1615" s="8" t="s">
        <v>11194</v>
      </c>
      <c r="H1615" s="8" t="s">
        <v>3479</v>
      </c>
      <c r="I1615" s="9">
        <v>2521.0</v>
      </c>
      <c r="J1615" s="9">
        <v>0.0</v>
      </c>
      <c r="K1615" s="9">
        <v>2521.0</v>
      </c>
      <c r="L1615" s="9">
        <v>2521.0</v>
      </c>
      <c r="M1615" s="9">
        <v>850.0</v>
      </c>
      <c r="N1615" s="9">
        <v>972.0</v>
      </c>
      <c r="O1615" s="9">
        <v>699.0</v>
      </c>
      <c r="P1615" s="8" t="s">
        <v>4183</v>
      </c>
      <c r="Q1615" s="8" t="s">
        <v>7089</v>
      </c>
      <c r="R1615" s="8" t="s">
        <v>7090</v>
      </c>
    </row>
    <row r="1616">
      <c r="A1616" s="8" t="s">
        <v>507</v>
      </c>
      <c r="B1616" s="8" t="s">
        <v>11195</v>
      </c>
      <c r="C1616" s="8" t="s">
        <v>11196</v>
      </c>
      <c r="D1616" s="9">
        <v>8.007444915E9</v>
      </c>
      <c r="E1616" s="8" t="s">
        <v>11197</v>
      </c>
      <c r="F1616" s="8" t="s">
        <v>3557</v>
      </c>
      <c r="G1616" s="8" t="s">
        <v>11198</v>
      </c>
      <c r="H1616" s="8" t="s">
        <v>3479</v>
      </c>
      <c r="I1616" s="9">
        <v>3209.0</v>
      </c>
      <c r="J1616" s="9">
        <v>0.0</v>
      </c>
      <c r="K1616" s="9">
        <v>3209.0</v>
      </c>
      <c r="L1616" s="9">
        <v>3209.0</v>
      </c>
      <c r="M1616" s="9">
        <v>1198.0</v>
      </c>
      <c r="N1616" s="9">
        <v>1037.0</v>
      </c>
      <c r="O1616" s="9">
        <v>974.0</v>
      </c>
      <c r="P1616" s="8" t="s">
        <v>4183</v>
      </c>
      <c r="Q1616" s="8" t="s">
        <v>11199</v>
      </c>
      <c r="R1616" s="8" t="s">
        <v>11200</v>
      </c>
    </row>
    <row r="1617">
      <c r="A1617" s="8" t="s">
        <v>508</v>
      </c>
      <c r="B1617" s="8" t="s">
        <v>11201</v>
      </c>
      <c r="C1617" s="8" t="s">
        <v>3599</v>
      </c>
      <c r="D1617" s="9">
        <v>9.890675383E9</v>
      </c>
      <c r="E1617" s="8" t="s">
        <v>3600</v>
      </c>
      <c r="F1617" s="8" t="s">
        <v>3601</v>
      </c>
      <c r="G1617" s="8" t="s">
        <v>11202</v>
      </c>
      <c r="H1617" s="8" t="s">
        <v>3479</v>
      </c>
      <c r="I1617" s="9">
        <v>773.0</v>
      </c>
      <c r="J1617" s="9">
        <v>0.0</v>
      </c>
      <c r="K1617" s="9">
        <v>773.0</v>
      </c>
      <c r="L1617" s="9">
        <v>773.0</v>
      </c>
      <c r="M1617" s="9">
        <v>324.0</v>
      </c>
      <c r="N1617" s="9">
        <v>0.0</v>
      </c>
      <c r="O1617" s="9">
        <v>449.0</v>
      </c>
      <c r="P1617" s="8" t="s">
        <v>4183</v>
      </c>
      <c r="Q1617" s="8" t="s">
        <v>3603</v>
      </c>
      <c r="R1617" s="8" t="s">
        <v>3604</v>
      </c>
    </row>
    <row r="1618">
      <c r="A1618" s="8" t="s">
        <v>2174</v>
      </c>
      <c r="B1618" s="8" t="s">
        <v>11203</v>
      </c>
      <c r="C1618" s="8" t="s">
        <v>11204</v>
      </c>
      <c r="D1618" s="9">
        <v>8.058342381E9</v>
      </c>
      <c r="E1618" s="8" t="s">
        <v>11205</v>
      </c>
      <c r="F1618" s="8" t="s">
        <v>3594</v>
      </c>
      <c r="G1618" s="8" t="s">
        <v>11206</v>
      </c>
      <c r="H1618" s="8" t="s">
        <v>6194</v>
      </c>
      <c r="I1618" s="9">
        <v>0.0</v>
      </c>
      <c r="J1618" s="9">
        <v>1200.0</v>
      </c>
      <c r="K1618" s="9">
        <v>1250.0</v>
      </c>
      <c r="L1618" s="9">
        <v>1200.0</v>
      </c>
      <c r="M1618" s="9">
        <v>1250.0</v>
      </c>
      <c r="N1618" s="9">
        <v>0.0</v>
      </c>
      <c r="O1618" s="9">
        <v>0.0</v>
      </c>
      <c r="P1618" s="8" t="s">
        <v>3480</v>
      </c>
      <c r="Q1618" s="8"/>
      <c r="R1618" s="8"/>
    </row>
    <row r="1619">
      <c r="A1619" s="8" t="s">
        <v>2101</v>
      </c>
      <c r="B1619" s="8" t="s">
        <v>11207</v>
      </c>
      <c r="C1619" s="8" t="s">
        <v>11208</v>
      </c>
      <c r="D1619" s="9">
        <v>8.956596951E9</v>
      </c>
      <c r="E1619" s="8" t="s">
        <v>11209</v>
      </c>
      <c r="F1619" s="8" t="s">
        <v>4454</v>
      </c>
      <c r="G1619" s="8" t="s">
        <v>11210</v>
      </c>
      <c r="H1619" s="8" t="s">
        <v>3479</v>
      </c>
      <c r="I1619" s="9">
        <v>0.0</v>
      </c>
      <c r="J1619" s="9">
        <v>1416.0</v>
      </c>
      <c r="K1619" s="9">
        <v>1416.0</v>
      </c>
      <c r="L1619" s="9">
        <v>1416.0</v>
      </c>
      <c r="M1619" s="9">
        <v>887.0</v>
      </c>
      <c r="N1619" s="9">
        <v>80.0</v>
      </c>
      <c r="O1619" s="9">
        <v>449.0</v>
      </c>
      <c r="P1619" s="8" t="s">
        <v>4183</v>
      </c>
      <c r="Q1619" s="8" t="s">
        <v>11211</v>
      </c>
      <c r="R1619" s="8" t="s">
        <v>11212</v>
      </c>
    </row>
    <row r="1620">
      <c r="A1620" s="8" t="s">
        <v>2100</v>
      </c>
      <c r="B1620" s="8" t="s">
        <v>11213</v>
      </c>
      <c r="C1620" s="8" t="s">
        <v>11214</v>
      </c>
      <c r="D1620" s="9">
        <v>8.600991151E9</v>
      </c>
      <c r="E1620" s="8" t="s">
        <v>11215</v>
      </c>
      <c r="F1620" s="8" t="s">
        <v>3509</v>
      </c>
      <c r="G1620" s="8" t="s">
        <v>11216</v>
      </c>
      <c r="H1620" s="8" t="s">
        <v>3479</v>
      </c>
      <c r="I1620" s="9">
        <v>0.0</v>
      </c>
      <c r="J1620" s="9">
        <v>894.0</v>
      </c>
      <c r="K1620" s="9">
        <v>894.0</v>
      </c>
      <c r="L1620" s="9">
        <v>894.0</v>
      </c>
      <c r="M1620" s="9">
        <v>445.0</v>
      </c>
      <c r="N1620" s="9">
        <v>0.0</v>
      </c>
      <c r="O1620" s="9">
        <v>449.0</v>
      </c>
      <c r="P1620" s="8" t="s">
        <v>3480</v>
      </c>
      <c r="Q1620" s="8" t="s">
        <v>11217</v>
      </c>
      <c r="R1620" s="8" t="s">
        <v>11218</v>
      </c>
    </row>
    <row r="1621">
      <c r="A1621" s="8" t="s">
        <v>509</v>
      </c>
      <c r="B1621" s="8" t="s">
        <v>11219</v>
      </c>
      <c r="C1621" s="8" t="s">
        <v>3957</v>
      </c>
      <c r="D1621" s="9">
        <v>9.822889511E9</v>
      </c>
      <c r="E1621" s="8" t="s">
        <v>3958</v>
      </c>
      <c r="F1621" s="8" t="s">
        <v>3959</v>
      </c>
      <c r="G1621" s="8" t="s">
        <v>11220</v>
      </c>
      <c r="H1621" s="8" t="s">
        <v>3479</v>
      </c>
      <c r="I1621" s="9">
        <v>3722.0</v>
      </c>
      <c r="J1621" s="9">
        <v>0.0</v>
      </c>
      <c r="K1621" s="9">
        <v>3722.0</v>
      </c>
      <c r="L1621" s="9">
        <v>3722.0</v>
      </c>
      <c r="M1621" s="9">
        <v>2140.0</v>
      </c>
      <c r="N1621" s="9">
        <v>758.0</v>
      </c>
      <c r="O1621" s="9">
        <v>824.0</v>
      </c>
      <c r="P1621" s="8" t="s">
        <v>4183</v>
      </c>
      <c r="Q1621" s="8" t="s">
        <v>3961</v>
      </c>
      <c r="R1621" s="8" t="s">
        <v>3962</v>
      </c>
    </row>
    <row r="1622">
      <c r="A1622" s="8" t="s">
        <v>2231</v>
      </c>
      <c r="B1622" s="8" t="s">
        <v>11221</v>
      </c>
      <c r="C1622" s="8" t="s">
        <v>11222</v>
      </c>
      <c r="D1622" s="9">
        <v>7.387623172E9</v>
      </c>
      <c r="E1622" s="8" t="s">
        <v>11223</v>
      </c>
      <c r="F1622" s="8" t="s">
        <v>3821</v>
      </c>
      <c r="G1622" s="8" t="s">
        <v>11224</v>
      </c>
      <c r="H1622" s="8" t="s">
        <v>3479</v>
      </c>
      <c r="I1622" s="9">
        <v>0.0</v>
      </c>
      <c r="J1622" s="9">
        <v>2744.0</v>
      </c>
      <c r="K1622" s="9">
        <v>2744.0</v>
      </c>
      <c r="L1622" s="9">
        <v>2744.0</v>
      </c>
      <c r="M1622" s="9">
        <v>1481.0</v>
      </c>
      <c r="N1622" s="9">
        <v>739.0</v>
      </c>
      <c r="O1622" s="9">
        <v>524.0</v>
      </c>
      <c r="P1622" s="8" t="s">
        <v>3480</v>
      </c>
      <c r="Q1622" s="8" t="s">
        <v>11225</v>
      </c>
      <c r="R1622" s="8" t="s">
        <v>11226</v>
      </c>
    </row>
    <row r="1623">
      <c r="A1623" s="8" t="s">
        <v>510</v>
      </c>
      <c r="B1623" s="8" t="s">
        <v>11227</v>
      </c>
      <c r="C1623" s="8" t="s">
        <v>11228</v>
      </c>
      <c r="D1623" s="9">
        <v>8.83081489E9</v>
      </c>
      <c r="E1623" s="8" t="s">
        <v>11229</v>
      </c>
      <c r="F1623" s="8" t="s">
        <v>3954</v>
      </c>
      <c r="G1623" s="8" t="s">
        <v>11230</v>
      </c>
      <c r="H1623" s="8" t="s">
        <v>3479</v>
      </c>
      <c r="I1623" s="9">
        <v>0.0</v>
      </c>
      <c r="J1623" s="9">
        <v>1314.0</v>
      </c>
      <c r="K1623" s="9">
        <v>1314.0</v>
      </c>
      <c r="L1623" s="9">
        <v>1314.0</v>
      </c>
      <c r="M1623" s="9">
        <v>565.0</v>
      </c>
      <c r="N1623" s="9">
        <v>0.0</v>
      </c>
      <c r="O1623" s="9">
        <v>749.0</v>
      </c>
      <c r="P1623" s="8" t="s">
        <v>3480</v>
      </c>
      <c r="Q1623" s="8" t="s">
        <v>11231</v>
      </c>
      <c r="R1623" s="8" t="s">
        <v>11232</v>
      </c>
    </row>
    <row r="1624">
      <c r="A1624" s="8" t="s">
        <v>2232</v>
      </c>
      <c r="B1624" s="8" t="s">
        <v>11233</v>
      </c>
      <c r="C1624" s="8" t="s">
        <v>11234</v>
      </c>
      <c r="D1624" s="9">
        <v>8.225891851E9</v>
      </c>
      <c r="E1624" s="8" t="s">
        <v>11235</v>
      </c>
      <c r="F1624" s="8" t="s">
        <v>11236</v>
      </c>
      <c r="G1624" s="8" t="s">
        <v>11237</v>
      </c>
      <c r="H1624" s="8" t="s">
        <v>3479</v>
      </c>
      <c r="I1624" s="9">
        <v>0.0</v>
      </c>
      <c r="J1624" s="9">
        <v>3504.0</v>
      </c>
      <c r="K1624" s="9">
        <v>3504.0</v>
      </c>
      <c r="L1624" s="9">
        <v>3504.0</v>
      </c>
      <c r="M1624" s="9">
        <v>2280.0</v>
      </c>
      <c r="N1624" s="9">
        <v>775.0</v>
      </c>
      <c r="O1624" s="9">
        <v>449.0</v>
      </c>
      <c r="P1624" s="8" t="s">
        <v>3480</v>
      </c>
      <c r="Q1624" s="8" t="s">
        <v>11238</v>
      </c>
      <c r="R1624" s="8" t="s">
        <v>11239</v>
      </c>
    </row>
    <row r="1625">
      <c r="A1625" s="8" t="s">
        <v>2175</v>
      </c>
      <c r="B1625" s="8" t="s">
        <v>11240</v>
      </c>
      <c r="C1625" s="8" t="s">
        <v>11241</v>
      </c>
      <c r="D1625" s="9">
        <v>8.177952249E9</v>
      </c>
      <c r="E1625" s="8" t="s">
        <v>11242</v>
      </c>
      <c r="F1625" s="8" t="s">
        <v>3881</v>
      </c>
      <c r="G1625" s="8" t="s">
        <v>11243</v>
      </c>
      <c r="H1625" s="8" t="s">
        <v>3479</v>
      </c>
      <c r="I1625" s="9">
        <v>0.0</v>
      </c>
      <c r="J1625" s="9">
        <v>1743.0</v>
      </c>
      <c r="K1625" s="9">
        <v>1743.0</v>
      </c>
      <c r="L1625" s="9">
        <v>1743.0</v>
      </c>
      <c r="M1625" s="9">
        <v>1393.0</v>
      </c>
      <c r="N1625" s="9">
        <v>0.0</v>
      </c>
      <c r="O1625" s="9">
        <v>350.0</v>
      </c>
      <c r="P1625" s="8" t="s">
        <v>3480</v>
      </c>
      <c r="Q1625" s="8"/>
      <c r="R1625" s="8"/>
    </row>
    <row r="1626">
      <c r="A1626" s="8" t="s">
        <v>2176</v>
      </c>
      <c r="B1626" s="8" t="s">
        <v>11244</v>
      </c>
      <c r="C1626" s="8" t="s">
        <v>6754</v>
      </c>
      <c r="D1626" s="9">
        <v>7.420035795E9</v>
      </c>
      <c r="E1626" s="8" t="s">
        <v>6755</v>
      </c>
      <c r="F1626" s="8" t="s">
        <v>3721</v>
      </c>
      <c r="G1626" s="8" t="s">
        <v>11245</v>
      </c>
      <c r="H1626" s="8" t="s">
        <v>11246</v>
      </c>
      <c r="I1626" s="9">
        <v>0.0</v>
      </c>
      <c r="J1626" s="9">
        <v>1900.0</v>
      </c>
      <c r="K1626" s="9">
        <v>1989.0</v>
      </c>
      <c r="L1626" s="9">
        <v>1900.0</v>
      </c>
      <c r="M1626" s="9">
        <v>735.0</v>
      </c>
      <c r="N1626" s="9">
        <v>730.0</v>
      </c>
      <c r="O1626" s="9">
        <v>524.0</v>
      </c>
      <c r="P1626" s="8" t="s">
        <v>3480</v>
      </c>
      <c r="Q1626" s="8" t="s">
        <v>6756</v>
      </c>
      <c r="R1626" s="8" t="s">
        <v>6757</v>
      </c>
    </row>
    <row r="1627">
      <c r="A1627" s="8" t="s">
        <v>511</v>
      </c>
      <c r="B1627" s="8" t="s">
        <v>11247</v>
      </c>
      <c r="C1627" s="8" t="s">
        <v>9920</v>
      </c>
      <c r="D1627" s="9">
        <v>9.762777049E9</v>
      </c>
      <c r="E1627" s="8" t="s">
        <v>9921</v>
      </c>
      <c r="F1627" s="8" t="s">
        <v>4059</v>
      </c>
      <c r="G1627" s="8" t="s">
        <v>11248</v>
      </c>
      <c r="H1627" s="8" t="s">
        <v>3479</v>
      </c>
      <c r="I1627" s="9">
        <v>3957.0</v>
      </c>
      <c r="J1627" s="9">
        <v>0.0</v>
      </c>
      <c r="K1627" s="9">
        <v>3957.0</v>
      </c>
      <c r="L1627" s="9">
        <v>3957.0</v>
      </c>
      <c r="M1627" s="9">
        <v>1885.0</v>
      </c>
      <c r="N1627" s="9">
        <v>823.0</v>
      </c>
      <c r="O1627" s="9">
        <v>1249.0</v>
      </c>
      <c r="P1627" s="8" t="s">
        <v>4183</v>
      </c>
      <c r="Q1627" s="8"/>
      <c r="R1627" s="8"/>
    </row>
    <row r="1628">
      <c r="A1628" s="8" t="s">
        <v>512</v>
      </c>
      <c r="B1628" s="8" t="s">
        <v>11249</v>
      </c>
      <c r="C1628" s="8" t="s">
        <v>11250</v>
      </c>
      <c r="D1628" s="9">
        <v>9.423569655E9</v>
      </c>
      <c r="E1628" s="8" t="s">
        <v>11251</v>
      </c>
      <c r="F1628" s="8" t="s">
        <v>3977</v>
      </c>
      <c r="G1628" s="8" t="s">
        <v>11252</v>
      </c>
      <c r="H1628" s="8" t="s">
        <v>3479</v>
      </c>
      <c r="I1628" s="9">
        <v>1912.0</v>
      </c>
      <c r="J1628" s="9">
        <v>0.0</v>
      </c>
      <c r="K1628" s="9">
        <v>1912.0</v>
      </c>
      <c r="L1628" s="9">
        <v>1912.0</v>
      </c>
      <c r="M1628" s="9">
        <v>733.0</v>
      </c>
      <c r="N1628" s="9">
        <v>730.0</v>
      </c>
      <c r="O1628" s="9">
        <v>449.0</v>
      </c>
      <c r="P1628" s="8" t="s">
        <v>4183</v>
      </c>
      <c r="Q1628" s="8" t="s">
        <v>11253</v>
      </c>
      <c r="R1628" s="8" t="s">
        <v>11254</v>
      </c>
    </row>
    <row r="1629">
      <c r="A1629" s="8" t="s">
        <v>2222</v>
      </c>
      <c r="B1629" s="8" t="s">
        <v>11255</v>
      </c>
      <c r="C1629" s="8" t="s">
        <v>6232</v>
      </c>
      <c r="D1629" s="9">
        <v>9.175477077E9</v>
      </c>
      <c r="E1629" s="8" t="s">
        <v>6233</v>
      </c>
      <c r="F1629" s="8" t="s">
        <v>6234</v>
      </c>
      <c r="G1629" s="8" t="s">
        <v>11256</v>
      </c>
      <c r="H1629" s="8" t="s">
        <v>3479</v>
      </c>
      <c r="I1629" s="9">
        <v>0.0</v>
      </c>
      <c r="J1629" s="9">
        <v>1354.0</v>
      </c>
      <c r="K1629" s="9">
        <v>1354.0</v>
      </c>
      <c r="L1629" s="9">
        <v>1354.0</v>
      </c>
      <c r="M1629" s="9">
        <v>175.0</v>
      </c>
      <c r="N1629" s="9">
        <v>730.0</v>
      </c>
      <c r="O1629" s="9">
        <v>449.0</v>
      </c>
      <c r="P1629" s="8" t="s">
        <v>4183</v>
      </c>
      <c r="Q1629" s="8" t="s">
        <v>6235</v>
      </c>
      <c r="R1629" s="8" t="s">
        <v>6236</v>
      </c>
    </row>
    <row r="1630">
      <c r="A1630" s="8" t="s">
        <v>513</v>
      </c>
      <c r="B1630" s="8" t="s">
        <v>11257</v>
      </c>
      <c r="C1630" s="8" t="s">
        <v>11258</v>
      </c>
      <c r="D1630" s="9">
        <v>8.806702546E9</v>
      </c>
      <c r="E1630" s="8" t="s">
        <v>11259</v>
      </c>
      <c r="F1630" s="8" t="s">
        <v>6455</v>
      </c>
      <c r="G1630" s="8" t="s">
        <v>11260</v>
      </c>
      <c r="H1630" s="8" t="s">
        <v>3479</v>
      </c>
      <c r="I1630" s="9">
        <v>0.0</v>
      </c>
      <c r="J1630" s="9">
        <v>1450.0</v>
      </c>
      <c r="K1630" s="9">
        <v>1450.0</v>
      </c>
      <c r="L1630" s="9">
        <v>1450.0</v>
      </c>
      <c r="M1630" s="9">
        <v>1450.0</v>
      </c>
      <c r="N1630" s="9">
        <v>0.0</v>
      </c>
      <c r="O1630" s="9">
        <v>0.0</v>
      </c>
      <c r="P1630" s="8" t="s">
        <v>3480</v>
      </c>
      <c r="Q1630" s="8"/>
      <c r="R1630" s="8"/>
    </row>
    <row r="1631">
      <c r="A1631" s="8" t="s">
        <v>514</v>
      </c>
      <c r="B1631" s="8" t="s">
        <v>11261</v>
      </c>
      <c r="C1631" s="8" t="s">
        <v>11262</v>
      </c>
      <c r="D1631" s="9">
        <v>9.370296626E9</v>
      </c>
      <c r="E1631" s="8" t="s">
        <v>11263</v>
      </c>
      <c r="F1631" s="8" t="s">
        <v>3608</v>
      </c>
      <c r="G1631" s="8" t="s">
        <v>11264</v>
      </c>
      <c r="H1631" s="8" t="s">
        <v>3479</v>
      </c>
      <c r="I1631" s="9">
        <v>0.0</v>
      </c>
      <c r="J1631" s="9">
        <v>2076.0</v>
      </c>
      <c r="K1631" s="9">
        <v>2076.0</v>
      </c>
      <c r="L1631" s="9">
        <v>2076.0</v>
      </c>
      <c r="M1631" s="9">
        <v>1826.0</v>
      </c>
      <c r="N1631" s="9">
        <v>0.0</v>
      </c>
      <c r="O1631" s="9">
        <v>250.0</v>
      </c>
      <c r="P1631" s="8" t="s">
        <v>3480</v>
      </c>
      <c r="Q1631" s="8"/>
      <c r="R1631" s="8"/>
    </row>
    <row r="1632">
      <c r="A1632" s="8" t="s">
        <v>516</v>
      </c>
      <c r="B1632" s="8" t="s">
        <v>11265</v>
      </c>
      <c r="C1632" s="8" t="s">
        <v>11266</v>
      </c>
      <c r="D1632" s="9">
        <v>8.329397971E9</v>
      </c>
      <c r="E1632" s="8" t="s">
        <v>11267</v>
      </c>
      <c r="F1632" s="8" t="s">
        <v>10743</v>
      </c>
      <c r="G1632" s="8" t="s">
        <v>11268</v>
      </c>
      <c r="H1632" s="8" t="s">
        <v>3479</v>
      </c>
      <c r="I1632" s="9">
        <v>0.0</v>
      </c>
      <c r="J1632" s="9">
        <v>929.0</v>
      </c>
      <c r="K1632" s="9">
        <v>929.0</v>
      </c>
      <c r="L1632" s="9">
        <v>929.0</v>
      </c>
      <c r="M1632" s="9">
        <v>80.0</v>
      </c>
      <c r="N1632" s="9">
        <v>0.0</v>
      </c>
      <c r="O1632" s="9">
        <v>849.0</v>
      </c>
      <c r="P1632" s="8" t="s">
        <v>3480</v>
      </c>
      <c r="Q1632" s="8"/>
      <c r="R1632" s="8"/>
    </row>
    <row r="1633">
      <c r="A1633" s="8" t="s">
        <v>515</v>
      </c>
      <c r="B1633" s="8" t="s">
        <v>11269</v>
      </c>
      <c r="C1633" s="8" t="s">
        <v>7477</v>
      </c>
      <c r="D1633" s="9">
        <v>8.484842631E9</v>
      </c>
      <c r="E1633" s="8" t="s">
        <v>7478</v>
      </c>
      <c r="F1633" s="8" t="s">
        <v>5301</v>
      </c>
      <c r="G1633" s="8" t="s">
        <v>11270</v>
      </c>
      <c r="H1633" s="8" t="s">
        <v>3479</v>
      </c>
      <c r="I1633" s="9">
        <v>0.0</v>
      </c>
      <c r="J1633" s="9">
        <v>3419.0</v>
      </c>
      <c r="K1633" s="9">
        <v>3419.0</v>
      </c>
      <c r="L1633" s="9">
        <v>3419.0</v>
      </c>
      <c r="M1633" s="9">
        <v>1965.0</v>
      </c>
      <c r="N1633" s="9">
        <v>190.0</v>
      </c>
      <c r="O1633" s="9">
        <v>1264.0</v>
      </c>
      <c r="P1633" s="8" t="s">
        <v>3480</v>
      </c>
      <c r="Q1633" s="8" t="s">
        <v>7481</v>
      </c>
      <c r="R1633" s="8" t="s">
        <v>7482</v>
      </c>
    </row>
    <row r="1634">
      <c r="A1634" s="8" t="s">
        <v>517</v>
      </c>
      <c r="B1634" s="8" t="s">
        <v>11271</v>
      </c>
      <c r="C1634" s="8" t="s">
        <v>11272</v>
      </c>
      <c r="D1634" s="9">
        <v>9.923349595E9</v>
      </c>
      <c r="E1634" s="8" t="s">
        <v>11273</v>
      </c>
      <c r="F1634" s="8" t="s">
        <v>3821</v>
      </c>
      <c r="G1634" s="8" t="s">
        <v>11274</v>
      </c>
      <c r="H1634" s="8" t="s">
        <v>3479</v>
      </c>
      <c r="I1634" s="9">
        <v>0.0</v>
      </c>
      <c r="J1634" s="9">
        <v>4642.0</v>
      </c>
      <c r="K1634" s="9">
        <v>4642.0</v>
      </c>
      <c r="L1634" s="9">
        <v>4642.0</v>
      </c>
      <c r="M1634" s="9">
        <v>3388.0</v>
      </c>
      <c r="N1634" s="9">
        <v>730.0</v>
      </c>
      <c r="O1634" s="9">
        <v>524.0</v>
      </c>
      <c r="P1634" s="8" t="s">
        <v>3519</v>
      </c>
      <c r="Q1634" s="8"/>
      <c r="R1634" s="8"/>
    </row>
    <row r="1635">
      <c r="A1635" s="8" t="s">
        <v>519</v>
      </c>
      <c r="B1635" s="8" t="s">
        <v>11275</v>
      </c>
      <c r="C1635" s="8" t="s">
        <v>11276</v>
      </c>
      <c r="D1635" s="9">
        <v>9.09609555E9</v>
      </c>
      <c r="E1635" s="8" t="s">
        <v>11277</v>
      </c>
      <c r="F1635" s="8" t="s">
        <v>4333</v>
      </c>
      <c r="G1635" s="8" t="s">
        <v>11278</v>
      </c>
      <c r="H1635" s="8" t="s">
        <v>3479</v>
      </c>
      <c r="I1635" s="9">
        <v>0.0</v>
      </c>
      <c r="J1635" s="9">
        <v>1670.0</v>
      </c>
      <c r="K1635" s="9">
        <v>1670.0</v>
      </c>
      <c r="L1635" s="9">
        <v>1670.0</v>
      </c>
      <c r="M1635" s="9">
        <v>80.0</v>
      </c>
      <c r="N1635" s="9">
        <v>891.0</v>
      </c>
      <c r="O1635" s="9">
        <v>699.0</v>
      </c>
      <c r="P1635" s="8" t="s">
        <v>3480</v>
      </c>
      <c r="Q1635" s="8" t="s">
        <v>11279</v>
      </c>
      <c r="R1635" s="8" t="s">
        <v>11280</v>
      </c>
    </row>
    <row r="1636">
      <c r="A1636" s="8" t="s">
        <v>518</v>
      </c>
      <c r="B1636" s="8" t="s">
        <v>11281</v>
      </c>
      <c r="C1636" s="8" t="s">
        <v>11282</v>
      </c>
      <c r="D1636" s="9">
        <v>9.881722657E9</v>
      </c>
      <c r="E1636" s="8" t="s">
        <v>11283</v>
      </c>
      <c r="F1636" s="8" t="s">
        <v>3863</v>
      </c>
      <c r="G1636" s="8" t="s">
        <v>11284</v>
      </c>
      <c r="H1636" s="8" t="s">
        <v>3479</v>
      </c>
      <c r="I1636" s="9">
        <v>0.0</v>
      </c>
      <c r="J1636" s="9">
        <v>2083.0</v>
      </c>
      <c r="K1636" s="9">
        <v>2083.0</v>
      </c>
      <c r="L1636" s="9">
        <v>2083.0</v>
      </c>
      <c r="M1636" s="9">
        <v>1363.0</v>
      </c>
      <c r="N1636" s="9">
        <v>0.0</v>
      </c>
      <c r="O1636" s="9">
        <v>720.0</v>
      </c>
      <c r="P1636" s="8" t="s">
        <v>3480</v>
      </c>
      <c r="Q1636" s="8"/>
      <c r="R1636" s="8"/>
    </row>
    <row r="1637">
      <c r="A1637" s="8" t="s">
        <v>520</v>
      </c>
      <c r="B1637" s="8" t="s">
        <v>11285</v>
      </c>
      <c r="C1637" s="8" t="s">
        <v>11286</v>
      </c>
      <c r="D1637" s="9">
        <v>9.579137595E9</v>
      </c>
      <c r="E1637" s="8" t="s">
        <v>11287</v>
      </c>
      <c r="F1637" s="8" t="s">
        <v>3828</v>
      </c>
      <c r="G1637" s="8" t="s">
        <v>11288</v>
      </c>
      <c r="H1637" s="8" t="s">
        <v>3479</v>
      </c>
      <c r="I1637" s="9">
        <v>0.0</v>
      </c>
      <c r="J1637" s="9">
        <v>1150.0</v>
      </c>
      <c r="K1637" s="9">
        <v>1150.0</v>
      </c>
      <c r="L1637" s="9">
        <v>1150.0</v>
      </c>
      <c r="M1637" s="9">
        <v>1150.0</v>
      </c>
      <c r="N1637" s="9">
        <v>0.0</v>
      </c>
      <c r="O1637" s="9">
        <v>0.0</v>
      </c>
      <c r="P1637" s="8" t="s">
        <v>3480</v>
      </c>
      <c r="Q1637" s="8" t="s">
        <v>11289</v>
      </c>
      <c r="R1637" s="8"/>
    </row>
    <row r="1638">
      <c r="A1638" s="8" t="s">
        <v>527</v>
      </c>
      <c r="B1638" s="8" t="s">
        <v>11290</v>
      </c>
      <c r="C1638" s="8" t="s">
        <v>5709</v>
      </c>
      <c r="D1638" s="9">
        <v>9.764317433E9</v>
      </c>
      <c r="E1638" s="8" t="s">
        <v>11291</v>
      </c>
      <c r="F1638" s="8" t="s">
        <v>5923</v>
      </c>
      <c r="G1638" s="8" t="s">
        <v>11292</v>
      </c>
      <c r="H1638" s="8" t="s">
        <v>3479</v>
      </c>
      <c r="I1638" s="9">
        <v>2501.0</v>
      </c>
      <c r="J1638" s="9">
        <v>0.0</v>
      </c>
      <c r="K1638" s="9">
        <v>2501.0</v>
      </c>
      <c r="L1638" s="9">
        <v>2501.0</v>
      </c>
      <c r="M1638" s="9">
        <v>1512.0</v>
      </c>
      <c r="N1638" s="9">
        <v>540.0</v>
      </c>
      <c r="O1638" s="9">
        <v>449.0</v>
      </c>
      <c r="P1638" s="8" t="s">
        <v>4183</v>
      </c>
      <c r="Q1638" s="8" t="s">
        <v>5712</v>
      </c>
      <c r="R1638" s="8" t="s">
        <v>5713</v>
      </c>
    </row>
    <row r="1639">
      <c r="A1639" s="8" t="s">
        <v>2233</v>
      </c>
      <c r="B1639" s="8" t="s">
        <v>11293</v>
      </c>
      <c r="C1639" s="8" t="s">
        <v>11294</v>
      </c>
      <c r="D1639" s="9">
        <v>8.698552311E9</v>
      </c>
      <c r="E1639" s="8" t="s">
        <v>11295</v>
      </c>
      <c r="F1639" s="8" t="s">
        <v>3608</v>
      </c>
      <c r="G1639" s="8" t="s">
        <v>11296</v>
      </c>
      <c r="H1639" s="8" t="s">
        <v>3479</v>
      </c>
      <c r="I1639" s="9">
        <v>0.0</v>
      </c>
      <c r="J1639" s="9">
        <v>2229.0</v>
      </c>
      <c r="K1639" s="9">
        <v>2229.0</v>
      </c>
      <c r="L1639" s="9">
        <v>2229.0</v>
      </c>
      <c r="M1639" s="9">
        <v>1041.0</v>
      </c>
      <c r="N1639" s="9">
        <v>739.0</v>
      </c>
      <c r="O1639" s="9">
        <v>449.0</v>
      </c>
      <c r="P1639" s="8" t="s">
        <v>3480</v>
      </c>
      <c r="Q1639" s="8"/>
      <c r="R1639" s="8"/>
    </row>
    <row r="1640">
      <c r="A1640" s="8" t="s">
        <v>521</v>
      </c>
      <c r="B1640" s="8" t="s">
        <v>11297</v>
      </c>
      <c r="C1640" s="8" t="s">
        <v>8229</v>
      </c>
      <c r="D1640" s="9">
        <v>9.890335919E9</v>
      </c>
      <c r="E1640" s="8" t="s">
        <v>8230</v>
      </c>
      <c r="F1640" s="8" t="s">
        <v>8231</v>
      </c>
      <c r="G1640" s="8" t="s">
        <v>11298</v>
      </c>
      <c r="H1640" s="8" t="s">
        <v>3479</v>
      </c>
      <c r="I1640" s="9">
        <v>0.0</v>
      </c>
      <c r="J1640" s="9">
        <v>1334.0</v>
      </c>
      <c r="K1640" s="9">
        <v>1334.0</v>
      </c>
      <c r="L1640" s="9">
        <v>1334.0</v>
      </c>
      <c r="M1640" s="9">
        <v>585.0</v>
      </c>
      <c r="N1640" s="9">
        <v>0.0</v>
      </c>
      <c r="O1640" s="9">
        <v>749.0</v>
      </c>
      <c r="P1640" s="8" t="s">
        <v>3480</v>
      </c>
      <c r="Q1640" s="8" t="s">
        <v>8233</v>
      </c>
      <c r="R1640" s="8" t="s">
        <v>8234</v>
      </c>
    </row>
    <row r="1641">
      <c r="A1641" s="8" t="s">
        <v>522</v>
      </c>
      <c r="B1641" s="8" t="s">
        <v>11299</v>
      </c>
      <c r="C1641" s="8" t="s">
        <v>7108</v>
      </c>
      <c r="D1641" s="9">
        <v>9.54545875E9</v>
      </c>
      <c r="E1641" s="8" t="s">
        <v>7109</v>
      </c>
      <c r="F1641" s="8" t="s">
        <v>3601</v>
      </c>
      <c r="G1641" s="8" t="s">
        <v>11300</v>
      </c>
      <c r="H1641" s="8" t="s">
        <v>3479</v>
      </c>
      <c r="I1641" s="9">
        <v>0.0</v>
      </c>
      <c r="J1641" s="9">
        <v>1542.0</v>
      </c>
      <c r="K1641" s="9">
        <v>1542.0</v>
      </c>
      <c r="L1641" s="9">
        <v>1542.0</v>
      </c>
      <c r="M1641" s="9">
        <v>363.0</v>
      </c>
      <c r="N1641" s="9">
        <v>730.0</v>
      </c>
      <c r="O1641" s="9">
        <v>449.0</v>
      </c>
      <c r="P1641" s="8" t="s">
        <v>3480</v>
      </c>
      <c r="Q1641" s="8" t="s">
        <v>7111</v>
      </c>
      <c r="R1641" s="8" t="s">
        <v>7112</v>
      </c>
    </row>
    <row r="1642">
      <c r="A1642" s="8" t="s">
        <v>523</v>
      </c>
      <c r="B1642" s="8" t="s">
        <v>11301</v>
      </c>
      <c r="C1642" s="8" t="s">
        <v>10870</v>
      </c>
      <c r="D1642" s="9">
        <v>9.075010601E9</v>
      </c>
      <c r="E1642" s="8" t="s">
        <v>10871</v>
      </c>
      <c r="F1642" s="8" t="s">
        <v>3821</v>
      </c>
      <c r="G1642" s="8" t="s">
        <v>11302</v>
      </c>
      <c r="H1642" s="8" t="s">
        <v>3479</v>
      </c>
      <c r="I1642" s="9">
        <v>1707.0</v>
      </c>
      <c r="J1642" s="9">
        <v>0.0</v>
      </c>
      <c r="K1642" s="9">
        <v>1707.0</v>
      </c>
      <c r="L1642" s="9">
        <v>1707.0</v>
      </c>
      <c r="M1642" s="9">
        <v>373.0</v>
      </c>
      <c r="N1642" s="9">
        <v>730.0</v>
      </c>
      <c r="O1642" s="9">
        <v>604.0</v>
      </c>
      <c r="P1642" s="8"/>
      <c r="Q1642" s="8" t="s">
        <v>10873</v>
      </c>
      <c r="R1642" s="8" t="s">
        <v>10874</v>
      </c>
    </row>
    <row r="1643">
      <c r="A1643" s="8" t="s">
        <v>524</v>
      </c>
      <c r="B1643" s="8" t="s">
        <v>11303</v>
      </c>
      <c r="C1643" s="8" t="s">
        <v>11304</v>
      </c>
      <c r="D1643" s="9">
        <v>8.605775225E9</v>
      </c>
      <c r="E1643" s="8" t="s">
        <v>11305</v>
      </c>
      <c r="F1643" s="8" t="s">
        <v>3821</v>
      </c>
      <c r="G1643" s="8" t="s">
        <v>11306</v>
      </c>
      <c r="H1643" s="8" t="s">
        <v>3479</v>
      </c>
      <c r="I1643" s="9">
        <v>1731.0</v>
      </c>
      <c r="J1643" s="9">
        <v>0.0</v>
      </c>
      <c r="K1643" s="9">
        <v>1731.0</v>
      </c>
      <c r="L1643" s="9">
        <v>1731.0</v>
      </c>
      <c r="M1643" s="9">
        <v>937.0</v>
      </c>
      <c r="N1643" s="9">
        <v>270.0</v>
      </c>
      <c r="O1643" s="9">
        <v>524.0</v>
      </c>
      <c r="P1643" s="8"/>
      <c r="Q1643" s="8" t="s">
        <v>11307</v>
      </c>
      <c r="R1643" s="8" t="s">
        <v>11308</v>
      </c>
    </row>
    <row r="1644">
      <c r="A1644" s="8" t="s">
        <v>525</v>
      </c>
      <c r="B1644" s="8" t="s">
        <v>11309</v>
      </c>
      <c r="C1644" s="8" t="s">
        <v>11310</v>
      </c>
      <c r="D1644" s="9">
        <v>8.8053579E9</v>
      </c>
      <c r="E1644" s="8" t="s">
        <v>11311</v>
      </c>
      <c r="F1644" s="8" t="s">
        <v>3594</v>
      </c>
      <c r="G1644" s="8" t="s">
        <v>5422</v>
      </c>
      <c r="H1644" s="8" t="s">
        <v>3479</v>
      </c>
      <c r="I1644" s="9">
        <v>2231.0</v>
      </c>
      <c r="J1644" s="9">
        <v>0.0</v>
      </c>
      <c r="K1644" s="9">
        <v>2231.0</v>
      </c>
      <c r="L1644" s="9">
        <v>2231.0</v>
      </c>
      <c r="M1644" s="9">
        <v>977.0</v>
      </c>
      <c r="N1644" s="9">
        <v>730.0</v>
      </c>
      <c r="O1644" s="9">
        <v>524.0</v>
      </c>
      <c r="P1644" s="8" t="s">
        <v>4183</v>
      </c>
      <c r="Q1644" s="8" t="s">
        <v>11312</v>
      </c>
      <c r="R1644" s="8" t="s">
        <v>11313</v>
      </c>
    </row>
    <row r="1645">
      <c r="A1645" s="8" t="s">
        <v>526</v>
      </c>
      <c r="B1645" s="8" t="s">
        <v>11314</v>
      </c>
      <c r="C1645" s="8" t="s">
        <v>7950</v>
      </c>
      <c r="D1645" s="9">
        <v>7.391050757E9</v>
      </c>
      <c r="E1645" s="8" t="s">
        <v>7951</v>
      </c>
      <c r="F1645" s="8" t="s">
        <v>4391</v>
      </c>
      <c r="G1645" s="8" t="s">
        <v>11315</v>
      </c>
      <c r="H1645" s="8" t="s">
        <v>3479</v>
      </c>
      <c r="I1645" s="9">
        <v>1504.0</v>
      </c>
      <c r="J1645" s="9">
        <v>0.0</v>
      </c>
      <c r="K1645" s="9">
        <v>1504.0</v>
      </c>
      <c r="L1645" s="9">
        <v>1504.0</v>
      </c>
      <c r="M1645" s="9">
        <v>325.0</v>
      </c>
      <c r="N1645" s="9">
        <v>730.0</v>
      </c>
      <c r="O1645" s="9">
        <v>449.0</v>
      </c>
      <c r="P1645" s="8" t="s">
        <v>4183</v>
      </c>
      <c r="Q1645" s="8" t="s">
        <v>7953</v>
      </c>
      <c r="R1645" s="8" t="s">
        <v>7954</v>
      </c>
    </row>
    <row r="1646">
      <c r="A1646" s="8" t="s">
        <v>594</v>
      </c>
      <c r="B1646" s="8" t="s">
        <v>11316</v>
      </c>
      <c r="C1646" s="8" t="s">
        <v>4136</v>
      </c>
      <c r="D1646" s="9">
        <v>7.875519284E9</v>
      </c>
      <c r="E1646" s="8" t="s">
        <v>11317</v>
      </c>
      <c r="F1646" s="8" t="s">
        <v>5162</v>
      </c>
      <c r="G1646" s="8" t="s">
        <v>11318</v>
      </c>
      <c r="H1646" s="8" t="s">
        <v>3479</v>
      </c>
      <c r="I1646" s="9">
        <v>0.0</v>
      </c>
      <c r="J1646" s="9">
        <v>3855.0</v>
      </c>
      <c r="K1646" s="9">
        <v>3855.0</v>
      </c>
      <c r="L1646" s="9">
        <v>3855.0</v>
      </c>
      <c r="M1646" s="9">
        <v>2630.0</v>
      </c>
      <c r="N1646" s="9">
        <v>776.0</v>
      </c>
      <c r="O1646" s="9">
        <v>449.0</v>
      </c>
      <c r="P1646" s="8" t="s">
        <v>3480</v>
      </c>
      <c r="Q1646" s="8" t="s">
        <v>4241</v>
      </c>
      <c r="R1646" s="8"/>
    </row>
    <row r="1647">
      <c r="A1647" s="8" t="s">
        <v>2223</v>
      </c>
      <c r="B1647" s="8" t="s">
        <v>11319</v>
      </c>
      <c r="C1647" s="8" t="s">
        <v>3807</v>
      </c>
      <c r="D1647" s="9">
        <v>9.479244339E9</v>
      </c>
      <c r="E1647" s="8" t="s">
        <v>3808</v>
      </c>
      <c r="F1647" s="8" t="s">
        <v>3809</v>
      </c>
      <c r="G1647" s="8" t="s">
        <v>11320</v>
      </c>
      <c r="H1647" s="8" t="s">
        <v>3479</v>
      </c>
      <c r="I1647" s="9">
        <v>0.0</v>
      </c>
      <c r="J1647" s="9">
        <v>5948.0</v>
      </c>
      <c r="K1647" s="9">
        <v>5948.0</v>
      </c>
      <c r="L1647" s="9">
        <v>5948.0</v>
      </c>
      <c r="M1647" s="9">
        <v>4488.0</v>
      </c>
      <c r="N1647" s="9">
        <v>510.0</v>
      </c>
      <c r="O1647" s="9">
        <v>950.0</v>
      </c>
      <c r="P1647" s="8" t="s">
        <v>4183</v>
      </c>
      <c r="Q1647" s="8"/>
      <c r="R1647" s="8" t="s">
        <v>3811</v>
      </c>
    </row>
    <row r="1648">
      <c r="A1648" s="8" t="s">
        <v>2224</v>
      </c>
      <c r="B1648" s="8" t="s">
        <v>11321</v>
      </c>
      <c r="C1648" s="8" t="s">
        <v>8258</v>
      </c>
      <c r="D1648" s="9">
        <v>9.763489598E9</v>
      </c>
      <c r="E1648" s="8" t="s">
        <v>8259</v>
      </c>
      <c r="F1648" s="8" t="s">
        <v>3589</v>
      </c>
      <c r="G1648" s="8" t="s">
        <v>11322</v>
      </c>
      <c r="H1648" s="8" t="s">
        <v>11323</v>
      </c>
      <c r="I1648" s="9">
        <v>0.0</v>
      </c>
      <c r="J1648" s="9">
        <v>2400.0</v>
      </c>
      <c r="K1648" s="9">
        <v>2424.0</v>
      </c>
      <c r="L1648" s="9">
        <v>2400.0</v>
      </c>
      <c r="M1648" s="9">
        <v>1170.0</v>
      </c>
      <c r="N1648" s="9">
        <v>730.0</v>
      </c>
      <c r="O1648" s="9">
        <v>524.0</v>
      </c>
      <c r="P1648" s="8" t="s">
        <v>4183</v>
      </c>
      <c r="Q1648" s="8" t="s">
        <v>8261</v>
      </c>
      <c r="R1648" s="8" t="s">
        <v>8262</v>
      </c>
    </row>
    <row r="1649">
      <c r="A1649" s="8" t="s">
        <v>2225</v>
      </c>
      <c r="B1649" s="8" t="s">
        <v>11324</v>
      </c>
      <c r="C1649" s="8" t="s">
        <v>11325</v>
      </c>
      <c r="D1649" s="9">
        <v>7.758078748E9</v>
      </c>
      <c r="E1649" s="8" t="s">
        <v>11326</v>
      </c>
      <c r="F1649" s="8" t="s">
        <v>3714</v>
      </c>
      <c r="G1649" s="8" t="s">
        <v>11327</v>
      </c>
      <c r="H1649" s="8" t="s">
        <v>3479</v>
      </c>
      <c r="I1649" s="9">
        <v>0.0</v>
      </c>
      <c r="J1649" s="9">
        <v>2531.0</v>
      </c>
      <c r="K1649" s="9">
        <v>2531.0</v>
      </c>
      <c r="L1649" s="9">
        <v>2531.0</v>
      </c>
      <c r="M1649" s="9">
        <v>718.0</v>
      </c>
      <c r="N1649" s="9">
        <v>839.0</v>
      </c>
      <c r="O1649" s="9">
        <v>974.0</v>
      </c>
      <c r="P1649" s="8" t="s">
        <v>4183</v>
      </c>
      <c r="Q1649" s="8"/>
      <c r="R1649" s="8"/>
    </row>
    <row r="1650">
      <c r="A1650" s="8" t="s">
        <v>2227</v>
      </c>
      <c r="B1650" s="8" t="s">
        <v>11328</v>
      </c>
      <c r="C1650" s="8" t="s">
        <v>11329</v>
      </c>
      <c r="D1650" s="9">
        <v>9.32297151E9</v>
      </c>
      <c r="E1650" s="8" t="s">
        <v>11330</v>
      </c>
      <c r="F1650" s="8" t="s">
        <v>3589</v>
      </c>
      <c r="G1650" s="8" t="s">
        <v>11331</v>
      </c>
      <c r="H1650" s="8" t="s">
        <v>3479</v>
      </c>
      <c r="I1650" s="9">
        <v>0.0</v>
      </c>
      <c r="J1650" s="9">
        <v>1414.0</v>
      </c>
      <c r="K1650" s="9">
        <v>1414.0</v>
      </c>
      <c r="L1650" s="9">
        <v>1414.0</v>
      </c>
      <c r="M1650" s="9">
        <v>160.0</v>
      </c>
      <c r="N1650" s="9">
        <v>730.0</v>
      </c>
      <c r="O1650" s="9">
        <v>524.0</v>
      </c>
      <c r="P1650" s="8" t="s">
        <v>4183</v>
      </c>
      <c r="Q1650" s="8"/>
      <c r="R1650" s="8"/>
    </row>
    <row r="1651">
      <c r="A1651" s="8" t="s">
        <v>2226</v>
      </c>
      <c r="B1651" s="8" t="s">
        <v>11332</v>
      </c>
      <c r="C1651" s="8" t="s">
        <v>5549</v>
      </c>
      <c r="D1651" s="9">
        <v>9.028473684E9</v>
      </c>
      <c r="E1651" s="8" t="s">
        <v>11333</v>
      </c>
      <c r="F1651" s="8" t="s">
        <v>11334</v>
      </c>
      <c r="G1651" s="8" t="s">
        <v>11335</v>
      </c>
      <c r="H1651" s="8" t="s">
        <v>3479</v>
      </c>
      <c r="I1651" s="9">
        <v>0.0</v>
      </c>
      <c r="J1651" s="9">
        <v>2115.0</v>
      </c>
      <c r="K1651" s="9">
        <v>2115.0</v>
      </c>
      <c r="L1651" s="9">
        <v>2115.0</v>
      </c>
      <c r="M1651" s="9">
        <v>936.0</v>
      </c>
      <c r="N1651" s="9">
        <v>730.0</v>
      </c>
      <c r="O1651" s="9">
        <v>449.0</v>
      </c>
      <c r="P1651" s="8" t="s">
        <v>4183</v>
      </c>
      <c r="Q1651" s="8" t="s">
        <v>4381</v>
      </c>
      <c r="R1651" s="8" t="s">
        <v>11336</v>
      </c>
    </row>
    <row r="1652">
      <c r="A1652" s="8" t="s">
        <v>2229</v>
      </c>
      <c r="B1652" s="8" t="s">
        <v>11337</v>
      </c>
      <c r="C1652" s="8" t="s">
        <v>11338</v>
      </c>
      <c r="D1652" s="9">
        <v>9.975785984E9</v>
      </c>
      <c r="E1652" s="8" t="s">
        <v>11339</v>
      </c>
      <c r="F1652" s="8" t="s">
        <v>3523</v>
      </c>
      <c r="G1652" s="8" t="s">
        <v>11340</v>
      </c>
      <c r="H1652" s="8" t="s">
        <v>11341</v>
      </c>
      <c r="I1652" s="9">
        <v>0.0</v>
      </c>
      <c r="J1652" s="9">
        <v>1580.0</v>
      </c>
      <c r="K1652" s="9">
        <v>1582.0</v>
      </c>
      <c r="L1652" s="9">
        <v>1580.0</v>
      </c>
      <c r="M1652" s="9">
        <v>240.0</v>
      </c>
      <c r="N1652" s="9">
        <v>738.0</v>
      </c>
      <c r="O1652" s="9">
        <v>604.0</v>
      </c>
      <c r="P1652" s="8" t="s">
        <v>6294</v>
      </c>
      <c r="Q1652" s="8" t="s">
        <v>11342</v>
      </c>
      <c r="R1652" s="8" t="s">
        <v>11343</v>
      </c>
    </row>
    <row r="1653">
      <c r="A1653" s="8" t="s">
        <v>2228</v>
      </c>
      <c r="B1653" s="8" t="s">
        <v>11344</v>
      </c>
      <c r="C1653" s="8" t="s">
        <v>5925</v>
      </c>
      <c r="D1653" s="9">
        <v>9.881399332E9</v>
      </c>
      <c r="E1653" s="8" t="s">
        <v>5926</v>
      </c>
      <c r="F1653" s="8" t="s">
        <v>3608</v>
      </c>
      <c r="G1653" s="8" t="s">
        <v>11345</v>
      </c>
      <c r="H1653" s="8" t="s">
        <v>3479</v>
      </c>
      <c r="I1653" s="9">
        <v>0.0</v>
      </c>
      <c r="J1653" s="9">
        <v>2086.0</v>
      </c>
      <c r="K1653" s="9">
        <v>2086.0</v>
      </c>
      <c r="L1653" s="9">
        <v>2086.0</v>
      </c>
      <c r="M1653" s="9">
        <v>567.0</v>
      </c>
      <c r="N1653" s="9">
        <v>795.0</v>
      </c>
      <c r="O1653" s="9">
        <v>724.0</v>
      </c>
      <c r="P1653" s="8" t="s">
        <v>4183</v>
      </c>
      <c r="Q1653" s="8" t="s">
        <v>5928</v>
      </c>
      <c r="R1653" s="8" t="s">
        <v>5929</v>
      </c>
    </row>
    <row r="1654">
      <c r="A1654" s="8" t="s">
        <v>2230</v>
      </c>
      <c r="B1654" s="8" t="s">
        <v>11346</v>
      </c>
      <c r="C1654" s="8" t="s">
        <v>11347</v>
      </c>
      <c r="D1654" s="9">
        <v>7.972511995E9</v>
      </c>
      <c r="E1654" s="8" t="s">
        <v>11348</v>
      </c>
      <c r="F1654" s="8" t="s">
        <v>8835</v>
      </c>
      <c r="G1654" s="8" t="s">
        <v>11349</v>
      </c>
      <c r="H1654" s="8" t="s">
        <v>11350</v>
      </c>
      <c r="I1654" s="9">
        <v>0.0</v>
      </c>
      <c r="J1654" s="9">
        <v>3500.0</v>
      </c>
      <c r="K1654" s="9">
        <v>3526.0</v>
      </c>
      <c r="L1654" s="9">
        <v>3500.0</v>
      </c>
      <c r="M1654" s="9">
        <v>2053.0</v>
      </c>
      <c r="N1654" s="9">
        <v>774.0</v>
      </c>
      <c r="O1654" s="9">
        <v>699.0</v>
      </c>
      <c r="P1654" s="8" t="s">
        <v>6396</v>
      </c>
      <c r="Q1654" s="8" t="s">
        <v>11351</v>
      </c>
      <c r="R1654" s="8" t="s">
        <v>11352</v>
      </c>
    </row>
    <row r="1655">
      <c r="A1655" s="8" t="s">
        <v>595</v>
      </c>
      <c r="B1655" s="8" t="s">
        <v>11353</v>
      </c>
      <c r="C1655" s="8" t="s">
        <v>11354</v>
      </c>
      <c r="D1655" s="9">
        <v>8.793299989E9</v>
      </c>
      <c r="E1655" s="8" t="s">
        <v>11355</v>
      </c>
      <c r="F1655" s="8" t="s">
        <v>3809</v>
      </c>
      <c r="G1655" s="8" t="s">
        <v>11356</v>
      </c>
      <c r="H1655" s="8" t="s">
        <v>3479</v>
      </c>
      <c r="I1655" s="9">
        <v>0.0</v>
      </c>
      <c r="J1655" s="9">
        <v>839.0</v>
      </c>
      <c r="K1655" s="9">
        <v>839.0</v>
      </c>
      <c r="L1655" s="9">
        <v>839.0</v>
      </c>
      <c r="M1655" s="9">
        <v>90.0</v>
      </c>
      <c r="N1655" s="9">
        <v>0.0</v>
      </c>
      <c r="O1655" s="9">
        <v>749.0</v>
      </c>
      <c r="P1655" s="8" t="s">
        <v>3480</v>
      </c>
      <c r="Q1655" s="8" t="s">
        <v>11357</v>
      </c>
      <c r="R1655" s="8" t="s">
        <v>11358</v>
      </c>
    </row>
    <row r="1656">
      <c r="A1656" s="8" t="s">
        <v>599</v>
      </c>
      <c r="B1656" s="8" t="s">
        <v>11359</v>
      </c>
      <c r="C1656" s="8" t="s">
        <v>11360</v>
      </c>
      <c r="D1656" s="9">
        <v>9.822338851E9</v>
      </c>
      <c r="E1656" s="8" t="s">
        <v>7038</v>
      </c>
      <c r="F1656" s="8" t="s">
        <v>4018</v>
      </c>
      <c r="G1656" s="8" t="s">
        <v>11361</v>
      </c>
      <c r="H1656" s="8" t="s">
        <v>3479</v>
      </c>
      <c r="I1656" s="9">
        <v>0.0</v>
      </c>
      <c r="J1656" s="9">
        <v>529.0</v>
      </c>
      <c r="K1656" s="9">
        <v>529.0</v>
      </c>
      <c r="L1656" s="9">
        <v>529.0</v>
      </c>
      <c r="M1656" s="9">
        <v>80.0</v>
      </c>
      <c r="N1656" s="9">
        <v>0.0</v>
      </c>
      <c r="O1656" s="9">
        <v>449.0</v>
      </c>
      <c r="P1656" s="8" t="s">
        <v>3480</v>
      </c>
      <c r="Q1656" s="8"/>
      <c r="R1656" s="8"/>
    </row>
    <row r="1657">
      <c r="A1657" s="8" t="s">
        <v>528</v>
      </c>
      <c r="B1657" s="8" t="s">
        <v>11362</v>
      </c>
      <c r="C1657" s="8" t="s">
        <v>11363</v>
      </c>
      <c r="D1657" s="9">
        <v>9.011640804E9</v>
      </c>
      <c r="E1657" s="8" t="s">
        <v>11364</v>
      </c>
      <c r="F1657" s="8" t="s">
        <v>3828</v>
      </c>
      <c r="G1657" s="8" t="s">
        <v>11365</v>
      </c>
      <c r="H1657" s="8" t="s">
        <v>3479</v>
      </c>
      <c r="I1657" s="9">
        <v>1638.0</v>
      </c>
      <c r="J1657" s="9">
        <v>0.0</v>
      </c>
      <c r="K1657" s="9">
        <v>1638.0</v>
      </c>
      <c r="L1657" s="9">
        <v>1638.0</v>
      </c>
      <c r="M1657" s="9">
        <v>415.0</v>
      </c>
      <c r="N1657" s="9">
        <v>774.0</v>
      </c>
      <c r="O1657" s="9">
        <v>449.0</v>
      </c>
      <c r="P1657" s="8" t="s">
        <v>4183</v>
      </c>
      <c r="Q1657" s="8" t="s">
        <v>11366</v>
      </c>
      <c r="R1657" s="8" t="s">
        <v>11367</v>
      </c>
    </row>
    <row r="1658">
      <c r="A1658" s="8" t="s">
        <v>596</v>
      </c>
      <c r="B1658" s="8" t="s">
        <v>11368</v>
      </c>
      <c r="C1658" s="8" t="s">
        <v>8113</v>
      </c>
      <c r="D1658" s="9">
        <v>8.446092999E9</v>
      </c>
      <c r="E1658" s="8" t="s">
        <v>8114</v>
      </c>
      <c r="F1658" s="8" t="s">
        <v>5301</v>
      </c>
      <c r="G1658" s="8" t="s">
        <v>11369</v>
      </c>
      <c r="H1658" s="8" t="s">
        <v>3479</v>
      </c>
      <c r="I1658" s="9">
        <v>0.0</v>
      </c>
      <c r="J1658" s="9">
        <v>969.0</v>
      </c>
      <c r="K1658" s="9">
        <v>969.0</v>
      </c>
      <c r="L1658" s="9">
        <v>969.0</v>
      </c>
      <c r="M1658" s="9">
        <v>220.0</v>
      </c>
      <c r="N1658" s="9">
        <v>0.0</v>
      </c>
      <c r="O1658" s="9">
        <v>749.0</v>
      </c>
      <c r="P1658" s="8" t="s">
        <v>3519</v>
      </c>
      <c r="Q1658" s="8" t="s">
        <v>8116</v>
      </c>
      <c r="R1658" s="8"/>
    </row>
    <row r="1659">
      <c r="A1659" s="8" t="s">
        <v>597</v>
      </c>
      <c r="B1659" s="8" t="s">
        <v>11370</v>
      </c>
      <c r="C1659" s="8" t="s">
        <v>9137</v>
      </c>
      <c r="D1659" s="9">
        <v>9.850127066E9</v>
      </c>
      <c r="E1659" s="8" t="s">
        <v>9138</v>
      </c>
      <c r="F1659" s="8" t="s">
        <v>6253</v>
      </c>
      <c r="G1659" s="8" t="s">
        <v>11371</v>
      </c>
      <c r="H1659" s="8" t="s">
        <v>3479</v>
      </c>
      <c r="I1659" s="9">
        <v>0.0</v>
      </c>
      <c r="J1659" s="9">
        <v>634.0</v>
      </c>
      <c r="K1659" s="9">
        <v>634.0</v>
      </c>
      <c r="L1659" s="9">
        <v>634.0</v>
      </c>
      <c r="M1659" s="9">
        <v>185.0</v>
      </c>
      <c r="N1659" s="9">
        <v>0.0</v>
      </c>
      <c r="O1659" s="9">
        <v>449.0</v>
      </c>
      <c r="P1659" s="8" t="s">
        <v>3480</v>
      </c>
      <c r="Q1659" s="8"/>
      <c r="R1659" s="8"/>
    </row>
    <row r="1660">
      <c r="A1660" s="8" t="s">
        <v>598</v>
      </c>
      <c r="B1660" s="8" t="s">
        <v>11372</v>
      </c>
      <c r="C1660" s="8" t="s">
        <v>11373</v>
      </c>
      <c r="D1660" s="9">
        <v>9.423349261E9</v>
      </c>
      <c r="E1660" s="8" t="s">
        <v>11374</v>
      </c>
      <c r="F1660" s="8" t="s">
        <v>9292</v>
      </c>
      <c r="G1660" s="8" t="s">
        <v>11375</v>
      </c>
      <c r="H1660" s="8" t="s">
        <v>3479</v>
      </c>
      <c r="I1660" s="9">
        <v>0.0</v>
      </c>
      <c r="J1660" s="9">
        <v>1453.0</v>
      </c>
      <c r="K1660" s="9">
        <v>1453.0</v>
      </c>
      <c r="L1660" s="9">
        <v>1453.0</v>
      </c>
      <c r="M1660" s="9">
        <v>80.0</v>
      </c>
      <c r="N1660" s="9">
        <v>774.0</v>
      </c>
      <c r="O1660" s="9">
        <v>599.0</v>
      </c>
      <c r="P1660" s="8" t="s">
        <v>3480</v>
      </c>
      <c r="Q1660" s="8" t="s">
        <v>11376</v>
      </c>
      <c r="R1660" s="8" t="s">
        <v>11377</v>
      </c>
    </row>
    <row r="1661">
      <c r="A1661" s="8" t="s">
        <v>647</v>
      </c>
      <c r="B1661" s="8" t="s">
        <v>11378</v>
      </c>
      <c r="C1661" s="8" t="s">
        <v>3496</v>
      </c>
      <c r="D1661" s="9">
        <v>9.049536462E9</v>
      </c>
      <c r="E1661" s="8" t="s">
        <v>3497</v>
      </c>
      <c r="F1661" s="8" t="s">
        <v>3498</v>
      </c>
      <c r="G1661" s="8" t="s">
        <v>11379</v>
      </c>
      <c r="H1661" s="8" t="s">
        <v>3479</v>
      </c>
      <c r="I1661" s="9">
        <v>0.0</v>
      </c>
      <c r="J1661" s="9">
        <v>3769.0</v>
      </c>
      <c r="K1661" s="9">
        <v>3769.0</v>
      </c>
      <c r="L1661" s="9">
        <v>3769.0</v>
      </c>
      <c r="M1661" s="9">
        <v>1479.0</v>
      </c>
      <c r="N1661" s="9">
        <v>540.0</v>
      </c>
      <c r="O1661" s="9">
        <v>1750.0</v>
      </c>
      <c r="P1661" s="8" t="s">
        <v>3544</v>
      </c>
      <c r="Q1661" s="8" t="s">
        <v>3500</v>
      </c>
      <c r="R1661" s="8" t="s">
        <v>3501</v>
      </c>
    </row>
    <row r="1662">
      <c r="A1662" s="8" t="s">
        <v>2187</v>
      </c>
      <c r="B1662" s="8" t="s">
        <v>11380</v>
      </c>
      <c r="C1662" s="8" t="s">
        <v>11381</v>
      </c>
      <c r="D1662" s="9">
        <v>9.687344466E9</v>
      </c>
      <c r="E1662" s="8" t="s">
        <v>11382</v>
      </c>
      <c r="F1662" s="8" t="s">
        <v>11383</v>
      </c>
      <c r="G1662" s="8" t="s">
        <v>11384</v>
      </c>
      <c r="H1662" s="8" t="s">
        <v>3479</v>
      </c>
      <c r="I1662" s="9">
        <v>0.0</v>
      </c>
      <c r="J1662" s="9">
        <v>1048.0</v>
      </c>
      <c r="K1662" s="9">
        <v>1048.0</v>
      </c>
      <c r="L1662" s="9">
        <v>1048.0</v>
      </c>
      <c r="M1662" s="9">
        <v>129.0</v>
      </c>
      <c r="N1662" s="9">
        <v>120.0</v>
      </c>
      <c r="O1662" s="9">
        <v>799.0</v>
      </c>
      <c r="P1662" s="8" t="s">
        <v>3544</v>
      </c>
      <c r="Q1662" s="8"/>
      <c r="R1662" s="8"/>
    </row>
    <row r="1663">
      <c r="A1663" s="8" t="s">
        <v>990</v>
      </c>
      <c r="B1663" s="8" t="s">
        <v>11385</v>
      </c>
      <c r="C1663" s="8" t="s">
        <v>5331</v>
      </c>
      <c r="D1663" s="9">
        <v>9.969018369E9</v>
      </c>
      <c r="E1663" s="8" t="s">
        <v>5332</v>
      </c>
      <c r="F1663" s="8" t="s">
        <v>3821</v>
      </c>
      <c r="G1663" s="8" t="s">
        <v>11386</v>
      </c>
      <c r="H1663" s="8" t="s">
        <v>3479</v>
      </c>
      <c r="I1663" s="9">
        <v>0.0</v>
      </c>
      <c r="J1663" s="9">
        <v>684.0</v>
      </c>
      <c r="K1663" s="9">
        <v>684.0</v>
      </c>
      <c r="L1663" s="9">
        <v>684.0</v>
      </c>
      <c r="M1663" s="9">
        <v>160.0</v>
      </c>
      <c r="N1663" s="9">
        <v>0.0</v>
      </c>
      <c r="O1663" s="9">
        <v>524.0</v>
      </c>
      <c r="P1663" s="8" t="s">
        <v>3480</v>
      </c>
      <c r="Q1663" s="8" t="s">
        <v>5334</v>
      </c>
      <c r="R1663" s="8" t="s">
        <v>5335</v>
      </c>
    </row>
    <row r="1664">
      <c r="A1664" s="8" t="s">
        <v>2189</v>
      </c>
      <c r="B1664" s="8" t="s">
        <v>11387</v>
      </c>
      <c r="C1664" s="8" t="s">
        <v>10894</v>
      </c>
      <c r="D1664" s="9">
        <v>9.762174485E9</v>
      </c>
      <c r="E1664" s="8" t="s">
        <v>11388</v>
      </c>
      <c r="F1664" s="8" t="s">
        <v>3768</v>
      </c>
      <c r="G1664" s="8" t="s">
        <v>11389</v>
      </c>
      <c r="H1664" s="8" t="s">
        <v>3479</v>
      </c>
      <c r="I1664" s="9">
        <v>0.0</v>
      </c>
      <c r="J1664" s="9">
        <v>2652.0</v>
      </c>
      <c r="K1664" s="9">
        <v>2652.0</v>
      </c>
      <c r="L1664" s="9">
        <v>2652.0</v>
      </c>
      <c r="M1664" s="9">
        <v>2087.0</v>
      </c>
      <c r="N1664" s="9">
        <v>65.0</v>
      </c>
      <c r="O1664" s="9">
        <v>500.0</v>
      </c>
      <c r="P1664" s="8" t="s">
        <v>3519</v>
      </c>
      <c r="Q1664" s="8" t="s">
        <v>11390</v>
      </c>
      <c r="R1664" s="8" t="s">
        <v>11391</v>
      </c>
    </row>
    <row r="1665">
      <c r="A1665" s="8" t="s">
        <v>2188</v>
      </c>
      <c r="B1665" s="8" t="s">
        <v>11392</v>
      </c>
      <c r="C1665" s="8" t="s">
        <v>9887</v>
      </c>
      <c r="D1665" s="9">
        <v>8.983055137E9</v>
      </c>
      <c r="E1665" s="8" t="s">
        <v>9888</v>
      </c>
      <c r="F1665" s="8" t="s">
        <v>3486</v>
      </c>
      <c r="G1665" s="8" t="s">
        <v>11393</v>
      </c>
      <c r="H1665" s="8" t="s">
        <v>3479</v>
      </c>
      <c r="I1665" s="9">
        <v>0.0</v>
      </c>
      <c r="J1665" s="9">
        <v>1759.0</v>
      </c>
      <c r="K1665" s="9">
        <v>1759.0</v>
      </c>
      <c r="L1665" s="9">
        <v>1759.0</v>
      </c>
      <c r="M1665" s="9">
        <v>1230.0</v>
      </c>
      <c r="N1665" s="9">
        <v>0.0</v>
      </c>
      <c r="O1665" s="9">
        <v>529.0</v>
      </c>
      <c r="P1665" s="8" t="s">
        <v>3480</v>
      </c>
      <c r="Q1665" s="8" t="s">
        <v>9890</v>
      </c>
      <c r="R1665" s="8" t="s">
        <v>9891</v>
      </c>
    </row>
    <row r="1666">
      <c r="A1666" s="8" t="s">
        <v>2191</v>
      </c>
      <c r="B1666" s="8" t="s">
        <v>11394</v>
      </c>
      <c r="C1666" s="8" t="s">
        <v>11395</v>
      </c>
      <c r="D1666" s="9">
        <v>9.130009098E9</v>
      </c>
      <c r="E1666" s="8" t="s">
        <v>11396</v>
      </c>
      <c r="F1666" s="8" t="s">
        <v>3821</v>
      </c>
      <c r="G1666" s="8" t="s">
        <v>11397</v>
      </c>
      <c r="H1666" s="8" t="s">
        <v>3479</v>
      </c>
      <c r="I1666" s="9">
        <v>0.0</v>
      </c>
      <c r="J1666" s="9">
        <v>853.0</v>
      </c>
      <c r="K1666" s="9">
        <v>853.0</v>
      </c>
      <c r="L1666" s="9">
        <v>853.0</v>
      </c>
      <c r="M1666" s="9">
        <v>678.0</v>
      </c>
      <c r="N1666" s="9">
        <v>0.0</v>
      </c>
      <c r="O1666" s="9">
        <v>175.0</v>
      </c>
      <c r="P1666" s="8" t="s">
        <v>3480</v>
      </c>
      <c r="Q1666" s="8" t="s">
        <v>11398</v>
      </c>
      <c r="R1666" s="8" t="s">
        <v>11399</v>
      </c>
    </row>
    <row r="1667">
      <c r="A1667" s="8" t="s">
        <v>2192</v>
      </c>
      <c r="B1667" s="8" t="s">
        <v>11400</v>
      </c>
      <c r="C1667" s="8" t="s">
        <v>5085</v>
      </c>
      <c r="D1667" s="9">
        <v>9.8906118E9</v>
      </c>
      <c r="E1667" s="8" t="s">
        <v>5086</v>
      </c>
      <c r="F1667" s="8" t="s">
        <v>3589</v>
      </c>
      <c r="G1667" s="8" t="s">
        <v>11401</v>
      </c>
      <c r="H1667" s="8" t="s">
        <v>3479</v>
      </c>
      <c r="I1667" s="9">
        <v>0.0</v>
      </c>
      <c r="J1667" s="9">
        <v>1231.0</v>
      </c>
      <c r="K1667" s="9">
        <v>1231.0</v>
      </c>
      <c r="L1667" s="9">
        <v>1231.0</v>
      </c>
      <c r="M1667" s="9">
        <v>1056.0</v>
      </c>
      <c r="N1667" s="9">
        <v>0.0</v>
      </c>
      <c r="O1667" s="9">
        <v>175.0</v>
      </c>
      <c r="P1667" s="8" t="s">
        <v>3519</v>
      </c>
      <c r="Q1667" s="8"/>
      <c r="R1667" s="8"/>
    </row>
    <row r="1668">
      <c r="A1668" s="8" t="s">
        <v>2193</v>
      </c>
      <c r="B1668" s="8" t="s">
        <v>11402</v>
      </c>
      <c r="C1668" s="8" t="s">
        <v>11403</v>
      </c>
      <c r="D1668" s="9">
        <v>7.798075034E9</v>
      </c>
      <c r="E1668" s="8" t="s">
        <v>11404</v>
      </c>
      <c r="F1668" s="8" t="s">
        <v>3569</v>
      </c>
      <c r="G1668" s="8" t="s">
        <v>11405</v>
      </c>
      <c r="H1668" s="8" t="s">
        <v>3479</v>
      </c>
      <c r="I1668" s="9">
        <v>0.0</v>
      </c>
      <c r="J1668" s="9">
        <v>929.0</v>
      </c>
      <c r="K1668" s="9">
        <v>929.0</v>
      </c>
      <c r="L1668" s="9">
        <v>929.0</v>
      </c>
      <c r="M1668" s="9">
        <v>230.0</v>
      </c>
      <c r="N1668" s="9">
        <v>0.0</v>
      </c>
      <c r="O1668" s="9">
        <v>699.0</v>
      </c>
      <c r="P1668" s="8" t="s">
        <v>3480</v>
      </c>
      <c r="Q1668" s="8"/>
      <c r="R1668" s="8"/>
    </row>
    <row r="1669">
      <c r="A1669" s="8" t="s">
        <v>2194</v>
      </c>
      <c r="B1669" s="8" t="s">
        <v>11406</v>
      </c>
      <c r="C1669" s="8" t="s">
        <v>11407</v>
      </c>
      <c r="D1669" s="9">
        <v>9.881103107E9</v>
      </c>
      <c r="E1669" s="8" t="s">
        <v>11408</v>
      </c>
      <c r="F1669" s="8" t="s">
        <v>3608</v>
      </c>
      <c r="G1669" s="8" t="s">
        <v>11409</v>
      </c>
      <c r="H1669" s="8" t="s">
        <v>3479</v>
      </c>
      <c r="I1669" s="9">
        <v>0.0</v>
      </c>
      <c r="J1669" s="9">
        <v>2580.0</v>
      </c>
      <c r="K1669" s="9">
        <v>2580.0</v>
      </c>
      <c r="L1669" s="9">
        <v>2580.0</v>
      </c>
      <c r="M1669" s="9">
        <v>908.0</v>
      </c>
      <c r="N1669" s="9">
        <v>898.0</v>
      </c>
      <c r="O1669" s="9">
        <v>774.0</v>
      </c>
      <c r="P1669" s="8" t="s">
        <v>3480</v>
      </c>
      <c r="Q1669" s="8" t="s">
        <v>11410</v>
      </c>
      <c r="R1669" s="8" t="s">
        <v>11411</v>
      </c>
    </row>
    <row r="1670">
      <c r="A1670" s="8" t="s">
        <v>2190</v>
      </c>
      <c r="B1670" s="8" t="s">
        <v>11412</v>
      </c>
      <c r="C1670" s="8" t="s">
        <v>11413</v>
      </c>
      <c r="D1670" s="9">
        <v>9.6897881E9</v>
      </c>
      <c r="E1670" s="8" t="s">
        <v>11414</v>
      </c>
      <c r="F1670" s="8" t="s">
        <v>3589</v>
      </c>
      <c r="G1670" s="8" t="s">
        <v>11415</v>
      </c>
      <c r="H1670" s="8" t="s">
        <v>3479</v>
      </c>
      <c r="I1670" s="9">
        <v>0.0</v>
      </c>
      <c r="J1670" s="9">
        <v>2901.0</v>
      </c>
      <c r="K1670" s="9">
        <v>2901.0</v>
      </c>
      <c r="L1670" s="9">
        <v>2901.0</v>
      </c>
      <c r="M1670" s="9">
        <v>1647.0</v>
      </c>
      <c r="N1670" s="9">
        <v>730.0</v>
      </c>
      <c r="O1670" s="9">
        <v>524.0</v>
      </c>
      <c r="P1670" s="8" t="s">
        <v>3519</v>
      </c>
      <c r="Q1670" s="8" t="s">
        <v>11416</v>
      </c>
      <c r="R1670" s="8" t="s">
        <v>11417</v>
      </c>
    </row>
    <row r="1671">
      <c r="A1671" s="8" t="s">
        <v>648</v>
      </c>
      <c r="B1671" s="8" t="s">
        <v>11418</v>
      </c>
      <c r="C1671" s="8" t="s">
        <v>11419</v>
      </c>
      <c r="D1671" s="9">
        <v>9.144661472E9</v>
      </c>
      <c r="E1671" s="8" t="s">
        <v>11420</v>
      </c>
      <c r="F1671" s="8" t="s">
        <v>4059</v>
      </c>
      <c r="G1671" s="8" t="s">
        <v>11421</v>
      </c>
      <c r="H1671" s="8" t="s">
        <v>3479</v>
      </c>
      <c r="I1671" s="9">
        <v>0.0</v>
      </c>
      <c r="J1671" s="9">
        <v>4410.0</v>
      </c>
      <c r="K1671" s="9">
        <v>4410.0</v>
      </c>
      <c r="L1671" s="9">
        <v>4410.0</v>
      </c>
      <c r="M1671" s="9">
        <v>2860.0</v>
      </c>
      <c r="N1671" s="9">
        <v>776.0</v>
      </c>
      <c r="O1671" s="9">
        <v>774.0</v>
      </c>
      <c r="P1671" s="8" t="s">
        <v>3480</v>
      </c>
      <c r="Q1671" s="8"/>
      <c r="R1671" s="8"/>
    </row>
    <row r="1672">
      <c r="A1672" s="8" t="s">
        <v>2195</v>
      </c>
      <c r="B1672" s="8" t="s">
        <v>11422</v>
      </c>
      <c r="C1672" s="8" t="s">
        <v>11423</v>
      </c>
      <c r="D1672" s="9">
        <v>9.30763757E9</v>
      </c>
      <c r="E1672" s="8" t="s">
        <v>11424</v>
      </c>
      <c r="F1672" s="8" t="s">
        <v>3615</v>
      </c>
      <c r="G1672" s="8" t="s">
        <v>11425</v>
      </c>
      <c r="H1672" s="8" t="s">
        <v>3479</v>
      </c>
      <c r="I1672" s="9">
        <v>0.0</v>
      </c>
      <c r="J1672" s="9">
        <v>1746.0</v>
      </c>
      <c r="K1672" s="9">
        <v>1746.0</v>
      </c>
      <c r="L1672" s="9">
        <v>1746.0</v>
      </c>
      <c r="M1672" s="9">
        <v>523.0</v>
      </c>
      <c r="N1672" s="9">
        <v>774.0</v>
      </c>
      <c r="O1672" s="9">
        <v>449.0</v>
      </c>
      <c r="P1672" s="8" t="s">
        <v>3480</v>
      </c>
      <c r="Q1672" s="8" t="s">
        <v>11426</v>
      </c>
      <c r="R1672" s="8" t="s">
        <v>11427</v>
      </c>
    </row>
    <row r="1673">
      <c r="A1673" s="8" t="s">
        <v>2196</v>
      </c>
      <c r="B1673" s="8" t="s">
        <v>11428</v>
      </c>
      <c r="C1673" s="8" t="s">
        <v>9142</v>
      </c>
      <c r="D1673" s="9">
        <v>8.484908611E9</v>
      </c>
      <c r="E1673" s="8" t="s">
        <v>11429</v>
      </c>
      <c r="F1673" s="8" t="s">
        <v>3608</v>
      </c>
      <c r="G1673" s="8" t="s">
        <v>11430</v>
      </c>
      <c r="H1673" s="8" t="s">
        <v>3479</v>
      </c>
      <c r="I1673" s="9">
        <v>0.0</v>
      </c>
      <c r="J1673" s="9">
        <v>2445.0</v>
      </c>
      <c r="K1673" s="9">
        <v>2445.0</v>
      </c>
      <c r="L1673" s="9">
        <v>2445.0</v>
      </c>
      <c r="M1673" s="9">
        <v>926.0</v>
      </c>
      <c r="N1673" s="9">
        <v>795.0</v>
      </c>
      <c r="O1673" s="9">
        <v>724.0</v>
      </c>
      <c r="P1673" s="8" t="s">
        <v>3480</v>
      </c>
      <c r="Q1673" s="8"/>
      <c r="R1673" s="8"/>
    </row>
    <row r="1674">
      <c r="A1674" s="8" t="s">
        <v>2197</v>
      </c>
      <c r="B1674" s="8" t="s">
        <v>11431</v>
      </c>
      <c r="C1674" s="8" t="s">
        <v>11432</v>
      </c>
      <c r="D1674" s="9">
        <v>9.766136533E9</v>
      </c>
      <c r="E1674" s="8" t="s">
        <v>11433</v>
      </c>
      <c r="F1674" s="8" t="s">
        <v>3601</v>
      </c>
      <c r="G1674" s="8" t="s">
        <v>11434</v>
      </c>
      <c r="H1674" s="8" t="s">
        <v>3479</v>
      </c>
      <c r="I1674" s="9">
        <v>0.0</v>
      </c>
      <c r="J1674" s="9">
        <v>1504.0</v>
      </c>
      <c r="K1674" s="9">
        <v>1504.0</v>
      </c>
      <c r="L1674" s="9">
        <v>1504.0</v>
      </c>
      <c r="M1674" s="9">
        <v>325.0</v>
      </c>
      <c r="N1674" s="9">
        <v>730.0</v>
      </c>
      <c r="O1674" s="9">
        <v>449.0</v>
      </c>
      <c r="P1674" s="8" t="s">
        <v>3480</v>
      </c>
      <c r="Q1674" s="8"/>
      <c r="R1674" s="8"/>
    </row>
    <row r="1675">
      <c r="A1675" s="8" t="s">
        <v>2240</v>
      </c>
      <c r="B1675" s="8" t="s">
        <v>11435</v>
      </c>
      <c r="C1675" s="8" t="s">
        <v>11436</v>
      </c>
      <c r="D1675" s="9">
        <v>8.329558211E9</v>
      </c>
      <c r="E1675" s="8" t="s">
        <v>11437</v>
      </c>
      <c r="F1675" s="8" t="s">
        <v>11438</v>
      </c>
      <c r="G1675" s="8" t="s">
        <v>11439</v>
      </c>
      <c r="H1675" s="8" t="s">
        <v>3479</v>
      </c>
      <c r="I1675" s="9">
        <v>0.0</v>
      </c>
      <c r="J1675" s="9">
        <v>2450.0</v>
      </c>
      <c r="K1675" s="9">
        <v>2450.0</v>
      </c>
      <c r="L1675" s="9">
        <v>2450.0</v>
      </c>
      <c r="M1675" s="9">
        <v>1451.0</v>
      </c>
      <c r="N1675" s="9">
        <v>0.0</v>
      </c>
      <c r="O1675" s="9">
        <v>999.0</v>
      </c>
      <c r="P1675" s="8" t="s">
        <v>3480</v>
      </c>
      <c r="Q1675" s="8"/>
      <c r="R1675" s="8"/>
    </row>
    <row r="1676">
      <c r="A1676" s="8" t="s">
        <v>649</v>
      </c>
      <c r="B1676" s="8" t="s">
        <v>11440</v>
      </c>
      <c r="C1676" s="8" t="s">
        <v>11441</v>
      </c>
      <c r="D1676" s="9">
        <v>9.922219794E9</v>
      </c>
      <c r="E1676" s="8" t="s">
        <v>11442</v>
      </c>
      <c r="F1676" s="8" t="s">
        <v>4436</v>
      </c>
      <c r="G1676" s="8" t="s">
        <v>11443</v>
      </c>
      <c r="H1676" s="8" t="s">
        <v>10908</v>
      </c>
      <c r="I1676" s="9">
        <v>0.0</v>
      </c>
      <c r="J1676" s="9">
        <v>1334.0</v>
      </c>
      <c r="K1676" s="9">
        <v>1364.0</v>
      </c>
      <c r="L1676" s="9">
        <v>1334.0</v>
      </c>
      <c r="M1676" s="9">
        <v>569.0</v>
      </c>
      <c r="N1676" s="9">
        <v>520.0</v>
      </c>
      <c r="O1676" s="9">
        <v>275.0</v>
      </c>
      <c r="P1676" s="8" t="s">
        <v>3480</v>
      </c>
      <c r="Q1676" s="8"/>
      <c r="R1676" s="8"/>
    </row>
    <row r="1677">
      <c r="A1677" s="8" t="s">
        <v>650</v>
      </c>
      <c r="B1677" s="8" t="s">
        <v>11444</v>
      </c>
      <c r="C1677" s="8" t="s">
        <v>11445</v>
      </c>
      <c r="D1677" s="9">
        <v>9.730197115E9</v>
      </c>
      <c r="E1677" s="8" t="s">
        <v>11446</v>
      </c>
      <c r="F1677" s="8" t="s">
        <v>6455</v>
      </c>
      <c r="G1677" s="8" t="s">
        <v>11447</v>
      </c>
      <c r="H1677" s="8" t="s">
        <v>3479</v>
      </c>
      <c r="I1677" s="9">
        <v>0.0</v>
      </c>
      <c r="J1677" s="9">
        <v>1589.0</v>
      </c>
      <c r="K1677" s="9">
        <v>1589.0</v>
      </c>
      <c r="L1677" s="9">
        <v>1589.0</v>
      </c>
      <c r="M1677" s="9">
        <v>410.0</v>
      </c>
      <c r="N1677" s="9">
        <v>730.0</v>
      </c>
      <c r="O1677" s="9">
        <v>449.0</v>
      </c>
      <c r="P1677" s="8" t="s">
        <v>3480</v>
      </c>
      <c r="Q1677" s="8" t="s">
        <v>11448</v>
      </c>
      <c r="R1677" s="8" t="s">
        <v>11449</v>
      </c>
    </row>
    <row r="1678">
      <c r="A1678" s="8" t="s">
        <v>651</v>
      </c>
      <c r="B1678" s="8" t="s">
        <v>11450</v>
      </c>
      <c r="C1678" s="8" t="s">
        <v>11451</v>
      </c>
      <c r="D1678" s="9">
        <v>8.551903E9</v>
      </c>
      <c r="E1678" s="8" t="s">
        <v>11452</v>
      </c>
      <c r="F1678" s="8" t="s">
        <v>6118</v>
      </c>
      <c r="G1678" s="8" t="s">
        <v>11453</v>
      </c>
      <c r="H1678" s="8" t="s">
        <v>3479</v>
      </c>
      <c r="I1678" s="9">
        <v>0.0</v>
      </c>
      <c r="J1678" s="9">
        <v>964.0</v>
      </c>
      <c r="K1678" s="9">
        <v>964.0</v>
      </c>
      <c r="L1678" s="9">
        <v>964.0</v>
      </c>
      <c r="M1678" s="9">
        <v>185.0</v>
      </c>
      <c r="N1678" s="9">
        <v>0.0</v>
      </c>
      <c r="O1678" s="9">
        <v>779.0</v>
      </c>
      <c r="P1678" s="8" t="s">
        <v>3480</v>
      </c>
      <c r="Q1678" s="8"/>
      <c r="R1678" s="8"/>
    </row>
    <row r="1679">
      <c r="A1679" s="8" t="s">
        <v>2242</v>
      </c>
      <c r="B1679" s="8" t="s">
        <v>11454</v>
      </c>
      <c r="C1679" s="8" t="s">
        <v>11455</v>
      </c>
      <c r="D1679" s="9">
        <v>7.028637166E9</v>
      </c>
      <c r="E1679" s="8" t="s">
        <v>11456</v>
      </c>
      <c r="F1679" s="8" t="s">
        <v>4125</v>
      </c>
      <c r="G1679" s="8" t="s">
        <v>11457</v>
      </c>
      <c r="H1679" s="8" t="s">
        <v>3479</v>
      </c>
      <c r="I1679" s="9">
        <v>0.0</v>
      </c>
      <c r="J1679" s="9">
        <v>1464.0</v>
      </c>
      <c r="K1679" s="9">
        <v>1464.0</v>
      </c>
      <c r="L1679" s="9">
        <v>1464.0</v>
      </c>
      <c r="M1679" s="9">
        <v>155.0</v>
      </c>
      <c r="N1679" s="9">
        <v>710.0</v>
      </c>
      <c r="O1679" s="9">
        <v>599.0</v>
      </c>
      <c r="P1679" s="8" t="s">
        <v>3480</v>
      </c>
      <c r="Q1679" s="8" t="s">
        <v>11458</v>
      </c>
      <c r="R1679" s="8" t="s">
        <v>11459</v>
      </c>
    </row>
    <row r="1680">
      <c r="A1680" s="8" t="s">
        <v>2243</v>
      </c>
      <c r="B1680" s="8" t="s">
        <v>11460</v>
      </c>
      <c r="C1680" s="8" t="s">
        <v>9851</v>
      </c>
      <c r="D1680" s="9">
        <v>8.805328527E9</v>
      </c>
      <c r="E1680" s="8" t="s">
        <v>9852</v>
      </c>
      <c r="F1680" s="8" t="s">
        <v>3542</v>
      </c>
      <c r="G1680" s="8" t="s">
        <v>9853</v>
      </c>
      <c r="H1680" s="8" t="s">
        <v>3479</v>
      </c>
      <c r="I1680" s="9">
        <v>0.0</v>
      </c>
      <c r="J1680" s="9">
        <v>1679.0</v>
      </c>
      <c r="K1680" s="9">
        <v>1679.0</v>
      </c>
      <c r="L1680" s="9">
        <v>1679.0</v>
      </c>
      <c r="M1680" s="9">
        <v>690.0</v>
      </c>
      <c r="N1680" s="9">
        <v>540.0</v>
      </c>
      <c r="O1680" s="9">
        <v>449.0</v>
      </c>
      <c r="P1680" s="8" t="s">
        <v>3480</v>
      </c>
      <c r="Q1680" s="8" t="s">
        <v>9854</v>
      </c>
      <c r="R1680" s="8" t="s">
        <v>9855</v>
      </c>
    </row>
    <row r="1681">
      <c r="A1681" s="8" t="s">
        <v>1681</v>
      </c>
      <c r="B1681" s="8" t="s">
        <v>11461</v>
      </c>
      <c r="C1681" s="8" t="s">
        <v>6082</v>
      </c>
      <c r="D1681" s="9">
        <v>9.527692735E9</v>
      </c>
      <c r="E1681" s="8" t="s">
        <v>6083</v>
      </c>
      <c r="F1681" s="8" t="s">
        <v>3757</v>
      </c>
      <c r="G1681" s="8" t="s">
        <v>6084</v>
      </c>
      <c r="H1681" s="8" t="s">
        <v>3479</v>
      </c>
      <c r="I1681" s="9">
        <v>0.0</v>
      </c>
      <c r="J1681" s="9">
        <v>5360.0</v>
      </c>
      <c r="K1681" s="9">
        <v>5360.0</v>
      </c>
      <c r="L1681" s="9">
        <v>5360.0</v>
      </c>
      <c r="M1681" s="9">
        <v>4700.0</v>
      </c>
      <c r="N1681" s="9">
        <v>0.0</v>
      </c>
      <c r="O1681" s="9">
        <v>660.0</v>
      </c>
      <c r="P1681" s="8" t="s">
        <v>3480</v>
      </c>
      <c r="Q1681" s="8"/>
      <c r="R1681" s="8"/>
    </row>
    <row r="1682">
      <c r="A1682" s="8" t="s">
        <v>2244</v>
      </c>
      <c r="B1682" s="8" t="s">
        <v>11462</v>
      </c>
      <c r="C1682" s="8" t="s">
        <v>11463</v>
      </c>
      <c r="D1682" s="9">
        <v>8.840379182E9</v>
      </c>
      <c r="E1682" s="8" t="s">
        <v>11464</v>
      </c>
      <c r="F1682" s="8" t="s">
        <v>3564</v>
      </c>
      <c r="G1682" s="8" t="s">
        <v>11465</v>
      </c>
      <c r="H1682" s="8" t="s">
        <v>3479</v>
      </c>
      <c r="I1682" s="9">
        <v>0.0</v>
      </c>
      <c r="J1682" s="9">
        <v>2486.0</v>
      </c>
      <c r="K1682" s="9">
        <v>2486.0</v>
      </c>
      <c r="L1682" s="9">
        <v>2486.0</v>
      </c>
      <c r="M1682" s="9">
        <v>1462.0</v>
      </c>
      <c r="N1682" s="9">
        <v>0.0</v>
      </c>
      <c r="O1682" s="9">
        <v>1024.0</v>
      </c>
      <c r="P1682" s="8" t="s">
        <v>3480</v>
      </c>
      <c r="Q1682" s="8" t="s">
        <v>11466</v>
      </c>
      <c r="R1682" s="8" t="s">
        <v>11467</v>
      </c>
    </row>
    <row r="1683">
      <c r="A1683" s="8" t="s">
        <v>2245</v>
      </c>
      <c r="B1683" s="8" t="s">
        <v>11468</v>
      </c>
      <c r="C1683" s="8" t="s">
        <v>11469</v>
      </c>
      <c r="D1683" s="9">
        <v>9.021561435E9</v>
      </c>
      <c r="E1683" s="8" t="s">
        <v>11470</v>
      </c>
      <c r="F1683" s="8" t="s">
        <v>4366</v>
      </c>
      <c r="G1683" s="8" t="s">
        <v>3494</v>
      </c>
      <c r="H1683" s="8" t="s">
        <v>3479</v>
      </c>
      <c r="I1683" s="9">
        <v>0.0</v>
      </c>
      <c r="J1683" s="9">
        <v>1372.0</v>
      </c>
      <c r="K1683" s="9">
        <v>1372.0</v>
      </c>
      <c r="L1683" s="9">
        <v>1372.0</v>
      </c>
      <c r="M1683" s="9">
        <v>149.0</v>
      </c>
      <c r="N1683" s="9">
        <v>774.0</v>
      </c>
      <c r="O1683" s="9">
        <v>449.0</v>
      </c>
      <c r="P1683" s="8" t="s">
        <v>3480</v>
      </c>
      <c r="Q1683" s="8"/>
      <c r="R1683" s="8"/>
    </row>
    <row r="1684">
      <c r="A1684" s="8" t="s">
        <v>2247</v>
      </c>
      <c r="B1684" s="8" t="s">
        <v>11471</v>
      </c>
      <c r="C1684" s="8" t="s">
        <v>7392</v>
      </c>
      <c r="D1684" s="9">
        <v>9.56104004E9</v>
      </c>
      <c r="E1684" s="8" t="s">
        <v>11472</v>
      </c>
      <c r="F1684" s="8" t="s">
        <v>3954</v>
      </c>
      <c r="G1684" s="8" t="s">
        <v>3829</v>
      </c>
      <c r="H1684" s="8" t="s">
        <v>3479</v>
      </c>
      <c r="I1684" s="9">
        <v>0.0</v>
      </c>
      <c r="J1684" s="9">
        <v>3116.0</v>
      </c>
      <c r="K1684" s="9">
        <v>3116.0</v>
      </c>
      <c r="L1684" s="9">
        <v>3116.0</v>
      </c>
      <c r="M1684" s="9">
        <v>1902.0</v>
      </c>
      <c r="N1684" s="9">
        <v>190.0</v>
      </c>
      <c r="O1684" s="9">
        <v>1024.0</v>
      </c>
      <c r="P1684" s="8" t="s">
        <v>3480</v>
      </c>
      <c r="Q1684" s="8"/>
      <c r="R1684" s="8"/>
    </row>
    <row r="1685">
      <c r="A1685" s="8" t="s">
        <v>2234</v>
      </c>
      <c r="B1685" s="8" t="s">
        <v>11473</v>
      </c>
      <c r="C1685" s="8" t="s">
        <v>11474</v>
      </c>
      <c r="D1685" s="9">
        <v>8.838258454E9</v>
      </c>
      <c r="E1685" s="8" t="s">
        <v>6918</v>
      </c>
      <c r="F1685" s="8" t="s">
        <v>5194</v>
      </c>
      <c r="G1685" s="8" t="s">
        <v>11475</v>
      </c>
      <c r="H1685" s="8" t="s">
        <v>3479</v>
      </c>
      <c r="I1685" s="9">
        <v>0.0</v>
      </c>
      <c r="J1685" s="9">
        <v>2988.0</v>
      </c>
      <c r="K1685" s="9">
        <v>2988.0</v>
      </c>
      <c r="L1685" s="9">
        <v>2988.0</v>
      </c>
      <c r="M1685" s="9">
        <v>1800.0</v>
      </c>
      <c r="N1685" s="9">
        <v>739.0</v>
      </c>
      <c r="O1685" s="9">
        <v>449.0</v>
      </c>
      <c r="P1685" s="8" t="s">
        <v>3480</v>
      </c>
      <c r="Q1685" s="8"/>
      <c r="R1685" s="8"/>
    </row>
    <row r="1686">
      <c r="A1686" s="8" t="s">
        <v>2241</v>
      </c>
      <c r="B1686" s="8" t="s">
        <v>11476</v>
      </c>
      <c r="C1686" s="8" t="s">
        <v>11477</v>
      </c>
      <c r="D1686" s="9">
        <v>8.830593778E9</v>
      </c>
      <c r="E1686" s="8" t="s">
        <v>11478</v>
      </c>
      <c r="F1686" s="8" t="s">
        <v>3908</v>
      </c>
      <c r="G1686" s="8" t="s">
        <v>11479</v>
      </c>
      <c r="H1686" s="8" t="s">
        <v>3479</v>
      </c>
      <c r="I1686" s="9">
        <v>0.0</v>
      </c>
      <c r="J1686" s="9">
        <v>1096.0</v>
      </c>
      <c r="K1686" s="9">
        <v>1096.0</v>
      </c>
      <c r="L1686" s="9">
        <v>1096.0</v>
      </c>
      <c r="M1686" s="9">
        <v>541.0</v>
      </c>
      <c r="N1686" s="9">
        <v>130.0</v>
      </c>
      <c r="O1686" s="9">
        <v>425.0</v>
      </c>
      <c r="P1686" s="8" t="s">
        <v>3480</v>
      </c>
      <c r="Q1686" s="8"/>
      <c r="R1686" s="8"/>
    </row>
    <row r="1687">
      <c r="A1687" s="8" t="s">
        <v>2236</v>
      </c>
      <c r="B1687" s="8" t="s">
        <v>11480</v>
      </c>
      <c r="C1687" s="8" t="s">
        <v>9489</v>
      </c>
      <c r="D1687" s="9">
        <v>9.146526026E9</v>
      </c>
      <c r="E1687" s="8" t="s">
        <v>9490</v>
      </c>
      <c r="F1687" s="8" t="s">
        <v>3550</v>
      </c>
      <c r="G1687" s="8" t="s">
        <v>11481</v>
      </c>
      <c r="H1687" s="8" t="s">
        <v>3479</v>
      </c>
      <c r="I1687" s="9">
        <v>0.0</v>
      </c>
      <c r="J1687" s="9">
        <v>1470.0</v>
      </c>
      <c r="K1687" s="9">
        <v>1470.0</v>
      </c>
      <c r="L1687" s="9">
        <v>1470.0</v>
      </c>
      <c r="M1687" s="9">
        <v>1470.0</v>
      </c>
      <c r="N1687" s="9">
        <v>0.0</v>
      </c>
      <c r="O1687" s="9">
        <v>0.0</v>
      </c>
      <c r="P1687" s="8" t="s">
        <v>3519</v>
      </c>
      <c r="Q1687" s="8" t="s">
        <v>9492</v>
      </c>
      <c r="R1687" s="8" t="s">
        <v>9493</v>
      </c>
    </row>
    <row r="1688">
      <c r="A1688" s="8" t="s">
        <v>1854</v>
      </c>
      <c r="B1688" s="8" t="s">
        <v>11482</v>
      </c>
      <c r="C1688" s="8" t="s">
        <v>4695</v>
      </c>
      <c r="D1688" s="9">
        <v>8.446479842E9</v>
      </c>
      <c r="E1688" s="8" t="s">
        <v>11483</v>
      </c>
      <c r="F1688" s="8" t="s">
        <v>4333</v>
      </c>
      <c r="G1688" s="8" t="s">
        <v>11484</v>
      </c>
      <c r="H1688" s="8" t="s">
        <v>3479</v>
      </c>
      <c r="I1688" s="9">
        <v>0.0</v>
      </c>
      <c r="J1688" s="9">
        <v>2720.0</v>
      </c>
      <c r="K1688" s="9">
        <v>2720.0</v>
      </c>
      <c r="L1688" s="9">
        <v>2720.0</v>
      </c>
      <c r="M1688" s="9">
        <v>1436.0</v>
      </c>
      <c r="N1688" s="9">
        <v>255.0</v>
      </c>
      <c r="O1688" s="9">
        <v>1029.0</v>
      </c>
      <c r="P1688" s="8" t="s">
        <v>3544</v>
      </c>
      <c r="Q1688" s="8" t="s">
        <v>11485</v>
      </c>
      <c r="R1688" s="8" t="s">
        <v>11486</v>
      </c>
    </row>
    <row r="1689">
      <c r="A1689" s="8" t="s">
        <v>1855</v>
      </c>
      <c r="B1689" s="8" t="s">
        <v>11487</v>
      </c>
      <c r="C1689" s="8" t="s">
        <v>11488</v>
      </c>
      <c r="D1689" s="9">
        <v>8.839666627E9</v>
      </c>
      <c r="E1689" s="8" t="s">
        <v>11489</v>
      </c>
      <c r="F1689" s="8" t="s">
        <v>5064</v>
      </c>
      <c r="G1689" s="8" t="s">
        <v>3494</v>
      </c>
      <c r="H1689" s="8" t="s">
        <v>3479</v>
      </c>
      <c r="I1689" s="9">
        <v>0.0</v>
      </c>
      <c r="J1689" s="9">
        <v>1180.0</v>
      </c>
      <c r="K1689" s="9">
        <v>1180.0</v>
      </c>
      <c r="L1689" s="9">
        <v>1180.0</v>
      </c>
      <c r="M1689" s="9">
        <v>1050.0</v>
      </c>
      <c r="N1689" s="9">
        <v>0.0</v>
      </c>
      <c r="O1689" s="9">
        <v>130.0</v>
      </c>
      <c r="P1689" s="8" t="s">
        <v>3480</v>
      </c>
      <c r="Q1689" s="8"/>
      <c r="R1689" s="8"/>
    </row>
    <row r="1690">
      <c r="A1690" s="8" t="s">
        <v>1856</v>
      </c>
      <c r="B1690" s="8" t="s">
        <v>11490</v>
      </c>
      <c r="C1690" s="8" t="s">
        <v>11491</v>
      </c>
      <c r="D1690" s="9">
        <v>7.821006066E9</v>
      </c>
      <c r="E1690" s="8" t="s">
        <v>11492</v>
      </c>
      <c r="F1690" s="8" t="s">
        <v>3608</v>
      </c>
      <c r="G1690" s="8" t="s">
        <v>11493</v>
      </c>
      <c r="H1690" s="8" t="s">
        <v>11494</v>
      </c>
      <c r="I1690" s="9">
        <v>0.0</v>
      </c>
      <c r="J1690" s="9">
        <v>1400.0</v>
      </c>
      <c r="K1690" s="9">
        <v>1434.0</v>
      </c>
      <c r="L1690" s="9">
        <v>1400.0</v>
      </c>
      <c r="M1690" s="9">
        <v>255.0</v>
      </c>
      <c r="N1690" s="9">
        <v>730.0</v>
      </c>
      <c r="O1690" s="9">
        <v>449.0</v>
      </c>
      <c r="P1690" s="8" t="s">
        <v>3480</v>
      </c>
      <c r="Q1690" s="8" t="s">
        <v>11495</v>
      </c>
      <c r="R1690" s="8" t="s">
        <v>11496</v>
      </c>
    </row>
    <row r="1691">
      <c r="A1691" s="8" t="s">
        <v>2261</v>
      </c>
      <c r="B1691" s="8" t="s">
        <v>11497</v>
      </c>
      <c r="C1691" s="8" t="s">
        <v>11498</v>
      </c>
      <c r="D1691" s="9">
        <v>7.875605481E9</v>
      </c>
      <c r="E1691" s="8" t="s">
        <v>11499</v>
      </c>
      <c r="F1691" s="8" t="s">
        <v>3653</v>
      </c>
      <c r="G1691" s="8" t="s">
        <v>11500</v>
      </c>
      <c r="H1691" s="8" t="s">
        <v>3479</v>
      </c>
      <c r="I1691" s="9">
        <v>0.0</v>
      </c>
      <c r="J1691" s="9">
        <v>2347.0</v>
      </c>
      <c r="K1691" s="9">
        <v>2347.0</v>
      </c>
      <c r="L1691" s="9">
        <v>2347.0</v>
      </c>
      <c r="M1691" s="9">
        <v>434.0</v>
      </c>
      <c r="N1691" s="9">
        <v>839.0</v>
      </c>
      <c r="O1691" s="9">
        <v>1074.0</v>
      </c>
      <c r="P1691" s="8" t="s">
        <v>3480</v>
      </c>
      <c r="Q1691" s="8" t="s">
        <v>11501</v>
      </c>
      <c r="R1691" s="8" t="s">
        <v>11502</v>
      </c>
    </row>
    <row r="1692">
      <c r="A1692" s="8" t="s">
        <v>2262</v>
      </c>
      <c r="B1692" s="8" t="s">
        <v>11503</v>
      </c>
      <c r="C1692" s="8" t="s">
        <v>11504</v>
      </c>
      <c r="D1692" s="9">
        <v>7.841981343E9</v>
      </c>
      <c r="E1692" s="8" t="s">
        <v>8589</v>
      </c>
      <c r="F1692" s="8" t="s">
        <v>5485</v>
      </c>
      <c r="G1692" s="8" t="s">
        <v>11505</v>
      </c>
      <c r="H1692" s="8" t="s">
        <v>3479</v>
      </c>
      <c r="I1692" s="9">
        <v>0.0</v>
      </c>
      <c r="J1692" s="9">
        <v>1980.0</v>
      </c>
      <c r="K1692" s="9">
        <v>1980.0</v>
      </c>
      <c r="L1692" s="9">
        <v>1980.0</v>
      </c>
      <c r="M1692" s="9">
        <v>409.0</v>
      </c>
      <c r="N1692" s="9">
        <v>972.0</v>
      </c>
      <c r="O1692" s="9">
        <v>599.0</v>
      </c>
      <c r="P1692" s="8" t="s">
        <v>3480</v>
      </c>
      <c r="Q1692" s="8"/>
      <c r="R1692" s="8"/>
    </row>
    <row r="1693">
      <c r="A1693" s="8" t="s">
        <v>2263</v>
      </c>
      <c r="B1693" s="8" t="s">
        <v>11506</v>
      </c>
      <c r="C1693" s="8" t="s">
        <v>11507</v>
      </c>
      <c r="D1693" s="9">
        <v>9.923500042E9</v>
      </c>
      <c r="E1693" s="8" t="s">
        <v>11508</v>
      </c>
      <c r="F1693" s="8" t="s">
        <v>3486</v>
      </c>
      <c r="G1693" s="8" t="s">
        <v>11509</v>
      </c>
      <c r="H1693" s="8" t="s">
        <v>3479</v>
      </c>
      <c r="I1693" s="9">
        <v>0.0</v>
      </c>
      <c r="J1693" s="9">
        <v>2279.0</v>
      </c>
      <c r="K1693" s="9">
        <v>2279.0</v>
      </c>
      <c r="L1693" s="9">
        <v>2279.0</v>
      </c>
      <c r="M1693" s="9">
        <v>1100.0</v>
      </c>
      <c r="N1693" s="9">
        <v>730.0</v>
      </c>
      <c r="O1693" s="9">
        <v>449.0</v>
      </c>
      <c r="P1693" s="8" t="s">
        <v>3519</v>
      </c>
      <c r="Q1693" s="8"/>
      <c r="R1693" s="8"/>
    </row>
    <row r="1694">
      <c r="A1694" s="8" t="s">
        <v>2246</v>
      </c>
      <c r="B1694" s="8" t="s">
        <v>11510</v>
      </c>
      <c r="C1694" s="8" t="s">
        <v>3875</v>
      </c>
      <c r="D1694" s="9">
        <v>9.766611011E9</v>
      </c>
      <c r="E1694" s="8" t="s">
        <v>3876</v>
      </c>
      <c r="F1694" s="8" t="s">
        <v>3523</v>
      </c>
      <c r="G1694" s="8" t="s">
        <v>4036</v>
      </c>
      <c r="H1694" s="8" t="s">
        <v>3479</v>
      </c>
      <c r="I1694" s="9">
        <v>0.0</v>
      </c>
      <c r="J1694" s="9">
        <v>1611.0</v>
      </c>
      <c r="K1694" s="9">
        <v>1611.0</v>
      </c>
      <c r="L1694" s="9">
        <v>1611.0</v>
      </c>
      <c r="M1694" s="9">
        <v>1361.0</v>
      </c>
      <c r="N1694" s="9">
        <v>0.0</v>
      </c>
      <c r="O1694" s="9">
        <v>250.0</v>
      </c>
      <c r="P1694" s="8" t="s">
        <v>3544</v>
      </c>
      <c r="Q1694" s="8"/>
      <c r="R1694" s="8"/>
    </row>
    <row r="1695">
      <c r="A1695" s="8" t="s">
        <v>2264</v>
      </c>
      <c r="B1695" s="8" t="s">
        <v>11511</v>
      </c>
      <c r="C1695" s="8" t="s">
        <v>11154</v>
      </c>
      <c r="D1695" s="9">
        <v>9.765254054E9</v>
      </c>
      <c r="E1695" s="8" t="s">
        <v>11512</v>
      </c>
      <c r="F1695" s="8" t="s">
        <v>4333</v>
      </c>
      <c r="G1695" s="8" t="s">
        <v>11513</v>
      </c>
      <c r="H1695" s="8" t="s">
        <v>3479</v>
      </c>
      <c r="I1695" s="9">
        <v>0.0</v>
      </c>
      <c r="J1695" s="9">
        <v>939.0</v>
      </c>
      <c r="K1695" s="9">
        <v>939.0</v>
      </c>
      <c r="L1695" s="9">
        <v>939.0</v>
      </c>
      <c r="M1695" s="9">
        <v>80.0</v>
      </c>
      <c r="N1695" s="9">
        <v>160.0</v>
      </c>
      <c r="O1695" s="9">
        <v>699.0</v>
      </c>
      <c r="P1695" s="8" t="s">
        <v>3480</v>
      </c>
      <c r="Q1695" s="8" t="s">
        <v>11514</v>
      </c>
      <c r="R1695" s="8" t="s">
        <v>11515</v>
      </c>
    </row>
    <row r="1696">
      <c r="A1696" s="8" t="s">
        <v>2286</v>
      </c>
      <c r="B1696" s="8" t="s">
        <v>11516</v>
      </c>
      <c r="C1696" s="8" t="s">
        <v>4067</v>
      </c>
      <c r="D1696" s="9">
        <v>9.122335528E9</v>
      </c>
      <c r="E1696" s="8" t="s">
        <v>8119</v>
      </c>
      <c r="F1696" s="8" t="s">
        <v>3594</v>
      </c>
      <c r="G1696" s="8" t="s">
        <v>11517</v>
      </c>
      <c r="H1696" s="8" t="s">
        <v>3479</v>
      </c>
      <c r="I1696" s="9">
        <v>0.0</v>
      </c>
      <c r="J1696" s="9">
        <v>1957.0</v>
      </c>
      <c r="K1696" s="9">
        <v>1957.0</v>
      </c>
      <c r="L1696" s="9">
        <v>1957.0</v>
      </c>
      <c r="M1696" s="9">
        <v>893.0</v>
      </c>
      <c r="N1696" s="9">
        <v>540.0</v>
      </c>
      <c r="O1696" s="9">
        <v>524.0</v>
      </c>
      <c r="P1696" s="8" t="s">
        <v>3519</v>
      </c>
      <c r="Q1696" s="8" t="s">
        <v>8121</v>
      </c>
      <c r="R1696" s="8"/>
    </row>
    <row r="1697">
      <c r="A1697" s="8" t="s">
        <v>1858</v>
      </c>
      <c r="B1697" s="8" t="s">
        <v>11518</v>
      </c>
      <c r="C1697" s="8" t="s">
        <v>7984</v>
      </c>
      <c r="D1697" s="9">
        <v>8.999016024E9</v>
      </c>
      <c r="E1697" s="8" t="s">
        <v>7985</v>
      </c>
      <c r="F1697" s="8" t="s">
        <v>3846</v>
      </c>
      <c r="G1697" s="8" t="s">
        <v>11519</v>
      </c>
      <c r="H1697" s="8" t="s">
        <v>3479</v>
      </c>
      <c r="I1697" s="9">
        <v>0.0</v>
      </c>
      <c r="J1697" s="9">
        <v>2547.0</v>
      </c>
      <c r="K1697" s="9">
        <v>5547.0</v>
      </c>
      <c r="L1697" s="9">
        <v>5547.0</v>
      </c>
      <c r="M1697" s="9">
        <v>4397.0</v>
      </c>
      <c r="N1697" s="9">
        <v>0.0</v>
      </c>
      <c r="O1697" s="9">
        <v>1150.0</v>
      </c>
      <c r="P1697" s="8" t="s">
        <v>3480</v>
      </c>
      <c r="Q1697" s="8" t="s">
        <v>7987</v>
      </c>
      <c r="R1697" s="8" t="s">
        <v>7988</v>
      </c>
    </row>
    <row r="1698">
      <c r="A1698" s="8" t="s">
        <v>2235</v>
      </c>
      <c r="B1698" s="8" t="s">
        <v>11520</v>
      </c>
      <c r="C1698" s="8" t="s">
        <v>9548</v>
      </c>
      <c r="D1698" s="9">
        <v>7.798677899E9</v>
      </c>
      <c r="E1698" s="8" t="s">
        <v>11521</v>
      </c>
      <c r="F1698" s="8" t="s">
        <v>6234</v>
      </c>
      <c r="G1698" s="8" t="s">
        <v>11522</v>
      </c>
      <c r="H1698" s="8" t="s">
        <v>3479</v>
      </c>
      <c r="I1698" s="9">
        <v>0.0</v>
      </c>
      <c r="J1698" s="9">
        <v>529.0</v>
      </c>
      <c r="K1698" s="9">
        <v>529.0</v>
      </c>
      <c r="L1698" s="9">
        <v>529.0</v>
      </c>
      <c r="M1698" s="9">
        <v>80.0</v>
      </c>
      <c r="N1698" s="9">
        <v>0.0</v>
      </c>
      <c r="O1698" s="9">
        <v>449.0</v>
      </c>
      <c r="P1698" s="8" t="s">
        <v>3480</v>
      </c>
      <c r="Q1698" s="8" t="s">
        <v>11523</v>
      </c>
      <c r="R1698" s="8" t="s">
        <v>11524</v>
      </c>
    </row>
    <row r="1699">
      <c r="A1699" s="8" t="s">
        <v>1860</v>
      </c>
      <c r="B1699" s="8" t="s">
        <v>11525</v>
      </c>
      <c r="C1699" s="8" t="s">
        <v>11395</v>
      </c>
      <c r="D1699" s="9">
        <v>9.130009098E9</v>
      </c>
      <c r="E1699" s="8" t="s">
        <v>11396</v>
      </c>
      <c r="F1699" s="8" t="s">
        <v>3821</v>
      </c>
      <c r="G1699" s="8" t="s">
        <v>11526</v>
      </c>
      <c r="H1699" s="8" t="s">
        <v>3479</v>
      </c>
      <c r="I1699" s="9">
        <v>0.0</v>
      </c>
      <c r="J1699" s="9">
        <v>1509.0</v>
      </c>
      <c r="K1699" s="9">
        <v>1509.0</v>
      </c>
      <c r="L1699" s="9">
        <v>1509.0</v>
      </c>
      <c r="M1699" s="9">
        <v>255.0</v>
      </c>
      <c r="N1699" s="9">
        <v>730.0</v>
      </c>
      <c r="O1699" s="9">
        <v>524.0</v>
      </c>
      <c r="P1699" s="8" t="s">
        <v>3519</v>
      </c>
      <c r="Q1699" s="8" t="s">
        <v>11398</v>
      </c>
      <c r="R1699" s="8" t="s">
        <v>11399</v>
      </c>
    </row>
    <row r="1700">
      <c r="A1700" s="8" t="s">
        <v>1861</v>
      </c>
      <c r="B1700" s="8" t="s">
        <v>11527</v>
      </c>
      <c r="C1700" s="8" t="s">
        <v>11528</v>
      </c>
      <c r="D1700" s="9">
        <v>9.637115783E9</v>
      </c>
      <c r="E1700" s="8" t="s">
        <v>11529</v>
      </c>
      <c r="F1700" s="8" t="s">
        <v>3550</v>
      </c>
      <c r="G1700" s="8" t="s">
        <v>11530</v>
      </c>
      <c r="H1700" s="8" t="s">
        <v>3479</v>
      </c>
      <c r="I1700" s="9">
        <v>0.0</v>
      </c>
      <c r="J1700" s="9">
        <v>2634.0</v>
      </c>
      <c r="K1700" s="9">
        <v>2634.0</v>
      </c>
      <c r="L1700" s="9">
        <v>2634.0</v>
      </c>
      <c r="M1700" s="9">
        <v>1280.0</v>
      </c>
      <c r="N1700" s="9">
        <v>730.0</v>
      </c>
      <c r="O1700" s="9">
        <v>624.0</v>
      </c>
      <c r="P1700" s="8" t="s">
        <v>3480</v>
      </c>
      <c r="Q1700" s="8" t="s">
        <v>11531</v>
      </c>
      <c r="R1700" s="8" t="s">
        <v>11532</v>
      </c>
    </row>
    <row r="1701">
      <c r="A1701" s="8" t="s">
        <v>2178</v>
      </c>
      <c r="B1701" s="8" t="s">
        <v>11533</v>
      </c>
      <c r="C1701" s="8" t="s">
        <v>7220</v>
      </c>
      <c r="D1701" s="9">
        <v>9.764696387E9</v>
      </c>
      <c r="E1701" s="8" t="s">
        <v>7221</v>
      </c>
      <c r="F1701" s="8" t="s">
        <v>3821</v>
      </c>
      <c r="G1701" s="8" t="s">
        <v>11534</v>
      </c>
      <c r="H1701" s="8" t="s">
        <v>3479</v>
      </c>
      <c r="I1701" s="9">
        <v>0.0</v>
      </c>
      <c r="J1701" s="9">
        <v>1704.0</v>
      </c>
      <c r="K1701" s="9">
        <v>1704.0</v>
      </c>
      <c r="L1701" s="9">
        <v>1704.0</v>
      </c>
      <c r="M1701" s="9">
        <v>450.0</v>
      </c>
      <c r="N1701" s="9">
        <v>730.0</v>
      </c>
      <c r="O1701" s="9">
        <v>524.0</v>
      </c>
      <c r="P1701" s="8" t="s">
        <v>3519</v>
      </c>
      <c r="Q1701" s="8" t="s">
        <v>7223</v>
      </c>
      <c r="R1701" s="8"/>
    </row>
    <row r="1702">
      <c r="A1702" s="8" t="s">
        <v>2179</v>
      </c>
      <c r="B1702" s="8" t="s">
        <v>11535</v>
      </c>
      <c r="C1702" s="8" t="s">
        <v>11536</v>
      </c>
      <c r="D1702" s="9">
        <v>8.806520897E9</v>
      </c>
      <c r="E1702" s="8" t="s">
        <v>11537</v>
      </c>
      <c r="F1702" s="8" t="s">
        <v>3954</v>
      </c>
      <c r="G1702" s="8" t="s">
        <v>11538</v>
      </c>
      <c r="H1702" s="8" t="s">
        <v>3479</v>
      </c>
      <c r="I1702" s="9">
        <v>0.0</v>
      </c>
      <c r="J1702" s="9">
        <v>2361.0</v>
      </c>
      <c r="K1702" s="9">
        <v>2361.0</v>
      </c>
      <c r="L1702" s="9">
        <v>2361.0</v>
      </c>
      <c r="M1702" s="9">
        <v>1422.0</v>
      </c>
      <c r="N1702" s="9">
        <v>190.0</v>
      </c>
      <c r="O1702" s="9">
        <v>749.0</v>
      </c>
      <c r="P1702" s="8" t="s">
        <v>3480</v>
      </c>
      <c r="Q1702" s="8"/>
      <c r="R1702" s="8"/>
    </row>
    <row r="1703">
      <c r="A1703" s="8" t="s">
        <v>2180</v>
      </c>
      <c r="B1703" s="8" t="s">
        <v>11539</v>
      </c>
      <c r="C1703" s="8" t="s">
        <v>7500</v>
      </c>
      <c r="D1703" s="9">
        <v>7.499397684E9</v>
      </c>
      <c r="E1703" s="8" t="s">
        <v>11540</v>
      </c>
      <c r="F1703" s="8" t="s">
        <v>3846</v>
      </c>
      <c r="G1703" s="8" t="s">
        <v>11541</v>
      </c>
      <c r="H1703" s="8" t="s">
        <v>3479</v>
      </c>
      <c r="I1703" s="9">
        <v>0.0</v>
      </c>
      <c r="J1703" s="9">
        <v>2887.0</v>
      </c>
      <c r="K1703" s="9">
        <v>2887.0</v>
      </c>
      <c r="L1703" s="9">
        <v>2887.0</v>
      </c>
      <c r="M1703" s="9">
        <v>948.0</v>
      </c>
      <c r="N1703" s="9">
        <v>965.0</v>
      </c>
      <c r="O1703" s="9">
        <v>974.0</v>
      </c>
      <c r="P1703" s="8" t="s">
        <v>3480</v>
      </c>
      <c r="Q1703" s="8" t="s">
        <v>11542</v>
      </c>
      <c r="R1703" s="8" t="s">
        <v>11543</v>
      </c>
    </row>
    <row r="1704">
      <c r="A1704" s="8" t="s">
        <v>2181</v>
      </c>
      <c r="B1704" s="8" t="s">
        <v>11544</v>
      </c>
      <c r="C1704" s="8" t="s">
        <v>11545</v>
      </c>
      <c r="D1704" s="9">
        <v>9.405371391E9</v>
      </c>
      <c r="E1704" s="8" t="s">
        <v>11546</v>
      </c>
      <c r="F1704" s="8" t="s">
        <v>4792</v>
      </c>
      <c r="G1704" s="8" t="s">
        <v>11547</v>
      </c>
      <c r="H1704" s="8" t="s">
        <v>3479</v>
      </c>
      <c r="I1704" s="9">
        <v>0.0</v>
      </c>
      <c r="J1704" s="9">
        <v>1791.0</v>
      </c>
      <c r="K1704" s="9">
        <v>1791.0</v>
      </c>
      <c r="L1704" s="9">
        <v>1791.0</v>
      </c>
      <c r="M1704" s="9">
        <v>558.0</v>
      </c>
      <c r="N1704" s="9">
        <v>784.0</v>
      </c>
      <c r="O1704" s="9">
        <v>449.0</v>
      </c>
      <c r="P1704" s="8" t="s">
        <v>3480</v>
      </c>
      <c r="Q1704" s="8" t="s">
        <v>11548</v>
      </c>
      <c r="R1704" s="8" t="s">
        <v>11549</v>
      </c>
    </row>
    <row r="1705">
      <c r="A1705" s="8" t="s">
        <v>2237</v>
      </c>
      <c r="B1705" s="8" t="s">
        <v>11550</v>
      </c>
      <c r="C1705" s="8" t="s">
        <v>11551</v>
      </c>
      <c r="D1705" s="9">
        <v>7.507198849E9</v>
      </c>
      <c r="E1705" s="8" t="s">
        <v>11552</v>
      </c>
      <c r="F1705" s="8" t="s">
        <v>3869</v>
      </c>
      <c r="G1705" s="8" t="s">
        <v>11553</v>
      </c>
      <c r="H1705" s="8" t="s">
        <v>3479</v>
      </c>
      <c r="I1705" s="9">
        <v>0.0</v>
      </c>
      <c r="J1705" s="9">
        <v>2019.0</v>
      </c>
      <c r="K1705" s="9">
        <v>2019.0</v>
      </c>
      <c r="L1705" s="9">
        <v>2019.0</v>
      </c>
      <c r="M1705" s="9">
        <v>795.0</v>
      </c>
      <c r="N1705" s="9">
        <v>775.0</v>
      </c>
      <c r="O1705" s="9">
        <v>449.0</v>
      </c>
      <c r="P1705" s="8" t="s">
        <v>3480</v>
      </c>
      <c r="Q1705" s="8"/>
      <c r="R1705" s="8"/>
    </row>
    <row r="1706">
      <c r="A1706" s="8" t="s">
        <v>1859</v>
      </c>
      <c r="B1706" s="8" t="s">
        <v>11554</v>
      </c>
      <c r="C1706" s="8" t="s">
        <v>11555</v>
      </c>
      <c r="D1706" s="9">
        <v>9.92306596E9</v>
      </c>
      <c r="E1706" s="8" t="s">
        <v>11556</v>
      </c>
      <c r="F1706" s="8" t="s">
        <v>4239</v>
      </c>
      <c r="G1706" s="8" t="s">
        <v>3494</v>
      </c>
      <c r="H1706" s="8" t="s">
        <v>3479</v>
      </c>
      <c r="I1706" s="9">
        <v>0.0</v>
      </c>
      <c r="J1706" s="9">
        <v>490.0</v>
      </c>
      <c r="K1706" s="9">
        <v>490.0</v>
      </c>
      <c r="L1706" s="9">
        <v>490.0</v>
      </c>
      <c r="M1706" s="9">
        <v>490.0</v>
      </c>
      <c r="N1706" s="9">
        <v>0.0</v>
      </c>
      <c r="O1706" s="9">
        <v>0.0</v>
      </c>
      <c r="P1706" s="8" t="s">
        <v>3480</v>
      </c>
      <c r="Q1706" s="8"/>
      <c r="R1706" s="8"/>
    </row>
    <row r="1707">
      <c r="A1707" s="8" t="s">
        <v>2266</v>
      </c>
      <c r="B1707" s="8" t="s">
        <v>11557</v>
      </c>
      <c r="C1707" s="8" t="s">
        <v>4148</v>
      </c>
      <c r="D1707" s="9">
        <v>8.9838526E9</v>
      </c>
      <c r="E1707" s="8" t="s">
        <v>4149</v>
      </c>
      <c r="F1707" s="8" t="s">
        <v>4150</v>
      </c>
      <c r="G1707" s="8" t="s">
        <v>11558</v>
      </c>
      <c r="H1707" s="8" t="s">
        <v>3479</v>
      </c>
      <c r="I1707" s="9">
        <v>0.0</v>
      </c>
      <c r="J1707" s="9">
        <v>869.0</v>
      </c>
      <c r="K1707" s="9">
        <v>869.0</v>
      </c>
      <c r="L1707" s="9">
        <v>869.0</v>
      </c>
      <c r="M1707" s="9">
        <v>80.0</v>
      </c>
      <c r="N1707" s="9">
        <v>190.0</v>
      </c>
      <c r="O1707" s="9">
        <v>599.0</v>
      </c>
      <c r="P1707" s="8" t="s">
        <v>3544</v>
      </c>
      <c r="Q1707" s="8" t="s">
        <v>4152</v>
      </c>
      <c r="R1707" s="8" t="s">
        <v>4153</v>
      </c>
    </row>
    <row r="1708">
      <c r="A1708" s="8" t="s">
        <v>2267</v>
      </c>
      <c r="B1708" s="8" t="s">
        <v>11559</v>
      </c>
      <c r="C1708" s="8" t="s">
        <v>11560</v>
      </c>
      <c r="D1708" s="9">
        <v>9.637427634E9</v>
      </c>
      <c r="E1708" s="8" t="s">
        <v>11561</v>
      </c>
      <c r="F1708" s="8" t="s">
        <v>3901</v>
      </c>
      <c r="G1708" s="8" t="s">
        <v>11562</v>
      </c>
      <c r="H1708" s="8" t="s">
        <v>3479</v>
      </c>
      <c r="I1708" s="9">
        <v>0.0</v>
      </c>
      <c r="J1708" s="9">
        <v>1004.0</v>
      </c>
      <c r="K1708" s="9">
        <v>1004.0</v>
      </c>
      <c r="L1708" s="9">
        <v>1004.0</v>
      </c>
      <c r="M1708" s="9">
        <v>135.0</v>
      </c>
      <c r="N1708" s="9">
        <v>190.0</v>
      </c>
      <c r="O1708" s="9">
        <v>679.0</v>
      </c>
      <c r="P1708" s="8" t="s">
        <v>3544</v>
      </c>
      <c r="Q1708" s="8" t="s">
        <v>11563</v>
      </c>
      <c r="R1708" s="8" t="s">
        <v>11564</v>
      </c>
    </row>
    <row r="1709">
      <c r="A1709" s="8" t="s">
        <v>2102</v>
      </c>
      <c r="B1709" s="8" t="s">
        <v>11565</v>
      </c>
      <c r="C1709" s="8" t="s">
        <v>11566</v>
      </c>
      <c r="D1709" s="9">
        <v>9.731681587E9</v>
      </c>
      <c r="E1709" s="8" t="s">
        <v>11567</v>
      </c>
      <c r="F1709" s="8" t="s">
        <v>4125</v>
      </c>
      <c r="G1709" s="8" t="s">
        <v>11568</v>
      </c>
      <c r="H1709" s="8" t="s">
        <v>3479</v>
      </c>
      <c r="I1709" s="9">
        <v>0.0</v>
      </c>
      <c r="J1709" s="9">
        <v>1150.0</v>
      </c>
      <c r="K1709" s="9">
        <v>1150.0</v>
      </c>
      <c r="L1709" s="9">
        <v>1150.0</v>
      </c>
      <c r="M1709" s="9">
        <v>1150.0</v>
      </c>
      <c r="N1709" s="9">
        <v>0.0</v>
      </c>
      <c r="O1709" s="9">
        <v>0.0</v>
      </c>
      <c r="P1709" s="8" t="s">
        <v>4183</v>
      </c>
      <c r="Q1709" s="8"/>
      <c r="R1709" s="8"/>
    </row>
    <row r="1710">
      <c r="A1710" s="8" t="s">
        <v>2287</v>
      </c>
      <c r="B1710" s="8" t="s">
        <v>11569</v>
      </c>
      <c r="C1710" s="8" t="s">
        <v>11570</v>
      </c>
      <c r="D1710" s="9">
        <v>9.922022199E9</v>
      </c>
      <c r="E1710" s="8" t="s">
        <v>6485</v>
      </c>
      <c r="F1710" s="8" t="s">
        <v>3608</v>
      </c>
      <c r="G1710" s="8" t="s">
        <v>6486</v>
      </c>
      <c r="H1710" s="8" t="s">
        <v>3479</v>
      </c>
      <c r="I1710" s="9">
        <v>0.0</v>
      </c>
      <c r="J1710" s="9">
        <v>4801.0</v>
      </c>
      <c r="K1710" s="9">
        <v>4801.0</v>
      </c>
      <c r="L1710" s="9">
        <v>4801.0</v>
      </c>
      <c r="M1710" s="9">
        <v>4526.0</v>
      </c>
      <c r="N1710" s="9">
        <v>0.0</v>
      </c>
      <c r="O1710" s="9">
        <v>275.0</v>
      </c>
      <c r="P1710" s="8" t="s">
        <v>3480</v>
      </c>
      <c r="Q1710" s="8"/>
      <c r="R1710" s="8"/>
    </row>
    <row r="1711">
      <c r="A1711" s="8" t="s">
        <v>1857</v>
      </c>
      <c r="B1711" s="8" t="s">
        <v>11571</v>
      </c>
      <c r="C1711" s="8" t="s">
        <v>11572</v>
      </c>
      <c r="D1711" s="9">
        <v>8.956303565E9</v>
      </c>
      <c r="E1711" s="8" t="s">
        <v>11573</v>
      </c>
      <c r="F1711" s="8" t="s">
        <v>3594</v>
      </c>
      <c r="G1711" s="8" t="s">
        <v>11574</v>
      </c>
      <c r="H1711" s="8" t="s">
        <v>3479</v>
      </c>
      <c r="I1711" s="9">
        <v>0.0</v>
      </c>
      <c r="J1711" s="9">
        <v>1398.0</v>
      </c>
      <c r="K1711" s="9">
        <v>1398.0</v>
      </c>
      <c r="L1711" s="9">
        <v>1398.0</v>
      </c>
      <c r="M1711" s="9">
        <v>1398.0</v>
      </c>
      <c r="N1711" s="9">
        <v>0.0</v>
      </c>
      <c r="O1711" s="9">
        <v>0.0</v>
      </c>
      <c r="P1711" s="8" t="s">
        <v>3480</v>
      </c>
      <c r="Q1711" s="8"/>
      <c r="R1711" s="8"/>
    </row>
    <row r="1712">
      <c r="A1712" s="8" t="s">
        <v>2265</v>
      </c>
      <c r="B1712" s="8" t="s">
        <v>11575</v>
      </c>
      <c r="C1712" s="8" t="s">
        <v>8338</v>
      </c>
      <c r="D1712" s="9">
        <v>9.763714117E9</v>
      </c>
      <c r="E1712" s="8" t="s">
        <v>8339</v>
      </c>
      <c r="F1712" s="8" t="s">
        <v>3608</v>
      </c>
      <c r="G1712" s="8" t="s">
        <v>11576</v>
      </c>
      <c r="H1712" s="8" t="s">
        <v>3479</v>
      </c>
      <c r="I1712" s="9">
        <v>0.0</v>
      </c>
      <c r="J1712" s="9">
        <v>1602.0</v>
      </c>
      <c r="K1712" s="9">
        <v>1602.0</v>
      </c>
      <c r="L1712" s="9">
        <v>1602.0</v>
      </c>
      <c r="M1712" s="9">
        <v>423.0</v>
      </c>
      <c r="N1712" s="9">
        <v>730.0</v>
      </c>
      <c r="O1712" s="9">
        <v>449.0</v>
      </c>
      <c r="P1712" s="8" t="s">
        <v>3480</v>
      </c>
      <c r="Q1712" s="8" t="s">
        <v>8341</v>
      </c>
      <c r="R1712" s="8" t="s">
        <v>8342</v>
      </c>
    </row>
    <row r="1713">
      <c r="A1713" s="8" t="s">
        <v>2238</v>
      </c>
      <c r="B1713" s="8" t="s">
        <v>11577</v>
      </c>
      <c r="C1713" s="8" t="s">
        <v>11578</v>
      </c>
      <c r="D1713" s="9">
        <v>9.907870877E9</v>
      </c>
      <c r="E1713" s="8" t="s">
        <v>4835</v>
      </c>
      <c r="F1713" s="8" t="s">
        <v>4836</v>
      </c>
      <c r="G1713" s="8" t="s">
        <v>4837</v>
      </c>
      <c r="H1713" s="8" t="s">
        <v>3479</v>
      </c>
      <c r="I1713" s="9">
        <v>0.0</v>
      </c>
      <c r="J1713" s="9">
        <v>1523.0</v>
      </c>
      <c r="K1713" s="9">
        <v>1523.0</v>
      </c>
      <c r="L1713" s="9">
        <v>1523.0</v>
      </c>
      <c r="M1713" s="9">
        <v>299.0</v>
      </c>
      <c r="N1713" s="9">
        <v>775.0</v>
      </c>
      <c r="O1713" s="9">
        <v>449.0</v>
      </c>
      <c r="P1713" s="8" t="s">
        <v>3480</v>
      </c>
      <c r="Q1713" s="8" t="s">
        <v>4838</v>
      </c>
      <c r="R1713" s="8" t="s">
        <v>4839</v>
      </c>
    </row>
    <row r="1714">
      <c r="A1714" s="8" t="s">
        <v>2239</v>
      </c>
      <c r="B1714" s="8" t="s">
        <v>11579</v>
      </c>
      <c r="C1714" s="8" t="s">
        <v>9996</v>
      </c>
      <c r="D1714" s="9">
        <v>9.923195606E9</v>
      </c>
      <c r="E1714" s="8" t="s">
        <v>11580</v>
      </c>
      <c r="F1714" s="8" t="s">
        <v>3523</v>
      </c>
      <c r="G1714" s="8" t="s">
        <v>11581</v>
      </c>
      <c r="H1714" s="8" t="s">
        <v>3479</v>
      </c>
      <c r="I1714" s="9">
        <v>0.0</v>
      </c>
      <c r="J1714" s="9">
        <v>2816.0</v>
      </c>
      <c r="K1714" s="9">
        <v>2816.0</v>
      </c>
      <c r="L1714" s="9">
        <v>2816.0</v>
      </c>
      <c r="M1714" s="9">
        <v>1553.0</v>
      </c>
      <c r="N1714" s="9">
        <v>739.0</v>
      </c>
      <c r="O1714" s="9">
        <v>524.0</v>
      </c>
      <c r="P1714" s="8" t="s">
        <v>3480</v>
      </c>
      <c r="Q1714" s="8" t="s">
        <v>11582</v>
      </c>
      <c r="R1714" s="8" t="s">
        <v>11583</v>
      </c>
    </row>
    <row r="1715">
      <c r="A1715" s="8" t="s">
        <v>2288</v>
      </c>
      <c r="B1715" s="8" t="s">
        <v>11584</v>
      </c>
      <c r="C1715" s="8" t="s">
        <v>11585</v>
      </c>
      <c r="D1715" s="9">
        <v>9.123434958E9</v>
      </c>
      <c r="E1715" s="8" t="s">
        <v>11586</v>
      </c>
      <c r="F1715" s="8" t="s">
        <v>3486</v>
      </c>
      <c r="G1715" s="8" t="s">
        <v>11587</v>
      </c>
      <c r="H1715" s="8" t="s">
        <v>3479</v>
      </c>
      <c r="I1715" s="9">
        <v>0.0</v>
      </c>
      <c r="J1715" s="9">
        <v>1459.0</v>
      </c>
      <c r="K1715" s="9">
        <v>1459.0</v>
      </c>
      <c r="L1715" s="9">
        <v>1459.0</v>
      </c>
      <c r="M1715" s="9">
        <v>280.0</v>
      </c>
      <c r="N1715" s="9">
        <v>730.0</v>
      </c>
      <c r="O1715" s="9">
        <v>449.0</v>
      </c>
      <c r="P1715" s="8" t="s">
        <v>3480</v>
      </c>
      <c r="Q1715" s="8"/>
      <c r="R1715" s="8"/>
    </row>
    <row r="1716">
      <c r="A1716" s="8" t="s">
        <v>2182</v>
      </c>
      <c r="B1716" s="8" t="s">
        <v>11588</v>
      </c>
      <c r="C1716" s="8" t="s">
        <v>11589</v>
      </c>
      <c r="D1716" s="9">
        <v>7.879693948E9</v>
      </c>
      <c r="E1716" s="8" t="s">
        <v>11590</v>
      </c>
      <c r="F1716" s="8" t="s">
        <v>5613</v>
      </c>
      <c r="G1716" s="8" t="s">
        <v>11591</v>
      </c>
      <c r="H1716" s="8" t="s">
        <v>11592</v>
      </c>
      <c r="I1716" s="9">
        <v>0.0</v>
      </c>
      <c r="J1716" s="9">
        <v>0.0</v>
      </c>
      <c r="K1716" s="9">
        <v>7007.0</v>
      </c>
      <c r="L1716" s="9">
        <v>6900.0</v>
      </c>
      <c r="M1716" s="9">
        <v>4557.0</v>
      </c>
      <c r="N1716" s="9">
        <v>460.0</v>
      </c>
      <c r="O1716" s="9">
        <v>1990.0</v>
      </c>
      <c r="P1716" s="8" t="s">
        <v>3480</v>
      </c>
      <c r="Q1716" s="8"/>
      <c r="R1716" s="8"/>
    </row>
    <row r="1717">
      <c r="A1717" s="8" t="s">
        <v>2289</v>
      </c>
      <c r="B1717" s="8" t="s">
        <v>11593</v>
      </c>
      <c r="C1717" s="8" t="s">
        <v>11594</v>
      </c>
      <c r="D1717" s="9">
        <v>9.970924569E9</v>
      </c>
      <c r="E1717" s="8" t="s">
        <v>11595</v>
      </c>
      <c r="F1717" s="8" t="s">
        <v>3542</v>
      </c>
      <c r="G1717" s="8" t="s">
        <v>11596</v>
      </c>
      <c r="H1717" s="8" t="s">
        <v>3479</v>
      </c>
      <c r="I1717" s="9">
        <v>0.0</v>
      </c>
      <c r="J1717" s="9">
        <v>3165.0</v>
      </c>
      <c r="K1717" s="9">
        <v>3165.0</v>
      </c>
      <c r="L1717" s="9">
        <v>3165.0</v>
      </c>
      <c r="M1717" s="9">
        <v>1911.0</v>
      </c>
      <c r="N1717" s="9">
        <v>730.0</v>
      </c>
      <c r="O1717" s="9">
        <v>524.0</v>
      </c>
      <c r="P1717" s="8" t="s">
        <v>3480</v>
      </c>
      <c r="Q1717" s="8" t="s">
        <v>11597</v>
      </c>
      <c r="R1717" s="8" t="s">
        <v>11598</v>
      </c>
    </row>
    <row r="1718">
      <c r="A1718" s="8" t="s">
        <v>2268</v>
      </c>
      <c r="B1718" s="8" t="s">
        <v>11599</v>
      </c>
      <c r="C1718" s="8" t="s">
        <v>11600</v>
      </c>
      <c r="D1718" s="9">
        <v>9.39940393E9</v>
      </c>
      <c r="E1718" s="8" t="s">
        <v>11601</v>
      </c>
      <c r="F1718" s="8" t="s">
        <v>8781</v>
      </c>
      <c r="G1718" s="8" t="s">
        <v>11602</v>
      </c>
      <c r="H1718" s="8" t="s">
        <v>3479</v>
      </c>
      <c r="I1718" s="9">
        <v>0.0</v>
      </c>
      <c r="J1718" s="9">
        <v>3146.0</v>
      </c>
      <c r="K1718" s="9">
        <v>3146.0</v>
      </c>
      <c r="L1718" s="9">
        <v>3146.0</v>
      </c>
      <c r="M1718" s="9">
        <v>2821.0</v>
      </c>
      <c r="N1718" s="9">
        <v>0.0</v>
      </c>
      <c r="O1718" s="9">
        <v>325.0</v>
      </c>
      <c r="P1718" s="8" t="s">
        <v>3480</v>
      </c>
      <c r="Q1718" s="8"/>
      <c r="R1718" s="8"/>
    </row>
    <row r="1719">
      <c r="A1719" s="8" t="s">
        <v>2103</v>
      </c>
      <c r="B1719" s="8" t="s">
        <v>11603</v>
      </c>
      <c r="C1719" s="8" t="s">
        <v>10860</v>
      </c>
      <c r="D1719" s="9">
        <v>9.545049944E9</v>
      </c>
      <c r="E1719" s="8" t="s">
        <v>10861</v>
      </c>
      <c r="F1719" s="8" t="s">
        <v>10862</v>
      </c>
      <c r="G1719" s="8" t="s">
        <v>9865</v>
      </c>
      <c r="H1719" s="8" t="s">
        <v>6319</v>
      </c>
      <c r="I1719" s="9">
        <v>0.0</v>
      </c>
      <c r="J1719" s="9">
        <v>1029.0</v>
      </c>
      <c r="K1719" s="9">
        <v>1029.0</v>
      </c>
      <c r="L1719" s="9">
        <v>1029.0</v>
      </c>
      <c r="M1719" s="9">
        <v>230.0</v>
      </c>
      <c r="N1719" s="9">
        <v>0.0</v>
      </c>
      <c r="O1719" s="9">
        <v>799.0</v>
      </c>
      <c r="P1719" s="8" t="s">
        <v>4183</v>
      </c>
      <c r="Q1719" s="8" t="s">
        <v>10864</v>
      </c>
      <c r="R1719" s="8" t="s">
        <v>10865</v>
      </c>
    </row>
    <row r="1720">
      <c r="A1720" s="8" t="s">
        <v>2104</v>
      </c>
      <c r="B1720" s="8" t="s">
        <v>11604</v>
      </c>
      <c r="C1720" s="8" t="s">
        <v>11605</v>
      </c>
      <c r="D1720" s="9">
        <v>8.421854569E9</v>
      </c>
      <c r="E1720" s="8" t="s">
        <v>11606</v>
      </c>
      <c r="F1720" s="8" t="s">
        <v>6744</v>
      </c>
      <c r="G1720" s="8" t="s">
        <v>9865</v>
      </c>
      <c r="H1720" s="8" t="s">
        <v>6319</v>
      </c>
      <c r="I1720" s="9">
        <v>0.0</v>
      </c>
      <c r="J1720" s="9">
        <v>5244.0</v>
      </c>
      <c r="K1720" s="9">
        <v>5244.0</v>
      </c>
      <c r="L1720" s="9">
        <v>5244.0</v>
      </c>
      <c r="M1720" s="9">
        <v>4450.0</v>
      </c>
      <c r="N1720" s="9">
        <v>0.0</v>
      </c>
      <c r="O1720" s="9">
        <v>794.0</v>
      </c>
      <c r="P1720" s="8" t="s">
        <v>4183</v>
      </c>
      <c r="Q1720" s="8" t="s">
        <v>11607</v>
      </c>
      <c r="R1720" s="8" t="s">
        <v>11608</v>
      </c>
    </row>
    <row r="1721">
      <c r="A1721" s="8" t="s">
        <v>2105</v>
      </c>
      <c r="B1721" s="8" t="s">
        <v>11609</v>
      </c>
      <c r="C1721" s="8" t="s">
        <v>11610</v>
      </c>
      <c r="D1721" s="9">
        <v>9.92307744E9</v>
      </c>
      <c r="E1721" s="8" t="s">
        <v>11611</v>
      </c>
      <c r="F1721" s="8" t="s">
        <v>3550</v>
      </c>
      <c r="G1721" s="8" t="s">
        <v>11612</v>
      </c>
      <c r="H1721" s="8" t="s">
        <v>6319</v>
      </c>
      <c r="I1721" s="9">
        <v>0.0</v>
      </c>
      <c r="J1721" s="9">
        <v>1938.0</v>
      </c>
      <c r="K1721" s="9">
        <v>1938.0</v>
      </c>
      <c r="L1721" s="9">
        <v>1938.0</v>
      </c>
      <c r="M1721" s="9">
        <v>594.0</v>
      </c>
      <c r="N1721" s="9">
        <v>720.0</v>
      </c>
      <c r="O1721" s="9">
        <v>624.0</v>
      </c>
      <c r="P1721" s="8" t="s">
        <v>4183</v>
      </c>
      <c r="Q1721" s="8" t="s">
        <v>11613</v>
      </c>
      <c r="R1721" s="8" t="s">
        <v>11614</v>
      </c>
    </row>
    <row r="1722">
      <c r="A1722" s="8" t="s">
        <v>2106</v>
      </c>
      <c r="B1722" s="8" t="s">
        <v>11615</v>
      </c>
      <c r="C1722" s="8" t="s">
        <v>6344</v>
      </c>
      <c r="D1722" s="9">
        <v>9.604879914E9</v>
      </c>
      <c r="E1722" s="8" t="s">
        <v>6345</v>
      </c>
      <c r="F1722" s="8" t="s">
        <v>7118</v>
      </c>
      <c r="G1722" s="8" t="s">
        <v>11616</v>
      </c>
      <c r="H1722" s="8" t="s">
        <v>6319</v>
      </c>
      <c r="I1722" s="9">
        <v>0.0</v>
      </c>
      <c r="J1722" s="9">
        <v>0.0</v>
      </c>
      <c r="K1722" s="9">
        <v>529.0</v>
      </c>
      <c r="L1722" s="9">
        <v>529.0</v>
      </c>
      <c r="M1722" s="9">
        <v>80.0</v>
      </c>
      <c r="N1722" s="9">
        <v>0.0</v>
      </c>
      <c r="O1722" s="9">
        <v>449.0</v>
      </c>
      <c r="P1722" s="8"/>
      <c r="Q1722" s="8" t="s">
        <v>6347</v>
      </c>
      <c r="R1722" s="8" t="s">
        <v>6348</v>
      </c>
    </row>
    <row r="1723">
      <c r="A1723" s="8" t="s">
        <v>2107</v>
      </c>
      <c r="B1723" s="8" t="s">
        <v>11617</v>
      </c>
      <c r="C1723" s="8" t="s">
        <v>11618</v>
      </c>
      <c r="D1723" s="9">
        <v>9.727754606E9</v>
      </c>
      <c r="E1723" s="8" t="s">
        <v>11619</v>
      </c>
      <c r="F1723" s="8" t="s">
        <v>6118</v>
      </c>
      <c r="G1723" s="8" t="s">
        <v>11620</v>
      </c>
      <c r="H1723" s="8" t="s">
        <v>6319</v>
      </c>
      <c r="I1723" s="9">
        <v>0.0</v>
      </c>
      <c r="J1723" s="9">
        <v>1259.0</v>
      </c>
      <c r="K1723" s="9">
        <v>1259.0</v>
      </c>
      <c r="L1723" s="9">
        <v>1259.0</v>
      </c>
      <c r="M1723" s="9">
        <v>160.0</v>
      </c>
      <c r="N1723" s="9">
        <v>650.0</v>
      </c>
      <c r="O1723" s="9">
        <v>449.0</v>
      </c>
      <c r="P1723" s="8" t="s">
        <v>4183</v>
      </c>
      <c r="Q1723" s="8" t="s">
        <v>11621</v>
      </c>
      <c r="R1723" s="8"/>
    </row>
    <row r="1724">
      <c r="A1724" s="8" t="s">
        <v>2108</v>
      </c>
      <c r="B1724" s="8" t="s">
        <v>11622</v>
      </c>
      <c r="C1724" s="8" t="s">
        <v>6712</v>
      </c>
      <c r="D1724" s="9">
        <v>9.881889367E9</v>
      </c>
      <c r="E1724" s="8" t="s">
        <v>6713</v>
      </c>
      <c r="F1724" s="8" t="s">
        <v>3486</v>
      </c>
      <c r="G1724" s="8" t="s">
        <v>9865</v>
      </c>
      <c r="H1724" s="8" t="s">
        <v>6319</v>
      </c>
      <c r="I1724" s="9">
        <v>0.0</v>
      </c>
      <c r="J1724" s="9">
        <v>1339.0</v>
      </c>
      <c r="K1724" s="9">
        <v>1339.0</v>
      </c>
      <c r="L1724" s="9">
        <v>1339.0</v>
      </c>
      <c r="M1724" s="9">
        <v>80.0</v>
      </c>
      <c r="N1724" s="9">
        <v>730.0</v>
      </c>
      <c r="O1724" s="9">
        <v>529.0</v>
      </c>
      <c r="P1724" s="8"/>
      <c r="Q1724" s="8" t="s">
        <v>6715</v>
      </c>
      <c r="R1724" s="8" t="s">
        <v>6716</v>
      </c>
    </row>
    <row r="1725">
      <c r="A1725" s="8" t="s">
        <v>2109</v>
      </c>
      <c r="B1725" s="8" t="s">
        <v>11623</v>
      </c>
      <c r="C1725" s="8" t="s">
        <v>4927</v>
      </c>
      <c r="D1725" s="9">
        <v>8.180990186E9</v>
      </c>
      <c r="E1725" s="8" t="s">
        <v>4928</v>
      </c>
      <c r="F1725" s="8" t="s">
        <v>4929</v>
      </c>
      <c r="G1725" s="8" t="s">
        <v>11624</v>
      </c>
      <c r="H1725" s="8" t="s">
        <v>6319</v>
      </c>
      <c r="I1725" s="9">
        <v>0.0</v>
      </c>
      <c r="J1725" s="9">
        <v>1362.0</v>
      </c>
      <c r="K1725" s="9">
        <v>1362.0</v>
      </c>
      <c r="L1725" s="9">
        <v>1362.0</v>
      </c>
      <c r="M1725" s="9">
        <v>329.0</v>
      </c>
      <c r="N1725" s="9">
        <v>584.0</v>
      </c>
      <c r="O1725" s="9">
        <v>449.0</v>
      </c>
      <c r="P1725" s="8" t="s">
        <v>4183</v>
      </c>
      <c r="Q1725" s="8" t="s">
        <v>4931</v>
      </c>
      <c r="R1725" s="8" t="s">
        <v>4932</v>
      </c>
    </row>
    <row r="1726">
      <c r="A1726" s="8" t="s">
        <v>2110</v>
      </c>
      <c r="B1726" s="8" t="s">
        <v>11625</v>
      </c>
      <c r="C1726" s="8" t="s">
        <v>11626</v>
      </c>
      <c r="D1726" s="9">
        <v>9.922489808E9</v>
      </c>
      <c r="E1726" s="8" t="s">
        <v>11627</v>
      </c>
      <c r="F1726" s="8" t="s">
        <v>3608</v>
      </c>
      <c r="G1726" s="8" t="s">
        <v>11628</v>
      </c>
      <c r="H1726" s="8" t="s">
        <v>6319</v>
      </c>
      <c r="I1726" s="9">
        <v>0.0</v>
      </c>
      <c r="J1726" s="9">
        <v>1783.0</v>
      </c>
      <c r="K1726" s="9">
        <v>1783.0</v>
      </c>
      <c r="L1726" s="9">
        <v>1783.0</v>
      </c>
      <c r="M1726" s="9">
        <v>454.0</v>
      </c>
      <c r="N1726" s="9">
        <v>730.0</v>
      </c>
      <c r="O1726" s="9">
        <v>599.0</v>
      </c>
      <c r="P1726" s="8" t="s">
        <v>4183</v>
      </c>
      <c r="Q1726" s="8" t="s">
        <v>11629</v>
      </c>
      <c r="R1726" s="8" t="s">
        <v>11630</v>
      </c>
    </row>
    <row r="1727">
      <c r="A1727" s="8" t="s">
        <v>1207</v>
      </c>
      <c r="B1727" s="8" t="s">
        <v>11631</v>
      </c>
      <c r="C1727" s="8" t="s">
        <v>11632</v>
      </c>
      <c r="D1727" s="9">
        <v>8.149209655E9</v>
      </c>
      <c r="E1727" s="8" t="s">
        <v>11633</v>
      </c>
      <c r="F1727" s="8" t="s">
        <v>4089</v>
      </c>
      <c r="G1727" s="8" t="s">
        <v>11634</v>
      </c>
      <c r="H1727" s="8" t="s">
        <v>3479</v>
      </c>
      <c r="I1727" s="9">
        <v>0.0</v>
      </c>
      <c r="J1727" s="9">
        <v>1089.0</v>
      </c>
      <c r="K1727" s="9">
        <v>1089.0</v>
      </c>
      <c r="L1727" s="9">
        <v>1089.0</v>
      </c>
      <c r="M1727" s="9">
        <v>260.0</v>
      </c>
      <c r="N1727" s="9">
        <v>0.0</v>
      </c>
      <c r="O1727" s="9">
        <v>829.0</v>
      </c>
      <c r="P1727" s="8" t="s">
        <v>3480</v>
      </c>
      <c r="Q1727" s="8" t="s">
        <v>11635</v>
      </c>
      <c r="R1727" s="8" t="s">
        <v>11636</v>
      </c>
    </row>
    <row r="1728">
      <c r="A1728" s="8" t="s">
        <v>2111</v>
      </c>
      <c r="B1728" s="8" t="s">
        <v>11637</v>
      </c>
      <c r="C1728" s="8" t="s">
        <v>8539</v>
      </c>
      <c r="D1728" s="9">
        <v>8.830337694E9</v>
      </c>
      <c r="E1728" s="8" t="s">
        <v>8540</v>
      </c>
      <c r="F1728" s="8" t="s">
        <v>5613</v>
      </c>
      <c r="G1728" s="8" t="s">
        <v>11638</v>
      </c>
      <c r="H1728" s="8" t="s">
        <v>3479</v>
      </c>
      <c r="I1728" s="9">
        <v>0.0</v>
      </c>
      <c r="J1728" s="9">
        <v>1294.0</v>
      </c>
      <c r="K1728" s="9">
        <v>1294.0</v>
      </c>
      <c r="L1728" s="9">
        <v>1294.0</v>
      </c>
      <c r="M1728" s="9">
        <v>80.0</v>
      </c>
      <c r="N1728" s="9">
        <v>730.0</v>
      </c>
      <c r="O1728" s="9">
        <v>484.0</v>
      </c>
      <c r="P1728" s="8" t="s">
        <v>4183</v>
      </c>
      <c r="Q1728" s="8" t="s">
        <v>8542</v>
      </c>
      <c r="R1728" s="8" t="s">
        <v>8543</v>
      </c>
    </row>
    <row r="1729">
      <c r="A1729" s="8" t="s">
        <v>2305</v>
      </c>
      <c r="B1729" s="8" t="s">
        <v>11639</v>
      </c>
      <c r="C1729" s="8" t="s">
        <v>11640</v>
      </c>
      <c r="D1729" s="9">
        <v>9.028976273E9</v>
      </c>
      <c r="E1729" s="8" t="s">
        <v>11641</v>
      </c>
      <c r="F1729" s="8" t="s">
        <v>3550</v>
      </c>
      <c r="G1729" s="8" t="s">
        <v>11642</v>
      </c>
      <c r="H1729" s="8" t="s">
        <v>11643</v>
      </c>
      <c r="I1729" s="9">
        <v>0.0</v>
      </c>
      <c r="J1729" s="9">
        <v>5500.0</v>
      </c>
      <c r="K1729" s="9">
        <v>5788.0</v>
      </c>
      <c r="L1729" s="9">
        <v>5500.0</v>
      </c>
      <c r="M1729" s="9">
        <v>3994.0</v>
      </c>
      <c r="N1729" s="9">
        <v>645.0</v>
      </c>
      <c r="O1729" s="9">
        <v>1149.0</v>
      </c>
      <c r="P1729" s="8" t="s">
        <v>4183</v>
      </c>
      <c r="Q1729" s="8" t="s">
        <v>11644</v>
      </c>
      <c r="R1729" s="8" t="s">
        <v>11645</v>
      </c>
    </row>
    <row r="1730">
      <c r="A1730" s="8" t="s">
        <v>2113</v>
      </c>
      <c r="B1730" s="8" t="s">
        <v>11646</v>
      </c>
      <c r="C1730" s="8" t="s">
        <v>7488</v>
      </c>
      <c r="D1730" s="9">
        <v>9.762861972E9</v>
      </c>
      <c r="E1730" s="8" t="s">
        <v>7489</v>
      </c>
      <c r="F1730" s="8" t="s">
        <v>5633</v>
      </c>
      <c r="G1730" s="8" t="s">
        <v>11647</v>
      </c>
      <c r="H1730" s="8" t="s">
        <v>3479</v>
      </c>
      <c r="I1730" s="9">
        <v>0.0</v>
      </c>
      <c r="J1730" s="9">
        <v>2437.0</v>
      </c>
      <c r="K1730" s="9">
        <v>2437.0</v>
      </c>
      <c r="L1730" s="9">
        <v>2437.0</v>
      </c>
      <c r="M1730" s="9">
        <v>624.0</v>
      </c>
      <c r="N1730" s="9">
        <v>839.0</v>
      </c>
      <c r="O1730" s="9">
        <v>974.0</v>
      </c>
      <c r="P1730" s="8" t="s">
        <v>4183</v>
      </c>
      <c r="Q1730" s="8" t="s">
        <v>7491</v>
      </c>
      <c r="R1730" s="8" t="s">
        <v>7492</v>
      </c>
    </row>
    <row r="1731">
      <c r="A1731" s="8" t="s">
        <v>2010</v>
      </c>
      <c r="B1731" s="8" t="s">
        <v>11648</v>
      </c>
      <c r="C1731" s="8" t="s">
        <v>9142</v>
      </c>
      <c r="D1731" s="9">
        <v>7.350725409E9</v>
      </c>
      <c r="E1731" s="8" t="s">
        <v>11649</v>
      </c>
      <c r="F1731" s="8" t="s">
        <v>11650</v>
      </c>
      <c r="G1731" s="8" t="s">
        <v>11651</v>
      </c>
      <c r="H1731" s="8" t="s">
        <v>3479</v>
      </c>
      <c r="I1731" s="9">
        <v>0.0</v>
      </c>
      <c r="J1731" s="9">
        <v>3648.0</v>
      </c>
      <c r="K1731" s="9">
        <v>3648.0</v>
      </c>
      <c r="L1731" s="9">
        <v>3648.0</v>
      </c>
      <c r="M1731" s="9">
        <v>1761.0</v>
      </c>
      <c r="N1731" s="9">
        <v>983.0</v>
      </c>
      <c r="O1731" s="9">
        <v>904.0</v>
      </c>
      <c r="P1731" s="8" t="s">
        <v>4183</v>
      </c>
      <c r="Q1731" s="8" t="s">
        <v>11652</v>
      </c>
      <c r="R1731" s="8" t="s">
        <v>11653</v>
      </c>
    </row>
    <row r="1732">
      <c r="A1732" s="8" t="s">
        <v>2112</v>
      </c>
      <c r="B1732" s="8" t="s">
        <v>11654</v>
      </c>
      <c r="C1732" s="8" t="s">
        <v>11655</v>
      </c>
      <c r="D1732" s="9">
        <v>9.405367927E9</v>
      </c>
      <c r="E1732" s="8" t="s">
        <v>11656</v>
      </c>
      <c r="F1732" s="8" t="s">
        <v>4093</v>
      </c>
      <c r="G1732" s="8" t="s">
        <v>11657</v>
      </c>
      <c r="H1732" s="8" t="s">
        <v>3479</v>
      </c>
      <c r="I1732" s="9">
        <v>0.0</v>
      </c>
      <c r="J1732" s="9">
        <v>3407.0</v>
      </c>
      <c r="K1732" s="9">
        <v>3407.0</v>
      </c>
      <c r="L1732" s="9">
        <v>3407.0</v>
      </c>
      <c r="M1732" s="9">
        <v>1659.0</v>
      </c>
      <c r="N1732" s="9">
        <v>774.0</v>
      </c>
      <c r="O1732" s="9">
        <v>974.0</v>
      </c>
      <c r="P1732" s="8" t="s">
        <v>3480</v>
      </c>
      <c r="Q1732" s="8"/>
      <c r="R1732" s="8"/>
    </row>
    <row r="1733">
      <c r="A1733" s="8" t="s">
        <v>2115</v>
      </c>
      <c r="B1733" s="8" t="s">
        <v>11658</v>
      </c>
      <c r="C1733" s="8" t="s">
        <v>11659</v>
      </c>
      <c r="D1733" s="9">
        <v>8.956496766E9</v>
      </c>
      <c r="E1733" s="8" t="s">
        <v>11660</v>
      </c>
      <c r="F1733" s="8" t="s">
        <v>4239</v>
      </c>
      <c r="G1733" s="8" t="s">
        <v>11661</v>
      </c>
      <c r="H1733" s="8" t="s">
        <v>3479</v>
      </c>
      <c r="I1733" s="9">
        <v>0.0</v>
      </c>
      <c r="J1733" s="9">
        <v>2632.0</v>
      </c>
      <c r="K1733" s="9">
        <v>2632.0</v>
      </c>
      <c r="L1733" s="9">
        <v>2632.0</v>
      </c>
      <c r="M1733" s="9">
        <v>1378.0</v>
      </c>
      <c r="N1733" s="9">
        <v>730.0</v>
      </c>
      <c r="O1733" s="9">
        <v>524.0</v>
      </c>
      <c r="P1733" s="8" t="s">
        <v>4183</v>
      </c>
      <c r="Q1733" s="8" t="s">
        <v>11662</v>
      </c>
      <c r="R1733" s="8" t="s">
        <v>11663</v>
      </c>
    </row>
    <row r="1734">
      <c r="A1734" s="8" t="s">
        <v>2116</v>
      </c>
      <c r="B1734" s="8" t="s">
        <v>11664</v>
      </c>
      <c r="C1734" s="8" t="s">
        <v>5549</v>
      </c>
      <c r="D1734" s="9">
        <v>8.44664271E9</v>
      </c>
      <c r="E1734" s="8" t="s">
        <v>11665</v>
      </c>
      <c r="F1734" s="8" t="s">
        <v>4252</v>
      </c>
      <c r="G1734" s="8" t="s">
        <v>11666</v>
      </c>
      <c r="H1734" s="8" t="s">
        <v>3479</v>
      </c>
      <c r="I1734" s="9">
        <v>0.0</v>
      </c>
      <c r="J1734" s="9">
        <v>2885.0</v>
      </c>
      <c r="K1734" s="9">
        <v>2885.0</v>
      </c>
      <c r="L1734" s="9">
        <v>2885.0</v>
      </c>
      <c r="M1734" s="9">
        <v>1368.0</v>
      </c>
      <c r="N1734" s="9">
        <v>918.0</v>
      </c>
      <c r="O1734" s="9">
        <v>599.0</v>
      </c>
      <c r="P1734" s="8" t="s">
        <v>4183</v>
      </c>
      <c r="Q1734" s="8" t="s">
        <v>11667</v>
      </c>
      <c r="R1734" s="8" t="s">
        <v>11668</v>
      </c>
    </row>
    <row r="1735">
      <c r="A1735" s="8" t="s">
        <v>2114</v>
      </c>
      <c r="B1735" s="8" t="s">
        <v>11669</v>
      </c>
      <c r="C1735" s="8" t="s">
        <v>11670</v>
      </c>
      <c r="D1735" s="9">
        <v>8.308826234E9</v>
      </c>
      <c r="E1735" s="8" t="s">
        <v>11671</v>
      </c>
      <c r="F1735" s="8" t="s">
        <v>3881</v>
      </c>
      <c r="G1735" s="8" t="s">
        <v>11672</v>
      </c>
      <c r="H1735" s="8" t="s">
        <v>3479</v>
      </c>
      <c r="I1735" s="9">
        <v>0.0</v>
      </c>
      <c r="J1735" s="9">
        <v>1388.0</v>
      </c>
      <c r="K1735" s="9">
        <v>1388.0</v>
      </c>
      <c r="L1735" s="9">
        <v>1388.0</v>
      </c>
      <c r="M1735" s="9">
        <v>1113.0</v>
      </c>
      <c r="N1735" s="9">
        <v>0.0</v>
      </c>
      <c r="O1735" s="9">
        <v>275.0</v>
      </c>
      <c r="P1735" s="8" t="s">
        <v>6816</v>
      </c>
      <c r="Q1735" s="8"/>
      <c r="R1735" s="8"/>
    </row>
    <row r="1736">
      <c r="A1736" s="8" t="s">
        <v>2117</v>
      </c>
      <c r="B1736" s="8" t="s">
        <v>11673</v>
      </c>
      <c r="C1736" s="8" t="s">
        <v>5154</v>
      </c>
      <c r="D1736" s="9">
        <v>8.788007998E9</v>
      </c>
      <c r="E1736" s="8" t="s">
        <v>5155</v>
      </c>
      <c r="F1736" s="8" t="s">
        <v>3601</v>
      </c>
      <c r="G1736" s="8" t="s">
        <v>11674</v>
      </c>
      <c r="H1736" s="8" t="s">
        <v>3479</v>
      </c>
      <c r="I1736" s="9">
        <v>0.0</v>
      </c>
      <c r="J1736" s="9">
        <v>1339.0</v>
      </c>
      <c r="K1736" s="9">
        <v>1339.0</v>
      </c>
      <c r="L1736" s="9">
        <v>1339.0</v>
      </c>
      <c r="M1736" s="9">
        <v>160.0</v>
      </c>
      <c r="N1736" s="9">
        <v>730.0</v>
      </c>
      <c r="O1736" s="9">
        <v>449.0</v>
      </c>
      <c r="P1736" s="8" t="s">
        <v>4183</v>
      </c>
      <c r="Q1736" s="8" t="s">
        <v>5157</v>
      </c>
      <c r="R1736" s="8" t="s">
        <v>5158</v>
      </c>
    </row>
    <row r="1737">
      <c r="A1737" s="8" t="s">
        <v>2118</v>
      </c>
      <c r="B1737" s="8" t="s">
        <v>11675</v>
      </c>
      <c r="C1737" s="8" t="s">
        <v>11676</v>
      </c>
      <c r="D1737" s="9">
        <v>7.798413084E9</v>
      </c>
      <c r="E1737" s="8" t="s">
        <v>11677</v>
      </c>
      <c r="F1737" s="8" t="s">
        <v>3608</v>
      </c>
      <c r="G1737" s="8" t="s">
        <v>11678</v>
      </c>
      <c r="H1737" s="8" t="s">
        <v>3479</v>
      </c>
      <c r="I1737" s="9">
        <v>0.0</v>
      </c>
      <c r="J1737" s="9">
        <v>2092.0</v>
      </c>
      <c r="K1737" s="9">
        <v>2092.0</v>
      </c>
      <c r="L1737" s="9">
        <v>2092.0</v>
      </c>
      <c r="M1737" s="9">
        <v>913.0</v>
      </c>
      <c r="N1737" s="9">
        <v>730.0</v>
      </c>
      <c r="O1737" s="9">
        <v>449.0</v>
      </c>
      <c r="P1737" s="8" t="s">
        <v>4183</v>
      </c>
      <c r="Q1737" s="8" t="s">
        <v>11679</v>
      </c>
      <c r="R1737" s="8" t="s">
        <v>11680</v>
      </c>
    </row>
    <row r="1738">
      <c r="A1738" s="8" t="s">
        <v>2290</v>
      </c>
      <c r="B1738" s="8" t="s">
        <v>11681</v>
      </c>
      <c r="C1738" s="8" t="s">
        <v>11682</v>
      </c>
      <c r="D1738" s="9">
        <v>8.093193733E9</v>
      </c>
      <c r="E1738" s="8" t="s">
        <v>11683</v>
      </c>
      <c r="F1738" s="8" t="s">
        <v>3589</v>
      </c>
      <c r="G1738" s="8" t="s">
        <v>11684</v>
      </c>
      <c r="H1738" s="8" t="s">
        <v>11685</v>
      </c>
      <c r="I1738" s="9">
        <v>0.0</v>
      </c>
      <c r="J1738" s="9">
        <v>3100.0</v>
      </c>
      <c r="K1738" s="9">
        <v>3145.0</v>
      </c>
      <c r="L1738" s="9">
        <v>3100.0</v>
      </c>
      <c r="M1738" s="9">
        <v>2870.0</v>
      </c>
      <c r="N1738" s="9">
        <v>0.0</v>
      </c>
      <c r="O1738" s="9">
        <v>275.0</v>
      </c>
      <c r="P1738" s="8" t="s">
        <v>3480</v>
      </c>
      <c r="Q1738" s="8"/>
      <c r="R1738" s="8"/>
    </row>
    <row r="1739">
      <c r="A1739" s="8" t="s">
        <v>2011</v>
      </c>
      <c r="B1739" s="8" t="s">
        <v>11686</v>
      </c>
      <c r="C1739" s="8" t="s">
        <v>4057</v>
      </c>
      <c r="D1739" s="9">
        <v>9.028366926E9</v>
      </c>
      <c r="E1739" s="8" t="s">
        <v>4058</v>
      </c>
      <c r="F1739" s="8" t="s">
        <v>4059</v>
      </c>
      <c r="G1739" s="8" t="s">
        <v>7003</v>
      </c>
      <c r="H1739" s="8" t="s">
        <v>3479</v>
      </c>
      <c r="I1739" s="9">
        <v>0.0</v>
      </c>
      <c r="J1739" s="9">
        <v>1508.0</v>
      </c>
      <c r="K1739" s="9">
        <v>1508.0</v>
      </c>
      <c r="L1739" s="9">
        <v>1508.0</v>
      </c>
      <c r="M1739" s="9">
        <v>135.0</v>
      </c>
      <c r="N1739" s="9">
        <v>774.0</v>
      </c>
      <c r="O1739" s="9">
        <v>599.0</v>
      </c>
      <c r="P1739" s="8" t="s">
        <v>4183</v>
      </c>
      <c r="Q1739" s="8" t="s">
        <v>4061</v>
      </c>
      <c r="R1739" s="8"/>
    </row>
    <row r="1740">
      <c r="A1740" s="8" t="s">
        <v>2306</v>
      </c>
      <c r="B1740" s="8" t="s">
        <v>11687</v>
      </c>
      <c r="C1740" s="8" t="s">
        <v>11688</v>
      </c>
      <c r="D1740" s="9">
        <v>9.588986487E9</v>
      </c>
      <c r="E1740" s="8" t="s">
        <v>5148</v>
      </c>
      <c r="F1740" s="8" t="s">
        <v>4112</v>
      </c>
      <c r="G1740" s="8" t="s">
        <v>11689</v>
      </c>
      <c r="H1740" s="8" t="s">
        <v>3479</v>
      </c>
      <c r="I1740" s="9">
        <v>0.0</v>
      </c>
      <c r="J1740" s="9">
        <v>1659.0</v>
      </c>
      <c r="K1740" s="9">
        <v>1659.0</v>
      </c>
      <c r="L1740" s="9">
        <v>1659.0</v>
      </c>
      <c r="M1740" s="9">
        <v>720.0</v>
      </c>
      <c r="N1740" s="9">
        <v>190.0</v>
      </c>
      <c r="O1740" s="9">
        <v>749.0</v>
      </c>
      <c r="P1740" s="8" t="s">
        <v>3480</v>
      </c>
      <c r="Q1740" s="8" t="s">
        <v>5151</v>
      </c>
      <c r="R1740" s="8" t="s">
        <v>5152</v>
      </c>
    </row>
    <row r="1741">
      <c r="A1741" s="8" t="s">
        <v>2012</v>
      </c>
      <c r="B1741" s="8" t="s">
        <v>11690</v>
      </c>
      <c r="C1741" s="8" t="s">
        <v>11691</v>
      </c>
      <c r="D1741" s="9">
        <v>9.975859952E9</v>
      </c>
      <c r="E1741" s="8" t="s">
        <v>11692</v>
      </c>
      <c r="F1741" s="8" t="s">
        <v>3658</v>
      </c>
      <c r="G1741" s="8" t="s">
        <v>11693</v>
      </c>
      <c r="H1741" s="8" t="s">
        <v>3479</v>
      </c>
      <c r="I1741" s="9">
        <v>0.0</v>
      </c>
      <c r="J1741" s="9">
        <v>2670.0</v>
      </c>
      <c r="K1741" s="9">
        <v>2670.0</v>
      </c>
      <c r="L1741" s="9">
        <v>2670.0</v>
      </c>
      <c r="M1741" s="9">
        <v>1172.0</v>
      </c>
      <c r="N1741" s="9">
        <v>774.0</v>
      </c>
      <c r="O1741" s="9">
        <v>724.0</v>
      </c>
      <c r="P1741" s="8" t="s">
        <v>4183</v>
      </c>
      <c r="Q1741" s="8" t="s">
        <v>11694</v>
      </c>
      <c r="R1741" s="8" t="s">
        <v>11695</v>
      </c>
    </row>
    <row r="1742">
      <c r="A1742" s="8" t="s">
        <v>2013</v>
      </c>
      <c r="B1742" s="8" t="s">
        <v>11696</v>
      </c>
      <c r="C1742" s="8" t="s">
        <v>11697</v>
      </c>
      <c r="D1742" s="9">
        <v>9.619865191E9</v>
      </c>
      <c r="E1742" s="8" t="s">
        <v>11698</v>
      </c>
      <c r="F1742" s="8" t="s">
        <v>4112</v>
      </c>
      <c r="G1742" s="8" t="s">
        <v>11699</v>
      </c>
      <c r="H1742" s="8" t="s">
        <v>3479</v>
      </c>
      <c r="I1742" s="9">
        <v>0.0</v>
      </c>
      <c r="J1742" s="9">
        <v>939.0</v>
      </c>
      <c r="K1742" s="9">
        <v>939.0</v>
      </c>
      <c r="L1742" s="9">
        <v>939.0</v>
      </c>
      <c r="M1742" s="9">
        <v>0.0</v>
      </c>
      <c r="N1742" s="9">
        <v>190.0</v>
      </c>
      <c r="O1742" s="9">
        <v>749.0</v>
      </c>
      <c r="P1742" s="8" t="s">
        <v>4183</v>
      </c>
      <c r="Q1742" s="8" t="s">
        <v>11700</v>
      </c>
      <c r="R1742" s="8" t="s">
        <v>11701</v>
      </c>
    </row>
    <row r="1743">
      <c r="A1743" s="8" t="s">
        <v>2014</v>
      </c>
      <c r="B1743" s="8" t="s">
        <v>11702</v>
      </c>
      <c r="C1743" s="8" t="s">
        <v>6931</v>
      </c>
      <c r="D1743" s="9">
        <v>9.42217808E9</v>
      </c>
      <c r="E1743" s="8" t="s">
        <v>6932</v>
      </c>
      <c r="F1743" s="8" t="s">
        <v>3681</v>
      </c>
      <c r="G1743" s="8" t="s">
        <v>11703</v>
      </c>
      <c r="H1743" s="8" t="s">
        <v>3479</v>
      </c>
      <c r="I1743" s="9">
        <v>0.0</v>
      </c>
      <c r="J1743" s="9">
        <v>2181.0</v>
      </c>
      <c r="K1743" s="9">
        <v>2181.0</v>
      </c>
      <c r="L1743" s="9">
        <v>2181.0</v>
      </c>
      <c r="M1743" s="9">
        <v>958.0</v>
      </c>
      <c r="N1743" s="9">
        <v>774.0</v>
      </c>
      <c r="O1743" s="9">
        <v>449.0</v>
      </c>
      <c r="P1743" s="8" t="s">
        <v>4183</v>
      </c>
      <c r="Q1743" s="8" t="s">
        <v>6935</v>
      </c>
      <c r="R1743" s="8" t="s">
        <v>6936</v>
      </c>
    </row>
    <row r="1744">
      <c r="A1744" s="8" t="s">
        <v>2015</v>
      </c>
      <c r="B1744" s="8" t="s">
        <v>11704</v>
      </c>
      <c r="C1744" s="8" t="s">
        <v>9039</v>
      </c>
      <c r="D1744" s="9">
        <v>9.403221441E9</v>
      </c>
      <c r="E1744" s="8" t="s">
        <v>11705</v>
      </c>
      <c r="F1744" s="8" t="s">
        <v>6118</v>
      </c>
      <c r="G1744" s="8" t="s">
        <v>11706</v>
      </c>
      <c r="H1744" s="8" t="s">
        <v>3479</v>
      </c>
      <c r="I1744" s="9">
        <v>0.0</v>
      </c>
      <c r="J1744" s="9">
        <v>1539.0</v>
      </c>
      <c r="K1744" s="9">
        <v>1539.0</v>
      </c>
      <c r="L1744" s="9">
        <v>1539.0</v>
      </c>
      <c r="M1744" s="9">
        <v>360.0</v>
      </c>
      <c r="N1744" s="9">
        <v>730.0</v>
      </c>
      <c r="O1744" s="9">
        <v>449.0</v>
      </c>
      <c r="P1744" s="8" t="s">
        <v>4183</v>
      </c>
      <c r="Q1744" s="8" t="s">
        <v>11707</v>
      </c>
      <c r="R1744" s="8"/>
    </row>
    <row r="1745">
      <c r="A1745" s="8" t="s">
        <v>2318</v>
      </c>
      <c r="B1745" s="8" t="s">
        <v>11708</v>
      </c>
      <c r="C1745" s="8" t="s">
        <v>11709</v>
      </c>
      <c r="D1745" s="9">
        <v>6.00259277E9</v>
      </c>
      <c r="E1745" s="8" t="s">
        <v>11710</v>
      </c>
      <c r="F1745" s="8" t="s">
        <v>3523</v>
      </c>
      <c r="G1745" s="8" t="s">
        <v>11711</v>
      </c>
      <c r="H1745" s="8" t="s">
        <v>3479</v>
      </c>
      <c r="I1745" s="9">
        <v>0.0</v>
      </c>
      <c r="J1745" s="9">
        <v>1474.0</v>
      </c>
      <c r="K1745" s="9">
        <v>1474.0</v>
      </c>
      <c r="L1745" s="9">
        <v>1474.0</v>
      </c>
      <c r="M1745" s="9">
        <v>220.0</v>
      </c>
      <c r="N1745" s="9">
        <v>730.0</v>
      </c>
      <c r="O1745" s="9">
        <v>524.0</v>
      </c>
      <c r="P1745" s="8" t="s">
        <v>6294</v>
      </c>
      <c r="Q1745" s="8" t="s">
        <v>11712</v>
      </c>
      <c r="R1745" s="8" t="s">
        <v>11713</v>
      </c>
    </row>
    <row r="1746">
      <c r="A1746" s="8" t="s">
        <v>2319</v>
      </c>
      <c r="B1746" s="8" t="s">
        <v>11714</v>
      </c>
      <c r="C1746" s="8" t="s">
        <v>9653</v>
      </c>
      <c r="D1746" s="9">
        <v>9.73000218E9</v>
      </c>
      <c r="E1746" s="8" t="s">
        <v>9654</v>
      </c>
      <c r="F1746" s="8" t="s">
        <v>3934</v>
      </c>
      <c r="G1746" s="8" t="s">
        <v>9655</v>
      </c>
      <c r="H1746" s="8" t="s">
        <v>3479</v>
      </c>
      <c r="I1746" s="9">
        <v>0.0</v>
      </c>
      <c r="J1746" s="9">
        <v>1989.0</v>
      </c>
      <c r="K1746" s="9">
        <v>1989.0</v>
      </c>
      <c r="L1746" s="9">
        <v>1989.0</v>
      </c>
      <c r="M1746" s="9">
        <v>560.0</v>
      </c>
      <c r="N1746" s="9">
        <v>730.0</v>
      </c>
      <c r="O1746" s="9">
        <v>699.0</v>
      </c>
      <c r="P1746" s="8" t="s">
        <v>4183</v>
      </c>
      <c r="Q1746" s="8" t="s">
        <v>9656</v>
      </c>
      <c r="R1746" s="8" t="s">
        <v>9657</v>
      </c>
    </row>
    <row r="1747">
      <c r="A1747" s="8" t="s">
        <v>2017</v>
      </c>
      <c r="B1747" s="8" t="s">
        <v>11715</v>
      </c>
      <c r="C1747" s="8" t="s">
        <v>5690</v>
      </c>
      <c r="D1747" s="9">
        <v>9.422752889E9</v>
      </c>
      <c r="E1747" s="8" t="s">
        <v>5691</v>
      </c>
      <c r="F1747" s="8" t="s">
        <v>5692</v>
      </c>
      <c r="G1747" s="8" t="s">
        <v>11716</v>
      </c>
      <c r="H1747" s="8" t="s">
        <v>3479</v>
      </c>
      <c r="I1747" s="9">
        <v>0.0</v>
      </c>
      <c r="J1747" s="9">
        <v>1791.0</v>
      </c>
      <c r="K1747" s="9">
        <v>1791.0</v>
      </c>
      <c r="L1747" s="9">
        <v>1791.0</v>
      </c>
      <c r="M1747" s="9">
        <v>327.0</v>
      </c>
      <c r="N1747" s="9">
        <v>765.0</v>
      </c>
      <c r="O1747" s="9">
        <v>699.0</v>
      </c>
      <c r="P1747" s="8" t="s">
        <v>4183</v>
      </c>
      <c r="Q1747" s="8" t="s">
        <v>5694</v>
      </c>
      <c r="R1747" s="8" t="s">
        <v>5695</v>
      </c>
    </row>
    <row r="1748">
      <c r="A1748" s="8" t="s">
        <v>2018</v>
      </c>
      <c r="B1748" s="8" t="s">
        <v>11717</v>
      </c>
      <c r="C1748" s="8" t="s">
        <v>7455</v>
      </c>
      <c r="D1748" s="9">
        <v>9.764474044E9</v>
      </c>
      <c r="E1748" s="8" t="s">
        <v>7456</v>
      </c>
      <c r="F1748" s="8" t="s">
        <v>4980</v>
      </c>
      <c r="G1748" s="8" t="s">
        <v>3494</v>
      </c>
      <c r="H1748" s="8" t="s">
        <v>3479</v>
      </c>
      <c r="I1748" s="9">
        <v>0.0</v>
      </c>
      <c r="J1748" s="9">
        <v>6182.0</v>
      </c>
      <c r="K1748" s="9">
        <v>6182.0</v>
      </c>
      <c r="L1748" s="9">
        <v>6182.0</v>
      </c>
      <c r="M1748" s="9">
        <v>4659.0</v>
      </c>
      <c r="N1748" s="9">
        <v>774.0</v>
      </c>
      <c r="O1748" s="9">
        <v>749.0</v>
      </c>
      <c r="P1748" s="8" t="s">
        <v>4183</v>
      </c>
      <c r="Q1748" s="8" t="s">
        <v>7458</v>
      </c>
      <c r="R1748" s="8"/>
    </row>
    <row r="1749">
      <c r="A1749" s="8" t="s">
        <v>2019</v>
      </c>
      <c r="B1749" s="8" t="s">
        <v>11718</v>
      </c>
      <c r="C1749" s="8" t="s">
        <v>5127</v>
      </c>
      <c r="D1749" s="9">
        <v>9.890907618E9</v>
      </c>
      <c r="E1749" s="8" t="s">
        <v>5128</v>
      </c>
      <c r="F1749" s="8" t="s">
        <v>3908</v>
      </c>
      <c r="G1749" s="8" t="s">
        <v>11719</v>
      </c>
      <c r="H1749" s="8" t="s">
        <v>3479</v>
      </c>
      <c r="I1749" s="9">
        <v>0.0</v>
      </c>
      <c r="J1749" s="9">
        <v>3081.0</v>
      </c>
      <c r="K1749" s="9">
        <v>3081.0</v>
      </c>
      <c r="L1749" s="9">
        <v>3081.0</v>
      </c>
      <c r="M1749" s="9">
        <v>1333.0</v>
      </c>
      <c r="N1749" s="9">
        <v>774.0</v>
      </c>
      <c r="O1749" s="9">
        <v>974.0</v>
      </c>
      <c r="P1749" s="8" t="s">
        <v>4183</v>
      </c>
      <c r="Q1749" s="8"/>
      <c r="R1749" s="8"/>
    </row>
    <row r="1750">
      <c r="A1750" s="8" t="s">
        <v>2020</v>
      </c>
      <c r="B1750" s="8" t="s">
        <v>11720</v>
      </c>
      <c r="C1750" s="8" t="s">
        <v>4498</v>
      </c>
      <c r="D1750" s="9">
        <v>7.304070707E9</v>
      </c>
      <c r="E1750" s="8" t="s">
        <v>4499</v>
      </c>
      <c r="F1750" s="8" t="s">
        <v>4500</v>
      </c>
      <c r="G1750" s="8" t="s">
        <v>11721</v>
      </c>
      <c r="H1750" s="8" t="s">
        <v>3479</v>
      </c>
      <c r="I1750" s="9">
        <v>513.0</v>
      </c>
      <c r="J1750" s="9">
        <v>2000.0</v>
      </c>
      <c r="K1750" s="9">
        <v>2513.0</v>
      </c>
      <c r="L1750" s="9">
        <v>2513.0</v>
      </c>
      <c r="M1750" s="9">
        <v>800.0</v>
      </c>
      <c r="N1750" s="9">
        <v>839.0</v>
      </c>
      <c r="O1750" s="9">
        <v>874.0</v>
      </c>
      <c r="P1750" s="8" t="s">
        <v>6294</v>
      </c>
      <c r="Q1750" s="8" t="s">
        <v>4502</v>
      </c>
      <c r="R1750" s="8" t="s">
        <v>4503</v>
      </c>
    </row>
    <row r="1751">
      <c r="A1751" s="8" t="s">
        <v>2021</v>
      </c>
      <c r="B1751" s="8" t="s">
        <v>11722</v>
      </c>
      <c r="C1751" s="8" t="s">
        <v>6571</v>
      </c>
      <c r="D1751" s="9">
        <v>9.765858948E9</v>
      </c>
      <c r="E1751" s="8" t="s">
        <v>11723</v>
      </c>
      <c r="F1751" s="8" t="s">
        <v>3863</v>
      </c>
      <c r="G1751" s="8" t="s">
        <v>11724</v>
      </c>
      <c r="H1751" s="8" t="s">
        <v>3479</v>
      </c>
      <c r="I1751" s="9">
        <v>0.0</v>
      </c>
      <c r="J1751" s="9">
        <v>1150.0</v>
      </c>
      <c r="K1751" s="9">
        <v>1150.0</v>
      </c>
      <c r="L1751" s="9">
        <v>1150.0</v>
      </c>
      <c r="M1751" s="9">
        <v>1150.0</v>
      </c>
      <c r="N1751" s="9">
        <v>0.0</v>
      </c>
      <c r="O1751" s="9">
        <v>0.0</v>
      </c>
      <c r="P1751" s="8" t="s">
        <v>4183</v>
      </c>
      <c r="Q1751" s="8" t="s">
        <v>11725</v>
      </c>
      <c r="R1751" s="8"/>
    </row>
    <row r="1752">
      <c r="A1752" s="8" t="s">
        <v>2016</v>
      </c>
      <c r="B1752" s="8" t="s">
        <v>11726</v>
      </c>
      <c r="C1752" s="8" t="s">
        <v>11727</v>
      </c>
      <c r="D1752" s="9">
        <v>8.805169999E9</v>
      </c>
      <c r="E1752" s="8" t="s">
        <v>11728</v>
      </c>
      <c r="F1752" s="8" t="s">
        <v>3608</v>
      </c>
      <c r="G1752" s="8" t="s">
        <v>11729</v>
      </c>
      <c r="H1752" s="8" t="s">
        <v>3479</v>
      </c>
      <c r="I1752" s="9">
        <v>0.0</v>
      </c>
      <c r="J1752" s="9">
        <v>1259.0</v>
      </c>
      <c r="K1752" s="9">
        <v>1259.0</v>
      </c>
      <c r="L1752" s="9">
        <v>1259.0</v>
      </c>
      <c r="M1752" s="9">
        <v>80.0</v>
      </c>
      <c r="N1752" s="9">
        <v>730.0</v>
      </c>
      <c r="O1752" s="9">
        <v>449.0</v>
      </c>
      <c r="P1752" s="8" t="s">
        <v>6294</v>
      </c>
      <c r="Q1752" s="8" t="s">
        <v>11730</v>
      </c>
      <c r="R1752" s="8"/>
    </row>
    <row r="1753">
      <c r="A1753" s="8" t="s">
        <v>2271</v>
      </c>
      <c r="B1753" s="8" t="s">
        <v>11731</v>
      </c>
      <c r="C1753" s="8" t="s">
        <v>7028</v>
      </c>
      <c r="D1753" s="9">
        <v>9.960105568E9</v>
      </c>
      <c r="E1753" s="8" t="s">
        <v>11732</v>
      </c>
      <c r="F1753" s="8" t="s">
        <v>4792</v>
      </c>
      <c r="G1753" s="8" t="s">
        <v>11733</v>
      </c>
      <c r="H1753" s="8" t="s">
        <v>3479</v>
      </c>
      <c r="I1753" s="9">
        <v>0.0</v>
      </c>
      <c r="J1753" s="9">
        <v>2824.0</v>
      </c>
      <c r="K1753" s="9">
        <v>2824.0</v>
      </c>
      <c r="L1753" s="9">
        <v>2824.0</v>
      </c>
      <c r="M1753" s="9">
        <v>1261.0</v>
      </c>
      <c r="N1753" s="9">
        <v>839.0</v>
      </c>
      <c r="O1753" s="9">
        <v>724.0</v>
      </c>
      <c r="P1753" s="8" t="s">
        <v>3480</v>
      </c>
      <c r="Q1753" s="8"/>
      <c r="R1753" s="8"/>
    </row>
    <row r="1754">
      <c r="A1754" s="8" t="s">
        <v>2322</v>
      </c>
      <c r="B1754" s="8" t="s">
        <v>11734</v>
      </c>
      <c r="C1754" s="8" t="s">
        <v>8891</v>
      </c>
      <c r="D1754" s="9">
        <v>8.087987588E9</v>
      </c>
      <c r="E1754" s="8" t="s">
        <v>11735</v>
      </c>
      <c r="F1754" s="8" t="s">
        <v>3768</v>
      </c>
      <c r="G1754" s="8" t="s">
        <v>11736</v>
      </c>
      <c r="H1754" s="8" t="s">
        <v>3479</v>
      </c>
      <c r="I1754" s="9">
        <v>0.0</v>
      </c>
      <c r="J1754" s="9">
        <v>1537.0</v>
      </c>
      <c r="K1754" s="9">
        <v>1537.0</v>
      </c>
      <c r="L1754" s="9">
        <v>1537.0</v>
      </c>
      <c r="M1754" s="9">
        <v>314.0</v>
      </c>
      <c r="N1754" s="9">
        <v>774.0</v>
      </c>
      <c r="O1754" s="9">
        <v>449.0</v>
      </c>
      <c r="P1754" s="8" t="s">
        <v>4183</v>
      </c>
      <c r="Q1754" s="8" t="s">
        <v>11737</v>
      </c>
      <c r="R1754" s="8" t="s">
        <v>11738</v>
      </c>
    </row>
    <row r="1755">
      <c r="A1755" s="8" t="s">
        <v>2323</v>
      </c>
      <c r="B1755" s="8" t="s">
        <v>11739</v>
      </c>
      <c r="C1755" s="8" t="s">
        <v>9478</v>
      </c>
      <c r="D1755" s="9">
        <v>7.843061236E9</v>
      </c>
      <c r="E1755" s="8" t="s">
        <v>9479</v>
      </c>
      <c r="F1755" s="8" t="s">
        <v>3721</v>
      </c>
      <c r="G1755" s="8" t="s">
        <v>9480</v>
      </c>
      <c r="H1755" s="8" t="s">
        <v>3479</v>
      </c>
      <c r="I1755" s="9">
        <v>0.0</v>
      </c>
      <c r="J1755" s="9">
        <v>2239.0</v>
      </c>
      <c r="K1755" s="9">
        <v>2239.0</v>
      </c>
      <c r="L1755" s="9">
        <v>2239.0</v>
      </c>
      <c r="M1755" s="9">
        <v>1060.0</v>
      </c>
      <c r="N1755" s="9">
        <v>730.0</v>
      </c>
      <c r="O1755" s="9">
        <v>449.0</v>
      </c>
      <c r="P1755" s="8" t="s">
        <v>4183</v>
      </c>
      <c r="Q1755" s="8" t="s">
        <v>9481</v>
      </c>
      <c r="R1755" s="8" t="s">
        <v>9482</v>
      </c>
    </row>
    <row r="1756">
      <c r="A1756" s="8" t="s">
        <v>2324</v>
      </c>
      <c r="B1756" s="8" t="s">
        <v>11740</v>
      </c>
      <c r="C1756" s="8" t="s">
        <v>11741</v>
      </c>
      <c r="D1756" s="9">
        <v>8.939180987E9</v>
      </c>
      <c r="E1756" s="8" t="s">
        <v>11742</v>
      </c>
      <c r="F1756" s="8" t="s">
        <v>11743</v>
      </c>
      <c r="G1756" s="8" t="s">
        <v>11744</v>
      </c>
      <c r="H1756" s="8" t="s">
        <v>3479</v>
      </c>
      <c r="I1756" s="9">
        <v>0.0</v>
      </c>
      <c r="J1756" s="9">
        <v>3814.0</v>
      </c>
      <c r="K1756" s="9">
        <v>3814.0</v>
      </c>
      <c r="L1756" s="9">
        <v>3814.0</v>
      </c>
      <c r="M1756" s="9">
        <v>1105.0</v>
      </c>
      <c r="N1756" s="9">
        <v>1635.0</v>
      </c>
      <c r="O1756" s="9">
        <v>1074.0</v>
      </c>
      <c r="P1756" s="8" t="s">
        <v>4183</v>
      </c>
      <c r="Q1756" s="8" t="s">
        <v>11745</v>
      </c>
      <c r="R1756" s="8" t="s">
        <v>11746</v>
      </c>
    </row>
    <row r="1757">
      <c r="A1757" s="8" t="s">
        <v>2325</v>
      </c>
      <c r="B1757" s="8" t="s">
        <v>11747</v>
      </c>
      <c r="C1757" s="8" t="s">
        <v>8148</v>
      </c>
      <c r="D1757" s="9">
        <v>8.623871502E9</v>
      </c>
      <c r="E1757" s="8" t="s">
        <v>8149</v>
      </c>
      <c r="F1757" s="8" t="s">
        <v>3493</v>
      </c>
      <c r="G1757" s="8" t="s">
        <v>11748</v>
      </c>
      <c r="H1757" s="8" t="s">
        <v>3479</v>
      </c>
      <c r="I1757" s="9">
        <v>0.0</v>
      </c>
      <c r="J1757" s="9">
        <v>2404.0</v>
      </c>
      <c r="K1757" s="9">
        <v>2404.0</v>
      </c>
      <c r="L1757" s="9">
        <v>2404.0</v>
      </c>
      <c r="M1757" s="9">
        <v>951.0</v>
      </c>
      <c r="N1757" s="9">
        <v>504.0</v>
      </c>
      <c r="O1757" s="9">
        <v>949.0</v>
      </c>
      <c r="P1757" s="8" t="s">
        <v>4183</v>
      </c>
      <c r="Q1757" s="8" t="s">
        <v>8151</v>
      </c>
      <c r="R1757" s="8" t="s">
        <v>8152</v>
      </c>
    </row>
    <row r="1758">
      <c r="A1758" s="8" t="s">
        <v>2326</v>
      </c>
      <c r="B1758" s="8" t="s">
        <v>11749</v>
      </c>
      <c r="C1758" s="8" t="s">
        <v>11750</v>
      </c>
      <c r="D1758" s="9">
        <v>9.822041549E9</v>
      </c>
      <c r="E1758" s="8" t="s">
        <v>11751</v>
      </c>
      <c r="F1758" s="8" t="s">
        <v>3821</v>
      </c>
      <c r="G1758" s="8" t="s">
        <v>11752</v>
      </c>
      <c r="H1758" s="8" t="s">
        <v>3479</v>
      </c>
      <c r="I1758" s="9">
        <v>0.0</v>
      </c>
      <c r="J1758" s="9">
        <v>450.0</v>
      </c>
      <c r="K1758" s="9">
        <v>450.0</v>
      </c>
      <c r="L1758" s="9">
        <v>450.0</v>
      </c>
      <c r="M1758" s="9">
        <v>450.0</v>
      </c>
      <c r="N1758" s="9">
        <v>0.0</v>
      </c>
      <c r="O1758" s="9">
        <v>0.0</v>
      </c>
      <c r="P1758" s="8" t="s">
        <v>3480</v>
      </c>
      <c r="Q1758" s="8" t="s">
        <v>11753</v>
      </c>
      <c r="R1758" s="8"/>
    </row>
    <row r="1759">
      <c r="A1759" s="8" t="s">
        <v>2272</v>
      </c>
      <c r="B1759" s="8" t="s">
        <v>11754</v>
      </c>
      <c r="C1759" s="8" t="s">
        <v>11755</v>
      </c>
      <c r="D1759" s="9">
        <v>7.972691526E9</v>
      </c>
      <c r="E1759" s="8" t="s">
        <v>11756</v>
      </c>
      <c r="F1759" s="8" t="s">
        <v>3594</v>
      </c>
      <c r="G1759" s="8" t="s">
        <v>11757</v>
      </c>
      <c r="H1759" s="8" t="s">
        <v>3479</v>
      </c>
      <c r="I1759" s="9">
        <v>0.0</v>
      </c>
      <c r="J1759" s="9">
        <v>1740.0</v>
      </c>
      <c r="K1759" s="9">
        <v>1740.0</v>
      </c>
      <c r="L1759" s="9">
        <v>1740.0</v>
      </c>
      <c r="M1759" s="9">
        <v>486.0</v>
      </c>
      <c r="N1759" s="9">
        <v>730.0</v>
      </c>
      <c r="O1759" s="9">
        <v>524.0</v>
      </c>
      <c r="P1759" s="8" t="s">
        <v>3480</v>
      </c>
      <c r="Q1759" s="8"/>
      <c r="R1759" s="8"/>
    </row>
    <row r="1760">
      <c r="A1760" s="8" t="s">
        <v>2273</v>
      </c>
      <c r="B1760" s="8" t="s">
        <v>11758</v>
      </c>
      <c r="C1760" s="8" t="s">
        <v>11759</v>
      </c>
      <c r="D1760" s="9">
        <v>7.798199237E9</v>
      </c>
      <c r="E1760" s="8" t="s">
        <v>11760</v>
      </c>
      <c r="F1760" s="8" t="s">
        <v>3653</v>
      </c>
      <c r="G1760" s="8" t="s">
        <v>11761</v>
      </c>
      <c r="H1760" s="8" t="s">
        <v>3479</v>
      </c>
      <c r="I1760" s="9">
        <v>0.0</v>
      </c>
      <c r="J1760" s="9">
        <v>578.0</v>
      </c>
      <c r="K1760" s="9">
        <v>578.0</v>
      </c>
      <c r="L1760" s="9">
        <v>578.0</v>
      </c>
      <c r="M1760" s="9">
        <v>129.0</v>
      </c>
      <c r="N1760" s="9">
        <v>0.0</v>
      </c>
      <c r="O1760" s="9">
        <v>449.0</v>
      </c>
      <c r="P1760" s="8" t="s">
        <v>3480</v>
      </c>
      <c r="Q1760" s="8"/>
      <c r="R1760" s="8"/>
    </row>
    <row r="1761">
      <c r="A1761" s="8" t="s">
        <v>2291</v>
      </c>
      <c r="B1761" s="8" t="s">
        <v>11762</v>
      </c>
      <c r="C1761" s="8" t="s">
        <v>4720</v>
      </c>
      <c r="D1761" s="9">
        <v>7.744895583E9</v>
      </c>
      <c r="E1761" s="8" t="s">
        <v>5632</v>
      </c>
      <c r="F1761" s="8" t="s">
        <v>5633</v>
      </c>
      <c r="G1761" s="8" t="s">
        <v>11763</v>
      </c>
      <c r="H1761" s="8" t="s">
        <v>3479</v>
      </c>
      <c r="I1761" s="9">
        <v>0.0</v>
      </c>
      <c r="J1761" s="9">
        <v>1730.0</v>
      </c>
      <c r="K1761" s="9">
        <v>1730.0</v>
      </c>
      <c r="L1761" s="9">
        <v>1730.0</v>
      </c>
      <c r="M1761" s="9">
        <v>247.0</v>
      </c>
      <c r="N1761" s="9">
        <v>784.0</v>
      </c>
      <c r="O1761" s="9">
        <v>699.0</v>
      </c>
      <c r="P1761" s="8" t="s">
        <v>3480</v>
      </c>
      <c r="Q1761" s="8"/>
      <c r="R1761" s="8"/>
    </row>
    <row r="1762">
      <c r="A1762" s="8" t="s">
        <v>2350</v>
      </c>
      <c r="B1762" s="8" t="s">
        <v>11764</v>
      </c>
      <c r="C1762" s="8" t="s">
        <v>8384</v>
      </c>
      <c r="D1762" s="9">
        <v>9.766828603E9</v>
      </c>
      <c r="E1762" s="8" t="s">
        <v>8385</v>
      </c>
      <c r="F1762" s="8" t="s">
        <v>4391</v>
      </c>
      <c r="G1762" s="8" t="s">
        <v>11765</v>
      </c>
      <c r="H1762" s="8" t="s">
        <v>3479</v>
      </c>
      <c r="I1762" s="9">
        <v>0.0</v>
      </c>
      <c r="J1762" s="9">
        <v>1509.0</v>
      </c>
      <c r="K1762" s="9">
        <v>1509.0</v>
      </c>
      <c r="L1762" s="9">
        <v>1509.0</v>
      </c>
      <c r="M1762" s="9">
        <v>80.0</v>
      </c>
      <c r="N1762" s="9">
        <v>730.0</v>
      </c>
      <c r="O1762" s="9">
        <v>699.0</v>
      </c>
      <c r="P1762" s="8" t="s">
        <v>6294</v>
      </c>
      <c r="Q1762" s="8" t="s">
        <v>8387</v>
      </c>
      <c r="R1762" s="8" t="s">
        <v>8388</v>
      </c>
    </row>
    <row r="1763">
      <c r="A1763" s="8" t="s">
        <v>2269</v>
      </c>
      <c r="B1763" s="8" t="s">
        <v>11766</v>
      </c>
      <c r="C1763" s="8" t="s">
        <v>11767</v>
      </c>
      <c r="D1763" s="9">
        <v>7.391904009E9</v>
      </c>
      <c r="E1763" s="8" t="s">
        <v>11768</v>
      </c>
      <c r="F1763" s="8" t="s">
        <v>5025</v>
      </c>
      <c r="G1763" s="8" t="s">
        <v>11769</v>
      </c>
      <c r="H1763" s="8" t="s">
        <v>3479</v>
      </c>
      <c r="I1763" s="9">
        <v>0.0</v>
      </c>
      <c r="J1763" s="9">
        <v>1702.0</v>
      </c>
      <c r="K1763" s="9">
        <v>1702.0</v>
      </c>
      <c r="L1763" s="9">
        <v>1702.0</v>
      </c>
      <c r="M1763" s="9">
        <v>523.0</v>
      </c>
      <c r="N1763" s="9">
        <v>730.0</v>
      </c>
      <c r="O1763" s="9">
        <v>449.0</v>
      </c>
      <c r="P1763" s="8" t="s">
        <v>3519</v>
      </c>
      <c r="Q1763" s="8" t="s">
        <v>11770</v>
      </c>
      <c r="R1763" s="8" t="s">
        <v>11771</v>
      </c>
    </row>
    <row r="1764">
      <c r="A1764" s="8" t="s">
        <v>2327</v>
      </c>
      <c r="B1764" s="8" t="s">
        <v>11772</v>
      </c>
      <c r="C1764" s="8" t="s">
        <v>5437</v>
      </c>
      <c r="D1764" s="9">
        <v>8.308760085E9</v>
      </c>
      <c r="E1764" s="8" t="s">
        <v>8477</v>
      </c>
      <c r="F1764" s="8" t="s">
        <v>3550</v>
      </c>
      <c r="G1764" s="8" t="s">
        <v>11773</v>
      </c>
      <c r="H1764" s="8" t="s">
        <v>3479</v>
      </c>
      <c r="I1764" s="9">
        <v>0.0</v>
      </c>
      <c r="J1764" s="9">
        <v>1259.0</v>
      </c>
      <c r="K1764" s="9">
        <v>1259.0</v>
      </c>
      <c r="L1764" s="9">
        <v>1259.0</v>
      </c>
      <c r="M1764" s="9">
        <v>80.0</v>
      </c>
      <c r="N1764" s="9">
        <v>730.0</v>
      </c>
      <c r="O1764" s="9">
        <v>449.0</v>
      </c>
      <c r="P1764" s="8" t="s">
        <v>3480</v>
      </c>
      <c r="Q1764" s="8"/>
      <c r="R1764" s="8"/>
    </row>
    <row r="1765">
      <c r="A1765" s="8" t="s">
        <v>2320</v>
      </c>
      <c r="B1765" s="8" t="s">
        <v>11774</v>
      </c>
      <c r="C1765" s="8" t="s">
        <v>11775</v>
      </c>
      <c r="D1765" s="9">
        <v>7.774077334E9</v>
      </c>
      <c r="E1765" s="8" t="s">
        <v>11776</v>
      </c>
      <c r="F1765" s="8" t="s">
        <v>3697</v>
      </c>
      <c r="G1765" s="8" t="s">
        <v>11777</v>
      </c>
      <c r="H1765" s="8" t="s">
        <v>3479</v>
      </c>
      <c r="I1765" s="9">
        <v>0.0</v>
      </c>
      <c r="J1765" s="9">
        <v>2181.0</v>
      </c>
      <c r="K1765" s="9">
        <v>2181.0</v>
      </c>
      <c r="L1765" s="9">
        <v>2181.0</v>
      </c>
      <c r="M1765" s="9">
        <v>1002.0</v>
      </c>
      <c r="N1765" s="9">
        <v>730.0</v>
      </c>
      <c r="O1765" s="9">
        <v>449.0</v>
      </c>
      <c r="P1765" s="8" t="s">
        <v>4183</v>
      </c>
      <c r="Q1765" s="8" t="s">
        <v>11778</v>
      </c>
      <c r="R1765" s="8" t="s">
        <v>11779</v>
      </c>
    </row>
    <row r="1766">
      <c r="A1766" s="8" t="s">
        <v>2307</v>
      </c>
      <c r="B1766" s="8" t="s">
        <v>11780</v>
      </c>
      <c r="C1766" s="8" t="s">
        <v>8465</v>
      </c>
      <c r="D1766" s="9">
        <v>7.97206915E9</v>
      </c>
      <c r="E1766" s="8" t="s">
        <v>8466</v>
      </c>
      <c r="F1766" s="8" t="s">
        <v>4059</v>
      </c>
      <c r="G1766" s="8" t="s">
        <v>11781</v>
      </c>
      <c r="H1766" s="8" t="s">
        <v>3479</v>
      </c>
      <c r="I1766" s="9">
        <v>0.0</v>
      </c>
      <c r="J1766" s="9">
        <v>759.0</v>
      </c>
      <c r="K1766" s="9">
        <v>759.0</v>
      </c>
      <c r="L1766" s="9">
        <v>759.0</v>
      </c>
      <c r="M1766" s="9">
        <v>80.0</v>
      </c>
      <c r="N1766" s="9">
        <v>0.0</v>
      </c>
      <c r="O1766" s="9">
        <v>679.0</v>
      </c>
      <c r="P1766" s="8" t="s">
        <v>3480</v>
      </c>
      <c r="Q1766" s="8"/>
      <c r="R1766" s="8"/>
    </row>
    <row r="1767">
      <c r="A1767" s="8" t="s">
        <v>2308</v>
      </c>
      <c r="B1767" s="8" t="s">
        <v>11782</v>
      </c>
      <c r="C1767" s="8" t="s">
        <v>8356</v>
      </c>
      <c r="D1767" s="9">
        <v>9.699050052E9</v>
      </c>
      <c r="E1767" s="8" t="s">
        <v>8357</v>
      </c>
      <c r="F1767" s="8" t="s">
        <v>3821</v>
      </c>
      <c r="G1767" s="8" t="s">
        <v>11783</v>
      </c>
      <c r="H1767" s="8" t="s">
        <v>3479</v>
      </c>
      <c r="I1767" s="9">
        <v>0.0</v>
      </c>
      <c r="J1767" s="9">
        <v>1081.0</v>
      </c>
      <c r="K1767" s="9">
        <v>1081.0</v>
      </c>
      <c r="L1767" s="9">
        <v>1081.0</v>
      </c>
      <c r="M1767" s="9">
        <v>961.0</v>
      </c>
      <c r="N1767" s="9">
        <v>0.0</v>
      </c>
      <c r="O1767" s="9">
        <v>120.0</v>
      </c>
      <c r="P1767" s="8" t="s">
        <v>3480</v>
      </c>
      <c r="Q1767" s="8"/>
      <c r="R1767" s="8"/>
    </row>
    <row r="1768">
      <c r="A1768" s="8" t="s">
        <v>2270</v>
      </c>
      <c r="B1768" s="8" t="s">
        <v>11784</v>
      </c>
      <c r="C1768" s="8" t="s">
        <v>5963</v>
      </c>
      <c r="D1768" s="9">
        <v>7.709278135E9</v>
      </c>
      <c r="E1768" s="8" t="s">
        <v>5964</v>
      </c>
      <c r="F1768" s="8" t="s">
        <v>3721</v>
      </c>
      <c r="G1768" s="8" t="s">
        <v>11785</v>
      </c>
      <c r="H1768" s="8" t="s">
        <v>3479</v>
      </c>
      <c r="I1768" s="9">
        <v>0.0</v>
      </c>
      <c r="J1768" s="9">
        <v>1500.0</v>
      </c>
      <c r="K1768" s="9">
        <v>1500.0</v>
      </c>
      <c r="L1768" s="9">
        <v>1500.0</v>
      </c>
      <c r="M1768" s="9">
        <v>1500.0</v>
      </c>
      <c r="N1768" s="9">
        <v>0.0</v>
      </c>
      <c r="O1768" s="9">
        <v>0.0</v>
      </c>
      <c r="P1768" s="8" t="s">
        <v>3480</v>
      </c>
      <c r="Q1768" s="8"/>
      <c r="R1768" s="8"/>
    </row>
    <row r="1769">
      <c r="A1769" s="8" t="s">
        <v>2351</v>
      </c>
      <c r="B1769" s="8" t="s">
        <v>11786</v>
      </c>
      <c r="C1769" s="8" t="s">
        <v>5214</v>
      </c>
      <c r="D1769" s="9">
        <v>9.665327912E9</v>
      </c>
      <c r="E1769" s="8" t="s">
        <v>11787</v>
      </c>
      <c r="F1769" s="8" t="s">
        <v>3993</v>
      </c>
      <c r="G1769" s="8" t="s">
        <v>11788</v>
      </c>
      <c r="H1769" s="8" t="s">
        <v>3479</v>
      </c>
      <c r="I1769" s="9">
        <v>0.0</v>
      </c>
      <c r="J1769" s="9">
        <v>2460.0</v>
      </c>
      <c r="K1769" s="9">
        <v>2460.0</v>
      </c>
      <c r="L1769" s="9">
        <v>2460.0</v>
      </c>
      <c r="M1769" s="9">
        <v>1761.0</v>
      </c>
      <c r="N1769" s="9">
        <v>0.0</v>
      </c>
      <c r="O1769" s="9">
        <v>699.0</v>
      </c>
      <c r="P1769" s="8" t="s">
        <v>4183</v>
      </c>
      <c r="Q1769" s="8" t="s">
        <v>11789</v>
      </c>
      <c r="R1769" s="8" t="s">
        <v>11790</v>
      </c>
    </row>
    <row r="1770">
      <c r="A1770" s="8" t="s">
        <v>2352</v>
      </c>
      <c r="B1770" s="8" t="s">
        <v>11791</v>
      </c>
      <c r="C1770" s="8" t="s">
        <v>8075</v>
      </c>
      <c r="D1770" s="9">
        <v>7.350902618E9</v>
      </c>
      <c r="E1770" s="8" t="s">
        <v>8076</v>
      </c>
      <c r="F1770" s="8" t="s">
        <v>3564</v>
      </c>
      <c r="G1770" s="8" t="s">
        <v>11792</v>
      </c>
      <c r="H1770" s="8" t="s">
        <v>3479</v>
      </c>
      <c r="I1770" s="9">
        <v>0.0</v>
      </c>
      <c r="J1770" s="9">
        <v>1104.0</v>
      </c>
      <c r="K1770" s="9">
        <v>1104.0</v>
      </c>
      <c r="L1770" s="9">
        <v>1104.0</v>
      </c>
      <c r="M1770" s="9">
        <v>165.0</v>
      </c>
      <c r="N1770" s="9">
        <v>190.0</v>
      </c>
      <c r="O1770" s="9">
        <v>749.0</v>
      </c>
      <c r="P1770" s="8" t="s">
        <v>4183</v>
      </c>
      <c r="Q1770" s="8" t="s">
        <v>8078</v>
      </c>
      <c r="R1770" s="8" t="s">
        <v>8079</v>
      </c>
    </row>
    <row r="1771">
      <c r="A1771" s="8" t="s">
        <v>2274</v>
      </c>
      <c r="B1771" s="8" t="s">
        <v>11793</v>
      </c>
      <c r="C1771" s="8" t="s">
        <v>11794</v>
      </c>
      <c r="D1771" s="9">
        <v>9.004432771E9</v>
      </c>
      <c r="E1771" s="8" t="s">
        <v>11795</v>
      </c>
      <c r="F1771" s="8" t="s">
        <v>11796</v>
      </c>
      <c r="G1771" s="8" t="s">
        <v>11797</v>
      </c>
      <c r="H1771" s="8" t="s">
        <v>3479</v>
      </c>
      <c r="I1771" s="9">
        <v>0.0</v>
      </c>
      <c r="J1771" s="9">
        <v>904.0</v>
      </c>
      <c r="K1771" s="9">
        <v>904.0</v>
      </c>
      <c r="L1771" s="9">
        <v>904.0</v>
      </c>
      <c r="M1771" s="9">
        <v>455.0</v>
      </c>
      <c r="N1771" s="9">
        <v>0.0</v>
      </c>
      <c r="O1771" s="9">
        <v>449.0</v>
      </c>
      <c r="P1771" s="8" t="s">
        <v>3544</v>
      </c>
      <c r="Q1771" s="8" t="s">
        <v>11798</v>
      </c>
      <c r="R1771" s="8"/>
    </row>
    <row r="1772">
      <c r="A1772" s="8" t="s">
        <v>2321</v>
      </c>
      <c r="B1772" s="8" t="s">
        <v>11799</v>
      </c>
      <c r="C1772" s="8" t="s">
        <v>11800</v>
      </c>
      <c r="D1772" s="9">
        <v>9.175887983E9</v>
      </c>
      <c r="E1772" s="8" t="s">
        <v>11801</v>
      </c>
      <c r="F1772" s="8" t="s">
        <v>3881</v>
      </c>
      <c r="G1772" s="8" t="s">
        <v>11802</v>
      </c>
      <c r="H1772" s="8" t="s">
        <v>3479</v>
      </c>
      <c r="I1772" s="9">
        <v>0.0</v>
      </c>
      <c r="J1772" s="9">
        <v>1027.0</v>
      </c>
      <c r="K1772" s="9">
        <v>1027.0</v>
      </c>
      <c r="L1772" s="9">
        <v>1027.0</v>
      </c>
      <c r="M1772" s="9">
        <v>1027.0</v>
      </c>
      <c r="N1772" s="9">
        <v>0.0</v>
      </c>
      <c r="O1772" s="9">
        <v>0.0</v>
      </c>
      <c r="P1772" s="8" t="s">
        <v>3480</v>
      </c>
      <c r="Q1772" s="8"/>
      <c r="R1772" s="8"/>
    </row>
    <row r="1773">
      <c r="A1773" s="8" t="s">
        <v>2276</v>
      </c>
      <c r="B1773" s="8" t="s">
        <v>11803</v>
      </c>
      <c r="C1773" s="8" t="s">
        <v>11804</v>
      </c>
      <c r="D1773" s="9">
        <v>9.405601126E9</v>
      </c>
      <c r="E1773" s="8" t="s">
        <v>11805</v>
      </c>
      <c r="F1773" s="8" t="s">
        <v>6118</v>
      </c>
      <c r="G1773" s="8" t="s">
        <v>11806</v>
      </c>
      <c r="H1773" s="8" t="s">
        <v>3479</v>
      </c>
      <c r="I1773" s="9">
        <v>0.0</v>
      </c>
      <c r="J1773" s="9">
        <v>1259.0</v>
      </c>
      <c r="K1773" s="9">
        <v>1259.0</v>
      </c>
      <c r="L1773" s="9">
        <v>1259.0</v>
      </c>
      <c r="M1773" s="9">
        <v>80.0</v>
      </c>
      <c r="N1773" s="9">
        <v>730.0</v>
      </c>
      <c r="O1773" s="9">
        <v>449.0</v>
      </c>
      <c r="P1773" s="8" t="s">
        <v>3480</v>
      </c>
      <c r="Q1773" s="8" t="s">
        <v>11807</v>
      </c>
      <c r="R1773" s="8" t="s">
        <v>4381</v>
      </c>
    </row>
    <row r="1774">
      <c r="A1774" s="8" t="s">
        <v>2275</v>
      </c>
      <c r="B1774" s="8" t="s">
        <v>11808</v>
      </c>
      <c r="C1774" s="8" t="s">
        <v>11809</v>
      </c>
      <c r="D1774" s="9">
        <v>9.545157573E9</v>
      </c>
      <c r="E1774" s="8" t="s">
        <v>11810</v>
      </c>
      <c r="F1774" s="8" t="s">
        <v>3815</v>
      </c>
      <c r="G1774" s="8" t="s">
        <v>11811</v>
      </c>
      <c r="H1774" s="8" t="s">
        <v>3479</v>
      </c>
      <c r="I1774" s="9">
        <v>0.0</v>
      </c>
      <c r="J1774" s="9">
        <v>3581.0</v>
      </c>
      <c r="K1774" s="9">
        <v>3581.0</v>
      </c>
      <c r="L1774" s="9">
        <v>3581.0</v>
      </c>
      <c r="M1774" s="9">
        <v>2430.0</v>
      </c>
      <c r="N1774" s="9">
        <v>352.0</v>
      </c>
      <c r="O1774" s="9">
        <v>799.0</v>
      </c>
      <c r="P1774" s="8" t="s">
        <v>3480</v>
      </c>
      <c r="Q1774" s="8"/>
      <c r="R1774" s="8"/>
    </row>
    <row r="1775">
      <c r="A1775" s="8" t="s">
        <v>2310</v>
      </c>
      <c r="B1775" s="8" t="s">
        <v>11812</v>
      </c>
      <c r="C1775" s="8" t="s">
        <v>11813</v>
      </c>
      <c r="D1775" s="9">
        <v>9.975668837E9</v>
      </c>
      <c r="E1775" s="8" t="s">
        <v>11814</v>
      </c>
      <c r="F1775" s="8" t="s">
        <v>3881</v>
      </c>
      <c r="G1775" s="8" t="s">
        <v>11815</v>
      </c>
      <c r="H1775" s="8" t="s">
        <v>3479</v>
      </c>
      <c r="I1775" s="9">
        <v>0.0</v>
      </c>
      <c r="J1775" s="9">
        <v>670.0</v>
      </c>
      <c r="K1775" s="9">
        <v>670.0</v>
      </c>
      <c r="L1775" s="9">
        <v>670.0</v>
      </c>
      <c r="M1775" s="9">
        <v>495.0</v>
      </c>
      <c r="N1775" s="9">
        <v>0.0</v>
      </c>
      <c r="O1775" s="9">
        <v>175.0</v>
      </c>
      <c r="P1775" s="8" t="s">
        <v>3480</v>
      </c>
      <c r="Q1775" s="8"/>
      <c r="R1775" s="8"/>
    </row>
    <row r="1776">
      <c r="A1776" s="8" t="s">
        <v>2278</v>
      </c>
      <c r="B1776" s="8" t="s">
        <v>11816</v>
      </c>
      <c r="C1776" s="8" t="s">
        <v>11817</v>
      </c>
      <c r="D1776" s="9">
        <v>8.605863553E9</v>
      </c>
      <c r="E1776" s="8" t="s">
        <v>11818</v>
      </c>
      <c r="F1776" s="8" t="s">
        <v>3523</v>
      </c>
      <c r="G1776" s="8" t="s">
        <v>11819</v>
      </c>
      <c r="H1776" s="8" t="s">
        <v>11820</v>
      </c>
      <c r="I1776" s="9">
        <v>0.0</v>
      </c>
      <c r="J1776" s="9">
        <v>0.0</v>
      </c>
      <c r="K1776" s="9">
        <v>2419.0</v>
      </c>
      <c r="L1776" s="9">
        <v>2200.0</v>
      </c>
      <c r="M1776" s="9">
        <v>1853.0</v>
      </c>
      <c r="N1776" s="9">
        <v>490.0</v>
      </c>
      <c r="O1776" s="9">
        <v>76.0</v>
      </c>
      <c r="P1776" s="8" t="s">
        <v>3480</v>
      </c>
      <c r="Q1776" s="8" t="s">
        <v>11821</v>
      </c>
      <c r="R1776" s="8"/>
    </row>
    <row r="1777">
      <c r="A1777" s="8" t="s">
        <v>2277</v>
      </c>
      <c r="B1777" s="8" t="s">
        <v>11822</v>
      </c>
      <c r="C1777" s="8" t="s">
        <v>11823</v>
      </c>
      <c r="D1777" s="9">
        <v>9.527273852E9</v>
      </c>
      <c r="E1777" s="8" t="s">
        <v>11824</v>
      </c>
      <c r="F1777" s="8" t="s">
        <v>9777</v>
      </c>
      <c r="G1777" s="8" t="s">
        <v>3494</v>
      </c>
      <c r="H1777" s="8" t="s">
        <v>3479</v>
      </c>
      <c r="I1777" s="9">
        <v>0.0</v>
      </c>
      <c r="J1777" s="9">
        <v>1808.0</v>
      </c>
      <c r="K1777" s="9">
        <v>1808.0</v>
      </c>
      <c r="L1777" s="9">
        <v>1808.0</v>
      </c>
      <c r="M1777" s="9">
        <v>585.0</v>
      </c>
      <c r="N1777" s="9">
        <v>774.0</v>
      </c>
      <c r="O1777" s="9">
        <v>449.0</v>
      </c>
      <c r="P1777" s="8" t="s">
        <v>3480</v>
      </c>
      <c r="Q1777" s="8" t="s">
        <v>11825</v>
      </c>
      <c r="R1777" s="8" t="s">
        <v>11826</v>
      </c>
    </row>
    <row r="1778">
      <c r="A1778" s="8" t="s">
        <v>2279</v>
      </c>
      <c r="B1778" s="8" t="s">
        <v>11827</v>
      </c>
      <c r="C1778" s="8" t="s">
        <v>11828</v>
      </c>
      <c r="D1778" s="9">
        <v>9.049505156E9</v>
      </c>
      <c r="E1778" s="8" t="s">
        <v>11829</v>
      </c>
      <c r="F1778" s="8" t="s">
        <v>3486</v>
      </c>
      <c r="G1778" s="8" t="s">
        <v>11830</v>
      </c>
      <c r="H1778" s="8" t="s">
        <v>3479</v>
      </c>
      <c r="I1778" s="9">
        <v>0.0</v>
      </c>
      <c r="J1778" s="9">
        <v>1359.0</v>
      </c>
      <c r="K1778" s="9">
        <v>1359.0</v>
      </c>
      <c r="L1778" s="9">
        <v>1359.0</v>
      </c>
      <c r="M1778" s="9">
        <v>100.0</v>
      </c>
      <c r="N1778" s="9">
        <v>730.0</v>
      </c>
      <c r="O1778" s="9">
        <v>529.0</v>
      </c>
      <c r="P1778" s="8" t="s">
        <v>3480</v>
      </c>
      <c r="Q1778" s="8" t="s">
        <v>11831</v>
      </c>
      <c r="R1778" s="8" t="s">
        <v>11832</v>
      </c>
    </row>
    <row r="1779">
      <c r="A1779" s="8" t="s">
        <v>2280</v>
      </c>
      <c r="B1779" s="8" t="s">
        <v>11833</v>
      </c>
      <c r="C1779" s="8" t="s">
        <v>3991</v>
      </c>
      <c r="D1779" s="9">
        <v>7.045309011E9</v>
      </c>
      <c r="E1779" s="8" t="s">
        <v>3992</v>
      </c>
      <c r="F1779" s="8" t="s">
        <v>3993</v>
      </c>
      <c r="G1779" s="8" t="s">
        <v>11834</v>
      </c>
      <c r="H1779" s="8" t="s">
        <v>3479</v>
      </c>
      <c r="I1779" s="9">
        <v>0.0</v>
      </c>
      <c r="J1779" s="9">
        <v>1453.0</v>
      </c>
      <c r="K1779" s="9">
        <v>1453.0</v>
      </c>
      <c r="L1779" s="9">
        <v>1453.0</v>
      </c>
      <c r="M1779" s="9">
        <v>80.0</v>
      </c>
      <c r="N1779" s="9">
        <v>774.0</v>
      </c>
      <c r="O1779" s="9">
        <v>599.0</v>
      </c>
      <c r="P1779" s="8" t="s">
        <v>3480</v>
      </c>
      <c r="Q1779" s="8" t="s">
        <v>3995</v>
      </c>
      <c r="R1779" s="8" t="s">
        <v>3996</v>
      </c>
    </row>
    <row r="1780">
      <c r="A1780" s="8" t="s">
        <v>2281</v>
      </c>
      <c r="B1780" s="8" t="s">
        <v>11835</v>
      </c>
      <c r="C1780" s="8" t="s">
        <v>9733</v>
      </c>
      <c r="D1780" s="9">
        <v>8.149576084E9</v>
      </c>
      <c r="E1780" s="8" t="s">
        <v>9734</v>
      </c>
      <c r="F1780" s="8" t="s">
        <v>3523</v>
      </c>
      <c r="G1780" s="8" t="s">
        <v>11836</v>
      </c>
      <c r="H1780" s="8" t="s">
        <v>3479</v>
      </c>
      <c r="I1780" s="9">
        <v>0.0</v>
      </c>
      <c r="J1780" s="9">
        <v>2004.0</v>
      </c>
      <c r="K1780" s="9">
        <v>2004.0</v>
      </c>
      <c r="L1780" s="9">
        <v>2004.0</v>
      </c>
      <c r="M1780" s="9">
        <v>750.0</v>
      </c>
      <c r="N1780" s="9">
        <v>730.0</v>
      </c>
      <c r="O1780" s="9">
        <v>524.0</v>
      </c>
      <c r="P1780" s="8" t="s">
        <v>3480</v>
      </c>
      <c r="Q1780" s="8" t="s">
        <v>9736</v>
      </c>
      <c r="R1780" s="8" t="s">
        <v>9737</v>
      </c>
    </row>
    <row r="1781">
      <c r="A1781" s="8" t="s">
        <v>2282</v>
      </c>
      <c r="B1781" s="8" t="s">
        <v>11837</v>
      </c>
      <c r="C1781" s="8" t="s">
        <v>10486</v>
      </c>
      <c r="D1781" s="9">
        <v>9.284226625E9</v>
      </c>
      <c r="E1781" s="8" t="s">
        <v>10487</v>
      </c>
      <c r="F1781" s="8" t="s">
        <v>3653</v>
      </c>
      <c r="G1781" s="8" t="s">
        <v>11838</v>
      </c>
      <c r="H1781" s="8" t="s">
        <v>3479</v>
      </c>
      <c r="I1781" s="9">
        <v>0.0</v>
      </c>
      <c r="J1781" s="9">
        <v>4152.0</v>
      </c>
      <c r="K1781" s="9">
        <v>4152.0</v>
      </c>
      <c r="L1781" s="9">
        <v>4152.0</v>
      </c>
      <c r="M1781" s="9">
        <v>2224.0</v>
      </c>
      <c r="N1781" s="9">
        <v>904.0</v>
      </c>
      <c r="O1781" s="9">
        <v>1024.0</v>
      </c>
      <c r="P1781" s="8" t="s">
        <v>3480</v>
      </c>
      <c r="Q1781" s="8"/>
      <c r="R1781" s="8"/>
    </row>
    <row r="1782">
      <c r="A1782" s="8" t="s">
        <v>2311</v>
      </c>
      <c r="B1782" s="8" t="s">
        <v>11839</v>
      </c>
      <c r="C1782" s="8" t="s">
        <v>7247</v>
      </c>
      <c r="D1782" s="9">
        <v>9.011095149E9</v>
      </c>
      <c r="E1782" s="8" t="s">
        <v>7248</v>
      </c>
      <c r="F1782" s="8" t="s">
        <v>3601</v>
      </c>
      <c r="G1782" s="8" t="s">
        <v>11840</v>
      </c>
      <c r="H1782" s="8" t="s">
        <v>3479</v>
      </c>
      <c r="I1782" s="9">
        <v>0.0</v>
      </c>
      <c r="J1782" s="9">
        <v>1559.0</v>
      </c>
      <c r="K1782" s="9">
        <v>1559.0</v>
      </c>
      <c r="L1782" s="9">
        <v>1559.0</v>
      </c>
      <c r="M1782" s="9">
        <v>380.0</v>
      </c>
      <c r="N1782" s="9">
        <v>730.0</v>
      </c>
      <c r="O1782" s="9">
        <v>449.0</v>
      </c>
      <c r="P1782" s="8" t="s">
        <v>3480</v>
      </c>
      <c r="Q1782" s="8" t="s">
        <v>7250</v>
      </c>
      <c r="R1782" s="8" t="s">
        <v>7251</v>
      </c>
    </row>
    <row r="1783">
      <c r="A1783" s="8" t="s">
        <v>2283</v>
      </c>
      <c r="B1783" s="8" t="s">
        <v>11841</v>
      </c>
      <c r="C1783" s="8" t="s">
        <v>3875</v>
      </c>
      <c r="D1783" s="9">
        <v>9.766611011E9</v>
      </c>
      <c r="E1783" s="8" t="s">
        <v>3876</v>
      </c>
      <c r="F1783" s="8" t="s">
        <v>3523</v>
      </c>
      <c r="G1783" s="8" t="s">
        <v>3877</v>
      </c>
      <c r="H1783" s="8" t="s">
        <v>3479</v>
      </c>
      <c r="I1783" s="9">
        <v>0.0</v>
      </c>
      <c r="J1783" s="9">
        <v>3270.0</v>
      </c>
      <c r="K1783" s="9">
        <v>3270.0</v>
      </c>
      <c r="L1783" s="9">
        <v>3270.0</v>
      </c>
      <c r="M1783" s="9">
        <v>2016.0</v>
      </c>
      <c r="N1783" s="9">
        <v>730.0</v>
      </c>
      <c r="O1783" s="9">
        <v>524.0</v>
      </c>
      <c r="P1783" s="8" t="s">
        <v>3544</v>
      </c>
      <c r="Q1783" s="8"/>
      <c r="R1783" s="8"/>
    </row>
    <row r="1784">
      <c r="A1784" s="8" t="s">
        <v>2284</v>
      </c>
      <c r="B1784" s="8" t="s">
        <v>11842</v>
      </c>
      <c r="C1784" s="8" t="s">
        <v>5116</v>
      </c>
      <c r="D1784" s="9">
        <v>9.766611011E9</v>
      </c>
      <c r="E1784" s="8" t="s">
        <v>5117</v>
      </c>
      <c r="F1784" s="8" t="s">
        <v>3601</v>
      </c>
      <c r="G1784" s="8" t="s">
        <v>11843</v>
      </c>
      <c r="H1784" s="8" t="s">
        <v>3479</v>
      </c>
      <c r="I1784" s="9">
        <v>0.0</v>
      </c>
      <c r="J1784" s="9">
        <v>1584.0</v>
      </c>
      <c r="K1784" s="9">
        <v>1584.0</v>
      </c>
      <c r="L1784" s="9">
        <v>1584.0</v>
      </c>
      <c r="M1784" s="9">
        <v>325.0</v>
      </c>
      <c r="N1784" s="9">
        <v>730.0</v>
      </c>
      <c r="O1784" s="9">
        <v>529.0</v>
      </c>
      <c r="P1784" s="8" t="s">
        <v>3480</v>
      </c>
      <c r="Q1784" s="8" t="s">
        <v>5119</v>
      </c>
      <c r="R1784" s="8"/>
    </row>
    <row r="1785">
      <c r="A1785" s="8" t="s">
        <v>2285</v>
      </c>
      <c r="B1785" s="8" t="s">
        <v>11844</v>
      </c>
      <c r="C1785" s="8" t="s">
        <v>4225</v>
      </c>
      <c r="D1785" s="9">
        <v>9.975001056E9</v>
      </c>
      <c r="E1785" s="8" t="s">
        <v>4226</v>
      </c>
      <c r="F1785" s="8" t="s">
        <v>3557</v>
      </c>
      <c r="G1785" s="8" t="s">
        <v>11845</v>
      </c>
      <c r="H1785" s="8" t="s">
        <v>3479</v>
      </c>
      <c r="I1785" s="9">
        <v>0.0</v>
      </c>
      <c r="J1785" s="9">
        <v>3143.0</v>
      </c>
      <c r="K1785" s="9">
        <v>3143.0</v>
      </c>
      <c r="L1785" s="9">
        <v>3143.0</v>
      </c>
      <c r="M1785" s="9">
        <v>842.0</v>
      </c>
      <c r="N1785" s="9">
        <v>1037.0</v>
      </c>
      <c r="O1785" s="9">
        <v>1264.0</v>
      </c>
      <c r="P1785" s="8" t="s">
        <v>3480</v>
      </c>
      <c r="Q1785" s="8" t="s">
        <v>4228</v>
      </c>
      <c r="R1785" s="8" t="s">
        <v>4229</v>
      </c>
    </row>
    <row r="1786">
      <c r="A1786" s="8" t="s">
        <v>2309</v>
      </c>
      <c r="B1786" s="8" t="s">
        <v>11846</v>
      </c>
      <c r="C1786" s="8" t="s">
        <v>11847</v>
      </c>
      <c r="D1786" s="9">
        <v>9.145398978E9</v>
      </c>
      <c r="E1786" s="8" t="s">
        <v>11848</v>
      </c>
      <c r="F1786" s="8" t="s">
        <v>4454</v>
      </c>
      <c r="G1786" s="8" t="s">
        <v>11849</v>
      </c>
      <c r="H1786" s="8" t="s">
        <v>3479</v>
      </c>
      <c r="I1786" s="9">
        <v>0.0</v>
      </c>
      <c r="J1786" s="9">
        <v>1259.0</v>
      </c>
      <c r="K1786" s="9">
        <v>1259.0</v>
      </c>
      <c r="L1786" s="9">
        <v>1259.0</v>
      </c>
      <c r="M1786" s="9">
        <v>80.0</v>
      </c>
      <c r="N1786" s="9">
        <v>730.0</v>
      </c>
      <c r="O1786" s="9">
        <v>449.0</v>
      </c>
      <c r="P1786" s="8" t="s">
        <v>3480</v>
      </c>
      <c r="Q1786" s="8"/>
      <c r="R1786" s="8"/>
    </row>
    <row r="1787">
      <c r="A1787" s="8" t="s">
        <v>2293</v>
      </c>
      <c r="B1787" s="8" t="s">
        <v>11850</v>
      </c>
      <c r="C1787" s="8" t="s">
        <v>11851</v>
      </c>
      <c r="D1787" s="9">
        <v>9.764525855E9</v>
      </c>
      <c r="E1787" s="8" t="s">
        <v>11852</v>
      </c>
      <c r="F1787" s="8" t="s">
        <v>3608</v>
      </c>
      <c r="G1787" s="8" t="s">
        <v>11853</v>
      </c>
      <c r="H1787" s="8" t="s">
        <v>3479</v>
      </c>
      <c r="I1787" s="9">
        <v>0.0</v>
      </c>
      <c r="J1787" s="9">
        <v>1259.0</v>
      </c>
      <c r="K1787" s="9">
        <v>1259.0</v>
      </c>
      <c r="L1787" s="9">
        <v>1259.0</v>
      </c>
      <c r="M1787" s="9">
        <v>80.0</v>
      </c>
      <c r="N1787" s="9">
        <v>730.0</v>
      </c>
      <c r="O1787" s="9">
        <v>449.0</v>
      </c>
      <c r="P1787" s="8" t="s">
        <v>3480</v>
      </c>
      <c r="Q1787" s="8" t="s">
        <v>11854</v>
      </c>
      <c r="R1787" s="8" t="s">
        <v>11855</v>
      </c>
    </row>
    <row r="1788">
      <c r="A1788" s="8" t="s">
        <v>2294</v>
      </c>
      <c r="B1788" s="8" t="s">
        <v>11856</v>
      </c>
      <c r="C1788" s="8" t="s">
        <v>5188</v>
      </c>
      <c r="D1788" s="9">
        <v>8.390784579E9</v>
      </c>
      <c r="E1788" s="8" t="s">
        <v>5189</v>
      </c>
      <c r="F1788" s="8" t="s">
        <v>3523</v>
      </c>
      <c r="G1788" s="8" t="s">
        <v>11857</v>
      </c>
      <c r="H1788" s="8" t="s">
        <v>3479</v>
      </c>
      <c r="I1788" s="9">
        <v>0.0</v>
      </c>
      <c r="J1788" s="9">
        <v>2064.0</v>
      </c>
      <c r="K1788" s="9">
        <v>2064.0</v>
      </c>
      <c r="L1788" s="9">
        <v>2064.0</v>
      </c>
      <c r="M1788" s="9">
        <v>810.0</v>
      </c>
      <c r="N1788" s="9">
        <v>730.0</v>
      </c>
      <c r="O1788" s="9">
        <v>524.0</v>
      </c>
      <c r="P1788" s="8" t="s">
        <v>3480</v>
      </c>
      <c r="Q1788" s="8"/>
      <c r="R1788" s="8"/>
    </row>
    <row r="1789">
      <c r="A1789" s="8" t="s">
        <v>2295</v>
      </c>
      <c r="B1789" s="8" t="s">
        <v>11858</v>
      </c>
      <c r="C1789" s="8" t="s">
        <v>11859</v>
      </c>
      <c r="D1789" s="9">
        <v>9.890540874E9</v>
      </c>
      <c r="E1789" s="8" t="s">
        <v>11860</v>
      </c>
      <c r="F1789" s="8" t="s">
        <v>4333</v>
      </c>
      <c r="G1789" s="8" t="s">
        <v>11861</v>
      </c>
      <c r="H1789" s="8" t="s">
        <v>3479</v>
      </c>
      <c r="I1789" s="9">
        <v>0.0</v>
      </c>
      <c r="J1789" s="9">
        <v>1085.0</v>
      </c>
      <c r="K1789" s="9">
        <v>1085.0</v>
      </c>
      <c r="L1789" s="9">
        <v>1085.0</v>
      </c>
      <c r="M1789" s="9">
        <v>386.0</v>
      </c>
      <c r="N1789" s="9">
        <v>0.0</v>
      </c>
      <c r="O1789" s="9">
        <v>699.0</v>
      </c>
      <c r="P1789" s="8" t="s">
        <v>3480</v>
      </c>
      <c r="Q1789" s="8" t="s">
        <v>11862</v>
      </c>
      <c r="R1789" s="8" t="s">
        <v>11863</v>
      </c>
    </row>
    <row r="1790">
      <c r="A1790" s="8" t="s">
        <v>2296</v>
      </c>
      <c r="B1790" s="8" t="s">
        <v>11864</v>
      </c>
      <c r="C1790" s="8" t="s">
        <v>11865</v>
      </c>
      <c r="D1790" s="9">
        <v>9.5370977E9</v>
      </c>
      <c r="E1790" s="8" t="s">
        <v>11866</v>
      </c>
      <c r="F1790" s="8" t="s">
        <v>4189</v>
      </c>
      <c r="G1790" s="8" t="s">
        <v>11867</v>
      </c>
      <c r="H1790" s="8" t="s">
        <v>3479</v>
      </c>
      <c r="I1790" s="9">
        <v>0.0</v>
      </c>
      <c r="J1790" s="9">
        <v>609.0</v>
      </c>
      <c r="K1790" s="9">
        <v>609.0</v>
      </c>
      <c r="L1790" s="9">
        <v>609.0</v>
      </c>
      <c r="M1790" s="9">
        <v>80.0</v>
      </c>
      <c r="N1790" s="9">
        <v>80.0</v>
      </c>
      <c r="O1790" s="9">
        <v>449.0</v>
      </c>
      <c r="P1790" s="8" t="s">
        <v>3480</v>
      </c>
      <c r="Q1790" s="8" t="s">
        <v>11868</v>
      </c>
      <c r="R1790" s="8" t="s">
        <v>11869</v>
      </c>
    </row>
    <row r="1791">
      <c r="A1791" s="8" t="s">
        <v>2297</v>
      </c>
      <c r="B1791" s="8" t="s">
        <v>11870</v>
      </c>
      <c r="C1791" s="8" t="s">
        <v>11871</v>
      </c>
      <c r="D1791" s="9">
        <v>9.096117608E9</v>
      </c>
      <c r="E1791" s="8" t="s">
        <v>11872</v>
      </c>
      <c r="F1791" s="8" t="s">
        <v>3486</v>
      </c>
      <c r="G1791" s="8" t="s">
        <v>11873</v>
      </c>
      <c r="H1791" s="8" t="s">
        <v>3479</v>
      </c>
      <c r="I1791" s="9">
        <v>0.0</v>
      </c>
      <c r="J1791" s="9">
        <v>984.0</v>
      </c>
      <c r="K1791" s="9">
        <v>984.0</v>
      </c>
      <c r="L1791" s="9">
        <v>984.0</v>
      </c>
      <c r="M1791" s="9">
        <v>80.0</v>
      </c>
      <c r="N1791" s="9">
        <v>455.0</v>
      </c>
      <c r="O1791" s="9">
        <v>449.0</v>
      </c>
      <c r="P1791" s="8" t="s">
        <v>3480</v>
      </c>
      <c r="Q1791" s="8" t="s">
        <v>11874</v>
      </c>
      <c r="R1791" s="8" t="s">
        <v>11875</v>
      </c>
    </row>
    <row r="1792">
      <c r="A1792" s="8" t="s">
        <v>2298</v>
      </c>
      <c r="B1792" s="8" t="s">
        <v>11876</v>
      </c>
      <c r="C1792" s="8" t="s">
        <v>4995</v>
      </c>
      <c r="D1792" s="9">
        <v>9.096270636E9</v>
      </c>
      <c r="E1792" s="8" t="s">
        <v>4996</v>
      </c>
      <c r="F1792" s="8" t="s">
        <v>3908</v>
      </c>
      <c r="G1792" s="8" t="s">
        <v>11877</v>
      </c>
      <c r="H1792" s="8" t="s">
        <v>3479</v>
      </c>
      <c r="I1792" s="9">
        <v>0.0</v>
      </c>
      <c r="J1792" s="9">
        <v>1518.0</v>
      </c>
      <c r="K1792" s="9">
        <v>1518.0</v>
      </c>
      <c r="L1792" s="9">
        <v>1518.0</v>
      </c>
      <c r="M1792" s="9">
        <v>135.0</v>
      </c>
      <c r="N1792" s="9">
        <v>784.0</v>
      </c>
      <c r="O1792" s="9">
        <v>599.0</v>
      </c>
      <c r="P1792" s="8" t="s">
        <v>3519</v>
      </c>
      <c r="Q1792" s="8" t="s">
        <v>4998</v>
      </c>
      <c r="R1792" s="8" t="s">
        <v>4999</v>
      </c>
    </row>
    <row r="1793">
      <c r="A1793" s="8" t="s">
        <v>2299</v>
      </c>
      <c r="B1793" s="8" t="s">
        <v>11878</v>
      </c>
      <c r="C1793" s="8" t="s">
        <v>9286</v>
      </c>
      <c r="D1793" s="9">
        <v>9.867082659E9</v>
      </c>
      <c r="E1793" s="8" t="s">
        <v>9287</v>
      </c>
      <c r="F1793" s="8" t="s">
        <v>3677</v>
      </c>
      <c r="G1793" s="8" t="s">
        <v>11879</v>
      </c>
      <c r="H1793" s="8" t="s">
        <v>3479</v>
      </c>
      <c r="I1793" s="9">
        <v>0.0</v>
      </c>
      <c r="J1793" s="9">
        <v>1800.0</v>
      </c>
      <c r="K1793" s="9">
        <v>1800.0</v>
      </c>
      <c r="L1793" s="9">
        <v>1800.0</v>
      </c>
      <c r="M1793" s="9">
        <v>1550.0</v>
      </c>
      <c r="N1793" s="9">
        <v>0.0</v>
      </c>
      <c r="O1793" s="9">
        <v>250.0</v>
      </c>
      <c r="P1793" s="8" t="s">
        <v>3480</v>
      </c>
      <c r="Q1793" s="8"/>
      <c r="R1793" s="8"/>
    </row>
    <row r="1794">
      <c r="A1794" s="8" t="s">
        <v>2300</v>
      </c>
      <c r="B1794" s="8" t="s">
        <v>11880</v>
      </c>
      <c r="C1794" s="8" t="s">
        <v>8221</v>
      </c>
      <c r="D1794" s="9">
        <v>9.657431142E9</v>
      </c>
      <c r="E1794" s="8" t="s">
        <v>8222</v>
      </c>
      <c r="F1794" s="8" t="s">
        <v>3594</v>
      </c>
      <c r="G1794" s="8" t="s">
        <v>11881</v>
      </c>
      <c r="H1794" s="8" t="s">
        <v>3479</v>
      </c>
      <c r="I1794" s="9">
        <v>0.0</v>
      </c>
      <c r="J1794" s="9">
        <v>1150.0</v>
      </c>
      <c r="K1794" s="9">
        <v>1150.0</v>
      </c>
      <c r="L1794" s="9">
        <v>1150.0</v>
      </c>
      <c r="M1794" s="9">
        <v>1150.0</v>
      </c>
      <c r="N1794" s="9">
        <v>0.0</v>
      </c>
      <c r="O1794" s="9">
        <v>0.0</v>
      </c>
      <c r="P1794" s="8" t="s">
        <v>3480</v>
      </c>
      <c r="Q1794" s="8"/>
      <c r="R1794" s="8"/>
    </row>
    <row r="1795">
      <c r="A1795" s="8" t="s">
        <v>2312</v>
      </c>
      <c r="B1795" s="8" t="s">
        <v>11882</v>
      </c>
      <c r="C1795" s="8" t="s">
        <v>11294</v>
      </c>
      <c r="D1795" s="9">
        <v>8.698552311E9</v>
      </c>
      <c r="E1795" s="8" t="s">
        <v>11295</v>
      </c>
      <c r="F1795" s="8" t="s">
        <v>3608</v>
      </c>
      <c r="G1795" s="8" t="s">
        <v>11883</v>
      </c>
      <c r="H1795" s="8" t="s">
        <v>3479</v>
      </c>
      <c r="I1795" s="9">
        <v>0.0</v>
      </c>
      <c r="J1795" s="9">
        <v>2192.0</v>
      </c>
      <c r="K1795" s="9">
        <v>2192.0</v>
      </c>
      <c r="L1795" s="9">
        <v>2192.0</v>
      </c>
      <c r="M1795" s="9">
        <v>1013.0</v>
      </c>
      <c r="N1795" s="9">
        <v>730.0</v>
      </c>
      <c r="O1795" s="9">
        <v>449.0</v>
      </c>
      <c r="P1795" s="8" t="s">
        <v>3480</v>
      </c>
      <c r="Q1795" s="8"/>
      <c r="R1795" s="8"/>
    </row>
    <row r="1796">
      <c r="A1796" s="8" t="s">
        <v>2364</v>
      </c>
      <c r="B1796" s="8" t="s">
        <v>11884</v>
      </c>
      <c r="C1796" s="8" t="s">
        <v>11885</v>
      </c>
      <c r="D1796" s="9">
        <v>8.269655484E9</v>
      </c>
      <c r="E1796" s="8" t="s">
        <v>11886</v>
      </c>
      <c r="F1796" s="8" t="s">
        <v>3608</v>
      </c>
      <c r="G1796" s="8" t="s">
        <v>11887</v>
      </c>
      <c r="H1796" s="8" t="s">
        <v>3479</v>
      </c>
      <c r="I1796" s="9">
        <v>0.0</v>
      </c>
      <c r="J1796" s="9">
        <v>1509.0</v>
      </c>
      <c r="K1796" s="9">
        <v>1509.0</v>
      </c>
      <c r="L1796" s="9">
        <v>1509.0</v>
      </c>
      <c r="M1796" s="9">
        <v>330.0</v>
      </c>
      <c r="N1796" s="9">
        <v>730.0</v>
      </c>
      <c r="O1796" s="9">
        <v>449.0</v>
      </c>
      <c r="P1796" s="8" t="s">
        <v>4183</v>
      </c>
      <c r="Q1796" s="8" t="s">
        <v>11888</v>
      </c>
      <c r="R1796" s="8" t="s">
        <v>11889</v>
      </c>
    </row>
    <row r="1797">
      <c r="A1797" s="8" t="s">
        <v>2353</v>
      </c>
      <c r="B1797" s="8" t="s">
        <v>11890</v>
      </c>
      <c r="C1797" s="8" t="s">
        <v>11891</v>
      </c>
      <c r="D1797" s="9">
        <v>9.890055658E9</v>
      </c>
      <c r="E1797" s="8" t="s">
        <v>11892</v>
      </c>
      <c r="F1797" s="8" t="s">
        <v>3692</v>
      </c>
      <c r="G1797" s="8" t="s">
        <v>11893</v>
      </c>
      <c r="H1797" s="8" t="s">
        <v>3479</v>
      </c>
      <c r="I1797" s="9">
        <v>0.0</v>
      </c>
      <c r="J1797" s="9">
        <v>2229.0</v>
      </c>
      <c r="K1797" s="9">
        <v>2229.0</v>
      </c>
      <c r="L1797" s="9">
        <v>2229.0</v>
      </c>
      <c r="M1797" s="9">
        <v>490.0</v>
      </c>
      <c r="N1797" s="9">
        <v>1140.0</v>
      </c>
      <c r="O1797" s="9">
        <v>599.0</v>
      </c>
      <c r="P1797" s="8" t="s">
        <v>6396</v>
      </c>
      <c r="Q1797" s="8" t="s">
        <v>11894</v>
      </c>
      <c r="R1797" s="8" t="s">
        <v>11895</v>
      </c>
    </row>
    <row r="1798">
      <c r="A1798" s="8" t="s">
        <v>2313</v>
      </c>
      <c r="B1798" s="8" t="s">
        <v>11896</v>
      </c>
      <c r="C1798" s="8" t="s">
        <v>11897</v>
      </c>
      <c r="D1798" s="9">
        <v>8.421403541E9</v>
      </c>
      <c r="E1798" s="8" t="s">
        <v>11898</v>
      </c>
      <c r="F1798" s="8" t="s">
        <v>3550</v>
      </c>
      <c r="G1798" s="8" t="s">
        <v>11899</v>
      </c>
      <c r="H1798" s="8" t="s">
        <v>3479</v>
      </c>
      <c r="I1798" s="9">
        <v>0.0</v>
      </c>
      <c r="J1798" s="9">
        <v>6057.0</v>
      </c>
      <c r="K1798" s="9">
        <v>6057.0</v>
      </c>
      <c r="L1798" s="9">
        <v>6057.0</v>
      </c>
      <c r="M1798" s="9">
        <v>2357.0</v>
      </c>
      <c r="N1798" s="9">
        <v>0.0</v>
      </c>
      <c r="O1798" s="9">
        <v>3700.0</v>
      </c>
      <c r="P1798" s="8" t="s">
        <v>4183</v>
      </c>
      <c r="Q1798" s="8"/>
      <c r="R1798" s="8"/>
    </row>
    <row r="1799">
      <c r="A1799" s="8" t="s">
        <v>1208</v>
      </c>
      <c r="B1799" s="8" t="s">
        <v>11900</v>
      </c>
      <c r="C1799" s="8" t="s">
        <v>11901</v>
      </c>
      <c r="D1799" s="9">
        <v>7.769915926E9</v>
      </c>
      <c r="E1799" s="8" t="s">
        <v>11902</v>
      </c>
      <c r="F1799" s="8" t="s">
        <v>8851</v>
      </c>
      <c r="G1799" s="8" t="s">
        <v>11903</v>
      </c>
      <c r="H1799" s="8" t="s">
        <v>3479</v>
      </c>
      <c r="I1799" s="9">
        <v>0.0</v>
      </c>
      <c r="J1799" s="9">
        <v>7243.0</v>
      </c>
      <c r="K1799" s="9">
        <v>7243.0</v>
      </c>
      <c r="L1799" s="9">
        <v>7243.0</v>
      </c>
      <c r="M1799" s="9">
        <v>4277.0</v>
      </c>
      <c r="N1799" s="9">
        <v>1492.0</v>
      </c>
      <c r="O1799" s="9">
        <v>1474.0</v>
      </c>
      <c r="P1799" s="8" t="s">
        <v>3480</v>
      </c>
      <c r="Q1799" s="8" t="s">
        <v>11904</v>
      </c>
      <c r="R1799" s="8" t="s">
        <v>11905</v>
      </c>
    </row>
    <row r="1800">
      <c r="A1800" s="8" t="s">
        <v>2355</v>
      </c>
      <c r="B1800" s="8" t="s">
        <v>11906</v>
      </c>
      <c r="C1800" s="8" t="s">
        <v>7429</v>
      </c>
      <c r="D1800" s="9">
        <v>9.039823932E9</v>
      </c>
      <c r="E1800" s="8" t="s">
        <v>11907</v>
      </c>
      <c r="F1800" s="8" t="s">
        <v>10815</v>
      </c>
      <c r="G1800" s="8" t="s">
        <v>11908</v>
      </c>
      <c r="H1800" s="8" t="s">
        <v>3479</v>
      </c>
      <c r="I1800" s="9">
        <v>0.0</v>
      </c>
      <c r="J1800" s="9">
        <v>1401.0</v>
      </c>
      <c r="K1800" s="9">
        <v>1401.0</v>
      </c>
      <c r="L1800" s="9">
        <v>1401.0</v>
      </c>
      <c r="M1800" s="9">
        <v>172.0</v>
      </c>
      <c r="N1800" s="9">
        <v>780.0</v>
      </c>
      <c r="O1800" s="9">
        <v>449.0</v>
      </c>
      <c r="P1800" s="8" t="s">
        <v>4183</v>
      </c>
      <c r="Q1800" s="8" t="s">
        <v>11909</v>
      </c>
      <c r="R1800" s="8" t="s">
        <v>11910</v>
      </c>
    </row>
    <row r="1801">
      <c r="A1801" s="8" t="s">
        <v>2354</v>
      </c>
      <c r="B1801" s="8" t="s">
        <v>11911</v>
      </c>
      <c r="C1801" s="8" t="s">
        <v>3507</v>
      </c>
      <c r="D1801" s="9">
        <v>8.788386194E9</v>
      </c>
      <c r="E1801" s="8" t="s">
        <v>3508</v>
      </c>
      <c r="F1801" s="8" t="s">
        <v>3509</v>
      </c>
      <c r="G1801" s="8" t="s">
        <v>11912</v>
      </c>
      <c r="H1801" s="8" t="s">
        <v>3479</v>
      </c>
      <c r="I1801" s="9">
        <v>0.0</v>
      </c>
      <c r="J1801" s="9">
        <v>1179.0</v>
      </c>
      <c r="K1801" s="9">
        <v>1179.0</v>
      </c>
      <c r="L1801" s="9">
        <v>1179.0</v>
      </c>
      <c r="M1801" s="9">
        <v>0.0</v>
      </c>
      <c r="N1801" s="9">
        <v>730.0</v>
      </c>
      <c r="O1801" s="9">
        <v>449.0</v>
      </c>
      <c r="P1801" s="8" t="s">
        <v>4183</v>
      </c>
      <c r="Q1801" s="8" t="s">
        <v>3512</v>
      </c>
      <c r="R1801" s="8" t="s">
        <v>3513</v>
      </c>
    </row>
    <row r="1802">
      <c r="A1802" s="8" t="s">
        <v>2314</v>
      </c>
      <c r="B1802" s="8" t="s">
        <v>11913</v>
      </c>
      <c r="C1802" s="8" t="s">
        <v>11262</v>
      </c>
      <c r="D1802" s="9">
        <v>9.370296626E9</v>
      </c>
      <c r="E1802" s="8" t="s">
        <v>11263</v>
      </c>
      <c r="F1802" s="8" t="s">
        <v>3608</v>
      </c>
      <c r="G1802" s="8" t="s">
        <v>11264</v>
      </c>
      <c r="H1802" s="8" t="s">
        <v>11914</v>
      </c>
      <c r="I1802" s="9">
        <v>400.0</v>
      </c>
      <c r="J1802" s="9">
        <v>4500.0</v>
      </c>
      <c r="K1802" s="9">
        <v>6114.0</v>
      </c>
      <c r="L1802" s="9">
        <v>5900.0</v>
      </c>
      <c r="M1802" s="9">
        <v>774.0</v>
      </c>
      <c r="N1802" s="9">
        <v>540.0</v>
      </c>
      <c r="O1802" s="9">
        <v>4800.0</v>
      </c>
      <c r="P1802" s="8" t="s">
        <v>3519</v>
      </c>
      <c r="Q1802" s="8"/>
      <c r="R1802" s="8"/>
    </row>
    <row r="1803">
      <c r="A1803" s="8" t="s">
        <v>2315</v>
      </c>
      <c r="B1803" s="8" t="s">
        <v>11915</v>
      </c>
      <c r="C1803" s="8" t="s">
        <v>11916</v>
      </c>
      <c r="D1803" s="9">
        <v>9.09692281E9</v>
      </c>
      <c r="E1803" s="8" t="s">
        <v>11917</v>
      </c>
      <c r="F1803" s="8" t="s">
        <v>4391</v>
      </c>
      <c r="G1803" s="8" t="s">
        <v>11918</v>
      </c>
      <c r="H1803" s="8" t="s">
        <v>3479</v>
      </c>
      <c r="I1803" s="9">
        <v>0.0</v>
      </c>
      <c r="J1803" s="9">
        <v>1342.0</v>
      </c>
      <c r="K1803" s="9">
        <v>1342.0</v>
      </c>
      <c r="L1803" s="9">
        <v>1342.0</v>
      </c>
      <c r="M1803" s="9">
        <v>992.0</v>
      </c>
      <c r="N1803" s="9">
        <v>0.0</v>
      </c>
      <c r="O1803" s="9">
        <v>350.0</v>
      </c>
      <c r="P1803" s="8" t="s">
        <v>3480</v>
      </c>
      <c r="Q1803" s="8"/>
      <c r="R1803" s="8"/>
    </row>
    <row r="1804">
      <c r="A1804" s="8" t="s">
        <v>1806</v>
      </c>
      <c r="B1804" s="8" t="s">
        <v>11919</v>
      </c>
      <c r="C1804" s="8" t="s">
        <v>11920</v>
      </c>
      <c r="D1804" s="9">
        <v>9.833366656E9</v>
      </c>
      <c r="E1804" s="8" t="s">
        <v>11921</v>
      </c>
      <c r="F1804" s="8" t="s">
        <v>3594</v>
      </c>
      <c r="G1804" s="8" t="s">
        <v>11922</v>
      </c>
      <c r="H1804" s="8" t="s">
        <v>3479</v>
      </c>
      <c r="I1804" s="9">
        <v>0.0</v>
      </c>
      <c r="J1804" s="9">
        <v>0.0</v>
      </c>
      <c r="K1804" s="9">
        <v>1755.0</v>
      </c>
      <c r="L1804" s="9">
        <v>1755.0</v>
      </c>
      <c r="M1804" s="9">
        <v>496.0</v>
      </c>
      <c r="N1804" s="9">
        <v>730.0</v>
      </c>
      <c r="O1804" s="9">
        <v>529.0</v>
      </c>
      <c r="P1804" s="8" t="s">
        <v>3480</v>
      </c>
      <c r="Q1804" s="8" t="s">
        <v>11923</v>
      </c>
      <c r="R1804" s="8" t="s">
        <v>11924</v>
      </c>
    </row>
    <row r="1805">
      <c r="A1805" s="8" t="s">
        <v>2316</v>
      </c>
      <c r="B1805" s="8" t="s">
        <v>11925</v>
      </c>
      <c r="C1805" s="8" t="s">
        <v>4434</v>
      </c>
      <c r="D1805" s="9">
        <v>9.665390129E9</v>
      </c>
      <c r="E1805" s="8" t="s">
        <v>4435</v>
      </c>
      <c r="F1805" s="8" t="s">
        <v>4436</v>
      </c>
      <c r="G1805" s="8" t="s">
        <v>4211</v>
      </c>
      <c r="H1805" s="8" t="s">
        <v>3479</v>
      </c>
      <c r="I1805" s="9">
        <v>0.0</v>
      </c>
      <c r="J1805" s="9">
        <v>1125.0</v>
      </c>
      <c r="K1805" s="9">
        <v>1125.0</v>
      </c>
      <c r="L1805" s="9">
        <v>1125.0</v>
      </c>
      <c r="M1805" s="9">
        <v>186.0</v>
      </c>
      <c r="N1805" s="9">
        <v>190.0</v>
      </c>
      <c r="O1805" s="9">
        <v>749.0</v>
      </c>
      <c r="P1805" s="8" t="s">
        <v>3480</v>
      </c>
      <c r="Q1805" s="8" t="s">
        <v>4439</v>
      </c>
      <c r="R1805" s="8" t="s">
        <v>4440</v>
      </c>
    </row>
    <row r="1806">
      <c r="A1806" s="8" t="s">
        <v>2292</v>
      </c>
      <c r="B1806" s="8" t="s">
        <v>11926</v>
      </c>
      <c r="C1806" s="8" t="s">
        <v>11927</v>
      </c>
      <c r="D1806" s="9">
        <v>8.888015148E9</v>
      </c>
      <c r="E1806" s="8" t="s">
        <v>11928</v>
      </c>
      <c r="F1806" s="8" t="s">
        <v>3796</v>
      </c>
      <c r="G1806" s="8" t="s">
        <v>11929</v>
      </c>
      <c r="H1806" s="8" t="s">
        <v>3479</v>
      </c>
      <c r="I1806" s="9">
        <v>0.0</v>
      </c>
      <c r="J1806" s="9">
        <v>1810.0</v>
      </c>
      <c r="K1806" s="9">
        <v>1810.0</v>
      </c>
      <c r="L1806" s="9">
        <v>1810.0</v>
      </c>
      <c r="M1806" s="9">
        <v>327.0</v>
      </c>
      <c r="N1806" s="9">
        <v>784.0</v>
      </c>
      <c r="O1806" s="9">
        <v>699.0</v>
      </c>
      <c r="P1806" s="8" t="s">
        <v>3480</v>
      </c>
      <c r="Q1806" s="8" t="s">
        <v>11930</v>
      </c>
      <c r="R1806" s="8" t="s">
        <v>11931</v>
      </c>
    </row>
    <row r="1807">
      <c r="A1807" s="8" t="s">
        <v>2357</v>
      </c>
      <c r="B1807" s="8" t="s">
        <v>11932</v>
      </c>
      <c r="C1807" s="8" t="s">
        <v>11933</v>
      </c>
      <c r="D1807" s="9">
        <v>8.087089347E9</v>
      </c>
      <c r="E1807" s="8" t="s">
        <v>11934</v>
      </c>
      <c r="F1807" s="8" t="s">
        <v>3608</v>
      </c>
      <c r="G1807" s="8" t="s">
        <v>11935</v>
      </c>
      <c r="H1807" s="8" t="s">
        <v>3479</v>
      </c>
      <c r="I1807" s="9">
        <v>0.0</v>
      </c>
      <c r="J1807" s="9">
        <v>1259.0</v>
      </c>
      <c r="K1807" s="9">
        <v>1259.0</v>
      </c>
      <c r="L1807" s="9">
        <v>1259.0</v>
      </c>
      <c r="M1807" s="9">
        <v>80.0</v>
      </c>
      <c r="N1807" s="9">
        <v>730.0</v>
      </c>
      <c r="O1807" s="9">
        <v>449.0</v>
      </c>
      <c r="P1807" s="8" t="s">
        <v>4183</v>
      </c>
      <c r="Q1807" s="8" t="s">
        <v>11936</v>
      </c>
      <c r="R1807" s="8" t="s">
        <v>11937</v>
      </c>
    </row>
    <row r="1808">
      <c r="A1808" s="8" t="s">
        <v>2356</v>
      </c>
      <c r="B1808" s="8" t="s">
        <v>11938</v>
      </c>
      <c r="C1808" s="8" t="s">
        <v>11939</v>
      </c>
      <c r="D1808" s="9">
        <v>9.325975717E9</v>
      </c>
      <c r="E1808" s="8" t="s">
        <v>11940</v>
      </c>
      <c r="F1808" s="8" t="s">
        <v>3821</v>
      </c>
      <c r="G1808" s="8" t="s">
        <v>11941</v>
      </c>
      <c r="H1808" s="8" t="s">
        <v>3479</v>
      </c>
      <c r="I1808" s="9">
        <v>0.0</v>
      </c>
      <c r="J1808" s="9">
        <v>1720.0</v>
      </c>
      <c r="K1808" s="9">
        <v>1720.0</v>
      </c>
      <c r="L1808" s="9">
        <v>1720.0</v>
      </c>
      <c r="M1808" s="9">
        <v>466.0</v>
      </c>
      <c r="N1808" s="9">
        <v>730.0</v>
      </c>
      <c r="O1808" s="9">
        <v>524.0</v>
      </c>
      <c r="P1808" s="8" t="s">
        <v>4183</v>
      </c>
      <c r="Q1808" s="8" t="s">
        <v>11942</v>
      </c>
      <c r="R1808" s="8" t="s">
        <v>11943</v>
      </c>
    </row>
    <row r="1809">
      <c r="A1809" s="8" t="s">
        <v>1209</v>
      </c>
      <c r="B1809" s="8" t="s">
        <v>11944</v>
      </c>
      <c r="C1809" s="8" t="s">
        <v>9194</v>
      </c>
      <c r="D1809" s="9">
        <v>9.284298453E9</v>
      </c>
      <c r="E1809" s="8" t="s">
        <v>9195</v>
      </c>
      <c r="F1809" s="8" t="s">
        <v>4558</v>
      </c>
      <c r="G1809" s="8" t="s">
        <v>8812</v>
      </c>
      <c r="H1809" s="8" t="s">
        <v>3479</v>
      </c>
      <c r="I1809" s="9">
        <v>0.0</v>
      </c>
      <c r="J1809" s="9">
        <v>1859.0</v>
      </c>
      <c r="K1809" s="9">
        <v>1859.0</v>
      </c>
      <c r="L1809" s="9">
        <v>1859.0</v>
      </c>
      <c r="M1809" s="9">
        <v>630.0</v>
      </c>
      <c r="N1809" s="9">
        <v>780.0</v>
      </c>
      <c r="O1809" s="9">
        <v>449.0</v>
      </c>
      <c r="P1809" s="8" t="s">
        <v>3480</v>
      </c>
      <c r="Q1809" s="8" t="s">
        <v>9197</v>
      </c>
      <c r="R1809" s="8" t="s">
        <v>9198</v>
      </c>
    </row>
    <row r="1810">
      <c r="A1810" s="8" t="s">
        <v>2358</v>
      </c>
      <c r="B1810" s="8" t="s">
        <v>11945</v>
      </c>
      <c r="C1810" s="8" t="s">
        <v>7444</v>
      </c>
      <c r="D1810" s="9">
        <v>9.028884749E9</v>
      </c>
      <c r="E1810" s="8" t="s">
        <v>7445</v>
      </c>
      <c r="F1810" s="8" t="s">
        <v>3809</v>
      </c>
      <c r="G1810" s="8" t="s">
        <v>7446</v>
      </c>
      <c r="H1810" s="8" t="s">
        <v>11025</v>
      </c>
      <c r="I1810" s="9">
        <v>0.0</v>
      </c>
      <c r="J1810" s="9">
        <v>1000.0</v>
      </c>
      <c r="K1810" s="9">
        <v>1019.0</v>
      </c>
      <c r="L1810" s="9">
        <v>1000.0</v>
      </c>
      <c r="M1810" s="9">
        <v>80.0</v>
      </c>
      <c r="N1810" s="9">
        <v>190.0</v>
      </c>
      <c r="O1810" s="9">
        <v>749.0</v>
      </c>
      <c r="P1810" s="8" t="s">
        <v>4183</v>
      </c>
      <c r="Q1810" s="8" t="s">
        <v>7448</v>
      </c>
      <c r="R1810" s="8" t="s">
        <v>7449</v>
      </c>
    </row>
    <row r="1811">
      <c r="A1811" s="8" t="s">
        <v>2382</v>
      </c>
      <c r="B1811" s="8" t="s">
        <v>11946</v>
      </c>
      <c r="C1811" s="8" t="s">
        <v>6327</v>
      </c>
      <c r="D1811" s="9">
        <v>9.545322788E9</v>
      </c>
      <c r="E1811" s="8" t="s">
        <v>6328</v>
      </c>
      <c r="F1811" s="8" t="s">
        <v>3589</v>
      </c>
      <c r="G1811" s="8" t="s">
        <v>11947</v>
      </c>
      <c r="H1811" s="8" t="s">
        <v>3479</v>
      </c>
      <c r="I1811" s="9">
        <v>0.0</v>
      </c>
      <c r="J1811" s="9">
        <v>1891.0</v>
      </c>
      <c r="K1811" s="9">
        <v>1891.0</v>
      </c>
      <c r="L1811" s="9">
        <v>1891.0</v>
      </c>
      <c r="M1811" s="9">
        <v>628.0</v>
      </c>
      <c r="N1811" s="9">
        <v>739.0</v>
      </c>
      <c r="O1811" s="9">
        <v>524.0</v>
      </c>
      <c r="P1811" s="8" t="s">
        <v>3544</v>
      </c>
      <c r="Q1811" s="8" t="s">
        <v>6330</v>
      </c>
      <c r="R1811" s="8" t="s">
        <v>6331</v>
      </c>
    </row>
    <row r="1812">
      <c r="A1812" s="8" t="s">
        <v>2359</v>
      </c>
      <c r="B1812" s="8" t="s">
        <v>11948</v>
      </c>
      <c r="C1812" s="8" t="s">
        <v>11949</v>
      </c>
      <c r="D1812" s="9">
        <v>9.545629646E9</v>
      </c>
      <c r="E1812" s="8" t="s">
        <v>11950</v>
      </c>
      <c r="F1812" s="8" t="s">
        <v>3901</v>
      </c>
      <c r="G1812" s="8" t="s">
        <v>11951</v>
      </c>
      <c r="H1812" s="8" t="s">
        <v>3479</v>
      </c>
      <c r="I1812" s="9">
        <v>0.0</v>
      </c>
      <c r="J1812" s="9">
        <v>3658.0</v>
      </c>
      <c r="K1812" s="9">
        <v>3658.0</v>
      </c>
      <c r="L1812" s="9">
        <v>3658.0</v>
      </c>
      <c r="M1812" s="9">
        <v>2285.0</v>
      </c>
      <c r="N1812" s="9">
        <v>774.0</v>
      </c>
      <c r="O1812" s="9">
        <v>599.0</v>
      </c>
      <c r="P1812" s="8" t="s">
        <v>4183</v>
      </c>
      <c r="Q1812" s="8" t="s">
        <v>11952</v>
      </c>
      <c r="R1812" s="8" t="s">
        <v>11953</v>
      </c>
    </row>
    <row r="1813">
      <c r="A1813" s="8" t="s">
        <v>2365</v>
      </c>
      <c r="B1813" s="8" t="s">
        <v>11954</v>
      </c>
      <c r="C1813" s="8" t="s">
        <v>5040</v>
      </c>
      <c r="D1813" s="9">
        <v>8.412892212E9</v>
      </c>
      <c r="E1813" s="8" t="s">
        <v>5041</v>
      </c>
      <c r="F1813" s="8" t="s">
        <v>3550</v>
      </c>
      <c r="G1813" s="8" t="s">
        <v>11955</v>
      </c>
      <c r="H1813" s="8" t="s">
        <v>3479</v>
      </c>
      <c r="I1813" s="9">
        <v>0.0</v>
      </c>
      <c r="J1813" s="9">
        <v>1702.0</v>
      </c>
      <c r="K1813" s="9">
        <v>1702.0</v>
      </c>
      <c r="L1813" s="9">
        <v>1702.0</v>
      </c>
      <c r="M1813" s="9">
        <v>608.0</v>
      </c>
      <c r="N1813" s="9">
        <v>645.0</v>
      </c>
      <c r="O1813" s="9">
        <v>449.0</v>
      </c>
      <c r="P1813" s="8" t="s">
        <v>4183</v>
      </c>
      <c r="Q1813" s="8" t="s">
        <v>5043</v>
      </c>
      <c r="R1813" s="8" t="s">
        <v>5044</v>
      </c>
    </row>
    <row r="1814">
      <c r="A1814" s="8" t="s">
        <v>2360</v>
      </c>
      <c r="B1814" s="8" t="s">
        <v>11956</v>
      </c>
      <c r="C1814" s="8" t="s">
        <v>11957</v>
      </c>
      <c r="D1814" s="9">
        <v>9.503330709E9</v>
      </c>
      <c r="E1814" s="8" t="s">
        <v>11958</v>
      </c>
      <c r="F1814" s="8" t="s">
        <v>3523</v>
      </c>
      <c r="G1814" s="8" t="s">
        <v>11959</v>
      </c>
      <c r="H1814" s="8" t="s">
        <v>3479</v>
      </c>
      <c r="I1814" s="9">
        <v>0.0</v>
      </c>
      <c r="J1814" s="9">
        <v>5774.0</v>
      </c>
      <c r="K1814" s="9">
        <v>5774.0</v>
      </c>
      <c r="L1814" s="9">
        <v>5774.0</v>
      </c>
      <c r="M1814" s="9">
        <v>5325.0</v>
      </c>
      <c r="N1814" s="9">
        <v>0.0</v>
      </c>
      <c r="O1814" s="9">
        <v>449.0</v>
      </c>
      <c r="P1814" s="8" t="s">
        <v>4183</v>
      </c>
      <c r="Q1814" s="8" t="s">
        <v>4381</v>
      </c>
      <c r="R1814" s="8" t="s">
        <v>11960</v>
      </c>
    </row>
    <row r="1815">
      <c r="A1815" s="8" t="s">
        <v>2328</v>
      </c>
      <c r="B1815" s="8" t="s">
        <v>11961</v>
      </c>
      <c r="C1815" s="8" t="s">
        <v>11962</v>
      </c>
      <c r="D1815" s="9">
        <v>8.087522879E9</v>
      </c>
      <c r="E1815" s="8" t="s">
        <v>11963</v>
      </c>
      <c r="F1815" s="8" t="s">
        <v>4189</v>
      </c>
      <c r="G1815" s="8" t="s">
        <v>11964</v>
      </c>
      <c r="H1815" s="8" t="s">
        <v>3479</v>
      </c>
      <c r="I1815" s="9">
        <v>0.0</v>
      </c>
      <c r="J1815" s="9">
        <v>4370.0</v>
      </c>
      <c r="K1815" s="9">
        <v>4370.0</v>
      </c>
      <c r="L1815" s="9">
        <v>4370.0</v>
      </c>
      <c r="M1815" s="9">
        <v>2066.0</v>
      </c>
      <c r="N1815" s="9">
        <v>730.0</v>
      </c>
      <c r="O1815" s="9">
        <v>1574.0</v>
      </c>
      <c r="P1815" s="8" t="s">
        <v>3480</v>
      </c>
      <c r="Q1815" s="8" t="s">
        <v>11965</v>
      </c>
      <c r="R1815" s="8" t="s">
        <v>11966</v>
      </c>
    </row>
    <row r="1816">
      <c r="A1816" s="8" t="s">
        <v>2361</v>
      </c>
      <c r="B1816" s="8" t="s">
        <v>11967</v>
      </c>
      <c r="C1816" s="8" t="s">
        <v>5583</v>
      </c>
      <c r="D1816" s="9">
        <v>9.890064441E9</v>
      </c>
      <c r="E1816" s="8" t="s">
        <v>7072</v>
      </c>
      <c r="F1816" s="8" t="s">
        <v>3768</v>
      </c>
      <c r="G1816" s="8" t="s">
        <v>11968</v>
      </c>
      <c r="H1816" s="8" t="s">
        <v>3479</v>
      </c>
      <c r="I1816" s="9">
        <v>0.0</v>
      </c>
      <c r="J1816" s="9">
        <v>1403.0</v>
      </c>
      <c r="K1816" s="9">
        <v>1403.0</v>
      </c>
      <c r="L1816" s="9">
        <v>1403.0</v>
      </c>
      <c r="M1816" s="9">
        <v>370.0</v>
      </c>
      <c r="N1816" s="9">
        <v>584.0</v>
      </c>
      <c r="O1816" s="9">
        <v>449.0</v>
      </c>
      <c r="P1816" s="8" t="s">
        <v>4183</v>
      </c>
      <c r="Q1816" s="8" t="s">
        <v>7074</v>
      </c>
      <c r="R1816" s="8" t="s">
        <v>7075</v>
      </c>
    </row>
    <row r="1817">
      <c r="A1817" s="8" t="s">
        <v>2366</v>
      </c>
      <c r="B1817" s="8" t="s">
        <v>11969</v>
      </c>
      <c r="C1817" s="8" t="s">
        <v>11970</v>
      </c>
      <c r="D1817" s="9">
        <v>8.793533111E9</v>
      </c>
      <c r="E1817" s="8" t="s">
        <v>11971</v>
      </c>
      <c r="F1817" s="8" t="s">
        <v>3601</v>
      </c>
      <c r="G1817" s="8" t="s">
        <v>11972</v>
      </c>
      <c r="H1817" s="8" t="s">
        <v>3479</v>
      </c>
      <c r="I1817" s="9">
        <v>0.0</v>
      </c>
      <c r="J1817" s="9">
        <v>3750.0</v>
      </c>
      <c r="K1817" s="9">
        <v>3750.0</v>
      </c>
      <c r="L1817" s="9">
        <v>3750.0</v>
      </c>
      <c r="M1817" s="9">
        <v>2266.0</v>
      </c>
      <c r="N1817" s="9">
        <v>780.0</v>
      </c>
      <c r="O1817" s="9">
        <v>704.0</v>
      </c>
      <c r="P1817" s="8" t="s">
        <v>4183</v>
      </c>
      <c r="Q1817" s="8"/>
      <c r="R1817" s="8"/>
    </row>
    <row r="1818">
      <c r="A1818" s="8" t="s">
        <v>2389</v>
      </c>
      <c r="B1818" s="8" t="s">
        <v>11973</v>
      </c>
      <c r="C1818" s="8" t="s">
        <v>9548</v>
      </c>
      <c r="D1818" s="9">
        <v>9.730014643E9</v>
      </c>
      <c r="E1818" s="8" t="s">
        <v>9549</v>
      </c>
      <c r="F1818" s="8" t="s">
        <v>3523</v>
      </c>
      <c r="G1818" s="8" t="s">
        <v>11974</v>
      </c>
      <c r="H1818" s="8" t="s">
        <v>3479</v>
      </c>
      <c r="I1818" s="9">
        <v>0.0</v>
      </c>
      <c r="J1818" s="9">
        <v>2330.0</v>
      </c>
      <c r="K1818" s="9">
        <v>2330.0</v>
      </c>
      <c r="L1818" s="9">
        <v>2330.0</v>
      </c>
      <c r="M1818" s="9">
        <v>1726.0</v>
      </c>
      <c r="N1818" s="9">
        <v>80.0</v>
      </c>
      <c r="O1818" s="9">
        <v>524.0</v>
      </c>
      <c r="P1818" s="8" t="s">
        <v>3480</v>
      </c>
      <c r="Q1818" s="8" t="s">
        <v>9551</v>
      </c>
      <c r="R1818" s="8" t="s">
        <v>9552</v>
      </c>
    </row>
    <row r="1819">
      <c r="A1819" s="8" t="s">
        <v>2390</v>
      </c>
      <c r="B1819" s="8" t="s">
        <v>11975</v>
      </c>
      <c r="C1819" s="8" t="s">
        <v>3826</v>
      </c>
      <c r="D1819" s="9">
        <v>9.960409602E9</v>
      </c>
      <c r="E1819" s="8" t="s">
        <v>3827</v>
      </c>
      <c r="F1819" s="8" t="s">
        <v>3828</v>
      </c>
      <c r="G1819" s="8" t="s">
        <v>3829</v>
      </c>
      <c r="H1819" s="8" t="s">
        <v>3479</v>
      </c>
      <c r="I1819" s="9">
        <v>0.0</v>
      </c>
      <c r="J1819" s="9">
        <v>1573.0</v>
      </c>
      <c r="K1819" s="9">
        <v>1573.0</v>
      </c>
      <c r="L1819" s="9">
        <v>1573.0</v>
      </c>
      <c r="M1819" s="9">
        <v>350.0</v>
      </c>
      <c r="N1819" s="9">
        <v>774.0</v>
      </c>
      <c r="O1819" s="9">
        <v>449.0</v>
      </c>
      <c r="P1819" s="8" t="s">
        <v>3480</v>
      </c>
      <c r="Q1819" s="8" t="s">
        <v>3830</v>
      </c>
      <c r="R1819" s="8"/>
    </row>
    <row r="1820">
      <c r="A1820" s="8" t="s">
        <v>2362</v>
      </c>
      <c r="B1820" s="8" t="s">
        <v>11976</v>
      </c>
      <c r="C1820" s="8" t="s">
        <v>11977</v>
      </c>
      <c r="D1820" s="9">
        <v>9.88144312E9</v>
      </c>
      <c r="E1820" s="8" t="s">
        <v>11978</v>
      </c>
      <c r="F1820" s="8" t="s">
        <v>3615</v>
      </c>
      <c r="G1820" s="8" t="s">
        <v>11979</v>
      </c>
      <c r="H1820" s="8" t="s">
        <v>3479</v>
      </c>
      <c r="I1820" s="9">
        <v>0.0</v>
      </c>
      <c r="J1820" s="9">
        <v>4192.0</v>
      </c>
      <c r="K1820" s="9">
        <v>4192.0</v>
      </c>
      <c r="L1820" s="9">
        <v>4192.0</v>
      </c>
      <c r="M1820" s="9">
        <v>2844.0</v>
      </c>
      <c r="N1820" s="9">
        <v>774.0</v>
      </c>
      <c r="O1820" s="9">
        <v>574.0</v>
      </c>
      <c r="P1820" s="8" t="s">
        <v>4183</v>
      </c>
      <c r="Q1820" s="8" t="s">
        <v>11980</v>
      </c>
      <c r="R1820" s="8" t="s">
        <v>11981</v>
      </c>
    </row>
    <row r="1821">
      <c r="A1821" s="8" t="s">
        <v>2391</v>
      </c>
      <c r="B1821" s="8" t="s">
        <v>11982</v>
      </c>
      <c r="C1821" s="8" t="s">
        <v>11983</v>
      </c>
      <c r="D1821" s="9">
        <v>9.923596963E9</v>
      </c>
      <c r="E1821" s="8" t="s">
        <v>11984</v>
      </c>
      <c r="F1821" s="8" t="s">
        <v>3608</v>
      </c>
      <c r="G1821" s="8" t="s">
        <v>11985</v>
      </c>
      <c r="H1821" s="8" t="s">
        <v>3479</v>
      </c>
      <c r="I1821" s="9">
        <v>0.0</v>
      </c>
      <c r="J1821" s="9">
        <v>2467.0</v>
      </c>
      <c r="K1821" s="9">
        <v>2467.0</v>
      </c>
      <c r="L1821" s="9">
        <v>2467.0</v>
      </c>
      <c r="M1821" s="9">
        <v>1288.0</v>
      </c>
      <c r="N1821" s="9">
        <v>730.0</v>
      </c>
      <c r="O1821" s="9">
        <v>449.0</v>
      </c>
      <c r="P1821" s="8" t="s">
        <v>3480</v>
      </c>
      <c r="Q1821" s="8" t="s">
        <v>11986</v>
      </c>
      <c r="R1821" s="8"/>
    </row>
    <row r="1822">
      <c r="A1822" s="8" t="s">
        <v>2363</v>
      </c>
      <c r="B1822" s="8" t="s">
        <v>11987</v>
      </c>
      <c r="C1822" s="8" t="s">
        <v>11988</v>
      </c>
      <c r="D1822" s="9">
        <v>8.275075777E9</v>
      </c>
      <c r="E1822" s="8" t="s">
        <v>11989</v>
      </c>
      <c r="F1822" s="8" t="s">
        <v>3697</v>
      </c>
      <c r="G1822" s="8" t="s">
        <v>11990</v>
      </c>
      <c r="H1822" s="8" t="s">
        <v>11991</v>
      </c>
      <c r="I1822" s="9">
        <v>0.0</v>
      </c>
      <c r="J1822" s="9">
        <v>1800.0</v>
      </c>
      <c r="K1822" s="9">
        <v>1808.0</v>
      </c>
      <c r="L1822" s="9">
        <v>1800.0</v>
      </c>
      <c r="M1822" s="9">
        <v>1279.0</v>
      </c>
      <c r="N1822" s="9">
        <v>80.0</v>
      </c>
      <c r="O1822" s="9">
        <v>449.0</v>
      </c>
      <c r="P1822" s="8" t="s">
        <v>4183</v>
      </c>
      <c r="Q1822" s="8" t="s">
        <v>11992</v>
      </c>
      <c r="R1822" s="8" t="s">
        <v>11993</v>
      </c>
    </row>
    <row r="1823">
      <c r="A1823" s="8" t="s">
        <v>1210</v>
      </c>
      <c r="B1823" s="8" t="s">
        <v>11994</v>
      </c>
      <c r="C1823" s="8" t="s">
        <v>11632</v>
      </c>
      <c r="D1823" s="9">
        <v>9.011225678E9</v>
      </c>
      <c r="E1823" s="8" t="s">
        <v>11995</v>
      </c>
      <c r="F1823" s="8" t="s">
        <v>3550</v>
      </c>
      <c r="G1823" s="8" t="s">
        <v>11996</v>
      </c>
      <c r="H1823" s="8" t="s">
        <v>3479</v>
      </c>
      <c r="I1823" s="9">
        <v>0.0</v>
      </c>
      <c r="J1823" s="9">
        <v>1434.0</v>
      </c>
      <c r="K1823" s="9">
        <v>1434.0</v>
      </c>
      <c r="L1823" s="9">
        <v>1434.0</v>
      </c>
      <c r="M1823" s="9">
        <v>745.0</v>
      </c>
      <c r="N1823" s="9">
        <v>80.0</v>
      </c>
      <c r="O1823" s="9">
        <v>609.0</v>
      </c>
      <c r="P1823" s="8" t="s">
        <v>3480</v>
      </c>
      <c r="Q1823" s="8" t="s">
        <v>11997</v>
      </c>
      <c r="R1823" s="8" t="s">
        <v>11998</v>
      </c>
    </row>
    <row r="1824">
      <c r="A1824" s="8" t="s">
        <v>991</v>
      </c>
      <c r="B1824" s="8" t="s">
        <v>11999</v>
      </c>
      <c r="C1824" s="8" t="s">
        <v>3952</v>
      </c>
      <c r="D1824" s="9">
        <v>9.850380576E9</v>
      </c>
      <c r="E1824" s="8" t="s">
        <v>12000</v>
      </c>
      <c r="F1824" s="8" t="s">
        <v>3721</v>
      </c>
      <c r="G1824" s="8" t="s">
        <v>12001</v>
      </c>
      <c r="H1824" s="8" t="s">
        <v>3479</v>
      </c>
      <c r="I1824" s="9">
        <v>0.0</v>
      </c>
      <c r="J1824" s="9">
        <v>3554.0</v>
      </c>
      <c r="K1824" s="9">
        <v>3554.0</v>
      </c>
      <c r="L1824" s="9">
        <v>3554.0</v>
      </c>
      <c r="M1824" s="9">
        <v>2300.0</v>
      </c>
      <c r="N1824" s="9">
        <v>730.0</v>
      </c>
      <c r="O1824" s="9">
        <v>524.0</v>
      </c>
      <c r="P1824" s="8" t="s">
        <v>3480</v>
      </c>
      <c r="Q1824" s="8" t="s">
        <v>12002</v>
      </c>
      <c r="R1824" s="8" t="s">
        <v>12003</v>
      </c>
    </row>
    <row r="1825">
      <c r="A1825" s="8" t="s">
        <v>2367</v>
      </c>
      <c r="B1825" s="8" t="s">
        <v>12004</v>
      </c>
      <c r="C1825" s="8" t="s">
        <v>12005</v>
      </c>
      <c r="D1825" s="9">
        <v>8.554893975E9</v>
      </c>
      <c r="E1825" s="8" t="s">
        <v>12006</v>
      </c>
      <c r="F1825" s="8" t="s">
        <v>4507</v>
      </c>
      <c r="G1825" s="8" t="s">
        <v>3494</v>
      </c>
      <c r="H1825" s="8" t="s">
        <v>3479</v>
      </c>
      <c r="I1825" s="9">
        <v>0.0</v>
      </c>
      <c r="J1825" s="9">
        <v>3908.0</v>
      </c>
      <c r="K1825" s="9">
        <v>3908.0</v>
      </c>
      <c r="L1825" s="9">
        <v>3908.0</v>
      </c>
      <c r="M1825" s="9">
        <v>1336.0</v>
      </c>
      <c r="N1825" s="9">
        <v>1598.0</v>
      </c>
      <c r="O1825" s="9">
        <v>974.0</v>
      </c>
      <c r="P1825" s="8" t="s">
        <v>6396</v>
      </c>
      <c r="Q1825" s="8"/>
      <c r="R1825" s="8"/>
    </row>
    <row r="1826">
      <c r="A1826" s="8" t="s">
        <v>992</v>
      </c>
      <c r="B1826" s="8" t="s">
        <v>12007</v>
      </c>
      <c r="C1826" s="8" t="s">
        <v>12008</v>
      </c>
      <c r="D1826" s="9">
        <v>9.604141797E9</v>
      </c>
      <c r="E1826" s="8" t="s">
        <v>12009</v>
      </c>
      <c r="F1826" s="8" t="s">
        <v>3665</v>
      </c>
      <c r="G1826" s="8" t="s">
        <v>12010</v>
      </c>
      <c r="H1826" s="8" t="s">
        <v>3479</v>
      </c>
      <c r="I1826" s="9">
        <v>0.0</v>
      </c>
      <c r="J1826" s="9">
        <v>794.0</v>
      </c>
      <c r="K1826" s="9">
        <v>794.0</v>
      </c>
      <c r="L1826" s="9">
        <v>794.0</v>
      </c>
      <c r="M1826" s="9">
        <v>45.0</v>
      </c>
      <c r="N1826" s="9">
        <v>0.0</v>
      </c>
      <c r="O1826" s="9">
        <v>749.0</v>
      </c>
      <c r="P1826" s="8" t="s">
        <v>3519</v>
      </c>
      <c r="Q1826" s="8" t="s">
        <v>12011</v>
      </c>
      <c r="R1826" s="8"/>
    </row>
    <row r="1827">
      <c r="A1827" s="8" t="s">
        <v>2368</v>
      </c>
      <c r="B1827" s="8" t="s">
        <v>12012</v>
      </c>
      <c r="C1827" s="8" t="s">
        <v>9086</v>
      </c>
      <c r="D1827" s="9">
        <v>9.096138063E9</v>
      </c>
      <c r="E1827" s="8" t="s">
        <v>9087</v>
      </c>
      <c r="F1827" s="8" t="s">
        <v>9088</v>
      </c>
      <c r="G1827" s="8" t="s">
        <v>9089</v>
      </c>
      <c r="H1827" s="8" t="s">
        <v>3479</v>
      </c>
      <c r="I1827" s="9">
        <v>0.0</v>
      </c>
      <c r="J1827" s="9">
        <v>1794.0</v>
      </c>
      <c r="K1827" s="9">
        <v>1794.0</v>
      </c>
      <c r="L1827" s="9">
        <v>1794.0</v>
      </c>
      <c r="M1827" s="9">
        <v>530.0</v>
      </c>
      <c r="N1827" s="9">
        <v>190.0</v>
      </c>
      <c r="O1827" s="9">
        <v>1074.0</v>
      </c>
      <c r="P1827" s="8" t="s">
        <v>4183</v>
      </c>
      <c r="Q1827" s="8"/>
      <c r="R1827" s="8"/>
    </row>
    <row r="1828">
      <c r="A1828" s="8" t="s">
        <v>2370</v>
      </c>
      <c r="B1828" s="8" t="s">
        <v>12013</v>
      </c>
      <c r="C1828" s="8" t="s">
        <v>4428</v>
      </c>
      <c r="D1828" s="9">
        <v>8.123584316E9</v>
      </c>
      <c r="E1828" s="8" t="s">
        <v>4429</v>
      </c>
      <c r="F1828" s="8" t="s">
        <v>4011</v>
      </c>
      <c r="G1828" s="8" t="s">
        <v>12014</v>
      </c>
      <c r="H1828" s="8" t="s">
        <v>3479</v>
      </c>
      <c r="I1828" s="9">
        <v>0.0</v>
      </c>
      <c r="J1828" s="9">
        <v>1785.0</v>
      </c>
      <c r="K1828" s="9">
        <v>1785.0</v>
      </c>
      <c r="L1828" s="9">
        <v>1785.0</v>
      </c>
      <c r="M1828" s="9">
        <v>1610.0</v>
      </c>
      <c r="N1828" s="9">
        <v>0.0</v>
      </c>
      <c r="O1828" s="9">
        <v>175.0</v>
      </c>
      <c r="P1828" s="8" t="s">
        <v>4183</v>
      </c>
      <c r="Q1828" s="8" t="s">
        <v>4431</v>
      </c>
      <c r="R1828" s="8" t="s">
        <v>4432</v>
      </c>
    </row>
    <row r="1829">
      <c r="A1829" s="8" t="s">
        <v>2317</v>
      </c>
      <c r="B1829" s="8" t="s">
        <v>12015</v>
      </c>
      <c r="C1829" s="8" t="s">
        <v>6908</v>
      </c>
      <c r="D1829" s="9">
        <v>8.554972505E9</v>
      </c>
      <c r="E1829" s="8" t="s">
        <v>6909</v>
      </c>
      <c r="F1829" s="8" t="s">
        <v>3853</v>
      </c>
      <c r="G1829" s="8" t="s">
        <v>12016</v>
      </c>
      <c r="H1829" s="8" t="s">
        <v>3479</v>
      </c>
      <c r="I1829" s="9">
        <v>0.0</v>
      </c>
      <c r="J1829" s="9">
        <v>2119.0</v>
      </c>
      <c r="K1829" s="9">
        <v>2119.0</v>
      </c>
      <c r="L1829" s="9">
        <v>2119.0</v>
      </c>
      <c r="M1829" s="9">
        <v>940.0</v>
      </c>
      <c r="N1829" s="9">
        <v>730.0</v>
      </c>
      <c r="O1829" s="9">
        <v>449.0</v>
      </c>
      <c r="P1829" s="8" t="s">
        <v>3480</v>
      </c>
      <c r="Q1829" s="8" t="s">
        <v>4241</v>
      </c>
      <c r="R1829" s="8" t="s">
        <v>4241</v>
      </c>
    </row>
    <row r="1830">
      <c r="A1830" s="8" t="s">
        <v>993</v>
      </c>
      <c r="B1830" s="8" t="s">
        <v>12017</v>
      </c>
      <c r="C1830" s="8" t="s">
        <v>12018</v>
      </c>
      <c r="D1830" s="9">
        <v>9.158976668E9</v>
      </c>
      <c r="E1830" s="8" t="s">
        <v>12019</v>
      </c>
      <c r="F1830" s="8" t="s">
        <v>4333</v>
      </c>
      <c r="G1830" s="8" t="s">
        <v>12020</v>
      </c>
      <c r="H1830" s="8" t="s">
        <v>3479</v>
      </c>
      <c r="I1830" s="9">
        <v>0.0</v>
      </c>
      <c r="J1830" s="9">
        <v>1827.0</v>
      </c>
      <c r="K1830" s="9">
        <v>1827.0</v>
      </c>
      <c r="L1830" s="9">
        <v>1827.0</v>
      </c>
      <c r="M1830" s="9">
        <v>328.0</v>
      </c>
      <c r="N1830" s="9">
        <v>900.0</v>
      </c>
      <c r="O1830" s="9">
        <v>599.0</v>
      </c>
      <c r="P1830" s="8" t="s">
        <v>3480</v>
      </c>
      <c r="Q1830" s="8" t="s">
        <v>12021</v>
      </c>
      <c r="R1830" s="8" t="s">
        <v>12022</v>
      </c>
    </row>
    <row r="1831">
      <c r="A1831" s="8" t="s">
        <v>994</v>
      </c>
      <c r="B1831" s="8" t="s">
        <v>12023</v>
      </c>
      <c r="C1831" s="8" t="s">
        <v>3926</v>
      </c>
      <c r="D1831" s="9">
        <v>9.028512702E9</v>
      </c>
      <c r="E1831" s="8" t="s">
        <v>3927</v>
      </c>
      <c r="F1831" s="8" t="s">
        <v>3608</v>
      </c>
      <c r="G1831" s="8" t="s">
        <v>12024</v>
      </c>
      <c r="H1831" s="8" t="s">
        <v>3479</v>
      </c>
      <c r="I1831" s="9">
        <v>0.0</v>
      </c>
      <c r="J1831" s="9">
        <v>1259.0</v>
      </c>
      <c r="K1831" s="9">
        <v>1259.0</v>
      </c>
      <c r="L1831" s="9">
        <v>1259.0</v>
      </c>
      <c r="M1831" s="9">
        <v>80.0</v>
      </c>
      <c r="N1831" s="9">
        <v>730.0</v>
      </c>
      <c r="O1831" s="9">
        <v>449.0</v>
      </c>
      <c r="P1831" s="8" t="s">
        <v>3480</v>
      </c>
      <c r="Q1831" s="8" t="s">
        <v>3929</v>
      </c>
      <c r="R1831" s="8" t="s">
        <v>3930</v>
      </c>
    </row>
    <row r="1832">
      <c r="A1832" s="8" t="s">
        <v>995</v>
      </c>
      <c r="B1832" s="8" t="s">
        <v>12025</v>
      </c>
      <c r="C1832" s="8" t="s">
        <v>5892</v>
      </c>
      <c r="D1832" s="9">
        <v>8.421486664E9</v>
      </c>
      <c r="E1832" s="8" t="s">
        <v>5893</v>
      </c>
      <c r="F1832" s="8" t="s">
        <v>3768</v>
      </c>
      <c r="G1832" s="8" t="s">
        <v>12026</v>
      </c>
      <c r="H1832" s="8" t="s">
        <v>3479</v>
      </c>
      <c r="I1832" s="9">
        <v>0.0</v>
      </c>
      <c r="J1832" s="9">
        <v>1763.0</v>
      </c>
      <c r="K1832" s="9">
        <v>1763.0</v>
      </c>
      <c r="L1832" s="9">
        <v>1763.0</v>
      </c>
      <c r="M1832" s="9">
        <v>530.0</v>
      </c>
      <c r="N1832" s="9">
        <v>784.0</v>
      </c>
      <c r="O1832" s="9">
        <v>449.0</v>
      </c>
      <c r="P1832" s="8" t="s">
        <v>3480</v>
      </c>
      <c r="Q1832" s="8" t="s">
        <v>5895</v>
      </c>
      <c r="R1832" s="8" t="s">
        <v>5896</v>
      </c>
    </row>
    <row r="1833">
      <c r="A1833" s="8" t="s">
        <v>996</v>
      </c>
      <c r="B1833" s="8" t="s">
        <v>12027</v>
      </c>
      <c r="C1833" s="8" t="s">
        <v>7403</v>
      </c>
      <c r="D1833" s="9">
        <v>9.02842669E9</v>
      </c>
      <c r="E1833" s="8" t="s">
        <v>7404</v>
      </c>
      <c r="F1833" s="8" t="s">
        <v>3721</v>
      </c>
      <c r="G1833" s="8" t="s">
        <v>12028</v>
      </c>
      <c r="H1833" s="8" t="s">
        <v>3479</v>
      </c>
      <c r="I1833" s="9">
        <v>0.0</v>
      </c>
      <c r="J1833" s="9">
        <v>1754.0</v>
      </c>
      <c r="K1833" s="9">
        <v>1754.0</v>
      </c>
      <c r="L1833" s="9">
        <v>1754.0</v>
      </c>
      <c r="M1833" s="9">
        <v>380.0</v>
      </c>
      <c r="N1833" s="9">
        <v>730.0</v>
      </c>
      <c r="O1833" s="9">
        <v>644.0</v>
      </c>
      <c r="P1833" s="8" t="s">
        <v>3480</v>
      </c>
      <c r="Q1833" s="8"/>
      <c r="R1833" s="8"/>
    </row>
    <row r="1834">
      <c r="A1834" s="8" t="s">
        <v>997</v>
      </c>
      <c r="B1834" s="8" t="s">
        <v>12029</v>
      </c>
      <c r="C1834" s="8" t="s">
        <v>3684</v>
      </c>
      <c r="D1834" s="9">
        <v>8.668610879E9</v>
      </c>
      <c r="E1834" s="8" t="s">
        <v>3685</v>
      </c>
      <c r="F1834" s="8" t="s">
        <v>3589</v>
      </c>
      <c r="G1834" s="8" t="s">
        <v>12030</v>
      </c>
      <c r="H1834" s="8" t="s">
        <v>3479</v>
      </c>
      <c r="I1834" s="9">
        <v>0.0</v>
      </c>
      <c r="J1834" s="9">
        <v>3189.0</v>
      </c>
      <c r="K1834" s="9">
        <v>3189.0</v>
      </c>
      <c r="L1834" s="9">
        <v>3189.0</v>
      </c>
      <c r="M1834" s="9">
        <v>2010.0</v>
      </c>
      <c r="N1834" s="9">
        <v>730.0</v>
      </c>
      <c r="O1834" s="9">
        <v>449.0</v>
      </c>
      <c r="P1834" s="8" t="s">
        <v>3480</v>
      </c>
      <c r="Q1834" s="8" t="s">
        <v>3687</v>
      </c>
      <c r="R1834" s="8" t="s">
        <v>3688</v>
      </c>
    </row>
    <row r="1835">
      <c r="A1835" s="8" t="s">
        <v>998</v>
      </c>
      <c r="B1835" s="8" t="s">
        <v>12031</v>
      </c>
      <c r="C1835" s="8" t="s">
        <v>7542</v>
      </c>
      <c r="D1835" s="9">
        <v>9.921390651E9</v>
      </c>
      <c r="E1835" s="8" t="s">
        <v>7543</v>
      </c>
      <c r="F1835" s="8" t="s">
        <v>4125</v>
      </c>
      <c r="G1835" s="8" t="s">
        <v>12032</v>
      </c>
      <c r="H1835" s="8" t="s">
        <v>3479</v>
      </c>
      <c r="I1835" s="9">
        <v>0.0</v>
      </c>
      <c r="J1835" s="9">
        <v>2225.0</v>
      </c>
      <c r="K1835" s="9">
        <v>2225.0</v>
      </c>
      <c r="L1835" s="9">
        <v>2225.0</v>
      </c>
      <c r="M1835" s="9">
        <v>976.0</v>
      </c>
      <c r="N1835" s="9">
        <v>650.0</v>
      </c>
      <c r="O1835" s="9">
        <v>599.0</v>
      </c>
      <c r="P1835" s="8" t="s">
        <v>3480</v>
      </c>
      <c r="Q1835" s="8" t="s">
        <v>7545</v>
      </c>
      <c r="R1835" s="8" t="s">
        <v>7546</v>
      </c>
    </row>
    <row r="1836">
      <c r="A1836" s="8" t="s">
        <v>2398</v>
      </c>
      <c r="B1836" s="8" t="s">
        <v>12033</v>
      </c>
      <c r="C1836" s="8" t="s">
        <v>7684</v>
      </c>
      <c r="D1836" s="9">
        <v>9.623441461E9</v>
      </c>
      <c r="E1836" s="8" t="s">
        <v>7685</v>
      </c>
      <c r="F1836" s="8" t="s">
        <v>3601</v>
      </c>
      <c r="G1836" s="8" t="s">
        <v>12034</v>
      </c>
      <c r="H1836" s="8" t="s">
        <v>3479</v>
      </c>
      <c r="I1836" s="9">
        <v>0.0</v>
      </c>
      <c r="J1836" s="9">
        <v>2674.0</v>
      </c>
      <c r="K1836" s="9">
        <v>2674.0</v>
      </c>
      <c r="L1836" s="9">
        <v>2674.0</v>
      </c>
      <c r="M1836" s="9">
        <v>1495.0</v>
      </c>
      <c r="N1836" s="9">
        <v>730.0</v>
      </c>
      <c r="O1836" s="9">
        <v>449.0</v>
      </c>
      <c r="P1836" s="8" t="s">
        <v>3480</v>
      </c>
      <c r="Q1836" s="8" t="s">
        <v>7687</v>
      </c>
      <c r="R1836" s="8" t="s">
        <v>7688</v>
      </c>
    </row>
    <row r="1837">
      <c r="A1837" s="8" t="s">
        <v>2369</v>
      </c>
      <c r="B1837" s="8" t="s">
        <v>12035</v>
      </c>
      <c r="C1837" s="8" t="s">
        <v>10754</v>
      </c>
      <c r="D1837" s="9">
        <v>9.730490996E9</v>
      </c>
      <c r="E1837" s="8" t="s">
        <v>10755</v>
      </c>
      <c r="F1837" s="8" t="s">
        <v>3486</v>
      </c>
      <c r="G1837" s="8" t="s">
        <v>12036</v>
      </c>
      <c r="H1837" s="8" t="s">
        <v>3479</v>
      </c>
      <c r="I1837" s="9">
        <v>0.0</v>
      </c>
      <c r="J1837" s="9">
        <v>2919.0</v>
      </c>
      <c r="K1837" s="9">
        <v>2919.0</v>
      </c>
      <c r="L1837" s="9">
        <v>2919.0</v>
      </c>
      <c r="M1837" s="9">
        <v>1740.0</v>
      </c>
      <c r="N1837" s="9">
        <v>730.0</v>
      </c>
      <c r="O1837" s="9">
        <v>449.0</v>
      </c>
      <c r="P1837" s="8" t="s">
        <v>4183</v>
      </c>
      <c r="Q1837" s="8" t="s">
        <v>10757</v>
      </c>
      <c r="R1837" s="8" t="s">
        <v>10758</v>
      </c>
    </row>
    <row r="1838">
      <c r="A1838" s="8" t="s">
        <v>2371</v>
      </c>
      <c r="B1838" s="8" t="s">
        <v>12037</v>
      </c>
      <c r="C1838" s="8" t="s">
        <v>8142</v>
      </c>
      <c r="D1838" s="9">
        <v>9.403900847E9</v>
      </c>
      <c r="E1838" s="8" t="s">
        <v>8143</v>
      </c>
      <c r="F1838" s="8" t="s">
        <v>3977</v>
      </c>
      <c r="G1838" s="8" t="s">
        <v>12038</v>
      </c>
      <c r="H1838" s="8" t="s">
        <v>3479</v>
      </c>
      <c r="I1838" s="9">
        <v>0.0</v>
      </c>
      <c r="J1838" s="9">
        <v>1553.0</v>
      </c>
      <c r="K1838" s="9">
        <v>1553.0</v>
      </c>
      <c r="L1838" s="9">
        <v>1553.0</v>
      </c>
      <c r="M1838" s="9">
        <v>324.0</v>
      </c>
      <c r="N1838" s="9">
        <v>780.0</v>
      </c>
      <c r="O1838" s="9">
        <v>449.0</v>
      </c>
      <c r="P1838" s="8" t="s">
        <v>4183</v>
      </c>
      <c r="Q1838" s="8" t="s">
        <v>8145</v>
      </c>
      <c r="R1838" s="8" t="s">
        <v>8146</v>
      </c>
    </row>
    <row r="1839">
      <c r="A1839" s="8" t="s">
        <v>2394</v>
      </c>
      <c r="B1839" s="8" t="s">
        <v>12039</v>
      </c>
      <c r="C1839" s="8" t="s">
        <v>3668</v>
      </c>
      <c r="D1839" s="9">
        <v>9.175645184E9</v>
      </c>
      <c r="E1839" s="8" t="s">
        <v>3669</v>
      </c>
      <c r="F1839" s="8" t="s">
        <v>3670</v>
      </c>
      <c r="G1839" s="8" t="s">
        <v>12040</v>
      </c>
      <c r="H1839" s="8" t="s">
        <v>3479</v>
      </c>
      <c r="I1839" s="9">
        <v>0.0</v>
      </c>
      <c r="J1839" s="9">
        <v>2047.0</v>
      </c>
      <c r="K1839" s="9">
        <v>2047.0</v>
      </c>
      <c r="L1839" s="9">
        <v>2047.0</v>
      </c>
      <c r="M1839" s="9">
        <v>549.0</v>
      </c>
      <c r="N1839" s="9">
        <v>774.0</v>
      </c>
      <c r="O1839" s="9">
        <v>724.0</v>
      </c>
      <c r="P1839" s="8" t="s">
        <v>3480</v>
      </c>
      <c r="Q1839" s="8" t="s">
        <v>3672</v>
      </c>
      <c r="R1839" s="8" t="s">
        <v>3673</v>
      </c>
    </row>
    <row r="1840">
      <c r="A1840" s="8" t="s">
        <v>2395</v>
      </c>
      <c r="B1840" s="8" t="s">
        <v>12041</v>
      </c>
      <c r="C1840" s="8" t="s">
        <v>12042</v>
      </c>
      <c r="D1840" s="9">
        <v>9.011124911E9</v>
      </c>
      <c r="E1840" s="8" t="s">
        <v>12043</v>
      </c>
      <c r="F1840" s="8" t="s">
        <v>3601</v>
      </c>
      <c r="G1840" s="8" t="s">
        <v>12044</v>
      </c>
      <c r="H1840" s="8" t="s">
        <v>3479</v>
      </c>
      <c r="I1840" s="9">
        <v>0.0</v>
      </c>
      <c r="J1840" s="9">
        <v>2108.0</v>
      </c>
      <c r="K1840" s="9">
        <v>2108.0</v>
      </c>
      <c r="L1840" s="9">
        <v>2108.0</v>
      </c>
      <c r="M1840" s="9">
        <v>929.0</v>
      </c>
      <c r="N1840" s="9">
        <v>730.0</v>
      </c>
      <c r="O1840" s="9">
        <v>449.0</v>
      </c>
      <c r="P1840" s="8" t="s">
        <v>3480</v>
      </c>
      <c r="Q1840" s="8"/>
      <c r="R1840" s="8"/>
    </row>
    <row r="1841">
      <c r="A1841" s="8" t="s">
        <v>2396</v>
      </c>
      <c r="B1841" s="8" t="s">
        <v>12045</v>
      </c>
      <c r="C1841" s="8" t="s">
        <v>3919</v>
      </c>
      <c r="D1841" s="9">
        <v>8.208424628E9</v>
      </c>
      <c r="E1841" s="8" t="s">
        <v>3920</v>
      </c>
      <c r="F1841" s="8" t="s">
        <v>3921</v>
      </c>
      <c r="G1841" s="8" t="s">
        <v>12046</v>
      </c>
      <c r="H1841" s="8" t="s">
        <v>3479</v>
      </c>
      <c r="I1841" s="9">
        <v>0.0</v>
      </c>
      <c r="J1841" s="9">
        <v>1344.0</v>
      </c>
      <c r="K1841" s="9">
        <v>1344.0</v>
      </c>
      <c r="L1841" s="9">
        <v>1344.0</v>
      </c>
      <c r="M1841" s="9">
        <v>405.0</v>
      </c>
      <c r="N1841" s="9">
        <v>190.0</v>
      </c>
      <c r="O1841" s="9">
        <v>749.0</v>
      </c>
      <c r="P1841" s="8" t="s">
        <v>3480</v>
      </c>
      <c r="Q1841" s="8" t="s">
        <v>3923</v>
      </c>
      <c r="R1841" s="8" t="s">
        <v>3924</v>
      </c>
    </row>
    <row r="1842">
      <c r="A1842" s="8" t="s">
        <v>2397</v>
      </c>
      <c r="B1842" s="8" t="s">
        <v>12047</v>
      </c>
      <c r="C1842" s="8" t="s">
        <v>12048</v>
      </c>
      <c r="D1842" s="9">
        <v>9.766136533E9</v>
      </c>
      <c r="E1842" s="8" t="s">
        <v>12049</v>
      </c>
      <c r="F1842" s="8" t="s">
        <v>3653</v>
      </c>
      <c r="G1842" s="8" t="s">
        <v>3494</v>
      </c>
      <c r="H1842" s="8" t="s">
        <v>3479</v>
      </c>
      <c r="I1842" s="9">
        <v>0.0</v>
      </c>
      <c r="J1842" s="9">
        <v>2493.0</v>
      </c>
      <c r="K1842" s="9">
        <v>2493.0</v>
      </c>
      <c r="L1842" s="9">
        <v>2493.0</v>
      </c>
      <c r="M1842" s="9">
        <v>1144.0</v>
      </c>
      <c r="N1842" s="9">
        <v>650.0</v>
      </c>
      <c r="O1842" s="9">
        <v>699.0</v>
      </c>
      <c r="P1842" s="8" t="s">
        <v>3480</v>
      </c>
      <c r="Q1842" s="8" t="s">
        <v>12050</v>
      </c>
      <c r="R1842" s="8" t="s">
        <v>12051</v>
      </c>
    </row>
    <row r="1843">
      <c r="A1843" s="8" t="s">
        <v>2392</v>
      </c>
      <c r="B1843" s="8" t="s">
        <v>12052</v>
      </c>
      <c r="C1843" s="8" t="s">
        <v>4927</v>
      </c>
      <c r="D1843" s="9">
        <v>9.168175467E9</v>
      </c>
      <c r="E1843" s="8" t="s">
        <v>12053</v>
      </c>
      <c r="F1843" s="8" t="s">
        <v>3821</v>
      </c>
      <c r="G1843" s="8" t="s">
        <v>12054</v>
      </c>
      <c r="H1843" s="8" t="s">
        <v>3479</v>
      </c>
      <c r="I1843" s="9">
        <v>0.0</v>
      </c>
      <c r="J1843" s="9">
        <v>1692.0</v>
      </c>
      <c r="K1843" s="9">
        <v>1692.0</v>
      </c>
      <c r="L1843" s="9">
        <v>1692.0</v>
      </c>
      <c r="M1843" s="9">
        <v>438.0</v>
      </c>
      <c r="N1843" s="9">
        <v>730.0</v>
      </c>
      <c r="O1843" s="9">
        <v>524.0</v>
      </c>
      <c r="P1843" s="8" t="s">
        <v>3480</v>
      </c>
      <c r="Q1843" s="8"/>
      <c r="R1843" s="8"/>
    </row>
    <row r="1844">
      <c r="A1844" s="8" t="s">
        <v>2372</v>
      </c>
      <c r="B1844" s="8" t="s">
        <v>12055</v>
      </c>
      <c r="C1844" s="8" t="s">
        <v>12056</v>
      </c>
      <c r="D1844" s="9">
        <v>8.177997507E9</v>
      </c>
      <c r="E1844" s="8" t="s">
        <v>12057</v>
      </c>
      <c r="F1844" s="8" t="s">
        <v>12058</v>
      </c>
      <c r="G1844" s="8" t="s">
        <v>12059</v>
      </c>
      <c r="H1844" s="8" t="s">
        <v>3479</v>
      </c>
      <c r="I1844" s="9">
        <v>0.0</v>
      </c>
      <c r="J1844" s="9">
        <v>1465.0</v>
      </c>
      <c r="K1844" s="9">
        <v>1465.0</v>
      </c>
      <c r="L1844" s="9">
        <v>1465.0</v>
      </c>
      <c r="M1844" s="9">
        <v>446.0</v>
      </c>
      <c r="N1844" s="9">
        <v>190.0</v>
      </c>
      <c r="O1844" s="9">
        <v>829.0</v>
      </c>
      <c r="P1844" s="8" t="s">
        <v>4183</v>
      </c>
      <c r="Q1844" s="8" t="s">
        <v>12060</v>
      </c>
      <c r="R1844" s="8" t="s">
        <v>12061</v>
      </c>
    </row>
    <row r="1845">
      <c r="A1845" s="8" t="s">
        <v>2393</v>
      </c>
      <c r="B1845" s="8" t="s">
        <v>12062</v>
      </c>
      <c r="C1845" s="8" t="s">
        <v>12063</v>
      </c>
      <c r="D1845" s="9">
        <v>9.270075007E9</v>
      </c>
      <c r="E1845" s="8" t="s">
        <v>12064</v>
      </c>
      <c r="F1845" s="8" t="s">
        <v>12065</v>
      </c>
      <c r="G1845" s="8" t="s">
        <v>12066</v>
      </c>
      <c r="H1845" s="8" t="s">
        <v>3479</v>
      </c>
      <c r="I1845" s="9">
        <v>0.0</v>
      </c>
      <c r="J1845" s="9">
        <v>1993.0</v>
      </c>
      <c r="K1845" s="9">
        <v>1993.0</v>
      </c>
      <c r="L1845" s="9">
        <v>1993.0</v>
      </c>
      <c r="M1845" s="9">
        <v>345.0</v>
      </c>
      <c r="N1845" s="9">
        <v>774.0</v>
      </c>
      <c r="O1845" s="9">
        <v>874.0</v>
      </c>
      <c r="P1845" s="8" t="s">
        <v>3480</v>
      </c>
      <c r="Q1845" s="8"/>
      <c r="R1845" s="8"/>
    </row>
    <row r="1846">
      <c r="A1846" s="8" t="s">
        <v>2422</v>
      </c>
      <c r="B1846" s="8" t="s">
        <v>12067</v>
      </c>
      <c r="C1846" s="8" t="s">
        <v>12068</v>
      </c>
      <c r="D1846" s="9">
        <v>9.503019839E9</v>
      </c>
      <c r="E1846" s="8" t="s">
        <v>12069</v>
      </c>
      <c r="F1846" s="8" t="s">
        <v>5421</v>
      </c>
      <c r="G1846" s="8" t="s">
        <v>12070</v>
      </c>
      <c r="H1846" s="8" t="s">
        <v>3479</v>
      </c>
      <c r="I1846" s="9">
        <v>0.0</v>
      </c>
      <c r="J1846" s="9">
        <v>1259.0</v>
      </c>
      <c r="K1846" s="9">
        <v>1259.0</v>
      </c>
      <c r="L1846" s="9">
        <v>1259.0</v>
      </c>
      <c r="M1846" s="9">
        <v>80.0</v>
      </c>
      <c r="N1846" s="9">
        <v>730.0</v>
      </c>
      <c r="O1846" s="9">
        <v>449.0</v>
      </c>
      <c r="P1846" s="8" t="s">
        <v>3480</v>
      </c>
      <c r="Q1846" s="8"/>
      <c r="R1846" s="8"/>
    </row>
    <row r="1847">
      <c r="A1847" s="8" t="s">
        <v>2374</v>
      </c>
      <c r="B1847" s="8" t="s">
        <v>12071</v>
      </c>
      <c r="C1847" s="8" t="s">
        <v>12072</v>
      </c>
      <c r="D1847" s="9">
        <v>9.405524675E9</v>
      </c>
      <c r="E1847" s="8" t="s">
        <v>12073</v>
      </c>
      <c r="F1847" s="8" t="s">
        <v>4189</v>
      </c>
      <c r="G1847" s="8" t="s">
        <v>12074</v>
      </c>
      <c r="H1847" s="8" t="s">
        <v>3479</v>
      </c>
      <c r="I1847" s="9">
        <v>0.0</v>
      </c>
      <c r="J1847" s="9">
        <v>1259.0</v>
      </c>
      <c r="K1847" s="9">
        <v>1259.0</v>
      </c>
      <c r="L1847" s="9">
        <v>1259.0</v>
      </c>
      <c r="M1847" s="9">
        <v>80.0</v>
      </c>
      <c r="N1847" s="9">
        <v>730.0</v>
      </c>
      <c r="O1847" s="9">
        <v>449.0</v>
      </c>
      <c r="P1847" s="8" t="s">
        <v>4183</v>
      </c>
      <c r="Q1847" s="8" t="s">
        <v>12075</v>
      </c>
      <c r="R1847" s="8" t="s">
        <v>12076</v>
      </c>
    </row>
    <row r="1848">
      <c r="A1848" s="8" t="s">
        <v>2373</v>
      </c>
      <c r="B1848" s="8" t="s">
        <v>12077</v>
      </c>
      <c r="C1848" s="8" t="s">
        <v>10289</v>
      </c>
      <c r="D1848" s="9">
        <v>9.403900847E9</v>
      </c>
      <c r="E1848" s="8" t="s">
        <v>12078</v>
      </c>
      <c r="F1848" s="8" t="s">
        <v>4054</v>
      </c>
      <c r="G1848" s="8" t="s">
        <v>12079</v>
      </c>
      <c r="H1848" s="8" t="s">
        <v>3479</v>
      </c>
      <c r="I1848" s="9">
        <v>0.0</v>
      </c>
      <c r="J1848" s="9">
        <v>2103.0</v>
      </c>
      <c r="K1848" s="9">
        <v>2103.0</v>
      </c>
      <c r="L1848" s="9">
        <v>2103.0</v>
      </c>
      <c r="M1848" s="9">
        <v>924.0</v>
      </c>
      <c r="N1848" s="9">
        <v>730.0</v>
      </c>
      <c r="O1848" s="9">
        <v>449.0</v>
      </c>
      <c r="P1848" s="8" t="s">
        <v>4183</v>
      </c>
      <c r="Q1848" s="8" t="s">
        <v>12080</v>
      </c>
      <c r="R1848" s="8" t="s">
        <v>12081</v>
      </c>
    </row>
    <row r="1849">
      <c r="A1849" s="8" t="s">
        <v>2375</v>
      </c>
      <c r="B1849" s="8" t="s">
        <v>12082</v>
      </c>
      <c r="C1849" s="8" t="s">
        <v>7941</v>
      </c>
      <c r="D1849" s="9">
        <v>8.48481548E9</v>
      </c>
      <c r="E1849" s="8" t="s">
        <v>7942</v>
      </c>
      <c r="F1849" s="8" t="s">
        <v>3608</v>
      </c>
      <c r="G1849" s="8" t="s">
        <v>12083</v>
      </c>
      <c r="H1849" s="8" t="s">
        <v>3479</v>
      </c>
      <c r="I1849" s="9">
        <v>0.0</v>
      </c>
      <c r="J1849" s="9">
        <v>3859.0</v>
      </c>
      <c r="K1849" s="9">
        <v>3859.0</v>
      </c>
      <c r="L1849" s="9">
        <v>3859.0</v>
      </c>
      <c r="M1849" s="9">
        <v>2680.0</v>
      </c>
      <c r="N1849" s="9">
        <v>730.0</v>
      </c>
      <c r="O1849" s="9">
        <v>449.0</v>
      </c>
      <c r="P1849" s="8" t="s">
        <v>4183</v>
      </c>
      <c r="Q1849" s="8" t="s">
        <v>7944</v>
      </c>
      <c r="R1849" s="8" t="s">
        <v>7945</v>
      </c>
    </row>
    <row r="1850">
      <c r="A1850" s="8" t="s">
        <v>2376</v>
      </c>
      <c r="B1850" s="8" t="s">
        <v>12084</v>
      </c>
      <c r="C1850" s="8" t="s">
        <v>12085</v>
      </c>
      <c r="D1850" s="9">
        <v>9.665626256E9</v>
      </c>
      <c r="E1850" s="8" t="s">
        <v>12086</v>
      </c>
      <c r="F1850" s="8" t="s">
        <v>3564</v>
      </c>
      <c r="G1850" s="8" t="s">
        <v>12087</v>
      </c>
      <c r="H1850" s="8" t="s">
        <v>3479</v>
      </c>
      <c r="I1850" s="9">
        <v>0.0</v>
      </c>
      <c r="J1850" s="9">
        <v>1201.0</v>
      </c>
      <c r="K1850" s="9">
        <v>1201.0</v>
      </c>
      <c r="L1850" s="9">
        <v>1201.0</v>
      </c>
      <c r="M1850" s="9">
        <v>262.0</v>
      </c>
      <c r="N1850" s="9">
        <v>190.0</v>
      </c>
      <c r="O1850" s="9">
        <v>749.0</v>
      </c>
      <c r="P1850" s="8" t="s">
        <v>4183</v>
      </c>
      <c r="Q1850" s="8" t="s">
        <v>8749</v>
      </c>
      <c r="R1850" s="8" t="s">
        <v>12088</v>
      </c>
    </row>
    <row r="1851">
      <c r="A1851" s="8" t="s">
        <v>2377</v>
      </c>
      <c r="B1851" s="8" t="s">
        <v>12089</v>
      </c>
      <c r="C1851" s="8" t="s">
        <v>4117</v>
      </c>
      <c r="D1851" s="9">
        <v>9.76619971E9</v>
      </c>
      <c r="E1851" s="8" t="s">
        <v>4118</v>
      </c>
      <c r="F1851" s="8" t="s">
        <v>3615</v>
      </c>
      <c r="G1851" s="8" t="s">
        <v>12090</v>
      </c>
      <c r="H1851" s="8" t="s">
        <v>3479</v>
      </c>
      <c r="I1851" s="9">
        <v>0.0</v>
      </c>
      <c r="J1851" s="9">
        <v>1439.0</v>
      </c>
      <c r="K1851" s="9">
        <v>1439.0</v>
      </c>
      <c r="L1851" s="9">
        <v>1439.0</v>
      </c>
      <c r="M1851" s="9">
        <v>214.0</v>
      </c>
      <c r="N1851" s="9">
        <v>776.0</v>
      </c>
      <c r="O1851" s="9">
        <v>449.0</v>
      </c>
      <c r="P1851" s="8" t="s">
        <v>4183</v>
      </c>
      <c r="Q1851" s="8" t="s">
        <v>4120</v>
      </c>
      <c r="R1851" s="8" t="s">
        <v>4121</v>
      </c>
    </row>
    <row r="1852">
      <c r="A1852" s="8" t="s">
        <v>2378</v>
      </c>
      <c r="B1852" s="8" t="s">
        <v>12091</v>
      </c>
      <c r="C1852" s="8" t="s">
        <v>12092</v>
      </c>
      <c r="D1852" s="9">
        <v>9.623878444E9</v>
      </c>
      <c r="E1852" s="8" t="s">
        <v>12093</v>
      </c>
      <c r="F1852" s="8" t="s">
        <v>3821</v>
      </c>
      <c r="G1852" s="8" t="s">
        <v>8604</v>
      </c>
      <c r="H1852" s="8" t="s">
        <v>3479</v>
      </c>
      <c r="I1852" s="9">
        <v>0.0</v>
      </c>
      <c r="J1852" s="9">
        <v>1957.0</v>
      </c>
      <c r="K1852" s="9">
        <v>1957.0</v>
      </c>
      <c r="L1852" s="9">
        <v>1957.0</v>
      </c>
      <c r="M1852" s="9">
        <v>893.0</v>
      </c>
      <c r="N1852" s="9">
        <v>540.0</v>
      </c>
      <c r="O1852" s="9">
        <v>524.0</v>
      </c>
      <c r="P1852" s="8" t="s">
        <v>4183</v>
      </c>
      <c r="Q1852" s="8" t="s">
        <v>12094</v>
      </c>
      <c r="R1852" s="8" t="s">
        <v>12095</v>
      </c>
    </row>
    <row r="1853">
      <c r="A1853" s="8" t="s">
        <v>2379</v>
      </c>
      <c r="B1853" s="8" t="s">
        <v>12096</v>
      </c>
      <c r="C1853" s="8" t="s">
        <v>7466</v>
      </c>
      <c r="D1853" s="9">
        <v>7.58817732E9</v>
      </c>
      <c r="E1853" s="8" t="s">
        <v>7467</v>
      </c>
      <c r="F1853" s="8" t="s">
        <v>3594</v>
      </c>
      <c r="G1853" s="8" t="s">
        <v>12097</v>
      </c>
      <c r="H1853" s="8" t="s">
        <v>3479</v>
      </c>
      <c r="I1853" s="9">
        <v>0.0</v>
      </c>
      <c r="J1853" s="9">
        <v>1704.0</v>
      </c>
      <c r="K1853" s="9">
        <v>1704.0</v>
      </c>
      <c r="L1853" s="9">
        <v>1704.0</v>
      </c>
      <c r="M1853" s="9">
        <v>450.0</v>
      </c>
      <c r="N1853" s="9">
        <v>730.0</v>
      </c>
      <c r="O1853" s="9">
        <v>524.0</v>
      </c>
      <c r="P1853" s="8" t="s">
        <v>3480</v>
      </c>
      <c r="Q1853" s="8" t="s">
        <v>7469</v>
      </c>
      <c r="R1853" s="8" t="s">
        <v>7470</v>
      </c>
    </row>
    <row r="1854">
      <c r="A1854" s="8" t="s">
        <v>2380</v>
      </c>
      <c r="B1854" s="8" t="s">
        <v>12098</v>
      </c>
      <c r="C1854" s="8" t="s">
        <v>12099</v>
      </c>
      <c r="D1854" s="9">
        <v>7.264811546E9</v>
      </c>
      <c r="E1854" s="8" t="s">
        <v>12100</v>
      </c>
      <c r="F1854" s="8" t="s">
        <v>3486</v>
      </c>
      <c r="G1854" s="8" t="s">
        <v>12101</v>
      </c>
      <c r="H1854" s="8" t="s">
        <v>3479</v>
      </c>
      <c r="I1854" s="9">
        <v>0.0</v>
      </c>
      <c r="J1854" s="9">
        <v>2494.0</v>
      </c>
      <c r="K1854" s="9">
        <v>2494.0</v>
      </c>
      <c r="L1854" s="9">
        <v>2494.0</v>
      </c>
      <c r="M1854" s="9">
        <v>1315.0</v>
      </c>
      <c r="N1854" s="9">
        <v>730.0</v>
      </c>
      <c r="O1854" s="9">
        <v>449.0</v>
      </c>
      <c r="P1854" s="8" t="s">
        <v>3480</v>
      </c>
      <c r="Q1854" s="8" t="s">
        <v>12102</v>
      </c>
      <c r="R1854" s="8" t="s">
        <v>12103</v>
      </c>
    </row>
    <row r="1855">
      <c r="A1855" s="8" t="s">
        <v>2381</v>
      </c>
      <c r="B1855" s="8" t="s">
        <v>12104</v>
      </c>
      <c r="C1855" s="8" t="s">
        <v>12105</v>
      </c>
      <c r="D1855" s="9">
        <v>7.219500156E9</v>
      </c>
      <c r="E1855" s="8" t="s">
        <v>12106</v>
      </c>
      <c r="F1855" s="8" t="s">
        <v>12107</v>
      </c>
      <c r="G1855" s="8" t="s">
        <v>12108</v>
      </c>
      <c r="H1855" s="8" t="s">
        <v>3479</v>
      </c>
      <c r="I1855" s="9">
        <v>0.0</v>
      </c>
      <c r="J1855" s="9">
        <v>1478.0</v>
      </c>
      <c r="K1855" s="9">
        <v>1478.0</v>
      </c>
      <c r="L1855" s="9">
        <v>1478.0</v>
      </c>
      <c r="M1855" s="9">
        <v>255.0</v>
      </c>
      <c r="N1855" s="9">
        <v>774.0</v>
      </c>
      <c r="O1855" s="9">
        <v>449.0</v>
      </c>
      <c r="P1855" s="8" t="s">
        <v>3544</v>
      </c>
      <c r="Q1855" s="8" t="s">
        <v>12109</v>
      </c>
      <c r="R1855" s="8" t="s">
        <v>12110</v>
      </c>
    </row>
    <row r="1856">
      <c r="A1856" s="8" t="s">
        <v>2442</v>
      </c>
      <c r="B1856" s="8" t="s">
        <v>12111</v>
      </c>
      <c r="C1856" s="8" t="s">
        <v>9815</v>
      </c>
      <c r="D1856" s="9">
        <v>9.739081041E9</v>
      </c>
      <c r="E1856" s="8" t="s">
        <v>9816</v>
      </c>
      <c r="F1856" s="8" t="s">
        <v>3564</v>
      </c>
      <c r="G1856" s="8" t="s">
        <v>12112</v>
      </c>
      <c r="H1856" s="8" t="s">
        <v>3479</v>
      </c>
      <c r="I1856" s="9">
        <v>0.0</v>
      </c>
      <c r="J1856" s="9">
        <v>4664.0</v>
      </c>
      <c r="K1856" s="9">
        <v>4664.0</v>
      </c>
      <c r="L1856" s="9">
        <v>4664.0</v>
      </c>
      <c r="M1856" s="9">
        <v>3650.0</v>
      </c>
      <c r="N1856" s="9">
        <v>190.0</v>
      </c>
      <c r="O1856" s="9">
        <v>824.0</v>
      </c>
      <c r="P1856" s="8" t="s">
        <v>4183</v>
      </c>
      <c r="Q1856" s="8" t="s">
        <v>9818</v>
      </c>
      <c r="R1856" s="8" t="s">
        <v>9819</v>
      </c>
    </row>
    <row r="1857">
      <c r="A1857" s="8" t="s">
        <v>2443</v>
      </c>
      <c r="B1857" s="8" t="s">
        <v>12113</v>
      </c>
      <c r="C1857" s="8" t="s">
        <v>9185</v>
      </c>
      <c r="D1857" s="9">
        <v>7.069956654E9</v>
      </c>
      <c r="E1857" s="8" t="s">
        <v>9186</v>
      </c>
      <c r="F1857" s="8" t="s">
        <v>5421</v>
      </c>
      <c r="G1857" s="8" t="s">
        <v>12114</v>
      </c>
      <c r="H1857" s="8" t="s">
        <v>3479</v>
      </c>
      <c r="I1857" s="9">
        <v>0.0</v>
      </c>
      <c r="J1857" s="9">
        <v>1812.0</v>
      </c>
      <c r="K1857" s="9">
        <v>1812.0</v>
      </c>
      <c r="L1857" s="9">
        <v>1812.0</v>
      </c>
      <c r="M1857" s="9">
        <v>633.0</v>
      </c>
      <c r="N1857" s="9">
        <v>730.0</v>
      </c>
      <c r="O1857" s="9">
        <v>449.0</v>
      </c>
      <c r="P1857" s="8" t="s">
        <v>4183</v>
      </c>
      <c r="Q1857" s="8" t="s">
        <v>9187</v>
      </c>
      <c r="R1857" s="8" t="s">
        <v>9188</v>
      </c>
    </row>
    <row r="1858">
      <c r="A1858" s="8" t="s">
        <v>2444</v>
      </c>
      <c r="B1858" s="8" t="s">
        <v>12115</v>
      </c>
      <c r="C1858" s="8" t="s">
        <v>12116</v>
      </c>
      <c r="D1858" s="9">
        <v>8.421171467E9</v>
      </c>
      <c r="E1858" s="8" t="s">
        <v>12117</v>
      </c>
      <c r="F1858" s="8" t="s">
        <v>4454</v>
      </c>
      <c r="G1858" s="8" t="s">
        <v>12118</v>
      </c>
      <c r="H1858" s="8" t="s">
        <v>3479</v>
      </c>
      <c r="I1858" s="9">
        <v>0.0</v>
      </c>
      <c r="J1858" s="9">
        <v>2887.0</v>
      </c>
      <c r="K1858" s="9">
        <v>2887.0</v>
      </c>
      <c r="L1858" s="9">
        <v>2887.0</v>
      </c>
      <c r="M1858" s="9">
        <v>1368.0</v>
      </c>
      <c r="N1858" s="9">
        <v>795.0</v>
      </c>
      <c r="O1858" s="9">
        <v>724.0</v>
      </c>
      <c r="P1858" s="8" t="s">
        <v>6294</v>
      </c>
      <c r="Q1858" s="8" t="s">
        <v>12119</v>
      </c>
      <c r="R1858" s="8" t="s">
        <v>12120</v>
      </c>
    </row>
    <row r="1859">
      <c r="A1859" s="8" t="s">
        <v>2065</v>
      </c>
      <c r="B1859" s="8" t="s">
        <v>12121</v>
      </c>
      <c r="C1859" s="8" t="s">
        <v>11058</v>
      </c>
      <c r="D1859" s="9">
        <v>9.975141414E9</v>
      </c>
      <c r="E1859" s="8" t="s">
        <v>12122</v>
      </c>
      <c r="F1859" s="8" t="s">
        <v>3608</v>
      </c>
      <c r="G1859" s="8" t="s">
        <v>12123</v>
      </c>
      <c r="H1859" s="8" t="s">
        <v>12124</v>
      </c>
      <c r="I1859" s="9">
        <v>0.0</v>
      </c>
      <c r="J1859" s="9">
        <v>4500.0</v>
      </c>
      <c r="K1859" s="9">
        <v>4791.0</v>
      </c>
      <c r="L1859" s="9">
        <v>4500.0</v>
      </c>
      <c r="M1859" s="9">
        <v>3337.0</v>
      </c>
      <c r="N1859" s="9">
        <v>730.0</v>
      </c>
      <c r="O1859" s="9">
        <v>724.0</v>
      </c>
      <c r="P1859" s="8" t="s">
        <v>3480</v>
      </c>
      <c r="Q1859" s="8" t="s">
        <v>12125</v>
      </c>
      <c r="R1859" s="8" t="s">
        <v>12126</v>
      </c>
    </row>
    <row r="1860">
      <c r="A1860" s="8" t="s">
        <v>2445</v>
      </c>
      <c r="B1860" s="8" t="s">
        <v>12127</v>
      </c>
      <c r="C1860" s="8" t="s">
        <v>12128</v>
      </c>
      <c r="D1860" s="9">
        <v>7.769082842E9</v>
      </c>
      <c r="E1860" s="8" t="s">
        <v>12129</v>
      </c>
      <c r="F1860" s="8" t="s">
        <v>4252</v>
      </c>
      <c r="G1860" s="8" t="s">
        <v>12130</v>
      </c>
      <c r="H1860" s="8" t="s">
        <v>3479</v>
      </c>
      <c r="I1860" s="9">
        <v>0.0</v>
      </c>
      <c r="J1860" s="9">
        <v>4739.0</v>
      </c>
      <c r="K1860" s="9">
        <v>4739.0</v>
      </c>
      <c r="L1860" s="9">
        <v>4739.0</v>
      </c>
      <c r="M1860" s="9">
        <v>3140.0</v>
      </c>
      <c r="N1860" s="9">
        <v>900.0</v>
      </c>
      <c r="O1860" s="9">
        <v>699.0</v>
      </c>
      <c r="P1860" s="8" t="s">
        <v>4183</v>
      </c>
      <c r="Q1860" s="8" t="s">
        <v>12131</v>
      </c>
      <c r="R1860" s="8" t="s">
        <v>12132</v>
      </c>
    </row>
    <row r="1861">
      <c r="A1861" s="8" t="s">
        <v>2446</v>
      </c>
      <c r="B1861" s="8" t="s">
        <v>12133</v>
      </c>
      <c r="C1861" s="8" t="s">
        <v>12134</v>
      </c>
      <c r="D1861" s="9">
        <v>9.766580833E9</v>
      </c>
      <c r="E1861" s="8" t="s">
        <v>12135</v>
      </c>
      <c r="F1861" s="8" t="s">
        <v>5025</v>
      </c>
      <c r="G1861" s="8" t="s">
        <v>12136</v>
      </c>
      <c r="H1861" s="8" t="s">
        <v>3479</v>
      </c>
      <c r="I1861" s="9">
        <v>0.0</v>
      </c>
      <c r="J1861" s="9">
        <v>1549.0</v>
      </c>
      <c r="K1861" s="9">
        <v>1549.0</v>
      </c>
      <c r="L1861" s="9">
        <v>1549.0</v>
      </c>
      <c r="M1861" s="9">
        <v>370.0</v>
      </c>
      <c r="N1861" s="9">
        <v>730.0</v>
      </c>
      <c r="O1861" s="9">
        <v>449.0</v>
      </c>
      <c r="P1861" s="8" t="s">
        <v>4183</v>
      </c>
      <c r="Q1861" s="8" t="s">
        <v>12137</v>
      </c>
      <c r="R1861" s="8" t="s">
        <v>12138</v>
      </c>
    </row>
    <row r="1862">
      <c r="A1862" s="8" t="s">
        <v>2411</v>
      </c>
      <c r="B1862" s="8" t="s">
        <v>12139</v>
      </c>
      <c r="C1862" s="8" t="s">
        <v>12140</v>
      </c>
      <c r="D1862" s="9">
        <v>7.666526552E9</v>
      </c>
      <c r="E1862" s="8" t="s">
        <v>12141</v>
      </c>
      <c r="F1862" s="8" t="s">
        <v>3523</v>
      </c>
      <c r="G1862" s="8" t="s">
        <v>12142</v>
      </c>
      <c r="H1862" s="8" t="s">
        <v>12143</v>
      </c>
      <c r="I1862" s="9">
        <v>0.0</v>
      </c>
      <c r="J1862" s="9">
        <v>0.0</v>
      </c>
      <c r="K1862" s="9">
        <v>1863.0</v>
      </c>
      <c r="L1862" s="9">
        <v>1700.0</v>
      </c>
      <c r="M1862" s="9">
        <v>1663.0</v>
      </c>
      <c r="N1862" s="9">
        <v>0.0</v>
      </c>
      <c r="O1862" s="9">
        <v>200.0</v>
      </c>
      <c r="P1862" s="8" t="s">
        <v>3480</v>
      </c>
      <c r="Q1862" s="8"/>
      <c r="R1862" s="8"/>
    </row>
    <row r="1863">
      <c r="A1863" s="8" t="s">
        <v>2464</v>
      </c>
      <c r="B1863" s="8" t="s">
        <v>12144</v>
      </c>
      <c r="C1863" s="8" t="s">
        <v>12145</v>
      </c>
      <c r="D1863" s="9">
        <v>7.083185944E9</v>
      </c>
      <c r="E1863" s="8" t="s">
        <v>12146</v>
      </c>
      <c r="F1863" s="8" t="s">
        <v>12147</v>
      </c>
      <c r="G1863" s="8" t="s">
        <v>12148</v>
      </c>
      <c r="H1863" s="8" t="s">
        <v>3479</v>
      </c>
      <c r="I1863" s="9">
        <v>0.0</v>
      </c>
      <c r="J1863" s="9">
        <v>1289.0</v>
      </c>
      <c r="K1863" s="9">
        <v>1289.0</v>
      </c>
      <c r="L1863" s="9">
        <v>1289.0</v>
      </c>
      <c r="M1863" s="9">
        <v>350.0</v>
      </c>
      <c r="N1863" s="9">
        <v>190.0</v>
      </c>
      <c r="O1863" s="9">
        <v>749.0</v>
      </c>
      <c r="P1863" s="8" t="s">
        <v>3480</v>
      </c>
      <c r="Q1863" s="8" t="s">
        <v>12149</v>
      </c>
      <c r="R1863" s="8" t="s">
        <v>12150</v>
      </c>
    </row>
    <row r="1864">
      <c r="A1864" s="8" t="s">
        <v>2447</v>
      </c>
      <c r="B1864" s="8" t="s">
        <v>12151</v>
      </c>
      <c r="C1864" s="8" t="s">
        <v>12152</v>
      </c>
      <c r="D1864" s="9">
        <v>8.050433038E9</v>
      </c>
      <c r="E1864" s="8" t="s">
        <v>12153</v>
      </c>
      <c r="F1864" s="8" t="s">
        <v>4125</v>
      </c>
      <c r="G1864" s="8" t="s">
        <v>9190</v>
      </c>
      <c r="H1864" s="8" t="s">
        <v>3479</v>
      </c>
      <c r="I1864" s="9">
        <v>0.0</v>
      </c>
      <c r="J1864" s="9">
        <v>2480.0</v>
      </c>
      <c r="K1864" s="9">
        <v>2480.0</v>
      </c>
      <c r="L1864" s="9">
        <v>2480.0</v>
      </c>
      <c r="M1864" s="9">
        <v>484.0</v>
      </c>
      <c r="N1864" s="9">
        <v>1042.0</v>
      </c>
      <c r="O1864" s="9">
        <v>954.0</v>
      </c>
      <c r="P1864" s="8" t="s">
        <v>4183</v>
      </c>
      <c r="Q1864" s="8" t="s">
        <v>12154</v>
      </c>
      <c r="R1864" s="8" t="s">
        <v>12155</v>
      </c>
    </row>
    <row r="1865">
      <c r="A1865" s="8" t="s">
        <v>1211</v>
      </c>
      <c r="B1865" s="8" t="s">
        <v>12156</v>
      </c>
      <c r="C1865" s="8" t="s">
        <v>12157</v>
      </c>
      <c r="D1865" s="9">
        <v>7.387153454E9</v>
      </c>
      <c r="E1865" s="8" t="s">
        <v>12158</v>
      </c>
      <c r="F1865" s="8" t="s">
        <v>3908</v>
      </c>
      <c r="G1865" s="8" t="s">
        <v>3494</v>
      </c>
      <c r="H1865" s="8" t="s">
        <v>3479</v>
      </c>
      <c r="I1865" s="9">
        <v>0.0</v>
      </c>
      <c r="J1865" s="9">
        <v>2918.0</v>
      </c>
      <c r="K1865" s="9">
        <v>2918.0</v>
      </c>
      <c r="L1865" s="9">
        <v>2918.0</v>
      </c>
      <c r="M1865" s="9">
        <v>1204.0</v>
      </c>
      <c r="N1865" s="9">
        <v>840.0</v>
      </c>
      <c r="O1865" s="9">
        <v>874.0</v>
      </c>
      <c r="P1865" s="8" t="s">
        <v>3480</v>
      </c>
      <c r="Q1865" s="8"/>
      <c r="R1865" s="8"/>
    </row>
    <row r="1866">
      <c r="A1866" s="8" t="s">
        <v>2329</v>
      </c>
      <c r="B1866" s="8" t="s">
        <v>12159</v>
      </c>
      <c r="C1866" s="8" t="s">
        <v>10610</v>
      </c>
      <c r="D1866" s="9">
        <v>9.175438352E9</v>
      </c>
      <c r="E1866" s="8" t="s">
        <v>10611</v>
      </c>
      <c r="F1866" s="8" t="s">
        <v>4436</v>
      </c>
      <c r="G1866" s="8" t="s">
        <v>8893</v>
      </c>
      <c r="H1866" s="8" t="s">
        <v>3479</v>
      </c>
      <c r="I1866" s="9">
        <v>0.0</v>
      </c>
      <c r="J1866" s="9">
        <v>705.0</v>
      </c>
      <c r="K1866" s="9">
        <v>705.0</v>
      </c>
      <c r="L1866" s="9">
        <v>705.0</v>
      </c>
      <c r="M1866" s="9">
        <v>705.0</v>
      </c>
      <c r="N1866" s="9">
        <v>0.0</v>
      </c>
      <c r="O1866" s="9">
        <v>0.0</v>
      </c>
      <c r="P1866" s="8" t="s">
        <v>3519</v>
      </c>
      <c r="Q1866" s="8" t="s">
        <v>10613</v>
      </c>
      <c r="R1866" s="8" t="s">
        <v>10614</v>
      </c>
    </row>
    <row r="1867">
      <c r="A1867" s="8" t="s">
        <v>2455</v>
      </c>
      <c r="B1867" s="8" t="s">
        <v>12160</v>
      </c>
      <c r="C1867" s="8" t="s">
        <v>12161</v>
      </c>
      <c r="D1867" s="9">
        <v>9.922990686E9</v>
      </c>
      <c r="E1867" s="8" t="s">
        <v>12162</v>
      </c>
      <c r="F1867" s="8" t="s">
        <v>3809</v>
      </c>
      <c r="G1867" s="8" t="s">
        <v>12163</v>
      </c>
      <c r="H1867" s="8" t="s">
        <v>3479</v>
      </c>
      <c r="I1867" s="9">
        <v>0.0</v>
      </c>
      <c r="J1867" s="9">
        <v>1179.0</v>
      </c>
      <c r="K1867" s="9">
        <v>1179.0</v>
      </c>
      <c r="L1867" s="9">
        <v>1179.0</v>
      </c>
      <c r="M1867" s="9">
        <v>240.0</v>
      </c>
      <c r="N1867" s="9">
        <v>190.0</v>
      </c>
      <c r="O1867" s="9">
        <v>749.0</v>
      </c>
      <c r="P1867" s="8" t="s">
        <v>3480</v>
      </c>
      <c r="Q1867" s="8" t="s">
        <v>12164</v>
      </c>
      <c r="R1867" s="8"/>
    </row>
    <row r="1868">
      <c r="A1868" s="8" t="s">
        <v>1212</v>
      </c>
      <c r="B1868" s="8" t="s">
        <v>12165</v>
      </c>
      <c r="C1868" s="8" t="s">
        <v>9265</v>
      </c>
      <c r="D1868" s="9">
        <v>9.665276545E9</v>
      </c>
      <c r="E1868" s="8" t="s">
        <v>12166</v>
      </c>
      <c r="F1868" s="8" t="s">
        <v>6508</v>
      </c>
      <c r="G1868" s="8" t="s">
        <v>12167</v>
      </c>
      <c r="H1868" s="8" t="s">
        <v>3479</v>
      </c>
      <c r="I1868" s="9">
        <v>0.0</v>
      </c>
      <c r="J1868" s="9">
        <v>4981.0</v>
      </c>
      <c r="K1868" s="9">
        <v>4981.0</v>
      </c>
      <c r="L1868" s="9">
        <v>4981.0</v>
      </c>
      <c r="M1868" s="9">
        <v>3419.0</v>
      </c>
      <c r="N1868" s="9">
        <v>838.0</v>
      </c>
      <c r="O1868" s="9">
        <v>724.0</v>
      </c>
      <c r="P1868" s="8" t="s">
        <v>3519</v>
      </c>
      <c r="Q1868" s="8"/>
      <c r="R1868" s="8"/>
    </row>
    <row r="1869">
      <c r="A1869" s="8" t="s">
        <v>2448</v>
      </c>
      <c r="B1869" s="8" t="s">
        <v>12168</v>
      </c>
      <c r="C1869" s="8" t="s">
        <v>8172</v>
      </c>
      <c r="D1869" s="9">
        <v>7.875015709E9</v>
      </c>
      <c r="E1869" s="8" t="s">
        <v>8173</v>
      </c>
      <c r="F1869" s="8" t="s">
        <v>3828</v>
      </c>
      <c r="G1869" s="8" t="s">
        <v>12169</v>
      </c>
      <c r="H1869" s="8" t="s">
        <v>3479</v>
      </c>
      <c r="I1869" s="9">
        <v>0.0</v>
      </c>
      <c r="J1869" s="9">
        <v>1323.0</v>
      </c>
      <c r="K1869" s="9">
        <v>1323.0</v>
      </c>
      <c r="L1869" s="9">
        <v>1323.0</v>
      </c>
      <c r="M1869" s="9">
        <v>100.0</v>
      </c>
      <c r="N1869" s="9">
        <v>774.0</v>
      </c>
      <c r="O1869" s="9">
        <v>449.0</v>
      </c>
      <c r="P1869" s="8" t="s">
        <v>4183</v>
      </c>
      <c r="Q1869" s="8" t="s">
        <v>8175</v>
      </c>
      <c r="R1869" s="8" t="s">
        <v>8176</v>
      </c>
    </row>
    <row r="1870">
      <c r="A1870" s="8" t="s">
        <v>2449</v>
      </c>
      <c r="B1870" s="8" t="s">
        <v>12170</v>
      </c>
      <c r="C1870" s="8" t="s">
        <v>4136</v>
      </c>
      <c r="D1870" s="9">
        <v>9.598070337E9</v>
      </c>
      <c r="E1870" s="8" t="s">
        <v>12171</v>
      </c>
      <c r="F1870" s="8" t="s">
        <v>4189</v>
      </c>
      <c r="G1870" s="8" t="s">
        <v>12172</v>
      </c>
      <c r="H1870" s="8" t="s">
        <v>3479</v>
      </c>
      <c r="I1870" s="9">
        <v>10.0</v>
      </c>
      <c r="J1870" s="9">
        <v>1334.0</v>
      </c>
      <c r="K1870" s="9">
        <v>1344.0</v>
      </c>
      <c r="L1870" s="9">
        <v>1344.0</v>
      </c>
      <c r="M1870" s="9">
        <v>165.0</v>
      </c>
      <c r="N1870" s="9">
        <v>730.0</v>
      </c>
      <c r="O1870" s="9">
        <v>449.0</v>
      </c>
      <c r="P1870" s="8" t="s">
        <v>4183</v>
      </c>
      <c r="Q1870" s="8" t="s">
        <v>12173</v>
      </c>
      <c r="R1870" s="8" t="s">
        <v>12174</v>
      </c>
    </row>
    <row r="1871">
      <c r="A1871" s="8" t="s">
        <v>2465</v>
      </c>
      <c r="B1871" s="8" t="s">
        <v>12175</v>
      </c>
      <c r="C1871" s="8" t="s">
        <v>12176</v>
      </c>
      <c r="D1871" s="9">
        <v>9.503446412E9</v>
      </c>
      <c r="E1871" s="8" t="s">
        <v>12177</v>
      </c>
      <c r="F1871" s="8" t="s">
        <v>3658</v>
      </c>
      <c r="G1871" s="8" t="s">
        <v>12178</v>
      </c>
      <c r="H1871" s="8" t="s">
        <v>3479</v>
      </c>
      <c r="I1871" s="9">
        <v>0.0</v>
      </c>
      <c r="J1871" s="9">
        <v>2223.0</v>
      </c>
      <c r="K1871" s="9">
        <v>2223.0</v>
      </c>
      <c r="L1871" s="9">
        <v>2223.0</v>
      </c>
      <c r="M1871" s="9">
        <v>1000.0</v>
      </c>
      <c r="N1871" s="9">
        <v>774.0</v>
      </c>
      <c r="O1871" s="9">
        <v>449.0</v>
      </c>
      <c r="P1871" s="8" t="s">
        <v>3480</v>
      </c>
      <c r="Q1871" s="8" t="s">
        <v>12179</v>
      </c>
      <c r="R1871" s="8" t="s">
        <v>12180</v>
      </c>
    </row>
    <row r="1872">
      <c r="A1872" s="8" t="s">
        <v>2451</v>
      </c>
      <c r="B1872" s="8" t="s">
        <v>12181</v>
      </c>
      <c r="C1872" s="8" t="s">
        <v>3475</v>
      </c>
      <c r="D1872" s="9">
        <v>7.887425646E9</v>
      </c>
      <c r="E1872" s="8" t="s">
        <v>3476</v>
      </c>
      <c r="F1872" s="8" t="s">
        <v>3477</v>
      </c>
      <c r="G1872" s="8" t="s">
        <v>12182</v>
      </c>
      <c r="H1872" s="8" t="s">
        <v>3479</v>
      </c>
      <c r="I1872" s="9">
        <v>0.0</v>
      </c>
      <c r="J1872" s="9">
        <v>2207.0</v>
      </c>
      <c r="K1872" s="9">
        <v>2207.0</v>
      </c>
      <c r="L1872" s="9">
        <v>2207.0</v>
      </c>
      <c r="M1872" s="9">
        <v>1000.0</v>
      </c>
      <c r="N1872" s="9">
        <v>758.0</v>
      </c>
      <c r="O1872" s="9">
        <v>449.0</v>
      </c>
      <c r="P1872" s="8" t="s">
        <v>4183</v>
      </c>
      <c r="Q1872" s="8" t="s">
        <v>3481</v>
      </c>
      <c r="R1872" s="8" t="s">
        <v>3482</v>
      </c>
    </row>
    <row r="1873">
      <c r="A1873" s="8" t="s">
        <v>2450</v>
      </c>
      <c r="B1873" s="8" t="s">
        <v>12183</v>
      </c>
      <c r="C1873" s="8" t="s">
        <v>7263</v>
      </c>
      <c r="D1873" s="9">
        <v>9.765844529E9</v>
      </c>
      <c r="E1873" s="8" t="s">
        <v>7264</v>
      </c>
      <c r="F1873" s="8" t="s">
        <v>3908</v>
      </c>
      <c r="G1873" s="8" t="s">
        <v>9642</v>
      </c>
      <c r="H1873" s="8" t="s">
        <v>3479</v>
      </c>
      <c r="I1873" s="9">
        <v>0.0</v>
      </c>
      <c r="J1873" s="9">
        <v>8627.0</v>
      </c>
      <c r="K1873" s="9">
        <v>8627.0</v>
      </c>
      <c r="L1873" s="9">
        <v>8627.0</v>
      </c>
      <c r="M1873" s="9">
        <v>6504.0</v>
      </c>
      <c r="N1873" s="9">
        <v>774.0</v>
      </c>
      <c r="O1873" s="9">
        <v>1349.0</v>
      </c>
      <c r="P1873" s="8" t="s">
        <v>4183</v>
      </c>
      <c r="Q1873" s="8" t="s">
        <v>7266</v>
      </c>
      <c r="R1873" s="8" t="s">
        <v>7267</v>
      </c>
    </row>
    <row r="1874">
      <c r="A1874" s="8" t="s">
        <v>2453</v>
      </c>
      <c r="B1874" s="8" t="s">
        <v>12184</v>
      </c>
      <c r="C1874" s="8" t="s">
        <v>4566</v>
      </c>
      <c r="D1874" s="9">
        <v>7.387043468E9</v>
      </c>
      <c r="E1874" s="8" t="s">
        <v>4567</v>
      </c>
      <c r="F1874" s="8" t="s">
        <v>3589</v>
      </c>
      <c r="G1874" s="8" t="s">
        <v>12185</v>
      </c>
      <c r="H1874" s="8" t="s">
        <v>3479</v>
      </c>
      <c r="I1874" s="9">
        <v>4557.0</v>
      </c>
      <c r="J1874" s="9">
        <v>0.0</v>
      </c>
      <c r="K1874" s="9">
        <v>4557.0</v>
      </c>
      <c r="L1874" s="9">
        <v>4557.0</v>
      </c>
      <c r="M1874" s="9">
        <v>3128.0</v>
      </c>
      <c r="N1874" s="9">
        <v>730.0</v>
      </c>
      <c r="O1874" s="9">
        <v>699.0</v>
      </c>
      <c r="P1874" s="8" t="s">
        <v>4183</v>
      </c>
      <c r="Q1874" s="8" t="s">
        <v>4569</v>
      </c>
      <c r="R1874" s="8" t="s">
        <v>4570</v>
      </c>
    </row>
    <row r="1875">
      <c r="A1875" s="8" t="s">
        <v>2452</v>
      </c>
      <c r="B1875" s="8" t="s">
        <v>12186</v>
      </c>
      <c r="C1875" s="8" t="s">
        <v>8215</v>
      </c>
      <c r="D1875" s="9">
        <v>7.387094988E9</v>
      </c>
      <c r="E1875" s="8" t="s">
        <v>8216</v>
      </c>
      <c r="F1875" s="8" t="s">
        <v>3608</v>
      </c>
      <c r="G1875" s="8" t="s">
        <v>12187</v>
      </c>
      <c r="H1875" s="8" t="s">
        <v>3479</v>
      </c>
      <c r="I1875" s="9">
        <v>0.0</v>
      </c>
      <c r="J1875" s="9">
        <v>1259.0</v>
      </c>
      <c r="K1875" s="9">
        <v>1259.0</v>
      </c>
      <c r="L1875" s="9">
        <v>1259.0</v>
      </c>
      <c r="M1875" s="9">
        <v>80.0</v>
      </c>
      <c r="N1875" s="9">
        <v>730.0</v>
      </c>
      <c r="O1875" s="9">
        <v>449.0</v>
      </c>
      <c r="P1875" s="8" t="s">
        <v>4183</v>
      </c>
      <c r="Q1875" s="8" t="s">
        <v>8218</v>
      </c>
      <c r="R1875" s="8" t="s">
        <v>8219</v>
      </c>
    </row>
    <row r="1876">
      <c r="A1876" s="8" t="s">
        <v>1213</v>
      </c>
      <c r="B1876" s="8" t="s">
        <v>12188</v>
      </c>
      <c r="C1876" s="8" t="s">
        <v>11196</v>
      </c>
      <c r="D1876" s="9">
        <v>8.007444915E9</v>
      </c>
      <c r="E1876" s="8" t="s">
        <v>12189</v>
      </c>
      <c r="F1876" s="8" t="s">
        <v>3557</v>
      </c>
      <c r="G1876" s="8" t="s">
        <v>12190</v>
      </c>
      <c r="H1876" s="8" t="s">
        <v>3479</v>
      </c>
      <c r="I1876" s="9">
        <v>0.0</v>
      </c>
      <c r="J1876" s="9">
        <v>8104.0</v>
      </c>
      <c r="K1876" s="9">
        <v>8104.0</v>
      </c>
      <c r="L1876" s="9">
        <v>8104.0</v>
      </c>
      <c r="M1876" s="9">
        <v>5522.0</v>
      </c>
      <c r="N1876" s="9">
        <v>782.0</v>
      </c>
      <c r="O1876" s="9">
        <v>1800.0</v>
      </c>
      <c r="P1876" s="8" t="s">
        <v>3480</v>
      </c>
      <c r="Q1876" s="8" t="s">
        <v>11199</v>
      </c>
      <c r="R1876" s="8" t="s">
        <v>11200</v>
      </c>
    </row>
    <row r="1877">
      <c r="A1877" s="8" t="s">
        <v>2454</v>
      </c>
      <c r="B1877" s="8" t="s">
        <v>12191</v>
      </c>
      <c r="C1877" s="8" t="s">
        <v>12192</v>
      </c>
      <c r="D1877" s="9">
        <v>8.149792916E9</v>
      </c>
      <c r="E1877" s="8" t="s">
        <v>12193</v>
      </c>
      <c r="F1877" s="8" t="s">
        <v>4011</v>
      </c>
      <c r="G1877" s="8" t="s">
        <v>3494</v>
      </c>
      <c r="H1877" s="8" t="s">
        <v>3479</v>
      </c>
      <c r="I1877" s="9">
        <v>0.0</v>
      </c>
      <c r="J1877" s="9">
        <v>3709.0</v>
      </c>
      <c r="K1877" s="9">
        <v>3709.0</v>
      </c>
      <c r="L1877" s="9">
        <v>3709.0</v>
      </c>
      <c r="M1877" s="9">
        <v>2571.0</v>
      </c>
      <c r="N1877" s="9">
        <v>64.0</v>
      </c>
      <c r="O1877" s="9">
        <v>1074.0</v>
      </c>
      <c r="P1877" s="8" t="s">
        <v>4183</v>
      </c>
      <c r="Q1877" s="8" t="s">
        <v>12194</v>
      </c>
      <c r="R1877" s="8" t="s">
        <v>12195</v>
      </c>
    </row>
    <row r="1878">
      <c r="A1878" s="8" t="s">
        <v>1214</v>
      </c>
      <c r="B1878" s="8" t="s">
        <v>12196</v>
      </c>
      <c r="C1878" s="8" t="s">
        <v>8408</v>
      </c>
      <c r="D1878" s="9">
        <v>8.208687302E9</v>
      </c>
      <c r="E1878" s="8" t="s">
        <v>12197</v>
      </c>
      <c r="F1878" s="8" t="s">
        <v>4558</v>
      </c>
      <c r="G1878" s="8" t="s">
        <v>12198</v>
      </c>
      <c r="H1878" s="8" t="s">
        <v>3479</v>
      </c>
      <c r="I1878" s="9">
        <v>0.0</v>
      </c>
      <c r="J1878" s="9">
        <v>2098.0</v>
      </c>
      <c r="K1878" s="9">
        <v>2098.0</v>
      </c>
      <c r="L1878" s="9">
        <v>2098.0</v>
      </c>
      <c r="M1878" s="9">
        <v>594.0</v>
      </c>
      <c r="N1878" s="9">
        <v>780.0</v>
      </c>
      <c r="O1878" s="9">
        <v>724.0</v>
      </c>
      <c r="P1878" s="8" t="s">
        <v>3480</v>
      </c>
      <c r="Q1878" s="8"/>
      <c r="R1878" s="8"/>
    </row>
    <row r="1879">
      <c r="A1879" s="8" t="s">
        <v>1215</v>
      </c>
      <c r="B1879" s="8" t="s">
        <v>12199</v>
      </c>
      <c r="C1879" s="8" t="s">
        <v>12200</v>
      </c>
      <c r="D1879" s="9">
        <v>8.623065653E9</v>
      </c>
      <c r="E1879" s="8" t="s">
        <v>12201</v>
      </c>
      <c r="F1879" s="8" t="s">
        <v>3757</v>
      </c>
      <c r="G1879" s="8" t="s">
        <v>9302</v>
      </c>
      <c r="H1879" s="8" t="s">
        <v>3479</v>
      </c>
      <c r="I1879" s="9">
        <v>0.0</v>
      </c>
      <c r="J1879" s="9">
        <v>3827.0</v>
      </c>
      <c r="K1879" s="9">
        <v>3827.0</v>
      </c>
      <c r="L1879" s="9">
        <v>3827.0</v>
      </c>
      <c r="M1879" s="9">
        <v>1145.0</v>
      </c>
      <c r="N1879" s="9">
        <v>1533.0</v>
      </c>
      <c r="O1879" s="9">
        <v>1149.0</v>
      </c>
      <c r="P1879" s="8" t="s">
        <v>3480</v>
      </c>
      <c r="Q1879" s="8" t="s">
        <v>12202</v>
      </c>
      <c r="R1879" s="8" t="s">
        <v>12203</v>
      </c>
    </row>
    <row r="1880">
      <c r="A1880" s="8" t="s">
        <v>1216</v>
      </c>
      <c r="B1880" s="8" t="s">
        <v>12204</v>
      </c>
      <c r="C1880" s="8" t="s">
        <v>12205</v>
      </c>
      <c r="D1880" s="9">
        <v>9.890504294E9</v>
      </c>
      <c r="E1880" s="8" t="s">
        <v>12206</v>
      </c>
      <c r="F1880" s="8" t="s">
        <v>3594</v>
      </c>
      <c r="G1880" s="8" t="s">
        <v>3494</v>
      </c>
      <c r="H1880" s="8" t="s">
        <v>3479</v>
      </c>
      <c r="I1880" s="9">
        <v>0.0</v>
      </c>
      <c r="J1880" s="9">
        <v>930.0</v>
      </c>
      <c r="K1880" s="9">
        <v>930.0</v>
      </c>
      <c r="L1880" s="9">
        <v>930.0</v>
      </c>
      <c r="M1880" s="9">
        <v>930.0</v>
      </c>
      <c r="N1880" s="9">
        <v>0.0</v>
      </c>
      <c r="O1880" s="9">
        <v>0.0</v>
      </c>
      <c r="P1880" s="8" t="s">
        <v>3480</v>
      </c>
      <c r="Q1880" s="8"/>
      <c r="R1880" s="8"/>
    </row>
    <row r="1881">
      <c r="A1881" s="8" t="s">
        <v>1217</v>
      </c>
      <c r="B1881" s="8" t="s">
        <v>12207</v>
      </c>
      <c r="C1881" s="8" t="s">
        <v>12208</v>
      </c>
      <c r="D1881" s="9">
        <v>9.579730207E9</v>
      </c>
      <c r="E1881" s="8" t="s">
        <v>12209</v>
      </c>
      <c r="F1881" s="8" t="s">
        <v>3601</v>
      </c>
      <c r="G1881" s="8" t="s">
        <v>12210</v>
      </c>
      <c r="H1881" s="8" t="s">
        <v>3479</v>
      </c>
      <c r="I1881" s="9">
        <v>0.0</v>
      </c>
      <c r="J1881" s="9">
        <v>1456.0</v>
      </c>
      <c r="K1881" s="9">
        <v>1456.0</v>
      </c>
      <c r="L1881" s="9">
        <v>1456.0</v>
      </c>
      <c r="M1881" s="9">
        <v>227.0</v>
      </c>
      <c r="N1881" s="9">
        <v>780.0</v>
      </c>
      <c r="O1881" s="9">
        <v>449.0</v>
      </c>
      <c r="P1881" s="8" t="s">
        <v>3480</v>
      </c>
      <c r="Q1881" s="8" t="s">
        <v>12211</v>
      </c>
      <c r="R1881" s="8" t="s">
        <v>12212</v>
      </c>
    </row>
    <row r="1882">
      <c r="A1882" s="8" t="s">
        <v>1218</v>
      </c>
      <c r="B1882" s="8" t="s">
        <v>12213</v>
      </c>
      <c r="C1882" s="8" t="s">
        <v>12214</v>
      </c>
      <c r="D1882" s="9">
        <v>9.764705265E9</v>
      </c>
      <c r="E1882" s="8" t="s">
        <v>12215</v>
      </c>
      <c r="F1882" s="8" t="s">
        <v>3542</v>
      </c>
      <c r="G1882" s="8" t="s">
        <v>12216</v>
      </c>
      <c r="H1882" s="8" t="s">
        <v>3479</v>
      </c>
      <c r="I1882" s="9">
        <v>0.0</v>
      </c>
      <c r="J1882" s="9">
        <v>2770.0</v>
      </c>
      <c r="K1882" s="9">
        <v>2770.0</v>
      </c>
      <c r="L1882" s="9">
        <v>2770.0</v>
      </c>
      <c r="M1882" s="9">
        <v>586.0</v>
      </c>
      <c r="N1882" s="9">
        <v>730.0</v>
      </c>
      <c r="O1882" s="9">
        <v>1454.0</v>
      </c>
      <c r="P1882" s="8" t="s">
        <v>3480</v>
      </c>
      <c r="Q1882" s="8" t="s">
        <v>4381</v>
      </c>
      <c r="R1882" s="8" t="s">
        <v>12217</v>
      </c>
    </row>
    <row r="1883">
      <c r="A1883" s="8" t="s">
        <v>2466</v>
      </c>
      <c r="B1883" s="8" t="s">
        <v>12218</v>
      </c>
      <c r="C1883" s="8" t="s">
        <v>12219</v>
      </c>
      <c r="D1883" s="9">
        <v>9.158998051E9</v>
      </c>
      <c r="E1883" s="8" t="s">
        <v>12220</v>
      </c>
      <c r="F1883" s="8" t="s">
        <v>3517</v>
      </c>
      <c r="G1883" s="8" t="s">
        <v>12221</v>
      </c>
      <c r="H1883" s="8" t="s">
        <v>3479</v>
      </c>
      <c r="I1883" s="9">
        <v>0.0</v>
      </c>
      <c r="J1883" s="9">
        <v>1604.0</v>
      </c>
      <c r="K1883" s="9">
        <v>1604.0</v>
      </c>
      <c r="L1883" s="9">
        <v>1604.0</v>
      </c>
      <c r="M1883" s="9">
        <v>425.0</v>
      </c>
      <c r="N1883" s="9">
        <v>730.0</v>
      </c>
      <c r="O1883" s="9">
        <v>449.0</v>
      </c>
      <c r="P1883" s="8" t="s">
        <v>3480</v>
      </c>
      <c r="Q1883" s="8" t="s">
        <v>12222</v>
      </c>
      <c r="R1883" s="8" t="s">
        <v>12223</v>
      </c>
    </row>
    <row r="1884">
      <c r="A1884" s="8" t="s">
        <v>2468</v>
      </c>
      <c r="B1884" s="8" t="s">
        <v>12224</v>
      </c>
      <c r="C1884" s="8" t="s">
        <v>12225</v>
      </c>
      <c r="D1884" s="9">
        <v>9.423306423E9</v>
      </c>
      <c r="E1884" s="8" t="s">
        <v>12226</v>
      </c>
      <c r="F1884" s="8" t="s">
        <v>4454</v>
      </c>
      <c r="G1884" s="8" t="s">
        <v>12227</v>
      </c>
      <c r="H1884" s="8" t="s">
        <v>3479</v>
      </c>
      <c r="I1884" s="9">
        <v>0.0</v>
      </c>
      <c r="J1884" s="9">
        <v>1602.0</v>
      </c>
      <c r="K1884" s="9">
        <v>1602.0</v>
      </c>
      <c r="L1884" s="9">
        <v>1602.0</v>
      </c>
      <c r="M1884" s="9">
        <v>423.0</v>
      </c>
      <c r="N1884" s="9">
        <v>730.0</v>
      </c>
      <c r="O1884" s="9">
        <v>449.0</v>
      </c>
      <c r="P1884" s="8" t="s">
        <v>3480</v>
      </c>
      <c r="Q1884" s="8" t="s">
        <v>12228</v>
      </c>
      <c r="R1884" s="8" t="s">
        <v>12229</v>
      </c>
    </row>
    <row r="1885">
      <c r="A1885" s="8" t="s">
        <v>2383</v>
      </c>
      <c r="B1885" s="8" t="s">
        <v>12230</v>
      </c>
      <c r="C1885" s="8" t="s">
        <v>3656</v>
      </c>
      <c r="D1885" s="9">
        <v>9.6658311E9</v>
      </c>
      <c r="E1885" s="8" t="s">
        <v>12231</v>
      </c>
      <c r="F1885" s="8" t="s">
        <v>3828</v>
      </c>
      <c r="G1885" s="8" t="s">
        <v>12232</v>
      </c>
      <c r="H1885" s="8" t="s">
        <v>3479</v>
      </c>
      <c r="I1885" s="9">
        <v>0.0</v>
      </c>
      <c r="J1885" s="9">
        <v>1857.0</v>
      </c>
      <c r="K1885" s="9">
        <v>1857.0</v>
      </c>
      <c r="L1885" s="9">
        <v>1857.0</v>
      </c>
      <c r="M1885" s="9">
        <v>553.0</v>
      </c>
      <c r="N1885" s="9">
        <v>775.0</v>
      </c>
      <c r="O1885" s="9">
        <v>529.0</v>
      </c>
      <c r="P1885" s="8" t="s">
        <v>3544</v>
      </c>
      <c r="Q1885" s="8"/>
      <c r="R1885" s="8"/>
    </row>
    <row r="1886">
      <c r="A1886" s="8" t="s">
        <v>2469</v>
      </c>
      <c r="B1886" s="8" t="s">
        <v>12233</v>
      </c>
      <c r="C1886" s="8" t="s">
        <v>11828</v>
      </c>
      <c r="D1886" s="9">
        <v>9.049505156E9</v>
      </c>
      <c r="E1886" s="8" t="s">
        <v>12234</v>
      </c>
      <c r="F1886" s="8" t="s">
        <v>3768</v>
      </c>
      <c r="G1886" s="8" t="s">
        <v>12235</v>
      </c>
      <c r="H1886" s="8" t="s">
        <v>3479</v>
      </c>
      <c r="I1886" s="9">
        <v>0.0</v>
      </c>
      <c r="J1886" s="9">
        <v>2505.0</v>
      </c>
      <c r="K1886" s="9">
        <v>2505.0</v>
      </c>
      <c r="L1886" s="9">
        <v>2505.0</v>
      </c>
      <c r="M1886" s="9">
        <v>952.0</v>
      </c>
      <c r="N1886" s="9">
        <v>774.0</v>
      </c>
      <c r="O1886" s="9">
        <v>779.0</v>
      </c>
      <c r="P1886" s="8" t="s">
        <v>3480</v>
      </c>
      <c r="Q1886" s="8" t="s">
        <v>12236</v>
      </c>
      <c r="R1886" s="8" t="s">
        <v>12237</v>
      </c>
    </row>
    <row r="1887">
      <c r="A1887" s="8" t="s">
        <v>2470</v>
      </c>
      <c r="B1887" s="8" t="s">
        <v>12238</v>
      </c>
      <c r="C1887" s="8" t="s">
        <v>12239</v>
      </c>
      <c r="D1887" s="9">
        <v>8.871771299E9</v>
      </c>
      <c r="E1887" s="8" t="s">
        <v>12240</v>
      </c>
      <c r="F1887" s="8" t="s">
        <v>4373</v>
      </c>
      <c r="G1887" s="8" t="s">
        <v>12241</v>
      </c>
      <c r="H1887" s="8" t="s">
        <v>3479</v>
      </c>
      <c r="I1887" s="9">
        <v>0.0</v>
      </c>
      <c r="J1887" s="9">
        <v>1411.0</v>
      </c>
      <c r="K1887" s="9">
        <v>1411.0</v>
      </c>
      <c r="L1887" s="9">
        <v>1411.0</v>
      </c>
      <c r="M1887" s="9">
        <v>812.0</v>
      </c>
      <c r="N1887" s="9">
        <v>0.0</v>
      </c>
      <c r="O1887" s="9">
        <v>599.0</v>
      </c>
      <c r="P1887" s="8" t="s">
        <v>3480</v>
      </c>
      <c r="Q1887" s="8" t="s">
        <v>4381</v>
      </c>
      <c r="R1887" s="8" t="s">
        <v>12242</v>
      </c>
    </row>
    <row r="1888">
      <c r="A1888" s="8" t="s">
        <v>2399</v>
      </c>
      <c r="B1888" s="8" t="s">
        <v>12243</v>
      </c>
      <c r="C1888" s="8" t="s">
        <v>12244</v>
      </c>
      <c r="D1888" s="9">
        <v>9.426566757E9</v>
      </c>
      <c r="E1888" s="8" t="s">
        <v>12245</v>
      </c>
      <c r="F1888" s="8" t="s">
        <v>3977</v>
      </c>
      <c r="G1888" s="8" t="s">
        <v>12246</v>
      </c>
      <c r="H1888" s="8" t="s">
        <v>3479</v>
      </c>
      <c r="I1888" s="9">
        <v>0.0</v>
      </c>
      <c r="J1888" s="9">
        <v>1613.0</v>
      </c>
      <c r="K1888" s="9">
        <v>1613.0</v>
      </c>
      <c r="L1888" s="9">
        <v>1613.0</v>
      </c>
      <c r="M1888" s="9">
        <v>434.0</v>
      </c>
      <c r="N1888" s="9">
        <v>730.0</v>
      </c>
      <c r="O1888" s="9">
        <v>449.0</v>
      </c>
      <c r="P1888" s="8" t="s">
        <v>3480</v>
      </c>
      <c r="Q1888" s="8" t="s">
        <v>12247</v>
      </c>
      <c r="R1888" s="8" t="s">
        <v>12248</v>
      </c>
    </row>
    <row r="1889">
      <c r="A1889" s="8" t="s">
        <v>999</v>
      </c>
      <c r="B1889" s="8" t="s">
        <v>12249</v>
      </c>
      <c r="C1889" s="8" t="s">
        <v>12250</v>
      </c>
      <c r="D1889" s="9">
        <v>8.62408059E9</v>
      </c>
      <c r="E1889" s="8" t="s">
        <v>12251</v>
      </c>
      <c r="F1889" s="8" t="s">
        <v>4373</v>
      </c>
      <c r="G1889" s="8" t="s">
        <v>10042</v>
      </c>
      <c r="H1889" s="8" t="s">
        <v>3479</v>
      </c>
      <c r="I1889" s="9">
        <v>0.0</v>
      </c>
      <c r="J1889" s="9">
        <v>1520.0</v>
      </c>
      <c r="K1889" s="9">
        <v>1520.0</v>
      </c>
      <c r="L1889" s="9">
        <v>1520.0</v>
      </c>
      <c r="M1889" s="9">
        <v>1195.0</v>
      </c>
      <c r="N1889" s="9">
        <v>0.0</v>
      </c>
      <c r="O1889" s="9">
        <v>325.0</v>
      </c>
      <c r="P1889" s="8" t="s">
        <v>3480</v>
      </c>
      <c r="Q1889" s="8"/>
      <c r="R1889" s="8"/>
    </row>
    <row r="1890">
      <c r="A1890" s="8" t="s">
        <v>1723</v>
      </c>
      <c r="B1890" s="8" t="s">
        <v>12252</v>
      </c>
      <c r="C1890" s="8" t="s">
        <v>5127</v>
      </c>
      <c r="D1890" s="9">
        <v>9.008696102E9</v>
      </c>
      <c r="E1890" s="8" t="s">
        <v>12253</v>
      </c>
      <c r="F1890" s="8" t="s">
        <v>3901</v>
      </c>
      <c r="G1890" s="8" t="s">
        <v>12254</v>
      </c>
      <c r="H1890" s="8" t="s">
        <v>3479</v>
      </c>
      <c r="I1890" s="9">
        <v>0.0</v>
      </c>
      <c r="J1890" s="9">
        <v>1444.0</v>
      </c>
      <c r="K1890" s="9">
        <v>1444.0</v>
      </c>
      <c r="L1890" s="9">
        <v>1444.0</v>
      </c>
      <c r="M1890" s="9">
        <v>135.0</v>
      </c>
      <c r="N1890" s="9">
        <v>710.0</v>
      </c>
      <c r="O1890" s="9">
        <v>599.0</v>
      </c>
      <c r="P1890" s="8" t="s">
        <v>3480</v>
      </c>
      <c r="Q1890" s="8" t="s">
        <v>12255</v>
      </c>
      <c r="R1890" s="8" t="s">
        <v>12256</v>
      </c>
    </row>
    <row r="1891">
      <c r="A1891" s="8" t="s">
        <v>2497</v>
      </c>
      <c r="B1891" s="8" t="s">
        <v>12257</v>
      </c>
      <c r="C1891" s="8" t="s">
        <v>8752</v>
      </c>
      <c r="D1891" s="9">
        <v>7.028001439E9</v>
      </c>
      <c r="E1891" s="8" t="s">
        <v>8753</v>
      </c>
      <c r="F1891" s="8" t="s">
        <v>3608</v>
      </c>
      <c r="G1891" s="8" t="s">
        <v>12258</v>
      </c>
      <c r="H1891" s="8" t="s">
        <v>3479</v>
      </c>
      <c r="I1891" s="9">
        <v>0.0</v>
      </c>
      <c r="J1891" s="9">
        <v>3042.0</v>
      </c>
      <c r="K1891" s="9">
        <v>3042.0</v>
      </c>
      <c r="L1891" s="9">
        <v>3042.0</v>
      </c>
      <c r="M1891" s="9">
        <v>1783.0</v>
      </c>
      <c r="N1891" s="9">
        <v>730.0</v>
      </c>
      <c r="O1891" s="9">
        <v>529.0</v>
      </c>
      <c r="P1891" s="8" t="s">
        <v>3480</v>
      </c>
      <c r="Q1891" s="8" t="s">
        <v>8755</v>
      </c>
      <c r="R1891" s="8" t="s">
        <v>8756</v>
      </c>
    </row>
    <row r="1892">
      <c r="A1892" s="8" t="s">
        <v>1000</v>
      </c>
      <c r="B1892" s="8" t="s">
        <v>12259</v>
      </c>
      <c r="C1892" s="8" t="s">
        <v>12260</v>
      </c>
      <c r="D1892" s="9">
        <v>7.587488517E9</v>
      </c>
      <c r="E1892" s="8" t="s">
        <v>12261</v>
      </c>
      <c r="F1892" s="8" t="s">
        <v>9777</v>
      </c>
      <c r="G1892" s="8" t="s">
        <v>11612</v>
      </c>
      <c r="H1892" s="8" t="s">
        <v>3479</v>
      </c>
      <c r="I1892" s="9">
        <v>0.0</v>
      </c>
      <c r="J1892" s="9">
        <v>2050.0</v>
      </c>
      <c r="K1892" s="9">
        <v>2050.0</v>
      </c>
      <c r="L1892" s="9">
        <v>2050.0</v>
      </c>
      <c r="M1892" s="9">
        <v>817.0</v>
      </c>
      <c r="N1892" s="9">
        <v>784.0</v>
      </c>
      <c r="O1892" s="9">
        <v>449.0</v>
      </c>
      <c r="P1892" s="8" t="s">
        <v>3480</v>
      </c>
      <c r="Q1892" s="8" t="s">
        <v>12262</v>
      </c>
      <c r="R1892" s="8" t="s">
        <v>12263</v>
      </c>
    </row>
    <row r="1893">
      <c r="A1893" s="8" t="s">
        <v>1001</v>
      </c>
      <c r="B1893" s="8" t="s">
        <v>12264</v>
      </c>
      <c r="C1893" s="8" t="s">
        <v>12265</v>
      </c>
      <c r="D1893" s="9">
        <v>9.5270929E9</v>
      </c>
      <c r="E1893" s="8" t="s">
        <v>12266</v>
      </c>
      <c r="F1893" s="8" t="s">
        <v>12267</v>
      </c>
      <c r="G1893" s="8" t="s">
        <v>12268</v>
      </c>
      <c r="H1893" s="8" t="s">
        <v>3479</v>
      </c>
      <c r="I1893" s="9">
        <v>0.0</v>
      </c>
      <c r="J1893" s="9">
        <v>2964.0</v>
      </c>
      <c r="K1893" s="9">
        <v>2964.0</v>
      </c>
      <c r="L1893" s="9">
        <v>2964.0</v>
      </c>
      <c r="M1893" s="9">
        <v>1356.0</v>
      </c>
      <c r="N1893" s="9">
        <v>784.0</v>
      </c>
      <c r="O1893" s="9">
        <v>824.0</v>
      </c>
      <c r="P1893" s="8" t="s">
        <v>3480</v>
      </c>
      <c r="Q1893" s="8"/>
      <c r="R1893" s="8"/>
    </row>
    <row r="1894">
      <c r="A1894" s="8" t="s">
        <v>1002</v>
      </c>
      <c r="B1894" s="8" t="s">
        <v>12269</v>
      </c>
      <c r="C1894" s="8" t="s">
        <v>12270</v>
      </c>
      <c r="D1894" s="9">
        <v>9.970058268E9</v>
      </c>
      <c r="E1894" s="8" t="s">
        <v>12271</v>
      </c>
      <c r="F1894" s="8" t="s">
        <v>3608</v>
      </c>
      <c r="G1894" s="8" t="s">
        <v>12272</v>
      </c>
      <c r="H1894" s="8" t="s">
        <v>3479</v>
      </c>
      <c r="I1894" s="9">
        <v>0.0</v>
      </c>
      <c r="J1894" s="9">
        <v>1807.0</v>
      </c>
      <c r="K1894" s="9">
        <v>1807.0</v>
      </c>
      <c r="L1894" s="9">
        <v>1807.0</v>
      </c>
      <c r="M1894" s="9">
        <v>628.0</v>
      </c>
      <c r="N1894" s="9">
        <v>730.0</v>
      </c>
      <c r="O1894" s="9">
        <v>449.0</v>
      </c>
      <c r="P1894" s="8" t="s">
        <v>3480</v>
      </c>
      <c r="Q1894" s="8" t="s">
        <v>12273</v>
      </c>
      <c r="R1894" s="8" t="s">
        <v>12274</v>
      </c>
    </row>
    <row r="1895">
      <c r="A1895" s="8" t="s">
        <v>1003</v>
      </c>
      <c r="B1895" s="8" t="s">
        <v>12275</v>
      </c>
      <c r="C1895" s="8" t="s">
        <v>12276</v>
      </c>
      <c r="D1895" s="9">
        <v>8.69812478E9</v>
      </c>
      <c r="E1895" s="8" t="s">
        <v>12277</v>
      </c>
      <c r="F1895" s="8" t="s">
        <v>4252</v>
      </c>
      <c r="G1895" s="8" t="s">
        <v>12278</v>
      </c>
      <c r="H1895" s="8" t="s">
        <v>3479</v>
      </c>
      <c r="I1895" s="9">
        <v>-0.5</v>
      </c>
      <c r="J1895" s="9">
        <v>3926.5</v>
      </c>
      <c r="K1895" s="9">
        <v>3926.0</v>
      </c>
      <c r="L1895" s="9">
        <v>3926.0</v>
      </c>
      <c r="M1895" s="9">
        <v>1191.0</v>
      </c>
      <c r="N1895" s="9">
        <v>1086.0</v>
      </c>
      <c r="O1895" s="9">
        <v>1649.0</v>
      </c>
      <c r="P1895" s="8" t="s">
        <v>3480</v>
      </c>
      <c r="Q1895" s="8" t="s">
        <v>12279</v>
      </c>
      <c r="R1895" s="8" t="s">
        <v>12280</v>
      </c>
    </row>
    <row r="1896">
      <c r="A1896" s="8" t="s">
        <v>1004</v>
      </c>
      <c r="B1896" s="8" t="s">
        <v>12281</v>
      </c>
      <c r="C1896" s="8" t="s">
        <v>12282</v>
      </c>
      <c r="D1896" s="9">
        <v>8.329124368E9</v>
      </c>
      <c r="E1896" s="8" t="s">
        <v>12283</v>
      </c>
      <c r="F1896" s="8" t="s">
        <v>4252</v>
      </c>
      <c r="G1896" s="8" t="s">
        <v>12284</v>
      </c>
      <c r="H1896" s="8" t="s">
        <v>3479</v>
      </c>
      <c r="I1896" s="9">
        <v>0.0</v>
      </c>
      <c r="J1896" s="9">
        <v>4026.0</v>
      </c>
      <c r="K1896" s="9">
        <v>4026.0</v>
      </c>
      <c r="L1896" s="9">
        <v>4026.0</v>
      </c>
      <c r="M1896" s="9">
        <v>1269.0</v>
      </c>
      <c r="N1896" s="9">
        <v>1508.0</v>
      </c>
      <c r="O1896" s="9">
        <v>1249.0</v>
      </c>
      <c r="P1896" s="8" t="s">
        <v>3480</v>
      </c>
      <c r="Q1896" s="8" t="s">
        <v>12285</v>
      </c>
      <c r="R1896" s="8" t="s">
        <v>12286</v>
      </c>
    </row>
    <row r="1897">
      <c r="A1897" s="8" t="s">
        <v>1005</v>
      </c>
      <c r="B1897" s="8" t="s">
        <v>12287</v>
      </c>
      <c r="C1897" s="8" t="s">
        <v>3938</v>
      </c>
      <c r="D1897" s="9">
        <v>8.871618082E9</v>
      </c>
      <c r="E1897" s="8" t="s">
        <v>3939</v>
      </c>
      <c r="F1897" s="8" t="s">
        <v>3608</v>
      </c>
      <c r="G1897" s="8" t="s">
        <v>12288</v>
      </c>
      <c r="H1897" s="8" t="s">
        <v>3479</v>
      </c>
      <c r="I1897" s="9">
        <v>0.0</v>
      </c>
      <c r="J1897" s="9">
        <v>787.0</v>
      </c>
      <c r="K1897" s="9">
        <v>787.0</v>
      </c>
      <c r="L1897" s="9">
        <v>787.0</v>
      </c>
      <c r="M1897" s="9">
        <v>338.0</v>
      </c>
      <c r="N1897" s="9">
        <v>0.0</v>
      </c>
      <c r="O1897" s="9">
        <v>449.0</v>
      </c>
      <c r="P1897" s="8" t="s">
        <v>3480</v>
      </c>
      <c r="Q1897" s="8" t="s">
        <v>3941</v>
      </c>
      <c r="R1897" s="8" t="s">
        <v>3942</v>
      </c>
    </row>
    <row r="1898">
      <c r="A1898" s="8" t="s">
        <v>1006</v>
      </c>
      <c r="B1898" s="8" t="s">
        <v>12289</v>
      </c>
      <c r="C1898" s="8" t="s">
        <v>12290</v>
      </c>
      <c r="D1898" s="9">
        <v>8.698534478E9</v>
      </c>
      <c r="E1898" s="8" t="s">
        <v>12291</v>
      </c>
      <c r="F1898" s="8" t="s">
        <v>4454</v>
      </c>
      <c r="G1898" s="8" t="s">
        <v>12292</v>
      </c>
      <c r="H1898" s="8" t="s">
        <v>3479</v>
      </c>
      <c r="I1898" s="9">
        <v>0.0</v>
      </c>
      <c r="J1898" s="9">
        <v>1259.0</v>
      </c>
      <c r="K1898" s="9">
        <v>1259.0</v>
      </c>
      <c r="L1898" s="9">
        <v>1259.0</v>
      </c>
      <c r="M1898" s="9">
        <v>80.0</v>
      </c>
      <c r="N1898" s="9">
        <v>730.0</v>
      </c>
      <c r="O1898" s="9">
        <v>449.0</v>
      </c>
      <c r="P1898" s="8" t="s">
        <v>3480</v>
      </c>
      <c r="Q1898" s="8" t="s">
        <v>12293</v>
      </c>
      <c r="R1898" s="8" t="s">
        <v>12294</v>
      </c>
    </row>
    <row r="1899">
      <c r="A1899" s="8" t="s">
        <v>1007</v>
      </c>
      <c r="B1899" s="8" t="s">
        <v>12295</v>
      </c>
      <c r="C1899" s="8" t="s">
        <v>9996</v>
      </c>
      <c r="D1899" s="9">
        <v>9.88100726E9</v>
      </c>
      <c r="E1899" s="8" t="s">
        <v>12296</v>
      </c>
      <c r="F1899" s="8" t="s">
        <v>6118</v>
      </c>
      <c r="G1899" s="8" t="s">
        <v>11845</v>
      </c>
      <c r="H1899" s="8" t="s">
        <v>3479</v>
      </c>
      <c r="I1899" s="9">
        <v>0.0</v>
      </c>
      <c r="J1899" s="9">
        <v>1559.0</v>
      </c>
      <c r="K1899" s="9">
        <v>1559.0</v>
      </c>
      <c r="L1899" s="9">
        <v>1559.0</v>
      </c>
      <c r="M1899" s="9">
        <v>380.0</v>
      </c>
      <c r="N1899" s="9">
        <v>730.0</v>
      </c>
      <c r="O1899" s="9">
        <v>449.0</v>
      </c>
      <c r="P1899" s="8" t="s">
        <v>3480</v>
      </c>
      <c r="Q1899" s="8" t="s">
        <v>12297</v>
      </c>
      <c r="R1899" s="8" t="s">
        <v>12298</v>
      </c>
    </row>
    <row r="1900">
      <c r="A1900" s="8" t="s">
        <v>1979</v>
      </c>
      <c r="B1900" s="8" t="s">
        <v>12299</v>
      </c>
      <c r="C1900" s="8" t="s">
        <v>12300</v>
      </c>
      <c r="D1900" s="9">
        <v>9.960740206E9</v>
      </c>
      <c r="E1900" s="8" t="s">
        <v>12301</v>
      </c>
      <c r="F1900" s="8" t="s">
        <v>3564</v>
      </c>
      <c r="G1900" s="8" t="s">
        <v>5842</v>
      </c>
      <c r="H1900" s="8" t="s">
        <v>3479</v>
      </c>
      <c r="I1900" s="9">
        <v>0.0</v>
      </c>
      <c r="J1900" s="9">
        <v>3264.0</v>
      </c>
      <c r="K1900" s="9">
        <v>3264.0</v>
      </c>
      <c r="L1900" s="9">
        <v>3264.0</v>
      </c>
      <c r="M1900" s="9">
        <v>2325.0</v>
      </c>
      <c r="N1900" s="9">
        <v>190.0</v>
      </c>
      <c r="O1900" s="9">
        <v>749.0</v>
      </c>
      <c r="P1900" s="8" t="s">
        <v>3480</v>
      </c>
      <c r="Q1900" s="8"/>
      <c r="R1900" s="8"/>
    </row>
    <row r="1901">
      <c r="A1901" s="8" t="s">
        <v>1010</v>
      </c>
      <c r="B1901" s="8" t="s">
        <v>12302</v>
      </c>
      <c r="C1901" s="8" t="s">
        <v>12303</v>
      </c>
      <c r="D1901" s="9">
        <v>9.245106459E9</v>
      </c>
      <c r="E1901" s="8" t="s">
        <v>12304</v>
      </c>
      <c r="F1901" s="8" t="s">
        <v>5918</v>
      </c>
      <c r="G1901" s="8" t="s">
        <v>12305</v>
      </c>
      <c r="H1901" s="8" t="s">
        <v>3479</v>
      </c>
      <c r="I1901" s="9">
        <v>0.0</v>
      </c>
      <c r="J1901" s="9">
        <v>2832.0</v>
      </c>
      <c r="K1901" s="9">
        <v>2832.0</v>
      </c>
      <c r="L1901" s="9">
        <v>2832.0</v>
      </c>
      <c r="M1901" s="9">
        <v>1538.0</v>
      </c>
      <c r="N1901" s="9">
        <v>190.0</v>
      </c>
      <c r="O1901" s="9">
        <v>1104.0</v>
      </c>
      <c r="P1901" s="8" t="s">
        <v>3480</v>
      </c>
      <c r="Q1901" s="8"/>
      <c r="R1901" s="8"/>
    </row>
    <row r="1902">
      <c r="A1902" s="8" t="s">
        <v>2505</v>
      </c>
      <c r="B1902" s="8" t="s">
        <v>12306</v>
      </c>
      <c r="C1902" s="8" t="s">
        <v>12307</v>
      </c>
      <c r="D1902" s="9">
        <v>7.030590621E9</v>
      </c>
      <c r="E1902" s="8" t="s">
        <v>12308</v>
      </c>
      <c r="F1902" s="8" t="s">
        <v>5613</v>
      </c>
      <c r="G1902" s="8" t="s">
        <v>9165</v>
      </c>
      <c r="H1902" s="8" t="s">
        <v>3479</v>
      </c>
      <c r="I1902" s="9">
        <v>0.0</v>
      </c>
      <c r="J1902" s="9">
        <v>1812.0</v>
      </c>
      <c r="K1902" s="9">
        <v>1812.0</v>
      </c>
      <c r="L1902" s="9">
        <v>1812.0</v>
      </c>
      <c r="M1902" s="9">
        <v>353.0</v>
      </c>
      <c r="N1902" s="9">
        <v>730.0</v>
      </c>
      <c r="O1902" s="9">
        <v>729.0</v>
      </c>
      <c r="P1902" s="8" t="s">
        <v>3480</v>
      </c>
      <c r="Q1902" s="8"/>
      <c r="R1902" s="8"/>
    </row>
    <row r="1903">
      <c r="A1903" s="8" t="s">
        <v>1011</v>
      </c>
      <c r="B1903" s="8" t="s">
        <v>12309</v>
      </c>
      <c r="C1903" s="8" t="s">
        <v>12310</v>
      </c>
      <c r="D1903" s="9">
        <v>8.98388833E9</v>
      </c>
      <c r="E1903" s="8" t="s">
        <v>12311</v>
      </c>
      <c r="F1903" s="8" t="s">
        <v>3821</v>
      </c>
      <c r="G1903" s="8" t="s">
        <v>12312</v>
      </c>
      <c r="H1903" s="8" t="s">
        <v>3479</v>
      </c>
      <c r="I1903" s="9">
        <v>0.0</v>
      </c>
      <c r="J1903" s="9">
        <v>2667.0</v>
      </c>
      <c r="K1903" s="9">
        <v>2667.0</v>
      </c>
      <c r="L1903" s="9">
        <v>2667.0</v>
      </c>
      <c r="M1903" s="9">
        <v>1413.0</v>
      </c>
      <c r="N1903" s="9">
        <v>730.0</v>
      </c>
      <c r="O1903" s="9">
        <v>524.0</v>
      </c>
      <c r="P1903" s="8" t="s">
        <v>3480</v>
      </c>
      <c r="Q1903" s="8"/>
      <c r="R1903" s="8"/>
    </row>
    <row r="1904">
      <c r="A1904" s="8" t="s">
        <v>1012</v>
      </c>
      <c r="B1904" s="8" t="s">
        <v>12313</v>
      </c>
      <c r="C1904" s="8" t="s">
        <v>12314</v>
      </c>
      <c r="D1904" s="9">
        <v>9.545225465E9</v>
      </c>
      <c r="E1904" s="8" t="s">
        <v>12315</v>
      </c>
      <c r="F1904" s="8" t="s">
        <v>3542</v>
      </c>
      <c r="G1904" s="8" t="s">
        <v>12316</v>
      </c>
      <c r="H1904" s="8" t="s">
        <v>3479</v>
      </c>
      <c r="I1904" s="9">
        <v>0.0</v>
      </c>
      <c r="J1904" s="9">
        <v>2994.0</v>
      </c>
      <c r="K1904" s="9">
        <v>2994.0</v>
      </c>
      <c r="L1904" s="9">
        <v>2994.0</v>
      </c>
      <c r="M1904" s="9">
        <v>1740.0</v>
      </c>
      <c r="N1904" s="9">
        <v>730.0</v>
      </c>
      <c r="O1904" s="9">
        <v>524.0</v>
      </c>
      <c r="P1904" s="8" t="s">
        <v>3480</v>
      </c>
      <c r="Q1904" s="8" t="s">
        <v>12317</v>
      </c>
      <c r="R1904" s="8" t="s">
        <v>12318</v>
      </c>
    </row>
    <row r="1905">
      <c r="A1905" s="8" t="s">
        <v>1724</v>
      </c>
      <c r="B1905" s="8" t="s">
        <v>12319</v>
      </c>
      <c r="C1905" s="8" t="s">
        <v>12320</v>
      </c>
      <c r="D1905" s="9">
        <v>7.218777384E9</v>
      </c>
      <c r="E1905" s="8" t="s">
        <v>12321</v>
      </c>
      <c r="F1905" s="8" t="s">
        <v>4454</v>
      </c>
      <c r="G1905" s="8" t="s">
        <v>12322</v>
      </c>
      <c r="H1905" s="8" t="s">
        <v>3479</v>
      </c>
      <c r="I1905" s="9">
        <v>0.0</v>
      </c>
      <c r="J1905" s="9">
        <v>3043.0</v>
      </c>
      <c r="K1905" s="9">
        <v>3043.0</v>
      </c>
      <c r="L1905" s="9">
        <v>3043.0</v>
      </c>
      <c r="M1905" s="9">
        <v>1524.0</v>
      </c>
      <c r="N1905" s="9">
        <v>795.0</v>
      </c>
      <c r="O1905" s="9">
        <v>724.0</v>
      </c>
      <c r="P1905" s="8" t="s">
        <v>3480</v>
      </c>
      <c r="Q1905" s="8" t="s">
        <v>12323</v>
      </c>
      <c r="R1905" s="8" t="s">
        <v>12324</v>
      </c>
    </row>
    <row r="1906">
      <c r="A1906" s="8" t="s">
        <v>1013</v>
      </c>
      <c r="B1906" s="8" t="s">
        <v>12325</v>
      </c>
      <c r="C1906" s="8" t="s">
        <v>12326</v>
      </c>
      <c r="D1906" s="9">
        <v>9.834496568E9</v>
      </c>
      <c r="E1906" s="8" t="s">
        <v>12327</v>
      </c>
      <c r="F1906" s="8" t="s">
        <v>3564</v>
      </c>
      <c r="G1906" s="8" t="s">
        <v>12328</v>
      </c>
      <c r="H1906" s="8" t="s">
        <v>3479</v>
      </c>
      <c r="I1906" s="9">
        <v>0.0</v>
      </c>
      <c r="J1906" s="9">
        <v>1239.0</v>
      </c>
      <c r="K1906" s="9">
        <v>1239.0</v>
      </c>
      <c r="L1906" s="9">
        <v>1239.0</v>
      </c>
      <c r="M1906" s="9">
        <v>300.0</v>
      </c>
      <c r="N1906" s="9">
        <v>190.0</v>
      </c>
      <c r="O1906" s="9">
        <v>749.0</v>
      </c>
      <c r="P1906" s="8" t="s">
        <v>3480</v>
      </c>
      <c r="Q1906" s="8"/>
      <c r="R1906" s="8"/>
    </row>
    <row r="1907">
      <c r="A1907" s="8" t="s">
        <v>2400</v>
      </c>
      <c r="B1907" s="8" t="s">
        <v>12329</v>
      </c>
      <c r="C1907" s="8" t="s">
        <v>7082</v>
      </c>
      <c r="D1907" s="9">
        <v>9.970725771E9</v>
      </c>
      <c r="E1907" s="8" t="s">
        <v>12330</v>
      </c>
      <c r="F1907" s="8" t="s">
        <v>3550</v>
      </c>
      <c r="G1907" s="8" t="s">
        <v>12331</v>
      </c>
      <c r="H1907" s="8" t="s">
        <v>3479</v>
      </c>
      <c r="I1907" s="9">
        <v>0.0</v>
      </c>
      <c r="J1907" s="9">
        <v>1069.0</v>
      </c>
      <c r="K1907" s="9">
        <v>1069.0</v>
      </c>
      <c r="L1907" s="9">
        <v>1069.0</v>
      </c>
      <c r="M1907" s="9">
        <v>80.0</v>
      </c>
      <c r="N1907" s="9">
        <v>540.0</v>
      </c>
      <c r="O1907" s="9">
        <v>449.0</v>
      </c>
      <c r="P1907" s="8" t="s">
        <v>3480</v>
      </c>
      <c r="Q1907" s="8" t="s">
        <v>12332</v>
      </c>
      <c r="R1907" s="8" t="s">
        <v>12333</v>
      </c>
    </row>
    <row r="1908">
      <c r="A1908" s="8" t="s">
        <v>1014</v>
      </c>
      <c r="B1908" s="8" t="s">
        <v>12334</v>
      </c>
      <c r="C1908" s="8" t="s">
        <v>6145</v>
      </c>
      <c r="D1908" s="9">
        <v>7.507291543E9</v>
      </c>
      <c r="E1908" s="8" t="s">
        <v>6146</v>
      </c>
      <c r="F1908" s="8" t="s">
        <v>3757</v>
      </c>
      <c r="G1908" s="8" t="s">
        <v>12335</v>
      </c>
      <c r="H1908" s="8" t="s">
        <v>3479</v>
      </c>
      <c r="I1908" s="9">
        <v>0.0</v>
      </c>
      <c r="J1908" s="9">
        <v>4577.0</v>
      </c>
      <c r="K1908" s="9">
        <v>4577.0</v>
      </c>
      <c r="L1908" s="9">
        <v>4577.0</v>
      </c>
      <c r="M1908" s="9">
        <v>1455.0</v>
      </c>
      <c r="N1908" s="9">
        <v>1598.0</v>
      </c>
      <c r="O1908" s="9">
        <v>1524.0</v>
      </c>
      <c r="P1908" s="8" t="s">
        <v>3480</v>
      </c>
      <c r="Q1908" s="8" t="s">
        <v>6147</v>
      </c>
      <c r="R1908" s="8" t="s">
        <v>6148</v>
      </c>
    </row>
    <row r="1909">
      <c r="A1909" s="8" t="s">
        <v>1219</v>
      </c>
      <c r="B1909" s="8" t="s">
        <v>12336</v>
      </c>
      <c r="C1909" s="8" t="s">
        <v>12337</v>
      </c>
      <c r="D1909" s="9">
        <v>7.499793906E9</v>
      </c>
      <c r="E1909" s="8" t="s">
        <v>12338</v>
      </c>
      <c r="F1909" s="8" t="s">
        <v>4663</v>
      </c>
      <c r="G1909" s="8" t="s">
        <v>12339</v>
      </c>
      <c r="H1909" s="8" t="s">
        <v>3479</v>
      </c>
      <c r="I1909" s="9">
        <v>0.0</v>
      </c>
      <c r="J1909" s="9">
        <v>2200.0</v>
      </c>
      <c r="K1909" s="9">
        <v>2200.0</v>
      </c>
      <c r="L1909" s="9">
        <v>2200.0</v>
      </c>
      <c r="M1909" s="9">
        <v>2200.0</v>
      </c>
      <c r="N1909" s="9">
        <v>0.0</v>
      </c>
      <c r="O1909" s="9">
        <v>0.0</v>
      </c>
      <c r="P1909" s="8" t="s">
        <v>3480</v>
      </c>
      <c r="Q1909" s="8"/>
      <c r="R1909" s="8"/>
    </row>
    <row r="1910">
      <c r="A1910" s="8" t="s">
        <v>1015</v>
      </c>
      <c r="B1910" s="8" t="s">
        <v>12340</v>
      </c>
      <c r="C1910" s="8" t="s">
        <v>12341</v>
      </c>
      <c r="D1910" s="9">
        <v>7.387186785E9</v>
      </c>
      <c r="E1910" s="8" t="s">
        <v>12342</v>
      </c>
      <c r="F1910" s="8" t="s">
        <v>3550</v>
      </c>
      <c r="G1910" s="8" t="s">
        <v>12343</v>
      </c>
      <c r="H1910" s="8" t="s">
        <v>3479</v>
      </c>
      <c r="I1910" s="9">
        <v>0.0</v>
      </c>
      <c r="J1910" s="9">
        <v>1364.0</v>
      </c>
      <c r="K1910" s="9">
        <v>1364.0</v>
      </c>
      <c r="L1910" s="9">
        <v>1364.0</v>
      </c>
      <c r="M1910" s="9">
        <v>185.0</v>
      </c>
      <c r="N1910" s="9">
        <v>730.0</v>
      </c>
      <c r="O1910" s="9">
        <v>449.0</v>
      </c>
      <c r="P1910" s="8" t="s">
        <v>3480</v>
      </c>
      <c r="Q1910" s="8" t="s">
        <v>12344</v>
      </c>
      <c r="R1910" s="8" t="s">
        <v>12345</v>
      </c>
    </row>
    <row r="1911">
      <c r="A1911" s="8" t="s">
        <v>1016</v>
      </c>
      <c r="B1911" s="8" t="s">
        <v>12346</v>
      </c>
      <c r="C1911" s="8" t="s">
        <v>11640</v>
      </c>
      <c r="D1911" s="9">
        <v>9.028976273E9</v>
      </c>
      <c r="E1911" s="8" t="s">
        <v>11641</v>
      </c>
      <c r="F1911" s="8" t="s">
        <v>3550</v>
      </c>
      <c r="G1911" s="8" t="s">
        <v>12347</v>
      </c>
      <c r="H1911" s="8" t="s">
        <v>3479</v>
      </c>
      <c r="I1911" s="9">
        <v>0.0</v>
      </c>
      <c r="J1911" s="9">
        <v>1199.0</v>
      </c>
      <c r="K1911" s="9">
        <v>1199.0</v>
      </c>
      <c r="L1911" s="9">
        <v>1199.0</v>
      </c>
      <c r="M1911" s="9">
        <v>100.0</v>
      </c>
      <c r="N1911" s="9">
        <v>650.0</v>
      </c>
      <c r="O1911" s="9">
        <v>449.0</v>
      </c>
      <c r="P1911" s="8" t="s">
        <v>3480</v>
      </c>
      <c r="Q1911" s="8" t="s">
        <v>11644</v>
      </c>
      <c r="R1911" s="8" t="s">
        <v>11645</v>
      </c>
    </row>
    <row r="1912">
      <c r="A1912" s="8" t="s">
        <v>2467</v>
      </c>
      <c r="B1912" s="8" t="s">
        <v>12348</v>
      </c>
      <c r="C1912" s="8" t="s">
        <v>12349</v>
      </c>
      <c r="D1912" s="9">
        <v>7.066010023E9</v>
      </c>
      <c r="E1912" s="8" t="s">
        <v>12350</v>
      </c>
      <c r="F1912" s="8" t="s">
        <v>3576</v>
      </c>
      <c r="G1912" s="8" t="s">
        <v>12351</v>
      </c>
      <c r="H1912" s="8" t="s">
        <v>12352</v>
      </c>
      <c r="I1912" s="9">
        <v>0.0</v>
      </c>
      <c r="J1912" s="9">
        <v>4700.0</v>
      </c>
      <c r="K1912" s="9">
        <v>4748.0</v>
      </c>
      <c r="L1912" s="9">
        <v>4700.0</v>
      </c>
      <c r="M1912" s="9">
        <v>3222.0</v>
      </c>
      <c r="N1912" s="9">
        <v>702.0</v>
      </c>
      <c r="O1912" s="9">
        <v>824.0</v>
      </c>
      <c r="P1912" s="8" t="s">
        <v>3480</v>
      </c>
      <c r="Q1912" s="8"/>
      <c r="R1912" s="8"/>
    </row>
    <row r="1913">
      <c r="A1913" s="8" t="s">
        <v>1008</v>
      </c>
      <c r="B1913" s="8" t="s">
        <v>12353</v>
      </c>
      <c r="C1913" s="8" t="s">
        <v>8827</v>
      </c>
      <c r="D1913" s="9">
        <v>9.860196088E9</v>
      </c>
      <c r="E1913" s="8" t="s">
        <v>8828</v>
      </c>
      <c r="F1913" s="8" t="s">
        <v>6206</v>
      </c>
      <c r="G1913" s="8" t="s">
        <v>8829</v>
      </c>
      <c r="H1913" s="8" t="s">
        <v>3479</v>
      </c>
      <c r="I1913" s="9">
        <v>0.0</v>
      </c>
      <c r="J1913" s="9">
        <v>1074.0</v>
      </c>
      <c r="K1913" s="9">
        <v>1074.0</v>
      </c>
      <c r="L1913" s="9">
        <v>1074.0</v>
      </c>
      <c r="M1913" s="9">
        <v>135.0</v>
      </c>
      <c r="N1913" s="9">
        <v>190.0</v>
      </c>
      <c r="O1913" s="9">
        <v>749.0</v>
      </c>
      <c r="P1913" s="8" t="s">
        <v>3480</v>
      </c>
      <c r="Q1913" s="8" t="s">
        <v>8830</v>
      </c>
      <c r="R1913" s="8" t="s">
        <v>8831</v>
      </c>
    </row>
    <row r="1914">
      <c r="A1914" s="8" t="s">
        <v>1018</v>
      </c>
      <c r="B1914" s="8" t="s">
        <v>12354</v>
      </c>
      <c r="C1914" s="8" t="s">
        <v>12355</v>
      </c>
      <c r="D1914" s="9">
        <v>9.325110511E9</v>
      </c>
      <c r="E1914" s="8" t="s">
        <v>12356</v>
      </c>
      <c r="F1914" s="8" t="s">
        <v>3509</v>
      </c>
      <c r="G1914" s="8" t="s">
        <v>12357</v>
      </c>
      <c r="H1914" s="8" t="s">
        <v>3479</v>
      </c>
      <c r="I1914" s="9">
        <v>0.0</v>
      </c>
      <c r="J1914" s="9">
        <v>1939.0</v>
      </c>
      <c r="K1914" s="9">
        <v>1939.0</v>
      </c>
      <c r="L1914" s="9">
        <v>1939.0</v>
      </c>
      <c r="M1914" s="9">
        <v>760.0</v>
      </c>
      <c r="N1914" s="9">
        <v>730.0</v>
      </c>
      <c r="O1914" s="9">
        <v>449.0</v>
      </c>
      <c r="P1914" s="8" t="s">
        <v>3480</v>
      </c>
      <c r="Q1914" s="8" t="s">
        <v>12358</v>
      </c>
      <c r="R1914" s="8" t="s">
        <v>12359</v>
      </c>
    </row>
    <row r="1915">
      <c r="A1915" s="8" t="s">
        <v>1019</v>
      </c>
      <c r="B1915" s="8" t="s">
        <v>12360</v>
      </c>
      <c r="C1915" s="8" t="s">
        <v>6126</v>
      </c>
      <c r="D1915" s="9">
        <v>7.038172288E9</v>
      </c>
      <c r="E1915" s="8" t="s">
        <v>6127</v>
      </c>
      <c r="F1915" s="8" t="s">
        <v>3550</v>
      </c>
      <c r="G1915" s="8" t="s">
        <v>12361</v>
      </c>
      <c r="H1915" s="8" t="s">
        <v>3479</v>
      </c>
      <c r="I1915" s="9">
        <v>0.0</v>
      </c>
      <c r="J1915" s="9">
        <v>1633.0</v>
      </c>
      <c r="K1915" s="9">
        <v>1633.0</v>
      </c>
      <c r="L1915" s="9">
        <v>1633.0</v>
      </c>
      <c r="M1915" s="9">
        <v>523.0</v>
      </c>
      <c r="N1915" s="9">
        <v>661.0</v>
      </c>
      <c r="O1915" s="9">
        <v>449.0</v>
      </c>
      <c r="P1915" s="8" t="s">
        <v>3480</v>
      </c>
      <c r="Q1915" s="8" t="s">
        <v>6129</v>
      </c>
      <c r="R1915" s="8" t="s">
        <v>6130</v>
      </c>
    </row>
    <row r="1916">
      <c r="A1916" s="8" t="s">
        <v>1020</v>
      </c>
      <c r="B1916" s="8" t="s">
        <v>12362</v>
      </c>
      <c r="C1916" s="8" t="s">
        <v>12363</v>
      </c>
      <c r="D1916" s="9">
        <v>9.921516024E9</v>
      </c>
      <c r="E1916" s="8" t="s">
        <v>12364</v>
      </c>
      <c r="F1916" s="8" t="s">
        <v>3681</v>
      </c>
      <c r="G1916" s="8" t="s">
        <v>12365</v>
      </c>
      <c r="H1916" s="8" t="s">
        <v>3479</v>
      </c>
      <c r="I1916" s="9">
        <v>0.0</v>
      </c>
      <c r="J1916" s="9">
        <v>3966.0</v>
      </c>
      <c r="K1916" s="9">
        <v>3966.0</v>
      </c>
      <c r="L1916" s="9">
        <v>3966.0</v>
      </c>
      <c r="M1916" s="9">
        <v>1978.0</v>
      </c>
      <c r="N1916" s="9">
        <v>784.0</v>
      </c>
      <c r="O1916" s="9">
        <v>1204.0</v>
      </c>
      <c r="P1916" s="8" t="s">
        <v>3480</v>
      </c>
      <c r="Q1916" s="8" t="s">
        <v>12366</v>
      </c>
      <c r="R1916" s="8" t="s">
        <v>12367</v>
      </c>
    </row>
    <row r="1917">
      <c r="A1917" s="8" t="s">
        <v>1021</v>
      </c>
      <c r="B1917" s="8" t="s">
        <v>12368</v>
      </c>
      <c r="C1917" s="8" t="s">
        <v>6086</v>
      </c>
      <c r="D1917" s="9">
        <v>9.039169632E9</v>
      </c>
      <c r="E1917" s="8" t="s">
        <v>9346</v>
      </c>
      <c r="F1917" s="8" t="s">
        <v>3589</v>
      </c>
      <c r="G1917" s="8" t="s">
        <v>12369</v>
      </c>
      <c r="H1917" s="8" t="s">
        <v>3479</v>
      </c>
      <c r="I1917" s="9">
        <v>0.0</v>
      </c>
      <c r="J1917" s="9">
        <v>2017.0</v>
      </c>
      <c r="K1917" s="9">
        <v>2017.0</v>
      </c>
      <c r="L1917" s="9">
        <v>2017.0</v>
      </c>
      <c r="M1917" s="9">
        <v>763.0</v>
      </c>
      <c r="N1917" s="9">
        <v>730.0</v>
      </c>
      <c r="O1917" s="9">
        <v>524.0</v>
      </c>
      <c r="P1917" s="8" t="s">
        <v>3480</v>
      </c>
      <c r="Q1917" s="8" t="s">
        <v>9348</v>
      </c>
      <c r="R1917" s="8" t="s">
        <v>9349</v>
      </c>
    </row>
    <row r="1918">
      <c r="A1918" s="8" t="s">
        <v>1022</v>
      </c>
      <c r="B1918" s="8" t="s">
        <v>12370</v>
      </c>
      <c r="C1918" s="8" t="s">
        <v>7108</v>
      </c>
      <c r="D1918" s="9">
        <v>9.011312727E9</v>
      </c>
      <c r="E1918" s="8" t="s">
        <v>12371</v>
      </c>
      <c r="F1918" s="8" t="s">
        <v>3509</v>
      </c>
      <c r="G1918" s="8" t="s">
        <v>12372</v>
      </c>
      <c r="H1918" s="8" t="s">
        <v>3479</v>
      </c>
      <c r="I1918" s="9">
        <v>0.0</v>
      </c>
      <c r="J1918" s="9">
        <v>1259.0</v>
      </c>
      <c r="K1918" s="9">
        <v>1259.0</v>
      </c>
      <c r="L1918" s="9">
        <v>1259.0</v>
      </c>
      <c r="M1918" s="9">
        <v>80.0</v>
      </c>
      <c r="N1918" s="9">
        <v>730.0</v>
      </c>
      <c r="O1918" s="9">
        <v>449.0</v>
      </c>
      <c r="P1918" s="8" t="s">
        <v>3480</v>
      </c>
      <c r="Q1918" s="8" t="s">
        <v>12373</v>
      </c>
      <c r="R1918" s="8"/>
    </row>
    <row r="1919">
      <c r="A1919" s="8" t="s">
        <v>1023</v>
      </c>
      <c r="B1919" s="8" t="s">
        <v>12374</v>
      </c>
      <c r="C1919" s="8" t="s">
        <v>9312</v>
      </c>
      <c r="D1919" s="9">
        <v>8.552040505E9</v>
      </c>
      <c r="E1919" s="8" t="s">
        <v>12375</v>
      </c>
      <c r="F1919" s="8" t="s">
        <v>6118</v>
      </c>
      <c r="G1919" s="8" t="s">
        <v>8893</v>
      </c>
      <c r="H1919" s="8" t="s">
        <v>3479</v>
      </c>
      <c r="I1919" s="9">
        <v>0.0</v>
      </c>
      <c r="J1919" s="9">
        <v>3363.0</v>
      </c>
      <c r="K1919" s="9">
        <v>3363.0</v>
      </c>
      <c r="L1919" s="9">
        <v>3363.0</v>
      </c>
      <c r="M1919" s="9">
        <v>1573.0</v>
      </c>
      <c r="N1919" s="9">
        <v>0.0</v>
      </c>
      <c r="O1919" s="9">
        <v>1790.0</v>
      </c>
      <c r="P1919" s="8" t="s">
        <v>3519</v>
      </c>
      <c r="Q1919" s="8"/>
      <c r="R1919" s="8"/>
    </row>
    <row r="1920">
      <c r="A1920" s="8" t="s">
        <v>1024</v>
      </c>
      <c r="B1920" s="8" t="s">
        <v>12376</v>
      </c>
      <c r="C1920" s="8" t="s">
        <v>6988</v>
      </c>
      <c r="D1920" s="9">
        <v>9.975562308E9</v>
      </c>
      <c r="E1920" s="8" t="s">
        <v>6989</v>
      </c>
      <c r="F1920" s="8" t="s">
        <v>3550</v>
      </c>
      <c r="G1920" s="8" t="s">
        <v>12377</v>
      </c>
      <c r="H1920" s="8" t="s">
        <v>3479</v>
      </c>
      <c r="I1920" s="9">
        <v>0.0</v>
      </c>
      <c r="J1920" s="9">
        <v>1510.0</v>
      </c>
      <c r="K1920" s="9">
        <v>1510.0</v>
      </c>
      <c r="L1920" s="9">
        <v>1510.0</v>
      </c>
      <c r="M1920" s="9">
        <v>400.0</v>
      </c>
      <c r="N1920" s="9">
        <v>661.0</v>
      </c>
      <c r="O1920" s="9">
        <v>449.0</v>
      </c>
      <c r="P1920" s="8" t="s">
        <v>3480</v>
      </c>
      <c r="Q1920" s="8"/>
      <c r="R1920" s="8"/>
    </row>
    <row r="1921">
      <c r="A1921" s="8" t="s">
        <v>1025</v>
      </c>
      <c r="B1921" s="8" t="s">
        <v>12378</v>
      </c>
      <c r="C1921" s="8" t="s">
        <v>10114</v>
      </c>
      <c r="D1921" s="9">
        <v>9.860533058E9</v>
      </c>
      <c r="E1921" s="8" t="s">
        <v>10115</v>
      </c>
      <c r="F1921" s="8" t="s">
        <v>3509</v>
      </c>
      <c r="G1921" s="8" t="s">
        <v>12379</v>
      </c>
      <c r="H1921" s="8" t="s">
        <v>3479</v>
      </c>
      <c r="I1921" s="9">
        <v>0.0</v>
      </c>
      <c r="J1921" s="9">
        <v>1550.0</v>
      </c>
      <c r="K1921" s="9">
        <v>1550.0</v>
      </c>
      <c r="L1921" s="9">
        <v>1550.0</v>
      </c>
      <c r="M1921" s="9">
        <v>1550.0</v>
      </c>
      <c r="N1921" s="9">
        <v>0.0</v>
      </c>
      <c r="O1921" s="9">
        <v>0.0</v>
      </c>
      <c r="P1921" s="8" t="s">
        <v>3480</v>
      </c>
      <c r="Q1921" s="8" t="s">
        <v>10117</v>
      </c>
      <c r="R1921" s="8" t="s">
        <v>10118</v>
      </c>
    </row>
    <row r="1922">
      <c r="A1922" s="8" t="s">
        <v>1026</v>
      </c>
      <c r="B1922" s="8" t="s">
        <v>12380</v>
      </c>
      <c r="C1922" s="8" t="s">
        <v>10096</v>
      </c>
      <c r="D1922" s="9">
        <v>8.411084667E9</v>
      </c>
      <c r="E1922" s="8" t="s">
        <v>10097</v>
      </c>
      <c r="F1922" s="8" t="s">
        <v>4134</v>
      </c>
      <c r="G1922" s="8" t="s">
        <v>12381</v>
      </c>
      <c r="H1922" s="8" t="s">
        <v>3479</v>
      </c>
      <c r="I1922" s="9">
        <v>0.0</v>
      </c>
      <c r="J1922" s="9">
        <v>2587.0</v>
      </c>
      <c r="K1922" s="9">
        <v>2587.0</v>
      </c>
      <c r="L1922" s="9">
        <v>2587.0</v>
      </c>
      <c r="M1922" s="9">
        <v>1618.0</v>
      </c>
      <c r="N1922" s="9">
        <v>594.0</v>
      </c>
      <c r="O1922" s="9">
        <v>375.0</v>
      </c>
      <c r="P1922" s="8" t="s">
        <v>3480</v>
      </c>
      <c r="Q1922" s="8"/>
      <c r="R1922" s="8"/>
    </row>
    <row r="1923">
      <c r="A1923" s="8" t="s">
        <v>1027</v>
      </c>
      <c r="B1923" s="8" t="s">
        <v>12382</v>
      </c>
      <c r="C1923" s="8" t="s">
        <v>11037</v>
      </c>
      <c r="D1923" s="9">
        <v>8.237312103E9</v>
      </c>
      <c r="E1923" s="8" t="s">
        <v>12383</v>
      </c>
      <c r="F1923" s="8" t="s">
        <v>3721</v>
      </c>
      <c r="G1923" s="8" t="s">
        <v>12384</v>
      </c>
      <c r="H1923" s="8" t="s">
        <v>3479</v>
      </c>
      <c r="I1923" s="9">
        <v>0.0</v>
      </c>
      <c r="J1923" s="9">
        <v>1086.0</v>
      </c>
      <c r="K1923" s="9">
        <v>1086.0</v>
      </c>
      <c r="L1923" s="9">
        <v>1086.0</v>
      </c>
      <c r="M1923" s="9">
        <v>546.0</v>
      </c>
      <c r="N1923" s="9">
        <v>540.0</v>
      </c>
      <c r="O1923" s="9">
        <v>0.0</v>
      </c>
      <c r="P1923" s="8" t="s">
        <v>3480</v>
      </c>
      <c r="Q1923" s="8"/>
      <c r="R1923" s="8"/>
    </row>
    <row r="1924">
      <c r="A1924" s="8" t="s">
        <v>1028</v>
      </c>
      <c r="B1924" s="8" t="s">
        <v>12385</v>
      </c>
      <c r="C1924" s="8" t="s">
        <v>12386</v>
      </c>
      <c r="D1924" s="9">
        <v>9.823397545E9</v>
      </c>
      <c r="E1924" s="8" t="s">
        <v>12387</v>
      </c>
      <c r="F1924" s="8" t="s">
        <v>3608</v>
      </c>
      <c r="G1924" s="8" t="s">
        <v>12388</v>
      </c>
      <c r="H1924" s="8" t="s">
        <v>3479</v>
      </c>
      <c r="I1924" s="9">
        <v>0.0</v>
      </c>
      <c r="J1924" s="9">
        <v>1339.0</v>
      </c>
      <c r="K1924" s="9">
        <v>1339.0</v>
      </c>
      <c r="L1924" s="9">
        <v>1339.0</v>
      </c>
      <c r="M1924" s="9">
        <v>80.0</v>
      </c>
      <c r="N1924" s="9">
        <v>730.0</v>
      </c>
      <c r="O1924" s="9">
        <v>529.0</v>
      </c>
      <c r="P1924" s="8" t="s">
        <v>3480</v>
      </c>
      <c r="Q1924" s="8"/>
      <c r="R1924" s="8"/>
    </row>
    <row r="1925">
      <c r="A1925" s="8" t="s">
        <v>1029</v>
      </c>
      <c r="B1925" s="8" t="s">
        <v>12389</v>
      </c>
      <c r="C1925" s="8" t="s">
        <v>12390</v>
      </c>
      <c r="D1925" s="9">
        <v>9.373923285E9</v>
      </c>
      <c r="E1925" s="8" t="s">
        <v>12391</v>
      </c>
      <c r="F1925" s="8" t="s">
        <v>4792</v>
      </c>
      <c r="G1925" s="8" t="s">
        <v>12392</v>
      </c>
      <c r="H1925" s="8" t="s">
        <v>3479</v>
      </c>
      <c r="I1925" s="9">
        <v>0.0</v>
      </c>
      <c r="J1925" s="9">
        <v>2132.0</v>
      </c>
      <c r="K1925" s="9">
        <v>2132.0</v>
      </c>
      <c r="L1925" s="9">
        <v>2132.0</v>
      </c>
      <c r="M1925" s="9">
        <v>409.0</v>
      </c>
      <c r="N1925" s="9">
        <v>849.0</v>
      </c>
      <c r="O1925" s="9">
        <v>874.0</v>
      </c>
      <c r="P1925" s="8" t="s">
        <v>3519</v>
      </c>
      <c r="Q1925" s="8"/>
      <c r="R1925" s="8"/>
    </row>
    <row r="1926">
      <c r="A1926" s="8" t="s">
        <v>1009</v>
      </c>
      <c r="B1926" s="8" t="s">
        <v>12393</v>
      </c>
      <c r="C1926" s="8" t="s">
        <v>12394</v>
      </c>
      <c r="D1926" s="9">
        <v>8.237582429E9</v>
      </c>
      <c r="E1926" s="8" t="s">
        <v>12395</v>
      </c>
      <c r="F1926" s="8" t="s">
        <v>3523</v>
      </c>
      <c r="G1926" s="8" t="s">
        <v>12396</v>
      </c>
      <c r="H1926" s="8" t="s">
        <v>3479</v>
      </c>
      <c r="I1926" s="9">
        <v>0.0</v>
      </c>
      <c r="J1926" s="9">
        <v>2269.0</v>
      </c>
      <c r="K1926" s="9">
        <v>2269.0</v>
      </c>
      <c r="L1926" s="9">
        <v>2269.0</v>
      </c>
      <c r="M1926" s="9">
        <v>1015.0</v>
      </c>
      <c r="N1926" s="9">
        <v>730.0</v>
      </c>
      <c r="O1926" s="9">
        <v>524.0</v>
      </c>
      <c r="P1926" s="8" t="s">
        <v>3480</v>
      </c>
      <c r="Q1926" s="8" t="s">
        <v>12397</v>
      </c>
      <c r="R1926" s="8" t="s">
        <v>12398</v>
      </c>
    </row>
    <row r="1927">
      <c r="A1927" s="8" t="s">
        <v>2401</v>
      </c>
      <c r="B1927" s="8" t="s">
        <v>12399</v>
      </c>
      <c r="C1927" s="8" t="s">
        <v>5884</v>
      </c>
      <c r="D1927" s="9">
        <v>9.6044295E9</v>
      </c>
      <c r="E1927" s="8" t="s">
        <v>12400</v>
      </c>
      <c r="F1927" s="8" t="s">
        <v>3608</v>
      </c>
      <c r="G1927" s="8" t="s">
        <v>12401</v>
      </c>
      <c r="H1927" s="8" t="s">
        <v>3479</v>
      </c>
      <c r="I1927" s="9">
        <v>0.0</v>
      </c>
      <c r="J1927" s="9">
        <v>1574.0</v>
      </c>
      <c r="K1927" s="9">
        <v>1574.0</v>
      </c>
      <c r="L1927" s="9">
        <v>1574.0</v>
      </c>
      <c r="M1927" s="9">
        <v>395.0</v>
      </c>
      <c r="N1927" s="9">
        <v>730.0</v>
      </c>
      <c r="O1927" s="9">
        <v>449.0</v>
      </c>
      <c r="P1927" s="8" t="s">
        <v>3480</v>
      </c>
      <c r="Q1927" s="8"/>
      <c r="R1927" s="8"/>
    </row>
    <row r="1928">
      <c r="A1928" s="8" t="s">
        <v>2402</v>
      </c>
      <c r="B1928" s="8" t="s">
        <v>12402</v>
      </c>
      <c r="C1928" s="8" t="s">
        <v>12403</v>
      </c>
      <c r="D1928" s="9">
        <v>9.960690243E9</v>
      </c>
      <c r="E1928" s="8" t="s">
        <v>12404</v>
      </c>
      <c r="F1928" s="8" t="s">
        <v>3821</v>
      </c>
      <c r="G1928" s="8" t="s">
        <v>12405</v>
      </c>
      <c r="H1928" s="8" t="s">
        <v>3479</v>
      </c>
      <c r="I1928" s="9">
        <v>0.0</v>
      </c>
      <c r="J1928" s="9">
        <v>619.0</v>
      </c>
      <c r="K1928" s="9">
        <v>619.0</v>
      </c>
      <c r="L1928" s="9">
        <v>619.0</v>
      </c>
      <c r="M1928" s="9">
        <v>80.0</v>
      </c>
      <c r="N1928" s="9">
        <v>0.0</v>
      </c>
      <c r="O1928" s="9">
        <v>539.0</v>
      </c>
      <c r="P1928" s="8" t="s">
        <v>3480</v>
      </c>
      <c r="Q1928" s="8" t="s">
        <v>12406</v>
      </c>
      <c r="R1928" s="8" t="s">
        <v>12407</v>
      </c>
    </row>
    <row r="1929">
      <c r="A1929" s="8" t="s">
        <v>1220</v>
      </c>
      <c r="B1929" s="8" t="s">
        <v>12408</v>
      </c>
      <c r="C1929" s="8" t="s">
        <v>5101</v>
      </c>
      <c r="D1929" s="9">
        <v>8.80649667E9</v>
      </c>
      <c r="E1929" s="8" t="s">
        <v>5102</v>
      </c>
      <c r="F1929" s="8" t="s">
        <v>3768</v>
      </c>
      <c r="G1929" s="8" t="s">
        <v>12409</v>
      </c>
      <c r="H1929" s="8" t="s">
        <v>3479</v>
      </c>
      <c r="I1929" s="9">
        <v>0.0</v>
      </c>
      <c r="J1929" s="9">
        <v>2869.0</v>
      </c>
      <c r="K1929" s="9">
        <v>2869.0</v>
      </c>
      <c r="L1929" s="9">
        <v>2869.0</v>
      </c>
      <c r="M1929" s="9">
        <v>2104.0</v>
      </c>
      <c r="N1929" s="9">
        <v>65.0</v>
      </c>
      <c r="O1929" s="9">
        <v>700.0</v>
      </c>
      <c r="P1929" s="8" t="s">
        <v>6396</v>
      </c>
      <c r="Q1929" s="8" t="s">
        <v>5104</v>
      </c>
      <c r="R1929" s="8" t="s">
        <v>5105</v>
      </c>
    </row>
    <row r="1930">
      <c r="A1930" s="8" t="s">
        <v>2511</v>
      </c>
      <c r="B1930" s="8" t="s">
        <v>12410</v>
      </c>
      <c r="C1930" s="8" t="s">
        <v>12411</v>
      </c>
      <c r="D1930" s="9">
        <v>7.84306786E9</v>
      </c>
      <c r="E1930" s="8" t="s">
        <v>12412</v>
      </c>
      <c r="F1930" s="8" t="s">
        <v>4089</v>
      </c>
      <c r="G1930" s="8" t="s">
        <v>12413</v>
      </c>
      <c r="H1930" s="8" t="s">
        <v>12414</v>
      </c>
      <c r="I1930" s="9">
        <v>0.0</v>
      </c>
      <c r="J1930" s="9">
        <v>1700.0</v>
      </c>
      <c r="K1930" s="9">
        <v>1729.0</v>
      </c>
      <c r="L1930" s="9">
        <v>1700.0</v>
      </c>
      <c r="M1930" s="9">
        <v>980.0</v>
      </c>
      <c r="N1930" s="9">
        <v>0.0</v>
      </c>
      <c r="O1930" s="9">
        <v>749.0</v>
      </c>
      <c r="P1930" s="8" t="s">
        <v>6294</v>
      </c>
      <c r="Q1930" s="8" t="s">
        <v>12415</v>
      </c>
      <c r="R1930" s="8" t="s">
        <v>12416</v>
      </c>
    </row>
    <row r="1931">
      <c r="A1931" s="8" t="s">
        <v>1221</v>
      </c>
      <c r="B1931" s="8" t="s">
        <v>12417</v>
      </c>
      <c r="C1931" s="8" t="s">
        <v>12418</v>
      </c>
      <c r="D1931" s="9">
        <v>9.049402388E9</v>
      </c>
      <c r="E1931" s="8" t="s">
        <v>12419</v>
      </c>
      <c r="F1931" s="8" t="s">
        <v>3542</v>
      </c>
      <c r="G1931" s="8" t="s">
        <v>12420</v>
      </c>
      <c r="H1931" s="8" t="s">
        <v>3479</v>
      </c>
      <c r="I1931" s="9">
        <v>0.0</v>
      </c>
      <c r="J1931" s="9">
        <v>939.0</v>
      </c>
      <c r="K1931" s="9">
        <v>939.0</v>
      </c>
      <c r="L1931" s="9">
        <v>939.0</v>
      </c>
      <c r="M1931" s="9">
        <v>335.0</v>
      </c>
      <c r="N1931" s="9">
        <v>0.0</v>
      </c>
      <c r="O1931" s="9">
        <v>604.0</v>
      </c>
      <c r="P1931" s="8" t="s">
        <v>3480</v>
      </c>
      <c r="Q1931" s="8" t="s">
        <v>12421</v>
      </c>
      <c r="R1931" s="8" t="s">
        <v>12422</v>
      </c>
    </row>
    <row r="1932">
      <c r="A1932" s="8" t="s">
        <v>1222</v>
      </c>
      <c r="B1932" s="8" t="s">
        <v>12423</v>
      </c>
      <c r="C1932" s="8" t="s">
        <v>12424</v>
      </c>
      <c r="D1932" s="9">
        <v>9.637881773E9</v>
      </c>
      <c r="E1932" s="8" t="s">
        <v>12425</v>
      </c>
      <c r="F1932" s="8" t="s">
        <v>5506</v>
      </c>
      <c r="G1932" s="8" t="s">
        <v>12426</v>
      </c>
      <c r="H1932" s="8" t="s">
        <v>3479</v>
      </c>
      <c r="I1932" s="9">
        <v>0.0</v>
      </c>
      <c r="J1932" s="9">
        <v>3748.0</v>
      </c>
      <c r="K1932" s="9">
        <v>3748.0</v>
      </c>
      <c r="L1932" s="9">
        <v>3748.0</v>
      </c>
      <c r="M1932" s="9">
        <v>2259.0</v>
      </c>
      <c r="N1932" s="9">
        <v>765.0</v>
      </c>
      <c r="O1932" s="9">
        <v>724.0</v>
      </c>
      <c r="P1932" s="8" t="s">
        <v>3480</v>
      </c>
      <c r="Q1932" s="8"/>
      <c r="R1932" s="8"/>
    </row>
    <row r="1933">
      <c r="A1933" s="8" t="s">
        <v>1223</v>
      </c>
      <c r="B1933" s="8" t="s">
        <v>12427</v>
      </c>
      <c r="C1933" s="8" t="s">
        <v>11632</v>
      </c>
      <c r="D1933" s="9">
        <v>8.149209655E9</v>
      </c>
      <c r="E1933" s="8" t="s">
        <v>11633</v>
      </c>
      <c r="F1933" s="8" t="s">
        <v>4089</v>
      </c>
      <c r="G1933" s="8" t="s">
        <v>12428</v>
      </c>
      <c r="H1933" s="8" t="s">
        <v>3479</v>
      </c>
      <c r="I1933" s="9">
        <v>0.0</v>
      </c>
      <c r="J1933" s="9">
        <v>2785.0</v>
      </c>
      <c r="K1933" s="9">
        <v>2785.0</v>
      </c>
      <c r="L1933" s="9">
        <v>2785.0</v>
      </c>
      <c r="M1933" s="9">
        <v>2510.0</v>
      </c>
      <c r="N1933" s="9">
        <v>0.0</v>
      </c>
      <c r="O1933" s="9">
        <v>275.0</v>
      </c>
      <c r="P1933" s="8" t="s">
        <v>3480</v>
      </c>
      <c r="Q1933" s="8" t="s">
        <v>11635</v>
      </c>
      <c r="R1933" s="8" t="s">
        <v>11636</v>
      </c>
    </row>
    <row r="1934">
      <c r="A1934" s="8" t="s">
        <v>2512</v>
      </c>
      <c r="B1934" s="8" t="s">
        <v>12429</v>
      </c>
      <c r="C1934" s="8" t="s">
        <v>7885</v>
      </c>
      <c r="D1934" s="9">
        <v>9.359006522E9</v>
      </c>
      <c r="E1934" s="8" t="s">
        <v>7886</v>
      </c>
      <c r="F1934" s="8" t="s">
        <v>3809</v>
      </c>
      <c r="G1934" s="8" t="s">
        <v>12430</v>
      </c>
      <c r="H1934" s="8" t="s">
        <v>3479</v>
      </c>
      <c r="I1934" s="9">
        <v>0.0</v>
      </c>
      <c r="J1934" s="9">
        <v>1770.0</v>
      </c>
      <c r="K1934" s="9">
        <v>1770.0</v>
      </c>
      <c r="L1934" s="9">
        <v>1770.0</v>
      </c>
      <c r="M1934" s="9">
        <v>421.0</v>
      </c>
      <c r="N1934" s="9">
        <v>0.0</v>
      </c>
      <c r="O1934" s="9">
        <v>1349.0</v>
      </c>
      <c r="P1934" s="8" t="s">
        <v>6294</v>
      </c>
      <c r="Q1934" s="8" t="s">
        <v>7887</v>
      </c>
      <c r="R1934" s="8" t="s">
        <v>7888</v>
      </c>
    </row>
    <row r="1935">
      <c r="A1935" s="8" t="s">
        <v>1017</v>
      </c>
      <c r="B1935" s="8" t="s">
        <v>12431</v>
      </c>
      <c r="C1935" s="8" t="s">
        <v>8154</v>
      </c>
      <c r="D1935" s="9">
        <v>8.308822448E9</v>
      </c>
      <c r="E1935" s="8" t="s">
        <v>12432</v>
      </c>
      <c r="F1935" s="8" t="s">
        <v>3665</v>
      </c>
      <c r="G1935" s="8" t="s">
        <v>12433</v>
      </c>
      <c r="H1935" s="8" t="s">
        <v>3479</v>
      </c>
      <c r="I1935" s="9">
        <v>0.0</v>
      </c>
      <c r="J1935" s="9">
        <v>1100.0</v>
      </c>
      <c r="K1935" s="9">
        <v>1100.0</v>
      </c>
      <c r="L1935" s="9">
        <v>1100.0</v>
      </c>
      <c r="M1935" s="9">
        <v>161.0</v>
      </c>
      <c r="N1935" s="9">
        <v>190.0</v>
      </c>
      <c r="O1935" s="9">
        <v>749.0</v>
      </c>
      <c r="P1935" s="8" t="s">
        <v>3480</v>
      </c>
      <c r="Q1935" s="8"/>
      <c r="R1935" s="8"/>
    </row>
    <row r="1936">
      <c r="A1936" s="8" t="s">
        <v>1225</v>
      </c>
      <c r="B1936" s="8" t="s">
        <v>12434</v>
      </c>
      <c r="C1936" s="8" t="s">
        <v>12435</v>
      </c>
      <c r="D1936" s="9">
        <v>7.51758387E9</v>
      </c>
      <c r="E1936" s="8" t="s">
        <v>12436</v>
      </c>
      <c r="F1936" s="8" t="s">
        <v>3523</v>
      </c>
      <c r="G1936" s="8" t="s">
        <v>12437</v>
      </c>
      <c r="H1936" s="8" t="s">
        <v>3479</v>
      </c>
      <c r="I1936" s="9">
        <v>0.0</v>
      </c>
      <c r="J1936" s="9">
        <v>2568.0</v>
      </c>
      <c r="K1936" s="9">
        <v>2568.0</v>
      </c>
      <c r="L1936" s="9">
        <v>2568.0</v>
      </c>
      <c r="M1936" s="9">
        <v>1314.0</v>
      </c>
      <c r="N1936" s="9">
        <v>730.0</v>
      </c>
      <c r="O1936" s="9">
        <v>524.0</v>
      </c>
      <c r="P1936" s="8" t="s">
        <v>3480</v>
      </c>
      <c r="Q1936" s="8" t="s">
        <v>4381</v>
      </c>
      <c r="R1936" s="8" t="s">
        <v>12438</v>
      </c>
    </row>
    <row r="1937">
      <c r="A1937" s="8" t="s">
        <v>1226</v>
      </c>
      <c r="B1937" s="8" t="s">
        <v>12439</v>
      </c>
      <c r="C1937" s="8" t="s">
        <v>10693</v>
      </c>
      <c r="D1937" s="9">
        <v>9.83434242E9</v>
      </c>
      <c r="E1937" s="8" t="s">
        <v>10694</v>
      </c>
      <c r="F1937" s="8" t="s">
        <v>4805</v>
      </c>
      <c r="G1937" s="8" t="s">
        <v>12440</v>
      </c>
      <c r="H1937" s="8" t="s">
        <v>3479</v>
      </c>
      <c r="I1937" s="9">
        <v>0.0</v>
      </c>
      <c r="J1937" s="9">
        <v>7644.0</v>
      </c>
      <c r="K1937" s="9">
        <v>7644.0</v>
      </c>
      <c r="L1937" s="9">
        <v>7644.0</v>
      </c>
      <c r="M1937" s="9">
        <v>7369.0</v>
      </c>
      <c r="N1937" s="9">
        <v>0.0</v>
      </c>
      <c r="O1937" s="9">
        <v>275.0</v>
      </c>
      <c r="P1937" s="8" t="s">
        <v>3480</v>
      </c>
      <c r="Q1937" s="8"/>
      <c r="R1937" s="8"/>
    </row>
    <row r="1938">
      <c r="A1938" s="8" t="s">
        <v>1227</v>
      </c>
      <c r="B1938" s="8" t="s">
        <v>12441</v>
      </c>
      <c r="C1938" s="8" t="s">
        <v>12442</v>
      </c>
      <c r="D1938" s="9">
        <v>9.958443787E9</v>
      </c>
      <c r="E1938" s="8" t="s">
        <v>12443</v>
      </c>
      <c r="F1938" s="8" t="s">
        <v>12444</v>
      </c>
      <c r="G1938" s="8" t="s">
        <v>12445</v>
      </c>
      <c r="H1938" s="8" t="s">
        <v>3479</v>
      </c>
      <c r="I1938" s="9">
        <v>0.0</v>
      </c>
      <c r="J1938" s="9">
        <v>3257.0</v>
      </c>
      <c r="K1938" s="9">
        <v>3257.0</v>
      </c>
      <c r="L1938" s="9">
        <v>3257.0</v>
      </c>
      <c r="M1938" s="9">
        <v>2458.0</v>
      </c>
      <c r="N1938" s="9">
        <v>0.0</v>
      </c>
      <c r="O1938" s="9">
        <v>799.0</v>
      </c>
      <c r="P1938" s="8" t="s">
        <v>3480</v>
      </c>
      <c r="Q1938" s="8" t="s">
        <v>12446</v>
      </c>
      <c r="R1938" s="8" t="s">
        <v>12447</v>
      </c>
    </row>
    <row r="1939">
      <c r="A1939" s="8" t="s">
        <v>1228</v>
      </c>
      <c r="B1939" s="8" t="s">
        <v>12448</v>
      </c>
      <c r="C1939" s="8" t="s">
        <v>6876</v>
      </c>
      <c r="D1939" s="9">
        <v>7.387109986E9</v>
      </c>
      <c r="E1939" s="8" t="s">
        <v>6877</v>
      </c>
      <c r="F1939" s="8" t="s">
        <v>5366</v>
      </c>
      <c r="G1939" s="8" t="s">
        <v>12449</v>
      </c>
      <c r="H1939" s="8" t="s">
        <v>3479</v>
      </c>
      <c r="I1939" s="9">
        <v>0.0</v>
      </c>
      <c r="J1939" s="9">
        <v>1926.0</v>
      </c>
      <c r="K1939" s="9">
        <v>1926.0</v>
      </c>
      <c r="L1939" s="9">
        <v>1926.0</v>
      </c>
      <c r="M1939" s="9">
        <v>290.0</v>
      </c>
      <c r="N1939" s="9">
        <v>1037.0</v>
      </c>
      <c r="O1939" s="9">
        <v>599.0</v>
      </c>
      <c r="P1939" s="8" t="s">
        <v>3480</v>
      </c>
      <c r="Q1939" s="8" t="s">
        <v>6879</v>
      </c>
      <c r="R1939" s="8" t="s">
        <v>6880</v>
      </c>
    </row>
    <row r="1940">
      <c r="A1940" s="8" t="s">
        <v>1229</v>
      </c>
      <c r="B1940" s="8" t="s">
        <v>12450</v>
      </c>
      <c r="C1940" s="8" t="s">
        <v>9992</v>
      </c>
      <c r="D1940" s="9">
        <v>9.156299054E9</v>
      </c>
      <c r="E1940" s="8" t="s">
        <v>9993</v>
      </c>
      <c r="F1940" s="8" t="s">
        <v>5485</v>
      </c>
      <c r="G1940" s="8" t="s">
        <v>12451</v>
      </c>
      <c r="H1940" s="8" t="s">
        <v>3479</v>
      </c>
      <c r="I1940" s="9">
        <v>0.0</v>
      </c>
      <c r="J1940" s="9">
        <v>3010.0</v>
      </c>
      <c r="K1940" s="9">
        <v>3010.0</v>
      </c>
      <c r="L1940" s="9">
        <v>3010.0</v>
      </c>
      <c r="M1940" s="9">
        <v>2670.0</v>
      </c>
      <c r="N1940" s="9">
        <v>65.0</v>
      </c>
      <c r="O1940" s="9">
        <v>275.0</v>
      </c>
      <c r="P1940" s="8" t="s">
        <v>3480</v>
      </c>
      <c r="Q1940" s="8"/>
      <c r="R1940" s="8"/>
    </row>
    <row r="1941">
      <c r="A1941" s="8" t="s">
        <v>1231</v>
      </c>
      <c r="B1941" s="8" t="s">
        <v>12452</v>
      </c>
      <c r="C1941" s="8" t="s">
        <v>8494</v>
      </c>
      <c r="D1941" s="9">
        <v>9.322165483E9</v>
      </c>
      <c r="E1941" s="8" t="s">
        <v>8495</v>
      </c>
      <c r="F1941" s="8" t="s">
        <v>3697</v>
      </c>
      <c r="G1941" s="8" t="s">
        <v>8496</v>
      </c>
      <c r="H1941" s="8" t="s">
        <v>3479</v>
      </c>
      <c r="I1941" s="9">
        <v>0.0</v>
      </c>
      <c r="J1941" s="9">
        <v>2692.0</v>
      </c>
      <c r="K1941" s="9">
        <v>2692.0</v>
      </c>
      <c r="L1941" s="9">
        <v>2692.0</v>
      </c>
      <c r="M1941" s="9">
        <v>1433.0</v>
      </c>
      <c r="N1941" s="9">
        <v>730.0</v>
      </c>
      <c r="O1941" s="9">
        <v>529.0</v>
      </c>
      <c r="P1941" s="8" t="s">
        <v>3480</v>
      </c>
      <c r="Q1941" s="8" t="s">
        <v>8497</v>
      </c>
      <c r="R1941" s="8" t="s">
        <v>8498</v>
      </c>
    </row>
    <row r="1942">
      <c r="A1942" s="8" t="s">
        <v>1232</v>
      </c>
      <c r="B1942" s="8" t="s">
        <v>12453</v>
      </c>
      <c r="C1942" s="8" t="s">
        <v>12454</v>
      </c>
      <c r="D1942" s="9">
        <v>9.953100815E9</v>
      </c>
      <c r="E1942" s="8" t="s">
        <v>12455</v>
      </c>
      <c r="F1942" s="8" t="s">
        <v>4239</v>
      </c>
      <c r="G1942" s="8" t="s">
        <v>12456</v>
      </c>
      <c r="H1942" s="8" t="s">
        <v>3479</v>
      </c>
      <c r="I1942" s="9">
        <v>0.0</v>
      </c>
      <c r="J1942" s="9">
        <v>1250.0</v>
      </c>
      <c r="K1942" s="9">
        <v>1250.0</v>
      </c>
      <c r="L1942" s="9">
        <v>1250.0</v>
      </c>
      <c r="M1942" s="9">
        <v>1150.0</v>
      </c>
      <c r="N1942" s="9">
        <v>0.0</v>
      </c>
      <c r="O1942" s="9">
        <v>100.0</v>
      </c>
      <c r="P1942" s="8" t="s">
        <v>3480</v>
      </c>
      <c r="Q1942" s="8" t="s">
        <v>12457</v>
      </c>
      <c r="R1942" s="8" t="s">
        <v>12458</v>
      </c>
    </row>
    <row r="1943">
      <c r="A1943" s="8" t="s">
        <v>1233</v>
      </c>
      <c r="B1943" s="8" t="s">
        <v>12459</v>
      </c>
      <c r="C1943" s="8" t="s">
        <v>12460</v>
      </c>
      <c r="D1943" s="9">
        <v>9.766950002E9</v>
      </c>
      <c r="E1943" s="8" t="s">
        <v>12461</v>
      </c>
      <c r="F1943" s="8" t="s">
        <v>3821</v>
      </c>
      <c r="G1943" s="8" t="s">
        <v>12462</v>
      </c>
      <c r="H1943" s="8" t="s">
        <v>3479</v>
      </c>
      <c r="I1943" s="9">
        <v>0.0</v>
      </c>
      <c r="J1943" s="9">
        <v>1230.0</v>
      </c>
      <c r="K1943" s="9">
        <v>1230.0</v>
      </c>
      <c r="L1943" s="9">
        <v>1230.0</v>
      </c>
      <c r="M1943" s="9">
        <v>1150.0</v>
      </c>
      <c r="N1943" s="9">
        <v>0.0</v>
      </c>
      <c r="O1943" s="9">
        <v>80.0</v>
      </c>
      <c r="P1943" s="8" t="s">
        <v>3480</v>
      </c>
      <c r="Q1943" s="8"/>
      <c r="R1943" s="8"/>
    </row>
    <row r="1944">
      <c r="A1944" s="8" t="s">
        <v>1725</v>
      </c>
      <c r="B1944" s="8" t="s">
        <v>12463</v>
      </c>
      <c r="C1944" s="8" t="s">
        <v>6055</v>
      </c>
      <c r="D1944" s="9">
        <v>7.066341364E9</v>
      </c>
      <c r="E1944" s="8" t="s">
        <v>6056</v>
      </c>
      <c r="F1944" s="8" t="s">
        <v>3796</v>
      </c>
      <c r="G1944" s="8" t="s">
        <v>12464</v>
      </c>
      <c r="H1944" s="8" t="s">
        <v>3479</v>
      </c>
      <c r="I1944" s="9">
        <v>0.0</v>
      </c>
      <c r="J1944" s="9">
        <v>3300.0</v>
      </c>
      <c r="K1944" s="9">
        <v>3300.0</v>
      </c>
      <c r="L1944" s="9">
        <v>3300.0</v>
      </c>
      <c r="M1944" s="9">
        <v>1827.0</v>
      </c>
      <c r="N1944" s="9">
        <v>774.0</v>
      </c>
      <c r="O1944" s="9">
        <v>699.0</v>
      </c>
      <c r="P1944" s="8" t="s">
        <v>3480</v>
      </c>
      <c r="Q1944" s="8" t="s">
        <v>6058</v>
      </c>
      <c r="R1944" s="8" t="s">
        <v>6059</v>
      </c>
    </row>
    <row r="1945">
      <c r="A1945" s="8" t="s">
        <v>2456</v>
      </c>
      <c r="B1945" s="8" t="s">
        <v>12465</v>
      </c>
      <c r="C1945" s="8" t="s">
        <v>12466</v>
      </c>
      <c r="D1945" s="9">
        <v>8.308854729E9</v>
      </c>
      <c r="E1945" s="8" t="s">
        <v>12467</v>
      </c>
      <c r="F1945" s="8" t="s">
        <v>3608</v>
      </c>
      <c r="G1945" s="8" t="s">
        <v>12468</v>
      </c>
      <c r="H1945" s="8" t="s">
        <v>3479</v>
      </c>
      <c r="I1945" s="9">
        <v>0.0</v>
      </c>
      <c r="J1945" s="9">
        <v>1635.0</v>
      </c>
      <c r="K1945" s="9">
        <v>1635.0</v>
      </c>
      <c r="L1945" s="9">
        <v>1635.0</v>
      </c>
      <c r="M1945" s="9">
        <v>1635.0</v>
      </c>
      <c r="N1945" s="9">
        <v>0.0</v>
      </c>
      <c r="O1945" s="9">
        <v>0.0</v>
      </c>
      <c r="P1945" s="8" t="s">
        <v>3480</v>
      </c>
      <c r="Q1945" s="8"/>
      <c r="R1945" s="8"/>
    </row>
    <row r="1946">
      <c r="A1946" s="8" t="s">
        <v>2457</v>
      </c>
      <c r="B1946" s="8" t="s">
        <v>12469</v>
      </c>
      <c r="C1946" s="8" t="s">
        <v>7500</v>
      </c>
      <c r="D1946" s="9">
        <v>9.867640677E9</v>
      </c>
      <c r="E1946" s="8" t="s">
        <v>12470</v>
      </c>
      <c r="F1946" s="8" t="s">
        <v>4333</v>
      </c>
      <c r="G1946" s="8" t="s">
        <v>12471</v>
      </c>
      <c r="H1946" s="8" t="s">
        <v>3479</v>
      </c>
      <c r="I1946" s="9">
        <v>0.0</v>
      </c>
      <c r="J1946" s="9">
        <v>1573.0</v>
      </c>
      <c r="K1946" s="9">
        <v>1573.0</v>
      </c>
      <c r="L1946" s="9">
        <v>1573.0</v>
      </c>
      <c r="M1946" s="9">
        <v>80.0</v>
      </c>
      <c r="N1946" s="9">
        <v>894.0</v>
      </c>
      <c r="O1946" s="9">
        <v>599.0</v>
      </c>
      <c r="P1946" s="8" t="s">
        <v>3480</v>
      </c>
      <c r="Q1946" s="8"/>
      <c r="R1946" s="8"/>
    </row>
    <row r="1947">
      <c r="A1947" s="8" t="s">
        <v>1726</v>
      </c>
      <c r="B1947" s="8" t="s">
        <v>12472</v>
      </c>
      <c r="C1947" s="8" t="s">
        <v>9533</v>
      </c>
      <c r="D1947" s="9">
        <v>9.009824546E9</v>
      </c>
      <c r="E1947" s="8" t="s">
        <v>12473</v>
      </c>
      <c r="F1947" s="8" t="s">
        <v>4373</v>
      </c>
      <c r="G1947" s="8" t="s">
        <v>12474</v>
      </c>
      <c r="H1947" s="8" t="s">
        <v>3479</v>
      </c>
      <c r="I1947" s="9">
        <v>0.0</v>
      </c>
      <c r="J1947" s="9">
        <v>2852.0</v>
      </c>
      <c r="K1947" s="9">
        <v>2852.0</v>
      </c>
      <c r="L1947" s="9">
        <v>2852.0</v>
      </c>
      <c r="M1947" s="9">
        <v>1359.0</v>
      </c>
      <c r="N1947" s="9">
        <v>774.0</v>
      </c>
      <c r="O1947" s="9">
        <v>719.0</v>
      </c>
      <c r="P1947" s="8" t="s">
        <v>3480</v>
      </c>
      <c r="Q1947" s="8"/>
      <c r="R1947" s="8"/>
    </row>
    <row r="1948">
      <c r="A1948" s="8" t="s">
        <v>2066</v>
      </c>
      <c r="B1948" s="8" t="s">
        <v>12475</v>
      </c>
      <c r="C1948" s="8" t="s">
        <v>8955</v>
      </c>
      <c r="D1948" s="9">
        <v>7.387680231E9</v>
      </c>
      <c r="E1948" s="8" t="s">
        <v>12476</v>
      </c>
      <c r="F1948" s="8" t="s">
        <v>4373</v>
      </c>
      <c r="G1948" s="8" t="s">
        <v>12477</v>
      </c>
      <c r="H1948" s="8" t="s">
        <v>12478</v>
      </c>
      <c r="I1948" s="9">
        <v>0.0</v>
      </c>
      <c r="J1948" s="9">
        <v>2100.0</v>
      </c>
      <c r="K1948" s="9">
        <v>2122.0</v>
      </c>
      <c r="L1948" s="9">
        <v>2100.0</v>
      </c>
      <c r="M1948" s="9">
        <v>409.0</v>
      </c>
      <c r="N1948" s="9">
        <v>839.0</v>
      </c>
      <c r="O1948" s="9">
        <v>874.0</v>
      </c>
      <c r="P1948" s="8" t="s">
        <v>4183</v>
      </c>
      <c r="Q1948" s="8"/>
      <c r="R1948" s="8"/>
    </row>
    <row r="1949">
      <c r="A1949" s="8" t="s">
        <v>1230</v>
      </c>
      <c r="B1949" s="8" t="s">
        <v>12479</v>
      </c>
      <c r="C1949" s="8" t="s">
        <v>12480</v>
      </c>
      <c r="D1949" s="9">
        <v>9.689919635E9</v>
      </c>
      <c r="E1949" s="8" t="s">
        <v>12481</v>
      </c>
      <c r="F1949" s="8" t="s">
        <v>4018</v>
      </c>
      <c r="G1949" s="8" t="s">
        <v>12482</v>
      </c>
      <c r="H1949" s="8" t="s">
        <v>3479</v>
      </c>
      <c r="I1949" s="9">
        <v>0.0</v>
      </c>
      <c r="J1949" s="9">
        <v>706.0</v>
      </c>
      <c r="K1949" s="9">
        <v>706.0</v>
      </c>
      <c r="L1949" s="9">
        <v>706.0</v>
      </c>
      <c r="M1949" s="9">
        <v>177.0</v>
      </c>
      <c r="N1949" s="9">
        <v>80.0</v>
      </c>
      <c r="O1949" s="9">
        <v>449.0</v>
      </c>
      <c r="P1949" s="8" t="s">
        <v>3544</v>
      </c>
      <c r="Q1949" s="8"/>
      <c r="R1949" s="8"/>
    </row>
    <row r="1950">
      <c r="A1950" s="8" t="s">
        <v>1224</v>
      </c>
      <c r="B1950" s="8" t="s">
        <v>12483</v>
      </c>
      <c r="C1950" s="8" t="s">
        <v>12484</v>
      </c>
      <c r="D1950" s="9">
        <v>9.82268191E9</v>
      </c>
      <c r="E1950" s="8" t="s">
        <v>12485</v>
      </c>
      <c r="F1950" s="8" t="s">
        <v>3608</v>
      </c>
      <c r="G1950" s="8" t="s">
        <v>12486</v>
      </c>
      <c r="H1950" s="8" t="s">
        <v>3479</v>
      </c>
      <c r="I1950" s="9">
        <v>0.0</v>
      </c>
      <c r="J1950" s="9">
        <v>338.0</v>
      </c>
      <c r="K1950" s="9">
        <v>338.0</v>
      </c>
      <c r="L1950" s="9">
        <v>338.0</v>
      </c>
      <c r="M1950" s="9">
        <v>253.0</v>
      </c>
      <c r="N1950" s="9">
        <v>0.0</v>
      </c>
      <c r="O1950" s="9">
        <v>85.0</v>
      </c>
      <c r="P1950" s="8" t="s">
        <v>3480</v>
      </c>
      <c r="Q1950" s="8"/>
      <c r="R1950" s="8"/>
    </row>
    <row r="1951">
      <c r="A1951" s="8" t="s">
        <v>2513</v>
      </c>
      <c r="B1951" s="8" t="s">
        <v>12487</v>
      </c>
      <c r="C1951" s="8" t="s">
        <v>6103</v>
      </c>
      <c r="D1951" s="9">
        <v>8.668460218E9</v>
      </c>
      <c r="E1951" s="8" t="s">
        <v>12488</v>
      </c>
      <c r="F1951" s="8" t="s">
        <v>3589</v>
      </c>
      <c r="G1951" s="8" t="s">
        <v>12489</v>
      </c>
      <c r="H1951" s="8" t="s">
        <v>3479</v>
      </c>
      <c r="I1951" s="9">
        <v>0.0</v>
      </c>
      <c r="J1951" s="9">
        <v>1217.0</v>
      </c>
      <c r="K1951" s="9">
        <v>1217.0</v>
      </c>
      <c r="L1951" s="9">
        <v>1217.0</v>
      </c>
      <c r="M1951" s="9">
        <v>1042.0</v>
      </c>
      <c r="N1951" s="9">
        <v>0.0</v>
      </c>
      <c r="O1951" s="9">
        <v>175.0</v>
      </c>
      <c r="P1951" s="8" t="s">
        <v>4183</v>
      </c>
      <c r="Q1951" s="8"/>
      <c r="R1951" s="8"/>
    </row>
    <row r="1952">
      <c r="A1952" s="8" t="s">
        <v>2515</v>
      </c>
      <c r="B1952" s="8" t="s">
        <v>12490</v>
      </c>
      <c r="C1952" s="8" t="s">
        <v>10510</v>
      </c>
      <c r="D1952" s="9">
        <v>9.352808907E9</v>
      </c>
      <c r="E1952" s="8" t="s">
        <v>10511</v>
      </c>
      <c r="F1952" s="8" t="s">
        <v>3959</v>
      </c>
      <c r="G1952" s="8" t="s">
        <v>3494</v>
      </c>
      <c r="H1952" s="8" t="s">
        <v>3479</v>
      </c>
      <c r="I1952" s="9">
        <v>0.0</v>
      </c>
      <c r="J1952" s="9">
        <v>3004.0</v>
      </c>
      <c r="K1952" s="9">
        <v>3004.0</v>
      </c>
      <c r="L1952" s="9">
        <v>3004.0</v>
      </c>
      <c r="M1952" s="9">
        <v>1771.0</v>
      </c>
      <c r="N1952" s="9">
        <v>784.0</v>
      </c>
      <c r="O1952" s="9">
        <v>449.0</v>
      </c>
      <c r="P1952" s="8" t="s">
        <v>3480</v>
      </c>
      <c r="Q1952" s="8" t="s">
        <v>10514</v>
      </c>
      <c r="R1952" s="8" t="s">
        <v>10515</v>
      </c>
    </row>
    <row r="1953">
      <c r="A1953" s="8" t="s">
        <v>2067</v>
      </c>
      <c r="B1953" s="8" t="s">
        <v>12491</v>
      </c>
      <c r="C1953" s="8" t="s">
        <v>12492</v>
      </c>
      <c r="D1953" s="9">
        <v>9.284046204E9</v>
      </c>
      <c r="E1953" s="8" t="s">
        <v>12493</v>
      </c>
      <c r="F1953" s="8" t="s">
        <v>3608</v>
      </c>
      <c r="G1953" s="8" t="s">
        <v>12489</v>
      </c>
      <c r="H1953" s="8" t="s">
        <v>3479</v>
      </c>
      <c r="I1953" s="9">
        <v>0.0</v>
      </c>
      <c r="J1953" s="9">
        <v>2136.0</v>
      </c>
      <c r="K1953" s="9">
        <v>2136.0</v>
      </c>
      <c r="L1953" s="9">
        <v>2136.0</v>
      </c>
      <c r="M1953" s="9">
        <v>1761.0</v>
      </c>
      <c r="N1953" s="9">
        <v>0.0</v>
      </c>
      <c r="O1953" s="9">
        <v>375.0</v>
      </c>
      <c r="P1953" s="8" t="s">
        <v>4183</v>
      </c>
      <c r="Q1953" s="8"/>
      <c r="R1953" s="8"/>
    </row>
    <row r="1954">
      <c r="A1954" s="8" t="s">
        <v>2068</v>
      </c>
      <c r="B1954" s="8" t="s">
        <v>12494</v>
      </c>
      <c r="C1954" s="8" t="s">
        <v>11183</v>
      </c>
      <c r="D1954" s="9">
        <v>9.890471821E9</v>
      </c>
      <c r="E1954" s="8" t="s">
        <v>11184</v>
      </c>
      <c r="F1954" s="8" t="s">
        <v>3486</v>
      </c>
      <c r="G1954" s="8" t="s">
        <v>3758</v>
      </c>
      <c r="H1954" s="8" t="s">
        <v>3479</v>
      </c>
      <c r="I1954" s="9">
        <v>0.0</v>
      </c>
      <c r="J1954" s="9">
        <v>1389.0</v>
      </c>
      <c r="K1954" s="9">
        <v>1389.0</v>
      </c>
      <c r="L1954" s="9">
        <v>1389.0</v>
      </c>
      <c r="M1954" s="9">
        <v>1264.0</v>
      </c>
      <c r="N1954" s="9">
        <v>0.0</v>
      </c>
      <c r="O1954" s="9">
        <v>125.0</v>
      </c>
      <c r="P1954" s="8" t="s">
        <v>4183</v>
      </c>
      <c r="Q1954" s="8"/>
      <c r="R1954" s="8"/>
    </row>
    <row r="1955">
      <c r="A1955" s="8" t="s">
        <v>2458</v>
      </c>
      <c r="B1955" s="8" t="s">
        <v>12495</v>
      </c>
      <c r="C1955" s="8" t="s">
        <v>12145</v>
      </c>
      <c r="D1955" s="9">
        <v>7.083185944E9</v>
      </c>
      <c r="E1955" s="8" t="s">
        <v>12146</v>
      </c>
      <c r="F1955" s="8" t="s">
        <v>12147</v>
      </c>
      <c r="G1955" s="8" t="s">
        <v>12148</v>
      </c>
      <c r="H1955" s="8" t="s">
        <v>3479</v>
      </c>
      <c r="I1955" s="9">
        <v>0.0</v>
      </c>
      <c r="J1955" s="9">
        <v>2435.0</v>
      </c>
      <c r="K1955" s="9">
        <v>2435.0</v>
      </c>
      <c r="L1955" s="9">
        <v>2435.0</v>
      </c>
      <c r="M1955" s="9">
        <v>2435.0</v>
      </c>
      <c r="N1955" s="9">
        <v>0.0</v>
      </c>
      <c r="O1955" s="9">
        <v>0.0</v>
      </c>
      <c r="P1955" s="8" t="s">
        <v>3519</v>
      </c>
      <c r="Q1955" s="8" t="s">
        <v>12149</v>
      </c>
      <c r="R1955" s="8" t="s">
        <v>12150</v>
      </c>
    </row>
    <row r="1956">
      <c r="A1956" s="8" t="s">
        <v>2514</v>
      </c>
      <c r="B1956" s="8" t="s">
        <v>12496</v>
      </c>
      <c r="C1956" s="8" t="s">
        <v>12497</v>
      </c>
      <c r="D1956" s="9">
        <v>8.888406992E9</v>
      </c>
      <c r="E1956" s="8" t="s">
        <v>12498</v>
      </c>
      <c r="F1956" s="8" t="s">
        <v>5556</v>
      </c>
      <c r="G1956" s="8" t="s">
        <v>12499</v>
      </c>
      <c r="H1956" s="8" t="s">
        <v>11146</v>
      </c>
      <c r="I1956" s="9">
        <v>0.0</v>
      </c>
      <c r="J1956" s="9">
        <v>1500.0</v>
      </c>
      <c r="K1956" s="9">
        <v>1523.0</v>
      </c>
      <c r="L1956" s="9">
        <v>1500.0</v>
      </c>
      <c r="M1956" s="9">
        <v>270.0</v>
      </c>
      <c r="N1956" s="9">
        <v>584.0</v>
      </c>
      <c r="O1956" s="9">
        <v>669.0</v>
      </c>
      <c r="P1956" s="8" t="s">
        <v>6294</v>
      </c>
      <c r="Q1956" s="8"/>
      <c r="R1956" s="8"/>
    </row>
    <row r="1957">
      <c r="A1957" s="8" t="s">
        <v>2459</v>
      </c>
      <c r="B1957" s="8" t="s">
        <v>12500</v>
      </c>
      <c r="C1957" s="8" t="s">
        <v>4326</v>
      </c>
      <c r="D1957" s="9">
        <v>9.284541754E9</v>
      </c>
      <c r="E1957" s="8" t="s">
        <v>4327</v>
      </c>
      <c r="F1957" s="8" t="s">
        <v>3977</v>
      </c>
      <c r="G1957" s="8" t="s">
        <v>12501</v>
      </c>
      <c r="H1957" s="8" t="s">
        <v>3479</v>
      </c>
      <c r="I1957" s="9">
        <v>0.0</v>
      </c>
      <c r="J1957" s="9">
        <v>3004.0</v>
      </c>
      <c r="K1957" s="9">
        <v>3004.0</v>
      </c>
      <c r="L1957" s="9">
        <v>3004.0</v>
      </c>
      <c r="M1957" s="9">
        <v>1695.0</v>
      </c>
      <c r="N1957" s="9">
        <v>780.0</v>
      </c>
      <c r="O1957" s="9">
        <v>529.0</v>
      </c>
      <c r="P1957" s="8" t="s">
        <v>3480</v>
      </c>
      <c r="Q1957" s="8" t="s">
        <v>4329</v>
      </c>
      <c r="R1957" s="8"/>
    </row>
    <row r="1958">
      <c r="A1958" s="8" t="s">
        <v>2460</v>
      </c>
      <c r="B1958" s="8" t="s">
        <v>12502</v>
      </c>
      <c r="C1958" s="8" t="s">
        <v>4371</v>
      </c>
      <c r="D1958" s="9">
        <v>8.275160439E9</v>
      </c>
      <c r="E1958" s="8" t="s">
        <v>4372</v>
      </c>
      <c r="F1958" s="8" t="s">
        <v>4373</v>
      </c>
      <c r="G1958" s="8" t="s">
        <v>12503</v>
      </c>
      <c r="H1958" s="8" t="s">
        <v>3479</v>
      </c>
      <c r="I1958" s="9">
        <v>0.0</v>
      </c>
      <c r="J1958" s="9">
        <v>1508.0</v>
      </c>
      <c r="K1958" s="9">
        <v>1508.0</v>
      </c>
      <c r="L1958" s="9">
        <v>1508.0</v>
      </c>
      <c r="M1958" s="9">
        <v>135.0</v>
      </c>
      <c r="N1958" s="9">
        <v>774.0</v>
      </c>
      <c r="O1958" s="9">
        <v>599.0</v>
      </c>
      <c r="P1958" s="8" t="s">
        <v>3480</v>
      </c>
      <c r="Q1958" s="8" t="s">
        <v>4375</v>
      </c>
      <c r="R1958" s="8" t="s">
        <v>4376</v>
      </c>
    </row>
    <row r="1959">
      <c r="A1959" s="8" t="s">
        <v>2069</v>
      </c>
      <c r="B1959" s="8" t="s">
        <v>12504</v>
      </c>
      <c r="C1959" s="8" t="s">
        <v>6285</v>
      </c>
      <c r="D1959" s="9">
        <v>9.404254482E9</v>
      </c>
      <c r="E1959" s="8" t="s">
        <v>6286</v>
      </c>
      <c r="F1959" s="8" t="s">
        <v>3908</v>
      </c>
      <c r="G1959" s="8" t="s">
        <v>12505</v>
      </c>
      <c r="H1959" s="8" t="s">
        <v>3479</v>
      </c>
      <c r="I1959" s="9">
        <v>0.0</v>
      </c>
      <c r="J1959" s="9">
        <v>1588.0</v>
      </c>
      <c r="K1959" s="9">
        <v>1588.0</v>
      </c>
      <c r="L1959" s="9">
        <v>1588.0</v>
      </c>
      <c r="M1959" s="9">
        <v>135.0</v>
      </c>
      <c r="N1959" s="9">
        <v>774.0</v>
      </c>
      <c r="O1959" s="9">
        <v>679.0</v>
      </c>
      <c r="P1959" s="8" t="s">
        <v>4183</v>
      </c>
      <c r="Q1959" s="8" t="s">
        <v>6288</v>
      </c>
      <c r="R1959" s="8" t="s">
        <v>6289</v>
      </c>
    </row>
    <row r="1960">
      <c r="A1960" s="8" t="s">
        <v>2070</v>
      </c>
      <c r="B1960" s="8" t="s">
        <v>12506</v>
      </c>
      <c r="C1960" s="8" t="s">
        <v>4849</v>
      </c>
      <c r="D1960" s="9">
        <v>9.561493784E9</v>
      </c>
      <c r="E1960" s="8" t="s">
        <v>4850</v>
      </c>
      <c r="F1960" s="8" t="s">
        <v>3523</v>
      </c>
      <c r="G1960" s="8" t="s">
        <v>4851</v>
      </c>
      <c r="H1960" s="8" t="s">
        <v>3479</v>
      </c>
      <c r="I1960" s="9">
        <v>0.0</v>
      </c>
      <c r="J1960" s="9">
        <v>4667.0</v>
      </c>
      <c r="K1960" s="9">
        <v>4667.0</v>
      </c>
      <c r="L1960" s="9">
        <v>4667.0</v>
      </c>
      <c r="M1960" s="9">
        <v>3313.0</v>
      </c>
      <c r="N1960" s="9">
        <v>730.0</v>
      </c>
      <c r="O1960" s="9">
        <v>624.0</v>
      </c>
      <c r="P1960" s="8" t="s">
        <v>4183</v>
      </c>
      <c r="Q1960" s="8" t="s">
        <v>4852</v>
      </c>
      <c r="R1960" s="8"/>
    </row>
    <row r="1961">
      <c r="A1961" s="8" t="s">
        <v>2071</v>
      </c>
      <c r="B1961" s="8" t="s">
        <v>12507</v>
      </c>
      <c r="C1961" s="8" t="s">
        <v>12508</v>
      </c>
      <c r="D1961" s="9">
        <v>8.087392067E9</v>
      </c>
      <c r="E1961" s="8" t="s">
        <v>12509</v>
      </c>
      <c r="F1961" s="8" t="s">
        <v>4645</v>
      </c>
      <c r="G1961" s="8" t="s">
        <v>12510</v>
      </c>
      <c r="H1961" s="8" t="s">
        <v>3479</v>
      </c>
      <c r="I1961" s="9">
        <v>0.0</v>
      </c>
      <c r="J1961" s="9">
        <v>959.0</v>
      </c>
      <c r="K1961" s="9">
        <v>959.0</v>
      </c>
      <c r="L1961" s="9">
        <v>959.0</v>
      </c>
      <c r="M1961" s="9">
        <v>510.0</v>
      </c>
      <c r="N1961" s="9">
        <v>0.0</v>
      </c>
      <c r="O1961" s="9">
        <v>449.0</v>
      </c>
      <c r="P1961" s="8" t="s">
        <v>4183</v>
      </c>
      <c r="Q1961" s="8"/>
      <c r="R1961" s="8"/>
    </row>
    <row r="1962">
      <c r="A1962" s="8" t="s">
        <v>2072</v>
      </c>
      <c r="B1962" s="8" t="s">
        <v>12511</v>
      </c>
      <c r="C1962" s="8" t="s">
        <v>12512</v>
      </c>
      <c r="D1962" s="9">
        <v>7.588229241E9</v>
      </c>
      <c r="E1962" s="8" t="s">
        <v>12513</v>
      </c>
      <c r="F1962" s="8" t="s">
        <v>3486</v>
      </c>
      <c r="G1962" s="8" t="s">
        <v>12514</v>
      </c>
      <c r="H1962" s="8" t="s">
        <v>3479</v>
      </c>
      <c r="I1962" s="9">
        <v>0.0</v>
      </c>
      <c r="J1962" s="9">
        <v>1487.0</v>
      </c>
      <c r="K1962" s="9">
        <v>1487.0</v>
      </c>
      <c r="L1962" s="9">
        <v>1487.0</v>
      </c>
      <c r="M1962" s="9">
        <v>1038.0</v>
      </c>
      <c r="N1962" s="9">
        <v>0.0</v>
      </c>
      <c r="O1962" s="9">
        <v>449.0</v>
      </c>
      <c r="P1962" s="8" t="s">
        <v>4183</v>
      </c>
      <c r="Q1962" s="8" t="s">
        <v>12515</v>
      </c>
      <c r="R1962" s="8" t="s">
        <v>12516</v>
      </c>
    </row>
    <row r="1963">
      <c r="A1963" s="8" t="s">
        <v>2528</v>
      </c>
      <c r="B1963" s="8" t="s">
        <v>12517</v>
      </c>
      <c r="C1963" s="8" t="s">
        <v>12518</v>
      </c>
      <c r="D1963" s="9">
        <v>7.276084703E9</v>
      </c>
      <c r="E1963" s="8" t="s">
        <v>12519</v>
      </c>
      <c r="F1963" s="8" t="s">
        <v>3809</v>
      </c>
      <c r="G1963" s="8" t="s">
        <v>12520</v>
      </c>
      <c r="H1963" s="8" t="s">
        <v>3479</v>
      </c>
      <c r="I1963" s="9">
        <v>0.0</v>
      </c>
      <c r="J1963" s="9">
        <v>3023.0</v>
      </c>
      <c r="K1963" s="9">
        <v>3023.0</v>
      </c>
      <c r="L1963" s="9">
        <v>3023.0</v>
      </c>
      <c r="M1963" s="9">
        <v>1424.0</v>
      </c>
      <c r="N1963" s="9">
        <v>775.0</v>
      </c>
      <c r="O1963" s="9">
        <v>824.0</v>
      </c>
      <c r="P1963" s="8" t="s">
        <v>3544</v>
      </c>
      <c r="Q1963" s="8" t="s">
        <v>12521</v>
      </c>
      <c r="R1963" s="8" t="s">
        <v>12522</v>
      </c>
    </row>
    <row r="1964">
      <c r="A1964" s="8" t="s">
        <v>2529</v>
      </c>
      <c r="B1964" s="8" t="s">
        <v>12523</v>
      </c>
      <c r="C1964" s="8" t="s">
        <v>12524</v>
      </c>
      <c r="D1964" s="9">
        <v>9.822086647E9</v>
      </c>
      <c r="E1964" s="8" t="s">
        <v>12525</v>
      </c>
      <c r="F1964" s="8" t="s">
        <v>4454</v>
      </c>
      <c r="G1964" s="8" t="s">
        <v>12526</v>
      </c>
      <c r="H1964" s="8" t="s">
        <v>3479</v>
      </c>
      <c r="I1964" s="9">
        <v>0.0</v>
      </c>
      <c r="J1964" s="9">
        <v>1500.0</v>
      </c>
      <c r="K1964" s="9">
        <v>1500.0</v>
      </c>
      <c r="L1964" s="9">
        <v>1500.0</v>
      </c>
      <c r="M1964" s="9">
        <v>1500.0</v>
      </c>
      <c r="N1964" s="9">
        <v>0.0</v>
      </c>
      <c r="O1964" s="9">
        <v>0.0</v>
      </c>
      <c r="P1964" s="8" t="s">
        <v>3480</v>
      </c>
      <c r="Q1964" s="8"/>
      <c r="R1964" s="8"/>
    </row>
    <row r="1965">
      <c r="A1965" s="8" t="s">
        <v>2461</v>
      </c>
      <c r="B1965" s="8" t="s">
        <v>12527</v>
      </c>
      <c r="C1965" s="8" t="s">
        <v>12528</v>
      </c>
      <c r="D1965" s="9">
        <v>7.972335286E9</v>
      </c>
      <c r="E1965" s="8" t="s">
        <v>12529</v>
      </c>
      <c r="F1965" s="8" t="s">
        <v>6455</v>
      </c>
      <c r="G1965" s="8" t="s">
        <v>12530</v>
      </c>
      <c r="H1965" s="8" t="s">
        <v>3479</v>
      </c>
      <c r="I1965" s="9">
        <v>0.0</v>
      </c>
      <c r="J1965" s="9">
        <v>529.0</v>
      </c>
      <c r="K1965" s="9">
        <v>529.0</v>
      </c>
      <c r="L1965" s="9">
        <v>529.0</v>
      </c>
      <c r="M1965" s="9">
        <v>80.0</v>
      </c>
      <c r="N1965" s="9">
        <v>0.0</v>
      </c>
      <c r="O1965" s="9">
        <v>449.0</v>
      </c>
      <c r="P1965" s="8" t="s">
        <v>3480</v>
      </c>
      <c r="Q1965" s="8" t="s">
        <v>12531</v>
      </c>
      <c r="R1965" s="8" t="s">
        <v>12532</v>
      </c>
    </row>
    <row r="1966">
      <c r="A1966" s="8" t="s">
        <v>2530</v>
      </c>
      <c r="B1966" s="8" t="s">
        <v>12533</v>
      </c>
      <c r="C1966" s="8" t="s">
        <v>12534</v>
      </c>
      <c r="D1966" s="9">
        <v>9.096161717E9</v>
      </c>
      <c r="E1966" s="8" t="s">
        <v>12535</v>
      </c>
      <c r="F1966" s="8" t="s">
        <v>3809</v>
      </c>
      <c r="G1966" s="8" t="s">
        <v>12536</v>
      </c>
      <c r="H1966" s="8" t="s">
        <v>3479</v>
      </c>
      <c r="I1966" s="9">
        <v>0.0</v>
      </c>
      <c r="J1966" s="9">
        <v>1527.0</v>
      </c>
      <c r="K1966" s="9">
        <v>1527.0</v>
      </c>
      <c r="L1966" s="9">
        <v>1527.0</v>
      </c>
      <c r="M1966" s="9">
        <v>588.0</v>
      </c>
      <c r="N1966" s="9">
        <v>190.0</v>
      </c>
      <c r="O1966" s="9">
        <v>749.0</v>
      </c>
      <c r="P1966" s="8" t="s">
        <v>3480</v>
      </c>
      <c r="Q1966" s="8"/>
      <c r="R1966" s="8"/>
    </row>
    <row r="1967">
      <c r="A1967" s="8" t="s">
        <v>2531</v>
      </c>
      <c r="B1967" s="8" t="s">
        <v>12537</v>
      </c>
      <c r="C1967" s="8" t="s">
        <v>12538</v>
      </c>
      <c r="D1967" s="9">
        <v>9.823794514E9</v>
      </c>
      <c r="E1967" s="8" t="s">
        <v>12539</v>
      </c>
      <c r="F1967" s="8" t="s">
        <v>3721</v>
      </c>
      <c r="G1967" s="8" t="s">
        <v>12540</v>
      </c>
      <c r="H1967" s="8" t="s">
        <v>12541</v>
      </c>
      <c r="I1967" s="9">
        <v>0.0</v>
      </c>
      <c r="J1967" s="9">
        <v>2900.0</v>
      </c>
      <c r="K1967" s="9">
        <v>2923.0</v>
      </c>
      <c r="L1967" s="9">
        <v>2900.0</v>
      </c>
      <c r="M1967" s="9">
        <v>1660.0</v>
      </c>
      <c r="N1967" s="9">
        <v>739.0</v>
      </c>
      <c r="O1967" s="9">
        <v>524.0</v>
      </c>
      <c r="P1967" s="8" t="s">
        <v>3519</v>
      </c>
      <c r="Q1967" s="8"/>
      <c r="R1967" s="8" t="s">
        <v>12542</v>
      </c>
    </row>
    <row r="1968">
      <c r="A1968" s="8" t="s">
        <v>2463</v>
      </c>
      <c r="B1968" s="8" t="s">
        <v>12543</v>
      </c>
      <c r="C1968" s="8" t="s">
        <v>12544</v>
      </c>
      <c r="D1968" s="9">
        <v>6.26022907E9</v>
      </c>
      <c r="E1968" s="8" t="s">
        <v>12545</v>
      </c>
      <c r="F1968" s="8" t="s">
        <v>3628</v>
      </c>
      <c r="G1968" s="8" t="s">
        <v>12546</v>
      </c>
      <c r="H1968" s="8" t="s">
        <v>3479</v>
      </c>
      <c r="I1968" s="9">
        <v>0.0</v>
      </c>
      <c r="J1968" s="9">
        <v>2542.0</v>
      </c>
      <c r="K1968" s="9">
        <v>2542.0</v>
      </c>
      <c r="L1968" s="9">
        <v>2542.0</v>
      </c>
      <c r="M1968" s="9">
        <v>353.0</v>
      </c>
      <c r="N1968" s="9">
        <v>1490.0</v>
      </c>
      <c r="O1968" s="9">
        <v>699.0</v>
      </c>
      <c r="P1968" s="8" t="s">
        <v>3480</v>
      </c>
      <c r="Q1968" s="8" t="s">
        <v>12547</v>
      </c>
      <c r="R1968" s="8" t="s">
        <v>12548</v>
      </c>
    </row>
    <row r="1969">
      <c r="A1969" s="8" t="s">
        <v>2532</v>
      </c>
      <c r="B1969" s="8" t="s">
        <v>12549</v>
      </c>
      <c r="C1969" s="8" t="s">
        <v>11759</v>
      </c>
      <c r="D1969" s="9">
        <v>7.798199237E9</v>
      </c>
      <c r="E1969" s="8" t="s">
        <v>11760</v>
      </c>
      <c r="F1969" s="8" t="s">
        <v>3653</v>
      </c>
      <c r="G1969" s="8" t="s">
        <v>11853</v>
      </c>
      <c r="H1969" s="8" t="s">
        <v>3479</v>
      </c>
      <c r="I1969" s="9">
        <v>0.0</v>
      </c>
      <c r="J1969" s="9">
        <v>719.0</v>
      </c>
      <c r="K1969" s="9">
        <v>719.0</v>
      </c>
      <c r="L1969" s="9">
        <v>719.0</v>
      </c>
      <c r="M1969" s="9">
        <v>80.0</v>
      </c>
      <c r="N1969" s="9">
        <v>190.0</v>
      </c>
      <c r="O1969" s="9">
        <v>449.0</v>
      </c>
      <c r="P1969" s="8" t="s">
        <v>3480</v>
      </c>
      <c r="Q1969" s="8"/>
      <c r="R1969" s="8"/>
    </row>
    <row r="1970">
      <c r="A1970" s="8" t="s">
        <v>1807</v>
      </c>
      <c r="B1970" s="8" t="s">
        <v>12550</v>
      </c>
      <c r="C1970" s="8" t="s">
        <v>12551</v>
      </c>
      <c r="D1970" s="9">
        <v>7.709968508E9</v>
      </c>
      <c r="E1970" s="8" t="s">
        <v>12552</v>
      </c>
      <c r="F1970" s="8" t="s">
        <v>4917</v>
      </c>
      <c r="G1970" s="8" t="s">
        <v>10100</v>
      </c>
      <c r="H1970" s="8" t="s">
        <v>3479</v>
      </c>
      <c r="I1970" s="9">
        <v>0.0</v>
      </c>
      <c r="J1970" s="9">
        <v>2018.0</v>
      </c>
      <c r="K1970" s="9">
        <v>2018.0</v>
      </c>
      <c r="L1970" s="9">
        <v>2018.0</v>
      </c>
      <c r="M1970" s="9">
        <v>1918.0</v>
      </c>
      <c r="N1970" s="9">
        <v>0.0</v>
      </c>
      <c r="O1970" s="9">
        <v>100.0</v>
      </c>
      <c r="P1970" s="8" t="s">
        <v>3480</v>
      </c>
      <c r="Q1970" s="8"/>
      <c r="R1970" s="8"/>
    </row>
    <row r="1971">
      <c r="A1971" s="8" t="s">
        <v>2074</v>
      </c>
      <c r="B1971" s="8" t="s">
        <v>12553</v>
      </c>
      <c r="C1971" s="8" t="s">
        <v>8955</v>
      </c>
      <c r="D1971" s="9">
        <v>7.387680231E9</v>
      </c>
      <c r="E1971" s="8" t="s">
        <v>8956</v>
      </c>
      <c r="F1971" s="8" t="s">
        <v>4391</v>
      </c>
      <c r="G1971" s="8" t="s">
        <v>12554</v>
      </c>
      <c r="H1971" s="8" t="s">
        <v>3479</v>
      </c>
      <c r="I1971" s="9">
        <v>0.0</v>
      </c>
      <c r="J1971" s="9">
        <v>1259.0</v>
      </c>
      <c r="K1971" s="9">
        <v>1259.0</v>
      </c>
      <c r="L1971" s="9">
        <v>1259.0</v>
      </c>
      <c r="M1971" s="9">
        <v>80.0</v>
      </c>
      <c r="N1971" s="9">
        <v>730.0</v>
      </c>
      <c r="O1971" s="9">
        <v>449.0</v>
      </c>
      <c r="P1971" s="8" t="s">
        <v>3480</v>
      </c>
      <c r="Q1971" s="8" t="s">
        <v>8959</v>
      </c>
      <c r="R1971" s="8" t="s">
        <v>8960</v>
      </c>
    </row>
    <row r="1972">
      <c r="A1972" s="8" t="s">
        <v>2075</v>
      </c>
      <c r="B1972" s="8" t="s">
        <v>12555</v>
      </c>
      <c r="C1972" s="8" t="s">
        <v>12556</v>
      </c>
      <c r="D1972" s="9">
        <v>9.225533236E9</v>
      </c>
      <c r="E1972" s="8" t="s">
        <v>12557</v>
      </c>
      <c r="F1972" s="8" t="s">
        <v>4239</v>
      </c>
      <c r="G1972" s="8" t="s">
        <v>12558</v>
      </c>
      <c r="H1972" s="8" t="s">
        <v>3479</v>
      </c>
      <c r="I1972" s="9">
        <v>0.0</v>
      </c>
      <c r="J1972" s="9">
        <v>1877.0</v>
      </c>
      <c r="K1972" s="9">
        <v>1877.0</v>
      </c>
      <c r="L1972" s="9">
        <v>1877.0</v>
      </c>
      <c r="M1972" s="9">
        <v>623.0</v>
      </c>
      <c r="N1972" s="9">
        <v>730.0</v>
      </c>
      <c r="O1972" s="9">
        <v>524.0</v>
      </c>
      <c r="P1972" s="8" t="s">
        <v>3519</v>
      </c>
      <c r="Q1972" s="8" t="s">
        <v>12559</v>
      </c>
      <c r="R1972" s="8"/>
    </row>
    <row r="1973">
      <c r="A1973" s="8" t="s">
        <v>2076</v>
      </c>
      <c r="B1973" s="8" t="s">
        <v>12560</v>
      </c>
      <c r="C1973" s="8" t="s">
        <v>4250</v>
      </c>
      <c r="D1973" s="9">
        <v>8.446142636E9</v>
      </c>
      <c r="E1973" s="8" t="s">
        <v>4251</v>
      </c>
      <c r="F1973" s="8" t="s">
        <v>4252</v>
      </c>
      <c r="G1973" s="8" t="s">
        <v>12561</v>
      </c>
      <c r="H1973" s="8" t="s">
        <v>3479</v>
      </c>
      <c r="I1973" s="9">
        <v>0.0</v>
      </c>
      <c r="J1973" s="9">
        <v>5529.0</v>
      </c>
      <c r="K1973" s="9">
        <v>5529.0</v>
      </c>
      <c r="L1973" s="9">
        <v>5529.0</v>
      </c>
      <c r="M1973" s="9">
        <v>4730.0</v>
      </c>
      <c r="N1973" s="9">
        <v>0.0</v>
      </c>
      <c r="O1973" s="9">
        <v>799.0</v>
      </c>
      <c r="P1973" s="8" t="s">
        <v>3480</v>
      </c>
      <c r="Q1973" s="8" t="s">
        <v>4254</v>
      </c>
      <c r="R1973" s="8" t="s">
        <v>4255</v>
      </c>
    </row>
    <row r="1974">
      <c r="A1974" s="8" t="s">
        <v>2077</v>
      </c>
      <c r="B1974" s="8" t="s">
        <v>12562</v>
      </c>
      <c r="C1974" s="8" t="s">
        <v>12563</v>
      </c>
      <c r="D1974" s="9">
        <v>8.380076221E9</v>
      </c>
      <c r="E1974" s="8" t="s">
        <v>12564</v>
      </c>
      <c r="F1974" s="8" t="s">
        <v>3821</v>
      </c>
      <c r="G1974" s="8" t="s">
        <v>3641</v>
      </c>
      <c r="H1974" s="8" t="s">
        <v>3479</v>
      </c>
      <c r="I1974" s="9">
        <v>0.0</v>
      </c>
      <c r="J1974" s="9">
        <v>1567.0</v>
      </c>
      <c r="K1974" s="9">
        <v>1567.0</v>
      </c>
      <c r="L1974" s="9">
        <v>1567.0</v>
      </c>
      <c r="M1974" s="9">
        <v>313.0</v>
      </c>
      <c r="N1974" s="9">
        <v>730.0</v>
      </c>
      <c r="O1974" s="9">
        <v>524.0</v>
      </c>
      <c r="P1974" s="8" t="s">
        <v>3480</v>
      </c>
      <c r="Q1974" s="8" t="s">
        <v>12565</v>
      </c>
      <c r="R1974" s="8" t="s">
        <v>12566</v>
      </c>
    </row>
    <row r="1975">
      <c r="A1975" s="8" t="s">
        <v>2078</v>
      </c>
      <c r="B1975" s="8" t="s">
        <v>12567</v>
      </c>
      <c r="C1975" s="8" t="s">
        <v>12568</v>
      </c>
      <c r="D1975" s="9">
        <v>9.372420714E9</v>
      </c>
      <c r="E1975" s="8" t="s">
        <v>12569</v>
      </c>
      <c r="F1975" s="8" t="s">
        <v>3608</v>
      </c>
      <c r="G1975" s="8" t="s">
        <v>12570</v>
      </c>
      <c r="H1975" s="8" t="s">
        <v>3479</v>
      </c>
      <c r="I1975" s="9">
        <v>0.0</v>
      </c>
      <c r="J1975" s="9">
        <v>2126.0</v>
      </c>
      <c r="K1975" s="9">
        <v>2126.0</v>
      </c>
      <c r="L1975" s="9">
        <v>2126.0</v>
      </c>
      <c r="M1975" s="9">
        <v>867.0</v>
      </c>
      <c r="N1975" s="9">
        <v>730.0</v>
      </c>
      <c r="O1975" s="9">
        <v>529.0</v>
      </c>
      <c r="P1975" s="8" t="s">
        <v>3480</v>
      </c>
      <c r="Q1975" s="8" t="s">
        <v>12571</v>
      </c>
      <c r="R1975" s="8"/>
    </row>
    <row r="1976">
      <c r="A1976" s="8" t="s">
        <v>2516</v>
      </c>
      <c r="B1976" s="8" t="s">
        <v>12572</v>
      </c>
      <c r="C1976" s="8" t="s">
        <v>12573</v>
      </c>
      <c r="D1976" s="9">
        <v>9.309512781E9</v>
      </c>
      <c r="E1976" s="8" t="s">
        <v>12574</v>
      </c>
      <c r="F1976" s="8" t="s">
        <v>3681</v>
      </c>
      <c r="G1976" s="8" t="s">
        <v>12575</v>
      </c>
      <c r="H1976" s="8" t="s">
        <v>3479</v>
      </c>
      <c r="I1976" s="9">
        <v>0.0</v>
      </c>
      <c r="J1976" s="9">
        <v>1606.0</v>
      </c>
      <c r="K1976" s="9">
        <v>1606.0</v>
      </c>
      <c r="L1976" s="9">
        <v>1606.0</v>
      </c>
      <c r="M1976" s="9">
        <v>373.0</v>
      </c>
      <c r="N1976" s="9">
        <v>784.0</v>
      </c>
      <c r="O1976" s="9">
        <v>449.0</v>
      </c>
      <c r="P1976" s="8" t="s">
        <v>3519</v>
      </c>
      <c r="Q1976" s="8" t="s">
        <v>12576</v>
      </c>
      <c r="R1976" s="8" t="s">
        <v>12577</v>
      </c>
    </row>
    <row r="1977">
      <c r="A1977" s="8" t="s">
        <v>1082</v>
      </c>
      <c r="B1977" s="8" t="s">
        <v>12578</v>
      </c>
      <c r="C1977" s="8" t="s">
        <v>4355</v>
      </c>
      <c r="D1977" s="9">
        <v>9.503558142E9</v>
      </c>
      <c r="E1977" s="8" t="s">
        <v>4356</v>
      </c>
      <c r="F1977" s="8" t="s">
        <v>4333</v>
      </c>
      <c r="G1977" s="8" t="s">
        <v>12579</v>
      </c>
      <c r="H1977" s="8" t="s">
        <v>3479</v>
      </c>
      <c r="I1977" s="9">
        <v>0.0</v>
      </c>
      <c r="J1977" s="9">
        <v>1008.0</v>
      </c>
      <c r="K1977" s="9">
        <v>1008.0</v>
      </c>
      <c r="L1977" s="9">
        <v>1008.0</v>
      </c>
      <c r="M1977" s="9">
        <v>409.0</v>
      </c>
      <c r="N1977" s="9">
        <v>0.0</v>
      </c>
      <c r="O1977" s="9">
        <v>599.0</v>
      </c>
      <c r="P1977" s="8" t="s">
        <v>3480</v>
      </c>
      <c r="Q1977" s="8"/>
      <c r="R1977" s="8"/>
    </row>
    <row r="1978">
      <c r="A1978" s="8" t="s">
        <v>1909</v>
      </c>
      <c r="B1978" s="8" t="s">
        <v>12580</v>
      </c>
      <c r="C1978" s="8" t="s">
        <v>12581</v>
      </c>
      <c r="D1978" s="9">
        <v>9.850611003E9</v>
      </c>
      <c r="E1978" s="8" t="s">
        <v>12582</v>
      </c>
      <c r="F1978" s="8" t="s">
        <v>6455</v>
      </c>
      <c r="G1978" s="8" t="s">
        <v>12583</v>
      </c>
      <c r="H1978" s="8" t="s">
        <v>3479</v>
      </c>
      <c r="I1978" s="9">
        <v>0.0</v>
      </c>
      <c r="J1978" s="9">
        <v>1259.0</v>
      </c>
      <c r="K1978" s="9">
        <v>1259.0</v>
      </c>
      <c r="L1978" s="9">
        <v>1259.0</v>
      </c>
      <c r="M1978" s="9">
        <v>80.0</v>
      </c>
      <c r="N1978" s="9">
        <v>730.0</v>
      </c>
      <c r="O1978" s="9">
        <v>449.0</v>
      </c>
      <c r="P1978" s="8" t="s">
        <v>3519</v>
      </c>
      <c r="Q1978" s="8" t="s">
        <v>12584</v>
      </c>
      <c r="R1978" s="8" t="s">
        <v>12585</v>
      </c>
    </row>
    <row r="1979">
      <c r="A1979" s="8" t="s">
        <v>2403</v>
      </c>
      <c r="B1979" s="8" t="s">
        <v>12586</v>
      </c>
      <c r="C1979" s="8" t="s">
        <v>12587</v>
      </c>
      <c r="D1979" s="9">
        <v>9.545428497E9</v>
      </c>
      <c r="E1979" s="8" t="s">
        <v>12588</v>
      </c>
      <c r="F1979" s="8" t="s">
        <v>3959</v>
      </c>
      <c r="G1979" s="8" t="s">
        <v>12589</v>
      </c>
      <c r="H1979" s="8" t="s">
        <v>3479</v>
      </c>
      <c r="I1979" s="9">
        <v>0.0</v>
      </c>
      <c r="J1979" s="9">
        <v>1603.0</v>
      </c>
      <c r="K1979" s="9">
        <v>1603.0</v>
      </c>
      <c r="L1979" s="9">
        <v>1603.0</v>
      </c>
      <c r="M1979" s="9">
        <v>370.0</v>
      </c>
      <c r="N1979" s="9">
        <v>784.0</v>
      </c>
      <c r="O1979" s="9">
        <v>449.0</v>
      </c>
      <c r="P1979" s="8" t="s">
        <v>3480</v>
      </c>
      <c r="Q1979" s="8" t="s">
        <v>12590</v>
      </c>
      <c r="R1979" s="8" t="s">
        <v>12591</v>
      </c>
    </row>
    <row r="1980">
      <c r="A1980" s="8" t="s">
        <v>2079</v>
      </c>
      <c r="B1980" s="8" t="s">
        <v>12592</v>
      </c>
      <c r="C1980" s="8" t="s">
        <v>12593</v>
      </c>
      <c r="D1980" s="9">
        <v>9.823896993E9</v>
      </c>
      <c r="E1980" s="8" t="s">
        <v>12594</v>
      </c>
      <c r="F1980" s="8" t="s">
        <v>3601</v>
      </c>
      <c r="G1980" s="8" t="s">
        <v>12595</v>
      </c>
      <c r="H1980" s="8" t="s">
        <v>3479</v>
      </c>
      <c r="I1980" s="9">
        <v>0.0</v>
      </c>
      <c r="J1980" s="9">
        <v>2354.0</v>
      </c>
      <c r="K1980" s="9">
        <v>2354.0</v>
      </c>
      <c r="L1980" s="9">
        <v>2354.0</v>
      </c>
      <c r="M1980" s="9">
        <v>1125.0</v>
      </c>
      <c r="N1980" s="9">
        <v>780.0</v>
      </c>
      <c r="O1980" s="9">
        <v>449.0</v>
      </c>
      <c r="P1980" s="8" t="s">
        <v>3480</v>
      </c>
      <c r="Q1980" s="8"/>
      <c r="R1980" s="8"/>
    </row>
    <row r="1981">
      <c r="A1981" s="8" t="s">
        <v>2462</v>
      </c>
      <c r="B1981" s="8" t="s">
        <v>12596</v>
      </c>
      <c r="C1981" s="8" t="s">
        <v>12597</v>
      </c>
      <c r="D1981" s="9">
        <v>9.422431563E9</v>
      </c>
      <c r="E1981" s="8" t="s">
        <v>12598</v>
      </c>
      <c r="F1981" s="8" t="s">
        <v>3828</v>
      </c>
      <c r="G1981" s="8" t="s">
        <v>12599</v>
      </c>
      <c r="H1981" s="8" t="s">
        <v>3479</v>
      </c>
      <c r="I1981" s="9">
        <v>0.0</v>
      </c>
      <c r="J1981" s="9">
        <v>1613.0</v>
      </c>
      <c r="K1981" s="9">
        <v>1613.0</v>
      </c>
      <c r="L1981" s="9">
        <v>1613.0</v>
      </c>
      <c r="M1981" s="9">
        <v>390.0</v>
      </c>
      <c r="N1981" s="9">
        <v>774.0</v>
      </c>
      <c r="O1981" s="9">
        <v>449.0</v>
      </c>
      <c r="P1981" s="8" t="s">
        <v>3480</v>
      </c>
      <c r="Q1981" s="8" t="s">
        <v>12600</v>
      </c>
      <c r="R1981" s="8"/>
    </row>
    <row r="1982">
      <c r="A1982" s="8" t="s">
        <v>1729</v>
      </c>
      <c r="B1982" s="8" t="s">
        <v>12601</v>
      </c>
      <c r="C1982" s="8" t="s">
        <v>12602</v>
      </c>
      <c r="D1982" s="9">
        <v>8.805759519E9</v>
      </c>
      <c r="E1982" s="8" t="s">
        <v>12603</v>
      </c>
      <c r="F1982" s="8" t="s">
        <v>3550</v>
      </c>
      <c r="G1982" s="8" t="s">
        <v>12604</v>
      </c>
      <c r="H1982" s="8" t="s">
        <v>3479</v>
      </c>
      <c r="I1982" s="9">
        <v>0.0</v>
      </c>
      <c r="J1982" s="9">
        <v>1752.0</v>
      </c>
      <c r="K1982" s="9">
        <v>1752.0</v>
      </c>
      <c r="L1982" s="9">
        <v>1752.0</v>
      </c>
      <c r="M1982" s="9">
        <v>623.0</v>
      </c>
      <c r="N1982" s="9">
        <v>680.0</v>
      </c>
      <c r="O1982" s="9">
        <v>449.0</v>
      </c>
      <c r="P1982" s="8" t="s">
        <v>3480</v>
      </c>
      <c r="Q1982" s="8" t="s">
        <v>12605</v>
      </c>
      <c r="R1982" s="8" t="s">
        <v>12606</v>
      </c>
    </row>
    <row r="1983">
      <c r="A1983" s="8" t="s">
        <v>1730</v>
      </c>
      <c r="B1983" s="8" t="s">
        <v>12607</v>
      </c>
      <c r="C1983" s="8" t="s">
        <v>12608</v>
      </c>
      <c r="D1983" s="9">
        <v>8.766884095E9</v>
      </c>
      <c r="E1983" s="8" t="s">
        <v>12609</v>
      </c>
      <c r="F1983" s="8" t="s">
        <v>3908</v>
      </c>
      <c r="G1983" s="8" t="s">
        <v>12610</v>
      </c>
      <c r="H1983" s="8" t="s">
        <v>3479</v>
      </c>
      <c r="I1983" s="9">
        <v>0.0</v>
      </c>
      <c r="J1983" s="9">
        <v>3366.0</v>
      </c>
      <c r="K1983" s="9">
        <v>3366.0</v>
      </c>
      <c r="L1983" s="9">
        <v>3366.0</v>
      </c>
      <c r="M1983" s="9">
        <v>1658.0</v>
      </c>
      <c r="N1983" s="9">
        <v>784.0</v>
      </c>
      <c r="O1983" s="9">
        <v>924.0</v>
      </c>
      <c r="P1983" s="8" t="s">
        <v>3480</v>
      </c>
      <c r="Q1983" s="8"/>
      <c r="R1983" s="8"/>
    </row>
    <row r="1984">
      <c r="A1984" s="8" t="s">
        <v>1731</v>
      </c>
      <c r="B1984" s="8" t="s">
        <v>12611</v>
      </c>
      <c r="C1984" s="8" t="s">
        <v>5753</v>
      </c>
      <c r="D1984" s="9">
        <v>8.888845632E9</v>
      </c>
      <c r="E1984" s="8" t="s">
        <v>12612</v>
      </c>
      <c r="F1984" s="8" t="s">
        <v>6910</v>
      </c>
      <c r="G1984" s="8" t="s">
        <v>4012</v>
      </c>
      <c r="H1984" s="8" t="s">
        <v>3479</v>
      </c>
      <c r="I1984" s="9">
        <v>0.0</v>
      </c>
      <c r="J1984" s="9">
        <v>2333.0</v>
      </c>
      <c r="K1984" s="9">
        <v>2333.0</v>
      </c>
      <c r="L1984" s="9">
        <v>2333.0</v>
      </c>
      <c r="M1984" s="9">
        <v>1029.0</v>
      </c>
      <c r="N1984" s="9">
        <v>730.0</v>
      </c>
      <c r="O1984" s="9">
        <v>574.0</v>
      </c>
      <c r="P1984" s="8" t="s">
        <v>3480</v>
      </c>
      <c r="Q1984" s="8" t="s">
        <v>12613</v>
      </c>
      <c r="R1984" s="8" t="s">
        <v>12614</v>
      </c>
    </row>
    <row r="1985">
      <c r="A1985" s="8" t="s">
        <v>1732</v>
      </c>
      <c r="B1985" s="8" t="s">
        <v>12615</v>
      </c>
      <c r="C1985" s="8" t="s">
        <v>12616</v>
      </c>
      <c r="D1985" s="9">
        <v>9.763986995E9</v>
      </c>
      <c r="E1985" s="8" t="s">
        <v>12617</v>
      </c>
      <c r="F1985" s="8" t="s">
        <v>3677</v>
      </c>
      <c r="G1985" s="8" t="s">
        <v>12618</v>
      </c>
      <c r="H1985" s="8" t="s">
        <v>3479</v>
      </c>
      <c r="I1985" s="9">
        <v>0.0</v>
      </c>
      <c r="J1985" s="9">
        <v>6201.0</v>
      </c>
      <c r="K1985" s="9">
        <v>6201.0</v>
      </c>
      <c r="L1985" s="9">
        <v>6201.0</v>
      </c>
      <c r="M1985" s="9">
        <v>3853.0</v>
      </c>
      <c r="N1985" s="9">
        <v>774.0</v>
      </c>
      <c r="O1985" s="9">
        <v>1574.0</v>
      </c>
      <c r="P1985" s="8" t="s">
        <v>3480</v>
      </c>
      <c r="Q1985" s="8"/>
      <c r="R1985" s="8"/>
    </row>
    <row r="1986">
      <c r="A1986" s="8" t="s">
        <v>2073</v>
      </c>
      <c r="B1986" s="8" t="s">
        <v>12619</v>
      </c>
      <c r="C1986" s="8" t="s">
        <v>12620</v>
      </c>
      <c r="D1986" s="9">
        <v>8.888844727E9</v>
      </c>
      <c r="E1986" s="8" t="s">
        <v>12621</v>
      </c>
      <c r="F1986" s="8" t="s">
        <v>3608</v>
      </c>
      <c r="G1986" s="8" t="s">
        <v>12622</v>
      </c>
      <c r="H1986" s="8" t="s">
        <v>3479</v>
      </c>
      <c r="I1986" s="9">
        <v>0.0</v>
      </c>
      <c r="J1986" s="9">
        <v>802.0</v>
      </c>
      <c r="K1986" s="9">
        <v>802.0</v>
      </c>
      <c r="L1986" s="9">
        <v>802.0</v>
      </c>
      <c r="M1986" s="9">
        <v>353.0</v>
      </c>
      <c r="N1986" s="9">
        <v>0.0</v>
      </c>
      <c r="O1986" s="9">
        <v>449.0</v>
      </c>
      <c r="P1986" s="8" t="s">
        <v>3480</v>
      </c>
      <c r="Q1986" s="8" t="s">
        <v>12623</v>
      </c>
      <c r="R1986" s="8"/>
    </row>
    <row r="1987">
      <c r="A1987" s="8" t="s">
        <v>2080</v>
      </c>
      <c r="B1987" s="8" t="s">
        <v>12624</v>
      </c>
      <c r="C1987" s="8" t="s">
        <v>5971</v>
      </c>
      <c r="D1987" s="9">
        <v>8.805911335E9</v>
      </c>
      <c r="E1987" s="8" t="s">
        <v>5972</v>
      </c>
      <c r="F1987" s="8" t="s">
        <v>3697</v>
      </c>
      <c r="G1987" s="8" t="s">
        <v>12625</v>
      </c>
      <c r="H1987" s="8" t="s">
        <v>3479</v>
      </c>
      <c r="I1987" s="9">
        <v>0.0</v>
      </c>
      <c r="J1987" s="9">
        <v>2293.0</v>
      </c>
      <c r="K1987" s="9">
        <v>2293.0</v>
      </c>
      <c r="L1987" s="9">
        <v>2293.0</v>
      </c>
      <c r="M1987" s="9">
        <v>2118.0</v>
      </c>
      <c r="N1987" s="9">
        <v>0.0</v>
      </c>
      <c r="O1987" s="9">
        <v>175.0</v>
      </c>
      <c r="P1987" s="8" t="s">
        <v>3480</v>
      </c>
      <c r="Q1987" s="8" t="s">
        <v>5974</v>
      </c>
      <c r="R1987" s="8" t="s">
        <v>5975</v>
      </c>
    </row>
    <row r="1988">
      <c r="A1988" s="8" t="s">
        <v>1910</v>
      </c>
      <c r="B1988" s="8" t="s">
        <v>12626</v>
      </c>
      <c r="C1988" s="8" t="s">
        <v>5353</v>
      </c>
      <c r="D1988" s="9">
        <v>9.9239769E9</v>
      </c>
      <c r="E1988" s="8" t="s">
        <v>5354</v>
      </c>
      <c r="F1988" s="8" t="s">
        <v>3707</v>
      </c>
      <c r="G1988" s="8" t="s">
        <v>12627</v>
      </c>
      <c r="H1988" s="8" t="s">
        <v>3479</v>
      </c>
      <c r="I1988" s="9">
        <v>0.0</v>
      </c>
      <c r="J1988" s="9">
        <v>929.0</v>
      </c>
      <c r="K1988" s="9">
        <v>929.0</v>
      </c>
      <c r="L1988" s="9">
        <v>929.0</v>
      </c>
      <c r="M1988" s="9">
        <v>80.0</v>
      </c>
      <c r="N1988" s="9">
        <v>0.0</v>
      </c>
      <c r="O1988" s="9">
        <v>849.0</v>
      </c>
      <c r="P1988" s="8" t="s">
        <v>3480</v>
      </c>
      <c r="Q1988" s="8" t="s">
        <v>5356</v>
      </c>
      <c r="R1988" s="8"/>
    </row>
    <row r="1989">
      <c r="A1989" s="8" t="s">
        <v>2533</v>
      </c>
      <c r="B1989" s="8" t="s">
        <v>12628</v>
      </c>
      <c r="C1989" s="8" t="s">
        <v>12629</v>
      </c>
      <c r="D1989" s="9">
        <v>9.881414294E9</v>
      </c>
      <c r="E1989" s="8" t="s">
        <v>12630</v>
      </c>
      <c r="F1989" s="8" t="s">
        <v>3564</v>
      </c>
      <c r="G1989" s="8" t="s">
        <v>12631</v>
      </c>
      <c r="H1989" s="8" t="s">
        <v>12632</v>
      </c>
      <c r="I1989" s="9">
        <v>0.0</v>
      </c>
      <c r="J1989" s="9">
        <v>1900.0</v>
      </c>
      <c r="K1989" s="9">
        <v>1995.0</v>
      </c>
      <c r="L1989" s="9">
        <v>1900.0</v>
      </c>
      <c r="M1989" s="9">
        <v>1055.0</v>
      </c>
      <c r="N1989" s="9">
        <v>190.0</v>
      </c>
      <c r="O1989" s="9">
        <v>750.0</v>
      </c>
      <c r="P1989" s="8" t="s">
        <v>3519</v>
      </c>
      <c r="Q1989" s="8"/>
      <c r="R1989" s="8"/>
    </row>
    <row r="1990">
      <c r="A1990" s="8" t="s">
        <v>1727</v>
      </c>
      <c r="B1990" s="8" t="s">
        <v>12633</v>
      </c>
      <c r="C1990" s="8" t="s">
        <v>10073</v>
      </c>
      <c r="D1990" s="9">
        <v>9.765559057E9</v>
      </c>
      <c r="E1990" s="8" t="s">
        <v>10074</v>
      </c>
      <c r="F1990" s="8" t="s">
        <v>3523</v>
      </c>
      <c r="G1990" s="8" t="s">
        <v>12634</v>
      </c>
      <c r="H1990" s="8" t="s">
        <v>3479</v>
      </c>
      <c r="I1990" s="9">
        <v>0.0</v>
      </c>
      <c r="J1990" s="9">
        <v>4277.0</v>
      </c>
      <c r="K1990" s="9">
        <v>4277.0</v>
      </c>
      <c r="L1990" s="9">
        <v>4277.0</v>
      </c>
      <c r="M1990" s="9">
        <v>3023.0</v>
      </c>
      <c r="N1990" s="9">
        <v>730.0</v>
      </c>
      <c r="O1990" s="9">
        <v>524.0</v>
      </c>
      <c r="P1990" s="8" t="s">
        <v>3480</v>
      </c>
      <c r="Q1990" s="8"/>
      <c r="R1990" s="8"/>
    </row>
    <row r="1991">
      <c r="A1991" s="8" t="s">
        <v>2404</v>
      </c>
      <c r="B1991" s="8" t="s">
        <v>12635</v>
      </c>
      <c r="C1991" s="8" t="s">
        <v>5953</v>
      </c>
      <c r="D1991" s="9">
        <v>9.423306423E9</v>
      </c>
      <c r="E1991" s="8" t="s">
        <v>12636</v>
      </c>
      <c r="F1991" s="8" t="s">
        <v>3523</v>
      </c>
      <c r="G1991" s="8" t="s">
        <v>12637</v>
      </c>
      <c r="H1991" s="8" t="s">
        <v>3479</v>
      </c>
      <c r="I1991" s="9">
        <v>0.0</v>
      </c>
      <c r="J1991" s="9">
        <v>1704.0</v>
      </c>
      <c r="K1991" s="9">
        <v>1704.0</v>
      </c>
      <c r="L1991" s="9">
        <v>1704.0</v>
      </c>
      <c r="M1991" s="9">
        <v>450.0</v>
      </c>
      <c r="N1991" s="9">
        <v>730.0</v>
      </c>
      <c r="O1991" s="9">
        <v>524.0</v>
      </c>
      <c r="P1991" s="8" t="s">
        <v>3480</v>
      </c>
      <c r="Q1991" s="8" t="s">
        <v>12638</v>
      </c>
      <c r="R1991" s="8" t="s">
        <v>12639</v>
      </c>
    </row>
    <row r="1992">
      <c r="A1992" s="8" t="s">
        <v>2405</v>
      </c>
      <c r="B1992" s="8" t="s">
        <v>12640</v>
      </c>
      <c r="C1992" s="8" t="s">
        <v>5177</v>
      </c>
      <c r="D1992" s="9">
        <v>7.588768111E9</v>
      </c>
      <c r="E1992" s="8" t="s">
        <v>12641</v>
      </c>
      <c r="F1992" s="8" t="s">
        <v>3908</v>
      </c>
      <c r="G1992" s="8" t="s">
        <v>12642</v>
      </c>
      <c r="H1992" s="8" t="s">
        <v>3479</v>
      </c>
      <c r="I1992" s="9">
        <v>0.0</v>
      </c>
      <c r="J1992" s="9">
        <v>2731.0</v>
      </c>
      <c r="K1992" s="9">
        <v>2731.0</v>
      </c>
      <c r="L1992" s="9">
        <v>2731.0</v>
      </c>
      <c r="M1992" s="9">
        <v>1073.0</v>
      </c>
      <c r="N1992" s="9">
        <v>784.0</v>
      </c>
      <c r="O1992" s="9">
        <v>874.0</v>
      </c>
      <c r="P1992" s="8" t="s">
        <v>3480</v>
      </c>
      <c r="Q1992" s="8"/>
      <c r="R1992" s="8"/>
    </row>
    <row r="1993">
      <c r="A1993" s="8" t="s">
        <v>1728</v>
      </c>
      <c r="B1993" s="8" t="s">
        <v>12643</v>
      </c>
      <c r="C1993" s="8" t="s">
        <v>9222</v>
      </c>
      <c r="D1993" s="9">
        <v>9.885183711E9</v>
      </c>
      <c r="E1993" s="8" t="s">
        <v>9223</v>
      </c>
      <c r="F1993" s="8" t="s">
        <v>3959</v>
      </c>
      <c r="G1993" s="8" t="s">
        <v>12644</v>
      </c>
      <c r="H1993" s="8" t="s">
        <v>3479</v>
      </c>
      <c r="I1993" s="9">
        <v>0.0</v>
      </c>
      <c r="J1993" s="9">
        <v>964.0</v>
      </c>
      <c r="K1993" s="9">
        <v>964.0</v>
      </c>
      <c r="L1993" s="9">
        <v>964.0</v>
      </c>
      <c r="M1993" s="9">
        <v>260.0</v>
      </c>
      <c r="N1993" s="9">
        <v>0.0</v>
      </c>
      <c r="O1993" s="9">
        <v>704.0</v>
      </c>
      <c r="P1993" s="8" t="s">
        <v>3480</v>
      </c>
      <c r="Q1993" s="8"/>
      <c r="R1993" s="8"/>
    </row>
    <row r="1994">
      <c r="A1994" s="8" t="s">
        <v>2406</v>
      </c>
      <c r="B1994" s="8" t="s">
        <v>12645</v>
      </c>
      <c r="C1994" s="8" t="s">
        <v>12646</v>
      </c>
      <c r="D1994" s="9">
        <v>9.88150452E9</v>
      </c>
      <c r="E1994" s="8" t="s">
        <v>12647</v>
      </c>
      <c r="F1994" s="8" t="s">
        <v>3653</v>
      </c>
      <c r="G1994" s="8" t="s">
        <v>12648</v>
      </c>
      <c r="H1994" s="8" t="s">
        <v>3479</v>
      </c>
      <c r="I1994" s="9">
        <v>0.0</v>
      </c>
      <c r="J1994" s="9">
        <v>2251.0</v>
      </c>
      <c r="K1994" s="9">
        <v>2251.0</v>
      </c>
      <c r="L1994" s="9">
        <v>2251.0</v>
      </c>
      <c r="M1994" s="9">
        <v>1412.0</v>
      </c>
      <c r="N1994" s="9">
        <v>65.0</v>
      </c>
      <c r="O1994" s="9">
        <v>774.0</v>
      </c>
      <c r="P1994" s="8" t="s">
        <v>3480</v>
      </c>
      <c r="Q1994" s="8"/>
      <c r="R1994" s="8"/>
    </row>
    <row r="1995">
      <c r="A1995" s="8" t="s">
        <v>2407</v>
      </c>
      <c r="B1995" s="8" t="s">
        <v>12649</v>
      </c>
      <c r="C1995" s="8" t="s">
        <v>9049</v>
      </c>
      <c r="D1995" s="9">
        <v>8.31909724E9</v>
      </c>
      <c r="E1995" s="8" t="s">
        <v>9050</v>
      </c>
      <c r="F1995" s="8" t="s">
        <v>3594</v>
      </c>
      <c r="G1995" s="8" t="s">
        <v>12650</v>
      </c>
      <c r="H1995" s="8" t="s">
        <v>3479</v>
      </c>
      <c r="I1995" s="9">
        <v>0.0</v>
      </c>
      <c r="J1995" s="9">
        <v>1954.0</v>
      </c>
      <c r="K1995" s="9">
        <v>1954.0</v>
      </c>
      <c r="L1995" s="9">
        <v>1954.0</v>
      </c>
      <c r="M1995" s="9">
        <v>450.0</v>
      </c>
      <c r="N1995" s="9">
        <v>730.0</v>
      </c>
      <c r="O1995" s="9">
        <v>774.0</v>
      </c>
      <c r="P1995" s="8" t="s">
        <v>3519</v>
      </c>
      <c r="Q1995" s="8" t="s">
        <v>9052</v>
      </c>
      <c r="R1995" s="8" t="s">
        <v>9053</v>
      </c>
    </row>
    <row r="1996">
      <c r="A1996" s="8" t="s">
        <v>2408</v>
      </c>
      <c r="B1996" s="8" t="s">
        <v>12651</v>
      </c>
      <c r="C1996" s="8" t="s">
        <v>12652</v>
      </c>
      <c r="D1996" s="9">
        <v>9.011084225E9</v>
      </c>
      <c r="E1996" s="8" t="s">
        <v>12653</v>
      </c>
      <c r="F1996" s="8" t="s">
        <v>3959</v>
      </c>
      <c r="G1996" s="8" t="s">
        <v>12654</v>
      </c>
      <c r="H1996" s="8" t="s">
        <v>3479</v>
      </c>
      <c r="I1996" s="9">
        <v>0.0</v>
      </c>
      <c r="J1996" s="9">
        <v>1726.0</v>
      </c>
      <c r="K1996" s="9">
        <v>1726.0</v>
      </c>
      <c r="L1996" s="9">
        <v>1726.0</v>
      </c>
      <c r="M1996" s="9">
        <v>413.0</v>
      </c>
      <c r="N1996" s="9">
        <v>784.0</v>
      </c>
      <c r="O1996" s="9">
        <v>529.0</v>
      </c>
      <c r="P1996" s="8" t="s">
        <v>3480</v>
      </c>
      <c r="Q1996" s="8" t="s">
        <v>12655</v>
      </c>
      <c r="R1996" s="8" t="s">
        <v>12656</v>
      </c>
    </row>
    <row r="1997">
      <c r="A1997" s="8" t="s">
        <v>2409</v>
      </c>
      <c r="B1997" s="8" t="s">
        <v>12657</v>
      </c>
      <c r="C1997" s="8" t="s">
        <v>12658</v>
      </c>
      <c r="D1997" s="9">
        <v>9.85099207E9</v>
      </c>
      <c r="E1997" s="8" t="s">
        <v>12659</v>
      </c>
      <c r="F1997" s="8" t="s">
        <v>3677</v>
      </c>
      <c r="G1997" s="8" t="s">
        <v>12660</v>
      </c>
      <c r="H1997" s="8" t="s">
        <v>3479</v>
      </c>
      <c r="I1997" s="9">
        <v>0.0</v>
      </c>
      <c r="J1997" s="9">
        <v>1778.0</v>
      </c>
      <c r="K1997" s="9">
        <v>1778.0</v>
      </c>
      <c r="L1997" s="9">
        <v>1778.0</v>
      </c>
      <c r="M1997" s="9">
        <v>315.0</v>
      </c>
      <c r="N1997" s="9">
        <v>784.0</v>
      </c>
      <c r="O1997" s="9">
        <v>679.0</v>
      </c>
      <c r="P1997" s="8" t="s">
        <v>3480</v>
      </c>
      <c r="Q1997" s="8" t="s">
        <v>12661</v>
      </c>
      <c r="R1997" s="8" t="s">
        <v>12662</v>
      </c>
    </row>
    <row r="1998">
      <c r="A1998" s="8" t="s">
        <v>1808</v>
      </c>
      <c r="B1998" s="8" t="s">
        <v>12663</v>
      </c>
      <c r="C1998" s="8" t="s">
        <v>12664</v>
      </c>
      <c r="D1998" s="9">
        <v>9.822227072E9</v>
      </c>
      <c r="E1998" s="8" t="s">
        <v>12665</v>
      </c>
      <c r="F1998" s="8" t="s">
        <v>3523</v>
      </c>
      <c r="G1998" s="8" t="s">
        <v>12666</v>
      </c>
      <c r="H1998" s="8" t="s">
        <v>3479</v>
      </c>
      <c r="I1998" s="9">
        <v>0.0</v>
      </c>
      <c r="J1998" s="9">
        <v>3215.0</v>
      </c>
      <c r="K1998" s="9">
        <v>3215.0</v>
      </c>
      <c r="L1998" s="9">
        <v>3215.0</v>
      </c>
      <c r="M1998" s="9">
        <v>1881.0</v>
      </c>
      <c r="N1998" s="9">
        <v>730.0</v>
      </c>
      <c r="O1998" s="9">
        <v>604.0</v>
      </c>
      <c r="P1998" s="8" t="s">
        <v>3480</v>
      </c>
      <c r="Q1998" s="8" t="s">
        <v>12667</v>
      </c>
      <c r="R1998" s="8" t="s">
        <v>12668</v>
      </c>
    </row>
    <row r="1999">
      <c r="A1999" s="8" t="s">
        <v>2472</v>
      </c>
      <c r="B1999" s="8" t="s">
        <v>12669</v>
      </c>
      <c r="C1999" s="8" t="s">
        <v>4822</v>
      </c>
      <c r="D1999" s="9">
        <v>9.665742133E9</v>
      </c>
      <c r="E1999" s="8" t="s">
        <v>4823</v>
      </c>
      <c r="F1999" s="8" t="s">
        <v>3550</v>
      </c>
      <c r="G1999" s="8" t="s">
        <v>12670</v>
      </c>
      <c r="H1999" s="8" t="s">
        <v>3479</v>
      </c>
      <c r="I1999" s="9">
        <v>0.0</v>
      </c>
      <c r="J1999" s="9">
        <v>1190.0</v>
      </c>
      <c r="K1999" s="9">
        <v>1190.0</v>
      </c>
      <c r="L1999" s="9">
        <v>1190.0</v>
      </c>
      <c r="M1999" s="9">
        <v>80.0</v>
      </c>
      <c r="N1999" s="9">
        <v>661.0</v>
      </c>
      <c r="O1999" s="9">
        <v>449.0</v>
      </c>
      <c r="P1999" s="8" t="s">
        <v>3480</v>
      </c>
      <c r="Q1999" s="8" t="s">
        <v>4825</v>
      </c>
      <c r="R1999" s="8" t="s">
        <v>4826</v>
      </c>
    </row>
    <row r="2000">
      <c r="A2000" s="8" t="s">
        <v>2473</v>
      </c>
      <c r="B2000" s="8" t="s">
        <v>12671</v>
      </c>
      <c r="C2000" s="8" t="s">
        <v>12672</v>
      </c>
      <c r="D2000" s="9">
        <v>8.600865286E9</v>
      </c>
      <c r="E2000" s="8" t="s">
        <v>12673</v>
      </c>
      <c r="F2000" s="8" t="s">
        <v>3608</v>
      </c>
      <c r="G2000" s="8" t="s">
        <v>12674</v>
      </c>
      <c r="H2000" s="8" t="s">
        <v>3479</v>
      </c>
      <c r="I2000" s="9">
        <v>0.0</v>
      </c>
      <c r="J2000" s="9">
        <v>1512.0</v>
      </c>
      <c r="K2000" s="9">
        <v>1512.0</v>
      </c>
      <c r="L2000" s="9">
        <v>1512.0</v>
      </c>
      <c r="M2000" s="9">
        <v>333.0</v>
      </c>
      <c r="N2000" s="9">
        <v>730.0</v>
      </c>
      <c r="O2000" s="9">
        <v>449.0</v>
      </c>
      <c r="P2000" s="8" t="s">
        <v>3480</v>
      </c>
      <c r="Q2000" s="8" t="s">
        <v>12675</v>
      </c>
      <c r="R2000" s="8" t="s">
        <v>12676</v>
      </c>
    </row>
    <row r="2001">
      <c r="A2001" s="8" t="s">
        <v>1809</v>
      </c>
      <c r="B2001" s="8" t="s">
        <v>12677</v>
      </c>
      <c r="C2001" s="8" t="s">
        <v>7656</v>
      </c>
      <c r="D2001" s="9">
        <v>9.922216271E9</v>
      </c>
      <c r="E2001" s="8" t="s">
        <v>7657</v>
      </c>
      <c r="F2001" s="8" t="s">
        <v>7658</v>
      </c>
      <c r="G2001" s="8" t="s">
        <v>12678</v>
      </c>
      <c r="H2001" s="8" t="s">
        <v>3479</v>
      </c>
      <c r="I2001" s="9">
        <v>0.0</v>
      </c>
      <c r="J2001" s="9">
        <v>994.0</v>
      </c>
      <c r="K2001" s="9">
        <v>994.0</v>
      </c>
      <c r="L2001" s="9">
        <v>994.0</v>
      </c>
      <c r="M2001" s="9">
        <v>55.0</v>
      </c>
      <c r="N2001" s="9">
        <v>190.0</v>
      </c>
      <c r="O2001" s="9">
        <v>749.0</v>
      </c>
      <c r="P2001" s="8" t="s">
        <v>3519</v>
      </c>
      <c r="Q2001" s="8" t="s">
        <v>7660</v>
      </c>
      <c r="R2001" s="8" t="s">
        <v>7661</v>
      </c>
    </row>
    <row r="2002">
      <c r="A2002" s="8" t="s">
        <v>2543</v>
      </c>
      <c r="B2002" s="8" t="s">
        <v>12679</v>
      </c>
      <c r="C2002" s="8" t="s">
        <v>12680</v>
      </c>
      <c r="D2002" s="9">
        <v>8.177851788E9</v>
      </c>
      <c r="E2002" s="8" t="s">
        <v>12681</v>
      </c>
      <c r="F2002" s="8" t="s">
        <v>3550</v>
      </c>
      <c r="G2002" s="8" t="s">
        <v>12682</v>
      </c>
      <c r="H2002" s="8" t="s">
        <v>3479</v>
      </c>
      <c r="I2002" s="9">
        <v>0.0</v>
      </c>
      <c r="J2002" s="9">
        <v>1669.0</v>
      </c>
      <c r="K2002" s="9">
        <v>1669.0</v>
      </c>
      <c r="L2002" s="9">
        <v>1669.0</v>
      </c>
      <c r="M2002" s="9">
        <v>490.0</v>
      </c>
      <c r="N2002" s="9">
        <v>730.0</v>
      </c>
      <c r="O2002" s="9">
        <v>449.0</v>
      </c>
      <c r="P2002" s="8" t="s">
        <v>3480</v>
      </c>
      <c r="Q2002" s="8" t="s">
        <v>12683</v>
      </c>
      <c r="R2002" s="8" t="s">
        <v>12684</v>
      </c>
    </row>
    <row r="2003">
      <c r="A2003" s="8" t="s">
        <v>1810</v>
      </c>
      <c r="B2003" s="8" t="s">
        <v>12685</v>
      </c>
      <c r="C2003" s="8" t="s">
        <v>8291</v>
      </c>
      <c r="D2003" s="9">
        <v>8.237212835E9</v>
      </c>
      <c r="E2003" s="8" t="s">
        <v>8292</v>
      </c>
      <c r="F2003" s="8" t="s">
        <v>3821</v>
      </c>
      <c r="G2003" s="8" t="s">
        <v>12686</v>
      </c>
      <c r="H2003" s="8" t="s">
        <v>3479</v>
      </c>
      <c r="I2003" s="9">
        <v>0.0</v>
      </c>
      <c r="J2003" s="9">
        <v>2332.0</v>
      </c>
      <c r="K2003" s="9">
        <v>2332.0</v>
      </c>
      <c r="L2003" s="9">
        <v>2332.0</v>
      </c>
      <c r="M2003" s="9">
        <v>1078.0</v>
      </c>
      <c r="N2003" s="9">
        <v>730.0</v>
      </c>
      <c r="O2003" s="9">
        <v>524.0</v>
      </c>
      <c r="P2003" s="8" t="s">
        <v>3480</v>
      </c>
      <c r="Q2003" s="8"/>
      <c r="R2003" s="8"/>
    </row>
    <row r="2004">
      <c r="A2004" s="8" t="s">
        <v>2544</v>
      </c>
      <c r="B2004" s="8" t="s">
        <v>12687</v>
      </c>
      <c r="C2004" s="8" t="s">
        <v>12688</v>
      </c>
      <c r="D2004" s="9">
        <v>9.503042395E9</v>
      </c>
      <c r="E2004" s="8" t="s">
        <v>12689</v>
      </c>
      <c r="F2004" s="8" t="s">
        <v>3821</v>
      </c>
      <c r="G2004" s="8" t="s">
        <v>12690</v>
      </c>
      <c r="H2004" s="8" t="s">
        <v>3479</v>
      </c>
      <c r="I2004" s="9">
        <v>0.0</v>
      </c>
      <c r="J2004" s="9">
        <v>2910.0</v>
      </c>
      <c r="K2004" s="9">
        <v>2910.0</v>
      </c>
      <c r="L2004" s="9">
        <v>2910.0</v>
      </c>
      <c r="M2004" s="9">
        <v>1656.0</v>
      </c>
      <c r="N2004" s="9">
        <v>730.0</v>
      </c>
      <c r="O2004" s="9">
        <v>524.0</v>
      </c>
      <c r="P2004" s="8" t="s">
        <v>3480</v>
      </c>
      <c r="Q2004" s="8" t="s">
        <v>12691</v>
      </c>
      <c r="R2004" s="8" t="s">
        <v>12692</v>
      </c>
    </row>
    <row r="2005">
      <c r="A2005" s="8" t="s">
        <v>2555</v>
      </c>
      <c r="B2005" s="8" t="s">
        <v>12693</v>
      </c>
      <c r="C2005" s="8" t="s">
        <v>5804</v>
      </c>
      <c r="D2005" s="9">
        <v>7.016813823E9</v>
      </c>
      <c r="E2005" s="8" t="s">
        <v>5805</v>
      </c>
      <c r="F2005" s="8" t="s">
        <v>3601</v>
      </c>
      <c r="G2005" s="8" t="s">
        <v>12694</v>
      </c>
      <c r="H2005" s="8" t="s">
        <v>3479</v>
      </c>
      <c r="I2005" s="9">
        <v>0.0</v>
      </c>
      <c r="J2005" s="9">
        <v>3231.0</v>
      </c>
      <c r="K2005" s="9">
        <v>3231.0</v>
      </c>
      <c r="L2005" s="9">
        <v>3231.0</v>
      </c>
      <c r="M2005" s="9">
        <v>2052.0</v>
      </c>
      <c r="N2005" s="9">
        <v>730.0</v>
      </c>
      <c r="O2005" s="9">
        <v>449.0</v>
      </c>
      <c r="P2005" s="8" t="s">
        <v>3480</v>
      </c>
      <c r="Q2005" s="8"/>
      <c r="R2005" s="8"/>
    </row>
    <row r="2006">
      <c r="A2006" s="8" t="s">
        <v>2542</v>
      </c>
      <c r="B2006" s="8" t="s">
        <v>12695</v>
      </c>
      <c r="C2006" s="8" t="s">
        <v>12696</v>
      </c>
      <c r="D2006" s="9">
        <v>7.498995844E9</v>
      </c>
      <c r="E2006" s="8" t="s">
        <v>12697</v>
      </c>
      <c r="F2006" s="8" t="s">
        <v>7316</v>
      </c>
      <c r="G2006" s="8" t="s">
        <v>12698</v>
      </c>
      <c r="H2006" s="8" t="s">
        <v>3479</v>
      </c>
      <c r="I2006" s="9">
        <v>0.0</v>
      </c>
      <c r="J2006" s="9">
        <v>1800.0</v>
      </c>
      <c r="K2006" s="9">
        <v>1800.0</v>
      </c>
      <c r="L2006" s="9">
        <v>1800.0</v>
      </c>
      <c r="M2006" s="9">
        <v>1800.0</v>
      </c>
      <c r="N2006" s="9">
        <v>0.0</v>
      </c>
      <c r="O2006" s="9">
        <v>0.0</v>
      </c>
      <c r="P2006" s="8" t="s">
        <v>3480</v>
      </c>
      <c r="Q2006" s="8"/>
      <c r="R2006" s="8"/>
    </row>
    <row r="2007">
      <c r="A2007" s="8" t="s">
        <v>2474</v>
      </c>
      <c r="B2007" s="8" t="s">
        <v>12699</v>
      </c>
      <c r="C2007" s="8" t="s">
        <v>12700</v>
      </c>
      <c r="D2007" s="9">
        <v>9.15842011E9</v>
      </c>
      <c r="E2007" s="8" t="s">
        <v>12701</v>
      </c>
      <c r="F2007" s="8" t="s">
        <v>3954</v>
      </c>
      <c r="G2007" s="8" t="s">
        <v>12702</v>
      </c>
      <c r="H2007" s="8" t="s">
        <v>3479</v>
      </c>
      <c r="I2007" s="9">
        <v>0.0</v>
      </c>
      <c r="J2007" s="9">
        <v>2884.0</v>
      </c>
      <c r="K2007" s="9">
        <v>2884.0</v>
      </c>
      <c r="L2007" s="9">
        <v>2884.0</v>
      </c>
      <c r="M2007" s="9">
        <v>1695.0</v>
      </c>
      <c r="N2007" s="9">
        <v>190.0</v>
      </c>
      <c r="O2007" s="9">
        <v>999.0</v>
      </c>
      <c r="P2007" s="8" t="s">
        <v>3480</v>
      </c>
      <c r="Q2007" s="8" t="s">
        <v>12703</v>
      </c>
      <c r="R2007" s="8" t="s">
        <v>12704</v>
      </c>
    </row>
    <row r="2008">
      <c r="A2008" s="8" t="s">
        <v>2471</v>
      </c>
      <c r="B2008" s="8" t="s">
        <v>12705</v>
      </c>
      <c r="C2008" s="8" t="s">
        <v>12706</v>
      </c>
      <c r="D2008" s="9">
        <v>9.175573138E9</v>
      </c>
      <c r="E2008" s="8" t="s">
        <v>12707</v>
      </c>
      <c r="F2008" s="8" t="s">
        <v>3863</v>
      </c>
      <c r="G2008" s="8" t="s">
        <v>5412</v>
      </c>
      <c r="H2008" s="8" t="s">
        <v>3479</v>
      </c>
      <c r="I2008" s="9">
        <v>0.0</v>
      </c>
      <c r="J2008" s="9">
        <v>4094.0</v>
      </c>
      <c r="K2008" s="9">
        <v>4094.0</v>
      </c>
      <c r="L2008" s="9">
        <v>4094.0</v>
      </c>
      <c r="M2008" s="9">
        <v>2984.0</v>
      </c>
      <c r="N2008" s="9">
        <v>460.0</v>
      </c>
      <c r="O2008" s="9">
        <v>650.0</v>
      </c>
      <c r="P2008" s="8" t="s">
        <v>3480</v>
      </c>
      <c r="Q2008" s="8"/>
      <c r="R2008" s="8"/>
    </row>
    <row r="2009">
      <c r="A2009" s="8" t="s">
        <v>2546</v>
      </c>
      <c r="B2009" s="8" t="s">
        <v>12708</v>
      </c>
      <c r="C2009" s="8" t="s">
        <v>12709</v>
      </c>
      <c r="D2009" s="9">
        <v>7.709629436E9</v>
      </c>
      <c r="E2009" s="8" t="s">
        <v>12710</v>
      </c>
      <c r="F2009" s="8" t="s">
        <v>3714</v>
      </c>
      <c r="G2009" s="8" t="s">
        <v>12711</v>
      </c>
      <c r="H2009" s="8" t="s">
        <v>3479</v>
      </c>
      <c r="I2009" s="9">
        <v>0.0</v>
      </c>
      <c r="J2009" s="9">
        <v>2254.0</v>
      </c>
      <c r="K2009" s="9">
        <v>2254.0</v>
      </c>
      <c r="L2009" s="9">
        <v>2254.0</v>
      </c>
      <c r="M2009" s="9">
        <v>806.0</v>
      </c>
      <c r="N2009" s="9">
        <v>849.0</v>
      </c>
      <c r="O2009" s="9">
        <v>599.0</v>
      </c>
      <c r="P2009" s="8" t="s">
        <v>3480</v>
      </c>
      <c r="Q2009" s="8" t="s">
        <v>12712</v>
      </c>
      <c r="R2009" s="8" t="s">
        <v>12713</v>
      </c>
    </row>
    <row r="2010">
      <c r="A2010" s="8" t="s">
        <v>2547</v>
      </c>
      <c r="B2010" s="8" t="s">
        <v>12714</v>
      </c>
      <c r="C2010" s="8" t="s">
        <v>12715</v>
      </c>
      <c r="D2010" s="9">
        <v>9.85099207E9</v>
      </c>
      <c r="E2010" s="8" t="s">
        <v>12716</v>
      </c>
      <c r="F2010" s="8" t="s">
        <v>3697</v>
      </c>
      <c r="G2010" s="8" t="s">
        <v>3494</v>
      </c>
      <c r="H2010" s="8" t="s">
        <v>3479</v>
      </c>
      <c r="I2010" s="9">
        <v>0.0</v>
      </c>
      <c r="J2010" s="9">
        <v>3619.0</v>
      </c>
      <c r="K2010" s="9">
        <v>3619.0</v>
      </c>
      <c r="L2010" s="9">
        <v>3619.0</v>
      </c>
      <c r="M2010" s="9">
        <v>3169.0</v>
      </c>
      <c r="N2010" s="9">
        <v>0.0</v>
      </c>
      <c r="O2010" s="9">
        <v>450.0</v>
      </c>
      <c r="P2010" s="8" t="s">
        <v>3480</v>
      </c>
      <c r="Q2010" s="8"/>
      <c r="R2010" s="8"/>
    </row>
    <row r="2011">
      <c r="A2011" s="8" t="s">
        <v>2548</v>
      </c>
      <c r="B2011" s="8" t="s">
        <v>12717</v>
      </c>
      <c r="C2011" s="8" t="s">
        <v>8258</v>
      </c>
      <c r="D2011" s="9">
        <v>9.763489598E9</v>
      </c>
      <c r="E2011" s="8" t="s">
        <v>8259</v>
      </c>
      <c r="F2011" s="8" t="s">
        <v>3589</v>
      </c>
      <c r="G2011" s="8" t="s">
        <v>12718</v>
      </c>
      <c r="H2011" s="8" t="s">
        <v>3479</v>
      </c>
      <c r="I2011" s="9">
        <v>0.0</v>
      </c>
      <c r="J2011" s="9">
        <v>1567.0</v>
      </c>
      <c r="K2011" s="9">
        <v>1567.0</v>
      </c>
      <c r="L2011" s="9">
        <v>1567.0</v>
      </c>
      <c r="M2011" s="9">
        <v>313.0</v>
      </c>
      <c r="N2011" s="9">
        <v>730.0</v>
      </c>
      <c r="O2011" s="9">
        <v>524.0</v>
      </c>
      <c r="P2011" s="8" t="s">
        <v>3480</v>
      </c>
      <c r="Q2011" s="8" t="s">
        <v>8261</v>
      </c>
      <c r="R2011" s="8" t="s">
        <v>8262</v>
      </c>
    </row>
    <row r="2012">
      <c r="A2012" s="8" t="s">
        <v>2517</v>
      </c>
      <c r="B2012" s="8" t="s">
        <v>12719</v>
      </c>
      <c r="C2012" s="8" t="s">
        <v>7220</v>
      </c>
      <c r="D2012" s="9">
        <v>9.864696387E9</v>
      </c>
      <c r="E2012" s="8" t="s">
        <v>10918</v>
      </c>
      <c r="F2012" s="8" t="s">
        <v>3608</v>
      </c>
      <c r="G2012" s="8" t="s">
        <v>12720</v>
      </c>
      <c r="H2012" s="8" t="s">
        <v>3479</v>
      </c>
      <c r="I2012" s="9">
        <v>0.0</v>
      </c>
      <c r="J2012" s="9">
        <v>1521.0</v>
      </c>
      <c r="K2012" s="9">
        <v>1521.0</v>
      </c>
      <c r="L2012" s="9">
        <v>1521.0</v>
      </c>
      <c r="M2012" s="9">
        <v>333.0</v>
      </c>
      <c r="N2012" s="9">
        <v>739.0</v>
      </c>
      <c r="O2012" s="9">
        <v>449.0</v>
      </c>
      <c r="P2012" s="8" t="s">
        <v>3519</v>
      </c>
      <c r="Q2012" s="8" t="s">
        <v>10920</v>
      </c>
      <c r="R2012" s="8"/>
    </row>
    <row r="2013">
      <c r="A2013" s="8" t="s">
        <v>2567</v>
      </c>
      <c r="B2013" s="8" t="s">
        <v>12721</v>
      </c>
      <c r="C2013" s="8" t="s">
        <v>7187</v>
      </c>
      <c r="D2013" s="9">
        <v>9.82314225E9</v>
      </c>
      <c r="E2013" s="8" t="s">
        <v>7188</v>
      </c>
      <c r="F2013" s="8" t="s">
        <v>3498</v>
      </c>
      <c r="G2013" s="8" t="s">
        <v>12722</v>
      </c>
      <c r="H2013" s="8" t="s">
        <v>3479</v>
      </c>
      <c r="I2013" s="9">
        <v>0.0</v>
      </c>
      <c r="J2013" s="9">
        <v>1250.0</v>
      </c>
      <c r="K2013" s="9">
        <v>1250.0</v>
      </c>
      <c r="L2013" s="9">
        <v>1250.0</v>
      </c>
      <c r="M2013" s="9">
        <v>1250.0</v>
      </c>
      <c r="N2013" s="9">
        <v>0.0</v>
      </c>
      <c r="O2013" s="9">
        <v>0.0</v>
      </c>
      <c r="P2013" s="8" t="s">
        <v>3480</v>
      </c>
      <c r="Q2013" s="8" t="s">
        <v>7190</v>
      </c>
      <c r="R2013" s="8" t="s">
        <v>7191</v>
      </c>
    </row>
    <row r="2014">
      <c r="A2014" s="8" t="s">
        <v>2518</v>
      </c>
      <c r="B2014" s="8" t="s">
        <v>12723</v>
      </c>
      <c r="C2014" s="8" t="s">
        <v>12724</v>
      </c>
      <c r="D2014" s="9">
        <v>9.923165661E9</v>
      </c>
      <c r="E2014" s="8" t="s">
        <v>12725</v>
      </c>
      <c r="F2014" s="8" t="s">
        <v>3677</v>
      </c>
      <c r="G2014" s="8" t="s">
        <v>4036</v>
      </c>
      <c r="H2014" s="8" t="s">
        <v>3479</v>
      </c>
      <c r="I2014" s="9">
        <v>0.0</v>
      </c>
      <c r="J2014" s="9">
        <v>1517.0</v>
      </c>
      <c r="K2014" s="9">
        <v>1517.0</v>
      </c>
      <c r="L2014" s="9">
        <v>1517.0</v>
      </c>
      <c r="M2014" s="9">
        <v>134.0</v>
      </c>
      <c r="N2014" s="9">
        <v>784.0</v>
      </c>
      <c r="O2014" s="9">
        <v>599.0</v>
      </c>
      <c r="P2014" s="8" t="s">
        <v>3480</v>
      </c>
      <c r="Q2014" s="8"/>
      <c r="R2014" s="8" t="s">
        <v>12726</v>
      </c>
    </row>
    <row r="2015">
      <c r="A2015" s="8" t="s">
        <v>2519</v>
      </c>
      <c r="B2015" s="8" t="s">
        <v>12727</v>
      </c>
      <c r="C2015" s="8" t="s">
        <v>11058</v>
      </c>
      <c r="D2015" s="9">
        <v>8.411813457E9</v>
      </c>
      <c r="E2015" s="8" t="s">
        <v>11059</v>
      </c>
      <c r="F2015" s="8" t="s">
        <v>4333</v>
      </c>
      <c r="G2015" s="8" t="s">
        <v>4036</v>
      </c>
      <c r="H2015" s="8" t="s">
        <v>3479</v>
      </c>
      <c r="I2015" s="9">
        <v>0.0</v>
      </c>
      <c r="J2015" s="9">
        <v>1341.0</v>
      </c>
      <c r="K2015" s="9">
        <v>1341.0</v>
      </c>
      <c r="L2015" s="9">
        <v>1341.0</v>
      </c>
      <c r="M2015" s="9">
        <v>642.0</v>
      </c>
      <c r="N2015" s="9">
        <v>0.0</v>
      </c>
      <c r="O2015" s="9">
        <v>699.0</v>
      </c>
      <c r="P2015" s="8" t="s">
        <v>3480</v>
      </c>
      <c r="Q2015" s="8"/>
      <c r="R2015" s="8"/>
    </row>
    <row r="2016">
      <c r="A2016" s="8" t="s">
        <v>2520</v>
      </c>
      <c r="B2016" s="8" t="s">
        <v>12728</v>
      </c>
      <c r="C2016" s="8" t="s">
        <v>5394</v>
      </c>
      <c r="D2016" s="9">
        <v>7.058552746E9</v>
      </c>
      <c r="E2016" s="8" t="s">
        <v>5395</v>
      </c>
      <c r="F2016" s="8" t="s">
        <v>3589</v>
      </c>
      <c r="G2016" s="8" t="s">
        <v>12729</v>
      </c>
      <c r="H2016" s="8" t="s">
        <v>3479</v>
      </c>
      <c r="I2016" s="9">
        <v>0.0</v>
      </c>
      <c r="J2016" s="9">
        <v>1423.0</v>
      </c>
      <c r="K2016" s="9">
        <v>1423.0</v>
      </c>
      <c r="L2016" s="9">
        <v>1423.0</v>
      </c>
      <c r="M2016" s="9">
        <v>160.0</v>
      </c>
      <c r="N2016" s="9">
        <v>739.0</v>
      </c>
      <c r="O2016" s="9">
        <v>524.0</v>
      </c>
      <c r="P2016" s="8" t="s">
        <v>3480</v>
      </c>
      <c r="Q2016" s="8" t="s">
        <v>5397</v>
      </c>
      <c r="R2016" s="8" t="s">
        <v>5398</v>
      </c>
    </row>
    <row r="2017">
      <c r="A2017" s="8" t="s">
        <v>1980</v>
      </c>
      <c r="B2017" s="8" t="s">
        <v>12730</v>
      </c>
      <c r="C2017" s="8" t="s">
        <v>7259</v>
      </c>
      <c r="D2017" s="9">
        <v>7.79639047E9</v>
      </c>
      <c r="E2017" s="8" t="s">
        <v>7260</v>
      </c>
      <c r="F2017" s="8" t="s">
        <v>3550</v>
      </c>
      <c r="G2017" s="8" t="s">
        <v>12731</v>
      </c>
      <c r="H2017" s="8" t="s">
        <v>12732</v>
      </c>
      <c r="I2017" s="9">
        <v>0.0</v>
      </c>
      <c r="J2017" s="9">
        <v>0.0</v>
      </c>
      <c r="K2017" s="9">
        <v>1240.0</v>
      </c>
      <c r="L2017" s="9">
        <v>1150.0</v>
      </c>
      <c r="M2017" s="9">
        <v>950.0</v>
      </c>
      <c r="N2017" s="9">
        <v>0.0</v>
      </c>
      <c r="O2017" s="9">
        <v>290.0</v>
      </c>
      <c r="P2017" s="8" t="s">
        <v>3519</v>
      </c>
      <c r="Q2017" s="8"/>
      <c r="R2017" s="8"/>
    </row>
    <row r="2018">
      <c r="A2018" s="8" t="s">
        <v>2521</v>
      </c>
      <c r="B2018" s="8" t="s">
        <v>12733</v>
      </c>
      <c r="C2018" s="8" t="s">
        <v>7418</v>
      </c>
      <c r="D2018" s="9">
        <v>9.04983682E9</v>
      </c>
      <c r="E2018" s="8" t="s">
        <v>7419</v>
      </c>
      <c r="F2018" s="8" t="s">
        <v>3601</v>
      </c>
      <c r="G2018" s="8" t="s">
        <v>12734</v>
      </c>
      <c r="H2018" s="8" t="s">
        <v>3479</v>
      </c>
      <c r="I2018" s="9">
        <v>0.0</v>
      </c>
      <c r="J2018" s="9">
        <v>2335.0</v>
      </c>
      <c r="K2018" s="9">
        <v>2335.0</v>
      </c>
      <c r="L2018" s="9">
        <v>2335.0</v>
      </c>
      <c r="M2018" s="9">
        <v>972.0</v>
      </c>
      <c r="N2018" s="9">
        <v>739.0</v>
      </c>
      <c r="O2018" s="9">
        <v>624.0</v>
      </c>
      <c r="P2018" s="8" t="s">
        <v>3480</v>
      </c>
      <c r="Q2018" s="8" t="s">
        <v>7421</v>
      </c>
      <c r="R2018" s="8" t="s">
        <v>7422</v>
      </c>
    </row>
    <row r="2019">
      <c r="A2019" s="8" t="s">
        <v>2545</v>
      </c>
      <c r="B2019" s="8" t="s">
        <v>12735</v>
      </c>
      <c r="C2019" s="8" t="s">
        <v>12736</v>
      </c>
      <c r="D2019" s="9">
        <v>8.625046694E9</v>
      </c>
      <c r="E2019" s="8" t="s">
        <v>12737</v>
      </c>
      <c r="F2019" s="8" t="s">
        <v>3542</v>
      </c>
      <c r="G2019" s="8" t="s">
        <v>12738</v>
      </c>
      <c r="H2019" s="8" t="s">
        <v>3479</v>
      </c>
      <c r="I2019" s="9">
        <v>0.0</v>
      </c>
      <c r="J2019" s="9">
        <v>9630.0</v>
      </c>
      <c r="K2019" s="9">
        <v>9630.0</v>
      </c>
      <c r="L2019" s="9">
        <v>9630.0</v>
      </c>
      <c r="M2019" s="9">
        <v>8680.0</v>
      </c>
      <c r="N2019" s="9">
        <v>0.0</v>
      </c>
      <c r="O2019" s="9">
        <v>950.0</v>
      </c>
      <c r="P2019" s="8" t="s">
        <v>3480</v>
      </c>
      <c r="Q2019" s="8"/>
      <c r="R2019" s="8"/>
    </row>
    <row r="2020">
      <c r="A2020" s="8" t="s">
        <v>2524</v>
      </c>
      <c r="B2020" s="8" t="s">
        <v>12739</v>
      </c>
      <c r="C2020" s="8" t="s">
        <v>12740</v>
      </c>
      <c r="D2020" s="9">
        <v>9.028893978E9</v>
      </c>
      <c r="E2020" s="8" t="s">
        <v>12741</v>
      </c>
      <c r="F2020" s="8" t="s">
        <v>3615</v>
      </c>
      <c r="G2020" s="8" t="s">
        <v>12742</v>
      </c>
      <c r="H2020" s="8" t="s">
        <v>3479</v>
      </c>
      <c r="I2020" s="9">
        <v>0.0</v>
      </c>
      <c r="J2020" s="9">
        <v>3087.0</v>
      </c>
      <c r="K2020" s="9">
        <v>3087.0</v>
      </c>
      <c r="L2020" s="9">
        <v>3087.0</v>
      </c>
      <c r="M2020" s="9">
        <v>1434.0</v>
      </c>
      <c r="N2020" s="9">
        <v>849.0</v>
      </c>
      <c r="O2020" s="9">
        <v>804.0</v>
      </c>
      <c r="P2020" s="8" t="s">
        <v>3480</v>
      </c>
      <c r="Q2020" s="8"/>
      <c r="R2020" s="8"/>
    </row>
    <row r="2021">
      <c r="A2021" s="8" t="s">
        <v>2523</v>
      </c>
      <c r="B2021" s="8" t="s">
        <v>12743</v>
      </c>
      <c r="C2021" s="8" t="s">
        <v>12744</v>
      </c>
      <c r="D2021" s="9">
        <v>9.096368881E9</v>
      </c>
      <c r="E2021" s="8" t="s">
        <v>12745</v>
      </c>
      <c r="F2021" s="8" t="s">
        <v>3589</v>
      </c>
      <c r="G2021" s="8" t="s">
        <v>12746</v>
      </c>
      <c r="H2021" s="8" t="s">
        <v>3479</v>
      </c>
      <c r="I2021" s="9">
        <v>0.0</v>
      </c>
      <c r="J2021" s="9">
        <v>684.0</v>
      </c>
      <c r="K2021" s="9">
        <v>684.0</v>
      </c>
      <c r="L2021" s="9">
        <v>684.0</v>
      </c>
      <c r="M2021" s="9">
        <v>160.0</v>
      </c>
      <c r="N2021" s="9">
        <v>0.0</v>
      </c>
      <c r="O2021" s="9">
        <v>524.0</v>
      </c>
      <c r="P2021" s="8" t="s">
        <v>3480</v>
      </c>
      <c r="Q2021" s="8" t="s">
        <v>12747</v>
      </c>
      <c r="R2021" s="8" t="s">
        <v>12748</v>
      </c>
    </row>
    <row r="2022">
      <c r="A2022" s="8" t="s">
        <v>2475</v>
      </c>
      <c r="B2022" s="8" t="s">
        <v>12749</v>
      </c>
      <c r="C2022" s="8" t="s">
        <v>3844</v>
      </c>
      <c r="D2022" s="9">
        <v>9.987725138E9</v>
      </c>
      <c r="E2022" s="8" t="s">
        <v>3845</v>
      </c>
      <c r="F2022" s="8" t="s">
        <v>3846</v>
      </c>
      <c r="G2022" s="8" t="s">
        <v>12750</v>
      </c>
      <c r="H2022" s="8" t="s">
        <v>3479</v>
      </c>
      <c r="I2022" s="9">
        <v>0.0</v>
      </c>
      <c r="J2022" s="9">
        <v>2523.0</v>
      </c>
      <c r="K2022" s="9">
        <v>2523.0</v>
      </c>
      <c r="L2022" s="9">
        <v>2523.0</v>
      </c>
      <c r="M2022" s="9">
        <v>2048.0</v>
      </c>
      <c r="N2022" s="9">
        <v>0.0</v>
      </c>
      <c r="O2022" s="9">
        <v>475.0</v>
      </c>
      <c r="P2022" s="8" t="s">
        <v>3480</v>
      </c>
      <c r="Q2022" s="8" t="s">
        <v>3848</v>
      </c>
      <c r="R2022" s="8" t="s">
        <v>3849</v>
      </c>
    </row>
    <row r="2023">
      <c r="A2023" s="8" t="s">
        <v>2522</v>
      </c>
      <c r="B2023" s="8" t="s">
        <v>12751</v>
      </c>
      <c r="C2023" s="8" t="s">
        <v>12752</v>
      </c>
      <c r="D2023" s="9">
        <v>9.730447602E9</v>
      </c>
      <c r="E2023" s="8" t="s">
        <v>12753</v>
      </c>
      <c r="F2023" s="8" t="s">
        <v>6363</v>
      </c>
      <c r="G2023" s="8" t="s">
        <v>12754</v>
      </c>
      <c r="H2023" s="8" t="s">
        <v>3479</v>
      </c>
      <c r="I2023" s="9">
        <v>0.0</v>
      </c>
      <c r="J2023" s="9">
        <v>1268.0</v>
      </c>
      <c r="K2023" s="9">
        <v>1268.0</v>
      </c>
      <c r="L2023" s="9">
        <v>1268.0</v>
      </c>
      <c r="M2023" s="9">
        <v>80.0</v>
      </c>
      <c r="N2023" s="9">
        <v>739.0</v>
      </c>
      <c r="O2023" s="9">
        <v>449.0</v>
      </c>
      <c r="P2023" s="8" t="s">
        <v>3480</v>
      </c>
      <c r="Q2023" s="8" t="s">
        <v>12755</v>
      </c>
      <c r="R2023" s="8"/>
    </row>
    <row r="2024">
      <c r="A2024" s="8" t="s">
        <v>2476</v>
      </c>
      <c r="B2024" s="8" t="s">
        <v>12756</v>
      </c>
      <c r="C2024" s="8" t="s">
        <v>9234</v>
      </c>
      <c r="D2024" s="9">
        <v>9.82322392E9</v>
      </c>
      <c r="E2024" s="8" t="s">
        <v>9529</v>
      </c>
      <c r="F2024" s="8" t="s">
        <v>3665</v>
      </c>
      <c r="G2024" s="8" t="s">
        <v>12757</v>
      </c>
      <c r="H2024" s="8" t="s">
        <v>3479</v>
      </c>
      <c r="I2024" s="9">
        <v>0.0</v>
      </c>
      <c r="J2024" s="9">
        <v>749.0</v>
      </c>
      <c r="K2024" s="9">
        <v>749.0</v>
      </c>
      <c r="L2024" s="9">
        <v>749.0</v>
      </c>
      <c r="M2024" s="9">
        <v>0.0</v>
      </c>
      <c r="N2024" s="9">
        <v>0.0</v>
      </c>
      <c r="O2024" s="9">
        <v>749.0</v>
      </c>
      <c r="P2024" s="8" t="s">
        <v>3480</v>
      </c>
      <c r="Q2024" s="8" t="s">
        <v>9531</v>
      </c>
      <c r="R2024" s="8"/>
    </row>
    <row r="2025">
      <c r="A2025" s="8" t="s">
        <v>2477</v>
      </c>
      <c r="B2025" s="8" t="s">
        <v>12758</v>
      </c>
      <c r="C2025" s="8" t="s">
        <v>12759</v>
      </c>
      <c r="D2025" s="9">
        <v>9.673334817E9</v>
      </c>
      <c r="E2025" s="8" t="s">
        <v>12760</v>
      </c>
      <c r="F2025" s="8" t="s">
        <v>3901</v>
      </c>
      <c r="G2025" s="8" t="s">
        <v>12761</v>
      </c>
      <c r="H2025" s="8" t="s">
        <v>3479</v>
      </c>
      <c r="I2025" s="9">
        <v>0.0</v>
      </c>
      <c r="J2025" s="9">
        <v>4218.0</v>
      </c>
      <c r="K2025" s="9">
        <v>4218.0</v>
      </c>
      <c r="L2025" s="9">
        <v>4218.0</v>
      </c>
      <c r="M2025" s="9">
        <v>3394.0</v>
      </c>
      <c r="N2025" s="9">
        <v>0.0</v>
      </c>
      <c r="O2025" s="9">
        <v>824.0</v>
      </c>
      <c r="P2025" s="8" t="s">
        <v>3480</v>
      </c>
      <c r="Q2025" s="8" t="s">
        <v>12762</v>
      </c>
      <c r="R2025" s="8" t="s">
        <v>12763</v>
      </c>
    </row>
    <row r="2026">
      <c r="A2026" s="8" t="s">
        <v>2478</v>
      </c>
      <c r="B2026" s="8" t="s">
        <v>12764</v>
      </c>
      <c r="C2026" s="8" t="s">
        <v>12765</v>
      </c>
      <c r="D2026" s="9">
        <v>7.003813112E9</v>
      </c>
      <c r="E2026" s="8" t="s">
        <v>12766</v>
      </c>
      <c r="F2026" s="8" t="s">
        <v>4645</v>
      </c>
      <c r="G2026" s="8" t="s">
        <v>10529</v>
      </c>
      <c r="H2026" s="8" t="s">
        <v>3479</v>
      </c>
      <c r="I2026" s="9">
        <v>0.0</v>
      </c>
      <c r="J2026" s="9">
        <v>1997.0</v>
      </c>
      <c r="K2026" s="9">
        <v>1997.0</v>
      </c>
      <c r="L2026" s="9">
        <v>1997.0</v>
      </c>
      <c r="M2026" s="9">
        <v>478.0</v>
      </c>
      <c r="N2026" s="9">
        <v>795.0</v>
      </c>
      <c r="O2026" s="9">
        <v>724.0</v>
      </c>
      <c r="P2026" s="8" t="s">
        <v>3480</v>
      </c>
      <c r="Q2026" s="8"/>
      <c r="R2026" s="8"/>
    </row>
    <row r="2027">
      <c r="A2027" s="8" t="s">
        <v>2525</v>
      </c>
      <c r="B2027" s="8" t="s">
        <v>12767</v>
      </c>
      <c r="C2027" s="8" t="s">
        <v>12768</v>
      </c>
      <c r="D2027" s="9">
        <v>9.823808991E9</v>
      </c>
      <c r="E2027" s="8" t="s">
        <v>12769</v>
      </c>
      <c r="F2027" s="8" t="s">
        <v>3589</v>
      </c>
      <c r="G2027" s="8" t="s">
        <v>12770</v>
      </c>
      <c r="H2027" s="8" t="s">
        <v>3479</v>
      </c>
      <c r="I2027" s="9">
        <v>0.0</v>
      </c>
      <c r="J2027" s="9">
        <v>1443.0</v>
      </c>
      <c r="K2027" s="9">
        <v>1443.0</v>
      </c>
      <c r="L2027" s="9">
        <v>1443.0</v>
      </c>
      <c r="M2027" s="9">
        <v>180.0</v>
      </c>
      <c r="N2027" s="9">
        <v>739.0</v>
      </c>
      <c r="O2027" s="9">
        <v>524.0</v>
      </c>
      <c r="P2027" s="8" t="s">
        <v>3480</v>
      </c>
      <c r="Q2027" s="8"/>
      <c r="R2027" s="8"/>
    </row>
    <row r="2028">
      <c r="A2028" s="8" t="s">
        <v>2526</v>
      </c>
      <c r="B2028" s="8" t="s">
        <v>12771</v>
      </c>
      <c r="C2028" s="8" t="s">
        <v>12772</v>
      </c>
      <c r="D2028" s="9">
        <v>9.970963831E9</v>
      </c>
      <c r="E2028" s="8" t="s">
        <v>12773</v>
      </c>
      <c r="F2028" s="8" t="s">
        <v>4574</v>
      </c>
      <c r="G2028" s="8" t="s">
        <v>12774</v>
      </c>
      <c r="H2028" s="8" t="s">
        <v>3479</v>
      </c>
      <c r="I2028" s="9">
        <v>0.0</v>
      </c>
      <c r="J2028" s="9">
        <v>4576.0</v>
      </c>
      <c r="K2028" s="9">
        <v>4576.0</v>
      </c>
      <c r="L2028" s="9">
        <v>4576.0</v>
      </c>
      <c r="M2028" s="9">
        <v>3393.0</v>
      </c>
      <c r="N2028" s="9">
        <v>659.0</v>
      </c>
      <c r="O2028" s="9">
        <v>524.0</v>
      </c>
      <c r="P2028" s="8" t="s">
        <v>3480</v>
      </c>
      <c r="Q2028" s="8" t="s">
        <v>12775</v>
      </c>
      <c r="R2028" s="8" t="s">
        <v>12776</v>
      </c>
    </row>
    <row r="2029">
      <c r="A2029" s="8" t="s">
        <v>2480</v>
      </c>
      <c r="B2029" s="8" t="s">
        <v>12777</v>
      </c>
      <c r="C2029" s="8" t="s">
        <v>12778</v>
      </c>
      <c r="D2029" s="9">
        <v>8.605544154E9</v>
      </c>
      <c r="E2029" s="8" t="s">
        <v>12779</v>
      </c>
      <c r="F2029" s="8" t="s">
        <v>5447</v>
      </c>
      <c r="G2029" s="8" t="s">
        <v>12780</v>
      </c>
      <c r="H2029" s="8" t="s">
        <v>3479</v>
      </c>
      <c r="I2029" s="9">
        <v>0.0</v>
      </c>
      <c r="J2029" s="9">
        <v>529.0</v>
      </c>
      <c r="K2029" s="9">
        <v>529.0</v>
      </c>
      <c r="L2029" s="9">
        <v>529.0</v>
      </c>
      <c r="M2029" s="9">
        <v>80.0</v>
      </c>
      <c r="N2029" s="9">
        <v>0.0</v>
      </c>
      <c r="O2029" s="9">
        <v>449.0</v>
      </c>
      <c r="P2029" s="8" t="s">
        <v>3480</v>
      </c>
      <c r="Q2029" s="8"/>
      <c r="R2029" s="8"/>
    </row>
    <row r="2030">
      <c r="A2030" s="8" t="s">
        <v>2481</v>
      </c>
      <c r="B2030" s="8" t="s">
        <v>12781</v>
      </c>
      <c r="C2030" s="8" t="s">
        <v>12782</v>
      </c>
      <c r="D2030" s="9">
        <v>7.387149498E9</v>
      </c>
      <c r="E2030" s="8" t="s">
        <v>12783</v>
      </c>
      <c r="F2030" s="8" t="s">
        <v>5585</v>
      </c>
      <c r="G2030" s="8" t="s">
        <v>12784</v>
      </c>
      <c r="H2030" s="8" t="s">
        <v>3479</v>
      </c>
      <c r="I2030" s="9">
        <v>0.0</v>
      </c>
      <c r="J2030" s="9">
        <v>4995.0</v>
      </c>
      <c r="K2030" s="9">
        <v>4995.0</v>
      </c>
      <c r="L2030" s="9">
        <v>4995.0</v>
      </c>
      <c r="M2030" s="9">
        <v>3366.0</v>
      </c>
      <c r="N2030" s="9">
        <v>730.0</v>
      </c>
      <c r="O2030" s="9">
        <v>899.0</v>
      </c>
      <c r="P2030" s="8" t="s">
        <v>3480</v>
      </c>
      <c r="Q2030" s="8"/>
      <c r="R2030" s="8"/>
    </row>
    <row r="2031">
      <c r="A2031" s="8" t="s">
        <v>2482</v>
      </c>
      <c r="B2031" s="8" t="s">
        <v>12785</v>
      </c>
      <c r="C2031" s="8" t="s">
        <v>12786</v>
      </c>
      <c r="D2031" s="9">
        <v>8.05599459E9</v>
      </c>
      <c r="E2031" s="8" t="s">
        <v>12787</v>
      </c>
      <c r="F2031" s="8" t="s">
        <v>3692</v>
      </c>
      <c r="G2031" s="8" t="s">
        <v>12654</v>
      </c>
      <c r="H2031" s="8" t="s">
        <v>3479</v>
      </c>
      <c r="I2031" s="9">
        <v>0.0</v>
      </c>
      <c r="J2031" s="9">
        <v>1518.0</v>
      </c>
      <c r="K2031" s="9">
        <v>1518.0</v>
      </c>
      <c r="L2031" s="9">
        <v>1518.0</v>
      </c>
      <c r="M2031" s="9">
        <v>135.0</v>
      </c>
      <c r="N2031" s="9">
        <v>784.0</v>
      </c>
      <c r="O2031" s="9">
        <v>599.0</v>
      </c>
      <c r="P2031" s="8" t="s">
        <v>3480</v>
      </c>
      <c r="Q2031" s="8"/>
      <c r="R2031" s="8"/>
    </row>
    <row r="2032">
      <c r="A2032" s="8" t="s">
        <v>2483</v>
      </c>
      <c r="B2032" s="8" t="s">
        <v>12788</v>
      </c>
      <c r="C2032" s="8" t="s">
        <v>12789</v>
      </c>
      <c r="D2032" s="9">
        <v>8.769987688E9</v>
      </c>
      <c r="E2032" s="8" t="s">
        <v>12790</v>
      </c>
      <c r="F2032" s="8" t="s">
        <v>3677</v>
      </c>
      <c r="G2032" s="8" t="s">
        <v>12791</v>
      </c>
      <c r="H2032" s="8" t="s">
        <v>3479</v>
      </c>
      <c r="I2032" s="9">
        <v>0.0</v>
      </c>
      <c r="J2032" s="9">
        <v>5157.0</v>
      </c>
      <c r="K2032" s="9">
        <v>5157.0</v>
      </c>
      <c r="L2032" s="9">
        <v>5157.0</v>
      </c>
      <c r="M2032" s="9">
        <v>3059.0</v>
      </c>
      <c r="N2032" s="9">
        <v>849.0</v>
      </c>
      <c r="O2032" s="9">
        <v>1249.0</v>
      </c>
      <c r="P2032" s="8" t="s">
        <v>3480</v>
      </c>
      <c r="Q2032" s="8"/>
      <c r="R2032" s="8"/>
    </row>
    <row r="2033">
      <c r="A2033" s="8" t="s">
        <v>2549</v>
      </c>
      <c r="B2033" s="8" t="s">
        <v>12792</v>
      </c>
      <c r="C2033" s="8" t="s">
        <v>12793</v>
      </c>
      <c r="D2033" s="9">
        <v>9.588658734E9</v>
      </c>
      <c r="E2033" s="8" t="s">
        <v>12794</v>
      </c>
      <c r="F2033" s="8" t="s">
        <v>4252</v>
      </c>
      <c r="G2033" s="8" t="s">
        <v>12795</v>
      </c>
      <c r="H2033" s="8" t="s">
        <v>3479</v>
      </c>
      <c r="I2033" s="9">
        <v>0.0</v>
      </c>
      <c r="J2033" s="9">
        <v>7842.0</v>
      </c>
      <c r="K2033" s="9">
        <v>7842.0</v>
      </c>
      <c r="L2033" s="9">
        <v>7842.0</v>
      </c>
      <c r="M2033" s="9">
        <v>4342.0</v>
      </c>
      <c r="N2033" s="9">
        <v>1451.0</v>
      </c>
      <c r="O2033" s="9">
        <v>2049.0</v>
      </c>
      <c r="P2033" s="8" t="s">
        <v>3480</v>
      </c>
      <c r="Q2033" s="8"/>
      <c r="R2033" s="8"/>
    </row>
    <row r="2034">
      <c r="A2034" s="8" t="s">
        <v>1811</v>
      </c>
      <c r="B2034" s="8" t="s">
        <v>12796</v>
      </c>
      <c r="C2034" s="8" t="s">
        <v>11809</v>
      </c>
      <c r="D2034" s="9">
        <v>9.545157573E9</v>
      </c>
      <c r="E2034" s="8" t="s">
        <v>12797</v>
      </c>
      <c r="F2034" s="8" t="s">
        <v>3498</v>
      </c>
      <c r="G2034" s="8" t="s">
        <v>12798</v>
      </c>
      <c r="H2034" s="8" t="s">
        <v>3479</v>
      </c>
      <c r="I2034" s="9">
        <v>0.0</v>
      </c>
      <c r="J2034" s="9">
        <v>2970.0</v>
      </c>
      <c r="K2034" s="9">
        <v>2970.0</v>
      </c>
      <c r="L2034" s="9">
        <v>2970.0</v>
      </c>
      <c r="M2034" s="9">
        <v>1716.0</v>
      </c>
      <c r="N2034" s="9">
        <v>730.0</v>
      </c>
      <c r="O2034" s="9">
        <v>524.0</v>
      </c>
      <c r="P2034" s="8" t="s">
        <v>3480</v>
      </c>
      <c r="Q2034" s="8" t="s">
        <v>12799</v>
      </c>
      <c r="R2034" s="8" t="s">
        <v>12800</v>
      </c>
    </row>
    <row r="2035">
      <c r="A2035" s="8" t="s">
        <v>2484</v>
      </c>
      <c r="B2035" s="8" t="s">
        <v>12801</v>
      </c>
      <c r="C2035" s="8" t="s">
        <v>12802</v>
      </c>
      <c r="D2035" s="9">
        <v>9.923699615E9</v>
      </c>
      <c r="E2035" s="8" t="s">
        <v>12803</v>
      </c>
      <c r="F2035" s="8" t="s">
        <v>3608</v>
      </c>
      <c r="G2035" s="8" t="s">
        <v>12804</v>
      </c>
      <c r="H2035" s="8" t="s">
        <v>3479</v>
      </c>
      <c r="I2035" s="9">
        <v>0.0</v>
      </c>
      <c r="J2035" s="9">
        <v>2227.0</v>
      </c>
      <c r="K2035" s="9">
        <v>2227.0</v>
      </c>
      <c r="L2035" s="9">
        <v>2227.0</v>
      </c>
      <c r="M2035" s="9">
        <v>848.0</v>
      </c>
      <c r="N2035" s="9">
        <v>730.0</v>
      </c>
      <c r="O2035" s="9">
        <v>649.0</v>
      </c>
      <c r="P2035" s="8" t="s">
        <v>3480</v>
      </c>
      <c r="Q2035" s="8" t="s">
        <v>12805</v>
      </c>
      <c r="R2035" s="8" t="s">
        <v>12806</v>
      </c>
    </row>
    <row r="2036">
      <c r="A2036" s="8" t="s">
        <v>2527</v>
      </c>
      <c r="B2036" s="8" t="s">
        <v>12807</v>
      </c>
      <c r="C2036" s="8" t="s">
        <v>12808</v>
      </c>
      <c r="D2036" s="9">
        <v>8.459328613E9</v>
      </c>
      <c r="E2036" s="8" t="s">
        <v>12809</v>
      </c>
      <c r="F2036" s="8" t="s">
        <v>4805</v>
      </c>
      <c r="G2036" s="8" t="s">
        <v>12810</v>
      </c>
      <c r="H2036" s="8" t="s">
        <v>3479</v>
      </c>
      <c r="I2036" s="9">
        <v>0.0</v>
      </c>
      <c r="J2036" s="9">
        <v>1957.0</v>
      </c>
      <c r="K2036" s="9">
        <v>1957.0</v>
      </c>
      <c r="L2036" s="9">
        <v>1957.0</v>
      </c>
      <c r="M2036" s="9">
        <v>549.0</v>
      </c>
      <c r="N2036" s="9">
        <v>784.0</v>
      </c>
      <c r="O2036" s="9">
        <v>624.0</v>
      </c>
      <c r="P2036" s="8" t="s">
        <v>3480</v>
      </c>
      <c r="Q2036" s="8"/>
      <c r="R2036" s="8"/>
    </row>
    <row r="2037">
      <c r="A2037" s="8" t="s">
        <v>2486</v>
      </c>
      <c r="B2037" s="8" t="s">
        <v>12811</v>
      </c>
      <c r="C2037" s="8" t="s">
        <v>9554</v>
      </c>
      <c r="D2037" s="9">
        <v>9.665268216E9</v>
      </c>
      <c r="E2037" s="8" t="s">
        <v>9555</v>
      </c>
      <c r="F2037" s="8" t="s">
        <v>3486</v>
      </c>
      <c r="G2037" s="8" t="s">
        <v>12812</v>
      </c>
      <c r="H2037" s="8" t="s">
        <v>3479</v>
      </c>
      <c r="I2037" s="9">
        <v>0.0</v>
      </c>
      <c r="J2037" s="9">
        <v>2912.0</v>
      </c>
      <c r="K2037" s="9">
        <v>2912.0</v>
      </c>
      <c r="L2037" s="9">
        <v>2912.0</v>
      </c>
      <c r="M2037" s="9">
        <v>1733.0</v>
      </c>
      <c r="N2037" s="9">
        <v>730.0</v>
      </c>
      <c r="O2037" s="9">
        <v>449.0</v>
      </c>
      <c r="P2037" s="8" t="s">
        <v>3480</v>
      </c>
      <c r="Q2037" s="8" t="s">
        <v>9557</v>
      </c>
      <c r="R2037" s="8" t="s">
        <v>9558</v>
      </c>
    </row>
    <row r="2038">
      <c r="A2038" s="8" t="s">
        <v>2487</v>
      </c>
      <c r="B2038" s="8" t="s">
        <v>12813</v>
      </c>
      <c r="C2038" s="8" t="s">
        <v>3656</v>
      </c>
      <c r="D2038" s="9">
        <v>9.6658311E9</v>
      </c>
      <c r="E2038" s="8" t="s">
        <v>12231</v>
      </c>
      <c r="F2038" s="8" t="s">
        <v>3828</v>
      </c>
      <c r="G2038" s="8" t="s">
        <v>12232</v>
      </c>
      <c r="H2038" s="8" t="s">
        <v>3479</v>
      </c>
      <c r="I2038" s="9">
        <v>0.0</v>
      </c>
      <c r="J2038" s="9">
        <v>1507.0</v>
      </c>
      <c r="K2038" s="9">
        <v>1507.0</v>
      </c>
      <c r="L2038" s="9">
        <v>1507.0</v>
      </c>
      <c r="M2038" s="9">
        <v>274.0</v>
      </c>
      <c r="N2038" s="9">
        <v>784.0</v>
      </c>
      <c r="O2038" s="9">
        <v>449.0</v>
      </c>
      <c r="P2038" s="8" t="s">
        <v>3480</v>
      </c>
      <c r="Q2038" s="8"/>
      <c r="R2038" s="8"/>
    </row>
    <row r="2039">
      <c r="A2039" s="8" t="s">
        <v>2488</v>
      </c>
      <c r="B2039" s="8" t="s">
        <v>12814</v>
      </c>
      <c r="C2039" s="8" t="s">
        <v>12815</v>
      </c>
      <c r="D2039" s="9">
        <v>9.175742784E9</v>
      </c>
      <c r="E2039" s="8" t="s">
        <v>12816</v>
      </c>
      <c r="F2039" s="8" t="s">
        <v>3653</v>
      </c>
      <c r="G2039" s="8" t="s">
        <v>12817</v>
      </c>
      <c r="H2039" s="8" t="s">
        <v>3479</v>
      </c>
      <c r="I2039" s="9">
        <v>0.0</v>
      </c>
      <c r="J2039" s="9">
        <v>2534.0</v>
      </c>
      <c r="K2039" s="9">
        <v>2534.0</v>
      </c>
      <c r="L2039" s="9">
        <v>2534.0</v>
      </c>
      <c r="M2039" s="9">
        <v>1845.0</v>
      </c>
      <c r="N2039" s="9">
        <v>65.0</v>
      </c>
      <c r="O2039" s="9">
        <v>624.0</v>
      </c>
      <c r="P2039" s="8" t="s">
        <v>3480</v>
      </c>
      <c r="Q2039" s="8"/>
      <c r="R2039" s="8"/>
    </row>
    <row r="2040">
      <c r="A2040" s="8" t="s">
        <v>2479</v>
      </c>
      <c r="B2040" s="8" t="s">
        <v>12818</v>
      </c>
      <c r="C2040" s="8" t="s">
        <v>12672</v>
      </c>
      <c r="D2040" s="9">
        <v>8.600865286E9</v>
      </c>
      <c r="E2040" s="8" t="s">
        <v>12819</v>
      </c>
      <c r="F2040" s="8" t="s">
        <v>4373</v>
      </c>
      <c r="G2040" s="8" t="s">
        <v>12820</v>
      </c>
      <c r="H2040" s="8" t="s">
        <v>3479</v>
      </c>
      <c r="I2040" s="9">
        <v>0.0</v>
      </c>
      <c r="J2040" s="9">
        <v>1518.0</v>
      </c>
      <c r="K2040" s="9">
        <v>1518.0</v>
      </c>
      <c r="L2040" s="9">
        <v>1518.0</v>
      </c>
      <c r="M2040" s="9">
        <v>135.0</v>
      </c>
      <c r="N2040" s="9">
        <v>784.0</v>
      </c>
      <c r="O2040" s="9">
        <v>599.0</v>
      </c>
      <c r="P2040" s="8" t="s">
        <v>3480</v>
      </c>
      <c r="Q2040" s="8"/>
      <c r="R2040" s="8"/>
    </row>
    <row r="2041">
      <c r="A2041" s="8" t="s">
        <v>2485</v>
      </c>
      <c r="B2041" s="8" t="s">
        <v>12821</v>
      </c>
      <c r="C2041" s="8" t="s">
        <v>12822</v>
      </c>
      <c r="D2041" s="9">
        <v>9.922445056E9</v>
      </c>
      <c r="E2041" s="8" t="s">
        <v>12823</v>
      </c>
      <c r="F2041" s="8" t="s">
        <v>3601</v>
      </c>
      <c r="G2041" s="8" t="s">
        <v>12824</v>
      </c>
      <c r="H2041" s="8" t="s">
        <v>3479</v>
      </c>
      <c r="I2041" s="9">
        <v>0.0</v>
      </c>
      <c r="J2041" s="9">
        <v>1719.0</v>
      </c>
      <c r="K2041" s="9">
        <v>1719.0</v>
      </c>
      <c r="L2041" s="9">
        <v>1719.0</v>
      </c>
      <c r="M2041" s="9">
        <v>490.0</v>
      </c>
      <c r="N2041" s="9">
        <v>780.0</v>
      </c>
      <c r="O2041" s="9">
        <v>449.0</v>
      </c>
      <c r="P2041" s="8" t="s">
        <v>3480</v>
      </c>
      <c r="Q2041" s="8" t="s">
        <v>12825</v>
      </c>
      <c r="R2041" s="8"/>
    </row>
    <row r="2042">
      <c r="A2042" s="8" t="s">
        <v>2491</v>
      </c>
      <c r="B2042" s="8" t="s">
        <v>12826</v>
      </c>
      <c r="C2042" s="8" t="s">
        <v>5214</v>
      </c>
      <c r="D2042" s="9">
        <v>8.7707082E9</v>
      </c>
      <c r="E2042" s="8" t="s">
        <v>12827</v>
      </c>
      <c r="F2042" s="8" t="s">
        <v>4029</v>
      </c>
      <c r="G2042" s="8" t="s">
        <v>12828</v>
      </c>
      <c r="H2042" s="8" t="s">
        <v>3479</v>
      </c>
      <c r="I2042" s="9">
        <v>0.0</v>
      </c>
      <c r="J2042" s="9">
        <v>3513.0</v>
      </c>
      <c r="K2042" s="9">
        <v>3513.0</v>
      </c>
      <c r="L2042" s="9">
        <v>3513.0</v>
      </c>
      <c r="M2042" s="9">
        <v>2040.0</v>
      </c>
      <c r="N2042" s="9">
        <v>849.0</v>
      </c>
      <c r="O2042" s="9">
        <v>624.0</v>
      </c>
      <c r="P2042" s="8" t="s">
        <v>3480</v>
      </c>
      <c r="Q2042" s="8"/>
      <c r="R2042" s="8"/>
    </row>
    <row r="2043">
      <c r="A2043" s="8" t="s">
        <v>2490</v>
      </c>
      <c r="B2043" s="8" t="s">
        <v>12829</v>
      </c>
      <c r="C2043" s="8" t="s">
        <v>12830</v>
      </c>
      <c r="D2043" s="9">
        <v>9.619667658E9</v>
      </c>
      <c r="E2043" s="8" t="s">
        <v>12831</v>
      </c>
      <c r="F2043" s="8" t="s">
        <v>3594</v>
      </c>
      <c r="G2043" s="8" t="s">
        <v>12832</v>
      </c>
      <c r="H2043" s="8" t="s">
        <v>3479</v>
      </c>
      <c r="I2043" s="9">
        <v>0.0</v>
      </c>
      <c r="J2043" s="9">
        <v>2314.0</v>
      </c>
      <c r="K2043" s="9">
        <v>2314.0</v>
      </c>
      <c r="L2043" s="9">
        <v>2314.0</v>
      </c>
      <c r="M2043" s="9">
        <v>810.0</v>
      </c>
      <c r="N2043" s="9">
        <v>730.0</v>
      </c>
      <c r="O2043" s="9">
        <v>774.0</v>
      </c>
      <c r="P2043" s="8" t="s">
        <v>3480</v>
      </c>
      <c r="Q2043" s="8"/>
      <c r="R2043" s="8"/>
    </row>
    <row r="2044">
      <c r="A2044" s="8" t="s">
        <v>1812</v>
      </c>
      <c r="B2044" s="8" t="s">
        <v>12833</v>
      </c>
      <c r="C2044" s="8" t="s">
        <v>12834</v>
      </c>
      <c r="D2044" s="9">
        <v>7.830513533E9</v>
      </c>
      <c r="E2044" s="8" t="s">
        <v>12835</v>
      </c>
      <c r="F2044" s="8" t="s">
        <v>3589</v>
      </c>
      <c r="G2044" s="8" t="s">
        <v>12836</v>
      </c>
      <c r="H2044" s="8" t="s">
        <v>3479</v>
      </c>
      <c r="I2044" s="9">
        <v>0.0</v>
      </c>
      <c r="J2044" s="9">
        <v>1150.0</v>
      </c>
      <c r="K2044" s="9">
        <v>1150.0</v>
      </c>
      <c r="L2044" s="9">
        <v>1150.0</v>
      </c>
      <c r="M2044" s="9">
        <v>1150.0</v>
      </c>
      <c r="N2044" s="9">
        <v>0.0</v>
      </c>
      <c r="O2044" s="9">
        <v>0.0</v>
      </c>
      <c r="P2044" s="8" t="s">
        <v>3480</v>
      </c>
      <c r="Q2044" s="8"/>
      <c r="R2044" s="8"/>
    </row>
    <row r="2045">
      <c r="A2045" s="8" t="s">
        <v>1813</v>
      </c>
      <c r="B2045" s="8" t="s">
        <v>12837</v>
      </c>
      <c r="C2045" s="8" t="s">
        <v>12838</v>
      </c>
      <c r="D2045" s="9">
        <v>7.775971397E9</v>
      </c>
      <c r="E2045" s="8" t="s">
        <v>12839</v>
      </c>
      <c r="F2045" s="8" t="s">
        <v>3908</v>
      </c>
      <c r="G2045" s="8" t="s">
        <v>12840</v>
      </c>
      <c r="H2045" s="8" t="s">
        <v>3479</v>
      </c>
      <c r="I2045" s="9">
        <v>0.0</v>
      </c>
      <c r="J2045" s="9">
        <v>2909.0</v>
      </c>
      <c r="K2045" s="9">
        <v>2909.0</v>
      </c>
      <c r="L2045" s="9">
        <v>2909.0</v>
      </c>
      <c r="M2045" s="9">
        <v>846.0</v>
      </c>
      <c r="N2045" s="9">
        <v>914.0</v>
      </c>
      <c r="O2045" s="9">
        <v>1149.0</v>
      </c>
      <c r="P2045" s="8" t="s">
        <v>3480</v>
      </c>
      <c r="Q2045" s="8"/>
      <c r="R2045" s="8"/>
    </row>
    <row r="2046">
      <c r="A2046" s="8" t="s">
        <v>1814</v>
      </c>
      <c r="B2046" s="8" t="s">
        <v>12841</v>
      </c>
      <c r="C2046" s="8" t="s">
        <v>5819</v>
      </c>
      <c r="D2046" s="9">
        <v>8.983836822E9</v>
      </c>
      <c r="E2046" s="8" t="s">
        <v>5820</v>
      </c>
      <c r="F2046" s="8" t="s">
        <v>3608</v>
      </c>
      <c r="G2046" s="8" t="s">
        <v>12842</v>
      </c>
      <c r="H2046" s="8" t="s">
        <v>3479</v>
      </c>
      <c r="I2046" s="9">
        <v>0.0</v>
      </c>
      <c r="J2046" s="9">
        <v>1259.0</v>
      </c>
      <c r="K2046" s="9">
        <v>1259.0</v>
      </c>
      <c r="L2046" s="9">
        <v>1259.0</v>
      </c>
      <c r="M2046" s="9">
        <v>80.0</v>
      </c>
      <c r="N2046" s="9">
        <v>730.0</v>
      </c>
      <c r="O2046" s="9">
        <v>449.0</v>
      </c>
      <c r="P2046" s="8" t="s">
        <v>3480</v>
      </c>
      <c r="Q2046" s="8" t="s">
        <v>5822</v>
      </c>
      <c r="R2046" s="8" t="s">
        <v>5823</v>
      </c>
    </row>
    <row r="2047">
      <c r="A2047" s="8" t="s">
        <v>2489</v>
      </c>
      <c r="B2047" s="8" t="s">
        <v>12843</v>
      </c>
      <c r="C2047" s="8" t="s">
        <v>12844</v>
      </c>
      <c r="D2047" s="9">
        <v>9.881125872E9</v>
      </c>
      <c r="E2047" s="8" t="s">
        <v>12845</v>
      </c>
      <c r="F2047" s="8" t="s">
        <v>3881</v>
      </c>
      <c r="G2047" s="8" t="s">
        <v>12846</v>
      </c>
      <c r="H2047" s="8" t="s">
        <v>3479</v>
      </c>
      <c r="I2047" s="9">
        <v>0.0</v>
      </c>
      <c r="J2047" s="9">
        <v>4220.0</v>
      </c>
      <c r="K2047" s="9">
        <v>4220.0</v>
      </c>
      <c r="L2047" s="9">
        <v>4220.0</v>
      </c>
      <c r="M2047" s="9">
        <v>2931.0</v>
      </c>
      <c r="N2047" s="9">
        <v>730.0</v>
      </c>
      <c r="O2047" s="9">
        <v>559.0</v>
      </c>
      <c r="P2047" s="8" t="s">
        <v>3480</v>
      </c>
      <c r="Q2047" s="8"/>
      <c r="R2047" s="8"/>
    </row>
    <row r="2048">
      <c r="A2048" s="8" t="s">
        <v>2492</v>
      </c>
      <c r="B2048" s="8" t="s">
        <v>12847</v>
      </c>
      <c r="C2048" s="8" t="s">
        <v>12848</v>
      </c>
      <c r="D2048" s="9">
        <v>8.517900078E9</v>
      </c>
      <c r="E2048" s="8" t="s">
        <v>12849</v>
      </c>
      <c r="F2048" s="8" t="s">
        <v>4792</v>
      </c>
      <c r="G2048" s="8" t="s">
        <v>12850</v>
      </c>
      <c r="H2048" s="8" t="s">
        <v>3479</v>
      </c>
      <c r="I2048" s="9">
        <v>0.0</v>
      </c>
      <c r="J2048" s="9">
        <v>1824.0</v>
      </c>
      <c r="K2048" s="9">
        <v>1824.0</v>
      </c>
      <c r="L2048" s="9">
        <v>1824.0</v>
      </c>
      <c r="M2048" s="9">
        <v>591.0</v>
      </c>
      <c r="N2048" s="9">
        <v>784.0</v>
      </c>
      <c r="O2048" s="9">
        <v>449.0</v>
      </c>
      <c r="P2048" s="8" t="s">
        <v>3480</v>
      </c>
      <c r="Q2048" s="8" t="s">
        <v>12851</v>
      </c>
      <c r="R2048" s="8" t="s">
        <v>12852</v>
      </c>
    </row>
    <row r="2049">
      <c r="A2049" s="8" t="s">
        <v>2493</v>
      </c>
      <c r="B2049" s="8" t="s">
        <v>12853</v>
      </c>
      <c r="C2049" s="8" t="s">
        <v>9996</v>
      </c>
      <c r="D2049" s="9">
        <v>9.594259275E9</v>
      </c>
      <c r="E2049" s="8" t="s">
        <v>12854</v>
      </c>
      <c r="F2049" s="8" t="s">
        <v>3608</v>
      </c>
      <c r="G2049" s="8" t="s">
        <v>12855</v>
      </c>
      <c r="H2049" s="8" t="s">
        <v>3479</v>
      </c>
      <c r="I2049" s="9">
        <v>0.0</v>
      </c>
      <c r="J2049" s="9">
        <v>1512.0</v>
      </c>
      <c r="K2049" s="9">
        <v>1512.0</v>
      </c>
      <c r="L2049" s="9">
        <v>1512.0</v>
      </c>
      <c r="M2049" s="9">
        <v>333.0</v>
      </c>
      <c r="N2049" s="9">
        <v>730.0</v>
      </c>
      <c r="O2049" s="9">
        <v>449.0</v>
      </c>
      <c r="P2049" s="8" t="s">
        <v>3480</v>
      </c>
      <c r="Q2049" s="8" t="s">
        <v>12856</v>
      </c>
      <c r="R2049" s="8" t="s">
        <v>12857</v>
      </c>
    </row>
    <row r="2050">
      <c r="A2050" s="8" t="s">
        <v>2494</v>
      </c>
      <c r="B2050" s="8" t="s">
        <v>12858</v>
      </c>
      <c r="C2050" s="8" t="s">
        <v>12859</v>
      </c>
      <c r="D2050" s="9">
        <v>8.788070392E9</v>
      </c>
      <c r="E2050" s="8" t="s">
        <v>12860</v>
      </c>
      <c r="F2050" s="8" t="s">
        <v>3608</v>
      </c>
      <c r="G2050" s="8" t="s">
        <v>12861</v>
      </c>
      <c r="H2050" s="8" t="s">
        <v>3479</v>
      </c>
      <c r="I2050" s="9">
        <v>0.0</v>
      </c>
      <c r="J2050" s="9">
        <v>1259.0</v>
      </c>
      <c r="K2050" s="9">
        <v>1259.0</v>
      </c>
      <c r="L2050" s="9">
        <v>1259.0</v>
      </c>
      <c r="M2050" s="9">
        <v>80.0</v>
      </c>
      <c r="N2050" s="9">
        <v>730.0</v>
      </c>
      <c r="O2050" s="9">
        <v>449.0</v>
      </c>
      <c r="P2050" s="8" t="s">
        <v>3480</v>
      </c>
      <c r="Q2050" s="8" t="s">
        <v>12862</v>
      </c>
      <c r="R2050" s="8" t="s">
        <v>12863</v>
      </c>
    </row>
    <row r="2051">
      <c r="A2051" s="8" t="s">
        <v>2495</v>
      </c>
      <c r="B2051" s="8" t="s">
        <v>12864</v>
      </c>
      <c r="C2051" s="8" t="s">
        <v>12865</v>
      </c>
      <c r="D2051" s="9">
        <v>9.42249484E9</v>
      </c>
      <c r="E2051" s="8" t="s">
        <v>12866</v>
      </c>
      <c r="F2051" s="8" t="s">
        <v>4333</v>
      </c>
      <c r="G2051" s="8" t="s">
        <v>12867</v>
      </c>
      <c r="H2051" s="8" t="s">
        <v>3479</v>
      </c>
      <c r="I2051" s="9">
        <v>0.0</v>
      </c>
      <c r="J2051" s="9">
        <v>2215.0</v>
      </c>
      <c r="K2051" s="9">
        <v>2215.0</v>
      </c>
      <c r="L2051" s="9">
        <v>2215.0</v>
      </c>
      <c r="M2051" s="9">
        <v>702.0</v>
      </c>
      <c r="N2051" s="9">
        <v>914.0</v>
      </c>
      <c r="O2051" s="9">
        <v>599.0</v>
      </c>
      <c r="P2051" s="8" t="s">
        <v>3480</v>
      </c>
      <c r="Q2051" s="8"/>
      <c r="R2051" s="8"/>
    </row>
    <row r="2052">
      <c r="A2052" s="8" t="s">
        <v>2496</v>
      </c>
      <c r="B2052" s="8" t="s">
        <v>12868</v>
      </c>
      <c r="C2052" s="8" t="s">
        <v>12869</v>
      </c>
      <c r="D2052" s="9">
        <v>7.709373017E9</v>
      </c>
      <c r="E2052" s="8" t="s">
        <v>12870</v>
      </c>
      <c r="F2052" s="8" t="s">
        <v>3653</v>
      </c>
      <c r="G2052" s="8" t="s">
        <v>12871</v>
      </c>
      <c r="H2052" s="8" t="s">
        <v>3479</v>
      </c>
      <c r="I2052" s="9">
        <v>0.0</v>
      </c>
      <c r="J2052" s="9">
        <v>1313.0</v>
      </c>
      <c r="K2052" s="9">
        <v>1313.0</v>
      </c>
      <c r="L2052" s="9">
        <v>1313.0</v>
      </c>
      <c r="M2052" s="9">
        <v>80.0</v>
      </c>
      <c r="N2052" s="9">
        <v>784.0</v>
      </c>
      <c r="O2052" s="9">
        <v>449.0</v>
      </c>
      <c r="P2052" s="8" t="s">
        <v>3480</v>
      </c>
      <c r="Q2052" s="8" t="s">
        <v>12872</v>
      </c>
      <c r="R2052" s="8" t="s">
        <v>12873</v>
      </c>
    </row>
    <row r="2053">
      <c r="A2053" s="8" t="s">
        <v>1816</v>
      </c>
      <c r="B2053" s="8" t="s">
        <v>12874</v>
      </c>
      <c r="C2053" s="8" t="s">
        <v>12875</v>
      </c>
      <c r="D2053" s="9">
        <v>8.806009259E9</v>
      </c>
      <c r="E2053" s="8" t="s">
        <v>12876</v>
      </c>
      <c r="F2053" s="8" t="s">
        <v>5485</v>
      </c>
      <c r="G2053" s="8" t="s">
        <v>12877</v>
      </c>
      <c r="H2053" s="8" t="s">
        <v>3479</v>
      </c>
      <c r="I2053" s="9">
        <v>0.0</v>
      </c>
      <c r="J2053" s="9">
        <v>1815.0</v>
      </c>
      <c r="K2053" s="9">
        <v>1815.0</v>
      </c>
      <c r="L2053" s="9">
        <v>1815.0</v>
      </c>
      <c r="M2053" s="9">
        <v>1065.0</v>
      </c>
      <c r="N2053" s="9">
        <v>0.0</v>
      </c>
      <c r="O2053" s="9">
        <v>750.0</v>
      </c>
      <c r="P2053" s="8" t="s">
        <v>3480</v>
      </c>
      <c r="Q2053" s="8"/>
      <c r="R2053" s="8"/>
    </row>
    <row r="2054">
      <c r="A2054" s="8" t="s">
        <v>1982</v>
      </c>
      <c r="B2054" s="8" t="s">
        <v>12878</v>
      </c>
      <c r="C2054" s="8" t="s">
        <v>12879</v>
      </c>
      <c r="D2054" s="9">
        <v>9.595289545E9</v>
      </c>
      <c r="E2054" s="8" t="s">
        <v>12880</v>
      </c>
      <c r="F2054" s="8" t="s">
        <v>3821</v>
      </c>
      <c r="G2054" s="8" t="s">
        <v>12881</v>
      </c>
      <c r="H2054" s="8" t="s">
        <v>3479</v>
      </c>
      <c r="I2054" s="9">
        <v>0.0</v>
      </c>
      <c r="J2054" s="9">
        <v>2507.0</v>
      </c>
      <c r="K2054" s="9">
        <v>2507.0</v>
      </c>
      <c r="L2054" s="9">
        <v>2507.0</v>
      </c>
      <c r="M2054" s="9">
        <v>1253.0</v>
      </c>
      <c r="N2054" s="9">
        <v>730.0</v>
      </c>
      <c r="O2054" s="9">
        <v>524.0</v>
      </c>
      <c r="P2054" s="8" t="s">
        <v>3480</v>
      </c>
      <c r="Q2054" s="8" t="s">
        <v>12882</v>
      </c>
      <c r="R2054" s="8" t="s">
        <v>12883</v>
      </c>
    </row>
    <row r="2055">
      <c r="A2055" s="8" t="s">
        <v>1817</v>
      </c>
      <c r="B2055" s="8" t="s">
        <v>12884</v>
      </c>
      <c r="C2055" s="8" t="s">
        <v>6017</v>
      </c>
      <c r="D2055" s="9">
        <v>9.71396506E9</v>
      </c>
      <c r="E2055" s="8" t="s">
        <v>7896</v>
      </c>
      <c r="F2055" s="8" t="s">
        <v>6508</v>
      </c>
      <c r="G2055" s="8" t="s">
        <v>12885</v>
      </c>
      <c r="H2055" s="8" t="s">
        <v>3479</v>
      </c>
      <c r="I2055" s="9">
        <v>0.0</v>
      </c>
      <c r="J2055" s="9">
        <v>1535.0</v>
      </c>
      <c r="K2055" s="9">
        <v>1535.0</v>
      </c>
      <c r="L2055" s="9">
        <v>1535.0</v>
      </c>
      <c r="M2055" s="9">
        <v>1230.0</v>
      </c>
      <c r="N2055" s="9">
        <v>130.0</v>
      </c>
      <c r="O2055" s="9">
        <v>175.0</v>
      </c>
      <c r="P2055" s="8" t="s">
        <v>3480</v>
      </c>
      <c r="Q2055" s="8"/>
      <c r="R2055" s="8"/>
    </row>
    <row r="2056">
      <c r="A2056" s="8" t="s">
        <v>1818</v>
      </c>
      <c r="B2056" s="8" t="s">
        <v>12886</v>
      </c>
      <c r="C2056" s="8" t="s">
        <v>8172</v>
      </c>
      <c r="D2056" s="9">
        <v>7.875015709E9</v>
      </c>
      <c r="E2056" s="8" t="s">
        <v>8173</v>
      </c>
      <c r="F2056" s="8" t="s">
        <v>3828</v>
      </c>
      <c r="G2056" s="8" t="s">
        <v>12887</v>
      </c>
      <c r="H2056" s="8" t="s">
        <v>3479</v>
      </c>
      <c r="I2056" s="9">
        <v>0.0</v>
      </c>
      <c r="J2056" s="9">
        <v>1087.0</v>
      </c>
      <c r="K2056" s="9">
        <v>1087.0</v>
      </c>
      <c r="L2056" s="9">
        <v>1087.0</v>
      </c>
      <c r="M2056" s="9">
        <v>837.0</v>
      </c>
      <c r="N2056" s="9">
        <v>0.0</v>
      </c>
      <c r="O2056" s="9">
        <v>250.0</v>
      </c>
      <c r="P2056" s="8" t="s">
        <v>3480</v>
      </c>
      <c r="Q2056" s="8" t="s">
        <v>8175</v>
      </c>
      <c r="R2056" s="8" t="s">
        <v>8176</v>
      </c>
    </row>
    <row r="2057">
      <c r="A2057" s="8" t="s">
        <v>1819</v>
      </c>
      <c r="B2057" s="8" t="s">
        <v>12888</v>
      </c>
      <c r="C2057" s="8" t="s">
        <v>5500</v>
      </c>
      <c r="D2057" s="9">
        <v>8.123491626E9</v>
      </c>
      <c r="E2057" s="8" t="s">
        <v>5501</v>
      </c>
      <c r="F2057" s="8" t="s">
        <v>5485</v>
      </c>
      <c r="G2057" s="8" t="s">
        <v>12889</v>
      </c>
      <c r="H2057" s="8" t="s">
        <v>3479</v>
      </c>
      <c r="I2057" s="9">
        <v>0.0</v>
      </c>
      <c r="J2057" s="9">
        <v>2474.0</v>
      </c>
      <c r="K2057" s="9">
        <v>2474.0</v>
      </c>
      <c r="L2057" s="9">
        <v>2474.0</v>
      </c>
      <c r="M2057" s="9">
        <v>1535.0</v>
      </c>
      <c r="N2057" s="9">
        <v>65.0</v>
      </c>
      <c r="O2057" s="9">
        <v>874.0</v>
      </c>
      <c r="P2057" s="8" t="s">
        <v>3544</v>
      </c>
      <c r="Q2057" s="8"/>
      <c r="R2057" s="8"/>
    </row>
    <row r="2058">
      <c r="A2058" s="8" t="s">
        <v>1981</v>
      </c>
      <c r="B2058" s="8" t="s">
        <v>12890</v>
      </c>
      <c r="C2058" s="8" t="s">
        <v>12891</v>
      </c>
      <c r="D2058" s="9">
        <v>8.554855333E9</v>
      </c>
      <c r="E2058" s="8" t="s">
        <v>12892</v>
      </c>
      <c r="F2058" s="8" t="s">
        <v>3608</v>
      </c>
      <c r="G2058" s="8" t="s">
        <v>12893</v>
      </c>
      <c r="H2058" s="8" t="s">
        <v>3479</v>
      </c>
      <c r="I2058" s="9">
        <v>0.0</v>
      </c>
      <c r="J2058" s="9">
        <v>4452.0</v>
      </c>
      <c r="K2058" s="9">
        <v>4452.0</v>
      </c>
      <c r="L2058" s="9">
        <v>4452.0</v>
      </c>
      <c r="M2058" s="9">
        <v>3273.0</v>
      </c>
      <c r="N2058" s="9">
        <v>730.0</v>
      </c>
      <c r="O2058" s="9">
        <v>449.0</v>
      </c>
      <c r="P2058" s="8" t="s">
        <v>3480</v>
      </c>
      <c r="Q2058" s="8"/>
      <c r="R2058" s="8"/>
    </row>
    <row r="2059">
      <c r="A2059" s="8" t="s">
        <v>1983</v>
      </c>
      <c r="B2059" s="8" t="s">
        <v>12894</v>
      </c>
      <c r="C2059" s="8" t="s">
        <v>8494</v>
      </c>
      <c r="D2059" s="9">
        <v>9.970311887E9</v>
      </c>
      <c r="E2059" s="8" t="s">
        <v>12895</v>
      </c>
      <c r="F2059" s="8" t="s">
        <v>3523</v>
      </c>
      <c r="G2059" s="8" t="s">
        <v>12896</v>
      </c>
      <c r="H2059" s="8" t="s">
        <v>3479</v>
      </c>
      <c r="I2059" s="9">
        <v>0.0</v>
      </c>
      <c r="J2059" s="9">
        <v>1499.0</v>
      </c>
      <c r="K2059" s="9">
        <v>1499.0</v>
      </c>
      <c r="L2059" s="9">
        <v>1499.0</v>
      </c>
      <c r="M2059" s="9">
        <v>245.0</v>
      </c>
      <c r="N2059" s="9">
        <v>730.0</v>
      </c>
      <c r="O2059" s="9">
        <v>524.0</v>
      </c>
      <c r="P2059" s="8" t="s">
        <v>3480</v>
      </c>
      <c r="Q2059" s="8" t="s">
        <v>12897</v>
      </c>
      <c r="R2059" s="8" t="s">
        <v>12898</v>
      </c>
    </row>
    <row r="2060">
      <c r="A2060" s="8" t="s">
        <v>1821</v>
      </c>
      <c r="B2060" s="8" t="s">
        <v>12899</v>
      </c>
      <c r="C2060" s="8" t="s">
        <v>12900</v>
      </c>
      <c r="D2060" s="9">
        <v>7.276868658E9</v>
      </c>
      <c r="E2060" s="8" t="s">
        <v>12901</v>
      </c>
      <c r="F2060" s="8" t="s">
        <v>3530</v>
      </c>
      <c r="G2060" s="8" t="s">
        <v>12902</v>
      </c>
      <c r="H2060" s="8" t="s">
        <v>3479</v>
      </c>
      <c r="I2060" s="9">
        <v>0.0</v>
      </c>
      <c r="J2060" s="9">
        <v>8632.0</v>
      </c>
      <c r="K2060" s="9">
        <v>8632.0</v>
      </c>
      <c r="L2060" s="9">
        <v>8632.0</v>
      </c>
      <c r="M2060" s="9">
        <v>7418.0</v>
      </c>
      <c r="N2060" s="9">
        <v>65.0</v>
      </c>
      <c r="O2060" s="9">
        <v>1149.0</v>
      </c>
      <c r="P2060" s="8" t="s">
        <v>3480</v>
      </c>
      <c r="Q2060" s="8"/>
      <c r="R2060" s="8"/>
    </row>
    <row r="2061">
      <c r="A2061" s="8" t="s">
        <v>1820</v>
      </c>
      <c r="B2061" s="8" t="s">
        <v>12903</v>
      </c>
      <c r="C2061" s="8" t="s">
        <v>8921</v>
      </c>
      <c r="D2061" s="9">
        <v>8.411002659E9</v>
      </c>
      <c r="E2061" s="8" t="s">
        <v>8922</v>
      </c>
      <c r="F2061" s="8" t="s">
        <v>3550</v>
      </c>
      <c r="G2061" s="8" t="s">
        <v>12904</v>
      </c>
      <c r="H2061" s="8" t="s">
        <v>3479</v>
      </c>
      <c r="I2061" s="9">
        <v>0.0</v>
      </c>
      <c r="J2061" s="9">
        <v>2189.0</v>
      </c>
      <c r="K2061" s="9">
        <v>2189.0</v>
      </c>
      <c r="L2061" s="9">
        <v>2189.0</v>
      </c>
      <c r="M2061" s="9">
        <v>1620.0</v>
      </c>
      <c r="N2061" s="9">
        <v>0.0</v>
      </c>
      <c r="O2061" s="9">
        <v>569.0</v>
      </c>
      <c r="P2061" s="8" t="s">
        <v>3480</v>
      </c>
      <c r="Q2061" s="8" t="s">
        <v>8924</v>
      </c>
      <c r="R2061" s="8" t="s">
        <v>8925</v>
      </c>
    </row>
    <row r="2062">
      <c r="A2062" s="8" t="s">
        <v>1822</v>
      </c>
      <c r="B2062" s="8" t="s">
        <v>12905</v>
      </c>
      <c r="C2062" s="8" t="s">
        <v>12906</v>
      </c>
      <c r="D2062" s="9">
        <v>7.972755022E9</v>
      </c>
      <c r="E2062" s="8" t="s">
        <v>12907</v>
      </c>
      <c r="F2062" s="8" t="s">
        <v>4373</v>
      </c>
      <c r="G2062" s="8" t="s">
        <v>3494</v>
      </c>
      <c r="H2062" s="8" t="s">
        <v>3479</v>
      </c>
      <c r="I2062" s="9">
        <v>0.0</v>
      </c>
      <c r="J2062" s="9">
        <v>1144.0</v>
      </c>
      <c r="K2062" s="9">
        <v>1144.0</v>
      </c>
      <c r="L2062" s="9">
        <v>1144.0</v>
      </c>
      <c r="M2062" s="9">
        <v>545.0</v>
      </c>
      <c r="N2062" s="9">
        <v>0.0</v>
      </c>
      <c r="O2062" s="9">
        <v>599.0</v>
      </c>
      <c r="P2062" s="8" t="s">
        <v>3480</v>
      </c>
      <c r="Q2062" s="8" t="s">
        <v>12908</v>
      </c>
      <c r="R2062" s="8" t="s">
        <v>12909</v>
      </c>
    </row>
    <row r="2063">
      <c r="A2063" s="8" t="s">
        <v>1984</v>
      </c>
      <c r="B2063" s="8" t="s">
        <v>12910</v>
      </c>
      <c r="C2063" s="8" t="s">
        <v>3773</v>
      </c>
      <c r="D2063" s="9">
        <v>8.66894634E9</v>
      </c>
      <c r="E2063" s="8" t="s">
        <v>3774</v>
      </c>
      <c r="F2063" s="8" t="s">
        <v>3775</v>
      </c>
      <c r="G2063" s="8" t="s">
        <v>12911</v>
      </c>
      <c r="H2063" s="8" t="s">
        <v>3479</v>
      </c>
      <c r="I2063" s="9">
        <v>0.0</v>
      </c>
      <c r="J2063" s="9">
        <v>4142.0</v>
      </c>
      <c r="K2063" s="9">
        <v>4142.0</v>
      </c>
      <c r="L2063" s="9">
        <v>4142.0</v>
      </c>
      <c r="M2063" s="9">
        <v>2963.0</v>
      </c>
      <c r="N2063" s="9">
        <v>730.0</v>
      </c>
      <c r="O2063" s="9">
        <v>449.0</v>
      </c>
      <c r="P2063" s="8" t="s">
        <v>3480</v>
      </c>
      <c r="Q2063" s="8"/>
      <c r="R2063" s="8"/>
    </row>
    <row r="2064">
      <c r="A2064" s="8" t="s">
        <v>1985</v>
      </c>
      <c r="B2064" s="8" t="s">
        <v>12912</v>
      </c>
      <c r="C2064" s="8" t="s">
        <v>12913</v>
      </c>
      <c r="D2064" s="9">
        <v>9.975070769E9</v>
      </c>
      <c r="E2064" s="8" t="s">
        <v>12914</v>
      </c>
      <c r="F2064" s="8" t="s">
        <v>3564</v>
      </c>
      <c r="G2064" s="8" t="s">
        <v>12915</v>
      </c>
      <c r="H2064" s="8" t="s">
        <v>3479</v>
      </c>
      <c r="I2064" s="9">
        <v>0.0</v>
      </c>
      <c r="J2064" s="9">
        <v>733.0</v>
      </c>
      <c r="K2064" s="9">
        <v>733.0</v>
      </c>
      <c r="L2064" s="9">
        <v>733.0</v>
      </c>
      <c r="M2064" s="9">
        <v>358.0</v>
      </c>
      <c r="N2064" s="9">
        <v>0.0</v>
      </c>
      <c r="O2064" s="9">
        <v>375.0</v>
      </c>
      <c r="P2064" s="8" t="s">
        <v>3480</v>
      </c>
      <c r="Q2064" s="8"/>
      <c r="R2064" s="8"/>
    </row>
    <row r="2065">
      <c r="A2065" s="8" t="s">
        <v>2157</v>
      </c>
      <c r="B2065" s="8" t="s">
        <v>12916</v>
      </c>
      <c r="C2065" s="8" t="s">
        <v>12917</v>
      </c>
      <c r="D2065" s="9">
        <v>8.380880885E9</v>
      </c>
      <c r="E2065" s="8" t="s">
        <v>12918</v>
      </c>
      <c r="F2065" s="8" t="s">
        <v>3901</v>
      </c>
      <c r="G2065" s="8" t="s">
        <v>12919</v>
      </c>
      <c r="H2065" s="8" t="s">
        <v>3479</v>
      </c>
      <c r="I2065" s="9">
        <v>0.0</v>
      </c>
      <c r="J2065" s="9">
        <v>2250.0</v>
      </c>
      <c r="K2065" s="9">
        <v>2250.0</v>
      </c>
      <c r="L2065" s="9">
        <v>2250.0</v>
      </c>
      <c r="M2065" s="9">
        <v>2250.0</v>
      </c>
      <c r="N2065" s="9">
        <v>0.0</v>
      </c>
      <c r="O2065" s="9">
        <v>0.0</v>
      </c>
      <c r="P2065" s="8" t="s">
        <v>3480</v>
      </c>
      <c r="Q2065" s="8"/>
      <c r="R2065" s="8"/>
    </row>
    <row r="2066">
      <c r="A2066" s="8" t="s">
        <v>1986</v>
      </c>
      <c r="B2066" s="8" t="s">
        <v>12920</v>
      </c>
      <c r="C2066" s="8" t="s">
        <v>12921</v>
      </c>
      <c r="D2066" s="9">
        <v>7.218274039E9</v>
      </c>
      <c r="E2066" s="8" t="s">
        <v>12922</v>
      </c>
      <c r="F2066" s="8" t="s">
        <v>3615</v>
      </c>
      <c r="G2066" s="8" t="s">
        <v>12923</v>
      </c>
      <c r="H2066" s="8" t="s">
        <v>3479</v>
      </c>
      <c r="I2066" s="9">
        <v>0.0</v>
      </c>
      <c r="J2066" s="9">
        <v>2932.0</v>
      </c>
      <c r="K2066" s="9">
        <v>2932.0</v>
      </c>
      <c r="L2066" s="9">
        <v>2932.0</v>
      </c>
      <c r="M2066" s="9">
        <v>2213.0</v>
      </c>
      <c r="N2066" s="9">
        <v>190.0</v>
      </c>
      <c r="O2066" s="9">
        <v>529.0</v>
      </c>
      <c r="P2066" s="8" t="s">
        <v>3480</v>
      </c>
      <c r="Q2066" s="8"/>
      <c r="R2066" s="8"/>
    </row>
    <row r="2067">
      <c r="A2067" s="8" t="s">
        <v>2158</v>
      </c>
      <c r="B2067" s="8" t="s">
        <v>12924</v>
      </c>
      <c r="C2067" s="8" t="s">
        <v>5495</v>
      </c>
      <c r="D2067" s="9">
        <v>9.326075507E9</v>
      </c>
      <c r="E2067" s="8" t="s">
        <v>8621</v>
      </c>
      <c r="F2067" s="8" t="s">
        <v>4093</v>
      </c>
      <c r="G2067" s="8" t="s">
        <v>12925</v>
      </c>
      <c r="H2067" s="8" t="s">
        <v>3479</v>
      </c>
      <c r="I2067" s="9">
        <v>0.0</v>
      </c>
      <c r="J2067" s="9">
        <v>1463.0</v>
      </c>
      <c r="K2067" s="9">
        <v>1463.0</v>
      </c>
      <c r="L2067" s="9">
        <v>1463.0</v>
      </c>
      <c r="M2067" s="9">
        <v>80.0</v>
      </c>
      <c r="N2067" s="9">
        <v>784.0</v>
      </c>
      <c r="O2067" s="9">
        <v>599.0</v>
      </c>
      <c r="P2067" s="8" t="s">
        <v>3480</v>
      </c>
      <c r="Q2067" s="8" t="s">
        <v>8623</v>
      </c>
      <c r="R2067" s="8" t="s">
        <v>8624</v>
      </c>
    </row>
    <row r="2068">
      <c r="A2068" s="8" t="s">
        <v>2575</v>
      </c>
      <c r="B2068" s="8" t="s">
        <v>12926</v>
      </c>
      <c r="C2068" s="8" t="s">
        <v>12927</v>
      </c>
      <c r="D2068" s="9">
        <v>7.776960003E9</v>
      </c>
      <c r="E2068" s="8" t="s">
        <v>12928</v>
      </c>
      <c r="F2068" s="8" t="s">
        <v>3608</v>
      </c>
      <c r="G2068" s="8" t="s">
        <v>12929</v>
      </c>
      <c r="H2068" s="8" t="s">
        <v>3479</v>
      </c>
      <c r="I2068" s="9">
        <v>0.0</v>
      </c>
      <c r="J2068" s="9">
        <v>5106.0</v>
      </c>
      <c r="K2068" s="9">
        <v>5106.0</v>
      </c>
      <c r="L2068" s="9">
        <v>5106.0</v>
      </c>
      <c r="M2068" s="9">
        <v>3927.0</v>
      </c>
      <c r="N2068" s="9">
        <v>730.0</v>
      </c>
      <c r="O2068" s="9">
        <v>449.0</v>
      </c>
      <c r="P2068" s="8" t="s">
        <v>3544</v>
      </c>
      <c r="Q2068" s="8"/>
      <c r="R2068" s="8"/>
    </row>
    <row r="2069">
      <c r="A2069" s="8" t="s">
        <v>2160</v>
      </c>
      <c r="B2069" s="8" t="s">
        <v>12930</v>
      </c>
      <c r="C2069" s="8" t="s">
        <v>12931</v>
      </c>
      <c r="D2069" s="9">
        <v>7.798529737E9</v>
      </c>
      <c r="E2069" s="8" t="s">
        <v>12932</v>
      </c>
      <c r="F2069" s="8" t="s">
        <v>5421</v>
      </c>
      <c r="G2069" s="8" t="s">
        <v>12933</v>
      </c>
      <c r="H2069" s="8" t="s">
        <v>3479</v>
      </c>
      <c r="I2069" s="9">
        <v>0.0</v>
      </c>
      <c r="J2069" s="9">
        <v>1632.0</v>
      </c>
      <c r="K2069" s="9">
        <v>1632.0</v>
      </c>
      <c r="L2069" s="9">
        <v>1632.0</v>
      </c>
      <c r="M2069" s="9">
        <v>453.0</v>
      </c>
      <c r="N2069" s="9">
        <v>730.0</v>
      </c>
      <c r="O2069" s="9">
        <v>449.0</v>
      </c>
      <c r="P2069" s="8" t="s">
        <v>3480</v>
      </c>
      <c r="Q2069" s="8" t="s">
        <v>12934</v>
      </c>
      <c r="R2069" s="8" t="s">
        <v>12935</v>
      </c>
    </row>
    <row r="2070">
      <c r="A2070" s="8" t="s">
        <v>2159</v>
      </c>
      <c r="B2070" s="8" t="s">
        <v>12936</v>
      </c>
      <c r="C2070" s="8" t="s">
        <v>5113</v>
      </c>
      <c r="D2070" s="9">
        <v>9.534141363E9</v>
      </c>
      <c r="E2070" s="8" t="s">
        <v>12937</v>
      </c>
      <c r="F2070" s="8" t="s">
        <v>4239</v>
      </c>
      <c r="G2070" s="8" t="s">
        <v>3494</v>
      </c>
      <c r="H2070" s="8" t="s">
        <v>3479</v>
      </c>
      <c r="I2070" s="9">
        <v>0.0</v>
      </c>
      <c r="J2070" s="9">
        <v>1640.0</v>
      </c>
      <c r="K2070" s="9">
        <v>1640.0</v>
      </c>
      <c r="L2070" s="9">
        <v>1640.0</v>
      </c>
      <c r="M2070" s="9">
        <v>1540.0</v>
      </c>
      <c r="N2070" s="9">
        <v>0.0</v>
      </c>
      <c r="O2070" s="9">
        <v>100.0</v>
      </c>
      <c r="P2070" s="8" t="s">
        <v>3480</v>
      </c>
      <c r="Q2070" s="8"/>
      <c r="R2070" s="8"/>
    </row>
    <row r="2071">
      <c r="A2071" s="8" t="s">
        <v>2162</v>
      </c>
      <c r="B2071" s="8" t="s">
        <v>12938</v>
      </c>
      <c r="C2071" s="8" t="s">
        <v>4544</v>
      </c>
      <c r="D2071" s="9">
        <v>8.087564396E9</v>
      </c>
      <c r="E2071" s="8" t="s">
        <v>12939</v>
      </c>
      <c r="F2071" s="8" t="s">
        <v>3594</v>
      </c>
      <c r="G2071" s="8" t="s">
        <v>12940</v>
      </c>
      <c r="H2071" s="8" t="s">
        <v>3479</v>
      </c>
      <c r="I2071" s="9">
        <v>0.0</v>
      </c>
      <c r="J2071" s="9">
        <v>2232.0</v>
      </c>
      <c r="K2071" s="9">
        <v>2232.0</v>
      </c>
      <c r="L2071" s="9">
        <v>2232.0</v>
      </c>
      <c r="M2071" s="9">
        <v>1053.0</v>
      </c>
      <c r="N2071" s="9">
        <v>730.0</v>
      </c>
      <c r="O2071" s="9">
        <v>449.0</v>
      </c>
      <c r="P2071" s="8" t="s">
        <v>3480</v>
      </c>
      <c r="Q2071" s="8"/>
      <c r="R2071" s="8"/>
    </row>
    <row r="2072">
      <c r="A2072" s="8" t="s">
        <v>2161</v>
      </c>
      <c r="B2072" s="8" t="s">
        <v>12941</v>
      </c>
      <c r="C2072" s="8" t="s">
        <v>5154</v>
      </c>
      <c r="D2072" s="9">
        <v>9.511644285E9</v>
      </c>
      <c r="E2072" s="8" t="s">
        <v>12942</v>
      </c>
      <c r="F2072" s="8" t="s">
        <v>3757</v>
      </c>
      <c r="G2072" s="8" t="s">
        <v>12943</v>
      </c>
      <c r="H2072" s="8" t="s">
        <v>3479</v>
      </c>
      <c r="I2072" s="9">
        <v>0.0</v>
      </c>
      <c r="J2072" s="9">
        <v>4642.0</v>
      </c>
      <c r="K2072" s="9">
        <v>4642.0</v>
      </c>
      <c r="L2072" s="9">
        <v>4642.0</v>
      </c>
      <c r="M2072" s="9">
        <v>1600.0</v>
      </c>
      <c r="N2072" s="9">
        <v>1533.0</v>
      </c>
      <c r="O2072" s="9">
        <v>1509.0</v>
      </c>
      <c r="P2072" s="8" t="s">
        <v>3480</v>
      </c>
      <c r="Q2072" s="8"/>
      <c r="R2072" s="8"/>
    </row>
    <row r="2073">
      <c r="A2073" s="8" t="s">
        <v>1987</v>
      </c>
      <c r="B2073" s="8" t="s">
        <v>12944</v>
      </c>
      <c r="C2073" s="8" t="s">
        <v>4225</v>
      </c>
      <c r="D2073" s="9">
        <v>7.828091223E9</v>
      </c>
      <c r="E2073" s="8" t="s">
        <v>12945</v>
      </c>
      <c r="F2073" s="8" t="s">
        <v>3542</v>
      </c>
      <c r="G2073" s="8" t="s">
        <v>12946</v>
      </c>
      <c r="H2073" s="8" t="s">
        <v>3479</v>
      </c>
      <c r="I2073" s="9">
        <v>0.0</v>
      </c>
      <c r="J2073" s="9">
        <v>3275.0</v>
      </c>
      <c r="K2073" s="9">
        <v>3275.0</v>
      </c>
      <c r="L2073" s="9">
        <v>3275.0</v>
      </c>
      <c r="M2073" s="9">
        <v>1796.0</v>
      </c>
      <c r="N2073" s="9">
        <v>730.0</v>
      </c>
      <c r="O2073" s="9">
        <v>749.0</v>
      </c>
      <c r="P2073" s="8" t="s">
        <v>3480</v>
      </c>
      <c r="Q2073" s="8"/>
      <c r="R2073" s="8"/>
    </row>
    <row r="2074">
      <c r="A2074" s="8" t="s">
        <v>2163</v>
      </c>
      <c r="B2074" s="8" t="s">
        <v>12947</v>
      </c>
      <c r="C2074" s="8" t="s">
        <v>7368</v>
      </c>
      <c r="D2074" s="9">
        <v>7.276334217E9</v>
      </c>
      <c r="E2074" s="8" t="s">
        <v>7369</v>
      </c>
      <c r="F2074" s="8" t="s">
        <v>3959</v>
      </c>
      <c r="G2074" s="8" t="s">
        <v>12948</v>
      </c>
      <c r="H2074" s="8" t="s">
        <v>3479</v>
      </c>
      <c r="I2074" s="9">
        <v>0.0</v>
      </c>
      <c r="J2074" s="9">
        <v>1953.0</v>
      </c>
      <c r="K2074" s="9">
        <v>1953.0</v>
      </c>
      <c r="L2074" s="9">
        <v>1953.0</v>
      </c>
      <c r="M2074" s="9">
        <v>720.0</v>
      </c>
      <c r="N2074" s="9">
        <v>784.0</v>
      </c>
      <c r="O2074" s="9">
        <v>449.0</v>
      </c>
      <c r="P2074" s="8" t="s">
        <v>3480</v>
      </c>
      <c r="Q2074" s="8" t="s">
        <v>4241</v>
      </c>
      <c r="R2074" s="8" t="s">
        <v>7371</v>
      </c>
    </row>
    <row r="2075">
      <c r="A2075" s="8" t="s">
        <v>2165</v>
      </c>
      <c r="B2075" s="8" t="s">
        <v>12949</v>
      </c>
      <c r="C2075" s="8" t="s">
        <v>12950</v>
      </c>
      <c r="D2075" s="9">
        <v>7.709768005E9</v>
      </c>
      <c r="E2075" s="8" t="s">
        <v>12951</v>
      </c>
      <c r="F2075" s="8" t="s">
        <v>4089</v>
      </c>
      <c r="G2075" s="8" t="s">
        <v>6939</v>
      </c>
      <c r="H2075" s="8" t="s">
        <v>12952</v>
      </c>
      <c r="I2075" s="9">
        <v>0.0</v>
      </c>
      <c r="J2075" s="9">
        <v>3600.0</v>
      </c>
      <c r="K2075" s="9">
        <v>3660.0</v>
      </c>
      <c r="L2075" s="9">
        <v>3600.0</v>
      </c>
      <c r="M2075" s="9">
        <v>3560.0</v>
      </c>
      <c r="N2075" s="9">
        <v>0.0</v>
      </c>
      <c r="O2075" s="9">
        <v>100.0</v>
      </c>
      <c r="P2075" s="8" t="s">
        <v>3480</v>
      </c>
      <c r="Q2075" s="8"/>
      <c r="R2075" s="8"/>
    </row>
    <row r="2076">
      <c r="A2076" s="8" t="s">
        <v>2164</v>
      </c>
      <c r="B2076" s="8" t="s">
        <v>12953</v>
      </c>
      <c r="C2076" s="8" t="s">
        <v>12954</v>
      </c>
      <c r="D2076" s="9">
        <v>8.445464646E9</v>
      </c>
      <c r="E2076" s="8" t="s">
        <v>12955</v>
      </c>
      <c r="F2076" s="8" t="s">
        <v>6234</v>
      </c>
      <c r="G2076" s="8" t="s">
        <v>12956</v>
      </c>
      <c r="H2076" s="8" t="s">
        <v>3479</v>
      </c>
      <c r="I2076" s="9">
        <v>0.0</v>
      </c>
      <c r="J2076" s="9">
        <v>2415.0</v>
      </c>
      <c r="K2076" s="9">
        <v>2415.0</v>
      </c>
      <c r="L2076" s="9">
        <v>2415.0</v>
      </c>
      <c r="M2076" s="9">
        <v>715.0</v>
      </c>
      <c r="N2076" s="9">
        <v>0.0</v>
      </c>
      <c r="O2076" s="9">
        <v>1700.0</v>
      </c>
      <c r="P2076" s="8" t="s">
        <v>3480</v>
      </c>
      <c r="Q2076" s="8" t="s">
        <v>12957</v>
      </c>
      <c r="R2076" s="8" t="s">
        <v>12958</v>
      </c>
    </row>
    <row r="2077">
      <c r="A2077" s="8" t="s">
        <v>2166</v>
      </c>
      <c r="B2077" s="8" t="s">
        <v>12959</v>
      </c>
      <c r="C2077" s="8" t="s">
        <v>10229</v>
      </c>
      <c r="D2077" s="9">
        <v>9.309741049E9</v>
      </c>
      <c r="E2077" s="8" t="s">
        <v>10230</v>
      </c>
      <c r="F2077" s="8" t="s">
        <v>3564</v>
      </c>
      <c r="G2077" s="8" t="s">
        <v>12960</v>
      </c>
      <c r="H2077" s="8" t="s">
        <v>3479</v>
      </c>
      <c r="I2077" s="9">
        <v>0.0</v>
      </c>
      <c r="J2077" s="9">
        <v>780.0</v>
      </c>
      <c r="K2077" s="9">
        <v>780.0</v>
      </c>
      <c r="L2077" s="9">
        <v>780.0</v>
      </c>
      <c r="M2077" s="9">
        <v>80.0</v>
      </c>
      <c r="N2077" s="9">
        <v>700.0</v>
      </c>
      <c r="O2077" s="9">
        <v>0.0</v>
      </c>
      <c r="P2077" s="8" t="s">
        <v>3519</v>
      </c>
      <c r="Q2077" s="8" t="s">
        <v>10231</v>
      </c>
      <c r="R2077" s="8" t="s">
        <v>10232</v>
      </c>
    </row>
    <row r="2078">
      <c r="A2078" s="8" t="s">
        <v>1988</v>
      </c>
      <c r="B2078" s="8" t="s">
        <v>12961</v>
      </c>
      <c r="C2078" s="8" t="s">
        <v>12962</v>
      </c>
      <c r="D2078" s="9">
        <v>9.420148048E9</v>
      </c>
      <c r="E2078" s="8" t="s">
        <v>12963</v>
      </c>
      <c r="F2078" s="8" t="s">
        <v>3901</v>
      </c>
      <c r="G2078" s="8" t="s">
        <v>6906</v>
      </c>
      <c r="H2078" s="8" t="s">
        <v>3479</v>
      </c>
      <c r="I2078" s="9">
        <v>0.0</v>
      </c>
      <c r="J2078" s="9">
        <v>726.0</v>
      </c>
      <c r="K2078" s="9">
        <v>726.0</v>
      </c>
      <c r="L2078" s="9">
        <v>726.0</v>
      </c>
      <c r="M2078" s="9">
        <v>121.0</v>
      </c>
      <c r="N2078" s="9">
        <v>0.0</v>
      </c>
      <c r="O2078" s="9">
        <v>605.0</v>
      </c>
      <c r="P2078" s="8" t="s">
        <v>3480</v>
      </c>
      <c r="Q2078" s="8"/>
      <c r="R2078" s="8"/>
    </row>
    <row r="2079">
      <c r="A2079" s="8" t="s">
        <v>2550</v>
      </c>
      <c r="B2079" s="8" t="s">
        <v>12964</v>
      </c>
      <c r="C2079" s="8" t="s">
        <v>12965</v>
      </c>
      <c r="D2079" s="9">
        <v>9.823044007E9</v>
      </c>
      <c r="E2079" s="8" t="s">
        <v>12966</v>
      </c>
      <c r="F2079" s="8" t="s">
        <v>3653</v>
      </c>
      <c r="G2079" s="8" t="s">
        <v>12967</v>
      </c>
      <c r="H2079" s="8" t="s">
        <v>3479</v>
      </c>
      <c r="I2079" s="9">
        <v>0.0</v>
      </c>
      <c r="J2079" s="9">
        <v>1897.0</v>
      </c>
      <c r="K2079" s="9">
        <v>1897.0</v>
      </c>
      <c r="L2079" s="9">
        <v>1897.0</v>
      </c>
      <c r="M2079" s="9">
        <v>324.0</v>
      </c>
      <c r="N2079" s="9">
        <v>849.0</v>
      </c>
      <c r="O2079" s="9">
        <v>724.0</v>
      </c>
      <c r="P2079" s="8" t="s">
        <v>3480</v>
      </c>
      <c r="Q2079" s="8"/>
      <c r="R2079" s="8"/>
    </row>
    <row r="2080">
      <c r="A2080" s="8" t="s">
        <v>2168</v>
      </c>
      <c r="B2080" s="8" t="s">
        <v>12968</v>
      </c>
      <c r="C2080" s="8" t="s">
        <v>8664</v>
      </c>
      <c r="D2080" s="9">
        <v>9.588623757E9</v>
      </c>
      <c r="E2080" s="8" t="s">
        <v>8665</v>
      </c>
      <c r="F2080" s="8" t="s">
        <v>3908</v>
      </c>
      <c r="G2080" s="8" t="s">
        <v>12969</v>
      </c>
      <c r="H2080" s="8" t="s">
        <v>3479</v>
      </c>
      <c r="I2080" s="9">
        <v>0.0</v>
      </c>
      <c r="J2080" s="9">
        <v>5358.0</v>
      </c>
      <c r="K2080" s="9">
        <v>5358.0</v>
      </c>
      <c r="L2080" s="9">
        <v>5358.0</v>
      </c>
      <c r="M2080" s="9">
        <v>2995.0</v>
      </c>
      <c r="N2080" s="9">
        <v>914.0</v>
      </c>
      <c r="O2080" s="9">
        <v>1449.0</v>
      </c>
      <c r="P2080" s="8" t="s">
        <v>3480</v>
      </c>
      <c r="Q2080" s="8" t="s">
        <v>8667</v>
      </c>
      <c r="R2080" s="8" t="s">
        <v>8668</v>
      </c>
    </row>
    <row r="2081">
      <c r="A2081" s="8" t="s">
        <v>2169</v>
      </c>
      <c r="B2081" s="8" t="s">
        <v>12970</v>
      </c>
      <c r="C2081" s="8" t="s">
        <v>7259</v>
      </c>
      <c r="D2081" s="9">
        <v>9.421450166E9</v>
      </c>
      <c r="E2081" s="8" t="s">
        <v>12971</v>
      </c>
      <c r="F2081" s="8" t="s">
        <v>3721</v>
      </c>
      <c r="G2081" s="8" t="s">
        <v>10695</v>
      </c>
      <c r="H2081" s="8" t="s">
        <v>3479</v>
      </c>
      <c r="I2081" s="9">
        <v>0.0</v>
      </c>
      <c r="J2081" s="9">
        <v>1568.0</v>
      </c>
      <c r="K2081" s="9">
        <v>1568.0</v>
      </c>
      <c r="L2081" s="9">
        <v>1568.0</v>
      </c>
      <c r="M2081" s="9">
        <v>1393.0</v>
      </c>
      <c r="N2081" s="9">
        <v>0.0</v>
      </c>
      <c r="O2081" s="9">
        <v>175.0</v>
      </c>
      <c r="P2081" s="8" t="s">
        <v>3480</v>
      </c>
      <c r="Q2081" s="8"/>
      <c r="R2081" s="8"/>
    </row>
    <row r="2082">
      <c r="A2082" s="8" t="s">
        <v>2170</v>
      </c>
      <c r="B2082" s="8" t="s">
        <v>12972</v>
      </c>
      <c r="C2082" s="8" t="s">
        <v>11419</v>
      </c>
      <c r="D2082" s="9">
        <v>9.144661472E9</v>
      </c>
      <c r="E2082" s="8" t="s">
        <v>11420</v>
      </c>
      <c r="F2082" s="8" t="s">
        <v>4059</v>
      </c>
      <c r="G2082" s="8" t="s">
        <v>12973</v>
      </c>
      <c r="H2082" s="8" t="s">
        <v>3479</v>
      </c>
      <c r="I2082" s="9">
        <v>0.0</v>
      </c>
      <c r="J2082" s="9">
        <v>1450.0</v>
      </c>
      <c r="K2082" s="9">
        <v>1450.0</v>
      </c>
      <c r="L2082" s="9">
        <v>1450.0</v>
      </c>
      <c r="M2082" s="9">
        <v>1450.0</v>
      </c>
      <c r="N2082" s="9">
        <v>0.0</v>
      </c>
      <c r="O2082" s="9">
        <v>0.0</v>
      </c>
      <c r="P2082" s="8" t="s">
        <v>3480</v>
      </c>
      <c r="Q2082" s="8"/>
      <c r="R2082" s="8"/>
    </row>
    <row r="2083">
      <c r="A2083" s="8" t="s">
        <v>2506</v>
      </c>
      <c r="B2083" s="8" t="s">
        <v>12974</v>
      </c>
      <c r="C2083" s="8" t="s">
        <v>12435</v>
      </c>
      <c r="D2083" s="9">
        <v>7.51758387E9</v>
      </c>
      <c r="E2083" s="8" t="s">
        <v>12436</v>
      </c>
      <c r="F2083" s="8" t="s">
        <v>3523</v>
      </c>
      <c r="G2083" s="8" t="s">
        <v>12975</v>
      </c>
      <c r="H2083" s="8" t="s">
        <v>3479</v>
      </c>
      <c r="I2083" s="9">
        <v>0.0</v>
      </c>
      <c r="J2083" s="9">
        <v>2650.0</v>
      </c>
      <c r="K2083" s="9">
        <v>2650.0</v>
      </c>
      <c r="L2083" s="9">
        <v>2650.0</v>
      </c>
      <c r="M2083" s="9">
        <v>2650.0</v>
      </c>
      <c r="N2083" s="9">
        <v>0.0</v>
      </c>
      <c r="O2083" s="9">
        <v>0.0</v>
      </c>
      <c r="P2083" s="8" t="s">
        <v>3519</v>
      </c>
      <c r="Q2083" s="8" t="s">
        <v>4381</v>
      </c>
      <c r="R2083" s="8" t="s">
        <v>12438</v>
      </c>
    </row>
    <row r="2084">
      <c r="A2084" s="8" t="s">
        <v>2507</v>
      </c>
      <c r="B2084" s="8" t="s">
        <v>12976</v>
      </c>
      <c r="C2084" s="8" t="s">
        <v>12977</v>
      </c>
      <c r="D2084" s="9">
        <v>7.387074808E9</v>
      </c>
      <c r="E2084" s="8" t="s">
        <v>12978</v>
      </c>
      <c r="F2084" s="8" t="s">
        <v>3589</v>
      </c>
      <c r="G2084" s="8" t="s">
        <v>12979</v>
      </c>
      <c r="H2084" s="8" t="s">
        <v>3479</v>
      </c>
      <c r="I2084" s="9">
        <v>0.0</v>
      </c>
      <c r="J2084" s="9">
        <v>2117.0</v>
      </c>
      <c r="K2084" s="9">
        <v>2117.0</v>
      </c>
      <c r="L2084" s="9">
        <v>2117.0</v>
      </c>
      <c r="M2084" s="9">
        <v>863.0</v>
      </c>
      <c r="N2084" s="9">
        <v>730.0</v>
      </c>
      <c r="O2084" s="9">
        <v>524.0</v>
      </c>
      <c r="P2084" s="8" t="s">
        <v>3480</v>
      </c>
      <c r="Q2084" s="8" t="s">
        <v>12980</v>
      </c>
      <c r="R2084" s="8"/>
    </row>
    <row r="2085">
      <c r="A2085" s="8" t="s">
        <v>2508</v>
      </c>
      <c r="B2085" s="8" t="s">
        <v>12981</v>
      </c>
      <c r="C2085" s="8" t="s">
        <v>12982</v>
      </c>
      <c r="D2085" s="9">
        <v>9.890605307E9</v>
      </c>
      <c r="E2085" s="8" t="s">
        <v>12983</v>
      </c>
      <c r="F2085" s="8" t="s">
        <v>3934</v>
      </c>
      <c r="G2085" s="8" t="s">
        <v>12984</v>
      </c>
      <c r="H2085" s="8" t="s">
        <v>3479</v>
      </c>
      <c r="I2085" s="9">
        <v>0.0</v>
      </c>
      <c r="J2085" s="9">
        <v>1489.0</v>
      </c>
      <c r="K2085" s="9">
        <v>1489.0</v>
      </c>
      <c r="L2085" s="9">
        <v>1489.0</v>
      </c>
      <c r="M2085" s="9">
        <v>310.0</v>
      </c>
      <c r="N2085" s="9">
        <v>730.0</v>
      </c>
      <c r="O2085" s="9">
        <v>449.0</v>
      </c>
      <c r="P2085" s="8" t="s">
        <v>3480</v>
      </c>
      <c r="Q2085" s="8" t="s">
        <v>12985</v>
      </c>
      <c r="R2085" s="8" t="s">
        <v>12986</v>
      </c>
    </row>
    <row r="2086">
      <c r="A2086" s="8" t="s">
        <v>2510</v>
      </c>
      <c r="B2086" s="8" t="s">
        <v>12987</v>
      </c>
      <c r="C2086" s="8" t="s">
        <v>11859</v>
      </c>
      <c r="D2086" s="9">
        <v>8.484869E9</v>
      </c>
      <c r="E2086" s="8" t="s">
        <v>12988</v>
      </c>
      <c r="F2086" s="8" t="s">
        <v>3594</v>
      </c>
      <c r="G2086" s="8" t="s">
        <v>5003</v>
      </c>
      <c r="H2086" s="8" t="s">
        <v>3479</v>
      </c>
      <c r="I2086" s="9">
        <v>0.0</v>
      </c>
      <c r="J2086" s="9">
        <v>2560.0</v>
      </c>
      <c r="K2086" s="9">
        <v>2560.0</v>
      </c>
      <c r="L2086" s="9">
        <v>2560.0</v>
      </c>
      <c r="M2086" s="9">
        <v>1306.0</v>
      </c>
      <c r="N2086" s="9">
        <v>730.0</v>
      </c>
      <c r="O2086" s="9">
        <v>524.0</v>
      </c>
      <c r="P2086" s="8" t="s">
        <v>3480</v>
      </c>
      <c r="Q2086" s="8"/>
      <c r="R2086" s="8"/>
    </row>
    <row r="2087">
      <c r="A2087" s="8" t="s">
        <v>1990</v>
      </c>
      <c r="B2087" s="8" t="s">
        <v>12989</v>
      </c>
      <c r="C2087" s="8" t="s">
        <v>12990</v>
      </c>
      <c r="D2087" s="9">
        <v>8.975053543E9</v>
      </c>
      <c r="E2087" s="8" t="s">
        <v>12991</v>
      </c>
      <c r="F2087" s="8" t="s">
        <v>3653</v>
      </c>
      <c r="G2087" s="8" t="s">
        <v>12992</v>
      </c>
      <c r="H2087" s="8" t="s">
        <v>3479</v>
      </c>
      <c r="I2087" s="9">
        <v>0.0</v>
      </c>
      <c r="J2087" s="9">
        <v>1843.0</v>
      </c>
      <c r="K2087" s="9">
        <v>1843.0</v>
      </c>
      <c r="L2087" s="9">
        <v>1843.0</v>
      </c>
      <c r="M2087" s="9">
        <v>620.0</v>
      </c>
      <c r="N2087" s="9">
        <v>774.0</v>
      </c>
      <c r="O2087" s="9">
        <v>449.0</v>
      </c>
      <c r="P2087" s="8" t="s">
        <v>3480</v>
      </c>
      <c r="Q2087" s="8"/>
      <c r="R2087" s="8"/>
    </row>
    <row r="2088">
      <c r="A2088" s="8" t="s">
        <v>1994</v>
      </c>
      <c r="B2088" s="8" t="s">
        <v>12993</v>
      </c>
      <c r="C2088" s="8" t="s">
        <v>3496</v>
      </c>
      <c r="D2088" s="9">
        <v>9.2251278E9</v>
      </c>
      <c r="E2088" s="8" t="s">
        <v>12994</v>
      </c>
      <c r="F2088" s="8" t="s">
        <v>3594</v>
      </c>
      <c r="G2088" s="8" t="s">
        <v>12995</v>
      </c>
      <c r="H2088" s="8" t="s">
        <v>3479</v>
      </c>
      <c r="I2088" s="9">
        <v>0.0</v>
      </c>
      <c r="J2088" s="9">
        <v>1764.0</v>
      </c>
      <c r="K2088" s="9">
        <v>1764.0</v>
      </c>
      <c r="L2088" s="9">
        <v>1764.0</v>
      </c>
      <c r="M2088" s="9">
        <v>430.0</v>
      </c>
      <c r="N2088" s="9">
        <v>730.0</v>
      </c>
      <c r="O2088" s="9">
        <v>604.0</v>
      </c>
      <c r="P2088" s="8" t="s">
        <v>3480</v>
      </c>
      <c r="Q2088" s="8" t="s">
        <v>12996</v>
      </c>
      <c r="R2088" s="8" t="s">
        <v>12997</v>
      </c>
    </row>
    <row r="2089">
      <c r="A2089" s="8" t="s">
        <v>1815</v>
      </c>
      <c r="B2089" s="8" t="s">
        <v>12998</v>
      </c>
      <c r="C2089" s="8" t="s">
        <v>12999</v>
      </c>
      <c r="D2089" s="9">
        <v>8.669082369E9</v>
      </c>
      <c r="E2089" s="8" t="s">
        <v>13000</v>
      </c>
      <c r="F2089" s="8" t="s">
        <v>3486</v>
      </c>
      <c r="G2089" s="8" t="s">
        <v>13001</v>
      </c>
      <c r="H2089" s="8" t="s">
        <v>3479</v>
      </c>
      <c r="I2089" s="9">
        <v>0.0</v>
      </c>
      <c r="J2089" s="9">
        <v>2105.0</v>
      </c>
      <c r="K2089" s="9">
        <v>2105.0</v>
      </c>
      <c r="L2089" s="9">
        <v>2105.0</v>
      </c>
      <c r="M2089" s="9">
        <v>751.0</v>
      </c>
      <c r="N2089" s="9">
        <v>730.0</v>
      </c>
      <c r="O2089" s="9">
        <v>624.0</v>
      </c>
      <c r="P2089" s="8" t="s">
        <v>3480</v>
      </c>
      <c r="Q2089" s="8"/>
      <c r="R2089" s="8"/>
    </row>
    <row r="2090">
      <c r="A2090" s="8" t="s">
        <v>2167</v>
      </c>
      <c r="B2090" s="8" t="s">
        <v>13002</v>
      </c>
      <c r="C2090" s="8" t="s">
        <v>13003</v>
      </c>
      <c r="D2090" s="9">
        <v>9.595353296E9</v>
      </c>
      <c r="E2090" s="8" t="s">
        <v>13004</v>
      </c>
      <c r="F2090" s="8" t="s">
        <v>3869</v>
      </c>
      <c r="G2090" s="8" t="s">
        <v>13005</v>
      </c>
      <c r="H2090" s="8" t="s">
        <v>3479</v>
      </c>
      <c r="I2090" s="9">
        <v>0.0</v>
      </c>
      <c r="J2090" s="9">
        <v>1738.0</v>
      </c>
      <c r="K2090" s="9">
        <v>1738.0</v>
      </c>
      <c r="L2090" s="9">
        <v>1738.0</v>
      </c>
      <c r="M2090" s="9">
        <v>584.0</v>
      </c>
      <c r="N2090" s="9">
        <v>0.0</v>
      </c>
      <c r="O2090" s="9">
        <v>1154.0</v>
      </c>
      <c r="P2090" s="8" t="s">
        <v>3480</v>
      </c>
      <c r="Q2090" s="8"/>
      <c r="R2090" s="8"/>
    </row>
    <row r="2091">
      <c r="A2091" s="8" t="s">
        <v>2171</v>
      </c>
      <c r="B2091" s="8" t="s">
        <v>13006</v>
      </c>
      <c r="C2091" s="8" t="s">
        <v>13007</v>
      </c>
      <c r="D2091" s="9">
        <v>8.550944566E9</v>
      </c>
      <c r="E2091" s="8" t="s">
        <v>13008</v>
      </c>
      <c r="F2091" s="8" t="s">
        <v>3757</v>
      </c>
      <c r="G2091" s="8" t="s">
        <v>13009</v>
      </c>
      <c r="H2091" s="8" t="s">
        <v>3479</v>
      </c>
      <c r="I2091" s="9">
        <v>0.0</v>
      </c>
      <c r="J2091" s="9">
        <v>2407.0</v>
      </c>
      <c r="K2091" s="9">
        <v>2407.0</v>
      </c>
      <c r="L2091" s="9">
        <v>2407.0</v>
      </c>
      <c r="M2091" s="9">
        <v>160.0</v>
      </c>
      <c r="N2091" s="9">
        <v>1468.0</v>
      </c>
      <c r="O2091" s="9">
        <v>779.0</v>
      </c>
      <c r="P2091" s="8" t="s">
        <v>3480</v>
      </c>
      <c r="Q2091" s="8"/>
      <c r="R2091" s="8"/>
    </row>
    <row r="2092">
      <c r="A2092" s="8" t="s">
        <v>2172</v>
      </c>
      <c r="B2092" s="8" t="s">
        <v>13010</v>
      </c>
      <c r="C2092" s="8" t="s">
        <v>13011</v>
      </c>
      <c r="D2092" s="9">
        <v>8.668670715E9</v>
      </c>
      <c r="E2092" s="8" t="s">
        <v>13012</v>
      </c>
      <c r="F2092" s="8" t="s">
        <v>13013</v>
      </c>
      <c r="G2092" s="8" t="s">
        <v>13014</v>
      </c>
      <c r="H2092" s="8" t="s">
        <v>3479</v>
      </c>
      <c r="I2092" s="9">
        <v>0.0</v>
      </c>
      <c r="J2092" s="9">
        <v>2911.0</v>
      </c>
      <c r="K2092" s="9">
        <v>2911.0</v>
      </c>
      <c r="L2092" s="9">
        <v>2911.0</v>
      </c>
      <c r="M2092" s="9">
        <v>1697.0</v>
      </c>
      <c r="N2092" s="9">
        <v>190.0</v>
      </c>
      <c r="O2092" s="9">
        <v>1024.0</v>
      </c>
      <c r="P2092" s="8" t="s">
        <v>3480</v>
      </c>
      <c r="Q2092" s="8"/>
      <c r="R2092" s="8"/>
    </row>
    <row r="2093">
      <c r="A2093" s="8" t="s">
        <v>2616</v>
      </c>
      <c r="B2093" s="8" t="s">
        <v>13015</v>
      </c>
      <c r="C2093" s="8" t="s">
        <v>3813</v>
      </c>
      <c r="D2093" s="9">
        <v>9.595777496E9</v>
      </c>
      <c r="E2093" s="8" t="s">
        <v>3814</v>
      </c>
      <c r="F2093" s="8" t="s">
        <v>3815</v>
      </c>
      <c r="G2093" s="8" t="s">
        <v>13016</v>
      </c>
      <c r="H2093" s="8" t="s">
        <v>3479</v>
      </c>
      <c r="I2093" s="9">
        <v>0.0</v>
      </c>
      <c r="J2093" s="9">
        <v>2450.0</v>
      </c>
      <c r="K2093" s="9">
        <v>2450.0</v>
      </c>
      <c r="L2093" s="9">
        <v>2450.0</v>
      </c>
      <c r="M2093" s="9">
        <v>0.0</v>
      </c>
      <c r="N2093" s="9">
        <v>2450.0</v>
      </c>
      <c r="O2093" s="9">
        <v>0.0</v>
      </c>
      <c r="P2093" s="8" t="s">
        <v>3480</v>
      </c>
      <c r="Q2093" s="8" t="s">
        <v>3817</v>
      </c>
      <c r="R2093" s="8"/>
    </row>
    <row r="2094">
      <c r="A2094" s="8" t="s">
        <v>2617</v>
      </c>
      <c r="B2094" s="8" t="s">
        <v>13017</v>
      </c>
      <c r="C2094" s="8" t="s">
        <v>7259</v>
      </c>
      <c r="D2094" s="9">
        <v>7.79639047E9</v>
      </c>
      <c r="E2094" s="8" t="s">
        <v>7260</v>
      </c>
      <c r="F2094" s="8" t="s">
        <v>3550</v>
      </c>
      <c r="G2094" s="8" t="s">
        <v>13018</v>
      </c>
      <c r="H2094" s="8" t="s">
        <v>13019</v>
      </c>
      <c r="I2094" s="9">
        <v>0.0</v>
      </c>
      <c r="J2094" s="9">
        <v>3500.0</v>
      </c>
      <c r="K2094" s="9">
        <v>3628.0</v>
      </c>
      <c r="L2094" s="9">
        <v>3500.0</v>
      </c>
      <c r="M2094" s="9">
        <v>3153.0</v>
      </c>
      <c r="N2094" s="9">
        <v>0.0</v>
      </c>
      <c r="O2094" s="9">
        <v>475.0</v>
      </c>
      <c r="P2094" s="8" t="s">
        <v>3480</v>
      </c>
      <c r="Q2094" s="8"/>
      <c r="R2094" s="8"/>
    </row>
    <row r="2095">
      <c r="A2095" s="8" t="s">
        <v>2551</v>
      </c>
      <c r="B2095" s="8" t="s">
        <v>13020</v>
      </c>
      <c r="C2095" s="8" t="s">
        <v>13021</v>
      </c>
      <c r="D2095" s="9">
        <v>9.88112423E9</v>
      </c>
      <c r="E2095" s="8" t="s">
        <v>13022</v>
      </c>
      <c r="F2095" s="8" t="s">
        <v>5421</v>
      </c>
      <c r="G2095" s="8" t="s">
        <v>13023</v>
      </c>
      <c r="H2095" s="8" t="s">
        <v>3479</v>
      </c>
      <c r="I2095" s="9">
        <v>0.0</v>
      </c>
      <c r="J2095" s="9">
        <v>1517.0</v>
      </c>
      <c r="K2095" s="9">
        <v>1517.0</v>
      </c>
      <c r="L2095" s="9">
        <v>1517.0</v>
      </c>
      <c r="M2095" s="9">
        <v>338.0</v>
      </c>
      <c r="N2095" s="9">
        <v>730.0</v>
      </c>
      <c r="O2095" s="9">
        <v>449.0</v>
      </c>
      <c r="P2095" s="8" t="s">
        <v>3480</v>
      </c>
      <c r="Q2095" s="8" t="s">
        <v>13024</v>
      </c>
      <c r="R2095" s="8" t="s">
        <v>13025</v>
      </c>
    </row>
    <row r="2096">
      <c r="A2096" s="8" t="s">
        <v>2634</v>
      </c>
      <c r="B2096" s="8" t="s">
        <v>13026</v>
      </c>
      <c r="C2096" s="8" t="s">
        <v>13027</v>
      </c>
      <c r="D2096" s="9">
        <v>8.888886858E9</v>
      </c>
      <c r="E2096" s="8" t="s">
        <v>13028</v>
      </c>
      <c r="F2096" s="8" t="s">
        <v>4333</v>
      </c>
      <c r="G2096" s="8" t="s">
        <v>4036</v>
      </c>
      <c r="H2096" s="8" t="s">
        <v>3479</v>
      </c>
      <c r="I2096" s="9">
        <v>0.0</v>
      </c>
      <c r="J2096" s="9">
        <v>1650.0</v>
      </c>
      <c r="K2096" s="9">
        <v>1650.0</v>
      </c>
      <c r="L2096" s="9">
        <v>1650.0</v>
      </c>
      <c r="M2096" s="9">
        <v>1585.0</v>
      </c>
      <c r="N2096" s="9">
        <v>65.0</v>
      </c>
      <c r="O2096" s="9">
        <v>0.0</v>
      </c>
      <c r="P2096" s="8" t="s">
        <v>3480</v>
      </c>
      <c r="Q2096" s="8" t="s">
        <v>13029</v>
      </c>
      <c r="R2096" s="8" t="s">
        <v>13030</v>
      </c>
    </row>
    <row r="2097">
      <c r="A2097" s="8" t="s">
        <v>2509</v>
      </c>
      <c r="B2097" s="8" t="s">
        <v>13031</v>
      </c>
      <c r="C2097" s="8" t="s">
        <v>13032</v>
      </c>
      <c r="D2097" s="9">
        <v>9.145417509E9</v>
      </c>
      <c r="E2097" s="8" t="s">
        <v>13033</v>
      </c>
      <c r="F2097" s="8" t="s">
        <v>3589</v>
      </c>
      <c r="G2097" s="8" t="s">
        <v>13034</v>
      </c>
      <c r="H2097" s="8" t="s">
        <v>3479</v>
      </c>
      <c r="I2097" s="9">
        <v>0.0</v>
      </c>
      <c r="J2097" s="9">
        <v>1150.0</v>
      </c>
      <c r="K2097" s="9">
        <v>1150.0</v>
      </c>
      <c r="L2097" s="9">
        <v>1150.0</v>
      </c>
      <c r="M2097" s="9">
        <v>1150.0</v>
      </c>
      <c r="N2097" s="9">
        <v>0.0</v>
      </c>
      <c r="O2097" s="9">
        <v>0.0</v>
      </c>
      <c r="P2097" s="8" t="s">
        <v>3480</v>
      </c>
      <c r="Q2097" s="8"/>
      <c r="R2097" s="8"/>
    </row>
    <row r="2098">
      <c r="A2098" s="8" t="s">
        <v>1989</v>
      </c>
      <c r="B2098" s="8" t="s">
        <v>13035</v>
      </c>
      <c r="C2098" s="8" t="s">
        <v>9091</v>
      </c>
      <c r="D2098" s="9">
        <v>7.741931293E9</v>
      </c>
      <c r="E2098" s="8" t="s">
        <v>9092</v>
      </c>
      <c r="F2098" s="8" t="s">
        <v>3615</v>
      </c>
      <c r="G2098" s="8" t="s">
        <v>13036</v>
      </c>
      <c r="H2098" s="8" t="s">
        <v>3479</v>
      </c>
      <c r="I2098" s="9">
        <v>0.0</v>
      </c>
      <c r="J2098" s="9">
        <v>3152.0</v>
      </c>
      <c r="K2098" s="9">
        <v>3152.0</v>
      </c>
      <c r="L2098" s="9">
        <v>3152.0</v>
      </c>
      <c r="M2098" s="9">
        <v>1929.0</v>
      </c>
      <c r="N2098" s="9">
        <v>774.0</v>
      </c>
      <c r="O2098" s="9">
        <v>449.0</v>
      </c>
      <c r="P2098" s="8" t="s">
        <v>3480</v>
      </c>
      <c r="Q2098" s="8"/>
      <c r="R2098" s="8"/>
    </row>
    <row r="2099">
      <c r="A2099" s="8" t="s">
        <v>2618</v>
      </c>
      <c r="B2099" s="8" t="s">
        <v>13037</v>
      </c>
      <c r="C2099" s="8" t="s">
        <v>8776</v>
      </c>
      <c r="D2099" s="9">
        <v>9.773790675E9</v>
      </c>
      <c r="E2099" s="8" t="s">
        <v>8777</v>
      </c>
      <c r="F2099" s="8" t="s">
        <v>3608</v>
      </c>
      <c r="G2099" s="8" t="s">
        <v>13038</v>
      </c>
      <c r="H2099" s="8" t="s">
        <v>3479</v>
      </c>
      <c r="I2099" s="9">
        <v>0.0</v>
      </c>
      <c r="J2099" s="9">
        <v>2862.0</v>
      </c>
      <c r="K2099" s="9">
        <v>2862.0</v>
      </c>
      <c r="L2099" s="9">
        <v>2862.0</v>
      </c>
      <c r="M2099" s="9">
        <v>1683.0</v>
      </c>
      <c r="N2099" s="9">
        <v>730.0</v>
      </c>
      <c r="O2099" s="9">
        <v>449.0</v>
      </c>
      <c r="P2099" s="8" t="s">
        <v>3480</v>
      </c>
      <c r="Q2099" s="8"/>
      <c r="R2099" s="8"/>
    </row>
    <row r="2100">
      <c r="A2100" s="8" t="s">
        <v>2651</v>
      </c>
      <c r="B2100" s="8" t="s">
        <v>13039</v>
      </c>
      <c r="C2100" s="8" t="s">
        <v>13040</v>
      </c>
      <c r="D2100" s="9">
        <v>9.604207619E9</v>
      </c>
      <c r="E2100" s="8" t="s">
        <v>13041</v>
      </c>
      <c r="F2100" s="8" t="s">
        <v>4792</v>
      </c>
      <c r="G2100" s="8" t="s">
        <v>13042</v>
      </c>
      <c r="H2100" s="8" t="s">
        <v>3479</v>
      </c>
      <c r="I2100" s="9">
        <v>0.0</v>
      </c>
      <c r="J2100" s="9">
        <v>1313.0</v>
      </c>
      <c r="K2100" s="9">
        <v>1313.0</v>
      </c>
      <c r="L2100" s="9">
        <v>1313.0</v>
      </c>
      <c r="M2100" s="9">
        <v>80.0</v>
      </c>
      <c r="N2100" s="9">
        <v>784.0</v>
      </c>
      <c r="O2100" s="9">
        <v>449.0</v>
      </c>
      <c r="P2100" s="8" t="s">
        <v>3480</v>
      </c>
      <c r="Q2100" s="8" t="s">
        <v>13043</v>
      </c>
      <c r="R2100" s="8" t="s">
        <v>13044</v>
      </c>
    </row>
    <row r="2101">
      <c r="A2101" s="8" t="s">
        <v>2619</v>
      </c>
      <c r="B2101" s="8" t="s">
        <v>13045</v>
      </c>
      <c r="C2101" s="8" t="s">
        <v>13046</v>
      </c>
      <c r="D2101" s="9">
        <v>9.860034553E9</v>
      </c>
      <c r="E2101" s="8" t="s">
        <v>13047</v>
      </c>
      <c r="F2101" s="8" t="s">
        <v>3523</v>
      </c>
      <c r="G2101" s="8" t="s">
        <v>13048</v>
      </c>
      <c r="H2101" s="8" t="s">
        <v>3479</v>
      </c>
      <c r="I2101" s="9">
        <v>0.0</v>
      </c>
      <c r="J2101" s="9">
        <v>149.0</v>
      </c>
      <c r="K2101" s="9">
        <v>3999.0</v>
      </c>
      <c r="L2101" s="9">
        <v>3999.0</v>
      </c>
      <c r="M2101" s="9">
        <v>2820.0</v>
      </c>
      <c r="N2101" s="9">
        <v>730.0</v>
      </c>
      <c r="O2101" s="9">
        <v>449.0</v>
      </c>
      <c r="P2101" s="8" t="s">
        <v>3480</v>
      </c>
      <c r="Q2101" s="8" t="s">
        <v>13049</v>
      </c>
      <c r="R2101" s="8" t="s">
        <v>13050</v>
      </c>
    </row>
    <row r="2102">
      <c r="A2102" s="8" t="s">
        <v>2620</v>
      </c>
      <c r="B2102" s="8" t="s">
        <v>13051</v>
      </c>
      <c r="C2102" s="8" t="s">
        <v>3626</v>
      </c>
      <c r="D2102" s="9">
        <v>8.237668546E9</v>
      </c>
      <c r="E2102" s="8" t="s">
        <v>3627</v>
      </c>
      <c r="F2102" s="8" t="s">
        <v>3628</v>
      </c>
      <c r="G2102" s="8" t="s">
        <v>13052</v>
      </c>
      <c r="H2102" s="8" t="s">
        <v>3479</v>
      </c>
      <c r="I2102" s="9">
        <v>0.0</v>
      </c>
      <c r="J2102" s="9">
        <v>1870.0</v>
      </c>
      <c r="K2102" s="9">
        <v>1870.0</v>
      </c>
      <c r="L2102" s="9">
        <v>1870.0</v>
      </c>
      <c r="M2102" s="9">
        <v>460.0</v>
      </c>
      <c r="N2102" s="9">
        <v>336.0</v>
      </c>
      <c r="O2102" s="9">
        <v>1074.0</v>
      </c>
      <c r="P2102" s="8" t="s">
        <v>3480</v>
      </c>
      <c r="Q2102" s="8"/>
      <c r="R2102" s="8" t="s">
        <v>3630</v>
      </c>
    </row>
    <row r="2103">
      <c r="A2103" s="8" t="s">
        <v>2621</v>
      </c>
      <c r="B2103" s="8" t="s">
        <v>13053</v>
      </c>
      <c r="C2103" s="8" t="s">
        <v>13054</v>
      </c>
      <c r="D2103" s="9">
        <v>9.922661023E9</v>
      </c>
      <c r="E2103" s="8" t="s">
        <v>13055</v>
      </c>
      <c r="F2103" s="8" t="s">
        <v>4758</v>
      </c>
      <c r="G2103" s="8" t="s">
        <v>13056</v>
      </c>
      <c r="H2103" s="8" t="s">
        <v>3479</v>
      </c>
      <c r="I2103" s="9">
        <v>0.0</v>
      </c>
      <c r="J2103" s="9">
        <v>3602.0</v>
      </c>
      <c r="K2103" s="9">
        <v>3602.0</v>
      </c>
      <c r="L2103" s="9">
        <v>3602.0</v>
      </c>
      <c r="M2103" s="9">
        <v>2653.0</v>
      </c>
      <c r="N2103" s="9">
        <v>0.0</v>
      </c>
      <c r="O2103" s="9">
        <v>949.0</v>
      </c>
      <c r="P2103" s="8" t="s">
        <v>3519</v>
      </c>
      <c r="Q2103" s="8"/>
      <c r="R2103" s="8"/>
    </row>
    <row r="2104">
      <c r="A2104" s="8" t="s">
        <v>1991</v>
      </c>
      <c r="B2104" s="8" t="s">
        <v>13057</v>
      </c>
      <c r="C2104" s="8" t="s">
        <v>3998</v>
      </c>
      <c r="D2104" s="9">
        <v>9.545988544E9</v>
      </c>
      <c r="E2104" s="8" t="s">
        <v>13058</v>
      </c>
      <c r="F2104" s="8" t="s">
        <v>3608</v>
      </c>
      <c r="G2104" s="8" t="s">
        <v>13059</v>
      </c>
      <c r="H2104" s="8" t="s">
        <v>3479</v>
      </c>
      <c r="I2104" s="9">
        <v>0.0</v>
      </c>
      <c r="J2104" s="9">
        <v>860.0</v>
      </c>
      <c r="K2104" s="9">
        <v>860.0</v>
      </c>
      <c r="L2104" s="9">
        <v>860.0</v>
      </c>
      <c r="M2104" s="9">
        <v>280.0</v>
      </c>
      <c r="N2104" s="9">
        <v>540.0</v>
      </c>
      <c r="O2104" s="9">
        <v>40.0</v>
      </c>
      <c r="P2104" s="8" t="s">
        <v>3480</v>
      </c>
      <c r="Q2104" s="8" t="s">
        <v>13060</v>
      </c>
      <c r="R2104" s="8" t="s">
        <v>13061</v>
      </c>
    </row>
    <row r="2105">
      <c r="A2105" s="8" t="s">
        <v>2552</v>
      </c>
      <c r="B2105" s="8" t="s">
        <v>13062</v>
      </c>
      <c r="C2105" s="8" t="s">
        <v>6285</v>
      </c>
      <c r="D2105" s="9">
        <v>9.404254482E9</v>
      </c>
      <c r="E2105" s="8" t="s">
        <v>6286</v>
      </c>
      <c r="F2105" s="8" t="s">
        <v>3908</v>
      </c>
      <c r="G2105" s="8" t="s">
        <v>3494</v>
      </c>
      <c r="H2105" s="8" t="s">
        <v>3479</v>
      </c>
      <c r="I2105" s="9">
        <v>0.0</v>
      </c>
      <c r="J2105" s="9">
        <v>3258.0</v>
      </c>
      <c r="K2105" s="9">
        <v>3258.0</v>
      </c>
      <c r="L2105" s="9">
        <v>3258.0</v>
      </c>
      <c r="M2105" s="9">
        <v>2633.0</v>
      </c>
      <c r="N2105" s="9">
        <v>0.0</v>
      </c>
      <c r="O2105" s="9">
        <v>625.0</v>
      </c>
      <c r="P2105" s="8" t="s">
        <v>3480</v>
      </c>
      <c r="Q2105" s="8" t="s">
        <v>6288</v>
      </c>
      <c r="R2105" s="8" t="s">
        <v>6289</v>
      </c>
    </row>
    <row r="2106">
      <c r="A2106" s="8" t="s">
        <v>2553</v>
      </c>
      <c r="B2106" s="8" t="s">
        <v>13063</v>
      </c>
      <c r="C2106" s="8" t="s">
        <v>13064</v>
      </c>
      <c r="D2106" s="9">
        <v>7.972256029E9</v>
      </c>
      <c r="E2106" s="8" t="s">
        <v>13065</v>
      </c>
      <c r="F2106" s="8" t="s">
        <v>3692</v>
      </c>
      <c r="G2106" s="8" t="s">
        <v>13066</v>
      </c>
      <c r="H2106" s="8" t="s">
        <v>3479</v>
      </c>
      <c r="I2106" s="9">
        <v>0.0</v>
      </c>
      <c r="J2106" s="9">
        <v>6094.0</v>
      </c>
      <c r="K2106" s="9">
        <v>6094.0</v>
      </c>
      <c r="L2106" s="9">
        <v>6094.0</v>
      </c>
      <c r="M2106" s="9">
        <v>4940.0</v>
      </c>
      <c r="N2106" s="9">
        <v>0.0</v>
      </c>
      <c r="O2106" s="9">
        <v>1154.0</v>
      </c>
      <c r="P2106" s="8" t="s">
        <v>3480</v>
      </c>
      <c r="Q2106" s="8"/>
      <c r="R2106" s="8"/>
    </row>
    <row r="2107">
      <c r="A2107" s="8" t="s">
        <v>1992</v>
      </c>
      <c r="B2107" s="8" t="s">
        <v>13067</v>
      </c>
      <c r="C2107" s="8" t="s">
        <v>13068</v>
      </c>
      <c r="D2107" s="9">
        <v>8.308311599E9</v>
      </c>
      <c r="E2107" s="8" t="s">
        <v>13069</v>
      </c>
      <c r="F2107" s="8" t="s">
        <v>4574</v>
      </c>
      <c r="G2107" s="8" t="s">
        <v>13070</v>
      </c>
      <c r="H2107" s="8" t="s">
        <v>3479</v>
      </c>
      <c r="I2107" s="9">
        <v>0.0</v>
      </c>
      <c r="J2107" s="9">
        <v>1724.0</v>
      </c>
      <c r="K2107" s="9">
        <v>1724.0</v>
      </c>
      <c r="L2107" s="9">
        <v>1724.0</v>
      </c>
      <c r="M2107" s="9">
        <v>470.0</v>
      </c>
      <c r="N2107" s="9">
        <v>730.0</v>
      </c>
      <c r="O2107" s="9">
        <v>524.0</v>
      </c>
      <c r="P2107" s="8" t="s">
        <v>3480</v>
      </c>
      <c r="Q2107" s="8" t="s">
        <v>13071</v>
      </c>
      <c r="R2107" s="8"/>
    </row>
    <row r="2108">
      <c r="A2108" s="8" t="s">
        <v>2622</v>
      </c>
      <c r="B2108" s="8" t="s">
        <v>13072</v>
      </c>
      <c r="C2108" s="8" t="s">
        <v>12752</v>
      </c>
      <c r="D2108" s="9">
        <v>9.975043837E9</v>
      </c>
      <c r="E2108" s="8" t="s">
        <v>13073</v>
      </c>
      <c r="F2108" s="8" t="s">
        <v>13074</v>
      </c>
      <c r="G2108" s="8" t="s">
        <v>13075</v>
      </c>
      <c r="H2108" s="8" t="s">
        <v>3479</v>
      </c>
      <c r="I2108" s="9">
        <v>0.0</v>
      </c>
      <c r="J2108" s="9">
        <v>1926.0</v>
      </c>
      <c r="K2108" s="9">
        <v>1926.0</v>
      </c>
      <c r="L2108" s="9">
        <v>1926.0</v>
      </c>
      <c r="M2108" s="9">
        <v>693.0</v>
      </c>
      <c r="N2108" s="9">
        <v>784.0</v>
      </c>
      <c r="O2108" s="9">
        <v>449.0</v>
      </c>
      <c r="P2108" s="8" t="s">
        <v>3480</v>
      </c>
      <c r="Q2108" s="8" t="s">
        <v>13076</v>
      </c>
      <c r="R2108" s="8" t="s">
        <v>13077</v>
      </c>
    </row>
    <row r="2109">
      <c r="A2109" s="8" t="s">
        <v>2652</v>
      </c>
      <c r="B2109" s="8" t="s">
        <v>13078</v>
      </c>
      <c r="C2109" s="8" t="s">
        <v>13079</v>
      </c>
      <c r="D2109" s="9">
        <v>9.591764E9</v>
      </c>
      <c r="E2109" s="8" t="s">
        <v>13080</v>
      </c>
      <c r="F2109" s="8" t="s">
        <v>3498</v>
      </c>
      <c r="G2109" s="8" t="s">
        <v>13081</v>
      </c>
      <c r="H2109" s="8" t="s">
        <v>3479</v>
      </c>
      <c r="I2109" s="9">
        <v>0.0</v>
      </c>
      <c r="J2109" s="9">
        <v>1567.0</v>
      </c>
      <c r="K2109" s="9">
        <v>1567.0</v>
      </c>
      <c r="L2109" s="9">
        <v>1567.0</v>
      </c>
      <c r="M2109" s="9">
        <v>313.0</v>
      </c>
      <c r="N2109" s="9">
        <v>730.0</v>
      </c>
      <c r="O2109" s="9">
        <v>524.0</v>
      </c>
      <c r="P2109" s="8" t="s">
        <v>3480</v>
      </c>
      <c r="Q2109" s="8"/>
      <c r="R2109" s="8"/>
    </row>
    <row r="2110">
      <c r="A2110" s="8" t="s">
        <v>1993</v>
      </c>
      <c r="B2110" s="8" t="s">
        <v>13082</v>
      </c>
      <c r="C2110" s="8" t="s">
        <v>13083</v>
      </c>
      <c r="D2110" s="9">
        <v>9.881100907E9</v>
      </c>
      <c r="E2110" s="8" t="s">
        <v>13084</v>
      </c>
      <c r="F2110" s="8" t="s">
        <v>3908</v>
      </c>
      <c r="G2110" s="8" t="s">
        <v>13085</v>
      </c>
      <c r="H2110" s="8" t="s">
        <v>3479</v>
      </c>
      <c r="I2110" s="9">
        <v>0.0</v>
      </c>
      <c r="J2110" s="9">
        <v>1731.0</v>
      </c>
      <c r="K2110" s="9">
        <v>1731.0</v>
      </c>
      <c r="L2110" s="9">
        <v>1731.0</v>
      </c>
      <c r="M2110" s="9">
        <v>348.0</v>
      </c>
      <c r="N2110" s="9">
        <v>784.0</v>
      </c>
      <c r="O2110" s="9">
        <v>599.0</v>
      </c>
      <c r="P2110" s="8" t="s">
        <v>3480</v>
      </c>
      <c r="Q2110" s="8"/>
      <c r="R2110" s="8"/>
    </row>
    <row r="2111">
      <c r="A2111" s="8" t="s">
        <v>1996</v>
      </c>
      <c r="B2111" s="8" t="s">
        <v>13086</v>
      </c>
      <c r="C2111" s="8" t="s">
        <v>13087</v>
      </c>
      <c r="D2111" s="9">
        <v>7.387025234E9</v>
      </c>
      <c r="E2111" s="8" t="s">
        <v>13088</v>
      </c>
      <c r="F2111" s="8" t="s">
        <v>3721</v>
      </c>
      <c r="G2111" s="8" t="s">
        <v>13089</v>
      </c>
      <c r="H2111" s="8" t="s">
        <v>3479</v>
      </c>
      <c r="I2111" s="9">
        <v>0.0</v>
      </c>
      <c r="J2111" s="9">
        <v>1250.0</v>
      </c>
      <c r="K2111" s="9">
        <v>1250.0</v>
      </c>
      <c r="L2111" s="9">
        <v>1250.0</v>
      </c>
      <c r="M2111" s="9">
        <v>1250.0</v>
      </c>
      <c r="N2111" s="9">
        <v>0.0</v>
      </c>
      <c r="O2111" s="9">
        <v>0.0</v>
      </c>
      <c r="P2111" s="8" t="s">
        <v>3480</v>
      </c>
      <c r="Q2111" s="8"/>
      <c r="R2111" s="8"/>
    </row>
    <row r="2112">
      <c r="A2112" s="8" t="s">
        <v>2653</v>
      </c>
      <c r="B2112" s="8" t="s">
        <v>13090</v>
      </c>
      <c r="C2112" s="8" t="s">
        <v>13091</v>
      </c>
      <c r="D2112" s="9">
        <v>9.76270665E9</v>
      </c>
      <c r="E2112" s="8" t="s">
        <v>13092</v>
      </c>
      <c r="F2112" s="8" t="s">
        <v>4093</v>
      </c>
      <c r="G2112" s="8" t="s">
        <v>13093</v>
      </c>
      <c r="H2112" s="8" t="s">
        <v>3479</v>
      </c>
      <c r="I2112" s="9">
        <v>0.0</v>
      </c>
      <c r="J2112" s="9">
        <v>3173.0</v>
      </c>
      <c r="K2112" s="9">
        <v>3173.0</v>
      </c>
      <c r="L2112" s="9">
        <v>3173.0</v>
      </c>
      <c r="M2112" s="9">
        <v>1980.0</v>
      </c>
      <c r="N2112" s="9">
        <v>594.0</v>
      </c>
      <c r="O2112" s="9">
        <v>599.0</v>
      </c>
      <c r="P2112" s="8" t="s">
        <v>3480</v>
      </c>
      <c r="Q2112" s="8" t="s">
        <v>13094</v>
      </c>
      <c r="R2112" s="8" t="s">
        <v>13095</v>
      </c>
    </row>
    <row r="2113">
      <c r="A2113" s="8" t="s">
        <v>1997</v>
      </c>
      <c r="B2113" s="8" t="s">
        <v>13096</v>
      </c>
      <c r="C2113" s="8" t="s">
        <v>9442</v>
      </c>
      <c r="D2113" s="9">
        <v>8.308974699E9</v>
      </c>
      <c r="E2113" s="8" t="s">
        <v>9443</v>
      </c>
      <c r="F2113" s="8" t="s">
        <v>5831</v>
      </c>
      <c r="G2113" s="8" t="s">
        <v>4036</v>
      </c>
      <c r="H2113" s="8" t="s">
        <v>3479</v>
      </c>
      <c r="I2113" s="9">
        <v>0.0</v>
      </c>
      <c r="J2113" s="9">
        <v>2640.0</v>
      </c>
      <c r="K2113" s="9">
        <v>2640.0</v>
      </c>
      <c r="L2113" s="9">
        <v>2640.0</v>
      </c>
      <c r="M2113" s="9">
        <v>0.0</v>
      </c>
      <c r="N2113" s="9">
        <v>0.0</v>
      </c>
      <c r="O2113" s="9">
        <v>2640.0</v>
      </c>
      <c r="P2113" s="8" t="s">
        <v>3480</v>
      </c>
      <c r="Q2113" s="8"/>
      <c r="R2113" s="8"/>
    </row>
    <row r="2114">
      <c r="A2114" s="8" t="s">
        <v>1998</v>
      </c>
      <c r="B2114" s="8" t="s">
        <v>13097</v>
      </c>
      <c r="C2114" s="8" t="s">
        <v>13098</v>
      </c>
      <c r="D2114" s="9">
        <v>9.029912316E9</v>
      </c>
      <c r="E2114" s="8" t="s">
        <v>13099</v>
      </c>
      <c r="F2114" s="8" t="s">
        <v>5447</v>
      </c>
      <c r="G2114" s="8" t="s">
        <v>13100</v>
      </c>
      <c r="H2114" s="8" t="s">
        <v>3479</v>
      </c>
      <c r="I2114" s="9">
        <v>0.0</v>
      </c>
      <c r="J2114" s="9">
        <v>1850.0</v>
      </c>
      <c r="K2114" s="9">
        <v>1850.0</v>
      </c>
      <c r="L2114" s="9">
        <v>1850.0</v>
      </c>
      <c r="M2114" s="9">
        <v>1850.0</v>
      </c>
      <c r="N2114" s="9">
        <v>0.0</v>
      </c>
      <c r="O2114" s="9">
        <v>0.0</v>
      </c>
      <c r="P2114" s="8" t="s">
        <v>3480</v>
      </c>
      <c r="Q2114" s="8"/>
      <c r="R2114" s="8"/>
    </row>
    <row r="2115">
      <c r="A2115" s="8" t="s">
        <v>1999</v>
      </c>
      <c r="B2115" s="8" t="s">
        <v>13101</v>
      </c>
      <c r="C2115" s="8" t="s">
        <v>6571</v>
      </c>
      <c r="D2115" s="9">
        <v>9.552513135E9</v>
      </c>
      <c r="E2115" s="8" t="s">
        <v>6572</v>
      </c>
      <c r="F2115" s="8" t="s">
        <v>4681</v>
      </c>
      <c r="G2115" s="8" t="s">
        <v>13102</v>
      </c>
      <c r="H2115" s="8" t="s">
        <v>3479</v>
      </c>
      <c r="I2115" s="9">
        <v>0.0</v>
      </c>
      <c r="J2115" s="9">
        <v>834.0</v>
      </c>
      <c r="K2115" s="9">
        <v>834.0</v>
      </c>
      <c r="L2115" s="9">
        <v>834.0</v>
      </c>
      <c r="M2115" s="9">
        <v>85.0</v>
      </c>
      <c r="N2115" s="9">
        <v>0.0</v>
      </c>
      <c r="O2115" s="9">
        <v>749.0</v>
      </c>
      <c r="P2115" s="8" t="s">
        <v>3480</v>
      </c>
      <c r="Q2115" s="8" t="s">
        <v>6574</v>
      </c>
      <c r="R2115" s="8" t="s">
        <v>6575</v>
      </c>
    </row>
    <row r="2116">
      <c r="A2116" s="8" t="s">
        <v>2000</v>
      </c>
      <c r="B2116" s="8" t="s">
        <v>13103</v>
      </c>
      <c r="C2116" s="8" t="s">
        <v>13104</v>
      </c>
      <c r="D2116" s="9">
        <v>9.960193395E9</v>
      </c>
      <c r="E2116" s="8" t="s">
        <v>13105</v>
      </c>
      <c r="F2116" s="8" t="s">
        <v>3509</v>
      </c>
      <c r="G2116" s="8" t="s">
        <v>13106</v>
      </c>
      <c r="H2116" s="8" t="s">
        <v>3479</v>
      </c>
      <c r="I2116" s="9">
        <v>0.0</v>
      </c>
      <c r="J2116" s="9">
        <v>1925.0</v>
      </c>
      <c r="K2116" s="9">
        <v>1925.0</v>
      </c>
      <c r="L2116" s="9">
        <v>1925.0</v>
      </c>
      <c r="M2116" s="9">
        <v>1925.0</v>
      </c>
      <c r="N2116" s="9">
        <v>0.0</v>
      </c>
      <c r="O2116" s="9">
        <v>0.0</v>
      </c>
      <c r="P2116" s="8" t="s">
        <v>3480</v>
      </c>
      <c r="Q2116" s="8"/>
      <c r="R2116" s="8"/>
    </row>
    <row r="2117">
      <c r="A2117" s="8" t="s">
        <v>1995</v>
      </c>
      <c r="B2117" s="8" t="s">
        <v>13107</v>
      </c>
      <c r="C2117" s="8" t="s">
        <v>13108</v>
      </c>
      <c r="D2117" s="9">
        <v>9.923659552E9</v>
      </c>
      <c r="E2117" s="8" t="s">
        <v>13109</v>
      </c>
      <c r="F2117" s="8" t="s">
        <v>3542</v>
      </c>
      <c r="G2117" s="8" t="s">
        <v>13110</v>
      </c>
      <c r="H2117" s="8" t="s">
        <v>3479</v>
      </c>
      <c r="I2117" s="9">
        <v>0.0</v>
      </c>
      <c r="J2117" s="9">
        <v>2524.0</v>
      </c>
      <c r="K2117" s="9">
        <v>2524.0</v>
      </c>
      <c r="L2117" s="9">
        <v>2524.0</v>
      </c>
      <c r="M2117" s="9">
        <v>1270.0</v>
      </c>
      <c r="N2117" s="9">
        <v>730.0</v>
      </c>
      <c r="O2117" s="9">
        <v>524.0</v>
      </c>
      <c r="P2117" s="8" t="s">
        <v>3480</v>
      </c>
      <c r="Q2117" s="8" t="s">
        <v>13111</v>
      </c>
      <c r="R2117" s="8"/>
    </row>
    <row r="2118">
      <c r="A2118" s="8" t="s">
        <v>2623</v>
      </c>
      <c r="B2118" s="8" t="s">
        <v>13112</v>
      </c>
      <c r="C2118" s="8" t="s">
        <v>8291</v>
      </c>
      <c r="D2118" s="9">
        <v>8.237212835E9</v>
      </c>
      <c r="E2118" s="8" t="s">
        <v>8292</v>
      </c>
      <c r="F2118" s="8" t="s">
        <v>3821</v>
      </c>
      <c r="G2118" s="8" t="s">
        <v>13113</v>
      </c>
      <c r="H2118" s="8" t="s">
        <v>13114</v>
      </c>
      <c r="I2118" s="9">
        <v>0.0</v>
      </c>
      <c r="J2118" s="9">
        <v>0.0</v>
      </c>
      <c r="K2118" s="9">
        <v>6911.0</v>
      </c>
      <c r="L2118" s="9">
        <v>6700.0</v>
      </c>
      <c r="M2118" s="9">
        <v>2121.0</v>
      </c>
      <c r="N2118" s="9">
        <v>0.0</v>
      </c>
      <c r="O2118" s="9">
        <v>4790.0</v>
      </c>
      <c r="P2118" s="8" t="s">
        <v>3480</v>
      </c>
      <c r="Q2118" s="8"/>
      <c r="R2118" s="8"/>
    </row>
    <row r="2119">
      <c r="A2119" s="8" t="s">
        <v>2624</v>
      </c>
      <c r="B2119" s="8" t="s">
        <v>13115</v>
      </c>
      <c r="C2119" s="8" t="s">
        <v>6777</v>
      </c>
      <c r="D2119" s="9">
        <v>7.038982545E9</v>
      </c>
      <c r="E2119" s="8" t="s">
        <v>6778</v>
      </c>
      <c r="F2119" s="8" t="s">
        <v>6779</v>
      </c>
      <c r="G2119" s="8" t="s">
        <v>3494</v>
      </c>
      <c r="H2119" s="8" t="s">
        <v>13116</v>
      </c>
      <c r="I2119" s="9">
        <v>0.0</v>
      </c>
      <c r="J2119" s="9">
        <v>1100.0</v>
      </c>
      <c r="K2119" s="9">
        <v>1154.0</v>
      </c>
      <c r="L2119" s="9">
        <v>1100.0</v>
      </c>
      <c r="M2119" s="9">
        <v>0.0</v>
      </c>
      <c r="N2119" s="9">
        <v>504.0</v>
      </c>
      <c r="O2119" s="9">
        <v>650.0</v>
      </c>
      <c r="P2119" s="8" t="s">
        <v>3519</v>
      </c>
      <c r="Q2119" s="8" t="s">
        <v>6780</v>
      </c>
      <c r="R2119" s="8" t="s">
        <v>6781</v>
      </c>
    </row>
    <row r="2120">
      <c r="A2120" s="8" t="s">
        <v>2625</v>
      </c>
      <c r="B2120" s="8" t="s">
        <v>13117</v>
      </c>
      <c r="C2120" s="8" t="s">
        <v>13118</v>
      </c>
      <c r="D2120" s="9">
        <v>9.421048864E9</v>
      </c>
      <c r="E2120" s="8" t="s">
        <v>13119</v>
      </c>
      <c r="F2120" s="8" t="s">
        <v>5613</v>
      </c>
      <c r="G2120" s="8" t="s">
        <v>10943</v>
      </c>
      <c r="H2120" s="8" t="s">
        <v>3479</v>
      </c>
      <c r="I2120" s="9">
        <v>0.0</v>
      </c>
      <c r="J2120" s="9">
        <v>1959.0</v>
      </c>
      <c r="K2120" s="9">
        <v>1959.0</v>
      </c>
      <c r="L2120" s="9">
        <v>1959.0</v>
      </c>
      <c r="M2120" s="9">
        <v>705.0</v>
      </c>
      <c r="N2120" s="9">
        <v>730.0</v>
      </c>
      <c r="O2120" s="9">
        <v>524.0</v>
      </c>
      <c r="P2120" s="8" t="s">
        <v>3480</v>
      </c>
      <c r="Q2120" s="8" t="s">
        <v>13120</v>
      </c>
      <c r="R2120" s="8" t="s">
        <v>13121</v>
      </c>
    </row>
    <row r="2121">
      <c r="A2121" s="8" t="s">
        <v>2626</v>
      </c>
      <c r="B2121" s="8" t="s">
        <v>13122</v>
      </c>
      <c r="C2121" s="8" t="s">
        <v>13123</v>
      </c>
      <c r="D2121" s="9">
        <v>8.857041694E9</v>
      </c>
      <c r="E2121" s="8" t="s">
        <v>13124</v>
      </c>
      <c r="F2121" s="8" t="s">
        <v>3908</v>
      </c>
      <c r="G2121" s="8" t="s">
        <v>13125</v>
      </c>
      <c r="H2121" s="8" t="s">
        <v>3479</v>
      </c>
      <c r="I2121" s="9">
        <v>0.0</v>
      </c>
      <c r="J2121" s="9">
        <v>1518.0</v>
      </c>
      <c r="K2121" s="9">
        <v>1518.0</v>
      </c>
      <c r="L2121" s="9">
        <v>1518.0</v>
      </c>
      <c r="M2121" s="9">
        <v>135.0</v>
      </c>
      <c r="N2121" s="9">
        <v>784.0</v>
      </c>
      <c r="O2121" s="9">
        <v>599.0</v>
      </c>
      <c r="P2121" s="8" t="s">
        <v>3480</v>
      </c>
      <c r="Q2121" s="8"/>
      <c r="R2121" s="8"/>
    </row>
    <row r="2122">
      <c r="A2122" s="8" t="s">
        <v>2629</v>
      </c>
      <c r="B2122" s="8" t="s">
        <v>13126</v>
      </c>
      <c r="C2122" s="8" t="s">
        <v>13127</v>
      </c>
      <c r="D2122" s="9">
        <v>9.850910049E9</v>
      </c>
      <c r="E2122" s="8" t="s">
        <v>13128</v>
      </c>
      <c r="F2122" s="8" t="s">
        <v>11650</v>
      </c>
      <c r="G2122" s="8" t="s">
        <v>13129</v>
      </c>
      <c r="H2122" s="8" t="s">
        <v>3479</v>
      </c>
      <c r="I2122" s="9">
        <v>0.0</v>
      </c>
      <c r="J2122" s="9">
        <v>1049.0</v>
      </c>
      <c r="K2122" s="9">
        <v>1049.0</v>
      </c>
      <c r="L2122" s="9">
        <v>1049.0</v>
      </c>
      <c r="M2122" s="9">
        <v>100.0</v>
      </c>
      <c r="N2122" s="9">
        <v>0.0</v>
      </c>
      <c r="O2122" s="9">
        <v>949.0</v>
      </c>
      <c r="P2122" s="8" t="s">
        <v>3480</v>
      </c>
      <c r="Q2122" s="8" t="s">
        <v>13130</v>
      </c>
      <c r="R2122" s="8"/>
    </row>
    <row r="2123">
      <c r="A2123" s="8" t="s">
        <v>2627</v>
      </c>
      <c r="B2123" s="8" t="s">
        <v>13131</v>
      </c>
      <c r="C2123" s="8" t="s">
        <v>13132</v>
      </c>
      <c r="D2123" s="9">
        <v>8.892548097E9</v>
      </c>
      <c r="E2123" s="8" t="s">
        <v>13133</v>
      </c>
      <c r="F2123" s="8" t="s">
        <v>4558</v>
      </c>
      <c r="G2123" s="8" t="s">
        <v>13134</v>
      </c>
      <c r="H2123" s="8" t="s">
        <v>3479</v>
      </c>
      <c r="I2123" s="9">
        <v>0.0</v>
      </c>
      <c r="J2123" s="9">
        <v>3417.0</v>
      </c>
      <c r="K2123" s="9">
        <v>3417.0</v>
      </c>
      <c r="L2123" s="9">
        <v>3417.0</v>
      </c>
      <c r="M2123" s="9">
        <v>1863.0</v>
      </c>
      <c r="N2123" s="9">
        <v>730.0</v>
      </c>
      <c r="O2123" s="9">
        <v>824.0</v>
      </c>
      <c r="P2123" s="8" t="s">
        <v>3480</v>
      </c>
      <c r="Q2123" s="8"/>
      <c r="R2123" s="8"/>
    </row>
    <row r="2124">
      <c r="A2124" s="8" t="s">
        <v>2628</v>
      </c>
      <c r="B2124" s="8" t="s">
        <v>13135</v>
      </c>
      <c r="C2124" s="8" t="s">
        <v>5539</v>
      </c>
      <c r="D2124" s="9">
        <v>9.404630994E9</v>
      </c>
      <c r="E2124" s="8" t="s">
        <v>5540</v>
      </c>
      <c r="F2124" s="8" t="s">
        <v>5923</v>
      </c>
      <c r="G2124" s="8" t="s">
        <v>13136</v>
      </c>
      <c r="H2124" s="8" t="s">
        <v>3479</v>
      </c>
      <c r="I2124" s="9">
        <v>0.0</v>
      </c>
      <c r="J2124" s="9">
        <v>1574.0</v>
      </c>
      <c r="K2124" s="9">
        <v>1574.0</v>
      </c>
      <c r="L2124" s="9">
        <v>1574.0</v>
      </c>
      <c r="M2124" s="9">
        <v>320.0</v>
      </c>
      <c r="N2124" s="9">
        <v>730.0</v>
      </c>
      <c r="O2124" s="9">
        <v>524.0</v>
      </c>
      <c r="P2124" s="8" t="s">
        <v>3480</v>
      </c>
      <c r="Q2124" s="8" t="s">
        <v>5542</v>
      </c>
      <c r="R2124" s="8" t="s">
        <v>5543</v>
      </c>
    </row>
    <row r="2125">
      <c r="A2125" s="8" t="s">
        <v>2633</v>
      </c>
      <c r="B2125" s="8" t="s">
        <v>13137</v>
      </c>
      <c r="C2125" s="8" t="s">
        <v>13079</v>
      </c>
      <c r="D2125" s="9">
        <v>9.591764E9</v>
      </c>
      <c r="E2125" s="8" t="s">
        <v>13138</v>
      </c>
      <c r="F2125" s="8" t="s">
        <v>3594</v>
      </c>
      <c r="G2125" s="8" t="s">
        <v>13139</v>
      </c>
      <c r="H2125" s="8" t="s">
        <v>3479</v>
      </c>
      <c r="I2125" s="9">
        <v>0.0</v>
      </c>
      <c r="J2125" s="9">
        <v>1789.0</v>
      </c>
      <c r="K2125" s="9">
        <v>1789.0</v>
      </c>
      <c r="L2125" s="9">
        <v>1789.0</v>
      </c>
      <c r="M2125" s="9">
        <v>160.0</v>
      </c>
      <c r="N2125" s="9">
        <v>730.0</v>
      </c>
      <c r="O2125" s="9">
        <v>899.0</v>
      </c>
      <c r="P2125" s="8" t="s">
        <v>3480</v>
      </c>
      <c r="Q2125" s="8"/>
      <c r="R2125" s="8"/>
    </row>
    <row r="2126">
      <c r="A2126" s="8" t="s">
        <v>2002</v>
      </c>
      <c r="B2126" s="8" t="s">
        <v>13140</v>
      </c>
      <c r="C2126" s="8" t="s">
        <v>9045</v>
      </c>
      <c r="D2126" s="9">
        <v>9.604000439E9</v>
      </c>
      <c r="E2126" s="8" t="s">
        <v>9046</v>
      </c>
      <c r="F2126" s="8" t="s">
        <v>4089</v>
      </c>
      <c r="G2126" s="8" t="s">
        <v>13141</v>
      </c>
      <c r="H2126" s="8" t="s">
        <v>3479</v>
      </c>
      <c r="I2126" s="9">
        <v>0.0</v>
      </c>
      <c r="J2126" s="9">
        <v>924.0</v>
      </c>
      <c r="K2126" s="9">
        <v>924.0</v>
      </c>
      <c r="L2126" s="9">
        <v>924.0</v>
      </c>
      <c r="M2126" s="9">
        <v>175.0</v>
      </c>
      <c r="N2126" s="9">
        <v>0.0</v>
      </c>
      <c r="O2126" s="9">
        <v>749.0</v>
      </c>
      <c r="P2126" s="8" t="s">
        <v>3519</v>
      </c>
      <c r="Q2126" s="8"/>
      <c r="R2126" s="8"/>
    </row>
    <row r="2127">
      <c r="A2127" s="8" t="s">
        <v>2001</v>
      </c>
      <c r="B2127" s="8" t="s">
        <v>13142</v>
      </c>
      <c r="C2127" s="8" t="s">
        <v>13143</v>
      </c>
      <c r="D2127" s="9">
        <v>7.378905978E9</v>
      </c>
      <c r="E2127" s="8" t="s">
        <v>13144</v>
      </c>
      <c r="F2127" s="8" t="s">
        <v>7276</v>
      </c>
      <c r="G2127" s="8" t="s">
        <v>13145</v>
      </c>
      <c r="H2127" s="8" t="s">
        <v>3479</v>
      </c>
      <c r="I2127" s="9">
        <v>0.0</v>
      </c>
      <c r="J2127" s="9">
        <v>1804.0</v>
      </c>
      <c r="K2127" s="9">
        <v>1804.0</v>
      </c>
      <c r="L2127" s="9">
        <v>1804.0</v>
      </c>
      <c r="M2127" s="9">
        <v>1390.0</v>
      </c>
      <c r="N2127" s="9">
        <v>64.0</v>
      </c>
      <c r="O2127" s="9">
        <v>350.0</v>
      </c>
      <c r="P2127" s="8" t="s">
        <v>3480</v>
      </c>
      <c r="Q2127" s="8"/>
      <c r="R2127" s="8"/>
    </row>
    <row r="2128">
      <c r="A2128" s="8" t="s">
        <v>2630</v>
      </c>
      <c r="B2128" s="8" t="s">
        <v>13146</v>
      </c>
      <c r="C2128" s="8" t="s">
        <v>3592</v>
      </c>
      <c r="D2128" s="9">
        <v>8.698550353E9</v>
      </c>
      <c r="E2128" s="8" t="s">
        <v>13147</v>
      </c>
      <c r="F2128" s="8" t="s">
        <v>13148</v>
      </c>
      <c r="G2128" s="8" t="s">
        <v>13149</v>
      </c>
      <c r="H2128" s="8" t="s">
        <v>3479</v>
      </c>
      <c r="I2128" s="9">
        <v>0.0</v>
      </c>
      <c r="J2128" s="9">
        <v>2021.0</v>
      </c>
      <c r="K2128" s="9">
        <v>2021.0</v>
      </c>
      <c r="L2128" s="9">
        <v>2021.0</v>
      </c>
      <c r="M2128" s="9">
        <v>708.0</v>
      </c>
      <c r="N2128" s="9">
        <v>784.0</v>
      </c>
      <c r="O2128" s="9">
        <v>529.0</v>
      </c>
      <c r="P2128" s="8" t="s">
        <v>3480</v>
      </c>
      <c r="Q2128" s="8"/>
      <c r="R2128" s="8"/>
    </row>
    <row r="2129">
      <c r="A2129" s="8" t="s">
        <v>2631</v>
      </c>
      <c r="B2129" s="8" t="s">
        <v>13150</v>
      </c>
      <c r="C2129" s="8" t="s">
        <v>13151</v>
      </c>
      <c r="D2129" s="9">
        <v>9.096667006E9</v>
      </c>
      <c r="E2129" s="8" t="s">
        <v>13152</v>
      </c>
      <c r="F2129" s="8" t="s">
        <v>3821</v>
      </c>
      <c r="G2129" s="8" t="s">
        <v>13153</v>
      </c>
      <c r="H2129" s="8" t="s">
        <v>3479</v>
      </c>
      <c r="I2129" s="9">
        <v>0.0</v>
      </c>
      <c r="J2129" s="9">
        <v>2010.0</v>
      </c>
      <c r="K2129" s="9">
        <v>2010.0</v>
      </c>
      <c r="L2129" s="9">
        <v>2010.0</v>
      </c>
      <c r="M2129" s="9">
        <v>756.0</v>
      </c>
      <c r="N2129" s="9">
        <v>730.0</v>
      </c>
      <c r="O2129" s="9">
        <v>524.0</v>
      </c>
      <c r="P2129" s="8" t="s">
        <v>3480</v>
      </c>
      <c r="Q2129" s="8"/>
      <c r="R2129" s="8"/>
    </row>
    <row r="2130">
      <c r="A2130" s="8" t="s">
        <v>2655</v>
      </c>
      <c r="B2130" s="8" t="s">
        <v>13154</v>
      </c>
      <c r="C2130" s="8" t="s">
        <v>10132</v>
      </c>
      <c r="D2130" s="9">
        <v>8.66857965E9</v>
      </c>
      <c r="E2130" s="8" t="s">
        <v>10133</v>
      </c>
      <c r="F2130" s="8" t="s">
        <v>10134</v>
      </c>
      <c r="G2130" s="8" t="s">
        <v>13155</v>
      </c>
      <c r="H2130" s="8" t="s">
        <v>3479</v>
      </c>
      <c r="I2130" s="9">
        <v>0.0</v>
      </c>
      <c r="J2130" s="9">
        <v>2946.0</v>
      </c>
      <c r="K2130" s="9">
        <v>2946.0</v>
      </c>
      <c r="L2130" s="9">
        <v>2946.0</v>
      </c>
      <c r="M2130" s="9">
        <v>1732.0</v>
      </c>
      <c r="N2130" s="9">
        <v>190.0</v>
      </c>
      <c r="O2130" s="9">
        <v>1024.0</v>
      </c>
      <c r="P2130" s="8" t="s">
        <v>3480</v>
      </c>
      <c r="Q2130" s="8" t="s">
        <v>10135</v>
      </c>
      <c r="R2130" s="8" t="s">
        <v>10136</v>
      </c>
    </row>
    <row r="2131">
      <c r="A2131" s="8" t="s">
        <v>2556</v>
      </c>
      <c r="B2131" s="8" t="s">
        <v>13156</v>
      </c>
      <c r="C2131" s="8" t="s">
        <v>13157</v>
      </c>
      <c r="D2131" s="9">
        <v>9.145375748E9</v>
      </c>
      <c r="E2131" s="8" t="s">
        <v>13158</v>
      </c>
      <c r="F2131" s="8" t="s">
        <v>6363</v>
      </c>
      <c r="G2131" s="8" t="s">
        <v>13159</v>
      </c>
      <c r="H2131" s="8" t="s">
        <v>3479</v>
      </c>
      <c r="I2131" s="9">
        <v>0.0</v>
      </c>
      <c r="J2131" s="9">
        <v>950.0</v>
      </c>
      <c r="K2131" s="9">
        <v>950.0</v>
      </c>
      <c r="L2131" s="9">
        <v>950.0</v>
      </c>
      <c r="M2131" s="9">
        <v>950.0</v>
      </c>
      <c r="N2131" s="9">
        <v>0.0</v>
      </c>
      <c r="O2131" s="9">
        <v>0.0</v>
      </c>
      <c r="P2131" s="8" t="s">
        <v>3480</v>
      </c>
      <c r="Q2131" s="8" t="s">
        <v>4241</v>
      </c>
      <c r="R2131" s="8" t="s">
        <v>13160</v>
      </c>
    </row>
    <row r="2132">
      <c r="A2132" s="8" t="s">
        <v>2557</v>
      </c>
      <c r="B2132" s="8" t="s">
        <v>13161</v>
      </c>
      <c r="C2132" s="8" t="s">
        <v>13162</v>
      </c>
      <c r="D2132" s="9">
        <v>9.762364061E9</v>
      </c>
      <c r="E2132" s="8" t="s">
        <v>13163</v>
      </c>
      <c r="F2132" s="8" t="s">
        <v>3486</v>
      </c>
      <c r="G2132" s="8" t="s">
        <v>13164</v>
      </c>
      <c r="H2132" s="8" t="s">
        <v>3479</v>
      </c>
      <c r="I2132" s="9">
        <v>0.0</v>
      </c>
      <c r="J2132" s="9">
        <v>759.0</v>
      </c>
      <c r="K2132" s="9">
        <v>759.0</v>
      </c>
      <c r="L2132" s="9">
        <v>759.0</v>
      </c>
      <c r="M2132" s="9">
        <v>310.0</v>
      </c>
      <c r="N2132" s="9">
        <v>0.0</v>
      </c>
      <c r="O2132" s="9">
        <v>449.0</v>
      </c>
      <c r="P2132" s="8" t="s">
        <v>3480</v>
      </c>
      <c r="Q2132" s="8" t="s">
        <v>13165</v>
      </c>
      <c r="R2132" s="8" t="s">
        <v>13166</v>
      </c>
    </row>
    <row r="2133">
      <c r="A2133" s="8" t="s">
        <v>2003</v>
      </c>
      <c r="B2133" s="8" t="s">
        <v>13167</v>
      </c>
      <c r="C2133" s="8" t="s">
        <v>11775</v>
      </c>
      <c r="D2133" s="9">
        <v>7.774077334E9</v>
      </c>
      <c r="E2133" s="8" t="s">
        <v>11776</v>
      </c>
      <c r="F2133" s="8" t="s">
        <v>3697</v>
      </c>
      <c r="G2133" s="8" t="s">
        <v>13168</v>
      </c>
      <c r="H2133" s="8" t="s">
        <v>3479</v>
      </c>
      <c r="I2133" s="9">
        <v>0.0</v>
      </c>
      <c r="J2133" s="9">
        <v>1350.0</v>
      </c>
      <c r="K2133" s="9">
        <v>1350.0</v>
      </c>
      <c r="L2133" s="9">
        <v>1350.0</v>
      </c>
      <c r="M2133" s="9">
        <v>1350.0</v>
      </c>
      <c r="N2133" s="9">
        <v>0.0</v>
      </c>
      <c r="O2133" s="9">
        <v>0.0</v>
      </c>
      <c r="P2133" s="8" t="s">
        <v>3480</v>
      </c>
      <c r="Q2133" s="8" t="s">
        <v>11778</v>
      </c>
      <c r="R2133" s="8" t="s">
        <v>11779</v>
      </c>
    </row>
    <row r="2134">
      <c r="A2134" s="8" t="s">
        <v>2632</v>
      </c>
      <c r="B2134" s="8" t="s">
        <v>13169</v>
      </c>
      <c r="C2134" s="8" t="s">
        <v>13170</v>
      </c>
      <c r="D2134" s="9">
        <v>9.890321776E9</v>
      </c>
      <c r="E2134" s="8" t="s">
        <v>13171</v>
      </c>
      <c r="F2134" s="8" t="s">
        <v>4134</v>
      </c>
      <c r="G2134" s="8" t="s">
        <v>13172</v>
      </c>
      <c r="H2134" s="8" t="s">
        <v>3479</v>
      </c>
      <c r="I2134" s="9">
        <v>0.0</v>
      </c>
      <c r="J2134" s="9">
        <v>1544.0</v>
      </c>
      <c r="K2134" s="9">
        <v>1544.0</v>
      </c>
      <c r="L2134" s="9">
        <v>1544.0</v>
      </c>
      <c r="M2134" s="9">
        <v>135.0</v>
      </c>
      <c r="N2134" s="9">
        <v>730.0</v>
      </c>
      <c r="O2134" s="9">
        <v>679.0</v>
      </c>
      <c r="P2134" s="8" t="s">
        <v>3480</v>
      </c>
      <c r="Q2134" s="8" t="s">
        <v>13173</v>
      </c>
      <c r="R2134" s="8" t="s">
        <v>13174</v>
      </c>
    </row>
    <row r="2135">
      <c r="A2135" s="8" t="s">
        <v>2656</v>
      </c>
      <c r="B2135" s="8" t="s">
        <v>13175</v>
      </c>
      <c r="C2135" s="8" t="s">
        <v>5402</v>
      </c>
      <c r="D2135" s="9">
        <v>8.237668546E9</v>
      </c>
      <c r="E2135" s="8" t="s">
        <v>9283</v>
      </c>
      <c r="F2135" s="8" t="s">
        <v>3977</v>
      </c>
      <c r="G2135" s="8" t="s">
        <v>13176</v>
      </c>
      <c r="H2135" s="8" t="s">
        <v>3479</v>
      </c>
      <c r="I2135" s="9">
        <v>0.0</v>
      </c>
      <c r="J2135" s="9">
        <v>1656.0</v>
      </c>
      <c r="K2135" s="9">
        <v>1656.0</v>
      </c>
      <c r="L2135" s="9">
        <v>1656.0</v>
      </c>
      <c r="M2135" s="9">
        <v>477.0</v>
      </c>
      <c r="N2135" s="9">
        <v>730.0</v>
      </c>
      <c r="O2135" s="9">
        <v>449.0</v>
      </c>
      <c r="P2135" s="8" t="s">
        <v>3519</v>
      </c>
      <c r="Q2135" s="8"/>
      <c r="R2135" s="8"/>
    </row>
    <row r="2136">
      <c r="A2136" s="8" t="s">
        <v>2005</v>
      </c>
      <c r="B2136" s="8" t="s">
        <v>13177</v>
      </c>
      <c r="C2136" s="8" t="s">
        <v>13178</v>
      </c>
      <c r="D2136" s="9">
        <v>8.007030595E9</v>
      </c>
      <c r="E2136" s="8" t="s">
        <v>13179</v>
      </c>
      <c r="F2136" s="8" t="s">
        <v>4366</v>
      </c>
      <c r="G2136" s="8" t="s">
        <v>3494</v>
      </c>
      <c r="H2136" s="8" t="s">
        <v>3479</v>
      </c>
      <c r="I2136" s="9">
        <v>0.0</v>
      </c>
      <c r="J2136" s="9">
        <v>3711.0</v>
      </c>
      <c r="K2136" s="9">
        <v>3711.0</v>
      </c>
      <c r="L2136" s="9">
        <v>3711.0</v>
      </c>
      <c r="M2136" s="9">
        <v>2153.0</v>
      </c>
      <c r="N2136" s="9">
        <v>784.0</v>
      </c>
      <c r="O2136" s="9">
        <v>774.0</v>
      </c>
      <c r="P2136" s="8" t="s">
        <v>3480</v>
      </c>
      <c r="Q2136" s="8"/>
      <c r="R2136" s="8"/>
    </row>
    <row r="2137">
      <c r="A2137" s="8" t="s">
        <v>2004</v>
      </c>
      <c r="B2137" s="8" t="s">
        <v>13180</v>
      </c>
      <c r="C2137" s="8" t="s">
        <v>9744</v>
      </c>
      <c r="D2137" s="9">
        <v>8.792414467E9</v>
      </c>
      <c r="E2137" s="8" t="s">
        <v>9745</v>
      </c>
      <c r="F2137" s="8" t="s">
        <v>4029</v>
      </c>
      <c r="G2137" s="8" t="s">
        <v>9746</v>
      </c>
      <c r="H2137" s="8" t="s">
        <v>3479</v>
      </c>
      <c r="I2137" s="9">
        <v>0.0</v>
      </c>
      <c r="J2137" s="9">
        <v>2108.0</v>
      </c>
      <c r="K2137" s="9">
        <v>2108.0</v>
      </c>
      <c r="L2137" s="9">
        <v>2108.0</v>
      </c>
      <c r="M2137" s="9">
        <v>875.0</v>
      </c>
      <c r="N2137" s="9">
        <v>784.0</v>
      </c>
      <c r="O2137" s="9">
        <v>449.0</v>
      </c>
      <c r="P2137" s="8" t="s">
        <v>3480</v>
      </c>
      <c r="Q2137" s="8" t="s">
        <v>9747</v>
      </c>
      <c r="R2137" s="8" t="s">
        <v>9748</v>
      </c>
    </row>
    <row r="2138">
      <c r="A2138" s="8" t="s">
        <v>2654</v>
      </c>
      <c r="B2138" s="8" t="s">
        <v>13181</v>
      </c>
      <c r="C2138" s="8" t="s">
        <v>13157</v>
      </c>
      <c r="D2138" s="9">
        <v>9.145375748E9</v>
      </c>
      <c r="E2138" s="8" t="s">
        <v>13158</v>
      </c>
      <c r="F2138" s="8" t="s">
        <v>6363</v>
      </c>
      <c r="G2138" s="8" t="s">
        <v>13182</v>
      </c>
      <c r="H2138" s="8" t="s">
        <v>3479</v>
      </c>
      <c r="I2138" s="9">
        <v>0.0</v>
      </c>
      <c r="J2138" s="9">
        <v>1259.0</v>
      </c>
      <c r="K2138" s="9">
        <v>1259.0</v>
      </c>
      <c r="L2138" s="9">
        <v>1259.0</v>
      </c>
      <c r="M2138" s="9">
        <v>80.0</v>
      </c>
      <c r="N2138" s="9">
        <v>730.0</v>
      </c>
      <c r="O2138" s="9">
        <v>449.0</v>
      </c>
      <c r="P2138" s="8" t="s">
        <v>3480</v>
      </c>
      <c r="Q2138" s="8" t="s">
        <v>4241</v>
      </c>
      <c r="R2138" s="8" t="s">
        <v>13160</v>
      </c>
    </row>
    <row r="2139">
      <c r="A2139" s="8" t="s">
        <v>2006</v>
      </c>
      <c r="B2139" s="8" t="s">
        <v>13183</v>
      </c>
      <c r="C2139" s="8" t="s">
        <v>6876</v>
      </c>
      <c r="D2139" s="9">
        <v>7.387109986E9</v>
      </c>
      <c r="E2139" s="8" t="s">
        <v>6877</v>
      </c>
      <c r="F2139" s="8" t="s">
        <v>5366</v>
      </c>
      <c r="G2139" s="8" t="s">
        <v>13184</v>
      </c>
      <c r="H2139" s="8" t="s">
        <v>3479</v>
      </c>
      <c r="I2139" s="9">
        <v>0.0</v>
      </c>
      <c r="J2139" s="9">
        <v>5653.0</v>
      </c>
      <c r="K2139" s="9">
        <v>5653.0</v>
      </c>
      <c r="L2139" s="9">
        <v>5653.0</v>
      </c>
      <c r="M2139" s="9">
        <v>4833.0</v>
      </c>
      <c r="N2139" s="9">
        <v>195.0</v>
      </c>
      <c r="O2139" s="9">
        <v>625.0</v>
      </c>
      <c r="P2139" s="8" t="s">
        <v>3480</v>
      </c>
      <c r="Q2139" s="8" t="s">
        <v>6879</v>
      </c>
      <c r="R2139" s="8" t="s">
        <v>6880</v>
      </c>
    </row>
    <row r="2140">
      <c r="A2140" s="8" t="s">
        <v>2668</v>
      </c>
      <c r="B2140" s="8" t="s">
        <v>13185</v>
      </c>
      <c r="C2140" s="8" t="s">
        <v>13186</v>
      </c>
      <c r="D2140" s="9">
        <v>7.709458701E9</v>
      </c>
      <c r="E2140" s="8" t="s">
        <v>13187</v>
      </c>
      <c r="F2140" s="8" t="s">
        <v>3523</v>
      </c>
      <c r="G2140" s="8" t="s">
        <v>13188</v>
      </c>
      <c r="H2140" s="8" t="s">
        <v>3479</v>
      </c>
      <c r="I2140" s="9">
        <v>0.0</v>
      </c>
      <c r="J2140" s="9">
        <v>4527.0</v>
      </c>
      <c r="K2140" s="9">
        <v>4527.0</v>
      </c>
      <c r="L2140" s="9">
        <v>4527.0</v>
      </c>
      <c r="M2140" s="9">
        <v>3018.0</v>
      </c>
      <c r="N2140" s="9">
        <v>730.0</v>
      </c>
      <c r="O2140" s="9">
        <v>779.0</v>
      </c>
      <c r="P2140" s="8" t="s">
        <v>3480</v>
      </c>
      <c r="Q2140" s="8"/>
      <c r="R2140" s="8"/>
    </row>
    <row r="2141">
      <c r="A2141" s="8" t="s">
        <v>2669</v>
      </c>
      <c r="B2141" s="8" t="s">
        <v>13189</v>
      </c>
      <c r="C2141" s="8" t="s">
        <v>13190</v>
      </c>
      <c r="D2141" s="9">
        <v>7.507508206E9</v>
      </c>
      <c r="E2141" s="8" t="s">
        <v>13191</v>
      </c>
      <c r="F2141" s="8" t="s">
        <v>3523</v>
      </c>
      <c r="G2141" s="8" t="s">
        <v>13192</v>
      </c>
      <c r="H2141" s="8" t="s">
        <v>3479</v>
      </c>
      <c r="I2141" s="9">
        <v>0.0</v>
      </c>
      <c r="J2141" s="9">
        <v>3918.0</v>
      </c>
      <c r="K2141" s="9">
        <v>3918.0</v>
      </c>
      <c r="L2141" s="9">
        <v>3918.0</v>
      </c>
      <c r="M2141" s="9">
        <v>2664.0</v>
      </c>
      <c r="N2141" s="9">
        <v>730.0</v>
      </c>
      <c r="O2141" s="9">
        <v>524.0</v>
      </c>
      <c r="P2141" s="8" t="s">
        <v>3480</v>
      </c>
      <c r="Q2141" s="8"/>
      <c r="R2141" s="8"/>
    </row>
    <row r="2142">
      <c r="A2142" s="8" t="s">
        <v>2658</v>
      </c>
      <c r="B2142" s="8" t="s">
        <v>13193</v>
      </c>
      <c r="C2142" s="8" t="s">
        <v>6981</v>
      </c>
      <c r="D2142" s="9">
        <v>9.890022157E9</v>
      </c>
      <c r="E2142" s="8" t="s">
        <v>6982</v>
      </c>
      <c r="F2142" s="8" t="s">
        <v>6983</v>
      </c>
      <c r="G2142" s="8" t="s">
        <v>13194</v>
      </c>
      <c r="H2142" s="8" t="s">
        <v>3479</v>
      </c>
      <c r="I2142" s="9">
        <v>0.0</v>
      </c>
      <c r="J2142" s="9">
        <v>3461.0</v>
      </c>
      <c r="K2142" s="9">
        <v>3461.0</v>
      </c>
      <c r="L2142" s="9">
        <v>3461.0</v>
      </c>
      <c r="M2142" s="9">
        <v>2247.0</v>
      </c>
      <c r="N2142" s="9">
        <v>190.0</v>
      </c>
      <c r="O2142" s="9">
        <v>1024.0</v>
      </c>
      <c r="P2142" s="8" t="s">
        <v>3480</v>
      </c>
      <c r="Q2142" s="8" t="s">
        <v>6985</v>
      </c>
      <c r="R2142" s="8" t="s">
        <v>6986</v>
      </c>
    </row>
    <row r="2143">
      <c r="A2143" s="8" t="s">
        <v>2659</v>
      </c>
      <c r="B2143" s="8" t="s">
        <v>13195</v>
      </c>
      <c r="C2143" s="8" t="s">
        <v>13196</v>
      </c>
      <c r="D2143" s="9">
        <v>8.329735047E9</v>
      </c>
      <c r="E2143" s="8" t="s">
        <v>13197</v>
      </c>
      <c r="F2143" s="8" t="s">
        <v>3677</v>
      </c>
      <c r="G2143" s="8" t="s">
        <v>13198</v>
      </c>
      <c r="H2143" s="8" t="s">
        <v>3479</v>
      </c>
      <c r="I2143" s="9">
        <v>0.0</v>
      </c>
      <c r="J2143" s="9">
        <v>6445.0</v>
      </c>
      <c r="K2143" s="9">
        <v>6445.0</v>
      </c>
      <c r="L2143" s="9">
        <v>6445.0</v>
      </c>
      <c r="M2143" s="9">
        <v>4237.0</v>
      </c>
      <c r="N2143" s="9">
        <v>784.0</v>
      </c>
      <c r="O2143" s="9">
        <v>1424.0</v>
      </c>
      <c r="P2143" s="8" t="s">
        <v>3519</v>
      </c>
      <c r="Q2143" s="8" t="s">
        <v>13199</v>
      </c>
      <c r="R2143" s="8" t="s">
        <v>13200</v>
      </c>
    </row>
    <row r="2144">
      <c r="A2144" s="8" t="s">
        <v>2007</v>
      </c>
      <c r="B2144" s="8" t="s">
        <v>13201</v>
      </c>
      <c r="C2144" s="8" t="s">
        <v>4797</v>
      </c>
      <c r="D2144" s="9">
        <v>9.400116295E9</v>
      </c>
      <c r="E2144" s="8" t="s">
        <v>4798</v>
      </c>
      <c r="F2144" s="8" t="s">
        <v>4373</v>
      </c>
      <c r="G2144" s="8" t="s">
        <v>13202</v>
      </c>
      <c r="H2144" s="8" t="s">
        <v>3479</v>
      </c>
      <c r="I2144" s="9">
        <v>0.0</v>
      </c>
      <c r="J2144" s="9">
        <v>3936.0</v>
      </c>
      <c r="K2144" s="9">
        <v>3936.0</v>
      </c>
      <c r="L2144" s="9">
        <v>3936.0</v>
      </c>
      <c r="M2144" s="9">
        <v>2857.0</v>
      </c>
      <c r="N2144" s="9">
        <v>594.0</v>
      </c>
      <c r="O2144" s="9">
        <v>485.0</v>
      </c>
      <c r="P2144" s="8" t="s">
        <v>3480</v>
      </c>
      <c r="Q2144" s="8" t="s">
        <v>4800</v>
      </c>
      <c r="R2144" s="8" t="s">
        <v>4801</v>
      </c>
    </row>
    <row r="2145">
      <c r="A2145" s="8" t="s">
        <v>2008</v>
      </c>
      <c r="B2145" s="8" t="s">
        <v>13203</v>
      </c>
      <c r="C2145" s="8" t="s">
        <v>13204</v>
      </c>
      <c r="D2145" s="9">
        <v>9.986001984E9</v>
      </c>
      <c r="E2145" s="8" t="s">
        <v>13205</v>
      </c>
      <c r="F2145" s="8" t="s">
        <v>3523</v>
      </c>
      <c r="G2145" s="8" t="s">
        <v>13206</v>
      </c>
      <c r="H2145" s="8" t="s">
        <v>3479</v>
      </c>
      <c r="I2145" s="9">
        <v>0.0</v>
      </c>
      <c r="J2145" s="9">
        <v>1414.0</v>
      </c>
      <c r="K2145" s="9">
        <v>1414.0</v>
      </c>
      <c r="L2145" s="9">
        <v>1414.0</v>
      </c>
      <c r="M2145" s="9">
        <v>160.0</v>
      </c>
      <c r="N2145" s="9">
        <v>730.0</v>
      </c>
      <c r="O2145" s="9">
        <v>524.0</v>
      </c>
      <c r="P2145" s="8" t="s">
        <v>3480</v>
      </c>
      <c r="Q2145" s="8" t="s">
        <v>13207</v>
      </c>
      <c r="R2145" s="8" t="s">
        <v>13208</v>
      </c>
    </row>
    <row r="2146">
      <c r="A2146" s="8" t="s">
        <v>2670</v>
      </c>
      <c r="B2146" s="8" t="s">
        <v>13209</v>
      </c>
      <c r="C2146" s="8" t="s">
        <v>9969</v>
      </c>
      <c r="D2146" s="9">
        <v>9.076116025E9</v>
      </c>
      <c r="E2146" s="8" t="s">
        <v>9970</v>
      </c>
      <c r="F2146" s="8" t="s">
        <v>3653</v>
      </c>
      <c r="G2146" s="8" t="s">
        <v>13210</v>
      </c>
      <c r="H2146" s="8" t="s">
        <v>3479</v>
      </c>
      <c r="I2146" s="9">
        <v>0.0</v>
      </c>
      <c r="J2146" s="9">
        <v>2356.0</v>
      </c>
      <c r="K2146" s="9">
        <v>2356.0</v>
      </c>
      <c r="L2146" s="9">
        <v>2356.0</v>
      </c>
      <c r="M2146" s="9">
        <v>548.0</v>
      </c>
      <c r="N2146" s="9">
        <v>784.0</v>
      </c>
      <c r="O2146" s="9">
        <v>1024.0</v>
      </c>
      <c r="P2146" s="8" t="s">
        <v>3519</v>
      </c>
      <c r="Q2146" s="8"/>
      <c r="R2146" s="8"/>
    </row>
    <row r="2147">
      <c r="A2147" s="8" t="s">
        <v>2671</v>
      </c>
      <c r="B2147" s="8" t="s">
        <v>13211</v>
      </c>
      <c r="C2147" s="8" t="s">
        <v>13212</v>
      </c>
      <c r="D2147" s="9">
        <v>8.600184734E9</v>
      </c>
      <c r="E2147" s="8" t="s">
        <v>13213</v>
      </c>
      <c r="F2147" s="8" t="s">
        <v>4423</v>
      </c>
      <c r="G2147" s="8" t="s">
        <v>13214</v>
      </c>
      <c r="H2147" s="8" t="s">
        <v>3479</v>
      </c>
      <c r="I2147" s="9">
        <v>0.0</v>
      </c>
      <c r="J2147" s="9">
        <v>4277.0</v>
      </c>
      <c r="K2147" s="9">
        <v>4277.0</v>
      </c>
      <c r="L2147" s="9">
        <v>4277.0</v>
      </c>
      <c r="M2147" s="9">
        <v>2098.0</v>
      </c>
      <c r="N2147" s="9">
        <v>1030.0</v>
      </c>
      <c r="O2147" s="9">
        <v>1149.0</v>
      </c>
      <c r="P2147" s="8" t="s">
        <v>3480</v>
      </c>
      <c r="Q2147" s="8" t="s">
        <v>13215</v>
      </c>
      <c r="R2147" s="8"/>
    </row>
    <row r="2148">
      <c r="A2148" s="8" t="s">
        <v>2660</v>
      </c>
      <c r="B2148" s="8" t="s">
        <v>13216</v>
      </c>
      <c r="C2148" s="8" t="s">
        <v>13217</v>
      </c>
      <c r="D2148" s="9">
        <v>9.588659886E9</v>
      </c>
      <c r="E2148" s="8" t="s">
        <v>13218</v>
      </c>
      <c r="F2148" s="8" t="s">
        <v>3821</v>
      </c>
      <c r="G2148" s="8" t="s">
        <v>13219</v>
      </c>
      <c r="H2148" s="8" t="s">
        <v>3479</v>
      </c>
      <c r="I2148" s="9">
        <v>0.0</v>
      </c>
      <c r="J2148" s="9">
        <v>1224.0</v>
      </c>
      <c r="K2148" s="9">
        <v>1224.0</v>
      </c>
      <c r="L2148" s="9">
        <v>1224.0</v>
      </c>
      <c r="M2148" s="9">
        <v>160.0</v>
      </c>
      <c r="N2148" s="9">
        <v>540.0</v>
      </c>
      <c r="O2148" s="9">
        <v>524.0</v>
      </c>
      <c r="P2148" s="8" t="s">
        <v>3480</v>
      </c>
      <c r="Q2148" s="8" t="s">
        <v>13220</v>
      </c>
      <c r="R2148" s="8" t="s">
        <v>13221</v>
      </c>
    </row>
    <row r="2149">
      <c r="A2149" s="8" t="s">
        <v>2661</v>
      </c>
      <c r="B2149" s="8" t="s">
        <v>13222</v>
      </c>
      <c r="C2149" s="8" t="s">
        <v>7542</v>
      </c>
      <c r="D2149" s="9">
        <v>9.921390651E9</v>
      </c>
      <c r="E2149" s="8" t="s">
        <v>13223</v>
      </c>
      <c r="F2149" s="8" t="s">
        <v>3608</v>
      </c>
      <c r="G2149" s="8" t="s">
        <v>13224</v>
      </c>
      <c r="H2149" s="8" t="s">
        <v>3479</v>
      </c>
      <c r="I2149" s="9">
        <v>0.0</v>
      </c>
      <c r="J2149" s="9">
        <v>1344.0</v>
      </c>
      <c r="K2149" s="9">
        <v>1344.0</v>
      </c>
      <c r="L2149" s="9">
        <v>1344.0</v>
      </c>
      <c r="M2149" s="9">
        <v>165.0</v>
      </c>
      <c r="N2149" s="9">
        <v>730.0</v>
      </c>
      <c r="O2149" s="9">
        <v>449.0</v>
      </c>
      <c r="P2149" s="8" t="s">
        <v>3480</v>
      </c>
      <c r="Q2149" s="8"/>
      <c r="R2149" s="8"/>
    </row>
    <row r="2150">
      <c r="A2150" s="8" t="s">
        <v>2662</v>
      </c>
      <c r="B2150" s="8" t="s">
        <v>13225</v>
      </c>
      <c r="C2150" s="8" t="s">
        <v>4237</v>
      </c>
      <c r="D2150" s="9">
        <v>9.167426875E9</v>
      </c>
      <c r="E2150" s="8" t="s">
        <v>4238</v>
      </c>
      <c r="F2150" s="8" t="s">
        <v>4239</v>
      </c>
      <c r="G2150" s="8" t="s">
        <v>13226</v>
      </c>
      <c r="H2150" s="8" t="s">
        <v>3479</v>
      </c>
      <c r="I2150" s="9">
        <v>0.0</v>
      </c>
      <c r="J2150" s="9">
        <v>1069.0</v>
      </c>
      <c r="K2150" s="9">
        <v>1069.0</v>
      </c>
      <c r="L2150" s="9">
        <v>1069.0</v>
      </c>
      <c r="M2150" s="9">
        <v>80.0</v>
      </c>
      <c r="N2150" s="9">
        <v>540.0</v>
      </c>
      <c r="O2150" s="9">
        <v>449.0</v>
      </c>
      <c r="P2150" s="8" t="s">
        <v>3480</v>
      </c>
      <c r="Q2150" s="8" t="s">
        <v>4241</v>
      </c>
      <c r="R2150" s="8" t="s">
        <v>4242</v>
      </c>
    </row>
    <row r="2151">
      <c r="A2151" s="8" t="s">
        <v>2663</v>
      </c>
      <c r="B2151" s="8" t="s">
        <v>13227</v>
      </c>
      <c r="C2151" s="8" t="s">
        <v>7477</v>
      </c>
      <c r="D2151" s="9">
        <v>8.484842631E9</v>
      </c>
      <c r="E2151" s="8" t="s">
        <v>7478</v>
      </c>
      <c r="F2151" s="8" t="s">
        <v>5301</v>
      </c>
      <c r="G2151" s="8" t="s">
        <v>13228</v>
      </c>
      <c r="H2151" s="8" t="s">
        <v>3479</v>
      </c>
      <c r="I2151" s="9">
        <v>0.0</v>
      </c>
      <c r="J2151" s="9">
        <v>1495.0</v>
      </c>
      <c r="K2151" s="9">
        <v>1495.0</v>
      </c>
      <c r="L2151" s="9">
        <v>1495.0</v>
      </c>
      <c r="M2151" s="9">
        <v>556.0</v>
      </c>
      <c r="N2151" s="9">
        <v>190.0</v>
      </c>
      <c r="O2151" s="9">
        <v>749.0</v>
      </c>
      <c r="P2151" s="8" t="s">
        <v>3480</v>
      </c>
      <c r="Q2151" s="8" t="s">
        <v>7481</v>
      </c>
      <c r="R2151" s="8" t="s">
        <v>7482</v>
      </c>
    </row>
    <row r="2152">
      <c r="A2152" s="8" t="s">
        <v>2664</v>
      </c>
      <c r="B2152" s="8" t="s">
        <v>13229</v>
      </c>
      <c r="C2152" s="8" t="s">
        <v>7214</v>
      </c>
      <c r="D2152" s="9">
        <v>9.370192988E9</v>
      </c>
      <c r="E2152" s="8" t="s">
        <v>7215</v>
      </c>
      <c r="F2152" s="8" t="s">
        <v>3589</v>
      </c>
      <c r="G2152" s="8" t="s">
        <v>13230</v>
      </c>
      <c r="H2152" s="8" t="s">
        <v>3479</v>
      </c>
      <c r="I2152" s="9">
        <v>0.0</v>
      </c>
      <c r="J2152" s="9">
        <v>1989.0</v>
      </c>
      <c r="K2152" s="9">
        <v>1989.0</v>
      </c>
      <c r="L2152" s="9">
        <v>1989.0</v>
      </c>
      <c r="M2152" s="9">
        <v>735.0</v>
      </c>
      <c r="N2152" s="9">
        <v>730.0</v>
      </c>
      <c r="O2152" s="9">
        <v>524.0</v>
      </c>
      <c r="P2152" s="8" t="s">
        <v>3480</v>
      </c>
      <c r="Q2152" s="8" t="s">
        <v>7217</v>
      </c>
      <c r="R2152" s="8" t="s">
        <v>7218</v>
      </c>
    </row>
    <row r="2153">
      <c r="A2153" s="8" t="s">
        <v>2665</v>
      </c>
      <c r="B2153" s="8" t="s">
        <v>13231</v>
      </c>
      <c r="C2153" s="8" t="s">
        <v>13232</v>
      </c>
      <c r="D2153" s="9">
        <v>8.828327071E9</v>
      </c>
      <c r="E2153" s="8" t="s">
        <v>13233</v>
      </c>
      <c r="F2153" s="8" t="s">
        <v>4454</v>
      </c>
      <c r="G2153" s="8" t="s">
        <v>13234</v>
      </c>
      <c r="H2153" s="8" t="s">
        <v>3479</v>
      </c>
      <c r="I2153" s="9">
        <v>0.0</v>
      </c>
      <c r="J2153" s="9">
        <v>3336.0</v>
      </c>
      <c r="K2153" s="9">
        <v>3336.0</v>
      </c>
      <c r="L2153" s="9">
        <v>3336.0</v>
      </c>
      <c r="M2153" s="9">
        <v>1982.0</v>
      </c>
      <c r="N2153" s="9">
        <v>730.0</v>
      </c>
      <c r="O2153" s="9">
        <v>624.0</v>
      </c>
      <c r="P2153" s="8" t="s">
        <v>3480</v>
      </c>
      <c r="Q2153" s="8"/>
      <c r="R2153" s="8"/>
    </row>
    <row r="2154">
      <c r="A2154" s="8" t="s">
        <v>2666</v>
      </c>
      <c r="B2154" s="8" t="s">
        <v>13235</v>
      </c>
      <c r="C2154" s="8" t="s">
        <v>13236</v>
      </c>
      <c r="D2154" s="9">
        <v>9.822246694E9</v>
      </c>
      <c r="E2154" s="8" t="s">
        <v>13237</v>
      </c>
      <c r="F2154" s="8" t="s">
        <v>3594</v>
      </c>
      <c r="G2154" s="8" t="s">
        <v>13238</v>
      </c>
      <c r="H2154" s="8" t="s">
        <v>3479</v>
      </c>
      <c r="I2154" s="9">
        <v>0.0</v>
      </c>
      <c r="J2154" s="9">
        <v>1270.0</v>
      </c>
      <c r="K2154" s="9">
        <v>1270.0</v>
      </c>
      <c r="L2154" s="9">
        <v>1270.0</v>
      </c>
      <c r="M2154" s="9">
        <v>1270.0</v>
      </c>
      <c r="N2154" s="9">
        <v>0.0</v>
      </c>
      <c r="O2154" s="9">
        <v>0.0</v>
      </c>
      <c r="P2154" s="8" t="s">
        <v>3480</v>
      </c>
      <c r="Q2154" s="8" t="s">
        <v>13239</v>
      </c>
      <c r="R2154" s="8"/>
    </row>
    <row r="2155">
      <c r="A2155" s="8" t="s">
        <v>2667</v>
      </c>
      <c r="B2155" s="8" t="s">
        <v>13240</v>
      </c>
      <c r="C2155" s="8" t="s">
        <v>5462</v>
      </c>
      <c r="D2155" s="9">
        <v>9.552541939E9</v>
      </c>
      <c r="E2155" s="8" t="s">
        <v>5463</v>
      </c>
      <c r="F2155" s="8" t="s">
        <v>3681</v>
      </c>
      <c r="G2155" s="8" t="s">
        <v>13241</v>
      </c>
      <c r="H2155" s="8" t="s">
        <v>3479</v>
      </c>
      <c r="I2155" s="9">
        <v>0.0</v>
      </c>
      <c r="J2155" s="9">
        <v>1340.0</v>
      </c>
      <c r="K2155" s="9">
        <v>1340.0</v>
      </c>
      <c r="L2155" s="9">
        <v>1340.0</v>
      </c>
      <c r="M2155" s="9">
        <v>297.0</v>
      </c>
      <c r="N2155" s="9">
        <v>594.0</v>
      </c>
      <c r="O2155" s="9">
        <v>449.0</v>
      </c>
      <c r="P2155" s="8" t="s">
        <v>3480</v>
      </c>
      <c r="Q2155" s="8"/>
      <c r="R2155" s="8"/>
    </row>
    <row r="2156">
      <c r="A2156" s="8" t="s">
        <v>2558</v>
      </c>
      <c r="B2156" s="8" t="s">
        <v>13242</v>
      </c>
      <c r="C2156" s="8" t="s">
        <v>13243</v>
      </c>
      <c r="D2156" s="9">
        <v>8.237896089E9</v>
      </c>
      <c r="E2156" s="8" t="s">
        <v>13244</v>
      </c>
      <c r="F2156" s="8" t="s">
        <v>10738</v>
      </c>
      <c r="G2156" s="8" t="s">
        <v>13245</v>
      </c>
      <c r="H2156" s="8" t="s">
        <v>3479</v>
      </c>
      <c r="I2156" s="9">
        <v>0.0</v>
      </c>
      <c r="J2156" s="9">
        <v>3839.0</v>
      </c>
      <c r="K2156" s="9">
        <v>3839.0</v>
      </c>
      <c r="L2156" s="9">
        <v>3839.0</v>
      </c>
      <c r="M2156" s="9">
        <v>1960.0</v>
      </c>
      <c r="N2156" s="9">
        <v>730.0</v>
      </c>
      <c r="O2156" s="9">
        <v>1149.0</v>
      </c>
      <c r="P2156" s="8" t="s">
        <v>3480</v>
      </c>
      <c r="Q2156" s="8" t="s">
        <v>13246</v>
      </c>
      <c r="R2156" s="8"/>
    </row>
    <row r="2157">
      <c r="A2157" s="8" t="s">
        <v>2560</v>
      </c>
      <c r="B2157" s="8" t="s">
        <v>13247</v>
      </c>
      <c r="C2157" s="8" t="s">
        <v>13248</v>
      </c>
      <c r="D2157" s="9">
        <v>8.830413471E9</v>
      </c>
      <c r="E2157" s="8" t="s">
        <v>13249</v>
      </c>
      <c r="F2157" s="8" t="s">
        <v>4259</v>
      </c>
      <c r="G2157" s="8" t="s">
        <v>13250</v>
      </c>
      <c r="H2157" s="8" t="s">
        <v>3479</v>
      </c>
      <c r="I2157" s="9">
        <v>0.0</v>
      </c>
      <c r="J2157" s="9">
        <v>2195.0</v>
      </c>
      <c r="K2157" s="9">
        <v>2195.0</v>
      </c>
      <c r="L2157" s="9">
        <v>2195.0</v>
      </c>
      <c r="M2157" s="9">
        <v>962.0</v>
      </c>
      <c r="N2157" s="9">
        <v>784.0</v>
      </c>
      <c r="O2157" s="9">
        <v>449.0</v>
      </c>
      <c r="P2157" s="8" t="s">
        <v>3480</v>
      </c>
      <c r="Q2157" s="8" t="s">
        <v>13251</v>
      </c>
      <c r="R2157" s="8" t="s">
        <v>13252</v>
      </c>
    </row>
    <row r="2158">
      <c r="A2158" s="8" t="s">
        <v>2559</v>
      </c>
      <c r="B2158" s="8" t="s">
        <v>13253</v>
      </c>
      <c r="C2158" s="8" t="s">
        <v>7623</v>
      </c>
      <c r="D2158" s="9">
        <v>8.982816414E9</v>
      </c>
      <c r="E2158" s="8" t="s">
        <v>7624</v>
      </c>
      <c r="F2158" s="8" t="s">
        <v>7625</v>
      </c>
      <c r="G2158" s="8" t="s">
        <v>13254</v>
      </c>
      <c r="H2158" s="8" t="s">
        <v>3479</v>
      </c>
      <c r="I2158" s="9">
        <v>0.0</v>
      </c>
      <c r="J2158" s="9">
        <v>783.0</v>
      </c>
      <c r="K2158" s="9">
        <v>783.0</v>
      </c>
      <c r="L2158" s="9">
        <v>783.0</v>
      </c>
      <c r="M2158" s="9">
        <v>334.0</v>
      </c>
      <c r="N2158" s="9">
        <v>0.0</v>
      </c>
      <c r="O2158" s="9">
        <v>449.0</v>
      </c>
      <c r="P2158" s="8" t="s">
        <v>3480</v>
      </c>
      <c r="Q2158" s="8"/>
      <c r="R2158" s="8"/>
    </row>
    <row r="2159">
      <c r="A2159" s="8" t="s">
        <v>2561</v>
      </c>
      <c r="B2159" s="8" t="s">
        <v>13255</v>
      </c>
      <c r="C2159" s="8" t="s">
        <v>13256</v>
      </c>
      <c r="D2159" s="9">
        <v>7.276567166E9</v>
      </c>
      <c r="E2159" s="8" t="s">
        <v>13257</v>
      </c>
      <c r="F2159" s="8" t="s">
        <v>6455</v>
      </c>
      <c r="G2159" s="8" t="s">
        <v>13258</v>
      </c>
      <c r="H2159" s="8" t="s">
        <v>3479</v>
      </c>
      <c r="I2159" s="9">
        <v>0.0</v>
      </c>
      <c r="J2159" s="9">
        <v>1659.0</v>
      </c>
      <c r="K2159" s="9">
        <v>1659.0</v>
      </c>
      <c r="L2159" s="9">
        <v>1659.0</v>
      </c>
      <c r="M2159" s="9">
        <v>1130.0</v>
      </c>
      <c r="N2159" s="9">
        <v>0.0</v>
      </c>
      <c r="O2159" s="9">
        <v>529.0</v>
      </c>
      <c r="P2159" s="8" t="s">
        <v>3480</v>
      </c>
      <c r="Q2159" s="8" t="s">
        <v>13259</v>
      </c>
      <c r="R2159" s="8" t="s">
        <v>13260</v>
      </c>
    </row>
    <row r="2160">
      <c r="A2160" s="8" t="s">
        <v>2563</v>
      </c>
      <c r="B2160" s="8" t="s">
        <v>13261</v>
      </c>
      <c r="C2160" s="8" t="s">
        <v>6414</v>
      </c>
      <c r="D2160" s="9">
        <v>9.823120418E9</v>
      </c>
      <c r="E2160" s="8" t="s">
        <v>13262</v>
      </c>
      <c r="F2160" s="8" t="s">
        <v>9777</v>
      </c>
      <c r="G2160" s="8" t="s">
        <v>3494</v>
      </c>
      <c r="H2160" s="8" t="s">
        <v>3479</v>
      </c>
      <c r="I2160" s="9">
        <v>0.0</v>
      </c>
      <c r="J2160" s="9">
        <v>3409.0</v>
      </c>
      <c r="K2160" s="9">
        <v>3409.0</v>
      </c>
      <c r="L2160" s="9">
        <v>3409.0</v>
      </c>
      <c r="M2160" s="9">
        <v>1926.0</v>
      </c>
      <c r="N2160" s="9">
        <v>784.0</v>
      </c>
      <c r="O2160" s="9">
        <v>699.0</v>
      </c>
      <c r="P2160" s="8" t="s">
        <v>3480</v>
      </c>
      <c r="Q2160" s="8" t="s">
        <v>13263</v>
      </c>
      <c r="R2160" s="8" t="s">
        <v>13264</v>
      </c>
    </row>
    <row r="2161">
      <c r="A2161" s="8" t="s">
        <v>2562</v>
      </c>
      <c r="B2161" s="8" t="s">
        <v>13265</v>
      </c>
      <c r="C2161" s="8" t="s">
        <v>8523</v>
      </c>
      <c r="D2161" s="9">
        <v>9.833114601E9</v>
      </c>
      <c r="E2161" s="8" t="s">
        <v>8524</v>
      </c>
      <c r="F2161" s="8" t="s">
        <v>4758</v>
      </c>
      <c r="G2161" s="8" t="s">
        <v>13266</v>
      </c>
      <c r="H2161" s="8" t="s">
        <v>3479</v>
      </c>
      <c r="I2161" s="9">
        <v>0.0</v>
      </c>
      <c r="J2161" s="9">
        <v>7101.0</v>
      </c>
      <c r="K2161" s="9">
        <v>7101.0</v>
      </c>
      <c r="L2161" s="9">
        <v>7101.0</v>
      </c>
      <c r="M2161" s="9">
        <v>1367.0</v>
      </c>
      <c r="N2161" s="9">
        <v>594.0</v>
      </c>
      <c r="O2161" s="9">
        <v>5140.0</v>
      </c>
      <c r="P2161" s="8" t="s">
        <v>3480</v>
      </c>
      <c r="Q2161" s="8" t="s">
        <v>8526</v>
      </c>
      <c r="R2161" s="8" t="s">
        <v>8527</v>
      </c>
    </row>
    <row r="2162">
      <c r="A2162" s="8" t="s">
        <v>2423</v>
      </c>
      <c r="B2162" s="8" t="s">
        <v>13267</v>
      </c>
      <c r="C2162" s="8" t="s">
        <v>13268</v>
      </c>
      <c r="D2162" s="9">
        <v>9.561644782E9</v>
      </c>
      <c r="E2162" s="8" t="s">
        <v>13269</v>
      </c>
      <c r="F2162" s="8" t="s">
        <v>3653</v>
      </c>
      <c r="G2162" s="8" t="s">
        <v>13270</v>
      </c>
      <c r="H2162" s="8" t="s">
        <v>3479</v>
      </c>
      <c r="I2162" s="9">
        <v>0.0</v>
      </c>
      <c r="J2162" s="9">
        <v>4210.0</v>
      </c>
      <c r="K2162" s="9">
        <v>4210.0</v>
      </c>
      <c r="L2162" s="9">
        <v>4210.0</v>
      </c>
      <c r="M2162" s="9">
        <v>3560.0</v>
      </c>
      <c r="N2162" s="9">
        <v>0.0</v>
      </c>
      <c r="O2162" s="9">
        <v>650.0</v>
      </c>
      <c r="P2162" s="8" t="s">
        <v>3480</v>
      </c>
      <c r="Q2162" s="8"/>
      <c r="R2162" s="8"/>
    </row>
    <row r="2163">
      <c r="A2163" s="8" t="s">
        <v>2672</v>
      </c>
      <c r="B2163" s="8" t="s">
        <v>13271</v>
      </c>
      <c r="C2163" s="8" t="s">
        <v>10724</v>
      </c>
      <c r="D2163" s="9">
        <v>7.083491791E9</v>
      </c>
      <c r="E2163" s="8" t="s">
        <v>10725</v>
      </c>
      <c r="F2163" s="8" t="s">
        <v>10064</v>
      </c>
      <c r="G2163" s="8" t="s">
        <v>13272</v>
      </c>
      <c r="H2163" s="8" t="s">
        <v>3479</v>
      </c>
      <c r="I2163" s="9">
        <v>0.0</v>
      </c>
      <c r="J2163" s="9">
        <v>6259.0</v>
      </c>
      <c r="K2163" s="9">
        <v>6259.0</v>
      </c>
      <c r="L2163" s="9">
        <v>6259.0</v>
      </c>
      <c r="M2163" s="9">
        <v>2509.0</v>
      </c>
      <c r="N2163" s="9">
        <v>510.0</v>
      </c>
      <c r="O2163" s="9">
        <v>3240.0</v>
      </c>
      <c r="P2163" s="8" t="s">
        <v>3519</v>
      </c>
      <c r="Q2163" s="8" t="s">
        <v>10727</v>
      </c>
      <c r="R2163" s="8" t="s">
        <v>10728</v>
      </c>
    </row>
    <row r="2164">
      <c r="A2164" s="8" t="s">
        <v>2681</v>
      </c>
      <c r="B2164" s="8" t="s">
        <v>13273</v>
      </c>
      <c r="C2164" s="8" t="s">
        <v>5127</v>
      </c>
      <c r="D2164" s="9">
        <v>9.008696102E9</v>
      </c>
      <c r="E2164" s="8" t="s">
        <v>12253</v>
      </c>
      <c r="F2164" s="8" t="s">
        <v>3901</v>
      </c>
      <c r="G2164" s="8" t="s">
        <v>13274</v>
      </c>
      <c r="H2164" s="8" t="s">
        <v>3479</v>
      </c>
      <c r="I2164" s="9">
        <v>0.0</v>
      </c>
      <c r="J2164" s="9">
        <v>998.0</v>
      </c>
      <c r="K2164" s="9">
        <v>998.0</v>
      </c>
      <c r="L2164" s="9">
        <v>998.0</v>
      </c>
      <c r="M2164" s="9">
        <v>230.0</v>
      </c>
      <c r="N2164" s="9">
        <v>168.0</v>
      </c>
      <c r="O2164" s="9">
        <v>600.0</v>
      </c>
      <c r="P2164" s="8" t="s">
        <v>3519</v>
      </c>
      <c r="Q2164" s="8" t="s">
        <v>12255</v>
      </c>
      <c r="R2164" s="8" t="s">
        <v>12256</v>
      </c>
    </row>
    <row r="2165">
      <c r="A2165" s="8" t="s">
        <v>2698</v>
      </c>
      <c r="B2165" s="8" t="s">
        <v>13275</v>
      </c>
      <c r="C2165" s="8" t="s">
        <v>5866</v>
      </c>
      <c r="D2165" s="9">
        <v>9.922300037E9</v>
      </c>
      <c r="E2165" s="8" t="s">
        <v>5867</v>
      </c>
      <c r="F2165" s="8" t="s">
        <v>3881</v>
      </c>
      <c r="G2165" s="8" t="s">
        <v>13276</v>
      </c>
      <c r="H2165" s="8" t="s">
        <v>3479</v>
      </c>
      <c r="I2165" s="9">
        <v>0.0</v>
      </c>
      <c r="J2165" s="9">
        <v>2471.0</v>
      </c>
      <c r="K2165" s="9">
        <v>2471.0</v>
      </c>
      <c r="L2165" s="9">
        <v>2471.0</v>
      </c>
      <c r="M2165" s="9">
        <v>1081.0</v>
      </c>
      <c r="N2165" s="9">
        <v>0.0</v>
      </c>
      <c r="O2165" s="9">
        <v>1390.0</v>
      </c>
      <c r="P2165" s="8" t="s">
        <v>3519</v>
      </c>
      <c r="Q2165" s="8"/>
      <c r="R2165" s="8"/>
    </row>
    <row r="2166">
      <c r="A2166" s="8" t="s">
        <v>2673</v>
      </c>
      <c r="B2166" s="8" t="s">
        <v>13277</v>
      </c>
      <c r="C2166" s="8" t="s">
        <v>13278</v>
      </c>
      <c r="D2166" s="9">
        <v>7.057611495E9</v>
      </c>
      <c r="E2166" s="8" t="s">
        <v>13279</v>
      </c>
      <c r="F2166" s="8" t="s">
        <v>3564</v>
      </c>
      <c r="G2166" s="8" t="s">
        <v>8316</v>
      </c>
      <c r="H2166" s="8" t="s">
        <v>3479</v>
      </c>
      <c r="I2166" s="9">
        <v>0.0</v>
      </c>
      <c r="J2166" s="9">
        <v>1059.0</v>
      </c>
      <c r="K2166" s="9">
        <v>1059.0</v>
      </c>
      <c r="L2166" s="9">
        <v>1059.0</v>
      </c>
      <c r="M2166" s="9">
        <v>120.0</v>
      </c>
      <c r="N2166" s="9">
        <v>190.0</v>
      </c>
      <c r="O2166" s="9">
        <v>749.0</v>
      </c>
      <c r="P2166" s="8" t="s">
        <v>3480</v>
      </c>
      <c r="Q2166" s="8" t="s">
        <v>13280</v>
      </c>
      <c r="R2166" s="8" t="s">
        <v>13281</v>
      </c>
    </row>
    <row r="2167">
      <c r="A2167" s="8" t="s">
        <v>2682</v>
      </c>
      <c r="B2167" s="8" t="s">
        <v>13282</v>
      </c>
      <c r="C2167" s="8" t="s">
        <v>9121</v>
      </c>
      <c r="D2167" s="9">
        <v>9.373841171E9</v>
      </c>
      <c r="E2167" s="8" t="s">
        <v>9122</v>
      </c>
      <c r="F2167" s="8" t="s">
        <v>8180</v>
      </c>
      <c r="G2167" s="8" t="s">
        <v>3494</v>
      </c>
      <c r="H2167" s="8" t="s">
        <v>3479</v>
      </c>
      <c r="I2167" s="9">
        <v>0.0</v>
      </c>
      <c r="J2167" s="9">
        <v>988.0</v>
      </c>
      <c r="K2167" s="9">
        <v>988.0</v>
      </c>
      <c r="L2167" s="9">
        <v>988.0</v>
      </c>
      <c r="M2167" s="9">
        <v>988.0</v>
      </c>
      <c r="N2167" s="9">
        <v>0.0</v>
      </c>
      <c r="O2167" s="9">
        <v>0.0</v>
      </c>
      <c r="P2167" s="8" t="s">
        <v>3480</v>
      </c>
      <c r="Q2167" s="8"/>
      <c r="R2167" s="8"/>
    </row>
    <row r="2168">
      <c r="A2168" s="8" t="s">
        <v>2674</v>
      </c>
      <c r="B2168" s="8" t="s">
        <v>13283</v>
      </c>
      <c r="C2168" s="8" t="s">
        <v>9467</v>
      </c>
      <c r="D2168" s="9">
        <v>8.149555665E9</v>
      </c>
      <c r="E2168" s="8" t="s">
        <v>9468</v>
      </c>
      <c r="F2168" s="8" t="s">
        <v>3523</v>
      </c>
      <c r="G2168" s="8" t="s">
        <v>9469</v>
      </c>
      <c r="H2168" s="8" t="s">
        <v>3479</v>
      </c>
      <c r="I2168" s="9">
        <v>0.0</v>
      </c>
      <c r="J2168" s="9">
        <v>3011.0</v>
      </c>
      <c r="K2168" s="9">
        <v>3011.0</v>
      </c>
      <c r="L2168" s="9">
        <v>3011.0</v>
      </c>
      <c r="M2168" s="9">
        <v>2651.0</v>
      </c>
      <c r="N2168" s="9">
        <v>0.0</v>
      </c>
      <c r="O2168" s="9">
        <v>360.0</v>
      </c>
      <c r="P2168" s="8" t="s">
        <v>3480</v>
      </c>
      <c r="Q2168" s="8" t="s">
        <v>9470</v>
      </c>
      <c r="R2168" s="8" t="s">
        <v>9471</v>
      </c>
    </row>
    <row r="2169">
      <c r="A2169" s="8" t="s">
        <v>2675</v>
      </c>
      <c r="B2169" s="8" t="s">
        <v>13284</v>
      </c>
      <c r="C2169" s="8" t="s">
        <v>13285</v>
      </c>
      <c r="D2169" s="9">
        <v>9.88112423E9</v>
      </c>
      <c r="E2169" s="8" t="s">
        <v>13286</v>
      </c>
      <c r="F2169" s="8" t="s">
        <v>3517</v>
      </c>
      <c r="G2169" s="8" t="s">
        <v>8893</v>
      </c>
      <c r="H2169" s="8" t="s">
        <v>3479</v>
      </c>
      <c r="I2169" s="9">
        <v>0.0</v>
      </c>
      <c r="J2169" s="9">
        <v>2195.0</v>
      </c>
      <c r="K2169" s="9">
        <v>2195.0</v>
      </c>
      <c r="L2169" s="9">
        <v>2195.0</v>
      </c>
      <c r="M2169" s="9">
        <v>1740.0</v>
      </c>
      <c r="N2169" s="9">
        <v>0.0</v>
      </c>
      <c r="O2169" s="9">
        <v>455.0</v>
      </c>
      <c r="P2169" s="8" t="s">
        <v>3480</v>
      </c>
      <c r="Q2169" s="8"/>
      <c r="R2169" s="8"/>
    </row>
    <row r="2170">
      <c r="A2170" s="8" t="s">
        <v>2249</v>
      </c>
      <c r="B2170" s="8" t="s">
        <v>13287</v>
      </c>
      <c r="C2170" s="8" t="s">
        <v>13288</v>
      </c>
      <c r="D2170" s="9">
        <v>9.702993525E9</v>
      </c>
      <c r="E2170" s="8" t="s">
        <v>13289</v>
      </c>
      <c r="F2170" s="8" t="s">
        <v>4059</v>
      </c>
      <c r="G2170" s="8" t="s">
        <v>3494</v>
      </c>
      <c r="H2170" s="8" t="s">
        <v>3479</v>
      </c>
      <c r="I2170" s="9">
        <v>0.0</v>
      </c>
      <c r="J2170" s="9">
        <v>3280.0</v>
      </c>
      <c r="K2170" s="9">
        <v>3280.0</v>
      </c>
      <c r="L2170" s="9">
        <v>3280.0</v>
      </c>
      <c r="M2170" s="9">
        <v>1577.0</v>
      </c>
      <c r="N2170" s="9">
        <v>849.0</v>
      </c>
      <c r="O2170" s="9">
        <v>854.0</v>
      </c>
      <c r="P2170" s="8" t="s">
        <v>3480</v>
      </c>
      <c r="Q2170" s="8"/>
      <c r="R2170" s="8"/>
    </row>
    <row r="2171">
      <c r="A2171" s="8" t="s">
        <v>2564</v>
      </c>
      <c r="B2171" s="8" t="s">
        <v>13290</v>
      </c>
      <c r="C2171" s="8" t="s">
        <v>10510</v>
      </c>
      <c r="D2171" s="9">
        <v>9.352808907E9</v>
      </c>
      <c r="E2171" s="8" t="s">
        <v>10511</v>
      </c>
      <c r="F2171" s="8" t="s">
        <v>3959</v>
      </c>
      <c r="G2171" s="8" t="s">
        <v>10512</v>
      </c>
      <c r="H2171" s="8" t="s">
        <v>3479</v>
      </c>
      <c r="I2171" s="9">
        <v>0.0</v>
      </c>
      <c r="J2171" s="9">
        <v>6365.0</v>
      </c>
      <c r="K2171" s="9">
        <v>6365.0</v>
      </c>
      <c r="L2171" s="9">
        <v>6365.0</v>
      </c>
      <c r="M2171" s="9">
        <v>2331.0</v>
      </c>
      <c r="N2171" s="9">
        <v>594.0</v>
      </c>
      <c r="O2171" s="9">
        <v>3440.0</v>
      </c>
      <c r="P2171" s="8" t="s">
        <v>3480</v>
      </c>
      <c r="Q2171" s="8" t="s">
        <v>10514</v>
      </c>
      <c r="R2171" s="8" t="s">
        <v>10515</v>
      </c>
    </row>
    <row r="2172">
      <c r="A2172" s="8" t="s">
        <v>2331</v>
      </c>
      <c r="B2172" s="8" t="s">
        <v>13291</v>
      </c>
      <c r="C2172" s="8" t="s">
        <v>5656</v>
      </c>
      <c r="D2172" s="9">
        <v>9.822707836E9</v>
      </c>
      <c r="E2172" s="8" t="s">
        <v>7772</v>
      </c>
      <c r="F2172" s="8" t="s">
        <v>3523</v>
      </c>
      <c r="G2172" s="8" t="s">
        <v>13292</v>
      </c>
      <c r="H2172" s="8" t="s">
        <v>3479</v>
      </c>
      <c r="I2172" s="9">
        <v>0.0</v>
      </c>
      <c r="J2172" s="9">
        <v>2209.0</v>
      </c>
      <c r="K2172" s="9">
        <v>2209.0</v>
      </c>
      <c r="L2172" s="9">
        <v>2209.0</v>
      </c>
      <c r="M2172" s="9">
        <v>955.0</v>
      </c>
      <c r="N2172" s="9">
        <v>730.0</v>
      </c>
      <c r="O2172" s="9">
        <v>524.0</v>
      </c>
      <c r="P2172" s="8" t="s">
        <v>3519</v>
      </c>
      <c r="Q2172" s="8" t="s">
        <v>7774</v>
      </c>
      <c r="R2172" s="8" t="s">
        <v>7775</v>
      </c>
    </row>
    <row r="2173">
      <c r="A2173" s="8" t="s">
        <v>2657</v>
      </c>
      <c r="B2173" s="8" t="s">
        <v>13293</v>
      </c>
      <c r="C2173" s="8" t="s">
        <v>13294</v>
      </c>
      <c r="D2173" s="9">
        <v>9.422302523E9</v>
      </c>
      <c r="E2173" s="8" t="s">
        <v>13295</v>
      </c>
      <c r="F2173" s="8" t="s">
        <v>3601</v>
      </c>
      <c r="G2173" s="8" t="s">
        <v>13296</v>
      </c>
      <c r="H2173" s="8" t="s">
        <v>3479</v>
      </c>
      <c r="I2173" s="9">
        <v>0.0</v>
      </c>
      <c r="J2173" s="9">
        <v>1503.0</v>
      </c>
      <c r="K2173" s="9">
        <v>1503.0</v>
      </c>
      <c r="L2173" s="9">
        <v>1503.0</v>
      </c>
      <c r="M2173" s="9">
        <v>324.0</v>
      </c>
      <c r="N2173" s="9">
        <v>730.0</v>
      </c>
      <c r="O2173" s="9">
        <v>449.0</v>
      </c>
      <c r="P2173" s="8" t="s">
        <v>3519</v>
      </c>
      <c r="Q2173" s="8" t="s">
        <v>13297</v>
      </c>
      <c r="R2173" s="8" t="s">
        <v>13298</v>
      </c>
    </row>
    <row r="2174">
      <c r="A2174" s="8" t="s">
        <v>2248</v>
      </c>
      <c r="B2174" s="8" t="s">
        <v>13299</v>
      </c>
      <c r="C2174" s="8" t="s">
        <v>13300</v>
      </c>
      <c r="D2174" s="9">
        <v>9.657075218E9</v>
      </c>
      <c r="E2174" s="8" t="s">
        <v>13301</v>
      </c>
      <c r="F2174" s="8" t="s">
        <v>7316</v>
      </c>
      <c r="G2174" s="8" t="s">
        <v>13302</v>
      </c>
      <c r="H2174" s="8" t="s">
        <v>3479</v>
      </c>
      <c r="I2174" s="9">
        <v>0.0</v>
      </c>
      <c r="J2174" s="9">
        <v>650.0</v>
      </c>
      <c r="K2174" s="9">
        <v>650.0</v>
      </c>
      <c r="L2174" s="9">
        <v>650.0</v>
      </c>
      <c r="M2174" s="9">
        <v>450.0</v>
      </c>
      <c r="N2174" s="9">
        <v>0.0</v>
      </c>
      <c r="O2174" s="9">
        <v>200.0</v>
      </c>
      <c r="P2174" s="8" t="s">
        <v>3519</v>
      </c>
      <c r="Q2174" s="8"/>
      <c r="R2174" s="8"/>
    </row>
    <row r="2175">
      <c r="A2175" s="8" t="s">
        <v>2706</v>
      </c>
      <c r="B2175" s="8" t="s">
        <v>13303</v>
      </c>
      <c r="C2175" s="8" t="s">
        <v>13304</v>
      </c>
      <c r="D2175" s="9">
        <v>8.605664036E9</v>
      </c>
      <c r="E2175" s="8" t="s">
        <v>13305</v>
      </c>
      <c r="F2175" s="8" t="s">
        <v>3523</v>
      </c>
      <c r="G2175" s="8" t="s">
        <v>13306</v>
      </c>
      <c r="H2175" s="8" t="s">
        <v>3479</v>
      </c>
      <c r="I2175" s="9">
        <v>0.0</v>
      </c>
      <c r="J2175" s="9">
        <v>4578.0</v>
      </c>
      <c r="K2175" s="9">
        <v>4578.0</v>
      </c>
      <c r="L2175" s="9">
        <v>4578.0</v>
      </c>
      <c r="M2175" s="9">
        <v>3315.0</v>
      </c>
      <c r="N2175" s="9">
        <v>739.0</v>
      </c>
      <c r="O2175" s="9">
        <v>524.0</v>
      </c>
      <c r="P2175" s="8" t="s">
        <v>3544</v>
      </c>
      <c r="Q2175" s="8" t="s">
        <v>13307</v>
      </c>
      <c r="R2175" s="8" t="s">
        <v>13308</v>
      </c>
    </row>
    <row r="2176">
      <c r="A2176" s="8" t="s">
        <v>2676</v>
      </c>
      <c r="B2176" s="8" t="s">
        <v>13309</v>
      </c>
      <c r="C2176" s="8" t="s">
        <v>13310</v>
      </c>
      <c r="D2176" s="9">
        <v>8.380914103E9</v>
      </c>
      <c r="E2176" s="8" t="s">
        <v>13311</v>
      </c>
      <c r="F2176" s="8" t="s">
        <v>3846</v>
      </c>
      <c r="G2176" s="8" t="s">
        <v>13312</v>
      </c>
      <c r="H2176" s="8" t="s">
        <v>3479</v>
      </c>
      <c r="I2176" s="9">
        <v>0.0</v>
      </c>
      <c r="J2176" s="9">
        <v>1758.0</v>
      </c>
      <c r="K2176" s="9">
        <v>1758.0</v>
      </c>
      <c r="L2176" s="9">
        <v>1758.0</v>
      </c>
      <c r="M2176" s="9">
        <v>159.0</v>
      </c>
      <c r="N2176" s="9">
        <v>900.0</v>
      </c>
      <c r="O2176" s="9">
        <v>699.0</v>
      </c>
      <c r="P2176" s="8" t="s">
        <v>3480</v>
      </c>
      <c r="Q2176" s="8"/>
      <c r="R2176" s="8"/>
    </row>
    <row r="2177">
      <c r="A2177" s="8" t="s">
        <v>2565</v>
      </c>
      <c r="B2177" s="8" t="s">
        <v>13313</v>
      </c>
      <c r="C2177" s="8" t="s">
        <v>13314</v>
      </c>
      <c r="D2177" s="9">
        <v>8.087274976E9</v>
      </c>
      <c r="E2177" s="8" t="s">
        <v>13315</v>
      </c>
      <c r="F2177" s="8" t="s">
        <v>3908</v>
      </c>
      <c r="G2177" s="8" t="s">
        <v>13316</v>
      </c>
      <c r="H2177" s="8" t="s">
        <v>3479</v>
      </c>
      <c r="I2177" s="9">
        <v>0.0</v>
      </c>
      <c r="J2177" s="9">
        <v>1473.0</v>
      </c>
      <c r="K2177" s="9">
        <v>1473.0</v>
      </c>
      <c r="L2177" s="9">
        <v>1473.0</v>
      </c>
      <c r="M2177" s="9">
        <v>250.0</v>
      </c>
      <c r="N2177" s="9">
        <v>774.0</v>
      </c>
      <c r="O2177" s="9">
        <v>449.0</v>
      </c>
      <c r="P2177" s="8" t="s">
        <v>3480</v>
      </c>
      <c r="Q2177" s="8" t="s">
        <v>13317</v>
      </c>
      <c r="R2177" s="8" t="s">
        <v>13318</v>
      </c>
    </row>
    <row r="2178">
      <c r="A2178" s="8" t="s">
        <v>2678</v>
      </c>
      <c r="B2178" s="8" t="s">
        <v>13319</v>
      </c>
      <c r="C2178" s="8" t="s">
        <v>9390</v>
      </c>
      <c r="D2178" s="9">
        <v>9.833238285E9</v>
      </c>
      <c r="E2178" s="8" t="s">
        <v>9391</v>
      </c>
      <c r="F2178" s="8" t="s">
        <v>3934</v>
      </c>
      <c r="G2178" s="8" t="s">
        <v>13320</v>
      </c>
      <c r="H2178" s="8" t="s">
        <v>3479</v>
      </c>
      <c r="I2178" s="9">
        <v>0.0</v>
      </c>
      <c r="J2178" s="9">
        <v>1350.0</v>
      </c>
      <c r="K2178" s="9">
        <v>1350.0</v>
      </c>
      <c r="L2178" s="9">
        <v>1350.0</v>
      </c>
      <c r="M2178" s="9">
        <v>1350.0</v>
      </c>
      <c r="N2178" s="9">
        <v>0.0</v>
      </c>
      <c r="O2178" s="9">
        <v>0.0</v>
      </c>
      <c r="P2178" s="8" t="s">
        <v>3480</v>
      </c>
      <c r="Q2178" s="8" t="s">
        <v>9393</v>
      </c>
      <c r="R2178" s="8" t="s">
        <v>9394</v>
      </c>
    </row>
    <row r="2179">
      <c r="A2179" s="8" t="s">
        <v>2679</v>
      </c>
      <c r="B2179" s="8" t="s">
        <v>13321</v>
      </c>
      <c r="C2179" s="8" t="s">
        <v>8442</v>
      </c>
      <c r="D2179" s="9">
        <v>9.83480281E9</v>
      </c>
      <c r="E2179" s="8" t="s">
        <v>8443</v>
      </c>
      <c r="F2179" s="8" t="s">
        <v>3564</v>
      </c>
      <c r="G2179" s="8" t="s">
        <v>13322</v>
      </c>
      <c r="H2179" s="8" t="s">
        <v>3479</v>
      </c>
      <c r="I2179" s="9">
        <v>0.0</v>
      </c>
      <c r="J2179" s="9">
        <v>1059.0</v>
      </c>
      <c r="K2179" s="9">
        <v>1059.0</v>
      </c>
      <c r="L2179" s="9">
        <v>1059.0</v>
      </c>
      <c r="M2179" s="9">
        <v>120.0</v>
      </c>
      <c r="N2179" s="9">
        <v>190.0</v>
      </c>
      <c r="O2179" s="9">
        <v>749.0</v>
      </c>
      <c r="P2179" s="8" t="s">
        <v>3480</v>
      </c>
      <c r="Q2179" s="8" t="s">
        <v>8445</v>
      </c>
      <c r="R2179" s="8" t="s">
        <v>8446</v>
      </c>
    </row>
    <row r="2180">
      <c r="A2180" s="8" t="s">
        <v>2680</v>
      </c>
      <c r="B2180" s="8" t="s">
        <v>13323</v>
      </c>
      <c r="C2180" s="8" t="s">
        <v>7733</v>
      </c>
      <c r="D2180" s="9">
        <v>9.96063205E9</v>
      </c>
      <c r="E2180" s="8" t="s">
        <v>7734</v>
      </c>
      <c r="F2180" s="8" t="s">
        <v>3869</v>
      </c>
      <c r="G2180" s="8" t="s">
        <v>13324</v>
      </c>
      <c r="H2180" s="8" t="s">
        <v>3479</v>
      </c>
      <c r="I2180" s="9">
        <v>0.0</v>
      </c>
      <c r="J2180" s="9">
        <v>2386.0</v>
      </c>
      <c r="K2180" s="9">
        <v>2386.0</v>
      </c>
      <c r="L2180" s="9">
        <v>2386.0</v>
      </c>
      <c r="M2180" s="9">
        <v>728.0</v>
      </c>
      <c r="N2180" s="9">
        <v>784.0</v>
      </c>
      <c r="O2180" s="9">
        <v>874.0</v>
      </c>
      <c r="P2180" s="8" t="s">
        <v>3480</v>
      </c>
      <c r="Q2180" s="8" t="s">
        <v>7736</v>
      </c>
      <c r="R2180" s="8" t="s">
        <v>7737</v>
      </c>
    </row>
    <row r="2181">
      <c r="A2181" s="8" t="s">
        <v>2250</v>
      </c>
      <c r="B2181" s="8" t="s">
        <v>13325</v>
      </c>
      <c r="C2181" s="8" t="s">
        <v>13326</v>
      </c>
      <c r="D2181" s="9">
        <v>9.766945541E9</v>
      </c>
      <c r="E2181" s="8" t="s">
        <v>13327</v>
      </c>
      <c r="F2181" s="8" t="s">
        <v>3821</v>
      </c>
      <c r="G2181" s="8" t="s">
        <v>13328</v>
      </c>
      <c r="H2181" s="8" t="s">
        <v>3479</v>
      </c>
      <c r="I2181" s="9">
        <v>0.0</v>
      </c>
      <c r="J2181" s="9">
        <v>1704.0</v>
      </c>
      <c r="K2181" s="9">
        <v>1704.0</v>
      </c>
      <c r="L2181" s="9">
        <v>1704.0</v>
      </c>
      <c r="M2181" s="9">
        <v>450.0</v>
      </c>
      <c r="N2181" s="9">
        <v>730.0</v>
      </c>
      <c r="O2181" s="9">
        <v>524.0</v>
      </c>
      <c r="P2181" s="8" t="s">
        <v>3480</v>
      </c>
      <c r="Q2181" s="8" t="s">
        <v>13329</v>
      </c>
      <c r="R2181" s="8" t="s">
        <v>13330</v>
      </c>
    </row>
    <row r="2182">
      <c r="A2182" s="8" t="s">
        <v>2332</v>
      </c>
      <c r="B2182" s="8" t="s">
        <v>13331</v>
      </c>
      <c r="C2182" s="8" t="s">
        <v>10843</v>
      </c>
      <c r="D2182" s="9">
        <v>7.020008535E9</v>
      </c>
      <c r="E2182" s="8" t="s">
        <v>13332</v>
      </c>
      <c r="F2182" s="8" t="s">
        <v>5872</v>
      </c>
      <c r="G2182" s="8" t="s">
        <v>3494</v>
      </c>
      <c r="H2182" s="8" t="s">
        <v>3479</v>
      </c>
      <c r="I2182" s="9">
        <v>0.0</v>
      </c>
      <c r="J2182" s="9">
        <v>3388.0</v>
      </c>
      <c r="K2182" s="9">
        <v>3388.0</v>
      </c>
      <c r="L2182" s="9">
        <v>3388.0</v>
      </c>
      <c r="M2182" s="9">
        <v>886.0</v>
      </c>
      <c r="N2182" s="9">
        <v>1528.0</v>
      </c>
      <c r="O2182" s="9">
        <v>974.0</v>
      </c>
      <c r="P2182" s="8" t="s">
        <v>3480</v>
      </c>
      <c r="Q2182" s="8" t="s">
        <v>13333</v>
      </c>
      <c r="R2182" s="8" t="s">
        <v>13334</v>
      </c>
    </row>
    <row r="2183">
      <c r="A2183" s="8" t="s">
        <v>2566</v>
      </c>
      <c r="B2183" s="8" t="s">
        <v>13335</v>
      </c>
      <c r="C2183" s="8" t="s">
        <v>4845</v>
      </c>
      <c r="D2183" s="9">
        <v>9.168722409E9</v>
      </c>
      <c r="E2183" s="8" t="s">
        <v>13336</v>
      </c>
      <c r="F2183" s="8" t="s">
        <v>3628</v>
      </c>
      <c r="G2183" s="8" t="s">
        <v>13337</v>
      </c>
      <c r="H2183" s="8" t="s">
        <v>3479</v>
      </c>
      <c r="I2183" s="9">
        <v>0.0</v>
      </c>
      <c r="J2183" s="9">
        <v>3121.0</v>
      </c>
      <c r="K2183" s="9">
        <v>3121.0</v>
      </c>
      <c r="L2183" s="9">
        <v>3121.0</v>
      </c>
      <c r="M2183" s="9">
        <v>2216.0</v>
      </c>
      <c r="N2183" s="9">
        <v>0.0</v>
      </c>
      <c r="O2183" s="9">
        <v>905.0</v>
      </c>
      <c r="P2183" s="8" t="s">
        <v>3480</v>
      </c>
      <c r="Q2183" s="8"/>
      <c r="R2183" s="8"/>
    </row>
    <row r="2184">
      <c r="A2184" s="8" t="s">
        <v>2121</v>
      </c>
      <c r="B2184" s="8" t="s">
        <v>13338</v>
      </c>
      <c r="C2184" s="8" t="s">
        <v>13339</v>
      </c>
      <c r="D2184" s="9">
        <v>9.604135895E9</v>
      </c>
      <c r="E2184" s="8" t="s">
        <v>13340</v>
      </c>
      <c r="F2184" s="8" t="s">
        <v>3881</v>
      </c>
      <c r="G2184" s="8" t="s">
        <v>13341</v>
      </c>
      <c r="H2184" s="8" t="s">
        <v>3479</v>
      </c>
      <c r="I2184" s="9">
        <v>0.0</v>
      </c>
      <c r="J2184" s="9">
        <v>3927.0</v>
      </c>
      <c r="K2184" s="9">
        <v>3927.0</v>
      </c>
      <c r="L2184" s="9">
        <v>3927.0</v>
      </c>
      <c r="M2184" s="9">
        <v>2673.0</v>
      </c>
      <c r="N2184" s="9">
        <v>730.0</v>
      </c>
      <c r="O2184" s="9">
        <v>524.0</v>
      </c>
      <c r="P2184" s="8" t="s">
        <v>3480</v>
      </c>
      <c r="Q2184" s="8" t="s">
        <v>13342</v>
      </c>
      <c r="R2184" s="8" t="s">
        <v>13343</v>
      </c>
    </row>
    <row r="2185">
      <c r="A2185" s="8" t="s">
        <v>2677</v>
      </c>
      <c r="B2185" s="8" t="s">
        <v>13344</v>
      </c>
      <c r="C2185" s="8" t="s">
        <v>13345</v>
      </c>
      <c r="D2185" s="9">
        <v>9.021824645E9</v>
      </c>
      <c r="E2185" s="8" t="s">
        <v>13346</v>
      </c>
      <c r="F2185" s="8" t="s">
        <v>3542</v>
      </c>
      <c r="G2185" s="8" t="s">
        <v>8279</v>
      </c>
      <c r="H2185" s="8" t="s">
        <v>3479</v>
      </c>
      <c r="I2185" s="9">
        <v>0.0</v>
      </c>
      <c r="J2185" s="9">
        <v>1450.0</v>
      </c>
      <c r="K2185" s="9">
        <v>1450.0</v>
      </c>
      <c r="L2185" s="9">
        <v>1450.0</v>
      </c>
      <c r="M2185" s="9">
        <v>1450.0</v>
      </c>
      <c r="N2185" s="9">
        <v>0.0</v>
      </c>
      <c r="O2185" s="9">
        <v>0.0</v>
      </c>
      <c r="P2185" s="8" t="s">
        <v>3480</v>
      </c>
      <c r="Q2185" s="8" t="s">
        <v>13347</v>
      </c>
      <c r="R2185" s="8" t="s">
        <v>13348</v>
      </c>
    </row>
    <row r="2186">
      <c r="A2186" s="8" t="s">
        <v>2122</v>
      </c>
      <c r="B2186" s="8" t="s">
        <v>13349</v>
      </c>
      <c r="C2186" s="8" t="s">
        <v>8968</v>
      </c>
      <c r="D2186" s="9">
        <v>9.823256415E9</v>
      </c>
      <c r="E2186" s="8" t="s">
        <v>13350</v>
      </c>
      <c r="F2186" s="8" t="s">
        <v>3498</v>
      </c>
      <c r="G2186" s="8" t="s">
        <v>13351</v>
      </c>
      <c r="H2186" s="8" t="s">
        <v>3479</v>
      </c>
      <c r="I2186" s="9">
        <v>0.0</v>
      </c>
      <c r="J2186" s="9">
        <v>1714.0</v>
      </c>
      <c r="K2186" s="9">
        <v>1714.0</v>
      </c>
      <c r="L2186" s="9">
        <v>1714.0</v>
      </c>
      <c r="M2186" s="9">
        <v>460.0</v>
      </c>
      <c r="N2186" s="9">
        <v>730.0</v>
      </c>
      <c r="O2186" s="9">
        <v>524.0</v>
      </c>
      <c r="P2186" s="8" t="s">
        <v>3480</v>
      </c>
      <c r="Q2186" s="8"/>
      <c r="R2186" s="8"/>
    </row>
    <row r="2187">
      <c r="A2187" s="8" t="s">
        <v>2330</v>
      </c>
      <c r="B2187" s="8" t="s">
        <v>13352</v>
      </c>
      <c r="C2187" s="8" t="s">
        <v>13353</v>
      </c>
      <c r="D2187" s="9">
        <v>9.359932979E9</v>
      </c>
      <c r="E2187" s="8" t="s">
        <v>13354</v>
      </c>
      <c r="F2187" s="8" t="s">
        <v>3564</v>
      </c>
      <c r="G2187" s="8" t="s">
        <v>3494</v>
      </c>
      <c r="H2187" s="8" t="s">
        <v>3479</v>
      </c>
      <c r="I2187" s="9">
        <v>0.0</v>
      </c>
      <c r="J2187" s="9">
        <v>1609.0</v>
      </c>
      <c r="K2187" s="9">
        <v>1609.0</v>
      </c>
      <c r="L2187" s="9">
        <v>1609.0</v>
      </c>
      <c r="M2187" s="9">
        <v>780.0</v>
      </c>
      <c r="N2187" s="9">
        <v>0.0</v>
      </c>
      <c r="O2187" s="9">
        <v>829.0</v>
      </c>
      <c r="P2187" s="8" t="s">
        <v>3480</v>
      </c>
      <c r="Q2187" s="8"/>
      <c r="R2187" s="8"/>
    </row>
    <row r="2188">
      <c r="A2188" s="8" t="s">
        <v>2707</v>
      </c>
      <c r="B2188" s="8" t="s">
        <v>13355</v>
      </c>
      <c r="C2188" s="8" t="s">
        <v>3656</v>
      </c>
      <c r="D2188" s="9">
        <v>9.766188212E9</v>
      </c>
      <c r="E2188" s="8" t="s">
        <v>13356</v>
      </c>
      <c r="F2188" s="8" t="s">
        <v>3589</v>
      </c>
      <c r="G2188" s="8" t="s">
        <v>13357</v>
      </c>
      <c r="H2188" s="8" t="s">
        <v>3479</v>
      </c>
      <c r="I2188" s="9">
        <v>0.0</v>
      </c>
      <c r="J2188" s="9">
        <v>1423.0</v>
      </c>
      <c r="K2188" s="9">
        <v>1423.0</v>
      </c>
      <c r="L2188" s="9">
        <v>1423.0</v>
      </c>
      <c r="M2188" s="9">
        <v>160.0</v>
      </c>
      <c r="N2188" s="9">
        <v>739.0</v>
      </c>
      <c r="O2188" s="9">
        <v>524.0</v>
      </c>
      <c r="P2188" s="8" t="s">
        <v>3480</v>
      </c>
      <c r="Q2188" s="8" t="s">
        <v>13358</v>
      </c>
      <c r="R2188" s="8" t="s">
        <v>13359</v>
      </c>
    </row>
    <row r="2189">
      <c r="A2189" s="8" t="s">
        <v>2708</v>
      </c>
      <c r="B2189" s="8" t="s">
        <v>13360</v>
      </c>
      <c r="C2189" s="8" t="s">
        <v>7151</v>
      </c>
      <c r="D2189" s="9">
        <v>9.545465165E9</v>
      </c>
      <c r="E2189" s="8" t="s">
        <v>13361</v>
      </c>
      <c r="F2189" s="8" t="s">
        <v>3523</v>
      </c>
      <c r="G2189" s="8" t="s">
        <v>13362</v>
      </c>
      <c r="H2189" s="8" t="s">
        <v>3479</v>
      </c>
      <c r="I2189" s="9">
        <v>0.0</v>
      </c>
      <c r="J2189" s="9">
        <v>2098.0</v>
      </c>
      <c r="K2189" s="9">
        <v>2098.0</v>
      </c>
      <c r="L2189" s="9">
        <v>2098.0</v>
      </c>
      <c r="M2189" s="9">
        <v>835.0</v>
      </c>
      <c r="N2189" s="9">
        <v>739.0</v>
      </c>
      <c r="O2189" s="9">
        <v>524.0</v>
      </c>
      <c r="P2189" s="8" t="s">
        <v>3480</v>
      </c>
      <c r="Q2189" s="8" t="s">
        <v>4241</v>
      </c>
      <c r="R2189" s="8"/>
    </row>
    <row r="2190">
      <c r="A2190" s="8" t="s">
        <v>2709</v>
      </c>
      <c r="B2190" s="8" t="s">
        <v>13363</v>
      </c>
      <c r="C2190" s="8" t="s">
        <v>4845</v>
      </c>
      <c r="D2190" s="9">
        <v>9.766188212E9</v>
      </c>
      <c r="E2190" s="8" t="s">
        <v>13356</v>
      </c>
      <c r="F2190" s="8" t="s">
        <v>3589</v>
      </c>
      <c r="G2190" s="8" t="s">
        <v>13357</v>
      </c>
      <c r="H2190" s="8" t="s">
        <v>3479</v>
      </c>
      <c r="I2190" s="9">
        <v>0.0</v>
      </c>
      <c r="J2190" s="9">
        <v>0.0</v>
      </c>
      <c r="K2190" s="9">
        <v>0.0</v>
      </c>
      <c r="L2190" s="9">
        <v>0.0</v>
      </c>
      <c r="M2190" s="9">
        <v>0.0</v>
      </c>
      <c r="N2190" s="9">
        <v>0.0</v>
      </c>
      <c r="O2190" s="9">
        <v>0.0</v>
      </c>
      <c r="P2190" s="8" t="s">
        <v>3480</v>
      </c>
      <c r="Q2190" s="8" t="s">
        <v>13358</v>
      </c>
      <c r="R2190" s="8" t="s">
        <v>13359</v>
      </c>
    </row>
    <row r="2191">
      <c r="A2191" s="8" t="s">
        <v>2710</v>
      </c>
      <c r="B2191" s="8" t="s">
        <v>13364</v>
      </c>
      <c r="C2191" s="8" t="s">
        <v>13365</v>
      </c>
      <c r="D2191" s="9">
        <v>7.774079947E9</v>
      </c>
      <c r="E2191" s="8" t="s">
        <v>13366</v>
      </c>
      <c r="F2191" s="8" t="s">
        <v>4436</v>
      </c>
      <c r="G2191" s="8" t="s">
        <v>13367</v>
      </c>
      <c r="H2191" s="8" t="s">
        <v>3479</v>
      </c>
      <c r="I2191" s="9">
        <v>0.0</v>
      </c>
      <c r="J2191" s="9">
        <v>939.0</v>
      </c>
      <c r="K2191" s="9">
        <v>939.0</v>
      </c>
      <c r="L2191" s="9">
        <v>939.0</v>
      </c>
      <c r="M2191" s="9">
        <v>0.0</v>
      </c>
      <c r="N2191" s="9">
        <v>190.0</v>
      </c>
      <c r="O2191" s="9">
        <v>749.0</v>
      </c>
      <c r="P2191" s="8" t="s">
        <v>3480</v>
      </c>
      <c r="Q2191" s="8"/>
      <c r="R2191" s="8"/>
    </row>
    <row r="2192">
      <c r="A2192" s="8" t="s">
        <v>2711</v>
      </c>
      <c r="B2192" s="8" t="s">
        <v>13368</v>
      </c>
      <c r="C2192" s="8" t="s">
        <v>13369</v>
      </c>
      <c r="D2192" s="9">
        <v>9.4210813E9</v>
      </c>
      <c r="E2192" s="8" t="s">
        <v>13370</v>
      </c>
      <c r="F2192" s="8" t="s">
        <v>3523</v>
      </c>
      <c r="G2192" s="8" t="s">
        <v>13371</v>
      </c>
      <c r="H2192" s="8" t="s">
        <v>3479</v>
      </c>
      <c r="I2192" s="9">
        <v>0.0</v>
      </c>
      <c r="J2192" s="9">
        <v>4690.0</v>
      </c>
      <c r="K2192" s="9">
        <v>4690.0</v>
      </c>
      <c r="L2192" s="9">
        <v>4690.0</v>
      </c>
      <c r="M2192" s="9">
        <v>3177.0</v>
      </c>
      <c r="N2192" s="9">
        <v>739.0</v>
      </c>
      <c r="O2192" s="9">
        <v>774.0</v>
      </c>
      <c r="P2192" s="8" t="s">
        <v>3519</v>
      </c>
      <c r="Q2192" s="8" t="s">
        <v>13372</v>
      </c>
      <c r="R2192" s="8" t="s">
        <v>13373</v>
      </c>
    </row>
    <row r="2193">
      <c r="A2193" s="8" t="s">
        <v>2712</v>
      </c>
      <c r="B2193" s="8" t="s">
        <v>13374</v>
      </c>
      <c r="C2193" s="8" t="s">
        <v>11809</v>
      </c>
      <c r="D2193" s="9">
        <v>9.545157573E9</v>
      </c>
      <c r="E2193" s="8" t="s">
        <v>11810</v>
      </c>
      <c r="F2193" s="8" t="s">
        <v>3815</v>
      </c>
      <c r="G2193" s="8" t="s">
        <v>11811</v>
      </c>
      <c r="H2193" s="8" t="s">
        <v>3479</v>
      </c>
      <c r="I2193" s="9">
        <v>0.0</v>
      </c>
      <c r="J2193" s="9">
        <v>2346.0</v>
      </c>
      <c r="K2193" s="9">
        <v>2346.0</v>
      </c>
      <c r="L2193" s="9">
        <v>2346.0</v>
      </c>
      <c r="M2193" s="9">
        <v>179.0</v>
      </c>
      <c r="N2193" s="9">
        <v>1468.0</v>
      </c>
      <c r="O2193" s="9">
        <v>699.0</v>
      </c>
      <c r="P2193" s="8" t="s">
        <v>3480</v>
      </c>
      <c r="Q2193" s="8"/>
      <c r="R2193" s="8"/>
    </row>
    <row r="2194">
      <c r="A2194" s="8" t="s">
        <v>2713</v>
      </c>
      <c r="B2194" s="8" t="s">
        <v>13375</v>
      </c>
      <c r="C2194" s="8" t="s">
        <v>13376</v>
      </c>
      <c r="D2194" s="9">
        <v>9.356487078E9</v>
      </c>
      <c r="E2194" s="8" t="s">
        <v>13377</v>
      </c>
      <c r="F2194" s="8" t="s">
        <v>3934</v>
      </c>
      <c r="G2194" s="8" t="s">
        <v>13378</v>
      </c>
      <c r="H2194" s="8" t="s">
        <v>3479</v>
      </c>
      <c r="I2194" s="9">
        <v>0.0</v>
      </c>
      <c r="J2194" s="9">
        <v>694.0</v>
      </c>
      <c r="K2194" s="9">
        <v>694.0</v>
      </c>
      <c r="L2194" s="9">
        <v>694.0</v>
      </c>
      <c r="M2194" s="9">
        <v>165.0</v>
      </c>
      <c r="N2194" s="9">
        <v>0.0</v>
      </c>
      <c r="O2194" s="9">
        <v>529.0</v>
      </c>
      <c r="P2194" s="8" t="s">
        <v>3480</v>
      </c>
      <c r="Q2194" s="8" t="s">
        <v>13379</v>
      </c>
      <c r="R2194" s="8"/>
    </row>
    <row r="2195">
      <c r="A2195" s="8" t="s">
        <v>2714</v>
      </c>
      <c r="B2195" s="8" t="s">
        <v>13380</v>
      </c>
      <c r="C2195" s="8" t="s">
        <v>13381</v>
      </c>
      <c r="D2195" s="9">
        <v>9.881878776E9</v>
      </c>
      <c r="E2195" s="8" t="s">
        <v>13382</v>
      </c>
      <c r="F2195" s="8" t="s">
        <v>3768</v>
      </c>
      <c r="G2195" s="8" t="s">
        <v>13383</v>
      </c>
      <c r="H2195" s="8" t="s">
        <v>13384</v>
      </c>
      <c r="I2195" s="9">
        <v>0.0</v>
      </c>
      <c r="J2195" s="9">
        <v>1200.0</v>
      </c>
      <c r="K2195" s="9">
        <v>1283.0</v>
      </c>
      <c r="L2195" s="9">
        <v>1200.0</v>
      </c>
      <c r="M2195" s="9">
        <v>613.0</v>
      </c>
      <c r="N2195" s="9">
        <v>65.0</v>
      </c>
      <c r="O2195" s="9">
        <v>605.0</v>
      </c>
      <c r="P2195" s="8" t="s">
        <v>3480</v>
      </c>
      <c r="Q2195" s="8"/>
      <c r="R2195" s="8"/>
    </row>
    <row r="2196">
      <c r="A2196" s="8" t="s">
        <v>2716</v>
      </c>
      <c r="B2196" s="8" t="s">
        <v>13385</v>
      </c>
      <c r="C2196" s="8" t="s">
        <v>13386</v>
      </c>
      <c r="D2196" s="9">
        <v>9.874253273E9</v>
      </c>
      <c r="E2196" s="8" t="s">
        <v>13387</v>
      </c>
      <c r="F2196" s="8" t="s">
        <v>6684</v>
      </c>
      <c r="G2196" s="8" t="s">
        <v>13388</v>
      </c>
      <c r="H2196" s="8" t="s">
        <v>3479</v>
      </c>
      <c r="I2196" s="9">
        <v>0.0</v>
      </c>
      <c r="J2196" s="9">
        <v>1634.0</v>
      </c>
      <c r="K2196" s="9">
        <v>1634.0</v>
      </c>
      <c r="L2196" s="9">
        <v>1634.0</v>
      </c>
      <c r="M2196" s="9">
        <v>80.0</v>
      </c>
      <c r="N2196" s="9">
        <v>730.0</v>
      </c>
      <c r="O2196" s="9">
        <v>824.0</v>
      </c>
      <c r="P2196" s="8" t="s">
        <v>3480</v>
      </c>
      <c r="Q2196" s="8" t="s">
        <v>13389</v>
      </c>
      <c r="R2196" s="8" t="s">
        <v>13390</v>
      </c>
    </row>
    <row r="2197">
      <c r="A2197" s="8" t="s">
        <v>2124</v>
      </c>
      <c r="B2197" s="8" t="s">
        <v>13391</v>
      </c>
      <c r="C2197" s="8" t="s">
        <v>13392</v>
      </c>
      <c r="D2197" s="9">
        <v>7.8793445E9</v>
      </c>
      <c r="E2197" s="8" t="s">
        <v>13393</v>
      </c>
      <c r="F2197" s="8" t="s">
        <v>3486</v>
      </c>
      <c r="G2197" s="8" t="s">
        <v>13394</v>
      </c>
      <c r="H2197" s="8" t="s">
        <v>3479</v>
      </c>
      <c r="I2197" s="9">
        <v>0.0</v>
      </c>
      <c r="J2197" s="9">
        <v>4063.0</v>
      </c>
      <c r="K2197" s="9">
        <v>4063.0</v>
      </c>
      <c r="L2197" s="9">
        <v>4063.0</v>
      </c>
      <c r="M2197" s="9">
        <v>2809.0</v>
      </c>
      <c r="N2197" s="9">
        <v>730.0</v>
      </c>
      <c r="O2197" s="9">
        <v>524.0</v>
      </c>
      <c r="P2197" s="8" t="s">
        <v>3480</v>
      </c>
      <c r="Q2197" s="8"/>
      <c r="R2197" s="8"/>
    </row>
    <row r="2198">
      <c r="A2198" s="8" t="s">
        <v>2125</v>
      </c>
      <c r="B2198" s="8" t="s">
        <v>13395</v>
      </c>
      <c r="C2198" s="8" t="s">
        <v>13196</v>
      </c>
      <c r="D2198" s="9">
        <v>9.881253129E9</v>
      </c>
      <c r="E2198" s="8" t="s">
        <v>13396</v>
      </c>
      <c r="F2198" s="8" t="s">
        <v>3934</v>
      </c>
      <c r="G2198" s="8" t="s">
        <v>13397</v>
      </c>
      <c r="H2198" s="8" t="s">
        <v>3479</v>
      </c>
      <c r="I2198" s="9">
        <v>0.0</v>
      </c>
      <c r="J2198" s="9">
        <v>1823.0</v>
      </c>
      <c r="K2198" s="9">
        <v>1823.0</v>
      </c>
      <c r="L2198" s="9">
        <v>1823.0</v>
      </c>
      <c r="M2198" s="9">
        <v>469.0</v>
      </c>
      <c r="N2198" s="9">
        <v>730.0</v>
      </c>
      <c r="O2198" s="9">
        <v>624.0</v>
      </c>
      <c r="P2198" s="8" t="s">
        <v>3480</v>
      </c>
      <c r="Q2198" s="8" t="s">
        <v>13398</v>
      </c>
      <c r="R2198" s="8" t="s">
        <v>13399</v>
      </c>
    </row>
    <row r="2199">
      <c r="A2199" s="8" t="s">
        <v>2715</v>
      </c>
      <c r="B2199" s="8" t="s">
        <v>13400</v>
      </c>
      <c r="C2199" s="8" t="s">
        <v>13401</v>
      </c>
      <c r="D2199" s="9">
        <v>9.881878776E9</v>
      </c>
      <c r="E2199" s="8" t="s">
        <v>13402</v>
      </c>
      <c r="F2199" s="8" t="s">
        <v>3523</v>
      </c>
      <c r="G2199" s="8" t="s">
        <v>13403</v>
      </c>
      <c r="H2199" s="8" t="s">
        <v>13404</v>
      </c>
      <c r="I2199" s="9">
        <v>0.0</v>
      </c>
      <c r="J2199" s="9">
        <v>1600.0</v>
      </c>
      <c r="K2199" s="9">
        <v>1656.0</v>
      </c>
      <c r="L2199" s="9">
        <v>1600.0</v>
      </c>
      <c r="M2199" s="9">
        <v>313.0</v>
      </c>
      <c r="N2199" s="9">
        <v>739.0</v>
      </c>
      <c r="O2199" s="9">
        <v>604.0</v>
      </c>
      <c r="P2199" s="8" t="s">
        <v>3480</v>
      </c>
      <c r="Q2199" s="8"/>
      <c r="R2199" s="8"/>
    </row>
    <row r="2200">
      <c r="A2200" s="8" t="s">
        <v>2717</v>
      </c>
      <c r="B2200" s="8" t="s">
        <v>13405</v>
      </c>
      <c r="C2200" s="8" t="s">
        <v>9091</v>
      </c>
      <c r="D2200" s="9">
        <v>7.741931293E9</v>
      </c>
      <c r="E2200" s="8" t="s">
        <v>9092</v>
      </c>
      <c r="F2200" s="8" t="s">
        <v>3615</v>
      </c>
      <c r="G2200" s="8" t="s">
        <v>13406</v>
      </c>
      <c r="H2200" s="8" t="s">
        <v>3479</v>
      </c>
      <c r="I2200" s="9">
        <v>0.0</v>
      </c>
      <c r="J2200" s="9">
        <v>1012.0</v>
      </c>
      <c r="K2200" s="9">
        <v>1012.0</v>
      </c>
      <c r="L2200" s="9">
        <v>1012.0</v>
      </c>
      <c r="M2200" s="9">
        <v>837.0</v>
      </c>
      <c r="N2200" s="9">
        <v>0.0</v>
      </c>
      <c r="O2200" s="9">
        <v>175.0</v>
      </c>
      <c r="P2200" s="8" t="s">
        <v>3480</v>
      </c>
      <c r="Q2200" s="8"/>
      <c r="R2200" s="8"/>
    </row>
    <row r="2201">
      <c r="A2201" s="8" t="s">
        <v>2123</v>
      </c>
      <c r="B2201" s="8" t="s">
        <v>13407</v>
      </c>
      <c r="C2201" s="8" t="s">
        <v>13408</v>
      </c>
      <c r="D2201" s="9">
        <v>8.855831445E9</v>
      </c>
      <c r="E2201" s="8" t="s">
        <v>13409</v>
      </c>
      <c r="F2201" s="8" t="s">
        <v>3550</v>
      </c>
      <c r="G2201" s="8" t="s">
        <v>13410</v>
      </c>
      <c r="H2201" s="8" t="s">
        <v>3479</v>
      </c>
      <c r="I2201" s="9">
        <v>0.0</v>
      </c>
      <c r="J2201" s="9">
        <v>1349.0</v>
      </c>
      <c r="K2201" s="9">
        <v>1349.0</v>
      </c>
      <c r="L2201" s="9">
        <v>1349.0</v>
      </c>
      <c r="M2201" s="9">
        <v>255.0</v>
      </c>
      <c r="N2201" s="9">
        <v>645.0</v>
      </c>
      <c r="O2201" s="9">
        <v>449.0</v>
      </c>
      <c r="P2201" s="8" t="s">
        <v>3480</v>
      </c>
      <c r="Q2201" s="8"/>
      <c r="R2201" s="8"/>
    </row>
    <row r="2202">
      <c r="A2202" s="8" t="s">
        <v>2126</v>
      </c>
      <c r="B2202" s="8" t="s">
        <v>13411</v>
      </c>
      <c r="C2202" s="8" t="s">
        <v>4155</v>
      </c>
      <c r="D2202" s="9">
        <v>9.860213845E9</v>
      </c>
      <c r="E2202" s="8" t="s">
        <v>13412</v>
      </c>
      <c r="F2202" s="8" t="s">
        <v>3869</v>
      </c>
      <c r="G2202" s="8" t="s">
        <v>4012</v>
      </c>
      <c r="H2202" s="8" t="s">
        <v>3479</v>
      </c>
      <c r="I2202" s="9">
        <v>0.0</v>
      </c>
      <c r="J2202" s="9">
        <v>3018.0</v>
      </c>
      <c r="K2202" s="9">
        <v>3018.0</v>
      </c>
      <c r="L2202" s="9">
        <v>3018.0</v>
      </c>
      <c r="M2202" s="9">
        <v>1785.0</v>
      </c>
      <c r="N2202" s="9">
        <v>784.0</v>
      </c>
      <c r="O2202" s="9">
        <v>449.0</v>
      </c>
      <c r="P2202" s="8" t="s">
        <v>3480</v>
      </c>
      <c r="Q2202" s="8" t="s">
        <v>13413</v>
      </c>
      <c r="R2202" s="8"/>
    </row>
    <row r="2203">
      <c r="A2203" s="8" t="s">
        <v>2127</v>
      </c>
      <c r="B2203" s="8" t="s">
        <v>13414</v>
      </c>
      <c r="C2203" s="8" t="s">
        <v>13415</v>
      </c>
      <c r="D2203" s="9">
        <v>8.484005976E9</v>
      </c>
      <c r="E2203" s="8" t="s">
        <v>13416</v>
      </c>
      <c r="F2203" s="8" t="s">
        <v>3977</v>
      </c>
      <c r="G2203" s="8" t="s">
        <v>13417</v>
      </c>
      <c r="H2203" s="8" t="s">
        <v>3479</v>
      </c>
      <c r="I2203" s="9">
        <v>0.0</v>
      </c>
      <c r="J2203" s="9">
        <v>1608.0</v>
      </c>
      <c r="K2203" s="9">
        <v>1608.0</v>
      </c>
      <c r="L2203" s="9">
        <v>1608.0</v>
      </c>
      <c r="M2203" s="9">
        <v>379.0</v>
      </c>
      <c r="N2203" s="9">
        <v>780.0</v>
      </c>
      <c r="O2203" s="9">
        <v>449.0</v>
      </c>
      <c r="P2203" s="8" t="s">
        <v>3519</v>
      </c>
      <c r="Q2203" s="8"/>
      <c r="R2203" s="8"/>
    </row>
    <row r="2204">
      <c r="A2204" s="8" t="s">
        <v>2534</v>
      </c>
      <c r="B2204" s="8" t="s">
        <v>13418</v>
      </c>
      <c r="C2204" s="8" t="s">
        <v>13419</v>
      </c>
      <c r="D2204" s="9">
        <v>8.237477999E9</v>
      </c>
      <c r="E2204" s="8" t="s">
        <v>13420</v>
      </c>
      <c r="F2204" s="8" t="s">
        <v>4645</v>
      </c>
      <c r="G2204" s="8" t="s">
        <v>13421</v>
      </c>
      <c r="H2204" s="8" t="s">
        <v>3479</v>
      </c>
      <c r="I2204" s="9">
        <v>0.0</v>
      </c>
      <c r="J2204" s="9">
        <v>1540.0</v>
      </c>
      <c r="K2204" s="9">
        <v>1540.0</v>
      </c>
      <c r="L2204" s="9">
        <v>1540.0</v>
      </c>
      <c r="M2204" s="9">
        <v>361.0</v>
      </c>
      <c r="N2204" s="9">
        <v>730.0</v>
      </c>
      <c r="O2204" s="9">
        <v>449.0</v>
      </c>
      <c r="P2204" s="8" t="s">
        <v>3480</v>
      </c>
      <c r="Q2204" s="8" t="s">
        <v>13422</v>
      </c>
      <c r="R2204" s="8" t="s">
        <v>13423</v>
      </c>
    </row>
    <row r="2205">
      <c r="A2205" s="8" t="s">
        <v>2718</v>
      </c>
      <c r="B2205" s="8" t="s">
        <v>13424</v>
      </c>
      <c r="C2205" s="8" t="s">
        <v>7308</v>
      </c>
      <c r="D2205" s="9">
        <v>9.850086795E9</v>
      </c>
      <c r="E2205" s="8" t="s">
        <v>13425</v>
      </c>
      <c r="F2205" s="8" t="s">
        <v>3523</v>
      </c>
      <c r="G2205" s="8" t="s">
        <v>13426</v>
      </c>
      <c r="H2205" s="8" t="s">
        <v>3479</v>
      </c>
      <c r="I2205" s="9">
        <v>0.0</v>
      </c>
      <c r="J2205" s="9">
        <v>1499.0</v>
      </c>
      <c r="K2205" s="9">
        <v>1499.0</v>
      </c>
      <c r="L2205" s="9">
        <v>1499.0</v>
      </c>
      <c r="M2205" s="9">
        <v>245.0</v>
      </c>
      <c r="N2205" s="9">
        <v>730.0</v>
      </c>
      <c r="O2205" s="9">
        <v>524.0</v>
      </c>
      <c r="P2205" s="8" t="s">
        <v>3480</v>
      </c>
      <c r="Q2205" s="8" t="s">
        <v>13427</v>
      </c>
      <c r="R2205" s="8"/>
    </row>
    <row r="2206">
      <c r="A2206" s="8" t="s">
        <v>2128</v>
      </c>
      <c r="B2206" s="8" t="s">
        <v>13428</v>
      </c>
      <c r="C2206" s="8" t="s">
        <v>13429</v>
      </c>
      <c r="D2206" s="9">
        <v>9.619667658E9</v>
      </c>
      <c r="E2206" s="8" t="s">
        <v>13430</v>
      </c>
      <c r="F2206" s="8" t="s">
        <v>5184</v>
      </c>
      <c r="G2206" s="8" t="s">
        <v>13431</v>
      </c>
      <c r="H2206" s="8" t="s">
        <v>3479</v>
      </c>
      <c r="I2206" s="9">
        <v>0.0</v>
      </c>
      <c r="J2206" s="9">
        <v>1019.0</v>
      </c>
      <c r="K2206" s="9">
        <v>1019.0</v>
      </c>
      <c r="L2206" s="9">
        <v>1019.0</v>
      </c>
      <c r="M2206" s="9">
        <v>80.0</v>
      </c>
      <c r="N2206" s="9">
        <v>190.0</v>
      </c>
      <c r="O2206" s="9">
        <v>749.0</v>
      </c>
      <c r="P2206" s="8" t="s">
        <v>3480</v>
      </c>
      <c r="Q2206" s="8"/>
      <c r="R2206" s="8"/>
    </row>
    <row r="2207">
      <c r="A2207" s="8" t="s">
        <v>2333</v>
      </c>
      <c r="B2207" s="8" t="s">
        <v>13432</v>
      </c>
      <c r="C2207" s="8" t="s">
        <v>13433</v>
      </c>
      <c r="D2207" s="9">
        <v>9.156365605E9</v>
      </c>
      <c r="E2207" s="8" t="s">
        <v>8301</v>
      </c>
      <c r="F2207" s="8" t="s">
        <v>4373</v>
      </c>
      <c r="G2207" s="8" t="s">
        <v>13434</v>
      </c>
      <c r="H2207" s="8" t="s">
        <v>3479</v>
      </c>
      <c r="I2207" s="9">
        <v>0.0</v>
      </c>
      <c r="J2207" s="9">
        <v>4294.0</v>
      </c>
      <c r="K2207" s="9">
        <v>4294.0</v>
      </c>
      <c r="L2207" s="9">
        <v>4294.0</v>
      </c>
      <c r="M2207" s="9">
        <v>1250.0</v>
      </c>
      <c r="N2207" s="9">
        <v>594.0</v>
      </c>
      <c r="O2207" s="9">
        <v>2450.0</v>
      </c>
      <c r="P2207" s="8" t="s">
        <v>3480</v>
      </c>
      <c r="Q2207" s="8" t="s">
        <v>8303</v>
      </c>
      <c r="R2207" s="8" t="s">
        <v>8304</v>
      </c>
    </row>
    <row r="2208">
      <c r="A2208" s="8" t="s">
        <v>2129</v>
      </c>
      <c r="B2208" s="8" t="s">
        <v>13435</v>
      </c>
      <c r="C2208" s="8" t="s">
        <v>11204</v>
      </c>
      <c r="D2208" s="9">
        <v>8.058342381E9</v>
      </c>
      <c r="E2208" s="8" t="s">
        <v>11205</v>
      </c>
      <c r="F2208" s="8" t="s">
        <v>3594</v>
      </c>
      <c r="G2208" s="8" t="s">
        <v>13436</v>
      </c>
      <c r="H2208" s="8" t="s">
        <v>3479</v>
      </c>
      <c r="I2208" s="9">
        <v>0.0</v>
      </c>
      <c r="J2208" s="9">
        <v>1414.0</v>
      </c>
      <c r="K2208" s="9">
        <v>1414.0</v>
      </c>
      <c r="L2208" s="9">
        <v>1414.0</v>
      </c>
      <c r="M2208" s="9">
        <v>160.0</v>
      </c>
      <c r="N2208" s="9">
        <v>730.0</v>
      </c>
      <c r="O2208" s="9">
        <v>524.0</v>
      </c>
      <c r="P2208" s="8" t="s">
        <v>3480</v>
      </c>
      <c r="Q2208" s="8"/>
      <c r="R2208" s="8"/>
    </row>
    <row r="2209">
      <c r="A2209" s="8" t="s">
        <v>2132</v>
      </c>
      <c r="B2209" s="8" t="s">
        <v>13437</v>
      </c>
      <c r="C2209" s="8" t="s">
        <v>6894</v>
      </c>
      <c r="D2209" s="9">
        <v>8.975640693E9</v>
      </c>
      <c r="E2209" s="8" t="s">
        <v>13438</v>
      </c>
      <c r="F2209" s="8" t="s">
        <v>3757</v>
      </c>
      <c r="G2209" s="8" t="s">
        <v>13439</v>
      </c>
      <c r="H2209" s="8" t="s">
        <v>3479</v>
      </c>
      <c r="I2209" s="9">
        <v>0.0</v>
      </c>
      <c r="J2209" s="9">
        <v>4277.0</v>
      </c>
      <c r="K2209" s="9">
        <v>4277.0</v>
      </c>
      <c r="L2209" s="9">
        <v>4277.0</v>
      </c>
      <c r="M2209" s="9">
        <v>1625.0</v>
      </c>
      <c r="N2209" s="9">
        <v>1533.0</v>
      </c>
      <c r="O2209" s="9">
        <v>1119.0</v>
      </c>
      <c r="P2209" s="8" t="s">
        <v>3480</v>
      </c>
      <c r="Q2209" s="8"/>
      <c r="R2209" s="8"/>
    </row>
    <row r="2210">
      <c r="A2210" s="8" t="s">
        <v>2133</v>
      </c>
      <c r="B2210" s="8" t="s">
        <v>13440</v>
      </c>
      <c r="C2210" s="8" t="s">
        <v>13441</v>
      </c>
      <c r="D2210" s="9">
        <v>9.890187362E9</v>
      </c>
      <c r="E2210" s="8" t="s">
        <v>13442</v>
      </c>
      <c r="F2210" s="8" t="s">
        <v>3589</v>
      </c>
      <c r="G2210" s="8" t="s">
        <v>13443</v>
      </c>
      <c r="H2210" s="8" t="s">
        <v>3479</v>
      </c>
      <c r="I2210" s="9">
        <v>0.0</v>
      </c>
      <c r="J2210" s="9">
        <v>1150.0</v>
      </c>
      <c r="K2210" s="9">
        <v>1150.0</v>
      </c>
      <c r="L2210" s="9">
        <v>1150.0</v>
      </c>
      <c r="M2210" s="9">
        <v>1150.0</v>
      </c>
      <c r="N2210" s="9">
        <v>0.0</v>
      </c>
      <c r="O2210" s="9">
        <v>0.0</v>
      </c>
      <c r="P2210" s="8" t="s">
        <v>3480</v>
      </c>
      <c r="Q2210" s="8" t="s">
        <v>13444</v>
      </c>
      <c r="R2210" s="8" t="s">
        <v>13445</v>
      </c>
    </row>
    <row r="2211">
      <c r="A2211" s="8" t="s">
        <v>2719</v>
      </c>
      <c r="B2211" s="8" t="s">
        <v>13446</v>
      </c>
      <c r="C2211" s="8" t="s">
        <v>13447</v>
      </c>
      <c r="D2211" s="9">
        <v>7.709123176E9</v>
      </c>
      <c r="E2211" s="8" t="s">
        <v>13448</v>
      </c>
      <c r="F2211" s="8" t="s">
        <v>10064</v>
      </c>
      <c r="G2211" s="8" t="s">
        <v>13449</v>
      </c>
      <c r="H2211" s="8" t="s">
        <v>3479</v>
      </c>
      <c r="I2211" s="9">
        <v>0.0</v>
      </c>
      <c r="J2211" s="9">
        <v>1631.0</v>
      </c>
      <c r="K2211" s="9">
        <v>1631.0</v>
      </c>
      <c r="L2211" s="9">
        <v>1631.0</v>
      </c>
      <c r="M2211" s="9">
        <v>362.0</v>
      </c>
      <c r="N2211" s="9">
        <v>190.0</v>
      </c>
      <c r="O2211" s="9">
        <v>1079.0</v>
      </c>
      <c r="P2211" s="8" t="s">
        <v>3519</v>
      </c>
      <c r="Q2211" s="8"/>
      <c r="R2211" s="8"/>
    </row>
    <row r="2212">
      <c r="A2212" s="8" t="s">
        <v>2130</v>
      </c>
      <c r="B2212" s="8" t="s">
        <v>13450</v>
      </c>
      <c r="C2212" s="8" t="s">
        <v>13451</v>
      </c>
      <c r="D2212" s="9">
        <v>7.903585235E9</v>
      </c>
      <c r="E2212" s="8" t="s">
        <v>13452</v>
      </c>
      <c r="F2212" s="8" t="s">
        <v>3853</v>
      </c>
      <c r="G2212" s="8" t="s">
        <v>13453</v>
      </c>
      <c r="H2212" s="8" t="s">
        <v>3479</v>
      </c>
      <c r="I2212" s="9">
        <v>0.0</v>
      </c>
      <c r="J2212" s="9">
        <v>3319.0</v>
      </c>
      <c r="K2212" s="9">
        <v>3319.0</v>
      </c>
      <c r="L2212" s="9">
        <v>3319.0</v>
      </c>
      <c r="M2212" s="9">
        <v>2140.0</v>
      </c>
      <c r="N2212" s="9">
        <v>730.0</v>
      </c>
      <c r="O2212" s="9">
        <v>449.0</v>
      </c>
      <c r="P2212" s="8" t="s">
        <v>3480</v>
      </c>
      <c r="Q2212" s="8" t="s">
        <v>4381</v>
      </c>
      <c r="R2212" s="8" t="s">
        <v>13454</v>
      </c>
    </row>
    <row r="2213">
      <c r="A2213" s="8" t="s">
        <v>2134</v>
      </c>
      <c r="B2213" s="8" t="s">
        <v>13455</v>
      </c>
      <c r="C2213" s="8" t="s">
        <v>9574</v>
      </c>
      <c r="D2213" s="9">
        <v>9.822992284E9</v>
      </c>
      <c r="E2213" s="8" t="s">
        <v>9575</v>
      </c>
      <c r="F2213" s="8" t="s">
        <v>3550</v>
      </c>
      <c r="G2213" s="8" t="s">
        <v>13456</v>
      </c>
      <c r="H2213" s="8" t="s">
        <v>3479</v>
      </c>
      <c r="I2213" s="9">
        <v>0.0</v>
      </c>
      <c r="J2213" s="9">
        <v>1483.0</v>
      </c>
      <c r="K2213" s="9">
        <v>1483.0</v>
      </c>
      <c r="L2213" s="9">
        <v>1483.0</v>
      </c>
      <c r="M2213" s="9">
        <v>389.0</v>
      </c>
      <c r="N2213" s="9">
        <v>645.0</v>
      </c>
      <c r="O2213" s="9">
        <v>449.0</v>
      </c>
      <c r="P2213" s="8" t="s">
        <v>3480</v>
      </c>
      <c r="Q2213" s="8" t="s">
        <v>9577</v>
      </c>
      <c r="R2213" s="8" t="s">
        <v>9578</v>
      </c>
    </row>
    <row r="2214">
      <c r="A2214" s="8" t="s">
        <v>2135</v>
      </c>
      <c r="B2214" s="8" t="s">
        <v>13457</v>
      </c>
      <c r="C2214" s="8" t="s">
        <v>13458</v>
      </c>
      <c r="D2214" s="9">
        <v>8.275439129E9</v>
      </c>
      <c r="E2214" s="8" t="s">
        <v>13459</v>
      </c>
      <c r="F2214" s="8" t="s">
        <v>4029</v>
      </c>
      <c r="G2214" s="8" t="s">
        <v>13460</v>
      </c>
      <c r="H2214" s="8" t="s">
        <v>3479</v>
      </c>
      <c r="I2214" s="9">
        <v>0.0</v>
      </c>
      <c r="J2214" s="9">
        <v>1548.0</v>
      </c>
      <c r="K2214" s="9">
        <v>1548.0</v>
      </c>
      <c r="L2214" s="9">
        <v>1548.0</v>
      </c>
      <c r="M2214" s="9">
        <v>325.0</v>
      </c>
      <c r="N2214" s="9">
        <v>774.0</v>
      </c>
      <c r="O2214" s="9">
        <v>449.0</v>
      </c>
      <c r="P2214" s="8" t="s">
        <v>3480</v>
      </c>
      <c r="Q2214" s="8" t="s">
        <v>13461</v>
      </c>
      <c r="R2214" s="8"/>
    </row>
    <row r="2215">
      <c r="A2215" s="8" t="s">
        <v>2335</v>
      </c>
      <c r="B2215" s="8" t="s">
        <v>13462</v>
      </c>
      <c r="C2215" s="8" t="s">
        <v>13463</v>
      </c>
      <c r="D2215" s="9">
        <v>7.568471577E9</v>
      </c>
      <c r="E2215" s="8" t="s">
        <v>13464</v>
      </c>
      <c r="F2215" s="8" t="s">
        <v>3486</v>
      </c>
      <c r="G2215" s="8" t="s">
        <v>13465</v>
      </c>
      <c r="H2215" s="8" t="s">
        <v>3479</v>
      </c>
      <c r="I2215" s="9">
        <v>0.0</v>
      </c>
      <c r="J2215" s="9">
        <v>1412.0</v>
      </c>
      <c r="K2215" s="9">
        <v>1412.0</v>
      </c>
      <c r="L2215" s="9">
        <v>1412.0</v>
      </c>
      <c r="M2215" s="9">
        <v>233.0</v>
      </c>
      <c r="N2215" s="9">
        <v>730.0</v>
      </c>
      <c r="O2215" s="9">
        <v>449.0</v>
      </c>
      <c r="P2215" s="8" t="s">
        <v>3480</v>
      </c>
      <c r="Q2215" s="8"/>
      <c r="R2215" s="8"/>
    </row>
    <row r="2216">
      <c r="A2216" s="8" t="s">
        <v>2137</v>
      </c>
      <c r="B2216" s="8" t="s">
        <v>13466</v>
      </c>
      <c r="C2216" s="8" t="s">
        <v>13467</v>
      </c>
      <c r="D2216" s="9">
        <v>9.080187182E9</v>
      </c>
      <c r="E2216" s="8" t="s">
        <v>13468</v>
      </c>
      <c r="F2216" s="8" t="s">
        <v>3677</v>
      </c>
      <c r="G2216" s="8" t="s">
        <v>13469</v>
      </c>
      <c r="H2216" s="8" t="s">
        <v>3479</v>
      </c>
      <c r="I2216" s="9">
        <v>0.0</v>
      </c>
      <c r="J2216" s="9">
        <v>2407.0</v>
      </c>
      <c r="K2216" s="9">
        <v>2407.0</v>
      </c>
      <c r="L2216" s="9">
        <v>2407.0</v>
      </c>
      <c r="M2216" s="9">
        <v>1024.0</v>
      </c>
      <c r="N2216" s="9">
        <v>784.0</v>
      </c>
      <c r="O2216" s="9">
        <v>599.0</v>
      </c>
      <c r="P2216" s="8" t="s">
        <v>3480</v>
      </c>
      <c r="Q2216" s="8"/>
      <c r="R2216" s="8"/>
    </row>
    <row r="2217">
      <c r="A2217" s="8" t="s">
        <v>2139</v>
      </c>
      <c r="B2217" s="8" t="s">
        <v>13470</v>
      </c>
      <c r="C2217" s="8" t="s">
        <v>7766</v>
      </c>
      <c r="D2217" s="9">
        <v>9.923855455E9</v>
      </c>
      <c r="E2217" s="8" t="s">
        <v>13471</v>
      </c>
      <c r="F2217" s="8" t="s">
        <v>4681</v>
      </c>
      <c r="G2217" s="8" t="s">
        <v>13472</v>
      </c>
      <c r="H2217" s="8" t="s">
        <v>3479</v>
      </c>
      <c r="I2217" s="9">
        <v>0.0</v>
      </c>
      <c r="J2217" s="9">
        <v>4398.0</v>
      </c>
      <c r="K2217" s="9">
        <v>4398.0</v>
      </c>
      <c r="L2217" s="9">
        <v>4398.0</v>
      </c>
      <c r="M2217" s="9">
        <v>2984.0</v>
      </c>
      <c r="N2217" s="9">
        <v>190.0</v>
      </c>
      <c r="O2217" s="9">
        <v>1224.0</v>
      </c>
      <c r="P2217" s="8" t="s">
        <v>3480</v>
      </c>
      <c r="Q2217" s="8" t="s">
        <v>13473</v>
      </c>
      <c r="R2217" s="8" t="s">
        <v>13474</v>
      </c>
    </row>
    <row r="2218">
      <c r="A2218" s="8" t="s">
        <v>2337</v>
      </c>
      <c r="B2218" s="8" t="s">
        <v>13475</v>
      </c>
      <c r="C2218" s="8" t="s">
        <v>5208</v>
      </c>
      <c r="D2218" s="9">
        <v>8.867799921E9</v>
      </c>
      <c r="E2218" s="8" t="s">
        <v>5209</v>
      </c>
      <c r="F2218" s="8" t="s">
        <v>3853</v>
      </c>
      <c r="G2218" s="8" t="s">
        <v>13476</v>
      </c>
      <c r="H2218" s="8" t="s">
        <v>3479</v>
      </c>
      <c r="I2218" s="9">
        <v>0.0</v>
      </c>
      <c r="J2218" s="9">
        <v>1300.0</v>
      </c>
      <c r="K2218" s="9">
        <v>1300.0</v>
      </c>
      <c r="L2218" s="9">
        <v>1300.0</v>
      </c>
      <c r="M2218" s="9">
        <v>1300.0</v>
      </c>
      <c r="N2218" s="9">
        <v>0.0</v>
      </c>
      <c r="O2218" s="9">
        <v>0.0</v>
      </c>
      <c r="P2218" s="8" t="s">
        <v>3480</v>
      </c>
      <c r="Q2218" s="8" t="s">
        <v>5211</v>
      </c>
      <c r="R2218" s="8" t="s">
        <v>5212</v>
      </c>
    </row>
    <row r="2219">
      <c r="A2219" s="8" t="s">
        <v>2141</v>
      </c>
      <c r="B2219" s="8" t="s">
        <v>13477</v>
      </c>
      <c r="C2219" s="8" t="s">
        <v>6198</v>
      </c>
      <c r="D2219" s="9">
        <v>8.879289434E9</v>
      </c>
      <c r="E2219" s="8" t="s">
        <v>9218</v>
      </c>
      <c r="F2219" s="8" t="s">
        <v>5771</v>
      </c>
      <c r="G2219" s="8" t="s">
        <v>13478</v>
      </c>
      <c r="H2219" s="8" t="s">
        <v>3479</v>
      </c>
      <c r="I2219" s="9">
        <v>0.0</v>
      </c>
      <c r="J2219" s="9">
        <v>1303.0</v>
      </c>
      <c r="K2219" s="9">
        <v>1303.0</v>
      </c>
      <c r="L2219" s="9">
        <v>1303.0</v>
      </c>
      <c r="M2219" s="9">
        <v>80.0</v>
      </c>
      <c r="N2219" s="9">
        <v>774.0</v>
      </c>
      <c r="O2219" s="9">
        <v>449.0</v>
      </c>
      <c r="P2219" s="8" t="s">
        <v>3480</v>
      </c>
      <c r="Q2219" s="8" t="s">
        <v>4381</v>
      </c>
      <c r="R2219" s="8" t="s">
        <v>9220</v>
      </c>
    </row>
    <row r="2220">
      <c r="A2220" s="8" t="s">
        <v>2143</v>
      </c>
      <c r="B2220" s="8" t="s">
        <v>13479</v>
      </c>
      <c r="C2220" s="8" t="s">
        <v>13480</v>
      </c>
      <c r="D2220" s="9">
        <v>9.552399677E9</v>
      </c>
      <c r="E2220" s="8" t="s">
        <v>13481</v>
      </c>
      <c r="F2220" s="8" t="s">
        <v>5421</v>
      </c>
      <c r="G2220" s="8" t="s">
        <v>13482</v>
      </c>
      <c r="H2220" s="8" t="s">
        <v>3479</v>
      </c>
      <c r="I2220" s="9">
        <v>0.0</v>
      </c>
      <c r="J2220" s="9">
        <v>5029.0</v>
      </c>
      <c r="K2220" s="9">
        <v>5029.0</v>
      </c>
      <c r="L2220" s="9">
        <v>5029.0</v>
      </c>
      <c r="M2220" s="9">
        <v>3850.0</v>
      </c>
      <c r="N2220" s="9">
        <v>730.0</v>
      </c>
      <c r="O2220" s="9">
        <v>449.0</v>
      </c>
      <c r="P2220" s="8" t="s">
        <v>3480</v>
      </c>
      <c r="Q2220" s="8"/>
      <c r="R2220" s="8"/>
    </row>
    <row r="2221">
      <c r="A2221" s="8" t="s">
        <v>2568</v>
      </c>
      <c r="B2221" s="8" t="s">
        <v>13483</v>
      </c>
      <c r="C2221" s="8" t="s">
        <v>13484</v>
      </c>
      <c r="D2221" s="9">
        <v>9.822478157E9</v>
      </c>
      <c r="E2221" s="8" t="s">
        <v>13485</v>
      </c>
      <c r="F2221" s="8" t="s">
        <v>9151</v>
      </c>
      <c r="G2221" s="8" t="s">
        <v>13486</v>
      </c>
      <c r="H2221" s="8" t="s">
        <v>3479</v>
      </c>
      <c r="I2221" s="9">
        <v>0.0</v>
      </c>
      <c r="J2221" s="9">
        <v>1268.0</v>
      </c>
      <c r="K2221" s="9">
        <v>1268.0</v>
      </c>
      <c r="L2221" s="9">
        <v>1268.0</v>
      </c>
      <c r="M2221" s="9">
        <v>80.0</v>
      </c>
      <c r="N2221" s="9">
        <v>739.0</v>
      </c>
      <c r="O2221" s="9">
        <v>449.0</v>
      </c>
      <c r="P2221" s="8" t="s">
        <v>3480</v>
      </c>
      <c r="Q2221" s="8"/>
      <c r="R2221" s="8"/>
    </row>
    <row r="2222">
      <c r="A2222" s="8" t="s">
        <v>2144</v>
      </c>
      <c r="B2222" s="8" t="s">
        <v>13487</v>
      </c>
      <c r="C2222" s="8" t="s">
        <v>5251</v>
      </c>
      <c r="D2222" s="9">
        <v>9.665885118E9</v>
      </c>
      <c r="E2222" s="8" t="s">
        <v>5252</v>
      </c>
      <c r="F2222" s="8" t="s">
        <v>3550</v>
      </c>
      <c r="G2222" s="8" t="s">
        <v>13488</v>
      </c>
      <c r="H2222" s="8" t="s">
        <v>3479</v>
      </c>
      <c r="I2222" s="9">
        <v>0.0</v>
      </c>
      <c r="J2222" s="9">
        <v>2116.0</v>
      </c>
      <c r="K2222" s="9">
        <v>2116.0</v>
      </c>
      <c r="L2222" s="9">
        <v>2116.0</v>
      </c>
      <c r="M2222" s="9">
        <v>987.0</v>
      </c>
      <c r="N2222" s="9">
        <v>645.0</v>
      </c>
      <c r="O2222" s="9">
        <v>484.0</v>
      </c>
      <c r="P2222" s="8" t="s">
        <v>3480</v>
      </c>
      <c r="Q2222" s="8"/>
      <c r="R2222" s="8"/>
    </row>
    <row r="2223">
      <c r="A2223" s="8" t="s">
        <v>2131</v>
      </c>
      <c r="B2223" s="8" t="s">
        <v>13489</v>
      </c>
      <c r="C2223" s="8" t="s">
        <v>13490</v>
      </c>
      <c r="D2223" s="9">
        <v>9.168617642E9</v>
      </c>
      <c r="E2223" s="8" t="s">
        <v>13491</v>
      </c>
      <c r="F2223" s="8" t="s">
        <v>3564</v>
      </c>
      <c r="G2223" s="8" t="s">
        <v>13492</v>
      </c>
      <c r="H2223" s="8" t="s">
        <v>11494</v>
      </c>
      <c r="I2223" s="9">
        <v>0.0</v>
      </c>
      <c r="J2223" s="9">
        <v>1600.0</v>
      </c>
      <c r="K2223" s="9">
        <v>1634.0</v>
      </c>
      <c r="L2223" s="9">
        <v>1600.0</v>
      </c>
      <c r="M2223" s="9">
        <v>695.0</v>
      </c>
      <c r="N2223" s="9">
        <v>190.0</v>
      </c>
      <c r="O2223" s="9">
        <v>749.0</v>
      </c>
      <c r="P2223" s="8" t="s">
        <v>3480</v>
      </c>
      <c r="Q2223" s="8"/>
      <c r="R2223" s="8"/>
    </row>
    <row r="2224">
      <c r="A2224" s="8" t="s">
        <v>2334</v>
      </c>
      <c r="B2224" s="8" t="s">
        <v>13493</v>
      </c>
      <c r="C2224" s="8" t="s">
        <v>13494</v>
      </c>
      <c r="D2224" s="9">
        <v>9.890081047E9</v>
      </c>
      <c r="E2224" s="8" t="s">
        <v>13495</v>
      </c>
      <c r="F2224" s="8" t="s">
        <v>8835</v>
      </c>
      <c r="G2224" s="8" t="s">
        <v>13496</v>
      </c>
      <c r="H2224" s="8" t="s">
        <v>3479</v>
      </c>
      <c r="I2224" s="9">
        <v>0.0</v>
      </c>
      <c r="J2224" s="9">
        <v>1500.0</v>
      </c>
      <c r="K2224" s="9">
        <v>1500.0</v>
      </c>
      <c r="L2224" s="9">
        <v>1500.0</v>
      </c>
      <c r="M2224" s="9">
        <v>1500.0</v>
      </c>
      <c r="N2224" s="9">
        <v>0.0</v>
      </c>
      <c r="O2224" s="9">
        <v>0.0</v>
      </c>
      <c r="P2224" s="8" t="s">
        <v>3480</v>
      </c>
      <c r="Q2224" s="8"/>
      <c r="R2224" s="8"/>
    </row>
    <row r="2225">
      <c r="A2225" s="8" t="s">
        <v>2136</v>
      </c>
      <c r="B2225" s="8" t="s">
        <v>13497</v>
      </c>
      <c r="C2225" s="8" t="s">
        <v>6652</v>
      </c>
      <c r="D2225" s="9">
        <v>8.796147967E9</v>
      </c>
      <c r="E2225" s="8" t="s">
        <v>6653</v>
      </c>
      <c r="F2225" s="8" t="s">
        <v>3550</v>
      </c>
      <c r="G2225" s="8" t="s">
        <v>13498</v>
      </c>
      <c r="H2225" s="8" t="s">
        <v>3479</v>
      </c>
      <c r="I2225" s="9">
        <v>0.0</v>
      </c>
      <c r="J2225" s="9">
        <v>2990.0</v>
      </c>
      <c r="K2225" s="9">
        <v>2990.0</v>
      </c>
      <c r="L2225" s="9">
        <v>2990.0</v>
      </c>
      <c r="M2225" s="9">
        <v>1636.0</v>
      </c>
      <c r="N2225" s="9">
        <v>730.0</v>
      </c>
      <c r="O2225" s="9">
        <v>624.0</v>
      </c>
      <c r="P2225" s="8" t="s">
        <v>3519</v>
      </c>
      <c r="Q2225" s="8" t="s">
        <v>6655</v>
      </c>
      <c r="R2225" s="8" t="s">
        <v>6656</v>
      </c>
    </row>
    <row r="2226">
      <c r="A2226" s="8" t="s">
        <v>2138</v>
      </c>
      <c r="B2226" s="8" t="s">
        <v>13499</v>
      </c>
      <c r="C2226" s="8" t="s">
        <v>13500</v>
      </c>
      <c r="D2226" s="9">
        <v>8.668848834E9</v>
      </c>
      <c r="E2226" s="8" t="s">
        <v>13501</v>
      </c>
      <c r="F2226" s="8" t="s">
        <v>3498</v>
      </c>
      <c r="G2226" s="8" t="s">
        <v>13502</v>
      </c>
      <c r="H2226" s="8" t="s">
        <v>3479</v>
      </c>
      <c r="I2226" s="9">
        <v>0.0</v>
      </c>
      <c r="J2226" s="9">
        <v>3084.0</v>
      </c>
      <c r="K2226" s="9">
        <v>3084.0</v>
      </c>
      <c r="L2226" s="9">
        <v>3084.0</v>
      </c>
      <c r="M2226" s="9">
        <v>1830.0</v>
      </c>
      <c r="N2226" s="9">
        <v>730.0</v>
      </c>
      <c r="O2226" s="9">
        <v>524.0</v>
      </c>
      <c r="P2226" s="8" t="s">
        <v>3480</v>
      </c>
      <c r="Q2226" s="8"/>
      <c r="R2226" s="8"/>
    </row>
    <row r="2227">
      <c r="A2227" s="8" t="s">
        <v>2336</v>
      </c>
      <c r="B2227" s="8" t="s">
        <v>13503</v>
      </c>
      <c r="C2227" s="8" t="s">
        <v>5165</v>
      </c>
      <c r="D2227" s="9">
        <v>8.668442535E9</v>
      </c>
      <c r="E2227" s="8" t="s">
        <v>5166</v>
      </c>
      <c r="F2227" s="8" t="s">
        <v>5167</v>
      </c>
      <c r="G2227" s="8" t="s">
        <v>4036</v>
      </c>
      <c r="H2227" s="8" t="s">
        <v>3479</v>
      </c>
      <c r="I2227" s="9">
        <v>0.0</v>
      </c>
      <c r="J2227" s="9">
        <v>1371.0</v>
      </c>
      <c r="K2227" s="9">
        <v>1371.0</v>
      </c>
      <c r="L2227" s="9">
        <v>1371.0</v>
      </c>
      <c r="M2227" s="9">
        <v>642.0</v>
      </c>
      <c r="N2227" s="9">
        <v>0.0</v>
      </c>
      <c r="O2227" s="9">
        <v>729.0</v>
      </c>
      <c r="P2227" s="8" t="s">
        <v>3480</v>
      </c>
      <c r="Q2227" s="8"/>
      <c r="R2227" s="8"/>
    </row>
    <row r="2228">
      <c r="A2228" s="8" t="s">
        <v>2140</v>
      </c>
      <c r="B2228" s="8" t="s">
        <v>13504</v>
      </c>
      <c r="C2228" s="8" t="s">
        <v>7711</v>
      </c>
      <c r="D2228" s="9">
        <v>9.175805081E9</v>
      </c>
      <c r="E2228" s="8" t="s">
        <v>7712</v>
      </c>
      <c r="F2228" s="8" t="s">
        <v>3901</v>
      </c>
      <c r="G2228" s="8" t="s">
        <v>13505</v>
      </c>
      <c r="H2228" s="8" t="s">
        <v>3479</v>
      </c>
      <c r="I2228" s="9">
        <v>0.0</v>
      </c>
      <c r="J2228" s="9">
        <v>3420.0</v>
      </c>
      <c r="K2228" s="9">
        <v>3420.0</v>
      </c>
      <c r="L2228" s="9">
        <v>3420.0</v>
      </c>
      <c r="M2228" s="9">
        <v>1731.0</v>
      </c>
      <c r="N2228" s="9">
        <v>965.0</v>
      </c>
      <c r="O2228" s="9">
        <v>724.0</v>
      </c>
      <c r="P2228" s="8" t="s">
        <v>3480</v>
      </c>
      <c r="Q2228" s="8" t="s">
        <v>7713</v>
      </c>
      <c r="R2228" s="8" t="s">
        <v>7714</v>
      </c>
    </row>
    <row r="2229">
      <c r="A2229" s="8" t="s">
        <v>2142</v>
      </c>
      <c r="B2229" s="8" t="s">
        <v>13506</v>
      </c>
      <c r="C2229" s="8" t="s">
        <v>13507</v>
      </c>
      <c r="D2229" s="9">
        <v>9.823130051E9</v>
      </c>
      <c r="E2229" s="8" t="s">
        <v>13508</v>
      </c>
      <c r="F2229" s="8" t="s">
        <v>13509</v>
      </c>
      <c r="G2229" s="8" t="s">
        <v>13510</v>
      </c>
      <c r="H2229" s="8" t="s">
        <v>3479</v>
      </c>
      <c r="I2229" s="9">
        <v>0.0</v>
      </c>
      <c r="J2229" s="9">
        <v>1469.0</v>
      </c>
      <c r="K2229" s="9">
        <v>1469.0</v>
      </c>
      <c r="L2229" s="9">
        <v>1469.0</v>
      </c>
      <c r="M2229" s="9">
        <v>290.0</v>
      </c>
      <c r="N2229" s="9">
        <v>730.0</v>
      </c>
      <c r="O2229" s="9">
        <v>449.0</v>
      </c>
      <c r="P2229" s="8" t="s">
        <v>3519</v>
      </c>
      <c r="Q2229" s="8" t="s">
        <v>13511</v>
      </c>
      <c r="R2229" s="8" t="s">
        <v>13512</v>
      </c>
    </row>
    <row r="2230">
      <c r="A2230" s="8" t="s">
        <v>2571</v>
      </c>
      <c r="B2230" s="8" t="s">
        <v>13513</v>
      </c>
      <c r="C2230" s="8" t="s">
        <v>13514</v>
      </c>
      <c r="D2230" s="9">
        <v>8.805025519E9</v>
      </c>
      <c r="E2230" s="8" t="s">
        <v>13515</v>
      </c>
      <c r="F2230" s="8" t="s">
        <v>8781</v>
      </c>
      <c r="G2230" s="8" t="s">
        <v>13516</v>
      </c>
      <c r="H2230" s="8" t="s">
        <v>3479</v>
      </c>
      <c r="I2230" s="9">
        <v>0.0</v>
      </c>
      <c r="J2230" s="9">
        <v>2081.0</v>
      </c>
      <c r="K2230" s="9">
        <v>2081.0</v>
      </c>
      <c r="L2230" s="9">
        <v>2081.0</v>
      </c>
      <c r="M2230" s="9">
        <v>349.0</v>
      </c>
      <c r="N2230" s="9">
        <v>1107.0</v>
      </c>
      <c r="O2230" s="9">
        <v>625.0</v>
      </c>
      <c r="P2230" s="8" t="s">
        <v>3480</v>
      </c>
      <c r="Q2230" s="8"/>
      <c r="R2230" s="8"/>
    </row>
    <row r="2231">
      <c r="A2231" s="8" t="s">
        <v>2572</v>
      </c>
      <c r="B2231" s="8" t="s">
        <v>13517</v>
      </c>
      <c r="C2231" s="8" t="s">
        <v>13518</v>
      </c>
      <c r="D2231" s="9">
        <v>8.796143994E9</v>
      </c>
      <c r="E2231" s="8" t="s">
        <v>13519</v>
      </c>
      <c r="F2231" s="8" t="s">
        <v>3608</v>
      </c>
      <c r="G2231" s="8" t="s">
        <v>13520</v>
      </c>
      <c r="H2231" s="8" t="s">
        <v>3479</v>
      </c>
      <c r="I2231" s="9">
        <v>0.0</v>
      </c>
      <c r="J2231" s="9">
        <v>1618.0</v>
      </c>
      <c r="K2231" s="9">
        <v>1618.0</v>
      </c>
      <c r="L2231" s="9">
        <v>1618.0</v>
      </c>
      <c r="M2231" s="9">
        <v>430.0</v>
      </c>
      <c r="N2231" s="9">
        <v>739.0</v>
      </c>
      <c r="O2231" s="9">
        <v>449.0</v>
      </c>
      <c r="P2231" s="8" t="s">
        <v>3480</v>
      </c>
      <c r="Q2231" s="8"/>
      <c r="R2231" s="8"/>
    </row>
    <row r="2232">
      <c r="A2232" s="8" t="s">
        <v>2573</v>
      </c>
      <c r="B2232" s="8" t="s">
        <v>13521</v>
      </c>
      <c r="C2232" s="8" t="s">
        <v>8717</v>
      </c>
      <c r="D2232" s="9">
        <v>8.087857834E9</v>
      </c>
      <c r="E2232" s="8" t="s">
        <v>13522</v>
      </c>
      <c r="F2232" s="8" t="s">
        <v>8781</v>
      </c>
      <c r="G2232" s="8" t="s">
        <v>13523</v>
      </c>
      <c r="H2232" s="8" t="s">
        <v>3479</v>
      </c>
      <c r="I2232" s="9">
        <v>0.0</v>
      </c>
      <c r="J2232" s="9">
        <v>1416.5</v>
      </c>
      <c r="K2232" s="9">
        <v>1416.5</v>
      </c>
      <c r="L2232" s="9">
        <v>1416.5</v>
      </c>
      <c r="M2232" s="9">
        <v>79.0</v>
      </c>
      <c r="N2232" s="9">
        <v>1187.5</v>
      </c>
      <c r="O2232" s="9">
        <v>150.0</v>
      </c>
      <c r="P2232" s="8" t="s">
        <v>3544</v>
      </c>
      <c r="Q2232" s="8"/>
      <c r="R2232" s="8"/>
    </row>
    <row r="2233">
      <c r="A2233" s="8" t="s">
        <v>2574</v>
      </c>
      <c r="B2233" s="8" t="s">
        <v>13524</v>
      </c>
      <c r="C2233" s="8" t="s">
        <v>10175</v>
      </c>
      <c r="D2233" s="9">
        <v>8.308790289E9</v>
      </c>
      <c r="E2233" s="8" t="s">
        <v>10176</v>
      </c>
      <c r="F2233" s="8" t="s">
        <v>3557</v>
      </c>
      <c r="G2233" s="8" t="s">
        <v>13525</v>
      </c>
      <c r="H2233" s="8" t="s">
        <v>3479</v>
      </c>
      <c r="I2233" s="9">
        <v>0.0</v>
      </c>
      <c r="J2233" s="9">
        <v>1889.0</v>
      </c>
      <c r="K2233" s="9">
        <v>1889.0</v>
      </c>
      <c r="L2233" s="9">
        <v>1889.0</v>
      </c>
      <c r="M2233" s="9">
        <v>390.0</v>
      </c>
      <c r="N2233" s="9">
        <v>900.0</v>
      </c>
      <c r="O2233" s="9">
        <v>599.0</v>
      </c>
      <c r="P2233" s="8" t="s">
        <v>3480</v>
      </c>
      <c r="Q2233" s="8"/>
      <c r="R2233" s="8"/>
    </row>
    <row r="2234">
      <c r="A2234" s="8" t="s">
        <v>2145</v>
      </c>
      <c r="B2234" s="8" t="s">
        <v>13526</v>
      </c>
      <c r="C2234" s="8" t="s">
        <v>13527</v>
      </c>
      <c r="D2234" s="9">
        <v>9.152727597E9</v>
      </c>
      <c r="E2234" s="8" t="s">
        <v>13528</v>
      </c>
      <c r="F2234" s="8" t="s">
        <v>3707</v>
      </c>
      <c r="G2234" s="8" t="s">
        <v>13529</v>
      </c>
      <c r="H2234" s="8" t="s">
        <v>3479</v>
      </c>
      <c r="I2234" s="9">
        <v>0.0</v>
      </c>
      <c r="J2234" s="9">
        <v>2404.0</v>
      </c>
      <c r="K2234" s="9">
        <v>2404.0</v>
      </c>
      <c r="L2234" s="9">
        <v>2404.0</v>
      </c>
      <c r="M2234" s="9">
        <v>905.0</v>
      </c>
      <c r="N2234" s="9">
        <v>900.0</v>
      </c>
      <c r="O2234" s="9">
        <v>599.0</v>
      </c>
      <c r="P2234" s="8" t="s">
        <v>3480</v>
      </c>
      <c r="Q2234" s="8"/>
      <c r="R2234" s="8"/>
    </row>
    <row r="2235">
      <c r="A2235" s="8" t="s">
        <v>2338</v>
      </c>
      <c r="B2235" s="8" t="s">
        <v>13530</v>
      </c>
      <c r="C2235" s="8" t="s">
        <v>3496</v>
      </c>
      <c r="D2235" s="9">
        <v>9.049536462E9</v>
      </c>
      <c r="E2235" s="8" t="s">
        <v>3503</v>
      </c>
      <c r="F2235" s="8" t="s">
        <v>3498</v>
      </c>
      <c r="G2235" s="8" t="s">
        <v>13531</v>
      </c>
      <c r="H2235" s="8" t="s">
        <v>3479</v>
      </c>
      <c r="I2235" s="9">
        <v>0.0</v>
      </c>
      <c r="J2235" s="9">
        <v>2671.0</v>
      </c>
      <c r="K2235" s="9">
        <v>2671.0</v>
      </c>
      <c r="L2235" s="9">
        <v>2671.0</v>
      </c>
      <c r="M2235" s="9">
        <v>1167.0</v>
      </c>
      <c r="N2235" s="9">
        <v>730.0</v>
      </c>
      <c r="O2235" s="9">
        <v>774.0</v>
      </c>
      <c r="P2235" s="8" t="s">
        <v>3480</v>
      </c>
      <c r="Q2235" s="8" t="s">
        <v>3505</v>
      </c>
      <c r="R2235" s="8"/>
    </row>
    <row r="2236">
      <c r="A2236" s="8" t="s">
        <v>2251</v>
      </c>
      <c r="B2236" s="8" t="s">
        <v>13532</v>
      </c>
      <c r="C2236" s="8" t="s">
        <v>13533</v>
      </c>
      <c r="D2236" s="9">
        <v>9.421651208E9</v>
      </c>
      <c r="E2236" s="8" t="s">
        <v>13534</v>
      </c>
      <c r="F2236" s="8" t="s">
        <v>4259</v>
      </c>
      <c r="G2236" s="8" t="s">
        <v>13535</v>
      </c>
      <c r="H2236" s="8" t="s">
        <v>3479</v>
      </c>
      <c r="I2236" s="9">
        <v>0.0</v>
      </c>
      <c r="J2236" s="9">
        <v>785.0</v>
      </c>
      <c r="K2236" s="9">
        <v>785.0</v>
      </c>
      <c r="L2236" s="9">
        <v>785.0</v>
      </c>
      <c r="M2236" s="9">
        <v>410.0</v>
      </c>
      <c r="N2236" s="9">
        <v>0.0</v>
      </c>
      <c r="O2236" s="9">
        <v>375.0</v>
      </c>
      <c r="P2236" s="8" t="s">
        <v>3480</v>
      </c>
      <c r="Q2236" s="8"/>
      <c r="R2236" s="8"/>
    </row>
    <row r="2237">
      <c r="A2237" s="8" t="s">
        <v>2252</v>
      </c>
      <c r="B2237" s="8" t="s">
        <v>13536</v>
      </c>
      <c r="C2237" s="8" t="s">
        <v>13537</v>
      </c>
      <c r="D2237" s="9">
        <v>7.389938419E9</v>
      </c>
      <c r="E2237" s="8" t="s">
        <v>13538</v>
      </c>
      <c r="F2237" s="8" t="s">
        <v>4100</v>
      </c>
      <c r="G2237" s="8" t="s">
        <v>13539</v>
      </c>
      <c r="H2237" s="8" t="s">
        <v>3479</v>
      </c>
      <c r="I2237" s="9">
        <v>0.0</v>
      </c>
      <c r="J2237" s="9">
        <v>695.0</v>
      </c>
      <c r="K2237" s="9">
        <v>695.0</v>
      </c>
      <c r="L2237" s="9">
        <v>695.0</v>
      </c>
      <c r="M2237" s="9">
        <v>520.0</v>
      </c>
      <c r="N2237" s="9">
        <v>0.0</v>
      </c>
      <c r="O2237" s="9">
        <v>175.0</v>
      </c>
      <c r="P2237" s="8" t="s">
        <v>3480</v>
      </c>
      <c r="Q2237" s="8"/>
      <c r="R2237" s="8"/>
    </row>
    <row r="2238">
      <c r="A2238" s="8" t="s">
        <v>2146</v>
      </c>
      <c r="B2238" s="8" t="s">
        <v>13540</v>
      </c>
      <c r="C2238" s="8" t="s">
        <v>13541</v>
      </c>
      <c r="D2238" s="9">
        <v>9.439010305E9</v>
      </c>
      <c r="E2238" s="8" t="s">
        <v>13542</v>
      </c>
      <c r="F2238" s="8" t="s">
        <v>3523</v>
      </c>
      <c r="G2238" s="8" t="s">
        <v>13543</v>
      </c>
      <c r="H2238" s="8" t="s">
        <v>3479</v>
      </c>
      <c r="I2238" s="9">
        <v>0.0</v>
      </c>
      <c r="J2238" s="9">
        <v>2224.0</v>
      </c>
      <c r="K2238" s="9">
        <v>2224.0</v>
      </c>
      <c r="L2238" s="9">
        <v>2224.0</v>
      </c>
      <c r="M2238" s="9">
        <v>970.0</v>
      </c>
      <c r="N2238" s="9">
        <v>730.0</v>
      </c>
      <c r="O2238" s="9">
        <v>524.0</v>
      </c>
      <c r="P2238" s="8" t="s">
        <v>3480</v>
      </c>
      <c r="Q2238" s="8"/>
      <c r="R2238" s="8"/>
    </row>
    <row r="2239">
      <c r="A2239" s="8" t="s">
        <v>2147</v>
      </c>
      <c r="B2239" s="8" t="s">
        <v>13544</v>
      </c>
      <c r="C2239" s="8" t="s">
        <v>13545</v>
      </c>
      <c r="D2239" s="9">
        <v>9.746902446E9</v>
      </c>
      <c r="E2239" s="8" t="s">
        <v>6750</v>
      </c>
      <c r="F2239" s="8" t="s">
        <v>4436</v>
      </c>
      <c r="G2239" s="8" t="s">
        <v>13546</v>
      </c>
      <c r="H2239" s="8" t="s">
        <v>3479</v>
      </c>
      <c r="I2239" s="9">
        <v>0.0</v>
      </c>
      <c r="J2239" s="9">
        <v>2752.0</v>
      </c>
      <c r="K2239" s="9">
        <v>2752.0</v>
      </c>
      <c r="L2239" s="9">
        <v>2752.0</v>
      </c>
      <c r="M2239" s="9">
        <v>1175.0</v>
      </c>
      <c r="N2239" s="9">
        <v>358.0</v>
      </c>
      <c r="O2239" s="9">
        <v>1219.0</v>
      </c>
      <c r="P2239" s="8" t="s">
        <v>3480</v>
      </c>
      <c r="Q2239" s="8"/>
      <c r="R2239" s="8" t="s">
        <v>6752</v>
      </c>
    </row>
    <row r="2240">
      <c r="A2240" s="8" t="s">
        <v>2148</v>
      </c>
      <c r="B2240" s="8" t="s">
        <v>13547</v>
      </c>
      <c r="C2240" s="8" t="s">
        <v>13548</v>
      </c>
      <c r="D2240" s="9">
        <v>8.087522879E9</v>
      </c>
      <c r="E2240" s="8" t="s">
        <v>13549</v>
      </c>
      <c r="F2240" s="8" t="s">
        <v>5633</v>
      </c>
      <c r="G2240" s="8" t="s">
        <v>13550</v>
      </c>
      <c r="H2240" s="8" t="s">
        <v>3479</v>
      </c>
      <c r="I2240" s="9">
        <v>0.0</v>
      </c>
      <c r="J2240" s="9">
        <v>4208.0</v>
      </c>
      <c r="K2240" s="9">
        <v>4208.0</v>
      </c>
      <c r="L2240" s="9">
        <v>4208.0</v>
      </c>
      <c r="M2240" s="9">
        <v>3319.0</v>
      </c>
      <c r="N2240" s="9">
        <v>190.0</v>
      </c>
      <c r="O2240" s="9">
        <v>699.0</v>
      </c>
      <c r="P2240" s="8" t="s">
        <v>3480</v>
      </c>
      <c r="Q2240" s="8" t="s">
        <v>11965</v>
      </c>
      <c r="R2240" s="8" t="s">
        <v>11966</v>
      </c>
    </row>
    <row r="2241">
      <c r="A2241" s="8" t="s">
        <v>2149</v>
      </c>
      <c r="B2241" s="8" t="s">
        <v>13551</v>
      </c>
      <c r="C2241" s="8" t="s">
        <v>4960</v>
      </c>
      <c r="D2241" s="9">
        <v>7.030517308E9</v>
      </c>
      <c r="E2241" s="8" t="s">
        <v>13552</v>
      </c>
      <c r="F2241" s="8" t="s">
        <v>3608</v>
      </c>
      <c r="G2241" s="8" t="s">
        <v>13553</v>
      </c>
      <c r="H2241" s="8" t="s">
        <v>3479</v>
      </c>
      <c r="I2241" s="9">
        <v>0.0</v>
      </c>
      <c r="J2241" s="9">
        <v>1453.0</v>
      </c>
      <c r="K2241" s="9">
        <v>1453.0</v>
      </c>
      <c r="L2241" s="9">
        <v>1453.0</v>
      </c>
      <c r="M2241" s="9">
        <v>274.0</v>
      </c>
      <c r="N2241" s="9">
        <v>730.0</v>
      </c>
      <c r="O2241" s="9">
        <v>449.0</v>
      </c>
      <c r="P2241" s="8"/>
      <c r="Q2241" s="8" t="s">
        <v>13554</v>
      </c>
      <c r="R2241" s="8" t="s">
        <v>13555</v>
      </c>
    </row>
    <row r="2242">
      <c r="A2242" s="8" t="s">
        <v>2150</v>
      </c>
      <c r="B2242" s="8" t="s">
        <v>13556</v>
      </c>
      <c r="C2242" s="8" t="s">
        <v>7613</v>
      </c>
      <c r="D2242" s="9">
        <v>9.766523567E9</v>
      </c>
      <c r="E2242" s="8" t="s">
        <v>7614</v>
      </c>
      <c r="F2242" s="8" t="s">
        <v>4239</v>
      </c>
      <c r="G2242" s="8" t="s">
        <v>13557</v>
      </c>
      <c r="H2242" s="8" t="s">
        <v>3479</v>
      </c>
      <c r="I2242" s="9">
        <v>0.0</v>
      </c>
      <c r="J2242" s="9">
        <v>2109.0</v>
      </c>
      <c r="K2242" s="9">
        <v>2109.0</v>
      </c>
      <c r="L2242" s="9">
        <v>2109.0</v>
      </c>
      <c r="M2242" s="9">
        <v>930.0</v>
      </c>
      <c r="N2242" s="9">
        <v>730.0</v>
      </c>
      <c r="O2242" s="9">
        <v>449.0</v>
      </c>
      <c r="P2242" s="8" t="s">
        <v>3480</v>
      </c>
      <c r="Q2242" s="8"/>
      <c r="R2242" s="8"/>
    </row>
    <row r="2243">
      <c r="A2243" s="8" t="s">
        <v>2151</v>
      </c>
      <c r="B2243" s="8" t="s">
        <v>13558</v>
      </c>
      <c r="C2243" s="8" t="s">
        <v>8968</v>
      </c>
      <c r="D2243" s="9">
        <v>9.823256415E9</v>
      </c>
      <c r="E2243" s="8" t="s">
        <v>8969</v>
      </c>
      <c r="F2243" s="8" t="s">
        <v>3594</v>
      </c>
      <c r="G2243" s="8" t="s">
        <v>8970</v>
      </c>
      <c r="H2243" s="8" t="s">
        <v>3479</v>
      </c>
      <c r="I2243" s="9">
        <v>0.0</v>
      </c>
      <c r="J2243" s="9">
        <v>3404.0</v>
      </c>
      <c r="K2243" s="9">
        <v>3404.0</v>
      </c>
      <c r="L2243" s="9">
        <v>3404.0</v>
      </c>
      <c r="M2243" s="9">
        <v>2150.0</v>
      </c>
      <c r="N2243" s="9">
        <v>730.0</v>
      </c>
      <c r="O2243" s="9">
        <v>524.0</v>
      </c>
      <c r="P2243" s="8" t="s">
        <v>3480</v>
      </c>
      <c r="Q2243" s="8" t="s">
        <v>8971</v>
      </c>
      <c r="R2243" s="8" t="s">
        <v>8972</v>
      </c>
    </row>
    <row r="2244">
      <c r="A2244" s="8" t="s">
        <v>2152</v>
      </c>
      <c r="B2244" s="8" t="s">
        <v>13559</v>
      </c>
      <c r="C2244" s="8" t="s">
        <v>13560</v>
      </c>
      <c r="D2244" s="9">
        <v>7.304431888E9</v>
      </c>
      <c r="E2244" s="8" t="s">
        <v>13561</v>
      </c>
      <c r="F2244" s="8" t="s">
        <v>4903</v>
      </c>
      <c r="G2244" s="8" t="s">
        <v>13562</v>
      </c>
      <c r="H2244" s="8" t="s">
        <v>3479</v>
      </c>
      <c r="I2244" s="9">
        <v>0.0</v>
      </c>
      <c r="J2244" s="9">
        <v>1254.0</v>
      </c>
      <c r="K2244" s="9">
        <v>1254.0</v>
      </c>
      <c r="L2244" s="9">
        <v>1254.0</v>
      </c>
      <c r="M2244" s="9">
        <v>300.0</v>
      </c>
      <c r="N2244" s="9">
        <v>0.0</v>
      </c>
      <c r="O2244" s="9">
        <v>954.0</v>
      </c>
      <c r="P2244" s="8" t="s">
        <v>3480</v>
      </c>
      <c r="Q2244" s="8"/>
      <c r="R2244" s="8"/>
    </row>
    <row r="2245">
      <c r="A2245" s="8" t="s">
        <v>2153</v>
      </c>
      <c r="B2245" s="8" t="s">
        <v>13563</v>
      </c>
      <c r="C2245" s="8" t="s">
        <v>13564</v>
      </c>
      <c r="D2245" s="9">
        <v>9.92160202E9</v>
      </c>
      <c r="E2245" s="8" t="s">
        <v>13565</v>
      </c>
      <c r="F2245" s="8" t="s">
        <v>4239</v>
      </c>
      <c r="G2245" s="8" t="s">
        <v>13566</v>
      </c>
      <c r="H2245" s="8" t="s">
        <v>3479</v>
      </c>
      <c r="I2245" s="9">
        <v>0.0</v>
      </c>
      <c r="J2245" s="9">
        <v>1159.0</v>
      </c>
      <c r="K2245" s="9">
        <v>1159.0</v>
      </c>
      <c r="L2245" s="9">
        <v>1159.0</v>
      </c>
      <c r="M2245" s="9">
        <v>355.0</v>
      </c>
      <c r="N2245" s="9">
        <v>80.0</v>
      </c>
      <c r="O2245" s="9">
        <v>724.0</v>
      </c>
      <c r="P2245" s="8" t="s">
        <v>3480</v>
      </c>
      <c r="Q2245" s="8" t="s">
        <v>13567</v>
      </c>
      <c r="R2245" s="8"/>
    </row>
    <row r="2246">
      <c r="A2246" s="8" t="s">
        <v>2570</v>
      </c>
      <c r="B2246" s="8" t="s">
        <v>13568</v>
      </c>
      <c r="C2246" s="8" t="s">
        <v>13569</v>
      </c>
      <c r="D2246" s="9">
        <v>9.890653278E9</v>
      </c>
      <c r="E2246" s="8" t="s">
        <v>13570</v>
      </c>
      <c r="F2246" s="8" t="s">
        <v>3486</v>
      </c>
      <c r="G2246" s="8" t="s">
        <v>13571</v>
      </c>
      <c r="H2246" s="8" t="s">
        <v>3479</v>
      </c>
      <c r="I2246" s="9">
        <v>0.0</v>
      </c>
      <c r="J2246" s="9">
        <v>1353.0</v>
      </c>
      <c r="K2246" s="9">
        <v>1353.0</v>
      </c>
      <c r="L2246" s="9">
        <v>1353.0</v>
      </c>
      <c r="M2246" s="9">
        <v>165.0</v>
      </c>
      <c r="N2246" s="9">
        <v>739.0</v>
      </c>
      <c r="O2246" s="9">
        <v>449.0</v>
      </c>
      <c r="P2246" s="8" t="s">
        <v>3480</v>
      </c>
      <c r="Q2246" s="8"/>
      <c r="R2246" s="8"/>
    </row>
    <row r="2247">
      <c r="A2247" s="8" t="s">
        <v>2339</v>
      </c>
      <c r="B2247" s="8" t="s">
        <v>13572</v>
      </c>
      <c r="C2247" s="8" t="s">
        <v>13573</v>
      </c>
      <c r="D2247" s="9">
        <v>9.595936068E9</v>
      </c>
      <c r="E2247" s="8" t="s">
        <v>13574</v>
      </c>
      <c r="F2247" s="8" t="s">
        <v>3523</v>
      </c>
      <c r="G2247" s="8" t="s">
        <v>13575</v>
      </c>
      <c r="H2247" s="8" t="s">
        <v>13576</v>
      </c>
      <c r="I2247" s="9">
        <v>0.0</v>
      </c>
      <c r="J2247" s="9">
        <v>2900.0</v>
      </c>
      <c r="K2247" s="9">
        <v>2909.0</v>
      </c>
      <c r="L2247" s="9">
        <v>2900.0</v>
      </c>
      <c r="M2247" s="9">
        <v>1655.0</v>
      </c>
      <c r="N2247" s="9">
        <v>730.0</v>
      </c>
      <c r="O2247" s="9">
        <v>524.0</v>
      </c>
      <c r="P2247" s="8" t="s">
        <v>3480</v>
      </c>
      <c r="Q2247" s="8" t="s">
        <v>13577</v>
      </c>
      <c r="R2247" s="8"/>
    </row>
    <row r="2248">
      <c r="A2248" s="8" t="s">
        <v>2569</v>
      </c>
      <c r="B2248" s="8" t="s">
        <v>13578</v>
      </c>
      <c r="C2248" s="8" t="s">
        <v>13579</v>
      </c>
      <c r="D2248" s="9">
        <v>9.890419482E9</v>
      </c>
      <c r="E2248" s="8" t="s">
        <v>13580</v>
      </c>
      <c r="F2248" s="8" t="s">
        <v>3608</v>
      </c>
      <c r="G2248" s="8" t="s">
        <v>13581</v>
      </c>
      <c r="H2248" s="8" t="s">
        <v>3479</v>
      </c>
      <c r="I2248" s="9">
        <v>0.0</v>
      </c>
      <c r="J2248" s="9">
        <v>1268.0</v>
      </c>
      <c r="K2248" s="9">
        <v>1268.0</v>
      </c>
      <c r="L2248" s="9">
        <v>1268.0</v>
      </c>
      <c r="M2248" s="9">
        <v>80.0</v>
      </c>
      <c r="N2248" s="9">
        <v>739.0</v>
      </c>
      <c r="O2248" s="9">
        <v>449.0</v>
      </c>
      <c r="P2248" s="8" t="s">
        <v>3480</v>
      </c>
      <c r="Q2248" s="8" t="s">
        <v>13582</v>
      </c>
      <c r="R2248" s="8" t="s">
        <v>13583</v>
      </c>
    </row>
    <row r="2249">
      <c r="A2249" s="8" t="s">
        <v>2154</v>
      </c>
      <c r="B2249" s="8" t="s">
        <v>13584</v>
      </c>
      <c r="C2249" s="8" t="s">
        <v>5389</v>
      </c>
      <c r="D2249" s="9">
        <v>9.561303306E9</v>
      </c>
      <c r="E2249" s="8" t="s">
        <v>13585</v>
      </c>
      <c r="F2249" s="8" t="s">
        <v>3757</v>
      </c>
      <c r="G2249" s="8" t="s">
        <v>4036</v>
      </c>
      <c r="H2249" s="8" t="s">
        <v>3479</v>
      </c>
      <c r="I2249" s="9">
        <v>0.0</v>
      </c>
      <c r="J2249" s="9">
        <v>629.0</v>
      </c>
      <c r="K2249" s="9">
        <v>629.0</v>
      </c>
      <c r="L2249" s="9">
        <v>629.0</v>
      </c>
      <c r="M2249" s="9">
        <v>104.0</v>
      </c>
      <c r="N2249" s="9">
        <v>0.0</v>
      </c>
      <c r="O2249" s="9">
        <v>525.0</v>
      </c>
      <c r="P2249" s="8" t="s">
        <v>3480</v>
      </c>
      <c r="Q2249" s="8"/>
      <c r="R2249" s="8"/>
    </row>
    <row r="2250">
      <c r="A2250" s="8" t="s">
        <v>2155</v>
      </c>
      <c r="B2250" s="8" t="s">
        <v>13586</v>
      </c>
      <c r="C2250" s="8" t="s">
        <v>13587</v>
      </c>
      <c r="D2250" s="9">
        <v>9.326931913E9</v>
      </c>
      <c r="E2250" s="8" t="s">
        <v>13588</v>
      </c>
      <c r="F2250" s="8" t="s">
        <v>4574</v>
      </c>
      <c r="G2250" s="8" t="s">
        <v>13589</v>
      </c>
      <c r="H2250" s="8" t="s">
        <v>3479</v>
      </c>
      <c r="I2250" s="9">
        <v>0.0</v>
      </c>
      <c r="J2250" s="9">
        <v>1774.0</v>
      </c>
      <c r="K2250" s="9">
        <v>1774.0</v>
      </c>
      <c r="L2250" s="9">
        <v>1774.0</v>
      </c>
      <c r="M2250" s="9">
        <v>520.0</v>
      </c>
      <c r="N2250" s="9">
        <v>730.0</v>
      </c>
      <c r="O2250" s="9">
        <v>524.0</v>
      </c>
      <c r="P2250" s="8" t="s">
        <v>3480</v>
      </c>
      <c r="Q2250" s="8" t="s">
        <v>13590</v>
      </c>
      <c r="R2250" s="8" t="s">
        <v>13591</v>
      </c>
    </row>
    <row r="2251">
      <c r="A2251" s="8" t="s">
        <v>2340</v>
      </c>
      <c r="B2251" s="8" t="s">
        <v>13592</v>
      </c>
      <c r="C2251" s="8" t="s">
        <v>11741</v>
      </c>
      <c r="D2251" s="9">
        <v>8.939180987E9</v>
      </c>
      <c r="E2251" s="8" t="s">
        <v>11742</v>
      </c>
      <c r="F2251" s="8" t="s">
        <v>11743</v>
      </c>
      <c r="G2251" s="8" t="s">
        <v>13593</v>
      </c>
      <c r="H2251" s="8" t="s">
        <v>3479</v>
      </c>
      <c r="I2251" s="9">
        <v>0.0</v>
      </c>
      <c r="J2251" s="9">
        <v>5000.0</v>
      </c>
      <c r="K2251" s="9">
        <v>5708.0</v>
      </c>
      <c r="L2251" s="9">
        <v>5708.0</v>
      </c>
      <c r="M2251" s="9">
        <v>5580.0</v>
      </c>
      <c r="N2251" s="9">
        <v>128.0</v>
      </c>
      <c r="O2251" s="9">
        <v>0.0</v>
      </c>
      <c r="P2251" s="8" t="s">
        <v>3480</v>
      </c>
      <c r="Q2251" s="8" t="s">
        <v>11745</v>
      </c>
      <c r="R2251" s="8" t="s">
        <v>11746</v>
      </c>
    </row>
    <row r="2252">
      <c r="A2252" s="8" t="s">
        <v>1943</v>
      </c>
      <c r="B2252" s="8" t="s">
        <v>13594</v>
      </c>
      <c r="C2252" s="8" t="s">
        <v>13595</v>
      </c>
      <c r="D2252" s="9">
        <v>7.382275141E9</v>
      </c>
      <c r="E2252" s="8" t="s">
        <v>13596</v>
      </c>
      <c r="F2252" s="8" t="s">
        <v>3692</v>
      </c>
      <c r="G2252" s="8" t="s">
        <v>13597</v>
      </c>
      <c r="H2252" s="8" t="s">
        <v>3479</v>
      </c>
      <c r="I2252" s="9">
        <v>0.0</v>
      </c>
      <c r="J2252" s="9">
        <v>2564.0</v>
      </c>
      <c r="K2252" s="9">
        <v>2564.0</v>
      </c>
      <c r="L2252" s="9">
        <v>2564.0</v>
      </c>
      <c r="M2252" s="9">
        <v>625.0</v>
      </c>
      <c r="N2252" s="9">
        <v>965.0</v>
      </c>
      <c r="O2252" s="9">
        <v>974.0</v>
      </c>
      <c r="P2252" s="8" t="s">
        <v>3480</v>
      </c>
      <c r="Q2252" s="8"/>
      <c r="R2252" s="8"/>
    </row>
    <row r="2253">
      <c r="A2253" s="8" t="s">
        <v>1944</v>
      </c>
      <c r="B2253" s="8" t="s">
        <v>13598</v>
      </c>
      <c r="C2253" s="8" t="s">
        <v>13599</v>
      </c>
      <c r="D2253" s="9">
        <v>8.308185186E9</v>
      </c>
      <c r="E2253" s="8" t="s">
        <v>13600</v>
      </c>
      <c r="F2253" s="8" t="s">
        <v>4454</v>
      </c>
      <c r="G2253" s="8" t="s">
        <v>13601</v>
      </c>
      <c r="H2253" s="8" t="s">
        <v>3479</v>
      </c>
      <c r="I2253" s="9">
        <v>0.0</v>
      </c>
      <c r="J2253" s="9">
        <v>2137.0</v>
      </c>
      <c r="K2253" s="9">
        <v>2137.0</v>
      </c>
      <c r="L2253" s="9">
        <v>2137.0</v>
      </c>
      <c r="M2253" s="9">
        <v>958.0</v>
      </c>
      <c r="N2253" s="9">
        <v>730.0</v>
      </c>
      <c r="O2253" s="9">
        <v>449.0</v>
      </c>
      <c r="P2253" s="8" t="s">
        <v>3480</v>
      </c>
      <c r="Q2253" s="8"/>
      <c r="R2253" s="8"/>
    </row>
    <row r="2254">
      <c r="A2254" s="8" t="s">
        <v>2341</v>
      </c>
      <c r="B2254" s="8" t="s">
        <v>13602</v>
      </c>
      <c r="C2254" s="8" t="s">
        <v>13603</v>
      </c>
      <c r="D2254" s="9">
        <v>9.651639411E9</v>
      </c>
      <c r="E2254" s="8" t="s">
        <v>13604</v>
      </c>
      <c r="F2254" s="8" t="s">
        <v>7316</v>
      </c>
      <c r="G2254" s="8" t="s">
        <v>13605</v>
      </c>
      <c r="H2254" s="8" t="s">
        <v>3479</v>
      </c>
      <c r="I2254" s="9">
        <v>0.0</v>
      </c>
      <c r="J2254" s="9">
        <v>1420.0</v>
      </c>
      <c r="K2254" s="9">
        <v>1420.0</v>
      </c>
      <c r="L2254" s="9">
        <v>1420.0</v>
      </c>
      <c r="M2254" s="9">
        <v>1420.0</v>
      </c>
      <c r="N2254" s="9">
        <v>0.0</v>
      </c>
      <c r="O2254" s="9">
        <v>0.0</v>
      </c>
      <c r="P2254" s="8" t="s">
        <v>3480</v>
      </c>
      <c r="Q2254" s="8"/>
      <c r="R2254" s="8"/>
    </row>
    <row r="2255">
      <c r="A2255" s="8" t="s">
        <v>1660</v>
      </c>
      <c r="B2255" s="8" t="s">
        <v>13606</v>
      </c>
      <c r="C2255" s="8" t="s">
        <v>13607</v>
      </c>
      <c r="D2255" s="9">
        <v>8.087444804E9</v>
      </c>
      <c r="E2255" s="8" t="s">
        <v>13608</v>
      </c>
      <c r="F2255" s="8" t="s">
        <v>3523</v>
      </c>
      <c r="G2255" s="8" t="s">
        <v>13609</v>
      </c>
      <c r="H2255" s="8" t="s">
        <v>3479</v>
      </c>
      <c r="I2255" s="9">
        <v>0.0</v>
      </c>
      <c r="J2255" s="9">
        <v>1694.0</v>
      </c>
      <c r="K2255" s="9">
        <v>1694.0</v>
      </c>
      <c r="L2255" s="9">
        <v>1694.0</v>
      </c>
      <c r="M2255" s="9">
        <v>360.0</v>
      </c>
      <c r="N2255" s="9">
        <v>730.0</v>
      </c>
      <c r="O2255" s="9">
        <v>604.0</v>
      </c>
      <c r="P2255" s="8" t="s">
        <v>3480</v>
      </c>
      <c r="Q2255" s="8"/>
      <c r="R2255" s="8"/>
    </row>
    <row r="2256">
      <c r="A2256" s="8" t="s">
        <v>2342</v>
      </c>
      <c r="B2256" s="8" t="s">
        <v>13610</v>
      </c>
      <c r="C2256" s="8" t="s">
        <v>8075</v>
      </c>
      <c r="D2256" s="9">
        <v>7.350902618E9</v>
      </c>
      <c r="E2256" s="8" t="s">
        <v>8076</v>
      </c>
      <c r="F2256" s="8" t="s">
        <v>3564</v>
      </c>
      <c r="G2256" s="8" t="s">
        <v>3494</v>
      </c>
      <c r="H2256" s="8" t="s">
        <v>3479</v>
      </c>
      <c r="I2256" s="9">
        <v>0.0</v>
      </c>
      <c r="J2256" s="9">
        <v>1955.0</v>
      </c>
      <c r="K2256" s="9">
        <v>1955.0</v>
      </c>
      <c r="L2256" s="9">
        <v>1955.0</v>
      </c>
      <c r="M2256" s="9">
        <v>1955.0</v>
      </c>
      <c r="N2256" s="9">
        <v>0.0</v>
      </c>
      <c r="O2256" s="9">
        <v>0.0</v>
      </c>
      <c r="P2256" s="8" t="s">
        <v>3480</v>
      </c>
      <c r="Q2256" s="8" t="s">
        <v>8078</v>
      </c>
      <c r="R2256" s="8" t="s">
        <v>8079</v>
      </c>
    </row>
    <row r="2257">
      <c r="A2257" s="8" t="s">
        <v>2343</v>
      </c>
      <c r="B2257" s="8" t="s">
        <v>13611</v>
      </c>
      <c r="C2257" s="8" t="s">
        <v>13612</v>
      </c>
      <c r="D2257" s="9">
        <v>9.028274842E9</v>
      </c>
      <c r="E2257" s="8" t="s">
        <v>13613</v>
      </c>
      <c r="F2257" s="8" t="s">
        <v>3721</v>
      </c>
      <c r="G2257" s="8" t="s">
        <v>13614</v>
      </c>
      <c r="H2257" s="8" t="s">
        <v>3479</v>
      </c>
      <c r="I2257" s="9">
        <v>0.0</v>
      </c>
      <c r="J2257" s="9">
        <v>1330.0</v>
      </c>
      <c r="K2257" s="9">
        <v>1330.0</v>
      </c>
      <c r="L2257" s="9">
        <v>1330.0</v>
      </c>
      <c r="M2257" s="9">
        <v>1150.0</v>
      </c>
      <c r="N2257" s="9">
        <v>0.0</v>
      </c>
      <c r="O2257" s="9">
        <v>180.0</v>
      </c>
      <c r="P2257" s="8" t="s">
        <v>3480</v>
      </c>
      <c r="Q2257" s="8"/>
      <c r="R2257" s="8"/>
    </row>
    <row r="2258">
      <c r="A2258" s="8" t="s">
        <v>2535</v>
      </c>
      <c r="B2258" s="8" t="s">
        <v>13615</v>
      </c>
      <c r="C2258" s="8" t="s">
        <v>13616</v>
      </c>
      <c r="D2258" s="9">
        <v>9.359006522E9</v>
      </c>
      <c r="E2258" s="8" t="s">
        <v>13617</v>
      </c>
      <c r="F2258" s="8" t="s">
        <v>3589</v>
      </c>
      <c r="G2258" s="8" t="s">
        <v>13618</v>
      </c>
      <c r="H2258" s="8" t="s">
        <v>3479</v>
      </c>
      <c r="I2258" s="9">
        <v>0.0</v>
      </c>
      <c r="J2258" s="9">
        <v>1334.0</v>
      </c>
      <c r="K2258" s="9">
        <v>1334.0</v>
      </c>
      <c r="L2258" s="9">
        <v>1334.0</v>
      </c>
      <c r="M2258" s="9">
        <v>80.0</v>
      </c>
      <c r="N2258" s="9">
        <v>730.0</v>
      </c>
      <c r="O2258" s="9">
        <v>524.0</v>
      </c>
      <c r="P2258" s="8" t="s">
        <v>3480</v>
      </c>
      <c r="Q2258" s="8" t="s">
        <v>13619</v>
      </c>
      <c r="R2258" s="8" t="s">
        <v>13620</v>
      </c>
    </row>
    <row r="2259">
      <c r="A2259" s="8" t="s">
        <v>1945</v>
      </c>
      <c r="B2259" s="8" t="s">
        <v>13621</v>
      </c>
      <c r="C2259" s="8" t="s">
        <v>6759</v>
      </c>
      <c r="D2259" s="9">
        <v>9.3256184E9</v>
      </c>
      <c r="E2259" s="8" t="s">
        <v>6760</v>
      </c>
      <c r="F2259" s="8" t="s">
        <v>3576</v>
      </c>
      <c r="G2259" s="8" t="s">
        <v>13622</v>
      </c>
      <c r="H2259" s="8" t="s">
        <v>3479</v>
      </c>
      <c r="I2259" s="9">
        <v>0.0</v>
      </c>
      <c r="J2259" s="9">
        <v>1634.0</v>
      </c>
      <c r="K2259" s="9">
        <v>1634.0</v>
      </c>
      <c r="L2259" s="9">
        <v>1634.0</v>
      </c>
      <c r="M2259" s="9">
        <v>135.0</v>
      </c>
      <c r="N2259" s="9">
        <v>900.0</v>
      </c>
      <c r="O2259" s="9">
        <v>599.0</v>
      </c>
      <c r="P2259" s="8" t="s">
        <v>3480</v>
      </c>
      <c r="Q2259" s="8" t="s">
        <v>6763</v>
      </c>
      <c r="R2259" s="8" t="s">
        <v>6764</v>
      </c>
    </row>
    <row r="2260">
      <c r="A2260" s="8" t="s">
        <v>2254</v>
      </c>
      <c r="B2260" s="8" t="s">
        <v>13623</v>
      </c>
      <c r="C2260" s="8" t="s">
        <v>13624</v>
      </c>
      <c r="D2260" s="9">
        <v>8.087368511E9</v>
      </c>
      <c r="E2260" s="8" t="s">
        <v>13625</v>
      </c>
      <c r="F2260" s="8" t="s">
        <v>4252</v>
      </c>
      <c r="G2260" s="8" t="s">
        <v>13626</v>
      </c>
      <c r="H2260" s="8" t="s">
        <v>3479</v>
      </c>
      <c r="I2260" s="9">
        <v>0.0</v>
      </c>
      <c r="J2260" s="9">
        <v>2662.0</v>
      </c>
      <c r="K2260" s="9">
        <v>2662.0</v>
      </c>
      <c r="L2260" s="9">
        <v>2662.0</v>
      </c>
      <c r="M2260" s="9">
        <v>723.0</v>
      </c>
      <c r="N2260" s="9">
        <v>965.0</v>
      </c>
      <c r="O2260" s="9">
        <v>974.0</v>
      </c>
      <c r="P2260" s="8" t="s">
        <v>3480</v>
      </c>
      <c r="Q2260" s="8" t="s">
        <v>13627</v>
      </c>
      <c r="R2260" s="8" t="s">
        <v>13628</v>
      </c>
    </row>
    <row r="2261">
      <c r="A2261" s="8" t="s">
        <v>2344</v>
      </c>
      <c r="B2261" s="8" t="s">
        <v>13629</v>
      </c>
      <c r="C2261" s="8" t="s">
        <v>13630</v>
      </c>
      <c r="D2261" s="9">
        <v>8.208443217E9</v>
      </c>
      <c r="E2261" s="8" t="s">
        <v>13631</v>
      </c>
      <c r="F2261" s="8" t="s">
        <v>3608</v>
      </c>
      <c r="G2261" s="8" t="s">
        <v>13632</v>
      </c>
      <c r="H2261" s="8" t="s">
        <v>3479</v>
      </c>
      <c r="I2261" s="9">
        <v>0.0</v>
      </c>
      <c r="J2261" s="9">
        <v>1550.0</v>
      </c>
      <c r="K2261" s="9">
        <v>1550.0</v>
      </c>
      <c r="L2261" s="9">
        <v>1550.0</v>
      </c>
      <c r="M2261" s="9">
        <v>1550.0</v>
      </c>
      <c r="N2261" s="9">
        <v>0.0</v>
      </c>
      <c r="O2261" s="9">
        <v>0.0</v>
      </c>
      <c r="P2261" s="8" t="s">
        <v>3480</v>
      </c>
      <c r="Q2261" s="8"/>
      <c r="R2261" s="8"/>
    </row>
    <row r="2262">
      <c r="A2262" s="8" t="s">
        <v>2345</v>
      </c>
      <c r="B2262" s="8" t="s">
        <v>13633</v>
      </c>
      <c r="C2262" s="8" t="s">
        <v>7869</v>
      </c>
      <c r="D2262" s="9">
        <v>9.975649543E9</v>
      </c>
      <c r="E2262" s="8" t="s">
        <v>7870</v>
      </c>
      <c r="F2262" s="8" t="s">
        <v>3486</v>
      </c>
      <c r="G2262" s="8" t="s">
        <v>13634</v>
      </c>
      <c r="H2262" s="8" t="s">
        <v>3479</v>
      </c>
      <c r="I2262" s="9">
        <v>0.0</v>
      </c>
      <c r="J2262" s="9">
        <v>1409.0</v>
      </c>
      <c r="K2262" s="9">
        <v>1409.0</v>
      </c>
      <c r="L2262" s="9">
        <v>1409.0</v>
      </c>
      <c r="M2262" s="9">
        <v>80.0</v>
      </c>
      <c r="N2262" s="9">
        <v>800.0</v>
      </c>
      <c r="O2262" s="9">
        <v>529.0</v>
      </c>
      <c r="P2262" s="8" t="s">
        <v>3480</v>
      </c>
      <c r="Q2262" s="8" t="s">
        <v>7872</v>
      </c>
      <c r="R2262" s="8" t="s">
        <v>7873</v>
      </c>
    </row>
    <row r="2263">
      <c r="A2263" s="8" t="s">
        <v>2255</v>
      </c>
      <c r="B2263" s="8" t="s">
        <v>13635</v>
      </c>
      <c r="C2263" s="8" t="s">
        <v>13636</v>
      </c>
      <c r="D2263" s="9">
        <v>9.420151526E9</v>
      </c>
      <c r="E2263" s="8" t="s">
        <v>13637</v>
      </c>
      <c r="F2263" s="8" t="s">
        <v>3608</v>
      </c>
      <c r="G2263" s="8" t="s">
        <v>13638</v>
      </c>
      <c r="H2263" s="8" t="s">
        <v>3479</v>
      </c>
      <c r="I2263" s="9">
        <v>0.0</v>
      </c>
      <c r="J2263" s="9">
        <v>609.0</v>
      </c>
      <c r="K2263" s="9">
        <v>609.0</v>
      </c>
      <c r="L2263" s="9">
        <v>609.0</v>
      </c>
      <c r="M2263" s="9">
        <v>80.0</v>
      </c>
      <c r="N2263" s="9">
        <v>0.0</v>
      </c>
      <c r="O2263" s="9">
        <v>529.0</v>
      </c>
      <c r="P2263" s="8" t="s">
        <v>3480</v>
      </c>
      <c r="Q2263" s="8" t="s">
        <v>13639</v>
      </c>
      <c r="R2263" s="8" t="s">
        <v>13640</v>
      </c>
    </row>
    <row r="2264">
      <c r="A2264" s="8" t="s">
        <v>2256</v>
      </c>
      <c r="B2264" s="8" t="s">
        <v>13641</v>
      </c>
      <c r="C2264" s="8" t="s">
        <v>13642</v>
      </c>
      <c r="D2264" s="9">
        <v>9.595960066E9</v>
      </c>
      <c r="E2264" s="8" t="s">
        <v>13643</v>
      </c>
      <c r="F2264" s="8" t="s">
        <v>3589</v>
      </c>
      <c r="G2264" s="8" t="s">
        <v>13644</v>
      </c>
      <c r="H2264" s="8" t="s">
        <v>3479</v>
      </c>
      <c r="I2264" s="9">
        <v>0.0</v>
      </c>
      <c r="J2264" s="9">
        <v>1639.0</v>
      </c>
      <c r="K2264" s="9">
        <v>1639.0</v>
      </c>
      <c r="L2264" s="9">
        <v>1639.0</v>
      </c>
      <c r="M2264" s="9">
        <v>240.0</v>
      </c>
      <c r="N2264" s="9">
        <v>730.0</v>
      </c>
      <c r="O2264" s="9">
        <v>669.0</v>
      </c>
      <c r="P2264" s="8" t="s">
        <v>3480</v>
      </c>
      <c r="Q2264" s="8" t="s">
        <v>13645</v>
      </c>
      <c r="R2264" s="8" t="s">
        <v>13646</v>
      </c>
    </row>
    <row r="2265">
      <c r="A2265" s="8" t="s">
        <v>2346</v>
      </c>
      <c r="B2265" s="8" t="s">
        <v>13647</v>
      </c>
      <c r="C2265" s="8" t="s">
        <v>5055</v>
      </c>
      <c r="D2265" s="9">
        <v>9.028728906E9</v>
      </c>
      <c r="E2265" s="8" t="s">
        <v>5056</v>
      </c>
      <c r="F2265" s="8" t="s">
        <v>5057</v>
      </c>
      <c r="G2265" s="8" t="s">
        <v>13648</v>
      </c>
      <c r="H2265" s="8" t="s">
        <v>3479</v>
      </c>
      <c r="I2265" s="9">
        <v>0.0</v>
      </c>
      <c r="J2265" s="9">
        <v>1671.0</v>
      </c>
      <c r="K2265" s="9">
        <v>1671.0</v>
      </c>
      <c r="L2265" s="9">
        <v>1671.0</v>
      </c>
      <c r="M2265" s="9">
        <v>438.0</v>
      </c>
      <c r="N2265" s="9">
        <v>784.0</v>
      </c>
      <c r="O2265" s="9">
        <v>449.0</v>
      </c>
      <c r="P2265" s="8" t="s">
        <v>3480</v>
      </c>
      <c r="Q2265" s="8" t="s">
        <v>5059</v>
      </c>
      <c r="R2265" s="8" t="s">
        <v>5060</v>
      </c>
    </row>
    <row r="2266">
      <c r="A2266" s="8" t="s">
        <v>2257</v>
      </c>
      <c r="B2266" s="8" t="s">
        <v>13649</v>
      </c>
      <c r="C2266" s="8" t="s">
        <v>6532</v>
      </c>
      <c r="D2266" s="9">
        <v>7.620352876E9</v>
      </c>
      <c r="E2266" s="8" t="s">
        <v>6533</v>
      </c>
      <c r="F2266" s="8" t="s">
        <v>3608</v>
      </c>
      <c r="G2266" s="8" t="s">
        <v>13650</v>
      </c>
      <c r="H2266" s="8" t="s">
        <v>3479</v>
      </c>
      <c r="I2266" s="9">
        <v>0.0</v>
      </c>
      <c r="J2266" s="9">
        <v>529.0</v>
      </c>
      <c r="K2266" s="9">
        <v>529.0</v>
      </c>
      <c r="L2266" s="9">
        <v>529.0</v>
      </c>
      <c r="M2266" s="9">
        <v>80.0</v>
      </c>
      <c r="N2266" s="9">
        <v>0.0</v>
      </c>
      <c r="O2266" s="9">
        <v>449.0</v>
      </c>
      <c r="P2266" s="8" t="s">
        <v>3480</v>
      </c>
      <c r="Q2266" s="8" t="s">
        <v>6535</v>
      </c>
      <c r="R2266" s="8" t="s">
        <v>6536</v>
      </c>
    </row>
    <row r="2267">
      <c r="A2267" s="8" t="s">
        <v>2347</v>
      </c>
      <c r="B2267" s="8" t="s">
        <v>13651</v>
      </c>
      <c r="C2267" s="8" t="s">
        <v>8692</v>
      </c>
      <c r="D2267" s="9">
        <v>8.668363746E9</v>
      </c>
      <c r="E2267" s="8" t="s">
        <v>13652</v>
      </c>
      <c r="F2267" s="8" t="s">
        <v>3542</v>
      </c>
      <c r="G2267" s="8" t="s">
        <v>13653</v>
      </c>
      <c r="H2267" s="8" t="s">
        <v>3479</v>
      </c>
      <c r="I2267" s="9">
        <v>0.0</v>
      </c>
      <c r="J2267" s="9">
        <v>1534.0</v>
      </c>
      <c r="K2267" s="9">
        <v>1534.0</v>
      </c>
      <c r="L2267" s="9">
        <v>1534.0</v>
      </c>
      <c r="M2267" s="9">
        <v>280.0</v>
      </c>
      <c r="N2267" s="9">
        <v>730.0</v>
      </c>
      <c r="O2267" s="9">
        <v>524.0</v>
      </c>
      <c r="P2267" s="8" t="s">
        <v>3480</v>
      </c>
      <c r="Q2267" s="8" t="s">
        <v>4381</v>
      </c>
      <c r="R2267" s="8"/>
    </row>
    <row r="2268">
      <c r="A2268" s="8" t="s">
        <v>2258</v>
      </c>
      <c r="B2268" s="8" t="s">
        <v>13654</v>
      </c>
      <c r="C2268" s="8" t="s">
        <v>13655</v>
      </c>
      <c r="D2268" s="9">
        <v>7.498650542E9</v>
      </c>
      <c r="E2268" s="8" t="s">
        <v>13656</v>
      </c>
      <c r="F2268" s="8" t="s">
        <v>4112</v>
      </c>
      <c r="G2268" s="8" t="s">
        <v>13657</v>
      </c>
      <c r="H2268" s="8" t="s">
        <v>3479</v>
      </c>
      <c r="I2268" s="9">
        <v>0.0</v>
      </c>
      <c r="J2268" s="9">
        <v>1544.0</v>
      </c>
      <c r="K2268" s="9">
        <v>1544.0</v>
      </c>
      <c r="L2268" s="9">
        <v>1544.0</v>
      </c>
      <c r="M2268" s="9">
        <v>605.0</v>
      </c>
      <c r="N2268" s="9">
        <v>190.0</v>
      </c>
      <c r="O2268" s="9">
        <v>749.0</v>
      </c>
      <c r="P2268" s="8" t="s">
        <v>3480</v>
      </c>
      <c r="Q2268" s="8"/>
      <c r="R2268" s="8"/>
    </row>
    <row r="2269">
      <c r="A2269" s="8" t="s">
        <v>2348</v>
      </c>
      <c r="B2269" s="8" t="s">
        <v>13658</v>
      </c>
      <c r="C2269" s="8" t="s">
        <v>13143</v>
      </c>
      <c r="D2269" s="9">
        <v>7.378905978E9</v>
      </c>
      <c r="E2269" s="8" t="s">
        <v>13144</v>
      </c>
      <c r="F2269" s="8" t="s">
        <v>7276</v>
      </c>
      <c r="G2269" s="8" t="s">
        <v>13659</v>
      </c>
      <c r="H2269" s="8" t="s">
        <v>3479</v>
      </c>
      <c r="I2269" s="9">
        <v>0.0</v>
      </c>
      <c r="J2269" s="9">
        <v>1585.0</v>
      </c>
      <c r="K2269" s="9">
        <v>1585.0</v>
      </c>
      <c r="L2269" s="9">
        <v>1585.0</v>
      </c>
      <c r="M2269" s="9">
        <v>0.0</v>
      </c>
      <c r="N2269" s="9">
        <v>1525.0</v>
      </c>
      <c r="O2269" s="9">
        <v>60.0</v>
      </c>
      <c r="P2269" s="8" t="s">
        <v>3480</v>
      </c>
      <c r="Q2269" s="8"/>
      <c r="R2269" s="8"/>
    </row>
    <row r="2270">
      <c r="A2270" s="8" t="s">
        <v>2349</v>
      </c>
      <c r="B2270" s="8" t="s">
        <v>13660</v>
      </c>
      <c r="C2270" s="8" t="s">
        <v>9458</v>
      </c>
      <c r="D2270" s="9">
        <v>9.822525596E9</v>
      </c>
      <c r="E2270" s="8" t="s">
        <v>9459</v>
      </c>
      <c r="F2270" s="8" t="s">
        <v>3721</v>
      </c>
      <c r="G2270" s="8" t="s">
        <v>9460</v>
      </c>
      <c r="H2270" s="8" t="s">
        <v>3479</v>
      </c>
      <c r="I2270" s="9">
        <v>0.0</v>
      </c>
      <c r="J2270" s="9">
        <v>2099.0</v>
      </c>
      <c r="K2270" s="9">
        <v>2099.0</v>
      </c>
      <c r="L2270" s="9">
        <v>2099.0</v>
      </c>
      <c r="M2270" s="9">
        <v>845.0</v>
      </c>
      <c r="N2270" s="9">
        <v>730.0</v>
      </c>
      <c r="O2270" s="9">
        <v>524.0</v>
      </c>
      <c r="P2270" s="8" t="s">
        <v>3480</v>
      </c>
      <c r="Q2270" s="8"/>
      <c r="R2270" s="8"/>
    </row>
    <row r="2271">
      <c r="A2271" s="8" t="s">
        <v>2260</v>
      </c>
      <c r="B2271" s="8" t="s">
        <v>13661</v>
      </c>
      <c r="C2271" s="8" t="s">
        <v>13662</v>
      </c>
      <c r="D2271" s="9">
        <v>9.665678699E9</v>
      </c>
      <c r="E2271" s="8" t="s">
        <v>13663</v>
      </c>
      <c r="F2271" s="8" t="s">
        <v>6744</v>
      </c>
      <c r="G2271" s="8" t="s">
        <v>13664</v>
      </c>
      <c r="H2271" s="8" t="s">
        <v>3479</v>
      </c>
      <c r="I2271" s="9">
        <v>0.0</v>
      </c>
      <c r="J2271" s="9">
        <v>2074.0</v>
      </c>
      <c r="K2271" s="9">
        <v>2074.0</v>
      </c>
      <c r="L2271" s="9">
        <v>2074.0</v>
      </c>
      <c r="M2271" s="9">
        <v>80.0</v>
      </c>
      <c r="N2271" s="9">
        <v>1120.0</v>
      </c>
      <c r="O2271" s="9">
        <v>874.0</v>
      </c>
      <c r="P2271" s="8" t="s">
        <v>3480</v>
      </c>
      <c r="Q2271" s="8"/>
      <c r="R2271" s="8"/>
    </row>
    <row r="2272">
      <c r="A2272" s="8" t="s">
        <v>2536</v>
      </c>
      <c r="B2272" s="8" t="s">
        <v>13665</v>
      </c>
      <c r="C2272" s="8" t="s">
        <v>7628</v>
      </c>
      <c r="D2272" s="9">
        <v>7.774991134E9</v>
      </c>
      <c r="E2272" s="8" t="s">
        <v>7629</v>
      </c>
      <c r="F2272" s="8" t="s">
        <v>7164</v>
      </c>
      <c r="G2272" s="8" t="s">
        <v>13666</v>
      </c>
      <c r="H2272" s="8" t="s">
        <v>3479</v>
      </c>
      <c r="I2272" s="9">
        <v>0.0</v>
      </c>
      <c r="J2272" s="9">
        <v>3313.0</v>
      </c>
      <c r="K2272" s="9">
        <v>3313.0</v>
      </c>
      <c r="L2272" s="9">
        <v>3313.0</v>
      </c>
      <c r="M2272" s="9">
        <v>654.0</v>
      </c>
      <c r="N2272" s="9">
        <v>1585.0</v>
      </c>
      <c r="O2272" s="9">
        <v>1074.0</v>
      </c>
      <c r="P2272" s="8" t="s">
        <v>3480</v>
      </c>
      <c r="Q2272" s="8" t="s">
        <v>7631</v>
      </c>
      <c r="R2272" s="8" t="s">
        <v>7632</v>
      </c>
    </row>
    <row r="2273">
      <c r="A2273" s="8" t="s">
        <v>2724</v>
      </c>
      <c r="B2273" s="8" t="s">
        <v>13667</v>
      </c>
      <c r="C2273" s="8" t="s">
        <v>4720</v>
      </c>
      <c r="D2273" s="9">
        <v>9.657888276E9</v>
      </c>
      <c r="E2273" s="8" t="s">
        <v>13668</v>
      </c>
      <c r="F2273" s="8" t="s">
        <v>3615</v>
      </c>
      <c r="G2273" s="8" t="s">
        <v>13669</v>
      </c>
      <c r="H2273" s="8" t="s">
        <v>3479</v>
      </c>
      <c r="I2273" s="9">
        <v>0.0</v>
      </c>
      <c r="J2273" s="9">
        <v>1488.0</v>
      </c>
      <c r="K2273" s="9">
        <v>1488.0</v>
      </c>
      <c r="L2273" s="9">
        <v>1488.0</v>
      </c>
      <c r="M2273" s="9">
        <v>255.0</v>
      </c>
      <c r="N2273" s="9">
        <v>784.0</v>
      </c>
      <c r="O2273" s="9">
        <v>449.0</v>
      </c>
      <c r="P2273" s="8" t="s">
        <v>3480</v>
      </c>
      <c r="Q2273" s="8"/>
      <c r="R2273" s="8"/>
    </row>
    <row r="2274">
      <c r="A2274" s="8" t="s">
        <v>2259</v>
      </c>
      <c r="B2274" s="8" t="s">
        <v>13670</v>
      </c>
      <c r="C2274" s="8" t="s">
        <v>13671</v>
      </c>
      <c r="D2274" s="9">
        <v>8.329990611E9</v>
      </c>
      <c r="E2274" s="8" t="s">
        <v>13672</v>
      </c>
      <c r="F2274" s="8" t="s">
        <v>3954</v>
      </c>
      <c r="G2274" s="8" t="s">
        <v>13673</v>
      </c>
      <c r="H2274" s="8" t="s">
        <v>3479</v>
      </c>
      <c r="I2274" s="9">
        <v>0.0</v>
      </c>
      <c r="J2274" s="9">
        <v>1566.0</v>
      </c>
      <c r="K2274" s="9">
        <v>1566.0</v>
      </c>
      <c r="L2274" s="9">
        <v>1566.0</v>
      </c>
      <c r="M2274" s="9">
        <v>627.0</v>
      </c>
      <c r="N2274" s="9">
        <v>190.0</v>
      </c>
      <c r="O2274" s="9">
        <v>749.0</v>
      </c>
      <c r="P2274" s="8" t="s">
        <v>3480</v>
      </c>
      <c r="Q2274" s="8" t="s">
        <v>13674</v>
      </c>
      <c r="R2274" s="8" t="s">
        <v>13675</v>
      </c>
    </row>
    <row r="2275">
      <c r="A2275" s="8" t="s">
        <v>2538</v>
      </c>
      <c r="B2275" s="8" t="s">
        <v>13676</v>
      </c>
      <c r="C2275" s="8" t="s">
        <v>5358</v>
      </c>
      <c r="D2275" s="9">
        <v>9.673844333E9</v>
      </c>
      <c r="E2275" s="8" t="s">
        <v>5359</v>
      </c>
      <c r="F2275" s="8" t="s">
        <v>4143</v>
      </c>
      <c r="G2275" s="8" t="s">
        <v>13677</v>
      </c>
      <c r="H2275" s="8" t="s">
        <v>3479</v>
      </c>
      <c r="I2275" s="9">
        <v>0.0</v>
      </c>
      <c r="J2275" s="9">
        <v>1313.0</v>
      </c>
      <c r="K2275" s="9">
        <v>1313.0</v>
      </c>
      <c r="L2275" s="9">
        <v>1313.0</v>
      </c>
      <c r="M2275" s="9">
        <v>80.0</v>
      </c>
      <c r="N2275" s="9">
        <v>784.0</v>
      </c>
      <c r="O2275" s="9">
        <v>449.0</v>
      </c>
      <c r="P2275" s="8" t="s">
        <v>3480</v>
      </c>
      <c r="Q2275" s="8" t="s">
        <v>5361</v>
      </c>
      <c r="R2275" s="8" t="s">
        <v>5362</v>
      </c>
    </row>
    <row r="2276">
      <c r="A2276" s="8" t="s">
        <v>2253</v>
      </c>
      <c r="B2276" s="8" t="s">
        <v>13678</v>
      </c>
      <c r="C2276" s="8" t="s">
        <v>13679</v>
      </c>
      <c r="D2276" s="9">
        <v>8.237012346E9</v>
      </c>
      <c r="E2276" s="8" t="s">
        <v>13680</v>
      </c>
      <c r="F2276" s="8" t="s">
        <v>3608</v>
      </c>
      <c r="G2276" s="8" t="s">
        <v>13681</v>
      </c>
      <c r="H2276" s="8" t="s">
        <v>3479</v>
      </c>
      <c r="I2276" s="9">
        <v>0.0</v>
      </c>
      <c r="J2276" s="9">
        <v>819.0</v>
      </c>
      <c r="K2276" s="9">
        <v>819.0</v>
      </c>
      <c r="L2276" s="9">
        <v>819.0</v>
      </c>
      <c r="M2276" s="9">
        <v>370.0</v>
      </c>
      <c r="N2276" s="9">
        <v>0.0</v>
      </c>
      <c r="O2276" s="9">
        <v>449.0</v>
      </c>
      <c r="P2276" s="8" t="s">
        <v>3480</v>
      </c>
      <c r="Q2276" s="8" t="s">
        <v>13682</v>
      </c>
      <c r="R2276" s="8" t="s">
        <v>13683</v>
      </c>
    </row>
    <row r="2277">
      <c r="A2277" s="8" t="s">
        <v>2699</v>
      </c>
      <c r="B2277" s="8" t="s">
        <v>13684</v>
      </c>
      <c r="C2277" s="8" t="s">
        <v>13685</v>
      </c>
      <c r="D2277" s="9">
        <v>8.080317344E9</v>
      </c>
      <c r="E2277" s="8" t="s">
        <v>13686</v>
      </c>
      <c r="F2277" s="8" t="s">
        <v>4089</v>
      </c>
      <c r="G2277" s="8" t="s">
        <v>13687</v>
      </c>
      <c r="H2277" s="8" t="s">
        <v>3479</v>
      </c>
      <c r="I2277" s="9">
        <v>0.0</v>
      </c>
      <c r="J2277" s="9">
        <v>1434.0</v>
      </c>
      <c r="K2277" s="9">
        <v>1434.0</v>
      </c>
      <c r="L2277" s="9">
        <v>1434.0</v>
      </c>
      <c r="M2277" s="9">
        <v>495.0</v>
      </c>
      <c r="N2277" s="9">
        <v>190.0</v>
      </c>
      <c r="O2277" s="9">
        <v>749.0</v>
      </c>
      <c r="P2277" s="8" t="s">
        <v>3480</v>
      </c>
      <c r="Q2277" s="8" t="s">
        <v>13688</v>
      </c>
      <c r="R2277" s="8" t="s">
        <v>13689</v>
      </c>
    </row>
    <row r="2278">
      <c r="A2278" s="8" t="s">
        <v>1946</v>
      </c>
      <c r="B2278" s="8" t="s">
        <v>13690</v>
      </c>
      <c r="C2278" s="8" t="s">
        <v>8717</v>
      </c>
      <c r="D2278" s="9">
        <v>7.385844472E9</v>
      </c>
      <c r="E2278" s="8" t="s">
        <v>13691</v>
      </c>
      <c r="F2278" s="8" t="s">
        <v>3757</v>
      </c>
      <c r="G2278" s="8" t="s">
        <v>13692</v>
      </c>
      <c r="H2278" s="8" t="s">
        <v>3479</v>
      </c>
      <c r="I2278" s="9">
        <v>0.0</v>
      </c>
      <c r="J2278" s="9">
        <v>1804.0</v>
      </c>
      <c r="K2278" s="9">
        <v>1804.0</v>
      </c>
      <c r="L2278" s="9">
        <v>1804.0</v>
      </c>
      <c r="M2278" s="9">
        <v>830.0</v>
      </c>
      <c r="N2278" s="9">
        <v>0.0</v>
      </c>
      <c r="O2278" s="9">
        <v>974.0</v>
      </c>
      <c r="P2278" s="8" t="s">
        <v>3480</v>
      </c>
      <c r="Q2278" s="8"/>
      <c r="R2278" s="8"/>
    </row>
    <row r="2279">
      <c r="A2279" s="8" t="s">
        <v>1948</v>
      </c>
      <c r="B2279" s="8" t="s">
        <v>13693</v>
      </c>
      <c r="C2279" s="8" t="s">
        <v>9446</v>
      </c>
      <c r="D2279" s="9">
        <v>9.767099744E9</v>
      </c>
      <c r="E2279" s="8" t="s">
        <v>9447</v>
      </c>
      <c r="F2279" s="8" t="s">
        <v>3608</v>
      </c>
      <c r="G2279" s="8" t="s">
        <v>13694</v>
      </c>
      <c r="H2279" s="8" t="s">
        <v>3479</v>
      </c>
      <c r="I2279" s="9">
        <v>0.0</v>
      </c>
      <c r="J2279" s="9">
        <v>1259.0</v>
      </c>
      <c r="K2279" s="9">
        <v>1259.0</v>
      </c>
      <c r="L2279" s="9">
        <v>1259.0</v>
      </c>
      <c r="M2279" s="9">
        <v>80.0</v>
      </c>
      <c r="N2279" s="9">
        <v>730.0</v>
      </c>
      <c r="O2279" s="9">
        <v>449.0</v>
      </c>
      <c r="P2279" s="8" t="s">
        <v>3480</v>
      </c>
      <c r="Q2279" s="8" t="s">
        <v>9449</v>
      </c>
      <c r="R2279" s="8" t="s">
        <v>9450</v>
      </c>
    </row>
    <row r="2280">
      <c r="A2280" s="8" t="s">
        <v>2539</v>
      </c>
      <c r="B2280" s="8" t="s">
        <v>13695</v>
      </c>
      <c r="C2280" s="8" t="s">
        <v>13696</v>
      </c>
      <c r="D2280" s="9">
        <v>7.05705868E9</v>
      </c>
      <c r="E2280" s="8" t="s">
        <v>13697</v>
      </c>
      <c r="F2280" s="8" t="s">
        <v>8169</v>
      </c>
      <c r="G2280" s="8" t="s">
        <v>13698</v>
      </c>
      <c r="H2280" s="8" t="s">
        <v>3479</v>
      </c>
      <c r="I2280" s="9">
        <v>0.0</v>
      </c>
      <c r="J2280" s="9">
        <v>2698.0</v>
      </c>
      <c r="K2280" s="9">
        <v>2698.0</v>
      </c>
      <c r="L2280" s="9">
        <v>2698.0</v>
      </c>
      <c r="M2280" s="9">
        <v>1240.0</v>
      </c>
      <c r="N2280" s="9">
        <v>784.0</v>
      </c>
      <c r="O2280" s="9">
        <v>674.0</v>
      </c>
      <c r="P2280" s="8" t="s">
        <v>3480</v>
      </c>
      <c r="Q2280" s="8"/>
      <c r="R2280" s="8"/>
    </row>
    <row r="2281">
      <c r="A2281" s="8" t="s">
        <v>1949</v>
      </c>
      <c r="B2281" s="8" t="s">
        <v>13699</v>
      </c>
      <c r="C2281" s="8" t="s">
        <v>13700</v>
      </c>
      <c r="D2281" s="9">
        <v>9.632250953E9</v>
      </c>
      <c r="E2281" s="8" t="s">
        <v>13701</v>
      </c>
      <c r="F2281" s="8" t="s">
        <v>3608</v>
      </c>
      <c r="G2281" s="8" t="s">
        <v>13702</v>
      </c>
      <c r="H2281" s="8" t="s">
        <v>3479</v>
      </c>
      <c r="I2281" s="9">
        <v>0.0</v>
      </c>
      <c r="J2281" s="9">
        <v>1259.0</v>
      </c>
      <c r="K2281" s="9">
        <v>1259.0</v>
      </c>
      <c r="L2281" s="9">
        <v>1259.0</v>
      </c>
      <c r="M2281" s="9">
        <v>80.0</v>
      </c>
      <c r="N2281" s="9">
        <v>730.0</v>
      </c>
      <c r="O2281" s="9">
        <v>449.0</v>
      </c>
      <c r="P2281" s="8" t="s">
        <v>3480</v>
      </c>
      <c r="Q2281" s="8"/>
      <c r="R2281" s="8"/>
    </row>
    <row r="2282">
      <c r="A2282" s="8" t="s">
        <v>2537</v>
      </c>
      <c r="B2282" s="8" t="s">
        <v>13703</v>
      </c>
      <c r="C2282" s="8" t="s">
        <v>13704</v>
      </c>
      <c r="D2282" s="9">
        <v>9.713468899E9</v>
      </c>
      <c r="E2282" s="8" t="s">
        <v>13705</v>
      </c>
      <c r="F2282" s="8" t="s">
        <v>4125</v>
      </c>
      <c r="G2282" s="8" t="s">
        <v>13706</v>
      </c>
      <c r="H2282" s="8" t="s">
        <v>3479</v>
      </c>
      <c r="I2282" s="9">
        <v>0.0</v>
      </c>
      <c r="J2282" s="9">
        <v>2375.0</v>
      </c>
      <c r="K2282" s="9">
        <v>2375.0</v>
      </c>
      <c r="L2282" s="9">
        <v>2375.0</v>
      </c>
      <c r="M2282" s="9">
        <v>552.0</v>
      </c>
      <c r="N2282" s="9">
        <v>849.0</v>
      </c>
      <c r="O2282" s="9">
        <v>974.0</v>
      </c>
      <c r="P2282" s="8" t="s">
        <v>3480</v>
      </c>
      <c r="Q2282" s="8" t="s">
        <v>13707</v>
      </c>
      <c r="R2282" s="8" t="s">
        <v>13708</v>
      </c>
    </row>
    <row r="2283">
      <c r="A2283" s="8" t="s">
        <v>2500</v>
      </c>
      <c r="B2283" s="8" t="s">
        <v>13709</v>
      </c>
      <c r="C2283" s="8" t="s">
        <v>5984</v>
      </c>
      <c r="D2283" s="9">
        <v>7.620920249E9</v>
      </c>
      <c r="E2283" s="8" t="s">
        <v>5985</v>
      </c>
      <c r="F2283" s="8" t="s">
        <v>3959</v>
      </c>
      <c r="G2283" s="8" t="s">
        <v>13710</v>
      </c>
      <c r="H2283" s="8" t="s">
        <v>3479</v>
      </c>
      <c r="I2283" s="9">
        <v>0.0</v>
      </c>
      <c r="J2283" s="9">
        <v>2241.0</v>
      </c>
      <c r="K2283" s="9">
        <v>2241.0</v>
      </c>
      <c r="L2283" s="9">
        <v>2241.0</v>
      </c>
      <c r="M2283" s="9">
        <v>653.0</v>
      </c>
      <c r="N2283" s="9">
        <v>784.0</v>
      </c>
      <c r="O2283" s="9">
        <v>804.0</v>
      </c>
      <c r="P2283" s="8" t="s">
        <v>3480</v>
      </c>
      <c r="Q2283" s="8" t="s">
        <v>5987</v>
      </c>
      <c r="R2283" s="8" t="s">
        <v>5988</v>
      </c>
    </row>
    <row r="2284">
      <c r="A2284" s="8" t="s">
        <v>2704</v>
      </c>
      <c r="B2284" s="8" t="s">
        <v>13711</v>
      </c>
      <c r="C2284" s="8" t="s">
        <v>13248</v>
      </c>
      <c r="D2284" s="9">
        <v>9.92081982E9</v>
      </c>
      <c r="E2284" s="8" t="s">
        <v>13712</v>
      </c>
      <c r="F2284" s="8" t="s">
        <v>3821</v>
      </c>
      <c r="G2284" s="8" t="s">
        <v>13713</v>
      </c>
      <c r="H2284" s="8" t="s">
        <v>3479</v>
      </c>
      <c r="I2284" s="9">
        <v>0.0</v>
      </c>
      <c r="J2284" s="9">
        <v>1743.0</v>
      </c>
      <c r="K2284" s="9">
        <v>1743.0</v>
      </c>
      <c r="L2284" s="9">
        <v>1743.0</v>
      </c>
      <c r="M2284" s="9">
        <v>480.0</v>
      </c>
      <c r="N2284" s="9">
        <v>739.0</v>
      </c>
      <c r="O2284" s="9">
        <v>524.0</v>
      </c>
      <c r="P2284" s="8" t="s">
        <v>3480</v>
      </c>
      <c r="Q2284" s="8" t="s">
        <v>13714</v>
      </c>
      <c r="R2284" s="8" t="s">
        <v>13715</v>
      </c>
    </row>
    <row r="2285">
      <c r="A2285" s="8" t="s">
        <v>2501</v>
      </c>
      <c r="B2285" s="8" t="s">
        <v>13716</v>
      </c>
      <c r="C2285" s="8" t="s">
        <v>11196</v>
      </c>
      <c r="D2285" s="9">
        <v>8.007444915E9</v>
      </c>
      <c r="E2285" s="8" t="s">
        <v>12189</v>
      </c>
      <c r="F2285" s="8" t="s">
        <v>3557</v>
      </c>
      <c r="G2285" s="8" t="s">
        <v>13717</v>
      </c>
      <c r="H2285" s="8" t="s">
        <v>3479</v>
      </c>
      <c r="I2285" s="9">
        <v>0.0</v>
      </c>
      <c r="J2285" s="9">
        <v>5834.0</v>
      </c>
      <c r="K2285" s="9">
        <v>5834.0</v>
      </c>
      <c r="L2285" s="9">
        <v>5834.0</v>
      </c>
      <c r="M2285" s="9">
        <v>5559.0</v>
      </c>
      <c r="N2285" s="9">
        <v>0.0</v>
      </c>
      <c r="O2285" s="9">
        <v>275.0</v>
      </c>
      <c r="P2285" s="8" t="s">
        <v>3480</v>
      </c>
      <c r="Q2285" s="8" t="s">
        <v>11199</v>
      </c>
      <c r="R2285" s="8" t="s">
        <v>11200</v>
      </c>
    </row>
    <row r="2286">
      <c r="A2286" s="8" t="s">
        <v>1947</v>
      </c>
      <c r="B2286" s="8" t="s">
        <v>13718</v>
      </c>
      <c r="C2286" s="8" t="s">
        <v>13719</v>
      </c>
      <c r="D2286" s="9">
        <v>9.177557598E9</v>
      </c>
      <c r="E2286" s="8" t="s">
        <v>13720</v>
      </c>
      <c r="F2286" s="8" t="s">
        <v>6118</v>
      </c>
      <c r="G2286" s="8" t="s">
        <v>13721</v>
      </c>
      <c r="H2286" s="8" t="s">
        <v>3479</v>
      </c>
      <c r="I2286" s="9">
        <v>0.0</v>
      </c>
      <c r="J2286" s="9">
        <v>4149.0</v>
      </c>
      <c r="K2286" s="9">
        <v>4149.0</v>
      </c>
      <c r="L2286" s="9">
        <v>4149.0</v>
      </c>
      <c r="M2286" s="9">
        <v>2695.0</v>
      </c>
      <c r="N2286" s="9">
        <v>730.0</v>
      </c>
      <c r="O2286" s="9">
        <v>724.0</v>
      </c>
      <c r="P2286" s="8" t="s">
        <v>3480</v>
      </c>
      <c r="Q2286" s="8"/>
      <c r="R2286" s="8"/>
    </row>
    <row r="2287">
      <c r="A2287" s="8" t="s">
        <v>2540</v>
      </c>
      <c r="B2287" s="8" t="s">
        <v>13722</v>
      </c>
      <c r="C2287" s="8" t="s">
        <v>13723</v>
      </c>
      <c r="D2287" s="9">
        <v>9.890504616E9</v>
      </c>
      <c r="E2287" s="8" t="s">
        <v>13724</v>
      </c>
      <c r="F2287" s="8" t="s">
        <v>6019</v>
      </c>
      <c r="G2287" s="8" t="s">
        <v>13725</v>
      </c>
      <c r="H2287" s="8" t="s">
        <v>3479</v>
      </c>
      <c r="I2287" s="9">
        <v>0.0</v>
      </c>
      <c r="J2287" s="9">
        <v>2038.0</v>
      </c>
      <c r="K2287" s="9">
        <v>2038.0</v>
      </c>
      <c r="L2287" s="9">
        <v>2038.0</v>
      </c>
      <c r="M2287" s="9">
        <v>159.0</v>
      </c>
      <c r="N2287" s="9">
        <v>1080.0</v>
      </c>
      <c r="O2287" s="9">
        <v>799.0</v>
      </c>
      <c r="P2287" s="8" t="s">
        <v>3480</v>
      </c>
      <c r="Q2287" s="8" t="s">
        <v>13726</v>
      </c>
      <c r="R2287" s="8" t="s">
        <v>13727</v>
      </c>
    </row>
    <row r="2288">
      <c r="A2288" s="8" t="s">
        <v>2541</v>
      </c>
      <c r="B2288" s="8" t="s">
        <v>13728</v>
      </c>
      <c r="C2288" s="8" t="s">
        <v>13729</v>
      </c>
      <c r="D2288" s="9">
        <v>9.511213205E9</v>
      </c>
      <c r="E2288" s="8" t="s">
        <v>13730</v>
      </c>
      <c r="F2288" s="8" t="s">
        <v>8180</v>
      </c>
      <c r="G2288" s="8" t="s">
        <v>13731</v>
      </c>
      <c r="H2288" s="8" t="s">
        <v>13732</v>
      </c>
      <c r="I2288" s="9">
        <v>0.0</v>
      </c>
      <c r="J2288" s="9">
        <v>1800.0</v>
      </c>
      <c r="K2288" s="9">
        <v>1892.0</v>
      </c>
      <c r="L2288" s="9">
        <v>1800.0</v>
      </c>
      <c r="M2288" s="9">
        <v>1283.0</v>
      </c>
      <c r="N2288" s="9">
        <v>80.0</v>
      </c>
      <c r="O2288" s="9">
        <v>529.0</v>
      </c>
      <c r="P2288" s="8" t="s">
        <v>3480</v>
      </c>
      <c r="Q2288" s="8"/>
      <c r="R2288" s="8"/>
    </row>
    <row r="2289">
      <c r="A2289" s="8" t="s">
        <v>2424</v>
      </c>
      <c r="B2289" s="8" t="s">
        <v>13733</v>
      </c>
      <c r="C2289" s="8" t="s">
        <v>13734</v>
      </c>
      <c r="D2289" s="9">
        <v>9.545999069E9</v>
      </c>
      <c r="E2289" s="8" t="s">
        <v>13735</v>
      </c>
      <c r="F2289" s="8" t="s">
        <v>5633</v>
      </c>
      <c r="G2289" s="8" t="s">
        <v>13736</v>
      </c>
      <c r="H2289" s="8" t="s">
        <v>3479</v>
      </c>
      <c r="I2289" s="9">
        <v>0.0</v>
      </c>
      <c r="J2289" s="9">
        <v>4026.0</v>
      </c>
      <c r="K2289" s="9">
        <v>4026.0</v>
      </c>
      <c r="L2289" s="9">
        <v>4026.0</v>
      </c>
      <c r="M2289" s="9">
        <v>2042.0</v>
      </c>
      <c r="N2289" s="9">
        <v>185.0</v>
      </c>
      <c r="O2289" s="9">
        <v>1799.0</v>
      </c>
      <c r="P2289" s="8" t="s">
        <v>3480</v>
      </c>
      <c r="Q2289" s="8"/>
      <c r="R2289" s="8"/>
    </row>
    <row r="2290">
      <c r="A2290" s="8" t="s">
        <v>2700</v>
      </c>
      <c r="B2290" s="8" t="s">
        <v>13737</v>
      </c>
      <c r="C2290" s="8" t="s">
        <v>13738</v>
      </c>
      <c r="D2290" s="9">
        <v>9.607079877E9</v>
      </c>
      <c r="E2290" s="8" t="s">
        <v>13739</v>
      </c>
      <c r="F2290" s="8" t="s">
        <v>3608</v>
      </c>
      <c r="G2290" s="8" t="s">
        <v>3829</v>
      </c>
      <c r="H2290" s="8" t="s">
        <v>3479</v>
      </c>
      <c r="I2290" s="9">
        <v>0.0</v>
      </c>
      <c r="J2290" s="9">
        <v>2729.0</v>
      </c>
      <c r="K2290" s="9">
        <v>2729.0</v>
      </c>
      <c r="L2290" s="9">
        <v>2729.0</v>
      </c>
      <c r="M2290" s="9">
        <v>1461.0</v>
      </c>
      <c r="N2290" s="9">
        <v>739.0</v>
      </c>
      <c r="O2290" s="9">
        <v>529.0</v>
      </c>
      <c r="P2290" s="8" t="s">
        <v>3519</v>
      </c>
      <c r="Q2290" s="8"/>
      <c r="R2290" s="8"/>
    </row>
    <row r="2291">
      <c r="A2291" s="8" t="s">
        <v>2498</v>
      </c>
      <c r="B2291" s="8" t="s">
        <v>13740</v>
      </c>
      <c r="C2291" s="8" t="s">
        <v>13741</v>
      </c>
      <c r="D2291" s="9">
        <v>9.52772497E9</v>
      </c>
      <c r="E2291" s="8" t="s">
        <v>13742</v>
      </c>
      <c r="F2291" s="8" t="s">
        <v>3486</v>
      </c>
      <c r="G2291" s="8" t="s">
        <v>13743</v>
      </c>
      <c r="H2291" s="8" t="s">
        <v>3479</v>
      </c>
      <c r="I2291" s="9">
        <v>0.0</v>
      </c>
      <c r="J2291" s="9">
        <v>750.0</v>
      </c>
      <c r="K2291" s="9">
        <v>750.0</v>
      </c>
      <c r="L2291" s="9">
        <v>750.0</v>
      </c>
      <c r="M2291" s="9">
        <v>750.0</v>
      </c>
      <c r="N2291" s="9">
        <v>0.0</v>
      </c>
      <c r="O2291" s="9">
        <v>0.0</v>
      </c>
      <c r="P2291" s="8" t="s">
        <v>3480</v>
      </c>
      <c r="Q2291" s="8" t="s">
        <v>13744</v>
      </c>
      <c r="R2291" s="8" t="s">
        <v>13745</v>
      </c>
    </row>
    <row r="2292">
      <c r="A2292" s="8" t="s">
        <v>2701</v>
      </c>
      <c r="B2292" s="8" t="s">
        <v>13746</v>
      </c>
      <c r="C2292" s="8" t="s">
        <v>9185</v>
      </c>
      <c r="D2292" s="9">
        <v>7.069956654E9</v>
      </c>
      <c r="E2292" s="8" t="s">
        <v>9186</v>
      </c>
      <c r="F2292" s="8" t="s">
        <v>3608</v>
      </c>
      <c r="G2292" s="8" t="s">
        <v>13747</v>
      </c>
      <c r="H2292" s="8" t="s">
        <v>3479</v>
      </c>
      <c r="I2292" s="9">
        <v>0.0</v>
      </c>
      <c r="J2292" s="9">
        <v>3622.0</v>
      </c>
      <c r="K2292" s="9">
        <v>3622.0</v>
      </c>
      <c r="L2292" s="9">
        <v>3622.0</v>
      </c>
      <c r="M2292" s="9">
        <v>2159.0</v>
      </c>
      <c r="N2292" s="9">
        <v>739.0</v>
      </c>
      <c r="O2292" s="9">
        <v>724.0</v>
      </c>
      <c r="P2292" s="8" t="s">
        <v>3480</v>
      </c>
      <c r="Q2292" s="8" t="s">
        <v>9187</v>
      </c>
      <c r="R2292" s="8" t="s">
        <v>9188</v>
      </c>
    </row>
    <row r="2293">
      <c r="A2293" s="8" t="s">
        <v>2702</v>
      </c>
      <c r="B2293" s="8" t="s">
        <v>13748</v>
      </c>
      <c r="C2293" s="8" t="s">
        <v>13749</v>
      </c>
      <c r="D2293" s="9">
        <v>9.112115161E9</v>
      </c>
      <c r="E2293" s="8" t="s">
        <v>13750</v>
      </c>
      <c r="F2293" s="8" t="s">
        <v>3821</v>
      </c>
      <c r="G2293" s="8" t="s">
        <v>13751</v>
      </c>
      <c r="H2293" s="8" t="s">
        <v>3479</v>
      </c>
      <c r="I2293" s="9">
        <v>0.0</v>
      </c>
      <c r="J2293" s="9">
        <v>1343.0</v>
      </c>
      <c r="K2293" s="9">
        <v>1343.0</v>
      </c>
      <c r="L2293" s="9">
        <v>1343.0</v>
      </c>
      <c r="M2293" s="9">
        <v>160.0</v>
      </c>
      <c r="N2293" s="9">
        <v>659.0</v>
      </c>
      <c r="O2293" s="9">
        <v>524.0</v>
      </c>
      <c r="P2293" s="8" t="s">
        <v>3480</v>
      </c>
      <c r="Q2293" s="8" t="s">
        <v>13752</v>
      </c>
      <c r="R2293" s="8" t="s">
        <v>13753</v>
      </c>
    </row>
    <row r="2294">
      <c r="A2294" s="8" t="s">
        <v>2703</v>
      </c>
      <c r="B2294" s="8" t="s">
        <v>13754</v>
      </c>
      <c r="C2294" s="8" t="s">
        <v>11445</v>
      </c>
      <c r="D2294" s="9">
        <v>9.730197115E9</v>
      </c>
      <c r="E2294" s="8" t="s">
        <v>11446</v>
      </c>
      <c r="F2294" s="8" t="s">
        <v>6455</v>
      </c>
      <c r="G2294" s="8" t="s">
        <v>13755</v>
      </c>
      <c r="H2294" s="8" t="s">
        <v>3479</v>
      </c>
      <c r="I2294" s="9">
        <v>0.0</v>
      </c>
      <c r="J2294" s="9">
        <v>1568.0</v>
      </c>
      <c r="K2294" s="9">
        <v>1568.0</v>
      </c>
      <c r="L2294" s="9">
        <v>1568.0</v>
      </c>
      <c r="M2294" s="9">
        <v>380.0</v>
      </c>
      <c r="N2294" s="9">
        <v>739.0</v>
      </c>
      <c r="O2294" s="9">
        <v>449.0</v>
      </c>
      <c r="P2294" s="8" t="s">
        <v>3480</v>
      </c>
      <c r="Q2294" s="8" t="s">
        <v>11448</v>
      </c>
      <c r="R2294" s="8" t="s">
        <v>11449</v>
      </c>
    </row>
    <row r="2295">
      <c r="A2295" s="8" t="s">
        <v>2499</v>
      </c>
      <c r="B2295" s="8" t="s">
        <v>13756</v>
      </c>
      <c r="C2295" s="8" t="s">
        <v>13757</v>
      </c>
      <c r="D2295" s="9">
        <v>9.958818925E9</v>
      </c>
      <c r="E2295" s="8" t="s">
        <v>13758</v>
      </c>
      <c r="F2295" s="8" t="s">
        <v>4507</v>
      </c>
      <c r="G2295" s="8" t="s">
        <v>13759</v>
      </c>
      <c r="H2295" s="8" t="s">
        <v>3479</v>
      </c>
      <c r="I2295" s="9">
        <v>0.0</v>
      </c>
      <c r="J2295" s="9">
        <v>2326.0</v>
      </c>
      <c r="K2295" s="9">
        <v>2326.0</v>
      </c>
      <c r="L2295" s="9">
        <v>2326.0</v>
      </c>
      <c r="M2295" s="9">
        <v>159.0</v>
      </c>
      <c r="N2295" s="9">
        <v>1468.0</v>
      </c>
      <c r="O2295" s="9">
        <v>699.0</v>
      </c>
      <c r="P2295" s="8" t="s">
        <v>3480</v>
      </c>
      <c r="Q2295" s="8" t="s">
        <v>13760</v>
      </c>
      <c r="R2295" s="8" t="s">
        <v>13761</v>
      </c>
    </row>
    <row r="2296">
      <c r="A2296" s="8" t="s">
        <v>2503</v>
      </c>
      <c r="B2296" s="8" t="s">
        <v>13762</v>
      </c>
      <c r="C2296" s="8" t="s">
        <v>13763</v>
      </c>
      <c r="D2296" s="9">
        <v>9.427428086E9</v>
      </c>
      <c r="E2296" s="8" t="s">
        <v>13764</v>
      </c>
      <c r="F2296" s="8" t="s">
        <v>4059</v>
      </c>
      <c r="G2296" s="8" t="s">
        <v>13765</v>
      </c>
      <c r="H2296" s="8" t="s">
        <v>3479</v>
      </c>
      <c r="I2296" s="9">
        <v>0.0</v>
      </c>
      <c r="J2296" s="9">
        <v>3789.0</v>
      </c>
      <c r="K2296" s="9">
        <v>3789.0</v>
      </c>
      <c r="L2296" s="9">
        <v>3789.0</v>
      </c>
      <c r="M2296" s="9">
        <v>2031.0</v>
      </c>
      <c r="N2296" s="9">
        <v>784.0</v>
      </c>
      <c r="O2296" s="9">
        <v>974.0</v>
      </c>
      <c r="P2296" s="8" t="s">
        <v>3480</v>
      </c>
      <c r="Q2296" s="8" t="s">
        <v>13766</v>
      </c>
      <c r="R2296" s="8" t="s">
        <v>13767</v>
      </c>
    </row>
    <row r="2297">
      <c r="A2297" s="8" t="s">
        <v>2504</v>
      </c>
      <c r="B2297" s="8" t="s">
        <v>13768</v>
      </c>
      <c r="C2297" s="8" t="s">
        <v>4220</v>
      </c>
      <c r="D2297" s="9">
        <v>7.798529737E9</v>
      </c>
      <c r="E2297" s="8" t="s">
        <v>4221</v>
      </c>
      <c r="F2297" s="8" t="s">
        <v>3564</v>
      </c>
      <c r="G2297" s="8" t="s">
        <v>13769</v>
      </c>
      <c r="H2297" s="8" t="s">
        <v>13770</v>
      </c>
      <c r="I2297" s="9">
        <v>0.0</v>
      </c>
      <c r="J2297" s="9">
        <v>2200.0</v>
      </c>
      <c r="K2297" s="9">
        <v>2490.0</v>
      </c>
      <c r="L2297" s="9">
        <v>2200.0</v>
      </c>
      <c r="M2297" s="9">
        <v>1276.0</v>
      </c>
      <c r="N2297" s="9">
        <v>190.0</v>
      </c>
      <c r="O2297" s="9">
        <v>1024.0</v>
      </c>
      <c r="P2297" s="8" t="s">
        <v>3519</v>
      </c>
      <c r="Q2297" s="8"/>
      <c r="R2297" s="8"/>
    </row>
    <row r="2298">
      <c r="A2298" s="8" t="s">
        <v>2736</v>
      </c>
      <c r="B2298" s="8" t="s">
        <v>13771</v>
      </c>
      <c r="C2298" s="8" t="s">
        <v>6488</v>
      </c>
      <c r="D2298" s="9">
        <v>9.822623447E9</v>
      </c>
      <c r="E2298" s="8" t="s">
        <v>6489</v>
      </c>
      <c r="F2298" s="8" t="s">
        <v>3594</v>
      </c>
      <c r="G2298" s="8" t="s">
        <v>13772</v>
      </c>
      <c r="H2298" s="8" t="s">
        <v>3479</v>
      </c>
      <c r="I2298" s="9">
        <v>0.0</v>
      </c>
      <c r="J2298" s="9">
        <v>1174.0</v>
      </c>
      <c r="K2298" s="9">
        <v>1174.0</v>
      </c>
      <c r="L2298" s="9">
        <v>1174.0</v>
      </c>
      <c r="M2298" s="9">
        <v>1049.0</v>
      </c>
      <c r="N2298" s="9">
        <v>0.0</v>
      </c>
      <c r="O2298" s="9">
        <v>125.0</v>
      </c>
      <c r="P2298" s="8" t="s">
        <v>3480</v>
      </c>
      <c r="Q2298" s="8" t="s">
        <v>6491</v>
      </c>
      <c r="R2298" s="8" t="s">
        <v>6492</v>
      </c>
    </row>
    <row r="2299">
      <c r="A2299" s="8" t="s">
        <v>2726</v>
      </c>
      <c r="B2299" s="8" t="s">
        <v>13773</v>
      </c>
      <c r="C2299" s="8" t="s">
        <v>9413</v>
      </c>
      <c r="D2299" s="9">
        <v>9.130833396E9</v>
      </c>
      <c r="E2299" s="8" t="s">
        <v>9414</v>
      </c>
      <c r="F2299" s="8" t="s">
        <v>3665</v>
      </c>
      <c r="G2299" s="8" t="s">
        <v>13774</v>
      </c>
      <c r="H2299" s="8" t="s">
        <v>3479</v>
      </c>
      <c r="I2299" s="9">
        <v>0.0</v>
      </c>
      <c r="J2299" s="9">
        <v>1019.0</v>
      </c>
      <c r="K2299" s="9">
        <v>1019.0</v>
      </c>
      <c r="L2299" s="9">
        <v>1019.0</v>
      </c>
      <c r="M2299" s="9">
        <v>80.0</v>
      </c>
      <c r="N2299" s="9">
        <v>190.0</v>
      </c>
      <c r="O2299" s="9">
        <v>749.0</v>
      </c>
      <c r="P2299" s="8" t="s">
        <v>3480</v>
      </c>
      <c r="Q2299" s="8" t="s">
        <v>9416</v>
      </c>
      <c r="R2299" s="8" t="s">
        <v>9417</v>
      </c>
    </row>
    <row r="2300">
      <c r="A2300" s="8" t="s">
        <v>2727</v>
      </c>
      <c r="B2300" s="8" t="s">
        <v>13775</v>
      </c>
      <c r="C2300" s="8" t="s">
        <v>13776</v>
      </c>
      <c r="D2300" s="9">
        <v>8.928136051E9</v>
      </c>
      <c r="E2300" s="8" t="s">
        <v>13777</v>
      </c>
      <c r="F2300" s="8" t="s">
        <v>3721</v>
      </c>
      <c r="G2300" s="8" t="s">
        <v>13778</v>
      </c>
      <c r="H2300" s="8" t="s">
        <v>3479</v>
      </c>
      <c r="I2300" s="9">
        <v>0.0</v>
      </c>
      <c r="J2300" s="9">
        <v>1414.0</v>
      </c>
      <c r="K2300" s="9">
        <v>1414.0</v>
      </c>
      <c r="L2300" s="9">
        <v>1414.0</v>
      </c>
      <c r="M2300" s="9">
        <v>160.0</v>
      </c>
      <c r="N2300" s="9">
        <v>730.0</v>
      </c>
      <c r="O2300" s="9">
        <v>524.0</v>
      </c>
      <c r="P2300" s="8" t="s">
        <v>3480</v>
      </c>
      <c r="Q2300" s="8" t="s">
        <v>13779</v>
      </c>
      <c r="R2300" s="8" t="s">
        <v>13780</v>
      </c>
    </row>
    <row r="2301">
      <c r="A2301" s="8" t="s">
        <v>2728</v>
      </c>
      <c r="B2301" s="8" t="s">
        <v>13781</v>
      </c>
      <c r="C2301" s="8" t="s">
        <v>13782</v>
      </c>
      <c r="D2301" s="9">
        <v>9.819736283E9</v>
      </c>
      <c r="E2301" s="8" t="s">
        <v>13783</v>
      </c>
      <c r="F2301" s="8" t="s">
        <v>5585</v>
      </c>
      <c r="G2301" s="8" t="s">
        <v>13784</v>
      </c>
      <c r="H2301" s="8" t="s">
        <v>3479</v>
      </c>
      <c r="I2301" s="9">
        <v>0.0</v>
      </c>
      <c r="J2301" s="9">
        <v>1339.0</v>
      </c>
      <c r="K2301" s="9">
        <v>1339.0</v>
      </c>
      <c r="L2301" s="9">
        <v>1339.0</v>
      </c>
      <c r="M2301" s="9">
        <v>80.0</v>
      </c>
      <c r="N2301" s="9">
        <v>730.0</v>
      </c>
      <c r="O2301" s="9">
        <v>529.0</v>
      </c>
      <c r="P2301" s="8" t="s">
        <v>3480</v>
      </c>
      <c r="Q2301" s="8" t="s">
        <v>13785</v>
      </c>
      <c r="R2301" s="8"/>
    </row>
    <row r="2302">
      <c r="A2302" s="8" t="s">
        <v>2725</v>
      </c>
      <c r="B2302" s="8" t="s">
        <v>13786</v>
      </c>
      <c r="C2302" s="8" t="s">
        <v>13787</v>
      </c>
      <c r="D2302" s="9">
        <v>8.087492804E9</v>
      </c>
      <c r="E2302" s="8" t="s">
        <v>13788</v>
      </c>
      <c r="F2302" s="8" t="s">
        <v>5447</v>
      </c>
      <c r="G2302" s="8" t="s">
        <v>13789</v>
      </c>
      <c r="H2302" s="8" t="s">
        <v>3479</v>
      </c>
      <c r="I2302" s="9">
        <v>0.0</v>
      </c>
      <c r="J2302" s="9">
        <v>1172.0</v>
      </c>
      <c r="K2302" s="9">
        <v>1172.0</v>
      </c>
      <c r="L2302" s="9">
        <v>1172.0</v>
      </c>
      <c r="M2302" s="9">
        <v>129.0</v>
      </c>
      <c r="N2302" s="9">
        <v>594.0</v>
      </c>
      <c r="O2302" s="9">
        <v>449.0</v>
      </c>
      <c r="P2302" s="8" t="s">
        <v>3480</v>
      </c>
      <c r="Q2302" s="8"/>
      <c r="R2302" s="8"/>
    </row>
    <row r="2303">
      <c r="A2303" s="8" t="s">
        <v>2502</v>
      </c>
      <c r="B2303" s="8" t="s">
        <v>13790</v>
      </c>
      <c r="C2303" s="8" t="s">
        <v>13791</v>
      </c>
      <c r="D2303" s="9">
        <v>9.596513585E9</v>
      </c>
      <c r="E2303" s="8" t="s">
        <v>13792</v>
      </c>
      <c r="F2303" s="8" t="s">
        <v>4333</v>
      </c>
      <c r="G2303" s="8" t="s">
        <v>3494</v>
      </c>
      <c r="H2303" s="8" t="s">
        <v>3479</v>
      </c>
      <c r="I2303" s="9">
        <v>0.0</v>
      </c>
      <c r="J2303" s="9">
        <v>772.0</v>
      </c>
      <c r="K2303" s="9">
        <v>772.0</v>
      </c>
      <c r="L2303" s="9">
        <v>772.0</v>
      </c>
      <c r="M2303" s="9">
        <v>697.0</v>
      </c>
      <c r="N2303" s="9">
        <v>0.0</v>
      </c>
      <c r="O2303" s="9">
        <v>75.0</v>
      </c>
      <c r="P2303" s="8" t="s">
        <v>3480</v>
      </c>
      <c r="Q2303" s="8"/>
      <c r="R2303" s="8"/>
    </row>
    <row r="2304">
      <c r="A2304" s="8" t="s">
        <v>2705</v>
      </c>
      <c r="B2304" s="8" t="s">
        <v>13793</v>
      </c>
      <c r="C2304" s="8" t="s">
        <v>13794</v>
      </c>
      <c r="D2304" s="9">
        <v>9.372298993E9</v>
      </c>
      <c r="E2304" s="8" t="s">
        <v>13795</v>
      </c>
      <c r="F2304" s="8" t="s">
        <v>3768</v>
      </c>
      <c r="G2304" s="8" t="s">
        <v>13796</v>
      </c>
      <c r="H2304" s="8" t="s">
        <v>3479</v>
      </c>
      <c r="I2304" s="9">
        <v>0.0</v>
      </c>
      <c r="J2304" s="9">
        <v>1608.0</v>
      </c>
      <c r="K2304" s="9">
        <v>1608.0</v>
      </c>
      <c r="L2304" s="9">
        <v>1608.0</v>
      </c>
      <c r="M2304" s="9">
        <v>295.0</v>
      </c>
      <c r="N2304" s="9">
        <v>784.0</v>
      </c>
      <c r="O2304" s="9">
        <v>529.0</v>
      </c>
      <c r="P2304" s="8" t="s">
        <v>3480</v>
      </c>
      <c r="Q2304" s="8" t="s">
        <v>13797</v>
      </c>
      <c r="R2304" s="8" t="s">
        <v>13798</v>
      </c>
    </row>
    <row r="2305">
      <c r="A2305" s="8" t="s">
        <v>2576</v>
      </c>
      <c r="B2305" s="8" t="s">
        <v>13799</v>
      </c>
      <c r="C2305" s="8" t="s">
        <v>10531</v>
      </c>
      <c r="D2305" s="9">
        <v>9.922434842E9</v>
      </c>
      <c r="E2305" s="8" t="s">
        <v>10532</v>
      </c>
      <c r="F2305" s="8" t="s">
        <v>3658</v>
      </c>
      <c r="G2305" s="8" t="s">
        <v>13800</v>
      </c>
      <c r="H2305" s="8" t="s">
        <v>3479</v>
      </c>
      <c r="I2305" s="9">
        <v>0.0</v>
      </c>
      <c r="J2305" s="9">
        <v>6343.0</v>
      </c>
      <c r="K2305" s="9">
        <v>6343.0</v>
      </c>
      <c r="L2305" s="9">
        <v>6343.0</v>
      </c>
      <c r="M2305" s="9">
        <v>5110.0</v>
      </c>
      <c r="N2305" s="9">
        <v>784.0</v>
      </c>
      <c r="O2305" s="9">
        <v>449.0</v>
      </c>
      <c r="P2305" s="8" t="s">
        <v>3544</v>
      </c>
      <c r="Q2305" s="8" t="s">
        <v>10534</v>
      </c>
      <c r="R2305" s="8"/>
    </row>
    <row r="2306">
      <c r="A2306" s="8" t="s">
        <v>2729</v>
      </c>
      <c r="B2306" s="8" t="s">
        <v>13801</v>
      </c>
      <c r="C2306" s="8" t="s">
        <v>13802</v>
      </c>
      <c r="D2306" s="9">
        <v>9.422208842E9</v>
      </c>
      <c r="E2306" s="8" t="s">
        <v>13803</v>
      </c>
      <c r="F2306" s="8" t="s">
        <v>3550</v>
      </c>
      <c r="G2306" s="8" t="s">
        <v>13804</v>
      </c>
      <c r="H2306" s="8" t="s">
        <v>3479</v>
      </c>
      <c r="I2306" s="9">
        <v>0.0</v>
      </c>
      <c r="J2306" s="9">
        <v>1259.0</v>
      </c>
      <c r="K2306" s="9">
        <v>1259.0</v>
      </c>
      <c r="L2306" s="9">
        <v>1259.0</v>
      </c>
      <c r="M2306" s="9">
        <v>80.0</v>
      </c>
      <c r="N2306" s="9">
        <v>730.0</v>
      </c>
      <c r="O2306" s="9">
        <v>449.0</v>
      </c>
      <c r="P2306" s="8" t="s">
        <v>3480</v>
      </c>
      <c r="Q2306" s="8"/>
      <c r="R2306" s="8"/>
    </row>
    <row r="2307">
      <c r="A2307" s="8" t="s">
        <v>2720</v>
      </c>
      <c r="B2307" s="8" t="s">
        <v>13805</v>
      </c>
      <c r="C2307" s="8" t="s">
        <v>7984</v>
      </c>
      <c r="D2307" s="9">
        <v>8.999016024E9</v>
      </c>
      <c r="E2307" s="8" t="s">
        <v>7985</v>
      </c>
      <c r="F2307" s="8" t="s">
        <v>3846</v>
      </c>
      <c r="G2307" s="8" t="s">
        <v>13806</v>
      </c>
      <c r="H2307" s="8" t="s">
        <v>3479</v>
      </c>
      <c r="I2307" s="9">
        <v>0.0</v>
      </c>
      <c r="J2307" s="9">
        <v>2967.0</v>
      </c>
      <c r="K2307" s="9">
        <v>2967.0</v>
      </c>
      <c r="L2307" s="9">
        <v>2967.0</v>
      </c>
      <c r="M2307" s="9">
        <v>2592.0</v>
      </c>
      <c r="N2307" s="9">
        <v>0.0</v>
      </c>
      <c r="O2307" s="9">
        <v>375.0</v>
      </c>
      <c r="P2307" s="8" t="s">
        <v>3480</v>
      </c>
      <c r="Q2307" s="8" t="s">
        <v>7987</v>
      </c>
      <c r="R2307" s="8" t="s">
        <v>7988</v>
      </c>
    </row>
    <row r="2308">
      <c r="A2308" s="8" t="s">
        <v>2731</v>
      </c>
      <c r="B2308" s="8" t="s">
        <v>13807</v>
      </c>
      <c r="C2308" s="8" t="s">
        <v>13808</v>
      </c>
      <c r="D2308" s="9">
        <v>9.73019889E9</v>
      </c>
      <c r="E2308" s="8" t="s">
        <v>13809</v>
      </c>
      <c r="F2308" s="8" t="s">
        <v>6526</v>
      </c>
      <c r="G2308" s="8" t="s">
        <v>13810</v>
      </c>
      <c r="H2308" s="8" t="s">
        <v>3479</v>
      </c>
      <c r="I2308" s="9">
        <v>0.0</v>
      </c>
      <c r="J2308" s="9">
        <v>1654.0</v>
      </c>
      <c r="K2308" s="9">
        <v>1654.0</v>
      </c>
      <c r="L2308" s="9">
        <v>1654.0</v>
      </c>
      <c r="M2308" s="9">
        <v>421.0</v>
      </c>
      <c r="N2308" s="9">
        <v>784.0</v>
      </c>
      <c r="O2308" s="9">
        <v>449.0</v>
      </c>
      <c r="P2308" s="8" t="s">
        <v>3480</v>
      </c>
      <c r="Q2308" s="8" t="s">
        <v>13811</v>
      </c>
      <c r="R2308" s="8"/>
    </row>
    <row r="2309">
      <c r="A2309" s="8" t="s">
        <v>2730</v>
      </c>
      <c r="B2309" s="8" t="s">
        <v>13812</v>
      </c>
      <c r="C2309" s="8" t="s">
        <v>13813</v>
      </c>
      <c r="D2309" s="9">
        <v>9.860091102E9</v>
      </c>
      <c r="E2309" s="8" t="s">
        <v>13814</v>
      </c>
      <c r="F2309" s="8" t="s">
        <v>8851</v>
      </c>
      <c r="G2309" s="8" t="s">
        <v>13815</v>
      </c>
      <c r="H2309" s="8" t="s">
        <v>3479</v>
      </c>
      <c r="I2309" s="9">
        <v>0.0</v>
      </c>
      <c r="J2309" s="9">
        <v>4851.0</v>
      </c>
      <c r="K2309" s="9">
        <v>4851.0</v>
      </c>
      <c r="L2309" s="9">
        <v>4851.0</v>
      </c>
      <c r="M2309" s="9">
        <v>2459.0</v>
      </c>
      <c r="N2309" s="9">
        <v>1468.0</v>
      </c>
      <c r="O2309" s="9">
        <v>924.0</v>
      </c>
      <c r="P2309" s="8" t="s">
        <v>3480</v>
      </c>
      <c r="Q2309" s="8"/>
      <c r="R2309" s="8"/>
    </row>
    <row r="2310">
      <c r="A2310" s="8" t="s">
        <v>2759</v>
      </c>
      <c r="B2310" s="8" t="s">
        <v>13816</v>
      </c>
      <c r="C2310" s="8" t="s">
        <v>13817</v>
      </c>
      <c r="D2310" s="9">
        <v>9.65700358E9</v>
      </c>
      <c r="E2310" s="8" t="s">
        <v>13818</v>
      </c>
      <c r="F2310" s="8" t="s">
        <v>3608</v>
      </c>
      <c r="G2310" s="8" t="s">
        <v>9889</v>
      </c>
      <c r="H2310" s="8" t="s">
        <v>3479</v>
      </c>
      <c r="I2310" s="9">
        <v>0.0</v>
      </c>
      <c r="J2310" s="9">
        <v>2325.0</v>
      </c>
      <c r="K2310" s="9">
        <v>2325.0</v>
      </c>
      <c r="L2310" s="9">
        <v>2325.0</v>
      </c>
      <c r="M2310" s="9">
        <v>1850.0</v>
      </c>
      <c r="N2310" s="9">
        <v>0.0</v>
      </c>
      <c r="O2310" s="9">
        <v>475.0</v>
      </c>
      <c r="P2310" s="8" t="s">
        <v>3480</v>
      </c>
      <c r="Q2310" s="8" t="s">
        <v>13819</v>
      </c>
      <c r="R2310" s="8" t="s">
        <v>13820</v>
      </c>
    </row>
    <row r="2311">
      <c r="A2311" s="8" t="s">
        <v>2425</v>
      </c>
      <c r="B2311" s="8" t="s">
        <v>13821</v>
      </c>
      <c r="C2311" s="8" t="s">
        <v>13822</v>
      </c>
      <c r="D2311" s="9">
        <v>9.823400846E9</v>
      </c>
      <c r="E2311" s="8" t="s">
        <v>13823</v>
      </c>
      <c r="F2311" s="8" t="s">
        <v>4366</v>
      </c>
      <c r="G2311" s="8" t="s">
        <v>13824</v>
      </c>
      <c r="H2311" s="8" t="s">
        <v>3479</v>
      </c>
      <c r="I2311" s="9">
        <v>0.0</v>
      </c>
      <c r="J2311" s="9">
        <v>2728.0</v>
      </c>
      <c r="K2311" s="9">
        <v>2728.0</v>
      </c>
      <c r="L2311" s="9">
        <v>2728.0</v>
      </c>
      <c r="M2311" s="9">
        <v>1160.0</v>
      </c>
      <c r="N2311" s="9">
        <v>594.0</v>
      </c>
      <c r="O2311" s="9">
        <v>974.0</v>
      </c>
      <c r="P2311" s="8" t="s">
        <v>3480</v>
      </c>
      <c r="Q2311" s="8"/>
      <c r="R2311" s="8"/>
    </row>
    <row r="2312">
      <c r="A2312" s="8" t="s">
        <v>2426</v>
      </c>
      <c r="B2312" s="8" t="s">
        <v>13825</v>
      </c>
      <c r="C2312" s="8" t="s">
        <v>9920</v>
      </c>
      <c r="D2312" s="9">
        <v>9.762777049E9</v>
      </c>
      <c r="E2312" s="8" t="s">
        <v>9921</v>
      </c>
      <c r="F2312" s="8" t="s">
        <v>4059</v>
      </c>
      <c r="G2312" s="8" t="s">
        <v>13826</v>
      </c>
      <c r="H2312" s="8" t="s">
        <v>3479</v>
      </c>
      <c r="I2312" s="9">
        <v>0.0</v>
      </c>
      <c r="J2312" s="9">
        <v>3960.0</v>
      </c>
      <c r="K2312" s="9">
        <v>3960.0</v>
      </c>
      <c r="L2312" s="9">
        <v>3960.0</v>
      </c>
      <c r="M2312" s="9">
        <v>2352.0</v>
      </c>
      <c r="N2312" s="9">
        <v>784.0</v>
      </c>
      <c r="O2312" s="9">
        <v>824.0</v>
      </c>
      <c r="P2312" s="8" t="s">
        <v>3480</v>
      </c>
      <c r="Q2312" s="8"/>
      <c r="R2312" s="8"/>
    </row>
    <row r="2313">
      <c r="A2313" s="8" t="s">
        <v>2732</v>
      </c>
      <c r="B2313" s="8" t="s">
        <v>13827</v>
      </c>
      <c r="C2313" s="8" t="s">
        <v>13828</v>
      </c>
      <c r="D2313" s="9">
        <v>7.036838846E9</v>
      </c>
      <c r="E2313" s="8" t="s">
        <v>13829</v>
      </c>
      <c r="F2313" s="8" t="s">
        <v>4792</v>
      </c>
      <c r="G2313" s="8" t="s">
        <v>4036</v>
      </c>
      <c r="H2313" s="8" t="s">
        <v>3479</v>
      </c>
      <c r="I2313" s="9">
        <v>0.0</v>
      </c>
      <c r="J2313" s="9">
        <v>634.0</v>
      </c>
      <c r="K2313" s="9">
        <v>634.0</v>
      </c>
      <c r="L2313" s="9">
        <v>634.0</v>
      </c>
      <c r="M2313" s="9">
        <v>0.0</v>
      </c>
      <c r="N2313" s="9">
        <v>594.0</v>
      </c>
      <c r="O2313" s="9">
        <v>40.0</v>
      </c>
      <c r="P2313" s="8" t="s">
        <v>3480</v>
      </c>
      <c r="Q2313" s="8"/>
      <c r="R2313" s="8"/>
    </row>
    <row r="2314">
      <c r="A2314" s="8" t="s">
        <v>2733</v>
      </c>
      <c r="B2314" s="8" t="s">
        <v>13830</v>
      </c>
      <c r="C2314" s="8" t="s">
        <v>13027</v>
      </c>
      <c r="D2314" s="9">
        <v>8.888886858E9</v>
      </c>
      <c r="E2314" s="8" t="s">
        <v>13028</v>
      </c>
      <c r="F2314" s="8" t="s">
        <v>4333</v>
      </c>
      <c r="G2314" s="8" t="s">
        <v>13831</v>
      </c>
      <c r="H2314" s="8" t="s">
        <v>3479</v>
      </c>
      <c r="I2314" s="9">
        <v>0.0</v>
      </c>
      <c r="J2314" s="9">
        <v>2755.0</v>
      </c>
      <c r="K2314" s="9">
        <v>2755.0</v>
      </c>
      <c r="L2314" s="9">
        <v>2755.0</v>
      </c>
      <c r="M2314" s="9">
        <v>817.0</v>
      </c>
      <c r="N2314" s="9">
        <v>964.0</v>
      </c>
      <c r="O2314" s="9">
        <v>974.0</v>
      </c>
      <c r="P2314" s="8" t="s">
        <v>3480</v>
      </c>
      <c r="Q2314" s="8" t="s">
        <v>13029</v>
      </c>
      <c r="R2314" s="8" t="s">
        <v>13030</v>
      </c>
    </row>
    <row r="2315">
      <c r="A2315" s="8" t="s">
        <v>2734</v>
      </c>
      <c r="B2315" s="8" t="s">
        <v>13832</v>
      </c>
      <c r="C2315" s="8" t="s">
        <v>10077</v>
      </c>
      <c r="D2315" s="9">
        <v>9.5270929E9</v>
      </c>
      <c r="E2315" s="8" t="s">
        <v>13833</v>
      </c>
      <c r="F2315" s="8" t="s">
        <v>3608</v>
      </c>
      <c r="G2315" s="8" t="s">
        <v>13834</v>
      </c>
      <c r="H2315" s="8" t="s">
        <v>3479</v>
      </c>
      <c r="I2315" s="9">
        <v>0.0</v>
      </c>
      <c r="J2315" s="9">
        <v>4734.0</v>
      </c>
      <c r="K2315" s="9">
        <v>4734.0</v>
      </c>
      <c r="L2315" s="9">
        <v>4734.0</v>
      </c>
      <c r="M2315" s="9">
        <v>3165.0</v>
      </c>
      <c r="N2315" s="9">
        <v>730.0</v>
      </c>
      <c r="O2315" s="9">
        <v>839.0</v>
      </c>
      <c r="P2315" s="8" t="s">
        <v>3480</v>
      </c>
      <c r="Q2315" s="8" t="s">
        <v>6857</v>
      </c>
      <c r="R2315" s="8" t="s">
        <v>13835</v>
      </c>
    </row>
    <row r="2316">
      <c r="A2316" s="8" t="s">
        <v>2735</v>
      </c>
      <c r="B2316" s="8" t="s">
        <v>13836</v>
      </c>
      <c r="C2316" s="8" t="s">
        <v>4326</v>
      </c>
      <c r="D2316" s="9">
        <v>9.284541754E9</v>
      </c>
      <c r="E2316" s="8" t="s">
        <v>4327</v>
      </c>
      <c r="F2316" s="8" t="s">
        <v>3977</v>
      </c>
      <c r="G2316" s="8" t="s">
        <v>12501</v>
      </c>
      <c r="H2316" s="8" t="s">
        <v>6194</v>
      </c>
      <c r="I2316" s="9">
        <v>0.0</v>
      </c>
      <c r="J2316" s="9">
        <v>1500.0</v>
      </c>
      <c r="K2316" s="9">
        <v>1550.0</v>
      </c>
      <c r="L2316" s="9">
        <v>1500.0</v>
      </c>
      <c r="M2316" s="9">
        <v>1550.0</v>
      </c>
      <c r="N2316" s="9">
        <v>0.0</v>
      </c>
      <c r="O2316" s="9">
        <v>0.0</v>
      </c>
      <c r="P2316" s="8" t="s">
        <v>3480</v>
      </c>
      <c r="Q2316" s="8" t="s">
        <v>4329</v>
      </c>
      <c r="R2316" s="8"/>
    </row>
    <row r="2317">
      <c r="A2317" s="8" t="s">
        <v>2737</v>
      </c>
      <c r="B2317" s="8" t="s">
        <v>13837</v>
      </c>
      <c r="C2317" s="8" t="s">
        <v>13838</v>
      </c>
      <c r="D2317" s="9">
        <v>9.075509481E9</v>
      </c>
      <c r="E2317" s="8" t="s">
        <v>13839</v>
      </c>
      <c r="F2317" s="8" t="s">
        <v>6253</v>
      </c>
      <c r="G2317" s="8" t="s">
        <v>13840</v>
      </c>
      <c r="H2317" s="8" t="s">
        <v>3479</v>
      </c>
      <c r="I2317" s="9">
        <v>0.0</v>
      </c>
      <c r="J2317" s="9">
        <v>880.0</v>
      </c>
      <c r="K2317" s="9">
        <v>880.0</v>
      </c>
      <c r="L2317" s="9">
        <v>880.0</v>
      </c>
      <c r="M2317" s="9">
        <v>555.0</v>
      </c>
      <c r="N2317" s="9">
        <v>0.0</v>
      </c>
      <c r="O2317" s="9">
        <v>325.0</v>
      </c>
      <c r="P2317" s="8" t="s">
        <v>3480</v>
      </c>
      <c r="Q2317" s="8"/>
      <c r="R2317" s="8"/>
    </row>
    <row r="2318">
      <c r="A2318" s="8" t="s">
        <v>2427</v>
      </c>
      <c r="B2318" s="8" t="s">
        <v>13841</v>
      </c>
      <c r="C2318" s="8" t="s">
        <v>13842</v>
      </c>
      <c r="D2318" s="9">
        <v>8.888321554E9</v>
      </c>
      <c r="E2318" s="8" t="s">
        <v>13843</v>
      </c>
      <c r="F2318" s="8" t="s">
        <v>3665</v>
      </c>
      <c r="G2318" s="8" t="s">
        <v>3829</v>
      </c>
      <c r="H2318" s="8" t="s">
        <v>3479</v>
      </c>
      <c r="I2318" s="9">
        <v>0.0</v>
      </c>
      <c r="J2318" s="9">
        <v>1531.0</v>
      </c>
      <c r="K2318" s="9">
        <v>1531.0</v>
      </c>
      <c r="L2318" s="9">
        <v>1531.0</v>
      </c>
      <c r="M2318" s="9">
        <v>592.0</v>
      </c>
      <c r="N2318" s="9">
        <v>190.0</v>
      </c>
      <c r="O2318" s="9">
        <v>749.0</v>
      </c>
      <c r="P2318" s="8" t="s">
        <v>3480</v>
      </c>
      <c r="Q2318" s="8"/>
      <c r="R2318" s="8"/>
    </row>
    <row r="2319">
      <c r="A2319" s="8" t="s">
        <v>1663</v>
      </c>
      <c r="B2319" s="8" t="s">
        <v>13844</v>
      </c>
      <c r="C2319" s="8" t="s">
        <v>5517</v>
      </c>
      <c r="D2319" s="9">
        <v>8.484849999E9</v>
      </c>
      <c r="E2319" s="8" t="s">
        <v>5518</v>
      </c>
      <c r="F2319" s="8" t="s">
        <v>3589</v>
      </c>
      <c r="G2319" s="8" t="s">
        <v>13845</v>
      </c>
      <c r="H2319" s="8" t="s">
        <v>3479</v>
      </c>
      <c r="I2319" s="9">
        <v>0.0</v>
      </c>
      <c r="J2319" s="9">
        <v>1724.0</v>
      </c>
      <c r="K2319" s="9">
        <v>1724.0</v>
      </c>
      <c r="L2319" s="9">
        <v>1724.0</v>
      </c>
      <c r="M2319" s="9">
        <v>470.0</v>
      </c>
      <c r="N2319" s="9">
        <v>730.0</v>
      </c>
      <c r="O2319" s="9">
        <v>524.0</v>
      </c>
      <c r="P2319" s="8" t="s">
        <v>3480</v>
      </c>
      <c r="Q2319" s="8" t="s">
        <v>5520</v>
      </c>
      <c r="R2319" s="8" t="s">
        <v>5521</v>
      </c>
    </row>
    <row r="2320">
      <c r="A2320" s="8" t="s">
        <v>2428</v>
      </c>
      <c r="B2320" s="8" t="s">
        <v>13846</v>
      </c>
      <c r="C2320" s="8" t="s">
        <v>13847</v>
      </c>
      <c r="D2320" s="9">
        <v>7.083321829E9</v>
      </c>
      <c r="E2320" s="8" t="s">
        <v>13848</v>
      </c>
      <c r="F2320" s="8" t="s">
        <v>3550</v>
      </c>
      <c r="G2320" s="8" t="s">
        <v>13849</v>
      </c>
      <c r="H2320" s="8" t="s">
        <v>3479</v>
      </c>
      <c r="I2320" s="9">
        <v>0.0</v>
      </c>
      <c r="J2320" s="9">
        <v>1759.0</v>
      </c>
      <c r="K2320" s="9">
        <v>1759.0</v>
      </c>
      <c r="L2320" s="9">
        <v>1759.0</v>
      </c>
      <c r="M2320" s="9">
        <v>650.0</v>
      </c>
      <c r="N2320" s="9">
        <v>660.0</v>
      </c>
      <c r="O2320" s="9">
        <v>449.0</v>
      </c>
      <c r="P2320" s="8" t="s">
        <v>3480</v>
      </c>
      <c r="Q2320" s="8" t="s">
        <v>13850</v>
      </c>
      <c r="R2320" s="8" t="s">
        <v>13851</v>
      </c>
    </row>
    <row r="2321">
      <c r="A2321" s="8" t="s">
        <v>2577</v>
      </c>
      <c r="B2321" s="8" t="s">
        <v>13852</v>
      </c>
      <c r="C2321" s="8" t="s">
        <v>13853</v>
      </c>
      <c r="D2321" s="9">
        <v>9.60468798E9</v>
      </c>
      <c r="E2321" s="8" t="s">
        <v>13854</v>
      </c>
      <c r="F2321" s="8" t="s">
        <v>3721</v>
      </c>
      <c r="G2321" s="8" t="s">
        <v>13855</v>
      </c>
      <c r="H2321" s="8" t="s">
        <v>3479</v>
      </c>
      <c r="I2321" s="9">
        <v>0.0</v>
      </c>
      <c r="J2321" s="9">
        <v>4732.0</v>
      </c>
      <c r="K2321" s="9">
        <v>4732.0</v>
      </c>
      <c r="L2321" s="9">
        <v>4732.0</v>
      </c>
      <c r="M2321" s="9">
        <v>3303.0</v>
      </c>
      <c r="N2321" s="9">
        <v>730.0</v>
      </c>
      <c r="O2321" s="9">
        <v>699.0</v>
      </c>
      <c r="P2321" s="8" t="s">
        <v>3480</v>
      </c>
      <c r="Q2321" s="8" t="s">
        <v>13856</v>
      </c>
      <c r="R2321" s="8" t="s">
        <v>13857</v>
      </c>
    </row>
    <row r="2322">
      <c r="A2322" s="8" t="s">
        <v>2738</v>
      </c>
      <c r="B2322" s="8" t="s">
        <v>13858</v>
      </c>
      <c r="C2322" s="8" t="s">
        <v>13859</v>
      </c>
      <c r="D2322" s="9">
        <v>8.983739321E9</v>
      </c>
      <c r="E2322" s="8" t="s">
        <v>13860</v>
      </c>
      <c r="F2322" s="8" t="s">
        <v>10815</v>
      </c>
      <c r="G2322" s="8" t="s">
        <v>13861</v>
      </c>
      <c r="H2322" s="8" t="s">
        <v>3479</v>
      </c>
      <c r="I2322" s="9">
        <v>0.0</v>
      </c>
      <c r="J2322" s="9">
        <v>2809.0</v>
      </c>
      <c r="K2322" s="9">
        <v>2809.0</v>
      </c>
      <c r="L2322" s="9">
        <v>2809.0</v>
      </c>
      <c r="M2322" s="9">
        <v>1910.0</v>
      </c>
      <c r="N2322" s="9">
        <v>0.0</v>
      </c>
      <c r="O2322" s="9">
        <v>899.0</v>
      </c>
      <c r="P2322" s="8" t="s">
        <v>3480</v>
      </c>
      <c r="Q2322" s="8"/>
      <c r="R2322" s="8"/>
    </row>
    <row r="2323">
      <c r="A2323" s="8" t="s">
        <v>2770</v>
      </c>
      <c r="B2323" s="8" t="s">
        <v>13862</v>
      </c>
      <c r="C2323" s="8" t="s">
        <v>13863</v>
      </c>
      <c r="D2323" s="9">
        <v>9.7660977E9</v>
      </c>
      <c r="E2323" s="8" t="s">
        <v>13864</v>
      </c>
      <c r="F2323" s="8" t="s">
        <v>5613</v>
      </c>
      <c r="G2323" s="8" t="s">
        <v>13865</v>
      </c>
      <c r="H2323" s="8" t="s">
        <v>3479</v>
      </c>
      <c r="I2323" s="9">
        <v>0.0</v>
      </c>
      <c r="J2323" s="9">
        <v>1841.0</v>
      </c>
      <c r="K2323" s="9">
        <v>1841.0</v>
      </c>
      <c r="L2323" s="9">
        <v>1841.0</v>
      </c>
      <c r="M2323" s="9">
        <v>1466.0</v>
      </c>
      <c r="N2323" s="9">
        <v>0.0</v>
      </c>
      <c r="O2323" s="9">
        <v>375.0</v>
      </c>
      <c r="P2323" s="8" t="s">
        <v>3519</v>
      </c>
      <c r="Q2323" s="8"/>
      <c r="R2323" s="8"/>
    </row>
    <row r="2324">
      <c r="A2324" s="8" t="s">
        <v>2771</v>
      </c>
      <c r="B2324" s="8" t="s">
        <v>13866</v>
      </c>
      <c r="C2324" s="8" t="s">
        <v>13867</v>
      </c>
      <c r="D2324" s="9">
        <v>9.172523743E9</v>
      </c>
      <c r="E2324" s="8" t="s">
        <v>13868</v>
      </c>
      <c r="F2324" s="8" t="s">
        <v>5955</v>
      </c>
      <c r="G2324" s="8" t="s">
        <v>13869</v>
      </c>
      <c r="H2324" s="8" t="s">
        <v>13870</v>
      </c>
      <c r="I2324" s="9">
        <v>0.0</v>
      </c>
      <c r="J2324" s="9">
        <v>0.0</v>
      </c>
      <c r="K2324" s="9">
        <v>7142.0</v>
      </c>
      <c r="L2324" s="9">
        <v>6700.0</v>
      </c>
      <c r="M2324" s="9">
        <v>5663.0</v>
      </c>
      <c r="N2324" s="9">
        <v>65.0</v>
      </c>
      <c r="O2324" s="9">
        <v>1414.0</v>
      </c>
      <c r="P2324" s="8" t="s">
        <v>3480</v>
      </c>
      <c r="Q2324" s="8" t="s">
        <v>13871</v>
      </c>
      <c r="R2324" s="8" t="s">
        <v>13872</v>
      </c>
    </row>
    <row r="2325">
      <c r="A2325" s="8" t="s">
        <v>2722</v>
      </c>
      <c r="B2325" s="8" t="s">
        <v>13873</v>
      </c>
      <c r="C2325" s="8" t="s">
        <v>7920</v>
      </c>
      <c r="D2325" s="9">
        <v>7.02021847E9</v>
      </c>
      <c r="E2325" s="8" t="s">
        <v>7921</v>
      </c>
      <c r="F2325" s="8" t="s">
        <v>3615</v>
      </c>
      <c r="G2325" s="8" t="s">
        <v>13874</v>
      </c>
      <c r="H2325" s="8" t="s">
        <v>3479</v>
      </c>
      <c r="I2325" s="9">
        <v>0.0</v>
      </c>
      <c r="J2325" s="9">
        <v>529.0</v>
      </c>
      <c r="K2325" s="9">
        <v>529.0</v>
      </c>
      <c r="L2325" s="9">
        <v>529.0</v>
      </c>
      <c r="M2325" s="9">
        <v>80.0</v>
      </c>
      <c r="N2325" s="9">
        <v>0.0</v>
      </c>
      <c r="O2325" s="9">
        <v>449.0</v>
      </c>
      <c r="P2325" s="8" t="s">
        <v>3480</v>
      </c>
      <c r="Q2325" s="8" t="s">
        <v>7923</v>
      </c>
      <c r="R2325" s="8" t="s">
        <v>7924</v>
      </c>
    </row>
    <row r="2326">
      <c r="A2326" s="8" t="s">
        <v>2579</v>
      </c>
      <c r="B2326" s="8" t="s">
        <v>13875</v>
      </c>
      <c r="C2326" s="8" t="s">
        <v>13458</v>
      </c>
      <c r="D2326" s="9">
        <v>8.275439129E9</v>
      </c>
      <c r="E2326" s="8" t="s">
        <v>13459</v>
      </c>
      <c r="F2326" s="8" t="s">
        <v>4029</v>
      </c>
      <c r="G2326" s="8" t="s">
        <v>13460</v>
      </c>
      <c r="H2326" s="8" t="s">
        <v>3479</v>
      </c>
      <c r="I2326" s="9">
        <v>0.0</v>
      </c>
      <c r="J2326" s="9">
        <v>1500.0</v>
      </c>
      <c r="K2326" s="9">
        <v>1500.0</v>
      </c>
      <c r="L2326" s="9">
        <v>1500.0</v>
      </c>
      <c r="M2326" s="9">
        <v>1500.0</v>
      </c>
      <c r="N2326" s="9">
        <v>0.0</v>
      </c>
      <c r="O2326" s="9">
        <v>0.0</v>
      </c>
      <c r="P2326" s="8" t="s">
        <v>3480</v>
      </c>
      <c r="Q2326" s="8" t="s">
        <v>13461</v>
      </c>
      <c r="R2326" s="8"/>
    </row>
    <row r="2327">
      <c r="A2327" s="8" t="s">
        <v>2723</v>
      </c>
      <c r="B2327" s="8" t="s">
        <v>13876</v>
      </c>
      <c r="C2327" s="8" t="s">
        <v>12394</v>
      </c>
      <c r="D2327" s="9">
        <v>8.055356664E9</v>
      </c>
      <c r="E2327" s="8" t="s">
        <v>13877</v>
      </c>
      <c r="F2327" s="8" t="s">
        <v>3530</v>
      </c>
      <c r="G2327" s="8" t="s">
        <v>3494</v>
      </c>
      <c r="H2327" s="8" t="s">
        <v>3479</v>
      </c>
      <c r="I2327" s="9">
        <v>0.0</v>
      </c>
      <c r="J2327" s="9">
        <v>2463.0</v>
      </c>
      <c r="K2327" s="9">
        <v>2463.0</v>
      </c>
      <c r="L2327" s="9">
        <v>2463.0</v>
      </c>
      <c r="M2327" s="9">
        <v>559.0</v>
      </c>
      <c r="N2327" s="9">
        <v>1125.0</v>
      </c>
      <c r="O2327" s="9">
        <v>779.0</v>
      </c>
      <c r="P2327" s="8" t="s">
        <v>3480</v>
      </c>
      <c r="Q2327" s="8" t="s">
        <v>13878</v>
      </c>
      <c r="R2327" s="8" t="s">
        <v>13879</v>
      </c>
    </row>
    <row r="2328">
      <c r="A2328" s="8" t="s">
        <v>2739</v>
      </c>
      <c r="B2328" s="8" t="s">
        <v>13880</v>
      </c>
      <c r="C2328" s="8" t="s">
        <v>5549</v>
      </c>
      <c r="D2328" s="9">
        <v>8.669787479E9</v>
      </c>
      <c r="E2328" s="8" t="s">
        <v>5550</v>
      </c>
      <c r="F2328" s="8" t="s">
        <v>3628</v>
      </c>
      <c r="G2328" s="8" t="s">
        <v>3494</v>
      </c>
      <c r="H2328" s="8" t="s">
        <v>13881</v>
      </c>
      <c r="I2328" s="9">
        <v>0.0</v>
      </c>
      <c r="J2328" s="9">
        <v>6965.0</v>
      </c>
      <c r="K2328" s="9">
        <v>7365.0</v>
      </c>
      <c r="L2328" s="9">
        <v>6965.0</v>
      </c>
      <c r="M2328" s="9">
        <v>6890.0</v>
      </c>
      <c r="N2328" s="9">
        <v>0.0</v>
      </c>
      <c r="O2328" s="9">
        <v>475.0</v>
      </c>
      <c r="P2328" s="8" t="s">
        <v>3480</v>
      </c>
      <c r="Q2328" s="8" t="s">
        <v>5552</v>
      </c>
      <c r="R2328" s="8"/>
    </row>
    <row r="2329">
      <c r="A2329" s="8" t="s">
        <v>2429</v>
      </c>
      <c r="B2329" s="8" t="s">
        <v>13882</v>
      </c>
      <c r="C2329" s="8" t="s">
        <v>13883</v>
      </c>
      <c r="D2329" s="9">
        <v>9.904474868E9</v>
      </c>
      <c r="E2329" s="8" t="s">
        <v>13884</v>
      </c>
      <c r="F2329" s="8" t="s">
        <v>3853</v>
      </c>
      <c r="G2329" s="8" t="s">
        <v>13885</v>
      </c>
      <c r="H2329" s="8" t="s">
        <v>3479</v>
      </c>
      <c r="I2329" s="9">
        <v>0.0</v>
      </c>
      <c r="J2329" s="9">
        <v>2089.0</v>
      </c>
      <c r="K2329" s="9">
        <v>2089.0</v>
      </c>
      <c r="L2329" s="9">
        <v>2089.0</v>
      </c>
      <c r="M2329" s="9">
        <v>830.0</v>
      </c>
      <c r="N2329" s="9">
        <v>730.0</v>
      </c>
      <c r="O2329" s="9">
        <v>529.0</v>
      </c>
      <c r="P2329" s="8" t="s">
        <v>3480</v>
      </c>
      <c r="Q2329" s="8"/>
      <c r="R2329" s="8"/>
    </row>
    <row r="2330">
      <c r="A2330" s="8" t="s">
        <v>2740</v>
      </c>
      <c r="B2330" s="8" t="s">
        <v>13886</v>
      </c>
      <c r="C2330" s="8" t="s">
        <v>10876</v>
      </c>
      <c r="D2330" s="9">
        <v>7.499331879E9</v>
      </c>
      <c r="E2330" s="8" t="s">
        <v>13887</v>
      </c>
      <c r="F2330" s="8" t="s">
        <v>3721</v>
      </c>
      <c r="G2330" s="8" t="s">
        <v>13888</v>
      </c>
      <c r="H2330" s="8" t="s">
        <v>3479</v>
      </c>
      <c r="I2330" s="9">
        <v>0.0</v>
      </c>
      <c r="J2330" s="9">
        <v>3076.0</v>
      </c>
      <c r="K2330" s="9">
        <v>3076.0</v>
      </c>
      <c r="L2330" s="9">
        <v>3076.0</v>
      </c>
      <c r="M2330" s="9">
        <v>1688.0</v>
      </c>
      <c r="N2330" s="9">
        <v>739.0</v>
      </c>
      <c r="O2330" s="9">
        <v>649.0</v>
      </c>
      <c r="P2330" s="8" t="s">
        <v>3480</v>
      </c>
      <c r="Q2330" s="8" t="s">
        <v>13889</v>
      </c>
      <c r="R2330" s="8" t="s">
        <v>13890</v>
      </c>
    </row>
    <row r="2331">
      <c r="A2331" s="8" t="s">
        <v>2741</v>
      </c>
      <c r="B2331" s="8" t="s">
        <v>13891</v>
      </c>
      <c r="C2331" s="8" t="s">
        <v>5046</v>
      </c>
      <c r="D2331" s="9">
        <v>9.619664133E9</v>
      </c>
      <c r="E2331" s="8" t="s">
        <v>13892</v>
      </c>
      <c r="F2331" s="8" t="s">
        <v>3721</v>
      </c>
      <c r="G2331" s="8" t="s">
        <v>13893</v>
      </c>
      <c r="H2331" s="8" t="s">
        <v>3479</v>
      </c>
      <c r="I2331" s="9">
        <v>0.0</v>
      </c>
      <c r="J2331" s="9">
        <v>2451.0</v>
      </c>
      <c r="K2331" s="9">
        <v>2451.0</v>
      </c>
      <c r="L2331" s="9">
        <v>2451.0</v>
      </c>
      <c r="M2331" s="9">
        <v>1063.0</v>
      </c>
      <c r="N2331" s="9">
        <v>739.0</v>
      </c>
      <c r="O2331" s="9">
        <v>649.0</v>
      </c>
      <c r="P2331" s="8" t="s">
        <v>3480</v>
      </c>
      <c r="Q2331" s="8"/>
      <c r="R2331" s="8"/>
    </row>
    <row r="2332">
      <c r="A2332" s="8" t="s">
        <v>2578</v>
      </c>
      <c r="B2332" s="8" t="s">
        <v>13894</v>
      </c>
      <c r="C2332" s="8" t="s">
        <v>13895</v>
      </c>
      <c r="D2332" s="9">
        <v>9.850056693E9</v>
      </c>
      <c r="E2332" s="8" t="s">
        <v>13896</v>
      </c>
      <c r="F2332" s="8" t="s">
        <v>4366</v>
      </c>
      <c r="G2332" s="8" t="s">
        <v>8347</v>
      </c>
      <c r="H2332" s="8" t="s">
        <v>3479</v>
      </c>
      <c r="I2332" s="9">
        <v>0.0</v>
      </c>
      <c r="J2332" s="9">
        <v>1463.0</v>
      </c>
      <c r="K2332" s="9">
        <v>1463.0</v>
      </c>
      <c r="L2332" s="9">
        <v>1463.0</v>
      </c>
      <c r="M2332" s="9">
        <v>80.0</v>
      </c>
      <c r="N2332" s="9">
        <v>784.0</v>
      </c>
      <c r="O2332" s="9">
        <v>599.0</v>
      </c>
      <c r="P2332" s="8" t="s">
        <v>3480</v>
      </c>
      <c r="Q2332" s="8" t="s">
        <v>13897</v>
      </c>
      <c r="R2332" s="8" t="s">
        <v>13898</v>
      </c>
    </row>
    <row r="2333">
      <c r="A2333" s="8" t="s">
        <v>2721</v>
      </c>
      <c r="B2333" s="8" t="s">
        <v>13899</v>
      </c>
      <c r="C2333" s="8" t="s">
        <v>13900</v>
      </c>
      <c r="D2333" s="9">
        <v>9.404018891E9</v>
      </c>
      <c r="E2333" s="8" t="s">
        <v>13901</v>
      </c>
      <c r="F2333" s="8" t="s">
        <v>3608</v>
      </c>
      <c r="G2333" s="8" t="s">
        <v>13902</v>
      </c>
      <c r="H2333" s="8" t="s">
        <v>3479</v>
      </c>
      <c r="I2333" s="9">
        <v>0.0</v>
      </c>
      <c r="J2333" s="9">
        <v>2195.0</v>
      </c>
      <c r="K2333" s="9">
        <v>2195.0</v>
      </c>
      <c r="L2333" s="9">
        <v>2195.0</v>
      </c>
      <c r="M2333" s="9">
        <v>691.0</v>
      </c>
      <c r="N2333" s="9">
        <v>730.0</v>
      </c>
      <c r="O2333" s="9">
        <v>774.0</v>
      </c>
      <c r="P2333" s="8" t="s">
        <v>3480</v>
      </c>
      <c r="Q2333" s="8" t="s">
        <v>13903</v>
      </c>
      <c r="R2333" s="8" t="s">
        <v>13904</v>
      </c>
    </row>
    <row r="2334">
      <c r="A2334" s="8" t="s">
        <v>1664</v>
      </c>
      <c r="B2334" s="8" t="s">
        <v>13905</v>
      </c>
      <c r="C2334" s="8" t="s">
        <v>13906</v>
      </c>
      <c r="D2334" s="9">
        <v>7.507291543E9</v>
      </c>
      <c r="E2334" s="8" t="s">
        <v>13907</v>
      </c>
      <c r="F2334" s="8" t="s">
        <v>3523</v>
      </c>
      <c r="G2334" s="8" t="s">
        <v>13908</v>
      </c>
      <c r="H2334" s="8" t="s">
        <v>3479</v>
      </c>
      <c r="I2334" s="9">
        <v>0.0</v>
      </c>
      <c r="J2334" s="9">
        <v>2564.0</v>
      </c>
      <c r="K2334" s="9">
        <v>2564.0</v>
      </c>
      <c r="L2334" s="9">
        <v>2564.0</v>
      </c>
      <c r="M2334" s="9">
        <v>1310.0</v>
      </c>
      <c r="N2334" s="9">
        <v>730.0</v>
      </c>
      <c r="O2334" s="9">
        <v>524.0</v>
      </c>
      <c r="P2334" s="8" t="s">
        <v>3480</v>
      </c>
      <c r="Q2334" s="8" t="s">
        <v>13909</v>
      </c>
      <c r="R2334" s="8" t="s">
        <v>13910</v>
      </c>
    </row>
    <row r="2335">
      <c r="A2335" s="8" t="s">
        <v>2431</v>
      </c>
      <c r="B2335" s="8" t="s">
        <v>13911</v>
      </c>
      <c r="C2335" s="8" t="s">
        <v>5280</v>
      </c>
      <c r="D2335" s="9">
        <v>9.920887998E9</v>
      </c>
      <c r="E2335" s="8" t="s">
        <v>5281</v>
      </c>
      <c r="F2335" s="8" t="s">
        <v>3707</v>
      </c>
      <c r="G2335" s="8" t="s">
        <v>13912</v>
      </c>
      <c r="H2335" s="8" t="s">
        <v>3479</v>
      </c>
      <c r="I2335" s="9">
        <v>0.0</v>
      </c>
      <c r="J2335" s="9">
        <v>1869.0</v>
      </c>
      <c r="K2335" s="9">
        <v>1869.0</v>
      </c>
      <c r="L2335" s="9">
        <v>1869.0</v>
      </c>
      <c r="M2335" s="9">
        <v>370.0</v>
      </c>
      <c r="N2335" s="9">
        <v>900.0</v>
      </c>
      <c r="O2335" s="9">
        <v>599.0</v>
      </c>
      <c r="P2335" s="8" t="s">
        <v>3480</v>
      </c>
      <c r="Q2335" s="8" t="s">
        <v>5284</v>
      </c>
      <c r="R2335" s="8" t="s">
        <v>5285</v>
      </c>
    </row>
    <row r="2336">
      <c r="A2336" s="8" t="s">
        <v>2432</v>
      </c>
      <c r="B2336" s="8" t="s">
        <v>13913</v>
      </c>
      <c r="C2336" s="8" t="s">
        <v>8810</v>
      </c>
      <c r="D2336" s="9">
        <v>9.011111199E9</v>
      </c>
      <c r="E2336" s="8" t="s">
        <v>8811</v>
      </c>
      <c r="F2336" s="8" t="s">
        <v>3821</v>
      </c>
      <c r="G2336" s="8" t="s">
        <v>13914</v>
      </c>
      <c r="H2336" s="8" t="s">
        <v>3479</v>
      </c>
      <c r="I2336" s="9">
        <v>0.0</v>
      </c>
      <c r="J2336" s="9">
        <v>1150.0</v>
      </c>
      <c r="K2336" s="9">
        <v>1150.0</v>
      </c>
      <c r="L2336" s="9">
        <v>1150.0</v>
      </c>
      <c r="M2336" s="9">
        <v>1150.0</v>
      </c>
      <c r="N2336" s="9">
        <v>0.0</v>
      </c>
      <c r="O2336" s="9">
        <v>0.0</v>
      </c>
      <c r="P2336" s="8" t="s">
        <v>3519</v>
      </c>
      <c r="Q2336" s="8" t="s">
        <v>8813</v>
      </c>
      <c r="R2336" s="8" t="s">
        <v>8814</v>
      </c>
    </row>
    <row r="2337">
      <c r="A2337" s="8" t="s">
        <v>2433</v>
      </c>
      <c r="B2337" s="8" t="s">
        <v>13915</v>
      </c>
      <c r="C2337" s="8" t="s">
        <v>3599</v>
      </c>
      <c r="D2337" s="9">
        <v>9.890675383E9</v>
      </c>
      <c r="E2337" s="8" t="s">
        <v>3600</v>
      </c>
      <c r="F2337" s="8" t="s">
        <v>3601</v>
      </c>
      <c r="G2337" s="8" t="s">
        <v>13916</v>
      </c>
      <c r="H2337" s="8" t="s">
        <v>3479</v>
      </c>
      <c r="I2337" s="9">
        <v>0.0</v>
      </c>
      <c r="J2337" s="9">
        <v>1389.0</v>
      </c>
      <c r="K2337" s="9">
        <v>1389.0</v>
      </c>
      <c r="L2337" s="9">
        <v>1389.0</v>
      </c>
      <c r="M2337" s="9">
        <v>80.0</v>
      </c>
      <c r="N2337" s="9">
        <v>780.0</v>
      </c>
      <c r="O2337" s="9">
        <v>529.0</v>
      </c>
      <c r="P2337" s="8" t="s">
        <v>3480</v>
      </c>
      <c r="Q2337" s="8" t="s">
        <v>3603</v>
      </c>
      <c r="R2337" s="8" t="s">
        <v>3604</v>
      </c>
    </row>
    <row r="2338">
      <c r="A2338" s="8" t="s">
        <v>2434</v>
      </c>
      <c r="B2338" s="8" t="s">
        <v>13917</v>
      </c>
      <c r="C2338" s="8" t="s">
        <v>13918</v>
      </c>
      <c r="D2338" s="9">
        <v>9.004141092E9</v>
      </c>
      <c r="E2338" s="8" t="s">
        <v>13919</v>
      </c>
      <c r="F2338" s="8" t="s">
        <v>5421</v>
      </c>
      <c r="G2338" s="8" t="s">
        <v>13920</v>
      </c>
      <c r="H2338" s="8" t="s">
        <v>3479</v>
      </c>
      <c r="I2338" s="9">
        <v>0.0</v>
      </c>
      <c r="J2338" s="9">
        <v>2082.0</v>
      </c>
      <c r="K2338" s="9">
        <v>2082.0</v>
      </c>
      <c r="L2338" s="9">
        <v>2082.0</v>
      </c>
      <c r="M2338" s="9">
        <v>903.0</v>
      </c>
      <c r="N2338" s="9">
        <v>730.0</v>
      </c>
      <c r="O2338" s="9">
        <v>449.0</v>
      </c>
      <c r="P2338" s="8" t="s">
        <v>3480</v>
      </c>
      <c r="Q2338" s="8"/>
      <c r="R2338" s="8"/>
    </row>
    <row r="2339">
      <c r="A2339" s="8" t="s">
        <v>2783</v>
      </c>
      <c r="B2339" s="8" t="s">
        <v>13921</v>
      </c>
      <c r="C2339" s="8" t="s">
        <v>10334</v>
      </c>
      <c r="D2339" s="9">
        <v>8.010475262E9</v>
      </c>
      <c r="E2339" s="8" t="s">
        <v>13922</v>
      </c>
      <c r="F2339" s="8" t="s">
        <v>3608</v>
      </c>
      <c r="G2339" s="8" t="s">
        <v>13923</v>
      </c>
      <c r="H2339" s="8" t="s">
        <v>3479</v>
      </c>
      <c r="I2339" s="9">
        <v>0.0</v>
      </c>
      <c r="J2339" s="9">
        <v>2264.0</v>
      </c>
      <c r="K2339" s="9">
        <v>2264.0</v>
      </c>
      <c r="L2339" s="9">
        <v>2264.0</v>
      </c>
      <c r="M2339" s="9">
        <v>1005.0</v>
      </c>
      <c r="N2339" s="9">
        <v>730.0</v>
      </c>
      <c r="O2339" s="9">
        <v>529.0</v>
      </c>
      <c r="P2339" s="8" t="s">
        <v>3480</v>
      </c>
      <c r="Q2339" s="8" t="s">
        <v>11495</v>
      </c>
      <c r="R2339" s="8" t="s">
        <v>11496</v>
      </c>
    </row>
    <row r="2340">
      <c r="A2340" s="8" t="s">
        <v>2436</v>
      </c>
      <c r="B2340" s="8" t="s">
        <v>13924</v>
      </c>
      <c r="C2340" s="8" t="s">
        <v>13925</v>
      </c>
      <c r="D2340" s="9">
        <v>9.033414249E9</v>
      </c>
      <c r="E2340" s="8" t="s">
        <v>8633</v>
      </c>
      <c r="F2340" s="8" t="s">
        <v>3653</v>
      </c>
      <c r="G2340" s="8" t="s">
        <v>13926</v>
      </c>
      <c r="H2340" s="8" t="s">
        <v>3479</v>
      </c>
      <c r="I2340" s="9">
        <v>0.0</v>
      </c>
      <c r="J2340" s="9">
        <v>4419.0</v>
      </c>
      <c r="K2340" s="9">
        <v>4419.0</v>
      </c>
      <c r="L2340" s="9">
        <v>4419.0</v>
      </c>
      <c r="M2340" s="9">
        <v>2681.0</v>
      </c>
      <c r="N2340" s="9">
        <v>914.0</v>
      </c>
      <c r="O2340" s="9">
        <v>824.0</v>
      </c>
      <c r="P2340" s="8" t="s">
        <v>3480</v>
      </c>
      <c r="Q2340" s="8"/>
      <c r="R2340" s="8"/>
    </row>
    <row r="2341">
      <c r="A2341" s="8" t="s">
        <v>2437</v>
      </c>
      <c r="B2341" s="8" t="s">
        <v>13927</v>
      </c>
      <c r="C2341" s="8" t="s">
        <v>6854</v>
      </c>
      <c r="D2341" s="9">
        <v>7.020766499E9</v>
      </c>
      <c r="E2341" s="8" t="s">
        <v>13928</v>
      </c>
      <c r="F2341" s="8" t="s">
        <v>3615</v>
      </c>
      <c r="G2341" s="8" t="s">
        <v>13929</v>
      </c>
      <c r="H2341" s="8" t="s">
        <v>3479</v>
      </c>
      <c r="I2341" s="9">
        <v>0.0</v>
      </c>
      <c r="J2341" s="9">
        <v>2115.0</v>
      </c>
      <c r="K2341" s="9">
        <v>2115.0</v>
      </c>
      <c r="L2341" s="9">
        <v>2115.0</v>
      </c>
      <c r="M2341" s="9">
        <v>882.0</v>
      </c>
      <c r="N2341" s="9">
        <v>784.0</v>
      </c>
      <c r="O2341" s="9">
        <v>449.0</v>
      </c>
      <c r="P2341" s="8" t="s">
        <v>3480</v>
      </c>
      <c r="Q2341" s="8"/>
      <c r="R2341" s="8"/>
    </row>
    <row r="2342">
      <c r="A2342" s="8" t="s">
        <v>2438</v>
      </c>
      <c r="B2342" s="8" t="s">
        <v>13930</v>
      </c>
      <c r="C2342" s="8" t="s">
        <v>13931</v>
      </c>
      <c r="D2342" s="9">
        <v>9.746114267E9</v>
      </c>
      <c r="E2342" s="8" t="s">
        <v>13932</v>
      </c>
      <c r="F2342" s="8" t="s">
        <v>3809</v>
      </c>
      <c r="G2342" s="8" t="s">
        <v>13933</v>
      </c>
      <c r="H2342" s="8" t="s">
        <v>3479</v>
      </c>
      <c r="I2342" s="9">
        <v>0.0</v>
      </c>
      <c r="J2342" s="9">
        <v>1251.0</v>
      </c>
      <c r="K2342" s="9">
        <v>1251.0</v>
      </c>
      <c r="L2342" s="9">
        <v>1251.0</v>
      </c>
      <c r="M2342" s="9">
        <v>1051.0</v>
      </c>
      <c r="N2342" s="9">
        <v>0.0</v>
      </c>
      <c r="O2342" s="9">
        <v>200.0</v>
      </c>
      <c r="P2342" s="8" t="s">
        <v>3480</v>
      </c>
      <c r="Q2342" s="8"/>
      <c r="R2342" s="8"/>
    </row>
    <row r="2343">
      <c r="A2343" s="8" t="s">
        <v>2439</v>
      </c>
      <c r="B2343" s="8" t="s">
        <v>13934</v>
      </c>
      <c r="C2343" s="8" t="s">
        <v>13935</v>
      </c>
      <c r="D2343" s="9">
        <v>7.350459842E9</v>
      </c>
      <c r="E2343" s="8" t="s">
        <v>13936</v>
      </c>
      <c r="F2343" s="8" t="s">
        <v>3959</v>
      </c>
      <c r="G2343" s="8" t="s">
        <v>13937</v>
      </c>
      <c r="H2343" s="8" t="s">
        <v>3479</v>
      </c>
      <c r="I2343" s="9">
        <v>0.0</v>
      </c>
      <c r="J2343" s="9">
        <v>2698.0</v>
      </c>
      <c r="K2343" s="9">
        <v>2698.0</v>
      </c>
      <c r="L2343" s="9">
        <v>2698.0</v>
      </c>
      <c r="M2343" s="9">
        <v>1123.0</v>
      </c>
      <c r="N2343" s="9">
        <v>851.0</v>
      </c>
      <c r="O2343" s="9">
        <v>724.0</v>
      </c>
      <c r="P2343" s="8" t="s">
        <v>3519</v>
      </c>
      <c r="Q2343" s="8" t="s">
        <v>13938</v>
      </c>
      <c r="R2343" s="8" t="s">
        <v>13939</v>
      </c>
    </row>
    <row r="2344">
      <c r="A2344" s="8" t="s">
        <v>2440</v>
      </c>
      <c r="B2344" s="8" t="s">
        <v>13940</v>
      </c>
      <c r="C2344" s="8" t="s">
        <v>13941</v>
      </c>
      <c r="D2344" s="9">
        <v>7.709719178E9</v>
      </c>
      <c r="E2344" s="8" t="s">
        <v>13942</v>
      </c>
      <c r="F2344" s="8" t="s">
        <v>3608</v>
      </c>
      <c r="G2344" s="8" t="s">
        <v>13943</v>
      </c>
      <c r="H2344" s="8" t="s">
        <v>3479</v>
      </c>
      <c r="I2344" s="9">
        <v>0.0</v>
      </c>
      <c r="J2344" s="9">
        <v>2497.0</v>
      </c>
      <c r="K2344" s="9">
        <v>2497.0</v>
      </c>
      <c r="L2344" s="9">
        <v>2497.0</v>
      </c>
      <c r="M2344" s="9">
        <v>125.0</v>
      </c>
      <c r="N2344" s="9">
        <v>898.0</v>
      </c>
      <c r="O2344" s="9">
        <v>1474.0</v>
      </c>
      <c r="P2344" s="8" t="s">
        <v>3480</v>
      </c>
      <c r="Q2344" s="8" t="s">
        <v>13944</v>
      </c>
      <c r="R2344" s="8" t="s">
        <v>13945</v>
      </c>
    </row>
    <row r="2345">
      <c r="A2345" s="8" t="s">
        <v>2441</v>
      </c>
      <c r="B2345" s="8" t="s">
        <v>13946</v>
      </c>
      <c r="C2345" s="8" t="s">
        <v>5866</v>
      </c>
      <c r="D2345" s="9">
        <v>9.322165483E9</v>
      </c>
      <c r="E2345" s="8" t="s">
        <v>13947</v>
      </c>
      <c r="F2345" s="8" t="s">
        <v>5167</v>
      </c>
      <c r="G2345" s="8" t="s">
        <v>11985</v>
      </c>
      <c r="H2345" s="8" t="s">
        <v>3479</v>
      </c>
      <c r="I2345" s="9">
        <v>0.0</v>
      </c>
      <c r="J2345" s="9">
        <v>3251.0</v>
      </c>
      <c r="K2345" s="9">
        <v>3251.0</v>
      </c>
      <c r="L2345" s="9">
        <v>3251.0</v>
      </c>
      <c r="M2345" s="9">
        <v>709.0</v>
      </c>
      <c r="N2345" s="9">
        <v>1468.0</v>
      </c>
      <c r="O2345" s="9">
        <v>1074.0</v>
      </c>
      <c r="P2345" s="8" t="s">
        <v>3480</v>
      </c>
      <c r="Q2345" s="8"/>
      <c r="R2345" s="8"/>
    </row>
    <row r="2346">
      <c r="A2346" s="8" t="s">
        <v>1665</v>
      </c>
      <c r="B2346" s="8" t="s">
        <v>13948</v>
      </c>
      <c r="C2346" s="8" t="s">
        <v>5517</v>
      </c>
      <c r="D2346" s="9">
        <v>8.484849999E9</v>
      </c>
      <c r="E2346" s="8" t="s">
        <v>13949</v>
      </c>
      <c r="F2346" s="8" t="s">
        <v>11438</v>
      </c>
      <c r="G2346" s="8" t="s">
        <v>13950</v>
      </c>
      <c r="H2346" s="8" t="s">
        <v>3479</v>
      </c>
      <c r="I2346" s="9">
        <v>0.0</v>
      </c>
      <c r="J2346" s="9">
        <v>1469.0</v>
      </c>
      <c r="K2346" s="9">
        <v>1469.0</v>
      </c>
      <c r="L2346" s="9">
        <v>1469.0</v>
      </c>
      <c r="M2346" s="9">
        <v>530.0</v>
      </c>
      <c r="N2346" s="9">
        <v>190.0</v>
      </c>
      <c r="O2346" s="9">
        <v>749.0</v>
      </c>
      <c r="P2346" s="8" t="s">
        <v>3480</v>
      </c>
      <c r="Q2346" s="8" t="s">
        <v>13951</v>
      </c>
      <c r="R2346" s="8" t="s">
        <v>13952</v>
      </c>
    </row>
    <row r="2347">
      <c r="A2347" s="8" t="s">
        <v>2435</v>
      </c>
      <c r="B2347" s="8" t="s">
        <v>13953</v>
      </c>
      <c r="C2347" s="8" t="s">
        <v>13954</v>
      </c>
      <c r="D2347" s="9">
        <v>9.881907105E9</v>
      </c>
      <c r="E2347" s="8" t="s">
        <v>13955</v>
      </c>
      <c r="F2347" s="8" t="s">
        <v>3934</v>
      </c>
      <c r="G2347" s="8" t="s">
        <v>13956</v>
      </c>
      <c r="H2347" s="8" t="s">
        <v>3479</v>
      </c>
      <c r="I2347" s="9">
        <v>0.0</v>
      </c>
      <c r="J2347" s="9">
        <v>3633.0</v>
      </c>
      <c r="K2347" s="9">
        <v>3633.0</v>
      </c>
      <c r="L2347" s="9">
        <v>3633.0</v>
      </c>
      <c r="M2347" s="9">
        <v>2329.0</v>
      </c>
      <c r="N2347" s="9">
        <v>730.0</v>
      </c>
      <c r="O2347" s="9">
        <v>574.0</v>
      </c>
      <c r="P2347" s="8" t="s">
        <v>3519</v>
      </c>
      <c r="Q2347" s="8"/>
      <c r="R2347" s="8"/>
    </row>
    <row r="2348">
      <c r="A2348" s="8" t="s">
        <v>1667</v>
      </c>
      <c r="B2348" s="8" t="s">
        <v>13957</v>
      </c>
      <c r="C2348" s="8" t="s">
        <v>13958</v>
      </c>
      <c r="D2348" s="9">
        <v>8.484071266E9</v>
      </c>
      <c r="E2348" s="8" t="s">
        <v>13959</v>
      </c>
      <c r="F2348" s="8" t="s">
        <v>3589</v>
      </c>
      <c r="G2348" s="8" t="s">
        <v>13960</v>
      </c>
      <c r="H2348" s="8" t="s">
        <v>3479</v>
      </c>
      <c r="I2348" s="9">
        <v>0.0</v>
      </c>
      <c r="J2348" s="9">
        <v>1729.0</v>
      </c>
      <c r="K2348" s="9">
        <v>1729.0</v>
      </c>
      <c r="L2348" s="9">
        <v>1729.0</v>
      </c>
      <c r="M2348" s="9">
        <v>475.0</v>
      </c>
      <c r="N2348" s="9">
        <v>730.0</v>
      </c>
      <c r="O2348" s="9">
        <v>524.0</v>
      </c>
      <c r="P2348" s="8" t="s">
        <v>3480</v>
      </c>
      <c r="Q2348" s="8" t="s">
        <v>13961</v>
      </c>
      <c r="R2348" s="8" t="s">
        <v>13962</v>
      </c>
    </row>
    <row r="2349">
      <c r="A2349" s="8" t="s">
        <v>1668</v>
      </c>
      <c r="B2349" s="8" t="s">
        <v>13963</v>
      </c>
      <c r="C2349" s="8" t="s">
        <v>13964</v>
      </c>
      <c r="D2349" s="9">
        <v>9.049094562E9</v>
      </c>
      <c r="E2349" s="8" t="s">
        <v>13965</v>
      </c>
      <c r="F2349" s="8" t="s">
        <v>3707</v>
      </c>
      <c r="G2349" s="8" t="s">
        <v>13966</v>
      </c>
      <c r="H2349" s="8" t="s">
        <v>3479</v>
      </c>
      <c r="I2349" s="9">
        <v>0.0</v>
      </c>
      <c r="J2349" s="9">
        <v>2575.0</v>
      </c>
      <c r="K2349" s="9">
        <v>2575.0</v>
      </c>
      <c r="L2349" s="9">
        <v>2575.0</v>
      </c>
      <c r="M2349" s="9">
        <v>976.0</v>
      </c>
      <c r="N2349" s="9">
        <v>900.0</v>
      </c>
      <c r="O2349" s="9">
        <v>699.0</v>
      </c>
      <c r="P2349" s="8" t="s">
        <v>3480</v>
      </c>
      <c r="Q2349" s="8" t="s">
        <v>13967</v>
      </c>
      <c r="R2349" s="8" t="s">
        <v>13968</v>
      </c>
    </row>
    <row r="2350">
      <c r="A2350" s="8" t="s">
        <v>2581</v>
      </c>
      <c r="B2350" s="8" t="s">
        <v>13969</v>
      </c>
      <c r="C2350" s="8" t="s">
        <v>13970</v>
      </c>
      <c r="D2350" s="9">
        <v>9.834919277E9</v>
      </c>
      <c r="E2350" s="8" t="s">
        <v>13971</v>
      </c>
      <c r="F2350" s="8" t="s">
        <v>6234</v>
      </c>
      <c r="G2350" s="8" t="s">
        <v>3494</v>
      </c>
      <c r="H2350" s="8" t="s">
        <v>3479</v>
      </c>
      <c r="I2350" s="9">
        <v>0.0</v>
      </c>
      <c r="J2350" s="9">
        <v>830.0</v>
      </c>
      <c r="K2350" s="9">
        <v>830.0</v>
      </c>
      <c r="L2350" s="9">
        <v>830.0</v>
      </c>
      <c r="M2350" s="9">
        <v>0.0</v>
      </c>
      <c r="N2350" s="9">
        <v>730.0</v>
      </c>
      <c r="O2350" s="9">
        <v>100.0</v>
      </c>
      <c r="P2350" s="8" t="s">
        <v>3480</v>
      </c>
      <c r="Q2350" s="8" t="s">
        <v>13972</v>
      </c>
      <c r="R2350" s="8" t="s">
        <v>13973</v>
      </c>
    </row>
    <row r="2351">
      <c r="A2351" s="8" t="s">
        <v>2582</v>
      </c>
      <c r="B2351" s="8" t="s">
        <v>13974</v>
      </c>
      <c r="C2351" s="8" t="s">
        <v>9548</v>
      </c>
      <c r="D2351" s="9">
        <v>7.798677899E9</v>
      </c>
      <c r="E2351" s="8" t="s">
        <v>11521</v>
      </c>
      <c r="F2351" s="8" t="s">
        <v>6234</v>
      </c>
      <c r="G2351" s="8" t="s">
        <v>13975</v>
      </c>
      <c r="H2351" s="8" t="s">
        <v>3479</v>
      </c>
      <c r="I2351" s="9">
        <v>0.0</v>
      </c>
      <c r="J2351" s="9">
        <v>1319.0</v>
      </c>
      <c r="K2351" s="9">
        <v>1319.0</v>
      </c>
      <c r="L2351" s="9">
        <v>1319.0</v>
      </c>
      <c r="M2351" s="9">
        <v>140.0</v>
      </c>
      <c r="N2351" s="9">
        <v>730.0</v>
      </c>
      <c r="O2351" s="9">
        <v>449.0</v>
      </c>
      <c r="P2351" s="8" t="s">
        <v>3480</v>
      </c>
      <c r="Q2351" s="8" t="s">
        <v>11523</v>
      </c>
      <c r="R2351" s="8" t="s">
        <v>11524</v>
      </c>
    </row>
    <row r="2352">
      <c r="A2352" s="8" t="s">
        <v>2788</v>
      </c>
      <c r="B2352" s="8" t="s">
        <v>13976</v>
      </c>
      <c r="C2352" s="8" t="s">
        <v>13977</v>
      </c>
      <c r="D2352" s="9">
        <v>9.028756691E9</v>
      </c>
      <c r="E2352" s="8" t="s">
        <v>13978</v>
      </c>
      <c r="F2352" s="8" t="s">
        <v>3901</v>
      </c>
      <c r="G2352" s="8" t="s">
        <v>13979</v>
      </c>
      <c r="H2352" s="8" t="s">
        <v>3479</v>
      </c>
      <c r="I2352" s="9">
        <v>0.0</v>
      </c>
      <c r="J2352" s="9">
        <v>1538.0</v>
      </c>
      <c r="K2352" s="9">
        <v>1538.0</v>
      </c>
      <c r="L2352" s="9">
        <v>1538.0</v>
      </c>
      <c r="M2352" s="9">
        <v>155.0</v>
      </c>
      <c r="N2352" s="9">
        <v>784.0</v>
      </c>
      <c r="O2352" s="9">
        <v>599.0</v>
      </c>
      <c r="P2352" s="8" t="s">
        <v>3480</v>
      </c>
      <c r="Q2352" s="8"/>
      <c r="R2352" s="8"/>
    </row>
    <row r="2353">
      <c r="A2353" s="8" t="s">
        <v>2801</v>
      </c>
      <c r="B2353" s="8" t="s">
        <v>13980</v>
      </c>
      <c r="C2353" s="8" t="s">
        <v>13981</v>
      </c>
      <c r="D2353" s="9">
        <v>9.284336648E9</v>
      </c>
      <c r="E2353" s="8" t="s">
        <v>13982</v>
      </c>
      <c r="F2353" s="8" t="s">
        <v>5301</v>
      </c>
      <c r="G2353" s="8" t="s">
        <v>13983</v>
      </c>
      <c r="H2353" s="8" t="s">
        <v>13984</v>
      </c>
      <c r="I2353" s="9">
        <v>0.0</v>
      </c>
      <c r="J2353" s="9">
        <v>3200.0</v>
      </c>
      <c r="K2353" s="9">
        <v>3531.0</v>
      </c>
      <c r="L2353" s="9">
        <v>3200.0</v>
      </c>
      <c r="M2353" s="9">
        <v>2681.0</v>
      </c>
      <c r="N2353" s="9">
        <v>0.0</v>
      </c>
      <c r="O2353" s="9">
        <v>850.0</v>
      </c>
      <c r="P2353" s="8" t="s">
        <v>3519</v>
      </c>
      <c r="Q2353" s="8"/>
      <c r="R2353" s="8"/>
    </row>
    <row r="2354">
      <c r="A2354" s="8" t="s">
        <v>2789</v>
      </c>
      <c r="B2354" s="8" t="s">
        <v>13985</v>
      </c>
      <c r="C2354" s="8" t="s">
        <v>13741</v>
      </c>
      <c r="D2354" s="9">
        <v>9.407107092E9</v>
      </c>
      <c r="E2354" s="8" t="s">
        <v>13742</v>
      </c>
      <c r="F2354" s="8" t="s">
        <v>3486</v>
      </c>
      <c r="G2354" s="8" t="s">
        <v>13743</v>
      </c>
      <c r="H2354" s="8" t="s">
        <v>3479</v>
      </c>
      <c r="I2354" s="9">
        <v>0.0</v>
      </c>
      <c r="J2354" s="9">
        <v>2493.0</v>
      </c>
      <c r="K2354" s="9">
        <v>2493.0</v>
      </c>
      <c r="L2354" s="9">
        <v>2493.0</v>
      </c>
      <c r="M2354" s="9">
        <v>1305.0</v>
      </c>
      <c r="N2354" s="9">
        <v>739.0</v>
      </c>
      <c r="O2354" s="9">
        <v>449.0</v>
      </c>
      <c r="P2354" s="8" t="s">
        <v>3480</v>
      </c>
      <c r="Q2354" s="8" t="s">
        <v>13744</v>
      </c>
      <c r="R2354" s="8" t="s">
        <v>13745</v>
      </c>
    </row>
    <row r="2355">
      <c r="A2355" s="8" t="s">
        <v>1669</v>
      </c>
      <c r="B2355" s="8" t="s">
        <v>13986</v>
      </c>
      <c r="C2355" s="8" t="s">
        <v>9365</v>
      </c>
      <c r="D2355" s="9">
        <v>9.309733792E9</v>
      </c>
      <c r="E2355" s="8" t="s">
        <v>9366</v>
      </c>
      <c r="F2355" s="8" t="s">
        <v>3901</v>
      </c>
      <c r="G2355" s="8" t="s">
        <v>8347</v>
      </c>
      <c r="H2355" s="8" t="s">
        <v>3479</v>
      </c>
      <c r="I2355" s="9">
        <v>0.0</v>
      </c>
      <c r="J2355" s="9">
        <v>5277.0</v>
      </c>
      <c r="K2355" s="9">
        <v>5277.0</v>
      </c>
      <c r="L2355" s="9">
        <v>5277.0</v>
      </c>
      <c r="M2355" s="9">
        <v>4408.0</v>
      </c>
      <c r="N2355" s="9">
        <v>594.0</v>
      </c>
      <c r="O2355" s="9">
        <v>275.0</v>
      </c>
      <c r="P2355" s="8" t="s">
        <v>3480</v>
      </c>
      <c r="Q2355" s="8" t="s">
        <v>9367</v>
      </c>
      <c r="R2355" s="8" t="s">
        <v>4241</v>
      </c>
    </row>
    <row r="2356">
      <c r="A2356" s="8" t="s">
        <v>1670</v>
      </c>
      <c r="B2356" s="8" t="s">
        <v>13987</v>
      </c>
      <c r="C2356" s="8" t="s">
        <v>13988</v>
      </c>
      <c r="D2356" s="9">
        <v>7.529960144E9</v>
      </c>
      <c r="E2356" s="8" t="s">
        <v>13989</v>
      </c>
      <c r="F2356" s="8" t="s">
        <v>5613</v>
      </c>
      <c r="G2356" s="8" t="s">
        <v>13990</v>
      </c>
      <c r="H2356" s="8" t="s">
        <v>3479</v>
      </c>
      <c r="I2356" s="9">
        <v>0.0</v>
      </c>
      <c r="J2356" s="9">
        <v>2102.0</v>
      </c>
      <c r="K2356" s="9">
        <v>2102.0</v>
      </c>
      <c r="L2356" s="9">
        <v>2102.0</v>
      </c>
      <c r="M2356" s="9">
        <v>848.0</v>
      </c>
      <c r="N2356" s="9">
        <v>730.0</v>
      </c>
      <c r="O2356" s="9">
        <v>524.0</v>
      </c>
      <c r="P2356" s="8" t="s">
        <v>3480</v>
      </c>
      <c r="Q2356" s="8" t="s">
        <v>13991</v>
      </c>
      <c r="R2356" s="8" t="s">
        <v>13992</v>
      </c>
    </row>
    <row r="2357">
      <c r="A2357" s="8" t="s">
        <v>1671</v>
      </c>
      <c r="B2357" s="8" t="s">
        <v>13993</v>
      </c>
      <c r="C2357" s="8" t="s">
        <v>13994</v>
      </c>
      <c r="D2357" s="9">
        <v>9.029768558E9</v>
      </c>
      <c r="E2357" s="8" t="s">
        <v>13995</v>
      </c>
      <c r="F2357" s="8" t="s">
        <v>4252</v>
      </c>
      <c r="G2357" s="8" t="s">
        <v>13996</v>
      </c>
      <c r="H2357" s="8" t="s">
        <v>3479</v>
      </c>
      <c r="I2357" s="9">
        <v>0.0</v>
      </c>
      <c r="J2357" s="9">
        <v>1658.0</v>
      </c>
      <c r="K2357" s="9">
        <v>1658.0</v>
      </c>
      <c r="L2357" s="9">
        <v>1658.0</v>
      </c>
      <c r="M2357" s="9">
        <v>159.0</v>
      </c>
      <c r="N2357" s="9">
        <v>900.0</v>
      </c>
      <c r="O2357" s="9">
        <v>599.0</v>
      </c>
      <c r="P2357" s="8" t="s">
        <v>3480</v>
      </c>
      <c r="Q2357" s="8" t="s">
        <v>4381</v>
      </c>
      <c r="R2357" s="8" t="s">
        <v>13997</v>
      </c>
    </row>
    <row r="2358">
      <c r="A2358" s="8" t="s">
        <v>1672</v>
      </c>
      <c r="B2358" s="8" t="s">
        <v>13998</v>
      </c>
      <c r="C2358" s="8" t="s">
        <v>11498</v>
      </c>
      <c r="D2358" s="9">
        <v>7.875605481E9</v>
      </c>
      <c r="E2358" s="8" t="s">
        <v>11499</v>
      </c>
      <c r="F2358" s="8" t="s">
        <v>3653</v>
      </c>
      <c r="G2358" s="8" t="s">
        <v>13999</v>
      </c>
      <c r="H2358" s="8" t="s">
        <v>3479</v>
      </c>
      <c r="I2358" s="9">
        <v>0.0</v>
      </c>
      <c r="J2358" s="9">
        <v>1632.0</v>
      </c>
      <c r="K2358" s="9">
        <v>1632.0</v>
      </c>
      <c r="L2358" s="9">
        <v>1632.0</v>
      </c>
      <c r="M2358" s="9">
        <v>672.0</v>
      </c>
      <c r="N2358" s="9">
        <v>710.0</v>
      </c>
      <c r="O2358" s="9">
        <v>250.0</v>
      </c>
      <c r="P2358" s="8" t="s">
        <v>3480</v>
      </c>
      <c r="Q2358" s="8" t="s">
        <v>11501</v>
      </c>
      <c r="R2358" s="8" t="s">
        <v>11502</v>
      </c>
    </row>
    <row r="2359">
      <c r="A2359" s="8" t="s">
        <v>1673</v>
      </c>
      <c r="B2359" s="8" t="s">
        <v>14000</v>
      </c>
      <c r="C2359" s="8" t="s">
        <v>14001</v>
      </c>
      <c r="D2359" s="9">
        <v>7.822043086E9</v>
      </c>
      <c r="E2359" s="8" t="s">
        <v>14002</v>
      </c>
      <c r="F2359" s="8" t="s">
        <v>3569</v>
      </c>
      <c r="G2359" s="8" t="s">
        <v>14003</v>
      </c>
      <c r="H2359" s="8" t="s">
        <v>3479</v>
      </c>
      <c r="I2359" s="9">
        <v>0.0</v>
      </c>
      <c r="J2359" s="9">
        <v>3996.0</v>
      </c>
      <c r="K2359" s="9">
        <v>3996.0</v>
      </c>
      <c r="L2359" s="9">
        <v>3996.0</v>
      </c>
      <c r="M2359" s="9">
        <v>3172.0</v>
      </c>
      <c r="N2359" s="9">
        <v>0.0</v>
      </c>
      <c r="O2359" s="9">
        <v>824.0</v>
      </c>
      <c r="P2359" s="8" t="s">
        <v>3480</v>
      </c>
      <c r="Q2359" s="8"/>
      <c r="R2359" s="8"/>
    </row>
    <row r="2360">
      <c r="A2360" s="8" t="s">
        <v>2430</v>
      </c>
      <c r="B2360" s="8" t="s">
        <v>14004</v>
      </c>
      <c r="C2360" s="8" t="s">
        <v>14005</v>
      </c>
      <c r="D2360" s="9">
        <v>8.208507298E9</v>
      </c>
      <c r="E2360" s="8" t="s">
        <v>14006</v>
      </c>
      <c r="F2360" s="8" t="s">
        <v>14007</v>
      </c>
      <c r="G2360" s="8" t="s">
        <v>14008</v>
      </c>
      <c r="H2360" s="8" t="s">
        <v>3479</v>
      </c>
      <c r="I2360" s="9">
        <v>0.0</v>
      </c>
      <c r="J2360" s="9">
        <v>1473.0</v>
      </c>
      <c r="K2360" s="9">
        <v>1473.0</v>
      </c>
      <c r="L2360" s="9">
        <v>1473.0</v>
      </c>
      <c r="M2360" s="9">
        <v>240.0</v>
      </c>
      <c r="N2360" s="9">
        <v>784.0</v>
      </c>
      <c r="O2360" s="9">
        <v>449.0</v>
      </c>
      <c r="P2360" s="8" t="s">
        <v>3480</v>
      </c>
      <c r="Q2360" s="8" t="s">
        <v>14009</v>
      </c>
      <c r="R2360" s="8" t="s">
        <v>4241</v>
      </c>
    </row>
    <row r="2361">
      <c r="A2361" s="8" t="s">
        <v>2580</v>
      </c>
      <c r="B2361" s="8" t="s">
        <v>14010</v>
      </c>
      <c r="C2361" s="8" t="s">
        <v>14011</v>
      </c>
      <c r="D2361" s="9">
        <v>9.503140318E9</v>
      </c>
      <c r="E2361" s="8" t="s">
        <v>14012</v>
      </c>
      <c r="F2361" s="8" t="s">
        <v>4093</v>
      </c>
      <c r="G2361" s="8" t="s">
        <v>14013</v>
      </c>
      <c r="H2361" s="8" t="s">
        <v>3479</v>
      </c>
      <c r="I2361" s="9">
        <v>0.0</v>
      </c>
      <c r="J2361" s="9">
        <v>1086.0</v>
      </c>
      <c r="K2361" s="9">
        <v>1086.0</v>
      </c>
      <c r="L2361" s="9">
        <v>1086.0</v>
      </c>
      <c r="M2361" s="9">
        <v>836.0</v>
      </c>
      <c r="N2361" s="9">
        <v>0.0</v>
      </c>
      <c r="O2361" s="9">
        <v>250.0</v>
      </c>
      <c r="P2361" s="8" t="s">
        <v>3480</v>
      </c>
      <c r="Q2361" s="8"/>
      <c r="R2361" s="8"/>
    </row>
    <row r="2362">
      <c r="A2362" s="8" t="s">
        <v>2742</v>
      </c>
      <c r="B2362" s="8" t="s">
        <v>14014</v>
      </c>
      <c r="C2362" s="8" t="s">
        <v>4589</v>
      </c>
      <c r="D2362" s="9">
        <v>8.66868234E9</v>
      </c>
      <c r="E2362" s="8" t="s">
        <v>4590</v>
      </c>
      <c r="F2362" s="8" t="s">
        <v>4093</v>
      </c>
      <c r="G2362" s="8" t="s">
        <v>3494</v>
      </c>
      <c r="H2362" s="8" t="s">
        <v>3479</v>
      </c>
      <c r="I2362" s="9">
        <v>0.0</v>
      </c>
      <c r="J2362" s="9">
        <v>2396.0</v>
      </c>
      <c r="K2362" s="9">
        <v>2396.0</v>
      </c>
      <c r="L2362" s="9">
        <v>2396.0</v>
      </c>
      <c r="M2362" s="9">
        <v>1022.0</v>
      </c>
      <c r="N2362" s="9">
        <v>775.0</v>
      </c>
      <c r="O2362" s="9">
        <v>599.0</v>
      </c>
      <c r="P2362" s="8" t="s">
        <v>3480</v>
      </c>
      <c r="Q2362" s="8" t="s">
        <v>4591</v>
      </c>
      <c r="R2362" s="8" t="s">
        <v>4592</v>
      </c>
    </row>
    <row r="2363">
      <c r="A2363" s="8" t="s">
        <v>2772</v>
      </c>
      <c r="B2363" s="8" t="s">
        <v>14015</v>
      </c>
      <c r="C2363" s="8" t="s">
        <v>14016</v>
      </c>
      <c r="D2363" s="9">
        <v>9.890196118E9</v>
      </c>
      <c r="E2363" s="8" t="s">
        <v>14017</v>
      </c>
      <c r="F2363" s="8" t="s">
        <v>3608</v>
      </c>
      <c r="G2363" s="8" t="s">
        <v>14018</v>
      </c>
      <c r="H2363" s="8" t="s">
        <v>3479</v>
      </c>
      <c r="I2363" s="9">
        <v>0.0</v>
      </c>
      <c r="J2363" s="9">
        <v>2166.0</v>
      </c>
      <c r="K2363" s="9">
        <v>2166.0</v>
      </c>
      <c r="L2363" s="9">
        <v>2166.0</v>
      </c>
      <c r="M2363" s="9">
        <v>978.0</v>
      </c>
      <c r="N2363" s="9">
        <v>739.0</v>
      </c>
      <c r="O2363" s="9">
        <v>449.0</v>
      </c>
      <c r="P2363" s="8" t="s">
        <v>3480</v>
      </c>
      <c r="Q2363" s="8" t="s">
        <v>14019</v>
      </c>
      <c r="R2363" s="8" t="s">
        <v>14020</v>
      </c>
    </row>
    <row r="2364">
      <c r="A2364" s="8" t="s">
        <v>1666</v>
      </c>
      <c r="B2364" s="8" t="s">
        <v>14021</v>
      </c>
      <c r="C2364" s="8" t="s">
        <v>14022</v>
      </c>
      <c r="D2364" s="9">
        <v>8.308576125E9</v>
      </c>
      <c r="E2364" s="8" t="s">
        <v>14023</v>
      </c>
      <c r="F2364" s="8" t="s">
        <v>5613</v>
      </c>
      <c r="G2364" s="8" t="s">
        <v>14024</v>
      </c>
      <c r="H2364" s="8" t="s">
        <v>3479</v>
      </c>
      <c r="I2364" s="9">
        <v>0.0</v>
      </c>
      <c r="J2364" s="9">
        <v>1594.0</v>
      </c>
      <c r="K2364" s="9">
        <v>1594.0</v>
      </c>
      <c r="L2364" s="9">
        <v>1594.0</v>
      </c>
      <c r="M2364" s="9">
        <v>530.0</v>
      </c>
      <c r="N2364" s="9">
        <v>540.0</v>
      </c>
      <c r="O2364" s="9">
        <v>524.0</v>
      </c>
      <c r="P2364" s="8" t="s">
        <v>3480</v>
      </c>
      <c r="Q2364" s="8"/>
      <c r="R2364" s="8"/>
    </row>
    <row r="2365">
      <c r="A2365" s="8" t="s">
        <v>2773</v>
      </c>
      <c r="B2365" s="8" t="s">
        <v>14025</v>
      </c>
      <c r="C2365" s="8" t="s">
        <v>14026</v>
      </c>
      <c r="D2365" s="9">
        <v>8.554972505E9</v>
      </c>
      <c r="E2365" s="8" t="s">
        <v>14027</v>
      </c>
      <c r="F2365" s="8" t="s">
        <v>4391</v>
      </c>
      <c r="G2365" s="8" t="s">
        <v>14028</v>
      </c>
      <c r="H2365" s="8" t="s">
        <v>3479</v>
      </c>
      <c r="I2365" s="9">
        <v>0.0</v>
      </c>
      <c r="J2365" s="9">
        <v>1524.0</v>
      </c>
      <c r="K2365" s="9">
        <v>1524.0</v>
      </c>
      <c r="L2365" s="9">
        <v>1524.0</v>
      </c>
      <c r="M2365" s="9">
        <v>336.0</v>
      </c>
      <c r="N2365" s="9">
        <v>739.0</v>
      </c>
      <c r="O2365" s="9">
        <v>449.0</v>
      </c>
      <c r="P2365" s="8" t="s">
        <v>3480</v>
      </c>
      <c r="Q2365" s="8" t="s">
        <v>14029</v>
      </c>
      <c r="R2365" s="8" t="s">
        <v>14030</v>
      </c>
    </row>
    <row r="2366">
      <c r="A2366" s="8" t="s">
        <v>2584</v>
      </c>
      <c r="B2366" s="8" t="s">
        <v>14031</v>
      </c>
      <c r="C2366" s="8" t="s">
        <v>14032</v>
      </c>
      <c r="D2366" s="9">
        <v>9.970724746E9</v>
      </c>
      <c r="E2366" s="8" t="s">
        <v>14033</v>
      </c>
      <c r="F2366" s="8" t="s">
        <v>4507</v>
      </c>
      <c r="G2366" s="8" t="s">
        <v>14034</v>
      </c>
      <c r="H2366" s="8" t="s">
        <v>3479</v>
      </c>
      <c r="I2366" s="9">
        <v>0.0</v>
      </c>
      <c r="J2366" s="9">
        <v>4655.0</v>
      </c>
      <c r="K2366" s="9">
        <v>4655.0</v>
      </c>
      <c r="L2366" s="9">
        <v>4655.0</v>
      </c>
      <c r="M2366" s="9">
        <v>1873.0</v>
      </c>
      <c r="N2366" s="9">
        <v>1533.0</v>
      </c>
      <c r="O2366" s="9">
        <v>1249.0</v>
      </c>
      <c r="P2366" s="8" t="s">
        <v>3544</v>
      </c>
      <c r="Q2366" s="8" t="s">
        <v>14035</v>
      </c>
      <c r="R2366" s="8"/>
    </row>
    <row r="2367">
      <c r="A2367" s="8" t="s">
        <v>576</v>
      </c>
      <c r="B2367" s="8" t="s">
        <v>14036</v>
      </c>
      <c r="C2367" s="8" t="s">
        <v>14037</v>
      </c>
      <c r="D2367" s="9">
        <v>9.88120121E9</v>
      </c>
      <c r="E2367" s="8" t="s">
        <v>14038</v>
      </c>
      <c r="F2367" s="8" t="s">
        <v>3697</v>
      </c>
      <c r="G2367" s="8" t="s">
        <v>14039</v>
      </c>
      <c r="H2367" s="8" t="s">
        <v>3479</v>
      </c>
      <c r="I2367" s="9">
        <v>0.0</v>
      </c>
      <c r="J2367" s="9">
        <v>2136.0</v>
      </c>
      <c r="K2367" s="9">
        <v>2136.0</v>
      </c>
      <c r="L2367" s="9">
        <v>2136.0</v>
      </c>
      <c r="M2367" s="9">
        <v>2011.0</v>
      </c>
      <c r="N2367" s="9">
        <v>0.0</v>
      </c>
      <c r="O2367" s="9">
        <v>125.0</v>
      </c>
      <c r="P2367" s="8" t="s">
        <v>3480</v>
      </c>
      <c r="Q2367" s="8"/>
      <c r="R2367" s="8"/>
    </row>
    <row r="2368">
      <c r="A2368" s="8" t="s">
        <v>2784</v>
      </c>
      <c r="B2368" s="8" t="s">
        <v>14040</v>
      </c>
      <c r="C2368" s="8" t="s">
        <v>14041</v>
      </c>
      <c r="D2368" s="9">
        <v>9.82246538E9</v>
      </c>
      <c r="E2368" s="8" t="s">
        <v>14042</v>
      </c>
      <c r="F2368" s="8" t="s">
        <v>6455</v>
      </c>
      <c r="G2368" s="8" t="s">
        <v>14043</v>
      </c>
      <c r="H2368" s="8" t="s">
        <v>3479</v>
      </c>
      <c r="I2368" s="9">
        <v>0.0</v>
      </c>
      <c r="J2368" s="9">
        <v>2175.0</v>
      </c>
      <c r="K2368" s="9">
        <v>2175.0</v>
      </c>
      <c r="L2368" s="9">
        <v>2175.0</v>
      </c>
      <c r="M2368" s="9">
        <v>1800.0</v>
      </c>
      <c r="N2368" s="9">
        <v>0.0</v>
      </c>
      <c r="O2368" s="9">
        <v>375.0</v>
      </c>
      <c r="P2368" s="8" t="s">
        <v>3480</v>
      </c>
      <c r="Q2368" s="8"/>
      <c r="R2368" s="8"/>
    </row>
    <row r="2369">
      <c r="A2369" s="8" t="s">
        <v>2585</v>
      </c>
      <c r="B2369" s="8" t="s">
        <v>14044</v>
      </c>
      <c r="C2369" s="8" t="s">
        <v>14045</v>
      </c>
      <c r="D2369" s="9">
        <v>9.881436835E9</v>
      </c>
      <c r="E2369" s="8" t="s">
        <v>14046</v>
      </c>
      <c r="F2369" s="8" t="s">
        <v>3881</v>
      </c>
      <c r="G2369" s="8" t="s">
        <v>14047</v>
      </c>
      <c r="H2369" s="8" t="s">
        <v>3479</v>
      </c>
      <c r="I2369" s="9">
        <v>0.0</v>
      </c>
      <c r="J2369" s="9">
        <v>1989.0</v>
      </c>
      <c r="K2369" s="9">
        <v>1989.0</v>
      </c>
      <c r="L2369" s="9">
        <v>1989.0</v>
      </c>
      <c r="M2369" s="9">
        <v>655.0</v>
      </c>
      <c r="N2369" s="9">
        <v>730.0</v>
      </c>
      <c r="O2369" s="9">
        <v>604.0</v>
      </c>
      <c r="P2369" s="8" t="s">
        <v>3480</v>
      </c>
      <c r="Q2369" s="8" t="s">
        <v>14048</v>
      </c>
      <c r="R2369" s="8" t="s">
        <v>14049</v>
      </c>
    </row>
    <row r="2370">
      <c r="A2370" s="8" t="s">
        <v>2821</v>
      </c>
      <c r="B2370" s="8" t="s">
        <v>14050</v>
      </c>
      <c r="C2370" s="8" t="s">
        <v>9878</v>
      </c>
      <c r="D2370" s="9">
        <v>7.020314454E9</v>
      </c>
      <c r="E2370" s="8" t="s">
        <v>14051</v>
      </c>
      <c r="F2370" s="8" t="s">
        <v>4391</v>
      </c>
      <c r="G2370" s="8" t="s">
        <v>14052</v>
      </c>
      <c r="H2370" s="8" t="s">
        <v>3479</v>
      </c>
      <c r="I2370" s="9">
        <v>0.0</v>
      </c>
      <c r="J2370" s="9">
        <v>1521.0</v>
      </c>
      <c r="K2370" s="9">
        <v>1521.0</v>
      </c>
      <c r="L2370" s="9">
        <v>1521.0</v>
      </c>
      <c r="M2370" s="9">
        <v>333.0</v>
      </c>
      <c r="N2370" s="9">
        <v>739.0</v>
      </c>
      <c r="O2370" s="9">
        <v>449.0</v>
      </c>
      <c r="P2370" s="8" t="s">
        <v>3480</v>
      </c>
      <c r="Q2370" s="8" t="s">
        <v>14053</v>
      </c>
      <c r="R2370" s="8" t="s">
        <v>14054</v>
      </c>
    </row>
    <row r="2371">
      <c r="A2371" s="8" t="s">
        <v>2785</v>
      </c>
      <c r="B2371" s="8" t="s">
        <v>14055</v>
      </c>
      <c r="C2371" s="8" t="s">
        <v>8287</v>
      </c>
      <c r="D2371" s="9">
        <v>7.875503847E9</v>
      </c>
      <c r="E2371" s="8" t="s">
        <v>8288</v>
      </c>
      <c r="F2371" s="8" t="s">
        <v>3714</v>
      </c>
      <c r="G2371" s="8" t="s">
        <v>14056</v>
      </c>
      <c r="H2371" s="8" t="s">
        <v>3479</v>
      </c>
      <c r="I2371" s="9">
        <v>0.0</v>
      </c>
      <c r="J2371" s="9">
        <v>2240.0</v>
      </c>
      <c r="K2371" s="9">
        <v>2240.0</v>
      </c>
      <c r="L2371" s="9">
        <v>2240.0</v>
      </c>
      <c r="M2371" s="9">
        <v>601.0</v>
      </c>
      <c r="N2371" s="9">
        <v>765.0</v>
      </c>
      <c r="O2371" s="9">
        <v>874.0</v>
      </c>
      <c r="P2371" s="8" t="s">
        <v>3480</v>
      </c>
      <c r="Q2371" s="8"/>
      <c r="R2371" s="8"/>
    </row>
    <row r="2372">
      <c r="A2372" s="8" t="s">
        <v>2583</v>
      </c>
      <c r="B2372" s="8" t="s">
        <v>14057</v>
      </c>
      <c r="C2372" s="8" t="s">
        <v>9533</v>
      </c>
      <c r="D2372" s="9">
        <v>9.970724746E9</v>
      </c>
      <c r="E2372" s="8" t="s">
        <v>14058</v>
      </c>
      <c r="F2372" s="8" t="s">
        <v>3881</v>
      </c>
      <c r="G2372" s="8" t="s">
        <v>14059</v>
      </c>
      <c r="H2372" s="8" t="s">
        <v>3479</v>
      </c>
      <c r="I2372" s="9">
        <v>0.0</v>
      </c>
      <c r="J2372" s="9">
        <v>2715.0</v>
      </c>
      <c r="K2372" s="9">
        <v>2715.0</v>
      </c>
      <c r="L2372" s="9">
        <v>2715.0</v>
      </c>
      <c r="M2372" s="9">
        <v>1541.0</v>
      </c>
      <c r="N2372" s="9">
        <v>650.0</v>
      </c>
      <c r="O2372" s="9">
        <v>524.0</v>
      </c>
      <c r="P2372" s="8" t="s">
        <v>3480</v>
      </c>
      <c r="Q2372" s="8"/>
      <c r="R2372" s="8"/>
    </row>
    <row r="2373">
      <c r="A2373" s="8" t="s">
        <v>2786</v>
      </c>
      <c r="B2373" s="8" t="s">
        <v>14060</v>
      </c>
      <c r="C2373" s="8" t="s">
        <v>7568</v>
      </c>
      <c r="D2373" s="9">
        <v>9.422312026E9</v>
      </c>
      <c r="E2373" s="8" t="s">
        <v>8603</v>
      </c>
      <c r="F2373" s="8" t="s">
        <v>3523</v>
      </c>
      <c r="G2373" s="8" t="s">
        <v>14061</v>
      </c>
      <c r="H2373" s="8" t="s">
        <v>3479</v>
      </c>
      <c r="I2373" s="9">
        <v>0.0</v>
      </c>
      <c r="J2373" s="9">
        <v>2599.0</v>
      </c>
      <c r="K2373" s="9">
        <v>2599.0</v>
      </c>
      <c r="L2373" s="9">
        <v>2599.0</v>
      </c>
      <c r="M2373" s="9">
        <v>2075.0</v>
      </c>
      <c r="N2373" s="9">
        <v>0.0</v>
      </c>
      <c r="O2373" s="9">
        <v>524.0</v>
      </c>
      <c r="P2373" s="8" t="s">
        <v>3480</v>
      </c>
      <c r="Q2373" s="8" t="s">
        <v>8605</v>
      </c>
      <c r="R2373" s="8" t="s">
        <v>8606</v>
      </c>
    </row>
    <row r="2374">
      <c r="A2374" s="8" t="s">
        <v>2790</v>
      </c>
      <c r="B2374" s="8" t="s">
        <v>14062</v>
      </c>
      <c r="C2374" s="8" t="s">
        <v>14063</v>
      </c>
      <c r="D2374" s="9">
        <v>8.655852067E9</v>
      </c>
      <c r="E2374" s="8" t="s">
        <v>14064</v>
      </c>
      <c r="F2374" s="8" t="s">
        <v>3608</v>
      </c>
      <c r="G2374" s="8" t="s">
        <v>14065</v>
      </c>
      <c r="H2374" s="8" t="s">
        <v>3479</v>
      </c>
      <c r="I2374" s="9">
        <v>0.0</v>
      </c>
      <c r="J2374" s="9">
        <v>3221.0</v>
      </c>
      <c r="K2374" s="9">
        <v>3221.0</v>
      </c>
      <c r="L2374" s="9">
        <v>3221.0</v>
      </c>
      <c r="M2374" s="9">
        <v>2033.0</v>
      </c>
      <c r="N2374" s="9">
        <v>739.0</v>
      </c>
      <c r="O2374" s="9">
        <v>449.0</v>
      </c>
      <c r="P2374" s="8" t="s">
        <v>3480</v>
      </c>
      <c r="Q2374" s="8"/>
      <c r="R2374" s="8"/>
    </row>
    <row r="2375">
      <c r="A2375" s="8" t="s">
        <v>2791</v>
      </c>
      <c r="B2375" s="8" t="s">
        <v>14066</v>
      </c>
      <c r="C2375" s="8" t="s">
        <v>12608</v>
      </c>
      <c r="D2375" s="9">
        <v>8.766884095E9</v>
      </c>
      <c r="E2375" s="8" t="s">
        <v>12609</v>
      </c>
      <c r="F2375" s="8" t="s">
        <v>3908</v>
      </c>
      <c r="G2375" s="8" t="s">
        <v>14067</v>
      </c>
      <c r="H2375" s="8" t="s">
        <v>3479</v>
      </c>
      <c r="I2375" s="9">
        <v>0.0</v>
      </c>
      <c r="J2375" s="9">
        <v>1518.0</v>
      </c>
      <c r="K2375" s="9">
        <v>1518.0</v>
      </c>
      <c r="L2375" s="9">
        <v>1518.0</v>
      </c>
      <c r="M2375" s="9">
        <v>135.0</v>
      </c>
      <c r="N2375" s="9">
        <v>784.0</v>
      </c>
      <c r="O2375" s="9">
        <v>599.0</v>
      </c>
      <c r="P2375" s="8" t="s">
        <v>3480</v>
      </c>
      <c r="Q2375" s="8"/>
      <c r="R2375" s="8"/>
    </row>
    <row r="2376">
      <c r="A2376" s="8" t="s">
        <v>2587</v>
      </c>
      <c r="B2376" s="8" t="s">
        <v>14068</v>
      </c>
      <c r="C2376" s="8" t="s">
        <v>4845</v>
      </c>
      <c r="D2376" s="9">
        <v>8.766884095E9</v>
      </c>
      <c r="E2376" s="8" t="s">
        <v>14069</v>
      </c>
      <c r="F2376" s="8" t="s">
        <v>3486</v>
      </c>
      <c r="G2376" s="8" t="s">
        <v>14070</v>
      </c>
      <c r="H2376" s="8" t="s">
        <v>3479</v>
      </c>
      <c r="I2376" s="9">
        <v>0.0</v>
      </c>
      <c r="J2376" s="9">
        <v>2584.0</v>
      </c>
      <c r="K2376" s="9">
        <v>2584.0</v>
      </c>
      <c r="L2376" s="9">
        <v>2584.0</v>
      </c>
      <c r="M2376" s="9">
        <v>1280.0</v>
      </c>
      <c r="N2376" s="9">
        <v>730.0</v>
      </c>
      <c r="O2376" s="9">
        <v>574.0</v>
      </c>
      <c r="P2376" s="8" t="s">
        <v>3480</v>
      </c>
      <c r="Q2376" s="8" t="s">
        <v>14071</v>
      </c>
      <c r="R2376" s="8" t="s">
        <v>14072</v>
      </c>
    </row>
    <row r="2377">
      <c r="A2377" s="8" t="s">
        <v>2792</v>
      </c>
      <c r="B2377" s="8" t="s">
        <v>14073</v>
      </c>
      <c r="C2377" s="8" t="s">
        <v>14074</v>
      </c>
      <c r="D2377" s="9">
        <v>9.657108764E9</v>
      </c>
      <c r="E2377" s="8" t="s">
        <v>14075</v>
      </c>
      <c r="F2377" s="8" t="s">
        <v>10064</v>
      </c>
      <c r="G2377" s="8" t="s">
        <v>14076</v>
      </c>
      <c r="H2377" s="8" t="s">
        <v>3479</v>
      </c>
      <c r="I2377" s="9">
        <v>0.0</v>
      </c>
      <c r="J2377" s="9">
        <v>1607.0</v>
      </c>
      <c r="K2377" s="9">
        <v>1607.0</v>
      </c>
      <c r="L2377" s="9">
        <v>1607.0</v>
      </c>
      <c r="M2377" s="9">
        <v>668.0</v>
      </c>
      <c r="N2377" s="9">
        <v>190.0</v>
      </c>
      <c r="O2377" s="9">
        <v>749.0</v>
      </c>
      <c r="P2377" s="8" t="s">
        <v>3480</v>
      </c>
      <c r="Q2377" s="8" t="s">
        <v>14077</v>
      </c>
      <c r="R2377" s="8" t="s">
        <v>14078</v>
      </c>
    </row>
    <row r="2378">
      <c r="A2378" s="8" t="s">
        <v>2588</v>
      </c>
      <c r="B2378" s="8" t="s">
        <v>14079</v>
      </c>
      <c r="C2378" s="8" t="s">
        <v>7047</v>
      </c>
      <c r="D2378" s="9">
        <v>8.600190953E9</v>
      </c>
      <c r="E2378" s="8" t="s">
        <v>7048</v>
      </c>
      <c r="F2378" s="8" t="s">
        <v>3498</v>
      </c>
      <c r="G2378" s="8" t="s">
        <v>7049</v>
      </c>
      <c r="H2378" s="8" t="s">
        <v>3479</v>
      </c>
      <c r="I2378" s="9">
        <v>0.0</v>
      </c>
      <c r="J2378" s="9">
        <v>1737.0</v>
      </c>
      <c r="K2378" s="9">
        <v>1737.0</v>
      </c>
      <c r="L2378" s="9">
        <v>1737.0</v>
      </c>
      <c r="M2378" s="9">
        <v>483.0</v>
      </c>
      <c r="N2378" s="9">
        <v>730.0</v>
      </c>
      <c r="O2378" s="9">
        <v>524.0</v>
      </c>
      <c r="P2378" s="8" t="s">
        <v>3480</v>
      </c>
      <c r="Q2378" s="8" t="s">
        <v>7050</v>
      </c>
      <c r="R2378" s="8" t="s">
        <v>7051</v>
      </c>
    </row>
    <row r="2379">
      <c r="A2379" s="8" t="s">
        <v>2828</v>
      </c>
      <c r="B2379" s="8" t="s">
        <v>14080</v>
      </c>
      <c r="C2379" s="8" t="s">
        <v>5437</v>
      </c>
      <c r="D2379" s="9">
        <v>7.709551262E9</v>
      </c>
      <c r="E2379" s="8" t="s">
        <v>5438</v>
      </c>
      <c r="F2379" s="8" t="s">
        <v>4391</v>
      </c>
      <c r="G2379" s="8" t="s">
        <v>14081</v>
      </c>
      <c r="H2379" s="8" t="s">
        <v>3479</v>
      </c>
      <c r="I2379" s="9">
        <v>0.0</v>
      </c>
      <c r="J2379" s="9">
        <v>609.0</v>
      </c>
      <c r="K2379" s="9">
        <v>609.0</v>
      </c>
      <c r="L2379" s="9">
        <v>609.0</v>
      </c>
      <c r="M2379" s="9">
        <v>80.0</v>
      </c>
      <c r="N2379" s="9">
        <v>80.0</v>
      </c>
      <c r="O2379" s="9">
        <v>449.0</v>
      </c>
      <c r="P2379" s="8" t="s">
        <v>3480</v>
      </c>
      <c r="Q2379" s="8"/>
      <c r="R2379" s="8"/>
    </row>
    <row r="2380">
      <c r="A2380" s="8" t="s">
        <v>2589</v>
      </c>
      <c r="B2380" s="8" t="s">
        <v>14082</v>
      </c>
      <c r="C2380" s="8" t="s">
        <v>14083</v>
      </c>
      <c r="D2380" s="9">
        <v>9.325253872E9</v>
      </c>
      <c r="E2380" s="8" t="s">
        <v>14084</v>
      </c>
      <c r="F2380" s="8" t="s">
        <v>3601</v>
      </c>
      <c r="G2380" s="8" t="s">
        <v>14085</v>
      </c>
      <c r="H2380" s="8" t="s">
        <v>3479</v>
      </c>
      <c r="I2380" s="9">
        <v>0.0</v>
      </c>
      <c r="J2380" s="9">
        <v>1508.0</v>
      </c>
      <c r="K2380" s="9">
        <v>1508.0</v>
      </c>
      <c r="L2380" s="9">
        <v>1508.0</v>
      </c>
      <c r="M2380" s="9">
        <v>329.0</v>
      </c>
      <c r="N2380" s="9">
        <v>730.0</v>
      </c>
      <c r="O2380" s="9">
        <v>449.0</v>
      </c>
      <c r="P2380" s="8" t="s">
        <v>3480</v>
      </c>
      <c r="Q2380" s="8"/>
      <c r="R2380" s="8"/>
    </row>
    <row r="2381">
      <c r="A2381" s="8" t="s">
        <v>2590</v>
      </c>
      <c r="B2381" s="8" t="s">
        <v>14086</v>
      </c>
      <c r="C2381" s="8" t="s">
        <v>5649</v>
      </c>
      <c r="D2381" s="9">
        <v>9.685364477E9</v>
      </c>
      <c r="E2381" s="8" t="s">
        <v>14087</v>
      </c>
      <c r="F2381" s="8" t="s">
        <v>3677</v>
      </c>
      <c r="G2381" s="8" t="s">
        <v>3494</v>
      </c>
      <c r="H2381" s="8" t="s">
        <v>3479</v>
      </c>
      <c r="I2381" s="9">
        <v>0.0</v>
      </c>
      <c r="J2381" s="9">
        <v>7880.0</v>
      </c>
      <c r="K2381" s="9">
        <v>7880.0</v>
      </c>
      <c r="L2381" s="9">
        <v>7880.0</v>
      </c>
      <c r="M2381" s="9">
        <v>5243.0</v>
      </c>
      <c r="N2381" s="9">
        <v>1288.0</v>
      </c>
      <c r="O2381" s="9">
        <v>1349.0</v>
      </c>
      <c r="P2381" s="8" t="s">
        <v>3480</v>
      </c>
      <c r="Q2381" s="8" t="s">
        <v>14088</v>
      </c>
      <c r="R2381" s="8" t="s">
        <v>14089</v>
      </c>
    </row>
    <row r="2382">
      <c r="A2382" s="8" t="s">
        <v>2846</v>
      </c>
      <c r="B2382" s="8" t="s">
        <v>14090</v>
      </c>
      <c r="C2382" s="8" t="s">
        <v>14091</v>
      </c>
      <c r="D2382" s="9">
        <v>9.762875232E9</v>
      </c>
      <c r="E2382" s="8" t="s">
        <v>14092</v>
      </c>
      <c r="F2382" s="8" t="s">
        <v>4645</v>
      </c>
      <c r="G2382" s="8" t="s">
        <v>14093</v>
      </c>
      <c r="H2382" s="8" t="s">
        <v>3479</v>
      </c>
      <c r="I2382" s="9">
        <v>0.0</v>
      </c>
      <c r="J2382" s="9">
        <v>1537.0</v>
      </c>
      <c r="K2382" s="9">
        <v>1537.0</v>
      </c>
      <c r="L2382" s="9">
        <v>1537.0</v>
      </c>
      <c r="M2382" s="9">
        <v>358.0</v>
      </c>
      <c r="N2382" s="9">
        <v>730.0</v>
      </c>
      <c r="O2382" s="9">
        <v>449.0</v>
      </c>
      <c r="P2382" s="8" t="s">
        <v>3480</v>
      </c>
      <c r="Q2382" s="8" t="s">
        <v>14094</v>
      </c>
      <c r="R2382" s="8" t="s">
        <v>14095</v>
      </c>
    </row>
    <row r="2383">
      <c r="A2383" s="8" t="s">
        <v>2591</v>
      </c>
      <c r="B2383" s="8" t="s">
        <v>14096</v>
      </c>
      <c r="C2383" s="8" t="s">
        <v>14097</v>
      </c>
      <c r="D2383" s="9">
        <v>8.770196499E9</v>
      </c>
      <c r="E2383" s="8" t="s">
        <v>14098</v>
      </c>
      <c r="F2383" s="8" t="s">
        <v>3608</v>
      </c>
      <c r="G2383" s="8" t="s">
        <v>14099</v>
      </c>
      <c r="H2383" s="8" t="s">
        <v>3479</v>
      </c>
      <c r="I2383" s="9">
        <v>0.0</v>
      </c>
      <c r="J2383" s="9">
        <v>1069.0</v>
      </c>
      <c r="K2383" s="9">
        <v>1069.0</v>
      </c>
      <c r="L2383" s="9">
        <v>1069.0</v>
      </c>
      <c r="M2383" s="9">
        <v>80.0</v>
      </c>
      <c r="N2383" s="9">
        <v>540.0</v>
      </c>
      <c r="O2383" s="9">
        <v>449.0</v>
      </c>
      <c r="P2383" s="8" t="s">
        <v>3480</v>
      </c>
      <c r="Q2383" s="8" t="s">
        <v>14100</v>
      </c>
      <c r="R2383" s="8" t="s">
        <v>14101</v>
      </c>
    </row>
    <row r="2384">
      <c r="A2384" s="8" t="s">
        <v>2851</v>
      </c>
      <c r="B2384" s="8" t="s">
        <v>14102</v>
      </c>
      <c r="C2384" s="8" t="s">
        <v>8962</v>
      </c>
      <c r="D2384" s="9">
        <v>9.970900021E9</v>
      </c>
      <c r="E2384" s="8" t="s">
        <v>8963</v>
      </c>
      <c r="F2384" s="8" t="s">
        <v>4645</v>
      </c>
      <c r="G2384" s="8" t="s">
        <v>14103</v>
      </c>
      <c r="H2384" s="8" t="s">
        <v>3479</v>
      </c>
      <c r="I2384" s="9">
        <v>0.0</v>
      </c>
      <c r="J2384" s="9">
        <v>1543.0</v>
      </c>
      <c r="K2384" s="9">
        <v>1543.0</v>
      </c>
      <c r="L2384" s="9">
        <v>1543.0</v>
      </c>
      <c r="M2384" s="9">
        <v>364.0</v>
      </c>
      <c r="N2384" s="9">
        <v>730.0</v>
      </c>
      <c r="O2384" s="9">
        <v>449.0</v>
      </c>
      <c r="P2384" s="8" t="s">
        <v>3480</v>
      </c>
      <c r="Q2384" s="8" t="s">
        <v>8965</v>
      </c>
      <c r="R2384" s="8" t="s">
        <v>8966</v>
      </c>
    </row>
    <row r="2385">
      <c r="A2385" s="8" t="s">
        <v>2852</v>
      </c>
      <c r="B2385" s="8" t="s">
        <v>14104</v>
      </c>
      <c r="C2385" s="8" t="s">
        <v>14105</v>
      </c>
      <c r="D2385" s="9">
        <v>9.049816258E9</v>
      </c>
      <c r="E2385" s="8" t="s">
        <v>14106</v>
      </c>
      <c r="F2385" s="8" t="s">
        <v>3509</v>
      </c>
      <c r="G2385" s="8" t="s">
        <v>14107</v>
      </c>
      <c r="H2385" s="8" t="s">
        <v>3479</v>
      </c>
      <c r="I2385" s="9">
        <v>0.0</v>
      </c>
      <c r="J2385" s="9">
        <v>1189.0</v>
      </c>
      <c r="K2385" s="9">
        <v>1189.0</v>
      </c>
      <c r="L2385" s="9">
        <v>1189.0</v>
      </c>
      <c r="M2385" s="9">
        <v>80.0</v>
      </c>
      <c r="N2385" s="9">
        <v>660.0</v>
      </c>
      <c r="O2385" s="9">
        <v>449.0</v>
      </c>
      <c r="P2385" s="8" t="s">
        <v>3480</v>
      </c>
      <c r="Q2385" s="8" t="s">
        <v>14108</v>
      </c>
      <c r="R2385" s="8"/>
    </row>
    <row r="2386">
      <c r="A2386" s="8" t="s">
        <v>2857</v>
      </c>
      <c r="B2386" s="8" t="s">
        <v>14109</v>
      </c>
      <c r="C2386" s="8" t="s">
        <v>14110</v>
      </c>
      <c r="D2386" s="9">
        <v>7.79848888E9</v>
      </c>
      <c r="E2386" s="8" t="s">
        <v>14111</v>
      </c>
      <c r="F2386" s="8" t="s">
        <v>3589</v>
      </c>
      <c r="G2386" s="8" t="s">
        <v>14112</v>
      </c>
      <c r="H2386" s="8" t="s">
        <v>3479</v>
      </c>
      <c r="I2386" s="9">
        <v>0.0</v>
      </c>
      <c r="J2386" s="9">
        <v>3013.0</v>
      </c>
      <c r="K2386" s="9">
        <v>3013.0</v>
      </c>
      <c r="L2386" s="9">
        <v>3013.0</v>
      </c>
      <c r="M2386" s="9">
        <v>2489.0</v>
      </c>
      <c r="N2386" s="9">
        <v>0.0</v>
      </c>
      <c r="O2386" s="9">
        <v>524.0</v>
      </c>
      <c r="P2386" s="8" t="s">
        <v>3480</v>
      </c>
      <c r="Q2386" s="8"/>
      <c r="R2386" s="8"/>
    </row>
    <row r="2387">
      <c r="A2387" s="8" t="s">
        <v>2592</v>
      </c>
      <c r="B2387" s="8" t="s">
        <v>14113</v>
      </c>
      <c r="C2387" s="8" t="s">
        <v>14114</v>
      </c>
      <c r="D2387" s="9">
        <v>9.265961513E9</v>
      </c>
      <c r="E2387" s="8" t="s">
        <v>14115</v>
      </c>
      <c r="F2387" s="8" t="s">
        <v>3821</v>
      </c>
      <c r="G2387" s="8" t="s">
        <v>14116</v>
      </c>
      <c r="H2387" s="8" t="s">
        <v>3479</v>
      </c>
      <c r="I2387" s="9">
        <v>0.0</v>
      </c>
      <c r="J2387" s="9">
        <v>1693.0</v>
      </c>
      <c r="K2387" s="9">
        <v>1693.0</v>
      </c>
      <c r="L2387" s="9">
        <v>1693.0</v>
      </c>
      <c r="M2387" s="9">
        <v>450.0</v>
      </c>
      <c r="N2387" s="9">
        <v>719.0</v>
      </c>
      <c r="O2387" s="9">
        <v>524.0</v>
      </c>
      <c r="P2387" s="8" t="s">
        <v>3480</v>
      </c>
      <c r="Q2387" s="8" t="s">
        <v>14117</v>
      </c>
      <c r="R2387" s="8" t="s">
        <v>14118</v>
      </c>
    </row>
    <row r="2388">
      <c r="A2388" s="8" t="s">
        <v>2593</v>
      </c>
      <c r="B2388" s="8" t="s">
        <v>14119</v>
      </c>
      <c r="C2388" s="8" t="s">
        <v>14120</v>
      </c>
      <c r="D2388" s="9">
        <v>9.930818619E9</v>
      </c>
      <c r="E2388" s="8" t="s">
        <v>14121</v>
      </c>
      <c r="F2388" s="8" t="s">
        <v>4366</v>
      </c>
      <c r="G2388" s="8" t="s">
        <v>14122</v>
      </c>
      <c r="H2388" s="8" t="s">
        <v>3479</v>
      </c>
      <c r="I2388" s="9">
        <v>0.0</v>
      </c>
      <c r="J2388" s="9">
        <v>16196.0</v>
      </c>
      <c r="K2388" s="9">
        <v>16196.0</v>
      </c>
      <c r="L2388" s="9">
        <v>16196.0</v>
      </c>
      <c r="M2388" s="9">
        <v>14058.0</v>
      </c>
      <c r="N2388" s="9">
        <v>914.0</v>
      </c>
      <c r="O2388" s="9">
        <v>1224.0</v>
      </c>
      <c r="P2388" s="8" t="s">
        <v>3480</v>
      </c>
      <c r="Q2388" s="8" t="s">
        <v>14123</v>
      </c>
      <c r="R2388" s="8" t="s">
        <v>14124</v>
      </c>
    </row>
    <row r="2389">
      <c r="A2389" s="8" t="s">
        <v>2853</v>
      </c>
      <c r="B2389" s="8" t="s">
        <v>14125</v>
      </c>
      <c r="C2389" s="8" t="s">
        <v>14126</v>
      </c>
      <c r="D2389" s="9">
        <v>9.561491402E9</v>
      </c>
      <c r="E2389" s="8" t="s">
        <v>14127</v>
      </c>
      <c r="F2389" s="8" t="s">
        <v>3977</v>
      </c>
      <c r="G2389" s="8" t="s">
        <v>14128</v>
      </c>
      <c r="H2389" s="8" t="s">
        <v>3479</v>
      </c>
      <c r="I2389" s="9">
        <v>0.0</v>
      </c>
      <c r="J2389" s="9">
        <v>1813.0</v>
      </c>
      <c r="K2389" s="9">
        <v>1813.0</v>
      </c>
      <c r="L2389" s="9">
        <v>1813.0</v>
      </c>
      <c r="M2389" s="9">
        <v>584.0</v>
      </c>
      <c r="N2389" s="9">
        <v>780.0</v>
      </c>
      <c r="O2389" s="9">
        <v>449.0</v>
      </c>
      <c r="P2389" s="8" t="s">
        <v>3480</v>
      </c>
      <c r="Q2389" s="8"/>
      <c r="R2389" s="8"/>
    </row>
    <row r="2390">
      <c r="A2390" s="8" t="s">
        <v>2847</v>
      </c>
      <c r="B2390" s="8" t="s">
        <v>14129</v>
      </c>
      <c r="C2390" s="8" t="s">
        <v>10163</v>
      </c>
      <c r="D2390" s="9">
        <v>9.326075507E9</v>
      </c>
      <c r="E2390" s="8" t="s">
        <v>10164</v>
      </c>
      <c r="F2390" s="8" t="s">
        <v>3589</v>
      </c>
      <c r="G2390" s="8" t="s">
        <v>14130</v>
      </c>
      <c r="H2390" s="8" t="s">
        <v>6194</v>
      </c>
      <c r="I2390" s="9">
        <v>0.0</v>
      </c>
      <c r="J2390" s="9">
        <v>1100.0</v>
      </c>
      <c r="K2390" s="9">
        <v>1150.0</v>
      </c>
      <c r="L2390" s="9">
        <v>1100.0</v>
      </c>
      <c r="M2390" s="9">
        <v>1150.0</v>
      </c>
      <c r="N2390" s="9">
        <v>0.0</v>
      </c>
      <c r="O2390" s="9">
        <v>0.0</v>
      </c>
      <c r="P2390" s="8" t="s">
        <v>3480</v>
      </c>
      <c r="Q2390" s="8" t="s">
        <v>10166</v>
      </c>
      <c r="R2390" s="8" t="s">
        <v>10167</v>
      </c>
    </row>
    <row r="2391">
      <c r="A2391" s="8" t="s">
        <v>2848</v>
      </c>
      <c r="B2391" s="8" t="s">
        <v>14131</v>
      </c>
      <c r="C2391" s="8" t="s">
        <v>14132</v>
      </c>
      <c r="D2391" s="9">
        <v>9.958818925E9</v>
      </c>
      <c r="E2391" s="8" t="s">
        <v>14133</v>
      </c>
      <c r="F2391" s="8" t="s">
        <v>3486</v>
      </c>
      <c r="G2391" s="8" t="s">
        <v>14134</v>
      </c>
      <c r="H2391" s="8" t="s">
        <v>3479</v>
      </c>
      <c r="I2391" s="9">
        <v>0.0</v>
      </c>
      <c r="J2391" s="9">
        <v>1740.0</v>
      </c>
      <c r="K2391" s="9">
        <v>1740.0</v>
      </c>
      <c r="L2391" s="9">
        <v>1740.0</v>
      </c>
      <c r="M2391" s="9">
        <v>0.0</v>
      </c>
      <c r="N2391" s="9">
        <v>0.0</v>
      </c>
      <c r="O2391" s="9">
        <v>1740.0</v>
      </c>
      <c r="P2391" s="8" t="s">
        <v>3480</v>
      </c>
      <c r="Q2391" s="8"/>
      <c r="R2391" s="8"/>
    </row>
    <row r="2392">
      <c r="A2392" s="8" t="s">
        <v>2849</v>
      </c>
      <c r="B2392" s="8" t="s">
        <v>14135</v>
      </c>
      <c r="C2392" s="8" t="s">
        <v>14136</v>
      </c>
      <c r="D2392" s="9">
        <v>8.999946584E9</v>
      </c>
      <c r="E2392" s="8" t="s">
        <v>14137</v>
      </c>
      <c r="F2392" s="8" t="s">
        <v>3601</v>
      </c>
      <c r="G2392" s="8" t="s">
        <v>14138</v>
      </c>
      <c r="H2392" s="8" t="s">
        <v>3479</v>
      </c>
      <c r="I2392" s="9">
        <v>0.0</v>
      </c>
      <c r="J2392" s="9">
        <v>1635.0</v>
      </c>
      <c r="K2392" s="9">
        <v>1635.0</v>
      </c>
      <c r="L2392" s="9">
        <v>1635.0</v>
      </c>
      <c r="M2392" s="9">
        <v>1635.0</v>
      </c>
      <c r="N2392" s="9">
        <v>0.0</v>
      </c>
      <c r="O2392" s="9">
        <v>0.0</v>
      </c>
      <c r="P2392" s="8" t="s">
        <v>3480</v>
      </c>
      <c r="Q2392" s="8"/>
      <c r="R2392" s="8"/>
    </row>
    <row r="2393">
      <c r="A2393" s="8" t="s">
        <v>2850</v>
      </c>
      <c r="B2393" s="8" t="s">
        <v>14139</v>
      </c>
      <c r="C2393" s="8" t="s">
        <v>13867</v>
      </c>
      <c r="D2393" s="9">
        <v>9.172523743E9</v>
      </c>
      <c r="E2393" s="8" t="s">
        <v>13868</v>
      </c>
      <c r="F2393" s="8" t="s">
        <v>5955</v>
      </c>
      <c r="G2393" s="8" t="s">
        <v>14140</v>
      </c>
      <c r="H2393" s="8" t="s">
        <v>14141</v>
      </c>
      <c r="I2393" s="9">
        <v>0.0</v>
      </c>
      <c r="J2393" s="9">
        <v>3100.0</v>
      </c>
      <c r="K2393" s="9">
        <v>3309.0</v>
      </c>
      <c r="L2393" s="9">
        <v>3100.0</v>
      </c>
      <c r="M2393" s="9">
        <v>1451.0</v>
      </c>
      <c r="N2393" s="9">
        <v>784.0</v>
      </c>
      <c r="O2393" s="9">
        <v>1074.0</v>
      </c>
      <c r="P2393" s="8" t="s">
        <v>3480</v>
      </c>
      <c r="Q2393" s="8" t="s">
        <v>13871</v>
      </c>
      <c r="R2393" s="8" t="s">
        <v>13872</v>
      </c>
    </row>
    <row r="2394">
      <c r="A2394" s="8" t="s">
        <v>2596</v>
      </c>
      <c r="B2394" s="8" t="s">
        <v>14142</v>
      </c>
      <c r="C2394" s="8" t="s">
        <v>11688</v>
      </c>
      <c r="D2394" s="9">
        <v>9.588986487E9</v>
      </c>
      <c r="E2394" s="8" t="s">
        <v>5148</v>
      </c>
      <c r="F2394" s="8" t="s">
        <v>4112</v>
      </c>
      <c r="G2394" s="8" t="s">
        <v>11689</v>
      </c>
      <c r="H2394" s="8" t="s">
        <v>3479</v>
      </c>
      <c r="I2394" s="9">
        <v>0.0</v>
      </c>
      <c r="J2394" s="9">
        <v>1019.0</v>
      </c>
      <c r="K2394" s="9">
        <v>1019.0</v>
      </c>
      <c r="L2394" s="9">
        <v>1019.0</v>
      </c>
      <c r="M2394" s="9">
        <v>80.0</v>
      </c>
      <c r="N2394" s="9">
        <v>190.0</v>
      </c>
      <c r="O2394" s="9">
        <v>749.0</v>
      </c>
      <c r="P2394" s="8" t="s">
        <v>3480</v>
      </c>
      <c r="Q2394" s="8" t="s">
        <v>5151</v>
      </c>
      <c r="R2394" s="8" t="s">
        <v>5152</v>
      </c>
    </row>
    <row r="2395">
      <c r="A2395" s="8" t="s">
        <v>2597</v>
      </c>
      <c r="B2395" s="8" t="s">
        <v>14143</v>
      </c>
      <c r="C2395" s="8" t="s">
        <v>14144</v>
      </c>
      <c r="D2395" s="9">
        <v>9.766536994E9</v>
      </c>
      <c r="E2395" s="8" t="s">
        <v>14145</v>
      </c>
      <c r="F2395" s="8" t="s">
        <v>4373</v>
      </c>
      <c r="G2395" s="8" t="s">
        <v>14146</v>
      </c>
      <c r="H2395" s="8" t="s">
        <v>3479</v>
      </c>
      <c r="I2395" s="9">
        <v>0.0</v>
      </c>
      <c r="J2395" s="9">
        <v>1523.0</v>
      </c>
      <c r="K2395" s="9">
        <v>1523.0</v>
      </c>
      <c r="L2395" s="9">
        <v>1523.0</v>
      </c>
      <c r="M2395" s="9">
        <v>1198.0</v>
      </c>
      <c r="N2395" s="9">
        <v>0.0</v>
      </c>
      <c r="O2395" s="9">
        <v>325.0</v>
      </c>
      <c r="P2395" s="8" t="s">
        <v>3480</v>
      </c>
      <c r="Q2395" s="8"/>
      <c r="R2395" s="8"/>
    </row>
    <row r="2396">
      <c r="A2396" s="8" t="s">
        <v>2586</v>
      </c>
      <c r="B2396" s="8" t="s">
        <v>14147</v>
      </c>
      <c r="C2396" s="8" t="s">
        <v>14148</v>
      </c>
      <c r="D2396" s="9">
        <v>8.177828714E9</v>
      </c>
      <c r="E2396" s="8" t="s">
        <v>14149</v>
      </c>
      <c r="F2396" s="8" t="s">
        <v>3692</v>
      </c>
      <c r="G2396" s="8" t="s">
        <v>14150</v>
      </c>
      <c r="H2396" s="8" t="s">
        <v>3479</v>
      </c>
      <c r="I2396" s="9">
        <v>0.0</v>
      </c>
      <c r="J2396" s="9">
        <v>1820.0</v>
      </c>
      <c r="K2396" s="9">
        <v>1820.0</v>
      </c>
      <c r="L2396" s="9">
        <v>1820.0</v>
      </c>
      <c r="M2396" s="9">
        <v>437.0</v>
      </c>
      <c r="N2396" s="9">
        <v>784.0</v>
      </c>
      <c r="O2396" s="9">
        <v>599.0</v>
      </c>
      <c r="P2396" s="8" t="s">
        <v>3480</v>
      </c>
      <c r="Q2396" s="8" t="s">
        <v>14151</v>
      </c>
      <c r="R2396" s="8" t="s">
        <v>14152</v>
      </c>
    </row>
    <row r="2397">
      <c r="A2397" s="8" t="s">
        <v>2594</v>
      </c>
      <c r="B2397" s="8" t="s">
        <v>14153</v>
      </c>
      <c r="C2397" s="8" t="s">
        <v>7556</v>
      </c>
      <c r="D2397" s="9">
        <v>9.850278965E9</v>
      </c>
      <c r="E2397" s="8" t="s">
        <v>7557</v>
      </c>
      <c r="F2397" s="8" t="s">
        <v>3809</v>
      </c>
      <c r="G2397" s="8" t="s">
        <v>14154</v>
      </c>
      <c r="H2397" s="8" t="s">
        <v>3479</v>
      </c>
      <c r="I2397" s="9">
        <v>0.0</v>
      </c>
      <c r="J2397" s="9">
        <v>3344.0</v>
      </c>
      <c r="K2397" s="9">
        <v>3344.0</v>
      </c>
      <c r="L2397" s="9">
        <v>3344.0</v>
      </c>
      <c r="M2397" s="9">
        <v>2105.0</v>
      </c>
      <c r="N2397" s="9">
        <v>190.0</v>
      </c>
      <c r="O2397" s="9">
        <v>1049.0</v>
      </c>
      <c r="P2397" s="8" t="s">
        <v>3480</v>
      </c>
      <c r="Q2397" s="8"/>
      <c r="R2397" s="8"/>
    </row>
    <row r="2398">
      <c r="A2398" s="8" t="s">
        <v>2595</v>
      </c>
      <c r="B2398" s="8" t="s">
        <v>14155</v>
      </c>
      <c r="C2398" s="8" t="s">
        <v>14156</v>
      </c>
      <c r="D2398" s="9">
        <v>9.422786477E9</v>
      </c>
      <c r="E2398" s="8" t="s">
        <v>14157</v>
      </c>
      <c r="F2398" s="8" t="s">
        <v>3721</v>
      </c>
      <c r="G2398" s="8" t="s">
        <v>14158</v>
      </c>
      <c r="H2398" s="8" t="s">
        <v>3479</v>
      </c>
      <c r="I2398" s="9">
        <v>0.0</v>
      </c>
      <c r="J2398" s="9">
        <v>3419.0</v>
      </c>
      <c r="K2398" s="9">
        <v>3419.0</v>
      </c>
      <c r="L2398" s="9">
        <v>3419.0</v>
      </c>
      <c r="M2398" s="9">
        <v>2085.0</v>
      </c>
      <c r="N2398" s="9">
        <v>730.0</v>
      </c>
      <c r="O2398" s="9">
        <v>604.0</v>
      </c>
      <c r="P2398" s="8" t="s">
        <v>3480</v>
      </c>
      <c r="Q2398" s="8"/>
      <c r="R2398" s="8"/>
    </row>
    <row r="2399">
      <c r="A2399" s="8" t="s">
        <v>2802</v>
      </c>
      <c r="B2399" s="8" t="s">
        <v>14159</v>
      </c>
      <c r="C2399" s="8" t="s">
        <v>12157</v>
      </c>
      <c r="D2399" s="9">
        <v>7.387153454E9</v>
      </c>
      <c r="E2399" s="8" t="s">
        <v>12158</v>
      </c>
      <c r="F2399" s="8" t="s">
        <v>3908</v>
      </c>
      <c r="G2399" s="8" t="s">
        <v>3494</v>
      </c>
      <c r="H2399" s="8" t="s">
        <v>3479</v>
      </c>
      <c r="I2399" s="9">
        <v>0.0</v>
      </c>
      <c r="J2399" s="9">
        <v>1567.0</v>
      </c>
      <c r="K2399" s="9">
        <v>1567.0</v>
      </c>
      <c r="L2399" s="9">
        <v>1567.0</v>
      </c>
      <c r="M2399" s="9">
        <v>184.0</v>
      </c>
      <c r="N2399" s="9">
        <v>784.0</v>
      </c>
      <c r="O2399" s="9">
        <v>599.0</v>
      </c>
      <c r="P2399" s="8" t="s">
        <v>3480</v>
      </c>
      <c r="Q2399" s="8"/>
      <c r="R2399" s="8"/>
    </row>
    <row r="2400">
      <c r="A2400" s="8" t="s">
        <v>2598</v>
      </c>
      <c r="B2400" s="8" t="s">
        <v>14160</v>
      </c>
      <c r="C2400" s="8" t="s">
        <v>9142</v>
      </c>
      <c r="D2400" s="9">
        <v>7.350725409E9</v>
      </c>
      <c r="E2400" s="8" t="s">
        <v>11649</v>
      </c>
      <c r="F2400" s="8" t="s">
        <v>11650</v>
      </c>
      <c r="G2400" s="8" t="s">
        <v>14161</v>
      </c>
      <c r="H2400" s="8" t="s">
        <v>3479</v>
      </c>
      <c r="I2400" s="9">
        <v>0.0</v>
      </c>
      <c r="J2400" s="9">
        <v>1679.0</v>
      </c>
      <c r="K2400" s="9">
        <v>1679.0</v>
      </c>
      <c r="L2400" s="9">
        <v>1679.0</v>
      </c>
      <c r="M2400" s="9">
        <v>80.0</v>
      </c>
      <c r="N2400" s="9">
        <v>900.0</v>
      </c>
      <c r="O2400" s="9">
        <v>699.0</v>
      </c>
      <c r="P2400" s="8" t="s">
        <v>3480</v>
      </c>
      <c r="Q2400" s="8" t="s">
        <v>11652</v>
      </c>
      <c r="R2400" s="8" t="s">
        <v>11653</v>
      </c>
    </row>
    <row r="2401">
      <c r="A2401" s="8" t="s">
        <v>2793</v>
      </c>
      <c r="B2401" s="8" t="s">
        <v>14162</v>
      </c>
      <c r="C2401" s="8" t="s">
        <v>14163</v>
      </c>
      <c r="D2401" s="9">
        <v>9.819490501E9</v>
      </c>
      <c r="E2401" s="8" t="s">
        <v>14164</v>
      </c>
      <c r="F2401" s="8" t="s">
        <v>3977</v>
      </c>
      <c r="G2401" s="8" t="s">
        <v>14165</v>
      </c>
      <c r="H2401" s="8" t="s">
        <v>3479</v>
      </c>
      <c r="I2401" s="9">
        <v>0.0</v>
      </c>
      <c r="J2401" s="9">
        <v>2066.0</v>
      </c>
      <c r="K2401" s="9">
        <v>2066.0</v>
      </c>
      <c r="L2401" s="9">
        <v>2066.0</v>
      </c>
      <c r="M2401" s="9">
        <v>693.0</v>
      </c>
      <c r="N2401" s="9">
        <v>549.0</v>
      </c>
      <c r="O2401" s="9">
        <v>824.0</v>
      </c>
      <c r="P2401" s="8" t="s">
        <v>3519</v>
      </c>
      <c r="Q2401" s="8" t="s">
        <v>14166</v>
      </c>
      <c r="R2401" s="8" t="s">
        <v>14167</v>
      </c>
    </row>
    <row r="2402">
      <c r="A2402" s="8" t="s">
        <v>2794</v>
      </c>
      <c r="B2402" s="8" t="s">
        <v>14168</v>
      </c>
      <c r="C2402" s="8" t="s">
        <v>14169</v>
      </c>
      <c r="D2402" s="9">
        <v>7.350111377E9</v>
      </c>
      <c r="E2402" s="8" t="s">
        <v>14170</v>
      </c>
      <c r="F2402" s="8" t="s">
        <v>3821</v>
      </c>
      <c r="G2402" s="8" t="s">
        <v>14171</v>
      </c>
      <c r="H2402" s="8" t="s">
        <v>3479</v>
      </c>
      <c r="I2402" s="9">
        <v>0.0</v>
      </c>
      <c r="J2402" s="9">
        <v>759.0</v>
      </c>
      <c r="K2402" s="9">
        <v>759.0</v>
      </c>
      <c r="L2402" s="9">
        <v>759.0</v>
      </c>
      <c r="M2402" s="9">
        <v>235.0</v>
      </c>
      <c r="N2402" s="9">
        <v>0.0</v>
      </c>
      <c r="O2402" s="9">
        <v>524.0</v>
      </c>
      <c r="P2402" s="8" t="s">
        <v>3480</v>
      </c>
      <c r="Q2402" s="8" t="s">
        <v>14172</v>
      </c>
      <c r="R2402" s="8" t="s">
        <v>14173</v>
      </c>
    </row>
    <row r="2403">
      <c r="A2403" s="8" t="s">
        <v>2884</v>
      </c>
      <c r="B2403" s="8" t="s">
        <v>14174</v>
      </c>
      <c r="C2403" s="8" t="s">
        <v>6636</v>
      </c>
      <c r="D2403" s="9">
        <v>7.387760266E9</v>
      </c>
      <c r="E2403" s="8" t="s">
        <v>14175</v>
      </c>
      <c r="F2403" s="8" t="s">
        <v>3589</v>
      </c>
      <c r="G2403" s="8" t="s">
        <v>14176</v>
      </c>
      <c r="H2403" s="8" t="s">
        <v>3479</v>
      </c>
      <c r="I2403" s="9">
        <v>0.0</v>
      </c>
      <c r="J2403" s="9">
        <v>1859.0</v>
      </c>
      <c r="K2403" s="9">
        <v>1859.0</v>
      </c>
      <c r="L2403" s="9">
        <v>1859.0</v>
      </c>
      <c r="M2403" s="9">
        <v>1335.0</v>
      </c>
      <c r="N2403" s="9">
        <v>0.0</v>
      </c>
      <c r="O2403" s="9">
        <v>524.0</v>
      </c>
      <c r="P2403" s="8" t="s">
        <v>3480</v>
      </c>
      <c r="Q2403" s="8" t="s">
        <v>14177</v>
      </c>
      <c r="R2403" s="8" t="s">
        <v>14178</v>
      </c>
    </row>
    <row r="2404">
      <c r="A2404" s="8" t="s">
        <v>2885</v>
      </c>
      <c r="B2404" s="8" t="s">
        <v>14179</v>
      </c>
      <c r="C2404" s="8" t="s">
        <v>8717</v>
      </c>
      <c r="D2404" s="9">
        <v>7.385844472E9</v>
      </c>
      <c r="E2404" s="8" t="s">
        <v>8718</v>
      </c>
      <c r="F2404" s="8" t="s">
        <v>6455</v>
      </c>
      <c r="G2404" s="8" t="s">
        <v>14180</v>
      </c>
      <c r="H2404" s="8" t="s">
        <v>3479</v>
      </c>
      <c r="I2404" s="9">
        <v>0.0</v>
      </c>
      <c r="J2404" s="9">
        <v>2862.0</v>
      </c>
      <c r="K2404" s="9">
        <v>2862.0</v>
      </c>
      <c r="L2404" s="9">
        <v>2862.0</v>
      </c>
      <c r="M2404" s="9">
        <v>1408.0</v>
      </c>
      <c r="N2404" s="9">
        <v>80.0</v>
      </c>
      <c r="O2404" s="9">
        <v>1374.0</v>
      </c>
      <c r="P2404" s="8" t="s">
        <v>3480</v>
      </c>
      <c r="Q2404" s="8"/>
      <c r="R2404" s="8"/>
    </row>
    <row r="2405">
      <c r="A2405" s="8" t="s">
        <v>2599</v>
      </c>
      <c r="B2405" s="8" t="s">
        <v>14181</v>
      </c>
      <c r="C2405" s="8" t="s">
        <v>14182</v>
      </c>
      <c r="D2405" s="9">
        <v>8.308374547E9</v>
      </c>
      <c r="E2405" s="8" t="s">
        <v>14183</v>
      </c>
      <c r="F2405" s="8" t="s">
        <v>5301</v>
      </c>
      <c r="G2405" s="8" t="s">
        <v>8829</v>
      </c>
      <c r="H2405" s="8" t="s">
        <v>3479</v>
      </c>
      <c r="I2405" s="9">
        <v>0.0</v>
      </c>
      <c r="J2405" s="9">
        <v>1407.0</v>
      </c>
      <c r="K2405" s="9">
        <v>1407.0</v>
      </c>
      <c r="L2405" s="9">
        <v>1407.0</v>
      </c>
      <c r="M2405" s="9">
        <v>468.0</v>
      </c>
      <c r="N2405" s="9">
        <v>190.0</v>
      </c>
      <c r="O2405" s="9">
        <v>749.0</v>
      </c>
      <c r="P2405" s="8" t="s">
        <v>3480</v>
      </c>
      <c r="Q2405" s="8" t="s">
        <v>14184</v>
      </c>
      <c r="R2405" s="8" t="s">
        <v>14185</v>
      </c>
    </row>
    <row r="2406">
      <c r="A2406" s="8" t="s">
        <v>2600</v>
      </c>
      <c r="B2406" s="8" t="s">
        <v>14186</v>
      </c>
      <c r="C2406" s="8" t="s">
        <v>14187</v>
      </c>
      <c r="D2406" s="9">
        <v>9.673823359E9</v>
      </c>
      <c r="E2406" s="8" t="s">
        <v>14188</v>
      </c>
      <c r="F2406" s="8" t="s">
        <v>4558</v>
      </c>
      <c r="G2406" s="8" t="s">
        <v>14189</v>
      </c>
      <c r="H2406" s="8" t="s">
        <v>3479</v>
      </c>
      <c r="I2406" s="9">
        <v>0.0</v>
      </c>
      <c r="J2406" s="9">
        <v>1646.0</v>
      </c>
      <c r="K2406" s="9">
        <v>1646.0</v>
      </c>
      <c r="L2406" s="9">
        <v>1646.0</v>
      </c>
      <c r="M2406" s="9">
        <v>878.0</v>
      </c>
      <c r="N2406" s="9">
        <v>168.0</v>
      </c>
      <c r="O2406" s="9">
        <v>600.0</v>
      </c>
      <c r="P2406" s="8" t="s">
        <v>3480</v>
      </c>
      <c r="Q2406" s="8"/>
      <c r="R2406" s="8"/>
    </row>
    <row r="2407">
      <c r="A2407" s="8" t="s">
        <v>2601</v>
      </c>
      <c r="B2407" s="8" t="s">
        <v>14190</v>
      </c>
      <c r="C2407" s="8" t="s">
        <v>7477</v>
      </c>
      <c r="D2407" s="9">
        <v>8.103597224E9</v>
      </c>
      <c r="E2407" s="8" t="s">
        <v>14191</v>
      </c>
      <c r="F2407" s="8" t="s">
        <v>3608</v>
      </c>
      <c r="G2407" s="8" t="s">
        <v>14192</v>
      </c>
      <c r="H2407" s="8" t="s">
        <v>3479</v>
      </c>
      <c r="I2407" s="9">
        <v>0.0</v>
      </c>
      <c r="J2407" s="9">
        <v>2300.0</v>
      </c>
      <c r="K2407" s="9">
        <v>2300.0</v>
      </c>
      <c r="L2407" s="9">
        <v>2300.0</v>
      </c>
      <c r="M2407" s="9">
        <v>1925.0</v>
      </c>
      <c r="N2407" s="9">
        <v>0.0</v>
      </c>
      <c r="O2407" s="9">
        <v>375.0</v>
      </c>
      <c r="P2407" s="8" t="s">
        <v>3480</v>
      </c>
      <c r="Q2407" s="8"/>
      <c r="R2407" s="8"/>
    </row>
    <row r="2408">
      <c r="A2408" s="8" t="s">
        <v>2795</v>
      </c>
      <c r="B2408" s="8" t="s">
        <v>14193</v>
      </c>
      <c r="C2408" s="8" t="s">
        <v>14194</v>
      </c>
      <c r="D2408" s="9">
        <v>9.881138466E9</v>
      </c>
      <c r="E2408" s="8" t="s">
        <v>14195</v>
      </c>
      <c r="F2408" s="8" t="s">
        <v>5613</v>
      </c>
      <c r="G2408" s="8" t="s">
        <v>14196</v>
      </c>
      <c r="H2408" s="8" t="s">
        <v>3479</v>
      </c>
      <c r="I2408" s="9">
        <v>0.0</v>
      </c>
      <c r="J2408" s="9">
        <v>3083.0</v>
      </c>
      <c r="K2408" s="9">
        <v>3083.0</v>
      </c>
      <c r="L2408" s="9">
        <v>3083.0</v>
      </c>
      <c r="M2408" s="9">
        <v>1820.0</v>
      </c>
      <c r="N2408" s="9">
        <v>739.0</v>
      </c>
      <c r="O2408" s="9">
        <v>524.0</v>
      </c>
      <c r="P2408" s="8" t="s">
        <v>3480</v>
      </c>
      <c r="Q2408" s="8" t="s">
        <v>14197</v>
      </c>
      <c r="R2408" s="8" t="s">
        <v>14198</v>
      </c>
    </row>
    <row r="2409">
      <c r="A2409" s="8" t="s">
        <v>2796</v>
      </c>
      <c r="B2409" s="8" t="s">
        <v>14199</v>
      </c>
      <c r="C2409" s="8" t="s">
        <v>14200</v>
      </c>
      <c r="D2409" s="9">
        <v>9.922441073E9</v>
      </c>
      <c r="E2409" s="8" t="s">
        <v>14201</v>
      </c>
      <c r="F2409" s="8" t="s">
        <v>3523</v>
      </c>
      <c r="G2409" s="8" t="s">
        <v>14202</v>
      </c>
      <c r="H2409" s="8" t="s">
        <v>3479</v>
      </c>
      <c r="I2409" s="9">
        <v>0.0</v>
      </c>
      <c r="J2409" s="9">
        <v>1883.0</v>
      </c>
      <c r="K2409" s="9">
        <v>1883.0</v>
      </c>
      <c r="L2409" s="9">
        <v>1883.0</v>
      </c>
      <c r="M2409" s="9">
        <v>620.0</v>
      </c>
      <c r="N2409" s="9">
        <v>739.0</v>
      </c>
      <c r="O2409" s="9">
        <v>524.0</v>
      </c>
      <c r="P2409" s="8" t="s">
        <v>3480</v>
      </c>
      <c r="Q2409" s="8" t="s">
        <v>14203</v>
      </c>
      <c r="R2409" s="8" t="s">
        <v>14204</v>
      </c>
    </row>
    <row r="2410">
      <c r="A2410" s="8" t="s">
        <v>2797</v>
      </c>
      <c r="B2410" s="8" t="s">
        <v>14205</v>
      </c>
      <c r="C2410" s="8" t="s">
        <v>4860</v>
      </c>
      <c r="D2410" s="9">
        <v>9.503387494E9</v>
      </c>
      <c r="E2410" s="8" t="s">
        <v>4861</v>
      </c>
      <c r="F2410" s="8" t="s">
        <v>3498</v>
      </c>
      <c r="G2410" s="8" t="s">
        <v>4398</v>
      </c>
      <c r="H2410" s="8" t="s">
        <v>5562</v>
      </c>
      <c r="I2410" s="9">
        <v>0.0</v>
      </c>
      <c r="J2410" s="9">
        <v>1900.0</v>
      </c>
      <c r="K2410" s="9">
        <v>1952.0</v>
      </c>
      <c r="L2410" s="9">
        <v>1900.0</v>
      </c>
      <c r="M2410" s="9">
        <v>1827.0</v>
      </c>
      <c r="N2410" s="9">
        <v>0.0</v>
      </c>
      <c r="O2410" s="9">
        <v>125.0</v>
      </c>
      <c r="P2410" s="8" t="s">
        <v>3480</v>
      </c>
      <c r="Q2410" s="8" t="s">
        <v>4862</v>
      </c>
      <c r="R2410" s="8" t="s">
        <v>4863</v>
      </c>
    </row>
    <row r="2411">
      <c r="A2411" s="8" t="s">
        <v>2886</v>
      </c>
      <c r="B2411" s="8" t="s">
        <v>14206</v>
      </c>
      <c r="C2411" s="8" t="s">
        <v>6981</v>
      </c>
      <c r="D2411" s="9">
        <v>9.890022157E9</v>
      </c>
      <c r="E2411" s="8" t="s">
        <v>6982</v>
      </c>
      <c r="F2411" s="8" t="s">
        <v>6983</v>
      </c>
      <c r="G2411" s="8" t="s">
        <v>14207</v>
      </c>
      <c r="H2411" s="8" t="s">
        <v>3479</v>
      </c>
      <c r="I2411" s="9">
        <v>0.0</v>
      </c>
      <c r="J2411" s="9">
        <v>1131.0</v>
      </c>
      <c r="K2411" s="9">
        <v>1131.0</v>
      </c>
      <c r="L2411" s="9">
        <v>1131.0</v>
      </c>
      <c r="M2411" s="9">
        <v>192.0</v>
      </c>
      <c r="N2411" s="9">
        <v>190.0</v>
      </c>
      <c r="O2411" s="9">
        <v>749.0</v>
      </c>
      <c r="P2411" s="8" t="s">
        <v>3480</v>
      </c>
      <c r="Q2411" s="8" t="s">
        <v>6985</v>
      </c>
      <c r="R2411" s="8" t="s">
        <v>6986</v>
      </c>
    </row>
    <row r="2412">
      <c r="A2412" s="8" t="s">
        <v>2798</v>
      </c>
      <c r="B2412" s="8" t="s">
        <v>14208</v>
      </c>
      <c r="C2412" s="8" t="s">
        <v>11022</v>
      </c>
      <c r="D2412" s="9">
        <v>9.850891024E9</v>
      </c>
      <c r="E2412" s="8" t="s">
        <v>11023</v>
      </c>
      <c r="F2412" s="8" t="s">
        <v>3498</v>
      </c>
      <c r="G2412" s="8" t="s">
        <v>14209</v>
      </c>
      <c r="H2412" s="8" t="s">
        <v>3479</v>
      </c>
      <c r="I2412" s="9">
        <v>0.0</v>
      </c>
      <c r="J2412" s="9">
        <v>1759.0</v>
      </c>
      <c r="K2412" s="9">
        <v>1759.0</v>
      </c>
      <c r="L2412" s="9">
        <v>1759.0</v>
      </c>
      <c r="M2412" s="9">
        <v>496.0</v>
      </c>
      <c r="N2412" s="9">
        <v>739.0</v>
      </c>
      <c r="O2412" s="9">
        <v>524.0</v>
      </c>
      <c r="P2412" s="8" t="s">
        <v>3480</v>
      </c>
      <c r="Q2412" s="8" t="s">
        <v>11026</v>
      </c>
      <c r="R2412" s="8" t="s">
        <v>11027</v>
      </c>
    </row>
    <row r="2413">
      <c r="A2413" s="8" t="s">
        <v>2602</v>
      </c>
      <c r="B2413" s="8" t="s">
        <v>14210</v>
      </c>
      <c r="C2413" s="8" t="s">
        <v>4905</v>
      </c>
      <c r="D2413" s="9">
        <v>8.975828434E9</v>
      </c>
      <c r="E2413" s="8" t="s">
        <v>14211</v>
      </c>
      <c r="F2413" s="8" t="s">
        <v>3493</v>
      </c>
      <c r="G2413" s="8" t="s">
        <v>14212</v>
      </c>
      <c r="H2413" s="8" t="s">
        <v>3479</v>
      </c>
      <c r="I2413" s="9">
        <v>0.0</v>
      </c>
      <c r="J2413" s="9">
        <v>1608.0</v>
      </c>
      <c r="K2413" s="9">
        <v>1608.0</v>
      </c>
      <c r="L2413" s="9">
        <v>1608.0</v>
      </c>
      <c r="M2413" s="9">
        <v>145.0</v>
      </c>
      <c r="N2413" s="9">
        <v>784.0</v>
      </c>
      <c r="O2413" s="9">
        <v>679.0</v>
      </c>
      <c r="P2413" s="8" t="s">
        <v>3480</v>
      </c>
      <c r="Q2413" s="8" t="s">
        <v>14213</v>
      </c>
      <c r="R2413" s="8" t="s">
        <v>14214</v>
      </c>
    </row>
    <row r="2414">
      <c r="A2414" s="8" t="s">
        <v>2799</v>
      </c>
      <c r="B2414" s="8" t="s">
        <v>14215</v>
      </c>
      <c r="C2414" s="8" t="s">
        <v>9413</v>
      </c>
      <c r="D2414" s="9">
        <v>9.601997402E9</v>
      </c>
      <c r="E2414" s="8" t="s">
        <v>10961</v>
      </c>
      <c r="F2414" s="8" t="s">
        <v>3608</v>
      </c>
      <c r="G2414" s="8" t="s">
        <v>14216</v>
      </c>
      <c r="H2414" s="8" t="s">
        <v>3479</v>
      </c>
      <c r="I2414" s="9">
        <v>0.0</v>
      </c>
      <c r="J2414" s="9">
        <v>1521.0</v>
      </c>
      <c r="K2414" s="9">
        <v>1521.0</v>
      </c>
      <c r="L2414" s="9">
        <v>1521.0</v>
      </c>
      <c r="M2414" s="9">
        <v>333.0</v>
      </c>
      <c r="N2414" s="9">
        <v>739.0</v>
      </c>
      <c r="O2414" s="9">
        <v>449.0</v>
      </c>
      <c r="P2414" s="8" t="s">
        <v>3480</v>
      </c>
      <c r="Q2414" s="8" t="s">
        <v>10963</v>
      </c>
      <c r="R2414" s="8" t="s">
        <v>10964</v>
      </c>
    </row>
    <row r="2415">
      <c r="A2415" s="8" t="s">
        <v>2800</v>
      </c>
      <c r="B2415" s="8" t="s">
        <v>14217</v>
      </c>
      <c r="C2415" s="8" t="s">
        <v>5121</v>
      </c>
      <c r="D2415" s="9">
        <v>7.020785899E9</v>
      </c>
      <c r="E2415" s="8" t="s">
        <v>5122</v>
      </c>
      <c r="F2415" s="8" t="s">
        <v>3908</v>
      </c>
      <c r="G2415" s="8" t="s">
        <v>14218</v>
      </c>
      <c r="H2415" s="8" t="s">
        <v>3479</v>
      </c>
      <c r="I2415" s="9">
        <v>0.0</v>
      </c>
      <c r="J2415" s="9">
        <v>2445.0</v>
      </c>
      <c r="K2415" s="9">
        <v>2445.0</v>
      </c>
      <c r="L2415" s="9">
        <v>2445.0</v>
      </c>
      <c r="M2415" s="9">
        <v>787.0</v>
      </c>
      <c r="N2415" s="9">
        <v>784.0</v>
      </c>
      <c r="O2415" s="9">
        <v>874.0</v>
      </c>
      <c r="P2415" s="8" t="s">
        <v>3480</v>
      </c>
      <c r="Q2415" s="8" t="s">
        <v>5124</v>
      </c>
      <c r="R2415" s="8" t="s">
        <v>5125</v>
      </c>
    </row>
    <row r="2416">
      <c r="A2416" s="8" t="s">
        <v>2887</v>
      </c>
      <c r="B2416" s="8" t="s">
        <v>14219</v>
      </c>
      <c r="C2416" s="8" t="s">
        <v>14220</v>
      </c>
      <c r="D2416" s="9">
        <v>9.325513775E9</v>
      </c>
      <c r="E2416" s="8" t="s">
        <v>14221</v>
      </c>
      <c r="F2416" s="8" t="s">
        <v>3523</v>
      </c>
      <c r="G2416" s="8" t="s">
        <v>14222</v>
      </c>
      <c r="H2416" s="8" t="s">
        <v>3479</v>
      </c>
      <c r="I2416" s="9">
        <v>0.0</v>
      </c>
      <c r="J2416" s="9">
        <v>1704.0</v>
      </c>
      <c r="K2416" s="9">
        <v>1704.0</v>
      </c>
      <c r="L2416" s="9">
        <v>1704.0</v>
      </c>
      <c r="M2416" s="9">
        <v>450.0</v>
      </c>
      <c r="N2416" s="9">
        <v>730.0</v>
      </c>
      <c r="O2416" s="9">
        <v>524.0</v>
      </c>
      <c r="P2416" s="8" t="s">
        <v>3480</v>
      </c>
      <c r="Q2416" s="8" t="s">
        <v>14223</v>
      </c>
      <c r="R2416" s="8" t="s">
        <v>14224</v>
      </c>
    </row>
    <row r="2417">
      <c r="A2417" s="8" t="s">
        <v>2888</v>
      </c>
      <c r="B2417" s="8" t="s">
        <v>14225</v>
      </c>
      <c r="C2417" s="8" t="s">
        <v>14226</v>
      </c>
      <c r="D2417" s="9">
        <v>9.975191959E9</v>
      </c>
      <c r="E2417" s="8" t="s">
        <v>14227</v>
      </c>
      <c r="F2417" s="8" t="s">
        <v>14228</v>
      </c>
      <c r="G2417" s="8" t="s">
        <v>14229</v>
      </c>
      <c r="H2417" s="8" t="s">
        <v>3479</v>
      </c>
      <c r="I2417" s="9">
        <v>0.0</v>
      </c>
      <c r="J2417" s="9">
        <v>10610.0</v>
      </c>
      <c r="K2417" s="9">
        <v>10610.0</v>
      </c>
      <c r="L2417" s="9">
        <v>10610.0</v>
      </c>
      <c r="M2417" s="9">
        <v>2480.0</v>
      </c>
      <c r="N2417" s="9">
        <v>0.0</v>
      </c>
      <c r="O2417" s="9">
        <v>8130.0</v>
      </c>
      <c r="P2417" s="8" t="s">
        <v>3519</v>
      </c>
      <c r="Q2417" s="8"/>
      <c r="R2417" s="8"/>
    </row>
    <row r="2418">
      <c r="A2418" s="8" t="s">
        <v>2889</v>
      </c>
      <c r="B2418" s="8" t="s">
        <v>14230</v>
      </c>
      <c r="C2418" s="8" t="s">
        <v>4631</v>
      </c>
      <c r="D2418" s="9">
        <v>8.793084321E9</v>
      </c>
      <c r="E2418" s="8" t="s">
        <v>4632</v>
      </c>
      <c r="F2418" s="8" t="s">
        <v>4633</v>
      </c>
      <c r="G2418" s="8" t="s">
        <v>14231</v>
      </c>
      <c r="H2418" s="8" t="s">
        <v>14232</v>
      </c>
      <c r="I2418" s="9">
        <v>0.0</v>
      </c>
      <c r="J2418" s="9">
        <v>2100.0</v>
      </c>
      <c r="K2418" s="9">
        <v>2202.0</v>
      </c>
      <c r="L2418" s="9">
        <v>2100.0</v>
      </c>
      <c r="M2418" s="9">
        <v>948.0</v>
      </c>
      <c r="N2418" s="9">
        <v>730.0</v>
      </c>
      <c r="O2418" s="9">
        <v>524.0</v>
      </c>
      <c r="P2418" s="8" t="s">
        <v>3480</v>
      </c>
      <c r="Q2418" s="8" t="s">
        <v>4635</v>
      </c>
      <c r="R2418" s="8"/>
    </row>
    <row r="2419">
      <c r="A2419" s="8" t="s">
        <v>2774</v>
      </c>
      <c r="B2419" s="8" t="s">
        <v>14233</v>
      </c>
      <c r="C2419" s="8" t="s">
        <v>14234</v>
      </c>
      <c r="D2419" s="9">
        <v>9.145255852E9</v>
      </c>
      <c r="E2419" s="8" t="s">
        <v>14235</v>
      </c>
      <c r="F2419" s="8" t="s">
        <v>5633</v>
      </c>
      <c r="G2419" s="8" t="s">
        <v>14236</v>
      </c>
      <c r="H2419" s="8" t="s">
        <v>3479</v>
      </c>
      <c r="I2419" s="9">
        <v>0.0</v>
      </c>
      <c r="J2419" s="9">
        <v>1146.0</v>
      </c>
      <c r="K2419" s="9">
        <v>1146.0</v>
      </c>
      <c r="L2419" s="9">
        <v>1146.0</v>
      </c>
      <c r="M2419" s="9">
        <v>706.0</v>
      </c>
      <c r="N2419" s="9">
        <v>65.0</v>
      </c>
      <c r="O2419" s="9">
        <v>375.0</v>
      </c>
      <c r="P2419" s="8" t="s">
        <v>3480</v>
      </c>
      <c r="Q2419" s="8" t="s">
        <v>14237</v>
      </c>
      <c r="R2419" s="8" t="s">
        <v>14238</v>
      </c>
    </row>
    <row r="2420">
      <c r="A2420" s="8" t="s">
        <v>2603</v>
      </c>
      <c r="B2420" s="8" t="s">
        <v>14239</v>
      </c>
      <c r="C2420" s="8" t="s">
        <v>14240</v>
      </c>
      <c r="D2420" s="9">
        <v>9.960565824E9</v>
      </c>
      <c r="E2420" s="8" t="s">
        <v>14241</v>
      </c>
      <c r="F2420" s="8" t="s">
        <v>3486</v>
      </c>
      <c r="G2420" s="8" t="s">
        <v>3494</v>
      </c>
      <c r="H2420" s="8" t="s">
        <v>3479</v>
      </c>
      <c r="I2420" s="9">
        <v>0.0</v>
      </c>
      <c r="J2420" s="9">
        <v>8362.0</v>
      </c>
      <c r="K2420" s="9">
        <v>8362.0</v>
      </c>
      <c r="L2420" s="9">
        <v>8362.0</v>
      </c>
      <c r="M2420" s="9">
        <v>6620.0</v>
      </c>
      <c r="N2420" s="9">
        <v>893.0</v>
      </c>
      <c r="O2420" s="9">
        <v>849.0</v>
      </c>
      <c r="P2420" s="8" t="s">
        <v>3480</v>
      </c>
      <c r="Q2420" s="8"/>
      <c r="R2420" s="8"/>
    </row>
    <row r="2421">
      <c r="A2421" s="8" t="s">
        <v>2635</v>
      </c>
      <c r="B2421" s="8" t="s">
        <v>14242</v>
      </c>
      <c r="C2421" s="8" t="s">
        <v>14243</v>
      </c>
      <c r="D2421" s="9">
        <v>9.922965318E9</v>
      </c>
      <c r="E2421" s="8" t="s">
        <v>14244</v>
      </c>
      <c r="F2421" s="8" t="s">
        <v>3608</v>
      </c>
      <c r="G2421" s="8" t="s">
        <v>14245</v>
      </c>
      <c r="H2421" s="8" t="s">
        <v>3479</v>
      </c>
      <c r="I2421" s="9">
        <v>0.0</v>
      </c>
      <c r="J2421" s="9">
        <v>2660.0</v>
      </c>
      <c r="K2421" s="9">
        <v>2660.0</v>
      </c>
      <c r="L2421" s="9">
        <v>2660.0</v>
      </c>
      <c r="M2421" s="9">
        <v>1481.0</v>
      </c>
      <c r="N2421" s="9">
        <v>730.0</v>
      </c>
      <c r="O2421" s="9">
        <v>449.0</v>
      </c>
      <c r="P2421" s="8" t="s">
        <v>3480</v>
      </c>
      <c r="Q2421" s="8" t="s">
        <v>14246</v>
      </c>
      <c r="R2421" s="8" t="s">
        <v>14247</v>
      </c>
    </row>
    <row r="2422">
      <c r="A2422" s="8" t="s">
        <v>2636</v>
      </c>
      <c r="B2422" s="8" t="s">
        <v>14248</v>
      </c>
      <c r="C2422" s="8" t="s">
        <v>14249</v>
      </c>
      <c r="D2422" s="9">
        <v>6.388335225E9</v>
      </c>
      <c r="E2422" s="8" t="s">
        <v>14250</v>
      </c>
      <c r="F2422" s="8" t="s">
        <v>3653</v>
      </c>
      <c r="G2422" s="8" t="s">
        <v>14251</v>
      </c>
      <c r="H2422" s="8" t="s">
        <v>3479</v>
      </c>
      <c r="I2422" s="9">
        <v>0.0</v>
      </c>
      <c r="J2422" s="9">
        <v>2457.0</v>
      </c>
      <c r="K2422" s="9">
        <v>2457.0</v>
      </c>
      <c r="L2422" s="9">
        <v>2457.0</v>
      </c>
      <c r="M2422" s="9">
        <v>764.0</v>
      </c>
      <c r="N2422" s="9">
        <v>784.0</v>
      </c>
      <c r="O2422" s="9">
        <v>909.0</v>
      </c>
      <c r="P2422" s="8" t="s">
        <v>3480</v>
      </c>
      <c r="Q2422" s="8" t="s">
        <v>14252</v>
      </c>
      <c r="R2422" s="8" t="s">
        <v>14253</v>
      </c>
    </row>
    <row r="2423">
      <c r="A2423" s="8" t="s">
        <v>2822</v>
      </c>
      <c r="B2423" s="8" t="s">
        <v>14254</v>
      </c>
      <c r="C2423" s="8" t="s">
        <v>5819</v>
      </c>
      <c r="D2423" s="9">
        <v>8.983836822E9</v>
      </c>
      <c r="E2423" s="8" t="s">
        <v>5820</v>
      </c>
      <c r="F2423" s="8" t="s">
        <v>3608</v>
      </c>
      <c r="G2423" s="8" t="s">
        <v>14255</v>
      </c>
      <c r="H2423" s="8" t="s">
        <v>3479</v>
      </c>
      <c r="I2423" s="9">
        <v>0.0</v>
      </c>
      <c r="J2423" s="9">
        <v>1541.0</v>
      </c>
      <c r="K2423" s="9">
        <v>1541.0</v>
      </c>
      <c r="L2423" s="9">
        <v>1541.0</v>
      </c>
      <c r="M2423" s="9">
        <v>353.0</v>
      </c>
      <c r="N2423" s="9">
        <v>739.0</v>
      </c>
      <c r="O2423" s="9">
        <v>449.0</v>
      </c>
      <c r="P2423" s="8" t="s">
        <v>3480</v>
      </c>
      <c r="Q2423" s="8" t="s">
        <v>5822</v>
      </c>
      <c r="R2423" s="8" t="s">
        <v>5823</v>
      </c>
    </row>
    <row r="2424">
      <c r="A2424" s="8" t="s">
        <v>2638</v>
      </c>
      <c r="B2424" s="8" t="s">
        <v>14256</v>
      </c>
      <c r="C2424" s="8" t="s">
        <v>14257</v>
      </c>
      <c r="D2424" s="9">
        <v>8.149459544E9</v>
      </c>
      <c r="E2424" s="8" t="s">
        <v>14258</v>
      </c>
      <c r="F2424" s="8" t="s">
        <v>3908</v>
      </c>
      <c r="G2424" s="8" t="s">
        <v>14259</v>
      </c>
      <c r="H2424" s="8" t="s">
        <v>3479</v>
      </c>
      <c r="I2424" s="9">
        <v>0.0</v>
      </c>
      <c r="J2424" s="9">
        <v>1518.0</v>
      </c>
      <c r="K2424" s="9">
        <v>1518.0</v>
      </c>
      <c r="L2424" s="9">
        <v>1518.0</v>
      </c>
      <c r="M2424" s="9">
        <v>135.0</v>
      </c>
      <c r="N2424" s="9">
        <v>784.0</v>
      </c>
      <c r="O2424" s="9">
        <v>599.0</v>
      </c>
      <c r="P2424" s="8" t="s">
        <v>3480</v>
      </c>
      <c r="Q2424" s="8" t="s">
        <v>14260</v>
      </c>
      <c r="R2424" s="8" t="s">
        <v>14261</v>
      </c>
    </row>
    <row r="2425">
      <c r="A2425" s="8" t="s">
        <v>2637</v>
      </c>
      <c r="B2425" s="8" t="s">
        <v>14262</v>
      </c>
      <c r="C2425" s="8" t="s">
        <v>9624</v>
      </c>
      <c r="D2425" s="9">
        <v>7.7419624E9</v>
      </c>
      <c r="E2425" s="8" t="s">
        <v>14263</v>
      </c>
      <c r="F2425" s="8" t="s">
        <v>3576</v>
      </c>
      <c r="G2425" s="8" t="s">
        <v>14264</v>
      </c>
      <c r="H2425" s="8" t="s">
        <v>3479</v>
      </c>
      <c r="I2425" s="9">
        <v>0.0</v>
      </c>
      <c r="J2425" s="9">
        <v>532.0</v>
      </c>
      <c r="K2425" s="9">
        <v>532.0</v>
      </c>
      <c r="L2425" s="9">
        <v>532.0</v>
      </c>
      <c r="M2425" s="9">
        <v>407.0</v>
      </c>
      <c r="N2425" s="9">
        <v>0.0</v>
      </c>
      <c r="O2425" s="9">
        <v>125.0</v>
      </c>
      <c r="P2425" s="8" t="s">
        <v>3480</v>
      </c>
      <c r="Q2425" s="8"/>
      <c r="R2425" s="8"/>
    </row>
    <row r="2426">
      <c r="A2426" s="8" t="s">
        <v>2775</v>
      </c>
      <c r="B2426" s="8" t="s">
        <v>14265</v>
      </c>
      <c r="C2426" s="8" t="s">
        <v>6426</v>
      </c>
      <c r="D2426" s="9">
        <v>7.55913363E9</v>
      </c>
      <c r="E2426" s="8" t="s">
        <v>6427</v>
      </c>
      <c r="F2426" s="8" t="s">
        <v>6428</v>
      </c>
      <c r="G2426" s="8" t="s">
        <v>14266</v>
      </c>
      <c r="H2426" s="8" t="s">
        <v>3479</v>
      </c>
      <c r="I2426" s="9">
        <v>0.0</v>
      </c>
      <c r="J2426" s="9">
        <v>2975.0</v>
      </c>
      <c r="K2426" s="9">
        <v>2975.0</v>
      </c>
      <c r="L2426" s="9">
        <v>2975.0</v>
      </c>
      <c r="M2426" s="9">
        <v>2850.0</v>
      </c>
      <c r="N2426" s="9">
        <v>0.0</v>
      </c>
      <c r="O2426" s="9">
        <v>125.0</v>
      </c>
      <c r="P2426" s="8" t="s">
        <v>3480</v>
      </c>
      <c r="Q2426" s="8"/>
      <c r="R2426" s="8"/>
    </row>
    <row r="2427">
      <c r="A2427" s="8" t="s">
        <v>2776</v>
      </c>
      <c r="B2427" s="8" t="s">
        <v>14267</v>
      </c>
      <c r="C2427" s="8" t="s">
        <v>5866</v>
      </c>
      <c r="D2427" s="9">
        <v>9.322165483E9</v>
      </c>
      <c r="E2427" s="8" t="s">
        <v>13947</v>
      </c>
      <c r="F2427" s="8" t="s">
        <v>5167</v>
      </c>
      <c r="G2427" s="8" t="s">
        <v>14268</v>
      </c>
      <c r="H2427" s="8" t="s">
        <v>3479</v>
      </c>
      <c r="I2427" s="9">
        <v>0.0</v>
      </c>
      <c r="J2427" s="9">
        <v>1019.0</v>
      </c>
      <c r="K2427" s="9">
        <v>1019.0</v>
      </c>
      <c r="L2427" s="9">
        <v>1019.0</v>
      </c>
      <c r="M2427" s="9">
        <v>220.0</v>
      </c>
      <c r="N2427" s="9">
        <v>0.0</v>
      </c>
      <c r="O2427" s="9">
        <v>799.0</v>
      </c>
      <c r="P2427" s="8" t="s">
        <v>3480</v>
      </c>
      <c r="Q2427" s="8"/>
      <c r="R2427" s="8"/>
    </row>
    <row r="2428">
      <c r="A2428" s="8" t="s">
        <v>2777</v>
      </c>
      <c r="B2428" s="8" t="s">
        <v>14269</v>
      </c>
      <c r="C2428" s="8" t="s">
        <v>14270</v>
      </c>
      <c r="D2428" s="9">
        <v>8.805878887E9</v>
      </c>
      <c r="E2428" s="8" t="s">
        <v>14271</v>
      </c>
      <c r="F2428" s="8" t="s">
        <v>8835</v>
      </c>
      <c r="G2428" s="8" t="s">
        <v>14272</v>
      </c>
      <c r="H2428" s="8" t="s">
        <v>3479</v>
      </c>
      <c r="I2428" s="9">
        <v>0.0</v>
      </c>
      <c r="J2428" s="9">
        <v>2039.0</v>
      </c>
      <c r="K2428" s="9">
        <v>2039.0</v>
      </c>
      <c r="L2428" s="9">
        <v>2039.0</v>
      </c>
      <c r="M2428" s="9">
        <v>425.0</v>
      </c>
      <c r="N2428" s="9">
        <v>840.0</v>
      </c>
      <c r="O2428" s="9">
        <v>774.0</v>
      </c>
      <c r="P2428" s="8" t="s">
        <v>3480</v>
      </c>
      <c r="Q2428" s="8" t="s">
        <v>14273</v>
      </c>
      <c r="R2428" s="8" t="s">
        <v>14274</v>
      </c>
    </row>
    <row r="2429">
      <c r="A2429" s="8" t="s">
        <v>2778</v>
      </c>
      <c r="B2429" s="8" t="s">
        <v>14275</v>
      </c>
      <c r="C2429" s="8" t="s">
        <v>14276</v>
      </c>
      <c r="D2429" s="9">
        <v>8.329004583E9</v>
      </c>
      <c r="E2429" s="8" t="s">
        <v>14277</v>
      </c>
      <c r="F2429" s="8" t="s">
        <v>3658</v>
      </c>
      <c r="G2429" s="8" t="s">
        <v>14278</v>
      </c>
      <c r="H2429" s="8" t="s">
        <v>3479</v>
      </c>
      <c r="I2429" s="9">
        <v>0.0</v>
      </c>
      <c r="J2429" s="9">
        <v>1949.0</v>
      </c>
      <c r="K2429" s="9">
        <v>1949.0</v>
      </c>
      <c r="L2429" s="9">
        <v>1949.0</v>
      </c>
      <c r="M2429" s="9">
        <v>970.0</v>
      </c>
      <c r="N2429" s="9">
        <v>255.0</v>
      </c>
      <c r="O2429" s="9">
        <v>724.0</v>
      </c>
      <c r="P2429" s="8" t="s">
        <v>3480</v>
      </c>
      <c r="Q2429" s="8" t="s">
        <v>14279</v>
      </c>
      <c r="R2429" s="8" t="s">
        <v>14280</v>
      </c>
    </row>
    <row r="2430">
      <c r="A2430" s="8" t="s">
        <v>2779</v>
      </c>
      <c r="B2430" s="8" t="s">
        <v>14281</v>
      </c>
      <c r="C2430" s="8" t="s">
        <v>14282</v>
      </c>
      <c r="D2430" s="9">
        <v>9.860925511E9</v>
      </c>
      <c r="E2430" s="8" t="s">
        <v>14283</v>
      </c>
      <c r="F2430" s="8" t="s">
        <v>8044</v>
      </c>
      <c r="G2430" s="8" t="s">
        <v>14284</v>
      </c>
      <c r="H2430" s="8" t="s">
        <v>3479</v>
      </c>
      <c r="I2430" s="9">
        <v>0.0</v>
      </c>
      <c r="J2430" s="9">
        <v>2125.0</v>
      </c>
      <c r="K2430" s="9">
        <v>2125.0</v>
      </c>
      <c r="L2430" s="9">
        <v>2125.0</v>
      </c>
      <c r="M2430" s="9">
        <v>661.0</v>
      </c>
      <c r="N2430" s="9">
        <v>840.0</v>
      </c>
      <c r="O2430" s="9">
        <v>624.0</v>
      </c>
      <c r="P2430" s="8" t="s">
        <v>3480</v>
      </c>
      <c r="Q2430" s="8"/>
      <c r="R2430" s="8"/>
    </row>
    <row r="2431">
      <c r="A2431" s="8" t="s">
        <v>2640</v>
      </c>
      <c r="B2431" s="8" t="s">
        <v>14285</v>
      </c>
      <c r="C2431" s="8" t="s">
        <v>14286</v>
      </c>
      <c r="D2431" s="9">
        <v>9.850660541E9</v>
      </c>
      <c r="E2431" s="8" t="s">
        <v>14287</v>
      </c>
      <c r="F2431" s="8" t="s">
        <v>3608</v>
      </c>
      <c r="G2431" s="8" t="s">
        <v>14288</v>
      </c>
      <c r="H2431" s="8" t="s">
        <v>3479</v>
      </c>
      <c r="I2431" s="9">
        <v>0.0</v>
      </c>
      <c r="J2431" s="9">
        <v>2387.0</v>
      </c>
      <c r="K2431" s="9">
        <v>2387.0</v>
      </c>
      <c r="L2431" s="9">
        <v>2387.0</v>
      </c>
      <c r="M2431" s="9">
        <v>1208.0</v>
      </c>
      <c r="N2431" s="9">
        <v>730.0</v>
      </c>
      <c r="O2431" s="9">
        <v>449.0</v>
      </c>
      <c r="P2431" s="8" t="s">
        <v>3480</v>
      </c>
      <c r="Q2431" s="8" t="s">
        <v>14289</v>
      </c>
      <c r="R2431" s="8" t="s">
        <v>14290</v>
      </c>
    </row>
    <row r="2432">
      <c r="A2432" s="8" t="s">
        <v>2780</v>
      </c>
      <c r="B2432" s="8" t="s">
        <v>14291</v>
      </c>
      <c r="C2432" s="8" t="s">
        <v>7760</v>
      </c>
      <c r="D2432" s="9">
        <v>9.860925511E9</v>
      </c>
      <c r="E2432" s="8" t="s">
        <v>14292</v>
      </c>
      <c r="F2432" s="8" t="s">
        <v>3498</v>
      </c>
      <c r="G2432" s="8" t="s">
        <v>14293</v>
      </c>
      <c r="H2432" s="8" t="s">
        <v>3479</v>
      </c>
      <c r="I2432" s="9">
        <v>0.0</v>
      </c>
      <c r="J2432" s="9">
        <v>1588.0</v>
      </c>
      <c r="K2432" s="9">
        <v>1588.0</v>
      </c>
      <c r="L2432" s="9">
        <v>1588.0</v>
      </c>
      <c r="M2432" s="9">
        <v>325.0</v>
      </c>
      <c r="N2432" s="9">
        <v>739.0</v>
      </c>
      <c r="O2432" s="9">
        <v>524.0</v>
      </c>
      <c r="P2432" s="8" t="s">
        <v>3480</v>
      </c>
      <c r="Q2432" s="8"/>
      <c r="R2432" s="8"/>
    </row>
    <row r="2433">
      <c r="A2433" s="8" t="s">
        <v>2781</v>
      </c>
      <c r="B2433" s="8" t="s">
        <v>14294</v>
      </c>
      <c r="C2433" s="8" t="s">
        <v>14295</v>
      </c>
      <c r="D2433" s="9">
        <v>7.083476991E9</v>
      </c>
      <c r="E2433" s="8" t="s">
        <v>14296</v>
      </c>
      <c r="F2433" s="8" t="s">
        <v>4805</v>
      </c>
      <c r="G2433" s="8" t="s">
        <v>14297</v>
      </c>
      <c r="H2433" s="8" t="s">
        <v>3479</v>
      </c>
      <c r="I2433" s="9">
        <v>0.0</v>
      </c>
      <c r="J2433" s="9">
        <v>1567.0</v>
      </c>
      <c r="K2433" s="9">
        <v>1567.0</v>
      </c>
      <c r="L2433" s="9">
        <v>1567.0</v>
      </c>
      <c r="M2433" s="9">
        <v>343.0</v>
      </c>
      <c r="N2433" s="9">
        <v>775.0</v>
      </c>
      <c r="O2433" s="9">
        <v>449.0</v>
      </c>
      <c r="P2433" s="8" t="s">
        <v>3480</v>
      </c>
      <c r="Q2433" s="8" t="s">
        <v>14298</v>
      </c>
      <c r="R2433" s="8" t="s">
        <v>14299</v>
      </c>
    </row>
    <row r="2434">
      <c r="A2434" s="8" t="s">
        <v>2641</v>
      </c>
      <c r="B2434" s="8" t="s">
        <v>14300</v>
      </c>
      <c r="C2434" s="8" t="s">
        <v>14301</v>
      </c>
      <c r="D2434" s="9">
        <v>9.821890538E9</v>
      </c>
      <c r="E2434" s="8" t="s">
        <v>14302</v>
      </c>
      <c r="F2434" s="8" t="s">
        <v>3486</v>
      </c>
      <c r="G2434" s="8" t="s">
        <v>14303</v>
      </c>
      <c r="H2434" s="8" t="s">
        <v>3479</v>
      </c>
      <c r="I2434" s="9">
        <v>0.0</v>
      </c>
      <c r="J2434" s="9">
        <v>2739.0</v>
      </c>
      <c r="K2434" s="9">
        <v>2739.0</v>
      </c>
      <c r="L2434" s="9">
        <v>2739.0</v>
      </c>
      <c r="M2434" s="9">
        <v>1480.0</v>
      </c>
      <c r="N2434" s="9">
        <v>730.0</v>
      </c>
      <c r="O2434" s="9">
        <v>529.0</v>
      </c>
      <c r="P2434" s="8" t="s">
        <v>3480</v>
      </c>
      <c r="Q2434" s="8" t="s">
        <v>14304</v>
      </c>
      <c r="R2434" s="8" t="s">
        <v>14305</v>
      </c>
    </row>
    <row r="2435">
      <c r="A2435" s="8" t="s">
        <v>2642</v>
      </c>
      <c r="B2435" s="8" t="s">
        <v>14306</v>
      </c>
      <c r="C2435" s="8" t="s">
        <v>6718</v>
      </c>
      <c r="D2435" s="9">
        <v>9.067325322E9</v>
      </c>
      <c r="E2435" s="8" t="s">
        <v>6719</v>
      </c>
      <c r="F2435" s="8" t="s">
        <v>4252</v>
      </c>
      <c r="G2435" s="8" t="s">
        <v>14307</v>
      </c>
      <c r="H2435" s="8" t="s">
        <v>3479</v>
      </c>
      <c r="I2435" s="9">
        <v>0.0</v>
      </c>
      <c r="J2435" s="9">
        <v>809.0</v>
      </c>
      <c r="K2435" s="9">
        <v>809.0</v>
      </c>
      <c r="L2435" s="9">
        <v>809.0</v>
      </c>
      <c r="M2435" s="9">
        <v>110.0</v>
      </c>
      <c r="N2435" s="9">
        <v>0.0</v>
      </c>
      <c r="O2435" s="9">
        <v>699.0</v>
      </c>
      <c r="P2435" s="8" t="s">
        <v>3480</v>
      </c>
      <c r="Q2435" s="8"/>
      <c r="R2435" s="8"/>
    </row>
    <row r="2436">
      <c r="A2436" s="8" t="s">
        <v>2782</v>
      </c>
      <c r="B2436" s="8" t="s">
        <v>14308</v>
      </c>
      <c r="C2436" s="8" t="s">
        <v>6742</v>
      </c>
      <c r="D2436" s="9">
        <v>8.600108711E9</v>
      </c>
      <c r="E2436" s="8" t="s">
        <v>6743</v>
      </c>
      <c r="F2436" s="8" t="s">
        <v>6744</v>
      </c>
      <c r="G2436" s="8" t="s">
        <v>6745</v>
      </c>
      <c r="H2436" s="8" t="s">
        <v>3479</v>
      </c>
      <c r="I2436" s="9">
        <v>0.0</v>
      </c>
      <c r="J2436" s="9">
        <v>2112.0</v>
      </c>
      <c r="K2436" s="9">
        <v>2112.0</v>
      </c>
      <c r="L2436" s="9">
        <v>2112.0</v>
      </c>
      <c r="M2436" s="9">
        <v>888.0</v>
      </c>
      <c r="N2436" s="9">
        <v>775.0</v>
      </c>
      <c r="O2436" s="9">
        <v>449.0</v>
      </c>
      <c r="P2436" s="8" t="s">
        <v>3480</v>
      </c>
      <c r="Q2436" s="8" t="s">
        <v>6746</v>
      </c>
      <c r="R2436" s="8" t="s">
        <v>6747</v>
      </c>
    </row>
    <row r="2437">
      <c r="A2437" s="8" t="s">
        <v>2643</v>
      </c>
      <c r="B2437" s="8" t="s">
        <v>14309</v>
      </c>
      <c r="C2437" s="8" t="s">
        <v>8480</v>
      </c>
      <c r="D2437" s="9">
        <v>9.860097083E9</v>
      </c>
      <c r="E2437" s="8" t="s">
        <v>14310</v>
      </c>
      <c r="F2437" s="8" t="s">
        <v>6253</v>
      </c>
      <c r="G2437" s="8" t="s">
        <v>14311</v>
      </c>
      <c r="H2437" s="8" t="s">
        <v>3479</v>
      </c>
      <c r="I2437" s="9">
        <v>0.0</v>
      </c>
      <c r="J2437" s="9">
        <v>1012.0</v>
      </c>
      <c r="K2437" s="9">
        <v>1012.0</v>
      </c>
      <c r="L2437" s="9">
        <v>1012.0</v>
      </c>
      <c r="M2437" s="9">
        <v>837.0</v>
      </c>
      <c r="N2437" s="9">
        <v>0.0</v>
      </c>
      <c r="O2437" s="9">
        <v>175.0</v>
      </c>
      <c r="P2437" s="8" t="s">
        <v>3480</v>
      </c>
      <c r="Q2437" s="8"/>
      <c r="R2437" s="8"/>
    </row>
    <row r="2438">
      <c r="A2438" s="8" t="s">
        <v>2823</v>
      </c>
      <c r="B2438" s="8" t="s">
        <v>14312</v>
      </c>
      <c r="C2438" s="8" t="s">
        <v>5450</v>
      </c>
      <c r="D2438" s="9">
        <v>7.820938456E9</v>
      </c>
      <c r="E2438" s="8" t="s">
        <v>5451</v>
      </c>
      <c r="F2438" s="8" t="s">
        <v>3721</v>
      </c>
      <c r="G2438" s="8" t="s">
        <v>5452</v>
      </c>
      <c r="H2438" s="8" t="s">
        <v>3479</v>
      </c>
      <c r="I2438" s="9">
        <v>0.0</v>
      </c>
      <c r="J2438" s="9">
        <v>2424.0</v>
      </c>
      <c r="K2438" s="9">
        <v>2424.0</v>
      </c>
      <c r="L2438" s="9">
        <v>2424.0</v>
      </c>
      <c r="M2438" s="9">
        <v>1035.0</v>
      </c>
      <c r="N2438" s="9">
        <v>540.0</v>
      </c>
      <c r="O2438" s="9">
        <v>849.0</v>
      </c>
      <c r="P2438" s="8" t="s">
        <v>3480</v>
      </c>
      <c r="Q2438" s="8" t="s">
        <v>5453</v>
      </c>
      <c r="R2438" s="8" t="s">
        <v>5454</v>
      </c>
    </row>
    <row r="2439">
      <c r="A2439" s="8" t="s">
        <v>2644</v>
      </c>
      <c r="B2439" s="8" t="s">
        <v>14313</v>
      </c>
      <c r="C2439" s="8" t="s">
        <v>14314</v>
      </c>
      <c r="D2439" s="9">
        <v>7.517777877E9</v>
      </c>
      <c r="E2439" s="8" t="s">
        <v>14315</v>
      </c>
      <c r="F2439" s="8" t="s">
        <v>3550</v>
      </c>
      <c r="G2439" s="8" t="s">
        <v>14316</v>
      </c>
      <c r="H2439" s="8" t="s">
        <v>3479</v>
      </c>
      <c r="I2439" s="9">
        <v>0.0</v>
      </c>
      <c r="J2439" s="9">
        <v>1500.0</v>
      </c>
      <c r="K2439" s="9">
        <v>1549.0</v>
      </c>
      <c r="L2439" s="9">
        <v>1549.0</v>
      </c>
      <c r="M2439" s="9">
        <v>370.0</v>
      </c>
      <c r="N2439" s="9">
        <v>730.0</v>
      </c>
      <c r="O2439" s="9">
        <v>449.0</v>
      </c>
      <c r="P2439" s="8" t="s">
        <v>3519</v>
      </c>
      <c r="Q2439" s="8"/>
      <c r="R2439" s="8"/>
    </row>
    <row r="2440">
      <c r="A2440" s="8" t="s">
        <v>2645</v>
      </c>
      <c r="B2440" s="8" t="s">
        <v>14317</v>
      </c>
      <c r="C2440" s="8" t="s">
        <v>7484</v>
      </c>
      <c r="D2440" s="9">
        <v>7.77403558E9</v>
      </c>
      <c r="E2440" s="8" t="s">
        <v>14318</v>
      </c>
      <c r="F2440" s="8" t="s">
        <v>3954</v>
      </c>
      <c r="G2440" s="8" t="s">
        <v>14319</v>
      </c>
      <c r="H2440" s="8" t="s">
        <v>3479</v>
      </c>
      <c r="I2440" s="9">
        <v>0.0</v>
      </c>
      <c r="J2440" s="9">
        <v>1730.0</v>
      </c>
      <c r="K2440" s="9">
        <v>1730.0</v>
      </c>
      <c r="L2440" s="9">
        <v>1730.0</v>
      </c>
      <c r="M2440" s="9">
        <v>740.0</v>
      </c>
      <c r="N2440" s="9">
        <v>0.0</v>
      </c>
      <c r="O2440" s="9">
        <v>990.0</v>
      </c>
      <c r="P2440" s="8" t="s">
        <v>3480</v>
      </c>
      <c r="Q2440" s="8" t="s">
        <v>14320</v>
      </c>
      <c r="R2440" s="8" t="s">
        <v>14321</v>
      </c>
    </row>
    <row r="2441">
      <c r="A2441" s="8" t="s">
        <v>2646</v>
      </c>
      <c r="B2441" s="8" t="s">
        <v>14322</v>
      </c>
      <c r="C2441" s="8" t="s">
        <v>5759</v>
      </c>
      <c r="D2441" s="9">
        <v>9.664976023E9</v>
      </c>
      <c r="E2441" s="8" t="s">
        <v>14323</v>
      </c>
      <c r="F2441" s="8" t="s">
        <v>4454</v>
      </c>
      <c r="G2441" s="8" t="s">
        <v>14324</v>
      </c>
      <c r="H2441" s="8" t="s">
        <v>3479</v>
      </c>
      <c r="I2441" s="9">
        <v>0.0</v>
      </c>
      <c r="J2441" s="9">
        <v>1600.0</v>
      </c>
      <c r="K2441" s="9">
        <v>1600.0</v>
      </c>
      <c r="L2441" s="9">
        <v>1600.0</v>
      </c>
      <c r="M2441" s="9">
        <v>1500.0</v>
      </c>
      <c r="N2441" s="9">
        <v>0.0</v>
      </c>
      <c r="O2441" s="9">
        <v>100.0</v>
      </c>
      <c r="P2441" s="8" t="s">
        <v>3480</v>
      </c>
      <c r="Q2441" s="8" t="s">
        <v>14325</v>
      </c>
      <c r="R2441" s="8" t="s">
        <v>14326</v>
      </c>
    </row>
    <row r="2442">
      <c r="A2442" s="8" t="s">
        <v>2647</v>
      </c>
      <c r="B2442" s="8" t="s">
        <v>14327</v>
      </c>
      <c r="C2442" s="8" t="s">
        <v>5095</v>
      </c>
      <c r="D2442" s="9">
        <v>7.447845485E9</v>
      </c>
      <c r="E2442" s="8" t="s">
        <v>5096</v>
      </c>
      <c r="F2442" s="8" t="s">
        <v>3589</v>
      </c>
      <c r="G2442" s="8" t="s">
        <v>14328</v>
      </c>
      <c r="H2442" s="8" t="s">
        <v>3479</v>
      </c>
      <c r="I2442" s="9">
        <v>0.0</v>
      </c>
      <c r="J2442" s="9">
        <v>2969.0</v>
      </c>
      <c r="K2442" s="9">
        <v>2969.0</v>
      </c>
      <c r="L2442" s="9">
        <v>2969.0</v>
      </c>
      <c r="M2442" s="9">
        <v>1715.0</v>
      </c>
      <c r="N2442" s="9">
        <v>730.0</v>
      </c>
      <c r="O2442" s="9">
        <v>524.0</v>
      </c>
      <c r="P2442" s="8" t="s">
        <v>3480</v>
      </c>
      <c r="Q2442" s="8" t="s">
        <v>5098</v>
      </c>
      <c r="R2442" s="8" t="s">
        <v>5099</v>
      </c>
    </row>
    <row r="2443">
      <c r="A2443" s="8" t="s">
        <v>2648</v>
      </c>
      <c r="B2443" s="8" t="s">
        <v>14329</v>
      </c>
      <c r="C2443" s="8" t="s">
        <v>5320</v>
      </c>
      <c r="D2443" s="9">
        <v>7.798186982E9</v>
      </c>
      <c r="E2443" s="8" t="s">
        <v>14330</v>
      </c>
      <c r="F2443" s="8" t="s">
        <v>3977</v>
      </c>
      <c r="G2443" s="8" t="s">
        <v>14331</v>
      </c>
      <c r="H2443" s="8" t="s">
        <v>3479</v>
      </c>
      <c r="I2443" s="9">
        <v>0.0</v>
      </c>
      <c r="J2443" s="9">
        <v>343.0</v>
      </c>
      <c r="K2443" s="9">
        <v>1843.0</v>
      </c>
      <c r="L2443" s="9">
        <v>1843.0</v>
      </c>
      <c r="M2443" s="9">
        <v>614.0</v>
      </c>
      <c r="N2443" s="9">
        <v>780.0</v>
      </c>
      <c r="O2443" s="9">
        <v>449.0</v>
      </c>
      <c r="P2443" s="8" t="s">
        <v>3519</v>
      </c>
      <c r="Q2443" s="8" t="s">
        <v>14332</v>
      </c>
      <c r="R2443" s="8"/>
    </row>
    <row r="2444">
      <c r="A2444" s="8" t="s">
        <v>2639</v>
      </c>
      <c r="B2444" s="8" t="s">
        <v>14333</v>
      </c>
      <c r="C2444" s="8" t="s">
        <v>14334</v>
      </c>
      <c r="D2444" s="9">
        <v>9.665011724E9</v>
      </c>
      <c r="E2444" s="8" t="s">
        <v>14335</v>
      </c>
      <c r="F2444" s="8" t="s">
        <v>3486</v>
      </c>
      <c r="G2444" s="8" t="s">
        <v>14336</v>
      </c>
      <c r="H2444" s="8" t="s">
        <v>3479</v>
      </c>
      <c r="I2444" s="9">
        <v>0.0</v>
      </c>
      <c r="J2444" s="9">
        <v>1691.0</v>
      </c>
      <c r="K2444" s="9">
        <v>1691.0</v>
      </c>
      <c r="L2444" s="9">
        <v>1691.0</v>
      </c>
      <c r="M2444" s="9">
        <v>1231.0</v>
      </c>
      <c r="N2444" s="9">
        <v>0.0</v>
      </c>
      <c r="O2444" s="9">
        <v>460.0</v>
      </c>
      <c r="P2444" s="8" t="s">
        <v>3480</v>
      </c>
      <c r="Q2444" s="8" t="s">
        <v>14337</v>
      </c>
      <c r="R2444" s="8"/>
    </row>
    <row r="2445">
      <c r="A2445" s="8" t="s">
        <v>1153</v>
      </c>
      <c r="B2445" s="8" t="s">
        <v>14338</v>
      </c>
      <c r="C2445" s="8" t="s">
        <v>14339</v>
      </c>
      <c r="D2445" s="9">
        <v>9.975491991E9</v>
      </c>
      <c r="E2445" s="8" t="s">
        <v>14340</v>
      </c>
      <c r="F2445" s="8" t="s">
        <v>3608</v>
      </c>
      <c r="G2445" s="8" t="s">
        <v>14341</v>
      </c>
      <c r="H2445" s="8" t="s">
        <v>3479</v>
      </c>
      <c r="I2445" s="9">
        <v>0.0</v>
      </c>
      <c r="J2445" s="9">
        <v>3455.0</v>
      </c>
      <c r="K2445" s="9">
        <v>3455.0</v>
      </c>
      <c r="L2445" s="9">
        <v>3455.0</v>
      </c>
      <c r="M2445" s="9">
        <v>3280.0</v>
      </c>
      <c r="N2445" s="9">
        <v>0.0</v>
      </c>
      <c r="O2445" s="9">
        <v>175.0</v>
      </c>
      <c r="P2445" s="8" t="s">
        <v>3480</v>
      </c>
      <c r="Q2445" s="8" t="s">
        <v>14342</v>
      </c>
      <c r="R2445" s="8" t="s">
        <v>14343</v>
      </c>
    </row>
    <row r="2446">
      <c r="A2446" s="8" t="s">
        <v>2649</v>
      </c>
      <c r="B2446" s="8" t="s">
        <v>14344</v>
      </c>
      <c r="C2446" s="8" t="s">
        <v>4469</v>
      </c>
      <c r="D2446" s="9">
        <v>9.860291168E9</v>
      </c>
      <c r="E2446" s="8" t="s">
        <v>4470</v>
      </c>
      <c r="F2446" s="8" t="s">
        <v>3608</v>
      </c>
      <c r="G2446" s="8" t="s">
        <v>14345</v>
      </c>
      <c r="H2446" s="8" t="s">
        <v>3479</v>
      </c>
      <c r="I2446" s="9">
        <v>0.0</v>
      </c>
      <c r="J2446" s="9">
        <v>745.0</v>
      </c>
      <c r="K2446" s="9">
        <v>745.0</v>
      </c>
      <c r="L2446" s="9">
        <v>745.0</v>
      </c>
      <c r="M2446" s="9">
        <v>595.0</v>
      </c>
      <c r="N2446" s="9">
        <v>0.0</v>
      </c>
      <c r="O2446" s="9">
        <v>150.0</v>
      </c>
      <c r="P2446" s="8" t="s">
        <v>3480</v>
      </c>
      <c r="Q2446" s="8"/>
      <c r="R2446" s="8"/>
    </row>
    <row r="2447">
      <c r="A2447" s="8" t="s">
        <v>2650</v>
      </c>
      <c r="B2447" s="8" t="s">
        <v>14346</v>
      </c>
      <c r="C2447" s="8" t="s">
        <v>5219</v>
      </c>
      <c r="D2447" s="9">
        <v>8.208649476E9</v>
      </c>
      <c r="E2447" s="8" t="s">
        <v>5220</v>
      </c>
      <c r="F2447" s="8" t="s">
        <v>3721</v>
      </c>
      <c r="G2447" s="8" t="s">
        <v>5221</v>
      </c>
      <c r="H2447" s="8" t="s">
        <v>3479</v>
      </c>
      <c r="I2447" s="9">
        <v>0.0</v>
      </c>
      <c r="J2447" s="9">
        <v>1295.0</v>
      </c>
      <c r="K2447" s="9">
        <v>1295.0</v>
      </c>
      <c r="L2447" s="9">
        <v>1295.0</v>
      </c>
      <c r="M2447" s="9">
        <v>1120.0</v>
      </c>
      <c r="N2447" s="9">
        <v>0.0</v>
      </c>
      <c r="O2447" s="9">
        <v>175.0</v>
      </c>
      <c r="P2447" s="8" t="s">
        <v>3480</v>
      </c>
      <c r="Q2447" s="8"/>
      <c r="R2447" s="8"/>
    </row>
    <row r="2448">
      <c r="A2448" s="8" t="s">
        <v>2604</v>
      </c>
      <c r="B2448" s="8" t="s">
        <v>14347</v>
      </c>
      <c r="C2448" s="8" t="s">
        <v>4237</v>
      </c>
      <c r="D2448" s="9">
        <v>9.167426875E9</v>
      </c>
      <c r="E2448" s="8" t="s">
        <v>4238</v>
      </c>
      <c r="F2448" s="8" t="s">
        <v>4239</v>
      </c>
      <c r="G2448" s="8" t="s">
        <v>14348</v>
      </c>
      <c r="H2448" s="8" t="s">
        <v>3479</v>
      </c>
      <c r="I2448" s="9">
        <v>0.0</v>
      </c>
      <c r="J2448" s="9">
        <v>899.0</v>
      </c>
      <c r="K2448" s="9">
        <v>899.0</v>
      </c>
      <c r="L2448" s="9">
        <v>899.0</v>
      </c>
      <c r="M2448" s="9">
        <v>370.0</v>
      </c>
      <c r="N2448" s="9">
        <v>80.0</v>
      </c>
      <c r="O2448" s="9">
        <v>449.0</v>
      </c>
      <c r="P2448" s="8" t="s">
        <v>3480</v>
      </c>
      <c r="Q2448" s="8" t="s">
        <v>4241</v>
      </c>
      <c r="R2448" s="8" t="s">
        <v>4242</v>
      </c>
    </row>
    <row r="2449">
      <c r="A2449" s="8" t="s">
        <v>2605</v>
      </c>
      <c r="B2449" s="8" t="s">
        <v>14349</v>
      </c>
      <c r="C2449" s="8" t="s">
        <v>14350</v>
      </c>
      <c r="D2449" s="9">
        <v>9.850623336E9</v>
      </c>
      <c r="E2449" s="8" t="s">
        <v>14351</v>
      </c>
      <c r="F2449" s="8" t="s">
        <v>3821</v>
      </c>
      <c r="G2449" s="8" t="s">
        <v>14352</v>
      </c>
      <c r="H2449" s="8" t="s">
        <v>3479</v>
      </c>
      <c r="I2449" s="9">
        <v>0.0</v>
      </c>
      <c r="J2449" s="9">
        <v>3987.0</v>
      </c>
      <c r="K2449" s="9">
        <v>3987.0</v>
      </c>
      <c r="L2449" s="9">
        <v>3987.0</v>
      </c>
      <c r="M2449" s="9">
        <v>2733.0</v>
      </c>
      <c r="N2449" s="9">
        <v>730.0</v>
      </c>
      <c r="O2449" s="9">
        <v>524.0</v>
      </c>
      <c r="P2449" s="8" t="s">
        <v>3544</v>
      </c>
      <c r="Q2449" s="8" t="s">
        <v>14353</v>
      </c>
      <c r="R2449" s="8" t="s">
        <v>14354</v>
      </c>
    </row>
    <row r="2450">
      <c r="A2450" s="8" t="s">
        <v>2606</v>
      </c>
      <c r="B2450" s="8" t="s">
        <v>14355</v>
      </c>
      <c r="C2450" s="8" t="s">
        <v>7123</v>
      </c>
      <c r="D2450" s="9">
        <v>9.422541447E9</v>
      </c>
      <c r="E2450" s="8" t="s">
        <v>7124</v>
      </c>
      <c r="F2450" s="8" t="s">
        <v>3594</v>
      </c>
      <c r="G2450" s="8" t="s">
        <v>7125</v>
      </c>
      <c r="H2450" s="8" t="s">
        <v>3479</v>
      </c>
      <c r="I2450" s="9">
        <v>0.0</v>
      </c>
      <c r="J2450" s="9">
        <v>2062.0</v>
      </c>
      <c r="K2450" s="9">
        <v>2062.0</v>
      </c>
      <c r="L2450" s="9">
        <v>2062.0</v>
      </c>
      <c r="M2450" s="9">
        <v>808.0</v>
      </c>
      <c r="N2450" s="9">
        <v>730.0</v>
      </c>
      <c r="O2450" s="9">
        <v>524.0</v>
      </c>
      <c r="P2450" s="8" t="s">
        <v>3480</v>
      </c>
      <c r="Q2450" s="8" t="s">
        <v>7126</v>
      </c>
      <c r="R2450" s="8" t="s">
        <v>7127</v>
      </c>
    </row>
    <row r="2451">
      <c r="A2451" s="8" t="s">
        <v>2824</v>
      </c>
      <c r="B2451" s="8" t="s">
        <v>14356</v>
      </c>
      <c r="C2451" s="8" t="s">
        <v>6191</v>
      </c>
      <c r="D2451" s="9">
        <v>9.518352796E9</v>
      </c>
      <c r="E2451" s="8" t="s">
        <v>6192</v>
      </c>
      <c r="F2451" s="8" t="s">
        <v>4093</v>
      </c>
      <c r="G2451" s="8" t="s">
        <v>14357</v>
      </c>
      <c r="H2451" s="8" t="s">
        <v>14358</v>
      </c>
      <c r="I2451" s="9">
        <v>0.0</v>
      </c>
      <c r="J2451" s="9">
        <v>4200.0</v>
      </c>
      <c r="K2451" s="9">
        <v>4378.0</v>
      </c>
      <c r="L2451" s="9">
        <v>4200.0</v>
      </c>
      <c r="M2451" s="9">
        <v>3691.0</v>
      </c>
      <c r="N2451" s="9">
        <v>187.0</v>
      </c>
      <c r="O2451" s="9">
        <v>500.0</v>
      </c>
      <c r="P2451" s="8" t="s">
        <v>3519</v>
      </c>
      <c r="Q2451" s="8" t="s">
        <v>6195</v>
      </c>
      <c r="R2451" s="8" t="s">
        <v>6196</v>
      </c>
    </row>
    <row r="2452">
      <c r="A2452" s="8" t="s">
        <v>2607</v>
      </c>
      <c r="B2452" s="8" t="s">
        <v>14359</v>
      </c>
      <c r="C2452" s="8" t="s">
        <v>14360</v>
      </c>
      <c r="D2452" s="9">
        <v>9.422623408E9</v>
      </c>
      <c r="E2452" s="8" t="s">
        <v>14361</v>
      </c>
      <c r="F2452" s="8" t="s">
        <v>3601</v>
      </c>
      <c r="G2452" s="8" t="s">
        <v>14362</v>
      </c>
      <c r="H2452" s="8" t="s">
        <v>3479</v>
      </c>
      <c r="I2452" s="9">
        <v>0.0</v>
      </c>
      <c r="J2452" s="9">
        <v>1599.0</v>
      </c>
      <c r="K2452" s="9">
        <v>1599.0</v>
      </c>
      <c r="L2452" s="9">
        <v>1599.0</v>
      </c>
      <c r="M2452" s="9">
        <v>370.0</v>
      </c>
      <c r="N2452" s="9">
        <v>780.0</v>
      </c>
      <c r="O2452" s="9">
        <v>449.0</v>
      </c>
      <c r="P2452" s="8" t="s">
        <v>3480</v>
      </c>
      <c r="Q2452" s="8"/>
      <c r="R2452" s="8"/>
    </row>
    <row r="2453">
      <c r="A2453" s="8" t="s">
        <v>2891</v>
      </c>
      <c r="B2453" s="8" t="s">
        <v>14363</v>
      </c>
      <c r="C2453" s="8" t="s">
        <v>14364</v>
      </c>
      <c r="D2453" s="9">
        <v>9.833693526E9</v>
      </c>
      <c r="E2453" s="8" t="s">
        <v>14365</v>
      </c>
      <c r="F2453" s="8" t="s">
        <v>3608</v>
      </c>
      <c r="G2453" s="8" t="s">
        <v>14366</v>
      </c>
      <c r="H2453" s="8" t="s">
        <v>3479</v>
      </c>
      <c r="I2453" s="9">
        <v>0.0</v>
      </c>
      <c r="J2453" s="9">
        <v>1434.0</v>
      </c>
      <c r="K2453" s="9">
        <v>1434.0</v>
      </c>
      <c r="L2453" s="9">
        <v>1434.0</v>
      </c>
      <c r="M2453" s="9">
        <v>255.0</v>
      </c>
      <c r="N2453" s="9">
        <v>730.0</v>
      </c>
      <c r="O2453" s="9">
        <v>449.0</v>
      </c>
      <c r="P2453" s="8" t="s">
        <v>3480</v>
      </c>
      <c r="Q2453" s="8" t="s">
        <v>14367</v>
      </c>
      <c r="R2453" s="8" t="s">
        <v>14368</v>
      </c>
    </row>
    <row r="2454">
      <c r="A2454" s="8" t="s">
        <v>2892</v>
      </c>
      <c r="B2454" s="8" t="s">
        <v>14369</v>
      </c>
      <c r="C2454" s="8" t="s">
        <v>14370</v>
      </c>
      <c r="D2454" s="9">
        <v>9.867644017E9</v>
      </c>
      <c r="E2454" s="8" t="s">
        <v>14371</v>
      </c>
      <c r="F2454" s="8" t="s">
        <v>3757</v>
      </c>
      <c r="G2454" s="8" t="s">
        <v>8081</v>
      </c>
      <c r="H2454" s="8" t="s">
        <v>3479</v>
      </c>
      <c r="I2454" s="9">
        <v>0.0</v>
      </c>
      <c r="J2454" s="9">
        <v>7156.0</v>
      </c>
      <c r="K2454" s="9">
        <v>7156.0</v>
      </c>
      <c r="L2454" s="9">
        <v>7156.0</v>
      </c>
      <c r="M2454" s="9">
        <v>3739.0</v>
      </c>
      <c r="N2454" s="9">
        <v>1468.0</v>
      </c>
      <c r="O2454" s="9">
        <v>1949.0</v>
      </c>
      <c r="P2454" s="8" t="s">
        <v>3480</v>
      </c>
      <c r="Q2454" s="8"/>
      <c r="R2454" s="8"/>
    </row>
    <row r="2455">
      <c r="A2455" s="8" t="s">
        <v>2890</v>
      </c>
      <c r="B2455" s="8" t="s">
        <v>14372</v>
      </c>
      <c r="C2455" s="8" t="s">
        <v>14373</v>
      </c>
      <c r="D2455" s="9">
        <v>9.423472539E9</v>
      </c>
      <c r="E2455" s="8" t="s">
        <v>14374</v>
      </c>
      <c r="F2455" s="8" t="s">
        <v>3721</v>
      </c>
      <c r="G2455" s="8" t="s">
        <v>14375</v>
      </c>
      <c r="H2455" s="8" t="s">
        <v>3479</v>
      </c>
      <c r="I2455" s="9">
        <v>0.0</v>
      </c>
      <c r="J2455" s="9">
        <v>2176.0</v>
      </c>
      <c r="K2455" s="9">
        <v>2176.0</v>
      </c>
      <c r="L2455" s="9">
        <v>2176.0</v>
      </c>
      <c r="M2455" s="9">
        <v>1205.0</v>
      </c>
      <c r="N2455" s="9">
        <v>447.0</v>
      </c>
      <c r="O2455" s="9">
        <v>524.0</v>
      </c>
      <c r="P2455" s="8" t="s">
        <v>3480</v>
      </c>
      <c r="Q2455" s="8"/>
      <c r="R2455" s="8"/>
    </row>
    <row r="2456">
      <c r="A2456" s="8" t="s">
        <v>2893</v>
      </c>
      <c r="B2456" s="8" t="s">
        <v>14376</v>
      </c>
      <c r="C2456" s="8" t="s">
        <v>7979</v>
      </c>
      <c r="D2456" s="9">
        <v>8.421040002E9</v>
      </c>
      <c r="E2456" s="8" t="s">
        <v>7980</v>
      </c>
      <c r="F2456" s="8" t="s">
        <v>3564</v>
      </c>
      <c r="G2456" s="8" t="s">
        <v>7981</v>
      </c>
      <c r="H2456" s="8" t="s">
        <v>3479</v>
      </c>
      <c r="I2456" s="9">
        <v>0.0</v>
      </c>
      <c r="J2456" s="9">
        <v>2062.0</v>
      </c>
      <c r="K2456" s="9">
        <v>2062.0</v>
      </c>
      <c r="L2456" s="9">
        <v>2062.0</v>
      </c>
      <c r="M2456" s="9">
        <v>848.0</v>
      </c>
      <c r="N2456" s="9">
        <v>190.0</v>
      </c>
      <c r="O2456" s="9">
        <v>1024.0</v>
      </c>
      <c r="P2456" s="8" t="s">
        <v>3480</v>
      </c>
      <c r="Q2456" s="8" t="s">
        <v>7982</v>
      </c>
      <c r="R2456" s="8"/>
    </row>
    <row r="2457">
      <c r="A2457" s="8" t="s">
        <v>2829</v>
      </c>
      <c r="B2457" s="8" t="s">
        <v>14377</v>
      </c>
      <c r="C2457" s="8" t="s">
        <v>14378</v>
      </c>
      <c r="D2457" s="9">
        <v>8.379862337E9</v>
      </c>
      <c r="E2457" s="8" t="s">
        <v>14379</v>
      </c>
      <c r="F2457" s="8" t="s">
        <v>6253</v>
      </c>
      <c r="G2457" s="8" t="s">
        <v>14380</v>
      </c>
      <c r="H2457" s="8" t="s">
        <v>3479</v>
      </c>
      <c r="I2457" s="9">
        <v>0.0</v>
      </c>
      <c r="J2457" s="9">
        <v>3050.0</v>
      </c>
      <c r="K2457" s="9">
        <v>3050.0</v>
      </c>
      <c r="L2457" s="9">
        <v>3050.0</v>
      </c>
      <c r="M2457" s="9">
        <v>3050.0</v>
      </c>
      <c r="N2457" s="9">
        <v>0.0</v>
      </c>
      <c r="O2457" s="9">
        <v>0.0</v>
      </c>
      <c r="P2457" s="8" t="s">
        <v>3480</v>
      </c>
      <c r="Q2457" s="8"/>
      <c r="R2457" s="8"/>
    </row>
    <row r="2458">
      <c r="A2458" s="8" t="s">
        <v>2803</v>
      </c>
      <c r="B2458" s="8" t="s">
        <v>14381</v>
      </c>
      <c r="C2458" s="8" t="s">
        <v>14382</v>
      </c>
      <c r="D2458" s="9">
        <v>8.149338812E9</v>
      </c>
      <c r="E2458" s="8" t="s">
        <v>14383</v>
      </c>
      <c r="F2458" s="8" t="s">
        <v>14384</v>
      </c>
      <c r="G2458" s="8" t="s">
        <v>14385</v>
      </c>
      <c r="H2458" s="8" t="s">
        <v>3479</v>
      </c>
      <c r="I2458" s="9">
        <v>0.0</v>
      </c>
      <c r="J2458" s="9">
        <v>839.0</v>
      </c>
      <c r="K2458" s="9">
        <v>839.0</v>
      </c>
      <c r="L2458" s="9">
        <v>839.0</v>
      </c>
      <c r="M2458" s="9">
        <v>310.0</v>
      </c>
      <c r="N2458" s="9">
        <v>80.0</v>
      </c>
      <c r="O2458" s="9">
        <v>449.0</v>
      </c>
      <c r="P2458" s="8" t="s">
        <v>3480</v>
      </c>
      <c r="Q2458" s="8" t="s">
        <v>14386</v>
      </c>
      <c r="R2458" s="8" t="s">
        <v>14387</v>
      </c>
    </row>
    <row r="2459">
      <c r="A2459" s="8" t="s">
        <v>2826</v>
      </c>
      <c r="B2459" s="8" t="s">
        <v>14388</v>
      </c>
      <c r="C2459" s="8" t="s">
        <v>14389</v>
      </c>
      <c r="D2459" s="9">
        <v>9.112721874E9</v>
      </c>
      <c r="E2459" s="8" t="s">
        <v>14390</v>
      </c>
      <c r="F2459" s="8" t="s">
        <v>3601</v>
      </c>
      <c r="G2459" s="8" t="s">
        <v>14391</v>
      </c>
      <c r="H2459" s="8" t="s">
        <v>5186</v>
      </c>
      <c r="I2459" s="9">
        <v>0.0</v>
      </c>
      <c r="J2459" s="9">
        <v>1300.0</v>
      </c>
      <c r="K2459" s="9">
        <v>1349.0</v>
      </c>
      <c r="L2459" s="9">
        <v>1300.0</v>
      </c>
      <c r="M2459" s="9">
        <v>135.0</v>
      </c>
      <c r="N2459" s="9">
        <v>765.0</v>
      </c>
      <c r="O2459" s="9">
        <v>449.0</v>
      </c>
      <c r="P2459" s="8" t="s">
        <v>3519</v>
      </c>
      <c r="Q2459" s="8"/>
      <c r="R2459" s="8"/>
    </row>
    <row r="2460">
      <c r="A2460" s="8" t="s">
        <v>2830</v>
      </c>
      <c r="B2460" s="8" t="s">
        <v>14392</v>
      </c>
      <c r="C2460" s="8" t="s">
        <v>14393</v>
      </c>
      <c r="D2460" s="9">
        <v>7.219308794E9</v>
      </c>
      <c r="E2460" s="8" t="s">
        <v>14394</v>
      </c>
      <c r="F2460" s="8" t="s">
        <v>4333</v>
      </c>
      <c r="G2460" s="8" t="s">
        <v>14395</v>
      </c>
      <c r="H2460" s="8" t="s">
        <v>3479</v>
      </c>
      <c r="I2460" s="9">
        <v>0.0</v>
      </c>
      <c r="J2460" s="9">
        <v>2545.0</v>
      </c>
      <c r="K2460" s="9">
        <v>2545.0</v>
      </c>
      <c r="L2460" s="9">
        <v>2545.0</v>
      </c>
      <c r="M2460" s="9">
        <v>2270.0</v>
      </c>
      <c r="N2460" s="9">
        <v>0.0</v>
      </c>
      <c r="O2460" s="9">
        <v>275.0</v>
      </c>
      <c r="P2460" s="8" t="s">
        <v>3480</v>
      </c>
      <c r="Q2460" s="8"/>
      <c r="R2460" s="8"/>
    </row>
    <row r="2461">
      <c r="A2461" s="8" t="s">
        <v>2894</v>
      </c>
      <c r="B2461" s="8" t="s">
        <v>14396</v>
      </c>
      <c r="C2461" s="8" t="s">
        <v>14397</v>
      </c>
      <c r="D2461" s="9">
        <v>9.404469192E9</v>
      </c>
      <c r="E2461" s="8" t="s">
        <v>14398</v>
      </c>
      <c r="F2461" s="8" t="s">
        <v>3608</v>
      </c>
      <c r="G2461" s="8" t="s">
        <v>14399</v>
      </c>
      <c r="H2461" s="8" t="s">
        <v>3479</v>
      </c>
      <c r="I2461" s="9">
        <v>0.0</v>
      </c>
      <c r="J2461" s="9">
        <v>2367.0</v>
      </c>
      <c r="K2461" s="9">
        <v>2367.0</v>
      </c>
      <c r="L2461" s="9">
        <v>2367.0</v>
      </c>
      <c r="M2461" s="9">
        <v>1068.0</v>
      </c>
      <c r="N2461" s="9">
        <v>730.0</v>
      </c>
      <c r="O2461" s="9">
        <v>569.0</v>
      </c>
      <c r="P2461" s="8" t="s">
        <v>3480</v>
      </c>
      <c r="Q2461" s="8" t="s">
        <v>14400</v>
      </c>
      <c r="R2461" s="8" t="s">
        <v>14401</v>
      </c>
    </row>
    <row r="2462">
      <c r="A2462" s="8" t="s">
        <v>2895</v>
      </c>
      <c r="B2462" s="8" t="s">
        <v>14402</v>
      </c>
      <c r="C2462" s="8" t="s">
        <v>14403</v>
      </c>
      <c r="D2462" s="9">
        <v>7.676174076E9</v>
      </c>
      <c r="E2462" s="8" t="s">
        <v>14404</v>
      </c>
      <c r="F2462" s="8" t="s">
        <v>4150</v>
      </c>
      <c r="G2462" s="8" t="s">
        <v>14405</v>
      </c>
      <c r="H2462" s="8" t="s">
        <v>3479</v>
      </c>
      <c r="I2462" s="9">
        <v>0.0</v>
      </c>
      <c r="J2462" s="9">
        <v>1313.0</v>
      </c>
      <c r="K2462" s="9">
        <v>1313.0</v>
      </c>
      <c r="L2462" s="9">
        <v>1313.0</v>
      </c>
      <c r="M2462" s="9">
        <v>80.0</v>
      </c>
      <c r="N2462" s="9">
        <v>784.0</v>
      </c>
      <c r="O2462" s="9">
        <v>449.0</v>
      </c>
      <c r="P2462" s="8" t="s">
        <v>3480</v>
      </c>
      <c r="Q2462" s="8" t="s">
        <v>14406</v>
      </c>
      <c r="R2462" s="8" t="s">
        <v>14407</v>
      </c>
    </row>
    <row r="2463">
      <c r="A2463" s="8" t="s">
        <v>2896</v>
      </c>
      <c r="B2463" s="8" t="s">
        <v>14408</v>
      </c>
      <c r="C2463" s="8" t="s">
        <v>11272</v>
      </c>
      <c r="D2463" s="9">
        <v>9.923349595E9</v>
      </c>
      <c r="E2463" s="8" t="s">
        <v>11273</v>
      </c>
      <c r="F2463" s="8" t="s">
        <v>3821</v>
      </c>
      <c r="G2463" s="8" t="s">
        <v>14409</v>
      </c>
      <c r="H2463" s="8" t="s">
        <v>3479</v>
      </c>
      <c r="I2463" s="9">
        <v>0.0</v>
      </c>
      <c r="J2463" s="9">
        <v>4448.0</v>
      </c>
      <c r="K2463" s="9">
        <v>4448.0</v>
      </c>
      <c r="L2463" s="9">
        <v>4448.0</v>
      </c>
      <c r="M2463" s="9">
        <v>2569.0</v>
      </c>
      <c r="N2463" s="9">
        <v>730.0</v>
      </c>
      <c r="O2463" s="9">
        <v>1149.0</v>
      </c>
      <c r="P2463" s="8" t="s">
        <v>3480</v>
      </c>
      <c r="Q2463" s="8"/>
      <c r="R2463" s="8"/>
    </row>
    <row r="2464">
      <c r="A2464" s="8" t="s">
        <v>2897</v>
      </c>
      <c r="B2464" s="8" t="s">
        <v>14410</v>
      </c>
      <c r="C2464" s="8" t="s">
        <v>14411</v>
      </c>
      <c r="D2464" s="9">
        <v>9.607135727E9</v>
      </c>
      <c r="E2464" s="8" t="s">
        <v>14412</v>
      </c>
      <c r="F2464" s="8" t="s">
        <v>5633</v>
      </c>
      <c r="G2464" s="8" t="s">
        <v>14413</v>
      </c>
      <c r="H2464" s="8" t="s">
        <v>3479</v>
      </c>
      <c r="I2464" s="9">
        <v>0.0</v>
      </c>
      <c r="J2464" s="9">
        <v>3551.0</v>
      </c>
      <c r="K2464" s="9">
        <v>3551.0</v>
      </c>
      <c r="L2464" s="9">
        <v>3551.0</v>
      </c>
      <c r="M2464" s="9">
        <v>1577.0</v>
      </c>
      <c r="N2464" s="9">
        <v>700.0</v>
      </c>
      <c r="O2464" s="9">
        <v>1274.0</v>
      </c>
      <c r="P2464" s="8" t="s">
        <v>3480</v>
      </c>
      <c r="Q2464" s="8"/>
      <c r="R2464" s="8"/>
    </row>
    <row r="2465">
      <c r="A2465" s="8" t="s">
        <v>2898</v>
      </c>
      <c r="B2465" s="8" t="s">
        <v>14414</v>
      </c>
      <c r="C2465" s="8" t="s">
        <v>14415</v>
      </c>
      <c r="D2465" s="9">
        <v>9.881634714E9</v>
      </c>
      <c r="E2465" s="8" t="s">
        <v>14416</v>
      </c>
      <c r="F2465" s="8" t="s">
        <v>3498</v>
      </c>
      <c r="G2465" s="8" t="s">
        <v>14417</v>
      </c>
      <c r="H2465" s="8" t="s">
        <v>3479</v>
      </c>
      <c r="I2465" s="9">
        <v>0.0</v>
      </c>
      <c r="J2465" s="9">
        <v>3139.0</v>
      </c>
      <c r="K2465" s="9">
        <v>3139.0</v>
      </c>
      <c r="L2465" s="9">
        <v>3139.0</v>
      </c>
      <c r="M2465" s="9">
        <v>1885.0</v>
      </c>
      <c r="N2465" s="9">
        <v>730.0</v>
      </c>
      <c r="O2465" s="9">
        <v>524.0</v>
      </c>
      <c r="P2465" s="8" t="s">
        <v>3480</v>
      </c>
      <c r="Q2465" s="8"/>
      <c r="R2465" s="8"/>
    </row>
    <row r="2466">
      <c r="A2466" s="8" t="s">
        <v>2608</v>
      </c>
      <c r="B2466" s="8" t="s">
        <v>14418</v>
      </c>
      <c r="C2466" s="8" t="s">
        <v>10313</v>
      </c>
      <c r="D2466" s="9">
        <v>7.709561377E9</v>
      </c>
      <c r="E2466" s="8" t="s">
        <v>10314</v>
      </c>
      <c r="F2466" s="8" t="s">
        <v>3601</v>
      </c>
      <c r="G2466" s="8" t="s">
        <v>14419</v>
      </c>
      <c r="H2466" s="8" t="s">
        <v>3479</v>
      </c>
      <c r="I2466" s="9">
        <v>0.0</v>
      </c>
      <c r="J2466" s="9">
        <v>1259.0</v>
      </c>
      <c r="K2466" s="9">
        <v>1259.0</v>
      </c>
      <c r="L2466" s="9">
        <v>1259.0</v>
      </c>
      <c r="M2466" s="9">
        <v>80.0</v>
      </c>
      <c r="N2466" s="9">
        <v>730.0</v>
      </c>
      <c r="O2466" s="9">
        <v>449.0</v>
      </c>
      <c r="P2466" s="8" t="s">
        <v>3480</v>
      </c>
      <c r="Q2466" s="8" t="s">
        <v>14420</v>
      </c>
      <c r="R2466" s="8" t="s">
        <v>14421</v>
      </c>
    </row>
    <row r="2467">
      <c r="A2467" s="8" t="s">
        <v>2609</v>
      </c>
      <c r="B2467" s="8" t="s">
        <v>14422</v>
      </c>
      <c r="C2467" s="8" t="s">
        <v>14423</v>
      </c>
      <c r="D2467" s="9">
        <v>7.387186785E9</v>
      </c>
      <c r="E2467" s="8" t="s">
        <v>14424</v>
      </c>
      <c r="F2467" s="8" t="s">
        <v>3615</v>
      </c>
      <c r="G2467" s="8" t="s">
        <v>14425</v>
      </c>
      <c r="H2467" s="8" t="s">
        <v>3479</v>
      </c>
      <c r="I2467" s="9">
        <v>0.0</v>
      </c>
      <c r="J2467" s="9">
        <v>1313.0</v>
      </c>
      <c r="K2467" s="9">
        <v>1313.0</v>
      </c>
      <c r="L2467" s="9">
        <v>1313.0</v>
      </c>
      <c r="M2467" s="9">
        <v>80.0</v>
      </c>
      <c r="N2467" s="9">
        <v>784.0</v>
      </c>
      <c r="O2467" s="9">
        <v>449.0</v>
      </c>
      <c r="P2467" s="8" t="s">
        <v>3480</v>
      </c>
      <c r="Q2467" s="8" t="s">
        <v>14426</v>
      </c>
      <c r="R2467" s="8" t="s">
        <v>14427</v>
      </c>
    </row>
    <row r="2468">
      <c r="A2468" s="8" t="s">
        <v>2412</v>
      </c>
      <c r="B2468" s="8" t="s">
        <v>14428</v>
      </c>
      <c r="C2468" s="8" t="s">
        <v>14429</v>
      </c>
      <c r="D2468" s="9">
        <v>9.82237405E9</v>
      </c>
      <c r="E2468" s="8" t="s">
        <v>14430</v>
      </c>
      <c r="F2468" s="8" t="s">
        <v>4507</v>
      </c>
      <c r="G2468" s="8" t="s">
        <v>14431</v>
      </c>
      <c r="H2468" s="8" t="s">
        <v>3479</v>
      </c>
      <c r="I2468" s="9">
        <v>0.0</v>
      </c>
      <c r="J2468" s="9">
        <v>2250.0</v>
      </c>
      <c r="K2468" s="9">
        <v>2250.0</v>
      </c>
      <c r="L2468" s="9">
        <v>2250.0</v>
      </c>
      <c r="M2468" s="9">
        <v>2250.0</v>
      </c>
      <c r="N2468" s="9">
        <v>0.0</v>
      </c>
      <c r="O2468" s="9">
        <v>0.0</v>
      </c>
      <c r="P2468" s="8" t="s">
        <v>3480</v>
      </c>
      <c r="Q2468" s="8"/>
      <c r="R2468" s="8"/>
    </row>
    <row r="2469">
      <c r="A2469" s="8" t="s">
        <v>2610</v>
      </c>
      <c r="B2469" s="8" t="s">
        <v>14432</v>
      </c>
      <c r="C2469" s="8" t="s">
        <v>14433</v>
      </c>
      <c r="D2469" s="9">
        <v>9.922936592E9</v>
      </c>
      <c r="E2469" s="8" t="s">
        <v>14434</v>
      </c>
      <c r="F2469" s="8" t="s">
        <v>3589</v>
      </c>
      <c r="G2469" s="8" t="s">
        <v>14435</v>
      </c>
      <c r="H2469" s="8" t="s">
        <v>3479</v>
      </c>
      <c r="I2469" s="9">
        <v>0.0</v>
      </c>
      <c r="J2469" s="9">
        <v>2194.0</v>
      </c>
      <c r="K2469" s="9">
        <v>2194.0</v>
      </c>
      <c r="L2469" s="9">
        <v>2194.0</v>
      </c>
      <c r="M2469" s="9">
        <v>940.0</v>
      </c>
      <c r="N2469" s="9">
        <v>730.0</v>
      </c>
      <c r="O2469" s="9">
        <v>524.0</v>
      </c>
      <c r="P2469" s="8" t="s">
        <v>3480</v>
      </c>
      <c r="Q2469" s="8"/>
      <c r="R2469" s="8"/>
    </row>
    <row r="2470">
      <c r="A2470" s="8" t="s">
        <v>2611</v>
      </c>
      <c r="B2470" s="8" t="s">
        <v>14436</v>
      </c>
      <c r="C2470" s="8" t="s">
        <v>14437</v>
      </c>
      <c r="D2470" s="9">
        <v>8.605651344E9</v>
      </c>
      <c r="E2470" s="8" t="s">
        <v>14438</v>
      </c>
      <c r="F2470" s="8" t="s">
        <v>4252</v>
      </c>
      <c r="G2470" s="8" t="s">
        <v>14439</v>
      </c>
      <c r="H2470" s="8" t="s">
        <v>3479</v>
      </c>
      <c r="I2470" s="9">
        <v>0.0</v>
      </c>
      <c r="J2470" s="9">
        <v>1216.0</v>
      </c>
      <c r="K2470" s="9">
        <v>1216.0</v>
      </c>
      <c r="L2470" s="9">
        <v>1216.0</v>
      </c>
      <c r="M2470" s="9">
        <v>328.0</v>
      </c>
      <c r="N2470" s="9">
        <v>64.0</v>
      </c>
      <c r="O2470" s="9">
        <v>824.0</v>
      </c>
      <c r="P2470" s="8" t="s">
        <v>3480</v>
      </c>
      <c r="Q2470" s="8" t="s">
        <v>14440</v>
      </c>
      <c r="R2470" s="8" t="s">
        <v>14441</v>
      </c>
    </row>
    <row r="2471">
      <c r="A2471" s="8" t="s">
        <v>2614</v>
      </c>
      <c r="B2471" s="8" t="s">
        <v>14442</v>
      </c>
      <c r="C2471" s="8" t="s">
        <v>10523</v>
      </c>
      <c r="D2471" s="9">
        <v>9.656720772E9</v>
      </c>
      <c r="E2471" s="8" t="s">
        <v>10524</v>
      </c>
      <c r="F2471" s="8" t="s">
        <v>4373</v>
      </c>
      <c r="G2471" s="8" t="s">
        <v>14443</v>
      </c>
      <c r="H2471" s="8" t="s">
        <v>3479</v>
      </c>
      <c r="I2471" s="9">
        <v>0.0</v>
      </c>
      <c r="J2471" s="9">
        <v>850.0</v>
      </c>
      <c r="K2471" s="9">
        <v>850.0</v>
      </c>
      <c r="L2471" s="9">
        <v>850.0</v>
      </c>
      <c r="M2471" s="9">
        <v>850.0</v>
      </c>
      <c r="N2471" s="9">
        <v>0.0</v>
      </c>
      <c r="O2471" s="9">
        <v>0.0</v>
      </c>
      <c r="P2471" s="8" t="s">
        <v>3480</v>
      </c>
      <c r="Q2471" s="8"/>
      <c r="R2471" s="8"/>
    </row>
    <row r="2472">
      <c r="A2472" s="8" t="s">
        <v>2804</v>
      </c>
      <c r="B2472" s="8" t="s">
        <v>14444</v>
      </c>
      <c r="C2472" s="8" t="s">
        <v>10946</v>
      </c>
      <c r="D2472" s="9">
        <v>7.774991134E9</v>
      </c>
      <c r="E2472" s="8" t="s">
        <v>14445</v>
      </c>
      <c r="F2472" s="8" t="s">
        <v>6234</v>
      </c>
      <c r="G2472" s="8" t="s">
        <v>14446</v>
      </c>
      <c r="H2472" s="8" t="s">
        <v>3479</v>
      </c>
      <c r="I2472" s="9">
        <v>0.0</v>
      </c>
      <c r="J2472" s="9">
        <v>1876.0</v>
      </c>
      <c r="K2472" s="9">
        <v>1876.0</v>
      </c>
      <c r="L2472" s="9">
        <v>1876.0</v>
      </c>
      <c r="M2472" s="9">
        <v>697.0</v>
      </c>
      <c r="N2472" s="9">
        <v>730.0</v>
      </c>
      <c r="O2472" s="9">
        <v>449.0</v>
      </c>
      <c r="P2472" s="8" t="s">
        <v>3480</v>
      </c>
      <c r="Q2472" s="8" t="s">
        <v>14447</v>
      </c>
      <c r="R2472" s="8" t="s">
        <v>14448</v>
      </c>
    </row>
    <row r="2473">
      <c r="A2473" s="8" t="s">
        <v>2413</v>
      </c>
      <c r="B2473" s="8" t="s">
        <v>14449</v>
      </c>
      <c r="C2473" s="8" t="s">
        <v>5035</v>
      </c>
      <c r="D2473" s="9">
        <v>9.096948907E9</v>
      </c>
      <c r="E2473" s="8" t="s">
        <v>5036</v>
      </c>
      <c r="F2473" s="8" t="s">
        <v>3486</v>
      </c>
      <c r="G2473" s="8" t="s">
        <v>3494</v>
      </c>
      <c r="H2473" s="8" t="s">
        <v>3479</v>
      </c>
      <c r="I2473" s="9">
        <v>0.0</v>
      </c>
      <c r="J2473" s="9">
        <v>4039.0</v>
      </c>
      <c r="K2473" s="9">
        <v>4039.0</v>
      </c>
      <c r="L2473" s="9">
        <v>4039.0</v>
      </c>
      <c r="M2473" s="9">
        <v>2860.0</v>
      </c>
      <c r="N2473" s="9">
        <v>730.0</v>
      </c>
      <c r="O2473" s="9">
        <v>449.0</v>
      </c>
      <c r="P2473" s="8" t="s">
        <v>3480</v>
      </c>
      <c r="Q2473" s="8"/>
      <c r="R2473" s="8"/>
    </row>
    <row r="2474">
      <c r="A2474" s="8" t="s">
        <v>2615</v>
      </c>
      <c r="B2474" s="8" t="s">
        <v>14450</v>
      </c>
      <c r="C2474" s="8" t="s">
        <v>14451</v>
      </c>
      <c r="D2474" s="9">
        <v>9.923442446E9</v>
      </c>
      <c r="E2474" s="8" t="s">
        <v>14452</v>
      </c>
      <c r="F2474" s="8" t="s">
        <v>3493</v>
      </c>
      <c r="G2474" s="8" t="s">
        <v>13772</v>
      </c>
      <c r="H2474" s="8" t="s">
        <v>3479</v>
      </c>
      <c r="I2474" s="9">
        <v>0.0</v>
      </c>
      <c r="J2474" s="9">
        <v>1518.0</v>
      </c>
      <c r="K2474" s="9">
        <v>1518.0</v>
      </c>
      <c r="L2474" s="9">
        <v>1518.0</v>
      </c>
      <c r="M2474" s="9">
        <v>135.0</v>
      </c>
      <c r="N2474" s="9">
        <v>784.0</v>
      </c>
      <c r="O2474" s="9">
        <v>599.0</v>
      </c>
      <c r="P2474" s="8" t="s">
        <v>3480</v>
      </c>
      <c r="Q2474" s="8" t="s">
        <v>14453</v>
      </c>
      <c r="R2474" s="8" t="s">
        <v>14454</v>
      </c>
    </row>
    <row r="2475">
      <c r="A2475" s="8" t="s">
        <v>2900</v>
      </c>
      <c r="B2475" s="8" t="s">
        <v>14455</v>
      </c>
      <c r="C2475" s="8" t="s">
        <v>14456</v>
      </c>
      <c r="D2475" s="9">
        <v>7.249040206E9</v>
      </c>
      <c r="E2475" s="8" t="s">
        <v>14457</v>
      </c>
      <c r="F2475" s="8" t="s">
        <v>5979</v>
      </c>
      <c r="G2475" s="8" t="s">
        <v>14458</v>
      </c>
      <c r="H2475" s="8" t="s">
        <v>3479</v>
      </c>
      <c r="I2475" s="9">
        <v>0.0</v>
      </c>
      <c r="J2475" s="9">
        <v>2991.0</v>
      </c>
      <c r="K2475" s="9">
        <v>2991.0</v>
      </c>
      <c r="L2475" s="9">
        <v>2991.0</v>
      </c>
      <c r="M2475" s="9">
        <v>988.0</v>
      </c>
      <c r="N2475" s="9">
        <v>784.0</v>
      </c>
      <c r="O2475" s="9">
        <v>1219.0</v>
      </c>
      <c r="P2475" s="8" t="s">
        <v>3480</v>
      </c>
      <c r="Q2475" s="8" t="s">
        <v>14459</v>
      </c>
      <c r="R2475" s="8" t="s">
        <v>14460</v>
      </c>
    </row>
    <row r="2476">
      <c r="A2476" s="8" t="s">
        <v>2831</v>
      </c>
      <c r="B2476" s="8" t="s">
        <v>14461</v>
      </c>
      <c r="C2476" s="8" t="s">
        <v>12587</v>
      </c>
      <c r="D2476" s="9">
        <v>9.545428497E9</v>
      </c>
      <c r="E2476" s="8" t="s">
        <v>12588</v>
      </c>
      <c r="F2476" s="8" t="s">
        <v>3959</v>
      </c>
      <c r="G2476" s="8" t="s">
        <v>14462</v>
      </c>
      <c r="H2476" s="8" t="s">
        <v>3479</v>
      </c>
      <c r="I2476" s="9">
        <v>0.0</v>
      </c>
      <c r="J2476" s="9">
        <v>1838.0</v>
      </c>
      <c r="K2476" s="9">
        <v>1838.0</v>
      </c>
      <c r="L2476" s="9">
        <v>1838.0</v>
      </c>
      <c r="M2476" s="9">
        <v>605.0</v>
      </c>
      <c r="N2476" s="9">
        <v>784.0</v>
      </c>
      <c r="O2476" s="9">
        <v>449.0</v>
      </c>
      <c r="P2476" s="8" t="s">
        <v>3480</v>
      </c>
      <c r="Q2476" s="8" t="s">
        <v>12590</v>
      </c>
      <c r="R2476" s="8" t="s">
        <v>12591</v>
      </c>
    </row>
    <row r="2477">
      <c r="A2477" s="8" t="s">
        <v>2414</v>
      </c>
      <c r="B2477" s="8" t="s">
        <v>14463</v>
      </c>
      <c r="C2477" s="8" t="s">
        <v>14464</v>
      </c>
      <c r="D2477" s="9">
        <v>9.340421119E9</v>
      </c>
      <c r="E2477" s="8" t="s">
        <v>14465</v>
      </c>
      <c r="F2477" s="8" t="s">
        <v>4093</v>
      </c>
      <c r="G2477" s="8" t="s">
        <v>14466</v>
      </c>
      <c r="H2477" s="8" t="s">
        <v>3479</v>
      </c>
      <c r="I2477" s="9">
        <v>0.0</v>
      </c>
      <c r="J2477" s="9">
        <v>1123.0</v>
      </c>
      <c r="K2477" s="9">
        <v>1123.0</v>
      </c>
      <c r="L2477" s="9">
        <v>1123.0</v>
      </c>
      <c r="M2477" s="9">
        <v>80.0</v>
      </c>
      <c r="N2477" s="9">
        <v>594.0</v>
      </c>
      <c r="O2477" s="9">
        <v>449.0</v>
      </c>
      <c r="P2477" s="8" t="s">
        <v>3480</v>
      </c>
      <c r="Q2477" s="8" t="s">
        <v>14467</v>
      </c>
      <c r="R2477" s="8" t="s">
        <v>14468</v>
      </c>
    </row>
    <row r="2478">
      <c r="A2478" s="8" t="s">
        <v>2415</v>
      </c>
      <c r="B2478" s="8" t="s">
        <v>14469</v>
      </c>
      <c r="C2478" s="8" t="s">
        <v>14470</v>
      </c>
      <c r="D2478" s="9">
        <v>9.527711142E9</v>
      </c>
      <c r="E2478" s="8" t="s">
        <v>14471</v>
      </c>
      <c r="F2478" s="8" t="s">
        <v>4391</v>
      </c>
      <c r="G2478" s="8" t="s">
        <v>14472</v>
      </c>
      <c r="H2478" s="8" t="s">
        <v>3479</v>
      </c>
      <c r="I2478" s="9">
        <v>0.0</v>
      </c>
      <c r="J2478" s="9">
        <v>609.0</v>
      </c>
      <c r="K2478" s="9">
        <v>609.0</v>
      </c>
      <c r="L2478" s="9">
        <v>609.0</v>
      </c>
      <c r="M2478" s="9">
        <v>80.0</v>
      </c>
      <c r="N2478" s="9">
        <v>80.0</v>
      </c>
      <c r="O2478" s="9">
        <v>449.0</v>
      </c>
      <c r="P2478" s="8" t="s">
        <v>3480</v>
      </c>
      <c r="Q2478" s="8" t="s">
        <v>14473</v>
      </c>
      <c r="R2478" s="8" t="s">
        <v>14474</v>
      </c>
    </row>
    <row r="2479">
      <c r="A2479" s="8" t="s">
        <v>2416</v>
      </c>
      <c r="B2479" s="8" t="s">
        <v>14475</v>
      </c>
      <c r="C2479" s="8" t="s">
        <v>4047</v>
      </c>
      <c r="D2479" s="9">
        <v>7.350018212E9</v>
      </c>
      <c r="E2479" s="8" t="s">
        <v>4048</v>
      </c>
      <c r="F2479" s="8" t="s">
        <v>3550</v>
      </c>
      <c r="G2479" s="8" t="s">
        <v>14476</v>
      </c>
      <c r="H2479" s="8" t="s">
        <v>3479</v>
      </c>
      <c r="I2479" s="9">
        <v>0.0</v>
      </c>
      <c r="J2479" s="9">
        <v>1420.0</v>
      </c>
      <c r="K2479" s="9">
        <v>1420.0</v>
      </c>
      <c r="L2479" s="9">
        <v>1420.0</v>
      </c>
      <c r="M2479" s="9">
        <v>305.0</v>
      </c>
      <c r="N2479" s="9">
        <v>666.0</v>
      </c>
      <c r="O2479" s="9">
        <v>449.0</v>
      </c>
      <c r="P2479" s="8" t="s">
        <v>3480</v>
      </c>
      <c r="Q2479" s="8" t="s">
        <v>4050</v>
      </c>
      <c r="R2479" s="8"/>
    </row>
    <row r="2480">
      <c r="A2480" s="8" t="s">
        <v>2417</v>
      </c>
      <c r="B2480" s="8" t="s">
        <v>14477</v>
      </c>
      <c r="C2480" s="8" t="s">
        <v>8676</v>
      </c>
      <c r="D2480" s="9">
        <v>8.380858393E9</v>
      </c>
      <c r="E2480" s="8" t="s">
        <v>8677</v>
      </c>
      <c r="F2480" s="8" t="s">
        <v>5530</v>
      </c>
      <c r="G2480" s="8" t="s">
        <v>14478</v>
      </c>
      <c r="H2480" s="8" t="s">
        <v>3479</v>
      </c>
      <c r="I2480" s="9">
        <v>0.0</v>
      </c>
      <c r="J2480" s="9">
        <v>1391.0</v>
      </c>
      <c r="K2480" s="9">
        <v>1391.0</v>
      </c>
      <c r="L2480" s="9">
        <v>1391.0</v>
      </c>
      <c r="M2480" s="9">
        <v>158.0</v>
      </c>
      <c r="N2480" s="9">
        <v>784.0</v>
      </c>
      <c r="O2480" s="9">
        <v>449.0</v>
      </c>
      <c r="P2480" s="8" t="s">
        <v>3480</v>
      </c>
      <c r="Q2480" s="8" t="s">
        <v>8679</v>
      </c>
      <c r="R2480" s="8" t="s">
        <v>8680</v>
      </c>
    </row>
    <row r="2481">
      <c r="A2481" s="8" t="s">
        <v>2418</v>
      </c>
      <c r="B2481" s="8" t="s">
        <v>14479</v>
      </c>
      <c r="C2481" s="8" t="s">
        <v>9857</v>
      </c>
      <c r="D2481" s="9">
        <v>9.850801538E9</v>
      </c>
      <c r="E2481" s="8" t="s">
        <v>9858</v>
      </c>
      <c r="F2481" s="8" t="s">
        <v>3809</v>
      </c>
      <c r="G2481" s="8" t="s">
        <v>14480</v>
      </c>
      <c r="H2481" s="8" t="s">
        <v>3479</v>
      </c>
      <c r="I2481" s="9">
        <v>0.0</v>
      </c>
      <c r="J2481" s="9">
        <v>1399.0</v>
      </c>
      <c r="K2481" s="9">
        <v>1399.0</v>
      </c>
      <c r="L2481" s="9">
        <v>1399.0</v>
      </c>
      <c r="M2481" s="9">
        <v>460.0</v>
      </c>
      <c r="N2481" s="9">
        <v>190.0</v>
      </c>
      <c r="O2481" s="9">
        <v>749.0</v>
      </c>
      <c r="P2481" s="8" t="s">
        <v>3480</v>
      </c>
      <c r="Q2481" s="8" t="s">
        <v>9860</v>
      </c>
      <c r="R2481" s="8" t="s">
        <v>9861</v>
      </c>
    </row>
    <row r="2482">
      <c r="A2482" s="8" t="s">
        <v>2419</v>
      </c>
      <c r="B2482" s="8" t="s">
        <v>14481</v>
      </c>
      <c r="C2482" s="8" t="s">
        <v>14482</v>
      </c>
      <c r="D2482" s="9">
        <v>9.370712624E9</v>
      </c>
      <c r="E2482" s="8" t="s">
        <v>14483</v>
      </c>
      <c r="F2482" s="8" t="s">
        <v>3809</v>
      </c>
      <c r="G2482" s="8" t="s">
        <v>14484</v>
      </c>
      <c r="H2482" s="8" t="s">
        <v>3479</v>
      </c>
      <c r="I2482" s="9">
        <v>0.0</v>
      </c>
      <c r="J2482" s="9">
        <v>1154.0</v>
      </c>
      <c r="K2482" s="9">
        <v>1154.0</v>
      </c>
      <c r="L2482" s="9">
        <v>1154.0</v>
      </c>
      <c r="M2482" s="9">
        <v>215.0</v>
      </c>
      <c r="N2482" s="9">
        <v>190.0</v>
      </c>
      <c r="O2482" s="9">
        <v>749.0</v>
      </c>
      <c r="P2482" s="8" t="s">
        <v>3480</v>
      </c>
      <c r="Q2482" s="8"/>
      <c r="R2482" s="8"/>
    </row>
    <row r="2483">
      <c r="A2483" s="8" t="s">
        <v>2420</v>
      </c>
      <c r="B2483" s="8" t="s">
        <v>14485</v>
      </c>
      <c r="C2483" s="8" t="s">
        <v>4695</v>
      </c>
      <c r="D2483" s="9">
        <v>9.673955993E9</v>
      </c>
      <c r="E2483" s="8" t="s">
        <v>14486</v>
      </c>
      <c r="F2483" s="8" t="s">
        <v>5872</v>
      </c>
      <c r="G2483" s="8" t="s">
        <v>14487</v>
      </c>
      <c r="H2483" s="8" t="s">
        <v>3479</v>
      </c>
      <c r="I2483" s="9">
        <v>0.0</v>
      </c>
      <c r="J2483" s="9">
        <v>3527.0</v>
      </c>
      <c r="K2483" s="9">
        <v>3527.0</v>
      </c>
      <c r="L2483" s="9">
        <v>3527.0</v>
      </c>
      <c r="M2483" s="9">
        <v>823.0</v>
      </c>
      <c r="N2483" s="9">
        <v>1630.0</v>
      </c>
      <c r="O2483" s="9">
        <v>1074.0</v>
      </c>
      <c r="P2483" s="8" t="s">
        <v>3480</v>
      </c>
      <c r="Q2483" s="8"/>
      <c r="R2483" s="8"/>
    </row>
    <row r="2484">
      <c r="A2484" s="8" t="s">
        <v>2421</v>
      </c>
      <c r="B2484" s="8" t="s">
        <v>14488</v>
      </c>
      <c r="C2484" s="8" t="s">
        <v>5101</v>
      </c>
      <c r="D2484" s="9">
        <v>8.80649667E9</v>
      </c>
      <c r="E2484" s="8" t="s">
        <v>5102</v>
      </c>
      <c r="F2484" s="8" t="s">
        <v>3768</v>
      </c>
      <c r="G2484" s="8" t="s">
        <v>14489</v>
      </c>
      <c r="H2484" s="8" t="s">
        <v>3479</v>
      </c>
      <c r="I2484" s="9">
        <v>0.0</v>
      </c>
      <c r="J2484" s="9">
        <v>1307.0</v>
      </c>
      <c r="K2484" s="9">
        <v>1307.0</v>
      </c>
      <c r="L2484" s="9">
        <v>1307.0</v>
      </c>
      <c r="M2484" s="9">
        <v>858.0</v>
      </c>
      <c r="N2484" s="9">
        <v>0.0</v>
      </c>
      <c r="O2484" s="9">
        <v>449.0</v>
      </c>
      <c r="P2484" s="8" t="s">
        <v>3480</v>
      </c>
      <c r="Q2484" s="8" t="s">
        <v>5104</v>
      </c>
      <c r="R2484" s="8" t="s">
        <v>5105</v>
      </c>
    </row>
    <row r="2485">
      <c r="A2485" s="8" t="s">
        <v>2805</v>
      </c>
      <c r="B2485" s="8" t="s">
        <v>14490</v>
      </c>
      <c r="C2485" s="8" t="s">
        <v>6112</v>
      </c>
      <c r="D2485" s="9">
        <v>9.075791172E9</v>
      </c>
      <c r="E2485" s="8" t="s">
        <v>6113</v>
      </c>
      <c r="F2485" s="8" t="s">
        <v>3589</v>
      </c>
      <c r="G2485" s="8" t="s">
        <v>3494</v>
      </c>
      <c r="H2485" s="8" t="s">
        <v>3479</v>
      </c>
      <c r="I2485" s="9">
        <v>0.0</v>
      </c>
      <c r="J2485" s="9">
        <v>950.0</v>
      </c>
      <c r="K2485" s="9">
        <v>950.0</v>
      </c>
      <c r="L2485" s="9">
        <v>950.0</v>
      </c>
      <c r="M2485" s="9">
        <v>950.0</v>
      </c>
      <c r="N2485" s="9">
        <v>0.0</v>
      </c>
      <c r="O2485" s="9">
        <v>0.0</v>
      </c>
      <c r="P2485" s="8" t="s">
        <v>3480</v>
      </c>
      <c r="Q2485" s="8"/>
      <c r="R2485" s="8"/>
    </row>
    <row r="2486">
      <c r="A2486" s="8" t="s">
        <v>2743</v>
      </c>
      <c r="B2486" s="8" t="s">
        <v>14491</v>
      </c>
      <c r="C2486" s="8" t="s">
        <v>14492</v>
      </c>
      <c r="D2486" s="9">
        <v>9.960967799E9</v>
      </c>
      <c r="E2486" s="8" t="s">
        <v>14493</v>
      </c>
      <c r="F2486" s="8" t="s">
        <v>3493</v>
      </c>
      <c r="G2486" s="8" t="s">
        <v>14494</v>
      </c>
      <c r="H2486" s="8" t="s">
        <v>3479</v>
      </c>
      <c r="I2486" s="9">
        <v>0.0</v>
      </c>
      <c r="J2486" s="9">
        <v>2264.0</v>
      </c>
      <c r="K2486" s="9">
        <v>2264.0</v>
      </c>
      <c r="L2486" s="9">
        <v>2264.0</v>
      </c>
      <c r="M2486" s="9">
        <v>665.0</v>
      </c>
      <c r="N2486" s="9">
        <v>775.0</v>
      </c>
      <c r="O2486" s="9">
        <v>824.0</v>
      </c>
      <c r="P2486" s="8" t="s">
        <v>3480</v>
      </c>
      <c r="Q2486" s="8"/>
      <c r="R2486" s="8"/>
    </row>
    <row r="2487">
      <c r="A2487" s="8" t="s">
        <v>2827</v>
      </c>
      <c r="B2487" s="8" t="s">
        <v>14495</v>
      </c>
      <c r="C2487" s="8" t="s">
        <v>8545</v>
      </c>
      <c r="D2487" s="9">
        <v>9.686753313E9</v>
      </c>
      <c r="E2487" s="8" t="s">
        <v>8546</v>
      </c>
      <c r="F2487" s="8" t="s">
        <v>3908</v>
      </c>
      <c r="G2487" s="8" t="s">
        <v>3494</v>
      </c>
      <c r="H2487" s="8" t="s">
        <v>3479</v>
      </c>
      <c r="I2487" s="9">
        <v>0.0</v>
      </c>
      <c r="J2487" s="9">
        <v>8217.0</v>
      </c>
      <c r="K2487" s="9">
        <v>8217.0</v>
      </c>
      <c r="L2487" s="9">
        <v>8217.0</v>
      </c>
      <c r="M2487" s="9">
        <v>5778.0</v>
      </c>
      <c r="N2487" s="9">
        <v>65.0</v>
      </c>
      <c r="O2487" s="9">
        <v>2374.0</v>
      </c>
      <c r="P2487" s="8" t="s">
        <v>3480</v>
      </c>
      <c r="Q2487" s="8" t="s">
        <v>8547</v>
      </c>
      <c r="R2487" s="8" t="s">
        <v>8548</v>
      </c>
    </row>
    <row r="2488">
      <c r="A2488" s="8" t="s">
        <v>2905</v>
      </c>
      <c r="B2488" s="8" t="s">
        <v>14496</v>
      </c>
      <c r="C2488" s="8" t="s">
        <v>14497</v>
      </c>
      <c r="D2488" s="9">
        <v>7.248956226E9</v>
      </c>
      <c r="E2488" s="8" t="s">
        <v>14498</v>
      </c>
      <c r="F2488" s="8" t="s">
        <v>3993</v>
      </c>
      <c r="G2488" s="8" t="s">
        <v>14499</v>
      </c>
      <c r="H2488" s="8" t="s">
        <v>14500</v>
      </c>
      <c r="I2488" s="9">
        <v>0.0</v>
      </c>
      <c r="J2488" s="9">
        <v>4700.0</v>
      </c>
      <c r="K2488" s="9">
        <v>4755.0</v>
      </c>
      <c r="L2488" s="9">
        <v>4700.0</v>
      </c>
      <c r="M2488" s="9">
        <v>3132.0</v>
      </c>
      <c r="N2488" s="9">
        <v>849.0</v>
      </c>
      <c r="O2488" s="9">
        <v>774.0</v>
      </c>
      <c r="P2488" s="8" t="s">
        <v>3480</v>
      </c>
      <c r="Q2488" s="8"/>
      <c r="R2488" s="8"/>
    </row>
    <row r="2489">
      <c r="A2489" s="8" t="s">
        <v>2906</v>
      </c>
      <c r="B2489" s="8" t="s">
        <v>14501</v>
      </c>
      <c r="C2489" s="8" t="s">
        <v>6116</v>
      </c>
      <c r="D2489" s="9">
        <v>9.404925331E9</v>
      </c>
      <c r="E2489" s="8" t="s">
        <v>14502</v>
      </c>
      <c r="F2489" s="8" t="s">
        <v>4558</v>
      </c>
      <c r="G2489" s="8" t="s">
        <v>14503</v>
      </c>
      <c r="H2489" s="8" t="s">
        <v>3479</v>
      </c>
      <c r="I2489" s="9">
        <v>0.0</v>
      </c>
      <c r="J2489" s="9">
        <v>1667.0</v>
      </c>
      <c r="K2489" s="9">
        <v>1667.0</v>
      </c>
      <c r="L2489" s="9">
        <v>1667.0</v>
      </c>
      <c r="M2489" s="9">
        <v>479.0</v>
      </c>
      <c r="N2489" s="9">
        <v>739.0</v>
      </c>
      <c r="O2489" s="9">
        <v>449.0</v>
      </c>
      <c r="P2489" s="8" t="s">
        <v>3480</v>
      </c>
      <c r="Q2489" s="8" t="s">
        <v>14504</v>
      </c>
      <c r="R2489" s="8"/>
    </row>
    <row r="2490">
      <c r="A2490" s="8" t="s">
        <v>2832</v>
      </c>
      <c r="B2490" s="8" t="s">
        <v>14505</v>
      </c>
      <c r="C2490" s="8" t="s">
        <v>14506</v>
      </c>
      <c r="D2490" s="9">
        <v>7.888198121E9</v>
      </c>
      <c r="E2490" s="8" t="s">
        <v>14507</v>
      </c>
      <c r="F2490" s="8" t="s">
        <v>3901</v>
      </c>
      <c r="G2490" s="8" t="s">
        <v>14508</v>
      </c>
      <c r="H2490" s="8" t="s">
        <v>3479</v>
      </c>
      <c r="I2490" s="9">
        <v>0.0</v>
      </c>
      <c r="J2490" s="9">
        <v>1950.0</v>
      </c>
      <c r="K2490" s="9">
        <v>1950.0</v>
      </c>
      <c r="L2490" s="9">
        <v>1950.0</v>
      </c>
      <c r="M2490" s="9">
        <v>1950.0</v>
      </c>
      <c r="N2490" s="9">
        <v>0.0</v>
      </c>
      <c r="O2490" s="9">
        <v>0.0</v>
      </c>
      <c r="P2490" s="8" t="s">
        <v>3480</v>
      </c>
      <c r="Q2490" s="8"/>
      <c r="R2490" s="8"/>
    </row>
    <row r="2491">
      <c r="A2491" s="8" t="s">
        <v>2806</v>
      </c>
      <c r="B2491" s="8" t="s">
        <v>14509</v>
      </c>
      <c r="C2491" s="8" t="s">
        <v>5685</v>
      </c>
      <c r="D2491" s="9">
        <v>8.888134011E9</v>
      </c>
      <c r="E2491" s="8" t="s">
        <v>14510</v>
      </c>
      <c r="F2491" s="8" t="s">
        <v>5613</v>
      </c>
      <c r="G2491" s="8" t="s">
        <v>14511</v>
      </c>
      <c r="H2491" s="8" t="s">
        <v>3479</v>
      </c>
      <c r="I2491" s="9">
        <v>0.0</v>
      </c>
      <c r="J2491" s="9">
        <v>4314.0</v>
      </c>
      <c r="K2491" s="9">
        <v>4314.0</v>
      </c>
      <c r="L2491" s="9">
        <v>4314.0</v>
      </c>
      <c r="M2491" s="9">
        <v>3060.0</v>
      </c>
      <c r="N2491" s="9">
        <v>730.0</v>
      </c>
      <c r="O2491" s="9">
        <v>524.0</v>
      </c>
      <c r="P2491" s="8" t="s">
        <v>3480</v>
      </c>
      <c r="Q2491" s="8" t="s">
        <v>14512</v>
      </c>
      <c r="R2491" s="8" t="s">
        <v>14513</v>
      </c>
    </row>
    <row r="2492">
      <c r="A2492" s="8" t="s">
        <v>2612</v>
      </c>
      <c r="B2492" s="8" t="s">
        <v>14514</v>
      </c>
      <c r="C2492" s="8" t="s">
        <v>14515</v>
      </c>
      <c r="D2492" s="9">
        <v>8.806472274E9</v>
      </c>
      <c r="E2492" s="8" t="s">
        <v>14516</v>
      </c>
      <c r="F2492" s="8" t="s">
        <v>3821</v>
      </c>
      <c r="G2492" s="8" t="s">
        <v>4012</v>
      </c>
      <c r="H2492" s="8" t="s">
        <v>3479</v>
      </c>
      <c r="I2492" s="9">
        <v>0.0</v>
      </c>
      <c r="J2492" s="9">
        <v>2539.0</v>
      </c>
      <c r="K2492" s="9">
        <v>2539.0</v>
      </c>
      <c r="L2492" s="9">
        <v>2539.0</v>
      </c>
      <c r="M2492" s="9">
        <v>1285.0</v>
      </c>
      <c r="N2492" s="9">
        <v>730.0</v>
      </c>
      <c r="O2492" s="9">
        <v>524.0</v>
      </c>
      <c r="P2492" s="8" t="s">
        <v>3480</v>
      </c>
      <c r="Q2492" s="8" t="s">
        <v>14517</v>
      </c>
      <c r="R2492" s="8" t="s">
        <v>14518</v>
      </c>
    </row>
    <row r="2493">
      <c r="A2493" s="8" t="s">
        <v>2825</v>
      </c>
      <c r="B2493" s="8" t="s">
        <v>14519</v>
      </c>
      <c r="C2493" s="8" t="s">
        <v>14520</v>
      </c>
      <c r="D2493" s="9">
        <v>8.390900585E9</v>
      </c>
      <c r="E2493" s="8" t="s">
        <v>14521</v>
      </c>
      <c r="F2493" s="8" t="s">
        <v>3881</v>
      </c>
      <c r="G2493" s="8" t="s">
        <v>14522</v>
      </c>
      <c r="H2493" s="8" t="s">
        <v>3479</v>
      </c>
      <c r="I2493" s="9">
        <v>0.0</v>
      </c>
      <c r="J2493" s="9">
        <v>1423.0</v>
      </c>
      <c r="K2493" s="9">
        <v>1423.0</v>
      </c>
      <c r="L2493" s="9">
        <v>1423.0</v>
      </c>
      <c r="M2493" s="9">
        <v>160.0</v>
      </c>
      <c r="N2493" s="9">
        <v>739.0</v>
      </c>
      <c r="O2493" s="9">
        <v>524.0</v>
      </c>
      <c r="P2493" s="8" t="s">
        <v>3480</v>
      </c>
      <c r="Q2493" s="8"/>
      <c r="R2493" s="8"/>
    </row>
    <row r="2494">
      <c r="A2494" s="8" t="s">
        <v>72</v>
      </c>
      <c r="B2494" s="8" t="s">
        <v>14523</v>
      </c>
      <c r="C2494" s="8" t="s">
        <v>5095</v>
      </c>
      <c r="D2494" s="9">
        <v>9.822263733E9</v>
      </c>
      <c r="E2494" s="8" t="s">
        <v>14524</v>
      </c>
      <c r="F2494" s="8" t="s">
        <v>3934</v>
      </c>
      <c r="G2494" s="8" t="s">
        <v>14525</v>
      </c>
      <c r="H2494" s="8" t="s">
        <v>3479</v>
      </c>
      <c r="I2494" s="9">
        <v>0.0</v>
      </c>
      <c r="J2494" s="9">
        <v>2878.0</v>
      </c>
      <c r="K2494" s="9">
        <v>2878.0</v>
      </c>
      <c r="L2494" s="9">
        <v>2878.0</v>
      </c>
      <c r="M2494" s="9">
        <v>1324.0</v>
      </c>
      <c r="N2494" s="9">
        <v>730.0</v>
      </c>
      <c r="O2494" s="9">
        <v>824.0</v>
      </c>
      <c r="P2494" s="8" t="s">
        <v>3519</v>
      </c>
      <c r="Q2494" s="8" t="s">
        <v>14526</v>
      </c>
      <c r="R2494" s="8" t="s">
        <v>14527</v>
      </c>
    </row>
    <row r="2495">
      <c r="A2495" s="8" t="s">
        <v>2901</v>
      </c>
      <c r="B2495" s="8" t="s">
        <v>14528</v>
      </c>
      <c r="C2495" s="8" t="s">
        <v>14529</v>
      </c>
      <c r="D2495" s="9">
        <v>8.888800666E9</v>
      </c>
      <c r="E2495" s="8" t="s">
        <v>14530</v>
      </c>
      <c r="F2495" s="8" t="s">
        <v>6118</v>
      </c>
      <c r="G2495" s="8" t="s">
        <v>14531</v>
      </c>
      <c r="H2495" s="8" t="s">
        <v>3479</v>
      </c>
      <c r="I2495" s="9">
        <v>0.0</v>
      </c>
      <c r="J2495" s="9">
        <v>1550.0</v>
      </c>
      <c r="K2495" s="9">
        <v>1550.0</v>
      </c>
      <c r="L2495" s="9">
        <v>1550.0</v>
      </c>
      <c r="M2495" s="9">
        <v>1550.0</v>
      </c>
      <c r="N2495" s="9">
        <v>0.0</v>
      </c>
      <c r="O2495" s="9">
        <v>0.0</v>
      </c>
      <c r="P2495" s="8" t="s">
        <v>3480</v>
      </c>
      <c r="Q2495" s="8"/>
      <c r="R2495" s="8"/>
    </row>
    <row r="2496">
      <c r="A2496" s="8" t="s">
        <v>2807</v>
      </c>
      <c r="B2496" s="8" t="s">
        <v>14532</v>
      </c>
      <c r="C2496" s="8" t="s">
        <v>14533</v>
      </c>
      <c r="D2496" s="9">
        <v>9.850663051E9</v>
      </c>
      <c r="E2496" s="8" t="s">
        <v>14534</v>
      </c>
      <c r="F2496" s="8" t="s">
        <v>3523</v>
      </c>
      <c r="G2496" s="8" t="s">
        <v>14535</v>
      </c>
      <c r="H2496" s="8" t="s">
        <v>3479</v>
      </c>
      <c r="I2496" s="9">
        <v>0.0</v>
      </c>
      <c r="J2496" s="9">
        <v>3025.0</v>
      </c>
      <c r="K2496" s="9">
        <v>3025.0</v>
      </c>
      <c r="L2496" s="9">
        <v>3025.0</v>
      </c>
      <c r="M2496" s="9">
        <v>1771.0</v>
      </c>
      <c r="N2496" s="9">
        <v>730.0</v>
      </c>
      <c r="O2496" s="9">
        <v>524.0</v>
      </c>
      <c r="P2496" s="8" t="s">
        <v>3480</v>
      </c>
      <c r="Q2496" s="8"/>
      <c r="R2496" s="8"/>
    </row>
    <row r="2497">
      <c r="A2497" s="8" t="s">
        <v>2833</v>
      </c>
      <c r="B2497" s="8" t="s">
        <v>14536</v>
      </c>
      <c r="C2497" s="8" t="s">
        <v>7263</v>
      </c>
      <c r="D2497" s="9">
        <v>8.983714572E9</v>
      </c>
      <c r="E2497" s="8" t="s">
        <v>14537</v>
      </c>
      <c r="F2497" s="8" t="s">
        <v>5301</v>
      </c>
      <c r="G2497" s="8" t="s">
        <v>14538</v>
      </c>
      <c r="H2497" s="8" t="s">
        <v>3479</v>
      </c>
      <c r="I2497" s="9">
        <v>0.0</v>
      </c>
      <c r="J2497" s="9">
        <v>1019.0</v>
      </c>
      <c r="K2497" s="9">
        <v>1019.0</v>
      </c>
      <c r="L2497" s="9">
        <v>1019.0</v>
      </c>
      <c r="M2497" s="9">
        <v>80.0</v>
      </c>
      <c r="N2497" s="9">
        <v>190.0</v>
      </c>
      <c r="O2497" s="9">
        <v>749.0</v>
      </c>
      <c r="P2497" s="8" t="s">
        <v>3480</v>
      </c>
      <c r="Q2497" s="8" t="s">
        <v>14539</v>
      </c>
      <c r="R2497" s="8" t="s">
        <v>14540</v>
      </c>
    </row>
    <row r="2498">
      <c r="A2498" s="8" t="s">
        <v>2916</v>
      </c>
      <c r="B2498" s="8" t="s">
        <v>14541</v>
      </c>
      <c r="C2498" s="8" t="s">
        <v>14542</v>
      </c>
      <c r="D2498" s="9">
        <v>9.923000694E9</v>
      </c>
      <c r="E2498" s="8" t="s">
        <v>14543</v>
      </c>
      <c r="F2498" s="8" t="s">
        <v>3934</v>
      </c>
      <c r="G2498" s="8" t="s">
        <v>14544</v>
      </c>
      <c r="H2498" s="8" t="s">
        <v>3479</v>
      </c>
      <c r="I2498" s="9">
        <v>0.0</v>
      </c>
      <c r="J2498" s="9">
        <v>1600.0</v>
      </c>
      <c r="K2498" s="9">
        <v>1600.0</v>
      </c>
      <c r="L2498" s="9">
        <v>1600.0</v>
      </c>
      <c r="M2498" s="9">
        <v>0.0</v>
      </c>
      <c r="N2498" s="9">
        <v>0.0</v>
      </c>
      <c r="O2498" s="9">
        <v>1600.0</v>
      </c>
      <c r="P2498" s="8" t="s">
        <v>3480</v>
      </c>
      <c r="Q2498" s="8"/>
      <c r="R2498" s="8"/>
    </row>
    <row r="2499">
      <c r="A2499" s="8" t="s">
        <v>2808</v>
      </c>
      <c r="B2499" s="8" t="s">
        <v>14545</v>
      </c>
      <c r="C2499" s="8" t="s">
        <v>14546</v>
      </c>
      <c r="D2499" s="9">
        <v>9.850347635E9</v>
      </c>
      <c r="E2499" s="8" t="s">
        <v>14547</v>
      </c>
      <c r="F2499" s="8" t="s">
        <v>3608</v>
      </c>
      <c r="G2499" s="8" t="s">
        <v>3494</v>
      </c>
      <c r="H2499" s="8" t="s">
        <v>3479</v>
      </c>
      <c r="I2499" s="9">
        <v>0.0</v>
      </c>
      <c r="J2499" s="9">
        <v>1335.0</v>
      </c>
      <c r="K2499" s="9">
        <v>1335.0</v>
      </c>
      <c r="L2499" s="9">
        <v>1335.0</v>
      </c>
      <c r="M2499" s="9">
        <v>1210.0</v>
      </c>
      <c r="N2499" s="9">
        <v>0.0</v>
      </c>
      <c r="O2499" s="9">
        <v>125.0</v>
      </c>
      <c r="P2499" s="8" t="s">
        <v>3480</v>
      </c>
      <c r="Q2499" s="8"/>
      <c r="R2499" s="8"/>
    </row>
    <row r="2500">
      <c r="A2500" s="8" t="s">
        <v>2744</v>
      </c>
      <c r="B2500" s="8" t="s">
        <v>14548</v>
      </c>
      <c r="C2500" s="8" t="s">
        <v>14549</v>
      </c>
      <c r="D2500" s="9">
        <v>7.020766499E9</v>
      </c>
      <c r="E2500" s="8" t="s">
        <v>14550</v>
      </c>
      <c r="F2500" s="8" t="s">
        <v>5025</v>
      </c>
      <c r="G2500" s="8" t="s">
        <v>14551</v>
      </c>
      <c r="H2500" s="8" t="s">
        <v>3479</v>
      </c>
      <c r="I2500" s="9">
        <v>0.0</v>
      </c>
      <c r="J2500" s="9">
        <v>609.0</v>
      </c>
      <c r="K2500" s="9">
        <v>609.0</v>
      </c>
      <c r="L2500" s="9">
        <v>609.0</v>
      </c>
      <c r="M2500" s="9">
        <v>80.0</v>
      </c>
      <c r="N2500" s="9">
        <v>80.0</v>
      </c>
      <c r="O2500" s="9">
        <v>449.0</v>
      </c>
      <c r="P2500" s="8" t="s">
        <v>3480</v>
      </c>
      <c r="Q2500" s="8" t="s">
        <v>14552</v>
      </c>
      <c r="R2500" s="8" t="s">
        <v>14553</v>
      </c>
    </row>
    <row r="2501">
      <c r="A2501" s="8" t="s">
        <v>2809</v>
      </c>
      <c r="B2501" s="8" t="s">
        <v>14554</v>
      </c>
      <c r="C2501" s="8" t="s">
        <v>14555</v>
      </c>
      <c r="D2501" s="9">
        <v>8.669134935E9</v>
      </c>
      <c r="E2501" s="8" t="s">
        <v>14556</v>
      </c>
      <c r="F2501" s="8" t="s">
        <v>12267</v>
      </c>
      <c r="G2501" s="8" t="s">
        <v>14557</v>
      </c>
      <c r="H2501" s="8" t="s">
        <v>3479</v>
      </c>
      <c r="I2501" s="9">
        <v>0.0</v>
      </c>
      <c r="J2501" s="9">
        <v>2943.0</v>
      </c>
      <c r="K2501" s="9">
        <v>2943.0</v>
      </c>
      <c r="L2501" s="9">
        <v>2943.0</v>
      </c>
      <c r="M2501" s="9">
        <v>995.0</v>
      </c>
      <c r="N2501" s="9">
        <v>849.0</v>
      </c>
      <c r="O2501" s="9">
        <v>1099.0</v>
      </c>
      <c r="P2501" s="8" t="s">
        <v>3519</v>
      </c>
      <c r="Q2501" s="8" t="s">
        <v>14558</v>
      </c>
      <c r="R2501" s="8" t="s">
        <v>14559</v>
      </c>
    </row>
    <row r="2502">
      <c r="A2502" s="8" t="s">
        <v>2839</v>
      </c>
      <c r="B2502" s="8" t="s">
        <v>14560</v>
      </c>
      <c r="C2502" s="8" t="s">
        <v>14561</v>
      </c>
      <c r="D2502" s="9">
        <v>9.51854313E9</v>
      </c>
      <c r="E2502" s="8" t="s">
        <v>14562</v>
      </c>
      <c r="F2502" s="8" t="s">
        <v>4125</v>
      </c>
      <c r="G2502" s="8" t="s">
        <v>14563</v>
      </c>
      <c r="H2502" s="8" t="s">
        <v>3479</v>
      </c>
      <c r="I2502" s="9">
        <v>0.0</v>
      </c>
      <c r="J2502" s="9">
        <v>1854.0</v>
      </c>
      <c r="K2502" s="9">
        <v>1854.0</v>
      </c>
      <c r="L2502" s="9">
        <v>1854.0</v>
      </c>
      <c r="M2502" s="9">
        <v>471.0</v>
      </c>
      <c r="N2502" s="9">
        <v>784.0</v>
      </c>
      <c r="O2502" s="9">
        <v>599.0</v>
      </c>
      <c r="P2502" s="8" t="s">
        <v>3480</v>
      </c>
      <c r="Q2502" s="8" t="s">
        <v>14564</v>
      </c>
      <c r="R2502" s="8" t="s">
        <v>14565</v>
      </c>
    </row>
    <row r="2503">
      <c r="A2503" s="8" t="s">
        <v>2613</v>
      </c>
      <c r="B2503" s="8" t="s">
        <v>14566</v>
      </c>
      <c r="C2503" s="8" t="s">
        <v>5685</v>
      </c>
      <c r="D2503" s="9">
        <v>8.888134011E9</v>
      </c>
      <c r="E2503" s="8" t="s">
        <v>14567</v>
      </c>
      <c r="F2503" s="8" t="s">
        <v>6927</v>
      </c>
      <c r="G2503" s="8" t="s">
        <v>14568</v>
      </c>
      <c r="H2503" s="8" t="s">
        <v>3479</v>
      </c>
      <c r="I2503" s="9">
        <v>0.0</v>
      </c>
      <c r="J2503" s="9">
        <v>1166.0</v>
      </c>
      <c r="K2503" s="9">
        <v>1166.0</v>
      </c>
      <c r="L2503" s="9">
        <v>1166.0</v>
      </c>
      <c r="M2503" s="9">
        <v>0.0</v>
      </c>
      <c r="N2503" s="9">
        <v>717.0</v>
      </c>
      <c r="O2503" s="9">
        <v>449.0</v>
      </c>
      <c r="P2503" s="8" t="s">
        <v>3480</v>
      </c>
      <c r="Q2503" s="8"/>
      <c r="R2503" s="8"/>
    </row>
    <row r="2504">
      <c r="A2504" s="8" t="s">
        <v>659</v>
      </c>
      <c r="B2504" s="8" t="s">
        <v>14569</v>
      </c>
      <c r="C2504" s="8" t="s">
        <v>14570</v>
      </c>
      <c r="D2504" s="9">
        <v>9.82237405E9</v>
      </c>
      <c r="E2504" s="8" t="s">
        <v>14571</v>
      </c>
      <c r="F2504" s="8" t="s">
        <v>3601</v>
      </c>
      <c r="G2504" s="8" t="s">
        <v>14572</v>
      </c>
      <c r="H2504" s="8" t="s">
        <v>3479</v>
      </c>
      <c r="I2504" s="9">
        <v>0.0</v>
      </c>
      <c r="J2504" s="9">
        <v>2023.0</v>
      </c>
      <c r="K2504" s="9">
        <v>2023.0</v>
      </c>
      <c r="L2504" s="9">
        <v>2023.0</v>
      </c>
      <c r="M2504" s="9">
        <v>835.0</v>
      </c>
      <c r="N2504" s="9">
        <v>739.0</v>
      </c>
      <c r="O2504" s="9">
        <v>449.0</v>
      </c>
      <c r="P2504" s="8" t="s">
        <v>3544</v>
      </c>
      <c r="Q2504" s="8" t="s">
        <v>14573</v>
      </c>
      <c r="R2504" s="8" t="s">
        <v>14574</v>
      </c>
    </row>
    <row r="2505">
      <c r="A2505" s="8" t="s">
        <v>2902</v>
      </c>
      <c r="B2505" s="8" t="s">
        <v>14575</v>
      </c>
      <c r="C2505" s="8" t="s">
        <v>14397</v>
      </c>
      <c r="D2505" s="9">
        <v>9.404469192E9</v>
      </c>
      <c r="E2505" s="8" t="s">
        <v>14398</v>
      </c>
      <c r="F2505" s="8" t="s">
        <v>3608</v>
      </c>
      <c r="G2505" s="8" t="s">
        <v>14576</v>
      </c>
      <c r="H2505" s="8" t="s">
        <v>3479</v>
      </c>
      <c r="I2505" s="9">
        <v>0.0</v>
      </c>
      <c r="J2505" s="9">
        <v>770.0</v>
      </c>
      <c r="K2505" s="9">
        <v>770.0</v>
      </c>
      <c r="L2505" s="9">
        <v>770.0</v>
      </c>
      <c r="M2505" s="9">
        <v>300.0</v>
      </c>
      <c r="N2505" s="9">
        <v>0.0</v>
      </c>
      <c r="O2505" s="9">
        <v>470.0</v>
      </c>
      <c r="P2505" s="8" t="s">
        <v>3480</v>
      </c>
      <c r="Q2505" s="8" t="s">
        <v>14400</v>
      </c>
      <c r="R2505" s="8" t="s">
        <v>14401</v>
      </c>
    </row>
    <row r="2506">
      <c r="A2506" s="8" t="s">
        <v>2834</v>
      </c>
      <c r="B2506" s="8" t="s">
        <v>14577</v>
      </c>
      <c r="C2506" s="8" t="s">
        <v>11504</v>
      </c>
      <c r="D2506" s="9">
        <v>9.767802123E9</v>
      </c>
      <c r="E2506" s="8" t="s">
        <v>14578</v>
      </c>
      <c r="F2506" s="8" t="s">
        <v>4093</v>
      </c>
      <c r="G2506" s="8" t="s">
        <v>14579</v>
      </c>
      <c r="H2506" s="8" t="s">
        <v>3479</v>
      </c>
      <c r="I2506" s="9">
        <v>0.0</v>
      </c>
      <c r="J2506" s="9">
        <v>3558.0</v>
      </c>
      <c r="K2506" s="9">
        <v>3558.0</v>
      </c>
      <c r="L2506" s="9">
        <v>3558.0</v>
      </c>
      <c r="M2506" s="9">
        <v>1755.0</v>
      </c>
      <c r="N2506" s="9">
        <v>849.0</v>
      </c>
      <c r="O2506" s="9">
        <v>954.0</v>
      </c>
      <c r="P2506" s="8" t="s">
        <v>3544</v>
      </c>
      <c r="Q2506" s="8"/>
      <c r="R2506" s="8"/>
    </row>
    <row r="2507">
      <c r="A2507" s="8" t="s">
        <v>2810</v>
      </c>
      <c r="B2507" s="8" t="s">
        <v>14580</v>
      </c>
      <c r="C2507" s="8" t="s">
        <v>8113</v>
      </c>
      <c r="D2507" s="9">
        <v>8.446092999E9</v>
      </c>
      <c r="E2507" s="8" t="s">
        <v>8114</v>
      </c>
      <c r="F2507" s="8" t="s">
        <v>5301</v>
      </c>
      <c r="G2507" s="8" t="s">
        <v>14581</v>
      </c>
      <c r="H2507" s="8" t="s">
        <v>3479</v>
      </c>
      <c r="I2507" s="9">
        <v>0.0</v>
      </c>
      <c r="J2507" s="9">
        <v>1824.0</v>
      </c>
      <c r="K2507" s="9">
        <v>1824.0</v>
      </c>
      <c r="L2507" s="9">
        <v>1824.0</v>
      </c>
      <c r="M2507" s="9">
        <v>700.0</v>
      </c>
      <c r="N2507" s="9">
        <v>0.0</v>
      </c>
      <c r="O2507" s="9">
        <v>1124.0</v>
      </c>
      <c r="P2507" s="8" t="s">
        <v>3519</v>
      </c>
      <c r="Q2507" s="8" t="s">
        <v>8116</v>
      </c>
      <c r="R2507" s="8"/>
    </row>
    <row r="2508">
      <c r="A2508" s="8" t="s">
        <v>2835</v>
      </c>
      <c r="B2508" s="8" t="s">
        <v>14582</v>
      </c>
      <c r="C2508" s="8" t="s">
        <v>11423</v>
      </c>
      <c r="D2508" s="9">
        <v>9.30763757E9</v>
      </c>
      <c r="E2508" s="8" t="s">
        <v>11424</v>
      </c>
      <c r="F2508" s="8" t="s">
        <v>3615</v>
      </c>
      <c r="G2508" s="8" t="s">
        <v>14583</v>
      </c>
      <c r="H2508" s="8" t="s">
        <v>3479</v>
      </c>
      <c r="I2508" s="9">
        <v>0.0</v>
      </c>
      <c r="J2508" s="9">
        <v>1508.0</v>
      </c>
      <c r="K2508" s="9">
        <v>1508.0</v>
      </c>
      <c r="L2508" s="9">
        <v>1508.0</v>
      </c>
      <c r="M2508" s="9">
        <v>275.0</v>
      </c>
      <c r="N2508" s="9">
        <v>784.0</v>
      </c>
      <c r="O2508" s="9">
        <v>449.0</v>
      </c>
      <c r="P2508" s="8" t="s">
        <v>3480</v>
      </c>
      <c r="Q2508" s="8" t="s">
        <v>11426</v>
      </c>
      <c r="R2508" s="8" t="s">
        <v>11427</v>
      </c>
    </row>
    <row r="2509">
      <c r="A2509" s="8" t="s">
        <v>2836</v>
      </c>
      <c r="B2509" s="8" t="s">
        <v>14584</v>
      </c>
      <c r="C2509" s="8" t="s">
        <v>14585</v>
      </c>
      <c r="D2509" s="9">
        <v>8.668610879E9</v>
      </c>
      <c r="E2509" s="8" t="s">
        <v>14586</v>
      </c>
      <c r="F2509" s="8" t="s">
        <v>3809</v>
      </c>
      <c r="G2509" s="8" t="s">
        <v>14587</v>
      </c>
      <c r="H2509" s="8" t="s">
        <v>14588</v>
      </c>
      <c r="I2509" s="9">
        <v>0.0</v>
      </c>
      <c r="J2509" s="9">
        <v>3100.0</v>
      </c>
      <c r="K2509" s="9">
        <v>3142.0</v>
      </c>
      <c r="L2509" s="9">
        <v>3100.0</v>
      </c>
      <c r="M2509" s="9">
        <v>2078.0</v>
      </c>
      <c r="N2509" s="9">
        <v>190.0</v>
      </c>
      <c r="O2509" s="9">
        <v>874.0</v>
      </c>
      <c r="P2509" s="8" t="s">
        <v>3480</v>
      </c>
      <c r="Q2509" s="8"/>
      <c r="R2509" s="8"/>
    </row>
    <row r="2510">
      <c r="A2510" s="8" t="s">
        <v>2837</v>
      </c>
      <c r="B2510" s="8" t="s">
        <v>14589</v>
      </c>
      <c r="C2510" s="8" t="s">
        <v>14590</v>
      </c>
      <c r="D2510" s="9">
        <v>9.730206967E9</v>
      </c>
      <c r="E2510" s="8" t="s">
        <v>14591</v>
      </c>
      <c r="F2510" s="8" t="s">
        <v>14592</v>
      </c>
      <c r="G2510" s="8" t="s">
        <v>14593</v>
      </c>
      <c r="H2510" s="8" t="s">
        <v>3479</v>
      </c>
      <c r="I2510" s="9">
        <v>0.0</v>
      </c>
      <c r="J2510" s="9">
        <v>2069.0</v>
      </c>
      <c r="K2510" s="9">
        <v>2069.0</v>
      </c>
      <c r="L2510" s="9">
        <v>2069.0</v>
      </c>
      <c r="M2510" s="9">
        <v>80.0</v>
      </c>
      <c r="N2510" s="9">
        <v>1390.0</v>
      </c>
      <c r="O2510" s="9">
        <v>599.0</v>
      </c>
      <c r="P2510" s="8" t="s">
        <v>3480</v>
      </c>
      <c r="Q2510" s="8"/>
      <c r="R2510" s="8"/>
    </row>
    <row r="2511">
      <c r="A2511" s="8" t="s">
        <v>2840</v>
      </c>
      <c r="B2511" s="8" t="s">
        <v>14594</v>
      </c>
      <c r="C2511" s="8" t="s">
        <v>14595</v>
      </c>
      <c r="D2511" s="9">
        <v>9.021888757E9</v>
      </c>
      <c r="E2511" s="8" t="s">
        <v>14596</v>
      </c>
      <c r="F2511" s="8" t="s">
        <v>3608</v>
      </c>
      <c r="G2511" s="8" t="s">
        <v>14597</v>
      </c>
      <c r="H2511" s="8" t="s">
        <v>3479</v>
      </c>
      <c r="I2511" s="9">
        <v>0.0</v>
      </c>
      <c r="J2511" s="9">
        <v>1468.0</v>
      </c>
      <c r="K2511" s="9">
        <v>1468.0</v>
      </c>
      <c r="L2511" s="9">
        <v>1468.0</v>
      </c>
      <c r="M2511" s="9">
        <v>80.0</v>
      </c>
      <c r="N2511" s="9">
        <v>739.0</v>
      </c>
      <c r="O2511" s="9">
        <v>649.0</v>
      </c>
      <c r="P2511" s="8" t="s">
        <v>3480</v>
      </c>
      <c r="Q2511" s="8" t="s">
        <v>14598</v>
      </c>
      <c r="R2511" s="8" t="s">
        <v>14599</v>
      </c>
    </row>
    <row r="2512">
      <c r="A2512" s="8" t="s">
        <v>2841</v>
      </c>
      <c r="B2512" s="8" t="s">
        <v>14600</v>
      </c>
      <c r="C2512" s="8" t="s">
        <v>14169</v>
      </c>
      <c r="D2512" s="9">
        <v>7.350111377E9</v>
      </c>
      <c r="E2512" s="8" t="s">
        <v>14601</v>
      </c>
      <c r="F2512" s="8" t="s">
        <v>14602</v>
      </c>
      <c r="G2512" s="8" t="s">
        <v>14603</v>
      </c>
      <c r="H2512" s="8" t="s">
        <v>3479</v>
      </c>
      <c r="I2512" s="9">
        <v>0.0</v>
      </c>
      <c r="J2512" s="9">
        <v>2016.0</v>
      </c>
      <c r="K2512" s="9">
        <v>2016.0</v>
      </c>
      <c r="L2512" s="9">
        <v>2016.0</v>
      </c>
      <c r="M2512" s="9">
        <v>417.0</v>
      </c>
      <c r="N2512" s="9">
        <v>900.0</v>
      </c>
      <c r="O2512" s="9">
        <v>699.0</v>
      </c>
      <c r="P2512" s="8" t="s">
        <v>3480</v>
      </c>
      <c r="Q2512" s="8"/>
      <c r="R2512" s="8"/>
    </row>
    <row r="2513">
      <c r="A2513" s="8" t="s">
        <v>2842</v>
      </c>
      <c r="B2513" s="8" t="s">
        <v>14604</v>
      </c>
      <c r="C2513" s="8" t="s">
        <v>14605</v>
      </c>
      <c r="D2513" s="9">
        <v>7.262966716E9</v>
      </c>
      <c r="E2513" s="8" t="s">
        <v>14606</v>
      </c>
      <c r="F2513" s="8" t="s">
        <v>3550</v>
      </c>
      <c r="G2513" s="8" t="s">
        <v>14607</v>
      </c>
      <c r="H2513" s="8" t="s">
        <v>3479</v>
      </c>
      <c r="I2513" s="9">
        <v>0.0</v>
      </c>
      <c r="J2513" s="9">
        <v>1328.0</v>
      </c>
      <c r="K2513" s="9">
        <v>1328.0</v>
      </c>
      <c r="L2513" s="9">
        <v>1328.0</v>
      </c>
      <c r="M2513" s="9">
        <v>140.0</v>
      </c>
      <c r="N2513" s="9">
        <v>739.0</v>
      </c>
      <c r="O2513" s="9">
        <v>449.0</v>
      </c>
      <c r="P2513" s="8" t="s">
        <v>3480</v>
      </c>
      <c r="Q2513" s="8" t="s">
        <v>14608</v>
      </c>
      <c r="R2513" s="8" t="s">
        <v>14609</v>
      </c>
    </row>
    <row r="2514">
      <c r="A2514" s="8" t="s">
        <v>2844</v>
      </c>
      <c r="B2514" s="8" t="s">
        <v>14610</v>
      </c>
      <c r="C2514" s="8" t="s">
        <v>12736</v>
      </c>
      <c r="D2514" s="9">
        <v>8.625046694E9</v>
      </c>
      <c r="E2514" s="8" t="s">
        <v>12737</v>
      </c>
      <c r="F2514" s="8" t="s">
        <v>3542</v>
      </c>
      <c r="G2514" s="8" t="s">
        <v>14611</v>
      </c>
      <c r="H2514" s="8" t="s">
        <v>3479</v>
      </c>
      <c r="I2514" s="9">
        <v>0.0</v>
      </c>
      <c r="J2514" s="9">
        <v>2165.0</v>
      </c>
      <c r="K2514" s="9">
        <v>2165.0</v>
      </c>
      <c r="L2514" s="9">
        <v>2165.0</v>
      </c>
      <c r="M2514" s="9">
        <v>2165.0</v>
      </c>
      <c r="N2514" s="9">
        <v>0.0</v>
      </c>
      <c r="O2514" s="9">
        <v>0.0</v>
      </c>
      <c r="P2514" s="8" t="s">
        <v>3480</v>
      </c>
      <c r="Q2514" s="8"/>
      <c r="R2514" s="8"/>
    </row>
    <row r="2515">
      <c r="A2515" s="8" t="s">
        <v>2843</v>
      </c>
      <c r="B2515" s="8" t="s">
        <v>14612</v>
      </c>
      <c r="C2515" s="8" t="s">
        <v>7606</v>
      </c>
      <c r="D2515" s="9">
        <v>8.805413757E9</v>
      </c>
      <c r="E2515" s="8" t="s">
        <v>7607</v>
      </c>
      <c r="F2515" s="8" t="s">
        <v>7608</v>
      </c>
      <c r="G2515" s="8" t="s">
        <v>14613</v>
      </c>
      <c r="H2515" s="8" t="s">
        <v>3479</v>
      </c>
      <c r="I2515" s="9">
        <v>0.0</v>
      </c>
      <c r="J2515" s="9">
        <v>2631.0</v>
      </c>
      <c r="K2515" s="9">
        <v>2631.0</v>
      </c>
      <c r="L2515" s="9">
        <v>2631.0</v>
      </c>
      <c r="M2515" s="9">
        <v>284.0</v>
      </c>
      <c r="N2515" s="9">
        <v>1468.0</v>
      </c>
      <c r="O2515" s="9">
        <v>879.0</v>
      </c>
      <c r="P2515" s="8" t="s">
        <v>3480</v>
      </c>
      <c r="Q2515" s="8" t="s">
        <v>7610</v>
      </c>
      <c r="R2515" s="8" t="s">
        <v>7611</v>
      </c>
    </row>
    <row r="2516">
      <c r="A2516" s="8" t="s">
        <v>2918</v>
      </c>
      <c r="B2516" s="8" t="s">
        <v>14614</v>
      </c>
      <c r="C2516" s="8" t="s">
        <v>7890</v>
      </c>
      <c r="D2516" s="9">
        <v>8.928219052E9</v>
      </c>
      <c r="E2516" s="8" t="s">
        <v>7891</v>
      </c>
      <c r="F2516" s="8" t="s">
        <v>3757</v>
      </c>
      <c r="G2516" s="8" t="s">
        <v>14615</v>
      </c>
      <c r="H2516" s="8" t="s">
        <v>3479</v>
      </c>
      <c r="I2516" s="9">
        <v>0.0</v>
      </c>
      <c r="J2516" s="9">
        <v>6635.0</v>
      </c>
      <c r="K2516" s="9">
        <v>6635.0</v>
      </c>
      <c r="L2516" s="9">
        <v>6635.0</v>
      </c>
      <c r="M2516" s="9">
        <v>3178.0</v>
      </c>
      <c r="N2516" s="9">
        <v>1533.0</v>
      </c>
      <c r="O2516" s="9">
        <v>1924.0</v>
      </c>
      <c r="P2516" s="8" t="s">
        <v>3480</v>
      </c>
      <c r="Q2516" s="8" t="s">
        <v>7893</v>
      </c>
      <c r="R2516" s="8" t="s">
        <v>7894</v>
      </c>
    </row>
    <row r="2517">
      <c r="A2517" s="8" t="s">
        <v>2811</v>
      </c>
      <c r="B2517" s="8" t="s">
        <v>14616</v>
      </c>
      <c r="C2517" s="8" t="s">
        <v>14617</v>
      </c>
      <c r="D2517" s="9">
        <v>9.545999297E9</v>
      </c>
      <c r="E2517" s="8" t="s">
        <v>14618</v>
      </c>
      <c r="F2517" s="8" t="s">
        <v>3908</v>
      </c>
      <c r="G2517" s="8" t="s">
        <v>14619</v>
      </c>
      <c r="H2517" s="8" t="s">
        <v>3479</v>
      </c>
      <c r="I2517" s="9">
        <v>0.0</v>
      </c>
      <c r="J2517" s="9">
        <v>1877.0</v>
      </c>
      <c r="K2517" s="9">
        <v>1877.0</v>
      </c>
      <c r="L2517" s="9">
        <v>1877.0</v>
      </c>
      <c r="M2517" s="9">
        <v>938.0</v>
      </c>
      <c r="N2517" s="9">
        <v>65.0</v>
      </c>
      <c r="O2517" s="9">
        <v>874.0</v>
      </c>
      <c r="P2517" s="8" t="s">
        <v>3480</v>
      </c>
      <c r="Q2517" s="8"/>
      <c r="R2517" s="8"/>
    </row>
    <row r="2518">
      <c r="A2518" s="8" t="s">
        <v>2845</v>
      </c>
      <c r="B2518" s="8" t="s">
        <v>14620</v>
      </c>
      <c r="C2518" s="8" t="s">
        <v>14621</v>
      </c>
      <c r="D2518" s="9">
        <v>7.709719178E9</v>
      </c>
      <c r="E2518" s="8" t="s">
        <v>14622</v>
      </c>
      <c r="F2518" s="8" t="s">
        <v>7164</v>
      </c>
      <c r="G2518" s="8" t="s">
        <v>14623</v>
      </c>
      <c r="H2518" s="8" t="s">
        <v>3479</v>
      </c>
      <c r="I2518" s="9">
        <v>0.0</v>
      </c>
      <c r="J2518" s="9">
        <v>3841.0</v>
      </c>
      <c r="K2518" s="9">
        <v>3841.0</v>
      </c>
      <c r="L2518" s="9">
        <v>3841.0</v>
      </c>
      <c r="M2518" s="9">
        <v>1767.0</v>
      </c>
      <c r="N2518" s="9">
        <v>900.0</v>
      </c>
      <c r="O2518" s="9">
        <v>1174.0</v>
      </c>
      <c r="P2518" s="8" t="s">
        <v>3480</v>
      </c>
      <c r="Q2518" s="8" t="s">
        <v>14624</v>
      </c>
      <c r="R2518" s="8" t="s">
        <v>14625</v>
      </c>
    </row>
    <row r="2519">
      <c r="A2519" s="8" t="s">
        <v>2815</v>
      </c>
      <c r="B2519" s="8" t="s">
        <v>14626</v>
      </c>
      <c r="C2519" s="8" t="s">
        <v>14627</v>
      </c>
      <c r="D2519" s="9">
        <v>8.830179394E9</v>
      </c>
      <c r="E2519" s="8" t="s">
        <v>14628</v>
      </c>
      <c r="F2519" s="8" t="s">
        <v>6968</v>
      </c>
      <c r="G2519" s="8" t="s">
        <v>14629</v>
      </c>
      <c r="H2519" s="8" t="s">
        <v>8472</v>
      </c>
      <c r="I2519" s="9">
        <v>0.0</v>
      </c>
      <c r="J2519" s="9">
        <v>3300.0</v>
      </c>
      <c r="K2519" s="9">
        <v>3384.0</v>
      </c>
      <c r="L2519" s="9">
        <v>3300.0</v>
      </c>
      <c r="M2519" s="9">
        <v>1351.0</v>
      </c>
      <c r="N2519" s="9">
        <v>784.0</v>
      </c>
      <c r="O2519" s="9">
        <v>1249.0</v>
      </c>
      <c r="P2519" s="8" t="s">
        <v>3480</v>
      </c>
      <c r="Q2519" s="8" t="s">
        <v>14630</v>
      </c>
      <c r="R2519" s="8" t="s">
        <v>14631</v>
      </c>
    </row>
    <row r="2520">
      <c r="A2520" s="8" t="s">
        <v>2816</v>
      </c>
      <c r="B2520" s="8" t="s">
        <v>14632</v>
      </c>
      <c r="C2520" s="8" t="s">
        <v>7108</v>
      </c>
      <c r="D2520" s="9">
        <v>9.420460003E9</v>
      </c>
      <c r="E2520" s="8" t="s">
        <v>14633</v>
      </c>
      <c r="F2520" s="8" t="s">
        <v>3615</v>
      </c>
      <c r="G2520" s="8" t="s">
        <v>14634</v>
      </c>
      <c r="H2520" s="8" t="s">
        <v>3479</v>
      </c>
      <c r="I2520" s="9">
        <v>0.0</v>
      </c>
      <c r="J2520" s="9">
        <v>5080.0</v>
      </c>
      <c r="K2520" s="9">
        <v>5080.0</v>
      </c>
      <c r="L2520" s="9">
        <v>5080.0</v>
      </c>
      <c r="M2520" s="9">
        <v>3607.0</v>
      </c>
      <c r="N2520" s="9">
        <v>849.0</v>
      </c>
      <c r="O2520" s="9">
        <v>624.0</v>
      </c>
      <c r="P2520" s="8" t="s">
        <v>3480</v>
      </c>
      <c r="Q2520" s="8"/>
      <c r="R2520" s="8"/>
    </row>
    <row r="2521">
      <c r="A2521" s="8" t="s">
        <v>2745</v>
      </c>
      <c r="B2521" s="8" t="s">
        <v>14635</v>
      </c>
      <c r="C2521" s="8" t="s">
        <v>12602</v>
      </c>
      <c r="D2521" s="9">
        <v>8.805759519E9</v>
      </c>
      <c r="E2521" s="8" t="s">
        <v>12603</v>
      </c>
      <c r="F2521" s="8" t="s">
        <v>3550</v>
      </c>
      <c r="G2521" s="8" t="s">
        <v>14636</v>
      </c>
      <c r="H2521" s="8" t="s">
        <v>3479</v>
      </c>
      <c r="I2521" s="9">
        <v>0.0</v>
      </c>
      <c r="J2521" s="9">
        <v>1946.0</v>
      </c>
      <c r="K2521" s="9">
        <v>1946.0</v>
      </c>
      <c r="L2521" s="9">
        <v>1946.0</v>
      </c>
      <c r="M2521" s="9">
        <v>758.0</v>
      </c>
      <c r="N2521" s="9">
        <v>739.0</v>
      </c>
      <c r="O2521" s="9">
        <v>449.0</v>
      </c>
      <c r="P2521" s="8" t="s">
        <v>3480</v>
      </c>
      <c r="Q2521" s="8" t="s">
        <v>12605</v>
      </c>
      <c r="R2521" s="8" t="s">
        <v>12606</v>
      </c>
    </row>
    <row r="2522">
      <c r="A2522" s="8" t="s">
        <v>2817</v>
      </c>
      <c r="B2522" s="8" t="s">
        <v>14637</v>
      </c>
      <c r="C2522" s="8" t="s">
        <v>12355</v>
      </c>
      <c r="D2522" s="9">
        <v>9.325110511E9</v>
      </c>
      <c r="E2522" s="8" t="s">
        <v>12356</v>
      </c>
      <c r="F2522" s="8" t="s">
        <v>3509</v>
      </c>
      <c r="G2522" s="8" t="s">
        <v>14638</v>
      </c>
      <c r="H2522" s="8" t="s">
        <v>3479</v>
      </c>
      <c r="I2522" s="9">
        <v>0.0</v>
      </c>
      <c r="J2522" s="9">
        <v>1141.0</v>
      </c>
      <c r="K2522" s="9">
        <v>1141.0</v>
      </c>
      <c r="L2522" s="9">
        <v>1141.0</v>
      </c>
      <c r="M2522" s="9">
        <v>866.0</v>
      </c>
      <c r="N2522" s="9">
        <v>0.0</v>
      </c>
      <c r="O2522" s="9">
        <v>275.0</v>
      </c>
      <c r="P2522" s="8" t="s">
        <v>3480</v>
      </c>
      <c r="Q2522" s="8" t="s">
        <v>12358</v>
      </c>
      <c r="R2522" s="8" t="s">
        <v>12359</v>
      </c>
    </row>
    <row r="2523">
      <c r="A2523" s="8" t="s">
        <v>2746</v>
      </c>
      <c r="B2523" s="8" t="s">
        <v>14639</v>
      </c>
      <c r="C2523" s="8" t="s">
        <v>4421</v>
      </c>
      <c r="D2523" s="9">
        <v>9.673758691E9</v>
      </c>
      <c r="E2523" s="8" t="s">
        <v>4422</v>
      </c>
      <c r="F2523" s="8" t="s">
        <v>3677</v>
      </c>
      <c r="G2523" s="8" t="s">
        <v>14640</v>
      </c>
      <c r="H2523" s="8" t="s">
        <v>3479</v>
      </c>
      <c r="I2523" s="9">
        <v>0.0</v>
      </c>
      <c r="J2523" s="9">
        <v>3841.0</v>
      </c>
      <c r="K2523" s="9">
        <v>3841.0</v>
      </c>
      <c r="L2523" s="9">
        <v>3841.0</v>
      </c>
      <c r="M2523" s="9">
        <v>1397.0</v>
      </c>
      <c r="N2523" s="9">
        <v>1445.0</v>
      </c>
      <c r="O2523" s="9">
        <v>999.0</v>
      </c>
      <c r="P2523" s="8" t="s">
        <v>3480</v>
      </c>
      <c r="Q2523" s="8" t="s">
        <v>4425</v>
      </c>
      <c r="R2523" s="8" t="s">
        <v>4426</v>
      </c>
    </row>
    <row r="2524">
      <c r="A2524" s="8" t="s">
        <v>2747</v>
      </c>
      <c r="B2524" s="8" t="s">
        <v>14641</v>
      </c>
      <c r="C2524" s="8" t="s">
        <v>10005</v>
      </c>
      <c r="D2524" s="9">
        <v>9.97580074E9</v>
      </c>
      <c r="E2524" s="8" t="s">
        <v>10006</v>
      </c>
      <c r="F2524" s="8" t="s">
        <v>3523</v>
      </c>
      <c r="G2524" s="8" t="s">
        <v>14642</v>
      </c>
      <c r="H2524" s="8" t="s">
        <v>3479</v>
      </c>
      <c r="I2524" s="9">
        <v>0.0</v>
      </c>
      <c r="J2524" s="9">
        <v>1718.0</v>
      </c>
      <c r="K2524" s="9">
        <v>1718.0</v>
      </c>
      <c r="L2524" s="9">
        <v>1718.0</v>
      </c>
      <c r="M2524" s="9">
        <v>455.0</v>
      </c>
      <c r="N2524" s="9">
        <v>739.0</v>
      </c>
      <c r="O2524" s="9">
        <v>524.0</v>
      </c>
      <c r="P2524" s="8" t="s">
        <v>3480</v>
      </c>
      <c r="Q2524" s="8" t="s">
        <v>10008</v>
      </c>
      <c r="R2524" s="8" t="s">
        <v>10009</v>
      </c>
    </row>
    <row r="2525">
      <c r="A2525" s="8" t="s">
        <v>2818</v>
      </c>
      <c r="B2525" s="8" t="s">
        <v>14643</v>
      </c>
      <c r="C2525" s="8" t="s">
        <v>8717</v>
      </c>
      <c r="D2525" s="9">
        <v>7.385844472E9</v>
      </c>
      <c r="E2525" s="8" t="s">
        <v>13691</v>
      </c>
      <c r="F2525" s="8" t="s">
        <v>3757</v>
      </c>
      <c r="G2525" s="8" t="s">
        <v>14644</v>
      </c>
      <c r="H2525" s="8" t="s">
        <v>3479</v>
      </c>
      <c r="I2525" s="9">
        <v>0.0</v>
      </c>
      <c r="J2525" s="9">
        <v>575.0</v>
      </c>
      <c r="K2525" s="9">
        <v>575.0</v>
      </c>
      <c r="L2525" s="9">
        <v>575.0</v>
      </c>
      <c r="M2525" s="9">
        <v>300.0</v>
      </c>
      <c r="N2525" s="9">
        <v>0.0</v>
      </c>
      <c r="O2525" s="9">
        <v>275.0</v>
      </c>
      <c r="P2525" s="8" t="s">
        <v>3480</v>
      </c>
      <c r="Q2525" s="8"/>
      <c r="R2525" s="8"/>
    </row>
    <row r="2526">
      <c r="A2526" s="8" t="s">
        <v>2838</v>
      </c>
      <c r="B2526" s="8" t="s">
        <v>14645</v>
      </c>
      <c r="C2526" s="8" t="s">
        <v>14646</v>
      </c>
      <c r="D2526" s="9">
        <v>9.623244865E9</v>
      </c>
      <c r="E2526" s="8" t="s">
        <v>14647</v>
      </c>
      <c r="F2526" s="8" t="s">
        <v>4333</v>
      </c>
      <c r="G2526" s="8" t="s">
        <v>14648</v>
      </c>
      <c r="H2526" s="8" t="s">
        <v>3479</v>
      </c>
      <c r="I2526" s="9">
        <v>0.0</v>
      </c>
      <c r="J2526" s="9">
        <v>3208.0</v>
      </c>
      <c r="K2526" s="9">
        <v>3208.0</v>
      </c>
      <c r="L2526" s="9">
        <v>3208.0</v>
      </c>
      <c r="M2526" s="9">
        <v>1269.0</v>
      </c>
      <c r="N2526" s="9">
        <v>965.0</v>
      </c>
      <c r="O2526" s="9">
        <v>974.0</v>
      </c>
      <c r="P2526" s="8" t="s">
        <v>3544</v>
      </c>
      <c r="Q2526" s="8" t="s">
        <v>14649</v>
      </c>
      <c r="R2526" s="8" t="s">
        <v>14650</v>
      </c>
    </row>
    <row r="2527">
      <c r="A2527" s="8" t="s">
        <v>2903</v>
      </c>
      <c r="B2527" s="8" t="s">
        <v>14651</v>
      </c>
      <c r="C2527" s="8" t="s">
        <v>3651</v>
      </c>
      <c r="D2527" s="9">
        <v>9.172523743E9</v>
      </c>
      <c r="E2527" s="8" t="s">
        <v>3652</v>
      </c>
      <c r="F2527" s="8" t="s">
        <v>3653</v>
      </c>
      <c r="G2527" s="8" t="s">
        <v>3654</v>
      </c>
      <c r="H2527" s="8" t="s">
        <v>3479</v>
      </c>
      <c r="I2527" s="9">
        <v>0.0</v>
      </c>
      <c r="J2527" s="9">
        <v>3281.0</v>
      </c>
      <c r="K2527" s="9">
        <v>3281.0</v>
      </c>
      <c r="L2527" s="9">
        <v>3281.0</v>
      </c>
      <c r="M2527" s="9">
        <v>3156.0</v>
      </c>
      <c r="N2527" s="9">
        <v>0.0</v>
      </c>
      <c r="O2527" s="9">
        <v>125.0</v>
      </c>
      <c r="P2527" s="8" t="s">
        <v>3480</v>
      </c>
      <c r="Q2527" s="8"/>
      <c r="R2527" s="8"/>
    </row>
    <row r="2528">
      <c r="A2528" s="8" t="s">
        <v>2812</v>
      </c>
      <c r="B2528" s="8" t="s">
        <v>14652</v>
      </c>
      <c r="C2528" s="8" t="s">
        <v>14653</v>
      </c>
      <c r="D2528" s="9">
        <v>7.499292705E9</v>
      </c>
      <c r="E2528" s="8" t="s">
        <v>14654</v>
      </c>
      <c r="F2528" s="8" t="s">
        <v>3594</v>
      </c>
      <c r="G2528" s="8" t="s">
        <v>14655</v>
      </c>
      <c r="H2528" s="8" t="s">
        <v>5264</v>
      </c>
      <c r="I2528" s="9">
        <v>0.0</v>
      </c>
      <c r="J2528" s="9">
        <v>8000.0</v>
      </c>
      <c r="K2528" s="9">
        <v>8150.0</v>
      </c>
      <c r="L2528" s="9">
        <v>8000.0</v>
      </c>
      <c r="M2528" s="9">
        <v>6518.0</v>
      </c>
      <c r="N2528" s="9">
        <v>730.0</v>
      </c>
      <c r="O2528" s="9">
        <v>902.0</v>
      </c>
      <c r="P2528" s="8" t="s">
        <v>3480</v>
      </c>
      <c r="Q2528" s="8" t="s">
        <v>14656</v>
      </c>
      <c r="R2528" s="8" t="s">
        <v>14657</v>
      </c>
    </row>
    <row r="2529">
      <c r="A2529" s="8" t="s">
        <v>2787</v>
      </c>
      <c r="B2529" s="8" t="s">
        <v>14658</v>
      </c>
      <c r="C2529" s="8" t="s">
        <v>8592</v>
      </c>
      <c r="D2529" s="9">
        <v>9.922930157E9</v>
      </c>
      <c r="E2529" s="8" t="s">
        <v>8593</v>
      </c>
      <c r="F2529" s="8" t="s">
        <v>3542</v>
      </c>
      <c r="G2529" s="8" t="s">
        <v>14659</v>
      </c>
      <c r="H2529" s="8" t="s">
        <v>3479</v>
      </c>
      <c r="I2529" s="9">
        <v>0.0</v>
      </c>
      <c r="J2529" s="9">
        <v>2174.0</v>
      </c>
      <c r="K2529" s="9">
        <v>2174.0</v>
      </c>
      <c r="L2529" s="9">
        <v>2174.0</v>
      </c>
      <c r="M2529" s="9">
        <v>920.0</v>
      </c>
      <c r="N2529" s="9">
        <v>730.0</v>
      </c>
      <c r="O2529" s="9">
        <v>524.0</v>
      </c>
      <c r="P2529" s="8" t="s">
        <v>3480</v>
      </c>
      <c r="Q2529" s="8" t="s">
        <v>8594</v>
      </c>
      <c r="R2529" s="8" t="s">
        <v>8595</v>
      </c>
    </row>
    <row r="2530">
      <c r="A2530" s="8" t="s">
        <v>2899</v>
      </c>
      <c r="B2530" s="8" t="s">
        <v>14660</v>
      </c>
      <c r="C2530" s="8" t="s">
        <v>14661</v>
      </c>
      <c r="D2530" s="9">
        <v>7.276876123E9</v>
      </c>
      <c r="E2530" s="8" t="s">
        <v>14662</v>
      </c>
      <c r="F2530" s="8" t="s">
        <v>4125</v>
      </c>
      <c r="G2530" s="8" t="s">
        <v>14663</v>
      </c>
      <c r="H2530" s="8" t="s">
        <v>3479</v>
      </c>
      <c r="I2530" s="9">
        <v>0.0</v>
      </c>
      <c r="J2530" s="9">
        <v>1434.0</v>
      </c>
      <c r="K2530" s="9">
        <v>1434.0</v>
      </c>
      <c r="L2530" s="9">
        <v>1434.0</v>
      </c>
      <c r="M2530" s="9">
        <v>135.0</v>
      </c>
      <c r="N2530" s="9">
        <v>700.0</v>
      </c>
      <c r="O2530" s="9">
        <v>599.0</v>
      </c>
      <c r="P2530" s="8" t="s">
        <v>3480</v>
      </c>
      <c r="Q2530" s="8" t="s">
        <v>14664</v>
      </c>
      <c r="R2530" s="8" t="s">
        <v>14665</v>
      </c>
    </row>
    <row r="2531">
      <c r="A2531" s="8" t="s">
        <v>2904</v>
      </c>
      <c r="B2531" s="8" t="s">
        <v>14666</v>
      </c>
      <c r="C2531" s="8" t="s">
        <v>14667</v>
      </c>
      <c r="D2531" s="9">
        <v>9.822398525E9</v>
      </c>
      <c r="E2531" s="8" t="s">
        <v>14668</v>
      </c>
      <c r="F2531" s="8" t="s">
        <v>3564</v>
      </c>
      <c r="G2531" s="8" t="s">
        <v>14669</v>
      </c>
      <c r="H2531" s="8" t="s">
        <v>3479</v>
      </c>
      <c r="I2531" s="9">
        <v>0.0</v>
      </c>
      <c r="J2531" s="9">
        <v>1069.0</v>
      </c>
      <c r="K2531" s="9">
        <v>1069.0</v>
      </c>
      <c r="L2531" s="9">
        <v>1069.0</v>
      </c>
      <c r="M2531" s="9">
        <v>620.0</v>
      </c>
      <c r="N2531" s="9">
        <v>0.0</v>
      </c>
      <c r="O2531" s="9">
        <v>449.0</v>
      </c>
      <c r="P2531" s="8" t="s">
        <v>3519</v>
      </c>
      <c r="Q2531" s="8" t="s">
        <v>14670</v>
      </c>
      <c r="R2531" s="8" t="s">
        <v>14671</v>
      </c>
    </row>
    <row r="2532">
      <c r="A2532" s="8" t="s">
        <v>1923</v>
      </c>
      <c r="B2532" s="8" t="s">
        <v>14672</v>
      </c>
      <c r="C2532" s="8" t="s">
        <v>14673</v>
      </c>
      <c r="D2532" s="9">
        <v>8.446034544E9</v>
      </c>
      <c r="E2532" s="8" t="s">
        <v>14674</v>
      </c>
      <c r="F2532" s="8" t="s">
        <v>5179</v>
      </c>
      <c r="G2532" s="8" t="s">
        <v>14675</v>
      </c>
      <c r="H2532" s="8" t="s">
        <v>14676</v>
      </c>
      <c r="I2532" s="9">
        <v>0.0</v>
      </c>
      <c r="J2532" s="9">
        <v>3000.0</v>
      </c>
      <c r="K2532" s="9">
        <v>3059.0</v>
      </c>
      <c r="L2532" s="9">
        <v>3000.0</v>
      </c>
      <c r="M2532" s="9">
        <v>1334.0</v>
      </c>
      <c r="N2532" s="9">
        <v>781.0</v>
      </c>
      <c r="O2532" s="9">
        <v>944.0</v>
      </c>
      <c r="P2532" s="8" t="s">
        <v>3480</v>
      </c>
      <c r="Q2532" s="8" t="s">
        <v>14677</v>
      </c>
      <c r="R2532" s="8" t="s">
        <v>14678</v>
      </c>
    </row>
    <row r="2533">
      <c r="A2533" s="8" t="s">
        <v>1849</v>
      </c>
      <c r="B2533" s="8" t="s">
        <v>14679</v>
      </c>
      <c r="C2533" s="8" t="s">
        <v>7488</v>
      </c>
      <c r="D2533" s="9">
        <v>9.762861972E9</v>
      </c>
      <c r="E2533" s="8" t="s">
        <v>7489</v>
      </c>
      <c r="F2533" s="8" t="s">
        <v>5633</v>
      </c>
      <c r="G2533" s="8" t="s">
        <v>14680</v>
      </c>
      <c r="H2533" s="8" t="s">
        <v>3479</v>
      </c>
      <c r="I2533" s="9">
        <v>0.0</v>
      </c>
      <c r="J2533" s="9">
        <v>1673.0</v>
      </c>
      <c r="K2533" s="9">
        <v>1673.0</v>
      </c>
      <c r="L2533" s="9">
        <v>1673.0</v>
      </c>
      <c r="M2533" s="9">
        <v>1198.0</v>
      </c>
      <c r="N2533" s="9">
        <v>0.0</v>
      </c>
      <c r="O2533" s="9">
        <v>475.0</v>
      </c>
      <c r="P2533" s="8" t="s">
        <v>3480</v>
      </c>
      <c r="Q2533" s="8" t="s">
        <v>7491</v>
      </c>
      <c r="R2533" s="8" t="s">
        <v>7492</v>
      </c>
    </row>
    <row r="2534">
      <c r="A2534" s="8" t="s">
        <v>1850</v>
      </c>
      <c r="B2534" s="8" t="s">
        <v>14681</v>
      </c>
      <c r="C2534" s="8" t="s">
        <v>14682</v>
      </c>
      <c r="D2534" s="9">
        <v>8.308822519E9</v>
      </c>
      <c r="E2534" s="8" t="s">
        <v>14683</v>
      </c>
      <c r="F2534" s="8" t="s">
        <v>4436</v>
      </c>
      <c r="G2534" s="8" t="s">
        <v>14684</v>
      </c>
      <c r="H2534" s="8" t="s">
        <v>3479</v>
      </c>
      <c r="I2534" s="9">
        <v>0.0</v>
      </c>
      <c r="J2534" s="9">
        <v>650.0</v>
      </c>
      <c r="K2534" s="9">
        <v>650.0</v>
      </c>
      <c r="L2534" s="9">
        <v>650.0</v>
      </c>
      <c r="M2534" s="9">
        <v>475.0</v>
      </c>
      <c r="N2534" s="9">
        <v>0.0</v>
      </c>
      <c r="O2534" s="9">
        <v>175.0</v>
      </c>
      <c r="P2534" s="8" t="s">
        <v>3480</v>
      </c>
      <c r="Q2534" s="8"/>
      <c r="R2534" s="8"/>
    </row>
    <row r="2535">
      <c r="A2535" s="8" t="s">
        <v>1924</v>
      </c>
      <c r="B2535" s="8" t="s">
        <v>14685</v>
      </c>
      <c r="C2535" s="8" t="s">
        <v>14686</v>
      </c>
      <c r="D2535" s="9">
        <v>9.545278631E9</v>
      </c>
      <c r="E2535" s="8" t="s">
        <v>14687</v>
      </c>
      <c r="F2535" s="8" t="s">
        <v>3653</v>
      </c>
      <c r="G2535" s="8" t="s">
        <v>14688</v>
      </c>
      <c r="H2535" s="8" t="s">
        <v>3479</v>
      </c>
      <c r="I2535" s="9">
        <v>0.0</v>
      </c>
      <c r="J2535" s="9">
        <v>2277.0</v>
      </c>
      <c r="K2535" s="9">
        <v>2277.0</v>
      </c>
      <c r="L2535" s="9">
        <v>2277.0</v>
      </c>
      <c r="M2535" s="9">
        <v>1488.0</v>
      </c>
      <c r="N2535" s="9">
        <v>65.0</v>
      </c>
      <c r="O2535" s="9">
        <v>724.0</v>
      </c>
      <c r="P2535" s="8" t="s">
        <v>3480</v>
      </c>
      <c r="Q2535" s="8" t="s">
        <v>14689</v>
      </c>
      <c r="R2535" s="8" t="s">
        <v>14690</v>
      </c>
    </row>
    <row r="2536">
      <c r="A2536" s="8" t="s">
        <v>2060</v>
      </c>
      <c r="B2536" s="8" t="s">
        <v>14691</v>
      </c>
      <c r="C2536" s="8" t="s">
        <v>14692</v>
      </c>
      <c r="D2536" s="9">
        <v>9.421053723E9</v>
      </c>
      <c r="E2536" s="8" t="s">
        <v>14693</v>
      </c>
      <c r="F2536" s="8" t="s">
        <v>3589</v>
      </c>
      <c r="G2536" s="8" t="s">
        <v>14694</v>
      </c>
      <c r="H2536" s="8" t="s">
        <v>3479</v>
      </c>
      <c r="I2536" s="9">
        <v>0.0</v>
      </c>
      <c r="J2536" s="9">
        <v>1414.0</v>
      </c>
      <c r="K2536" s="9">
        <v>1414.0</v>
      </c>
      <c r="L2536" s="9">
        <v>1414.0</v>
      </c>
      <c r="M2536" s="9">
        <v>160.0</v>
      </c>
      <c r="N2536" s="9">
        <v>730.0</v>
      </c>
      <c r="O2536" s="9">
        <v>524.0</v>
      </c>
      <c r="P2536" s="8" t="s">
        <v>3480</v>
      </c>
      <c r="Q2536" s="8" t="s">
        <v>14695</v>
      </c>
      <c r="R2536" s="8" t="s">
        <v>14696</v>
      </c>
    </row>
    <row r="2537">
      <c r="A2537" s="8" t="s">
        <v>1925</v>
      </c>
      <c r="B2537" s="8" t="s">
        <v>14697</v>
      </c>
      <c r="C2537" s="8" t="s">
        <v>14698</v>
      </c>
      <c r="D2537" s="9">
        <v>9.579574945E9</v>
      </c>
      <c r="E2537" s="8" t="s">
        <v>14699</v>
      </c>
      <c r="F2537" s="8" t="s">
        <v>3768</v>
      </c>
      <c r="G2537" s="8" t="s">
        <v>14700</v>
      </c>
      <c r="H2537" s="8" t="s">
        <v>3479</v>
      </c>
      <c r="I2537" s="9">
        <v>0.0</v>
      </c>
      <c r="J2537" s="9">
        <v>1403.0</v>
      </c>
      <c r="K2537" s="9">
        <v>1403.0</v>
      </c>
      <c r="L2537" s="9">
        <v>1403.0</v>
      </c>
      <c r="M2537" s="9">
        <v>105.0</v>
      </c>
      <c r="N2537" s="9">
        <v>849.0</v>
      </c>
      <c r="O2537" s="9">
        <v>449.0</v>
      </c>
      <c r="P2537" s="8" t="s">
        <v>3480</v>
      </c>
      <c r="Q2537" s="8" t="s">
        <v>14701</v>
      </c>
      <c r="R2537" s="8" t="s">
        <v>14702</v>
      </c>
    </row>
    <row r="2538">
      <c r="A2538" s="8" t="s">
        <v>2061</v>
      </c>
      <c r="B2538" s="8" t="s">
        <v>14703</v>
      </c>
      <c r="C2538" s="8" t="s">
        <v>5620</v>
      </c>
      <c r="D2538" s="9">
        <v>7.083009561E9</v>
      </c>
      <c r="E2538" s="8" t="s">
        <v>5621</v>
      </c>
      <c r="F2538" s="8" t="s">
        <v>3608</v>
      </c>
      <c r="G2538" s="8" t="s">
        <v>5622</v>
      </c>
      <c r="H2538" s="8" t="s">
        <v>3479</v>
      </c>
      <c r="I2538" s="9">
        <v>0.0</v>
      </c>
      <c r="J2538" s="9">
        <v>1259.0</v>
      </c>
      <c r="K2538" s="9">
        <v>1259.0</v>
      </c>
      <c r="L2538" s="9">
        <v>1259.0</v>
      </c>
      <c r="M2538" s="9">
        <v>80.0</v>
      </c>
      <c r="N2538" s="9">
        <v>730.0</v>
      </c>
      <c r="O2538" s="9">
        <v>449.0</v>
      </c>
      <c r="P2538" s="8" t="s">
        <v>3480</v>
      </c>
      <c r="Q2538" s="8" t="s">
        <v>5623</v>
      </c>
      <c r="R2538" s="8" t="s">
        <v>5624</v>
      </c>
    </row>
    <row r="2539">
      <c r="A2539" s="8" t="s">
        <v>2301</v>
      </c>
      <c r="B2539" s="8" t="s">
        <v>14704</v>
      </c>
      <c r="C2539" s="8" t="s">
        <v>14705</v>
      </c>
      <c r="D2539" s="9">
        <v>9.322467622E9</v>
      </c>
      <c r="E2539" s="8" t="s">
        <v>14706</v>
      </c>
      <c r="F2539" s="8" t="s">
        <v>9296</v>
      </c>
      <c r="G2539" s="8" t="s">
        <v>14707</v>
      </c>
      <c r="H2539" s="8" t="s">
        <v>3479</v>
      </c>
      <c r="I2539" s="9">
        <v>0.0</v>
      </c>
      <c r="J2539" s="9">
        <v>3832.0</v>
      </c>
      <c r="K2539" s="9">
        <v>3832.0</v>
      </c>
      <c r="L2539" s="9">
        <v>3832.0</v>
      </c>
      <c r="M2539" s="9">
        <v>1304.0</v>
      </c>
      <c r="N2539" s="9">
        <v>1454.0</v>
      </c>
      <c r="O2539" s="9">
        <v>1074.0</v>
      </c>
      <c r="P2539" s="8" t="s">
        <v>3480</v>
      </c>
      <c r="Q2539" s="8" t="s">
        <v>14708</v>
      </c>
      <c r="R2539" s="8" t="s">
        <v>14709</v>
      </c>
    </row>
    <row r="2540">
      <c r="A2540" s="8" t="s">
        <v>2302</v>
      </c>
      <c r="B2540" s="8" t="s">
        <v>14710</v>
      </c>
      <c r="C2540" s="8" t="s">
        <v>14711</v>
      </c>
      <c r="D2540" s="9">
        <v>8.484843664E9</v>
      </c>
      <c r="E2540" s="8" t="s">
        <v>14712</v>
      </c>
      <c r="F2540" s="8" t="s">
        <v>3615</v>
      </c>
      <c r="G2540" s="8" t="s">
        <v>14713</v>
      </c>
      <c r="H2540" s="8" t="s">
        <v>3479</v>
      </c>
      <c r="I2540" s="9">
        <v>0.0</v>
      </c>
      <c r="J2540" s="9">
        <v>879.0</v>
      </c>
      <c r="K2540" s="9">
        <v>879.0</v>
      </c>
      <c r="L2540" s="9">
        <v>879.0</v>
      </c>
      <c r="M2540" s="9">
        <v>430.0</v>
      </c>
      <c r="N2540" s="9">
        <v>0.0</v>
      </c>
      <c r="O2540" s="9">
        <v>449.0</v>
      </c>
      <c r="P2540" s="8" t="s">
        <v>3480</v>
      </c>
      <c r="Q2540" s="8" t="s">
        <v>14714</v>
      </c>
      <c r="R2540" s="8" t="s">
        <v>14715</v>
      </c>
    </row>
    <row r="2541">
      <c r="A2541" s="8" t="s">
        <v>2303</v>
      </c>
      <c r="B2541" s="8" t="s">
        <v>14716</v>
      </c>
      <c r="C2541" s="8" t="s">
        <v>10108</v>
      </c>
      <c r="D2541" s="9">
        <v>8.600891133E9</v>
      </c>
      <c r="E2541" s="8" t="s">
        <v>14717</v>
      </c>
      <c r="F2541" s="8" t="s">
        <v>14718</v>
      </c>
      <c r="G2541" s="8" t="s">
        <v>14719</v>
      </c>
      <c r="H2541" s="8" t="s">
        <v>3479</v>
      </c>
      <c r="I2541" s="9">
        <v>0.0</v>
      </c>
      <c r="J2541" s="9">
        <v>2020.0</v>
      </c>
      <c r="K2541" s="9">
        <v>2020.0</v>
      </c>
      <c r="L2541" s="9">
        <v>2020.0</v>
      </c>
      <c r="M2541" s="9">
        <v>135.0</v>
      </c>
      <c r="N2541" s="9">
        <v>786.0</v>
      </c>
      <c r="O2541" s="9">
        <v>1099.0</v>
      </c>
      <c r="P2541" s="8" t="s">
        <v>3480</v>
      </c>
      <c r="Q2541" s="8" t="s">
        <v>14720</v>
      </c>
      <c r="R2541" s="8" t="s">
        <v>14721</v>
      </c>
    </row>
    <row r="2542">
      <c r="A2542" s="8" t="s">
        <v>2304</v>
      </c>
      <c r="B2542" s="8" t="s">
        <v>14722</v>
      </c>
      <c r="C2542" s="8" t="s">
        <v>14723</v>
      </c>
      <c r="D2542" s="9">
        <v>9.4213809E9</v>
      </c>
      <c r="E2542" s="8" t="s">
        <v>14724</v>
      </c>
      <c r="F2542" s="8" t="s">
        <v>3523</v>
      </c>
      <c r="G2542" s="8" t="s">
        <v>14725</v>
      </c>
      <c r="H2542" s="8" t="s">
        <v>3479</v>
      </c>
      <c r="I2542" s="9">
        <v>0.0</v>
      </c>
      <c r="J2542" s="9">
        <v>2763.0</v>
      </c>
      <c r="K2542" s="9">
        <v>2763.0</v>
      </c>
      <c r="L2542" s="9">
        <v>2763.0</v>
      </c>
      <c r="M2542" s="9">
        <v>1522.0</v>
      </c>
      <c r="N2542" s="9">
        <v>717.0</v>
      </c>
      <c r="O2542" s="9">
        <v>524.0</v>
      </c>
      <c r="P2542" s="8" t="s">
        <v>3480</v>
      </c>
      <c r="Q2542" s="8" t="s">
        <v>14726</v>
      </c>
      <c r="R2542" s="8" t="s">
        <v>14727</v>
      </c>
    </row>
    <row r="2543">
      <c r="A2543" s="8" t="s">
        <v>2062</v>
      </c>
      <c r="B2543" s="8" t="s">
        <v>14728</v>
      </c>
      <c r="C2543" s="8" t="s">
        <v>14729</v>
      </c>
      <c r="D2543" s="9">
        <v>8.623992225E9</v>
      </c>
      <c r="E2543" s="8" t="s">
        <v>14730</v>
      </c>
      <c r="F2543" s="8" t="s">
        <v>3908</v>
      </c>
      <c r="G2543" s="8" t="s">
        <v>14731</v>
      </c>
      <c r="H2543" s="8" t="s">
        <v>3479</v>
      </c>
      <c r="I2543" s="9">
        <v>0.0</v>
      </c>
      <c r="J2543" s="9">
        <v>4411.0</v>
      </c>
      <c r="K2543" s="9">
        <v>4411.0</v>
      </c>
      <c r="L2543" s="9">
        <v>4411.0</v>
      </c>
      <c r="M2543" s="9">
        <v>1519.0</v>
      </c>
      <c r="N2543" s="9">
        <v>1418.0</v>
      </c>
      <c r="O2543" s="9">
        <v>1474.0</v>
      </c>
      <c r="P2543" s="8" t="s">
        <v>3480</v>
      </c>
      <c r="Q2543" s="8" t="s">
        <v>14732</v>
      </c>
      <c r="R2543" s="8" t="s">
        <v>14733</v>
      </c>
    </row>
    <row r="2544">
      <c r="A2544" s="8" t="s">
        <v>2063</v>
      </c>
      <c r="B2544" s="8" t="s">
        <v>14734</v>
      </c>
      <c r="C2544" s="8" t="s">
        <v>14735</v>
      </c>
      <c r="D2544" s="9">
        <v>8.177952249E9</v>
      </c>
      <c r="E2544" s="8" t="s">
        <v>14736</v>
      </c>
      <c r="F2544" s="8" t="s">
        <v>5179</v>
      </c>
      <c r="G2544" s="8" t="s">
        <v>14737</v>
      </c>
      <c r="H2544" s="8" t="s">
        <v>3479</v>
      </c>
      <c r="I2544" s="9">
        <v>0.0</v>
      </c>
      <c r="J2544" s="9">
        <v>1698.0</v>
      </c>
      <c r="K2544" s="9">
        <v>1698.0</v>
      </c>
      <c r="L2544" s="9">
        <v>1698.0</v>
      </c>
      <c r="M2544" s="9">
        <v>519.0</v>
      </c>
      <c r="N2544" s="9">
        <v>730.0</v>
      </c>
      <c r="O2544" s="9">
        <v>449.0</v>
      </c>
      <c r="P2544" s="8" t="s">
        <v>3480</v>
      </c>
      <c r="Q2544" s="8" t="s">
        <v>14738</v>
      </c>
      <c r="R2544" s="8" t="s">
        <v>14739</v>
      </c>
    </row>
    <row r="2545">
      <c r="A2545" s="8" t="s">
        <v>2554</v>
      </c>
      <c r="B2545" s="8" t="s">
        <v>14740</v>
      </c>
      <c r="C2545" s="8" t="s">
        <v>14741</v>
      </c>
      <c r="D2545" s="9">
        <v>9.915697333E9</v>
      </c>
      <c r="E2545" s="8" t="s">
        <v>14742</v>
      </c>
      <c r="F2545" s="8" t="s">
        <v>5979</v>
      </c>
      <c r="G2545" s="8" t="s">
        <v>14743</v>
      </c>
      <c r="H2545" s="8" t="s">
        <v>3479</v>
      </c>
      <c r="I2545" s="9">
        <v>0.0</v>
      </c>
      <c r="J2545" s="9">
        <v>2140.0</v>
      </c>
      <c r="K2545" s="9">
        <v>2140.0</v>
      </c>
      <c r="L2545" s="9">
        <v>2140.0</v>
      </c>
      <c r="M2545" s="9">
        <v>407.0</v>
      </c>
      <c r="N2545" s="9">
        <v>1134.0</v>
      </c>
      <c r="O2545" s="9">
        <v>599.0</v>
      </c>
      <c r="P2545" s="8" t="s">
        <v>3480</v>
      </c>
      <c r="Q2545" s="8" t="s">
        <v>14744</v>
      </c>
      <c r="R2545" s="8" t="s">
        <v>14745</v>
      </c>
    </row>
    <row r="2546">
      <c r="A2546" s="8" t="s">
        <v>2410</v>
      </c>
      <c r="B2546" s="8" t="s">
        <v>14746</v>
      </c>
      <c r="C2546" s="8" t="s">
        <v>14747</v>
      </c>
      <c r="D2546" s="9">
        <v>8.380934375E9</v>
      </c>
      <c r="E2546" s="8" t="s">
        <v>14748</v>
      </c>
      <c r="F2546" s="8" t="s">
        <v>3589</v>
      </c>
      <c r="G2546" s="8" t="s">
        <v>14749</v>
      </c>
      <c r="H2546" s="8" t="s">
        <v>3479</v>
      </c>
      <c r="I2546" s="9">
        <v>0.0</v>
      </c>
      <c r="J2546" s="9">
        <v>1897.0</v>
      </c>
      <c r="K2546" s="9">
        <v>1897.0</v>
      </c>
      <c r="L2546" s="9">
        <v>1897.0</v>
      </c>
      <c r="M2546" s="9">
        <v>643.0</v>
      </c>
      <c r="N2546" s="9">
        <v>730.0</v>
      </c>
      <c r="O2546" s="9">
        <v>524.0</v>
      </c>
      <c r="P2546" s="8" t="s">
        <v>3480</v>
      </c>
      <c r="Q2546" s="8" t="s">
        <v>14750</v>
      </c>
      <c r="R2546" s="8" t="s">
        <v>14751</v>
      </c>
    </row>
    <row r="2547">
      <c r="A2547" s="8" t="s">
        <v>2917</v>
      </c>
      <c r="B2547" s="8" t="s">
        <v>14752</v>
      </c>
      <c r="C2547" s="8" t="s">
        <v>14753</v>
      </c>
      <c r="D2547" s="9">
        <v>7.387357272E9</v>
      </c>
      <c r="E2547" s="8" t="s">
        <v>14754</v>
      </c>
      <c r="F2547" s="8" t="s">
        <v>4645</v>
      </c>
      <c r="G2547" s="8" t="s">
        <v>14755</v>
      </c>
      <c r="H2547" s="8" t="s">
        <v>3479</v>
      </c>
      <c r="I2547" s="9">
        <v>0.0</v>
      </c>
      <c r="J2547" s="9">
        <v>1308.0</v>
      </c>
      <c r="K2547" s="9">
        <v>1308.0</v>
      </c>
      <c r="L2547" s="9">
        <v>1308.0</v>
      </c>
      <c r="M2547" s="9">
        <v>129.0</v>
      </c>
      <c r="N2547" s="9">
        <v>730.0</v>
      </c>
      <c r="O2547" s="9">
        <v>449.0</v>
      </c>
      <c r="P2547" s="8" t="s">
        <v>4183</v>
      </c>
      <c r="Q2547" s="8" t="s">
        <v>14756</v>
      </c>
      <c r="R2547" s="8" t="s">
        <v>14757</v>
      </c>
    </row>
    <row r="2548">
      <c r="A2548" s="8" t="s">
        <v>2813</v>
      </c>
      <c r="B2548" s="8" t="s">
        <v>14758</v>
      </c>
      <c r="C2548" s="8" t="s">
        <v>5035</v>
      </c>
      <c r="D2548" s="9">
        <v>9.096948907E9</v>
      </c>
      <c r="E2548" s="8" t="s">
        <v>5036</v>
      </c>
      <c r="F2548" s="8" t="s">
        <v>3486</v>
      </c>
      <c r="G2548" s="8" t="s">
        <v>3494</v>
      </c>
      <c r="H2548" s="8" t="s">
        <v>3479</v>
      </c>
      <c r="I2548" s="9">
        <v>0.0</v>
      </c>
      <c r="J2548" s="9">
        <v>1413.0</v>
      </c>
      <c r="K2548" s="9">
        <v>1413.0</v>
      </c>
      <c r="L2548" s="9">
        <v>1413.0</v>
      </c>
      <c r="M2548" s="9">
        <v>1063.0</v>
      </c>
      <c r="N2548" s="9">
        <v>0.0</v>
      </c>
      <c r="O2548" s="9">
        <v>350.0</v>
      </c>
      <c r="P2548" s="8" t="s">
        <v>3480</v>
      </c>
      <c r="Q2548" s="8" t="s">
        <v>5037</v>
      </c>
      <c r="R2548" s="8" t="s">
        <v>5038</v>
      </c>
    </row>
    <row r="2549">
      <c r="A2549" s="8" t="s">
        <v>577</v>
      </c>
      <c r="B2549" s="8" t="s">
        <v>14759</v>
      </c>
      <c r="C2549" s="8" t="s">
        <v>14760</v>
      </c>
      <c r="D2549" s="9">
        <v>9.527442912E9</v>
      </c>
      <c r="E2549" s="8" t="s">
        <v>14761</v>
      </c>
      <c r="F2549" s="8" t="s">
        <v>6744</v>
      </c>
      <c r="G2549" s="8" t="s">
        <v>14762</v>
      </c>
      <c r="H2549" s="8" t="s">
        <v>3479</v>
      </c>
      <c r="I2549" s="9">
        <v>0.0</v>
      </c>
      <c r="J2549" s="9">
        <v>7424.0</v>
      </c>
      <c r="K2549" s="9">
        <v>7424.0</v>
      </c>
      <c r="L2549" s="9">
        <v>7424.0</v>
      </c>
      <c r="M2549" s="9">
        <v>6844.0</v>
      </c>
      <c r="N2549" s="9">
        <v>130.0</v>
      </c>
      <c r="O2549" s="9">
        <v>450.0</v>
      </c>
      <c r="P2549" s="8" t="s">
        <v>3544</v>
      </c>
      <c r="Q2549" s="8"/>
      <c r="R2549" s="8"/>
    </row>
    <row r="2550">
      <c r="A2550" s="8" t="s">
        <v>2919</v>
      </c>
      <c r="B2550" s="8" t="s">
        <v>14763</v>
      </c>
      <c r="C2550" s="8" t="s">
        <v>7145</v>
      </c>
      <c r="D2550" s="9">
        <v>7.87504911E9</v>
      </c>
      <c r="E2550" s="8" t="s">
        <v>14764</v>
      </c>
      <c r="F2550" s="8" t="s">
        <v>3615</v>
      </c>
      <c r="G2550" s="8" t="s">
        <v>3494</v>
      </c>
      <c r="H2550" s="8" t="s">
        <v>3479</v>
      </c>
      <c r="I2550" s="9">
        <v>0.0</v>
      </c>
      <c r="J2550" s="9">
        <v>3259.0</v>
      </c>
      <c r="K2550" s="9">
        <v>3259.0</v>
      </c>
      <c r="L2550" s="9">
        <v>3259.0</v>
      </c>
      <c r="M2550" s="9">
        <v>1511.0</v>
      </c>
      <c r="N2550" s="9">
        <v>849.0</v>
      </c>
      <c r="O2550" s="9">
        <v>899.0</v>
      </c>
      <c r="P2550" s="8" t="s">
        <v>3480</v>
      </c>
      <c r="Q2550" s="8"/>
      <c r="R2550" s="8"/>
    </row>
    <row r="2551">
      <c r="A2551" s="8" t="s">
        <v>2819</v>
      </c>
      <c r="B2551" s="8" t="s">
        <v>14765</v>
      </c>
      <c r="C2551" s="8" t="s">
        <v>14766</v>
      </c>
      <c r="D2551" s="9">
        <v>9.960686005E9</v>
      </c>
      <c r="E2551" s="8" t="s">
        <v>14767</v>
      </c>
      <c r="F2551" s="8" t="s">
        <v>4645</v>
      </c>
      <c r="G2551" s="8" t="s">
        <v>14768</v>
      </c>
      <c r="H2551" s="8" t="s">
        <v>3479</v>
      </c>
      <c r="I2551" s="9">
        <v>0.0</v>
      </c>
      <c r="J2551" s="9">
        <v>1709.0</v>
      </c>
      <c r="K2551" s="9">
        <v>1709.0</v>
      </c>
      <c r="L2551" s="9">
        <v>1709.0</v>
      </c>
      <c r="M2551" s="9">
        <v>530.0</v>
      </c>
      <c r="N2551" s="9">
        <v>730.0</v>
      </c>
      <c r="O2551" s="9">
        <v>449.0</v>
      </c>
      <c r="P2551" s="8" t="s">
        <v>3480</v>
      </c>
      <c r="Q2551" s="8" t="s">
        <v>14769</v>
      </c>
      <c r="R2551" s="8" t="s">
        <v>14770</v>
      </c>
    </row>
    <row r="2552">
      <c r="A2552" s="8" t="s">
        <v>2820</v>
      </c>
      <c r="B2552" s="8" t="s">
        <v>14771</v>
      </c>
      <c r="C2552" s="8" t="s">
        <v>4231</v>
      </c>
      <c r="D2552" s="9">
        <v>9.370708502E9</v>
      </c>
      <c r="E2552" s="8" t="s">
        <v>4232</v>
      </c>
      <c r="F2552" s="8" t="s">
        <v>3653</v>
      </c>
      <c r="G2552" s="8" t="s">
        <v>14772</v>
      </c>
      <c r="H2552" s="8" t="s">
        <v>3479</v>
      </c>
      <c r="I2552" s="9">
        <v>0.0</v>
      </c>
      <c r="J2552" s="9">
        <v>2120.0</v>
      </c>
      <c r="K2552" s="9">
        <v>2120.0</v>
      </c>
      <c r="L2552" s="9">
        <v>2120.0</v>
      </c>
      <c r="M2552" s="9">
        <v>547.0</v>
      </c>
      <c r="N2552" s="9">
        <v>849.0</v>
      </c>
      <c r="O2552" s="9">
        <v>724.0</v>
      </c>
      <c r="P2552" s="8" t="s">
        <v>3480</v>
      </c>
      <c r="Q2552" s="8" t="s">
        <v>4234</v>
      </c>
      <c r="R2552" s="8" t="s">
        <v>4235</v>
      </c>
    </row>
    <row r="2553">
      <c r="A2553" s="8" t="s">
        <v>2920</v>
      </c>
      <c r="B2553" s="8" t="s">
        <v>14773</v>
      </c>
      <c r="C2553" s="8" t="s">
        <v>12072</v>
      </c>
      <c r="D2553" s="9">
        <v>9.405524675E9</v>
      </c>
      <c r="E2553" s="8" t="s">
        <v>12073</v>
      </c>
      <c r="F2553" s="8" t="s">
        <v>4189</v>
      </c>
      <c r="G2553" s="8" t="s">
        <v>12074</v>
      </c>
      <c r="H2553" s="8" t="s">
        <v>14774</v>
      </c>
      <c r="I2553" s="9">
        <v>0.0</v>
      </c>
      <c r="J2553" s="9">
        <v>0.0</v>
      </c>
      <c r="K2553" s="9">
        <v>4318.0</v>
      </c>
      <c r="L2553" s="9">
        <v>4200.0</v>
      </c>
      <c r="M2553" s="9">
        <v>3130.0</v>
      </c>
      <c r="N2553" s="9">
        <v>739.0</v>
      </c>
      <c r="O2553" s="9">
        <v>449.0</v>
      </c>
      <c r="P2553" s="8" t="s">
        <v>3480</v>
      </c>
      <c r="Q2553" s="8" t="s">
        <v>12075</v>
      </c>
      <c r="R2553" s="8" t="s">
        <v>12076</v>
      </c>
    </row>
    <row r="2554">
      <c r="A2554" s="8" t="s">
        <v>2748</v>
      </c>
      <c r="B2554" s="8" t="s">
        <v>14775</v>
      </c>
      <c r="C2554" s="8" t="s">
        <v>14370</v>
      </c>
      <c r="D2554" s="9">
        <v>9.867644017E9</v>
      </c>
      <c r="E2554" s="8" t="s">
        <v>14371</v>
      </c>
      <c r="F2554" s="8" t="s">
        <v>3757</v>
      </c>
      <c r="G2554" s="8" t="s">
        <v>14776</v>
      </c>
      <c r="H2554" s="8" t="s">
        <v>3479</v>
      </c>
      <c r="I2554" s="9">
        <v>0.0</v>
      </c>
      <c r="J2554" s="9">
        <v>3430.0</v>
      </c>
      <c r="K2554" s="9">
        <v>3430.0</v>
      </c>
      <c r="L2554" s="9">
        <v>3430.0</v>
      </c>
      <c r="M2554" s="9">
        <v>823.0</v>
      </c>
      <c r="N2554" s="9">
        <v>1533.0</v>
      </c>
      <c r="O2554" s="9">
        <v>1074.0</v>
      </c>
      <c r="P2554" s="8" t="s">
        <v>3480</v>
      </c>
      <c r="Q2554" s="8"/>
      <c r="R2554" s="8"/>
    </row>
    <row r="2555">
      <c r="A2555" s="8" t="s">
        <v>2749</v>
      </c>
      <c r="B2555" s="8" t="s">
        <v>14777</v>
      </c>
      <c r="C2555" s="8" t="s">
        <v>14778</v>
      </c>
      <c r="D2555" s="9">
        <v>7.038169181E9</v>
      </c>
      <c r="E2555" s="8" t="s">
        <v>14779</v>
      </c>
      <c r="F2555" s="8" t="s">
        <v>3608</v>
      </c>
      <c r="G2555" s="8" t="s">
        <v>14780</v>
      </c>
      <c r="H2555" s="8" t="s">
        <v>3479</v>
      </c>
      <c r="I2555" s="9">
        <v>0.0</v>
      </c>
      <c r="J2555" s="9">
        <v>1268.0</v>
      </c>
      <c r="K2555" s="9">
        <v>1268.0</v>
      </c>
      <c r="L2555" s="9">
        <v>1268.0</v>
      </c>
      <c r="M2555" s="9">
        <v>80.0</v>
      </c>
      <c r="N2555" s="9">
        <v>739.0</v>
      </c>
      <c r="O2555" s="9">
        <v>449.0</v>
      </c>
      <c r="P2555" s="8" t="s">
        <v>3480</v>
      </c>
      <c r="Q2555" s="8" t="s">
        <v>14781</v>
      </c>
      <c r="R2555" s="8" t="s">
        <v>14782</v>
      </c>
    </row>
    <row r="2556">
      <c r="A2556" s="8" t="s">
        <v>2750</v>
      </c>
      <c r="B2556" s="8" t="s">
        <v>14783</v>
      </c>
      <c r="C2556" s="8" t="s">
        <v>12759</v>
      </c>
      <c r="D2556" s="9">
        <v>9.673334817E9</v>
      </c>
      <c r="E2556" s="8" t="s">
        <v>12760</v>
      </c>
      <c r="F2556" s="8" t="s">
        <v>3901</v>
      </c>
      <c r="G2556" s="8" t="s">
        <v>14784</v>
      </c>
      <c r="H2556" s="8" t="s">
        <v>3479</v>
      </c>
      <c r="I2556" s="9">
        <v>0.0</v>
      </c>
      <c r="J2556" s="9">
        <v>2805.0</v>
      </c>
      <c r="K2556" s="9">
        <v>2805.0</v>
      </c>
      <c r="L2556" s="9">
        <v>2805.0</v>
      </c>
      <c r="M2556" s="9">
        <v>1331.0</v>
      </c>
      <c r="N2556" s="9">
        <v>775.0</v>
      </c>
      <c r="O2556" s="9">
        <v>699.0</v>
      </c>
      <c r="P2556" s="8" t="s">
        <v>3480</v>
      </c>
      <c r="Q2556" s="8" t="s">
        <v>12762</v>
      </c>
      <c r="R2556" s="8" t="s">
        <v>12763</v>
      </c>
    </row>
    <row r="2557">
      <c r="A2557" s="8" t="s">
        <v>2751</v>
      </c>
      <c r="B2557" s="8" t="s">
        <v>14785</v>
      </c>
      <c r="C2557" s="8" t="s">
        <v>14786</v>
      </c>
      <c r="D2557" s="9">
        <v>8.763838777E9</v>
      </c>
      <c r="E2557" s="8" t="s">
        <v>14787</v>
      </c>
      <c r="F2557" s="8" t="s">
        <v>4980</v>
      </c>
      <c r="G2557" s="8" t="s">
        <v>14788</v>
      </c>
      <c r="H2557" s="8" t="s">
        <v>3479</v>
      </c>
      <c r="I2557" s="9">
        <v>0.0</v>
      </c>
      <c r="J2557" s="9">
        <v>1643.0</v>
      </c>
      <c r="K2557" s="9">
        <v>1643.0</v>
      </c>
      <c r="L2557" s="9">
        <v>1643.0</v>
      </c>
      <c r="M2557" s="9">
        <v>319.0</v>
      </c>
      <c r="N2557" s="9">
        <v>775.0</v>
      </c>
      <c r="O2557" s="9">
        <v>549.0</v>
      </c>
      <c r="P2557" s="8" t="s">
        <v>3480</v>
      </c>
      <c r="Q2557" s="8" t="s">
        <v>14789</v>
      </c>
      <c r="R2557" s="8"/>
    </row>
    <row r="2558">
      <c r="A2558" s="8" t="s">
        <v>2752</v>
      </c>
      <c r="B2558" s="8" t="s">
        <v>14790</v>
      </c>
      <c r="C2558" s="8" t="s">
        <v>11373</v>
      </c>
      <c r="D2558" s="9">
        <v>9.423349261E9</v>
      </c>
      <c r="E2558" s="8" t="s">
        <v>11374</v>
      </c>
      <c r="F2558" s="8" t="s">
        <v>9292</v>
      </c>
      <c r="G2558" s="8" t="s">
        <v>14791</v>
      </c>
      <c r="H2558" s="8" t="s">
        <v>3479</v>
      </c>
      <c r="I2558" s="9">
        <v>0.0</v>
      </c>
      <c r="J2558" s="9">
        <v>2132.0</v>
      </c>
      <c r="K2558" s="9">
        <v>2132.0</v>
      </c>
      <c r="L2558" s="9">
        <v>2132.0</v>
      </c>
      <c r="M2558" s="9">
        <v>758.0</v>
      </c>
      <c r="N2558" s="9">
        <v>775.0</v>
      </c>
      <c r="O2558" s="9">
        <v>599.0</v>
      </c>
      <c r="P2558" s="8" t="s">
        <v>3480</v>
      </c>
      <c r="Q2558" s="8" t="s">
        <v>11376</v>
      </c>
      <c r="R2558" s="8" t="s">
        <v>11377</v>
      </c>
    </row>
    <row r="2559">
      <c r="A2559" s="8" t="s">
        <v>2753</v>
      </c>
      <c r="B2559" s="8" t="s">
        <v>14792</v>
      </c>
      <c r="C2559" s="8" t="s">
        <v>12484</v>
      </c>
      <c r="D2559" s="9">
        <v>9.82268191E9</v>
      </c>
      <c r="E2559" s="8" t="s">
        <v>12485</v>
      </c>
      <c r="F2559" s="8" t="s">
        <v>3608</v>
      </c>
      <c r="G2559" s="8" t="s">
        <v>14793</v>
      </c>
      <c r="H2559" s="8" t="s">
        <v>3479</v>
      </c>
      <c r="I2559" s="9">
        <v>0.0</v>
      </c>
      <c r="J2559" s="9">
        <v>2626.0</v>
      </c>
      <c r="K2559" s="9">
        <v>2626.0</v>
      </c>
      <c r="L2559" s="9">
        <v>2626.0</v>
      </c>
      <c r="M2559" s="9">
        <v>1438.0</v>
      </c>
      <c r="N2559" s="9">
        <v>739.0</v>
      </c>
      <c r="O2559" s="9">
        <v>449.0</v>
      </c>
      <c r="P2559" s="8" t="s">
        <v>3480</v>
      </c>
      <c r="Q2559" s="8"/>
      <c r="R2559" s="8"/>
    </row>
    <row r="2560">
      <c r="A2560" s="8" t="s">
        <v>2754</v>
      </c>
      <c r="B2560" s="8" t="s">
        <v>14794</v>
      </c>
      <c r="C2560" s="8" t="s">
        <v>8734</v>
      </c>
      <c r="D2560" s="9">
        <v>8.275555995E9</v>
      </c>
      <c r="E2560" s="8" t="s">
        <v>8735</v>
      </c>
      <c r="F2560" s="8" t="s">
        <v>3615</v>
      </c>
      <c r="G2560" s="8" t="s">
        <v>14795</v>
      </c>
      <c r="H2560" s="8" t="s">
        <v>3479</v>
      </c>
      <c r="I2560" s="9">
        <v>0.0</v>
      </c>
      <c r="J2560" s="9">
        <v>697.0</v>
      </c>
      <c r="K2560" s="9">
        <v>697.0</v>
      </c>
      <c r="L2560" s="9">
        <v>697.0</v>
      </c>
      <c r="M2560" s="9">
        <v>248.0</v>
      </c>
      <c r="N2560" s="9">
        <v>0.0</v>
      </c>
      <c r="O2560" s="9">
        <v>449.0</v>
      </c>
      <c r="P2560" s="8" t="s">
        <v>3480</v>
      </c>
      <c r="Q2560" s="8"/>
      <c r="R2560" s="8"/>
    </row>
    <row r="2561">
      <c r="A2561" s="8" t="s">
        <v>2921</v>
      </c>
      <c r="B2561" s="8" t="s">
        <v>14796</v>
      </c>
      <c r="C2561" s="8" t="s">
        <v>14797</v>
      </c>
      <c r="D2561" s="9">
        <v>9.158811122E9</v>
      </c>
      <c r="E2561" s="8" t="s">
        <v>14798</v>
      </c>
      <c r="F2561" s="8" t="s">
        <v>5447</v>
      </c>
      <c r="G2561" s="8" t="s">
        <v>14799</v>
      </c>
      <c r="H2561" s="8" t="s">
        <v>3479</v>
      </c>
      <c r="I2561" s="9">
        <v>0.0</v>
      </c>
      <c r="J2561" s="9">
        <v>1533.0</v>
      </c>
      <c r="K2561" s="9">
        <v>1533.0</v>
      </c>
      <c r="L2561" s="9">
        <v>1533.0</v>
      </c>
      <c r="M2561" s="9">
        <v>220.0</v>
      </c>
      <c r="N2561" s="9">
        <v>784.0</v>
      </c>
      <c r="O2561" s="9">
        <v>529.0</v>
      </c>
      <c r="P2561" s="8" t="s">
        <v>3480</v>
      </c>
      <c r="Q2561" s="8" t="s">
        <v>14800</v>
      </c>
      <c r="R2561" s="8" t="s">
        <v>14801</v>
      </c>
    </row>
    <row r="2562">
      <c r="A2562" s="8" t="s">
        <v>2755</v>
      </c>
      <c r="B2562" s="8" t="s">
        <v>14802</v>
      </c>
      <c r="C2562" s="8" t="s">
        <v>14803</v>
      </c>
      <c r="D2562" s="9">
        <v>8.888747144E9</v>
      </c>
      <c r="E2562" s="8" t="s">
        <v>14804</v>
      </c>
      <c r="F2562" s="8" t="s">
        <v>3653</v>
      </c>
      <c r="G2562" s="8" t="s">
        <v>14805</v>
      </c>
      <c r="H2562" s="8" t="s">
        <v>3479</v>
      </c>
      <c r="I2562" s="9">
        <v>0.0</v>
      </c>
      <c r="J2562" s="9">
        <v>2247.0</v>
      </c>
      <c r="K2562" s="9">
        <v>2247.0</v>
      </c>
      <c r="L2562" s="9">
        <v>2247.0</v>
      </c>
      <c r="M2562" s="9">
        <v>1023.0</v>
      </c>
      <c r="N2562" s="9">
        <v>775.0</v>
      </c>
      <c r="O2562" s="9">
        <v>449.0</v>
      </c>
      <c r="P2562" s="8" t="s">
        <v>3480</v>
      </c>
      <c r="Q2562" s="8"/>
      <c r="R2562" s="8"/>
    </row>
    <row r="2563">
      <c r="A2563" s="8" t="s">
        <v>2756</v>
      </c>
      <c r="B2563" s="8" t="s">
        <v>14806</v>
      </c>
      <c r="C2563" s="8" t="s">
        <v>14807</v>
      </c>
      <c r="D2563" s="9">
        <v>7.066637151E9</v>
      </c>
      <c r="E2563" s="8" t="s">
        <v>14808</v>
      </c>
      <c r="F2563" s="8" t="s">
        <v>5301</v>
      </c>
      <c r="G2563" s="8" t="s">
        <v>14809</v>
      </c>
      <c r="H2563" s="8" t="s">
        <v>3479</v>
      </c>
      <c r="I2563" s="9">
        <v>0.0</v>
      </c>
      <c r="J2563" s="9">
        <v>5657.0</v>
      </c>
      <c r="K2563" s="9">
        <v>5657.0</v>
      </c>
      <c r="L2563" s="9">
        <v>5657.0</v>
      </c>
      <c r="M2563" s="9">
        <v>4258.0</v>
      </c>
      <c r="N2563" s="9">
        <v>775.0</v>
      </c>
      <c r="O2563" s="9">
        <v>624.0</v>
      </c>
      <c r="P2563" s="8" t="s">
        <v>3480</v>
      </c>
      <c r="Q2563" s="8"/>
      <c r="R2563" s="8"/>
    </row>
    <row r="2564">
      <c r="A2564" s="8" t="s">
        <v>578</v>
      </c>
      <c r="B2564" s="8" t="s">
        <v>14810</v>
      </c>
      <c r="C2564" s="8" t="s">
        <v>14811</v>
      </c>
      <c r="D2564" s="9">
        <v>9.423926986E9</v>
      </c>
      <c r="E2564" s="8" t="s">
        <v>14812</v>
      </c>
      <c r="F2564" s="8" t="s">
        <v>3977</v>
      </c>
      <c r="G2564" s="8" t="s">
        <v>14813</v>
      </c>
      <c r="H2564" s="8" t="s">
        <v>10899</v>
      </c>
      <c r="I2564" s="9">
        <v>0.0</v>
      </c>
      <c r="J2564" s="9">
        <v>1200.0</v>
      </c>
      <c r="K2564" s="9">
        <v>1268.0</v>
      </c>
      <c r="L2564" s="9">
        <v>1200.0</v>
      </c>
      <c r="M2564" s="9">
        <v>80.0</v>
      </c>
      <c r="N2564" s="9">
        <v>739.0</v>
      </c>
      <c r="O2564" s="9">
        <v>449.0</v>
      </c>
      <c r="P2564" s="8" t="s">
        <v>3480</v>
      </c>
      <c r="Q2564" s="8"/>
      <c r="R2564" s="8"/>
    </row>
    <row r="2565">
      <c r="A2565" s="8" t="s">
        <v>2935</v>
      </c>
      <c r="B2565" s="8" t="s">
        <v>14814</v>
      </c>
      <c r="C2565" s="8" t="s">
        <v>6103</v>
      </c>
      <c r="D2565" s="9">
        <v>9.371055277E9</v>
      </c>
      <c r="E2565" s="8" t="s">
        <v>14815</v>
      </c>
      <c r="F2565" s="8" t="s">
        <v>3608</v>
      </c>
      <c r="G2565" s="8" t="s">
        <v>14816</v>
      </c>
      <c r="H2565" s="8" t="s">
        <v>3479</v>
      </c>
      <c r="I2565" s="9">
        <v>0.0</v>
      </c>
      <c r="J2565" s="9">
        <v>1512.0</v>
      </c>
      <c r="K2565" s="9">
        <v>1512.0</v>
      </c>
      <c r="L2565" s="9">
        <v>1512.0</v>
      </c>
      <c r="M2565" s="9">
        <v>333.0</v>
      </c>
      <c r="N2565" s="9">
        <v>730.0</v>
      </c>
      <c r="O2565" s="9">
        <v>449.0</v>
      </c>
      <c r="P2565" s="8" t="s">
        <v>3544</v>
      </c>
      <c r="Q2565" s="8" t="s">
        <v>14817</v>
      </c>
      <c r="R2565" s="8" t="s">
        <v>14818</v>
      </c>
    </row>
    <row r="2566">
      <c r="A2566" s="8" t="s">
        <v>456</v>
      </c>
      <c r="B2566" s="8" t="s">
        <v>14819</v>
      </c>
      <c r="C2566" s="8" t="s">
        <v>3875</v>
      </c>
      <c r="D2566" s="9">
        <v>9.766611011E9</v>
      </c>
      <c r="E2566" s="8" t="s">
        <v>3876</v>
      </c>
      <c r="F2566" s="8" t="s">
        <v>3523</v>
      </c>
      <c r="G2566" s="8" t="s">
        <v>3877</v>
      </c>
      <c r="H2566" s="8" t="s">
        <v>3479</v>
      </c>
      <c r="I2566" s="9">
        <v>0.0</v>
      </c>
      <c r="J2566" s="9">
        <v>1533.0</v>
      </c>
      <c r="K2566" s="9">
        <v>1533.0</v>
      </c>
      <c r="L2566" s="9">
        <v>1533.0</v>
      </c>
      <c r="M2566" s="9">
        <v>270.0</v>
      </c>
      <c r="N2566" s="9">
        <v>739.0</v>
      </c>
      <c r="O2566" s="9">
        <v>524.0</v>
      </c>
      <c r="P2566" s="8" t="s">
        <v>3544</v>
      </c>
      <c r="Q2566" s="8"/>
      <c r="R2566" s="8"/>
    </row>
    <row r="2567">
      <c r="A2567" s="8" t="s">
        <v>2909</v>
      </c>
      <c r="B2567" s="8" t="s">
        <v>14820</v>
      </c>
      <c r="C2567" s="8" t="s">
        <v>14821</v>
      </c>
      <c r="D2567" s="9">
        <v>9.579717727E9</v>
      </c>
      <c r="E2567" s="8" t="s">
        <v>14822</v>
      </c>
      <c r="F2567" s="8" t="s">
        <v>11796</v>
      </c>
      <c r="G2567" s="8" t="s">
        <v>14823</v>
      </c>
      <c r="H2567" s="8" t="s">
        <v>3479</v>
      </c>
      <c r="I2567" s="9">
        <v>0.0</v>
      </c>
      <c r="J2567" s="9">
        <v>939.0</v>
      </c>
      <c r="K2567" s="9">
        <v>939.0</v>
      </c>
      <c r="L2567" s="9">
        <v>939.0</v>
      </c>
      <c r="M2567" s="9">
        <v>0.0</v>
      </c>
      <c r="N2567" s="9">
        <v>190.0</v>
      </c>
      <c r="O2567" s="9">
        <v>749.0</v>
      </c>
      <c r="P2567" s="8" t="s">
        <v>3519</v>
      </c>
      <c r="Q2567" s="8" t="s">
        <v>14824</v>
      </c>
      <c r="R2567" s="8"/>
    </row>
    <row r="2568">
      <c r="A2568" s="8" t="s">
        <v>2910</v>
      </c>
      <c r="B2568" s="8" t="s">
        <v>14825</v>
      </c>
      <c r="C2568" s="8" t="s">
        <v>14826</v>
      </c>
      <c r="D2568" s="9">
        <v>9.028134385E9</v>
      </c>
      <c r="E2568" s="8" t="s">
        <v>14827</v>
      </c>
      <c r="F2568" s="8" t="s">
        <v>3908</v>
      </c>
      <c r="G2568" s="8" t="s">
        <v>14828</v>
      </c>
      <c r="H2568" s="8" t="s">
        <v>3479</v>
      </c>
      <c r="I2568" s="9">
        <v>0.0</v>
      </c>
      <c r="J2568" s="9">
        <v>1550.0</v>
      </c>
      <c r="K2568" s="9">
        <v>1550.0</v>
      </c>
      <c r="L2568" s="9">
        <v>1550.0</v>
      </c>
      <c r="M2568" s="9">
        <v>1550.0</v>
      </c>
      <c r="N2568" s="9">
        <v>0.0</v>
      </c>
      <c r="O2568" s="9">
        <v>0.0</v>
      </c>
      <c r="P2568" s="8" t="s">
        <v>3519</v>
      </c>
      <c r="Q2568" s="8" t="s">
        <v>14829</v>
      </c>
      <c r="R2568" s="8" t="s">
        <v>14830</v>
      </c>
    </row>
    <row r="2569">
      <c r="A2569" s="8" t="s">
        <v>2911</v>
      </c>
      <c r="B2569" s="8" t="s">
        <v>14831</v>
      </c>
      <c r="C2569" s="8" t="s">
        <v>10634</v>
      </c>
      <c r="D2569" s="9">
        <v>9.624286559E9</v>
      </c>
      <c r="E2569" s="8" t="s">
        <v>10635</v>
      </c>
      <c r="F2569" s="8" t="s">
        <v>5184</v>
      </c>
      <c r="G2569" s="8" t="s">
        <v>14832</v>
      </c>
      <c r="H2569" s="8" t="s">
        <v>3479</v>
      </c>
      <c r="I2569" s="9">
        <v>0.0</v>
      </c>
      <c r="J2569" s="9">
        <v>1493.0</v>
      </c>
      <c r="K2569" s="9">
        <v>1493.0</v>
      </c>
      <c r="L2569" s="9">
        <v>1493.0</v>
      </c>
      <c r="M2569" s="9">
        <v>260.0</v>
      </c>
      <c r="N2569" s="9">
        <v>784.0</v>
      </c>
      <c r="O2569" s="9">
        <v>449.0</v>
      </c>
      <c r="P2569" s="8" t="s">
        <v>3480</v>
      </c>
      <c r="Q2569" s="8" t="s">
        <v>10637</v>
      </c>
      <c r="R2569" s="8" t="s">
        <v>10638</v>
      </c>
    </row>
    <row r="2570">
      <c r="A2570" s="8" t="s">
        <v>2912</v>
      </c>
      <c r="B2570" s="8" t="s">
        <v>14833</v>
      </c>
      <c r="C2570" s="8" t="s">
        <v>14834</v>
      </c>
      <c r="D2570" s="9">
        <v>8.446009614E9</v>
      </c>
      <c r="E2570" s="8" t="s">
        <v>14835</v>
      </c>
      <c r="F2570" s="8" t="s">
        <v>4100</v>
      </c>
      <c r="G2570" s="8" t="s">
        <v>14836</v>
      </c>
      <c r="H2570" s="8" t="s">
        <v>3479</v>
      </c>
      <c r="I2570" s="9">
        <v>0.0</v>
      </c>
      <c r="J2570" s="9">
        <v>1019.0</v>
      </c>
      <c r="K2570" s="9">
        <v>1019.0</v>
      </c>
      <c r="L2570" s="9">
        <v>1019.0</v>
      </c>
      <c r="M2570" s="9">
        <v>240.0</v>
      </c>
      <c r="N2570" s="9">
        <v>80.0</v>
      </c>
      <c r="O2570" s="9">
        <v>699.0</v>
      </c>
      <c r="P2570" s="8" t="s">
        <v>3480</v>
      </c>
      <c r="Q2570" s="8" t="s">
        <v>14837</v>
      </c>
      <c r="R2570" s="8" t="s">
        <v>14838</v>
      </c>
    </row>
    <row r="2571">
      <c r="A2571" s="8" t="s">
        <v>2913</v>
      </c>
      <c r="B2571" s="8" t="s">
        <v>14839</v>
      </c>
      <c r="C2571" s="8" t="s">
        <v>14840</v>
      </c>
      <c r="D2571" s="9">
        <v>8.888898565E9</v>
      </c>
      <c r="E2571" s="8" t="s">
        <v>14841</v>
      </c>
      <c r="F2571" s="8" t="s">
        <v>4574</v>
      </c>
      <c r="G2571" s="8" t="s">
        <v>14842</v>
      </c>
      <c r="H2571" s="8" t="s">
        <v>3479</v>
      </c>
      <c r="I2571" s="9">
        <v>0.0</v>
      </c>
      <c r="J2571" s="9">
        <v>3956.0</v>
      </c>
      <c r="K2571" s="9">
        <v>3956.0</v>
      </c>
      <c r="L2571" s="9">
        <v>3956.0</v>
      </c>
      <c r="M2571" s="9">
        <v>3306.0</v>
      </c>
      <c r="N2571" s="9">
        <v>0.0</v>
      </c>
      <c r="O2571" s="9">
        <v>650.0</v>
      </c>
      <c r="P2571" s="8" t="s">
        <v>3519</v>
      </c>
      <c r="Q2571" s="8"/>
      <c r="R2571" s="8"/>
    </row>
    <row r="2572">
      <c r="A2572" s="8" t="s">
        <v>2914</v>
      </c>
      <c r="B2572" s="8" t="s">
        <v>14843</v>
      </c>
      <c r="C2572" s="8" t="s">
        <v>7899</v>
      </c>
      <c r="D2572" s="9">
        <v>9.462632977E9</v>
      </c>
      <c r="E2572" s="8" t="s">
        <v>7900</v>
      </c>
      <c r="F2572" s="8" t="s">
        <v>3608</v>
      </c>
      <c r="G2572" s="8" t="s">
        <v>4012</v>
      </c>
      <c r="H2572" s="8" t="s">
        <v>3479</v>
      </c>
      <c r="I2572" s="9">
        <v>0.0</v>
      </c>
      <c r="J2572" s="9">
        <v>1428.0</v>
      </c>
      <c r="K2572" s="9">
        <v>1428.0</v>
      </c>
      <c r="L2572" s="9">
        <v>1428.0</v>
      </c>
      <c r="M2572" s="9">
        <v>430.0</v>
      </c>
      <c r="N2572" s="9">
        <v>549.0</v>
      </c>
      <c r="O2572" s="9">
        <v>449.0</v>
      </c>
      <c r="P2572" s="8" t="s">
        <v>3544</v>
      </c>
      <c r="Q2572" s="8"/>
      <c r="R2572" s="8"/>
    </row>
    <row r="2573">
      <c r="A2573" s="8" t="s">
        <v>2915</v>
      </c>
      <c r="B2573" s="8" t="s">
        <v>14844</v>
      </c>
      <c r="C2573" s="8" t="s">
        <v>14845</v>
      </c>
      <c r="D2573" s="9">
        <v>9.860559871E9</v>
      </c>
      <c r="E2573" s="8" t="s">
        <v>14846</v>
      </c>
      <c r="F2573" s="8" t="s">
        <v>3576</v>
      </c>
      <c r="G2573" s="8" t="s">
        <v>14847</v>
      </c>
      <c r="H2573" s="8" t="s">
        <v>3479</v>
      </c>
      <c r="I2573" s="9">
        <v>0.0</v>
      </c>
      <c r="J2573" s="9">
        <v>1788.0</v>
      </c>
      <c r="K2573" s="9">
        <v>1788.0</v>
      </c>
      <c r="L2573" s="9">
        <v>1788.0</v>
      </c>
      <c r="M2573" s="9">
        <v>914.0</v>
      </c>
      <c r="N2573" s="9">
        <v>0.0</v>
      </c>
      <c r="O2573" s="9">
        <v>874.0</v>
      </c>
      <c r="P2573" s="8" t="s">
        <v>3480</v>
      </c>
      <c r="Q2573" s="8" t="s">
        <v>14848</v>
      </c>
      <c r="R2573" s="8" t="s">
        <v>14849</v>
      </c>
    </row>
    <row r="2574">
      <c r="A2574" s="8" t="s">
        <v>2814</v>
      </c>
      <c r="B2574" s="8" t="s">
        <v>14850</v>
      </c>
      <c r="C2574" s="8" t="s">
        <v>14851</v>
      </c>
      <c r="D2574" s="9">
        <v>8.806521522E9</v>
      </c>
      <c r="E2574" s="8" t="s">
        <v>14852</v>
      </c>
      <c r="F2574" s="8" t="s">
        <v>5530</v>
      </c>
      <c r="G2574" s="8" t="s">
        <v>4292</v>
      </c>
      <c r="H2574" s="8" t="s">
        <v>3479</v>
      </c>
      <c r="I2574" s="9">
        <v>0.0</v>
      </c>
      <c r="J2574" s="9">
        <v>2130.0</v>
      </c>
      <c r="K2574" s="9">
        <v>2130.0</v>
      </c>
      <c r="L2574" s="9">
        <v>2130.0</v>
      </c>
      <c r="M2574" s="9">
        <v>1406.0</v>
      </c>
      <c r="N2574" s="9">
        <v>0.0</v>
      </c>
      <c r="O2574" s="9">
        <v>724.0</v>
      </c>
      <c r="P2574" s="8" t="s">
        <v>3480</v>
      </c>
      <c r="Q2574" s="8"/>
      <c r="R2574" s="8"/>
    </row>
    <row r="2575">
      <c r="A2575" s="8" t="s">
        <v>2757</v>
      </c>
      <c r="B2575" s="8" t="s">
        <v>14853</v>
      </c>
      <c r="C2575" s="8" t="s">
        <v>9631</v>
      </c>
      <c r="D2575" s="9">
        <v>7.741006459E9</v>
      </c>
      <c r="E2575" s="8" t="s">
        <v>9632</v>
      </c>
      <c r="F2575" s="8" t="s">
        <v>3901</v>
      </c>
      <c r="G2575" s="8" t="s">
        <v>14854</v>
      </c>
      <c r="H2575" s="8" t="s">
        <v>3479</v>
      </c>
      <c r="I2575" s="9">
        <v>0.0</v>
      </c>
      <c r="J2575" s="9">
        <v>2250.0</v>
      </c>
      <c r="K2575" s="9">
        <v>2250.0</v>
      </c>
      <c r="L2575" s="9">
        <v>2250.0</v>
      </c>
      <c r="M2575" s="9">
        <v>2250.0</v>
      </c>
      <c r="N2575" s="9">
        <v>0.0</v>
      </c>
      <c r="O2575" s="9">
        <v>0.0</v>
      </c>
      <c r="P2575" s="8" t="s">
        <v>3480</v>
      </c>
      <c r="Q2575" s="8" t="s">
        <v>9634</v>
      </c>
      <c r="R2575" s="8" t="s">
        <v>9635</v>
      </c>
    </row>
    <row r="2576">
      <c r="A2576" s="8" t="s">
        <v>2907</v>
      </c>
      <c r="B2576" s="8" t="s">
        <v>14855</v>
      </c>
      <c r="C2576" s="8" t="s">
        <v>6830</v>
      </c>
      <c r="D2576" s="9">
        <v>7.507903254E9</v>
      </c>
      <c r="E2576" s="8" t="s">
        <v>6831</v>
      </c>
      <c r="F2576" s="8" t="s">
        <v>6455</v>
      </c>
      <c r="G2576" s="8" t="s">
        <v>14856</v>
      </c>
      <c r="H2576" s="8" t="s">
        <v>3479</v>
      </c>
      <c r="I2576" s="9">
        <v>0.0</v>
      </c>
      <c r="J2576" s="9">
        <v>1521.0</v>
      </c>
      <c r="K2576" s="9">
        <v>1521.0</v>
      </c>
      <c r="L2576" s="9">
        <v>1521.0</v>
      </c>
      <c r="M2576" s="9">
        <v>333.0</v>
      </c>
      <c r="N2576" s="9">
        <v>739.0</v>
      </c>
      <c r="O2576" s="9">
        <v>449.0</v>
      </c>
      <c r="P2576" s="8" t="s">
        <v>3480</v>
      </c>
      <c r="Q2576" s="8" t="s">
        <v>6833</v>
      </c>
      <c r="R2576" s="8" t="s">
        <v>6834</v>
      </c>
    </row>
    <row r="2577">
      <c r="A2577" s="8" t="s">
        <v>2908</v>
      </c>
      <c r="B2577" s="8" t="s">
        <v>14857</v>
      </c>
      <c r="C2577" s="8" t="s">
        <v>8692</v>
      </c>
      <c r="D2577" s="9">
        <v>7.620375835E9</v>
      </c>
      <c r="E2577" s="8" t="s">
        <v>14858</v>
      </c>
      <c r="F2577" s="8" t="s">
        <v>3853</v>
      </c>
      <c r="G2577" s="8" t="s">
        <v>4036</v>
      </c>
      <c r="H2577" s="8" t="s">
        <v>3479</v>
      </c>
      <c r="I2577" s="9">
        <v>0.0</v>
      </c>
      <c r="J2577" s="9">
        <v>1005.0</v>
      </c>
      <c r="K2577" s="9">
        <v>1005.0</v>
      </c>
      <c r="L2577" s="9">
        <v>1005.0</v>
      </c>
      <c r="M2577" s="9">
        <v>905.0</v>
      </c>
      <c r="N2577" s="9">
        <v>0.0</v>
      </c>
      <c r="O2577" s="9">
        <v>100.0</v>
      </c>
      <c r="P2577" s="8" t="s">
        <v>3480</v>
      </c>
      <c r="Q2577" s="8"/>
      <c r="R2577" s="8"/>
    </row>
    <row r="2578">
      <c r="A2578" s="8" t="s">
        <v>2922</v>
      </c>
      <c r="B2578" s="8" t="s">
        <v>14859</v>
      </c>
      <c r="C2578" s="8" t="s">
        <v>13704</v>
      </c>
      <c r="D2578" s="9">
        <v>9.713468899E9</v>
      </c>
      <c r="E2578" s="8" t="s">
        <v>13705</v>
      </c>
      <c r="F2578" s="8" t="s">
        <v>4125</v>
      </c>
      <c r="G2578" s="8" t="s">
        <v>14860</v>
      </c>
      <c r="H2578" s="8" t="s">
        <v>3479</v>
      </c>
      <c r="I2578" s="9">
        <v>0.0</v>
      </c>
      <c r="J2578" s="9">
        <v>1599.0</v>
      </c>
      <c r="K2578" s="9">
        <v>1599.0</v>
      </c>
      <c r="L2578" s="9">
        <v>1599.0</v>
      </c>
      <c r="M2578" s="9">
        <v>225.0</v>
      </c>
      <c r="N2578" s="9">
        <v>775.0</v>
      </c>
      <c r="O2578" s="9">
        <v>599.0</v>
      </c>
      <c r="P2578" s="8" t="s">
        <v>3480</v>
      </c>
      <c r="Q2578" s="8" t="s">
        <v>13707</v>
      </c>
      <c r="R2578" s="8" t="s">
        <v>13708</v>
      </c>
    </row>
    <row r="2579">
      <c r="A2579" s="8" t="s">
        <v>2937</v>
      </c>
      <c r="B2579" s="8" t="s">
        <v>14861</v>
      </c>
      <c r="C2579" s="8" t="s">
        <v>3867</v>
      </c>
      <c r="D2579" s="9">
        <v>8.308318329E9</v>
      </c>
      <c r="E2579" s="8" t="s">
        <v>14862</v>
      </c>
      <c r="F2579" s="8" t="s">
        <v>3608</v>
      </c>
      <c r="G2579" s="8" t="s">
        <v>14863</v>
      </c>
      <c r="H2579" s="8" t="s">
        <v>5186</v>
      </c>
      <c r="I2579" s="9">
        <v>0.0</v>
      </c>
      <c r="J2579" s="9">
        <v>6100.0</v>
      </c>
      <c r="K2579" s="9">
        <v>6149.0</v>
      </c>
      <c r="L2579" s="9">
        <v>6100.0</v>
      </c>
      <c r="M2579" s="9">
        <v>5874.0</v>
      </c>
      <c r="N2579" s="9">
        <v>0.0</v>
      </c>
      <c r="O2579" s="9">
        <v>275.0</v>
      </c>
      <c r="P2579" s="8" t="s">
        <v>3480</v>
      </c>
      <c r="Q2579" s="8"/>
      <c r="R2579" s="8"/>
    </row>
    <row r="2580">
      <c r="A2580" s="8" t="s">
        <v>2938</v>
      </c>
      <c r="B2580" s="8" t="s">
        <v>14864</v>
      </c>
      <c r="C2580" s="8" t="s">
        <v>14865</v>
      </c>
      <c r="D2580" s="9">
        <v>8.275526899E9</v>
      </c>
      <c r="E2580" s="8" t="s">
        <v>14866</v>
      </c>
      <c r="F2580" s="8" t="s">
        <v>4929</v>
      </c>
      <c r="G2580" s="8" t="s">
        <v>3494</v>
      </c>
      <c r="H2580" s="8" t="s">
        <v>3479</v>
      </c>
      <c r="I2580" s="9">
        <v>0.0</v>
      </c>
      <c r="J2580" s="9">
        <v>1607.0</v>
      </c>
      <c r="K2580" s="9">
        <v>1607.0</v>
      </c>
      <c r="L2580" s="9">
        <v>1607.0</v>
      </c>
      <c r="M2580" s="9">
        <v>983.0</v>
      </c>
      <c r="N2580" s="9">
        <v>0.0</v>
      </c>
      <c r="O2580" s="9">
        <v>624.0</v>
      </c>
      <c r="P2580" s="8" t="s">
        <v>3480</v>
      </c>
      <c r="Q2580" s="8" t="s">
        <v>14867</v>
      </c>
      <c r="R2580" s="8" t="s">
        <v>14868</v>
      </c>
    </row>
    <row r="2581">
      <c r="A2581" s="8" t="s">
        <v>2939</v>
      </c>
      <c r="B2581" s="8" t="s">
        <v>14869</v>
      </c>
      <c r="C2581" s="8" t="s">
        <v>8746</v>
      </c>
      <c r="D2581" s="9">
        <v>9.665626256E9</v>
      </c>
      <c r="E2581" s="8" t="s">
        <v>8747</v>
      </c>
      <c r="F2581" s="8" t="s">
        <v>3564</v>
      </c>
      <c r="G2581" s="8" t="s">
        <v>14870</v>
      </c>
      <c r="H2581" s="8" t="s">
        <v>3479</v>
      </c>
      <c r="I2581" s="9">
        <v>0.0</v>
      </c>
      <c r="J2581" s="9">
        <v>1199.0</v>
      </c>
      <c r="K2581" s="9">
        <v>1199.0</v>
      </c>
      <c r="L2581" s="9">
        <v>1199.0</v>
      </c>
      <c r="M2581" s="9">
        <v>450.0</v>
      </c>
      <c r="N2581" s="9">
        <v>0.0</v>
      </c>
      <c r="O2581" s="9">
        <v>749.0</v>
      </c>
      <c r="P2581" s="8" t="s">
        <v>3519</v>
      </c>
      <c r="Q2581" s="8" t="s">
        <v>8749</v>
      </c>
      <c r="R2581" s="8" t="s">
        <v>8750</v>
      </c>
    </row>
    <row r="2582">
      <c r="A2582" s="8" t="s">
        <v>2940</v>
      </c>
      <c r="B2582" s="8" t="s">
        <v>14871</v>
      </c>
      <c r="C2582" s="8" t="s">
        <v>14872</v>
      </c>
      <c r="D2582" s="9">
        <v>9.44511561E9</v>
      </c>
      <c r="E2582" s="8" t="s">
        <v>14873</v>
      </c>
      <c r="F2582" s="8" t="s">
        <v>6744</v>
      </c>
      <c r="G2582" s="8" t="s">
        <v>14874</v>
      </c>
      <c r="H2582" s="8" t="s">
        <v>14875</v>
      </c>
      <c r="I2582" s="9">
        <v>0.0</v>
      </c>
      <c r="J2582" s="9">
        <v>3700.0</v>
      </c>
      <c r="K2582" s="9">
        <v>3810.0</v>
      </c>
      <c r="L2582" s="9">
        <v>3700.0</v>
      </c>
      <c r="M2582" s="9">
        <v>3300.0</v>
      </c>
      <c r="N2582" s="9">
        <v>0.0</v>
      </c>
      <c r="O2582" s="9">
        <v>510.0</v>
      </c>
      <c r="P2582" s="8" t="s">
        <v>3480</v>
      </c>
      <c r="Q2582" s="8"/>
      <c r="R2582" s="8"/>
    </row>
    <row r="2583">
      <c r="A2583" s="8" t="s">
        <v>2854</v>
      </c>
      <c r="B2583" s="8" t="s">
        <v>14876</v>
      </c>
      <c r="C2583" s="8" t="s">
        <v>14877</v>
      </c>
      <c r="D2583" s="9">
        <v>9.586343577E9</v>
      </c>
      <c r="E2583" s="8" t="s">
        <v>14878</v>
      </c>
      <c r="F2583" s="8" t="s">
        <v>3721</v>
      </c>
      <c r="G2583" s="8" t="s">
        <v>14879</v>
      </c>
      <c r="H2583" s="8" t="s">
        <v>3479</v>
      </c>
      <c r="I2583" s="9">
        <v>0.0</v>
      </c>
      <c r="J2583" s="9">
        <v>2035.0</v>
      </c>
      <c r="K2583" s="9">
        <v>2035.0</v>
      </c>
      <c r="L2583" s="9">
        <v>2035.0</v>
      </c>
      <c r="M2583" s="9">
        <v>2035.0</v>
      </c>
      <c r="N2583" s="9">
        <v>0.0</v>
      </c>
      <c r="O2583" s="9">
        <v>0.0</v>
      </c>
      <c r="P2583" s="8" t="s">
        <v>3480</v>
      </c>
      <c r="Q2583" s="8"/>
      <c r="R2583" s="8"/>
    </row>
    <row r="2584">
      <c r="A2584" s="8" t="s">
        <v>2941</v>
      </c>
      <c r="B2584" s="8" t="s">
        <v>14880</v>
      </c>
      <c r="C2584" s="8" t="s">
        <v>3656</v>
      </c>
      <c r="D2584" s="9">
        <v>9.975142631E9</v>
      </c>
      <c r="E2584" s="8" t="s">
        <v>14881</v>
      </c>
      <c r="F2584" s="8" t="s">
        <v>4134</v>
      </c>
      <c r="G2584" s="8" t="s">
        <v>3494</v>
      </c>
      <c r="H2584" s="8" t="s">
        <v>3479</v>
      </c>
      <c r="I2584" s="9">
        <v>0.0</v>
      </c>
      <c r="J2584" s="9">
        <v>2033.0</v>
      </c>
      <c r="K2584" s="9">
        <v>2033.0</v>
      </c>
      <c r="L2584" s="9">
        <v>2033.0</v>
      </c>
      <c r="M2584" s="9">
        <v>1593.0</v>
      </c>
      <c r="N2584" s="9">
        <v>65.0</v>
      </c>
      <c r="O2584" s="9">
        <v>375.0</v>
      </c>
      <c r="P2584" s="8" t="s">
        <v>3480</v>
      </c>
      <c r="Q2584" s="8"/>
      <c r="R2584" s="8"/>
    </row>
    <row r="2585">
      <c r="A2585" s="8" t="s">
        <v>2758</v>
      </c>
      <c r="B2585" s="8" t="s">
        <v>14882</v>
      </c>
      <c r="C2585" s="8" t="s">
        <v>14883</v>
      </c>
      <c r="D2585" s="9">
        <v>9.011614949E9</v>
      </c>
      <c r="E2585" s="8" t="s">
        <v>14884</v>
      </c>
      <c r="F2585" s="8" t="s">
        <v>3542</v>
      </c>
      <c r="G2585" s="8" t="s">
        <v>14885</v>
      </c>
      <c r="H2585" s="8" t="s">
        <v>3479</v>
      </c>
      <c r="I2585" s="9">
        <v>0.0</v>
      </c>
      <c r="J2585" s="9">
        <v>1644.0</v>
      </c>
      <c r="K2585" s="9">
        <v>1644.0</v>
      </c>
      <c r="L2585" s="9">
        <v>1644.0</v>
      </c>
      <c r="M2585" s="9">
        <v>750.0</v>
      </c>
      <c r="N2585" s="9">
        <v>270.0</v>
      </c>
      <c r="O2585" s="9">
        <v>624.0</v>
      </c>
      <c r="P2585" s="8" t="s">
        <v>3480</v>
      </c>
      <c r="Q2585" s="8" t="s">
        <v>14886</v>
      </c>
      <c r="R2585" s="8" t="s">
        <v>14887</v>
      </c>
    </row>
    <row r="2586">
      <c r="A2586" s="8" t="s">
        <v>2934</v>
      </c>
      <c r="B2586" s="8" t="s">
        <v>14888</v>
      </c>
      <c r="C2586" s="8" t="s">
        <v>14889</v>
      </c>
      <c r="D2586" s="9">
        <v>9.422082835E9</v>
      </c>
      <c r="E2586" s="8" t="s">
        <v>14890</v>
      </c>
      <c r="F2586" s="8" t="s">
        <v>3721</v>
      </c>
      <c r="G2586" s="8" t="s">
        <v>8181</v>
      </c>
      <c r="H2586" s="8" t="s">
        <v>3479</v>
      </c>
      <c r="I2586" s="9">
        <v>0.0</v>
      </c>
      <c r="J2586" s="9">
        <v>1550.0</v>
      </c>
      <c r="K2586" s="9">
        <v>1550.0</v>
      </c>
      <c r="L2586" s="9">
        <v>1550.0</v>
      </c>
      <c r="M2586" s="9">
        <v>1550.0</v>
      </c>
      <c r="N2586" s="9">
        <v>0.0</v>
      </c>
      <c r="O2586" s="9">
        <v>0.0</v>
      </c>
      <c r="P2586" s="8" t="s">
        <v>3519</v>
      </c>
      <c r="Q2586" s="8" t="s">
        <v>14891</v>
      </c>
      <c r="R2586" s="8"/>
    </row>
    <row r="2587">
      <c r="A2587" s="8" t="s">
        <v>2683</v>
      </c>
      <c r="B2587" s="8" t="s">
        <v>14892</v>
      </c>
      <c r="C2587" s="8" t="s">
        <v>6977</v>
      </c>
      <c r="D2587" s="9">
        <v>7.709010034E9</v>
      </c>
      <c r="E2587" s="8" t="s">
        <v>14893</v>
      </c>
      <c r="F2587" s="8" t="s">
        <v>14894</v>
      </c>
      <c r="G2587" s="8" t="s">
        <v>3494</v>
      </c>
      <c r="H2587" s="8" t="s">
        <v>3479</v>
      </c>
      <c r="I2587" s="9">
        <v>0.0</v>
      </c>
      <c r="J2587" s="9">
        <v>4551.0</v>
      </c>
      <c r="K2587" s="9">
        <v>4551.0</v>
      </c>
      <c r="L2587" s="9">
        <v>4551.0</v>
      </c>
      <c r="M2587" s="9">
        <v>730.0</v>
      </c>
      <c r="N2587" s="9">
        <v>1972.0</v>
      </c>
      <c r="O2587" s="9">
        <v>1849.0</v>
      </c>
      <c r="P2587" s="8" t="s">
        <v>3480</v>
      </c>
      <c r="Q2587" s="8"/>
      <c r="R2587" s="8"/>
    </row>
    <row r="2588">
      <c r="A2588" s="8" t="s">
        <v>2923</v>
      </c>
      <c r="B2588" s="8" t="s">
        <v>14895</v>
      </c>
      <c r="C2588" s="8" t="s">
        <v>14896</v>
      </c>
      <c r="D2588" s="9">
        <v>9.665718986E9</v>
      </c>
      <c r="E2588" s="8" t="s">
        <v>14897</v>
      </c>
      <c r="F2588" s="8" t="s">
        <v>4645</v>
      </c>
      <c r="G2588" s="8" t="s">
        <v>14898</v>
      </c>
      <c r="H2588" s="8" t="s">
        <v>3479</v>
      </c>
      <c r="I2588" s="9">
        <v>0.0</v>
      </c>
      <c r="J2588" s="9">
        <v>1648.0</v>
      </c>
      <c r="K2588" s="9">
        <v>1648.0</v>
      </c>
      <c r="L2588" s="9">
        <v>1648.0</v>
      </c>
      <c r="M2588" s="9">
        <v>385.0</v>
      </c>
      <c r="N2588" s="9">
        <v>739.0</v>
      </c>
      <c r="O2588" s="9">
        <v>524.0</v>
      </c>
      <c r="P2588" s="8" t="s">
        <v>3519</v>
      </c>
      <c r="Q2588" s="8"/>
      <c r="R2588" s="8"/>
    </row>
    <row r="2589">
      <c r="A2589" s="8" t="s">
        <v>2925</v>
      </c>
      <c r="B2589" s="8" t="s">
        <v>14899</v>
      </c>
      <c r="C2589" s="8" t="s">
        <v>11158</v>
      </c>
      <c r="D2589" s="9">
        <v>8.888940974E9</v>
      </c>
      <c r="E2589" s="8" t="s">
        <v>11159</v>
      </c>
      <c r="F2589" s="8" t="s">
        <v>3809</v>
      </c>
      <c r="G2589" s="8" t="s">
        <v>14900</v>
      </c>
      <c r="H2589" s="8" t="s">
        <v>3479</v>
      </c>
      <c r="I2589" s="9">
        <v>0.0</v>
      </c>
      <c r="J2589" s="9">
        <v>1248.0</v>
      </c>
      <c r="K2589" s="9">
        <v>1248.0</v>
      </c>
      <c r="L2589" s="9">
        <v>1248.0</v>
      </c>
      <c r="M2589" s="9">
        <v>309.0</v>
      </c>
      <c r="N2589" s="9">
        <v>190.0</v>
      </c>
      <c r="O2589" s="9">
        <v>749.0</v>
      </c>
      <c r="P2589" s="8" t="s">
        <v>3480</v>
      </c>
      <c r="Q2589" s="8"/>
      <c r="R2589" s="8"/>
    </row>
    <row r="2590">
      <c r="A2590" s="8" t="s">
        <v>2924</v>
      </c>
      <c r="B2590" s="8" t="s">
        <v>14901</v>
      </c>
      <c r="C2590" s="8" t="s">
        <v>14902</v>
      </c>
      <c r="D2590" s="9">
        <v>9.921999931E9</v>
      </c>
      <c r="E2590" s="8" t="s">
        <v>14903</v>
      </c>
      <c r="F2590" s="8" t="s">
        <v>6118</v>
      </c>
      <c r="G2590" s="8" t="s">
        <v>14904</v>
      </c>
      <c r="H2590" s="8" t="s">
        <v>14905</v>
      </c>
      <c r="I2590" s="9">
        <v>0.0</v>
      </c>
      <c r="J2590" s="9">
        <v>15.0</v>
      </c>
      <c r="K2590" s="9">
        <v>2246.0</v>
      </c>
      <c r="L2590" s="9">
        <v>2165.0</v>
      </c>
      <c r="M2590" s="9">
        <v>718.0</v>
      </c>
      <c r="N2590" s="9">
        <v>804.0</v>
      </c>
      <c r="O2590" s="9">
        <v>724.0</v>
      </c>
      <c r="P2590" s="8" t="s">
        <v>3480</v>
      </c>
      <c r="Q2590" s="8"/>
      <c r="R2590" s="8"/>
    </row>
    <row r="2591">
      <c r="A2591" s="8" t="s">
        <v>2927</v>
      </c>
      <c r="B2591" s="8" t="s">
        <v>14906</v>
      </c>
      <c r="C2591" s="8" t="s">
        <v>14907</v>
      </c>
      <c r="D2591" s="9">
        <v>9.599630308E9</v>
      </c>
      <c r="E2591" s="8" t="s">
        <v>14908</v>
      </c>
      <c r="F2591" s="8" t="s">
        <v>3550</v>
      </c>
      <c r="G2591" s="8" t="s">
        <v>14909</v>
      </c>
      <c r="H2591" s="8" t="s">
        <v>3479</v>
      </c>
      <c r="I2591" s="9">
        <v>0.0</v>
      </c>
      <c r="J2591" s="9">
        <v>609.0</v>
      </c>
      <c r="K2591" s="9">
        <v>609.0</v>
      </c>
      <c r="L2591" s="9">
        <v>609.0</v>
      </c>
      <c r="M2591" s="9">
        <v>80.0</v>
      </c>
      <c r="N2591" s="9">
        <v>80.0</v>
      </c>
      <c r="O2591" s="9">
        <v>449.0</v>
      </c>
      <c r="P2591" s="8" t="s">
        <v>3480</v>
      </c>
      <c r="Q2591" s="8"/>
      <c r="R2591" s="8"/>
    </row>
    <row r="2592">
      <c r="A2592" s="8" t="s">
        <v>2926</v>
      </c>
      <c r="B2592" s="8" t="s">
        <v>14910</v>
      </c>
      <c r="C2592" s="8" t="s">
        <v>14911</v>
      </c>
      <c r="D2592" s="9">
        <v>9.730035656E9</v>
      </c>
      <c r="E2592" s="8" t="s">
        <v>14912</v>
      </c>
      <c r="F2592" s="8" t="s">
        <v>3498</v>
      </c>
      <c r="G2592" s="8" t="s">
        <v>14913</v>
      </c>
      <c r="H2592" s="8" t="s">
        <v>3479</v>
      </c>
      <c r="I2592" s="9">
        <v>0.0</v>
      </c>
      <c r="J2592" s="9">
        <v>1718.0</v>
      </c>
      <c r="K2592" s="9">
        <v>1718.0</v>
      </c>
      <c r="L2592" s="9">
        <v>1718.0</v>
      </c>
      <c r="M2592" s="9">
        <v>455.0</v>
      </c>
      <c r="N2592" s="9">
        <v>739.0</v>
      </c>
      <c r="O2592" s="9">
        <v>524.0</v>
      </c>
      <c r="P2592" s="8" t="s">
        <v>3480</v>
      </c>
      <c r="Q2592" s="8" t="s">
        <v>14914</v>
      </c>
      <c r="R2592" s="8" t="s">
        <v>14915</v>
      </c>
    </row>
    <row r="2593">
      <c r="A2593" s="8" t="s">
        <v>2929</v>
      </c>
      <c r="B2593" s="8" t="s">
        <v>14916</v>
      </c>
      <c r="C2593" s="8" t="s">
        <v>14917</v>
      </c>
      <c r="D2593" s="9">
        <v>7.79848888E9</v>
      </c>
      <c r="E2593" s="8" t="s">
        <v>14918</v>
      </c>
      <c r="F2593" s="8" t="s">
        <v>3628</v>
      </c>
      <c r="G2593" s="8" t="s">
        <v>4036</v>
      </c>
      <c r="H2593" s="8" t="s">
        <v>3479</v>
      </c>
      <c r="I2593" s="9">
        <v>0.0</v>
      </c>
      <c r="J2593" s="9">
        <v>1982.0</v>
      </c>
      <c r="K2593" s="9">
        <v>1982.0</v>
      </c>
      <c r="L2593" s="9">
        <v>1982.0</v>
      </c>
      <c r="M2593" s="9">
        <v>383.0</v>
      </c>
      <c r="N2593" s="9">
        <v>900.0</v>
      </c>
      <c r="O2593" s="9">
        <v>699.0</v>
      </c>
      <c r="P2593" s="8" t="s">
        <v>3480</v>
      </c>
      <c r="Q2593" s="8"/>
      <c r="R2593" s="8"/>
    </row>
    <row r="2594">
      <c r="A2594" s="8" t="s">
        <v>2855</v>
      </c>
      <c r="B2594" s="8" t="s">
        <v>14919</v>
      </c>
      <c r="C2594" s="8" t="s">
        <v>14920</v>
      </c>
      <c r="D2594" s="9">
        <v>8.446070838E9</v>
      </c>
      <c r="E2594" s="8" t="s">
        <v>14921</v>
      </c>
      <c r="F2594" s="8" t="s">
        <v>3653</v>
      </c>
      <c r="G2594" s="8" t="s">
        <v>14922</v>
      </c>
      <c r="H2594" s="8" t="s">
        <v>3479</v>
      </c>
      <c r="I2594" s="9">
        <v>0.0</v>
      </c>
      <c r="J2594" s="9">
        <v>4051.0</v>
      </c>
      <c r="K2594" s="9">
        <v>4051.0</v>
      </c>
      <c r="L2594" s="9">
        <v>4051.0</v>
      </c>
      <c r="M2594" s="9">
        <v>2293.0</v>
      </c>
      <c r="N2594" s="9">
        <v>784.0</v>
      </c>
      <c r="O2594" s="9">
        <v>974.0</v>
      </c>
      <c r="P2594" s="8" t="s">
        <v>3544</v>
      </c>
      <c r="Q2594" s="8"/>
      <c r="R2594" s="8"/>
    </row>
    <row r="2595">
      <c r="A2595" s="8" t="s">
        <v>2928</v>
      </c>
      <c r="B2595" s="8" t="s">
        <v>14923</v>
      </c>
      <c r="C2595" s="8" t="s">
        <v>14924</v>
      </c>
      <c r="D2595" s="9">
        <v>9.975141414E9</v>
      </c>
      <c r="E2595" s="8" t="s">
        <v>14925</v>
      </c>
      <c r="F2595" s="8" t="s">
        <v>3821</v>
      </c>
      <c r="G2595" s="8" t="s">
        <v>14926</v>
      </c>
      <c r="H2595" s="8" t="s">
        <v>8958</v>
      </c>
      <c r="I2595" s="9">
        <v>0.0</v>
      </c>
      <c r="J2595" s="9">
        <v>4100.0</v>
      </c>
      <c r="K2595" s="9">
        <v>4124.0</v>
      </c>
      <c r="L2595" s="9">
        <v>4100.0</v>
      </c>
      <c r="M2595" s="9">
        <v>2861.0</v>
      </c>
      <c r="N2595" s="9">
        <v>739.0</v>
      </c>
      <c r="O2595" s="9">
        <v>524.0</v>
      </c>
      <c r="P2595" s="8" t="s">
        <v>3480</v>
      </c>
      <c r="Q2595" s="8" t="s">
        <v>14927</v>
      </c>
      <c r="R2595" s="8" t="s">
        <v>14928</v>
      </c>
    </row>
    <row r="2596">
      <c r="A2596" s="8" t="s">
        <v>2856</v>
      </c>
      <c r="B2596" s="8" t="s">
        <v>14929</v>
      </c>
      <c r="C2596" s="8" t="s">
        <v>9878</v>
      </c>
      <c r="D2596" s="9">
        <v>7.020314454E9</v>
      </c>
      <c r="E2596" s="8" t="s">
        <v>14051</v>
      </c>
      <c r="F2596" s="8" t="s">
        <v>4391</v>
      </c>
      <c r="G2596" s="8" t="s">
        <v>14930</v>
      </c>
      <c r="H2596" s="8" t="s">
        <v>3479</v>
      </c>
      <c r="I2596" s="9">
        <v>0.0</v>
      </c>
      <c r="J2596" s="9">
        <v>1567.0</v>
      </c>
      <c r="K2596" s="9">
        <v>1567.0</v>
      </c>
      <c r="L2596" s="9">
        <v>1567.0</v>
      </c>
      <c r="M2596" s="9">
        <v>388.0</v>
      </c>
      <c r="N2596" s="9">
        <v>730.0</v>
      </c>
      <c r="O2596" s="9">
        <v>449.0</v>
      </c>
      <c r="P2596" s="8" t="s">
        <v>3480</v>
      </c>
      <c r="Q2596" s="8" t="s">
        <v>14053</v>
      </c>
      <c r="R2596" s="8" t="s">
        <v>14054</v>
      </c>
    </row>
    <row r="2597">
      <c r="A2597" s="8" t="s">
        <v>2930</v>
      </c>
      <c r="B2597" s="8" t="s">
        <v>14931</v>
      </c>
      <c r="C2597" s="8" t="s">
        <v>14932</v>
      </c>
      <c r="D2597" s="9">
        <v>7.058489192E9</v>
      </c>
      <c r="E2597" s="8" t="s">
        <v>14933</v>
      </c>
      <c r="F2597" s="8" t="s">
        <v>3594</v>
      </c>
      <c r="G2597" s="8" t="s">
        <v>14934</v>
      </c>
      <c r="H2597" s="8" t="s">
        <v>3479</v>
      </c>
      <c r="I2597" s="9">
        <v>0.0</v>
      </c>
      <c r="J2597" s="9">
        <v>764.0</v>
      </c>
      <c r="K2597" s="9">
        <v>764.0</v>
      </c>
      <c r="L2597" s="9">
        <v>764.0</v>
      </c>
      <c r="M2597" s="9">
        <v>160.0</v>
      </c>
      <c r="N2597" s="9">
        <v>80.0</v>
      </c>
      <c r="O2597" s="9">
        <v>524.0</v>
      </c>
      <c r="P2597" s="8" t="s">
        <v>3519</v>
      </c>
      <c r="Q2597" s="8" t="s">
        <v>14935</v>
      </c>
      <c r="R2597" s="8" t="s">
        <v>14936</v>
      </c>
    </row>
    <row r="2598">
      <c r="A2598" s="8" t="s">
        <v>2932</v>
      </c>
      <c r="B2598" s="8" t="s">
        <v>14937</v>
      </c>
      <c r="C2598" s="8" t="s">
        <v>14938</v>
      </c>
      <c r="D2598" s="9">
        <v>9.168712211E9</v>
      </c>
      <c r="E2598" s="8" t="s">
        <v>14939</v>
      </c>
      <c r="F2598" s="8" t="s">
        <v>3934</v>
      </c>
      <c r="G2598" s="8" t="s">
        <v>14940</v>
      </c>
      <c r="H2598" s="8" t="s">
        <v>3479</v>
      </c>
      <c r="I2598" s="9">
        <v>0.0</v>
      </c>
      <c r="J2598" s="9">
        <v>3079.0</v>
      </c>
      <c r="K2598" s="9">
        <v>3079.0</v>
      </c>
      <c r="L2598" s="9">
        <v>3079.0</v>
      </c>
      <c r="M2598" s="9">
        <v>1716.0</v>
      </c>
      <c r="N2598" s="9">
        <v>739.0</v>
      </c>
      <c r="O2598" s="9">
        <v>624.0</v>
      </c>
      <c r="P2598" s="8" t="s">
        <v>3480</v>
      </c>
      <c r="Q2598" s="8"/>
      <c r="R2598" s="8"/>
    </row>
    <row r="2599">
      <c r="A2599" s="8" t="s">
        <v>2931</v>
      </c>
      <c r="B2599" s="8" t="s">
        <v>14941</v>
      </c>
      <c r="C2599" s="8" t="s">
        <v>14942</v>
      </c>
      <c r="D2599" s="9">
        <v>8.805034994E9</v>
      </c>
      <c r="E2599" s="8" t="s">
        <v>14943</v>
      </c>
      <c r="F2599" s="8" t="s">
        <v>3550</v>
      </c>
      <c r="G2599" s="8" t="s">
        <v>14944</v>
      </c>
      <c r="H2599" s="8" t="s">
        <v>3479</v>
      </c>
      <c r="I2599" s="9">
        <v>0.0</v>
      </c>
      <c r="J2599" s="9">
        <v>1619.0</v>
      </c>
      <c r="K2599" s="9">
        <v>1619.0</v>
      </c>
      <c r="L2599" s="9">
        <v>1619.0</v>
      </c>
      <c r="M2599" s="9">
        <v>431.0</v>
      </c>
      <c r="N2599" s="9">
        <v>739.0</v>
      </c>
      <c r="O2599" s="9">
        <v>449.0</v>
      </c>
      <c r="P2599" s="8" t="s">
        <v>3519</v>
      </c>
      <c r="Q2599" s="8" t="s">
        <v>14945</v>
      </c>
      <c r="R2599" s="8" t="s">
        <v>14946</v>
      </c>
    </row>
    <row r="2600">
      <c r="A2600" s="8" t="s">
        <v>2760</v>
      </c>
      <c r="B2600" s="8" t="s">
        <v>14947</v>
      </c>
      <c r="C2600" s="8" t="s">
        <v>4434</v>
      </c>
      <c r="D2600" s="9">
        <v>9.665390129E9</v>
      </c>
      <c r="E2600" s="8" t="s">
        <v>4435</v>
      </c>
      <c r="F2600" s="8" t="s">
        <v>4436</v>
      </c>
      <c r="G2600" s="8" t="s">
        <v>4437</v>
      </c>
      <c r="H2600" s="8" t="s">
        <v>3479</v>
      </c>
      <c r="I2600" s="9">
        <v>0.0</v>
      </c>
      <c r="J2600" s="9">
        <v>1375.0</v>
      </c>
      <c r="K2600" s="9">
        <v>1375.0</v>
      </c>
      <c r="L2600" s="9">
        <v>1375.0</v>
      </c>
      <c r="M2600" s="9">
        <v>1375.0</v>
      </c>
      <c r="N2600" s="9">
        <v>0.0</v>
      </c>
      <c r="O2600" s="9">
        <v>0.0</v>
      </c>
      <c r="P2600" s="8" t="s">
        <v>3544</v>
      </c>
      <c r="Q2600" s="8" t="s">
        <v>4439</v>
      </c>
      <c r="R2600" s="8" t="s">
        <v>4440</v>
      </c>
    </row>
    <row r="2601">
      <c r="A2601" s="8" t="s">
        <v>2953</v>
      </c>
      <c r="B2601" s="8" t="s">
        <v>14948</v>
      </c>
      <c r="C2601" s="8" t="s">
        <v>5101</v>
      </c>
      <c r="D2601" s="9">
        <v>8.983714572E9</v>
      </c>
      <c r="E2601" s="8" t="s">
        <v>14949</v>
      </c>
      <c r="F2601" s="8" t="s">
        <v>6455</v>
      </c>
      <c r="G2601" s="8" t="s">
        <v>14950</v>
      </c>
      <c r="H2601" s="8" t="s">
        <v>3479</v>
      </c>
      <c r="I2601" s="9">
        <v>0.0</v>
      </c>
      <c r="J2601" s="9">
        <v>1612.0</v>
      </c>
      <c r="K2601" s="9">
        <v>1612.0</v>
      </c>
      <c r="L2601" s="9">
        <v>1612.0</v>
      </c>
      <c r="M2601" s="9">
        <v>783.0</v>
      </c>
      <c r="N2601" s="9">
        <v>80.0</v>
      </c>
      <c r="O2601" s="9">
        <v>749.0</v>
      </c>
      <c r="P2601" s="8" t="s">
        <v>3480</v>
      </c>
      <c r="Q2601" s="8" t="s">
        <v>14951</v>
      </c>
      <c r="R2601" s="8" t="s">
        <v>14952</v>
      </c>
    </row>
    <row r="2602">
      <c r="A2602" s="8" t="s">
        <v>2952</v>
      </c>
      <c r="B2602" s="8" t="s">
        <v>14953</v>
      </c>
      <c r="C2602" s="8" t="s">
        <v>14954</v>
      </c>
      <c r="D2602" s="9">
        <v>9.168538333E9</v>
      </c>
      <c r="E2602" s="8" t="s">
        <v>14955</v>
      </c>
      <c r="F2602" s="8" t="s">
        <v>7276</v>
      </c>
      <c r="G2602" s="8" t="s">
        <v>14956</v>
      </c>
      <c r="H2602" s="8" t="s">
        <v>3479</v>
      </c>
      <c r="I2602" s="9">
        <v>0.0</v>
      </c>
      <c r="J2602" s="9">
        <v>3397.0</v>
      </c>
      <c r="K2602" s="9">
        <v>3397.0</v>
      </c>
      <c r="L2602" s="9">
        <v>3397.0</v>
      </c>
      <c r="M2602" s="9">
        <v>980.0</v>
      </c>
      <c r="N2602" s="9">
        <v>1468.0</v>
      </c>
      <c r="O2602" s="9">
        <v>949.0</v>
      </c>
      <c r="P2602" s="8" t="s">
        <v>3480</v>
      </c>
      <c r="Q2602" s="8" t="s">
        <v>14957</v>
      </c>
      <c r="R2602" s="8" t="s">
        <v>14958</v>
      </c>
    </row>
    <row r="2603">
      <c r="A2603" s="8" t="s">
        <v>2954</v>
      </c>
      <c r="B2603" s="8" t="s">
        <v>14959</v>
      </c>
      <c r="C2603" s="8" t="s">
        <v>14960</v>
      </c>
      <c r="D2603" s="9">
        <v>7.391011131E9</v>
      </c>
      <c r="E2603" s="8" t="s">
        <v>14961</v>
      </c>
      <c r="F2603" s="8" t="s">
        <v>3768</v>
      </c>
      <c r="G2603" s="8" t="s">
        <v>14962</v>
      </c>
      <c r="H2603" s="8" t="s">
        <v>3479</v>
      </c>
      <c r="I2603" s="9">
        <v>0.0</v>
      </c>
      <c r="J2603" s="9">
        <v>2430.0</v>
      </c>
      <c r="K2603" s="9">
        <v>2430.0</v>
      </c>
      <c r="L2603" s="9">
        <v>2430.0</v>
      </c>
      <c r="M2603" s="9">
        <v>866.0</v>
      </c>
      <c r="N2603" s="9">
        <v>840.0</v>
      </c>
      <c r="O2603" s="9">
        <v>724.0</v>
      </c>
      <c r="P2603" s="8" t="s">
        <v>3480</v>
      </c>
      <c r="Q2603" s="8" t="s">
        <v>14963</v>
      </c>
      <c r="R2603" s="8" t="s">
        <v>14964</v>
      </c>
    </row>
    <row r="2604">
      <c r="A2604" s="8" t="s">
        <v>2955</v>
      </c>
      <c r="B2604" s="8" t="s">
        <v>14965</v>
      </c>
      <c r="C2604" s="8" t="s">
        <v>14966</v>
      </c>
      <c r="D2604" s="9">
        <v>9.373907645E9</v>
      </c>
      <c r="E2604" s="8" t="s">
        <v>14967</v>
      </c>
      <c r="F2604" s="8" t="s">
        <v>3557</v>
      </c>
      <c r="G2604" s="8" t="s">
        <v>14968</v>
      </c>
      <c r="H2604" s="8" t="s">
        <v>3479</v>
      </c>
      <c r="I2604" s="9">
        <v>0.0</v>
      </c>
      <c r="J2604" s="9">
        <v>4367.0</v>
      </c>
      <c r="K2604" s="9">
        <v>4367.0</v>
      </c>
      <c r="L2604" s="9">
        <v>4367.0</v>
      </c>
      <c r="M2604" s="9">
        <v>2088.0</v>
      </c>
      <c r="N2604" s="9">
        <v>1455.0</v>
      </c>
      <c r="O2604" s="9">
        <v>824.0</v>
      </c>
      <c r="P2604" s="8" t="s">
        <v>3480</v>
      </c>
      <c r="Q2604" s="8"/>
      <c r="R2604" s="8"/>
    </row>
    <row r="2605">
      <c r="A2605" s="8" t="s">
        <v>2082</v>
      </c>
      <c r="B2605" s="8" t="s">
        <v>14969</v>
      </c>
      <c r="C2605" s="8" t="s">
        <v>14970</v>
      </c>
      <c r="D2605" s="9">
        <v>9.02885838E9</v>
      </c>
      <c r="E2605" s="8" t="s">
        <v>14971</v>
      </c>
      <c r="F2605" s="8" t="s">
        <v>5184</v>
      </c>
      <c r="G2605" s="8" t="s">
        <v>9865</v>
      </c>
      <c r="H2605" s="8" t="s">
        <v>3479</v>
      </c>
      <c r="I2605" s="9">
        <v>0.0</v>
      </c>
      <c r="J2605" s="9">
        <v>1597.0</v>
      </c>
      <c r="K2605" s="9">
        <v>1597.0</v>
      </c>
      <c r="L2605" s="9">
        <v>1597.0</v>
      </c>
      <c r="M2605" s="9">
        <v>373.0</v>
      </c>
      <c r="N2605" s="9">
        <v>775.0</v>
      </c>
      <c r="O2605" s="9">
        <v>449.0</v>
      </c>
      <c r="P2605" s="8" t="s">
        <v>3480</v>
      </c>
      <c r="Q2605" s="8"/>
      <c r="R2605" s="8"/>
    </row>
    <row r="2606">
      <c r="A2606" s="8" t="s">
        <v>2761</v>
      </c>
      <c r="B2606" s="8" t="s">
        <v>14972</v>
      </c>
      <c r="C2606" s="8" t="s">
        <v>9181</v>
      </c>
      <c r="D2606" s="9">
        <v>8.149992744E9</v>
      </c>
      <c r="E2606" s="8" t="s">
        <v>14973</v>
      </c>
      <c r="F2606" s="8" t="s">
        <v>5613</v>
      </c>
      <c r="G2606" s="8" t="s">
        <v>14974</v>
      </c>
      <c r="H2606" s="8" t="s">
        <v>3479</v>
      </c>
      <c r="I2606" s="9">
        <v>0.0</v>
      </c>
      <c r="J2606" s="9">
        <v>1543.0</v>
      </c>
      <c r="K2606" s="9">
        <v>1543.0</v>
      </c>
      <c r="L2606" s="9">
        <v>1543.0</v>
      </c>
      <c r="M2606" s="9">
        <v>180.0</v>
      </c>
      <c r="N2606" s="9">
        <v>739.0</v>
      </c>
      <c r="O2606" s="9">
        <v>624.0</v>
      </c>
      <c r="P2606" s="8" t="s">
        <v>3480</v>
      </c>
      <c r="Q2606" s="8"/>
      <c r="R2606" s="8"/>
    </row>
    <row r="2607">
      <c r="A2607" s="8" t="s">
        <v>2933</v>
      </c>
      <c r="B2607" s="8" t="s">
        <v>14975</v>
      </c>
      <c r="C2607" s="8" t="s">
        <v>14976</v>
      </c>
      <c r="D2607" s="9">
        <v>9.850381118E9</v>
      </c>
      <c r="E2607" s="8" t="s">
        <v>14977</v>
      </c>
      <c r="F2607" s="8" t="s">
        <v>4333</v>
      </c>
      <c r="G2607" s="8" t="s">
        <v>14978</v>
      </c>
      <c r="H2607" s="8" t="s">
        <v>3479</v>
      </c>
      <c r="I2607" s="9">
        <v>0.0</v>
      </c>
      <c r="J2607" s="9">
        <v>3019.0</v>
      </c>
      <c r="K2607" s="9">
        <v>3019.0</v>
      </c>
      <c r="L2607" s="9">
        <v>3019.0</v>
      </c>
      <c r="M2607" s="9">
        <v>870.0</v>
      </c>
      <c r="N2607" s="9">
        <v>900.0</v>
      </c>
      <c r="O2607" s="9">
        <v>1249.0</v>
      </c>
      <c r="P2607" s="8" t="s">
        <v>3480</v>
      </c>
      <c r="Q2607" s="8" t="s">
        <v>14979</v>
      </c>
      <c r="R2607" s="8" t="s">
        <v>14980</v>
      </c>
    </row>
    <row r="2608">
      <c r="A2608" s="8" t="s">
        <v>2762</v>
      </c>
      <c r="B2608" s="8" t="s">
        <v>14981</v>
      </c>
      <c r="C2608" s="8" t="s">
        <v>11294</v>
      </c>
      <c r="D2608" s="9">
        <v>8.698552311E9</v>
      </c>
      <c r="E2608" s="8" t="s">
        <v>11295</v>
      </c>
      <c r="F2608" s="8" t="s">
        <v>3608</v>
      </c>
      <c r="G2608" s="8" t="s">
        <v>14982</v>
      </c>
      <c r="H2608" s="8" t="s">
        <v>3479</v>
      </c>
      <c r="I2608" s="9">
        <v>0.0</v>
      </c>
      <c r="J2608" s="9">
        <v>1550.0</v>
      </c>
      <c r="K2608" s="9">
        <v>1550.0</v>
      </c>
      <c r="L2608" s="9">
        <v>1550.0</v>
      </c>
      <c r="M2608" s="9">
        <v>1550.0</v>
      </c>
      <c r="N2608" s="9">
        <v>0.0</v>
      </c>
      <c r="O2608" s="9">
        <v>0.0</v>
      </c>
      <c r="P2608" s="8" t="s">
        <v>3480</v>
      </c>
      <c r="Q2608" s="8"/>
      <c r="R2608" s="8"/>
    </row>
    <row r="2609">
      <c r="A2609" s="8" t="s">
        <v>2964</v>
      </c>
      <c r="B2609" s="8" t="s">
        <v>14983</v>
      </c>
      <c r="C2609" s="8" t="s">
        <v>8258</v>
      </c>
      <c r="D2609" s="9">
        <v>9.763489598E9</v>
      </c>
      <c r="E2609" s="8" t="s">
        <v>8259</v>
      </c>
      <c r="F2609" s="8" t="s">
        <v>3589</v>
      </c>
      <c r="G2609" s="8" t="s">
        <v>14984</v>
      </c>
      <c r="H2609" s="8" t="s">
        <v>3479</v>
      </c>
      <c r="I2609" s="9">
        <v>0.0</v>
      </c>
      <c r="J2609" s="9">
        <v>1150.0</v>
      </c>
      <c r="K2609" s="9">
        <v>1150.0</v>
      </c>
      <c r="L2609" s="9">
        <v>1150.0</v>
      </c>
      <c r="M2609" s="9">
        <v>1150.0</v>
      </c>
      <c r="N2609" s="9">
        <v>0.0</v>
      </c>
      <c r="O2609" s="9">
        <v>0.0</v>
      </c>
      <c r="P2609" s="8" t="s">
        <v>3480</v>
      </c>
      <c r="Q2609" s="8" t="s">
        <v>8261</v>
      </c>
      <c r="R2609" s="8" t="s">
        <v>8262</v>
      </c>
    </row>
    <row r="2610">
      <c r="A2610" s="8" t="s">
        <v>2763</v>
      </c>
      <c r="B2610" s="8" t="s">
        <v>14985</v>
      </c>
      <c r="C2610" s="8" t="s">
        <v>14986</v>
      </c>
      <c r="D2610" s="9">
        <v>9.699565587E9</v>
      </c>
      <c r="E2610" s="8" t="s">
        <v>14987</v>
      </c>
      <c r="F2610" s="8" t="s">
        <v>6508</v>
      </c>
      <c r="G2610" s="8" t="s">
        <v>14988</v>
      </c>
      <c r="H2610" s="8" t="s">
        <v>3479</v>
      </c>
      <c r="I2610" s="9">
        <v>0.0</v>
      </c>
      <c r="J2610" s="9">
        <v>2113.0</v>
      </c>
      <c r="K2610" s="9">
        <v>2113.0</v>
      </c>
      <c r="L2610" s="9">
        <v>2113.0</v>
      </c>
      <c r="M2610" s="9">
        <v>549.0</v>
      </c>
      <c r="N2610" s="9">
        <v>840.0</v>
      </c>
      <c r="O2610" s="9">
        <v>724.0</v>
      </c>
      <c r="P2610" s="8" t="s">
        <v>3544</v>
      </c>
      <c r="Q2610" s="8" t="s">
        <v>14989</v>
      </c>
      <c r="R2610" s="8" t="s">
        <v>14990</v>
      </c>
    </row>
    <row r="2611">
      <c r="A2611" s="8" t="s">
        <v>2768</v>
      </c>
      <c r="B2611" s="8" t="s">
        <v>14991</v>
      </c>
      <c r="C2611" s="8" t="s">
        <v>14992</v>
      </c>
      <c r="D2611" s="9">
        <v>7.385411433E9</v>
      </c>
      <c r="E2611" s="8" t="s">
        <v>14993</v>
      </c>
      <c r="F2611" s="8" t="s">
        <v>5771</v>
      </c>
      <c r="G2611" s="8" t="s">
        <v>14994</v>
      </c>
      <c r="H2611" s="8" t="s">
        <v>3479</v>
      </c>
      <c r="I2611" s="9">
        <v>0.0</v>
      </c>
      <c r="J2611" s="9">
        <v>1830.0</v>
      </c>
      <c r="K2611" s="9">
        <v>1830.0</v>
      </c>
      <c r="L2611" s="9">
        <v>1830.0</v>
      </c>
      <c r="M2611" s="9">
        <v>606.0</v>
      </c>
      <c r="N2611" s="9">
        <v>775.0</v>
      </c>
      <c r="O2611" s="9">
        <v>449.0</v>
      </c>
      <c r="P2611" s="8" t="s">
        <v>3480</v>
      </c>
      <c r="Q2611" s="8" t="s">
        <v>14995</v>
      </c>
      <c r="R2611" s="8" t="s">
        <v>14996</v>
      </c>
    </row>
    <row r="2612">
      <c r="A2612" s="8" t="s">
        <v>2972</v>
      </c>
      <c r="B2612" s="8" t="s">
        <v>14997</v>
      </c>
      <c r="C2612" s="8" t="s">
        <v>13607</v>
      </c>
      <c r="D2612" s="9">
        <v>8.087444804E9</v>
      </c>
      <c r="E2612" s="8" t="s">
        <v>13608</v>
      </c>
      <c r="F2612" s="8" t="s">
        <v>3523</v>
      </c>
      <c r="G2612" s="8" t="s">
        <v>13990</v>
      </c>
      <c r="H2612" s="8" t="s">
        <v>3479</v>
      </c>
      <c r="I2612" s="9">
        <v>0.0</v>
      </c>
      <c r="J2612" s="9">
        <v>1150.0</v>
      </c>
      <c r="K2612" s="9">
        <v>1150.0</v>
      </c>
      <c r="L2612" s="9">
        <v>1150.0</v>
      </c>
      <c r="M2612" s="9">
        <v>1150.0</v>
      </c>
      <c r="N2612" s="9">
        <v>0.0</v>
      </c>
      <c r="O2612" s="9">
        <v>0.0</v>
      </c>
      <c r="P2612" s="8" t="s">
        <v>3480</v>
      </c>
      <c r="Q2612" s="8"/>
      <c r="R2612" s="8"/>
    </row>
    <row r="2613">
      <c r="A2613" s="8" t="s">
        <v>2769</v>
      </c>
      <c r="B2613" s="8" t="s">
        <v>14998</v>
      </c>
      <c r="C2613" s="8" t="s">
        <v>7220</v>
      </c>
      <c r="D2613" s="9">
        <v>9.864696387E9</v>
      </c>
      <c r="E2613" s="8" t="s">
        <v>10918</v>
      </c>
      <c r="F2613" s="8" t="s">
        <v>3608</v>
      </c>
      <c r="G2613" s="8" t="s">
        <v>14999</v>
      </c>
      <c r="H2613" s="8" t="s">
        <v>3479</v>
      </c>
      <c r="I2613" s="9">
        <v>0.0</v>
      </c>
      <c r="J2613" s="9">
        <v>1268.0</v>
      </c>
      <c r="K2613" s="9">
        <v>1268.0</v>
      </c>
      <c r="L2613" s="9">
        <v>1268.0</v>
      </c>
      <c r="M2613" s="9">
        <v>80.0</v>
      </c>
      <c r="N2613" s="9">
        <v>739.0</v>
      </c>
      <c r="O2613" s="9">
        <v>449.0</v>
      </c>
      <c r="P2613" s="8" t="s">
        <v>3480</v>
      </c>
      <c r="Q2613" s="8" t="s">
        <v>10920</v>
      </c>
      <c r="R2613" s="8"/>
    </row>
    <row r="2614">
      <c r="A2614" s="8" t="s">
        <v>2936</v>
      </c>
      <c r="B2614" s="8" t="s">
        <v>15000</v>
      </c>
      <c r="C2614" s="8" t="s">
        <v>15001</v>
      </c>
      <c r="D2614" s="9">
        <v>8.553949342E9</v>
      </c>
      <c r="E2614" s="8" t="s">
        <v>15002</v>
      </c>
      <c r="F2614" s="8" t="s">
        <v>3692</v>
      </c>
      <c r="G2614" s="8" t="s">
        <v>15003</v>
      </c>
      <c r="H2614" s="8" t="s">
        <v>3479</v>
      </c>
      <c r="I2614" s="9">
        <v>0.0</v>
      </c>
      <c r="J2614" s="9">
        <v>1874.0</v>
      </c>
      <c r="K2614" s="9">
        <v>1874.0</v>
      </c>
      <c r="L2614" s="9">
        <v>1874.0</v>
      </c>
      <c r="M2614" s="9">
        <v>575.0</v>
      </c>
      <c r="N2614" s="9">
        <v>700.0</v>
      </c>
      <c r="O2614" s="9">
        <v>599.0</v>
      </c>
      <c r="P2614" s="8" t="s">
        <v>3480</v>
      </c>
      <c r="Q2614" s="8"/>
      <c r="R2614" s="8"/>
    </row>
    <row r="2615">
      <c r="A2615" s="8" t="s">
        <v>2764</v>
      </c>
      <c r="B2615" s="8" t="s">
        <v>15004</v>
      </c>
      <c r="C2615" s="8" t="s">
        <v>14429</v>
      </c>
      <c r="D2615" s="9">
        <v>9.82237405E9</v>
      </c>
      <c r="E2615" s="8" t="s">
        <v>14430</v>
      </c>
      <c r="F2615" s="8" t="s">
        <v>4507</v>
      </c>
      <c r="G2615" s="8" t="s">
        <v>5602</v>
      </c>
      <c r="H2615" s="8" t="s">
        <v>15005</v>
      </c>
      <c r="I2615" s="9">
        <v>0.0</v>
      </c>
      <c r="J2615" s="9">
        <v>9000.0</v>
      </c>
      <c r="K2615" s="9">
        <v>24802.0</v>
      </c>
      <c r="L2615" s="9">
        <v>24000.0</v>
      </c>
      <c r="M2615" s="9">
        <v>14552.0</v>
      </c>
      <c r="N2615" s="9">
        <v>1400.0</v>
      </c>
      <c r="O2615" s="9">
        <v>8850.0</v>
      </c>
      <c r="P2615" s="8" t="s">
        <v>3544</v>
      </c>
      <c r="Q2615" s="8"/>
      <c r="R2615" s="8"/>
    </row>
    <row r="2616">
      <c r="A2616" s="8" t="s">
        <v>2765</v>
      </c>
      <c r="B2616" s="8" t="s">
        <v>15006</v>
      </c>
      <c r="C2616" s="8" t="s">
        <v>15007</v>
      </c>
      <c r="D2616" s="9">
        <v>9.76635609E9</v>
      </c>
      <c r="E2616" s="8" t="s">
        <v>15008</v>
      </c>
      <c r="F2616" s="8" t="s">
        <v>9151</v>
      </c>
      <c r="G2616" s="8" t="s">
        <v>15009</v>
      </c>
      <c r="H2616" s="8" t="s">
        <v>3479</v>
      </c>
      <c r="I2616" s="9">
        <v>0.0</v>
      </c>
      <c r="J2616" s="9">
        <v>1521.0</v>
      </c>
      <c r="K2616" s="9">
        <v>1521.0</v>
      </c>
      <c r="L2616" s="9">
        <v>1521.0</v>
      </c>
      <c r="M2616" s="9">
        <v>333.0</v>
      </c>
      <c r="N2616" s="9">
        <v>739.0</v>
      </c>
      <c r="O2616" s="9">
        <v>449.0</v>
      </c>
      <c r="P2616" s="8" t="s">
        <v>3480</v>
      </c>
      <c r="Q2616" s="8"/>
      <c r="R2616" s="8"/>
    </row>
    <row r="2617">
      <c r="A2617" s="8" t="s">
        <v>2766</v>
      </c>
      <c r="B2617" s="8" t="s">
        <v>15010</v>
      </c>
      <c r="C2617" s="8" t="s">
        <v>4594</v>
      </c>
      <c r="D2617" s="9">
        <v>9.752717711E9</v>
      </c>
      <c r="E2617" s="8" t="s">
        <v>4595</v>
      </c>
      <c r="F2617" s="8" t="s">
        <v>4239</v>
      </c>
      <c r="G2617" s="8" t="s">
        <v>4036</v>
      </c>
      <c r="H2617" s="8" t="s">
        <v>3479</v>
      </c>
      <c r="I2617" s="9">
        <v>0.0</v>
      </c>
      <c r="J2617" s="9">
        <v>4831.0</v>
      </c>
      <c r="K2617" s="9">
        <v>4831.0</v>
      </c>
      <c r="L2617" s="9">
        <v>4831.0</v>
      </c>
      <c r="M2617" s="9">
        <v>3243.0</v>
      </c>
      <c r="N2617" s="9">
        <v>739.0</v>
      </c>
      <c r="O2617" s="9">
        <v>849.0</v>
      </c>
      <c r="P2617" s="8" t="s">
        <v>3480</v>
      </c>
      <c r="Q2617" s="8"/>
      <c r="R2617" s="8"/>
    </row>
    <row r="2618">
      <c r="A2618" s="8" t="s">
        <v>2956</v>
      </c>
      <c r="B2618" s="8" t="s">
        <v>15011</v>
      </c>
      <c r="C2618" s="8" t="s">
        <v>5517</v>
      </c>
      <c r="D2618" s="9">
        <v>8.484849999E9</v>
      </c>
      <c r="E2618" s="8" t="s">
        <v>13949</v>
      </c>
      <c r="F2618" s="8" t="s">
        <v>11438</v>
      </c>
      <c r="G2618" s="8" t="s">
        <v>15012</v>
      </c>
      <c r="H2618" s="8" t="s">
        <v>3479</v>
      </c>
      <c r="I2618" s="9">
        <v>0.0</v>
      </c>
      <c r="J2618" s="9">
        <v>2527.0</v>
      </c>
      <c r="K2618" s="9">
        <v>2527.0</v>
      </c>
      <c r="L2618" s="9">
        <v>2527.0</v>
      </c>
      <c r="M2618" s="9">
        <v>1313.0</v>
      </c>
      <c r="N2618" s="9">
        <v>190.0</v>
      </c>
      <c r="O2618" s="9">
        <v>1024.0</v>
      </c>
      <c r="P2618" s="8" t="s">
        <v>3480</v>
      </c>
      <c r="Q2618" s="8" t="s">
        <v>13951</v>
      </c>
      <c r="R2618" s="8" t="s">
        <v>13952</v>
      </c>
    </row>
    <row r="2619">
      <c r="A2619" s="8" t="s">
        <v>2957</v>
      </c>
      <c r="B2619" s="8" t="s">
        <v>15013</v>
      </c>
      <c r="C2619" s="8" t="s">
        <v>15014</v>
      </c>
      <c r="D2619" s="9">
        <v>9.881563207E9</v>
      </c>
      <c r="E2619" s="8" t="s">
        <v>15015</v>
      </c>
      <c r="F2619" s="8" t="s">
        <v>3821</v>
      </c>
      <c r="G2619" s="8" t="s">
        <v>15016</v>
      </c>
      <c r="H2619" s="8" t="s">
        <v>3479</v>
      </c>
      <c r="I2619" s="9">
        <v>0.0</v>
      </c>
      <c r="J2619" s="9">
        <v>2548.0</v>
      </c>
      <c r="K2619" s="9">
        <v>2548.0</v>
      </c>
      <c r="L2619" s="9">
        <v>2548.0</v>
      </c>
      <c r="M2619" s="9">
        <v>1285.0</v>
      </c>
      <c r="N2619" s="9">
        <v>739.0</v>
      </c>
      <c r="O2619" s="9">
        <v>524.0</v>
      </c>
      <c r="P2619" s="8" t="s">
        <v>3480</v>
      </c>
      <c r="Q2619" s="8" t="s">
        <v>15017</v>
      </c>
      <c r="R2619" s="8" t="s">
        <v>15018</v>
      </c>
    </row>
    <row r="2620">
      <c r="A2620" s="8" t="s">
        <v>2684</v>
      </c>
      <c r="B2620" s="8" t="s">
        <v>15019</v>
      </c>
      <c r="C2620" s="8" t="s">
        <v>13196</v>
      </c>
      <c r="D2620" s="9">
        <v>9.325951526E9</v>
      </c>
      <c r="E2620" s="8" t="s">
        <v>15020</v>
      </c>
      <c r="F2620" s="8" t="s">
        <v>4134</v>
      </c>
      <c r="G2620" s="8" t="s">
        <v>15021</v>
      </c>
      <c r="H2620" s="8" t="s">
        <v>3479</v>
      </c>
      <c r="I2620" s="9">
        <v>0.0</v>
      </c>
      <c r="J2620" s="9">
        <v>2428.0</v>
      </c>
      <c r="K2620" s="9">
        <v>2428.0</v>
      </c>
      <c r="L2620" s="9">
        <v>2428.0</v>
      </c>
      <c r="M2620" s="9">
        <v>1045.0</v>
      </c>
      <c r="N2620" s="9">
        <v>784.0</v>
      </c>
      <c r="O2620" s="9">
        <v>599.0</v>
      </c>
      <c r="P2620" s="8" t="s">
        <v>3480</v>
      </c>
      <c r="Q2620" s="8" t="s">
        <v>15022</v>
      </c>
      <c r="R2620" s="8" t="s">
        <v>15023</v>
      </c>
    </row>
    <row r="2621">
      <c r="A2621" s="8" t="s">
        <v>2974</v>
      </c>
      <c r="B2621" s="8" t="s">
        <v>15024</v>
      </c>
      <c r="C2621" s="8" t="s">
        <v>15025</v>
      </c>
      <c r="D2621" s="9">
        <v>8.087444804E9</v>
      </c>
      <c r="E2621" s="8" t="s">
        <v>15026</v>
      </c>
      <c r="F2621" s="8" t="s">
        <v>3523</v>
      </c>
      <c r="G2621" s="8" t="s">
        <v>15027</v>
      </c>
      <c r="H2621" s="8" t="s">
        <v>3479</v>
      </c>
      <c r="I2621" s="9">
        <v>0.0</v>
      </c>
      <c r="J2621" s="9">
        <v>1414.0</v>
      </c>
      <c r="K2621" s="9">
        <v>1414.0</v>
      </c>
      <c r="L2621" s="9">
        <v>1414.0</v>
      </c>
      <c r="M2621" s="9">
        <v>160.0</v>
      </c>
      <c r="N2621" s="9">
        <v>730.0</v>
      </c>
      <c r="O2621" s="9">
        <v>524.0</v>
      </c>
      <c r="P2621" s="8" t="s">
        <v>3480</v>
      </c>
      <c r="Q2621" s="8"/>
      <c r="R2621" s="8"/>
    </row>
    <row r="2622">
      <c r="A2622" s="8" t="s">
        <v>2973</v>
      </c>
      <c r="B2622" s="8" t="s">
        <v>15028</v>
      </c>
      <c r="C2622" s="8" t="s">
        <v>14970</v>
      </c>
      <c r="D2622" s="9">
        <v>9.02885838E9</v>
      </c>
      <c r="E2622" s="8" t="s">
        <v>14971</v>
      </c>
      <c r="F2622" s="8" t="s">
        <v>5184</v>
      </c>
      <c r="G2622" s="8" t="s">
        <v>15029</v>
      </c>
      <c r="H2622" s="8" t="s">
        <v>3479</v>
      </c>
      <c r="I2622" s="9">
        <v>0.0</v>
      </c>
      <c r="J2622" s="9">
        <v>1369.0</v>
      </c>
      <c r="K2622" s="9">
        <v>1369.0</v>
      </c>
      <c r="L2622" s="9">
        <v>1369.0</v>
      </c>
      <c r="M2622" s="9">
        <v>430.0</v>
      </c>
      <c r="N2622" s="9">
        <v>190.0</v>
      </c>
      <c r="O2622" s="9">
        <v>749.0</v>
      </c>
      <c r="P2622" s="8" t="s">
        <v>3480</v>
      </c>
      <c r="Q2622" s="8"/>
      <c r="R2622" s="8"/>
    </row>
    <row r="2623">
      <c r="A2623" s="8" t="s">
        <v>2975</v>
      </c>
      <c r="B2623" s="8" t="s">
        <v>15030</v>
      </c>
      <c r="C2623" s="8" t="s">
        <v>9505</v>
      </c>
      <c r="D2623" s="9">
        <v>8.904955456E9</v>
      </c>
      <c r="E2623" s="8" t="s">
        <v>9506</v>
      </c>
      <c r="F2623" s="8" t="s">
        <v>3589</v>
      </c>
      <c r="G2623" s="8" t="s">
        <v>15031</v>
      </c>
      <c r="H2623" s="8" t="s">
        <v>3479</v>
      </c>
      <c r="I2623" s="9">
        <v>0.0</v>
      </c>
      <c r="J2623" s="9">
        <v>3249.0</v>
      </c>
      <c r="K2623" s="9">
        <v>3249.0</v>
      </c>
      <c r="L2623" s="9">
        <v>3249.0</v>
      </c>
      <c r="M2623" s="9">
        <v>1995.0</v>
      </c>
      <c r="N2623" s="9">
        <v>730.0</v>
      </c>
      <c r="O2623" s="9">
        <v>524.0</v>
      </c>
      <c r="P2623" s="8" t="s">
        <v>3480</v>
      </c>
      <c r="Q2623" s="8" t="s">
        <v>9508</v>
      </c>
      <c r="R2623" s="8" t="s">
        <v>9509</v>
      </c>
    </row>
    <row r="2624">
      <c r="A2624" s="8" t="s">
        <v>2959</v>
      </c>
      <c r="B2624" s="8" t="s">
        <v>15032</v>
      </c>
      <c r="C2624" s="8" t="s">
        <v>10334</v>
      </c>
      <c r="D2624" s="9">
        <v>9.54587878E9</v>
      </c>
      <c r="E2624" s="8" t="s">
        <v>10335</v>
      </c>
      <c r="F2624" s="8" t="s">
        <v>3821</v>
      </c>
      <c r="G2624" s="8" t="s">
        <v>13066</v>
      </c>
      <c r="H2624" s="8" t="s">
        <v>3479</v>
      </c>
      <c r="I2624" s="9">
        <v>0.0</v>
      </c>
      <c r="J2624" s="9">
        <v>2573.0</v>
      </c>
      <c r="K2624" s="9">
        <v>2573.0</v>
      </c>
      <c r="L2624" s="9">
        <v>2573.0</v>
      </c>
      <c r="M2624" s="9">
        <v>1310.0</v>
      </c>
      <c r="N2624" s="9">
        <v>739.0</v>
      </c>
      <c r="O2624" s="9">
        <v>524.0</v>
      </c>
      <c r="P2624" s="8" t="s">
        <v>3480</v>
      </c>
      <c r="Q2624" s="8" t="s">
        <v>10337</v>
      </c>
      <c r="R2624" s="8" t="s">
        <v>10338</v>
      </c>
    </row>
    <row r="2625">
      <c r="A2625" s="8" t="s">
        <v>2976</v>
      </c>
      <c r="B2625" s="8" t="s">
        <v>15033</v>
      </c>
      <c r="C2625" s="8" t="s">
        <v>7950</v>
      </c>
      <c r="D2625" s="9">
        <v>7.391050757E9</v>
      </c>
      <c r="E2625" s="8" t="s">
        <v>7951</v>
      </c>
      <c r="F2625" s="8" t="s">
        <v>4391</v>
      </c>
      <c r="G2625" s="8" t="s">
        <v>15034</v>
      </c>
      <c r="H2625" s="8" t="s">
        <v>3479</v>
      </c>
      <c r="I2625" s="9">
        <v>0.0</v>
      </c>
      <c r="J2625" s="9">
        <v>1259.0</v>
      </c>
      <c r="K2625" s="9">
        <v>1259.0</v>
      </c>
      <c r="L2625" s="9">
        <v>1259.0</v>
      </c>
      <c r="M2625" s="9">
        <v>80.0</v>
      </c>
      <c r="N2625" s="9">
        <v>730.0</v>
      </c>
      <c r="O2625" s="9">
        <v>449.0</v>
      </c>
      <c r="P2625" s="8" t="s">
        <v>3480</v>
      </c>
      <c r="Q2625" s="8" t="s">
        <v>7953</v>
      </c>
      <c r="R2625" s="8" t="s">
        <v>7954</v>
      </c>
    </row>
    <row r="2626">
      <c r="A2626" s="8" t="s">
        <v>2979</v>
      </c>
      <c r="B2626" s="8" t="s">
        <v>15035</v>
      </c>
      <c r="C2626" s="8" t="s">
        <v>8360</v>
      </c>
      <c r="D2626" s="9">
        <v>8.767610834E9</v>
      </c>
      <c r="E2626" s="8" t="s">
        <v>15036</v>
      </c>
      <c r="F2626" s="8" t="s">
        <v>4558</v>
      </c>
      <c r="G2626" s="8" t="s">
        <v>15037</v>
      </c>
      <c r="H2626" s="8" t="s">
        <v>3479</v>
      </c>
      <c r="I2626" s="9">
        <v>0.0</v>
      </c>
      <c r="J2626" s="9">
        <v>2000.0</v>
      </c>
      <c r="K2626" s="9">
        <v>2000.0</v>
      </c>
      <c r="L2626" s="9">
        <v>2000.0</v>
      </c>
      <c r="M2626" s="9">
        <v>487.0</v>
      </c>
      <c r="N2626" s="9">
        <v>739.0</v>
      </c>
      <c r="O2626" s="9">
        <v>774.0</v>
      </c>
      <c r="P2626" s="8" t="s">
        <v>3544</v>
      </c>
      <c r="Q2626" s="8"/>
      <c r="R2626" s="8"/>
    </row>
    <row r="2627">
      <c r="A2627" s="8" t="s">
        <v>2767</v>
      </c>
      <c r="B2627" s="8" t="s">
        <v>15038</v>
      </c>
      <c r="C2627" s="8" t="s">
        <v>15039</v>
      </c>
      <c r="D2627" s="9">
        <v>9.130301142E9</v>
      </c>
      <c r="E2627" s="8" t="s">
        <v>15040</v>
      </c>
      <c r="F2627" s="8" t="s">
        <v>3564</v>
      </c>
      <c r="G2627" s="8" t="s">
        <v>15041</v>
      </c>
      <c r="H2627" s="8" t="s">
        <v>15042</v>
      </c>
      <c r="I2627" s="9">
        <v>0.0</v>
      </c>
      <c r="J2627" s="9">
        <v>1500.0</v>
      </c>
      <c r="K2627" s="9">
        <v>1514.0</v>
      </c>
      <c r="L2627" s="9">
        <v>1500.0</v>
      </c>
      <c r="M2627" s="9">
        <v>575.0</v>
      </c>
      <c r="N2627" s="9">
        <v>190.0</v>
      </c>
      <c r="O2627" s="9">
        <v>749.0</v>
      </c>
      <c r="P2627" s="8" t="s">
        <v>3519</v>
      </c>
      <c r="Q2627" s="8"/>
      <c r="R2627" s="8"/>
    </row>
    <row r="2628">
      <c r="A2628" s="8" t="s">
        <v>2977</v>
      </c>
      <c r="B2628" s="8" t="s">
        <v>15043</v>
      </c>
      <c r="C2628" s="8" t="s">
        <v>3739</v>
      </c>
      <c r="D2628" s="9">
        <v>8.928284484E9</v>
      </c>
      <c r="E2628" s="8" t="s">
        <v>3740</v>
      </c>
      <c r="F2628" s="8" t="s">
        <v>3601</v>
      </c>
      <c r="G2628" s="8" t="s">
        <v>3741</v>
      </c>
      <c r="H2628" s="8" t="s">
        <v>3479</v>
      </c>
      <c r="I2628" s="9">
        <v>0.0</v>
      </c>
      <c r="J2628" s="9">
        <v>6504.0</v>
      </c>
      <c r="K2628" s="9">
        <v>6504.0</v>
      </c>
      <c r="L2628" s="9">
        <v>6504.0</v>
      </c>
      <c r="M2628" s="9">
        <v>3094.0</v>
      </c>
      <c r="N2628" s="9">
        <v>0.0</v>
      </c>
      <c r="O2628" s="9">
        <v>3410.0</v>
      </c>
      <c r="P2628" s="8" t="s">
        <v>3544</v>
      </c>
      <c r="Q2628" s="8" t="s">
        <v>3742</v>
      </c>
      <c r="R2628" s="8" t="s">
        <v>3743</v>
      </c>
    </row>
    <row r="2629">
      <c r="A2629" s="8" t="s">
        <v>2978</v>
      </c>
      <c r="B2629" s="8" t="s">
        <v>15044</v>
      </c>
      <c r="C2629" s="8" t="s">
        <v>9785</v>
      </c>
      <c r="D2629" s="9">
        <v>9.766390063E9</v>
      </c>
      <c r="E2629" s="8" t="s">
        <v>15045</v>
      </c>
      <c r="F2629" s="8" t="s">
        <v>6253</v>
      </c>
      <c r="G2629" s="8" t="s">
        <v>15046</v>
      </c>
      <c r="H2629" s="8" t="s">
        <v>3479</v>
      </c>
      <c r="I2629" s="9">
        <v>0.0</v>
      </c>
      <c r="J2629" s="9">
        <v>3374.0</v>
      </c>
      <c r="K2629" s="9">
        <v>3374.0</v>
      </c>
      <c r="L2629" s="9">
        <v>3374.0</v>
      </c>
      <c r="M2629" s="9">
        <v>2141.0</v>
      </c>
      <c r="N2629" s="9">
        <v>784.0</v>
      </c>
      <c r="O2629" s="9">
        <v>449.0</v>
      </c>
      <c r="P2629" s="8" t="s">
        <v>3480</v>
      </c>
      <c r="Q2629" s="8" t="s">
        <v>15047</v>
      </c>
      <c r="R2629" s="8" t="s">
        <v>15048</v>
      </c>
    </row>
    <row r="2630">
      <c r="A2630" s="8" t="s">
        <v>2983</v>
      </c>
      <c r="B2630" s="8" t="s">
        <v>15049</v>
      </c>
      <c r="C2630" s="8" t="s">
        <v>15050</v>
      </c>
      <c r="D2630" s="9">
        <v>9.881193257E9</v>
      </c>
      <c r="E2630" s="8" t="s">
        <v>15051</v>
      </c>
      <c r="F2630" s="8" t="s">
        <v>3608</v>
      </c>
      <c r="G2630" s="8" t="s">
        <v>15052</v>
      </c>
      <c r="H2630" s="8" t="s">
        <v>3479</v>
      </c>
      <c r="I2630" s="9">
        <v>0.0</v>
      </c>
      <c r="J2630" s="9">
        <v>4396.0</v>
      </c>
      <c r="K2630" s="9">
        <v>4396.0</v>
      </c>
      <c r="L2630" s="9">
        <v>4396.0</v>
      </c>
      <c r="M2630" s="9">
        <v>3208.0</v>
      </c>
      <c r="N2630" s="9">
        <v>739.0</v>
      </c>
      <c r="O2630" s="9">
        <v>449.0</v>
      </c>
      <c r="P2630" s="8" t="s">
        <v>3480</v>
      </c>
      <c r="Q2630" s="8" t="s">
        <v>15053</v>
      </c>
      <c r="R2630" s="8" t="s">
        <v>15054</v>
      </c>
    </row>
    <row r="2631">
      <c r="A2631" s="8" t="s">
        <v>2685</v>
      </c>
      <c r="B2631" s="8" t="s">
        <v>15055</v>
      </c>
      <c r="C2631" s="8" t="s">
        <v>15056</v>
      </c>
      <c r="D2631" s="9">
        <v>9.552424111E9</v>
      </c>
      <c r="E2631" s="8" t="s">
        <v>15057</v>
      </c>
      <c r="F2631" s="8" t="s">
        <v>3828</v>
      </c>
      <c r="G2631" s="8" t="s">
        <v>15058</v>
      </c>
      <c r="H2631" s="8" t="s">
        <v>3479</v>
      </c>
      <c r="I2631" s="9">
        <v>0.0</v>
      </c>
      <c r="J2631" s="9">
        <v>1516.0</v>
      </c>
      <c r="K2631" s="9">
        <v>1516.0</v>
      </c>
      <c r="L2631" s="9">
        <v>1516.0</v>
      </c>
      <c r="M2631" s="9">
        <v>1141.0</v>
      </c>
      <c r="N2631" s="9">
        <v>0.0</v>
      </c>
      <c r="O2631" s="9">
        <v>375.0</v>
      </c>
      <c r="P2631" s="8" t="s">
        <v>3480</v>
      </c>
      <c r="Q2631" s="8" t="s">
        <v>15059</v>
      </c>
      <c r="R2631" s="8"/>
    </row>
    <row r="2632">
      <c r="A2632" s="8" t="s">
        <v>2958</v>
      </c>
      <c r="B2632" s="8" t="s">
        <v>15060</v>
      </c>
      <c r="C2632" s="8" t="s">
        <v>14902</v>
      </c>
      <c r="D2632" s="9">
        <v>9.921999931E9</v>
      </c>
      <c r="E2632" s="8" t="s">
        <v>15061</v>
      </c>
      <c r="F2632" s="8" t="s">
        <v>6234</v>
      </c>
      <c r="G2632" s="8" t="s">
        <v>15062</v>
      </c>
      <c r="H2632" s="8" t="s">
        <v>7534</v>
      </c>
      <c r="I2632" s="9">
        <v>0.0</v>
      </c>
      <c r="J2632" s="9">
        <v>2203.0</v>
      </c>
      <c r="K2632" s="9">
        <v>2303.0</v>
      </c>
      <c r="L2632" s="9">
        <v>2203.0</v>
      </c>
      <c r="M2632" s="9">
        <v>1115.0</v>
      </c>
      <c r="N2632" s="9">
        <v>739.0</v>
      </c>
      <c r="O2632" s="9">
        <v>449.0</v>
      </c>
      <c r="P2632" s="8" t="s">
        <v>3480</v>
      </c>
      <c r="Q2632" s="8"/>
      <c r="R2632" s="8"/>
    </row>
    <row r="2633">
      <c r="A2633" s="8" t="s">
        <v>2687</v>
      </c>
      <c r="B2633" s="8" t="s">
        <v>15063</v>
      </c>
      <c r="C2633" s="8" t="s">
        <v>9225</v>
      </c>
      <c r="D2633" s="9">
        <v>9.579021218E9</v>
      </c>
      <c r="E2633" s="8" t="s">
        <v>9226</v>
      </c>
      <c r="F2633" s="8" t="s">
        <v>3608</v>
      </c>
      <c r="G2633" s="8" t="s">
        <v>15064</v>
      </c>
      <c r="H2633" s="8" t="s">
        <v>3479</v>
      </c>
      <c r="I2633" s="9">
        <v>0.0</v>
      </c>
      <c r="J2633" s="9">
        <v>2162.0</v>
      </c>
      <c r="K2633" s="9">
        <v>2162.0</v>
      </c>
      <c r="L2633" s="9">
        <v>2162.0</v>
      </c>
      <c r="M2633" s="9">
        <v>983.0</v>
      </c>
      <c r="N2633" s="9">
        <v>730.0</v>
      </c>
      <c r="O2633" s="9">
        <v>449.0</v>
      </c>
      <c r="P2633" s="8" t="s">
        <v>3480</v>
      </c>
      <c r="Q2633" s="8"/>
      <c r="R2633" s="8"/>
    </row>
    <row r="2634">
      <c r="A2634" s="8" t="s">
        <v>2686</v>
      </c>
      <c r="B2634" s="8" t="s">
        <v>15065</v>
      </c>
      <c r="C2634" s="8" t="s">
        <v>15066</v>
      </c>
      <c r="D2634" s="9">
        <v>9.131793358E9</v>
      </c>
      <c r="E2634" s="8" t="s">
        <v>15067</v>
      </c>
      <c r="F2634" s="8" t="s">
        <v>3564</v>
      </c>
      <c r="G2634" s="8" t="s">
        <v>15068</v>
      </c>
      <c r="H2634" s="8" t="s">
        <v>3479</v>
      </c>
      <c r="I2634" s="9">
        <v>0.0</v>
      </c>
      <c r="J2634" s="9">
        <v>1359.0</v>
      </c>
      <c r="K2634" s="9">
        <v>1359.0</v>
      </c>
      <c r="L2634" s="9">
        <v>1359.0</v>
      </c>
      <c r="M2634" s="9">
        <v>420.0</v>
      </c>
      <c r="N2634" s="9">
        <v>190.0</v>
      </c>
      <c r="O2634" s="9">
        <v>749.0</v>
      </c>
      <c r="P2634" s="8" t="s">
        <v>3480</v>
      </c>
      <c r="Q2634" s="8"/>
      <c r="R2634" s="8"/>
    </row>
    <row r="2635">
      <c r="A2635" s="8" t="s">
        <v>2689</v>
      </c>
      <c r="B2635" s="8" t="s">
        <v>15069</v>
      </c>
      <c r="C2635" s="8" t="s">
        <v>15070</v>
      </c>
      <c r="D2635" s="9">
        <v>9.92232377E9</v>
      </c>
      <c r="E2635" s="8" t="s">
        <v>15071</v>
      </c>
      <c r="F2635" s="8" t="s">
        <v>3594</v>
      </c>
      <c r="G2635" s="8" t="s">
        <v>15072</v>
      </c>
      <c r="H2635" s="8" t="s">
        <v>3479</v>
      </c>
      <c r="I2635" s="9">
        <v>0.0</v>
      </c>
      <c r="J2635" s="9">
        <v>2149.0</v>
      </c>
      <c r="K2635" s="9">
        <v>2149.0</v>
      </c>
      <c r="L2635" s="9">
        <v>2149.0</v>
      </c>
      <c r="M2635" s="9">
        <v>895.0</v>
      </c>
      <c r="N2635" s="9">
        <v>730.0</v>
      </c>
      <c r="O2635" s="9">
        <v>524.0</v>
      </c>
      <c r="P2635" s="8" t="s">
        <v>3519</v>
      </c>
      <c r="Q2635" s="8"/>
      <c r="R2635" s="8"/>
    </row>
    <row r="2636">
      <c r="A2636" s="8" t="s">
        <v>2960</v>
      </c>
      <c r="B2636" s="8" t="s">
        <v>15073</v>
      </c>
      <c r="C2636" s="8" t="s">
        <v>12954</v>
      </c>
      <c r="D2636" s="9">
        <v>8.445464646E9</v>
      </c>
      <c r="E2636" s="8" t="s">
        <v>12955</v>
      </c>
      <c r="F2636" s="8" t="s">
        <v>6234</v>
      </c>
      <c r="G2636" s="8" t="s">
        <v>15074</v>
      </c>
      <c r="H2636" s="8" t="s">
        <v>3479</v>
      </c>
      <c r="I2636" s="9">
        <v>0.0</v>
      </c>
      <c r="J2636" s="9">
        <v>3146.0</v>
      </c>
      <c r="K2636" s="9">
        <v>3146.0</v>
      </c>
      <c r="L2636" s="9">
        <v>3146.0</v>
      </c>
      <c r="M2636" s="9">
        <v>1958.0</v>
      </c>
      <c r="N2636" s="9">
        <v>739.0</v>
      </c>
      <c r="O2636" s="9">
        <v>449.0</v>
      </c>
      <c r="P2636" s="8" t="s">
        <v>3480</v>
      </c>
      <c r="Q2636" s="8" t="s">
        <v>12957</v>
      </c>
      <c r="R2636" s="8" t="s">
        <v>12958</v>
      </c>
    </row>
    <row r="2637">
      <c r="A2637" s="8" t="s">
        <v>2688</v>
      </c>
      <c r="B2637" s="8" t="s">
        <v>15075</v>
      </c>
      <c r="C2637" s="8" t="s">
        <v>15076</v>
      </c>
      <c r="D2637" s="9">
        <v>7.01401293E9</v>
      </c>
      <c r="E2637" s="8" t="s">
        <v>15077</v>
      </c>
      <c r="F2637" s="8" t="s">
        <v>3901</v>
      </c>
      <c r="G2637" s="8" t="s">
        <v>15078</v>
      </c>
      <c r="H2637" s="8" t="s">
        <v>3479</v>
      </c>
      <c r="I2637" s="9">
        <v>0.0</v>
      </c>
      <c r="J2637" s="9">
        <v>2287.0</v>
      </c>
      <c r="K2637" s="9">
        <v>2287.0</v>
      </c>
      <c r="L2637" s="9">
        <v>2287.0</v>
      </c>
      <c r="M2637" s="9">
        <v>904.0</v>
      </c>
      <c r="N2637" s="9">
        <v>784.0</v>
      </c>
      <c r="O2637" s="9">
        <v>599.0</v>
      </c>
      <c r="P2637" s="8" t="s">
        <v>3544</v>
      </c>
      <c r="Q2637" s="8" t="s">
        <v>15079</v>
      </c>
      <c r="R2637" s="8" t="s">
        <v>15080</v>
      </c>
    </row>
    <row r="2638">
      <c r="A2638" s="8" t="s">
        <v>2986</v>
      </c>
      <c r="B2638" s="8" t="s">
        <v>15081</v>
      </c>
      <c r="C2638" s="8" t="s">
        <v>13326</v>
      </c>
      <c r="D2638" s="9">
        <v>9.766945541E9</v>
      </c>
      <c r="E2638" s="8" t="s">
        <v>13327</v>
      </c>
      <c r="F2638" s="8" t="s">
        <v>3821</v>
      </c>
      <c r="G2638" s="8" t="s">
        <v>15082</v>
      </c>
      <c r="H2638" s="8" t="s">
        <v>3479</v>
      </c>
      <c r="I2638" s="9">
        <v>0.0</v>
      </c>
      <c r="J2638" s="9">
        <v>1576.0</v>
      </c>
      <c r="K2638" s="9">
        <v>1576.0</v>
      </c>
      <c r="L2638" s="9">
        <v>1576.0</v>
      </c>
      <c r="M2638" s="9">
        <v>313.0</v>
      </c>
      <c r="N2638" s="9">
        <v>739.0</v>
      </c>
      <c r="O2638" s="9">
        <v>524.0</v>
      </c>
      <c r="P2638" s="8" t="s">
        <v>3480</v>
      </c>
      <c r="Q2638" s="8" t="s">
        <v>13329</v>
      </c>
      <c r="R2638" s="8" t="s">
        <v>13330</v>
      </c>
    </row>
    <row r="2639">
      <c r="A2639" s="8" t="s">
        <v>2961</v>
      </c>
      <c r="B2639" s="8" t="s">
        <v>15083</v>
      </c>
      <c r="C2639" s="8" t="s">
        <v>15084</v>
      </c>
      <c r="D2639" s="9">
        <v>9.158811122E9</v>
      </c>
      <c r="E2639" s="8" t="s">
        <v>15085</v>
      </c>
      <c r="F2639" s="8" t="s">
        <v>3523</v>
      </c>
      <c r="G2639" s="8" t="s">
        <v>15086</v>
      </c>
      <c r="H2639" s="8" t="s">
        <v>3479</v>
      </c>
      <c r="I2639" s="9">
        <v>0.0</v>
      </c>
      <c r="J2639" s="9">
        <v>1463.0</v>
      </c>
      <c r="K2639" s="9">
        <v>1463.0</v>
      </c>
      <c r="L2639" s="9">
        <v>1463.0</v>
      </c>
      <c r="M2639" s="9">
        <v>200.0</v>
      </c>
      <c r="N2639" s="9">
        <v>739.0</v>
      </c>
      <c r="O2639" s="9">
        <v>524.0</v>
      </c>
      <c r="P2639" s="8" t="s">
        <v>3480</v>
      </c>
      <c r="Q2639" s="8" t="s">
        <v>15087</v>
      </c>
      <c r="R2639" s="8" t="s">
        <v>15088</v>
      </c>
    </row>
    <row r="2640">
      <c r="A2640" s="8" t="s">
        <v>2690</v>
      </c>
      <c r="B2640" s="8" t="s">
        <v>15089</v>
      </c>
      <c r="C2640" s="8" t="s">
        <v>14797</v>
      </c>
      <c r="D2640" s="9">
        <v>9.158811122E9</v>
      </c>
      <c r="E2640" s="8" t="s">
        <v>14798</v>
      </c>
      <c r="F2640" s="8" t="s">
        <v>5447</v>
      </c>
      <c r="G2640" s="8" t="s">
        <v>15090</v>
      </c>
      <c r="H2640" s="8" t="s">
        <v>3479</v>
      </c>
      <c r="I2640" s="9">
        <v>0.0</v>
      </c>
      <c r="J2640" s="9">
        <v>1440.0</v>
      </c>
      <c r="K2640" s="9">
        <v>1440.0</v>
      </c>
      <c r="L2640" s="9">
        <v>1440.0</v>
      </c>
      <c r="M2640" s="9">
        <v>1200.0</v>
      </c>
      <c r="N2640" s="9">
        <v>65.0</v>
      </c>
      <c r="O2640" s="9">
        <v>175.0</v>
      </c>
      <c r="P2640" s="8" t="s">
        <v>3480</v>
      </c>
      <c r="Q2640" s="8" t="s">
        <v>14800</v>
      </c>
      <c r="R2640" s="8" t="s">
        <v>14801</v>
      </c>
    </row>
    <row r="2641">
      <c r="A2641" s="8" t="s">
        <v>2691</v>
      </c>
      <c r="B2641" s="8" t="s">
        <v>15091</v>
      </c>
      <c r="C2641" s="8" t="s">
        <v>15092</v>
      </c>
      <c r="D2641" s="9">
        <v>7.020539843E9</v>
      </c>
      <c r="E2641" s="8" t="s">
        <v>15093</v>
      </c>
      <c r="F2641" s="8" t="s">
        <v>15094</v>
      </c>
      <c r="G2641" s="8" t="s">
        <v>15095</v>
      </c>
      <c r="H2641" s="8" t="s">
        <v>5562</v>
      </c>
      <c r="I2641" s="9">
        <v>0.0</v>
      </c>
      <c r="J2641" s="9">
        <v>3000.0</v>
      </c>
      <c r="K2641" s="9">
        <v>3052.0</v>
      </c>
      <c r="L2641" s="9">
        <v>3000.0</v>
      </c>
      <c r="M2641" s="9">
        <v>989.0</v>
      </c>
      <c r="N2641" s="9">
        <v>914.0</v>
      </c>
      <c r="O2641" s="9">
        <v>1149.0</v>
      </c>
      <c r="P2641" s="8" t="s">
        <v>3480</v>
      </c>
      <c r="Q2641" s="8"/>
      <c r="R2641" s="8"/>
    </row>
    <row r="2642">
      <c r="A2642" s="8" t="s">
        <v>971</v>
      </c>
      <c r="B2642" s="8" t="s">
        <v>15096</v>
      </c>
      <c r="C2642" s="8" t="s">
        <v>9458</v>
      </c>
      <c r="D2642" s="9">
        <v>9.822525596E9</v>
      </c>
      <c r="E2642" s="8" t="s">
        <v>9459</v>
      </c>
      <c r="F2642" s="8" t="s">
        <v>3721</v>
      </c>
      <c r="G2642" s="8" t="s">
        <v>15097</v>
      </c>
      <c r="H2642" s="8" t="s">
        <v>3479</v>
      </c>
      <c r="I2642" s="9">
        <v>0.0</v>
      </c>
      <c r="J2642" s="9">
        <v>2873.0</v>
      </c>
      <c r="K2642" s="9">
        <v>2873.0</v>
      </c>
      <c r="L2642" s="9">
        <v>2873.0</v>
      </c>
      <c r="M2642" s="9">
        <v>1610.0</v>
      </c>
      <c r="N2642" s="9">
        <v>739.0</v>
      </c>
      <c r="O2642" s="9">
        <v>524.0</v>
      </c>
      <c r="P2642" s="8" t="s">
        <v>3480</v>
      </c>
      <c r="Q2642" s="8"/>
      <c r="R2642" s="8"/>
    </row>
    <row r="2643">
      <c r="A2643" s="8" t="s">
        <v>2962</v>
      </c>
      <c r="B2643" s="8" t="s">
        <v>15098</v>
      </c>
      <c r="C2643" s="8" t="s">
        <v>15099</v>
      </c>
      <c r="D2643" s="9">
        <v>7.387015523E9</v>
      </c>
      <c r="E2643" s="8" t="s">
        <v>15100</v>
      </c>
      <c r="F2643" s="8" t="s">
        <v>3594</v>
      </c>
      <c r="G2643" s="8" t="s">
        <v>15101</v>
      </c>
      <c r="H2643" s="8" t="s">
        <v>3479</v>
      </c>
      <c r="I2643" s="9">
        <v>0.0</v>
      </c>
      <c r="J2643" s="9">
        <v>1150.0</v>
      </c>
      <c r="K2643" s="9">
        <v>1150.0</v>
      </c>
      <c r="L2643" s="9">
        <v>1150.0</v>
      </c>
      <c r="M2643" s="9">
        <v>1150.0</v>
      </c>
      <c r="N2643" s="9">
        <v>0.0</v>
      </c>
      <c r="O2643" s="9">
        <v>0.0</v>
      </c>
      <c r="P2643" s="8" t="s">
        <v>3480</v>
      </c>
      <c r="Q2643" s="8"/>
      <c r="R2643" s="8"/>
    </row>
    <row r="2644">
      <c r="A2644" s="8" t="s">
        <v>2692</v>
      </c>
      <c r="B2644" s="8" t="s">
        <v>15102</v>
      </c>
      <c r="C2644" s="8" t="s">
        <v>15103</v>
      </c>
      <c r="D2644" s="9">
        <v>9.922178826E9</v>
      </c>
      <c r="E2644" s="8" t="s">
        <v>15104</v>
      </c>
      <c r="F2644" s="8" t="s">
        <v>6206</v>
      </c>
      <c r="G2644" s="8" t="s">
        <v>15105</v>
      </c>
      <c r="H2644" s="8" t="s">
        <v>3479</v>
      </c>
      <c r="I2644" s="9">
        <v>0.0</v>
      </c>
      <c r="J2644" s="9">
        <v>2447.0</v>
      </c>
      <c r="K2644" s="9">
        <v>2447.0</v>
      </c>
      <c r="L2644" s="9">
        <v>2447.0</v>
      </c>
      <c r="M2644" s="9">
        <v>1134.0</v>
      </c>
      <c r="N2644" s="9">
        <v>784.0</v>
      </c>
      <c r="O2644" s="9">
        <v>529.0</v>
      </c>
      <c r="P2644" s="8" t="s">
        <v>3480</v>
      </c>
      <c r="Q2644" s="8" t="s">
        <v>15106</v>
      </c>
      <c r="R2644" s="8" t="s">
        <v>15107</v>
      </c>
    </row>
    <row r="2645">
      <c r="A2645" s="8" t="s">
        <v>2693</v>
      </c>
      <c r="B2645" s="8" t="s">
        <v>15108</v>
      </c>
      <c r="C2645" s="8" t="s">
        <v>15109</v>
      </c>
      <c r="D2645" s="9">
        <v>9.823415525E9</v>
      </c>
      <c r="E2645" s="8" t="s">
        <v>15110</v>
      </c>
      <c r="F2645" s="8" t="s">
        <v>3594</v>
      </c>
      <c r="G2645" s="8" t="s">
        <v>15111</v>
      </c>
      <c r="H2645" s="8" t="s">
        <v>3479</v>
      </c>
      <c r="I2645" s="9">
        <v>0.0</v>
      </c>
      <c r="J2645" s="9">
        <v>1860.0</v>
      </c>
      <c r="K2645" s="9">
        <v>1860.0</v>
      </c>
      <c r="L2645" s="9">
        <v>1860.0</v>
      </c>
      <c r="M2645" s="9">
        <v>606.0</v>
      </c>
      <c r="N2645" s="9">
        <v>730.0</v>
      </c>
      <c r="O2645" s="9">
        <v>524.0</v>
      </c>
      <c r="P2645" s="8" t="s">
        <v>3480</v>
      </c>
      <c r="Q2645" s="8" t="s">
        <v>15112</v>
      </c>
      <c r="R2645" s="8"/>
    </row>
    <row r="2646">
      <c r="A2646" s="8" t="s">
        <v>677</v>
      </c>
      <c r="B2646" s="8" t="s">
        <v>15113</v>
      </c>
      <c r="C2646" s="8" t="s">
        <v>15114</v>
      </c>
      <c r="D2646" s="9">
        <v>9.167647747E9</v>
      </c>
      <c r="E2646" s="8" t="s">
        <v>15115</v>
      </c>
      <c r="F2646" s="8" t="s">
        <v>3608</v>
      </c>
      <c r="G2646" s="8" t="s">
        <v>15116</v>
      </c>
      <c r="H2646" s="8" t="s">
        <v>3479</v>
      </c>
      <c r="I2646" s="9">
        <v>0.0</v>
      </c>
      <c r="J2646" s="9">
        <v>1550.0</v>
      </c>
      <c r="K2646" s="9">
        <v>1550.0</v>
      </c>
      <c r="L2646" s="9">
        <v>1550.0</v>
      </c>
      <c r="M2646" s="9">
        <v>1550.0</v>
      </c>
      <c r="N2646" s="9">
        <v>0.0</v>
      </c>
      <c r="O2646" s="9">
        <v>0.0</v>
      </c>
      <c r="P2646" s="8" t="s">
        <v>3480</v>
      </c>
      <c r="Q2646" s="8" t="s">
        <v>15117</v>
      </c>
      <c r="R2646" s="8" t="s">
        <v>15118</v>
      </c>
    </row>
    <row r="2647">
      <c r="A2647" s="8" t="s">
        <v>2980</v>
      </c>
      <c r="B2647" s="8" t="s">
        <v>15119</v>
      </c>
      <c r="C2647" s="8" t="s">
        <v>5549</v>
      </c>
      <c r="D2647" s="9">
        <v>8.44664271E9</v>
      </c>
      <c r="E2647" s="8" t="s">
        <v>11665</v>
      </c>
      <c r="F2647" s="8" t="s">
        <v>4252</v>
      </c>
      <c r="G2647" s="8" t="s">
        <v>15120</v>
      </c>
      <c r="H2647" s="8" t="s">
        <v>3479</v>
      </c>
      <c r="I2647" s="9">
        <v>0.0</v>
      </c>
      <c r="J2647" s="9">
        <v>1522.0</v>
      </c>
      <c r="K2647" s="9">
        <v>1522.0</v>
      </c>
      <c r="L2647" s="9">
        <v>1522.0</v>
      </c>
      <c r="M2647" s="9">
        <v>1017.0</v>
      </c>
      <c r="N2647" s="9">
        <v>130.0</v>
      </c>
      <c r="O2647" s="9">
        <v>375.0</v>
      </c>
      <c r="P2647" s="8" t="s">
        <v>3480</v>
      </c>
      <c r="Q2647" s="8" t="s">
        <v>11667</v>
      </c>
      <c r="R2647" s="8" t="s">
        <v>11668</v>
      </c>
    </row>
    <row r="2648">
      <c r="A2648" s="8" t="s">
        <v>2984</v>
      </c>
      <c r="B2648" s="8" t="s">
        <v>15121</v>
      </c>
      <c r="C2648" s="8" t="s">
        <v>15122</v>
      </c>
      <c r="D2648" s="9">
        <v>9.552553646E9</v>
      </c>
      <c r="E2648" s="8" t="s">
        <v>15123</v>
      </c>
      <c r="F2648" s="8" t="s">
        <v>4059</v>
      </c>
      <c r="G2648" s="8" t="s">
        <v>15124</v>
      </c>
      <c r="H2648" s="8" t="s">
        <v>3479</v>
      </c>
      <c r="I2648" s="9">
        <v>0.0</v>
      </c>
      <c r="J2648" s="9">
        <v>1797.0</v>
      </c>
      <c r="K2648" s="9">
        <v>1797.0</v>
      </c>
      <c r="L2648" s="9">
        <v>1797.0</v>
      </c>
      <c r="M2648" s="9">
        <v>1008.0</v>
      </c>
      <c r="N2648" s="9">
        <v>65.0</v>
      </c>
      <c r="O2648" s="9">
        <v>724.0</v>
      </c>
      <c r="P2648" s="8" t="s">
        <v>3480</v>
      </c>
      <c r="Q2648" s="8"/>
      <c r="R2648" s="8"/>
    </row>
    <row r="2649">
      <c r="A2649" s="8" t="s">
        <v>2694</v>
      </c>
      <c r="B2649" s="8" t="s">
        <v>15125</v>
      </c>
      <c r="C2649" s="8" t="s">
        <v>15126</v>
      </c>
      <c r="D2649" s="9">
        <v>9.675005384E9</v>
      </c>
      <c r="E2649" s="8" t="s">
        <v>15127</v>
      </c>
      <c r="F2649" s="8" t="s">
        <v>3815</v>
      </c>
      <c r="G2649" s="8" t="s">
        <v>15128</v>
      </c>
      <c r="H2649" s="8" t="s">
        <v>3479</v>
      </c>
      <c r="I2649" s="9">
        <v>0.0</v>
      </c>
      <c r="J2649" s="9">
        <v>3417.0</v>
      </c>
      <c r="K2649" s="9">
        <v>3417.0</v>
      </c>
      <c r="L2649" s="9">
        <v>3417.0</v>
      </c>
      <c r="M2649" s="9">
        <v>810.0</v>
      </c>
      <c r="N2649" s="9">
        <v>1533.0</v>
      </c>
      <c r="O2649" s="9">
        <v>1074.0</v>
      </c>
      <c r="P2649" s="8" t="s">
        <v>3480</v>
      </c>
      <c r="Q2649" s="8"/>
      <c r="R2649" s="8"/>
    </row>
    <row r="2650">
      <c r="A2650" s="8" t="s">
        <v>2695</v>
      </c>
      <c r="B2650" s="8" t="s">
        <v>15129</v>
      </c>
      <c r="C2650" s="8" t="s">
        <v>15130</v>
      </c>
      <c r="D2650" s="9">
        <v>9.55235299E9</v>
      </c>
      <c r="E2650" s="8" t="s">
        <v>15131</v>
      </c>
      <c r="F2650" s="8" t="s">
        <v>3608</v>
      </c>
      <c r="G2650" s="8" t="s">
        <v>15132</v>
      </c>
      <c r="H2650" s="8" t="s">
        <v>3479</v>
      </c>
      <c r="I2650" s="9">
        <v>0.0</v>
      </c>
      <c r="J2650" s="9">
        <v>1887.0</v>
      </c>
      <c r="K2650" s="9">
        <v>1887.0</v>
      </c>
      <c r="L2650" s="9">
        <v>1887.0</v>
      </c>
      <c r="M2650" s="9">
        <v>333.0</v>
      </c>
      <c r="N2650" s="9">
        <v>730.0</v>
      </c>
      <c r="O2650" s="9">
        <v>824.0</v>
      </c>
      <c r="P2650" s="8" t="s">
        <v>3544</v>
      </c>
      <c r="Q2650" s="8" t="s">
        <v>15133</v>
      </c>
      <c r="R2650" s="8" t="s">
        <v>15134</v>
      </c>
    </row>
    <row r="2651">
      <c r="A2651" s="8" t="s">
        <v>2696</v>
      </c>
      <c r="B2651" s="8" t="s">
        <v>15135</v>
      </c>
      <c r="C2651" s="8" t="s">
        <v>15136</v>
      </c>
      <c r="D2651" s="9">
        <v>8.719994113E9</v>
      </c>
      <c r="E2651" s="8" t="s">
        <v>15137</v>
      </c>
      <c r="F2651" s="8" t="s">
        <v>15138</v>
      </c>
      <c r="G2651" s="8" t="s">
        <v>15139</v>
      </c>
      <c r="H2651" s="8" t="s">
        <v>3479</v>
      </c>
      <c r="I2651" s="9">
        <v>0.0</v>
      </c>
      <c r="J2651" s="9">
        <v>2259.0</v>
      </c>
      <c r="K2651" s="9">
        <v>2259.0</v>
      </c>
      <c r="L2651" s="9">
        <v>2259.0</v>
      </c>
      <c r="M2651" s="9">
        <v>1285.0</v>
      </c>
      <c r="N2651" s="9">
        <v>0.0</v>
      </c>
      <c r="O2651" s="9">
        <v>974.0</v>
      </c>
      <c r="P2651" s="8" t="s">
        <v>3480</v>
      </c>
      <c r="Q2651" s="8"/>
      <c r="R2651" s="8"/>
    </row>
    <row r="2652">
      <c r="A2652" s="8" t="s">
        <v>2697</v>
      </c>
      <c r="B2652" s="8" t="s">
        <v>15140</v>
      </c>
      <c r="C2652" s="8" t="s">
        <v>15141</v>
      </c>
      <c r="D2652" s="9">
        <v>9.421019191E9</v>
      </c>
      <c r="E2652" s="8" t="s">
        <v>15142</v>
      </c>
      <c r="F2652" s="8" t="s">
        <v>4093</v>
      </c>
      <c r="G2652" s="8" t="s">
        <v>15143</v>
      </c>
      <c r="H2652" s="8" t="s">
        <v>3479</v>
      </c>
      <c r="I2652" s="9">
        <v>0.0</v>
      </c>
      <c r="J2652" s="9">
        <v>7779.0</v>
      </c>
      <c r="K2652" s="9">
        <v>7779.0</v>
      </c>
      <c r="L2652" s="9">
        <v>7779.0</v>
      </c>
      <c r="M2652" s="9">
        <v>5071.0</v>
      </c>
      <c r="N2652" s="9">
        <v>784.0</v>
      </c>
      <c r="O2652" s="9">
        <v>1924.0</v>
      </c>
      <c r="P2652" s="8" t="s">
        <v>3480</v>
      </c>
      <c r="Q2652" s="8"/>
      <c r="R2652" s="8"/>
    </row>
    <row r="2653">
      <c r="A2653" s="8" t="s">
        <v>2985</v>
      </c>
      <c r="B2653" s="8" t="s">
        <v>15144</v>
      </c>
      <c r="C2653" s="8" t="s">
        <v>9911</v>
      </c>
      <c r="D2653" s="9">
        <v>9.860588902E9</v>
      </c>
      <c r="E2653" s="8" t="s">
        <v>9912</v>
      </c>
      <c r="F2653" s="8" t="s">
        <v>4018</v>
      </c>
      <c r="G2653" s="8" t="s">
        <v>9913</v>
      </c>
      <c r="H2653" s="8" t="s">
        <v>3479</v>
      </c>
      <c r="I2653" s="9">
        <v>0.0</v>
      </c>
      <c r="J2653" s="9">
        <v>1550.0</v>
      </c>
      <c r="K2653" s="9">
        <v>1550.0</v>
      </c>
      <c r="L2653" s="9">
        <v>1550.0</v>
      </c>
      <c r="M2653" s="9">
        <v>1550.0</v>
      </c>
      <c r="N2653" s="9">
        <v>0.0</v>
      </c>
      <c r="O2653" s="9">
        <v>0.0</v>
      </c>
      <c r="P2653" s="8" t="s">
        <v>3480</v>
      </c>
      <c r="Q2653" s="8"/>
      <c r="R2653" s="8"/>
    </row>
    <row r="2654">
      <c r="A2654" s="8" t="s">
        <v>2963</v>
      </c>
      <c r="B2654" s="8" t="s">
        <v>15145</v>
      </c>
      <c r="C2654" s="8" t="s">
        <v>7606</v>
      </c>
      <c r="D2654" s="9">
        <v>8.147749833E9</v>
      </c>
      <c r="E2654" s="8" t="s">
        <v>15146</v>
      </c>
      <c r="F2654" s="8" t="s">
        <v>10743</v>
      </c>
      <c r="G2654" s="8" t="s">
        <v>15147</v>
      </c>
      <c r="H2654" s="8" t="s">
        <v>3479</v>
      </c>
      <c r="I2654" s="9">
        <v>0.0</v>
      </c>
      <c r="J2654" s="9">
        <v>2497.0</v>
      </c>
      <c r="K2654" s="9">
        <v>2497.0</v>
      </c>
      <c r="L2654" s="9">
        <v>2497.0</v>
      </c>
      <c r="M2654" s="9">
        <v>1058.0</v>
      </c>
      <c r="N2654" s="9">
        <v>840.0</v>
      </c>
      <c r="O2654" s="9">
        <v>599.0</v>
      </c>
      <c r="P2654" s="8" t="s">
        <v>3480</v>
      </c>
      <c r="Q2654" s="8" t="s">
        <v>15148</v>
      </c>
      <c r="R2654" s="8" t="s">
        <v>15149</v>
      </c>
    </row>
    <row r="2655">
      <c r="A2655" s="8" t="s">
        <v>2083</v>
      </c>
      <c r="B2655" s="8" t="s">
        <v>15150</v>
      </c>
      <c r="C2655" s="8" t="s">
        <v>8300</v>
      </c>
      <c r="D2655" s="9">
        <v>9.156365605E9</v>
      </c>
      <c r="E2655" s="8" t="s">
        <v>8301</v>
      </c>
      <c r="F2655" s="8" t="s">
        <v>4373</v>
      </c>
      <c r="G2655" s="8" t="s">
        <v>15151</v>
      </c>
      <c r="H2655" s="8" t="s">
        <v>3479</v>
      </c>
      <c r="I2655" s="9">
        <v>0.0</v>
      </c>
      <c r="J2655" s="9">
        <v>4006.0</v>
      </c>
      <c r="K2655" s="9">
        <v>4006.0</v>
      </c>
      <c r="L2655" s="9">
        <v>4006.0</v>
      </c>
      <c r="M2655" s="9">
        <v>2632.0</v>
      </c>
      <c r="N2655" s="9">
        <v>775.0</v>
      </c>
      <c r="O2655" s="9">
        <v>599.0</v>
      </c>
      <c r="P2655" s="8" t="s">
        <v>3480</v>
      </c>
      <c r="Q2655" s="8" t="s">
        <v>8303</v>
      </c>
      <c r="R2655" s="8" t="s">
        <v>8304</v>
      </c>
    </row>
    <row r="2656">
      <c r="A2656" s="8" t="s">
        <v>1520</v>
      </c>
      <c r="B2656" s="8" t="s">
        <v>15152</v>
      </c>
      <c r="C2656" s="8" t="s">
        <v>15153</v>
      </c>
      <c r="D2656" s="9">
        <v>8.763838777E9</v>
      </c>
      <c r="E2656" s="8" t="s">
        <v>15154</v>
      </c>
      <c r="F2656" s="8" t="s">
        <v>3594</v>
      </c>
      <c r="G2656" s="8" t="s">
        <v>15155</v>
      </c>
      <c r="H2656" s="8" t="s">
        <v>3479</v>
      </c>
      <c r="I2656" s="9">
        <v>0.0</v>
      </c>
      <c r="J2656" s="9">
        <v>1592.0</v>
      </c>
      <c r="K2656" s="9">
        <v>1592.0</v>
      </c>
      <c r="L2656" s="9">
        <v>1592.0</v>
      </c>
      <c r="M2656" s="9">
        <v>338.0</v>
      </c>
      <c r="N2656" s="9">
        <v>730.0</v>
      </c>
      <c r="O2656" s="9">
        <v>524.0</v>
      </c>
      <c r="P2656" s="8" t="s">
        <v>3480</v>
      </c>
      <c r="Q2656" s="8" t="s">
        <v>15156</v>
      </c>
      <c r="R2656" s="8" t="s">
        <v>15157</v>
      </c>
    </row>
    <row r="2657">
      <c r="A2657" s="8" t="s">
        <v>1484</v>
      </c>
      <c r="B2657" s="8" t="s">
        <v>15158</v>
      </c>
      <c r="C2657" s="8" t="s">
        <v>15159</v>
      </c>
      <c r="D2657" s="9">
        <v>7.776827663E9</v>
      </c>
      <c r="E2657" s="8" t="s">
        <v>15160</v>
      </c>
      <c r="F2657" s="8" t="s">
        <v>3863</v>
      </c>
      <c r="G2657" s="8" t="s">
        <v>15161</v>
      </c>
      <c r="H2657" s="8" t="s">
        <v>3479</v>
      </c>
      <c r="I2657" s="9">
        <v>0.0</v>
      </c>
      <c r="J2657" s="9">
        <v>4107.0</v>
      </c>
      <c r="K2657" s="9">
        <v>4107.0</v>
      </c>
      <c r="L2657" s="9">
        <v>4107.0</v>
      </c>
      <c r="M2657" s="9">
        <v>2859.0</v>
      </c>
      <c r="N2657" s="9">
        <v>549.0</v>
      </c>
      <c r="O2657" s="9">
        <v>699.0</v>
      </c>
      <c r="P2657" s="8" t="s">
        <v>3480</v>
      </c>
      <c r="Q2657" s="8" t="s">
        <v>15162</v>
      </c>
      <c r="R2657" s="8" t="s">
        <v>15163</v>
      </c>
    </row>
    <row r="2658">
      <c r="A2658" s="8" t="s">
        <v>2993</v>
      </c>
      <c r="B2658" s="8" t="s">
        <v>15164</v>
      </c>
      <c r="C2658" s="8" t="s">
        <v>15165</v>
      </c>
      <c r="D2658" s="9">
        <v>9.049794201E9</v>
      </c>
      <c r="E2658" s="8" t="s">
        <v>15166</v>
      </c>
      <c r="F2658" s="8" t="s">
        <v>14592</v>
      </c>
      <c r="G2658" s="8" t="s">
        <v>15167</v>
      </c>
      <c r="H2658" s="8" t="s">
        <v>3479</v>
      </c>
      <c r="I2658" s="9">
        <v>0.0</v>
      </c>
      <c r="J2658" s="9">
        <v>1850.0</v>
      </c>
      <c r="K2658" s="9">
        <v>1850.0</v>
      </c>
      <c r="L2658" s="9">
        <v>1850.0</v>
      </c>
      <c r="M2658" s="9">
        <v>1850.0</v>
      </c>
      <c r="N2658" s="9">
        <v>0.0</v>
      </c>
      <c r="O2658" s="9">
        <v>0.0</v>
      </c>
      <c r="P2658" s="8" t="s">
        <v>3519</v>
      </c>
      <c r="Q2658" s="8"/>
      <c r="R2658" s="8"/>
    </row>
    <row r="2659">
      <c r="A2659" s="8" t="s">
        <v>2084</v>
      </c>
      <c r="B2659" s="8" t="s">
        <v>15168</v>
      </c>
      <c r="C2659" s="8" t="s">
        <v>15169</v>
      </c>
      <c r="D2659" s="9">
        <v>9.096122381E9</v>
      </c>
      <c r="E2659" s="8" t="s">
        <v>15170</v>
      </c>
      <c r="F2659" s="8" t="s">
        <v>4391</v>
      </c>
      <c r="G2659" s="8" t="s">
        <v>9865</v>
      </c>
      <c r="H2659" s="8" t="s">
        <v>3479</v>
      </c>
      <c r="I2659" s="9">
        <v>0.0</v>
      </c>
      <c r="J2659" s="9">
        <v>629.0</v>
      </c>
      <c r="K2659" s="9">
        <v>629.0</v>
      </c>
      <c r="L2659" s="9">
        <v>629.0</v>
      </c>
      <c r="M2659" s="9">
        <v>100.0</v>
      </c>
      <c r="N2659" s="9">
        <v>80.0</v>
      </c>
      <c r="O2659" s="9">
        <v>449.0</v>
      </c>
      <c r="P2659" s="8" t="s">
        <v>3480</v>
      </c>
      <c r="Q2659" s="8" t="s">
        <v>15171</v>
      </c>
      <c r="R2659" s="8" t="s">
        <v>15172</v>
      </c>
    </row>
    <row r="2660">
      <c r="A2660" s="8" t="s">
        <v>2981</v>
      </c>
      <c r="B2660" s="8" t="s">
        <v>15173</v>
      </c>
      <c r="C2660" s="8" t="s">
        <v>15174</v>
      </c>
      <c r="D2660" s="9">
        <v>7.737381901E9</v>
      </c>
      <c r="E2660" s="8" t="s">
        <v>15175</v>
      </c>
      <c r="F2660" s="8" t="s">
        <v>4059</v>
      </c>
      <c r="G2660" s="8" t="s">
        <v>15176</v>
      </c>
      <c r="H2660" s="8" t="s">
        <v>3479</v>
      </c>
      <c r="I2660" s="9">
        <v>0.0</v>
      </c>
      <c r="J2660" s="9">
        <v>1926.0</v>
      </c>
      <c r="K2660" s="9">
        <v>1926.0</v>
      </c>
      <c r="L2660" s="9">
        <v>1926.0</v>
      </c>
      <c r="M2660" s="9">
        <v>472.0</v>
      </c>
      <c r="N2660" s="9">
        <v>775.0</v>
      </c>
      <c r="O2660" s="9">
        <v>679.0</v>
      </c>
      <c r="P2660" s="8" t="s">
        <v>3480</v>
      </c>
      <c r="Q2660" s="8" t="s">
        <v>15177</v>
      </c>
      <c r="R2660" s="8" t="s">
        <v>15178</v>
      </c>
    </row>
    <row r="2661">
      <c r="A2661" s="8" t="s">
        <v>2988</v>
      </c>
      <c r="B2661" s="8" t="s">
        <v>15179</v>
      </c>
      <c r="C2661" s="8" t="s">
        <v>10849</v>
      </c>
      <c r="D2661" s="9">
        <v>9.766930474E9</v>
      </c>
      <c r="E2661" s="8" t="s">
        <v>10850</v>
      </c>
      <c r="F2661" s="8" t="s">
        <v>6253</v>
      </c>
      <c r="G2661" s="8" t="s">
        <v>15180</v>
      </c>
      <c r="H2661" s="8" t="s">
        <v>3479</v>
      </c>
      <c r="I2661" s="9">
        <v>0.0</v>
      </c>
      <c r="J2661" s="9">
        <v>956.0</v>
      </c>
      <c r="K2661" s="9">
        <v>956.0</v>
      </c>
      <c r="L2661" s="9">
        <v>956.0</v>
      </c>
      <c r="M2661" s="9">
        <v>427.0</v>
      </c>
      <c r="N2661" s="9">
        <v>0.0</v>
      </c>
      <c r="O2661" s="9">
        <v>529.0</v>
      </c>
      <c r="P2661" s="8" t="s">
        <v>3480</v>
      </c>
      <c r="Q2661" s="8" t="s">
        <v>10852</v>
      </c>
      <c r="R2661" s="8" t="s">
        <v>10853</v>
      </c>
    </row>
    <row r="2662">
      <c r="A2662" s="8" t="s">
        <v>2989</v>
      </c>
      <c r="B2662" s="8" t="s">
        <v>15181</v>
      </c>
      <c r="C2662" s="8" t="s">
        <v>15182</v>
      </c>
      <c r="D2662" s="9">
        <v>7.020787335E9</v>
      </c>
      <c r="E2662" s="8" t="s">
        <v>15183</v>
      </c>
      <c r="F2662" s="8" t="s">
        <v>5771</v>
      </c>
      <c r="G2662" s="8" t="s">
        <v>15184</v>
      </c>
      <c r="H2662" s="8" t="s">
        <v>3479</v>
      </c>
      <c r="I2662" s="9">
        <v>0.0</v>
      </c>
      <c r="J2662" s="9">
        <v>5589.0</v>
      </c>
      <c r="K2662" s="9">
        <v>5589.0</v>
      </c>
      <c r="L2662" s="9">
        <v>5589.0</v>
      </c>
      <c r="M2662" s="9">
        <v>3891.0</v>
      </c>
      <c r="N2662" s="9">
        <v>849.0</v>
      </c>
      <c r="O2662" s="9">
        <v>849.0</v>
      </c>
      <c r="P2662" s="8" t="s">
        <v>3544</v>
      </c>
      <c r="Q2662" s="8" t="s">
        <v>15185</v>
      </c>
      <c r="R2662" s="8" t="s">
        <v>15186</v>
      </c>
    </row>
    <row r="2663">
      <c r="A2663" s="8" t="s">
        <v>2990</v>
      </c>
      <c r="B2663" s="8" t="s">
        <v>15187</v>
      </c>
      <c r="C2663" s="8" t="s">
        <v>15188</v>
      </c>
      <c r="D2663" s="9">
        <v>8.087575708E9</v>
      </c>
      <c r="E2663" s="8" t="s">
        <v>15189</v>
      </c>
      <c r="F2663" s="8" t="s">
        <v>3901</v>
      </c>
      <c r="G2663" s="8" t="s">
        <v>15190</v>
      </c>
      <c r="H2663" s="8" t="s">
        <v>3479</v>
      </c>
      <c r="I2663" s="9">
        <v>0.0</v>
      </c>
      <c r="J2663" s="9">
        <v>2747.0</v>
      </c>
      <c r="K2663" s="9">
        <v>2747.0</v>
      </c>
      <c r="L2663" s="9">
        <v>2747.0</v>
      </c>
      <c r="M2663" s="9">
        <v>2232.0</v>
      </c>
      <c r="N2663" s="9">
        <v>65.0</v>
      </c>
      <c r="O2663" s="9">
        <v>450.0</v>
      </c>
      <c r="P2663" s="8" t="s">
        <v>3480</v>
      </c>
      <c r="Q2663" s="8"/>
      <c r="R2663" s="8"/>
    </row>
    <row r="2664">
      <c r="A2664" s="8" t="s">
        <v>2994</v>
      </c>
      <c r="B2664" s="8" t="s">
        <v>15191</v>
      </c>
      <c r="C2664" s="8" t="s">
        <v>4204</v>
      </c>
      <c r="D2664" s="9">
        <v>9.561466895E9</v>
      </c>
      <c r="E2664" s="8" t="s">
        <v>4205</v>
      </c>
      <c r="F2664" s="8" t="s">
        <v>6679</v>
      </c>
      <c r="G2664" s="8" t="s">
        <v>9228</v>
      </c>
      <c r="H2664" s="8" t="s">
        <v>8879</v>
      </c>
      <c r="I2664" s="9">
        <v>0.0</v>
      </c>
      <c r="J2664" s="9">
        <v>1500.0</v>
      </c>
      <c r="K2664" s="9">
        <v>1540.0</v>
      </c>
      <c r="L2664" s="9">
        <v>1500.0</v>
      </c>
      <c r="M2664" s="9">
        <v>1345.0</v>
      </c>
      <c r="N2664" s="9">
        <v>0.0</v>
      </c>
      <c r="O2664" s="9">
        <v>195.0</v>
      </c>
      <c r="P2664" s="8" t="s">
        <v>3519</v>
      </c>
      <c r="Q2664" s="8"/>
      <c r="R2664" s="8"/>
    </row>
    <row r="2665">
      <c r="A2665" s="8" t="s">
        <v>2987</v>
      </c>
      <c r="B2665" s="8" t="s">
        <v>15192</v>
      </c>
      <c r="C2665" s="8" t="s">
        <v>15193</v>
      </c>
      <c r="D2665" s="9">
        <v>9.595357213E9</v>
      </c>
      <c r="E2665" s="8" t="s">
        <v>15194</v>
      </c>
      <c r="F2665" s="8" t="s">
        <v>15195</v>
      </c>
      <c r="G2665" s="8" t="s">
        <v>15196</v>
      </c>
      <c r="H2665" s="8" t="s">
        <v>3479</v>
      </c>
      <c r="I2665" s="9">
        <v>0.0</v>
      </c>
      <c r="J2665" s="9">
        <v>1397.0</v>
      </c>
      <c r="K2665" s="9">
        <v>1397.0</v>
      </c>
      <c r="L2665" s="9">
        <v>1397.0</v>
      </c>
      <c r="M2665" s="9">
        <v>528.0</v>
      </c>
      <c r="N2665" s="9">
        <v>145.0</v>
      </c>
      <c r="O2665" s="9">
        <v>724.0</v>
      </c>
      <c r="P2665" s="8" t="s">
        <v>3480</v>
      </c>
      <c r="Q2665" s="8" t="s">
        <v>15197</v>
      </c>
      <c r="R2665" s="8" t="s">
        <v>15198</v>
      </c>
    </row>
    <row r="2666">
      <c r="A2666" s="8" t="s">
        <v>2991</v>
      </c>
      <c r="B2666" s="8" t="s">
        <v>15199</v>
      </c>
      <c r="C2666" s="8" t="s">
        <v>5549</v>
      </c>
      <c r="D2666" s="9">
        <v>8.669787479E9</v>
      </c>
      <c r="E2666" s="8" t="s">
        <v>5550</v>
      </c>
      <c r="F2666" s="8" t="s">
        <v>3628</v>
      </c>
      <c r="G2666" s="8" t="s">
        <v>15200</v>
      </c>
      <c r="H2666" s="8" t="s">
        <v>15201</v>
      </c>
      <c r="I2666" s="9">
        <v>0.0</v>
      </c>
      <c r="J2666" s="9">
        <v>2000.0</v>
      </c>
      <c r="K2666" s="9">
        <v>2120.0</v>
      </c>
      <c r="L2666" s="9">
        <v>2000.0</v>
      </c>
      <c r="M2666" s="9">
        <v>1670.0</v>
      </c>
      <c r="N2666" s="9">
        <v>0.0</v>
      </c>
      <c r="O2666" s="9">
        <v>450.0</v>
      </c>
      <c r="P2666" s="8" t="s">
        <v>3480</v>
      </c>
      <c r="Q2666" s="8" t="s">
        <v>5552</v>
      </c>
      <c r="R2666" s="8"/>
    </row>
    <row r="2667">
      <c r="A2667" s="8" t="s">
        <v>2982</v>
      </c>
      <c r="B2667" s="8" t="s">
        <v>15202</v>
      </c>
      <c r="C2667" s="8" t="s">
        <v>15203</v>
      </c>
      <c r="D2667" s="9">
        <v>9.657981318E9</v>
      </c>
      <c r="E2667" s="8" t="s">
        <v>15204</v>
      </c>
      <c r="F2667" s="8" t="s">
        <v>3809</v>
      </c>
      <c r="G2667" s="8" t="s">
        <v>15205</v>
      </c>
      <c r="H2667" s="8" t="s">
        <v>5186</v>
      </c>
      <c r="I2667" s="9">
        <v>0.0</v>
      </c>
      <c r="J2667" s="9">
        <v>1400.0</v>
      </c>
      <c r="K2667" s="9">
        <v>1449.0</v>
      </c>
      <c r="L2667" s="9">
        <v>1400.0</v>
      </c>
      <c r="M2667" s="9">
        <v>510.0</v>
      </c>
      <c r="N2667" s="9">
        <v>190.0</v>
      </c>
      <c r="O2667" s="9">
        <v>749.0</v>
      </c>
      <c r="P2667" s="8" t="s">
        <v>3519</v>
      </c>
      <c r="Q2667" s="8" t="s">
        <v>15206</v>
      </c>
      <c r="R2667" s="8" t="s">
        <v>15207</v>
      </c>
    </row>
    <row r="2668">
      <c r="A2668" s="8" t="s">
        <v>3006</v>
      </c>
      <c r="B2668" s="8" t="s">
        <v>15208</v>
      </c>
      <c r="C2668" s="8" t="s">
        <v>12859</v>
      </c>
      <c r="D2668" s="9">
        <v>8.788070392E9</v>
      </c>
      <c r="E2668" s="8" t="s">
        <v>12860</v>
      </c>
      <c r="F2668" s="8" t="s">
        <v>3608</v>
      </c>
      <c r="G2668" s="8" t="s">
        <v>15209</v>
      </c>
      <c r="H2668" s="8" t="s">
        <v>3479</v>
      </c>
      <c r="I2668" s="9">
        <v>0.0</v>
      </c>
      <c r="J2668" s="9">
        <v>1453.0</v>
      </c>
      <c r="K2668" s="9">
        <v>1453.0</v>
      </c>
      <c r="L2668" s="9">
        <v>1453.0</v>
      </c>
      <c r="M2668" s="9">
        <v>274.0</v>
      </c>
      <c r="N2668" s="9">
        <v>730.0</v>
      </c>
      <c r="O2668" s="9">
        <v>449.0</v>
      </c>
      <c r="P2668" s="8" t="s">
        <v>3544</v>
      </c>
      <c r="Q2668" s="8" t="s">
        <v>12862</v>
      </c>
      <c r="R2668" s="8" t="s">
        <v>12863</v>
      </c>
    </row>
    <row r="2669">
      <c r="A2669" s="8" t="s">
        <v>2965</v>
      </c>
      <c r="B2669" s="8" t="s">
        <v>15210</v>
      </c>
      <c r="C2669" s="8" t="s">
        <v>15211</v>
      </c>
      <c r="D2669" s="9">
        <v>9.494956398E9</v>
      </c>
      <c r="E2669" s="8" t="s">
        <v>15212</v>
      </c>
      <c r="F2669" s="8" t="s">
        <v>6253</v>
      </c>
      <c r="G2669" s="8" t="s">
        <v>15213</v>
      </c>
      <c r="H2669" s="8" t="s">
        <v>3479</v>
      </c>
      <c r="I2669" s="9">
        <v>0.0</v>
      </c>
      <c r="J2669" s="9">
        <v>2049.0</v>
      </c>
      <c r="K2669" s="9">
        <v>2049.0</v>
      </c>
      <c r="L2669" s="9">
        <v>2049.0</v>
      </c>
      <c r="M2669" s="9">
        <v>1600.0</v>
      </c>
      <c r="N2669" s="9">
        <v>0.0</v>
      </c>
      <c r="O2669" s="9">
        <v>449.0</v>
      </c>
      <c r="P2669" s="8" t="s">
        <v>3544</v>
      </c>
      <c r="Q2669" s="8" t="s">
        <v>15214</v>
      </c>
      <c r="R2669" s="8" t="s">
        <v>15215</v>
      </c>
    </row>
    <row r="2670">
      <c r="A2670" s="8" t="s">
        <v>2966</v>
      </c>
      <c r="B2670" s="8" t="s">
        <v>15216</v>
      </c>
      <c r="C2670" s="8" t="s">
        <v>15217</v>
      </c>
      <c r="D2670" s="9">
        <v>9.284775223E9</v>
      </c>
      <c r="E2670" s="8" t="s">
        <v>15218</v>
      </c>
      <c r="F2670" s="8" t="s">
        <v>4252</v>
      </c>
      <c r="G2670" s="8" t="s">
        <v>15219</v>
      </c>
      <c r="H2670" s="8" t="s">
        <v>3479</v>
      </c>
      <c r="I2670" s="9">
        <v>0.0</v>
      </c>
      <c r="J2670" s="9">
        <v>3467.0</v>
      </c>
      <c r="K2670" s="9">
        <v>3467.0</v>
      </c>
      <c r="L2670" s="9">
        <v>3467.0</v>
      </c>
      <c r="M2670" s="9">
        <v>1708.0</v>
      </c>
      <c r="N2670" s="9">
        <v>900.0</v>
      </c>
      <c r="O2670" s="9">
        <v>859.0</v>
      </c>
      <c r="P2670" s="8" t="s">
        <v>3544</v>
      </c>
      <c r="Q2670" s="8" t="s">
        <v>15220</v>
      </c>
      <c r="R2670" s="8" t="s">
        <v>15221</v>
      </c>
    </row>
    <row r="2671">
      <c r="A2671" s="8" t="s">
        <v>2995</v>
      </c>
      <c r="B2671" s="8" t="s">
        <v>15222</v>
      </c>
      <c r="C2671" s="8" t="s">
        <v>15223</v>
      </c>
      <c r="D2671" s="9">
        <v>9.579465253E9</v>
      </c>
      <c r="E2671" s="8" t="s">
        <v>15224</v>
      </c>
      <c r="F2671" s="8" t="s">
        <v>4112</v>
      </c>
      <c r="G2671" s="8" t="s">
        <v>15225</v>
      </c>
      <c r="H2671" s="8" t="s">
        <v>3479</v>
      </c>
      <c r="I2671" s="9">
        <v>0.0</v>
      </c>
      <c r="J2671" s="9">
        <v>939.0</v>
      </c>
      <c r="K2671" s="9">
        <v>939.0</v>
      </c>
      <c r="L2671" s="9">
        <v>939.0</v>
      </c>
      <c r="M2671" s="9">
        <v>0.0</v>
      </c>
      <c r="N2671" s="9">
        <v>190.0</v>
      </c>
      <c r="O2671" s="9">
        <v>749.0</v>
      </c>
      <c r="P2671" s="8" t="s">
        <v>3480</v>
      </c>
      <c r="Q2671" s="8"/>
      <c r="R2671" s="8"/>
    </row>
    <row r="2672">
      <c r="A2672" s="8" t="s">
        <v>2996</v>
      </c>
      <c r="B2672" s="8" t="s">
        <v>15226</v>
      </c>
      <c r="C2672" s="8" t="s">
        <v>6185</v>
      </c>
      <c r="D2672" s="9">
        <v>7.620570902E9</v>
      </c>
      <c r="E2672" s="8" t="s">
        <v>6186</v>
      </c>
      <c r="F2672" s="8" t="s">
        <v>5613</v>
      </c>
      <c r="G2672" s="8" t="s">
        <v>15227</v>
      </c>
      <c r="H2672" s="8" t="s">
        <v>3479</v>
      </c>
      <c r="I2672" s="9">
        <v>0.0</v>
      </c>
      <c r="J2672" s="9">
        <v>2178.0</v>
      </c>
      <c r="K2672" s="9">
        <v>2178.0</v>
      </c>
      <c r="L2672" s="9">
        <v>2178.0</v>
      </c>
      <c r="M2672" s="9">
        <v>2178.0</v>
      </c>
      <c r="N2672" s="9">
        <v>0.0</v>
      </c>
      <c r="O2672" s="9">
        <v>0.0</v>
      </c>
      <c r="P2672" s="8" t="s">
        <v>3480</v>
      </c>
      <c r="Q2672" s="8" t="s">
        <v>6188</v>
      </c>
      <c r="R2672" s="8" t="s">
        <v>6189</v>
      </c>
    </row>
    <row r="2673">
      <c r="A2673" s="8" t="s">
        <v>2997</v>
      </c>
      <c r="B2673" s="8" t="s">
        <v>15228</v>
      </c>
      <c r="C2673" s="8" t="s">
        <v>4720</v>
      </c>
      <c r="D2673" s="9">
        <v>9.096460485E9</v>
      </c>
      <c r="E2673" s="8" t="s">
        <v>11123</v>
      </c>
      <c r="F2673" s="8" t="s">
        <v>3589</v>
      </c>
      <c r="G2673" s="8" t="s">
        <v>15229</v>
      </c>
      <c r="H2673" s="8" t="s">
        <v>3479</v>
      </c>
      <c r="I2673" s="9">
        <v>0.0</v>
      </c>
      <c r="J2673" s="9">
        <v>1953.0</v>
      </c>
      <c r="K2673" s="9">
        <v>1953.0</v>
      </c>
      <c r="L2673" s="9">
        <v>1953.0</v>
      </c>
      <c r="M2673" s="9">
        <v>690.0</v>
      </c>
      <c r="N2673" s="9">
        <v>739.0</v>
      </c>
      <c r="O2673" s="9">
        <v>524.0</v>
      </c>
      <c r="P2673" s="8" t="s">
        <v>3480</v>
      </c>
      <c r="Q2673" s="8" t="s">
        <v>11125</v>
      </c>
      <c r="R2673" s="8" t="s">
        <v>11126</v>
      </c>
    </row>
    <row r="2674">
      <c r="A2674" s="8" t="s">
        <v>2998</v>
      </c>
      <c r="B2674" s="8" t="s">
        <v>15230</v>
      </c>
      <c r="C2674" s="8" t="s">
        <v>15231</v>
      </c>
      <c r="D2674" s="9">
        <v>7.006212934E9</v>
      </c>
      <c r="E2674" s="8" t="s">
        <v>15232</v>
      </c>
      <c r="F2674" s="8" t="s">
        <v>15233</v>
      </c>
      <c r="G2674" s="8" t="s">
        <v>15234</v>
      </c>
      <c r="H2674" s="8" t="s">
        <v>3479</v>
      </c>
      <c r="I2674" s="9">
        <v>0.0</v>
      </c>
      <c r="J2674" s="9">
        <v>2868.0</v>
      </c>
      <c r="K2674" s="9">
        <v>2868.0</v>
      </c>
      <c r="L2674" s="9">
        <v>2868.0</v>
      </c>
      <c r="M2674" s="9">
        <v>980.0</v>
      </c>
      <c r="N2674" s="9">
        <v>964.0</v>
      </c>
      <c r="O2674" s="9">
        <v>924.0</v>
      </c>
      <c r="P2674" s="8" t="s">
        <v>3519</v>
      </c>
      <c r="Q2674" s="8" t="s">
        <v>15235</v>
      </c>
      <c r="R2674" s="8" t="s">
        <v>15236</v>
      </c>
    </row>
    <row r="2675">
      <c r="A2675" s="8" t="s">
        <v>2999</v>
      </c>
      <c r="B2675" s="8" t="s">
        <v>15237</v>
      </c>
      <c r="C2675" s="8" t="s">
        <v>12134</v>
      </c>
      <c r="D2675" s="9">
        <v>9.766580833E9</v>
      </c>
      <c r="E2675" s="8" t="s">
        <v>12135</v>
      </c>
      <c r="F2675" s="8" t="s">
        <v>5025</v>
      </c>
      <c r="G2675" s="8" t="s">
        <v>15238</v>
      </c>
      <c r="H2675" s="8" t="s">
        <v>3479</v>
      </c>
      <c r="I2675" s="9">
        <v>0.0</v>
      </c>
      <c r="J2675" s="9">
        <v>2115.0</v>
      </c>
      <c r="K2675" s="9">
        <v>2115.0</v>
      </c>
      <c r="L2675" s="9">
        <v>2115.0</v>
      </c>
      <c r="M2675" s="9">
        <v>571.0</v>
      </c>
      <c r="N2675" s="9">
        <v>620.0</v>
      </c>
      <c r="O2675" s="9">
        <v>924.0</v>
      </c>
      <c r="P2675" s="8" t="s">
        <v>3480</v>
      </c>
      <c r="Q2675" s="8" t="s">
        <v>12137</v>
      </c>
      <c r="R2675" s="8" t="s">
        <v>12138</v>
      </c>
    </row>
    <row r="2676">
      <c r="A2676" s="8" t="s">
        <v>3000</v>
      </c>
      <c r="B2676" s="8" t="s">
        <v>15239</v>
      </c>
      <c r="C2676" s="8" t="s">
        <v>15240</v>
      </c>
      <c r="D2676" s="9">
        <v>8.080514184E9</v>
      </c>
      <c r="E2676" s="8" t="s">
        <v>15241</v>
      </c>
      <c r="F2676" s="8" t="s">
        <v>3576</v>
      </c>
      <c r="G2676" s="8" t="s">
        <v>15242</v>
      </c>
      <c r="H2676" s="8" t="s">
        <v>3479</v>
      </c>
      <c r="I2676" s="9">
        <v>0.0</v>
      </c>
      <c r="J2676" s="9">
        <v>2860.0</v>
      </c>
      <c r="K2676" s="9">
        <v>2860.0</v>
      </c>
      <c r="L2676" s="9">
        <v>2860.0</v>
      </c>
      <c r="M2676" s="9">
        <v>1361.0</v>
      </c>
      <c r="N2676" s="9">
        <v>900.0</v>
      </c>
      <c r="O2676" s="9">
        <v>599.0</v>
      </c>
      <c r="P2676" s="8" t="s">
        <v>3480</v>
      </c>
      <c r="Q2676" s="8" t="s">
        <v>15243</v>
      </c>
      <c r="R2676" s="8" t="s">
        <v>15244</v>
      </c>
    </row>
    <row r="2677">
      <c r="A2677" s="8" t="s">
        <v>3007</v>
      </c>
      <c r="B2677" s="8" t="s">
        <v>15245</v>
      </c>
      <c r="C2677" s="8" t="s">
        <v>15246</v>
      </c>
      <c r="D2677" s="9">
        <v>9.604176677E9</v>
      </c>
      <c r="E2677" s="8" t="s">
        <v>15247</v>
      </c>
      <c r="F2677" s="8" t="s">
        <v>3959</v>
      </c>
      <c r="G2677" s="8" t="s">
        <v>15248</v>
      </c>
      <c r="H2677" s="8" t="s">
        <v>3479</v>
      </c>
      <c r="I2677" s="9">
        <v>0.0</v>
      </c>
      <c r="J2677" s="9">
        <v>2724.0</v>
      </c>
      <c r="K2677" s="9">
        <v>2724.0</v>
      </c>
      <c r="L2677" s="9">
        <v>2724.0</v>
      </c>
      <c r="M2677" s="9">
        <v>1425.0</v>
      </c>
      <c r="N2677" s="9">
        <v>770.0</v>
      </c>
      <c r="O2677" s="9">
        <v>529.0</v>
      </c>
      <c r="P2677" s="8" t="s">
        <v>3480</v>
      </c>
      <c r="Q2677" s="8"/>
      <c r="R2677" s="8"/>
    </row>
    <row r="2678">
      <c r="A2678" s="8" t="s">
        <v>2942</v>
      </c>
      <c r="B2678" s="8" t="s">
        <v>15249</v>
      </c>
      <c r="C2678" s="8" t="s">
        <v>6049</v>
      </c>
      <c r="D2678" s="9">
        <v>9.975626301E9</v>
      </c>
      <c r="E2678" s="8" t="s">
        <v>6050</v>
      </c>
      <c r="F2678" s="8" t="s">
        <v>3908</v>
      </c>
      <c r="G2678" s="8" t="s">
        <v>15250</v>
      </c>
      <c r="H2678" s="8" t="s">
        <v>3479</v>
      </c>
      <c r="I2678" s="9">
        <v>0.0</v>
      </c>
      <c r="J2678" s="9">
        <v>3700.0</v>
      </c>
      <c r="K2678" s="9">
        <v>3700.0</v>
      </c>
      <c r="L2678" s="9">
        <v>3700.0</v>
      </c>
      <c r="M2678" s="9">
        <v>3600.0</v>
      </c>
      <c r="N2678" s="9">
        <v>0.0</v>
      </c>
      <c r="O2678" s="9">
        <v>100.0</v>
      </c>
      <c r="P2678" s="8" t="s">
        <v>3480</v>
      </c>
      <c r="Q2678" s="8" t="s">
        <v>6052</v>
      </c>
      <c r="R2678" s="8" t="s">
        <v>6053</v>
      </c>
    </row>
    <row r="2679">
      <c r="A2679" s="8" t="s">
        <v>2967</v>
      </c>
      <c r="B2679" s="8" t="s">
        <v>15251</v>
      </c>
      <c r="C2679" s="8" t="s">
        <v>12778</v>
      </c>
      <c r="D2679" s="9">
        <v>8.605544154E9</v>
      </c>
      <c r="E2679" s="8" t="s">
        <v>12779</v>
      </c>
      <c r="F2679" s="8" t="s">
        <v>5447</v>
      </c>
      <c r="G2679" s="8" t="s">
        <v>15252</v>
      </c>
      <c r="H2679" s="8" t="s">
        <v>3479</v>
      </c>
      <c r="I2679" s="9">
        <v>0.0</v>
      </c>
      <c r="J2679" s="9">
        <v>1538.0</v>
      </c>
      <c r="K2679" s="9">
        <v>1538.0</v>
      </c>
      <c r="L2679" s="9">
        <v>1538.0</v>
      </c>
      <c r="M2679" s="9">
        <v>315.0</v>
      </c>
      <c r="N2679" s="9">
        <v>774.0</v>
      </c>
      <c r="O2679" s="9">
        <v>449.0</v>
      </c>
      <c r="P2679" s="8" t="s">
        <v>3480</v>
      </c>
      <c r="Q2679" s="8"/>
      <c r="R2679" s="8"/>
    </row>
    <row r="2680">
      <c r="A2680" s="8" t="s">
        <v>2968</v>
      </c>
      <c r="B2680" s="8" t="s">
        <v>15253</v>
      </c>
      <c r="C2680" s="8" t="s">
        <v>11618</v>
      </c>
      <c r="D2680" s="9">
        <v>9.727754606E9</v>
      </c>
      <c r="E2680" s="8" t="s">
        <v>11619</v>
      </c>
      <c r="F2680" s="8" t="s">
        <v>6118</v>
      </c>
      <c r="G2680" s="8" t="s">
        <v>15254</v>
      </c>
      <c r="H2680" s="8" t="s">
        <v>3479</v>
      </c>
      <c r="I2680" s="9">
        <v>0.0</v>
      </c>
      <c r="J2680" s="9">
        <v>1368.0</v>
      </c>
      <c r="K2680" s="9">
        <v>1368.0</v>
      </c>
      <c r="L2680" s="9">
        <v>1368.0</v>
      </c>
      <c r="M2680" s="9">
        <v>180.0</v>
      </c>
      <c r="N2680" s="9">
        <v>739.0</v>
      </c>
      <c r="O2680" s="9">
        <v>449.0</v>
      </c>
      <c r="P2680" s="8" t="s">
        <v>3480</v>
      </c>
      <c r="Q2680" s="8" t="s">
        <v>11621</v>
      </c>
      <c r="R2680" s="8"/>
    </row>
    <row r="2681">
      <c r="A2681" s="8" t="s">
        <v>2970</v>
      </c>
      <c r="B2681" s="8" t="s">
        <v>15255</v>
      </c>
      <c r="C2681" s="8" t="s">
        <v>7928</v>
      </c>
      <c r="D2681" s="9">
        <v>9.096161717E9</v>
      </c>
      <c r="E2681" s="8" t="s">
        <v>7929</v>
      </c>
      <c r="F2681" s="8" t="s">
        <v>3523</v>
      </c>
      <c r="G2681" s="8" t="s">
        <v>7930</v>
      </c>
      <c r="H2681" s="8" t="s">
        <v>3479</v>
      </c>
      <c r="I2681" s="9">
        <v>0.0</v>
      </c>
      <c r="J2681" s="9">
        <v>2874.0</v>
      </c>
      <c r="K2681" s="9">
        <v>2874.0</v>
      </c>
      <c r="L2681" s="9">
        <v>2874.0</v>
      </c>
      <c r="M2681" s="9">
        <v>1356.0</v>
      </c>
      <c r="N2681" s="9">
        <v>739.0</v>
      </c>
      <c r="O2681" s="9">
        <v>779.0</v>
      </c>
      <c r="P2681" s="8" t="s">
        <v>3480</v>
      </c>
      <c r="Q2681" s="8"/>
      <c r="R2681" s="8"/>
    </row>
    <row r="2682">
      <c r="A2682" s="8" t="s">
        <v>2943</v>
      </c>
      <c r="B2682" s="8" t="s">
        <v>15256</v>
      </c>
      <c r="C2682" s="8" t="s">
        <v>5353</v>
      </c>
      <c r="D2682" s="9">
        <v>9.9239769E9</v>
      </c>
      <c r="E2682" s="8" t="s">
        <v>5354</v>
      </c>
      <c r="F2682" s="8" t="s">
        <v>3707</v>
      </c>
      <c r="G2682" s="8" t="s">
        <v>15257</v>
      </c>
      <c r="H2682" s="8" t="s">
        <v>3479</v>
      </c>
      <c r="I2682" s="9">
        <v>0.0</v>
      </c>
      <c r="J2682" s="9">
        <v>2350.0</v>
      </c>
      <c r="K2682" s="9">
        <v>2350.0</v>
      </c>
      <c r="L2682" s="9">
        <v>2350.0</v>
      </c>
      <c r="M2682" s="9">
        <v>2350.0</v>
      </c>
      <c r="N2682" s="9">
        <v>0.0</v>
      </c>
      <c r="O2682" s="9">
        <v>0.0</v>
      </c>
      <c r="P2682" s="8" t="s">
        <v>3480</v>
      </c>
      <c r="Q2682" s="8" t="s">
        <v>5356</v>
      </c>
      <c r="R2682" s="8"/>
    </row>
    <row r="2683">
      <c r="A2683" s="8" t="s">
        <v>2971</v>
      </c>
      <c r="B2683" s="8" t="s">
        <v>15258</v>
      </c>
      <c r="C2683" s="8" t="s">
        <v>15259</v>
      </c>
      <c r="D2683" s="9">
        <v>9.482941207E9</v>
      </c>
      <c r="E2683" s="8" t="s">
        <v>15260</v>
      </c>
      <c r="F2683" s="8" t="s">
        <v>3721</v>
      </c>
      <c r="G2683" s="8" t="s">
        <v>15261</v>
      </c>
      <c r="H2683" s="8" t="s">
        <v>3479</v>
      </c>
      <c r="I2683" s="9">
        <v>0.0</v>
      </c>
      <c r="J2683" s="9">
        <v>4893.0</v>
      </c>
      <c r="K2683" s="9">
        <v>4893.0</v>
      </c>
      <c r="L2683" s="9">
        <v>4893.0</v>
      </c>
      <c r="M2683" s="9">
        <v>3630.0</v>
      </c>
      <c r="N2683" s="9">
        <v>739.0</v>
      </c>
      <c r="O2683" s="9">
        <v>524.0</v>
      </c>
      <c r="P2683" s="8" t="s">
        <v>3480</v>
      </c>
      <c r="Q2683" s="8"/>
      <c r="R2683" s="8"/>
    </row>
    <row r="2684">
      <c r="A2684" s="8" t="s">
        <v>2944</v>
      </c>
      <c r="B2684" s="8" t="s">
        <v>15262</v>
      </c>
      <c r="C2684" s="8" t="s">
        <v>14249</v>
      </c>
      <c r="D2684" s="9">
        <v>6.388335225E9</v>
      </c>
      <c r="E2684" s="8" t="s">
        <v>14250</v>
      </c>
      <c r="F2684" s="8" t="s">
        <v>3653</v>
      </c>
      <c r="G2684" s="8" t="s">
        <v>15263</v>
      </c>
      <c r="H2684" s="8" t="s">
        <v>3479</v>
      </c>
      <c r="I2684" s="9">
        <v>0.0</v>
      </c>
      <c r="J2684" s="9">
        <v>1909.0</v>
      </c>
      <c r="K2684" s="9">
        <v>1909.0</v>
      </c>
      <c r="L2684" s="9">
        <v>1909.0</v>
      </c>
      <c r="M2684" s="9">
        <v>685.0</v>
      </c>
      <c r="N2684" s="9">
        <v>775.0</v>
      </c>
      <c r="O2684" s="9">
        <v>449.0</v>
      </c>
      <c r="P2684" s="8" t="s">
        <v>3480</v>
      </c>
      <c r="Q2684" s="8" t="s">
        <v>14252</v>
      </c>
      <c r="R2684" s="8" t="s">
        <v>14253</v>
      </c>
    </row>
    <row r="2685">
      <c r="A2685" s="8" t="s">
        <v>2945</v>
      </c>
      <c r="B2685" s="8" t="s">
        <v>15264</v>
      </c>
      <c r="C2685" s="8" t="s">
        <v>5759</v>
      </c>
      <c r="D2685" s="9">
        <v>9.664976023E9</v>
      </c>
      <c r="E2685" s="8" t="s">
        <v>14323</v>
      </c>
      <c r="F2685" s="8" t="s">
        <v>4454</v>
      </c>
      <c r="G2685" s="8" t="s">
        <v>15265</v>
      </c>
      <c r="H2685" s="8" t="s">
        <v>3479</v>
      </c>
      <c r="I2685" s="9">
        <v>0.0</v>
      </c>
      <c r="J2685" s="9">
        <v>1278.0</v>
      </c>
      <c r="K2685" s="9">
        <v>1278.0</v>
      </c>
      <c r="L2685" s="9">
        <v>1278.0</v>
      </c>
      <c r="M2685" s="9">
        <v>90.0</v>
      </c>
      <c r="N2685" s="9">
        <v>739.0</v>
      </c>
      <c r="O2685" s="9">
        <v>449.0</v>
      </c>
      <c r="P2685" s="8" t="s">
        <v>3480</v>
      </c>
      <c r="Q2685" s="8" t="s">
        <v>14325</v>
      </c>
      <c r="R2685" s="8" t="s">
        <v>14326</v>
      </c>
    </row>
    <row r="2686">
      <c r="A2686" s="8" t="s">
        <v>3008</v>
      </c>
      <c r="B2686" s="8" t="s">
        <v>15266</v>
      </c>
      <c r="C2686" s="8" t="s">
        <v>5001</v>
      </c>
      <c r="D2686" s="9">
        <v>9.850079713E9</v>
      </c>
      <c r="E2686" s="8" t="s">
        <v>7917</v>
      </c>
      <c r="F2686" s="8" t="s">
        <v>3486</v>
      </c>
      <c r="G2686" s="8" t="s">
        <v>15267</v>
      </c>
      <c r="H2686" s="8" t="s">
        <v>3479</v>
      </c>
      <c r="I2686" s="9">
        <v>0.0</v>
      </c>
      <c r="J2686" s="9">
        <v>2528.0</v>
      </c>
      <c r="K2686" s="9">
        <v>2528.0</v>
      </c>
      <c r="L2686" s="9">
        <v>2528.0</v>
      </c>
      <c r="M2686" s="9">
        <v>1340.0</v>
      </c>
      <c r="N2686" s="9">
        <v>739.0</v>
      </c>
      <c r="O2686" s="9">
        <v>449.0</v>
      </c>
      <c r="P2686" s="8" t="s">
        <v>3480</v>
      </c>
      <c r="Q2686" s="8"/>
      <c r="R2686" s="8"/>
    </row>
    <row r="2687">
      <c r="A2687" s="8" t="s">
        <v>1521</v>
      </c>
      <c r="B2687" s="8" t="s">
        <v>15268</v>
      </c>
      <c r="C2687" s="8" t="s">
        <v>12276</v>
      </c>
      <c r="D2687" s="9">
        <v>8.69812478E9</v>
      </c>
      <c r="E2687" s="8" t="s">
        <v>12277</v>
      </c>
      <c r="F2687" s="8" t="s">
        <v>4252</v>
      </c>
      <c r="G2687" s="8" t="s">
        <v>15269</v>
      </c>
      <c r="H2687" s="8" t="s">
        <v>3479</v>
      </c>
      <c r="I2687" s="9">
        <v>0.0</v>
      </c>
      <c r="J2687" s="9">
        <v>2019.0</v>
      </c>
      <c r="K2687" s="9">
        <v>2019.0</v>
      </c>
      <c r="L2687" s="9">
        <v>2019.0</v>
      </c>
      <c r="M2687" s="9">
        <v>261.0</v>
      </c>
      <c r="N2687" s="9">
        <v>984.0</v>
      </c>
      <c r="O2687" s="9">
        <v>774.0</v>
      </c>
      <c r="P2687" s="8" t="s">
        <v>3480</v>
      </c>
      <c r="Q2687" s="8" t="s">
        <v>12279</v>
      </c>
      <c r="R2687" s="8" t="s">
        <v>12280</v>
      </c>
    </row>
    <row r="2688">
      <c r="A2688" s="8" t="s">
        <v>1393</v>
      </c>
      <c r="B2688" s="8" t="s">
        <v>15270</v>
      </c>
      <c r="C2688" s="8" t="s">
        <v>3919</v>
      </c>
      <c r="D2688" s="9">
        <v>8.208424628E9</v>
      </c>
      <c r="E2688" s="8" t="s">
        <v>3920</v>
      </c>
      <c r="F2688" s="8" t="s">
        <v>3921</v>
      </c>
      <c r="G2688" s="8" t="s">
        <v>15271</v>
      </c>
      <c r="H2688" s="8" t="s">
        <v>3479</v>
      </c>
      <c r="I2688" s="9">
        <v>0.0</v>
      </c>
      <c r="J2688" s="9">
        <v>1214.0</v>
      </c>
      <c r="K2688" s="9">
        <v>1214.0</v>
      </c>
      <c r="L2688" s="9">
        <v>1214.0</v>
      </c>
      <c r="M2688" s="9">
        <v>275.0</v>
      </c>
      <c r="N2688" s="9">
        <v>190.0</v>
      </c>
      <c r="O2688" s="9">
        <v>749.0</v>
      </c>
      <c r="P2688" s="8" t="s">
        <v>3480</v>
      </c>
      <c r="Q2688" s="8" t="s">
        <v>3923</v>
      </c>
      <c r="R2688" s="8" t="s">
        <v>3924</v>
      </c>
    </row>
    <row r="2689">
      <c r="A2689" s="8" t="s">
        <v>1394</v>
      </c>
      <c r="B2689" s="8" t="s">
        <v>15272</v>
      </c>
      <c r="C2689" s="8" t="s">
        <v>9105</v>
      </c>
      <c r="D2689" s="9">
        <v>9.175815712E9</v>
      </c>
      <c r="E2689" s="8" t="s">
        <v>15273</v>
      </c>
      <c r="F2689" s="8" t="s">
        <v>3721</v>
      </c>
      <c r="G2689" s="8" t="s">
        <v>15274</v>
      </c>
      <c r="H2689" s="8" t="s">
        <v>3479</v>
      </c>
      <c r="I2689" s="9">
        <v>0.0</v>
      </c>
      <c r="J2689" s="9">
        <v>2488.0</v>
      </c>
      <c r="K2689" s="9">
        <v>2488.0</v>
      </c>
      <c r="L2689" s="9">
        <v>2488.0</v>
      </c>
      <c r="M2689" s="9">
        <v>1225.0</v>
      </c>
      <c r="N2689" s="9">
        <v>739.0</v>
      </c>
      <c r="O2689" s="9">
        <v>524.0</v>
      </c>
      <c r="P2689" s="8" t="s">
        <v>3480</v>
      </c>
      <c r="Q2689" s="8"/>
      <c r="R2689" s="8"/>
    </row>
    <row r="2690">
      <c r="A2690" s="8" t="s">
        <v>2992</v>
      </c>
      <c r="B2690" s="8" t="s">
        <v>15275</v>
      </c>
      <c r="C2690" s="8" t="s">
        <v>5320</v>
      </c>
      <c r="D2690" s="9">
        <v>7.798186982E9</v>
      </c>
      <c r="E2690" s="8" t="s">
        <v>14330</v>
      </c>
      <c r="F2690" s="8" t="s">
        <v>3977</v>
      </c>
      <c r="G2690" s="8" t="s">
        <v>15276</v>
      </c>
      <c r="H2690" s="8" t="s">
        <v>3479</v>
      </c>
      <c r="I2690" s="9">
        <v>0.0</v>
      </c>
      <c r="J2690" s="9">
        <v>2408.0</v>
      </c>
      <c r="K2690" s="9">
        <v>2408.0</v>
      </c>
      <c r="L2690" s="9">
        <v>2408.0</v>
      </c>
      <c r="M2690" s="9">
        <v>429.0</v>
      </c>
      <c r="N2690" s="9">
        <v>780.0</v>
      </c>
      <c r="O2690" s="9">
        <v>1199.0</v>
      </c>
      <c r="P2690" s="8" t="s">
        <v>3480</v>
      </c>
      <c r="Q2690" s="8" t="s">
        <v>14332</v>
      </c>
      <c r="R2690" s="8"/>
    </row>
    <row r="2691">
      <c r="A2691" s="8" t="s">
        <v>2946</v>
      </c>
      <c r="B2691" s="8" t="s">
        <v>15277</v>
      </c>
      <c r="C2691" s="8" t="s">
        <v>15278</v>
      </c>
      <c r="D2691" s="9">
        <v>7.410008484E9</v>
      </c>
      <c r="E2691" s="8" t="s">
        <v>15279</v>
      </c>
      <c r="F2691" s="8" t="s">
        <v>3901</v>
      </c>
      <c r="G2691" s="8" t="s">
        <v>15280</v>
      </c>
      <c r="H2691" s="8" t="s">
        <v>3479</v>
      </c>
      <c r="I2691" s="9">
        <v>0.0</v>
      </c>
      <c r="J2691" s="9">
        <v>2403.0</v>
      </c>
      <c r="K2691" s="9">
        <v>2403.0</v>
      </c>
      <c r="L2691" s="9">
        <v>2403.0</v>
      </c>
      <c r="M2691" s="9">
        <v>424.0</v>
      </c>
      <c r="N2691" s="9">
        <v>1380.0</v>
      </c>
      <c r="O2691" s="9">
        <v>599.0</v>
      </c>
      <c r="P2691" s="8" t="s">
        <v>3480</v>
      </c>
      <c r="Q2691" s="8"/>
      <c r="R2691" s="8"/>
    </row>
    <row r="2692">
      <c r="A2692" s="8" t="s">
        <v>1395</v>
      </c>
      <c r="B2692" s="8" t="s">
        <v>15281</v>
      </c>
      <c r="C2692" s="8" t="s">
        <v>9682</v>
      </c>
      <c r="D2692" s="9">
        <v>8.055960575E9</v>
      </c>
      <c r="E2692" s="8" t="s">
        <v>9683</v>
      </c>
      <c r="F2692" s="8" t="s">
        <v>4391</v>
      </c>
      <c r="G2692" s="8" t="s">
        <v>15282</v>
      </c>
      <c r="H2692" s="8" t="s">
        <v>3479</v>
      </c>
      <c r="I2692" s="9">
        <v>0.0</v>
      </c>
      <c r="J2692" s="9">
        <v>1268.0</v>
      </c>
      <c r="K2692" s="9">
        <v>1268.0</v>
      </c>
      <c r="L2692" s="9">
        <v>1268.0</v>
      </c>
      <c r="M2692" s="9">
        <v>80.0</v>
      </c>
      <c r="N2692" s="9">
        <v>739.0</v>
      </c>
      <c r="O2692" s="9">
        <v>449.0</v>
      </c>
      <c r="P2692" s="8" t="s">
        <v>3544</v>
      </c>
      <c r="Q2692" s="8"/>
      <c r="R2692" s="8"/>
    </row>
    <row r="2693">
      <c r="A2693" s="8" t="s">
        <v>1396</v>
      </c>
      <c r="B2693" s="8" t="s">
        <v>15283</v>
      </c>
      <c r="C2693" s="8" t="s">
        <v>15284</v>
      </c>
      <c r="D2693" s="9">
        <v>7.722076026E9</v>
      </c>
      <c r="E2693" s="8" t="s">
        <v>15285</v>
      </c>
      <c r="F2693" s="8" t="s">
        <v>3486</v>
      </c>
      <c r="G2693" s="8" t="s">
        <v>15286</v>
      </c>
      <c r="H2693" s="8" t="s">
        <v>3479</v>
      </c>
      <c r="I2693" s="9">
        <v>0.0</v>
      </c>
      <c r="J2693" s="9">
        <v>1268.0</v>
      </c>
      <c r="K2693" s="9">
        <v>1268.0</v>
      </c>
      <c r="L2693" s="9">
        <v>1268.0</v>
      </c>
      <c r="M2693" s="9">
        <v>80.0</v>
      </c>
      <c r="N2693" s="9">
        <v>739.0</v>
      </c>
      <c r="O2693" s="9">
        <v>449.0</v>
      </c>
      <c r="P2693" s="8" t="s">
        <v>3480</v>
      </c>
      <c r="Q2693" s="8"/>
      <c r="R2693" s="8"/>
    </row>
    <row r="2694">
      <c r="A2694" s="8" t="s">
        <v>2947</v>
      </c>
      <c r="B2694" s="8" t="s">
        <v>15287</v>
      </c>
      <c r="C2694" s="8" t="s">
        <v>15288</v>
      </c>
      <c r="D2694" s="9">
        <v>9.769358515E9</v>
      </c>
      <c r="E2694" s="8" t="s">
        <v>15289</v>
      </c>
      <c r="F2694" s="8" t="s">
        <v>4333</v>
      </c>
      <c r="G2694" s="8" t="s">
        <v>15290</v>
      </c>
      <c r="H2694" s="8" t="s">
        <v>3479</v>
      </c>
      <c r="I2694" s="9">
        <v>0.0</v>
      </c>
      <c r="J2694" s="9">
        <v>2529.0</v>
      </c>
      <c r="K2694" s="9">
        <v>2529.0</v>
      </c>
      <c r="L2694" s="9">
        <v>2529.0</v>
      </c>
      <c r="M2694" s="9">
        <v>80.0</v>
      </c>
      <c r="N2694" s="9">
        <v>900.0</v>
      </c>
      <c r="O2694" s="9">
        <v>1549.0</v>
      </c>
      <c r="P2694" s="8" t="s">
        <v>3480</v>
      </c>
      <c r="Q2694" s="8"/>
      <c r="R2694" s="8"/>
    </row>
    <row r="2695">
      <c r="A2695" s="8" t="s">
        <v>1397</v>
      </c>
      <c r="B2695" s="8" t="s">
        <v>15291</v>
      </c>
      <c r="C2695" s="8" t="s">
        <v>11545</v>
      </c>
      <c r="D2695" s="9">
        <v>9.405371391E9</v>
      </c>
      <c r="E2695" s="8" t="s">
        <v>11546</v>
      </c>
      <c r="F2695" s="8" t="s">
        <v>4792</v>
      </c>
      <c r="G2695" s="8" t="s">
        <v>15292</v>
      </c>
      <c r="H2695" s="8" t="s">
        <v>3479</v>
      </c>
      <c r="I2695" s="9">
        <v>0.0</v>
      </c>
      <c r="J2695" s="9">
        <v>2220.0</v>
      </c>
      <c r="K2695" s="9">
        <v>2220.0</v>
      </c>
      <c r="L2695" s="9">
        <v>2220.0</v>
      </c>
      <c r="M2695" s="9">
        <v>662.0</v>
      </c>
      <c r="N2695" s="9">
        <v>784.0</v>
      </c>
      <c r="O2695" s="9">
        <v>774.0</v>
      </c>
      <c r="P2695" s="8" t="s">
        <v>3544</v>
      </c>
      <c r="Q2695" s="8" t="s">
        <v>11548</v>
      </c>
      <c r="R2695" s="8" t="s">
        <v>11549</v>
      </c>
    </row>
    <row r="2696">
      <c r="A2696" s="8" t="s">
        <v>1398</v>
      </c>
      <c r="B2696" s="8" t="s">
        <v>15293</v>
      </c>
      <c r="C2696" s="8" t="s">
        <v>14437</v>
      </c>
      <c r="D2696" s="9">
        <v>8.605651344E9</v>
      </c>
      <c r="E2696" s="8" t="s">
        <v>14438</v>
      </c>
      <c r="F2696" s="8" t="s">
        <v>4252</v>
      </c>
      <c r="G2696" s="8" t="s">
        <v>15294</v>
      </c>
      <c r="H2696" s="8" t="s">
        <v>3479</v>
      </c>
      <c r="I2696" s="9">
        <v>0.0</v>
      </c>
      <c r="J2696" s="9">
        <v>1502.0</v>
      </c>
      <c r="K2696" s="9">
        <v>1502.0</v>
      </c>
      <c r="L2696" s="9">
        <v>1502.0</v>
      </c>
      <c r="M2696" s="9">
        <v>628.0</v>
      </c>
      <c r="N2696" s="9">
        <v>0.0</v>
      </c>
      <c r="O2696" s="9">
        <v>874.0</v>
      </c>
      <c r="P2696" s="8" t="s">
        <v>3544</v>
      </c>
      <c r="Q2696" s="8" t="s">
        <v>14440</v>
      </c>
      <c r="R2696" s="8" t="s">
        <v>14441</v>
      </c>
    </row>
    <row r="2697">
      <c r="A2697" s="8" t="s">
        <v>1399</v>
      </c>
      <c r="B2697" s="8" t="s">
        <v>15295</v>
      </c>
      <c r="C2697" s="8" t="s">
        <v>8746</v>
      </c>
      <c r="D2697" s="9">
        <v>9.665626256E9</v>
      </c>
      <c r="E2697" s="8" t="s">
        <v>8747</v>
      </c>
      <c r="F2697" s="8" t="s">
        <v>3564</v>
      </c>
      <c r="G2697" s="8" t="s">
        <v>3494</v>
      </c>
      <c r="H2697" s="8" t="s">
        <v>3479</v>
      </c>
      <c r="I2697" s="9">
        <v>0.0</v>
      </c>
      <c r="J2697" s="9">
        <v>939.0</v>
      </c>
      <c r="K2697" s="9">
        <v>939.0</v>
      </c>
      <c r="L2697" s="9">
        <v>939.0</v>
      </c>
      <c r="M2697" s="9">
        <v>0.0</v>
      </c>
      <c r="N2697" s="9">
        <v>190.0</v>
      </c>
      <c r="O2697" s="9">
        <v>749.0</v>
      </c>
      <c r="P2697" s="8" t="s">
        <v>3480</v>
      </c>
      <c r="Q2697" s="8" t="s">
        <v>8749</v>
      </c>
      <c r="R2697" s="8" t="s">
        <v>8750</v>
      </c>
    </row>
    <row r="2698">
      <c r="A2698" s="8" t="s">
        <v>1400</v>
      </c>
      <c r="B2698" s="8" t="s">
        <v>15296</v>
      </c>
      <c r="C2698" s="8" t="s">
        <v>10179</v>
      </c>
      <c r="D2698" s="9">
        <v>7.030962464E9</v>
      </c>
      <c r="E2698" s="8" t="s">
        <v>10180</v>
      </c>
      <c r="F2698" s="8" t="s">
        <v>5613</v>
      </c>
      <c r="G2698" s="8" t="s">
        <v>15297</v>
      </c>
      <c r="H2698" s="8" t="s">
        <v>3479</v>
      </c>
      <c r="I2698" s="9">
        <v>0.0</v>
      </c>
      <c r="J2698" s="9">
        <v>1150.0</v>
      </c>
      <c r="K2698" s="9">
        <v>1150.0</v>
      </c>
      <c r="L2698" s="9">
        <v>1150.0</v>
      </c>
      <c r="M2698" s="9">
        <v>1150.0</v>
      </c>
      <c r="N2698" s="9">
        <v>0.0</v>
      </c>
      <c r="O2698" s="9">
        <v>0.0</v>
      </c>
      <c r="P2698" s="8" t="s">
        <v>3480</v>
      </c>
      <c r="Q2698" s="8" t="s">
        <v>10182</v>
      </c>
      <c r="R2698" s="8" t="s">
        <v>10183</v>
      </c>
    </row>
    <row r="2699">
      <c r="A2699" s="8" t="s">
        <v>1401</v>
      </c>
      <c r="B2699" s="8" t="s">
        <v>15298</v>
      </c>
      <c r="C2699" s="8" t="s">
        <v>15299</v>
      </c>
      <c r="D2699" s="9">
        <v>9.822160112E9</v>
      </c>
      <c r="E2699" s="8" t="s">
        <v>15300</v>
      </c>
      <c r="F2699" s="8" t="s">
        <v>3721</v>
      </c>
      <c r="G2699" s="8" t="s">
        <v>15301</v>
      </c>
      <c r="H2699" s="8" t="s">
        <v>3479</v>
      </c>
      <c r="I2699" s="9">
        <v>0.0</v>
      </c>
      <c r="J2699" s="9">
        <v>1576.0</v>
      </c>
      <c r="K2699" s="9">
        <v>1576.0</v>
      </c>
      <c r="L2699" s="9">
        <v>1576.0</v>
      </c>
      <c r="M2699" s="9">
        <v>313.0</v>
      </c>
      <c r="N2699" s="9">
        <v>739.0</v>
      </c>
      <c r="O2699" s="9">
        <v>524.0</v>
      </c>
      <c r="P2699" s="8" t="s">
        <v>3480</v>
      </c>
      <c r="Q2699" s="8" t="s">
        <v>15302</v>
      </c>
      <c r="R2699" s="8" t="s">
        <v>15303</v>
      </c>
    </row>
    <row r="2700">
      <c r="A2700" s="8" t="s">
        <v>1402</v>
      </c>
      <c r="B2700" s="8" t="s">
        <v>15304</v>
      </c>
      <c r="C2700" s="8" t="s">
        <v>15305</v>
      </c>
      <c r="D2700" s="9">
        <v>9.975125481E9</v>
      </c>
      <c r="E2700" s="8" t="s">
        <v>15306</v>
      </c>
      <c r="F2700" s="8" t="s">
        <v>4373</v>
      </c>
      <c r="G2700" s="8" t="s">
        <v>4036</v>
      </c>
      <c r="H2700" s="8" t="s">
        <v>14500</v>
      </c>
      <c r="I2700" s="9">
        <v>0.0</v>
      </c>
      <c r="J2700" s="9">
        <v>1950.0</v>
      </c>
      <c r="K2700" s="9">
        <v>2005.0</v>
      </c>
      <c r="L2700" s="9">
        <v>1950.0</v>
      </c>
      <c r="M2700" s="9">
        <v>1765.0</v>
      </c>
      <c r="N2700" s="9">
        <v>65.0</v>
      </c>
      <c r="O2700" s="9">
        <v>175.0</v>
      </c>
      <c r="P2700" s="8" t="s">
        <v>3480</v>
      </c>
      <c r="Q2700" s="8"/>
      <c r="R2700" s="8"/>
    </row>
    <row r="2701">
      <c r="A2701" s="8" t="s">
        <v>2969</v>
      </c>
      <c r="B2701" s="8" t="s">
        <v>15307</v>
      </c>
      <c r="C2701" s="8" t="s">
        <v>15308</v>
      </c>
      <c r="D2701" s="9">
        <v>8.390643571E9</v>
      </c>
      <c r="E2701" s="8" t="s">
        <v>15309</v>
      </c>
      <c r="F2701" s="8" t="s">
        <v>3486</v>
      </c>
      <c r="G2701" s="8" t="s">
        <v>15310</v>
      </c>
      <c r="H2701" s="8" t="s">
        <v>15311</v>
      </c>
      <c r="I2701" s="9">
        <v>0.0</v>
      </c>
      <c r="J2701" s="9">
        <v>1500.0</v>
      </c>
      <c r="K2701" s="9">
        <v>1506.0</v>
      </c>
      <c r="L2701" s="9">
        <v>1500.0</v>
      </c>
      <c r="M2701" s="9">
        <v>318.0</v>
      </c>
      <c r="N2701" s="9">
        <v>739.0</v>
      </c>
      <c r="O2701" s="9">
        <v>449.0</v>
      </c>
      <c r="P2701" s="8" t="s">
        <v>3480</v>
      </c>
      <c r="Q2701" s="8" t="s">
        <v>15312</v>
      </c>
      <c r="R2701" s="8" t="s">
        <v>15313</v>
      </c>
    </row>
    <row r="2702">
      <c r="A2702" s="8" t="s">
        <v>1406</v>
      </c>
      <c r="B2702" s="8" t="s">
        <v>15314</v>
      </c>
      <c r="C2702" s="8" t="s">
        <v>15223</v>
      </c>
      <c r="D2702" s="9">
        <v>9.579465253E9</v>
      </c>
      <c r="E2702" s="8" t="s">
        <v>15224</v>
      </c>
      <c r="F2702" s="8" t="s">
        <v>4112</v>
      </c>
      <c r="G2702" s="8" t="s">
        <v>15315</v>
      </c>
      <c r="H2702" s="8" t="s">
        <v>3479</v>
      </c>
      <c r="I2702" s="9">
        <v>0.0</v>
      </c>
      <c r="J2702" s="9">
        <v>1090.0</v>
      </c>
      <c r="K2702" s="9">
        <v>1090.0</v>
      </c>
      <c r="L2702" s="9">
        <v>1090.0</v>
      </c>
      <c r="M2702" s="9">
        <v>1090.0</v>
      </c>
      <c r="N2702" s="9">
        <v>0.0</v>
      </c>
      <c r="O2702" s="9">
        <v>0.0</v>
      </c>
      <c r="P2702" s="8" t="s">
        <v>3480</v>
      </c>
      <c r="Q2702" s="8"/>
      <c r="R2702" s="8"/>
    </row>
    <row r="2703">
      <c r="A2703" s="8" t="s">
        <v>1408</v>
      </c>
      <c r="B2703" s="8" t="s">
        <v>15316</v>
      </c>
      <c r="C2703" s="8" t="s">
        <v>11006</v>
      </c>
      <c r="D2703" s="9">
        <v>7.062155658E9</v>
      </c>
      <c r="E2703" s="8" t="s">
        <v>11007</v>
      </c>
      <c r="F2703" s="8" t="s">
        <v>6455</v>
      </c>
      <c r="G2703" s="8" t="s">
        <v>15317</v>
      </c>
      <c r="H2703" s="8" t="s">
        <v>3479</v>
      </c>
      <c r="I2703" s="9">
        <v>0.0</v>
      </c>
      <c r="J2703" s="9">
        <v>1521.0</v>
      </c>
      <c r="K2703" s="9">
        <v>1521.0</v>
      </c>
      <c r="L2703" s="9">
        <v>1521.0</v>
      </c>
      <c r="M2703" s="9">
        <v>333.0</v>
      </c>
      <c r="N2703" s="9">
        <v>739.0</v>
      </c>
      <c r="O2703" s="9">
        <v>449.0</v>
      </c>
      <c r="P2703" s="8" t="s">
        <v>3480</v>
      </c>
      <c r="Q2703" s="8" t="s">
        <v>11009</v>
      </c>
      <c r="R2703" s="8" t="s">
        <v>11010</v>
      </c>
    </row>
    <row r="2704">
      <c r="A2704" s="8" t="s">
        <v>1409</v>
      </c>
      <c r="B2704" s="8" t="s">
        <v>15318</v>
      </c>
      <c r="C2704" s="8" t="s">
        <v>15319</v>
      </c>
      <c r="D2704" s="9">
        <v>7.676630408E9</v>
      </c>
      <c r="E2704" s="8" t="s">
        <v>15320</v>
      </c>
      <c r="F2704" s="8" t="s">
        <v>3589</v>
      </c>
      <c r="G2704" s="8" t="s">
        <v>15321</v>
      </c>
      <c r="H2704" s="8" t="s">
        <v>3479</v>
      </c>
      <c r="I2704" s="9">
        <v>0.0</v>
      </c>
      <c r="J2704" s="9">
        <v>1988.0</v>
      </c>
      <c r="K2704" s="9">
        <v>1988.0</v>
      </c>
      <c r="L2704" s="9">
        <v>1988.0</v>
      </c>
      <c r="M2704" s="9">
        <v>725.0</v>
      </c>
      <c r="N2704" s="9">
        <v>739.0</v>
      </c>
      <c r="O2704" s="9">
        <v>524.0</v>
      </c>
      <c r="P2704" s="8" t="s">
        <v>3480</v>
      </c>
      <c r="Q2704" s="8" t="s">
        <v>15322</v>
      </c>
      <c r="R2704" s="8" t="s">
        <v>15323</v>
      </c>
    </row>
    <row r="2705">
      <c r="A2705" s="8" t="s">
        <v>3001</v>
      </c>
      <c r="B2705" s="8" t="s">
        <v>15324</v>
      </c>
      <c r="C2705" s="8" t="s">
        <v>15325</v>
      </c>
      <c r="D2705" s="9">
        <v>9.403419364E9</v>
      </c>
      <c r="E2705" s="8" t="s">
        <v>15326</v>
      </c>
      <c r="F2705" s="8" t="s">
        <v>5421</v>
      </c>
      <c r="G2705" s="8" t="s">
        <v>15327</v>
      </c>
      <c r="H2705" s="8" t="s">
        <v>3479</v>
      </c>
      <c r="I2705" s="9">
        <v>0.0</v>
      </c>
      <c r="J2705" s="9">
        <v>3904.0</v>
      </c>
      <c r="K2705" s="9">
        <v>3904.0</v>
      </c>
      <c r="L2705" s="9">
        <v>3904.0</v>
      </c>
      <c r="M2705" s="9">
        <v>2716.0</v>
      </c>
      <c r="N2705" s="9">
        <v>739.0</v>
      </c>
      <c r="O2705" s="9">
        <v>449.0</v>
      </c>
      <c r="P2705" s="8" t="s">
        <v>3480</v>
      </c>
      <c r="Q2705" s="8"/>
      <c r="R2705" s="8"/>
    </row>
    <row r="2706">
      <c r="A2706" s="8" t="s">
        <v>1403</v>
      </c>
      <c r="B2706" s="8" t="s">
        <v>15328</v>
      </c>
      <c r="C2706" s="8" t="s">
        <v>4474</v>
      </c>
      <c r="D2706" s="9">
        <v>8.530252828E9</v>
      </c>
      <c r="E2706" s="8" t="s">
        <v>4475</v>
      </c>
      <c r="F2706" s="8" t="s">
        <v>3550</v>
      </c>
      <c r="G2706" s="8" t="s">
        <v>13436</v>
      </c>
      <c r="H2706" s="8" t="s">
        <v>3479</v>
      </c>
      <c r="I2706" s="9">
        <v>0.0</v>
      </c>
      <c r="J2706" s="9">
        <v>1563.0</v>
      </c>
      <c r="K2706" s="9">
        <v>1563.0</v>
      </c>
      <c r="L2706" s="9">
        <v>1563.0</v>
      </c>
      <c r="M2706" s="9">
        <v>375.0</v>
      </c>
      <c r="N2706" s="9">
        <v>739.0</v>
      </c>
      <c r="O2706" s="9">
        <v>449.0</v>
      </c>
      <c r="P2706" s="8" t="s">
        <v>3480</v>
      </c>
      <c r="Q2706" s="8" t="s">
        <v>4477</v>
      </c>
      <c r="R2706" s="8" t="s">
        <v>4478</v>
      </c>
    </row>
    <row r="2707">
      <c r="A2707" s="8" t="s">
        <v>1404</v>
      </c>
      <c r="B2707" s="8" t="s">
        <v>15329</v>
      </c>
      <c r="C2707" s="8" t="s">
        <v>3987</v>
      </c>
      <c r="D2707" s="9">
        <v>9.881212187E9</v>
      </c>
      <c r="E2707" s="8" t="s">
        <v>3988</v>
      </c>
      <c r="F2707" s="8" t="s">
        <v>3721</v>
      </c>
      <c r="G2707" s="8" t="s">
        <v>3989</v>
      </c>
      <c r="H2707" s="8" t="s">
        <v>3479</v>
      </c>
      <c r="I2707" s="9">
        <v>0.0</v>
      </c>
      <c r="J2707" s="9">
        <v>1349.0</v>
      </c>
      <c r="K2707" s="9">
        <v>1349.0</v>
      </c>
      <c r="L2707" s="9">
        <v>1349.0</v>
      </c>
      <c r="M2707" s="9">
        <v>1349.0</v>
      </c>
      <c r="N2707" s="9">
        <v>0.0</v>
      </c>
      <c r="O2707" s="9">
        <v>0.0</v>
      </c>
      <c r="P2707" s="8" t="s">
        <v>3544</v>
      </c>
      <c r="Q2707" s="8"/>
      <c r="R2707" s="8"/>
    </row>
    <row r="2708">
      <c r="A2708" s="8" t="s">
        <v>1405</v>
      </c>
      <c r="B2708" s="8" t="s">
        <v>15330</v>
      </c>
      <c r="C2708" s="8" t="s">
        <v>7556</v>
      </c>
      <c r="D2708" s="9">
        <v>9.850278965E9</v>
      </c>
      <c r="E2708" s="8" t="s">
        <v>7557</v>
      </c>
      <c r="F2708" s="8" t="s">
        <v>3809</v>
      </c>
      <c r="G2708" s="8" t="s">
        <v>15331</v>
      </c>
      <c r="H2708" s="8" t="s">
        <v>3479</v>
      </c>
      <c r="I2708" s="9">
        <v>0.0</v>
      </c>
      <c r="J2708" s="9">
        <v>1689.0</v>
      </c>
      <c r="K2708" s="9">
        <v>1689.0</v>
      </c>
      <c r="L2708" s="9">
        <v>1689.0</v>
      </c>
      <c r="M2708" s="9">
        <v>750.0</v>
      </c>
      <c r="N2708" s="9">
        <v>190.0</v>
      </c>
      <c r="O2708" s="9">
        <v>749.0</v>
      </c>
      <c r="P2708" s="8" t="s">
        <v>3519</v>
      </c>
      <c r="Q2708" s="8"/>
      <c r="R2708" s="8"/>
    </row>
    <row r="2709">
      <c r="A2709" s="8" t="s">
        <v>1407</v>
      </c>
      <c r="B2709" s="8" t="s">
        <v>15332</v>
      </c>
      <c r="C2709" s="8" t="s">
        <v>15333</v>
      </c>
      <c r="D2709" s="9">
        <v>8.209857827E9</v>
      </c>
      <c r="E2709" s="8" t="s">
        <v>15334</v>
      </c>
      <c r="F2709" s="8" t="s">
        <v>3589</v>
      </c>
      <c r="G2709" s="8" t="s">
        <v>15335</v>
      </c>
      <c r="H2709" s="8" t="s">
        <v>3479</v>
      </c>
      <c r="I2709" s="9">
        <v>0.0</v>
      </c>
      <c r="J2709" s="9">
        <v>5428.0</v>
      </c>
      <c r="K2709" s="9">
        <v>5428.0</v>
      </c>
      <c r="L2709" s="9">
        <v>5428.0</v>
      </c>
      <c r="M2709" s="9">
        <v>3915.0</v>
      </c>
      <c r="N2709" s="9">
        <v>739.0</v>
      </c>
      <c r="O2709" s="9">
        <v>774.0</v>
      </c>
      <c r="P2709" s="8" t="s">
        <v>3480</v>
      </c>
      <c r="Q2709" s="8"/>
      <c r="R2709" s="8"/>
    </row>
    <row r="2710">
      <c r="A2710" s="8" t="s">
        <v>972</v>
      </c>
      <c r="B2710" s="8" t="s">
        <v>15336</v>
      </c>
      <c r="C2710" s="8" t="s">
        <v>10292</v>
      </c>
      <c r="D2710" s="9">
        <v>8.97504291E9</v>
      </c>
      <c r="E2710" s="8" t="s">
        <v>10293</v>
      </c>
      <c r="F2710" s="8" t="s">
        <v>4093</v>
      </c>
      <c r="G2710" s="8" t="s">
        <v>15337</v>
      </c>
      <c r="H2710" s="8" t="s">
        <v>3479</v>
      </c>
      <c r="I2710" s="9">
        <v>0.0</v>
      </c>
      <c r="J2710" s="9">
        <v>5016.0</v>
      </c>
      <c r="K2710" s="9">
        <v>5016.0</v>
      </c>
      <c r="L2710" s="9">
        <v>5016.0</v>
      </c>
      <c r="M2710" s="9">
        <v>2892.0</v>
      </c>
      <c r="N2710" s="9">
        <v>775.0</v>
      </c>
      <c r="O2710" s="9">
        <v>1349.0</v>
      </c>
      <c r="P2710" s="8" t="s">
        <v>3480</v>
      </c>
      <c r="Q2710" s="8" t="s">
        <v>10295</v>
      </c>
      <c r="R2710" s="8" t="s">
        <v>10296</v>
      </c>
    </row>
    <row r="2711">
      <c r="A2711" s="8" t="s">
        <v>3024</v>
      </c>
      <c r="B2711" s="8" t="s">
        <v>15338</v>
      </c>
      <c r="C2711" s="8" t="s">
        <v>14826</v>
      </c>
      <c r="D2711" s="9">
        <v>9.028134385E9</v>
      </c>
      <c r="E2711" s="8" t="s">
        <v>14827</v>
      </c>
      <c r="F2711" s="8" t="s">
        <v>3908</v>
      </c>
      <c r="G2711" s="8" t="s">
        <v>15339</v>
      </c>
      <c r="H2711" s="8" t="s">
        <v>3479</v>
      </c>
      <c r="I2711" s="9">
        <v>0.0</v>
      </c>
      <c r="J2711" s="9">
        <v>2904.0</v>
      </c>
      <c r="K2711" s="9">
        <v>2904.0</v>
      </c>
      <c r="L2711" s="9">
        <v>2904.0</v>
      </c>
      <c r="M2711" s="9">
        <v>1530.0</v>
      </c>
      <c r="N2711" s="9">
        <v>775.0</v>
      </c>
      <c r="O2711" s="9">
        <v>599.0</v>
      </c>
      <c r="P2711" s="8" t="s">
        <v>3480</v>
      </c>
      <c r="Q2711" s="8" t="s">
        <v>14829</v>
      </c>
      <c r="R2711" s="8" t="s">
        <v>14830</v>
      </c>
    </row>
    <row r="2712">
      <c r="A2712" s="8" t="s">
        <v>973</v>
      </c>
      <c r="B2712" s="8" t="s">
        <v>15340</v>
      </c>
      <c r="C2712" s="8" t="s">
        <v>15341</v>
      </c>
      <c r="D2712" s="9">
        <v>9.860985548E9</v>
      </c>
      <c r="E2712" s="8" t="s">
        <v>15342</v>
      </c>
      <c r="F2712" s="8" t="s">
        <v>3615</v>
      </c>
      <c r="G2712" s="8" t="s">
        <v>15343</v>
      </c>
      <c r="H2712" s="8" t="s">
        <v>3479</v>
      </c>
      <c r="I2712" s="9">
        <v>0.0</v>
      </c>
      <c r="J2712" s="9">
        <v>901.0</v>
      </c>
      <c r="K2712" s="9">
        <v>901.0</v>
      </c>
      <c r="L2712" s="9">
        <v>901.0</v>
      </c>
      <c r="M2712" s="9">
        <v>452.0</v>
      </c>
      <c r="N2712" s="9">
        <v>0.0</v>
      </c>
      <c r="O2712" s="9">
        <v>449.0</v>
      </c>
      <c r="P2712" s="8" t="s">
        <v>3480</v>
      </c>
      <c r="Q2712" s="8" t="s">
        <v>15344</v>
      </c>
      <c r="R2712" s="8" t="s">
        <v>15345</v>
      </c>
    </row>
    <row r="2713">
      <c r="A2713" s="8" t="s">
        <v>3026</v>
      </c>
      <c r="B2713" s="8" t="s">
        <v>15346</v>
      </c>
      <c r="C2713" s="8" t="s">
        <v>4950</v>
      </c>
      <c r="D2713" s="9">
        <v>9.970689986E9</v>
      </c>
      <c r="E2713" s="8" t="s">
        <v>4951</v>
      </c>
      <c r="F2713" s="8" t="s">
        <v>3653</v>
      </c>
      <c r="G2713" s="8" t="s">
        <v>15347</v>
      </c>
      <c r="H2713" s="8" t="s">
        <v>3479</v>
      </c>
      <c r="I2713" s="9">
        <v>0.0</v>
      </c>
      <c r="J2713" s="9">
        <v>2590.0</v>
      </c>
      <c r="K2713" s="9">
        <v>2590.0</v>
      </c>
      <c r="L2713" s="9">
        <v>2590.0</v>
      </c>
      <c r="M2713" s="9">
        <v>2401.0</v>
      </c>
      <c r="N2713" s="9">
        <v>64.0</v>
      </c>
      <c r="O2713" s="9">
        <v>125.0</v>
      </c>
      <c r="P2713" s="8" t="s">
        <v>3480</v>
      </c>
      <c r="Q2713" s="8" t="s">
        <v>4953</v>
      </c>
      <c r="R2713" s="8" t="s">
        <v>4954</v>
      </c>
    </row>
    <row r="2714">
      <c r="A2714" s="8" t="s">
        <v>3027</v>
      </c>
      <c r="B2714" s="8" t="s">
        <v>15348</v>
      </c>
      <c r="C2714" s="8" t="s">
        <v>15349</v>
      </c>
      <c r="D2714" s="9">
        <v>9.923343669E9</v>
      </c>
      <c r="E2714" s="8" t="s">
        <v>15350</v>
      </c>
      <c r="F2714" s="8" t="s">
        <v>9255</v>
      </c>
      <c r="G2714" s="8" t="s">
        <v>15351</v>
      </c>
      <c r="H2714" s="8" t="s">
        <v>3479</v>
      </c>
      <c r="I2714" s="9">
        <v>0.0</v>
      </c>
      <c r="J2714" s="9">
        <v>1304.0</v>
      </c>
      <c r="K2714" s="9">
        <v>1304.0</v>
      </c>
      <c r="L2714" s="9">
        <v>1304.0</v>
      </c>
      <c r="M2714" s="9">
        <v>125.0</v>
      </c>
      <c r="N2714" s="9">
        <v>730.0</v>
      </c>
      <c r="O2714" s="9">
        <v>449.0</v>
      </c>
      <c r="P2714" s="8" t="s">
        <v>3480</v>
      </c>
      <c r="Q2714" s="8" t="s">
        <v>15352</v>
      </c>
      <c r="R2714" s="8" t="s">
        <v>15353</v>
      </c>
    </row>
    <row r="2715">
      <c r="A2715" s="8" t="s">
        <v>3025</v>
      </c>
      <c r="B2715" s="8" t="s">
        <v>15354</v>
      </c>
      <c r="C2715" s="8" t="s">
        <v>13123</v>
      </c>
      <c r="D2715" s="9">
        <v>8.857041694E9</v>
      </c>
      <c r="E2715" s="8" t="s">
        <v>15355</v>
      </c>
      <c r="F2715" s="8" t="s">
        <v>3908</v>
      </c>
      <c r="G2715" s="8" t="s">
        <v>15356</v>
      </c>
      <c r="H2715" s="8" t="s">
        <v>3479</v>
      </c>
      <c r="I2715" s="9">
        <v>0.0</v>
      </c>
      <c r="J2715" s="9">
        <v>2268.0</v>
      </c>
      <c r="K2715" s="9">
        <v>2268.0</v>
      </c>
      <c r="L2715" s="9">
        <v>2268.0</v>
      </c>
      <c r="M2715" s="9">
        <v>885.0</v>
      </c>
      <c r="N2715" s="9">
        <v>784.0</v>
      </c>
      <c r="O2715" s="9">
        <v>599.0</v>
      </c>
      <c r="P2715" s="8" t="s">
        <v>3480</v>
      </c>
      <c r="Q2715" s="8" t="s">
        <v>15357</v>
      </c>
      <c r="R2715" s="8" t="s">
        <v>15358</v>
      </c>
    </row>
    <row r="2716">
      <c r="A2716" s="8" t="s">
        <v>3030</v>
      </c>
      <c r="B2716" s="8" t="s">
        <v>15359</v>
      </c>
      <c r="C2716" s="8" t="s">
        <v>14561</v>
      </c>
      <c r="D2716" s="9">
        <v>9.604788998E9</v>
      </c>
      <c r="E2716" s="8" t="s">
        <v>14562</v>
      </c>
      <c r="F2716" s="8" t="s">
        <v>4125</v>
      </c>
      <c r="G2716" s="8" t="s">
        <v>15360</v>
      </c>
      <c r="H2716" s="8" t="s">
        <v>3479</v>
      </c>
      <c r="I2716" s="9">
        <v>0.0</v>
      </c>
      <c r="J2716" s="9">
        <v>545.0</v>
      </c>
      <c r="K2716" s="9">
        <v>545.0</v>
      </c>
      <c r="L2716" s="9">
        <v>545.0</v>
      </c>
      <c r="M2716" s="9">
        <v>445.0</v>
      </c>
      <c r="N2716" s="9">
        <v>0.0</v>
      </c>
      <c r="O2716" s="9">
        <v>100.0</v>
      </c>
      <c r="P2716" s="8" t="s">
        <v>3480</v>
      </c>
      <c r="Q2716" s="8" t="s">
        <v>14564</v>
      </c>
      <c r="R2716" s="8" t="s">
        <v>14565</v>
      </c>
    </row>
    <row r="2717">
      <c r="A2717" s="8" t="s">
        <v>3023</v>
      </c>
      <c r="B2717" s="8" t="s">
        <v>15361</v>
      </c>
      <c r="C2717" s="8" t="s">
        <v>15362</v>
      </c>
      <c r="D2717" s="9">
        <v>8.530809905E9</v>
      </c>
      <c r="E2717" s="8" t="s">
        <v>15363</v>
      </c>
      <c r="F2717" s="8" t="s">
        <v>3768</v>
      </c>
      <c r="G2717" s="8" t="s">
        <v>15364</v>
      </c>
      <c r="H2717" s="8" t="s">
        <v>3479</v>
      </c>
      <c r="I2717" s="9">
        <v>0.0</v>
      </c>
      <c r="J2717" s="9">
        <v>1663.0</v>
      </c>
      <c r="K2717" s="9">
        <v>1663.0</v>
      </c>
      <c r="L2717" s="9">
        <v>1663.0</v>
      </c>
      <c r="M2717" s="9">
        <v>430.0</v>
      </c>
      <c r="N2717" s="9">
        <v>784.0</v>
      </c>
      <c r="O2717" s="9">
        <v>449.0</v>
      </c>
      <c r="P2717" s="8" t="s">
        <v>3480</v>
      </c>
      <c r="Q2717" s="8" t="s">
        <v>15365</v>
      </c>
      <c r="R2717" s="8" t="s">
        <v>15366</v>
      </c>
    </row>
    <row r="2718">
      <c r="A2718" s="8" t="s">
        <v>3028</v>
      </c>
      <c r="B2718" s="8" t="s">
        <v>15367</v>
      </c>
      <c r="C2718" s="8" t="s">
        <v>15368</v>
      </c>
      <c r="D2718" s="9">
        <v>8.999728219E9</v>
      </c>
      <c r="E2718" s="8" t="s">
        <v>15369</v>
      </c>
      <c r="F2718" s="8" t="s">
        <v>4059</v>
      </c>
      <c r="G2718" s="8" t="s">
        <v>15370</v>
      </c>
      <c r="H2718" s="8" t="s">
        <v>3479</v>
      </c>
      <c r="I2718" s="9">
        <v>0.0</v>
      </c>
      <c r="J2718" s="9">
        <v>830.0</v>
      </c>
      <c r="K2718" s="9">
        <v>830.0</v>
      </c>
      <c r="L2718" s="9">
        <v>830.0</v>
      </c>
      <c r="M2718" s="9">
        <v>541.0</v>
      </c>
      <c r="N2718" s="9">
        <v>64.0</v>
      </c>
      <c r="O2718" s="9">
        <v>225.0</v>
      </c>
      <c r="P2718" s="8" t="s">
        <v>3480</v>
      </c>
      <c r="Q2718" s="8"/>
      <c r="R2718" s="8"/>
    </row>
    <row r="2719">
      <c r="A2719" s="8" t="s">
        <v>3029</v>
      </c>
      <c r="B2719" s="8" t="s">
        <v>15371</v>
      </c>
      <c r="C2719" s="8" t="s">
        <v>13441</v>
      </c>
      <c r="D2719" s="9">
        <v>9.890187362E9</v>
      </c>
      <c r="E2719" s="8" t="s">
        <v>13442</v>
      </c>
      <c r="F2719" s="8" t="s">
        <v>3589</v>
      </c>
      <c r="G2719" s="8" t="s">
        <v>15372</v>
      </c>
      <c r="H2719" s="8" t="s">
        <v>3479</v>
      </c>
      <c r="I2719" s="9">
        <v>0.0</v>
      </c>
      <c r="J2719" s="9">
        <v>3923.0</v>
      </c>
      <c r="K2719" s="9">
        <v>3923.0</v>
      </c>
      <c r="L2719" s="9">
        <v>3923.0</v>
      </c>
      <c r="M2719" s="9">
        <v>2660.0</v>
      </c>
      <c r="N2719" s="9">
        <v>739.0</v>
      </c>
      <c r="O2719" s="9">
        <v>524.0</v>
      </c>
      <c r="P2719" s="8" t="s">
        <v>3480</v>
      </c>
      <c r="Q2719" s="8" t="s">
        <v>13444</v>
      </c>
      <c r="R2719" s="8" t="s">
        <v>13445</v>
      </c>
    </row>
    <row r="2720">
      <c r="A2720" s="8" t="s">
        <v>3031</v>
      </c>
      <c r="B2720" s="8" t="s">
        <v>15373</v>
      </c>
      <c r="C2720" s="8" t="s">
        <v>15374</v>
      </c>
      <c r="D2720" s="9">
        <v>9.686325001E9</v>
      </c>
      <c r="E2720" s="8" t="s">
        <v>15375</v>
      </c>
      <c r="F2720" s="8" t="s">
        <v>4059</v>
      </c>
      <c r="G2720" s="8" t="s">
        <v>15376</v>
      </c>
      <c r="H2720" s="8" t="s">
        <v>3479</v>
      </c>
      <c r="I2720" s="9">
        <v>0.0</v>
      </c>
      <c r="J2720" s="9">
        <v>1564.0</v>
      </c>
      <c r="K2720" s="9">
        <v>1564.0</v>
      </c>
      <c r="L2720" s="9">
        <v>1564.0</v>
      </c>
      <c r="M2720" s="9">
        <v>190.0</v>
      </c>
      <c r="N2720" s="9">
        <v>775.0</v>
      </c>
      <c r="O2720" s="9">
        <v>599.0</v>
      </c>
      <c r="P2720" s="8" t="s">
        <v>3480</v>
      </c>
      <c r="Q2720" s="8" t="s">
        <v>15377</v>
      </c>
      <c r="R2720" s="8" t="s">
        <v>15378</v>
      </c>
    </row>
    <row r="2721">
      <c r="A2721" s="8" t="s">
        <v>3038</v>
      </c>
      <c r="B2721" s="8" t="s">
        <v>15379</v>
      </c>
      <c r="C2721" s="8" t="s">
        <v>13723</v>
      </c>
      <c r="D2721" s="9">
        <v>9.890504616E9</v>
      </c>
      <c r="E2721" s="8" t="s">
        <v>13724</v>
      </c>
      <c r="F2721" s="8" t="s">
        <v>6019</v>
      </c>
      <c r="G2721" s="8" t="s">
        <v>15380</v>
      </c>
      <c r="H2721" s="8" t="s">
        <v>3479</v>
      </c>
      <c r="I2721" s="9">
        <v>0.0</v>
      </c>
      <c r="J2721" s="9">
        <v>4040.0</v>
      </c>
      <c r="K2721" s="9">
        <v>4040.0</v>
      </c>
      <c r="L2721" s="9">
        <v>4040.0</v>
      </c>
      <c r="M2721" s="9">
        <v>1541.0</v>
      </c>
      <c r="N2721" s="9">
        <v>1150.0</v>
      </c>
      <c r="O2721" s="9">
        <v>1349.0</v>
      </c>
      <c r="P2721" s="8" t="s">
        <v>3480</v>
      </c>
      <c r="Q2721" s="8" t="s">
        <v>13726</v>
      </c>
      <c r="R2721" s="8" t="s">
        <v>13727</v>
      </c>
    </row>
    <row r="2722">
      <c r="A2722" s="8" t="s">
        <v>3033</v>
      </c>
      <c r="B2722" s="8" t="s">
        <v>15381</v>
      </c>
      <c r="C2722" s="8" t="s">
        <v>9142</v>
      </c>
      <c r="D2722" s="9">
        <v>7.350725409E9</v>
      </c>
      <c r="E2722" s="8" t="s">
        <v>11649</v>
      </c>
      <c r="F2722" s="8" t="s">
        <v>11650</v>
      </c>
      <c r="G2722" s="8" t="s">
        <v>15382</v>
      </c>
      <c r="H2722" s="8" t="s">
        <v>3479</v>
      </c>
      <c r="I2722" s="9">
        <v>0.0</v>
      </c>
      <c r="J2722" s="9">
        <v>1743.0</v>
      </c>
      <c r="K2722" s="9">
        <v>1743.0</v>
      </c>
      <c r="L2722" s="9">
        <v>1743.0</v>
      </c>
      <c r="M2722" s="9">
        <v>80.0</v>
      </c>
      <c r="N2722" s="9">
        <v>964.0</v>
      </c>
      <c r="O2722" s="9">
        <v>699.0</v>
      </c>
      <c r="P2722" s="8" t="s">
        <v>3519</v>
      </c>
      <c r="Q2722" s="8" t="s">
        <v>11652</v>
      </c>
      <c r="R2722" s="8" t="s">
        <v>11653</v>
      </c>
    </row>
    <row r="2723">
      <c r="A2723" s="8" t="s">
        <v>3034</v>
      </c>
      <c r="B2723" s="8" t="s">
        <v>15383</v>
      </c>
      <c r="C2723" s="8" t="s">
        <v>13236</v>
      </c>
      <c r="D2723" s="9">
        <v>9.822246694E9</v>
      </c>
      <c r="E2723" s="8" t="s">
        <v>13237</v>
      </c>
      <c r="F2723" s="8" t="s">
        <v>3594</v>
      </c>
      <c r="G2723" s="8" t="s">
        <v>15384</v>
      </c>
      <c r="H2723" s="8" t="s">
        <v>3479</v>
      </c>
      <c r="I2723" s="9">
        <v>0.0</v>
      </c>
      <c r="J2723" s="9">
        <v>3335.0</v>
      </c>
      <c r="K2723" s="9">
        <v>3335.0</v>
      </c>
      <c r="L2723" s="9">
        <v>3335.0</v>
      </c>
      <c r="M2723" s="9">
        <v>2381.0</v>
      </c>
      <c r="N2723" s="9">
        <v>80.0</v>
      </c>
      <c r="O2723" s="9">
        <v>874.0</v>
      </c>
      <c r="P2723" s="8" t="s">
        <v>3480</v>
      </c>
      <c r="Q2723" s="8" t="s">
        <v>13239</v>
      </c>
      <c r="R2723" s="8"/>
    </row>
    <row r="2724">
      <c r="A2724" s="8" t="s">
        <v>3035</v>
      </c>
      <c r="B2724" s="8" t="s">
        <v>15385</v>
      </c>
      <c r="C2724" s="8" t="s">
        <v>6988</v>
      </c>
      <c r="D2724" s="9">
        <v>9.975562308E9</v>
      </c>
      <c r="E2724" s="8" t="s">
        <v>6989</v>
      </c>
      <c r="F2724" s="8" t="s">
        <v>3550</v>
      </c>
      <c r="G2724" s="8" t="s">
        <v>15386</v>
      </c>
      <c r="H2724" s="8" t="s">
        <v>3479</v>
      </c>
      <c r="I2724" s="9">
        <v>0.0</v>
      </c>
      <c r="J2724" s="9">
        <v>1754.0</v>
      </c>
      <c r="K2724" s="9">
        <v>1754.0</v>
      </c>
      <c r="L2724" s="9">
        <v>1754.0</v>
      </c>
      <c r="M2724" s="9">
        <v>660.0</v>
      </c>
      <c r="N2724" s="9">
        <v>645.0</v>
      </c>
      <c r="O2724" s="9">
        <v>449.0</v>
      </c>
      <c r="P2724" s="8" t="s">
        <v>3480</v>
      </c>
      <c r="Q2724" s="8"/>
      <c r="R2724" s="8"/>
    </row>
    <row r="2725">
      <c r="A2725" s="8" t="s">
        <v>3039</v>
      </c>
      <c r="B2725" s="8" t="s">
        <v>15387</v>
      </c>
      <c r="C2725" s="8" t="s">
        <v>15388</v>
      </c>
      <c r="D2725" s="9">
        <v>9.036478414E9</v>
      </c>
      <c r="E2725" s="8" t="s">
        <v>15389</v>
      </c>
      <c r="F2725" s="8" t="s">
        <v>3977</v>
      </c>
      <c r="G2725" s="8" t="s">
        <v>15390</v>
      </c>
      <c r="H2725" s="8" t="s">
        <v>3479</v>
      </c>
      <c r="I2725" s="9">
        <v>0.0</v>
      </c>
      <c r="J2725" s="9">
        <v>3050.0</v>
      </c>
      <c r="K2725" s="9">
        <v>3050.0</v>
      </c>
      <c r="L2725" s="9">
        <v>3050.0</v>
      </c>
      <c r="M2725" s="9">
        <v>1821.0</v>
      </c>
      <c r="N2725" s="9">
        <v>780.0</v>
      </c>
      <c r="O2725" s="9">
        <v>449.0</v>
      </c>
      <c r="P2725" s="8" t="s">
        <v>3480</v>
      </c>
      <c r="Q2725" s="8"/>
      <c r="R2725" s="8"/>
    </row>
    <row r="2726">
      <c r="A2726" s="8" t="s">
        <v>3036</v>
      </c>
      <c r="B2726" s="8" t="s">
        <v>15391</v>
      </c>
      <c r="C2726" s="8" t="s">
        <v>15392</v>
      </c>
      <c r="D2726" s="9">
        <v>9.765714705E9</v>
      </c>
      <c r="E2726" s="8" t="s">
        <v>15393</v>
      </c>
      <c r="F2726" s="8" t="s">
        <v>4391</v>
      </c>
      <c r="G2726" s="8" t="s">
        <v>15394</v>
      </c>
      <c r="H2726" s="8" t="s">
        <v>3479</v>
      </c>
      <c r="I2726" s="9">
        <v>0.0</v>
      </c>
      <c r="J2726" s="9">
        <v>1512.0</v>
      </c>
      <c r="K2726" s="9">
        <v>1512.0</v>
      </c>
      <c r="L2726" s="9">
        <v>1512.0</v>
      </c>
      <c r="M2726" s="9">
        <v>333.0</v>
      </c>
      <c r="N2726" s="9">
        <v>730.0</v>
      </c>
      <c r="O2726" s="9">
        <v>449.0</v>
      </c>
      <c r="P2726" s="8" t="s">
        <v>3480</v>
      </c>
      <c r="Q2726" s="8" t="s">
        <v>15395</v>
      </c>
      <c r="R2726" s="8" t="s">
        <v>15396</v>
      </c>
    </row>
    <row r="2727">
      <c r="A2727" s="8" t="s">
        <v>3037</v>
      </c>
      <c r="B2727" s="8" t="s">
        <v>15397</v>
      </c>
      <c r="C2727" s="8" t="s">
        <v>15398</v>
      </c>
      <c r="D2727" s="9">
        <v>7.26295123E9</v>
      </c>
      <c r="E2727" s="8" t="s">
        <v>15399</v>
      </c>
      <c r="F2727" s="8" t="s">
        <v>6744</v>
      </c>
      <c r="G2727" s="8" t="s">
        <v>15400</v>
      </c>
      <c r="H2727" s="8" t="s">
        <v>15401</v>
      </c>
      <c r="I2727" s="9">
        <v>0.0</v>
      </c>
      <c r="J2727" s="9">
        <v>5000.0</v>
      </c>
      <c r="K2727" s="9">
        <v>5116.0</v>
      </c>
      <c r="L2727" s="9">
        <v>5000.0</v>
      </c>
      <c r="M2727" s="9">
        <v>3742.0</v>
      </c>
      <c r="N2727" s="9">
        <v>775.0</v>
      </c>
      <c r="O2727" s="9">
        <v>599.0</v>
      </c>
      <c r="P2727" s="8" t="s">
        <v>3480</v>
      </c>
      <c r="Q2727" s="8" t="s">
        <v>15402</v>
      </c>
      <c r="R2727" s="8" t="s">
        <v>15403</v>
      </c>
    </row>
    <row r="2728">
      <c r="A2728" s="8" t="s">
        <v>2948</v>
      </c>
      <c r="B2728" s="8" t="s">
        <v>15404</v>
      </c>
      <c r="C2728" s="8" t="s">
        <v>15405</v>
      </c>
      <c r="D2728" s="9">
        <v>9.16641808E9</v>
      </c>
      <c r="E2728" s="8" t="s">
        <v>15406</v>
      </c>
      <c r="F2728" s="8" t="s">
        <v>3901</v>
      </c>
      <c r="G2728" s="8" t="s">
        <v>15407</v>
      </c>
      <c r="H2728" s="8" t="s">
        <v>3479</v>
      </c>
      <c r="I2728" s="9">
        <v>0.0</v>
      </c>
      <c r="J2728" s="9">
        <v>2831.0</v>
      </c>
      <c r="K2728" s="9">
        <v>2831.0</v>
      </c>
      <c r="L2728" s="9">
        <v>2831.0</v>
      </c>
      <c r="M2728" s="9">
        <v>912.0</v>
      </c>
      <c r="N2728" s="9">
        <v>965.0</v>
      </c>
      <c r="O2728" s="9">
        <v>954.0</v>
      </c>
      <c r="P2728" s="8" t="s">
        <v>3480</v>
      </c>
      <c r="Q2728" s="8"/>
      <c r="R2728" s="8"/>
    </row>
    <row r="2729">
      <c r="A2729" s="8" t="s">
        <v>3009</v>
      </c>
      <c r="B2729" s="8" t="s">
        <v>15408</v>
      </c>
      <c r="C2729" s="8" t="s">
        <v>7733</v>
      </c>
      <c r="D2729" s="9">
        <v>9.96063205E9</v>
      </c>
      <c r="E2729" s="8" t="s">
        <v>7734</v>
      </c>
      <c r="F2729" s="8" t="s">
        <v>3869</v>
      </c>
      <c r="G2729" s="8" t="s">
        <v>15409</v>
      </c>
      <c r="H2729" s="8" t="s">
        <v>3479</v>
      </c>
      <c r="I2729" s="9">
        <v>0.0</v>
      </c>
      <c r="J2729" s="9">
        <v>2455.0</v>
      </c>
      <c r="K2729" s="9">
        <v>2455.0</v>
      </c>
      <c r="L2729" s="9">
        <v>2455.0</v>
      </c>
      <c r="M2729" s="9">
        <v>707.0</v>
      </c>
      <c r="N2729" s="9">
        <v>849.0</v>
      </c>
      <c r="O2729" s="9">
        <v>899.0</v>
      </c>
      <c r="P2729" s="8" t="s">
        <v>3544</v>
      </c>
      <c r="Q2729" s="8" t="s">
        <v>7736</v>
      </c>
      <c r="R2729" s="8" t="s">
        <v>7737</v>
      </c>
    </row>
    <row r="2730">
      <c r="A2730" s="8" t="s">
        <v>3010</v>
      </c>
      <c r="B2730" s="8" t="s">
        <v>15410</v>
      </c>
      <c r="C2730" s="8" t="s">
        <v>4774</v>
      </c>
      <c r="D2730" s="9">
        <v>8.421891504E9</v>
      </c>
      <c r="E2730" s="8" t="s">
        <v>4775</v>
      </c>
      <c r="F2730" s="8" t="s">
        <v>4150</v>
      </c>
      <c r="G2730" s="8" t="s">
        <v>15411</v>
      </c>
      <c r="H2730" s="8" t="s">
        <v>3479</v>
      </c>
      <c r="I2730" s="9">
        <v>0.0</v>
      </c>
      <c r="J2730" s="9">
        <v>1607.0</v>
      </c>
      <c r="K2730" s="9">
        <v>1607.0</v>
      </c>
      <c r="L2730" s="9">
        <v>1607.0</v>
      </c>
      <c r="M2730" s="9">
        <v>233.0</v>
      </c>
      <c r="N2730" s="9">
        <v>775.0</v>
      </c>
      <c r="O2730" s="9">
        <v>599.0</v>
      </c>
      <c r="P2730" s="8" t="s">
        <v>3480</v>
      </c>
      <c r="Q2730" s="8" t="s">
        <v>4777</v>
      </c>
      <c r="R2730" s="8"/>
    </row>
    <row r="2731">
      <c r="A2731" s="8" t="s">
        <v>2949</v>
      </c>
      <c r="B2731" s="8" t="s">
        <v>15412</v>
      </c>
      <c r="C2731" s="8" t="s">
        <v>15413</v>
      </c>
      <c r="D2731" s="9">
        <v>6.354281658E9</v>
      </c>
      <c r="E2731" s="8" t="s">
        <v>15414</v>
      </c>
      <c r="F2731" s="8" t="s">
        <v>3977</v>
      </c>
      <c r="G2731" s="8" t="s">
        <v>15415</v>
      </c>
      <c r="H2731" s="8" t="s">
        <v>3479</v>
      </c>
      <c r="I2731" s="9">
        <v>0.0</v>
      </c>
      <c r="J2731" s="9">
        <v>1268.0</v>
      </c>
      <c r="K2731" s="9">
        <v>1268.0</v>
      </c>
      <c r="L2731" s="9">
        <v>1268.0</v>
      </c>
      <c r="M2731" s="9">
        <v>80.0</v>
      </c>
      <c r="N2731" s="9">
        <v>739.0</v>
      </c>
      <c r="O2731" s="9">
        <v>449.0</v>
      </c>
      <c r="P2731" s="8" t="s">
        <v>3519</v>
      </c>
      <c r="Q2731" s="8"/>
      <c r="R2731" s="8"/>
    </row>
    <row r="2732">
      <c r="A2732" s="8" t="s">
        <v>2950</v>
      </c>
      <c r="B2732" s="8" t="s">
        <v>15416</v>
      </c>
      <c r="C2732" s="8" t="s">
        <v>15417</v>
      </c>
      <c r="D2732" s="9">
        <v>7.406466611E9</v>
      </c>
      <c r="E2732" s="8" t="s">
        <v>15418</v>
      </c>
      <c r="F2732" s="8" t="s">
        <v>3589</v>
      </c>
      <c r="G2732" s="8" t="s">
        <v>15419</v>
      </c>
      <c r="H2732" s="8" t="s">
        <v>3479</v>
      </c>
      <c r="I2732" s="9">
        <v>0.0</v>
      </c>
      <c r="J2732" s="9">
        <v>1523.0</v>
      </c>
      <c r="K2732" s="9">
        <v>1523.0</v>
      </c>
      <c r="L2732" s="9">
        <v>1523.0</v>
      </c>
      <c r="M2732" s="9">
        <v>180.0</v>
      </c>
      <c r="N2732" s="9">
        <v>739.0</v>
      </c>
      <c r="O2732" s="9">
        <v>604.0</v>
      </c>
      <c r="P2732" s="8" t="s">
        <v>3544</v>
      </c>
      <c r="Q2732" s="8" t="s">
        <v>4241</v>
      </c>
      <c r="R2732" s="8" t="s">
        <v>15420</v>
      </c>
    </row>
    <row r="2733">
      <c r="A2733" s="8" t="s">
        <v>2951</v>
      </c>
      <c r="B2733" s="8" t="s">
        <v>15421</v>
      </c>
      <c r="C2733" s="8" t="s">
        <v>3998</v>
      </c>
      <c r="D2733" s="9">
        <v>9.545988544E9</v>
      </c>
      <c r="E2733" s="8" t="s">
        <v>13058</v>
      </c>
      <c r="F2733" s="8" t="s">
        <v>3608</v>
      </c>
      <c r="G2733" s="8" t="s">
        <v>15422</v>
      </c>
      <c r="H2733" s="8" t="s">
        <v>3479</v>
      </c>
      <c r="I2733" s="9">
        <v>0.0</v>
      </c>
      <c r="J2733" s="9">
        <v>1541.0</v>
      </c>
      <c r="K2733" s="9">
        <v>1541.0</v>
      </c>
      <c r="L2733" s="9">
        <v>1541.0</v>
      </c>
      <c r="M2733" s="9">
        <v>353.0</v>
      </c>
      <c r="N2733" s="9">
        <v>739.0</v>
      </c>
      <c r="O2733" s="9">
        <v>449.0</v>
      </c>
      <c r="P2733" s="8" t="s">
        <v>3480</v>
      </c>
      <c r="Q2733" s="8" t="s">
        <v>13060</v>
      </c>
      <c r="R2733" s="8" t="s">
        <v>13061</v>
      </c>
    </row>
    <row r="2734">
      <c r="A2734" s="8" t="s">
        <v>3040</v>
      </c>
      <c r="B2734" s="8" t="s">
        <v>15423</v>
      </c>
      <c r="C2734" s="8" t="s">
        <v>15424</v>
      </c>
      <c r="D2734" s="9">
        <v>8.051214663E9</v>
      </c>
      <c r="E2734" s="8" t="s">
        <v>15425</v>
      </c>
      <c r="F2734" s="8" t="s">
        <v>3550</v>
      </c>
      <c r="G2734" s="8" t="s">
        <v>15426</v>
      </c>
      <c r="H2734" s="8" t="s">
        <v>3479</v>
      </c>
      <c r="I2734" s="9">
        <v>0.0</v>
      </c>
      <c r="J2734" s="9">
        <v>1348.0</v>
      </c>
      <c r="K2734" s="9">
        <v>1348.0</v>
      </c>
      <c r="L2734" s="9">
        <v>1348.0</v>
      </c>
      <c r="M2734" s="9">
        <v>80.0</v>
      </c>
      <c r="N2734" s="9">
        <v>739.0</v>
      </c>
      <c r="O2734" s="9">
        <v>529.0</v>
      </c>
      <c r="P2734" s="8" t="s">
        <v>3480</v>
      </c>
      <c r="Q2734" s="8" t="s">
        <v>15427</v>
      </c>
      <c r="R2734" s="8" t="s">
        <v>15428</v>
      </c>
    </row>
    <row r="2735">
      <c r="A2735" s="8" t="s">
        <v>3041</v>
      </c>
      <c r="B2735" s="8" t="s">
        <v>15429</v>
      </c>
      <c r="C2735" s="8" t="s">
        <v>15430</v>
      </c>
      <c r="D2735" s="9">
        <v>9.168467484E9</v>
      </c>
      <c r="E2735" s="8" t="s">
        <v>15431</v>
      </c>
      <c r="F2735" s="8" t="s">
        <v>3821</v>
      </c>
      <c r="G2735" s="8" t="s">
        <v>15432</v>
      </c>
      <c r="H2735" s="8" t="s">
        <v>15433</v>
      </c>
      <c r="I2735" s="9">
        <v>0.0</v>
      </c>
      <c r="J2735" s="9">
        <v>3300.0</v>
      </c>
      <c r="K2735" s="9">
        <v>3366.0</v>
      </c>
      <c r="L2735" s="9">
        <v>3300.0</v>
      </c>
      <c r="M2735" s="9">
        <v>2103.0</v>
      </c>
      <c r="N2735" s="9">
        <v>739.0</v>
      </c>
      <c r="O2735" s="9">
        <v>524.0</v>
      </c>
      <c r="P2735" s="8" t="s">
        <v>3519</v>
      </c>
      <c r="Q2735" s="8" t="s">
        <v>15434</v>
      </c>
      <c r="R2735" s="8" t="s">
        <v>15435</v>
      </c>
    </row>
    <row r="2736">
      <c r="A2736" s="8" t="s">
        <v>3042</v>
      </c>
      <c r="B2736" s="8" t="s">
        <v>15436</v>
      </c>
      <c r="C2736" s="8" t="s">
        <v>15437</v>
      </c>
      <c r="D2736" s="9">
        <v>8.446479842E9</v>
      </c>
      <c r="E2736" s="8" t="s">
        <v>15438</v>
      </c>
      <c r="F2736" s="8" t="s">
        <v>3550</v>
      </c>
      <c r="G2736" s="8" t="s">
        <v>15439</v>
      </c>
      <c r="H2736" s="8" t="s">
        <v>13019</v>
      </c>
      <c r="I2736" s="9">
        <v>0.0</v>
      </c>
      <c r="J2736" s="9">
        <v>2100.0</v>
      </c>
      <c r="K2736" s="9">
        <v>2228.0</v>
      </c>
      <c r="L2736" s="9">
        <v>2100.0</v>
      </c>
      <c r="M2736" s="9">
        <v>1040.0</v>
      </c>
      <c r="N2736" s="9">
        <v>739.0</v>
      </c>
      <c r="O2736" s="9">
        <v>449.0</v>
      </c>
      <c r="P2736" s="8" t="s">
        <v>3480</v>
      </c>
      <c r="Q2736" s="8" t="s">
        <v>15440</v>
      </c>
      <c r="R2736" s="8" t="s">
        <v>15441</v>
      </c>
    </row>
    <row r="2737">
      <c r="A2737" s="8" t="s">
        <v>3043</v>
      </c>
      <c r="B2737" s="8" t="s">
        <v>15442</v>
      </c>
      <c r="C2737" s="8" t="s">
        <v>15443</v>
      </c>
      <c r="D2737" s="9">
        <v>8.080498411E9</v>
      </c>
      <c r="E2737" s="8" t="s">
        <v>15444</v>
      </c>
      <c r="F2737" s="8" t="s">
        <v>4011</v>
      </c>
      <c r="G2737" s="8" t="s">
        <v>15445</v>
      </c>
      <c r="H2737" s="8" t="s">
        <v>3479</v>
      </c>
      <c r="I2737" s="9">
        <v>0.0</v>
      </c>
      <c r="J2737" s="9">
        <v>2871.0</v>
      </c>
      <c r="K2737" s="9">
        <v>2871.0</v>
      </c>
      <c r="L2737" s="9">
        <v>2871.0</v>
      </c>
      <c r="M2737" s="9">
        <v>1461.0</v>
      </c>
      <c r="N2737" s="9">
        <v>585.0</v>
      </c>
      <c r="O2737" s="9">
        <v>825.0</v>
      </c>
      <c r="P2737" s="8" t="s">
        <v>3480</v>
      </c>
      <c r="Q2737" s="8" t="s">
        <v>15446</v>
      </c>
      <c r="R2737" s="8"/>
    </row>
    <row r="2738">
      <c r="A2738" s="8" t="s">
        <v>373</v>
      </c>
      <c r="B2738" s="8" t="s">
        <v>15447</v>
      </c>
      <c r="C2738" s="8" t="s">
        <v>15448</v>
      </c>
      <c r="D2738" s="9">
        <v>8.27572757E9</v>
      </c>
      <c r="E2738" s="8" t="s">
        <v>15449</v>
      </c>
      <c r="F2738" s="8" t="s">
        <v>3681</v>
      </c>
      <c r="G2738" s="8" t="s">
        <v>15450</v>
      </c>
      <c r="H2738" s="8" t="s">
        <v>3479</v>
      </c>
      <c r="I2738" s="9">
        <v>0.0</v>
      </c>
      <c r="J2738" s="9">
        <v>787.0</v>
      </c>
      <c r="K2738" s="9">
        <v>787.0</v>
      </c>
      <c r="L2738" s="9">
        <v>787.0</v>
      </c>
      <c r="M2738" s="9">
        <v>338.0</v>
      </c>
      <c r="N2738" s="9">
        <v>0.0</v>
      </c>
      <c r="O2738" s="9">
        <v>449.0</v>
      </c>
      <c r="P2738" s="8" t="s">
        <v>3480</v>
      </c>
      <c r="Q2738" s="8" t="s">
        <v>15451</v>
      </c>
      <c r="R2738" s="8" t="s">
        <v>15452</v>
      </c>
    </row>
    <row r="2739">
      <c r="A2739" s="8" t="s">
        <v>1522</v>
      </c>
      <c r="B2739" s="8" t="s">
        <v>15453</v>
      </c>
      <c r="C2739" s="8" t="s">
        <v>15454</v>
      </c>
      <c r="D2739" s="9">
        <v>9.767379988E9</v>
      </c>
      <c r="E2739" s="8" t="s">
        <v>15455</v>
      </c>
      <c r="F2739" s="8" t="s">
        <v>3589</v>
      </c>
      <c r="G2739" s="8" t="s">
        <v>15456</v>
      </c>
      <c r="H2739" s="8" t="s">
        <v>3479</v>
      </c>
      <c r="I2739" s="9">
        <v>0.0</v>
      </c>
      <c r="J2739" s="9">
        <v>2409.0</v>
      </c>
      <c r="K2739" s="9">
        <v>2409.0</v>
      </c>
      <c r="L2739" s="9">
        <v>2409.0</v>
      </c>
      <c r="M2739" s="9">
        <v>1155.0</v>
      </c>
      <c r="N2739" s="9">
        <v>730.0</v>
      </c>
      <c r="O2739" s="9">
        <v>524.0</v>
      </c>
      <c r="P2739" s="8" t="s">
        <v>3519</v>
      </c>
      <c r="Q2739" s="8" t="s">
        <v>15457</v>
      </c>
      <c r="R2739" s="8" t="s">
        <v>15458</v>
      </c>
    </row>
    <row r="2740">
      <c r="A2740" s="8" t="s">
        <v>3044</v>
      </c>
      <c r="B2740" s="8" t="s">
        <v>15459</v>
      </c>
      <c r="C2740" s="8" t="s">
        <v>8566</v>
      </c>
      <c r="D2740" s="9">
        <v>7.999037534E9</v>
      </c>
      <c r="E2740" s="8" t="s">
        <v>8567</v>
      </c>
      <c r="F2740" s="8" t="s">
        <v>3594</v>
      </c>
      <c r="G2740" s="8" t="s">
        <v>4036</v>
      </c>
      <c r="H2740" s="8" t="s">
        <v>3479</v>
      </c>
      <c r="I2740" s="9">
        <v>0.0</v>
      </c>
      <c r="J2740" s="9">
        <v>1709.0</v>
      </c>
      <c r="K2740" s="9">
        <v>1709.0</v>
      </c>
      <c r="L2740" s="9">
        <v>1709.0</v>
      </c>
      <c r="M2740" s="9">
        <v>1434.0</v>
      </c>
      <c r="N2740" s="9">
        <v>0.0</v>
      </c>
      <c r="O2740" s="9">
        <v>275.0</v>
      </c>
      <c r="P2740" s="8" t="s">
        <v>3480</v>
      </c>
      <c r="Q2740" s="8" t="s">
        <v>8569</v>
      </c>
      <c r="R2740" s="8" t="s">
        <v>8570</v>
      </c>
    </row>
    <row r="2741">
      <c r="A2741" s="8" t="s">
        <v>3032</v>
      </c>
      <c r="B2741" s="8" t="s">
        <v>15460</v>
      </c>
      <c r="C2741" s="8" t="s">
        <v>15461</v>
      </c>
      <c r="D2741" s="9">
        <v>9.890078877E9</v>
      </c>
      <c r="E2741" s="8" t="s">
        <v>15462</v>
      </c>
      <c r="F2741" s="8" t="s">
        <v>4018</v>
      </c>
      <c r="G2741" s="8" t="s">
        <v>15463</v>
      </c>
      <c r="H2741" s="8" t="s">
        <v>3479</v>
      </c>
      <c r="I2741" s="9">
        <v>0.0</v>
      </c>
      <c r="J2741" s="9">
        <v>3311.0</v>
      </c>
      <c r="K2741" s="9">
        <v>3311.0</v>
      </c>
      <c r="L2741" s="9">
        <v>3311.0</v>
      </c>
      <c r="M2741" s="9">
        <v>2132.0</v>
      </c>
      <c r="N2741" s="9">
        <v>730.0</v>
      </c>
      <c r="O2741" s="9">
        <v>449.0</v>
      </c>
      <c r="P2741" s="8" t="s">
        <v>3480</v>
      </c>
      <c r="Q2741" s="8" t="s">
        <v>15464</v>
      </c>
      <c r="R2741" s="8" t="s">
        <v>15465</v>
      </c>
    </row>
    <row r="2742">
      <c r="A2742" s="8" t="s">
        <v>3011</v>
      </c>
      <c r="B2742" s="8" t="s">
        <v>15466</v>
      </c>
      <c r="C2742" s="8" t="s">
        <v>15467</v>
      </c>
      <c r="D2742" s="9">
        <v>9.881156071E9</v>
      </c>
      <c r="E2742" s="8" t="s">
        <v>15468</v>
      </c>
      <c r="F2742" s="8" t="s">
        <v>3486</v>
      </c>
      <c r="G2742" s="8" t="s">
        <v>15469</v>
      </c>
      <c r="H2742" s="8" t="s">
        <v>3479</v>
      </c>
      <c r="I2742" s="9">
        <v>0.0</v>
      </c>
      <c r="J2742" s="9">
        <v>2545.0</v>
      </c>
      <c r="K2742" s="9">
        <v>2545.0</v>
      </c>
      <c r="L2742" s="9">
        <v>2545.0</v>
      </c>
      <c r="M2742" s="9">
        <v>1032.0</v>
      </c>
      <c r="N2742" s="9">
        <v>739.0</v>
      </c>
      <c r="O2742" s="9">
        <v>774.0</v>
      </c>
      <c r="P2742" s="8" t="s">
        <v>3480</v>
      </c>
      <c r="Q2742" s="8"/>
      <c r="R2742" s="8"/>
    </row>
    <row r="2743">
      <c r="A2743" s="8" t="s">
        <v>3046</v>
      </c>
      <c r="B2743" s="8" t="s">
        <v>15470</v>
      </c>
      <c r="C2743" s="8" t="s">
        <v>15471</v>
      </c>
      <c r="D2743" s="9">
        <v>8.378095777E9</v>
      </c>
      <c r="E2743" s="8" t="s">
        <v>15472</v>
      </c>
      <c r="F2743" s="8" t="s">
        <v>3608</v>
      </c>
      <c r="G2743" s="8" t="s">
        <v>8893</v>
      </c>
      <c r="H2743" s="8" t="s">
        <v>3479</v>
      </c>
      <c r="I2743" s="9">
        <v>0.0</v>
      </c>
      <c r="J2743" s="9">
        <v>2368.0</v>
      </c>
      <c r="K2743" s="9">
        <v>2368.0</v>
      </c>
      <c r="L2743" s="9">
        <v>2368.0</v>
      </c>
      <c r="M2743" s="9">
        <v>1100.0</v>
      </c>
      <c r="N2743" s="9">
        <v>739.0</v>
      </c>
      <c r="O2743" s="9">
        <v>529.0</v>
      </c>
      <c r="P2743" s="8" t="s">
        <v>3480</v>
      </c>
      <c r="Q2743" s="8" t="s">
        <v>15473</v>
      </c>
      <c r="R2743" s="8" t="s">
        <v>15474</v>
      </c>
    </row>
    <row r="2744">
      <c r="A2744" s="8" t="s">
        <v>3047</v>
      </c>
      <c r="B2744" s="8" t="s">
        <v>15475</v>
      </c>
      <c r="C2744" s="8" t="s">
        <v>3867</v>
      </c>
      <c r="D2744" s="9">
        <v>7.020945145E9</v>
      </c>
      <c r="E2744" s="8" t="s">
        <v>15476</v>
      </c>
      <c r="F2744" s="8" t="s">
        <v>3757</v>
      </c>
      <c r="G2744" s="8" t="s">
        <v>15477</v>
      </c>
      <c r="H2744" s="8" t="s">
        <v>3479</v>
      </c>
      <c r="I2744" s="9">
        <v>0.0</v>
      </c>
      <c r="J2744" s="9">
        <v>3691.0</v>
      </c>
      <c r="K2744" s="9">
        <v>3691.0</v>
      </c>
      <c r="L2744" s="9">
        <v>3691.0</v>
      </c>
      <c r="M2744" s="9">
        <v>774.0</v>
      </c>
      <c r="N2744" s="9">
        <v>1468.0</v>
      </c>
      <c r="O2744" s="9">
        <v>1449.0</v>
      </c>
      <c r="P2744" s="8" t="s">
        <v>3480</v>
      </c>
      <c r="Q2744" s="8" t="s">
        <v>15478</v>
      </c>
      <c r="R2744" s="8" t="s">
        <v>15479</v>
      </c>
    </row>
    <row r="2745">
      <c r="A2745" s="8" t="s">
        <v>3048</v>
      </c>
      <c r="B2745" s="8" t="s">
        <v>15480</v>
      </c>
      <c r="C2745" s="8" t="s">
        <v>12752</v>
      </c>
      <c r="D2745" s="9">
        <v>9.730447602E9</v>
      </c>
      <c r="E2745" s="8" t="s">
        <v>12753</v>
      </c>
      <c r="F2745" s="8" t="s">
        <v>6363</v>
      </c>
      <c r="G2745" s="8" t="s">
        <v>15481</v>
      </c>
      <c r="H2745" s="8" t="s">
        <v>3479</v>
      </c>
      <c r="I2745" s="9">
        <v>0.0</v>
      </c>
      <c r="J2745" s="9">
        <v>1500.0</v>
      </c>
      <c r="K2745" s="9">
        <v>1500.0</v>
      </c>
      <c r="L2745" s="9">
        <v>1500.0</v>
      </c>
      <c r="M2745" s="9">
        <v>1500.0</v>
      </c>
      <c r="N2745" s="9">
        <v>0.0</v>
      </c>
      <c r="O2745" s="9">
        <v>0.0</v>
      </c>
      <c r="P2745" s="8" t="s">
        <v>3480</v>
      </c>
      <c r="Q2745" s="8" t="s">
        <v>12755</v>
      </c>
      <c r="R2745" s="8"/>
    </row>
    <row r="2746">
      <c r="A2746" s="8" t="s">
        <v>3049</v>
      </c>
      <c r="B2746" s="8" t="s">
        <v>15482</v>
      </c>
      <c r="C2746" s="8" t="s">
        <v>3606</v>
      </c>
      <c r="D2746" s="9">
        <v>7.588710115E9</v>
      </c>
      <c r="E2746" s="8" t="s">
        <v>3607</v>
      </c>
      <c r="F2746" s="8" t="s">
        <v>3608</v>
      </c>
      <c r="G2746" s="8" t="s">
        <v>15483</v>
      </c>
      <c r="H2746" s="8" t="s">
        <v>3479</v>
      </c>
      <c r="I2746" s="9">
        <v>0.0</v>
      </c>
      <c r="J2746" s="9">
        <v>1261.0</v>
      </c>
      <c r="K2746" s="9">
        <v>1261.0</v>
      </c>
      <c r="L2746" s="9">
        <v>1261.0</v>
      </c>
      <c r="M2746" s="9">
        <v>487.0</v>
      </c>
      <c r="N2746" s="9">
        <v>0.0</v>
      </c>
      <c r="O2746" s="9">
        <v>774.0</v>
      </c>
      <c r="P2746" s="8" t="s">
        <v>3480</v>
      </c>
      <c r="Q2746" s="8" t="s">
        <v>3610</v>
      </c>
      <c r="R2746" s="8" t="s">
        <v>3611</v>
      </c>
    </row>
    <row r="2747">
      <c r="A2747" s="8" t="s">
        <v>3050</v>
      </c>
      <c r="B2747" s="8" t="s">
        <v>15484</v>
      </c>
      <c r="C2747" s="8" t="s">
        <v>13662</v>
      </c>
      <c r="D2747" s="9">
        <v>9.665678699E9</v>
      </c>
      <c r="E2747" s="8" t="s">
        <v>13663</v>
      </c>
      <c r="F2747" s="8" t="s">
        <v>6744</v>
      </c>
      <c r="G2747" s="8" t="s">
        <v>15485</v>
      </c>
      <c r="H2747" s="8" t="s">
        <v>3479</v>
      </c>
      <c r="I2747" s="9">
        <v>0.0</v>
      </c>
      <c r="J2747" s="9">
        <v>3000.0</v>
      </c>
      <c r="K2747" s="9">
        <v>3125.0</v>
      </c>
      <c r="L2747" s="9">
        <v>3125.0</v>
      </c>
      <c r="M2747" s="9">
        <v>1906.0</v>
      </c>
      <c r="N2747" s="9">
        <v>195.0</v>
      </c>
      <c r="O2747" s="9">
        <v>1024.0</v>
      </c>
      <c r="P2747" s="8" t="s">
        <v>3519</v>
      </c>
      <c r="Q2747" s="8"/>
      <c r="R2747" s="8"/>
    </row>
    <row r="2748">
      <c r="A2748" s="8" t="s">
        <v>3012</v>
      </c>
      <c r="B2748" s="8" t="s">
        <v>15486</v>
      </c>
      <c r="C2748" s="8" t="s">
        <v>14132</v>
      </c>
      <c r="D2748" s="9">
        <v>9.958818925E9</v>
      </c>
      <c r="E2748" s="8" t="s">
        <v>14133</v>
      </c>
      <c r="F2748" s="8" t="s">
        <v>3486</v>
      </c>
      <c r="G2748" s="8" t="s">
        <v>15487</v>
      </c>
      <c r="H2748" s="8" t="s">
        <v>3479</v>
      </c>
      <c r="I2748" s="9">
        <v>0.0</v>
      </c>
      <c r="J2748" s="9">
        <v>2233.0</v>
      </c>
      <c r="K2748" s="9">
        <v>2233.0</v>
      </c>
      <c r="L2748" s="9">
        <v>2233.0</v>
      </c>
      <c r="M2748" s="9">
        <v>595.0</v>
      </c>
      <c r="N2748" s="9">
        <v>739.0</v>
      </c>
      <c r="O2748" s="9">
        <v>899.0</v>
      </c>
      <c r="P2748" s="8" t="s">
        <v>3480</v>
      </c>
      <c r="Q2748" s="8"/>
      <c r="R2748" s="8"/>
    </row>
    <row r="2749">
      <c r="A2749" s="8" t="s">
        <v>3013</v>
      </c>
      <c r="B2749" s="8" t="s">
        <v>15488</v>
      </c>
      <c r="C2749" s="8" t="s">
        <v>8229</v>
      </c>
      <c r="D2749" s="9">
        <v>9.890335919E9</v>
      </c>
      <c r="E2749" s="8" t="s">
        <v>8230</v>
      </c>
      <c r="F2749" s="8" t="s">
        <v>8231</v>
      </c>
      <c r="G2749" s="8" t="s">
        <v>15489</v>
      </c>
      <c r="H2749" s="8" t="s">
        <v>3479</v>
      </c>
      <c r="I2749" s="9">
        <v>0.0</v>
      </c>
      <c r="J2749" s="9">
        <v>1037.0</v>
      </c>
      <c r="K2749" s="9">
        <v>1037.0</v>
      </c>
      <c r="L2749" s="9">
        <v>1037.0</v>
      </c>
      <c r="M2749" s="9">
        <v>98.0</v>
      </c>
      <c r="N2749" s="9">
        <v>190.0</v>
      </c>
      <c r="O2749" s="9">
        <v>749.0</v>
      </c>
      <c r="P2749" s="8" t="s">
        <v>3480</v>
      </c>
      <c r="Q2749" s="8" t="s">
        <v>8233</v>
      </c>
      <c r="R2749" s="8" t="s">
        <v>8234</v>
      </c>
    </row>
    <row r="2750">
      <c r="A2750" s="8" t="s">
        <v>3014</v>
      </c>
      <c r="B2750" s="8" t="s">
        <v>15490</v>
      </c>
      <c r="C2750" s="8" t="s">
        <v>15491</v>
      </c>
      <c r="D2750" s="9">
        <v>9.15834361E9</v>
      </c>
      <c r="E2750" s="8" t="s">
        <v>15492</v>
      </c>
      <c r="F2750" s="8" t="s">
        <v>3557</v>
      </c>
      <c r="G2750" s="8" t="s">
        <v>15493</v>
      </c>
      <c r="H2750" s="8" t="s">
        <v>3479</v>
      </c>
      <c r="I2750" s="9">
        <v>0.0</v>
      </c>
      <c r="J2750" s="9">
        <v>1679.0</v>
      </c>
      <c r="K2750" s="9">
        <v>1679.0</v>
      </c>
      <c r="L2750" s="9">
        <v>1679.0</v>
      </c>
      <c r="M2750" s="9">
        <v>80.0</v>
      </c>
      <c r="N2750" s="9">
        <v>900.0</v>
      </c>
      <c r="O2750" s="9">
        <v>699.0</v>
      </c>
      <c r="P2750" s="8" t="s">
        <v>3480</v>
      </c>
      <c r="Q2750" s="8"/>
      <c r="R2750" s="8"/>
    </row>
    <row r="2751">
      <c r="A2751" s="8" t="s">
        <v>3015</v>
      </c>
      <c r="B2751" s="8" t="s">
        <v>15494</v>
      </c>
      <c r="C2751" s="8" t="s">
        <v>12688</v>
      </c>
      <c r="D2751" s="9">
        <v>9.503042395E9</v>
      </c>
      <c r="E2751" s="8" t="s">
        <v>12689</v>
      </c>
      <c r="F2751" s="8" t="s">
        <v>3821</v>
      </c>
      <c r="G2751" s="8" t="s">
        <v>15495</v>
      </c>
      <c r="H2751" s="8" t="s">
        <v>3479</v>
      </c>
      <c r="I2751" s="9">
        <v>0.0</v>
      </c>
      <c r="J2751" s="9">
        <v>1891.0</v>
      </c>
      <c r="K2751" s="9">
        <v>1891.0</v>
      </c>
      <c r="L2751" s="9">
        <v>1891.0</v>
      </c>
      <c r="M2751" s="9">
        <v>1287.0</v>
      </c>
      <c r="N2751" s="9">
        <v>80.0</v>
      </c>
      <c r="O2751" s="9">
        <v>524.0</v>
      </c>
      <c r="P2751" s="8" t="s">
        <v>3480</v>
      </c>
      <c r="Q2751" s="8" t="s">
        <v>12691</v>
      </c>
      <c r="R2751" s="8" t="s">
        <v>12692</v>
      </c>
    </row>
    <row r="2752">
      <c r="A2752" s="8" t="s">
        <v>3016</v>
      </c>
      <c r="B2752" s="8" t="s">
        <v>15496</v>
      </c>
      <c r="C2752" s="8" t="s">
        <v>6571</v>
      </c>
      <c r="D2752" s="9">
        <v>9.552513135E9</v>
      </c>
      <c r="E2752" s="8" t="s">
        <v>6572</v>
      </c>
      <c r="F2752" s="8" t="s">
        <v>4681</v>
      </c>
      <c r="G2752" s="8" t="s">
        <v>15497</v>
      </c>
      <c r="H2752" s="8" t="s">
        <v>3479</v>
      </c>
      <c r="I2752" s="9">
        <v>0.0</v>
      </c>
      <c r="J2752" s="9">
        <v>1159.0</v>
      </c>
      <c r="K2752" s="9">
        <v>1159.0</v>
      </c>
      <c r="L2752" s="9">
        <v>1159.0</v>
      </c>
      <c r="M2752" s="9">
        <v>220.0</v>
      </c>
      <c r="N2752" s="9">
        <v>190.0</v>
      </c>
      <c r="O2752" s="9">
        <v>749.0</v>
      </c>
      <c r="P2752" s="8" t="s">
        <v>3480</v>
      </c>
      <c r="Q2752" s="8" t="s">
        <v>6574</v>
      </c>
      <c r="R2752" s="8" t="s">
        <v>6575</v>
      </c>
    </row>
    <row r="2753">
      <c r="A2753" s="8" t="s">
        <v>3017</v>
      </c>
      <c r="B2753" s="8" t="s">
        <v>15498</v>
      </c>
      <c r="C2753" s="8" t="s">
        <v>15499</v>
      </c>
      <c r="D2753" s="9">
        <v>7.276986009E9</v>
      </c>
      <c r="E2753" s="8" t="s">
        <v>15500</v>
      </c>
      <c r="F2753" s="8" t="s">
        <v>3550</v>
      </c>
      <c r="G2753" s="8" t="s">
        <v>15501</v>
      </c>
      <c r="H2753" s="8" t="s">
        <v>3479</v>
      </c>
      <c r="I2753" s="9">
        <v>0.0</v>
      </c>
      <c r="J2753" s="9">
        <v>1268.0</v>
      </c>
      <c r="K2753" s="9">
        <v>1268.0</v>
      </c>
      <c r="L2753" s="9">
        <v>1268.0</v>
      </c>
      <c r="M2753" s="9">
        <v>80.0</v>
      </c>
      <c r="N2753" s="9">
        <v>739.0</v>
      </c>
      <c r="O2753" s="9">
        <v>449.0</v>
      </c>
      <c r="P2753" s="8" t="s">
        <v>3480</v>
      </c>
      <c r="Q2753" s="8" t="s">
        <v>15502</v>
      </c>
      <c r="R2753" s="8" t="s">
        <v>15503</v>
      </c>
    </row>
    <row r="2754">
      <c r="A2754" s="8" t="s">
        <v>3018</v>
      </c>
      <c r="B2754" s="8" t="s">
        <v>15504</v>
      </c>
      <c r="C2754" s="8" t="s">
        <v>5291</v>
      </c>
      <c r="D2754" s="9">
        <v>9.423826423E9</v>
      </c>
      <c r="E2754" s="8" t="s">
        <v>5292</v>
      </c>
      <c r="F2754" s="8" t="s">
        <v>3523</v>
      </c>
      <c r="G2754" s="8" t="s">
        <v>15505</v>
      </c>
      <c r="H2754" s="8" t="s">
        <v>3479</v>
      </c>
      <c r="I2754" s="9">
        <v>0.0</v>
      </c>
      <c r="J2754" s="9">
        <v>648.0</v>
      </c>
      <c r="K2754" s="9">
        <v>648.0</v>
      </c>
      <c r="L2754" s="9">
        <v>648.0</v>
      </c>
      <c r="M2754" s="9">
        <v>473.0</v>
      </c>
      <c r="N2754" s="9">
        <v>0.0</v>
      </c>
      <c r="O2754" s="9">
        <v>175.0</v>
      </c>
      <c r="P2754" s="8" t="s">
        <v>3480</v>
      </c>
      <c r="Q2754" s="8" t="s">
        <v>5294</v>
      </c>
      <c r="R2754" s="8"/>
    </row>
    <row r="2755">
      <c r="A2755" s="8" t="s">
        <v>3019</v>
      </c>
      <c r="B2755" s="8" t="s">
        <v>15506</v>
      </c>
      <c r="C2755" s="8" t="s">
        <v>5402</v>
      </c>
      <c r="D2755" s="9">
        <v>9.850778933E9</v>
      </c>
      <c r="E2755" s="8" t="s">
        <v>8654</v>
      </c>
      <c r="F2755" s="8" t="s">
        <v>3594</v>
      </c>
      <c r="G2755" s="8" t="s">
        <v>15507</v>
      </c>
      <c r="H2755" s="8" t="s">
        <v>3479</v>
      </c>
      <c r="I2755" s="9">
        <v>0.0</v>
      </c>
      <c r="J2755" s="9">
        <v>1986.0</v>
      </c>
      <c r="K2755" s="9">
        <v>1986.0</v>
      </c>
      <c r="L2755" s="9">
        <v>1986.0</v>
      </c>
      <c r="M2755" s="9">
        <v>723.0</v>
      </c>
      <c r="N2755" s="9">
        <v>739.0</v>
      </c>
      <c r="O2755" s="9">
        <v>524.0</v>
      </c>
      <c r="P2755" s="8" t="s">
        <v>3480</v>
      </c>
      <c r="Q2755" s="8"/>
      <c r="R2755" s="8"/>
    </row>
    <row r="2756">
      <c r="A2756" s="8" t="s">
        <v>1524</v>
      </c>
      <c r="B2756" s="8" t="s">
        <v>15508</v>
      </c>
      <c r="C2756" s="8" t="s">
        <v>8142</v>
      </c>
      <c r="D2756" s="9">
        <v>8.237788395E9</v>
      </c>
      <c r="E2756" s="8" t="s">
        <v>15509</v>
      </c>
      <c r="F2756" s="8" t="s">
        <v>4574</v>
      </c>
      <c r="G2756" s="8" t="s">
        <v>15510</v>
      </c>
      <c r="H2756" s="8" t="s">
        <v>3479</v>
      </c>
      <c r="I2756" s="9">
        <v>0.0</v>
      </c>
      <c r="J2756" s="9">
        <v>2124.0</v>
      </c>
      <c r="K2756" s="9">
        <v>2124.0</v>
      </c>
      <c r="L2756" s="9">
        <v>2124.0</v>
      </c>
      <c r="M2756" s="9">
        <v>870.0</v>
      </c>
      <c r="N2756" s="9">
        <v>730.0</v>
      </c>
      <c r="O2756" s="9">
        <v>524.0</v>
      </c>
      <c r="P2756" s="8" t="s">
        <v>3519</v>
      </c>
      <c r="Q2756" s="8" t="s">
        <v>15511</v>
      </c>
      <c r="R2756" s="8"/>
    </row>
    <row r="2757">
      <c r="A2757" s="8" t="s">
        <v>1525</v>
      </c>
      <c r="B2757" s="8" t="s">
        <v>15512</v>
      </c>
      <c r="C2757" s="8" t="s">
        <v>15240</v>
      </c>
      <c r="D2757" s="9">
        <v>8.080514184E9</v>
      </c>
      <c r="E2757" s="8" t="s">
        <v>15241</v>
      </c>
      <c r="F2757" s="8" t="s">
        <v>3576</v>
      </c>
      <c r="G2757" s="8" t="s">
        <v>15513</v>
      </c>
      <c r="H2757" s="8" t="s">
        <v>3479</v>
      </c>
      <c r="I2757" s="9">
        <v>0.0</v>
      </c>
      <c r="J2757" s="9">
        <v>1832.0</v>
      </c>
      <c r="K2757" s="9">
        <v>1832.0</v>
      </c>
      <c r="L2757" s="9">
        <v>1832.0</v>
      </c>
      <c r="M2757" s="9">
        <v>233.0</v>
      </c>
      <c r="N2757" s="9">
        <v>900.0</v>
      </c>
      <c r="O2757" s="9">
        <v>699.0</v>
      </c>
      <c r="P2757" s="8" t="s">
        <v>3519</v>
      </c>
      <c r="Q2757" s="8" t="s">
        <v>15243</v>
      </c>
      <c r="R2757" s="8" t="s">
        <v>15244</v>
      </c>
    </row>
    <row r="2758">
      <c r="A2758" s="8" t="s">
        <v>374</v>
      </c>
      <c r="B2758" s="8" t="s">
        <v>15514</v>
      </c>
      <c r="C2758" s="8" t="s">
        <v>15515</v>
      </c>
      <c r="D2758" s="9">
        <v>8.793657381E9</v>
      </c>
      <c r="E2758" s="8" t="s">
        <v>15516</v>
      </c>
      <c r="F2758" s="8" t="s">
        <v>3615</v>
      </c>
      <c r="G2758" s="8" t="s">
        <v>15517</v>
      </c>
      <c r="H2758" s="8" t="s">
        <v>3479</v>
      </c>
      <c r="I2758" s="9">
        <v>0.0</v>
      </c>
      <c r="J2758" s="9">
        <v>1718.0</v>
      </c>
      <c r="K2758" s="9">
        <v>1718.0</v>
      </c>
      <c r="L2758" s="9">
        <v>1718.0</v>
      </c>
      <c r="M2758" s="9">
        <v>864.0</v>
      </c>
      <c r="N2758" s="9">
        <v>0.0</v>
      </c>
      <c r="O2758" s="9">
        <v>854.0</v>
      </c>
      <c r="P2758" s="8" t="s">
        <v>3480</v>
      </c>
      <c r="Q2758" s="8" t="s">
        <v>15518</v>
      </c>
      <c r="R2758" s="8" t="s">
        <v>15519</v>
      </c>
    </row>
    <row r="2759">
      <c r="A2759" s="8" t="s">
        <v>3051</v>
      </c>
      <c r="B2759" s="8" t="s">
        <v>15520</v>
      </c>
      <c r="C2759" s="8" t="s">
        <v>8702</v>
      </c>
      <c r="D2759" s="9">
        <v>8.698882339E9</v>
      </c>
      <c r="E2759" s="8" t="s">
        <v>8703</v>
      </c>
      <c r="F2759" s="8" t="s">
        <v>3821</v>
      </c>
      <c r="G2759" s="8" t="s">
        <v>10159</v>
      </c>
      <c r="H2759" s="8" t="s">
        <v>3479</v>
      </c>
      <c r="I2759" s="9">
        <v>0.0</v>
      </c>
      <c r="J2759" s="9">
        <v>1150.0</v>
      </c>
      <c r="K2759" s="9">
        <v>1150.0</v>
      </c>
      <c r="L2759" s="9">
        <v>1150.0</v>
      </c>
      <c r="M2759" s="9">
        <v>1150.0</v>
      </c>
      <c r="N2759" s="9">
        <v>0.0</v>
      </c>
      <c r="O2759" s="9">
        <v>0.0</v>
      </c>
      <c r="P2759" s="8" t="s">
        <v>3480</v>
      </c>
      <c r="Q2759" s="8" t="s">
        <v>8706</v>
      </c>
      <c r="R2759" s="8" t="s">
        <v>8707</v>
      </c>
    </row>
    <row r="2760">
      <c r="A2760" s="8" t="s">
        <v>1526</v>
      </c>
      <c r="B2760" s="8" t="s">
        <v>15521</v>
      </c>
      <c r="C2760" s="8" t="s">
        <v>15522</v>
      </c>
      <c r="D2760" s="9">
        <v>9.096758102E9</v>
      </c>
      <c r="E2760" s="8" t="s">
        <v>15523</v>
      </c>
      <c r="F2760" s="8" t="s">
        <v>4252</v>
      </c>
      <c r="G2760" s="8" t="s">
        <v>15524</v>
      </c>
      <c r="H2760" s="8" t="s">
        <v>3479</v>
      </c>
      <c r="I2760" s="9">
        <v>0.0</v>
      </c>
      <c r="J2760" s="9">
        <v>3095.0</v>
      </c>
      <c r="K2760" s="9">
        <v>3095.0</v>
      </c>
      <c r="L2760" s="9">
        <v>3095.0</v>
      </c>
      <c r="M2760" s="9">
        <v>2720.0</v>
      </c>
      <c r="N2760" s="9">
        <v>0.0</v>
      </c>
      <c r="O2760" s="9">
        <v>375.0</v>
      </c>
      <c r="P2760" s="8" t="s">
        <v>3480</v>
      </c>
      <c r="Q2760" s="8"/>
      <c r="R2760" s="8"/>
    </row>
    <row r="2761">
      <c r="A2761" s="8" t="s">
        <v>1523</v>
      </c>
      <c r="B2761" s="8" t="s">
        <v>15525</v>
      </c>
      <c r="C2761" s="8" t="s">
        <v>15526</v>
      </c>
      <c r="D2761" s="9">
        <v>9.689672919E9</v>
      </c>
      <c r="E2761" s="8" t="s">
        <v>15527</v>
      </c>
      <c r="F2761" s="8" t="s">
        <v>3908</v>
      </c>
      <c r="G2761" s="8" t="s">
        <v>13102</v>
      </c>
      <c r="H2761" s="8" t="s">
        <v>3479</v>
      </c>
      <c r="I2761" s="9">
        <v>0.0</v>
      </c>
      <c r="J2761" s="9">
        <v>2509.0</v>
      </c>
      <c r="K2761" s="9">
        <v>2509.0</v>
      </c>
      <c r="L2761" s="9">
        <v>2509.0</v>
      </c>
      <c r="M2761" s="9">
        <v>1135.0</v>
      </c>
      <c r="N2761" s="9">
        <v>775.0</v>
      </c>
      <c r="O2761" s="9">
        <v>599.0</v>
      </c>
      <c r="P2761" s="8" t="s">
        <v>3480</v>
      </c>
      <c r="Q2761" s="8" t="s">
        <v>15528</v>
      </c>
      <c r="R2761" s="8" t="s">
        <v>15529</v>
      </c>
    </row>
    <row r="2762">
      <c r="A2762" s="8" t="s">
        <v>383</v>
      </c>
      <c r="B2762" s="8" t="s">
        <v>15530</v>
      </c>
      <c r="C2762" s="8" t="s">
        <v>15368</v>
      </c>
      <c r="D2762" s="9">
        <v>8.999728219E9</v>
      </c>
      <c r="E2762" s="8" t="s">
        <v>15369</v>
      </c>
      <c r="F2762" s="8" t="s">
        <v>4059</v>
      </c>
      <c r="G2762" s="8" t="s">
        <v>15531</v>
      </c>
      <c r="H2762" s="8" t="s">
        <v>15532</v>
      </c>
      <c r="I2762" s="9">
        <v>0.0</v>
      </c>
      <c r="J2762" s="9">
        <v>1500.0</v>
      </c>
      <c r="K2762" s="9">
        <v>1530.0</v>
      </c>
      <c r="L2762" s="9">
        <v>1500.0</v>
      </c>
      <c r="M2762" s="9">
        <v>1400.0</v>
      </c>
      <c r="N2762" s="9">
        <v>130.0</v>
      </c>
      <c r="O2762" s="9">
        <v>0.0</v>
      </c>
      <c r="P2762" s="8" t="s">
        <v>3480</v>
      </c>
      <c r="Q2762" s="8"/>
      <c r="R2762" s="8"/>
    </row>
    <row r="2763">
      <c r="A2763" s="8" t="s">
        <v>385</v>
      </c>
      <c r="B2763" s="8" t="s">
        <v>15533</v>
      </c>
      <c r="C2763" s="8" t="s">
        <v>14011</v>
      </c>
      <c r="D2763" s="9">
        <v>9.503140318E9</v>
      </c>
      <c r="E2763" s="8" t="s">
        <v>14012</v>
      </c>
      <c r="F2763" s="8" t="s">
        <v>4093</v>
      </c>
      <c r="G2763" s="8" t="s">
        <v>15534</v>
      </c>
      <c r="H2763" s="8" t="s">
        <v>3479</v>
      </c>
      <c r="I2763" s="9">
        <v>0.0</v>
      </c>
      <c r="J2763" s="9">
        <v>2675.0</v>
      </c>
      <c r="K2763" s="9">
        <v>2675.0</v>
      </c>
      <c r="L2763" s="9">
        <v>2675.0</v>
      </c>
      <c r="M2763" s="9">
        <v>961.0</v>
      </c>
      <c r="N2763" s="9">
        <v>840.0</v>
      </c>
      <c r="O2763" s="9">
        <v>874.0</v>
      </c>
      <c r="P2763" s="8" t="s">
        <v>3480</v>
      </c>
      <c r="Q2763" s="8"/>
      <c r="R2763" s="8"/>
    </row>
    <row r="2764">
      <c r="A2764" s="8" t="s">
        <v>1577</v>
      </c>
      <c r="B2764" s="8" t="s">
        <v>15535</v>
      </c>
      <c r="C2764" s="8" t="s">
        <v>15536</v>
      </c>
      <c r="D2764" s="9">
        <v>8.799878568E9</v>
      </c>
      <c r="E2764" s="8" t="s">
        <v>15537</v>
      </c>
      <c r="F2764" s="8" t="s">
        <v>3601</v>
      </c>
      <c r="G2764" s="8" t="s">
        <v>15538</v>
      </c>
      <c r="H2764" s="8" t="s">
        <v>3479</v>
      </c>
      <c r="I2764" s="9">
        <v>0.0</v>
      </c>
      <c r="J2764" s="9">
        <v>1866.0</v>
      </c>
      <c r="K2764" s="9">
        <v>1866.0</v>
      </c>
      <c r="L2764" s="9">
        <v>1866.0</v>
      </c>
      <c r="M2764" s="9">
        <v>1866.0</v>
      </c>
      <c r="N2764" s="9">
        <v>0.0</v>
      </c>
      <c r="O2764" s="9">
        <v>0.0</v>
      </c>
      <c r="P2764" s="8" t="s">
        <v>3480</v>
      </c>
      <c r="Q2764" s="8"/>
      <c r="R2764" s="8"/>
    </row>
    <row r="2765">
      <c r="A2765" s="8" t="s">
        <v>1530</v>
      </c>
      <c r="B2765" s="8" t="s">
        <v>15539</v>
      </c>
      <c r="C2765" s="8" t="s">
        <v>13817</v>
      </c>
      <c r="D2765" s="9">
        <v>9.65700358E9</v>
      </c>
      <c r="E2765" s="8" t="s">
        <v>13818</v>
      </c>
      <c r="F2765" s="8" t="s">
        <v>3608</v>
      </c>
      <c r="G2765" s="8" t="s">
        <v>12482</v>
      </c>
      <c r="H2765" s="8" t="s">
        <v>3479</v>
      </c>
      <c r="I2765" s="9">
        <v>0.0</v>
      </c>
      <c r="J2765" s="9">
        <v>1550.0</v>
      </c>
      <c r="K2765" s="9">
        <v>1550.0</v>
      </c>
      <c r="L2765" s="9">
        <v>1550.0</v>
      </c>
      <c r="M2765" s="9">
        <v>1550.0</v>
      </c>
      <c r="N2765" s="9">
        <v>0.0</v>
      </c>
      <c r="O2765" s="9">
        <v>0.0</v>
      </c>
      <c r="P2765" s="8" t="s">
        <v>3480</v>
      </c>
      <c r="Q2765" s="8" t="s">
        <v>13819</v>
      </c>
      <c r="R2765" s="8" t="s">
        <v>13820</v>
      </c>
    </row>
    <row r="2766">
      <c r="A2766" s="8" t="s">
        <v>3020</v>
      </c>
      <c r="B2766" s="8" t="s">
        <v>15540</v>
      </c>
      <c r="C2766" s="8" t="s">
        <v>12092</v>
      </c>
      <c r="D2766" s="9">
        <v>9.62345044E9</v>
      </c>
      <c r="E2766" s="8" t="s">
        <v>15541</v>
      </c>
      <c r="F2766" s="8" t="s">
        <v>4189</v>
      </c>
      <c r="G2766" s="8" t="s">
        <v>15542</v>
      </c>
      <c r="H2766" s="8" t="s">
        <v>3479</v>
      </c>
      <c r="I2766" s="9">
        <v>0.0</v>
      </c>
      <c r="J2766" s="9">
        <v>1833.0</v>
      </c>
      <c r="K2766" s="9">
        <v>1833.0</v>
      </c>
      <c r="L2766" s="9">
        <v>1833.0</v>
      </c>
      <c r="M2766" s="9">
        <v>645.0</v>
      </c>
      <c r="N2766" s="9">
        <v>739.0</v>
      </c>
      <c r="O2766" s="9">
        <v>449.0</v>
      </c>
      <c r="P2766" s="8" t="s">
        <v>3480</v>
      </c>
      <c r="Q2766" s="8" t="s">
        <v>15543</v>
      </c>
      <c r="R2766" s="8" t="s">
        <v>15544</v>
      </c>
    </row>
    <row r="2767">
      <c r="A2767" s="8" t="s">
        <v>3045</v>
      </c>
      <c r="B2767" s="8" t="s">
        <v>15545</v>
      </c>
      <c r="C2767" s="8" t="s">
        <v>15546</v>
      </c>
      <c r="D2767" s="9">
        <v>8.793441853E9</v>
      </c>
      <c r="E2767" s="8" t="s">
        <v>15547</v>
      </c>
      <c r="F2767" s="8" t="s">
        <v>3809</v>
      </c>
      <c r="G2767" s="8" t="s">
        <v>15548</v>
      </c>
      <c r="H2767" s="8" t="s">
        <v>3479</v>
      </c>
      <c r="I2767" s="9">
        <v>0.0</v>
      </c>
      <c r="J2767" s="9">
        <v>3107.0</v>
      </c>
      <c r="K2767" s="9">
        <v>3107.0</v>
      </c>
      <c r="L2767" s="9">
        <v>3107.0</v>
      </c>
      <c r="M2767" s="9">
        <v>1773.0</v>
      </c>
      <c r="N2767" s="9">
        <v>510.0</v>
      </c>
      <c r="O2767" s="9">
        <v>824.0</v>
      </c>
      <c r="P2767" s="8" t="s">
        <v>3480</v>
      </c>
      <c r="Q2767" s="8" t="s">
        <v>15549</v>
      </c>
      <c r="R2767" s="8" t="s">
        <v>15550</v>
      </c>
    </row>
    <row r="2768">
      <c r="A2768" s="8" t="s">
        <v>375</v>
      </c>
      <c r="B2768" s="8" t="s">
        <v>15551</v>
      </c>
      <c r="C2768" s="8" t="s">
        <v>8664</v>
      </c>
      <c r="D2768" s="9">
        <v>9.588623757E9</v>
      </c>
      <c r="E2768" s="8" t="s">
        <v>8665</v>
      </c>
      <c r="F2768" s="8" t="s">
        <v>3908</v>
      </c>
      <c r="G2768" s="8" t="s">
        <v>15552</v>
      </c>
      <c r="H2768" s="8" t="s">
        <v>3479</v>
      </c>
      <c r="I2768" s="9">
        <v>0.0</v>
      </c>
      <c r="J2768" s="9">
        <v>2509.0</v>
      </c>
      <c r="K2768" s="9">
        <v>2509.0</v>
      </c>
      <c r="L2768" s="9">
        <v>2509.0</v>
      </c>
      <c r="M2768" s="9">
        <v>786.0</v>
      </c>
      <c r="N2768" s="9">
        <v>849.0</v>
      </c>
      <c r="O2768" s="9">
        <v>874.0</v>
      </c>
      <c r="P2768" s="8" t="s">
        <v>3544</v>
      </c>
      <c r="Q2768" s="8" t="s">
        <v>8667</v>
      </c>
      <c r="R2768" s="8" t="s">
        <v>8668</v>
      </c>
    </row>
    <row r="2769">
      <c r="A2769" s="8" t="s">
        <v>1527</v>
      </c>
      <c r="B2769" s="8" t="s">
        <v>15553</v>
      </c>
      <c r="C2769" s="8" t="s">
        <v>3957</v>
      </c>
      <c r="D2769" s="9">
        <v>9.822889511E9</v>
      </c>
      <c r="E2769" s="8" t="s">
        <v>3958</v>
      </c>
      <c r="F2769" s="8" t="s">
        <v>3959</v>
      </c>
      <c r="G2769" s="8" t="s">
        <v>15554</v>
      </c>
      <c r="H2769" s="8" t="s">
        <v>3479</v>
      </c>
      <c r="I2769" s="9">
        <v>0.0</v>
      </c>
      <c r="J2769" s="9">
        <v>861.0</v>
      </c>
      <c r="K2769" s="9">
        <v>861.0</v>
      </c>
      <c r="L2769" s="9">
        <v>861.0</v>
      </c>
      <c r="M2769" s="9">
        <v>861.0</v>
      </c>
      <c r="N2769" s="9">
        <v>0.0</v>
      </c>
      <c r="O2769" s="9">
        <v>0.0</v>
      </c>
      <c r="P2769" s="8" t="s">
        <v>3519</v>
      </c>
      <c r="Q2769" s="8" t="s">
        <v>3961</v>
      </c>
      <c r="R2769" s="8" t="s">
        <v>3962</v>
      </c>
    </row>
    <row r="2770">
      <c r="A2770" s="8" t="s">
        <v>376</v>
      </c>
      <c r="B2770" s="8" t="s">
        <v>15555</v>
      </c>
      <c r="C2770" s="8" t="s">
        <v>15556</v>
      </c>
      <c r="D2770" s="9">
        <v>9.130032065E9</v>
      </c>
      <c r="E2770" s="8" t="s">
        <v>9864</v>
      </c>
      <c r="F2770" s="8" t="s">
        <v>3589</v>
      </c>
      <c r="G2770" s="8" t="s">
        <v>15557</v>
      </c>
      <c r="H2770" s="8" t="s">
        <v>3479</v>
      </c>
      <c r="I2770" s="9">
        <v>0.0</v>
      </c>
      <c r="J2770" s="9">
        <v>3345.0</v>
      </c>
      <c r="K2770" s="9">
        <v>3345.0</v>
      </c>
      <c r="L2770" s="9">
        <v>3345.0</v>
      </c>
      <c r="M2770" s="9">
        <v>2082.0</v>
      </c>
      <c r="N2770" s="9">
        <v>739.0</v>
      </c>
      <c r="O2770" s="9">
        <v>524.0</v>
      </c>
      <c r="P2770" s="8" t="s">
        <v>3480</v>
      </c>
      <c r="Q2770" s="8"/>
      <c r="R2770" s="8"/>
    </row>
    <row r="2771">
      <c r="A2771" s="8" t="s">
        <v>377</v>
      </c>
      <c r="B2771" s="8" t="s">
        <v>15558</v>
      </c>
      <c r="C2771" s="8" t="s">
        <v>4076</v>
      </c>
      <c r="D2771" s="9">
        <v>9.922936592E9</v>
      </c>
      <c r="E2771" s="8" t="s">
        <v>15559</v>
      </c>
      <c r="F2771" s="8" t="s">
        <v>4805</v>
      </c>
      <c r="G2771" s="8" t="s">
        <v>15560</v>
      </c>
      <c r="H2771" s="8" t="s">
        <v>3479</v>
      </c>
      <c r="I2771" s="9">
        <v>0.0</v>
      </c>
      <c r="J2771" s="9">
        <v>1907.0</v>
      </c>
      <c r="K2771" s="9">
        <v>1907.0</v>
      </c>
      <c r="L2771" s="9">
        <v>1907.0</v>
      </c>
      <c r="M2771" s="9">
        <v>673.0</v>
      </c>
      <c r="N2771" s="9">
        <v>785.0</v>
      </c>
      <c r="O2771" s="9">
        <v>449.0</v>
      </c>
      <c r="P2771" s="8" t="s">
        <v>3480</v>
      </c>
      <c r="Q2771" s="8"/>
      <c r="R2771" s="8"/>
    </row>
    <row r="2772">
      <c r="A2772" s="8" t="s">
        <v>378</v>
      </c>
      <c r="B2772" s="8" t="s">
        <v>15561</v>
      </c>
      <c r="C2772" s="8" t="s">
        <v>15562</v>
      </c>
      <c r="D2772" s="9">
        <v>9.096274737E9</v>
      </c>
      <c r="E2772" s="8" t="s">
        <v>15563</v>
      </c>
      <c r="F2772" s="8" t="s">
        <v>4333</v>
      </c>
      <c r="G2772" s="8" t="s">
        <v>15564</v>
      </c>
      <c r="H2772" s="8" t="s">
        <v>3479</v>
      </c>
      <c r="I2772" s="9">
        <v>0.0</v>
      </c>
      <c r="J2772" s="9">
        <v>1954.0</v>
      </c>
      <c r="K2772" s="9">
        <v>1954.0</v>
      </c>
      <c r="L2772" s="9">
        <v>1954.0</v>
      </c>
      <c r="M2772" s="9">
        <v>355.0</v>
      </c>
      <c r="N2772" s="9">
        <v>900.0</v>
      </c>
      <c r="O2772" s="9">
        <v>699.0</v>
      </c>
      <c r="P2772" s="8" t="s">
        <v>3480</v>
      </c>
      <c r="Q2772" s="8" t="s">
        <v>15565</v>
      </c>
      <c r="R2772" s="8" t="s">
        <v>15566</v>
      </c>
    </row>
    <row r="2773">
      <c r="A2773" s="8" t="s">
        <v>379</v>
      </c>
      <c r="B2773" s="8" t="s">
        <v>15567</v>
      </c>
      <c r="C2773" s="8" t="s">
        <v>10096</v>
      </c>
      <c r="D2773" s="9">
        <v>8.411084667E9</v>
      </c>
      <c r="E2773" s="8" t="s">
        <v>10097</v>
      </c>
      <c r="F2773" s="8" t="s">
        <v>4134</v>
      </c>
      <c r="G2773" s="8" t="s">
        <v>15568</v>
      </c>
      <c r="H2773" s="8" t="s">
        <v>3479</v>
      </c>
      <c r="I2773" s="9">
        <v>0.0</v>
      </c>
      <c r="J2773" s="9">
        <v>550.0</v>
      </c>
      <c r="K2773" s="9">
        <v>550.0</v>
      </c>
      <c r="L2773" s="9">
        <v>550.0</v>
      </c>
      <c r="M2773" s="9">
        <v>425.0</v>
      </c>
      <c r="N2773" s="9">
        <v>0.0</v>
      </c>
      <c r="O2773" s="9">
        <v>125.0</v>
      </c>
      <c r="P2773" s="8" t="s">
        <v>3480</v>
      </c>
      <c r="Q2773" s="8"/>
      <c r="R2773" s="8"/>
    </row>
    <row r="2774">
      <c r="A2774" s="8" t="s">
        <v>380</v>
      </c>
      <c r="B2774" s="8" t="s">
        <v>15569</v>
      </c>
      <c r="C2774" s="8" t="s">
        <v>4110</v>
      </c>
      <c r="D2774" s="9">
        <v>7.387043468E9</v>
      </c>
      <c r="E2774" s="8" t="s">
        <v>4111</v>
      </c>
      <c r="F2774" s="8" t="s">
        <v>4112</v>
      </c>
      <c r="G2774" s="8" t="s">
        <v>15570</v>
      </c>
      <c r="H2774" s="8" t="s">
        <v>3479</v>
      </c>
      <c r="I2774" s="9">
        <v>0.0</v>
      </c>
      <c r="J2774" s="9">
        <v>824.0</v>
      </c>
      <c r="K2774" s="9">
        <v>824.0</v>
      </c>
      <c r="L2774" s="9">
        <v>824.0</v>
      </c>
      <c r="M2774" s="9">
        <v>375.0</v>
      </c>
      <c r="N2774" s="9">
        <v>0.0</v>
      </c>
      <c r="O2774" s="9">
        <v>449.0</v>
      </c>
      <c r="P2774" s="8" t="s">
        <v>3480</v>
      </c>
      <c r="Q2774" s="8" t="s">
        <v>4114</v>
      </c>
      <c r="R2774" s="8" t="s">
        <v>4115</v>
      </c>
    </row>
    <row r="2775">
      <c r="A2775" s="8" t="s">
        <v>381</v>
      </c>
      <c r="B2775" s="8" t="s">
        <v>15571</v>
      </c>
      <c r="C2775" s="8" t="s">
        <v>4725</v>
      </c>
      <c r="D2775" s="9">
        <v>9.82363775E9</v>
      </c>
      <c r="E2775" s="8" t="s">
        <v>4726</v>
      </c>
      <c r="F2775" s="8" t="s">
        <v>3557</v>
      </c>
      <c r="G2775" s="8" t="s">
        <v>15572</v>
      </c>
      <c r="H2775" s="8" t="s">
        <v>3479</v>
      </c>
      <c r="I2775" s="9">
        <v>0.0</v>
      </c>
      <c r="J2775" s="9">
        <v>3529.0</v>
      </c>
      <c r="K2775" s="9">
        <v>3529.0</v>
      </c>
      <c r="L2775" s="9">
        <v>3529.0</v>
      </c>
      <c r="M2775" s="9">
        <v>1930.0</v>
      </c>
      <c r="N2775" s="9">
        <v>900.0</v>
      </c>
      <c r="O2775" s="9">
        <v>699.0</v>
      </c>
      <c r="P2775" s="8" t="s">
        <v>3480</v>
      </c>
      <c r="Q2775" s="8" t="s">
        <v>4728</v>
      </c>
      <c r="R2775" s="8" t="s">
        <v>4729</v>
      </c>
    </row>
    <row r="2776">
      <c r="A2776" s="8" t="s">
        <v>382</v>
      </c>
      <c r="B2776" s="8" t="s">
        <v>15573</v>
      </c>
      <c r="C2776" s="8" t="s">
        <v>10860</v>
      </c>
      <c r="D2776" s="9">
        <v>9.545049944E9</v>
      </c>
      <c r="E2776" s="8" t="s">
        <v>10861</v>
      </c>
      <c r="F2776" s="8" t="s">
        <v>10862</v>
      </c>
      <c r="G2776" s="8" t="s">
        <v>15574</v>
      </c>
      <c r="H2776" s="8" t="s">
        <v>3479</v>
      </c>
      <c r="I2776" s="9">
        <v>0.0</v>
      </c>
      <c r="J2776" s="9">
        <v>1264.0</v>
      </c>
      <c r="K2776" s="9">
        <v>1264.0</v>
      </c>
      <c r="L2776" s="9">
        <v>1264.0</v>
      </c>
      <c r="M2776" s="9">
        <v>565.0</v>
      </c>
      <c r="N2776" s="9">
        <v>0.0</v>
      </c>
      <c r="O2776" s="9">
        <v>699.0</v>
      </c>
      <c r="P2776" s="8" t="s">
        <v>3480</v>
      </c>
      <c r="Q2776" s="8" t="s">
        <v>10864</v>
      </c>
      <c r="R2776" s="8" t="s">
        <v>10865</v>
      </c>
    </row>
    <row r="2777">
      <c r="A2777" s="8" t="s">
        <v>384</v>
      </c>
      <c r="B2777" s="8" t="s">
        <v>15575</v>
      </c>
      <c r="C2777" s="8" t="s">
        <v>15576</v>
      </c>
      <c r="D2777" s="9">
        <v>9.206484443E9</v>
      </c>
      <c r="E2777" s="8" t="s">
        <v>15577</v>
      </c>
      <c r="F2777" s="8" t="s">
        <v>3753</v>
      </c>
      <c r="G2777" s="8" t="s">
        <v>15578</v>
      </c>
      <c r="H2777" s="8" t="s">
        <v>3479</v>
      </c>
      <c r="I2777" s="9">
        <v>0.0</v>
      </c>
      <c r="J2777" s="9">
        <v>3629.0</v>
      </c>
      <c r="K2777" s="9">
        <v>3629.0</v>
      </c>
      <c r="L2777" s="9">
        <v>3629.0</v>
      </c>
      <c r="M2777" s="9">
        <v>2116.0</v>
      </c>
      <c r="N2777" s="9">
        <v>739.0</v>
      </c>
      <c r="O2777" s="9">
        <v>774.0</v>
      </c>
      <c r="P2777" s="8" t="s">
        <v>3480</v>
      </c>
      <c r="Q2777" s="8"/>
      <c r="R2777" s="8"/>
    </row>
    <row r="2778">
      <c r="A2778" s="8" t="s">
        <v>1528</v>
      </c>
      <c r="B2778" s="8" t="s">
        <v>15579</v>
      </c>
      <c r="C2778" s="8" t="s">
        <v>7885</v>
      </c>
      <c r="D2778" s="9">
        <v>9.359006522E9</v>
      </c>
      <c r="E2778" s="8" t="s">
        <v>7886</v>
      </c>
      <c r="F2778" s="8" t="s">
        <v>3809</v>
      </c>
      <c r="G2778" s="8" t="s">
        <v>4036</v>
      </c>
      <c r="H2778" s="8" t="s">
        <v>3479</v>
      </c>
      <c r="I2778" s="9">
        <v>0.0</v>
      </c>
      <c r="J2778" s="9">
        <v>947.0</v>
      </c>
      <c r="K2778" s="9">
        <v>947.0</v>
      </c>
      <c r="L2778" s="9">
        <v>947.0</v>
      </c>
      <c r="M2778" s="9">
        <v>198.0</v>
      </c>
      <c r="N2778" s="9">
        <v>0.0</v>
      </c>
      <c r="O2778" s="9">
        <v>749.0</v>
      </c>
      <c r="P2778" s="8" t="s">
        <v>3480</v>
      </c>
      <c r="Q2778" s="8" t="s">
        <v>7887</v>
      </c>
      <c r="R2778" s="8" t="s">
        <v>7888</v>
      </c>
    </row>
    <row r="2779">
      <c r="A2779" s="8" t="s">
        <v>1529</v>
      </c>
      <c r="B2779" s="8" t="s">
        <v>15580</v>
      </c>
      <c r="C2779" s="8" t="s">
        <v>10460</v>
      </c>
      <c r="D2779" s="9">
        <v>9.518352796E9</v>
      </c>
      <c r="E2779" s="8" t="s">
        <v>10461</v>
      </c>
      <c r="F2779" s="8" t="s">
        <v>3498</v>
      </c>
      <c r="G2779" s="8" t="s">
        <v>15581</v>
      </c>
      <c r="H2779" s="8" t="s">
        <v>3479</v>
      </c>
      <c r="I2779" s="9">
        <v>0.0</v>
      </c>
      <c r="J2779" s="9">
        <v>2494.0</v>
      </c>
      <c r="K2779" s="9">
        <v>2494.0</v>
      </c>
      <c r="L2779" s="9">
        <v>2494.0</v>
      </c>
      <c r="M2779" s="9">
        <v>2119.0</v>
      </c>
      <c r="N2779" s="9">
        <v>0.0</v>
      </c>
      <c r="O2779" s="9">
        <v>375.0</v>
      </c>
      <c r="P2779" s="8" t="s">
        <v>3480</v>
      </c>
      <c r="Q2779" s="8"/>
      <c r="R2779" s="8"/>
    </row>
    <row r="2780">
      <c r="A2780" s="8" t="s">
        <v>3052</v>
      </c>
      <c r="B2780" s="8" t="s">
        <v>15582</v>
      </c>
      <c r="C2780" s="8" t="s">
        <v>13132</v>
      </c>
      <c r="D2780" s="9">
        <v>8.892548097E9</v>
      </c>
      <c r="E2780" s="8" t="s">
        <v>13133</v>
      </c>
      <c r="F2780" s="8" t="s">
        <v>4558</v>
      </c>
      <c r="G2780" s="8" t="s">
        <v>15583</v>
      </c>
      <c r="H2780" s="8" t="s">
        <v>3479</v>
      </c>
      <c r="I2780" s="9">
        <v>0.0</v>
      </c>
      <c r="J2780" s="9">
        <v>2115.0</v>
      </c>
      <c r="K2780" s="9">
        <v>2115.0</v>
      </c>
      <c r="L2780" s="9">
        <v>2115.0</v>
      </c>
      <c r="M2780" s="9">
        <v>587.0</v>
      </c>
      <c r="N2780" s="9">
        <v>804.0</v>
      </c>
      <c r="O2780" s="9">
        <v>724.0</v>
      </c>
      <c r="P2780" s="8" t="s">
        <v>3480</v>
      </c>
      <c r="Q2780" s="8"/>
      <c r="R2780" s="8"/>
    </row>
    <row r="2781">
      <c r="A2781" s="8" t="s">
        <v>3021</v>
      </c>
      <c r="B2781" s="8" t="s">
        <v>15584</v>
      </c>
      <c r="C2781" s="8" t="s">
        <v>13480</v>
      </c>
      <c r="D2781" s="9">
        <v>9.552399677E9</v>
      </c>
      <c r="E2781" s="8" t="s">
        <v>13481</v>
      </c>
      <c r="F2781" s="8" t="s">
        <v>3608</v>
      </c>
      <c r="G2781" s="8" t="s">
        <v>13482</v>
      </c>
      <c r="H2781" s="8" t="s">
        <v>3479</v>
      </c>
      <c r="I2781" s="9">
        <v>0.0</v>
      </c>
      <c r="J2781" s="9">
        <v>1578.0</v>
      </c>
      <c r="K2781" s="9">
        <v>1578.0</v>
      </c>
      <c r="L2781" s="9">
        <v>1578.0</v>
      </c>
      <c r="M2781" s="9">
        <v>390.0</v>
      </c>
      <c r="N2781" s="9">
        <v>739.0</v>
      </c>
      <c r="O2781" s="9">
        <v>449.0</v>
      </c>
      <c r="P2781" s="8" t="s">
        <v>3480</v>
      </c>
      <c r="Q2781" s="8"/>
      <c r="R2781" s="8"/>
    </row>
    <row r="2782">
      <c r="A2782" s="8" t="s">
        <v>1531</v>
      </c>
      <c r="B2782" s="8" t="s">
        <v>15585</v>
      </c>
      <c r="C2782" s="8" t="s">
        <v>4231</v>
      </c>
      <c r="D2782" s="9">
        <v>9.370708502E9</v>
      </c>
      <c r="E2782" s="8" t="s">
        <v>4232</v>
      </c>
      <c r="F2782" s="8" t="s">
        <v>3653</v>
      </c>
      <c r="G2782" s="8" t="s">
        <v>15586</v>
      </c>
      <c r="H2782" s="8" t="s">
        <v>3479</v>
      </c>
      <c r="I2782" s="9">
        <v>0.0</v>
      </c>
      <c r="J2782" s="9">
        <v>1506.0</v>
      </c>
      <c r="K2782" s="9">
        <v>1506.0</v>
      </c>
      <c r="L2782" s="9">
        <v>1506.0</v>
      </c>
      <c r="M2782" s="9">
        <v>270.0</v>
      </c>
      <c r="N2782" s="9">
        <v>787.0</v>
      </c>
      <c r="O2782" s="9">
        <v>449.0</v>
      </c>
      <c r="P2782" s="8" t="s">
        <v>3480</v>
      </c>
      <c r="Q2782" s="8" t="s">
        <v>4234</v>
      </c>
      <c r="R2782" s="8" t="s">
        <v>4235</v>
      </c>
    </row>
    <row r="2783">
      <c r="A2783" s="8" t="s">
        <v>3022</v>
      </c>
      <c r="B2783" s="8" t="s">
        <v>15587</v>
      </c>
      <c r="C2783" s="8" t="s">
        <v>11112</v>
      </c>
      <c r="D2783" s="9">
        <v>9.860091962E9</v>
      </c>
      <c r="E2783" s="8" t="s">
        <v>11113</v>
      </c>
      <c r="F2783" s="8" t="s">
        <v>3601</v>
      </c>
      <c r="G2783" s="8" t="s">
        <v>15588</v>
      </c>
      <c r="H2783" s="8" t="s">
        <v>3479</v>
      </c>
      <c r="I2783" s="9">
        <v>0.0</v>
      </c>
      <c r="J2783" s="9">
        <v>1256.0</v>
      </c>
      <c r="K2783" s="9">
        <v>1256.0</v>
      </c>
      <c r="L2783" s="9">
        <v>1256.0</v>
      </c>
      <c r="M2783" s="9">
        <v>981.0</v>
      </c>
      <c r="N2783" s="9">
        <v>0.0</v>
      </c>
      <c r="O2783" s="9">
        <v>275.0</v>
      </c>
      <c r="P2783" s="8" t="s">
        <v>3480</v>
      </c>
      <c r="Q2783" s="8" t="s">
        <v>11115</v>
      </c>
      <c r="R2783" s="8" t="s">
        <v>11116</v>
      </c>
    </row>
    <row r="2784">
      <c r="A2784" s="8" t="s">
        <v>3062</v>
      </c>
      <c r="B2784" s="8" t="s">
        <v>15589</v>
      </c>
      <c r="C2784" s="8" t="s">
        <v>15590</v>
      </c>
      <c r="D2784" s="9">
        <v>7.058416063E9</v>
      </c>
      <c r="E2784" s="8" t="s">
        <v>15591</v>
      </c>
      <c r="F2784" s="8" t="s">
        <v>3608</v>
      </c>
      <c r="G2784" s="8" t="s">
        <v>15592</v>
      </c>
      <c r="H2784" s="8" t="s">
        <v>3479</v>
      </c>
      <c r="I2784" s="9">
        <v>0.0</v>
      </c>
      <c r="J2784" s="9">
        <v>1676.0</v>
      </c>
      <c r="K2784" s="9">
        <v>1676.0</v>
      </c>
      <c r="L2784" s="9">
        <v>1676.0</v>
      </c>
      <c r="M2784" s="9">
        <v>488.0</v>
      </c>
      <c r="N2784" s="9">
        <v>739.0</v>
      </c>
      <c r="O2784" s="9">
        <v>449.0</v>
      </c>
      <c r="P2784" s="8" t="s">
        <v>3480</v>
      </c>
      <c r="Q2784" s="8"/>
      <c r="R2784" s="8"/>
    </row>
    <row r="2785">
      <c r="A2785" s="8" t="s">
        <v>3061</v>
      </c>
      <c r="B2785" s="8" t="s">
        <v>15593</v>
      </c>
      <c r="C2785" s="8" t="s">
        <v>7187</v>
      </c>
      <c r="D2785" s="9">
        <v>9.8906118E9</v>
      </c>
      <c r="E2785" s="8" t="s">
        <v>15594</v>
      </c>
      <c r="F2785" s="8" t="s">
        <v>3881</v>
      </c>
      <c r="G2785" s="8" t="s">
        <v>14352</v>
      </c>
      <c r="H2785" s="8" t="s">
        <v>3479</v>
      </c>
      <c r="I2785" s="9">
        <v>0.0</v>
      </c>
      <c r="J2785" s="9">
        <v>1803.0</v>
      </c>
      <c r="K2785" s="9">
        <v>1803.0</v>
      </c>
      <c r="L2785" s="9">
        <v>1803.0</v>
      </c>
      <c r="M2785" s="9">
        <v>460.0</v>
      </c>
      <c r="N2785" s="9">
        <v>739.0</v>
      </c>
      <c r="O2785" s="9">
        <v>604.0</v>
      </c>
      <c r="P2785" s="8" t="s">
        <v>3480</v>
      </c>
      <c r="Q2785" s="8" t="s">
        <v>15595</v>
      </c>
      <c r="R2785" s="8" t="s">
        <v>15596</v>
      </c>
    </row>
    <row r="2786">
      <c r="A2786" s="8" t="s">
        <v>3074</v>
      </c>
      <c r="B2786" s="8" t="s">
        <v>15597</v>
      </c>
      <c r="C2786" s="8" t="s">
        <v>3581</v>
      </c>
      <c r="D2786" s="9">
        <v>8.888520035E9</v>
      </c>
      <c r="E2786" s="8" t="s">
        <v>3582</v>
      </c>
      <c r="F2786" s="8" t="s">
        <v>3550</v>
      </c>
      <c r="G2786" s="8" t="s">
        <v>15598</v>
      </c>
      <c r="H2786" s="8" t="s">
        <v>3479</v>
      </c>
      <c r="I2786" s="9">
        <v>0.0</v>
      </c>
      <c r="J2786" s="9">
        <v>1332.0</v>
      </c>
      <c r="K2786" s="9">
        <v>1332.0</v>
      </c>
      <c r="L2786" s="9">
        <v>1332.0</v>
      </c>
      <c r="M2786" s="9">
        <v>883.0</v>
      </c>
      <c r="N2786" s="9">
        <v>0.0</v>
      </c>
      <c r="O2786" s="9">
        <v>449.0</v>
      </c>
      <c r="P2786" s="8" t="s">
        <v>3480</v>
      </c>
      <c r="Q2786" s="8" t="s">
        <v>3584</v>
      </c>
      <c r="R2786" s="8" t="s">
        <v>3585</v>
      </c>
    </row>
    <row r="2787">
      <c r="A2787" s="8" t="s">
        <v>3063</v>
      </c>
      <c r="B2787" s="8" t="s">
        <v>15599</v>
      </c>
      <c r="C2787" s="8" t="s">
        <v>3844</v>
      </c>
      <c r="D2787" s="9">
        <v>9.987725138E9</v>
      </c>
      <c r="E2787" s="8" t="s">
        <v>3845</v>
      </c>
      <c r="F2787" s="8" t="s">
        <v>3846</v>
      </c>
      <c r="G2787" s="8" t="s">
        <v>13378</v>
      </c>
      <c r="H2787" s="8" t="s">
        <v>3479</v>
      </c>
      <c r="I2787" s="9">
        <v>0.0</v>
      </c>
      <c r="J2787" s="9">
        <v>2324.0</v>
      </c>
      <c r="K2787" s="9">
        <v>2324.0</v>
      </c>
      <c r="L2787" s="9">
        <v>2324.0</v>
      </c>
      <c r="M2787" s="9">
        <v>412.0</v>
      </c>
      <c r="N2787" s="9">
        <v>938.0</v>
      </c>
      <c r="O2787" s="9">
        <v>974.0</v>
      </c>
      <c r="P2787" s="8" t="s">
        <v>3480</v>
      </c>
      <c r="Q2787" s="8" t="s">
        <v>3848</v>
      </c>
      <c r="R2787" s="8" t="s">
        <v>3849</v>
      </c>
    </row>
    <row r="2788">
      <c r="A2788" s="8" t="s">
        <v>3064</v>
      </c>
      <c r="B2788" s="8" t="s">
        <v>15600</v>
      </c>
      <c r="C2788" s="8" t="s">
        <v>10711</v>
      </c>
      <c r="D2788" s="9">
        <v>9.890921262E9</v>
      </c>
      <c r="E2788" s="8" t="s">
        <v>10712</v>
      </c>
      <c r="F2788" s="8" t="s">
        <v>4715</v>
      </c>
      <c r="G2788" s="8" t="s">
        <v>15601</v>
      </c>
      <c r="H2788" s="8" t="s">
        <v>3479</v>
      </c>
      <c r="I2788" s="9">
        <v>0.0</v>
      </c>
      <c r="J2788" s="9">
        <v>1304.0</v>
      </c>
      <c r="K2788" s="9">
        <v>1304.0</v>
      </c>
      <c r="L2788" s="9">
        <v>1304.0</v>
      </c>
      <c r="M2788" s="9">
        <v>80.0</v>
      </c>
      <c r="N2788" s="9">
        <v>775.0</v>
      </c>
      <c r="O2788" s="9">
        <v>449.0</v>
      </c>
      <c r="P2788" s="8" t="s">
        <v>3544</v>
      </c>
      <c r="Q2788" s="8" t="s">
        <v>10714</v>
      </c>
      <c r="R2788" s="8" t="s">
        <v>4718</v>
      </c>
    </row>
    <row r="2789">
      <c r="A2789" s="8" t="s">
        <v>3065</v>
      </c>
      <c r="B2789" s="8" t="s">
        <v>15602</v>
      </c>
      <c r="C2789" s="8" t="s">
        <v>10354</v>
      </c>
      <c r="D2789" s="9">
        <v>7.038096433E9</v>
      </c>
      <c r="E2789" s="8" t="s">
        <v>10355</v>
      </c>
      <c r="F2789" s="8" t="s">
        <v>4125</v>
      </c>
      <c r="G2789" s="8" t="s">
        <v>15603</v>
      </c>
      <c r="H2789" s="8" t="s">
        <v>3479</v>
      </c>
      <c r="I2789" s="9">
        <v>0.0</v>
      </c>
      <c r="J2789" s="9">
        <v>2372.0</v>
      </c>
      <c r="K2789" s="9">
        <v>2372.0</v>
      </c>
      <c r="L2789" s="9">
        <v>2372.0</v>
      </c>
      <c r="M2789" s="9">
        <v>989.0</v>
      </c>
      <c r="N2789" s="9">
        <v>784.0</v>
      </c>
      <c r="O2789" s="9">
        <v>599.0</v>
      </c>
      <c r="P2789" s="8" t="s">
        <v>3544</v>
      </c>
      <c r="Q2789" s="8"/>
      <c r="R2789" s="8"/>
    </row>
    <row r="2790">
      <c r="A2790" s="8" t="s">
        <v>2384</v>
      </c>
      <c r="B2790" s="8" t="s">
        <v>15604</v>
      </c>
      <c r="C2790" s="8" t="s">
        <v>15605</v>
      </c>
      <c r="D2790" s="9">
        <v>9.711939672E9</v>
      </c>
      <c r="E2790" s="8" t="s">
        <v>15606</v>
      </c>
      <c r="F2790" s="8" t="s">
        <v>3589</v>
      </c>
      <c r="G2790" s="8" t="s">
        <v>3494</v>
      </c>
      <c r="H2790" s="8" t="s">
        <v>3479</v>
      </c>
      <c r="I2790" s="9">
        <v>0.0</v>
      </c>
      <c r="J2790" s="9">
        <v>1542.0</v>
      </c>
      <c r="K2790" s="9">
        <v>1542.0</v>
      </c>
      <c r="L2790" s="9">
        <v>1542.0</v>
      </c>
      <c r="M2790" s="9">
        <v>938.0</v>
      </c>
      <c r="N2790" s="9">
        <v>80.0</v>
      </c>
      <c r="O2790" s="9">
        <v>524.0</v>
      </c>
      <c r="P2790" s="8" t="s">
        <v>3480</v>
      </c>
      <c r="Q2790" s="8" t="s">
        <v>15607</v>
      </c>
      <c r="R2790" s="8" t="s">
        <v>15608</v>
      </c>
    </row>
    <row r="2791">
      <c r="A2791" s="8" t="s">
        <v>3066</v>
      </c>
      <c r="B2791" s="8" t="s">
        <v>15609</v>
      </c>
      <c r="C2791" s="8" t="s">
        <v>6361</v>
      </c>
      <c r="D2791" s="9">
        <v>9.850554482E9</v>
      </c>
      <c r="E2791" s="8" t="s">
        <v>6362</v>
      </c>
      <c r="F2791" s="8" t="s">
        <v>6363</v>
      </c>
      <c r="G2791" s="8" t="s">
        <v>15610</v>
      </c>
      <c r="H2791" s="8" t="s">
        <v>3479</v>
      </c>
      <c r="I2791" s="9">
        <v>0.0</v>
      </c>
      <c r="J2791" s="9">
        <v>920.0</v>
      </c>
      <c r="K2791" s="9">
        <v>920.0</v>
      </c>
      <c r="L2791" s="9">
        <v>920.0</v>
      </c>
      <c r="M2791" s="9">
        <v>795.0</v>
      </c>
      <c r="N2791" s="9">
        <v>0.0</v>
      </c>
      <c r="O2791" s="9">
        <v>125.0</v>
      </c>
      <c r="P2791" s="8" t="s">
        <v>3480</v>
      </c>
      <c r="Q2791" s="8"/>
      <c r="R2791" s="8" t="s">
        <v>6365</v>
      </c>
    </row>
    <row r="2792">
      <c r="A2792" s="8" t="s">
        <v>3067</v>
      </c>
      <c r="B2792" s="8" t="s">
        <v>15611</v>
      </c>
      <c r="C2792" s="8" t="s">
        <v>10278</v>
      </c>
      <c r="D2792" s="9">
        <v>7.744874182E9</v>
      </c>
      <c r="E2792" s="8" t="s">
        <v>15612</v>
      </c>
      <c r="F2792" s="8" t="s">
        <v>4143</v>
      </c>
      <c r="G2792" s="8" t="s">
        <v>15613</v>
      </c>
      <c r="H2792" s="8" t="s">
        <v>3479</v>
      </c>
      <c r="I2792" s="9">
        <v>0.0</v>
      </c>
      <c r="J2792" s="9">
        <v>2369.0</v>
      </c>
      <c r="K2792" s="9">
        <v>2369.0</v>
      </c>
      <c r="L2792" s="9">
        <v>2369.0</v>
      </c>
      <c r="M2792" s="9">
        <v>755.0</v>
      </c>
      <c r="N2792" s="9">
        <v>840.0</v>
      </c>
      <c r="O2792" s="9">
        <v>774.0</v>
      </c>
      <c r="P2792" s="8" t="s">
        <v>3480</v>
      </c>
      <c r="Q2792" s="8"/>
      <c r="R2792" s="8" t="s">
        <v>15614</v>
      </c>
    </row>
    <row r="2793">
      <c r="A2793" s="8" t="s">
        <v>3068</v>
      </c>
      <c r="B2793" s="8" t="s">
        <v>15615</v>
      </c>
      <c r="C2793" s="8" t="s">
        <v>15616</v>
      </c>
      <c r="D2793" s="9">
        <v>8.275680116E9</v>
      </c>
      <c r="E2793" s="8" t="s">
        <v>15617</v>
      </c>
      <c r="F2793" s="8" t="s">
        <v>4150</v>
      </c>
      <c r="G2793" s="8" t="s">
        <v>15618</v>
      </c>
      <c r="H2793" s="8" t="s">
        <v>3479</v>
      </c>
      <c r="I2793" s="9">
        <v>0.0</v>
      </c>
      <c r="J2793" s="9">
        <v>1454.0</v>
      </c>
      <c r="K2793" s="9">
        <v>1454.0</v>
      </c>
      <c r="L2793" s="9">
        <v>1454.0</v>
      </c>
      <c r="M2793" s="9">
        <v>80.0</v>
      </c>
      <c r="N2793" s="9">
        <v>775.0</v>
      </c>
      <c r="O2793" s="9">
        <v>599.0</v>
      </c>
      <c r="P2793" s="8" t="s">
        <v>3480</v>
      </c>
      <c r="Q2793" s="8"/>
      <c r="R2793" s="8"/>
    </row>
    <row r="2794">
      <c r="A2794" s="8" t="s">
        <v>244</v>
      </c>
      <c r="B2794" s="8" t="s">
        <v>15619</v>
      </c>
      <c r="C2794" s="8" t="s">
        <v>12008</v>
      </c>
      <c r="D2794" s="9">
        <v>9.604141797E9</v>
      </c>
      <c r="E2794" s="8" t="s">
        <v>12009</v>
      </c>
      <c r="F2794" s="8" t="s">
        <v>4436</v>
      </c>
      <c r="G2794" s="8" t="s">
        <v>15620</v>
      </c>
      <c r="H2794" s="8" t="s">
        <v>8705</v>
      </c>
      <c r="I2794" s="9">
        <v>1000.0</v>
      </c>
      <c r="J2794" s="9">
        <v>0.0</v>
      </c>
      <c r="K2794" s="9">
        <v>1019.0</v>
      </c>
      <c r="L2794" s="9">
        <v>1000.0</v>
      </c>
      <c r="M2794" s="9">
        <v>80.0</v>
      </c>
      <c r="N2794" s="9">
        <v>190.0</v>
      </c>
      <c r="O2794" s="9">
        <v>749.0</v>
      </c>
      <c r="P2794" s="8" t="s">
        <v>3519</v>
      </c>
      <c r="Q2794" s="8" t="s">
        <v>12011</v>
      </c>
      <c r="R2794" s="8"/>
    </row>
    <row r="2795">
      <c r="A2795" s="8" t="s">
        <v>3069</v>
      </c>
      <c r="B2795" s="8" t="s">
        <v>15621</v>
      </c>
      <c r="C2795" s="8" t="s">
        <v>10358</v>
      </c>
      <c r="D2795" s="9">
        <v>8.600081747E9</v>
      </c>
      <c r="E2795" s="8" t="s">
        <v>10359</v>
      </c>
      <c r="F2795" s="8" t="s">
        <v>4391</v>
      </c>
      <c r="G2795" s="8" t="s">
        <v>15622</v>
      </c>
      <c r="H2795" s="8" t="s">
        <v>3479</v>
      </c>
      <c r="I2795" s="9">
        <v>0.0</v>
      </c>
      <c r="J2795" s="9">
        <v>1568.0</v>
      </c>
      <c r="K2795" s="9">
        <v>1568.0</v>
      </c>
      <c r="L2795" s="9">
        <v>1568.0</v>
      </c>
      <c r="M2795" s="9">
        <v>80.0</v>
      </c>
      <c r="N2795" s="9">
        <v>739.0</v>
      </c>
      <c r="O2795" s="9">
        <v>749.0</v>
      </c>
      <c r="P2795" s="8" t="s">
        <v>3480</v>
      </c>
      <c r="Q2795" s="8" t="s">
        <v>10361</v>
      </c>
      <c r="R2795" s="8" t="s">
        <v>10362</v>
      </c>
    </row>
    <row r="2796">
      <c r="A2796" s="8" t="s">
        <v>3072</v>
      </c>
      <c r="B2796" s="8" t="s">
        <v>15623</v>
      </c>
      <c r="C2796" s="8" t="s">
        <v>15624</v>
      </c>
      <c r="D2796" s="9">
        <v>9.14696595E9</v>
      </c>
      <c r="E2796" s="8" t="s">
        <v>15625</v>
      </c>
      <c r="F2796" s="8" t="s">
        <v>3608</v>
      </c>
      <c r="G2796" s="8" t="s">
        <v>15626</v>
      </c>
      <c r="H2796" s="8" t="s">
        <v>3479</v>
      </c>
      <c r="I2796" s="9">
        <v>0.0</v>
      </c>
      <c r="J2796" s="9">
        <v>4306.0</v>
      </c>
      <c r="K2796" s="9">
        <v>4306.0</v>
      </c>
      <c r="L2796" s="9">
        <v>4306.0</v>
      </c>
      <c r="M2796" s="9">
        <v>2793.0</v>
      </c>
      <c r="N2796" s="9">
        <v>739.0</v>
      </c>
      <c r="O2796" s="9">
        <v>774.0</v>
      </c>
      <c r="P2796" s="8" t="s">
        <v>3480</v>
      </c>
      <c r="Q2796" s="8"/>
      <c r="R2796" s="8"/>
    </row>
    <row r="2797">
      <c r="A2797" s="8" t="s">
        <v>3070</v>
      </c>
      <c r="B2797" s="8" t="s">
        <v>15627</v>
      </c>
      <c r="C2797" s="8" t="s">
        <v>15628</v>
      </c>
      <c r="D2797" s="9">
        <v>9.425400788E9</v>
      </c>
      <c r="E2797" s="8" t="s">
        <v>15629</v>
      </c>
      <c r="F2797" s="8" t="s">
        <v>3550</v>
      </c>
      <c r="G2797" s="8" t="s">
        <v>12690</v>
      </c>
      <c r="H2797" s="8" t="s">
        <v>3479</v>
      </c>
      <c r="I2797" s="9">
        <v>0.0</v>
      </c>
      <c r="J2797" s="9">
        <v>2000.0</v>
      </c>
      <c r="K2797" s="9">
        <v>2000.0</v>
      </c>
      <c r="L2797" s="9">
        <v>2000.0</v>
      </c>
      <c r="M2797" s="9">
        <v>487.0</v>
      </c>
      <c r="N2797" s="9">
        <v>739.0</v>
      </c>
      <c r="O2797" s="9">
        <v>774.0</v>
      </c>
      <c r="P2797" s="8" t="s">
        <v>3480</v>
      </c>
      <c r="Q2797" s="8"/>
      <c r="R2797" s="8"/>
    </row>
    <row r="2798">
      <c r="A2798" s="8" t="s">
        <v>3071</v>
      </c>
      <c r="B2798" s="8" t="s">
        <v>15630</v>
      </c>
      <c r="C2798" s="8" t="s">
        <v>4566</v>
      </c>
      <c r="D2798" s="9">
        <v>7.387043468E9</v>
      </c>
      <c r="E2798" s="8" t="s">
        <v>4567</v>
      </c>
      <c r="F2798" s="8" t="s">
        <v>3589</v>
      </c>
      <c r="G2798" s="8" t="s">
        <v>4568</v>
      </c>
      <c r="H2798" s="8" t="s">
        <v>3479</v>
      </c>
      <c r="I2798" s="9">
        <v>0.0</v>
      </c>
      <c r="J2798" s="9">
        <v>1423.0</v>
      </c>
      <c r="K2798" s="9">
        <v>1423.0</v>
      </c>
      <c r="L2798" s="9">
        <v>1423.0</v>
      </c>
      <c r="M2798" s="9">
        <v>160.0</v>
      </c>
      <c r="N2798" s="9">
        <v>739.0</v>
      </c>
      <c r="O2798" s="9">
        <v>524.0</v>
      </c>
      <c r="P2798" s="8" t="s">
        <v>3480</v>
      </c>
      <c r="Q2798" s="8" t="s">
        <v>4569</v>
      </c>
      <c r="R2798" s="8" t="s">
        <v>4570</v>
      </c>
    </row>
    <row r="2799">
      <c r="A2799" s="8" t="s">
        <v>3053</v>
      </c>
      <c r="B2799" s="8" t="s">
        <v>15631</v>
      </c>
      <c r="C2799" s="8" t="s">
        <v>5416</v>
      </c>
      <c r="D2799" s="9">
        <v>9.595737922E9</v>
      </c>
      <c r="E2799" s="8" t="s">
        <v>5417</v>
      </c>
      <c r="F2799" s="8" t="s">
        <v>3954</v>
      </c>
      <c r="G2799" s="8" t="s">
        <v>3829</v>
      </c>
      <c r="H2799" s="8" t="s">
        <v>3479</v>
      </c>
      <c r="I2799" s="9">
        <v>0.0</v>
      </c>
      <c r="J2799" s="9">
        <v>856.0</v>
      </c>
      <c r="K2799" s="9">
        <v>856.0</v>
      </c>
      <c r="L2799" s="9">
        <v>856.0</v>
      </c>
      <c r="M2799" s="9">
        <v>581.0</v>
      </c>
      <c r="N2799" s="9">
        <v>0.0</v>
      </c>
      <c r="O2799" s="9">
        <v>275.0</v>
      </c>
      <c r="P2799" s="8" t="s">
        <v>3480</v>
      </c>
      <c r="Q2799" s="8"/>
      <c r="R2799" s="8"/>
    </row>
    <row r="2800">
      <c r="A2800" s="8" t="s">
        <v>1532</v>
      </c>
      <c r="B2800" s="8" t="s">
        <v>15632</v>
      </c>
      <c r="C2800" s="8" t="s">
        <v>15633</v>
      </c>
      <c r="D2800" s="9">
        <v>9.421769679E9</v>
      </c>
      <c r="E2800" s="8" t="s">
        <v>13420</v>
      </c>
      <c r="F2800" s="8" t="s">
        <v>4645</v>
      </c>
      <c r="G2800" s="8" t="s">
        <v>15634</v>
      </c>
      <c r="H2800" s="8" t="s">
        <v>3479</v>
      </c>
      <c r="I2800" s="9">
        <v>0.0</v>
      </c>
      <c r="J2800" s="9">
        <v>2860.0</v>
      </c>
      <c r="K2800" s="9">
        <v>2860.0</v>
      </c>
      <c r="L2800" s="9">
        <v>2860.0</v>
      </c>
      <c r="M2800" s="9">
        <v>1672.0</v>
      </c>
      <c r="N2800" s="9">
        <v>739.0</v>
      </c>
      <c r="O2800" s="9">
        <v>449.0</v>
      </c>
      <c r="P2800" s="8" t="s">
        <v>3480</v>
      </c>
      <c r="Q2800" s="8" t="s">
        <v>13422</v>
      </c>
      <c r="R2800" s="8" t="s">
        <v>13423</v>
      </c>
    </row>
    <row r="2801">
      <c r="A2801" s="8" t="s">
        <v>3073</v>
      </c>
      <c r="B2801" s="8" t="s">
        <v>15635</v>
      </c>
      <c r="C2801" s="8" t="s">
        <v>11927</v>
      </c>
      <c r="D2801" s="9">
        <v>8.888015148E9</v>
      </c>
      <c r="E2801" s="8" t="s">
        <v>11928</v>
      </c>
      <c r="F2801" s="8" t="s">
        <v>3796</v>
      </c>
      <c r="G2801" s="8" t="s">
        <v>15636</v>
      </c>
      <c r="H2801" s="8" t="s">
        <v>3479</v>
      </c>
      <c r="I2801" s="9">
        <v>0.0</v>
      </c>
      <c r="J2801" s="9">
        <v>1810.0</v>
      </c>
      <c r="K2801" s="9">
        <v>1810.0</v>
      </c>
      <c r="L2801" s="9">
        <v>1810.0</v>
      </c>
      <c r="M2801" s="9">
        <v>327.0</v>
      </c>
      <c r="N2801" s="9">
        <v>784.0</v>
      </c>
      <c r="O2801" s="9">
        <v>699.0</v>
      </c>
      <c r="P2801" s="8" t="s">
        <v>3544</v>
      </c>
      <c r="Q2801" s="8" t="s">
        <v>11930</v>
      </c>
      <c r="R2801" s="8" t="s">
        <v>11931</v>
      </c>
    </row>
    <row r="2802">
      <c r="A2802" s="8" t="s">
        <v>3055</v>
      </c>
      <c r="B2802" s="8" t="s">
        <v>15637</v>
      </c>
      <c r="C2802" s="8" t="s">
        <v>15638</v>
      </c>
      <c r="D2802" s="9">
        <v>7.35027028E9</v>
      </c>
      <c r="E2802" s="8" t="s">
        <v>15639</v>
      </c>
      <c r="F2802" s="8" t="s">
        <v>3908</v>
      </c>
      <c r="G2802" s="8" t="s">
        <v>15640</v>
      </c>
      <c r="H2802" s="8" t="s">
        <v>10899</v>
      </c>
      <c r="I2802" s="9">
        <v>0.0</v>
      </c>
      <c r="J2802" s="9">
        <v>2000.0</v>
      </c>
      <c r="K2802" s="9">
        <v>2068.0</v>
      </c>
      <c r="L2802" s="9">
        <v>2000.0</v>
      </c>
      <c r="M2802" s="9">
        <v>354.0</v>
      </c>
      <c r="N2802" s="9">
        <v>840.0</v>
      </c>
      <c r="O2802" s="9">
        <v>874.0</v>
      </c>
      <c r="P2802" s="8" t="s">
        <v>3480</v>
      </c>
      <c r="Q2802" s="8" t="s">
        <v>15641</v>
      </c>
      <c r="R2802" s="8" t="s">
        <v>15642</v>
      </c>
    </row>
    <row r="2803">
      <c r="A2803" s="8" t="s">
        <v>3054</v>
      </c>
      <c r="B2803" s="8" t="s">
        <v>15643</v>
      </c>
      <c r="C2803" s="8" t="s">
        <v>6310</v>
      </c>
      <c r="D2803" s="9">
        <v>9.423807085E9</v>
      </c>
      <c r="E2803" s="8" t="s">
        <v>6311</v>
      </c>
      <c r="F2803" s="8" t="s">
        <v>3608</v>
      </c>
      <c r="G2803" s="8" t="s">
        <v>15644</v>
      </c>
      <c r="H2803" s="8" t="s">
        <v>3479</v>
      </c>
      <c r="I2803" s="9">
        <v>0.0</v>
      </c>
      <c r="J2803" s="9">
        <v>937.0</v>
      </c>
      <c r="K2803" s="9">
        <v>937.0</v>
      </c>
      <c r="L2803" s="9">
        <v>937.0</v>
      </c>
      <c r="M2803" s="9">
        <v>333.0</v>
      </c>
      <c r="N2803" s="9">
        <v>80.0</v>
      </c>
      <c r="O2803" s="9">
        <v>524.0</v>
      </c>
      <c r="P2803" s="8" t="s">
        <v>3480</v>
      </c>
      <c r="Q2803" s="8" t="s">
        <v>6313</v>
      </c>
      <c r="R2803" s="8" t="s">
        <v>6314</v>
      </c>
    </row>
    <row r="2804">
      <c r="A2804" s="8" t="s">
        <v>1533</v>
      </c>
      <c r="B2804" s="8" t="s">
        <v>15645</v>
      </c>
      <c r="C2804" s="8" t="s">
        <v>14041</v>
      </c>
      <c r="D2804" s="9">
        <v>9.82246538E9</v>
      </c>
      <c r="E2804" s="8" t="s">
        <v>14042</v>
      </c>
      <c r="F2804" s="8" t="s">
        <v>6455</v>
      </c>
      <c r="G2804" s="8" t="s">
        <v>14043</v>
      </c>
      <c r="H2804" s="8" t="s">
        <v>3479</v>
      </c>
      <c r="I2804" s="9">
        <v>0.0</v>
      </c>
      <c r="J2804" s="9">
        <v>1202.0</v>
      </c>
      <c r="K2804" s="9">
        <v>1202.0</v>
      </c>
      <c r="L2804" s="9">
        <v>1202.0</v>
      </c>
      <c r="M2804" s="9">
        <v>952.0</v>
      </c>
      <c r="N2804" s="9">
        <v>0.0</v>
      </c>
      <c r="O2804" s="9">
        <v>250.0</v>
      </c>
      <c r="P2804" s="8" t="s">
        <v>3519</v>
      </c>
      <c r="Q2804" s="8"/>
      <c r="R2804" s="8"/>
    </row>
    <row r="2805">
      <c r="A2805" s="8" t="s">
        <v>3056</v>
      </c>
      <c r="B2805" s="8" t="s">
        <v>15646</v>
      </c>
      <c r="C2805" s="8" t="s">
        <v>15647</v>
      </c>
      <c r="D2805" s="9">
        <v>8.421222311E9</v>
      </c>
      <c r="E2805" s="8" t="s">
        <v>15648</v>
      </c>
      <c r="F2805" s="8" t="s">
        <v>3608</v>
      </c>
      <c r="G2805" s="8" t="s">
        <v>15649</v>
      </c>
      <c r="H2805" s="8" t="s">
        <v>3479</v>
      </c>
      <c r="I2805" s="9">
        <v>0.0</v>
      </c>
      <c r="J2805" s="9">
        <v>2000.0</v>
      </c>
      <c r="K2805" s="9">
        <v>2000.0</v>
      </c>
      <c r="L2805" s="9">
        <v>2000.0</v>
      </c>
      <c r="M2805" s="9">
        <v>300.0</v>
      </c>
      <c r="N2805" s="9">
        <v>926.0</v>
      </c>
      <c r="O2805" s="9">
        <v>774.0</v>
      </c>
      <c r="P2805" s="8" t="s">
        <v>3480</v>
      </c>
      <c r="Q2805" s="8" t="s">
        <v>15650</v>
      </c>
      <c r="R2805" s="8" t="s">
        <v>15651</v>
      </c>
    </row>
    <row r="2806">
      <c r="A2806" s="8" t="s">
        <v>2385</v>
      </c>
      <c r="B2806" s="8" t="s">
        <v>15652</v>
      </c>
      <c r="C2806" s="8" t="s">
        <v>14001</v>
      </c>
      <c r="D2806" s="9">
        <v>7.822043086E9</v>
      </c>
      <c r="E2806" s="8" t="s">
        <v>14002</v>
      </c>
      <c r="F2806" s="8" t="s">
        <v>3569</v>
      </c>
      <c r="G2806" s="8" t="s">
        <v>15653</v>
      </c>
      <c r="H2806" s="8" t="s">
        <v>3479</v>
      </c>
      <c r="I2806" s="9">
        <v>0.0</v>
      </c>
      <c r="J2806" s="9">
        <v>2029.0</v>
      </c>
      <c r="K2806" s="9">
        <v>2029.0</v>
      </c>
      <c r="L2806" s="9">
        <v>2029.0</v>
      </c>
      <c r="M2806" s="9">
        <v>530.0</v>
      </c>
      <c r="N2806" s="9">
        <v>900.0</v>
      </c>
      <c r="O2806" s="9">
        <v>599.0</v>
      </c>
      <c r="P2806" s="8" t="s">
        <v>3480</v>
      </c>
      <c r="Q2806" s="8"/>
      <c r="R2806" s="8"/>
    </row>
    <row r="2807">
      <c r="A2807" s="8" t="s">
        <v>3060</v>
      </c>
      <c r="B2807" s="8" t="s">
        <v>15654</v>
      </c>
      <c r="C2807" s="8" t="s">
        <v>15655</v>
      </c>
      <c r="D2807" s="9">
        <v>9.92388236E9</v>
      </c>
      <c r="E2807" s="8" t="s">
        <v>15656</v>
      </c>
      <c r="F2807" s="8" t="s">
        <v>9151</v>
      </c>
      <c r="G2807" s="8" t="s">
        <v>15657</v>
      </c>
      <c r="H2807" s="8" t="s">
        <v>3479</v>
      </c>
      <c r="I2807" s="9">
        <v>0.0</v>
      </c>
      <c r="J2807" s="9">
        <v>1518.0</v>
      </c>
      <c r="K2807" s="9">
        <v>1518.0</v>
      </c>
      <c r="L2807" s="9">
        <v>1518.0</v>
      </c>
      <c r="M2807" s="9">
        <v>80.0</v>
      </c>
      <c r="N2807" s="9">
        <v>739.0</v>
      </c>
      <c r="O2807" s="9">
        <v>699.0</v>
      </c>
      <c r="P2807" s="8" t="s">
        <v>3480</v>
      </c>
      <c r="Q2807" s="8"/>
      <c r="R2807" s="8"/>
    </row>
    <row r="2808">
      <c r="A2808" s="8" t="s">
        <v>3058</v>
      </c>
      <c r="B2808" s="8" t="s">
        <v>15658</v>
      </c>
      <c r="C2808" s="8" t="s">
        <v>3592</v>
      </c>
      <c r="D2808" s="9">
        <v>8.097849578E9</v>
      </c>
      <c r="E2808" s="8" t="s">
        <v>5523</v>
      </c>
      <c r="F2808" s="8" t="s">
        <v>3498</v>
      </c>
      <c r="G2808" s="8" t="s">
        <v>5524</v>
      </c>
      <c r="H2808" s="8" t="s">
        <v>3479</v>
      </c>
      <c r="I2808" s="9">
        <v>0.0</v>
      </c>
      <c r="J2808" s="9">
        <v>1797.0</v>
      </c>
      <c r="K2808" s="9">
        <v>1797.0</v>
      </c>
      <c r="L2808" s="9">
        <v>1797.0</v>
      </c>
      <c r="M2808" s="9">
        <v>454.0</v>
      </c>
      <c r="N2808" s="9">
        <v>739.0</v>
      </c>
      <c r="O2808" s="9">
        <v>604.0</v>
      </c>
      <c r="P2808" s="8" t="s">
        <v>3480</v>
      </c>
      <c r="Q2808" s="8" t="s">
        <v>5525</v>
      </c>
      <c r="R2808" s="8" t="s">
        <v>5526</v>
      </c>
    </row>
    <row r="2809">
      <c r="A2809" s="8" t="s">
        <v>245</v>
      </c>
      <c r="B2809" s="8" t="s">
        <v>15659</v>
      </c>
      <c r="C2809" s="8" t="s">
        <v>11504</v>
      </c>
      <c r="D2809" s="9">
        <v>7.841981343E9</v>
      </c>
      <c r="E2809" s="8" t="s">
        <v>8589</v>
      </c>
      <c r="F2809" s="8" t="s">
        <v>5485</v>
      </c>
      <c r="G2809" s="8" t="s">
        <v>15660</v>
      </c>
      <c r="H2809" s="8" t="s">
        <v>3479</v>
      </c>
      <c r="I2809" s="9">
        <v>0.0</v>
      </c>
      <c r="J2809" s="9">
        <v>1923.0</v>
      </c>
      <c r="K2809" s="9">
        <v>1923.0</v>
      </c>
      <c r="L2809" s="9">
        <v>1923.0</v>
      </c>
      <c r="M2809" s="9">
        <v>424.0</v>
      </c>
      <c r="N2809" s="9">
        <v>900.0</v>
      </c>
      <c r="O2809" s="9">
        <v>599.0</v>
      </c>
      <c r="P2809" s="8" t="s">
        <v>3480</v>
      </c>
      <c r="Q2809" s="8"/>
      <c r="R2809" s="8"/>
    </row>
    <row r="2810">
      <c r="A2810" s="8" t="s">
        <v>1534</v>
      </c>
      <c r="B2810" s="8" t="s">
        <v>15661</v>
      </c>
      <c r="C2810" s="8" t="s">
        <v>15662</v>
      </c>
      <c r="D2810" s="9">
        <v>9.158146411E9</v>
      </c>
      <c r="E2810" s="8" t="s">
        <v>15663</v>
      </c>
      <c r="F2810" s="8" t="s">
        <v>6234</v>
      </c>
      <c r="G2810" s="8" t="s">
        <v>15664</v>
      </c>
      <c r="H2810" s="8" t="s">
        <v>3479</v>
      </c>
      <c r="I2810" s="9">
        <v>0.0</v>
      </c>
      <c r="J2810" s="9">
        <v>1358.0</v>
      </c>
      <c r="K2810" s="9">
        <v>1358.0</v>
      </c>
      <c r="L2810" s="9">
        <v>1358.0</v>
      </c>
      <c r="M2810" s="9">
        <v>140.0</v>
      </c>
      <c r="N2810" s="9">
        <v>734.0</v>
      </c>
      <c r="O2810" s="9">
        <v>484.0</v>
      </c>
      <c r="P2810" s="8" t="s">
        <v>3480</v>
      </c>
      <c r="Q2810" s="8"/>
      <c r="R2810" s="8"/>
    </row>
    <row r="2811">
      <c r="A2811" s="8" t="s">
        <v>2386</v>
      </c>
      <c r="B2811" s="8" t="s">
        <v>15665</v>
      </c>
      <c r="C2811" s="8" t="s">
        <v>15666</v>
      </c>
      <c r="D2811" s="9">
        <v>8.605995231E9</v>
      </c>
      <c r="E2811" s="8" t="s">
        <v>15667</v>
      </c>
      <c r="F2811" s="8" t="s">
        <v>4929</v>
      </c>
      <c r="G2811" s="8" t="s">
        <v>15668</v>
      </c>
      <c r="H2811" s="8" t="s">
        <v>3479</v>
      </c>
      <c r="I2811" s="9">
        <v>0.0</v>
      </c>
      <c r="J2811" s="9">
        <v>2835.0</v>
      </c>
      <c r="K2811" s="9">
        <v>2835.0</v>
      </c>
      <c r="L2811" s="9">
        <v>2835.0</v>
      </c>
      <c r="M2811" s="9">
        <v>1571.0</v>
      </c>
      <c r="N2811" s="9">
        <v>190.0</v>
      </c>
      <c r="O2811" s="9">
        <v>1074.0</v>
      </c>
      <c r="P2811" s="8" t="s">
        <v>3480</v>
      </c>
      <c r="Q2811" s="8" t="s">
        <v>15669</v>
      </c>
      <c r="R2811" s="8" t="s">
        <v>15670</v>
      </c>
    </row>
    <row r="2812">
      <c r="A2812" s="8" t="s">
        <v>3088</v>
      </c>
      <c r="B2812" s="8" t="s">
        <v>15671</v>
      </c>
      <c r="C2812" s="8" t="s">
        <v>10531</v>
      </c>
      <c r="D2812" s="9">
        <v>9.028274842E9</v>
      </c>
      <c r="E2812" s="8" t="s">
        <v>10532</v>
      </c>
      <c r="F2812" s="8" t="s">
        <v>3658</v>
      </c>
      <c r="G2812" s="8" t="s">
        <v>15672</v>
      </c>
      <c r="H2812" s="8" t="s">
        <v>3479</v>
      </c>
      <c r="I2812" s="9">
        <v>0.0</v>
      </c>
      <c r="J2812" s="9">
        <v>2034.0</v>
      </c>
      <c r="K2812" s="9">
        <v>2034.0</v>
      </c>
      <c r="L2812" s="9">
        <v>2034.0</v>
      </c>
      <c r="M2812" s="9">
        <v>536.0</v>
      </c>
      <c r="N2812" s="9">
        <v>774.0</v>
      </c>
      <c r="O2812" s="9">
        <v>724.0</v>
      </c>
      <c r="P2812" s="8" t="s">
        <v>3544</v>
      </c>
      <c r="Q2812" s="8" t="s">
        <v>10534</v>
      </c>
      <c r="R2812" s="8"/>
    </row>
    <row r="2813">
      <c r="A2813" s="8" t="s">
        <v>1535</v>
      </c>
      <c r="B2813" s="8" t="s">
        <v>15673</v>
      </c>
      <c r="C2813" s="8" t="s">
        <v>15674</v>
      </c>
      <c r="D2813" s="9">
        <v>7.083979871E9</v>
      </c>
      <c r="E2813" s="8" t="s">
        <v>15675</v>
      </c>
      <c r="F2813" s="8" t="s">
        <v>3954</v>
      </c>
      <c r="G2813" s="8" t="s">
        <v>15676</v>
      </c>
      <c r="H2813" s="8" t="s">
        <v>3479</v>
      </c>
      <c r="I2813" s="9">
        <v>0.0</v>
      </c>
      <c r="J2813" s="9">
        <v>1359.0</v>
      </c>
      <c r="K2813" s="9">
        <v>1359.0</v>
      </c>
      <c r="L2813" s="9">
        <v>1359.0</v>
      </c>
      <c r="M2813" s="9">
        <v>420.0</v>
      </c>
      <c r="N2813" s="9">
        <v>190.0</v>
      </c>
      <c r="O2813" s="9">
        <v>749.0</v>
      </c>
      <c r="P2813" s="8" t="s">
        <v>3480</v>
      </c>
      <c r="Q2813" s="8" t="s">
        <v>15677</v>
      </c>
      <c r="R2813" s="8" t="s">
        <v>15678</v>
      </c>
    </row>
    <row r="2814">
      <c r="A2814" s="8" t="s">
        <v>1536</v>
      </c>
      <c r="B2814" s="8" t="s">
        <v>15679</v>
      </c>
      <c r="C2814" s="8" t="s">
        <v>15680</v>
      </c>
      <c r="D2814" s="9">
        <v>9.763980864E9</v>
      </c>
      <c r="E2814" s="8" t="s">
        <v>15681</v>
      </c>
      <c r="F2814" s="8" t="s">
        <v>4333</v>
      </c>
      <c r="G2814" s="8" t="s">
        <v>15682</v>
      </c>
      <c r="H2814" s="8" t="s">
        <v>3479</v>
      </c>
      <c r="I2814" s="9">
        <v>0.0</v>
      </c>
      <c r="J2814" s="9">
        <v>1814.0</v>
      </c>
      <c r="K2814" s="9">
        <v>1814.0</v>
      </c>
      <c r="L2814" s="9">
        <v>1814.0</v>
      </c>
      <c r="M2814" s="9">
        <v>115.0</v>
      </c>
      <c r="N2814" s="9">
        <v>900.0</v>
      </c>
      <c r="O2814" s="9">
        <v>799.0</v>
      </c>
      <c r="P2814" s="8" t="s">
        <v>3519</v>
      </c>
      <c r="Q2814" s="8"/>
      <c r="R2814" s="8"/>
    </row>
    <row r="2815">
      <c r="A2815" s="8" t="s">
        <v>3059</v>
      </c>
      <c r="B2815" s="8" t="s">
        <v>15683</v>
      </c>
      <c r="C2815" s="8" t="s">
        <v>12403</v>
      </c>
      <c r="D2815" s="9">
        <v>9.960690243E9</v>
      </c>
      <c r="E2815" s="8" t="s">
        <v>12404</v>
      </c>
      <c r="F2815" s="8" t="s">
        <v>3821</v>
      </c>
      <c r="G2815" s="8" t="s">
        <v>15684</v>
      </c>
      <c r="H2815" s="8" t="s">
        <v>3479</v>
      </c>
      <c r="I2815" s="9">
        <v>0.0</v>
      </c>
      <c r="J2815" s="9">
        <v>1718.0</v>
      </c>
      <c r="K2815" s="9">
        <v>1718.0</v>
      </c>
      <c r="L2815" s="9">
        <v>1718.0</v>
      </c>
      <c r="M2815" s="9">
        <v>455.0</v>
      </c>
      <c r="N2815" s="9">
        <v>739.0</v>
      </c>
      <c r="O2815" s="9">
        <v>524.0</v>
      </c>
      <c r="P2815" s="8" t="s">
        <v>3480</v>
      </c>
      <c r="Q2815" s="8" t="s">
        <v>12406</v>
      </c>
      <c r="R2815" s="8" t="s">
        <v>12407</v>
      </c>
    </row>
    <row r="2816">
      <c r="A2816" s="8" t="s">
        <v>1537</v>
      </c>
      <c r="B2816" s="8" t="s">
        <v>15685</v>
      </c>
      <c r="C2816" s="8" t="s">
        <v>13003</v>
      </c>
      <c r="D2816" s="9">
        <v>9.595353296E9</v>
      </c>
      <c r="E2816" s="8" t="s">
        <v>13004</v>
      </c>
      <c r="F2816" s="8" t="s">
        <v>3869</v>
      </c>
      <c r="G2816" s="8" t="s">
        <v>15686</v>
      </c>
      <c r="H2816" s="8" t="s">
        <v>3479</v>
      </c>
      <c r="I2816" s="9">
        <v>0.0</v>
      </c>
      <c r="J2816" s="9">
        <v>5766.0</v>
      </c>
      <c r="K2816" s="9">
        <v>5766.0</v>
      </c>
      <c r="L2816" s="9">
        <v>5766.0</v>
      </c>
      <c r="M2816" s="9">
        <v>4197.0</v>
      </c>
      <c r="N2816" s="9">
        <v>775.0</v>
      </c>
      <c r="O2816" s="9">
        <v>794.0</v>
      </c>
      <c r="P2816" s="8" t="s">
        <v>3480</v>
      </c>
      <c r="Q2816" s="8"/>
      <c r="R2816" s="8"/>
    </row>
    <row r="2817">
      <c r="A2817" s="8" t="s">
        <v>3057</v>
      </c>
      <c r="B2817" s="8" t="s">
        <v>15687</v>
      </c>
      <c r="C2817" s="8" t="s">
        <v>15688</v>
      </c>
      <c r="D2817" s="9">
        <v>9.146199014E9</v>
      </c>
      <c r="E2817" s="8" t="s">
        <v>15689</v>
      </c>
      <c r="F2817" s="8" t="s">
        <v>3677</v>
      </c>
      <c r="G2817" s="8" t="s">
        <v>15690</v>
      </c>
      <c r="H2817" s="8" t="s">
        <v>3479</v>
      </c>
      <c r="I2817" s="9">
        <v>0.0</v>
      </c>
      <c r="J2817" s="9">
        <v>1909.0</v>
      </c>
      <c r="K2817" s="9">
        <v>1909.0</v>
      </c>
      <c r="L2817" s="9">
        <v>1909.0</v>
      </c>
      <c r="M2817" s="9">
        <v>535.0</v>
      </c>
      <c r="N2817" s="9">
        <v>775.0</v>
      </c>
      <c r="O2817" s="9">
        <v>599.0</v>
      </c>
      <c r="P2817" s="8" t="s">
        <v>3480</v>
      </c>
      <c r="Q2817" s="8" t="s">
        <v>15691</v>
      </c>
      <c r="R2817" s="8" t="s">
        <v>15692</v>
      </c>
    </row>
    <row r="2818">
      <c r="A2818" s="8" t="s">
        <v>2387</v>
      </c>
      <c r="B2818" s="8" t="s">
        <v>15693</v>
      </c>
      <c r="C2818" s="8" t="s">
        <v>11750</v>
      </c>
      <c r="D2818" s="9">
        <v>9.822041549E9</v>
      </c>
      <c r="E2818" s="8" t="s">
        <v>11751</v>
      </c>
      <c r="F2818" s="8" t="s">
        <v>3821</v>
      </c>
      <c r="G2818" s="8" t="s">
        <v>15694</v>
      </c>
      <c r="H2818" s="8" t="s">
        <v>3479</v>
      </c>
      <c r="I2818" s="9">
        <v>0.0</v>
      </c>
      <c r="J2818" s="9">
        <v>1423.0</v>
      </c>
      <c r="K2818" s="9">
        <v>1423.0</v>
      </c>
      <c r="L2818" s="9">
        <v>1423.0</v>
      </c>
      <c r="M2818" s="9">
        <v>160.0</v>
      </c>
      <c r="N2818" s="9">
        <v>739.0</v>
      </c>
      <c r="O2818" s="9">
        <v>524.0</v>
      </c>
      <c r="P2818" s="8" t="s">
        <v>3480</v>
      </c>
      <c r="Q2818" s="8" t="s">
        <v>11753</v>
      </c>
      <c r="R2818" s="8"/>
    </row>
    <row r="2819">
      <c r="A2819" s="8" t="s">
        <v>1540</v>
      </c>
      <c r="B2819" s="8" t="s">
        <v>15695</v>
      </c>
      <c r="C2819" s="8" t="s">
        <v>4428</v>
      </c>
      <c r="D2819" s="9">
        <v>8.123584316E9</v>
      </c>
      <c r="E2819" s="8" t="s">
        <v>4429</v>
      </c>
      <c r="F2819" s="8" t="s">
        <v>4011</v>
      </c>
      <c r="G2819" s="8" t="s">
        <v>15696</v>
      </c>
      <c r="H2819" s="8" t="s">
        <v>3479</v>
      </c>
      <c r="I2819" s="9">
        <v>0.0</v>
      </c>
      <c r="J2819" s="9">
        <v>3132.0</v>
      </c>
      <c r="K2819" s="9">
        <v>3132.0</v>
      </c>
      <c r="L2819" s="9">
        <v>3132.0</v>
      </c>
      <c r="M2819" s="9">
        <v>1908.0</v>
      </c>
      <c r="N2819" s="9">
        <v>775.0</v>
      </c>
      <c r="O2819" s="9">
        <v>449.0</v>
      </c>
      <c r="P2819" s="8" t="s">
        <v>3480</v>
      </c>
      <c r="Q2819" s="8" t="s">
        <v>4431</v>
      </c>
      <c r="R2819" s="8" t="s">
        <v>4432</v>
      </c>
    </row>
    <row r="2820">
      <c r="A2820" s="8" t="s">
        <v>1541</v>
      </c>
      <c r="B2820" s="8" t="s">
        <v>15697</v>
      </c>
      <c r="C2820" s="8" t="s">
        <v>15698</v>
      </c>
      <c r="D2820" s="9">
        <v>9.730001633E9</v>
      </c>
      <c r="E2820" s="8" t="s">
        <v>15699</v>
      </c>
      <c r="F2820" s="8" t="s">
        <v>3863</v>
      </c>
      <c r="G2820" s="8" t="s">
        <v>15700</v>
      </c>
      <c r="H2820" s="8" t="s">
        <v>3479</v>
      </c>
      <c r="I2820" s="9">
        <v>0.0</v>
      </c>
      <c r="J2820" s="9">
        <v>2409.0</v>
      </c>
      <c r="K2820" s="9">
        <v>2409.0</v>
      </c>
      <c r="L2820" s="9">
        <v>2409.0</v>
      </c>
      <c r="M2820" s="9">
        <v>1230.0</v>
      </c>
      <c r="N2820" s="9">
        <v>730.0</v>
      </c>
      <c r="O2820" s="9">
        <v>449.0</v>
      </c>
      <c r="P2820" s="8" t="s">
        <v>3480</v>
      </c>
      <c r="Q2820" s="8" t="s">
        <v>15701</v>
      </c>
      <c r="R2820" s="8"/>
    </row>
    <row r="2821">
      <c r="A2821" s="8" t="s">
        <v>3095</v>
      </c>
      <c r="B2821" s="8" t="s">
        <v>15702</v>
      </c>
      <c r="C2821" s="8" t="s">
        <v>11172</v>
      </c>
      <c r="D2821" s="9">
        <v>9.279005403E9</v>
      </c>
      <c r="E2821" s="8" t="s">
        <v>11173</v>
      </c>
      <c r="F2821" s="8" t="s">
        <v>6526</v>
      </c>
      <c r="G2821" s="8" t="s">
        <v>15703</v>
      </c>
      <c r="H2821" s="8" t="s">
        <v>9145</v>
      </c>
      <c r="I2821" s="9">
        <v>0.0</v>
      </c>
      <c r="J2821" s="9">
        <v>1851.0</v>
      </c>
      <c r="K2821" s="9">
        <v>1851.0</v>
      </c>
      <c r="L2821" s="9">
        <v>1851.0</v>
      </c>
      <c r="M2821" s="9">
        <v>627.0</v>
      </c>
      <c r="N2821" s="9">
        <v>775.0</v>
      </c>
      <c r="O2821" s="9">
        <v>449.0</v>
      </c>
      <c r="P2821" s="8"/>
      <c r="Q2821" s="8" t="s">
        <v>11175</v>
      </c>
      <c r="R2821" s="8" t="s">
        <v>11176</v>
      </c>
    </row>
    <row r="2822">
      <c r="A2822" s="8" t="s">
        <v>1543</v>
      </c>
      <c r="B2822" s="8" t="s">
        <v>15704</v>
      </c>
      <c r="C2822" s="8" t="s">
        <v>7199</v>
      </c>
      <c r="D2822" s="9">
        <v>8.08727497E9</v>
      </c>
      <c r="E2822" s="8" t="s">
        <v>7200</v>
      </c>
      <c r="F2822" s="8" t="s">
        <v>3594</v>
      </c>
      <c r="G2822" s="8" t="s">
        <v>15705</v>
      </c>
      <c r="H2822" s="8" t="s">
        <v>3479</v>
      </c>
      <c r="I2822" s="9">
        <v>0.0</v>
      </c>
      <c r="J2822" s="9">
        <v>1381.0</v>
      </c>
      <c r="K2822" s="9">
        <v>1381.0</v>
      </c>
      <c r="L2822" s="9">
        <v>1381.0</v>
      </c>
      <c r="M2822" s="9">
        <v>1006.0</v>
      </c>
      <c r="N2822" s="9">
        <v>0.0</v>
      </c>
      <c r="O2822" s="9">
        <v>375.0</v>
      </c>
      <c r="P2822" s="8" t="s">
        <v>3480</v>
      </c>
      <c r="Q2822" s="8" t="s">
        <v>7202</v>
      </c>
      <c r="R2822" s="8" t="s">
        <v>7203</v>
      </c>
    </row>
    <row r="2823">
      <c r="A2823" s="8" t="s">
        <v>1538</v>
      </c>
      <c r="B2823" s="8" t="s">
        <v>15706</v>
      </c>
      <c r="C2823" s="8" t="s">
        <v>15707</v>
      </c>
      <c r="D2823" s="9">
        <v>8.975158353E9</v>
      </c>
      <c r="E2823" s="8" t="s">
        <v>15708</v>
      </c>
      <c r="F2823" s="8" t="s">
        <v>3486</v>
      </c>
      <c r="G2823" s="8" t="s">
        <v>15709</v>
      </c>
      <c r="H2823" s="8" t="s">
        <v>3479</v>
      </c>
      <c r="I2823" s="9">
        <v>0.0</v>
      </c>
      <c r="J2823" s="9">
        <v>1501.0</v>
      </c>
      <c r="K2823" s="9">
        <v>1501.0</v>
      </c>
      <c r="L2823" s="9">
        <v>1501.0</v>
      </c>
      <c r="M2823" s="9">
        <v>313.0</v>
      </c>
      <c r="N2823" s="9">
        <v>739.0</v>
      </c>
      <c r="O2823" s="9">
        <v>449.0</v>
      </c>
      <c r="P2823" s="8" t="s">
        <v>3480</v>
      </c>
      <c r="Q2823" s="8"/>
      <c r="R2823" s="8"/>
    </row>
    <row r="2824">
      <c r="A2824" s="8" t="s">
        <v>1539</v>
      </c>
      <c r="B2824" s="8" t="s">
        <v>15710</v>
      </c>
      <c r="C2824" s="8" t="s">
        <v>4408</v>
      </c>
      <c r="D2824" s="9">
        <v>7.385942438E9</v>
      </c>
      <c r="E2824" s="8" t="s">
        <v>4409</v>
      </c>
      <c r="F2824" s="8" t="s">
        <v>3523</v>
      </c>
      <c r="G2824" s="8" t="s">
        <v>15711</v>
      </c>
      <c r="H2824" s="8" t="s">
        <v>3479</v>
      </c>
      <c r="I2824" s="9">
        <v>0.0</v>
      </c>
      <c r="J2824" s="9">
        <v>3637.0</v>
      </c>
      <c r="K2824" s="9">
        <v>3637.0</v>
      </c>
      <c r="L2824" s="9">
        <v>3637.0</v>
      </c>
      <c r="M2824" s="9">
        <v>2171.0</v>
      </c>
      <c r="N2824" s="9">
        <v>717.0</v>
      </c>
      <c r="O2824" s="9">
        <v>749.0</v>
      </c>
      <c r="P2824" s="8" t="s">
        <v>3544</v>
      </c>
      <c r="Q2824" s="8" t="s">
        <v>4412</v>
      </c>
      <c r="R2824" s="8" t="s">
        <v>4413</v>
      </c>
    </row>
    <row r="2825">
      <c r="A2825" s="8" t="s">
        <v>1544</v>
      </c>
      <c r="B2825" s="8" t="s">
        <v>15712</v>
      </c>
      <c r="C2825" s="8" t="s">
        <v>4679</v>
      </c>
      <c r="D2825" s="9">
        <v>9.404727535E9</v>
      </c>
      <c r="E2825" s="8" t="s">
        <v>4680</v>
      </c>
      <c r="F2825" s="8" t="s">
        <v>4681</v>
      </c>
      <c r="G2825" s="8" t="s">
        <v>15713</v>
      </c>
      <c r="H2825" s="8" t="s">
        <v>3479</v>
      </c>
      <c r="I2825" s="9">
        <v>0.0</v>
      </c>
      <c r="J2825" s="9">
        <v>5079.0</v>
      </c>
      <c r="K2825" s="9">
        <v>5079.0</v>
      </c>
      <c r="L2825" s="9">
        <v>5079.0</v>
      </c>
      <c r="M2825" s="9">
        <v>3690.0</v>
      </c>
      <c r="N2825" s="9">
        <v>190.0</v>
      </c>
      <c r="O2825" s="9">
        <v>1199.0</v>
      </c>
      <c r="P2825" s="8" t="s">
        <v>3519</v>
      </c>
      <c r="Q2825" s="8"/>
      <c r="R2825" s="8"/>
    </row>
    <row r="2826">
      <c r="A2826" s="8" t="s">
        <v>1545</v>
      </c>
      <c r="B2826" s="8" t="s">
        <v>15714</v>
      </c>
      <c r="C2826" s="8" t="s">
        <v>15715</v>
      </c>
      <c r="D2826" s="9">
        <v>9.834785873E9</v>
      </c>
      <c r="E2826" s="8" t="s">
        <v>15716</v>
      </c>
      <c r="F2826" s="8" t="s">
        <v>3821</v>
      </c>
      <c r="G2826" s="8" t="s">
        <v>15717</v>
      </c>
      <c r="H2826" s="8" t="s">
        <v>3479</v>
      </c>
      <c r="I2826" s="9">
        <v>0.0</v>
      </c>
      <c r="J2826" s="9">
        <v>1718.0</v>
      </c>
      <c r="K2826" s="9">
        <v>1718.0</v>
      </c>
      <c r="L2826" s="9">
        <v>1718.0</v>
      </c>
      <c r="M2826" s="9">
        <v>455.0</v>
      </c>
      <c r="N2826" s="9">
        <v>739.0</v>
      </c>
      <c r="O2826" s="9">
        <v>524.0</v>
      </c>
      <c r="P2826" s="8" t="s">
        <v>3519</v>
      </c>
      <c r="Q2826" s="8"/>
      <c r="R2826" s="8"/>
    </row>
    <row r="2827">
      <c r="A2827" s="8" t="s">
        <v>1546</v>
      </c>
      <c r="B2827" s="8" t="s">
        <v>15718</v>
      </c>
      <c r="C2827" s="8" t="s">
        <v>15719</v>
      </c>
      <c r="D2827" s="9">
        <v>9.834240147E9</v>
      </c>
      <c r="E2827" s="8" t="s">
        <v>15720</v>
      </c>
      <c r="F2827" s="8" t="s">
        <v>7324</v>
      </c>
      <c r="G2827" s="8" t="s">
        <v>15721</v>
      </c>
      <c r="H2827" s="8" t="s">
        <v>3479</v>
      </c>
      <c r="I2827" s="9">
        <v>0.0</v>
      </c>
      <c r="J2827" s="9">
        <v>1697.0</v>
      </c>
      <c r="K2827" s="9">
        <v>1697.0</v>
      </c>
      <c r="L2827" s="9">
        <v>1697.0</v>
      </c>
      <c r="M2827" s="9">
        <v>473.0</v>
      </c>
      <c r="N2827" s="9">
        <v>775.0</v>
      </c>
      <c r="O2827" s="9">
        <v>449.0</v>
      </c>
      <c r="P2827" s="8" t="s">
        <v>3519</v>
      </c>
      <c r="Q2827" s="8" t="s">
        <v>15722</v>
      </c>
      <c r="R2827" s="8" t="s">
        <v>15723</v>
      </c>
    </row>
    <row r="2828">
      <c r="A2828" s="8" t="s">
        <v>2388</v>
      </c>
      <c r="B2828" s="8" t="s">
        <v>15724</v>
      </c>
      <c r="C2828" s="8" t="s">
        <v>9980</v>
      </c>
      <c r="D2828" s="9">
        <v>7.069956654E9</v>
      </c>
      <c r="E2828" s="8" t="s">
        <v>9981</v>
      </c>
      <c r="F2828" s="8" t="s">
        <v>5301</v>
      </c>
      <c r="G2828" s="8" t="s">
        <v>9982</v>
      </c>
      <c r="H2828" s="8" t="s">
        <v>3479</v>
      </c>
      <c r="I2828" s="9">
        <v>0.0</v>
      </c>
      <c r="J2828" s="9">
        <v>2514.0</v>
      </c>
      <c r="K2828" s="9">
        <v>2514.0</v>
      </c>
      <c r="L2828" s="9">
        <v>2514.0</v>
      </c>
      <c r="M2828" s="9">
        <v>1250.0</v>
      </c>
      <c r="N2828" s="9">
        <v>190.0</v>
      </c>
      <c r="O2828" s="9">
        <v>1074.0</v>
      </c>
      <c r="P2828" s="8" t="s">
        <v>3519</v>
      </c>
      <c r="Q2828" s="8"/>
      <c r="R2828" s="8"/>
    </row>
    <row r="2829">
      <c r="A2829" s="8" t="s">
        <v>1548</v>
      </c>
      <c r="B2829" s="8" t="s">
        <v>15725</v>
      </c>
      <c r="C2829" s="8" t="s">
        <v>15726</v>
      </c>
      <c r="D2829" s="9">
        <v>8.01005522E9</v>
      </c>
      <c r="E2829" s="8" t="s">
        <v>15727</v>
      </c>
      <c r="F2829" s="8" t="s">
        <v>4436</v>
      </c>
      <c r="G2829" s="8" t="s">
        <v>15728</v>
      </c>
      <c r="H2829" s="8" t="s">
        <v>3479</v>
      </c>
      <c r="I2829" s="9">
        <v>0.0</v>
      </c>
      <c r="J2829" s="9">
        <v>2679.0</v>
      </c>
      <c r="K2829" s="9">
        <v>2679.0</v>
      </c>
      <c r="L2829" s="9">
        <v>2679.0</v>
      </c>
      <c r="M2829" s="9">
        <v>1222.0</v>
      </c>
      <c r="N2829" s="9">
        <v>358.0</v>
      </c>
      <c r="O2829" s="9">
        <v>1099.0</v>
      </c>
      <c r="P2829" s="8" t="s">
        <v>3519</v>
      </c>
      <c r="Q2829" s="8"/>
      <c r="R2829" s="8"/>
    </row>
    <row r="2830">
      <c r="A2830" s="8" t="s">
        <v>1549</v>
      </c>
      <c r="B2830" s="8" t="s">
        <v>15729</v>
      </c>
      <c r="C2830" s="8" t="s">
        <v>15730</v>
      </c>
      <c r="D2830" s="9">
        <v>8.459871622E9</v>
      </c>
      <c r="E2830" s="8" t="s">
        <v>15731</v>
      </c>
      <c r="F2830" s="8" t="s">
        <v>3589</v>
      </c>
      <c r="G2830" s="8" t="s">
        <v>15732</v>
      </c>
      <c r="H2830" s="8" t="s">
        <v>3479</v>
      </c>
      <c r="I2830" s="9">
        <v>0.0</v>
      </c>
      <c r="J2830" s="9">
        <v>3734.0</v>
      </c>
      <c r="K2830" s="9">
        <v>3734.0</v>
      </c>
      <c r="L2830" s="9">
        <v>3734.0</v>
      </c>
      <c r="M2830" s="9">
        <v>2480.0</v>
      </c>
      <c r="N2830" s="9">
        <v>730.0</v>
      </c>
      <c r="O2830" s="9">
        <v>524.0</v>
      </c>
      <c r="P2830" s="8" t="s">
        <v>3480</v>
      </c>
      <c r="Q2830" s="8"/>
      <c r="R2830" s="8"/>
    </row>
    <row r="2831">
      <c r="A2831" s="8" t="s">
        <v>1550</v>
      </c>
      <c r="B2831" s="8" t="s">
        <v>15733</v>
      </c>
      <c r="C2831" s="8" t="s">
        <v>15734</v>
      </c>
      <c r="D2831" s="9">
        <v>9.322626148E9</v>
      </c>
      <c r="E2831" s="8" t="s">
        <v>15735</v>
      </c>
      <c r="F2831" s="8" t="s">
        <v>3815</v>
      </c>
      <c r="G2831" s="8" t="s">
        <v>14854</v>
      </c>
      <c r="H2831" s="8" t="s">
        <v>3479</v>
      </c>
      <c r="I2831" s="9">
        <v>0.0</v>
      </c>
      <c r="J2831" s="9">
        <v>1932.0</v>
      </c>
      <c r="K2831" s="9">
        <v>1932.0</v>
      </c>
      <c r="L2831" s="9">
        <v>1932.0</v>
      </c>
      <c r="M2831" s="9">
        <v>843.0</v>
      </c>
      <c r="N2831" s="9">
        <v>190.0</v>
      </c>
      <c r="O2831" s="9">
        <v>899.0</v>
      </c>
      <c r="P2831" s="8" t="s">
        <v>3519</v>
      </c>
      <c r="Q2831" s="8"/>
      <c r="R2831" s="8"/>
    </row>
    <row r="2832">
      <c r="A2832" s="8" t="s">
        <v>1551</v>
      </c>
      <c r="B2832" s="8" t="s">
        <v>15736</v>
      </c>
      <c r="C2832" s="8" t="s">
        <v>15737</v>
      </c>
      <c r="D2832" s="9">
        <v>8.888121238E9</v>
      </c>
      <c r="E2832" s="8" t="s">
        <v>15738</v>
      </c>
      <c r="F2832" s="8" t="s">
        <v>3677</v>
      </c>
      <c r="G2832" s="8" t="s">
        <v>15739</v>
      </c>
      <c r="H2832" s="8" t="s">
        <v>3479</v>
      </c>
      <c r="I2832" s="9">
        <v>0.0</v>
      </c>
      <c r="J2832" s="9">
        <v>8640.0</v>
      </c>
      <c r="K2832" s="9">
        <v>8640.0</v>
      </c>
      <c r="L2832" s="9">
        <v>8640.0</v>
      </c>
      <c r="M2832" s="9">
        <v>4780.0</v>
      </c>
      <c r="N2832" s="9">
        <v>710.0</v>
      </c>
      <c r="O2832" s="9">
        <v>3150.0</v>
      </c>
      <c r="P2832" s="8" t="s">
        <v>3480</v>
      </c>
      <c r="Q2832" s="8" t="s">
        <v>15740</v>
      </c>
      <c r="R2832" s="8" t="s">
        <v>15741</v>
      </c>
    </row>
    <row r="2833">
      <c r="A2833" s="8" t="s">
        <v>1552</v>
      </c>
      <c r="B2833" s="8" t="s">
        <v>15742</v>
      </c>
      <c r="C2833" s="8" t="s">
        <v>14661</v>
      </c>
      <c r="D2833" s="9">
        <v>7.276876123E9</v>
      </c>
      <c r="E2833" s="8" t="s">
        <v>14662</v>
      </c>
      <c r="F2833" s="8" t="s">
        <v>4125</v>
      </c>
      <c r="G2833" s="8" t="s">
        <v>15743</v>
      </c>
      <c r="H2833" s="8" t="s">
        <v>3479</v>
      </c>
      <c r="I2833" s="9">
        <v>1509.0</v>
      </c>
      <c r="J2833" s="9">
        <v>0.0</v>
      </c>
      <c r="K2833" s="9">
        <v>1509.0</v>
      </c>
      <c r="L2833" s="9">
        <v>1509.0</v>
      </c>
      <c r="M2833" s="9">
        <v>135.0</v>
      </c>
      <c r="N2833" s="9">
        <v>775.0</v>
      </c>
      <c r="O2833" s="9">
        <v>599.0</v>
      </c>
      <c r="P2833" s="8" t="s">
        <v>3519</v>
      </c>
      <c r="Q2833" s="8" t="s">
        <v>14664</v>
      </c>
      <c r="R2833" s="8" t="s">
        <v>14665</v>
      </c>
    </row>
    <row r="2834">
      <c r="A2834" s="8" t="s">
        <v>1553</v>
      </c>
      <c r="B2834" s="8" t="s">
        <v>15744</v>
      </c>
      <c r="C2834" s="8" t="s">
        <v>15745</v>
      </c>
      <c r="D2834" s="9">
        <v>9.850601122E9</v>
      </c>
      <c r="E2834" s="8" t="s">
        <v>15746</v>
      </c>
      <c r="F2834" s="8" t="s">
        <v>15747</v>
      </c>
      <c r="G2834" s="8" t="s">
        <v>15748</v>
      </c>
      <c r="H2834" s="8" t="s">
        <v>3479</v>
      </c>
      <c r="I2834" s="9">
        <v>422.0</v>
      </c>
      <c r="J2834" s="9">
        <v>1500.0</v>
      </c>
      <c r="K2834" s="9">
        <v>1922.0</v>
      </c>
      <c r="L2834" s="9">
        <v>1922.0</v>
      </c>
      <c r="M2834" s="9">
        <v>983.0</v>
      </c>
      <c r="N2834" s="9">
        <v>190.0</v>
      </c>
      <c r="O2834" s="9">
        <v>749.0</v>
      </c>
      <c r="P2834" s="8" t="s">
        <v>3519</v>
      </c>
      <c r="Q2834" s="8"/>
      <c r="R2834" s="8"/>
    </row>
    <row r="2835">
      <c r="A2835" s="8" t="s">
        <v>3089</v>
      </c>
      <c r="B2835" s="8" t="s">
        <v>15749</v>
      </c>
      <c r="C2835" s="8" t="s">
        <v>15750</v>
      </c>
      <c r="D2835" s="9">
        <v>8.788110248E9</v>
      </c>
      <c r="E2835" s="8" t="s">
        <v>15751</v>
      </c>
      <c r="F2835" s="8" t="s">
        <v>5064</v>
      </c>
      <c r="G2835" s="8" t="s">
        <v>15752</v>
      </c>
      <c r="H2835" s="8" t="s">
        <v>3479</v>
      </c>
      <c r="I2835" s="9">
        <v>0.0</v>
      </c>
      <c r="J2835" s="9">
        <v>1150.0</v>
      </c>
      <c r="K2835" s="9">
        <v>1150.0</v>
      </c>
      <c r="L2835" s="9">
        <v>1150.0</v>
      </c>
      <c r="M2835" s="9">
        <v>1150.0</v>
      </c>
      <c r="N2835" s="9">
        <v>0.0</v>
      </c>
      <c r="O2835" s="9">
        <v>0.0</v>
      </c>
      <c r="P2835" s="8" t="s">
        <v>3480</v>
      </c>
      <c r="Q2835" s="8"/>
      <c r="R2835" s="8"/>
    </row>
    <row r="2836">
      <c r="A2836" s="8" t="s">
        <v>1547</v>
      </c>
      <c r="B2836" s="8" t="s">
        <v>15753</v>
      </c>
      <c r="C2836" s="8" t="s">
        <v>15754</v>
      </c>
      <c r="D2836" s="9">
        <v>9.15842011E9</v>
      </c>
      <c r="E2836" s="8" t="s">
        <v>15755</v>
      </c>
      <c r="F2836" s="8" t="s">
        <v>4805</v>
      </c>
      <c r="G2836" s="8" t="s">
        <v>15756</v>
      </c>
      <c r="H2836" s="8" t="s">
        <v>3479</v>
      </c>
      <c r="I2836" s="9">
        <v>0.0</v>
      </c>
      <c r="J2836" s="9">
        <v>1384.0</v>
      </c>
      <c r="K2836" s="9">
        <v>1384.0</v>
      </c>
      <c r="L2836" s="9">
        <v>1384.0</v>
      </c>
      <c r="M2836" s="9">
        <v>160.0</v>
      </c>
      <c r="N2836" s="9">
        <v>775.0</v>
      </c>
      <c r="O2836" s="9">
        <v>449.0</v>
      </c>
      <c r="P2836" s="8" t="s">
        <v>3480</v>
      </c>
      <c r="Q2836" s="8" t="s">
        <v>15757</v>
      </c>
      <c r="R2836" s="8" t="s">
        <v>15758</v>
      </c>
    </row>
    <row r="2837">
      <c r="A2837" s="8" t="s">
        <v>3090</v>
      </c>
      <c r="B2837" s="8" t="s">
        <v>15759</v>
      </c>
      <c r="C2837" s="8" t="s">
        <v>6007</v>
      </c>
      <c r="D2837" s="9">
        <v>9.76619971E9</v>
      </c>
      <c r="E2837" s="8" t="s">
        <v>6008</v>
      </c>
      <c r="F2837" s="8" t="s">
        <v>4391</v>
      </c>
      <c r="G2837" s="8" t="s">
        <v>15760</v>
      </c>
      <c r="H2837" s="8" t="s">
        <v>3479</v>
      </c>
      <c r="I2837" s="9">
        <v>0.0</v>
      </c>
      <c r="J2837" s="9">
        <v>1268.0</v>
      </c>
      <c r="K2837" s="9">
        <v>1268.0</v>
      </c>
      <c r="L2837" s="9">
        <v>1268.0</v>
      </c>
      <c r="M2837" s="9">
        <v>80.0</v>
      </c>
      <c r="N2837" s="9">
        <v>739.0</v>
      </c>
      <c r="O2837" s="9">
        <v>449.0</v>
      </c>
      <c r="P2837" s="8" t="s">
        <v>3480</v>
      </c>
      <c r="Q2837" s="8" t="s">
        <v>6010</v>
      </c>
      <c r="R2837" s="8" t="s">
        <v>6011</v>
      </c>
    </row>
    <row r="2838">
      <c r="A2838" s="8" t="s">
        <v>579</v>
      </c>
      <c r="B2838" s="8" t="s">
        <v>15761</v>
      </c>
      <c r="C2838" s="8" t="s">
        <v>15762</v>
      </c>
      <c r="D2838" s="9">
        <v>9.011198283E9</v>
      </c>
      <c r="E2838" s="8" t="s">
        <v>15763</v>
      </c>
      <c r="F2838" s="8" t="s">
        <v>3601</v>
      </c>
      <c r="G2838" s="8" t="s">
        <v>15764</v>
      </c>
      <c r="H2838" s="8" t="s">
        <v>3479</v>
      </c>
      <c r="I2838" s="9">
        <v>0.0</v>
      </c>
      <c r="J2838" s="9">
        <v>5786.0</v>
      </c>
      <c r="K2838" s="9">
        <v>5786.0</v>
      </c>
      <c r="L2838" s="9">
        <v>5786.0</v>
      </c>
      <c r="M2838" s="9">
        <v>4282.0</v>
      </c>
      <c r="N2838" s="9">
        <v>730.0</v>
      </c>
      <c r="O2838" s="9">
        <v>774.0</v>
      </c>
      <c r="P2838" s="8" t="s">
        <v>3480</v>
      </c>
      <c r="Q2838" s="8" t="s">
        <v>15765</v>
      </c>
      <c r="R2838" s="8" t="s">
        <v>15766</v>
      </c>
    </row>
    <row r="2839">
      <c r="A2839" s="8" t="s">
        <v>1542</v>
      </c>
      <c r="B2839" s="8" t="s">
        <v>15767</v>
      </c>
      <c r="C2839" s="8" t="s">
        <v>5649</v>
      </c>
      <c r="D2839" s="9">
        <v>8.62480911E9</v>
      </c>
      <c r="E2839" s="8" t="s">
        <v>15768</v>
      </c>
      <c r="F2839" s="8" t="s">
        <v>3589</v>
      </c>
      <c r="G2839" s="8" t="s">
        <v>15769</v>
      </c>
      <c r="H2839" s="8" t="s">
        <v>3479</v>
      </c>
      <c r="I2839" s="9">
        <v>0.0</v>
      </c>
      <c r="J2839" s="9">
        <v>2713.0</v>
      </c>
      <c r="K2839" s="9">
        <v>2713.0</v>
      </c>
      <c r="L2839" s="9">
        <v>2713.0</v>
      </c>
      <c r="M2839" s="9">
        <v>2213.0</v>
      </c>
      <c r="N2839" s="9">
        <v>0.0</v>
      </c>
      <c r="O2839" s="9">
        <v>500.0</v>
      </c>
      <c r="P2839" s="8" t="s">
        <v>3480</v>
      </c>
      <c r="Q2839" s="8"/>
      <c r="R2839" s="8"/>
    </row>
    <row r="2840">
      <c r="A2840" s="8" t="s">
        <v>3002</v>
      </c>
      <c r="B2840" s="8" t="s">
        <v>15770</v>
      </c>
      <c r="C2840" s="8" t="s">
        <v>15771</v>
      </c>
      <c r="D2840" s="9">
        <v>9.076154622E9</v>
      </c>
      <c r="E2840" s="8" t="s">
        <v>15772</v>
      </c>
      <c r="F2840" s="8" t="s">
        <v>3908</v>
      </c>
      <c r="G2840" s="8" t="s">
        <v>15773</v>
      </c>
      <c r="H2840" s="8" t="s">
        <v>3479</v>
      </c>
      <c r="I2840" s="9">
        <v>0.0</v>
      </c>
      <c r="J2840" s="9">
        <v>3103.0</v>
      </c>
      <c r="K2840" s="9">
        <v>3103.0</v>
      </c>
      <c r="L2840" s="9">
        <v>3103.0</v>
      </c>
      <c r="M2840" s="9">
        <v>1639.0</v>
      </c>
      <c r="N2840" s="9">
        <v>840.0</v>
      </c>
      <c r="O2840" s="9">
        <v>624.0</v>
      </c>
      <c r="P2840" s="8" t="s">
        <v>3544</v>
      </c>
      <c r="Q2840" s="8"/>
      <c r="R2840" s="8"/>
    </row>
    <row r="2841">
      <c r="A2841" s="8" t="s">
        <v>186</v>
      </c>
      <c r="B2841" s="8" t="s">
        <v>15774</v>
      </c>
      <c r="C2841" s="8" t="s">
        <v>15775</v>
      </c>
      <c r="D2841" s="9">
        <v>9.65700358E9</v>
      </c>
      <c r="E2841" s="8" t="s">
        <v>15776</v>
      </c>
      <c r="F2841" s="8" t="s">
        <v>3523</v>
      </c>
      <c r="G2841" s="8" t="s">
        <v>15777</v>
      </c>
      <c r="H2841" s="8" t="s">
        <v>3479</v>
      </c>
      <c r="I2841" s="9">
        <v>0.0</v>
      </c>
      <c r="J2841" s="9">
        <v>2824.0</v>
      </c>
      <c r="K2841" s="9">
        <v>2824.0</v>
      </c>
      <c r="L2841" s="9">
        <v>2824.0</v>
      </c>
      <c r="M2841" s="9">
        <v>1526.0</v>
      </c>
      <c r="N2841" s="9">
        <v>739.0</v>
      </c>
      <c r="O2841" s="9">
        <v>559.0</v>
      </c>
      <c r="P2841" s="8" t="s">
        <v>3480</v>
      </c>
      <c r="Q2841" s="8" t="s">
        <v>15778</v>
      </c>
      <c r="R2841" s="8" t="s">
        <v>15779</v>
      </c>
    </row>
    <row r="2842">
      <c r="A2842" s="8" t="s">
        <v>187</v>
      </c>
      <c r="B2842" s="8" t="s">
        <v>15780</v>
      </c>
      <c r="C2842" s="8" t="s">
        <v>8356</v>
      </c>
      <c r="D2842" s="9">
        <v>9.699050052E9</v>
      </c>
      <c r="E2842" s="8" t="s">
        <v>8357</v>
      </c>
      <c r="F2842" s="8" t="s">
        <v>3821</v>
      </c>
      <c r="G2842" s="8" t="s">
        <v>15781</v>
      </c>
      <c r="H2842" s="8" t="s">
        <v>15782</v>
      </c>
      <c r="I2842" s="9">
        <v>0.0</v>
      </c>
      <c r="J2842" s="9">
        <v>3700.0</v>
      </c>
      <c r="K2842" s="9">
        <v>3770.0</v>
      </c>
      <c r="L2842" s="9">
        <v>3700.0</v>
      </c>
      <c r="M2842" s="9">
        <v>2257.0</v>
      </c>
      <c r="N2842" s="9">
        <v>739.0</v>
      </c>
      <c r="O2842" s="9">
        <v>774.0</v>
      </c>
      <c r="P2842" s="8" t="s">
        <v>3480</v>
      </c>
      <c r="Q2842" s="8"/>
      <c r="R2842" s="8"/>
    </row>
    <row r="2843">
      <c r="A2843" s="8" t="s">
        <v>1687</v>
      </c>
      <c r="B2843" s="8" t="s">
        <v>15783</v>
      </c>
      <c r="C2843" s="8" t="s">
        <v>15784</v>
      </c>
      <c r="D2843" s="9">
        <v>9.92363163E9</v>
      </c>
      <c r="E2843" s="8" t="s">
        <v>15785</v>
      </c>
      <c r="F2843" s="8" t="s">
        <v>3934</v>
      </c>
      <c r="G2843" s="8" t="s">
        <v>15786</v>
      </c>
      <c r="H2843" s="8" t="s">
        <v>3479</v>
      </c>
      <c r="I2843" s="9">
        <v>0.0</v>
      </c>
      <c r="J2843" s="9">
        <v>1521.0</v>
      </c>
      <c r="K2843" s="9">
        <v>1521.0</v>
      </c>
      <c r="L2843" s="9">
        <v>1521.0</v>
      </c>
      <c r="M2843" s="9">
        <v>333.0</v>
      </c>
      <c r="N2843" s="9">
        <v>739.0</v>
      </c>
      <c r="O2843" s="9">
        <v>449.0</v>
      </c>
      <c r="P2843" s="8" t="s">
        <v>3480</v>
      </c>
      <c r="Q2843" s="8"/>
      <c r="R2843" s="8"/>
    </row>
    <row r="2844">
      <c r="A2844" s="8" t="s">
        <v>3096</v>
      </c>
      <c r="B2844" s="8" t="s">
        <v>15787</v>
      </c>
      <c r="C2844" s="8" t="s">
        <v>15788</v>
      </c>
      <c r="D2844" s="9">
        <v>7.62039669E9</v>
      </c>
      <c r="E2844" s="8" t="s">
        <v>15789</v>
      </c>
      <c r="F2844" s="8" t="s">
        <v>3653</v>
      </c>
      <c r="G2844" s="8" t="s">
        <v>15790</v>
      </c>
      <c r="H2844" s="8" t="s">
        <v>3479</v>
      </c>
      <c r="I2844" s="9">
        <v>0.0</v>
      </c>
      <c r="J2844" s="9">
        <v>4308.0</v>
      </c>
      <c r="K2844" s="9">
        <v>4308.0</v>
      </c>
      <c r="L2844" s="9">
        <v>4308.0</v>
      </c>
      <c r="M2844" s="9">
        <v>2569.0</v>
      </c>
      <c r="N2844" s="9">
        <v>840.0</v>
      </c>
      <c r="O2844" s="9">
        <v>899.0</v>
      </c>
      <c r="P2844" s="8" t="s">
        <v>3480</v>
      </c>
      <c r="Q2844" s="8"/>
      <c r="R2844" s="8"/>
    </row>
    <row r="2845">
      <c r="A2845" s="8" t="s">
        <v>3091</v>
      </c>
      <c r="B2845" s="8" t="s">
        <v>15791</v>
      </c>
      <c r="C2845" s="8" t="s">
        <v>15762</v>
      </c>
      <c r="D2845" s="9">
        <v>8.379037476E9</v>
      </c>
      <c r="E2845" s="8" t="s">
        <v>15792</v>
      </c>
      <c r="F2845" s="8" t="s">
        <v>4189</v>
      </c>
      <c r="G2845" s="8" t="s">
        <v>15793</v>
      </c>
      <c r="H2845" s="8" t="s">
        <v>3479</v>
      </c>
      <c r="I2845" s="9">
        <v>0.0</v>
      </c>
      <c r="J2845" s="9">
        <v>1358.0</v>
      </c>
      <c r="K2845" s="9">
        <v>1358.0</v>
      </c>
      <c r="L2845" s="9">
        <v>1358.0</v>
      </c>
      <c r="M2845" s="9">
        <v>170.0</v>
      </c>
      <c r="N2845" s="9">
        <v>739.0</v>
      </c>
      <c r="O2845" s="9">
        <v>449.0</v>
      </c>
      <c r="P2845" s="8" t="s">
        <v>3480</v>
      </c>
      <c r="Q2845" s="8" t="s">
        <v>15794</v>
      </c>
      <c r="R2845" s="8" t="s">
        <v>15795</v>
      </c>
    </row>
    <row r="2846">
      <c r="A2846" s="8" t="s">
        <v>3097</v>
      </c>
      <c r="B2846" s="8" t="s">
        <v>15796</v>
      </c>
      <c r="C2846" s="8" t="s">
        <v>15797</v>
      </c>
      <c r="D2846" s="9">
        <v>9.890966102E9</v>
      </c>
      <c r="E2846" s="8" t="s">
        <v>15798</v>
      </c>
      <c r="F2846" s="8" t="s">
        <v>7382</v>
      </c>
      <c r="G2846" s="8" t="s">
        <v>15799</v>
      </c>
      <c r="H2846" s="8" t="s">
        <v>3479</v>
      </c>
      <c r="I2846" s="9">
        <v>0.0</v>
      </c>
      <c r="J2846" s="9">
        <v>1387.0</v>
      </c>
      <c r="K2846" s="9">
        <v>1387.0</v>
      </c>
      <c r="L2846" s="9">
        <v>1387.0</v>
      </c>
      <c r="M2846" s="9">
        <v>163.0</v>
      </c>
      <c r="N2846" s="9">
        <v>775.0</v>
      </c>
      <c r="O2846" s="9">
        <v>449.0</v>
      </c>
      <c r="P2846" s="8" t="s">
        <v>3544</v>
      </c>
      <c r="Q2846" s="8"/>
      <c r="R2846" s="8"/>
    </row>
    <row r="2847">
      <c r="A2847" s="8" t="s">
        <v>3075</v>
      </c>
      <c r="B2847" s="8" t="s">
        <v>15800</v>
      </c>
      <c r="C2847" s="8" t="s">
        <v>15801</v>
      </c>
      <c r="D2847" s="9">
        <v>9.356859795E9</v>
      </c>
      <c r="E2847" s="8" t="s">
        <v>15802</v>
      </c>
      <c r="F2847" s="8" t="s">
        <v>3486</v>
      </c>
      <c r="G2847" s="8" t="s">
        <v>15803</v>
      </c>
      <c r="H2847" s="8" t="s">
        <v>3479</v>
      </c>
      <c r="I2847" s="9">
        <v>0.0</v>
      </c>
      <c r="J2847" s="9">
        <v>2898.0</v>
      </c>
      <c r="K2847" s="9">
        <v>2898.0</v>
      </c>
      <c r="L2847" s="9">
        <v>2898.0</v>
      </c>
      <c r="M2847" s="9">
        <v>1710.0</v>
      </c>
      <c r="N2847" s="9">
        <v>739.0</v>
      </c>
      <c r="O2847" s="9">
        <v>449.0</v>
      </c>
      <c r="P2847" s="8" t="s">
        <v>3480</v>
      </c>
      <c r="Q2847" s="8"/>
      <c r="R2847" s="8"/>
    </row>
    <row r="2848">
      <c r="A2848" s="8" t="s">
        <v>3076</v>
      </c>
      <c r="B2848" s="8" t="s">
        <v>15804</v>
      </c>
      <c r="C2848" s="8" t="s">
        <v>15805</v>
      </c>
      <c r="D2848" s="9">
        <v>8.445464646E9</v>
      </c>
      <c r="E2848" s="8" t="s">
        <v>15806</v>
      </c>
      <c r="F2848" s="8" t="s">
        <v>3550</v>
      </c>
      <c r="G2848" s="8" t="s">
        <v>15807</v>
      </c>
      <c r="H2848" s="8" t="s">
        <v>3479</v>
      </c>
      <c r="I2848" s="9">
        <v>0.0</v>
      </c>
      <c r="J2848" s="9">
        <v>1288.0</v>
      </c>
      <c r="K2848" s="9">
        <v>1288.0</v>
      </c>
      <c r="L2848" s="9">
        <v>1288.0</v>
      </c>
      <c r="M2848" s="9">
        <v>100.0</v>
      </c>
      <c r="N2848" s="9">
        <v>739.0</v>
      </c>
      <c r="O2848" s="9">
        <v>449.0</v>
      </c>
      <c r="P2848" s="8" t="s">
        <v>3480</v>
      </c>
      <c r="Q2848" s="8"/>
      <c r="R2848" s="8"/>
    </row>
    <row r="2849">
      <c r="A2849" s="8" t="s">
        <v>3003</v>
      </c>
      <c r="B2849" s="8" t="s">
        <v>15808</v>
      </c>
      <c r="C2849" s="8" t="s">
        <v>15809</v>
      </c>
      <c r="D2849" s="9">
        <v>8.796538539E9</v>
      </c>
      <c r="E2849" s="8" t="s">
        <v>15810</v>
      </c>
      <c r="F2849" s="8" t="s">
        <v>3821</v>
      </c>
      <c r="G2849" s="8" t="s">
        <v>15811</v>
      </c>
      <c r="H2849" s="8" t="s">
        <v>15812</v>
      </c>
      <c r="I2849" s="9">
        <v>0.0</v>
      </c>
      <c r="J2849" s="9">
        <v>0.0</v>
      </c>
      <c r="K2849" s="9">
        <v>2986.0</v>
      </c>
      <c r="L2849" s="9">
        <v>2800.0</v>
      </c>
      <c r="M2849" s="9">
        <v>1718.0</v>
      </c>
      <c r="N2849" s="9">
        <v>739.0</v>
      </c>
      <c r="O2849" s="9">
        <v>529.0</v>
      </c>
      <c r="P2849" s="8" t="s">
        <v>3480</v>
      </c>
      <c r="Q2849" s="8"/>
      <c r="R2849" s="8"/>
    </row>
    <row r="2850">
      <c r="A2850" s="8" t="s">
        <v>3077</v>
      </c>
      <c r="B2850" s="8" t="s">
        <v>15813</v>
      </c>
      <c r="C2850" s="8" t="s">
        <v>15814</v>
      </c>
      <c r="D2850" s="9">
        <v>9.096391986E9</v>
      </c>
      <c r="E2850" s="8" t="s">
        <v>15815</v>
      </c>
      <c r="F2850" s="8" t="s">
        <v>6822</v>
      </c>
      <c r="G2850" s="8" t="s">
        <v>15816</v>
      </c>
      <c r="H2850" s="8" t="s">
        <v>3479</v>
      </c>
      <c r="I2850" s="9">
        <v>0.0</v>
      </c>
      <c r="J2850" s="9">
        <v>1980.0</v>
      </c>
      <c r="K2850" s="9">
        <v>1980.0</v>
      </c>
      <c r="L2850" s="9">
        <v>1980.0</v>
      </c>
      <c r="M2850" s="9">
        <v>1900.0</v>
      </c>
      <c r="N2850" s="9">
        <v>0.0</v>
      </c>
      <c r="O2850" s="9">
        <v>80.0</v>
      </c>
      <c r="P2850" s="8" t="s">
        <v>3480</v>
      </c>
      <c r="Q2850" s="8"/>
      <c r="R2850" s="8"/>
    </row>
    <row r="2851">
      <c r="A2851" s="8" t="s">
        <v>3078</v>
      </c>
      <c r="B2851" s="8" t="s">
        <v>15817</v>
      </c>
      <c r="C2851" s="8" t="s">
        <v>15818</v>
      </c>
      <c r="D2851" s="9">
        <v>9.860406379E9</v>
      </c>
      <c r="E2851" s="8" t="s">
        <v>15819</v>
      </c>
      <c r="F2851" s="8" t="s">
        <v>3821</v>
      </c>
      <c r="G2851" s="8" t="s">
        <v>15820</v>
      </c>
      <c r="H2851" s="8" t="s">
        <v>3479</v>
      </c>
      <c r="I2851" s="9">
        <v>0.0</v>
      </c>
      <c r="J2851" s="9">
        <v>2768.0</v>
      </c>
      <c r="K2851" s="9">
        <v>2768.0</v>
      </c>
      <c r="L2851" s="9">
        <v>2768.0</v>
      </c>
      <c r="M2851" s="9">
        <v>1505.0</v>
      </c>
      <c r="N2851" s="9">
        <v>739.0</v>
      </c>
      <c r="O2851" s="9">
        <v>524.0</v>
      </c>
      <c r="P2851" s="8" t="s">
        <v>3480</v>
      </c>
      <c r="Q2851" s="8" t="s">
        <v>15821</v>
      </c>
      <c r="R2851" s="8" t="s">
        <v>15822</v>
      </c>
    </row>
    <row r="2852">
      <c r="A2852" s="8" t="s">
        <v>3079</v>
      </c>
      <c r="B2852" s="8" t="s">
        <v>15823</v>
      </c>
      <c r="C2852" s="8" t="s">
        <v>6431</v>
      </c>
      <c r="D2852" s="9">
        <v>9.881494647E9</v>
      </c>
      <c r="E2852" s="8" t="s">
        <v>6432</v>
      </c>
      <c r="F2852" s="8" t="s">
        <v>3594</v>
      </c>
      <c r="G2852" s="8" t="s">
        <v>6433</v>
      </c>
      <c r="H2852" s="8" t="s">
        <v>3479</v>
      </c>
      <c r="I2852" s="9">
        <v>0.0</v>
      </c>
      <c r="J2852" s="9">
        <v>1414.0</v>
      </c>
      <c r="K2852" s="9">
        <v>1414.0</v>
      </c>
      <c r="L2852" s="9">
        <v>1414.0</v>
      </c>
      <c r="M2852" s="9">
        <v>160.0</v>
      </c>
      <c r="N2852" s="9">
        <v>730.0</v>
      </c>
      <c r="O2852" s="9">
        <v>524.0</v>
      </c>
      <c r="P2852" s="8" t="s">
        <v>3480</v>
      </c>
      <c r="Q2852" s="8" t="s">
        <v>6434</v>
      </c>
      <c r="R2852" s="8" t="s">
        <v>6435</v>
      </c>
    </row>
    <row r="2853">
      <c r="A2853" s="8" t="s">
        <v>3080</v>
      </c>
      <c r="B2853" s="8" t="s">
        <v>15824</v>
      </c>
      <c r="C2853" s="8" t="s">
        <v>15825</v>
      </c>
      <c r="D2853" s="9">
        <v>8.788277144E9</v>
      </c>
      <c r="E2853" s="8" t="s">
        <v>15826</v>
      </c>
      <c r="F2853" s="8" t="s">
        <v>5025</v>
      </c>
      <c r="G2853" s="8" t="s">
        <v>15827</v>
      </c>
      <c r="H2853" s="8" t="s">
        <v>3479</v>
      </c>
      <c r="I2853" s="9">
        <v>0.0</v>
      </c>
      <c r="J2853" s="9">
        <v>1703.0</v>
      </c>
      <c r="K2853" s="9">
        <v>1703.0</v>
      </c>
      <c r="L2853" s="9">
        <v>1703.0</v>
      </c>
      <c r="M2853" s="9">
        <v>515.0</v>
      </c>
      <c r="N2853" s="9">
        <v>739.0</v>
      </c>
      <c r="O2853" s="9">
        <v>449.0</v>
      </c>
      <c r="P2853" s="8" t="s">
        <v>3480</v>
      </c>
      <c r="Q2853" s="8" t="s">
        <v>15828</v>
      </c>
      <c r="R2853" s="8" t="s">
        <v>15829</v>
      </c>
    </row>
    <row r="2854">
      <c r="A2854" s="8" t="s">
        <v>3081</v>
      </c>
      <c r="B2854" s="8" t="s">
        <v>15830</v>
      </c>
      <c r="C2854" s="8" t="s">
        <v>6614</v>
      </c>
      <c r="D2854" s="9">
        <v>7.798862299E9</v>
      </c>
      <c r="E2854" s="8" t="s">
        <v>15831</v>
      </c>
      <c r="F2854" s="8" t="s">
        <v>3608</v>
      </c>
      <c r="G2854" s="8" t="s">
        <v>15832</v>
      </c>
      <c r="H2854" s="8" t="s">
        <v>3479</v>
      </c>
      <c r="I2854" s="9">
        <v>0.0</v>
      </c>
      <c r="J2854" s="9">
        <v>1353.0</v>
      </c>
      <c r="K2854" s="9">
        <v>1353.0</v>
      </c>
      <c r="L2854" s="9">
        <v>1353.0</v>
      </c>
      <c r="M2854" s="9">
        <v>165.0</v>
      </c>
      <c r="N2854" s="9">
        <v>739.0</v>
      </c>
      <c r="O2854" s="9">
        <v>449.0</v>
      </c>
      <c r="P2854" s="8" t="s">
        <v>3480</v>
      </c>
      <c r="Q2854" s="8" t="s">
        <v>15833</v>
      </c>
      <c r="R2854" s="8" t="s">
        <v>15834</v>
      </c>
    </row>
    <row r="2855">
      <c r="A2855" s="8" t="s">
        <v>3082</v>
      </c>
      <c r="B2855" s="8" t="s">
        <v>15835</v>
      </c>
      <c r="C2855" s="8" t="s">
        <v>10358</v>
      </c>
      <c r="D2855" s="9">
        <v>8.600081747E9</v>
      </c>
      <c r="E2855" s="8" t="s">
        <v>10359</v>
      </c>
      <c r="F2855" s="8" t="s">
        <v>4391</v>
      </c>
      <c r="G2855" s="8" t="s">
        <v>15836</v>
      </c>
      <c r="H2855" s="8" t="s">
        <v>3479</v>
      </c>
      <c r="I2855" s="9">
        <v>0.0</v>
      </c>
      <c r="J2855" s="9">
        <v>1871.0</v>
      </c>
      <c r="K2855" s="9">
        <v>1871.0</v>
      </c>
      <c r="L2855" s="9">
        <v>1871.0</v>
      </c>
      <c r="M2855" s="9">
        <v>683.0</v>
      </c>
      <c r="N2855" s="9">
        <v>739.0</v>
      </c>
      <c r="O2855" s="9">
        <v>449.0</v>
      </c>
      <c r="P2855" s="8" t="s">
        <v>3480</v>
      </c>
      <c r="Q2855" s="8" t="s">
        <v>10361</v>
      </c>
      <c r="R2855" s="8" t="s">
        <v>10362</v>
      </c>
    </row>
    <row r="2856">
      <c r="A2856" s="8" t="s">
        <v>3083</v>
      </c>
      <c r="B2856" s="8" t="s">
        <v>15837</v>
      </c>
      <c r="C2856" s="8" t="s">
        <v>15838</v>
      </c>
      <c r="D2856" s="9">
        <v>8.446336673E9</v>
      </c>
      <c r="E2856" s="8" t="s">
        <v>15839</v>
      </c>
      <c r="F2856" s="8" t="s">
        <v>4540</v>
      </c>
      <c r="G2856" s="8" t="s">
        <v>15840</v>
      </c>
      <c r="H2856" s="8" t="s">
        <v>3479</v>
      </c>
      <c r="I2856" s="9">
        <v>0.0</v>
      </c>
      <c r="J2856" s="9">
        <v>2426.0</v>
      </c>
      <c r="K2856" s="9">
        <v>2426.0</v>
      </c>
      <c r="L2856" s="9">
        <v>2426.0</v>
      </c>
      <c r="M2856" s="9">
        <v>159.0</v>
      </c>
      <c r="N2856" s="9">
        <v>1468.0</v>
      </c>
      <c r="O2856" s="9">
        <v>799.0</v>
      </c>
      <c r="P2856" s="8" t="s">
        <v>3480</v>
      </c>
      <c r="Q2856" s="8" t="s">
        <v>15841</v>
      </c>
      <c r="R2856" s="8" t="s">
        <v>15842</v>
      </c>
    </row>
    <row r="2857">
      <c r="A2857" s="8" t="s">
        <v>3004</v>
      </c>
      <c r="B2857" s="8" t="s">
        <v>15843</v>
      </c>
      <c r="C2857" s="8" t="s">
        <v>10289</v>
      </c>
      <c r="D2857" s="9">
        <v>9.403900847E9</v>
      </c>
      <c r="E2857" s="8" t="s">
        <v>12078</v>
      </c>
      <c r="F2857" s="8" t="s">
        <v>4054</v>
      </c>
      <c r="G2857" s="8" t="s">
        <v>15844</v>
      </c>
      <c r="H2857" s="8" t="s">
        <v>3479</v>
      </c>
      <c r="I2857" s="9">
        <v>0.0</v>
      </c>
      <c r="J2857" s="9">
        <v>1543.0</v>
      </c>
      <c r="K2857" s="9">
        <v>1543.0</v>
      </c>
      <c r="L2857" s="9">
        <v>1543.0</v>
      </c>
      <c r="M2857" s="9">
        <v>355.0</v>
      </c>
      <c r="N2857" s="9">
        <v>739.0</v>
      </c>
      <c r="O2857" s="9">
        <v>449.0</v>
      </c>
      <c r="P2857" s="8" t="s">
        <v>3544</v>
      </c>
      <c r="Q2857" s="8" t="s">
        <v>12080</v>
      </c>
      <c r="R2857" s="8" t="s">
        <v>12081</v>
      </c>
    </row>
    <row r="2858">
      <c r="A2858" s="8" t="s">
        <v>3084</v>
      </c>
      <c r="B2858" s="8" t="s">
        <v>15845</v>
      </c>
      <c r="C2858" s="8" t="s">
        <v>10126</v>
      </c>
      <c r="D2858" s="9">
        <v>9.01152787E9</v>
      </c>
      <c r="E2858" s="8" t="s">
        <v>10127</v>
      </c>
      <c r="F2858" s="8" t="s">
        <v>3530</v>
      </c>
      <c r="G2858" s="8" t="s">
        <v>15846</v>
      </c>
      <c r="H2858" s="8" t="s">
        <v>3479</v>
      </c>
      <c r="I2858" s="9">
        <v>0.0</v>
      </c>
      <c r="J2858" s="9">
        <v>3121.0</v>
      </c>
      <c r="K2858" s="9">
        <v>3121.0</v>
      </c>
      <c r="L2858" s="9">
        <v>3121.0</v>
      </c>
      <c r="M2858" s="9">
        <v>822.0</v>
      </c>
      <c r="N2858" s="9">
        <v>900.0</v>
      </c>
      <c r="O2858" s="9">
        <v>1399.0</v>
      </c>
      <c r="P2858" s="8" t="s">
        <v>3480</v>
      </c>
      <c r="Q2858" s="8" t="s">
        <v>10129</v>
      </c>
      <c r="R2858" s="8" t="s">
        <v>10130</v>
      </c>
    </row>
    <row r="2859">
      <c r="A2859" s="8" t="s">
        <v>3085</v>
      </c>
      <c r="B2859" s="8" t="s">
        <v>15847</v>
      </c>
      <c r="C2859" s="8" t="s">
        <v>10385</v>
      </c>
      <c r="D2859" s="9">
        <v>7.387544143E9</v>
      </c>
      <c r="E2859" s="8" t="s">
        <v>10386</v>
      </c>
      <c r="F2859" s="8" t="s">
        <v>6744</v>
      </c>
      <c r="G2859" s="8" t="s">
        <v>15848</v>
      </c>
      <c r="H2859" s="8" t="s">
        <v>3479</v>
      </c>
      <c r="I2859" s="9">
        <v>0.0</v>
      </c>
      <c r="J2859" s="9">
        <v>1454.0</v>
      </c>
      <c r="K2859" s="9">
        <v>1454.0</v>
      </c>
      <c r="L2859" s="9">
        <v>1454.0</v>
      </c>
      <c r="M2859" s="9">
        <v>80.0</v>
      </c>
      <c r="N2859" s="9">
        <v>775.0</v>
      </c>
      <c r="O2859" s="9">
        <v>599.0</v>
      </c>
      <c r="P2859" s="8" t="s">
        <v>3480</v>
      </c>
      <c r="Q2859" s="8"/>
      <c r="R2859" s="8"/>
    </row>
    <row r="2860">
      <c r="A2860" s="8" t="s">
        <v>3086</v>
      </c>
      <c r="B2860" s="8" t="s">
        <v>15849</v>
      </c>
      <c r="C2860" s="8" t="s">
        <v>15850</v>
      </c>
      <c r="D2860" s="9">
        <v>7.387544143E9</v>
      </c>
      <c r="E2860" s="8" t="s">
        <v>15851</v>
      </c>
      <c r="F2860" s="8" t="s">
        <v>3821</v>
      </c>
      <c r="G2860" s="8" t="s">
        <v>15852</v>
      </c>
      <c r="H2860" s="8" t="s">
        <v>3479</v>
      </c>
      <c r="I2860" s="9">
        <v>0.0</v>
      </c>
      <c r="J2860" s="9">
        <v>1498.0</v>
      </c>
      <c r="K2860" s="9">
        <v>1498.0</v>
      </c>
      <c r="L2860" s="9">
        <v>1498.0</v>
      </c>
      <c r="M2860" s="9">
        <v>230.0</v>
      </c>
      <c r="N2860" s="9">
        <v>739.0</v>
      </c>
      <c r="O2860" s="9">
        <v>529.0</v>
      </c>
      <c r="P2860" s="8" t="s">
        <v>3480</v>
      </c>
      <c r="Q2860" s="8" t="s">
        <v>15853</v>
      </c>
      <c r="R2860" s="8" t="s">
        <v>15854</v>
      </c>
    </row>
    <row r="2861">
      <c r="A2861" s="8" t="s">
        <v>3087</v>
      </c>
      <c r="B2861" s="8" t="s">
        <v>15855</v>
      </c>
      <c r="C2861" s="8" t="s">
        <v>15856</v>
      </c>
      <c r="D2861" s="9">
        <v>9.730922941E9</v>
      </c>
      <c r="E2861" s="8" t="s">
        <v>15857</v>
      </c>
      <c r="F2861" s="8" t="s">
        <v>3542</v>
      </c>
      <c r="G2861" s="8" t="s">
        <v>15858</v>
      </c>
      <c r="H2861" s="8" t="s">
        <v>3479</v>
      </c>
      <c r="I2861" s="9">
        <v>0.0</v>
      </c>
      <c r="J2861" s="9">
        <v>3384.0</v>
      </c>
      <c r="K2861" s="9">
        <v>3384.0</v>
      </c>
      <c r="L2861" s="9">
        <v>3384.0</v>
      </c>
      <c r="M2861" s="9">
        <v>2196.0</v>
      </c>
      <c r="N2861" s="9">
        <v>739.0</v>
      </c>
      <c r="O2861" s="9">
        <v>449.0</v>
      </c>
      <c r="P2861" s="8" t="s">
        <v>3480</v>
      </c>
      <c r="Q2861" s="8" t="s">
        <v>15859</v>
      </c>
      <c r="R2861" s="8" t="s">
        <v>15860</v>
      </c>
    </row>
    <row r="2862">
      <c r="A2862" s="8" t="s">
        <v>3005</v>
      </c>
      <c r="B2862" s="8" t="s">
        <v>15861</v>
      </c>
      <c r="C2862" s="8" t="s">
        <v>5703</v>
      </c>
      <c r="D2862" s="9">
        <v>8.889536468E9</v>
      </c>
      <c r="E2862" s="8" t="s">
        <v>5704</v>
      </c>
      <c r="F2862" s="8" t="s">
        <v>3821</v>
      </c>
      <c r="G2862" s="8" t="s">
        <v>15862</v>
      </c>
      <c r="H2862" s="8" t="s">
        <v>3479</v>
      </c>
      <c r="I2862" s="9">
        <v>0.0</v>
      </c>
      <c r="J2862" s="9">
        <v>3007.0</v>
      </c>
      <c r="K2862" s="9">
        <v>3007.0</v>
      </c>
      <c r="L2862" s="9">
        <v>3007.0</v>
      </c>
      <c r="M2862" s="9">
        <v>2358.0</v>
      </c>
      <c r="N2862" s="9">
        <v>0.0</v>
      </c>
      <c r="O2862" s="9">
        <v>649.0</v>
      </c>
      <c r="P2862" s="8" t="s">
        <v>3480</v>
      </c>
      <c r="Q2862" s="8" t="s">
        <v>5706</v>
      </c>
      <c r="R2862" s="8" t="s">
        <v>5707</v>
      </c>
    </row>
    <row r="2863">
      <c r="A2863" s="8" t="s">
        <v>1555</v>
      </c>
      <c r="B2863" s="8" t="s">
        <v>15863</v>
      </c>
      <c r="C2863" s="8" t="s">
        <v>4566</v>
      </c>
      <c r="D2863" s="9">
        <v>7.387043468E9</v>
      </c>
      <c r="E2863" s="8" t="s">
        <v>4567</v>
      </c>
      <c r="F2863" s="8" t="s">
        <v>3589</v>
      </c>
      <c r="G2863" s="8" t="s">
        <v>4568</v>
      </c>
      <c r="H2863" s="8" t="s">
        <v>3479</v>
      </c>
      <c r="I2863" s="9">
        <v>0.0</v>
      </c>
      <c r="J2863" s="9">
        <v>1653.0</v>
      </c>
      <c r="K2863" s="9">
        <v>1653.0</v>
      </c>
      <c r="L2863" s="9">
        <v>1653.0</v>
      </c>
      <c r="M2863" s="9">
        <v>1553.0</v>
      </c>
      <c r="N2863" s="9">
        <v>0.0</v>
      </c>
      <c r="O2863" s="9">
        <v>100.0</v>
      </c>
      <c r="P2863" s="8" t="s">
        <v>3480</v>
      </c>
      <c r="Q2863" s="8" t="s">
        <v>4569</v>
      </c>
      <c r="R2863" s="8" t="s">
        <v>4570</v>
      </c>
    </row>
    <row r="2864">
      <c r="A2864" s="8" t="s">
        <v>1556</v>
      </c>
      <c r="B2864" s="8" t="s">
        <v>15864</v>
      </c>
      <c r="C2864" s="8" t="s">
        <v>15865</v>
      </c>
      <c r="D2864" s="9">
        <v>9.309471948E9</v>
      </c>
      <c r="E2864" s="8" t="s">
        <v>15866</v>
      </c>
      <c r="F2864" s="8" t="s">
        <v>7233</v>
      </c>
      <c r="G2864" s="8" t="s">
        <v>15867</v>
      </c>
      <c r="H2864" s="8" t="s">
        <v>3479</v>
      </c>
      <c r="I2864" s="9">
        <v>0.0</v>
      </c>
      <c r="J2864" s="9">
        <v>2183.0</v>
      </c>
      <c r="K2864" s="9">
        <v>2183.0</v>
      </c>
      <c r="L2864" s="9">
        <v>2183.0</v>
      </c>
      <c r="M2864" s="9">
        <v>1769.0</v>
      </c>
      <c r="N2864" s="9">
        <v>64.0</v>
      </c>
      <c r="O2864" s="9">
        <v>350.0</v>
      </c>
      <c r="P2864" s="8" t="s">
        <v>3480</v>
      </c>
      <c r="Q2864" s="8"/>
      <c r="R2864" s="8"/>
    </row>
    <row r="2865">
      <c r="A2865" s="8" t="s">
        <v>1554</v>
      </c>
      <c r="B2865" s="8" t="s">
        <v>15868</v>
      </c>
      <c r="C2865" s="8" t="s">
        <v>15869</v>
      </c>
      <c r="D2865" s="9">
        <v>9.764705265E9</v>
      </c>
      <c r="E2865" s="8" t="s">
        <v>15870</v>
      </c>
      <c r="F2865" s="8" t="s">
        <v>5955</v>
      </c>
      <c r="G2865" s="8" t="s">
        <v>15871</v>
      </c>
      <c r="H2865" s="8" t="s">
        <v>3479</v>
      </c>
      <c r="I2865" s="9">
        <v>0.0</v>
      </c>
      <c r="J2865" s="9">
        <v>1935.0</v>
      </c>
      <c r="K2865" s="9">
        <v>1935.0</v>
      </c>
      <c r="L2865" s="9">
        <v>1935.0</v>
      </c>
      <c r="M2865" s="9">
        <v>327.0</v>
      </c>
      <c r="N2865" s="9">
        <v>829.0</v>
      </c>
      <c r="O2865" s="9">
        <v>779.0</v>
      </c>
      <c r="P2865" s="8" t="s">
        <v>3480</v>
      </c>
      <c r="Q2865" s="8"/>
      <c r="R2865" s="8"/>
    </row>
    <row r="2866">
      <c r="A2866" s="8" t="s">
        <v>3093</v>
      </c>
      <c r="B2866" s="8" t="s">
        <v>15872</v>
      </c>
      <c r="C2866" s="8" t="s">
        <v>3484</v>
      </c>
      <c r="D2866" s="9">
        <v>9.049536462E9</v>
      </c>
      <c r="E2866" s="8" t="s">
        <v>3485</v>
      </c>
      <c r="F2866" s="8" t="s">
        <v>3486</v>
      </c>
      <c r="G2866" s="8" t="s">
        <v>15873</v>
      </c>
      <c r="H2866" s="8" t="s">
        <v>3479</v>
      </c>
      <c r="I2866" s="9">
        <v>0.0</v>
      </c>
      <c r="J2866" s="9">
        <v>2837.0</v>
      </c>
      <c r="K2866" s="9">
        <v>2837.0</v>
      </c>
      <c r="L2866" s="9">
        <v>2837.0</v>
      </c>
      <c r="M2866" s="9">
        <v>1649.0</v>
      </c>
      <c r="N2866" s="9">
        <v>739.0</v>
      </c>
      <c r="O2866" s="9">
        <v>449.0</v>
      </c>
      <c r="P2866" s="8" t="s">
        <v>3480</v>
      </c>
      <c r="Q2866" s="8" t="s">
        <v>3488</v>
      </c>
      <c r="R2866" s="8" t="s">
        <v>3489</v>
      </c>
    </row>
    <row r="2867">
      <c r="A2867" s="8" t="s">
        <v>3094</v>
      </c>
      <c r="B2867" s="8" t="s">
        <v>15874</v>
      </c>
      <c r="C2867" s="8" t="s">
        <v>15875</v>
      </c>
      <c r="D2867" s="9">
        <v>8.975636988E9</v>
      </c>
      <c r="E2867" s="8" t="s">
        <v>15876</v>
      </c>
      <c r="F2867" s="8" t="s">
        <v>8231</v>
      </c>
      <c r="G2867" s="8" t="s">
        <v>15877</v>
      </c>
      <c r="H2867" s="8" t="s">
        <v>3479</v>
      </c>
      <c r="I2867" s="9">
        <v>0.0</v>
      </c>
      <c r="J2867" s="9">
        <v>3538.0</v>
      </c>
      <c r="K2867" s="9">
        <v>3538.0</v>
      </c>
      <c r="L2867" s="9">
        <v>3538.0</v>
      </c>
      <c r="M2867" s="9">
        <v>2274.0</v>
      </c>
      <c r="N2867" s="9">
        <v>190.0</v>
      </c>
      <c r="O2867" s="9">
        <v>1074.0</v>
      </c>
      <c r="P2867" s="8" t="s">
        <v>3480</v>
      </c>
      <c r="Q2867" s="8"/>
      <c r="R2867" s="8"/>
    </row>
    <row r="2868">
      <c r="A2868" s="8" t="s">
        <v>3092</v>
      </c>
      <c r="B2868" s="8" t="s">
        <v>15878</v>
      </c>
      <c r="C2868" s="8" t="s">
        <v>15879</v>
      </c>
      <c r="D2868" s="9">
        <v>7.588448863E9</v>
      </c>
      <c r="E2868" s="8" t="s">
        <v>15880</v>
      </c>
      <c r="F2868" s="8" t="s">
        <v>3589</v>
      </c>
      <c r="G2868" s="8" t="s">
        <v>15881</v>
      </c>
      <c r="H2868" s="8" t="s">
        <v>3479</v>
      </c>
      <c r="I2868" s="9">
        <v>0.0</v>
      </c>
      <c r="J2868" s="9">
        <v>985.0</v>
      </c>
      <c r="K2868" s="9">
        <v>985.0</v>
      </c>
      <c r="L2868" s="9">
        <v>985.0</v>
      </c>
      <c r="M2868" s="9">
        <v>246.0</v>
      </c>
      <c r="N2868" s="9">
        <v>80.0</v>
      </c>
      <c r="O2868" s="9">
        <v>659.0</v>
      </c>
      <c r="P2868" s="8" t="s">
        <v>3480</v>
      </c>
      <c r="Q2868" s="8" t="s">
        <v>15882</v>
      </c>
      <c r="R2868" s="8" t="s">
        <v>15883</v>
      </c>
    </row>
    <row r="2869">
      <c r="A2869" s="8" t="s">
        <v>3110</v>
      </c>
      <c r="B2869" s="8" t="s">
        <v>15884</v>
      </c>
      <c r="C2869" s="8" t="s">
        <v>4087</v>
      </c>
      <c r="D2869" s="9">
        <v>9.890022157E9</v>
      </c>
      <c r="E2869" s="8" t="s">
        <v>4088</v>
      </c>
      <c r="F2869" s="8" t="s">
        <v>4089</v>
      </c>
      <c r="G2869" s="8" t="s">
        <v>3966</v>
      </c>
      <c r="H2869" s="8" t="s">
        <v>3479</v>
      </c>
      <c r="I2869" s="9">
        <v>0.0</v>
      </c>
      <c r="J2869" s="9">
        <v>1958.0</v>
      </c>
      <c r="K2869" s="9">
        <v>1958.0</v>
      </c>
      <c r="L2869" s="9">
        <v>1958.0</v>
      </c>
      <c r="M2869" s="9">
        <v>1019.0</v>
      </c>
      <c r="N2869" s="9">
        <v>190.0</v>
      </c>
      <c r="O2869" s="9">
        <v>749.0</v>
      </c>
      <c r="P2869" s="8" t="s">
        <v>3480</v>
      </c>
      <c r="Q2869" s="8"/>
      <c r="R2869" s="8"/>
    </row>
    <row r="2870">
      <c r="A2870" s="8" t="s">
        <v>3111</v>
      </c>
      <c r="B2870" s="8" t="s">
        <v>15885</v>
      </c>
      <c r="C2870" s="8" t="s">
        <v>7542</v>
      </c>
      <c r="D2870" s="9">
        <v>9.921390651E9</v>
      </c>
      <c r="E2870" s="8" t="s">
        <v>13223</v>
      </c>
      <c r="F2870" s="8" t="s">
        <v>3608</v>
      </c>
      <c r="G2870" s="8" t="s">
        <v>11256</v>
      </c>
      <c r="H2870" s="8" t="s">
        <v>3479</v>
      </c>
      <c r="I2870" s="9">
        <v>0.0</v>
      </c>
      <c r="J2870" s="9">
        <v>1821.0</v>
      </c>
      <c r="K2870" s="9">
        <v>1821.0</v>
      </c>
      <c r="L2870" s="9">
        <v>1821.0</v>
      </c>
      <c r="M2870" s="9">
        <v>633.0</v>
      </c>
      <c r="N2870" s="9">
        <v>739.0</v>
      </c>
      <c r="O2870" s="9">
        <v>449.0</v>
      </c>
      <c r="P2870" s="8" t="s">
        <v>3544</v>
      </c>
      <c r="Q2870" s="8"/>
      <c r="R2870" s="8"/>
    </row>
    <row r="2871">
      <c r="A2871" s="8" t="s">
        <v>3112</v>
      </c>
      <c r="B2871" s="8" t="s">
        <v>15886</v>
      </c>
      <c r="C2871" s="8" t="s">
        <v>5600</v>
      </c>
      <c r="D2871" s="9">
        <v>8.871710584E9</v>
      </c>
      <c r="E2871" s="8" t="s">
        <v>5601</v>
      </c>
      <c r="F2871" s="8" t="s">
        <v>3993</v>
      </c>
      <c r="G2871" s="8" t="s">
        <v>3494</v>
      </c>
      <c r="H2871" s="8" t="s">
        <v>3479</v>
      </c>
      <c r="I2871" s="9">
        <v>0.0</v>
      </c>
      <c r="J2871" s="9">
        <v>2037.0</v>
      </c>
      <c r="K2871" s="9">
        <v>2037.0</v>
      </c>
      <c r="L2871" s="9">
        <v>2037.0</v>
      </c>
      <c r="M2871" s="9">
        <v>529.0</v>
      </c>
      <c r="N2871" s="9">
        <v>784.0</v>
      </c>
      <c r="O2871" s="9">
        <v>724.0</v>
      </c>
      <c r="P2871" s="8" t="s">
        <v>3480</v>
      </c>
      <c r="Q2871" s="8" t="s">
        <v>5603</v>
      </c>
      <c r="R2871" s="8" t="s">
        <v>5604</v>
      </c>
    </row>
    <row r="2872">
      <c r="A2872" s="8" t="s">
        <v>3113</v>
      </c>
      <c r="B2872" s="8" t="s">
        <v>15887</v>
      </c>
      <c r="C2872" s="8" t="s">
        <v>10391</v>
      </c>
      <c r="D2872" s="9">
        <v>8.862041481E9</v>
      </c>
      <c r="E2872" s="8" t="s">
        <v>10392</v>
      </c>
      <c r="F2872" s="8" t="s">
        <v>4681</v>
      </c>
      <c r="G2872" s="8" t="s">
        <v>15888</v>
      </c>
      <c r="H2872" s="8" t="s">
        <v>3479</v>
      </c>
      <c r="I2872" s="9">
        <v>0.0</v>
      </c>
      <c r="J2872" s="9">
        <v>1399.0</v>
      </c>
      <c r="K2872" s="9">
        <v>1399.0</v>
      </c>
      <c r="L2872" s="9">
        <v>1399.0</v>
      </c>
      <c r="M2872" s="9">
        <v>460.0</v>
      </c>
      <c r="N2872" s="9">
        <v>190.0</v>
      </c>
      <c r="O2872" s="9">
        <v>749.0</v>
      </c>
      <c r="P2872" s="8" t="s">
        <v>3480</v>
      </c>
      <c r="Q2872" s="8" t="s">
        <v>10394</v>
      </c>
      <c r="R2872" s="8" t="s">
        <v>10395</v>
      </c>
    </row>
    <row r="2873">
      <c r="A2873" s="8" t="s">
        <v>3116</v>
      </c>
      <c r="B2873" s="8" t="s">
        <v>15889</v>
      </c>
      <c r="C2873" s="8" t="s">
        <v>7187</v>
      </c>
      <c r="D2873" s="9">
        <v>9.82314225E9</v>
      </c>
      <c r="E2873" s="8" t="s">
        <v>7188</v>
      </c>
      <c r="F2873" s="8" t="s">
        <v>3498</v>
      </c>
      <c r="G2873" s="8" t="s">
        <v>15890</v>
      </c>
      <c r="H2873" s="8" t="s">
        <v>3479</v>
      </c>
      <c r="I2873" s="9">
        <v>0.0</v>
      </c>
      <c r="J2873" s="9">
        <v>604.0</v>
      </c>
      <c r="K2873" s="9">
        <v>604.0</v>
      </c>
      <c r="L2873" s="9">
        <v>604.0</v>
      </c>
      <c r="M2873" s="9">
        <v>80.0</v>
      </c>
      <c r="N2873" s="9">
        <v>0.0</v>
      </c>
      <c r="O2873" s="9">
        <v>524.0</v>
      </c>
      <c r="P2873" s="8" t="s">
        <v>3519</v>
      </c>
      <c r="Q2873" s="8" t="s">
        <v>7190</v>
      </c>
      <c r="R2873" s="8" t="s">
        <v>7191</v>
      </c>
    </row>
    <row r="2874">
      <c r="A2874" s="8" t="s">
        <v>3114</v>
      </c>
      <c r="B2874" s="8" t="s">
        <v>15891</v>
      </c>
      <c r="C2874" s="8" t="s">
        <v>15892</v>
      </c>
      <c r="D2874" s="9">
        <v>9.099971197E9</v>
      </c>
      <c r="E2874" s="8" t="s">
        <v>15893</v>
      </c>
      <c r="F2874" s="8" t="s">
        <v>3601</v>
      </c>
      <c r="G2874" s="8" t="s">
        <v>15894</v>
      </c>
      <c r="H2874" s="8" t="s">
        <v>3479</v>
      </c>
      <c r="I2874" s="9">
        <v>0.0</v>
      </c>
      <c r="J2874" s="9">
        <v>1656.0</v>
      </c>
      <c r="K2874" s="9">
        <v>1656.0</v>
      </c>
      <c r="L2874" s="9">
        <v>1656.0</v>
      </c>
      <c r="M2874" s="9">
        <v>468.0</v>
      </c>
      <c r="N2874" s="9">
        <v>739.0</v>
      </c>
      <c r="O2874" s="9">
        <v>449.0</v>
      </c>
      <c r="P2874" s="8" t="s">
        <v>3480</v>
      </c>
      <c r="Q2874" s="8" t="s">
        <v>15895</v>
      </c>
      <c r="R2874" s="8" t="s">
        <v>15896</v>
      </c>
    </row>
    <row r="2875">
      <c r="A2875" s="8" t="s">
        <v>3098</v>
      </c>
      <c r="B2875" s="8" t="s">
        <v>15897</v>
      </c>
      <c r="C2875" s="8" t="s">
        <v>15898</v>
      </c>
      <c r="D2875" s="9">
        <v>8.007777874E9</v>
      </c>
      <c r="E2875" s="8" t="s">
        <v>15899</v>
      </c>
      <c r="F2875" s="8" t="s">
        <v>3576</v>
      </c>
      <c r="G2875" s="8" t="s">
        <v>15900</v>
      </c>
      <c r="H2875" s="8" t="s">
        <v>3479</v>
      </c>
      <c r="I2875" s="9">
        <v>0.0</v>
      </c>
      <c r="J2875" s="9">
        <v>2300.0</v>
      </c>
      <c r="K2875" s="9">
        <v>2300.0</v>
      </c>
      <c r="L2875" s="9">
        <v>2300.0</v>
      </c>
      <c r="M2875" s="9">
        <v>2300.0</v>
      </c>
      <c r="N2875" s="9">
        <v>0.0</v>
      </c>
      <c r="O2875" s="9">
        <v>0.0</v>
      </c>
      <c r="P2875" s="8" t="s">
        <v>3519</v>
      </c>
      <c r="Q2875" s="8"/>
      <c r="R2875" s="8"/>
    </row>
    <row r="2876">
      <c r="A2876" s="8" t="s">
        <v>1557</v>
      </c>
      <c r="B2876" s="8" t="s">
        <v>15901</v>
      </c>
      <c r="C2876" s="8" t="s">
        <v>7066</v>
      </c>
      <c r="D2876" s="9">
        <v>9.158796797E9</v>
      </c>
      <c r="E2876" s="8" t="s">
        <v>7067</v>
      </c>
      <c r="F2876" s="8" t="s">
        <v>6508</v>
      </c>
      <c r="G2876" s="8" t="s">
        <v>15902</v>
      </c>
      <c r="H2876" s="8" t="s">
        <v>3479</v>
      </c>
      <c r="I2876" s="9">
        <v>0.0</v>
      </c>
      <c r="J2876" s="9">
        <v>1612.0</v>
      </c>
      <c r="K2876" s="9">
        <v>1612.0</v>
      </c>
      <c r="L2876" s="9">
        <v>1612.0</v>
      </c>
      <c r="M2876" s="9">
        <v>288.0</v>
      </c>
      <c r="N2876" s="9">
        <v>775.0</v>
      </c>
      <c r="O2876" s="9">
        <v>549.0</v>
      </c>
      <c r="P2876" s="8" t="s">
        <v>3480</v>
      </c>
      <c r="Q2876" s="8" t="s">
        <v>7069</v>
      </c>
      <c r="R2876" s="8" t="s">
        <v>7070</v>
      </c>
    </row>
    <row r="2877">
      <c r="A2877" s="8" t="s">
        <v>1686</v>
      </c>
      <c r="B2877" s="8" t="s">
        <v>15903</v>
      </c>
      <c r="C2877" s="8" t="s">
        <v>15904</v>
      </c>
      <c r="D2877" s="9">
        <v>9.552592636E9</v>
      </c>
      <c r="E2877" s="8" t="s">
        <v>15905</v>
      </c>
      <c r="F2877" s="8" t="s">
        <v>3608</v>
      </c>
      <c r="G2877" s="8" t="s">
        <v>15906</v>
      </c>
      <c r="H2877" s="8" t="s">
        <v>3479</v>
      </c>
      <c r="I2877" s="9">
        <v>0.0</v>
      </c>
      <c r="J2877" s="9">
        <v>1115.0</v>
      </c>
      <c r="K2877" s="9">
        <v>1115.0</v>
      </c>
      <c r="L2877" s="9">
        <v>1115.0</v>
      </c>
      <c r="M2877" s="9">
        <v>586.0</v>
      </c>
      <c r="N2877" s="9">
        <v>80.0</v>
      </c>
      <c r="O2877" s="9">
        <v>449.0</v>
      </c>
      <c r="P2877" s="8" t="s">
        <v>3480</v>
      </c>
      <c r="Q2877" s="8"/>
      <c r="R2877" s="8"/>
    </row>
    <row r="2878">
      <c r="A2878" s="8" t="s">
        <v>3099</v>
      </c>
      <c r="B2878" s="8" t="s">
        <v>15907</v>
      </c>
      <c r="C2878" s="8" t="s">
        <v>15908</v>
      </c>
      <c r="D2878" s="9">
        <v>9.42006655E9</v>
      </c>
      <c r="E2878" s="8" t="s">
        <v>8275</v>
      </c>
      <c r="F2878" s="8" t="s">
        <v>3550</v>
      </c>
      <c r="G2878" s="8" t="s">
        <v>15909</v>
      </c>
      <c r="H2878" s="8" t="s">
        <v>3479</v>
      </c>
      <c r="I2878" s="9">
        <v>0.0</v>
      </c>
      <c r="J2878" s="9">
        <v>1979.0</v>
      </c>
      <c r="K2878" s="9">
        <v>1979.0</v>
      </c>
      <c r="L2878" s="9">
        <v>1979.0</v>
      </c>
      <c r="M2878" s="9">
        <v>691.0</v>
      </c>
      <c r="N2878" s="9">
        <v>739.0</v>
      </c>
      <c r="O2878" s="9">
        <v>549.0</v>
      </c>
      <c r="P2878" s="8" t="s">
        <v>3519</v>
      </c>
      <c r="Q2878" s="8"/>
      <c r="R2878" s="8"/>
    </row>
    <row r="2879">
      <c r="A2879" s="8" t="s">
        <v>3115</v>
      </c>
      <c r="B2879" s="8" t="s">
        <v>15910</v>
      </c>
      <c r="C2879" s="8" t="s">
        <v>9666</v>
      </c>
      <c r="D2879" s="9">
        <v>9.65722463E9</v>
      </c>
      <c r="E2879" s="8" t="s">
        <v>15911</v>
      </c>
      <c r="F2879" s="8" t="s">
        <v>3601</v>
      </c>
      <c r="G2879" s="8" t="s">
        <v>15912</v>
      </c>
      <c r="H2879" s="8" t="s">
        <v>3479</v>
      </c>
      <c r="I2879" s="9">
        <v>0.0</v>
      </c>
      <c r="J2879" s="9">
        <v>1754.0</v>
      </c>
      <c r="K2879" s="9">
        <v>1754.0</v>
      </c>
      <c r="L2879" s="9">
        <v>1754.0</v>
      </c>
      <c r="M2879" s="9">
        <v>566.0</v>
      </c>
      <c r="N2879" s="9">
        <v>739.0</v>
      </c>
      <c r="O2879" s="9">
        <v>449.0</v>
      </c>
      <c r="P2879" s="8" t="s">
        <v>3544</v>
      </c>
      <c r="Q2879" s="8" t="s">
        <v>15913</v>
      </c>
      <c r="R2879" s="8" t="s">
        <v>15914</v>
      </c>
    </row>
    <row r="2880">
      <c r="A2880" s="8" t="s">
        <v>190</v>
      </c>
      <c r="B2880" s="8" t="s">
        <v>15915</v>
      </c>
      <c r="C2880" s="8" t="s">
        <v>15916</v>
      </c>
      <c r="D2880" s="9">
        <v>7.768872859E9</v>
      </c>
      <c r="E2880" s="8" t="s">
        <v>15917</v>
      </c>
      <c r="F2880" s="8" t="s">
        <v>4373</v>
      </c>
      <c r="G2880" s="8" t="s">
        <v>15918</v>
      </c>
      <c r="H2880" s="8" t="s">
        <v>3479</v>
      </c>
      <c r="I2880" s="9">
        <v>0.0</v>
      </c>
      <c r="J2880" s="9">
        <v>744.0</v>
      </c>
      <c r="K2880" s="9">
        <v>744.0</v>
      </c>
      <c r="L2880" s="9">
        <v>744.0</v>
      </c>
      <c r="M2880" s="9">
        <v>80.0</v>
      </c>
      <c r="N2880" s="9">
        <v>65.0</v>
      </c>
      <c r="O2880" s="9">
        <v>599.0</v>
      </c>
      <c r="P2880" s="8" t="s">
        <v>3480</v>
      </c>
      <c r="Q2880" s="8"/>
      <c r="R2880" s="8"/>
    </row>
    <row r="2881">
      <c r="A2881" s="8" t="s">
        <v>189</v>
      </c>
      <c r="B2881" s="8" t="s">
        <v>15919</v>
      </c>
      <c r="C2881" s="8" t="s">
        <v>3952</v>
      </c>
      <c r="D2881" s="9">
        <v>9.850380576E9</v>
      </c>
      <c r="E2881" s="8" t="s">
        <v>12000</v>
      </c>
      <c r="F2881" s="8" t="s">
        <v>3721</v>
      </c>
      <c r="G2881" s="8" t="s">
        <v>15920</v>
      </c>
      <c r="H2881" s="8" t="s">
        <v>3479</v>
      </c>
      <c r="I2881" s="9">
        <v>0.0</v>
      </c>
      <c r="J2881" s="9">
        <v>1414.0</v>
      </c>
      <c r="K2881" s="9">
        <v>1414.0</v>
      </c>
      <c r="L2881" s="9">
        <v>1414.0</v>
      </c>
      <c r="M2881" s="9">
        <v>160.0</v>
      </c>
      <c r="N2881" s="9">
        <v>730.0</v>
      </c>
      <c r="O2881" s="9">
        <v>524.0</v>
      </c>
      <c r="P2881" s="8" t="s">
        <v>3480</v>
      </c>
      <c r="Q2881" s="8" t="s">
        <v>12002</v>
      </c>
      <c r="R2881" s="8" t="s">
        <v>12003</v>
      </c>
    </row>
    <row r="2882">
      <c r="A2882" s="8" t="s">
        <v>3100</v>
      </c>
      <c r="B2882" s="8" t="s">
        <v>15921</v>
      </c>
      <c r="C2882" s="8" t="s">
        <v>15922</v>
      </c>
      <c r="D2882" s="9">
        <v>9.960700177E9</v>
      </c>
      <c r="E2882" s="8" t="s">
        <v>15923</v>
      </c>
      <c r="F2882" s="8" t="s">
        <v>4189</v>
      </c>
      <c r="G2882" s="8" t="s">
        <v>15924</v>
      </c>
      <c r="H2882" s="8" t="s">
        <v>3479</v>
      </c>
      <c r="I2882" s="9">
        <v>0.0</v>
      </c>
      <c r="J2882" s="9">
        <v>1815.0</v>
      </c>
      <c r="K2882" s="9">
        <v>1815.0</v>
      </c>
      <c r="L2882" s="9">
        <v>1815.0</v>
      </c>
      <c r="M2882" s="9">
        <v>627.0</v>
      </c>
      <c r="N2882" s="9">
        <v>739.0</v>
      </c>
      <c r="O2882" s="9">
        <v>449.0</v>
      </c>
      <c r="P2882" s="8" t="s">
        <v>3480</v>
      </c>
      <c r="Q2882" s="8"/>
      <c r="R2882" s="8"/>
    </row>
    <row r="2883">
      <c r="A2883" s="8" t="s">
        <v>192</v>
      </c>
      <c r="B2883" s="8" t="s">
        <v>15925</v>
      </c>
      <c r="C2883" s="8" t="s">
        <v>9312</v>
      </c>
      <c r="D2883" s="9">
        <v>7.219101025E9</v>
      </c>
      <c r="E2883" s="8" t="s">
        <v>9313</v>
      </c>
      <c r="F2883" s="8" t="s">
        <v>3821</v>
      </c>
      <c r="G2883" s="8" t="s">
        <v>15926</v>
      </c>
      <c r="H2883" s="8" t="s">
        <v>3479</v>
      </c>
      <c r="I2883" s="9">
        <v>0.0</v>
      </c>
      <c r="J2883" s="9">
        <v>1488.0</v>
      </c>
      <c r="K2883" s="9">
        <v>1488.0</v>
      </c>
      <c r="L2883" s="9">
        <v>1488.0</v>
      </c>
      <c r="M2883" s="9">
        <v>225.0</v>
      </c>
      <c r="N2883" s="9">
        <v>739.0</v>
      </c>
      <c r="O2883" s="9">
        <v>524.0</v>
      </c>
      <c r="P2883" s="8" t="s">
        <v>3480</v>
      </c>
      <c r="Q2883" s="8" t="s">
        <v>9315</v>
      </c>
      <c r="R2883" s="8" t="s">
        <v>9316</v>
      </c>
    </row>
    <row r="2884">
      <c r="A2884" s="8" t="s">
        <v>193</v>
      </c>
      <c r="B2884" s="8" t="s">
        <v>15927</v>
      </c>
      <c r="C2884" s="8" t="s">
        <v>3957</v>
      </c>
      <c r="D2884" s="9">
        <v>9.822889511E9</v>
      </c>
      <c r="E2884" s="8" t="s">
        <v>3958</v>
      </c>
      <c r="F2884" s="8" t="s">
        <v>3959</v>
      </c>
      <c r="G2884" s="8" t="s">
        <v>15928</v>
      </c>
      <c r="H2884" s="8" t="s">
        <v>3479</v>
      </c>
      <c r="I2884" s="9">
        <v>0.0</v>
      </c>
      <c r="J2884" s="9">
        <v>1563.0</v>
      </c>
      <c r="K2884" s="9">
        <v>1563.0</v>
      </c>
      <c r="L2884" s="9">
        <v>1563.0</v>
      </c>
      <c r="M2884" s="9">
        <v>330.0</v>
      </c>
      <c r="N2884" s="9">
        <v>784.0</v>
      </c>
      <c r="O2884" s="9">
        <v>449.0</v>
      </c>
      <c r="P2884" s="8" t="s">
        <v>3480</v>
      </c>
      <c r="Q2884" s="8" t="s">
        <v>3961</v>
      </c>
      <c r="R2884" s="8" t="s">
        <v>3962</v>
      </c>
    </row>
    <row r="2885">
      <c r="A2885" s="8" t="s">
        <v>194</v>
      </c>
      <c r="B2885" s="8" t="s">
        <v>15929</v>
      </c>
      <c r="C2885" s="8" t="s">
        <v>4905</v>
      </c>
      <c r="D2885" s="9">
        <v>8.975828434E9</v>
      </c>
      <c r="E2885" s="8" t="s">
        <v>14211</v>
      </c>
      <c r="F2885" s="8" t="s">
        <v>3493</v>
      </c>
      <c r="G2885" s="8" t="s">
        <v>15930</v>
      </c>
      <c r="H2885" s="8" t="s">
        <v>3479</v>
      </c>
      <c r="I2885" s="9">
        <v>0.0</v>
      </c>
      <c r="J2885" s="9">
        <v>1518.0</v>
      </c>
      <c r="K2885" s="9">
        <v>1518.0</v>
      </c>
      <c r="L2885" s="9">
        <v>1518.0</v>
      </c>
      <c r="M2885" s="9">
        <v>135.0</v>
      </c>
      <c r="N2885" s="9">
        <v>784.0</v>
      </c>
      <c r="O2885" s="9">
        <v>599.0</v>
      </c>
      <c r="P2885" s="8" t="s">
        <v>3480</v>
      </c>
      <c r="Q2885" s="8" t="s">
        <v>14213</v>
      </c>
      <c r="R2885" s="8" t="s">
        <v>14214</v>
      </c>
    </row>
    <row r="2886">
      <c r="A2886" s="8" t="s">
        <v>3137</v>
      </c>
      <c r="B2886" s="8" t="s">
        <v>15931</v>
      </c>
      <c r="C2886" s="8" t="s">
        <v>15932</v>
      </c>
      <c r="D2886" s="9">
        <v>7.41052285E9</v>
      </c>
      <c r="E2886" s="8" t="s">
        <v>15933</v>
      </c>
      <c r="F2886" s="8" t="s">
        <v>4903</v>
      </c>
      <c r="G2886" s="8" t="s">
        <v>15934</v>
      </c>
      <c r="H2886" s="8" t="s">
        <v>3479</v>
      </c>
      <c r="I2886" s="9">
        <v>0.0</v>
      </c>
      <c r="J2886" s="9">
        <v>450.0</v>
      </c>
      <c r="K2886" s="9">
        <v>450.0</v>
      </c>
      <c r="L2886" s="9">
        <v>450.0</v>
      </c>
      <c r="M2886" s="9">
        <v>0.0</v>
      </c>
      <c r="N2886" s="9">
        <v>450.0</v>
      </c>
      <c r="O2886" s="9">
        <v>0.0</v>
      </c>
      <c r="P2886" s="8" t="s">
        <v>3480</v>
      </c>
      <c r="Q2886" s="8"/>
      <c r="R2886" s="8"/>
    </row>
    <row r="2887">
      <c r="A2887" s="8" t="s">
        <v>191</v>
      </c>
      <c r="B2887" s="8" t="s">
        <v>15935</v>
      </c>
      <c r="C2887" s="8" t="s">
        <v>15936</v>
      </c>
      <c r="D2887" s="9">
        <v>9.405407097E9</v>
      </c>
      <c r="E2887" s="8" t="s">
        <v>15937</v>
      </c>
      <c r="F2887" s="8" t="s">
        <v>3608</v>
      </c>
      <c r="G2887" s="8" t="s">
        <v>15938</v>
      </c>
      <c r="H2887" s="8" t="s">
        <v>3479</v>
      </c>
      <c r="I2887" s="9">
        <v>0.0</v>
      </c>
      <c r="J2887" s="9">
        <v>2044.0</v>
      </c>
      <c r="K2887" s="9">
        <v>2044.0</v>
      </c>
      <c r="L2887" s="9">
        <v>2044.0</v>
      </c>
      <c r="M2887" s="9">
        <v>856.0</v>
      </c>
      <c r="N2887" s="9">
        <v>739.0</v>
      </c>
      <c r="O2887" s="9">
        <v>449.0</v>
      </c>
      <c r="P2887" s="8" t="s">
        <v>3480</v>
      </c>
      <c r="Q2887" s="8" t="s">
        <v>15939</v>
      </c>
      <c r="R2887" s="8" t="s">
        <v>15940</v>
      </c>
    </row>
    <row r="2888">
      <c r="A2888" s="8" t="s">
        <v>196</v>
      </c>
      <c r="B2888" s="8" t="s">
        <v>15941</v>
      </c>
      <c r="C2888" s="8" t="s">
        <v>12848</v>
      </c>
      <c r="D2888" s="9">
        <v>8.517900078E9</v>
      </c>
      <c r="E2888" s="8" t="s">
        <v>12849</v>
      </c>
      <c r="F2888" s="8" t="s">
        <v>4792</v>
      </c>
      <c r="G2888" s="8" t="s">
        <v>15942</v>
      </c>
      <c r="H2888" s="8" t="s">
        <v>3479</v>
      </c>
      <c r="I2888" s="9">
        <v>0.0</v>
      </c>
      <c r="J2888" s="9">
        <v>6816.0</v>
      </c>
      <c r="K2888" s="9">
        <v>6816.0</v>
      </c>
      <c r="L2888" s="9">
        <v>6816.0</v>
      </c>
      <c r="M2888" s="9">
        <v>5224.0</v>
      </c>
      <c r="N2888" s="9">
        <v>868.0</v>
      </c>
      <c r="O2888" s="9">
        <v>724.0</v>
      </c>
      <c r="P2888" s="8" t="s">
        <v>3480</v>
      </c>
      <c r="Q2888" s="8" t="s">
        <v>12851</v>
      </c>
      <c r="R2888" s="8" t="s">
        <v>12852</v>
      </c>
    </row>
    <row r="2889">
      <c r="A2889" s="8" t="s">
        <v>188</v>
      </c>
      <c r="B2889" s="8" t="s">
        <v>15943</v>
      </c>
      <c r="C2889" s="8" t="s">
        <v>15944</v>
      </c>
      <c r="D2889" s="9">
        <v>9.975009495E9</v>
      </c>
      <c r="E2889" s="8" t="s">
        <v>15945</v>
      </c>
      <c r="F2889" s="8" t="s">
        <v>4089</v>
      </c>
      <c r="G2889" s="8" t="s">
        <v>15946</v>
      </c>
      <c r="H2889" s="8" t="s">
        <v>3479</v>
      </c>
      <c r="I2889" s="9">
        <v>0.0</v>
      </c>
      <c r="J2889" s="9">
        <v>1509.0</v>
      </c>
      <c r="K2889" s="9">
        <v>1509.0</v>
      </c>
      <c r="L2889" s="9">
        <v>1509.0</v>
      </c>
      <c r="M2889" s="9">
        <v>760.0</v>
      </c>
      <c r="N2889" s="9">
        <v>0.0</v>
      </c>
      <c r="O2889" s="9">
        <v>749.0</v>
      </c>
      <c r="P2889" s="8" t="s">
        <v>3480</v>
      </c>
      <c r="Q2889" s="8"/>
      <c r="R2889" s="8"/>
    </row>
    <row r="2890">
      <c r="A2890" s="8" t="s">
        <v>195</v>
      </c>
      <c r="B2890" s="8" t="s">
        <v>15947</v>
      </c>
      <c r="C2890" s="8" t="s">
        <v>7488</v>
      </c>
      <c r="D2890" s="9">
        <v>9.762861972E9</v>
      </c>
      <c r="E2890" s="8" t="s">
        <v>7489</v>
      </c>
      <c r="F2890" s="8" t="s">
        <v>5633</v>
      </c>
      <c r="G2890" s="8" t="s">
        <v>15948</v>
      </c>
      <c r="H2890" s="8" t="s">
        <v>3479</v>
      </c>
      <c r="I2890" s="9">
        <v>0.0</v>
      </c>
      <c r="J2890" s="9">
        <v>1730.0</v>
      </c>
      <c r="K2890" s="9">
        <v>1730.0</v>
      </c>
      <c r="L2890" s="9">
        <v>1730.0</v>
      </c>
      <c r="M2890" s="9">
        <v>345.0</v>
      </c>
      <c r="N2890" s="9">
        <v>786.0</v>
      </c>
      <c r="O2890" s="9">
        <v>599.0</v>
      </c>
      <c r="P2890" s="8" t="s">
        <v>3480</v>
      </c>
      <c r="Q2890" s="8" t="s">
        <v>7491</v>
      </c>
      <c r="R2890" s="8" t="s">
        <v>7492</v>
      </c>
    </row>
    <row r="2891">
      <c r="A2891" s="8" t="s">
        <v>197</v>
      </c>
      <c r="B2891" s="8" t="s">
        <v>15949</v>
      </c>
      <c r="C2891" s="8" t="s">
        <v>8692</v>
      </c>
      <c r="D2891" s="9">
        <v>8.668363746E9</v>
      </c>
      <c r="E2891" s="8" t="s">
        <v>13652</v>
      </c>
      <c r="F2891" s="8" t="s">
        <v>3542</v>
      </c>
      <c r="G2891" s="8" t="s">
        <v>15950</v>
      </c>
      <c r="H2891" s="8" t="s">
        <v>3479</v>
      </c>
      <c r="I2891" s="9">
        <v>0.0</v>
      </c>
      <c r="J2891" s="9">
        <v>1887.0</v>
      </c>
      <c r="K2891" s="9">
        <v>1887.0</v>
      </c>
      <c r="L2891" s="9">
        <v>1887.0</v>
      </c>
      <c r="M2891" s="9">
        <v>633.0</v>
      </c>
      <c r="N2891" s="9">
        <v>730.0</v>
      </c>
      <c r="O2891" s="9">
        <v>524.0</v>
      </c>
      <c r="P2891" s="8" t="s">
        <v>3480</v>
      </c>
      <c r="Q2891" s="8" t="s">
        <v>4381</v>
      </c>
      <c r="R2891" s="8"/>
    </row>
    <row r="2892">
      <c r="A2892" s="8" t="s">
        <v>3102</v>
      </c>
      <c r="B2892" s="8" t="s">
        <v>15951</v>
      </c>
      <c r="C2892" s="8" t="s">
        <v>3899</v>
      </c>
      <c r="D2892" s="9">
        <v>9.02842687E9</v>
      </c>
      <c r="E2892" s="8" t="s">
        <v>4612</v>
      </c>
      <c r="F2892" s="8" t="s">
        <v>3550</v>
      </c>
      <c r="G2892" s="8" t="s">
        <v>15952</v>
      </c>
      <c r="H2892" s="8" t="s">
        <v>3479</v>
      </c>
      <c r="I2892" s="9">
        <v>0.0</v>
      </c>
      <c r="J2892" s="9">
        <v>1771.0</v>
      </c>
      <c r="K2892" s="9">
        <v>1771.0</v>
      </c>
      <c r="L2892" s="9">
        <v>1771.0</v>
      </c>
      <c r="M2892" s="9">
        <v>583.0</v>
      </c>
      <c r="N2892" s="9">
        <v>739.0</v>
      </c>
      <c r="O2892" s="9">
        <v>449.0</v>
      </c>
      <c r="P2892" s="8" t="s">
        <v>3480</v>
      </c>
      <c r="Q2892" s="8" t="s">
        <v>4614</v>
      </c>
      <c r="R2892" s="8" t="s">
        <v>4615</v>
      </c>
    </row>
    <row r="2893">
      <c r="A2893" s="8" t="s">
        <v>3104</v>
      </c>
      <c r="B2893" s="8" t="s">
        <v>15953</v>
      </c>
      <c r="C2893" s="8" t="s">
        <v>15954</v>
      </c>
      <c r="D2893" s="9">
        <v>7.306094341E9</v>
      </c>
      <c r="E2893" s="8" t="s">
        <v>15955</v>
      </c>
      <c r="F2893" s="8" t="s">
        <v>3757</v>
      </c>
      <c r="G2893" s="8" t="s">
        <v>15956</v>
      </c>
      <c r="H2893" s="8" t="s">
        <v>3479</v>
      </c>
      <c r="I2893" s="9">
        <v>0.0</v>
      </c>
      <c r="J2893" s="9">
        <v>5882.0</v>
      </c>
      <c r="K2893" s="9">
        <v>5882.0</v>
      </c>
      <c r="L2893" s="9">
        <v>5882.0</v>
      </c>
      <c r="M2893" s="9">
        <v>2815.0</v>
      </c>
      <c r="N2893" s="9">
        <v>1468.0</v>
      </c>
      <c r="O2893" s="9">
        <v>1599.0</v>
      </c>
      <c r="P2893" s="8" t="s">
        <v>3544</v>
      </c>
      <c r="Q2893" s="8"/>
      <c r="R2893" s="8"/>
    </row>
    <row r="2894">
      <c r="A2894" s="8" t="s">
        <v>3105</v>
      </c>
      <c r="B2894" s="8" t="s">
        <v>15957</v>
      </c>
      <c r="C2894" s="8" t="s">
        <v>7177</v>
      </c>
      <c r="D2894" s="9">
        <v>9.422733881E9</v>
      </c>
      <c r="E2894" s="8" t="s">
        <v>10567</v>
      </c>
      <c r="F2894" s="8" t="s">
        <v>3601</v>
      </c>
      <c r="G2894" s="8" t="s">
        <v>15958</v>
      </c>
      <c r="H2894" s="8" t="s">
        <v>3479</v>
      </c>
      <c r="I2894" s="9">
        <v>0.0</v>
      </c>
      <c r="J2894" s="9">
        <v>2090.0</v>
      </c>
      <c r="K2894" s="9">
        <v>2090.0</v>
      </c>
      <c r="L2894" s="9">
        <v>2090.0</v>
      </c>
      <c r="M2894" s="9">
        <v>440.0</v>
      </c>
      <c r="N2894" s="9">
        <v>926.0</v>
      </c>
      <c r="O2894" s="9">
        <v>724.0</v>
      </c>
      <c r="P2894" s="8" t="s">
        <v>3480</v>
      </c>
      <c r="Q2894" s="8" t="s">
        <v>10569</v>
      </c>
      <c r="R2894" s="8" t="s">
        <v>10570</v>
      </c>
    </row>
    <row r="2895">
      <c r="A2895" s="8" t="s">
        <v>3106</v>
      </c>
      <c r="B2895" s="8" t="s">
        <v>15959</v>
      </c>
      <c r="C2895" s="8" t="s">
        <v>12977</v>
      </c>
      <c r="D2895" s="9">
        <v>7.387074808E9</v>
      </c>
      <c r="E2895" s="8" t="s">
        <v>12978</v>
      </c>
      <c r="F2895" s="8" t="s">
        <v>3589</v>
      </c>
      <c r="G2895" s="8" t="s">
        <v>12979</v>
      </c>
      <c r="H2895" s="8" t="s">
        <v>3479</v>
      </c>
      <c r="I2895" s="9">
        <v>0.0</v>
      </c>
      <c r="J2895" s="9">
        <v>1538.0</v>
      </c>
      <c r="K2895" s="9">
        <v>1538.0</v>
      </c>
      <c r="L2895" s="9">
        <v>1538.0</v>
      </c>
      <c r="M2895" s="9">
        <v>275.0</v>
      </c>
      <c r="N2895" s="9">
        <v>739.0</v>
      </c>
      <c r="O2895" s="9">
        <v>524.0</v>
      </c>
      <c r="P2895" s="8" t="s">
        <v>3480</v>
      </c>
      <c r="Q2895" s="8" t="s">
        <v>12980</v>
      </c>
      <c r="R2895" s="8"/>
    </row>
    <row r="2896">
      <c r="A2896" s="8" t="s">
        <v>3107</v>
      </c>
      <c r="B2896" s="8" t="s">
        <v>15960</v>
      </c>
      <c r="C2896" s="8" t="s">
        <v>13429</v>
      </c>
      <c r="D2896" s="9">
        <v>9.422623408E9</v>
      </c>
      <c r="E2896" s="8" t="s">
        <v>15961</v>
      </c>
      <c r="F2896" s="8" t="s">
        <v>5923</v>
      </c>
      <c r="G2896" s="8" t="s">
        <v>15962</v>
      </c>
      <c r="H2896" s="8" t="s">
        <v>3479</v>
      </c>
      <c r="I2896" s="9">
        <v>0.0</v>
      </c>
      <c r="J2896" s="9">
        <v>2456.0</v>
      </c>
      <c r="K2896" s="9">
        <v>2456.0</v>
      </c>
      <c r="L2896" s="9">
        <v>2456.0</v>
      </c>
      <c r="M2896" s="9">
        <v>763.0</v>
      </c>
      <c r="N2896" s="9">
        <v>739.0</v>
      </c>
      <c r="O2896" s="9">
        <v>954.0</v>
      </c>
      <c r="P2896" s="8" t="s">
        <v>3480</v>
      </c>
      <c r="Q2896" s="8"/>
      <c r="R2896" s="8"/>
    </row>
    <row r="2897">
      <c r="A2897" s="8" t="s">
        <v>3108</v>
      </c>
      <c r="B2897" s="8" t="s">
        <v>15963</v>
      </c>
      <c r="C2897" s="8" t="s">
        <v>5456</v>
      </c>
      <c r="D2897" s="9">
        <v>8.793125659E9</v>
      </c>
      <c r="E2897" s="8" t="s">
        <v>5457</v>
      </c>
      <c r="F2897" s="8" t="s">
        <v>4454</v>
      </c>
      <c r="G2897" s="8" t="s">
        <v>15964</v>
      </c>
      <c r="H2897" s="8" t="s">
        <v>3479</v>
      </c>
      <c r="I2897" s="9">
        <v>0.0</v>
      </c>
      <c r="J2897" s="9">
        <v>1268.0</v>
      </c>
      <c r="K2897" s="9">
        <v>1268.0</v>
      </c>
      <c r="L2897" s="9">
        <v>1268.0</v>
      </c>
      <c r="M2897" s="9">
        <v>80.0</v>
      </c>
      <c r="N2897" s="9">
        <v>739.0</v>
      </c>
      <c r="O2897" s="9">
        <v>449.0</v>
      </c>
      <c r="P2897" s="8" t="s">
        <v>3480</v>
      </c>
      <c r="Q2897" s="8" t="s">
        <v>5459</v>
      </c>
      <c r="R2897" s="8" t="s">
        <v>5460</v>
      </c>
    </row>
    <row r="2898">
      <c r="A2898" s="8" t="s">
        <v>198</v>
      </c>
      <c r="B2898" s="8" t="s">
        <v>15965</v>
      </c>
      <c r="C2898" s="8" t="s">
        <v>15966</v>
      </c>
      <c r="D2898" s="9">
        <v>9.307040329E9</v>
      </c>
      <c r="E2898" s="8" t="s">
        <v>15967</v>
      </c>
      <c r="F2898" s="8" t="s">
        <v>8030</v>
      </c>
      <c r="G2898" s="8" t="s">
        <v>15968</v>
      </c>
      <c r="H2898" s="8" t="s">
        <v>3479</v>
      </c>
      <c r="I2898" s="9">
        <v>0.0</v>
      </c>
      <c r="J2898" s="9">
        <v>1793.0</v>
      </c>
      <c r="K2898" s="9">
        <v>1793.0</v>
      </c>
      <c r="L2898" s="9">
        <v>1793.0</v>
      </c>
      <c r="M2898" s="9">
        <v>605.0</v>
      </c>
      <c r="N2898" s="9">
        <v>739.0</v>
      </c>
      <c r="O2898" s="9">
        <v>449.0</v>
      </c>
      <c r="P2898" s="8" t="s">
        <v>3480</v>
      </c>
      <c r="Q2898" s="8"/>
      <c r="R2898" s="8"/>
    </row>
    <row r="2899">
      <c r="A2899" s="8" t="s">
        <v>3109</v>
      </c>
      <c r="B2899" s="8" t="s">
        <v>15969</v>
      </c>
      <c r="C2899" s="8" t="s">
        <v>15970</v>
      </c>
      <c r="D2899" s="9">
        <v>9.860921499E9</v>
      </c>
      <c r="E2899" s="8" t="s">
        <v>15971</v>
      </c>
      <c r="F2899" s="8" t="s">
        <v>3523</v>
      </c>
      <c r="G2899" s="8" t="s">
        <v>15972</v>
      </c>
      <c r="H2899" s="8" t="s">
        <v>3479</v>
      </c>
      <c r="I2899" s="9">
        <v>0.0</v>
      </c>
      <c r="J2899" s="9">
        <v>2382.0</v>
      </c>
      <c r="K2899" s="9">
        <v>2382.0</v>
      </c>
      <c r="L2899" s="9">
        <v>2382.0</v>
      </c>
      <c r="M2899" s="9">
        <v>1678.0</v>
      </c>
      <c r="N2899" s="9">
        <v>80.0</v>
      </c>
      <c r="O2899" s="9">
        <v>624.0</v>
      </c>
      <c r="P2899" s="8" t="s">
        <v>3480</v>
      </c>
      <c r="Q2899" s="8" t="s">
        <v>15973</v>
      </c>
      <c r="R2899" s="8" t="s">
        <v>15974</v>
      </c>
    </row>
    <row r="2900">
      <c r="A2900" s="8" t="s">
        <v>3103</v>
      </c>
      <c r="B2900" s="8" t="s">
        <v>15975</v>
      </c>
      <c r="C2900" s="8" t="s">
        <v>15976</v>
      </c>
      <c r="D2900" s="9">
        <v>7.875798713E9</v>
      </c>
      <c r="E2900" s="8" t="s">
        <v>15977</v>
      </c>
      <c r="F2900" s="8" t="s">
        <v>3821</v>
      </c>
      <c r="G2900" s="8" t="s">
        <v>15978</v>
      </c>
      <c r="H2900" s="8" t="s">
        <v>3479</v>
      </c>
      <c r="I2900" s="9">
        <v>0.0</v>
      </c>
      <c r="J2900" s="9">
        <v>5667.0</v>
      </c>
      <c r="K2900" s="9">
        <v>5667.0</v>
      </c>
      <c r="L2900" s="9">
        <v>5667.0</v>
      </c>
      <c r="M2900" s="9">
        <v>4254.0</v>
      </c>
      <c r="N2900" s="9">
        <v>739.0</v>
      </c>
      <c r="O2900" s="9">
        <v>674.0</v>
      </c>
      <c r="P2900" s="8" t="s">
        <v>3480</v>
      </c>
      <c r="Q2900" s="8"/>
      <c r="R2900" s="8"/>
    </row>
    <row r="2901">
      <c r="A2901" s="8" t="s">
        <v>199</v>
      </c>
      <c r="B2901" s="8" t="s">
        <v>15979</v>
      </c>
      <c r="C2901" s="8" t="s">
        <v>15980</v>
      </c>
      <c r="D2901" s="9">
        <v>9.762861972E9</v>
      </c>
      <c r="E2901" s="8" t="s">
        <v>15981</v>
      </c>
      <c r="F2901" s="8" t="s">
        <v>3608</v>
      </c>
      <c r="G2901" s="8" t="s">
        <v>15982</v>
      </c>
      <c r="H2901" s="8" t="s">
        <v>3479</v>
      </c>
      <c r="I2901" s="9">
        <v>0.0</v>
      </c>
      <c r="J2901" s="9">
        <v>2318.0</v>
      </c>
      <c r="K2901" s="9">
        <v>2318.0</v>
      </c>
      <c r="L2901" s="9">
        <v>2318.0</v>
      </c>
      <c r="M2901" s="9">
        <v>1130.0</v>
      </c>
      <c r="N2901" s="9">
        <v>739.0</v>
      </c>
      <c r="O2901" s="9">
        <v>449.0</v>
      </c>
      <c r="P2901" s="8" t="s">
        <v>3480</v>
      </c>
      <c r="Q2901" s="8" t="s">
        <v>15983</v>
      </c>
      <c r="R2901" s="8" t="s">
        <v>15984</v>
      </c>
    </row>
    <row r="2902">
      <c r="A2902" s="8" t="s">
        <v>200</v>
      </c>
      <c r="B2902" s="8" t="s">
        <v>15985</v>
      </c>
      <c r="C2902" s="8" t="s">
        <v>5685</v>
      </c>
      <c r="D2902" s="9">
        <v>8.805413757E9</v>
      </c>
      <c r="E2902" s="8" t="s">
        <v>5686</v>
      </c>
      <c r="F2902" s="8" t="s">
        <v>3615</v>
      </c>
      <c r="G2902" s="8" t="s">
        <v>15986</v>
      </c>
      <c r="H2902" s="8" t="s">
        <v>9328</v>
      </c>
      <c r="I2902" s="9">
        <v>0.0</v>
      </c>
      <c r="J2902" s="9">
        <v>1350.0</v>
      </c>
      <c r="K2902" s="9">
        <v>1368.0</v>
      </c>
      <c r="L2902" s="9">
        <v>1350.0</v>
      </c>
      <c r="M2902" s="9">
        <v>135.0</v>
      </c>
      <c r="N2902" s="9">
        <v>784.0</v>
      </c>
      <c r="O2902" s="9">
        <v>449.0</v>
      </c>
      <c r="P2902" s="8" t="s">
        <v>3480</v>
      </c>
      <c r="Q2902" s="8" t="s">
        <v>5688</v>
      </c>
      <c r="R2902" s="8"/>
    </row>
    <row r="2903">
      <c r="A2903" s="8" t="s">
        <v>202</v>
      </c>
      <c r="B2903" s="8" t="s">
        <v>15987</v>
      </c>
      <c r="C2903" s="8" t="s">
        <v>13021</v>
      </c>
      <c r="D2903" s="9">
        <v>9.88112423E9</v>
      </c>
      <c r="E2903" s="8" t="s">
        <v>13022</v>
      </c>
      <c r="F2903" s="8" t="s">
        <v>3608</v>
      </c>
      <c r="G2903" s="8" t="s">
        <v>15988</v>
      </c>
      <c r="H2903" s="8" t="s">
        <v>3479</v>
      </c>
      <c r="I2903" s="9">
        <v>0.0</v>
      </c>
      <c r="J2903" s="9">
        <v>1611.0</v>
      </c>
      <c r="K2903" s="9">
        <v>1611.0</v>
      </c>
      <c r="L2903" s="9">
        <v>1611.0</v>
      </c>
      <c r="M2903" s="9">
        <v>423.0</v>
      </c>
      <c r="N2903" s="9">
        <v>739.0</v>
      </c>
      <c r="O2903" s="9">
        <v>449.0</v>
      </c>
      <c r="P2903" s="8" t="s">
        <v>3480</v>
      </c>
      <c r="Q2903" s="8" t="s">
        <v>13024</v>
      </c>
      <c r="R2903" s="8" t="s">
        <v>13025</v>
      </c>
    </row>
    <row r="2904">
      <c r="A2904" s="8" t="s">
        <v>3147</v>
      </c>
      <c r="B2904" s="8" t="s">
        <v>15989</v>
      </c>
      <c r="C2904" s="8" t="s">
        <v>15990</v>
      </c>
      <c r="D2904" s="9">
        <v>9.834021641E9</v>
      </c>
      <c r="E2904" s="8" t="s">
        <v>15991</v>
      </c>
      <c r="F2904" s="8" t="s">
        <v>4093</v>
      </c>
      <c r="G2904" s="8" t="s">
        <v>15992</v>
      </c>
      <c r="H2904" s="8" t="s">
        <v>3479</v>
      </c>
      <c r="I2904" s="9">
        <v>0.0</v>
      </c>
      <c r="J2904" s="9">
        <v>6211.0</v>
      </c>
      <c r="K2904" s="9">
        <v>6211.0</v>
      </c>
      <c r="L2904" s="9">
        <v>6211.0</v>
      </c>
      <c r="M2904" s="9">
        <v>4325.0</v>
      </c>
      <c r="N2904" s="9">
        <v>962.0</v>
      </c>
      <c r="O2904" s="9">
        <v>924.0</v>
      </c>
      <c r="P2904" s="8" t="s">
        <v>3480</v>
      </c>
      <c r="Q2904" s="8" t="s">
        <v>15993</v>
      </c>
      <c r="R2904" s="8" t="s">
        <v>15994</v>
      </c>
    </row>
    <row r="2905">
      <c r="A2905" s="8" t="s">
        <v>3101</v>
      </c>
      <c r="B2905" s="8" t="s">
        <v>15995</v>
      </c>
      <c r="C2905" s="8" t="s">
        <v>15996</v>
      </c>
      <c r="D2905" s="9">
        <v>8.149090709E9</v>
      </c>
      <c r="E2905" s="8" t="s">
        <v>15997</v>
      </c>
      <c r="F2905" s="8" t="s">
        <v>15998</v>
      </c>
      <c r="G2905" s="8" t="s">
        <v>15999</v>
      </c>
      <c r="H2905" s="8" t="s">
        <v>3479</v>
      </c>
      <c r="I2905" s="9">
        <v>0.0</v>
      </c>
      <c r="J2905" s="9">
        <v>12838.0</v>
      </c>
      <c r="K2905" s="9">
        <v>12838.0</v>
      </c>
      <c r="L2905" s="9">
        <v>12838.0</v>
      </c>
      <c r="M2905" s="9">
        <v>10062.0</v>
      </c>
      <c r="N2905" s="9">
        <v>1027.0</v>
      </c>
      <c r="O2905" s="9">
        <v>1749.0</v>
      </c>
      <c r="P2905" s="8" t="s">
        <v>3544</v>
      </c>
      <c r="Q2905" s="8"/>
      <c r="R2905" s="8"/>
    </row>
    <row r="2906">
      <c r="A2906" s="8" t="s">
        <v>201</v>
      </c>
      <c r="B2906" s="8" t="s">
        <v>16000</v>
      </c>
      <c r="C2906" s="8" t="s">
        <v>16001</v>
      </c>
      <c r="D2906" s="9">
        <v>9.922923707E9</v>
      </c>
      <c r="E2906" s="8" t="s">
        <v>16002</v>
      </c>
      <c r="F2906" s="8" t="s">
        <v>3959</v>
      </c>
      <c r="G2906" s="8" t="s">
        <v>16003</v>
      </c>
      <c r="H2906" s="8" t="s">
        <v>3479</v>
      </c>
      <c r="I2906" s="9">
        <v>0.0</v>
      </c>
      <c r="J2906" s="9">
        <v>1246.0</v>
      </c>
      <c r="K2906" s="9">
        <v>1246.0</v>
      </c>
      <c r="L2906" s="9">
        <v>1246.0</v>
      </c>
      <c r="M2906" s="9">
        <v>797.0</v>
      </c>
      <c r="N2906" s="9">
        <v>0.0</v>
      </c>
      <c r="O2906" s="9">
        <v>449.0</v>
      </c>
      <c r="P2906" s="8" t="s">
        <v>3480</v>
      </c>
      <c r="Q2906" s="8"/>
      <c r="R2906" s="8"/>
    </row>
    <row r="2907">
      <c r="A2907" s="8" t="s">
        <v>203</v>
      </c>
      <c r="B2907" s="8" t="s">
        <v>16004</v>
      </c>
      <c r="C2907" s="8" t="s">
        <v>16005</v>
      </c>
      <c r="D2907" s="9">
        <v>7.972921879E9</v>
      </c>
      <c r="E2907" s="8" t="s">
        <v>16006</v>
      </c>
      <c r="F2907" s="8" t="s">
        <v>4239</v>
      </c>
      <c r="G2907" s="8" t="s">
        <v>3494</v>
      </c>
      <c r="H2907" s="8" t="s">
        <v>3479</v>
      </c>
      <c r="I2907" s="9">
        <v>0.0</v>
      </c>
      <c r="J2907" s="9">
        <v>2918.0</v>
      </c>
      <c r="K2907" s="9">
        <v>2918.0</v>
      </c>
      <c r="L2907" s="9">
        <v>2918.0</v>
      </c>
      <c r="M2907" s="9">
        <v>1655.0</v>
      </c>
      <c r="N2907" s="9">
        <v>739.0</v>
      </c>
      <c r="O2907" s="9">
        <v>524.0</v>
      </c>
      <c r="P2907" s="8" t="s">
        <v>3480</v>
      </c>
      <c r="Q2907" s="8"/>
      <c r="R2907" s="8"/>
    </row>
    <row r="2908">
      <c r="A2908" s="8" t="s">
        <v>205</v>
      </c>
      <c r="B2908" s="8" t="s">
        <v>16007</v>
      </c>
      <c r="C2908" s="8" t="s">
        <v>6854</v>
      </c>
      <c r="D2908" s="9">
        <v>7.020766499E9</v>
      </c>
      <c r="E2908" s="8" t="s">
        <v>13928</v>
      </c>
      <c r="F2908" s="8" t="s">
        <v>3615</v>
      </c>
      <c r="G2908" s="8" t="s">
        <v>13929</v>
      </c>
      <c r="H2908" s="8" t="s">
        <v>3479</v>
      </c>
      <c r="I2908" s="9">
        <v>0.0</v>
      </c>
      <c r="J2908" s="9">
        <v>4077.0</v>
      </c>
      <c r="K2908" s="9">
        <v>4077.0</v>
      </c>
      <c r="L2908" s="9">
        <v>4077.0</v>
      </c>
      <c r="M2908" s="9">
        <v>2844.0</v>
      </c>
      <c r="N2908" s="9">
        <v>784.0</v>
      </c>
      <c r="O2908" s="9">
        <v>449.0</v>
      </c>
      <c r="P2908" s="8" t="s">
        <v>3480</v>
      </c>
      <c r="Q2908" s="8"/>
      <c r="R2908" s="8"/>
    </row>
    <row r="2909">
      <c r="A2909" s="8" t="s">
        <v>204</v>
      </c>
      <c r="B2909" s="8" t="s">
        <v>16008</v>
      </c>
      <c r="C2909" s="8" t="s">
        <v>16009</v>
      </c>
      <c r="D2909" s="9">
        <v>9.890177922E9</v>
      </c>
      <c r="E2909" s="8" t="s">
        <v>16010</v>
      </c>
      <c r="F2909" s="8" t="s">
        <v>3589</v>
      </c>
      <c r="G2909" s="8" t="s">
        <v>16011</v>
      </c>
      <c r="H2909" s="8" t="s">
        <v>3479</v>
      </c>
      <c r="I2909" s="9">
        <v>0.0</v>
      </c>
      <c r="J2909" s="9">
        <v>3298.0</v>
      </c>
      <c r="K2909" s="9">
        <v>3298.0</v>
      </c>
      <c r="L2909" s="9">
        <v>3298.0</v>
      </c>
      <c r="M2909" s="9">
        <v>2035.0</v>
      </c>
      <c r="N2909" s="9">
        <v>739.0</v>
      </c>
      <c r="O2909" s="9">
        <v>524.0</v>
      </c>
      <c r="P2909" s="8" t="s">
        <v>3480</v>
      </c>
      <c r="Q2909" s="8" t="s">
        <v>16012</v>
      </c>
      <c r="R2909" s="8" t="s">
        <v>16013</v>
      </c>
    </row>
    <row r="2910">
      <c r="A2910" s="8" t="s">
        <v>206</v>
      </c>
      <c r="B2910" s="8" t="s">
        <v>16014</v>
      </c>
      <c r="C2910" s="8" t="s">
        <v>16015</v>
      </c>
      <c r="D2910" s="9">
        <v>7.05797688E9</v>
      </c>
      <c r="E2910" s="8" t="s">
        <v>16016</v>
      </c>
      <c r="F2910" s="8" t="s">
        <v>3959</v>
      </c>
      <c r="G2910" s="8" t="s">
        <v>16017</v>
      </c>
      <c r="H2910" s="8" t="s">
        <v>3479</v>
      </c>
      <c r="I2910" s="9">
        <v>0.0</v>
      </c>
      <c r="J2910" s="9">
        <v>1903.0</v>
      </c>
      <c r="K2910" s="9">
        <v>1903.0</v>
      </c>
      <c r="L2910" s="9">
        <v>1903.0</v>
      </c>
      <c r="M2910" s="9">
        <v>670.0</v>
      </c>
      <c r="N2910" s="9">
        <v>784.0</v>
      </c>
      <c r="O2910" s="9">
        <v>449.0</v>
      </c>
      <c r="P2910" s="8" t="s">
        <v>3480</v>
      </c>
      <c r="Q2910" s="8"/>
      <c r="R2910" s="8"/>
    </row>
    <row r="2911">
      <c r="A2911" s="8" t="s">
        <v>208</v>
      </c>
      <c r="B2911" s="8" t="s">
        <v>16018</v>
      </c>
      <c r="C2911" s="8" t="s">
        <v>12869</v>
      </c>
      <c r="D2911" s="9">
        <v>7.709373017E9</v>
      </c>
      <c r="E2911" s="8" t="s">
        <v>12870</v>
      </c>
      <c r="F2911" s="8" t="s">
        <v>3653</v>
      </c>
      <c r="G2911" s="8" t="s">
        <v>16019</v>
      </c>
      <c r="H2911" s="8" t="s">
        <v>3479</v>
      </c>
      <c r="I2911" s="9">
        <v>0.0</v>
      </c>
      <c r="J2911" s="9">
        <v>1602.0</v>
      </c>
      <c r="K2911" s="9">
        <v>1602.0</v>
      </c>
      <c r="L2911" s="9">
        <v>1602.0</v>
      </c>
      <c r="M2911" s="9">
        <v>379.0</v>
      </c>
      <c r="N2911" s="9">
        <v>774.0</v>
      </c>
      <c r="O2911" s="9">
        <v>449.0</v>
      </c>
      <c r="P2911" s="8" t="s">
        <v>3480</v>
      </c>
      <c r="Q2911" s="8" t="s">
        <v>12872</v>
      </c>
      <c r="R2911" s="8" t="s">
        <v>12873</v>
      </c>
    </row>
    <row r="2912">
      <c r="A2912" s="8" t="s">
        <v>207</v>
      </c>
      <c r="B2912" s="8" t="s">
        <v>16020</v>
      </c>
      <c r="C2912" s="8" t="s">
        <v>16021</v>
      </c>
      <c r="D2912" s="9">
        <v>8.830234266E9</v>
      </c>
      <c r="E2912" s="8" t="s">
        <v>16022</v>
      </c>
      <c r="F2912" s="8" t="s">
        <v>3677</v>
      </c>
      <c r="G2912" s="8" t="s">
        <v>16023</v>
      </c>
      <c r="H2912" s="8" t="s">
        <v>3479</v>
      </c>
      <c r="I2912" s="9">
        <v>0.0</v>
      </c>
      <c r="J2912" s="9">
        <v>4303.0</v>
      </c>
      <c r="K2912" s="9">
        <v>4303.0</v>
      </c>
      <c r="L2912" s="9">
        <v>4303.0</v>
      </c>
      <c r="M2912" s="9">
        <v>1859.0</v>
      </c>
      <c r="N2912" s="9">
        <v>1345.0</v>
      </c>
      <c r="O2912" s="9">
        <v>1099.0</v>
      </c>
      <c r="P2912" s="8" t="s">
        <v>3480</v>
      </c>
      <c r="Q2912" s="8" t="s">
        <v>16024</v>
      </c>
      <c r="R2912" s="8" t="s">
        <v>16025</v>
      </c>
    </row>
    <row r="2913">
      <c r="A2913" s="8" t="s">
        <v>209</v>
      </c>
      <c r="B2913" s="8" t="s">
        <v>16026</v>
      </c>
      <c r="C2913" s="8" t="s">
        <v>16027</v>
      </c>
      <c r="D2913" s="9">
        <v>7.499311957E9</v>
      </c>
      <c r="E2913" s="8" t="s">
        <v>16028</v>
      </c>
      <c r="F2913" s="8" t="s">
        <v>6234</v>
      </c>
      <c r="G2913" s="8" t="s">
        <v>16029</v>
      </c>
      <c r="H2913" s="8" t="s">
        <v>3479</v>
      </c>
      <c r="I2913" s="9">
        <v>0.0</v>
      </c>
      <c r="J2913" s="9">
        <v>2330.0</v>
      </c>
      <c r="K2913" s="9">
        <v>2330.0</v>
      </c>
      <c r="L2913" s="9">
        <v>2330.0</v>
      </c>
      <c r="M2913" s="9">
        <v>1071.0</v>
      </c>
      <c r="N2913" s="9">
        <v>730.0</v>
      </c>
      <c r="O2913" s="9">
        <v>529.0</v>
      </c>
      <c r="P2913" s="8" t="s">
        <v>3480</v>
      </c>
      <c r="Q2913" s="8" t="s">
        <v>16030</v>
      </c>
      <c r="R2913" s="8" t="s">
        <v>16031</v>
      </c>
    </row>
    <row r="2914">
      <c r="A2914" s="8" t="s">
        <v>211</v>
      </c>
      <c r="B2914" s="8" t="s">
        <v>16032</v>
      </c>
      <c r="C2914" s="8" t="s">
        <v>16033</v>
      </c>
      <c r="D2914" s="9">
        <v>9.325856508E9</v>
      </c>
      <c r="E2914" s="8" t="s">
        <v>16034</v>
      </c>
      <c r="F2914" s="8" t="s">
        <v>3721</v>
      </c>
      <c r="G2914" s="8" t="s">
        <v>16035</v>
      </c>
      <c r="H2914" s="8" t="s">
        <v>3479</v>
      </c>
      <c r="I2914" s="9">
        <v>0.0</v>
      </c>
      <c r="J2914" s="9">
        <v>4983.0</v>
      </c>
      <c r="K2914" s="9">
        <v>4983.0</v>
      </c>
      <c r="L2914" s="9">
        <v>4983.0</v>
      </c>
      <c r="M2914" s="9">
        <v>3843.0</v>
      </c>
      <c r="N2914" s="9">
        <v>540.0</v>
      </c>
      <c r="O2914" s="9">
        <v>600.0</v>
      </c>
      <c r="P2914" s="8" t="s">
        <v>3480</v>
      </c>
      <c r="Q2914" s="8"/>
      <c r="R2914" s="8"/>
    </row>
    <row r="2915">
      <c r="A2915" s="8" t="s">
        <v>210</v>
      </c>
      <c r="B2915" s="8" t="s">
        <v>16036</v>
      </c>
      <c r="C2915" s="8" t="s">
        <v>9462</v>
      </c>
      <c r="D2915" s="9">
        <v>9.822106552E9</v>
      </c>
      <c r="E2915" s="8" t="s">
        <v>9463</v>
      </c>
      <c r="F2915" s="8" t="s">
        <v>3542</v>
      </c>
      <c r="G2915" s="8" t="s">
        <v>9464</v>
      </c>
      <c r="H2915" s="8" t="s">
        <v>3479</v>
      </c>
      <c r="I2915" s="9">
        <v>0.0</v>
      </c>
      <c r="J2915" s="9">
        <v>1150.0</v>
      </c>
      <c r="K2915" s="9">
        <v>1150.0</v>
      </c>
      <c r="L2915" s="9">
        <v>1150.0</v>
      </c>
      <c r="M2915" s="9">
        <v>1150.0</v>
      </c>
      <c r="N2915" s="9">
        <v>0.0</v>
      </c>
      <c r="O2915" s="9">
        <v>0.0</v>
      </c>
      <c r="P2915" s="8" t="s">
        <v>3480</v>
      </c>
      <c r="Q2915" s="8"/>
      <c r="R2915" s="8" t="s">
        <v>9465</v>
      </c>
    </row>
    <row r="2916">
      <c r="A2916" s="8" t="s">
        <v>1578</v>
      </c>
      <c r="B2916" s="8" t="s">
        <v>16037</v>
      </c>
      <c r="C2916" s="8" t="s">
        <v>11407</v>
      </c>
      <c r="D2916" s="9">
        <v>9.881103107E9</v>
      </c>
      <c r="E2916" s="8" t="s">
        <v>11408</v>
      </c>
      <c r="F2916" s="8" t="s">
        <v>3608</v>
      </c>
      <c r="G2916" s="8" t="s">
        <v>16038</v>
      </c>
      <c r="H2916" s="8" t="s">
        <v>3479</v>
      </c>
      <c r="I2916" s="9">
        <v>0.0</v>
      </c>
      <c r="J2916" s="9">
        <v>1521.0</v>
      </c>
      <c r="K2916" s="9">
        <v>1521.0</v>
      </c>
      <c r="L2916" s="9">
        <v>1521.0</v>
      </c>
      <c r="M2916" s="9">
        <v>333.0</v>
      </c>
      <c r="N2916" s="9">
        <v>739.0</v>
      </c>
      <c r="O2916" s="9">
        <v>449.0</v>
      </c>
      <c r="P2916" s="8" t="s">
        <v>3480</v>
      </c>
      <c r="Q2916" s="8" t="s">
        <v>11410</v>
      </c>
      <c r="R2916" s="8" t="s">
        <v>11411</v>
      </c>
    </row>
    <row r="2917">
      <c r="A2917" s="8" t="s">
        <v>3148</v>
      </c>
      <c r="B2917" s="8" t="s">
        <v>16039</v>
      </c>
      <c r="C2917" s="8" t="s">
        <v>16040</v>
      </c>
      <c r="D2917" s="9">
        <v>9.552890983E9</v>
      </c>
      <c r="E2917" s="8" t="s">
        <v>16041</v>
      </c>
      <c r="F2917" s="8" t="s">
        <v>3601</v>
      </c>
      <c r="G2917" s="8" t="s">
        <v>8883</v>
      </c>
      <c r="H2917" s="8" t="s">
        <v>3479</v>
      </c>
      <c r="I2917" s="9">
        <v>0.0</v>
      </c>
      <c r="J2917" s="9">
        <v>1691.0</v>
      </c>
      <c r="K2917" s="9">
        <v>1691.0</v>
      </c>
      <c r="L2917" s="9">
        <v>1691.0</v>
      </c>
      <c r="M2917" s="9">
        <v>503.0</v>
      </c>
      <c r="N2917" s="9">
        <v>739.0</v>
      </c>
      <c r="O2917" s="9">
        <v>449.0</v>
      </c>
      <c r="P2917" s="8" t="s">
        <v>3480</v>
      </c>
      <c r="Q2917" s="8" t="s">
        <v>16042</v>
      </c>
      <c r="R2917" s="8" t="s">
        <v>16043</v>
      </c>
    </row>
    <row r="2918">
      <c r="A2918" s="8" t="s">
        <v>3138</v>
      </c>
      <c r="B2918" s="8" t="s">
        <v>16044</v>
      </c>
      <c r="C2918" s="8" t="s">
        <v>5685</v>
      </c>
      <c r="D2918" s="9">
        <v>8.085509095E9</v>
      </c>
      <c r="E2918" s="8" t="s">
        <v>16045</v>
      </c>
      <c r="F2918" s="8" t="s">
        <v>3628</v>
      </c>
      <c r="G2918" s="8" t="s">
        <v>16046</v>
      </c>
      <c r="H2918" s="8" t="s">
        <v>3479</v>
      </c>
      <c r="I2918" s="9">
        <v>0.0</v>
      </c>
      <c r="J2918" s="9">
        <v>2618.0</v>
      </c>
      <c r="K2918" s="9">
        <v>2618.0</v>
      </c>
      <c r="L2918" s="9">
        <v>2618.0</v>
      </c>
      <c r="M2918" s="9">
        <v>680.0</v>
      </c>
      <c r="N2918" s="9">
        <v>964.0</v>
      </c>
      <c r="O2918" s="9">
        <v>974.0</v>
      </c>
      <c r="P2918" s="8" t="s">
        <v>3480</v>
      </c>
      <c r="Q2918" s="8"/>
      <c r="R2918" s="8"/>
    </row>
    <row r="2919">
      <c r="A2919" s="8" t="s">
        <v>3149</v>
      </c>
      <c r="B2919" s="8" t="s">
        <v>16047</v>
      </c>
      <c r="C2919" s="8" t="s">
        <v>4389</v>
      </c>
      <c r="D2919" s="9">
        <v>8.240347763E9</v>
      </c>
      <c r="E2919" s="8" t="s">
        <v>4390</v>
      </c>
      <c r="F2919" s="8" t="s">
        <v>4391</v>
      </c>
      <c r="G2919" s="8" t="s">
        <v>16048</v>
      </c>
      <c r="H2919" s="8" t="s">
        <v>3479</v>
      </c>
      <c r="I2919" s="9">
        <v>0.0</v>
      </c>
      <c r="J2919" s="9">
        <v>1348.0</v>
      </c>
      <c r="K2919" s="9">
        <v>1348.0</v>
      </c>
      <c r="L2919" s="9">
        <v>1348.0</v>
      </c>
      <c r="M2919" s="9">
        <v>80.0</v>
      </c>
      <c r="N2919" s="9">
        <v>739.0</v>
      </c>
      <c r="O2919" s="9">
        <v>529.0</v>
      </c>
      <c r="P2919" s="8" t="s">
        <v>3480</v>
      </c>
      <c r="Q2919" s="8" t="s">
        <v>4393</v>
      </c>
      <c r="R2919" s="8" t="s">
        <v>4394</v>
      </c>
    </row>
    <row r="2920">
      <c r="A2920" s="8" t="s">
        <v>1581</v>
      </c>
      <c r="B2920" s="8" t="s">
        <v>16049</v>
      </c>
      <c r="C2920" s="8" t="s">
        <v>16050</v>
      </c>
      <c r="D2920" s="9">
        <v>9.082015033E9</v>
      </c>
      <c r="E2920" s="8" t="s">
        <v>16051</v>
      </c>
      <c r="F2920" s="8" t="s">
        <v>3721</v>
      </c>
      <c r="G2920" s="8" t="s">
        <v>16052</v>
      </c>
      <c r="H2920" s="8" t="s">
        <v>3479</v>
      </c>
      <c r="I2920" s="9">
        <v>0.0</v>
      </c>
      <c r="J2920" s="9">
        <v>1167.0</v>
      </c>
      <c r="K2920" s="9">
        <v>1167.0</v>
      </c>
      <c r="L2920" s="9">
        <v>1167.0</v>
      </c>
      <c r="M2920" s="9">
        <v>712.0</v>
      </c>
      <c r="N2920" s="9">
        <v>80.0</v>
      </c>
      <c r="O2920" s="9">
        <v>375.0</v>
      </c>
      <c r="P2920" s="8" t="s">
        <v>3480</v>
      </c>
      <c r="Q2920" s="8"/>
      <c r="R2920" s="8"/>
    </row>
    <row r="2921">
      <c r="A2921" s="8" t="s">
        <v>1580</v>
      </c>
      <c r="B2921" s="8" t="s">
        <v>16053</v>
      </c>
      <c r="C2921" s="8" t="s">
        <v>16054</v>
      </c>
      <c r="D2921" s="9">
        <v>9.820155491E9</v>
      </c>
      <c r="E2921" s="8" t="s">
        <v>16055</v>
      </c>
      <c r="F2921" s="8" t="s">
        <v>8851</v>
      </c>
      <c r="G2921" s="8" t="s">
        <v>16056</v>
      </c>
      <c r="H2921" s="8" t="s">
        <v>3479</v>
      </c>
      <c r="I2921" s="9">
        <v>0.0</v>
      </c>
      <c r="J2921" s="9">
        <v>2082.0</v>
      </c>
      <c r="K2921" s="9">
        <v>2082.0</v>
      </c>
      <c r="L2921" s="9">
        <v>2082.0</v>
      </c>
      <c r="M2921" s="9">
        <v>205.0</v>
      </c>
      <c r="N2921" s="9">
        <v>1278.0</v>
      </c>
      <c r="O2921" s="9">
        <v>599.0</v>
      </c>
      <c r="P2921" s="8" t="s">
        <v>3480</v>
      </c>
      <c r="Q2921" s="8"/>
      <c r="R2921" s="8"/>
    </row>
    <row r="2922">
      <c r="A2922" s="8" t="s">
        <v>3150</v>
      </c>
      <c r="B2922" s="8" t="s">
        <v>16057</v>
      </c>
      <c r="C2922" s="8" t="s">
        <v>6344</v>
      </c>
      <c r="D2922" s="9">
        <v>9.604879914E9</v>
      </c>
      <c r="E2922" s="8" t="s">
        <v>6345</v>
      </c>
      <c r="F2922" s="8" t="s">
        <v>3665</v>
      </c>
      <c r="G2922" s="8" t="s">
        <v>16058</v>
      </c>
      <c r="H2922" s="8" t="s">
        <v>3479</v>
      </c>
      <c r="I2922" s="9">
        <v>0.0</v>
      </c>
      <c r="J2922" s="9">
        <v>1199.0</v>
      </c>
      <c r="K2922" s="9">
        <v>1199.0</v>
      </c>
      <c r="L2922" s="9">
        <v>1199.0</v>
      </c>
      <c r="M2922" s="9">
        <v>260.0</v>
      </c>
      <c r="N2922" s="9">
        <v>190.0</v>
      </c>
      <c r="O2922" s="9">
        <v>749.0</v>
      </c>
      <c r="P2922" s="8" t="s">
        <v>3480</v>
      </c>
      <c r="Q2922" s="8" t="s">
        <v>6347</v>
      </c>
      <c r="R2922" s="8" t="s">
        <v>6348</v>
      </c>
    </row>
    <row r="2923">
      <c r="A2923" s="8" t="s">
        <v>1583</v>
      </c>
      <c r="B2923" s="8" t="s">
        <v>16059</v>
      </c>
      <c r="C2923" s="8" t="s">
        <v>16060</v>
      </c>
      <c r="D2923" s="9">
        <v>9.860240413E9</v>
      </c>
      <c r="E2923" s="8" t="s">
        <v>16061</v>
      </c>
      <c r="F2923" s="8" t="s">
        <v>3608</v>
      </c>
      <c r="G2923" s="8" t="s">
        <v>16062</v>
      </c>
      <c r="H2923" s="8" t="s">
        <v>3479</v>
      </c>
      <c r="I2923" s="9">
        <v>0.0</v>
      </c>
      <c r="J2923" s="9">
        <v>769.0</v>
      </c>
      <c r="K2923" s="9">
        <v>769.0</v>
      </c>
      <c r="L2923" s="9">
        <v>769.0</v>
      </c>
      <c r="M2923" s="9">
        <v>240.0</v>
      </c>
      <c r="N2923" s="9">
        <v>80.0</v>
      </c>
      <c r="O2923" s="9">
        <v>449.0</v>
      </c>
      <c r="P2923" s="8" t="s">
        <v>3480</v>
      </c>
      <c r="Q2923" s="8" t="s">
        <v>16063</v>
      </c>
      <c r="R2923" s="8" t="s">
        <v>16064</v>
      </c>
    </row>
    <row r="2924">
      <c r="A2924" s="8" t="s">
        <v>1584</v>
      </c>
      <c r="B2924" s="8" t="s">
        <v>16065</v>
      </c>
      <c r="C2924" s="8" t="s">
        <v>11949</v>
      </c>
      <c r="D2924" s="9">
        <v>9.545629646E9</v>
      </c>
      <c r="E2924" s="8" t="s">
        <v>11950</v>
      </c>
      <c r="F2924" s="8" t="s">
        <v>3901</v>
      </c>
      <c r="G2924" s="8" t="s">
        <v>16066</v>
      </c>
      <c r="H2924" s="8" t="s">
        <v>3479</v>
      </c>
      <c r="I2924" s="9">
        <v>0.0</v>
      </c>
      <c r="J2924" s="9">
        <v>2027.0</v>
      </c>
      <c r="K2924" s="9">
        <v>2027.0</v>
      </c>
      <c r="L2924" s="9">
        <v>2027.0</v>
      </c>
      <c r="M2924" s="9">
        <v>643.0</v>
      </c>
      <c r="N2924" s="9">
        <v>785.0</v>
      </c>
      <c r="O2924" s="9">
        <v>599.0</v>
      </c>
      <c r="P2924" s="8" t="s">
        <v>3480</v>
      </c>
      <c r="Q2924" s="8" t="s">
        <v>11952</v>
      </c>
      <c r="R2924" s="8" t="s">
        <v>11953</v>
      </c>
    </row>
    <row r="2925">
      <c r="A2925" s="8" t="s">
        <v>1579</v>
      </c>
      <c r="B2925" s="8" t="s">
        <v>16067</v>
      </c>
      <c r="C2925" s="8" t="s">
        <v>16068</v>
      </c>
      <c r="D2925" s="9">
        <v>7.028757505E9</v>
      </c>
      <c r="E2925" s="8" t="s">
        <v>16069</v>
      </c>
      <c r="F2925" s="8" t="s">
        <v>7157</v>
      </c>
      <c r="G2925" s="8" t="s">
        <v>16070</v>
      </c>
      <c r="H2925" s="8" t="s">
        <v>3479</v>
      </c>
      <c r="I2925" s="9">
        <v>0.0</v>
      </c>
      <c r="J2925" s="9">
        <v>1602.0</v>
      </c>
      <c r="K2925" s="9">
        <v>1602.0</v>
      </c>
      <c r="L2925" s="9">
        <v>1602.0</v>
      </c>
      <c r="M2925" s="9">
        <v>414.0</v>
      </c>
      <c r="N2925" s="9">
        <v>739.0</v>
      </c>
      <c r="O2925" s="9">
        <v>449.0</v>
      </c>
      <c r="P2925" s="8" t="s">
        <v>3480</v>
      </c>
      <c r="Q2925" s="8"/>
      <c r="R2925" s="8"/>
    </row>
    <row r="2926">
      <c r="A2926" s="8" t="s">
        <v>1582</v>
      </c>
      <c r="B2926" s="8" t="s">
        <v>16071</v>
      </c>
      <c r="C2926" s="8" t="s">
        <v>12480</v>
      </c>
      <c r="D2926" s="9">
        <v>7.350017559E9</v>
      </c>
      <c r="E2926" s="8" t="s">
        <v>12481</v>
      </c>
      <c r="F2926" s="8" t="s">
        <v>4018</v>
      </c>
      <c r="G2926" s="8" t="s">
        <v>12482</v>
      </c>
      <c r="H2926" s="8" t="s">
        <v>3479</v>
      </c>
      <c r="I2926" s="9">
        <v>0.0</v>
      </c>
      <c r="J2926" s="9">
        <v>2359.0</v>
      </c>
      <c r="K2926" s="9">
        <v>2359.0</v>
      </c>
      <c r="L2926" s="9">
        <v>2359.0</v>
      </c>
      <c r="M2926" s="9">
        <v>1785.0</v>
      </c>
      <c r="N2926" s="9">
        <v>0.0</v>
      </c>
      <c r="O2926" s="9">
        <v>574.0</v>
      </c>
      <c r="P2926" s="8" t="s">
        <v>3480</v>
      </c>
      <c r="Q2926" s="8"/>
      <c r="R2926" s="8"/>
    </row>
    <row r="2927">
      <c r="A2927" s="8" t="s">
        <v>3151</v>
      </c>
      <c r="B2927" s="8" t="s">
        <v>16072</v>
      </c>
      <c r="C2927" s="8" t="s">
        <v>16073</v>
      </c>
      <c r="D2927" s="9">
        <v>9.511685156E9</v>
      </c>
      <c r="E2927" s="8" t="s">
        <v>16074</v>
      </c>
      <c r="F2927" s="8" t="s">
        <v>3589</v>
      </c>
      <c r="G2927" s="8" t="s">
        <v>16075</v>
      </c>
      <c r="H2927" s="8" t="s">
        <v>3479</v>
      </c>
      <c r="I2927" s="9">
        <v>0.0</v>
      </c>
      <c r="J2927" s="9">
        <v>2252.0</v>
      </c>
      <c r="K2927" s="9">
        <v>2252.0</v>
      </c>
      <c r="L2927" s="9">
        <v>2252.0</v>
      </c>
      <c r="M2927" s="9">
        <v>1977.0</v>
      </c>
      <c r="N2927" s="9">
        <v>0.0</v>
      </c>
      <c r="O2927" s="9">
        <v>275.0</v>
      </c>
      <c r="P2927" s="8" t="s">
        <v>3480</v>
      </c>
      <c r="Q2927" s="8"/>
      <c r="R2927" s="8"/>
    </row>
    <row r="2928">
      <c r="A2928" s="8" t="s">
        <v>3139</v>
      </c>
      <c r="B2928" s="8" t="s">
        <v>16076</v>
      </c>
      <c r="C2928" s="8" t="s">
        <v>5055</v>
      </c>
      <c r="D2928" s="9">
        <v>9.028728906E9</v>
      </c>
      <c r="E2928" s="8" t="s">
        <v>5056</v>
      </c>
      <c r="F2928" s="8" t="s">
        <v>5057</v>
      </c>
      <c r="G2928" s="8" t="s">
        <v>16077</v>
      </c>
      <c r="H2928" s="8" t="s">
        <v>3479</v>
      </c>
      <c r="I2928" s="9">
        <v>0.0</v>
      </c>
      <c r="J2928" s="9">
        <v>1805.0</v>
      </c>
      <c r="K2928" s="9">
        <v>1805.0</v>
      </c>
      <c r="L2928" s="9">
        <v>1805.0</v>
      </c>
      <c r="M2928" s="9">
        <v>581.0</v>
      </c>
      <c r="N2928" s="9">
        <v>775.0</v>
      </c>
      <c r="O2928" s="9">
        <v>449.0</v>
      </c>
      <c r="P2928" s="8" t="s">
        <v>3480</v>
      </c>
      <c r="Q2928" s="8" t="s">
        <v>5059</v>
      </c>
      <c r="R2928" s="8" t="s">
        <v>5060</v>
      </c>
    </row>
    <row r="2929">
      <c r="A2929" s="8" t="s">
        <v>3140</v>
      </c>
      <c r="B2929" s="8" t="s">
        <v>16078</v>
      </c>
      <c r="C2929" s="8" t="s">
        <v>12528</v>
      </c>
      <c r="D2929" s="9">
        <v>7.972335286E9</v>
      </c>
      <c r="E2929" s="8" t="s">
        <v>12529</v>
      </c>
      <c r="F2929" s="8" t="s">
        <v>6455</v>
      </c>
      <c r="G2929" s="8" t="s">
        <v>16079</v>
      </c>
      <c r="H2929" s="8" t="s">
        <v>3479</v>
      </c>
      <c r="I2929" s="9">
        <v>0.0</v>
      </c>
      <c r="J2929" s="9">
        <v>1519.0</v>
      </c>
      <c r="K2929" s="9">
        <v>1519.0</v>
      </c>
      <c r="L2929" s="9">
        <v>1519.0</v>
      </c>
      <c r="M2929" s="9">
        <v>340.0</v>
      </c>
      <c r="N2929" s="9">
        <v>730.0</v>
      </c>
      <c r="O2929" s="9">
        <v>449.0</v>
      </c>
      <c r="P2929" s="8" t="s">
        <v>3480</v>
      </c>
      <c r="Q2929" s="8" t="s">
        <v>12531</v>
      </c>
      <c r="R2929" s="8" t="s">
        <v>12532</v>
      </c>
    </row>
    <row r="2930">
      <c r="A2930" s="8" t="s">
        <v>3142</v>
      </c>
      <c r="B2930" s="8" t="s">
        <v>16080</v>
      </c>
      <c r="C2930" s="8" t="s">
        <v>4956</v>
      </c>
      <c r="D2930" s="9">
        <v>7.385401705E9</v>
      </c>
      <c r="E2930" s="8" t="s">
        <v>16081</v>
      </c>
      <c r="F2930" s="8" t="s">
        <v>3608</v>
      </c>
      <c r="G2930" s="8" t="s">
        <v>16082</v>
      </c>
      <c r="H2930" s="8" t="s">
        <v>3479</v>
      </c>
      <c r="I2930" s="9">
        <v>0.0</v>
      </c>
      <c r="J2930" s="9">
        <v>1259.0</v>
      </c>
      <c r="K2930" s="9">
        <v>1259.0</v>
      </c>
      <c r="L2930" s="9">
        <v>1259.0</v>
      </c>
      <c r="M2930" s="9">
        <v>80.0</v>
      </c>
      <c r="N2930" s="9">
        <v>730.0</v>
      </c>
      <c r="O2930" s="9">
        <v>449.0</v>
      </c>
      <c r="P2930" s="8" t="s">
        <v>3480</v>
      </c>
      <c r="Q2930" s="8" t="s">
        <v>16083</v>
      </c>
      <c r="R2930" s="8"/>
    </row>
    <row r="2931">
      <c r="A2931" s="8" t="s">
        <v>3141</v>
      </c>
      <c r="B2931" s="8" t="s">
        <v>16084</v>
      </c>
      <c r="C2931" s="8" t="s">
        <v>16085</v>
      </c>
      <c r="D2931" s="9">
        <v>9.5030932E9</v>
      </c>
      <c r="E2931" s="8" t="s">
        <v>16086</v>
      </c>
      <c r="F2931" s="8" t="s">
        <v>3523</v>
      </c>
      <c r="G2931" s="8" t="s">
        <v>16087</v>
      </c>
      <c r="H2931" s="8" t="s">
        <v>3479</v>
      </c>
      <c r="I2931" s="9">
        <v>0.0</v>
      </c>
      <c r="J2931" s="9">
        <v>4377.0</v>
      </c>
      <c r="K2931" s="9">
        <v>4377.0</v>
      </c>
      <c r="L2931" s="9">
        <v>4377.0</v>
      </c>
      <c r="M2931" s="9">
        <v>2719.0</v>
      </c>
      <c r="N2931" s="9">
        <v>739.0</v>
      </c>
      <c r="O2931" s="9">
        <v>919.0</v>
      </c>
      <c r="P2931" s="8" t="s">
        <v>3480</v>
      </c>
      <c r="Q2931" s="8" t="s">
        <v>16088</v>
      </c>
      <c r="R2931" s="8" t="s">
        <v>16089</v>
      </c>
    </row>
    <row r="2932">
      <c r="A2932" s="8" t="s">
        <v>3143</v>
      </c>
      <c r="B2932" s="8" t="s">
        <v>16090</v>
      </c>
      <c r="C2932" s="8" t="s">
        <v>3639</v>
      </c>
      <c r="D2932" s="9">
        <v>9.579717727E9</v>
      </c>
      <c r="E2932" s="8" t="s">
        <v>3640</v>
      </c>
      <c r="F2932" s="8" t="s">
        <v>3589</v>
      </c>
      <c r="G2932" s="8" t="s">
        <v>3641</v>
      </c>
      <c r="H2932" s="8" t="s">
        <v>3479</v>
      </c>
      <c r="I2932" s="9">
        <v>0.0</v>
      </c>
      <c r="J2932" s="9">
        <v>1492.0</v>
      </c>
      <c r="K2932" s="9">
        <v>1492.0</v>
      </c>
      <c r="L2932" s="9">
        <v>1492.0</v>
      </c>
      <c r="M2932" s="9">
        <v>313.0</v>
      </c>
      <c r="N2932" s="9">
        <v>730.0</v>
      </c>
      <c r="O2932" s="9">
        <v>449.0</v>
      </c>
      <c r="P2932" s="8" t="s">
        <v>3519</v>
      </c>
      <c r="Q2932" s="8" t="s">
        <v>3642</v>
      </c>
      <c r="R2932" s="8" t="s">
        <v>3643</v>
      </c>
    </row>
    <row r="2933">
      <c r="A2933" s="8" t="s">
        <v>3153</v>
      </c>
      <c r="B2933" s="8" t="s">
        <v>16091</v>
      </c>
      <c r="C2933" s="8" t="s">
        <v>16092</v>
      </c>
      <c r="D2933" s="9">
        <v>7.821006066E9</v>
      </c>
      <c r="E2933" s="8" t="s">
        <v>13922</v>
      </c>
      <c r="F2933" s="8" t="s">
        <v>3608</v>
      </c>
      <c r="G2933" s="8" t="s">
        <v>16093</v>
      </c>
      <c r="H2933" s="8" t="s">
        <v>3479</v>
      </c>
      <c r="I2933" s="9">
        <v>0.0</v>
      </c>
      <c r="J2933" s="9">
        <v>1898.0</v>
      </c>
      <c r="K2933" s="9">
        <v>1898.0</v>
      </c>
      <c r="L2933" s="9">
        <v>1898.0</v>
      </c>
      <c r="M2933" s="9">
        <v>710.0</v>
      </c>
      <c r="N2933" s="9">
        <v>739.0</v>
      </c>
      <c r="O2933" s="9">
        <v>449.0</v>
      </c>
      <c r="P2933" s="8" t="s">
        <v>3480</v>
      </c>
      <c r="Q2933" s="8" t="s">
        <v>11495</v>
      </c>
      <c r="R2933" s="8" t="s">
        <v>11496</v>
      </c>
    </row>
    <row r="2934">
      <c r="A2934" s="8" t="s">
        <v>1585</v>
      </c>
      <c r="B2934" s="8" t="s">
        <v>16094</v>
      </c>
      <c r="C2934" s="8" t="s">
        <v>11037</v>
      </c>
      <c r="D2934" s="9">
        <v>8.237312103E9</v>
      </c>
      <c r="E2934" s="8" t="s">
        <v>12383</v>
      </c>
      <c r="F2934" s="8" t="s">
        <v>3721</v>
      </c>
      <c r="G2934" s="8" t="s">
        <v>16095</v>
      </c>
      <c r="H2934" s="8" t="s">
        <v>3479</v>
      </c>
      <c r="I2934" s="9">
        <v>0.0</v>
      </c>
      <c r="J2934" s="9">
        <v>2973.0</v>
      </c>
      <c r="K2934" s="9">
        <v>2973.0</v>
      </c>
      <c r="L2934" s="9">
        <v>2973.0</v>
      </c>
      <c r="M2934" s="9">
        <v>1710.0</v>
      </c>
      <c r="N2934" s="9">
        <v>739.0</v>
      </c>
      <c r="O2934" s="9">
        <v>524.0</v>
      </c>
      <c r="P2934" s="8" t="s">
        <v>3544</v>
      </c>
      <c r="Q2934" s="8"/>
      <c r="R2934" s="8"/>
    </row>
    <row r="2935">
      <c r="A2935" s="8" t="s">
        <v>1586</v>
      </c>
      <c r="B2935" s="8" t="s">
        <v>16096</v>
      </c>
      <c r="C2935" s="8" t="s">
        <v>16097</v>
      </c>
      <c r="D2935" s="9">
        <v>8.087956114E9</v>
      </c>
      <c r="E2935" s="8" t="s">
        <v>16098</v>
      </c>
      <c r="F2935" s="8" t="s">
        <v>5872</v>
      </c>
      <c r="G2935" s="8" t="s">
        <v>16099</v>
      </c>
      <c r="H2935" s="8" t="s">
        <v>3479</v>
      </c>
      <c r="I2935" s="9">
        <v>0.0</v>
      </c>
      <c r="J2935" s="9">
        <v>3281.0</v>
      </c>
      <c r="K2935" s="9">
        <v>4066.0</v>
      </c>
      <c r="L2935" s="9">
        <v>4066.0</v>
      </c>
      <c r="M2935" s="9">
        <v>3156.0</v>
      </c>
      <c r="N2935" s="9">
        <v>260.0</v>
      </c>
      <c r="O2935" s="9">
        <v>650.0</v>
      </c>
      <c r="P2935" s="8" t="s">
        <v>3480</v>
      </c>
      <c r="Q2935" s="8"/>
      <c r="R2935" s="8"/>
    </row>
    <row r="2936">
      <c r="A2936" s="8" t="s">
        <v>1587</v>
      </c>
      <c r="B2936" s="8" t="s">
        <v>16100</v>
      </c>
      <c r="C2936" s="8" t="s">
        <v>4743</v>
      </c>
      <c r="D2936" s="9">
        <v>9.112721874E9</v>
      </c>
      <c r="E2936" s="8" t="s">
        <v>16101</v>
      </c>
      <c r="F2936" s="8" t="s">
        <v>3542</v>
      </c>
      <c r="G2936" s="8" t="s">
        <v>16102</v>
      </c>
      <c r="H2936" s="8" t="s">
        <v>16103</v>
      </c>
      <c r="I2936" s="9">
        <v>0.0</v>
      </c>
      <c r="J2936" s="9">
        <v>7300.0</v>
      </c>
      <c r="K2936" s="9">
        <v>7463.0</v>
      </c>
      <c r="L2936" s="9">
        <v>7300.0</v>
      </c>
      <c r="M2936" s="9">
        <v>5600.0</v>
      </c>
      <c r="N2936" s="9">
        <v>739.0</v>
      </c>
      <c r="O2936" s="9">
        <v>1124.0</v>
      </c>
      <c r="P2936" s="8" t="s">
        <v>3519</v>
      </c>
      <c r="Q2936" s="8"/>
      <c r="R2936" s="8"/>
    </row>
    <row r="2937">
      <c r="A2937" s="8" t="s">
        <v>3165</v>
      </c>
      <c r="B2937" s="8" t="s">
        <v>16104</v>
      </c>
      <c r="C2937" s="8" t="s">
        <v>10021</v>
      </c>
      <c r="D2937" s="9">
        <v>9.960896345E9</v>
      </c>
      <c r="E2937" s="8" t="s">
        <v>10022</v>
      </c>
      <c r="F2937" s="8" t="s">
        <v>3589</v>
      </c>
      <c r="G2937" s="8" t="s">
        <v>16105</v>
      </c>
      <c r="H2937" s="8" t="s">
        <v>3479</v>
      </c>
      <c r="I2937" s="9">
        <v>0.0</v>
      </c>
      <c r="J2937" s="9">
        <v>1150.0</v>
      </c>
      <c r="K2937" s="9">
        <v>1150.0</v>
      </c>
      <c r="L2937" s="9">
        <v>1150.0</v>
      </c>
      <c r="M2937" s="9">
        <v>1150.0</v>
      </c>
      <c r="N2937" s="9">
        <v>0.0</v>
      </c>
      <c r="O2937" s="9">
        <v>0.0</v>
      </c>
      <c r="P2937" s="8" t="s">
        <v>3480</v>
      </c>
      <c r="Q2937" s="8" t="s">
        <v>10024</v>
      </c>
      <c r="R2937" s="8"/>
    </row>
    <row r="2938">
      <c r="A2938" s="8" t="s">
        <v>1588</v>
      </c>
      <c r="B2938" s="8" t="s">
        <v>16106</v>
      </c>
      <c r="C2938" s="8" t="s">
        <v>16107</v>
      </c>
      <c r="D2938" s="9">
        <v>8.806796584E9</v>
      </c>
      <c r="E2938" s="8" t="s">
        <v>16108</v>
      </c>
      <c r="F2938" s="8" t="s">
        <v>3542</v>
      </c>
      <c r="G2938" s="8" t="s">
        <v>4036</v>
      </c>
      <c r="H2938" s="8" t="s">
        <v>3479</v>
      </c>
      <c r="I2938" s="9">
        <v>0.0</v>
      </c>
      <c r="J2938" s="9">
        <v>2265.0</v>
      </c>
      <c r="K2938" s="9">
        <v>4265.0</v>
      </c>
      <c r="L2938" s="9">
        <v>4265.0</v>
      </c>
      <c r="M2938" s="9">
        <v>3825.0</v>
      </c>
      <c r="N2938" s="9">
        <v>440.0</v>
      </c>
      <c r="O2938" s="9">
        <v>0.0</v>
      </c>
      <c r="P2938" s="8" t="s">
        <v>3480</v>
      </c>
      <c r="Q2938" s="8" t="s">
        <v>4381</v>
      </c>
      <c r="R2938" s="8" t="s">
        <v>16109</v>
      </c>
    </row>
    <row r="2939">
      <c r="A2939" s="8" t="s">
        <v>1589</v>
      </c>
      <c r="B2939" s="8" t="s">
        <v>16110</v>
      </c>
      <c r="C2939" s="8" t="s">
        <v>4117</v>
      </c>
      <c r="D2939" s="9">
        <v>9.76619971E9</v>
      </c>
      <c r="E2939" s="8" t="s">
        <v>4118</v>
      </c>
      <c r="F2939" s="8" t="s">
        <v>3615</v>
      </c>
      <c r="G2939" s="8" t="s">
        <v>16111</v>
      </c>
      <c r="H2939" s="8" t="s">
        <v>3479</v>
      </c>
      <c r="I2939" s="9">
        <v>0.0</v>
      </c>
      <c r="J2939" s="9">
        <v>2589.0</v>
      </c>
      <c r="K2939" s="9">
        <v>2589.0</v>
      </c>
      <c r="L2939" s="9">
        <v>2589.0</v>
      </c>
      <c r="M2939" s="9">
        <v>1265.0</v>
      </c>
      <c r="N2939" s="9">
        <v>650.0</v>
      </c>
      <c r="O2939" s="9">
        <v>674.0</v>
      </c>
      <c r="P2939" s="8" t="s">
        <v>3519</v>
      </c>
      <c r="Q2939" s="8" t="s">
        <v>4120</v>
      </c>
      <c r="R2939" s="8" t="s">
        <v>4121</v>
      </c>
    </row>
    <row r="2940">
      <c r="A2940" s="8" t="s">
        <v>1590</v>
      </c>
      <c r="B2940" s="8" t="s">
        <v>16112</v>
      </c>
      <c r="C2940" s="8" t="s">
        <v>11066</v>
      </c>
      <c r="D2940" s="9">
        <v>9.890603382E9</v>
      </c>
      <c r="E2940" s="8" t="s">
        <v>11067</v>
      </c>
      <c r="F2940" s="8" t="s">
        <v>8030</v>
      </c>
      <c r="G2940" s="8" t="s">
        <v>16113</v>
      </c>
      <c r="H2940" s="8" t="s">
        <v>3479</v>
      </c>
      <c r="I2940" s="9">
        <v>0.0</v>
      </c>
      <c r="J2940" s="9">
        <v>4262.0</v>
      </c>
      <c r="K2940" s="9">
        <v>4262.0</v>
      </c>
      <c r="L2940" s="9">
        <v>4262.0</v>
      </c>
      <c r="M2940" s="9">
        <v>2849.0</v>
      </c>
      <c r="N2940" s="9">
        <v>739.0</v>
      </c>
      <c r="O2940" s="9">
        <v>674.0</v>
      </c>
      <c r="P2940" s="8" t="s">
        <v>3480</v>
      </c>
      <c r="Q2940" s="8" t="s">
        <v>11069</v>
      </c>
      <c r="R2940" s="8" t="s">
        <v>11070</v>
      </c>
    </row>
    <row r="2941">
      <c r="A2941" s="8" t="s">
        <v>1591</v>
      </c>
      <c r="B2941" s="8" t="s">
        <v>16114</v>
      </c>
      <c r="C2941" s="8" t="s">
        <v>16115</v>
      </c>
      <c r="D2941" s="9">
        <v>9.307152325E9</v>
      </c>
      <c r="E2941" s="8" t="s">
        <v>16116</v>
      </c>
      <c r="F2941" s="8" t="s">
        <v>3576</v>
      </c>
      <c r="G2941" s="8" t="s">
        <v>16117</v>
      </c>
      <c r="H2941" s="8" t="s">
        <v>3479</v>
      </c>
      <c r="I2941" s="9">
        <v>0.0</v>
      </c>
      <c r="J2941" s="9">
        <v>2094.0</v>
      </c>
      <c r="K2941" s="9">
        <v>2094.0</v>
      </c>
      <c r="L2941" s="9">
        <v>2094.0</v>
      </c>
      <c r="M2941" s="9">
        <v>595.0</v>
      </c>
      <c r="N2941" s="9">
        <v>900.0</v>
      </c>
      <c r="O2941" s="9">
        <v>599.0</v>
      </c>
      <c r="P2941" s="8" t="s">
        <v>3480</v>
      </c>
      <c r="Q2941" s="8"/>
      <c r="R2941" s="8"/>
    </row>
    <row r="2942">
      <c r="A2942" s="8" t="s">
        <v>3152</v>
      </c>
      <c r="B2942" s="8" t="s">
        <v>16118</v>
      </c>
      <c r="C2942" s="8" t="s">
        <v>16119</v>
      </c>
      <c r="D2942" s="9">
        <v>7.978737705E9</v>
      </c>
      <c r="E2942" s="8" t="s">
        <v>16120</v>
      </c>
      <c r="F2942" s="8" t="s">
        <v>3692</v>
      </c>
      <c r="G2942" s="8" t="s">
        <v>16121</v>
      </c>
      <c r="H2942" s="8" t="s">
        <v>3479</v>
      </c>
      <c r="I2942" s="9">
        <v>0.0</v>
      </c>
      <c r="J2942" s="9">
        <v>2506.0</v>
      </c>
      <c r="K2942" s="9">
        <v>2506.0</v>
      </c>
      <c r="L2942" s="9">
        <v>2506.0</v>
      </c>
      <c r="M2942" s="9">
        <v>792.0</v>
      </c>
      <c r="N2942" s="9">
        <v>840.0</v>
      </c>
      <c r="O2942" s="9">
        <v>874.0</v>
      </c>
      <c r="P2942" s="8" t="s">
        <v>3480</v>
      </c>
      <c r="Q2942" s="8" t="s">
        <v>4241</v>
      </c>
      <c r="R2942" s="8" t="s">
        <v>16122</v>
      </c>
    </row>
    <row r="2943">
      <c r="A2943" s="8" t="s">
        <v>1593</v>
      </c>
      <c r="B2943" s="8" t="s">
        <v>16123</v>
      </c>
      <c r="C2943" s="8" t="s">
        <v>16124</v>
      </c>
      <c r="D2943" s="9">
        <v>8.308787615E9</v>
      </c>
      <c r="E2943" s="8" t="s">
        <v>16125</v>
      </c>
      <c r="F2943" s="8" t="s">
        <v>3959</v>
      </c>
      <c r="G2943" s="8" t="s">
        <v>16126</v>
      </c>
      <c r="H2943" s="8" t="s">
        <v>3479</v>
      </c>
      <c r="I2943" s="9">
        <v>0.0</v>
      </c>
      <c r="J2943" s="9">
        <v>7875.0</v>
      </c>
      <c r="K2943" s="9">
        <v>7875.0</v>
      </c>
      <c r="L2943" s="9">
        <v>7875.0</v>
      </c>
      <c r="M2943" s="9">
        <v>6317.0</v>
      </c>
      <c r="N2943" s="9">
        <v>784.0</v>
      </c>
      <c r="O2943" s="9">
        <v>774.0</v>
      </c>
      <c r="P2943" s="8" t="s">
        <v>3480</v>
      </c>
      <c r="Q2943" s="8"/>
      <c r="R2943" s="8"/>
    </row>
    <row r="2944">
      <c r="A2944" s="8" t="s">
        <v>3166</v>
      </c>
      <c r="B2944" s="8" t="s">
        <v>16127</v>
      </c>
      <c r="C2944" s="8" t="s">
        <v>6652</v>
      </c>
      <c r="D2944" s="9">
        <v>8.796147967E9</v>
      </c>
      <c r="E2944" s="8" t="s">
        <v>6653</v>
      </c>
      <c r="F2944" s="8" t="s">
        <v>3550</v>
      </c>
      <c r="G2944" s="8" t="s">
        <v>16128</v>
      </c>
      <c r="H2944" s="8" t="s">
        <v>3479</v>
      </c>
      <c r="I2944" s="9">
        <v>0.0</v>
      </c>
      <c r="J2944" s="9">
        <v>1268.0</v>
      </c>
      <c r="K2944" s="9">
        <v>1268.0</v>
      </c>
      <c r="L2944" s="9">
        <v>1268.0</v>
      </c>
      <c r="M2944" s="9">
        <v>80.0</v>
      </c>
      <c r="N2944" s="9">
        <v>739.0</v>
      </c>
      <c r="O2944" s="9">
        <v>449.0</v>
      </c>
      <c r="P2944" s="8" t="s">
        <v>3480</v>
      </c>
      <c r="Q2944" s="8" t="s">
        <v>6655</v>
      </c>
      <c r="R2944" s="8" t="s">
        <v>6656</v>
      </c>
    </row>
    <row r="2945">
      <c r="A2945" s="8" t="s">
        <v>1594</v>
      </c>
      <c r="B2945" s="8" t="s">
        <v>16129</v>
      </c>
      <c r="C2945" s="8" t="s">
        <v>16130</v>
      </c>
      <c r="D2945" s="9">
        <v>9.848388369E9</v>
      </c>
      <c r="E2945" s="8" t="s">
        <v>16131</v>
      </c>
      <c r="F2945" s="8" t="s">
        <v>4373</v>
      </c>
      <c r="G2945" s="8" t="s">
        <v>16132</v>
      </c>
      <c r="H2945" s="8" t="s">
        <v>3479</v>
      </c>
      <c r="I2945" s="9">
        <v>0.0</v>
      </c>
      <c r="J2945" s="9">
        <v>1550.0</v>
      </c>
      <c r="K2945" s="9">
        <v>1550.0</v>
      </c>
      <c r="L2945" s="9">
        <v>1550.0</v>
      </c>
      <c r="M2945" s="9">
        <v>1550.0</v>
      </c>
      <c r="N2945" s="9">
        <v>0.0</v>
      </c>
      <c r="O2945" s="9">
        <v>0.0</v>
      </c>
      <c r="P2945" s="8" t="s">
        <v>3480</v>
      </c>
      <c r="Q2945" s="8"/>
      <c r="R2945" s="8"/>
    </row>
    <row r="2946">
      <c r="A2946" s="8" t="s">
        <v>3145</v>
      </c>
      <c r="B2946" s="8" t="s">
        <v>16133</v>
      </c>
      <c r="C2946" s="8" t="s">
        <v>5916</v>
      </c>
      <c r="D2946" s="9">
        <v>9.881634714E9</v>
      </c>
      <c r="E2946" s="8" t="s">
        <v>5917</v>
      </c>
      <c r="F2946" s="8" t="s">
        <v>5918</v>
      </c>
      <c r="G2946" s="8" t="s">
        <v>4211</v>
      </c>
      <c r="H2946" s="8" t="s">
        <v>3479</v>
      </c>
      <c r="I2946" s="9">
        <v>0.0</v>
      </c>
      <c r="J2946" s="9">
        <v>3995.0</v>
      </c>
      <c r="K2946" s="9">
        <v>3995.0</v>
      </c>
      <c r="L2946" s="9">
        <v>3995.0</v>
      </c>
      <c r="M2946" s="9">
        <v>2263.0</v>
      </c>
      <c r="N2946" s="9">
        <v>358.0</v>
      </c>
      <c r="O2946" s="9">
        <v>1374.0</v>
      </c>
      <c r="P2946" s="8" t="s">
        <v>3480</v>
      </c>
      <c r="Q2946" s="8" t="s">
        <v>5920</v>
      </c>
      <c r="R2946" s="8" t="s">
        <v>5921</v>
      </c>
    </row>
    <row r="2947">
      <c r="A2947" s="8" t="s">
        <v>3146</v>
      </c>
      <c r="B2947" s="8" t="s">
        <v>16134</v>
      </c>
      <c r="C2947" s="8" t="s">
        <v>16135</v>
      </c>
      <c r="D2947" s="9">
        <v>9.932854411E9</v>
      </c>
      <c r="E2947" s="8" t="s">
        <v>16136</v>
      </c>
      <c r="F2947" s="8" t="s">
        <v>4125</v>
      </c>
      <c r="G2947" s="8" t="s">
        <v>16137</v>
      </c>
      <c r="H2947" s="8" t="s">
        <v>3479</v>
      </c>
      <c r="I2947" s="9">
        <v>0.0</v>
      </c>
      <c r="J2947" s="9">
        <v>2649.0</v>
      </c>
      <c r="K2947" s="9">
        <v>2649.0</v>
      </c>
      <c r="L2947" s="9">
        <v>2649.0</v>
      </c>
      <c r="M2947" s="9">
        <v>1275.0</v>
      </c>
      <c r="N2947" s="9">
        <v>775.0</v>
      </c>
      <c r="O2947" s="9">
        <v>599.0</v>
      </c>
      <c r="P2947" s="8" t="s">
        <v>3480</v>
      </c>
      <c r="Q2947" s="8"/>
      <c r="R2947" s="8"/>
    </row>
    <row r="2948">
      <c r="A2948" s="8" t="s">
        <v>3144</v>
      </c>
      <c r="B2948" s="8" t="s">
        <v>16138</v>
      </c>
      <c r="C2948" s="8" t="s">
        <v>11578</v>
      </c>
      <c r="D2948" s="9">
        <v>9.97001266E9</v>
      </c>
      <c r="E2948" s="8" t="s">
        <v>16139</v>
      </c>
      <c r="F2948" s="8" t="s">
        <v>6927</v>
      </c>
      <c r="G2948" s="8" t="s">
        <v>15700</v>
      </c>
      <c r="H2948" s="8" t="s">
        <v>3479</v>
      </c>
      <c r="I2948" s="9">
        <v>0.0</v>
      </c>
      <c r="J2948" s="9">
        <v>1599.0</v>
      </c>
      <c r="K2948" s="9">
        <v>1599.0</v>
      </c>
      <c r="L2948" s="9">
        <v>1599.0</v>
      </c>
      <c r="M2948" s="9">
        <v>340.0</v>
      </c>
      <c r="N2948" s="9">
        <v>730.0</v>
      </c>
      <c r="O2948" s="9">
        <v>529.0</v>
      </c>
      <c r="P2948" s="8" t="s">
        <v>3480</v>
      </c>
      <c r="Q2948" s="8" t="s">
        <v>16140</v>
      </c>
      <c r="R2948" s="8" t="s">
        <v>16141</v>
      </c>
    </row>
    <row r="2949">
      <c r="A2949" s="8" t="s">
        <v>3167</v>
      </c>
      <c r="B2949" s="8" t="s">
        <v>16142</v>
      </c>
      <c r="C2949" s="8" t="s">
        <v>6921</v>
      </c>
      <c r="D2949" s="9">
        <v>8.007999162E9</v>
      </c>
      <c r="E2949" s="8" t="s">
        <v>6922</v>
      </c>
      <c r="F2949" s="8" t="s">
        <v>3608</v>
      </c>
      <c r="G2949" s="8" t="s">
        <v>3494</v>
      </c>
      <c r="H2949" s="8" t="s">
        <v>3479</v>
      </c>
      <c r="I2949" s="9">
        <v>0.0</v>
      </c>
      <c r="J2949" s="9">
        <v>7294.0</v>
      </c>
      <c r="K2949" s="9">
        <v>7294.0</v>
      </c>
      <c r="L2949" s="9">
        <v>7294.0</v>
      </c>
      <c r="M2949" s="9">
        <v>2444.0</v>
      </c>
      <c r="N2949" s="9">
        <v>0.0</v>
      </c>
      <c r="O2949" s="9">
        <v>4850.0</v>
      </c>
      <c r="P2949" s="8" t="s">
        <v>3480</v>
      </c>
      <c r="Q2949" s="8"/>
      <c r="R2949" s="8"/>
    </row>
    <row r="2950">
      <c r="A2950" s="8" t="s">
        <v>1737</v>
      </c>
      <c r="B2950" s="8" t="s">
        <v>16143</v>
      </c>
      <c r="C2950" s="8" t="s">
        <v>16144</v>
      </c>
      <c r="D2950" s="9">
        <v>7.709153857E9</v>
      </c>
      <c r="E2950" s="8" t="s">
        <v>16145</v>
      </c>
      <c r="F2950" s="8" t="s">
        <v>8180</v>
      </c>
      <c r="G2950" s="8" t="s">
        <v>9865</v>
      </c>
      <c r="H2950" s="8" t="s">
        <v>3479</v>
      </c>
      <c r="I2950" s="9">
        <v>0.0</v>
      </c>
      <c r="J2950" s="9">
        <v>1491.0</v>
      </c>
      <c r="K2950" s="9">
        <v>1491.0</v>
      </c>
      <c r="L2950" s="9">
        <v>1491.0</v>
      </c>
      <c r="M2950" s="9">
        <v>303.0</v>
      </c>
      <c r="N2950" s="9">
        <v>739.0</v>
      </c>
      <c r="O2950" s="9">
        <v>449.0</v>
      </c>
      <c r="P2950" s="8" t="s">
        <v>3480</v>
      </c>
      <c r="Q2950" s="8"/>
      <c r="R2950" s="8"/>
    </row>
    <row r="2951">
      <c r="A2951" s="8" t="s">
        <v>974</v>
      </c>
      <c r="B2951" s="8" t="s">
        <v>16146</v>
      </c>
      <c r="C2951" s="8" t="s">
        <v>8024</v>
      </c>
      <c r="D2951" s="9">
        <v>7.620583643E9</v>
      </c>
      <c r="E2951" s="8" t="s">
        <v>8025</v>
      </c>
      <c r="F2951" s="8" t="s">
        <v>6118</v>
      </c>
      <c r="G2951" s="8" t="s">
        <v>16147</v>
      </c>
      <c r="H2951" s="8" t="s">
        <v>3479</v>
      </c>
      <c r="I2951" s="9">
        <v>0.0</v>
      </c>
      <c r="J2951" s="9">
        <v>1413.0</v>
      </c>
      <c r="K2951" s="9">
        <v>1413.0</v>
      </c>
      <c r="L2951" s="9">
        <v>1413.0</v>
      </c>
      <c r="M2951" s="9">
        <v>225.0</v>
      </c>
      <c r="N2951" s="9">
        <v>739.0</v>
      </c>
      <c r="O2951" s="9">
        <v>449.0</v>
      </c>
      <c r="P2951" s="8" t="s">
        <v>3480</v>
      </c>
      <c r="Q2951" s="8"/>
      <c r="R2951" s="8"/>
    </row>
    <row r="2952">
      <c r="A2952" s="8" t="s">
        <v>2861</v>
      </c>
      <c r="B2952" s="8" t="s">
        <v>16148</v>
      </c>
      <c r="C2952" s="8" t="s">
        <v>5539</v>
      </c>
      <c r="D2952" s="9">
        <v>9.404630994E9</v>
      </c>
      <c r="E2952" s="8" t="s">
        <v>16149</v>
      </c>
      <c r="F2952" s="8" t="s">
        <v>3498</v>
      </c>
      <c r="G2952" s="8" t="s">
        <v>16150</v>
      </c>
      <c r="H2952" s="8" t="s">
        <v>3479</v>
      </c>
      <c r="I2952" s="9">
        <v>0.0</v>
      </c>
      <c r="J2952" s="9">
        <v>849.0</v>
      </c>
      <c r="K2952" s="9">
        <v>849.0</v>
      </c>
      <c r="L2952" s="9">
        <v>849.0</v>
      </c>
      <c r="M2952" s="9">
        <v>245.0</v>
      </c>
      <c r="N2952" s="9">
        <v>0.0</v>
      </c>
      <c r="O2952" s="9">
        <v>604.0</v>
      </c>
      <c r="P2952" s="8" t="s">
        <v>3480</v>
      </c>
      <c r="Q2952" s="8"/>
      <c r="R2952" s="8"/>
    </row>
    <row r="2953">
      <c r="A2953" s="8" t="s">
        <v>2862</v>
      </c>
      <c r="B2953" s="8" t="s">
        <v>16151</v>
      </c>
      <c r="C2953" s="8" t="s">
        <v>7477</v>
      </c>
      <c r="D2953" s="9">
        <v>8.484842631E9</v>
      </c>
      <c r="E2953" s="8" t="s">
        <v>7478</v>
      </c>
      <c r="F2953" s="8" t="s">
        <v>5301</v>
      </c>
      <c r="G2953" s="8" t="s">
        <v>16152</v>
      </c>
      <c r="H2953" s="8" t="s">
        <v>3479</v>
      </c>
      <c r="I2953" s="9">
        <v>0.0</v>
      </c>
      <c r="J2953" s="9">
        <v>1584.0</v>
      </c>
      <c r="K2953" s="9">
        <v>1584.0</v>
      </c>
      <c r="L2953" s="9">
        <v>1584.0</v>
      </c>
      <c r="M2953" s="9">
        <v>645.0</v>
      </c>
      <c r="N2953" s="9">
        <v>190.0</v>
      </c>
      <c r="O2953" s="9">
        <v>749.0</v>
      </c>
      <c r="P2953" s="8" t="s">
        <v>3480</v>
      </c>
      <c r="Q2953" s="8" t="s">
        <v>7481</v>
      </c>
      <c r="R2953" s="8" t="s">
        <v>7482</v>
      </c>
    </row>
    <row r="2954">
      <c r="A2954" s="8" t="s">
        <v>3192</v>
      </c>
      <c r="B2954" s="8" t="s">
        <v>16153</v>
      </c>
      <c r="C2954" s="8" t="s">
        <v>13178</v>
      </c>
      <c r="D2954" s="9">
        <v>8.007030595E9</v>
      </c>
      <c r="E2954" s="8" t="s">
        <v>13179</v>
      </c>
      <c r="F2954" s="8" t="s">
        <v>4366</v>
      </c>
      <c r="G2954" s="8" t="s">
        <v>3494</v>
      </c>
      <c r="H2954" s="8" t="s">
        <v>3479</v>
      </c>
      <c r="I2954" s="9">
        <v>0.0</v>
      </c>
      <c r="J2954" s="9">
        <v>3212.0</v>
      </c>
      <c r="K2954" s="9">
        <v>3212.0</v>
      </c>
      <c r="L2954" s="9">
        <v>3212.0</v>
      </c>
      <c r="M2954" s="9">
        <v>1563.0</v>
      </c>
      <c r="N2954" s="9">
        <v>775.0</v>
      </c>
      <c r="O2954" s="9">
        <v>874.0</v>
      </c>
      <c r="P2954" s="8" t="s">
        <v>3480</v>
      </c>
      <c r="Q2954" s="8"/>
      <c r="R2954" s="8"/>
    </row>
    <row r="2955">
      <c r="A2955" s="8" t="s">
        <v>2863</v>
      </c>
      <c r="B2955" s="8" t="s">
        <v>16154</v>
      </c>
      <c r="C2955" s="8" t="s">
        <v>16155</v>
      </c>
      <c r="D2955" s="9">
        <v>8.123801626E9</v>
      </c>
      <c r="E2955" s="8" t="s">
        <v>16156</v>
      </c>
      <c r="F2955" s="8" t="s">
        <v>3601</v>
      </c>
      <c r="G2955" s="8" t="s">
        <v>16157</v>
      </c>
      <c r="H2955" s="8" t="s">
        <v>3479</v>
      </c>
      <c r="I2955" s="9">
        <v>0.0</v>
      </c>
      <c r="J2955" s="9">
        <v>609.0</v>
      </c>
      <c r="K2955" s="9">
        <v>609.0</v>
      </c>
      <c r="L2955" s="9">
        <v>609.0</v>
      </c>
      <c r="M2955" s="9">
        <v>80.0</v>
      </c>
      <c r="N2955" s="9">
        <v>0.0</v>
      </c>
      <c r="O2955" s="9">
        <v>529.0</v>
      </c>
      <c r="P2955" s="8" t="s">
        <v>3480</v>
      </c>
      <c r="Q2955" s="8"/>
      <c r="R2955" s="8"/>
    </row>
    <row r="2956">
      <c r="A2956" s="8" t="s">
        <v>3193</v>
      </c>
      <c r="B2956" s="8" t="s">
        <v>16158</v>
      </c>
      <c r="C2956" s="8" t="s">
        <v>5904</v>
      </c>
      <c r="D2956" s="9">
        <v>9.892720321E9</v>
      </c>
      <c r="E2956" s="8" t="s">
        <v>7133</v>
      </c>
      <c r="F2956" s="8" t="s">
        <v>3542</v>
      </c>
      <c r="G2956" s="8" t="s">
        <v>16159</v>
      </c>
      <c r="H2956" s="8" t="s">
        <v>3479</v>
      </c>
      <c r="I2956" s="9">
        <v>0.0</v>
      </c>
      <c r="J2956" s="9">
        <v>1150.0</v>
      </c>
      <c r="K2956" s="9">
        <v>1150.0</v>
      </c>
      <c r="L2956" s="9">
        <v>1150.0</v>
      </c>
      <c r="M2956" s="9">
        <v>1150.0</v>
      </c>
      <c r="N2956" s="9">
        <v>0.0</v>
      </c>
      <c r="O2956" s="9">
        <v>0.0</v>
      </c>
      <c r="P2956" s="8" t="s">
        <v>3480</v>
      </c>
      <c r="Q2956" s="8" t="s">
        <v>7136</v>
      </c>
      <c r="R2956" s="8" t="s">
        <v>7137</v>
      </c>
    </row>
    <row r="2957">
      <c r="A2957" s="8" t="s">
        <v>2864</v>
      </c>
      <c r="B2957" s="8" t="s">
        <v>16160</v>
      </c>
      <c r="C2957" s="8" t="s">
        <v>16161</v>
      </c>
      <c r="D2957" s="9">
        <v>9.579161011E9</v>
      </c>
      <c r="E2957" s="8" t="s">
        <v>16162</v>
      </c>
      <c r="F2957" s="8" t="s">
        <v>3653</v>
      </c>
      <c r="G2957" s="8" t="s">
        <v>16163</v>
      </c>
      <c r="H2957" s="8" t="s">
        <v>16164</v>
      </c>
      <c r="I2957" s="9">
        <v>0.0</v>
      </c>
      <c r="J2957" s="9">
        <v>5100.0</v>
      </c>
      <c r="K2957" s="9">
        <v>5324.0</v>
      </c>
      <c r="L2957" s="9">
        <v>5100.0</v>
      </c>
      <c r="M2957" s="9">
        <v>3458.0</v>
      </c>
      <c r="N2957" s="9">
        <v>1092.0</v>
      </c>
      <c r="O2957" s="9">
        <v>774.0</v>
      </c>
      <c r="P2957" s="8" t="s">
        <v>3480</v>
      </c>
      <c r="Q2957" s="8" t="s">
        <v>16165</v>
      </c>
      <c r="R2957" s="8" t="s">
        <v>16166</v>
      </c>
    </row>
    <row r="2958">
      <c r="A2958" s="8" t="s">
        <v>2865</v>
      </c>
      <c r="B2958" s="8" t="s">
        <v>16167</v>
      </c>
      <c r="C2958" s="8" t="s">
        <v>14182</v>
      </c>
      <c r="D2958" s="9">
        <v>8.308374547E9</v>
      </c>
      <c r="E2958" s="8" t="s">
        <v>14183</v>
      </c>
      <c r="F2958" s="8" t="s">
        <v>5301</v>
      </c>
      <c r="G2958" s="8" t="s">
        <v>8829</v>
      </c>
      <c r="H2958" s="8" t="s">
        <v>3479</v>
      </c>
      <c r="I2958" s="9">
        <v>0.0</v>
      </c>
      <c r="J2958" s="9">
        <v>529.0</v>
      </c>
      <c r="K2958" s="9">
        <v>529.0</v>
      </c>
      <c r="L2958" s="9">
        <v>529.0</v>
      </c>
      <c r="M2958" s="9">
        <v>80.0</v>
      </c>
      <c r="N2958" s="9">
        <v>0.0</v>
      </c>
      <c r="O2958" s="9">
        <v>449.0</v>
      </c>
      <c r="P2958" s="8" t="s">
        <v>3480</v>
      </c>
      <c r="Q2958" s="8" t="s">
        <v>14184</v>
      </c>
      <c r="R2958" s="8" t="s">
        <v>14185</v>
      </c>
    </row>
    <row r="2959">
      <c r="A2959" s="8" t="s">
        <v>3180</v>
      </c>
      <c r="B2959" s="8" t="s">
        <v>16168</v>
      </c>
      <c r="C2959" s="8" t="s">
        <v>3599</v>
      </c>
      <c r="D2959" s="9">
        <v>9.890675383E9</v>
      </c>
      <c r="E2959" s="8" t="s">
        <v>3600</v>
      </c>
      <c r="F2959" s="8" t="s">
        <v>3601</v>
      </c>
      <c r="G2959" s="8" t="s">
        <v>16169</v>
      </c>
      <c r="H2959" s="8" t="s">
        <v>3479</v>
      </c>
      <c r="I2959" s="9">
        <v>0.0</v>
      </c>
      <c r="J2959" s="9">
        <v>1804.0</v>
      </c>
      <c r="K2959" s="9">
        <v>1804.0</v>
      </c>
      <c r="L2959" s="9">
        <v>1804.0</v>
      </c>
      <c r="M2959" s="9">
        <v>625.0</v>
      </c>
      <c r="N2959" s="9">
        <v>730.0</v>
      </c>
      <c r="O2959" s="9">
        <v>449.0</v>
      </c>
      <c r="P2959" s="8" t="s">
        <v>3480</v>
      </c>
      <c r="Q2959" s="8" t="s">
        <v>3603</v>
      </c>
      <c r="R2959" s="8" t="s">
        <v>3604</v>
      </c>
    </row>
    <row r="2960">
      <c r="A2960" s="8" t="s">
        <v>580</v>
      </c>
      <c r="B2960" s="8" t="s">
        <v>16170</v>
      </c>
      <c r="C2960" s="8" t="s">
        <v>13564</v>
      </c>
      <c r="D2960" s="9">
        <v>9.92160202E9</v>
      </c>
      <c r="E2960" s="8" t="s">
        <v>13565</v>
      </c>
      <c r="F2960" s="8" t="s">
        <v>4239</v>
      </c>
      <c r="G2960" s="8" t="s">
        <v>16171</v>
      </c>
      <c r="H2960" s="8" t="s">
        <v>3479</v>
      </c>
      <c r="I2960" s="9">
        <v>0.0</v>
      </c>
      <c r="J2960" s="9">
        <v>904.0</v>
      </c>
      <c r="K2960" s="9">
        <v>904.0</v>
      </c>
      <c r="L2960" s="9">
        <v>904.0</v>
      </c>
      <c r="M2960" s="9">
        <v>295.0</v>
      </c>
      <c r="N2960" s="9">
        <v>80.0</v>
      </c>
      <c r="O2960" s="9">
        <v>529.0</v>
      </c>
      <c r="P2960" s="8" t="s">
        <v>3480</v>
      </c>
      <c r="Q2960" s="8" t="s">
        <v>13567</v>
      </c>
      <c r="R2960" s="8"/>
    </row>
    <row r="2961">
      <c r="A2961" s="8" t="s">
        <v>2866</v>
      </c>
      <c r="B2961" s="8" t="s">
        <v>16172</v>
      </c>
      <c r="C2961" s="8" t="s">
        <v>8236</v>
      </c>
      <c r="D2961" s="9">
        <v>9.822327439E9</v>
      </c>
      <c r="E2961" s="8" t="s">
        <v>8237</v>
      </c>
      <c r="F2961" s="8" t="s">
        <v>3615</v>
      </c>
      <c r="G2961" s="8" t="s">
        <v>16173</v>
      </c>
      <c r="H2961" s="8" t="s">
        <v>5093</v>
      </c>
      <c r="I2961" s="9">
        <v>0.0</v>
      </c>
      <c r="J2961" s="9">
        <v>2200.0</v>
      </c>
      <c r="K2961" s="9">
        <v>2239.0</v>
      </c>
      <c r="L2961" s="9">
        <v>2200.0</v>
      </c>
      <c r="M2961" s="9">
        <v>1015.0</v>
      </c>
      <c r="N2961" s="9">
        <v>775.0</v>
      </c>
      <c r="O2961" s="9">
        <v>449.0</v>
      </c>
      <c r="P2961" s="8" t="s">
        <v>3480</v>
      </c>
      <c r="Q2961" s="8" t="s">
        <v>8239</v>
      </c>
      <c r="R2961" s="8" t="s">
        <v>8240</v>
      </c>
    </row>
    <row r="2962">
      <c r="A2962" s="8" t="s">
        <v>2867</v>
      </c>
      <c r="B2962" s="8" t="s">
        <v>16174</v>
      </c>
      <c r="C2962" s="8" t="s">
        <v>16175</v>
      </c>
      <c r="D2962" s="9">
        <v>9.960700177E9</v>
      </c>
      <c r="E2962" s="8" t="s">
        <v>16176</v>
      </c>
      <c r="F2962" s="8" t="s">
        <v>3564</v>
      </c>
      <c r="G2962" s="8" t="s">
        <v>16177</v>
      </c>
      <c r="H2962" s="8" t="s">
        <v>3479</v>
      </c>
      <c r="I2962" s="9">
        <v>0.0</v>
      </c>
      <c r="J2962" s="9">
        <v>1644.0</v>
      </c>
      <c r="K2962" s="9">
        <v>1644.0</v>
      </c>
      <c r="L2962" s="9">
        <v>1644.0</v>
      </c>
      <c r="M2962" s="9">
        <v>705.0</v>
      </c>
      <c r="N2962" s="9">
        <v>190.0</v>
      </c>
      <c r="O2962" s="9">
        <v>749.0</v>
      </c>
      <c r="P2962" s="8" t="s">
        <v>3480</v>
      </c>
      <c r="Q2962" s="8"/>
      <c r="R2962" s="8"/>
    </row>
    <row r="2963">
      <c r="A2963" s="8" t="s">
        <v>99</v>
      </c>
      <c r="B2963" s="8" t="s">
        <v>16178</v>
      </c>
      <c r="C2963" s="8" t="s">
        <v>5898</v>
      </c>
      <c r="D2963" s="9">
        <v>9.657818768E9</v>
      </c>
      <c r="E2963" s="8" t="s">
        <v>5899</v>
      </c>
      <c r="F2963" s="8" t="s">
        <v>5366</v>
      </c>
      <c r="G2963" s="8" t="s">
        <v>16179</v>
      </c>
      <c r="H2963" s="8" t="s">
        <v>3479</v>
      </c>
      <c r="I2963" s="9">
        <v>0.0</v>
      </c>
      <c r="J2963" s="9">
        <v>2094.0</v>
      </c>
      <c r="K2963" s="9">
        <v>2094.0</v>
      </c>
      <c r="L2963" s="9">
        <v>2094.0</v>
      </c>
      <c r="M2963" s="9">
        <v>495.0</v>
      </c>
      <c r="N2963" s="9">
        <v>900.0</v>
      </c>
      <c r="O2963" s="9">
        <v>699.0</v>
      </c>
      <c r="P2963" s="8" t="s">
        <v>3480</v>
      </c>
      <c r="Q2963" s="8" t="s">
        <v>5901</v>
      </c>
      <c r="R2963" s="8" t="s">
        <v>5902</v>
      </c>
    </row>
    <row r="2964">
      <c r="A2964" s="8" t="s">
        <v>1267</v>
      </c>
      <c r="B2964" s="8" t="s">
        <v>16180</v>
      </c>
      <c r="C2964" s="8" t="s">
        <v>12752</v>
      </c>
      <c r="D2964" s="9">
        <v>9.975043837E9</v>
      </c>
      <c r="E2964" s="8" t="s">
        <v>13073</v>
      </c>
      <c r="F2964" s="8" t="s">
        <v>13074</v>
      </c>
      <c r="G2964" s="8" t="s">
        <v>16181</v>
      </c>
      <c r="H2964" s="8" t="s">
        <v>3479</v>
      </c>
      <c r="I2964" s="9">
        <v>0.0</v>
      </c>
      <c r="J2964" s="9">
        <v>2336.0</v>
      </c>
      <c r="K2964" s="9">
        <v>2336.0</v>
      </c>
      <c r="L2964" s="9">
        <v>2336.0</v>
      </c>
      <c r="M2964" s="9">
        <v>992.0</v>
      </c>
      <c r="N2964" s="9">
        <v>190.0</v>
      </c>
      <c r="O2964" s="9">
        <v>1154.0</v>
      </c>
      <c r="P2964" s="8" t="s">
        <v>3480</v>
      </c>
      <c r="Q2964" s="8" t="s">
        <v>13076</v>
      </c>
      <c r="R2964" s="8" t="s">
        <v>13077</v>
      </c>
    </row>
    <row r="2965">
      <c r="A2965" s="8" t="s">
        <v>2868</v>
      </c>
      <c r="B2965" s="8" t="s">
        <v>16182</v>
      </c>
      <c r="C2965" s="8" t="s">
        <v>16183</v>
      </c>
      <c r="D2965" s="9">
        <v>8.446609069E9</v>
      </c>
      <c r="E2965" s="8" t="s">
        <v>16184</v>
      </c>
      <c r="F2965" s="8" t="s">
        <v>5447</v>
      </c>
      <c r="G2965" s="8" t="s">
        <v>16185</v>
      </c>
      <c r="H2965" s="8" t="s">
        <v>3479</v>
      </c>
      <c r="I2965" s="9">
        <v>0.0</v>
      </c>
      <c r="J2965" s="9">
        <v>2565.0</v>
      </c>
      <c r="K2965" s="9">
        <v>2565.0</v>
      </c>
      <c r="L2965" s="9">
        <v>2565.0</v>
      </c>
      <c r="M2965" s="9">
        <v>764.0</v>
      </c>
      <c r="N2965" s="9">
        <v>1027.0</v>
      </c>
      <c r="O2965" s="9">
        <v>774.0</v>
      </c>
      <c r="P2965" s="8" t="s">
        <v>3480</v>
      </c>
      <c r="Q2965" s="8"/>
      <c r="R2965" s="8"/>
    </row>
    <row r="2966">
      <c r="A2966" s="8" t="s">
        <v>1592</v>
      </c>
      <c r="B2966" s="8" t="s">
        <v>16186</v>
      </c>
      <c r="C2966" s="8" t="s">
        <v>16187</v>
      </c>
      <c r="D2966" s="9">
        <v>8.806796584E9</v>
      </c>
      <c r="E2966" s="8" t="s">
        <v>16188</v>
      </c>
      <c r="F2966" s="8" t="s">
        <v>3670</v>
      </c>
      <c r="G2966" s="8" t="s">
        <v>16189</v>
      </c>
      <c r="H2966" s="8" t="s">
        <v>3479</v>
      </c>
      <c r="I2966" s="9">
        <v>0.0</v>
      </c>
      <c r="J2966" s="9">
        <v>1027.0</v>
      </c>
      <c r="K2966" s="9">
        <v>1027.0</v>
      </c>
      <c r="L2966" s="9">
        <v>1027.0</v>
      </c>
      <c r="M2966" s="9">
        <v>278.0</v>
      </c>
      <c r="N2966" s="9">
        <v>0.0</v>
      </c>
      <c r="O2966" s="9">
        <v>749.0</v>
      </c>
      <c r="P2966" s="8" t="s">
        <v>3480</v>
      </c>
      <c r="Q2966" s="8"/>
      <c r="R2966" s="8"/>
    </row>
    <row r="2967">
      <c r="A2967" s="8" t="s">
        <v>3168</v>
      </c>
      <c r="B2967" s="8" t="s">
        <v>16190</v>
      </c>
      <c r="C2967" s="8" t="s">
        <v>5836</v>
      </c>
      <c r="D2967" s="9">
        <v>9.96705015E9</v>
      </c>
      <c r="E2967" s="8" t="s">
        <v>5837</v>
      </c>
      <c r="F2967" s="8" t="s">
        <v>3853</v>
      </c>
      <c r="G2967" s="8" t="s">
        <v>7468</v>
      </c>
      <c r="H2967" s="8" t="s">
        <v>3479</v>
      </c>
      <c r="I2967" s="9">
        <v>0.0</v>
      </c>
      <c r="J2967" s="9">
        <v>2812.0</v>
      </c>
      <c r="K2967" s="9">
        <v>2812.0</v>
      </c>
      <c r="L2967" s="9">
        <v>2812.0</v>
      </c>
      <c r="M2967" s="9">
        <v>1424.0</v>
      </c>
      <c r="N2967" s="9">
        <v>739.0</v>
      </c>
      <c r="O2967" s="9">
        <v>649.0</v>
      </c>
      <c r="P2967" s="8" t="s">
        <v>3519</v>
      </c>
      <c r="Q2967" s="8"/>
      <c r="R2967" s="8"/>
    </row>
    <row r="2968">
      <c r="A2968" s="8" t="s">
        <v>3169</v>
      </c>
      <c r="B2968" s="8" t="s">
        <v>16191</v>
      </c>
      <c r="C2968" s="8" t="s">
        <v>16192</v>
      </c>
      <c r="D2968" s="9">
        <v>9.923220239E9</v>
      </c>
      <c r="E2968" s="8" t="s">
        <v>16193</v>
      </c>
      <c r="F2968" s="8" t="s">
        <v>3608</v>
      </c>
      <c r="G2968" s="8" t="s">
        <v>16194</v>
      </c>
      <c r="H2968" s="8" t="s">
        <v>3479</v>
      </c>
      <c r="I2968" s="9">
        <v>0.0</v>
      </c>
      <c r="J2968" s="9">
        <v>1559.0</v>
      </c>
      <c r="K2968" s="9">
        <v>1559.0</v>
      </c>
      <c r="L2968" s="9">
        <v>1559.0</v>
      </c>
      <c r="M2968" s="9">
        <v>140.0</v>
      </c>
      <c r="N2968" s="9">
        <v>469.0</v>
      </c>
      <c r="O2968" s="9">
        <v>950.0</v>
      </c>
      <c r="P2968" s="8" t="s">
        <v>3480</v>
      </c>
      <c r="Q2968" s="8" t="s">
        <v>3699</v>
      </c>
      <c r="R2968" s="8"/>
    </row>
    <row r="2969">
      <c r="A2969" s="8" t="s">
        <v>3170</v>
      </c>
      <c r="B2969" s="8" t="s">
        <v>16195</v>
      </c>
      <c r="C2969" s="8" t="s">
        <v>7243</v>
      </c>
      <c r="D2969" s="9">
        <v>9.370116607E9</v>
      </c>
      <c r="E2969" s="8" t="s">
        <v>7244</v>
      </c>
      <c r="F2969" s="8" t="s">
        <v>3564</v>
      </c>
      <c r="G2969" s="8" t="s">
        <v>3494</v>
      </c>
      <c r="H2969" s="8" t="s">
        <v>8019</v>
      </c>
      <c r="I2969" s="9">
        <v>0.0</v>
      </c>
      <c r="J2969" s="9">
        <v>2800.0</v>
      </c>
      <c r="K2969" s="9">
        <v>2890.0</v>
      </c>
      <c r="L2969" s="9">
        <v>2800.0</v>
      </c>
      <c r="M2969" s="9">
        <v>1676.0</v>
      </c>
      <c r="N2969" s="9">
        <v>190.0</v>
      </c>
      <c r="O2969" s="9">
        <v>1024.0</v>
      </c>
      <c r="P2969" s="8" t="s">
        <v>3480</v>
      </c>
      <c r="Q2969" s="8"/>
      <c r="R2969" s="8"/>
    </row>
    <row r="2970">
      <c r="A2970" s="8" t="s">
        <v>3171</v>
      </c>
      <c r="B2970" s="8" t="s">
        <v>16196</v>
      </c>
      <c r="C2970" s="8" t="s">
        <v>13817</v>
      </c>
      <c r="D2970" s="9">
        <v>9.65700358E9</v>
      </c>
      <c r="E2970" s="8" t="s">
        <v>13818</v>
      </c>
      <c r="F2970" s="8" t="s">
        <v>3608</v>
      </c>
      <c r="G2970" s="8" t="s">
        <v>16197</v>
      </c>
      <c r="H2970" s="8" t="s">
        <v>3479</v>
      </c>
      <c r="I2970" s="9">
        <v>0.0</v>
      </c>
      <c r="J2970" s="9">
        <v>2750.0</v>
      </c>
      <c r="K2970" s="9">
        <v>2750.0</v>
      </c>
      <c r="L2970" s="9">
        <v>2750.0</v>
      </c>
      <c r="M2970" s="9">
        <v>1387.0</v>
      </c>
      <c r="N2970" s="9">
        <v>739.0</v>
      </c>
      <c r="O2970" s="9">
        <v>624.0</v>
      </c>
      <c r="P2970" s="8" t="s">
        <v>3480</v>
      </c>
      <c r="Q2970" s="8" t="s">
        <v>13819</v>
      </c>
      <c r="R2970" s="8" t="s">
        <v>13820</v>
      </c>
    </row>
    <row r="2971">
      <c r="A2971" s="8" t="s">
        <v>3172</v>
      </c>
      <c r="B2971" s="8" t="s">
        <v>16198</v>
      </c>
      <c r="C2971" s="8" t="s">
        <v>16199</v>
      </c>
      <c r="D2971" s="9">
        <v>9.881241879E9</v>
      </c>
      <c r="E2971" s="8" t="s">
        <v>16200</v>
      </c>
      <c r="F2971" s="8" t="s">
        <v>3523</v>
      </c>
      <c r="G2971" s="8" t="s">
        <v>4036</v>
      </c>
      <c r="H2971" s="8" t="s">
        <v>3479</v>
      </c>
      <c r="I2971" s="9">
        <v>0.0</v>
      </c>
      <c r="J2971" s="9">
        <v>2621.0</v>
      </c>
      <c r="K2971" s="9">
        <v>2621.0</v>
      </c>
      <c r="L2971" s="9">
        <v>2621.0</v>
      </c>
      <c r="M2971" s="9">
        <v>1246.0</v>
      </c>
      <c r="N2971" s="9">
        <v>0.0</v>
      </c>
      <c r="O2971" s="9">
        <v>1375.0</v>
      </c>
      <c r="P2971" s="8" t="s">
        <v>3480</v>
      </c>
      <c r="Q2971" s="8"/>
      <c r="R2971" s="8"/>
    </row>
    <row r="2972">
      <c r="A2972" s="8" t="s">
        <v>3173</v>
      </c>
      <c r="B2972" s="8" t="s">
        <v>16201</v>
      </c>
      <c r="C2972" s="8" t="s">
        <v>13256</v>
      </c>
      <c r="D2972" s="9">
        <v>7.276567166E9</v>
      </c>
      <c r="E2972" s="8" t="s">
        <v>13257</v>
      </c>
      <c r="F2972" s="8" t="s">
        <v>6455</v>
      </c>
      <c r="G2972" s="8" t="s">
        <v>16202</v>
      </c>
      <c r="H2972" s="8" t="s">
        <v>3479</v>
      </c>
      <c r="I2972" s="9">
        <v>0.0</v>
      </c>
      <c r="J2972" s="9">
        <v>1268.0</v>
      </c>
      <c r="K2972" s="9">
        <v>1268.0</v>
      </c>
      <c r="L2972" s="9">
        <v>1268.0</v>
      </c>
      <c r="M2972" s="9">
        <v>80.0</v>
      </c>
      <c r="N2972" s="9">
        <v>739.0</v>
      </c>
      <c r="O2972" s="9">
        <v>449.0</v>
      </c>
      <c r="P2972" s="8" t="s">
        <v>3480</v>
      </c>
      <c r="Q2972" s="8" t="s">
        <v>13259</v>
      </c>
      <c r="R2972" s="8" t="s">
        <v>13260</v>
      </c>
    </row>
    <row r="2973">
      <c r="A2973" s="8" t="s">
        <v>3174</v>
      </c>
      <c r="B2973" s="8" t="s">
        <v>16203</v>
      </c>
      <c r="C2973" s="8" t="s">
        <v>13964</v>
      </c>
      <c r="D2973" s="9">
        <v>9.049094562E9</v>
      </c>
      <c r="E2973" s="8" t="s">
        <v>13965</v>
      </c>
      <c r="F2973" s="8" t="s">
        <v>3707</v>
      </c>
      <c r="G2973" s="8" t="s">
        <v>16204</v>
      </c>
      <c r="H2973" s="8" t="s">
        <v>12952</v>
      </c>
      <c r="I2973" s="9">
        <v>0.0</v>
      </c>
      <c r="J2973" s="9">
        <v>1600.0</v>
      </c>
      <c r="K2973" s="9">
        <v>1660.0</v>
      </c>
      <c r="L2973" s="9">
        <v>1600.0</v>
      </c>
      <c r="M2973" s="9">
        <v>161.0</v>
      </c>
      <c r="N2973" s="9">
        <v>900.0</v>
      </c>
      <c r="O2973" s="9">
        <v>599.0</v>
      </c>
      <c r="P2973" s="8" t="s">
        <v>3480</v>
      </c>
      <c r="Q2973" s="8" t="s">
        <v>13967</v>
      </c>
      <c r="R2973" s="8" t="s">
        <v>13968</v>
      </c>
    </row>
    <row r="2974">
      <c r="A2974" s="8" t="s">
        <v>3175</v>
      </c>
      <c r="B2974" s="8" t="s">
        <v>16205</v>
      </c>
      <c r="C2974" s="8" t="s">
        <v>10933</v>
      </c>
      <c r="D2974" s="9">
        <v>8.291662204E9</v>
      </c>
      <c r="E2974" s="8" t="s">
        <v>16206</v>
      </c>
      <c r="F2974" s="8" t="s">
        <v>3601</v>
      </c>
      <c r="G2974" s="8" t="s">
        <v>16207</v>
      </c>
      <c r="H2974" s="8" t="s">
        <v>3479</v>
      </c>
      <c r="I2974" s="9">
        <v>0.0</v>
      </c>
      <c r="J2974" s="9">
        <v>1667.0</v>
      </c>
      <c r="K2974" s="9">
        <v>1667.0</v>
      </c>
      <c r="L2974" s="9">
        <v>1667.0</v>
      </c>
      <c r="M2974" s="9">
        <v>479.0</v>
      </c>
      <c r="N2974" s="9">
        <v>739.0</v>
      </c>
      <c r="O2974" s="9">
        <v>449.0</v>
      </c>
      <c r="P2974" s="8" t="s">
        <v>3480</v>
      </c>
      <c r="Q2974" s="8" t="s">
        <v>16208</v>
      </c>
      <c r="R2974" s="8" t="s">
        <v>16209</v>
      </c>
    </row>
    <row r="2975">
      <c r="A2975" s="8" t="s">
        <v>3176</v>
      </c>
      <c r="B2975" s="8" t="s">
        <v>16210</v>
      </c>
      <c r="C2975" s="8" t="s">
        <v>16211</v>
      </c>
      <c r="D2975" s="9">
        <v>9.422283216E9</v>
      </c>
      <c r="E2975" s="8" t="s">
        <v>16212</v>
      </c>
      <c r="F2975" s="8" t="s">
        <v>6455</v>
      </c>
      <c r="G2975" s="8" t="s">
        <v>16213</v>
      </c>
      <c r="H2975" s="8" t="s">
        <v>3479</v>
      </c>
      <c r="I2975" s="9">
        <v>0.0</v>
      </c>
      <c r="J2975" s="9">
        <v>1874.0</v>
      </c>
      <c r="K2975" s="9">
        <v>1874.0</v>
      </c>
      <c r="L2975" s="9">
        <v>1874.0</v>
      </c>
      <c r="M2975" s="9">
        <v>586.0</v>
      </c>
      <c r="N2975" s="9">
        <v>739.0</v>
      </c>
      <c r="O2975" s="9">
        <v>549.0</v>
      </c>
      <c r="P2975" s="8" t="s">
        <v>3519</v>
      </c>
      <c r="Q2975" s="8" t="s">
        <v>16214</v>
      </c>
      <c r="R2975" s="8" t="s">
        <v>16215</v>
      </c>
    </row>
    <row r="2976">
      <c r="A2976" s="8" t="s">
        <v>3177</v>
      </c>
      <c r="B2976" s="8" t="s">
        <v>16216</v>
      </c>
      <c r="C2976" s="8" t="s">
        <v>15515</v>
      </c>
      <c r="D2976" s="9">
        <v>8.793657381E9</v>
      </c>
      <c r="E2976" s="8" t="s">
        <v>15516</v>
      </c>
      <c r="F2976" s="8" t="s">
        <v>3615</v>
      </c>
      <c r="G2976" s="8" t="s">
        <v>3494</v>
      </c>
      <c r="H2976" s="8" t="s">
        <v>3479</v>
      </c>
      <c r="I2976" s="9">
        <v>0.0</v>
      </c>
      <c r="J2976" s="9">
        <v>628.0</v>
      </c>
      <c r="K2976" s="9">
        <v>628.0</v>
      </c>
      <c r="L2976" s="9">
        <v>628.0</v>
      </c>
      <c r="M2976" s="9">
        <v>628.0</v>
      </c>
      <c r="N2976" s="9">
        <v>0.0</v>
      </c>
      <c r="O2976" s="9">
        <v>0.0</v>
      </c>
      <c r="P2976" s="8" t="s">
        <v>3480</v>
      </c>
      <c r="Q2976" s="8" t="s">
        <v>15518</v>
      </c>
      <c r="R2976" s="8" t="s">
        <v>15519</v>
      </c>
    </row>
    <row r="2977">
      <c r="A2977" s="8" t="s">
        <v>3178</v>
      </c>
      <c r="B2977" s="8" t="s">
        <v>16217</v>
      </c>
      <c r="C2977" s="8" t="s">
        <v>8142</v>
      </c>
      <c r="D2977" s="9">
        <v>9.158002891E9</v>
      </c>
      <c r="E2977" s="8" t="s">
        <v>16218</v>
      </c>
      <c r="F2977" s="8" t="s">
        <v>5960</v>
      </c>
      <c r="G2977" s="8" t="s">
        <v>16219</v>
      </c>
      <c r="H2977" s="8" t="s">
        <v>3479</v>
      </c>
      <c r="I2977" s="9">
        <v>0.0</v>
      </c>
      <c r="J2977" s="9">
        <v>2459.0</v>
      </c>
      <c r="K2977" s="9">
        <v>2459.0</v>
      </c>
      <c r="L2977" s="9">
        <v>2459.0</v>
      </c>
      <c r="M2977" s="9">
        <v>520.0</v>
      </c>
      <c r="N2977" s="9">
        <v>965.0</v>
      </c>
      <c r="O2977" s="9">
        <v>974.0</v>
      </c>
      <c r="P2977" s="8" t="s">
        <v>3480</v>
      </c>
      <c r="Q2977" s="8" t="s">
        <v>16220</v>
      </c>
      <c r="R2977" s="8" t="s">
        <v>16221</v>
      </c>
    </row>
    <row r="2978">
      <c r="A2978" s="8" t="s">
        <v>2214</v>
      </c>
      <c r="B2978" s="8" t="s">
        <v>16222</v>
      </c>
      <c r="C2978" s="8" t="s">
        <v>4148</v>
      </c>
      <c r="D2978" s="9">
        <v>8.9838526E9</v>
      </c>
      <c r="E2978" s="8" t="s">
        <v>4149</v>
      </c>
      <c r="F2978" s="8" t="s">
        <v>4150</v>
      </c>
      <c r="G2978" s="8" t="s">
        <v>16223</v>
      </c>
      <c r="H2978" s="8" t="s">
        <v>3479</v>
      </c>
      <c r="I2978" s="9">
        <v>0.0</v>
      </c>
      <c r="J2978" s="9">
        <v>679.0</v>
      </c>
      <c r="K2978" s="9">
        <v>679.0</v>
      </c>
      <c r="L2978" s="9">
        <v>679.0</v>
      </c>
      <c r="M2978" s="9">
        <v>80.0</v>
      </c>
      <c r="N2978" s="9">
        <v>0.0</v>
      </c>
      <c r="O2978" s="9">
        <v>599.0</v>
      </c>
      <c r="P2978" s="8" t="s">
        <v>3480</v>
      </c>
      <c r="Q2978" s="8" t="s">
        <v>4152</v>
      </c>
      <c r="R2978" s="8" t="s">
        <v>4153</v>
      </c>
    </row>
    <row r="2979">
      <c r="A2979" s="8" t="s">
        <v>2215</v>
      </c>
      <c r="B2979" s="8" t="s">
        <v>16224</v>
      </c>
      <c r="C2979" s="8" t="s">
        <v>16225</v>
      </c>
      <c r="D2979" s="9">
        <v>9.527354854E9</v>
      </c>
      <c r="E2979" s="8" t="s">
        <v>16226</v>
      </c>
      <c r="F2979" s="8" t="s">
        <v>3697</v>
      </c>
      <c r="G2979" s="8" t="s">
        <v>4036</v>
      </c>
      <c r="H2979" s="8" t="s">
        <v>16227</v>
      </c>
      <c r="I2979" s="9">
        <v>0.0</v>
      </c>
      <c r="J2979" s="9">
        <v>8800.0</v>
      </c>
      <c r="K2979" s="9">
        <v>9281.0</v>
      </c>
      <c r="L2979" s="9">
        <v>8800.0</v>
      </c>
      <c r="M2979" s="9">
        <v>4822.0</v>
      </c>
      <c r="N2979" s="9">
        <v>469.0</v>
      </c>
      <c r="O2979" s="9">
        <v>3990.0</v>
      </c>
      <c r="P2979" s="8" t="s">
        <v>3480</v>
      </c>
      <c r="Q2979" s="8"/>
      <c r="R2979" s="8"/>
    </row>
    <row r="2980">
      <c r="A2980" s="8" t="s">
        <v>2216</v>
      </c>
      <c r="B2980" s="8" t="s">
        <v>16228</v>
      </c>
      <c r="C2980" s="8" t="s">
        <v>14005</v>
      </c>
      <c r="D2980" s="9">
        <v>8.208507298E9</v>
      </c>
      <c r="E2980" s="8" t="s">
        <v>14006</v>
      </c>
      <c r="F2980" s="8" t="s">
        <v>14007</v>
      </c>
      <c r="G2980" s="8" t="s">
        <v>16229</v>
      </c>
      <c r="H2980" s="8" t="s">
        <v>3479</v>
      </c>
      <c r="I2980" s="9">
        <v>0.0</v>
      </c>
      <c r="J2980" s="9">
        <v>1113.0</v>
      </c>
      <c r="K2980" s="9">
        <v>1113.0</v>
      </c>
      <c r="L2980" s="9">
        <v>1113.0</v>
      </c>
      <c r="M2980" s="9">
        <v>80.0</v>
      </c>
      <c r="N2980" s="9">
        <v>584.0</v>
      </c>
      <c r="O2980" s="9">
        <v>449.0</v>
      </c>
      <c r="P2980" s="8" t="s">
        <v>3480</v>
      </c>
      <c r="Q2980" s="8" t="s">
        <v>14009</v>
      </c>
      <c r="R2980" s="8" t="s">
        <v>4241</v>
      </c>
    </row>
    <row r="2981">
      <c r="A2981" s="8" t="s">
        <v>98</v>
      </c>
      <c r="B2981" s="8" t="s">
        <v>16230</v>
      </c>
      <c r="C2981" s="8" t="s">
        <v>3784</v>
      </c>
      <c r="D2981" s="9">
        <v>8.793072076E9</v>
      </c>
      <c r="E2981" s="8" t="s">
        <v>16231</v>
      </c>
      <c r="F2981" s="8" t="s">
        <v>4758</v>
      </c>
      <c r="G2981" s="8" t="s">
        <v>16232</v>
      </c>
      <c r="H2981" s="8" t="s">
        <v>3479</v>
      </c>
      <c r="I2981" s="9">
        <v>0.0</v>
      </c>
      <c r="J2981" s="9">
        <v>3230.0</v>
      </c>
      <c r="K2981" s="9">
        <v>3230.0</v>
      </c>
      <c r="L2981" s="9">
        <v>3230.0</v>
      </c>
      <c r="M2981" s="9">
        <v>1966.0</v>
      </c>
      <c r="N2981" s="9">
        <v>190.0</v>
      </c>
      <c r="O2981" s="9">
        <v>1074.0</v>
      </c>
      <c r="P2981" s="8" t="s">
        <v>3480</v>
      </c>
      <c r="Q2981" s="8"/>
      <c r="R2981" s="8"/>
    </row>
    <row r="2982">
      <c r="A2982" s="8" t="s">
        <v>2217</v>
      </c>
      <c r="B2982" s="8" t="s">
        <v>16233</v>
      </c>
      <c r="C2982" s="8" t="s">
        <v>16234</v>
      </c>
      <c r="D2982" s="9">
        <v>9.689928286E9</v>
      </c>
      <c r="E2982" s="8" t="s">
        <v>16235</v>
      </c>
      <c r="F2982" s="8" t="s">
        <v>3608</v>
      </c>
      <c r="G2982" s="8" t="s">
        <v>16236</v>
      </c>
      <c r="H2982" s="8" t="s">
        <v>3479</v>
      </c>
      <c r="I2982" s="9">
        <v>0.0</v>
      </c>
      <c r="J2982" s="9">
        <v>867.0</v>
      </c>
      <c r="K2982" s="9">
        <v>867.0</v>
      </c>
      <c r="L2982" s="9">
        <v>867.0</v>
      </c>
      <c r="M2982" s="9">
        <v>338.0</v>
      </c>
      <c r="N2982" s="9">
        <v>80.0</v>
      </c>
      <c r="O2982" s="9">
        <v>449.0</v>
      </c>
      <c r="P2982" s="8" t="s">
        <v>3480</v>
      </c>
      <c r="Q2982" s="8" t="s">
        <v>16237</v>
      </c>
      <c r="R2982" s="8" t="s">
        <v>16238</v>
      </c>
    </row>
    <row r="2983">
      <c r="A2983" s="8" t="s">
        <v>2218</v>
      </c>
      <c r="B2983" s="8" t="s">
        <v>16239</v>
      </c>
      <c r="C2983" s="8" t="s">
        <v>16240</v>
      </c>
      <c r="D2983" s="9">
        <v>9.763451718E9</v>
      </c>
      <c r="E2983" s="8" t="s">
        <v>16241</v>
      </c>
      <c r="F2983" s="8" t="s">
        <v>3498</v>
      </c>
      <c r="G2983" s="8" t="s">
        <v>16242</v>
      </c>
      <c r="H2983" s="8" t="s">
        <v>3479</v>
      </c>
      <c r="I2983" s="9">
        <v>0.0</v>
      </c>
      <c r="J2983" s="9">
        <v>1911.0</v>
      </c>
      <c r="K2983" s="9">
        <v>1911.0</v>
      </c>
      <c r="L2983" s="9">
        <v>1911.0</v>
      </c>
      <c r="M2983" s="9">
        <v>648.0</v>
      </c>
      <c r="N2983" s="9">
        <v>739.0</v>
      </c>
      <c r="O2983" s="9">
        <v>524.0</v>
      </c>
      <c r="P2983" s="8" t="s">
        <v>3480</v>
      </c>
      <c r="Q2983" s="8"/>
      <c r="R2983" s="8"/>
    </row>
    <row r="2984">
      <c r="A2984" s="8" t="s">
        <v>2219</v>
      </c>
      <c r="B2984" s="8" t="s">
        <v>16243</v>
      </c>
      <c r="C2984" s="8" t="s">
        <v>5113</v>
      </c>
      <c r="D2984" s="9">
        <v>7.50730539E9</v>
      </c>
      <c r="E2984" s="8" t="s">
        <v>16244</v>
      </c>
      <c r="F2984" s="8" t="s">
        <v>4189</v>
      </c>
      <c r="G2984" s="8" t="s">
        <v>16245</v>
      </c>
      <c r="H2984" s="8" t="s">
        <v>3479</v>
      </c>
      <c r="I2984" s="9">
        <v>0.0</v>
      </c>
      <c r="J2984" s="9">
        <v>1787.0</v>
      </c>
      <c r="K2984" s="9">
        <v>1787.0</v>
      </c>
      <c r="L2984" s="9">
        <v>1787.0</v>
      </c>
      <c r="M2984" s="9">
        <v>599.0</v>
      </c>
      <c r="N2984" s="9">
        <v>739.0</v>
      </c>
      <c r="O2984" s="9">
        <v>449.0</v>
      </c>
      <c r="P2984" s="8" t="s">
        <v>3544</v>
      </c>
      <c r="Q2984" s="8"/>
      <c r="R2984" s="8"/>
    </row>
    <row r="2985">
      <c r="A2985" s="8" t="s">
        <v>2220</v>
      </c>
      <c r="B2985" s="8" t="s">
        <v>16246</v>
      </c>
      <c r="C2985" s="8" t="s">
        <v>11477</v>
      </c>
      <c r="D2985" s="9">
        <v>8.830593778E9</v>
      </c>
      <c r="E2985" s="8" t="s">
        <v>11478</v>
      </c>
      <c r="F2985" s="8" t="s">
        <v>3908</v>
      </c>
      <c r="G2985" s="8" t="s">
        <v>16247</v>
      </c>
      <c r="H2985" s="8" t="s">
        <v>3479</v>
      </c>
      <c r="I2985" s="9">
        <v>0.0</v>
      </c>
      <c r="J2985" s="9">
        <v>930.0</v>
      </c>
      <c r="K2985" s="9">
        <v>930.0</v>
      </c>
      <c r="L2985" s="9">
        <v>930.0</v>
      </c>
      <c r="M2985" s="9">
        <v>55.0</v>
      </c>
      <c r="N2985" s="9">
        <v>585.0</v>
      </c>
      <c r="O2985" s="9">
        <v>290.0</v>
      </c>
      <c r="P2985" s="8" t="s">
        <v>3480</v>
      </c>
      <c r="Q2985" s="8"/>
      <c r="R2985" s="8"/>
    </row>
    <row r="2986">
      <c r="A2986" s="8" t="s">
        <v>3179</v>
      </c>
      <c r="B2986" s="8" t="s">
        <v>16248</v>
      </c>
      <c r="C2986" s="8" t="s">
        <v>4359</v>
      </c>
      <c r="D2986" s="9">
        <v>8.010579362E9</v>
      </c>
      <c r="E2986" s="8" t="s">
        <v>9071</v>
      </c>
      <c r="F2986" s="8" t="s">
        <v>4792</v>
      </c>
      <c r="G2986" s="8" t="s">
        <v>16249</v>
      </c>
      <c r="H2986" s="8" t="s">
        <v>3479</v>
      </c>
      <c r="I2986" s="9">
        <v>0.0</v>
      </c>
      <c r="J2986" s="9">
        <v>1350.0</v>
      </c>
      <c r="K2986" s="9">
        <v>1350.0</v>
      </c>
      <c r="L2986" s="9">
        <v>1350.0</v>
      </c>
      <c r="M2986" s="9">
        <v>1350.0</v>
      </c>
      <c r="N2986" s="9">
        <v>0.0</v>
      </c>
      <c r="O2986" s="9">
        <v>0.0</v>
      </c>
      <c r="P2986" s="8" t="s">
        <v>3480</v>
      </c>
      <c r="Q2986" s="8" t="s">
        <v>9073</v>
      </c>
      <c r="R2986" s="8" t="s">
        <v>9074</v>
      </c>
    </row>
    <row r="2987">
      <c r="A2987" s="8" t="s">
        <v>2858</v>
      </c>
      <c r="B2987" s="8" t="s">
        <v>16250</v>
      </c>
      <c r="C2987" s="8" t="s">
        <v>5208</v>
      </c>
      <c r="D2987" s="9">
        <v>8.867799921E9</v>
      </c>
      <c r="E2987" s="8" t="s">
        <v>5209</v>
      </c>
      <c r="F2987" s="8" t="s">
        <v>3853</v>
      </c>
      <c r="G2987" s="8" t="s">
        <v>16251</v>
      </c>
      <c r="H2987" s="8" t="s">
        <v>3479</v>
      </c>
      <c r="I2987" s="9">
        <v>0.0</v>
      </c>
      <c r="J2987" s="9">
        <v>2386.0</v>
      </c>
      <c r="K2987" s="9">
        <v>2386.0</v>
      </c>
      <c r="L2987" s="9">
        <v>2386.0</v>
      </c>
      <c r="M2987" s="9">
        <v>873.0</v>
      </c>
      <c r="N2987" s="9">
        <v>739.0</v>
      </c>
      <c r="O2987" s="9">
        <v>774.0</v>
      </c>
      <c r="P2987" s="8" t="s">
        <v>3480</v>
      </c>
      <c r="Q2987" s="8" t="s">
        <v>5211</v>
      </c>
      <c r="R2987" s="8" t="s">
        <v>5212</v>
      </c>
    </row>
    <row r="2988">
      <c r="A2988" s="8" t="s">
        <v>3191</v>
      </c>
      <c r="B2988" s="8" t="s">
        <v>16252</v>
      </c>
      <c r="C2988" s="8" t="s">
        <v>3762</v>
      </c>
      <c r="D2988" s="9">
        <v>8.788252113E9</v>
      </c>
      <c r="E2988" s="8" t="s">
        <v>3763</v>
      </c>
      <c r="F2988" s="8" t="s">
        <v>3608</v>
      </c>
      <c r="G2988" s="8" t="s">
        <v>4036</v>
      </c>
      <c r="H2988" s="8" t="s">
        <v>3479</v>
      </c>
      <c r="I2988" s="9">
        <v>0.0</v>
      </c>
      <c r="J2988" s="9">
        <v>1421.0</v>
      </c>
      <c r="K2988" s="9">
        <v>1421.0</v>
      </c>
      <c r="L2988" s="9">
        <v>1421.0</v>
      </c>
      <c r="M2988" s="9">
        <v>233.0</v>
      </c>
      <c r="N2988" s="9">
        <v>739.0</v>
      </c>
      <c r="O2988" s="9">
        <v>449.0</v>
      </c>
      <c r="P2988" s="8" t="s">
        <v>3480</v>
      </c>
      <c r="Q2988" s="8"/>
      <c r="R2988" s="8"/>
    </row>
    <row r="2989">
      <c r="A2989" s="8" t="s">
        <v>2859</v>
      </c>
      <c r="B2989" s="8" t="s">
        <v>16253</v>
      </c>
      <c r="C2989" s="8" t="s">
        <v>12454</v>
      </c>
      <c r="D2989" s="9">
        <v>9.7667228E9</v>
      </c>
      <c r="E2989" s="8" t="s">
        <v>16254</v>
      </c>
      <c r="F2989" s="8" t="s">
        <v>3853</v>
      </c>
      <c r="G2989" s="8" t="s">
        <v>16255</v>
      </c>
      <c r="H2989" s="8" t="s">
        <v>3479</v>
      </c>
      <c r="I2989" s="9">
        <v>0.0</v>
      </c>
      <c r="J2989" s="9">
        <v>1268.0</v>
      </c>
      <c r="K2989" s="9">
        <v>1268.0</v>
      </c>
      <c r="L2989" s="9">
        <v>1268.0</v>
      </c>
      <c r="M2989" s="9">
        <v>80.0</v>
      </c>
      <c r="N2989" s="9">
        <v>739.0</v>
      </c>
      <c r="O2989" s="9">
        <v>449.0</v>
      </c>
      <c r="P2989" s="8" t="s">
        <v>3480</v>
      </c>
      <c r="Q2989" s="8"/>
      <c r="R2989" s="8" t="s">
        <v>16256</v>
      </c>
    </row>
    <row r="2990">
      <c r="A2990" s="8" t="s">
        <v>2860</v>
      </c>
      <c r="B2990" s="8" t="s">
        <v>16257</v>
      </c>
      <c r="C2990" s="8" t="s">
        <v>16258</v>
      </c>
      <c r="D2990" s="9">
        <v>9.76203871E9</v>
      </c>
      <c r="E2990" s="8" t="s">
        <v>16259</v>
      </c>
      <c r="F2990" s="8" t="s">
        <v>4574</v>
      </c>
      <c r="G2990" s="8" t="s">
        <v>16260</v>
      </c>
      <c r="H2990" s="8" t="s">
        <v>3479</v>
      </c>
      <c r="I2990" s="9">
        <v>0.0</v>
      </c>
      <c r="J2990" s="9">
        <v>1876.0</v>
      </c>
      <c r="K2990" s="9">
        <v>1876.0</v>
      </c>
      <c r="L2990" s="9">
        <v>1876.0</v>
      </c>
      <c r="M2990" s="9">
        <v>613.0</v>
      </c>
      <c r="N2990" s="9">
        <v>739.0</v>
      </c>
      <c r="O2990" s="9">
        <v>524.0</v>
      </c>
      <c r="P2990" s="8" t="s">
        <v>3480</v>
      </c>
      <c r="Q2990" s="8" t="s">
        <v>16261</v>
      </c>
      <c r="R2990" s="8" t="s">
        <v>16262</v>
      </c>
    </row>
    <row r="2991">
      <c r="A2991" s="8" t="s">
        <v>3195</v>
      </c>
      <c r="B2991" s="8" t="s">
        <v>16263</v>
      </c>
      <c r="C2991" s="8" t="s">
        <v>8582</v>
      </c>
      <c r="D2991" s="9">
        <v>8.975973107E9</v>
      </c>
      <c r="E2991" s="8" t="s">
        <v>16264</v>
      </c>
      <c r="F2991" s="8" t="s">
        <v>3523</v>
      </c>
      <c r="G2991" s="8" t="s">
        <v>10576</v>
      </c>
      <c r="H2991" s="8" t="s">
        <v>3479</v>
      </c>
      <c r="I2991" s="9">
        <v>0.0</v>
      </c>
      <c r="J2991" s="9">
        <v>2706.0</v>
      </c>
      <c r="K2991" s="9">
        <v>2706.0</v>
      </c>
      <c r="L2991" s="9">
        <v>2706.0</v>
      </c>
      <c r="M2991" s="9">
        <v>1268.0</v>
      </c>
      <c r="N2991" s="9">
        <v>739.0</v>
      </c>
      <c r="O2991" s="9">
        <v>699.0</v>
      </c>
      <c r="P2991" s="8" t="s">
        <v>3519</v>
      </c>
      <c r="Q2991" s="8"/>
      <c r="R2991" s="8"/>
    </row>
    <row r="2992">
      <c r="A2992" s="8" t="s">
        <v>3196</v>
      </c>
      <c r="B2992" s="8" t="s">
        <v>16265</v>
      </c>
      <c r="C2992" s="8" t="s">
        <v>14301</v>
      </c>
      <c r="D2992" s="9">
        <v>9.821890538E9</v>
      </c>
      <c r="E2992" s="8" t="s">
        <v>14302</v>
      </c>
      <c r="F2992" s="8" t="s">
        <v>3486</v>
      </c>
      <c r="G2992" s="8" t="s">
        <v>16266</v>
      </c>
      <c r="H2992" s="8" t="s">
        <v>3479</v>
      </c>
      <c r="I2992" s="9">
        <v>0.0</v>
      </c>
      <c r="J2992" s="9">
        <v>1648.0</v>
      </c>
      <c r="K2992" s="9">
        <v>1648.0</v>
      </c>
      <c r="L2992" s="9">
        <v>1648.0</v>
      </c>
      <c r="M2992" s="9">
        <v>460.0</v>
      </c>
      <c r="N2992" s="9">
        <v>739.0</v>
      </c>
      <c r="O2992" s="9">
        <v>449.0</v>
      </c>
      <c r="P2992" s="8" t="s">
        <v>3544</v>
      </c>
      <c r="Q2992" s="8" t="s">
        <v>14304</v>
      </c>
      <c r="R2992" s="8" t="s">
        <v>14305</v>
      </c>
    </row>
    <row r="2993">
      <c r="A2993" s="8" t="s">
        <v>2869</v>
      </c>
      <c r="B2993" s="8" t="s">
        <v>16267</v>
      </c>
      <c r="C2993" s="8" t="s">
        <v>8338</v>
      </c>
      <c r="D2993" s="9">
        <v>9.763714117E9</v>
      </c>
      <c r="E2993" s="8" t="s">
        <v>8339</v>
      </c>
      <c r="F2993" s="8" t="s">
        <v>3608</v>
      </c>
      <c r="G2993" s="8" t="s">
        <v>16268</v>
      </c>
      <c r="H2993" s="8" t="s">
        <v>3479</v>
      </c>
      <c r="I2993" s="9">
        <v>0.0</v>
      </c>
      <c r="J2993" s="9">
        <v>1550.0</v>
      </c>
      <c r="K2993" s="9">
        <v>1550.0</v>
      </c>
      <c r="L2993" s="9">
        <v>1550.0</v>
      </c>
      <c r="M2993" s="9">
        <v>1550.0</v>
      </c>
      <c r="N2993" s="9">
        <v>0.0</v>
      </c>
      <c r="O2993" s="9">
        <v>0.0</v>
      </c>
      <c r="P2993" s="8" t="s">
        <v>3480</v>
      </c>
      <c r="Q2993" s="8" t="s">
        <v>8341</v>
      </c>
      <c r="R2993" s="8" t="s">
        <v>8342</v>
      </c>
    </row>
    <row r="2994">
      <c r="A2994" s="8" t="s">
        <v>3197</v>
      </c>
      <c r="B2994" s="8" t="s">
        <v>16269</v>
      </c>
      <c r="C2994" s="8" t="s">
        <v>6103</v>
      </c>
      <c r="D2994" s="9">
        <v>8.668460218E9</v>
      </c>
      <c r="E2994" s="8" t="s">
        <v>12488</v>
      </c>
      <c r="F2994" s="8" t="s">
        <v>3589</v>
      </c>
      <c r="G2994" s="8" t="s">
        <v>12489</v>
      </c>
      <c r="H2994" s="8" t="s">
        <v>3479</v>
      </c>
      <c r="I2994" s="9">
        <v>0.0</v>
      </c>
      <c r="J2994" s="9">
        <v>2126.0</v>
      </c>
      <c r="K2994" s="9">
        <v>2126.0</v>
      </c>
      <c r="L2994" s="9">
        <v>2126.0</v>
      </c>
      <c r="M2994" s="9">
        <v>863.0</v>
      </c>
      <c r="N2994" s="9">
        <v>739.0</v>
      </c>
      <c r="O2994" s="9">
        <v>524.0</v>
      </c>
      <c r="P2994" s="8" t="s">
        <v>3480</v>
      </c>
      <c r="Q2994" s="8"/>
      <c r="R2994" s="8"/>
    </row>
    <row r="2995">
      <c r="A2995" s="8" t="s">
        <v>2871</v>
      </c>
      <c r="B2995" s="8" t="s">
        <v>16270</v>
      </c>
      <c r="C2995" s="8" t="s">
        <v>16271</v>
      </c>
      <c r="D2995" s="9">
        <v>9.609689494E9</v>
      </c>
      <c r="E2995" s="8" t="s">
        <v>16272</v>
      </c>
      <c r="F2995" s="8" t="s">
        <v>4454</v>
      </c>
      <c r="G2995" s="8" t="s">
        <v>3494</v>
      </c>
      <c r="H2995" s="8" t="s">
        <v>3479</v>
      </c>
      <c r="I2995" s="9">
        <v>0.0</v>
      </c>
      <c r="J2995" s="9">
        <v>2768.0</v>
      </c>
      <c r="K2995" s="9">
        <v>2768.0</v>
      </c>
      <c r="L2995" s="9">
        <v>2768.0</v>
      </c>
      <c r="M2995" s="9">
        <v>1580.0</v>
      </c>
      <c r="N2995" s="9">
        <v>739.0</v>
      </c>
      <c r="O2995" s="9">
        <v>449.0</v>
      </c>
      <c r="P2995" s="8" t="s">
        <v>3480</v>
      </c>
      <c r="Q2995" s="8"/>
      <c r="R2995" s="8"/>
    </row>
    <row r="2996">
      <c r="A2996" s="8" t="s">
        <v>2870</v>
      </c>
      <c r="B2996" s="8" t="s">
        <v>16273</v>
      </c>
      <c r="C2996" s="8" t="s">
        <v>16027</v>
      </c>
      <c r="D2996" s="9">
        <v>7.038897122E9</v>
      </c>
      <c r="E2996" s="8" t="s">
        <v>16028</v>
      </c>
      <c r="F2996" s="8" t="s">
        <v>6964</v>
      </c>
      <c r="G2996" s="8" t="s">
        <v>16274</v>
      </c>
      <c r="H2996" s="8" t="s">
        <v>3479</v>
      </c>
      <c r="I2996" s="9">
        <v>0.0</v>
      </c>
      <c r="J2996" s="9">
        <v>1550.0</v>
      </c>
      <c r="K2996" s="9">
        <v>1550.0</v>
      </c>
      <c r="L2996" s="9">
        <v>1550.0</v>
      </c>
      <c r="M2996" s="9">
        <v>1550.0</v>
      </c>
      <c r="N2996" s="9">
        <v>0.0</v>
      </c>
      <c r="O2996" s="9">
        <v>0.0</v>
      </c>
      <c r="P2996" s="8" t="s">
        <v>3480</v>
      </c>
      <c r="Q2996" s="8" t="s">
        <v>16030</v>
      </c>
      <c r="R2996" s="8" t="s">
        <v>16031</v>
      </c>
    </row>
    <row r="2997">
      <c r="A2997" s="8" t="s">
        <v>2873</v>
      </c>
      <c r="B2997" s="8" t="s">
        <v>16275</v>
      </c>
      <c r="C2997" s="8" t="s">
        <v>16276</v>
      </c>
      <c r="D2997" s="9">
        <v>9.860935033E9</v>
      </c>
      <c r="E2997" s="8" t="s">
        <v>16277</v>
      </c>
      <c r="F2997" s="8" t="s">
        <v>16278</v>
      </c>
      <c r="G2997" s="8" t="s">
        <v>16279</v>
      </c>
      <c r="H2997" s="8" t="s">
        <v>3479</v>
      </c>
      <c r="I2997" s="9">
        <v>0.0</v>
      </c>
      <c r="J2997" s="9">
        <v>1644.0</v>
      </c>
      <c r="K2997" s="9">
        <v>1644.0</v>
      </c>
      <c r="L2997" s="9">
        <v>1644.0</v>
      </c>
      <c r="M2997" s="9">
        <v>145.0</v>
      </c>
      <c r="N2997" s="9">
        <v>900.0</v>
      </c>
      <c r="O2997" s="9">
        <v>599.0</v>
      </c>
      <c r="P2997" s="8" t="s">
        <v>3480</v>
      </c>
      <c r="Q2997" s="8"/>
      <c r="R2997" s="8"/>
    </row>
    <row r="2998">
      <c r="A2998" s="8" t="s">
        <v>2874</v>
      </c>
      <c r="B2998" s="8" t="s">
        <v>16280</v>
      </c>
      <c r="C2998" s="8" t="s">
        <v>5703</v>
      </c>
      <c r="D2998" s="9">
        <v>7.415479875E9</v>
      </c>
      <c r="E2998" s="8" t="s">
        <v>16281</v>
      </c>
      <c r="F2998" s="8" t="s">
        <v>3821</v>
      </c>
      <c r="G2998" s="8" t="s">
        <v>16282</v>
      </c>
      <c r="H2998" s="8" t="s">
        <v>3479</v>
      </c>
      <c r="I2998" s="9">
        <v>0.0</v>
      </c>
      <c r="J2998" s="9">
        <v>2117.0</v>
      </c>
      <c r="K2998" s="9">
        <v>2117.0</v>
      </c>
      <c r="L2998" s="9">
        <v>2117.0</v>
      </c>
      <c r="M2998" s="9">
        <v>854.0</v>
      </c>
      <c r="N2998" s="9">
        <v>739.0</v>
      </c>
      <c r="O2998" s="9">
        <v>524.0</v>
      </c>
      <c r="P2998" s="8" t="s">
        <v>3480</v>
      </c>
      <c r="Q2998" s="8"/>
      <c r="R2998" s="8"/>
    </row>
    <row r="2999">
      <c r="A2999" s="8" t="s">
        <v>975</v>
      </c>
      <c r="B2999" s="8" t="s">
        <v>16283</v>
      </c>
      <c r="C2999" s="8" t="s">
        <v>5116</v>
      </c>
      <c r="D2999" s="9">
        <v>9.766611011E9</v>
      </c>
      <c r="E2999" s="8" t="s">
        <v>5117</v>
      </c>
      <c r="F2999" s="8" t="s">
        <v>3601</v>
      </c>
      <c r="G2999" s="8" t="s">
        <v>16284</v>
      </c>
      <c r="H2999" s="8" t="s">
        <v>3479</v>
      </c>
      <c r="I2999" s="9">
        <v>0.0</v>
      </c>
      <c r="J2999" s="9">
        <v>2793.0</v>
      </c>
      <c r="K2999" s="9">
        <v>2793.0</v>
      </c>
      <c r="L2999" s="9">
        <v>2793.0</v>
      </c>
      <c r="M2999" s="9">
        <v>1605.0</v>
      </c>
      <c r="N2999" s="9">
        <v>739.0</v>
      </c>
      <c r="O2999" s="9">
        <v>449.0</v>
      </c>
      <c r="P2999" s="8" t="s">
        <v>3544</v>
      </c>
      <c r="Q2999" s="8" t="s">
        <v>5119</v>
      </c>
      <c r="R2999" s="8"/>
    </row>
    <row r="3000">
      <c r="A3000" s="8" t="s">
        <v>2875</v>
      </c>
      <c r="B3000" s="8" t="s">
        <v>16285</v>
      </c>
      <c r="C3000" s="8" t="s">
        <v>16286</v>
      </c>
      <c r="D3000" s="9">
        <v>8.806741535E9</v>
      </c>
      <c r="E3000" s="8" t="s">
        <v>16287</v>
      </c>
      <c r="F3000" s="8" t="s">
        <v>3608</v>
      </c>
      <c r="G3000" s="8" t="s">
        <v>16288</v>
      </c>
      <c r="H3000" s="8" t="s">
        <v>3479</v>
      </c>
      <c r="I3000" s="9">
        <v>0.0</v>
      </c>
      <c r="J3000" s="9">
        <v>1528.0</v>
      </c>
      <c r="K3000" s="9">
        <v>1528.0</v>
      </c>
      <c r="L3000" s="9">
        <v>1528.0</v>
      </c>
      <c r="M3000" s="9">
        <v>340.0</v>
      </c>
      <c r="N3000" s="9">
        <v>739.0</v>
      </c>
      <c r="O3000" s="9">
        <v>449.0</v>
      </c>
      <c r="P3000" s="8" t="s">
        <v>3480</v>
      </c>
      <c r="Q3000" s="8"/>
      <c r="R3000" s="8"/>
    </row>
    <row r="3001">
      <c r="A3001" s="8" t="s">
        <v>2876</v>
      </c>
      <c r="B3001" s="8" t="s">
        <v>16289</v>
      </c>
      <c r="C3001" s="8" t="s">
        <v>16290</v>
      </c>
      <c r="D3001" s="9">
        <v>9.765202116E9</v>
      </c>
      <c r="E3001" s="8" t="s">
        <v>16291</v>
      </c>
      <c r="F3001" s="8" t="s">
        <v>5447</v>
      </c>
      <c r="G3001" s="8" t="s">
        <v>3494</v>
      </c>
      <c r="H3001" s="8" t="s">
        <v>3479</v>
      </c>
      <c r="I3001" s="9">
        <v>0.0</v>
      </c>
      <c r="J3001" s="9">
        <v>1474.0</v>
      </c>
      <c r="K3001" s="9">
        <v>1474.0</v>
      </c>
      <c r="L3001" s="9">
        <v>1474.0</v>
      </c>
      <c r="M3001" s="9">
        <v>620.0</v>
      </c>
      <c r="N3001" s="9">
        <v>0.0</v>
      </c>
      <c r="O3001" s="9">
        <v>854.0</v>
      </c>
      <c r="P3001" s="8" t="s">
        <v>3480</v>
      </c>
      <c r="Q3001" s="8" t="s">
        <v>16292</v>
      </c>
      <c r="R3001" s="8" t="s">
        <v>16293</v>
      </c>
    </row>
    <row r="3002">
      <c r="A3002" s="8" t="s">
        <v>2872</v>
      </c>
      <c r="B3002" s="8" t="s">
        <v>16294</v>
      </c>
      <c r="C3002" s="8" t="s">
        <v>5389</v>
      </c>
      <c r="D3002" s="9">
        <v>8.552000758E9</v>
      </c>
      <c r="E3002" s="8" t="s">
        <v>16295</v>
      </c>
      <c r="F3002" s="8" t="s">
        <v>3523</v>
      </c>
      <c r="G3002" s="8" t="s">
        <v>16296</v>
      </c>
      <c r="H3002" s="8" t="s">
        <v>3479</v>
      </c>
      <c r="I3002" s="9">
        <v>0.0</v>
      </c>
      <c r="J3002" s="9">
        <v>1866.0</v>
      </c>
      <c r="K3002" s="9">
        <v>1866.0</v>
      </c>
      <c r="L3002" s="9">
        <v>1866.0</v>
      </c>
      <c r="M3002" s="9">
        <v>603.0</v>
      </c>
      <c r="N3002" s="9">
        <v>739.0</v>
      </c>
      <c r="O3002" s="9">
        <v>524.0</v>
      </c>
      <c r="P3002" s="8" t="s">
        <v>3480</v>
      </c>
      <c r="Q3002" s="8" t="s">
        <v>16297</v>
      </c>
      <c r="R3002" s="8"/>
    </row>
    <row r="3003">
      <c r="A3003" s="8" t="s">
        <v>2883</v>
      </c>
      <c r="B3003" s="8" t="s">
        <v>16298</v>
      </c>
      <c r="C3003" s="8" t="s">
        <v>7237</v>
      </c>
      <c r="D3003" s="9">
        <v>9.373825616E9</v>
      </c>
      <c r="E3003" s="8" t="s">
        <v>7238</v>
      </c>
      <c r="F3003" s="8" t="s">
        <v>3977</v>
      </c>
      <c r="G3003" s="8" t="s">
        <v>16299</v>
      </c>
      <c r="H3003" s="8" t="s">
        <v>3479</v>
      </c>
      <c r="I3003" s="9">
        <v>0.0</v>
      </c>
      <c r="J3003" s="9">
        <v>2000.0</v>
      </c>
      <c r="K3003" s="9">
        <v>2000.0</v>
      </c>
      <c r="L3003" s="9">
        <v>2000.0</v>
      </c>
      <c r="M3003" s="9">
        <v>300.0</v>
      </c>
      <c r="N3003" s="9">
        <v>926.0</v>
      </c>
      <c r="O3003" s="9">
        <v>774.0</v>
      </c>
      <c r="P3003" s="8" t="s">
        <v>3480</v>
      </c>
      <c r="Q3003" s="8" t="s">
        <v>7240</v>
      </c>
      <c r="R3003" s="8" t="s">
        <v>7241</v>
      </c>
    </row>
    <row r="3004">
      <c r="A3004" s="8" t="s">
        <v>100</v>
      </c>
      <c r="B3004" s="8" t="s">
        <v>16300</v>
      </c>
      <c r="C3004" s="8" t="s">
        <v>16301</v>
      </c>
      <c r="D3004" s="9">
        <v>8.484849999E9</v>
      </c>
      <c r="E3004" s="8" t="s">
        <v>5518</v>
      </c>
      <c r="F3004" s="8" t="s">
        <v>3589</v>
      </c>
      <c r="G3004" s="8" t="s">
        <v>4036</v>
      </c>
      <c r="H3004" s="8" t="s">
        <v>3479</v>
      </c>
      <c r="I3004" s="9">
        <v>0.0</v>
      </c>
      <c r="J3004" s="9">
        <v>1150.0</v>
      </c>
      <c r="K3004" s="9">
        <v>1150.0</v>
      </c>
      <c r="L3004" s="9">
        <v>1150.0</v>
      </c>
      <c r="M3004" s="9">
        <v>1150.0</v>
      </c>
      <c r="N3004" s="9">
        <v>0.0</v>
      </c>
      <c r="O3004" s="9">
        <v>0.0</v>
      </c>
      <c r="P3004" s="8" t="s">
        <v>3480</v>
      </c>
      <c r="Q3004" s="8" t="s">
        <v>5520</v>
      </c>
      <c r="R3004" s="8" t="s">
        <v>5521</v>
      </c>
    </row>
    <row r="3005">
      <c r="A3005" s="8" t="s">
        <v>1370</v>
      </c>
      <c r="B3005" s="8" t="s">
        <v>16302</v>
      </c>
      <c r="C3005" s="8" t="s">
        <v>16301</v>
      </c>
      <c r="D3005" s="9">
        <v>8.484849999E9</v>
      </c>
      <c r="E3005" s="8" t="s">
        <v>5518</v>
      </c>
      <c r="F3005" s="8" t="s">
        <v>3589</v>
      </c>
      <c r="G3005" s="8" t="s">
        <v>16303</v>
      </c>
      <c r="H3005" s="8" t="s">
        <v>3479</v>
      </c>
      <c r="I3005" s="9">
        <v>0.0</v>
      </c>
      <c r="J3005" s="9">
        <v>1791.0</v>
      </c>
      <c r="K3005" s="9">
        <v>1791.0</v>
      </c>
      <c r="L3005" s="9">
        <v>1791.0</v>
      </c>
      <c r="M3005" s="9">
        <v>528.0</v>
      </c>
      <c r="N3005" s="9">
        <v>739.0</v>
      </c>
      <c r="O3005" s="9">
        <v>524.0</v>
      </c>
      <c r="P3005" s="8" t="s">
        <v>3480</v>
      </c>
      <c r="Q3005" s="8" t="s">
        <v>5520</v>
      </c>
      <c r="R3005" s="8" t="s">
        <v>5521</v>
      </c>
    </row>
    <row r="3006">
      <c r="A3006" s="8" t="s">
        <v>3194</v>
      </c>
      <c r="B3006" s="8" t="s">
        <v>16304</v>
      </c>
      <c r="C3006" s="8" t="s">
        <v>16305</v>
      </c>
      <c r="D3006" s="9">
        <v>9.823920709E9</v>
      </c>
      <c r="E3006" s="8" t="s">
        <v>16306</v>
      </c>
      <c r="F3006" s="8" t="s">
        <v>3517</v>
      </c>
      <c r="G3006" s="8" t="s">
        <v>16307</v>
      </c>
      <c r="H3006" s="8" t="s">
        <v>3479</v>
      </c>
      <c r="I3006" s="9">
        <v>0.0</v>
      </c>
      <c r="J3006" s="9">
        <v>3353.0</v>
      </c>
      <c r="K3006" s="9">
        <v>3353.0</v>
      </c>
      <c r="L3006" s="9">
        <v>3353.0</v>
      </c>
      <c r="M3006" s="9">
        <v>2065.0</v>
      </c>
      <c r="N3006" s="9">
        <v>739.0</v>
      </c>
      <c r="O3006" s="9">
        <v>549.0</v>
      </c>
      <c r="P3006" s="8" t="s">
        <v>3480</v>
      </c>
      <c r="Q3006" s="8"/>
      <c r="R3006" s="8"/>
    </row>
    <row r="3007">
      <c r="A3007" s="8" t="s">
        <v>2878</v>
      </c>
      <c r="B3007" s="8" t="s">
        <v>16308</v>
      </c>
      <c r="C3007" s="8" t="s">
        <v>10517</v>
      </c>
      <c r="D3007" s="9">
        <v>9.027778747E9</v>
      </c>
      <c r="E3007" s="8" t="s">
        <v>10518</v>
      </c>
      <c r="F3007" s="8" t="s">
        <v>3608</v>
      </c>
      <c r="G3007" s="8" t="s">
        <v>16309</v>
      </c>
      <c r="H3007" s="8" t="s">
        <v>3479</v>
      </c>
      <c r="I3007" s="9">
        <v>0.0</v>
      </c>
      <c r="J3007" s="9">
        <v>1268.0</v>
      </c>
      <c r="K3007" s="9">
        <v>1268.0</v>
      </c>
      <c r="L3007" s="9">
        <v>1268.0</v>
      </c>
      <c r="M3007" s="9">
        <v>80.0</v>
      </c>
      <c r="N3007" s="9">
        <v>739.0</v>
      </c>
      <c r="O3007" s="9">
        <v>449.0</v>
      </c>
      <c r="P3007" s="8" t="s">
        <v>3480</v>
      </c>
      <c r="Q3007" s="8" t="s">
        <v>10520</v>
      </c>
      <c r="R3007" s="8" t="s">
        <v>10521</v>
      </c>
    </row>
    <row r="3008">
      <c r="A3008" s="8" t="s">
        <v>2879</v>
      </c>
      <c r="B3008" s="8" t="s">
        <v>16310</v>
      </c>
      <c r="C3008" s="8" t="s">
        <v>4338</v>
      </c>
      <c r="D3008" s="9">
        <v>8.208129989E9</v>
      </c>
      <c r="E3008" s="8" t="s">
        <v>4339</v>
      </c>
      <c r="F3008" s="8" t="s">
        <v>3993</v>
      </c>
      <c r="G3008" s="8" t="s">
        <v>16311</v>
      </c>
      <c r="H3008" s="8" t="s">
        <v>3479</v>
      </c>
      <c r="I3008" s="9">
        <v>0.0</v>
      </c>
      <c r="J3008" s="9">
        <v>2053.0</v>
      </c>
      <c r="K3008" s="9">
        <v>2053.0</v>
      </c>
      <c r="L3008" s="9">
        <v>2053.0</v>
      </c>
      <c r="M3008" s="9">
        <v>670.0</v>
      </c>
      <c r="N3008" s="9">
        <v>784.0</v>
      </c>
      <c r="O3008" s="9">
        <v>599.0</v>
      </c>
      <c r="P3008" s="8" t="s">
        <v>3480</v>
      </c>
      <c r="Q3008" s="8" t="s">
        <v>4341</v>
      </c>
      <c r="R3008" s="8" t="s">
        <v>4342</v>
      </c>
    </row>
    <row r="3009">
      <c r="A3009" s="8" t="s">
        <v>2880</v>
      </c>
      <c r="B3009" s="8" t="s">
        <v>16312</v>
      </c>
      <c r="C3009" s="8" t="s">
        <v>16313</v>
      </c>
      <c r="D3009" s="9">
        <v>9.420794808E9</v>
      </c>
      <c r="E3009" s="8" t="s">
        <v>16314</v>
      </c>
      <c r="F3009" s="8" t="s">
        <v>3509</v>
      </c>
      <c r="G3009" s="8" t="s">
        <v>6923</v>
      </c>
      <c r="H3009" s="8" t="s">
        <v>3479</v>
      </c>
      <c r="I3009" s="9">
        <v>0.0</v>
      </c>
      <c r="J3009" s="9">
        <v>1378.0</v>
      </c>
      <c r="K3009" s="9">
        <v>1378.0</v>
      </c>
      <c r="L3009" s="9">
        <v>1378.0</v>
      </c>
      <c r="M3009" s="9">
        <v>190.0</v>
      </c>
      <c r="N3009" s="9">
        <v>739.0</v>
      </c>
      <c r="O3009" s="9">
        <v>449.0</v>
      </c>
      <c r="P3009" s="8" t="s">
        <v>3480</v>
      </c>
      <c r="Q3009" s="8" t="s">
        <v>16315</v>
      </c>
      <c r="R3009" s="8" t="s">
        <v>16316</v>
      </c>
    </row>
    <row r="3010">
      <c r="A3010" s="8" t="s">
        <v>2881</v>
      </c>
      <c r="B3010" s="8" t="s">
        <v>16317</v>
      </c>
      <c r="C3010" s="8" t="s">
        <v>16318</v>
      </c>
      <c r="D3010" s="9">
        <v>9.40424249E9</v>
      </c>
      <c r="E3010" s="8" t="s">
        <v>16319</v>
      </c>
      <c r="F3010" s="8" t="s">
        <v>16320</v>
      </c>
      <c r="G3010" s="8" t="s">
        <v>16321</v>
      </c>
      <c r="H3010" s="8" t="s">
        <v>3479</v>
      </c>
      <c r="I3010" s="9">
        <v>0.0</v>
      </c>
      <c r="J3010" s="9">
        <v>1731.0</v>
      </c>
      <c r="K3010" s="9">
        <v>1731.0</v>
      </c>
      <c r="L3010" s="9">
        <v>1731.0</v>
      </c>
      <c r="M3010" s="9">
        <v>232.0</v>
      </c>
      <c r="N3010" s="9">
        <v>800.0</v>
      </c>
      <c r="O3010" s="9">
        <v>699.0</v>
      </c>
      <c r="P3010" s="8" t="s">
        <v>3480</v>
      </c>
      <c r="Q3010" s="8"/>
      <c r="R3010" s="8"/>
    </row>
    <row r="3011">
      <c r="A3011" s="8" t="s">
        <v>2877</v>
      </c>
      <c r="B3011" s="8" t="s">
        <v>16322</v>
      </c>
      <c r="C3011" s="8" t="s">
        <v>16323</v>
      </c>
      <c r="D3011" s="9">
        <v>9.763113619E9</v>
      </c>
      <c r="E3011" s="8" t="s">
        <v>16324</v>
      </c>
      <c r="F3011" s="8" t="s">
        <v>3821</v>
      </c>
      <c r="G3011" s="8" t="s">
        <v>16325</v>
      </c>
      <c r="H3011" s="8" t="s">
        <v>3479</v>
      </c>
      <c r="I3011" s="9">
        <v>0.0</v>
      </c>
      <c r="J3011" s="9">
        <v>2313.0</v>
      </c>
      <c r="K3011" s="9">
        <v>2313.0</v>
      </c>
      <c r="L3011" s="9">
        <v>2313.0</v>
      </c>
      <c r="M3011" s="9">
        <v>1050.0</v>
      </c>
      <c r="N3011" s="9">
        <v>739.0</v>
      </c>
      <c r="O3011" s="9">
        <v>524.0</v>
      </c>
      <c r="P3011" s="8" t="s">
        <v>3480</v>
      </c>
      <c r="Q3011" s="8"/>
      <c r="R3011" s="8" t="s">
        <v>16326</v>
      </c>
    </row>
    <row r="3012">
      <c r="A3012" s="8" t="s">
        <v>3154</v>
      </c>
      <c r="B3012" s="8" t="s">
        <v>16327</v>
      </c>
      <c r="C3012" s="8" t="s">
        <v>16328</v>
      </c>
      <c r="D3012" s="9">
        <v>9.893727778E9</v>
      </c>
      <c r="E3012" s="8" t="s">
        <v>16329</v>
      </c>
      <c r="F3012" s="8" t="s">
        <v>5366</v>
      </c>
      <c r="G3012" s="8" t="s">
        <v>16330</v>
      </c>
      <c r="H3012" s="8" t="s">
        <v>3479</v>
      </c>
      <c r="I3012" s="9">
        <v>0.0</v>
      </c>
      <c r="J3012" s="9">
        <v>2129.0</v>
      </c>
      <c r="K3012" s="9">
        <v>2129.0</v>
      </c>
      <c r="L3012" s="9">
        <v>2129.0</v>
      </c>
      <c r="M3012" s="9">
        <v>430.0</v>
      </c>
      <c r="N3012" s="9">
        <v>900.0</v>
      </c>
      <c r="O3012" s="9">
        <v>799.0</v>
      </c>
      <c r="P3012" s="8" t="s">
        <v>3480</v>
      </c>
      <c r="Q3012" s="8"/>
      <c r="R3012" s="8"/>
    </row>
    <row r="3013">
      <c r="A3013" s="8" t="s">
        <v>2882</v>
      </c>
      <c r="B3013" s="8" t="s">
        <v>16331</v>
      </c>
      <c r="C3013" s="8" t="s">
        <v>4845</v>
      </c>
      <c r="D3013" s="9">
        <v>8.983300506E9</v>
      </c>
      <c r="E3013" s="8" t="s">
        <v>16332</v>
      </c>
      <c r="F3013" s="8" t="s">
        <v>15094</v>
      </c>
      <c r="G3013" s="8" t="s">
        <v>16333</v>
      </c>
      <c r="H3013" s="8" t="s">
        <v>3479</v>
      </c>
      <c r="I3013" s="9">
        <v>0.0</v>
      </c>
      <c r="J3013" s="9">
        <v>2105.0</v>
      </c>
      <c r="K3013" s="9">
        <v>2105.0</v>
      </c>
      <c r="L3013" s="9">
        <v>2105.0</v>
      </c>
      <c r="M3013" s="9">
        <v>606.0</v>
      </c>
      <c r="N3013" s="9">
        <v>900.0</v>
      </c>
      <c r="O3013" s="9">
        <v>599.0</v>
      </c>
      <c r="P3013" s="8" t="s">
        <v>3480</v>
      </c>
      <c r="Q3013" s="8"/>
      <c r="R3013" s="8"/>
    </row>
    <row r="3014">
      <c r="A3014" s="8" t="s">
        <v>101</v>
      </c>
      <c r="B3014" s="8" t="s">
        <v>16334</v>
      </c>
      <c r="C3014" s="8" t="s">
        <v>16335</v>
      </c>
      <c r="D3014" s="9">
        <v>6.261004099E9</v>
      </c>
      <c r="E3014" s="8" t="s">
        <v>16336</v>
      </c>
      <c r="F3014" s="8" t="s">
        <v>3498</v>
      </c>
      <c r="G3014" s="8" t="s">
        <v>16337</v>
      </c>
      <c r="H3014" s="8" t="s">
        <v>3479</v>
      </c>
      <c r="I3014" s="9">
        <v>0.0</v>
      </c>
      <c r="J3014" s="9">
        <v>298.0</v>
      </c>
      <c r="K3014" s="9">
        <v>298.0</v>
      </c>
      <c r="L3014" s="9">
        <v>298.0</v>
      </c>
      <c r="M3014" s="9">
        <v>218.0</v>
      </c>
      <c r="N3014" s="9">
        <v>0.0</v>
      </c>
      <c r="O3014" s="9">
        <v>80.0</v>
      </c>
      <c r="P3014" s="8" t="s">
        <v>3480</v>
      </c>
      <c r="Q3014" s="8"/>
      <c r="R3014" s="8"/>
    </row>
    <row r="3015">
      <c r="A3015" s="8" t="s">
        <v>102</v>
      </c>
      <c r="B3015" s="8" t="s">
        <v>16338</v>
      </c>
      <c r="C3015" s="8" t="s">
        <v>3592</v>
      </c>
      <c r="D3015" s="9">
        <v>8.484088353E9</v>
      </c>
      <c r="E3015" s="8" t="s">
        <v>3593</v>
      </c>
      <c r="F3015" s="8" t="s">
        <v>3594</v>
      </c>
      <c r="G3015" s="8" t="s">
        <v>16339</v>
      </c>
      <c r="H3015" s="8" t="s">
        <v>3479</v>
      </c>
      <c r="I3015" s="9">
        <v>0.0</v>
      </c>
      <c r="J3015" s="9">
        <v>2056.0</v>
      </c>
      <c r="K3015" s="9">
        <v>2056.0</v>
      </c>
      <c r="L3015" s="9">
        <v>2056.0</v>
      </c>
      <c r="M3015" s="9">
        <v>793.0</v>
      </c>
      <c r="N3015" s="9">
        <v>739.0</v>
      </c>
      <c r="O3015" s="9">
        <v>524.0</v>
      </c>
      <c r="P3015" s="8" t="s">
        <v>3480</v>
      </c>
      <c r="Q3015" s="8" t="s">
        <v>3596</v>
      </c>
      <c r="R3015" s="8" t="s">
        <v>3597</v>
      </c>
    </row>
    <row r="3016">
      <c r="A3016" s="8" t="s">
        <v>103</v>
      </c>
      <c r="B3016" s="8" t="s">
        <v>16340</v>
      </c>
      <c r="C3016" s="8" t="s">
        <v>10289</v>
      </c>
      <c r="D3016" s="9">
        <v>8.888406409E9</v>
      </c>
      <c r="E3016" s="8" t="s">
        <v>16341</v>
      </c>
      <c r="F3016" s="8" t="s">
        <v>3589</v>
      </c>
      <c r="G3016" s="8" t="s">
        <v>16342</v>
      </c>
      <c r="H3016" s="8" t="s">
        <v>3479</v>
      </c>
      <c r="I3016" s="9">
        <v>0.0</v>
      </c>
      <c r="J3016" s="9">
        <v>1124.0</v>
      </c>
      <c r="K3016" s="9">
        <v>1124.0</v>
      </c>
      <c r="L3016" s="9">
        <v>1124.0</v>
      </c>
      <c r="M3016" s="9">
        <v>600.0</v>
      </c>
      <c r="N3016" s="9">
        <v>0.0</v>
      </c>
      <c r="O3016" s="9">
        <v>524.0</v>
      </c>
      <c r="P3016" s="8" t="s">
        <v>3519</v>
      </c>
      <c r="Q3016" s="8" t="s">
        <v>16343</v>
      </c>
      <c r="R3016" s="8" t="s">
        <v>16344</v>
      </c>
    </row>
    <row r="3017">
      <c r="A3017" s="8" t="s">
        <v>104</v>
      </c>
      <c r="B3017" s="8" t="s">
        <v>16345</v>
      </c>
      <c r="C3017" s="8" t="s">
        <v>4879</v>
      </c>
      <c r="D3017" s="9">
        <v>9.421785042E9</v>
      </c>
      <c r="E3017" s="8" t="s">
        <v>4880</v>
      </c>
      <c r="F3017" s="8" t="s">
        <v>3653</v>
      </c>
      <c r="G3017" s="8" t="s">
        <v>16346</v>
      </c>
      <c r="H3017" s="8" t="s">
        <v>3479</v>
      </c>
      <c r="I3017" s="9">
        <v>0.0</v>
      </c>
      <c r="J3017" s="9">
        <v>1014.0</v>
      </c>
      <c r="K3017" s="9">
        <v>1014.0</v>
      </c>
      <c r="L3017" s="9">
        <v>1014.0</v>
      </c>
      <c r="M3017" s="9">
        <v>390.0</v>
      </c>
      <c r="N3017" s="9">
        <v>584.0</v>
      </c>
      <c r="O3017" s="9">
        <v>40.0</v>
      </c>
      <c r="P3017" s="8" t="s">
        <v>3480</v>
      </c>
      <c r="Q3017" s="8"/>
      <c r="R3017" s="8"/>
    </row>
    <row r="3018">
      <c r="A3018" s="8" t="s">
        <v>105</v>
      </c>
      <c r="B3018" s="8" t="s">
        <v>16347</v>
      </c>
      <c r="C3018" s="8" t="s">
        <v>13451</v>
      </c>
      <c r="D3018" s="9">
        <v>7.903585235E9</v>
      </c>
      <c r="E3018" s="8" t="s">
        <v>13452</v>
      </c>
      <c r="F3018" s="8" t="s">
        <v>3853</v>
      </c>
      <c r="G3018" s="8" t="s">
        <v>13453</v>
      </c>
      <c r="H3018" s="8" t="s">
        <v>3479</v>
      </c>
      <c r="I3018" s="9">
        <v>0.0</v>
      </c>
      <c r="J3018" s="9">
        <v>1348.0</v>
      </c>
      <c r="K3018" s="9">
        <v>1348.0</v>
      </c>
      <c r="L3018" s="9">
        <v>1348.0</v>
      </c>
      <c r="M3018" s="9">
        <v>160.0</v>
      </c>
      <c r="N3018" s="9">
        <v>739.0</v>
      </c>
      <c r="O3018" s="9">
        <v>449.0</v>
      </c>
      <c r="P3018" s="8" t="s">
        <v>3480</v>
      </c>
      <c r="Q3018" s="8" t="s">
        <v>4381</v>
      </c>
      <c r="R3018" s="8" t="s">
        <v>13454</v>
      </c>
    </row>
    <row r="3019">
      <c r="A3019" s="8" t="s">
        <v>106</v>
      </c>
      <c r="B3019" s="8" t="s">
        <v>16348</v>
      </c>
      <c r="C3019" s="8" t="s">
        <v>16349</v>
      </c>
      <c r="D3019" s="9">
        <v>8.208875504E9</v>
      </c>
      <c r="E3019" s="8" t="s">
        <v>16350</v>
      </c>
      <c r="F3019" s="8" t="s">
        <v>3601</v>
      </c>
      <c r="G3019" s="8" t="s">
        <v>16351</v>
      </c>
      <c r="H3019" s="8" t="s">
        <v>3479</v>
      </c>
      <c r="I3019" s="9">
        <v>0.0</v>
      </c>
      <c r="J3019" s="9">
        <v>2000.0</v>
      </c>
      <c r="K3019" s="9">
        <v>2000.0</v>
      </c>
      <c r="L3019" s="9">
        <v>2000.0</v>
      </c>
      <c r="M3019" s="9">
        <v>300.0</v>
      </c>
      <c r="N3019" s="9">
        <v>846.0</v>
      </c>
      <c r="O3019" s="9">
        <v>854.0</v>
      </c>
      <c r="P3019" s="8" t="s">
        <v>3480</v>
      </c>
      <c r="Q3019" s="8" t="s">
        <v>16352</v>
      </c>
      <c r="R3019" s="8" t="s">
        <v>16353</v>
      </c>
    </row>
    <row r="3020">
      <c r="A3020" s="8" t="s">
        <v>3181</v>
      </c>
      <c r="B3020" s="8" t="s">
        <v>16354</v>
      </c>
      <c r="C3020" s="8" t="s">
        <v>16355</v>
      </c>
      <c r="D3020" s="9">
        <v>9.420864298E9</v>
      </c>
      <c r="E3020" s="8" t="s">
        <v>16356</v>
      </c>
      <c r="F3020" s="8" t="s">
        <v>8231</v>
      </c>
      <c r="G3020" s="8" t="s">
        <v>16357</v>
      </c>
      <c r="H3020" s="8" t="s">
        <v>3479</v>
      </c>
      <c r="I3020" s="9">
        <v>0.0</v>
      </c>
      <c r="J3020" s="9">
        <v>1472.0</v>
      </c>
      <c r="K3020" s="9">
        <v>1472.0</v>
      </c>
      <c r="L3020" s="9">
        <v>1472.0</v>
      </c>
      <c r="M3020" s="9">
        <v>433.0</v>
      </c>
      <c r="N3020" s="9">
        <v>190.0</v>
      </c>
      <c r="O3020" s="9">
        <v>849.0</v>
      </c>
      <c r="P3020" s="8" t="s">
        <v>3519</v>
      </c>
      <c r="Q3020" s="8" t="s">
        <v>16358</v>
      </c>
      <c r="R3020" s="8" t="s">
        <v>16359</v>
      </c>
    </row>
    <row r="3021">
      <c r="A3021" s="8" t="s">
        <v>3183</v>
      </c>
      <c r="B3021" s="8" t="s">
        <v>16360</v>
      </c>
      <c r="C3021" s="8" t="s">
        <v>16361</v>
      </c>
      <c r="D3021" s="9">
        <v>8.788992469E9</v>
      </c>
      <c r="E3021" s="8" t="s">
        <v>16362</v>
      </c>
      <c r="F3021" s="8" t="s">
        <v>3486</v>
      </c>
      <c r="G3021" s="8" t="s">
        <v>4036</v>
      </c>
      <c r="H3021" s="8" t="s">
        <v>3479</v>
      </c>
      <c r="I3021" s="9">
        <v>0.0</v>
      </c>
      <c r="J3021" s="9">
        <v>1058.0</v>
      </c>
      <c r="K3021" s="9">
        <v>1058.0</v>
      </c>
      <c r="L3021" s="9">
        <v>1058.0</v>
      </c>
      <c r="M3021" s="9">
        <v>783.0</v>
      </c>
      <c r="N3021" s="9">
        <v>0.0</v>
      </c>
      <c r="O3021" s="9">
        <v>275.0</v>
      </c>
      <c r="P3021" s="8" t="s">
        <v>3480</v>
      </c>
      <c r="Q3021" s="8"/>
      <c r="R3021" s="8"/>
    </row>
    <row r="3022">
      <c r="A3022" s="8" t="s">
        <v>3182</v>
      </c>
      <c r="B3022" s="8" t="s">
        <v>16363</v>
      </c>
      <c r="C3022" s="8" t="s">
        <v>16364</v>
      </c>
      <c r="D3022" s="9">
        <v>9.359721631E9</v>
      </c>
      <c r="E3022" s="8" t="s">
        <v>16365</v>
      </c>
      <c r="F3022" s="8" t="s">
        <v>6118</v>
      </c>
      <c r="G3022" s="8" t="s">
        <v>16366</v>
      </c>
      <c r="H3022" s="8" t="s">
        <v>3479</v>
      </c>
      <c r="I3022" s="9">
        <v>0.0</v>
      </c>
      <c r="J3022" s="9">
        <v>1550.0</v>
      </c>
      <c r="K3022" s="9">
        <v>1550.0</v>
      </c>
      <c r="L3022" s="9">
        <v>1550.0</v>
      </c>
      <c r="M3022" s="9">
        <v>1550.0</v>
      </c>
      <c r="N3022" s="9">
        <v>0.0</v>
      </c>
      <c r="O3022" s="9">
        <v>0.0</v>
      </c>
      <c r="P3022" s="8" t="s">
        <v>3480</v>
      </c>
      <c r="Q3022" s="8"/>
      <c r="R3022" s="8"/>
    </row>
    <row r="3023">
      <c r="A3023" s="8" t="s">
        <v>3155</v>
      </c>
      <c r="B3023" s="8" t="s">
        <v>16367</v>
      </c>
      <c r="C3023" s="8" t="s">
        <v>16368</v>
      </c>
      <c r="D3023" s="9">
        <v>7.798004068E9</v>
      </c>
      <c r="E3023" s="8" t="s">
        <v>16369</v>
      </c>
      <c r="F3023" s="8" t="s">
        <v>3523</v>
      </c>
      <c r="G3023" s="8" t="s">
        <v>16370</v>
      </c>
      <c r="H3023" s="8" t="s">
        <v>3479</v>
      </c>
      <c r="I3023" s="9">
        <v>0.0</v>
      </c>
      <c r="J3023" s="9">
        <v>1000.0</v>
      </c>
      <c r="K3023" s="9">
        <v>1000.0</v>
      </c>
      <c r="L3023" s="9">
        <v>1000.0</v>
      </c>
      <c r="M3023" s="9">
        <v>940.0</v>
      </c>
      <c r="N3023" s="9">
        <v>0.0</v>
      </c>
      <c r="O3023" s="9">
        <v>60.0</v>
      </c>
      <c r="P3023" s="8" t="s">
        <v>3480</v>
      </c>
      <c r="Q3023" s="8"/>
      <c r="R3023" s="8"/>
    </row>
    <row r="3024">
      <c r="A3024" s="8" t="s">
        <v>3198</v>
      </c>
      <c r="B3024" s="8" t="s">
        <v>16371</v>
      </c>
      <c r="C3024" s="8" t="s">
        <v>6285</v>
      </c>
      <c r="D3024" s="9">
        <v>9.404254482E9</v>
      </c>
      <c r="E3024" s="8" t="s">
        <v>6286</v>
      </c>
      <c r="F3024" s="8" t="s">
        <v>3908</v>
      </c>
      <c r="G3024" s="8" t="s">
        <v>16372</v>
      </c>
      <c r="H3024" s="8" t="s">
        <v>9788</v>
      </c>
      <c r="I3024" s="9">
        <v>0.0</v>
      </c>
      <c r="J3024" s="9">
        <v>3500.0</v>
      </c>
      <c r="K3024" s="9">
        <v>3632.0</v>
      </c>
      <c r="L3024" s="9">
        <v>3500.0</v>
      </c>
      <c r="M3024" s="9">
        <v>1868.0</v>
      </c>
      <c r="N3024" s="9">
        <v>840.0</v>
      </c>
      <c r="O3024" s="9">
        <v>924.0</v>
      </c>
      <c r="P3024" s="8" t="s">
        <v>3480</v>
      </c>
      <c r="Q3024" s="8" t="s">
        <v>6288</v>
      </c>
      <c r="R3024" s="8" t="s">
        <v>6289</v>
      </c>
    </row>
    <row r="3025">
      <c r="A3025" s="8" t="s">
        <v>3184</v>
      </c>
      <c r="B3025" s="8" t="s">
        <v>16373</v>
      </c>
      <c r="C3025" s="8" t="s">
        <v>7066</v>
      </c>
      <c r="D3025" s="9">
        <v>9.158796797E9</v>
      </c>
      <c r="E3025" s="8" t="s">
        <v>7067</v>
      </c>
      <c r="F3025" s="8" t="s">
        <v>6508</v>
      </c>
      <c r="G3025" s="8" t="s">
        <v>4036</v>
      </c>
      <c r="H3025" s="8" t="s">
        <v>3479</v>
      </c>
      <c r="I3025" s="9">
        <v>0.0</v>
      </c>
      <c r="J3025" s="9">
        <v>1550.0</v>
      </c>
      <c r="K3025" s="9">
        <v>1550.0</v>
      </c>
      <c r="L3025" s="9">
        <v>1550.0</v>
      </c>
      <c r="M3025" s="9">
        <v>1550.0</v>
      </c>
      <c r="N3025" s="9">
        <v>0.0</v>
      </c>
      <c r="O3025" s="9">
        <v>0.0</v>
      </c>
      <c r="P3025" s="8" t="s">
        <v>3480</v>
      </c>
      <c r="Q3025" s="8" t="s">
        <v>7069</v>
      </c>
      <c r="R3025" s="8" t="s">
        <v>7070</v>
      </c>
    </row>
    <row r="3026">
      <c r="A3026" s="8" t="s">
        <v>3199</v>
      </c>
      <c r="B3026" s="8" t="s">
        <v>16374</v>
      </c>
      <c r="C3026" s="8" t="s">
        <v>16375</v>
      </c>
      <c r="D3026" s="9">
        <v>9.07536802E9</v>
      </c>
      <c r="E3026" s="8" t="s">
        <v>16376</v>
      </c>
      <c r="F3026" s="8" t="s">
        <v>3908</v>
      </c>
      <c r="G3026" s="8" t="s">
        <v>3494</v>
      </c>
      <c r="H3026" s="8" t="s">
        <v>3479</v>
      </c>
      <c r="I3026" s="9">
        <v>0.0</v>
      </c>
      <c r="J3026" s="9">
        <v>3503.0</v>
      </c>
      <c r="K3026" s="9">
        <v>3503.0</v>
      </c>
      <c r="L3026" s="9">
        <v>3503.0</v>
      </c>
      <c r="M3026" s="9">
        <v>1243.0</v>
      </c>
      <c r="N3026" s="9">
        <v>1336.0</v>
      </c>
      <c r="O3026" s="9">
        <v>924.0</v>
      </c>
      <c r="P3026" s="8" t="s">
        <v>3480</v>
      </c>
      <c r="Q3026" s="8"/>
      <c r="R3026" s="8"/>
    </row>
    <row r="3027">
      <c r="A3027" s="8" t="s">
        <v>976</v>
      </c>
      <c r="B3027" s="8" t="s">
        <v>16377</v>
      </c>
      <c r="C3027" s="8" t="s">
        <v>16378</v>
      </c>
      <c r="D3027" s="9">
        <v>8.806489705E9</v>
      </c>
      <c r="E3027" s="8" t="s">
        <v>16379</v>
      </c>
      <c r="F3027" s="8" t="s">
        <v>3796</v>
      </c>
      <c r="G3027" s="8" t="s">
        <v>16380</v>
      </c>
      <c r="H3027" s="8" t="s">
        <v>16381</v>
      </c>
      <c r="I3027" s="9">
        <v>0.0</v>
      </c>
      <c r="J3027" s="9">
        <v>5000.0</v>
      </c>
      <c r="K3027" s="9">
        <v>5202.0</v>
      </c>
      <c r="L3027" s="9">
        <v>5000.0</v>
      </c>
      <c r="M3027" s="9">
        <v>2502.0</v>
      </c>
      <c r="N3027" s="9">
        <v>1401.0</v>
      </c>
      <c r="O3027" s="9">
        <v>1299.0</v>
      </c>
      <c r="P3027" s="8" t="s">
        <v>3480</v>
      </c>
      <c r="Q3027" s="8"/>
      <c r="R3027" s="8"/>
    </row>
    <row r="3028">
      <c r="A3028" s="8" t="s">
        <v>3200</v>
      </c>
      <c r="B3028" s="8" t="s">
        <v>16382</v>
      </c>
      <c r="C3028" s="8" t="s">
        <v>15141</v>
      </c>
      <c r="D3028" s="9">
        <v>9.421019191E9</v>
      </c>
      <c r="E3028" s="8" t="s">
        <v>15142</v>
      </c>
      <c r="F3028" s="8" t="s">
        <v>4093</v>
      </c>
      <c r="G3028" s="8" t="s">
        <v>16383</v>
      </c>
      <c r="H3028" s="8" t="s">
        <v>3479</v>
      </c>
      <c r="I3028" s="9">
        <v>0.0</v>
      </c>
      <c r="J3028" s="9">
        <v>3472.0</v>
      </c>
      <c r="K3028" s="9">
        <v>3472.0</v>
      </c>
      <c r="L3028" s="9">
        <v>3472.0</v>
      </c>
      <c r="M3028" s="9">
        <v>1648.0</v>
      </c>
      <c r="N3028" s="9">
        <v>775.0</v>
      </c>
      <c r="O3028" s="9">
        <v>1049.0</v>
      </c>
      <c r="P3028" s="8" t="s">
        <v>3480</v>
      </c>
      <c r="Q3028" s="8"/>
      <c r="R3028" s="8"/>
    </row>
    <row r="3029">
      <c r="A3029" s="8" t="s">
        <v>977</v>
      </c>
      <c r="B3029" s="8" t="s">
        <v>16384</v>
      </c>
      <c r="C3029" s="8" t="s">
        <v>16385</v>
      </c>
      <c r="D3029" s="9">
        <v>8.446434116E9</v>
      </c>
      <c r="E3029" s="8" t="s">
        <v>16386</v>
      </c>
      <c r="F3029" s="8" t="s">
        <v>3908</v>
      </c>
      <c r="G3029" s="8" t="s">
        <v>3494</v>
      </c>
      <c r="H3029" s="8" t="s">
        <v>3479</v>
      </c>
      <c r="I3029" s="9">
        <v>0.0</v>
      </c>
      <c r="J3029" s="9">
        <v>4287.0</v>
      </c>
      <c r="K3029" s="9">
        <v>4287.0</v>
      </c>
      <c r="L3029" s="9">
        <v>4287.0</v>
      </c>
      <c r="M3029" s="9">
        <v>2173.0</v>
      </c>
      <c r="N3029" s="9">
        <v>840.0</v>
      </c>
      <c r="O3029" s="9">
        <v>1274.0</v>
      </c>
      <c r="P3029" s="8" t="s">
        <v>3480</v>
      </c>
      <c r="Q3029" s="8"/>
      <c r="R3029" s="8"/>
    </row>
    <row r="3030">
      <c r="A3030" s="8" t="s">
        <v>3185</v>
      </c>
      <c r="B3030" s="8" t="s">
        <v>16387</v>
      </c>
      <c r="C3030" s="8" t="s">
        <v>16388</v>
      </c>
      <c r="D3030" s="9">
        <v>9.767509798E9</v>
      </c>
      <c r="E3030" s="8" t="s">
        <v>16389</v>
      </c>
      <c r="F3030" s="8" t="s">
        <v>3677</v>
      </c>
      <c r="G3030" s="8" t="s">
        <v>16390</v>
      </c>
      <c r="H3030" s="8" t="s">
        <v>3479</v>
      </c>
      <c r="I3030" s="9">
        <v>0.0</v>
      </c>
      <c r="J3030" s="9">
        <v>2034.0</v>
      </c>
      <c r="K3030" s="9">
        <v>2034.0</v>
      </c>
      <c r="L3030" s="9">
        <v>2034.0</v>
      </c>
      <c r="M3030" s="9">
        <v>1734.0</v>
      </c>
      <c r="N3030" s="9">
        <v>0.0</v>
      </c>
      <c r="O3030" s="9">
        <v>300.0</v>
      </c>
      <c r="P3030" s="8" t="s">
        <v>3519</v>
      </c>
      <c r="Q3030" s="8"/>
      <c r="R3030" s="8"/>
    </row>
    <row r="3031">
      <c r="A3031" s="8" t="s">
        <v>3186</v>
      </c>
      <c r="B3031" s="8" t="s">
        <v>16391</v>
      </c>
      <c r="C3031" s="8" t="s">
        <v>16392</v>
      </c>
      <c r="D3031" s="9">
        <v>9.96037006E9</v>
      </c>
      <c r="E3031" s="8" t="s">
        <v>16393</v>
      </c>
      <c r="F3031" s="8" t="s">
        <v>3608</v>
      </c>
      <c r="G3031" s="8" t="s">
        <v>3494</v>
      </c>
      <c r="H3031" s="8" t="s">
        <v>3479</v>
      </c>
      <c r="I3031" s="9">
        <v>0.0</v>
      </c>
      <c r="J3031" s="9">
        <v>2929.0</v>
      </c>
      <c r="K3031" s="9">
        <v>2929.0</v>
      </c>
      <c r="L3031" s="9">
        <v>2929.0</v>
      </c>
      <c r="M3031" s="9">
        <v>2579.0</v>
      </c>
      <c r="N3031" s="9">
        <v>0.0</v>
      </c>
      <c r="O3031" s="9">
        <v>350.0</v>
      </c>
      <c r="P3031" s="8" t="s">
        <v>3480</v>
      </c>
      <c r="Q3031" s="8"/>
      <c r="R3031" s="8"/>
    </row>
    <row r="3032">
      <c r="A3032" s="8" t="s">
        <v>3187</v>
      </c>
      <c r="B3032" s="8" t="s">
        <v>16394</v>
      </c>
      <c r="C3032" s="8" t="s">
        <v>14364</v>
      </c>
      <c r="D3032" s="9">
        <v>9.833693526E9</v>
      </c>
      <c r="E3032" s="8" t="s">
        <v>14365</v>
      </c>
      <c r="F3032" s="8" t="s">
        <v>3608</v>
      </c>
      <c r="G3032" s="8" t="s">
        <v>16395</v>
      </c>
      <c r="H3032" s="8" t="s">
        <v>3479</v>
      </c>
      <c r="I3032" s="9">
        <v>0.0</v>
      </c>
      <c r="J3032" s="9">
        <v>3656.0</v>
      </c>
      <c r="K3032" s="9">
        <v>3656.0</v>
      </c>
      <c r="L3032" s="9">
        <v>3656.0</v>
      </c>
      <c r="M3032" s="9">
        <v>3481.0</v>
      </c>
      <c r="N3032" s="9">
        <v>0.0</v>
      </c>
      <c r="O3032" s="9">
        <v>175.0</v>
      </c>
      <c r="P3032" s="8" t="s">
        <v>3480</v>
      </c>
      <c r="Q3032" s="8" t="s">
        <v>14367</v>
      </c>
      <c r="R3032" s="8" t="s">
        <v>14368</v>
      </c>
    </row>
    <row r="3033">
      <c r="A3033" s="8" t="s">
        <v>3190</v>
      </c>
      <c r="B3033" s="8" t="s">
        <v>16396</v>
      </c>
      <c r="C3033" s="8" t="s">
        <v>12568</v>
      </c>
      <c r="D3033" s="9">
        <v>9.372420714E9</v>
      </c>
      <c r="E3033" s="8" t="s">
        <v>12569</v>
      </c>
      <c r="F3033" s="8" t="s">
        <v>3608</v>
      </c>
      <c r="G3033" s="8" t="s">
        <v>6939</v>
      </c>
      <c r="H3033" s="8" t="s">
        <v>3479</v>
      </c>
      <c r="I3033" s="9">
        <v>0.0</v>
      </c>
      <c r="J3033" s="9">
        <v>2849.0</v>
      </c>
      <c r="K3033" s="9">
        <v>2849.0</v>
      </c>
      <c r="L3033" s="9">
        <v>2849.0</v>
      </c>
      <c r="M3033" s="9">
        <v>1118.0</v>
      </c>
      <c r="N3033" s="9">
        <v>907.0</v>
      </c>
      <c r="O3033" s="9">
        <v>824.0</v>
      </c>
      <c r="P3033" s="8" t="s">
        <v>3480</v>
      </c>
      <c r="Q3033" s="8" t="s">
        <v>12571</v>
      </c>
      <c r="R3033" s="8"/>
    </row>
    <row r="3034">
      <c r="A3034" s="8" t="s">
        <v>3189</v>
      </c>
      <c r="B3034" s="8" t="s">
        <v>16397</v>
      </c>
      <c r="C3034" s="8" t="s">
        <v>16398</v>
      </c>
      <c r="D3034" s="9">
        <v>8.698644744E9</v>
      </c>
      <c r="E3034" s="8" t="s">
        <v>16399</v>
      </c>
      <c r="F3034" s="8" t="s">
        <v>3677</v>
      </c>
      <c r="G3034" s="8" t="s">
        <v>16400</v>
      </c>
      <c r="H3034" s="8" t="s">
        <v>3479</v>
      </c>
      <c r="I3034" s="9">
        <v>0.0</v>
      </c>
      <c r="J3034" s="9">
        <v>3448.0</v>
      </c>
      <c r="K3034" s="9">
        <v>3448.0</v>
      </c>
      <c r="L3034" s="9">
        <v>3448.0</v>
      </c>
      <c r="M3034" s="9">
        <v>1155.0</v>
      </c>
      <c r="N3034" s="9">
        <v>1344.0</v>
      </c>
      <c r="O3034" s="9">
        <v>949.0</v>
      </c>
      <c r="P3034" s="8" t="s">
        <v>3544</v>
      </c>
      <c r="Q3034" s="8"/>
      <c r="R3034" s="8"/>
    </row>
    <row r="3035">
      <c r="A3035" s="8" t="s">
        <v>978</v>
      </c>
      <c r="B3035" s="8" t="s">
        <v>16401</v>
      </c>
      <c r="C3035" s="8" t="s">
        <v>9442</v>
      </c>
      <c r="D3035" s="9">
        <v>8.308974699E9</v>
      </c>
      <c r="E3035" s="8" t="s">
        <v>9443</v>
      </c>
      <c r="F3035" s="8" t="s">
        <v>5831</v>
      </c>
      <c r="G3035" s="8" t="s">
        <v>16402</v>
      </c>
      <c r="H3035" s="8" t="s">
        <v>3479</v>
      </c>
      <c r="I3035" s="9">
        <v>0.0</v>
      </c>
      <c r="J3035" s="9">
        <v>11740.0</v>
      </c>
      <c r="K3035" s="9">
        <v>11740.0</v>
      </c>
      <c r="L3035" s="9">
        <v>11740.0</v>
      </c>
      <c r="M3035" s="9">
        <v>8540.0</v>
      </c>
      <c r="N3035" s="9">
        <v>0.0</v>
      </c>
      <c r="O3035" s="9">
        <v>3200.0</v>
      </c>
      <c r="P3035" s="8" t="s">
        <v>3480</v>
      </c>
      <c r="Q3035" s="8"/>
      <c r="R3035" s="8"/>
    </row>
    <row r="3036">
      <c r="A3036" s="8" t="s">
        <v>980</v>
      </c>
      <c r="B3036" s="8" t="s">
        <v>16403</v>
      </c>
      <c r="C3036" s="8" t="s">
        <v>16404</v>
      </c>
      <c r="D3036" s="9">
        <v>8.390888129E9</v>
      </c>
      <c r="E3036" s="8" t="s">
        <v>16405</v>
      </c>
      <c r="F3036" s="8" t="s">
        <v>5979</v>
      </c>
      <c r="G3036" s="8" t="s">
        <v>16406</v>
      </c>
      <c r="H3036" s="8" t="s">
        <v>3479</v>
      </c>
      <c r="I3036" s="9">
        <v>0.0</v>
      </c>
      <c r="J3036" s="9">
        <v>1509.0</v>
      </c>
      <c r="K3036" s="9">
        <v>1509.0</v>
      </c>
      <c r="L3036" s="9">
        <v>1509.0</v>
      </c>
      <c r="M3036" s="9">
        <v>135.0</v>
      </c>
      <c r="N3036" s="9">
        <v>775.0</v>
      </c>
      <c r="O3036" s="9">
        <v>599.0</v>
      </c>
      <c r="P3036" s="8" t="s">
        <v>3480</v>
      </c>
      <c r="Q3036" s="8" t="s">
        <v>16407</v>
      </c>
      <c r="R3036" s="8" t="s">
        <v>16408</v>
      </c>
    </row>
    <row r="3037">
      <c r="A3037" s="8" t="s">
        <v>979</v>
      </c>
      <c r="B3037" s="8" t="s">
        <v>16409</v>
      </c>
      <c r="C3037" s="8" t="s">
        <v>16410</v>
      </c>
      <c r="D3037" s="9">
        <v>9.527040553E9</v>
      </c>
      <c r="E3037" s="8" t="s">
        <v>16411</v>
      </c>
      <c r="F3037" s="8" t="s">
        <v>6019</v>
      </c>
      <c r="G3037" s="8" t="s">
        <v>16412</v>
      </c>
      <c r="H3037" s="8" t="s">
        <v>3479</v>
      </c>
      <c r="I3037" s="9">
        <v>0.0</v>
      </c>
      <c r="J3037" s="9">
        <v>3139.0</v>
      </c>
      <c r="K3037" s="9">
        <v>3139.0</v>
      </c>
      <c r="L3037" s="9">
        <v>3139.0</v>
      </c>
      <c r="M3037" s="9">
        <v>775.0</v>
      </c>
      <c r="N3037" s="9">
        <v>965.0</v>
      </c>
      <c r="O3037" s="9">
        <v>1399.0</v>
      </c>
      <c r="P3037" s="8" t="s">
        <v>3480</v>
      </c>
      <c r="Q3037" s="8" t="s">
        <v>16413</v>
      </c>
      <c r="R3037" s="8"/>
    </row>
    <row r="3038">
      <c r="A3038" s="8" t="s">
        <v>981</v>
      </c>
      <c r="B3038" s="8" t="s">
        <v>16414</v>
      </c>
      <c r="C3038" s="8" t="s">
        <v>4320</v>
      </c>
      <c r="D3038" s="9">
        <v>8.23782863E9</v>
      </c>
      <c r="E3038" s="8" t="s">
        <v>4321</v>
      </c>
      <c r="F3038" s="8" t="s">
        <v>3653</v>
      </c>
      <c r="G3038" s="8" t="s">
        <v>16415</v>
      </c>
      <c r="H3038" s="8" t="s">
        <v>3479</v>
      </c>
      <c r="I3038" s="9">
        <v>0.0</v>
      </c>
      <c r="J3038" s="9">
        <v>1775.0</v>
      </c>
      <c r="K3038" s="9">
        <v>1775.0</v>
      </c>
      <c r="L3038" s="9">
        <v>1775.0</v>
      </c>
      <c r="M3038" s="9">
        <v>401.0</v>
      </c>
      <c r="N3038" s="9">
        <v>775.0</v>
      </c>
      <c r="O3038" s="9">
        <v>599.0</v>
      </c>
      <c r="P3038" s="8" t="s">
        <v>3480</v>
      </c>
      <c r="Q3038" s="8" t="s">
        <v>4323</v>
      </c>
      <c r="R3038" s="8" t="s">
        <v>4324</v>
      </c>
    </row>
    <row r="3039">
      <c r="A3039" s="8" t="s">
        <v>982</v>
      </c>
      <c r="B3039" s="8" t="s">
        <v>16416</v>
      </c>
      <c r="C3039" s="8" t="s">
        <v>4498</v>
      </c>
      <c r="D3039" s="9">
        <v>7.304070707E9</v>
      </c>
      <c r="E3039" s="8" t="s">
        <v>4499</v>
      </c>
      <c r="F3039" s="8" t="s">
        <v>4500</v>
      </c>
      <c r="G3039" s="8" t="s">
        <v>16417</v>
      </c>
      <c r="H3039" s="8" t="s">
        <v>3479</v>
      </c>
      <c r="I3039" s="9">
        <v>0.0</v>
      </c>
      <c r="J3039" s="9">
        <v>5365.0</v>
      </c>
      <c r="K3039" s="9">
        <v>5365.0</v>
      </c>
      <c r="L3039" s="9">
        <v>5365.0</v>
      </c>
      <c r="M3039" s="9">
        <v>3216.0</v>
      </c>
      <c r="N3039" s="9">
        <v>900.0</v>
      </c>
      <c r="O3039" s="9">
        <v>1249.0</v>
      </c>
      <c r="P3039" s="8" t="s">
        <v>3544</v>
      </c>
      <c r="Q3039" s="8" t="s">
        <v>4502</v>
      </c>
      <c r="R3039" s="8" t="s">
        <v>4503</v>
      </c>
    </row>
    <row r="3040">
      <c r="A3040" s="8" t="s">
        <v>983</v>
      </c>
      <c r="B3040" s="8" t="s">
        <v>16418</v>
      </c>
      <c r="C3040" s="8" t="s">
        <v>6377</v>
      </c>
      <c r="D3040" s="9">
        <v>9.60468798E9</v>
      </c>
      <c r="E3040" s="8" t="s">
        <v>16419</v>
      </c>
      <c r="F3040" s="8" t="s">
        <v>3615</v>
      </c>
      <c r="G3040" s="8" t="s">
        <v>16420</v>
      </c>
      <c r="H3040" s="8" t="s">
        <v>3479</v>
      </c>
      <c r="I3040" s="9">
        <v>0.0</v>
      </c>
      <c r="J3040" s="9">
        <v>3614.0</v>
      </c>
      <c r="K3040" s="9">
        <v>3614.0</v>
      </c>
      <c r="L3040" s="9">
        <v>3614.0</v>
      </c>
      <c r="M3040" s="9">
        <v>1635.0</v>
      </c>
      <c r="N3040" s="9">
        <v>775.0</v>
      </c>
      <c r="O3040" s="9">
        <v>1204.0</v>
      </c>
      <c r="P3040" s="8" t="s">
        <v>3480</v>
      </c>
      <c r="Q3040" s="8"/>
      <c r="R3040" s="8"/>
    </row>
    <row r="3041">
      <c r="A3041" s="8" t="s">
        <v>3156</v>
      </c>
      <c r="B3041" s="8" t="s">
        <v>16421</v>
      </c>
      <c r="C3041" s="8" t="s">
        <v>3969</v>
      </c>
      <c r="D3041" s="9">
        <v>8.007500125E9</v>
      </c>
      <c r="E3041" s="8" t="s">
        <v>16422</v>
      </c>
      <c r="F3041" s="8" t="s">
        <v>16423</v>
      </c>
      <c r="G3041" s="8" t="s">
        <v>4871</v>
      </c>
      <c r="H3041" s="8" t="s">
        <v>3479</v>
      </c>
      <c r="I3041" s="9">
        <v>0.0</v>
      </c>
      <c r="J3041" s="9">
        <v>2267.0</v>
      </c>
      <c r="K3041" s="9">
        <v>2267.0</v>
      </c>
      <c r="L3041" s="9">
        <v>2267.0</v>
      </c>
      <c r="M3041" s="9">
        <v>913.0</v>
      </c>
      <c r="N3041" s="9">
        <v>730.0</v>
      </c>
      <c r="O3041" s="9">
        <v>624.0</v>
      </c>
      <c r="P3041" s="8" t="s">
        <v>3480</v>
      </c>
      <c r="Q3041" s="8" t="s">
        <v>16424</v>
      </c>
      <c r="R3041" s="8" t="s">
        <v>16425</v>
      </c>
    </row>
    <row r="3042">
      <c r="A3042" s="8" t="s">
        <v>3201</v>
      </c>
      <c r="B3042" s="8" t="s">
        <v>16426</v>
      </c>
      <c r="C3042" s="8" t="s">
        <v>6298</v>
      </c>
      <c r="D3042" s="9">
        <v>7.020383597E9</v>
      </c>
      <c r="E3042" s="8" t="s">
        <v>16427</v>
      </c>
      <c r="F3042" s="8" t="s">
        <v>16428</v>
      </c>
      <c r="G3042" s="8" t="s">
        <v>16429</v>
      </c>
      <c r="H3042" s="8" t="s">
        <v>3479</v>
      </c>
      <c r="I3042" s="9">
        <v>0.0</v>
      </c>
      <c r="J3042" s="9">
        <v>1114.0</v>
      </c>
      <c r="K3042" s="9">
        <v>1114.0</v>
      </c>
      <c r="L3042" s="9">
        <v>1114.0</v>
      </c>
      <c r="M3042" s="9">
        <v>80.0</v>
      </c>
      <c r="N3042" s="9">
        <v>585.0</v>
      </c>
      <c r="O3042" s="9">
        <v>449.0</v>
      </c>
      <c r="P3042" s="8" t="s">
        <v>3480</v>
      </c>
      <c r="Q3042" s="8"/>
      <c r="R3042" s="8"/>
    </row>
    <row r="3043">
      <c r="A3043" s="8" t="s">
        <v>581</v>
      </c>
      <c r="B3043" s="8" t="s">
        <v>16430</v>
      </c>
      <c r="C3043" s="8" t="s">
        <v>8721</v>
      </c>
      <c r="D3043" s="9">
        <v>9.823143276E9</v>
      </c>
      <c r="E3043" s="8" t="s">
        <v>8722</v>
      </c>
      <c r="F3043" s="8" t="s">
        <v>3721</v>
      </c>
      <c r="G3043" s="8" t="s">
        <v>16431</v>
      </c>
      <c r="H3043" s="8" t="s">
        <v>3479</v>
      </c>
      <c r="I3043" s="9">
        <v>0.0</v>
      </c>
      <c r="J3043" s="9">
        <v>1414.0</v>
      </c>
      <c r="K3043" s="9">
        <v>1414.0</v>
      </c>
      <c r="L3043" s="9">
        <v>1414.0</v>
      </c>
      <c r="M3043" s="9">
        <v>160.0</v>
      </c>
      <c r="N3043" s="9">
        <v>730.0</v>
      </c>
      <c r="O3043" s="9">
        <v>524.0</v>
      </c>
      <c r="P3043" s="8" t="s">
        <v>3480</v>
      </c>
      <c r="Q3043" s="8" t="s">
        <v>8724</v>
      </c>
      <c r="R3043" s="8" t="s">
        <v>8725</v>
      </c>
    </row>
    <row r="3044">
      <c r="A3044" s="8" t="s">
        <v>582</v>
      </c>
      <c r="B3044" s="8" t="s">
        <v>16432</v>
      </c>
      <c r="C3044" s="8" t="s">
        <v>16433</v>
      </c>
      <c r="D3044" s="9">
        <v>8.208012478E9</v>
      </c>
      <c r="E3044" s="8" t="s">
        <v>16434</v>
      </c>
      <c r="F3044" s="8" t="s">
        <v>5301</v>
      </c>
      <c r="G3044" s="8" t="s">
        <v>16435</v>
      </c>
      <c r="H3044" s="8" t="s">
        <v>3479</v>
      </c>
      <c r="I3044" s="9">
        <v>0.0</v>
      </c>
      <c r="J3044" s="9">
        <v>1774.0</v>
      </c>
      <c r="K3044" s="9">
        <v>1774.0</v>
      </c>
      <c r="L3044" s="9">
        <v>1774.0</v>
      </c>
      <c r="M3044" s="9">
        <v>1025.0</v>
      </c>
      <c r="N3044" s="9">
        <v>0.0</v>
      </c>
      <c r="O3044" s="9">
        <v>749.0</v>
      </c>
      <c r="P3044" s="8" t="s">
        <v>3480</v>
      </c>
      <c r="Q3044" s="8" t="s">
        <v>16436</v>
      </c>
      <c r="R3044" s="8" t="s">
        <v>16437</v>
      </c>
    </row>
    <row r="3045">
      <c r="A3045" s="8" t="s">
        <v>3157</v>
      </c>
      <c r="B3045" s="8" t="s">
        <v>16438</v>
      </c>
      <c r="C3045" s="8" t="s">
        <v>16439</v>
      </c>
      <c r="D3045" s="9">
        <v>8.698138263E9</v>
      </c>
      <c r="E3045" s="8" t="s">
        <v>16440</v>
      </c>
      <c r="F3045" s="8" t="s">
        <v>4252</v>
      </c>
      <c r="G3045" s="8" t="s">
        <v>16441</v>
      </c>
      <c r="H3045" s="8" t="s">
        <v>3479</v>
      </c>
      <c r="I3045" s="9">
        <v>0.0</v>
      </c>
      <c r="J3045" s="9">
        <v>1396.0</v>
      </c>
      <c r="K3045" s="9">
        <v>1396.0</v>
      </c>
      <c r="L3045" s="9">
        <v>1396.0</v>
      </c>
      <c r="M3045" s="9">
        <v>597.0</v>
      </c>
      <c r="N3045" s="9">
        <v>0.0</v>
      </c>
      <c r="O3045" s="9">
        <v>799.0</v>
      </c>
      <c r="P3045" s="8" t="s">
        <v>3480</v>
      </c>
      <c r="Q3045" s="8"/>
      <c r="R3045" s="8"/>
    </row>
    <row r="3046">
      <c r="A3046" s="8" t="s">
        <v>3188</v>
      </c>
      <c r="B3046" s="8" t="s">
        <v>16442</v>
      </c>
      <c r="C3046" s="8" t="s">
        <v>16443</v>
      </c>
      <c r="D3046" s="9">
        <v>7.709246409E9</v>
      </c>
      <c r="E3046" s="8" t="s">
        <v>16444</v>
      </c>
      <c r="F3046" s="8" t="s">
        <v>3550</v>
      </c>
      <c r="G3046" s="8" t="s">
        <v>16445</v>
      </c>
      <c r="H3046" s="8" t="s">
        <v>3479</v>
      </c>
      <c r="I3046" s="9">
        <v>0.0</v>
      </c>
      <c r="J3046" s="9">
        <v>1350.0</v>
      </c>
      <c r="K3046" s="9">
        <v>1350.0</v>
      </c>
      <c r="L3046" s="9">
        <v>1350.0</v>
      </c>
      <c r="M3046" s="9">
        <v>1350.0</v>
      </c>
      <c r="N3046" s="9">
        <v>0.0</v>
      </c>
      <c r="O3046" s="9">
        <v>0.0</v>
      </c>
      <c r="P3046" s="8" t="s">
        <v>3519</v>
      </c>
      <c r="Q3046" s="8"/>
      <c r="R3046" s="8"/>
    </row>
    <row r="3047">
      <c r="A3047" s="8" t="s">
        <v>584</v>
      </c>
      <c r="B3047" s="8" t="s">
        <v>16446</v>
      </c>
      <c r="C3047" s="8" t="s">
        <v>11697</v>
      </c>
      <c r="D3047" s="9">
        <v>9.619865191E9</v>
      </c>
      <c r="E3047" s="8" t="s">
        <v>11698</v>
      </c>
      <c r="F3047" s="8" t="s">
        <v>4112</v>
      </c>
      <c r="G3047" s="8" t="s">
        <v>16447</v>
      </c>
      <c r="H3047" s="8" t="s">
        <v>3479</v>
      </c>
      <c r="I3047" s="9">
        <v>0.0</v>
      </c>
      <c r="J3047" s="9">
        <v>1019.0</v>
      </c>
      <c r="K3047" s="9">
        <v>1019.0</v>
      </c>
      <c r="L3047" s="9">
        <v>1019.0</v>
      </c>
      <c r="M3047" s="9">
        <v>80.0</v>
      </c>
      <c r="N3047" s="9">
        <v>190.0</v>
      </c>
      <c r="O3047" s="9">
        <v>749.0</v>
      </c>
      <c r="P3047" s="8" t="s">
        <v>3480</v>
      </c>
      <c r="Q3047" s="8" t="s">
        <v>11700</v>
      </c>
      <c r="R3047" s="8" t="s">
        <v>11701</v>
      </c>
    </row>
    <row r="3048">
      <c r="A3048" s="8" t="s">
        <v>1114</v>
      </c>
      <c r="B3048" s="8" t="s">
        <v>16448</v>
      </c>
      <c r="C3048" s="8" t="s">
        <v>4960</v>
      </c>
      <c r="D3048" s="9">
        <v>8.21067419E9</v>
      </c>
      <c r="E3048" s="8" t="s">
        <v>6618</v>
      </c>
      <c r="F3048" s="8" t="s">
        <v>3707</v>
      </c>
      <c r="G3048" s="8" t="s">
        <v>16449</v>
      </c>
      <c r="H3048" s="8" t="s">
        <v>3479</v>
      </c>
      <c r="I3048" s="9">
        <v>0.0</v>
      </c>
      <c r="J3048" s="9">
        <v>2148.0</v>
      </c>
      <c r="K3048" s="9">
        <v>2148.0</v>
      </c>
      <c r="L3048" s="9">
        <v>2148.0</v>
      </c>
      <c r="M3048" s="9">
        <v>738.0</v>
      </c>
      <c r="N3048" s="9">
        <v>710.0</v>
      </c>
      <c r="O3048" s="9">
        <v>700.0</v>
      </c>
      <c r="P3048" s="8" t="s">
        <v>3480</v>
      </c>
      <c r="Q3048" s="8"/>
      <c r="R3048" s="8"/>
    </row>
    <row r="3049">
      <c r="A3049" s="8" t="s">
        <v>3202</v>
      </c>
      <c r="B3049" s="8" t="s">
        <v>16450</v>
      </c>
      <c r="C3049" s="8" t="s">
        <v>16451</v>
      </c>
      <c r="D3049" s="9">
        <v>9.011798755E9</v>
      </c>
      <c r="E3049" s="8" t="s">
        <v>16452</v>
      </c>
      <c r="F3049" s="8" t="s">
        <v>3809</v>
      </c>
      <c r="G3049" s="8" t="s">
        <v>16453</v>
      </c>
      <c r="H3049" s="8" t="s">
        <v>3479</v>
      </c>
      <c r="I3049" s="9">
        <v>0.0</v>
      </c>
      <c r="J3049" s="9">
        <v>4261.0</v>
      </c>
      <c r="K3049" s="9">
        <v>4261.0</v>
      </c>
      <c r="L3049" s="9">
        <v>4261.0</v>
      </c>
      <c r="M3049" s="9">
        <v>3022.0</v>
      </c>
      <c r="N3049" s="9">
        <v>190.0</v>
      </c>
      <c r="O3049" s="9">
        <v>1049.0</v>
      </c>
      <c r="P3049" s="8" t="s">
        <v>3519</v>
      </c>
      <c r="Q3049" s="8"/>
      <c r="R3049" s="8"/>
    </row>
    <row r="3050">
      <c r="A3050" s="8" t="s">
        <v>3203</v>
      </c>
      <c r="B3050" s="8" t="s">
        <v>16454</v>
      </c>
      <c r="C3050" s="8" t="s">
        <v>16455</v>
      </c>
      <c r="D3050" s="9">
        <v>9.958108647E9</v>
      </c>
      <c r="E3050" s="8" t="s">
        <v>16456</v>
      </c>
      <c r="F3050" s="8" t="s">
        <v>5872</v>
      </c>
      <c r="G3050" s="8" t="s">
        <v>16457</v>
      </c>
      <c r="H3050" s="8" t="s">
        <v>3479</v>
      </c>
      <c r="I3050" s="9">
        <v>0.0</v>
      </c>
      <c r="J3050" s="9">
        <v>2265.0</v>
      </c>
      <c r="K3050" s="9">
        <v>2265.0</v>
      </c>
      <c r="L3050" s="9">
        <v>2265.0</v>
      </c>
      <c r="M3050" s="9">
        <v>159.0</v>
      </c>
      <c r="N3050" s="9">
        <v>1307.0</v>
      </c>
      <c r="O3050" s="9">
        <v>799.0</v>
      </c>
      <c r="P3050" s="8" t="s">
        <v>3480</v>
      </c>
      <c r="Q3050" s="8"/>
      <c r="R3050" s="8" t="s">
        <v>16458</v>
      </c>
    </row>
    <row r="3051">
      <c r="A3051" s="8" t="s">
        <v>3158</v>
      </c>
      <c r="B3051" s="8" t="s">
        <v>16459</v>
      </c>
      <c r="C3051" s="8" t="s">
        <v>16460</v>
      </c>
      <c r="D3051" s="9">
        <v>9.881608002E9</v>
      </c>
      <c r="E3051" s="8" t="s">
        <v>16461</v>
      </c>
      <c r="F3051" s="8" t="s">
        <v>7316</v>
      </c>
      <c r="G3051" s="8" t="s">
        <v>16462</v>
      </c>
      <c r="H3051" s="8" t="s">
        <v>9145</v>
      </c>
      <c r="I3051" s="9">
        <v>0.0</v>
      </c>
      <c r="J3051" s="9">
        <v>1621.0</v>
      </c>
      <c r="K3051" s="9">
        <v>1621.0</v>
      </c>
      <c r="L3051" s="9">
        <v>1621.0</v>
      </c>
      <c r="M3051" s="9">
        <v>1271.0</v>
      </c>
      <c r="N3051" s="9">
        <v>0.0</v>
      </c>
      <c r="O3051" s="9">
        <v>350.0</v>
      </c>
      <c r="P3051" s="8"/>
      <c r="Q3051" s="8"/>
      <c r="R3051" s="8"/>
    </row>
    <row r="3052">
      <c r="A3052" s="8" t="s">
        <v>583</v>
      </c>
      <c r="B3052" s="8" t="s">
        <v>16463</v>
      </c>
      <c r="C3052" s="8" t="s">
        <v>16464</v>
      </c>
      <c r="D3052" s="9">
        <v>8.60000236E9</v>
      </c>
      <c r="E3052" s="8" t="s">
        <v>16465</v>
      </c>
      <c r="F3052" s="8" t="s">
        <v>3721</v>
      </c>
      <c r="G3052" s="8" t="s">
        <v>16466</v>
      </c>
      <c r="H3052" s="8" t="s">
        <v>3479</v>
      </c>
      <c r="I3052" s="9">
        <v>0.0</v>
      </c>
      <c r="J3052" s="9">
        <v>3673.0</v>
      </c>
      <c r="K3052" s="9">
        <v>3673.0</v>
      </c>
      <c r="L3052" s="9">
        <v>3673.0</v>
      </c>
      <c r="M3052" s="9">
        <v>2410.0</v>
      </c>
      <c r="N3052" s="9">
        <v>739.0</v>
      </c>
      <c r="O3052" s="9">
        <v>524.0</v>
      </c>
      <c r="P3052" s="8" t="s">
        <v>3480</v>
      </c>
      <c r="Q3052" s="8"/>
      <c r="R3052" s="8"/>
    </row>
    <row r="3053">
      <c r="A3053" s="8" t="s">
        <v>587</v>
      </c>
      <c r="B3053" s="8" t="s">
        <v>16467</v>
      </c>
      <c r="C3053" s="8" t="s">
        <v>7941</v>
      </c>
      <c r="D3053" s="9">
        <v>8.48481548E9</v>
      </c>
      <c r="E3053" s="8" t="s">
        <v>7942</v>
      </c>
      <c r="F3053" s="8" t="s">
        <v>3608</v>
      </c>
      <c r="G3053" s="8" t="s">
        <v>16468</v>
      </c>
      <c r="H3053" s="8" t="s">
        <v>3479</v>
      </c>
      <c r="I3053" s="9">
        <v>0.0</v>
      </c>
      <c r="J3053" s="9">
        <v>450.0</v>
      </c>
      <c r="K3053" s="9">
        <v>450.0</v>
      </c>
      <c r="L3053" s="9">
        <v>450.0</v>
      </c>
      <c r="M3053" s="9">
        <v>450.0</v>
      </c>
      <c r="N3053" s="9">
        <v>0.0</v>
      </c>
      <c r="O3053" s="9">
        <v>0.0</v>
      </c>
      <c r="P3053" s="8" t="s">
        <v>3480</v>
      </c>
      <c r="Q3053" s="8" t="s">
        <v>7944</v>
      </c>
      <c r="R3053" s="8" t="s">
        <v>7945</v>
      </c>
    </row>
    <row r="3054">
      <c r="A3054" s="8" t="s">
        <v>3204</v>
      </c>
      <c r="B3054" s="8" t="s">
        <v>16469</v>
      </c>
      <c r="C3054" s="8" t="s">
        <v>16470</v>
      </c>
      <c r="D3054" s="9">
        <v>8.451928E9</v>
      </c>
      <c r="E3054" s="8" t="s">
        <v>16471</v>
      </c>
      <c r="F3054" s="8" t="s">
        <v>3608</v>
      </c>
      <c r="G3054" s="8" t="s">
        <v>16472</v>
      </c>
      <c r="H3054" s="8" t="s">
        <v>3479</v>
      </c>
      <c r="I3054" s="9">
        <v>0.0</v>
      </c>
      <c r="J3054" s="9">
        <v>529.0</v>
      </c>
      <c r="K3054" s="9">
        <v>529.0</v>
      </c>
      <c r="L3054" s="9">
        <v>529.0</v>
      </c>
      <c r="M3054" s="9">
        <v>80.0</v>
      </c>
      <c r="N3054" s="9">
        <v>0.0</v>
      </c>
      <c r="O3054" s="9">
        <v>449.0</v>
      </c>
      <c r="P3054" s="8" t="s">
        <v>3480</v>
      </c>
      <c r="Q3054" s="8" t="s">
        <v>16473</v>
      </c>
      <c r="R3054" s="8" t="s">
        <v>16474</v>
      </c>
    </row>
    <row r="3055">
      <c r="A3055" s="8" t="s">
        <v>586</v>
      </c>
      <c r="B3055" s="8" t="s">
        <v>16475</v>
      </c>
      <c r="C3055" s="8" t="s">
        <v>8287</v>
      </c>
      <c r="D3055" s="9">
        <v>7.875503847E9</v>
      </c>
      <c r="E3055" s="8" t="s">
        <v>8288</v>
      </c>
      <c r="F3055" s="8" t="s">
        <v>3714</v>
      </c>
      <c r="G3055" s="8" t="s">
        <v>4036</v>
      </c>
      <c r="H3055" s="8" t="s">
        <v>3479</v>
      </c>
      <c r="I3055" s="9">
        <v>0.0</v>
      </c>
      <c r="J3055" s="9">
        <v>1921.0</v>
      </c>
      <c r="K3055" s="9">
        <v>1921.0</v>
      </c>
      <c r="L3055" s="9">
        <v>1921.0</v>
      </c>
      <c r="M3055" s="9">
        <v>447.0</v>
      </c>
      <c r="N3055" s="9">
        <v>775.0</v>
      </c>
      <c r="O3055" s="9">
        <v>699.0</v>
      </c>
      <c r="P3055" s="8" t="s">
        <v>3480</v>
      </c>
      <c r="Q3055" s="8"/>
      <c r="R3055" s="8"/>
    </row>
    <row r="3056">
      <c r="A3056" s="8" t="s">
        <v>588</v>
      </c>
      <c r="B3056" s="8" t="s">
        <v>16476</v>
      </c>
      <c r="C3056" s="8" t="s">
        <v>16477</v>
      </c>
      <c r="D3056" s="9">
        <v>9.72779692E9</v>
      </c>
      <c r="E3056" s="8" t="s">
        <v>16478</v>
      </c>
      <c r="F3056" s="8" t="s">
        <v>3498</v>
      </c>
      <c r="G3056" s="8" t="s">
        <v>16479</v>
      </c>
      <c r="H3056" s="8" t="s">
        <v>3479</v>
      </c>
      <c r="I3056" s="9">
        <v>0.0</v>
      </c>
      <c r="J3056" s="9">
        <v>1503.0</v>
      </c>
      <c r="K3056" s="9">
        <v>1503.0</v>
      </c>
      <c r="L3056" s="9">
        <v>1503.0</v>
      </c>
      <c r="M3056" s="9">
        <v>160.0</v>
      </c>
      <c r="N3056" s="9">
        <v>739.0</v>
      </c>
      <c r="O3056" s="9">
        <v>604.0</v>
      </c>
      <c r="P3056" s="8" t="s">
        <v>3480</v>
      </c>
      <c r="Q3056" s="8" t="s">
        <v>4381</v>
      </c>
      <c r="R3056" s="8" t="s">
        <v>16480</v>
      </c>
    </row>
    <row r="3057">
      <c r="A3057" s="8" t="s">
        <v>3205</v>
      </c>
      <c r="B3057" s="8" t="s">
        <v>16481</v>
      </c>
      <c r="C3057" s="8" t="s">
        <v>16482</v>
      </c>
      <c r="D3057" s="9">
        <v>9.503768568E9</v>
      </c>
      <c r="E3057" s="8" t="s">
        <v>16483</v>
      </c>
      <c r="F3057" s="8" t="s">
        <v>3550</v>
      </c>
      <c r="G3057" s="8" t="s">
        <v>16484</v>
      </c>
      <c r="H3057" s="8" t="s">
        <v>3479</v>
      </c>
      <c r="I3057" s="9">
        <v>0.0</v>
      </c>
      <c r="J3057" s="9">
        <v>1268.0</v>
      </c>
      <c r="K3057" s="9">
        <v>1268.0</v>
      </c>
      <c r="L3057" s="9">
        <v>1268.0</v>
      </c>
      <c r="M3057" s="9">
        <v>80.0</v>
      </c>
      <c r="N3057" s="9">
        <v>739.0</v>
      </c>
      <c r="O3057" s="9">
        <v>449.0</v>
      </c>
      <c r="P3057" s="8" t="s">
        <v>3480</v>
      </c>
      <c r="Q3057" s="8" t="s">
        <v>16485</v>
      </c>
      <c r="R3057" s="8" t="s">
        <v>16486</v>
      </c>
    </row>
    <row r="3058">
      <c r="A3058" s="8" t="s">
        <v>3159</v>
      </c>
      <c r="B3058" s="8" t="s">
        <v>16487</v>
      </c>
      <c r="C3058" s="8" t="s">
        <v>5476</v>
      </c>
      <c r="D3058" s="9">
        <v>8.779872506E9</v>
      </c>
      <c r="E3058" s="8" t="s">
        <v>5477</v>
      </c>
      <c r="F3058" s="8" t="s">
        <v>4143</v>
      </c>
      <c r="G3058" s="8" t="s">
        <v>16488</v>
      </c>
      <c r="H3058" s="8" t="s">
        <v>3479</v>
      </c>
      <c r="I3058" s="9">
        <v>0.0</v>
      </c>
      <c r="J3058" s="9">
        <v>1472.0</v>
      </c>
      <c r="K3058" s="9">
        <v>1472.0</v>
      </c>
      <c r="L3058" s="9">
        <v>1472.0</v>
      </c>
      <c r="M3058" s="9">
        <v>1122.0</v>
      </c>
      <c r="N3058" s="9">
        <v>0.0</v>
      </c>
      <c r="O3058" s="9">
        <v>350.0</v>
      </c>
      <c r="P3058" s="8" t="s">
        <v>3480</v>
      </c>
      <c r="Q3058" s="8"/>
      <c r="R3058" s="8"/>
    </row>
    <row r="3059">
      <c r="A3059" s="8" t="s">
        <v>3206</v>
      </c>
      <c r="B3059" s="8" t="s">
        <v>16489</v>
      </c>
      <c r="C3059" s="8" t="s">
        <v>10391</v>
      </c>
      <c r="D3059" s="9">
        <v>8.862041481E9</v>
      </c>
      <c r="E3059" s="8" t="s">
        <v>10392</v>
      </c>
      <c r="F3059" s="8" t="s">
        <v>4681</v>
      </c>
      <c r="G3059" s="8" t="s">
        <v>16490</v>
      </c>
      <c r="H3059" s="8" t="s">
        <v>3479</v>
      </c>
      <c r="I3059" s="9">
        <v>0.0</v>
      </c>
      <c r="J3059" s="9">
        <v>15324.0</v>
      </c>
      <c r="K3059" s="9">
        <v>15324.0</v>
      </c>
      <c r="L3059" s="9">
        <v>15324.0</v>
      </c>
      <c r="M3059" s="9">
        <v>9549.0</v>
      </c>
      <c r="N3059" s="9">
        <v>775.0</v>
      </c>
      <c r="O3059" s="9">
        <v>5000.0</v>
      </c>
      <c r="P3059" s="8" t="s">
        <v>3480</v>
      </c>
      <c r="Q3059" s="8" t="s">
        <v>10394</v>
      </c>
      <c r="R3059" s="8" t="s">
        <v>10395</v>
      </c>
    </row>
    <row r="3060">
      <c r="A3060" s="8" t="s">
        <v>589</v>
      </c>
      <c r="B3060" s="8" t="s">
        <v>16491</v>
      </c>
      <c r="C3060" s="8" t="s">
        <v>16492</v>
      </c>
      <c r="D3060" s="9">
        <v>9.96053525E9</v>
      </c>
      <c r="E3060" s="8" t="s">
        <v>16493</v>
      </c>
      <c r="F3060" s="8" t="s">
        <v>4792</v>
      </c>
      <c r="G3060" s="8" t="s">
        <v>16494</v>
      </c>
      <c r="H3060" s="8" t="s">
        <v>3479</v>
      </c>
      <c r="I3060" s="9">
        <v>0.0</v>
      </c>
      <c r="J3060" s="9">
        <v>800.0</v>
      </c>
      <c r="K3060" s="9">
        <v>800.0</v>
      </c>
      <c r="L3060" s="9">
        <v>800.0</v>
      </c>
      <c r="M3060" s="9">
        <v>351.0</v>
      </c>
      <c r="N3060" s="9">
        <v>0.0</v>
      </c>
      <c r="O3060" s="9">
        <v>449.0</v>
      </c>
      <c r="P3060" s="8" t="s">
        <v>3480</v>
      </c>
      <c r="Q3060" s="8"/>
      <c r="R3060" s="8"/>
    </row>
    <row r="3061">
      <c r="A3061" s="8" t="s">
        <v>3207</v>
      </c>
      <c r="B3061" s="8" t="s">
        <v>16495</v>
      </c>
      <c r="C3061" s="8" t="s">
        <v>16496</v>
      </c>
      <c r="D3061" s="9">
        <v>8.793412388E9</v>
      </c>
      <c r="E3061" s="8" t="s">
        <v>16497</v>
      </c>
      <c r="F3061" s="8" t="s">
        <v>3863</v>
      </c>
      <c r="G3061" s="8" t="s">
        <v>16498</v>
      </c>
      <c r="H3061" s="8" t="s">
        <v>3479</v>
      </c>
      <c r="I3061" s="9">
        <v>0.0</v>
      </c>
      <c r="J3061" s="9">
        <v>760.0</v>
      </c>
      <c r="K3061" s="9">
        <v>760.0</v>
      </c>
      <c r="L3061" s="9">
        <v>760.0</v>
      </c>
      <c r="M3061" s="9">
        <v>0.0</v>
      </c>
      <c r="N3061" s="9">
        <v>540.0</v>
      </c>
      <c r="O3061" s="9">
        <v>220.0</v>
      </c>
      <c r="P3061" s="8" t="s">
        <v>3480</v>
      </c>
      <c r="Q3061" s="8"/>
      <c r="R3061" s="8"/>
    </row>
    <row r="3062">
      <c r="A3062" s="8" t="s">
        <v>2085</v>
      </c>
      <c r="B3062" s="8" t="s">
        <v>16499</v>
      </c>
      <c r="C3062" s="8" t="s">
        <v>6222</v>
      </c>
      <c r="D3062" s="9">
        <v>7.709901151E9</v>
      </c>
      <c r="E3062" s="8" t="s">
        <v>6223</v>
      </c>
      <c r="F3062" s="8" t="s">
        <v>3768</v>
      </c>
      <c r="G3062" s="8" t="s">
        <v>9865</v>
      </c>
      <c r="H3062" s="8" t="s">
        <v>3479</v>
      </c>
      <c r="I3062" s="9">
        <v>0.0</v>
      </c>
      <c r="J3062" s="9">
        <v>674.0</v>
      </c>
      <c r="K3062" s="9">
        <v>674.0</v>
      </c>
      <c r="L3062" s="9">
        <v>674.0</v>
      </c>
      <c r="M3062" s="9">
        <v>225.0</v>
      </c>
      <c r="N3062" s="9">
        <v>0.0</v>
      </c>
      <c r="O3062" s="9">
        <v>449.0</v>
      </c>
      <c r="P3062" s="8" t="s">
        <v>3480</v>
      </c>
      <c r="Q3062" s="8" t="s">
        <v>6225</v>
      </c>
      <c r="R3062" s="8" t="s">
        <v>6226</v>
      </c>
    </row>
    <row r="3063">
      <c r="A3063" s="8" t="s">
        <v>1117</v>
      </c>
      <c r="B3063" s="8" t="s">
        <v>16500</v>
      </c>
      <c r="C3063" s="8" t="s">
        <v>16501</v>
      </c>
      <c r="D3063" s="9">
        <v>8.087444804E9</v>
      </c>
      <c r="E3063" s="8" t="s">
        <v>16502</v>
      </c>
      <c r="F3063" s="8" t="s">
        <v>3498</v>
      </c>
      <c r="G3063" s="8" t="s">
        <v>16503</v>
      </c>
      <c r="H3063" s="8" t="s">
        <v>3479</v>
      </c>
      <c r="I3063" s="9">
        <v>0.0</v>
      </c>
      <c r="J3063" s="9">
        <v>1818.0</v>
      </c>
      <c r="K3063" s="9">
        <v>1818.0</v>
      </c>
      <c r="L3063" s="9">
        <v>1818.0</v>
      </c>
      <c r="M3063" s="9">
        <v>555.0</v>
      </c>
      <c r="N3063" s="9">
        <v>739.0</v>
      </c>
      <c r="O3063" s="9">
        <v>524.0</v>
      </c>
      <c r="P3063" s="8" t="s">
        <v>3480</v>
      </c>
      <c r="Q3063" s="8" t="s">
        <v>4241</v>
      </c>
      <c r="R3063" s="8"/>
    </row>
    <row r="3064">
      <c r="A3064" s="8" t="s">
        <v>3160</v>
      </c>
      <c r="B3064" s="8" t="s">
        <v>16504</v>
      </c>
      <c r="C3064" s="8" t="s">
        <v>8891</v>
      </c>
      <c r="D3064" s="9">
        <v>8.087987588E9</v>
      </c>
      <c r="E3064" s="8" t="s">
        <v>8892</v>
      </c>
      <c r="F3064" s="8" t="s">
        <v>3608</v>
      </c>
      <c r="G3064" s="8" t="s">
        <v>8893</v>
      </c>
      <c r="H3064" s="8" t="s">
        <v>3479</v>
      </c>
      <c r="I3064" s="9">
        <v>0.0</v>
      </c>
      <c r="J3064" s="9">
        <v>1350.0</v>
      </c>
      <c r="K3064" s="9">
        <v>1350.0</v>
      </c>
      <c r="L3064" s="9">
        <v>1350.0</v>
      </c>
      <c r="M3064" s="9">
        <v>1350.0</v>
      </c>
      <c r="N3064" s="9">
        <v>0.0</v>
      </c>
      <c r="O3064" s="9">
        <v>0.0</v>
      </c>
      <c r="P3064" s="8" t="s">
        <v>3480</v>
      </c>
      <c r="Q3064" s="8" t="s">
        <v>8894</v>
      </c>
      <c r="R3064" s="8" t="s">
        <v>8895</v>
      </c>
    </row>
    <row r="3065">
      <c r="A3065" s="8" t="s">
        <v>3161</v>
      </c>
      <c r="B3065" s="8" t="s">
        <v>16505</v>
      </c>
      <c r="C3065" s="8" t="s">
        <v>16506</v>
      </c>
      <c r="D3065" s="9">
        <v>9.881464779E9</v>
      </c>
      <c r="E3065" s="8" t="s">
        <v>16507</v>
      </c>
      <c r="F3065" s="8" t="s">
        <v>3681</v>
      </c>
      <c r="G3065" s="8" t="s">
        <v>16508</v>
      </c>
      <c r="H3065" s="8" t="s">
        <v>3479</v>
      </c>
      <c r="I3065" s="9">
        <v>0.0</v>
      </c>
      <c r="J3065" s="9">
        <v>2232.0</v>
      </c>
      <c r="K3065" s="9">
        <v>2232.0</v>
      </c>
      <c r="L3065" s="9">
        <v>2232.0</v>
      </c>
      <c r="M3065" s="9">
        <v>858.0</v>
      </c>
      <c r="N3065" s="9">
        <v>775.0</v>
      </c>
      <c r="O3065" s="9">
        <v>599.0</v>
      </c>
      <c r="P3065" s="8" t="s">
        <v>3480</v>
      </c>
      <c r="Q3065" s="8"/>
      <c r="R3065" s="8"/>
    </row>
    <row r="3066">
      <c r="A3066" s="8" t="s">
        <v>3210</v>
      </c>
      <c r="B3066" s="8" t="s">
        <v>16509</v>
      </c>
      <c r="C3066" s="8" t="s">
        <v>16510</v>
      </c>
      <c r="D3066" s="9">
        <v>7.972616485E9</v>
      </c>
      <c r="E3066" s="8" t="s">
        <v>16511</v>
      </c>
      <c r="F3066" s="8" t="s">
        <v>3564</v>
      </c>
      <c r="G3066" s="8" t="s">
        <v>16512</v>
      </c>
      <c r="H3066" s="8" t="s">
        <v>3479</v>
      </c>
      <c r="I3066" s="9">
        <v>0.0</v>
      </c>
      <c r="J3066" s="9">
        <v>4594.0</v>
      </c>
      <c r="K3066" s="9">
        <v>4594.0</v>
      </c>
      <c r="L3066" s="9">
        <v>4594.0</v>
      </c>
      <c r="M3066" s="9">
        <v>3037.0</v>
      </c>
      <c r="N3066" s="9">
        <v>358.0</v>
      </c>
      <c r="O3066" s="9">
        <v>1199.0</v>
      </c>
      <c r="P3066" s="8" t="s">
        <v>3480</v>
      </c>
      <c r="Q3066" s="8"/>
      <c r="R3066" s="8"/>
    </row>
    <row r="3067">
      <c r="A3067" s="8" t="s">
        <v>3162</v>
      </c>
      <c r="B3067" s="8" t="s">
        <v>16513</v>
      </c>
      <c r="C3067" s="8" t="s">
        <v>3496</v>
      </c>
      <c r="D3067" s="9">
        <v>9.049536462E9</v>
      </c>
      <c r="E3067" s="8" t="s">
        <v>3497</v>
      </c>
      <c r="F3067" s="8" t="s">
        <v>3498</v>
      </c>
      <c r="G3067" s="8" t="s">
        <v>16514</v>
      </c>
      <c r="H3067" s="8" t="s">
        <v>3479</v>
      </c>
      <c r="I3067" s="9">
        <v>0.0</v>
      </c>
      <c r="J3067" s="9">
        <v>2561.0</v>
      </c>
      <c r="K3067" s="9">
        <v>2561.0</v>
      </c>
      <c r="L3067" s="9">
        <v>2561.0</v>
      </c>
      <c r="M3067" s="9">
        <v>1298.0</v>
      </c>
      <c r="N3067" s="9">
        <v>739.0</v>
      </c>
      <c r="O3067" s="9">
        <v>524.0</v>
      </c>
      <c r="P3067" s="8" t="s">
        <v>3480</v>
      </c>
      <c r="Q3067" s="8" t="s">
        <v>3500</v>
      </c>
      <c r="R3067" s="8" t="s">
        <v>3501</v>
      </c>
    </row>
    <row r="3068">
      <c r="A3068" s="8" t="s">
        <v>3163</v>
      </c>
      <c r="B3068" s="8" t="s">
        <v>16515</v>
      </c>
      <c r="C3068" s="8" t="s">
        <v>7756</v>
      </c>
      <c r="D3068" s="9">
        <v>7.841091808E9</v>
      </c>
      <c r="E3068" s="8" t="s">
        <v>7757</v>
      </c>
      <c r="F3068" s="8" t="s">
        <v>3608</v>
      </c>
      <c r="G3068" s="8" t="s">
        <v>7758</v>
      </c>
      <c r="H3068" s="8" t="s">
        <v>3479</v>
      </c>
      <c r="I3068" s="9">
        <v>0.0</v>
      </c>
      <c r="J3068" s="9">
        <v>350.0</v>
      </c>
      <c r="K3068" s="9">
        <v>350.0</v>
      </c>
      <c r="L3068" s="9">
        <v>350.0</v>
      </c>
      <c r="M3068" s="9">
        <v>350.0</v>
      </c>
      <c r="N3068" s="9">
        <v>0.0</v>
      </c>
      <c r="O3068" s="9">
        <v>0.0</v>
      </c>
      <c r="P3068" s="8" t="s">
        <v>3519</v>
      </c>
      <c r="Q3068" s="8"/>
      <c r="R3068" s="8"/>
    </row>
    <row r="3069">
      <c r="A3069" s="8" t="s">
        <v>1118</v>
      </c>
      <c r="B3069" s="8" t="s">
        <v>16516</v>
      </c>
      <c r="C3069" s="8" t="s">
        <v>16517</v>
      </c>
      <c r="D3069" s="9">
        <v>8.602196399E9</v>
      </c>
      <c r="E3069" s="8" t="s">
        <v>16518</v>
      </c>
      <c r="F3069" s="8" t="s">
        <v>5485</v>
      </c>
      <c r="G3069" s="8" t="s">
        <v>16519</v>
      </c>
      <c r="H3069" s="8" t="s">
        <v>3479</v>
      </c>
      <c r="I3069" s="9">
        <v>0.0</v>
      </c>
      <c r="J3069" s="9">
        <v>679.0</v>
      </c>
      <c r="K3069" s="9">
        <v>679.0</v>
      </c>
      <c r="L3069" s="9">
        <v>679.0</v>
      </c>
      <c r="M3069" s="9">
        <v>80.0</v>
      </c>
      <c r="N3069" s="9">
        <v>0.0</v>
      </c>
      <c r="O3069" s="9">
        <v>599.0</v>
      </c>
      <c r="P3069" s="8" t="s">
        <v>3480</v>
      </c>
      <c r="Q3069" s="8"/>
      <c r="R3069" s="8"/>
    </row>
    <row r="3070">
      <c r="A3070" s="8" t="s">
        <v>3211</v>
      </c>
      <c r="B3070" s="8" t="s">
        <v>16520</v>
      </c>
      <c r="C3070" s="8" t="s">
        <v>16521</v>
      </c>
      <c r="D3070" s="9">
        <v>9.970499146E9</v>
      </c>
      <c r="E3070" s="8" t="s">
        <v>16522</v>
      </c>
      <c r="F3070" s="8" t="s">
        <v>3821</v>
      </c>
      <c r="G3070" s="8" t="s">
        <v>16523</v>
      </c>
      <c r="H3070" s="8" t="s">
        <v>3479</v>
      </c>
      <c r="I3070" s="9">
        <v>0.0</v>
      </c>
      <c r="J3070" s="9">
        <v>2948.0</v>
      </c>
      <c r="K3070" s="9">
        <v>2948.0</v>
      </c>
      <c r="L3070" s="9">
        <v>2948.0</v>
      </c>
      <c r="M3070" s="9">
        <v>1685.0</v>
      </c>
      <c r="N3070" s="9">
        <v>739.0</v>
      </c>
      <c r="O3070" s="9">
        <v>524.0</v>
      </c>
      <c r="P3070" s="8" t="s">
        <v>3519</v>
      </c>
      <c r="Q3070" s="8" t="s">
        <v>16524</v>
      </c>
      <c r="R3070" s="8" t="s">
        <v>16525</v>
      </c>
    </row>
    <row r="3071">
      <c r="A3071" s="8" t="s">
        <v>1121</v>
      </c>
      <c r="B3071" s="8" t="s">
        <v>16526</v>
      </c>
      <c r="C3071" s="8" t="s">
        <v>6232</v>
      </c>
      <c r="D3071" s="9">
        <v>9.175477077E9</v>
      </c>
      <c r="E3071" s="8" t="s">
        <v>6233</v>
      </c>
      <c r="F3071" s="8" t="s">
        <v>6234</v>
      </c>
      <c r="G3071" s="8" t="s">
        <v>11256</v>
      </c>
      <c r="H3071" s="8" t="s">
        <v>3479</v>
      </c>
      <c r="I3071" s="9">
        <v>0.0</v>
      </c>
      <c r="J3071" s="9">
        <v>1873.0</v>
      </c>
      <c r="K3071" s="9">
        <v>1873.0</v>
      </c>
      <c r="L3071" s="9">
        <v>1873.0</v>
      </c>
      <c r="M3071" s="9">
        <v>560.0</v>
      </c>
      <c r="N3071" s="9">
        <v>739.0</v>
      </c>
      <c r="O3071" s="9">
        <v>574.0</v>
      </c>
      <c r="P3071" s="8" t="s">
        <v>3480</v>
      </c>
      <c r="Q3071" s="8" t="s">
        <v>6235</v>
      </c>
      <c r="R3071" s="8" t="s">
        <v>6236</v>
      </c>
    </row>
    <row r="3072">
      <c r="A3072" s="8" t="s">
        <v>1122</v>
      </c>
      <c r="B3072" s="8" t="s">
        <v>16527</v>
      </c>
      <c r="C3072" s="8" t="s">
        <v>16528</v>
      </c>
      <c r="D3072" s="9">
        <v>9.975024113E9</v>
      </c>
      <c r="E3072" s="8" t="s">
        <v>16529</v>
      </c>
      <c r="F3072" s="8" t="s">
        <v>8835</v>
      </c>
      <c r="G3072" s="8" t="s">
        <v>16530</v>
      </c>
      <c r="H3072" s="8" t="s">
        <v>3479</v>
      </c>
      <c r="I3072" s="9">
        <v>0.0</v>
      </c>
      <c r="J3072" s="9">
        <v>5089.0</v>
      </c>
      <c r="K3072" s="9">
        <v>5089.0</v>
      </c>
      <c r="L3072" s="9">
        <v>5089.0</v>
      </c>
      <c r="M3072" s="9">
        <v>3390.0</v>
      </c>
      <c r="N3072" s="9">
        <v>775.0</v>
      </c>
      <c r="O3072" s="9">
        <v>924.0</v>
      </c>
      <c r="P3072" s="8" t="s">
        <v>3480</v>
      </c>
      <c r="Q3072" s="8"/>
      <c r="R3072" s="8"/>
    </row>
    <row r="3073">
      <c r="A3073" s="8" t="s">
        <v>1123</v>
      </c>
      <c r="B3073" s="8" t="s">
        <v>16531</v>
      </c>
      <c r="C3073" s="8" t="s">
        <v>16532</v>
      </c>
      <c r="D3073" s="9">
        <v>7.709580077E9</v>
      </c>
      <c r="E3073" s="8" t="s">
        <v>16533</v>
      </c>
      <c r="F3073" s="8" t="s">
        <v>4436</v>
      </c>
      <c r="G3073" s="8" t="s">
        <v>16534</v>
      </c>
      <c r="H3073" s="8" t="s">
        <v>3479</v>
      </c>
      <c r="I3073" s="9">
        <v>0.0</v>
      </c>
      <c r="J3073" s="9">
        <v>529.0</v>
      </c>
      <c r="K3073" s="9">
        <v>529.0</v>
      </c>
      <c r="L3073" s="9">
        <v>529.0</v>
      </c>
      <c r="M3073" s="9">
        <v>80.0</v>
      </c>
      <c r="N3073" s="9">
        <v>0.0</v>
      </c>
      <c r="O3073" s="9">
        <v>449.0</v>
      </c>
      <c r="P3073" s="8" t="s">
        <v>3480</v>
      </c>
      <c r="Q3073" s="8" t="s">
        <v>16535</v>
      </c>
      <c r="R3073" s="8"/>
    </row>
    <row r="3074">
      <c r="A3074" s="8" t="s">
        <v>1125</v>
      </c>
      <c r="B3074" s="8" t="s">
        <v>16536</v>
      </c>
      <c r="C3074" s="8" t="s">
        <v>16537</v>
      </c>
      <c r="D3074" s="9">
        <v>8.01049858E9</v>
      </c>
      <c r="E3074" s="8" t="s">
        <v>16538</v>
      </c>
      <c r="F3074" s="8" t="s">
        <v>9296</v>
      </c>
      <c r="G3074" s="8" t="s">
        <v>16539</v>
      </c>
      <c r="H3074" s="8" t="s">
        <v>3479</v>
      </c>
      <c r="I3074" s="9">
        <v>0.0</v>
      </c>
      <c r="J3074" s="9">
        <v>2274.0</v>
      </c>
      <c r="K3074" s="9">
        <v>2274.0</v>
      </c>
      <c r="L3074" s="9">
        <v>2274.0</v>
      </c>
      <c r="M3074" s="9">
        <v>215.0</v>
      </c>
      <c r="N3074" s="9">
        <v>1360.0</v>
      </c>
      <c r="O3074" s="9">
        <v>699.0</v>
      </c>
      <c r="P3074" s="8" t="s">
        <v>3480</v>
      </c>
      <c r="Q3074" s="8" t="s">
        <v>16540</v>
      </c>
      <c r="R3074" s="8" t="s">
        <v>16541</v>
      </c>
    </row>
    <row r="3075">
      <c r="A3075" s="8" t="s">
        <v>1127</v>
      </c>
      <c r="B3075" s="8" t="s">
        <v>16542</v>
      </c>
      <c r="C3075" s="8" t="s">
        <v>4009</v>
      </c>
      <c r="D3075" s="9">
        <v>9.970629341E9</v>
      </c>
      <c r="E3075" s="8" t="s">
        <v>16543</v>
      </c>
      <c r="F3075" s="8" t="s">
        <v>4239</v>
      </c>
      <c r="G3075" s="8" t="s">
        <v>16544</v>
      </c>
      <c r="H3075" s="8" t="s">
        <v>3479</v>
      </c>
      <c r="I3075" s="9">
        <v>0.0</v>
      </c>
      <c r="J3075" s="9">
        <v>2799.0</v>
      </c>
      <c r="K3075" s="9">
        <v>2799.0</v>
      </c>
      <c r="L3075" s="9">
        <v>2799.0</v>
      </c>
      <c r="M3075" s="9">
        <v>1411.0</v>
      </c>
      <c r="N3075" s="9">
        <v>739.0</v>
      </c>
      <c r="O3075" s="9">
        <v>649.0</v>
      </c>
      <c r="P3075" s="8" t="s">
        <v>3480</v>
      </c>
      <c r="Q3075" s="8"/>
      <c r="R3075" s="8"/>
    </row>
    <row r="3076">
      <c r="A3076" s="8" t="s">
        <v>3225</v>
      </c>
      <c r="B3076" s="8" t="s">
        <v>16545</v>
      </c>
      <c r="C3076" s="8" t="s">
        <v>11536</v>
      </c>
      <c r="D3076" s="9">
        <v>8.806520897E9</v>
      </c>
      <c r="E3076" s="8" t="s">
        <v>11537</v>
      </c>
      <c r="F3076" s="8" t="s">
        <v>3954</v>
      </c>
      <c r="G3076" s="8" t="s">
        <v>16546</v>
      </c>
      <c r="H3076" s="8" t="s">
        <v>3479</v>
      </c>
      <c r="I3076" s="9">
        <v>0.0</v>
      </c>
      <c r="J3076" s="9">
        <v>1454.0</v>
      </c>
      <c r="K3076" s="9">
        <v>1454.0</v>
      </c>
      <c r="L3076" s="9">
        <v>1454.0</v>
      </c>
      <c r="M3076" s="9">
        <v>80.0</v>
      </c>
      <c r="N3076" s="9">
        <v>775.0</v>
      </c>
      <c r="O3076" s="9">
        <v>599.0</v>
      </c>
      <c r="P3076" s="8" t="s">
        <v>3480</v>
      </c>
      <c r="Q3076" s="8"/>
      <c r="R3076" s="8"/>
    </row>
    <row r="3077">
      <c r="A3077" s="8" t="s">
        <v>585</v>
      </c>
      <c r="B3077" s="8" t="s">
        <v>16547</v>
      </c>
      <c r="C3077" s="8" t="s">
        <v>16548</v>
      </c>
      <c r="D3077" s="9">
        <v>8.796861242E9</v>
      </c>
      <c r="E3077" s="8" t="s">
        <v>16549</v>
      </c>
      <c r="F3077" s="8" t="s">
        <v>3615</v>
      </c>
      <c r="G3077" s="8" t="s">
        <v>16550</v>
      </c>
      <c r="H3077" s="8" t="s">
        <v>3479</v>
      </c>
      <c r="I3077" s="9">
        <v>0.0</v>
      </c>
      <c r="J3077" s="9">
        <v>1917.0</v>
      </c>
      <c r="K3077" s="9">
        <v>1917.0</v>
      </c>
      <c r="L3077" s="9">
        <v>1917.0</v>
      </c>
      <c r="M3077" s="9">
        <v>693.0</v>
      </c>
      <c r="N3077" s="9">
        <v>775.0</v>
      </c>
      <c r="O3077" s="9">
        <v>449.0</v>
      </c>
      <c r="P3077" s="8" t="s">
        <v>3480</v>
      </c>
      <c r="Q3077" s="8"/>
      <c r="R3077" s="8"/>
    </row>
    <row r="3078">
      <c r="A3078" s="8" t="s">
        <v>1115</v>
      </c>
      <c r="B3078" s="8" t="s">
        <v>16551</v>
      </c>
      <c r="C3078" s="8" t="s">
        <v>16552</v>
      </c>
      <c r="D3078" s="9">
        <v>9.822895852E9</v>
      </c>
      <c r="E3078" s="8" t="s">
        <v>16553</v>
      </c>
      <c r="F3078" s="8" t="s">
        <v>6455</v>
      </c>
      <c r="G3078" s="8" t="s">
        <v>16554</v>
      </c>
      <c r="H3078" s="8" t="s">
        <v>3479</v>
      </c>
      <c r="I3078" s="9">
        <v>0.0</v>
      </c>
      <c r="J3078" s="9">
        <v>1350.0</v>
      </c>
      <c r="K3078" s="9">
        <v>1350.0</v>
      </c>
      <c r="L3078" s="9">
        <v>1350.0</v>
      </c>
      <c r="M3078" s="9">
        <v>1350.0</v>
      </c>
      <c r="N3078" s="9">
        <v>0.0</v>
      </c>
      <c r="O3078" s="9">
        <v>0.0</v>
      </c>
      <c r="P3078" s="8" t="s">
        <v>3480</v>
      </c>
      <c r="Q3078" s="8"/>
      <c r="R3078" s="8"/>
    </row>
    <row r="3079">
      <c r="A3079" s="8" t="s">
        <v>1116</v>
      </c>
      <c r="B3079" s="8" t="s">
        <v>16555</v>
      </c>
      <c r="C3079" s="8" t="s">
        <v>11086</v>
      </c>
      <c r="D3079" s="9">
        <v>8.329735047E9</v>
      </c>
      <c r="E3079" s="8" t="s">
        <v>11087</v>
      </c>
      <c r="F3079" s="8" t="s">
        <v>3486</v>
      </c>
      <c r="G3079" s="8" t="s">
        <v>16556</v>
      </c>
      <c r="H3079" s="8" t="s">
        <v>3479</v>
      </c>
      <c r="I3079" s="9">
        <v>0.0</v>
      </c>
      <c r="J3079" s="9">
        <v>1718.0</v>
      </c>
      <c r="K3079" s="9">
        <v>1718.0</v>
      </c>
      <c r="L3079" s="9">
        <v>1718.0</v>
      </c>
      <c r="M3079" s="9">
        <v>530.0</v>
      </c>
      <c r="N3079" s="9">
        <v>739.0</v>
      </c>
      <c r="O3079" s="9">
        <v>449.0</v>
      </c>
      <c r="P3079" s="8" t="s">
        <v>3480</v>
      </c>
      <c r="Q3079" s="8" t="s">
        <v>11089</v>
      </c>
      <c r="R3079" s="8" t="s">
        <v>11090</v>
      </c>
    </row>
    <row r="3080">
      <c r="A3080" s="8" t="s">
        <v>3208</v>
      </c>
      <c r="B3080" s="8" t="s">
        <v>16557</v>
      </c>
      <c r="C3080" s="8" t="s">
        <v>4326</v>
      </c>
      <c r="D3080" s="9">
        <v>9.284541754E9</v>
      </c>
      <c r="E3080" s="8" t="s">
        <v>4327</v>
      </c>
      <c r="F3080" s="8" t="s">
        <v>3977</v>
      </c>
      <c r="G3080" s="8" t="s">
        <v>4328</v>
      </c>
      <c r="H3080" s="8" t="s">
        <v>3479</v>
      </c>
      <c r="I3080" s="9">
        <v>0.0</v>
      </c>
      <c r="J3080" s="9">
        <v>1799.0</v>
      </c>
      <c r="K3080" s="9">
        <v>1799.0</v>
      </c>
      <c r="L3080" s="9">
        <v>1799.0</v>
      </c>
      <c r="M3080" s="9">
        <v>590.0</v>
      </c>
      <c r="N3080" s="9">
        <v>760.0</v>
      </c>
      <c r="O3080" s="9">
        <v>449.0</v>
      </c>
      <c r="P3080" s="8" t="s">
        <v>3480</v>
      </c>
      <c r="Q3080" s="8" t="s">
        <v>4329</v>
      </c>
      <c r="R3080" s="8"/>
    </row>
    <row r="3081">
      <c r="A3081" s="8" t="s">
        <v>3209</v>
      </c>
      <c r="B3081" s="8" t="s">
        <v>16558</v>
      </c>
      <c r="C3081" s="8" t="s">
        <v>16559</v>
      </c>
      <c r="D3081" s="9">
        <v>7.249102734E9</v>
      </c>
      <c r="E3081" s="8" t="s">
        <v>16560</v>
      </c>
      <c r="F3081" s="8" t="s">
        <v>3486</v>
      </c>
      <c r="G3081" s="8" t="s">
        <v>16561</v>
      </c>
      <c r="H3081" s="8" t="s">
        <v>3479</v>
      </c>
      <c r="I3081" s="9">
        <v>0.0</v>
      </c>
      <c r="J3081" s="9">
        <v>1524.0</v>
      </c>
      <c r="K3081" s="9">
        <v>1524.0</v>
      </c>
      <c r="L3081" s="9">
        <v>1524.0</v>
      </c>
      <c r="M3081" s="9">
        <v>330.0</v>
      </c>
      <c r="N3081" s="9">
        <v>745.0</v>
      </c>
      <c r="O3081" s="9">
        <v>449.0</v>
      </c>
      <c r="P3081" s="8" t="s">
        <v>3480</v>
      </c>
      <c r="Q3081" s="8"/>
      <c r="R3081" s="8"/>
    </row>
    <row r="3082">
      <c r="A3082" s="8" t="s">
        <v>1119</v>
      </c>
      <c r="B3082" s="8" t="s">
        <v>16562</v>
      </c>
      <c r="C3082" s="8" t="s">
        <v>7308</v>
      </c>
      <c r="D3082" s="9">
        <v>8.446645375E9</v>
      </c>
      <c r="E3082" s="8" t="s">
        <v>7309</v>
      </c>
      <c r="F3082" s="8" t="s">
        <v>3828</v>
      </c>
      <c r="G3082" s="8" t="s">
        <v>16563</v>
      </c>
      <c r="H3082" s="8" t="s">
        <v>3479</v>
      </c>
      <c r="I3082" s="9">
        <v>0.0</v>
      </c>
      <c r="J3082" s="9">
        <v>1599.0</v>
      </c>
      <c r="K3082" s="9">
        <v>1599.0</v>
      </c>
      <c r="L3082" s="9">
        <v>1599.0</v>
      </c>
      <c r="M3082" s="9">
        <v>375.0</v>
      </c>
      <c r="N3082" s="9">
        <v>775.0</v>
      </c>
      <c r="O3082" s="9">
        <v>449.0</v>
      </c>
      <c r="P3082" s="8" t="s">
        <v>3480</v>
      </c>
      <c r="Q3082" s="8" t="s">
        <v>7311</v>
      </c>
      <c r="R3082" s="8" t="s">
        <v>7312</v>
      </c>
    </row>
    <row r="3083">
      <c r="A3083" s="8" t="s">
        <v>3164</v>
      </c>
      <c r="B3083" s="8" t="s">
        <v>16564</v>
      </c>
      <c r="C3083" s="8" t="s">
        <v>4486</v>
      </c>
      <c r="D3083" s="9">
        <v>9.029912316E9</v>
      </c>
      <c r="E3083" s="8" t="s">
        <v>4487</v>
      </c>
      <c r="F3083" s="8" t="s">
        <v>3486</v>
      </c>
      <c r="G3083" s="8" t="s">
        <v>4488</v>
      </c>
      <c r="H3083" s="8" t="s">
        <v>3479</v>
      </c>
      <c r="I3083" s="9">
        <v>0.0</v>
      </c>
      <c r="J3083" s="9">
        <v>1719.0</v>
      </c>
      <c r="K3083" s="9">
        <v>1719.0</v>
      </c>
      <c r="L3083" s="9">
        <v>1719.0</v>
      </c>
      <c r="M3083" s="9">
        <v>390.0</v>
      </c>
      <c r="N3083" s="9">
        <v>730.0</v>
      </c>
      <c r="O3083" s="9">
        <v>599.0</v>
      </c>
      <c r="P3083" s="8" t="s">
        <v>3480</v>
      </c>
      <c r="Q3083" s="8" t="s">
        <v>4489</v>
      </c>
      <c r="R3083" s="8" t="s">
        <v>4490</v>
      </c>
    </row>
    <row r="3084">
      <c r="A3084" s="8" t="s">
        <v>1120</v>
      </c>
      <c r="B3084" s="8" t="s">
        <v>16565</v>
      </c>
      <c r="C3084" s="8" t="s">
        <v>16566</v>
      </c>
      <c r="D3084" s="9">
        <v>8.888263054E9</v>
      </c>
      <c r="E3084" s="8" t="s">
        <v>16567</v>
      </c>
      <c r="F3084" s="8" t="s">
        <v>3677</v>
      </c>
      <c r="G3084" s="8" t="s">
        <v>16568</v>
      </c>
      <c r="H3084" s="8" t="s">
        <v>3479</v>
      </c>
      <c r="I3084" s="9">
        <v>0.0</v>
      </c>
      <c r="J3084" s="9">
        <v>3649.0</v>
      </c>
      <c r="K3084" s="9">
        <v>3649.0</v>
      </c>
      <c r="L3084" s="9">
        <v>3649.0</v>
      </c>
      <c r="M3084" s="9">
        <v>1401.0</v>
      </c>
      <c r="N3084" s="9">
        <v>1324.0</v>
      </c>
      <c r="O3084" s="9">
        <v>924.0</v>
      </c>
      <c r="P3084" s="8" t="s">
        <v>3480</v>
      </c>
      <c r="Q3084" s="8"/>
      <c r="R3084" s="8"/>
    </row>
    <row r="3085">
      <c r="A3085" s="8" t="s">
        <v>3212</v>
      </c>
      <c r="B3085" s="8" t="s">
        <v>16569</v>
      </c>
      <c r="C3085" s="8" t="s">
        <v>11381</v>
      </c>
      <c r="D3085" s="9">
        <v>9.687344466E9</v>
      </c>
      <c r="E3085" s="8" t="s">
        <v>11382</v>
      </c>
      <c r="F3085" s="8" t="s">
        <v>11383</v>
      </c>
      <c r="G3085" s="8" t="s">
        <v>9865</v>
      </c>
      <c r="H3085" s="8" t="s">
        <v>3479</v>
      </c>
      <c r="I3085" s="9">
        <v>0.0</v>
      </c>
      <c r="J3085" s="9">
        <v>928.0</v>
      </c>
      <c r="K3085" s="9">
        <v>928.0</v>
      </c>
      <c r="L3085" s="9">
        <v>928.0</v>
      </c>
      <c r="M3085" s="9">
        <v>129.0</v>
      </c>
      <c r="N3085" s="9">
        <v>0.0</v>
      </c>
      <c r="O3085" s="9">
        <v>799.0</v>
      </c>
      <c r="P3085" s="8" t="s">
        <v>3480</v>
      </c>
      <c r="Q3085" s="8"/>
      <c r="R3085" s="8"/>
    </row>
    <row r="3086">
      <c r="A3086" s="8" t="s">
        <v>3222</v>
      </c>
      <c r="B3086" s="8" t="s">
        <v>16570</v>
      </c>
      <c r="C3086" s="8" t="s">
        <v>15730</v>
      </c>
      <c r="D3086" s="9">
        <v>8.459871622E9</v>
      </c>
      <c r="E3086" s="8" t="s">
        <v>15731</v>
      </c>
      <c r="F3086" s="8" t="s">
        <v>3589</v>
      </c>
      <c r="G3086" s="8" t="s">
        <v>15732</v>
      </c>
      <c r="H3086" s="8" t="s">
        <v>3479</v>
      </c>
      <c r="I3086" s="9">
        <v>0.0</v>
      </c>
      <c r="J3086" s="9">
        <v>2495.0</v>
      </c>
      <c r="K3086" s="9">
        <v>2495.0</v>
      </c>
      <c r="L3086" s="9">
        <v>2495.0</v>
      </c>
      <c r="M3086" s="9">
        <v>2495.0</v>
      </c>
      <c r="N3086" s="9">
        <v>0.0</v>
      </c>
      <c r="O3086" s="9">
        <v>0.0</v>
      </c>
      <c r="P3086" s="8" t="s">
        <v>3480</v>
      </c>
      <c r="Q3086" s="8"/>
      <c r="R3086" s="8"/>
    </row>
    <row r="3087">
      <c r="A3087" s="8" t="s">
        <v>3223</v>
      </c>
      <c r="B3087" s="8" t="s">
        <v>16571</v>
      </c>
      <c r="C3087" s="8" t="s">
        <v>16572</v>
      </c>
      <c r="D3087" s="9">
        <v>9.682117931E9</v>
      </c>
      <c r="E3087" s="8" t="s">
        <v>16573</v>
      </c>
      <c r="F3087" s="8" t="s">
        <v>4540</v>
      </c>
      <c r="G3087" s="8" t="s">
        <v>16574</v>
      </c>
      <c r="H3087" s="8" t="s">
        <v>3479</v>
      </c>
      <c r="I3087" s="9">
        <v>0.0</v>
      </c>
      <c r="J3087" s="9">
        <v>1296.0</v>
      </c>
      <c r="K3087" s="9">
        <v>3271.0</v>
      </c>
      <c r="L3087" s="9">
        <v>3271.0</v>
      </c>
      <c r="M3087" s="9">
        <v>2516.0</v>
      </c>
      <c r="N3087" s="9">
        <v>130.0</v>
      </c>
      <c r="O3087" s="9">
        <v>625.0</v>
      </c>
      <c r="P3087" s="8" t="s">
        <v>3480</v>
      </c>
      <c r="Q3087" s="8"/>
      <c r="R3087" s="8"/>
    </row>
    <row r="3088">
      <c r="A3088" s="8" t="s">
        <v>1124</v>
      </c>
      <c r="B3088" s="8" t="s">
        <v>16575</v>
      </c>
      <c r="C3088" s="8" t="s">
        <v>9265</v>
      </c>
      <c r="D3088" s="9">
        <v>7.709599301E9</v>
      </c>
      <c r="E3088" s="8" t="s">
        <v>16576</v>
      </c>
      <c r="F3088" s="8" t="s">
        <v>3653</v>
      </c>
      <c r="G3088" s="8" t="s">
        <v>3494</v>
      </c>
      <c r="H3088" s="8" t="s">
        <v>3479</v>
      </c>
      <c r="I3088" s="9">
        <v>0.0</v>
      </c>
      <c r="J3088" s="9">
        <v>5762.0</v>
      </c>
      <c r="K3088" s="9">
        <v>5762.0</v>
      </c>
      <c r="L3088" s="9">
        <v>5762.0</v>
      </c>
      <c r="M3088" s="9">
        <v>3963.0</v>
      </c>
      <c r="N3088" s="9">
        <v>775.0</v>
      </c>
      <c r="O3088" s="9">
        <v>1024.0</v>
      </c>
      <c r="P3088" s="8" t="s">
        <v>3480</v>
      </c>
      <c r="Q3088" s="8"/>
      <c r="R3088" s="8"/>
    </row>
    <row r="3089">
      <c r="A3089" s="8" t="s">
        <v>1126</v>
      </c>
      <c r="B3089" s="8" t="s">
        <v>16577</v>
      </c>
      <c r="C3089" s="8" t="s">
        <v>8258</v>
      </c>
      <c r="D3089" s="9">
        <v>9.763489598E9</v>
      </c>
      <c r="E3089" s="8" t="s">
        <v>8259</v>
      </c>
      <c r="F3089" s="8" t="s">
        <v>3589</v>
      </c>
      <c r="G3089" s="8" t="s">
        <v>16578</v>
      </c>
      <c r="H3089" s="8" t="s">
        <v>5562</v>
      </c>
      <c r="I3089" s="9">
        <v>0.0</v>
      </c>
      <c r="J3089" s="9">
        <v>2000.0</v>
      </c>
      <c r="K3089" s="9">
        <v>2052.0</v>
      </c>
      <c r="L3089" s="9">
        <v>2000.0</v>
      </c>
      <c r="M3089" s="9">
        <v>789.0</v>
      </c>
      <c r="N3089" s="9">
        <v>739.0</v>
      </c>
      <c r="O3089" s="9">
        <v>524.0</v>
      </c>
      <c r="P3089" s="8" t="s">
        <v>3480</v>
      </c>
      <c r="Q3089" s="8" t="s">
        <v>8261</v>
      </c>
      <c r="R3089" s="8" t="s">
        <v>8262</v>
      </c>
    </row>
    <row r="3090">
      <c r="A3090" s="8" t="s">
        <v>3227</v>
      </c>
      <c r="B3090" s="8" t="s">
        <v>16579</v>
      </c>
      <c r="C3090" s="8" t="s">
        <v>11037</v>
      </c>
      <c r="D3090" s="9">
        <v>8.390548181E9</v>
      </c>
      <c r="E3090" s="8" t="s">
        <v>16580</v>
      </c>
      <c r="F3090" s="8" t="s">
        <v>3615</v>
      </c>
      <c r="G3090" s="8" t="s">
        <v>16581</v>
      </c>
      <c r="H3090" s="8" t="s">
        <v>3479</v>
      </c>
      <c r="I3090" s="9">
        <v>0.0</v>
      </c>
      <c r="J3090" s="9">
        <v>2028.0</v>
      </c>
      <c r="K3090" s="9">
        <v>2028.0</v>
      </c>
      <c r="L3090" s="9">
        <v>2028.0</v>
      </c>
      <c r="M3090" s="9">
        <v>1479.0</v>
      </c>
      <c r="N3090" s="9">
        <v>0.0</v>
      </c>
      <c r="O3090" s="9">
        <v>549.0</v>
      </c>
      <c r="P3090" s="8" t="s">
        <v>3480</v>
      </c>
      <c r="Q3090" s="8" t="s">
        <v>16582</v>
      </c>
      <c r="R3090" s="8" t="s">
        <v>16583</v>
      </c>
    </row>
    <row r="3091">
      <c r="A3091" s="8" t="s">
        <v>3228</v>
      </c>
      <c r="B3091" s="8" t="s">
        <v>16584</v>
      </c>
      <c r="C3091" s="8" t="s">
        <v>14585</v>
      </c>
      <c r="D3091" s="9">
        <v>8.668610879E9</v>
      </c>
      <c r="E3091" s="8" t="s">
        <v>14586</v>
      </c>
      <c r="F3091" s="8" t="s">
        <v>3809</v>
      </c>
      <c r="G3091" s="8" t="s">
        <v>16585</v>
      </c>
      <c r="H3091" s="8" t="s">
        <v>3479</v>
      </c>
      <c r="I3091" s="9">
        <v>0.0</v>
      </c>
      <c r="J3091" s="9">
        <v>1628.0</v>
      </c>
      <c r="K3091" s="9">
        <v>1628.0</v>
      </c>
      <c r="L3091" s="9">
        <v>1628.0</v>
      </c>
      <c r="M3091" s="9">
        <v>431.0</v>
      </c>
      <c r="N3091" s="9">
        <v>748.0</v>
      </c>
      <c r="O3091" s="9">
        <v>449.0</v>
      </c>
      <c r="P3091" s="8" t="s">
        <v>3480</v>
      </c>
      <c r="Q3091" s="8"/>
      <c r="R3091" s="8"/>
    </row>
    <row r="3092">
      <c r="A3092" s="8" t="s">
        <v>3229</v>
      </c>
      <c r="B3092" s="8" t="s">
        <v>16586</v>
      </c>
      <c r="C3092" s="8" t="s">
        <v>3528</v>
      </c>
      <c r="D3092" s="9">
        <v>7.410515046E9</v>
      </c>
      <c r="E3092" s="8" t="s">
        <v>3529</v>
      </c>
      <c r="F3092" s="8" t="s">
        <v>3530</v>
      </c>
      <c r="G3092" s="8" t="s">
        <v>16587</v>
      </c>
      <c r="H3092" s="8" t="s">
        <v>3479</v>
      </c>
      <c r="I3092" s="9">
        <v>0.0</v>
      </c>
      <c r="J3092" s="9">
        <v>2385.0</v>
      </c>
      <c r="K3092" s="9">
        <v>2385.0</v>
      </c>
      <c r="L3092" s="9">
        <v>2385.0</v>
      </c>
      <c r="M3092" s="9">
        <v>1257.0</v>
      </c>
      <c r="N3092" s="9">
        <v>154.0</v>
      </c>
      <c r="O3092" s="9">
        <v>974.0</v>
      </c>
      <c r="P3092" s="8" t="s">
        <v>3480</v>
      </c>
      <c r="Q3092" s="8"/>
      <c r="R3092" s="8"/>
    </row>
    <row r="3093">
      <c r="A3093" s="8" t="s">
        <v>3213</v>
      </c>
      <c r="B3093" s="8" t="s">
        <v>16588</v>
      </c>
      <c r="C3093" s="8" t="s">
        <v>4378</v>
      </c>
      <c r="D3093" s="9">
        <v>9.6044295E9</v>
      </c>
      <c r="E3093" s="8" t="s">
        <v>16589</v>
      </c>
      <c r="F3093" s="8" t="s">
        <v>3993</v>
      </c>
      <c r="G3093" s="8" t="s">
        <v>16590</v>
      </c>
      <c r="H3093" s="8" t="s">
        <v>3479</v>
      </c>
      <c r="I3093" s="9">
        <v>0.0</v>
      </c>
      <c r="J3093" s="9">
        <v>2440.0</v>
      </c>
      <c r="K3093" s="9">
        <v>2440.0</v>
      </c>
      <c r="L3093" s="9">
        <v>2440.0</v>
      </c>
      <c r="M3093" s="9">
        <v>1066.0</v>
      </c>
      <c r="N3093" s="9">
        <v>775.0</v>
      </c>
      <c r="O3093" s="9">
        <v>599.0</v>
      </c>
      <c r="P3093" s="8" t="s">
        <v>3480</v>
      </c>
      <c r="Q3093" s="8"/>
      <c r="R3093" s="8"/>
    </row>
    <row r="3094">
      <c r="A3094" s="8" t="s">
        <v>3214</v>
      </c>
      <c r="B3094" s="8" t="s">
        <v>16591</v>
      </c>
      <c r="C3094" s="8" t="s">
        <v>16592</v>
      </c>
      <c r="D3094" s="9">
        <v>9.146986112E9</v>
      </c>
      <c r="E3094" s="8" t="s">
        <v>13955</v>
      </c>
      <c r="F3094" s="8" t="s">
        <v>3934</v>
      </c>
      <c r="G3094" s="8" t="s">
        <v>16593</v>
      </c>
      <c r="H3094" s="8" t="s">
        <v>3479</v>
      </c>
      <c r="I3094" s="9">
        <v>0.0</v>
      </c>
      <c r="J3094" s="9">
        <v>2429.0</v>
      </c>
      <c r="K3094" s="9">
        <v>2429.0</v>
      </c>
      <c r="L3094" s="9">
        <v>2429.0</v>
      </c>
      <c r="M3094" s="9">
        <v>1075.0</v>
      </c>
      <c r="N3094" s="9">
        <v>730.0</v>
      </c>
      <c r="O3094" s="9">
        <v>624.0</v>
      </c>
      <c r="P3094" s="8" t="s">
        <v>3480</v>
      </c>
      <c r="Q3094" s="8"/>
      <c r="R3094" s="8"/>
    </row>
    <row r="3095">
      <c r="A3095" s="8" t="s">
        <v>3215</v>
      </c>
      <c r="B3095" s="8" t="s">
        <v>16594</v>
      </c>
      <c r="C3095" s="8" t="s">
        <v>8798</v>
      </c>
      <c r="D3095" s="9">
        <v>8.209163122E9</v>
      </c>
      <c r="E3095" s="8" t="s">
        <v>8799</v>
      </c>
      <c r="F3095" s="8" t="s">
        <v>4112</v>
      </c>
      <c r="G3095" s="8" t="s">
        <v>16595</v>
      </c>
      <c r="H3095" s="8" t="s">
        <v>3479</v>
      </c>
      <c r="I3095" s="9">
        <v>0.0</v>
      </c>
      <c r="J3095" s="9">
        <v>3300.0</v>
      </c>
      <c r="K3095" s="9">
        <v>3300.0</v>
      </c>
      <c r="L3095" s="9">
        <v>3300.0</v>
      </c>
      <c r="M3095" s="9">
        <v>2061.0</v>
      </c>
      <c r="N3095" s="9">
        <v>190.0</v>
      </c>
      <c r="O3095" s="9">
        <v>1049.0</v>
      </c>
      <c r="P3095" s="8" t="s">
        <v>3480</v>
      </c>
      <c r="Q3095" s="8" t="s">
        <v>8801</v>
      </c>
      <c r="R3095" s="8" t="s">
        <v>8802</v>
      </c>
    </row>
    <row r="3096">
      <c r="A3096" s="8" t="s">
        <v>3216</v>
      </c>
      <c r="B3096" s="8" t="s">
        <v>16596</v>
      </c>
      <c r="C3096" s="8" t="s">
        <v>13842</v>
      </c>
      <c r="D3096" s="9">
        <v>7.843054632E9</v>
      </c>
      <c r="E3096" s="8" t="s">
        <v>16597</v>
      </c>
      <c r="F3096" s="8" t="s">
        <v>3608</v>
      </c>
      <c r="G3096" s="8" t="s">
        <v>16598</v>
      </c>
      <c r="H3096" s="8" t="s">
        <v>3479</v>
      </c>
      <c r="I3096" s="9">
        <v>0.0</v>
      </c>
      <c r="J3096" s="9">
        <v>2318.0</v>
      </c>
      <c r="K3096" s="9">
        <v>2318.0</v>
      </c>
      <c r="L3096" s="9">
        <v>2318.0</v>
      </c>
      <c r="M3096" s="9">
        <v>1130.0</v>
      </c>
      <c r="N3096" s="9">
        <v>739.0</v>
      </c>
      <c r="O3096" s="9">
        <v>449.0</v>
      </c>
      <c r="P3096" s="8" t="s">
        <v>3480</v>
      </c>
      <c r="Q3096" s="8"/>
      <c r="R3096" s="8"/>
    </row>
    <row r="3097">
      <c r="A3097" s="8" t="s">
        <v>3230</v>
      </c>
      <c r="B3097" s="8" t="s">
        <v>16599</v>
      </c>
      <c r="C3097" s="8" t="s">
        <v>4047</v>
      </c>
      <c r="D3097" s="9">
        <v>8.484869E9</v>
      </c>
      <c r="E3097" s="8" t="s">
        <v>16600</v>
      </c>
      <c r="F3097" s="8" t="s">
        <v>3594</v>
      </c>
      <c r="G3097" s="8" t="s">
        <v>16601</v>
      </c>
      <c r="H3097" s="8" t="s">
        <v>3479</v>
      </c>
      <c r="I3097" s="9">
        <v>0.0</v>
      </c>
      <c r="J3097" s="9">
        <v>1849.0</v>
      </c>
      <c r="K3097" s="9">
        <v>1849.0</v>
      </c>
      <c r="L3097" s="9">
        <v>1849.0</v>
      </c>
      <c r="M3097" s="9">
        <v>595.0</v>
      </c>
      <c r="N3097" s="9">
        <v>730.0</v>
      </c>
      <c r="O3097" s="9">
        <v>524.0</v>
      </c>
      <c r="P3097" s="8" t="s">
        <v>3480</v>
      </c>
      <c r="Q3097" s="8" t="s">
        <v>16602</v>
      </c>
      <c r="R3097" s="8" t="s">
        <v>16603</v>
      </c>
    </row>
    <row r="3098">
      <c r="A3098" s="8" t="s">
        <v>3224</v>
      </c>
      <c r="B3098" s="8" t="s">
        <v>16604</v>
      </c>
      <c r="C3098" s="8" t="s">
        <v>16605</v>
      </c>
      <c r="D3098" s="9">
        <v>8.007011949E9</v>
      </c>
      <c r="E3098" s="8" t="s">
        <v>16606</v>
      </c>
      <c r="F3098" s="8" t="s">
        <v>10064</v>
      </c>
      <c r="G3098" s="8" t="s">
        <v>16607</v>
      </c>
      <c r="H3098" s="8" t="s">
        <v>3479</v>
      </c>
      <c r="I3098" s="9">
        <v>0.0</v>
      </c>
      <c r="J3098" s="9">
        <v>1457.0</v>
      </c>
      <c r="K3098" s="9">
        <v>1457.0</v>
      </c>
      <c r="L3098" s="9">
        <v>1457.0</v>
      </c>
      <c r="M3098" s="9">
        <v>233.0</v>
      </c>
      <c r="N3098" s="9">
        <v>775.0</v>
      </c>
      <c r="O3098" s="9">
        <v>449.0</v>
      </c>
      <c r="P3098" s="8" t="s">
        <v>3480</v>
      </c>
      <c r="Q3098" s="8"/>
      <c r="R3098" s="8"/>
    </row>
    <row r="3099">
      <c r="A3099" s="8" t="s">
        <v>3217</v>
      </c>
      <c r="B3099" s="8" t="s">
        <v>16608</v>
      </c>
      <c r="C3099" s="8" t="s">
        <v>4779</v>
      </c>
      <c r="D3099" s="9">
        <v>9.209759329E9</v>
      </c>
      <c r="E3099" s="8" t="s">
        <v>16609</v>
      </c>
      <c r="F3099" s="8" t="s">
        <v>3550</v>
      </c>
      <c r="G3099" s="8" t="s">
        <v>16610</v>
      </c>
      <c r="H3099" s="8" t="s">
        <v>3479</v>
      </c>
      <c r="I3099" s="9">
        <v>0.0</v>
      </c>
      <c r="J3099" s="9">
        <v>1350.0</v>
      </c>
      <c r="K3099" s="9">
        <v>1350.0</v>
      </c>
      <c r="L3099" s="9">
        <v>1350.0</v>
      </c>
      <c r="M3099" s="9">
        <v>1350.0</v>
      </c>
      <c r="N3099" s="9">
        <v>0.0</v>
      </c>
      <c r="O3099" s="9">
        <v>0.0</v>
      </c>
      <c r="P3099" s="8" t="s">
        <v>3480</v>
      </c>
      <c r="Q3099" s="8"/>
      <c r="R3099" s="8"/>
    </row>
    <row r="3100">
      <c r="A3100" s="8" t="s">
        <v>3232</v>
      </c>
      <c r="B3100" s="8" t="s">
        <v>16611</v>
      </c>
      <c r="C3100" s="8" t="s">
        <v>13624</v>
      </c>
      <c r="D3100" s="9">
        <v>8.087368511E9</v>
      </c>
      <c r="E3100" s="8" t="s">
        <v>13625</v>
      </c>
      <c r="F3100" s="8" t="s">
        <v>8993</v>
      </c>
      <c r="G3100" s="8" t="s">
        <v>16612</v>
      </c>
      <c r="H3100" s="8" t="s">
        <v>3479</v>
      </c>
      <c r="I3100" s="9">
        <v>0.0</v>
      </c>
      <c r="J3100" s="9">
        <v>2397.0</v>
      </c>
      <c r="K3100" s="9">
        <v>2397.0</v>
      </c>
      <c r="L3100" s="9">
        <v>2397.0</v>
      </c>
      <c r="M3100" s="9">
        <v>708.0</v>
      </c>
      <c r="N3100" s="9">
        <v>990.0</v>
      </c>
      <c r="O3100" s="9">
        <v>699.0</v>
      </c>
      <c r="P3100" s="8" t="s">
        <v>3480</v>
      </c>
      <c r="Q3100" s="8" t="s">
        <v>13627</v>
      </c>
      <c r="R3100" s="8" t="s">
        <v>13628</v>
      </c>
    </row>
    <row r="3101">
      <c r="A3101" s="8" t="s">
        <v>3226</v>
      </c>
      <c r="B3101" s="8" t="s">
        <v>16613</v>
      </c>
      <c r="C3101" s="8" t="s">
        <v>16614</v>
      </c>
      <c r="D3101" s="9">
        <v>7.774079947E9</v>
      </c>
      <c r="E3101" s="8" t="s">
        <v>16615</v>
      </c>
      <c r="F3101" s="8" t="s">
        <v>3653</v>
      </c>
      <c r="G3101" s="8" t="s">
        <v>16616</v>
      </c>
      <c r="H3101" s="8" t="s">
        <v>3479</v>
      </c>
      <c r="I3101" s="9">
        <v>0.0</v>
      </c>
      <c r="J3101" s="9">
        <v>1513.0</v>
      </c>
      <c r="K3101" s="9">
        <v>1513.0</v>
      </c>
      <c r="L3101" s="9">
        <v>1513.0</v>
      </c>
      <c r="M3101" s="9">
        <v>289.0</v>
      </c>
      <c r="N3101" s="9">
        <v>775.0</v>
      </c>
      <c r="O3101" s="9">
        <v>449.0</v>
      </c>
      <c r="P3101" s="8" t="s">
        <v>3480</v>
      </c>
      <c r="Q3101" s="8"/>
      <c r="R3101" s="8"/>
    </row>
    <row r="3102">
      <c r="A3102" s="8" t="s">
        <v>3231</v>
      </c>
      <c r="B3102" s="8" t="s">
        <v>16617</v>
      </c>
      <c r="C3102" s="8" t="s">
        <v>16618</v>
      </c>
      <c r="D3102" s="9">
        <v>9.46042E9</v>
      </c>
      <c r="E3102" s="8" t="s">
        <v>16619</v>
      </c>
      <c r="F3102" s="8" t="s">
        <v>16620</v>
      </c>
      <c r="G3102" s="8" t="s">
        <v>16621</v>
      </c>
      <c r="H3102" s="8" t="s">
        <v>3479</v>
      </c>
      <c r="I3102" s="9">
        <v>0.0</v>
      </c>
      <c r="J3102" s="9">
        <v>596.0</v>
      </c>
      <c r="K3102" s="9">
        <v>596.0</v>
      </c>
      <c r="L3102" s="9">
        <v>596.0</v>
      </c>
      <c r="M3102" s="9">
        <v>446.0</v>
      </c>
      <c r="N3102" s="9">
        <v>0.0</v>
      </c>
      <c r="O3102" s="9">
        <v>150.0</v>
      </c>
      <c r="P3102" s="8" t="s">
        <v>3480</v>
      </c>
      <c r="Q3102" s="8"/>
      <c r="R3102" s="8"/>
    </row>
    <row r="3103">
      <c r="A3103" s="8" t="s">
        <v>3240</v>
      </c>
      <c r="B3103" s="8" t="s">
        <v>16622</v>
      </c>
      <c r="C3103" s="8" t="s">
        <v>13900</v>
      </c>
      <c r="D3103" s="9">
        <v>9.404018891E9</v>
      </c>
      <c r="E3103" s="8" t="s">
        <v>13901</v>
      </c>
      <c r="F3103" s="8" t="s">
        <v>3608</v>
      </c>
      <c r="G3103" s="8" t="s">
        <v>16623</v>
      </c>
      <c r="H3103" s="8" t="s">
        <v>3479</v>
      </c>
      <c r="I3103" s="9">
        <v>0.0</v>
      </c>
      <c r="J3103" s="9">
        <v>1341.0</v>
      </c>
      <c r="K3103" s="9">
        <v>1341.0</v>
      </c>
      <c r="L3103" s="9">
        <v>1341.0</v>
      </c>
      <c r="M3103" s="9">
        <v>162.0</v>
      </c>
      <c r="N3103" s="9">
        <v>730.0</v>
      </c>
      <c r="O3103" s="9">
        <v>449.0</v>
      </c>
      <c r="P3103" s="8" t="s">
        <v>3519</v>
      </c>
      <c r="Q3103" s="8" t="s">
        <v>13903</v>
      </c>
      <c r="R3103" s="8" t="s">
        <v>13904</v>
      </c>
    </row>
    <row r="3104">
      <c r="A3104" s="8" t="s">
        <v>3233</v>
      </c>
      <c r="B3104" s="8" t="s">
        <v>16624</v>
      </c>
      <c r="C3104" s="8" t="s">
        <v>9265</v>
      </c>
      <c r="D3104" s="9">
        <v>7.709599301E9</v>
      </c>
      <c r="E3104" s="8" t="s">
        <v>16625</v>
      </c>
      <c r="F3104" s="8" t="s">
        <v>3821</v>
      </c>
      <c r="G3104" s="8" t="s">
        <v>16626</v>
      </c>
      <c r="H3104" s="8" t="s">
        <v>3479</v>
      </c>
      <c r="I3104" s="9">
        <v>0.0</v>
      </c>
      <c r="J3104" s="9">
        <v>2037.0</v>
      </c>
      <c r="K3104" s="9">
        <v>2037.0</v>
      </c>
      <c r="L3104" s="9">
        <v>2037.0</v>
      </c>
      <c r="M3104" s="9">
        <v>783.0</v>
      </c>
      <c r="N3104" s="9">
        <v>730.0</v>
      </c>
      <c r="O3104" s="9">
        <v>524.0</v>
      </c>
      <c r="P3104" s="8" t="s">
        <v>3480</v>
      </c>
      <c r="Q3104" s="8" t="s">
        <v>16627</v>
      </c>
      <c r="R3104" s="8" t="s">
        <v>16628</v>
      </c>
    </row>
    <row r="3105">
      <c r="A3105" s="8" t="s">
        <v>3235</v>
      </c>
      <c r="B3105" s="8" t="s">
        <v>16629</v>
      </c>
      <c r="C3105" s="8" t="s">
        <v>16630</v>
      </c>
      <c r="D3105" s="9">
        <v>7.888033779E9</v>
      </c>
      <c r="E3105" s="8" t="s">
        <v>16631</v>
      </c>
      <c r="F3105" s="8" t="s">
        <v>3523</v>
      </c>
      <c r="G3105" s="8" t="s">
        <v>16632</v>
      </c>
      <c r="H3105" s="8" t="s">
        <v>3479</v>
      </c>
      <c r="I3105" s="9">
        <v>0.0</v>
      </c>
      <c r="J3105" s="9">
        <v>1150.0</v>
      </c>
      <c r="K3105" s="9">
        <v>1150.0</v>
      </c>
      <c r="L3105" s="9">
        <v>1150.0</v>
      </c>
      <c r="M3105" s="9">
        <v>1150.0</v>
      </c>
      <c r="N3105" s="9">
        <v>0.0</v>
      </c>
      <c r="O3105" s="9">
        <v>0.0</v>
      </c>
      <c r="P3105" s="8" t="s">
        <v>3480</v>
      </c>
      <c r="Q3105" s="8"/>
      <c r="R3105" s="8"/>
    </row>
    <row r="3106">
      <c r="A3106" s="8" t="s">
        <v>3236</v>
      </c>
      <c r="B3106" s="8" t="s">
        <v>16633</v>
      </c>
      <c r="C3106" s="8" t="s">
        <v>4063</v>
      </c>
      <c r="D3106" s="9">
        <v>9.94592858E9</v>
      </c>
      <c r="E3106" s="8" t="s">
        <v>4064</v>
      </c>
      <c r="F3106" s="8" t="s">
        <v>3707</v>
      </c>
      <c r="G3106" s="8" t="s">
        <v>16634</v>
      </c>
      <c r="H3106" s="8" t="s">
        <v>3479</v>
      </c>
      <c r="I3106" s="9">
        <v>0.0</v>
      </c>
      <c r="J3106" s="9">
        <v>4892.0</v>
      </c>
      <c r="K3106" s="9">
        <v>4892.0</v>
      </c>
      <c r="L3106" s="9">
        <v>4892.0</v>
      </c>
      <c r="M3106" s="9">
        <v>3393.0</v>
      </c>
      <c r="N3106" s="9">
        <v>0.0</v>
      </c>
      <c r="O3106" s="9">
        <v>1499.0</v>
      </c>
      <c r="P3106" s="8" t="s">
        <v>3480</v>
      </c>
      <c r="Q3106" s="8"/>
      <c r="R3106" s="8"/>
    </row>
    <row r="3107">
      <c r="A3107" s="8" t="s">
        <v>3237</v>
      </c>
      <c r="B3107" s="8" t="s">
        <v>16635</v>
      </c>
      <c r="C3107" s="8" t="s">
        <v>6977</v>
      </c>
      <c r="D3107" s="9">
        <v>9.130968278E9</v>
      </c>
      <c r="E3107" s="8" t="s">
        <v>7932</v>
      </c>
      <c r="F3107" s="8" t="s">
        <v>5366</v>
      </c>
      <c r="G3107" s="8" t="s">
        <v>16636</v>
      </c>
      <c r="H3107" s="8" t="s">
        <v>14676</v>
      </c>
      <c r="I3107" s="9">
        <v>0.0</v>
      </c>
      <c r="J3107" s="9">
        <v>5100.0</v>
      </c>
      <c r="K3107" s="9">
        <v>5159.0</v>
      </c>
      <c r="L3107" s="9">
        <v>5100.0</v>
      </c>
      <c r="M3107" s="9">
        <v>3520.0</v>
      </c>
      <c r="N3107" s="9">
        <v>815.0</v>
      </c>
      <c r="O3107" s="9">
        <v>824.0</v>
      </c>
      <c r="P3107" s="8" t="s">
        <v>3480</v>
      </c>
      <c r="Q3107" s="8"/>
      <c r="R3107" s="8"/>
    </row>
    <row r="3108">
      <c r="A3108" s="8" t="s">
        <v>3238</v>
      </c>
      <c r="B3108" s="8" t="s">
        <v>16637</v>
      </c>
      <c r="C3108" s="8" t="s">
        <v>16638</v>
      </c>
      <c r="D3108" s="9">
        <v>8.788664878E9</v>
      </c>
      <c r="E3108" s="8" t="s">
        <v>16639</v>
      </c>
      <c r="F3108" s="8" t="s">
        <v>16640</v>
      </c>
      <c r="G3108" s="8" t="s">
        <v>16641</v>
      </c>
      <c r="H3108" s="8" t="s">
        <v>3479</v>
      </c>
      <c r="I3108" s="9">
        <v>0.0</v>
      </c>
      <c r="J3108" s="9">
        <v>3139.0</v>
      </c>
      <c r="K3108" s="9">
        <v>3139.0</v>
      </c>
      <c r="L3108" s="9">
        <v>3139.0</v>
      </c>
      <c r="M3108" s="9">
        <v>1050.0</v>
      </c>
      <c r="N3108" s="9">
        <v>1390.0</v>
      </c>
      <c r="O3108" s="9">
        <v>699.0</v>
      </c>
      <c r="P3108" s="8" t="s">
        <v>3480</v>
      </c>
      <c r="Q3108" s="8" t="s">
        <v>16642</v>
      </c>
      <c r="R3108" s="8" t="s">
        <v>16643</v>
      </c>
    </row>
    <row r="3109">
      <c r="A3109" s="8" t="s">
        <v>951</v>
      </c>
      <c r="B3109" s="8" t="s">
        <v>16644</v>
      </c>
      <c r="C3109" s="8" t="s">
        <v>5095</v>
      </c>
      <c r="D3109" s="9">
        <v>7.447845485E9</v>
      </c>
      <c r="E3109" s="8" t="s">
        <v>5096</v>
      </c>
      <c r="F3109" s="8" t="s">
        <v>3589</v>
      </c>
      <c r="G3109" s="8" t="s">
        <v>9865</v>
      </c>
      <c r="H3109" s="8" t="s">
        <v>3479</v>
      </c>
      <c r="I3109" s="9">
        <v>0.0</v>
      </c>
      <c r="J3109" s="9">
        <v>3843.0</v>
      </c>
      <c r="K3109" s="9">
        <v>3843.0</v>
      </c>
      <c r="L3109" s="9">
        <v>3843.0</v>
      </c>
      <c r="M3109" s="9">
        <v>2405.0</v>
      </c>
      <c r="N3109" s="9">
        <v>739.0</v>
      </c>
      <c r="O3109" s="9">
        <v>699.0</v>
      </c>
      <c r="P3109" s="8" t="s">
        <v>3480</v>
      </c>
      <c r="Q3109" s="8" t="s">
        <v>5098</v>
      </c>
      <c r="R3109" s="8" t="s">
        <v>5099</v>
      </c>
    </row>
    <row r="3110">
      <c r="A3110" s="8" t="s">
        <v>3218</v>
      </c>
      <c r="B3110" s="8" t="s">
        <v>16645</v>
      </c>
      <c r="C3110" s="8" t="s">
        <v>16646</v>
      </c>
      <c r="D3110" s="9">
        <v>9.6044295E9</v>
      </c>
      <c r="E3110" s="8" t="s">
        <v>16647</v>
      </c>
      <c r="F3110" s="8" t="s">
        <v>3608</v>
      </c>
      <c r="G3110" s="8" t="s">
        <v>9865</v>
      </c>
      <c r="H3110" s="8" t="s">
        <v>3479</v>
      </c>
      <c r="I3110" s="9">
        <v>0.0</v>
      </c>
      <c r="J3110" s="9">
        <v>1890.0</v>
      </c>
      <c r="K3110" s="9">
        <v>1890.0</v>
      </c>
      <c r="L3110" s="9">
        <v>1890.0</v>
      </c>
      <c r="M3110" s="9">
        <v>702.0</v>
      </c>
      <c r="N3110" s="9">
        <v>739.0</v>
      </c>
      <c r="O3110" s="9">
        <v>449.0</v>
      </c>
      <c r="P3110" s="8" t="s">
        <v>3480</v>
      </c>
      <c r="Q3110" s="8"/>
      <c r="R3110" s="8"/>
    </row>
    <row r="3111">
      <c r="A3111" s="8" t="s">
        <v>3219</v>
      </c>
      <c r="B3111" s="8" t="s">
        <v>16648</v>
      </c>
      <c r="C3111" s="8" t="s">
        <v>16649</v>
      </c>
      <c r="D3111" s="9">
        <v>9.689895535E9</v>
      </c>
      <c r="E3111" s="8" t="s">
        <v>16650</v>
      </c>
      <c r="F3111" s="8" t="s">
        <v>3564</v>
      </c>
      <c r="G3111" s="8" t="s">
        <v>9865</v>
      </c>
      <c r="H3111" s="8" t="s">
        <v>3479</v>
      </c>
      <c r="I3111" s="9">
        <v>0.0</v>
      </c>
      <c r="J3111" s="9">
        <v>2648.0</v>
      </c>
      <c r="K3111" s="9">
        <v>2648.0</v>
      </c>
      <c r="L3111" s="9">
        <v>2648.0</v>
      </c>
      <c r="M3111" s="9">
        <v>1360.0</v>
      </c>
      <c r="N3111" s="9">
        <v>739.0</v>
      </c>
      <c r="O3111" s="9">
        <v>549.0</v>
      </c>
      <c r="P3111" s="8" t="s">
        <v>3519</v>
      </c>
      <c r="Q3111" s="8" t="s">
        <v>16651</v>
      </c>
      <c r="R3111" s="8" t="s">
        <v>16652</v>
      </c>
    </row>
    <row r="3112">
      <c r="A3112" s="8" t="s">
        <v>3220</v>
      </c>
      <c r="B3112" s="8" t="s">
        <v>16653</v>
      </c>
      <c r="C3112" s="8" t="s">
        <v>16654</v>
      </c>
      <c r="D3112" s="9">
        <v>9.130457096E9</v>
      </c>
      <c r="E3112" s="8" t="s">
        <v>16655</v>
      </c>
      <c r="F3112" s="8" t="s">
        <v>3601</v>
      </c>
      <c r="G3112" s="8" t="s">
        <v>9865</v>
      </c>
      <c r="H3112" s="8" t="s">
        <v>3479</v>
      </c>
      <c r="I3112" s="9">
        <v>0.0</v>
      </c>
      <c r="J3112" s="9">
        <v>1421.0</v>
      </c>
      <c r="K3112" s="9">
        <v>1421.0</v>
      </c>
      <c r="L3112" s="9">
        <v>1421.0</v>
      </c>
      <c r="M3112" s="9">
        <v>233.0</v>
      </c>
      <c r="N3112" s="9">
        <v>739.0</v>
      </c>
      <c r="O3112" s="9">
        <v>449.0</v>
      </c>
      <c r="P3112" s="8" t="s">
        <v>3480</v>
      </c>
      <c r="Q3112" s="8"/>
      <c r="R3112" s="8"/>
    </row>
    <row r="3113">
      <c r="A3113" s="8" t="s">
        <v>3221</v>
      </c>
      <c r="B3113" s="8" t="s">
        <v>16656</v>
      </c>
      <c r="C3113" s="8" t="s">
        <v>16657</v>
      </c>
      <c r="D3113" s="9">
        <v>9.158453754E9</v>
      </c>
      <c r="E3113" s="8" t="s">
        <v>16658</v>
      </c>
      <c r="F3113" s="8" t="s">
        <v>3589</v>
      </c>
      <c r="G3113" s="8" t="s">
        <v>9865</v>
      </c>
      <c r="H3113" s="8" t="s">
        <v>3479</v>
      </c>
      <c r="I3113" s="9">
        <v>0.0</v>
      </c>
      <c r="J3113" s="9">
        <v>2584.0</v>
      </c>
      <c r="K3113" s="9">
        <v>2584.0</v>
      </c>
      <c r="L3113" s="9">
        <v>2584.0</v>
      </c>
      <c r="M3113" s="9">
        <v>1950.0</v>
      </c>
      <c r="N3113" s="9">
        <v>0.0</v>
      </c>
      <c r="O3113" s="9">
        <v>634.0</v>
      </c>
      <c r="P3113" s="8" t="s">
        <v>3480</v>
      </c>
      <c r="Q3113" s="8" t="s">
        <v>16659</v>
      </c>
      <c r="R3113" s="8"/>
    </row>
    <row r="3114">
      <c r="A3114" s="8" t="s">
        <v>773</v>
      </c>
      <c r="B3114" s="8" t="s">
        <v>16660</v>
      </c>
      <c r="C3114" s="8" t="s">
        <v>16661</v>
      </c>
      <c r="D3114" s="9">
        <v>8.349353392E9</v>
      </c>
      <c r="E3114" s="8" t="s">
        <v>16662</v>
      </c>
      <c r="F3114" s="8" t="s">
        <v>4929</v>
      </c>
      <c r="G3114" s="8" t="s">
        <v>16663</v>
      </c>
      <c r="H3114" s="8" t="s">
        <v>3479</v>
      </c>
      <c r="I3114" s="9">
        <v>0.0</v>
      </c>
      <c r="J3114" s="9">
        <v>1229.0</v>
      </c>
      <c r="K3114" s="9">
        <v>1229.0</v>
      </c>
      <c r="L3114" s="9">
        <v>1229.0</v>
      </c>
      <c r="M3114" s="9">
        <v>100.0</v>
      </c>
      <c r="N3114" s="9">
        <v>680.0</v>
      </c>
      <c r="O3114" s="9">
        <v>449.0</v>
      </c>
      <c r="P3114" s="8" t="s">
        <v>3480</v>
      </c>
      <c r="Q3114" s="8"/>
      <c r="R3114" s="8"/>
    </row>
    <row r="3115">
      <c r="A3115" s="8" t="s">
        <v>3234</v>
      </c>
      <c r="B3115" s="8" t="s">
        <v>16664</v>
      </c>
      <c r="C3115" s="8" t="s">
        <v>11154</v>
      </c>
      <c r="D3115" s="9">
        <v>8.60000236E9</v>
      </c>
      <c r="E3115" s="8" t="s">
        <v>16665</v>
      </c>
      <c r="F3115" s="8" t="s">
        <v>3653</v>
      </c>
      <c r="G3115" s="8" t="s">
        <v>3494</v>
      </c>
      <c r="H3115" s="8" t="s">
        <v>3479</v>
      </c>
      <c r="I3115" s="9">
        <v>0.0</v>
      </c>
      <c r="J3115" s="9">
        <v>4017.0</v>
      </c>
      <c r="K3115" s="9">
        <v>4017.0</v>
      </c>
      <c r="L3115" s="9">
        <v>4017.0</v>
      </c>
      <c r="M3115" s="9">
        <v>2978.0</v>
      </c>
      <c r="N3115" s="9">
        <v>65.0</v>
      </c>
      <c r="O3115" s="9">
        <v>974.0</v>
      </c>
      <c r="P3115" s="8" t="s">
        <v>3480</v>
      </c>
      <c r="Q3115" s="8" t="s">
        <v>16666</v>
      </c>
      <c r="R3115" s="8"/>
    </row>
    <row r="3116">
      <c r="A3116" s="8" t="s">
        <v>3242</v>
      </c>
      <c r="B3116" s="8" t="s">
        <v>16667</v>
      </c>
      <c r="C3116" s="8" t="s">
        <v>7788</v>
      </c>
      <c r="D3116" s="9">
        <v>9.420777521E9</v>
      </c>
      <c r="E3116" s="8" t="s">
        <v>7789</v>
      </c>
      <c r="F3116" s="8" t="s">
        <v>3608</v>
      </c>
      <c r="G3116" s="8" t="s">
        <v>9865</v>
      </c>
      <c r="H3116" s="8" t="s">
        <v>3479</v>
      </c>
      <c r="I3116" s="9">
        <v>0.0</v>
      </c>
      <c r="J3116" s="9">
        <v>1728.0</v>
      </c>
      <c r="K3116" s="9">
        <v>1728.0</v>
      </c>
      <c r="L3116" s="9">
        <v>1728.0</v>
      </c>
      <c r="M3116" s="9">
        <v>540.0</v>
      </c>
      <c r="N3116" s="9">
        <v>739.0</v>
      </c>
      <c r="O3116" s="9">
        <v>449.0</v>
      </c>
      <c r="P3116" s="8" t="s">
        <v>3480</v>
      </c>
      <c r="Q3116" s="8" t="s">
        <v>7791</v>
      </c>
      <c r="R3116" s="8" t="s">
        <v>7792</v>
      </c>
    </row>
    <row r="3117">
      <c r="A3117" s="8" t="s">
        <v>3241</v>
      </c>
      <c r="B3117" s="8" t="s">
        <v>16668</v>
      </c>
      <c r="C3117" s="8" t="s">
        <v>16669</v>
      </c>
      <c r="D3117" s="9">
        <v>8.319328866E9</v>
      </c>
      <c r="E3117" s="8" t="s">
        <v>16670</v>
      </c>
      <c r="F3117" s="8" t="s">
        <v>3677</v>
      </c>
      <c r="G3117" s="8" t="s">
        <v>16671</v>
      </c>
      <c r="H3117" s="8" t="s">
        <v>3479</v>
      </c>
      <c r="I3117" s="9">
        <v>2539.0</v>
      </c>
      <c r="J3117" s="9">
        <v>0.0</v>
      </c>
      <c r="K3117" s="9">
        <v>2539.0</v>
      </c>
      <c r="L3117" s="9">
        <v>2539.0</v>
      </c>
      <c r="M3117" s="9">
        <v>2090.0</v>
      </c>
      <c r="N3117" s="9">
        <v>0.0</v>
      </c>
      <c r="O3117" s="9">
        <v>449.0</v>
      </c>
      <c r="P3117" s="8" t="s">
        <v>3519</v>
      </c>
      <c r="Q3117" s="8"/>
      <c r="R3117" s="8"/>
    </row>
    <row r="3118">
      <c r="A3118" s="8" t="s">
        <v>3253</v>
      </c>
      <c r="B3118" s="8" t="s">
        <v>16672</v>
      </c>
      <c r="C3118" s="8" t="s">
        <v>7290</v>
      </c>
      <c r="D3118" s="9">
        <v>9.60468798E9</v>
      </c>
      <c r="E3118" s="8" t="s">
        <v>7291</v>
      </c>
      <c r="F3118" s="8" t="s">
        <v>5077</v>
      </c>
      <c r="G3118" s="8" t="s">
        <v>7292</v>
      </c>
      <c r="H3118" s="8" t="s">
        <v>3479</v>
      </c>
      <c r="I3118" s="9">
        <v>0.0</v>
      </c>
      <c r="J3118" s="9">
        <v>4625.0</v>
      </c>
      <c r="K3118" s="9">
        <v>4625.0</v>
      </c>
      <c r="L3118" s="9">
        <v>4625.0</v>
      </c>
      <c r="M3118" s="9">
        <v>3125.0</v>
      </c>
      <c r="N3118" s="9">
        <v>0.0</v>
      </c>
      <c r="O3118" s="9">
        <v>1500.0</v>
      </c>
      <c r="P3118" s="8" t="s">
        <v>3480</v>
      </c>
      <c r="Q3118" s="8" t="s">
        <v>7293</v>
      </c>
      <c r="R3118" s="8" t="s">
        <v>7294</v>
      </c>
    </row>
    <row r="3119">
      <c r="A3119" s="8" t="s">
        <v>3244</v>
      </c>
      <c r="B3119" s="8" t="s">
        <v>16673</v>
      </c>
      <c r="C3119" s="8" t="s">
        <v>16674</v>
      </c>
      <c r="D3119" s="9">
        <v>7.385731332E9</v>
      </c>
      <c r="E3119" s="8" t="s">
        <v>16675</v>
      </c>
      <c r="F3119" s="8" t="s">
        <v>3653</v>
      </c>
      <c r="G3119" s="8" t="s">
        <v>9865</v>
      </c>
      <c r="H3119" s="8" t="s">
        <v>3479</v>
      </c>
      <c r="I3119" s="9">
        <v>0.0</v>
      </c>
      <c r="J3119" s="9">
        <v>1803.0</v>
      </c>
      <c r="K3119" s="9">
        <v>1803.0</v>
      </c>
      <c r="L3119" s="9">
        <v>1803.0</v>
      </c>
      <c r="M3119" s="9">
        <v>488.0</v>
      </c>
      <c r="N3119" s="9">
        <v>786.0</v>
      </c>
      <c r="O3119" s="9">
        <v>529.0</v>
      </c>
      <c r="P3119" s="8" t="s">
        <v>3480</v>
      </c>
      <c r="Q3119" s="8"/>
      <c r="R3119" s="8"/>
    </row>
    <row r="3120">
      <c r="A3120" s="8" t="s">
        <v>3243</v>
      </c>
      <c r="B3120" s="8" t="s">
        <v>16676</v>
      </c>
      <c r="C3120" s="8" t="s">
        <v>7920</v>
      </c>
      <c r="D3120" s="9">
        <v>7.02021847E9</v>
      </c>
      <c r="E3120" s="8" t="s">
        <v>7921</v>
      </c>
      <c r="F3120" s="8" t="s">
        <v>3615</v>
      </c>
      <c r="G3120" s="8" t="s">
        <v>16677</v>
      </c>
      <c r="H3120" s="8" t="s">
        <v>3479</v>
      </c>
      <c r="I3120" s="9">
        <v>0.0</v>
      </c>
      <c r="J3120" s="9">
        <v>1490.0</v>
      </c>
      <c r="K3120" s="9">
        <v>1490.0</v>
      </c>
      <c r="L3120" s="9">
        <v>1490.0</v>
      </c>
      <c r="M3120" s="9">
        <v>255.0</v>
      </c>
      <c r="N3120" s="9">
        <v>786.0</v>
      </c>
      <c r="O3120" s="9">
        <v>449.0</v>
      </c>
      <c r="P3120" s="8" t="s">
        <v>3544</v>
      </c>
      <c r="Q3120" s="8" t="s">
        <v>7923</v>
      </c>
      <c r="R3120" s="8" t="s">
        <v>7924</v>
      </c>
    </row>
    <row r="3121">
      <c r="A3121" s="8" t="s">
        <v>3245</v>
      </c>
      <c r="B3121" s="8" t="s">
        <v>16678</v>
      </c>
      <c r="C3121" s="8" t="s">
        <v>6022</v>
      </c>
      <c r="D3121" s="9">
        <v>8.975973107E9</v>
      </c>
      <c r="E3121" s="8" t="s">
        <v>6023</v>
      </c>
      <c r="F3121" s="8" t="s">
        <v>3486</v>
      </c>
      <c r="G3121" s="8" t="s">
        <v>16679</v>
      </c>
      <c r="H3121" s="8" t="s">
        <v>3479</v>
      </c>
      <c r="I3121" s="9">
        <v>0.0</v>
      </c>
      <c r="J3121" s="9">
        <v>2402.0</v>
      </c>
      <c r="K3121" s="9">
        <v>2402.0</v>
      </c>
      <c r="L3121" s="9">
        <v>2402.0</v>
      </c>
      <c r="M3121" s="9">
        <v>273.0</v>
      </c>
      <c r="N3121" s="9">
        <v>730.0</v>
      </c>
      <c r="O3121" s="9">
        <v>1399.0</v>
      </c>
      <c r="P3121" s="8" t="s">
        <v>3480</v>
      </c>
      <c r="Q3121" s="8" t="s">
        <v>6025</v>
      </c>
      <c r="R3121" s="8" t="s">
        <v>6026</v>
      </c>
    </row>
    <row r="3122">
      <c r="A3122" s="8" t="s">
        <v>3254</v>
      </c>
      <c r="B3122" s="8" t="s">
        <v>16680</v>
      </c>
      <c r="C3122" s="8" t="s">
        <v>3675</v>
      </c>
      <c r="D3122" s="9">
        <v>8.261925966E9</v>
      </c>
      <c r="E3122" s="8" t="s">
        <v>3676</v>
      </c>
      <c r="F3122" s="8" t="s">
        <v>3677</v>
      </c>
      <c r="G3122" s="8" t="s">
        <v>3494</v>
      </c>
      <c r="H3122" s="8" t="s">
        <v>7364</v>
      </c>
      <c r="I3122" s="9">
        <v>0.0</v>
      </c>
      <c r="J3122" s="9">
        <v>1900.0</v>
      </c>
      <c r="K3122" s="9">
        <v>1999.0</v>
      </c>
      <c r="L3122" s="9">
        <v>1900.0</v>
      </c>
      <c r="M3122" s="9">
        <v>625.0</v>
      </c>
      <c r="N3122" s="9">
        <v>775.0</v>
      </c>
      <c r="O3122" s="9">
        <v>599.0</v>
      </c>
      <c r="P3122" s="8" t="s">
        <v>3480</v>
      </c>
      <c r="Q3122" s="8"/>
      <c r="R3122" s="8"/>
    </row>
    <row r="3123">
      <c r="A3123" s="8" t="s">
        <v>3263</v>
      </c>
      <c r="B3123" s="8" t="s">
        <v>16681</v>
      </c>
      <c r="C3123" s="8" t="s">
        <v>9637</v>
      </c>
      <c r="D3123" s="9">
        <v>8.378961917E9</v>
      </c>
      <c r="E3123" s="8" t="s">
        <v>9638</v>
      </c>
      <c r="F3123" s="8" t="s">
        <v>3977</v>
      </c>
      <c r="G3123" s="8" t="s">
        <v>16682</v>
      </c>
      <c r="H3123" s="8" t="s">
        <v>3479</v>
      </c>
      <c r="I3123" s="9">
        <v>0.0</v>
      </c>
      <c r="J3123" s="9">
        <v>3152.0</v>
      </c>
      <c r="K3123" s="9">
        <v>3152.0</v>
      </c>
      <c r="L3123" s="9">
        <v>3152.0</v>
      </c>
      <c r="M3123" s="9">
        <v>1973.0</v>
      </c>
      <c r="N3123" s="9">
        <v>730.0</v>
      </c>
      <c r="O3123" s="9">
        <v>449.0</v>
      </c>
      <c r="P3123" s="8" t="s">
        <v>3480</v>
      </c>
      <c r="Q3123" s="8"/>
      <c r="R3123" s="8"/>
    </row>
    <row r="3124">
      <c r="A3124" s="8" t="s">
        <v>775</v>
      </c>
      <c r="B3124" s="8" t="s">
        <v>16683</v>
      </c>
      <c r="C3124" s="8" t="s">
        <v>8746</v>
      </c>
      <c r="D3124" s="9">
        <v>9.665626256E9</v>
      </c>
      <c r="E3124" s="8" t="s">
        <v>8747</v>
      </c>
      <c r="F3124" s="8" t="s">
        <v>3564</v>
      </c>
      <c r="G3124" s="8" t="s">
        <v>14870</v>
      </c>
      <c r="H3124" s="8" t="s">
        <v>3479</v>
      </c>
      <c r="I3124" s="9">
        <v>0.0</v>
      </c>
      <c r="J3124" s="9">
        <v>1333.0</v>
      </c>
      <c r="K3124" s="9">
        <v>1333.0</v>
      </c>
      <c r="L3124" s="9">
        <v>1333.0</v>
      </c>
      <c r="M3124" s="9">
        <v>100.0</v>
      </c>
      <c r="N3124" s="9">
        <v>784.0</v>
      </c>
      <c r="O3124" s="9">
        <v>449.0</v>
      </c>
      <c r="P3124" s="8" t="s">
        <v>3480</v>
      </c>
      <c r="Q3124" s="8" t="s">
        <v>8749</v>
      </c>
      <c r="R3124" s="8" t="s">
        <v>8750</v>
      </c>
    </row>
    <row r="3125">
      <c r="A3125" s="8" t="s">
        <v>776</v>
      </c>
      <c r="B3125" s="8" t="s">
        <v>16684</v>
      </c>
      <c r="C3125" s="8" t="s">
        <v>16685</v>
      </c>
      <c r="D3125" s="9">
        <v>9.56109983E9</v>
      </c>
      <c r="E3125" s="8" t="s">
        <v>16686</v>
      </c>
      <c r="F3125" s="8" t="s">
        <v>3697</v>
      </c>
      <c r="G3125" s="8" t="s">
        <v>16687</v>
      </c>
      <c r="H3125" s="8" t="s">
        <v>3479</v>
      </c>
      <c r="I3125" s="9">
        <v>0.0</v>
      </c>
      <c r="J3125" s="9">
        <v>3332.0</v>
      </c>
      <c r="K3125" s="9">
        <v>3332.0</v>
      </c>
      <c r="L3125" s="9">
        <v>3332.0</v>
      </c>
      <c r="M3125" s="9">
        <v>2166.0</v>
      </c>
      <c r="N3125" s="9">
        <v>717.0</v>
      </c>
      <c r="O3125" s="9">
        <v>449.0</v>
      </c>
      <c r="P3125" s="8" t="s">
        <v>3480</v>
      </c>
      <c r="Q3125" s="8" t="s">
        <v>16688</v>
      </c>
      <c r="R3125" s="8"/>
    </row>
    <row r="3126">
      <c r="A3126" s="8" t="s">
        <v>774</v>
      </c>
      <c r="B3126" s="8" t="s">
        <v>16689</v>
      </c>
      <c r="C3126" s="8" t="s">
        <v>16690</v>
      </c>
      <c r="D3126" s="9">
        <v>7.219345488E9</v>
      </c>
      <c r="E3126" s="8" t="s">
        <v>16691</v>
      </c>
      <c r="F3126" s="8" t="s">
        <v>16428</v>
      </c>
      <c r="G3126" s="8" t="s">
        <v>16692</v>
      </c>
      <c r="H3126" s="8" t="s">
        <v>9145</v>
      </c>
      <c r="I3126" s="9">
        <v>0.0</v>
      </c>
      <c r="J3126" s="9">
        <v>1304.0</v>
      </c>
      <c r="K3126" s="9">
        <v>1304.0</v>
      </c>
      <c r="L3126" s="9">
        <v>1304.0</v>
      </c>
      <c r="M3126" s="9">
        <v>80.0</v>
      </c>
      <c r="N3126" s="9">
        <v>775.0</v>
      </c>
      <c r="O3126" s="9">
        <v>449.0</v>
      </c>
      <c r="P3126" s="8"/>
      <c r="Q3126" s="8" t="s">
        <v>16693</v>
      </c>
      <c r="R3126" s="8" t="s">
        <v>16694</v>
      </c>
    </row>
    <row r="3127">
      <c r="A3127" s="8" t="s">
        <v>3255</v>
      </c>
      <c r="B3127" s="8" t="s">
        <v>16695</v>
      </c>
      <c r="C3127" s="8" t="s">
        <v>4985</v>
      </c>
      <c r="D3127" s="9">
        <v>7.73815777E9</v>
      </c>
      <c r="E3127" s="8" t="s">
        <v>4986</v>
      </c>
      <c r="F3127" s="8" t="s">
        <v>3697</v>
      </c>
      <c r="G3127" s="8" t="s">
        <v>4987</v>
      </c>
      <c r="H3127" s="8" t="s">
        <v>3479</v>
      </c>
      <c r="I3127" s="9">
        <v>0.0</v>
      </c>
      <c r="J3127" s="9">
        <v>1571.0</v>
      </c>
      <c r="K3127" s="9">
        <v>1571.0</v>
      </c>
      <c r="L3127" s="9">
        <v>1571.0</v>
      </c>
      <c r="M3127" s="9">
        <v>233.0</v>
      </c>
      <c r="N3127" s="9">
        <v>739.0</v>
      </c>
      <c r="O3127" s="9">
        <v>599.0</v>
      </c>
      <c r="P3127" s="8" t="s">
        <v>3480</v>
      </c>
      <c r="Q3127" s="8" t="s">
        <v>4988</v>
      </c>
      <c r="R3127" s="8" t="s">
        <v>4989</v>
      </c>
    </row>
    <row r="3128">
      <c r="A3128" s="8" t="s">
        <v>3287</v>
      </c>
      <c r="B3128" s="8" t="s">
        <v>16696</v>
      </c>
      <c r="C3128" s="8" t="s">
        <v>11578</v>
      </c>
      <c r="D3128" s="9">
        <v>9.907870877E9</v>
      </c>
      <c r="E3128" s="8" t="s">
        <v>4835</v>
      </c>
      <c r="F3128" s="8" t="s">
        <v>4836</v>
      </c>
      <c r="G3128" s="8" t="s">
        <v>4837</v>
      </c>
      <c r="H3128" s="8" t="s">
        <v>3479</v>
      </c>
      <c r="I3128" s="9">
        <v>0.0</v>
      </c>
      <c r="J3128" s="9">
        <v>4020.0</v>
      </c>
      <c r="K3128" s="9">
        <v>4020.0</v>
      </c>
      <c r="L3128" s="9">
        <v>4020.0</v>
      </c>
      <c r="M3128" s="9">
        <v>2860.0</v>
      </c>
      <c r="N3128" s="9">
        <v>585.0</v>
      </c>
      <c r="O3128" s="9">
        <v>575.0</v>
      </c>
      <c r="P3128" s="8" t="s">
        <v>3480</v>
      </c>
      <c r="Q3128" s="8" t="s">
        <v>4838</v>
      </c>
      <c r="R3128" s="8" t="s">
        <v>4839</v>
      </c>
    </row>
    <row r="3129">
      <c r="A3129" s="8" t="s">
        <v>3288</v>
      </c>
      <c r="B3129" s="8" t="s">
        <v>16697</v>
      </c>
      <c r="C3129" s="8" t="s">
        <v>12225</v>
      </c>
      <c r="D3129" s="9">
        <v>9.423306423E9</v>
      </c>
      <c r="E3129" s="8" t="s">
        <v>12226</v>
      </c>
      <c r="F3129" s="8" t="s">
        <v>4454</v>
      </c>
      <c r="G3129" s="8" t="s">
        <v>16698</v>
      </c>
      <c r="H3129" s="8" t="s">
        <v>3479</v>
      </c>
      <c r="I3129" s="9">
        <v>0.0</v>
      </c>
      <c r="J3129" s="9">
        <v>1450.0</v>
      </c>
      <c r="K3129" s="9">
        <v>1450.0</v>
      </c>
      <c r="L3129" s="9">
        <v>1450.0</v>
      </c>
      <c r="M3129" s="9">
        <v>1450.0</v>
      </c>
      <c r="N3129" s="9">
        <v>0.0</v>
      </c>
      <c r="O3129" s="9">
        <v>0.0</v>
      </c>
      <c r="P3129" s="8" t="s">
        <v>3480</v>
      </c>
      <c r="Q3129" s="8" t="s">
        <v>12228</v>
      </c>
      <c r="R3129" s="8" t="s">
        <v>12229</v>
      </c>
    </row>
    <row r="3130">
      <c r="A3130" s="8" t="s">
        <v>3239</v>
      </c>
      <c r="B3130" s="8" t="s">
        <v>16699</v>
      </c>
      <c r="C3130" s="8" t="s">
        <v>16700</v>
      </c>
      <c r="D3130" s="9">
        <v>9.673644333E9</v>
      </c>
      <c r="E3130" s="8" t="s">
        <v>16701</v>
      </c>
      <c r="F3130" s="8" t="s">
        <v>3523</v>
      </c>
      <c r="G3130" s="8" t="s">
        <v>16702</v>
      </c>
      <c r="H3130" s="8" t="s">
        <v>3479</v>
      </c>
      <c r="I3130" s="9">
        <v>0.0</v>
      </c>
      <c r="J3130" s="9">
        <v>4793.0</v>
      </c>
      <c r="K3130" s="9">
        <v>4793.0</v>
      </c>
      <c r="L3130" s="9">
        <v>4793.0</v>
      </c>
      <c r="M3130" s="9">
        <v>3350.0</v>
      </c>
      <c r="N3130" s="9">
        <v>739.0</v>
      </c>
      <c r="O3130" s="9">
        <v>704.0</v>
      </c>
      <c r="P3130" s="8" t="s">
        <v>3480</v>
      </c>
      <c r="Q3130" s="8"/>
      <c r="R3130" s="8"/>
    </row>
    <row r="3131">
      <c r="A3131" s="8" t="s">
        <v>777</v>
      </c>
      <c r="B3131" s="8" t="s">
        <v>16703</v>
      </c>
      <c r="C3131" s="8" t="s">
        <v>6185</v>
      </c>
      <c r="D3131" s="9">
        <v>7.620570902E9</v>
      </c>
      <c r="E3131" s="8" t="s">
        <v>6186</v>
      </c>
      <c r="F3131" s="8" t="s">
        <v>5613</v>
      </c>
      <c r="G3131" s="8" t="s">
        <v>16704</v>
      </c>
      <c r="H3131" s="8" t="s">
        <v>3479</v>
      </c>
      <c r="I3131" s="9">
        <v>0.0</v>
      </c>
      <c r="J3131" s="9">
        <v>1288.0</v>
      </c>
      <c r="K3131" s="9">
        <v>1288.0</v>
      </c>
      <c r="L3131" s="9">
        <v>1288.0</v>
      </c>
      <c r="M3131" s="9">
        <v>100.0</v>
      </c>
      <c r="N3131" s="9">
        <v>739.0</v>
      </c>
      <c r="O3131" s="9">
        <v>449.0</v>
      </c>
      <c r="P3131" s="8" t="s">
        <v>3480</v>
      </c>
      <c r="Q3131" s="8" t="s">
        <v>6188</v>
      </c>
      <c r="R3131" s="8" t="s">
        <v>6189</v>
      </c>
    </row>
    <row r="3132">
      <c r="A3132" s="8" t="s">
        <v>3286</v>
      </c>
      <c r="B3132" s="8" t="s">
        <v>16705</v>
      </c>
      <c r="C3132" s="8" t="s">
        <v>11164</v>
      </c>
      <c r="D3132" s="9">
        <v>8.308974699E9</v>
      </c>
      <c r="E3132" s="8" t="s">
        <v>11165</v>
      </c>
      <c r="F3132" s="8" t="s">
        <v>3601</v>
      </c>
      <c r="G3132" s="8" t="s">
        <v>11166</v>
      </c>
      <c r="H3132" s="8" t="s">
        <v>3479</v>
      </c>
      <c r="I3132" s="9">
        <v>1970.0</v>
      </c>
      <c r="J3132" s="9">
        <v>0.0</v>
      </c>
      <c r="K3132" s="9">
        <v>1970.0</v>
      </c>
      <c r="L3132" s="9">
        <v>1970.0</v>
      </c>
      <c r="M3132" s="9">
        <v>681.0</v>
      </c>
      <c r="N3132" s="9">
        <v>760.0</v>
      </c>
      <c r="O3132" s="9">
        <v>529.0</v>
      </c>
      <c r="P3132" s="8" t="s">
        <v>3519</v>
      </c>
      <c r="Q3132" s="8" t="s">
        <v>11167</v>
      </c>
      <c r="R3132" s="8" t="s">
        <v>11168</v>
      </c>
    </row>
    <row r="3133">
      <c r="A3133" s="8" t="s">
        <v>778</v>
      </c>
      <c r="B3133" s="8" t="s">
        <v>16706</v>
      </c>
      <c r="C3133" s="8" t="s">
        <v>16707</v>
      </c>
      <c r="D3133" s="9">
        <v>8.669787479E9</v>
      </c>
      <c r="E3133" s="8" t="s">
        <v>16708</v>
      </c>
      <c r="F3133" s="8" t="s">
        <v>3486</v>
      </c>
      <c r="G3133" s="8" t="s">
        <v>16709</v>
      </c>
      <c r="H3133" s="8" t="s">
        <v>3479</v>
      </c>
      <c r="I3133" s="9">
        <v>0.0</v>
      </c>
      <c r="J3133" s="9">
        <v>1719.0</v>
      </c>
      <c r="K3133" s="9">
        <v>1719.0</v>
      </c>
      <c r="L3133" s="9">
        <v>1719.0</v>
      </c>
      <c r="M3133" s="9">
        <v>553.0</v>
      </c>
      <c r="N3133" s="9">
        <v>717.0</v>
      </c>
      <c r="O3133" s="9">
        <v>449.0</v>
      </c>
      <c r="P3133" s="8" t="s">
        <v>3480</v>
      </c>
      <c r="Q3133" s="8"/>
      <c r="R3133" s="8"/>
    </row>
    <row r="3134">
      <c r="A3134" s="8" t="s">
        <v>3289</v>
      </c>
      <c r="B3134" s="8" t="s">
        <v>16710</v>
      </c>
      <c r="C3134" s="8" t="s">
        <v>5402</v>
      </c>
      <c r="D3134" s="9">
        <v>9.850778933E9</v>
      </c>
      <c r="E3134" s="8" t="s">
        <v>8654</v>
      </c>
      <c r="F3134" s="8" t="s">
        <v>3594</v>
      </c>
      <c r="G3134" s="8" t="s">
        <v>15507</v>
      </c>
      <c r="H3134" s="8" t="s">
        <v>3479</v>
      </c>
      <c r="I3134" s="9">
        <v>0.0</v>
      </c>
      <c r="J3134" s="9">
        <v>1610.0</v>
      </c>
      <c r="K3134" s="9">
        <v>1610.0</v>
      </c>
      <c r="L3134" s="9">
        <v>1610.0</v>
      </c>
      <c r="M3134" s="9">
        <v>760.0</v>
      </c>
      <c r="N3134" s="9">
        <v>0.0</v>
      </c>
      <c r="O3134" s="9">
        <v>850.0</v>
      </c>
      <c r="P3134" s="8" t="s">
        <v>3480</v>
      </c>
      <c r="Q3134" s="8"/>
      <c r="R3134" s="8"/>
    </row>
    <row r="3135">
      <c r="A3135" s="8" t="s">
        <v>780</v>
      </c>
      <c r="B3135" s="8" t="s">
        <v>16711</v>
      </c>
      <c r="C3135" s="8" t="s">
        <v>7001</v>
      </c>
      <c r="D3135" s="9">
        <v>9.834585422E9</v>
      </c>
      <c r="E3135" s="8" t="s">
        <v>7002</v>
      </c>
      <c r="F3135" s="8" t="s">
        <v>3498</v>
      </c>
      <c r="G3135" s="8" t="s">
        <v>16712</v>
      </c>
      <c r="H3135" s="8" t="s">
        <v>3479</v>
      </c>
      <c r="I3135" s="9">
        <v>0.0</v>
      </c>
      <c r="J3135" s="9">
        <v>1613.0</v>
      </c>
      <c r="K3135" s="9">
        <v>1613.0</v>
      </c>
      <c r="L3135" s="9">
        <v>1613.0</v>
      </c>
      <c r="M3135" s="9">
        <v>345.0</v>
      </c>
      <c r="N3135" s="9">
        <v>739.0</v>
      </c>
      <c r="O3135" s="9">
        <v>529.0</v>
      </c>
      <c r="P3135" s="8" t="s">
        <v>3480</v>
      </c>
      <c r="Q3135" s="8"/>
      <c r="R3135" s="8" t="s">
        <v>7004</v>
      </c>
    </row>
    <row r="3136">
      <c r="A3136" s="8" t="s">
        <v>781</v>
      </c>
      <c r="B3136" s="8" t="s">
        <v>16713</v>
      </c>
      <c r="C3136" s="8" t="s">
        <v>5154</v>
      </c>
      <c r="D3136" s="9">
        <v>7.038446657E9</v>
      </c>
      <c r="E3136" s="8" t="s">
        <v>6621</v>
      </c>
      <c r="F3136" s="8" t="s">
        <v>4093</v>
      </c>
      <c r="G3136" s="8" t="s">
        <v>16714</v>
      </c>
      <c r="H3136" s="8" t="s">
        <v>3479</v>
      </c>
      <c r="I3136" s="9">
        <v>0.0</v>
      </c>
      <c r="J3136" s="9">
        <v>724.0</v>
      </c>
      <c r="K3136" s="9">
        <v>724.0</v>
      </c>
      <c r="L3136" s="9">
        <v>724.0</v>
      </c>
      <c r="M3136" s="9">
        <v>125.0</v>
      </c>
      <c r="N3136" s="9">
        <v>0.0</v>
      </c>
      <c r="O3136" s="9">
        <v>599.0</v>
      </c>
      <c r="P3136" s="8" t="s">
        <v>3480</v>
      </c>
      <c r="Q3136" s="8"/>
      <c r="R3136" s="8"/>
    </row>
    <row r="3137">
      <c r="A3137" s="8" t="s">
        <v>782</v>
      </c>
      <c r="B3137" s="8" t="s">
        <v>16715</v>
      </c>
      <c r="C3137" s="8" t="s">
        <v>5559</v>
      </c>
      <c r="D3137" s="9">
        <v>7.018550395E9</v>
      </c>
      <c r="E3137" s="8" t="s">
        <v>16716</v>
      </c>
      <c r="F3137" s="8" t="s">
        <v>4252</v>
      </c>
      <c r="G3137" s="8" t="s">
        <v>16717</v>
      </c>
      <c r="H3137" s="8" t="s">
        <v>3479</v>
      </c>
      <c r="I3137" s="9">
        <v>0.0</v>
      </c>
      <c r="J3137" s="9">
        <v>2520.0</v>
      </c>
      <c r="K3137" s="9">
        <v>2520.0</v>
      </c>
      <c r="L3137" s="9">
        <v>2520.0</v>
      </c>
      <c r="M3137" s="9">
        <v>921.0</v>
      </c>
      <c r="N3137" s="9">
        <v>900.0</v>
      </c>
      <c r="O3137" s="9">
        <v>699.0</v>
      </c>
      <c r="P3137" s="8" t="s">
        <v>3480</v>
      </c>
      <c r="Q3137" s="8"/>
      <c r="R3137" s="8"/>
    </row>
    <row r="3138">
      <c r="A3138" s="8" t="s">
        <v>783</v>
      </c>
      <c r="B3138" s="8" t="s">
        <v>16718</v>
      </c>
      <c r="C3138" s="8" t="s">
        <v>16719</v>
      </c>
      <c r="D3138" s="9">
        <v>7.387776463E9</v>
      </c>
      <c r="E3138" s="8" t="s">
        <v>16720</v>
      </c>
      <c r="F3138" s="8" t="s">
        <v>3677</v>
      </c>
      <c r="G3138" s="8" t="s">
        <v>16721</v>
      </c>
      <c r="H3138" s="8" t="s">
        <v>3479</v>
      </c>
      <c r="I3138" s="9">
        <v>0.0</v>
      </c>
      <c r="J3138" s="9">
        <v>1708.0</v>
      </c>
      <c r="K3138" s="9">
        <v>1708.0</v>
      </c>
      <c r="L3138" s="9">
        <v>1708.0</v>
      </c>
      <c r="M3138" s="9">
        <v>325.0</v>
      </c>
      <c r="N3138" s="9">
        <v>784.0</v>
      </c>
      <c r="O3138" s="9">
        <v>599.0</v>
      </c>
      <c r="P3138" s="8" t="s">
        <v>3480</v>
      </c>
      <c r="Q3138" s="8" t="s">
        <v>16722</v>
      </c>
      <c r="R3138" s="8" t="s">
        <v>16723</v>
      </c>
    </row>
    <row r="3139">
      <c r="A3139" s="8" t="s">
        <v>784</v>
      </c>
      <c r="B3139" s="8" t="s">
        <v>16724</v>
      </c>
      <c r="C3139" s="8" t="s">
        <v>16725</v>
      </c>
      <c r="D3139" s="9">
        <v>7.775971397E9</v>
      </c>
      <c r="E3139" s="8" t="s">
        <v>12839</v>
      </c>
      <c r="F3139" s="8" t="s">
        <v>4423</v>
      </c>
      <c r="G3139" s="8" t="s">
        <v>16726</v>
      </c>
      <c r="H3139" s="8" t="s">
        <v>3479</v>
      </c>
      <c r="I3139" s="9">
        <v>0.0</v>
      </c>
      <c r="J3139" s="9">
        <v>2269.0</v>
      </c>
      <c r="K3139" s="9">
        <v>2269.0</v>
      </c>
      <c r="L3139" s="9">
        <v>2269.0</v>
      </c>
      <c r="M3139" s="9">
        <v>895.0</v>
      </c>
      <c r="N3139" s="9">
        <v>775.0</v>
      </c>
      <c r="O3139" s="9">
        <v>599.0</v>
      </c>
      <c r="P3139" s="8" t="s">
        <v>3480</v>
      </c>
      <c r="Q3139" s="8"/>
      <c r="R3139" s="8"/>
    </row>
    <row r="3140">
      <c r="A3140" s="8" t="s">
        <v>3301</v>
      </c>
      <c r="B3140" s="8" t="s">
        <v>16727</v>
      </c>
      <c r="C3140" s="8" t="s">
        <v>16728</v>
      </c>
      <c r="D3140" s="9">
        <v>9.130148459E9</v>
      </c>
      <c r="E3140" s="8" t="s">
        <v>16729</v>
      </c>
      <c r="F3140" s="8" t="s">
        <v>7382</v>
      </c>
      <c r="G3140" s="8" t="s">
        <v>16730</v>
      </c>
      <c r="H3140" s="8" t="s">
        <v>3479</v>
      </c>
      <c r="I3140" s="9">
        <v>0.0</v>
      </c>
      <c r="J3140" s="9">
        <v>1680.0</v>
      </c>
      <c r="K3140" s="9">
        <v>1680.0</v>
      </c>
      <c r="L3140" s="9">
        <v>1680.0</v>
      </c>
      <c r="M3140" s="9">
        <v>456.0</v>
      </c>
      <c r="N3140" s="9">
        <v>775.0</v>
      </c>
      <c r="O3140" s="9">
        <v>449.0</v>
      </c>
      <c r="P3140" s="8" t="s">
        <v>3480</v>
      </c>
      <c r="Q3140" s="8" t="s">
        <v>16731</v>
      </c>
      <c r="R3140" s="8" t="s">
        <v>16732</v>
      </c>
    </row>
    <row r="3141">
      <c r="A3141" s="8" t="s">
        <v>785</v>
      </c>
      <c r="B3141" s="8" t="s">
        <v>16733</v>
      </c>
      <c r="C3141" s="8" t="s">
        <v>10088</v>
      </c>
      <c r="D3141" s="9">
        <v>9.867620802E9</v>
      </c>
      <c r="E3141" s="8" t="s">
        <v>10089</v>
      </c>
      <c r="F3141" s="8" t="s">
        <v>4239</v>
      </c>
      <c r="G3141" s="8" t="s">
        <v>16734</v>
      </c>
      <c r="H3141" s="8" t="s">
        <v>3479</v>
      </c>
      <c r="I3141" s="9">
        <v>0.0</v>
      </c>
      <c r="J3141" s="9">
        <v>1428.0</v>
      </c>
      <c r="K3141" s="9">
        <v>1428.0</v>
      </c>
      <c r="L3141" s="9">
        <v>1428.0</v>
      </c>
      <c r="M3141" s="9">
        <v>160.0</v>
      </c>
      <c r="N3141" s="9">
        <v>739.0</v>
      </c>
      <c r="O3141" s="9">
        <v>529.0</v>
      </c>
      <c r="P3141" s="8" t="s">
        <v>3480</v>
      </c>
      <c r="Q3141" s="8" t="s">
        <v>10091</v>
      </c>
      <c r="R3141" s="8" t="s">
        <v>10092</v>
      </c>
    </row>
    <row r="3142">
      <c r="A3142" s="8" t="s">
        <v>3246</v>
      </c>
      <c r="B3142" s="8" t="s">
        <v>16735</v>
      </c>
      <c r="C3142" s="8" t="s">
        <v>4371</v>
      </c>
      <c r="D3142" s="9">
        <v>8.275160439E9</v>
      </c>
      <c r="E3142" s="8" t="s">
        <v>4372</v>
      </c>
      <c r="F3142" s="8" t="s">
        <v>4373</v>
      </c>
      <c r="G3142" s="8" t="s">
        <v>9865</v>
      </c>
      <c r="H3142" s="8" t="s">
        <v>3479</v>
      </c>
      <c r="I3142" s="9">
        <v>0.0</v>
      </c>
      <c r="J3142" s="9">
        <v>3002.0</v>
      </c>
      <c r="K3142" s="9">
        <v>3002.0</v>
      </c>
      <c r="L3142" s="9">
        <v>3002.0</v>
      </c>
      <c r="M3142" s="9">
        <v>1537.0</v>
      </c>
      <c r="N3142" s="9">
        <v>786.0</v>
      </c>
      <c r="O3142" s="9">
        <v>679.0</v>
      </c>
      <c r="P3142" s="8" t="s">
        <v>3480</v>
      </c>
      <c r="Q3142" s="8" t="s">
        <v>4375</v>
      </c>
      <c r="R3142" s="8" t="s">
        <v>4376</v>
      </c>
    </row>
    <row r="3143">
      <c r="A3143" s="8" t="s">
        <v>3257</v>
      </c>
      <c r="B3143" s="8" t="s">
        <v>16736</v>
      </c>
      <c r="C3143" s="8" t="s">
        <v>16737</v>
      </c>
      <c r="D3143" s="9">
        <v>7.841905939E9</v>
      </c>
      <c r="E3143" s="8" t="s">
        <v>16738</v>
      </c>
      <c r="F3143" s="8" t="s">
        <v>3757</v>
      </c>
      <c r="G3143" s="8" t="s">
        <v>16739</v>
      </c>
      <c r="H3143" s="8" t="s">
        <v>16740</v>
      </c>
      <c r="I3143" s="9">
        <v>0.0</v>
      </c>
      <c r="J3143" s="9">
        <v>4500.0</v>
      </c>
      <c r="K3143" s="9">
        <v>4968.0</v>
      </c>
      <c r="L3143" s="9">
        <v>4500.0</v>
      </c>
      <c r="M3143" s="9">
        <v>2401.0</v>
      </c>
      <c r="N3143" s="9">
        <v>1468.0</v>
      </c>
      <c r="O3143" s="9">
        <v>1099.0</v>
      </c>
      <c r="P3143" s="8" t="s">
        <v>3519</v>
      </c>
      <c r="Q3143" s="8" t="s">
        <v>16741</v>
      </c>
      <c r="R3143" s="8" t="s">
        <v>16742</v>
      </c>
    </row>
    <row r="3144">
      <c r="A3144" s="8" t="s">
        <v>3256</v>
      </c>
      <c r="B3144" s="8" t="s">
        <v>16743</v>
      </c>
      <c r="C3144" s="8" t="s">
        <v>16744</v>
      </c>
      <c r="D3144" s="9">
        <v>9.923281697E9</v>
      </c>
      <c r="E3144" s="8" t="s">
        <v>16745</v>
      </c>
      <c r="F3144" s="8" t="s">
        <v>3863</v>
      </c>
      <c r="G3144" s="8" t="s">
        <v>16746</v>
      </c>
      <c r="H3144" s="8" t="s">
        <v>3479</v>
      </c>
      <c r="I3144" s="9">
        <v>0.0</v>
      </c>
      <c r="J3144" s="9">
        <v>3642.0</v>
      </c>
      <c r="K3144" s="9">
        <v>3642.0</v>
      </c>
      <c r="L3144" s="9">
        <v>3642.0</v>
      </c>
      <c r="M3144" s="9">
        <v>2442.0</v>
      </c>
      <c r="N3144" s="9">
        <v>0.0</v>
      </c>
      <c r="O3144" s="9">
        <v>1200.0</v>
      </c>
      <c r="P3144" s="8" t="s">
        <v>3480</v>
      </c>
      <c r="Q3144" s="8"/>
      <c r="R3144" s="8"/>
    </row>
    <row r="3145">
      <c r="A3145" s="8" t="s">
        <v>3258</v>
      </c>
      <c r="B3145" s="8" t="s">
        <v>16747</v>
      </c>
      <c r="C3145" s="8" t="s">
        <v>16748</v>
      </c>
      <c r="D3145" s="9">
        <v>9.603061256E9</v>
      </c>
      <c r="E3145" s="8" t="s">
        <v>16749</v>
      </c>
      <c r="F3145" s="8" t="s">
        <v>16620</v>
      </c>
      <c r="G3145" s="8" t="s">
        <v>16750</v>
      </c>
      <c r="H3145" s="8" t="s">
        <v>3479</v>
      </c>
      <c r="I3145" s="9">
        <v>0.0</v>
      </c>
      <c r="J3145" s="9">
        <v>2081.0</v>
      </c>
      <c r="K3145" s="9">
        <v>2081.0</v>
      </c>
      <c r="L3145" s="9">
        <v>2081.0</v>
      </c>
      <c r="M3145" s="9">
        <v>1456.0</v>
      </c>
      <c r="N3145" s="9">
        <v>0.0</v>
      </c>
      <c r="O3145" s="9">
        <v>625.0</v>
      </c>
      <c r="P3145" s="8" t="s">
        <v>3480</v>
      </c>
      <c r="Q3145" s="8"/>
      <c r="R3145" s="8"/>
    </row>
    <row r="3146">
      <c r="A3146" s="8" t="s">
        <v>3259</v>
      </c>
      <c r="B3146" s="8" t="s">
        <v>16751</v>
      </c>
      <c r="C3146" s="8" t="s">
        <v>5898</v>
      </c>
      <c r="D3146" s="9">
        <v>9.657818768E9</v>
      </c>
      <c r="E3146" s="8" t="s">
        <v>5899</v>
      </c>
      <c r="F3146" s="8" t="s">
        <v>5366</v>
      </c>
      <c r="G3146" s="8" t="s">
        <v>16752</v>
      </c>
      <c r="H3146" s="8" t="s">
        <v>16753</v>
      </c>
      <c r="I3146" s="9">
        <v>0.0</v>
      </c>
      <c r="J3146" s="9">
        <v>1900.0</v>
      </c>
      <c r="K3146" s="9">
        <v>1963.0</v>
      </c>
      <c r="L3146" s="9">
        <v>1900.0</v>
      </c>
      <c r="M3146" s="9">
        <v>364.0</v>
      </c>
      <c r="N3146" s="9">
        <v>900.0</v>
      </c>
      <c r="O3146" s="9">
        <v>699.0</v>
      </c>
      <c r="P3146" s="8" t="s">
        <v>3544</v>
      </c>
      <c r="Q3146" s="8" t="s">
        <v>5901</v>
      </c>
      <c r="R3146" s="8" t="s">
        <v>5902</v>
      </c>
    </row>
    <row r="3147">
      <c r="A3147" s="8" t="s">
        <v>787</v>
      </c>
      <c r="B3147" s="8" t="s">
        <v>16754</v>
      </c>
      <c r="C3147" s="8" t="s">
        <v>6256</v>
      </c>
      <c r="D3147" s="9">
        <v>9.93080766E9</v>
      </c>
      <c r="E3147" s="8" t="s">
        <v>6257</v>
      </c>
      <c r="F3147" s="8" t="s">
        <v>3608</v>
      </c>
      <c r="G3147" s="8" t="s">
        <v>16755</v>
      </c>
      <c r="H3147" s="8" t="s">
        <v>3479</v>
      </c>
      <c r="I3147" s="9">
        <v>0.0</v>
      </c>
      <c r="J3147" s="9">
        <v>1268.0</v>
      </c>
      <c r="K3147" s="9">
        <v>1268.0</v>
      </c>
      <c r="L3147" s="9">
        <v>1268.0</v>
      </c>
      <c r="M3147" s="9">
        <v>80.0</v>
      </c>
      <c r="N3147" s="9">
        <v>739.0</v>
      </c>
      <c r="O3147" s="9">
        <v>449.0</v>
      </c>
      <c r="P3147" s="8" t="s">
        <v>3480</v>
      </c>
      <c r="Q3147" s="8" t="s">
        <v>6259</v>
      </c>
      <c r="R3147" s="8" t="s">
        <v>6260</v>
      </c>
    </row>
    <row r="3148">
      <c r="A3148" s="8" t="s">
        <v>3260</v>
      </c>
      <c r="B3148" s="8" t="s">
        <v>16756</v>
      </c>
      <c r="C3148" s="8" t="s">
        <v>16757</v>
      </c>
      <c r="D3148" s="9">
        <v>8.767992693E9</v>
      </c>
      <c r="E3148" s="8" t="s">
        <v>16758</v>
      </c>
      <c r="F3148" s="8" t="s">
        <v>3486</v>
      </c>
      <c r="G3148" s="8" t="s">
        <v>16759</v>
      </c>
      <c r="H3148" s="8" t="s">
        <v>3479</v>
      </c>
      <c r="I3148" s="9">
        <v>0.0</v>
      </c>
      <c r="J3148" s="9">
        <v>1782.0</v>
      </c>
      <c r="K3148" s="9">
        <v>1782.0</v>
      </c>
      <c r="L3148" s="9">
        <v>1782.0</v>
      </c>
      <c r="M3148" s="9">
        <v>594.0</v>
      </c>
      <c r="N3148" s="9">
        <v>739.0</v>
      </c>
      <c r="O3148" s="9">
        <v>449.0</v>
      </c>
      <c r="P3148" s="8" t="s">
        <v>3480</v>
      </c>
      <c r="Q3148" s="8" t="s">
        <v>16760</v>
      </c>
      <c r="R3148" s="8" t="s">
        <v>16761</v>
      </c>
    </row>
    <row r="3149">
      <c r="A3149" s="8" t="s">
        <v>3247</v>
      </c>
      <c r="B3149" s="8" t="s">
        <v>16762</v>
      </c>
      <c r="C3149" s="8" t="s">
        <v>16763</v>
      </c>
      <c r="D3149" s="9">
        <v>9.960621585E9</v>
      </c>
      <c r="E3149" s="8" t="s">
        <v>16764</v>
      </c>
      <c r="F3149" s="8" t="s">
        <v>3809</v>
      </c>
      <c r="G3149" s="8" t="s">
        <v>9865</v>
      </c>
      <c r="H3149" s="8" t="s">
        <v>3479</v>
      </c>
      <c r="I3149" s="9">
        <v>0.0</v>
      </c>
      <c r="J3149" s="9">
        <v>1274.0</v>
      </c>
      <c r="K3149" s="9">
        <v>1274.0</v>
      </c>
      <c r="L3149" s="9">
        <v>1274.0</v>
      </c>
      <c r="M3149" s="9">
        <v>255.0</v>
      </c>
      <c r="N3149" s="9">
        <v>190.0</v>
      </c>
      <c r="O3149" s="9">
        <v>829.0</v>
      </c>
      <c r="P3149" s="8" t="s">
        <v>3480</v>
      </c>
      <c r="Q3149" s="8" t="s">
        <v>16765</v>
      </c>
      <c r="R3149" s="8" t="s">
        <v>16766</v>
      </c>
    </row>
    <row r="3150">
      <c r="A3150" s="8" t="s">
        <v>3248</v>
      </c>
      <c r="B3150" s="8" t="s">
        <v>16767</v>
      </c>
      <c r="C3150" s="8" t="s">
        <v>9653</v>
      </c>
      <c r="D3150" s="9">
        <v>9.73000218E9</v>
      </c>
      <c r="E3150" s="8" t="s">
        <v>9654</v>
      </c>
      <c r="F3150" s="8" t="s">
        <v>3934</v>
      </c>
      <c r="G3150" s="8" t="s">
        <v>9655</v>
      </c>
      <c r="H3150" s="8" t="s">
        <v>3479</v>
      </c>
      <c r="I3150" s="9">
        <v>0.0</v>
      </c>
      <c r="J3150" s="9">
        <v>6248.0</v>
      </c>
      <c r="K3150" s="9">
        <v>6248.0</v>
      </c>
      <c r="L3150" s="9">
        <v>6248.0</v>
      </c>
      <c r="M3150" s="9">
        <v>3673.0</v>
      </c>
      <c r="N3150" s="9">
        <v>926.0</v>
      </c>
      <c r="O3150" s="9">
        <v>1649.0</v>
      </c>
      <c r="P3150" s="8" t="s">
        <v>3480</v>
      </c>
      <c r="Q3150" s="8" t="s">
        <v>9656</v>
      </c>
      <c r="R3150" s="8" t="s">
        <v>9657</v>
      </c>
    </row>
    <row r="3151">
      <c r="A3151" s="8" t="s">
        <v>779</v>
      </c>
      <c r="B3151" s="8" t="s">
        <v>16768</v>
      </c>
      <c r="C3151" s="8" t="s">
        <v>5347</v>
      </c>
      <c r="D3151" s="9">
        <v>9.822607239E9</v>
      </c>
      <c r="E3151" s="8" t="s">
        <v>16769</v>
      </c>
      <c r="F3151" s="8" t="s">
        <v>3523</v>
      </c>
      <c r="G3151" s="8" t="s">
        <v>16770</v>
      </c>
      <c r="H3151" s="8" t="s">
        <v>3479</v>
      </c>
      <c r="I3151" s="9">
        <v>0.0</v>
      </c>
      <c r="J3151" s="9">
        <v>4708.0</v>
      </c>
      <c r="K3151" s="9">
        <v>4708.0</v>
      </c>
      <c r="L3151" s="9">
        <v>4708.0</v>
      </c>
      <c r="M3151" s="9">
        <v>3070.0</v>
      </c>
      <c r="N3151" s="9">
        <v>739.0</v>
      </c>
      <c r="O3151" s="9">
        <v>899.0</v>
      </c>
      <c r="P3151" s="8" t="s">
        <v>3519</v>
      </c>
      <c r="Q3151" s="8"/>
      <c r="R3151" s="8"/>
    </row>
    <row r="3152">
      <c r="A3152" s="8" t="s">
        <v>3262</v>
      </c>
      <c r="B3152" s="8" t="s">
        <v>16771</v>
      </c>
      <c r="C3152" s="8" t="s">
        <v>16772</v>
      </c>
      <c r="D3152" s="9">
        <v>7.796282694E9</v>
      </c>
      <c r="E3152" s="8" t="s">
        <v>16773</v>
      </c>
      <c r="F3152" s="8" t="s">
        <v>3601</v>
      </c>
      <c r="G3152" s="8" t="s">
        <v>16774</v>
      </c>
      <c r="H3152" s="8" t="s">
        <v>3479</v>
      </c>
      <c r="I3152" s="9">
        <v>0.0</v>
      </c>
      <c r="J3152" s="9">
        <v>2375.0</v>
      </c>
      <c r="K3152" s="9">
        <v>2375.0</v>
      </c>
      <c r="L3152" s="9">
        <v>2375.0</v>
      </c>
      <c r="M3152" s="9">
        <v>1187.0</v>
      </c>
      <c r="N3152" s="9">
        <v>739.0</v>
      </c>
      <c r="O3152" s="9">
        <v>449.0</v>
      </c>
      <c r="P3152" s="8" t="s">
        <v>3480</v>
      </c>
      <c r="Q3152" s="8"/>
      <c r="R3152" s="8"/>
    </row>
    <row r="3153">
      <c r="A3153" s="8" t="s">
        <v>3261</v>
      </c>
      <c r="B3153" s="8" t="s">
        <v>16775</v>
      </c>
      <c r="C3153" s="8" t="s">
        <v>16776</v>
      </c>
      <c r="D3153" s="9">
        <v>8.956893158E9</v>
      </c>
      <c r="E3153" s="8" t="s">
        <v>16777</v>
      </c>
      <c r="F3153" s="8" t="s">
        <v>3589</v>
      </c>
      <c r="G3153" s="8" t="s">
        <v>16778</v>
      </c>
      <c r="H3153" s="8" t="s">
        <v>3479</v>
      </c>
      <c r="I3153" s="9">
        <v>0.0</v>
      </c>
      <c r="J3153" s="9">
        <v>5158.0</v>
      </c>
      <c r="K3153" s="9">
        <v>5158.0</v>
      </c>
      <c r="L3153" s="9">
        <v>5158.0</v>
      </c>
      <c r="M3153" s="9">
        <v>3549.0</v>
      </c>
      <c r="N3153" s="9">
        <v>0.0</v>
      </c>
      <c r="O3153" s="9">
        <v>1609.0</v>
      </c>
      <c r="P3153" s="8" t="s">
        <v>3480</v>
      </c>
      <c r="Q3153" s="8"/>
      <c r="R3153" s="8"/>
    </row>
    <row r="3154">
      <c r="A3154" s="8" t="s">
        <v>788</v>
      </c>
      <c r="B3154" s="8" t="s">
        <v>16779</v>
      </c>
      <c r="C3154" s="8" t="s">
        <v>13458</v>
      </c>
      <c r="D3154" s="9">
        <v>8.275439129E9</v>
      </c>
      <c r="E3154" s="8" t="s">
        <v>13459</v>
      </c>
      <c r="F3154" s="8" t="s">
        <v>4029</v>
      </c>
      <c r="G3154" s="8" t="s">
        <v>13460</v>
      </c>
      <c r="H3154" s="8" t="s">
        <v>3479</v>
      </c>
      <c r="I3154" s="9">
        <v>0.0</v>
      </c>
      <c r="J3154" s="9">
        <v>2204.0</v>
      </c>
      <c r="K3154" s="9">
        <v>2204.0</v>
      </c>
      <c r="L3154" s="9">
        <v>2204.0</v>
      </c>
      <c r="M3154" s="9">
        <v>980.0</v>
      </c>
      <c r="N3154" s="9">
        <v>775.0</v>
      </c>
      <c r="O3154" s="9">
        <v>449.0</v>
      </c>
      <c r="P3154" s="8" t="s">
        <v>3480</v>
      </c>
      <c r="Q3154" s="8" t="s">
        <v>13461</v>
      </c>
      <c r="R3154" s="8"/>
    </row>
    <row r="3155">
      <c r="A3155" s="8" t="s">
        <v>789</v>
      </c>
      <c r="B3155" s="8" t="s">
        <v>16780</v>
      </c>
      <c r="C3155" s="8" t="s">
        <v>16781</v>
      </c>
      <c r="D3155" s="9">
        <v>9.764908181E9</v>
      </c>
      <c r="E3155" s="8" t="s">
        <v>16782</v>
      </c>
      <c r="F3155" s="8" t="s">
        <v>3517</v>
      </c>
      <c r="G3155" s="8" t="s">
        <v>16783</v>
      </c>
      <c r="H3155" s="8" t="s">
        <v>3479</v>
      </c>
      <c r="I3155" s="9">
        <v>0.0</v>
      </c>
      <c r="J3155" s="9">
        <v>1453.0</v>
      </c>
      <c r="K3155" s="9">
        <v>1453.0</v>
      </c>
      <c r="L3155" s="9">
        <v>1453.0</v>
      </c>
      <c r="M3155" s="9">
        <v>265.0</v>
      </c>
      <c r="N3155" s="9">
        <v>739.0</v>
      </c>
      <c r="O3155" s="9">
        <v>449.0</v>
      </c>
      <c r="P3155" s="8" t="s">
        <v>3480</v>
      </c>
      <c r="Q3155" s="8"/>
      <c r="R3155" s="8"/>
    </row>
    <row r="3156">
      <c r="A3156" s="8" t="s">
        <v>790</v>
      </c>
      <c r="B3156" s="8" t="s">
        <v>16784</v>
      </c>
      <c r="C3156" s="8" t="s">
        <v>16785</v>
      </c>
      <c r="D3156" s="9">
        <v>9.970556259E9</v>
      </c>
      <c r="E3156" s="8" t="s">
        <v>16786</v>
      </c>
      <c r="F3156" s="8" t="s">
        <v>3881</v>
      </c>
      <c r="G3156" s="8" t="s">
        <v>16787</v>
      </c>
      <c r="H3156" s="8" t="s">
        <v>3479</v>
      </c>
      <c r="I3156" s="9">
        <v>0.0</v>
      </c>
      <c r="J3156" s="9">
        <v>1736.0</v>
      </c>
      <c r="K3156" s="9">
        <v>1736.0</v>
      </c>
      <c r="L3156" s="9">
        <v>1736.0</v>
      </c>
      <c r="M3156" s="9">
        <v>473.0</v>
      </c>
      <c r="N3156" s="9">
        <v>739.0</v>
      </c>
      <c r="O3156" s="9">
        <v>524.0</v>
      </c>
      <c r="P3156" s="8" t="s">
        <v>3519</v>
      </c>
      <c r="Q3156" s="8"/>
      <c r="R3156" s="8"/>
    </row>
    <row r="3157">
      <c r="A3157" s="8" t="s">
        <v>792</v>
      </c>
      <c r="B3157" s="8" t="s">
        <v>16788</v>
      </c>
      <c r="C3157" s="8" t="s">
        <v>16789</v>
      </c>
      <c r="D3157" s="9">
        <v>9.422228043E9</v>
      </c>
      <c r="E3157" s="8" t="s">
        <v>16790</v>
      </c>
      <c r="F3157" s="8" t="s">
        <v>3550</v>
      </c>
      <c r="G3157" s="8" t="s">
        <v>16791</v>
      </c>
      <c r="H3157" s="8" t="s">
        <v>3479</v>
      </c>
      <c r="I3157" s="9">
        <v>0.0</v>
      </c>
      <c r="J3157" s="9">
        <v>1758.0</v>
      </c>
      <c r="K3157" s="9">
        <v>1758.0</v>
      </c>
      <c r="L3157" s="9">
        <v>1758.0</v>
      </c>
      <c r="M3157" s="9">
        <v>570.0</v>
      </c>
      <c r="N3157" s="9">
        <v>739.0</v>
      </c>
      <c r="O3157" s="9">
        <v>449.0</v>
      </c>
      <c r="P3157" s="8" t="s">
        <v>3480</v>
      </c>
      <c r="Q3157" s="8"/>
      <c r="R3157" s="8"/>
    </row>
    <row r="3158">
      <c r="A3158" s="8" t="s">
        <v>791</v>
      </c>
      <c r="B3158" s="8" t="s">
        <v>16792</v>
      </c>
      <c r="C3158" s="8" t="s">
        <v>16793</v>
      </c>
      <c r="D3158" s="9">
        <v>9.325594347E9</v>
      </c>
      <c r="E3158" s="8" t="s">
        <v>16794</v>
      </c>
      <c r="F3158" s="8" t="s">
        <v>3486</v>
      </c>
      <c r="G3158" s="8" t="s">
        <v>16795</v>
      </c>
      <c r="H3158" s="8" t="s">
        <v>3479</v>
      </c>
      <c r="I3158" s="9">
        <v>0.0</v>
      </c>
      <c r="J3158" s="9">
        <v>1543.0</v>
      </c>
      <c r="K3158" s="9">
        <v>1543.0</v>
      </c>
      <c r="L3158" s="9">
        <v>1543.0</v>
      </c>
      <c r="M3158" s="9">
        <v>355.0</v>
      </c>
      <c r="N3158" s="9">
        <v>739.0</v>
      </c>
      <c r="O3158" s="9">
        <v>449.0</v>
      </c>
      <c r="P3158" s="8" t="s">
        <v>3480</v>
      </c>
      <c r="Q3158" s="8"/>
      <c r="R3158" s="8"/>
    </row>
    <row r="3159">
      <c r="A3159" s="8" t="s">
        <v>793</v>
      </c>
      <c r="B3159" s="8" t="s">
        <v>16796</v>
      </c>
      <c r="C3159" s="8" t="s">
        <v>4161</v>
      </c>
      <c r="D3159" s="9">
        <v>9.665431727E9</v>
      </c>
      <c r="E3159" s="8" t="s">
        <v>16797</v>
      </c>
      <c r="F3159" s="8" t="s">
        <v>8835</v>
      </c>
      <c r="G3159" s="8" t="s">
        <v>16798</v>
      </c>
      <c r="H3159" s="8" t="s">
        <v>3479</v>
      </c>
      <c r="I3159" s="9">
        <v>0.0</v>
      </c>
      <c r="J3159" s="9">
        <v>1463.0</v>
      </c>
      <c r="K3159" s="9">
        <v>1463.0</v>
      </c>
      <c r="L3159" s="9">
        <v>1463.0</v>
      </c>
      <c r="M3159" s="9">
        <v>80.0</v>
      </c>
      <c r="N3159" s="9">
        <v>784.0</v>
      </c>
      <c r="O3159" s="9">
        <v>599.0</v>
      </c>
      <c r="P3159" s="8" t="s">
        <v>3480</v>
      </c>
      <c r="Q3159" s="8"/>
      <c r="R3159" s="8"/>
    </row>
    <row r="3160">
      <c r="A3160" s="8" t="s">
        <v>794</v>
      </c>
      <c r="B3160" s="8" t="s">
        <v>16799</v>
      </c>
      <c r="C3160" s="8" t="s">
        <v>16800</v>
      </c>
      <c r="D3160" s="9">
        <v>7.972907145E9</v>
      </c>
      <c r="E3160" s="8" t="s">
        <v>16801</v>
      </c>
      <c r="F3160" s="8" t="s">
        <v>3714</v>
      </c>
      <c r="G3160" s="8" t="s">
        <v>16802</v>
      </c>
      <c r="H3160" s="8" t="s">
        <v>3479</v>
      </c>
      <c r="I3160" s="9">
        <v>0.0</v>
      </c>
      <c r="J3160" s="9">
        <v>2021.0</v>
      </c>
      <c r="K3160" s="9">
        <v>2021.0</v>
      </c>
      <c r="L3160" s="9">
        <v>2021.0</v>
      </c>
      <c r="M3160" s="9">
        <v>647.0</v>
      </c>
      <c r="N3160" s="9">
        <v>775.0</v>
      </c>
      <c r="O3160" s="9">
        <v>599.0</v>
      </c>
      <c r="P3160" s="8" t="s">
        <v>3480</v>
      </c>
      <c r="Q3160" s="8"/>
      <c r="R3160" s="8"/>
    </row>
    <row r="3161">
      <c r="A3161" s="8" t="s">
        <v>3249</v>
      </c>
      <c r="B3161" s="8" t="s">
        <v>16803</v>
      </c>
      <c r="C3161" s="8" t="s">
        <v>16804</v>
      </c>
      <c r="D3161" s="9">
        <v>9.130199192E9</v>
      </c>
      <c r="E3161" s="8" t="s">
        <v>16805</v>
      </c>
      <c r="F3161" s="8" t="s">
        <v>3908</v>
      </c>
      <c r="G3161" s="8" t="s">
        <v>16806</v>
      </c>
      <c r="H3161" s="8" t="s">
        <v>3479</v>
      </c>
      <c r="I3161" s="9">
        <v>0.0</v>
      </c>
      <c r="J3161" s="9">
        <v>2279.0</v>
      </c>
      <c r="K3161" s="9">
        <v>2279.0</v>
      </c>
      <c r="L3161" s="9">
        <v>2279.0</v>
      </c>
      <c r="M3161" s="9">
        <v>690.0</v>
      </c>
      <c r="N3161" s="9">
        <v>1140.0</v>
      </c>
      <c r="O3161" s="9">
        <v>449.0</v>
      </c>
      <c r="P3161" s="8" t="s">
        <v>3480</v>
      </c>
      <c r="Q3161" s="8"/>
      <c r="R3161" s="8"/>
    </row>
    <row r="3162">
      <c r="A3162" s="8" t="s">
        <v>795</v>
      </c>
      <c r="B3162" s="8" t="s">
        <v>16807</v>
      </c>
      <c r="C3162" s="8" t="s">
        <v>16808</v>
      </c>
      <c r="D3162" s="9">
        <v>9.158682999E9</v>
      </c>
      <c r="E3162" s="8" t="s">
        <v>16809</v>
      </c>
      <c r="F3162" s="8" t="s">
        <v>3523</v>
      </c>
      <c r="G3162" s="8" t="s">
        <v>16810</v>
      </c>
      <c r="H3162" s="8" t="s">
        <v>3479</v>
      </c>
      <c r="I3162" s="9">
        <v>0.0</v>
      </c>
      <c r="J3162" s="9">
        <v>609.0</v>
      </c>
      <c r="K3162" s="9">
        <v>609.0</v>
      </c>
      <c r="L3162" s="9">
        <v>609.0</v>
      </c>
      <c r="M3162" s="9">
        <v>80.0</v>
      </c>
      <c r="N3162" s="9">
        <v>0.0</v>
      </c>
      <c r="O3162" s="9">
        <v>529.0</v>
      </c>
      <c r="P3162" s="8" t="s">
        <v>3480</v>
      </c>
      <c r="Q3162" s="8"/>
      <c r="R3162" s="8"/>
    </row>
    <row r="3163">
      <c r="A3163" s="8" t="s">
        <v>1558</v>
      </c>
      <c r="B3163" s="8" t="s">
        <v>16811</v>
      </c>
      <c r="C3163" s="8" t="s">
        <v>4161</v>
      </c>
      <c r="D3163" s="9">
        <v>9.665431727E9</v>
      </c>
      <c r="E3163" s="8" t="s">
        <v>16812</v>
      </c>
      <c r="F3163" s="8" t="s">
        <v>3608</v>
      </c>
      <c r="G3163" s="8" t="s">
        <v>16813</v>
      </c>
      <c r="H3163" s="8" t="s">
        <v>3479</v>
      </c>
      <c r="I3163" s="9">
        <v>0.0</v>
      </c>
      <c r="J3163" s="9">
        <v>1550.0</v>
      </c>
      <c r="K3163" s="9">
        <v>1550.0</v>
      </c>
      <c r="L3163" s="9">
        <v>1550.0</v>
      </c>
      <c r="M3163" s="9">
        <v>1550.0</v>
      </c>
      <c r="N3163" s="9">
        <v>0.0</v>
      </c>
      <c r="O3163" s="9">
        <v>0.0</v>
      </c>
      <c r="P3163" s="8" t="s">
        <v>3480</v>
      </c>
      <c r="Q3163" s="8"/>
      <c r="R3163" s="8"/>
    </row>
    <row r="3164">
      <c r="A3164" s="8" t="s">
        <v>796</v>
      </c>
      <c r="B3164" s="8" t="s">
        <v>16814</v>
      </c>
      <c r="C3164" s="8" t="s">
        <v>4803</v>
      </c>
      <c r="D3164" s="9">
        <v>8.329085585E9</v>
      </c>
      <c r="E3164" s="8" t="s">
        <v>4804</v>
      </c>
      <c r="F3164" s="8" t="s">
        <v>4805</v>
      </c>
      <c r="G3164" s="8" t="s">
        <v>16815</v>
      </c>
      <c r="H3164" s="8" t="s">
        <v>3479</v>
      </c>
      <c r="I3164" s="9">
        <v>0.0</v>
      </c>
      <c r="J3164" s="9">
        <v>1569.0</v>
      </c>
      <c r="K3164" s="9">
        <v>1569.0</v>
      </c>
      <c r="L3164" s="9">
        <v>1569.0</v>
      </c>
      <c r="M3164" s="9">
        <v>345.0</v>
      </c>
      <c r="N3164" s="9">
        <v>775.0</v>
      </c>
      <c r="O3164" s="9">
        <v>449.0</v>
      </c>
      <c r="P3164" s="8" t="s">
        <v>3480</v>
      </c>
      <c r="Q3164" s="8" t="s">
        <v>4807</v>
      </c>
      <c r="R3164" s="8" t="s">
        <v>4808</v>
      </c>
    </row>
    <row r="3165">
      <c r="A3165" s="8" t="s">
        <v>1559</v>
      </c>
      <c r="B3165" s="8" t="s">
        <v>16816</v>
      </c>
      <c r="C3165" s="8" t="s">
        <v>6165</v>
      </c>
      <c r="D3165" s="9">
        <v>9.767474769E9</v>
      </c>
      <c r="E3165" s="8" t="s">
        <v>6166</v>
      </c>
      <c r="F3165" s="8" t="s">
        <v>3821</v>
      </c>
      <c r="G3165" s="8" t="s">
        <v>3494</v>
      </c>
      <c r="H3165" s="8" t="s">
        <v>3479</v>
      </c>
      <c r="I3165" s="9">
        <v>0.0</v>
      </c>
      <c r="J3165" s="9">
        <v>2010.0</v>
      </c>
      <c r="K3165" s="9">
        <v>2010.0</v>
      </c>
      <c r="L3165" s="9">
        <v>2010.0</v>
      </c>
      <c r="M3165" s="9">
        <v>2010.0</v>
      </c>
      <c r="N3165" s="9">
        <v>0.0</v>
      </c>
      <c r="O3165" s="9">
        <v>0.0</v>
      </c>
      <c r="P3165" s="8" t="s">
        <v>3480</v>
      </c>
      <c r="Q3165" s="8" t="s">
        <v>6168</v>
      </c>
      <c r="R3165" s="8" t="s">
        <v>6169</v>
      </c>
    </row>
    <row r="3166">
      <c r="A3166" s="8" t="s">
        <v>1560</v>
      </c>
      <c r="B3166" s="8" t="s">
        <v>16817</v>
      </c>
      <c r="C3166" s="8" t="s">
        <v>7220</v>
      </c>
      <c r="D3166" s="9">
        <v>9.764696387E9</v>
      </c>
      <c r="E3166" s="8" t="s">
        <v>10918</v>
      </c>
      <c r="F3166" s="8" t="s">
        <v>3608</v>
      </c>
      <c r="G3166" s="8" t="s">
        <v>16818</v>
      </c>
      <c r="H3166" s="8" t="s">
        <v>3479</v>
      </c>
      <c r="I3166" s="9">
        <v>0.0</v>
      </c>
      <c r="J3166" s="9">
        <v>3542.0</v>
      </c>
      <c r="K3166" s="9">
        <v>3542.0</v>
      </c>
      <c r="L3166" s="9">
        <v>3542.0</v>
      </c>
      <c r="M3166" s="9">
        <v>3163.0</v>
      </c>
      <c r="N3166" s="9">
        <v>0.0</v>
      </c>
      <c r="O3166" s="9">
        <v>379.0</v>
      </c>
      <c r="P3166" s="8" t="s">
        <v>3480</v>
      </c>
      <c r="Q3166" s="8" t="s">
        <v>10920</v>
      </c>
      <c r="R3166" s="8"/>
    </row>
    <row r="3167">
      <c r="A3167" s="8" t="s">
        <v>3250</v>
      </c>
      <c r="B3167" s="8" t="s">
        <v>16819</v>
      </c>
      <c r="C3167" s="8" t="s">
        <v>16820</v>
      </c>
      <c r="D3167" s="9">
        <v>8.087351788E9</v>
      </c>
      <c r="E3167" s="8" t="s">
        <v>16821</v>
      </c>
      <c r="F3167" s="8" t="s">
        <v>4093</v>
      </c>
      <c r="G3167" s="8" t="s">
        <v>9865</v>
      </c>
      <c r="H3167" s="8" t="s">
        <v>3479</v>
      </c>
      <c r="I3167" s="9">
        <v>0.0</v>
      </c>
      <c r="J3167" s="9">
        <v>1749.0</v>
      </c>
      <c r="K3167" s="9">
        <v>1749.0</v>
      </c>
      <c r="L3167" s="9">
        <v>1749.0</v>
      </c>
      <c r="M3167" s="9">
        <v>375.0</v>
      </c>
      <c r="N3167" s="9">
        <v>775.0</v>
      </c>
      <c r="O3167" s="9">
        <v>599.0</v>
      </c>
      <c r="P3167" s="8" t="s">
        <v>3480</v>
      </c>
      <c r="Q3167" s="8" t="s">
        <v>16822</v>
      </c>
      <c r="R3167" s="8" t="s">
        <v>16823</v>
      </c>
    </row>
    <row r="3168">
      <c r="A3168" s="8" t="s">
        <v>786</v>
      </c>
      <c r="B3168" s="8" t="s">
        <v>16824</v>
      </c>
      <c r="C3168" s="8" t="s">
        <v>16825</v>
      </c>
      <c r="D3168" s="9">
        <v>7.757009174E9</v>
      </c>
      <c r="E3168" s="8" t="s">
        <v>16826</v>
      </c>
      <c r="F3168" s="8" t="s">
        <v>16827</v>
      </c>
      <c r="G3168" s="8" t="s">
        <v>16828</v>
      </c>
      <c r="H3168" s="8" t="s">
        <v>3479</v>
      </c>
      <c r="I3168" s="9">
        <v>0.0</v>
      </c>
      <c r="J3168" s="9">
        <v>3573.0</v>
      </c>
      <c r="K3168" s="9">
        <v>3573.0</v>
      </c>
      <c r="L3168" s="9">
        <v>3573.0</v>
      </c>
      <c r="M3168" s="9">
        <v>2310.0</v>
      </c>
      <c r="N3168" s="9">
        <v>739.0</v>
      </c>
      <c r="O3168" s="9">
        <v>524.0</v>
      </c>
      <c r="P3168" s="8" t="s">
        <v>3480</v>
      </c>
      <c r="Q3168" s="8" t="s">
        <v>16829</v>
      </c>
      <c r="R3168" s="8"/>
    </row>
    <row r="3169">
      <c r="A3169" s="8" t="s">
        <v>798</v>
      </c>
      <c r="B3169" s="8" t="s">
        <v>16830</v>
      </c>
      <c r="C3169" s="8" t="s">
        <v>14364</v>
      </c>
      <c r="D3169" s="9">
        <v>9.833693526E9</v>
      </c>
      <c r="E3169" s="8" t="s">
        <v>14365</v>
      </c>
      <c r="F3169" s="8" t="s">
        <v>3608</v>
      </c>
      <c r="G3169" s="8" t="s">
        <v>16831</v>
      </c>
      <c r="H3169" s="8" t="s">
        <v>3479</v>
      </c>
      <c r="I3169" s="9">
        <v>0.0</v>
      </c>
      <c r="J3169" s="9">
        <v>1258.0</v>
      </c>
      <c r="K3169" s="9">
        <v>1258.0</v>
      </c>
      <c r="L3169" s="9">
        <v>1258.0</v>
      </c>
      <c r="M3169" s="9">
        <v>80.0</v>
      </c>
      <c r="N3169" s="9">
        <v>729.0</v>
      </c>
      <c r="O3169" s="9">
        <v>449.0</v>
      </c>
      <c r="P3169" s="8" t="s">
        <v>3480</v>
      </c>
      <c r="Q3169" s="8" t="s">
        <v>14367</v>
      </c>
      <c r="R3169" s="8" t="s">
        <v>14368</v>
      </c>
    </row>
    <row r="3170">
      <c r="A3170" s="8" t="s">
        <v>799</v>
      </c>
      <c r="B3170" s="8" t="s">
        <v>16832</v>
      </c>
      <c r="C3170" s="8" t="s">
        <v>7542</v>
      </c>
      <c r="D3170" s="9">
        <v>9.921390651E9</v>
      </c>
      <c r="E3170" s="8" t="s">
        <v>7543</v>
      </c>
      <c r="F3170" s="8" t="s">
        <v>4125</v>
      </c>
      <c r="G3170" s="8" t="s">
        <v>16833</v>
      </c>
      <c r="H3170" s="8" t="s">
        <v>3479</v>
      </c>
      <c r="I3170" s="9">
        <v>0.0</v>
      </c>
      <c r="J3170" s="9">
        <v>2105.0</v>
      </c>
      <c r="K3170" s="9">
        <v>2105.0</v>
      </c>
      <c r="L3170" s="9">
        <v>2105.0</v>
      </c>
      <c r="M3170" s="9">
        <v>781.0</v>
      </c>
      <c r="N3170" s="9">
        <v>775.0</v>
      </c>
      <c r="O3170" s="9">
        <v>549.0</v>
      </c>
      <c r="P3170" s="8" t="s">
        <v>3480</v>
      </c>
      <c r="Q3170" s="8" t="s">
        <v>7545</v>
      </c>
      <c r="R3170" s="8" t="s">
        <v>7546</v>
      </c>
    </row>
    <row r="3171">
      <c r="A3171" s="8" t="s">
        <v>800</v>
      </c>
      <c r="B3171" s="8" t="s">
        <v>16834</v>
      </c>
      <c r="C3171" s="8" t="s">
        <v>5904</v>
      </c>
      <c r="D3171" s="9">
        <v>7.972023225E9</v>
      </c>
      <c r="E3171" s="8" t="s">
        <v>5905</v>
      </c>
      <c r="F3171" s="8" t="s">
        <v>3821</v>
      </c>
      <c r="G3171" s="8" t="s">
        <v>16835</v>
      </c>
      <c r="H3171" s="8" t="s">
        <v>3479</v>
      </c>
      <c r="I3171" s="9">
        <v>0.0</v>
      </c>
      <c r="J3171" s="9">
        <v>2573.0</v>
      </c>
      <c r="K3171" s="9">
        <v>2573.0</v>
      </c>
      <c r="L3171" s="9">
        <v>2573.0</v>
      </c>
      <c r="M3171" s="9">
        <v>1310.0</v>
      </c>
      <c r="N3171" s="9">
        <v>739.0</v>
      </c>
      <c r="O3171" s="9">
        <v>524.0</v>
      </c>
      <c r="P3171" s="8" t="s">
        <v>3480</v>
      </c>
      <c r="Q3171" s="8" t="s">
        <v>5907</v>
      </c>
      <c r="R3171" s="8" t="s">
        <v>5908</v>
      </c>
    </row>
    <row r="3172">
      <c r="A3172" s="8" t="s">
        <v>801</v>
      </c>
      <c r="B3172" s="8" t="s">
        <v>16836</v>
      </c>
      <c r="C3172" s="8" t="s">
        <v>8047</v>
      </c>
      <c r="D3172" s="9">
        <v>8.485002345E9</v>
      </c>
      <c r="E3172" s="8" t="s">
        <v>8048</v>
      </c>
      <c r="F3172" s="8" t="s">
        <v>3714</v>
      </c>
      <c r="G3172" s="8" t="s">
        <v>16837</v>
      </c>
      <c r="H3172" s="8" t="s">
        <v>3479</v>
      </c>
      <c r="I3172" s="9">
        <v>0.0</v>
      </c>
      <c r="J3172" s="9">
        <v>1701.0</v>
      </c>
      <c r="K3172" s="9">
        <v>1701.0</v>
      </c>
      <c r="L3172" s="9">
        <v>1701.0</v>
      </c>
      <c r="M3172" s="9">
        <v>327.0</v>
      </c>
      <c r="N3172" s="9">
        <v>775.0</v>
      </c>
      <c r="O3172" s="9">
        <v>599.0</v>
      </c>
      <c r="P3172" s="8" t="s">
        <v>3480</v>
      </c>
      <c r="Q3172" s="8"/>
      <c r="R3172" s="8"/>
    </row>
    <row r="3173">
      <c r="A3173" s="8" t="s">
        <v>802</v>
      </c>
      <c r="B3173" s="8" t="s">
        <v>16838</v>
      </c>
      <c r="C3173" s="8" t="s">
        <v>16839</v>
      </c>
      <c r="D3173" s="9">
        <v>8.956958994E9</v>
      </c>
      <c r="E3173" s="8" t="s">
        <v>16840</v>
      </c>
      <c r="F3173" s="8" t="s">
        <v>16428</v>
      </c>
      <c r="G3173" s="8" t="s">
        <v>16841</v>
      </c>
      <c r="H3173" s="8" t="s">
        <v>3479</v>
      </c>
      <c r="I3173" s="9">
        <v>0.0</v>
      </c>
      <c r="J3173" s="9">
        <v>1304.0</v>
      </c>
      <c r="K3173" s="9">
        <v>1304.0</v>
      </c>
      <c r="L3173" s="9">
        <v>1304.0</v>
      </c>
      <c r="M3173" s="9">
        <v>80.0</v>
      </c>
      <c r="N3173" s="9">
        <v>775.0</v>
      </c>
      <c r="O3173" s="9">
        <v>449.0</v>
      </c>
      <c r="P3173" s="8" t="s">
        <v>3519</v>
      </c>
      <c r="Q3173" s="8"/>
      <c r="R3173" s="8"/>
    </row>
    <row r="3174">
      <c r="A3174" s="8" t="s">
        <v>3251</v>
      </c>
      <c r="B3174" s="8" t="s">
        <v>16842</v>
      </c>
      <c r="C3174" s="8" t="s">
        <v>16843</v>
      </c>
      <c r="D3174" s="9">
        <v>9.970564201E9</v>
      </c>
      <c r="E3174" s="8" t="s">
        <v>16844</v>
      </c>
      <c r="F3174" s="8" t="s">
        <v>3959</v>
      </c>
      <c r="G3174" s="8" t="s">
        <v>9865</v>
      </c>
      <c r="H3174" s="8" t="s">
        <v>3479</v>
      </c>
      <c r="I3174" s="9">
        <v>0.0</v>
      </c>
      <c r="J3174" s="9">
        <v>1674.0</v>
      </c>
      <c r="K3174" s="9">
        <v>1674.0</v>
      </c>
      <c r="L3174" s="9">
        <v>1674.0</v>
      </c>
      <c r="M3174" s="9">
        <v>450.0</v>
      </c>
      <c r="N3174" s="9">
        <v>775.0</v>
      </c>
      <c r="O3174" s="9">
        <v>449.0</v>
      </c>
      <c r="P3174" s="8" t="s">
        <v>3480</v>
      </c>
      <c r="Q3174" s="8"/>
      <c r="R3174" s="8"/>
    </row>
    <row r="3175">
      <c r="A3175" s="8" t="s">
        <v>803</v>
      </c>
      <c r="B3175" s="8" t="s">
        <v>16845</v>
      </c>
      <c r="C3175" s="8" t="s">
        <v>16846</v>
      </c>
      <c r="D3175" s="9">
        <v>9.527413254E9</v>
      </c>
      <c r="E3175" s="8" t="s">
        <v>16847</v>
      </c>
      <c r="F3175" s="8" t="s">
        <v>3677</v>
      </c>
      <c r="G3175" s="8" t="s">
        <v>16848</v>
      </c>
      <c r="H3175" s="8" t="s">
        <v>3479</v>
      </c>
      <c r="I3175" s="9">
        <v>0.0</v>
      </c>
      <c r="J3175" s="9">
        <v>2519.0</v>
      </c>
      <c r="K3175" s="9">
        <v>2519.0</v>
      </c>
      <c r="L3175" s="9">
        <v>2519.0</v>
      </c>
      <c r="M3175" s="9">
        <v>1145.0</v>
      </c>
      <c r="N3175" s="9">
        <v>775.0</v>
      </c>
      <c r="O3175" s="9">
        <v>599.0</v>
      </c>
      <c r="P3175" s="8" t="s">
        <v>3480</v>
      </c>
      <c r="Q3175" s="8" t="s">
        <v>16849</v>
      </c>
      <c r="R3175" s="8" t="s">
        <v>16850</v>
      </c>
    </row>
    <row r="3176">
      <c r="A3176" s="8" t="s">
        <v>3252</v>
      </c>
      <c r="B3176" s="8" t="s">
        <v>16851</v>
      </c>
      <c r="C3176" s="8" t="s">
        <v>5445</v>
      </c>
      <c r="D3176" s="9">
        <v>7.798456363E9</v>
      </c>
      <c r="E3176" s="8" t="s">
        <v>16852</v>
      </c>
      <c r="F3176" s="8" t="s">
        <v>4333</v>
      </c>
      <c r="G3176" s="8" t="s">
        <v>9865</v>
      </c>
      <c r="H3176" s="8" t="s">
        <v>16853</v>
      </c>
      <c r="I3176" s="9">
        <v>0.0</v>
      </c>
      <c r="J3176" s="9">
        <v>5700.0</v>
      </c>
      <c r="K3176" s="9">
        <v>5889.0</v>
      </c>
      <c r="L3176" s="9">
        <v>5700.0</v>
      </c>
      <c r="M3176" s="9">
        <v>4050.0</v>
      </c>
      <c r="N3176" s="9">
        <v>865.0</v>
      </c>
      <c r="O3176" s="9">
        <v>974.0</v>
      </c>
      <c r="P3176" s="8" t="s">
        <v>3480</v>
      </c>
      <c r="Q3176" s="8" t="s">
        <v>16854</v>
      </c>
      <c r="R3176" s="8" t="s">
        <v>16855</v>
      </c>
    </row>
    <row r="3177">
      <c r="A3177" s="8" t="s">
        <v>804</v>
      </c>
      <c r="B3177" s="8" t="s">
        <v>16856</v>
      </c>
      <c r="C3177" s="8" t="s">
        <v>14451</v>
      </c>
      <c r="D3177" s="9">
        <v>9.923442446E9</v>
      </c>
      <c r="E3177" s="8" t="s">
        <v>14452</v>
      </c>
      <c r="F3177" s="8" t="s">
        <v>3493</v>
      </c>
      <c r="G3177" s="8" t="s">
        <v>4786</v>
      </c>
      <c r="H3177" s="8" t="s">
        <v>3479</v>
      </c>
      <c r="I3177" s="9">
        <v>0.0</v>
      </c>
      <c r="J3177" s="9">
        <v>1672.0</v>
      </c>
      <c r="K3177" s="9">
        <v>1672.0</v>
      </c>
      <c r="L3177" s="9">
        <v>1672.0</v>
      </c>
      <c r="M3177" s="9">
        <v>298.0</v>
      </c>
      <c r="N3177" s="9">
        <v>775.0</v>
      </c>
      <c r="O3177" s="9">
        <v>599.0</v>
      </c>
      <c r="P3177" s="8" t="s">
        <v>3480</v>
      </c>
      <c r="Q3177" s="8" t="s">
        <v>14453</v>
      </c>
      <c r="R3177" s="8" t="s">
        <v>14454</v>
      </c>
    </row>
    <row r="3178">
      <c r="A3178" s="8" t="s">
        <v>805</v>
      </c>
      <c r="B3178" s="8" t="s">
        <v>16857</v>
      </c>
      <c r="C3178" s="8" t="s">
        <v>16858</v>
      </c>
      <c r="D3178" s="9">
        <v>9.850987875E9</v>
      </c>
      <c r="E3178" s="8" t="s">
        <v>16859</v>
      </c>
      <c r="F3178" s="8" t="s">
        <v>3509</v>
      </c>
      <c r="G3178" s="8" t="s">
        <v>3494</v>
      </c>
      <c r="H3178" s="8" t="s">
        <v>3479</v>
      </c>
      <c r="I3178" s="9">
        <v>0.0</v>
      </c>
      <c r="J3178" s="9">
        <v>1504.0</v>
      </c>
      <c r="K3178" s="9">
        <v>1504.0</v>
      </c>
      <c r="L3178" s="9">
        <v>1504.0</v>
      </c>
      <c r="M3178" s="9">
        <v>338.0</v>
      </c>
      <c r="N3178" s="9">
        <v>717.0</v>
      </c>
      <c r="O3178" s="9">
        <v>449.0</v>
      </c>
      <c r="P3178" s="8" t="s">
        <v>3519</v>
      </c>
      <c r="Q3178" s="8" t="s">
        <v>16860</v>
      </c>
      <c r="R3178" s="8" t="s">
        <v>16861</v>
      </c>
    </row>
    <row r="3179">
      <c r="A3179" s="8" t="s">
        <v>806</v>
      </c>
      <c r="B3179" s="8" t="s">
        <v>16862</v>
      </c>
      <c r="C3179" s="8" t="s">
        <v>16863</v>
      </c>
      <c r="D3179" s="9">
        <v>8.806530966E9</v>
      </c>
      <c r="E3179" s="8" t="s">
        <v>16864</v>
      </c>
      <c r="F3179" s="8" t="s">
        <v>3821</v>
      </c>
      <c r="G3179" s="8" t="s">
        <v>16865</v>
      </c>
      <c r="H3179" s="8" t="s">
        <v>3479</v>
      </c>
      <c r="I3179" s="9">
        <v>0.0</v>
      </c>
      <c r="J3179" s="9">
        <v>1596.0</v>
      </c>
      <c r="K3179" s="9">
        <v>1596.0</v>
      </c>
      <c r="L3179" s="9">
        <v>1596.0</v>
      </c>
      <c r="M3179" s="9">
        <v>333.0</v>
      </c>
      <c r="N3179" s="9">
        <v>739.0</v>
      </c>
      <c r="O3179" s="9">
        <v>524.0</v>
      </c>
      <c r="P3179" s="8" t="s">
        <v>3519</v>
      </c>
      <c r="Q3179" s="8"/>
      <c r="R3179" s="8"/>
    </row>
    <row r="3180">
      <c r="A3180" s="8" t="s">
        <v>807</v>
      </c>
      <c r="B3180" s="8" t="s">
        <v>16866</v>
      </c>
      <c r="C3180" s="8" t="s">
        <v>8142</v>
      </c>
      <c r="D3180" s="9">
        <v>8.79334456E9</v>
      </c>
      <c r="E3180" s="8" t="s">
        <v>16867</v>
      </c>
      <c r="F3180" s="8" t="s">
        <v>3901</v>
      </c>
      <c r="G3180" s="8" t="s">
        <v>16868</v>
      </c>
      <c r="H3180" s="8" t="s">
        <v>3479</v>
      </c>
      <c r="I3180" s="9">
        <v>0.0</v>
      </c>
      <c r="J3180" s="9">
        <v>1454.0</v>
      </c>
      <c r="K3180" s="9">
        <v>1454.0</v>
      </c>
      <c r="L3180" s="9">
        <v>1454.0</v>
      </c>
      <c r="M3180" s="9">
        <v>145.0</v>
      </c>
      <c r="N3180" s="9">
        <v>710.0</v>
      </c>
      <c r="O3180" s="9">
        <v>599.0</v>
      </c>
      <c r="P3180" s="8" t="s">
        <v>3480</v>
      </c>
      <c r="Q3180" s="8" t="s">
        <v>16869</v>
      </c>
      <c r="R3180" s="8"/>
    </row>
    <row r="3181">
      <c r="A3181" s="8" t="s">
        <v>809</v>
      </c>
      <c r="B3181" s="8" t="s">
        <v>16870</v>
      </c>
      <c r="C3181" s="8" t="s">
        <v>9039</v>
      </c>
      <c r="D3181" s="9">
        <v>9.175190377E9</v>
      </c>
      <c r="E3181" s="8" t="s">
        <v>9040</v>
      </c>
      <c r="F3181" s="8" t="s">
        <v>6455</v>
      </c>
      <c r="G3181" s="8" t="s">
        <v>16871</v>
      </c>
      <c r="H3181" s="8" t="s">
        <v>3479</v>
      </c>
      <c r="I3181" s="9">
        <v>0.0</v>
      </c>
      <c r="J3181" s="9">
        <v>1526.0</v>
      </c>
      <c r="K3181" s="9">
        <v>1526.0</v>
      </c>
      <c r="L3181" s="9">
        <v>1526.0</v>
      </c>
      <c r="M3181" s="9">
        <v>338.0</v>
      </c>
      <c r="N3181" s="9">
        <v>739.0</v>
      </c>
      <c r="O3181" s="9">
        <v>449.0</v>
      </c>
      <c r="P3181" s="8" t="s">
        <v>3480</v>
      </c>
      <c r="Q3181" s="8"/>
      <c r="R3181" s="8"/>
    </row>
    <row r="3182">
      <c r="A3182" s="8" t="s">
        <v>810</v>
      </c>
      <c r="B3182" s="8" t="s">
        <v>16872</v>
      </c>
      <c r="C3182" s="8" t="s">
        <v>6116</v>
      </c>
      <c r="D3182" s="9">
        <v>9.404925331E9</v>
      </c>
      <c r="E3182" s="8" t="s">
        <v>6117</v>
      </c>
      <c r="F3182" s="8" t="s">
        <v>6118</v>
      </c>
      <c r="G3182" s="8" t="s">
        <v>6119</v>
      </c>
      <c r="H3182" s="8" t="s">
        <v>3479</v>
      </c>
      <c r="I3182" s="9">
        <v>0.0</v>
      </c>
      <c r="J3182" s="9">
        <v>1268.0</v>
      </c>
      <c r="K3182" s="9">
        <v>1268.0</v>
      </c>
      <c r="L3182" s="9">
        <v>1268.0</v>
      </c>
      <c r="M3182" s="9">
        <v>80.0</v>
      </c>
      <c r="N3182" s="9">
        <v>739.0</v>
      </c>
      <c r="O3182" s="9">
        <v>449.0</v>
      </c>
      <c r="P3182" s="8" t="s">
        <v>3519</v>
      </c>
      <c r="Q3182" s="8" t="s">
        <v>6120</v>
      </c>
      <c r="R3182" s="8" t="s">
        <v>6121</v>
      </c>
    </row>
    <row r="3183">
      <c r="A3183" s="8" t="s">
        <v>811</v>
      </c>
      <c r="B3183" s="8" t="s">
        <v>16873</v>
      </c>
      <c r="C3183" s="8" t="s">
        <v>10292</v>
      </c>
      <c r="D3183" s="9">
        <v>9.975142631E9</v>
      </c>
      <c r="E3183" s="8" t="s">
        <v>16874</v>
      </c>
      <c r="F3183" s="8" t="s">
        <v>3550</v>
      </c>
      <c r="G3183" s="8" t="s">
        <v>16875</v>
      </c>
      <c r="H3183" s="8" t="s">
        <v>3479</v>
      </c>
      <c r="I3183" s="9">
        <v>0.0</v>
      </c>
      <c r="J3183" s="9">
        <v>1353.0</v>
      </c>
      <c r="K3183" s="9">
        <v>1353.0</v>
      </c>
      <c r="L3183" s="9">
        <v>1353.0</v>
      </c>
      <c r="M3183" s="9">
        <v>165.0</v>
      </c>
      <c r="N3183" s="9">
        <v>739.0</v>
      </c>
      <c r="O3183" s="9">
        <v>449.0</v>
      </c>
      <c r="P3183" s="8" t="s">
        <v>3480</v>
      </c>
      <c r="Q3183" s="8" t="s">
        <v>16876</v>
      </c>
      <c r="R3183" s="8" t="s">
        <v>16877</v>
      </c>
    </row>
    <row r="3184">
      <c r="A3184" s="8" t="s">
        <v>812</v>
      </c>
      <c r="B3184" s="8" t="s">
        <v>16878</v>
      </c>
      <c r="C3184" s="8" t="s">
        <v>5154</v>
      </c>
      <c r="D3184" s="9">
        <v>8.793087874E9</v>
      </c>
      <c r="E3184" s="8" t="s">
        <v>16879</v>
      </c>
      <c r="F3184" s="8" t="s">
        <v>3550</v>
      </c>
      <c r="G3184" s="8" t="s">
        <v>16880</v>
      </c>
      <c r="H3184" s="8" t="s">
        <v>3479</v>
      </c>
      <c r="I3184" s="9">
        <v>0.0</v>
      </c>
      <c r="J3184" s="9">
        <v>1563.0</v>
      </c>
      <c r="K3184" s="9">
        <v>1563.0</v>
      </c>
      <c r="L3184" s="9">
        <v>1563.0</v>
      </c>
      <c r="M3184" s="9">
        <v>375.0</v>
      </c>
      <c r="N3184" s="9">
        <v>739.0</v>
      </c>
      <c r="O3184" s="9">
        <v>449.0</v>
      </c>
      <c r="P3184" s="8" t="s">
        <v>3480</v>
      </c>
      <c r="Q3184" s="8"/>
      <c r="R3184" s="8"/>
    </row>
    <row r="3185">
      <c r="A3185" s="8" t="s">
        <v>813</v>
      </c>
      <c r="B3185" s="8" t="s">
        <v>16881</v>
      </c>
      <c r="C3185" s="8" t="s">
        <v>16882</v>
      </c>
      <c r="D3185" s="9">
        <v>8.668688802E9</v>
      </c>
      <c r="E3185" s="8" t="s">
        <v>16883</v>
      </c>
      <c r="F3185" s="8" t="s">
        <v>5301</v>
      </c>
      <c r="G3185" s="8" t="s">
        <v>16884</v>
      </c>
      <c r="H3185" s="8" t="s">
        <v>3479</v>
      </c>
      <c r="I3185" s="9">
        <v>0.0</v>
      </c>
      <c r="J3185" s="9">
        <v>2259.0</v>
      </c>
      <c r="K3185" s="9">
        <v>2259.0</v>
      </c>
      <c r="L3185" s="9">
        <v>2259.0</v>
      </c>
      <c r="M3185" s="9">
        <v>1320.0</v>
      </c>
      <c r="N3185" s="9">
        <v>190.0</v>
      </c>
      <c r="O3185" s="9">
        <v>749.0</v>
      </c>
      <c r="P3185" s="8" t="s">
        <v>3480</v>
      </c>
      <c r="Q3185" s="8"/>
      <c r="R3185" s="8"/>
    </row>
    <row r="3186">
      <c r="A3186" s="8" t="s">
        <v>2086</v>
      </c>
      <c r="B3186" s="8" t="s">
        <v>16885</v>
      </c>
      <c r="C3186" s="8" t="s">
        <v>16886</v>
      </c>
      <c r="D3186" s="9">
        <v>9.881715242E9</v>
      </c>
      <c r="E3186" s="8" t="s">
        <v>16887</v>
      </c>
      <c r="F3186" s="8" t="s">
        <v>3523</v>
      </c>
      <c r="G3186" s="8" t="s">
        <v>9865</v>
      </c>
      <c r="H3186" s="8" t="s">
        <v>3479</v>
      </c>
      <c r="I3186" s="9">
        <v>0.0</v>
      </c>
      <c r="J3186" s="9">
        <v>1513.0</v>
      </c>
      <c r="K3186" s="9">
        <v>1513.0</v>
      </c>
      <c r="L3186" s="9">
        <v>1513.0</v>
      </c>
      <c r="M3186" s="9">
        <v>250.0</v>
      </c>
      <c r="N3186" s="9">
        <v>739.0</v>
      </c>
      <c r="O3186" s="9">
        <v>524.0</v>
      </c>
      <c r="P3186" s="8" t="s">
        <v>3480</v>
      </c>
      <c r="Q3186" s="8" t="s">
        <v>16888</v>
      </c>
      <c r="R3186" s="8" t="s">
        <v>16889</v>
      </c>
    </row>
    <row r="3187">
      <c r="A3187" s="8" t="s">
        <v>808</v>
      </c>
      <c r="B3187" s="8" t="s">
        <v>16890</v>
      </c>
      <c r="C3187" s="8" t="s">
        <v>16891</v>
      </c>
      <c r="D3187" s="9">
        <v>8.652629446E9</v>
      </c>
      <c r="E3187" s="8" t="s">
        <v>16892</v>
      </c>
      <c r="F3187" s="8" t="s">
        <v>4574</v>
      </c>
      <c r="G3187" s="8" t="s">
        <v>16893</v>
      </c>
      <c r="H3187" s="8" t="s">
        <v>3479</v>
      </c>
      <c r="I3187" s="9">
        <v>0.0</v>
      </c>
      <c r="J3187" s="9">
        <v>1784.0</v>
      </c>
      <c r="K3187" s="9">
        <v>1784.0</v>
      </c>
      <c r="L3187" s="9">
        <v>1784.0</v>
      </c>
      <c r="M3187" s="9">
        <v>1180.0</v>
      </c>
      <c r="N3187" s="9">
        <v>80.0</v>
      </c>
      <c r="O3187" s="9">
        <v>524.0</v>
      </c>
      <c r="P3187" s="8" t="s">
        <v>3480</v>
      </c>
      <c r="Q3187" s="8"/>
      <c r="R3187" s="8" t="s">
        <v>16894</v>
      </c>
    </row>
    <row r="3188">
      <c r="A3188" s="8" t="s">
        <v>3291</v>
      </c>
      <c r="B3188" s="8" t="s">
        <v>16895</v>
      </c>
      <c r="C3188" s="8" t="s">
        <v>3807</v>
      </c>
      <c r="D3188" s="9">
        <v>9.479244339E9</v>
      </c>
      <c r="E3188" s="8" t="s">
        <v>3808</v>
      </c>
      <c r="F3188" s="8" t="s">
        <v>3809</v>
      </c>
      <c r="G3188" s="8" t="s">
        <v>16896</v>
      </c>
      <c r="H3188" s="8" t="s">
        <v>3479</v>
      </c>
      <c r="I3188" s="9">
        <v>0.0</v>
      </c>
      <c r="J3188" s="9">
        <v>1443.0</v>
      </c>
      <c r="K3188" s="9">
        <v>1443.0</v>
      </c>
      <c r="L3188" s="9">
        <v>1443.0</v>
      </c>
      <c r="M3188" s="9">
        <v>255.0</v>
      </c>
      <c r="N3188" s="9">
        <v>739.0</v>
      </c>
      <c r="O3188" s="9">
        <v>449.0</v>
      </c>
      <c r="P3188" s="8" t="s">
        <v>3480</v>
      </c>
      <c r="Q3188" s="8"/>
      <c r="R3188" s="8" t="s">
        <v>3811</v>
      </c>
    </row>
    <row r="3189">
      <c r="A3189" s="8" t="s">
        <v>3292</v>
      </c>
      <c r="B3189" s="8" t="s">
        <v>16897</v>
      </c>
      <c r="C3189" s="8" t="s">
        <v>6222</v>
      </c>
      <c r="D3189" s="9">
        <v>7.709901151E9</v>
      </c>
      <c r="E3189" s="8" t="s">
        <v>5326</v>
      </c>
      <c r="F3189" s="8" t="s">
        <v>4574</v>
      </c>
      <c r="G3189" s="8" t="s">
        <v>16898</v>
      </c>
      <c r="H3189" s="8" t="s">
        <v>3479</v>
      </c>
      <c r="I3189" s="9">
        <v>0.0</v>
      </c>
      <c r="J3189" s="9">
        <v>1581.0</v>
      </c>
      <c r="K3189" s="9">
        <v>1581.0</v>
      </c>
      <c r="L3189" s="9">
        <v>1581.0</v>
      </c>
      <c r="M3189" s="9">
        <v>313.0</v>
      </c>
      <c r="N3189" s="9">
        <v>739.0</v>
      </c>
      <c r="O3189" s="9">
        <v>529.0</v>
      </c>
      <c r="P3189" s="8" t="s">
        <v>3480</v>
      </c>
      <c r="Q3189" s="8" t="s">
        <v>5328</v>
      </c>
      <c r="R3189" s="8" t="s">
        <v>5329</v>
      </c>
    </row>
    <row r="3190">
      <c r="A3190" s="8" t="s">
        <v>3308</v>
      </c>
      <c r="B3190" s="8" t="s">
        <v>16899</v>
      </c>
      <c r="C3190" s="8" t="s">
        <v>12145</v>
      </c>
      <c r="D3190" s="9">
        <v>7.083185944E9</v>
      </c>
      <c r="E3190" s="8" t="s">
        <v>12146</v>
      </c>
      <c r="F3190" s="8" t="s">
        <v>12147</v>
      </c>
      <c r="G3190" s="8" t="s">
        <v>12148</v>
      </c>
      <c r="H3190" s="8" t="s">
        <v>3479</v>
      </c>
      <c r="I3190" s="9">
        <v>0.0</v>
      </c>
      <c r="J3190" s="9">
        <v>1150.0</v>
      </c>
      <c r="K3190" s="9">
        <v>1150.0</v>
      </c>
      <c r="L3190" s="9">
        <v>1150.0</v>
      </c>
      <c r="M3190" s="9">
        <v>1150.0</v>
      </c>
      <c r="N3190" s="9">
        <v>0.0</v>
      </c>
      <c r="O3190" s="9">
        <v>0.0</v>
      </c>
      <c r="P3190" s="8" t="s">
        <v>3519</v>
      </c>
      <c r="Q3190" s="8" t="s">
        <v>12149</v>
      </c>
      <c r="R3190" s="8" t="s">
        <v>12150</v>
      </c>
    </row>
    <row r="3191">
      <c r="A3191" s="8" t="s">
        <v>3309</v>
      </c>
      <c r="B3191" s="8" t="s">
        <v>16900</v>
      </c>
      <c r="C3191" s="8" t="s">
        <v>16901</v>
      </c>
      <c r="D3191" s="9">
        <v>9.823133351E9</v>
      </c>
      <c r="E3191" s="8" t="s">
        <v>16902</v>
      </c>
      <c r="F3191" s="8" t="s">
        <v>3550</v>
      </c>
      <c r="G3191" s="8" t="s">
        <v>16903</v>
      </c>
      <c r="H3191" s="8" t="s">
        <v>3479</v>
      </c>
      <c r="I3191" s="9">
        <v>0.0</v>
      </c>
      <c r="J3191" s="9">
        <v>1298.0</v>
      </c>
      <c r="K3191" s="9">
        <v>1298.0</v>
      </c>
      <c r="L3191" s="9">
        <v>1298.0</v>
      </c>
      <c r="M3191" s="9">
        <v>110.0</v>
      </c>
      <c r="N3191" s="9">
        <v>739.0</v>
      </c>
      <c r="O3191" s="9">
        <v>449.0</v>
      </c>
      <c r="P3191" s="8" t="s">
        <v>3480</v>
      </c>
      <c r="Q3191" s="8" t="s">
        <v>16904</v>
      </c>
      <c r="R3191" s="8" t="s">
        <v>16905</v>
      </c>
    </row>
    <row r="3192">
      <c r="A3192" s="8" t="s">
        <v>2088</v>
      </c>
      <c r="B3192" s="8" t="s">
        <v>16906</v>
      </c>
      <c r="C3192" s="8" t="s">
        <v>16907</v>
      </c>
      <c r="D3192" s="9">
        <v>7.001662103E9</v>
      </c>
      <c r="E3192" s="8" t="s">
        <v>16908</v>
      </c>
      <c r="F3192" s="8" t="s">
        <v>3707</v>
      </c>
      <c r="G3192" s="8" t="s">
        <v>9865</v>
      </c>
      <c r="H3192" s="8" t="s">
        <v>3479</v>
      </c>
      <c r="I3192" s="9">
        <v>0.0</v>
      </c>
      <c r="J3192" s="9">
        <v>5092.0</v>
      </c>
      <c r="K3192" s="9">
        <v>5092.0</v>
      </c>
      <c r="L3192" s="9">
        <v>5092.0</v>
      </c>
      <c r="M3192" s="9">
        <v>3508.0</v>
      </c>
      <c r="N3192" s="9">
        <v>910.0</v>
      </c>
      <c r="O3192" s="9">
        <v>674.0</v>
      </c>
      <c r="P3192" s="8" t="s">
        <v>3480</v>
      </c>
      <c r="Q3192" s="8" t="s">
        <v>16909</v>
      </c>
      <c r="R3192" s="8" t="s">
        <v>16910</v>
      </c>
    </row>
    <row r="3193">
      <c r="A3193" s="8" t="s">
        <v>952</v>
      </c>
      <c r="B3193" s="8" t="s">
        <v>16911</v>
      </c>
      <c r="C3193" s="8" t="s">
        <v>5116</v>
      </c>
      <c r="D3193" s="9">
        <v>9.766611011E9</v>
      </c>
      <c r="E3193" s="8" t="s">
        <v>5117</v>
      </c>
      <c r="F3193" s="8" t="s">
        <v>3601</v>
      </c>
      <c r="G3193" s="8" t="s">
        <v>16912</v>
      </c>
      <c r="H3193" s="8" t="s">
        <v>3479</v>
      </c>
      <c r="I3193" s="9">
        <v>0.0</v>
      </c>
      <c r="J3193" s="9">
        <v>2885.0</v>
      </c>
      <c r="K3193" s="9">
        <v>2885.0</v>
      </c>
      <c r="L3193" s="9">
        <v>2885.0</v>
      </c>
      <c r="M3193" s="9">
        <v>2535.0</v>
      </c>
      <c r="N3193" s="9">
        <v>0.0</v>
      </c>
      <c r="O3193" s="9">
        <v>350.0</v>
      </c>
      <c r="P3193" s="8" t="s">
        <v>3544</v>
      </c>
      <c r="Q3193" s="8" t="s">
        <v>5119</v>
      </c>
      <c r="R3193" s="8"/>
    </row>
    <row r="3194">
      <c r="A3194" s="8" t="s">
        <v>2089</v>
      </c>
      <c r="B3194" s="8" t="s">
        <v>16913</v>
      </c>
      <c r="C3194" s="8" t="s">
        <v>4378</v>
      </c>
      <c r="D3194" s="9">
        <v>9.767809683E9</v>
      </c>
      <c r="E3194" s="8" t="s">
        <v>16914</v>
      </c>
      <c r="F3194" s="8" t="s">
        <v>3809</v>
      </c>
      <c r="G3194" s="8" t="s">
        <v>9865</v>
      </c>
      <c r="H3194" s="8" t="s">
        <v>5093</v>
      </c>
      <c r="I3194" s="9">
        <v>0.0</v>
      </c>
      <c r="J3194" s="9">
        <v>900.0</v>
      </c>
      <c r="K3194" s="9">
        <v>939.0</v>
      </c>
      <c r="L3194" s="9">
        <v>900.0</v>
      </c>
      <c r="M3194" s="9">
        <v>0.0</v>
      </c>
      <c r="N3194" s="9">
        <v>190.0</v>
      </c>
      <c r="O3194" s="9">
        <v>749.0</v>
      </c>
      <c r="P3194" s="8" t="s">
        <v>3480</v>
      </c>
      <c r="Q3194" s="8"/>
      <c r="R3194" s="8"/>
    </row>
    <row r="3195">
      <c r="A3195" s="8" t="s">
        <v>797</v>
      </c>
      <c r="B3195" s="8" t="s">
        <v>16915</v>
      </c>
      <c r="C3195" s="8" t="s">
        <v>16916</v>
      </c>
      <c r="D3195" s="9">
        <v>9.370869175E9</v>
      </c>
      <c r="E3195" s="8" t="s">
        <v>16917</v>
      </c>
      <c r="F3195" s="8" t="s">
        <v>3809</v>
      </c>
      <c r="G3195" s="8" t="s">
        <v>16918</v>
      </c>
      <c r="H3195" s="8" t="s">
        <v>3479</v>
      </c>
      <c r="I3195" s="9">
        <v>0.0</v>
      </c>
      <c r="J3195" s="9">
        <v>1019.0</v>
      </c>
      <c r="K3195" s="9">
        <v>1019.0</v>
      </c>
      <c r="L3195" s="9">
        <v>1019.0</v>
      </c>
      <c r="M3195" s="9">
        <v>80.0</v>
      </c>
      <c r="N3195" s="9">
        <v>190.0</v>
      </c>
      <c r="O3195" s="9">
        <v>749.0</v>
      </c>
      <c r="P3195" s="8" t="s">
        <v>3480</v>
      </c>
      <c r="Q3195" s="8" t="s">
        <v>16919</v>
      </c>
      <c r="R3195" s="8"/>
    </row>
    <row r="3196">
      <c r="A3196" s="8" t="s">
        <v>2087</v>
      </c>
      <c r="B3196" s="8" t="s">
        <v>16920</v>
      </c>
      <c r="C3196" s="8" t="s">
        <v>3592</v>
      </c>
      <c r="D3196" s="9">
        <v>9.665257667E9</v>
      </c>
      <c r="E3196" s="8" t="s">
        <v>16921</v>
      </c>
      <c r="F3196" s="8" t="s">
        <v>16922</v>
      </c>
      <c r="G3196" s="8" t="s">
        <v>9865</v>
      </c>
      <c r="H3196" s="8" t="s">
        <v>3479</v>
      </c>
      <c r="I3196" s="9">
        <v>0.0</v>
      </c>
      <c r="J3196" s="9">
        <v>4006.0</v>
      </c>
      <c r="K3196" s="9">
        <v>4006.0</v>
      </c>
      <c r="L3196" s="9">
        <v>4006.0</v>
      </c>
      <c r="M3196" s="9">
        <v>3451.0</v>
      </c>
      <c r="N3196" s="9">
        <v>130.0</v>
      </c>
      <c r="O3196" s="9">
        <v>425.0</v>
      </c>
      <c r="P3196" s="8" t="s">
        <v>3480</v>
      </c>
      <c r="Q3196" s="8"/>
      <c r="R3196" s="8"/>
    </row>
    <row r="3197">
      <c r="A3197" s="8" t="s">
        <v>3307</v>
      </c>
      <c r="B3197" s="8" t="s">
        <v>16923</v>
      </c>
      <c r="C3197" s="8" t="s">
        <v>5380</v>
      </c>
      <c r="D3197" s="9">
        <v>9.960458781E9</v>
      </c>
      <c r="E3197" s="8" t="s">
        <v>5381</v>
      </c>
      <c r="F3197" s="8" t="s">
        <v>3594</v>
      </c>
      <c r="G3197" s="8" t="s">
        <v>16924</v>
      </c>
      <c r="H3197" s="8" t="s">
        <v>3479</v>
      </c>
      <c r="I3197" s="9">
        <v>0.0</v>
      </c>
      <c r="J3197" s="9">
        <v>1838.0</v>
      </c>
      <c r="K3197" s="9">
        <v>2988.0</v>
      </c>
      <c r="L3197" s="9">
        <v>2988.0</v>
      </c>
      <c r="M3197" s="9">
        <v>1725.0</v>
      </c>
      <c r="N3197" s="9">
        <v>739.0</v>
      </c>
      <c r="O3197" s="9">
        <v>524.0</v>
      </c>
      <c r="P3197" s="8" t="s">
        <v>3480</v>
      </c>
      <c r="Q3197" s="8"/>
      <c r="R3197" s="8"/>
    </row>
    <row r="3198">
      <c r="A3198" s="8" t="s">
        <v>3310</v>
      </c>
      <c r="B3198" s="8" t="s">
        <v>16925</v>
      </c>
      <c r="C3198" s="8" t="s">
        <v>16926</v>
      </c>
      <c r="D3198" s="9">
        <v>7.385411433E9</v>
      </c>
      <c r="E3198" s="8" t="s">
        <v>16927</v>
      </c>
      <c r="F3198" s="8" t="s">
        <v>3589</v>
      </c>
      <c r="G3198" s="8" t="s">
        <v>9865</v>
      </c>
      <c r="H3198" s="8" t="s">
        <v>3479</v>
      </c>
      <c r="I3198" s="9">
        <v>0.0</v>
      </c>
      <c r="J3198" s="9">
        <v>4281.0</v>
      </c>
      <c r="K3198" s="9">
        <v>4281.0</v>
      </c>
      <c r="L3198" s="9">
        <v>4281.0</v>
      </c>
      <c r="M3198" s="9">
        <v>3018.0</v>
      </c>
      <c r="N3198" s="9">
        <v>739.0</v>
      </c>
      <c r="O3198" s="9">
        <v>524.0</v>
      </c>
      <c r="P3198" s="8" t="s">
        <v>3480</v>
      </c>
      <c r="Q3198" s="8" t="s">
        <v>16928</v>
      </c>
      <c r="R3198" s="8" t="s">
        <v>16929</v>
      </c>
    </row>
    <row r="3199">
      <c r="A3199" s="8" t="s">
        <v>3316</v>
      </c>
      <c r="B3199" s="8" t="s">
        <v>16930</v>
      </c>
      <c r="C3199" s="8" t="s">
        <v>4661</v>
      </c>
      <c r="D3199" s="9">
        <v>9.145398978E9</v>
      </c>
      <c r="E3199" s="8" t="s">
        <v>4662</v>
      </c>
      <c r="F3199" s="8" t="s">
        <v>4663</v>
      </c>
      <c r="G3199" s="8" t="s">
        <v>3494</v>
      </c>
      <c r="H3199" s="8" t="s">
        <v>3479</v>
      </c>
      <c r="I3199" s="9">
        <v>0.0</v>
      </c>
      <c r="J3199" s="9">
        <v>1158.0</v>
      </c>
      <c r="K3199" s="9">
        <v>1158.0</v>
      </c>
      <c r="L3199" s="9">
        <v>1158.0</v>
      </c>
      <c r="M3199" s="9">
        <v>459.0</v>
      </c>
      <c r="N3199" s="9">
        <v>0.0</v>
      </c>
      <c r="O3199" s="9">
        <v>699.0</v>
      </c>
      <c r="P3199" s="8" t="s">
        <v>3480</v>
      </c>
      <c r="Q3199" s="8" t="s">
        <v>4665</v>
      </c>
      <c r="R3199" s="8" t="s">
        <v>4666</v>
      </c>
    </row>
    <row r="3200">
      <c r="A3200" s="8" t="s">
        <v>3311</v>
      </c>
      <c r="B3200" s="8" t="s">
        <v>16931</v>
      </c>
      <c r="C3200" s="8" t="s">
        <v>3620</v>
      </c>
      <c r="D3200" s="9">
        <v>9.767809683E9</v>
      </c>
      <c r="E3200" s="8" t="s">
        <v>3621</v>
      </c>
      <c r="F3200" s="8" t="s">
        <v>3594</v>
      </c>
      <c r="G3200" s="8" t="s">
        <v>9865</v>
      </c>
      <c r="H3200" s="8" t="s">
        <v>3479</v>
      </c>
      <c r="I3200" s="9">
        <v>0.0</v>
      </c>
      <c r="J3200" s="9">
        <v>1423.0</v>
      </c>
      <c r="K3200" s="9">
        <v>1423.0</v>
      </c>
      <c r="L3200" s="9">
        <v>1423.0</v>
      </c>
      <c r="M3200" s="9">
        <v>160.0</v>
      </c>
      <c r="N3200" s="9">
        <v>739.0</v>
      </c>
      <c r="O3200" s="9">
        <v>524.0</v>
      </c>
      <c r="P3200" s="8" t="s">
        <v>3480</v>
      </c>
      <c r="Q3200" s="8" t="s">
        <v>3623</v>
      </c>
      <c r="R3200" s="8" t="s">
        <v>3624</v>
      </c>
    </row>
    <row r="3201">
      <c r="A3201" s="8" t="s">
        <v>3312</v>
      </c>
      <c r="B3201" s="8" t="s">
        <v>16932</v>
      </c>
      <c r="C3201" s="8" t="s">
        <v>6777</v>
      </c>
      <c r="D3201" s="9">
        <v>7.038982545E9</v>
      </c>
      <c r="E3201" s="8" t="s">
        <v>6778</v>
      </c>
      <c r="F3201" s="8" t="s">
        <v>6779</v>
      </c>
      <c r="G3201" s="8" t="s">
        <v>3494</v>
      </c>
      <c r="H3201" s="8" t="s">
        <v>3479</v>
      </c>
      <c r="I3201" s="9">
        <v>0.0</v>
      </c>
      <c r="J3201" s="9">
        <v>5400.0</v>
      </c>
      <c r="K3201" s="9">
        <v>5400.0</v>
      </c>
      <c r="L3201" s="9">
        <v>5400.0</v>
      </c>
      <c r="M3201" s="9">
        <v>5400.0</v>
      </c>
      <c r="N3201" s="9">
        <v>0.0</v>
      </c>
      <c r="O3201" s="9">
        <v>0.0</v>
      </c>
      <c r="P3201" s="8" t="s">
        <v>3519</v>
      </c>
      <c r="Q3201" s="8" t="s">
        <v>6780</v>
      </c>
      <c r="R3201" s="8" t="s">
        <v>6781</v>
      </c>
    </row>
    <row r="3202">
      <c r="A3202" s="8" t="s">
        <v>3313</v>
      </c>
      <c r="B3202" s="8" t="s">
        <v>16933</v>
      </c>
      <c r="C3202" s="8" t="s">
        <v>16934</v>
      </c>
      <c r="D3202" s="9">
        <v>9.767986906E9</v>
      </c>
      <c r="E3202" s="8" t="s">
        <v>16935</v>
      </c>
      <c r="F3202" s="8" t="s">
        <v>3589</v>
      </c>
      <c r="G3202" s="8" t="s">
        <v>9865</v>
      </c>
      <c r="H3202" s="8" t="s">
        <v>16936</v>
      </c>
      <c r="I3202" s="9">
        <v>0.0</v>
      </c>
      <c r="J3202" s="9">
        <v>3000.0</v>
      </c>
      <c r="K3202" s="9">
        <v>3027.0</v>
      </c>
      <c r="L3202" s="9">
        <v>3000.0</v>
      </c>
      <c r="M3202" s="9">
        <v>1689.0</v>
      </c>
      <c r="N3202" s="9">
        <v>739.0</v>
      </c>
      <c r="O3202" s="9">
        <v>599.0</v>
      </c>
      <c r="P3202" s="8" t="s">
        <v>3480</v>
      </c>
      <c r="Q3202" s="8"/>
      <c r="R3202" s="8"/>
    </row>
    <row r="3203">
      <c r="A3203" s="8" t="s">
        <v>3314</v>
      </c>
      <c r="B3203" s="8" t="s">
        <v>16937</v>
      </c>
      <c r="C3203" s="8" t="s">
        <v>8318</v>
      </c>
      <c r="D3203" s="9">
        <v>9.890528909E9</v>
      </c>
      <c r="E3203" s="8" t="s">
        <v>10397</v>
      </c>
      <c r="F3203" s="8" t="s">
        <v>3486</v>
      </c>
      <c r="G3203" s="8" t="s">
        <v>9865</v>
      </c>
      <c r="H3203" s="8" t="s">
        <v>3479</v>
      </c>
      <c r="I3203" s="9">
        <v>0.0</v>
      </c>
      <c r="J3203" s="9">
        <v>1703.0</v>
      </c>
      <c r="K3203" s="9">
        <v>1703.0</v>
      </c>
      <c r="L3203" s="9">
        <v>1703.0</v>
      </c>
      <c r="M3203" s="9">
        <v>515.0</v>
      </c>
      <c r="N3203" s="9">
        <v>739.0</v>
      </c>
      <c r="O3203" s="9">
        <v>449.0</v>
      </c>
      <c r="P3203" s="8" t="s">
        <v>3480</v>
      </c>
      <c r="Q3203" s="8"/>
      <c r="R3203" s="8"/>
    </row>
    <row r="3204">
      <c r="A3204" s="8" t="s">
        <v>3315</v>
      </c>
      <c r="B3204" s="8" t="s">
        <v>16938</v>
      </c>
      <c r="C3204" s="8" t="s">
        <v>16939</v>
      </c>
      <c r="D3204" s="9">
        <v>7.385447781E9</v>
      </c>
      <c r="E3204" s="8" t="s">
        <v>16940</v>
      </c>
      <c r="F3204" s="8" t="s">
        <v>6253</v>
      </c>
      <c r="G3204" s="8" t="s">
        <v>16941</v>
      </c>
      <c r="H3204" s="8" t="s">
        <v>3479</v>
      </c>
      <c r="I3204" s="9">
        <v>0.0</v>
      </c>
      <c r="J3204" s="9">
        <v>950.0</v>
      </c>
      <c r="K3204" s="9">
        <v>950.0</v>
      </c>
      <c r="L3204" s="9">
        <v>950.0</v>
      </c>
      <c r="M3204" s="9">
        <v>550.0</v>
      </c>
      <c r="N3204" s="9">
        <v>0.0</v>
      </c>
      <c r="O3204" s="9">
        <v>400.0</v>
      </c>
      <c r="P3204" s="8" t="s">
        <v>3480</v>
      </c>
      <c r="Q3204" s="8"/>
      <c r="R3204" s="8"/>
    </row>
    <row r="3205">
      <c r="A3205" s="8" t="s">
        <v>2090</v>
      </c>
      <c r="B3205" s="8" t="s">
        <v>16942</v>
      </c>
      <c r="C3205" s="8" t="s">
        <v>5866</v>
      </c>
      <c r="D3205" s="9">
        <v>8.208188418E9</v>
      </c>
      <c r="E3205" s="8" t="s">
        <v>16943</v>
      </c>
      <c r="F3205" s="8" t="s">
        <v>3821</v>
      </c>
      <c r="G3205" s="8" t="s">
        <v>16944</v>
      </c>
      <c r="H3205" s="8" t="s">
        <v>3479</v>
      </c>
      <c r="I3205" s="9">
        <v>0.0</v>
      </c>
      <c r="J3205" s="9">
        <v>1518.0</v>
      </c>
      <c r="K3205" s="9">
        <v>1518.0</v>
      </c>
      <c r="L3205" s="9">
        <v>1518.0</v>
      </c>
      <c r="M3205" s="9">
        <v>180.0</v>
      </c>
      <c r="N3205" s="9">
        <v>739.0</v>
      </c>
      <c r="O3205" s="9">
        <v>599.0</v>
      </c>
      <c r="P3205" s="8" t="s">
        <v>3480</v>
      </c>
      <c r="Q3205" s="8"/>
      <c r="R3205" s="8"/>
    </row>
    <row r="3206">
      <c r="A3206" s="8" t="s">
        <v>2091</v>
      </c>
      <c r="B3206" s="8" t="s">
        <v>16945</v>
      </c>
      <c r="C3206" s="8" t="s">
        <v>16946</v>
      </c>
      <c r="D3206" s="9">
        <v>9.960458781E9</v>
      </c>
      <c r="E3206" s="8" t="s">
        <v>16947</v>
      </c>
      <c r="F3206" s="8" t="s">
        <v>3721</v>
      </c>
      <c r="G3206" s="8" t="s">
        <v>9865</v>
      </c>
      <c r="H3206" s="8" t="s">
        <v>3479</v>
      </c>
      <c r="I3206" s="9">
        <v>0.0</v>
      </c>
      <c r="J3206" s="9">
        <v>1423.0</v>
      </c>
      <c r="K3206" s="9">
        <v>1423.0</v>
      </c>
      <c r="L3206" s="9">
        <v>1423.0</v>
      </c>
      <c r="M3206" s="9">
        <v>160.0</v>
      </c>
      <c r="N3206" s="9">
        <v>739.0</v>
      </c>
      <c r="O3206" s="9">
        <v>524.0</v>
      </c>
      <c r="P3206" s="8" t="s">
        <v>3480</v>
      </c>
      <c r="Q3206" s="8" t="s">
        <v>16948</v>
      </c>
      <c r="R3206" s="8" t="s">
        <v>16949</v>
      </c>
    </row>
    <row r="3207">
      <c r="A3207" s="8" t="s">
        <v>3290</v>
      </c>
      <c r="B3207" s="8" t="s">
        <v>16950</v>
      </c>
      <c r="C3207" s="8" t="s">
        <v>16951</v>
      </c>
      <c r="D3207" s="9">
        <v>9.762463668E9</v>
      </c>
      <c r="E3207" s="8" t="s">
        <v>16952</v>
      </c>
      <c r="F3207" s="8" t="s">
        <v>3665</v>
      </c>
      <c r="G3207" s="8" t="s">
        <v>16953</v>
      </c>
      <c r="H3207" s="8" t="s">
        <v>3479</v>
      </c>
      <c r="I3207" s="9">
        <v>0.0</v>
      </c>
      <c r="J3207" s="9">
        <v>2451.0</v>
      </c>
      <c r="K3207" s="9">
        <v>2451.0</v>
      </c>
      <c r="L3207" s="9">
        <v>2451.0</v>
      </c>
      <c r="M3207" s="9">
        <v>760.0</v>
      </c>
      <c r="N3207" s="9">
        <v>917.0</v>
      </c>
      <c r="O3207" s="9">
        <v>774.0</v>
      </c>
      <c r="P3207" s="8" t="s">
        <v>3480</v>
      </c>
      <c r="Q3207" s="8"/>
      <c r="R3207" s="8"/>
    </row>
    <row r="3208">
      <c r="A3208" s="8" t="s">
        <v>3293</v>
      </c>
      <c r="B3208" s="8" t="s">
        <v>16954</v>
      </c>
      <c r="C3208" s="8" t="s">
        <v>16955</v>
      </c>
      <c r="D3208" s="9">
        <v>8.805213456E9</v>
      </c>
      <c r="E3208" s="8" t="s">
        <v>16956</v>
      </c>
      <c r="F3208" s="8" t="s">
        <v>3881</v>
      </c>
      <c r="G3208" s="8" t="s">
        <v>16957</v>
      </c>
      <c r="H3208" s="8" t="s">
        <v>3479</v>
      </c>
      <c r="I3208" s="9">
        <v>0.0</v>
      </c>
      <c r="J3208" s="9">
        <v>1581.0</v>
      </c>
      <c r="K3208" s="9">
        <v>1581.0</v>
      </c>
      <c r="L3208" s="9">
        <v>1581.0</v>
      </c>
      <c r="M3208" s="9">
        <v>313.0</v>
      </c>
      <c r="N3208" s="9">
        <v>739.0</v>
      </c>
      <c r="O3208" s="9">
        <v>529.0</v>
      </c>
      <c r="P3208" s="8" t="s">
        <v>3480</v>
      </c>
      <c r="Q3208" s="8" t="s">
        <v>4241</v>
      </c>
      <c r="R3208" s="8"/>
    </row>
    <row r="3209">
      <c r="A3209" s="8" t="s">
        <v>2092</v>
      </c>
      <c r="B3209" s="8" t="s">
        <v>16958</v>
      </c>
      <c r="C3209" s="8" t="s">
        <v>10096</v>
      </c>
      <c r="D3209" s="9">
        <v>8.411084667E9</v>
      </c>
      <c r="E3209" s="8" t="s">
        <v>10097</v>
      </c>
      <c r="F3209" s="8" t="s">
        <v>4134</v>
      </c>
      <c r="G3209" s="8" t="s">
        <v>9865</v>
      </c>
      <c r="H3209" s="8" t="s">
        <v>3479</v>
      </c>
      <c r="I3209" s="9">
        <v>0.0</v>
      </c>
      <c r="J3209" s="9">
        <v>2065.0</v>
      </c>
      <c r="K3209" s="9">
        <v>2065.0</v>
      </c>
      <c r="L3209" s="9">
        <v>2065.0</v>
      </c>
      <c r="M3209" s="9">
        <v>1990.0</v>
      </c>
      <c r="N3209" s="9">
        <v>0.0</v>
      </c>
      <c r="O3209" s="9">
        <v>75.0</v>
      </c>
      <c r="P3209" s="8" t="s">
        <v>3544</v>
      </c>
      <c r="Q3209" s="8"/>
      <c r="R3209" s="8"/>
    </row>
    <row r="3210">
      <c r="A3210" s="8" t="s">
        <v>3294</v>
      </c>
      <c r="B3210" s="8" t="s">
        <v>16959</v>
      </c>
      <c r="C3210" s="8" t="s">
        <v>5549</v>
      </c>
      <c r="D3210" s="9">
        <v>9.028473684E9</v>
      </c>
      <c r="E3210" s="8" t="s">
        <v>11333</v>
      </c>
      <c r="F3210" s="8" t="s">
        <v>11334</v>
      </c>
      <c r="G3210" s="8" t="s">
        <v>11335</v>
      </c>
      <c r="H3210" s="8" t="s">
        <v>3479</v>
      </c>
      <c r="I3210" s="9">
        <v>0.0</v>
      </c>
      <c r="J3210" s="9">
        <v>2703.0</v>
      </c>
      <c r="K3210" s="9">
        <v>2703.0</v>
      </c>
      <c r="L3210" s="9">
        <v>2703.0</v>
      </c>
      <c r="M3210" s="9">
        <v>1090.0</v>
      </c>
      <c r="N3210" s="9">
        <v>739.0</v>
      </c>
      <c r="O3210" s="9">
        <v>874.0</v>
      </c>
      <c r="P3210" s="8" t="s">
        <v>3480</v>
      </c>
      <c r="Q3210" s="8" t="s">
        <v>4381</v>
      </c>
      <c r="R3210" s="8" t="s">
        <v>11336</v>
      </c>
    </row>
    <row r="3211">
      <c r="A3211" s="8" t="s">
        <v>3295</v>
      </c>
      <c r="B3211" s="8" t="s">
        <v>16960</v>
      </c>
      <c r="C3211" s="8" t="s">
        <v>16961</v>
      </c>
      <c r="D3211" s="9">
        <v>9.769228974E9</v>
      </c>
      <c r="E3211" s="8" t="s">
        <v>16962</v>
      </c>
      <c r="F3211" s="8" t="s">
        <v>3821</v>
      </c>
      <c r="G3211" s="8" t="s">
        <v>16963</v>
      </c>
      <c r="H3211" s="8" t="s">
        <v>7534</v>
      </c>
      <c r="I3211" s="9">
        <v>0.0</v>
      </c>
      <c r="J3211" s="9">
        <v>1903.0</v>
      </c>
      <c r="K3211" s="9">
        <v>2003.0</v>
      </c>
      <c r="L3211" s="9">
        <v>1903.0</v>
      </c>
      <c r="M3211" s="9">
        <v>735.0</v>
      </c>
      <c r="N3211" s="9">
        <v>739.0</v>
      </c>
      <c r="O3211" s="9">
        <v>529.0</v>
      </c>
      <c r="P3211" s="8" t="s">
        <v>3480</v>
      </c>
      <c r="Q3211" s="8"/>
      <c r="R3211" s="8"/>
    </row>
    <row r="3212">
      <c r="A3212" s="8" t="s">
        <v>3296</v>
      </c>
      <c r="B3212" s="8" t="s">
        <v>16964</v>
      </c>
      <c r="C3212" s="8" t="s">
        <v>16965</v>
      </c>
      <c r="D3212" s="9">
        <v>9.359574773E9</v>
      </c>
      <c r="E3212" s="8" t="s">
        <v>16966</v>
      </c>
      <c r="F3212" s="8" t="s">
        <v>3589</v>
      </c>
      <c r="G3212" s="8" t="s">
        <v>16967</v>
      </c>
      <c r="H3212" s="8" t="s">
        <v>3479</v>
      </c>
      <c r="I3212" s="9">
        <v>0.0</v>
      </c>
      <c r="J3212" s="9">
        <v>2301.0</v>
      </c>
      <c r="K3212" s="9">
        <v>2301.0</v>
      </c>
      <c r="L3212" s="9">
        <v>2301.0</v>
      </c>
      <c r="M3212" s="9">
        <v>1013.0</v>
      </c>
      <c r="N3212" s="9">
        <v>739.0</v>
      </c>
      <c r="O3212" s="9">
        <v>549.0</v>
      </c>
      <c r="P3212" s="8" t="s">
        <v>3480</v>
      </c>
      <c r="Q3212" s="8" t="s">
        <v>16968</v>
      </c>
      <c r="R3212" s="8" t="s">
        <v>16969</v>
      </c>
    </row>
    <row r="3213">
      <c r="A3213" s="8" t="s">
        <v>3297</v>
      </c>
      <c r="B3213" s="8" t="s">
        <v>16970</v>
      </c>
      <c r="C3213" s="8" t="s">
        <v>5369</v>
      </c>
      <c r="D3213" s="9">
        <v>8.446142636E9</v>
      </c>
      <c r="E3213" s="8" t="s">
        <v>5370</v>
      </c>
      <c r="F3213" s="8" t="s">
        <v>3486</v>
      </c>
      <c r="G3213" s="8" t="s">
        <v>16971</v>
      </c>
      <c r="H3213" s="8" t="s">
        <v>3479</v>
      </c>
      <c r="I3213" s="9">
        <v>0.0</v>
      </c>
      <c r="J3213" s="9">
        <v>1268.0</v>
      </c>
      <c r="K3213" s="9">
        <v>1268.0</v>
      </c>
      <c r="L3213" s="9">
        <v>1268.0</v>
      </c>
      <c r="M3213" s="9">
        <v>80.0</v>
      </c>
      <c r="N3213" s="9">
        <v>739.0</v>
      </c>
      <c r="O3213" s="9">
        <v>449.0</v>
      </c>
      <c r="P3213" s="8" t="s">
        <v>3480</v>
      </c>
      <c r="Q3213" s="8"/>
      <c r="R3213" s="8"/>
    </row>
    <row r="3214">
      <c r="A3214" s="8" t="s">
        <v>3298</v>
      </c>
      <c r="B3214" s="8" t="s">
        <v>16972</v>
      </c>
      <c r="C3214" s="8" t="s">
        <v>16973</v>
      </c>
      <c r="D3214" s="9">
        <v>9.552115219E9</v>
      </c>
      <c r="E3214" s="8" t="s">
        <v>16974</v>
      </c>
      <c r="F3214" s="8" t="s">
        <v>4391</v>
      </c>
      <c r="G3214" s="8" t="s">
        <v>16975</v>
      </c>
      <c r="H3214" s="8" t="s">
        <v>3479</v>
      </c>
      <c r="I3214" s="9">
        <v>0.0</v>
      </c>
      <c r="J3214" s="9">
        <v>1521.0</v>
      </c>
      <c r="K3214" s="9">
        <v>1521.0</v>
      </c>
      <c r="L3214" s="9">
        <v>1521.0</v>
      </c>
      <c r="M3214" s="9">
        <v>333.0</v>
      </c>
      <c r="N3214" s="9">
        <v>739.0</v>
      </c>
      <c r="O3214" s="9">
        <v>449.0</v>
      </c>
      <c r="P3214" s="8" t="s">
        <v>3480</v>
      </c>
      <c r="Q3214" s="8" t="s">
        <v>16976</v>
      </c>
      <c r="R3214" s="8" t="s">
        <v>16977</v>
      </c>
    </row>
    <row r="3215">
      <c r="A3215" s="8" t="s">
        <v>3299</v>
      </c>
      <c r="B3215" s="8" t="s">
        <v>16978</v>
      </c>
      <c r="C3215" s="8" t="s">
        <v>8557</v>
      </c>
      <c r="D3215" s="9">
        <v>7.073828883E9</v>
      </c>
      <c r="E3215" s="8" t="s">
        <v>8558</v>
      </c>
      <c r="F3215" s="8" t="s">
        <v>5872</v>
      </c>
      <c r="G3215" s="8" t="s">
        <v>16979</v>
      </c>
      <c r="H3215" s="8" t="s">
        <v>3479</v>
      </c>
      <c r="I3215" s="9">
        <v>0.0</v>
      </c>
      <c r="J3215" s="9">
        <v>3624.0</v>
      </c>
      <c r="K3215" s="9">
        <v>3624.0</v>
      </c>
      <c r="L3215" s="9">
        <v>3624.0</v>
      </c>
      <c r="M3215" s="9">
        <v>3449.0</v>
      </c>
      <c r="N3215" s="9">
        <v>0.0</v>
      </c>
      <c r="O3215" s="9">
        <v>175.0</v>
      </c>
      <c r="P3215" s="8" t="s">
        <v>3544</v>
      </c>
      <c r="Q3215" s="8"/>
      <c r="R3215" s="8"/>
    </row>
    <row r="3216">
      <c r="A3216" s="8" t="s">
        <v>3300</v>
      </c>
      <c r="B3216" s="8" t="s">
        <v>16980</v>
      </c>
      <c r="C3216" s="8" t="s">
        <v>4695</v>
      </c>
      <c r="D3216" s="9">
        <v>8.446479842E9</v>
      </c>
      <c r="E3216" s="8" t="s">
        <v>11483</v>
      </c>
      <c r="F3216" s="8" t="s">
        <v>4333</v>
      </c>
      <c r="G3216" s="8" t="s">
        <v>16981</v>
      </c>
      <c r="H3216" s="8" t="s">
        <v>14358</v>
      </c>
      <c r="I3216" s="9">
        <v>0.0</v>
      </c>
      <c r="J3216" s="9">
        <v>5100.0</v>
      </c>
      <c r="K3216" s="9">
        <v>5278.0</v>
      </c>
      <c r="L3216" s="9">
        <v>5100.0</v>
      </c>
      <c r="M3216" s="9">
        <v>2949.0</v>
      </c>
      <c r="N3216" s="9">
        <v>1030.0</v>
      </c>
      <c r="O3216" s="9">
        <v>1299.0</v>
      </c>
      <c r="P3216" s="8" t="s">
        <v>3544</v>
      </c>
      <c r="Q3216" s="8" t="s">
        <v>11485</v>
      </c>
      <c r="R3216" s="8" t="s">
        <v>11486</v>
      </c>
    </row>
    <row r="3217">
      <c r="A3217" s="8" t="s">
        <v>2093</v>
      </c>
      <c r="B3217" s="8" t="s">
        <v>16982</v>
      </c>
      <c r="C3217" s="8" t="s">
        <v>11498</v>
      </c>
      <c r="D3217" s="9">
        <v>7.875605481E9</v>
      </c>
      <c r="E3217" s="8" t="s">
        <v>11499</v>
      </c>
      <c r="F3217" s="8" t="s">
        <v>3653</v>
      </c>
      <c r="G3217" s="8" t="s">
        <v>16983</v>
      </c>
      <c r="H3217" s="8" t="s">
        <v>3479</v>
      </c>
      <c r="I3217" s="9">
        <v>0.0</v>
      </c>
      <c r="J3217" s="9">
        <v>2045.0</v>
      </c>
      <c r="K3217" s="9">
        <v>2045.0</v>
      </c>
      <c r="L3217" s="9">
        <v>2045.0</v>
      </c>
      <c r="M3217" s="9">
        <v>421.0</v>
      </c>
      <c r="N3217" s="9">
        <v>775.0</v>
      </c>
      <c r="O3217" s="9">
        <v>849.0</v>
      </c>
      <c r="P3217" s="8" t="s">
        <v>3480</v>
      </c>
      <c r="Q3217" s="8" t="s">
        <v>11501</v>
      </c>
      <c r="R3217" s="8" t="s">
        <v>11502</v>
      </c>
    </row>
    <row r="3218">
      <c r="A3218" s="8" t="s">
        <v>2094</v>
      </c>
      <c r="B3218" s="8" t="s">
        <v>16984</v>
      </c>
      <c r="C3218" s="8" t="s">
        <v>6414</v>
      </c>
      <c r="D3218" s="9">
        <v>9.823120418E9</v>
      </c>
      <c r="E3218" s="8" t="s">
        <v>6415</v>
      </c>
      <c r="F3218" s="8" t="s">
        <v>3589</v>
      </c>
      <c r="G3218" s="8" t="s">
        <v>9865</v>
      </c>
      <c r="H3218" s="8" t="s">
        <v>3479</v>
      </c>
      <c r="I3218" s="9">
        <v>0.0</v>
      </c>
      <c r="J3218" s="9">
        <v>2269.0</v>
      </c>
      <c r="K3218" s="9">
        <v>2269.0</v>
      </c>
      <c r="L3218" s="9">
        <v>2269.0</v>
      </c>
      <c r="M3218" s="9">
        <v>1006.0</v>
      </c>
      <c r="N3218" s="9">
        <v>739.0</v>
      </c>
      <c r="O3218" s="9">
        <v>524.0</v>
      </c>
      <c r="P3218" s="8" t="s">
        <v>3480</v>
      </c>
      <c r="Q3218" s="8" t="s">
        <v>6417</v>
      </c>
      <c r="R3218" s="8" t="s">
        <v>6418</v>
      </c>
    </row>
    <row r="3219">
      <c r="A3219" s="8" t="s">
        <v>2095</v>
      </c>
      <c r="B3219" s="8" t="s">
        <v>16985</v>
      </c>
      <c r="C3219" s="8" t="s">
        <v>5017</v>
      </c>
      <c r="D3219" s="9">
        <v>8.055405552E9</v>
      </c>
      <c r="E3219" s="8" t="s">
        <v>5018</v>
      </c>
      <c r="F3219" s="8" t="s">
        <v>3589</v>
      </c>
      <c r="G3219" s="8" t="s">
        <v>9865</v>
      </c>
      <c r="H3219" s="8" t="s">
        <v>3479</v>
      </c>
      <c r="I3219" s="9">
        <v>0.0</v>
      </c>
      <c r="J3219" s="9">
        <v>704.0</v>
      </c>
      <c r="K3219" s="9">
        <v>704.0</v>
      </c>
      <c r="L3219" s="9">
        <v>704.0</v>
      </c>
      <c r="M3219" s="9">
        <v>180.0</v>
      </c>
      <c r="N3219" s="9">
        <v>0.0</v>
      </c>
      <c r="O3219" s="9">
        <v>524.0</v>
      </c>
      <c r="P3219" s="8" t="s">
        <v>3480</v>
      </c>
      <c r="Q3219" s="8" t="s">
        <v>5020</v>
      </c>
      <c r="R3219" s="8" t="s">
        <v>5021</v>
      </c>
    </row>
    <row r="3220">
      <c r="A3220" s="8" t="s">
        <v>2096</v>
      </c>
      <c r="B3220" s="8" t="s">
        <v>16986</v>
      </c>
      <c r="C3220" s="8" t="s">
        <v>4047</v>
      </c>
      <c r="D3220" s="9">
        <v>9.890540874E9</v>
      </c>
      <c r="E3220" s="8" t="s">
        <v>16987</v>
      </c>
      <c r="F3220" s="8" t="s">
        <v>4333</v>
      </c>
      <c r="G3220" s="8" t="s">
        <v>9865</v>
      </c>
      <c r="H3220" s="8" t="s">
        <v>3479</v>
      </c>
      <c r="I3220" s="9">
        <v>0.0</v>
      </c>
      <c r="J3220" s="9">
        <v>1818.0</v>
      </c>
      <c r="K3220" s="9">
        <v>1818.0</v>
      </c>
      <c r="L3220" s="9">
        <v>1818.0</v>
      </c>
      <c r="M3220" s="9">
        <v>144.0</v>
      </c>
      <c r="N3220" s="9">
        <v>975.0</v>
      </c>
      <c r="O3220" s="9">
        <v>699.0</v>
      </c>
      <c r="P3220" s="8" t="s">
        <v>3480</v>
      </c>
      <c r="Q3220" s="8"/>
      <c r="R3220" s="8"/>
    </row>
    <row r="3221">
      <c r="A3221" s="8" t="s">
        <v>2097</v>
      </c>
      <c r="B3221" s="8" t="s">
        <v>16988</v>
      </c>
      <c r="C3221" s="8" t="s">
        <v>4474</v>
      </c>
      <c r="D3221" s="9">
        <v>8.530252828E9</v>
      </c>
      <c r="E3221" s="8" t="s">
        <v>4475</v>
      </c>
      <c r="F3221" s="8" t="s">
        <v>3550</v>
      </c>
      <c r="G3221" s="8" t="s">
        <v>9865</v>
      </c>
      <c r="H3221" s="8" t="s">
        <v>3479</v>
      </c>
      <c r="I3221" s="9">
        <v>0.0</v>
      </c>
      <c r="J3221" s="9">
        <v>1793.0</v>
      </c>
      <c r="K3221" s="9">
        <v>1793.0</v>
      </c>
      <c r="L3221" s="9">
        <v>1793.0</v>
      </c>
      <c r="M3221" s="9">
        <v>605.0</v>
      </c>
      <c r="N3221" s="9">
        <v>739.0</v>
      </c>
      <c r="O3221" s="9">
        <v>449.0</v>
      </c>
      <c r="P3221" s="8" t="s">
        <v>3480</v>
      </c>
      <c r="Q3221" s="8" t="s">
        <v>4477</v>
      </c>
      <c r="R3221" s="8" t="s">
        <v>4478</v>
      </c>
    </row>
    <row r="3222">
      <c r="A3222" s="8" t="s">
        <v>2098</v>
      </c>
      <c r="B3222" s="8" t="s">
        <v>16989</v>
      </c>
      <c r="C3222" s="8" t="s">
        <v>16990</v>
      </c>
      <c r="D3222" s="9">
        <v>9.960905095E9</v>
      </c>
      <c r="E3222" s="8" t="s">
        <v>16991</v>
      </c>
      <c r="F3222" s="8" t="s">
        <v>3821</v>
      </c>
      <c r="G3222" s="8" t="s">
        <v>16992</v>
      </c>
      <c r="H3222" s="8" t="s">
        <v>3479</v>
      </c>
      <c r="I3222" s="9">
        <v>0.0</v>
      </c>
      <c r="J3222" s="9">
        <v>1761.0</v>
      </c>
      <c r="K3222" s="9">
        <v>1761.0</v>
      </c>
      <c r="L3222" s="9">
        <v>1761.0</v>
      </c>
      <c r="M3222" s="9">
        <v>498.0</v>
      </c>
      <c r="N3222" s="9">
        <v>739.0</v>
      </c>
      <c r="O3222" s="9">
        <v>524.0</v>
      </c>
      <c r="P3222" s="8" t="s">
        <v>3519</v>
      </c>
      <c r="Q3222" s="8" t="s">
        <v>16993</v>
      </c>
      <c r="R3222" s="8"/>
    </row>
    <row r="3223">
      <c r="A3223" s="8" t="s">
        <v>1738</v>
      </c>
      <c r="B3223" s="8" t="s">
        <v>16994</v>
      </c>
      <c r="C3223" s="8" t="s">
        <v>7077</v>
      </c>
      <c r="D3223" s="9">
        <v>9.011213042E9</v>
      </c>
      <c r="E3223" s="8" t="s">
        <v>7078</v>
      </c>
      <c r="F3223" s="8" t="s">
        <v>5077</v>
      </c>
      <c r="G3223" s="8" t="s">
        <v>16995</v>
      </c>
      <c r="H3223" s="8" t="s">
        <v>3479</v>
      </c>
      <c r="I3223" s="9">
        <v>0.0</v>
      </c>
      <c r="J3223" s="9">
        <v>529.0</v>
      </c>
      <c r="K3223" s="9">
        <v>529.0</v>
      </c>
      <c r="L3223" s="9">
        <v>529.0</v>
      </c>
      <c r="M3223" s="9">
        <v>80.0</v>
      </c>
      <c r="N3223" s="9">
        <v>0.0</v>
      </c>
      <c r="O3223" s="9">
        <v>449.0</v>
      </c>
      <c r="P3223" s="8" t="s">
        <v>3519</v>
      </c>
      <c r="Q3223" s="8" t="s">
        <v>7080</v>
      </c>
      <c r="R3223" s="8"/>
    </row>
    <row r="3224">
      <c r="A3224" s="8" t="s">
        <v>3264</v>
      </c>
      <c r="B3224" s="8" t="s">
        <v>16996</v>
      </c>
      <c r="C3224" s="8" t="s">
        <v>7950</v>
      </c>
      <c r="D3224" s="9">
        <v>7.391050757E9</v>
      </c>
      <c r="E3224" s="8" t="s">
        <v>7951</v>
      </c>
      <c r="F3224" s="8" t="s">
        <v>4391</v>
      </c>
      <c r="G3224" s="8" t="s">
        <v>16997</v>
      </c>
      <c r="H3224" s="8" t="s">
        <v>3479</v>
      </c>
      <c r="I3224" s="9">
        <v>0.0</v>
      </c>
      <c r="J3224" s="9">
        <v>1268.0</v>
      </c>
      <c r="K3224" s="9">
        <v>1268.0</v>
      </c>
      <c r="L3224" s="9">
        <v>1268.0</v>
      </c>
      <c r="M3224" s="9">
        <v>80.0</v>
      </c>
      <c r="N3224" s="9">
        <v>739.0</v>
      </c>
      <c r="O3224" s="9">
        <v>449.0</v>
      </c>
      <c r="P3224" s="8" t="s">
        <v>3480</v>
      </c>
      <c r="Q3224" s="8" t="s">
        <v>7953</v>
      </c>
      <c r="R3224" s="8" t="s">
        <v>7954</v>
      </c>
    </row>
    <row r="3225">
      <c r="A3225" s="8" t="s">
        <v>3265</v>
      </c>
      <c r="B3225" s="8" t="s">
        <v>16998</v>
      </c>
      <c r="C3225" s="8" t="s">
        <v>7701</v>
      </c>
      <c r="D3225" s="9">
        <v>9.822246694E9</v>
      </c>
      <c r="E3225" s="8" t="s">
        <v>7702</v>
      </c>
      <c r="F3225" s="8" t="s">
        <v>5918</v>
      </c>
      <c r="G3225" s="8" t="s">
        <v>7703</v>
      </c>
      <c r="H3225" s="8" t="s">
        <v>3479</v>
      </c>
      <c r="I3225" s="9">
        <v>0.0</v>
      </c>
      <c r="J3225" s="9">
        <v>2069.0</v>
      </c>
      <c r="K3225" s="9">
        <v>2069.0</v>
      </c>
      <c r="L3225" s="9">
        <v>2069.0</v>
      </c>
      <c r="M3225" s="9">
        <v>845.0</v>
      </c>
      <c r="N3225" s="9">
        <v>775.0</v>
      </c>
      <c r="O3225" s="9">
        <v>449.0</v>
      </c>
      <c r="P3225" s="8" t="s">
        <v>3480</v>
      </c>
      <c r="Q3225" s="8" t="s">
        <v>7704</v>
      </c>
      <c r="R3225" s="8" t="s">
        <v>7705</v>
      </c>
    </row>
    <row r="3226">
      <c r="A3226" s="8" t="s">
        <v>3266</v>
      </c>
      <c r="B3226" s="8" t="s">
        <v>16999</v>
      </c>
      <c r="C3226" s="8" t="s">
        <v>16361</v>
      </c>
      <c r="D3226" s="9">
        <v>8.788992469E9</v>
      </c>
      <c r="E3226" s="8" t="s">
        <v>16362</v>
      </c>
      <c r="F3226" s="8" t="s">
        <v>3486</v>
      </c>
      <c r="G3226" s="8" t="s">
        <v>17000</v>
      </c>
      <c r="H3226" s="8" t="s">
        <v>3479</v>
      </c>
      <c r="I3226" s="9">
        <v>0.0</v>
      </c>
      <c r="J3226" s="9">
        <v>904.0</v>
      </c>
      <c r="K3226" s="9">
        <v>904.0</v>
      </c>
      <c r="L3226" s="9">
        <v>904.0</v>
      </c>
      <c r="M3226" s="9">
        <v>375.0</v>
      </c>
      <c r="N3226" s="9">
        <v>80.0</v>
      </c>
      <c r="O3226" s="9">
        <v>449.0</v>
      </c>
      <c r="P3226" s="8" t="s">
        <v>3480</v>
      </c>
      <c r="Q3226" s="8"/>
      <c r="R3226" s="8"/>
    </row>
    <row r="3227">
      <c r="A3227" s="8" t="s">
        <v>814</v>
      </c>
      <c r="B3227" s="8" t="s">
        <v>17001</v>
      </c>
      <c r="C3227" s="8" t="s">
        <v>17002</v>
      </c>
      <c r="D3227" s="9">
        <v>9.545128458E9</v>
      </c>
      <c r="E3227" s="8" t="s">
        <v>17003</v>
      </c>
      <c r="F3227" s="8" t="s">
        <v>4059</v>
      </c>
      <c r="G3227" s="8" t="s">
        <v>17004</v>
      </c>
      <c r="H3227" s="8" t="s">
        <v>3479</v>
      </c>
      <c r="I3227" s="9">
        <v>0.0</v>
      </c>
      <c r="J3227" s="9">
        <v>1699.0</v>
      </c>
      <c r="K3227" s="9">
        <v>1699.0</v>
      </c>
      <c r="L3227" s="9">
        <v>1699.0</v>
      </c>
      <c r="M3227" s="9">
        <v>110.0</v>
      </c>
      <c r="N3227" s="9">
        <v>1140.0</v>
      </c>
      <c r="O3227" s="9">
        <v>449.0</v>
      </c>
      <c r="P3227" s="8" t="s">
        <v>3480</v>
      </c>
      <c r="Q3227" s="8" t="s">
        <v>17005</v>
      </c>
      <c r="R3227" s="8" t="s">
        <v>17006</v>
      </c>
    </row>
    <row r="3228">
      <c r="A3228" s="8" t="s">
        <v>1739</v>
      </c>
      <c r="B3228" s="8" t="s">
        <v>17007</v>
      </c>
      <c r="C3228" s="8" t="s">
        <v>9785</v>
      </c>
      <c r="D3228" s="9">
        <v>9.552429521E9</v>
      </c>
      <c r="E3228" s="8" t="s">
        <v>9786</v>
      </c>
      <c r="F3228" s="8" t="s">
        <v>3908</v>
      </c>
      <c r="G3228" s="8" t="s">
        <v>9865</v>
      </c>
      <c r="H3228" s="8" t="s">
        <v>3479</v>
      </c>
      <c r="I3228" s="9">
        <v>0.0</v>
      </c>
      <c r="J3228" s="9">
        <v>2727.0</v>
      </c>
      <c r="K3228" s="9">
        <v>2727.0</v>
      </c>
      <c r="L3228" s="9">
        <v>2727.0</v>
      </c>
      <c r="M3228" s="9">
        <v>2302.0</v>
      </c>
      <c r="N3228" s="9">
        <v>0.0</v>
      </c>
      <c r="O3228" s="9">
        <v>425.0</v>
      </c>
      <c r="P3228" s="8" t="s">
        <v>3480</v>
      </c>
      <c r="Q3228" s="8" t="s">
        <v>9789</v>
      </c>
      <c r="R3228" s="8" t="s">
        <v>9790</v>
      </c>
    </row>
    <row r="3229">
      <c r="A3229" s="8" t="s">
        <v>1740</v>
      </c>
      <c r="B3229" s="8" t="s">
        <v>17008</v>
      </c>
      <c r="C3229" s="8" t="s">
        <v>17009</v>
      </c>
      <c r="D3229" s="9">
        <v>7.03866678E9</v>
      </c>
      <c r="E3229" s="8" t="s">
        <v>17010</v>
      </c>
      <c r="F3229" s="8" t="s">
        <v>3589</v>
      </c>
      <c r="G3229" s="8" t="s">
        <v>9865</v>
      </c>
      <c r="H3229" s="8" t="s">
        <v>3479</v>
      </c>
      <c r="I3229" s="9">
        <v>0.0</v>
      </c>
      <c r="J3229" s="9">
        <v>837.0</v>
      </c>
      <c r="K3229" s="9">
        <v>837.0</v>
      </c>
      <c r="L3229" s="9">
        <v>837.0</v>
      </c>
      <c r="M3229" s="9">
        <v>313.0</v>
      </c>
      <c r="N3229" s="9">
        <v>0.0</v>
      </c>
      <c r="O3229" s="9">
        <v>524.0</v>
      </c>
      <c r="P3229" s="8" t="s">
        <v>3519</v>
      </c>
      <c r="Q3229" s="8"/>
      <c r="R3229" s="8"/>
    </row>
    <row r="3230">
      <c r="A3230" s="8" t="s">
        <v>1741</v>
      </c>
      <c r="B3230" s="8" t="s">
        <v>17011</v>
      </c>
      <c r="C3230" s="8" t="s">
        <v>3969</v>
      </c>
      <c r="D3230" s="9">
        <v>9.172992292E9</v>
      </c>
      <c r="E3230" s="8" t="s">
        <v>3970</v>
      </c>
      <c r="F3230" s="8" t="s">
        <v>3908</v>
      </c>
      <c r="G3230" s="8" t="s">
        <v>4752</v>
      </c>
      <c r="H3230" s="8" t="s">
        <v>3479</v>
      </c>
      <c r="I3230" s="9">
        <v>0.0</v>
      </c>
      <c r="J3230" s="9">
        <v>2093.0</v>
      </c>
      <c r="K3230" s="9">
        <v>2093.0</v>
      </c>
      <c r="L3230" s="9">
        <v>2093.0</v>
      </c>
      <c r="M3230" s="9">
        <v>379.0</v>
      </c>
      <c r="N3230" s="9">
        <v>840.0</v>
      </c>
      <c r="O3230" s="9">
        <v>874.0</v>
      </c>
      <c r="P3230" s="8" t="s">
        <v>3544</v>
      </c>
      <c r="Q3230" s="8" t="s">
        <v>3972</v>
      </c>
      <c r="R3230" s="8" t="s">
        <v>3973</v>
      </c>
    </row>
    <row r="3231">
      <c r="A3231" s="8" t="s">
        <v>1742</v>
      </c>
      <c r="B3231" s="8" t="s">
        <v>17012</v>
      </c>
      <c r="C3231" s="8" t="s">
        <v>17013</v>
      </c>
      <c r="D3231" s="9">
        <v>9.763720656E9</v>
      </c>
      <c r="E3231" s="8" t="s">
        <v>17014</v>
      </c>
      <c r="F3231" s="8" t="s">
        <v>4574</v>
      </c>
      <c r="G3231" s="8" t="s">
        <v>9865</v>
      </c>
      <c r="H3231" s="8" t="s">
        <v>3479</v>
      </c>
      <c r="I3231" s="9">
        <v>0.0</v>
      </c>
      <c r="J3231" s="9">
        <v>684.0</v>
      </c>
      <c r="K3231" s="9">
        <v>684.0</v>
      </c>
      <c r="L3231" s="9">
        <v>684.0</v>
      </c>
      <c r="M3231" s="9">
        <v>160.0</v>
      </c>
      <c r="N3231" s="9">
        <v>0.0</v>
      </c>
      <c r="O3231" s="9">
        <v>524.0</v>
      </c>
      <c r="P3231" s="8" t="s">
        <v>3519</v>
      </c>
      <c r="Q3231" s="8" t="s">
        <v>17015</v>
      </c>
      <c r="R3231" s="8" t="s">
        <v>17016</v>
      </c>
    </row>
    <row r="3232">
      <c r="A3232" s="8" t="s">
        <v>3117</v>
      </c>
      <c r="B3232" s="8" t="s">
        <v>17017</v>
      </c>
      <c r="C3232" s="8" t="s">
        <v>15662</v>
      </c>
      <c r="D3232" s="9">
        <v>7.384517011E9</v>
      </c>
      <c r="E3232" s="8" t="s">
        <v>17018</v>
      </c>
      <c r="F3232" s="8" t="s">
        <v>3901</v>
      </c>
      <c r="G3232" s="8" t="s">
        <v>9865</v>
      </c>
      <c r="H3232" s="8" t="s">
        <v>3479</v>
      </c>
      <c r="I3232" s="9">
        <v>0.0</v>
      </c>
      <c r="J3232" s="9">
        <v>1884.0</v>
      </c>
      <c r="K3232" s="9">
        <v>1884.0</v>
      </c>
      <c r="L3232" s="9">
        <v>1884.0</v>
      </c>
      <c r="M3232" s="9">
        <v>510.0</v>
      </c>
      <c r="N3232" s="9">
        <v>775.0</v>
      </c>
      <c r="O3232" s="9">
        <v>599.0</v>
      </c>
      <c r="P3232" s="8" t="s">
        <v>3480</v>
      </c>
      <c r="Q3232" s="8" t="s">
        <v>17019</v>
      </c>
      <c r="R3232" s="8" t="s">
        <v>17020</v>
      </c>
    </row>
    <row r="3233">
      <c r="A3233" s="8" t="s">
        <v>1743</v>
      </c>
      <c r="B3233" s="8" t="s">
        <v>17021</v>
      </c>
      <c r="C3233" s="8" t="s">
        <v>17022</v>
      </c>
      <c r="D3233" s="9">
        <v>8.788199997E9</v>
      </c>
      <c r="E3233" s="8" t="s">
        <v>17023</v>
      </c>
      <c r="F3233" s="8" t="s">
        <v>3486</v>
      </c>
      <c r="G3233" s="8" t="s">
        <v>9865</v>
      </c>
      <c r="H3233" s="8" t="s">
        <v>3479</v>
      </c>
      <c r="I3233" s="9">
        <v>0.0</v>
      </c>
      <c r="J3233" s="9">
        <v>3166.0</v>
      </c>
      <c r="K3233" s="9">
        <v>3166.0</v>
      </c>
      <c r="L3233" s="9">
        <v>3166.0</v>
      </c>
      <c r="M3233" s="9">
        <v>1878.0</v>
      </c>
      <c r="N3233" s="9">
        <v>739.0</v>
      </c>
      <c r="O3233" s="9">
        <v>549.0</v>
      </c>
      <c r="P3233" s="8" t="s">
        <v>3480</v>
      </c>
      <c r="Q3233" s="8" t="s">
        <v>17024</v>
      </c>
      <c r="R3233" s="8" t="s">
        <v>17025</v>
      </c>
    </row>
    <row r="3234">
      <c r="A3234" s="8" t="s">
        <v>1744</v>
      </c>
      <c r="B3234" s="8" t="s">
        <v>17026</v>
      </c>
      <c r="C3234" s="8" t="s">
        <v>5208</v>
      </c>
      <c r="D3234" s="9">
        <v>8.867799921E9</v>
      </c>
      <c r="E3234" s="8" t="s">
        <v>5209</v>
      </c>
      <c r="F3234" s="8" t="s">
        <v>3853</v>
      </c>
      <c r="G3234" s="8" t="s">
        <v>17027</v>
      </c>
      <c r="H3234" s="8" t="s">
        <v>3479</v>
      </c>
      <c r="I3234" s="9">
        <v>0.0</v>
      </c>
      <c r="J3234" s="9">
        <v>925.0</v>
      </c>
      <c r="K3234" s="9">
        <v>925.0</v>
      </c>
      <c r="L3234" s="9">
        <v>925.0</v>
      </c>
      <c r="M3234" s="9">
        <v>925.0</v>
      </c>
      <c r="N3234" s="9">
        <v>0.0</v>
      </c>
      <c r="O3234" s="9">
        <v>0.0</v>
      </c>
      <c r="P3234" s="8" t="s">
        <v>3544</v>
      </c>
      <c r="Q3234" s="8" t="s">
        <v>5211</v>
      </c>
      <c r="R3234" s="8" t="s">
        <v>5212</v>
      </c>
    </row>
    <row r="3235">
      <c r="A3235" s="8" t="s">
        <v>1745</v>
      </c>
      <c r="B3235" s="8" t="s">
        <v>17028</v>
      </c>
      <c r="C3235" s="8" t="s">
        <v>5753</v>
      </c>
      <c r="D3235" s="9">
        <v>8.888845632E9</v>
      </c>
      <c r="E3235" s="8" t="s">
        <v>17029</v>
      </c>
      <c r="F3235" s="8" t="s">
        <v>3853</v>
      </c>
      <c r="G3235" s="8" t="s">
        <v>17030</v>
      </c>
      <c r="H3235" s="8" t="s">
        <v>3479</v>
      </c>
      <c r="I3235" s="9">
        <v>0.0</v>
      </c>
      <c r="J3235" s="9">
        <v>1578.0</v>
      </c>
      <c r="K3235" s="9">
        <v>1578.0</v>
      </c>
      <c r="L3235" s="9">
        <v>1578.0</v>
      </c>
      <c r="M3235" s="9">
        <v>390.0</v>
      </c>
      <c r="N3235" s="9">
        <v>739.0</v>
      </c>
      <c r="O3235" s="9">
        <v>449.0</v>
      </c>
      <c r="P3235" s="8" t="s">
        <v>3480</v>
      </c>
      <c r="Q3235" s="8"/>
      <c r="R3235" s="8"/>
    </row>
    <row r="3236">
      <c r="A3236" s="8" t="s">
        <v>3118</v>
      </c>
      <c r="B3236" s="8" t="s">
        <v>17031</v>
      </c>
      <c r="C3236" s="8" t="s">
        <v>17032</v>
      </c>
      <c r="D3236" s="9">
        <v>8.888815287E9</v>
      </c>
      <c r="E3236" s="8" t="s">
        <v>17033</v>
      </c>
      <c r="F3236" s="8" t="s">
        <v>3677</v>
      </c>
      <c r="G3236" s="8" t="s">
        <v>17034</v>
      </c>
      <c r="H3236" s="8" t="s">
        <v>3479</v>
      </c>
      <c r="I3236" s="9">
        <v>0.0</v>
      </c>
      <c r="J3236" s="9">
        <v>7123.0</v>
      </c>
      <c r="K3236" s="9">
        <v>7123.0</v>
      </c>
      <c r="L3236" s="9">
        <v>7123.0</v>
      </c>
      <c r="M3236" s="9">
        <v>5334.0</v>
      </c>
      <c r="N3236" s="9">
        <v>840.0</v>
      </c>
      <c r="O3236" s="9">
        <v>949.0</v>
      </c>
      <c r="P3236" s="8" t="s">
        <v>3480</v>
      </c>
      <c r="Q3236" s="8" t="s">
        <v>17035</v>
      </c>
      <c r="R3236" s="8" t="s">
        <v>17036</v>
      </c>
    </row>
    <row r="3237">
      <c r="A3237" s="8" t="s">
        <v>3119</v>
      </c>
      <c r="B3237" s="8" t="s">
        <v>17037</v>
      </c>
      <c r="C3237" s="8" t="s">
        <v>17038</v>
      </c>
      <c r="D3237" s="9">
        <v>9.990040214E9</v>
      </c>
      <c r="E3237" s="8" t="s">
        <v>17039</v>
      </c>
      <c r="F3237" s="8" t="s">
        <v>4645</v>
      </c>
      <c r="G3237" s="8" t="s">
        <v>17040</v>
      </c>
      <c r="H3237" s="8" t="s">
        <v>3479</v>
      </c>
      <c r="I3237" s="9">
        <v>0.0</v>
      </c>
      <c r="J3237" s="9">
        <v>1374.0</v>
      </c>
      <c r="K3237" s="9">
        <v>1374.0</v>
      </c>
      <c r="L3237" s="9">
        <v>1374.0</v>
      </c>
      <c r="M3237" s="9">
        <v>195.0</v>
      </c>
      <c r="N3237" s="9">
        <v>730.0</v>
      </c>
      <c r="O3237" s="9">
        <v>449.0</v>
      </c>
      <c r="P3237" s="8" t="s">
        <v>3480</v>
      </c>
      <c r="Q3237" s="8"/>
      <c r="R3237" s="8"/>
    </row>
    <row r="3238">
      <c r="A3238" s="8" t="s">
        <v>1746</v>
      </c>
      <c r="B3238" s="8" t="s">
        <v>17041</v>
      </c>
      <c r="C3238" s="8" t="s">
        <v>4944</v>
      </c>
      <c r="D3238" s="9">
        <v>9.552509211E9</v>
      </c>
      <c r="E3238" s="8" t="s">
        <v>4945</v>
      </c>
      <c r="F3238" s="8" t="s">
        <v>4333</v>
      </c>
      <c r="G3238" s="8" t="s">
        <v>17042</v>
      </c>
      <c r="H3238" s="8" t="s">
        <v>3479</v>
      </c>
      <c r="I3238" s="9">
        <v>0.0</v>
      </c>
      <c r="J3238" s="9">
        <v>5256.0</v>
      </c>
      <c r="K3238" s="9">
        <v>5256.0</v>
      </c>
      <c r="L3238" s="9">
        <v>5256.0</v>
      </c>
      <c r="M3238" s="9">
        <v>3092.0</v>
      </c>
      <c r="N3238" s="9">
        <v>965.0</v>
      </c>
      <c r="O3238" s="9">
        <v>1199.0</v>
      </c>
      <c r="P3238" s="8" t="s">
        <v>3544</v>
      </c>
      <c r="Q3238" s="8" t="s">
        <v>4947</v>
      </c>
      <c r="R3238" s="8" t="s">
        <v>4948</v>
      </c>
    </row>
    <row r="3239">
      <c r="A3239" s="8" t="s">
        <v>1747</v>
      </c>
      <c r="B3239" s="8" t="s">
        <v>17043</v>
      </c>
      <c r="C3239" s="8" t="s">
        <v>17044</v>
      </c>
      <c r="D3239" s="9">
        <v>9.921197519E9</v>
      </c>
      <c r="E3239" s="8" t="s">
        <v>17045</v>
      </c>
      <c r="F3239" s="8" t="s">
        <v>3589</v>
      </c>
      <c r="G3239" s="8" t="s">
        <v>17046</v>
      </c>
      <c r="H3239" s="8" t="s">
        <v>3479</v>
      </c>
      <c r="I3239" s="9">
        <v>0.0</v>
      </c>
      <c r="J3239" s="9">
        <v>1904.0</v>
      </c>
      <c r="K3239" s="9">
        <v>1904.0</v>
      </c>
      <c r="L3239" s="9">
        <v>1904.0</v>
      </c>
      <c r="M3239" s="9">
        <v>556.0</v>
      </c>
      <c r="N3239" s="9">
        <v>739.0</v>
      </c>
      <c r="O3239" s="9">
        <v>609.0</v>
      </c>
      <c r="P3239" s="8" t="s">
        <v>3544</v>
      </c>
      <c r="Q3239" s="8" t="s">
        <v>17047</v>
      </c>
      <c r="R3239" s="8"/>
    </row>
    <row r="3240">
      <c r="A3240" s="8" t="s">
        <v>1748</v>
      </c>
      <c r="B3240" s="8" t="s">
        <v>17048</v>
      </c>
      <c r="C3240" s="8" t="s">
        <v>6506</v>
      </c>
      <c r="D3240" s="9">
        <v>9.860765193E9</v>
      </c>
      <c r="E3240" s="8" t="s">
        <v>6507</v>
      </c>
      <c r="F3240" s="8" t="s">
        <v>6508</v>
      </c>
      <c r="G3240" s="8" t="s">
        <v>9865</v>
      </c>
      <c r="H3240" s="8" t="s">
        <v>3479</v>
      </c>
      <c r="I3240" s="9">
        <v>0.0</v>
      </c>
      <c r="J3240" s="9">
        <v>1868.0</v>
      </c>
      <c r="K3240" s="9">
        <v>1868.0</v>
      </c>
      <c r="L3240" s="9">
        <v>1868.0</v>
      </c>
      <c r="M3240" s="9">
        <v>560.0</v>
      </c>
      <c r="N3240" s="9">
        <v>784.0</v>
      </c>
      <c r="O3240" s="9">
        <v>524.0</v>
      </c>
      <c r="P3240" s="8" t="s">
        <v>3480</v>
      </c>
      <c r="Q3240" s="8" t="s">
        <v>6510</v>
      </c>
      <c r="R3240" s="8" t="s">
        <v>6511</v>
      </c>
    </row>
    <row r="3241">
      <c r="A3241" s="8" t="s">
        <v>3268</v>
      </c>
      <c r="B3241" s="8" t="s">
        <v>17049</v>
      </c>
      <c r="C3241" s="8" t="s">
        <v>10855</v>
      </c>
      <c r="D3241" s="9">
        <v>9.112471953E9</v>
      </c>
      <c r="E3241" s="8" t="s">
        <v>10856</v>
      </c>
      <c r="F3241" s="8" t="s">
        <v>3569</v>
      </c>
      <c r="G3241" s="8" t="s">
        <v>3494</v>
      </c>
      <c r="H3241" s="8" t="s">
        <v>3479</v>
      </c>
      <c r="I3241" s="9">
        <v>0.0</v>
      </c>
      <c r="J3241" s="9">
        <v>781.0</v>
      </c>
      <c r="K3241" s="9">
        <v>781.0</v>
      </c>
      <c r="L3241" s="9">
        <v>781.0</v>
      </c>
      <c r="M3241" s="9">
        <v>306.0</v>
      </c>
      <c r="N3241" s="9">
        <v>0.0</v>
      </c>
      <c r="O3241" s="9">
        <v>475.0</v>
      </c>
      <c r="P3241" s="8" t="s">
        <v>3544</v>
      </c>
      <c r="Q3241" s="8"/>
      <c r="R3241" s="8"/>
    </row>
    <row r="3242">
      <c r="A3242" s="8" t="s">
        <v>1749</v>
      </c>
      <c r="B3242" s="8" t="s">
        <v>17050</v>
      </c>
      <c r="C3242" s="8" t="s">
        <v>4888</v>
      </c>
      <c r="D3242" s="9">
        <v>9.561558844E9</v>
      </c>
      <c r="E3242" s="8" t="s">
        <v>4889</v>
      </c>
      <c r="F3242" s="8" t="s">
        <v>4373</v>
      </c>
      <c r="G3242" s="8" t="s">
        <v>17051</v>
      </c>
      <c r="H3242" s="8" t="s">
        <v>3479</v>
      </c>
      <c r="I3242" s="9">
        <v>0.0</v>
      </c>
      <c r="J3242" s="9">
        <v>2194.0</v>
      </c>
      <c r="K3242" s="9">
        <v>2194.0</v>
      </c>
      <c r="L3242" s="9">
        <v>2194.0</v>
      </c>
      <c r="M3242" s="9">
        <v>480.0</v>
      </c>
      <c r="N3242" s="9">
        <v>840.0</v>
      </c>
      <c r="O3242" s="9">
        <v>874.0</v>
      </c>
      <c r="P3242" s="8" t="s">
        <v>3480</v>
      </c>
      <c r="Q3242" s="8" t="s">
        <v>4891</v>
      </c>
      <c r="R3242" s="8" t="s">
        <v>4892</v>
      </c>
    </row>
    <row r="3243">
      <c r="A3243" s="8" t="s">
        <v>3269</v>
      </c>
      <c r="B3243" s="8" t="s">
        <v>17052</v>
      </c>
      <c r="C3243" s="8" t="s">
        <v>17053</v>
      </c>
      <c r="D3243" s="9">
        <v>9.112471953E9</v>
      </c>
      <c r="E3243" s="8" t="s">
        <v>17054</v>
      </c>
      <c r="F3243" s="8" t="s">
        <v>3721</v>
      </c>
      <c r="G3243" s="8" t="s">
        <v>17055</v>
      </c>
      <c r="H3243" s="8" t="s">
        <v>3479</v>
      </c>
      <c r="I3243" s="9">
        <v>0.0</v>
      </c>
      <c r="J3243" s="9">
        <v>1528.0</v>
      </c>
      <c r="K3243" s="9">
        <v>1528.0</v>
      </c>
      <c r="L3243" s="9">
        <v>1528.0</v>
      </c>
      <c r="M3243" s="9">
        <v>160.0</v>
      </c>
      <c r="N3243" s="9">
        <v>739.0</v>
      </c>
      <c r="O3243" s="9">
        <v>629.0</v>
      </c>
      <c r="P3243" s="8" t="s">
        <v>3544</v>
      </c>
      <c r="Q3243" s="8"/>
      <c r="R3243" s="8"/>
    </row>
    <row r="3244">
      <c r="A3244" s="8" t="s">
        <v>3270</v>
      </c>
      <c r="B3244" s="8" t="s">
        <v>17056</v>
      </c>
      <c r="C3244" s="8" t="s">
        <v>10711</v>
      </c>
      <c r="D3244" s="9">
        <v>9.890921262E9</v>
      </c>
      <c r="E3244" s="8" t="s">
        <v>10712</v>
      </c>
      <c r="F3244" s="8" t="s">
        <v>4715</v>
      </c>
      <c r="G3244" s="8" t="s">
        <v>17057</v>
      </c>
      <c r="H3244" s="8" t="s">
        <v>3479</v>
      </c>
      <c r="I3244" s="9">
        <v>0.0</v>
      </c>
      <c r="J3244" s="9">
        <v>1304.0</v>
      </c>
      <c r="K3244" s="9">
        <v>1304.0</v>
      </c>
      <c r="L3244" s="9">
        <v>1304.0</v>
      </c>
      <c r="M3244" s="9">
        <v>80.0</v>
      </c>
      <c r="N3244" s="9">
        <v>775.0</v>
      </c>
      <c r="O3244" s="9">
        <v>449.0</v>
      </c>
      <c r="P3244" s="8" t="s">
        <v>3480</v>
      </c>
      <c r="Q3244" s="8" t="s">
        <v>10714</v>
      </c>
      <c r="R3244" s="8" t="s">
        <v>4718</v>
      </c>
    </row>
    <row r="3245">
      <c r="A3245" s="8" t="s">
        <v>3272</v>
      </c>
      <c r="B3245" s="8" t="s">
        <v>17058</v>
      </c>
      <c r="C3245" s="8" t="s">
        <v>15025</v>
      </c>
      <c r="D3245" s="9">
        <v>9.890171414E9</v>
      </c>
      <c r="E3245" s="8" t="s">
        <v>17059</v>
      </c>
      <c r="F3245" s="8" t="s">
        <v>4507</v>
      </c>
      <c r="G3245" s="8" t="s">
        <v>4786</v>
      </c>
      <c r="H3245" s="8" t="s">
        <v>3479</v>
      </c>
      <c r="I3245" s="9">
        <v>0.0</v>
      </c>
      <c r="J3245" s="9">
        <v>3040.0</v>
      </c>
      <c r="K3245" s="9">
        <v>3040.0</v>
      </c>
      <c r="L3245" s="9">
        <v>3040.0</v>
      </c>
      <c r="M3245" s="9">
        <v>433.0</v>
      </c>
      <c r="N3245" s="9">
        <v>1533.0</v>
      </c>
      <c r="O3245" s="9">
        <v>1074.0</v>
      </c>
      <c r="P3245" s="8" t="s">
        <v>3480</v>
      </c>
      <c r="Q3245" s="8"/>
      <c r="R3245" s="8"/>
    </row>
    <row r="3246">
      <c r="A3246" s="8" t="s">
        <v>3267</v>
      </c>
      <c r="B3246" s="8" t="s">
        <v>17060</v>
      </c>
      <c r="C3246" s="8" t="s">
        <v>10049</v>
      </c>
      <c r="D3246" s="9">
        <v>9.923197122E9</v>
      </c>
      <c r="E3246" s="8" t="s">
        <v>17061</v>
      </c>
      <c r="F3246" s="8" t="s">
        <v>3589</v>
      </c>
      <c r="G3246" s="8" t="s">
        <v>17062</v>
      </c>
      <c r="H3246" s="8" t="s">
        <v>3479</v>
      </c>
      <c r="I3246" s="9">
        <v>0.0</v>
      </c>
      <c r="J3246" s="9">
        <v>4216.0</v>
      </c>
      <c r="K3246" s="9">
        <v>4216.0</v>
      </c>
      <c r="L3246" s="9">
        <v>4216.0</v>
      </c>
      <c r="M3246" s="9">
        <v>2928.0</v>
      </c>
      <c r="N3246" s="9">
        <v>739.0</v>
      </c>
      <c r="O3246" s="9">
        <v>549.0</v>
      </c>
      <c r="P3246" s="8" t="s">
        <v>3544</v>
      </c>
      <c r="Q3246" s="8" t="s">
        <v>17063</v>
      </c>
      <c r="R3246" s="8"/>
    </row>
    <row r="3247">
      <c r="A3247" s="8" t="s">
        <v>3273</v>
      </c>
      <c r="B3247" s="8" t="s">
        <v>17064</v>
      </c>
      <c r="C3247" s="8" t="s">
        <v>5040</v>
      </c>
      <c r="D3247" s="9">
        <v>9.97074886E9</v>
      </c>
      <c r="E3247" s="8" t="s">
        <v>17065</v>
      </c>
      <c r="F3247" s="8" t="s">
        <v>3576</v>
      </c>
      <c r="G3247" s="8" t="s">
        <v>17066</v>
      </c>
      <c r="H3247" s="8" t="s">
        <v>3479</v>
      </c>
      <c r="I3247" s="9">
        <v>0.0</v>
      </c>
      <c r="J3247" s="9">
        <v>1461.0</v>
      </c>
      <c r="K3247" s="9">
        <v>1461.0</v>
      </c>
      <c r="L3247" s="9">
        <v>1461.0</v>
      </c>
      <c r="M3247" s="9">
        <v>300.0</v>
      </c>
      <c r="N3247" s="9">
        <v>187.0</v>
      </c>
      <c r="O3247" s="9">
        <v>974.0</v>
      </c>
      <c r="P3247" s="8" t="s">
        <v>3480</v>
      </c>
      <c r="Q3247" s="8"/>
      <c r="R3247" s="8"/>
    </row>
    <row r="3248">
      <c r="A3248" s="8" t="s">
        <v>3120</v>
      </c>
      <c r="B3248" s="8" t="s">
        <v>17067</v>
      </c>
      <c r="C3248" s="8" t="s">
        <v>10724</v>
      </c>
      <c r="D3248" s="9">
        <v>7.083491791E9</v>
      </c>
      <c r="E3248" s="8" t="s">
        <v>10725</v>
      </c>
      <c r="F3248" s="8" t="s">
        <v>10064</v>
      </c>
      <c r="G3248" s="8" t="s">
        <v>10726</v>
      </c>
      <c r="H3248" s="8" t="s">
        <v>3479</v>
      </c>
      <c r="I3248" s="9">
        <v>0.0</v>
      </c>
      <c r="J3248" s="9">
        <v>1059.0</v>
      </c>
      <c r="K3248" s="9">
        <v>1059.0</v>
      </c>
      <c r="L3248" s="9">
        <v>1059.0</v>
      </c>
      <c r="M3248" s="9">
        <v>120.0</v>
      </c>
      <c r="N3248" s="9">
        <v>190.0</v>
      </c>
      <c r="O3248" s="9">
        <v>749.0</v>
      </c>
      <c r="P3248" s="8" t="s">
        <v>3519</v>
      </c>
      <c r="Q3248" s="8" t="s">
        <v>10727</v>
      </c>
      <c r="R3248" s="8" t="s">
        <v>10728</v>
      </c>
    </row>
    <row r="3249">
      <c r="A3249" s="8" t="s">
        <v>3322</v>
      </c>
      <c r="B3249" s="8" t="s">
        <v>17068</v>
      </c>
      <c r="C3249" s="8" t="s">
        <v>17069</v>
      </c>
      <c r="D3249" s="9">
        <v>9.83404621E9</v>
      </c>
      <c r="E3249" s="8" t="s">
        <v>17070</v>
      </c>
      <c r="F3249" s="8" t="s">
        <v>3615</v>
      </c>
      <c r="G3249" s="8" t="s">
        <v>17071</v>
      </c>
      <c r="H3249" s="8" t="s">
        <v>3479</v>
      </c>
      <c r="I3249" s="9">
        <v>0.0</v>
      </c>
      <c r="J3249" s="9">
        <v>1114.0</v>
      </c>
      <c r="K3249" s="9">
        <v>1114.0</v>
      </c>
      <c r="L3249" s="9">
        <v>1114.0</v>
      </c>
      <c r="M3249" s="9">
        <v>80.0</v>
      </c>
      <c r="N3249" s="9">
        <v>585.0</v>
      </c>
      <c r="O3249" s="9">
        <v>449.0</v>
      </c>
      <c r="P3249" s="8" t="s">
        <v>3480</v>
      </c>
      <c r="Q3249" s="8" t="s">
        <v>17072</v>
      </c>
      <c r="R3249" s="8" t="s">
        <v>17073</v>
      </c>
    </row>
    <row r="3250">
      <c r="A3250" s="8" t="s">
        <v>3121</v>
      </c>
      <c r="B3250" s="8" t="s">
        <v>17074</v>
      </c>
      <c r="C3250" s="8" t="s">
        <v>17075</v>
      </c>
      <c r="D3250" s="9">
        <v>9.92232377E9</v>
      </c>
      <c r="E3250" s="8" t="s">
        <v>17076</v>
      </c>
      <c r="F3250" s="8" t="s">
        <v>3594</v>
      </c>
      <c r="G3250" s="8" t="s">
        <v>17077</v>
      </c>
      <c r="H3250" s="8" t="s">
        <v>3479</v>
      </c>
      <c r="I3250" s="9">
        <v>0.0</v>
      </c>
      <c r="J3250" s="9">
        <v>1834.0</v>
      </c>
      <c r="K3250" s="9">
        <v>1834.0</v>
      </c>
      <c r="L3250" s="9">
        <v>1834.0</v>
      </c>
      <c r="M3250" s="9">
        <v>580.0</v>
      </c>
      <c r="N3250" s="9">
        <v>730.0</v>
      </c>
      <c r="O3250" s="9">
        <v>524.0</v>
      </c>
      <c r="P3250" s="8" t="s">
        <v>3480</v>
      </c>
      <c r="Q3250" s="8" t="s">
        <v>17078</v>
      </c>
      <c r="R3250" s="8"/>
    </row>
    <row r="3251">
      <c r="A3251" s="8" t="s">
        <v>3122</v>
      </c>
      <c r="B3251" s="8" t="s">
        <v>17079</v>
      </c>
      <c r="C3251" s="8" t="s">
        <v>10138</v>
      </c>
      <c r="D3251" s="9">
        <v>9.921197519E9</v>
      </c>
      <c r="E3251" s="8" t="s">
        <v>10139</v>
      </c>
      <c r="F3251" s="8" t="s">
        <v>3721</v>
      </c>
      <c r="G3251" s="8" t="s">
        <v>15653</v>
      </c>
      <c r="H3251" s="8" t="s">
        <v>3479</v>
      </c>
      <c r="I3251" s="9">
        <v>0.0</v>
      </c>
      <c r="J3251" s="9">
        <v>1691.0</v>
      </c>
      <c r="K3251" s="9">
        <v>1691.0</v>
      </c>
      <c r="L3251" s="9">
        <v>1691.0</v>
      </c>
      <c r="M3251" s="9">
        <v>402.0</v>
      </c>
      <c r="N3251" s="9">
        <v>730.0</v>
      </c>
      <c r="O3251" s="9">
        <v>559.0</v>
      </c>
      <c r="P3251" s="8" t="s">
        <v>3480</v>
      </c>
      <c r="Q3251" s="8" t="s">
        <v>10141</v>
      </c>
      <c r="R3251" s="8"/>
    </row>
    <row r="3252">
      <c r="A3252" s="8" t="s">
        <v>3123</v>
      </c>
      <c r="B3252" s="8" t="s">
        <v>17080</v>
      </c>
      <c r="C3252" s="8" t="s">
        <v>3899</v>
      </c>
      <c r="D3252" s="9">
        <v>7.406056477E9</v>
      </c>
      <c r="E3252" s="8" t="s">
        <v>3900</v>
      </c>
      <c r="F3252" s="8" t="s">
        <v>3901</v>
      </c>
      <c r="G3252" s="8" t="s">
        <v>17081</v>
      </c>
      <c r="H3252" s="8" t="s">
        <v>3479</v>
      </c>
      <c r="I3252" s="9">
        <v>0.0</v>
      </c>
      <c r="J3252" s="9">
        <v>2274.0</v>
      </c>
      <c r="K3252" s="9">
        <v>2274.0</v>
      </c>
      <c r="L3252" s="9">
        <v>2274.0</v>
      </c>
      <c r="M3252" s="9">
        <v>561.0</v>
      </c>
      <c r="N3252" s="9">
        <v>839.0</v>
      </c>
      <c r="O3252" s="9">
        <v>874.0</v>
      </c>
      <c r="P3252" s="8" t="s">
        <v>3480</v>
      </c>
      <c r="Q3252" s="8" t="s">
        <v>3903</v>
      </c>
      <c r="R3252" s="8" t="s">
        <v>3904</v>
      </c>
    </row>
    <row r="3253">
      <c r="A3253" s="8" t="s">
        <v>3332</v>
      </c>
      <c r="B3253" s="8" t="s">
        <v>17082</v>
      </c>
      <c r="C3253" s="8" t="s">
        <v>17083</v>
      </c>
      <c r="D3253" s="9">
        <v>9.503561835E9</v>
      </c>
      <c r="E3253" s="8" t="s">
        <v>17084</v>
      </c>
      <c r="F3253" s="8" t="s">
        <v>3908</v>
      </c>
      <c r="G3253" s="8" t="s">
        <v>17085</v>
      </c>
      <c r="H3253" s="8" t="s">
        <v>17086</v>
      </c>
      <c r="I3253" s="9">
        <v>0.0</v>
      </c>
      <c r="J3253" s="9">
        <v>5000.0</v>
      </c>
      <c r="K3253" s="9">
        <v>5188.0</v>
      </c>
      <c r="L3253" s="9">
        <v>5000.0</v>
      </c>
      <c r="M3253" s="9">
        <v>2935.0</v>
      </c>
      <c r="N3253" s="9">
        <v>1279.0</v>
      </c>
      <c r="O3253" s="9">
        <v>974.0</v>
      </c>
      <c r="P3253" s="8" t="s">
        <v>3480</v>
      </c>
      <c r="Q3253" s="8" t="s">
        <v>17087</v>
      </c>
      <c r="R3253" s="8" t="s">
        <v>17088</v>
      </c>
    </row>
    <row r="3254">
      <c r="A3254" s="8" t="s">
        <v>3274</v>
      </c>
      <c r="B3254" s="8" t="s">
        <v>17089</v>
      </c>
      <c r="C3254" s="8" t="s">
        <v>17090</v>
      </c>
      <c r="D3254" s="9">
        <v>7.517929899E9</v>
      </c>
      <c r="E3254" s="8" t="s">
        <v>17091</v>
      </c>
      <c r="F3254" s="8" t="s">
        <v>3530</v>
      </c>
      <c r="G3254" s="8" t="s">
        <v>8090</v>
      </c>
      <c r="H3254" s="8" t="s">
        <v>3479</v>
      </c>
      <c r="I3254" s="9">
        <v>0.0</v>
      </c>
      <c r="J3254" s="9">
        <v>4067.0</v>
      </c>
      <c r="K3254" s="9">
        <v>4067.0</v>
      </c>
      <c r="L3254" s="9">
        <v>4067.0</v>
      </c>
      <c r="M3254" s="9">
        <v>1793.0</v>
      </c>
      <c r="N3254" s="9">
        <v>900.0</v>
      </c>
      <c r="O3254" s="9">
        <v>1374.0</v>
      </c>
      <c r="P3254" s="8" t="s">
        <v>3480</v>
      </c>
      <c r="Q3254" s="8"/>
      <c r="R3254" s="8"/>
    </row>
    <row r="3255">
      <c r="A3255" s="8" t="s">
        <v>3124</v>
      </c>
      <c r="B3255" s="8" t="s">
        <v>17092</v>
      </c>
      <c r="C3255" s="8" t="s">
        <v>8178</v>
      </c>
      <c r="D3255" s="9">
        <v>9.987555184E9</v>
      </c>
      <c r="E3255" s="8" t="s">
        <v>8179</v>
      </c>
      <c r="F3255" s="8" t="s">
        <v>8180</v>
      </c>
      <c r="G3255" s="8" t="s">
        <v>8181</v>
      </c>
      <c r="H3255" s="8" t="s">
        <v>3479</v>
      </c>
      <c r="I3255" s="9">
        <v>0.0</v>
      </c>
      <c r="J3255" s="9">
        <v>7083.0</v>
      </c>
      <c r="K3255" s="9">
        <v>7083.0</v>
      </c>
      <c r="L3255" s="9">
        <v>7083.0</v>
      </c>
      <c r="M3255" s="9">
        <v>5354.0</v>
      </c>
      <c r="N3255" s="9">
        <v>730.0</v>
      </c>
      <c r="O3255" s="9">
        <v>999.0</v>
      </c>
      <c r="P3255" s="8" t="s">
        <v>3480</v>
      </c>
      <c r="Q3255" s="8"/>
      <c r="R3255" s="8"/>
    </row>
    <row r="3256">
      <c r="A3256" s="8" t="s">
        <v>3125</v>
      </c>
      <c r="B3256" s="8" t="s">
        <v>17093</v>
      </c>
      <c r="C3256" s="8" t="s">
        <v>17094</v>
      </c>
      <c r="D3256" s="9">
        <v>9.762483439E9</v>
      </c>
      <c r="E3256" s="8" t="s">
        <v>17095</v>
      </c>
      <c r="F3256" s="8" t="s">
        <v>3493</v>
      </c>
      <c r="G3256" s="8" t="s">
        <v>17096</v>
      </c>
      <c r="H3256" s="8" t="s">
        <v>3479</v>
      </c>
      <c r="I3256" s="9">
        <v>0.0</v>
      </c>
      <c r="J3256" s="9">
        <v>2113.0</v>
      </c>
      <c r="K3256" s="9">
        <v>2113.0</v>
      </c>
      <c r="L3256" s="9">
        <v>2113.0</v>
      </c>
      <c r="M3256" s="9">
        <v>829.0</v>
      </c>
      <c r="N3256" s="9">
        <v>585.0</v>
      </c>
      <c r="O3256" s="9">
        <v>699.0</v>
      </c>
      <c r="P3256" s="8" t="s">
        <v>3480</v>
      </c>
      <c r="Q3256" s="8" t="s">
        <v>17097</v>
      </c>
      <c r="R3256" s="8"/>
    </row>
    <row r="3257">
      <c r="A3257" s="8" t="s">
        <v>3126</v>
      </c>
      <c r="B3257" s="8" t="s">
        <v>17098</v>
      </c>
      <c r="C3257" s="8" t="s">
        <v>8364</v>
      </c>
      <c r="D3257" s="9">
        <v>9.921637431E9</v>
      </c>
      <c r="E3257" s="8" t="s">
        <v>8793</v>
      </c>
      <c r="F3257" s="8" t="s">
        <v>3601</v>
      </c>
      <c r="G3257" s="8" t="s">
        <v>17099</v>
      </c>
      <c r="H3257" s="8" t="s">
        <v>3479</v>
      </c>
      <c r="I3257" s="9">
        <v>0.0</v>
      </c>
      <c r="J3257" s="9">
        <v>1431.0</v>
      </c>
      <c r="K3257" s="9">
        <v>1431.0</v>
      </c>
      <c r="L3257" s="9">
        <v>1431.0</v>
      </c>
      <c r="M3257" s="9">
        <v>152.0</v>
      </c>
      <c r="N3257" s="9">
        <v>730.0</v>
      </c>
      <c r="O3257" s="9">
        <v>549.0</v>
      </c>
      <c r="P3257" s="8" t="s">
        <v>3480</v>
      </c>
      <c r="Q3257" s="8" t="s">
        <v>8795</v>
      </c>
      <c r="R3257" s="8" t="s">
        <v>8796</v>
      </c>
    </row>
    <row r="3258">
      <c r="A3258" s="8" t="s">
        <v>3127</v>
      </c>
      <c r="B3258" s="8" t="s">
        <v>17100</v>
      </c>
      <c r="C3258" s="8" t="s">
        <v>13162</v>
      </c>
      <c r="D3258" s="9">
        <v>9.762364061E9</v>
      </c>
      <c r="E3258" s="8" t="s">
        <v>13163</v>
      </c>
      <c r="F3258" s="8" t="s">
        <v>3486</v>
      </c>
      <c r="G3258" s="8" t="s">
        <v>17101</v>
      </c>
      <c r="H3258" s="8" t="s">
        <v>3479</v>
      </c>
      <c r="I3258" s="9">
        <v>0.0</v>
      </c>
      <c r="J3258" s="9">
        <v>1559.0</v>
      </c>
      <c r="K3258" s="9">
        <v>1559.0</v>
      </c>
      <c r="L3258" s="9">
        <v>1559.0</v>
      </c>
      <c r="M3258" s="9">
        <v>380.0</v>
      </c>
      <c r="N3258" s="9">
        <v>730.0</v>
      </c>
      <c r="O3258" s="9">
        <v>449.0</v>
      </c>
      <c r="P3258" s="8" t="s">
        <v>3480</v>
      </c>
      <c r="Q3258" s="8" t="s">
        <v>13165</v>
      </c>
      <c r="R3258" s="8" t="s">
        <v>13166</v>
      </c>
    </row>
    <row r="3259">
      <c r="A3259" s="8" t="s">
        <v>3128</v>
      </c>
      <c r="B3259" s="8" t="s">
        <v>17102</v>
      </c>
      <c r="C3259" s="8" t="s">
        <v>12672</v>
      </c>
      <c r="D3259" s="9">
        <v>8.600865286E9</v>
      </c>
      <c r="E3259" s="8" t="s">
        <v>12819</v>
      </c>
      <c r="F3259" s="8" t="s">
        <v>4373</v>
      </c>
      <c r="G3259" s="8" t="s">
        <v>17103</v>
      </c>
      <c r="H3259" s="8" t="s">
        <v>3479</v>
      </c>
      <c r="I3259" s="9">
        <v>0.0</v>
      </c>
      <c r="J3259" s="9">
        <v>4485.0</v>
      </c>
      <c r="K3259" s="9">
        <v>4485.0</v>
      </c>
      <c r="L3259" s="9">
        <v>4485.0</v>
      </c>
      <c r="M3259" s="9">
        <v>1518.0</v>
      </c>
      <c r="N3259" s="9">
        <v>1343.0</v>
      </c>
      <c r="O3259" s="9">
        <v>1624.0</v>
      </c>
      <c r="P3259" s="8" t="s">
        <v>3480</v>
      </c>
      <c r="Q3259" s="8"/>
      <c r="R3259" s="8"/>
    </row>
    <row r="3260">
      <c r="A3260" s="8" t="s">
        <v>3323</v>
      </c>
      <c r="B3260" s="8" t="s">
        <v>17104</v>
      </c>
      <c r="C3260" s="8" t="s">
        <v>17105</v>
      </c>
      <c r="D3260" s="9">
        <v>9.881001145E9</v>
      </c>
      <c r="E3260" s="8" t="s">
        <v>17106</v>
      </c>
      <c r="F3260" s="8" t="s">
        <v>3523</v>
      </c>
      <c r="G3260" s="8" t="s">
        <v>17107</v>
      </c>
      <c r="H3260" s="8" t="s">
        <v>3479</v>
      </c>
      <c r="I3260" s="9">
        <v>0.0</v>
      </c>
      <c r="J3260" s="9">
        <v>769.0</v>
      </c>
      <c r="K3260" s="9">
        <v>769.0</v>
      </c>
      <c r="L3260" s="9">
        <v>769.0</v>
      </c>
      <c r="M3260" s="9">
        <v>160.0</v>
      </c>
      <c r="N3260" s="9">
        <v>80.0</v>
      </c>
      <c r="O3260" s="9">
        <v>529.0</v>
      </c>
      <c r="P3260" s="8" t="s">
        <v>6816</v>
      </c>
      <c r="Q3260" s="8" t="s">
        <v>17108</v>
      </c>
      <c r="R3260" s="8" t="s">
        <v>17109</v>
      </c>
    </row>
    <row r="3261">
      <c r="A3261" s="8" t="s">
        <v>3324</v>
      </c>
      <c r="B3261" s="8" t="s">
        <v>17110</v>
      </c>
      <c r="C3261" s="8" t="s">
        <v>17111</v>
      </c>
      <c r="D3261" s="9">
        <v>9.17503279E9</v>
      </c>
      <c r="E3261" s="8" t="s">
        <v>17112</v>
      </c>
      <c r="F3261" s="8" t="s">
        <v>3901</v>
      </c>
      <c r="G3261" s="8" t="s">
        <v>17113</v>
      </c>
      <c r="H3261" s="8" t="s">
        <v>3479</v>
      </c>
      <c r="I3261" s="9">
        <v>0.0</v>
      </c>
      <c r="J3261" s="9">
        <v>1259.0</v>
      </c>
      <c r="K3261" s="9">
        <v>1259.0</v>
      </c>
      <c r="L3261" s="9">
        <v>1259.0</v>
      </c>
      <c r="M3261" s="9">
        <v>470.0</v>
      </c>
      <c r="N3261" s="9">
        <v>190.0</v>
      </c>
      <c r="O3261" s="9">
        <v>599.0</v>
      </c>
      <c r="P3261" s="8" t="s">
        <v>3480</v>
      </c>
      <c r="Q3261" s="8"/>
      <c r="R3261" s="8"/>
    </row>
    <row r="3262">
      <c r="A3262" s="8" t="s">
        <v>3129</v>
      </c>
      <c r="B3262" s="8" t="s">
        <v>17114</v>
      </c>
      <c r="C3262" s="8" t="s">
        <v>17115</v>
      </c>
      <c r="D3262" s="9">
        <v>8.888582558E9</v>
      </c>
      <c r="E3262" s="8" t="s">
        <v>17116</v>
      </c>
      <c r="F3262" s="8" t="s">
        <v>9777</v>
      </c>
      <c r="G3262" s="8" t="s">
        <v>17117</v>
      </c>
      <c r="H3262" s="8" t="s">
        <v>3479</v>
      </c>
      <c r="I3262" s="9">
        <v>0.0</v>
      </c>
      <c r="J3262" s="9">
        <v>3432.0</v>
      </c>
      <c r="K3262" s="9">
        <v>3432.0</v>
      </c>
      <c r="L3262" s="9">
        <v>3432.0</v>
      </c>
      <c r="M3262" s="9">
        <v>1833.0</v>
      </c>
      <c r="N3262" s="9">
        <v>775.0</v>
      </c>
      <c r="O3262" s="9">
        <v>824.0</v>
      </c>
      <c r="P3262" s="8" t="s">
        <v>3480</v>
      </c>
      <c r="Q3262" s="8" t="s">
        <v>17118</v>
      </c>
      <c r="R3262" s="8" t="s">
        <v>17119</v>
      </c>
    </row>
    <row r="3263">
      <c r="A3263" s="8" t="s">
        <v>3130</v>
      </c>
      <c r="B3263" s="8" t="s">
        <v>17120</v>
      </c>
      <c r="C3263" s="8" t="s">
        <v>17121</v>
      </c>
      <c r="D3263" s="9">
        <v>8.237524805E9</v>
      </c>
      <c r="E3263" s="8" t="s">
        <v>17122</v>
      </c>
      <c r="F3263" s="8" t="s">
        <v>3594</v>
      </c>
      <c r="G3263" s="8" t="s">
        <v>17123</v>
      </c>
      <c r="H3263" s="8" t="s">
        <v>3479</v>
      </c>
      <c r="I3263" s="9">
        <v>0.0</v>
      </c>
      <c r="J3263" s="9">
        <v>1934.0</v>
      </c>
      <c r="K3263" s="9">
        <v>1934.0</v>
      </c>
      <c r="L3263" s="9">
        <v>1934.0</v>
      </c>
      <c r="M3263" s="9">
        <v>680.0</v>
      </c>
      <c r="N3263" s="9">
        <v>730.0</v>
      </c>
      <c r="O3263" s="9">
        <v>524.0</v>
      </c>
      <c r="P3263" s="8" t="s">
        <v>3480</v>
      </c>
      <c r="Q3263" s="8" t="s">
        <v>17124</v>
      </c>
      <c r="R3263" s="8" t="s">
        <v>17125</v>
      </c>
    </row>
    <row r="3264">
      <c r="A3264" s="8" t="s">
        <v>3131</v>
      </c>
      <c r="B3264" s="8" t="s">
        <v>17126</v>
      </c>
      <c r="C3264" s="8" t="s">
        <v>5495</v>
      </c>
      <c r="D3264" s="9">
        <v>9.326075507E9</v>
      </c>
      <c r="E3264" s="8" t="s">
        <v>8621</v>
      </c>
      <c r="F3264" s="8" t="s">
        <v>4093</v>
      </c>
      <c r="G3264" s="8" t="s">
        <v>17127</v>
      </c>
      <c r="H3264" s="8" t="s">
        <v>3479</v>
      </c>
      <c r="I3264" s="9">
        <v>0.0</v>
      </c>
      <c r="J3264" s="9">
        <v>2289.0</v>
      </c>
      <c r="K3264" s="9">
        <v>2289.0</v>
      </c>
      <c r="L3264" s="9">
        <v>2289.0</v>
      </c>
      <c r="M3264" s="9">
        <v>915.0</v>
      </c>
      <c r="N3264" s="9">
        <v>775.0</v>
      </c>
      <c r="O3264" s="9">
        <v>599.0</v>
      </c>
      <c r="P3264" s="8" t="s">
        <v>3480</v>
      </c>
      <c r="Q3264" s="8" t="s">
        <v>8623</v>
      </c>
      <c r="R3264" s="8" t="s">
        <v>8624</v>
      </c>
    </row>
    <row r="3265">
      <c r="A3265" s="8" t="s">
        <v>3132</v>
      </c>
      <c r="B3265" s="8" t="s">
        <v>17128</v>
      </c>
      <c r="C3265" s="8" t="s">
        <v>9121</v>
      </c>
      <c r="D3265" s="9">
        <v>9.373841171E9</v>
      </c>
      <c r="E3265" s="8" t="s">
        <v>9122</v>
      </c>
      <c r="F3265" s="8" t="s">
        <v>8180</v>
      </c>
      <c r="G3265" s="8" t="s">
        <v>17129</v>
      </c>
      <c r="H3265" s="8" t="s">
        <v>3479</v>
      </c>
      <c r="I3265" s="9">
        <v>0.0</v>
      </c>
      <c r="J3265" s="9">
        <v>1343.0</v>
      </c>
      <c r="K3265" s="9">
        <v>1343.0</v>
      </c>
      <c r="L3265" s="9">
        <v>1343.0</v>
      </c>
      <c r="M3265" s="9">
        <v>164.0</v>
      </c>
      <c r="N3265" s="9">
        <v>730.0</v>
      </c>
      <c r="O3265" s="9">
        <v>449.0</v>
      </c>
      <c r="P3265" s="8" t="s">
        <v>3480</v>
      </c>
      <c r="Q3265" s="8"/>
      <c r="R3265" s="8"/>
    </row>
    <row r="3266">
      <c r="A3266" s="8" t="s">
        <v>3133</v>
      </c>
      <c r="B3266" s="8" t="s">
        <v>17130</v>
      </c>
      <c r="C3266" s="8" t="s">
        <v>5495</v>
      </c>
      <c r="D3266" s="9">
        <v>9.326075507E9</v>
      </c>
      <c r="E3266" s="8" t="s">
        <v>5496</v>
      </c>
      <c r="F3266" s="8" t="s">
        <v>3569</v>
      </c>
      <c r="G3266" s="8" t="s">
        <v>9865</v>
      </c>
      <c r="H3266" s="8" t="s">
        <v>3479</v>
      </c>
      <c r="I3266" s="9">
        <v>0.0</v>
      </c>
      <c r="J3266" s="9">
        <v>1679.0</v>
      </c>
      <c r="K3266" s="9">
        <v>1679.0</v>
      </c>
      <c r="L3266" s="9">
        <v>1679.0</v>
      </c>
      <c r="M3266" s="9">
        <v>80.0</v>
      </c>
      <c r="N3266" s="9">
        <v>900.0</v>
      </c>
      <c r="O3266" s="9">
        <v>699.0</v>
      </c>
      <c r="P3266" s="8" t="s">
        <v>3480</v>
      </c>
      <c r="Q3266" s="8" t="s">
        <v>5498</v>
      </c>
      <c r="R3266" s="8"/>
    </row>
    <row r="3267">
      <c r="A3267" s="8" t="s">
        <v>3134</v>
      </c>
      <c r="B3267" s="8" t="s">
        <v>17131</v>
      </c>
      <c r="C3267" s="8" t="s">
        <v>3567</v>
      </c>
      <c r="D3267" s="9">
        <v>9.657081177E9</v>
      </c>
      <c r="E3267" s="8" t="s">
        <v>3568</v>
      </c>
      <c r="F3267" s="8" t="s">
        <v>3569</v>
      </c>
      <c r="G3267" s="8" t="s">
        <v>17132</v>
      </c>
      <c r="H3267" s="8" t="s">
        <v>3479</v>
      </c>
      <c r="I3267" s="9">
        <v>0.0</v>
      </c>
      <c r="J3267" s="9">
        <v>5386.0</v>
      </c>
      <c r="K3267" s="9">
        <v>5386.0</v>
      </c>
      <c r="L3267" s="9">
        <v>5386.0</v>
      </c>
      <c r="M3267" s="9">
        <v>2988.0</v>
      </c>
      <c r="N3267" s="9">
        <v>954.0</v>
      </c>
      <c r="O3267" s="9">
        <v>1444.0</v>
      </c>
      <c r="P3267" s="8" t="s">
        <v>3480</v>
      </c>
      <c r="Q3267" s="8" t="s">
        <v>3571</v>
      </c>
      <c r="R3267" s="8" t="s">
        <v>3572</v>
      </c>
    </row>
    <row r="3268">
      <c r="A3268" s="8" t="s">
        <v>3135</v>
      </c>
      <c r="B3268" s="8" t="s">
        <v>17133</v>
      </c>
      <c r="C3268" s="8" t="s">
        <v>7155</v>
      </c>
      <c r="D3268" s="9">
        <v>9.604788998E9</v>
      </c>
      <c r="E3268" s="8" t="s">
        <v>7156</v>
      </c>
      <c r="F3268" s="8" t="s">
        <v>7157</v>
      </c>
      <c r="G3268" s="8" t="s">
        <v>17134</v>
      </c>
      <c r="H3268" s="8" t="s">
        <v>3479</v>
      </c>
      <c r="I3268" s="9">
        <v>0.0</v>
      </c>
      <c r="J3268" s="9">
        <v>2738.0</v>
      </c>
      <c r="K3268" s="9">
        <v>2738.0</v>
      </c>
      <c r="L3268" s="9">
        <v>2738.0</v>
      </c>
      <c r="M3268" s="9">
        <v>1220.0</v>
      </c>
      <c r="N3268" s="9">
        <v>794.0</v>
      </c>
      <c r="O3268" s="9">
        <v>724.0</v>
      </c>
      <c r="P3268" s="8" t="s">
        <v>3544</v>
      </c>
      <c r="Q3268" s="8" t="s">
        <v>7159</v>
      </c>
      <c r="R3268" s="8" t="s">
        <v>7160</v>
      </c>
    </row>
    <row r="3269">
      <c r="A3269" s="8" t="s">
        <v>3136</v>
      </c>
      <c r="B3269" s="8" t="s">
        <v>17135</v>
      </c>
      <c r="C3269" s="8" t="s">
        <v>17136</v>
      </c>
      <c r="D3269" s="9">
        <v>6.375981366E9</v>
      </c>
      <c r="E3269" s="8" t="s">
        <v>17137</v>
      </c>
      <c r="F3269" s="8" t="s">
        <v>4125</v>
      </c>
      <c r="G3269" s="8" t="s">
        <v>17138</v>
      </c>
      <c r="H3269" s="8" t="s">
        <v>3479</v>
      </c>
      <c r="I3269" s="9">
        <v>0.0</v>
      </c>
      <c r="J3269" s="9">
        <v>2410.0</v>
      </c>
      <c r="K3269" s="9">
        <v>2410.0</v>
      </c>
      <c r="L3269" s="9">
        <v>2410.0</v>
      </c>
      <c r="M3269" s="9">
        <v>697.0</v>
      </c>
      <c r="N3269" s="9">
        <v>839.0</v>
      </c>
      <c r="O3269" s="9">
        <v>874.0</v>
      </c>
      <c r="P3269" s="8" t="s">
        <v>3480</v>
      </c>
      <c r="Q3269" s="8" t="s">
        <v>17139</v>
      </c>
      <c r="R3269" s="8" t="s">
        <v>17140</v>
      </c>
    </row>
    <row r="3270">
      <c r="A3270" s="8" t="s">
        <v>3302</v>
      </c>
      <c r="B3270" s="8" t="s">
        <v>17141</v>
      </c>
      <c r="C3270" s="8" t="s">
        <v>16378</v>
      </c>
      <c r="D3270" s="9">
        <v>9.881544172E9</v>
      </c>
      <c r="E3270" s="8" t="s">
        <v>16379</v>
      </c>
      <c r="F3270" s="8" t="s">
        <v>17142</v>
      </c>
      <c r="G3270" s="8" t="s">
        <v>17143</v>
      </c>
      <c r="H3270" s="8" t="s">
        <v>3479</v>
      </c>
      <c r="I3270" s="9">
        <v>0.0</v>
      </c>
      <c r="J3270" s="9">
        <v>1300.0</v>
      </c>
      <c r="K3270" s="9">
        <v>1300.0</v>
      </c>
      <c r="L3270" s="9">
        <v>1300.0</v>
      </c>
      <c r="M3270" s="9">
        <v>1300.0</v>
      </c>
      <c r="N3270" s="9">
        <v>0.0</v>
      </c>
      <c r="O3270" s="9">
        <v>0.0</v>
      </c>
      <c r="P3270" s="8" t="s">
        <v>3480</v>
      </c>
      <c r="Q3270" s="8"/>
      <c r="R3270" s="8"/>
    </row>
    <row r="3271">
      <c r="A3271" s="8" t="s">
        <v>3325</v>
      </c>
      <c r="B3271" s="8" t="s">
        <v>17144</v>
      </c>
      <c r="C3271" s="8" t="s">
        <v>5759</v>
      </c>
      <c r="D3271" s="9">
        <v>9.664976023E9</v>
      </c>
      <c r="E3271" s="8" t="s">
        <v>5760</v>
      </c>
      <c r="F3271" s="8" t="s">
        <v>3601</v>
      </c>
      <c r="G3271" s="8" t="s">
        <v>17145</v>
      </c>
      <c r="H3271" s="8" t="s">
        <v>3479</v>
      </c>
      <c r="I3271" s="9">
        <v>0.0</v>
      </c>
      <c r="J3271" s="9">
        <v>1490.0</v>
      </c>
      <c r="K3271" s="9">
        <v>1490.0</v>
      </c>
      <c r="L3271" s="9">
        <v>1490.0</v>
      </c>
      <c r="M3271" s="9">
        <v>1365.0</v>
      </c>
      <c r="N3271" s="9">
        <v>0.0</v>
      </c>
      <c r="O3271" s="9">
        <v>125.0</v>
      </c>
      <c r="P3271" s="8" t="s">
        <v>3480</v>
      </c>
      <c r="Q3271" s="8" t="s">
        <v>5762</v>
      </c>
      <c r="R3271" s="8" t="s">
        <v>5763</v>
      </c>
    </row>
    <row r="3272">
      <c r="A3272" s="8" t="s">
        <v>3275</v>
      </c>
      <c r="B3272" s="8" t="s">
        <v>17146</v>
      </c>
      <c r="C3272" s="8" t="s">
        <v>17147</v>
      </c>
      <c r="D3272" s="9">
        <v>8.275037901E9</v>
      </c>
      <c r="E3272" s="8" t="s">
        <v>17148</v>
      </c>
      <c r="F3272" s="8" t="s">
        <v>3576</v>
      </c>
      <c r="G3272" s="8" t="s">
        <v>17149</v>
      </c>
      <c r="H3272" s="8" t="s">
        <v>3479</v>
      </c>
      <c r="I3272" s="9">
        <v>0.0</v>
      </c>
      <c r="J3272" s="9">
        <v>2532.0</v>
      </c>
      <c r="K3272" s="9">
        <v>2532.0</v>
      </c>
      <c r="L3272" s="9">
        <v>2532.0</v>
      </c>
      <c r="M3272" s="9">
        <v>553.0</v>
      </c>
      <c r="N3272" s="9">
        <v>1380.0</v>
      </c>
      <c r="O3272" s="9">
        <v>599.0</v>
      </c>
      <c r="P3272" s="8" t="s">
        <v>3480</v>
      </c>
      <c r="Q3272" s="8"/>
      <c r="R3272" s="8"/>
    </row>
    <row r="3273">
      <c r="A3273" s="8" t="s">
        <v>3327</v>
      </c>
      <c r="B3273" s="8" t="s">
        <v>17150</v>
      </c>
      <c r="C3273" s="8" t="s">
        <v>17151</v>
      </c>
      <c r="D3273" s="9">
        <v>9.860959197E9</v>
      </c>
      <c r="E3273" s="8" t="s">
        <v>17152</v>
      </c>
      <c r="F3273" s="8" t="s">
        <v>5979</v>
      </c>
      <c r="G3273" s="8" t="s">
        <v>17153</v>
      </c>
      <c r="H3273" s="8" t="s">
        <v>3479</v>
      </c>
      <c r="I3273" s="9">
        <v>0.0</v>
      </c>
      <c r="J3273" s="9">
        <v>1336.0</v>
      </c>
      <c r="K3273" s="9">
        <v>1336.0</v>
      </c>
      <c r="L3273" s="9">
        <v>1336.0</v>
      </c>
      <c r="M3273" s="9">
        <v>386.0</v>
      </c>
      <c r="N3273" s="9">
        <v>0.0</v>
      </c>
      <c r="O3273" s="9">
        <v>950.0</v>
      </c>
      <c r="P3273" s="8" t="s">
        <v>3480</v>
      </c>
      <c r="Q3273" s="8"/>
      <c r="R3273" s="8"/>
    </row>
    <row r="3274">
      <c r="A3274" s="8" t="s">
        <v>3328</v>
      </c>
      <c r="B3274" s="8" t="s">
        <v>17154</v>
      </c>
      <c r="C3274" s="8" t="s">
        <v>5214</v>
      </c>
      <c r="D3274" s="9">
        <v>8.805987378E9</v>
      </c>
      <c r="E3274" s="8" t="s">
        <v>5215</v>
      </c>
      <c r="F3274" s="8" t="s">
        <v>3628</v>
      </c>
      <c r="G3274" s="8" t="s">
        <v>17155</v>
      </c>
      <c r="H3274" s="8" t="s">
        <v>3479</v>
      </c>
      <c r="I3274" s="9">
        <v>0.0</v>
      </c>
      <c r="J3274" s="9">
        <v>1758.0</v>
      </c>
      <c r="K3274" s="9">
        <v>1758.0</v>
      </c>
      <c r="L3274" s="9">
        <v>1758.0</v>
      </c>
      <c r="M3274" s="9">
        <v>159.0</v>
      </c>
      <c r="N3274" s="9">
        <v>900.0</v>
      </c>
      <c r="O3274" s="9">
        <v>699.0</v>
      </c>
      <c r="P3274" s="8" t="s">
        <v>3480</v>
      </c>
      <c r="Q3274" s="8"/>
      <c r="R3274" s="8" t="s">
        <v>5217</v>
      </c>
    </row>
    <row r="3275">
      <c r="A3275" s="8" t="s">
        <v>3329</v>
      </c>
      <c r="B3275" s="8" t="s">
        <v>17156</v>
      </c>
      <c r="C3275" s="8" t="s">
        <v>17157</v>
      </c>
      <c r="D3275" s="9">
        <v>9.975556564E9</v>
      </c>
      <c r="E3275" s="8" t="s">
        <v>17158</v>
      </c>
      <c r="F3275" s="8" t="s">
        <v>3721</v>
      </c>
      <c r="G3275" s="8" t="s">
        <v>17159</v>
      </c>
      <c r="H3275" s="8" t="s">
        <v>3479</v>
      </c>
      <c r="I3275" s="9">
        <v>0.0</v>
      </c>
      <c r="J3275" s="9">
        <v>2188.0</v>
      </c>
      <c r="K3275" s="9">
        <v>2188.0</v>
      </c>
      <c r="L3275" s="9">
        <v>2188.0</v>
      </c>
      <c r="M3275" s="9">
        <v>925.0</v>
      </c>
      <c r="N3275" s="9">
        <v>739.0</v>
      </c>
      <c r="O3275" s="9">
        <v>524.0</v>
      </c>
      <c r="P3275" s="8" t="s">
        <v>3519</v>
      </c>
      <c r="Q3275" s="8"/>
      <c r="R3275" s="8"/>
    </row>
    <row r="3276">
      <c r="A3276" s="8" t="s">
        <v>3330</v>
      </c>
      <c r="B3276" s="8" t="s">
        <v>17160</v>
      </c>
      <c r="C3276" s="8" t="s">
        <v>7751</v>
      </c>
      <c r="D3276" s="9">
        <v>7.507353773E9</v>
      </c>
      <c r="E3276" s="8" t="s">
        <v>7752</v>
      </c>
      <c r="F3276" s="8" t="s">
        <v>3908</v>
      </c>
      <c r="G3276" s="8" t="s">
        <v>17161</v>
      </c>
      <c r="H3276" s="8" t="s">
        <v>3479</v>
      </c>
      <c r="I3276" s="9">
        <v>0.0</v>
      </c>
      <c r="J3276" s="9">
        <v>3598.0</v>
      </c>
      <c r="K3276" s="9">
        <v>3598.0</v>
      </c>
      <c r="L3276" s="9">
        <v>3598.0</v>
      </c>
      <c r="M3276" s="9">
        <v>1840.0</v>
      </c>
      <c r="N3276" s="9">
        <v>784.0</v>
      </c>
      <c r="O3276" s="9">
        <v>974.0</v>
      </c>
      <c r="P3276" s="8" t="s">
        <v>3480</v>
      </c>
      <c r="Q3276" s="8" t="s">
        <v>7753</v>
      </c>
      <c r="R3276" s="8" t="s">
        <v>7754</v>
      </c>
    </row>
    <row r="3277">
      <c r="A3277" s="8" t="s">
        <v>3331</v>
      </c>
      <c r="B3277" s="8" t="s">
        <v>17162</v>
      </c>
      <c r="C3277" s="8" t="s">
        <v>11847</v>
      </c>
      <c r="D3277" s="9">
        <v>9.145398978E9</v>
      </c>
      <c r="E3277" s="8" t="s">
        <v>11848</v>
      </c>
      <c r="F3277" s="8" t="s">
        <v>4454</v>
      </c>
      <c r="G3277" s="8" t="s">
        <v>17163</v>
      </c>
      <c r="H3277" s="8" t="s">
        <v>3479</v>
      </c>
      <c r="I3277" s="9">
        <v>0.0</v>
      </c>
      <c r="J3277" s="9">
        <v>1268.0</v>
      </c>
      <c r="K3277" s="9">
        <v>1268.0</v>
      </c>
      <c r="L3277" s="9">
        <v>1268.0</v>
      </c>
      <c r="M3277" s="9">
        <v>80.0</v>
      </c>
      <c r="N3277" s="9">
        <v>739.0</v>
      </c>
      <c r="O3277" s="9">
        <v>449.0</v>
      </c>
      <c r="P3277" s="8" t="s">
        <v>3480</v>
      </c>
      <c r="Q3277" s="8"/>
      <c r="R3277" s="8"/>
    </row>
    <row r="3278">
      <c r="A3278" s="8" t="s">
        <v>3333</v>
      </c>
      <c r="B3278" s="8" t="s">
        <v>17164</v>
      </c>
      <c r="C3278" s="8" t="s">
        <v>17165</v>
      </c>
      <c r="D3278" s="9">
        <v>7.776069661E9</v>
      </c>
      <c r="E3278" s="8" t="s">
        <v>17166</v>
      </c>
      <c r="F3278" s="8" t="s">
        <v>3653</v>
      </c>
      <c r="G3278" s="8" t="s">
        <v>17167</v>
      </c>
      <c r="H3278" s="8" t="s">
        <v>3479</v>
      </c>
      <c r="I3278" s="9">
        <v>0.0</v>
      </c>
      <c r="J3278" s="9">
        <v>1756.0</v>
      </c>
      <c r="K3278" s="9">
        <v>1756.0</v>
      </c>
      <c r="L3278" s="9">
        <v>1756.0</v>
      </c>
      <c r="M3278" s="9">
        <v>382.0</v>
      </c>
      <c r="N3278" s="9">
        <v>775.0</v>
      </c>
      <c r="O3278" s="9">
        <v>599.0</v>
      </c>
      <c r="P3278" s="8" t="s">
        <v>3480</v>
      </c>
      <c r="Q3278" s="8" t="s">
        <v>17168</v>
      </c>
      <c r="R3278" s="8" t="s">
        <v>17169</v>
      </c>
    </row>
    <row r="3279">
      <c r="A3279" s="8" t="s">
        <v>3271</v>
      </c>
      <c r="B3279" s="8" t="s">
        <v>17170</v>
      </c>
      <c r="C3279" s="8" t="s">
        <v>17171</v>
      </c>
      <c r="D3279" s="9">
        <v>9.421771802E9</v>
      </c>
      <c r="E3279" s="8" t="s">
        <v>17172</v>
      </c>
      <c r="F3279" s="8" t="s">
        <v>3608</v>
      </c>
      <c r="G3279" s="8" t="s">
        <v>17173</v>
      </c>
      <c r="H3279" s="8" t="s">
        <v>3479</v>
      </c>
      <c r="I3279" s="9">
        <v>0.0</v>
      </c>
      <c r="J3279" s="9">
        <v>1734.0</v>
      </c>
      <c r="K3279" s="9">
        <v>1734.0</v>
      </c>
      <c r="L3279" s="9">
        <v>1734.0</v>
      </c>
      <c r="M3279" s="9">
        <v>546.0</v>
      </c>
      <c r="N3279" s="9">
        <v>739.0</v>
      </c>
      <c r="O3279" s="9">
        <v>449.0</v>
      </c>
      <c r="P3279" s="8" t="s">
        <v>3480</v>
      </c>
      <c r="Q3279" s="8"/>
      <c r="R3279" s="8"/>
    </row>
    <row r="3280">
      <c r="A3280" s="8" t="s">
        <v>3334</v>
      </c>
      <c r="B3280" s="8" t="s">
        <v>17174</v>
      </c>
      <c r="C3280" s="8" t="s">
        <v>10077</v>
      </c>
      <c r="D3280" s="9">
        <v>9.5270929E9</v>
      </c>
      <c r="E3280" s="8" t="s">
        <v>17175</v>
      </c>
      <c r="F3280" s="8" t="s">
        <v>4391</v>
      </c>
      <c r="G3280" s="8" t="s">
        <v>9865</v>
      </c>
      <c r="H3280" s="8" t="s">
        <v>3479</v>
      </c>
      <c r="I3280" s="9">
        <v>0.0</v>
      </c>
      <c r="J3280" s="9">
        <v>2018.0</v>
      </c>
      <c r="K3280" s="9">
        <v>2018.0</v>
      </c>
      <c r="L3280" s="9">
        <v>2018.0</v>
      </c>
      <c r="M3280" s="9">
        <v>830.0</v>
      </c>
      <c r="N3280" s="9">
        <v>739.0</v>
      </c>
      <c r="O3280" s="9">
        <v>449.0</v>
      </c>
      <c r="P3280" s="8" t="s">
        <v>3544</v>
      </c>
      <c r="Q3280" s="8"/>
      <c r="R3280" s="8"/>
    </row>
    <row r="3281">
      <c r="A3281" s="8" t="s">
        <v>3276</v>
      </c>
      <c r="B3281" s="8" t="s">
        <v>17176</v>
      </c>
      <c r="C3281" s="8" t="s">
        <v>17177</v>
      </c>
      <c r="D3281" s="9">
        <v>8.552047688E9</v>
      </c>
      <c r="E3281" s="8" t="s">
        <v>17178</v>
      </c>
      <c r="F3281" s="8" t="s">
        <v>3608</v>
      </c>
      <c r="G3281" s="8" t="s">
        <v>17179</v>
      </c>
      <c r="H3281" s="8" t="s">
        <v>3479</v>
      </c>
      <c r="I3281" s="9">
        <v>0.0</v>
      </c>
      <c r="J3281" s="9">
        <v>2951.0</v>
      </c>
      <c r="K3281" s="9">
        <v>2951.0</v>
      </c>
      <c r="L3281" s="9">
        <v>2951.0</v>
      </c>
      <c r="M3281" s="9">
        <v>1763.0</v>
      </c>
      <c r="N3281" s="9">
        <v>739.0</v>
      </c>
      <c r="O3281" s="9">
        <v>449.0</v>
      </c>
      <c r="P3281" s="8" t="s">
        <v>3480</v>
      </c>
      <c r="Q3281" s="8"/>
      <c r="R3281" s="8"/>
    </row>
    <row r="3282">
      <c r="A3282" s="8" t="s">
        <v>3335</v>
      </c>
      <c r="B3282" s="8" t="s">
        <v>17180</v>
      </c>
      <c r="C3282" s="8" t="s">
        <v>17181</v>
      </c>
      <c r="D3282" s="9">
        <v>9.82310213E9</v>
      </c>
      <c r="E3282" s="8" t="s">
        <v>17182</v>
      </c>
      <c r="F3282" s="8" t="s">
        <v>3757</v>
      </c>
      <c r="G3282" s="8" t="s">
        <v>17183</v>
      </c>
      <c r="H3282" s="8" t="s">
        <v>3479</v>
      </c>
      <c r="I3282" s="9">
        <v>0.0</v>
      </c>
      <c r="J3282" s="9">
        <v>3001.0</v>
      </c>
      <c r="K3282" s="9">
        <v>3001.0</v>
      </c>
      <c r="L3282" s="9">
        <v>3001.0</v>
      </c>
      <c r="M3282" s="9">
        <v>494.0</v>
      </c>
      <c r="N3282" s="9">
        <v>1533.0</v>
      </c>
      <c r="O3282" s="9">
        <v>974.0</v>
      </c>
      <c r="P3282" s="8" t="s">
        <v>3480</v>
      </c>
      <c r="Q3282" s="8"/>
      <c r="R3282" s="8"/>
    </row>
    <row r="3283">
      <c r="A3283" s="8" t="s">
        <v>3336</v>
      </c>
      <c r="B3283" s="8" t="s">
        <v>17184</v>
      </c>
      <c r="C3283" s="8" t="s">
        <v>17185</v>
      </c>
      <c r="D3283" s="9">
        <v>8.30882071E9</v>
      </c>
      <c r="E3283" s="8" t="s">
        <v>17186</v>
      </c>
      <c r="F3283" s="8" t="s">
        <v>3594</v>
      </c>
      <c r="G3283" s="8" t="s">
        <v>9865</v>
      </c>
      <c r="H3283" s="8" t="s">
        <v>3479</v>
      </c>
      <c r="I3283" s="9">
        <v>0.0</v>
      </c>
      <c r="J3283" s="9">
        <v>1718.0</v>
      </c>
      <c r="K3283" s="9">
        <v>1718.0</v>
      </c>
      <c r="L3283" s="9">
        <v>1718.0</v>
      </c>
      <c r="M3283" s="9">
        <v>455.0</v>
      </c>
      <c r="N3283" s="9">
        <v>739.0</v>
      </c>
      <c r="O3283" s="9">
        <v>524.0</v>
      </c>
      <c r="P3283" s="8" t="s">
        <v>3480</v>
      </c>
      <c r="Q3283" s="8" t="s">
        <v>17187</v>
      </c>
      <c r="R3283" s="8" t="s">
        <v>17188</v>
      </c>
    </row>
    <row r="3284">
      <c r="A3284" s="8" t="s">
        <v>3277</v>
      </c>
      <c r="B3284" s="8" t="s">
        <v>17189</v>
      </c>
      <c r="C3284" s="8" t="s">
        <v>4995</v>
      </c>
      <c r="D3284" s="9">
        <v>9.096270636E9</v>
      </c>
      <c r="E3284" s="8" t="s">
        <v>4996</v>
      </c>
      <c r="F3284" s="8" t="s">
        <v>3908</v>
      </c>
      <c r="G3284" s="8" t="s">
        <v>17190</v>
      </c>
      <c r="H3284" s="8" t="s">
        <v>3479</v>
      </c>
      <c r="I3284" s="9">
        <v>0.0</v>
      </c>
      <c r="J3284" s="9">
        <v>3284.0</v>
      </c>
      <c r="K3284" s="9">
        <v>3284.0</v>
      </c>
      <c r="L3284" s="9">
        <v>3284.0</v>
      </c>
      <c r="M3284" s="9">
        <v>1910.0</v>
      </c>
      <c r="N3284" s="9">
        <v>775.0</v>
      </c>
      <c r="O3284" s="9">
        <v>599.0</v>
      </c>
      <c r="P3284" s="8" t="s">
        <v>3480</v>
      </c>
      <c r="Q3284" s="8" t="s">
        <v>4998</v>
      </c>
      <c r="R3284" s="8" t="s">
        <v>4999</v>
      </c>
    </row>
    <row r="3285">
      <c r="A3285" s="8" t="s">
        <v>3278</v>
      </c>
      <c r="B3285" s="8" t="s">
        <v>17191</v>
      </c>
      <c r="C3285" s="8" t="s">
        <v>12072</v>
      </c>
      <c r="D3285" s="9">
        <v>9.405524675E9</v>
      </c>
      <c r="E3285" s="8" t="s">
        <v>12073</v>
      </c>
      <c r="F3285" s="8" t="s">
        <v>4189</v>
      </c>
      <c r="G3285" s="8" t="s">
        <v>12074</v>
      </c>
      <c r="H3285" s="8" t="s">
        <v>3479</v>
      </c>
      <c r="I3285" s="9">
        <v>0.0</v>
      </c>
      <c r="J3285" s="9">
        <v>2558.0</v>
      </c>
      <c r="K3285" s="9">
        <v>2558.0</v>
      </c>
      <c r="L3285" s="9">
        <v>2558.0</v>
      </c>
      <c r="M3285" s="9">
        <v>1370.0</v>
      </c>
      <c r="N3285" s="9">
        <v>739.0</v>
      </c>
      <c r="O3285" s="9">
        <v>449.0</v>
      </c>
      <c r="P3285" s="8" t="s">
        <v>3480</v>
      </c>
      <c r="Q3285" s="8" t="s">
        <v>12075</v>
      </c>
      <c r="R3285" s="8" t="s">
        <v>12076</v>
      </c>
    </row>
    <row r="3286">
      <c r="A3286" s="8" t="s">
        <v>3337</v>
      </c>
      <c r="B3286" s="8" t="s">
        <v>17192</v>
      </c>
      <c r="C3286" s="8" t="s">
        <v>12355</v>
      </c>
      <c r="D3286" s="9">
        <v>9.325110511E9</v>
      </c>
      <c r="E3286" s="8" t="s">
        <v>12356</v>
      </c>
      <c r="F3286" s="8" t="s">
        <v>3509</v>
      </c>
      <c r="G3286" s="8" t="s">
        <v>9865</v>
      </c>
      <c r="H3286" s="8" t="s">
        <v>3479</v>
      </c>
      <c r="I3286" s="9">
        <v>0.0</v>
      </c>
      <c r="J3286" s="9">
        <v>3538.0</v>
      </c>
      <c r="K3286" s="9">
        <v>3538.0</v>
      </c>
      <c r="L3286" s="9">
        <v>3538.0</v>
      </c>
      <c r="M3286" s="9">
        <v>2350.0</v>
      </c>
      <c r="N3286" s="9">
        <v>739.0</v>
      </c>
      <c r="O3286" s="9">
        <v>449.0</v>
      </c>
      <c r="P3286" s="8" t="s">
        <v>3480</v>
      </c>
      <c r="Q3286" s="8" t="s">
        <v>12358</v>
      </c>
      <c r="R3286" s="8" t="s">
        <v>12359</v>
      </c>
    </row>
    <row r="3287">
      <c r="A3287" s="8" t="s">
        <v>3338</v>
      </c>
      <c r="B3287" s="8" t="s">
        <v>17193</v>
      </c>
      <c r="C3287" s="8" t="s">
        <v>12300</v>
      </c>
      <c r="D3287" s="9">
        <v>9.960740206E9</v>
      </c>
      <c r="E3287" s="8" t="s">
        <v>12301</v>
      </c>
      <c r="F3287" s="8" t="s">
        <v>3564</v>
      </c>
      <c r="G3287" s="8" t="s">
        <v>9865</v>
      </c>
      <c r="H3287" s="8" t="s">
        <v>3479</v>
      </c>
      <c r="I3287" s="9">
        <v>0.0</v>
      </c>
      <c r="J3287" s="9">
        <v>2849.0</v>
      </c>
      <c r="K3287" s="9">
        <v>2849.0</v>
      </c>
      <c r="L3287" s="9">
        <v>2849.0</v>
      </c>
      <c r="M3287" s="9">
        <v>1625.0</v>
      </c>
      <c r="N3287" s="9">
        <v>775.0</v>
      </c>
      <c r="O3287" s="9">
        <v>449.0</v>
      </c>
      <c r="P3287" s="8" t="s">
        <v>3480</v>
      </c>
      <c r="Q3287" s="8"/>
      <c r="R3287" s="8"/>
    </row>
    <row r="3288">
      <c r="A3288" s="8" t="s">
        <v>3339</v>
      </c>
      <c r="B3288" s="8" t="s">
        <v>17194</v>
      </c>
      <c r="C3288" s="8" t="s">
        <v>5320</v>
      </c>
      <c r="D3288" s="9">
        <v>7.798186982E9</v>
      </c>
      <c r="E3288" s="8" t="s">
        <v>14330</v>
      </c>
      <c r="F3288" s="8" t="s">
        <v>3977</v>
      </c>
      <c r="G3288" s="8" t="s">
        <v>14331</v>
      </c>
      <c r="H3288" s="8" t="s">
        <v>3479</v>
      </c>
      <c r="I3288" s="9">
        <v>0.0</v>
      </c>
      <c r="J3288" s="9">
        <v>1410.0</v>
      </c>
      <c r="K3288" s="9">
        <v>1410.0</v>
      </c>
      <c r="L3288" s="9">
        <v>1410.0</v>
      </c>
      <c r="M3288" s="9">
        <v>1410.0</v>
      </c>
      <c r="N3288" s="9">
        <v>0.0</v>
      </c>
      <c r="O3288" s="9">
        <v>0.0</v>
      </c>
      <c r="P3288" s="8" t="s">
        <v>3480</v>
      </c>
      <c r="Q3288" s="8" t="s">
        <v>14332</v>
      </c>
      <c r="R3288" s="8"/>
    </row>
    <row r="3289">
      <c r="A3289" s="8" t="s">
        <v>3340</v>
      </c>
      <c r="B3289" s="8" t="s">
        <v>17195</v>
      </c>
      <c r="C3289" s="8" t="s">
        <v>17196</v>
      </c>
      <c r="D3289" s="9">
        <v>9.746114267E9</v>
      </c>
      <c r="E3289" s="8" t="s">
        <v>17197</v>
      </c>
      <c r="F3289" s="8" t="s">
        <v>3542</v>
      </c>
      <c r="G3289" s="8" t="s">
        <v>4398</v>
      </c>
      <c r="H3289" s="8" t="s">
        <v>3479</v>
      </c>
      <c r="I3289" s="9">
        <v>0.0</v>
      </c>
      <c r="J3289" s="9">
        <v>2686.0</v>
      </c>
      <c r="K3289" s="9">
        <v>2686.0</v>
      </c>
      <c r="L3289" s="9">
        <v>2686.0</v>
      </c>
      <c r="M3289" s="9">
        <v>1423.0</v>
      </c>
      <c r="N3289" s="9">
        <v>739.0</v>
      </c>
      <c r="O3289" s="9">
        <v>524.0</v>
      </c>
      <c r="P3289" s="8" t="s">
        <v>3480</v>
      </c>
      <c r="Q3289" s="8"/>
      <c r="R3289" s="8"/>
    </row>
    <row r="3290">
      <c r="A3290" s="8" t="s">
        <v>3341</v>
      </c>
      <c r="B3290" s="8" t="s">
        <v>17198</v>
      </c>
      <c r="C3290" s="8" t="s">
        <v>17199</v>
      </c>
      <c r="D3290" s="9">
        <v>8.378937846E9</v>
      </c>
      <c r="E3290" s="8" t="s">
        <v>17200</v>
      </c>
      <c r="F3290" s="8" t="s">
        <v>17201</v>
      </c>
      <c r="G3290" s="8" t="s">
        <v>9865</v>
      </c>
      <c r="H3290" s="8" t="s">
        <v>3479</v>
      </c>
      <c r="I3290" s="9">
        <v>0.0</v>
      </c>
      <c r="J3290" s="9">
        <v>1174.0</v>
      </c>
      <c r="K3290" s="9">
        <v>1174.0</v>
      </c>
      <c r="L3290" s="9">
        <v>1174.0</v>
      </c>
      <c r="M3290" s="9">
        <v>385.0</v>
      </c>
      <c r="N3290" s="9">
        <v>190.0</v>
      </c>
      <c r="O3290" s="9">
        <v>599.0</v>
      </c>
      <c r="P3290" s="8" t="s">
        <v>3480</v>
      </c>
      <c r="Q3290" s="8" t="s">
        <v>17202</v>
      </c>
      <c r="R3290" s="8" t="s">
        <v>17203</v>
      </c>
    </row>
    <row r="3291">
      <c r="A3291" s="8" t="s">
        <v>3342</v>
      </c>
      <c r="B3291" s="8" t="s">
        <v>17204</v>
      </c>
      <c r="C3291" s="8" t="s">
        <v>15014</v>
      </c>
      <c r="D3291" s="9">
        <v>9.881563207E9</v>
      </c>
      <c r="E3291" s="8" t="s">
        <v>15015</v>
      </c>
      <c r="F3291" s="8" t="s">
        <v>3821</v>
      </c>
      <c r="G3291" s="8" t="s">
        <v>17205</v>
      </c>
      <c r="H3291" s="8" t="s">
        <v>3479</v>
      </c>
      <c r="I3291" s="9">
        <v>0.0</v>
      </c>
      <c r="J3291" s="9">
        <v>3911.0</v>
      </c>
      <c r="K3291" s="9">
        <v>3911.0</v>
      </c>
      <c r="L3291" s="9">
        <v>3911.0</v>
      </c>
      <c r="M3291" s="9">
        <v>1823.0</v>
      </c>
      <c r="N3291" s="9">
        <v>739.0</v>
      </c>
      <c r="O3291" s="9">
        <v>1349.0</v>
      </c>
      <c r="P3291" s="8" t="s">
        <v>3480</v>
      </c>
      <c r="Q3291" s="8" t="s">
        <v>15017</v>
      </c>
      <c r="R3291" s="8" t="s">
        <v>15018</v>
      </c>
    </row>
    <row r="3292">
      <c r="A3292" s="8" t="s">
        <v>3343</v>
      </c>
      <c r="B3292" s="8" t="s">
        <v>17206</v>
      </c>
      <c r="C3292" s="8" t="s">
        <v>13326</v>
      </c>
      <c r="D3292" s="9">
        <v>9.766945541E9</v>
      </c>
      <c r="E3292" s="8" t="s">
        <v>13327</v>
      </c>
      <c r="F3292" s="8" t="s">
        <v>3821</v>
      </c>
      <c r="G3292" s="8" t="s">
        <v>17207</v>
      </c>
      <c r="H3292" s="8" t="s">
        <v>3479</v>
      </c>
      <c r="I3292" s="9">
        <v>0.0</v>
      </c>
      <c r="J3292" s="9">
        <v>1718.0</v>
      </c>
      <c r="K3292" s="9">
        <v>1718.0</v>
      </c>
      <c r="L3292" s="9">
        <v>1718.0</v>
      </c>
      <c r="M3292" s="9">
        <v>455.0</v>
      </c>
      <c r="N3292" s="9">
        <v>739.0</v>
      </c>
      <c r="O3292" s="9">
        <v>524.0</v>
      </c>
      <c r="P3292" s="8" t="s">
        <v>3480</v>
      </c>
      <c r="Q3292" s="8" t="s">
        <v>13329</v>
      </c>
      <c r="R3292" s="8" t="s">
        <v>13330</v>
      </c>
    </row>
    <row r="3293">
      <c r="A3293" s="8" t="s">
        <v>3358</v>
      </c>
      <c r="B3293" s="8" t="s">
        <v>17208</v>
      </c>
      <c r="C3293" s="8" t="s">
        <v>17209</v>
      </c>
      <c r="D3293" s="9">
        <v>8.379003712E9</v>
      </c>
      <c r="E3293" s="8" t="s">
        <v>17210</v>
      </c>
      <c r="F3293" s="8" t="s">
        <v>3821</v>
      </c>
      <c r="G3293" s="8" t="s">
        <v>17211</v>
      </c>
      <c r="H3293" s="8" t="s">
        <v>3479</v>
      </c>
      <c r="I3293" s="9">
        <v>0.0</v>
      </c>
      <c r="J3293" s="9">
        <v>2027.0</v>
      </c>
      <c r="K3293" s="9">
        <v>2027.0</v>
      </c>
      <c r="L3293" s="9">
        <v>2027.0</v>
      </c>
      <c r="M3293" s="9">
        <v>764.0</v>
      </c>
      <c r="N3293" s="9">
        <v>739.0</v>
      </c>
      <c r="O3293" s="9">
        <v>524.0</v>
      </c>
      <c r="P3293" s="8" t="s">
        <v>3480</v>
      </c>
      <c r="Q3293" s="8"/>
      <c r="R3293" s="8"/>
    </row>
    <row r="3294">
      <c r="A3294" s="8" t="s">
        <v>3344</v>
      </c>
      <c r="B3294" s="8" t="s">
        <v>17212</v>
      </c>
      <c r="C3294" s="8" t="s">
        <v>12250</v>
      </c>
      <c r="D3294" s="9">
        <v>8.62408059E9</v>
      </c>
      <c r="E3294" s="8" t="s">
        <v>12251</v>
      </c>
      <c r="F3294" s="8" t="s">
        <v>4373</v>
      </c>
      <c r="G3294" s="8" t="s">
        <v>9865</v>
      </c>
      <c r="H3294" s="8" t="s">
        <v>3479</v>
      </c>
      <c r="I3294" s="9">
        <v>0.0</v>
      </c>
      <c r="J3294" s="9">
        <v>1484.0</v>
      </c>
      <c r="K3294" s="9">
        <v>1484.0</v>
      </c>
      <c r="L3294" s="9">
        <v>1484.0</v>
      </c>
      <c r="M3294" s="9">
        <v>135.0</v>
      </c>
      <c r="N3294" s="9">
        <v>750.0</v>
      </c>
      <c r="O3294" s="9">
        <v>599.0</v>
      </c>
      <c r="P3294" s="8" t="s">
        <v>3480</v>
      </c>
      <c r="Q3294" s="8"/>
      <c r="R3294" s="8"/>
    </row>
    <row r="3295">
      <c r="A3295" s="8" t="s">
        <v>3279</v>
      </c>
      <c r="B3295" s="8" t="s">
        <v>17213</v>
      </c>
      <c r="C3295" s="8" t="s">
        <v>13484</v>
      </c>
      <c r="D3295" s="9">
        <v>9.822478157E9</v>
      </c>
      <c r="E3295" s="8" t="s">
        <v>13485</v>
      </c>
      <c r="F3295" s="8" t="s">
        <v>9151</v>
      </c>
      <c r="G3295" s="8" t="s">
        <v>17214</v>
      </c>
      <c r="H3295" s="8" t="s">
        <v>3479</v>
      </c>
      <c r="I3295" s="9">
        <v>0.0</v>
      </c>
      <c r="J3295" s="9">
        <v>1268.0</v>
      </c>
      <c r="K3295" s="9">
        <v>1268.0</v>
      </c>
      <c r="L3295" s="9">
        <v>1268.0</v>
      </c>
      <c r="M3295" s="9">
        <v>80.0</v>
      </c>
      <c r="N3295" s="9">
        <v>739.0</v>
      </c>
      <c r="O3295" s="9">
        <v>449.0</v>
      </c>
      <c r="P3295" s="8" t="s">
        <v>3480</v>
      </c>
      <c r="Q3295" s="8"/>
      <c r="R3295" s="8"/>
    </row>
    <row r="3296">
      <c r="A3296" s="8" t="s">
        <v>3280</v>
      </c>
      <c r="B3296" s="8" t="s">
        <v>17215</v>
      </c>
      <c r="C3296" s="8" t="s">
        <v>17216</v>
      </c>
      <c r="D3296" s="9">
        <v>8.956033546E9</v>
      </c>
      <c r="E3296" s="8" t="s">
        <v>17217</v>
      </c>
      <c r="F3296" s="8" t="s">
        <v>5447</v>
      </c>
      <c r="G3296" s="8" t="s">
        <v>17218</v>
      </c>
      <c r="H3296" s="8" t="s">
        <v>3479</v>
      </c>
      <c r="I3296" s="9">
        <v>0.0</v>
      </c>
      <c r="J3296" s="9">
        <v>3700.0</v>
      </c>
      <c r="K3296" s="9">
        <v>3700.0</v>
      </c>
      <c r="L3296" s="9">
        <v>3700.0</v>
      </c>
      <c r="M3296" s="9">
        <v>1624.0</v>
      </c>
      <c r="N3296" s="9">
        <v>1027.0</v>
      </c>
      <c r="O3296" s="9">
        <v>1049.0</v>
      </c>
      <c r="P3296" s="8" t="s">
        <v>3480</v>
      </c>
      <c r="Q3296" s="8"/>
      <c r="R3296" s="8"/>
    </row>
    <row r="3297">
      <c r="A3297" s="8" t="s">
        <v>3281</v>
      </c>
      <c r="B3297" s="8" t="s">
        <v>17219</v>
      </c>
      <c r="C3297" s="8" t="s">
        <v>17220</v>
      </c>
      <c r="D3297" s="9">
        <v>9.42134431E9</v>
      </c>
      <c r="E3297" s="8" t="s">
        <v>17221</v>
      </c>
      <c r="F3297" s="8" t="s">
        <v>3550</v>
      </c>
      <c r="G3297" s="8" t="s">
        <v>17222</v>
      </c>
      <c r="H3297" s="8" t="s">
        <v>3479</v>
      </c>
      <c r="I3297" s="9">
        <v>0.0</v>
      </c>
      <c r="J3297" s="9">
        <v>1577.0</v>
      </c>
      <c r="K3297" s="9">
        <v>1577.0</v>
      </c>
      <c r="L3297" s="9">
        <v>1577.0</v>
      </c>
      <c r="M3297" s="9">
        <v>389.0</v>
      </c>
      <c r="N3297" s="9">
        <v>739.0</v>
      </c>
      <c r="O3297" s="9">
        <v>449.0</v>
      </c>
      <c r="P3297" s="8" t="s">
        <v>3480</v>
      </c>
      <c r="Q3297" s="8"/>
      <c r="R3297" s="8"/>
    </row>
    <row r="3298">
      <c r="A3298" s="8" t="s">
        <v>3282</v>
      </c>
      <c r="B3298" s="8" t="s">
        <v>17223</v>
      </c>
      <c r="C3298" s="8" t="s">
        <v>17224</v>
      </c>
      <c r="D3298" s="9">
        <v>9.096542515E9</v>
      </c>
      <c r="E3298" s="8" t="s">
        <v>17225</v>
      </c>
      <c r="F3298" s="8" t="s">
        <v>7382</v>
      </c>
      <c r="G3298" s="8" t="s">
        <v>4012</v>
      </c>
      <c r="H3298" s="8" t="s">
        <v>3479</v>
      </c>
      <c r="I3298" s="9">
        <v>0.0</v>
      </c>
      <c r="J3298" s="9">
        <v>969.0</v>
      </c>
      <c r="K3298" s="9">
        <v>969.0</v>
      </c>
      <c r="L3298" s="9">
        <v>969.0</v>
      </c>
      <c r="M3298" s="9">
        <v>520.0</v>
      </c>
      <c r="N3298" s="9">
        <v>0.0</v>
      </c>
      <c r="O3298" s="9">
        <v>449.0</v>
      </c>
      <c r="P3298" s="8" t="s">
        <v>3480</v>
      </c>
      <c r="Q3298" s="8"/>
      <c r="R3298" s="8"/>
    </row>
    <row r="3299">
      <c r="A3299" s="8" t="s">
        <v>3283</v>
      </c>
      <c r="B3299" s="8" t="s">
        <v>17226</v>
      </c>
      <c r="C3299" s="8" t="s">
        <v>9142</v>
      </c>
      <c r="D3299" s="9">
        <v>7.350725409E9</v>
      </c>
      <c r="E3299" s="8" t="s">
        <v>11649</v>
      </c>
      <c r="F3299" s="8" t="s">
        <v>11650</v>
      </c>
      <c r="G3299" s="8" t="s">
        <v>17227</v>
      </c>
      <c r="H3299" s="8" t="s">
        <v>3479</v>
      </c>
      <c r="I3299" s="9">
        <v>0.0</v>
      </c>
      <c r="J3299" s="9">
        <v>2204.0</v>
      </c>
      <c r="K3299" s="9">
        <v>2204.0</v>
      </c>
      <c r="L3299" s="9">
        <v>2204.0</v>
      </c>
      <c r="M3299" s="9">
        <v>830.0</v>
      </c>
      <c r="N3299" s="9">
        <v>775.0</v>
      </c>
      <c r="O3299" s="9">
        <v>599.0</v>
      </c>
      <c r="P3299" s="8" t="s">
        <v>3480</v>
      </c>
      <c r="Q3299" s="8" t="s">
        <v>11652</v>
      </c>
      <c r="R3299" s="8" t="s">
        <v>11653</v>
      </c>
    </row>
    <row r="3300">
      <c r="A3300" s="8" t="s">
        <v>3284</v>
      </c>
      <c r="B3300" s="8" t="s">
        <v>17228</v>
      </c>
      <c r="C3300" s="8" t="s">
        <v>11809</v>
      </c>
      <c r="D3300" s="9">
        <v>9.545157573E9</v>
      </c>
      <c r="E3300" s="8" t="s">
        <v>11810</v>
      </c>
      <c r="F3300" s="8" t="s">
        <v>3815</v>
      </c>
      <c r="G3300" s="8" t="s">
        <v>11811</v>
      </c>
      <c r="H3300" s="8" t="s">
        <v>3479</v>
      </c>
      <c r="I3300" s="9">
        <v>0.0</v>
      </c>
      <c r="J3300" s="9">
        <v>8129.0</v>
      </c>
      <c r="K3300" s="9">
        <v>8129.0</v>
      </c>
      <c r="L3300" s="9">
        <v>8129.0</v>
      </c>
      <c r="M3300" s="9">
        <v>5187.0</v>
      </c>
      <c r="N3300" s="9">
        <v>1468.0</v>
      </c>
      <c r="O3300" s="9">
        <v>1474.0</v>
      </c>
      <c r="P3300" s="8" t="s">
        <v>3480</v>
      </c>
      <c r="Q3300" s="8"/>
      <c r="R3300" s="8"/>
    </row>
    <row r="3301">
      <c r="A3301" s="8" t="s">
        <v>3285</v>
      </c>
      <c r="B3301" s="8" t="s">
        <v>17229</v>
      </c>
      <c r="C3301" s="8" t="s">
        <v>17230</v>
      </c>
      <c r="D3301" s="9">
        <v>9.765054063E9</v>
      </c>
      <c r="E3301" s="8" t="s">
        <v>17231</v>
      </c>
      <c r="F3301" s="8" t="s">
        <v>3821</v>
      </c>
      <c r="G3301" s="8" t="s">
        <v>17232</v>
      </c>
      <c r="H3301" s="8" t="s">
        <v>3479</v>
      </c>
      <c r="I3301" s="9">
        <v>0.0</v>
      </c>
      <c r="J3301" s="9">
        <v>2248.0</v>
      </c>
      <c r="K3301" s="9">
        <v>2248.0</v>
      </c>
      <c r="L3301" s="9">
        <v>2248.0</v>
      </c>
      <c r="M3301" s="9">
        <v>980.0</v>
      </c>
      <c r="N3301" s="9">
        <v>739.0</v>
      </c>
      <c r="O3301" s="9">
        <v>529.0</v>
      </c>
      <c r="P3301" s="8" t="s">
        <v>3480</v>
      </c>
      <c r="Q3301" s="8"/>
      <c r="R3301" s="8"/>
    </row>
    <row r="3302">
      <c r="A3302" s="8" t="s">
        <v>3345</v>
      </c>
      <c r="B3302" s="8" t="s">
        <v>17233</v>
      </c>
      <c r="C3302" s="8" t="s">
        <v>17234</v>
      </c>
      <c r="D3302" s="9">
        <v>9.552508099E9</v>
      </c>
      <c r="E3302" s="8" t="s">
        <v>17235</v>
      </c>
      <c r="F3302" s="8" t="s">
        <v>3608</v>
      </c>
      <c r="G3302" s="8" t="s">
        <v>9865</v>
      </c>
      <c r="H3302" s="8" t="s">
        <v>3479</v>
      </c>
      <c r="I3302" s="9">
        <v>0.0</v>
      </c>
      <c r="J3302" s="9">
        <v>1516.0</v>
      </c>
      <c r="K3302" s="9">
        <v>1516.0</v>
      </c>
      <c r="L3302" s="9">
        <v>1516.0</v>
      </c>
      <c r="M3302" s="9">
        <v>328.0</v>
      </c>
      <c r="N3302" s="9">
        <v>739.0</v>
      </c>
      <c r="O3302" s="9">
        <v>449.0</v>
      </c>
      <c r="P3302" s="8" t="s">
        <v>3519</v>
      </c>
      <c r="Q3302" s="8"/>
      <c r="R3302" s="8"/>
    </row>
    <row r="3303">
      <c r="A3303" s="8" t="s">
        <v>3326</v>
      </c>
      <c r="B3303" s="8" t="s">
        <v>17236</v>
      </c>
      <c r="C3303" s="8" t="s">
        <v>17237</v>
      </c>
      <c r="D3303" s="9">
        <v>9.890614087E9</v>
      </c>
      <c r="E3303" s="8" t="s">
        <v>17238</v>
      </c>
      <c r="F3303" s="8" t="s">
        <v>4373</v>
      </c>
      <c r="G3303" s="8" t="s">
        <v>17239</v>
      </c>
      <c r="H3303" s="8" t="s">
        <v>3479</v>
      </c>
      <c r="I3303" s="9">
        <v>0.0</v>
      </c>
      <c r="J3303" s="9">
        <v>2759.0</v>
      </c>
      <c r="K3303" s="9">
        <v>2759.0</v>
      </c>
      <c r="L3303" s="9">
        <v>2759.0</v>
      </c>
      <c r="M3303" s="9">
        <v>1385.0</v>
      </c>
      <c r="N3303" s="9">
        <v>775.0</v>
      </c>
      <c r="O3303" s="9">
        <v>599.0</v>
      </c>
      <c r="P3303" s="8" t="s">
        <v>3480</v>
      </c>
      <c r="Q3303" s="8" t="s">
        <v>17240</v>
      </c>
      <c r="R3303" s="8"/>
    </row>
    <row r="3304">
      <c r="A3304" s="8" t="s">
        <v>3361</v>
      </c>
      <c r="B3304" s="8" t="s">
        <v>17241</v>
      </c>
      <c r="C3304" s="8" t="s">
        <v>17242</v>
      </c>
      <c r="D3304" s="9">
        <v>7.219403636E9</v>
      </c>
      <c r="E3304" s="8" t="s">
        <v>17243</v>
      </c>
      <c r="F3304" s="8" t="s">
        <v>6234</v>
      </c>
      <c r="G3304" s="8" t="s">
        <v>17244</v>
      </c>
      <c r="H3304" s="8" t="s">
        <v>10899</v>
      </c>
      <c r="I3304" s="9">
        <v>0.0</v>
      </c>
      <c r="J3304" s="9">
        <v>1200.0</v>
      </c>
      <c r="K3304" s="9">
        <v>1268.0</v>
      </c>
      <c r="L3304" s="9">
        <v>1200.0</v>
      </c>
      <c r="M3304" s="9">
        <v>80.0</v>
      </c>
      <c r="N3304" s="9">
        <v>739.0</v>
      </c>
      <c r="O3304" s="9">
        <v>449.0</v>
      </c>
      <c r="P3304" s="8" t="s">
        <v>3480</v>
      </c>
      <c r="Q3304" s="8" t="s">
        <v>17245</v>
      </c>
      <c r="R3304" s="8" t="s">
        <v>17246</v>
      </c>
    </row>
    <row r="3305">
      <c r="A3305" s="8" t="s">
        <v>3362</v>
      </c>
      <c r="B3305" s="8" t="s">
        <v>17247</v>
      </c>
      <c r="C3305" s="8" t="s">
        <v>5947</v>
      </c>
      <c r="D3305" s="9">
        <v>9.322330767E9</v>
      </c>
      <c r="E3305" s="8" t="s">
        <v>5948</v>
      </c>
      <c r="F3305" s="8" t="s">
        <v>3550</v>
      </c>
      <c r="G3305" s="8" t="s">
        <v>17248</v>
      </c>
      <c r="H3305" s="8" t="s">
        <v>7666</v>
      </c>
      <c r="I3305" s="9">
        <v>0.0</v>
      </c>
      <c r="J3305" s="9">
        <v>3500.0</v>
      </c>
      <c r="K3305" s="9">
        <v>3544.0</v>
      </c>
      <c r="L3305" s="9">
        <v>3500.0</v>
      </c>
      <c r="M3305" s="9">
        <v>1844.0</v>
      </c>
      <c r="N3305" s="9">
        <v>926.0</v>
      </c>
      <c r="O3305" s="9">
        <v>774.0</v>
      </c>
      <c r="P3305" s="8" t="s">
        <v>3519</v>
      </c>
      <c r="Q3305" s="8" t="s">
        <v>5950</v>
      </c>
      <c r="R3305" s="8" t="s">
        <v>5951</v>
      </c>
    </row>
    <row r="3306">
      <c r="A3306" s="8" t="s">
        <v>3363</v>
      </c>
      <c r="B3306" s="8" t="s">
        <v>17249</v>
      </c>
      <c r="C3306" s="8" t="s">
        <v>17250</v>
      </c>
      <c r="D3306" s="9">
        <v>8.839595956E9</v>
      </c>
      <c r="E3306" s="8" t="s">
        <v>17251</v>
      </c>
      <c r="F3306" s="8" t="s">
        <v>3601</v>
      </c>
      <c r="G3306" s="8" t="s">
        <v>17252</v>
      </c>
      <c r="H3306" s="8" t="s">
        <v>3479</v>
      </c>
      <c r="I3306" s="9">
        <v>0.0</v>
      </c>
      <c r="J3306" s="9">
        <v>1500.0</v>
      </c>
      <c r="K3306" s="9">
        <v>1500.0</v>
      </c>
      <c r="L3306" s="9">
        <v>1500.0</v>
      </c>
      <c r="M3306" s="9">
        <v>1500.0</v>
      </c>
      <c r="N3306" s="9">
        <v>0.0</v>
      </c>
      <c r="O3306" s="9">
        <v>0.0</v>
      </c>
      <c r="P3306" s="8" t="s">
        <v>3519</v>
      </c>
      <c r="Q3306" s="8"/>
      <c r="R3306" s="8"/>
    </row>
    <row r="3307">
      <c r="A3307" s="8" t="s">
        <v>3359</v>
      </c>
      <c r="B3307" s="8" t="s">
        <v>17253</v>
      </c>
      <c r="C3307" s="8" t="s">
        <v>17254</v>
      </c>
      <c r="D3307" s="9">
        <v>9.860306437E9</v>
      </c>
      <c r="E3307" s="8" t="s">
        <v>17255</v>
      </c>
      <c r="F3307" s="8" t="s">
        <v>4093</v>
      </c>
      <c r="G3307" s="8" t="s">
        <v>9865</v>
      </c>
      <c r="H3307" s="8" t="s">
        <v>3479</v>
      </c>
      <c r="I3307" s="9">
        <v>0.0</v>
      </c>
      <c r="J3307" s="9">
        <v>1463.0</v>
      </c>
      <c r="K3307" s="9">
        <v>1463.0</v>
      </c>
      <c r="L3307" s="9">
        <v>1463.0</v>
      </c>
      <c r="M3307" s="9">
        <v>80.0</v>
      </c>
      <c r="N3307" s="9">
        <v>784.0</v>
      </c>
      <c r="O3307" s="9">
        <v>599.0</v>
      </c>
      <c r="P3307" s="8" t="s">
        <v>3480</v>
      </c>
      <c r="Q3307" s="8" t="s">
        <v>17256</v>
      </c>
      <c r="R3307" s="8" t="s">
        <v>17257</v>
      </c>
    </row>
    <row r="3308">
      <c r="A3308" s="8" t="s">
        <v>3346</v>
      </c>
      <c r="B3308" s="8" t="s">
        <v>17258</v>
      </c>
      <c r="C3308" s="8" t="s">
        <v>9516</v>
      </c>
      <c r="D3308" s="9">
        <v>7.798516964E9</v>
      </c>
      <c r="E3308" s="8" t="s">
        <v>17259</v>
      </c>
      <c r="F3308" s="8" t="s">
        <v>3601</v>
      </c>
      <c r="G3308" s="8" t="s">
        <v>9865</v>
      </c>
      <c r="H3308" s="8" t="s">
        <v>3479</v>
      </c>
      <c r="I3308" s="9">
        <v>0.0</v>
      </c>
      <c r="J3308" s="9">
        <v>1268.0</v>
      </c>
      <c r="K3308" s="9">
        <v>1268.0</v>
      </c>
      <c r="L3308" s="9">
        <v>1268.0</v>
      </c>
      <c r="M3308" s="9">
        <v>80.0</v>
      </c>
      <c r="N3308" s="9">
        <v>739.0</v>
      </c>
      <c r="O3308" s="9">
        <v>449.0</v>
      </c>
      <c r="P3308" s="8" t="s">
        <v>3480</v>
      </c>
      <c r="Q3308" s="8"/>
      <c r="R3308" s="8"/>
    </row>
    <row r="3309">
      <c r="A3309" s="8" t="s">
        <v>3365</v>
      </c>
      <c r="B3309" s="8" t="s">
        <v>17260</v>
      </c>
      <c r="C3309" s="8" t="s">
        <v>17261</v>
      </c>
      <c r="D3309" s="9">
        <v>9.13154927E9</v>
      </c>
      <c r="E3309" s="8" t="s">
        <v>17262</v>
      </c>
      <c r="F3309" s="8" t="s">
        <v>3601</v>
      </c>
      <c r="G3309" s="8" t="s">
        <v>9865</v>
      </c>
      <c r="H3309" s="8" t="s">
        <v>3479</v>
      </c>
      <c r="I3309" s="9">
        <v>0.0</v>
      </c>
      <c r="J3309" s="9">
        <v>529.0</v>
      </c>
      <c r="K3309" s="9">
        <v>529.0</v>
      </c>
      <c r="L3309" s="9">
        <v>529.0</v>
      </c>
      <c r="M3309" s="9">
        <v>80.0</v>
      </c>
      <c r="N3309" s="9">
        <v>0.0</v>
      </c>
      <c r="O3309" s="9">
        <v>449.0</v>
      </c>
      <c r="P3309" s="8" t="s">
        <v>3480</v>
      </c>
      <c r="Q3309" s="8" t="s">
        <v>17263</v>
      </c>
      <c r="R3309" s="8" t="s">
        <v>17264</v>
      </c>
    </row>
    <row r="3310">
      <c r="A3310" s="8" t="s">
        <v>3366</v>
      </c>
      <c r="B3310" s="8" t="s">
        <v>17265</v>
      </c>
      <c r="C3310" s="8" t="s">
        <v>17009</v>
      </c>
      <c r="D3310" s="9">
        <v>7.03866678E9</v>
      </c>
      <c r="E3310" s="8" t="s">
        <v>17010</v>
      </c>
      <c r="F3310" s="8" t="s">
        <v>3589</v>
      </c>
      <c r="G3310" s="8" t="s">
        <v>17266</v>
      </c>
      <c r="H3310" s="8" t="s">
        <v>3479</v>
      </c>
      <c r="I3310" s="9">
        <v>0.0</v>
      </c>
      <c r="J3310" s="9">
        <v>1287.0</v>
      </c>
      <c r="K3310" s="9">
        <v>1287.0</v>
      </c>
      <c r="L3310" s="9">
        <v>1287.0</v>
      </c>
      <c r="M3310" s="9">
        <v>1012.0</v>
      </c>
      <c r="N3310" s="9">
        <v>0.0</v>
      </c>
      <c r="O3310" s="9">
        <v>275.0</v>
      </c>
      <c r="P3310" s="8" t="s">
        <v>3480</v>
      </c>
      <c r="Q3310" s="8"/>
      <c r="R3310" s="8"/>
    </row>
    <row r="3311">
      <c r="A3311" s="8" t="s">
        <v>3360</v>
      </c>
      <c r="B3311" s="8" t="s">
        <v>17267</v>
      </c>
      <c r="C3311" s="8" t="s">
        <v>17268</v>
      </c>
      <c r="D3311" s="9">
        <v>9.673729674E9</v>
      </c>
      <c r="E3311" s="8" t="s">
        <v>17269</v>
      </c>
      <c r="F3311" s="8" t="s">
        <v>3498</v>
      </c>
      <c r="G3311" s="8" t="s">
        <v>9865</v>
      </c>
      <c r="H3311" s="8" t="s">
        <v>17270</v>
      </c>
      <c r="I3311" s="9">
        <v>0.0</v>
      </c>
      <c r="J3311" s="9">
        <v>1700.0</v>
      </c>
      <c r="K3311" s="9">
        <v>1761.0</v>
      </c>
      <c r="L3311" s="9">
        <v>1700.0</v>
      </c>
      <c r="M3311" s="9">
        <v>313.0</v>
      </c>
      <c r="N3311" s="9">
        <v>749.0</v>
      </c>
      <c r="O3311" s="9">
        <v>699.0</v>
      </c>
      <c r="P3311" s="8" t="s">
        <v>3519</v>
      </c>
      <c r="Q3311" s="8" t="s">
        <v>17271</v>
      </c>
      <c r="R3311" s="8" t="s">
        <v>17272</v>
      </c>
    </row>
    <row r="3312">
      <c r="A3312" s="8" t="s">
        <v>3367</v>
      </c>
      <c r="B3312" s="8" t="s">
        <v>17273</v>
      </c>
      <c r="C3312" s="8" t="s">
        <v>17274</v>
      </c>
      <c r="D3312" s="9">
        <v>7.972044407E9</v>
      </c>
      <c r="E3312" s="8" t="s">
        <v>17275</v>
      </c>
      <c r="F3312" s="8" t="s">
        <v>4143</v>
      </c>
      <c r="G3312" s="8" t="s">
        <v>3494</v>
      </c>
      <c r="H3312" s="8" t="s">
        <v>3479</v>
      </c>
      <c r="I3312" s="9">
        <v>0.0</v>
      </c>
      <c r="J3312" s="9">
        <v>3391.0</v>
      </c>
      <c r="K3312" s="9">
        <v>3391.0</v>
      </c>
      <c r="L3312" s="9">
        <v>3391.0</v>
      </c>
      <c r="M3312" s="9">
        <v>2167.0</v>
      </c>
      <c r="N3312" s="9">
        <v>775.0</v>
      </c>
      <c r="O3312" s="9">
        <v>449.0</v>
      </c>
      <c r="P3312" s="8" t="s">
        <v>3480</v>
      </c>
      <c r="Q3312" s="8"/>
      <c r="R3312" s="8"/>
    </row>
    <row r="3313">
      <c r="A3313" s="8" t="s">
        <v>3364</v>
      </c>
      <c r="B3313" s="8" t="s">
        <v>17276</v>
      </c>
      <c r="C3313" s="8" t="s">
        <v>17277</v>
      </c>
      <c r="D3313" s="9">
        <v>9.579030477E9</v>
      </c>
      <c r="E3313" s="8" t="s">
        <v>17278</v>
      </c>
      <c r="F3313" s="8" t="s">
        <v>3768</v>
      </c>
      <c r="G3313" s="8" t="s">
        <v>17279</v>
      </c>
      <c r="H3313" s="8" t="s">
        <v>3479</v>
      </c>
      <c r="I3313" s="9">
        <v>0.0</v>
      </c>
      <c r="J3313" s="9">
        <v>1655.0</v>
      </c>
      <c r="K3313" s="9">
        <v>1655.0</v>
      </c>
      <c r="L3313" s="9">
        <v>1655.0</v>
      </c>
      <c r="M3313" s="9">
        <v>431.0</v>
      </c>
      <c r="N3313" s="9">
        <v>775.0</v>
      </c>
      <c r="O3313" s="9">
        <v>449.0</v>
      </c>
      <c r="P3313" s="8" t="s">
        <v>3480</v>
      </c>
      <c r="Q3313" s="8" t="s">
        <v>17280</v>
      </c>
      <c r="R3313" s="8" t="s">
        <v>17281</v>
      </c>
    </row>
    <row r="3314">
      <c r="A3314" s="8" t="s">
        <v>3350</v>
      </c>
      <c r="B3314" s="8" t="s">
        <v>17282</v>
      </c>
      <c r="C3314" s="8" t="s">
        <v>10894</v>
      </c>
      <c r="D3314" s="9">
        <v>9.970099082E9</v>
      </c>
      <c r="E3314" s="8" t="s">
        <v>10895</v>
      </c>
      <c r="F3314" s="8" t="s">
        <v>3550</v>
      </c>
      <c r="G3314" s="8" t="s">
        <v>17283</v>
      </c>
      <c r="H3314" s="8" t="s">
        <v>3479</v>
      </c>
      <c r="I3314" s="9">
        <v>0.0</v>
      </c>
      <c r="J3314" s="9">
        <v>1325.0</v>
      </c>
      <c r="K3314" s="9">
        <v>1325.0</v>
      </c>
      <c r="L3314" s="9">
        <v>1325.0</v>
      </c>
      <c r="M3314" s="9">
        <v>1325.0</v>
      </c>
      <c r="N3314" s="9">
        <v>0.0</v>
      </c>
      <c r="O3314" s="9">
        <v>0.0</v>
      </c>
      <c r="P3314" s="8" t="s">
        <v>3480</v>
      </c>
      <c r="Q3314" s="8"/>
      <c r="R3314" s="8"/>
    </row>
    <row r="3315">
      <c r="A3315" s="8" t="s">
        <v>3353</v>
      </c>
      <c r="B3315" s="8" t="s">
        <v>17284</v>
      </c>
      <c r="C3315" s="8" t="s">
        <v>17285</v>
      </c>
      <c r="D3315" s="9">
        <v>8.830202527E9</v>
      </c>
      <c r="E3315" s="8" t="s">
        <v>17286</v>
      </c>
      <c r="F3315" s="8" t="s">
        <v>3796</v>
      </c>
      <c r="G3315" s="8" t="s">
        <v>17287</v>
      </c>
      <c r="H3315" s="8" t="s">
        <v>3479</v>
      </c>
      <c r="I3315" s="9">
        <v>0.0</v>
      </c>
      <c r="J3315" s="9">
        <v>1951.0</v>
      </c>
      <c r="K3315" s="9">
        <v>1951.0</v>
      </c>
      <c r="L3315" s="9">
        <v>1951.0</v>
      </c>
      <c r="M3315" s="9">
        <v>477.0</v>
      </c>
      <c r="N3315" s="9">
        <v>775.0</v>
      </c>
      <c r="O3315" s="9">
        <v>699.0</v>
      </c>
      <c r="P3315" s="8" t="s">
        <v>3480</v>
      </c>
      <c r="Q3315" s="8"/>
      <c r="R3315" s="8"/>
    </row>
    <row r="3316">
      <c r="A3316" s="8" t="s">
        <v>3354</v>
      </c>
      <c r="B3316" s="8" t="s">
        <v>17288</v>
      </c>
      <c r="C3316" s="8" t="s">
        <v>13782</v>
      </c>
      <c r="D3316" s="9">
        <v>9.819736283E9</v>
      </c>
      <c r="E3316" s="8" t="s">
        <v>13783</v>
      </c>
      <c r="F3316" s="8" t="s">
        <v>5585</v>
      </c>
      <c r="G3316" s="8" t="s">
        <v>9865</v>
      </c>
      <c r="H3316" s="8" t="s">
        <v>3479</v>
      </c>
      <c r="I3316" s="9">
        <v>0.0</v>
      </c>
      <c r="J3316" s="9">
        <v>1550.0</v>
      </c>
      <c r="K3316" s="9">
        <v>1550.0</v>
      </c>
      <c r="L3316" s="9">
        <v>1550.0</v>
      </c>
      <c r="M3316" s="9">
        <v>1550.0</v>
      </c>
      <c r="N3316" s="9">
        <v>0.0</v>
      </c>
      <c r="O3316" s="9">
        <v>0.0</v>
      </c>
      <c r="P3316" s="8" t="s">
        <v>3480</v>
      </c>
      <c r="Q3316" s="8" t="s">
        <v>13785</v>
      </c>
      <c r="R3316" s="8"/>
    </row>
    <row r="3317">
      <c r="A3317" s="8" t="s">
        <v>3355</v>
      </c>
      <c r="B3317" s="8" t="s">
        <v>17289</v>
      </c>
      <c r="C3317" s="8" t="s">
        <v>15745</v>
      </c>
      <c r="D3317" s="9">
        <v>9.850601122E9</v>
      </c>
      <c r="E3317" s="8" t="s">
        <v>15746</v>
      </c>
      <c r="F3317" s="8" t="s">
        <v>15747</v>
      </c>
      <c r="G3317" s="8" t="s">
        <v>4036</v>
      </c>
      <c r="H3317" s="8" t="s">
        <v>3479</v>
      </c>
      <c r="I3317" s="9">
        <v>0.0</v>
      </c>
      <c r="J3317" s="9">
        <v>1375.0</v>
      </c>
      <c r="K3317" s="9">
        <v>1375.0</v>
      </c>
      <c r="L3317" s="9">
        <v>1375.0</v>
      </c>
      <c r="M3317" s="9">
        <v>1250.0</v>
      </c>
      <c r="N3317" s="9">
        <v>0.0</v>
      </c>
      <c r="O3317" s="9">
        <v>125.0</v>
      </c>
      <c r="P3317" s="8" t="s">
        <v>3544</v>
      </c>
      <c r="Q3317" s="8"/>
      <c r="R3317" s="8"/>
    </row>
    <row r="3318">
      <c r="A3318" s="8" t="s">
        <v>3368</v>
      </c>
      <c r="B3318" s="8" t="s">
        <v>17290</v>
      </c>
      <c r="C3318" s="8" t="s">
        <v>17291</v>
      </c>
      <c r="D3318" s="9">
        <v>9.325825556E9</v>
      </c>
      <c r="E3318" s="8" t="s">
        <v>17292</v>
      </c>
      <c r="F3318" s="8" t="s">
        <v>3601</v>
      </c>
      <c r="G3318" s="8" t="s">
        <v>17293</v>
      </c>
      <c r="H3318" s="8" t="s">
        <v>3479</v>
      </c>
      <c r="I3318" s="9">
        <v>0.0</v>
      </c>
      <c r="J3318" s="9">
        <v>1268.0</v>
      </c>
      <c r="K3318" s="9">
        <v>1268.0</v>
      </c>
      <c r="L3318" s="9">
        <v>1268.0</v>
      </c>
      <c r="M3318" s="9">
        <v>80.0</v>
      </c>
      <c r="N3318" s="9">
        <v>739.0</v>
      </c>
      <c r="O3318" s="9">
        <v>449.0</v>
      </c>
      <c r="P3318" s="8" t="s">
        <v>3480</v>
      </c>
      <c r="Q3318" s="8"/>
      <c r="R3318" s="8"/>
    </row>
    <row r="3319">
      <c r="A3319" s="8" t="s">
        <v>3347</v>
      </c>
      <c r="B3319" s="8" t="s">
        <v>17294</v>
      </c>
      <c r="C3319" s="8" t="s">
        <v>12736</v>
      </c>
      <c r="D3319" s="9">
        <v>8.468949983E9</v>
      </c>
      <c r="E3319" s="8" t="s">
        <v>17295</v>
      </c>
      <c r="F3319" s="8" t="s">
        <v>7233</v>
      </c>
      <c r="G3319" s="8" t="s">
        <v>17296</v>
      </c>
      <c r="H3319" s="8" t="s">
        <v>3479</v>
      </c>
      <c r="I3319" s="9">
        <v>0.0</v>
      </c>
      <c r="J3319" s="9">
        <v>1279.0</v>
      </c>
      <c r="K3319" s="9">
        <v>1279.0</v>
      </c>
      <c r="L3319" s="9">
        <v>1279.0</v>
      </c>
      <c r="M3319" s="9">
        <v>430.0</v>
      </c>
      <c r="N3319" s="9">
        <v>0.0</v>
      </c>
      <c r="O3319" s="9">
        <v>849.0</v>
      </c>
      <c r="P3319" s="8" t="s">
        <v>3480</v>
      </c>
      <c r="Q3319" s="8"/>
      <c r="R3319" s="8" t="s">
        <v>17297</v>
      </c>
    </row>
    <row r="3320">
      <c r="A3320" s="8" t="s">
        <v>3348</v>
      </c>
      <c r="B3320" s="8" t="s">
        <v>17298</v>
      </c>
      <c r="C3320" s="8" t="s">
        <v>10206</v>
      </c>
      <c r="D3320" s="9">
        <v>9.8604757E9</v>
      </c>
      <c r="E3320" s="8" t="s">
        <v>10207</v>
      </c>
      <c r="F3320" s="8" t="s">
        <v>3608</v>
      </c>
      <c r="G3320" s="8" t="s">
        <v>17299</v>
      </c>
      <c r="H3320" s="8" t="s">
        <v>3479</v>
      </c>
      <c r="I3320" s="9">
        <v>0.0</v>
      </c>
      <c r="J3320" s="9">
        <v>2618.0</v>
      </c>
      <c r="K3320" s="9">
        <v>2618.0</v>
      </c>
      <c r="L3320" s="9">
        <v>2618.0</v>
      </c>
      <c r="M3320" s="9">
        <v>1430.0</v>
      </c>
      <c r="N3320" s="9">
        <v>739.0</v>
      </c>
      <c r="O3320" s="9">
        <v>449.0</v>
      </c>
      <c r="P3320" s="8" t="s">
        <v>3480</v>
      </c>
      <c r="Q3320" s="8" t="s">
        <v>10209</v>
      </c>
      <c r="R3320" s="8"/>
    </row>
    <row r="3321">
      <c r="A3321" s="8" t="s">
        <v>3349</v>
      </c>
      <c r="B3321" s="8" t="s">
        <v>17300</v>
      </c>
      <c r="C3321" s="8" t="s">
        <v>16654</v>
      </c>
      <c r="D3321" s="9">
        <v>8.928219052E9</v>
      </c>
      <c r="E3321" s="8" t="s">
        <v>17301</v>
      </c>
      <c r="F3321" s="8" t="s">
        <v>3665</v>
      </c>
      <c r="G3321" s="8" t="s">
        <v>17302</v>
      </c>
      <c r="H3321" s="8" t="s">
        <v>17303</v>
      </c>
      <c r="I3321" s="9">
        <v>0.0</v>
      </c>
      <c r="J3321" s="9">
        <v>1300.0</v>
      </c>
      <c r="K3321" s="9">
        <v>1505.0</v>
      </c>
      <c r="L3321" s="9">
        <v>1300.0</v>
      </c>
      <c r="M3321" s="9">
        <v>720.0</v>
      </c>
      <c r="N3321" s="9">
        <v>510.0</v>
      </c>
      <c r="O3321" s="9">
        <v>275.0</v>
      </c>
      <c r="P3321" s="8" t="s">
        <v>3480</v>
      </c>
      <c r="Q3321" s="8"/>
      <c r="R3321" s="8"/>
    </row>
    <row r="3322">
      <c r="A3322" s="8" t="s">
        <v>3351</v>
      </c>
      <c r="B3322" s="8" t="s">
        <v>17304</v>
      </c>
      <c r="C3322" s="8" t="s">
        <v>7047</v>
      </c>
      <c r="D3322" s="9">
        <v>8.600190953E9</v>
      </c>
      <c r="E3322" s="8" t="s">
        <v>7048</v>
      </c>
      <c r="F3322" s="8" t="s">
        <v>3498</v>
      </c>
      <c r="G3322" s="8" t="s">
        <v>7049</v>
      </c>
      <c r="H3322" s="8" t="s">
        <v>3479</v>
      </c>
      <c r="I3322" s="9">
        <v>0.0</v>
      </c>
      <c r="J3322" s="9">
        <v>1423.0</v>
      </c>
      <c r="K3322" s="9">
        <v>1423.0</v>
      </c>
      <c r="L3322" s="9">
        <v>1423.0</v>
      </c>
      <c r="M3322" s="9">
        <v>160.0</v>
      </c>
      <c r="N3322" s="9">
        <v>739.0</v>
      </c>
      <c r="O3322" s="9">
        <v>524.0</v>
      </c>
      <c r="P3322" s="8" t="s">
        <v>3480</v>
      </c>
      <c r="Q3322" s="8" t="s">
        <v>7050</v>
      </c>
      <c r="R3322" s="8" t="s">
        <v>7051</v>
      </c>
    </row>
    <row r="3323">
      <c r="A3323" s="8" t="s">
        <v>3352</v>
      </c>
      <c r="B3323" s="8" t="s">
        <v>17305</v>
      </c>
      <c r="C3323" s="8" t="s">
        <v>17306</v>
      </c>
      <c r="D3323" s="9">
        <v>9.860629331E9</v>
      </c>
      <c r="E3323" s="8" t="s">
        <v>17307</v>
      </c>
      <c r="F3323" s="8" t="s">
        <v>4029</v>
      </c>
      <c r="G3323" s="8" t="s">
        <v>17308</v>
      </c>
      <c r="H3323" s="8" t="s">
        <v>3479</v>
      </c>
      <c r="I3323" s="9">
        <v>0.0</v>
      </c>
      <c r="J3323" s="9">
        <v>9505.0</v>
      </c>
      <c r="K3323" s="9">
        <v>9505.0</v>
      </c>
      <c r="L3323" s="9">
        <v>9505.0</v>
      </c>
      <c r="M3323" s="9">
        <v>7394.0</v>
      </c>
      <c r="N3323" s="9">
        <v>962.0</v>
      </c>
      <c r="O3323" s="9">
        <v>1149.0</v>
      </c>
      <c r="P3323" s="8" t="s">
        <v>3480</v>
      </c>
      <c r="Q3323" s="8"/>
      <c r="R3323" s="8"/>
    </row>
    <row r="3324">
      <c r="A3324" s="8" t="s">
        <v>3356</v>
      </c>
      <c r="B3324" s="8" t="s">
        <v>17309</v>
      </c>
      <c r="C3324" s="8" t="s">
        <v>14533</v>
      </c>
      <c r="D3324" s="9">
        <v>9.850663051E9</v>
      </c>
      <c r="E3324" s="8" t="s">
        <v>14534</v>
      </c>
      <c r="F3324" s="8" t="s">
        <v>3523</v>
      </c>
      <c r="G3324" s="8" t="s">
        <v>14535</v>
      </c>
      <c r="H3324" s="8" t="s">
        <v>3479</v>
      </c>
      <c r="I3324" s="9">
        <v>0.0</v>
      </c>
      <c r="J3324" s="9">
        <v>3538.0</v>
      </c>
      <c r="K3324" s="9">
        <v>3538.0</v>
      </c>
      <c r="L3324" s="9">
        <v>3538.0</v>
      </c>
      <c r="M3324" s="9">
        <v>2275.0</v>
      </c>
      <c r="N3324" s="9">
        <v>739.0</v>
      </c>
      <c r="O3324" s="9">
        <v>524.0</v>
      </c>
      <c r="P3324" s="8" t="s">
        <v>3544</v>
      </c>
      <c r="Q3324" s="8"/>
      <c r="R3324" s="8"/>
    </row>
    <row r="3325">
      <c r="A3325" s="8" t="s">
        <v>3357</v>
      </c>
      <c r="B3325" s="8" t="s">
        <v>17310</v>
      </c>
      <c r="C3325" s="8" t="s">
        <v>6361</v>
      </c>
      <c r="D3325" s="9">
        <v>9.850554482E9</v>
      </c>
      <c r="E3325" s="8" t="s">
        <v>6362</v>
      </c>
      <c r="F3325" s="8" t="s">
        <v>6363</v>
      </c>
      <c r="G3325" s="8" t="s">
        <v>17311</v>
      </c>
      <c r="H3325" s="8" t="s">
        <v>3479</v>
      </c>
      <c r="I3325" s="9">
        <v>0.0</v>
      </c>
      <c r="J3325" s="9">
        <v>1308.0</v>
      </c>
      <c r="K3325" s="9">
        <v>1308.0</v>
      </c>
      <c r="L3325" s="9">
        <v>1308.0</v>
      </c>
      <c r="M3325" s="9">
        <v>120.0</v>
      </c>
      <c r="N3325" s="9">
        <v>739.0</v>
      </c>
      <c r="O3325" s="9">
        <v>449.0</v>
      </c>
      <c r="P3325" s="8" t="s">
        <v>3519</v>
      </c>
      <c r="Q3325" s="8"/>
      <c r="R3325" s="8" t="s">
        <v>6365</v>
      </c>
    </row>
    <row r="3326">
      <c r="A3326" s="8" t="s">
        <v>3369</v>
      </c>
      <c r="B3326" s="8" t="s">
        <v>17312</v>
      </c>
      <c r="C3326" s="8" t="s">
        <v>8682</v>
      </c>
      <c r="D3326" s="9">
        <v>9.405208321E9</v>
      </c>
      <c r="E3326" s="8" t="s">
        <v>8683</v>
      </c>
      <c r="F3326" s="8" t="s">
        <v>3908</v>
      </c>
      <c r="G3326" s="8" t="s">
        <v>17313</v>
      </c>
      <c r="H3326" s="8" t="s">
        <v>3479</v>
      </c>
      <c r="I3326" s="9">
        <v>0.0</v>
      </c>
      <c r="J3326" s="9">
        <v>1509.0</v>
      </c>
      <c r="K3326" s="9">
        <v>1509.0</v>
      </c>
      <c r="L3326" s="9">
        <v>1509.0</v>
      </c>
      <c r="M3326" s="9">
        <v>135.0</v>
      </c>
      <c r="N3326" s="9">
        <v>775.0</v>
      </c>
      <c r="O3326" s="9">
        <v>599.0</v>
      </c>
      <c r="P3326" s="8" t="s">
        <v>3480</v>
      </c>
      <c r="Q3326" s="8"/>
      <c r="R3326" s="8"/>
    </row>
    <row r="3327">
      <c r="A3327" s="8" t="s">
        <v>3370</v>
      </c>
      <c r="B3327" s="8" t="s">
        <v>17314</v>
      </c>
      <c r="C3327" s="8" t="s">
        <v>17315</v>
      </c>
      <c r="D3327" s="9">
        <v>8.796506022E9</v>
      </c>
      <c r="E3327" s="8" t="s">
        <v>17316</v>
      </c>
      <c r="F3327" s="8" t="s">
        <v>17317</v>
      </c>
      <c r="G3327" s="8" t="s">
        <v>17318</v>
      </c>
      <c r="H3327" s="8" t="s">
        <v>3479</v>
      </c>
      <c r="I3327" s="9">
        <v>0.0</v>
      </c>
      <c r="J3327" s="9">
        <v>3649.0</v>
      </c>
      <c r="K3327" s="9">
        <v>3649.0</v>
      </c>
      <c r="L3327" s="9">
        <v>3649.0</v>
      </c>
      <c r="M3327" s="9">
        <v>2425.0</v>
      </c>
      <c r="N3327" s="9">
        <v>775.0</v>
      </c>
      <c r="O3327" s="9">
        <v>449.0</v>
      </c>
      <c r="P3327" s="8" t="s">
        <v>3480</v>
      </c>
      <c r="Q3327" s="8" t="s">
        <v>17319</v>
      </c>
      <c r="R3327" s="8"/>
    </row>
    <row r="3328">
      <c r="A3328" s="8" t="s">
        <v>3381</v>
      </c>
      <c r="B3328" s="8" t="s">
        <v>17320</v>
      </c>
      <c r="C3328" s="8" t="s">
        <v>17321</v>
      </c>
      <c r="D3328" s="9">
        <v>8.123801626E9</v>
      </c>
      <c r="E3328" s="8" t="s">
        <v>17322</v>
      </c>
      <c r="F3328" s="8" t="s">
        <v>3486</v>
      </c>
      <c r="G3328" s="8" t="s">
        <v>17323</v>
      </c>
      <c r="H3328" s="8" t="s">
        <v>3479</v>
      </c>
      <c r="I3328" s="9">
        <v>0.0</v>
      </c>
      <c r="J3328" s="9">
        <v>1132.0</v>
      </c>
      <c r="K3328" s="9">
        <v>1132.0</v>
      </c>
      <c r="L3328" s="9">
        <v>1132.0</v>
      </c>
      <c r="M3328" s="9">
        <v>683.0</v>
      </c>
      <c r="N3328" s="9">
        <v>0.0</v>
      </c>
      <c r="O3328" s="9">
        <v>449.0</v>
      </c>
      <c r="P3328" s="8" t="s">
        <v>3480</v>
      </c>
      <c r="Q3328" s="8"/>
      <c r="R3328" s="8"/>
    </row>
    <row r="3329">
      <c r="A3329" s="8" t="s">
        <v>3371</v>
      </c>
      <c r="B3329" s="8" t="s">
        <v>17324</v>
      </c>
      <c r="C3329" s="8" t="s">
        <v>17325</v>
      </c>
      <c r="D3329" s="9">
        <v>9.869610902E9</v>
      </c>
      <c r="E3329" s="8" t="s">
        <v>17326</v>
      </c>
      <c r="F3329" s="8" t="s">
        <v>3589</v>
      </c>
      <c r="G3329" s="8" t="s">
        <v>17327</v>
      </c>
      <c r="H3329" s="8" t="s">
        <v>3479</v>
      </c>
      <c r="I3329" s="9">
        <v>0.0</v>
      </c>
      <c r="J3329" s="9">
        <v>1032.0</v>
      </c>
      <c r="K3329" s="9">
        <v>1032.0</v>
      </c>
      <c r="L3329" s="9">
        <v>1032.0</v>
      </c>
      <c r="M3329" s="9">
        <v>408.0</v>
      </c>
      <c r="N3329" s="9">
        <v>0.0</v>
      </c>
      <c r="O3329" s="9">
        <v>624.0</v>
      </c>
      <c r="P3329" s="8" t="s">
        <v>3480</v>
      </c>
      <c r="Q3329" s="8" t="s">
        <v>4241</v>
      </c>
      <c r="R3329" s="8" t="s">
        <v>17328</v>
      </c>
    </row>
    <row r="3330">
      <c r="A3330" s="8" t="s">
        <v>3373</v>
      </c>
      <c r="B3330" s="8" t="s">
        <v>17329</v>
      </c>
      <c r="C3330" s="8" t="s">
        <v>12906</v>
      </c>
      <c r="D3330" s="9">
        <v>7.972755022E9</v>
      </c>
      <c r="E3330" s="8" t="s">
        <v>12907</v>
      </c>
      <c r="F3330" s="8" t="s">
        <v>4373</v>
      </c>
      <c r="G3330" s="8" t="s">
        <v>3494</v>
      </c>
      <c r="H3330" s="8" t="s">
        <v>3479</v>
      </c>
      <c r="I3330" s="9">
        <v>0.0</v>
      </c>
      <c r="J3330" s="9">
        <v>2529.0</v>
      </c>
      <c r="K3330" s="9">
        <v>2529.0</v>
      </c>
      <c r="L3330" s="9">
        <v>2529.0</v>
      </c>
      <c r="M3330" s="9">
        <v>1930.0</v>
      </c>
      <c r="N3330" s="9">
        <v>0.0</v>
      </c>
      <c r="O3330" s="9">
        <v>599.0</v>
      </c>
      <c r="P3330" s="8" t="s">
        <v>3519</v>
      </c>
      <c r="Q3330" s="8" t="s">
        <v>12908</v>
      </c>
      <c r="R3330" s="8" t="s">
        <v>12909</v>
      </c>
    </row>
    <row r="3331">
      <c r="A3331" s="8" t="s">
        <v>3382</v>
      </c>
      <c r="B3331" s="8" t="s">
        <v>17330</v>
      </c>
      <c r="C3331" s="8" t="s">
        <v>17331</v>
      </c>
      <c r="D3331" s="9">
        <v>9.921183483E9</v>
      </c>
      <c r="E3331" s="8" t="s">
        <v>17332</v>
      </c>
      <c r="F3331" s="8" t="s">
        <v>3608</v>
      </c>
      <c r="G3331" s="8" t="s">
        <v>17333</v>
      </c>
      <c r="H3331" s="8" t="s">
        <v>3479</v>
      </c>
      <c r="I3331" s="9">
        <v>0.0</v>
      </c>
      <c r="J3331" s="9">
        <v>1521.0</v>
      </c>
      <c r="K3331" s="9">
        <v>1521.0</v>
      </c>
      <c r="L3331" s="9">
        <v>1521.0</v>
      </c>
      <c r="M3331" s="9">
        <v>333.0</v>
      </c>
      <c r="N3331" s="9">
        <v>739.0</v>
      </c>
      <c r="O3331" s="9">
        <v>449.0</v>
      </c>
      <c r="P3331" s="8" t="s">
        <v>3480</v>
      </c>
      <c r="Q3331" s="8"/>
      <c r="R3331" s="8"/>
    </row>
    <row r="3332">
      <c r="A3332" s="8" t="s">
        <v>3391</v>
      </c>
      <c r="B3332" s="8" t="s">
        <v>17334</v>
      </c>
      <c r="C3332" s="8" t="s">
        <v>17335</v>
      </c>
      <c r="D3332" s="9">
        <v>9.40404574E9</v>
      </c>
      <c r="E3332" s="8" t="s">
        <v>17336</v>
      </c>
      <c r="F3332" s="8" t="s">
        <v>3589</v>
      </c>
      <c r="G3332" s="8" t="s">
        <v>17337</v>
      </c>
      <c r="H3332" s="8" t="s">
        <v>17338</v>
      </c>
      <c r="I3332" s="9">
        <v>0.0</v>
      </c>
      <c r="J3332" s="9">
        <v>8000.0</v>
      </c>
      <c r="K3332" s="9">
        <v>8485.0</v>
      </c>
      <c r="L3332" s="9">
        <v>8000.0</v>
      </c>
      <c r="M3332" s="9">
        <v>5086.0</v>
      </c>
      <c r="N3332" s="9">
        <v>739.0</v>
      </c>
      <c r="O3332" s="9">
        <v>2660.0</v>
      </c>
      <c r="P3332" s="8" t="s">
        <v>3480</v>
      </c>
      <c r="Q3332" s="8"/>
      <c r="R3332" s="8"/>
    </row>
    <row r="3333">
      <c r="A3333" s="8" t="s">
        <v>3372</v>
      </c>
      <c r="B3333" s="8" t="s">
        <v>17339</v>
      </c>
      <c r="C3333" s="8" t="s">
        <v>4810</v>
      </c>
      <c r="D3333" s="9">
        <v>9.028881305E9</v>
      </c>
      <c r="E3333" s="8" t="s">
        <v>4811</v>
      </c>
      <c r="F3333" s="8" t="s">
        <v>3707</v>
      </c>
      <c r="G3333" s="8" t="s">
        <v>17340</v>
      </c>
      <c r="H3333" s="8" t="s">
        <v>3479</v>
      </c>
      <c r="I3333" s="9">
        <v>0.0</v>
      </c>
      <c r="J3333" s="9">
        <v>2705.0</v>
      </c>
      <c r="K3333" s="9">
        <v>2705.0</v>
      </c>
      <c r="L3333" s="9">
        <v>2705.0</v>
      </c>
      <c r="M3333" s="9">
        <v>931.0</v>
      </c>
      <c r="N3333" s="9">
        <v>900.0</v>
      </c>
      <c r="O3333" s="9">
        <v>874.0</v>
      </c>
      <c r="P3333" s="8" t="s">
        <v>3480</v>
      </c>
      <c r="Q3333" s="8" t="s">
        <v>4813</v>
      </c>
      <c r="R3333" s="8" t="s">
        <v>4814</v>
      </c>
    </row>
    <row r="3334">
      <c r="A3334" s="8" t="s">
        <v>3374</v>
      </c>
      <c r="B3334" s="8" t="s">
        <v>17341</v>
      </c>
      <c r="C3334" s="8" t="s">
        <v>17342</v>
      </c>
      <c r="D3334" s="9">
        <v>7.741837707E9</v>
      </c>
      <c r="E3334" s="8" t="s">
        <v>17343</v>
      </c>
      <c r="F3334" s="8" t="s">
        <v>3498</v>
      </c>
      <c r="G3334" s="8" t="s">
        <v>17344</v>
      </c>
      <c r="H3334" s="8" t="s">
        <v>3479</v>
      </c>
      <c r="I3334" s="9">
        <v>0.0</v>
      </c>
      <c r="J3334" s="9">
        <v>2018.0</v>
      </c>
      <c r="K3334" s="9">
        <v>2018.0</v>
      </c>
      <c r="L3334" s="9">
        <v>2018.0</v>
      </c>
      <c r="M3334" s="9">
        <v>650.0</v>
      </c>
      <c r="N3334" s="9">
        <v>739.0</v>
      </c>
      <c r="O3334" s="9">
        <v>629.0</v>
      </c>
      <c r="P3334" s="8" t="s">
        <v>3480</v>
      </c>
      <c r="Q3334" s="8"/>
      <c r="R3334" s="8"/>
    </row>
    <row r="3335">
      <c r="A3335" s="8" t="s">
        <v>3384</v>
      </c>
      <c r="B3335" s="8" t="s">
        <v>17345</v>
      </c>
      <c r="C3335" s="8" t="s">
        <v>17346</v>
      </c>
      <c r="D3335" s="9">
        <v>8.554931436E9</v>
      </c>
      <c r="E3335" s="8" t="s">
        <v>17347</v>
      </c>
      <c r="F3335" s="8" t="s">
        <v>5064</v>
      </c>
      <c r="G3335" s="8" t="s">
        <v>3494</v>
      </c>
      <c r="H3335" s="8" t="s">
        <v>7364</v>
      </c>
      <c r="I3335" s="9">
        <v>0.0</v>
      </c>
      <c r="J3335" s="9">
        <v>6600.0</v>
      </c>
      <c r="K3335" s="9">
        <v>6699.0</v>
      </c>
      <c r="L3335" s="9">
        <v>6600.0</v>
      </c>
      <c r="M3335" s="9">
        <v>4760.0</v>
      </c>
      <c r="N3335" s="9">
        <v>840.0</v>
      </c>
      <c r="O3335" s="9">
        <v>1099.0</v>
      </c>
      <c r="P3335" s="8" t="s">
        <v>3480</v>
      </c>
      <c r="Q3335" s="8"/>
      <c r="R3335" s="8"/>
    </row>
    <row r="3336">
      <c r="A3336" s="8" t="s">
        <v>3385</v>
      </c>
      <c r="B3336" s="8" t="s">
        <v>17348</v>
      </c>
      <c r="C3336" s="8" t="s">
        <v>8550</v>
      </c>
      <c r="D3336" s="9">
        <v>9.075953518E9</v>
      </c>
      <c r="E3336" s="8" t="s">
        <v>8551</v>
      </c>
      <c r="F3336" s="8" t="s">
        <v>8552</v>
      </c>
      <c r="G3336" s="8" t="s">
        <v>17349</v>
      </c>
      <c r="H3336" s="8" t="s">
        <v>3479</v>
      </c>
      <c r="I3336" s="9">
        <v>0.0</v>
      </c>
      <c r="J3336" s="9">
        <v>1324.0</v>
      </c>
      <c r="K3336" s="9">
        <v>1324.0</v>
      </c>
      <c r="L3336" s="9">
        <v>1324.0</v>
      </c>
      <c r="M3336" s="9">
        <v>100.0</v>
      </c>
      <c r="N3336" s="9">
        <v>775.0</v>
      </c>
      <c r="O3336" s="9">
        <v>449.0</v>
      </c>
      <c r="P3336" s="8" t="s">
        <v>3480</v>
      </c>
      <c r="Q3336" s="8" t="s">
        <v>8554</v>
      </c>
      <c r="R3336" s="8" t="s">
        <v>8555</v>
      </c>
    </row>
    <row r="3337">
      <c r="A3337" s="8" t="s">
        <v>3317</v>
      </c>
      <c r="B3337" s="8" t="s">
        <v>17350</v>
      </c>
      <c r="C3337" s="8" t="s">
        <v>5649</v>
      </c>
      <c r="D3337" s="9">
        <v>8.62480911E9</v>
      </c>
      <c r="E3337" s="8" t="s">
        <v>15768</v>
      </c>
      <c r="F3337" s="8" t="s">
        <v>3589</v>
      </c>
      <c r="G3337" s="8" t="s">
        <v>17351</v>
      </c>
      <c r="H3337" s="8" t="s">
        <v>3479</v>
      </c>
      <c r="I3337" s="9">
        <v>0.0</v>
      </c>
      <c r="J3337" s="9">
        <v>3578.0</v>
      </c>
      <c r="K3337" s="9">
        <v>3578.0</v>
      </c>
      <c r="L3337" s="9">
        <v>3578.0</v>
      </c>
      <c r="M3337" s="9">
        <v>2160.0</v>
      </c>
      <c r="N3337" s="9">
        <v>739.0</v>
      </c>
      <c r="O3337" s="9">
        <v>679.0</v>
      </c>
      <c r="P3337" s="8" t="s">
        <v>3480</v>
      </c>
      <c r="Q3337" s="8"/>
      <c r="R3337" s="8"/>
    </row>
    <row r="3338">
      <c r="A3338" s="8" t="s">
        <v>3383</v>
      </c>
      <c r="B3338" s="8" t="s">
        <v>17352</v>
      </c>
      <c r="C3338" s="8" t="s">
        <v>6338</v>
      </c>
      <c r="D3338" s="9">
        <v>8.097857793E9</v>
      </c>
      <c r="E3338" s="8" t="s">
        <v>17353</v>
      </c>
      <c r="F3338" s="8" t="s">
        <v>4333</v>
      </c>
      <c r="G3338" s="8" t="s">
        <v>10935</v>
      </c>
      <c r="H3338" s="8" t="s">
        <v>3479</v>
      </c>
      <c r="I3338" s="9">
        <v>0.0</v>
      </c>
      <c r="J3338" s="9">
        <v>2165.0</v>
      </c>
      <c r="K3338" s="9">
        <v>2165.0</v>
      </c>
      <c r="L3338" s="9">
        <v>2165.0</v>
      </c>
      <c r="M3338" s="9">
        <v>566.0</v>
      </c>
      <c r="N3338" s="9">
        <v>900.0</v>
      </c>
      <c r="O3338" s="9">
        <v>699.0</v>
      </c>
      <c r="P3338" s="8" t="s">
        <v>3480</v>
      </c>
      <c r="Q3338" s="8" t="s">
        <v>17354</v>
      </c>
      <c r="R3338" s="8" t="s">
        <v>17355</v>
      </c>
    </row>
    <row r="3339">
      <c r="A3339" s="8" t="s">
        <v>3375</v>
      </c>
      <c r="B3339" s="8" t="s">
        <v>17356</v>
      </c>
      <c r="C3339" s="8" t="s">
        <v>12225</v>
      </c>
      <c r="D3339" s="9">
        <v>9.423306423E9</v>
      </c>
      <c r="E3339" s="8" t="s">
        <v>12226</v>
      </c>
      <c r="F3339" s="8" t="s">
        <v>4454</v>
      </c>
      <c r="G3339" s="8" t="s">
        <v>3494</v>
      </c>
      <c r="H3339" s="8" t="s">
        <v>3479</v>
      </c>
      <c r="I3339" s="9">
        <v>0.0</v>
      </c>
      <c r="J3339" s="9">
        <v>1521.0</v>
      </c>
      <c r="K3339" s="9">
        <v>1521.0</v>
      </c>
      <c r="L3339" s="9">
        <v>1521.0</v>
      </c>
      <c r="M3339" s="9">
        <v>333.0</v>
      </c>
      <c r="N3339" s="9">
        <v>739.0</v>
      </c>
      <c r="O3339" s="9">
        <v>449.0</v>
      </c>
      <c r="P3339" s="8" t="s">
        <v>3480</v>
      </c>
      <c r="Q3339" s="8" t="s">
        <v>12228</v>
      </c>
      <c r="R3339" s="8" t="s">
        <v>12229</v>
      </c>
    </row>
    <row r="3340">
      <c r="A3340" s="8" t="s">
        <v>3376</v>
      </c>
      <c r="B3340" s="8" t="s">
        <v>17357</v>
      </c>
      <c r="C3340" s="8" t="s">
        <v>17358</v>
      </c>
      <c r="D3340" s="9">
        <v>8.780565639E9</v>
      </c>
      <c r="E3340" s="8" t="s">
        <v>17359</v>
      </c>
      <c r="F3340" s="8" t="s">
        <v>3665</v>
      </c>
      <c r="G3340" s="8" t="s">
        <v>17360</v>
      </c>
      <c r="H3340" s="8" t="s">
        <v>3479</v>
      </c>
      <c r="I3340" s="9">
        <v>0.0</v>
      </c>
      <c r="J3340" s="9">
        <v>1974.0</v>
      </c>
      <c r="K3340" s="9">
        <v>1974.0</v>
      </c>
      <c r="L3340" s="9">
        <v>1974.0</v>
      </c>
      <c r="M3340" s="9">
        <v>770.0</v>
      </c>
      <c r="N3340" s="9">
        <v>755.0</v>
      </c>
      <c r="O3340" s="9">
        <v>449.0</v>
      </c>
      <c r="P3340" s="8" t="s">
        <v>3480</v>
      </c>
      <c r="Q3340" s="8" t="s">
        <v>17361</v>
      </c>
      <c r="R3340" s="8" t="s">
        <v>17362</v>
      </c>
    </row>
    <row r="3341">
      <c r="A3341" s="8" t="s">
        <v>3386</v>
      </c>
      <c r="B3341" s="8" t="s">
        <v>17363</v>
      </c>
      <c r="C3341" s="8" t="s">
        <v>17364</v>
      </c>
      <c r="D3341" s="9">
        <v>8.121875482E9</v>
      </c>
      <c r="E3341" s="8" t="s">
        <v>17365</v>
      </c>
      <c r="F3341" s="8" t="s">
        <v>14592</v>
      </c>
      <c r="G3341" s="8" t="s">
        <v>17366</v>
      </c>
      <c r="H3341" s="8" t="s">
        <v>3479</v>
      </c>
      <c r="I3341" s="9">
        <v>0.0</v>
      </c>
      <c r="J3341" s="9">
        <v>1115.0</v>
      </c>
      <c r="K3341" s="9">
        <v>1115.0</v>
      </c>
      <c r="L3341" s="9">
        <v>1115.0</v>
      </c>
      <c r="M3341" s="9">
        <v>775.0</v>
      </c>
      <c r="N3341" s="9">
        <v>65.0</v>
      </c>
      <c r="O3341" s="9">
        <v>275.0</v>
      </c>
      <c r="P3341" s="8" t="s">
        <v>3480</v>
      </c>
      <c r="Q3341" s="8"/>
      <c r="R3341" s="8"/>
    </row>
    <row r="3342">
      <c r="A3342" s="8" t="s">
        <v>3377</v>
      </c>
      <c r="B3342" s="8" t="s">
        <v>17367</v>
      </c>
      <c r="C3342" s="8" t="s">
        <v>4617</v>
      </c>
      <c r="D3342" s="9">
        <v>9.049987787E9</v>
      </c>
      <c r="E3342" s="8" t="s">
        <v>4618</v>
      </c>
      <c r="F3342" s="8" t="s">
        <v>4391</v>
      </c>
      <c r="G3342" s="8" t="s">
        <v>17368</v>
      </c>
      <c r="H3342" s="8" t="s">
        <v>3479</v>
      </c>
      <c r="I3342" s="9">
        <v>0.0</v>
      </c>
      <c r="J3342" s="9">
        <v>1521.0</v>
      </c>
      <c r="K3342" s="9">
        <v>1521.0</v>
      </c>
      <c r="L3342" s="9">
        <v>1521.0</v>
      </c>
      <c r="M3342" s="9">
        <v>333.0</v>
      </c>
      <c r="N3342" s="9">
        <v>739.0</v>
      </c>
      <c r="O3342" s="9">
        <v>449.0</v>
      </c>
      <c r="P3342" s="8" t="s">
        <v>3480</v>
      </c>
      <c r="Q3342" s="8" t="s">
        <v>4620</v>
      </c>
      <c r="R3342" s="8" t="s">
        <v>4621</v>
      </c>
    </row>
    <row r="3343">
      <c r="A3343" s="8" t="s">
        <v>3378</v>
      </c>
      <c r="B3343" s="8" t="s">
        <v>17369</v>
      </c>
      <c r="C3343" s="8" t="s">
        <v>3592</v>
      </c>
      <c r="D3343" s="9">
        <v>8.98202945E9</v>
      </c>
      <c r="E3343" s="8" t="s">
        <v>17370</v>
      </c>
      <c r="F3343" s="8" t="s">
        <v>3653</v>
      </c>
      <c r="G3343" s="8" t="s">
        <v>17371</v>
      </c>
      <c r="H3343" s="8" t="s">
        <v>17372</v>
      </c>
      <c r="I3343" s="9">
        <v>0.0</v>
      </c>
      <c r="J3343" s="9">
        <v>2100.0</v>
      </c>
      <c r="K3343" s="9">
        <v>2222.0</v>
      </c>
      <c r="L3343" s="9">
        <v>2100.0</v>
      </c>
      <c r="M3343" s="9">
        <v>998.0</v>
      </c>
      <c r="N3343" s="9">
        <v>775.0</v>
      </c>
      <c r="O3343" s="9">
        <v>449.0</v>
      </c>
      <c r="P3343" s="8" t="s">
        <v>3544</v>
      </c>
      <c r="Q3343" s="8"/>
      <c r="R3343" s="8"/>
    </row>
    <row r="3344">
      <c r="A3344" s="8" t="s">
        <v>3380</v>
      </c>
      <c r="B3344" s="8" t="s">
        <v>17373</v>
      </c>
      <c r="C3344" s="8" t="s">
        <v>17374</v>
      </c>
      <c r="D3344" s="9">
        <v>7.58800807E9</v>
      </c>
      <c r="E3344" s="8" t="s">
        <v>17375</v>
      </c>
      <c r="F3344" s="8" t="s">
        <v>3757</v>
      </c>
      <c r="G3344" s="8" t="s">
        <v>17376</v>
      </c>
      <c r="H3344" s="8" t="s">
        <v>3479</v>
      </c>
      <c r="I3344" s="9">
        <v>0.0</v>
      </c>
      <c r="J3344" s="9">
        <v>7371.0</v>
      </c>
      <c r="K3344" s="9">
        <v>7371.0</v>
      </c>
      <c r="L3344" s="9">
        <v>7371.0</v>
      </c>
      <c r="M3344" s="9">
        <v>4739.0</v>
      </c>
      <c r="N3344" s="9">
        <v>1533.0</v>
      </c>
      <c r="O3344" s="9">
        <v>1099.0</v>
      </c>
      <c r="P3344" s="8" t="s">
        <v>3480</v>
      </c>
      <c r="Q3344" s="8"/>
      <c r="R3344" s="8"/>
    </row>
    <row r="3345">
      <c r="A3345" s="8" t="s">
        <v>3379</v>
      </c>
      <c r="B3345" s="8" t="s">
        <v>17377</v>
      </c>
      <c r="C3345" s="8" t="s">
        <v>8142</v>
      </c>
      <c r="D3345" s="9">
        <v>9.403900847E9</v>
      </c>
      <c r="E3345" s="8" t="s">
        <v>8143</v>
      </c>
      <c r="F3345" s="8" t="s">
        <v>3977</v>
      </c>
      <c r="G3345" s="8" t="s">
        <v>17378</v>
      </c>
      <c r="H3345" s="8" t="s">
        <v>3479</v>
      </c>
      <c r="I3345" s="9">
        <v>0.0</v>
      </c>
      <c r="J3345" s="9">
        <v>1869.0</v>
      </c>
      <c r="K3345" s="9">
        <v>1869.0</v>
      </c>
      <c r="L3345" s="9">
        <v>1869.0</v>
      </c>
      <c r="M3345" s="9">
        <v>681.0</v>
      </c>
      <c r="N3345" s="9">
        <v>739.0</v>
      </c>
      <c r="O3345" s="9">
        <v>449.0</v>
      </c>
      <c r="P3345" s="8" t="s">
        <v>3480</v>
      </c>
      <c r="Q3345" s="8" t="s">
        <v>8145</v>
      </c>
      <c r="R3345" s="8" t="s">
        <v>8146</v>
      </c>
    </row>
    <row r="3346">
      <c r="A3346" s="8" t="s">
        <v>3387</v>
      </c>
      <c r="B3346" s="8" t="s">
        <v>17379</v>
      </c>
      <c r="C3346" s="8" t="s">
        <v>8221</v>
      </c>
      <c r="D3346" s="9">
        <v>9.657431142E9</v>
      </c>
      <c r="E3346" s="8" t="s">
        <v>8222</v>
      </c>
      <c r="F3346" s="8" t="s">
        <v>3594</v>
      </c>
      <c r="G3346" s="8" t="s">
        <v>17380</v>
      </c>
      <c r="H3346" s="8" t="s">
        <v>3479</v>
      </c>
      <c r="I3346" s="9">
        <v>0.0</v>
      </c>
      <c r="J3346" s="9">
        <v>1576.0</v>
      </c>
      <c r="K3346" s="9">
        <v>1576.0</v>
      </c>
      <c r="L3346" s="9">
        <v>1576.0</v>
      </c>
      <c r="M3346" s="9">
        <v>313.0</v>
      </c>
      <c r="N3346" s="9">
        <v>739.0</v>
      </c>
      <c r="O3346" s="9">
        <v>524.0</v>
      </c>
      <c r="P3346" s="8" t="s">
        <v>3480</v>
      </c>
      <c r="Q3346" s="8"/>
      <c r="R3346" s="8"/>
    </row>
    <row r="3347">
      <c r="A3347" s="8" t="s">
        <v>3388</v>
      </c>
      <c r="B3347" s="8" t="s">
        <v>17381</v>
      </c>
      <c r="C3347" s="8" t="s">
        <v>9008</v>
      </c>
      <c r="D3347" s="9">
        <v>9.834114667E9</v>
      </c>
      <c r="E3347" s="8" t="s">
        <v>9009</v>
      </c>
      <c r="F3347" s="8" t="s">
        <v>3977</v>
      </c>
      <c r="G3347" s="8" t="s">
        <v>17382</v>
      </c>
      <c r="H3347" s="8" t="s">
        <v>3479</v>
      </c>
      <c r="I3347" s="9">
        <v>0.0</v>
      </c>
      <c r="J3347" s="9">
        <v>1794.0</v>
      </c>
      <c r="K3347" s="9">
        <v>1794.0</v>
      </c>
      <c r="L3347" s="9">
        <v>1794.0</v>
      </c>
      <c r="M3347" s="9">
        <v>606.0</v>
      </c>
      <c r="N3347" s="9">
        <v>739.0</v>
      </c>
      <c r="O3347" s="9">
        <v>449.0</v>
      </c>
      <c r="P3347" s="8" t="s">
        <v>3480</v>
      </c>
      <c r="Q3347" s="8" t="s">
        <v>9011</v>
      </c>
      <c r="R3347" s="8" t="s">
        <v>9012</v>
      </c>
    </row>
    <row r="3348">
      <c r="A3348" s="8" t="s">
        <v>3414</v>
      </c>
      <c r="B3348" s="8" t="s">
        <v>17383</v>
      </c>
      <c r="C3348" s="8" t="s">
        <v>17384</v>
      </c>
      <c r="D3348" s="9">
        <v>9.158555047E9</v>
      </c>
      <c r="E3348" s="8" t="s">
        <v>17385</v>
      </c>
      <c r="F3348" s="8" t="s">
        <v>5421</v>
      </c>
      <c r="G3348" s="8" t="s">
        <v>17386</v>
      </c>
      <c r="H3348" s="8" t="s">
        <v>3479</v>
      </c>
      <c r="I3348" s="9">
        <v>0.0</v>
      </c>
      <c r="J3348" s="9">
        <v>2931.0</v>
      </c>
      <c r="K3348" s="9">
        <v>2931.0</v>
      </c>
      <c r="L3348" s="9">
        <v>2931.0</v>
      </c>
      <c r="M3348" s="9">
        <v>1743.0</v>
      </c>
      <c r="N3348" s="9">
        <v>739.0</v>
      </c>
      <c r="O3348" s="9">
        <v>449.0</v>
      </c>
      <c r="P3348" s="8" t="s">
        <v>3544</v>
      </c>
      <c r="Q3348" s="8"/>
      <c r="R3348" s="8"/>
    </row>
    <row r="3349">
      <c r="A3349" s="8" t="s">
        <v>3415</v>
      </c>
      <c r="B3349" s="8" t="s">
        <v>17387</v>
      </c>
      <c r="C3349" s="8" t="s">
        <v>17388</v>
      </c>
      <c r="D3349" s="9">
        <v>7.05704528E9</v>
      </c>
      <c r="E3349" s="8" t="s">
        <v>17389</v>
      </c>
      <c r="F3349" s="8" t="s">
        <v>6253</v>
      </c>
      <c r="G3349" s="8" t="s">
        <v>11237</v>
      </c>
      <c r="H3349" s="8" t="s">
        <v>3479</v>
      </c>
      <c r="I3349" s="9">
        <v>0.0</v>
      </c>
      <c r="J3349" s="9">
        <v>1875.0</v>
      </c>
      <c r="K3349" s="9">
        <v>1875.0</v>
      </c>
      <c r="L3349" s="9">
        <v>1875.0</v>
      </c>
      <c r="M3349" s="9">
        <v>1276.0</v>
      </c>
      <c r="N3349" s="9">
        <v>0.0</v>
      </c>
      <c r="O3349" s="9">
        <v>599.0</v>
      </c>
      <c r="P3349" s="8" t="s">
        <v>3480</v>
      </c>
      <c r="Q3349" s="8" t="s">
        <v>17390</v>
      </c>
      <c r="R3349" s="8"/>
    </row>
    <row r="3350">
      <c r="A3350" s="8" t="s">
        <v>3389</v>
      </c>
      <c r="B3350" s="8" t="s">
        <v>17391</v>
      </c>
      <c r="C3350" s="8" t="s">
        <v>11605</v>
      </c>
      <c r="D3350" s="9">
        <v>8.421854569E9</v>
      </c>
      <c r="E3350" s="8" t="s">
        <v>11606</v>
      </c>
      <c r="F3350" s="8" t="s">
        <v>6744</v>
      </c>
      <c r="G3350" s="8" t="s">
        <v>17392</v>
      </c>
      <c r="H3350" s="8" t="s">
        <v>3479</v>
      </c>
      <c r="I3350" s="9">
        <v>0.0</v>
      </c>
      <c r="J3350" s="9">
        <v>4067.0</v>
      </c>
      <c r="K3350" s="9">
        <v>4067.0</v>
      </c>
      <c r="L3350" s="9">
        <v>4067.0</v>
      </c>
      <c r="M3350" s="9">
        <v>1791.0</v>
      </c>
      <c r="N3350" s="9">
        <v>1027.0</v>
      </c>
      <c r="O3350" s="9">
        <v>1249.0</v>
      </c>
      <c r="P3350" s="8" t="s">
        <v>3480</v>
      </c>
      <c r="Q3350" s="8" t="s">
        <v>11607</v>
      </c>
      <c r="R3350" s="8" t="s">
        <v>11608</v>
      </c>
    </row>
    <row r="3351">
      <c r="A3351" s="8" t="s">
        <v>3390</v>
      </c>
      <c r="B3351" s="8" t="s">
        <v>17393</v>
      </c>
      <c r="C3351" s="8" t="s">
        <v>17394</v>
      </c>
      <c r="D3351" s="9">
        <v>9.820525268E9</v>
      </c>
      <c r="E3351" s="8" t="s">
        <v>17395</v>
      </c>
      <c r="F3351" s="8" t="s">
        <v>4239</v>
      </c>
      <c r="G3351" s="8" t="s">
        <v>17396</v>
      </c>
      <c r="H3351" s="8" t="s">
        <v>3479</v>
      </c>
      <c r="I3351" s="9">
        <v>0.0</v>
      </c>
      <c r="J3351" s="9">
        <v>2453.0</v>
      </c>
      <c r="K3351" s="9">
        <v>2453.0</v>
      </c>
      <c r="L3351" s="9">
        <v>2453.0</v>
      </c>
      <c r="M3351" s="9">
        <v>1190.0</v>
      </c>
      <c r="N3351" s="9">
        <v>739.0</v>
      </c>
      <c r="O3351" s="9">
        <v>524.0</v>
      </c>
      <c r="P3351" s="8" t="s">
        <v>3480</v>
      </c>
      <c r="Q3351" s="8" t="s">
        <v>17397</v>
      </c>
      <c r="R3351" s="8" t="s">
        <v>17398</v>
      </c>
    </row>
    <row r="3352">
      <c r="A3352" s="8" t="s">
        <v>3416</v>
      </c>
      <c r="B3352" s="8" t="s">
        <v>17399</v>
      </c>
      <c r="C3352" s="8" t="s">
        <v>5101</v>
      </c>
      <c r="D3352" s="9">
        <v>8.80649667E9</v>
      </c>
      <c r="E3352" s="8" t="s">
        <v>5102</v>
      </c>
      <c r="F3352" s="8" t="s">
        <v>3768</v>
      </c>
      <c r="G3352" s="8" t="s">
        <v>17400</v>
      </c>
      <c r="H3352" s="8" t="s">
        <v>3479</v>
      </c>
      <c r="I3352" s="9">
        <v>0.0</v>
      </c>
      <c r="J3352" s="9">
        <v>1949.0</v>
      </c>
      <c r="K3352" s="9">
        <v>1949.0</v>
      </c>
      <c r="L3352" s="9">
        <v>1949.0</v>
      </c>
      <c r="M3352" s="9">
        <v>725.0</v>
      </c>
      <c r="N3352" s="9">
        <v>775.0</v>
      </c>
      <c r="O3352" s="9">
        <v>449.0</v>
      </c>
      <c r="P3352" s="8" t="s">
        <v>3480</v>
      </c>
      <c r="Q3352" s="8" t="s">
        <v>5104</v>
      </c>
      <c r="R3352" s="8" t="s">
        <v>5105</v>
      </c>
    </row>
    <row r="3353">
      <c r="A3353" s="8" t="s">
        <v>3417</v>
      </c>
      <c r="B3353" s="8" t="s">
        <v>17401</v>
      </c>
      <c r="C3353" s="8" t="s">
        <v>14729</v>
      </c>
      <c r="D3353" s="9">
        <v>8.623992225E9</v>
      </c>
      <c r="E3353" s="8" t="s">
        <v>14730</v>
      </c>
      <c r="F3353" s="8" t="s">
        <v>3908</v>
      </c>
      <c r="G3353" s="8" t="s">
        <v>17402</v>
      </c>
      <c r="H3353" s="8" t="s">
        <v>3479</v>
      </c>
      <c r="I3353" s="9">
        <v>0.0</v>
      </c>
      <c r="J3353" s="9">
        <v>1659.0</v>
      </c>
      <c r="K3353" s="9">
        <v>1659.0</v>
      </c>
      <c r="L3353" s="9">
        <v>1659.0</v>
      </c>
      <c r="M3353" s="9">
        <v>285.0</v>
      </c>
      <c r="N3353" s="9">
        <v>775.0</v>
      </c>
      <c r="O3353" s="9">
        <v>599.0</v>
      </c>
      <c r="P3353" s="8" t="s">
        <v>3480</v>
      </c>
      <c r="Q3353" s="8" t="s">
        <v>14732</v>
      </c>
      <c r="R3353" s="8" t="s">
        <v>14733</v>
      </c>
    </row>
    <row r="3354">
      <c r="A3354" s="8" t="s">
        <v>3418</v>
      </c>
      <c r="B3354" s="8" t="s">
        <v>17403</v>
      </c>
      <c r="C3354" s="8" t="s">
        <v>10289</v>
      </c>
      <c r="D3354" s="9">
        <v>7.21899386E9</v>
      </c>
      <c r="E3354" s="8" t="s">
        <v>17404</v>
      </c>
      <c r="F3354" s="8" t="s">
        <v>3608</v>
      </c>
      <c r="G3354" s="8" t="s">
        <v>17405</v>
      </c>
      <c r="H3354" s="8" t="s">
        <v>3479</v>
      </c>
      <c r="I3354" s="9">
        <v>0.0</v>
      </c>
      <c r="J3354" s="9">
        <v>6215.0</v>
      </c>
      <c r="K3354" s="9">
        <v>6215.0</v>
      </c>
      <c r="L3354" s="9">
        <v>6215.0</v>
      </c>
      <c r="M3354" s="9">
        <v>4318.0</v>
      </c>
      <c r="N3354" s="9">
        <v>898.0</v>
      </c>
      <c r="O3354" s="9">
        <v>999.0</v>
      </c>
      <c r="P3354" s="8" t="s">
        <v>3480</v>
      </c>
      <c r="Q3354" s="8"/>
      <c r="R3354" s="8"/>
    </row>
    <row r="3355">
      <c r="A3355" s="8" t="s">
        <v>492</v>
      </c>
      <c r="B3355" s="8" t="s">
        <v>17406</v>
      </c>
      <c r="C3355" s="8" t="s">
        <v>7355</v>
      </c>
      <c r="D3355" s="9">
        <v>9.159645953E9</v>
      </c>
      <c r="E3355" s="8" t="s">
        <v>17407</v>
      </c>
      <c r="F3355" s="8" t="s">
        <v>5485</v>
      </c>
      <c r="G3355" s="8" t="s">
        <v>17408</v>
      </c>
      <c r="H3355" s="8" t="s">
        <v>3479</v>
      </c>
      <c r="I3355" s="9">
        <v>0.0</v>
      </c>
      <c r="J3355" s="9">
        <v>1884.0</v>
      </c>
      <c r="K3355" s="9">
        <v>1884.0</v>
      </c>
      <c r="L3355" s="9">
        <v>1884.0</v>
      </c>
      <c r="M3355" s="9">
        <v>135.0</v>
      </c>
      <c r="N3355" s="9">
        <v>900.0</v>
      </c>
      <c r="O3355" s="9">
        <v>849.0</v>
      </c>
      <c r="P3355" s="8" t="s">
        <v>3480</v>
      </c>
      <c r="Q3355" s="8" t="s">
        <v>17409</v>
      </c>
      <c r="R3355" s="8" t="s">
        <v>17410</v>
      </c>
    </row>
    <row r="3356">
      <c r="A3356" s="8" t="s">
        <v>3419</v>
      </c>
      <c r="B3356" s="8" t="s">
        <v>17411</v>
      </c>
      <c r="C3356" s="8" t="s">
        <v>6092</v>
      </c>
      <c r="D3356" s="9">
        <v>7.276334217E9</v>
      </c>
      <c r="E3356" s="8" t="s">
        <v>6093</v>
      </c>
      <c r="F3356" s="8" t="s">
        <v>4059</v>
      </c>
      <c r="G3356" s="8" t="s">
        <v>17412</v>
      </c>
      <c r="H3356" s="8" t="s">
        <v>3479</v>
      </c>
      <c r="I3356" s="9">
        <v>0.0</v>
      </c>
      <c r="J3356" s="9">
        <v>2629.0</v>
      </c>
      <c r="K3356" s="9">
        <v>2629.0</v>
      </c>
      <c r="L3356" s="9">
        <v>2629.0</v>
      </c>
      <c r="M3356" s="9">
        <v>1255.0</v>
      </c>
      <c r="N3356" s="9">
        <v>775.0</v>
      </c>
      <c r="O3356" s="9">
        <v>599.0</v>
      </c>
      <c r="P3356" s="8" t="s">
        <v>3480</v>
      </c>
      <c r="Q3356" s="8" t="s">
        <v>6094</v>
      </c>
      <c r="R3356" s="8" t="s">
        <v>6095</v>
      </c>
    </row>
    <row r="3357">
      <c r="A3357" s="8" t="s">
        <v>3421</v>
      </c>
      <c r="B3357" s="8" t="s">
        <v>17413</v>
      </c>
      <c r="C3357" s="8" t="s">
        <v>3981</v>
      </c>
      <c r="D3357" s="9">
        <v>9.860645457E9</v>
      </c>
      <c r="E3357" s="8" t="s">
        <v>3982</v>
      </c>
      <c r="F3357" s="8" t="s">
        <v>3564</v>
      </c>
      <c r="G3357" s="8" t="s">
        <v>17414</v>
      </c>
      <c r="H3357" s="8" t="s">
        <v>3479</v>
      </c>
      <c r="I3357" s="9">
        <v>0.0</v>
      </c>
      <c r="J3357" s="9">
        <v>1409.0</v>
      </c>
      <c r="K3357" s="9">
        <v>1409.0</v>
      </c>
      <c r="L3357" s="9">
        <v>1409.0</v>
      </c>
      <c r="M3357" s="9">
        <v>260.0</v>
      </c>
      <c r="N3357" s="9">
        <v>700.0</v>
      </c>
      <c r="O3357" s="9">
        <v>449.0</v>
      </c>
      <c r="P3357" s="8" t="s">
        <v>3480</v>
      </c>
      <c r="Q3357" s="8" t="s">
        <v>3984</v>
      </c>
      <c r="R3357" s="8" t="s">
        <v>3985</v>
      </c>
    </row>
    <row r="3358">
      <c r="A3358" s="8" t="s">
        <v>3420</v>
      </c>
      <c r="B3358" s="8" t="s">
        <v>17415</v>
      </c>
      <c r="C3358" s="8" t="s">
        <v>12778</v>
      </c>
      <c r="D3358" s="9">
        <v>8.605544154E9</v>
      </c>
      <c r="E3358" s="8" t="s">
        <v>12779</v>
      </c>
      <c r="F3358" s="8" t="s">
        <v>5447</v>
      </c>
      <c r="G3358" s="8" t="s">
        <v>17416</v>
      </c>
      <c r="H3358" s="8" t="s">
        <v>3479</v>
      </c>
      <c r="I3358" s="9">
        <v>0.0</v>
      </c>
      <c r="J3358" s="9">
        <v>1934.0</v>
      </c>
      <c r="K3358" s="9">
        <v>1934.0</v>
      </c>
      <c r="L3358" s="9">
        <v>1934.0</v>
      </c>
      <c r="M3358" s="9">
        <v>555.0</v>
      </c>
      <c r="N3358" s="9">
        <v>190.0</v>
      </c>
      <c r="O3358" s="9">
        <v>1189.0</v>
      </c>
      <c r="P3358" s="8" t="s">
        <v>3480</v>
      </c>
      <c r="Q3358" s="8"/>
      <c r="R3358" s="8"/>
    </row>
    <row r="3359">
      <c r="A3359" s="8" t="s">
        <v>3422</v>
      </c>
      <c r="B3359" s="8" t="s">
        <v>17417</v>
      </c>
      <c r="C3359" s="8" t="s">
        <v>6112</v>
      </c>
      <c r="D3359" s="9">
        <v>8.82505772E9</v>
      </c>
      <c r="E3359" s="8" t="s">
        <v>7696</v>
      </c>
      <c r="F3359" s="8" t="s">
        <v>4175</v>
      </c>
      <c r="G3359" s="8" t="s">
        <v>17418</v>
      </c>
      <c r="H3359" s="8" t="s">
        <v>3479</v>
      </c>
      <c r="I3359" s="9">
        <v>0.0</v>
      </c>
      <c r="J3359" s="9">
        <v>2299.0</v>
      </c>
      <c r="K3359" s="9">
        <v>2299.0</v>
      </c>
      <c r="L3359" s="9">
        <v>2299.0</v>
      </c>
      <c r="M3359" s="9">
        <v>511.0</v>
      </c>
      <c r="N3359" s="9">
        <v>839.0</v>
      </c>
      <c r="O3359" s="9">
        <v>949.0</v>
      </c>
      <c r="P3359" s="8" t="s">
        <v>3480</v>
      </c>
      <c r="Q3359" s="8" t="s">
        <v>7698</v>
      </c>
      <c r="R3359" s="8" t="s">
        <v>7699</v>
      </c>
    </row>
    <row r="3360">
      <c r="A3360" s="8" t="s">
        <v>3423</v>
      </c>
      <c r="B3360" s="8" t="s">
        <v>17419</v>
      </c>
      <c r="C3360" s="8" t="s">
        <v>17420</v>
      </c>
      <c r="D3360" s="9">
        <v>8.208573907E9</v>
      </c>
      <c r="E3360" s="8" t="s">
        <v>17421</v>
      </c>
      <c r="F3360" s="8" t="s">
        <v>3934</v>
      </c>
      <c r="G3360" s="8" t="s">
        <v>17422</v>
      </c>
      <c r="H3360" s="8" t="s">
        <v>3479</v>
      </c>
      <c r="I3360" s="9">
        <v>0.0</v>
      </c>
      <c r="J3360" s="9">
        <v>3593.0</v>
      </c>
      <c r="K3360" s="9">
        <v>3593.0</v>
      </c>
      <c r="L3360" s="9">
        <v>3593.0</v>
      </c>
      <c r="M3360" s="9">
        <v>2230.0</v>
      </c>
      <c r="N3360" s="9">
        <v>739.0</v>
      </c>
      <c r="O3360" s="9">
        <v>624.0</v>
      </c>
      <c r="P3360" s="8" t="s">
        <v>3480</v>
      </c>
      <c r="Q3360" s="8"/>
      <c r="R3360" s="8"/>
    </row>
    <row r="3361">
      <c r="A3361" s="8" t="s">
        <v>3392</v>
      </c>
      <c r="B3361" s="8" t="s">
        <v>17423</v>
      </c>
      <c r="C3361" s="8" t="s">
        <v>4128</v>
      </c>
      <c r="D3361" s="9">
        <v>9.860977864E9</v>
      </c>
      <c r="E3361" s="8" t="s">
        <v>4129</v>
      </c>
      <c r="F3361" s="8" t="s">
        <v>3601</v>
      </c>
      <c r="G3361" s="8" t="s">
        <v>17424</v>
      </c>
      <c r="H3361" s="8" t="s">
        <v>3479</v>
      </c>
      <c r="I3361" s="9">
        <v>0.0</v>
      </c>
      <c r="J3361" s="9">
        <v>3582.0</v>
      </c>
      <c r="K3361" s="9">
        <v>3582.0</v>
      </c>
      <c r="L3361" s="9">
        <v>3582.0</v>
      </c>
      <c r="M3361" s="9">
        <v>2219.0</v>
      </c>
      <c r="N3361" s="9">
        <v>739.0</v>
      </c>
      <c r="O3361" s="9">
        <v>624.0</v>
      </c>
      <c r="P3361" s="8" t="s">
        <v>3480</v>
      </c>
      <c r="Q3361" s="8"/>
      <c r="R3361" s="8"/>
    </row>
    <row r="3362">
      <c r="A3362" s="8" t="s">
        <v>3424</v>
      </c>
      <c r="B3362" s="8" t="s">
        <v>17425</v>
      </c>
      <c r="C3362" s="8" t="s">
        <v>10510</v>
      </c>
      <c r="D3362" s="9">
        <v>9.822395617E9</v>
      </c>
      <c r="E3362" s="8" t="s">
        <v>17426</v>
      </c>
      <c r="F3362" s="8" t="s">
        <v>3608</v>
      </c>
      <c r="G3362" s="8" t="s">
        <v>17427</v>
      </c>
      <c r="H3362" s="8" t="s">
        <v>3479</v>
      </c>
      <c r="I3362" s="9">
        <v>0.0</v>
      </c>
      <c r="J3362" s="9">
        <v>1521.0</v>
      </c>
      <c r="K3362" s="9">
        <v>1521.0</v>
      </c>
      <c r="L3362" s="9">
        <v>1521.0</v>
      </c>
      <c r="M3362" s="9">
        <v>333.0</v>
      </c>
      <c r="N3362" s="9">
        <v>739.0</v>
      </c>
      <c r="O3362" s="9">
        <v>449.0</v>
      </c>
      <c r="P3362" s="8" t="s">
        <v>3519</v>
      </c>
      <c r="Q3362" s="8" t="s">
        <v>17428</v>
      </c>
      <c r="R3362" s="8" t="s">
        <v>17429</v>
      </c>
    </row>
    <row r="3363">
      <c r="A3363" s="8" t="s">
        <v>3425</v>
      </c>
      <c r="B3363" s="8" t="s">
        <v>17430</v>
      </c>
      <c r="C3363" s="8" t="s">
        <v>8752</v>
      </c>
      <c r="D3363" s="9">
        <v>7.028001439E9</v>
      </c>
      <c r="E3363" s="8" t="s">
        <v>8753</v>
      </c>
      <c r="F3363" s="8" t="s">
        <v>3608</v>
      </c>
      <c r="G3363" s="8" t="s">
        <v>17431</v>
      </c>
      <c r="H3363" s="8" t="s">
        <v>3479</v>
      </c>
      <c r="I3363" s="9">
        <v>0.0</v>
      </c>
      <c r="J3363" s="9">
        <v>3659.0</v>
      </c>
      <c r="K3363" s="9">
        <v>3659.0</v>
      </c>
      <c r="L3363" s="9">
        <v>3659.0</v>
      </c>
      <c r="M3363" s="9">
        <v>2296.0</v>
      </c>
      <c r="N3363" s="9">
        <v>739.0</v>
      </c>
      <c r="O3363" s="9">
        <v>624.0</v>
      </c>
      <c r="P3363" s="8" t="s">
        <v>3480</v>
      </c>
      <c r="Q3363" s="8" t="s">
        <v>8755</v>
      </c>
      <c r="R3363" s="8" t="s">
        <v>8756</v>
      </c>
    </row>
    <row r="3364">
      <c r="A3364" s="8" t="s">
        <v>3427</v>
      </c>
      <c r="B3364" s="8" t="s">
        <v>17432</v>
      </c>
      <c r="C3364" s="8" t="s">
        <v>14698</v>
      </c>
      <c r="D3364" s="9">
        <v>9.579574945E9</v>
      </c>
      <c r="E3364" s="8" t="s">
        <v>14699</v>
      </c>
      <c r="F3364" s="8" t="s">
        <v>3768</v>
      </c>
      <c r="G3364" s="8" t="s">
        <v>17433</v>
      </c>
      <c r="H3364" s="8" t="s">
        <v>3479</v>
      </c>
      <c r="I3364" s="9">
        <v>0.0</v>
      </c>
      <c r="J3364" s="9">
        <v>3682.0</v>
      </c>
      <c r="K3364" s="9">
        <v>3682.0</v>
      </c>
      <c r="L3364" s="9">
        <v>3682.0</v>
      </c>
      <c r="M3364" s="9">
        <v>2208.0</v>
      </c>
      <c r="N3364" s="9">
        <v>775.0</v>
      </c>
      <c r="O3364" s="9">
        <v>699.0</v>
      </c>
      <c r="P3364" s="8" t="s">
        <v>3544</v>
      </c>
      <c r="Q3364" s="8" t="s">
        <v>14701</v>
      </c>
      <c r="R3364" s="8" t="s">
        <v>14702</v>
      </c>
    </row>
    <row r="3365">
      <c r="A3365" s="8" t="s">
        <v>3426</v>
      </c>
      <c r="B3365" s="8" t="s">
        <v>17434</v>
      </c>
      <c r="C3365" s="8" t="s">
        <v>6150</v>
      </c>
      <c r="D3365" s="9">
        <v>9.421785433E9</v>
      </c>
      <c r="E3365" s="8" t="s">
        <v>6151</v>
      </c>
      <c r="F3365" s="8" t="s">
        <v>6152</v>
      </c>
      <c r="G3365" s="8" t="s">
        <v>17435</v>
      </c>
      <c r="H3365" s="8" t="s">
        <v>3479</v>
      </c>
      <c r="I3365" s="9">
        <v>0.0</v>
      </c>
      <c r="J3365" s="9">
        <v>3211.0</v>
      </c>
      <c r="K3365" s="9">
        <v>3211.0</v>
      </c>
      <c r="L3365" s="9">
        <v>3211.0</v>
      </c>
      <c r="M3365" s="9">
        <v>669.0</v>
      </c>
      <c r="N3365" s="9">
        <v>1468.0</v>
      </c>
      <c r="O3365" s="9">
        <v>1074.0</v>
      </c>
      <c r="P3365" s="8" t="s">
        <v>3480</v>
      </c>
      <c r="Q3365" s="8" t="s">
        <v>6154</v>
      </c>
      <c r="R3365" s="8" t="s">
        <v>6155</v>
      </c>
    </row>
    <row r="3366">
      <c r="A3366" s="8" t="s">
        <v>3429</v>
      </c>
      <c r="B3366" s="8" t="s">
        <v>17436</v>
      </c>
      <c r="C3366" s="8" t="s">
        <v>17437</v>
      </c>
      <c r="D3366" s="9">
        <v>9.096082471E9</v>
      </c>
      <c r="E3366" s="8" t="s">
        <v>17438</v>
      </c>
      <c r="F3366" s="8" t="s">
        <v>3697</v>
      </c>
      <c r="G3366" s="8" t="s">
        <v>17439</v>
      </c>
      <c r="H3366" s="8" t="s">
        <v>3479</v>
      </c>
      <c r="I3366" s="9">
        <v>0.0</v>
      </c>
      <c r="J3366" s="9">
        <v>2115.0</v>
      </c>
      <c r="K3366" s="9">
        <v>2115.0</v>
      </c>
      <c r="L3366" s="9">
        <v>2115.0</v>
      </c>
      <c r="M3366" s="9">
        <v>365.0</v>
      </c>
      <c r="N3366" s="9">
        <v>926.0</v>
      </c>
      <c r="O3366" s="9">
        <v>824.0</v>
      </c>
      <c r="P3366" s="8" t="s">
        <v>3480</v>
      </c>
      <c r="Q3366" s="8" t="s">
        <v>17440</v>
      </c>
      <c r="R3366" s="8"/>
    </row>
    <row r="3367">
      <c r="A3367" s="8" t="s">
        <v>3428</v>
      </c>
      <c r="B3367" s="8" t="s">
        <v>17441</v>
      </c>
      <c r="C3367" s="8" t="s">
        <v>4779</v>
      </c>
      <c r="D3367" s="9">
        <v>7.796898227E9</v>
      </c>
      <c r="E3367" s="8" t="s">
        <v>6529</v>
      </c>
      <c r="F3367" s="8" t="s">
        <v>4252</v>
      </c>
      <c r="G3367" s="8" t="s">
        <v>3494</v>
      </c>
      <c r="H3367" s="8" t="s">
        <v>3479</v>
      </c>
      <c r="I3367" s="9">
        <v>0.0</v>
      </c>
      <c r="J3367" s="9">
        <v>4763.0</v>
      </c>
      <c r="K3367" s="9">
        <v>4763.0</v>
      </c>
      <c r="L3367" s="9">
        <v>4763.0</v>
      </c>
      <c r="M3367" s="9">
        <v>3183.0</v>
      </c>
      <c r="N3367" s="9">
        <v>900.0</v>
      </c>
      <c r="O3367" s="9">
        <v>680.0</v>
      </c>
      <c r="P3367" s="8" t="s">
        <v>3480</v>
      </c>
      <c r="Q3367" s="8"/>
      <c r="R3367" s="8"/>
    </row>
    <row r="3368">
      <c r="A3368" s="8" t="s">
        <v>3430</v>
      </c>
      <c r="B3368" s="8" t="s">
        <v>17442</v>
      </c>
      <c r="C3368" s="8" t="s">
        <v>17443</v>
      </c>
      <c r="D3368" s="9">
        <v>8.208573907E9</v>
      </c>
      <c r="E3368" s="8" t="s">
        <v>17444</v>
      </c>
      <c r="F3368" s="8" t="s">
        <v>17445</v>
      </c>
      <c r="G3368" s="8" t="s">
        <v>17446</v>
      </c>
      <c r="H3368" s="8" t="s">
        <v>3479</v>
      </c>
      <c r="I3368" s="9">
        <v>0.0</v>
      </c>
      <c r="J3368" s="9">
        <v>1827.0</v>
      </c>
      <c r="K3368" s="9">
        <v>1827.0</v>
      </c>
      <c r="L3368" s="9">
        <v>1827.0</v>
      </c>
      <c r="M3368" s="9">
        <v>453.0</v>
      </c>
      <c r="N3368" s="9">
        <v>775.0</v>
      </c>
      <c r="O3368" s="9">
        <v>599.0</v>
      </c>
      <c r="P3368" s="8" t="s">
        <v>3480</v>
      </c>
      <c r="Q3368" s="8" t="s">
        <v>17447</v>
      </c>
      <c r="R3368" s="8" t="s">
        <v>17448</v>
      </c>
    </row>
    <row r="3369">
      <c r="A3369" s="8" t="s">
        <v>3393</v>
      </c>
      <c r="B3369" s="8" t="s">
        <v>17449</v>
      </c>
      <c r="C3369" s="8" t="s">
        <v>8403</v>
      </c>
      <c r="D3369" s="9">
        <v>8.554928353E9</v>
      </c>
      <c r="E3369" s="8" t="s">
        <v>8771</v>
      </c>
      <c r="F3369" s="8" t="s">
        <v>3768</v>
      </c>
      <c r="G3369" s="8" t="s">
        <v>17450</v>
      </c>
      <c r="H3369" s="8" t="s">
        <v>3479</v>
      </c>
      <c r="I3369" s="9">
        <v>0.0</v>
      </c>
      <c r="J3369" s="9">
        <v>2312.0</v>
      </c>
      <c r="K3369" s="9">
        <v>2312.0</v>
      </c>
      <c r="L3369" s="9">
        <v>2312.0</v>
      </c>
      <c r="M3369" s="9">
        <v>749.0</v>
      </c>
      <c r="N3369" s="9">
        <v>839.0</v>
      </c>
      <c r="O3369" s="9">
        <v>724.0</v>
      </c>
      <c r="P3369" s="8" t="s">
        <v>3480</v>
      </c>
      <c r="Q3369" s="8" t="s">
        <v>8773</v>
      </c>
      <c r="R3369" s="8" t="s">
        <v>8774</v>
      </c>
    </row>
    <row r="3370">
      <c r="A3370" s="8" t="s">
        <v>3431</v>
      </c>
      <c r="B3370" s="8" t="s">
        <v>17451</v>
      </c>
      <c r="C3370" s="8" t="s">
        <v>4308</v>
      </c>
      <c r="D3370" s="9">
        <v>7.028394654E9</v>
      </c>
      <c r="E3370" s="8" t="s">
        <v>4309</v>
      </c>
      <c r="F3370" s="8" t="s">
        <v>4059</v>
      </c>
      <c r="G3370" s="8" t="s">
        <v>6994</v>
      </c>
      <c r="H3370" s="8" t="s">
        <v>3479</v>
      </c>
      <c r="I3370" s="9">
        <v>0.0</v>
      </c>
      <c r="J3370" s="9">
        <v>7549.0</v>
      </c>
      <c r="K3370" s="9">
        <v>7549.0</v>
      </c>
      <c r="L3370" s="9">
        <v>7549.0</v>
      </c>
      <c r="M3370" s="9">
        <v>5521.0</v>
      </c>
      <c r="N3370" s="9">
        <v>829.0</v>
      </c>
      <c r="O3370" s="9">
        <v>1199.0</v>
      </c>
      <c r="P3370" s="8" t="s">
        <v>3480</v>
      </c>
      <c r="Q3370" s="8" t="s">
        <v>4311</v>
      </c>
      <c r="R3370" s="8" t="s">
        <v>4312</v>
      </c>
    </row>
    <row r="3371">
      <c r="A3371" s="8" t="s">
        <v>3395</v>
      </c>
      <c r="B3371" s="8" t="s">
        <v>17452</v>
      </c>
      <c r="C3371" s="8" t="s">
        <v>17453</v>
      </c>
      <c r="D3371" s="9">
        <v>7.218773362E9</v>
      </c>
      <c r="E3371" s="8" t="s">
        <v>17454</v>
      </c>
      <c r="F3371" s="8" t="s">
        <v>4150</v>
      </c>
      <c r="G3371" s="8" t="s">
        <v>17455</v>
      </c>
      <c r="H3371" s="8" t="s">
        <v>3479</v>
      </c>
      <c r="I3371" s="9">
        <v>0.0</v>
      </c>
      <c r="J3371" s="9">
        <v>1936.0</v>
      </c>
      <c r="K3371" s="9">
        <v>1936.0</v>
      </c>
      <c r="L3371" s="9">
        <v>1936.0</v>
      </c>
      <c r="M3371" s="9">
        <v>559.0</v>
      </c>
      <c r="N3371" s="9">
        <v>778.0</v>
      </c>
      <c r="O3371" s="9">
        <v>599.0</v>
      </c>
      <c r="P3371" s="8" t="s">
        <v>3480</v>
      </c>
      <c r="Q3371" s="8"/>
      <c r="R3371" s="8"/>
    </row>
    <row r="3372">
      <c r="A3372" s="8" t="s">
        <v>3394</v>
      </c>
      <c r="B3372" s="8" t="s">
        <v>17456</v>
      </c>
      <c r="C3372" s="8" t="s">
        <v>3496</v>
      </c>
      <c r="D3372" s="9">
        <v>9.049536462E9</v>
      </c>
      <c r="E3372" s="8" t="s">
        <v>3503</v>
      </c>
      <c r="F3372" s="8" t="s">
        <v>3498</v>
      </c>
      <c r="G3372" s="8" t="s">
        <v>17457</v>
      </c>
      <c r="H3372" s="8" t="s">
        <v>3479</v>
      </c>
      <c r="I3372" s="9">
        <v>0.0</v>
      </c>
      <c r="J3372" s="9">
        <v>1940.0</v>
      </c>
      <c r="K3372" s="9">
        <v>1940.0</v>
      </c>
      <c r="L3372" s="9">
        <v>1940.0</v>
      </c>
      <c r="M3372" s="9">
        <v>677.0</v>
      </c>
      <c r="N3372" s="9">
        <v>739.0</v>
      </c>
      <c r="O3372" s="9">
        <v>524.0</v>
      </c>
      <c r="P3372" s="8" t="s">
        <v>3480</v>
      </c>
      <c r="Q3372" s="8" t="s">
        <v>3505</v>
      </c>
      <c r="R3372" s="8"/>
    </row>
    <row r="3373">
      <c r="A3373" s="8" t="s">
        <v>3396</v>
      </c>
      <c r="B3373" s="8" t="s">
        <v>17458</v>
      </c>
      <c r="C3373" s="8" t="s">
        <v>3496</v>
      </c>
      <c r="D3373" s="9">
        <v>9.106598797E9</v>
      </c>
      <c r="E3373" s="8" t="s">
        <v>17459</v>
      </c>
      <c r="F3373" s="8" t="s">
        <v>3498</v>
      </c>
      <c r="G3373" s="8" t="s">
        <v>17460</v>
      </c>
      <c r="H3373" s="8" t="s">
        <v>3479</v>
      </c>
      <c r="I3373" s="9">
        <v>0.0</v>
      </c>
      <c r="J3373" s="9">
        <v>1536.0</v>
      </c>
      <c r="K3373" s="9">
        <v>1536.0</v>
      </c>
      <c r="L3373" s="9">
        <v>1536.0</v>
      </c>
      <c r="M3373" s="9">
        <v>175.0</v>
      </c>
      <c r="N3373" s="9">
        <v>737.0</v>
      </c>
      <c r="O3373" s="9">
        <v>624.0</v>
      </c>
      <c r="P3373" s="8" t="s">
        <v>3480</v>
      </c>
      <c r="Q3373" s="8" t="s">
        <v>17461</v>
      </c>
      <c r="R3373" s="8" t="s">
        <v>17462</v>
      </c>
    </row>
    <row r="3374">
      <c r="A3374" s="8" t="s">
        <v>3398</v>
      </c>
      <c r="B3374" s="8" t="s">
        <v>17463</v>
      </c>
      <c r="C3374" s="8" t="s">
        <v>4651</v>
      </c>
      <c r="D3374" s="9">
        <v>8.668368998E9</v>
      </c>
      <c r="E3374" s="8" t="s">
        <v>4652</v>
      </c>
      <c r="F3374" s="8" t="s">
        <v>3523</v>
      </c>
      <c r="G3374" s="8" t="s">
        <v>17464</v>
      </c>
      <c r="H3374" s="8" t="s">
        <v>3479</v>
      </c>
      <c r="I3374" s="9">
        <v>0.0</v>
      </c>
      <c r="J3374" s="9">
        <v>1473.0</v>
      </c>
      <c r="K3374" s="9">
        <v>1473.0</v>
      </c>
      <c r="L3374" s="9">
        <v>1473.0</v>
      </c>
      <c r="M3374" s="9">
        <v>210.0</v>
      </c>
      <c r="N3374" s="9">
        <v>739.0</v>
      </c>
      <c r="O3374" s="9">
        <v>524.0</v>
      </c>
      <c r="P3374" s="8" t="s">
        <v>3480</v>
      </c>
      <c r="Q3374" s="8" t="s">
        <v>4654</v>
      </c>
      <c r="R3374" s="8" t="s">
        <v>4655</v>
      </c>
    </row>
    <row r="3375">
      <c r="A3375" s="8" t="s">
        <v>3397</v>
      </c>
      <c r="B3375" s="8" t="s">
        <v>17465</v>
      </c>
      <c r="C3375" s="8" t="s">
        <v>5127</v>
      </c>
      <c r="D3375" s="9">
        <v>9.890907618E9</v>
      </c>
      <c r="E3375" s="8" t="s">
        <v>5128</v>
      </c>
      <c r="F3375" s="8" t="s">
        <v>3908</v>
      </c>
      <c r="G3375" s="8" t="s">
        <v>17466</v>
      </c>
      <c r="H3375" s="8" t="s">
        <v>3479</v>
      </c>
      <c r="I3375" s="9">
        <v>0.0</v>
      </c>
      <c r="J3375" s="9">
        <v>1549.0</v>
      </c>
      <c r="K3375" s="9">
        <v>1549.0</v>
      </c>
      <c r="L3375" s="9">
        <v>1549.0</v>
      </c>
      <c r="M3375" s="9">
        <v>175.0</v>
      </c>
      <c r="N3375" s="9">
        <v>775.0</v>
      </c>
      <c r="O3375" s="9">
        <v>599.0</v>
      </c>
      <c r="P3375" s="8" t="s">
        <v>3480</v>
      </c>
      <c r="Q3375" s="8"/>
      <c r="R3375" s="8"/>
    </row>
    <row r="3376">
      <c r="A3376" s="8" t="s">
        <v>3399</v>
      </c>
      <c r="B3376" s="8" t="s">
        <v>17467</v>
      </c>
      <c r="C3376" s="8" t="s">
        <v>17468</v>
      </c>
      <c r="D3376" s="9">
        <v>9.986807974E9</v>
      </c>
      <c r="E3376" s="8" t="s">
        <v>17469</v>
      </c>
      <c r="F3376" s="8" t="s">
        <v>3608</v>
      </c>
      <c r="G3376" s="8" t="s">
        <v>7125</v>
      </c>
      <c r="H3376" s="8" t="s">
        <v>3479</v>
      </c>
      <c r="I3376" s="9">
        <v>0.0</v>
      </c>
      <c r="J3376" s="9">
        <v>3339.0</v>
      </c>
      <c r="K3376" s="9">
        <v>3339.0</v>
      </c>
      <c r="L3376" s="9">
        <v>3339.0</v>
      </c>
      <c r="M3376" s="9">
        <v>1508.0</v>
      </c>
      <c r="N3376" s="9">
        <v>907.0</v>
      </c>
      <c r="O3376" s="9">
        <v>924.0</v>
      </c>
      <c r="P3376" s="8" t="s">
        <v>3480</v>
      </c>
      <c r="Q3376" s="8" t="s">
        <v>17470</v>
      </c>
      <c r="R3376" s="8" t="s">
        <v>17471</v>
      </c>
    </row>
    <row r="3377">
      <c r="A3377" s="8" t="s">
        <v>3401</v>
      </c>
      <c r="B3377" s="8" t="s">
        <v>17472</v>
      </c>
      <c r="C3377" s="8" t="s">
        <v>17473</v>
      </c>
      <c r="D3377" s="9">
        <v>7.84306786E9</v>
      </c>
      <c r="E3377" s="8" t="s">
        <v>17474</v>
      </c>
      <c r="F3377" s="8" t="s">
        <v>3517</v>
      </c>
      <c r="G3377" s="8" t="s">
        <v>17475</v>
      </c>
      <c r="H3377" s="8" t="s">
        <v>3479</v>
      </c>
      <c r="I3377" s="9">
        <v>0.0</v>
      </c>
      <c r="J3377" s="9">
        <v>629.0</v>
      </c>
      <c r="K3377" s="9">
        <v>629.0</v>
      </c>
      <c r="L3377" s="9">
        <v>629.0</v>
      </c>
      <c r="M3377" s="9">
        <v>100.0</v>
      </c>
      <c r="N3377" s="9">
        <v>80.0</v>
      </c>
      <c r="O3377" s="9">
        <v>449.0</v>
      </c>
      <c r="P3377" s="8" t="s">
        <v>3519</v>
      </c>
      <c r="Q3377" s="8" t="s">
        <v>17476</v>
      </c>
      <c r="R3377" s="8" t="s">
        <v>17477</v>
      </c>
    </row>
    <row r="3378">
      <c r="A3378" s="8" t="s">
        <v>3400</v>
      </c>
      <c r="B3378" s="8" t="s">
        <v>17478</v>
      </c>
      <c r="C3378" s="8" t="s">
        <v>17479</v>
      </c>
      <c r="D3378" s="9">
        <v>9.158557929E9</v>
      </c>
      <c r="E3378" s="8" t="s">
        <v>17480</v>
      </c>
      <c r="F3378" s="8" t="s">
        <v>4059</v>
      </c>
      <c r="G3378" s="8" t="s">
        <v>17481</v>
      </c>
      <c r="H3378" s="8" t="s">
        <v>3479</v>
      </c>
      <c r="I3378" s="9">
        <v>0.0</v>
      </c>
      <c r="J3378" s="9">
        <v>1150.0</v>
      </c>
      <c r="K3378" s="9">
        <v>1150.0</v>
      </c>
      <c r="L3378" s="9">
        <v>1150.0</v>
      </c>
      <c r="M3378" s="9">
        <v>1150.0</v>
      </c>
      <c r="N3378" s="9">
        <v>0.0</v>
      </c>
      <c r="O3378" s="9">
        <v>0.0</v>
      </c>
      <c r="P3378" s="8" t="s">
        <v>3480</v>
      </c>
      <c r="Q3378" s="8"/>
      <c r="R3378" s="8"/>
    </row>
    <row r="3379">
      <c r="A3379" s="8" t="s">
        <v>3403</v>
      </c>
      <c r="B3379" s="8" t="s">
        <v>17482</v>
      </c>
      <c r="C3379" s="8" t="s">
        <v>9023</v>
      </c>
      <c r="D3379" s="9">
        <v>9.158029726E9</v>
      </c>
      <c r="E3379" s="8" t="s">
        <v>9024</v>
      </c>
      <c r="F3379" s="8" t="s">
        <v>3901</v>
      </c>
      <c r="G3379" s="8" t="s">
        <v>17483</v>
      </c>
      <c r="H3379" s="8" t="s">
        <v>3479</v>
      </c>
      <c r="I3379" s="9">
        <v>0.0</v>
      </c>
      <c r="J3379" s="9">
        <v>2507.0</v>
      </c>
      <c r="K3379" s="9">
        <v>2507.0</v>
      </c>
      <c r="L3379" s="9">
        <v>2507.0</v>
      </c>
      <c r="M3379" s="9">
        <v>1008.0</v>
      </c>
      <c r="N3379" s="9">
        <v>900.0</v>
      </c>
      <c r="O3379" s="9">
        <v>599.0</v>
      </c>
      <c r="P3379" s="8" t="s">
        <v>3480</v>
      </c>
      <c r="Q3379" s="8" t="s">
        <v>9026</v>
      </c>
      <c r="R3379" s="8" t="s">
        <v>9027</v>
      </c>
    </row>
    <row r="3380">
      <c r="A3380" s="8" t="s">
        <v>3402</v>
      </c>
      <c r="B3380" s="8" t="s">
        <v>17484</v>
      </c>
      <c r="C3380" s="8" t="s">
        <v>17485</v>
      </c>
      <c r="D3380" s="9">
        <v>9.423472539E9</v>
      </c>
      <c r="E3380" s="8" t="s">
        <v>17486</v>
      </c>
      <c r="F3380" s="8" t="s">
        <v>3721</v>
      </c>
      <c r="G3380" s="8" t="s">
        <v>17487</v>
      </c>
      <c r="H3380" s="8" t="s">
        <v>17488</v>
      </c>
      <c r="I3380" s="9">
        <v>0.0</v>
      </c>
      <c r="J3380" s="9">
        <v>1400.0</v>
      </c>
      <c r="K3380" s="9">
        <v>1503.0</v>
      </c>
      <c r="L3380" s="9">
        <v>1400.0</v>
      </c>
      <c r="M3380" s="9">
        <v>160.0</v>
      </c>
      <c r="N3380" s="9">
        <v>739.0</v>
      </c>
      <c r="O3380" s="9">
        <v>604.0</v>
      </c>
      <c r="P3380" s="8" t="s">
        <v>3480</v>
      </c>
      <c r="Q3380" s="8"/>
      <c r="R3380" s="8"/>
    </row>
    <row r="3381">
      <c r="A3381" s="8" t="s">
        <v>3404</v>
      </c>
      <c r="B3381" s="8" t="s">
        <v>17489</v>
      </c>
      <c r="C3381" s="8" t="s">
        <v>17490</v>
      </c>
      <c r="D3381" s="9">
        <v>7.276848557E9</v>
      </c>
      <c r="E3381" s="8" t="s">
        <v>17491</v>
      </c>
      <c r="F3381" s="8" t="s">
        <v>3908</v>
      </c>
      <c r="G3381" s="8" t="s">
        <v>17492</v>
      </c>
      <c r="H3381" s="8" t="s">
        <v>3479</v>
      </c>
      <c r="I3381" s="9">
        <v>0.0</v>
      </c>
      <c r="J3381" s="9">
        <v>2509.0</v>
      </c>
      <c r="K3381" s="9">
        <v>2509.0</v>
      </c>
      <c r="L3381" s="9">
        <v>2509.0</v>
      </c>
      <c r="M3381" s="9">
        <v>1135.0</v>
      </c>
      <c r="N3381" s="9">
        <v>775.0</v>
      </c>
      <c r="O3381" s="9">
        <v>599.0</v>
      </c>
      <c r="P3381" s="8" t="s">
        <v>3480</v>
      </c>
      <c r="Q3381" s="8" t="s">
        <v>17493</v>
      </c>
      <c r="R3381" s="8" t="s">
        <v>17494</v>
      </c>
    </row>
    <row r="3382">
      <c r="A3382" s="8" t="s">
        <v>3406</v>
      </c>
      <c r="B3382" s="8" t="s">
        <v>17495</v>
      </c>
      <c r="C3382" s="8" t="s">
        <v>3587</v>
      </c>
      <c r="D3382" s="9">
        <v>9.975448803E9</v>
      </c>
      <c r="E3382" s="8" t="s">
        <v>17496</v>
      </c>
      <c r="F3382" s="8" t="s">
        <v>3589</v>
      </c>
      <c r="G3382" s="8" t="s">
        <v>9398</v>
      </c>
      <c r="H3382" s="8" t="s">
        <v>3479</v>
      </c>
      <c r="I3382" s="9">
        <v>0.0</v>
      </c>
      <c r="J3382" s="9">
        <v>1423.0</v>
      </c>
      <c r="K3382" s="9">
        <v>1423.0</v>
      </c>
      <c r="L3382" s="9">
        <v>1423.0</v>
      </c>
      <c r="M3382" s="9">
        <v>160.0</v>
      </c>
      <c r="N3382" s="9">
        <v>739.0</v>
      </c>
      <c r="O3382" s="9">
        <v>524.0</v>
      </c>
      <c r="P3382" s="8" t="s">
        <v>3480</v>
      </c>
      <c r="Q3382" s="8"/>
      <c r="R3382" s="8"/>
    </row>
    <row r="3383">
      <c r="A3383" s="8" t="s">
        <v>3405</v>
      </c>
      <c r="B3383" s="8" t="s">
        <v>17497</v>
      </c>
      <c r="C3383" s="8" t="s">
        <v>6864</v>
      </c>
      <c r="D3383" s="9">
        <v>8.308539993E9</v>
      </c>
      <c r="E3383" s="8" t="s">
        <v>6865</v>
      </c>
      <c r="F3383" s="8" t="s">
        <v>3692</v>
      </c>
      <c r="G3383" s="8" t="s">
        <v>17498</v>
      </c>
      <c r="H3383" s="8" t="s">
        <v>3479</v>
      </c>
      <c r="I3383" s="9">
        <v>0.0</v>
      </c>
      <c r="J3383" s="9">
        <v>2937.0</v>
      </c>
      <c r="K3383" s="9">
        <v>2937.0</v>
      </c>
      <c r="L3383" s="9">
        <v>2937.0</v>
      </c>
      <c r="M3383" s="9">
        <v>519.0</v>
      </c>
      <c r="N3383" s="9">
        <v>1444.0</v>
      </c>
      <c r="O3383" s="9">
        <v>974.0</v>
      </c>
      <c r="P3383" s="8" t="s">
        <v>3480</v>
      </c>
      <c r="Q3383" s="8" t="s">
        <v>6867</v>
      </c>
      <c r="R3383" s="8" t="s">
        <v>6868</v>
      </c>
    </row>
    <row r="3384">
      <c r="A3384" s="8" t="s">
        <v>3407</v>
      </c>
      <c r="B3384" s="8" t="s">
        <v>17499</v>
      </c>
      <c r="C3384" s="8" t="s">
        <v>15662</v>
      </c>
      <c r="D3384" s="9">
        <v>7.066882194E9</v>
      </c>
      <c r="E3384" s="8" t="s">
        <v>17500</v>
      </c>
      <c r="F3384" s="8" t="s">
        <v>3677</v>
      </c>
      <c r="G3384" s="8" t="s">
        <v>17501</v>
      </c>
      <c r="H3384" s="8" t="s">
        <v>3479</v>
      </c>
      <c r="I3384" s="9">
        <v>0.0</v>
      </c>
      <c r="J3384" s="9">
        <v>2791.0</v>
      </c>
      <c r="K3384" s="9">
        <v>2791.0</v>
      </c>
      <c r="L3384" s="9">
        <v>2791.0</v>
      </c>
      <c r="M3384" s="9">
        <v>1417.0</v>
      </c>
      <c r="N3384" s="9">
        <v>775.0</v>
      </c>
      <c r="O3384" s="9">
        <v>599.0</v>
      </c>
      <c r="P3384" s="8" t="s">
        <v>3480</v>
      </c>
      <c r="Q3384" s="8" t="s">
        <v>17502</v>
      </c>
      <c r="R3384" s="8" t="s">
        <v>17503</v>
      </c>
    </row>
    <row r="3385">
      <c r="A3385" s="8" t="s">
        <v>3408</v>
      </c>
      <c r="B3385" s="8" t="s">
        <v>17504</v>
      </c>
      <c r="C3385" s="8" t="s">
        <v>17505</v>
      </c>
      <c r="D3385" s="9">
        <v>7.350705297E9</v>
      </c>
      <c r="E3385" s="8" t="s">
        <v>17506</v>
      </c>
      <c r="F3385" s="8" t="s">
        <v>3550</v>
      </c>
      <c r="G3385" s="8" t="s">
        <v>17507</v>
      </c>
      <c r="H3385" s="8" t="s">
        <v>3479</v>
      </c>
      <c r="I3385" s="9">
        <v>0.0</v>
      </c>
      <c r="J3385" s="9">
        <v>1268.0</v>
      </c>
      <c r="K3385" s="9">
        <v>1268.0</v>
      </c>
      <c r="L3385" s="9">
        <v>1268.0</v>
      </c>
      <c r="M3385" s="9">
        <v>80.0</v>
      </c>
      <c r="N3385" s="9">
        <v>739.0</v>
      </c>
      <c r="O3385" s="9">
        <v>449.0</v>
      </c>
      <c r="P3385" s="8" t="s">
        <v>3480</v>
      </c>
      <c r="Q3385" s="8" t="s">
        <v>17508</v>
      </c>
      <c r="R3385" s="8" t="s">
        <v>17509</v>
      </c>
    </row>
    <row r="3386">
      <c r="A3386" s="8" t="s">
        <v>3410</v>
      </c>
      <c r="B3386" s="8" t="s">
        <v>17510</v>
      </c>
      <c r="C3386" s="8" t="s">
        <v>10191</v>
      </c>
      <c r="D3386" s="9">
        <v>9.923659552E9</v>
      </c>
      <c r="E3386" s="8" t="s">
        <v>10192</v>
      </c>
      <c r="F3386" s="8" t="s">
        <v>3863</v>
      </c>
      <c r="G3386" s="8" t="s">
        <v>17511</v>
      </c>
      <c r="H3386" s="8" t="s">
        <v>3479</v>
      </c>
      <c r="I3386" s="9">
        <v>0.0</v>
      </c>
      <c r="J3386" s="9">
        <v>2278.0</v>
      </c>
      <c r="K3386" s="9">
        <v>2278.0</v>
      </c>
      <c r="L3386" s="9">
        <v>2278.0</v>
      </c>
      <c r="M3386" s="9">
        <v>1090.0</v>
      </c>
      <c r="N3386" s="9">
        <v>739.0</v>
      </c>
      <c r="O3386" s="9">
        <v>449.0</v>
      </c>
      <c r="P3386" s="8" t="s">
        <v>3519</v>
      </c>
      <c r="Q3386" s="8" t="s">
        <v>10194</v>
      </c>
      <c r="R3386" s="8"/>
    </row>
    <row r="3387">
      <c r="A3387" s="8" t="s">
        <v>3409</v>
      </c>
      <c r="B3387" s="8" t="s">
        <v>17512</v>
      </c>
      <c r="C3387" s="8" t="s">
        <v>9277</v>
      </c>
      <c r="D3387" s="9">
        <v>9.881399332E9</v>
      </c>
      <c r="E3387" s="8" t="s">
        <v>9278</v>
      </c>
      <c r="F3387" s="8" t="s">
        <v>4507</v>
      </c>
      <c r="G3387" s="8" t="s">
        <v>4012</v>
      </c>
      <c r="H3387" s="8" t="s">
        <v>3479</v>
      </c>
      <c r="I3387" s="9">
        <v>0.0</v>
      </c>
      <c r="J3387" s="9">
        <v>3911.0</v>
      </c>
      <c r="K3387" s="9">
        <v>3911.0</v>
      </c>
      <c r="L3387" s="9">
        <v>3911.0</v>
      </c>
      <c r="M3387" s="9">
        <v>1304.0</v>
      </c>
      <c r="N3387" s="9">
        <v>1533.0</v>
      </c>
      <c r="O3387" s="9">
        <v>1074.0</v>
      </c>
      <c r="P3387" s="8" t="s">
        <v>3480</v>
      </c>
      <c r="Q3387" s="8" t="s">
        <v>9280</v>
      </c>
      <c r="R3387" s="8" t="s">
        <v>9281</v>
      </c>
    </row>
    <row r="3388">
      <c r="A3388" s="8" t="s">
        <v>3412</v>
      </c>
      <c r="B3388" s="8" t="s">
        <v>17513</v>
      </c>
      <c r="C3388" s="8" t="s">
        <v>13408</v>
      </c>
      <c r="D3388" s="9">
        <v>8.855831445E9</v>
      </c>
      <c r="E3388" s="8" t="s">
        <v>13409</v>
      </c>
      <c r="F3388" s="8" t="s">
        <v>3550</v>
      </c>
      <c r="G3388" s="8" t="s">
        <v>17514</v>
      </c>
      <c r="H3388" s="8" t="s">
        <v>3479</v>
      </c>
      <c r="I3388" s="9">
        <v>0.0</v>
      </c>
      <c r="J3388" s="9">
        <v>1481.0</v>
      </c>
      <c r="K3388" s="9">
        <v>1481.0</v>
      </c>
      <c r="L3388" s="9">
        <v>1481.0</v>
      </c>
      <c r="M3388" s="9">
        <v>293.0</v>
      </c>
      <c r="N3388" s="9">
        <v>739.0</v>
      </c>
      <c r="O3388" s="9">
        <v>449.0</v>
      </c>
      <c r="P3388" s="8" t="s">
        <v>3480</v>
      </c>
      <c r="Q3388" s="8"/>
      <c r="R3388" s="8"/>
    </row>
    <row r="3389">
      <c r="A3389" s="8" t="s">
        <v>3411</v>
      </c>
      <c r="B3389" s="8" t="s">
        <v>17515</v>
      </c>
      <c r="C3389" s="8" t="s">
        <v>17516</v>
      </c>
      <c r="D3389" s="9">
        <v>9.930629987E9</v>
      </c>
      <c r="E3389" s="8" t="s">
        <v>17517</v>
      </c>
      <c r="F3389" s="8" t="s">
        <v>8030</v>
      </c>
      <c r="G3389" s="8" t="s">
        <v>17518</v>
      </c>
      <c r="H3389" s="8" t="s">
        <v>3479</v>
      </c>
      <c r="I3389" s="9">
        <v>0.0</v>
      </c>
      <c r="J3389" s="9">
        <v>1791.0</v>
      </c>
      <c r="K3389" s="9">
        <v>1791.0</v>
      </c>
      <c r="L3389" s="9">
        <v>1791.0</v>
      </c>
      <c r="M3389" s="9">
        <v>683.0</v>
      </c>
      <c r="N3389" s="9">
        <v>659.0</v>
      </c>
      <c r="O3389" s="9">
        <v>449.0</v>
      </c>
      <c r="P3389" s="8" t="s">
        <v>3480</v>
      </c>
      <c r="Q3389" s="8"/>
      <c r="R3389" s="8"/>
    </row>
    <row r="3390">
      <c r="A3390" s="8" t="s">
        <v>494</v>
      </c>
      <c r="B3390" s="8" t="s">
        <v>17519</v>
      </c>
      <c r="C3390" s="8" t="s">
        <v>17520</v>
      </c>
      <c r="D3390" s="9">
        <v>7.058814314E9</v>
      </c>
      <c r="E3390" s="8" t="s">
        <v>17521</v>
      </c>
      <c r="F3390" s="8" t="s">
        <v>4239</v>
      </c>
      <c r="G3390" s="8" t="s">
        <v>17522</v>
      </c>
      <c r="H3390" s="8" t="s">
        <v>3479</v>
      </c>
      <c r="I3390" s="9">
        <v>0.0</v>
      </c>
      <c r="J3390" s="9">
        <v>3351.0</v>
      </c>
      <c r="K3390" s="9">
        <v>3351.0</v>
      </c>
      <c r="L3390" s="9">
        <v>3351.0</v>
      </c>
      <c r="M3390" s="9">
        <v>2088.0</v>
      </c>
      <c r="N3390" s="9">
        <v>739.0</v>
      </c>
      <c r="O3390" s="9">
        <v>524.0</v>
      </c>
      <c r="P3390" s="8" t="s">
        <v>3519</v>
      </c>
      <c r="Q3390" s="8" t="s">
        <v>17523</v>
      </c>
      <c r="R3390" s="8" t="s">
        <v>17524</v>
      </c>
    </row>
    <row r="3391">
      <c r="A3391" s="8" t="s">
        <v>493</v>
      </c>
      <c r="B3391" s="8" t="s">
        <v>17525</v>
      </c>
      <c r="C3391" s="8" t="s">
        <v>17526</v>
      </c>
      <c r="D3391" s="9">
        <v>7.97238459E9</v>
      </c>
      <c r="E3391" s="8" t="s">
        <v>17527</v>
      </c>
      <c r="F3391" s="8" t="s">
        <v>6455</v>
      </c>
      <c r="G3391" s="8" t="s">
        <v>17528</v>
      </c>
      <c r="H3391" s="8" t="s">
        <v>3479</v>
      </c>
      <c r="I3391" s="9">
        <v>0.0</v>
      </c>
      <c r="J3391" s="9">
        <v>2074.0</v>
      </c>
      <c r="K3391" s="9">
        <v>2074.0</v>
      </c>
      <c r="L3391" s="9">
        <v>2074.0</v>
      </c>
      <c r="M3391" s="9">
        <v>886.0</v>
      </c>
      <c r="N3391" s="9">
        <v>739.0</v>
      </c>
      <c r="O3391" s="9">
        <v>449.0</v>
      </c>
      <c r="P3391" s="8" t="s">
        <v>3480</v>
      </c>
      <c r="Q3391" s="8"/>
      <c r="R3391" s="8"/>
    </row>
    <row r="3392">
      <c r="A3392" s="8" t="s">
        <v>496</v>
      </c>
      <c r="B3392" s="8" t="s">
        <v>17529</v>
      </c>
      <c r="C3392" s="8" t="s">
        <v>15916</v>
      </c>
      <c r="D3392" s="9">
        <v>8.435560245E9</v>
      </c>
      <c r="E3392" s="8" t="s">
        <v>17530</v>
      </c>
      <c r="F3392" s="8" t="s">
        <v>3775</v>
      </c>
      <c r="G3392" s="8" t="s">
        <v>17531</v>
      </c>
      <c r="H3392" s="8" t="s">
        <v>3479</v>
      </c>
      <c r="I3392" s="9">
        <v>0.0</v>
      </c>
      <c r="J3392" s="9">
        <v>2903.0</v>
      </c>
      <c r="K3392" s="9">
        <v>2903.0</v>
      </c>
      <c r="L3392" s="9">
        <v>2903.0</v>
      </c>
      <c r="M3392" s="9">
        <v>1615.0</v>
      </c>
      <c r="N3392" s="9">
        <v>739.0</v>
      </c>
      <c r="O3392" s="9">
        <v>549.0</v>
      </c>
      <c r="P3392" s="8" t="s">
        <v>3480</v>
      </c>
      <c r="Q3392" s="8" t="s">
        <v>17532</v>
      </c>
      <c r="R3392" s="8" t="s">
        <v>17533</v>
      </c>
    </row>
    <row r="3393">
      <c r="A3393" s="8" t="s">
        <v>3413</v>
      </c>
      <c r="B3393" s="8" t="s">
        <v>17534</v>
      </c>
      <c r="C3393" s="8" t="s">
        <v>17535</v>
      </c>
      <c r="D3393" s="9">
        <v>8.605012664E9</v>
      </c>
      <c r="E3393" s="8" t="s">
        <v>17536</v>
      </c>
      <c r="F3393" s="8" t="s">
        <v>3653</v>
      </c>
      <c r="G3393" s="8" t="s">
        <v>17537</v>
      </c>
      <c r="H3393" s="8" t="s">
        <v>3479</v>
      </c>
      <c r="I3393" s="9">
        <v>0.0</v>
      </c>
      <c r="J3393" s="9">
        <v>1554.0</v>
      </c>
      <c r="K3393" s="9">
        <v>1554.0</v>
      </c>
      <c r="L3393" s="9">
        <v>1554.0</v>
      </c>
      <c r="M3393" s="9">
        <v>80.0</v>
      </c>
      <c r="N3393" s="9">
        <v>775.0</v>
      </c>
      <c r="O3393" s="9">
        <v>699.0</v>
      </c>
      <c r="P3393" s="8" t="s">
        <v>3544</v>
      </c>
      <c r="Q3393" s="8" t="s">
        <v>17538</v>
      </c>
      <c r="R3393" s="8" t="s">
        <v>17539</v>
      </c>
    </row>
    <row r="3394">
      <c r="A3394" s="8" t="s">
        <v>953</v>
      </c>
      <c r="B3394" s="8" t="s">
        <v>17540</v>
      </c>
      <c r="C3394" s="8" t="s">
        <v>11859</v>
      </c>
      <c r="D3394" s="9">
        <v>9.850575226E9</v>
      </c>
      <c r="E3394" s="8" t="s">
        <v>17541</v>
      </c>
      <c r="F3394" s="8" t="s">
        <v>3721</v>
      </c>
      <c r="G3394" s="8" t="s">
        <v>17542</v>
      </c>
      <c r="H3394" s="8" t="s">
        <v>3479</v>
      </c>
      <c r="I3394" s="9">
        <v>0.0</v>
      </c>
      <c r="J3394" s="9">
        <v>1423.0</v>
      </c>
      <c r="K3394" s="9">
        <v>1423.0</v>
      </c>
      <c r="L3394" s="9">
        <v>1423.0</v>
      </c>
      <c r="M3394" s="9">
        <v>160.0</v>
      </c>
      <c r="N3394" s="9">
        <v>739.0</v>
      </c>
      <c r="O3394" s="9">
        <v>524.0</v>
      </c>
      <c r="P3394" s="8" t="s">
        <v>3480</v>
      </c>
      <c r="Q3394" s="8" t="s">
        <v>17543</v>
      </c>
      <c r="R3394" s="8"/>
    </row>
    <row r="3395">
      <c r="A3395" s="8" t="s">
        <v>497</v>
      </c>
      <c r="B3395" s="8" t="s">
        <v>17544</v>
      </c>
      <c r="C3395" s="8" t="s">
        <v>13776</v>
      </c>
      <c r="D3395" s="9">
        <v>8.928136051E9</v>
      </c>
      <c r="E3395" s="8" t="s">
        <v>13777</v>
      </c>
      <c r="F3395" s="8" t="s">
        <v>3721</v>
      </c>
      <c r="G3395" s="8" t="s">
        <v>17545</v>
      </c>
      <c r="H3395" s="8" t="s">
        <v>3479</v>
      </c>
      <c r="I3395" s="9">
        <v>0.0</v>
      </c>
      <c r="J3395" s="9">
        <v>1768.0</v>
      </c>
      <c r="K3395" s="9">
        <v>1768.0</v>
      </c>
      <c r="L3395" s="9">
        <v>1768.0</v>
      </c>
      <c r="M3395" s="9">
        <v>355.0</v>
      </c>
      <c r="N3395" s="9">
        <v>739.0</v>
      </c>
      <c r="O3395" s="9">
        <v>674.0</v>
      </c>
      <c r="P3395" s="8" t="s">
        <v>3544</v>
      </c>
      <c r="Q3395" s="8" t="s">
        <v>13779</v>
      </c>
      <c r="R3395" s="8" t="s">
        <v>13780</v>
      </c>
    </row>
    <row r="3396">
      <c r="A3396" s="8" t="s">
        <v>3433</v>
      </c>
      <c r="B3396" s="8" t="s">
        <v>17546</v>
      </c>
      <c r="C3396" s="8" t="s">
        <v>10778</v>
      </c>
      <c r="D3396" s="9">
        <v>9.922429779E9</v>
      </c>
      <c r="E3396" s="8" t="s">
        <v>17547</v>
      </c>
      <c r="F3396" s="8" t="s">
        <v>3881</v>
      </c>
      <c r="G3396" s="8" t="s">
        <v>17548</v>
      </c>
      <c r="H3396" s="8" t="s">
        <v>3479</v>
      </c>
      <c r="I3396" s="9">
        <v>0.0</v>
      </c>
      <c r="J3396" s="9">
        <v>1550.0</v>
      </c>
      <c r="K3396" s="9">
        <v>1550.0</v>
      </c>
      <c r="L3396" s="9">
        <v>1550.0</v>
      </c>
      <c r="M3396" s="9">
        <v>1550.0</v>
      </c>
      <c r="N3396" s="9">
        <v>0.0</v>
      </c>
      <c r="O3396" s="9">
        <v>0.0</v>
      </c>
      <c r="P3396" s="8" t="s">
        <v>3480</v>
      </c>
      <c r="Q3396" s="8" t="s">
        <v>10781</v>
      </c>
      <c r="R3396" s="8" t="s">
        <v>10782</v>
      </c>
    </row>
    <row r="3397">
      <c r="A3397" s="8" t="s">
        <v>3434</v>
      </c>
      <c r="B3397" s="8" t="s">
        <v>17549</v>
      </c>
      <c r="C3397" s="8" t="s">
        <v>14826</v>
      </c>
      <c r="D3397" s="9">
        <v>9.028134385E9</v>
      </c>
      <c r="E3397" s="8" t="s">
        <v>14827</v>
      </c>
      <c r="F3397" s="8" t="s">
        <v>3908</v>
      </c>
      <c r="G3397" s="8" t="s">
        <v>7665</v>
      </c>
      <c r="H3397" s="8" t="s">
        <v>3479</v>
      </c>
      <c r="I3397" s="9">
        <v>0.0</v>
      </c>
      <c r="J3397" s="9">
        <v>2089.0</v>
      </c>
      <c r="K3397" s="9">
        <v>2089.0</v>
      </c>
      <c r="L3397" s="9">
        <v>2089.0</v>
      </c>
      <c r="M3397" s="9">
        <v>715.0</v>
      </c>
      <c r="N3397" s="9">
        <v>775.0</v>
      </c>
      <c r="O3397" s="9">
        <v>599.0</v>
      </c>
      <c r="P3397" s="8" t="s">
        <v>3480</v>
      </c>
      <c r="Q3397" s="8" t="s">
        <v>14829</v>
      </c>
      <c r="R3397" s="8" t="s">
        <v>14830</v>
      </c>
    </row>
    <row r="3398">
      <c r="A3398" s="8" t="s">
        <v>498</v>
      </c>
      <c r="B3398" s="8" t="s">
        <v>17550</v>
      </c>
      <c r="C3398" s="8" t="s">
        <v>17551</v>
      </c>
      <c r="D3398" s="9">
        <v>9.921181102E9</v>
      </c>
      <c r="E3398" s="8" t="s">
        <v>17552</v>
      </c>
      <c r="F3398" s="8" t="s">
        <v>6910</v>
      </c>
      <c r="G3398" s="8" t="s">
        <v>17553</v>
      </c>
      <c r="H3398" s="8" t="s">
        <v>12732</v>
      </c>
      <c r="I3398" s="9">
        <v>0.0</v>
      </c>
      <c r="J3398" s="9">
        <v>1800.0</v>
      </c>
      <c r="K3398" s="9">
        <v>1890.0</v>
      </c>
      <c r="L3398" s="9">
        <v>1800.0</v>
      </c>
      <c r="M3398" s="9">
        <v>702.0</v>
      </c>
      <c r="N3398" s="9">
        <v>739.0</v>
      </c>
      <c r="O3398" s="9">
        <v>449.0</v>
      </c>
      <c r="P3398" s="8" t="s">
        <v>3519</v>
      </c>
      <c r="Q3398" s="8"/>
      <c r="R3398" s="8"/>
    </row>
    <row r="3399">
      <c r="A3399" s="8" t="s">
        <v>3432</v>
      </c>
      <c r="B3399" s="8" t="s">
        <v>17554</v>
      </c>
      <c r="C3399" s="8" t="s">
        <v>17555</v>
      </c>
      <c r="D3399" s="9">
        <v>9.922979999E9</v>
      </c>
      <c r="E3399" s="8" t="s">
        <v>17556</v>
      </c>
      <c r="F3399" s="8" t="s">
        <v>3757</v>
      </c>
      <c r="G3399" s="8" t="s">
        <v>17557</v>
      </c>
      <c r="H3399" s="8" t="s">
        <v>17558</v>
      </c>
      <c r="I3399" s="9">
        <v>0.0</v>
      </c>
      <c r="J3399" s="9">
        <v>3500.0</v>
      </c>
      <c r="K3399" s="9">
        <v>3657.0</v>
      </c>
      <c r="L3399" s="9">
        <v>3500.0</v>
      </c>
      <c r="M3399" s="9">
        <v>778.0</v>
      </c>
      <c r="N3399" s="9">
        <v>1655.0</v>
      </c>
      <c r="O3399" s="9">
        <v>1224.0</v>
      </c>
      <c r="P3399" s="8" t="s">
        <v>3480</v>
      </c>
      <c r="Q3399" s="8"/>
      <c r="R3399" s="8"/>
    </row>
    <row r="3400">
      <c r="A3400" s="8" t="s">
        <v>3435</v>
      </c>
      <c r="B3400" s="8" t="s">
        <v>17559</v>
      </c>
      <c r="C3400" s="8" t="s">
        <v>8430</v>
      </c>
      <c r="D3400" s="9">
        <v>9.011557655E9</v>
      </c>
      <c r="E3400" s="8" t="s">
        <v>8431</v>
      </c>
      <c r="F3400" s="8" t="s">
        <v>3498</v>
      </c>
      <c r="G3400" s="8" t="s">
        <v>17560</v>
      </c>
      <c r="H3400" s="8" t="s">
        <v>3479</v>
      </c>
      <c r="I3400" s="9">
        <v>0.0</v>
      </c>
      <c r="J3400" s="9">
        <v>1572.0</v>
      </c>
      <c r="K3400" s="9">
        <v>1572.0</v>
      </c>
      <c r="L3400" s="9">
        <v>1572.0</v>
      </c>
      <c r="M3400" s="9">
        <v>313.0</v>
      </c>
      <c r="N3400" s="9">
        <v>730.0</v>
      </c>
      <c r="O3400" s="9">
        <v>529.0</v>
      </c>
      <c r="P3400" s="8" t="s">
        <v>3480</v>
      </c>
      <c r="Q3400" s="8" t="s">
        <v>8433</v>
      </c>
      <c r="R3400" s="8" t="s">
        <v>8434</v>
      </c>
    </row>
    <row r="3401">
      <c r="A3401" s="8" t="s">
        <v>3436</v>
      </c>
      <c r="B3401" s="8" t="s">
        <v>17561</v>
      </c>
      <c r="C3401" s="8" t="s">
        <v>7552</v>
      </c>
      <c r="D3401" s="9">
        <v>9.021943433E9</v>
      </c>
      <c r="E3401" s="8" t="s">
        <v>17562</v>
      </c>
      <c r="F3401" s="8" t="s">
        <v>3615</v>
      </c>
      <c r="G3401" s="8" t="s">
        <v>17563</v>
      </c>
      <c r="H3401" s="8" t="s">
        <v>3479</v>
      </c>
      <c r="I3401" s="9">
        <v>0.0</v>
      </c>
      <c r="J3401" s="9">
        <v>2222.0</v>
      </c>
      <c r="K3401" s="9">
        <v>2222.0</v>
      </c>
      <c r="L3401" s="9">
        <v>2222.0</v>
      </c>
      <c r="M3401" s="9">
        <v>998.0</v>
      </c>
      <c r="N3401" s="9">
        <v>775.0</v>
      </c>
      <c r="O3401" s="9">
        <v>449.0</v>
      </c>
      <c r="P3401" s="8" t="s">
        <v>3480</v>
      </c>
      <c r="Q3401" s="8" t="s">
        <v>17564</v>
      </c>
      <c r="R3401" s="8" t="s">
        <v>17565</v>
      </c>
    </row>
    <row r="3402">
      <c r="A3402" s="8" t="s">
        <v>3437</v>
      </c>
      <c r="B3402" s="8" t="s">
        <v>17566</v>
      </c>
      <c r="C3402" s="8" t="s">
        <v>17567</v>
      </c>
      <c r="D3402" s="9">
        <v>7.304485433E9</v>
      </c>
      <c r="E3402" s="8" t="s">
        <v>17568</v>
      </c>
      <c r="F3402" s="8" t="s">
        <v>5613</v>
      </c>
      <c r="G3402" s="8" t="s">
        <v>17569</v>
      </c>
      <c r="H3402" s="8" t="s">
        <v>3479</v>
      </c>
      <c r="I3402" s="9">
        <v>0.0</v>
      </c>
      <c r="J3402" s="9">
        <v>1576.0</v>
      </c>
      <c r="K3402" s="9">
        <v>1576.0</v>
      </c>
      <c r="L3402" s="9">
        <v>1576.0</v>
      </c>
      <c r="M3402" s="9">
        <v>313.0</v>
      </c>
      <c r="N3402" s="9">
        <v>739.0</v>
      </c>
      <c r="O3402" s="9">
        <v>524.0</v>
      </c>
      <c r="P3402" s="8" t="s">
        <v>3544</v>
      </c>
      <c r="Q3402" s="8"/>
      <c r="R3402" s="8"/>
    </row>
    <row r="3403">
      <c r="A3403" s="8" t="s">
        <v>3438</v>
      </c>
      <c r="B3403" s="8" t="s">
        <v>17570</v>
      </c>
      <c r="C3403" s="8" t="s">
        <v>11504</v>
      </c>
      <c r="D3403" s="9">
        <v>7.767872521E9</v>
      </c>
      <c r="E3403" s="8" t="s">
        <v>17571</v>
      </c>
      <c r="F3403" s="8" t="s">
        <v>3821</v>
      </c>
      <c r="G3403" s="8" t="s">
        <v>17572</v>
      </c>
      <c r="H3403" s="8" t="s">
        <v>3479</v>
      </c>
      <c r="I3403" s="9">
        <v>0.0</v>
      </c>
      <c r="J3403" s="9">
        <v>1593.0</v>
      </c>
      <c r="K3403" s="9">
        <v>1593.0</v>
      </c>
      <c r="L3403" s="9">
        <v>1593.0</v>
      </c>
      <c r="M3403" s="9">
        <v>325.0</v>
      </c>
      <c r="N3403" s="9">
        <v>739.0</v>
      </c>
      <c r="O3403" s="9">
        <v>529.0</v>
      </c>
      <c r="P3403" s="8" t="s">
        <v>3480</v>
      </c>
      <c r="Q3403" s="8"/>
      <c r="R3403" s="8"/>
    </row>
    <row r="3404">
      <c r="A3404" s="8" t="s">
        <v>3439</v>
      </c>
      <c r="B3404" s="8" t="s">
        <v>17573</v>
      </c>
      <c r="C3404" s="8" t="s">
        <v>10278</v>
      </c>
      <c r="D3404" s="9">
        <v>7.744874182E9</v>
      </c>
      <c r="E3404" s="8" t="s">
        <v>15612</v>
      </c>
      <c r="F3404" s="8" t="s">
        <v>4143</v>
      </c>
      <c r="G3404" s="8" t="s">
        <v>17574</v>
      </c>
      <c r="H3404" s="8" t="s">
        <v>3479</v>
      </c>
      <c r="I3404" s="9">
        <v>0.0</v>
      </c>
      <c r="J3404" s="9">
        <v>3141.0</v>
      </c>
      <c r="K3404" s="9">
        <v>3141.0</v>
      </c>
      <c r="L3404" s="9">
        <v>3141.0</v>
      </c>
      <c r="M3404" s="9">
        <v>1577.0</v>
      </c>
      <c r="N3404" s="9">
        <v>840.0</v>
      </c>
      <c r="O3404" s="9">
        <v>724.0</v>
      </c>
      <c r="P3404" s="8" t="s">
        <v>3480</v>
      </c>
      <c r="Q3404" s="8"/>
      <c r="R3404" s="8" t="s">
        <v>15614</v>
      </c>
    </row>
    <row r="3405">
      <c r="A3405" s="8" t="s">
        <v>3440</v>
      </c>
      <c r="B3405" s="8" t="s">
        <v>17575</v>
      </c>
      <c r="C3405" s="8" t="s">
        <v>6245</v>
      </c>
      <c r="D3405" s="9">
        <v>9.140942561E9</v>
      </c>
      <c r="E3405" s="8" t="s">
        <v>8419</v>
      </c>
      <c r="F3405" s="8" t="s">
        <v>3550</v>
      </c>
      <c r="G3405" s="8" t="s">
        <v>17576</v>
      </c>
      <c r="H3405" s="8" t="s">
        <v>3479</v>
      </c>
      <c r="I3405" s="9">
        <v>0.0</v>
      </c>
      <c r="J3405" s="9">
        <v>1308.0</v>
      </c>
      <c r="K3405" s="9">
        <v>1308.0</v>
      </c>
      <c r="L3405" s="9">
        <v>1308.0</v>
      </c>
      <c r="M3405" s="9">
        <v>120.0</v>
      </c>
      <c r="N3405" s="9">
        <v>739.0</v>
      </c>
      <c r="O3405" s="9">
        <v>449.0</v>
      </c>
      <c r="P3405" s="8" t="s">
        <v>3480</v>
      </c>
      <c r="Q3405" s="8"/>
      <c r="R3405" s="8"/>
    </row>
    <row r="3406">
      <c r="A3406" s="8" t="s">
        <v>3441</v>
      </c>
      <c r="B3406" s="8" t="s">
        <v>17577</v>
      </c>
      <c r="C3406" s="8" t="s">
        <v>10472</v>
      </c>
      <c r="D3406" s="9">
        <v>9.89055556E9</v>
      </c>
      <c r="E3406" s="8" t="s">
        <v>10473</v>
      </c>
      <c r="F3406" s="8" t="s">
        <v>3594</v>
      </c>
      <c r="G3406" s="8" t="s">
        <v>17578</v>
      </c>
      <c r="H3406" s="8" t="s">
        <v>3479</v>
      </c>
      <c r="I3406" s="9">
        <v>0.0</v>
      </c>
      <c r="J3406" s="9">
        <v>2829.0</v>
      </c>
      <c r="K3406" s="9">
        <v>2829.0</v>
      </c>
      <c r="L3406" s="9">
        <v>2829.0</v>
      </c>
      <c r="M3406" s="9">
        <v>1561.0</v>
      </c>
      <c r="N3406" s="9">
        <v>739.0</v>
      </c>
      <c r="O3406" s="9">
        <v>529.0</v>
      </c>
      <c r="P3406" s="8" t="s">
        <v>3480</v>
      </c>
      <c r="Q3406" s="8" t="s">
        <v>10475</v>
      </c>
      <c r="R3406" s="8" t="s">
        <v>10476</v>
      </c>
    </row>
    <row r="3407">
      <c r="A3407" s="8" t="s">
        <v>3442</v>
      </c>
      <c r="B3407" s="8" t="s">
        <v>17579</v>
      </c>
      <c r="C3407" s="8" t="s">
        <v>3944</v>
      </c>
      <c r="D3407" s="9">
        <v>9.970886964E9</v>
      </c>
      <c r="E3407" s="8" t="s">
        <v>3945</v>
      </c>
      <c r="F3407" s="8" t="s">
        <v>3498</v>
      </c>
      <c r="G3407" s="8" t="s">
        <v>3946</v>
      </c>
      <c r="H3407" s="8" t="s">
        <v>3479</v>
      </c>
      <c r="I3407" s="9">
        <v>0.0</v>
      </c>
      <c r="J3407" s="9">
        <v>2051.0</v>
      </c>
      <c r="K3407" s="9">
        <v>2051.0</v>
      </c>
      <c r="L3407" s="9">
        <v>2051.0</v>
      </c>
      <c r="M3407" s="9">
        <v>763.0</v>
      </c>
      <c r="N3407" s="9">
        <v>739.0</v>
      </c>
      <c r="O3407" s="9">
        <v>549.0</v>
      </c>
      <c r="P3407" s="8" t="s">
        <v>3480</v>
      </c>
      <c r="Q3407" s="8"/>
      <c r="R3407" s="8"/>
    </row>
    <row r="3408">
      <c r="A3408" s="8" t="s">
        <v>3443</v>
      </c>
      <c r="B3408" s="8" t="s">
        <v>17580</v>
      </c>
      <c r="C3408" s="8" t="s">
        <v>6181</v>
      </c>
      <c r="D3408" s="9">
        <v>9.82230392E9</v>
      </c>
      <c r="E3408" s="8" t="s">
        <v>17581</v>
      </c>
      <c r="F3408" s="8" t="s">
        <v>3821</v>
      </c>
      <c r="G3408" s="8" t="s">
        <v>17582</v>
      </c>
      <c r="H3408" s="8" t="s">
        <v>17583</v>
      </c>
      <c r="I3408" s="9">
        <v>0.0</v>
      </c>
      <c r="J3408" s="9">
        <v>3800.0</v>
      </c>
      <c r="K3408" s="9">
        <v>4016.0</v>
      </c>
      <c r="L3408" s="9">
        <v>3800.0</v>
      </c>
      <c r="M3408" s="9">
        <v>2828.0</v>
      </c>
      <c r="N3408" s="9">
        <v>739.0</v>
      </c>
      <c r="O3408" s="9">
        <v>449.0</v>
      </c>
      <c r="P3408" s="8" t="s">
        <v>3480</v>
      </c>
      <c r="Q3408" s="8" t="s">
        <v>17584</v>
      </c>
      <c r="R3408" s="8" t="s">
        <v>17585</v>
      </c>
    </row>
    <row r="3409">
      <c r="A3409" s="8" t="s">
        <v>3444</v>
      </c>
      <c r="B3409" s="8" t="s">
        <v>17586</v>
      </c>
      <c r="C3409" s="8" t="s">
        <v>6712</v>
      </c>
      <c r="D3409" s="9">
        <v>9.881889367E9</v>
      </c>
      <c r="E3409" s="8" t="s">
        <v>6713</v>
      </c>
      <c r="F3409" s="8" t="s">
        <v>3486</v>
      </c>
      <c r="G3409" s="8" t="s">
        <v>17587</v>
      </c>
      <c r="H3409" s="8" t="s">
        <v>3479</v>
      </c>
      <c r="I3409" s="9">
        <v>0.0</v>
      </c>
      <c r="J3409" s="9">
        <v>3403.0</v>
      </c>
      <c r="K3409" s="9">
        <v>3403.0</v>
      </c>
      <c r="L3409" s="9">
        <v>3403.0</v>
      </c>
      <c r="M3409" s="9">
        <v>1865.0</v>
      </c>
      <c r="N3409" s="9">
        <v>739.0</v>
      </c>
      <c r="O3409" s="9">
        <v>799.0</v>
      </c>
      <c r="P3409" s="8" t="s">
        <v>3480</v>
      </c>
      <c r="Q3409" s="8" t="s">
        <v>6715</v>
      </c>
      <c r="R3409" s="8" t="s">
        <v>6716</v>
      </c>
    </row>
    <row r="3410">
      <c r="A3410" s="8" t="s">
        <v>499</v>
      </c>
      <c r="B3410" s="8" t="s">
        <v>17588</v>
      </c>
      <c r="C3410" s="8" t="s">
        <v>17589</v>
      </c>
      <c r="D3410" s="9">
        <v>7.089897342E9</v>
      </c>
      <c r="E3410" s="8" t="s">
        <v>17590</v>
      </c>
      <c r="F3410" s="8" t="s">
        <v>4373</v>
      </c>
      <c r="G3410" s="8" t="s">
        <v>17591</v>
      </c>
      <c r="H3410" s="8" t="s">
        <v>3479</v>
      </c>
      <c r="I3410" s="9">
        <v>0.0</v>
      </c>
      <c r="J3410" s="9">
        <v>4496.0</v>
      </c>
      <c r="K3410" s="9">
        <v>4496.0</v>
      </c>
      <c r="L3410" s="9">
        <v>4496.0</v>
      </c>
      <c r="M3410" s="9">
        <v>3122.0</v>
      </c>
      <c r="N3410" s="9">
        <v>775.0</v>
      </c>
      <c r="O3410" s="9">
        <v>599.0</v>
      </c>
      <c r="P3410" s="8" t="s">
        <v>3480</v>
      </c>
      <c r="Q3410" s="8"/>
      <c r="R3410" s="8"/>
    </row>
    <row r="3411">
      <c r="A3411" s="8" t="s">
        <v>500</v>
      </c>
      <c r="B3411" s="8" t="s">
        <v>17592</v>
      </c>
      <c r="C3411" s="8" t="s">
        <v>6754</v>
      </c>
      <c r="D3411" s="9">
        <v>7.420035795E9</v>
      </c>
      <c r="E3411" s="8" t="s">
        <v>6755</v>
      </c>
      <c r="F3411" s="8" t="s">
        <v>3721</v>
      </c>
      <c r="G3411" s="8" t="s">
        <v>4211</v>
      </c>
      <c r="H3411" s="8" t="s">
        <v>17593</v>
      </c>
      <c r="I3411" s="9">
        <v>0.0</v>
      </c>
      <c r="J3411" s="9">
        <v>0.0</v>
      </c>
      <c r="K3411" s="9">
        <v>2470.0</v>
      </c>
      <c r="L3411" s="9">
        <v>2300.0</v>
      </c>
      <c r="M3411" s="9">
        <v>2470.0</v>
      </c>
      <c r="N3411" s="9">
        <v>0.0</v>
      </c>
      <c r="O3411" s="9">
        <v>0.0</v>
      </c>
      <c r="P3411" s="8" t="s">
        <v>3519</v>
      </c>
      <c r="Q3411" s="8" t="s">
        <v>6756</v>
      </c>
      <c r="R3411" s="8" t="s">
        <v>6757</v>
      </c>
    </row>
    <row r="3412">
      <c r="A3412" s="8" t="s">
        <v>501</v>
      </c>
      <c r="B3412" s="8" t="s">
        <v>17594</v>
      </c>
      <c r="C3412" s="8" t="s">
        <v>4225</v>
      </c>
      <c r="D3412" s="9">
        <v>9.730491631E9</v>
      </c>
      <c r="E3412" s="8" t="s">
        <v>17595</v>
      </c>
      <c r="F3412" s="8" t="s">
        <v>6118</v>
      </c>
      <c r="G3412" s="8" t="s">
        <v>17596</v>
      </c>
      <c r="H3412" s="8" t="s">
        <v>3479</v>
      </c>
      <c r="I3412" s="9">
        <v>0.0</v>
      </c>
      <c r="J3412" s="9">
        <v>1268.0</v>
      </c>
      <c r="K3412" s="9">
        <v>1268.0</v>
      </c>
      <c r="L3412" s="9">
        <v>1268.0</v>
      </c>
      <c r="M3412" s="9">
        <v>80.0</v>
      </c>
      <c r="N3412" s="9">
        <v>739.0</v>
      </c>
      <c r="O3412" s="9">
        <v>449.0</v>
      </c>
      <c r="P3412" s="8" t="s">
        <v>3480</v>
      </c>
      <c r="Q3412" s="8"/>
      <c r="R3412" s="8"/>
    </row>
    <row r="3413">
      <c r="A3413" s="8" t="s">
        <v>3318</v>
      </c>
      <c r="B3413" s="8" t="s">
        <v>17597</v>
      </c>
      <c r="C3413" s="8" t="s">
        <v>17598</v>
      </c>
      <c r="D3413" s="9">
        <v>9.096710666E9</v>
      </c>
      <c r="E3413" s="8" t="s">
        <v>17599</v>
      </c>
      <c r="F3413" s="8" t="s">
        <v>3523</v>
      </c>
      <c r="G3413" s="8" t="s">
        <v>17600</v>
      </c>
      <c r="H3413" s="8" t="s">
        <v>3479</v>
      </c>
      <c r="I3413" s="9">
        <v>0.0</v>
      </c>
      <c r="J3413" s="9">
        <v>1647.0</v>
      </c>
      <c r="K3413" s="9">
        <v>1647.0</v>
      </c>
      <c r="L3413" s="9">
        <v>1647.0</v>
      </c>
      <c r="M3413" s="9">
        <v>379.0</v>
      </c>
      <c r="N3413" s="9">
        <v>739.0</v>
      </c>
      <c r="O3413" s="9">
        <v>529.0</v>
      </c>
      <c r="P3413" s="8" t="s">
        <v>3480</v>
      </c>
      <c r="Q3413" s="8"/>
      <c r="R3413" s="8"/>
    </row>
    <row r="3414">
      <c r="A3414" s="8" t="s">
        <v>3319</v>
      </c>
      <c r="B3414" s="8" t="s">
        <v>17601</v>
      </c>
      <c r="C3414" s="8" t="s">
        <v>5147</v>
      </c>
      <c r="D3414" s="9">
        <v>9.373172927E9</v>
      </c>
      <c r="E3414" s="8" t="s">
        <v>5148</v>
      </c>
      <c r="F3414" s="8" t="s">
        <v>4112</v>
      </c>
      <c r="G3414" s="8" t="s">
        <v>17602</v>
      </c>
      <c r="H3414" s="8" t="s">
        <v>17603</v>
      </c>
      <c r="I3414" s="9">
        <v>0.0</v>
      </c>
      <c r="J3414" s="9">
        <v>1500.0</v>
      </c>
      <c r="K3414" s="9">
        <v>1528.0</v>
      </c>
      <c r="L3414" s="9">
        <v>1500.0</v>
      </c>
      <c r="M3414" s="9">
        <v>1153.0</v>
      </c>
      <c r="N3414" s="9">
        <v>0.0</v>
      </c>
      <c r="O3414" s="9">
        <v>375.0</v>
      </c>
      <c r="P3414" s="8" t="s">
        <v>3480</v>
      </c>
      <c r="Q3414" s="8" t="s">
        <v>5151</v>
      </c>
      <c r="R3414" s="8" t="s">
        <v>5152</v>
      </c>
    </row>
    <row r="3415">
      <c r="A3415" s="8" t="s">
        <v>3320</v>
      </c>
      <c r="B3415" s="8" t="s">
        <v>17604</v>
      </c>
      <c r="C3415" s="8" t="s">
        <v>3998</v>
      </c>
      <c r="D3415" s="9">
        <v>7.776830728E9</v>
      </c>
      <c r="E3415" s="8" t="s">
        <v>3999</v>
      </c>
      <c r="F3415" s="8" t="s">
        <v>3721</v>
      </c>
      <c r="G3415" s="8" t="s">
        <v>17605</v>
      </c>
      <c r="H3415" s="8" t="s">
        <v>3479</v>
      </c>
      <c r="I3415" s="9">
        <v>0.0</v>
      </c>
      <c r="J3415" s="9">
        <v>2398.0</v>
      </c>
      <c r="K3415" s="9">
        <v>2398.0</v>
      </c>
      <c r="L3415" s="9">
        <v>2398.0</v>
      </c>
      <c r="M3415" s="9">
        <v>1130.0</v>
      </c>
      <c r="N3415" s="9">
        <v>739.0</v>
      </c>
      <c r="O3415" s="9">
        <v>529.0</v>
      </c>
      <c r="P3415" s="8" t="s">
        <v>3480</v>
      </c>
      <c r="Q3415" s="8"/>
      <c r="R3415" s="8" t="s">
        <v>4001</v>
      </c>
    </row>
    <row r="3416">
      <c r="A3416" s="8" t="s">
        <v>3321</v>
      </c>
      <c r="B3416" s="8" t="s">
        <v>17606</v>
      </c>
      <c r="C3416" s="8" t="s">
        <v>13734</v>
      </c>
      <c r="D3416" s="9">
        <v>9.545999069E9</v>
      </c>
      <c r="E3416" s="8" t="s">
        <v>13735</v>
      </c>
      <c r="F3416" s="8" t="s">
        <v>5633</v>
      </c>
      <c r="G3416" s="8" t="s">
        <v>17607</v>
      </c>
      <c r="H3416" s="8" t="s">
        <v>3479</v>
      </c>
      <c r="I3416" s="9">
        <v>0.0</v>
      </c>
      <c r="J3416" s="9">
        <v>1024.0</v>
      </c>
      <c r="K3416" s="9">
        <v>1024.0</v>
      </c>
      <c r="L3416" s="9">
        <v>1024.0</v>
      </c>
      <c r="M3416" s="9">
        <v>325.0</v>
      </c>
      <c r="N3416" s="9">
        <v>0.0</v>
      </c>
      <c r="O3416" s="9">
        <v>699.0</v>
      </c>
      <c r="P3416" s="8" t="s">
        <v>3480</v>
      </c>
      <c r="Q3416" s="8"/>
      <c r="R3416" s="8"/>
    </row>
    <row r="3417">
      <c r="A3417" s="8" t="s">
        <v>3445</v>
      </c>
      <c r="B3417" s="8" t="s">
        <v>17608</v>
      </c>
      <c r="C3417" s="8" t="s">
        <v>5466</v>
      </c>
      <c r="D3417" s="9">
        <v>7.666969084E9</v>
      </c>
      <c r="E3417" s="8" t="s">
        <v>5467</v>
      </c>
      <c r="F3417" s="8" t="s">
        <v>3594</v>
      </c>
      <c r="G3417" s="8" t="s">
        <v>17609</v>
      </c>
      <c r="H3417" s="8" t="s">
        <v>3479</v>
      </c>
      <c r="I3417" s="9">
        <v>0.0</v>
      </c>
      <c r="J3417" s="9">
        <v>2198.0</v>
      </c>
      <c r="K3417" s="9">
        <v>2198.0</v>
      </c>
      <c r="L3417" s="9">
        <v>2198.0</v>
      </c>
      <c r="M3417" s="9">
        <v>935.0</v>
      </c>
      <c r="N3417" s="9">
        <v>739.0</v>
      </c>
      <c r="O3417" s="9">
        <v>524.0</v>
      </c>
      <c r="P3417" s="8" t="s">
        <v>3519</v>
      </c>
      <c r="Q3417" s="8"/>
      <c r="R3417" s="8"/>
    </row>
    <row r="3418">
      <c r="A3418" s="8" t="s">
        <v>3303</v>
      </c>
      <c r="B3418" s="8" t="s">
        <v>17610</v>
      </c>
      <c r="C3418" s="8" t="s">
        <v>5953</v>
      </c>
      <c r="D3418" s="9">
        <v>9.423306423E9</v>
      </c>
      <c r="E3418" s="8" t="s">
        <v>12636</v>
      </c>
      <c r="F3418" s="8" t="s">
        <v>3523</v>
      </c>
      <c r="G3418" s="8" t="s">
        <v>17611</v>
      </c>
      <c r="H3418" s="8" t="s">
        <v>3479</v>
      </c>
      <c r="I3418" s="9">
        <v>0.0</v>
      </c>
      <c r="J3418" s="9">
        <v>2018.0</v>
      </c>
      <c r="K3418" s="9">
        <v>2018.0</v>
      </c>
      <c r="L3418" s="9">
        <v>2018.0</v>
      </c>
      <c r="M3418" s="9">
        <v>750.0</v>
      </c>
      <c r="N3418" s="9">
        <v>739.0</v>
      </c>
      <c r="O3418" s="9">
        <v>529.0</v>
      </c>
      <c r="P3418" s="8" t="s">
        <v>3480</v>
      </c>
      <c r="Q3418" s="8" t="s">
        <v>12638</v>
      </c>
      <c r="R3418" s="8" t="s">
        <v>12639</v>
      </c>
    </row>
    <row r="3419">
      <c r="A3419" s="8" t="s">
        <v>3304</v>
      </c>
      <c r="B3419" s="8" t="s">
        <v>17612</v>
      </c>
      <c r="C3419" s="8" t="s">
        <v>3475</v>
      </c>
      <c r="D3419" s="9">
        <v>8.055469275E9</v>
      </c>
      <c r="E3419" s="8" t="s">
        <v>17613</v>
      </c>
      <c r="F3419" s="8" t="s">
        <v>3601</v>
      </c>
      <c r="G3419" s="8" t="s">
        <v>17614</v>
      </c>
      <c r="H3419" s="8" t="s">
        <v>3479</v>
      </c>
      <c r="I3419" s="9">
        <v>0.0</v>
      </c>
      <c r="J3419" s="9">
        <v>1574.0</v>
      </c>
      <c r="K3419" s="9">
        <v>1574.0</v>
      </c>
      <c r="L3419" s="9">
        <v>1574.0</v>
      </c>
      <c r="M3419" s="9">
        <v>386.0</v>
      </c>
      <c r="N3419" s="9">
        <v>739.0</v>
      </c>
      <c r="O3419" s="9">
        <v>449.0</v>
      </c>
      <c r="P3419" s="8" t="s">
        <v>3480</v>
      </c>
      <c r="Q3419" s="8" t="s">
        <v>17615</v>
      </c>
      <c r="R3419" s="8" t="s">
        <v>17616</v>
      </c>
    </row>
    <row r="3420">
      <c r="A3420" s="8" t="s">
        <v>3305</v>
      </c>
      <c r="B3420" s="8" t="s">
        <v>17617</v>
      </c>
      <c r="C3420" s="8" t="s">
        <v>17618</v>
      </c>
      <c r="D3420" s="9">
        <v>8.446115032E9</v>
      </c>
      <c r="E3420" s="8" t="s">
        <v>17619</v>
      </c>
      <c r="F3420" s="8" t="s">
        <v>3608</v>
      </c>
      <c r="G3420" s="8" t="s">
        <v>17620</v>
      </c>
      <c r="H3420" s="8" t="s">
        <v>3479</v>
      </c>
      <c r="I3420" s="9">
        <v>0.0</v>
      </c>
      <c r="J3420" s="9">
        <v>2761.0</v>
      </c>
      <c r="K3420" s="9">
        <v>2761.0</v>
      </c>
      <c r="L3420" s="9">
        <v>2761.0</v>
      </c>
      <c r="M3420" s="9">
        <v>2286.0</v>
      </c>
      <c r="N3420" s="9">
        <v>0.0</v>
      </c>
      <c r="O3420" s="9">
        <v>475.0</v>
      </c>
      <c r="P3420" s="8" t="s">
        <v>3480</v>
      </c>
      <c r="Q3420" s="8"/>
      <c r="R3420" s="8"/>
    </row>
    <row r="3421">
      <c r="A3421" s="8" t="s">
        <v>495</v>
      </c>
      <c r="B3421" s="8" t="s">
        <v>17621</v>
      </c>
      <c r="C3421" s="8" t="s">
        <v>17622</v>
      </c>
      <c r="D3421" s="9">
        <v>9.823477354E9</v>
      </c>
      <c r="E3421" s="8" t="s">
        <v>17623</v>
      </c>
      <c r="F3421" s="8" t="s">
        <v>7382</v>
      </c>
      <c r="G3421" s="8" t="s">
        <v>17624</v>
      </c>
      <c r="H3421" s="8" t="s">
        <v>3479</v>
      </c>
      <c r="I3421" s="9">
        <v>0.0</v>
      </c>
      <c r="J3421" s="9">
        <v>1390.0</v>
      </c>
      <c r="K3421" s="9">
        <v>1390.0</v>
      </c>
      <c r="L3421" s="9">
        <v>1390.0</v>
      </c>
      <c r="M3421" s="9">
        <v>166.0</v>
      </c>
      <c r="N3421" s="9">
        <v>775.0</v>
      </c>
      <c r="O3421" s="9">
        <v>449.0</v>
      </c>
      <c r="P3421" s="8" t="s">
        <v>3480</v>
      </c>
      <c r="Q3421" s="8" t="s">
        <v>17625</v>
      </c>
      <c r="R3421" s="8" t="s">
        <v>17626</v>
      </c>
    </row>
    <row r="3422">
      <c r="A3422" s="8" t="s">
        <v>3446</v>
      </c>
      <c r="B3422" s="8" t="s">
        <v>17627</v>
      </c>
      <c r="C3422" s="8" t="s">
        <v>17628</v>
      </c>
      <c r="D3422" s="9">
        <v>8.484923252E9</v>
      </c>
      <c r="E3422" s="8" t="s">
        <v>17629</v>
      </c>
      <c r="F3422" s="8" t="s">
        <v>17630</v>
      </c>
      <c r="G3422" s="8" t="s">
        <v>12558</v>
      </c>
      <c r="H3422" s="8" t="s">
        <v>3479</v>
      </c>
      <c r="I3422" s="9">
        <v>0.0</v>
      </c>
      <c r="J3422" s="9">
        <v>1734.0</v>
      </c>
      <c r="K3422" s="9">
        <v>1734.0</v>
      </c>
      <c r="L3422" s="9">
        <v>1734.0</v>
      </c>
      <c r="M3422" s="9">
        <v>466.0</v>
      </c>
      <c r="N3422" s="9">
        <v>739.0</v>
      </c>
      <c r="O3422" s="9">
        <v>529.0</v>
      </c>
      <c r="P3422" s="8" t="s">
        <v>3480</v>
      </c>
      <c r="Q3422" s="8" t="s">
        <v>17631</v>
      </c>
      <c r="R3422" s="8" t="s">
        <v>17632</v>
      </c>
    </row>
    <row r="3423">
      <c r="A3423" s="8" t="s">
        <v>3447</v>
      </c>
      <c r="B3423" s="8" t="s">
        <v>17633</v>
      </c>
      <c r="C3423" s="8" t="s">
        <v>17634</v>
      </c>
      <c r="D3423" s="9">
        <v>7.083711083E9</v>
      </c>
      <c r="E3423" s="8" t="s">
        <v>17635</v>
      </c>
      <c r="F3423" s="8" t="s">
        <v>3863</v>
      </c>
      <c r="G3423" s="8" t="s">
        <v>17636</v>
      </c>
      <c r="H3423" s="8" t="s">
        <v>3479</v>
      </c>
      <c r="I3423" s="9">
        <v>0.0</v>
      </c>
      <c r="J3423" s="9">
        <v>1823.0</v>
      </c>
      <c r="K3423" s="9">
        <v>1823.0</v>
      </c>
      <c r="L3423" s="9">
        <v>1823.0</v>
      </c>
      <c r="M3423" s="9">
        <v>455.0</v>
      </c>
      <c r="N3423" s="9">
        <v>739.0</v>
      </c>
      <c r="O3423" s="9">
        <v>629.0</v>
      </c>
      <c r="P3423" s="8" t="s">
        <v>3480</v>
      </c>
      <c r="Q3423" s="8"/>
      <c r="R3423" s="8"/>
    </row>
    <row r="3424">
      <c r="A3424" s="8" t="s">
        <v>3448</v>
      </c>
      <c r="B3424" s="8" t="s">
        <v>17637</v>
      </c>
      <c r="C3424" s="8" t="s">
        <v>11407</v>
      </c>
      <c r="D3424" s="9">
        <v>9.881103107E9</v>
      </c>
      <c r="E3424" s="8" t="s">
        <v>11408</v>
      </c>
      <c r="F3424" s="8" t="s">
        <v>3608</v>
      </c>
      <c r="G3424" s="8" t="s">
        <v>17638</v>
      </c>
      <c r="H3424" s="8" t="s">
        <v>3479</v>
      </c>
      <c r="I3424" s="9">
        <v>0.0</v>
      </c>
      <c r="J3424" s="9">
        <v>3327.0</v>
      </c>
      <c r="K3424" s="9">
        <v>3327.0</v>
      </c>
      <c r="L3424" s="9">
        <v>3327.0</v>
      </c>
      <c r="M3424" s="9">
        <v>2139.0</v>
      </c>
      <c r="N3424" s="9">
        <v>739.0</v>
      </c>
      <c r="O3424" s="9">
        <v>449.0</v>
      </c>
      <c r="P3424" s="8" t="s">
        <v>3480</v>
      </c>
      <c r="Q3424" s="8" t="s">
        <v>11410</v>
      </c>
      <c r="R3424" s="8" t="s">
        <v>11411</v>
      </c>
    </row>
    <row r="3425">
      <c r="A3425" s="8" t="s">
        <v>3449</v>
      </c>
      <c r="B3425" s="8" t="s">
        <v>17639</v>
      </c>
      <c r="C3425" s="8" t="s">
        <v>17640</v>
      </c>
      <c r="D3425" s="9">
        <v>9.011022801E9</v>
      </c>
      <c r="E3425" s="8" t="s">
        <v>17641</v>
      </c>
      <c r="F3425" s="8" t="s">
        <v>3608</v>
      </c>
      <c r="G3425" s="8" t="s">
        <v>17642</v>
      </c>
      <c r="H3425" s="8" t="s">
        <v>3479</v>
      </c>
      <c r="I3425" s="9">
        <v>0.0</v>
      </c>
      <c r="J3425" s="9">
        <v>1771.0</v>
      </c>
      <c r="K3425" s="9">
        <v>1771.0</v>
      </c>
      <c r="L3425" s="9">
        <v>1771.0</v>
      </c>
      <c r="M3425" s="9">
        <v>583.0</v>
      </c>
      <c r="N3425" s="9">
        <v>739.0</v>
      </c>
      <c r="O3425" s="9">
        <v>449.0</v>
      </c>
      <c r="P3425" s="8" t="s">
        <v>3480</v>
      </c>
      <c r="Q3425" s="8" t="s">
        <v>17643</v>
      </c>
      <c r="R3425" s="8" t="s">
        <v>17644</v>
      </c>
    </row>
    <row r="3426">
      <c r="A3426" s="8" t="s">
        <v>3450</v>
      </c>
      <c r="B3426" s="8" t="s">
        <v>17645</v>
      </c>
      <c r="C3426" s="8" t="s">
        <v>17646</v>
      </c>
      <c r="D3426" s="9">
        <v>9.371357993E9</v>
      </c>
      <c r="E3426" s="8" t="s">
        <v>17647</v>
      </c>
      <c r="F3426" s="8" t="s">
        <v>3821</v>
      </c>
      <c r="G3426" s="8" t="s">
        <v>17648</v>
      </c>
      <c r="H3426" s="8" t="s">
        <v>3479</v>
      </c>
      <c r="I3426" s="9">
        <v>0.0</v>
      </c>
      <c r="J3426" s="9">
        <v>1581.0</v>
      </c>
      <c r="K3426" s="9">
        <v>1581.0</v>
      </c>
      <c r="L3426" s="9">
        <v>1581.0</v>
      </c>
      <c r="M3426" s="9">
        <v>313.0</v>
      </c>
      <c r="N3426" s="9">
        <v>739.0</v>
      </c>
      <c r="O3426" s="9">
        <v>529.0</v>
      </c>
      <c r="P3426" s="8" t="s">
        <v>3480</v>
      </c>
      <c r="Q3426" s="8"/>
      <c r="R3426" s="8"/>
    </row>
    <row r="3427">
      <c r="A3427" s="8" t="s">
        <v>3452</v>
      </c>
      <c r="B3427" s="8" t="s">
        <v>17649</v>
      </c>
      <c r="C3427" s="8" t="s">
        <v>5528</v>
      </c>
      <c r="D3427" s="9">
        <v>9.028191356E9</v>
      </c>
      <c r="E3427" s="8" t="s">
        <v>5529</v>
      </c>
      <c r="F3427" s="8" t="s">
        <v>3615</v>
      </c>
      <c r="G3427" s="8" t="s">
        <v>17650</v>
      </c>
      <c r="H3427" s="8" t="s">
        <v>3479</v>
      </c>
      <c r="I3427" s="9">
        <v>0.0</v>
      </c>
      <c r="J3427" s="9">
        <v>1314.0</v>
      </c>
      <c r="K3427" s="9">
        <v>1314.0</v>
      </c>
      <c r="L3427" s="9">
        <v>1314.0</v>
      </c>
      <c r="M3427" s="9">
        <v>490.0</v>
      </c>
      <c r="N3427" s="9">
        <v>0.0</v>
      </c>
      <c r="O3427" s="9">
        <v>824.0</v>
      </c>
      <c r="P3427" s="8" t="s">
        <v>3480</v>
      </c>
      <c r="Q3427" s="8"/>
      <c r="R3427" s="8"/>
    </row>
    <row r="3428">
      <c r="A3428" s="8" t="s">
        <v>3451</v>
      </c>
      <c r="B3428" s="8" t="s">
        <v>17651</v>
      </c>
      <c r="C3428" s="8" t="s">
        <v>7853</v>
      </c>
      <c r="D3428" s="9">
        <v>9.004432771E9</v>
      </c>
      <c r="E3428" s="8" t="s">
        <v>7854</v>
      </c>
      <c r="F3428" s="8" t="s">
        <v>3608</v>
      </c>
      <c r="G3428" s="8" t="s">
        <v>17652</v>
      </c>
      <c r="H3428" s="8" t="s">
        <v>3479</v>
      </c>
      <c r="I3428" s="9">
        <v>0.0</v>
      </c>
      <c r="J3428" s="9">
        <v>1323.0</v>
      </c>
      <c r="K3428" s="9">
        <v>1323.0</v>
      </c>
      <c r="L3428" s="9">
        <v>1323.0</v>
      </c>
      <c r="M3428" s="9">
        <v>135.0</v>
      </c>
      <c r="N3428" s="9">
        <v>739.0</v>
      </c>
      <c r="O3428" s="9">
        <v>449.0</v>
      </c>
      <c r="P3428" s="8" t="s">
        <v>3480</v>
      </c>
      <c r="Q3428" s="8" t="s">
        <v>7856</v>
      </c>
      <c r="R3428" s="8" t="s">
        <v>7857</v>
      </c>
    </row>
    <row r="3429">
      <c r="A3429" s="8" t="s">
        <v>3453</v>
      </c>
      <c r="B3429" s="8" t="s">
        <v>17653</v>
      </c>
      <c r="C3429" s="8" t="s">
        <v>16566</v>
      </c>
      <c r="D3429" s="9">
        <v>8.888263054E9</v>
      </c>
      <c r="E3429" s="8" t="s">
        <v>16567</v>
      </c>
      <c r="F3429" s="8" t="s">
        <v>3677</v>
      </c>
      <c r="G3429" s="8" t="s">
        <v>17654</v>
      </c>
      <c r="H3429" s="8" t="s">
        <v>3479</v>
      </c>
      <c r="I3429" s="9">
        <v>0.0</v>
      </c>
      <c r="J3429" s="9">
        <v>2459.0</v>
      </c>
      <c r="K3429" s="9">
        <v>2459.0</v>
      </c>
      <c r="L3429" s="9">
        <v>2459.0</v>
      </c>
      <c r="M3429" s="9">
        <v>2284.0</v>
      </c>
      <c r="N3429" s="9">
        <v>0.0</v>
      </c>
      <c r="O3429" s="9">
        <v>175.0</v>
      </c>
      <c r="P3429" s="8" t="s">
        <v>3480</v>
      </c>
      <c r="Q3429" s="8"/>
      <c r="R3429" s="8"/>
    </row>
    <row r="3430">
      <c r="A3430" s="8" t="s">
        <v>3454</v>
      </c>
      <c r="B3430" s="8" t="s">
        <v>17655</v>
      </c>
      <c r="C3430" s="8" t="s">
        <v>17656</v>
      </c>
      <c r="D3430" s="9">
        <v>9.158998051E9</v>
      </c>
      <c r="E3430" s="8" t="s">
        <v>17657</v>
      </c>
      <c r="F3430" s="8" t="s">
        <v>3608</v>
      </c>
      <c r="G3430" s="8" t="s">
        <v>17658</v>
      </c>
      <c r="H3430" s="8" t="s">
        <v>3479</v>
      </c>
      <c r="I3430" s="9">
        <v>0.0</v>
      </c>
      <c r="J3430" s="9">
        <v>1618.0</v>
      </c>
      <c r="K3430" s="9">
        <v>1618.0</v>
      </c>
      <c r="L3430" s="9">
        <v>1618.0</v>
      </c>
      <c r="M3430" s="9">
        <v>430.0</v>
      </c>
      <c r="N3430" s="9">
        <v>739.0</v>
      </c>
      <c r="O3430" s="9">
        <v>449.0</v>
      </c>
      <c r="P3430" s="8" t="s">
        <v>3519</v>
      </c>
      <c r="Q3430" s="8" t="s">
        <v>17659</v>
      </c>
      <c r="R3430" s="8" t="s">
        <v>17660</v>
      </c>
    </row>
    <row r="3431">
      <c r="A3431" s="8" t="s">
        <v>3455</v>
      </c>
      <c r="B3431" s="8" t="s">
        <v>17661</v>
      </c>
      <c r="C3431" s="8" t="s">
        <v>3948</v>
      </c>
      <c r="D3431" s="9">
        <v>9.766589338E9</v>
      </c>
      <c r="E3431" s="8" t="s">
        <v>3949</v>
      </c>
      <c r="F3431" s="8" t="s">
        <v>3608</v>
      </c>
      <c r="G3431" s="8" t="s">
        <v>17662</v>
      </c>
      <c r="H3431" s="8" t="s">
        <v>3479</v>
      </c>
      <c r="I3431" s="9">
        <v>0.0</v>
      </c>
      <c r="J3431" s="9">
        <v>1871.0</v>
      </c>
      <c r="K3431" s="9">
        <v>1871.0</v>
      </c>
      <c r="L3431" s="9">
        <v>1871.0</v>
      </c>
      <c r="M3431" s="9">
        <v>683.0</v>
      </c>
      <c r="N3431" s="9">
        <v>739.0</v>
      </c>
      <c r="O3431" s="9">
        <v>449.0</v>
      </c>
      <c r="P3431" s="8" t="s">
        <v>3480</v>
      </c>
      <c r="Q3431" s="8"/>
      <c r="R3431" s="8"/>
    </row>
    <row r="3432">
      <c r="A3432" s="8" t="s">
        <v>3306</v>
      </c>
      <c r="B3432" s="8" t="s">
        <v>17663</v>
      </c>
      <c r="C3432" s="8" t="s">
        <v>17664</v>
      </c>
      <c r="D3432" s="9">
        <v>9.68990123E9</v>
      </c>
      <c r="E3432" s="8" t="s">
        <v>17665</v>
      </c>
      <c r="F3432" s="8" t="s">
        <v>6927</v>
      </c>
      <c r="G3432" s="8" t="s">
        <v>17666</v>
      </c>
      <c r="H3432" s="8" t="s">
        <v>3479</v>
      </c>
      <c r="I3432" s="9">
        <v>0.0</v>
      </c>
      <c r="J3432" s="9">
        <v>1421.0</v>
      </c>
      <c r="K3432" s="9">
        <v>1421.0</v>
      </c>
      <c r="L3432" s="9">
        <v>1421.0</v>
      </c>
      <c r="M3432" s="9">
        <v>233.0</v>
      </c>
      <c r="N3432" s="9">
        <v>739.0</v>
      </c>
      <c r="O3432" s="9">
        <v>449.0</v>
      </c>
      <c r="P3432" s="8" t="s">
        <v>3480</v>
      </c>
      <c r="Q3432" s="8" t="s">
        <v>17667</v>
      </c>
      <c r="R3432" s="8"/>
    </row>
  </sheetData>
  <drawing r:id="rId1"/>
</worksheet>
</file>